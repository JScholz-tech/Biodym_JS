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comments2.xml" ContentType="application/vnd.openxmlformats-officedocument.spreadsheetml.comments+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comments6.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comments10.xml" ContentType="application/vnd.openxmlformats-officedocument.spreadsheetml.comments+xml"/>
  <Override PartName="/xl/tables/table20.xml" ContentType="application/vnd.openxmlformats-officedocument.spreadsheetml.table+xml"/>
  <Override PartName="/xl/comments11.xml" ContentType="application/vnd.openxmlformats-officedocument.spreadsheetml.comments+xml"/>
  <Override PartName="/xl/tables/table21.xml" ContentType="application/vnd.openxmlformats-officedocument.spreadsheetml.table+xml"/>
  <Override PartName="/xl/comments12.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_{98D856E4-7D72-451E-822F-F1C1503589F1}" xr6:coauthVersionLast="47" xr6:coauthVersionMax="47" xr10:uidLastSave="{00000000-0000-0000-0000-000000000000}"/>
  <bookViews>
    <workbookView xWindow="-110" yWindow="-110" windowWidth="19420" windowHeight="11500" tabRatio="840" firstSheet="8" activeTab="11"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functionGroups builtInGroupCount="19"/>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Tab_Dynamic_TC[]</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67" i="2" l="1"/>
  <c r="D367" i="2"/>
  <c r="E367" i="2"/>
  <c r="F367" i="2"/>
  <c r="G367" i="2"/>
  <c r="H367" i="2"/>
  <c r="I367" i="2"/>
  <c r="L367" i="2"/>
  <c r="V367" i="2"/>
  <c r="W367" i="2"/>
  <c r="X367" i="2"/>
  <c r="Y367" i="2"/>
  <c r="AB367" i="2"/>
  <c r="AE367" i="2"/>
  <c r="AH367" i="2"/>
  <c r="AK367" i="2"/>
  <c r="B368" i="2"/>
  <c r="D368" i="2"/>
  <c r="Z368" i="2" s="1"/>
  <c r="E368" i="2"/>
  <c r="F368" i="2"/>
  <c r="G368" i="2"/>
  <c r="H368" i="2"/>
  <c r="I368" i="2"/>
  <c r="L368" i="2"/>
  <c r="X368" i="2" s="1"/>
  <c r="V368" i="2"/>
  <c r="W368" i="2"/>
  <c r="Y368" i="2"/>
  <c r="AB368" i="2"/>
  <c r="AE368" i="2"/>
  <c r="AG368" i="2"/>
  <c r="AH368" i="2"/>
  <c r="AI368" i="2"/>
  <c r="AK368" i="2"/>
  <c r="B369" i="2"/>
  <c r="D369" i="2"/>
  <c r="Z369" i="2" s="1"/>
  <c r="E369" i="2"/>
  <c r="AC369" i="2" s="1"/>
  <c r="F369" i="2"/>
  <c r="G369" i="2"/>
  <c r="H369" i="2"/>
  <c r="AI369" i="2" s="1"/>
  <c r="I369" i="2"/>
  <c r="AL369" i="2" s="1"/>
  <c r="L369" i="2"/>
  <c r="X369" i="2" s="1"/>
  <c r="V369" i="2"/>
  <c r="W369" i="2"/>
  <c r="Y369" i="2"/>
  <c r="AB369" i="2"/>
  <c r="AE369" i="2"/>
  <c r="AH369" i="2"/>
  <c r="AK369" i="2"/>
  <c r="B370" i="2"/>
  <c r="D370" i="2"/>
  <c r="E370" i="2"/>
  <c r="F370" i="2"/>
  <c r="G370" i="2"/>
  <c r="H370" i="2"/>
  <c r="I370" i="2"/>
  <c r="L370" i="2"/>
  <c r="X370" i="2" s="1"/>
  <c r="V370" i="2"/>
  <c r="W370" i="2"/>
  <c r="Y370" i="2"/>
  <c r="Z370" i="2"/>
  <c r="AB370" i="2"/>
  <c r="AC370" i="2"/>
  <c r="AE370" i="2"/>
  <c r="AH370" i="2"/>
  <c r="AK370" i="2"/>
  <c r="AL370" i="2"/>
  <c r="B371" i="2"/>
  <c r="D371" i="2"/>
  <c r="Z371" i="2" s="1"/>
  <c r="E371" i="2"/>
  <c r="F371" i="2"/>
  <c r="G371" i="2"/>
  <c r="H371" i="2"/>
  <c r="AF371" i="2" s="1"/>
  <c r="I371" i="2"/>
  <c r="L371" i="2"/>
  <c r="V371" i="2"/>
  <c r="W371" i="2"/>
  <c r="X371" i="2"/>
  <c r="AD371" i="2" s="1"/>
  <c r="Y371" i="2"/>
  <c r="AA371" i="2"/>
  <c r="AB371" i="2"/>
  <c r="AC371" i="2" s="1"/>
  <c r="AE371" i="2"/>
  <c r="AH371" i="2"/>
  <c r="AI371" i="2"/>
  <c r="AJ371" i="2"/>
  <c r="AK371" i="2"/>
  <c r="AL371" i="2"/>
  <c r="AM371" i="2"/>
  <c r="B372" i="2"/>
  <c r="D372" i="2"/>
  <c r="Z372" i="2" s="1"/>
  <c r="E372" i="2"/>
  <c r="AC372" i="2" s="1"/>
  <c r="F372" i="2"/>
  <c r="G372" i="2"/>
  <c r="H372" i="2"/>
  <c r="AF372" i="2" s="1"/>
  <c r="I372" i="2"/>
  <c r="L372" i="2"/>
  <c r="V372" i="2"/>
  <c r="W372" i="2"/>
  <c r="X372" i="2"/>
  <c r="AD372" i="2" s="1"/>
  <c r="Y372" i="2"/>
  <c r="AA372" i="2"/>
  <c r="AB372" i="2"/>
  <c r="AE372" i="2"/>
  <c r="AH372" i="2"/>
  <c r="AI372" i="2" s="1"/>
  <c r="AJ372" i="2"/>
  <c r="AK372" i="2"/>
  <c r="AL372" i="2"/>
  <c r="AM372" i="2"/>
  <c r="B373" i="2"/>
  <c r="D373" i="2"/>
  <c r="E373" i="2"/>
  <c r="F373" i="2"/>
  <c r="G373" i="2"/>
  <c r="H373" i="2"/>
  <c r="I373" i="2"/>
  <c r="L373" i="2"/>
  <c r="V373" i="2"/>
  <c r="W373" i="2"/>
  <c r="X373" i="2"/>
  <c r="Y373" i="2"/>
  <c r="AB373" i="2"/>
  <c r="AE373" i="2"/>
  <c r="AH373" i="2"/>
  <c r="AI373" i="2"/>
  <c r="AJ373" i="2"/>
  <c r="AK373" i="2"/>
  <c r="B374" i="2"/>
  <c r="D374" i="2"/>
  <c r="E374" i="2"/>
  <c r="F374" i="2"/>
  <c r="G374" i="2"/>
  <c r="H374" i="2"/>
  <c r="I374" i="2"/>
  <c r="L374" i="2"/>
  <c r="X374" i="2" s="1"/>
  <c r="V374" i="2"/>
  <c r="W374" i="2"/>
  <c r="Y374" i="2"/>
  <c r="AB374" i="2"/>
  <c r="AE374" i="2"/>
  <c r="AH374" i="2"/>
  <c r="AI374" i="2" s="1"/>
  <c r="AK374" i="2"/>
  <c r="B375" i="2"/>
  <c r="D375" i="2"/>
  <c r="Z375" i="2" s="1"/>
  <c r="E375" i="2"/>
  <c r="AC375" i="2" s="1"/>
  <c r="F375" i="2"/>
  <c r="G375" i="2"/>
  <c r="H375" i="2"/>
  <c r="AI375" i="2" s="1"/>
  <c r="I375" i="2"/>
  <c r="AL375" i="2" s="1"/>
  <c r="L375" i="2"/>
  <c r="X375" i="2" s="1"/>
  <c r="V375" i="2"/>
  <c r="W375" i="2"/>
  <c r="Y375" i="2"/>
  <c r="AB375" i="2"/>
  <c r="AE375" i="2"/>
  <c r="AG375" i="2"/>
  <c r="AH375" i="2"/>
  <c r="AK375" i="2"/>
  <c r="B376" i="2"/>
  <c r="D376" i="2"/>
  <c r="E376" i="2"/>
  <c r="F376" i="2"/>
  <c r="G376" i="2"/>
  <c r="H376" i="2"/>
  <c r="I376" i="2"/>
  <c r="L376" i="2"/>
  <c r="X376" i="2" s="1"/>
  <c r="V376" i="2"/>
  <c r="W376" i="2"/>
  <c r="Y376" i="2"/>
  <c r="Z376" i="2"/>
  <c r="AB376" i="2"/>
  <c r="AC376" i="2"/>
  <c r="AE376" i="2"/>
  <c r="AH376" i="2"/>
  <c r="AK376" i="2"/>
  <c r="AL376" i="2"/>
  <c r="B377" i="2"/>
  <c r="D377" i="2"/>
  <c r="Z377" i="2" s="1"/>
  <c r="E377" i="2"/>
  <c r="F377" i="2"/>
  <c r="G377" i="2"/>
  <c r="H377" i="2"/>
  <c r="AF377" i="2" s="1"/>
  <c r="I377" i="2"/>
  <c r="L377" i="2"/>
  <c r="V377" i="2"/>
  <c r="W377" i="2"/>
  <c r="X377" i="2"/>
  <c r="AD377" i="2" s="1"/>
  <c r="Y377" i="2"/>
  <c r="AA377" i="2"/>
  <c r="AB377" i="2"/>
  <c r="AC377" i="2" s="1"/>
  <c r="AE377" i="2"/>
  <c r="AH377" i="2"/>
  <c r="AI377" i="2"/>
  <c r="AJ377" i="2"/>
  <c r="AK377" i="2"/>
  <c r="AL377" i="2"/>
  <c r="AM377" i="2"/>
  <c r="B378" i="2"/>
  <c r="D378" i="2"/>
  <c r="Z378" i="2" s="1"/>
  <c r="E378" i="2"/>
  <c r="AC378" i="2" s="1"/>
  <c r="F378" i="2"/>
  <c r="G378" i="2"/>
  <c r="H378" i="2"/>
  <c r="AF378" i="2" s="1"/>
  <c r="I378" i="2"/>
  <c r="L378" i="2"/>
  <c r="V378" i="2"/>
  <c r="W378" i="2"/>
  <c r="X378" i="2"/>
  <c r="AD378" i="2" s="1"/>
  <c r="Y378" i="2"/>
  <c r="AA378" i="2"/>
  <c r="AB378" i="2"/>
  <c r="AE378" i="2"/>
  <c r="AH378" i="2"/>
  <c r="AI378" i="2" s="1"/>
  <c r="AJ378" i="2"/>
  <c r="AK378" i="2"/>
  <c r="AL378" i="2"/>
  <c r="AM378" i="2"/>
  <c r="B379" i="2"/>
  <c r="D379" i="2"/>
  <c r="E379" i="2"/>
  <c r="F379" i="2"/>
  <c r="G379" i="2"/>
  <c r="H379" i="2"/>
  <c r="I379" i="2"/>
  <c r="L379" i="2"/>
  <c r="V379" i="2"/>
  <c r="W379" i="2"/>
  <c r="X379" i="2"/>
  <c r="Y379" i="2"/>
  <c r="AB379" i="2"/>
  <c r="AE379" i="2"/>
  <c r="AH379" i="2"/>
  <c r="AK379" i="2"/>
  <c r="B380" i="2"/>
  <c r="D380" i="2"/>
  <c r="Z380" i="2" s="1"/>
  <c r="E380" i="2"/>
  <c r="F380" i="2"/>
  <c r="G380" i="2"/>
  <c r="H380" i="2"/>
  <c r="I380" i="2"/>
  <c r="L380" i="2"/>
  <c r="X380" i="2" s="1"/>
  <c r="V380" i="2"/>
  <c r="W380" i="2"/>
  <c r="Y380" i="2"/>
  <c r="AB380" i="2"/>
  <c r="AE380" i="2"/>
  <c r="AG380" i="2"/>
  <c r="AH380" i="2"/>
  <c r="AI380" i="2"/>
  <c r="AK380" i="2"/>
  <c r="B381" i="2"/>
  <c r="D381" i="2"/>
  <c r="Z381" i="2" s="1"/>
  <c r="E381" i="2"/>
  <c r="AC381" i="2" s="1"/>
  <c r="F381" i="2"/>
  <c r="G381" i="2"/>
  <c r="H381" i="2"/>
  <c r="AI381" i="2" s="1"/>
  <c r="I381" i="2"/>
  <c r="AL381" i="2" s="1"/>
  <c r="L381" i="2"/>
  <c r="X381" i="2" s="1"/>
  <c r="V381" i="2"/>
  <c r="W381" i="2"/>
  <c r="Y381" i="2"/>
  <c r="AB381" i="2"/>
  <c r="AE381" i="2"/>
  <c r="AH381" i="2"/>
  <c r="AK381" i="2"/>
  <c r="B382" i="2"/>
  <c r="D382" i="2"/>
  <c r="E382" i="2"/>
  <c r="F382" i="2"/>
  <c r="G382" i="2"/>
  <c r="H382" i="2"/>
  <c r="I382" i="2"/>
  <c r="L382" i="2"/>
  <c r="X382" i="2" s="1"/>
  <c r="V382" i="2"/>
  <c r="W382" i="2"/>
  <c r="Y382" i="2"/>
  <c r="Z382" i="2"/>
  <c r="AB382" i="2"/>
  <c r="AC382" i="2"/>
  <c r="AE382" i="2"/>
  <c r="AH382" i="2"/>
  <c r="AK382" i="2"/>
  <c r="AL382" i="2"/>
  <c r="B383" i="2"/>
  <c r="D383" i="2"/>
  <c r="Z383" i="2" s="1"/>
  <c r="E383" i="2"/>
  <c r="F383" i="2"/>
  <c r="G383" i="2"/>
  <c r="H383" i="2"/>
  <c r="AF383" i="2" s="1"/>
  <c r="I383" i="2"/>
  <c r="L383" i="2"/>
  <c r="V383" i="2"/>
  <c r="W383" i="2"/>
  <c r="X383" i="2"/>
  <c r="AD383" i="2" s="1"/>
  <c r="Y383" i="2"/>
  <c r="AA383" i="2"/>
  <c r="AB383" i="2"/>
  <c r="AC383" i="2" s="1"/>
  <c r="AE383" i="2"/>
  <c r="AH383" i="2"/>
  <c r="AI383" i="2"/>
  <c r="AJ383" i="2"/>
  <c r="AK383" i="2"/>
  <c r="AL383" i="2"/>
  <c r="AM383" i="2"/>
  <c r="B384" i="2"/>
  <c r="D384" i="2"/>
  <c r="Z384" i="2" s="1"/>
  <c r="E384" i="2"/>
  <c r="AC384" i="2" s="1"/>
  <c r="F384" i="2"/>
  <c r="G384" i="2"/>
  <c r="H384" i="2"/>
  <c r="AF384" i="2" s="1"/>
  <c r="I384" i="2"/>
  <c r="L384" i="2"/>
  <c r="V384" i="2"/>
  <c r="W384" i="2"/>
  <c r="X384" i="2"/>
  <c r="AD384" i="2" s="1"/>
  <c r="Y384" i="2"/>
  <c r="AA384" i="2"/>
  <c r="AB384" i="2"/>
  <c r="AE384" i="2"/>
  <c r="AH384" i="2"/>
  <c r="AI384" i="2" s="1"/>
  <c r="AJ384" i="2"/>
  <c r="AK384" i="2"/>
  <c r="AL384" i="2"/>
  <c r="AM384" i="2"/>
  <c r="B385" i="2"/>
  <c r="D385" i="2"/>
  <c r="E385" i="2"/>
  <c r="F385" i="2"/>
  <c r="G385" i="2"/>
  <c r="H385" i="2"/>
  <c r="I385" i="2"/>
  <c r="L385" i="2"/>
  <c r="V385" i="2"/>
  <c r="W385" i="2"/>
  <c r="X385" i="2"/>
  <c r="Y385" i="2"/>
  <c r="AB385" i="2"/>
  <c r="AE385" i="2"/>
  <c r="AH385" i="2"/>
  <c r="AI385" i="2"/>
  <c r="AJ385" i="2"/>
  <c r="AK385" i="2"/>
  <c r="B386" i="2"/>
  <c r="D386" i="2"/>
  <c r="E386" i="2"/>
  <c r="F386" i="2"/>
  <c r="G386" i="2"/>
  <c r="H386" i="2"/>
  <c r="I386" i="2"/>
  <c r="L386" i="2"/>
  <c r="X386" i="2" s="1"/>
  <c r="V386" i="2"/>
  <c r="W386" i="2"/>
  <c r="Y386" i="2"/>
  <c r="AB386" i="2"/>
  <c r="AE386" i="2"/>
  <c r="AH386" i="2"/>
  <c r="AI386" i="2" s="1"/>
  <c r="AK386" i="2"/>
  <c r="B387" i="2"/>
  <c r="D387" i="2"/>
  <c r="Z387" i="2" s="1"/>
  <c r="E387" i="2"/>
  <c r="AC387" i="2" s="1"/>
  <c r="F387" i="2"/>
  <c r="G387" i="2"/>
  <c r="H387" i="2"/>
  <c r="AI387" i="2" s="1"/>
  <c r="I387" i="2"/>
  <c r="AL387" i="2" s="1"/>
  <c r="L387" i="2"/>
  <c r="X387" i="2" s="1"/>
  <c r="V387" i="2"/>
  <c r="W387" i="2"/>
  <c r="Y387" i="2"/>
  <c r="AB387" i="2"/>
  <c r="AE387" i="2"/>
  <c r="AG387" i="2"/>
  <c r="AH387" i="2"/>
  <c r="AK387" i="2"/>
  <c r="B388" i="2"/>
  <c r="D388" i="2"/>
  <c r="E388" i="2"/>
  <c r="F388" i="2"/>
  <c r="G388" i="2"/>
  <c r="H388" i="2"/>
  <c r="I388" i="2"/>
  <c r="L388" i="2"/>
  <c r="X388" i="2" s="1"/>
  <c r="V388" i="2"/>
  <c r="W388" i="2"/>
  <c r="Y388" i="2"/>
  <c r="Z388" i="2"/>
  <c r="AB388" i="2"/>
  <c r="AC388" i="2"/>
  <c r="AE388" i="2"/>
  <c r="AH388" i="2"/>
  <c r="AK388" i="2"/>
  <c r="AL388" i="2"/>
  <c r="B389" i="2"/>
  <c r="D389" i="2"/>
  <c r="Z389" i="2" s="1"/>
  <c r="E389" i="2"/>
  <c r="F389" i="2"/>
  <c r="G389" i="2"/>
  <c r="H389" i="2"/>
  <c r="AF389" i="2" s="1"/>
  <c r="I389" i="2"/>
  <c r="L389" i="2"/>
  <c r="V389" i="2"/>
  <c r="W389" i="2"/>
  <c r="X389" i="2"/>
  <c r="AD389" i="2" s="1"/>
  <c r="Y389" i="2"/>
  <c r="AA389" i="2"/>
  <c r="AB389" i="2"/>
  <c r="AC389" i="2" s="1"/>
  <c r="AE389" i="2"/>
  <c r="AH389" i="2"/>
  <c r="AI389" i="2"/>
  <c r="AJ389" i="2"/>
  <c r="AK389" i="2"/>
  <c r="AL389" i="2"/>
  <c r="AM389" i="2"/>
  <c r="B390" i="2"/>
  <c r="D390" i="2"/>
  <c r="Z390" i="2" s="1"/>
  <c r="E390" i="2"/>
  <c r="AC390" i="2" s="1"/>
  <c r="F390" i="2"/>
  <c r="G390" i="2"/>
  <c r="H390" i="2"/>
  <c r="AF390" i="2" s="1"/>
  <c r="I390" i="2"/>
  <c r="L390" i="2"/>
  <c r="V390" i="2"/>
  <c r="W390" i="2"/>
  <c r="X390" i="2"/>
  <c r="AD390" i="2" s="1"/>
  <c r="Y390" i="2"/>
  <c r="AA390" i="2"/>
  <c r="AB390" i="2"/>
  <c r="AE390" i="2"/>
  <c r="AH390" i="2"/>
  <c r="AI390" i="2" s="1"/>
  <c r="AJ390" i="2"/>
  <c r="AK390" i="2"/>
  <c r="AL390" i="2"/>
  <c r="AM390" i="2"/>
  <c r="B391" i="2"/>
  <c r="D391" i="2"/>
  <c r="E391" i="2"/>
  <c r="F391" i="2"/>
  <c r="G391" i="2"/>
  <c r="H391" i="2"/>
  <c r="I391" i="2"/>
  <c r="L391" i="2"/>
  <c r="V391" i="2"/>
  <c r="W391" i="2"/>
  <c r="X391" i="2"/>
  <c r="Y391" i="2"/>
  <c r="AB391" i="2"/>
  <c r="AE391" i="2"/>
  <c r="AH391" i="2"/>
  <c r="AK391" i="2"/>
  <c r="B392" i="2"/>
  <c r="D392" i="2"/>
  <c r="Z392" i="2" s="1"/>
  <c r="E392" i="2"/>
  <c r="F392" i="2"/>
  <c r="G392" i="2"/>
  <c r="H392" i="2"/>
  <c r="I392" i="2"/>
  <c r="L392" i="2"/>
  <c r="X392" i="2" s="1"/>
  <c r="V392" i="2"/>
  <c r="W392" i="2"/>
  <c r="Y392" i="2"/>
  <c r="AB392" i="2"/>
  <c r="AE392" i="2"/>
  <c r="AG392" i="2"/>
  <c r="AH392" i="2"/>
  <c r="AI392" i="2"/>
  <c r="AK392" i="2"/>
  <c r="B393" i="2"/>
  <c r="D393" i="2"/>
  <c r="Z393" i="2" s="1"/>
  <c r="E393" i="2"/>
  <c r="AC393" i="2" s="1"/>
  <c r="F393" i="2"/>
  <c r="G393" i="2"/>
  <c r="H393" i="2"/>
  <c r="AI393" i="2" s="1"/>
  <c r="I393" i="2"/>
  <c r="AL393" i="2" s="1"/>
  <c r="L393" i="2"/>
  <c r="X393" i="2" s="1"/>
  <c r="V393" i="2"/>
  <c r="W393" i="2"/>
  <c r="Y393" i="2"/>
  <c r="AB393" i="2"/>
  <c r="AE393" i="2"/>
  <c r="AH393" i="2"/>
  <c r="AK393" i="2"/>
  <c r="B394" i="2"/>
  <c r="D394" i="2"/>
  <c r="E394" i="2"/>
  <c r="F394" i="2"/>
  <c r="G394" i="2"/>
  <c r="H394" i="2"/>
  <c r="I394" i="2"/>
  <c r="L394" i="2"/>
  <c r="X394" i="2" s="1"/>
  <c r="V394" i="2"/>
  <c r="W394" i="2"/>
  <c r="Y394" i="2"/>
  <c r="Z394" i="2"/>
  <c r="AB394" i="2"/>
  <c r="AC394" i="2"/>
  <c r="AE394" i="2"/>
  <c r="AH394" i="2"/>
  <c r="AK394" i="2"/>
  <c r="AL394" i="2"/>
  <c r="B395" i="2"/>
  <c r="D395" i="2"/>
  <c r="E395" i="2"/>
  <c r="F395" i="2"/>
  <c r="G395" i="2"/>
  <c r="H395" i="2"/>
  <c r="AF395" i="2" s="1"/>
  <c r="I395" i="2"/>
  <c r="L395" i="2"/>
  <c r="V395" i="2"/>
  <c r="W395" i="2"/>
  <c r="X395" i="2"/>
  <c r="AD395" i="2" s="1"/>
  <c r="Y395" i="2"/>
  <c r="Z395" i="2"/>
  <c r="AA395" i="2"/>
  <c r="AB395" i="2"/>
  <c r="AC395" i="2"/>
  <c r="AE395" i="2"/>
  <c r="AH395" i="2"/>
  <c r="AI395" i="2"/>
  <c r="AJ395" i="2"/>
  <c r="AK395" i="2"/>
  <c r="AL395" i="2"/>
  <c r="AM395" i="2"/>
  <c r="B396" i="2"/>
  <c r="D396" i="2"/>
  <c r="Z396" i="2" s="1"/>
  <c r="E396" i="2"/>
  <c r="AC396" i="2" s="1"/>
  <c r="F396" i="2"/>
  <c r="G396" i="2"/>
  <c r="H396" i="2"/>
  <c r="AF396" i="2" s="1"/>
  <c r="I396" i="2"/>
  <c r="L396" i="2"/>
  <c r="V396" i="2"/>
  <c r="W396" i="2"/>
  <c r="X396" i="2"/>
  <c r="Y396" i="2"/>
  <c r="AA396" i="2"/>
  <c r="AB396" i="2"/>
  <c r="AE396" i="2"/>
  <c r="AH396" i="2"/>
  <c r="AI396" i="2" s="1"/>
  <c r="AK396" i="2"/>
  <c r="AL396" i="2"/>
  <c r="B397" i="2"/>
  <c r="D397" i="2"/>
  <c r="E397" i="2"/>
  <c r="F397" i="2"/>
  <c r="G397" i="2"/>
  <c r="H397" i="2"/>
  <c r="I397" i="2"/>
  <c r="L397" i="2"/>
  <c r="V397" i="2"/>
  <c r="W397" i="2"/>
  <c r="X397" i="2"/>
  <c r="Y397" i="2"/>
  <c r="AB397" i="2"/>
  <c r="AE397" i="2"/>
  <c r="AH397" i="2"/>
  <c r="AI397" i="2"/>
  <c r="AJ397" i="2"/>
  <c r="AK397" i="2"/>
  <c r="B398" i="2"/>
  <c r="D398" i="2"/>
  <c r="E398" i="2"/>
  <c r="F398" i="2"/>
  <c r="G398" i="2"/>
  <c r="H398" i="2"/>
  <c r="I398" i="2"/>
  <c r="L398" i="2"/>
  <c r="X398" i="2" s="1"/>
  <c r="V398" i="2"/>
  <c r="W398" i="2"/>
  <c r="AC398" i="2" s="1"/>
  <c r="Y398" i="2"/>
  <c r="AB398" i="2"/>
  <c r="AE398" i="2"/>
  <c r="AH398" i="2"/>
  <c r="AK398" i="2"/>
  <c r="B399" i="2"/>
  <c r="D399" i="2"/>
  <c r="Z399" i="2" s="1"/>
  <c r="E399" i="2"/>
  <c r="AC399" i="2" s="1"/>
  <c r="F399" i="2"/>
  <c r="G399" i="2"/>
  <c r="H399" i="2"/>
  <c r="AI399" i="2" s="1"/>
  <c r="I399" i="2"/>
  <c r="AL399" i="2" s="1"/>
  <c r="L399" i="2"/>
  <c r="X399" i="2" s="1"/>
  <c r="V399" i="2"/>
  <c r="W399" i="2"/>
  <c r="Y399" i="2"/>
  <c r="AB399" i="2"/>
  <c r="AD399" i="2"/>
  <c r="AE399" i="2"/>
  <c r="AF399" i="2"/>
  <c r="AG399" i="2"/>
  <c r="AH399" i="2"/>
  <c r="AK399" i="2"/>
  <c r="B400" i="2"/>
  <c r="D400" i="2"/>
  <c r="E400" i="2"/>
  <c r="F400" i="2"/>
  <c r="G400" i="2"/>
  <c r="H400" i="2"/>
  <c r="I400" i="2"/>
  <c r="L400" i="2"/>
  <c r="X400" i="2" s="1"/>
  <c r="V400" i="2"/>
  <c r="W400" i="2"/>
  <c r="Y400" i="2"/>
  <c r="Z400" i="2"/>
  <c r="AB400" i="2"/>
  <c r="AC400" i="2"/>
  <c r="AE400" i="2"/>
  <c r="AH400" i="2"/>
  <c r="AK400" i="2"/>
  <c r="AL400" i="2"/>
  <c r="B401" i="2"/>
  <c r="D401" i="2"/>
  <c r="Z401" i="2" s="1"/>
  <c r="E401" i="2"/>
  <c r="F401" i="2"/>
  <c r="G401" i="2"/>
  <c r="H401" i="2"/>
  <c r="AF401" i="2" s="1"/>
  <c r="I401" i="2"/>
  <c r="L401" i="2"/>
  <c r="V401" i="2"/>
  <c r="W401" i="2"/>
  <c r="X401" i="2"/>
  <c r="AD401" i="2" s="1"/>
  <c r="Y401" i="2"/>
  <c r="AA401" i="2"/>
  <c r="AB401" i="2"/>
  <c r="AC401" i="2"/>
  <c r="AE401" i="2"/>
  <c r="AH401" i="2"/>
  <c r="AI401" i="2"/>
  <c r="AJ401" i="2"/>
  <c r="AK401" i="2"/>
  <c r="AL401" i="2"/>
  <c r="AM401" i="2"/>
  <c r="B402" i="2"/>
  <c r="D402" i="2"/>
  <c r="Z402" i="2" s="1"/>
  <c r="E402" i="2"/>
  <c r="AC402" i="2" s="1"/>
  <c r="F402" i="2"/>
  <c r="G402" i="2"/>
  <c r="H402" i="2"/>
  <c r="AF402" i="2" s="1"/>
  <c r="I402" i="2"/>
  <c r="L402" i="2"/>
  <c r="V402" i="2"/>
  <c r="W402" i="2"/>
  <c r="X402" i="2"/>
  <c r="AA402" i="2" s="1"/>
  <c r="Y402" i="2"/>
  <c r="AB402" i="2"/>
  <c r="AE402" i="2"/>
  <c r="AH402" i="2"/>
  <c r="AI402" i="2" s="1"/>
  <c r="AK402" i="2"/>
  <c r="AL402" i="2"/>
  <c r="B403" i="2"/>
  <c r="D403" i="2"/>
  <c r="E403" i="2"/>
  <c r="F403" i="2"/>
  <c r="G403" i="2"/>
  <c r="H403" i="2"/>
  <c r="I403" i="2"/>
  <c r="AL403" i="2" s="1"/>
  <c r="L403" i="2"/>
  <c r="V403" i="2"/>
  <c r="W403" i="2"/>
  <c r="X403" i="2"/>
  <c r="Y403" i="2"/>
  <c r="AB403" i="2"/>
  <c r="AE403" i="2"/>
  <c r="AH403" i="2"/>
  <c r="AI403" i="2" s="1"/>
  <c r="AJ403" i="2"/>
  <c r="AK403" i="2"/>
  <c r="B404" i="2"/>
  <c r="D404" i="2"/>
  <c r="Z404" i="2" s="1"/>
  <c r="E404" i="2"/>
  <c r="F404" i="2"/>
  <c r="G404" i="2"/>
  <c r="H404" i="2"/>
  <c r="I404" i="2"/>
  <c r="L404" i="2"/>
  <c r="X404" i="2" s="1"/>
  <c r="V404" i="2"/>
  <c r="W404" i="2"/>
  <c r="AC404" i="2" s="1"/>
  <c r="Y404" i="2"/>
  <c r="AB404" i="2"/>
  <c r="AE404" i="2"/>
  <c r="AF404" i="2"/>
  <c r="AH404" i="2"/>
  <c r="AK404" i="2"/>
  <c r="B405" i="2"/>
  <c r="D405" i="2"/>
  <c r="Z405" i="2" s="1"/>
  <c r="E405" i="2"/>
  <c r="AC405" i="2" s="1"/>
  <c r="F405" i="2"/>
  <c r="G405" i="2"/>
  <c r="H405" i="2"/>
  <c r="AI405" i="2" s="1"/>
  <c r="I405" i="2"/>
  <c r="AL405" i="2" s="1"/>
  <c r="L405" i="2"/>
  <c r="X405" i="2" s="1"/>
  <c r="V405" i="2"/>
  <c r="W405" i="2"/>
  <c r="Y405" i="2"/>
  <c r="AB405" i="2"/>
  <c r="AE405" i="2"/>
  <c r="AH405" i="2"/>
  <c r="AK405" i="2"/>
  <c r="B406" i="2"/>
  <c r="D406" i="2"/>
  <c r="E406" i="2"/>
  <c r="F406" i="2"/>
  <c r="G406" i="2"/>
  <c r="H406" i="2"/>
  <c r="I406" i="2"/>
  <c r="L406" i="2"/>
  <c r="X406" i="2" s="1"/>
  <c r="V406" i="2"/>
  <c r="W406" i="2"/>
  <c r="Y406" i="2"/>
  <c r="Z406" i="2"/>
  <c r="AB406" i="2"/>
  <c r="AC406" i="2"/>
  <c r="AE406" i="2"/>
  <c r="AH406" i="2"/>
  <c r="AK406" i="2"/>
  <c r="AL406" i="2"/>
  <c r="B407" i="2"/>
  <c r="D407" i="2"/>
  <c r="E407" i="2"/>
  <c r="F407" i="2"/>
  <c r="G407" i="2"/>
  <c r="H407" i="2"/>
  <c r="AF407" i="2" s="1"/>
  <c r="I407" i="2"/>
  <c r="L407" i="2"/>
  <c r="V407" i="2"/>
  <c r="W407" i="2"/>
  <c r="X407" i="2"/>
  <c r="AD407" i="2" s="1"/>
  <c r="Y407" i="2"/>
  <c r="Z407" i="2"/>
  <c r="AA407" i="2"/>
  <c r="AB407" i="2"/>
  <c r="AC407" i="2" s="1"/>
  <c r="AE407" i="2"/>
  <c r="AH407" i="2"/>
  <c r="AI407" i="2"/>
  <c r="AJ407" i="2"/>
  <c r="AK407" i="2"/>
  <c r="AL407" i="2"/>
  <c r="AM407" i="2"/>
  <c r="B408" i="2"/>
  <c r="D408" i="2"/>
  <c r="Z408" i="2" s="1"/>
  <c r="E408" i="2"/>
  <c r="AC408" i="2" s="1"/>
  <c r="F408" i="2"/>
  <c r="G408" i="2"/>
  <c r="H408" i="2"/>
  <c r="AF408" i="2" s="1"/>
  <c r="I408" i="2"/>
  <c r="L408" i="2"/>
  <c r="V408" i="2"/>
  <c r="W408" i="2"/>
  <c r="X408" i="2"/>
  <c r="Y408" i="2"/>
  <c r="AA408" i="2"/>
  <c r="AB408" i="2"/>
  <c r="AE408" i="2"/>
  <c r="AH408" i="2"/>
  <c r="AI408" i="2" s="1"/>
  <c r="AJ408" i="2"/>
  <c r="AK408" i="2"/>
  <c r="AL408" i="2"/>
  <c r="B409" i="2"/>
  <c r="D409" i="2"/>
  <c r="E409" i="2"/>
  <c r="F409" i="2"/>
  <c r="G409" i="2"/>
  <c r="H409" i="2"/>
  <c r="I409" i="2"/>
  <c r="L409" i="2"/>
  <c r="V409" i="2"/>
  <c r="W409" i="2"/>
  <c r="X409" i="2"/>
  <c r="Y409" i="2"/>
  <c r="AB409" i="2"/>
  <c r="AE409" i="2"/>
  <c r="AH409" i="2"/>
  <c r="AK409" i="2"/>
  <c r="B410" i="2"/>
  <c r="D410" i="2"/>
  <c r="Z410" i="2" s="1"/>
  <c r="E410" i="2"/>
  <c r="F410" i="2"/>
  <c r="G410" i="2"/>
  <c r="H410" i="2"/>
  <c r="I410" i="2"/>
  <c r="L410" i="2"/>
  <c r="X410" i="2" s="1"/>
  <c r="V410" i="2"/>
  <c r="W410" i="2"/>
  <c r="AC410" i="2" s="1"/>
  <c r="Y410" i="2"/>
  <c r="AB410" i="2"/>
  <c r="AD410" i="2"/>
  <c r="AE410" i="2"/>
  <c r="AF410" i="2"/>
  <c r="AG410" i="2"/>
  <c r="AH410" i="2"/>
  <c r="AI410" i="2" s="1"/>
  <c r="AK410" i="2"/>
  <c r="B411" i="2"/>
  <c r="D411" i="2"/>
  <c r="Z411" i="2" s="1"/>
  <c r="E411" i="2"/>
  <c r="AC411" i="2" s="1"/>
  <c r="F411" i="2"/>
  <c r="G411" i="2"/>
  <c r="H411" i="2"/>
  <c r="AI411" i="2" s="1"/>
  <c r="I411" i="2"/>
  <c r="AL411" i="2" s="1"/>
  <c r="L411" i="2"/>
  <c r="X411" i="2" s="1"/>
  <c r="V411" i="2"/>
  <c r="W411" i="2"/>
  <c r="Y411" i="2"/>
  <c r="AB411" i="2"/>
  <c r="AE411" i="2"/>
  <c r="AG411" i="2"/>
  <c r="AH411" i="2"/>
  <c r="AK411" i="2"/>
  <c r="B412" i="2"/>
  <c r="D412" i="2"/>
  <c r="E412" i="2"/>
  <c r="AC412" i="2" s="1"/>
  <c r="F412" i="2"/>
  <c r="G412" i="2"/>
  <c r="H412" i="2"/>
  <c r="I412" i="2"/>
  <c r="L412" i="2"/>
  <c r="X412" i="2" s="1"/>
  <c r="V412" i="2"/>
  <c r="W412" i="2"/>
  <c r="Y412" i="2"/>
  <c r="Z412" i="2"/>
  <c r="AB412" i="2"/>
  <c r="AD412" i="2"/>
  <c r="AE412" i="2"/>
  <c r="AH412" i="2"/>
  <c r="AK412" i="2"/>
  <c r="AL412" i="2"/>
  <c r="B413" i="2"/>
  <c r="D413" i="2"/>
  <c r="Z413" i="2" s="1"/>
  <c r="E413" i="2"/>
  <c r="AC413" i="2" s="1"/>
  <c r="F413" i="2"/>
  <c r="G413" i="2"/>
  <c r="H413" i="2"/>
  <c r="AF413" i="2" s="1"/>
  <c r="I413" i="2"/>
  <c r="L413" i="2"/>
  <c r="V413" i="2"/>
  <c r="W413" i="2"/>
  <c r="X413" i="2"/>
  <c r="Y413" i="2"/>
  <c r="AA413" i="2"/>
  <c r="AB413" i="2"/>
  <c r="AE413" i="2"/>
  <c r="AH413" i="2"/>
  <c r="AI413" i="2"/>
  <c r="AJ413" i="2"/>
  <c r="AK413" i="2"/>
  <c r="AL413" i="2"/>
  <c r="AM413" i="2"/>
  <c r="B414" i="2"/>
  <c r="D414" i="2"/>
  <c r="E414" i="2"/>
  <c r="AC414" i="2" s="1"/>
  <c r="F414" i="2"/>
  <c r="G414" i="2"/>
  <c r="H414" i="2"/>
  <c r="AF414" i="2" s="1"/>
  <c r="I414" i="2"/>
  <c r="L414" i="2"/>
  <c r="V414" i="2"/>
  <c r="W414" i="2"/>
  <c r="X414" i="2"/>
  <c r="AA414" i="2" s="1"/>
  <c r="Y414" i="2"/>
  <c r="Z414" i="2"/>
  <c r="AB414" i="2"/>
  <c r="AE414" i="2"/>
  <c r="AH414" i="2"/>
  <c r="AI414" i="2" s="1"/>
  <c r="AJ414" i="2"/>
  <c r="AK414" i="2"/>
  <c r="AL414" i="2"/>
  <c r="AM414" i="2"/>
  <c r="B415" i="2"/>
  <c r="D415" i="2"/>
  <c r="E415" i="2"/>
  <c r="F415" i="2"/>
  <c r="G415" i="2"/>
  <c r="H415" i="2"/>
  <c r="I415" i="2"/>
  <c r="L415" i="2"/>
  <c r="V415" i="2"/>
  <c r="W415" i="2"/>
  <c r="X415" i="2"/>
  <c r="Y415" i="2"/>
  <c r="AB415" i="2"/>
  <c r="AE415" i="2"/>
  <c r="AH415" i="2"/>
  <c r="AI415" i="2" s="1"/>
  <c r="AK415" i="2"/>
  <c r="B416" i="2"/>
  <c r="D416" i="2"/>
  <c r="Z416" i="2" s="1"/>
  <c r="E416" i="2"/>
  <c r="F416" i="2"/>
  <c r="G416" i="2"/>
  <c r="H416" i="2"/>
  <c r="I416" i="2"/>
  <c r="AL416" i="2" s="1"/>
  <c r="L416" i="2"/>
  <c r="X416" i="2" s="1"/>
  <c r="V416" i="2"/>
  <c r="W416" i="2"/>
  <c r="Y416" i="2"/>
  <c r="AB416" i="2"/>
  <c r="AC416" i="2"/>
  <c r="AD416" i="2"/>
  <c r="AE416" i="2"/>
  <c r="AF416" i="2"/>
  <c r="AG416" i="2"/>
  <c r="AH416" i="2"/>
  <c r="AI416" i="2" s="1"/>
  <c r="AK416" i="2"/>
  <c r="B417" i="2"/>
  <c r="D417" i="2"/>
  <c r="Z417" i="2" s="1"/>
  <c r="E417" i="2"/>
  <c r="F417" i="2"/>
  <c r="G417" i="2"/>
  <c r="H417" i="2"/>
  <c r="I417" i="2"/>
  <c r="AL417" i="2" s="1"/>
  <c r="L417" i="2"/>
  <c r="X417" i="2" s="1"/>
  <c r="AJ417" i="2" s="1"/>
  <c r="V417" i="2"/>
  <c r="W417" i="2"/>
  <c r="Y417" i="2"/>
  <c r="AB417" i="2"/>
  <c r="AE417" i="2"/>
  <c r="AF417" i="2"/>
  <c r="AH417" i="2"/>
  <c r="AK417" i="2"/>
  <c r="AM417" i="2"/>
  <c r="B418" i="2"/>
  <c r="D418" i="2"/>
  <c r="E418" i="2"/>
  <c r="F418" i="2"/>
  <c r="G418" i="2"/>
  <c r="H418" i="2"/>
  <c r="AI418" i="2" s="1"/>
  <c r="I418" i="2"/>
  <c r="L418" i="2"/>
  <c r="X418" i="2" s="1"/>
  <c r="V418" i="2"/>
  <c r="W418" i="2"/>
  <c r="Y418" i="2"/>
  <c r="Z418" i="2"/>
  <c r="AB418" i="2"/>
  <c r="AC418" i="2"/>
  <c r="AE418" i="2"/>
  <c r="AF418" i="2"/>
  <c r="AH418" i="2"/>
  <c r="AK418" i="2"/>
  <c r="AL418" i="2"/>
  <c r="B419" i="2"/>
  <c r="D419" i="2"/>
  <c r="Z419" i="2" s="1"/>
  <c r="E419" i="2"/>
  <c r="F419" i="2"/>
  <c r="G419" i="2"/>
  <c r="H419" i="2"/>
  <c r="AF419" i="2" s="1"/>
  <c r="I419" i="2"/>
  <c r="L419" i="2"/>
  <c r="V419" i="2"/>
  <c r="W419" i="2"/>
  <c r="X419" i="2"/>
  <c r="AG419" i="2" s="1"/>
  <c r="Y419" i="2"/>
  <c r="AA419" i="2"/>
  <c r="AB419" i="2"/>
  <c r="AC419" i="2"/>
  <c r="AD419" i="2"/>
  <c r="AE419" i="2"/>
  <c r="AH419" i="2"/>
  <c r="AI419" i="2"/>
  <c r="AJ419" i="2"/>
  <c r="AK419" i="2"/>
  <c r="AL419" i="2"/>
  <c r="AM419" i="2"/>
  <c r="B420" i="2"/>
  <c r="D420" i="2"/>
  <c r="Z420" i="2" s="1"/>
  <c r="E420" i="2"/>
  <c r="F420" i="2"/>
  <c r="G420" i="2"/>
  <c r="H420" i="2"/>
  <c r="AF420" i="2" s="1"/>
  <c r="I420" i="2"/>
  <c r="L420" i="2"/>
  <c r="V420" i="2"/>
  <c r="W420" i="2"/>
  <c r="X420" i="2"/>
  <c r="AD420" i="2" s="1"/>
  <c r="Y420" i="2"/>
  <c r="AA420" i="2"/>
  <c r="AB420" i="2"/>
  <c r="AE420" i="2"/>
  <c r="AG420" i="2"/>
  <c r="AH420" i="2"/>
  <c r="AI420" i="2" s="1"/>
  <c r="AK420" i="2"/>
  <c r="AL420" i="2" s="1"/>
  <c r="AM420" i="2"/>
  <c r="B421" i="2"/>
  <c r="D421" i="2"/>
  <c r="E421" i="2"/>
  <c r="F421" i="2"/>
  <c r="G421" i="2"/>
  <c r="H421" i="2"/>
  <c r="AF421" i="2" s="1"/>
  <c r="I421" i="2"/>
  <c r="AL421" i="2" s="1"/>
  <c r="L421" i="2"/>
  <c r="X421" i="2" s="1"/>
  <c r="V421" i="2"/>
  <c r="W421" i="2"/>
  <c r="AC421" i="2" s="1"/>
  <c r="Y421" i="2"/>
  <c r="Z421" i="2"/>
  <c r="AB421" i="2"/>
  <c r="AE421" i="2"/>
  <c r="AH421" i="2"/>
  <c r="AI421" i="2"/>
  <c r="AK421" i="2"/>
  <c r="B422" i="2"/>
  <c r="D422" i="2"/>
  <c r="Z422" i="2" s="1"/>
  <c r="E422" i="2"/>
  <c r="F422" i="2"/>
  <c r="G422" i="2"/>
  <c r="H422" i="2"/>
  <c r="I422" i="2"/>
  <c r="AL422" i="2" s="1"/>
  <c r="L422" i="2"/>
  <c r="X422" i="2" s="1"/>
  <c r="V422" i="2"/>
  <c r="W422" i="2"/>
  <c r="Y422" i="2"/>
  <c r="AB422" i="2"/>
  <c r="AC422" i="2"/>
  <c r="AE422" i="2"/>
  <c r="AF422" i="2"/>
  <c r="AH422" i="2"/>
  <c r="AI422" i="2"/>
  <c r="AK422" i="2"/>
  <c r="B423" i="2"/>
  <c r="D423" i="2"/>
  <c r="E423" i="2"/>
  <c r="AC423" i="2" s="1"/>
  <c r="F423" i="2"/>
  <c r="G423" i="2"/>
  <c r="H423" i="2"/>
  <c r="I423" i="2"/>
  <c r="L423" i="2"/>
  <c r="X423" i="2" s="1"/>
  <c r="AJ423" i="2" s="1"/>
  <c r="V423" i="2"/>
  <c r="W423" i="2"/>
  <c r="Y423" i="2"/>
  <c r="AB423" i="2"/>
  <c r="AE423" i="2"/>
  <c r="AH423" i="2"/>
  <c r="AK423" i="2"/>
  <c r="AM423" i="2"/>
  <c r="B424" i="2"/>
  <c r="D424" i="2"/>
  <c r="E424" i="2"/>
  <c r="F424" i="2"/>
  <c r="G424" i="2"/>
  <c r="H424" i="2"/>
  <c r="AI424" i="2" s="1"/>
  <c r="I424" i="2"/>
  <c r="L424" i="2"/>
  <c r="X424" i="2" s="1"/>
  <c r="V424" i="2"/>
  <c r="W424" i="2"/>
  <c r="AC424" i="2" s="1"/>
  <c r="Y424" i="2"/>
  <c r="Z424" i="2"/>
  <c r="AB424" i="2"/>
  <c r="AE424" i="2"/>
  <c r="AF424" i="2"/>
  <c r="AH424" i="2"/>
  <c r="AK424" i="2"/>
  <c r="AL424" i="2"/>
  <c r="AM424" i="2"/>
  <c r="B425" i="2"/>
  <c r="D425" i="2"/>
  <c r="E425" i="2"/>
  <c r="F425" i="2"/>
  <c r="G425" i="2"/>
  <c r="H425" i="2"/>
  <c r="I425" i="2"/>
  <c r="L425" i="2"/>
  <c r="V425" i="2"/>
  <c r="W425" i="2"/>
  <c r="AC425" i="2" s="1"/>
  <c r="X425" i="2"/>
  <c r="AA425" i="2" s="1"/>
  <c r="Y425" i="2"/>
  <c r="Z425" i="2"/>
  <c r="AB425" i="2"/>
  <c r="AE425" i="2"/>
  <c r="AG425" i="2"/>
  <c r="AH425" i="2"/>
  <c r="AK425" i="2"/>
  <c r="AL425" i="2"/>
  <c r="AM425" i="2"/>
  <c r="B426" i="2"/>
  <c r="D426" i="2"/>
  <c r="E426" i="2"/>
  <c r="AC426" i="2" s="1"/>
  <c r="F426" i="2"/>
  <c r="G426" i="2"/>
  <c r="H426" i="2"/>
  <c r="AF426" i="2" s="1"/>
  <c r="I426" i="2"/>
  <c r="L426" i="2"/>
  <c r="V426" i="2"/>
  <c r="W426" i="2"/>
  <c r="X426" i="2"/>
  <c r="AD426" i="2" s="1"/>
  <c r="Y426" i="2"/>
  <c r="AB426" i="2"/>
  <c r="AE426" i="2"/>
  <c r="AH426" i="2"/>
  <c r="AK426" i="2"/>
  <c r="AL426" i="2"/>
  <c r="AM426" i="2"/>
  <c r="B427" i="2"/>
  <c r="D427" i="2"/>
  <c r="Z427" i="2" s="1"/>
  <c r="E427" i="2"/>
  <c r="F427" i="2"/>
  <c r="G427" i="2"/>
  <c r="H427" i="2"/>
  <c r="AI427" i="2" s="1"/>
  <c r="I427" i="2"/>
  <c r="L427" i="2"/>
  <c r="V427" i="2"/>
  <c r="W427" i="2"/>
  <c r="AC427" i="2" s="1"/>
  <c r="X427" i="2"/>
  <c r="AD427" i="2" s="1"/>
  <c r="Y427" i="2"/>
  <c r="AB427" i="2"/>
  <c r="AE427" i="2"/>
  <c r="AF427" i="2"/>
  <c r="AH427" i="2"/>
  <c r="AK427" i="2"/>
  <c r="AL427" i="2"/>
  <c r="B428" i="2"/>
  <c r="D428" i="2"/>
  <c r="E428" i="2"/>
  <c r="F428" i="2"/>
  <c r="G428" i="2"/>
  <c r="H428" i="2"/>
  <c r="I428" i="2"/>
  <c r="L428" i="2"/>
  <c r="V428" i="2"/>
  <c r="W428" i="2"/>
  <c r="AC428" i="2" s="1"/>
  <c r="X428" i="2"/>
  <c r="Y428" i="2"/>
  <c r="AB428" i="2"/>
  <c r="AE428" i="2"/>
  <c r="AF428" i="2" s="1"/>
  <c r="AH428" i="2"/>
  <c r="AK428" i="2"/>
  <c r="B429" i="2"/>
  <c r="D429" i="2"/>
  <c r="E429" i="2"/>
  <c r="F429" i="2"/>
  <c r="G429" i="2"/>
  <c r="H429" i="2"/>
  <c r="AI429" i="2" s="1"/>
  <c r="I429" i="2"/>
  <c r="L429" i="2"/>
  <c r="X429" i="2" s="1"/>
  <c r="AJ429" i="2" s="1"/>
  <c r="V429" i="2"/>
  <c r="W429" i="2"/>
  <c r="AC429" i="2" s="1"/>
  <c r="Y429" i="2"/>
  <c r="AB429" i="2"/>
  <c r="AE429" i="2"/>
  <c r="AG429" i="2"/>
  <c r="AH429" i="2"/>
  <c r="AK429" i="2"/>
  <c r="AM429" i="2"/>
  <c r="B430" i="2"/>
  <c r="D430" i="2"/>
  <c r="E430" i="2"/>
  <c r="F430" i="2"/>
  <c r="G430" i="2"/>
  <c r="H430" i="2"/>
  <c r="I430" i="2"/>
  <c r="AL430" i="2" s="1"/>
  <c r="L430" i="2"/>
  <c r="X430" i="2" s="1"/>
  <c r="AJ430" i="2" s="1"/>
  <c r="V430" i="2"/>
  <c r="W430" i="2"/>
  <c r="AC430" i="2" s="1"/>
  <c r="Y430" i="2"/>
  <c r="Z430" i="2"/>
  <c r="AA430" i="2"/>
  <c r="AB430" i="2"/>
  <c r="AE430" i="2"/>
  <c r="AG430" i="2"/>
  <c r="AH430" i="2"/>
  <c r="AI430" i="2"/>
  <c r="AK430" i="2"/>
  <c r="AM430" i="2"/>
  <c r="B431" i="2"/>
  <c r="D431" i="2"/>
  <c r="E431" i="2"/>
  <c r="F431" i="2"/>
  <c r="G431" i="2"/>
  <c r="H431" i="2"/>
  <c r="I431" i="2"/>
  <c r="L431" i="2"/>
  <c r="V431" i="2"/>
  <c r="W431" i="2"/>
  <c r="AC431" i="2" s="1"/>
  <c r="X431" i="2"/>
  <c r="AA431" i="2" s="1"/>
  <c r="Y431" i="2"/>
  <c r="Z431" i="2"/>
  <c r="AB431" i="2"/>
  <c r="AE431" i="2"/>
  <c r="AG431" i="2"/>
  <c r="AH431" i="2"/>
  <c r="AK431" i="2"/>
  <c r="AL431" i="2"/>
  <c r="AM431" i="2"/>
  <c r="B432" i="2"/>
  <c r="D432" i="2"/>
  <c r="Z432" i="2" s="1"/>
  <c r="E432" i="2"/>
  <c r="AC432" i="2" s="1"/>
  <c r="F432" i="2"/>
  <c r="G432" i="2"/>
  <c r="H432" i="2"/>
  <c r="AF432" i="2" s="1"/>
  <c r="I432" i="2"/>
  <c r="L432" i="2"/>
  <c r="V432" i="2"/>
  <c r="W432" i="2"/>
  <c r="X432" i="2"/>
  <c r="AD432" i="2" s="1"/>
  <c r="Y432" i="2"/>
  <c r="AB432" i="2"/>
  <c r="AE432" i="2"/>
  <c r="AH432" i="2"/>
  <c r="AK432" i="2"/>
  <c r="AL432" i="2"/>
  <c r="AM432" i="2"/>
  <c r="B433" i="2"/>
  <c r="D433" i="2"/>
  <c r="Z433" i="2" s="1"/>
  <c r="E433" i="2"/>
  <c r="F433" i="2"/>
  <c r="G433" i="2"/>
  <c r="H433" i="2"/>
  <c r="AI433" i="2" s="1"/>
  <c r="I433" i="2"/>
  <c r="L433" i="2"/>
  <c r="V433" i="2"/>
  <c r="W433" i="2"/>
  <c r="AC433" i="2" s="1"/>
  <c r="X433" i="2"/>
  <c r="AD433" i="2" s="1"/>
  <c r="Y433" i="2"/>
  <c r="AB433" i="2"/>
  <c r="AE433" i="2"/>
  <c r="AF433" i="2"/>
  <c r="AH433" i="2"/>
  <c r="AK433" i="2"/>
  <c r="AL433" i="2"/>
  <c r="B434" i="2"/>
  <c r="D434" i="2"/>
  <c r="E434" i="2"/>
  <c r="F434" i="2"/>
  <c r="G434" i="2"/>
  <c r="H434" i="2"/>
  <c r="I434" i="2"/>
  <c r="L434" i="2"/>
  <c r="V434" i="2"/>
  <c r="W434" i="2"/>
  <c r="AC434" i="2" s="1"/>
  <c r="X434" i="2"/>
  <c r="Y434" i="2"/>
  <c r="AB434" i="2"/>
  <c r="AE434" i="2"/>
  <c r="AF434" i="2" s="1"/>
  <c r="AH434" i="2"/>
  <c r="AK434" i="2"/>
  <c r="B435" i="2"/>
  <c r="D435" i="2"/>
  <c r="E435" i="2"/>
  <c r="F435" i="2"/>
  <c r="G435" i="2"/>
  <c r="H435" i="2"/>
  <c r="AI435" i="2" s="1"/>
  <c r="I435" i="2"/>
  <c r="L435" i="2"/>
  <c r="X435" i="2" s="1"/>
  <c r="AJ435" i="2" s="1"/>
  <c r="V435" i="2"/>
  <c r="W435" i="2"/>
  <c r="AC435" i="2" s="1"/>
  <c r="Y435" i="2"/>
  <c r="AB435" i="2"/>
  <c r="AE435" i="2"/>
  <c r="AG435" i="2"/>
  <c r="AH435" i="2"/>
  <c r="AK435" i="2"/>
  <c r="AM435" i="2"/>
  <c r="B436" i="2"/>
  <c r="D436" i="2"/>
  <c r="E436" i="2"/>
  <c r="F436" i="2"/>
  <c r="G436" i="2"/>
  <c r="H436" i="2"/>
  <c r="I436" i="2"/>
  <c r="AL436" i="2" s="1"/>
  <c r="L436" i="2"/>
  <c r="X436" i="2" s="1"/>
  <c r="AJ436" i="2" s="1"/>
  <c r="V436" i="2"/>
  <c r="W436" i="2"/>
  <c r="AC436" i="2" s="1"/>
  <c r="Y436" i="2"/>
  <c r="Z436" i="2"/>
  <c r="AA436" i="2"/>
  <c r="AB436" i="2"/>
  <c r="AE436" i="2"/>
  <c r="AG436" i="2"/>
  <c r="AH436" i="2"/>
  <c r="AI436" i="2"/>
  <c r="AK436" i="2"/>
  <c r="AM436" i="2"/>
  <c r="B437" i="2"/>
  <c r="D437" i="2"/>
  <c r="E437" i="2"/>
  <c r="F437" i="2"/>
  <c r="G437" i="2"/>
  <c r="H437" i="2"/>
  <c r="I437" i="2"/>
  <c r="L437" i="2"/>
  <c r="V437" i="2"/>
  <c r="W437" i="2"/>
  <c r="AC437" i="2" s="1"/>
  <c r="X437" i="2"/>
  <c r="AA437" i="2" s="1"/>
  <c r="Y437" i="2"/>
  <c r="Z437" i="2"/>
  <c r="AB437" i="2"/>
  <c r="AE437" i="2"/>
  <c r="AG437" i="2"/>
  <c r="AH437" i="2"/>
  <c r="AI437" i="2"/>
  <c r="AK437" i="2"/>
  <c r="AL437" i="2"/>
  <c r="AM437" i="2"/>
  <c r="B438" i="2"/>
  <c r="D438" i="2"/>
  <c r="E438" i="2"/>
  <c r="AC438" i="2" s="1"/>
  <c r="F438" i="2"/>
  <c r="G438" i="2"/>
  <c r="H438" i="2"/>
  <c r="AF438" i="2" s="1"/>
  <c r="I438" i="2"/>
  <c r="L438" i="2"/>
  <c r="V438" i="2"/>
  <c r="W438" i="2"/>
  <c r="X438" i="2"/>
  <c r="AD438" i="2" s="1"/>
  <c r="Y438" i="2"/>
  <c r="AB438" i="2"/>
  <c r="AE438" i="2"/>
  <c r="AH438" i="2"/>
  <c r="AK438" i="2"/>
  <c r="AL438" i="2"/>
  <c r="AM438" i="2"/>
  <c r="B439" i="2"/>
  <c r="D439" i="2"/>
  <c r="Z439" i="2" s="1"/>
  <c r="E439" i="2"/>
  <c r="F439" i="2"/>
  <c r="G439" i="2"/>
  <c r="H439" i="2"/>
  <c r="AI439" i="2" s="1"/>
  <c r="I439" i="2"/>
  <c r="L439" i="2"/>
  <c r="V439" i="2"/>
  <c r="W439" i="2"/>
  <c r="AC439" i="2" s="1"/>
  <c r="X439" i="2"/>
  <c r="AD439" i="2" s="1"/>
  <c r="Y439" i="2"/>
  <c r="AB439" i="2"/>
  <c r="AE439" i="2"/>
  <c r="AF439" i="2"/>
  <c r="AH439" i="2"/>
  <c r="AK439" i="2"/>
  <c r="AL439" i="2"/>
  <c r="B440" i="2"/>
  <c r="D440" i="2"/>
  <c r="E440" i="2"/>
  <c r="F440" i="2"/>
  <c r="G440" i="2"/>
  <c r="H440" i="2"/>
  <c r="I440" i="2"/>
  <c r="L440" i="2"/>
  <c r="V440" i="2"/>
  <c r="W440" i="2"/>
  <c r="AC440" i="2" s="1"/>
  <c r="X440" i="2"/>
  <c r="Y440" i="2"/>
  <c r="AB440" i="2"/>
  <c r="AE440" i="2"/>
  <c r="AF440" i="2" s="1"/>
  <c r="AH440" i="2"/>
  <c r="AK440" i="2"/>
  <c r="B441" i="2"/>
  <c r="D441" i="2"/>
  <c r="E441" i="2"/>
  <c r="F441" i="2"/>
  <c r="G441" i="2"/>
  <c r="H441" i="2"/>
  <c r="AI441" i="2" s="1"/>
  <c r="I441" i="2"/>
  <c r="L441" i="2"/>
  <c r="X441" i="2" s="1"/>
  <c r="AJ441" i="2" s="1"/>
  <c r="V441" i="2"/>
  <c r="W441" i="2"/>
  <c r="AC441" i="2" s="1"/>
  <c r="Y441" i="2"/>
  <c r="AB441" i="2"/>
  <c r="AE441" i="2"/>
  <c r="AG441" i="2"/>
  <c r="AH441" i="2"/>
  <c r="AK441" i="2"/>
  <c r="AM441" i="2"/>
  <c r="B442" i="2"/>
  <c r="D442" i="2"/>
  <c r="E442" i="2"/>
  <c r="F442" i="2"/>
  <c r="G442" i="2"/>
  <c r="H442" i="2"/>
  <c r="I442" i="2"/>
  <c r="AL442" i="2" s="1"/>
  <c r="L442" i="2"/>
  <c r="X442" i="2" s="1"/>
  <c r="AJ442" i="2" s="1"/>
  <c r="V442" i="2"/>
  <c r="W442" i="2"/>
  <c r="AF442" i="2" s="1"/>
  <c r="Y442" i="2"/>
  <c r="Z442" i="2"/>
  <c r="AA442" i="2"/>
  <c r="AB442" i="2"/>
  <c r="AC442" i="2"/>
  <c r="AE442" i="2"/>
  <c r="AG442" i="2"/>
  <c r="AH442" i="2"/>
  <c r="AI442" i="2"/>
  <c r="AK442" i="2"/>
  <c r="AM442" i="2"/>
  <c r="B443" i="2"/>
  <c r="D443" i="2"/>
  <c r="E443" i="2"/>
  <c r="F443" i="2"/>
  <c r="G443" i="2"/>
  <c r="H443" i="2"/>
  <c r="I443" i="2"/>
  <c r="L443" i="2"/>
  <c r="V443" i="2"/>
  <c r="W443" i="2"/>
  <c r="X443" i="2"/>
  <c r="AA443" i="2" s="1"/>
  <c r="Y443" i="2"/>
  <c r="Z443" i="2"/>
  <c r="AB443" i="2"/>
  <c r="AC443" i="2"/>
  <c r="AE443" i="2"/>
  <c r="AG443" i="2"/>
  <c r="AH443" i="2"/>
  <c r="AI443" i="2"/>
  <c r="AK443" i="2"/>
  <c r="AL443" i="2"/>
  <c r="AM443" i="2"/>
  <c r="B444" i="2"/>
  <c r="D444" i="2"/>
  <c r="Z444" i="2" s="1"/>
  <c r="E444" i="2"/>
  <c r="AC444" i="2" s="1"/>
  <c r="F444" i="2"/>
  <c r="G444" i="2"/>
  <c r="H444" i="2"/>
  <c r="AF444" i="2" s="1"/>
  <c r="I444" i="2"/>
  <c r="L444" i="2"/>
  <c r="V444" i="2"/>
  <c r="W444" i="2"/>
  <c r="X444" i="2"/>
  <c r="AD444" i="2" s="1"/>
  <c r="Y444" i="2"/>
  <c r="AB444" i="2"/>
  <c r="AE444" i="2"/>
  <c r="AH444" i="2"/>
  <c r="AK444" i="2"/>
  <c r="AL444" i="2"/>
  <c r="AM444" i="2"/>
  <c r="B445" i="2"/>
  <c r="D445" i="2"/>
  <c r="Z445" i="2" s="1"/>
  <c r="E445" i="2"/>
  <c r="F445" i="2"/>
  <c r="G445" i="2"/>
  <c r="H445" i="2"/>
  <c r="AI445" i="2" s="1"/>
  <c r="I445" i="2"/>
  <c r="L445" i="2"/>
  <c r="V445" i="2"/>
  <c r="W445" i="2"/>
  <c r="AC445" i="2" s="1"/>
  <c r="X445" i="2"/>
  <c r="AD445" i="2" s="1"/>
  <c r="Y445" i="2"/>
  <c r="AB445" i="2"/>
  <c r="AE445" i="2"/>
  <c r="AF445" i="2"/>
  <c r="AH445" i="2"/>
  <c r="AK445" i="2"/>
  <c r="AL445" i="2"/>
  <c r="B446" i="2"/>
  <c r="D446" i="2"/>
  <c r="E446" i="2"/>
  <c r="F446" i="2"/>
  <c r="G446" i="2"/>
  <c r="H446" i="2"/>
  <c r="I446" i="2"/>
  <c r="L446" i="2"/>
  <c r="V446" i="2"/>
  <c r="W446" i="2"/>
  <c r="AI446" i="2" s="1"/>
  <c r="X446" i="2"/>
  <c r="Y446" i="2"/>
  <c r="AB446" i="2"/>
  <c r="AC446" i="2" s="1"/>
  <c r="AE446" i="2"/>
  <c r="AF446" i="2" s="1"/>
  <c r="AH446" i="2"/>
  <c r="AK446" i="2"/>
  <c r="B447" i="2"/>
  <c r="D447" i="2"/>
  <c r="E447" i="2"/>
  <c r="F447" i="2"/>
  <c r="G447" i="2"/>
  <c r="H447" i="2"/>
  <c r="I447" i="2"/>
  <c r="L447" i="2"/>
  <c r="X447" i="2" s="1"/>
  <c r="AJ447" i="2" s="1"/>
  <c r="V447" i="2"/>
  <c r="W447" i="2"/>
  <c r="AI447" i="2" s="1"/>
  <c r="Y447" i="2"/>
  <c r="AA447" i="2"/>
  <c r="AB447" i="2"/>
  <c r="AC447" i="2" s="1"/>
  <c r="AD447" i="2"/>
  <c r="AE447" i="2"/>
  <c r="AF447" i="2" s="1"/>
  <c r="AG447" i="2"/>
  <c r="AH447" i="2"/>
  <c r="AK447" i="2"/>
  <c r="AL447" i="2"/>
  <c r="B448" i="2"/>
  <c r="D448" i="2"/>
  <c r="Z448" i="2" s="1"/>
  <c r="E448" i="2"/>
  <c r="F448" i="2"/>
  <c r="G448" i="2"/>
  <c r="H448" i="2"/>
  <c r="AF448" i="2" s="1"/>
  <c r="I448" i="2"/>
  <c r="AL448" i="2" s="1"/>
  <c r="L448" i="2"/>
  <c r="V448" i="2"/>
  <c r="W448" i="2"/>
  <c r="AC448" i="2" s="1"/>
  <c r="X448" i="2"/>
  <c r="Y448" i="2"/>
  <c r="AB448" i="2"/>
  <c r="AE448" i="2"/>
  <c r="AH448" i="2"/>
  <c r="AI448" i="2"/>
  <c r="AJ448" i="2"/>
  <c r="AK448" i="2"/>
  <c r="B449" i="2"/>
  <c r="D449" i="2"/>
  <c r="Z449" i="2" s="1"/>
  <c r="E449" i="2"/>
  <c r="AC449" i="2" s="1"/>
  <c r="F449" i="2"/>
  <c r="G449" i="2"/>
  <c r="H449" i="2"/>
  <c r="I449" i="2"/>
  <c r="L449" i="2"/>
  <c r="X449" i="2" s="1"/>
  <c r="V449" i="2"/>
  <c r="W449" i="2"/>
  <c r="Y449" i="2"/>
  <c r="AB449" i="2"/>
  <c r="AE449" i="2"/>
  <c r="AH449" i="2"/>
  <c r="AI449" i="2"/>
  <c r="AK449" i="2"/>
  <c r="AL449" i="2"/>
  <c r="B450" i="2"/>
  <c r="D450" i="2"/>
  <c r="Z450" i="2" s="1"/>
  <c r="E450" i="2"/>
  <c r="AC450" i="2" s="1"/>
  <c r="F450" i="2"/>
  <c r="G450" i="2"/>
  <c r="H450" i="2"/>
  <c r="AI450" i="2" s="1"/>
  <c r="I450" i="2"/>
  <c r="AL450" i="2" s="1"/>
  <c r="L450" i="2"/>
  <c r="X450" i="2" s="1"/>
  <c r="V450" i="2"/>
  <c r="W450" i="2"/>
  <c r="Y450" i="2"/>
  <c r="AB450" i="2"/>
  <c r="AE450" i="2"/>
  <c r="AF450" i="2"/>
  <c r="AH450" i="2"/>
  <c r="AK450" i="2"/>
  <c r="B451" i="2"/>
  <c r="D451" i="2"/>
  <c r="E451" i="2"/>
  <c r="F451" i="2"/>
  <c r="G451" i="2"/>
  <c r="H451" i="2"/>
  <c r="AI451" i="2" s="1"/>
  <c r="I451" i="2"/>
  <c r="AL451" i="2" s="1"/>
  <c r="L451" i="2"/>
  <c r="X451" i="2" s="1"/>
  <c r="V451" i="2"/>
  <c r="W451" i="2"/>
  <c r="AC451" i="2" s="1"/>
  <c r="Y451" i="2"/>
  <c r="Z451" i="2"/>
  <c r="AB451" i="2"/>
  <c r="AE451" i="2"/>
  <c r="AF451" i="2"/>
  <c r="AH451" i="2"/>
  <c r="AK451" i="2"/>
  <c r="B452" i="2"/>
  <c r="D452" i="2"/>
  <c r="E452" i="2"/>
  <c r="F452" i="2"/>
  <c r="G452" i="2"/>
  <c r="H452" i="2"/>
  <c r="AI452" i="2" s="1"/>
  <c r="I452" i="2"/>
  <c r="L452" i="2"/>
  <c r="V452" i="2"/>
  <c r="W452" i="2"/>
  <c r="X452" i="2"/>
  <c r="AG452" i="2" s="1"/>
  <c r="Y452" i="2"/>
  <c r="AB452" i="2"/>
  <c r="AC452" i="2"/>
  <c r="AD452" i="2"/>
  <c r="AE452" i="2"/>
  <c r="AF452" i="2" s="1"/>
  <c r="AH452" i="2"/>
  <c r="AK452" i="2"/>
  <c r="AL452" i="2" s="1"/>
  <c r="B453" i="2"/>
  <c r="D453" i="2"/>
  <c r="Z453" i="2" s="1"/>
  <c r="E453" i="2"/>
  <c r="F453" i="2"/>
  <c r="G453" i="2"/>
  <c r="H453" i="2"/>
  <c r="I453" i="2"/>
  <c r="AL453" i="2" s="1"/>
  <c r="L453" i="2"/>
  <c r="V453" i="2"/>
  <c r="W453" i="2"/>
  <c r="AF453" i="2" s="1"/>
  <c r="X453" i="2"/>
  <c r="AD453" i="2" s="1"/>
  <c r="Y453" i="2"/>
  <c r="AA453" i="2"/>
  <c r="AB453" i="2"/>
  <c r="AC453" i="2"/>
  <c r="AE453" i="2"/>
  <c r="AH453" i="2"/>
  <c r="AI453" i="2"/>
  <c r="AJ453" i="2"/>
  <c r="AK453" i="2"/>
  <c r="AM453" i="2"/>
  <c r="B454" i="2"/>
  <c r="D454" i="2"/>
  <c r="Z454" i="2" s="1"/>
  <c r="E454" i="2"/>
  <c r="F454" i="2"/>
  <c r="G454" i="2"/>
  <c r="H454" i="2"/>
  <c r="I454" i="2"/>
  <c r="L454" i="2"/>
  <c r="X454" i="2" s="1"/>
  <c r="V454" i="2"/>
  <c r="W454" i="2"/>
  <c r="Y454" i="2"/>
  <c r="AB454" i="2"/>
  <c r="AC454" i="2"/>
  <c r="AE454" i="2"/>
  <c r="AF454" i="2"/>
  <c r="AH454" i="2"/>
  <c r="AI454" i="2" s="1"/>
  <c r="AK454" i="2"/>
  <c r="AL454" i="2"/>
  <c r="AM454" i="2"/>
  <c r="B455" i="2"/>
  <c r="D455" i="2"/>
  <c r="Z455" i="2" s="1"/>
  <c r="E455" i="2"/>
  <c r="AC455" i="2" s="1"/>
  <c r="F455" i="2"/>
  <c r="G455" i="2"/>
  <c r="H455" i="2"/>
  <c r="AF455" i="2" s="1"/>
  <c r="I455" i="2"/>
  <c r="L455" i="2"/>
  <c r="V455" i="2"/>
  <c r="W455" i="2"/>
  <c r="X455" i="2"/>
  <c r="AA455" i="2" s="1"/>
  <c r="Y455" i="2"/>
  <c r="AB455" i="2"/>
  <c r="AE455" i="2"/>
  <c r="AH455" i="2"/>
  <c r="AJ455" i="2"/>
  <c r="AK455" i="2"/>
  <c r="B456" i="2"/>
  <c r="D456" i="2"/>
  <c r="E456" i="2"/>
  <c r="F456" i="2"/>
  <c r="G456" i="2"/>
  <c r="H456" i="2"/>
  <c r="I456" i="2"/>
  <c r="L456" i="2"/>
  <c r="X456" i="2" s="1"/>
  <c r="V456" i="2"/>
  <c r="W456" i="2"/>
  <c r="Y456" i="2"/>
  <c r="AB456" i="2"/>
  <c r="AE456" i="2"/>
  <c r="AH456" i="2"/>
  <c r="AK456" i="2"/>
  <c r="B457" i="2"/>
  <c r="D457" i="2"/>
  <c r="Z457" i="2" s="1"/>
  <c r="E457" i="2"/>
  <c r="AC457" i="2" s="1"/>
  <c r="F457" i="2"/>
  <c r="G457" i="2"/>
  <c r="H457" i="2"/>
  <c r="AI457" i="2" s="1"/>
  <c r="I457" i="2"/>
  <c r="AL457" i="2" s="1"/>
  <c r="L457" i="2"/>
  <c r="X457" i="2" s="1"/>
  <c r="V457" i="2"/>
  <c r="W457" i="2"/>
  <c r="Y457" i="2"/>
  <c r="AB457" i="2"/>
  <c r="AE457" i="2"/>
  <c r="AF457" i="2"/>
  <c r="AG457" i="2"/>
  <c r="AH457" i="2"/>
  <c r="AK457" i="2"/>
  <c r="B458" i="2"/>
  <c r="D458" i="2"/>
  <c r="E458" i="2"/>
  <c r="F458" i="2"/>
  <c r="G458" i="2"/>
  <c r="H458" i="2"/>
  <c r="I458" i="2"/>
  <c r="L458" i="2"/>
  <c r="V458" i="2"/>
  <c r="W458" i="2"/>
  <c r="X458" i="2"/>
  <c r="AG458" i="2" s="1"/>
  <c r="Y458" i="2"/>
  <c r="Z458" i="2" s="1"/>
  <c r="AB458" i="2"/>
  <c r="AC458" i="2"/>
  <c r="AD458" i="2"/>
  <c r="AE458" i="2"/>
  <c r="AH458" i="2"/>
  <c r="AJ458" i="2"/>
  <c r="AK458" i="2"/>
  <c r="AL458" i="2" s="1"/>
  <c r="B459" i="2"/>
  <c r="D459" i="2"/>
  <c r="Z459" i="2" s="1"/>
  <c r="E459" i="2"/>
  <c r="F459" i="2"/>
  <c r="G459" i="2"/>
  <c r="H459" i="2"/>
  <c r="I459" i="2"/>
  <c r="AL459" i="2" s="1"/>
  <c r="L459" i="2"/>
  <c r="V459" i="2"/>
  <c r="W459" i="2"/>
  <c r="AF459" i="2" s="1"/>
  <c r="X459" i="2"/>
  <c r="AD459" i="2" s="1"/>
  <c r="Y459" i="2"/>
  <c r="AA459" i="2"/>
  <c r="AB459" i="2"/>
  <c r="AC459" i="2"/>
  <c r="AE459" i="2"/>
  <c r="AH459" i="2"/>
  <c r="AI459" i="2"/>
  <c r="AJ459" i="2"/>
  <c r="AK459" i="2"/>
  <c r="AM459" i="2"/>
  <c r="B460" i="2"/>
  <c r="D460" i="2"/>
  <c r="Z460" i="2" s="1"/>
  <c r="E460" i="2"/>
  <c r="F460" i="2"/>
  <c r="G460" i="2"/>
  <c r="H460" i="2"/>
  <c r="I460" i="2"/>
  <c r="L460" i="2"/>
  <c r="X460" i="2" s="1"/>
  <c r="V460" i="2"/>
  <c r="W460" i="2"/>
  <c r="Y460" i="2"/>
  <c r="AB460" i="2"/>
  <c r="AC460" i="2"/>
  <c r="AE460" i="2"/>
  <c r="AF460" i="2"/>
  <c r="AH460" i="2"/>
  <c r="AI460" i="2" s="1"/>
  <c r="AK460" i="2"/>
  <c r="AL460" i="2"/>
  <c r="B461" i="2"/>
  <c r="D461" i="2"/>
  <c r="E461" i="2"/>
  <c r="AC461" i="2" s="1"/>
  <c r="F461" i="2"/>
  <c r="G461" i="2"/>
  <c r="H461" i="2"/>
  <c r="AF461" i="2" s="1"/>
  <c r="I461" i="2"/>
  <c r="AL461" i="2" s="1"/>
  <c r="L461" i="2"/>
  <c r="V461" i="2"/>
  <c r="W461" i="2"/>
  <c r="X461" i="2"/>
  <c r="AA461" i="2" s="1"/>
  <c r="Y461" i="2"/>
  <c r="AB461" i="2"/>
  <c r="AE461" i="2"/>
  <c r="AH461" i="2"/>
  <c r="AJ461" i="2"/>
  <c r="AK461" i="2"/>
  <c r="B462" i="2"/>
  <c r="D462" i="2"/>
  <c r="E462" i="2"/>
  <c r="F462" i="2"/>
  <c r="G462" i="2"/>
  <c r="H462" i="2"/>
  <c r="I462" i="2"/>
  <c r="L462" i="2"/>
  <c r="X462" i="2" s="1"/>
  <c r="V462" i="2"/>
  <c r="W462" i="2"/>
  <c r="Y462" i="2"/>
  <c r="AB462" i="2"/>
  <c r="AE462" i="2"/>
  <c r="AH462" i="2"/>
  <c r="AI462" i="2"/>
  <c r="AK462" i="2"/>
  <c r="B463" i="2"/>
  <c r="D463" i="2"/>
  <c r="Z463" i="2" s="1"/>
  <c r="E463" i="2"/>
  <c r="AC463" i="2" s="1"/>
  <c r="F463" i="2"/>
  <c r="G463" i="2"/>
  <c r="H463" i="2"/>
  <c r="AI463" i="2" s="1"/>
  <c r="I463" i="2"/>
  <c r="AL463" i="2" s="1"/>
  <c r="L463" i="2"/>
  <c r="X463" i="2" s="1"/>
  <c r="V463" i="2"/>
  <c r="W463" i="2"/>
  <c r="Y463" i="2"/>
  <c r="AB463" i="2"/>
  <c r="AE463" i="2"/>
  <c r="AF463" i="2"/>
  <c r="AG463" i="2"/>
  <c r="AH463" i="2"/>
  <c r="AK463" i="2"/>
  <c r="B464" i="2"/>
  <c r="D464" i="2"/>
  <c r="E464" i="2"/>
  <c r="F464" i="2"/>
  <c r="G464" i="2"/>
  <c r="H464" i="2"/>
  <c r="I464" i="2"/>
  <c r="L464" i="2"/>
  <c r="V464" i="2"/>
  <c r="W464" i="2"/>
  <c r="X464" i="2"/>
  <c r="AG464" i="2" s="1"/>
  <c r="Y464" i="2"/>
  <c r="Z464" i="2" s="1"/>
  <c r="AB464" i="2"/>
  <c r="AC464" i="2"/>
  <c r="AD464" i="2"/>
  <c r="AE464" i="2"/>
  <c r="AH464" i="2"/>
  <c r="AJ464" i="2"/>
  <c r="AK464" i="2"/>
  <c r="AL464" i="2" s="1"/>
  <c r="B465" i="2"/>
  <c r="D465" i="2"/>
  <c r="Z465" i="2" s="1"/>
  <c r="E465" i="2"/>
  <c r="F465" i="2"/>
  <c r="G465" i="2"/>
  <c r="H465" i="2"/>
  <c r="I465" i="2"/>
  <c r="AL465" i="2" s="1"/>
  <c r="L465" i="2"/>
  <c r="V465" i="2"/>
  <c r="W465" i="2"/>
  <c r="AF465" i="2" s="1"/>
  <c r="X465" i="2"/>
  <c r="AD465" i="2" s="1"/>
  <c r="Y465" i="2"/>
  <c r="AB465" i="2"/>
  <c r="AC465" i="2"/>
  <c r="AE465" i="2"/>
  <c r="AH465" i="2"/>
  <c r="AI465" i="2"/>
  <c r="AJ465" i="2"/>
  <c r="AK465" i="2"/>
  <c r="B466" i="2"/>
  <c r="D466" i="2"/>
  <c r="Z466" i="2" s="1"/>
  <c r="E466" i="2"/>
  <c r="AC466" i="2" s="1"/>
  <c r="F466" i="2"/>
  <c r="G466" i="2"/>
  <c r="H466" i="2"/>
  <c r="I466" i="2"/>
  <c r="L466" i="2"/>
  <c r="X466" i="2" s="1"/>
  <c r="V466" i="2"/>
  <c r="W466" i="2"/>
  <c r="Y466" i="2"/>
  <c r="AB466" i="2"/>
  <c r="AE466" i="2"/>
  <c r="AF466" i="2"/>
  <c r="AH466" i="2"/>
  <c r="AI466" i="2" s="1"/>
  <c r="AK466" i="2"/>
  <c r="AL466" i="2"/>
  <c r="B467" i="2"/>
  <c r="D467" i="2"/>
  <c r="E467" i="2"/>
  <c r="AC467" i="2" s="1"/>
  <c r="F467" i="2"/>
  <c r="G467" i="2"/>
  <c r="H467" i="2"/>
  <c r="AF467" i="2" s="1"/>
  <c r="I467" i="2"/>
  <c r="AL467" i="2" s="1"/>
  <c r="L467" i="2"/>
  <c r="V467" i="2"/>
  <c r="W467" i="2"/>
  <c r="Z467" i="2" s="1"/>
  <c r="X467" i="2"/>
  <c r="AA467" i="2" s="1"/>
  <c r="Y467" i="2"/>
  <c r="AB467" i="2"/>
  <c r="AE467" i="2"/>
  <c r="AH467" i="2"/>
  <c r="AJ467" i="2"/>
  <c r="AK467" i="2"/>
  <c r="B468" i="2"/>
  <c r="D468" i="2"/>
  <c r="E468" i="2"/>
  <c r="F468" i="2"/>
  <c r="G468" i="2"/>
  <c r="H468" i="2"/>
  <c r="I468" i="2"/>
  <c r="L468" i="2"/>
  <c r="X468" i="2" s="1"/>
  <c r="V468" i="2"/>
  <c r="W468" i="2"/>
  <c r="Y468" i="2"/>
  <c r="AB468" i="2"/>
  <c r="AE468" i="2"/>
  <c r="AH468" i="2"/>
  <c r="AI468" i="2"/>
  <c r="AK468" i="2"/>
  <c r="B469" i="2"/>
  <c r="D469" i="2"/>
  <c r="Z469" i="2" s="1"/>
  <c r="E469" i="2"/>
  <c r="AC469" i="2" s="1"/>
  <c r="F469" i="2"/>
  <c r="G469" i="2"/>
  <c r="H469" i="2"/>
  <c r="AI469" i="2" s="1"/>
  <c r="I469" i="2"/>
  <c r="AL469" i="2" s="1"/>
  <c r="L469" i="2"/>
  <c r="X469" i="2" s="1"/>
  <c r="V469" i="2"/>
  <c r="W469" i="2"/>
  <c r="Y469" i="2"/>
  <c r="AB469" i="2"/>
  <c r="AE469" i="2"/>
  <c r="AF469" i="2"/>
  <c r="AG469" i="2"/>
  <c r="AH469" i="2"/>
  <c r="AK469" i="2"/>
  <c r="B470" i="2"/>
  <c r="D470" i="2"/>
  <c r="E470" i="2"/>
  <c r="F470" i="2"/>
  <c r="G470" i="2"/>
  <c r="H470" i="2"/>
  <c r="I470" i="2"/>
  <c r="L470" i="2"/>
  <c r="V470" i="2"/>
  <c r="W470" i="2"/>
  <c r="X470" i="2"/>
  <c r="AG470" i="2" s="1"/>
  <c r="Y470" i="2"/>
  <c r="Z470" i="2" s="1"/>
  <c r="AB470" i="2"/>
  <c r="AC470" i="2"/>
  <c r="AD470" i="2"/>
  <c r="AE470" i="2"/>
  <c r="AH470" i="2"/>
  <c r="AJ470" i="2"/>
  <c r="AK470" i="2"/>
  <c r="AL470" i="2" s="1"/>
  <c r="B471" i="2"/>
  <c r="D471" i="2"/>
  <c r="Z471" i="2" s="1"/>
  <c r="E471" i="2"/>
  <c r="AC471" i="2" s="1"/>
  <c r="F471" i="2"/>
  <c r="G471" i="2"/>
  <c r="H471" i="2"/>
  <c r="I471" i="2"/>
  <c r="L471" i="2"/>
  <c r="V471" i="2"/>
  <c r="W471" i="2"/>
  <c r="AF471" i="2" s="1"/>
  <c r="X471" i="2"/>
  <c r="AD471" i="2" s="1"/>
  <c r="Y471" i="2"/>
  <c r="AB471" i="2"/>
  <c r="AE471" i="2"/>
  <c r="AH471" i="2"/>
  <c r="AJ471" i="2"/>
  <c r="AK471" i="2"/>
  <c r="B472" i="2"/>
  <c r="D472" i="2"/>
  <c r="Z472" i="2" s="1"/>
  <c r="E472" i="2"/>
  <c r="AC472" i="2" s="1"/>
  <c r="F472" i="2"/>
  <c r="G472" i="2"/>
  <c r="H472" i="2"/>
  <c r="I472" i="2"/>
  <c r="L472" i="2"/>
  <c r="X472" i="2" s="1"/>
  <c r="V472" i="2"/>
  <c r="W472" i="2"/>
  <c r="Y472" i="2"/>
  <c r="AB472" i="2"/>
  <c r="AE472" i="2"/>
  <c r="AF472" i="2"/>
  <c r="AH472" i="2"/>
  <c r="AI472" i="2" s="1"/>
  <c r="AK472" i="2"/>
  <c r="AL472" i="2"/>
  <c r="B473" i="2"/>
  <c r="D473" i="2"/>
  <c r="E473" i="2"/>
  <c r="AC473" i="2" s="1"/>
  <c r="F473" i="2"/>
  <c r="G473" i="2"/>
  <c r="H473" i="2"/>
  <c r="I473" i="2"/>
  <c r="AL473" i="2" s="1"/>
  <c r="L473" i="2"/>
  <c r="V473" i="2"/>
  <c r="W473" i="2"/>
  <c r="X473" i="2"/>
  <c r="Y473" i="2"/>
  <c r="AB473" i="2"/>
  <c r="AE473" i="2"/>
  <c r="AH473" i="2"/>
  <c r="AK473" i="2"/>
  <c r="B474" i="2"/>
  <c r="D474" i="2"/>
  <c r="E474" i="2"/>
  <c r="F474" i="2"/>
  <c r="G474" i="2"/>
  <c r="H474" i="2"/>
  <c r="I474" i="2"/>
  <c r="L474" i="2"/>
  <c r="X474" i="2" s="1"/>
  <c r="V474" i="2"/>
  <c r="W474" i="2"/>
  <c r="Y474" i="2"/>
  <c r="AB474" i="2"/>
  <c r="AC474" i="2"/>
  <c r="AE474" i="2"/>
  <c r="AH474" i="2"/>
  <c r="AI474" i="2" s="1"/>
  <c r="AK474" i="2"/>
  <c r="B475" i="2"/>
  <c r="D475" i="2"/>
  <c r="Z475" i="2" s="1"/>
  <c r="E475" i="2"/>
  <c r="AC475" i="2" s="1"/>
  <c r="F475" i="2"/>
  <c r="G475" i="2"/>
  <c r="H475" i="2"/>
  <c r="AI475" i="2" s="1"/>
  <c r="I475" i="2"/>
  <c r="AL475" i="2" s="1"/>
  <c r="L475" i="2"/>
  <c r="X475" i="2" s="1"/>
  <c r="V475" i="2"/>
  <c r="W475" i="2"/>
  <c r="Y475" i="2"/>
  <c r="AA475" i="2"/>
  <c r="AB475" i="2"/>
  <c r="AE475" i="2"/>
  <c r="AF475" i="2"/>
  <c r="AH475" i="2"/>
  <c r="AK475" i="2"/>
  <c r="B476" i="2"/>
  <c r="D476" i="2"/>
  <c r="E476" i="2"/>
  <c r="F476" i="2"/>
  <c r="G476" i="2"/>
  <c r="H476" i="2"/>
  <c r="I476" i="2"/>
  <c r="L476" i="2"/>
  <c r="V476" i="2"/>
  <c r="W476" i="2"/>
  <c r="X476" i="2"/>
  <c r="AG476" i="2" s="1"/>
  <c r="Y476" i="2"/>
  <c r="Z476" i="2" s="1"/>
  <c r="AB476" i="2"/>
  <c r="AC476" i="2"/>
  <c r="AD476" i="2"/>
  <c r="AE476" i="2"/>
  <c r="AH476" i="2"/>
  <c r="AJ476" i="2"/>
  <c r="AK476" i="2"/>
  <c r="AL476" i="2" s="1"/>
  <c r="B477" i="2"/>
  <c r="D477" i="2"/>
  <c r="E477" i="2"/>
  <c r="F477" i="2"/>
  <c r="G477" i="2"/>
  <c r="H477" i="2"/>
  <c r="I477" i="2"/>
  <c r="L477" i="2"/>
  <c r="V477" i="2"/>
  <c r="W477" i="2"/>
  <c r="AF477" i="2" s="1"/>
  <c r="X477" i="2"/>
  <c r="AD477" i="2" s="1"/>
  <c r="Y477" i="2"/>
  <c r="AB477" i="2"/>
  <c r="AE477" i="2"/>
  <c r="AH477" i="2"/>
  <c r="AJ477" i="2"/>
  <c r="AK477" i="2"/>
  <c r="B478" i="2"/>
  <c r="D478" i="2"/>
  <c r="E478" i="2"/>
  <c r="AC478" i="2" s="1"/>
  <c r="F478" i="2"/>
  <c r="G478" i="2"/>
  <c r="H478" i="2"/>
  <c r="I478" i="2"/>
  <c r="L478" i="2"/>
  <c r="X478" i="2" s="1"/>
  <c r="V478" i="2"/>
  <c r="W478" i="2"/>
  <c r="Y478" i="2"/>
  <c r="Z478" i="2"/>
  <c r="AA478" i="2"/>
  <c r="AB478" i="2"/>
  <c r="AE478" i="2"/>
  <c r="AF478" i="2"/>
  <c r="AG478" i="2"/>
  <c r="AH478" i="2"/>
  <c r="AI478" i="2" s="1"/>
  <c r="AK478" i="2"/>
  <c r="AL478" i="2"/>
  <c r="AM478" i="2"/>
  <c r="B479" i="2"/>
  <c r="D479" i="2"/>
  <c r="E479" i="2"/>
  <c r="AC479" i="2" s="1"/>
  <c r="F479" i="2"/>
  <c r="G479" i="2"/>
  <c r="H479" i="2"/>
  <c r="I479" i="2"/>
  <c r="AL479" i="2" s="1"/>
  <c r="L479" i="2"/>
  <c r="V479" i="2"/>
  <c r="W479" i="2"/>
  <c r="Z479" i="2" s="1"/>
  <c r="X479" i="2"/>
  <c r="Y479" i="2"/>
  <c r="AB479" i="2"/>
  <c r="AE479" i="2"/>
  <c r="AH479" i="2"/>
  <c r="AJ479" i="2"/>
  <c r="AK479" i="2"/>
  <c r="B480" i="2"/>
  <c r="D480" i="2"/>
  <c r="E480" i="2"/>
  <c r="F480" i="2"/>
  <c r="G480" i="2"/>
  <c r="H480" i="2"/>
  <c r="I480" i="2"/>
  <c r="L480" i="2"/>
  <c r="X480" i="2" s="1"/>
  <c r="V480" i="2"/>
  <c r="W480" i="2"/>
  <c r="AF480" i="2" s="1"/>
  <c r="Y480" i="2"/>
  <c r="AB480" i="2"/>
  <c r="AC480" i="2"/>
  <c r="AD480" i="2"/>
  <c r="AE480" i="2"/>
  <c r="AH480" i="2"/>
  <c r="AI480" i="2" s="1"/>
  <c r="AK480" i="2"/>
  <c r="B481" i="2"/>
  <c r="D481" i="2"/>
  <c r="Z481" i="2" s="1"/>
  <c r="E481" i="2"/>
  <c r="AC481" i="2" s="1"/>
  <c r="F481" i="2"/>
  <c r="G481" i="2"/>
  <c r="H481" i="2"/>
  <c r="AI481" i="2" s="1"/>
  <c r="I481" i="2"/>
  <c r="AL481" i="2" s="1"/>
  <c r="L481" i="2"/>
  <c r="V481" i="2"/>
  <c r="W481" i="2"/>
  <c r="X481" i="2"/>
  <c r="AD481" i="2" s="1"/>
  <c r="Y481" i="2"/>
  <c r="AA481" i="2"/>
  <c r="AB481" i="2"/>
  <c r="AE481" i="2"/>
  <c r="AF481" i="2"/>
  <c r="AG481" i="2"/>
  <c r="AH481" i="2"/>
  <c r="AJ481" i="2"/>
  <c r="AK481" i="2"/>
  <c r="AM481" i="2"/>
  <c r="B482" i="2"/>
  <c r="D482" i="2"/>
  <c r="E482" i="2"/>
  <c r="F482" i="2"/>
  <c r="G482" i="2"/>
  <c r="H482" i="2"/>
  <c r="I482" i="2"/>
  <c r="L482" i="2"/>
  <c r="V482" i="2"/>
  <c r="W482" i="2"/>
  <c r="X482" i="2"/>
  <c r="AG482" i="2" s="1"/>
  <c r="Y482" i="2"/>
  <c r="Z482" i="2" s="1"/>
  <c r="AB482" i="2"/>
  <c r="AC482" i="2"/>
  <c r="AD482" i="2"/>
  <c r="AE482" i="2"/>
  <c r="AH482" i="2"/>
  <c r="AJ482" i="2"/>
  <c r="AK482" i="2"/>
  <c r="AL482" i="2"/>
  <c r="B483" i="2"/>
  <c r="D483" i="2"/>
  <c r="E483" i="2"/>
  <c r="F483" i="2"/>
  <c r="G483" i="2"/>
  <c r="H483" i="2"/>
  <c r="I483" i="2"/>
  <c r="AL483" i="2" s="1"/>
  <c r="L483" i="2"/>
  <c r="V483" i="2"/>
  <c r="W483" i="2"/>
  <c r="AC483" i="2" s="1"/>
  <c r="X483" i="2"/>
  <c r="Y483" i="2"/>
  <c r="AA483" i="2"/>
  <c r="AB483" i="2"/>
  <c r="AE483" i="2"/>
  <c r="AH483" i="2"/>
  <c r="AI483" i="2"/>
  <c r="AK483" i="2"/>
  <c r="B484" i="2"/>
  <c r="D484" i="2"/>
  <c r="Z484" i="2" s="1"/>
  <c r="E484" i="2"/>
  <c r="AC484" i="2" s="1"/>
  <c r="F484" i="2"/>
  <c r="G484" i="2"/>
  <c r="H484" i="2"/>
  <c r="I484" i="2"/>
  <c r="L484" i="2"/>
  <c r="X484" i="2" s="1"/>
  <c r="AJ484" i="2" s="1"/>
  <c r="V484" i="2"/>
  <c r="W484" i="2"/>
  <c r="Y484" i="2"/>
  <c r="AA484" i="2"/>
  <c r="AB484" i="2"/>
  <c r="AD484" i="2"/>
  <c r="AE484" i="2"/>
  <c r="AF484" i="2"/>
  <c r="AH484" i="2"/>
  <c r="AI484" i="2" s="1"/>
  <c r="AK484" i="2"/>
  <c r="AL484" i="2"/>
  <c r="AM484" i="2"/>
  <c r="B485" i="2"/>
  <c r="D485" i="2"/>
  <c r="E485" i="2"/>
  <c r="AC485" i="2" s="1"/>
  <c r="F485" i="2"/>
  <c r="G485" i="2"/>
  <c r="H485" i="2"/>
  <c r="I485" i="2"/>
  <c r="AL485" i="2" s="1"/>
  <c r="L485" i="2"/>
  <c r="V485" i="2"/>
  <c r="W485" i="2"/>
  <c r="AI485" i="2" s="1"/>
  <c r="X485" i="2"/>
  <c r="Y485" i="2"/>
  <c r="Z485" i="2"/>
  <c r="AB485" i="2"/>
  <c r="AE485" i="2"/>
  <c r="AF485" i="2"/>
  <c r="AH485" i="2"/>
  <c r="AK485" i="2"/>
  <c r="B486" i="2"/>
  <c r="D486" i="2"/>
  <c r="E486" i="2"/>
  <c r="F486" i="2"/>
  <c r="G486" i="2"/>
  <c r="H486" i="2"/>
  <c r="I486" i="2"/>
  <c r="AL486" i="2" s="1"/>
  <c r="L486" i="2"/>
  <c r="X486" i="2" s="1"/>
  <c r="V486" i="2"/>
  <c r="W486" i="2"/>
  <c r="Z486" i="2" s="1"/>
  <c r="Y486" i="2"/>
  <c r="AB486" i="2"/>
  <c r="AC486" i="2"/>
  <c r="AE486" i="2"/>
  <c r="AF486" i="2"/>
  <c r="AH486" i="2"/>
  <c r="AI486" i="2" s="1"/>
  <c r="AK486" i="2"/>
  <c r="B487" i="2"/>
  <c r="D487" i="2"/>
  <c r="Z487" i="2" s="1"/>
  <c r="E487" i="2"/>
  <c r="F487" i="2"/>
  <c r="G487" i="2"/>
  <c r="H487" i="2"/>
  <c r="I487" i="2"/>
  <c r="AL487" i="2" s="1"/>
  <c r="L487" i="2"/>
  <c r="X487" i="2" s="1"/>
  <c r="AJ487" i="2" s="1"/>
  <c r="V487" i="2"/>
  <c r="W487" i="2"/>
  <c r="Y487" i="2"/>
  <c r="AB487" i="2"/>
  <c r="AE487" i="2"/>
  <c r="AH487" i="2"/>
  <c r="AK487" i="2"/>
  <c r="B488" i="2"/>
  <c r="D488" i="2"/>
  <c r="E488" i="2"/>
  <c r="F488" i="2"/>
  <c r="G488" i="2"/>
  <c r="H488" i="2"/>
  <c r="AI488" i="2" s="1"/>
  <c r="I488" i="2"/>
  <c r="L488" i="2"/>
  <c r="V488" i="2"/>
  <c r="W488" i="2"/>
  <c r="X488" i="2"/>
  <c r="AG488" i="2" s="1"/>
  <c r="Y488" i="2"/>
  <c r="Z488" i="2" s="1"/>
  <c r="AB488" i="2"/>
  <c r="AC488" i="2"/>
  <c r="AD488" i="2"/>
  <c r="AE488" i="2"/>
  <c r="AF488" i="2"/>
  <c r="AH488" i="2"/>
  <c r="AJ488" i="2"/>
  <c r="AK488" i="2"/>
  <c r="AL488" i="2"/>
  <c r="B489" i="2"/>
  <c r="D489" i="2"/>
  <c r="Z489" i="2" s="1"/>
  <c r="E489" i="2"/>
  <c r="F489" i="2"/>
  <c r="G489" i="2"/>
  <c r="H489" i="2"/>
  <c r="I489" i="2"/>
  <c r="L489" i="2"/>
  <c r="V489" i="2"/>
  <c r="W489" i="2"/>
  <c r="AC489" i="2" s="1"/>
  <c r="X489" i="2"/>
  <c r="Y489" i="2"/>
  <c r="AB489" i="2"/>
  <c r="AE489" i="2"/>
  <c r="AF489" i="2"/>
  <c r="AH489" i="2"/>
  <c r="AI489" i="2" s="1"/>
  <c r="AK489" i="2"/>
  <c r="AL489" i="2"/>
  <c r="B490" i="2"/>
  <c r="D490" i="2"/>
  <c r="E490" i="2"/>
  <c r="F490" i="2"/>
  <c r="G490" i="2"/>
  <c r="H490" i="2"/>
  <c r="I490" i="2"/>
  <c r="L490" i="2"/>
  <c r="V490" i="2"/>
  <c r="W490" i="2"/>
  <c r="X490" i="2"/>
  <c r="Y490" i="2"/>
  <c r="AB490" i="2"/>
  <c r="AE490" i="2"/>
  <c r="AH490" i="2"/>
  <c r="AK490" i="2"/>
  <c r="B491" i="2"/>
  <c r="D491" i="2"/>
  <c r="E491" i="2"/>
  <c r="F491" i="2"/>
  <c r="G491" i="2"/>
  <c r="H491" i="2"/>
  <c r="AF491" i="2" s="1"/>
  <c r="I491" i="2"/>
  <c r="AL491" i="2" s="1"/>
  <c r="L491" i="2"/>
  <c r="X491" i="2" s="1"/>
  <c r="AJ491" i="2" s="1"/>
  <c r="V491" i="2"/>
  <c r="W491" i="2"/>
  <c r="Z491" i="2" s="1"/>
  <c r="Y491" i="2"/>
  <c r="AB491" i="2"/>
  <c r="AE491" i="2"/>
  <c r="AH491" i="2"/>
  <c r="AK491" i="2"/>
  <c r="B492" i="2"/>
  <c r="D492" i="2"/>
  <c r="E492" i="2"/>
  <c r="F492" i="2"/>
  <c r="G492" i="2"/>
  <c r="H492" i="2"/>
  <c r="I492" i="2"/>
  <c r="L492" i="2"/>
  <c r="V492" i="2"/>
  <c r="W492" i="2"/>
  <c r="X492" i="2"/>
  <c r="Y492" i="2"/>
  <c r="AB492" i="2"/>
  <c r="AE492" i="2"/>
  <c r="AH492" i="2"/>
  <c r="AJ492" i="2"/>
  <c r="AK492" i="2"/>
  <c r="B493" i="2"/>
  <c r="D493" i="2"/>
  <c r="E493" i="2"/>
  <c r="F493" i="2"/>
  <c r="G493" i="2"/>
  <c r="H493" i="2"/>
  <c r="I493" i="2"/>
  <c r="L493" i="2"/>
  <c r="V493" i="2"/>
  <c r="W493" i="2"/>
  <c r="AI493" i="2" s="1"/>
  <c r="X493" i="2"/>
  <c r="AJ493" i="2" s="1"/>
  <c r="Y493" i="2"/>
  <c r="AB493" i="2"/>
  <c r="AE493" i="2"/>
  <c r="AH493" i="2"/>
  <c r="AK493" i="2"/>
  <c r="B494" i="2"/>
  <c r="D494" i="2"/>
  <c r="E494" i="2"/>
  <c r="AC494" i="2" s="1"/>
  <c r="F494" i="2"/>
  <c r="G494" i="2"/>
  <c r="H494" i="2"/>
  <c r="I494" i="2"/>
  <c r="AL494" i="2" s="1"/>
  <c r="L494" i="2"/>
  <c r="X494" i="2" s="1"/>
  <c r="V494" i="2"/>
  <c r="W494" i="2"/>
  <c r="Y494" i="2"/>
  <c r="Z494" i="2"/>
  <c r="AB494" i="2"/>
  <c r="AE494" i="2"/>
  <c r="AF494" i="2"/>
  <c r="AG494" i="2"/>
  <c r="AH494" i="2"/>
  <c r="AK494" i="2"/>
  <c r="B495" i="2"/>
  <c r="D495" i="2"/>
  <c r="Z495" i="2" s="1"/>
  <c r="E495" i="2"/>
  <c r="F495" i="2"/>
  <c r="G495" i="2"/>
  <c r="H495" i="2"/>
  <c r="I495" i="2"/>
  <c r="AL495" i="2" s="1"/>
  <c r="L495" i="2"/>
  <c r="V495" i="2"/>
  <c r="W495" i="2"/>
  <c r="X495" i="2"/>
  <c r="AG495" i="2" s="1"/>
  <c r="Y495" i="2"/>
  <c r="AA495" i="2"/>
  <c r="AB495" i="2"/>
  <c r="AC495" i="2"/>
  <c r="AD495" i="2"/>
  <c r="AE495" i="2"/>
  <c r="AF495" i="2"/>
  <c r="AH495" i="2"/>
  <c r="AJ495" i="2"/>
  <c r="AK495" i="2"/>
  <c r="AM495" i="2"/>
  <c r="B496" i="2"/>
  <c r="D496" i="2"/>
  <c r="E496" i="2"/>
  <c r="AC496" i="2" s="1"/>
  <c r="F496" i="2"/>
  <c r="G496" i="2"/>
  <c r="H496" i="2"/>
  <c r="I496" i="2"/>
  <c r="AL496" i="2" s="1"/>
  <c r="L496" i="2"/>
  <c r="V496" i="2"/>
  <c r="W496" i="2"/>
  <c r="X496" i="2"/>
  <c r="AG496" i="2" s="1"/>
  <c r="Y496" i="2"/>
  <c r="Z496" i="2"/>
  <c r="AA496" i="2"/>
  <c r="AB496" i="2"/>
  <c r="AD496" i="2"/>
  <c r="AE496" i="2"/>
  <c r="AF496" i="2"/>
  <c r="AH496" i="2"/>
  <c r="AI496" i="2" s="1"/>
  <c r="AJ496" i="2"/>
  <c r="AK496" i="2"/>
  <c r="AM496" i="2"/>
  <c r="B497" i="2"/>
  <c r="D497" i="2"/>
  <c r="E497" i="2"/>
  <c r="F497" i="2"/>
  <c r="G497" i="2"/>
  <c r="H497" i="2"/>
  <c r="I497" i="2"/>
  <c r="L497" i="2"/>
  <c r="V497" i="2"/>
  <c r="W497" i="2"/>
  <c r="X497" i="2"/>
  <c r="AG497" i="2" s="1"/>
  <c r="Y497" i="2"/>
  <c r="Z497" i="2"/>
  <c r="AB497" i="2"/>
  <c r="AD497" i="2"/>
  <c r="AE497" i="2"/>
  <c r="AF497" i="2" s="1"/>
  <c r="AH497" i="2"/>
  <c r="AI497" i="2"/>
  <c r="AK497" i="2"/>
  <c r="AL497" i="2" s="1"/>
  <c r="AM497" i="2"/>
  <c r="B498" i="2"/>
  <c r="D498" i="2"/>
  <c r="Z498" i="2" s="1"/>
  <c r="E498" i="2"/>
  <c r="AC498" i="2" s="1"/>
  <c r="F498" i="2"/>
  <c r="G498" i="2"/>
  <c r="H498" i="2"/>
  <c r="AF498" i="2" s="1"/>
  <c r="I498" i="2"/>
  <c r="L498" i="2"/>
  <c r="V498" i="2"/>
  <c r="W498" i="2"/>
  <c r="X498" i="2"/>
  <c r="AD498" i="2" s="1"/>
  <c r="Y498" i="2"/>
  <c r="AB498" i="2"/>
  <c r="AE498" i="2"/>
  <c r="AH498" i="2"/>
  <c r="AI498" i="2"/>
  <c r="AJ498" i="2"/>
  <c r="AK498" i="2"/>
  <c r="AL498" i="2" s="1"/>
  <c r="B499" i="2"/>
  <c r="D499" i="2"/>
  <c r="E499" i="2"/>
  <c r="F499" i="2"/>
  <c r="G499" i="2"/>
  <c r="H499" i="2"/>
  <c r="I499" i="2"/>
  <c r="L499" i="2"/>
  <c r="X499" i="2" s="1"/>
  <c r="V499" i="2"/>
  <c r="W499" i="2"/>
  <c r="AC499" i="2" s="1"/>
  <c r="Y499" i="2"/>
  <c r="Z499" i="2"/>
  <c r="AB499" i="2"/>
  <c r="AE499" i="2"/>
  <c r="AF499" i="2" s="1"/>
  <c r="AH499" i="2"/>
  <c r="AI499" i="2"/>
  <c r="AK499" i="2"/>
  <c r="AL499" i="2"/>
  <c r="AM499" i="2"/>
  <c r="B500" i="2"/>
  <c r="D500" i="2"/>
  <c r="E500" i="2"/>
  <c r="F500" i="2"/>
  <c r="G500" i="2"/>
  <c r="H500" i="2"/>
  <c r="AI500" i="2" s="1"/>
  <c r="I500" i="2"/>
  <c r="AL500" i="2" s="1"/>
  <c r="L500" i="2"/>
  <c r="V500" i="2"/>
  <c r="W500" i="2"/>
  <c r="AC500" i="2" s="1"/>
  <c r="X500" i="2"/>
  <c r="Y500" i="2"/>
  <c r="AB500" i="2"/>
  <c r="AE500" i="2"/>
  <c r="AF500" i="2" s="1"/>
  <c r="AH500" i="2"/>
  <c r="AJ500" i="2"/>
  <c r="AK500" i="2"/>
  <c r="B501" i="2"/>
  <c r="D501" i="2"/>
  <c r="E501" i="2"/>
  <c r="F501" i="2"/>
  <c r="G501" i="2"/>
  <c r="H501" i="2"/>
  <c r="I501" i="2"/>
  <c r="L501" i="2"/>
  <c r="X501" i="2" s="1"/>
  <c r="V501" i="2"/>
  <c r="W501" i="2"/>
  <c r="AC501" i="2" s="1"/>
  <c r="Y501" i="2"/>
  <c r="AB501" i="2"/>
  <c r="AE501" i="2"/>
  <c r="AH501" i="2"/>
  <c r="AK501" i="2"/>
  <c r="B502" i="2"/>
  <c r="D502" i="2"/>
  <c r="Z502" i="2" s="1"/>
  <c r="E502" i="2"/>
  <c r="F502" i="2"/>
  <c r="G502" i="2"/>
  <c r="H502" i="2"/>
  <c r="AI502" i="2" s="1"/>
  <c r="I502" i="2"/>
  <c r="AL502" i="2" s="1"/>
  <c r="L502" i="2"/>
  <c r="X502" i="2" s="1"/>
  <c r="V502" i="2"/>
  <c r="W502" i="2"/>
  <c r="Y502" i="2"/>
  <c r="AB502" i="2"/>
  <c r="AC502" i="2"/>
  <c r="AE502" i="2"/>
  <c r="AF502" i="2"/>
  <c r="AG502" i="2"/>
  <c r="AH502" i="2"/>
  <c r="AK502" i="2"/>
  <c r="B503" i="2"/>
  <c r="D503" i="2"/>
  <c r="Z503" i="2" s="1"/>
  <c r="E503" i="2"/>
  <c r="F503" i="2"/>
  <c r="G503" i="2"/>
  <c r="H503" i="2"/>
  <c r="I503" i="2"/>
  <c r="L503" i="2"/>
  <c r="X503" i="2" s="1"/>
  <c r="V503" i="2"/>
  <c r="W503" i="2"/>
  <c r="Y503" i="2"/>
  <c r="AB503" i="2"/>
  <c r="AC503" i="2"/>
  <c r="AE503" i="2"/>
  <c r="AH503" i="2"/>
  <c r="AK503" i="2"/>
  <c r="AL503" i="2" s="1"/>
  <c r="B504" i="2"/>
  <c r="D504" i="2"/>
  <c r="Z504" i="2" s="1"/>
  <c r="E504" i="2"/>
  <c r="AC504" i="2" s="1"/>
  <c r="F504" i="2"/>
  <c r="G504" i="2"/>
  <c r="H504" i="2"/>
  <c r="AF504" i="2" s="1"/>
  <c r="I504" i="2"/>
  <c r="L504" i="2"/>
  <c r="V504" i="2"/>
  <c r="W504" i="2"/>
  <c r="X504" i="2"/>
  <c r="AD504" i="2" s="1"/>
  <c r="Y504" i="2"/>
  <c r="AB504" i="2"/>
  <c r="AE504" i="2"/>
  <c r="AH504" i="2"/>
  <c r="AI504" i="2"/>
  <c r="AJ504" i="2"/>
  <c r="AK504" i="2"/>
  <c r="AL504" i="2" s="1"/>
  <c r="B505" i="2"/>
  <c r="D505" i="2"/>
  <c r="E505" i="2"/>
  <c r="F505" i="2"/>
  <c r="G505" i="2"/>
  <c r="H505" i="2"/>
  <c r="I505" i="2"/>
  <c r="L505" i="2"/>
  <c r="X505" i="2" s="1"/>
  <c r="V505" i="2"/>
  <c r="W505" i="2"/>
  <c r="AC505" i="2" s="1"/>
  <c r="Y505" i="2"/>
  <c r="Z505" i="2"/>
  <c r="AA505" i="2"/>
  <c r="AB505" i="2"/>
  <c r="AE505" i="2"/>
  <c r="AF505" i="2" s="1"/>
  <c r="AH505" i="2"/>
  <c r="AI505" i="2"/>
  <c r="AK505" i="2"/>
  <c r="AL505" i="2"/>
  <c r="AM505" i="2"/>
  <c r="B506" i="2"/>
  <c r="D506" i="2"/>
  <c r="Z506" i="2" s="1"/>
  <c r="E506" i="2"/>
  <c r="F506" i="2"/>
  <c r="G506" i="2"/>
  <c r="H506" i="2"/>
  <c r="AI506" i="2" s="1"/>
  <c r="I506" i="2"/>
  <c r="AL506" i="2" s="1"/>
  <c r="L506" i="2"/>
  <c r="V506" i="2"/>
  <c r="W506" i="2"/>
  <c r="AC506" i="2" s="1"/>
  <c r="X506" i="2"/>
  <c r="Y506" i="2"/>
  <c r="AB506" i="2"/>
  <c r="AE506" i="2"/>
  <c r="AF506" i="2"/>
  <c r="AH506" i="2"/>
  <c r="AJ506" i="2"/>
  <c r="AK506" i="2"/>
  <c r="B507" i="2"/>
  <c r="D507" i="2"/>
  <c r="E507" i="2"/>
  <c r="F507" i="2"/>
  <c r="G507" i="2"/>
  <c r="H507" i="2"/>
  <c r="I507" i="2"/>
  <c r="L507" i="2"/>
  <c r="X507" i="2" s="1"/>
  <c r="V507" i="2"/>
  <c r="W507" i="2"/>
  <c r="AC507" i="2" s="1"/>
  <c r="Y507" i="2"/>
  <c r="AB507" i="2"/>
  <c r="AE507" i="2"/>
  <c r="AH507" i="2"/>
  <c r="AK507" i="2"/>
  <c r="B508" i="2"/>
  <c r="D508" i="2"/>
  <c r="Z508" i="2" s="1"/>
  <c r="E508" i="2"/>
  <c r="F508" i="2"/>
  <c r="G508" i="2"/>
  <c r="H508" i="2"/>
  <c r="AI508" i="2" s="1"/>
  <c r="I508" i="2"/>
  <c r="AL508" i="2" s="1"/>
  <c r="L508" i="2"/>
  <c r="X508" i="2" s="1"/>
  <c r="V508" i="2"/>
  <c r="W508" i="2"/>
  <c r="Y508" i="2"/>
  <c r="AB508" i="2"/>
  <c r="AC508" i="2"/>
  <c r="AE508" i="2"/>
  <c r="AF508" i="2"/>
  <c r="AG508" i="2"/>
  <c r="AH508" i="2"/>
  <c r="AK508" i="2"/>
  <c r="B509" i="2"/>
  <c r="D509" i="2"/>
  <c r="Z509" i="2" s="1"/>
  <c r="E509" i="2"/>
  <c r="F509" i="2"/>
  <c r="G509" i="2"/>
  <c r="H509" i="2"/>
  <c r="I509" i="2"/>
  <c r="L509" i="2"/>
  <c r="X509" i="2" s="1"/>
  <c r="V509" i="2"/>
  <c r="W509" i="2"/>
  <c r="Y509" i="2"/>
  <c r="AB509" i="2"/>
  <c r="AC509" i="2" s="1"/>
  <c r="AD509" i="2"/>
  <c r="AE509" i="2"/>
  <c r="AH509" i="2"/>
  <c r="AK509" i="2"/>
  <c r="AL509" i="2"/>
  <c r="B510" i="2"/>
  <c r="D510" i="2"/>
  <c r="Z510" i="2" s="1"/>
  <c r="E510" i="2"/>
  <c r="AC510" i="2" s="1"/>
  <c r="F510" i="2"/>
  <c r="G510" i="2"/>
  <c r="H510" i="2"/>
  <c r="AF510" i="2" s="1"/>
  <c r="I510" i="2"/>
  <c r="L510" i="2"/>
  <c r="V510" i="2"/>
  <c r="W510" i="2"/>
  <c r="X510" i="2"/>
  <c r="AD510" i="2" s="1"/>
  <c r="Y510" i="2"/>
  <c r="AB510" i="2"/>
  <c r="AE510" i="2"/>
  <c r="AH510" i="2"/>
  <c r="AI510" i="2"/>
  <c r="AJ510" i="2"/>
  <c r="AK510" i="2"/>
  <c r="AL510" i="2" s="1"/>
  <c r="B511" i="2"/>
  <c r="D511" i="2"/>
  <c r="E511" i="2"/>
  <c r="F511" i="2"/>
  <c r="G511" i="2"/>
  <c r="H511" i="2"/>
  <c r="I511" i="2"/>
  <c r="L511" i="2"/>
  <c r="X511" i="2" s="1"/>
  <c r="V511" i="2"/>
  <c r="W511" i="2"/>
  <c r="AC511" i="2" s="1"/>
  <c r="Y511" i="2"/>
  <c r="Z511" i="2"/>
  <c r="AA511" i="2"/>
  <c r="AB511" i="2"/>
  <c r="AE511" i="2"/>
  <c r="AF511" i="2" s="1"/>
  <c r="AH511" i="2"/>
  <c r="AI511" i="2"/>
  <c r="AK511" i="2"/>
  <c r="AL511" i="2"/>
  <c r="AM511" i="2"/>
  <c r="B512" i="2"/>
  <c r="D512" i="2"/>
  <c r="E512" i="2"/>
  <c r="F512" i="2"/>
  <c r="G512" i="2"/>
  <c r="H512" i="2"/>
  <c r="AI512" i="2" s="1"/>
  <c r="I512" i="2"/>
  <c r="L512" i="2"/>
  <c r="V512" i="2"/>
  <c r="W512" i="2"/>
  <c r="AC512" i="2" s="1"/>
  <c r="X512" i="2"/>
  <c r="Y512" i="2"/>
  <c r="AB512" i="2"/>
  <c r="AE512" i="2"/>
  <c r="AF512" i="2"/>
  <c r="AH512" i="2"/>
  <c r="AJ512" i="2"/>
  <c r="AK512" i="2"/>
  <c r="B513" i="2"/>
  <c r="D513" i="2"/>
  <c r="E513" i="2"/>
  <c r="F513" i="2"/>
  <c r="G513" i="2"/>
  <c r="H513" i="2"/>
  <c r="I513" i="2"/>
  <c r="L513" i="2"/>
  <c r="X513" i="2" s="1"/>
  <c r="V513" i="2"/>
  <c r="W513" i="2"/>
  <c r="AC513" i="2" s="1"/>
  <c r="Y513" i="2"/>
  <c r="AB513" i="2"/>
  <c r="AE513" i="2"/>
  <c r="AH513" i="2"/>
  <c r="AK513" i="2"/>
  <c r="B514" i="2"/>
  <c r="D514" i="2"/>
  <c r="Z514" i="2" s="1"/>
  <c r="E514" i="2"/>
  <c r="F514" i="2"/>
  <c r="G514" i="2"/>
  <c r="H514" i="2"/>
  <c r="AI514" i="2" s="1"/>
  <c r="I514" i="2"/>
  <c r="AL514" i="2" s="1"/>
  <c r="L514" i="2"/>
  <c r="X514" i="2" s="1"/>
  <c r="V514" i="2"/>
  <c r="W514" i="2"/>
  <c r="Y514" i="2"/>
  <c r="AB514" i="2"/>
  <c r="AC514" i="2" s="1"/>
  <c r="AE514" i="2"/>
  <c r="AF514" i="2"/>
  <c r="AG514" i="2"/>
  <c r="AH514" i="2"/>
  <c r="AK514" i="2"/>
  <c r="B515" i="2"/>
  <c r="D515" i="2"/>
  <c r="Z515" i="2" s="1"/>
  <c r="E515" i="2"/>
  <c r="AC515" i="2" s="1"/>
  <c r="F515" i="2"/>
  <c r="G515" i="2"/>
  <c r="H515" i="2"/>
  <c r="I515" i="2"/>
  <c r="L515" i="2"/>
  <c r="X515" i="2" s="1"/>
  <c r="V515" i="2"/>
  <c r="W515" i="2"/>
  <c r="Y515" i="2"/>
  <c r="AB515" i="2"/>
  <c r="AD515" i="2"/>
  <c r="AE515" i="2"/>
  <c r="AH515" i="2"/>
  <c r="AK515" i="2"/>
  <c r="AL515" i="2"/>
  <c r="B516" i="2"/>
  <c r="D516" i="2"/>
  <c r="E516" i="2"/>
  <c r="AC516" i="2" s="1"/>
  <c r="F516" i="2"/>
  <c r="G516" i="2"/>
  <c r="H516" i="2"/>
  <c r="AF516" i="2" s="1"/>
  <c r="I516" i="2"/>
  <c r="L516" i="2"/>
  <c r="V516" i="2"/>
  <c r="W516" i="2"/>
  <c r="Z516" i="2" s="1"/>
  <c r="X516" i="2"/>
  <c r="AD516" i="2" s="1"/>
  <c r="Y516" i="2"/>
  <c r="AB516" i="2"/>
  <c r="AE516" i="2"/>
  <c r="AH516" i="2"/>
  <c r="AI516" i="2"/>
  <c r="AJ516" i="2"/>
  <c r="AK516" i="2"/>
  <c r="AL516" i="2" s="1"/>
  <c r="B517" i="2"/>
  <c r="D517" i="2"/>
  <c r="Z517" i="2" s="1"/>
  <c r="E517" i="2"/>
  <c r="F517" i="2"/>
  <c r="G517" i="2"/>
  <c r="H517" i="2"/>
  <c r="I517" i="2"/>
  <c r="L517" i="2"/>
  <c r="X517" i="2" s="1"/>
  <c r="V517" i="2"/>
  <c r="W517" i="2"/>
  <c r="AC517" i="2" s="1"/>
  <c r="Y517" i="2"/>
  <c r="AA517" i="2"/>
  <c r="AB517" i="2"/>
  <c r="AE517" i="2"/>
  <c r="AH517" i="2"/>
  <c r="AI517" i="2"/>
  <c r="AK517" i="2"/>
  <c r="AL517" i="2"/>
  <c r="AM517" i="2"/>
  <c r="B518" i="2"/>
  <c r="D518" i="2"/>
  <c r="Z518" i="2" s="1"/>
  <c r="E518" i="2"/>
  <c r="F518" i="2"/>
  <c r="G518" i="2"/>
  <c r="H518" i="2"/>
  <c r="AI518" i="2" s="1"/>
  <c r="I518" i="2"/>
  <c r="L518" i="2"/>
  <c r="V518" i="2"/>
  <c r="W518" i="2"/>
  <c r="AC518" i="2" s="1"/>
  <c r="X518" i="2"/>
  <c r="Y518" i="2"/>
  <c r="AB518" i="2"/>
  <c r="AE518" i="2"/>
  <c r="AF518" i="2"/>
  <c r="AH518" i="2"/>
  <c r="AJ518" i="2"/>
  <c r="AK518" i="2"/>
  <c r="B519" i="2"/>
  <c r="D519" i="2"/>
  <c r="E519" i="2"/>
  <c r="F519" i="2"/>
  <c r="G519" i="2"/>
  <c r="H519" i="2"/>
  <c r="AF519" i="2" s="1"/>
  <c r="I519" i="2"/>
  <c r="AL519" i="2" s="1"/>
  <c r="L519" i="2"/>
  <c r="X519" i="2" s="1"/>
  <c r="V519" i="2"/>
  <c r="W519" i="2"/>
  <c r="AC519" i="2" s="1"/>
  <c r="Y519" i="2"/>
  <c r="AB519" i="2"/>
  <c r="AE519" i="2"/>
  <c r="AH519" i="2"/>
  <c r="AI519" i="2" s="1"/>
  <c r="AK519" i="2"/>
  <c r="B520" i="2"/>
  <c r="D520" i="2"/>
  <c r="Z520" i="2" s="1"/>
  <c r="E520" i="2"/>
  <c r="F520" i="2"/>
  <c r="G520" i="2"/>
  <c r="H520" i="2"/>
  <c r="AI520" i="2" s="1"/>
  <c r="I520" i="2"/>
  <c r="AL520" i="2" s="1"/>
  <c r="L520" i="2"/>
  <c r="X520" i="2" s="1"/>
  <c r="AG520" i="2" s="1"/>
  <c r="V520" i="2"/>
  <c r="W520" i="2"/>
  <c r="Y520" i="2"/>
  <c r="AB520" i="2"/>
  <c r="AC520" i="2" s="1"/>
  <c r="AE520" i="2"/>
  <c r="AF520" i="2"/>
  <c r="AH520" i="2"/>
  <c r="AK520" i="2"/>
  <c r="B521" i="2"/>
  <c r="D521" i="2"/>
  <c r="E521" i="2"/>
  <c r="AC521" i="2" s="1"/>
  <c r="F521" i="2"/>
  <c r="G521" i="2"/>
  <c r="H521" i="2"/>
  <c r="I521" i="2"/>
  <c r="L521" i="2"/>
  <c r="X521" i="2" s="1"/>
  <c r="V521" i="2"/>
  <c r="W521" i="2"/>
  <c r="Y521" i="2"/>
  <c r="Z521" i="2"/>
  <c r="AB521" i="2"/>
  <c r="AD521" i="2"/>
  <c r="AE521" i="2"/>
  <c r="AH521" i="2"/>
  <c r="AK521" i="2"/>
  <c r="AL521" i="2"/>
  <c r="B522" i="2"/>
  <c r="D522" i="2"/>
  <c r="E522" i="2"/>
  <c r="AC522" i="2" s="1"/>
  <c r="F522" i="2"/>
  <c r="G522" i="2"/>
  <c r="H522" i="2"/>
  <c r="AF522" i="2" s="1"/>
  <c r="I522" i="2"/>
  <c r="L522" i="2"/>
  <c r="V522" i="2"/>
  <c r="W522" i="2"/>
  <c r="Z522" i="2" s="1"/>
  <c r="X522" i="2"/>
  <c r="AD522" i="2" s="1"/>
  <c r="Y522" i="2"/>
  <c r="AB522" i="2"/>
  <c r="AE522" i="2"/>
  <c r="AH522" i="2"/>
  <c r="AI522" i="2"/>
  <c r="AJ522" i="2"/>
  <c r="AK522" i="2"/>
  <c r="AL522" i="2" s="1"/>
  <c r="B523" i="2"/>
  <c r="D523" i="2"/>
  <c r="Z523" i="2" s="1"/>
  <c r="E523" i="2"/>
  <c r="F523" i="2"/>
  <c r="G523" i="2"/>
  <c r="H523" i="2"/>
  <c r="I523" i="2"/>
  <c r="L523" i="2"/>
  <c r="X523" i="2" s="1"/>
  <c r="V523" i="2"/>
  <c r="W523" i="2"/>
  <c r="AC523" i="2" s="1"/>
  <c r="Y523" i="2"/>
  <c r="AA523" i="2"/>
  <c r="AB523" i="2"/>
  <c r="AE523" i="2"/>
  <c r="AF523" i="2" s="1"/>
  <c r="AH523" i="2"/>
  <c r="AI523" i="2" s="1"/>
  <c r="AK523" i="2"/>
  <c r="AL523" i="2"/>
  <c r="B524" i="2"/>
  <c r="D524" i="2"/>
  <c r="Z524" i="2" s="1"/>
  <c r="E524" i="2"/>
  <c r="F524" i="2"/>
  <c r="G524" i="2"/>
  <c r="H524" i="2"/>
  <c r="AI524" i="2" s="1"/>
  <c r="I524" i="2"/>
  <c r="AL524" i="2" s="1"/>
  <c r="L524" i="2"/>
  <c r="V524" i="2"/>
  <c r="W524" i="2"/>
  <c r="AC524" i="2" s="1"/>
  <c r="X524" i="2"/>
  <c r="Y524" i="2"/>
  <c r="AB524" i="2"/>
  <c r="AE524" i="2"/>
  <c r="AF524" i="2"/>
  <c r="AH524" i="2"/>
  <c r="AJ524" i="2"/>
  <c r="AK524" i="2"/>
  <c r="B525" i="2"/>
  <c r="D525" i="2"/>
  <c r="E525" i="2"/>
  <c r="F525" i="2"/>
  <c r="G525" i="2"/>
  <c r="H525" i="2"/>
  <c r="I525" i="2"/>
  <c r="L525" i="2"/>
  <c r="X525" i="2" s="1"/>
  <c r="V525" i="2"/>
  <c r="W525" i="2"/>
  <c r="AC525" i="2" s="1"/>
  <c r="Y525" i="2"/>
  <c r="AB525" i="2"/>
  <c r="AE525" i="2"/>
  <c r="AH525" i="2"/>
  <c r="AK525" i="2"/>
  <c r="B526" i="2"/>
  <c r="D526" i="2"/>
  <c r="Z526" i="2" s="1"/>
  <c r="E526" i="2"/>
  <c r="AC526" i="2" s="1"/>
  <c r="F526" i="2"/>
  <c r="G526" i="2"/>
  <c r="H526" i="2"/>
  <c r="AI526" i="2" s="1"/>
  <c r="I526" i="2"/>
  <c r="AL526" i="2" s="1"/>
  <c r="L526" i="2"/>
  <c r="X526" i="2" s="1"/>
  <c r="V526" i="2"/>
  <c r="W526" i="2"/>
  <c r="Y526" i="2"/>
  <c r="AB526" i="2"/>
  <c r="AE526" i="2"/>
  <c r="AF526" i="2"/>
  <c r="AH526" i="2"/>
  <c r="AK526" i="2"/>
  <c r="B527" i="2"/>
  <c r="D527" i="2"/>
  <c r="E527" i="2"/>
  <c r="AC527" i="2" s="1"/>
  <c r="F527" i="2"/>
  <c r="G527" i="2"/>
  <c r="H527" i="2"/>
  <c r="I527" i="2"/>
  <c r="L527" i="2"/>
  <c r="X527" i="2" s="1"/>
  <c r="V527" i="2"/>
  <c r="W527" i="2"/>
  <c r="Y527" i="2"/>
  <c r="Z527" i="2"/>
  <c r="AB527" i="2"/>
  <c r="AD527" i="2"/>
  <c r="AE527" i="2"/>
  <c r="AH527" i="2"/>
  <c r="AK527" i="2"/>
  <c r="AL527" i="2"/>
  <c r="B528" i="2"/>
  <c r="D528" i="2"/>
  <c r="E528" i="2"/>
  <c r="AC528" i="2" s="1"/>
  <c r="F528" i="2"/>
  <c r="G528" i="2"/>
  <c r="H528" i="2"/>
  <c r="AF528" i="2" s="1"/>
  <c r="I528" i="2"/>
  <c r="L528" i="2"/>
  <c r="V528" i="2"/>
  <c r="W528" i="2"/>
  <c r="Z528" i="2" s="1"/>
  <c r="X528" i="2"/>
  <c r="AD528" i="2" s="1"/>
  <c r="Y528" i="2"/>
  <c r="AB528" i="2"/>
  <c r="AE528" i="2"/>
  <c r="AH528" i="2"/>
  <c r="AI528" i="2"/>
  <c r="AJ528" i="2"/>
  <c r="AK528" i="2"/>
  <c r="AL528" i="2" s="1"/>
  <c r="B529" i="2"/>
  <c r="D529" i="2"/>
  <c r="Z529" i="2" s="1"/>
  <c r="E529" i="2"/>
  <c r="F529" i="2"/>
  <c r="G529" i="2"/>
  <c r="H529" i="2"/>
  <c r="AF529" i="2" s="1"/>
  <c r="I529" i="2"/>
  <c r="L529" i="2"/>
  <c r="X529" i="2" s="1"/>
  <c r="V529" i="2"/>
  <c r="W529" i="2"/>
  <c r="AC529" i="2" s="1"/>
  <c r="Y529" i="2"/>
  <c r="AA529" i="2"/>
  <c r="AB529" i="2"/>
  <c r="AE529" i="2"/>
  <c r="AH529" i="2"/>
  <c r="AI529" i="2" s="1"/>
  <c r="AK529" i="2"/>
  <c r="AL529" i="2"/>
  <c r="B530" i="2"/>
  <c r="D530" i="2"/>
  <c r="Z530" i="2" s="1"/>
  <c r="E530" i="2"/>
  <c r="F530" i="2"/>
  <c r="G530" i="2"/>
  <c r="H530" i="2"/>
  <c r="AI530" i="2" s="1"/>
  <c r="I530" i="2"/>
  <c r="AL530" i="2" s="1"/>
  <c r="L530" i="2"/>
  <c r="V530" i="2"/>
  <c r="W530" i="2"/>
  <c r="AC530" i="2" s="1"/>
  <c r="X530" i="2"/>
  <c r="Y530" i="2"/>
  <c r="AB530" i="2"/>
  <c r="AE530" i="2"/>
  <c r="AF530" i="2"/>
  <c r="AH530" i="2"/>
  <c r="AJ530" i="2"/>
  <c r="AK530" i="2"/>
  <c r="B531" i="2"/>
  <c r="D531" i="2"/>
  <c r="Z531" i="2" s="1"/>
  <c r="E531" i="2"/>
  <c r="F531" i="2"/>
  <c r="G531" i="2"/>
  <c r="H531" i="2"/>
  <c r="I531" i="2"/>
  <c r="L531" i="2"/>
  <c r="X531" i="2" s="1"/>
  <c r="V531" i="2"/>
  <c r="W531" i="2"/>
  <c r="AC531" i="2" s="1"/>
  <c r="Y531" i="2"/>
  <c r="AB531" i="2"/>
  <c r="AE531" i="2"/>
  <c r="AH531" i="2"/>
  <c r="AI531" i="2" s="1"/>
  <c r="AK531" i="2"/>
  <c r="B532" i="2"/>
  <c r="D532" i="2"/>
  <c r="Z532" i="2" s="1"/>
  <c r="E532" i="2"/>
  <c r="AC532" i="2" s="1"/>
  <c r="F532" i="2"/>
  <c r="G532" i="2"/>
  <c r="H532" i="2"/>
  <c r="AI532" i="2" s="1"/>
  <c r="I532" i="2"/>
  <c r="AL532" i="2" s="1"/>
  <c r="L532" i="2"/>
  <c r="X532" i="2" s="1"/>
  <c r="V532" i="2"/>
  <c r="W532" i="2"/>
  <c r="Y532" i="2"/>
  <c r="AB532" i="2"/>
  <c r="AE532" i="2"/>
  <c r="AF532" i="2"/>
  <c r="AH532" i="2"/>
  <c r="AK532" i="2"/>
  <c r="B533" i="2"/>
  <c r="D533" i="2"/>
  <c r="E533" i="2"/>
  <c r="AC533" i="2" s="1"/>
  <c r="F533" i="2"/>
  <c r="G533" i="2"/>
  <c r="H533" i="2"/>
  <c r="I533" i="2"/>
  <c r="L533" i="2"/>
  <c r="X533" i="2" s="1"/>
  <c r="V533" i="2"/>
  <c r="W533" i="2"/>
  <c r="Y533" i="2"/>
  <c r="Z533" i="2"/>
  <c r="AB533" i="2"/>
  <c r="AD533" i="2"/>
  <c r="AE533" i="2"/>
  <c r="AH533" i="2"/>
  <c r="AK533" i="2"/>
  <c r="AL533" i="2"/>
  <c r="B534" i="2"/>
  <c r="D534" i="2"/>
  <c r="E534" i="2"/>
  <c r="AC534" i="2" s="1"/>
  <c r="F534" i="2"/>
  <c r="G534" i="2"/>
  <c r="H534" i="2"/>
  <c r="AF534" i="2" s="1"/>
  <c r="I534" i="2"/>
  <c r="L534" i="2"/>
  <c r="V534" i="2"/>
  <c r="W534" i="2"/>
  <c r="Z534" i="2" s="1"/>
  <c r="X534" i="2"/>
  <c r="AD534" i="2" s="1"/>
  <c r="Y534" i="2"/>
  <c r="AB534" i="2"/>
  <c r="AE534" i="2"/>
  <c r="AH534" i="2"/>
  <c r="AI534" i="2"/>
  <c r="AJ534" i="2"/>
  <c r="AK534" i="2"/>
  <c r="AL534" i="2" s="1"/>
  <c r="B535" i="2"/>
  <c r="D535" i="2"/>
  <c r="E535" i="2"/>
  <c r="F535" i="2"/>
  <c r="G535" i="2"/>
  <c r="H535" i="2"/>
  <c r="I535" i="2"/>
  <c r="L535" i="2"/>
  <c r="X535" i="2" s="1"/>
  <c r="V535" i="2"/>
  <c r="W535" i="2"/>
  <c r="AC535" i="2" s="1"/>
  <c r="Y535" i="2"/>
  <c r="Z535" i="2"/>
  <c r="AA535" i="2"/>
  <c r="AB535" i="2"/>
  <c r="AE535" i="2"/>
  <c r="AF535" i="2" s="1"/>
  <c r="AH535" i="2"/>
  <c r="AI535" i="2" s="1"/>
  <c r="AK535" i="2"/>
  <c r="AL535" i="2"/>
  <c r="B536" i="2"/>
  <c r="D536" i="2"/>
  <c r="Z536" i="2" s="1"/>
  <c r="E536" i="2"/>
  <c r="F536" i="2"/>
  <c r="G536" i="2"/>
  <c r="H536" i="2"/>
  <c r="AI536" i="2" s="1"/>
  <c r="I536" i="2"/>
  <c r="L536" i="2"/>
  <c r="V536" i="2"/>
  <c r="W536" i="2"/>
  <c r="AC536" i="2" s="1"/>
  <c r="X536" i="2"/>
  <c r="Y536" i="2"/>
  <c r="AB536" i="2"/>
  <c r="AE536" i="2"/>
  <c r="AF536" i="2"/>
  <c r="AH536" i="2"/>
  <c r="AJ536" i="2"/>
  <c r="AK536" i="2"/>
  <c r="B537" i="2"/>
  <c r="D537" i="2"/>
  <c r="Z537" i="2" s="1"/>
  <c r="E537" i="2"/>
  <c r="F537" i="2"/>
  <c r="G537" i="2"/>
  <c r="H537" i="2"/>
  <c r="I537" i="2"/>
  <c r="L537" i="2"/>
  <c r="X537" i="2" s="1"/>
  <c r="V537" i="2"/>
  <c r="W537" i="2"/>
  <c r="AC537" i="2" s="1"/>
  <c r="Y537" i="2"/>
  <c r="AB537" i="2"/>
  <c r="AE537" i="2"/>
  <c r="AH537" i="2"/>
  <c r="AI537" i="2"/>
  <c r="AK537" i="2"/>
  <c r="B538" i="2"/>
  <c r="D538" i="2"/>
  <c r="Z538" i="2" s="1"/>
  <c r="E538" i="2"/>
  <c r="AC538" i="2" s="1"/>
  <c r="F538" i="2"/>
  <c r="G538" i="2"/>
  <c r="H538" i="2"/>
  <c r="AI538" i="2" s="1"/>
  <c r="I538" i="2"/>
  <c r="AL538" i="2" s="1"/>
  <c r="L538" i="2"/>
  <c r="X538" i="2" s="1"/>
  <c r="V538" i="2"/>
  <c r="W538" i="2"/>
  <c r="Y538" i="2"/>
  <c r="AB538" i="2"/>
  <c r="AE538" i="2"/>
  <c r="AF538" i="2"/>
  <c r="AH538" i="2"/>
  <c r="AK538" i="2"/>
  <c r="B539" i="2"/>
  <c r="D539" i="2"/>
  <c r="E539" i="2"/>
  <c r="AC539" i="2" s="1"/>
  <c r="F539" i="2"/>
  <c r="G539" i="2"/>
  <c r="H539" i="2"/>
  <c r="I539" i="2"/>
  <c r="L539" i="2"/>
  <c r="X539" i="2" s="1"/>
  <c r="V539" i="2"/>
  <c r="W539" i="2"/>
  <c r="Y539" i="2"/>
  <c r="Z539" i="2"/>
  <c r="AB539" i="2"/>
  <c r="AD539" i="2"/>
  <c r="AE539" i="2"/>
  <c r="AH539" i="2"/>
  <c r="AK539" i="2"/>
  <c r="AL539" i="2"/>
  <c r="B540" i="2"/>
  <c r="D540" i="2"/>
  <c r="E540" i="2"/>
  <c r="F540" i="2"/>
  <c r="G540" i="2"/>
  <c r="H540" i="2"/>
  <c r="AF540" i="2" s="1"/>
  <c r="I540" i="2"/>
  <c r="L540" i="2"/>
  <c r="V540" i="2"/>
  <c r="W540" i="2"/>
  <c r="Z540" i="2" s="1"/>
  <c r="X540" i="2"/>
  <c r="AD540" i="2" s="1"/>
  <c r="Y540" i="2"/>
  <c r="AB540" i="2"/>
  <c r="AC540" i="2"/>
  <c r="AE540" i="2"/>
  <c r="AH540" i="2"/>
  <c r="AI540" i="2"/>
  <c r="AJ540" i="2"/>
  <c r="AK540" i="2"/>
  <c r="AL540" i="2" s="1"/>
  <c r="B541" i="2"/>
  <c r="D541" i="2"/>
  <c r="Z541" i="2" s="1"/>
  <c r="E541" i="2"/>
  <c r="F541" i="2"/>
  <c r="G541" i="2"/>
  <c r="H541" i="2"/>
  <c r="I541" i="2"/>
  <c r="L541" i="2"/>
  <c r="X541" i="2" s="1"/>
  <c r="V541" i="2"/>
  <c r="W541" i="2"/>
  <c r="AC541" i="2" s="1"/>
  <c r="Y541" i="2"/>
  <c r="AA541" i="2"/>
  <c r="AB541" i="2"/>
  <c r="AE541" i="2"/>
  <c r="AF541" i="2" s="1"/>
  <c r="AH541" i="2"/>
  <c r="AI541" i="2" s="1"/>
  <c r="AK541" i="2"/>
  <c r="AL541" i="2"/>
  <c r="AM541" i="2"/>
  <c r="B542" i="2"/>
  <c r="D542" i="2"/>
  <c r="E542" i="2"/>
  <c r="F542" i="2"/>
  <c r="G542" i="2"/>
  <c r="H542" i="2"/>
  <c r="AI542" i="2" s="1"/>
  <c r="I542" i="2"/>
  <c r="L542" i="2"/>
  <c r="V542" i="2"/>
  <c r="W542" i="2"/>
  <c r="AC542" i="2" s="1"/>
  <c r="X542" i="2"/>
  <c r="Y542" i="2"/>
  <c r="AB542" i="2"/>
  <c r="AE542" i="2"/>
  <c r="AF542" i="2"/>
  <c r="AH542" i="2"/>
  <c r="AJ542" i="2"/>
  <c r="AK542" i="2"/>
  <c r="B543" i="2"/>
  <c r="D543" i="2"/>
  <c r="E543" i="2"/>
  <c r="F543" i="2"/>
  <c r="G543" i="2"/>
  <c r="H543" i="2"/>
  <c r="I543" i="2"/>
  <c r="L543" i="2"/>
  <c r="X543" i="2" s="1"/>
  <c r="V543" i="2"/>
  <c r="W543" i="2"/>
  <c r="AC543" i="2" s="1"/>
  <c r="Y543" i="2"/>
  <c r="AB543" i="2"/>
  <c r="AE543" i="2"/>
  <c r="AH543" i="2"/>
  <c r="AI543" i="2"/>
  <c r="AK543" i="2"/>
  <c r="B544" i="2"/>
  <c r="D544" i="2"/>
  <c r="Z544" i="2" s="1"/>
  <c r="E544" i="2"/>
  <c r="AC544" i="2" s="1"/>
  <c r="F544" i="2"/>
  <c r="G544" i="2"/>
  <c r="H544" i="2"/>
  <c r="I544" i="2"/>
  <c r="AL544" i="2" s="1"/>
  <c r="L544" i="2"/>
  <c r="X544" i="2" s="1"/>
  <c r="V544" i="2"/>
  <c r="W544" i="2"/>
  <c r="Y544" i="2"/>
  <c r="AB544" i="2"/>
  <c r="AE544" i="2"/>
  <c r="AF544" i="2"/>
  <c r="AH544" i="2"/>
  <c r="AI544" i="2"/>
  <c r="AK544" i="2"/>
  <c r="B545" i="2"/>
  <c r="D545" i="2"/>
  <c r="E545" i="2"/>
  <c r="AC545" i="2" s="1"/>
  <c r="F545" i="2"/>
  <c r="G545" i="2"/>
  <c r="H545" i="2"/>
  <c r="I545" i="2"/>
  <c r="L545" i="2"/>
  <c r="X545" i="2" s="1"/>
  <c r="V545" i="2"/>
  <c r="W545" i="2"/>
  <c r="Y545" i="2"/>
  <c r="Z545" i="2"/>
  <c r="AB545" i="2"/>
  <c r="AD545" i="2"/>
  <c r="AE545" i="2"/>
  <c r="AH545" i="2"/>
  <c r="AK545" i="2"/>
  <c r="AL545" i="2"/>
  <c r="B546" i="2"/>
  <c r="D546" i="2"/>
  <c r="E546" i="2"/>
  <c r="F546" i="2"/>
  <c r="G546" i="2"/>
  <c r="H546" i="2"/>
  <c r="AF546" i="2" s="1"/>
  <c r="I546" i="2"/>
  <c r="L546" i="2"/>
  <c r="V546" i="2"/>
  <c r="W546" i="2"/>
  <c r="Z546" i="2" s="1"/>
  <c r="X546" i="2"/>
  <c r="Y546" i="2"/>
  <c r="AB546" i="2"/>
  <c r="AC546" i="2"/>
  <c r="AE546" i="2"/>
  <c r="AH546" i="2"/>
  <c r="AI546" i="2"/>
  <c r="AK546" i="2"/>
  <c r="AL546" i="2" s="1"/>
  <c r="B547" i="2"/>
  <c r="D547" i="2"/>
  <c r="Z547" i="2" s="1"/>
  <c r="E547" i="2"/>
  <c r="F547" i="2"/>
  <c r="G547" i="2"/>
  <c r="H547" i="2"/>
  <c r="I547" i="2"/>
  <c r="L547" i="2"/>
  <c r="X547" i="2" s="1"/>
  <c r="V547" i="2"/>
  <c r="W547" i="2"/>
  <c r="AC547" i="2" s="1"/>
  <c r="Y547" i="2"/>
  <c r="AA547" i="2"/>
  <c r="AB547" i="2"/>
  <c r="AE547" i="2"/>
  <c r="AH547" i="2"/>
  <c r="AI547" i="2" s="1"/>
  <c r="AK547" i="2"/>
  <c r="AL547" i="2"/>
  <c r="AM547" i="2"/>
  <c r="B548" i="2"/>
  <c r="D548" i="2"/>
  <c r="E548" i="2"/>
  <c r="F548" i="2"/>
  <c r="G548" i="2"/>
  <c r="H548" i="2"/>
  <c r="AI548" i="2" s="1"/>
  <c r="I548" i="2"/>
  <c r="L548" i="2"/>
  <c r="V548" i="2"/>
  <c r="W548" i="2"/>
  <c r="AC548" i="2" s="1"/>
  <c r="X548" i="2"/>
  <c r="Y548" i="2"/>
  <c r="AB548" i="2"/>
  <c r="AE548" i="2"/>
  <c r="AF548" i="2"/>
  <c r="AH548" i="2"/>
  <c r="AJ548" i="2"/>
  <c r="AK548" i="2"/>
  <c r="B549" i="2"/>
  <c r="D549" i="2"/>
  <c r="Z549" i="2" s="1"/>
  <c r="E549" i="2"/>
  <c r="F549" i="2"/>
  <c r="G549" i="2"/>
  <c r="H549" i="2"/>
  <c r="I549" i="2"/>
  <c r="L549" i="2"/>
  <c r="X549" i="2" s="1"/>
  <c r="V549" i="2"/>
  <c r="W549" i="2"/>
  <c r="AC549" i="2" s="1"/>
  <c r="Y549" i="2"/>
  <c r="AB549" i="2"/>
  <c r="AD549" i="2"/>
  <c r="AE549" i="2"/>
  <c r="AH549" i="2"/>
  <c r="AI549" i="2"/>
  <c r="AK549" i="2"/>
  <c r="B550" i="2"/>
  <c r="D550" i="2"/>
  <c r="Z550" i="2" s="1"/>
  <c r="E550" i="2"/>
  <c r="AC550" i="2" s="1"/>
  <c r="F550" i="2"/>
  <c r="G550" i="2"/>
  <c r="H550" i="2"/>
  <c r="I550" i="2"/>
  <c r="AL550" i="2" s="1"/>
  <c r="L550" i="2"/>
  <c r="X550" i="2" s="1"/>
  <c r="V550" i="2"/>
  <c r="W550" i="2"/>
  <c r="Y550" i="2"/>
  <c r="AB550" i="2"/>
  <c r="AE550" i="2"/>
  <c r="AF550" i="2"/>
  <c r="AH550" i="2"/>
  <c r="AI550" i="2"/>
  <c r="AK550" i="2"/>
  <c r="B551" i="2"/>
  <c r="D551" i="2"/>
  <c r="E551" i="2"/>
  <c r="AC551" i="2" s="1"/>
  <c r="F551" i="2"/>
  <c r="G551" i="2"/>
  <c r="H551" i="2"/>
  <c r="I551" i="2"/>
  <c r="L551" i="2"/>
  <c r="X551" i="2" s="1"/>
  <c r="V551" i="2"/>
  <c r="W551" i="2"/>
  <c r="Y551" i="2"/>
  <c r="Z551" i="2"/>
  <c r="AA551" i="2"/>
  <c r="AB551" i="2"/>
  <c r="AD551" i="2"/>
  <c r="AE551" i="2"/>
  <c r="AH551" i="2"/>
  <c r="AK551" i="2"/>
  <c r="AL551" i="2"/>
  <c r="AM551" i="2"/>
  <c r="B552" i="2"/>
  <c r="D552" i="2"/>
  <c r="E552" i="2"/>
  <c r="AC552" i="2" s="1"/>
  <c r="F552" i="2"/>
  <c r="G552" i="2"/>
  <c r="H552" i="2"/>
  <c r="AF552" i="2" s="1"/>
  <c r="I552" i="2"/>
  <c r="L552" i="2"/>
  <c r="V552" i="2"/>
  <c r="W552" i="2"/>
  <c r="X552" i="2"/>
  <c r="Y552" i="2"/>
  <c r="Z552" i="2" s="1"/>
  <c r="AB552" i="2"/>
  <c r="AE552" i="2"/>
  <c r="AH552" i="2"/>
  <c r="AI552" i="2"/>
  <c r="AJ552" i="2"/>
  <c r="AK552" i="2"/>
  <c r="AL552" i="2" s="1"/>
  <c r="B553" i="2"/>
  <c r="D553" i="2"/>
  <c r="E553" i="2"/>
  <c r="F553" i="2"/>
  <c r="G553" i="2"/>
  <c r="H553" i="2"/>
  <c r="I553" i="2"/>
  <c r="L553" i="2"/>
  <c r="V553" i="2"/>
  <c r="W553" i="2"/>
  <c r="X553" i="2"/>
  <c r="AD553" i="2" s="1"/>
  <c r="Y553" i="2"/>
  <c r="Z553" i="2"/>
  <c r="AB553" i="2"/>
  <c r="AE553" i="2"/>
  <c r="AH553" i="2"/>
  <c r="AI553" i="2" s="1"/>
  <c r="AJ553" i="2"/>
  <c r="AK553" i="2"/>
  <c r="AL553" i="2"/>
  <c r="AM553" i="2"/>
  <c r="B554" i="2"/>
  <c r="D554" i="2"/>
  <c r="Z554" i="2" s="1"/>
  <c r="E554" i="2"/>
  <c r="F554" i="2"/>
  <c r="G554" i="2"/>
  <c r="H554" i="2"/>
  <c r="AI554" i="2" s="1"/>
  <c r="I554" i="2"/>
  <c r="L554" i="2"/>
  <c r="V554" i="2"/>
  <c r="W554" i="2"/>
  <c r="AC554" i="2" s="1"/>
  <c r="X554" i="2"/>
  <c r="Y554" i="2"/>
  <c r="AB554" i="2"/>
  <c r="AE554" i="2"/>
  <c r="AH554" i="2"/>
  <c r="AK554" i="2"/>
  <c r="B555" i="2"/>
  <c r="D555" i="2"/>
  <c r="Z555" i="2" s="1"/>
  <c r="E555" i="2"/>
  <c r="F555" i="2"/>
  <c r="G555" i="2"/>
  <c r="H555" i="2"/>
  <c r="AI555" i="2" s="1"/>
  <c r="I555" i="2"/>
  <c r="AL555" i="2" s="1"/>
  <c r="L555" i="2"/>
  <c r="X555" i="2" s="1"/>
  <c r="V555" i="2"/>
  <c r="W555" i="2"/>
  <c r="Y555" i="2"/>
  <c r="AB555" i="2"/>
  <c r="AC555" i="2"/>
  <c r="AD555" i="2"/>
  <c r="AE555" i="2"/>
  <c r="AH555" i="2"/>
  <c r="AK555" i="2"/>
  <c r="B556" i="2"/>
  <c r="D556" i="2"/>
  <c r="Z556" i="2" s="1"/>
  <c r="E556" i="2"/>
  <c r="F556" i="2"/>
  <c r="G556" i="2"/>
  <c r="H556" i="2"/>
  <c r="AI556" i="2" s="1"/>
  <c r="I556" i="2"/>
  <c r="AL556" i="2" s="1"/>
  <c r="L556" i="2"/>
  <c r="X556" i="2" s="1"/>
  <c r="AJ556" i="2" s="1"/>
  <c r="V556" i="2"/>
  <c r="W556" i="2"/>
  <c r="Y556" i="2"/>
  <c r="AA556" i="2"/>
  <c r="AB556" i="2"/>
  <c r="AC556" i="2"/>
  <c r="AE556" i="2"/>
  <c r="AF556" i="2"/>
  <c r="AH556" i="2"/>
  <c r="AK556" i="2"/>
  <c r="B557" i="2"/>
  <c r="D557" i="2"/>
  <c r="Z557" i="2" s="1"/>
  <c r="E557" i="2"/>
  <c r="AC557" i="2" s="1"/>
  <c r="F557" i="2"/>
  <c r="G557" i="2"/>
  <c r="H557" i="2"/>
  <c r="I557" i="2"/>
  <c r="L557" i="2"/>
  <c r="X557" i="2" s="1"/>
  <c r="AA557" i="2" s="1"/>
  <c r="V557" i="2"/>
  <c r="W557" i="2"/>
  <c r="Y557" i="2"/>
  <c r="AB557" i="2"/>
  <c r="AD557" i="2"/>
  <c r="AE557" i="2"/>
  <c r="AH557" i="2"/>
  <c r="AK557" i="2"/>
  <c r="AL557" i="2"/>
  <c r="AM557" i="2"/>
  <c r="B558" i="2"/>
  <c r="D558" i="2"/>
  <c r="E558" i="2"/>
  <c r="F558" i="2"/>
  <c r="G558" i="2"/>
  <c r="H558" i="2"/>
  <c r="AF558" i="2" s="1"/>
  <c r="I558" i="2"/>
  <c r="L558" i="2"/>
  <c r="V558" i="2"/>
  <c r="W558" i="2"/>
  <c r="X558" i="2"/>
  <c r="Y558" i="2"/>
  <c r="Z558" i="2" s="1"/>
  <c r="AB558" i="2"/>
  <c r="AC558" i="2"/>
  <c r="AE558" i="2"/>
  <c r="AH558" i="2"/>
  <c r="AI558" i="2"/>
  <c r="AJ558" i="2"/>
  <c r="AK558" i="2"/>
  <c r="AL558" i="2"/>
  <c r="B559" i="2"/>
  <c r="D559" i="2"/>
  <c r="Z559" i="2" s="1"/>
  <c r="E559" i="2"/>
  <c r="F559" i="2"/>
  <c r="G559" i="2"/>
  <c r="H559" i="2"/>
  <c r="I559" i="2"/>
  <c r="L559" i="2"/>
  <c r="X559" i="2" s="1"/>
  <c r="V559" i="2"/>
  <c r="W559" i="2"/>
  <c r="AC559" i="2" s="1"/>
  <c r="Y559" i="2"/>
  <c r="AB559" i="2"/>
  <c r="AE559" i="2"/>
  <c r="AH559" i="2"/>
  <c r="AI559" i="2" s="1"/>
  <c r="AK559" i="2"/>
  <c r="AL559" i="2"/>
  <c r="B560" i="2"/>
  <c r="D560" i="2"/>
  <c r="E560" i="2"/>
  <c r="F560" i="2"/>
  <c r="G560" i="2"/>
  <c r="H560" i="2"/>
  <c r="AF560" i="2" s="1"/>
  <c r="I560" i="2"/>
  <c r="L560" i="2"/>
  <c r="V560" i="2"/>
  <c r="W560" i="2"/>
  <c r="AC560" i="2" s="1"/>
  <c r="X560" i="2"/>
  <c r="Y560" i="2"/>
  <c r="AB560" i="2"/>
  <c r="AE560" i="2"/>
  <c r="AH560" i="2"/>
  <c r="AK560" i="2"/>
  <c r="B561" i="2"/>
  <c r="D561" i="2"/>
  <c r="Z561" i="2" s="1"/>
  <c r="E561" i="2"/>
  <c r="F561" i="2"/>
  <c r="G561" i="2"/>
  <c r="H561" i="2"/>
  <c r="I561" i="2"/>
  <c r="L561" i="2"/>
  <c r="X561" i="2" s="1"/>
  <c r="V561" i="2"/>
  <c r="W561" i="2"/>
  <c r="AI561" i="2" s="1"/>
  <c r="Y561" i="2"/>
  <c r="AB561" i="2"/>
  <c r="AD561" i="2"/>
  <c r="AE561" i="2"/>
  <c r="AF561" i="2" s="1"/>
  <c r="AH561" i="2"/>
  <c r="AK561" i="2"/>
  <c r="B562" i="2"/>
  <c r="D562" i="2"/>
  <c r="Z562" i="2" s="1"/>
  <c r="E562" i="2"/>
  <c r="AC562" i="2" s="1"/>
  <c r="F562" i="2"/>
  <c r="G562" i="2"/>
  <c r="H562" i="2"/>
  <c r="AI562" i="2" s="1"/>
  <c r="I562" i="2"/>
  <c r="AL562" i="2" s="1"/>
  <c r="L562" i="2"/>
  <c r="X562" i="2" s="1"/>
  <c r="AJ562" i="2" s="1"/>
  <c r="V562" i="2"/>
  <c r="W562" i="2"/>
  <c r="Y562" i="2"/>
  <c r="AA562" i="2"/>
  <c r="AB562" i="2"/>
  <c r="AD562" i="2"/>
  <c r="AE562" i="2"/>
  <c r="AG562" i="2"/>
  <c r="AH562" i="2"/>
  <c r="AK562" i="2"/>
  <c r="B563" i="2"/>
  <c r="D563" i="2"/>
  <c r="Z563" i="2" s="1"/>
  <c r="E563" i="2"/>
  <c r="F563" i="2"/>
  <c r="G563" i="2"/>
  <c r="H563" i="2"/>
  <c r="I563" i="2"/>
  <c r="L563" i="2"/>
  <c r="X563" i="2" s="1"/>
  <c r="AJ563" i="2" s="1"/>
  <c r="V563" i="2"/>
  <c r="W563" i="2"/>
  <c r="Y563" i="2"/>
  <c r="AB563" i="2"/>
  <c r="AC563" i="2" s="1"/>
  <c r="AE563" i="2"/>
  <c r="AH563" i="2"/>
  <c r="AK563" i="2"/>
  <c r="AL563" i="2"/>
  <c r="B564" i="2"/>
  <c r="D564" i="2"/>
  <c r="E564" i="2"/>
  <c r="F564" i="2"/>
  <c r="G564" i="2"/>
  <c r="H564" i="2"/>
  <c r="I564" i="2"/>
  <c r="L564" i="2"/>
  <c r="V564" i="2"/>
  <c r="W564" i="2"/>
  <c r="Z564" i="2" s="1"/>
  <c r="X564" i="2"/>
  <c r="AG564" i="2" s="1"/>
  <c r="Y564" i="2"/>
  <c r="AB564" i="2"/>
  <c r="AE564" i="2"/>
  <c r="AH564" i="2"/>
  <c r="AK564" i="2"/>
  <c r="AL564" i="2"/>
  <c r="B565" i="2"/>
  <c r="D565" i="2"/>
  <c r="E565" i="2"/>
  <c r="F565" i="2"/>
  <c r="G565" i="2"/>
  <c r="H565" i="2"/>
  <c r="I565" i="2"/>
  <c r="L565" i="2"/>
  <c r="V565" i="2"/>
  <c r="W565" i="2"/>
  <c r="Z565" i="2" s="1"/>
  <c r="X565" i="2"/>
  <c r="AD565" i="2" s="1"/>
  <c r="Y565" i="2"/>
  <c r="AB565" i="2"/>
  <c r="AE565" i="2"/>
  <c r="AH565" i="2"/>
  <c r="AI565" i="2" s="1"/>
  <c r="AK565" i="2"/>
  <c r="AL565" i="2"/>
  <c r="B566" i="2"/>
  <c r="D566" i="2"/>
  <c r="E566" i="2"/>
  <c r="F566" i="2"/>
  <c r="G566" i="2"/>
  <c r="H566" i="2"/>
  <c r="AI566" i="2" s="1"/>
  <c r="I566" i="2"/>
  <c r="AL566" i="2" s="1"/>
  <c r="L566" i="2"/>
  <c r="V566" i="2"/>
  <c r="W566" i="2"/>
  <c r="Z566" i="2" s="1"/>
  <c r="X566" i="2"/>
  <c r="AD566" i="2" s="1"/>
  <c r="Y566" i="2"/>
  <c r="AB566" i="2"/>
  <c r="AE566" i="2"/>
  <c r="AH566" i="2"/>
  <c r="AK566" i="2"/>
  <c r="B567" i="2"/>
  <c r="D567" i="2"/>
  <c r="Z567" i="2" s="1"/>
  <c r="E567" i="2"/>
  <c r="F567" i="2"/>
  <c r="G567" i="2"/>
  <c r="H567" i="2"/>
  <c r="AF567" i="2" s="1"/>
  <c r="I567" i="2"/>
  <c r="AL567" i="2" s="1"/>
  <c r="L567" i="2"/>
  <c r="X567" i="2" s="1"/>
  <c r="V567" i="2"/>
  <c r="W567" i="2"/>
  <c r="Y567" i="2"/>
  <c r="AB567" i="2"/>
  <c r="AC567" i="2" s="1"/>
  <c r="AE567" i="2"/>
  <c r="AH567" i="2"/>
  <c r="AI567" i="2"/>
  <c r="AK567" i="2"/>
  <c r="B568" i="2"/>
  <c r="D568" i="2"/>
  <c r="E568" i="2"/>
  <c r="F568" i="2"/>
  <c r="G568" i="2"/>
  <c r="H568" i="2"/>
  <c r="AI568" i="2" s="1"/>
  <c r="I568" i="2"/>
  <c r="AL568" i="2" s="1"/>
  <c r="L568" i="2"/>
  <c r="X568" i="2" s="1"/>
  <c r="V568" i="2"/>
  <c r="W568" i="2"/>
  <c r="Y568" i="2"/>
  <c r="Z568" i="2"/>
  <c r="AB568" i="2"/>
  <c r="AC568" i="2"/>
  <c r="AE568" i="2"/>
  <c r="AF568" i="2"/>
  <c r="AH568" i="2"/>
  <c r="AK568" i="2"/>
  <c r="B569" i="2"/>
  <c r="D569" i="2"/>
  <c r="Z569" i="2" s="1"/>
  <c r="E569" i="2"/>
  <c r="AC569" i="2" s="1"/>
  <c r="F569" i="2"/>
  <c r="G569" i="2"/>
  <c r="H569" i="2"/>
  <c r="AF569" i="2" s="1"/>
  <c r="I569" i="2"/>
  <c r="L569" i="2"/>
  <c r="V569" i="2"/>
  <c r="W569" i="2"/>
  <c r="X569" i="2"/>
  <c r="AG569" i="2" s="1"/>
  <c r="Y569" i="2"/>
  <c r="AA569" i="2"/>
  <c r="AB569" i="2"/>
  <c r="AD569" i="2"/>
  <c r="AE569" i="2"/>
  <c r="AH569" i="2"/>
  <c r="AJ569" i="2"/>
  <c r="AK569" i="2"/>
  <c r="AL569" i="2"/>
  <c r="AM569" i="2"/>
  <c r="B570" i="2"/>
  <c r="D570" i="2"/>
  <c r="E570" i="2"/>
  <c r="F570" i="2"/>
  <c r="G570" i="2"/>
  <c r="H570" i="2"/>
  <c r="AF570" i="2" s="1"/>
  <c r="I570" i="2"/>
  <c r="L570" i="2"/>
  <c r="V570" i="2"/>
  <c r="W570" i="2"/>
  <c r="X570" i="2"/>
  <c r="AD570" i="2" s="1"/>
  <c r="Y570" i="2"/>
  <c r="Z570" i="2" s="1"/>
  <c r="AB570" i="2"/>
  <c r="AC570" i="2"/>
  <c r="AE570" i="2"/>
  <c r="AH570" i="2"/>
  <c r="AI570" i="2" s="1"/>
  <c r="AJ570" i="2"/>
  <c r="AK570" i="2"/>
  <c r="AL570" i="2" s="1"/>
  <c r="B571" i="2"/>
  <c r="D571" i="2"/>
  <c r="Z571" i="2" s="1"/>
  <c r="E571" i="2"/>
  <c r="F571" i="2"/>
  <c r="G571" i="2"/>
  <c r="H571" i="2"/>
  <c r="I571" i="2"/>
  <c r="L571" i="2"/>
  <c r="V571" i="2"/>
  <c r="W571" i="2"/>
  <c r="AC571" i="2" s="1"/>
  <c r="X571" i="2"/>
  <c r="AD571" i="2" s="1"/>
  <c r="Y571" i="2"/>
  <c r="AA571" i="2"/>
  <c r="AB571" i="2"/>
  <c r="AE571" i="2"/>
  <c r="AH571" i="2"/>
  <c r="AI571" i="2"/>
  <c r="AJ571" i="2"/>
  <c r="AK571" i="2"/>
  <c r="AL571" i="2"/>
  <c r="AM571" i="2"/>
  <c r="B572" i="2"/>
  <c r="D572" i="2"/>
  <c r="Z572" i="2" s="1"/>
  <c r="E572" i="2"/>
  <c r="F572" i="2"/>
  <c r="G572" i="2"/>
  <c r="H572" i="2"/>
  <c r="I572" i="2"/>
  <c r="AL572" i="2" s="1"/>
  <c r="L572" i="2"/>
  <c r="V572" i="2"/>
  <c r="W572" i="2"/>
  <c r="AC572" i="2" s="1"/>
  <c r="X572" i="2"/>
  <c r="AA572" i="2" s="1"/>
  <c r="Y572" i="2"/>
  <c r="AB572" i="2"/>
  <c r="AE572" i="2"/>
  <c r="AF572" i="2"/>
  <c r="AH572" i="2"/>
  <c r="AI572" i="2" s="1"/>
  <c r="AK572" i="2"/>
  <c r="B573" i="2"/>
  <c r="D573" i="2"/>
  <c r="Z573" i="2" s="1"/>
  <c r="E573" i="2"/>
  <c r="AC573" i="2" s="1"/>
  <c r="F573" i="2"/>
  <c r="G573" i="2"/>
  <c r="H573" i="2"/>
  <c r="AF573" i="2" s="1"/>
  <c r="I573" i="2"/>
  <c r="AL573" i="2" s="1"/>
  <c r="L573" i="2"/>
  <c r="X573" i="2" s="1"/>
  <c r="V573" i="2"/>
  <c r="W573" i="2"/>
  <c r="AI573" i="2" s="1"/>
  <c r="Y573" i="2"/>
  <c r="AB573" i="2"/>
  <c r="AE573" i="2"/>
  <c r="AH573" i="2"/>
  <c r="AK573" i="2"/>
  <c r="B574" i="2"/>
  <c r="D574" i="2"/>
  <c r="E574" i="2"/>
  <c r="F574" i="2"/>
  <c r="G574" i="2"/>
  <c r="H574" i="2"/>
  <c r="AI574" i="2" s="1"/>
  <c r="I574" i="2"/>
  <c r="AL574" i="2" s="1"/>
  <c r="L574" i="2"/>
  <c r="X574" i="2" s="1"/>
  <c r="V574" i="2"/>
  <c r="W574" i="2"/>
  <c r="Y574" i="2"/>
  <c r="Z574" i="2"/>
  <c r="AB574" i="2"/>
  <c r="AC574" i="2"/>
  <c r="AE574" i="2"/>
  <c r="AF574" i="2"/>
  <c r="AH574" i="2"/>
  <c r="AK574" i="2"/>
  <c r="B575" i="2"/>
  <c r="D575" i="2"/>
  <c r="Z575" i="2" s="1"/>
  <c r="E575" i="2"/>
  <c r="AC575" i="2" s="1"/>
  <c r="F575" i="2"/>
  <c r="G575" i="2"/>
  <c r="H575" i="2"/>
  <c r="AF575" i="2" s="1"/>
  <c r="I575" i="2"/>
  <c r="L575" i="2"/>
  <c r="V575" i="2"/>
  <c r="W575" i="2"/>
  <c r="X575" i="2"/>
  <c r="AG575" i="2" s="1"/>
  <c r="Y575" i="2"/>
  <c r="AA575" i="2"/>
  <c r="AB575" i="2"/>
  <c r="AD575" i="2"/>
  <c r="AE575" i="2"/>
  <c r="AH575" i="2"/>
  <c r="AJ575" i="2"/>
  <c r="AK575" i="2"/>
  <c r="AL575" i="2"/>
  <c r="AM575" i="2"/>
  <c r="B576" i="2"/>
  <c r="D576" i="2"/>
  <c r="E576" i="2"/>
  <c r="F576" i="2"/>
  <c r="G576" i="2"/>
  <c r="H576" i="2"/>
  <c r="AF576" i="2" s="1"/>
  <c r="I576" i="2"/>
  <c r="L576" i="2"/>
  <c r="V576" i="2"/>
  <c r="W576" i="2"/>
  <c r="X576" i="2"/>
  <c r="AD576" i="2" s="1"/>
  <c r="Y576" i="2"/>
  <c r="Z576" i="2" s="1"/>
  <c r="AB576" i="2"/>
  <c r="AC576" i="2"/>
  <c r="AE576" i="2"/>
  <c r="AH576" i="2"/>
  <c r="AI576" i="2" s="1"/>
  <c r="AJ576" i="2"/>
  <c r="AK576" i="2"/>
  <c r="AL576" i="2" s="1"/>
  <c r="B577" i="2"/>
  <c r="D577" i="2"/>
  <c r="Z577" i="2" s="1"/>
  <c r="E577" i="2"/>
  <c r="F577" i="2"/>
  <c r="G577" i="2"/>
  <c r="H577" i="2"/>
  <c r="I577" i="2"/>
  <c r="L577" i="2"/>
  <c r="V577" i="2"/>
  <c r="W577" i="2"/>
  <c r="AC577" i="2" s="1"/>
  <c r="X577" i="2"/>
  <c r="AD577" i="2" s="1"/>
  <c r="Y577" i="2"/>
  <c r="AA577" i="2"/>
  <c r="AB577" i="2"/>
  <c r="AE577" i="2"/>
  <c r="AH577" i="2"/>
  <c r="AI577" i="2"/>
  <c r="AJ577" i="2"/>
  <c r="AK577" i="2"/>
  <c r="AL577" i="2"/>
  <c r="AM577" i="2"/>
  <c r="B578" i="2"/>
  <c r="D578" i="2"/>
  <c r="Z578" i="2" s="1"/>
  <c r="E578" i="2"/>
  <c r="AC578" i="2" s="1"/>
  <c r="F578" i="2"/>
  <c r="G578" i="2"/>
  <c r="H578" i="2"/>
  <c r="I578" i="2"/>
  <c r="AL578" i="2" s="1"/>
  <c r="L578" i="2"/>
  <c r="V578" i="2"/>
  <c r="W578" i="2"/>
  <c r="X578" i="2"/>
  <c r="AA578" i="2" s="1"/>
  <c r="Y578" i="2"/>
  <c r="AB578" i="2"/>
  <c r="AE578" i="2"/>
  <c r="AF578" i="2"/>
  <c r="AH578" i="2"/>
  <c r="AI578" i="2" s="1"/>
  <c r="AJ578" i="2"/>
  <c r="AK578" i="2"/>
  <c r="B579" i="2"/>
  <c r="D579" i="2"/>
  <c r="E579" i="2"/>
  <c r="AC579" i="2" s="1"/>
  <c r="F579" i="2"/>
  <c r="G579" i="2"/>
  <c r="H579" i="2"/>
  <c r="AF579" i="2" s="1"/>
  <c r="I579" i="2"/>
  <c r="AL579" i="2" s="1"/>
  <c r="L579" i="2"/>
  <c r="X579" i="2" s="1"/>
  <c r="V579" i="2"/>
  <c r="W579" i="2"/>
  <c r="Z579" i="2" s="1"/>
  <c r="Y579" i="2"/>
  <c r="AB579" i="2"/>
  <c r="AE579" i="2"/>
  <c r="AH579" i="2"/>
  <c r="AI579" i="2"/>
  <c r="AK579" i="2"/>
  <c r="B580" i="2"/>
  <c r="D580" i="2"/>
  <c r="E580" i="2"/>
  <c r="F580" i="2"/>
  <c r="G580" i="2"/>
  <c r="H580" i="2"/>
  <c r="AI580" i="2" s="1"/>
  <c r="I580" i="2"/>
  <c r="AL580" i="2" s="1"/>
  <c r="L580" i="2"/>
  <c r="X580" i="2" s="1"/>
  <c r="V580" i="2"/>
  <c r="W580" i="2"/>
  <c r="Y580" i="2"/>
  <c r="Z580" i="2"/>
  <c r="AB580" i="2"/>
  <c r="AC580" i="2"/>
  <c r="AE580" i="2"/>
  <c r="AF580" i="2"/>
  <c r="AH580" i="2"/>
  <c r="AK580" i="2"/>
  <c r="B581" i="2"/>
  <c r="D581" i="2"/>
  <c r="Z581" i="2" s="1"/>
  <c r="E581" i="2"/>
  <c r="AC581" i="2" s="1"/>
  <c r="F581" i="2"/>
  <c r="G581" i="2"/>
  <c r="H581" i="2"/>
  <c r="AF581" i="2" s="1"/>
  <c r="I581" i="2"/>
  <c r="L581" i="2"/>
  <c r="V581" i="2"/>
  <c r="W581" i="2"/>
  <c r="X581" i="2"/>
  <c r="AG581" i="2" s="1"/>
  <c r="Y581" i="2"/>
  <c r="AA581" i="2"/>
  <c r="AB581" i="2"/>
  <c r="AD581" i="2"/>
  <c r="AE581" i="2"/>
  <c r="AH581" i="2"/>
  <c r="AJ581" i="2"/>
  <c r="AK581" i="2"/>
  <c r="AL581" i="2"/>
  <c r="AM581" i="2"/>
  <c r="B582" i="2"/>
  <c r="D582" i="2"/>
  <c r="E582" i="2"/>
  <c r="F582" i="2"/>
  <c r="G582" i="2"/>
  <c r="H582" i="2"/>
  <c r="AF582" i="2" s="1"/>
  <c r="I582" i="2"/>
  <c r="L582" i="2"/>
  <c r="V582" i="2"/>
  <c r="W582" i="2"/>
  <c r="X582" i="2"/>
  <c r="AD582" i="2" s="1"/>
  <c r="Y582" i="2"/>
  <c r="Z582" i="2" s="1"/>
  <c r="AB582" i="2"/>
  <c r="AC582" i="2"/>
  <c r="AE582" i="2"/>
  <c r="AH582" i="2"/>
  <c r="AI582" i="2" s="1"/>
  <c r="AJ582" i="2"/>
  <c r="AK582" i="2"/>
  <c r="AL582" i="2" s="1"/>
  <c r="B583" i="2"/>
  <c r="D583" i="2"/>
  <c r="Z583" i="2" s="1"/>
  <c r="E583" i="2"/>
  <c r="F583" i="2"/>
  <c r="G583" i="2"/>
  <c r="H583" i="2"/>
  <c r="I583" i="2"/>
  <c r="L583" i="2"/>
  <c r="V583" i="2"/>
  <c r="W583" i="2"/>
  <c r="AC583" i="2" s="1"/>
  <c r="X583" i="2"/>
  <c r="AD583" i="2" s="1"/>
  <c r="Y583" i="2"/>
  <c r="AA583" i="2"/>
  <c r="AB583" i="2"/>
  <c r="AE583" i="2"/>
  <c r="AH583" i="2"/>
  <c r="AI583" i="2"/>
  <c r="AJ583" i="2"/>
  <c r="AK583" i="2"/>
  <c r="AL583" i="2"/>
  <c r="AM583" i="2"/>
  <c r="B584" i="2"/>
  <c r="D584" i="2"/>
  <c r="Z584" i="2" s="1"/>
  <c r="E584" i="2"/>
  <c r="AC584" i="2" s="1"/>
  <c r="F584" i="2"/>
  <c r="G584" i="2"/>
  <c r="H584" i="2"/>
  <c r="AI584" i="2" s="1"/>
  <c r="I584" i="2"/>
  <c r="AL584" i="2" s="1"/>
  <c r="L584" i="2"/>
  <c r="V584" i="2"/>
  <c r="W584" i="2"/>
  <c r="X584" i="2"/>
  <c r="AA584" i="2" s="1"/>
  <c r="Y584" i="2"/>
  <c r="AB584" i="2"/>
  <c r="AE584" i="2"/>
  <c r="AF584" i="2"/>
  <c r="AH584" i="2"/>
  <c r="AK584" i="2"/>
  <c r="B585" i="2"/>
  <c r="D585" i="2"/>
  <c r="E585" i="2"/>
  <c r="AC585" i="2" s="1"/>
  <c r="F585" i="2"/>
  <c r="G585" i="2"/>
  <c r="H585" i="2"/>
  <c r="AF585" i="2" s="1"/>
  <c r="I585" i="2"/>
  <c r="AL585" i="2" s="1"/>
  <c r="L585" i="2"/>
  <c r="X585" i="2" s="1"/>
  <c r="V585" i="2"/>
  <c r="W585" i="2"/>
  <c r="Z585" i="2" s="1"/>
  <c r="Y585" i="2"/>
  <c r="AB585" i="2"/>
  <c r="AE585" i="2"/>
  <c r="AH585" i="2"/>
  <c r="AI585" i="2"/>
  <c r="AK585" i="2"/>
  <c r="B586" i="2"/>
  <c r="D586" i="2"/>
  <c r="E586" i="2"/>
  <c r="F586" i="2"/>
  <c r="G586" i="2"/>
  <c r="H586" i="2"/>
  <c r="AI586" i="2" s="1"/>
  <c r="I586" i="2"/>
  <c r="AL586" i="2" s="1"/>
  <c r="L586" i="2"/>
  <c r="X586" i="2" s="1"/>
  <c r="V586" i="2"/>
  <c r="W586" i="2"/>
  <c r="Y586" i="2"/>
  <c r="Z586" i="2"/>
  <c r="AB586" i="2"/>
  <c r="AC586" i="2"/>
  <c r="AE586" i="2"/>
  <c r="AF586" i="2"/>
  <c r="AH586" i="2"/>
  <c r="AK586" i="2"/>
  <c r="B587" i="2"/>
  <c r="D587" i="2"/>
  <c r="Z587" i="2" s="1"/>
  <c r="E587" i="2"/>
  <c r="AC587" i="2" s="1"/>
  <c r="F587" i="2"/>
  <c r="G587" i="2"/>
  <c r="H587" i="2"/>
  <c r="AF587" i="2" s="1"/>
  <c r="I587" i="2"/>
  <c r="L587" i="2"/>
  <c r="V587" i="2"/>
  <c r="W587" i="2"/>
  <c r="X587" i="2"/>
  <c r="AG587" i="2" s="1"/>
  <c r="Y587" i="2"/>
  <c r="AA587" i="2"/>
  <c r="AB587" i="2"/>
  <c r="AD587" i="2"/>
  <c r="AE587" i="2"/>
  <c r="AH587" i="2"/>
  <c r="AJ587" i="2"/>
  <c r="AK587" i="2"/>
  <c r="AL587" i="2"/>
  <c r="AM587" i="2"/>
  <c r="B588" i="2"/>
  <c r="D588" i="2"/>
  <c r="E588" i="2"/>
  <c r="F588" i="2"/>
  <c r="G588" i="2"/>
  <c r="H588" i="2"/>
  <c r="AF588" i="2" s="1"/>
  <c r="I588" i="2"/>
  <c r="L588" i="2"/>
  <c r="V588" i="2"/>
  <c r="W588" i="2"/>
  <c r="X588" i="2"/>
  <c r="AD588" i="2" s="1"/>
  <c r="Y588" i="2"/>
  <c r="Z588" i="2" s="1"/>
  <c r="AB588" i="2"/>
  <c r="AC588" i="2"/>
  <c r="AE588" i="2"/>
  <c r="AH588" i="2"/>
  <c r="AI588" i="2" s="1"/>
  <c r="AJ588" i="2"/>
  <c r="AK588" i="2"/>
  <c r="AL588" i="2" s="1"/>
  <c r="B589" i="2"/>
  <c r="D589" i="2"/>
  <c r="Z589" i="2" s="1"/>
  <c r="E589" i="2"/>
  <c r="F589" i="2"/>
  <c r="G589" i="2"/>
  <c r="H589" i="2"/>
  <c r="I589" i="2"/>
  <c r="L589" i="2"/>
  <c r="V589" i="2"/>
  <c r="W589" i="2"/>
  <c r="AC589" i="2" s="1"/>
  <c r="X589" i="2"/>
  <c r="AD589" i="2" s="1"/>
  <c r="Y589" i="2"/>
  <c r="AA589" i="2"/>
  <c r="AB589" i="2"/>
  <c r="AE589" i="2"/>
  <c r="AH589" i="2"/>
  <c r="AI589" i="2"/>
  <c r="AJ589" i="2"/>
  <c r="AK589" i="2"/>
  <c r="AL589" i="2"/>
  <c r="AM589" i="2"/>
  <c r="B590" i="2"/>
  <c r="D590" i="2"/>
  <c r="Z590" i="2" s="1"/>
  <c r="E590" i="2"/>
  <c r="AC590" i="2" s="1"/>
  <c r="F590" i="2"/>
  <c r="G590" i="2"/>
  <c r="H590" i="2"/>
  <c r="I590" i="2"/>
  <c r="AL590" i="2" s="1"/>
  <c r="L590" i="2"/>
  <c r="V590" i="2"/>
  <c r="W590" i="2"/>
  <c r="X590" i="2"/>
  <c r="AA590" i="2" s="1"/>
  <c r="Y590" i="2"/>
  <c r="AB590" i="2"/>
  <c r="AE590" i="2"/>
  <c r="AF590" i="2"/>
  <c r="AH590" i="2"/>
  <c r="AI590" i="2" s="1"/>
  <c r="AK590" i="2"/>
  <c r="B591" i="2"/>
  <c r="D591" i="2"/>
  <c r="E591" i="2"/>
  <c r="AC591" i="2" s="1"/>
  <c r="F591" i="2"/>
  <c r="G591" i="2"/>
  <c r="H591" i="2"/>
  <c r="I591" i="2"/>
  <c r="AL591" i="2" s="1"/>
  <c r="L591" i="2"/>
  <c r="X591" i="2" s="1"/>
  <c r="V591" i="2"/>
  <c r="W591" i="2"/>
  <c r="Z591" i="2" s="1"/>
  <c r="Y591" i="2"/>
  <c r="AB591" i="2"/>
  <c r="AE591" i="2"/>
  <c r="AH591" i="2"/>
  <c r="AI591" i="2"/>
  <c r="AK591" i="2"/>
  <c r="B592" i="2"/>
  <c r="D592" i="2"/>
  <c r="E592" i="2"/>
  <c r="F592" i="2"/>
  <c r="G592" i="2"/>
  <c r="H592" i="2"/>
  <c r="AI592" i="2" s="1"/>
  <c r="I592" i="2"/>
  <c r="AL592" i="2" s="1"/>
  <c r="L592" i="2"/>
  <c r="X592" i="2" s="1"/>
  <c r="V592" i="2"/>
  <c r="W592" i="2"/>
  <c r="Y592" i="2"/>
  <c r="Z592" i="2"/>
  <c r="AB592" i="2"/>
  <c r="AC592" i="2"/>
  <c r="AE592" i="2"/>
  <c r="AF592" i="2"/>
  <c r="AH592" i="2"/>
  <c r="AK592" i="2"/>
  <c r="B593" i="2"/>
  <c r="D593" i="2"/>
  <c r="Z593" i="2" s="1"/>
  <c r="E593" i="2"/>
  <c r="AC593" i="2" s="1"/>
  <c r="F593" i="2"/>
  <c r="G593" i="2"/>
  <c r="H593" i="2"/>
  <c r="AF593" i="2" s="1"/>
  <c r="I593" i="2"/>
  <c r="L593" i="2"/>
  <c r="V593" i="2"/>
  <c r="W593" i="2"/>
  <c r="X593" i="2"/>
  <c r="AG593" i="2" s="1"/>
  <c r="Y593" i="2"/>
  <c r="AA593" i="2"/>
  <c r="AB593" i="2"/>
  <c r="AD593" i="2"/>
  <c r="AE593" i="2"/>
  <c r="AH593" i="2"/>
  <c r="AK593" i="2"/>
  <c r="AL593" i="2"/>
  <c r="AM593" i="2"/>
  <c r="B594" i="2"/>
  <c r="D594" i="2"/>
  <c r="E594" i="2"/>
  <c r="F594" i="2"/>
  <c r="G594" i="2"/>
  <c r="H594" i="2"/>
  <c r="AF594" i="2" s="1"/>
  <c r="I594" i="2"/>
  <c r="L594" i="2"/>
  <c r="V594" i="2"/>
  <c r="W594" i="2"/>
  <c r="X594" i="2"/>
  <c r="AD594" i="2" s="1"/>
  <c r="Y594" i="2"/>
  <c r="Z594" i="2"/>
  <c r="AB594" i="2"/>
  <c r="AC594" i="2"/>
  <c r="AE594" i="2"/>
  <c r="AH594" i="2"/>
  <c r="AI594" i="2" s="1"/>
  <c r="AJ594" i="2"/>
  <c r="AK594" i="2"/>
  <c r="AL594" i="2"/>
  <c r="B595" i="2"/>
  <c r="D595" i="2"/>
  <c r="Z595" i="2" s="1"/>
  <c r="E595" i="2"/>
  <c r="F595" i="2"/>
  <c r="G595" i="2"/>
  <c r="H595" i="2"/>
  <c r="I595" i="2"/>
  <c r="L595" i="2"/>
  <c r="V595" i="2"/>
  <c r="W595" i="2"/>
  <c r="AC595" i="2" s="1"/>
  <c r="X595" i="2"/>
  <c r="AD595" i="2" s="1"/>
  <c r="Y595" i="2"/>
  <c r="AA595" i="2"/>
  <c r="AB595" i="2"/>
  <c r="AE595" i="2"/>
  <c r="AH595" i="2"/>
  <c r="AI595" i="2"/>
  <c r="AJ595" i="2"/>
  <c r="AK595" i="2"/>
  <c r="AL595" i="2"/>
  <c r="AM595" i="2"/>
  <c r="B596" i="2"/>
  <c r="D596" i="2"/>
  <c r="Z596" i="2" s="1"/>
  <c r="E596" i="2"/>
  <c r="AC596" i="2" s="1"/>
  <c r="F596" i="2"/>
  <c r="G596" i="2"/>
  <c r="H596" i="2"/>
  <c r="I596" i="2"/>
  <c r="AL596" i="2" s="1"/>
  <c r="L596" i="2"/>
  <c r="V596" i="2"/>
  <c r="W596" i="2"/>
  <c r="X596" i="2"/>
  <c r="AJ596" i="2" s="1"/>
  <c r="Y596" i="2"/>
  <c r="AB596" i="2"/>
  <c r="AE596" i="2"/>
  <c r="AF596" i="2"/>
  <c r="AH596" i="2"/>
  <c r="AI596" i="2" s="1"/>
  <c r="AK596" i="2"/>
  <c r="B597" i="2"/>
  <c r="D597" i="2"/>
  <c r="E597" i="2"/>
  <c r="F597" i="2"/>
  <c r="G597" i="2"/>
  <c r="H597" i="2"/>
  <c r="I597" i="2"/>
  <c r="AL597" i="2" s="1"/>
  <c r="L597" i="2"/>
  <c r="X597" i="2" s="1"/>
  <c r="V597" i="2"/>
  <c r="W597" i="2"/>
  <c r="AF597" i="2" s="1"/>
  <c r="Y597" i="2"/>
  <c r="AB597" i="2"/>
  <c r="AC597" i="2" s="1"/>
  <c r="AE597" i="2"/>
  <c r="AH597" i="2"/>
  <c r="AK597" i="2"/>
  <c r="B598" i="2"/>
  <c r="D598" i="2"/>
  <c r="Z598" i="2" s="1"/>
  <c r="E598" i="2"/>
  <c r="F598" i="2"/>
  <c r="G598" i="2"/>
  <c r="H598" i="2"/>
  <c r="AI598" i="2" s="1"/>
  <c r="I598" i="2"/>
  <c r="AL598" i="2" s="1"/>
  <c r="L598" i="2"/>
  <c r="X598" i="2" s="1"/>
  <c r="V598" i="2"/>
  <c r="W598" i="2"/>
  <c r="Y598" i="2"/>
  <c r="AB598" i="2"/>
  <c r="AC598" i="2"/>
  <c r="AE598" i="2"/>
  <c r="AF598" i="2"/>
  <c r="AH598" i="2"/>
  <c r="AK598" i="2"/>
  <c r="B599" i="2"/>
  <c r="D599" i="2"/>
  <c r="Z599" i="2" s="1"/>
  <c r="E599" i="2"/>
  <c r="AC599" i="2" s="1"/>
  <c r="F599" i="2"/>
  <c r="G599" i="2"/>
  <c r="H599" i="2"/>
  <c r="AF599" i="2" s="1"/>
  <c r="I599" i="2"/>
  <c r="L599" i="2"/>
  <c r="V599" i="2"/>
  <c r="W599" i="2"/>
  <c r="X599" i="2"/>
  <c r="AG599" i="2" s="1"/>
  <c r="Y599" i="2"/>
  <c r="AA599" i="2"/>
  <c r="AB599" i="2"/>
  <c r="AD599" i="2"/>
  <c r="AE599" i="2"/>
  <c r="AH599" i="2"/>
  <c r="AJ599" i="2"/>
  <c r="AK599" i="2"/>
  <c r="AL599" i="2"/>
  <c r="AM599" i="2"/>
  <c r="B600" i="2"/>
  <c r="D600" i="2"/>
  <c r="E600" i="2"/>
  <c r="F600" i="2"/>
  <c r="G600" i="2"/>
  <c r="H600" i="2"/>
  <c r="AF600" i="2" s="1"/>
  <c r="I600" i="2"/>
  <c r="L600" i="2"/>
  <c r="V600" i="2"/>
  <c r="W600" i="2"/>
  <c r="X600" i="2"/>
  <c r="AD600" i="2" s="1"/>
  <c r="Y600" i="2"/>
  <c r="Z600" i="2"/>
  <c r="AB600" i="2"/>
  <c r="AC600" i="2"/>
  <c r="AE600" i="2"/>
  <c r="AH600" i="2"/>
  <c r="AI600" i="2"/>
  <c r="AJ600" i="2"/>
  <c r="AK600" i="2"/>
  <c r="AL600"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39" i="42"/>
  <c r="A40" i="42"/>
  <c r="A41" i="42"/>
  <c r="A42" i="42"/>
  <c r="A43" i="42"/>
  <c r="A44" i="42"/>
  <c r="A37" i="42"/>
  <c r="A38" i="42"/>
  <c r="A45" i="42"/>
  <c r="A46" i="42"/>
  <c r="A16" i="42"/>
  <c r="A17" i="42"/>
  <c r="A18" i="42"/>
  <c r="A19" i="42"/>
  <c r="A20" i="42"/>
  <c r="A21" i="42"/>
  <c r="A22" i="42"/>
  <c r="A23" i="42"/>
  <c r="A24" i="42"/>
  <c r="A25" i="42"/>
  <c r="A26" i="42"/>
  <c r="A27" i="42"/>
  <c r="A28" i="42"/>
  <c r="A29" i="42"/>
  <c r="A30" i="42"/>
  <c r="A31" i="42"/>
  <c r="A32" i="42"/>
  <c r="A33" i="42"/>
  <c r="A34" i="42"/>
  <c r="A35" i="42"/>
  <c r="A36" i="42"/>
  <c r="A47" i="42"/>
  <c r="I40" i="37"/>
  <c r="I41" i="37"/>
  <c r="I42" i="37"/>
  <c r="I43" i="37"/>
  <c r="I44" i="37"/>
  <c r="I45" i="37"/>
  <c r="I46" i="37"/>
  <c r="I47" i="37"/>
  <c r="I48" i="37"/>
  <c r="I49" i="37"/>
  <c r="I50" i="37"/>
  <c r="I51" i="37"/>
  <c r="I52" i="37"/>
  <c r="I53" i="37"/>
  <c r="I54" i="37"/>
  <c r="I55" i="37"/>
  <c r="I56" i="37"/>
  <c r="I57" i="37"/>
  <c r="I58" i="37"/>
  <c r="I59" i="37"/>
  <c r="I60" i="37"/>
  <c r="I61" i="37"/>
  <c r="I62" i="37"/>
  <c r="I63" i="37"/>
  <c r="I64" i="37"/>
  <c r="I65" i="37"/>
  <c r="I66" i="37"/>
  <c r="I67" i="37"/>
  <c r="I68" i="37"/>
  <c r="I69" i="37"/>
  <c r="I70" i="37"/>
  <c r="I71" i="37"/>
  <c r="I72" i="37"/>
  <c r="I73" i="37"/>
  <c r="I74" i="37"/>
  <c r="I75" i="37"/>
  <c r="I76" i="37"/>
  <c r="I77" i="37"/>
  <c r="I78" i="37"/>
  <c r="I79" i="37"/>
  <c r="I80" i="37"/>
  <c r="I81" i="37"/>
  <c r="I82" i="37"/>
  <c r="I83" i="37"/>
  <c r="I84" i="37"/>
  <c r="I85" i="37"/>
  <c r="I86" i="37"/>
  <c r="I87" i="37"/>
  <c r="I88" i="37"/>
  <c r="I89" i="37"/>
  <c r="I90" i="37"/>
  <c r="I91" i="37"/>
  <c r="I92" i="37"/>
  <c r="I93" i="37"/>
  <c r="I94" i="37"/>
  <c r="I95" i="37"/>
  <c r="I96" i="37"/>
  <c r="I97" i="37"/>
  <c r="E40" i="37"/>
  <c r="F40" i="37"/>
  <c r="G40" i="37"/>
  <c r="H40" i="37"/>
  <c r="E41" i="37"/>
  <c r="F41" i="37"/>
  <c r="G41" i="37"/>
  <c r="H41" i="37"/>
  <c r="E42" i="37"/>
  <c r="F42" i="37"/>
  <c r="G42" i="37"/>
  <c r="H42" i="37"/>
  <c r="E43" i="37"/>
  <c r="F43" i="37"/>
  <c r="G43" i="37"/>
  <c r="H43" i="37"/>
  <c r="E44" i="37"/>
  <c r="F44" i="37"/>
  <c r="G44" i="37"/>
  <c r="H44" i="37"/>
  <c r="E45" i="37"/>
  <c r="F45" i="37"/>
  <c r="G45" i="37"/>
  <c r="H45" i="37"/>
  <c r="E46" i="37"/>
  <c r="F46" i="37"/>
  <c r="G46" i="37"/>
  <c r="H46" i="37"/>
  <c r="E47" i="37"/>
  <c r="F47" i="37"/>
  <c r="G47" i="37"/>
  <c r="H47" i="37"/>
  <c r="E48" i="37"/>
  <c r="F48" i="37"/>
  <c r="G48" i="37"/>
  <c r="H48" i="37"/>
  <c r="E49" i="37"/>
  <c r="F49" i="37"/>
  <c r="G49" i="37"/>
  <c r="H49" i="37"/>
  <c r="E50" i="37"/>
  <c r="F50" i="37"/>
  <c r="G50" i="37"/>
  <c r="H50" i="37"/>
  <c r="E51" i="37"/>
  <c r="F51" i="37"/>
  <c r="G51" i="37"/>
  <c r="H51" i="37"/>
  <c r="E52" i="37"/>
  <c r="F52" i="37"/>
  <c r="G52" i="37"/>
  <c r="H52" i="37"/>
  <c r="E53" i="37"/>
  <c r="F53" i="37"/>
  <c r="G53" i="37"/>
  <c r="H53" i="37"/>
  <c r="E54" i="37"/>
  <c r="F54" i="37"/>
  <c r="G54" i="37"/>
  <c r="H54" i="37"/>
  <c r="E55" i="37"/>
  <c r="F55" i="37"/>
  <c r="G55" i="37"/>
  <c r="H55" i="37"/>
  <c r="E56" i="37"/>
  <c r="F56" i="37"/>
  <c r="G56" i="37"/>
  <c r="H56" i="37"/>
  <c r="E57" i="37"/>
  <c r="F57" i="37"/>
  <c r="G57" i="37"/>
  <c r="H57" i="37"/>
  <c r="E58" i="37"/>
  <c r="F58" i="37"/>
  <c r="G58" i="37"/>
  <c r="H58" i="37"/>
  <c r="E59" i="37"/>
  <c r="F59" i="37"/>
  <c r="G59" i="37"/>
  <c r="H59" i="37"/>
  <c r="E60" i="37"/>
  <c r="F60" i="37"/>
  <c r="G60" i="37"/>
  <c r="H60" i="37"/>
  <c r="E61" i="37"/>
  <c r="F61" i="37"/>
  <c r="G61" i="37"/>
  <c r="H61" i="37"/>
  <c r="E62" i="37"/>
  <c r="F62" i="37"/>
  <c r="G62" i="37"/>
  <c r="H62" i="37"/>
  <c r="E63" i="37"/>
  <c r="F63" i="37"/>
  <c r="G63" i="37"/>
  <c r="H63" i="37"/>
  <c r="E64" i="37"/>
  <c r="F64" i="37"/>
  <c r="G64" i="37"/>
  <c r="H64" i="37"/>
  <c r="E65" i="37"/>
  <c r="F65" i="37"/>
  <c r="G65" i="37"/>
  <c r="H65" i="37"/>
  <c r="E66" i="37"/>
  <c r="F66" i="37"/>
  <c r="G66" i="37"/>
  <c r="H66" i="37"/>
  <c r="E67" i="37"/>
  <c r="F67" i="37"/>
  <c r="G67" i="37"/>
  <c r="H67" i="37"/>
  <c r="E68" i="37"/>
  <c r="F68" i="37"/>
  <c r="G68" i="37"/>
  <c r="H68" i="37"/>
  <c r="E69" i="37"/>
  <c r="F69" i="37"/>
  <c r="G69" i="37"/>
  <c r="H69" i="37"/>
  <c r="E70" i="37"/>
  <c r="F70" i="37"/>
  <c r="G70" i="37"/>
  <c r="H70" i="37"/>
  <c r="E71" i="37"/>
  <c r="F71" i="37"/>
  <c r="G71" i="37"/>
  <c r="H71" i="37"/>
  <c r="E72" i="37"/>
  <c r="F72" i="37"/>
  <c r="G72" i="37"/>
  <c r="H72" i="37"/>
  <c r="E73" i="37"/>
  <c r="F73" i="37"/>
  <c r="G73" i="37"/>
  <c r="H73" i="37"/>
  <c r="E74" i="37"/>
  <c r="F74" i="37"/>
  <c r="G74" i="37"/>
  <c r="H74" i="37"/>
  <c r="E75" i="37"/>
  <c r="F75" i="37"/>
  <c r="G75" i="37"/>
  <c r="H75" i="37"/>
  <c r="E76" i="37"/>
  <c r="F76" i="37"/>
  <c r="G76" i="37"/>
  <c r="H76" i="37"/>
  <c r="E77" i="37"/>
  <c r="F77" i="37"/>
  <c r="G77" i="37"/>
  <c r="H77" i="37"/>
  <c r="E78" i="37"/>
  <c r="F78" i="37"/>
  <c r="G78" i="37"/>
  <c r="H78" i="37"/>
  <c r="E79" i="37"/>
  <c r="F79" i="37"/>
  <c r="G79" i="37"/>
  <c r="H79" i="37"/>
  <c r="E80" i="37"/>
  <c r="F80" i="37"/>
  <c r="G80" i="37"/>
  <c r="H80" i="37"/>
  <c r="E81" i="37"/>
  <c r="F81" i="37"/>
  <c r="G81" i="37"/>
  <c r="H81" i="37"/>
  <c r="E82" i="37"/>
  <c r="F82" i="37"/>
  <c r="G82" i="37"/>
  <c r="H82" i="37"/>
  <c r="E83" i="37"/>
  <c r="F83" i="37"/>
  <c r="G83" i="37"/>
  <c r="H83" i="37"/>
  <c r="E84" i="37"/>
  <c r="F84" i="37"/>
  <c r="G84" i="37"/>
  <c r="H84" i="37"/>
  <c r="E85" i="37"/>
  <c r="F85" i="37"/>
  <c r="G85" i="37"/>
  <c r="H85" i="37"/>
  <c r="E86" i="37"/>
  <c r="F86" i="37"/>
  <c r="G86" i="37"/>
  <c r="H86" i="37"/>
  <c r="E87" i="37"/>
  <c r="F87" i="37"/>
  <c r="G87" i="37"/>
  <c r="H87" i="37"/>
  <c r="E88" i="37"/>
  <c r="F88" i="37"/>
  <c r="G88" i="37"/>
  <c r="H88" i="37"/>
  <c r="E89" i="37"/>
  <c r="F89" i="37"/>
  <c r="G89" i="37"/>
  <c r="H89" i="37"/>
  <c r="E90" i="37"/>
  <c r="F90" i="37"/>
  <c r="G90" i="37"/>
  <c r="H90" i="37"/>
  <c r="E91" i="37"/>
  <c r="F91" i="37"/>
  <c r="G91" i="37"/>
  <c r="H91" i="37"/>
  <c r="E92" i="37"/>
  <c r="F92" i="37"/>
  <c r="G92" i="37"/>
  <c r="H92" i="37"/>
  <c r="E93" i="37"/>
  <c r="F93" i="37"/>
  <c r="G93" i="37"/>
  <c r="H93" i="37"/>
  <c r="E94" i="37"/>
  <c r="F94" i="37"/>
  <c r="G94" i="37"/>
  <c r="H94" i="37"/>
  <c r="E95" i="37"/>
  <c r="F95" i="37"/>
  <c r="G95" i="37"/>
  <c r="H95" i="37"/>
  <c r="E96" i="37"/>
  <c r="F96" i="37"/>
  <c r="G96" i="37"/>
  <c r="H96" i="37"/>
  <c r="E97" i="37"/>
  <c r="F97" i="37"/>
  <c r="G97" i="37"/>
  <c r="H97" i="37"/>
  <c r="C40" i="37"/>
  <c r="C41" i="37"/>
  <c r="C42" i="37"/>
  <c r="C43" i="37"/>
  <c r="C44" i="37"/>
  <c r="C45" i="37"/>
  <c r="C46" i="37"/>
  <c r="C47" i="37"/>
  <c r="C48" i="37"/>
  <c r="C49" i="37"/>
  <c r="C50" i="37"/>
  <c r="C51" i="37"/>
  <c r="C52" i="37"/>
  <c r="C53" i="37"/>
  <c r="C54" i="37"/>
  <c r="C55" i="37"/>
  <c r="C56" i="37"/>
  <c r="C57" i="37"/>
  <c r="C58" i="37"/>
  <c r="C59" i="37"/>
  <c r="C60" i="37"/>
  <c r="C61" i="37"/>
  <c r="C62" i="37"/>
  <c r="C63" i="37"/>
  <c r="C64" i="37"/>
  <c r="C65" i="37"/>
  <c r="C66" i="37"/>
  <c r="C67" i="37"/>
  <c r="C68" i="37"/>
  <c r="C69" i="37"/>
  <c r="C70" i="37"/>
  <c r="C71" i="37"/>
  <c r="C72" i="37"/>
  <c r="C73" i="37"/>
  <c r="C74" i="37"/>
  <c r="C75" i="37"/>
  <c r="C76" i="37"/>
  <c r="C77" i="37"/>
  <c r="C78" i="37"/>
  <c r="C79" i="37"/>
  <c r="C80" i="37"/>
  <c r="C81" i="37"/>
  <c r="C82" i="37"/>
  <c r="C83" i="37"/>
  <c r="C84" i="37"/>
  <c r="C85" i="37"/>
  <c r="C86" i="37"/>
  <c r="C87" i="37"/>
  <c r="C88" i="37"/>
  <c r="C89" i="37"/>
  <c r="C90" i="37"/>
  <c r="C91" i="37"/>
  <c r="C92" i="37"/>
  <c r="C93" i="37"/>
  <c r="C94" i="37"/>
  <c r="C95" i="37"/>
  <c r="C96" i="37"/>
  <c r="C97" i="37"/>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J49" i="39"/>
  <c r="K49" i="39" s="1"/>
  <c r="J50" i="39"/>
  <c r="U50" i="39" s="1"/>
  <c r="J51" i="39"/>
  <c r="O51" i="39" s="1"/>
  <c r="J52" i="39"/>
  <c r="M52" i="39" s="1"/>
  <c r="J53" i="39"/>
  <c r="O53" i="39" s="1"/>
  <c r="J54" i="39"/>
  <c r="Q54" i="39" s="1"/>
  <c r="J55" i="39"/>
  <c r="O55" i="39" s="1"/>
  <c r="J56" i="39"/>
  <c r="M56" i="39" s="1"/>
  <c r="J57" i="39"/>
  <c r="M57" i="39" s="1"/>
  <c r="J58" i="39"/>
  <c r="O58" i="39" s="1"/>
  <c r="J59" i="39"/>
  <c r="Q59" i="39" s="1"/>
  <c r="J60" i="39"/>
  <c r="S60" i="39" s="1"/>
  <c r="J61" i="39"/>
  <c r="M61" i="39" s="1"/>
  <c r="J62" i="39"/>
  <c r="U62" i="39" s="1"/>
  <c r="J63" i="39"/>
  <c r="O63" i="39" s="1"/>
  <c r="J64" i="39"/>
  <c r="M64" i="39" s="1"/>
  <c r="J65" i="39"/>
  <c r="U65" i="39" s="1"/>
  <c r="J66" i="39"/>
  <c r="M66" i="39" s="1"/>
  <c r="J67" i="39"/>
  <c r="K67" i="39" s="1"/>
  <c r="J68" i="39"/>
  <c r="K68" i="39" s="1"/>
  <c r="J69" i="39"/>
  <c r="M69" i="39" s="1"/>
  <c r="J70" i="39"/>
  <c r="O70" i="39" s="1"/>
  <c r="J71" i="39"/>
  <c r="Q71" i="39" s="1"/>
  <c r="J72" i="39"/>
  <c r="S72" i="39" s="1"/>
  <c r="J73" i="39"/>
  <c r="S73" i="39" s="1"/>
  <c r="J74" i="39"/>
  <c r="O74" i="39" s="1"/>
  <c r="J75" i="39"/>
  <c r="Q75" i="39" s="1"/>
  <c r="J76" i="39"/>
  <c r="M76" i="39" s="1"/>
  <c r="J77" i="39"/>
  <c r="K77" i="39" s="1"/>
  <c r="J78" i="39"/>
  <c r="K78" i="39" s="1"/>
  <c r="J79" i="39"/>
  <c r="K79" i="39" s="1"/>
  <c r="J80" i="39"/>
  <c r="M80" i="39" s="1"/>
  <c r="J81" i="39"/>
  <c r="M81" i="39" s="1"/>
  <c r="J82" i="39"/>
  <c r="O82" i="39" s="1"/>
  <c r="J83" i="39"/>
  <c r="Q83" i="39" s="1"/>
  <c r="J84" i="39"/>
  <c r="S84" i="39" s="1"/>
  <c r="J85" i="39"/>
  <c r="K85" i="39" s="1"/>
  <c r="J86" i="39"/>
  <c r="K86" i="39" s="1"/>
  <c r="J87" i="39"/>
  <c r="S87" i="39" s="1"/>
  <c r="J88" i="39"/>
  <c r="M88" i="39" s="1"/>
  <c r="J89" i="39"/>
  <c r="U89" i="39" s="1"/>
  <c r="J90" i="39"/>
  <c r="U90" i="39" s="1"/>
  <c r="J91" i="39"/>
  <c r="O91" i="39" s="1"/>
  <c r="J92" i="39"/>
  <c r="O92" i="39" s="1"/>
  <c r="J93" i="39"/>
  <c r="M93" i="39" s="1"/>
  <c r="J94" i="39"/>
  <c r="O94" i="39" s="1"/>
  <c r="J95" i="39"/>
  <c r="Q95" i="39" s="1"/>
  <c r="B49" i="39"/>
  <c r="B50" i="39"/>
  <c r="B51" i="39"/>
  <c r="B52" i="39"/>
  <c r="B53" i="39"/>
  <c r="B54" i="39"/>
  <c r="B55" i="39"/>
  <c r="B56" i="39"/>
  <c r="B57" i="39"/>
  <c r="B58" i="39"/>
  <c r="B59" i="39"/>
  <c r="B60" i="39"/>
  <c r="B61" i="39"/>
  <c r="B62" i="39"/>
  <c r="B63" i="39"/>
  <c r="B64" i="39"/>
  <c r="B65" i="39"/>
  <c r="B66" i="39"/>
  <c r="B67" i="39"/>
  <c r="B68" i="39"/>
  <c r="B69" i="39"/>
  <c r="B70" i="39"/>
  <c r="B71" i="39"/>
  <c r="B72" i="39"/>
  <c r="B73" i="39"/>
  <c r="B74" i="39"/>
  <c r="B75" i="39"/>
  <c r="B76" i="39"/>
  <c r="B77" i="39"/>
  <c r="B78" i="39"/>
  <c r="B79" i="39"/>
  <c r="B80" i="39"/>
  <c r="B81" i="39"/>
  <c r="B82" i="39"/>
  <c r="B83" i="39"/>
  <c r="B84" i="39"/>
  <c r="B85" i="39"/>
  <c r="B86" i="39"/>
  <c r="B87" i="39"/>
  <c r="B88" i="39"/>
  <c r="B89" i="39"/>
  <c r="B90" i="39"/>
  <c r="B91" i="39"/>
  <c r="B92" i="39"/>
  <c r="B93" i="39"/>
  <c r="B94" i="39"/>
  <c r="B95"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8" i="39"/>
  <c r="F89" i="39"/>
  <c r="F90" i="39"/>
  <c r="F91" i="39"/>
  <c r="F92" i="39"/>
  <c r="F93" i="39"/>
  <c r="F94" i="39"/>
  <c r="F95"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8" i="39"/>
  <c r="G89" i="39"/>
  <c r="G90" i="39"/>
  <c r="G91" i="39"/>
  <c r="G92" i="39"/>
  <c r="G93" i="39"/>
  <c r="G94" i="39"/>
  <c r="G95"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8" i="39"/>
  <c r="H89" i="39"/>
  <c r="H90" i="39"/>
  <c r="H91" i="39"/>
  <c r="H92" i="39"/>
  <c r="H93" i="39"/>
  <c r="H94" i="39"/>
  <c r="H95" i="39"/>
  <c r="O54" i="39"/>
  <c r="A13" i="38"/>
  <c r="A14" i="38"/>
  <c r="A15" i="38"/>
  <c r="A16" i="38"/>
  <c r="A17" i="38"/>
  <c r="A18" i="38"/>
  <c r="A19" i="38"/>
  <c r="A20" i="38"/>
  <c r="A21" i="38"/>
  <c r="A22" i="38"/>
  <c r="A23" i="38"/>
  <c r="A24" i="38"/>
  <c r="A25" i="38"/>
  <c r="A600" i="2"/>
  <c r="A599" i="2"/>
  <c r="A598" i="2"/>
  <c r="A597" i="2"/>
  <c r="A596" i="2"/>
  <c r="AK366" i="2"/>
  <c r="AH366" i="2"/>
  <c r="AE366" i="2"/>
  <c r="AB366" i="2"/>
  <c r="Y366" i="2"/>
  <c r="W366" i="2"/>
  <c r="V366" i="2"/>
  <c r="L366" i="2"/>
  <c r="X366" i="2" s="1"/>
  <c r="I366" i="2"/>
  <c r="H366" i="2"/>
  <c r="G366" i="2"/>
  <c r="F366" i="2"/>
  <c r="E366" i="2"/>
  <c r="D366" i="2"/>
  <c r="A366" i="2"/>
  <c r="AK365" i="2"/>
  <c r="AH365" i="2"/>
  <c r="AE365" i="2"/>
  <c r="AB365" i="2"/>
  <c r="Y365" i="2"/>
  <c r="W365" i="2"/>
  <c r="V365" i="2"/>
  <c r="L365" i="2"/>
  <c r="X365" i="2" s="1"/>
  <c r="AG365" i="2" s="1"/>
  <c r="I365" i="2"/>
  <c r="H365" i="2"/>
  <c r="G365" i="2"/>
  <c r="F365" i="2"/>
  <c r="E365" i="2"/>
  <c r="D365" i="2"/>
  <c r="A365" i="2"/>
  <c r="AK364" i="2"/>
  <c r="AH364" i="2"/>
  <c r="AE364" i="2"/>
  <c r="AB364" i="2"/>
  <c r="Y364" i="2"/>
  <c r="W364" i="2"/>
  <c r="V364" i="2"/>
  <c r="L364" i="2"/>
  <c r="X364" i="2" s="1"/>
  <c r="I364" i="2"/>
  <c r="H364" i="2"/>
  <c r="G364" i="2"/>
  <c r="F364" i="2"/>
  <c r="E364" i="2"/>
  <c r="D364" i="2"/>
  <c r="A364" i="2"/>
  <c r="AK363" i="2"/>
  <c r="AH363" i="2"/>
  <c r="AE363" i="2"/>
  <c r="AB363" i="2"/>
  <c r="Y363" i="2"/>
  <c r="W363" i="2"/>
  <c r="V363" i="2"/>
  <c r="L363" i="2"/>
  <c r="X363" i="2" s="1"/>
  <c r="I363" i="2"/>
  <c r="H363" i="2"/>
  <c r="G363" i="2"/>
  <c r="F363" i="2"/>
  <c r="E363" i="2"/>
  <c r="D363" i="2"/>
  <c r="A363" i="2"/>
  <c r="AK362" i="2"/>
  <c r="AH362" i="2"/>
  <c r="AE362" i="2"/>
  <c r="AB362" i="2"/>
  <c r="Y362" i="2"/>
  <c r="W362" i="2"/>
  <c r="V362" i="2"/>
  <c r="L362" i="2"/>
  <c r="X362" i="2" s="1"/>
  <c r="I362" i="2"/>
  <c r="H362" i="2"/>
  <c r="G362" i="2"/>
  <c r="F362" i="2"/>
  <c r="E362" i="2"/>
  <c r="D362" i="2"/>
  <c r="A362" i="2"/>
  <c r="AK361" i="2"/>
  <c r="AH361" i="2"/>
  <c r="AE361" i="2"/>
  <c r="AB361" i="2"/>
  <c r="Y361" i="2"/>
  <c r="W361" i="2"/>
  <c r="V361" i="2"/>
  <c r="L361" i="2"/>
  <c r="X361" i="2" s="1"/>
  <c r="AG361" i="2" s="1"/>
  <c r="I361" i="2"/>
  <c r="H361" i="2"/>
  <c r="G361" i="2"/>
  <c r="F361" i="2"/>
  <c r="E361" i="2"/>
  <c r="D361" i="2"/>
  <c r="A361" i="2"/>
  <c r="AK360" i="2"/>
  <c r="AH360" i="2"/>
  <c r="AE360" i="2"/>
  <c r="AB360" i="2"/>
  <c r="Y360" i="2"/>
  <c r="W360" i="2"/>
  <c r="V360" i="2"/>
  <c r="L360" i="2"/>
  <c r="X360" i="2" s="1"/>
  <c r="I360" i="2"/>
  <c r="H360" i="2"/>
  <c r="G360" i="2"/>
  <c r="F360" i="2"/>
  <c r="E360" i="2"/>
  <c r="D360" i="2"/>
  <c r="A360" i="2"/>
  <c r="AK359" i="2"/>
  <c r="AH359" i="2"/>
  <c r="AE359" i="2"/>
  <c r="AB359" i="2"/>
  <c r="Y359" i="2"/>
  <c r="W359" i="2"/>
  <c r="V359" i="2"/>
  <c r="L359" i="2"/>
  <c r="X359" i="2" s="1"/>
  <c r="AD359" i="2" s="1"/>
  <c r="I359" i="2"/>
  <c r="H359" i="2"/>
  <c r="G359" i="2"/>
  <c r="F359" i="2"/>
  <c r="E359" i="2"/>
  <c r="D359" i="2"/>
  <c r="A359" i="2"/>
  <c r="AK358" i="2"/>
  <c r="AH358" i="2"/>
  <c r="AE358" i="2"/>
  <c r="AB358" i="2"/>
  <c r="Y358" i="2"/>
  <c r="W358" i="2"/>
  <c r="V358" i="2"/>
  <c r="L358" i="2"/>
  <c r="X358" i="2" s="1"/>
  <c r="I358" i="2"/>
  <c r="H358" i="2"/>
  <c r="G358" i="2"/>
  <c r="F358" i="2"/>
  <c r="E358" i="2"/>
  <c r="D358" i="2"/>
  <c r="A358" i="2"/>
  <c r="AK357" i="2"/>
  <c r="AH357" i="2"/>
  <c r="AE357" i="2"/>
  <c r="AB357" i="2"/>
  <c r="Y357" i="2"/>
  <c r="W357" i="2"/>
  <c r="V357" i="2"/>
  <c r="L357" i="2"/>
  <c r="X357" i="2" s="1"/>
  <c r="AJ357" i="2" s="1"/>
  <c r="I357" i="2"/>
  <c r="H357" i="2"/>
  <c r="G357" i="2"/>
  <c r="F357" i="2"/>
  <c r="E357" i="2"/>
  <c r="D357" i="2"/>
  <c r="A357" i="2"/>
  <c r="AK356" i="2"/>
  <c r="AH356" i="2"/>
  <c r="AE356" i="2"/>
  <c r="AB356" i="2"/>
  <c r="Y356" i="2"/>
  <c r="W356" i="2"/>
  <c r="V356" i="2"/>
  <c r="L356" i="2"/>
  <c r="X356" i="2" s="1"/>
  <c r="AA356" i="2" s="1"/>
  <c r="I356" i="2"/>
  <c r="H356" i="2"/>
  <c r="G356" i="2"/>
  <c r="F356" i="2"/>
  <c r="E356" i="2"/>
  <c r="D356" i="2"/>
  <c r="A356" i="2"/>
  <c r="AK355" i="2"/>
  <c r="AH355" i="2"/>
  <c r="AE355" i="2"/>
  <c r="AB355" i="2"/>
  <c r="Y355" i="2"/>
  <c r="W355" i="2"/>
  <c r="V355" i="2"/>
  <c r="L355" i="2"/>
  <c r="X355" i="2" s="1"/>
  <c r="AD355" i="2" s="1"/>
  <c r="I355" i="2"/>
  <c r="H355" i="2"/>
  <c r="G355" i="2"/>
  <c r="F355" i="2"/>
  <c r="E355" i="2"/>
  <c r="D355" i="2"/>
  <c r="A355" i="2"/>
  <c r="AK354" i="2"/>
  <c r="AH354" i="2"/>
  <c r="AE354" i="2"/>
  <c r="AB354" i="2"/>
  <c r="Y354" i="2"/>
  <c r="W354" i="2"/>
  <c r="V354" i="2"/>
  <c r="L354" i="2"/>
  <c r="X354" i="2" s="1"/>
  <c r="AG354" i="2" s="1"/>
  <c r="I354" i="2"/>
  <c r="H354" i="2"/>
  <c r="G354" i="2"/>
  <c r="F354" i="2"/>
  <c r="E354" i="2"/>
  <c r="D354" i="2"/>
  <c r="A354" i="2"/>
  <c r="AK353" i="2"/>
  <c r="AH353" i="2"/>
  <c r="AE353" i="2"/>
  <c r="AB353" i="2"/>
  <c r="Y353" i="2"/>
  <c r="W353" i="2"/>
  <c r="V353" i="2"/>
  <c r="L353" i="2"/>
  <c r="X353" i="2" s="1"/>
  <c r="AJ353" i="2" s="1"/>
  <c r="I353" i="2"/>
  <c r="H353" i="2"/>
  <c r="G353" i="2"/>
  <c r="F353" i="2"/>
  <c r="E353" i="2"/>
  <c r="D353" i="2"/>
  <c r="A353" i="2"/>
  <c r="AK352" i="2"/>
  <c r="AH352" i="2"/>
  <c r="AE352" i="2"/>
  <c r="AB352" i="2"/>
  <c r="Y352" i="2"/>
  <c r="W352" i="2"/>
  <c r="V352" i="2"/>
  <c r="L352" i="2"/>
  <c r="X352" i="2" s="1"/>
  <c r="AA352" i="2" s="1"/>
  <c r="I352" i="2"/>
  <c r="H352" i="2"/>
  <c r="G352" i="2"/>
  <c r="F352" i="2"/>
  <c r="E352" i="2"/>
  <c r="D352" i="2"/>
  <c r="A352" i="2"/>
  <c r="AK351" i="2"/>
  <c r="AH351" i="2"/>
  <c r="AE351" i="2"/>
  <c r="AB351" i="2"/>
  <c r="Y351" i="2"/>
  <c r="W351" i="2"/>
  <c r="V351" i="2"/>
  <c r="L351" i="2"/>
  <c r="X351" i="2" s="1"/>
  <c r="I351" i="2"/>
  <c r="H351" i="2"/>
  <c r="G351" i="2"/>
  <c r="F351" i="2"/>
  <c r="E351" i="2"/>
  <c r="D351" i="2"/>
  <c r="A351" i="2"/>
  <c r="AK350" i="2"/>
  <c r="AH350" i="2"/>
  <c r="AE350" i="2"/>
  <c r="AB350" i="2"/>
  <c r="Y350" i="2"/>
  <c r="W350" i="2"/>
  <c r="V350" i="2"/>
  <c r="L350" i="2"/>
  <c r="X350" i="2" s="1"/>
  <c r="AG350" i="2" s="1"/>
  <c r="I350" i="2"/>
  <c r="H350" i="2"/>
  <c r="G350" i="2"/>
  <c r="F350" i="2"/>
  <c r="E350" i="2"/>
  <c r="D350" i="2"/>
  <c r="A350"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D598" i="2" l="1"/>
  <c r="AG598" i="2"/>
  <c r="AJ598" i="2"/>
  <c r="AA598" i="2"/>
  <c r="AM598" i="2"/>
  <c r="AJ579" i="2"/>
  <c r="AA579" i="2"/>
  <c r="AM579" i="2"/>
  <c r="AD579" i="2"/>
  <c r="AG579" i="2"/>
  <c r="AJ574" i="2"/>
  <c r="AG574" i="2"/>
  <c r="AA574" i="2"/>
  <c r="AM574" i="2"/>
  <c r="AD574" i="2"/>
  <c r="AJ597" i="2"/>
  <c r="AD597" i="2"/>
  <c r="AA597" i="2"/>
  <c r="AM597" i="2"/>
  <c r="AG597" i="2"/>
  <c r="AJ592" i="2"/>
  <c r="AA592" i="2"/>
  <c r="AM592" i="2"/>
  <c r="AG592" i="2"/>
  <c r="AD592" i="2"/>
  <c r="AJ568" i="2"/>
  <c r="AG568" i="2"/>
  <c r="AA568" i="2"/>
  <c r="AM568" i="2"/>
  <c r="AD568" i="2"/>
  <c r="AJ586" i="2"/>
  <c r="AG586" i="2"/>
  <c r="AA586" i="2"/>
  <c r="AM586" i="2"/>
  <c r="AD586" i="2"/>
  <c r="AJ573" i="2"/>
  <c r="AA573" i="2"/>
  <c r="AM573" i="2"/>
  <c r="AD573" i="2"/>
  <c r="AG573" i="2"/>
  <c r="AJ591" i="2"/>
  <c r="AA591" i="2"/>
  <c r="AM591" i="2"/>
  <c r="AD591" i="2"/>
  <c r="AG591" i="2"/>
  <c r="AJ567" i="2"/>
  <c r="AA567" i="2"/>
  <c r="AM567" i="2"/>
  <c r="AD567" i="2"/>
  <c r="AG567" i="2"/>
  <c r="AD559" i="2"/>
  <c r="AM559" i="2"/>
  <c r="AA559" i="2"/>
  <c r="AG559" i="2"/>
  <c r="AJ559" i="2"/>
  <c r="AJ580" i="2"/>
  <c r="AG580" i="2"/>
  <c r="AA580" i="2"/>
  <c r="AM580" i="2"/>
  <c r="AD580" i="2"/>
  <c r="AJ585" i="2"/>
  <c r="AA585" i="2"/>
  <c r="AM585" i="2"/>
  <c r="AD585" i="2"/>
  <c r="AG585" i="2"/>
  <c r="AA560" i="2"/>
  <c r="AM560" i="2"/>
  <c r="AD560" i="2"/>
  <c r="AJ584" i="2"/>
  <c r="AM600" i="2"/>
  <c r="AA600" i="2"/>
  <c r="AM594" i="2"/>
  <c r="AA594" i="2"/>
  <c r="AM588" i="2"/>
  <c r="AA588" i="2"/>
  <c r="AM582" i="2"/>
  <c r="AA582" i="2"/>
  <c r="AM576" i="2"/>
  <c r="AA576" i="2"/>
  <c r="AM570" i="2"/>
  <c r="AA570" i="2"/>
  <c r="AJ565" i="2"/>
  <c r="AJ564" i="2"/>
  <c r="AF562" i="2"/>
  <c r="AC561" i="2"/>
  <c r="Z543" i="2"/>
  <c r="AL536" i="2"/>
  <c r="AJ532" i="2"/>
  <c r="AA532" i="2"/>
  <c r="AM532" i="2"/>
  <c r="AD532" i="2"/>
  <c r="Z500" i="2"/>
  <c r="AF492" i="2"/>
  <c r="AM490" i="2"/>
  <c r="AA490" i="2"/>
  <c r="AD490" i="2"/>
  <c r="AG490" i="2"/>
  <c r="AJ566" i="2"/>
  <c r="AF591" i="2"/>
  <c r="AI564" i="2"/>
  <c r="AG563" i="2"/>
  <c r="AF563" i="2"/>
  <c r="AI563" i="2"/>
  <c r="AM556" i="2"/>
  <c r="AF555" i="2"/>
  <c r="AA554" i="2"/>
  <c r="AM554" i="2"/>
  <c r="AD554" i="2"/>
  <c r="AC553" i="2"/>
  <c r="AF553" i="2"/>
  <c r="AJ550" i="2"/>
  <c r="AA550" i="2"/>
  <c r="AM550" i="2"/>
  <c r="AD550" i="2"/>
  <c r="AL548" i="2"/>
  <c r="AL542" i="2"/>
  <c r="AJ538" i="2"/>
  <c r="AA538" i="2"/>
  <c r="AM538" i="2"/>
  <c r="AD538" i="2"/>
  <c r="AJ513" i="2"/>
  <c r="AA513" i="2"/>
  <c r="AM513" i="2"/>
  <c r="AD513" i="2"/>
  <c r="AG513" i="2"/>
  <c r="Z512" i="2"/>
  <c r="AJ507" i="2"/>
  <c r="AA507" i="2"/>
  <c r="AM507" i="2"/>
  <c r="AD507" i="2"/>
  <c r="AG507" i="2"/>
  <c r="AJ501" i="2"/>
  <c r="AA501" i="2"/>
  <c r="AM501" i="2"/>
  <c r="AD501" i="2"/>
  <c r="AG501" i="2"/>
  <c r="Z490" i="2"/>
  <c r="AF490" i="2"/>
  <c r="AI490" i="2"/>
  <c r="AJ462" i="2"/>
  <c r="AA462" i="2"/>
  <c r="AM462" i="2"/>
  <c r="AD462" i="2"/>
  <c r="AG462" i="2"/>
  <c r="AD460" i="2"/>
  <c r="AG460" i="2"/>
  <c r="AJ460" i="2"/>
  <c r="AA460" i="2"/>
  <c r="AJ526" i="2"/>
  <c r="AA526" i="2"/>
  <c r="AM526" i="2"/>
  <c r="AD526" i="2"/>
  <c r="AG596" i="2"/>
  <c r="AG584" i="2"/>
  <c r="AG578" i="2"/>
  <c r="AG572" i="2"/>
  <c r="AG566" i="2"/>
  <c r="AJ560" i="2"/>
  <c r="AL560" i="2"/>
  <c r="AJ544" i="2"/>
  <c r="AA544" i="2"/>
  <c r="AM544" i="2"/>
  <c r="AD544" i="2"/>
  <c r="AJ519" i="2"/>
  <c r="AA519" i="2"/>
  <c r="AM519" i="2"/>
  <c r="AD519" i="2"/>
  <c r="AG519" i="2"/>
  <c r="AL513" i="2"/>
  <c r="AL507" i="2"/>
  <c r="AL501" i="2"/>
  <c r="AD499" i="2"/>
  <c r="AG499" i="2"/>
  <c r="AJ499" i="2"/>
  <c r="AL493" i="2"/>
  <c r="AF476" i="2"/>
  <c r="AI476" i="2"/>
  <c r="AD466" i="2"/>
  <c r="AG466" i="2"/>
  <c r="AJ466" i="2"/>
  <c r="AA466" i="2"/>
  <c r="AM466" i="2"/>
  <c r="AM460" i="2"/>
  <c r="AF545" i="2"/>
  <c r="AI545" i="2"/>
  <c r="AJ590" i="2"/>
  <c r="AD546" i="2"/>
  <c r="AG546" i="2"/>
  <c r="AA546" i="2"/>
  <c r="AM546" i="2"/>
  <c r="AF566" i="2"/>
  <c r="AG565" i="2"/>
  <c r="AF565" i="2"/>
  <c r="AF564" i="2"/>
  <c r="AD563" i="2"/>
  <c r="AI560" i="2"/>
  <c r="AJ525" i="2"/>
  <c r="AA525" i="2"/>
  <c r="AM525" i="2"/>
  <c r="AD525" i="2"/>
  <c r="AG525" i="2"/>
  <c r="AF513" i="2"/>
  <c r="AD511" i="2"/>
  <c r="AG511" i="2"/>
  <c r="AJ511" i="2"/>
  <c r="AG509" i="2"/>
  <c r="AJ509" i="2"/>
  <c r="AA509" i="2"/>
  <c r="AM509" i="2"/>
  <c r="AF507" i="2"/>
  <c r="AD505" i="2"/>
  <c r="AG505" i="2"/>
  <c r="AJ505" i="2"/>
  <c r="AG503" i="2"/>
  <c r="AJ503" i="2"/>
  <c r="AA503" i="2"/>
  <c r="AM503" i="2"/>
  <c r="AF501" i="2"/>
  <c r="AA500" i="2"/>
  <c r="AM500" i="2"/>
  <c r="AD500" i="2"/>
  <c r="AG500" i="2"/>
  <c r="AI495" i="2"/>
  <c r="AA492" i="2"/>
  <c r="AM492" i="2"/>
  <c r="AD492" i="2"/>
  <c r="AG492" i="2"/>
  <c r="AJ572" i="2"/>
  <c r="AG595" i="2"/>
  <c r="AG589" i="2"/>
  <c r="AG583" i="2"/>
  <c r="AG577" i="2"/>
  <c r="AG571" i="2"/>
  <c r="AD564" i="2"/>
  <c r="AF559" i="2"/>
  <c r="AG556" i="2"/>
  <c r="AJ546" i="2"/>
  <c r="AJ531" i="2"/>
  <c r="AA531" i="2"/>
  <c r="AM531" i="2"/>
  <c r="AD531" i="2"/>
  <c r="AG531" i="2"/>
  <c r="AG526" i="2"/>
  <c r="AL525" i="2"/>
  <c r="AD523" i="2"/>
  <c r="AG523" i="2"/>
  <c r="AJ523" i="2"/>
  <c r="AD517" i="2"/>
  <c r="AG517" i="2"/>
  <c r="AJ517" i="2"/>
  <c r="AG515" i="2"/>
  <c r="AJ515" i="2"/>
  <c r="AA515" i="2"/>
  <c r="AM515" i="2"/>
  <c r="AA512" i="2"/>
  <c r="AM512" i="2"/>
  <c r="AD512" i="2"/>
  <c r="AG512" i="2"/>
  <c r="AA506" i="2"/>
  <c r="AM506" i="2"/>
  <c r="AD506" i="2"/>
  <c r="AG506" i="2"/>
  <c r="Z492" i="2"/>
  <c r="AC492" i="2"/>
  <c r="AL490" i="2"/>
  <c r="AA486" i="2"/>
  <c r="AM486" i="2"/>
  <c r="AJ486" i="2"/>
  <c r="AD486" i="2"/>
  <c r="AJ468" i="2"/>
  <c r="AA468" i="2"/>
  <c r="AM468" i="2"/>
  <c r="AD468" i="2"/>
  <c r="AG468" i="2"/>
  <c r="AD590" i="2"/>
  <c r="AD584" i="2"/>
  <c r="AF583" i="2"/>
  <c r="AD578" i="2"/>
  <c r="AF577" i="2"/>
  <c r="AD572" i="2"/>
  <c r="AF571" i="2"/>
  <c r="AC566" i="2"/>
  <c r="AC565" i="2"/>
  <c r="AC564" i="2"/>
  <c r="AJ561" i="2"/>
  <c r="AA561" i="2"/>
  <c r="AM561" i="2"/>
  <c r="AG560" i="2"/>
  <c r="AG557" i="2"/>
  <c r="AJ557" i="2"/>
  <c r="AL554" i="2"/>
  <c r="AG550" i="2"/>
  <c r="AJ537" i="2"/>
  <c r="AA537" i="2"/>
  <c r="AM537" i="2"/>
  <c r="AD537" i="2"/>
  <c r="AG537" i="2"/>
  <c r="AG532" i="2"/>
  <c r="AL531" i="2"/>
  <c r="AD529" i="2"/>
  <c r="AG529" i="2"/>
  <c r="AJ529" i="2"/>
  <c r="AF525" i="2"/>
  <c r="AM523" i="2"/>
  <c r="AG521" i="2"/>
  <c r="AJ521" i="2"/>
  <c r="AA521" i="2"/>
  <c r="AM521" i="2"/>
  <c r="AA518" i="2"/>
  <c r="AM518" i="2"/>
  <c r="AD518" i="2"/>
  <c r="AG518" i="2"/>
  <c r="AF509" i="2"/>
  <c r="AI509" i="2"/>
  <c r="AF503" i="2"/>
  <c r="AI503" i="2"/>
  <c r="AF539" i="2"/>
  <c r="AI539" i="2"/>
  <c r="AA491" i="2"/>
  <c r="AM491" i="2"/>
  <c r="AD491" i="2"/>
  <c r="AG491" i="2"/>
  <c r="AM487" i="2"/>
  <c r="AA487" i="2"/>
  <c r="AD487" i="2"/>
  <c r="AG487" i="2"/>
  <c r="AA473" i="2"/>
  <c r="AM473" i="2"/>
  <c r="AD473" i="2"/>
  <c r="AG473" i="2"/>
  <c r="AJ473" i="2"/>
  <c r="AD596" i="2"/>
  <c r="AF595" i="2"/>
  <c r="AF589" i="2"/>
  <c r="AG600" i="2"/>
  <c r="AI599" i="2"/>
  <c r="AG594" i="2"/>
  <c r="AI593" i="2"/>
  <c r="AG588" i="2"/>
  <c r="AI587" i="2"/>
  <c r="AG582" i="2"/>
  <c r="AI581" i="2"/>
  <c r="AG576" i="2"/>
  <c r="AI575" i="2"/>
  <c r="AG570" i="2"/>
  <c r="AI569" i="2"/>
  <c r="AA563" i="2"/>
  <c r="AL561" i="2"/>
  <c r="AD558" i="2"/>
  <c r="AG558" i="2"/>
  <c r="AA558" i="2"/>
  <c r="AM558" i="2"/>
  <c r="AJ554" i="2"/>
  <c r="AG553" i="2"/>
  <c r="AG551" i="2"/>
  <c r="AJ551" i="2"/>
  <c r="AJ549" i="2"/>
  <c r="AA549" i="2"/>
  <c r="AM549" i="2"/>
  <c r="AG549" i="2"/>
  <c r="Z548" i="2"/>
  <c r="AJ543" i="2"/>
  <c r="AA543" i="2"/>
  <c r="AM543" i="2"/>
  <c r="AD543" i="2"/>
  <c r="AG543" i="2"/>
  <c r="Z542" i="2"/>
  <c r="AG538" i="2"/>
  <c r="AL537" i="2"/>
  <c r="AD535" i="2"/>
  <c r="AG535" i="2"/>
  <c r="AJ535" i="2"/>
  <c r="AF531" i="2"/>
  <c r="AM529" i="2"/>
  <c r="AG527" i="2"/>
  <c r="AJ527" i="2"/>
  <c r="AA527" i="2"/>
  <c r="AM527" i="2"/>
  <c r="AA524" i="2"/>
  <c r="AM524" i="2"/>
  <c r="AD524" i="2"/>
  <c r="AG524" i="2"/>
  <c r="AF515" i="2"/>
  <c r="AI515" i="2"/>
  <c r="AI513" i="2"/>
  <c r="AI507" i="2"/>
  <c r="AI501" i="2"/>
  <c r="AC493" i="2"/>
  <c r="AG489" i="2"/>
  <c r="AM489" i="2"/>
  <c r="AA489" i="2"/>
  <c r="AD489" i="2"/>
  <c r="AJ489" i="2"/>
  <c r="AI597" i="2"/>
  <c r="Z456" i="2"/>
  <c r="AL456" i="2"/>
  <c r="AC456" i="2"/>
  <c r="AF456" i="2"/>
  <c r="AI456" i="2"/>
  <c r="AJ593" i="2"/>
  <c r="Z597" i="2"/>
  <c r="AA566" i="2"/>
  <c r="AA565" i="2"/>
  <c r="AA564" i="2"/>
  <c r="AM562" i="2"/>
  <c r="Z560" i="2"/>
  <c r="AF557" i="2"/>
  <c r="AI557" i="2"/>
  <c r="AD556" i="2"/>
  <c r="AD552" i="2"/>
  <c r="AG552" i="2"/>
  <c r="AA552" i="2"/>
  <c r="AM552" i="2"/>
  <c r="AL549" i="2"/>
  <c r="AD547" i="2"/>
  <c r="AG547" i="2"/>
  <c r="AJ547" i="2"/>
  <c r="AG544" i="2"/>
  <c r="AL543" i="2"/>
  <c r="AD541" i="2"/>
  <c r="AG541" i="2"/>
  <c r="AJ541" i="2"/>
  <c r="AF537" i="2"/>
  <c r="AM535" i="2"/>
  <c r="AG533" i="2"/>
  <c r="AJ533" i="2"/>
  <c r="AA533" i="2"/>
  <c r="AM533" i="2"/>
  <c r="AA530" i="2"/>
  <c r="AM530" i="2"/>
  <c r="AD530" i="2"/>
  <c r="AG530" i="2"/>
  <c r="AF521" i="2"/>
  <c r="AI521" i="2"/>
  <c r="Z513" i="2"/>
  <c r="Z507" i="2"/>
  <c r="Z501" i="2"/>
  <c r="AJ494" i="2"/>
  <c r="AM494" i="2"/>
  <c r="AA494" i="2"/>
  <c r="AD494" i="2"/>
  <c r="AL492" i="2"/>
  <c r="AJ490" i="2"/>
  <c r="AD472" i="2"/>
  <c r="AJ472" i="2"/>
  <c r="AA472" i="2"/>
  <c r="AG472" i="2"/>
  <c r="AG590" i="2"/>
  <c r="AM596" i="2"/>
  <c r="AA596" i="2"/>
  <c r="AM590" i="2"/>
  <c r="AM584" i="2"/>
  <c r="AM578" i="2"/>
  <c r="AM572" i="2"/>
  <c r="AM566" i="2"/>
  <c r="AG561" i="2"/>
  <c r="AG554" i="2"/>
  <c r="AF551" i="2"/>
  <c r="AI551" i="2"/>
  <c r="AF549" i="2"/>
  <c r="AG545" i="2"/>
  <c r="AJ545" i="2"/>
  <c r="AA545" i="2"/>
  <c r="AM545" i="2"/>
  <c r="AF543" i="2"/>
  <c r="AG539" i="2"/>
  <c r="AJ539" i="2"/>
  <c r="AA539" i="2"/>
  <c r="AM539" i="2"/>
  <c r="AA536" i="2"/>
  <c r="AM536" i="2"/>
  <c r="AD536" i="2"/>
  <c r="AG536" i="2"/>
  <c r="AF527" i="2"/>
  <c r="AI527" i="2"/>
  <c r="AI525" i="2"/>
  <c r="Z519" i="2"/>
  <c r="AL512" i="2"/>
  <c r="AI492" i="2"/>
  <c r="AG486" i="2"/>
  <c r="AJ520" i="2"/>
  <c r="AA520" i="2"/>
  <c r="AM520" i="2"/>
  <c r="AD520" i="2"/>
  <c r="AA493" i="2"/>
  <c r="AM493" i="2"/>
  <c r="AD493" i="2"/>
  <c r="AG493" i="2"/>
  <c r="Z493" i="2"/>
  <c r="AF493" i="2"/>
  <c r="AM565" i="2"/>
  <c r="AM564" i="2"/>
  <c r="AM563" i="2"/>
  <c r="AJ555" i="2"/>
  <c r="AA555" i="2"/>
  <c r="AM555" i="2"/>
  <c r="AG555" i="2"/>
  <c r="AF554" i="2"/>
  <c r="AA553" i="2"/>
  <c r="AA548" i="2"/>
  <c r="AM548" i="2"/>
  <c r="AD548" i="2"/>
  <c r="AG548" i="2"/>
  <c r="AA542" i="2"/>
  <c r="AM542" i="2"/>
  <c r="AD542" i="2"/>
  <c r="AG542" i="2"/>
  <c r="AF533" i="2"/>
  <c r="AI533" i="2"/>
  <c r="Z525" i="2"/>
  <c r="AL518" i="2"/>
  <c r="AJ514" i="2"/>
  <c r="AA514" i="2"/>
  <c r="AM514" i="2"/>
  <c r="AD514" i="2"/>
  <c r="AJ508" i="2"/>
  <c r="AA508" i="2"/>
  <c r="AM508" i="2"/>
  <c r="AD508" i="2"/>
  <c r="AD503" i="2"/>
  <c r="AJ502" i="2"/>
  <c r="AA502" i="2"/>
  <c r="AM502" i="2"/>
  <c r="AD502" i="2"/>
  <c r="AA499" i="2"/>
  <c r="AM472" i="2"/>
  <c r="AM540" i="2"/>
  <c r="AA540" i="2"/>
  <c r="AM534" i="2"/>
  <c r="AA534" i="2"/>
  <c r="AM528" i="2"/>
  <c r="AA528" i="2"/>
  <c r="AM522" i="2"/>
  <c r="AA522" i="2"/>
  <c r="AM516" i="2"/>
  <c r="AA516" i="2"/>
  <c r="AM510" i="2"/>
  <c r="AA510" i="2"/>
  <c r="AM504" i="2"/>
  <c r="AA504" i="2"/>
  <c r="AM498" i="2"/>
  <c r="AA498" i="2"/>
  <c r="AC497" i="2"/>
  <c r="AI491" i="2"/>
  <c r="AI487" i="2"/>
  <c r="AD483" i="2"/>
  <c r="AG483" i="2"/>
  <c r="AF479" i="2"/>
  <c r="AI479" i="2"/>
  <c r="Z473" i="2"/>
  <c r="AJ456" i="2"/>
  <c r="AA456" i="2"/>
  <c r="AM456" i="2"/>
  <c r="AD456" i="2"/>
  <c r="AG456" i="2"/>
  <c r="AM440" i="2"/>
  <c r="AA440" i="2"/>
  <c r="AD440" i="2"/>
  <c r="AG440" i="2"/>
  <c r="AJ440" i="2"/>
  <c r="Z426" i="2"/>
  <c r="AA421" i="2"/>
  <c r="AM421" i="2"/>
  <c r="AD421" i="2"/>
  <c r="AJ421" i="2"/>
  <c r="AG421" i="2"/>
  <c r="AA497" i="2"/>
  <c r="AI494" i="2"/>
  <c r="AF487" i="2"/>
  <c r="AM483" i="2"/>
  <c r="Z480" i="2"/>
  <c r="AD454" i="2"/>
  <c r="AG454" i="2"/>
  <c r="AJ454" i="2"/>
  <c r="AD450" i="2"/>
  <c r="AJ450" i="2"/>
  <c r="AM450" i="2"/>
  <c r="AA450" i="2"/>
  <c r="AG450" i="2"/>
  <c r="Z447" i="2"/>
  <c r="AF482" i="2"/>
  <c r="AI482" i="2"/>
  <c r="AM434" i="2"/>
  <c r="AA434" i="2"/>
  <c r="AD434" i="2"/>
  <c r="AG434" i="2"/>
  <c r="AJ434" i="2"/>
  <c r="AG370" i="2"/>
  <c r="AJ370" i="2"/>
  <c r="AA370" i="2"/>
  <c r="AM370" i="2"/>
  <c r="AD370" i="2"/>
  <c r="AC487" i="2"/>
  <c r="AJ483" i="2"/>
  <c r="AL477" i="2"/>
  <c r="AF470" i="2"/>
  <c r="AI470" i="2"/>
  <c r="AF464" i="2"/>
  <c r="AI464" i="2"/>
  <c r="AM428" i="2"/>
  <c r="AA428" i="2"/>
  <c r="AD428" i="2"/>
  <c r="AG428" i="2"/>
  <c r="AJ428" i="2"/>
  <c r="AA409" i="2"/>
  <c r="AM409" i="2"/>
  <c r="AD409" i="2"/>
  <c r="AG409" i="2"/>
  <c r="AJ409" i="2"/>
  <c r="AG382" i="2"/>
  <c r="AJ382" i="2"/>
  <c r="AA382" i="2"/>
  <c r="AM382" i="2"/>
  <c r="AD382" i="2"/>
  <c r="AA485" i="2"/>
  <c r="AM485" i="2"/>
  <c r="AD485" i="2"/>
  <c r="AG485" i="2"/>
  <c r="AJ475" i="2"/>
  <c r="AD475" i="2"/>
  <c r="AF473" i="2"/>
  <c r="AI473" i="2"/>
  <c r="AG394" i="2"/>
  <c r="AJ394" i="2"/>
  <c r="AA394" i="2"/>
  <c r="AM394" i="2"/>
  <c r="AD394" i="2"/>
  <c r="AF547" i="2"/>
  <c r="AF517" i="2"/>
  <c r="AJ497" i="2"/>
  <c r="AC491" i="2"/>
  <c r="AL480" i="2"/>
  <c r="AJ480" i="2"/>
  <c r="AA480" i="2"/>
  <c r="AM480" i="2"/>
  <c r="AG480" i="2"/>
  <c r="AI477" i="2"/>
  <c r="AM475" i="2"/>
  <c r="AF458" i="2"/>
  <c r="AI458" i="2"/>
  <c r="AG540" i="2"/>
  <c r="AG534" i="2"/>
  <c r="AG528" i="2"/>
  <c r="AG522" i="2"/>
  <c r="AG516" i="2"/>
  <c r="AG510" i="2"/>
  <c r="AG504" i="2"/>
  <c r="AG498" i="2"/>
  <c r="AC490" i="2"/>
  <c r="AF483" i="2"/>
  <c r="AJ463" i="2"/>
  <c r="AA463" i="2"/>
  <c r="AM463" i="2"/>
  <c r="AD463" i="2"/>
  <c r="AL455" i="2"/>
  <c r="AJ449" i="2"/>
  <c r="AM449" i="2"/>
  <c r="AA449" i="2"/>
  <c r="AD449" i="2"/>
  <c r="AG449" i="2"/>
  <c r="AG484" i="2"/>
  <c r="AA479" i="2"/>
  <c r="AM479" i="2"/>
  <c r="AD479" i="2"/>
  <c r="AG479" i="2"/>
  <c r="AD478" i="2"/>
  <c r="AJ478" i="2"/>
  <c r="Z474" i="2"/>
  <c r="AL474" i="2"/>
  <c r="AF474" i="2"/>
  <c r="AL471" i="2"/>
  <c r="AJ469" i="2"/>
  <c r="AA469" i="2"/>
  <c r="AD469" i="2"/>
  <c r="AJ422" i="2"/>
  <c r="AM422" i="2"/>
  <c r="AA422" i="2"/>
  <c r="AD422" i="2"/>
  <c r="AG422" i="2"/>
  <c r="AJ485" i="2"/>
  <c r="AC477" i="2"/>
  <c r="Z477" i="2"/>
  <c r="AG475" i="2"/>
  <c r="Z462" i="2"/>
  <c r="AL462" i="2"/>
  <c r="AC462" i="2"/>
  <c r="AF462" i="2"/>
  <c r="AJ457" i="2"/>
  <c r="AA457" i="2"/>
  <c r="AM457" i="2"/>
  <c r="AD457" i="2"/>
  <c r="AM446" i="2"/>
  <c r="AA446" i="2"/>
  <c r="AD446" i="2"/>
  <c r="AG446" i="2"/>
  <c r="AJ446" i="2"/>
  <c r="AJ405" i="2"/>
  <c r="AA405" i="2"/>
  <c r="AM405" i="2"/>
  <c r="AD405" i="2"/>
  <c r="AG405" i="2"/>
  <c r="Z483" i="2"/>
  <c r="AJ474" i="2"/>
  <c r="AA474" i="2"/>
  <c r="AM474" i="2"/>
  <c r="AD474" i="2"/>
  <c r="AG474" i="2"/>
  <c r="AI471" i="2"/>
  <c r="AM469" i="2"/>
  <c r="Z468" i="2"/>
  <c r="AL468" i="2"/>
  <c r="AC468" i="2"/>
  <c r="AF468" i="2"/>
  <c r="Z461" i="2"/>
  <c r="AA454" i="2"/>
  <c r="AG451" i="2"/>
  <c r="AJ451" i="2"/>
  <c r="AA451" i="2"/>
  <c r="AM451" i="2"/>
  <c r="AD451" i="2"/>
  <c r="AA448" i="2"/>
  <c r="AM448" i="2"/>
  <c r="AD448" i="2"/>
  <c r="AG448" i="2"/>
  <c r="Z438" i="2"/>
  <c r="Z409" i="2"/>
  <c r="AC409" i="2"/>
  <c r="AF409" i="2"/>
  <c r="AA391" i="2"/>
  <c r="AM391" i="2"/>
  <c r="AD391" i="2"/>
  <c r="AG391" i="2"/>
  <c r="AA379" i="2"/>
  <c r="AM379" i="2"/>
  <c r="AD379" i="2"/>
  <c r="AG379" i="2"/>
  <c r="AA367" i="2"/>
  <c r="AM367" i="2"/>
  <c r="AD367" i="2"/>
  <c r="AG367" i="2"/>
  <c r="AM477" i="2"/>
  <c r="AA477" i="2"/>
  <c r="AM471" i="2"/>
  <c r="AA471" i="2"/>
  <c r="AI467" i="2"/>
  <c r="AM465" i="2"/>
  <c r="AA465" i="2"/>
  <c r="AI461" i="2"/>
  <c r="AI455" i="2"/>
  <c r="AJ445" i="2"/>
  <c r="AI440" i="2"/>
  <c r="AJ439" i="2"/>
  <c r="AI434" i="2"/>
  <c r="AJ433" i="2"/>
  <c r="AI428" i="2"/>
  <c r="AJ427" i="2"/>
  <c r="AL423" i="2"/>
  <c r="AA415" i="2"/>
  <c r="AM415" i="2"/>
  <c r="AD415" i="2"/>
  <c r="AG415" i="2"/>
  <c r="AJ411" i="2"/>
  <c r="AA411" i="2"/>
  <c r="AM411" i="2"/>
  <c r="AF394" i="2"/>
  <c r="AI394" i="2"/>
  <c r="Z391" i="2"/>
  <c r="AC391" i="2"/>
  <c r="AF391" i="2"/>
  <c r="AC386" i="2"/>
  <c r="AF386" i="2"/>
  <c r="AF382" i="2"/>
  <c r="AI382" i="2"/>
  <c r="Z379" i="2"/>
  <c r="AC379" i="2"/>
  <c r="AF379" i="2"/>
  <c r="AC374" i="2"/>
  <c r="AF374" i="2"/>
  <c r="AF370" i="2"/>
  <c r="AI370" i="2"/>
  <c r="Z367" i="2"/>
  <c r="Z452" i="2"/>
  <c r="AF449" i="2"/>
  <c r="AJ444" i="2"/>
  <c r="AJ443" i="2"/>
  <c r="AJ438" i="2"/>
  <c r="AJ437" i="2"/>
  <c r="AJ432" i="2"/>
  <c r="AJ431" i="2"/>
  <c r="AJ426" i="2"/>
  <c r="AJ425" i="2"/>
  <c r="AG423" i="2"/>
  <c r="AI423" i="2"/>
  <c r="AC420" i="2"/>
  <c r="Z415" i="2"/>
  <c r="AC415" i="2"/>
  <c r="AG400" i="2"/>
  <c r="AJ400" i="2"/>
  <c r="AA400" i="2"/>
  <c r="AM400" i="2"/>
  <c r="AJ398" i="2"/>
  <c r="AA398" i="2"/>
  <c r="AM398" i="2"/>
  <c r="AD398" i="2"/>
  <c r="AD396" i="2"/>
  <c r="AG396" i="2"/>
  <c r="AM488" i="2"/>
  <c r="AA488" i="2"/>
  <c r="AM482" i="2"/>
  <c r="AA482" i="2"/>
  <c r="AM476" i="2"/>
  <c r="AA476" i="2"/>
  <c r="AM470" i="2"/>
  <c r="AA470" i="2"/>
  <c r="AG467" i="2"/>
  <c r="AM464" i="2"/>
  <c r="AA464" i="2"/>
  <c r="AG461" i="2"/>
  <c r="AM458" i="2"/>
  <c r="AA458" i="2"/>
  <c r="AG455" i="2"/>
  <c r="AM452" i="2"/>
  <c r="AA452" i="2"/>
  <c r="AL446" i="2"/>
  <c r="AI444" i="2"/>
  <c r="AL441" i="2"/>
  <c r="AL440" i="2"/>
  <c r="AI438" i="2"/>
  <c r="AL435" i="2"/>
  <c r="AL434" i="2"/>
  <c r="AI432" i="2"/>
  <c r="AI431" i="2"/>
  <c r="AL429" i="2"/>
  <c r="AL428" i="2"/>
  <c r="AI426" i="2"/>
  <c r="AI425" i="2"/>
  <c r="AG424" i="2"/>
  <c r="AJ424" i="2"/>
  <c r="AF423" i="2"/>
  <c r="AI417" i="2"/>
  <c r="AL409" i="2"/>
  <c r="AL398" i="2"/>
  <c r="AJ386" i="2"/>
  <c r="AA386" i="2"/>
  <c r="AM386" i="2"/>
  <c r="AD386" i="2"/>
  <c r="AJ374" i="2"/>
  <c r="AA374" i="2"/>
  <c r="AM374" i="2"/>
  <c r="AD374" i="2"/>
  <c r="AG445" i="2"/>
  <c r="AG439" i="2"/>
  <c r="AG433" i="2"/>
  <c r="AG427" i="2"/>
  <c r="AG417" i="2"/>
  <c r="AF405" i="2"/>
  <c r="AF400" i="2"/>
  <c r="AI400" i="2"/>
  <c r="AM396" i="2"/>
  <c r="AJ393" i="2"/>
  <c r="AA393" i="2"/>
  <c r="AM393" i="2"/>
  <c r="AD393" i="2"/>
  <c r="AL391" i="2"/>
  <c r="AF387" i="2"/>
  <c r="AL386" i="2"/>
  <c r="AJ381" i="2"/>
  <c r="AA381" i="2"/>
  <c r="AM381" i="2"/>
  <c r="AD381" i="2"/>
  <c r="AL379" i="2"/>
  <c r="AF375" i="2"/>
  <c r="AL374" i="2"/>
  <c r="AJ369" i="2"/>
  <c r="AA369" i="2"/>
  <c r="AM369" i="2"/>
  <c r="AD369" i="2"/>
  <c r="AL367" i="2"/>
  <c r="AG444" i="2"/>
  <c r="AF441" i="2"/>
  <c r="AG438" i="2"/>
  <c r="AF435" i="2"/>
  <c r="AG432" i="2"/>
  <c r="AF429" i="2"/>
  <c r="AG426" i="2"/>
  <c r="AD423" i="2"/>
  <c r="AG418" i="2"/>
  <c r="AJ418" i="2"/>
  <c r="AA418" i="2"/>
  <c r="AM418" i="2"/>
  <c r="AL415" i="2"/>
  <c r="AG406" i="2"/>
  <c r="AJ406" i="2"/>
  <c r="AA406" i="2"/>
  <c r="AM406" i="2"/>
  <c r="AJ404" i="2"/>
  <c r="AA404" i="2"/>
  <c r="AM404" i="2"/>
  <c r="AD404" i="2"/>
  <c r="AD402" i="2"/>
  <c r="AG402" i="2"/>
  <c r="AI398" i="2"/>
  <c r="AA397" i="2"/>
  <c r="AM397" i="2"/>
  <c r="AD397" i="2"/>
  <c r="AG397" i="2"/>
  <c r="AG388" i="2"/>
  <c r="AJ388" i="2"/>
  <c r="AA388" i="2"/>
  <c r="AM388" i="2"/>
  <c r="AG376" i="2"/>
  <c r="AJ376" i="2"/>
  <c r="AA376" i="2"/>
  <c r="AM376" i="2"/>
  <c r="AD467" i="2"/>
  <c r="AD461" i="2"/>
  <c r="AD455" i="2"/>
  <c r="AJ452" i="2"/>
  <c r="AF443" i="2"/>
  <c r="AF437" i="2"/>
  <c r="AF436" i="2"/>
  <c r="AF431" i="2"/>
  <c r="AF430" i="2"/>
  <c r="AF425" i="2"/>
  <c r="Z423" i="2"/>
  <c r="AC417" i="2"/>
  <c r="AJ415" i="2"/>
  <c r="AF411" i="2"/>
  <c r="AI409" i="2"/>
  <c r="AL404" i="2"/>
  <c r="Z397" i="2"/>
  <c r="AC397" i="2"/>
  <c r="AF397" i="2"/>
  <c r="AJ391" i="2"/>
  <c r="AA385" i="2"/>
  <c r="AM385" i="2"/>
  <c r="AD385" i="2"/>
  <c r="AG385" i="2"/>
  <c r="AJ379" i="2"/>
  <c r="AA373" i="2"/>
  <c r="AM373" i="2"/>
  <c r="AD373" i="2"/>
  <c r="AG373" i="2"/>
  <c r="AJ367" i="2"/>
  <c r="AG477" i="2"/>
  <c r="AG471" i="2"/>
  <c r="AG465" i="2"/>
  <c r="AG459" i="2"/>
  <c r="AG453" i="2"/>
  <c r="AD443" i="2"/>
  <c r="AD441" i="2"/>
  <c r="AD437" i="2"/>
  <c r="AD435" i="2"/>
  <c r="AD431" i="2"/>
  <c r="AD429" i="2"/>
  <c r="AD425" i="2"/>
  <c r="AD424" i="2"/>
  <c r="AD417" i="2"/>
  <c r="AG412" i="2"/>
  <c r="AJ412" i="2"/>
  <c r="AA412" i="2"/>
  <c r="AM412" i="2"/>
  <c r="AF406" i="2"/>
  <c r="AI406" i="2"/>
  <c r="AM402" i="2"/>
  <c r="AD400" i="2"/>
  <c r="AG398" i="2"/>
  <c r="AJ396" i="2"/>
  <c r="AC392" i="2"/>
  <c r="AF392" i="2"/>
  <c r="AI391" i="2"/>
  <c r="AF388" i="2"/>
  <c r="AI388" i="2"/>
  <c r="Z385" i="2"/>
  <c r="AC385" i="2"/>
  <c r="AF385" i="2"/>
  <c r="AC380" i="2"/>
  <c r="AF380" i="2"/>
  <c r="AI379" i="2"/>
  <c r="AF376" i="2"/>
  <c r="AI376" i="2"/>
  <c r="Z373" i="2"/>
  <c r="AC373" i="2"/>
  <c r="AF373" i="2"/>
  <c r="AC368" i="2"/>
  <c r="AF368" i="2"/>
  <c r="AI367" i="2"/>
  <c r="Z446" i="2"/>
  <c r="AD442" i="2"/>
  <c r="Z441" i="2"/>
  <c r="Z440" i="2"/>
  <c r="AD436" i="2"/>
  <c r="Z435" i="2"/>
  <c r="Z434" i="2"/>
  <c r="AD430" i="2"/>
  <c r="Z429" i="2"/>
  <c r="Z428" i="2"/>
  <c r="AA423" i="2"/>
  <c r="AD411" i="2"/>
  <c r="AJ410" i="2"/>
  <c r="AA410" i="2"/>
  <c r="AM410" i="2"/>
  <c r="AD408" i="2"/>
  <c r="AG408" i="2"/>
  <c r="AI404" i="2"/>
  <c r="AA403" i="2"/>
  <c r="AM403" i="2"/>
  <c r="AD403" i="2"/>
  <c r="AG403" i="2"/>
  <c r="AJ399" i="2"/>
  <c r="AA399" i="2"/>
  <c r="AM399" i="2"/>
  <c r="AF398" i="2"/>
  <c r="Z398" i="2"/>
  <c r="AM467" i="2"/>
  <c r="AM461" i="2"/>
  <c r="AM455" i="2"/>
  <c r="AA445" i="2"/>
  <c r="AA444" i="2"/>
  <c r="AA439" i="2"/>
  <c r="AA438" i="2"/>
  <c r="AA433" i="2"/>
  <c r="AA432" i="2"/>
  <c r="AA427" i="2"/>
  <c r="AA426" i="2"/>
  <c r="AJ420" i="2"/>
  <c r="AA417" i="2"/>
  <c r="AJ416" i="2"/>
  <c r="AA416" i="2"/>
  <c r="AM416" i="2"/>
  <c r="AF415" i="2"/>
  <c r="AD413" i="2"/>
  <c r="AG413" i="2"/>
  <c r="AF412" i="2"/>
  <c r="AI412" i="2"/>
  <c r="AL410" i="2"/>
  <c r="Z403" i="2"/>
  <c r="AC403" i="2"/>
  <c r="AF403" i="2"/>
  <c r="AL397" i="2"/>
  <c r="AG393" i="2"/>
  <c r="AJ392" i="2"/>
  <c r="AA392" i="2"/>
  <c r="AM392" i="2"/>
  <c r="AD392" i="2"/>
  <c r="AG386" i="2"/>
  <c r="Z386" i="2"/>
  <c r="AG381" i="2"/>
  <c r="AJ380" i="2"/>
  <c r="AA380" i="2"/>
  <c r="AM380" i="2"/>
  <c r="AD380" i="2"/>
  <c r="AG374" i="2"/>
  <c r="Z374" i="2"/>
  <c r="AG369" i="2"/>
  <c r="AJ368" i="2"/>
  <c r="AA368" i="2"/>
  <c r="AM368" i="2"/>
  <c r="AD368" i="2"/>
  <c r="AF367" i="2"/>
  <c r="AM447" i="2"/>
  <c r="AM445" i="2"/>
  <c r="AA441" i="2"/>
  <c r="AM439" i="2"/>
  <c r="AA435" i="2"/>
  <c r="AM433" i="2"/>
  <c r="AA429" i="2"/>
  <c r="AM427" i="2"/>
  <c r="AA424" i="2"/>
  <c r="AD418" i="2"/>
  <c r="AD414" i="2"/>
  <c r="AG414" i="2"/>
  <c r="AM408" i="2"/>
  <c r="AD406" i="2"/>
  <c r="AG404" i="2"/>
  <c r="AJ402" i="2"/>
  <c r="AF393" i="2"/>
  <c r="AL392" i="2"/>
  <c r="AD388" i="2"/>
  <c r="AJ387" i="2"/>
  <c r="AA387" i="2"/>
  <c r="AM387" i="2"/>
  <c r="AD387" i="2"/>
  <c r="AL385" i="2"/>
  <c r="AF381" i="2"/>
  <c r="AL380" i="2"/>
  <c r="AD376" i="2"/>
  <c r="AJ375" i="2"/>
  <c r="AA375" i="2"/>
  <c r="AM375" i="2"/>
  <c r="AD375" i="2"/>
  <c r="AL373" i="2"/>
  <c r="AF369" i="2"/>
  <c r="AL368" i="2"/>
  <c r="AC367" i="2"/>
  <c r="AG390" i="2"/>
  <c r="AG384" i="2"/>
  <c r="AG378" i="2"/>
  <c r="AG372" i="2"/>
  <c r="AG407" i="2"/>
  <c r="AG401" i="2"/>
  <c r="AG395" i="2"/>
  <c r="AG389" i="2"/>
  <c r="AG383" i="2"/>
  <c r="AG377" i="2"/>
  <c r="AG371" i="2"/>
  <c r="S90" i="39"/>
  <c r="S54" i="39"/>
  <c r="U78" i="39"/>
  <c r="S65" i="39"/>
  <c r="S53" i="39"/>
  <c r="O89" i="39"/>
  <c r="U66" i="39"/>
  <c r="Q77" i="39"/>
  <c r="Q50" i="39"/>
  <c r="S52" i="39"/>
  <c r="S51" i="39"/>
  <c r="O73" i="39"/>
  <c r="S89" i="39"/>
  <c r="S50" i="39"/>
  <c r="S77" i="39"/>
  <c r="M89" i="39"/>
  <c r="S88" i="39"/>
  <c r="Q76" i="39"/>
  <c r="O62" i="39"/>
  <c r="Q73" i="39"/>
  <c r="S75" i="39"/>
  <c r="Q65" i="39"/>
  <c r="M86" i="39"/>
  <c r="S74" i="39"/>
  <c r="Q63" i="39"/>
  <c r="M53" i="39"/>
  <c r="Q62" i="39"/>
  <c r="M50" i="39"/>
  <c r="S63" i="39"/>
  <c r="Q53" i="39"/>
  <c r="K62" i="39"/>
  <c r="Q52" i="39"/>
  <c r="K52" i="39"/>
  <c r="Q51" i="39"/>
  <c r="O61" i="39"/>
  <c r="Q61" i="39"/>
  <c r="O49" i="39"/>
  <c r="U61" i="39"/>
  <c r="K61" i="39"/>
  <c r="U49" i="39"/>
  <c r="S85" i="39"/>
  <c r="K54" i="39"/>
  <c r="S61" i="39"/>
  <c r="U73" i="39"/>
  <c r="K73" i="39"/>
  <c r="S49" i="39"/>
  <c r="M85" i="39"/>
  <c r="Q85" i="39"/>
  <c r="M74" i="39"/>
  <c r="Q78" i="39"/>
  <c r="Q49" i="39"/>
  <c r="M73" i="39"/>
  <c r="M49" i="39"/>
  <c r="O85" i="39"/>
  <c r="M54" i="39"/>
  <c r="S78" i="39"/>
  <c r="Q66" i="39"/>
  <c r="O90" i="39"/>
  <c r="M90" i="39"/>
  <c r="U54" i="39"/>
  <c r="K91" i="39"/>
  <c r="Q64" i="39"/>
  <c r="K90" i="39"/>
  <c r="Q92" i="39"/>
  <c r="O78" i="39"/>
  <c r="K88" i="39"/>
  <c r="Q90" i="39"/>
  <c r="O77" i="39"/>
  <c r="M78" i="39"/>
  <c r="S66" i="39"/>
  <c r="Q88" i="39"/>
  <c r="O76" i="39"/>
  <c r="U95" i="39"/>
  <c r="K66" i="39"/>
  <c r="Q79" i="39"/>
  <c r="O66" i="39"/>
  <c r="K65" i="39"/>
  <c r="U85" i="39"/>
  <c r="O65" i="39"/>
  <c r="M77" i="39"/>
  <c r="K53" i="39"/>
  <c r="U83" i="39"/>
  <c r="U53" i="39"/>
  <c r="S95" i="39"/>
  <c r="S71" i="39"/>
  <c r="Q94" i="39"/>
  <c r="K89" i="39"/>
  <c r="Q93" i="39"/>
  <c r="K50" i="39"/>
  <c r="U77" i="39"/>
  <c r="U60" i="39"/>
  <c r="U84" i="39"/>
  <c r="Q91" i="39"/>
  <c r="O86" i="39"/>
  <c r="M65" i="39"/>
  <c r="U72" i="39"/>
  <c r="S86" i="39"/>
  <c r="O50" i="39"/>
  <c r="M62" i="39"/>
  <c r="K74" i="39"/>
  <c r="U71" i="39"/>
  <c r="S59" i="39"/>
  <c r="Q89" i="39"/>
  <c r="O79" i="39"/>
  <c r="U59" i="39"/>
  <c r="S83" i="39"/>
  <c r="S81" i="39"/>
  <c r="S68" i="39"/>
  <c r="S55" i="39"/>
  <c r="Q57" i="39"/>
  <c r="M79" i="39"/>
  <c r="M55" i="39"/>
  <c r="U92" i="39"/>
  <c r="U80" i="39"/>
  <c r="U68" i="39"/>
  <c r="U56" i="39"/>
  <c r="S94" i="39"/>
  <c r="S80" i="39"/>
  <c r="S67" i="39"/>
  <c r="Q70" i="39"/>
  <c r="Q56" i="39"/>
  <c r="O69" i="39"/>
  <c r="K81" i="39"/>
  <c r="U91" i="39"/>
  <c r="U79" i="39"/>
  <c r="U67" i="39"/>
  <c r="U55" i="39"/>
  <c r="S93" i="39"/>
  <c r="S79" i="39"/>
  <c r="Q86" i="39"/>
  <c r="Q69" i="39"/>
  <c r="Q55" i="39"/>
  <c r="O88" i="39"/>
  <c r="O68" i="39"/>
  <c r="O52" i="39"/>
  <c r="K80" i="39"/>
  <c r="K64" i="39"/>
  <c r="AI365" i="2"/>
  <c r="S92" i="39"/>
  <c r="Q68" i="39"/>
  <c r="O67" i="39"/>
  <c r="S91" i="39"/>
  <c r="S64" i="39"/>
  <c r="Q82" i="39"/>
  <c r="Q67" i="39"/>
  <c r="U88" i="39"/>
  <c r="U76" i="39"/>
  <c r="U64" i="39"/>
  <c r="U52" i="39"/>
  <c r="Z363" i="2"/>
  <c r="S76" i="39"/>
  <c r="Q81" i="39"/>
  <c r="O81" i="39"/>
  <c r="M92" i="39"/>
  <c r="M68" i="39"/>
  <c r="K93" i="39"/>
  <c r="K56" i="39"/>
  <c r="U87" i="39"/>
  <c r="U75" i="39"/>
  <c r="U63" i="39"/>
  <c r="U51" i="39"/>
  <c r="S62" i="39"/>
  <c r="Q80" i="39"/>
  <c r="O80" i="39"/>
  <c r="O64" i="39"/>
  <c r="M91" i="39"/>
  <c r="M67" i="39"/>
  <c r="K92" i="39"/>
  <c r="K76" i="39"/>
  <c r="K55" i="39"/>
  <c r="U86" i="39"/>
  <c r="U74" i="39"/>
  <c r="S58" i="39"/>
  <c r="O93" i="39"/>
  <c r="O57" i="39"/>
  <c r="K69" i="39"/>
  <c r="S70" i="39"/>
  <c r="S57" i="39"/>
  <c r="O56" i="39"/>
  <c r="U94" i="39"/>
  <c r="U82" i="39"/>
  <c r="U70" i="39"/>
  <c r="U58" i="39"/>
  <c r="S82" i="39"/>
  <c r="S69" i="39"/>
  <c r="S56" i="39"/>
  <c r="Q74" i="39"/>
  <c r="Q58" i="39"/>
  <c r="U93" i="39"/>
  <c r="U81" i="39"/>
  <c r="U69" i="39"/>
  <c r="U57" i="39"/>
  <c r="K87" i="39"/>
  <c r="K75" i="39"/>
  <c r="K63" i="39"/>
  <c r="K51" i="39"/>
  <c r="M87" i="39"/>
  <c r="M75" i="39"/>
  <c r="M63" i="39"/>
  <c r="M51" i="39"/>
  <c r="O87" i="39"/>
  <c r="O75" i="39"/>
  <c r="Q87" i="39"/>
  <c r="K84" i="39"/>
  <c r="K72" i="39"/>
  <c r="K60" i="39"/>
  <c r="M84" i="39"/>
  <c r="M72" i="39"/>
  <c r="M60" i="39"/>
  <c r="K95" i="39"/>
  <c r="K83" i="39"/>
  <c r="K71" i="39"/>
  <c r="K59" i="39"/>
  <c r="O84" i="39"/>
  <c r="O72" i="39"/>
  <c r="O60" i="39"/>
  <c r="M95" i="39"/>
  <c r="M83" i="39"/>
  <c r="M71" i="39"/>
  <c r="M59" i="39"/>
  <c r="K94" i="39"/>
  <c r="K82" i="39"/>
  <c r="K70" i="39"/>
  <c r="K58" i="39"/>
  <c r="K57" i="39"/>
  <c r="Q84" i="39"/>
  <c r="Q72" i="39"/>
  <c r="Q60" i="39"/>
  <c r="O95" i="39"/>
  <c r="O83" i="39"/>
  <c r="O71" i="39"/>
  <c r="O59" i="39"/>
  <c r="M94" i="39"/>
  <c r="M82" i="39"/>
  <c r="M70" i="39"/>
  <c r="M58" i="39"/>
  <c r="AC365" i="2"/>
  <c r="AL364" i="2"/>
  <c r="AC351" i="2"/>
  <c r="AC359" i="2"/>
  <c r="AL356" i="2"/>
  <c r="AI354" i="2"/>
  <c r="AC363" i="2"/>
  <c r="Z352" i="2"/>
  <c r="AI358" i="2"/>
  <c r="AI351" i="2"/>
  <c r="AL352" i="2"/>
  <c r="AC360" i="2"/>
  <c r="AL351" i="2"/>
  <c r="AL353" i="2"/>
  <c r="AI357" i="2"/>
  <c r="AF350" i="2"/>
  <c r="AL363" i="2"/>
  <c r="AM352" i="2"/>
  <c r="AI352" i="2"/>
  <c r="AC356" i="2"/>
  <c r="AL355" i="2"/>
  <c r="AF359" i="2"/>
  <c r="AL362" i="2"/>
  <c r="AC362" i="2"/>
  <c r="AI353" i="2"/>
  <c r="AF360" i="2"/>
  <c r="AI361" i="2"/>
  <c r="AF363" i="2"/>
  <c r="Z355" i="2"/>
  <c r="AM356" i="2"/>
  <c r="AC364" i="2"/>
  <c r="Z351" i="2"/>
  <c r="AI356" i="2"/>
  <c r="AL358" i="2"/>
  <c r="AI366" i="2"/>
  <c r="AC352" i="2"/>
  <c r="AI364" i="2"/>
  <c r="AL366" i="2"/>
  <c r="AC358" i="2"/>
  <c r="AI350" i="2"/>
  <c r="AL350" i="2"/>
  <c r="AL354" i="2"/>
  <c r="AL359" i="2"/>
  <c r="Z360" i="2"/>
  <c r="AC366" i="2"/>
  <c r="AC357" i="2"/>
  <c r="AC355" i="2"/>
  <c r="AC353" i="2"/>
  <c r="Z356" i="2"/>
  <c r="AL360" i="2"/>
  <c r="AI362" i="2"/>
  <c r="AL365" i="2"/>
  <c r="AC350" i="2"/>
  <c r="AC354" i="2"/>
  <c r="AI355" i="2"/>
  <c r="Z359" i="2"/>
  <c r="Z364" i="2"/>
  <c r="AL357" i="2"/>
  <c r="AL361" i="2"/>
  <c r="AJ360" i="2"/>
  <c r="AD360" i="2"/>
  <c r="AG360" i="2"/>
  <c r="AM360" i="2"/>
  <c r="AA360" i="2"/>
  <c r="AF354" i="2"/>
  <c r="AM355" i="2"/>
  <c r="AA355" i="2"/>
  <c r="AJ355" i="2"/>
  <c r="AG355" i="2"/>
  <c r="AF353" i="2"/>
  <c r="Z353" i="2"/>
  <c r="AF366" i="2"/>
  <c r="AM363" i="2"/>
  <c r="AA363" i="2"/>
  <c r="AJ363" i="2"/>
  <c r="AD363" i="2"/>
  <c r="AG363" i="2"/>
  <c r="AM351" i="2"/>
  <c r="AA351" i="2"/>
  <c r="AG351" i="2"/>
  <c r="AJ351" i="2"/>
  <c r="AC361" i="2"/>
  <c r="AG353" i="2"/>
  <c r="AA353" i="2"/>
  <c r="AD353" i="2"/>
  <c r="AM353" i="2"/>
  <c r="AD350" i="2"/>
  <c r="AA350" i="2"/>
  <c r="AM350" i="2"/>
  <c r="AJ350" i="2"/>
  <c r="AD351" i="2"/>
  <c r="AJ352" i="2"/>
  <c r="AD352" i="2"/>
  <c r="AG352" i="2"/>
  <c r="AF358" i="2"/>
  <c r="AM359" i="2"/>
  <c r="AA359" i="2"/>
  <c r="AJ359" i="2"/>
  <c r="AG359" i="2"/>
  <c r="AF362" i="2"/>
  <c r="AF365" i="2"/>
  <c r="Z365" i="2"/>
  <c r="AD358" i="2"/>
  <c r="AM358" i="2"/>
  <c r="AA358" i="2"/>
  <c r="AJ358" i="2"/>
  <c r="AD362" i="2"/>
  <c r="AM362" i="2"/>
  <c r="AA362" i="2"/>
  <c r="AJ362" i="2"/>
  <c r="AG362" i="2"/>
  <c r="AF357" i="2"/>
  <c r="Z357" i="2"/>
  <c r="AG358" i="2"/>
  <c r="AJ364" i="2"/>
  <c r="AG364" i="2"/>
  <c r="AD364" i="2"/>
  <c r="AA364" i="2"/>
  <c r="AM364" i="2"/>
  <c r="AD366" i="2"/>
  <c r="AM366" i="2"/>
  <c r="AA366" i="2"/>
  <c r="AJ366" i="2"/>
  <c r="AG366" i="2"/>
  <c r="AG357" i="2"/>
  <c r="AD357" i="2"/>
  <c r="AM357" i="2"/>
  <c r="AA357" i="2"/>
  <c r="AF361" i="2"/>
  <c r="Z361" i="2"/>
  <c r="AD354" i="2"/>
  <c r="AM354" i="2"/>
  <c r="AA354" i="2"/>
  <c r="AJ354" i="2"/>
  <c r="AJ356" i="2"/>
  <c r="AG356" i="2"/>
  <c r="AD356" i="2"/>
  <c r="AJ361" i="2"/>
  <c r="AJ365" i="2"/>
  <c r="AF351" i="2"/>
  <c r="AM361" i="2"/>
  <c r="AA365" i="2"/>
  <c r="AM365" i="2"/>
  <c r="Z350" i="2"/>
  <c r="AF352" i="2"/>
  <c r="Z358" i="2"/>
  <c r="AI359" i="2"/>
  <c r="Z362" i="2"/>
  <c r="AI363" i="2"/>
  <c r="AD361" i="2"/>
  <c r="AF355" i="2"/>
  <c r="Z354" i="2"/>
  <c r="AF356" i="2"/>
  <c r="AF364" i="2"/>
  <c r="Z366" i="2"/>
  <c r="AI360" i="2"/>
  <c r="AA361" i="2"/>
  <c r="AD365"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2" i="2"/>
  <c r="AH2" i="2"/>
  <c r="AB2" i="2"/>
  <c r="AK2" i="2"/>
  <c r="AE2" i="2"/>
  <c r="AH3" i="2" l="1"/>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W2" i="2"/>
  <c r="AL2" i="2" s="1"/>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2" i="2"/>
  <c r="Y2" i="2"/>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C2" i="2" l="1"/>
  <c r="Z2" i="2"/>
  <c r="AI2" i="2"/>
  <c r="AF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2" i="17" l="1"/>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6" i="17"/>
  <c r="C5" i="17"/>
  <c r="C106" i="17"/>
  <c r="C95"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J337" i="2" l="1"/>
  <c r="AM337" i="2"/>
  <c r="AJ348" i="2"/>
  <c r="AM348" i="2"/>
  <c r="AJ312" i="2"/>
  <c r="AM312" i="2"/>
  <c r="AJ311" i="2"/>
  <c r="AM311" i="2"/>
  <c r="AJ314" i="2"/>
  <c r="AM314" i="2"/>
  <c r="AJ313" i="2"/>
  <c r="AM313" i="2"/>
  <c r="AJ336" i="2"/>
  <c r="AM336" i="2"/>
  <c r="AJ346" i="2"/>
  <c r="AM346" i="2"/>
  <c r="AJ334" i="2"/>
  <c r="AM334" i="2"/>
  <c r="AJ322" i="2"/>
  <c r="AM322" i="2"/>
  <c r="AJ310" i="2"/>
  <c r="AM310" i="2"/>
  <c r="AJ338" i="2"/>
  <c r="AM338" i="2"/>
  <c r="AJ345" i="2"/>
  <c r="AM345" i="2"/>
  <c r="AJ333" i="2"/>
  <c r="AM333" i="2"/>
  <c r="AJ321" i="2"/>
  <c r="AM321" i="2"/>
  <c r="AJ309" i="2"/>
  <c r="AM309" i="2"/>
  <c r="AJ344" i="2"/>
  <c r="AM344" i="2"/>
  <c r="AJ332" i="2"/>
  <c r="AM332" i="2"/>
  <c r="AJ320" i="2"/>
  <c r="AM320" i="2"/>
  <c r="AJ308" i="2"/>
  <c r="AM308" i="2"/>
  <c r="AJ347" i="2"/>
  <c r="AM347" i="2"/>
  <c r="AJ343" i="2"/>
  <c r="AM343" i="2"/>
  <c r="AJ331" i="2"/>
  <c r="AM331" i="2"/>
  <c r="AJ319" i="2"/>
  <c r="AM319" i="2"/>
  <c r="AJ307" i="2"/>
  <c r="AM307" i="2"/>
  <c r="AJ323" i="2"/>
  <c r="AM323" i="2"/>
  <c r="AJ342" i="2"/>
  <c r="AM342" i="2"/>
  <c r="AJ330" i="2"/>
  <c r="AM330" i="2"/>
  <c r="AJ318" i="2"/>
  <c r="AM318" i="2"/>
  <c r="AJ306" i="2"/>
  <c r="AM306" i="2"/>
  <c r="AJ335" i="2"/>
  <c r="AM335" i="2"/>
  <c r="AJ341" i="2"/>
  <c r="AM341" i="2"/>
  <c r="AJ329" i="2"/>
  <c r="AM329" i="2"/>
  <c r="AJ317" i="2"/>
  <c r="AM317" i="2"/>
  <c r="AJ305" i="2"/>
  <c r="AM305" i="2"/>
  <c r="AJ349" i="2"/>
  <c r="AM349" i="2"/>
  <c r="AJ340" i="2"/>
  <c r="AM340" i="2"/>
  <c r="AJ328" i="2"/>
  <c r="AM328" i="2"/>
  <c r="AJ316" i="2"/>
  <c r="AM316" i="2"/>
  <c r="AJ304" i="2"/>
  <c r="AM304" i="2"/>
  <c r="AJ326" i="2"/>
  <c r="AM326" i="2"/>
  <c r="AJ325" i="2"/>
  <c r="AM325" i="2"/>
  <c r="AJ324" i="2"/>
  <c r="AM324" i="2"/>
  <c r="AJ339" i="2"/>
  <c r="AM339" i="2"/>
  <c r="AJ327" i="2"/>
  <c r="AM327" i="2"/>
  <c r="AJ315" i="2"/>
  <c r="AM315" i="2"/>
  <c r="X272" i="2"/>
  <c r="X212" i="2"/>
  <c r="X164" i="2"/>
  <c r="X92" i="2"/>
  <c r="X247" i="2"/>
  <c r="X187" i="2"/>
  <c r="X115" i="2"/>
  <c r="X290" i="2"/>
  <c r="X254" i="2"/>
  <c r="X206" i="2"/>
  <c r="X182" i="2"/>
  <c r="X158" i="2"/>
  <c r="X134" i="2"/>
  <c r="X122" i="2"/>
  <c r="X98" i="2"/>
  <c r="X74" i="2"/>
  <c r="X50" i="2"/>
  <c r="X26" i="2"/>
  <c r="X301" i="2"/>
  <c r="X289" i="2"/>
  <c r="X277" i="2"/>
  <c r="X265" i="2"/>
  <c r="X253" i="2"/>
  <c r="X241" i="2"/>
  <c r="X229" i="2"/>
  <c r="X217" i="2"/>
  <c r="X205" i="2"/>
  <c r="X193" i="2"/>
  <c r="X181" i="2"/>
  <c r="X169" i="2"/>
  <c r="X157" i="2"/>
  <c r="X145" i="2"/>
  <c r="X133" i="2"/>
  <c r="X121" i="2"/>
  <c r="X109" i="2"/>
  <c r="X97" i="2"/>
  <c r="X85" i="2"/>
  <c r="X73" i="2"/>
  <c r="X61" i="2"/>
  <c r="X49" i="2"/>
  <c r="X37" i="2"/>
  <c r="X25" i="2"/>
  <c r="X13" i="2"/>
  <c r="X296" i="2"/>
  <c r="X248" i="2"/>
  <c r="X176" i="2"/>
  <c r="X152" i="2"/>
  <c r="X116" i="2"/>
  <c r="X68" i="2"/>
  <c r="X295" i="2"/>
  <c r="X223" i="2"/>
  <c r="X175" i="2"/>
  <c r="X139" i="2"/>
  <c r="X103" i="2"/>
  <c r="X67" i="2"/>
  <c r="X7" i="2"/>
  <c r="X302" i="2"/>
  <c r="X278" i="2"/>
  <c r="X266" i="2"/>
  <c r="X242" i="2"/>
  <c r="X230" i="2"/>
  <c r="X218" i="2"/>
  <c r="X194" i="2"/>
  <c r="X170" i="2"/>
  <c r="X146" i="2"/>
  <c r="X110" i="2"/>
  <c r="X86" i="2"/>
  <c r="X62" i="2"/>
  <c r="X38" i="2"/>
  <c r="X14" i="2"/>
  <c r="X300" i="2"/>
  <c r="X288" i="2"/>
  <c r="X276" i="2"/>
  <c r="X264" i="2"/>
  <c r="X252" i="2"/>
  <c r="X240" i="2"/>
  <c r="X228" i="2"/>
  <c r="X216" i="2"/>
  <c r="X204" i="2"/>
  <c r="X192" i="2"/>
  <c r="X180" i="2"/>
  <c r="X168" i="2"/>
  <c r="X156" i="2"/>
  <c r="X144" i="2"/>
  <c r="X132" i="2"/>
  <c r="X120" i="2"/>
  <c r="X108" i="2"/>
  <c r="X96" i="2"/>
  <c r="X84" i="2"/>
  <c r="X72" i="2"/>
  <c r="X60" i="2"/>
  <c r="X48" i="2"/>
  <c r="X36" i="2"/>
  <c r="X24" i="2"/>
  <c r="X12" i="2"/>
  <c r="X200" i="2"/>
  <c r="X56" i="2"/>
  <c r="X43" i="2"/>
  <c r="X275" i="2"/>
  <c r="X83" i="2"/>
  <c r="X284" i="2"/>
  <c r="X236" i="2"/>
  <c r="X188" i="2"/>
  <c r="X140" i="2"/>
  <c r="X80" i="2"/>
  <c r="X283" i="2"/>
  <c r="X235" i="2"/>
  <c r="X163" i="2"/>
  <c r="X79" i="2"/>
  <c r="X19" i="2"/>
  <c r="X299" i="2"/>
  <c r="X287" i="2"/>
  <c r="X263" i="2"/>
  <c r="X251" i="2"/>
  <c r="X239" i="2"/>
  <c r="X227" i="2"/>
  <c r="X215" i="2"/>
  <c r="X203" i="2"/>
  <c r="X191" i="2"/>
  <c r="X179" i="2"/>
  <c r="X167" i="2"/>
  <c r="X155" i="2"/>
  <c r="X143" i="2"/>
  <c r="X131" i="2"/>
  <c r="X119" i="2"/>
  <c r="X107" i="2"/>
  <c r="X95" i="2"/>
  <c r="X71" i="2"/>
  <c r="X59" i="2"/>
  <c r="X47" i="2"/>
  <c r="X35" i="2"/>
  <c r="X23" i="2"/>
  <c r="X11" i="2"/>
  <c r="X298" i="2"/>
  <c r="X286" i="2"/>
  <c r="X274" i="2"/>
  <c r="X262" i="2"/>
  <c r="X250" i="2"/>
  <c r="X238" i="2"/>
  <c r="X226" i="2"/>
  <c r="X214" i="2"/>
  <c r="X202" i="2"/>
  <c r="X190" i="2"/>
  <c r="X178" i="2"/>
  <c r="X166" i="2"/>
  <c r="X154" i="2"/>
  <c r="X142" i="2"/>
  <c r="X130" i="2"/>
  <c r="X118" i="2"/>
  <c r="X106" i="2"/>
  <c r="X94" i="2"/>
  <c r="X82" i="2"/>
  <c r="X70" i="2"/>
  <c r="X58" i="2"/>
  <c r="X46" i="2"/>
  <c r="X34" i="2"/>
  <c r="X22" i="2"/>
  <c r="X10" i="2"/>
  <c r="X260" i="2"/>
  <c r="X128" i="2"/>
  <c r="X8" i="2"/>
  <c r="X297" i="2"/>
  <c r="X285" i="2"/>
  <c r="X273" i="2"/>
  <c r="X261" i="2"/>
  <c r="X249" i="2"/>
  <c r="X237" i="2"/>
  <c r="X225" i="2"/>
  <c r="X213" i="2"/>
  <c r="X201" i="2"/>
  <c r="X189" i="2"/>
  <c r="X177" i="2"/>
  <c r="X165" i="2"/>
  <c r="X153" i="2"/>
  <c r="X141" i="2"/>
  <c r="X129" i="2"/>
  <c r="X117" i="2"/>
  <c r="X105" i="2"/>
  <c r="X93" i="2"/>
  <c r="X81" i="2"/>
  <c r="X69" i="2"/>
  <c r="X57" i="2"/>
  <c r="X45" i="2"/>
  <c r="X33" i="2"/>
  <c r="X21" i="2"/>
  <c r="X9" i="2"/>
  <c r="X104" i="2"/>
  <c r="X211" i="2"/>
  <c r="X31" i="2"/>
  <c r="X102" i="2"/>
  <c r="X20" i="2"/>
  <c r="X271" i="2"/>
  <c r="X199" i="2"/>
  <c r="X91" i="2"/>
  <c r="X294" i="2"/>
  <c r="X270" i="2"/>
  <c r="X234" i="2"/>
  <c r="X198" i="2"/>
  <c r="X162" i="2"/>
  <c r="X126" i="2"/>
  <c r="X90" i="2"/>
  <c r="X54" i="2"/>
  <c r="X30" i="2"/>
  <c r="X293" i="2"/>
  <c r="X281" i="2"/>
  <c r="X269" i="2"/>
  <c r="X257" i="2"/>
  <c r="X245" i="2"/>
  <c r="X233" i="2"/>
  <c r="X221" i="2"/>
  <c r="X209" i="2"/>
  <c r="X197" i="2"/>
  <c r="X185" i="2"/>
  <c r="X173" i="2"/>
  <c r="X161" i="2"/>
  <c r="X149" i="2"/>
  <c r="X137" i="2"/>
  <c r="X125" i="2"/>
  <c r="X113" i="2"/>
  <c r="X101" i="2"/>
  <c r="X89" i="2"/>
  <c r="X77" i="2"/>
  <c r="X65" i="2"/>
  <c r="X53" i="2"/>
  <c r="X41" i="2"/>
  <c r="X29" i="2"/>
  <c r="X17" i="2"/>
  <c r="X5" i="2"/>
  <c r="X32" i="2"/>
  <c r="X127" i="2"/>
  <c r="X282" i="2"/>
  <c r="X246" i="2"/>
  <c r="X210" i="2"/>
  <c r="X174" i="2"/>
  <c r="X138" i="2"/>
  <c r="X78" i="2"/>
  <c r="X42" i="2"/>
  <c r="X6" i="2"/>
  <c r="X2" i="2"/>
  <c r="AM2" i="2" s="1"/>
  <c r="X292" i="2"/>
  <c r="X280" i="2"/>
  <c r="X268" i="2"/>
  <c r="X256" i="2"/>
  <c r="X244" i="2"/>
  <c r="X232" i="2"/>
  <c r="X220" i="2"/>
  <c r="X208" i="2"/>
  <c r="X196" i="2"/>
  <c r="X184" i="2"/>
  <c r="X172" i="2"/>
  <c r="X160" i="2"/>
  <c r="X148" i="2"/>
  <c r="X136" i="2"/>
  <c r="X124" i="2"/>
  <c r="X112" i="2"/>
  <c r="X100" i="2"/>
  <c r="X88" i="2"/>
  <c r="X76" i="2"/>
  <c r="X64" i="2"/>
  <c r="X52" i="2"/>
  <c r="X40" i="2"/>
  <c r="X28" i="2"/>
  <c r="X16" i="2"/>
  <c r="X4" i="2"/>
  <c r="X224" i="2"/>
  <c r="X44" i="2"/>
  <c r="X259" i="2"/>
  <c r="X151" i="2"/>
  <c r="X55" i="2"/>
  <c r="X258" i="2"/>
  <c r="X222" i="2"/>
  <c r="X186" i="2"/>
  <c r="X150" i="2"/>
  <c r="X114" i="2"/>
  <c r="X66" i="2"/>
  <c r="X18" i="2"/>
  <c r="X303" i="2"/>
  <c r="X291" i="2"/>
  <c r="X279" i="2"/>
  <c r="X267" i="2"/>
  <c r="X255" i="2"/>
  <c r="X243" i="2"/>
  <c r="X231" i="2"/>
  <c r="X219" i="2"/>
  <c r="X207" i="2"/>
  <c r="X195" i="2"/>
  <c r="X183" i="2"/>
  <c r="X171" i="2"/>
  <c r="X159" i="2"/>
  <c r="X147" i="2"/>
  <c r="X135" i="2"/>
  <c r="X123" i="2"/>
  <c r="X111" i="2"/>
  <c r="X99" i="2"/>
  <c r="X87" i="2"/>
  <c r="X75" i="2"/>
  <c r="X63" i="2"/>
  <c r="X51" i="2"/>
  <c r="X39" i="2"/>
  <c r="X27" i="2"/>
  <c r="X15" i="2"/>
  <c r="X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J291" i="2" l="1"/>
  <c r="AM291" i="2"/>
  <c r="AJ10" i="2"/>
  <c r="AM10" i="2"/>
  <c r="AJ295" i="2"/>
  <c r="AM295" i="2"/>
  <c r="AJ15" i="2"/>
  <c r="AM15" i="2"/>
  <c r="AJ32" i="2"/>
  <c r="AM32" i="2"/>
  <c r="AJ199" i="2"/>
  <c r="AM199" i="2"/>
  <c r="AJ69" i="2"/>
  <c r="AM69" i="2"/>
  <c r="AJ213" i="2"/>
  <c r="AM213" i="2"/>
  <c r="AJ11" i="2"/>
  <c r="AM11" i="2"/>
  <c r="AJ230" i="2"/>
  <c r="AM230" i="2"/>
  <c r="AJ85" i="2"/>
  <c r="AM85" i="2"/>
  <c r="AJ229" i="2"/>
  <c r="AM229" i="2"/>
  <c r="AJ134" i="2"/>
  <c r="AM134" i="2"/>
  <c r="AJ272" i="2"/>
  <c r="AM272" i="2"/>
  <c r="AJ27" i="2"/>
  <c r="AM27" i="2"/>
  <c r="AJ171" i="2"/>
  <c r="AM171" i="2"/>
  <c r="AJ18" i="2"/>
  <c r="AM18" i="2"/>
  <c r="AJ4" i="2"/>
  <c r="AM4" i="2"/>
  <c r="AJ148" i="2"/>
  <c r="AM148" i="2"/>
  <c r="AJ292" i="2"/>
  <c r="AM292" i="2"/>
  <c r="AJ5" i="2"/>
  <c r="AM5" i="2"/>
  <c r="AJ149" i="2"/>
  <c r="AM149" i="2"/>
  <c r="AJ293" i="2"/>
  <c r="AM293" i="2"/>
  <c r="AJ271" i="2"/>
  <c r="AM271" i="2"/>
  <c r="AJ81" i="2"/>
  <c r="AM81" i="2"/>
  <c r="AJ225" i="2"/>
  <c r="AM225" i="2"/>
  <c r="AJ34" i="2"/>
  <c r="AM34" i="2"/>
  <c r="AJ178" i="2"/>
  <c r="AM178" i="2"/>
  <c r="AJ23" i="2"/>
  <c r="AM23" i="2"/>
  <c r="AJ179" i="2"/>
  <c r="AM179" i="2"/>
  <c r="AJ163" i="2"/>
  <c r="AM163" i="2"/>
  <c r="AJ200" i="2"/>
  <c r="AM200" i="2"/>
  <c r="AJ144" i="2"/>
  <c r="AM144" i="2"/>
  <c r="AJ288" i="2"/>
  <c r="AM288" i="2"/>
  <c r="AJ242" i="2"/>
  <c r="AM242" i="2"/>
  <c r="AJ116" i="2"/>
  <c r="AM116" i="2"/>
  <c r="AJ97" i="2"/>
  <c r="AM97" i="2"/>
  <c r="AJ241" i="2"/>
  <c r="AM241" i="2"/>
  <c r="AJ158" i="2"/>
  <c r="AM158" i="2"/>
  <c r="AJ44" i="2"/>
  <c r="AM44" i="2"/>
  <c r="AJ201" i="2"/>
  <c r="AM201" i="2"/>
  <c r="AJ43" i="2"/>
  <c r="AM43" i="2"/>
  <c r="AJ122" i="2"/>
  <c r="AM122" i="2"/>
  <c r="AJ303" i="2"/>
  <c r="AM303" i="2"/>
  <c r="AJ79" i="2"/>
  <c r="AM79" i="2"/>
  <c r="AJ39" i="2"/>
  <c r="AM39" i="2"/>
  <c r="AJ17" i="2"/>
  <c r="AM17" i="2"/>
  <c r="AJ237" i="2"/>
  <c r="AM237" i="2"/>
  <c r="AJ191" i="2"/>
  <c r="AM191" i="2"/>
  <c r="AJ253" i="2"/>
  <c r="AM253" i="2"/>
  <c r="AJ51" i="2"/>
  <c r="AM51" i="2"/>
  <c r="AJ195" i="2"/>
  <c r="AM195" i="2"/>
  <c r="AJ114" i="2"/>
  <c r="AM114" i="2"/>
  <c r="AJ28" i="2"/>
  <c r="AM28" i="2"/>
  <c r="AJ172" i="2"/>
  <c r="AM172" i="2"/>
  <c r="AJ6" i="2"/>
  <c r="AM6" i="2"/>
  <c r="AJ29" i="2"/>
  <c r="AM29" i="2"/>
  <c r="AJ173" i="2"/>
  <c r="AM173" i="2"/>
  <c r="AJ54" i="2"/>
  <c r="AM54" i="2"/>
  <c r="AJ102" i="2"/>
  <c r="AM102" i="2"/>
  <c r="AJ105" i="2"/>
  <c r="AM105" i="2"/>
  <c r="AJ249" i="2"/>
  <c r="AM249" i="2"/>
  <c r="AJ58" i="2"/>
  <c r="AM58" i="2"/>
  <c r="AJ202" i="2"/>
  <c r="AM202" i="2"/>
  <c r="AJ47" i="2"/>
  <c r="AM47" i="2"/>
  <c r="AJ203" i="2"/>
  <c r="AM203" i="2"/>
  <c r="AJ283" i="2"/>
  <c r="AM283" i="2"/>
  <c r="AJ24" i="2"/>
  <c r="AM24" i="2"/>
  <c r="AJ168" i="2"/>
  <c r="AM168" i="2"/>
  <c r="AJ14" i="2"/>
  <c r="AM14" i="2"/>
  <c r="AJ278" i="2"/>
  <c r="AM278" i="2"/>
  <c r="AJ176" i="2"/>
  <c r="AM176" i="2"/>
  <c r="AJ121" i="2"/>
  <c r="AM121" i="2"/>
  <c r="AJ265" i="2"/>
  <c r="AM265" i="2"/>
  <c r="AJ206" i="2"/>
  <c r="AM206" i="2"/>
  <c r="AJ147" i="2"/>
  <c r="AM147" i="2"/>
  <c r="AJ91" i="2"/>
  <c r="AM91" i="2"/>
  <c r="AJ120" i="2"/>
  <c r="AM120" i="2"/>
  <c r="AJ159" i="2"/>
  <c r="AM159" i="2"/>
  <c r="AJ22" i="2"/>
  <c r="AM22" i="2"/>
  <c r="AJ35" i="2"/>
  <c r="AM35" i="2"/>
  <c r="AJ152" i="2"/>
  <c r="AM152" i="2"/>
  <c r="AJ63" i="2"/>
  <c r="AM63" i="2"/>
  <c r="AJ184" i="2"/>
  <c r="AM184" i="2"/>
  <c r="AJ42" i="2"/>
  <c r="AM42" i="2"/>
  <c r="AJ41" i="2"/>
  <c r="AM41" i="2"/>
  <c r="AJ185" i="2"/>
  <c r="AM185" i="2"/>
  <c r="AJ90" i="2"/>
  <c r="AM90" i="2"/>
  <c r="AJ31" i="2"/>
  <c r="AM31" i="2"/>
  <c r="AJ117" i="2"/>
  <c r="AM117" i="2"/>
  <c r="AJ261" i="2"/>
  <c r="AM261" i="2"/>
  <c r="AJ70" i="2"/>
  <c r="AM70" i="2"/>
  <c r="AJ214" i="2"/>
  <c r="AM214" i="2"/>
  <c r="AJ59" i="2"/>
  <c r="AM59" i="2"/>
  <c r="AJ215" i="2"/>
  <c r="AM215" i="2"/>
  <c r="AJ80" i="2"/>
  <c r="AM80" i="2"/>
  <c r="AJ36" i="2"/>
  <c r="AM36" i="2"/>
  <c r="AJ180" i="2"/>
  <c r="AM180" i="2"/>
  <c r="AJ38" i="2"/>
  <c r="AM38" i="2"/>
  <c r="AJ302" i="2"/>
  <c r="AM302" i="2"/>
  <c r="AJ248" i="2"/>
  <c r="AM248" i="2"/>
  <c r="AJ133" i="2"/>
  <c r="AM133" i="2"/>
  <c r="AJ277" i="2"/>
  <c r="AM277" i="2"/>
  <c r="AJ254" i="2"/>
  <c r="AM254" i="2"/>
  <c r="AJ124" i="2"/>
  <c r="AM124" i="2"/>
  <c r="AJ298" i="2"/>
  <c r="AM298" i="2"/>
  <c r="AJ132" i="2"/>
  <c r="AM132" i="2"/>
  <c r="AJ160" i="2"/>
  <c r="AM160" i="2"/>
  <c r="AJ46" i="2"/>
  <c r="AM46" i="2"/>
  <c r="AJ266" i="2"/>
  <c r="AM266" i="2"/>
  <c r="AJ75" i="2"/>
  <c r="AM75" i="2"/>
  <c r="AJ219" i="2"/>
  <c r="AM219" i="2"/>
  <c r="AJ186" i="2"/>
  <c r="AM186" i="2"/>
  <c r="AJ52" i="2"/>
  <c r="AM52" i="2"/>
  <c r="AJ196" i="2"/>
  <c r="AM196" i="2"/>
  <c r="AJ78" i="2"/>
  <c r="AM78" i="2"/>
  <c r="AJ53" i="2"/>
  <c r="AM53" i="2"/>
  <c r="AJ197" i="2"/>
  <c r="AM197" i="2"/>
  <c r="AJ126" i="2"/>
  <c r="AM126" i="2"/>
  <c r="AJ211" i="2"/>
  <c r="AM211" i="2"/>
  <c r="AJ129" i="2"/>
  <c r="AM129" i="2"/>
  <c r="AJ273" i="2"/>
  <c r="AM273" i="2"/>
  <c r="AJ82" i="2"/>
  <c r="AM82" i="2"/>
  <c r="AJ226" i="2"/>
  <c r="AM226" i="2"/>
  <c r="AJ71" i="2"/>
  <c r="AM71" i="2"/>
  <c r="AJ227" i="2"/>
  <c r="AM227" i="2"/>
  <c r="AJ140" i="2"/>
  <c r="AM140" i="2"/>
  <c r="AJ48" i="2"/>
  <c r="AM48" i="2"/>
  <c r="AJ192" i="2"/>
  <c r="AM192" i="2"/>
  <c r="AJ62" i="2"/>
  <c r="AM62" i="2"/>
  <c r="AJ7" i="2"/>
  <c r="AM7" i="2"/>
  <c r="AJ296" i="2"/>
  <c r="AM296" i="2"/>
  <c r="AJ145" i="2"/>
  <c r="AM145" i="2"/>
  <c r="AJ289" i="2"/>
  <c r="AM289" i="2"/>
  <c r="AJ290" i="2"/>
  <c r="AM290" i="2"/>
  <c r="AJ268" i="2"/>
  <c r="AM268" i="2"/>
  <c r="AJ19" i="2"/>
  <c r="AM19" i="2"/>
  <c r="AJ280" i="2"/>
  <c r="AM280" i="2"/>
  <c r="AJ281" i="2"/>
  <c r="AM281" i="2"/>
  <c r="AJ276" i="2"/>
  <c r="AM276" i="2"/>
  <c r="AJ66" i="2"/>
  <c r="AM66" i="2"/>
  <c r="AJ93" i="2"/>
  <c r="AM93" i="2"/>
  <c r="AJ300" i="2"/>
  <c r="AM300" i="2"/>
  <c r="AJ87" i="2"/>
  <c r="AM87" i="2"/>
  <c r="AJ231" i="2"/>
  <c r="AM231" i="2"/>
  <c r="AJ222" i="2"/>
  <c r="AM222" i="2"/>
  <c r="AJ64" i="2"/>
  <c r="AM64" i="2"/>
  <c r="AJ208" i="2"/>
  <c r="AM208" i="2"/>
  <c r="AJ138" i="2"/>
  <c r="AM138" i="2"/>
  <c r="AJ65" i="2"/>
  <c r="AM65" i="2"/>
  <c r="AJ209" i="2"/>
  <c r="AM209" i="2"/>
  <c r="AJ162" i="2"/>
  <c r="AM162" i="2"/>
  <c r="AJ104" i="2"/>
  <c r="AM104" i="2"/>
  <c r="AJ141" i="2"/>
  <c r="AM141" i="2"/>
  <c r="AJ285" i="2"/>
  <c r="AM285" i="2"/>
  <c r="AJ94" i="2"/>
  <c r="AM94" i="2"/>
  <c r="AJ238" i="2"/>
  <c r="AM238" i="2"/>
  <c r="AJ95" i="2"/>
  <c r="AM95" i="2"/>
  <c r="AJ239" i="2"/>
  <c r="AM239" i="2"/>
  <c r="AJ188" i="2"/>
  <c r="AM188" i="2"/>
  <c r="AJ60" i="2"/>
  <c r="AM60" i="2"/>
  <c r="AJ204" i="2"/>
  <c r="AM204" i="2"/>
  <c r="AJ86" i="2"/>
  <c r="AM86" i="2"/>
  <c r="AJ67" i="2"/>
  <c r="AM67" i="2"/>
  <c r="AJ13" i="2"/>
  <c r="AM13" i="2"/>
  <c r="AJ157" i="2"/>
  <c r="AM157" i="2"/>
  <c r="AJ301" i="2"/>
  <c r="AM301" i="2"/>
  <c r="AJ115" i="2"/>
  <c r="AM115" i="2"/>
  <c r="AJ269" i="2"/>
  <c r="AM269" i="2"/>
  <c r="AJ264" i="2"/>
  <c r="AM264" i="2"/>
  <c r="AJ137" i="2"/>
  <c r="AM137" i="2"/>
  <c r="AJ68" i="2"/>
  <c r="AM68" i="2"/>
  <c r="AJ30" i="2"/>
  <c r="AM30" i="2"/>
  <c r="AJ156" i="2"/>
  <c r="AM156" i="2"/>
  <c r="AJ40" i="2"/>
  <c r="AM40" i="2"/>
  <c r="AJ99" i="2"/>
  <c r="AM99" i="2"/>
  <c r="AJ243" i="2"/>
  <c r="AM243" i="2"/>
  <c r="AJ258" i="2"/>
  <c r="AM258" i="2"/>
  <c r="AJ76" i="2"/>
  <c r="AM76" i="2"/>
  <c r="AJ220" i="2"/>
  <c r="AM220" i="2"/>
  <c r="AJ174" i="2"/>
  <c r="AM174" i="2"/>
  <c r="AJ77" i="2"/>
  <c r="AM77" i="2"/>
  <c r="AJ221" i="2"/>
  <c r="AM221" i="2"/>
  <c r="AJ198" i="2"/>
  <c r="AM198" i="2"/>
  <c r="AJ9" i="2"/>
  <c r="AM9" i="2"/>
  <c r="AJ153" i="2"/>
  <c r="AM153" i="2"/>
  <c r="AJ297" i="2"/>
  <c r="AM297" i="2"/>
  <c r="AJ106" i="2"/>
  <c r="AM106" i="2"/>
  <c r="AJ250" i="2"/>
  <c r="AM250" i="2"/>
  <c r="AJ107" i="2"/>
  <c r="AM107" i="2"/>
  <c r="AJ251" i="2"/>
  <c r="AM251" i="2"/>
  <c r="AJ236" i="2"/>
  <c r="AM236" i="2"/>
  <c r="AJ72" i="2"/>
  <c r="AM72" i="2"/>
  <c r="AJ216" i="2"/>
  <c r="AM216" i="2"/>
  <c r="AJ110" i="2"/>
  <c r="AM110" i="2"/>
  <c r="AJ103" i="2"/>
  <c r="AM103" i="2"/>
  <c r="AJ25" i="2"/>
  <c r="AM25" i="2"/>
  <c r="AJ169" i="2"/>
  <c r="AM169" i="2"/>
  <c r="AJ26" i="2"/>
  <c r="AM26" i="2"/>
  <c r="AJ187" i="2"/>
  <c r="AM187" i="2"/>
  <c r="AJ127" i="2"/>
  <c r="AM127" i="2"/>
  <c r="AJ154" i="2"/>
  <c r="AM154" i="2"/>
  <c r="AJ212" i="2"/>
  <c r="AM212" i="2"/>
  <c r="AJ136" i="2"/>
  <c r="AM136" i="2"/>
  <c r="AJ166" i="2"/>
  <c r="AM166" i="2"/>
  <c r="AJ161" i="2"/>
  <c r="AM161" i="2"/>
  <c r="AJ12" i="2"/>
  <c r="AM12" i="2"/>
  <c r="AJ111" i="2"/>
  <c r="AM111" i="2"/>
  <c r="AJ255" i="2"/>
  <c r="AM255" i="2"/>
  <c r="AJ55" i="2"/>
  <c r="AM55" i="2"/>
  <c r="AJ88" i="2"/>
  <c r="AM88" i="2"/>
  <c r="AJ232" i="2"/>
  <c r="AM232" i="2"/>
  <c r="AJ210" i="2"/>
  <c r="AM210" i="2"/>
  <c r="AJ89" i="2"/>
  <c r="AM89" i="2"/>
  <c r="AJ233" i="2"/>
  <c r="AM233" i="2"/>
  <c r="AJ234" i="2"/>
  <c r="AM234" i="2"/>
  <c r="AJ21" i="2"/>
  <c r="AM21" i="2"/>
  <c r="AJ165" i="2"/>
  <c r="AM165" i="2"/>
  <c r="AJ8" i="2"/>
  <c r="AM8" i="2"/>
  <c r="AJ118" i="2"/>
  <c r="AM118" i="2"/>
  <c r="AJ262" i="2"/>
  <c r="AM262" i="2"/>
  <c r="AJ119" i="2"/>
  <c r="AM119" i="2"/>
  <c r="AJ263" i="2"/>
  <c r="AM263" i="2"/>
  <c r="AJ284" i="2"/>
  <c r="AM284" i="2"/>
  <c r="AJ84" i="2"/>
  <c r="AM84" i="2"/>
  <c r="AJ228" i="2"/>
  <c r="AM228" i="2"/>
  <c r="AJ146" i="2"/>
  <c r="AM146" i="2"/>
  <c r="AJ139" i="2"/>
  <c r="AM139" i="2"/>
  <c r="AJ37" i="2"/>
  <c r="AM37" i="2"/>
  <c r="AJ181" i="2"/>
  <c r="AM181" i="2"/>
  <c r="AJ50" i="2"/>
  <c r="AM50" i="2"/>
  <c r="AJ247" i="2"/>
  <c r="AM247" i="2"/>
  <c r="AJ3" i="2"/>
  <c r="AM3" i="2"/>
  <c r="AJ57" i="2"/>
  <c r="AM57" i="2"/>
  <c r="AJ218" i="2"/>
  <c r="AM218" i="2"/>
  <c r="AJ224" i="2"/>
  <c r="AM224" i="2"/>
  <c r="AJ167" i="2"/>
  <c r="AM167" i="2"/>
  <c r="AJ16" i="2"/>
  <c r="AM16" i="2"/>
  <c r="AJ190" i="2"/>
  <c r="AM190" i="2"/>
  <c r="AJ109" i="2"/>
  <c r="AM109" i="2"/>
  <c r="AJ207" i="2"/>
  <c r="AM207" i="2"/>
  <c r="AJ123" i="2"/>
  <c r="AM123" i="2"/>
  <c r="AJ267" i="2"/>
  <c r="AM267" i="2"/>
  <c r="AJ151" i="2"/>
  <c r="AM151" i="2"/>
  <c r="AJ100" i="2"/>
  <c r="AM100" i="2"/>
  <c r="AJ244" i="2"/>
  <c r="AM244" i="2"/>
  <c r="AJ246" i="2"/>
  <c r="AM246" i="2"/>
  <c r="AJ101" i="2"/>
  <c r="AM101" i="2"/>
  <c r="AJ245" i="2"/>
  <c r="AM245" i="2"/>
  <c r="AJ270" i="2"/>
  <c r="AM270" i="2"/>
  <c r="AJ33" i="2"/>
  <c r="AM33" i="2"/>
  <c r="AJ177" i="2"/>
  <c r="AM177" i="2"/>
  <c r="AJ128" i="2"/>
  <c r="AM128" i="2"/>
  <c r="AJ130" i="2"/>
  <c r="AM130" i="2"/>
  <c r="AJ274" i="2"/>
  <c r="AM274" i="2"/>
  <c r="AJ131" i="2"/>
  <c r="AM131" i="2"/>
  <c r="AJ287" i="2"/>
  <c r="AM287" i="2"/>
  <c r="AJ83" i="2"/>
  <c r="AM83" i="2"/>
  <c r="AJ96" i="2"/>
  <c r="AM96" i="2"/>
  <c r="AJ240" i="2"/>
  <c r="AM240" i="2"/>
  <c r="AJ170" i="2"/>
  <c r="AM170" i="2"/>
  <c r="AJ175" i="2"/>
  <c r="AM175" i="2"/>
  <c r="AJ49" i="2"/>
  <c r="AM49" i="2"/>
  <c r="AJ193" i="2"/>
  <c r="AM193" i="2"/>
  <c r="AJ74" i="2"/>
  <c r="AM74" i="2"/>
  <c r="AJ92" i="2"/>
  <c r="AM92" i="2"/>
  <c r="AJ125" i="2"/>
  <c r="AM125" i="2"/>
  <c r="AJ155" i="2"/>
  <c r="AM155" i="2"/>
  <c r="AJ73" i="2"/>
  <c r="AM73" i="2"/>
  <c r="AJ217" i="2"/>
  <c r="AM217" i="2"/>
  <c r="AJ56" i="2"/>
  <c r="AM56" i="2"/>
  <c r="AJ183" i="2"/>
  <c r="AM183" i="2"/>
  <c r="AJ20" i="2"/>
  <c r="AM20" i="2"/>
  <c r="AJ235" i="2"/>
  <c r="AM235" i="2"/>
  <c r="AJ182" i="2"/>
  <c r="AM182" i="2"/>
  <c r="AJ150" i="2"/>
  <c r="AM150" i="2"/>
  <c r="AJ135" i="2"/>
  <c r="AM135" i="2"/>
  <c r="AJ279" i="2"/>
  <c r="AM279" i="2"/>
  <c r="AJ259" i="2"/>
  <c r="AM259" i="2"/>
  <c r="AJ112" i="2"/>
  <c r="AM112" i="2"/>
  <c r="AJ256" i="2"/>
  <c r="AM256" i="2"/>
  <c r="AJ282" i="2"/>
  <c r="AM282" i="2"/>
  <c r="AJ113" i="2"/>
  <c r="AM113" i="2"/>
  <c r="AJ257" i="2"/>
  <c r="AM257" i="2"/>
  <c r="AJ294" i="2"/>
  <c r="AM294" i="2"/>
  <c r="AJ45" i="2"/>
  <c r="AM45" i="2"/>
  <c r="AJ189" i="2"/>
  <c r="AM189" i="2"/>
  <c r="AJ260" i="2"/>
  <c r="AM260" i="2"/>
  <c r="AJ142" i="2"/>
  <c r="AM142" i="2"/>
  <c r="AJ286" i="2"/>
  <c r="AM286" i="2"/>
  <c r="AJ143" i="2"/>
  <c r="AM143" i="2"/>
  <c r="AJ299" i="2"/>
  <c r="AM299" i="2"/>
  <c r="AJ275" i="2"/>
  <c r="AM275" i="2"/>
  <c r="AJ108" i="2"/>
  <c r="AM108" i="2"/>
  <c r="AJ252" i="2"/>
  <c r="AM252" i="2"/>
  <c r="AJ194" i="2"/>
  <c r="AM194" i="2"/>
  <c r="AJ223" i="2"/>
  <c r="AM223" i="2"/>
  <c r="AJ61" i="2"/>
  <c r="AM61" i="2"/>
  <c r="AJ205" i="2"/>
  <c r="AM205" i="2"/>
  <c r="AJ98" i="2"/>
  <c r="AM98" i="2"/>
  <c r="AJ164" i="2"/>
  <c r="AM164" i="2"/>
  <c r="AG2" i="2"/>
  <c r="AJ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48" i="42"/>
  <c r="A49" i="42"/>
  <c r="W12" i="2" l="1"/>
  <c r="AL12" i="2" s="1"/>
  <c r="B18" i="15"/>
  <c r="C94" i="15"/>
  <c r="B13" i="15"/>
  <c r="B366" i="2" l="1"/>
  <c r="B361" i="2"/>
  <c r="B356" i="2"/>
  <c r="B358" i="2"/>
  <c r="B353" i="2"/>
  <c r="B364" i="2"/>
  <c r="B363" i="2"/>
  <c r="B354" i="2"/>
  <c r="B360" i="2"/>
  <c r="B351" i="2"/>
  <c r="B357" i="2"/>
  <c r="B365" i="2"/>
  <c r="B355" i="2"/>
  <c r="B362" i="2"/>
  <c r="B359" i="2"/>
  <c r="B350" i="2"/>
  <c r="B352" i="2"/>
  <c r="J3" i="33"/>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Y94" i="15"/>
  <c r="AA94" i="15"/>
  <c r="AF12" i="2"/>
  <c r="AI12" i="2"/>
  <c r="Q94" i="15"/>
  <c r="U94" i="15"/>
  <c r="W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AA2" i="2"/>
  <c r="AD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96" i="39"/>
  <c r="E97" i="39"/>
  <c r="E98"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A50"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96" i="39"/>
  <c r="H97" i="39"/>
  <c r="H98" i="39"/>
  <c r="G98" i="39"/>
  <c r="F98" i="39"/>
  <c r="C98" i="39"/>
  <c r="B98" i="39"/>
  <c r="G97" i="39"/>
  <c r="F97" i="39"/>
  <c r="C97" i="39"/>
  <c r="B97" i="39"/>
  <c r="G96" i="39"/>
  <c r="F96" i="39"/>
  <c r="C96" i="39"/>
  <c r="B96"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Y6" i="15"/>
  <c r="AA6" i="15"/>
  <c r="C38" i="15"/>
  <c r="S38" i="15" s="1"/>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S6" i="15"/>
  <c r="U6" i="15"/>
  <c r="W6" i="15"/>
  <c r="U38" i="15"/>
  <c r="W38" i="15"/>
  <c r="Q38" i="15"/>
  <c r="C14" i="15"/>
  <c r="Q29" i="15"/>
  <c r="S29" i="15"/>
  <c r="U29" i="15"/>
  <c r="W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Y44" i="15" l="1"/>
  <c r="AA44" i="15"/>
  <c r="Y11" i="15"/>
  <c r="AA11" i="15"/>
  <c r="Y86" i="15"/>
  <c r="AA86" i="15"/>
  <c r="Y8" i="15"/>
  <c r="AA8" i="15"/>
  <c r="Y58" i="15"/>
  <c r="AA58" i="15"/>
  <c r="Y66" i="15"/>
  <c r="AA66" i="15"/>
  <c r="Y65" i="15"/>
  <c r="AA65" i="15"/>
  <c r="Y33" i="15"/>
  <c r="AA33" i="15"/>
  <c r="Y20" i="15"/>
  <c r="AA20" i="15"/>
  <c r="Y54" i="15"/>
  <c r="AA54" i="15"/>
  <c r="Y84" i="15"/>
  <c r="AA84" i="15"/>
  <c r="Y37" i="15"/>
  <c r="AA37" i="15"/>
  <c r="Y39" i="15"/>
  <c r="AA39" i="15"/>
  <c r="Y31" i="15"/>
  <c r="AA31" i="15"/>
  <c r="Y16" i="15"/>
  <c r="AA16" i="15"/>
  <c r="Y51" i="15"/>
  <c r="AA51" i="15"/>
  <c r="Y92" i="15"/>
  <c r="AA92" i="15"/>
  <c r="Y40" i="15"/>
  <c r="AA40" i="15"/>
  <c r="Y57" i="15"/>
  <c r="AA57" i="15"/>
  <c r="Y70" i="15"/>
  <c r="AA70" i="15"/>
  <c r="Y78" i="15"/>
  <c r="AA78" i="15"/>
  <c r="Y56" i="15"/>
  <c r="AA56" i="15"/>
  <c r="Y81" i="15"/>
  <c r="AA81" i="15"/>
  <c r="Y43" i="15"/>
  <c r="AA43" i="15"/>
  <c r="Y60" i="15"/>
  <c r="AA60" i="15"/>
  <c r="Y34" i="15"/>
  <c r="AA34" i="15"/>
  <c r="Y30" i="15"/>
  <c r="AA30" i="15"/>
  <c r="Y14" i="15"/>
  <c r="AA14" i="15"/>
  <c r="Y21" i="15"/>
  <c r="AA21" i="15"/>
  <c r="Y50" i="15"/>
  <c r="AA50" i="15"/>
  <c r="Y75" i="15"/>
  <c r="AA75" i="15"/>
  <c r="Y24" i="15"/>
  <c r="AA24" i="15"/>
  <c r="Y67" i="15"/>
  <c r="AA67" i="15"/>
  <c r="Y62" i="15"/>
  <c r="AA62" i="15"/>
  <c r="Y55" i="15"/>
  <c r="AA55" i="15"/>
  <c r="Y28" i="15"/>
  <c r="AA28" i="15"/>
  <c r="Y87" i="15"/>
  <c r="AA87" i="15"/>
  <c r="Y71" i="15"/>
  <c r="AA71" i="15"/>
  <c r="Y59" i="15"/>
  <c r="AA59" i="15"/>
  <c r="Y63" i="15"/>
  <c r="AA63" i="15"/>
  <c r="Y17" i="15"/>
  <c r="AA17" i="15"/>
  <c r="Y69" i="15"/>
  <c r="AA69" i="15"/>
  <c r="Y72" i="15"/>
  <c r="AA72" i="15"/>
  <c r="Y36" i="15"/>
  <c r="AA36" i="15"/>
  <c r="Y82" i="15"/>
  <c r="AA82" i="15"/>
  <c r="Y61" i="15"/>
  <c r="AA61" i="15"/>
  <c r="Y45" i="15"/>
  <c r="AA45" i="15"/>
  <c r="Y15" i="15"/>
  <c r="AA15" i="15"/>
  <c r="Y32" i="15"/>
  <c r="AA32" i="15"/>
  <c r="Y80" i="15"/>
  <c r="AA80" i="15"/>
  <c r="Y27" i="15"/>
  <c r="AA27" i="15"/>
  <c r="Y18" i="15"/>
  <c r="AA18" i="15"/>
  <c r="Y29" i="15"/>
  <c r="AA29" i="15"/>
  <c r="Y93" i="15"/>
  <c r="AA93" i="15"/>
  <c r="Y89" i="15"/>
  <c r="AA89" i="15"/>
  <c r="Y52" i="15"/>
  <c r="AA52" i="15"/>
  <c r="Y48" i="15"/>
  <c r="AA48" i="15"/>
  <c r="Y46" i="15"/>
  <c r="AA46" i="15"/>
  <c r="Y76" i="15"/>
  <c r="AA76" i="15"/>
  <c r="Y23" i="15"/>
  <c r="AA23" i="15"/>
  <c r="Y38" i="15"/>
  <c r="AA38" i="15"/>
  <c r="Y10" i="15"/>
  <c r="AA10" i="15"/>
  <c r="Y64" i="15"/>
  <c r="AA64" i="15"/>
  <c r="Y77" i="15"/>
  <c r="AA77" i="15"/>
  <c r="Y7" i="15"/>
  <c r="AA7" i="15"/>
  <c r="Y68" i="15"/>
  <c r="AA68" i="15"/>
  <c r="Y85" i="15"/>
  <c r="AA85" i="15"/>
  <c r="Y73" i="15"/>
  <c r="AA73" i="15"/>
  <c r="Y83" i="15"/>
  <c r="AA83" i="15"/>
  <c r="Y3" i="15"/>
  <c r="AA3" i="15"/>
  <c r="Y53" i="15"/>
  <c r="AA53" i="15"/>
  <c r="Y74" i="15"/>
  <c r="AA74" i="15"/>
  <c r="Y49" i="15"/>
  <c r="AA49" i="15"/>
  <c r="Y90" i="15"/>
  <c r="AA90" i="15"/>
  <c r="Y91" i="15"/>
  <c r="AA91" i="15"/>
  <c r="Y79" i="15"/>
  <c r="AA79" i="15"/>
  <c r="Y22" i="15"/>
  <c r="AA22" i="15"/>
  <c r="Y5" i="15"/>
  <c r="AA5" i="15"/>
  <c r="Y42" i="15"/>
  <c r="AA42" i="15"/>
  <c r="Y47" i="15"/>
  <c r="AA47" i="15"/>
  <c r="Y41" i="15"/>
  <c r="AA41" i="15"/>
  <c r="Y88" i="15"/>
  <c r="AA88" i="15"/>
  <c r="Y13" i="15"/>
  <c r="AA13" i="15"/>
  <c r="Y35" i="15"/>
  <c r="AA35" i="15"/>
  <c r="Y4" i="15"/>
  <c r="AA4" i="15"/>
  <c r="L20" i="33"/>
  <c r="T20" i="33"/>
  <c r="R20" i="33"/>
  <c r="N20" i="33"/>
  <c r="P20" i="33"/>
  <c r="U45" i="15"/>
  <c r="S45" i="15"/>
  <c r="Q45" i="15"/>
  <c r="W45" i="15"/>
  <c r="Q53" i="15"/>
  <c r="S53" i="15"/>
  <c r="U53" i="15"/>
  <c r="W53" i="15"/>
  <c r="Q77" i="15"/>
  <c r="S77" i="15"/>
  <c r="U77" i="15"/>
  <c r="W77" i="15"/>
  <c r="Q76" i="15"/>
  <c r="S76" i="15"/>
  <c r="U76" i="15"/>
  <c r="W76" i="15"/>
  <c r="U74" i="15"/>
  <c r="W74" i="15"/>
  <c r="S74" i="15"/>
  <c r="Q74" i="15"/>
  <c r="W49" i="15"/>
  <c r="U49" i="15"/>
  <c r="Q49" i="15"/>
  <c r="S49" i="15"/>
  <c r="W3" i="15"/>
  <c r="S3" i="15"/>
  <c r="Q3" i="15"/>
  <c r="U3" i="15"/>
  <c r="S15" i="15"/>
  <c r="U15" i="15"/>
  <c r="W15" i="15"/>
  <c r="Q15" i="15"/>
  <c r="Q18" i="15"/>
  <c r="S18" i="15"/>
  <c r="U18" i="15"/>
  <c r="W18" i="15"/>
  <c r="Q48" i="15"/>
  <c r="W48" i="15"/>
  <c r="S48" i="15"/>
  <c r="U48" i="15"/>
  <c r="Q90" i="15"/>
  <c r="S90" i="15"/>
  <c r="U90" i="15"/>
  <c r="W90" i="15"/>
  <c r="Q46" i="15"/>
  <c r="S46" i="15"/>
  <c r="W46" i="15"/>
  <c r="U46" i="15"/>
  <c r="Q42" i="15"/>
  <c r="S42" i="15"/>
  <c r="U42" i="15"/>
  <c r="W42" i="15"/>
  <c r="Q47" i="15"/>
  <c r="W47" i="15"/>
  <c r="S47" i="15"/>
  <c r="U47" i="15"/>
  <c r="Q41" i="15"/>
  <c r="S41" i="15"/>
  <c r="U41" i="15"/>
  <c r="W41" i="15"/>
  <c r="Q88" i="15"/>
  <c r="S88" i="15"/>
  <c r="U88" i="15"/>
  <c r="W88" i="15"/>
  <c r="W13" i="15"/>
  <c r="Q13" i="15"/>
  <c r="U13" i="15"/>
  <c r="S13" i="15"/>
  <c r="S22" i="15"/>
  <c r="Q22" i="15"/>
  <c r="U22" i="15"/>
  <c r="W22" i="15"/>
  <c r="Q23" i="15"/>
  <c r="U23" i="15"/>
  <c r="W23" i="15"/>
  <c r="S23" i="15"/>
  <c r="W79" i="15"/>
  <c r="Q79" i="15"/>
  <c r="S79" i="15"/>
  <c r="U79" i="15"/>
  <c r="Q7" i="15"/>
  <c r="S7" i="15"/>
  <c r="U7" i="15"/>
  <c r="W7" i="15"/>
  <c r="U93" i="15"/>
  <c r="Q93" i="15"/>
  <c r="S93" i="15"/>
  <c r="W93" i="15"/>
  <c r="W44" i="15"/>
  <c r="Q44" i="15"/>
  <c r="U44" i="15"/>
  <c r="S44" i="15"/>
  <c r="Q67" i="15"/>
  <c r="S67" i="15"/>
  <c r="W67" i="15"/>
  <c r="U67" i="15"/>
  <c r="W73" i="15"/>
  <c r="S73" i="15"/>
  <c r="Q73" i="15"/>
  <c r="U73" i="15"/>
  <c r="S58" i="15"/>
  <c r="Q58" i="15"/>
  <c r="U58" i="15"/>
  <c r="W58" i="15"/>
  <c r="Q35" i="15"/>
  <c r="S35" i="15"/>
  <c r="W35" i="15"/>
  <c r="U35" i="15"/>
  <c r="Q5" i="15"/>
  <c r="S5" i="15"/>
  <c r="U5" i="15"/>
  <c r="W5" i="15"/>
  <c r="Q68" i="15"/>
  <c r="U68" i="15"/>
  <c r="W68" i="15"/>
  <c r="S68" i="15"/>
  <c r="U62" i="15"/>
  <c r="W62" i="15"/>
  <c r="Q62" i="15"/>
  <c r="S62" i="15"/>
  <c r="Q89" i="15"/>
  <c r="S89" i="15"/>
  <c r="U89" i="15"/>
  <c r="W89" i="15"/>
  <c r="U32" i="15"/>
  <c r="Q32" i="15"/>
  <c r="S32" i="15"/>
  <c r="W32" i="15"/>
  <c r="Q55" i="15"/>
  <c r="S55" i="15"/>
  <c r="U55" i="15"/>
  <c r="W55" i="15"/>
  <c r="U50" i="15"/>
  <c r="W50" i="15"/>
  <c r="Q50" i="15"/>
  <c r="S50" i="15"/>
  <c r="U10" i="15"/>
  <c r="Q10" i="15"/>
  <c r="S10" i="15"/>
  <c r="W10" i="15"/>
  <c r="U4" i="15"/>
  <c r="W4" i="15"/>
  <c r="S4" i="15"/>
  <c r="Q4" i="15"/>
  <c r="Q66" i="15"/>
  <c r="S66" i="15"/>
  <c r="U66" i="15"/>
  <c r="W66" i="15"/>
  <c r="U80" i="15"/>
  <c r="W80" i="15"/>
  <c r="Q80" i="15"/>
  <c r="S80" i="15"/>
  <c r="Q52" i="15"/>
  <c r="S52" i="15"/>
  <c r="U52" i="15"/>
  <c r="W52" i="15"/>
  <c r="Q28" i="15"/>
  <c r="S28" i="15"/>
  <c r="U28" i="15"/>
  <c r="W28" i="15"/>
  <c r="U86" i="15"/>
  <c r="W86" i="15"/>
  <c r="Q86" i="15"/>
  <c r="S86" i="15"/>
  <c r="Q11" i="15"/>
  <c r="S11" i="15"/>
  <c r="U11" i="15"/>
  <c r="W11" i="15"/>
  <c r="U21" i="15"/>
  <c r="S21" i="15"/>
  <c r="Q21" i="15"/>
  <c r="W21" i="15"/>
  <c r="Q64" i="15"/>
  <c r="S64" i="15"/>
  <c r="U64" i="15"/>
  <c r="W64" i="15"/>
  <c r="W85" i="15"/>
  <c r="Q85" i="15"/>
  <c r="U85" i="15"/>
  <c r="S85" i="15"/>
  <c r="S33" i="15"/>
  <c r="U33" i="15"/>
  <c r="Q33" i="15"/>
  <c r="W33" i="15"/>
  <c r="S57" i="15"/>
  <c r="U57" i="15"/>
  <c r="Q57" i="15"/>
  <c r="W57" i="15"/>
  <c r="Q84" i="15"/>
  <c r="W84" i="15"/>
  <c r="S84" i="15"/>
  <c r="U84" i="15"/>
  <c r="W20" i="15"/>
  <c r="Q20" i="15"/>
  <c r="U20" i="15"/>
  <c r="S20" i="15"/>
  <c r="Q8" i="15"/>
  <c r="S8" i="15"/>
  <c r="W8" i="15"/>
  <c r="U8" i="15"/>
  <c r="S51" i="15"/>
  <c r="U51" i="15"/>
  <c r="W51" i="15"/>
  <c r="Q51" i="15"/>
  <c r="S27" i="15"/>
  <c r="U27" i="15"/>
  <c r="W27" i="15"/>
  <c r="Q27" i="15"/>
  <c r="W92" i="15"/>
  <c r="Q92" i="15"/>
  <c r="U92" i="15"/>
  <c r="S92" i="15"/>
  <c r="Q16" i="15"/>
  <c r="S16" i="15"/>
  <c r="U16" i="15"/>
  <c r="W16" i="15"/>
  <c r="S70" i="15"/>
  <c r="Q70" i="15"/>
  <c r="U70" i="15"/>
  <c r="W70" i="15"/>
  <c r="W43" i="15"/>
  <c r="Q43" i="15"/>
  <c r="S43" i="15"/>
  <c r="U43" i="15"/>
  <c r="S63" i="15"/>
  <c r="U63" i="15"/>
  <c r="W63" i="15"/>
  <c r="Q63" i="15"/>
  <c r="Q34" i="15"/>
  <c r="S34" i="15"/>
  <c r="U34" i="15"/>
  <c r="W34" i="15"/>
  <c r="Q30" i="15"/>
  <c r="S30" i="15"/>
  <c r="U30" i="15"/>
  <c r="W30" i="15"/>
  <c r="Q83" i="15"/>
  <c r="W83" i="15"/>
  <c r="S83" i="15"/>
  <c r="U83" i="15"/>
  <c r="Q91" i="15"/>
  <c r="S91" i="15"/>
  <c r="W91" i="15"/>
  <c r="U91" i="15"/>
  <c r="Q65" i="15"/>
  <c r="S65" i="15"/>
  <c r="U65" i="15"/>
  <c r="W65" i="15"/>
  <c r="Q40" i="15"/>
  <c r="S40" i="15"/>
  <c r="U40" i="15"/>
  <c r="W40" i="15"/>
  <c r="Q54" i="15"/>
  <c r="S54" i="15"/>
  <c r="U54" i="15"/>
  <c r="W54" i="15"/>
  <c r="W37" i="15"/>
  <c r="S37" i="15"/>
  <c r="Q37" i="15"/>
  <c r="U37" i="15"/>
  <c r="Q78" i="15"/>
  <c r="S78" i="15"/>
  <c r="U78" i="15"/>
  <c r="W78" i="15"/>
  <c r="W56" i="15"/>
  <c r="U56" i="15"/>
  <c r="Q56" i="15"/>
  <c r="S56" i="15"/>
  <c r="S81" i="15"/>
  <c r="U81" i="15"/>
  <c r="Q81" i="15"/>
  <c r="W81" i="15"/>
  <c r="U60" i="15"/>
  <c r="Q60" i="15"/>
  <c r="W60" i="15"/>
  <c r="S60" i="15"/>
  <c r="S39" i="15"/>
  <c r="U39" i="15"/>
  <c r="W39" i="15"/>
  <c r="Q39" i="15"/>
  <c r="W31" i="15"/>
  <c r="Q31" i="15"/>
  <c r="S31" i="15"/>
  <c r="U31" i="15"/>
  <c r="S87" i="15"/>
  <c r="U87" i="15"/>
  <c r="W87" i="15"/>
  <c r="Q87" i="15"/>
  <c r="S75" i="15"/>
  <c r="U75" i="15"/>
  <c r="W75" i="15"/>
  <c r="Q75" i="15"/>
  <c r="Q71" i="15"/>
  <c r="S71" i="15"/>
  <c r="W71" i="15"/>
  <c r="U71" i="15"/>
  <c r="Q59" i="15"/>
  <c r="U59" i="15"/>
  <c r="W59" i="15"/>
  <c r="S59" i="15"/>
  <c r="U69" i="15"/>
  <c r="S69" i="15"/>
  <c r="Q69" i="15"/>
  <c r="W69" i="15"/>
  <c r="Q72" i="15"/>
  <c r="S72" i="15"/>
  <c r="W72" i="15"/>
  <c r="U72" i="15"/>
  <c r="W36" i="15"/>
  <c r="S36" i="15"/>
  <c r="Q36" i="15"/>
  <c r="U36" i="15"/>
  <c r="S82" i="15"/>
  <c r="Q82" i="15"/>
  <c r="W82" i="15"/>
  <c r="U82" i="15"/>
  <c r="W61" i="15"/>
  <c r="U61" i="15"/>
  <c r="Q61" i="15"/>
  <c r="S61" i="15"/>
  <c r="Q17" i="15"/>
  <c r="S17" i="15"/>
  <c r="U17" i="15"/>
  <c r="W17" i="15"/>
  <c r="U24" i="15"/>
  <c r="Q24" i="15"/>
  <c r="S24" i="15"/>
  <c r="W24" i="15"/>
  <c r="U14" i="15"/>
  <c r="W14" i="15"/>
  <c r="Q14" i="15"/>
  <c r="S14" i="15"/>
  <c r="V19" i="33"/>
  <c r="V23" i="33"/>
  <c r="V7" i="33"/>
  <c r="L7" i="33" l="1"/>
  <c r="T7" i="33"/>
  <c r="L23" i="33"/>
  <c r="T23" i="33"/>
  <c r="L19" i="33"/>
  <c r="T19" i="33"/>
  <c r="P19" i="33"/>
  <c r="R19" i="33"/>
  <c r="N19" i="33"/>
  <c r="P7" i="33"/>
  <c r="R7" i="33"/>
  <c r="N7" i="33"/>
  <c r="N23" i="33"/>
  <c r="P23" i="33"/>
  <c r="R23" i="33"/>
  <c r="AG6" i="2" l="1"/>
  <c r="W346" i="2" l="1"/>
  <c r="AL346" i="2" s="1"/>
  <c r="W347" i="2"/>
  <c r="AL347" i="2" s="1"/>
  <c r="W348" i="2"/>
  <c r="AL348" i="2" s="1"/>
  <c r="W349" i="2"/>
  <c r="AL349"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F349" i="2" l="1"/>
  <c r="AI349" i="2"/>
  <c r="AI348" i="2"/>
  <c r="AF348" i="2"/>
  <c r="AI347" i="2"/>
  <c r="AF347" i="2"/>
  <c r="AI346" i="2"/>
  <c r="AF346" i="2"/>
  <c r="Z349" i="2"/>
  <c r="AC349" i="2"/>
  <c r="AC348" i="2"/>
  <c r="Z348" i="2"/>
  <c r="Z347" i="2"/>
  <c r="AC347" i="2"/>
  <c r="Z346" i="2"/>
  <c r="AC346" i="2"/>
  <c r="W60" i="2"/>
  <c r="AL60" i="2" s="1"/>
  <c r="AF60" i="2" l="1"/>
  <c r="AI60" i="2"/>
  <c r="Z60" i="2"/>
  <c r="AC60" i="2"/>
  <c r="W280" i="2"/>
  <c r="AL280" i="2" s="1"/>
  <c r="W274" i="2"/>
  <c r="AL274" i="2" s="1"/>
  <c r="W273" i="2"/>
  <c r="AL273" i="2" s="1"/>
  <c r="W269" i="2"/>
  <c r="AL269" i="2" s="1"/>
  <c r="W268" i="2"/>
  <c r="AL268" i="2" s="1"/>
  <c r="W259" i="2"/>
  <c r="AL259" i="2" s="1"/>
  <c r="W255" i="2"/>
  <c r="AL255" i="2" s="1"/>
  <c r="W254" i="2"/>
  <c r="AL254" i="2" s="1"/>
  <c r="W253" i="2"/>
  <c r="AL253" i="2" s="1"/>
  <c r="W251" i="2"/>
  <c r="AL251" i="2" s="1"/>
  <c r="W247" i="2"/>
  <c r="AL247" i="2" s="1"/>
  <c r="W243" i="2"/>
  <c r="AL243" i="2" s="1"/>
  <c r="W242" i="2"/>
  <c r="AL242" i="2" s="1"/>
  <c r="W241" i="2"/>
  <c r="AL241" i="2" s="1"/>
  <c r="W239" i="2"/>
  <c r="AL239" i="2" s="1"/>
  <c r="W235" i="2"/>
  <c r="AL235" i="2" s="1"/>
  <c r="W31" i="2"/>
  <c r="AL31" i="2" s="1"/>
  <c r="W89" i="2"/>
  <c r="AL89" i="2" s="1"/>
  <c r="W205" i="2"/>
  <c r="AL205" i="2" s="1"/>
  <c r="W234" i="2"/>
  <c r="AL234" i="2" s="1"/>
  <c r="W236" i="2"/>
  <c r="AL236" i="2" s="1"/>
  <c r="W237" i="2"/>
  <c r="AL237" i="2" s="1"/>
  <c r="W238" i="2"/>
  <c r="AL238" i="2" s="1"/>
  <c r="W240" i="2"/>
  <c r="AL240" i="2" s="1"/>
  <c r="W244" i="2"/>
  <c r="AL244" i="2" s="1"/>
  <c r="W245" i="2"/>
  <c r="AL245" i="2" s="1"/>
  <c r="W246" i="2"/>
  <c r="AL246" i="2" s="1"/>
  <c r="W248" i="2"/>
  <c r="AL248" i="2" s="1"/>
  <c r="W249" i="2"/>
  <c r="AL249" i="2" s="1"/>
  <c r="W250" i="2"/>
  <c r="AL250" i="2" s="1"/>
  <c r="W252" i="2"/>
  <c r="AL252" i="2" s="1"/>
  <c r="W256" i="2"/>
  <c r="AL256" i="2" s="1"/>
  <c r="W257" i="2"/>
  <c r="AL257" i="2" s="1"/>
  <c r="W258" i="2"/>
  <c r="AL258" i="2" s="1"/>
  <c r="W260" i="2"/>
  <c r="AL260" i="2" s="1"/>
  <c r="W261" i="2"/>
  <c r="AL261" i="2" s="1"/>
  <c r="W262" i="2"/>
  <c r="AL262" i="2" s="1"/>
  <c r="W264" i="2"/>
  <c r="AL264" i="2" s="1"/>
  <c r="W265" i="2"/>
  <c r="AL265" i="2" s="1"/>
  <c r="W266" i="2"/>
  <c r="AL266" i="2" s="1"/>
  <c r="W267" i="2"/>
  <c r="AL267" i="2" s="1"/>
  <c r="W270" i="2"/>
  <c r="AL270" i="2" s="1"/>
  <c r="W271" i="2"/>
  <c r="AL271" i="2" s="1"/>
  <c r="W272" i="2"/>
  <c r="AL272" i="2" s="1"/>
  <c r="W275" i="2"/>
  <c r="AL275" i="2" s="1"/>
  <c r="W276" i="2"/>
  <c r="AL276" i="2" s="1"/>
  <c r="W277" i="2"/>
  <c r="AL277" i="2" s="1"/>
  <c r="W278" i="2"/>
  <c r="AL278" i="2" s="1"/>
  <c r="W279" i="2"/>
  <c r="AL279" i="2" s="1"/>
  <c r="AA204" i="2"/>
  <c r="AD204" i="2"/>
  <c r="AG204" i="2"/>
  <c r="AA183" i="2"/>
  <c r="AA184" i="2"/>
  <c r="AA185" i="2"/>
  <c r="AA186" i="2"/>
  <c r="AA187" i="2"/>
  <c r="AA188" i="2"/>
  <c r="AA189" i="2"/>
  <c r="AA190" i="2"/>
  <c r="AA191" i="2"/>
  <c r="AA192" i="2"/>
  <c r="AA193" i="2"/>
  <c r="AA194" i="2"/>
  <c r="AA195" i="2"/>
  <c r="AA196" i="2"/>
  <c r="AA197" i="2"/>
  <c r="AA198" i="2"/>
  <c r="AA199" i="2"/>
  <c r="AA200" i="2"/>
  <c r="AA201" i="2"/>
  <c r="AA202" i="2"/>
  <c r="AA203" i="2"/>
  <c r="AD183" i="2"/>
  <c r="AD184" i="2"/>
  <c r="AD185" i="2"/>
  <c r="AD186" i="2"/>
  <c r="AD187" i="2"/>
  <c r="AD188" i="2"/>
  <c r="AD189" i="2"/>
  <c r="AD190" i="2"/>
  <c r="AD191" i="2"/>
  <c r="AD192" i="2"/>
  <c r="AD193" i="2"/>
  <c r="AD194" i="2"/>
  <c r="AD195" i="2"/>
  <c r="AD196" i="2"/>
  <c r="AD197" i="2"/>
  <c r="AD198" i="2"/>
  <c r="AD199" i="2"/>
  <c r="AD200" i="2"/>
  <c r="AD201" i="2"/>
  <c r="AD202" i="2"/>
  <c r="AD203" i="2"/>
  <c r="AG183" i="2"/>
  <c r="AG184" i="2"/>
  <c r="AG185" i="2"/>
  <c r="AG186" i="2"/>
  <c r="AG187" i="2"/>
  <c r="AG188" i="2"/>
  <c r="AG189" i="2"/>
  <c r="AG190" i="2"/>
  <c r="AG191" i="2"/>
  <c r="AG192" i="2"/>
  <c r="AG193" i="2"/>
  <c r="AG194" i="2"/>
  <c r="AG195" i="2"/>
  <c r="AG196" i="2"/>
  <c r="AG197" i="2"/>
  <c r="AG198" i="2"/>
  <c r="AG199" i="2"/>
  <c r="AG200" i="2"/>
  <c r="AG201" i="2"/>
  <c r="AG202" i="2"/>
  <c r="AG203" i="2"/>
  <c r="AA172" i="2"/>
  <c r="AA173" i="2"/>
  <c r="AA174" i="2"/>
  <c r="AA175" i="2"/>
  <c r="AD172" i="2"/>
  <c r="AD173" i="2"/>
  <c r="AD174" i="2"/>
  <c r="AD175" i="2"/>
  <c r="AG172" i="2"/>
  <c r="AG173" i="2"/>
  <c r="AG174" i="2"/>
  <c r="AG175" i="2"/>
  <c r="AA154" i="2"/>
  <c r="AA155" i="2"/>
  <c r="AA156" i="2"/>
  <c r="AA157" i="2"/>
  <c r="AA158" i="2"/>
  <c r="AA159" i="2"/>
  <c r="AA160" i="2"/>
  <c r="AA161" i="2"/>
  <c r="AA162" i="2"/>
  <c r="AA163" i="2"/>
  <c r="AA164" i="2"/>
  <c r="AA165" i="2"/>
  <c r="AA166" i="2"/>
  <c r="AA167" i="2"/>
  <c r="AA168" i="2"/>
  <c r="AA169" i="2"/>
  <c r="AA170" i="2"/>
  <c r="AA171" i="2"/>
  <c r="AD154" i="2"/>
  <c r="AD155" i="2"/>
  <c r="AD156" i="2"/>
  <c r="AD157" i="2"/>
  <c r="AD158" i="2"/>
  <c r="AD159" i="2"/>
  <c r="AD160" i="2"/>
  <c r="AD161" i="2"/>
  <c r="AD162" i="2"/>
  <c r="AD163" i="2"/>
  <c r="AD164" i="2"/>
  <c r="AD165" i="2"/>
  <c r="AD166" i="2"/>
  <c r="AD167" i="2"/>
  <c r="AD168" i="2"/>
  <c r="AD169" i="2"/>
  <c r="AD170" i="2"/>
  <c r="AD171" i="2"/>
  <c r="AG154" i="2"/>
  <c r="AG155" i="2"/>
  <c r="AG156" i="2"/>
  <c r="AG157" i="2"/>
  <c r="AG158" i="2"/>
  <c r="AG159" i="2"/>
  <c r="AG160" i="2"/>
  <c r="AG161" i="2"/>
  <c r="AG162" i="2"/>
  <c r="AG163" i="2"/>
  <c r="AG164" i="2"/>
  <c r="AG165" i="2"/>
  <c r="AG166" i="2"/>
  <c r="AG167" i="2"/>
  <c r="AG168" i="2"/>
  <c r="AG169" i="2"/>
  <c r="AG170" i="2"/>
  <c r="AG171" i="2"/>
  <c r="AA137" i="2"/>
  <c r="AA138" i="2"/>
  <c r="AA139" i="2"/>
  <c r="AA140" i="2"/>
  <c r="AA141" i="2"/>
  <c r="AA142" i="2"/>
  <c r="AA143" i="2"/>
  <c r="AA144" i="2"/>
  <c r="AA145" i="2"/>
  <c r="AA146" i="2"/>
  <c r="AD137" i="2"/>
  <c r="AD138" i="2"/>
  <c r="AD139" i="2"/>
  <c r="AD140" i="2"/>
  <c r="AD141" i="2"/>
  <c r="AD142" i="2"/>
  <c r="AD143" i="2"/>
  <c r="AD144" i="2"/>
  <c r="AD145" i="2"/>
  <c r="AD146" i="2"/>
  <c r="AG137" i="2"/>
  <c r="AG138" i="2"/>
  <c r="AG139" i="2"/>
  <c r="AG140" i="2"/>
  <c r="AG141" i="2"/>
  <c r="AG142" i="2"/>
  <c r="AG143" i="2"/>
  <c r="AG144" i="2"/>
  <c r="AG145" i="2"/>
  <c r="AG146" i="2"/>
  <c r="AA125" i="2"/>
  <c r="AA126" i="2"/>
  <c r="AA127" i="2"/>
  <c r="AA128" i="2"/>
  <c r="AA129" i="2"/>
  <c r="AA130" i="2"/>
  <c r="AA131" i="2"/>
  <c r="AA132" i="2"/>
  <c r="AA133" i="2"/>
  <c r="AA134" i="2"/>
  <c r="AA135" i="2"/>
  <c r="AA136" i="2"/>
  <c r="AD125" i="2"/>
  <c r="AD126" i="2"/>
  <c r="AD127" i="2"/>
  <c r="AD128" i="2"/>
  <c r="AD129" i="2"/>
  <c r="AD130" i="2"/>
  <c r="AD131" i="2"/>
  <c r="AD132" i="2"/>
  <c r="AD133" i="2"/>
  <c r="AD134" i="2"/>
  <c r="AD135" i="2"/>
  <c r="AD136" i="2"/>
  <c r="AG125" i="2"/>
  <c r="AG126" i="2"/>
  <c r="AG127" i="2"/>
  <c r="AG128" i="2"/>
  <c r="AG129" i="2"/>
  <c r="AG130" i="2"/>
  <c r="AG131" i="2"/>
  <c r="AG132" i="2"/>
  <c r="AG133" i="2"/>
  <c r="AG134" i="2"/>
  <c r="AG135" i="2"/>
  <c r="AG136" i="2"/>
  <c r="AA111" i="2"/>
  <c r="AA112" i="2"/>
  <c r="AA113" i="2"/>
  <c r="AA114" i="2"/>
  <c r="AA115" i="2"/>
  <c r="AA116" i="2"/>
  <c r="AA117" i="2"/>
  <c r="AD111" i="2"/>
  <c r="AD112" i="2"/>
  <c r="AD113" i="2"/>
  <c r="AD114" i="2"/>
  <c r="AD115" i="2"/>
  <c r="AD116" i="2"/>
  <c r="AD117" i="2"/>
  <c r="AG111" i="2"/>
  <c r="AG112" i="2"/>
  <c r="AG113" i="2"/>
  <c r="AG114" i="2"/>
  <c r="AG115" i="2"/>
  <c r="AG116" i="2"/>
  <c r="AG117" i="2"/>
  <c r="AA96" i="2"/>
  <c r="AA97" i="2"/>
  <c r="AA98" i="2"/>
  <c r="AA99" i="2"/>
  <c r="AA100" i="2"/>
  <c r="AA101" i="2"/>
  <c r="AA102" i="2"/>
  <c r="AA103" i="2"/>
  <c r="AA104" i="2"/>
  <c r="AA105" i="2"/>
  <c r="AA106" i="2"/>
  <c r="AA107" i="2"/>
  <c r="AA108" i="2"/>
  <c r="AA109" i="2"/>
  <c r="AA110" i="2"/>
  <c r="AD96" i="2"/>
  <c r="AD97" i="2"/>
  <c r="AD98" i="2"/>
  <c r="AD99" i="2"/>
  <c r="AD100" i="2"/>
  <c r="AD101" i="2"/>
  <c r="AD102" i="2"/>
  <c r="AD103" i="2"/>
  <c r="AD104" i="2"/>
  <c r="AD105" i="2"/>
  <c r="AD106" i="2"/>
  <c r="AD107" i="2"/>
  <c r="AD108" i="2"/>
  <c r="AD109" i="2"/>
  <c r="AD110" i="2"/>
  <c r="AG96" i="2"/>
  <c r="AG97" i="2"/>
  <c r="AG98" i="2"/>
  <c r="AG99" i="2"/>
  <c r="AG100" i="2"/>
  <c r="AG101" i="2"/>
  <c r="AG102" i="2"/>
  <c r="AG103" i="2"/>
  <c r="AG104" i="2"/>
  <c r="AG105" i="2"/>
  <c r="AG106" i="2"/>
  <c r="AG107" i="2"/>
  <c r="AG108" i="2"/>
  <c r="AG109" i="2"/>
  <c r="AG110" i="2"/>
  <c r="AA67" i="2"/>
  <c r="AA68" i="2"/>
  <c r="AA69" i="2"/>
  <c r="AA70" i="2"/>
  <c r="AA71" i="2"/>
  <c r="AA72" i="2"/>
  <c r="AA73" i="2"/>
  <c r="AA74" i="2"/>
  <c r="AA75" i="2"/>
  <c r="AA76" i="2"/>
  <c r="AA77" i="2"/>
  <c r="AA78" i="2"/>
  <c r="AA79" i="2"/>
  <c r="AA80" i="2"/>
  <c r="AA81" i="2"/>
  <c r="AA82" i="2"/>
  <c r="AA83" i="2"/>
  <c r="AA84" i="2"/>
  <c r="AA85" i="2"/>
  <c r="AA86" i="2"/>
  <c r="AA87" i="2"/>
  <c r="AA88" i="2"/>
  <c r="AD67" i="2"/>
  <c r="AD68" i="2"/>
  <c r="AD69" i="2"/>
  <c r="AD70" i="2"/>
  <c r="AD71" i="2"/>
  <c r="AD72" i="2"/>
  <c r="AD73" i="2"/>
  <c r="AD74" i="2"/>
  <c r="AD75" i="2"/>
  <c r="AD76" i="2"/>
  <c r="AD77" i="2"/>
  <c r="AD78" i="2"/>
  <c r="AD79" i="2"/>
  <c r="AD80" i="2"/>
  <c r="AD81" i="2"/>
  <c r="AD82" i="2"/>
  <c r="AD83" i="2"/>
  <c r="AD84" i="2"/>
  <c r="AD85" i="2"/>
  <c r="AD86" i="2"/>
  <c r="AD87" i="2"/>
  <c r="AD88" i="2"/>
  <c r="AG67" i="2"/>
  <c r="AG68" i="2"/>
  <c r="AG69" i="2"/>
  <c r="AG70" i="2"/>
  <c r="AG71" i="2"/>
  <c r="AG72" i="2"/>
  <c r="AG73" i="2"/>
  <c r="AG74" i="2"/>
  <c r="AG75" i="2"/>
  <c r="AG76" i="2"/>
  <c r="AG77" i="2"/>
  <c r="AG78" i="2"/>
  <c r="AG79" i="2"/>
  <c r="AG80" i="2"/>
  <c r="AG81" i="2"/>
  <c r="AG82" i="2"/>
  <c r="AG83" i="2"/>
  <c r="AG84" i="2"/>
  <c r="AG85" i="2"/>
  <c r="AG86" i="2"/>
  <c r="AG87" i="2"/>
  <c r="AG88" i="2"/>
  <c r="AA38" i="2"/>
  <c r="AA39" i="2"/>
  <c r="AA40" i="2"/>
  <c r="AA41" i="2"/>
  <c r="AA42" i="2"/>
  <c r="AA43" i="2"/>
  <c r="AA44" i="2"/>
  <c r="AA45" i="2"/>
  <c r="AA46" i="2"/>
  <c r="AA47" i="2"/>
  <c r="AA48" i="2"/>
  <c r="AA49" i="2"/>
  <c r="AA50" i="2"/>
  <c r="AA51" i="2"/>
  <c r="AA52" i="2"/>
  <c r="AA53" i="2"/>
  <c r="AA54" i="2"/>
  <c r="AA55" i="2"/>
  <c r="AA56" i="2"/>
  <c r="AA57" i="2"/>
  <c r="AA58" i="2"/>
  <c r="AA59" i="2"/>
  <c r="AD38" i="2"/>
  <c r="AD39" i="2"/>
  <c r="AD40" i="2"/>
  <c r="AD41" i="2"/>
  <c r="AD42" i="2"/>
  <c r="AD43" i="2"/>
  <c r="AD44" i="2"/>
  <c r="AD45" i="2"/>
  <c r="AD46" i="2"/>
  <c r="AD47" i="2"/>
  <c r="AD48" i="2"/>
  <c r="AD49" i="2"/>
  <c r="AD50" i="2"/>
  <c r="AD51" i="2"/>
  <c r="AD52" i="2"/>
  <c r="AD53" i="2"/>
  <c r="AD54" i="2"/>
  <c r="AD55" i="2"/>
  <c r="AD56" i="2"/>
  <c r="AD57" i="2"/>
  <c r="AD58" i="2"/>
  <c r="AD59" i="2"/>
  <c r="AG38" i="2"/>
  <c r="AG39" i="2"/>
  <c r="AG40" i="2"/>
  <c r="AG41" i="2"/>
  <c r="AG42" i="2"/>
  <c r="AG43" i="2"/>
  <c r="AG44" i="2"/>
  <c r="AG45" i="2"/>
  <c r="AG46" i="2"/>
  <c r="AG47" i="2"/>
  <c r="AG48" i="2"/>
  <c r="AG49" i="2"/>
  <c r="AG50" i="2"/>
  <c r="AG51" i="2"/>
  <c r="AG52" i="2"/>
  <c r="AG53" i="2"/>
  <c r="AG54" i="2"/>
  <c r="AG55" i="2"/>
  <c r="AG56" i="2"/>
  <c r="AG57" i="2"/>
  <c r="AG58" i="2"/>
  <c r="AG59" i="2"/>
  <c r="AA24" i="2"/>
  <c r="AA25" i="2"/>
  <c r="AA26" i="2"/>
  <c r="AA27" i="2"/>
  <c r="AA28" i="2"/>
  <c r="AA29" i="2"/>
  <c r="AA30" i="2"/>
  <c r="AD24" i="2"/>
  <c r="AD25" i="2"/>
  <c r="AD26" i="2"/>
  <c r="AD27" i="2"/>
  <c r="AD28" i="2"/>
  <c r="AD29" i="2"/>
  <c r="AD30" i="2"/>
  <c r="AG24" i="2"/>
  <c r="AG25" i="2"/>
  <c r="AG26" i="2"/>
  <c r="AG27" i="2"/>
  <c r="AG28" i="2"/>
  <c r="AG29" i="2"/>
  <c r="AG30" i="2"/>
  <c r="AA9" i="2"/>
  <c r="AA10" i="2"/>
  <c r="AA11" i="2"/>
  <c r="AA12" i="2"/>
  <c r="AA13" i="2"/>
  <c r="AA14" i="2"/>
  <c r="AA15" i="2"/>
  <c r="AA16" i="2"/>
  <c r="AA17" i="2"/>
  <c r="AA18" i="2"/>
  <c r="AA19" i="2"/>
  <c r="AA20" i="2"/>
  <c r="AA21" i="2"/>
  <c r="AA22" i="2"/>
  <c r="AA23" i="2"/>
  <c r="AD9" i="2"/>
  <c r="AD10" i="2"/>
  <c r="AD11" i="2"/>
  <c r="AD12" i="2"/>
  <c r="AD13" i="2"/>
  <c r="AD14" i="2"/>
  <c r="AD15" i="2"/>
  <c r="AD16" i="2"/>
  <c r="AD17" i="2"/>
  <c r="AD18" i="2"/>
  <c r="AD19" i="2"/>
  <c r="AD20" i="2"/>
  <c r="AD21" i="2"/>
  <c r="AD22" i="2"/>
  <c r="AD23" i="2"/>
  <c r="AG9" i="2"/>
  <c r="AG10" i="2"/>
  <c r="AG11" i="2"/>
  <c r="AG12" i="2"/>
  <c r="AG13" i="2"/>
  <c r="AG14" i="2"/>
  <c r="AG15" i="2"/>
  <c r="AG16" i="2"/>
  <c r="AG17" i="2"/>
  <c r="AG18" i="2"/>
  <c r="AG19" i="2"/>
  <c r="AG20" i="2"/>
  <c r="AG21" i="2"/>
  <c r="AG22" i="2"/>
  <c r="AG23" i="2"/>
  <c r="W33" i="2"/>
  <c r="AL33" i="2" s="1"/>
  <c r="A2" i="2"/>
  <c r="AA3" i="2"/>
  <c r="AD3" i="2"/>
  <c r="AG3" i="2"/>
  <c r="AA4" i="2"/>
  <c r="AD4" i="2"/>
  <c r="AG4" i="2"/>
  <c r="AA5" i="2"/>
  <c r="AD5" i="2"/>
  <c r="AG5" i="2"/>
  <c r="AA6" i="2"/>
  <c r="AD6" i="2"/>
  <c r="AA7" i="2"/>
  <c r="AD7" i="2"/>
  <c r="AG7" i="2"/>
  <c r="AA8" i="2"/>
  <c r="AD8" i="2"/>
  <c r="AG8" i="2"/>
  <c r="AA31" i="2"/>
  <c r="AD31" i="2"/>
  <c r="AG31" i="2"/>
  <c r="AA32" i="2"/>
  <c r="AD32" i="2"/>
  <c r="AG32" i="2"/>
  <c r="AA33" i="2"/>
  <c r="AD33" i="2"/>
  <c r="AG33" i="2"/>
  <c r="AA34" i="2"/>
  <c r="AD34" i="2"/>
  <c r="AG34" i="2"/>
  <c r="AA35" i="2"/>
  <c r="AD35" i="2"/>
  <c r="AG35" i="2"/>
  <c r="AA36" i="2"/>
  <c r="AD36" i="2"/>
  <c r="AG36" i="2"/>
  <c r="AA37" i="2"/>
  <c r="AD37" i="2"/>
  <c r="AG37" i="2"/>
  <c r="AA60" i="2"/>
  <c r="AD60" i="2"/>
  <c r="AG60" i="2"/>
  <c r="W61" i="2"/>
  <c r="AL61" i="2" s="1"/>
  <c r="AA61" i="2"/>
  <c r="AD61" i="2"/>
  <c r="AG61" i="2"/>
  <c r="AA62" i="2"/>
  <c r="AD62" i="2"/>
  <c r="AG62" i="2"/>
  <c r="AA63" i="2"/>
  <c r="AD63" i="2"/>
  <c r="AG63" i="2"/>
  <c r="AA64" i="2"/>
  <c r="AD64" i="2"/>
  <c r="AG64" i="2"/>
  <c r="AA65" i="2"/>
  <c r="AD65" i="2"/>
  <c r="AG65" i="2"/>
  <c r="AA66" i="2"/>
  <c r="AD66" i="2"/>
  <c r="AG66" i="2"/>
  <c r="AA89" i="2"/>
  <c r="AD89" i="2"/>
  <c r="AG89" i="2"/>
  <c r="W90" i="2"/>
  <c r="AL90" i="2" s="1"/>
  <c r="AA90" i="2"/>
  <c r="AD90" i="2"/>
  <c r="AG90" i="2"/>
  <c r="AA91" i="2"/>
  <c r="AD91" i="2"/>
  <c r="AG91" i="2"/>
  <c r="AA92" i="2"/>
  <c r="AD92" i="2"/>
  <c r="AG92" i="2"/>
  <c r="AA93" i="2"/>
  <c r="AD93" i="2"/>
  <c r="AG93" i="2"/>
  <c r="AA94" i="2"/>
  <c r="AD94" i="2"/>
  <c r="AG94" i="2"/>
  <c r="AA95" i="2"/>
  <c r="AD95" i="2"/>
  <c r="AG95" i="2"/>
  <c r="AF252" i="2" l="1"/>
  <c r="AI252" i="2"/>
  <c r="AF259" i="2"/>
  <c r="AI259" i="2"/>
  <c r="AI31" i="2"/>
  <c r="AF31" i="2"/>
  <c r="AI266" i="2"/>
  <c r="AF266" i="2"/>
  <c r="AI248" i="2"/>
  <c r="AF248" i="2"/>
  <c r="AF235" i="2"/>
  <c r="AI235" i="2"/>
  <c r="AI269" i="2"/>
  <c r="AF269" i="2"/>
  <c r="AF271" i="2"/>
  <c r="AI271" i="2"/>
  <c r="AF268" i="2"/>
  <c r="AI268" i="2"/>
  <c r="AI61" i="2"/>
  <c r="AF61" i="2"/>
  <c r="AI265" i="2"/>
  <c r="AF265" i="2"/>
  <c r="AI246" i="2"/>
  <c r="AF246" i="2"/>
  <c r="AI239" i="2"/>
  <c r="AF239" i="2"/>
  <c r="AI273" i="2"/>
  <c r="AF273" i="2"/>
  <c r="AI272" i="2"/>
  <c r="AF272" i="2"/>
  <c r="AF249" i="2"/>
  <c r="AI249" i="2"/>
  <c r="AI264" i="2"/>
  <c r="AF264" i="2"/>
  <c r="AI245" i="2"/>
  <c r="AF245" i="2"/>
  <c r="AF241" i="2"/>
  <c r="AI241" i="2"/>
  <c r="AI274" i="2"/>
  <c r="AF274" i="2"/>
  <c r="AF254" i="2"/>
  <c r="AI254" i="2"/>
  <c r="AI255" i="2"/>
  <c r="AF255" i="2"/>
  <c r="AI89" i="2"/>
  <c r="AF89" i="2"/>
  <c r="AI279" i="2"/>
  <c r="AF279" i="2"/>
  <c r="AI262" i="2"/>
  <c r="AF262" i="2"/>
  <c r="AI244" i="2"/>
  <c r="AF244" i="2"/>
  <c r="AI242" i="2"/>
  <c r="AF242" i="2"/>
  <c r="AI280" i="2"/>
  <c r="AF280" i="2"/>
  <c r="AF33" i="2"/>
  <c r="AI33" i="2"/>
  <c r="AI205" i="2"/>
  <c r="AF205" i="2"/>
  <c r="AI278" i="2"/>
  <c r="AF278" i="2"/>
  <c r="AI261" i="2"/>
  <c r="AF261" i="2"/>
  <c r="AF240" i="2"/>
  <c r="AI240" i="2"/>
  <c r="AI243" i="2"/>
  <c r="AF243" i="2"/>
  <c r="AI250" i="2"/>
  <c r="AF250" i="2"/>
  <c r="AF277" i="2"/>
  <c r="AI277" i="2"/>
  <c r="AI260" i="2"/>
  <c r="AF260" i="2"/>
  <c r="AI238" i="2"/>
  <c r="AF238" i="2"/>
  <c r="AF247" i="2"/>
  <c r="AI247" i="2"/>
  <c r="AI234" i="2"/>
  <c r="AF234" i="2"/>
  <c r="AI90" i="2"/>
  <c r="AF90" i="2"/>
  <c r="AI276" i="2"/>
  <c r="AF276" i="2"/>
  <c r="AI258" i="2"/>
  <c r="AF258" i="2"/>
  <c r="AI237" i="2"/>
  <c r="AF237" i="2"/>
  <c r="AI251" i="2"/>
  <c r="AF251" i="2"/>
  <c r="AI256" i="2"/>
  <c r="AF256" i="2"/>
  <c r="AI270" i="2"/>
  <c r="AF270" i="2"/>
  <c r="AI267" i="2"/>
  <c r="AF267" i="2"/>
  <c r="AI275" i="2"/>
  <c r="AF275" i="2"/>
  <c r="AF257" i="2"/>
  <c r="AI257" i="2"/>
  <c r="AI236" i="2"/>
  <c r="AF236" i="2"/>
  <c r="AF253" i="2"/>
  <c r="AI253" i="2"/>
  <c r="Z271" i="2"/>
  <c r="AC271" i="2"/>
  <c r="Z252" i="2"/>
  <c r="AC252" i="2"/>
  <c r="Z205" i="2"/>
  <c r="AC205" i="2"/>
  <c r="Z255" i="2"/>
  <c r="AC255" i="2"/>
  <c r="Z270" i="2"/>
  <c r="AC270" i="2"/>
  <c r="Z250" i="2"/>
  <c r="AC250" i="2"/>
  <c r="Z89" i="2"/>
  <c r="AC89" i="2"/>
  <c r="Z259" i="2"/>
  <c r="AC259" i="2"/>
  <c r="Z267" i="2"/>
  <c r="AC267" i="2"/>
  <c r="Z249" i="2"/>
  <c r="AC249" i="2"/>
  <c r="Z31" i="2"/>
  <c r="AC31" i="2"/>
  <c r="Z268" i="2"/>
  <c r="AC268" i="2"/>
  <c r="Z266" i="2"/>
  <c r="AC266" i="2"/>
  <c r="Z248" i="2"/>
  <c r="AC248" i="2"/>
  <c r="Z235" i="2"/>
  <c r="AC235" i="2"/>
  <c r="Z269" i="2"/>
  <c r="AC269" i="2"/>
  <c r="Z265" i="2"/>
  <c r="AC265" i="2"/>
  <c r="Z246" i="2"/>
  <c r="AC246" i="2"/>
  <c r="Z239" i="2"/>
  <c r="AC239" i="2"/>
  <c r="Z273" i="2"/>
  <c r="AC273" i="2"/>
  <c r="Z272" i="2"/>
  <c r="AC272" i="2"/>
  <c r="Z264" i="2"/>
  <c r="AC264" i="2"/>
  <c r="Z245" i="2"/>
  <c r="AC245" i="2"/>
  <c r="Z241" i="2"/>
  <c r="AC241" i="2"/>
  <c r="Z274" i="2"/>
  <c r="AC274" i="2"/>
  <c r="Z33" i="2"/>
  <c r="AC33" i="2"/>
  <c r="Z279" i="2"/>
  <c r="AC279" i="2"/>
  <c r="Z262" i="2"/>
  <c r="AC262" i="2"/>
  <c r="Z244" i="2"/>
  <c r="AC244" i="2"/>
  <c r="Z242" i="2"/>
  <c r="AC242" i="2"/>
  <c r="Z280" i="2"/>
  <c r="AC280" i="2"/>
  <c r="Z256" i="2"/>
  <c r="AC256" i="2"/>
  <c r="Z61" i="2"/>
  <c r="AC61" i="2"/>
  <c r="Z278" i="2"/>
  <c r="AC278" i="2"/>
  <c r="Z261" i="2"/>
  <c r="AC261" i="2"/>
  <c r="Z240" i="2"/>
  <c r="AC240" i="2"/>
  <c r="Z243" i="2"/>
  <c r="AC243" i="2"/>
  <c r="Z254" i="2"/>
  <c r="AC254" i="2"/>
  <c r="Z277" i="2"/>
  <c r="AC277" i="2"/>
  <c r="Z260" i="2"/>
  <c r="AC260" i="2"/>
  <c r="Z238" i="2"/>
  <c r="AC238" i="2"/>
  <c r="Z247" i="2"/>
  <c r="AC247" i="2"/>
  <c r="Z234" i="2"/>
  <c r="AC234" i="2"/>
  <c r="Z90" i="2"/>
  <c r="AC90" i="2"/>
  <c r="Z276" i="2"/>
  <c r="AC276" i="2"/>
  <c r="Z258" i="2"/>
  <c r="AC258" i="2"/>
  <c r="Z237" i="2"/>
  <c r="AC237" i="2"/>
  <c r="Z251" i="2"/>
  <c r="AC251" i="2"/>
  <c r="Z275" i="2"/>
  <c r="AC275" i="2"/>
  <c r="Z257" i="2"/>
  <c r="AC257" i="2"/>
  <c r="Z236" i="2"/>
  <c r="AC236" i="2"/>
  <c r="Z253" i="2"/>
  <c r="AC253" i="2"/>
  <c r="W32" i="2"/>
  <c r="AL32" i="2" s="1"/>
  <c r="W3" i="2"/>
  <c r="AL3" i="2" s="1"/>
  <c r="W62" i="2"/>
  <c r="AL62" i="2" s="1"/>
  <c r="W34" i="2"/>
  <c r="AL34" i="2" s="1"/>
  <c r="W4" i="2"/>
  <c r="AL4" i="2" s="1"/>
  <c r="W91" i="2"/>
  <c r="AL91" i="2" s="1"/>
  <c r="AF34" i="2" l="1"/>
  <c r="AI34" i="2"/>
  <c r="AF91" i="2"/>
  <c r="AI91" i="2"/>
  <c r="AI4" i="2"/>
  <c r="AF4" i="2"/>
  <c r="AI62" i="2"/>
  <c r="AF62" i="2"/>
  <c r="AF3" i="2"/>
  <c r="AI3" i="2"/>
  <c r="AI32" i="2"/>
  <c r="AF32" i="2"/>
  <c r="Z34" i="2"/>
  <c r="AC34" i="2"/>
  <c r="Z62" i="2"/>
  <c r="AC62" i="2"/>
  <c r="Z32" i="2"/>
  <c r="AC32" i="2"/>
  <c r="Z91" i="2"/>
  <c r="AC91" i="2"/>
  <c r="W63" i="2"/>
  <c r="AL63" i="2" s="1"/>
  <c r="W92" i="2"/>
  <c r="AL92" i="2" s="1"/>
  <c r="W35" i="2"/>
  <c r="AL35" i="2" s="1"/>
  <c r="W5" i="2"/>
  <c r="AL5" i="2" s="1"/>
  <c r="AI92" i="2" l="1"/>
  <c r="AF92" i="2"/>
  <c r="AI5" i="2"/>
  <c r="AF5" i="2"/>
  <c r="AI35" i="2"/>
  <c r="AF35" i="2"/>
  <c r="AI63" i="2"/>
  <c r="AF63" i="2"/>
  <c r="Z35" i="2"/>
  <c r="AC35" i="2"/>
  <c r="Z63" i="2"/>
  <c r="AC63" i="2"/>
  <c r="Z92" i="2"/>
  <c r="AC92" i="2"/>
  <c r="W64" i="2"/>
  <c r="AL64" i="2" s="1"/>
  <c r="W93" i="2"/>
  <c r="AL93" i="2" s="1"/>
  <c r="W6" i="2"/>
  <c r="AL6" i="2" s="1"/>
  <c r="W36" i="2"/>
  <c r="AL36" i="2" s="1"/>
  <c r="AI6" i="2" l="1"/>
  <c r="AF6" i="2"/>
  <c r="AI93" i="2"/>
  <c r="AF93" i="2"/>
  <c r="AF36" i="2"/>
  <c r="AI36" i="2"/>
  <c r="AF64" i="2"/>
  <c r="AI64" i="2"/>
  <c r="Z36" i="2"/>
  <c r="AC36" i="2"/>
  <c r="Z93" i="2"/>
  <c r="AC93" i="2"/>
  <c r="Z64" i="2"/>
  <c r="AC64" i="2"/>
  <c r="W65" i="2"/>
  <c r="AL65" i="2" s="1"/>
  <c r="W7" i="2"/>
  <c r="AL7" i="2" s="1"/>
  <c r="W94" i="2"/>
  <c r="AL94" i="2" s="1"/>
  <c r="AI94" i="2" l="1"/>
  <c r="AF94" i="2"/>
  <c r="AI7" i="2"/>
  <c r="AF7" i="2"/>
  <c r="AI65" i="2"/>
  <c r="AF65" i="2"/>
  <c r="Z94" i="2"/>
  <c r="AC94" i="2"/>
  <c r="Z65" i="2"/>
  <c r="AC65" i="2"/>
  <c r="W8" i="2"/>
  <c r="AL8" i="2" s="1"/>
  <c r="W37" i="2"/>
  <c r="AL37" i="2" s="1"/>
  <c r="AF37" i="2" l="1"/>
  <c r="AI37" i="2"/>
  <c r="AI8" i="2"/>
  <c r="AF8" i="2"/>
  <c r="Z37" i="2"/>
  <c r="AC37" i="2"/>
  <c r="W9" i="2"/>
  <c r="AL9" i="2" s="1"/>
  <c r="W38" i="2"/>
  <c r="AL38" i="2" s="1"/>
  <c r="W66" i="2"/>
  <c r="AL66" i="2" s="1"/>
  <c r="W95" i="2"/>
  <c r="AL95" i="2" s="1"/>
  <c r="AF38" i="2" l="1"/>
  <c r="AI38" i="2"/>
  <c r="AI95" i="2"/>
  <c r="AF95" i="2"/>
  <c r="AI66" i="2"/>
  <c r="AF66" i="2"/>
  <c r="AI9" i="2"/>
  <c r="AF9" i="2"/>
  <c r="Z95" i="2"/>
  <c r="AC95" i="2"/>
  <c r="Z66" i="2"/>
  <c r="AC66" i="2"/>
  <c r="Z38" i="2"/>
  <c r="AC38" i="2"/>
  <c r="W10" i="2"/>
  <c r="AL10" i="2" s="1"/>
  <c r="W39" i="2"/>
  <c r="AL39" i="2" s="1"/>
  <c r="W67" i="2"/>
  <c r="AL67" i="2" s="1"/>
  <c r="W96" i="2"/>
  <c r="AL96" i="2" s="1"/>
  <c r="AA206" i="2"/>
  <c r="AD206" i="2"/>
  <c r="AG206" i="2"/>
  <c r="AA207" i="2"/>
  <c r="AD207" i="2"/>
  <c r="AG207" i="2"/>
  <c r="AA208" i="2"/>
  <c r="AD208" i="2"/>
  <c r="AG208" i="2"/>
  <c r="AA209" i="2"/>
  <c r="AD209" i="2"/>
  <c r="AG209" i="2"/>
  <c r="AA210" i="2"/>
  <c r="AD210" i="2"/>
  <c r="AG210" i="2"/>
  <c r="AA211" i="2"/>
  <c r="AD211" i="2"/>
  <c r="AG211" i="2"/>
  <c r="AA177" i="2"/>
  <c r="AD177" i="2"/>
  <c r="AG177" i="2"/>
  <c r="AA178" i="2"/>
  <c r="AD178" i="2"/>
  <c r="AG178" i="2"/>
  <c r="AA179" i="2"/>
  <c r="AD179" i="2"/>
  <c r="AG179" i="2"/>
  <c r="AA180" i="2"/>
  <c r="AD180" i="2"/>
  <c r="AG180" i="2"/>
  <c r="AA181" i="2"/>
  <c r="AD181" i="2"/>
  <c r="AG181" i="2"/>
  <c r="AA182" i="2"/>
  <c r="AD182" i="2"/>
  <c r="AG182" i="2"/>
  <c r="AA148" i="2"/>
  <c r="AD148" i="2"/>
  <c r="AG148" i="2"/>
  <c r="AA149" i="2"/>
  <c r="AD149" i="2"/>
  <c r="AG149" i="2"/>
  <c r="AA150" i="2"/>
  <c r="AD150" i="2"/>
  <c r="AG150" i="2"/>
  <c r="AA151" i="2"/>
  <c r="AD151" i="2"/>
  <c r="AG151" i="2"/>
  <c r="AA152" i="2"/>
  <c r="AD152" i="2"/>
  <c r="AG152" i="2"/>
  <c r="AA153" i="2"/>
  <c r="AD153" i="2"/>
  <c r="AG153" i="2"/>
  <c r="AA119" i="2"/>
  <c r="AD119" i="2"/>
  <c r="AG119" i="2"/>
  <c r="AA120" i="2"/>
  <c r="AD120" i="2"/>
  <c r="AG120" i="2"/>
  <c r="AA121" i="2"/>
  <c r="AD121" i="2"/>
  <c r="AG121" i="2"/>
  <c r="AA122" i="2"/>
  <c r="AD122" i="2"/>
  <c r="AG122" i="2"/>
  <c r="AA123" i="2"/>
  <c r="AD123" i="2"/>
  <c r="AG123" i="2"/>
  <c r="AA124" i="2"/>
  <c r="AD124" i="2"/>
  <c r="AG124" i="2"/>
  <c r="AF96" i="2" l="1"/>
  <c r="AI96" i="2"/>
  <c r="AF67" i="2"/>
  <c r="AI67" i="2"/>
  <c r="AI39" i="2"/>
  <c r="AF39" i="2"/>
  <c r="AI10" i="2"/>
  <c r="AF10" i="2"/>
  <c r="Z96" i="2"/>
  <c r="AC96" i="2"/>
  <c r="Z67" i="2"/>
  <c r="AC67" i="2"/>
  <c r="Z39" i="2"/>
  <c r="AC39" i="2"/>
  <c r="W207" i="2"/>
  <c r="AL207" i="2" s="1"/>
  <c r="W206" i="2"/>
  <c r="AL206" i="2" s="1"/>
  <c r="W11" i="2"/>
  <c r="AL11" i="2" s="1"/>
  <c r="W40" i="2"/>
  <c r="AL40" i="2" s="1"/>
  <c r="W68" i="2"/>
  <c r="AL68" i="2" s="1"/>
  <c r="W97" i="2"/>
  <c r="AL97" i="2" s="1"/>
  <c r="AI40" i="2" l="1"/>
  <c r="AF40" i="2"/>
  <c r="AI206" i="2"/>
  <c r="AF206" i="2"/>
  <c r="AF97" i="2"/>
  <c r="AI97" i="2"/>
  <c r="AI68" i="2"/>
  <c r="AF68" i="2"/>
  <c r="AI11" i="2"/>
  <c r="AF11" i="2"/>
  <c r="AI207" i="2"/>
  <c r="AF207" i="2"/>
  <c r="Z40" i="2"/>
  <c r="AC40" i="2"/>
  <c r="Z206" i="2"/>
  <c r="AC206" i="2"/>
  <c r="Z97" i="2"/>
  <c r="AC97" i="2"/>
  <c r="Z68" i="2"/>
  <c r="AC68" i="2"/>
  <c r="Z207" i="2"/>
  <c r="AC207" i="2"/>
  <c r="W41" i="2"/>
  <c r="AL41" i="2" s="1"/>
  <c r="W69" i="2"/>
  <c r="AL69" i="2" s="1"/>
  <c r="W98" i="2"/>
  <c r="AL98" i="2" s="1"/>
  <c r="W208" i="2"/>
  <c r="AL208" i="2" s="1"/>
  <c r="J12" i="15"/>
  <c r="AD118" i="2"/>
  <c r="AD147" i="2"/>
  <c r="AD176" i="2"/>
  <c r="AD205"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G118" i="2"/>
  <c r="AG147" i="2"/>
  <c r="AG176" i="2"/>
  <c r="AG205"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A118" i="2"/>
  <c r="AA147" i="2"/>
  <c r="AA176" i="2"/>
  <c r="AA205"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I69" i="2" l="1"/>
  <c r="AF69" i="2"/>
  <c r="AI41" i="2"/>
  <c r="AF41" i="2"/>
  <c r="AI208" i="2"/>
  <c r="AF208" i="2"/>
  <c r="AI98" i="2"/>
  <c r="AF98" i="2"/>
  <c r="Z98" i="2"/>
  <c r="AC98" i="2"/>
  <c r="Z69" i="2"/>
  <c r="AC69" i="2"/>
  <c r="Z41" i="2"/>
  <c r="AC41" i="2"/>
  <c r="Z208" i="2"/>
  <c r="AC208" i="2"/>
  <c r="C12" i="15"/>
  <c r="V5" i="33" s="1"/>
  <c r="J19" i="15"/>
  <c r="C19" i="15" s="1"/>
  <c r="J2" i="15"/>
  <c r="C2" i="15" s="1"/>
  <c r="J4" i="33" s="1"/>
  <c r="J9" i="15"/>
  <c r="C9" i="15" s="1"/>
  <c r="W13" i="2"/>
  <c r="AL13" i="2" s="1"/>
  <c r="W42" i="2"/>
  <c r="AL42" i="2" s="1"/>
  <c r="W70" i="2"/>
  <c r="AL70" i="2" s="1"/>
  <c r="W99" i="2"/>
  <c r="AL99" i="2" s="1"/>
  <c r="W209" i="2"/>
  <c r="AL209" i="2" s="1"/>
  <c r="J25" i="39" l="1"/>
  <c r="U25" i="39" s="1"/>
  <c r="J28" i="39"/>
  <c r="U28" i="39" s="1"/>
  <c r="R5" i="33"/>
  <c r="N5" i="33"/>
  <c r="P5" i="33"/>
  <c r="T5" i="33"/>
  <c r="L5" i="33"/>
  <c r="AI99" i="2"/>
  <c r="AF99" i="2"/>
  <c r="AF13" i="2"/>
  <c r="AI13" i="2"/>
  <c r="AF70" i="2"/>
  <c r="AI70" i="2"/>
  <c r="AI42" i="2"/>
  <c r="AF42" i="2"/>
  <c r="AI209" i="2"/>
  <c r="AF209" i="2"/>
  <c r="Y9" i="15"/>
  <c r="AA9" i="15"/>
  <c r="Y2" i="15"/>
  <c r="AA2" i="15"/>
  <c r="Y19" i="15"/>
  <c r="AA19" i="15"/>
  <c r="Y12" i="15"/>
  <c r="AA12" i="15"/>
  <c r="Q2" i="15"/>
  <c r="U2" i="15"/>
  <c r="S2" i="15"/>
  <c r="W2" i="15"/>
  <c r="W19" i="15"/>
  <c r="Q19" i="15"/>
  <c r="S19" i="15"/>
  <c r="U19" i="15"/>
  <c r="U9" i="15"/>
  <c r="Q9" i="15"/>
  <c r="W9" i="15"/>
  <c r="S9" i="15"/>
  <c r="W12" i="15"/>
  <c r="Q12" i="15"/>
  <c r="U12" i="15"/>
  <c r="S12" i="15"/>
  <c r="V16" i="33"/>
  <c r="V15" i="33"/>
  <c r="J9" i="39"/>
  <c r="U9" i="39" s="1"/>
  <c r="J8" i="39"/>
  <c r="U8" i="39" s="1"/>
  <c r="Z209" i="2"/>
  <c r="AC209" i="2"/>
  <c r="Z42" i="2"/>
  <c r="AC42" i="2"/>
  <c r="Z99" i="2"/>
  <c r="AC99" i="2"/>
  <c r="Z70" i="2"/>
  <c r="AC70" i="2"/>
  <c r="V17" i="33"/>
  <c r="W14" i="2"/>
  <c r="AL14" i="2" s="1"/>
  <c r="W43" i="2"/>
  <c r="AL43" i="2" s="1"/>
  <c r="W71" i="2"/>
  <c r="AL71" i="2" s="1"/>
  <c r="W100" i="2"/>
  <c r="AL100" i="2" s="1"/>
  <c r="W210" i="2"/>
  <c r="AL210" i="2" s="1"/>
  <c r="W281" i="2"/>
  <c r="AL281" i="2" s="1"/>
  <c r="W282" i="2"/>
  <c r="AL282" i="2" s="1"/>
  <c r="W283" i="2"/>
  <c r="AL283" i="2" s="1"/>
  <c r="W284" i="2"/>
  <c r="AL284" i="2" s="1"/>
  <c r="W285" i="2"/>
  <c r="AL285" i="2" s="1"/>
  <c r="W286" i="2"/>
  <c r="AL286" i="2" s="1"/>
  <c r="W287" i="2"/>
  <c r="AL287" i="2" s="1"/>
  <c r="W288" i="2"/>
  <c r="AL288" i="2" s="1"/>
  <c r="W289" i="2"/>
  <c r="AL289" i="2" s="1"/>
  <c r="W290" i="2"/>
  <c r="AL290" i="2" s="1"/>
  <c r="W291" i="2"/>
  <c r="AL291" i="2" s="1"/>
  <c r="W292" i="2"/>
  <c r="AL292" i="2" s="1"/>
  <c r="W293" i="2"/>
  <c r="AL293" i="2" s="1"/>
  <c r="W294" i="2"/>
  <c r="AL294" i="2" s="1"/>
  <c r="W295" i="2"/>
  <c r="AL295" i="2" s="1"/>
  <c r="W296" i="2"/>
  <c r="AL296" i="2" s="1"/>
  <c r="W297" i="2"/>
  <c r="AL297" i="2" s="1"/>
  <c r="W298" i="2"/>
  <c r="AL298" i="2" s="1"/>
  <c r="W299" i="2"/>
  <c r="AL299" i="2" s="1"/>
  <c r="W300" i="2"/>
  <c r="AL300" i="2" s="1"/>
  <c r="W301" i="2"/>
  <c r="AL301" i="2" s="1"/>
  <c r="W302" i="2"/>
  <c r="AL302" i="2" s="1"/>
  <c r="W303" i="2"/>
  <c r="AL303" i="2" s="1"/>
  <c r="W304" i="2"/>
  <c r="AL304" i="2" s="1"/>
  <c r="W305" i="2"/>
  <c r="AL305" i="2" s="1"/>
  <c r="W306" i="2"/>
  <c r="AL306" i="2" s="1"/>
  <c r="W307" i="2"/>
  <c r="AL307" i="2" s="1"/>
  <c r="W308" i="2"/>
  <c r="AL308" i="2" s="1"/>
  <c r="W309" i="2"/>
  <c r="AL309" i="2" s="1"/>
  <c r="W310" i="2"/>
  <c r="AL310" i="2" s="1"/>
  <c r="W311" i="2"/>
  <c r="AL311" i="2" s="1"/>
  <c r="W312" i="2"/>
  <c r="AL312" i="2" s="1"/>
  <c r="W313" i="2"/>
  <c r="AL313" i="2" s="1"/>
  <c r="W314" i="2"/>
  <c r="AL314" i="2" s="1"/>
  <c r="W315" i="2"/>
  <c r="AL315" i="2" s="1"/>
  <c r="W316" i="2"/>
  <c r="AL316" i="2" s="1"/>
  <c r="W317" i="2"/>
  <c r="AL317" i="2" s="1"/>
  <c r="W318" i="2"/>
  <c r="AL318" i="2" s="1"/>
  <c r="W319" i="2"/>
  <c r="AL319" i="2" s="1"/>
  <c r="W320" i="2"/>
  <c r="AL320" i="2" s="1"/>
  <c r="W321" i="2"/>
  <c r="AL321" i="2" s="1"/>
  <c r="W322" i="2"/>
  <c r="AL322" i="2" s="1"/>
  <c r="W323" i="2"/>
  <c r="AL323" i="2" s="1"/>
  <c r="W324" i="2"/>
  <c r="AL324" i="2" s="1"/>
  <c r="W325" i="2"/>
  <c r="AL325" i="2" s="1"/>
  <c r="W326" i="2"/>
  <c r="AL326" i="2" s="1"/>
  <c r="W327" i="2"/>
  <c r="AL327" i="2" s="1"/>
  <c r="W328" i="2"/>
  <c r="AL328" i="2" s="1"/>
  <c r="W329" i="2"/>
  <c r="AL329" i="2" s="1"/>
  <c r="W330" i="2"/>
  <c r="AL330" i="2" s="1"/>
  <c r="W331" i="2"/>
  <c r="AL331" i="2" s="1"/>
  <c r="W332" i="2"/>
  <c r="AL332" i="2" s="1"/>
  <c r="W333" i="2"/>
  <c r="AL333" i="2" s="1"/>
  <c r="W334" i="2"/>
  <c r="AL334" i="2" s="1"/>
  <c r="W335" i="2"/>
  <c r="AL335" i="2" s="1"/>
  <c r="W336" i="2"/>
  <c r="AL336" i="2" s="1"/>
  <c r="W337" i="2"/>
  <c r="AL337" i="2" s="1"/>
  <c r="W338" i="2"/>
  <c r="AL338" i="2" s="1"/>
  <c r="W339" i="2"/>
  <c r="AL339" i="2" s="1"/>
  <c r="W340" i="2"/>
  <c r="AL340" i="2" s="1"/>
  <c r="W341" i="2"/>
  <c r="AL341" i="2" s="1"/>
  <c r="W342" i="2"/>
  <c r="AL342" i="2" s="1"/>
  <c r="W343" i="2"/>
  <c r="AL343" i="2" s="1"/>
  <c r="W344" i="2"/>
  <c r="AL344" i="2" s="1"/>
  <c r="W345" i="2"/>
  <c r="AL345" i="2" s="1"/>
  <c r="A347" i="2"/>
  <c r="A348" i="2"/>
  <c r="A349" i="2"/>
  <c r="S28" i="39" l="1"/>
  <c r="K28" i="39"/>
  <c r="O28" i="39"/>
  <c r="M28" i="39"/>
  <c r="Q28" i="39"/>
  <c r="O25" i="39"/>
  <c r="M25" i="39"/>
  <c r="Q25" i="39"/>
  <c r="K25" i="39"/>
  <c r="S25" i="39"/>
  <c r="AF323" i="2"/>
  <c r="AI323" i="2"/>
  <c r="AI296" i="2"/>
  <c r="AF296" i="2"/>
  <c r="AI335" i="2"/>
  <c r="AF335" i="2"/>
  <c r="AI334" i="2"/>
  <c r="AF334" i="2"/>
  <c r="AI297" i="2"/>
  <c r="AF297" i="2"/>
  <c r="AF295" i="2"/>
  <c r="AI295" i="2"/>
  <c r="AI283" i="2"/>
  <c r="AF283" i="2"/>
  <c r="AI299" i="2"/>
  <c r="AF299" i="2"/>
  <c r="AI345" i="2"/>
  <c r="AF345" i="2"/>
  <c r="AI330" i="2"/>
  <c r="AF330" i="2"/>
  <c r="AI311" i="2"/>
  <c r="AF311" i="2"/>
  <c r="AF322" i="2"/>
  <c r="AI322" i="2"/>
  <c r="AI333" i="2"/>
  <c r="AF333" i="2"/>
  <c r="AI332" i="2"/>
  <c r="AF332" i="2"/>
  <c r="AF343" i="2"/>
  <c r="AI343" i="2"/>
  <c r="AI294" i="2"/>
  <c r="AF294" i="2"/>
  <c r="AI341" i="2"/>
  <c r="AF341" i="2"/>
  <c r="AI293" i="2"/>
  <c r="AF293" i="2"/>
  <c r="AF340" i="2"/>
  <c r="AI340" i="2"/>
  <c r="AI328" i="2"/>
  <c r="AF328" i="2"/>
  <c r="AI316" i="2"/>
  <c r="AF316" i="2"/>
  <c r="AI304" i="2"/>
  <c r="AF304" i="2"/>
  <c r="AI292" i="2"/>
  <c r="AF292" i="2"/>
  <c r="AI210" i="2"/>
  <c r="AF210" i="2"/>
  <c r="AI287" i="2"/>
  <c r="AF287" i="2"/>
  <c r="AI298" i="2"/>
  <c r="AF298" i="2"/>
  <c r="AI309" i="2"/>
  <c r="AF309" i="2"/>
  <c r="AI308" i="2"/>
  <c r="AF308" i="2"/>
  <c r="AI282" i="2"/>
  <c r="AF282" i="2"/>
  <c r="AI305" i="2"/>
  <c r="AF305" i="2"/>
  <c r="AI281" i="2"/>
  <c r="AF281" i="2"/>
  <c r="AI339" i="2"/>
  <c r="AF339" i="2"/>
  <c r="AI327" i="2"/>
  <c r="AF327" i="2"/>
  <c r="AI315" i="2"/>
  <c r="AF315" i="2"/>
  <c r="AF303" i="2"/>
  <c r="AI303" i="2"/>
  <c r="AF291" i="2"/>
  <c r="AI291" i="2"/>
  <c r="AI100" i="2"/>
  <c r="AF100" i="2"/>
  <c r="AF286" i="2"/>
  <c r="AI286" i="2"/>
  <c r="AI284" i="2"/>
  <c r="AF284" i="2"/>
  <c r="AF307" i="2"/>
  <c r="AI307" i="2"/>
  <c r="AI318" i="2"/>
  <c r="AF318" i="2"/>
  <c r="AF338" i="2"/>
  <c r="AI338" i="2"/>
  <c r="AI302" i="2"/>
  <c r="AF302" i="2"/>
  <c r="AI71" i="2"/>
  <c r="AF71" i="2"/>
  <c r="AI310" i="2"/>
  <c r="AF310" i="2"/>
  <c r="AI321" i="2"/>
  <c r="AF321" i="2"/>
  <c r="AI320" i="2"/>
  <c r="AF320" i="2"/>
  <c r="AF331" i="2"/>
  <c r="AI331" i="2"/>
  <c r="AF306" i="2"/>
  <c r="AI306" i="2"/>
  <c r="AF329" i="2"/>
  <c r="AI329" i="2"/>
  <c r="AF326" i="2"/>
  <c r="AI326" i="2"/>
  <c r="AF325" i="2"/>
  <c r="AI325" i="2"/>
  <c r="AF313" i="2"/>
  <c r="AI313" i="2"/>
  <c r="AF301" i="2"/>
  <c r="AI301" i="2"/>
  <c r="AF289" i="2"/>
  <c r="AI289" i="2"/>
  <c r="AI43" i="2"/>
  <c r="AF43" i="2"/>
  <c r="AI285" i="2"/>
  <c r="AF285" i="2"/>
  <c r="AF344" i="2"/>
  <c r="AI344" i="2"/>
  <c r="AF319" i="2"/>
  <c r="AI319" i="2"/>
  <c r="AI342" i="2"/>
  <c r="AF342" i="2"/>
  <c r="AI317" i="2"/>
  <c r="AF317" i="2"/>
  <c r="AI314" i="2"/>
  <c r="AF314" i="2"/>
  <c r="AI290" i="2"/>
  <c r="AF290" i="2"/>
  <c r="AI337" i="2"/>
  <c r="AF337" i="2"/>
  <c r="AI336" i="2"/>
  <c r="AF336" i="2"/>
  <c r="AI324" i="2"/>
  <c r="AF324" i="2"/>
  <c r="AI312" i="2"/>
  <c r="AF312" i="2"/>
  <c r="AI300" i="2"/>
  <c r="AF300" i="2"/>
  <c r="AF288" i="2"/>
  <c r="AI288" i="2"/>
  <c r="AI14" i="2"/>
  <c r="AF14" i="2"/>
  <c r="T16" i="33"/>
  <c r="L16" i="33"/>
  <c r="T17" i="33"/>
  <c r="L17" i="33"/>
  <c r="T15" i="33"/>
  <c r="L15" i="33"/>
  <c r="N15" i="33"/>
  <c r="P15" i="33"/>
  <c r="R15" i="33"/>
  <c r="R16" i="33"/>
  <c r="N16" i="33"/>
  <c r="P16" i="33"/>
  <c r="K9" i="39"/>
  <c r="Q9" i="39"/>
  <c r="O9" i="39"/>
  <c r="M9" i="39"/>
  <c r="S9" i="39"/>
  <c r="S8" i="39"/>
  <c r="Q8" i="39"/>
  <c r="O8" i="39"/>
  <c r="M8" i="39"/>
  <c r="K8" i="39"/>
  <c r="R17" i="33"/>
  <c r="N17" i="33"/>
  <c r="P17" i="33"/>
  <c r="Z324" i="2"/>
  <c r="AC324" i="2"/>
  <c r="AC334" i="2"/>
  <c r="Z334" i="2"/>
  <c r="AC309" i="2"/>
  <c r="Z309" i="2"/>
  <c r="AC331" i="2"/>
  <c r="Z331" i="2"/>
  <c r="Z336" i="2"/>
  <c r="AC336" i="2"/>
  <c r="Z335" i="2"/>
  <c r="AC335" i="2"/>
  <c r="Z308" i="2"/>
  <c r="AC308" i="2"/>
  <c r="Z319" i="2"/>
  <c r="AC319" i="2"/>
  <c r="AC342" i="2"/>
  <c r="Z342" i="2"/>
  <c r="Z318" i="2"/>
  <c r="AC318" i="2"/>
  <c r="AC306" i="2"/>
  <c r="Z306" i="2"/>
  <c r="Z341" i="2"/>
  <c r="AC341" i="2"/>
  <c r="AC329" i="2"/>
  <c r="Z329" i="2"/>
  <c r="AC317" i="2"/>
  <c r="Z317" i="2"/>
  <c r="AC305" i="2"/>
  <c r="Z305" i="2"/>
  <c r="AC340" i="2"/>
  <c r="Z340" i="2"/>
  <c r="AC328" i="2"/>
  <c r="Z328" i="2"/>
  <c r="Z316" i="2"/>
  <c r="AC316" i="2"/>
  <c r="AC304" i="2"/>
  <c r="Z304" i="2"/>
  <c r="AC312" i="2"/>
  <c r="Z312" i="2"/>
  <c r="Z323" i="2"/>
  <c r="AC323" i="2"/>
  <c r="Z322" i="2"/>
  <c r="AC322" i="2"/>
  <c r="AC321" i="2"/>
  <c r="Z321" i="2"/>
  <c r="AC320" i="2"/>
  <c r="Z320" i="2"/>
  <c r="AC343" i="2"/>
  <c r="Z343" i="2"/>
  <c r="Z311" i="2"/>
  <c r="AC311" i="2"/>
  <c r="AC310" i="2"/>
  <c r="Z310" i="2"/>
  <c r="AC345" i="2"/>
  <c r="Z345" i="2"/>
  <c r="AC344" i="2"/>
  <c r="Z344" i="2"/>
  <c r="Z330" i="2"/>
  <c r="AC330" i="2"/>
  <c r="Z339" i="2"/>
  <c r="AC339" i="2"/>
  <c r="Z315" i="2"/>
  <c r="AC315" i="2"/>
  <c r="AC338" i="2"/>
  <c r="Z338" i="2"/>
  <c r="AC326" i="2"/>
  <c r="Z326" i="2"/>
  <c r="Z314" i="2"/>
  <c r="AC314" i="2"/>
  <c r="Z333" i="2"/>
  <c r="AC333" i="2"/>
  <c r="AC332" i="2"/>
  <c r="Z332" i="2"/>
  <c r="Z307" i="2"/>
  <c r="AC307" i="2"/>
  <c r="AC327" i="2"/>
  <c r="Z327" i="2"/>
  <c r="AC337" i="2"/>
  <c r="Z337" i="2"/>
  <c r="AC325" i="2"/>
  <c r="Z325" i="2"/>
  <c r="AC313" i="2"/>
  <c r="Z313" i="2"/>
  <c r="Z13" i="2"/>
  <c r="Z3" i="2"/>
  <c r="Z6" i="2"/>
  <c r="Z8" i="2"/>
  <c r="Z9" i="2"/>
  <c r="Z10" i="2"/>
  <c r="Z11" i="2"/>
  <c r="Z12" i="2"/>
  <c r="Z4" i="2"/>
  <c r="Z5" i="2"/>
  <c r="Z7" i="2"/>
  <c r="Z14" i="2"/>
  <c r="AC14" i="2"/>
  <c r="AC4" i="2"/>
  <c r="AC7" i="2"/>
  <c r="AC9" i="2"/>
  <c r="AC10" i="2"/>
  <c r="AC11" i="2"/>
  <c r="AC12" i="2"/>
  <c r="AC13" i="2"/>
  <c r="AC8" i="2"/>
  <c r="AC3" i="2"/>
  <c r="AC5" i="2"/>
  <c r="AC6" i="2"/>
  <c r="Z298" i="2"/>
  <c r="AC298" i="2"/>
  <c r="Z286" i="2"/>
  <c r="AC286" i="2"/>
  <c r="Z284" i="2"/>
  <c r="AC284" i="2"/>
  <c r="Z295" i="2"/>
  <c r="AC295" i="2"/>
  <c r="Z282" i="2"/>
  <c r="AC282" i="2"/>
  <c r="Z281" i="2"/>
  <c r="AC281" i="2"/>
  <c r="Z292" i="2"/>
  <c r="AC292" i="2"/>
  <c r="Z210" i="2"/>
  <c r="AC210" i="2"/>
  <c r="Z297" i="2"/>
  <c r="AC297" i="2"/>
  <c r="Z285" i="2"/>
  <c r="AC285" i="2"/>
  <c r="Z100" i="2"/>
  <c r="AC100" i="2"/>
  <c r="Z302" i="2"/>
  <c r="AC302" i="2"/>
  <c r="Z290" i="2"/>
  <c r="AC290" i="2"/>
  <c r="Z71" i="2"/>
  <c r="AC71" i="2"/>
  <c r="Z294" i="2"/>
  <c r="AC294" i="2"/>
  <c r="Z291" i="2"/>
  <c r="AC291" i="2"/>
  <c r="Z301" i="2"/>
  <c r="AC301" i="2"/>
  <c r="Z289" i="2"/>
  <c r="AC289" i="2"/>
  <c r="Z43" i="2"/>
  <c r="AC43" i="2"/>
  <c r="Z296" i="2"/>
  <c r="AC296" i="2"/>
  <c r="Z303" i="2"/>
  <c r="AC303" i="2"/>
  <c r="Z300" i="2"/>
  <c r="AC300" i="2"/>
  <c r="Z288" i="2"/>
  <c r="AC288" i="2"/>
  <c r="Z283" i="2"/>
  <c r="AC283" i="2"/>
  <c r="Z293" i="2"/>
  <c r="AC293" i="2"/>
  <c r="Z299" i="2"/>
  <c r="AC299" i="2"/>
  <c r="Z287" i="2"/>
  <c r="AC287" i="2"/>
  <c r="V9" i="33"/>
  <c r="V21" i="33"/>
  <c r="V22" i="33"/>
  <c r="V18" i="33"/>
  <c r="V14" i="33"/>
  <c r="W15" i="2"/>
  <c r="AL15" i="2" s="1"/>
  <c r="W44" i="2"/>
  <c r="AL44" i="2" s="1"/>
  <c r="W72" i="2"/>
  <c r="AL72" i="2" s="1"/>
  <c r="W101" i="2"/>
  <c r="AL101" i="2" s="1"/>
  <c r="W211" i="2"/>
  <c r="AL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I211" i="2" l="1"/>
  <c r="AF211" i="2"/>
  <c r="AI72" i="2"/>
  <c r="AF72" i="2"/>
  <c r="AI44" i="2"/>
  <c r="AF44" i="2"/>
  <c r="AI101" i="2"/>
  <c r="AF101" i="2"/>
  <c r="AI15" i="2"/>
  <c r="AF15" i="2"/>
  <c r="L9" i="33"/>
  <c r="T9" i="33"/>
  <c r="T14" i="33"/>
  <c r="L14" i="33"/>
  <c r="L18" i="33"/>
  <c r="T18" i="33"/>
  <c r="L21" i="33"/>
  <c r="T21" i="33"/>
  <c r="L22" i="33"/>
  <c r="T22" i="33"/>
  <c r="R14" i="33"/>
  <c r="N14" i="33"/>
  <c r="P14" i="33"/>
  <c r="P22" i="33"/>
  <c r="R22" i="33"/>
  <c r="N22" i="33"/>
  <c r="P9" i="33"/>
  <c r="R9" i="33"/>
  <c r="N9" i="33"/>
  <c r="P18" i="33"/>
  <c r="R18" i="33"/>
  <c r="N18" i="33"/>
  <c r="P21" i="33"/>
  <c r="R21" i="33"/>
  <c r="N21" i="33"/>
  <c r="Z15" i="2"/>
  <c r="AC15" i="2"/>
  <c r="Z44" i="2"/>
  <c r="AC44" i="2"/>
  <c r="Z211" i="2"/>
  <c r="AC211" i="2"/>
  <c r="Z72" i="2"/>
  <c r="AC72" i="2"/>
  <c r="Z101" i="2"/>
  <c r="AC101" i="2"/>
  <c r="W16" i="2"/>
  <c r="AL16" i="2" s="1"/>
  <c r="W45" i="2"/>
  <c r="AL45" i="2" s="1"/>
  <c r="W73" i="2"/>
  <c r="AL73" i="2" s="1"/>
  <c r="W102" i="2"/>
  <c r="AL102" i="2" s="1"/>
  <c r="W212" i="2"/>
  <c r="AL212" i="2" s="1"/>
  <c r="J25" i="15"/>
  <c r="C25" i="15" s="1"/>
  <c r="AI45" i="2" l="1"/>
  <c r="AF45" i="2"/>
  <c r="AF73" i="2"/>
  <c r="AI73" i="2"/>
  <c r="AI212" i="2"/>
  <c r="AF212" i="2"/>
  <c r="AI16" i="2"/>
  <c r="AF16" i="2"/>
  <c r="AI102" i="2"/>
  <c r="AF102" i="2"/>
  <c r="Y25" i="15"/>
  <c r="AA25" i="15"/>
  <c r="W25" i="15"/>
  <c r="U25" i="15"/>
  <c r="Q25" i="15"/>
  <c r="S25" i="15"/>
  <c r="J4" i="39"/>
  <c r="U4" i="39" s="1"/>
  <c r="J2" i="39"/>
  <c r="U2" i="39" s="1"/>
  <c r="V4" i="33"/>
  <c r="V8" i="33"/>
  <c r="Z73" i="2"/>
  <c r="AC73" i="2"/>
  <c r="Z45" i="2"/>
  <c r="AC45" i="2"/>
  <c r="Z212" i="2"/>
  <c r="AC212" i="2"/>
  <c r="Z102" i="2"/>
  <c r="AC102" i="2"/>
  <c r="Z16" i="2"/>
  <c r="AC16" i="2"/>
  <c r="W17" i="2"/>
  <c r="AL17" i="2" s="1"/>
  <c r="W46" i="2"/>
  <c r="AL46" i="2" s="1"/>
  <c r="W74" i="2"/>
  <c r="AL74" i="2" s="1"/>
  <c r="W103" i="2"/>
  <c r="AL103" i="2" s="1"/>
  <c r="W213" i="2"/>
  <c r="AL213" i="2" s="1"/>
  <c r="K2" i="39" l="1"/>
  <c r="AI74" i="2"/>
  <c r="AF74" i="2"/>
  <c r="AI46" i="2"/>
  <c r="AF46" i="2"/>
  <c r="AF103" i="2"/>
  <c r="AI103" i="2"/>
  <c r="AI17" i="2"/>
  <c r="AF17" i="2"/>
  <c r="AI213" i="2"/>
  <c r="AF213" i="2"/>
  <c r="L8" i="33"/>
  <c r="T8" i="33"/>
  <c r="T4" i="33"/>
  <c r="L4" i="33"/>
  <c r="Q2" i="39"/>
  <c r="O2" i="39"/>
  <c r="M2" i="39"/>
  <c r="S2" i="39"/>
  <c r="R8" i="33"/>
  <c r="N8" i="33"/>
  <c r="P8" i="33"/>
  <c r="R4" i="33"/>
  <c r="N4" i="33"/>
  <c r="P4" i="33"/>
  <c r="Q4" i="39"/>
  <c r="O4" i="39"/>
  <c r="M4" i="39"/>
  <c r="S4" i="39"/>
  <c r="K4" i="39"/>
  <c r="Z46" i="2"/>
  <c r="AC46" i="2"/>
  <c r="Z213" i="2"/>
  <c r="AC213" i="2"/>
  <c r="Z103" i="2"/>
  <c r="AC103" i="2"/>
  <c r="Z74" i="2"/>
  <c r="AC74" i="2"/>
  <c r="Z17" i="2"/>
  <c r="AC17" i="2"/>
  <c r="W18" i="2"/>
  <c r="AL18" i="2" s="1"/>
  <c r="W47" i="2"/>
  <c r="AL47" i="2" s="1"/>
  <c r="W75" i="2"/>
  <c r="AL75" i="2" s="1"/>
  <c r="W104" i="2"/>
  <c r="AL104" i="2" s="1"/>
  <c r="W214" i="2"/>
  <c r="AL214" i="2" s="1"/>
  <c r="AI75" i="2" l="1"/>
  <c r="AF75" i="2"/>
  <c r="AI104" i="2"/>
  <c r="AF104" i="2"/>
  <c r="AF18" i="2"/>
  <c r="AI18" i="2"/>
  <c r="AF214" i="2"/>
  <c r="AI214" i="2"/>
  <c r="AI47" i="2"/>
  <c r="AF47" i="2"/>
  <c r="Z75" i="2"/>
  <c r="AC75" i="2"/>
  <c r="Z214" i="2"/>
  <c r="AC214" i="2"/>
  <c r="Z18" i="2"/>
  <c r="AC18" i="2"/>
  <c r="Z47" i="2"/>
  <c r="AC47" i="2"/>
  <c r="Z104" i="2"/>
  <c r="AC104" i="2"/>
  <c r="W19" i="2"/>
  <c r="AL19" i="2" s="1"/>
  <c r="W48" i="2"/>
  <c r="AL48" i="2" s="1"/>
  <c r="W76" i="2"/>
  <c r="AL76" i="2" s="1"/>
  <c r="W105" i="2"/>
  <c r="AL105" i="2" s="1"/>
  <c r="W215" i="2"/>
  <c r="AL215" i="2" s="1"/>
  <c r="AI76" i="2" l="1"/>
  <c r="AF76" i="2"/>
  <c r="AI19" i="2"/>
  <c r="AF19" i="2"/>
  <c r="AF105" i="2"/>
  <c r="AI105" i="2"/>
  <c r="AF48" i="2"/>
  <c r="AI48" i="2"/>
  <c r="AI215" i="2"/>
  <c r="AF215" i="2"/>
  <c r="Z105" i="2"/>
  <c r="AC105" i="2"/>
  <c r="Z215" i="2"/>
  <c r="AC215" i="2"/>
  <c r="Z76" i="2"/>
  <c r="AC76" i="2"/>
  <c r="Z19" i="2"/>
  <c r="AC19" i="2"/>
  <c r="Z48" i="2"/>
  <c r="AC48" i="2"/>
  <c r="W20" i="2"/>
  <c r="AL20" i="2" s="1"/>
  <c r="W49" i="2"/>
  <c r="AL49" i="2" s="1"/>
  <c r="W77" i="2"/>
  <c r="AL77" i="2" s="1"/>
  <c r="W106" i="2"/>
  <c r="AL106" i="2" s="1"/>
  <c r="W216" i="2"/>
  <c r="AL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I49" i="2" l="1"/>
  <c r="AF49" i="2"/>
  <c r="AI20" i="2"/>
  <c r="AF20" i="2"/>
  <c r="AI106" i="2"/>
  <c r="AF106" i="2"/>
  <c r="AI77" i="2"/>
  <c r="AF77" i="2"/>
  <c r="AI216" i="2"/>
  <c r="AF216" i="2"/>
  <c r="Z216" i="2"/>
  <c r="AC216" i="2"/>
  <c r="Z106" i="2"/>
  <c r="AC106" i="2"/>
  <c r="Z77" i="2"/>
  <c r="AC77" i="2"/>
  <c r="Z49" i="2"/>
  <c r="AC49" i="2"/>
  <c r="Z20" i="2"/>
  <c r="AC20" i="2"/>
  <c r="V140" i="33"/>
  <c r="V143" i="33"/>
  <c r="V146" i="33"/>
  <c r="W21" i="2"/>
  <c r="AL21" i="2" s="1"/>
  <c r="W50" i="2"/>
  <c r="AL50" i="2" s="1"/>
  <c r="W78" i="2"/>
  <c r="AL78" i="2" s="1"/>
  <c r="W107" i="2"/>
  <c r="AL107" i="2" s="1"/>
  <c r="W217" i="2"/>
  <c r="AL217" i="2" s="1"/>
  <c r="C2" i="21"/>
  <c r="J2" i="21" s="1"/>
  <c r="D4" i="21"/>
  <c r="C4" i="21" s="1"/>
  <c r="J4" i="21" s="1"/>
  <c r="D5" i="21"/>
  <c r="C5" i="21" s="1"/>
  <c r="J5" i="21" s="1"/>
  <c r="D3" i="21"/>
  <c r="C3" i="21" s="1"/>
  <c r="J3" i="21" s="1"/>
  <c r="AI107" i="2" l="1"/>
  <c r="AF107" i="2"/>
  <c r="AI21" i="2"/>
  <c r="AF21" i="2"/>
  <c r="AF217" i="2"/>
  <c r="AI217" i="2"/>
  <c r="AI78" i="2"/>
  <c r="AF78" i="2"/>
  <c r="AF50" i="2"/>
  <c r="AI50" i="2"/>
  <c r="T146" i="33"/>
  <c r="L146" i="33"/>
  <c r="L143" i="33"/>
  <c r="T143" i="33"/>
  <c r="L140" i="33"/>
  <c r="T140" i="33"/>
  <c r="N140" i="33"/>
  <c r="R140" i="33"/>
  <c r="P140" i="33"/>
  <c r="N143" i="33"/>
  <c r="P143" i="33"/>
  <c r="R143" i="33"/>
  <c r="R146" i="33"/>
  <c r="N146" i="33"/>
  <c r="P146" i="33"/>
  <c r="Z50" i="2"/>
  <c r="AC50" i="2"/>
  <c r="Z21" i="2"/>
  <c r="AC21" i="2"/>
  <c r="Z217" i="2"/>
  <c r="AC217" i="2"/>
  <c r="Z107" i="2"/>
  <c r="AC107" i="2"/>
  <c r="Z78" i="2"/>
  <c r="AC78" i="2"/>
  <c r="W22" i="2"/>
  <c r="AL22" i="2" s="1"/>
  <c r="W51" i="2"/>
  <c r="AL51" i="2" s="1"/>
  <c r="W79" i="2"/>
  <c r="AL79" i="2" s="1"/>
  <c r="W108" i="2"/>
  <c r="AL108" i="2" s="1"/>
  <c r="W218" i="2"/>
  <c r="AL218" i="2" s="1"/>
  <c r="J26" i="15"/>
  <c r="C26" i="15" s="1"/>
  <c r="AF108" i="2" l="1"/>
  <c r="AI108" i="2"/>
  <c r="AI22" i="2"/>
  <c r="AF22" i="2"/>
  <c r="AI218" i="2"/>
  <c r="AF218" i="2"/>
  <c r="AI79" i="2"/>
  <c r="AF79" i="2"/>
  <c r="AI51" i="2"/>
  <c r="AF51" i="2"/>
  <c r="Y26" i="15"/>
  <c r="AA26" i="15"/>
  <c r="U26" i="15"/>
  <c r="W26" i="15"/>
  <c r="S26" i="15"/>
  <c r="Q26" i="15"/>
  <c r="J5" i="39"/>
  <c r="U5" i="39" s="1"/>
  <c r="J3" i="39"/>
  <c r="U3" i="39" s="1"/>
  <c r="V6" i="33"/>
  <c r="V10" i="33"/>
  <c r="Z218" i="2"/>
  <c r="AC218" i="2"/>
  <c r="Z22" i="2"/>
  <c r="AC22" i="2"/>
  <c r="Z108" i="2"/>
  <c r="AC108" i="2"/>
  <c r="Z79" i="2"/>
  <c r="AC79" i="2"/>
  <c r="Z51" i="2"/>
  <c r="AC51" i="2"/>
  <c r="W23" i="2"/>
  <c r="AL23" i="2" s="1"/>
  <c r="W52" i="2"/>
  <c r="AL52" i="2" s="1"/>
  <c r="W80" i="2"/>
  <c r="AL80" i="2" s="1"/>
  <c r="W109" i="2"/>
  <c r="AL109" i="2" s="1"/>
  <c r="W219" i="2"/>
  <c r="AL219" i="2" s="1"/>
  <c r="AF109" i="2" l="1"/>
  <c r="AI109" i="2"/>
  <c r="AF52" i="2"/>
  <c r="AI52" i="2"/>
  <c r="AF219" i="2"/>
  <c r="AI219" i="2"/>
  <c r="AI80" i="2"/>
  <c r="AF80" i="2"/>
  <c r="AI23" i="2"/>
  <c r="AF23" i="2"/>
  <c r="L6" i="33"/>
  <c r="T6" i="33"/>
  <c r="L10" i="33"/>
  <c r="T10" i="33"/>
  <c r="P10" i="33"/>
  <c r="R10" i="33"/>
  <c r="N10" i="33"/>
  <c r="P6" i="33"/>
  <c r="R6" i="33"/>
  <c r="N6" i="33"/>
  <c r="Q3" i="39"/>
  <c r="M3" i="39"/>
  <c r="K3" i="39"/>
  <c r="S3" i="39"/>
  <c r="O3" i="39"/>
  <c r="O5" i="39"/>
  <c r="M5" i="39"/>
  <c r="Q5" i="39"/>
  <c r="K5" i="39"/>
  <c r="S5" i="39"/>
  <c r="Z109" i="2"/>
  <c r="AC109" i="2"/>
  <c r="Z219" i="2"/>
  <c r="AC219" i="2"/>
  <c r="Z80" i="2"/>
  <c r="AC80" i="2"/>
  <c r="Z52" i="2"/>
  <c r="AC52" i="2"/>
  <c r="Z23" i="2"/>
  <c r="AC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97" i="39"/>
  <c r="U97"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98" i="39"/>
  <c r="U98" i="39" s="1"/>
  <c r="J29" i="39"/>
  <c r="U29" i="39" s="1"/>
  <c r="J32" i="39"/>
  <c r="U32" i="39" s="1"/>
  <c r="J7" i="39"/>
  <c r="U7" i="39" s="1"/>
  <c r="J36" i="39"/>
  <c r="U36" i="39" s="1"/>
  <c r="J18" i="39"/>
  <c r="U18" i="39" s="1"/>
  <c r="J10" i="39"/>
  <c r="U10" i="39" s="1"/>
  <c r="J14" i="39"/>
  <c r="U14" i="39" s="1"/>
  <c r="J46" i="39"/>
  <c r="U46" i="39" s="1"/>
  <c r="J19" i="39"/>
  <c r="U19" i="39" s="1"/>
  <c r="J96" i="39"/>
  <c r="U96"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W24" i="2"/>
  <c r="AL24" i="2" s="1"/>
  <c r="W53" i="2"/>
  <c r="AL53" i="2" s="1"/>
  <c r="W81" i="2"/>
  <c r="AL81" i="2" s="1"/>
  <c r="W110" i="2"/>
  <c r="AL110" i="2" s="1"/>
  <c r="W220" i="2"/>
  <c r="AL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I220" i="2" l="1"/>
  <c r="AF220" i="2"/>
  <c r="AF110" i="2"/>
  <c r="AI110" i="2"/>
  <c r="AI81" i="2"/>
  <c r="AF81" i="2"/>
  <c r="AI53" i="2"/>
  <c r="AF53" i="2"/>
  <c r="AF24" i="2"/>
  <c r="AI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98" i="39"/>
  <c r="M98" i="39"/>
  <c r="K98" i="39"/>
  <c r="S98" i="39"/>
  <c r="O98"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96" i="39"/>
  <c r="S96" i="39"/>
  <c r="K96" i="39"/>
  <c r="M96" i="39"/>
  <c r="Q96" i="39"/>
  <c r="O26" i="39"/>
  <c r="M26" i="39"/>
  <c r="S26" i="39"/>
  <c r="K26" i="39"/>
  <c r="Q26" i="39"/>
  <c r="M23" i="39"/>
  <c r="S23" i="39"/>
  <c r="K23" i="39"/>
  <c r="Q23" i="39"/>
  <c r="O23" i="39"/>
  <c r="R2" i="33"/>
  <c r="N2" i="33"/>
  <c r="P2" i="33"/>
  <c r="S19" i="39"/>
  <c r="K19" i="39"/>
  <c r="Q19" i="39"/>
  <c r="O19" i="39"/>
  <c r="M19" i="39"/>
  <c r="M11" i="39"/>
  <c r="S11" i="39"/>
  <c r="K11" i="39"/>
  <c r="Q11" i="39"/>
  <c r="O11" i="39"/>
  <c r="O97" i="39"/>
  <c r="M97" i="39"/>
  <c r="S97" i="39"/>
  <c r="K97" i="39"/>
  <c r="Q97"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Z53" i="2"/>
  <c r="AC53" i="2"/>
  <c r="Z24" i="2"/>
  <c r="AC24" i="2"/>
  <c r="Z220" i="2"/>
  <c r="AC220" i="2"/>
  <c r="Z110" i="2"/>
  <c r="AC110" i="2"/>
  <c r="Z81" i="2"/>
  <c r="AC81" i="2"/>
  <c r="W25" i="2"/>
  <c r="AL25" i="2" s="1"/>
  <c r="W54" i="2"/>
  <c r="AL54" i="2" s="1"/>
  <c r="W82" i="2"/>
  <c r="AL82" i="2" s="1"/>
  <c r="W111" i="2"/>
  <c r="AL111" i="2" s="1"/>
  <c r="W221" i="2"/>
  <c r="AL221" i="2" s="1"/>
  <c r="AI111" i="2" l="1"/>
  <c r="AF111" i="2"/>
  <c r="AI221" i="2"/>
  <c r="AF221" i="2"/>
  <c r="AI82" i="2"/>
  <c r="AF82" i="2"/>
  <c r="AI54" i="2"/>
  <c r="AF54" i="2"/>
  <c r="AF25" i="2"/>
  <c r="AI25" i="2"/>
  <c r="Z221" i="2"/>
  <c r="AC221" i="2"/>
  <c r="Z111" i="2"/>
  <c r="AC111" i="2"/>
  <c r="Z82" i="2"/>
  <c r="AC82" i="2"/>
  <c r="Z54" i="2"/>
  <c r="AC54" i="2"/>
  <c r="Z25" i="2"/>
  <c r="AC25" i="2"/>
  <c r="W26" i="2"/>
  <c r="AL26" i="2" s="1"/>
  <c r="W55" i="2"/>
  <c r="AL55" i="2" s="1"/>
  <c r="W83" i="2"/>
  <c r="AL83" i="2" s="1"/>
  <c r="W112" i="2"/>
  <c r="AL112" i="2" s="1"/>
  <c r="W222" i="2"/>
  <c r="AL222" i="2" s="1"/>
  <c r="AF83" i="2" l="1"/>
  <c r="AI83" i="2"/>
  <c r="AI55" i="2"/>
  <c r="AF55" i="2"/>
  <c r="AI112" i="2"/>
  <c r="AF112" i="2"/>
  <c r="AI26" i="2"/>
  <c r="AF26" i="2"/>
  <c r="AI222" i="2"/>
  <c r="AF222" i="2"/>
  <c r="Z83" i="2"/>
  <c r="AC83" i="2"/>
  <c r="Z222" i="2"/>
  <c r="AC222" i="2"/>
  <c r="Z55" i="2"/>
  <c r="AC55" i="2"/>
  <c r="Z112" i="2"/>
  <c r="AC112" i="2"/>
  <c r="Z26" i="2"/>
  <c r="AC26" i="2"/>
  <c r="W27" i="2"/>
  <c r="AL27" i="2" s="1"/>
  <c r="W56" i="2"/>
  <c r="AL56" i="2" s="1"/>
  <c r="W84" i="2"/>
  <c r="AL84" i="2" s="1"/>
  <c r="W113" i="2"/>
  <c r="AL113" i="2" s="1"/>
  <c r="W223" i="2"/>
  <c r="AL223" i="2" s="1"/>
  <c r="AF56" i="2" l="1"/>
  <c r="AI56" i="2"/>
  <c r="AF113" i="2"/>
  <c r="AI113" i="2"/>
  <c r="AI84" i="2"/>
  <c r="AF84" i="2"/>
  <c r="AI27" i="2"/>
  <c r="AF27" i="2"/>
  <c r="AF223" i="2"/>
  <c r="AI223" i="2"/>
  <c r="Z223" i="2"/>
  <c r="AC223" i="2"/>
  <c r="Z56" i="2"/>
  <c r="AC56" i="2"/>
  <c r="Z113" i="2"/>
  <c r="AC113" i="2"/>
  <c r="Z27" i="2"/>
  <c r="AC27" i="2"/>
  <c r="Z84" i="2"/>
  <c r="AC84" i="2"/>
  <c r="W28" i="2"/>
  <c r="AL28" i="2" s="1"/>
  <c r="W57" i="2"/>
  <c r="AL57" i="2" s="1"/>
  <c r="W85" i="2"/>
  <c r="AL85" i="2" s="1"/>
  <c r="W114" i="2"/>
  <c r="AL114" i="2" s="1"/>
  <c r="W224" i="2"/>
  <c r="AL224" i="2" s="1"/>
  <c r="AF85" i="2" l="1"/>
  <c r="AI85" i="2"/>
  <c r="AI57" i="2"/>
  <c r="AF57" i="2"/>
  <c r="AI114" i="2"/>
  <c r="AF114" i="2"/>
  <c r="AI28" i="2"/>
  <c r="AF28" i="2"/>
  <c r="AI224" i="2"/>
  <c r="AF224" i="2"/>
  <c r="Z114" i="2"/>
  <c r="AC114" i="2"/>
  <c r="Z57" i="2"/>
  <c r="AC57" i="2"/>
  <c r="Z224" i="2"/>
  <c r="AC224" i="2"/>
  <c r="Z85" i="2"/>
  <c r="AC85" i="2"/>
  <c r="Z28" i="2"/>
  <c r="AC28" i="2"/>
  <c r="W30" i="2"/>
  <c r="AL30" i="2" s="1"/>
  <c r="W29" i="2"/>
  <c r="AL29" i="2" s="1"/>
  <c r="W59" i="2"/>
  <c r="AL59" i="2" s="1"/>
  <c r="W58" i="2"/>
  <c r="AL58" i="2" s="1"/>
  <c r="W86" i="2"/>
  <c r="AL86" i="2" s="1"/>
  <c r="W115" i="2"/>
  <c r="AL115" i="2" s="1"/>
  <c r="W225" i="2"/>
  <c r="AL225" i="2" s="1"/>
  <c r="AI58" i="2" l="1"/>
  <c r="AF58" i="2"/>
  <c r="AI29" i="2"/>
  <c r="AF29" i="2"/>
  <c r="AI30" i="2"/>
  <c r="AF30" i="2"/>
  <c r="AI59" i="2"/>
  <c r="AF59" i="2"/>
  <c r="AI225" i="2"/>
  <c r="AF225" i="2"/>
  <c r="AF115" i="2"/>
  <c r="AI115" i="2"/>
  <c r="AI86" i="2"/>
  <c r="AF86" i="2"/>
  <c r="Z86" i="2"/>
  <c r="AC86" i="2"/>
  <c r="Z225" i="2"/>
  <c r="AC225" i="2"/>
  <c r="Z29" i="2"/>
  <c r="AC29" i="2"/>
  <c r="Z30" i="2"/>
  <c r="AC30" i="2"/>
  <c r="Z115" i="2"/>
  <c r="AC115" i="2"/>
  <c r="Z58" i="2"/>
  <c r="AC58" i="2"/>
  <c r="Z59" i="2"/>
  <c r="AC59" i="2"/>
  <c r="W88" i="2"/>
  <c r="AL88" i="2" s="1"/>
  <c r="W87" i="2"/>
  <c r="AL87" i="2" s="1"/>
  <c r="W117" i="2"/>
  <c r="AL117" i="2" s="1"/>
  <c r="W116" i="2"/>
  <c r="AL116" i="2" s="1"/>
  <c r="W226" i="2"/>
  <c r="AL226" i="2" s="1"/>
  <c r="AI117" i="2" l="1"/>
  <c r="AF117" i="2"/>
  <c r="AI88" i="2"/>
  <c r="AF88" i="2"/>
  <c r="AI116" i="2"/>
  <c r="AF116" i="2"/>
  <c r="AI87" i="2"/>
  <c r="AF87" i="2"/>
  <c r="AI226" i="2"/>
  <c r="AF226" i="2"/>
  <c r="Z88" i="2"/>
  <c r="AC88" i="2"/>
  <c r="Z87" i="2"/>
  <c r="AC87" i="2"/>
  <c r="Z226" i="2"/>
  <c r="AC226" i="2"/>
  <c r="Z117" i="2"/>
  <c r="AC117" i="2"/>
  <c r="Z116" i="2"/>
  <c r="AC116" i="2"/>
  <c r="W227" i="2"/>
  <c r="AL227" i="2" s="1"/>
  <c r="AI227" i="2" l="1"/>
  <c r="AF227" i="2"/>
  <c r="Z227" i="2"/>
  <c r="AC227" i="2"/>
  <c r="W228" i="2"/>
  <c r="AL228" i="2" s="1"/>
  <c r="AF228" i="2" l="1"/>
  <c r="AI228" i="2"/>
  <c r="Z228" i="2"/>
  <c r="AC228" i="2"/>
  <c r="W229" i="2"/>
  <c r="AL229" i="2" s="1"/>
  <c r="AF229" i="2" l="1"/>
  <c r="AI229" i="2"/>
  <c r="Z229" i="2"/>
  <c r="AC229" i="2"/>
  <c r="W230" i="2"/>
  <c r="AL230" i="2" s="1"/>
  <c r="AI230" i="2" l="1"/>
  <c r="AF230" i="2"/>
  <c r="Z230" i="2"/>
  <c r="AC230" i="2"/>
  <c r="W231" i="2"/>
  <c r="AL231" i="2" s="1"/>
  <c r="AI231" i="2" l="1"/>
  <c r="AF231" i="2"/>
  <c r="Z231" i="2"/>
  <c r="AC231" i="2"/>
  <c r="W233" i="2"/>
  <c r="AL233" i="2" s="1"/>
  <c r="W232" i="2"/>
  <c r="AL232" i="2" s="1"/>
  <c r="AI232" i="2" l="1"/>
  <c r="AF232" i="2"/>
  <c r="AI233" i="2"/>
  <c r="AF233" i="2"/>
  <c r="Z233" i="2"/>
  <c r="AC233" i="2"/>
  <c r="Z232" i="2"/>
  <c r="AC232" i="2"/>
  <c r="W118" i="2"/>
  <c r="AL118" i="2" s="1"/>
  <c r="W119" i="2"/>
  <c r="AL119" i="2" s="1"/>
  <c r="AF118" i="2" l="1"/>
  <c r="AI118" i="2"/>
  <c r="AF119" i="2"/>
  <c r="AI119" i="2"/>
  <c r="Z119" i="2"/>
  <c r="AC119" i="2"/>
  <c r="Z118" i="2"/>
  <c r="AC118" i="2"/>
  <c r="W121" i="2"/>
  <c r="AL121" i="2" s="1"/>
  <c r="W120" i="2"/>
  <c r="AL120" i="2" s="1"/>
  <c r="AF120" i="2" l="1"/>
  <c r="AI120" i="2"/>
  <c r="AF121" i="2"/>
  <c r="AI121" i="2"/>
  <c r="Z121" i="2"/>
  <c r="AC121" i="2"/>
  <c r="Z120" i="2"/>
  <c r="AC120" i="2"/>
  <c r="W122" i="2"/>
  <c r="AL122" i="2" s="1"/>
  <c r="AF122" i="2" l="1"/>
  <c r="AI122" i="2"/>
  <c r="Z122" i="2"/>
  <c r="AC122" i="2"/>
  <c r="W123" i="2"/>
  <c r="AL123" i="2" s="1"/>
  <c r="AI123" i="2" l="1"/>
  <c r="AF123" i="2"/>
  <c r="Z123" i="2"/>
  <c r="AC123" i="2"/>
  <c r="W124" i="2"/>
  <c r="AL124" i="2" s="1"/>
  <c r="AI124" i="2" l="1"/>
  <c r="AF124" i="2"/>
  <c r="Z124" i="2"/>
  <c r="AC124" i="2"/>
  <c r="W125" i="2"/>
  <c r="AL125" i="2" s="1"/>
  <c r="AI125" i="2" l="1"/>
  <c r="AF125" i="2"/>
  <c r="Z125" i="2"/>
  <c r="AC125" i="2"/>
  <c r="W126" i="2"/>
  <c r="AL126" i="2" s="1"/>
  <c r="AI126" i="2" l="1"/>
  <c r="AF126" i="2"/>
  <c r="Z126" i="2"/>
  <c r="AC126" i="2"/>
  <c r="W127" i="2"/>
  <c r="AL127" i="2" s="1"/>
  <c r="AF127" i="2" l="1"/>
  <c r="AI127" i="2"/>
  <c r="Z127" i="2"/>
  <c r="AC127" i="2"/>
  <c r="W128" i="2"/>
  <c r="AL128" i="2" s="1"/>
  <c r="AI128" i="2" l="1"/>
  <c r="AF128" i="2"/>
  <c r="Z128" i="2"/>
  <c r="AC128" i="2"/>
  <c r="W129" i="2"/>
  <c r="AL129" i="2" s="1"/>
  <c r="AI129" i="2" l="1"/>
  <c r="AF129" i="2"/>
  <c r="Z129" i="2"/>
  <c r="AC129" i="2"/>
  <c r="W130" i="2"/>
  <c r="AL130" i="2" s="1"/>
  <c r="AI130" i="2" l="1"/>
  <c r="AF130" i="2"/>
  <c r="Z130" i="2"/>
  <c r="AC130" i="2"/>
  <c r="W131" i="2"/>
  <c r="AL131" i="2" s="1"/>
  <c r="AI131" i="2" l="1"/>
  <c r="AF131" i="2"/>
  <c r="Z131" i="2"/>
  <c r="AC131" i="2"/>
  <c r="W132" i="2"/>
  <c r="AL132" i="2" s="1"/>
  <c r="AF132" i="2" l="1"/>
  <c r="AI132" i="2"/>
  <c r="Z132" i="2"/>
  <c r="AC132" i="2"/>
  <c r="W133" i="2"/>
  <c r="AL133" i="2" s="1"/>
  <c r="AI133" i="2" l="1"/>
  <c r="AF133" i="2"/>
  <c r="Z133" i="2"/>
  <c r="AC133" i="2"/>
  <c r="W134" i="2"/>
  <c r="AL134" i="2" s="1"/>
  <c r="AI134" i="2" l="1"/>
  <c r="AF134" i="2"/>
  <c r="Z134" i="2"/>
  <c r="AC134" i="2"/>
  <c r="W135" i="2"/>
  <c r="AL135" i="2" s="1"/>
  <c r="AI135" i="2" l="1"/>
  <c r="AF135" i="2"/>
  <c r="Z135" i="2"/>
  <c r="AC135" i="2"/>
  <c r="W136" i="2"/>
  <c r="AL136" i="2" s="1"/>
  <c r="AI136" i="2" l="1"/>
  <c r="AF136" i="2"/>
  <c r="Z136" i="2"/>
  <c r="AC136" i="2"/>
  <c r="W137" i="2"/>
  <c r="AL137" i="2" s="1"/>
  <c r="AI137" i="2" l="1"/>
  <c r="AF137" i="2"/>
  <c r="Z137" i="2"/>
  <c r="AC137" i="2"/>
  <c r="W138" i="2"/>
  <c r="AL138" i="2" s="1"/>
  <c r="AI138" i="2" l="1"/>
  <c r="AF138" i="2"/>
  <c r="Z138" i="2"/>
  <c r="AC138" i="2"/>
  <c r="W139" i="2"/>
  <c r="AL139" i="2" s="1"/>
  <c r="AI139" i="2" l="1"/>
  <c r="AF139" i="2"/>
  <c r="Z139" i="2"/>
  <c r="AC139" i="2"/>
  <c r="W140" i="2"/>
  <c r="AL140" i="2" s="1"/>
  <c r="AI140" i="2" l="1"/>
  <c r="AF140" i="2"/>
  <c r="Z140" i="2"/>
  <c r="AC140" i="2"/>
  <c r="W141" i="2"/>
  <c r="AL141" i="2" s="1"/>
  <c r="AI141" i="2" l="1"/>
  <c r="AF141" i="2"/>
  <c r="Z141" i="2"/>
  <c r="AC141" i="2"/>
  <c r="W142" i="2"/>
  <c r="AL142" i="2" s="1"/>
  <c r="AI142" i="2" l="1"/>
  <c r="AF142" i="2"/>
  <c r="Z142" i="2"/>
  <c r="AC142" i="2"/>
  <c r="W143" i="2"/>
  <c r="AL143" i="2" s="1"/>
  <c r="AI143" i="2" l="1"/>
  <c r="AF143" i="2"/>
  <c r="Z143" i="2"/>
  <c r="AC143" i="2"/>
  <c r="W144" i="2"/>
  <c r="AL144" i="2" s="1"/>
  <c r="AI144" i="2" l="1"/>
  <c r="AF144" i="2"/>
  <c r="Z144" i="2"/>
  <c r="AC144" i="2"/>
  <c r="W145" i="2"/>
  <c r="AL145" i="2" s="1"/>
  <c r="W146" i="2"/>
  <c r="AL146" i="2" s="1"/>
  <c r="AF145" i="2" l="1"/>
  <c r="AI145" i="2"/>
  <c r="AI146" i="2"/>
  <c r="AF146" i="2"/>
  <c r="Z146" i="2"/>
  <c r="AC146" i="2"/>
  <c r="Z145" i="2"/>
  <c r="AC145" i="2"/>
  <c r="W147" i="2"/>
  <c r="AL147" i="2" s="1"/>
  <c r="W149" i="2"/>
  <c r="AL149" i="2" s="1"/>
  <c r="AF147" i="2" l="1"/>
  <c r="AI147" i="2"/>
  <c r="AI149" i="2"/>
  <c r="AF149" i="2"/>
  <c r="Z147" i="2"/>
  <c r="AC147" i="2"/>
  <c r="Z149" i="2"/>
  <c r="AC149" i="2"/>
  <c r="W148" i="2"/>
  <c r="AL148" i="2" s="1"/>
  <c r="AI148" i="2" l="1"/>
  <c r="AF148" i="2"/>
  <c r="Z148" i="2"/>
  <c r="AC148" i="2"/>
  <c r="W150" i="2"/>
  <c r="AL150" i="2" s="1"/>
  <c r="AI150" i="2" l="1"/>
  <c r="AF150" i="2"/>
  <c r="Z150" i="2"/>
  <c r="AC150" i="2"/>
  <c r="W151" i="2"/>
  <c r="AL151" i="2" s="1"/>
  <c r="AF151" i="2" l="1"/>
  <c r="AI151" i="2"/>
  <c r="Z151" i="2"/>
  <c r="AC151" i="2"/>
  <c r="W152" i="2"/>
  <c r="AL152" i="2" s="1"/>
  <c r="AI152" i="2" l="1"/>
  <c r="AF152" i="2"/>
  <c r="Z152" i="2"/>
  <c r="AC152" i="2"/>
  <c r="W153" i="2"/>
  <c r="AL153" i="2" s="1"/>
  <c r="AI153" i="2" l="1"/>
  <c r="AF153" i="2"/>
  <c r="Z153" i="2"/>
  <c r="AC153" i="2"/>
  <c r="W154" i="2"/>
  <c r="AL154" i="2" s="1"/>
  <c r="AI154" i="2" l="1"/>
  <c r="AF154" i="2"/>
  <c r="Z154" i="2"/>
  <c r="AC154" i="2"/>
  <c r="W155" i="2"/>
  <c r="AL155" i="2" s="1"/>
  <c r="AI155" i="2" l="1"/>
  <c r="AF155" i="2"/>
  <c r="Z155" i="2"/>
  <c r="AC155" i="2"/>
  <c r="W156" i="2"/>
  <c r="AL156" i="2" s="1"/>
  <c r="AI156" i="2" l="1"/>
  <c r="AF156" i="2"/>
  <c r="Z156" i="2"/>
  <c r="AC156" i="2"/>
  <c r="W157" i="2"/>
  <c r="AL157" i="2" s="1"/>
  <c r="AF157" i="2" l="1"/>
  <c r="AI157" i="2"/>
  <c r="Z157" i="2"/>
  <c r="AC157" i="2"/>
  <c r="W158" i="2"/>
  <c r="AL158" i="2" s="1"/>
  <c r="AI158" i="2" l="1"/>
  <c r="AF158" i="2"/>
  <c r="Z158" i="2"/>
  <c r="AC158" i="2"/>
  <c r="W159" i="2"/>
  <c r="AL159" i="2" s="1"/>
  <c r="AI159" i="2" l="1"/>
  <c r="AF159" i="2"/>
  <c r="Z159" i="2"/>
  <c r="AC159" i="2"/>
  <c r="W160" i="2"/>
  <c r="AL160" i="2" s="1"/>
  <c r="AI160" i="2" l="1"/>
  <c r="AF160" i="2"/>
  <c r="Z160" i="2"/>
  <c r="AC160" i="2"/>
  <c r="W161" i="2"/>
  <c r="AL161" i="2" s="1"/>
  <c r="AI161" i="2" l="1"/>
  <c r="AF161" i="2"/>
  <c r="Z161" i="2"/>
  <c r="AC161" i="2"/>
  <c r="W162" i="2"/>
  <c r="AL162" i="2" s="1"/>
  <c r="AF162" i="2" l="1"/>
  <c r="AI162" i="2"/>
  <c r="Z162" i="2"/>
  <c r="AC162" i="2"/>
  <c r="W163" i="2"/>
  <c r="AL163" i="2" s="1"/>
  <c r="AF163" i="2" l="1"/>
  <c r="AI163" i="2"/>
  <c r="Z163" i="2"/>
  <c r="AC163" i="2"/>
  <c r="W164" i="2"/>
  <c r="AL164" i="2" s="1"/>
  <c r="AI164" i="2" l="1"/>
  <c r="AF164" i="2"/>
  <c r="Z164" i="2"/>
  <c r="AC164" i="2"/>
  <c r="W165" i="2"/>
  <c r="AL165" i="2" s="1"/>
  <c r="AI165" i="2" l="1"/>
  <c r="AF165" i="2"/>
  <c r="Z165" i="2"/>
  <c r="AC165" i="2"/>
  <c r="W166" i="2"/>
  <c r="AL166" i="2" s="1"/>
  <c r="AI166" i="2" l="1"/>
  <c r="AF166" i="2"/>
  <c r="Z166" i="2"/>
  <c r="AC166" i="2"/>
  <c r="W167" i="2"/>
  <c r="AL167" i="2" s="1"/>
  <c r="AI167" i="2" l="1"/>
  <c r="AF167" i="2"/>
  <c r="Z167" i="2"/>
  <c r="AC167" i="2"/>
  <c r="W168" i="2"/>
  <c r="AL168" i="2" s="1"/>
  <c r="AF168" i="2" l="1"/>
  <c r="AI168" i="2"/>
  <c r="Z168" i="2"/>
  <c r="AC168" i="2"/>
  <c r="W169" i="2"/>
  <c r="AL169" i="2" s="1"/>
  <c r="AF169" i="2" l="1"/>
  <c r="AI169" i="2"/>
  <c r="Z169" i="2"/>
  <c r="AC169" i="2"/>
  <c r="W170" i="2"/>
  <c r="AL170" i="2" s="1"/>
  <c r="AI170" i="2" l="1"/>
  <c r="AF170" i="2"/>
  <c r="Z170" i="2"/>
  <c r="AC170" i="2"/>
  <c r="W171" i="2"/>
  <c r="AL171" i="2" s="1"/>
  <c r="AI171" i="2" l="1"/>
  <c r="AF171" i="2"/>
  <c r="Z171" i="2"/>
  <c r="AC171" i="2"/>
  <c r="W172" i="2"/>
  <c r="AL172" i="2" s="1"/>
  <c r="AI172" i="2" l="1"/>
  <c r="AF172" i="2"/>
  <c r="Z172" i="2"/>
  <c r="AC172" i="2"/>
  <c r="W173" i="2"/>
  <c r="AL173" i="2" s="1"/>
  <c r="AI173" i="2" l="1"/>
  <c r="AF173" i="2"/>
  <c r="Z173" i="2"/>
  <c r="AC173" i="2"/>
  <c r="W174" i="2"/>
  <c r="AL174" i="2" s="1"/>
  <c r="W175" i="2"/>
  <c r="AL175" i="2" s="1"/>
  <c r="AF175" i="2" l="1"/>
  <c r="AI175" i="2"/>
  <c r="AI174" i="2"/>
  <c r="AF174" i="2"/>
  <c r="Z174" i="2"/>
  <c r="AC174" i="2"/>
  <c r="Z175" i="2"/>
  <c r="AC175" i="2"/>
  <c r="W263" i="2"/>
  <c r="AL263" i="2" s="1"/>
  <c r="AI263" i="2" l="1"/>
  <c r="AF263" i="2"/>
  <c r="Z263" i="2"/>
  <c r="AC263" i="2"/>
  <c r="W176" i="2"/>
  <c r="AL176" i="2" s="1"/>
  <c r="W177" i="2"/>
  <c r="AL177" i="2" s="1"/>
  <c r="AI176" i="2" l="1"/>
  <c r="AF176" i="2"/>
  <c r="AF177" i="2"/>
  <c r="AI177" i="2"/>
  <c r="Z177" i="2"/>
  <c r="AC177" i="2"/>
  <c r="Z176" i="2"/>
  <c r="AC176" i="2"/>
  <c r="W179" i="2"/>
  <c r="AL179" i="2" s="1"/>
  <c r="W178" i="2"/>
  <c r="AL178" i="2" s="1"/>
  <c r="AI178" i="2" l="1"/>
  <c r="AF178" i="2"/>
  <c r="AI179" i="2"/>
  <c r="AF179" i="2"/>
  <c r="Z178" i="2"/>
  <c r="AC178" i="2"/>
  <c r="Z179" i="2"/>
  <c r="AC179" i="2"/>
  <c r="W180" i="2"/>
  <c r="AL180" i="2" s="1"/>
  <c r="AF180" i="2" l="1"/>
  <c r="AI180" i="2"/>
  <c r="Z180" i="2"/>
  <c r="AC180" i="2"/>
  <c r="W181" i="2"/>
  <c r="AL181" i="2" s="1"/>
  <c r="AF181" i="2" l="1"/>
  <c r="AI181" i="2"/>
  <c r="Z181" i="2"/>
  <c r="AC181" i="2"/>
  <c r="W182" i="2"/>
  <c r="AL182" i="2" s="1"/>
  <c r="AF182" i="2" l="1"/>
  <c r="AI182" i="2"/>
  <c r="Z182" i="2"/>
  <c r="AC182" i="2"/>
  <c r="W183" i="2"/>
  <c r="AL183" i="2" s="1"/>
  <c r="AI183" i="2" l="1"/>
  <c r="AF183" i="2"/>
  <c r="Z183" i="2"/>
  <c r="AC183" i="2"/>
  <c r="W184" i="2"/>
  <c r="AL184" i="2" s="1"/>
  <c r="AI184" i="2" l="1"/>
  <c r="AF184" i="2"/>
  <c r="Z184" i="2"/>
  <c r="AC184" i="2"/>
  <c r="W185" i="2"/>
  <c r="AL185" i="2" s="1"/>
  <c r="AF185" i="2" l="1"/>
  <c r="AI185" i="2"/>
  <c r="Z185" i="2"/>
  <c r="AC185" i="2"/>
  <c r="W186" i="2"/>
  <c r="AL186" i="2" s="1"/>
  <c r="AI186" i="2" l="1"/>
  <c r="AF186" i="2"/>
  <c r="Z186" i="2"/>
  <c r="AC186" i="2"/>
  <c r="W187" i="2"/>
  <c r="AL187" i="2" s="1"/>
  <c r="AF187" i="2" l="1"/>
  <c r="AI187" i="2"/>
  <c r="Z187" i="2"/>
  <c r="AC187" i="2"/>
  <c r="W188" i="2"/>
  <c r="AL188" i="2" s="1"/>
  <c r="AI188" i="2" l="1"/>
  <c r="AF188" i="2"/>
  <c r="Z188" i="2"/>
  <c r="AC188" i="2"/>
  <c r="W189" i="2"/>
  <c r="AL189" i="2" s="1"/>
  <c r="AI189" i="2" l="1"/>
  <c r="AF189" i="2"/>
  <c r="Z189" i="2"/>
  <c r="AC189" i="2"/>
  <c r="W190" i="2"/>
  <c r="AL190" i="2" s="1"/>
  <c r="AI190" i="2" l="1"/>
  <c r="AF190" i="2"/>
  <c r="Z190" i="2"/>
  <c r="AC190" i="2"/>
  <c r="W191" i="2"/>
  <c r="AL191" i="2" s="1"/>
  <c r="AF191" i="2" l="1"/>
  <c r="AI191" i="2"/>
  <c r="Z191" i="2"/>
  <c r="AC191" i="2"/>
  <c r="W192" i="2"/>
  <c r="AL192" i="2" s="1"/>
  <c r="AF192" i="2" l="1"/>
  <c r="AI192" i="2"/>
  <c r="Z192" i="2"/>
  <c r="AC192" i="2"/>
  <c r="W193" i="2"/>
  <c r="AL193" i="2" s="1"/>
  <c r="AI193" i="2" l="1"/>
  <c r="AF193" i="2"/>
  <c r="Z193" i="2"/>
  <c r="AC193" i="2"/>
  <c r="W194" i="2"/>
  <c r="AL194" i="2" s="1"/>
  <c r="AF194" i="2" l="1"/>
  <c r="AI194" i="2"/>
  <c r="Z194" i="2"/>
  <c r="AC194" i="2"/>
  <c r="W195" i="2"/>
  <c r="AL195" i="2" s="1"/>
  <c r="AI195" i="2" l="1"/>
  <c r="AF195" i="2"/>
  <c r="Z195" i="2"/>
  <c r="AC195" i="2"/>
  <c r="W196" i="2"/>
  <c r="AL196" i="2" s="1"/>
  <c r="AF196" i="2" l="1"/>
  <c r="AI196" i="2"/>
  <c r="Z196" i="2"/>
  <c r="AC196" i="2"/>
  <c r="W197" i="2"/>
  <c r="AL197" i="2" s="1"/>
  <c r="AI197" i="2" l="1"/>
  <c r="AF197" i="2"/>
  <c r="Z197" i="2"/>
  <c r="AC197" i="2"/>
  <c r="W198" i="2"/>
  <c r="AL198" i="2" s="1"/>
  <c r="AI198" i="2" l="1"/>
  <c r="AF198" i="2"/>
  <c r="Z198" i="2"/>
  <c r="AC198" i="2"/>
  <c r="W199" i="2"/>
  <c r="AL199" i="2" s="1"/>
  <c r="AF199" i="2" l="1"/>
  <c r="AI199" i="2"/>
  <c r="Z199" i="2"/>
  <c r="AC199" i="2"/>
  <c r="W200" i="2"/>
  <c r="AL200" i="2" s="1"/>
  <c r="AI200" i="2" l="1"/>
  <c r="AF200" i="2"/>
  <c r="Z200" i="2"/>
  <c r="AC200" i="2"/>
  <c r="W201" i="2"/>
  <c r="AL201" i="2" s="1"/>
  <c r="AI201" i="2" l="1"/>
  <c r="AF201" i="2"/>
  <c r="Z201" i="2"/>
  <c r="AC201" i="2"/>
  <c r="W202" i="2"/>
  <c r="AL202" i="2" s="1"/>
  <c r="AI202" i="2" l="1"/>
  <c r="AF202" i="2"/>
  <c r="Z202" i="2"/>
  <c r="AC202" i="2"/>
  <c r="W204" i="2"/>
  <c r="AL204" i="2" s="1"/>
  <c r="W203" i="2"/>
  <c r="AL203" i="2" s="1"/>
  <c r="AI203" i="2" l="1"/>
  <c r="AF203" i="2"/>
  <c r="AF204" i="2"/>
  <c r="AI204" i="2"/>
  <c r="Z203" i="2"/>
  <c r="AC203" i="2"/>
  <c r="Z204" i="2"/>
  <c r="AC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family val="2"/>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family val="2"/>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family val="2"/>
          </rPr>
          <t>Completion flag
PURPOSE: Mark row as verified and complete
ACTION: Check box after all data verified
Used for progress tracking.</t>
        </r>
      </text>
    </comment>
    <comment ref="B1" authorId="0" shapeId="0" xr:uid="{FD78D013-625A-4D61-9C48-335EB5044545}">
      <text>
        <r>
          <rPr>
            <sz val="9"/>
            <color indexed="81"/>
            <rFont val="Tahoma"/>
            <family val="2"/>
          </rPr>
          <t>Auto-generated row identifier
PURPOSE: Unique sequential number for data integrity
ACTION: System-generated. Do not modify.</t>
        </r>
      </text>
    </comment>
    <comment ref="C1" authorId="0" shapeId="0" xr:uid="{7A6A6E6E-E11F-4D7B-B622-5EDB4A7B3CB6}">
      <text>
        <r>
          <rPr>
            <sz val="9"/>
            <color indexed="81"/>
            <rFont val="Tahoma"/>
            <family val="2"/>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family val="2"/>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family val="2"/>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family val="2"/>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family val="2"/>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family val="2"/>
          </rPr>
          <t>Destination process name
PURPOSE: Defines where this flow goes
ACTION: Select from process names defined in 2_1_Definition_Processes
Must match exactly.
EXAMPLE: Sawmill (for timber processing)</t>
        </r>
      </text>
    </comment>
    <comment ref="AC1" authorId="0" shapeId="0" xr:uid="{3EF5504E-CED1-4149-8FE7-D124A3C2C5E1}">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H1" authorId="0" shapeId="0" xr:uid="{5A070A52-879F-42EA-BF7C-38E803DE3BD4}">
      <text>
        <r>
          <rPr>
            <sz val="9"/>
            <color indexed="81"/>
            <rFont val="Tahoma"/>
            <family val="2"/>
          </rPr>
          <t>ODYM framework field
PURPOSE: Technical field for framework integration
ACTION: Auto-generated. Do not modify.
NOTE: Used for dimensional indexing.</t>
        </r>
      </text>
    </comment>
    <comment ref="AI1" authorId="0" shapeId="0" xr:uid="{3ACB9663-0A39-427E-9F04-7595E7564B93}">
      <text>
        <r>
          <rPr>
            <sz val="9"/>
            <color indexed="81"/>
            <rFont val="Tahoma"/>
            <family val="2"/>
          </rPr>
          <t>ODYM framework field
PURPOSE: Technical field for framework integration
ACTION: Auto-generated. Do not modify.
NOTE: Used for dimensional indexing.</t>
        </r>
      </text>
    </comment>
    <comment ref="AJ1" authorId="0" shapeId="0" xr:uid="{ACD6BEEF-EE30-4D08-A8F3-E925A208738C}">
      <text>
        <r>
          <rPr>
            <sz val="9"/>
            <color indexed="81"/>
            <rFont val="Tahoma"/>
            <family val="2"/>
          </rPr>
          <t>ODYM framework field
PURPOSE: Technical field for framework integration
ACTION: Auto-generated. Do not modify.
NOTE: Used for dimensional indexing.</t>
        </r>
      </text>
    </comment>
    <comment ref="AK1" authorId="0" shapeId="0" xr:uid="{17DCB337-3100-4964-9B77-D00A0B892E66}">
      <text>
        <r>
          <rPr>
            <sz val="9"/>
            <color indexed="81"/>
            <rFont val="Tahoma"/>
            <family val="2"/>
          </rPr>
          <t>ODYM framework field
PURPOSE: Technical field for framework integration
ACTION: Auto-generated. Do not modify.
NOTE: Used for dimensional indexing.</t>
        </r>
      </text>
    </comment>
    <comment ref="AL1" authorId="0" shapeId="0" xr:uid="{39925D41-04BC-4E2C-AEC2-B863AEB9A32D}">
      <text>
        <r>
          <rPr>
            <sz val="9"/>
            <color indexed="81"/>
            <rFont val="Tahoma"/>
            <family val="2"/>
          </rPr>
          <t>ODYM framework field
PURPOSE: Technical field for framework integration
ACTION: Auto-generated. Do not modify.
NOTE: Used for dimensional indexing.</t>
        </r>
      </text>
    </comment>
    <comment ref="AM1" authorId="0" shapeId="0" xr:uid="{DE78DF4A-8736-4125-B6A8-D132F33DB652}">
      <text>
        <r>
          <rPr>
            <sz val="9"/>
            <color indexed="81"/>
            <rFont val="Tahoma"/>
            <family val="2"/>
          </rPr>
          <t>ODYM framework field
PURPOSE: Technical field for framework integration
ACTION: Auto-generated. Do not modify.
NOTE: Used for dimensional indexing.</t>
        </r>
      </text>
    </comment>
    <comment ref="AN1" authorId="0" shapeId="0" xr:uid="{CFDC2501-8DD3-496F-99C8-84968F9D2702}">
      <text>
        <r>
          <rPr>
            <sz val="9"/>
            <color indexed="81"/>
            <rFont val="Tahoma"/>
            <family val="2"/>
          </rPr>
          <t>ODYM framework field
PURPOSE: Technical field for framework integration
ACTION: Auto-generated. Do not modify.
NOTE: Used for dimensional indexing.</t>
        </r>
      </text>
    </comment>
    <comment ref="AO1" authorId="0" shapeId="0" xr:uid="{A23120A3-27D7-4EEE-A74C-3527EA355789}">
      <text>
        <r>
          <rPr>
            <sz val="9"/>
            <color indexed="81"/>
            <rFont val="Tahoma"/>
            <family val="2"/>
          </rPr>
          <t>ODYM framework field
PURPOSE: Technical field for framework integration
ACTION: Auto-generated. Do not modify.
NOTE: Used for dimensional indexing.</t>
        </r>
      </text>
    </comment>
    <comment ref="AP1" authorId="0" shapeId="0" xr:uid="{392422AE-CC72-42B2-95A9-92B0597C6F41}">
      <text>
        <r>
          <rPr>
            <sz val="9"/>
            <color indexed="81"/>
            <rFont val="Tahoma"/>
            <family val="2"/>
          </rPr>
          <t>ODYM framework field
PURPOSE: Technical field for framework integration
ACTION: Auto-generated. Do not modify.
NOTE: Used for dimensional indexing.</t>
        </r>
      </text>
    </comment>
    <comment ref="AQ1" authorId="0" shapeId="0" xr:uid="{1730995D-FD67-4A84-91A9-032CDF853F28}">
      <text>
        <r>
          <rPr>
            <sz val="9"/>
            <color indexed="81"/>
            <rFont val="Tahoma"/>
            <family val="2"/>
          </rPr>
          <t>ODYM framework field
PURPOSE: Technical field for framework integration
ACTION: Auto-generated. Do not modify.
NOTE: Used for dimensional indexing.</t>
        </r>
      </text>
    </comment>
    <comment ref="AR1" authorId="0" shapeId="0" xr:uid="{F51FC928-CEF1-4C9A-AECA-A31609E2D5EC}">
      <text>
        <r>
          <rPr>
            <sz val="9"/>
            <color indexed="81"/>
            <rFont val="Tahoma"/>
            <family val="2"/>
          </rPr>
          <t>ODYM framework field
PURPOSE: Technical field for framework integration
ACTION: Auto-generated. Do not modify.
NOTE: Used for dimensional indexing.</t>
        </r>
      </text>
    </comment>
    <comment ref="AS1" authorId="0" shapeId="0" xr:uid="{9DBF4F87-1E3C-489C-ADED-8C6B27303EB8}">
      <text>
        <r>
          <rPr>
            <sz val="9"/>
            <color indexed="81"/>
            <rFont val="Tahoma"/>
            <family val="2"/>
          </rPr>
          <t>ODYM framework field
PURPOSE: Technical field for framework integration
ACTION: Auto-generated. Do not modify.
NOTE: Used for dimensional indexing.</t>
        </r>
      </text>
    </comment>
    <comment ref="AT1" authorId="0" shapeId="0" xr:uid="{0A2E7470-0EC3-42A4-8434-0BE056CA5966}">
      <text>
        <r>
          <rPr>
            <sz val="9"/>
            <color indexed="81"/>
            <rFont val="Tahoma"/>
            <family val="2"/>
          </rPr>
          <t>ODYM framework field
PURPOSE: Technical field for framework integration
ACTION: Auto-generated. Do not modify.
NOTE: Used for dimensional indexing.</t>
        </r>
      </text>
    </comment>
    <comment ref="AU1" authorId="0" shapeId="0" xr:uid="{D1910590-BBB6-4436-BCC9-B23DB8D20855}">
      <text>
        <r>
          <rPr>
            <sz val="9"/>
            <color indexed="81"/>
            <rFont val="Tahoma"/>
            <family val="2"/>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family val="2"/>
          </rPr>
          <t>Auto-generated row identifier
PURPOSE: Unique sequential number for data integrity
ACTION: System-generated. Do not modify.</t>
        </r>
      </text>
    </comment>
    <comment ref="B1" authorId="0" shapeId="0" xr:uid="{EB750FD3-32B3-40C8-80A3-4F14242AB979}">
      <text>
        <r>
          <rPr>
            <sz val="9"/>
            <color indexed="81"/>
            <rFont val="Tahoma"/>
            <family val="2"/>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family val="2"/>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family val="2"/>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family val="2"/>
          </rPr>
          <t>Unit of measurement
PURPOSE: Specifies unit for flow value
ACTION: Select from unit codelist (mg, g, Kg, Mg, Gg)
Typically: Mg (megagram = metric ton)
EXAMPLE: Mg</t>
        </r>
      </text>
    </comment>
    <comment ref="N1" authorId="0" shapeId="0" xr:uid="{C6750AEC-CC70-4ED6-815F-1BFB6F188783}">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O1" authorId="0" shapeId="0" xr:uid="{0A9483E9-3745-4168-AC4C-7B713EB728E2}">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P1" authorId="0" shapeId="0" xr:uid="{5F7BFDB2-E417-4B2E-B1DC-8D4E284F7D9D}">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Q1" authorId="0" shapeId="0" xr:uid="{6125234F-2BDC-4FBD-867D-85CB6DF91BE6}">
      <text>
        <r>
          <rPr>
            <sz val="9"/>
            <color indexed="81"/>
            <rFont val="Tahoma"/>
            <family val="2"/>
          </rPr>
          <t>Conversion factor required flag
PURPOSE: Indicates if calculation adjustment needed
ACTION: Select Yes if Flow value needs adjustment
Select No if value used directly
EXAMPLE: Yes (if only partial flow relevant or unit conversion needed)</t>
        </r>
      </text>
    </comment>
    <comment ref="R1" authorId="0" shapeId="0" xr:uid="{3B080622-2620-4246-8150-DD39F2E7737A}">
      <text>
        <r>
          <rPr>
            <sz val="9"/>
            <color indexed="81"/>
            <rFont val="Tahoma"/>
            <family val="2"/>
          </rPr>
          <t>Conversion/calculation factor value
PURPOSE: Factor to adjust flow value
ACTION: Enter factor as decimal number
EXAMPLE:
- Partial flow: 0.8 (only 80% of flow is relevant)
- Unit conversion: 0.5 (converts between units)
REQUIRED: When CF_required? = Yes</t>
        </r>
      </text>
    </comment>
    <comment ref="S1" authorId="0" shapeId="0" xr:uid="{982B4E01-1DB5-4585-9B26-F8F566AF7414}">
      <text>
        <r>
          <rPr>
            <sz val="9"/>
            <color indexed="81"/>
            <rFont val="Tahoma"/>
            <family val="2"/>
          </rPr>
          <t>Conversion factor description
PURPOSE: Explains what conversion factor represents
ACTION: Enter brief description
EXAMPLE: Partial flow factor or Density conversion
REQUIRED: When CF_required? = Yes</t>
        </r>
      </text>
    </comment>
    <comment ref="U1" authorId="0" shapeId="0" xr:uid="{8D106586-4A7E-4F76-AB84-7F7A6BA63EE1}">
      <text>
        <r>
          <rPr>
            <sz val="9"/>
            <color indexed="81"/>
            <rFont val="Tahoma"/>
            <family val="2"/>
          </rPr>
          <t>Conversion factor reference
PURPOSE: Document source for conversion factor
ACTION: Enter Reference_ID for conversion factor source
EXAMPLE: R012 (links to conversion standard)</t>
        </r>
      </text>
    </comment>
    <comment ref="V1" authorId="0" shapeId="0" xr:uid="{C79827E0-DDAB-467E-A214-8FBEA1617042}">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Y1" authorId="0" shapeId="0" xr:uid="{C23BD5CE-6ABF-4110-BDEA-6F497C7ED834}">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B1" authorId="0" shapeId="0" xr:uid="{A7089EF8-F4F0-49E9-B1E7-1DA8A263A2E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E1" authorId="0" shapeId="0" xr:uid="{A4C05E1E-1FB1-4A60-8E8E-5052B341814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H1" authorId="0" shapeId="0" xr:uid="{D070F121-54DE-4F5E-8769-0D5A481ACE1D}">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K1" authorId="0" shapeId="0" xr:uid="{F8DB0904-C27C-49CE-9530-E1EED6EF3A21}">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family val="2"/>
          </rPr>
          <t>Completion flag
PURPOSE: Mark row as verified and complete
ACTION: Check box after all data verified
Used for progress tracking.</t>
        </r>
      </text>
    </comment>
    <comment ref="B1" authorId="0" shapeId="0" xr:uid="{9FC3CE2C-DEC8-4FCD-AE80-D7F070F45E57}">
      <text>
        <r>
          <rPr>
            <sz val="9"/>
            <color indexed="81"/>
            <rFont val="Tahoma"/>
            <family val="2"/>
          </rPr>
          <t>Auto-generated row identifier
PURPOSE: Unique sequential number for data integrity
ACTION: System-generated. Do not modify.</t>
        </r>
      </text>
    </comment>
    <comment ref="C1" authorId="0" shapeId="0" xr:uid="{F0770D15-9B5A-4DDE-A896-BAC6407B7101}">
      <text>
        <r>
          <rPr>
            <sz val="9"/>
            <color indexed="81"/>
            <rFont val="Tahoma"/>
            <family val="2"/>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family val="2"/>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family val="2"/>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family val="2"/>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family val="2"/>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family val="2"/>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family val="2"/>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family val="2"/>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family val="2"/>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family val="2"/>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family val="2"/>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family val="2"/>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family val="2"/>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family val="2"/>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family val="2"/>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family val="2"/>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family val="2"/>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family val="2"/>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family val="2"/>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family val="2"/>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family val="2"/>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family val="2"/>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family val="2"/>
          </rPr>
          <t>Completion flag
PURPOSE: Mark row as verified and complete
ACTION: Check box after all data verified
Used for progress tracking.</t>
        </r>
      </text>
    </comment>
    <comment ref="B1" authorId="0" shapeId="0" xr:uid="{74ACA063-72D5-4B04-9AE5-87AD077BBDB2}">
      <text>
        <r>
          <rPr>
            <sz val="9"/>
            <color indexed="81"/>
            <rFont val="Tahoma"/>
            <family val="2"/>
          </rPr>
          <t>Auto-generated row identifier
PURPOSE: Unique sequential number for data integrity
ACTION: System-generated. Do not modify.</t>
        </r>
      </text>
    </comment>
    <comment ref="I1" authorId="0" shapeId="0" xr:uid="{AC96E1B6-908B-4776-8D91-C898DEA1B7DE}">
      <text>
        <r>
          <rPr>
            <sz val="9"/>
            <color indexed="81"/>
            <rFont val="Tahoma"/>
            <family val="2"/>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family val="2"/>
          </rPr>
          <t>Additional notes
PURPOSE: Free-text documentation
ACTION: Optional notes about assumptions or special conditions</t>
        </r>
      </text>
    </comment>
    <comment ref="X1" authorId="0" shapeId="0" xr:uid="{FA38EE3E-5CB4-4A3A-A9A5-94AD6979F4DA}">
      <text>
        <r>
          <rPr>
            <sz val="9"/>
            <color indexed="81"/>
            <rFont val="Tahoma"/>
            <family val="2"/>
          </rPr>
          <t>Transfer coefficient reference
PURPOSE: Document source for TC value
ACTION: Enter Reference_ID from 6_1_Reference_Manager
EXAMPLE: R008</t>
        </r>
      </text>
    </comment>
    <comment ref="Y1" authorId="0" shapeId="0" xr:uid="{0E374E48-63B6-4365-8DFE-B3277E80052A}">
      <text>
        <r>
          <rPr>
            <sz val="9"/>
            <color indexed="81"/>
            <rFont val="Tahoma"/>
            <family val="2"/>
          </rPr>
          <t>Transfer coefficient reference
PURPOSE: Document source for TC value
ACTION: Enter Reference_ID from 6_1_Reference_Manager
EXAMPLE: R008</t>
        </r>
      </text>
    </comment>
    <comment ref="Z1" authorId="0" shapeId="0" xr:uid="{E9E72C93-C798-4099-9EA6-F1D14F41903C}">
      <text>
        <r>
          <rPr>
            <sz val="9"/>
            <color indexed="81"/>
            <rFont val="Tahoma"/>
            <family val="2"/>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family val="2"/>
          </rPr>
          <t>Completion flag
PURPOSE: Mark row as verified and complete
ACTION: Check box after all data verified
Used for progress tracking.</t>
        </r>
      </text>
    </comment>
    <comment ref="B1" authorId="0" shapeId="0" xr:uid="{A583D96D-BEF0-4380-921C-F35C1A786A19}">
      <text>
        <r>
          <rPr>
            <sz val="9"/>
            <color indexed="81"/>
            <rFont val="Tahoma"/>
            <family val="2"/>
          </rPr>
          <t>Auto-generated row identifier
PURPOSE: Unique sequential number for data integrity
ACTION: System-generated. Do not modify.</t>
        </r>
      </text>
    </comment>
    <comment ref="I1" authorId="0" shapeId="0" xr:uid="{6D9777BB-70C3-43CC-A938-257691618353}">
      <text>
        <r>
          <rPr>
            <sz val="9"/>
            <color indexed="81"/>
            <rFont val="Tahoma"/>
            <family val="2"/>
          </rPr>
          <t>Output flow name
PURPOSE: Identifies which output flow this TC applies to
ACTION: Select from Flow_Names
EXAMPLE: F_05_Recycled_Material</t>
        </r>
      </text>
    </comment>
    <comment ref="L1" authorId="0" shapeId="0" xr:uid="{F302004C-DA86-45F1-B524-5A3CDFFA0C3B}">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1EC7713-535B-4DE9-BDAD-40DA739757A6}">
      <text>
        <r>
          <rPr>
            <sz val="9"/>
            <color indexed="81"/>
            <rFont val="Tahoma"/>
            <family val="2"/>
          </rPr>
          <t>Dynamic TC reference
PURPOSE: Document source for time-varying TC data
ACTION: Enter Reference_ID from 6_1_Reference_Manager
EXAMPLE: R015</t>
        </r>
      </text>
    </comment>
    <comment ref="Z1" authorId="0" shapeId="0" xr:uid="{7629C5DD-1B5A-49C0-9395-3854B908CB4D}">
      <text>
        <r>
          <rPr>
            <sz val="9"/>
            <color indexed="81"/>
            <rFont val="Tahoma"/>
            <family val="2"/>
          </rPr>
          <t>Dynamic TC reference
PURPOSE: Document source for time-varying TC data
ACTION: Enter Reference_ID from 6_1_Reference_Manager
EXAMPLE: R015</t>
        </r>
      </text>
    </comment>
    <comment ref="AA1" authorId="0" shapeId="0" xr:uid="{2AE19CEE-2E83-4460-90F5-73A931FDB74C}">
      <text>
        <r>
          <rPr>
            <sz val="9"/>
            <color indexed="81"/>
            <rFont val="Tahoma"/>
            <family val="2"/>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family val="2"/>
          </rPr>
          <t>Completion flag
PURPOSE: Mark row as verified and complete
ACTION: Check box after all data verified
Used for progress tracking.</t>
        </r>
      </text>
    </comment>
    <comment ref="B1" authorId="0" shapeId="0" xr:uid="{43255BBA-3391-4ED5-BE3B-2755492D8628}">
      <text>
        <r>
          <rPr>
            <sz val="9"/>
            <color indexed="81"/>
            <rFont val="Tahoma"/>
            <family val="2"/>
          </rPr>
          <t>Auto-generated row identifier
PURPOSE: Unique sequential number for data integrity
ACTION: System-generated. Do not modify.</t>
        </r>
      </text>
    </comment>
    <comment ref="N1" authorId="0" shapeId="0" xr:uid="{7ADBFD42-2247-4EF9-930D-23D405D2024D}">
      <text>
        <r>
          <rPr>
            <sz val="9"/>
            <color indexed="81"/>
            <rFont val="Tahoma"/>
            <family val="2"/>
          </rPr>
          <t>Initial stock reference
PURPOSE: Document source for initial stock estimate
ACTION: Enter Reference_ID from 6_1_Reference_Manager
EXAMPLE: R020</t>
        </r>
      </text>
    </comment>
    <comment ref="O1" authorId="0" shapeId="0" xr:uid="{70C61F06-E3DF-497F-95B7-C1F965946D88}">
      <text>
        <r>
          <rPr>
            <sz val="9"/>
            <color indexed="81"/>
            <rFont val="Tahoma"/>
            <family val="2"/>
          </rPr>
          <t>Initial stock reference
PURPOSE: Document source for initial stock estimate
ACTION: Enter Reference_ID from 6_1_Reference_Manager
EXAMPLE: R020</t>
        </r>
      </text>
    </comment>
    <comment ref="P1" authorId="0" shapeId="0" xr:uid="{8ABE5D70-7A35-4AD8-9B74-8D7E1DAB1234}">
      <text>
        <r>
          <rPr>
            <sz val="9"/>
            <color indexed="81"/>
            <rFont val="Tahoma"/>
            <family val="2"/>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family val="2"/>
          </rPr>
          <t>Completion flag
PURPOSE: Mark row as verified and complete
ACTION: Check box after all data verified
Used for progress tracking.</t>
        </r>
      </text>
    </comment>
    <comment ref="B1" authorId="0" shapeId="0" xr:uid="{84EE0F05-4752-4A7A-B1D5-2FA4DF2DB0FB}">
      <text>
        <r>
          <rPr>
            <sz val="9"/>
            <color indexed="81"/>
            <rFont val="Tahoma"/>
            <family val="2"/>
          </rPr>
          <t>Auto-generated row identifier
PURPOSE: Unique sequential number for data integrity
ACTION: System-generated. Do not modify.</t>
        </r>
      </text>
    </comment>
    <comment ref="K1" authorId="0" shapeId="0" xr:uid="{0005F48A-7CE6-4D5C-B420-DF05C98F99B6}">
      <text>
        <r>
          <rPr>
            <sz val="9"/>
            <color indexed="81"/>
            <rFont val="Tahoma"/>
            <family val="2"/>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family val="2"/>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91D078F6-38F1-4335-9522-78E53FD3537F}">
      <text>
        <r>
          <rPr>
            <sz val="9"/>
            <color indexed="81"/>
            <rFont val="Tahoma"/>
            <family val="2"/>
          </rPr>
          <t>DSM parameter reference
PURPOSE: Document source for DSM parameters
ACTION: Enter Reference_ID from 6_1_Reference_Manager
EXAMPLE: R025</t>
        </r>
      </text>
    </comment>
    <comment ref="O1" authorId="0" shapeId="0" xr:uid="{480FAE94-0CB1-4BC6-A86D-761BA0C5C513}">
      <text>
        <r>
          <rPr>
            <sz val="9"/>
            <color indexed="81"/>
            <rFont val="Tahoma"/>
            <family val="2"/>
          </rPr>
          <t>DSM parameter reference
PURPOSE: Document source for DSM parameters
ACTION: Enter Reference_ID from 6_1_Reference_Manager
EXAMPLE: R025</t>
        </r>
      </text>
    </comment>
    <comment ref="P1" authorId="0" shapeId="0" xr:uid="{2B002143-3558-4C15-9BD9-52FF9A3C6C97}">
      <text>
        <r>
          <rPr>
            <sz val="9"/>
            <color indexed="81"/>
            <rFont val="Tahoma"/>
            <family val="2"/>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family val="2"/>
          </rPr>
          <t>Completion flag
PURPOSE: Mark row as verified and complete
ACTION: Check box after all data verified
Used for progress tracking.</t>
        </r>
      </text>
    </comment>
    <comment ref="B1" authorId="0" shapeId="0" xr:uid="{4F7EAB6F-4DC4-4B02-A7AA-2B2C361CA862}">
      <text>
        <r>
          <rPr>
            <sz val="9"/>
            <color indexed="81"/>
            <rFont val="Tahoma"/>
            <family val="2"/>
          </rPr>
          <t>Auto-generated row identifier
PURPOSE: Unique sequential number for data integrity
ACTION: System-generated. Do not modify.</t>
        </r>
      </text>
    </comment>
    <comment ref="I1" authorId="0" shapeId="0" xr:uid="{6FD31DF2-5387-44BB-BA02-ABAFE0236587}">
      <text>
        <r>
          <rPr>
            <sz val="9"/>
            <color indexed="81"/>
            <rFont val="Tahoma"/>
            <family val="2"/>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family val="2"/>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0BDEFA1F-272C-45DC-84C6-2D15F09C1C3C}">
      <text>
        <r>
          <rPr>
            <sz val="9"/>
            <color indexed="81"/>
            <rFont val="Tahoma"/>
            <family val="2"/>
          </rPr>
          <t>FOMP parameter reference
PURPOSE: Document source for decay parameters
ACTION: Enter Reference_ID from 6_1_Reference_Manager
EXAMPLE: R030</t>
        </r>
      </text>
    </comment>
    <comment ref="N1" authorId="0" shapeId="0" xr:uid="{CC779D20-8230-468B-A350-DBFD5E86DDB9}">
      <text>
        <r>
          <rPr>
            <sz val="9"/>
            <color indexed="81"/>
            <rFont val="Tahoma"/>
            <family val="2"/>
          </rPr>
          <t>FOMP parameter reference
PURPOSE: Document source for decay parameters
ACTION: Enter Reference_ID from 6_1_Reference_Manager
EXAMPLE: R030</t>
        </r>
      </text>
    </comment>
    <comment ref="O1" authorId="0" shapeId="0" xr:uid="{FE4D71B2-59E3-4E4C-8B6B-8908CFC786C1}">
      <text>
        <r>
          <rPr>
            <sz val="9"/>
            <color indexed="81"/>
            <rFont val="Tahoma"/>
            <family val="2"/>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family val="2"/>
          </rPr>
          <t>Auto-generated row identifier
PURPOSE: Unique sequential number for data integrity
ACTION: System-generated. Do not modify.</t>
        </r>
      </text>
    </comment>
    <comment ref="D1" authorId="0" shapeId="0" xr:uid="{2CBC331A-8109-4F62-B1E0-0CC93E420972}">
      <text>
        <r>
          <rPr>
            <sz val="9"/>
            <color indexed="81"/>
            <rFont val="Tahoma"/>
            <family val="2"/>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family val="2"/>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family val="2"/>
          </rPr>
          <t>Mean value
PURPOSE: Center of normal distribution
ACTION: Enter average/expected value
EXAMPLE: 0.75
REQUIRED: For Normal</t>
        </r>
      </text>
    </comment>
    <comment ref="G1" authorId="0" shapeId="0" xr:uid="{206A7CB6-FEF1-42D3-9EDF-59507EF69FD2}">
      <text>
        <r>
          <rPr>
            <sz val="9"/>
            <color indexed="81"/>
            <rFont val="Tahoma"/>
            <family val="2"/>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family val="2"/>
          </rPr>
          <t>Minimum value
PURPOSE: Lower bound for parameter
ACTION: Enter minimum plausible value
EXAMPLE: 0.5
REQUIRED: For Uniform and Triangular</t>
        </r>
      </text>
    </comment>
    <comment ref="I1" authorId="0" shapeId="0" xr:uid="{0675BA61-6859-4CC1-9F0D-6AF510AD6E6F}">
      <text>
        <r>
          <rPr>
            <sz val="9"/>
            <color indexed="81"/>
            <rFont val="Tahoma"/>
            <family val="2"/>
          </rPr>
          <t>Maximum value
PURPOSE: Upper bound for parameter
ACTION: Enter maximum plausible value
EXAMPLE: 0.9
REQUIRED: For Uniform and Triangular</t>
        </r>
      </text>
    </comment>
    <comment ref="J1" authorId="0" shapeId="0" xr:uid="{8635DAAC-71B4-4FE1-B91E-8D212BD2DC46}">
      <text>
        <r>
          <rPr>
            <sz val="9"/>
            <color indexed="81"/>
            <rFont val="Tahoma"/>
            <family val="2"/>
          </rPr>
          <t>Most likely value
PURPOSE: Peak of triangular distribution
ACTION: Enter most probable value (between Min and Max)
EXAMPLE: 0.75
REQUIRED: For Triangular only</t>
        </r>
      </text>
    </comment>
    <comment ref="L1" authorId="0" shapeId="0" xr:uid="{CB0D4DC3-EEA6-44A3-80A7-8616CBB61748}">
      <text>
        <r>
          <rPr>
            <sz val="9"/>
            <color indexed="81"/>
            <rFont val="Tahoma"/>
            <family val="2"/>
          </rPr>
          <t>Uncertainty parameter reference
PURPOSE: Document source for uncertainty range
ACTION: Enter Reference_ID from 6_1_Reference_Manager
EXAMPLE: R035</t>
        </r>
      </text>
    </comment>
    <comment ref="M1" authorId="0" shapeId="0" xr:uid="{E400CA5F-282F-43D5-9AF1-27DF8ED36CC6}">
      <text>
        <r>
          <rPr>
            <sz val="9"/>
            <color indexed="81"/>
            <rFont val="Tahoma"/>
            <family val="2"/>
          </rPr>
          <t>Uncertainty parameter reference
PURPOSE: Document source for uncertainty range
ACTION: Enter Reference_ID from 6_1_Reference_Manager
EXAMPLE: R035</t>
        </r>
      </text>
    </comment>
    <comment ref="N1" authorId="0" shapeId="0" xr:uid="{EFA3D164-11F3-4E0B-9919-918422CBB666}">
      <text>
        <r>
          <rPr>
            <sz val="9"/>
            <color indexed="81"/>
            <rFont val="Tahoma"/>
            <family val="2"/>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family val="2"/>
          </rPr>
          <t>Auto-generated row identifier
PURPOSE: Unique sequential number for data integrity
ACTION: System-generated. Do not modify.</t>
        </r>
      </text>
    </comment>
    <comment ref="B1" authorId="0" shapeId="0" xr:uid="{2A5887C5-6C33-4551-BA2C-F6A8FB12EA23}">
      <text>
        <r>
          <rPr>
            <sz val="9"/>
            <color indexed="81"/>
            <rFont val="Tahoma"/>
            <family val="2"/>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family val="2"/>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family val="2"/>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family val="2"/>
          </rPr>
          <t>Completion flag
PURPOSE: Mark row as verified and complete
ACTION: Check box after all data verified
Used for progress tracking.</t>
        </r>
      </text>
    </comment>
    <comment ref="B1" authorId="0" shapeId="0" xr:uid="{28469170-94FF-4A84-B8B7-2C53DA0172E4}">
      <text>
        <r>
          <rPr>
            <sz val="9"/>
            <color indexed="81"/>
            <rFont val="Tahoma"/>
            <family val="2"/>
          </rPr>
          <t>Auto-generated row identifier
PURPOSE: Unique sequential number for data integrity
ACTION: System-generated. Do not modify.</t>
        </r>
      </text>
    </comment>
    <comment ref="C1" authorId="0" shapeId="0" xr:uid="{51D665BC-1588-46EB-8E3A-270F11F0F7C5}">
      <text>
        <r>
          <rPr>
            <sz val="9"/>
            <color indexed="81"/>
            <rFont val="Tahoma"/>
            <family val="2"/>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family val="2"/>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family val="2"/>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family val="2"/>
          </rPr>
          <t>Publication year
PURPOSE: Year source was published
ACTION: Enter 4-digit year
EXAMPLE: 2022</t>
        </r>
      </text>
    </comment>
    <comment ref="G1" authorId="0" shapeId="0" xr:uid="{975D5102-50F2-4D31-9808-FD7B460CFC79}">
      <text>
        <r>
          <rPr>
            <sz val="9"/>
            <color indexed="81"/>
            <rFont val="Tahoma"/>
            <family val="2"/>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family val="2"/>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family val="2"/>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<sst xmlns="http://schemas.openxmlformats.org/spreadsheetml/2006/main" count="3688" uniqueCount="672">
  <si>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</si>
  <si>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</si>
  <si>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</si>
  <si>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</si>
  <si>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</si>
  <si>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</si>
  <si>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</si>
  <si>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</si>
  <si>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</si>
  <si>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</si>
  <si>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</si>
  <si>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</si>
  <si>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</si>
  <si>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</si>
  <si>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</si>
  <si>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</si>
  <si>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</si>
  <si>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</si>
  <si>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</si>
  <si>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</si>
  <si>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</si>
  <si>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</si>
  <si>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</si>
  <si>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</si>
  <si>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</si>
  <si>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</si>
  <si>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</si>
  <si>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</si>
  <si>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</si>
  <si>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</si>
  <si>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</si>
  <si>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</si>
  <si>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</si>
  <si>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</si>
  <si>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</si>
  <si>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</si>
  <si>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</si>
  <si>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</si>
  <si>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</si>
  <si>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</si>
  <si>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</si>
  <si>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</si>
  <si>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</si>
  <si>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</si>
  <si>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</si>
  <si>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</si>
  <si>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</si>
  <si>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</si>
  <si>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</si>
  <si>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</si>
  <si>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</si>
  <si>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</si>
  <si>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</si>
  <si>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</si>
  <si>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</si>
  <si>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</si>
  <si>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</si>
  <si>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</si>
  <si>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</si>
  <si>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</si>
  <si>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</si>
  <si>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</si>
  <si>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</si>
  <si>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</si>
  <si>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</si>
  <si>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</si>
  <si>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</si>
  <si>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</si>
  <si>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</si>
  <si>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</si>
  <si>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</si>
  <si>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</si>
  <si>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</si>
  <si>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</si>
  <si>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</si>
  <si>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</si>
  <si>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</si>
  <si>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</si>
  <si>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</si>
  <si>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</si>
  <si>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</si>
  <si>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</si>
  <si>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</si>
  <si>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</si>
  <si>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</si>
  <si>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</si>
  <si>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</si>
  <si>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</si>
  <si>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</si>
  <si>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</si>
  <si>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</si>
  <si>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</si>
  <si>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</si>
  <si>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</si>
  <si>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</si>
  <si>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</si>
  <si>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</si>
  <si>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</si>
  <si>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</si>
  <si>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</si>
  <si>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</si>
  <si>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</si>
  <si>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End_Year</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</si>
  <si>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</si>
  <si>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</si>
  <si>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</si>
  <si>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</si>
  <si>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</si>
  <si>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</si>
  <si>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</si>
  <si>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</si>
  <si>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</si>
  <si>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</si>
  <si>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</si>
  <si>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</si>
  <si>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</si>
  <si>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</si>
  <si>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</si>
  <si>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</si>
  <si>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</si>
  <si>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</si>
  <si>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</si>
  <si>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</si>
  <si>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</si>
  <si>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</si>
  <si>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</si>
  <si>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</si>
  <si>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</si>
  <si>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</si>
  <si>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</si>
  <si>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</si>
  <si>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</si>
  <si>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</si>
  <si>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</si>
  <si>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</si>
  <si>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</si>
  <si>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</si>
  <si>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</si>
  <si>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</si>
  <si>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</si>
  <si>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</si>
  <si>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</si>
  <si>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</si>
  <si>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</si>
  <si>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</si>
  <si>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</si>
  <si>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</si>
  <si>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</si>
  <si>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</si>
  <si>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</si>
  <si>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</si>
  <si>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</si>
  <si>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</si>
  <si>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</si>
  <si>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</si>
  <si>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</si>
  <si>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</si>
  <si>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</si>
  <si>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</si>
  <si>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</si>
  <si>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</si>
  <si>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</si>
  <si>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</si>
  <si>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</si>
  <si>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</si>
  <si>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</si>
  <si>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</si>
  <si>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</si>
  <si>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</si>
  <si>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</si>
  <si>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</si>
  <si>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</si>
  <si>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</si>
  <si>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</si>
  <si>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</si>
  <si>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</si>
  <si>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</si>
  <si>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</si>
  <si>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</si>
  <si>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</si>
  <si>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</si>
  <si>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</si>
  <si>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</si>
  <si>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</si>
  <si>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</si>
  <si>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</si>
  <si>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</si>
  <si>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</si>
  <si>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</si>
  <si>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</si>
  <si>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</si>
  <si>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</si>
  <si>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</si>
  <si>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</si>
  <si>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</si>
  <si>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</si>
  <si>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</si>
  <si>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</si>
  <si>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</si>
  <si>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</si>
  <si>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</si>
  <si>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</si>
  <si>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</si>
  <si>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</si>
  <si>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</si>
  <si>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</si>
  <si>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</si>
  <si>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</si>
  <si>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</si>
  <si>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</si>
  <si>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</si>
  <si>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</si>
  <si>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</si>
  <si>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</si>
  <si>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</si>
  <si>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</si>
  <si>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</si>
  <si>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</si>
  <si>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</si>
  <si>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</si>
  <si>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</si>
  <si>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</si>
  <si>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</si>
  <si>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</si>
  <si>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</si>
  <si>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</si>
  <si>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</si>
  <si>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</si>
  <si>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</si>
  <si>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</si>
  <si>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</si>
  <si>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</si>
  <si>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</si>
  <si>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</si>
  <si>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</si>
  <si>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</si>
  <si>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</si>
  <si>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</si>
  <si>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</si>
  <si>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</si>
  <si>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</si>
  <si>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</si>
  <si>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</si>
  <si>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</si>
  <si>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</si>
  <si>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</si>
  <si>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</si>
  <si>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</si>
  <si>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</si>
  <si>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</si>
  <si>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</si>
  <si>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Color Code</t>
  </si>
  <si>
    <t>Discription</t>
  </si>
  <si>
    <t>Data Input</t>
  </si>
  <si>
    <t>Drop_Down</t>
  </si>
  <si>
    <t>Auto_Calculation</t>
  </si>
  <si>
    <t>Comments</t>
  </si>
  <si>
    <t>Green fields require a manual data input</t>
  </si>
  <si>
    <t>Blue fields require the use of an drop down menue</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</si>
  <si>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</si>
  <si>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</si>
  <si>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</si>
  <si>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</si>
  <si>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</si>
  <si>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</si>
  <si>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</si>
  <si>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</si>
  <si>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</si>
  <si>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</si>
  <si>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</si>
  <si>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</si>
  <si>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</si>
  <si>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</si>
  <si>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</si>
  <si>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</si>
  <si>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</si>
  <si>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</si>
  <si>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</si>
  <si>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</si>
  <si>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</si>
  <si>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</si>
  <si>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</si>
  <si>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</si>
  <si>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</si>
  <si>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</si>
  <si>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</si>
  <si>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</si>
  <si>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</si>
  <si>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</si>
  <si>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</si>
  <si>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</si>
  <si>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</si>
  <si>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</si>
  <si>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</si>
  <si>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</si>
  <si>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</si>
  <si>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</si>
  <si>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</si>
  <si>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</si>
  <si>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</si>
  <si>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</si>
  <si>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</si>
  <si>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</si>
  <si>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</si>
  <si>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</si>
  <si>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</si>
  <si>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</si>
  <si>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</si>
  <si>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</si>
  <si>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</si>
  <si>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</si>
  <si>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</si>
  <si>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</si>
  <si>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</si>
  <si>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</si>
  <si>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</si>
  <si>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</si>
  <si>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</si>
  <si>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</si>
  <si>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</si>
  <si>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</si>
  <si>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</si>
  <si>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</si>
  <si>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</si>
  <si>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</si>
  <si>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</si>
  <si>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</si>
  <si>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</si>
  <si>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</si>
  <si>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</si>
  <si>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</si>
  <si>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</si>
  <si>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</si>
  <si>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</si>
  <si>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</si>
  <si>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</si>
  <si>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</si>
  <si>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</si>
  <si>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</si>
  <si>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</si>
  <si>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</si>
  <si>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</si>
  <si>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</si>
  <si>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</si>
  <si>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</si>
  <si>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</si>
  <si>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</si>
  <si>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</si>
  <si>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</si>
  <si>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</si>
  <si>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</si>
  <si>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</si>
  <si>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</si>
  <si>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</si>
  <si>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</si>
  <si>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</si>
  <si>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</si>
  <si>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</si>
  <si>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</si>
  <si>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</si>
  <si>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</si>
  <si>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</si>
  <si>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</si>
  <si>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</si>
  <si>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</si>
  <si>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</si>
  <si>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</si>
  <si>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</si>
  <si>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</si>
  <si>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</si>
  <si>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</si>
  <si>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</si>
  <si>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</si>
  <si>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</si>
  <si>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</si>
  <si>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</si>
  <si>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</si>
  <si>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</si>
  <si>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</si>
  <si>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</si>
  <si>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</si>
  <si>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</si>
  <si>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</si>
  <si>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</si>
  <si>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</si>
  <si>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</si>
  <si>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</si>
  <si>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</si>
  <si>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</si>
  <si>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</si>
  <si>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</si>
  <si>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</si>
  <si>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</si>
  <si>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</si>
  <si>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</si>
  <si>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</si>
  <si>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</si>
  <si>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</si>
  <si>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</si>
  <si>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</si>
  <si>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</si>
  <si>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</si>
  <si>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</si>
  <si>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</si>
  <si>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</si>
  <si>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</si>
  <si>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</si>
  <si>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</si>
  <si>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</si>
  <si>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</si>
  <si>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</si>
  <si>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</si>
  <si>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</si>
  <si>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</si>
  <si>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</si>
  <si>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</si>
  <si>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</si>
  <si>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</si>
  <si>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</si>
  <si>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TC_E1_ID</t>
  </si>
  <si>
    <t>TC_E2_ID</t>
  </si>
  <si>
    <t>TC_E3_ID</t>
  </si>
  <si>
    <t>TC_E4_ID</t>
  </si>
  <si>
    <t>TC_E5_ID</t>
  </si>
  <si>
    <t>TC_E6_ID</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</si>
  <si>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</si>
  <si>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</si>
  <si>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</si>
  <si>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</si>
  <si>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</si>
  <si>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</si>
  <si>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</si>
  <si>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</si>
  <si>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</si>
  <si>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</si>
  <si>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</si>
  <si>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</si>
  <si>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</si>
  <si>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</si>
  <si>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</si>
  <si>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</si>
  <si>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</si>
  <si>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</si>
  <si>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</si>
  <si>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</si>
  <si>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</si>
  <si>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</si>
  <si>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</si>
  <si>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</si>
  <si>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</si>
  <si>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</si>
  <si>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</si>
  <si>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</si>
  <si>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</si>
  <si>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</si>
  <si>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</si>
  <si>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</si>
  <si>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</si>
  <si>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</si>
  <si>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</si>
  <si>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</si>
  <si>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</si>
  <si>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</si>
  <si>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</si>
  <si>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</si>
  <si>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</si>
  <si>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CF_Ref</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</si>
  <si>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</si>
  <si>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</si>
  <si>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</si>
  <si>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</si>
  <si>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</si>
  <si>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</si>
  <si>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</si>
  <si>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</si>
  <si>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</si>
  <si>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</si>
  <si>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</si>
  <si>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</si>
  <si>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</si>
  <si>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</si>
  <si>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</si>
  <si>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</si>
  <si>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</si>
  <si>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</si>
  <si>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</si>
  <si>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</si>
  <si>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</si>
  <si>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</si>
  <si>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</si>
  <si>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</si>
  <si>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</si>
  <si>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</si>
  <si>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</si>
  <si>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</si>
  <si>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</si>
  <si>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</si>
  <si>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</si>
  <si>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</si>
  <si>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</si>
  <si>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</si>
  <si>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</si>
  <si>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</si>
  <si>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</si>
  <si>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</si>
  <si>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</si>
  <si>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</si>
  <si>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</si>
  <si>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</si>
  <si>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0_Configuration</t>
  </si>
  <si>
    <t>6_1_Reference_Manager</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</si>
  <si>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</si>
  <si>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</si>
  <si>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</si>
  <si>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</si>
  <si>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</si>
  <si>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</si>
  <si>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</si>
  <si>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</si>
  <si>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</si>
  <si>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</si>
  <si>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</si>
  <si>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</si>
  <si>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</si>
  <si>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</si>
  <si>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</si>
  <si>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Stock_with_InitialStock_Cohort</t>
  </si>
  <si>
    <t>Stock_with_InitialStock_Decay</t>
  </si>
  <si>
    <t>Basic_Material_Quantity[UoM]</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</si>
  <si>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</si>
  <si>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</si>
  <si>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</si>
  <si>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</si>
  <si>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</si>
  <si>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</si>
  <si>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</si>
  <si>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</si>
  <si>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</si>
  <si>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</si>
  <si>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</si>
  <si>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</si>
  <si>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</si>
  <si>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</si>
  <si>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</si>
  <si>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</si>
  <si>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</si>
  <si>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</si>
  <si>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</si>
  <si>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</si>
  <si>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</si>
  <si>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</si>
  <si>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</si>
  <si>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</si>
  <si>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</si>
  <si>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</si>
  <si>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</si>
  <si>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</si>
  <si>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</si>
  <si>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</si>
  <si>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</si>
  <si>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</si>
  <si>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</si>
  <si>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</si>
  <si>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</si>
  <si>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</si>
  <si>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</si>
  <si>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</si>
  <si>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</si>
  <si>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</si>
  <si>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</si>
  <si>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</si>
  <si>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</si>
  <si>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</si>
  <si>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</si>
  <si>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</si>
  <si>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</si>
  <si>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</si>
  <si>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</si>
  <si>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</si>
  <si>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</si>
  <si>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</si>
  <si>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</si>
  <si>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</si>
  <si>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</si>
  <si>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</si>
  <si>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</si>
  <si>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</si>
  <si>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</si>
  <si>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</si>
  <si>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</si>
  <si>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</si>
  <si>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</si>
  <si>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</si>
  <si>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</si>
  <si>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</si>
  <si>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</si>
  <si>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</si>
  <si>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</si>
  <si>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</si>
  <si>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</si>
  <si>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</si>
  <si>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</si>
  <si>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</si>
  <si>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</si>
  <si>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</si>
  <si>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</si>
  <si>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</si>
  <si>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</si>
  <si>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</si>
  <si>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</si>
  <si>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</si>
  <si>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</si>
  <si>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</si>
  <si>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</si>
  <si>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</si>
  <si>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</si>
  <si>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</si>
  <si>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</si>
  <si>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</si>
  <si>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</si>
  <si>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</si>
  <si>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</si>
  <si>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</si>
  <si>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</si>
  <si>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</si>
  <si>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</si>
  <si>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</si>
  <si>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</si>
  <si>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</si>
  <si>
    <t>IS_material_quantity[UoM]</t>
  </si>
  <si>
    <t>IS_E2_Fraction[%]</t>
  </si>
  <si>
    <t>IS_E3_Fraction[%]</t>
  </si>
  <si>
    <t>IS_E4_Fraction[%]</t>
  </si>
  <si>
    <t>IS_E5_Fraction[%]</t>
  </si>
  <si>
    <t>IS_E6_Fraction[%]</t>
  </si>
  <si>
    <t>Annual_Consumption_Rate[UoM/year]</t>
  </si>
  <si>
    <t>CL_Reference_Manager</t>
  </si>
  <si>
    <t>MC_Ref_2</t>
  </si>
  <si>
    <t>MC_Ref_3</t>
  </si>
  <si>
    <t>FOMP_Ref_1</t>
  </si>
  <si>
    <t>FOMP_Ref_2</t>
  </si>
  <si>
    <t>FOMP_Ref_3</t>
  </si>
  <si>
    <t>DSM_Ref_1</t>
  </si>
  <si>
    <t>DSM_Ref_2</t>
  </si>
  <si>
    <t>DSM_Ref_3</t>
  </si>
  <si>
    <t>IS_Ref_1</t>
  </si>
  <si>
    <t>IS_Ref_2</t>
  </si>
  <si>
    <t>IS_Ref_3</t>
  </si>
  <si>
    <t>Dyn_TC_Ref_3</t>
  </si>
  <si>
    <t>Dyn_TC_Ref_1</t>
  </si>
  <si>
    <t>Dyn_TC_Ref_2</t>
  </si>
  <si>
    <t>Static_TC_Ref_1</t>
  </si>
  <si>
    <t>Static_TC_Ref_2</t>
  </si>
  <si>
    <t>Static_TC_Ref_3</t>
  </si>
  <si>
    <t>Scenario_Ref_1</t>
  </si>
  <si>
    <t>Scenario_Ref_2</t>
  </si>
  <si>
    <t>Scenario_Ref_3</t>
  </si>
  <si>
    <t>Ex_Ref_1</t>
  </si>
  <si>
    <t>Ex_Ref_4</t>
  </si>
  <si>
    <t>Ex_Ref_3</t>
  </si>
  <si>
    <t>Ex_Ref_2</t>
  </si>
  <si>
    <t>Comment_Ref</t>
  </si>
  <si>
    <t>Flow_Ref_1</t>
  </si>
  <si>
    <t>Flow_Ref_2</t>
  </si>
  <si>
    <t>Flow_Ref_3</t>
  </si>
  <si>
    <t>Comment_CF</t>
  </si>
  <si>
    <t>Red fields are reserved for Autocalculations- All red fields are locked</t>
  </si>
  <si>
    <t>Yellow fields are optional and intended for comments and References</t>
  </si>
  <si>
    <t>Sub_ID</t>
  </si>
  <si>
    <t>WELCOME TO 
bioDYM -Systemmanager</t>
  </si>
  <si>
    <t>[Own Assumption]</t>
  </si>
  <si>
    <t>MC_Ref_1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</si>
</sst>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sz val="9"/>
      <color indexed="81"/>
      <name val="Tahoma"/>
      <family val="2"/>
    </font>
    <font>
      <b/>
      <sz val="24"/>
      <name val="Calibri"/>
      <family val="2"/>
      <scheme val="minor"/>
    </font>
    <font>
      <sz val="11"/>
      <color theme="1"/>
      <name val="Arial"/>
      <family val="2"/>
    </font>
    <font>
      <b/>
      <sz val="28"/>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5">
    <border>
      <left/>
      <right/>
      <top/>
      <bottom/>
      <diagonal/>
    </border>
    <border>
      <left/>
      <right/>
      <top/>
      <bottom style="thin">
        <color theme="1"/>
      </bottom>
      <diagonal/>
    </border>
    <border>
      <left/>
      <right/>
      <top style="medium">
        <color indexed="64"/>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top style="thin">
        <color theme="1"/>
      </top>
      <bottom/>
      <diagonal/>
    </border>
    <border>
      <left style="medium">
        <color indexed="64"/>
      </left>
      <right/>
      <top style="medium">
        <color indexed="64"/>
      </top>
      <bottom/>
      <diagonal/>
    </border>
    <border>
      <left/>
      <right style="medium">
        <color indexed="64"/>
      </right>
      <top style="medium">
        <color indexed="64"/>
      </top>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3" applyAlignment="0"/>
    <xf numFmtId="0" fontId="5" fillId="4" borderId="3" applyAlignment="0">
      <protection locked="0"/>
    </xf>
    <xf numFmtId="0" fontId="6" fillId="6" borderId="3" applyAlignment="0">
      <protection locked="0"/>
    </xf>
    <xf numFmtId="49" fontId="9" fillId="12" borderId="0"/>
    <xf numFmtId="0" fontId="5" fillId="5" borderId="3" applyAlignment="0">
      <protection locked="0"/>
    </xf>
    <xf numFmtId="0" fontId="5" fillId="3" borderId="3" applyAlignment="0"/>
    <xf numFmtId="9" fontId="5" fillId="4" borderId="3" applyAlignment="0">
      <protection locked="0"/>
    </xf>
    <xf numFmtId="0" fontId="5" fillId="8" borderId="3">
      <alignment horizontal="left"/>
    </xf>
    <xf numFmtId="0" fontId="5" fillId="4" borderId="3" applyAlignment="0"/>
    <xf numFmtId="0" fontId="5" fillId="0" borderId="3">
      <alignment wrapText="1"/>
    </xf>
  </cellStyleXfs>
  <cellXfs count="105">
    <xf numFmtId="0" fontId="0" fillId="0" borderId="0" xfId="0"/>
    <xf numFmtId="0" fontId="0" fillId="0" borderId="0" xfId="0" applyAlignment="1">
      <alignment wrapText="1"/>
    </xf>
    <xf numFmtId="0" fontId="5" fillId="10" borderId="3" xfId="3"/>
    <xf numFmtId="0" fontId="5" fillId="4" borderId="3" xfId="4">
      <protection locked="0"/>
    </xf>
    <xf numFmtId="0" fontId="5" fillId="10" borderId="4" xfId="3" applyBorder="1"/>
    <xf numFmtId="0" fontId="5" fillId="10" borderId="5" xfId="3" applyBorder="1"/>
    <xf numFmtId="0" fontId="5" fillId="10" borderId="6" xfId="3" applyBorder="1"/>
    <xf numFmtId="0" fontId="3" fillId="0" borderId="1" xfId="0" applyFont="1" applyBorder="1"/>
    <xf numFmtId="4" fontId="5" fillId="10" borderId="3" xfId="3" applyNumberFormat="1"/>
    <xf numFmtId="0" fontId="6" fillId="6" borderId="3" xfId="5">
      <protection locked="0"/>
    </xf>
    <xf numFmtId="0" fontId="5" fillId="4" borderId="3" xfId="1" applyNumberFormat="1" applyFont="1" applyFill="1" applyBorder="1"/>
    <xf numFmtId="0" fontId="5" fillId="10" borderId="9" xfId="3" applyBorder="1"/>
    <xf numFmtId="49" fontId="5" fillId="10" borderId="3" xfId="3" applyNumberFormat="1" applyAlignment="1">
      <alignment horizontal="right"/>
    </xf>
    <xf numFmtId="0" fontId="0" fillId="0" borderId="0" xfId="0" applyAlignment="1">
      <alignment horizontal="right"/>
    </xf>
    <xf numFmtId="0" fontId="5" fillId="10" borderId="3" xfId="3" applyAlignment="1">
      <alignment horizontal="right"/>
    </xf>
    <xf numFmtId="0" fontId="5" fillId="10" borderId="8" xfId="3" applyBorder="1"/>
    <xf numFmtId="10" fontId="5" fillId="4" borderId="3" xfId="4" applyNumberFormat="1">
      <protection locked="0"/>
    </xf>
    <xf numFmtId="0" fontId="5" fillId="10" borderId="13" xfId="3" applyBorder="1"/>
    <xf numFmtId="0" fontId="5" fillId="5" borderId="3" xfId="7">
      <protection locked="0"/>
    </xf>
    <xf numFmtId="9" fontId="5" fillId="10" borderId="3" xfId="1" applyFont="1" applyFill="1" applyBorder="1"/>
    <xf numFmtId="9" fontId="5" fillId="4" borderId="3" xfId="9">
      <protection locked="0"/>
    </xf>
    <xf numFmtId="0" fontId="5" fillId="8" borderId="3" xfId="10">
      <alignment horizontal="left"/>
    </xf>
    <xf numFmtId="0" fontId="6" fillId="6" borderId="3" xfId="5">
      <protection locked="0"/>
      <extLst>
        <ext xmlns:xfpb="http://schemas.microsoft.com/office/spreadsheetml/2022/featurepropertybag" uri="{C7286773-470A-42A8-94C5-96B5CB345126}">
          <xfpb:xfComplement i="0"/>
        </ext>
      </extLst>
    </xf>
    <xf numFmtId="0" fontId="5" fillId="4" borderId="6" xfId="4" applyBorder="1">
      <protection locked="0"/>
    </xf>
    <xf numFmtId="9" fontId="5" fillId="4" borderId="3" xfId="1" applyFont="1" applyFill="1" applyBorder="1" applyProtection="1">
      <protection locked="0"/>
    </xf>
    <xf numFmtId="0" fontId="0" fillId="0" borderId="0" xfId="0" applyAlignment="1">
      <alignment horizontal="center"/>
    </xf>
    <xf numFmtId="10" fontId="0" fillId="0" borderId="0" xfId="0" applyNumberFormat="1"/>
    <xf numFmtId="0" fontId="5" fillId="10" borderId="14" xfId="3" applyBorder="1"/>
    <xf numFmtId="0" fontId="6" fillId="6" borderId="13" xfId="5" applyBorder="1">
      <protection locked="0"/>
    </xf>
    <xf numFmtId="0" fontId="6" fillId="6" borderId="14" xfId="5" applyBorder="1">
      <protection locked="0"/>
    </xf>
    <xf numFmtId="0" fontId="6" fillId="6" borderId="6" xfId="5" applyBorder="1">
      <protection locked="0"/>
    </xf>
    <xf numFmtId="0" fontId="5" fillId="10" borderId="3" xfId="3" applyAlignment="1">
      <alignment textRotation="90" wrapText="1"/>
    </xf>
    <xf numFmtId="0" fontId="3" fillId="0" borderId="0" xfId="0" applyFont="1"/>
    <xf numFmtId="0" fontId="3" fillId="0" borderId="0" xfId="0" applyFont="1" applyAlignment="1">
      <alignment wrapText="1"/>
    </xf>
    <xf numFmtId="0" fontId="0" fillId="0" borderId="15" xfId="0" applyBorder="1"/>
    <xf numFmtId="0" fontId="0" fillId="7" borderId="0" xfId="0" applyFill="1"/>
    <xf numFmtId="0" fontId="0" fillId="7" borderId="15" xfId="0" applyFill="1" applyBorder="1"/>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5" fillId="4" borderId="3" xfId="4" applyAlignment="1">
      <alignment horizontal="right"/>
      <protection locked="0"/>
    </xf>
    <xf numFmtId="0" fontId="5" fillId="5" borderId="3" xfId="7" applyAlignment="1">
      <alignment horizontal="right"/>
      <protection locked="0"/>
    </xf>
    <xf numFmtId="0" fontId="5" fillId="4" borderId="3" xfId="11"/>
    <xf numFmtId="0" fontId="5" fillId="4" borderId="3" xfId="4" applyAlignment="1">
      <alignment wrapText="1"/>
      <protection locked="0"/>
    </xf>
    <xf numFmtId="164" fontId="6" fillId="6" borderId="3" xfId="5" applyNumberFormat="1">
      <protection locked="0"/>
    </xf>
    <xf numFmtId="0" fontId="6" fillId="6" borderId="9" xfId="5" applyBorder="1">
      <protection locked="0"/>
    </xf>
    <xf numFmtId="0" fontId="5" fillId="4" borderId="9" xfId="4" applyBorder="1">
      <protection locked="0"/>
    </xf>
    <xf numFmtId="0" fontId="5" fillId="10" borderId="3" xfId="3">
      <extLst>
        <ext xmlns:xfpb="http://schemas.microsoft.com/office/spreadsheetml/2022/featurepropertybag" uri="{C7286773-470A-42A8-94C5-96B5CB345126}">
          <xfpb:xfComplement i="0"/>
        </ext>
      </extLst>
    </xf>
    <xf numFmtId="0" fontId="5" fillId="10" borderId="16" xfId="3" applyBorder="1"/>
    <xf numFmtId="0" fontId="5" fillId="10" borderId="2" xfId="3" applyBorder="1"/>
    <xf numFmtId="0" fontId="5" fillId="10" borderId="14" xfId="3" applyBorder="1">
      <extLst>
        <ext xmlns:xfpb="http://schemas.microsoft.com/office/spreadsheetml/2022/featurepropertybag" uri="{C7286773-470A-42A8-94C5-96B5CB345126}">
          <xfpb:xfComplement i="0"/>
        </ext>
      </extLst>
    </xf>
    <xf numFmtId="0" fontId="6" fillId="6" borderId="18" xfId="5" applyBorder="1">
      <protection locked="0"/>
    </xf>
    <xf numFmtId="0" fontId="6" fillId="6" borderId="5" xfId="5" applyBorder="1">
      <protection locked="0"/>
    </xf>
    <xf numFmtId="0" fontId="5" fillId="10" borderId="17" xfId="3" applyBorder="1"/>
    <xf numFmtId="0" fontId="6" fillId="6" borderId="7" xfId="5" applyBorder="1">
      <protection locked="0"/>
    </xf>
    <xf numFmtId="0" fontId="5" fillId="4" borderId="14" xfId="4" applyBorder="1">
      <protection locked="0"/>
      <extLst>
        <ext xmlns:xfpb="http://schemas.microsoft.com/office/spreadsheetml/2022/featurepropertybag" uri="{C7286773-470A-42A8-94C5-96B5CB345126}">
          <xfpb:xfComplement i="0"/>
        </ext>
      </extLst>
    </xf>
    <xf numFmtId="0" fontId="5" fillId="10" borderId="12" xfId="3" applyBorder="1"/>
    <xf numFmtId="0" fontId="5" fillId="10" borderId="11" xfId="3" applyBorder="1"/>
    <xf numFmtId="0" fontId="6" fillId="6" borderId="11" xfId="5" applyBorder="1">
      <protection locked="0"/>
    </xf>
    <xf numFmtId="0" fontId="6" fillId="6" borderId="10" xfId="5" applyBorder="1">
      <protection locked="0"/>
    </xf>
    <xf numFmtId="0" fontId="6" fillId="6" borderId="11" xfId="5" applyBorder="1" applyAlignment="1">
      <alignment wrapText="1"/>
      <protection locked="0"/>
    </xf>
    <xf numFmtId="0" fontId="6" fillId="6" borderId="3" xfId="5" applyAlignment="1">
      <alignment wrapText="1"/>
      <protection locked="0"/>
    </xf>
    <xf numFmtId="0" fontId="6" fillId="6" borderId="2" xfId="5" applyBorder="1" applyAlignment="1">
      <alignment wrapText="1"/>
      <protection locked="0"/>
    </xf>
    <xf numFmtId="0" fontId="5" fillId="10" borderId="19" xfId="3" applyBorder="1"/>
    <xf numFmtId="0" fontId="5" fillId="4" borderId="13" xfId="4" applyBorder="1">
      <protection locked="0"/>
    </xf>
    <xf numFmtId="0" fontId="6" fillId="6" borderId="20" xfId="5" applyBorder="1">
      <protection locked="0"/>
    </xf>
    <xf numFmtId="0" fontId="5" fillId="10" borderId="11" xfId="3" applyBorder="1">
      <extLst>
        <ext xmlns:xfpb="http://schemas.microsoft.com/office/spreadsheetml/2022/featurepropertybag" uri="{C7286773-470A-42A8-94C5-96B5CB345126}">
          <xfpb:xfComplement i="0"/>
        </ext>
      </extLst>
    </xf>
    <xf numFmtId="0" fontId="5" fillId="10" borderId="4" xfId="3" applyBorder="1" applyAlignment="1">
      <alignment textRotation="90" wrapText="1"/>
    </xf>
    <xf numFmtId="0" fontId="5" fillId="10" borderId="17" xfId="3" applyBorder="1" applyAlignment="1">
      <alignment textRotation="90" wrapText="1"/>
    </xf>
    <xf numFmtId="0" fontId="6" fillId="6" borderId="14" xfId="5" applyBorder="1" applyAlignment="1">
      <alignment wrapText="1"/>
      <protection locked="0"/>
    </xf>
    <xf numFmtId="0" fontId="5" fillId="10" borderId="13" xfId="3" applyBorder="1" applyAlignment="1">
      <alignment textRotation="90" wrapText="1"/>
    </xf>
    <xf numFmtId="0" fontId="5" fillId="10" borderId="9" xfId="3" applyBorder="1">
      <extLst>
        <ext xmlns:xfpb="http://schemas.microsoft.com/office/spreadsheetml/2022/featurepropertybag" uri="{C7286773-470A-42A8-94C5-96B5CB345126}">
          <xfpb:xfComplement i="0"/>
        </ext>
      </extLst>
    </xf>
    <xf numFmtId="0" fontId="6" fillId="6" borderId="9" xfId="5" applyBorder="1" applyAlignment="1">
      <alignment wrapText="1"/>
      <protection locked="0"/>
    </xf>
    <xf numFmtId="0" fontId="6" fillId="6" borderId="21" xfId="5" applyBorder="1">
      <protection locked="0"/>
    </xf>
    <xf numFmtId="0" fontId="6" fillId="6" borderId="3" xfId="5" applyAlignment="1">
      <alignment horizontal="right"/>
      <protection locked="0"/>
    </xf>
    <xf numFmtId="0" fontId="5" fillId="8" borderId="0" xfId="10" applyBorder="1">
      <alignment horizontal="left"/>
    </xf>
    <xf numFmtId="0" fontId="5" fillId="8" borderId="9" xfId="10" applyBorder="1">
      <alignment horizontal="left"/>
    </xf>
    <xf numFmtId="0" fontId="6" fillId="6" borderId="13" xfId="5" applyBorder="1">
      <protection locked="0"/>
      <extLst>
        <ext xmlns:xfpb="http://schemas.microsoft.com/office/spreadsheetml/2022/featurepropertybag" uri="{C7286773-470A-42A8-94C5-96B5CB345126}">
          <xfpb:xfComplement i="0"/>
        </ext>
      </extLst>
    </xf>
    <xf numFmtId="0" fontId="5" fillId="5" borderId="13" xfId="7" applyBorder="1">
      <protection locked="0"/>
    </xf>
    <xf numFmtId="0" fontId="3" fillId="6" borderId="22" xfId="0" applyFont="1" applyFill="1" applyBorder="1" applyAlignment="1">
      <alignment wrapText="1"/>
    </xf>
    <xf numFmtId="0" fontId="5" fillId="4" borderId="9" xfId="4" applyBorder="1">
      <protection locked="0"/>
      <extLst>
        <ext xmlns:xfpb="http://schemas.microsoft.com/office/spreadsheetml/2022/featurepropertybag" uri="{C7286773-470A-42A8-94C5-96B5CB345126}">
          <xfpb:xfComplement i="0"/>
        </ext>
      </extLst>
    </xf>
    <xf numFmtId="0" fontId="5" fillId="4" borderId="3" xfId="4">
      <protection locked="0"/>
      <extLst>
        <ext xmlns:xfpb="http://schemas.microsoft.com/office/spreadsheetml/2022/featurepropertybag" uri="{C7286773-470A-42A8-94C5-96B5CB345126}">
          <xfpb:xfComplement i="0"/>
        </ext>
      </extLst>
    </xf>
    <xf numFmtId="0" fontId="5" fillId="5" borderId="11" xfId="7" applyBorder="1">
      <protection locked="0"/>
    </xf>
    <xf numFmtId="0" fontId="5" fillId="0" borderId="3" xfId="12">
      <alignment wrapText="1"/>
    </xf>
    <xf numFmtId="0" fontId="5" fillId="0" borderId="13" xfId="12" applyBorder="1">
      <alignment wrapText="1"/>
    </xf>
    <xf numFmtId="0" fontId="5" fillId="0" borderId="3" xfId="12" quotePrefix="1">
      <alignment wrapText="1"/>
    </xf>
    <xf numFmtId="14" fontId="5" fillId="0" borderId="3" xfId="12" applyNumberFormat="1">
      <alignment wrapText="1"/>
    </xf>
    <xf numFmtId="2" fontId="5" fillId="4" borderId="3" xfId="4" applyNumberFormat="1">
      <protection locked="0"/>
    </xf>
    <xf numFmtId="2" fontId="5" fillId="4" borderId="13" xfId="4" applyNumberFormat="1" applyBorder="1">
      <protection locked="0"/>
    </xf>
    <xf numFmtId="0" fontId="5" fillId="0" borderId="13" xfId="12" applyBorder="1" applyAlignment="1">
      <alignment horizontal="center" wrapText="1"/>
    </xf>
    <xf numFmtId="0" fontId="5" fillId="0" borderId="0" xfId="12" applyBorder="1" applyAlignment="1">
      <alignment horizontal="center" wrapText="1"/>
    </xf>
    <xf numFmtId="0" fontId="5" fillId="0" borderId="9" xfId="12" applyBorder="1" applyAlignment="1">
      <alignment horizontal="center" wrapText="1"/>
    </xf>
    <xf numFmtId="0" fontId="8" fillId="7" borderId="0" xfId="10" applyFont="1" applyFill="1" applyBorder="1" applyAlignment="1">
      <alignment horizontal="center" wrapText="1"/>
    </xf>
    <xf numFmtId="0" fontId="0" fillId="0" borderId="13" xfId="0" applyBorder="1" applyAlignment="1">
      <alignment horizontal="center" wrapText="1"/>
    </xf>
    <xf numFmtId="0" fontId="10" fillId="0" borderId="3" xfId="12" quotePrefix="1" applyFont="1" applyAlignment="1">
      <alignment horizontal="center" wrapText="1"/>
    </xf>
    <xf numFmtId="0" fontId="5" fillId="10" borderId="3" xfId="3" applyAlignment="1">
      <alignment horizontal="center" wrapText="1"/>
    </xf>
    <xf numFmtId="0" fontId="6" fillId="6" borderId="23" xfId="5" applyBorder="1" applyAlignment="1">
      <alignment horizontal="center"/>
      <protection locked="0"/>
    </xf>
    <xf numFmtId="0" fontId="6" fillId="6" borderId="2" xfId="5" applyBorder="1" applyAlignment="1">
      <alignment horizontal="center"/>
      <protection locked="0"/>
    </xf>
    <xf numFmtId="0" fontId="6" fillId="6" borderId="24" xfId="5" applyBorder="1" applyAlignment="1">
      <alignment horizontal="center"/>
      <protection locked="0"/>
    </xf>
    <xf numFmtId="0" fontId="0" fillId="7" borderId="0" xfId="0" applyFill="1" applyAlignment="1">
      <alignment horizontal="center"/>
    </xf>
    <xf numFmtId="0" fontId="0" fillId="0" borderId="0" xfId="0" applyAlignment="1">
      <alignment horizontal="center"/>
    </xf>
    <xf numFmtId="0" fontId="0" fillId="9" borderId="0" xfId="0" applyFill="1" applyAlignment="1">
      <alignment horizontal="center"/>
    </xf>
    <xf numFmtId="0" fontId="0" fillId="11" borderId="0" xfId="0" applyFill="1" applyAlignment="1">
      <alignment horizontal="center"/>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06_Infobox" xfId="12" xr:uid="{994FD65B-D902-40F0-A9D6-3515B4EA8ED1}"/>
    <cellStyle name="Ausfüllen" xfId="11" xr:uid="{E5822405-93F3-4B86-A2DC-8BE787BD963C}"/>
    <cellStyle name="Automatisch" xfId="8" xr:uid="{AB3CF321-670F-4285-9BA9-23F48ED325F0}"/>
    <cellStyle name="Explainer" xfId="6" xr:uid="{27C05C50-1692-41BD-902E-FB699DD63B0D}"/>
    <cellStyle name="Neutral" xfId="2" builtinId="28" customBuiltin="1"/>
    <cellStyle name="Normal" xfId="0" builtinId="0"/>
    <cellStyle name="Percent" xfId="1" builtinId="5"/>
  </cellStyles>
  <dxfs count="137">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border>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border>
        <bottom style="dotted">
          <color auto="1"/>
        </bottom>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border>
        <bottom style="dotted">
          <color auto="1"/>
        </bottom>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border diagonalUp="0" diagonalDown="0">
        <left style="medium">
          <color indexed="64"/>
        </left>
        <right style="medium">
          <color indexed="64"/>
        </right>
        <top style="medium">
          <color indexed="64"/>
        </top>
        <bottom style="medium">
          <color indexed="64"/>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4" formatCode="#,##0.00"/>
    </dxf>
    <dxf>
      <numFmt numFmtId="0" formatCode="General"/>
    </dxf>
    <dxf>
      <numFmt numFmtId="0" formatCode="General"/>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alignment horizontal="general"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numFmt numFmtId="0" formatCode="General"/>
    </dxf>
    <dxf>
      <numFmt numFmtId="30" formatCode="@"/>
    </dxf>
    <dxf>
      <extLst>
        <ext xmlns:xfpb="http://schemas.microsoft.com/office/spreadsheetml/2022/featurepropertybag" uri="{0417FA29-78FA-4A13-93AC-8FF0FAFDF519}">
          <xfpb:DXFComplement i="0"/>
        </ext>
      </extLst>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291352</xdr:colOff>
      <xdr:row>1</xdr:row>
      <xdr:rowOff>11205</xdr:rowOff>
    </xdr:from>
    <xdr:to>
      <xdr:col>5</xdr:col>
      <xdr:colOff>3955675</xdr:colOff>
      <xdr:row>9</xdr:row>
      <xdr:rowOff>0</xdr:rowOff>
    </xdr:to>
    <xdr:sp macro="" textlink="">
      <xdr:nvSpPr>
        <xdr:cNvPr id="6" name="Rectangle 5">
          <a:extLst>
            <a:ext uri="{FF2B5EF4-FFF2-40B4-BE49-F238E27FC236}">
              <a16:creationId xmlns:a16="http://schemas.microsoft.com/office/drawing/2014/main" id="{AA5006FF-E54F-62E2-76FA-B20BCEBAD9DD}"/>
            </a:ext>
          </a:extLst>
        </xdr:cNvPr>
        <xdr:cNvSpPr/>
      </xdr:nvSpPr>
      <xdr:spPr>
        <a:xfrm>
          <a:off x="14590058" y="201705"/>
          <a:ext cx="3664323" cy="151279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t>Excel Protection Password</a:t>
          </a:r>
          <a:r>
            <a:rPr lang="en-US" sz="2000" baseline="0"/>
            <a:t> = bioDYM1234</a:t>
          </a:r>
          <a:endParaRPr lang="en-US" sz="2000"/>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8:D61" totalsRowShown="0" headerRowDxfId="133" tableBorderDxfId="132" dataCellStyle="06_Infobox">
  <autoFilter ref="A48:D61" xr:uid="{5BF56347-6A9C-4798-B4F7-BBE2DD93DBFB}"/>
  <tableColumns count="4">
    <tableColumn id="4" xr3:uid="{F250B4D6-8709-4529-BEC9-885138840856}" name="ID" dataCellStyle="06_Infobox"/>
    <tableColumn id="1" xr3:uid="{9E6747DB-124B-42A7-A41E-12980D2B739B}" name="Sheet Name" dataCellStyle="06_Infobox"/>
    <tableColumn id="2" xr3:uid="{104F7507-AB9D-4E24-BEBC-36411C3C8A16}" name="Purpose" dataCellStyle="06_Infobox"/>
    <tableColumn id="3" xr3:uid="{5455BD38-24E6-4A4B-A4D4-0D13156AA586}" name="Click to Visit" dataCellStyle="06_Infobox"/>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6" totalsRowShown="0" headerRowDxfId="131" tableBorderDxfId="130" dataCellStyle="06_Infobox">
  <autoFilter ref="A40:D46" xr:uid="{577305D5-7405-4B8A-BB2F-23B9AEF0E305}"/>
  <tableColumns count="4">
    <tableColumn id="4" xr3:uid="{C84969DD-6344-4E4D-A7EE-3BB0E1CDD2DD}" name="ID" dataCellStyle="06_Infobox"/>
    <tableColumn id="1" xr3:uid="{B1FFD532-2777-429F-BDD1-B6CBE5008BB1}" name="Step" dataCellStyle="06_Infobox"/>
    <tableColumn id="2" xr3:uid="{99666ABC-2265-419D-BBFA-965400BDC471}" name="Instructions" dataCellStyle="06_Infobox"/>
    <tableColumn id="3" xr3:uid="{823AC7A5-7353-43BD-9797-FC5D8A3FB81E}" name="Click to Visit" dataCellStyle="06_Infobox"/>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_Core_concepts" displayName="Tab_Core_concepts" ref="A64:D73" totalsRowShown="0" headerRowDxfId="129" headerRowBorderDxfId="128" tableBorderDxfId="127" totalsRowBorderDxfId="126" dataCellStyle="06_Infobox">
  <autoFilter ref="A64:D73" xr:uid="{42AB2D1B-41C9-4097-81D6-8438F3FF1CEA}"/>
  <tableColumns count="4">
    <tableColumn id="4" xr3:uid="{EC03A51B-1F74-4A83-A01A-77288F2B4BA8}" name="ID" dataCellStyle="06_Infobox"/>
    <tableColumn id="1" xr3:uid="{086BC66A-BDB7-4920-B63C-82329817C1F9}" name="Concept" dataCellStyle="06_Infobox"/>
    <tableColumn id="2" xr3:uid="{16C510CD-923F-4918-9B7C-39923184521D}" name="Explanation" dataCellStyle="06_Infobox"/>
    <tableColumn id="3" xr3:uid="{5309A456-4F5C-415C-8918-32DE33682023}" name="Example" dataCellStyle="06_Infobox"/>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_best_practice" displayName="Tab_best_practice" ref="A80:D88" totalsRowShown="0" headerRowDxfId="125" dataDxfId="123" headerRowBorderDxfId="124" tableBorderDxfId="122" totalsRowBorderDxfId="121" dataCellStyle="06_Infobox">
  <autoFilter ref="A80:D88" xr:uid="{069E0463-CD99-487A-B4F1-E6CC17A1991B}"/>
  <tableColumns count="4">
    <tableColumn id="4" xr3:uid="{98C04902-4686-4241-BE4A-87F25C056AF7}" name="ID" dataDxfId="120" dataCellStyle="06_Infobox"/>
    <tableColumn id="1" xr3:uid="{4AACA95F-07B3-4FFE-884A-3DB7B616208A}" name="Tip" dataDxfId="119" dataCellStyle="06_Infobox"/>
    <tableColumn id="2" xr3:uid="{2C96A191-096B-4FDB-8EDD-D830DB1DEB52}" name="Why It Helps" dataDxfId="118" dataCellStyle="06_Infobox"/>
    <tableColumn id="3" xr3:uid="{30BFF993-E51F-4E14-91F0-C6105DC06560}" name="Column1" dataDxfId="117" dataCellStyle="06_Infobox"/>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_Troubleshooting" displayName="Tab_Troubleshooting" ref="A75:D78" totalsRowShown="0" headerRowDxfId="116" headerRowBorderDxfId="115" tableBorderDxfId="114" totalsRowBorderDxfId="113" dataCellStyle="06_Infobox">
  <autoFilter ref="A75:D78" xr:uid="{AAA3A8DA-80C7-488B-AEDE-B3731DA422F0}"/>
  <tableColumns count="4">
    <tableColumn id="4" xr3:uid="{6B388F59-3BCF-4E91-A6E4-B3220D5E90D4}" name="ID" dataCellStyle="06_Infobox"/>
    <tableColumn id="1" xr3:uid="{07DCE594-CAA9-4C9F-BDCF-CE48B11D95B1}" name="Problem" dataCellStyle="06_Infobox"/>
    <tableColumn id="2" xr3:uid="{7155BF65-9CC1-4B52-9CD7-E026796431FE}" name="Quick Fix" dataCellStyle="06_Infobox"/>
    <tableColumn id="3" xr3:uid="{BC1A93EB-16A7-413F-B9B6-6215BE15AB94}" name="What to Check" dataCellStyle="06_Infobox"/>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12">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0" totalsRowShown="0" tableBorderDxfId="111">
  <autoFilter ref="A1:G50"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0" dataCellStyle="04_Comments"/>
    <tableColumn id="1" xr3:uid="{23E8F131-81B2-4705-927A-A42C393BEDCE}" name="ID" dataDxfId="109">
      <calculatedColumnFormula>ROW()-1</calculatedColumnFormula>
    </tableColumn>
    <tableColumn id="2" xr3:uid="{D694ED25-71D4-4BD1-B627-FBE0FAE9FC8B}" name="Flow_ID" dataDxfId="108">
      <calculatedColumnFormula>"F_"&amp;LEFT(H2,2)&amp;"_"&amp;LEFT(J2,2)</calculatedColumnFormula>
    </tableColumn>
    <tableColumn id="3" xr3:uid="{CA1C6FA9-65CA-47E1-94EA-BBB750256C84}" name="Flow_Name" dataCellStyle="01_Data_Input"/>
    <tableColumn id="47" xr3:uid="{89C43513-5C6C-413A-9A09-0CA6E605F5C6}" name="Description"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Comment_Ref" dataCellStyle="04_Comments"/>
    <tableColumn id="49" xr3:uid="{78A74750-7BC4-4078-B4E5-1748141DA95C}" name="Ex_Ref_1" dataCellStyle="04_Comments"/>
    <tableColumn id="50" xr3:uid="{988F10E0-9E1F-4946-9BED-0DB03E7B9DDF}" name="Ex_Ref_2" dataCellStyle="04_Comments"/>
    <tableColumn id="51" xr3:uid="{5B871F81-CCCC-4928-8F97-CC0990B027EF}" name="Ex_Ref_3" dataCellStyle="04_Comments"/>
    <tableColumn id="52" xr3:uid="{F513E1F3-92C4-4E62-9546-E0A874E4DF11}" name="Ex_Ref_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M600" totalsRowShown="0" headerRowCellStyle="05_Header">
  <autoFilter ref="A1:AM600" xr:uid="{323CB71B-2A7B-4CEF-9473-A7F5A1E6FAAA}"/>
  <tableColumns count="39">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91" dataCellStyle="03_Auto_Calcaulation">
      <calculatedColumnFormula>_xlfn.XLOOKUP(C2,Tab_Def_Flows[Flow_Name],Tab_Def_Flows[Use_E6],,0,)</calculatedColumnFormula>
    </tableColumn>
    <tableColumn id="8" xr3:uid="{99596DFE-48B5-4290-B0F6-A898E061D3F8}" name="Flow_Data_Year" dataCellStyle="01_Data_Input"/>
    <tableColumn id="9" xr3:uid="{1ACF4DEC-161A-4C25-85DA-AEB0305665A1}" name="Flow" dataCellStyle="01_Data_Input"/>
    <tableColumn id="10" xr3:uid="{830F5101-5C33-4F82-BC56-E2BC7AF81364}" name="UoM_Source" dataCellStyle="03_Auto_Calcaulation"/>
    <tableColumn id="14" xr3:uid="{9FAF4F6D-73DD-40F1-85A6-3D1632FE583E}" name="Comment" dataCellStyle="04_Comments"/>
    <tableColumn id="12" xr3:uid="{B06FA8F5-0D11-4BF1-B54B-736F771B035C}" name="Flow_Ref_1" dataCellStyle="04_Comments"/>
    <tableColumn id="13" xr3:uid="{F8DDEFDB-18D7-4DBB-89B2-CD342E1032B6}" name="Flow_Ref_2" dataCellStyle="04_Comments"/>
    <tableColumn id="11" xr3:uid="{4CDA8F79-829B-47EF-ADFC-3E43B62F90A4}" name="Flow_Ref_3" dataCellStyle="04_Comments"/>
    <tableColumn id="23" xr3:uid="{C9D770EA-2F51-4DF1-9F28-8BE644026B42}" name="CF_required?" dataCellStyle="02_Data_Input (DD)"/>
    <tableColumn id="24" xr3:uid="{A0B3F6E9-7AAD-4DC9-BD30-F93F045797DC}" name="CF" dataDxfId="90"/>
    <tableColumn id="25" xr3:uid="{94996270-9A62-4B8C-B04B-D56A7F9FDE30}" name="Name_CF" dataDxfId="89">
      <calculatedColumnFormula>#REF!</calculatedColumnFormula>
    </tableColumn>
    <tableColumn id="15" xr3:uid="{0B4A6621-A483-4D66-A3D0-FA390A449406}" name="Comment_CF" dataCellStyle="04_Comments"/>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8"/>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IF(D2="Yes",W2*Tab_Data_Flows[[#This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IF(E2="Yes",AB2*Tab_Data_Flows[[#This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136" dataCellStyle="04_Comments"/>
    <tableColumn id="1" xr3:uid="{A63F92FA-2376-4B5A-A2DF-588878E604E1}" name="ID" dataDxfId="135">
      <calculatedColumnFormula>ROW()-1</calculatedColumnFormula>
    </tableColumn>
    <tableColumn id="2" xr3:uid="{6D346BEA-29CA-401C-8ABB-6C62791A731A}" name="Process_ID" dataDxfId="13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Z98" totalsRowShown="0" tableBorderDxfId="87" headerRowCellStyle="05_Header">
  <autoFilter ref="A1:Z98" xr:uid="{7602A998-85E6-499A-B1A3-C584F22BB41F}"/>
  <tableColumns count="26">
    <tableColumn id="33" xr3:uid="{2E104FB0-3B3F-413B-B1B0-969D126AA7B1}" name="Complete?" dataDxfId="86" dataCellStyle="04_Comments"/>
    <tableColumn id="1" xr3:uid="{B9E05773-FB7F-407B-8FB3-BE93F6BB50D9}" name="ID" dataDxfId="85">
      <calculatedColumnFormula>ROW()-1</calculatedColumnFormula>
    </tableColumn>
    <tableColumn id="2" xr3:uid="{4324CFF4-5791-4829-80A7-8BA4CF2CD799}" name="Process_ID" dataDxfId="84">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dataCellStyle="03_Auto_Calcaulation">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3_Auto_Calcaulation">
      <calculatedColumnFormula>"TC_E2"&amp;"_"&amp;RIGHT(J2,5)</calculatedColumnFormula>
    </tableColumn>
    <tableColumn id="14" xr3:uid="{C58A0316-8CD5-40B7-8DAC-47E491863B51}" name="E2_TC_Value[%]" dataCellStyle="01_Data_Input [%]"/>
    <tableColumn id="7" xr3:uid="{D1AB31D7-FE03-4FA3-A841-2C6BF096BA38}" name="E3_TC_ID" dataCellStyle="03_Auto_Calcaulation">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3_Auto_Calcaulation">
      <calculatedColumnFormula>"TC_E5"&amp;"_"&amp;RIGHT(J2,5)</calculatedColumnFormula>
    </tableColumn>
    <tableColumn id="9" xr3:uid="{49742E43-7315-4577-8422-C485B1C7EA82}" name="E5_TC_Value[%]" dataCellStyle="01_Data_Input [%]"/>
    <tableColumn id="11" xr3:uid="{88E975CA-F2D8-44B2-BA98-6C3708B14932}" name="E6_TC_ID" dataCellStyle="03_Auto_Calcaulation">
      <calculatedColumnFormula>"TC_E6"&amp;"_"&amp;RIGHT(J2,5)</calculatedColumnFormula>
    </tableColumn>
    <tableColumn id="12" xr3:uid="{40BC332F-5106-49AA-BDD6-5B38368DD552}" name="E6_TC_Value[%]" dataCellStyle="01_Data_Input [%]"/>
    <tableColumn id="48" xr3:uid="{9C12809D-8D40-408C-A396-D73EB8541DC7}" name="Comment" dataCellStyle="04_Comments"/>
    <tableColumn id="15" xr3:uid="{60A38E54-3DB4-4FA1-B913-2325AF0E537F}" name="Static_TC_Ref_1" dataCellStyle="04_Comments"/>
    <tableColumn id="16" xr3:uid="{5E69929B-8B38-44BF-B40E-BECF49355CB7}" name="Static_TC_Ref_2" dataCellStyle="04_Comments"/>
    <tableColumn id="49" xr3:uid="{387957CD-8D09-40B8-A8FF-B016791D738C}" name="Static_TC_Ref_3" dataCellStyle="04_Comments"/>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Dynamic_TC" displayName="Tab_Dynamic_TC" ref="A1:AA149" totalsRowShown="0" headerRowDxfId="83" headerRowBorderDxfId="82" tableBorderDxfId="81">
  <autoFilter ref="A1:AA149" xr:uid="{7602A998-85E6-499A-B1A3-C584F22BB41F}"/>
  <sortState xmlns:xlrd2="http://schemas.microsoft.com/office/spreadsheetml/2017/richdata2" ref="A2:AA149">
    <sortCondition ref="D1:D149"/>
  </sortState>
  <tableColumns count="27">
    <tableColumn id="33" xr3:uid="{8D32234C-9537-417C-B55D-065038402726}" name="Complete?" dataDxfId="80" dataCellStyle="04_Comments"/>
    <tableColumn id="1" xr3:uid="{CE7CE076-C32F-4791-85A9-C6321A66E672}" name="ID" dataDxfId="79">
      <calculatedColumnFormula>ROW()-1</calculatedColumnFormula>
    </tableColumn>
    <tableColumn id="2" xr3:uid="{F7259AFD-9D16-4ACC-BDB2-8D0DCC203B92}" name="Process_ID" dataDxfId="78"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7" dataCellStyle="03_Auto_Calcaulation">
      <calculatedColumnFormula>_xlfn.XLOOKUP($D2,Tab_Def_Processes[Process_Name],Tab_Def_Processes[TC_Configuration],,0,)</calculatedColumnFormula>
    </tableColumn>
    <tableColumn id="10" xr3:uid="{1437CDCC-E7D9-4D67-98AD-AAB0084EBF1F}" name="Stock_Configuration" dataDxfId="76" dataCellStyle="03_Auto_Calcaulation">
      <calculatedColumnFormula>_xlfn.XLOOKUP($D2,Tab_Def_Processes[Process_Name],Tab_Def_Processes[Stock_Configuration],,0,)</calculatedColumnFormula>
    </tableColumn>
    <tableColumn id="8" xr3:uid="{FF6BEEBF-476A-4FA3-AABC-B42AD9B68C8F}" name="Outflow_count" dataDxfId="75" dataCellStyle="03_Auto_Calcaulation">
      <calculatedColumnFormula>_xlfn.XLOOKUP($D2,Tab_Def_Processes[Process_Name],Tab_Def_Processes[Outflow_count],,0,)</calculatedColumnFormula>
    </tableColumn>
    <tableColumn id="13" xr3:uid="{D50D257A-B253-4967-8EAD-E6A5964541AE}" name="Output_Flow" dataDxfId="74"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3"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14" xr3:uid="{FF877C29-1196-4465-990B-FE7E4CC573C0}" name="Dyn_TC_Ref_1" dataCellStyle="04_Comments"/>
    <tableColumn id="17" xr3:uid="{797B8E14-3C43-41D1-9567-A4FB618B2952}" name="Dyn_TC_Ref_2" dataCellStyle="04_Comments"/>
    <tableColumn id="56" xr3:uid="{8A9A92CB-143A-4805-9B5B-6D25EEEC49C2}" name="Dyn_TC_Ref_3"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Initial_Stock" displayName="Tab_Initial_Stock" ref="A1:P51" totalsRowShown="0" tableBorderDxfId="72" headerRowCellStyle="05_Header">
  <autoFilter ref="A1:P51" xr:uid="{7602A998-85E6-499A-B1A3-C584F22BB41F}"/>
  <tableColumns count="16">
    <tableColumn id="24" xr3:uid="{799CF049-9A74-47E4-BCE6-68EB92DFEDD4}" name="Complete?" dataDxfId="71" dataCellStyle="04_Comments"/>
    <tableColumn id="1" xr3:uid="{75AB9428-C675-46D8-B904-74A952E29611}" name="ID" dataDxfId="70">
      <calculatedColumnFormula>ROW()-1</calculatedColumnFormula>
    </tableColumn>
    <tableColumn id="22" xr3:uid="{055CB3E4-C1DF-486D-9F8E-E65039E95278}" name="Stock_ID" dataDxfId="69">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8" dataCellStyle="03_Auto_Calcaulation"/>
    <tableColumn id="17" xr3:uid="{B0D60035-A4D1-4384-BE92-567E3D049F49}" name="IS_Parameter_type" dataDxfId="67" dataCellStyle="02_Data_Input (DD)"/>
    <tableColumn id="18" xr3:uid="{AA418A52-865B-4FB0-8CFC-493764532481}" name="IS_Parameter_Value" dataDxfId="66" dataCellStyle="01_Data_Input"/>
    <tableColumn id="3" xr3:uid="{DE11DF5F-FBE7-4B11-BB02-A382E53EFACF}" name="Comment" dataDxfId="65" dataCellStyle="04_Comments"/>
    <tableColumn id="6" xr3:uid="{9B8D3AC8-AAE6-4434-BAB0-0FF51D522D76}" name="IS_Ref_1" dataDxfId="64" dataCellStyle="04_Comments"/>
    <tableColumn id="7" xr3:uid="{A616F251-D6F4-491D-AEF7-F337FAA2C49C}" name="IS_Ref_2" dataDxfId="63" dataCellStyle="04_Comments"/>
    <tableColumn id="5" xr3:uid="{D46F66B7-6AF3-4972-AC1F-C6188647601A}" name="IS_Ref_3" dataDxfId="62"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_Inital_Stock_Parameter" displayName="Tab_Inital_Stock_Parameter" ref="S1:W22" totalsRowShown="0" tableBorderDxfId="61" headerRowCellStyle="05_Header" dataCellStyle="06_Infobox">
  <autoFilter ref="S1:W22" xr:uid="{73A06D87-EA29-40BA-AF7A-DCE5038F2574}"/>
  <tableColumns count="5">
    <tableColumn id="2" xr3:uid="{41525730-E673-4549-B56E-9B3278701775}" name="IS_Parameter_type" dataCellStyle="06_Infobox"/>
    <tableColumn id="3" xr3:uid="{31CA290E-7DA1-4190-B555-F202E09C6292}" name="Expected_Value_Type" dataCellStyle="06_Infobox"/>
    <tableColumn id="4" xr3:uid="{AD1DD583-224E-4FCA-BF4E-1E859F94D351}" name="Required" dataCellStyle="06_Infobox"/>
    <tableColumn id="5" xr3:uid="{8D89C87B-96CF-4DE3-8D9B-4E970C22F600}" name="Example" dataCellStyle="06_Infobox"/>
    <tableColumn id="6" xr3:uid="{214ACB6A-EFDE-42C8-8338-AF6E8AAC019C}" name="Notes" dataCellStyle="06_Infobox"/>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P81" totalsRowShown="0" headerRowDxfId="60" dataDxfId="59" tableBorderDxfId="58">
  <autoFilter ref="A1:P81" xr:uid="{258723AD-03F6-4700-9C12-0435A55E108D}"/>
  <tableColumns count="16">
    <tableColumn id="1" xr3:uid="{33B8EF63-7663-4BA6-9B91-D446C0C9C276}" name="Complete?" dataCellStyle="04_Comments"/>
    <tableColumn id="2" xr3:uid="{6589C290-508A-4E8E-8896-B6E09EB1B594}" name="ID" dataDxfId="57">
      <calculatedColumnFormula>ROW()-1</calculatedColumnFormula>
    </tableColumn>
    <tableColumn id="4" xr3:uid="{F4E33EB8-7313-4BD5-8A0A-D0E18A2A18E9}" name="Process_ID" dataDxfId="56">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5">
      <calculatedColumnFormula>_xlfn.XLOOKUP($D2,Tab_Def_Processes[Process_Name],Tab_Def_Processes[Process_Logic],,0,)</calculatedColumnFormula>
    </tableColumn>
    <tableColumn id="12" xr3:uid="{A2F17CD8-5CAE-47C5-88AC-65F98D1E04A7}" name="TC_Configuration" dataDxfId="54">
      <calculatedColumnFormula>_xlfn.XLOOKUP($D2,Tab_Def_Processes[Process_Name],Tab_Def_Processes[TC_Configuration],,0,)</calculatedColumnFormula>
    </tableColumn>
    <tableColumn id="13" xr3:uid="{AAC3F32E-5E29-4B43-870A-6E7FC451D4C7}" name="Stock_Configuration" dataDxfId="53">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10" xr3:uid="{AB00E1C9-50CC-437E-9052-AAC4C08F9DC5}" name="DSM_Ref_1" dataCellStyle="04_Comments"/>
    <tableColumn id="11" xr3:uid="{9B982745-69F8-456C-B11B-BC29439AB58F}" name="DSM_Ref_2" dataCellStyle="04_Comments"/>
    <tableColumn id="7" xr3:uid="{0B2BC397-B6C3-49CD-BEB0-F689F5EDEB49}" name="DSM_Ref_3"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_DSM_Distribution" displayName="Tab_DSM_Distribution" ref="R2:W11" totalsRowShown="0" headerRowBorderDxfId="52" tableBorderDxfId="51" totalsRowBorderDxfId="50" headerRowCellStyle="05_Header" dataCellStyle="06_Infobox">
  <autoFilter ref="R2:W11" xr:uid="{0C34C5FF-277A-48C7-AAE6-D43EA526D9DB}"/>
  <tableColumns count="6">
    <tableColumn id="6" xr3:uid="{3A64DE33-E497-41FA-B95D-19F62DDF4B1E}" name="ID" dataDxfId="49" dataCellStyle="06_Infobox"/>
    <tableColumn id="1" xr3:uid="{560FCAD4-BB0D-447D-8AB5-1682245A9E97}" name="DSM_Lifetime_type" dataDxfId="48" dataCellStyle="06_Infobox"/>
    <tableColumn id="8" xr3:uid="{04C08FA3-74C0-4D72-885C-DD18EC6D53D9}" name="Sub_ID" dataDxfId="47" dataCellStyle="06_Infobox"/>
    <tableColumn id="3" xr3:uid="{9002A1A2-1A0D-470C-B416-40DDDB560F80}" name="Required DSM_Parameter" dataDxfId="46" dataCellStyle="06_Infobox"/>
    <tableColumn id="5" xr3:uid="{352C7F78-4AF4-4FE8-A264-0D06EAF07A8E}" name="DSM_Value_Example" dataDxfId="45" dataCellStyle="06_Infobox"/>
    <tableColumn id="7" xr3:uid="{22FE2985-668B-4A0B-B545-2395206467E4}" name="Description" dataDxfId="44" dataCellStyle="06_Infobox"/>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O97" totalsRowShown="0" dataDxfId="42" headerRowBorderDxfId="43" tableBorderDxfId="41" totalsRowBorderDxfId="40" headerRowCellStyle="05_Header">
  <autoFilter ref="A1:O97" xr:uid="{258723AD-03F6-4700-9C12-0435A55E108D}"/>
  <tableColumns count="15">
    <tableColumn id="1" xr3:uid="{45321D18-7A58-4FFA-814A-4BFE5587094A}" name="Complete?" dataDxfId="39" dataCellStyle="04_Comments"/>
    <tableColumn id="2" xr3:uid="{EC881CBD-180B-4D64-9A86-8AA6EC24B7F6}" name="ID" dataDxfId="38">
      <calculatedColumnFormula>ROW()-1</calculatedColumnFormula>
    </tableColumn>
    <tableColumn id="4" xr3:uid="{844E5006-9125-4DE3-A7C3-7D82AE3725EE}" name="Process_ID" dataDxfId="37">
      <calculatedColumnFormula>_xlfn.XLOOKUP($D2,Tab_Def_Processes[Process_Name],Tab_Def_Processes[Process_ID],,0,)</calculatedColumnFormula>
    </tableColumn>
    <tableColumn id="5" xr3:uid="{0A9A4390-230F-4C39-9AF5-D72E04524EC5}" name="Process_Name" dataDxfId="36" dataCellStyle="02_Data_Input (DD)"/>
    <tableColumn id="6" xr3:uid="{27F8000C-3015-4447-BAA8-364798FFAAFF}" name="Process_Logic" dataDxfId="35">
      <calculatedColumnFormula>_xlfn.XLOOKUP($D2,Tab_Def_Processes[Process_Name],#REF!,,0,)</calculatedColumnFormula>
    </tableColumn>
    <tableColumn id="12" xr3:uid="{E84B3ABE-4E12-4E6F-A681-7D39D8B20B42}" name="TC_Configuration" dataDxfId="34">
      <calculatedColumnFormula>_xlfn.XLOOKUP($D2,Tab_Def_Processes[Process_Name],Tab_Def_Processes[TC_Configuration],,0,)</calculatedColumnFormula>
    </tableColumn>
    <tableColumn id="13" xr3:uid="{981DEE9B-FA47-4F47-8F80-39B1E8690449}" name="Stock_Configuration" dataDxfId="33">
      <calculatedColumnFormula>_xlfn.XLOOKUP($D2,Tab_Def_Processes[Process_Name],Tab_Def_Processes[Stock_Configuration],,0,)</calculatedColumnFormula>
    </tableColumn>
    <tableColumn id="3" xr3:uid="{781F7BA1-6A07-4128-9F11-258500CE741A}" name="Outflow_count" dataDxfId="32" dataCellStyle="03_Auto_Calcaulation">
      <calculatedColumnFormula>_xlfn.XLOOKUP(Tab_FOMP[[#This Row],[Process_Name]],Tab_Def_Processes[Process_Name],Tab_Def_Processes[Outflow_count],,0,)</calculatedColumnFormula>
    </tableColumn>
    <tableColumn id="20" xr3:uid="{6A5DD362-CBD4-4CCE-A37A-ABE89C2CE35E}" name="FOMP_Parameter_ID" dataDxfId="31" dataCellStyle="01_Data_Input">
      <calculatedColumnFormula>"P"&amp;Tab_FOMP[[#This Row],[Process_ID]]&amp;"_"&amp;Tab_FOMP[[#This Row],[FOMP_Parameter_type]]</calculatedColumnFormula>
    </tableColumn>
    <tableColumn id="9" xr3:uid="{545D9E22-DCCF-4BE4-8AE0-C675DDC76185}" name="FOMP_Parameter_type" dataDxfId="30" dataCellStyle="02_Data_Input (DD)"/>
    <tableColumn id="15" xr3:uid="{3D2C668B-2C1F-4776-877F-9EF8A202650F}" name="FOMP_Parameter_Value" dataDxfId="29"/>
    <tableColumn id="7" xr3:uid="{7FA70795-CD29-45F6-A55D-70574FC823AC}" name="Comment" dataDxfId="28"/>
    <tableColumn id="11" xr3:uid="{B7902D66-3828-494F-9BA9-CFB2AD48B59C}" name="FOMP_Ref_1" dataDxfId="27" dataCellStyle="04_Comments"/>
    <tableColumn id="10" xr3:uid="{16A9FD5E-BDDF-41D8-9024-9CA3472C7368}" name="FOMP_Ref_2" dataDxfId="26" dataCellStyle="04_Comments"/>
    <tableColumn id="8" xr3:uid="{B91AF410-6B19-4204-A4A9-792FBB7D8207}" name="FOMP_Ref_3" dataDxfId="2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_MC_Simulation" displayName="Tab_MC_Simulation" ref="A1:N26" totalsRowShown="0" headerRowCellStyle="05_Header">
  <autoFilter ref="A1:N26" xr:uid="{3095CCF5-492B-4C20-9D33-0920A98FD616}"/>
  <tableColumns count="14">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4" xr3:uid="{943C847C-6334-4F48-9011-86430AEE7BCC}" name="MC_Ref_1" dataCellStyle="04_Comments"/>
    <tableColumn id="13" xr3:uid="{89A93B8C-D271-4D7E-9EB6-6C1DA50292DA}" name="MC_Ref_2" dataCellStyle="04_Comments"/>
    <tableColumn id="12" xr3:uid="{1282AC53-0EBD-4AD2-80AA-8FFDE4F2289F}" name="MC_Ref_3"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_MC_Distributions" displayName="Tab_MC_Distributions" ref="P1:V10" totalsRowShown="0" headerRowCellStyle="05_Header" dataCellStyle="03_Auto_Calcaulation">
  <autoFilter ref="P1:V10" xr:uid="{71ABAC9C-120A-4AAF-A960-80725C6E6D00}"/>
  <tableColumns count="7">
    <tableColumn id="1" xr3:uid="{CC8CAE7B-A134-4B95-8D76-209BEC53F278}" name="Id" dataCellStyle="03_Auto_Calcaulation"/>
    <tableColumn id="2" xr3:uid="{723C9DB9-F213-48AB-B044-96CB5CAE9D80}" name="Distribution_Type" dataCellStyle="03_Auto_Calcaulation"/>
    <tableColumn id="4" xr3:uid="{C588A139-F2BA-41DE-A8BA-BE60363F928B}" name="Parameter_Name" dataCellStyle="03_Auto_Calcaulation"/>
    <tableColumn id="5" xr3:uid="{BB60DCD0-3B37-4F12-A57C-3332CBABCF9D}" name="Param_1_Required" dataCellStyle="03_Auto_Calcaulation"/>
    <tableColumn id="6" xr3:uid="{0B20BD24-B127-4EE7-8331-8340148BD112}" name="Param_1_Example" dataCellStyle="03_Auto_Calcaulation"/>
    <tableColumn id="7" xr3:uid="{8687AE0B-3579-4820-810E-36729E4D457D}" name="Description" dataCellStyle="03_Auto_Calcaulation"/>
    <tableColumn id="8" xr3:uid="{0394282B-AF63-43A3-9131-1C2625FD49BF}" name="Use_For" dataCellStyle="03_Auto_Calcaulatio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_Scenario_Manager" displayName="Tab_Scenario_Manager" ref="A1:M50" totalsRowShown="0" headerRowBorderDxfId="24" tableBorderDxfId="23" totalsRowBorderDxfId="22" headerRowCellStyle="05_Header">
  <autoFilter ref="A1:M50" xr:uid="{3095CCF5-492B-4C20-9D33-0920A98FD616}"/>
  <tableColumns count="13">
    <tableColumn id="9" xr3:uid="{847C5683-9E78-46CF-90A3-6B93DCA20947}" name="ID" dataDxfId="21" dataCellStyle="03_Auto_Calcaulation">
      <calculatedColumnFormula>ROW()-1</calculatedColumnFormula>
    </tableColumn>
    <tableColumn id="11" xr3:uid="{D79A4623-F4DA-454F-839E-130EAADAAD20}" name="Scenario_Name" dataDxfId="20" dataCellStyle="02_Data_Input (DD)"/>
    <tableColumn id="8" xr3:uid="{01E8E313-886E-4871-BEFB-07692F4C3F92}" name="Scenario_Parameter" dataDxfId="19" dataCellStyle="02_Data_Input (DD)"/>
    <tableColumn id="10" xr3:uid="{50081389-95B1-432A-90DC-EDE157242C39}" name="Parameter_Selection" dataDxfId="18" dataCellStyle="02_Data_Input (DD)"/>
    <tableColumn id="1" xr3:uid="{EB096A20-F252-430D-BE24-9A8C3F89616F}" name="Parameter_Name" dataDxfId="17" dataCellStyle="02_Data_Input (DD)"/>
    <tableColumn id="2" xr3:uid="{6AF4B16C-D4A4-408D-B966-C9B1733D4F40}" name="Operation" dataDxfId="16" dataCellStyle="02_Data_Input (DD)"/>
    <tableColumn id="3" xr3:uid="{EE97CA12-5E52-4F80-A451-F35FCA4D2F7B}" name="New_Value" dataDxfId="15" dataCellStyle="01_Data_Input"/>
    <tableColumn id="6" xr3:uid="{1B45FB7A-4CA2-4F7D-81DB-270B1D81AE53}" name="start_year" dataDxfId="14" dataCellStyle="01_Data_Input"/>
    <tableColumn id="5" xr3:uid="{A6D89D25-2F1B-4F9D-86FE-506D7CB5C8C3}" name="end_year" dataDxfId="13" dataCellStyle="01_Data_Input"/>
    <tableColumn id="4" xr3:uid="{B6084BCA-CF8C-4192-8E9B-085760694F2E}" name="Comment" dataDxfId="12" dataCellStyle="04_Comments"/>
    <tableColumn id="12" xr3:uid="{81136A05-47C9-41E0-B1A9-894E6F0C3A18}" name="Scenario_Ref_1" dataDxfId="11" dataCellStyle="04_Comments"/>
    <tableColumn id="13" xr3:uid="{8905FBB4-C2C8-4CFD-800C-3757441062FA}" name="Scenario_Ref_2" dataDxfId="10" dataCellStyle="04_Comments"/>
    <tableColumn id="7" xr3:uid="{2EF0C295-E4DE-4F6A-A13E-D389351E8291}" name="Scenario_Ref_3" dataDxfId="9"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_Reference_Manager" displayName="Tab_Reference_Manager"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IF(Tab_Reference_Manager[[#This Row],[Complete?]],"["&amp;Tab_Reference_Manager[[#This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8" headerRowBorderDxfId="7" tableBorderDxfId="6" dataCellStyle="06_Infobox">
  <autoFilter ref="A2:C4" xr:uid="{A751E245-CE06-4120-A5B6-983A2C16A83A}"/>
  <tableColumns count="3">
    <tableColumn id="1" xr3:uid="{BEE55201-A320-416B-B2A6-D70873C69341}" name="ID" totalsRowLabel="Total" dataCellStyle="06_Infobox"/>
    <tableColumn id="2" xr3:uid="{D971DC75-914A-4C09-B5D7-6AC4DBA907AE}" name="YesNo" dataCellStyle="06_Infobox"/>
    <tableColumn id="3" xr3:uid="{45A829CF-CF33-4932-9C29-ADB5FCB61638}" name="Description" totalsRowFunction="count" dataCellStyle="06_Infobox"/>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9:C117" totalsRowShown="0">
  <autoFilter ref="A109:C11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35:J151" totalsRowShown="0">
  <autoFilter ref="A135:J151"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2:C126" totalsRowCount="1">
  <autoFilter ref="A122:C12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5" headerRowBorderDxfId="4" tableBorderDxfId="3" dataCellStyle="06_Infobox">
  <autoFilter ref="A21:C28" xr:uid="{A4BAA253-5F93-43FA-B29F-0B6F3C3B9A9C}"/>
  <tableColumns count="3">
    <tableColumn id="1" xr3:uid="{3A2104AE-491E-45BA-88C6-52AF33E41E9B}" name="ID" totalsRowLabel="Total" dataCellStyle="06_Infobox"/>
    <tableColumn id="2" xr3:uid="{AAD1EC56-358F-4A14-A0AD-C4BC8B6E13DE}" name="Process_Logic" dataCellStyle="06_Infobox"/>
    <tableColumn id="3" xr3:uid="{1EB10FD9-8576-45BA-8784-E6052E611FF6}" name="Description" totalsRowFunction="count" dataCellStyle="06_Infobox"/>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dataCellStyle="06_Infobox">
  <autoFilter ref="A39:C45" xr:uid="{325E0C37-7CCF-45E2-B40B-FF504E7C3D6C}"/>
  <tableColumns count="3">
    <tableColumn id="1" xr3:uid="{A68A0BA9-7FCC-4FAD-A789-B3A51BDD69F3}" name="ID" totalsRowLabel="Total" dataCellStyle="06_Infobox"/>
    <tableColumn id="2" xr3:uid="{90E8CBB8-9E59-4752-A56C-5F6E1664398A}" name="Stock_Configuration" dataCellStyle="06_Infobox"/>
    <tableColumn id="3" xr3:uid="{BCD83409-1300-436C-9D27-C6574C417678}" name="Description" totalsRowFunction="count" dataCellStyle="06_Infobox"/>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06" totalsRowCount="1">
  <autoFilter ref="A98:C105"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dataCellStyle="06_Infobox">
  <autoFilter ref="A32:C35" xr:uid="{0D5B933F-1705-4432-B650-38E3B8926808}"/>
  <tableColumns count="3">
    <tableColumn id="1" xr3:uid="{F76DEB1E-317A-455C-88FE-AC87C8B2AE04}" name="ID" totalsRowLabel="Total" dataCellStyle="06_Infobox"/>
    <tableColumn id="2" xr3:uid="{CF4D8657-06BD-4871-9422-990AE2D6EE2A}" name="TC_Configuration" dataCellStyle="06_Infobox"/>
    <tableColumn id="3" xr3:uid="{BE6B86C1-3C07-4E0D-8583-966109ABB789}" name="Description" totalsRowFunction="count" dataCellStyle="06_Infobox"/>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CL_Outflow_Count" displayName="CL_Outflow_Count" ref="A49:C60" totalsRowCount="1" dataCellStyle="06_Infobox">
  <autoFilter ref="A49:C59" xr:uid="{CBB98290-6976-4C78-AFD5-5A36007A869B}"/>
  <tableColumns count="3">
    <tableColumn id="1" xr3:uid="{ECA62A9C-BD21-42EF-ADAC-2840F017BBAD}" name="ID" totalsRowLabel="Total" dataCellStyle="06_Infobox"/>
    <tableColumn id="2" xr3:uid="{DF18E237-6F70-4D1B-AB86-DAEDA3CD8380}" name="Outflow_count" dataCellStyle="06_Infobox"/>
    <tableColumn id="3" xr3:uid="{67581966-183C-48DB-A0BC-B29DE30F0E3A}" name="Description" totalsRowFunction="count" dataCellStyle="06_Infobox"/>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dataCellStyle="06_Infobox">
  <autoFilter ref="A85:C94" xr:uid="{E4A63920-7A66-48C2-A396-4E460748BE88}"/>
  <tableColumns count="3">
    <tableColumn id="1" xr3:uid="{A5E6B5C7-5775-43FB-8B3B-8CFC010FB507}" name="ID" totalsRowLabel="Total" dataCellStyle="06_Infobox"/>
    <tableColumn id="2" xr3:uid="{4699247E-CBD7-4E3F-BEEB-A75B4A5B856D}" name="DSM_material_count" dataCellStyle="06_Infobox"/>
    <tableColumn id="3" xr3:uid="{93A919FC-6206-4ED7-9FC4-824A7738841B}" name="Description" totalsRowFunction="count" dataCellStyle="06_Infobox"/>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29:C133" totalsRowShown="0">
  <autoFilter ref="A129:C133"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Unit_of_Measurement" displayName="CL_Unit_of_Measurement" ref="A8:C16" totalsRowCount="1" headerRowDxfId="2" headerRowBorderDxfId="1" tableBorderDxfId="0" dataCellStyle="06_Infobox">
  <autoFilter ref="A8:C15" xr:uid="{E2293C0A-5756-426A-B8A4-A89491BD1F7E}"/>
  <tableColumns count="3">
    <tableColumn id="1" xr3:uid="{505A46C4-98F2-4944-9378-7D9D5EF097BF}" name="ID" totalsRowLabel="Total" dataCellStyle="06_Infobox"/>
    <tableColumn id="2" xr3:uid="{0205D6CD-02D0-4DBA-AB67-24E2273A5C75}" name="Unit_of_Measurement" dataCellStyle="06_Infobox"/>
    <tableColumn id="3" xr3:uid="{0D3F2421-A05F-4A0A-9536-D3F214963F8C}" name="Description" totalsRowFunction="count" dataCellStyle="06_Infobox"/>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CL_Initial_Stock" displayName="CL_Initial_Stock" ref="A63:C82" totalsRowCount="1" dataCellStyle="06_Infobox">
  <autoFilter ref="A63:C81" xr:uid="{AD8A11AF-C2F8-4E01-B8D6-67E2CCC1A4D5}"/>
  <tableColumns count="3">
    <tableColumn id="1" xr3:uid="{5C952513-DAA3-4B99-B61C-6ADB68D7F1D6}" name="ID" totalsRowLabel="Total" dataCellStyle="06_Infobox"/>
    <tableColumn id="2" xr3:uid="{1E1CA0CF-37FA-4A04-BC0F-EFEA62931305}" name="IS_Parameter_type" dataCellStyle="06_Infobox"/>
    <tableColumn id="3" xr3:uid="{AD8C2F01-F200-417E-AED5-3B712F1D0384}" name="Description" totalsRowFunction="count" dataCellStyle="06_Infobox"/>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CL_Reference_Manager" displayName="CL_Reference_Manager" ref="A154:D164" totalsRowShown="0">
  <autoFilter ref="A154:D164"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2.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0.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1.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 Type="http://schemas.openxmlformats.org/officeDocument/2006/relationships/printerSettings" Target="../printerSettings/printerSettings3.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 Id="rId14"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F89"/>
  <sheetViews>
    <sheetView zoomScale="85" zoomScaleNormal="85" workbookViewId="0">
      <selection activeCell="C35" sqref="C35"/>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s>
  <sheetData>
    <row r="1" spans="1:5" x14ac:dyDescent="0.25">
      <c r="A1" s="85"/>
      <c r="B1" s="91" t="e" vm="1">
        <v>#VALUE!</v>
      </c>
      <c r="C1" s="91"/>
      <c r="D1" s="91"/>
      <c r="E1" s="35"/>
    </row>
    <row r="2" spans="1:5" x14ac:dyDescent="0.25">
      <c r="A2" s="85"/>
      <c r="B2" s="92"/>
      <c r="C2" s="92"/>
      <c r="D2" s="92"/>
      <c r="E2" s="35"/>
    </row>
    <row r="3" spans="1:5" x14ac:dyDescent="0.25">
      <c r="A3" s="85"/>
      <c r="B3" s="92"/>
      <c r="C3" s="92"/>
      <c r="D3" s="92"/>
      <c r="E3" s="35"/>
    </row>
    <row r="4" spans="1:5" x14ac:dyDescent="0.25">
      <c r="A4" s="85"/>
      <c r="B4" s="92"/>
      <c r="C4" s="92"/>
      <c r="D4" s="92"/>
      <c r="E4" s="35"/>
    </row>
    <row r="5" spans="1:5" x14ac:dyDescent="0.25">
      <c r="A5" s="85"/>
      <c r="B5" s="92"/>
      <c r="C5" s="92"/>
      <c r="D5" s="92"/>
      <c r="E5" s="35"/>
    </row>
    <row r="6" spans="1:5" x14ac:dyDescent="0.25">
      <c r="A6" s="85"/>
      <c r="B6" s="92"/>
      <c r="C6" s="92"/>
      <c r="D6" s="92"/>
      <c r="E6" s="35"/>
    </row>
    <row r="7" spans="1:5" x14ac:dyDescent="0.25">
      <c r="A7" s="85"/>
      <c r="B7" s="92"/>
      <c r="C7" s="92"/>
      <c r="D7" s="92"/>
      <c r="E7" s="35"/>
    </row>
    <row r="8" spans="1:5" x14ac:dyDescent="0.25">
      <c r="A8" s="85"/>
      <c r="B8" s="92"/>
      <c r="C8" s="92"/>
      <c r="D8" s="92"/>
      <c r="E8" s="35"/>
    </row>
    <row r="9" spans="1:5" x14ac:dyDescent="0.25">
      <c r="A9" s="85"/>
      <c r="B9" s="92"/>
      <c r="C9" s="92"/>
      <c r="D9" s="92"/>
      <c r="E9" s="35"/>
    </row>
    <row r="10" spans="1:5" x14ac:dyDescent="0.25">
      <c r="A10" s="85"/>
      <c r="B10" s="92"/>
      <c r="C10" s="92"/>
      <c r="D10" s="92"/>
      <c r="E10" s="35"/>
    </row>
    <row r="11" spans="1:5" x14ac:dyDescent="0.25">
      <c r="A11" s="85"/>
      <c r="B11" s="92"/>
      <c r="C11" s="92"/>
      <c r="D11" s="92"/>
      <c r="E11" s="35"/>
    </row>
    <row r="12" spans="1:5" x14ac:dyDescent="0.25">
      <c r="A12" s="85"/>
      <c r="B12" s="92"/>
      <c r="C12" s="92"/>
      <c r="D12" s="92"/>
      <c r="E12" s="35"/>
    </row>
    <row r="13" spans="1:5" x14ac:dyDescent="0.25">
      <c r="A13" s="85"/>
      <c r="B13" s="92"/>
      <c r="C13" s="92"/>
      <c r="D13" s="92"/>
      <c r="E13" s="35"/>
    </row>
    <row r="14" spans="1:5" x14ac:dyDescent="0.25">
      <c r="A14" s="85"/>
      <c r="B14" s="92"/>
      <c r="C14" s="92"/>
      <c r="D14" s="92"/>
      <c r="E14" s="35"/>
    </row>
    <row r="15" spans="1:5" x14ac:dyDescent="0.25">
      <c r="A15" s="85"/>
      <c r="B15" s="92"/>
      <c r="C15" s="92"/>
      <c r="D15" s="92"/>
      <c r="E15" s="35"/>
    </row>
    <row r="16" spans="1:5" x14ac:dyDescent="0.25">
      <c r="A16" s="85"/>
      <c r="B16" s="93"/>
      <c r="C16" s="93"/>
      <c r="D16" s="93"/>
      <c r="E16" s="35"/>
    </row>
    <row r="17" spans="1:5" ht="87.75" customHeight="1" x14ac:dyDescent="0.55000000000000004">
      <c r="A17" s="85"/>
      <c r="B17" s="96" t="s">
        <v>669</v>
      </c>
      <c r="C17" s="96"/>
      <c r="D17" s="96"/>
      <c r="E17" s="35"/>
    </row>
    <row r="18" spans="1:5" x14ac:dyDescent="0.25">
      <c r="A18" s="85"/>
      <c r="B18" s="85" t="s">
        <v>242</v>
      </c>
      <c r="C18" s="85" t="s">
        <v>525</v>
      </c>
      <c r="D18" s="85"/>
      <c r="E18" s="35"/>
    </row>
    <row r="19" spans="1:5" x14ac:dyDescent="0.25">
      <c r="A19" s="85"/>
      <c r="B19" s="85" t="s">
        <v>243</v>
      </c>
      <c r="C19" s="88">
        <v>46070</v>
      </c>
      <c r="D19" s="85"/>
      <c r="E19" s="35"/>
    </row>
    <row r="20" spans="1:5" x14ac:dyDescent="0.25">
      <c r="A20" s="85"/>
      <c r="B20" s="85" t="s">
        <v>269</v>
      </c>
      <c r="C20" s="85" t="s">
        <v>244</v>
      </c>
      <c r="D20" s="85" t="s">
        <v>427</v>
      </c>
      <c r="E20" s="35"/>
    </row>
    <row r="21" spans="1:5" x14ac:dyDescent="0.25">
      <c r="A21" s="85"/>
      <c r="B21" s="85"/>
      <c r="C21" s="85" t="s">
        <v>425</v>
      </c>
      <c r="D21" s="85" t="s">
        <v>427</v>
      </c>
      <c r="E21" s="35"/>
    </row>
    <row r="22" spans="1:5" x14ac:dyDescent="0.25">
      <c r="A22" s="85"/>
      <c r="B22" s="85"/>
      <c r="C22" s="85" t="s">
        <v>64</v>
      </c>
      <c r="D22" s="85" t="s">
        <v>427</v>
      </c>
      <c r="E22" s="35"/>
    </row>
    <row r="23" spans="1:5" x14ac:dyDescent="0.25">
      <c r="A23" s="85"/>
      <c r="B23" s="85"/>
      <c r="C23" s="85" t="s">
        <v>426</v>
      </c>
      <c r="D23" s="85" t="s">
        <v>427</v>
      </c>
      <c r="E23" s="35"/>
    </row>
    <row r="24" spans="1:5" x14ac:dyDescent="0.25">
      <c r="A24" s="85"/>
      <c r="B24" s="85" t="s">
        <v>245</v>
      </c>
      <c r="C24" s="85" t="s">
        <v>246</v>
      </c>
      <c r="D24" s="85"/>
      <c r="E24" s="35"/>
    </row>
    <row r="25" spans="1:5" x14ac:dyDescent="0.25">
      <c r="A25" s="85"/>
      <c r="B25" s="85"/>
      <c r="C25" s="85"/>
      <c r="D25" s="85"/>
      <c r="E25" s="35"/>
    </row>
    <row r="26" spans="1:5" x14ac:dyDescent="0.25">
      <c r="A26" s="85"/>
      <c r="B26" s="85"/>
      <c r="C26" s="85"/>
      <c r="D26" s="85"/>
      <c r="E26" s="35"/>
    </row>
    <row r="27" spans="1:5" ht="31.5" customHeight="1" x14ac:dyDescent="0.5">
      <c r="A27" s="94" t="s">
        <v>202</v>
      </c>
      <c r="B27" s="94"/>
      <c r="C27" s="94"/>
      <c r="D27" s="94"/>
      <c r="E27" s="35"/>
    </row>
    <row r="28" spans="1:5" x14ac:dyDescent="0.25">
      <c r="A28" s="81" t="s">
        <v>4</v>
      </c>
      <c r="B28" s="81" t="s">
        <v>248</v>
      </c>
      <c r="C28" s="81" t="s">
        <v>249</v>
      </c>
      <c r="D28" s="81" t="s">
        <v>250</v>
      </c>
      <c r="E28" s="35"/>
    </row>
    <row r="29" spans="1:5" ht="181.5" customHeight="1" x14ac:dyDescent="0.25">
      <c r="A29" s="97" t="e" vm="2">
        <v>#VALUE!</v>
      </c>
      <c r="B29" s="97"/>
      <c r="C29" s="97"/>
      <c r="D29" s="97"/>
      <c r="E29" s="35"/>
    </row>
    <row r="30" spans="1:5" ht="181.5" customHeight="1" x14ac:dyDescent="0.25">
      <c r="A30" s="97"/>
      <c r="B30" s="97"/>
      <c r="C30" s="97"/>
      <c r="D30" s="97"/>
      <c r="E30" s="35"/>
    </row>
    <row r="31" spans="1:5" ht="181.5" customHeight="1" x14ac:dyDescent="0.25">
      <c r="A31" s="97"/>
      <c r="B31" s="97"/>
      <c r="C31" s="97"/>
      <c r="D31" s="97"/>
      <c r="E31" s="35"/>
    </row>
    <row r="32" spans="1:5" ht="119.25" customHeight="1" x14ac:dyDescent="0.25">
      <c r="A32" s="97"/>
      <c r="B32" s="97"/>
      <c r="C32" s="97"/>
      <c r="D32" s="97"/>
      <c r="E32" s="35"/>
    </row>
    <row r="33" spans="1:5" x14ac:dyDescent="0.25">
      <c r="A33" s="95"/>
      <c r="B33" s="95"/>
      <c r="C33" s="95"/>
      <c r="D33" s="95"/>
      <c r="E33" s="35"/>
    </row>
    <row r="34" spans="1:5" x14ac:dyDescent="0.25">
      <c r="A34" t="s">
        <v>4</v>
      </c>
      <c r="B34" s="1" t="s">
        <v>251</v>
      </c>
      <c r="C34" s="1" t="s">
        <v>252</v>
      </c>
      <c r="D34" s="1" t="s">
        <v>201</v>
      </c>
      <c r="E34" s="35"/>
    </row>
    <row r="35" spans="1:5" x14ac:dyDescent="0.25">
      <c r="A35" s="37">
        <v>1</v>
      </c>
      <c r="B35" s="37" t="s">
        <v>253</v>
      </c>
      <c r="C35" s="37" t="s">
        <v>257</v>
      </c>
      <c r="D35" s="37" t="s">
        <v>259</v>
      </c>
      <c r="E35" s="35"/>
    </row>
    <row r="36" spans="1:5" x14ac:dyDescent="0.25">
      <c r="A36" s="38">
        <v>2</v>
      </c>
      <c r="B36" s="38" t="s">
        <v>254</v>
      </c>
      <c r="C36" s="38" t="s">
        <v>258</v>
      </c>
      <c r="D36" s="38" t="s">
        <v>260</v>
      </c>
      <c r="E36" s="35"/>
    </row>
    <row r="37" spans="1:5" x14ac:dyDescent="0.25">
      <c r="A37" s="39">
        <v>3</v>
      </c>
      <c r="B37" s="39" t="s">
        <v>255</v>
      </c>
      <c r="C37" s="39" t="s">
        <v>666</v>
      </c>
      <c r="D37" s="39" t="s">
        <v>261</v>
      </c>
      <c r="E37" s="35"/>
    </row>
    <row r="38" spans="1:5" x14ac:dyDescent="0.25">
      <c r="A38" s="40">
        <v>4</v>
      </c>
      <c r="B38" s="40" t="s">
        <v>256</v>
      </c>
      <c r="C38" s="40" t="s">
        <v>667</v>
      </c>
      <c r="D38" s="40" t="s">
        <v>262</v>
      </c>
      <c r="E38" s="35"/>
    </row>
    <row r="39" spans="1:5" ht="31.5" customHeight="1" x14ac:dyDescent="0.5">
      <c r="A39" s="94" t="s">
        <v>247</v>
      </c>
      <c r="B39" s="94"/>
      <c r="C39" s="94"/>
      <c r="D39" s="94"/>
      <c r="E39" s="35"/>
    </row>
    <row r="40" spans="1:5" x14ac:dyDescent="0.25">
      <c r="A40" s="1" t="s">
        <v>4</v>
      </c>
      <c r="B40" s="1" t="s">
        <v>203</v>
      </c>
      <c r="C40" s="1" t="s">
        <v>204</v>
      </c>
      <c r="D40" s="33" t="s">
        <v>210</v>
      </c>
      <c r="E40" s="36"/>
    </row>
    <row r="41" spans="1:5" ht="45" x14ac:dyDescent="0.25">
      <c r="A41" s="85">
        <v>1</v>
      </c>
      <c r="B41" s="85" t="s">
        <v>467</v>
      </c>
      <c r="C41" s="85" t="s">
        <v>468</v>
      </c>
      <c r="D41" s="85" t="s">
        <v>205</v>
      </c>
      <c r="E41" s="36"/>
    </row>
    <row r="42" spans="1:5" ht="30" x14ac:dyDescent="0.25">
      <c r="A42" s="85">
        <v>2</v>
      </c>
      <c r="B42" s="85" t="s">
        <v>469</v>
      </c>
      <c r="C42" s="85" t="s">
        <v>470</v>
      </c>
      <c r="D42" s="85" t="s">
        <v>206</v>
      </c>
      <c r="E42" s="36"/>
    </row>
    <row r="43" spans="1:5" ht="45" x14ac:dyDescent="0.25">
      <c r="A43" s="85">
        <v>3</v>
      </c>
      <c r="B43" s="85" t="s">
        <v>471</v>
      </c>
      <c r="C43" s="85" t="s">
        <v>472</v>
      </c>
      <c r="D43" s="85" t="s">
        <v>207</v>
      </c>
      <c r="E43" s="36"/>
    </row>
    <row r="44" spans="1:5" ht="60" x14ac:dyDescent="0.25">
      <c r="A44" s="85">
        <v>4</v>
      </c>
      <c r="B44" s="85" t="s">
        <v>473</v>
      </c>
      <c r="C44" s="85" t="s">
        <v>474</v>
      </c>
      <c r="D44" s="85" t="s">
        <v>208</v>
      </c>
      <c r="E44" s="36"/>
    </row>
    <row r="45" spans="1:5" ht="30" x14ac:dyDescent="0.25">
      <c r="A45" s="85">
        <v>5</v>
      </c>
      <c r="B45" s="85" t="s">
        <v>475</v>
      </c>
      <c r="C45" s="85" t="s">
        <v>476</v>
      </c>
      <c r="D45" s="85"/>
      <c r="E45" s="35"/>
    </row>
    <row r="46" spans="1:5" ht="75" x14ac:dyDescent="0.25">
      <c r="A46" s="85">
        <v>6</v>
      </c>
      <c r="B46" s="85" t="s">
        <v>477</v>
      </c>
      <c r="C46" s="85" t="s">
        <v>478</v>
      </c>
      <c r="D46" s="85" t="s">
        <v>193</v>
      </c>
      <c r="E46" s="35"/>
    </row>
    <row r="47" spans="1:5" ht="31.5" x14ac:dyDescent="0.5">
      <c r="A47" s="94" t="s">
        <v>209</v>
      </c>
      <c r="B47" s="94"/>
      <c r="C47" s="94"/>
      <c r="D47" s="94"/>
      <c r="E47" s="35"/>
    </row>
    <row r="48" spans="1:5" x14ac:dyDescent="0.25">
      <c r="A48" s="1" t="s">
        <v>4</v>
      </c>
      <c r="B48" s="1" t="s">
        <v>194</v>
      </c>
      <c r="C48" s="1" t="s">
        <v>195</v>
      </c>
      <c r="D48" s="1" t="s">
        <v>210</v>
      </c>
      <c r="E48" s="35"/>
    </row>
    <row r="49" spans="1:5" x14ac:dyDescent="0.25">
      <c r="A49" s="85">
        <v>1</v>
      </c>
      <c r="B49" s="85" t="s">
        <v>509</v>
      </c>
      <c r="C49" s="85" t="s">
        <v>512</v>
      </c>
      <c r="D49" s="85"/>
      <c r="E49" s="35"/>
    </row>
    <row r="50" spans="1:5" x14ac:dyDescent="0.25">
      <c r="A50" s="85">
        <v>2</v>
      </c>
      <c r="B50" s="85" t="s">
        <v>165</v>
      </c>
      <c r="C50" s="85" t="s">
        <v>513</v>
      </c>
      <c r="D50" s="85"/>
      <c r="E50" s="35"/>
    </row>
    <row r="51" spans="1:5" x14ac:dyDescent="0.25">
      <c r="A51" s="85">
        <v>3</v>
      </c>
      <c r="B51" s="85" t="s">
        <v>166</v>
      </c>
      <c r="C51" s="85" t="s">
        <v>514</v>
      </c>
      <c r="D51" s="85"/>
      <c r="E51" s="35"/>
    </row>
    <row r="52" spans="1:5" x14ac:dyDescent="0.25">
      <c r="A52" s="85">
        <v>4</v>
      </c>
      <c r="B52" s="85" t="s">
        <v>167</v>
      </c>
      <c r="C52" s="85" t="s">
        <v>515</v>
      </c>
      <c r="D52" s="85"/>
      <c r="E52" s="35"/>
    </row>
    <row r="53" spans="1:5" x14ac:dyDescent="0.25">
      <c r="A53" s="85">
        <v>5</v>
      </c>
      <c r="B53" s="85" t="s">
        <v>173</v>
      </c>
      <c r="C53" s="85" t="s">
        <v>516</v>
      </c>
      <c r="D53" s="85"/>
      <c r="E53" s="35"/>
    </row>
    <row r="54" spans="1:5" x14ac:dyDescent="0.25">
      <c r="A54" s="85">
        <v>6</v>
      </c>
      <c r="B54" s="85" t="s">
        <v>174</v>
      </c>
      <c r="C54" s="85" t="s">
        <v>517</v>
      </c>
      <c r="D54" s="85"/>
      <c r="E54" s="35"/>
    </row>
    <row r="55" spans="1:5" x14ac:dyDescent="0.25">
      <c r="A55" s="85">
        <v>7</v>
      </c>
      <c r="B55" s="85" t="s">
        <v>175</v>
      </c>
      <c r="C55" s="85" t="s">
        <v>518</v>
      </c>
      <c r="D55" s="85"/>
      <c r="E55" s="35"/>
    </row>
    <row r="56" spans="1:5" x14ac:dyDescent="0.25">
      <c r="A56" s="85">
        <v>8</v>
      </c>
      <c r="B56" s="85" t="s">
        <v>168</v>
      </c>
      <c r="C56" s="85" t="s">
        <v>519</v>
      </c>
      <c r="D56" s="85"/>
      <c r="E56" s="35"/>
    </row>
    <row r="57" spans="1:5" x14ac:dyDescent="0.25">
      <c r="A57" s="85">
        <v>9</v>
      </c>
      <c r="B57" s="85" t="s">
        <v>169</v>
      </c>
      <c r="C57" s="85" t="s">
        <v>520</v>
      </c>
      <c r="D57" s="85"/>
      <c r="E57" s="35"/>
    </row>
    <row r="58" spans="1:5" x14ac:dyDescent="0.25">
      <c r="A58" s="85">
        <v>10</v>
      </c>
      <c r="B58" s="85" t="s">
        <v>171</v>
      </c>
      <c r="C58" s="85" t="s">
        <v>521</v>
      </c>
      <c r="D58" s="85"/>
      <c r="E58" s="35"/>
    </row>
    <row r="59" spans="1:5" x14ac:dyDescent="0.25">
      <c r="A59" s="85">
        <v>11</v>
      </c>
      <c r="B59" s="85" t="s">
        <v>170</v>
      </c>
      <c r="C59" s="85" t="s">
        <v>522</v>
      </c>
      <c r="D59" s="85"/>
      <c r="E59" s="35"/>
    </row>
    <row r="60" spans="1:5" x14ac:dyDescent="0.25">
      <c r="A60" s="85">
        <v>12</v>
      </c>
      <c r="B60" s="85" t="s">
        <v>510</v>
      </c>
      <c r="C60" s="85" t="s">
        <v>523</v>
      </c>
      <c r="D60" s="85"/>
      <c r="E60" s="35"/>
    </row>
    <row r="61" spans="1:5" x14ac:dyDescent="0.25">
      <c r="A61" s="85">
        <v>13</v>
      </c>
      <c r="B61" s="85" t="s">
        <v>511</v>
      </c>
      <c r="C61" s="85" t="s">
        <v>524</v>
      </c>
      <c r="D61" s="85"/>
      <c r="E61" s="35"/>
    </row>
    <row r="62" spans="1:5" x14ac:dyDescent="0.25">
      <c r="E62" s="35"/>
    </row>
    <row r="63" spans="1:5" ht="31.5" customHeight="1" x14ac:dyDescent="0.5">
      <c r="A63" s="94" t="s">
        <v>211</v>
      </c>
      <c r="B63" s="94"/>
      <c r="C63" s="94"/>
      <c r="D63" s="94"/>
      <c r="E63" s="35"/>
    </row>
    <row r="64" spans="1:5" x14ac:dyDescent="0.25">
      <c r="A64" s="1" t="s">
        <v>4</v>
      </c>
      <c r="B64" s="1" t="s">
        <v>212</v>
      </c>
      <c r="C64" s="1" t="s">
        <v>213</v>
      </c>
      <c r="D64" s="1" t="s">
        <v>201</v>
      </c>
      <c r="E64" s="35"/>
    </row>
    <row r="65" spans="1:6" ht="45" x14ac:dyDescent="0.25">
      <c r="A65" s="85">
        <v>1</v>
      </c>
      <c r="B65" s="85" t="s">
        <v>214</v>
      </c>
      <c r="C65" s="85" t="s">
        <v>479</v>
      </c>
      <c r="D65" s="85" t="s">
        <v>215</v>
      </c>
      <c r="E65" s="35"/>
    </row>
    <row r="66" spans="1:6" ht="30" x14ac:dyDescent="0.25">
      <c r="A66" s="85">
        <v>2</v>
      </c>
      <c r="B66" s="85" t="s">
        <v>128</v>
      </c>
      <c r="C66" s="85" t="s">
        <v>480</v>
      </c>
      <c r="D66" s="85" t="s">
        <v>216</v>
      </c>
      <c r="E66" s="35"/>
    </row>
    <row r="67" spans="1:6" ht="120" x14ac:dyDescent="0.25">
      <c r="A67" s="85">
        <v>3</v>
      </c>
      <c r="B67" s="85" t="s">
        <v>121</v>
      </c>
      <c r="C67" s="85" t="s">
        <v>481</v>
      </c>
      <c r="D67" s="85" t="s">
        <v>482</v>
      </c>
      <c r="E67" s="35"/>
    </row>
    <row r="68" spans="1:6" ht="30" x14ac:dyDescent="0.25">
      <c r="A68" s="85">
        <v>4</v>
      </c>
      <c r="B68" s="85" t="s">
        <v>217</v>
      </c>
      <c r="C68" s="85" t="s">
        <v>483</v>
      </c>
      <c r="D68" s="85" t="s">
        <v>218</v>
      </c>
      <c r="E68" s="35"/>
    </row>
    <row r="69" spans="1:6" ht="135" x14ac:dyDescent="0.25">
      <c r="A69" s="85">
        <v>5</v>
      </c>
      <c r="B69" s="85" t="s">
        <v>219</v>
      </c>
      <c r="C69" s="87" t="s">
        <v>484</v>
      </c>
      <c r="D69" s="85" t="s">
        <v>220</v>
      </c>
      <c r="E69" s="35"/>
    </row>
    <row r="70" spans="1:6" ht="120" x14ac:dyDescent="0.25">
      <c r="A70" s="85">
        <v>6</v>
      </c>
      <c r="B70" s="85" t="s">
        <v>485</v>
      </c>
      <c r="C70" s="87" t="s">
        <v>486</v>
      </c>
      <c r="D70" s="85"/>
      <c r="E70" s="35"/>
    </row>
    <row r="71" spans="1:6" ht="150" x14ac:dyDescent="0.25">
      <c r="A71" s="85">
        <v>7</v>
      </c>
      <c r="B71" s="85" t="s">
        <v>487</v>
      </c>
      <c r="C71" s="87" t="s">
        <v>488</v>
      </c>
      <c r="D71" s="85"/>
      <c r="E71" s="35"/>
    </row>
    <row r="72" spans="1:6" ht="120" x14ac:dyDescent="0.25">
      <c r="A72" s="85">
        <v>8</v>
      </c>
      <c r="B72" s="85" t="s">
        <v>489</v>
      </c>
      <c r="C72" s="87" t="s">
        <v>490</v>
      </c>
      <c r="D72" s="85"/>
      <c r="E72" s="35"/>
    </row>
    <row r="73" spans="1:6" ht="195" x14ac:dyDescent="0.25">
      <c r="A73" s="85">
        <v>9</v>
      </c>
      <c r="B73" s="85" t="s">
        <v>491</v>
      </c>
      <c r="C73" s="85" t="s">
        <v>492</v>
      </c>
      <c r="D73" s="85" t="s">
        <v>221</v>
      </c>
      <c r="E73" s="36" t="s">
        <v>193</v>
      </c>
      <c r="F73" s="34" t="s">
        <v>193</v>
      </c>
    </row>
    <row r="74" spans="1:6" ht="31.5" customHeight="1" x14ac:dyDescent="0.5">
      <c r="A74" s="94" t="s">
        <v>222</v>
      </c>
      <c r="B74" s="94"/>
      <c r="C74" s="94"/>
      <c r="D74" s="94"/>
      <c r="E74" s="36" t="s">
        <v>193</v>
      </c>
      <c r="F74" s="34" t="s">
        <v>193</v>
      </c>
    </row>
    <row r="75" spans="1:6" x14ac:dyDescent="0.25">
      <c r="A75" s="1" t="s">
        <v>4</v>
      </c>
      <c r="B75" s="1" t="s">
        <v>197</v>
      </c>
      <c r="C75" s="1" t="s">
        <v>198</v>
      </c>
      <c r="D75" s="1" t="s">
        <v>196</v>
      </c>
      <c r="E75" s="36" t="s">
        <v>193</v>
      </c>
      <c r="F75" s="34" t="s">
        <v>193</v>
      </c>
    </row>
    <row r="76" spans="1:6" ht="60" x14ac:dyDescent="0.25">
      <c r="A76" s="85">
        <v>1</v>
      </c>
      <c r="B76" s="85" t="s">
        <v>223</v>
      </c>
      <c r="C76" s="85" t="s">
        <v>493</v>
      </c>
      <c r="D76" s="85" t="s">
        <v>224</v>
      </c>
      <c r="E76" s="36" t="s">
        <v>193</v>
      </c>
      <c r="F76" s="34" t="s">
        <v>193</v>
      </c>
    </row>
    <row r="77" spans="1:6" ht="75" x14ac:dyDescent="0.25">
      <c r="A77" s="85">
        <v>2</v>
      </c>
      <c r="B77" s="85" t="s">
        <v>225</v>
      </c>
      <c r="C77" s="85" t="s">
        <v>494</v>
      </c>
      <c r="D77" s="85" t="s">
        <v>226</v>
      </c>
      <c r="E77" s="36" t="s">
        <v>193</v>
      </c>
      <c r="F77" s="34" t="s">
        <v>193</v>
      </c>
    </row>
    <row r="78" spans="1:6" ht="60" x14ac:dyDescent="0.25">
      <c r="A78" s="85">
        <v>3</v>
      </c>
      <c r="B78" s="85" t="s">
        <v>227</v>
      </c>
      <c r="C78" s="85" t="s">
        <v>495</v>
      </c>
      <c r="D78" s="85" t="s">
        <v>228</v>
      </c>
      <c r="E78" s="36" t="s">
        <v>193</v>
      </c>
      <c r="F78" s="34" t="s">
        <v>193</v>
      </c>
    </row>
    <row r="79" spans="1:6" ht="31.5" customHeight="1" x14ac:dyDescent="0.5">
      <c r="A79" s="94" t="s">
        <v>229</v>
      </c>
      <c r="B79" s="94"/>
      <c r="C79" s="94"/>
      <c r="D79" s="94"/>
      <c r="E79" s="35"/>
    </row>
    <row r="80" spans="1:6" x14ac:dyDescent="0.25">
      <c r="A80" s="1" t="s">
        <v>4</v>
      </c>
      <c r="B80" s="1" t="s">
        <v>199</v>
      </c>
      <c r="C80" s="1" t="s">
        <v>200</v>
      </c>
      <c r="D80" s="1" t="s">
        <v>63</v>
      </c>
      <c r="E80" s="35"/>
    </row>
    <row r="81" spans="1:5" ht="60" x14ac:dyDescent="0.25">
      <c r="A81" s="85">
        <v>1</v>
      </c>
      <c r="B81" s="85" t="s">
        <v>230</v>
      </c>
      <c r="C81" s="85" t="s">
        <v>496</v>
      </c>
      <c r="D81" s="85"/>
      <c r="E81" s="35"/>
    </row>
    <row r="82" spans="1:5" ht="60" x14ac:dyDescent="0.25">
      <c r="A82" s="85">
        <v>2</v>
      </c>
      <c r="B82" s="85" t="s">
        <v>231</v>
      </c>
      <c r="C82" s="85" t="s">
        <v>497</v>
      </c>
      <c r="D82" s="85"/>
      <c r="E82" s="35"/>
    </row>
    <row r="83" spans="1:5" ht="60" x14ac:dyDescent="0.25">
      <c r="A83" s="85">
        <v>3</v>
      </c>
      <c r="B83" s="85" t="s">
        <v>499</v>
      </c>
      <c r="C83" s="85" t="s">
        <v>498</v>
      </c>
      <c r="D83" s="85"/>
      <c r="E83" s="35"/>
    </row>
    <row r="84" spans="1:5" ht="60" x14ac:dyDescent="0.25">
      <c r="A84" s="85">
        <v>4</v>
      </c>
      <c r="B84" s="85" t="s">
        <v>232</v>
      </c>
      <c r="C84" s="85" t="s">
        <v>500</v>
      </c>
      <c r="D84" s="85"/>
      <c r="E84" s="35"/>
    </row>
    <row r="85" spans="1:5" ht="60" x14ac:dyDescent="0.25">
      <c r="A85" s="85">
        <v>5</v>
      </c>
      <c r="B85" s="85" t="s">
        <v>501</v>
      </c>
      <c r="C85" s="85" t="s">
        <v>502</v>
      </c>
      <c r="D85" s="85"/>
      <c r="E85" s="35"/>
    </row>
    <row r="86" spans="1:5" ht="60" x14ac:dyDescent="0.25">
      <c r="A86" s="85">
        <v>6</v>
      </c>
      <c r="B86" s="85" t="s">
        <v>503</v>
      </c>
      <c r="C86" s="85" t="s">
        <v>504</v>
      </c>
      <c r="D86" s="85"/>
      <c r="E86" s="35"/>
    </row>
    <row r="87" spans="1:5" ht="60" x14ac:dyDescent="0.25">
      <c r="A87" s="85">
        <v>7</v>
      </c>
      <c r="B87" s="85" t="s">
        <v>506</v>
      </c>
      <c r="C87" s="85" t="s">
        <v>505</v>
      </c>
      <c r="D87" s="85"/>
      <c r="E87" s="35"/>
    </row>
    <row r="88" spans="1:5" ht="60" x14ac:dyDescent="0.25">
      <c r="A88" s="85">
        <v>8</v>
      </c>
      <c r="B88" s="85" t="s">
        <v>507</v>
      </c>
      <c r="C88" s="85" t="s">
        <v>508</v>
      </c>
      <c r="D88" s="85"/>
      <c r="E88" s="35"/>
    </row>
    <row r="89" spans="1:5" x14ac:dyDescent="0.25">
      <c r="A89" s="35"/>
      <c r="B89" s="41"/>
      <c r="C89" s="41"/>
      <c r="D89" s="41"/>
      <c r="E89" s="35"/>
    </row>
  </sheetData>
  <sheetProtection algorithmName="SHA-512" hashValue="hlJXZ1CopvrDk+7qLAaiShWyHyrQhkLarM6OcP+4yfCC20QH+tXrpGwdAwlEaZQ3jFYq0o+9DiSkacpR4YN0pg==" saltValue="8r+oVbY2p4MB3RiGYBypXg==" spinCount="100000" sheet="1" scenarios="1" selectLockedCells="1"/>
  <mergeCells count="10">
    <mergeCell ref="B1:D16"/>
    <mergeCell ref="A74:D74"/>
    <mergeCell ref="A79:D79"/>
    <mergeCell ref="A33:D33"/>
    <mergeCell ref="B17:D17"/>
    <mergeCell ref="A27:D27"/>
    <mergeCell ref="A39:D39"/>
    <mergeCell ref="A47:D47"/>
    <mergeCell ref="A63:D63"/>
    <mergeCell ref="A29:D32"/>
  </mergeCells>
  <phoneticPr fontId="2" type="noConversion"/>
  <hyperlinks>
    <hyperlink ref="C24" r:id="rId1" xr:uid="{F5A5B9F7-3B79-4E7B-A617-F0BFC3531349}"/>
  </hyperlinks>
  <pageMargins left="0.7" right="0.7" top="0.75" bottom="0.75" header="0.3" footer="0.3"/>
  <drawing r:id="rId2"/>
  <tableParts count="6">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0"/>
  <sheetViews>
    <sheetView topLeftCell="A37" zoomScale="130" zoomScaleNormal="130" workbookViewId="0">
      <selection activeCell="E10" sqref="E10"/>
    </sheetView>
  </sheetViews>
  <sheetFormatPr defaultRowHeight="15" x14ac:dyDescent="0.25"/>
  <cols>
    <col min="1" max="1" width="27.85546875" customWidth="1"/>
    <col min="2" max="2" width="35" customWidth="1"/>
    <col min="3" max="4" width="31.28515625" customWidth="1"/>
    <col min="5" max="5" width="26.140625" customWidth="1"/>
    <col min="6" max="6" width="43.42578125" customWidth="1"/>
    <col min="7" max="7" width="17" customWidth="1"/>
    <col min="8" max="8" width="20.5703125" customWidth="1"/>
  </cols>
  <sheetData>
    <row r="1" spans="1:7" ht="15.75" thickBot="1" x14ac:dyDescent="0.3">
      <c r="A1" t="s">
        <v>119</v>
      </c>
      <c r="B1" t="s">
        <v>164</v>
      </c>
      <c r="C1" t="s">
        <v>67</v>
      </c>
      <c r="D1" t="s">
        <v>337</v>
      </c>
      <c r="E1" t="s">
        <v>1</v>
      </c>
      <c r="F1" t="s">
        <v>99</v>
      </c>
      <c r="G1" t="s">
        <v>100</v>
      </c>
    </row>
    <row r="2" spans="1:7" ht="40.5" customHeight="1" x14ac:dyDescent="0.25">
      <c r="A2" s="50" t="s">
        <v>292</v>
      </c>
      <c r="B2" s="51" t="s">
        <v>282</v>
      </c>
      <c r="C2" s="52" t="b">
        <v>1</v>
      </c>
      <c r="D2" s="27"/>
      <c r="E2" s="71" t="s">
        <v>307</v>
      </c>
      <c r="F2" s="29"/>
      <c r="G2" s="53" t="s">
        <v>429</v>
      </c>
    </row>
    <row r="3" spans="1:7" ht="15" customHeight="1" x14ac:dyDescent="0.25">
      <c r="A3" s="4"/>
      <c r="B3" s="2" t="s">
        <v>283</v>
      </c>
      <c r="C3" s="2" t="s">
        <v>284</v>
      </c>
      <c r="D3" s="2"/>
      <c r="E3" s="9" t="s">
        <v>308</v>
      </c>
      <c r="F3" s="9"/>
      <c r="G3" s="54" t="s">
        <v>429</v>
      </c>
    </row>
    <row r="4" spans="1:7" ht="15" customHeight="1" x14ac:dyDescent="0.25">
      <c r="A4" s="4"/>
      <c r="B4" s="11" t="s">
        <v>101</v>
      </c>
      <c r="C4" s="48">
        <v>2025</v>
      </c>
      <c r="D4" s="2"/>
      <c r="E4" s="9" t="s">
        <v>309</v>
      </c>
      <c r="F4" s="9"/>
      <c r="G4" s="54" t="s">
        <v>429</v>
      </c>
    </row>
    <row r="5" spans="1:7" ht="15" customHeight="1" thickBot="1" x14ac:dyDescent="0.3">
      <c r="A5" s="55"/>
      <c r="B5" s="6" t="s">
        <v>102</v>
      </c>
      <c r="C5" s="23">
        <v>2050</v>
      </c>
      <c r="D5" s="6"/>
      <c r="E5" s="30" t="s">
        <v>310</v>
      </c>
      <c r="F5" s="30"/>
      <c r="G5" s="56" t="s">
        <v>429</v>
      </c>
    </row>
    <row r="6" spans="1:7" ht="40.5" customHeight="1" x14ac:dyDescent="0.25">
      <c r="A6" s="15" t="s">
        <v>296</v>
      </c>
      <c r="B6" s="11" t="s">
        <v>287</v>
      </c>
      <c r="C6" s="73" t="b">
        <v>0</v>
      </c>
      <c r="D6" s="11"/>
      <c r="E6" s="74" t="s">
        <v>313</v>
      </c>
      <c r="F6" s="47"/>
      <c r="G6" s="75" t="s">
        <v>428</v>
      </c>
    </row>
    <row r="7" spans="1:7" ht="15" customHeight="1" x14ac:dyDescent="0.25">
      <c r="A7" s="4"/>
      <c r="B7" s="2" t="s">
        <v>290</v>
      </c>
      <c r="C7" s="2" t="s">
        <v>311</v>
      </c>
      <c r="D7" s="2"/>
      <c r="E7" s="9" t="s">
        <v>312</v>
      </c>
      <c r="F7" s="9"/>
      <c r="G7" s="54" t="s">
        <v>428</v>
      </c>
    </row>
    <row r="8" spans="1:7" ht="15" customHeight="1" x14ac:dyDescent="0.25">
      <c r="A8" s="4"/>
      <c r="B8" s="2" t="s">
        <v>291</v>
      </c>
      <c r="C8" s="2"/>
      <c r="D8" s="2"/>
      <c r="E8" s="9"/>
      <c r="F8" s="9"/>
      <c r="G8" s="54" t="s">
        <v>428</v>
      </c>
    </row>
    <row r="9" spans="1:7" ht="15" customHeight="1" thickBot="1" x14ac:dyDescent="0.3">
      <c r="A9" s="65"/>
      <c r="B9" s="17" t="s">
        <v>336</v>
      </c>
      <c r="C9" s="2"/>
      <c r="D9" s="2"/>
      <c r="E9" s="28"/>
      <c r="F9" s="28"/>
      <c r="G9" s="67" t="s">
        <v>428</v>
      </c>
    </row>
    <row r="10" spans="1:7" ht="44.25" customHeight="1" thickBot="1" x14ac:dyDescent="0.3">
      <c r="A10" s="58" t="s">
        <v>295</v>
      </c>
      <c r="B10" s="59" t="s">
        <v>288</v>
      </c>
      <c r="C10" s="68" t="b">
        <v>0</v>
      </c>
      <c r="D10" s="59"/>
      <c r="E10" s="62" t="s">
        <v>299</v>
      </c>
      <c r="F10" s="60"/>
      <c r="G10" s="61" t="s">
        <v>428</v>
      </c>
    </row>
    <row r="11" spans="1:7" ht="21.75" customHeight="1" x14ac:dyDescent="0.25">
      <c r="A11" s="2"/>
      <c r="B11" s="2" t="s">
        <v>322</v>
      </c>
      <c r="C11" s="2" t="s">
        <v>328</v>
      </c>
      <c r="D11" s="2">
        <v>1</v>
      </c>
      <c r="E11" s="63"/>
      <c r="F11" s="9"/>
      <c r="G11" s="9" t="s">
        <v>428</v>
      </c>
    </row>
    <row r="12" spans="1:7" ht="21.75" customHeight="1" x14ac:dyDescent="0.25">
      <c r="A12" s="2"/>
      <c r="B12" s="2" t="s">
        <v>323</v>
      </c>
      <c r="C12" s="2" t="s">
        <v>329</v>
      </c>
      <c r="D12" s="2">
        <v>2</v>
      </c>
      <c r="E12" s="63"/>
      <c r="F12" s="9"/>
      <c r="G12" s="9" t="s">
        <v>428</v>
      </c>
    </row>
    <row r="13" spans="1:7" ht="21.75" customHeight="1" x14ac:dyDescent="0.25">
      <c r="A13" s="2"/>
      <c r="B13" s="2" t="s">
        <v>324</v>
      </c>
      <c r="C13" s="2" t="s">
        <v>330</v>
      </c>
      <c r="D13" s="2">
        <v>3</v>
      </c>
      <c r="E13" s="63"/>
      <c r="F13" s="9"/>
      <c r="G13" s="9" t="s">
        <v>428</v>
      </c>
    </row>
    <row r="14" spans="1:7" ht="21.75" customHeight="1" x14ac:dyDescent="0.25">
      <c r="A14" s="2"/>
      <c r="B14" s="2" t="s">
        <v>325</v>
      </c>
      <c r="C14" s="2" t="s">
        <v>331</v>
      </c>
      <c r="D14" s="2">
        <v>4</v>
      </c>
      <c r="E14" s="63"/>
      <c r="F14" s="9"/>
      <c r="G14" s="9" t="s">
        <v>428</v>
      </c>
    </row>
    <row r="15" spans="1:7" ht="21.75" customHeight="1" x14ac:dyDescent="0.25">
      <c r="A15" s="2"/>
      <c r="B15" s="2" t="s">
        <v>326</v>
      </c>
      <c r="C15" s="2"/>
      <c r="D15" s="2">
        <v>5</v>
      </c>
      <c r="E15" s="63"/>
      <c r="F15" s="9"/>
      <c r="G15" s="9" t="s">
        <v>428</v>
      </c>
    </row>
    <row r="16" spans="1:7" ht="21.75" customHeight="1" thickBot="1" x14ac:dyDescent="0.3">
      <c r="A16" s="2"/>
      <c r="B16" s="2" t="s">
        <v>327</v>
      </c>
      <c r="C16" s="2"/>
      <c r="D16" s="2">
        <v>6</v>
      </c>
      <c r="E16" s="63"/>
      <c r="F16" s="9"/>
      <c r="G16" s="9" t="s">
        <v>428</v>
      </c>
    </row>
    <row r="17" spans="1:7" ht="42.75" customHeight="1" thickBot="1" x14ac:dyDescent="0.3">
      <c r="A17" s="58" t="s">
        <v>293</v>
      </c>
      <c r="B17" s="59" t="s">
        <v>289</v>
      </c>
      <c r="C17" s="68" t="b">
        <v>0</v>
      </c>
      <c r="D17" s="59"/>
      <c r="E17" s="62" t="s">
        <v>298</v>
      </c>
      <c r="F17" s="60"/>
      <c r="G17" s="61" t="s">
        <v>428</v>
      </c>
    </row>
    <row r="18" spans="1:7" ht="20.25" customHeight="1" x14ac:dyDescent="0.25">
      <c r="A18" s="2"/>
      <c r="B18" s="2" t="s">
        <v>316</v>
      </c>
      <c r="C18" s="2" t="s">
        <v>332</v>
      </c>
      <c r="D18" s="2">
        <v>1</v>
      </c>
      <c r="E18" s="63"/>
      <c r="F18" s="9"/>
      <c r="G18" s="9" t="s">
        <v>428</v>
      </c>
    </row>
    <row r="19" spans="1:7" ht="20.25" customHeight="1" x14ac:dyDescent="0.25">
      <c r="A19" s="2"/>
      <c r="B19" s="2" t="s">
        <v>317</v>
      </c>
      <c r="C19" s="2" t="s">
        <v>333</v>
      </c>
      <c r="D19" s="2">
        <v>2</v>
      </c>
      <c r="E19" s="63"/>
      <c r="F19" s="9"/>
      <c r="G19" s="9" t="s">
        <v>428</v>
      </c>
    </row>
    <row r="20" spans="1:7" ht="20.25" customHeight="1" x14ac:dyDescent="0.25">
      <c r="A20" s="2"/>
      <c r="B20" s="2" t="s">
        <v>318</v>
      </c>
      <c r="C20" s="2" t="s">
        <v>334</v>
      </c>
      <c r="D20" s="2">
        <v>3</v>
      </c>
      <c r="E20" s="63"/>
      <c r="F20" s="9"/>
      <c r="G20" s="9" t="s">
        <v>428</v>
      </c>
    </row>
    <row r="21" spans="1:7" ht="20.25" customHeight="1" x14ac:dyDescent="0.25">
      <c r="A21" s="2"/>
      <c r="B21" s="2" t="s">
        <v>319</v>
      </c>
      <c r="C21" s="2" t="s">
        <v>335</v>
      </c>
      <c r="D21" s="2">
        <v>4</v>
      </c>
      <c r="E21" s="63"/>
      <c r="F21" s="9"/>
      <c r="G21" s="9" t="s">
        <v>428</v>
      </c>
    </row>
    <row r="22" spans="1:7" ht="20.25" customHeight="1" x14ac:dyDescent="0.25">
      <c r="A22" s="2"/>
      <c r="B22" s="2" t="s">
        <v>320</v>
      </c>
      <c r="C22" s="2"/>
      <c r="D22" s="2">
        <v>5</v>
      </c>
      <c r="E22" s="63"/>
      <c r="F22" s="9"/>
      <c r="G22" s="9" t="s">
        <v>428</v>
      </c>
    </row>
    <row r="23" spans="1:7" ht="20.25" customHeight="1" thickBot="1" x14ac:dyDescent="0.3">
      <c r="A23" s="2"/>
      <c r="B23" s="2" t="s">
        <v>321</v>
      </c>
      <c r="C23" s="2"/>
      <c r="D23" s="2">
        <v>6</v>
      </c>
      <c r="E23" s="63"/>
      <c r="F23" s="9"/>
      <c r="G23" s="9" t="s">
        <v>428</v>
      </c>
    </row>
    <row r="24" spans="1:7" ht="52.5" customHeight="1" x14ac:dyDescent="0.25">
      <c r="A24" s="50" t="s">
        <v>294</v>
      </c>
      <c r="B24" s="27" t="s">
        <v>286</v>
      </c>
      <c r="C24" s="52" t="b">
        <v>0</v>
      </c>
      <c r="D24" s="51"/>
      <c r="E24" s="64" t="s">
        <v>300</v>
      </c>
      <c r="F24" s="29"/>
      <c r="G24" s="53" t="s">
        <v>428</v>
      </c>
    </row>
    <row r="25" spans="1:7" ht="15" customHeight="1" x14ac:dyDescent="0.25">
      <c r="A25" s="69"/>
      <c r="B25" s="2" t="s">
        <v>305</v>
      </c>
      <c r="C25" s="2"/>
      <c r="D25" s="2">
        <v>1</v>
      </c>
      <c r="E25" s="47"/>
      <c r="F25" s="9"/>
      <c r="G25" s="54" t="s">
        <v>428</v>
      </c>
    </row>
    <row r="26" spans="1:7" ht="15" customHeight="1" x14ac:dyDescent="0.25">
      <c r="A26" s="69"/>
      <c r="B26" s="2" t="s">
        <v>306</v>
      </c>
      <c r="C26" s="2"/>
      <c r="D26" s="2">
        <v>2</v>
      </c>
      <c r="E26" s="47"/>
      <c r="F26" s="9"/>
      <c r="G26" s="54" t="s">
        <v>428</v>
      </c>
    </row>
    <row r="27" spans="1:7" ht="15" customHeight="1" x14ac:dyDescent="0.25">
      <c r="A27" s="69"/>
      <c r="B27" s="2" t="s">
        <v>314</v>
      </c>
      <c r="C27" s="2"/>
      <c r="D27" s="2">
        <v>3</v>
      </c>
      <c r="E27" s="9"/>
      <c r="F27" s="9"/>
      <c r="G27" s="54" t="s">
        <v>428</v>
      </c>
    </row>
    <row r="28" spans="1:7" ht="15" customHeight="1" thickBot="1" x14ac:dyDescent="0.3">
      <c r="A28" s="70"/>
      <c r="B28" s="6" t="s">
        <v>315</v>
      </c>
      <c r="C28" s="6"/>
      <c r="D28" s="6">
        <v>4</v>
      </c>
      <c r="E28" s="30"/>
      <c r="F28" s="30"/>
      <c r="G28" s="56" t="s">
        <v>428</v>
      </c>
    </row>
    <row r="29" spans="1:7" ht="55.5" customHeight="1" x14ac:dyDescent="0.25">
      <c r="A29" s="15" t="s">
        <v>297</v>
      </c>
      <c r="B29" s="11" t="s">
        <v>285</v>
      </c>
      <c r="C29" s="73" t="b">
        <v>1</v>
      </c>
      <c r="D29" s="11"/>
      <c r="E29" s="74" t="s">
        <v>303</v>
      </c>
      <c r="F29" s="47"/>
      <c r="G29" s="75" t="s">
        <v>429</v>
      </c>
    </row>
    <row r="30" spans="1:7" ht="15" customHeight="1" x14ac:dyDescent="0.25">
      <c r="A30" s="69"/>
      <c r="B30" s="2" t="s">
        <v>359</v>
      </c>
      <c r="C30" s="2" t="s">
        <v>356</v>
      </c>
      <c r="D30" s="2">
        <v>1</v>
      </c>
      <c r="E30" s="9" t="s">
        <v>357</v>
      </c>
      <c r="F30" s="9"/>
      <c r="G30" s="54" t="s">
        <v>429</v>
      </c>
    </row>
    <row r="31" spans="1:7" ht="15" customHeight="1" x14ac:dyDescent="0.25">
      <c r="A31" s="69"/>
      <c r="B31" s="2" t="s">
        <v>361</v>
      </c>
      <c r="C31" s="3"/>
      <c r="D31" s="2">
        <v>2</v>
      </c>
      <c r="E31" s="9" t="s">
        <v>301</v>
      </c>
      <c r="F31" s="9"/>
      <c r="G31" s="54" t="s">
        <v>429</v>
      </c>
    </row>
    <row r="32" spans="1:7" ht="15" customHeight="1" x14ac:dyDescent="0.25">
      <c r="A32" s="31"/>
      <c r="B32" s="2" t="s">
        <v>362</v>
      </c>
      <c r="C32" s="3"/>
      <c r="D32" s="2"/>
      <c r="E32" s="9"/>
      <c r="F32" s="9"/>
      <c r="G32" s="9" t="s">
        <v>429</v>
      </c>
    </row>
    <row r="33" spans="1:7" ht="15" customHeight="1" x14ac:dyDescent="0.25">
      <c r="A33" s="69"/>
      <c r="B33" s="2" t="s">
        <v>360</v>
      </c>
      <c r="C33" s="3"/>
      <c r="D33" s="2">
        <v>3</v>
      </c>
      <c r="E33" s="9" t="s">
        <v>302</v>
      </c>
      <c r="F33" s="9"/>
      <c r="G33" s="54" t="s">
        <v>429</v>
      </c>
    </row>
    <row r="34" spans="1:7" ht="15" customHeight="1" x14ac:dyDescent="0.25">
      <c r="A34" s="31"/>
      <c r="B34" s="2" t="s">
        <v>363</v>
      </c>
      <c r="C34" s="3"/>
      <c r="D34" s="2"/>
      <c r="E34" s="9"/>
      <c r="F34" s="9"/>
      <c r="G34" s="9" t="s">
        <v>429</v>
      </c>
    </row>
    <row r="35" spans="1:7" ht="15" customHeight="1" x14ac:dyDescent="0.25">
      <c r="A35" s="69"/>
      <c r="B35" s="2" t="s">
        <v>367</v>
      </c>
      <c r="C35" s="3"/>
      <c r="D35" s="2">
        <v>4</v>
      </c>
      <c r="E35" s="9" t="s">
        <v>304</v>
      </c>
      <c r="F35" s="9"/>
      <c r="G35" s="54" t="s">
        <v>429</v>
      </c>
    </row>
    <row r="36" spans="1:7" ht="15" customHeight="1" x14ac:dyDescent="0.25">
      <c r="A36" s="31"/>
      <c r="B36" s="2" t="s">
        <v>364</v>
      </c>
      <c r="C36" s="3"/>
      <c r="D36" s="2"/>
      <c r="E36" s="9"/>
      <c r="F36" s="9"/>
      <c r="G36" s="9" t="s">
        <v>429</v>
      </c>
    </row>
    <row r="37" spans="1:7" ht="15" customHeight="1" x14ac:dyDescent="0.25">
      <c r="A37" s="69"/>
      <c r="B37" s="2" t="s">
        <v>366</v>
      </c>
      <c r="C37" s="3"/>
      <c r="D37" s="2">
        <v>5</v>
      </c>
      <c r="E37" s="9"/>
      <c r="F37" s="9"/>
      <c r="G37" s="54" t="s">
        <v>429</v>
      </c>
    </row>
    <row r="38" spans="1:7" ht="15" customHeight="1" x14ac:dyDescent="0.25">
      <c r="A38" s="69"/>
      <c r="B38" s="2" t="s">
        <v>365</v>
      </c>
      <c r="C38" s="3"/>
      <c r="D38" s="2"/>
      <c r="E38" s="9"/>
      <c r="F38" s="9"/>
      <c r="G38" s="54" t="s">
        <v>429</v>
      </c>
    </row>
    <row r="39" spans="1:7" ht="15" customHeight="1" x14ac:dyDescent="0.25">
      <c r="A39" s="31"/>
      <c r="B39" s="2" t="s">
        <v>410</v>
      </c>
      <c r="C39" s="3"/>
      <c r="D39" s="2">
        <v>6</v>
      </c>
      <c r="E39" s="9"/>
      <c r="F39" s="9"/>
      <c r="G39" s="9" t="s">
        <v>429</v>
      </c>
    </row>
    <row r="40" spans="1:7" ht="15" customHeight="1" thickBot="1" x14ac:dyDescent="0.3">
      <c r="A40" s="72"/>
      <c r="B40" s="17" t="s">
        <v>411</v>
      </c>
      <c r="C40" s="66"/>
      <c r="D40" s="17"/>
      <c r="E40" s="28"/>
      <c r="F40" s="28"/>
      <c r="G40" s="28" t="s">
        <v>429</v>
      </c>
    </row>
    <row r="41" spans="1:7" ht="15" customHeight="1" thickBot="1" x14ac:dyDescent="0.3">
      <c r="A41" s="58" t="s">
        <v>270</v>
      </c>
      <c r="B41" s="59" t="s">
        <v>270</v>
      </c>
      <c r="C41" s="84" t="s">
        <v>65</v>
      </c>
      <c r="D41" s="59"/>
      <c r="E41" s="60"/>
      <c r="F41" s="60"/>
      <c r="G41" s="61" t="s">
        <v>429</v>
      </c>
    </row>
    <row r="42" spans="1:7" x14ac:dyDescent="0.25">
      <c r="A42" s="50" t="s">
        <v>103</v>
      </c>
      <c r="B42" s="27" t="s">
        <v>104</v>
      </c>
      <c r="C42" s="57" t="b">
        <v>1</v>
      </c>
      <c r="D42" s="27"/>
      <c r="E42" s="29" t="s">
        <v>105</v>
      </c>
      <c r="F42" s="29" t="s">
        <v>106</v>
      </c>
      <c r="G42" s="53" t="s">
        <v>429</v>
      </c>
    </row>
    <row r="43" spans="1:7" ht="15" customHeight="1" x14ac:dyDescent="0.25">
      <c r="A43" s="4"/>
      <c r="B43" s="2" t="s">
        <v>107</v>
      </c>
      <c r="C43" s="83" t="b">
        <v>0</v>
      </c>
      <c r="D43" s="2"/>
      <c r="E43" s="9" t="s">
        <v>108</v>
      </c>
      <c r="F43" s="9" t="s">
        <v>106</v>
      </c>
      <c r="G43" s="54" t="s">
        <v>429</v>
      </c>
    </row>
    <row r="44" spans="1:7" x14ac:dyDescent="0.25">
      <c r="A44" s="4"/>
      <c r="B44" s="2" t="s">
        <v>120</v>
      </c>
      <c r="C44" s="83" t="b">
        <v>0</v>
      </c>
      <c r="D44" s="2"/>
      <c r="E44" s="9" t="s">
        <v>109</v>
      </c>
      <c r="F44" s="9" t="s">
        <v>106</v>
      </c>
      <c r="G44" s="54" t="s">
        <v>429</v>
      </c>
    </row>
    <row r="45" spans="1:7" ht="15.75" thickBot="1" x14ac:dyDescent="0.3">
      <c r="A45" s="55"/>
      <c r="B45" s="6" t="s">
        <v>110</v>
      </c>
      <c r="C45" s="23">
        <v>150</v>
      </c>
      <c r="D45" s="6"/>
      <c r="E45" s="30" t="s">
        <v>111</v>
      </c>
      <c r="F45" s="30" t="s">
        <v>106</v>
      </c>
      <c r="G45" s="56" t="s">
        <v>429</v>
      </c>
    </row>
    <row r="46" spans="1:7" ht="15" customHeight="1" x14ac:dyDescent="0.25">
      <c r="A46" s="11" t="s">
        <v>112</v>
      </c>
      <c r="B46" s="11" t="s">
        <v>98</v>
      </c>
      <c r="C46" s="82" t="b">
        <v>1</v>
      </c>
      <c r="D46" s="11"/>
      <c r="E46" s="47" t="s">
        <v>113</v>
      </c>
      <c r="F46" s="47" t="s">
        <v>114</v>
      </c>
      <c r="G46" s="47" t="s">
        <v>429</v>
      </c>
    </row>
    <row r="47" spans="1:7" x14ac:dyDescent="0.25">
      <c r="A47" s="2"/>
      <c r="B47" s="2" t="s">
        <v>124</v>
      </c>
      <c r="C47" s="3" t="s">
        <v>279</v>
      </c>
      <c r="D47" s="2"/>
      <c r="E47" s="9" t="s">
        <v>115</v>
      </c>
      <c r="F47" s="9" t="s">
        <v>114</v>
      </c>
      <c r="G47" s="9" t="s">
        <v>429</v>
      </c>
    </row>
    <row r="48" spans="1:7" x14ac:dyDescent="0.25">
      <c r="A48" s="2"/>
      <c r="B48" s="2" t="s">
        <v>126</v>
      </c>
      <c r="C48" s="3" t="s">
        <v>412</v>
      </c>
      <c r="D48" s="2"/>
      <c r="E48" s="9" t="s">
        <v>116</v>
      </c>
      <c r="F48" s="9" t="s">
        <v>114</v>
      </c>
      <c r="G48" s="9" t="s">
        <v>429</v>
      </c>
    </row>
    <row r="49" spans="1:7" x14ac:dyDescent="0.25">
      <c r="A49" s="2"/>
      <c r="B49" s="2" t="s">
        <v>125</v>
      </c>
      <c r="C49" s="3" t="s">
        <v>281</v>
      </c>
      <c r="D49" s="2"/>
      <c r="E49" s="9"/>
      <c r="F49" s="9"/>
      <c r="G49" s="9" t="s">
        <v>429</v>
      </c>
    </row>
    <row r="50" spans="1:7" x14ac:dyDescent="0.25">
      <c r="A50" s="17"/>
      <c r="B50" s="17" t="s">
        <v>137</v>
      </c>
      <c r="C50" s="3" t="s">
        <v>280</v>
      </c>
      <c r="D50" s="2"/>
      <c r="E50" s="28" t="s">
        <v>117</v>
      </c>
      <c r="F50" s="28" t="s">
        <v>114</v>
      </c>
      <c r="G50" s="28" t="s">
        <v>429</v>
      </c>
    </row>
  </sheetData>
  <sheetProtection algorithmName="SHA-512" hashValue="Z8eeB0EWMLXgsxJDHP9fWR0WZO933Z0BlGkTB8GiCj1XIkwX17AzaMC5IesIFy2lKPXgm5MTOseqMmowle/HiA==" saltValue="4rpibQDjEvXemkmodx8oyA==" spinCount="100000" sheet="1"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5:D45"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zoomScale="85" zoomScaleNormal="85" workbookViewId="0">
      <selection activeCell="F13" sqref="F13"/>
    </sheetView>
  </sheetViews>
  <sheetFormatPr defaultColWidth="10.85546875" defaultRowHeight="15" outlineLevelCol="1" x14ac:dyDescent="0.25"/>
  <cols>
    <col min="1" max="1" width="14.42578125" customWidth="1"/>
    <col min="2" max="2" width="10.28515625" customWidth="1"/>
    <col min="3" max="3" width="10.7109375" customWidth="1"/>
    <col min="4" max="4" width="46" customWidth="1"/>
    <col min="5" max="5" width="102.140625" customWidth="1" outlineLevel="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24.7109375" customWidth="1"/>
    <col min="20" max="20" width="14.42578125" customWidth="1"/>
    <col min="21" max="21" width="16.42578125" customWidth="1"/>
    <col min="22" max="22" width="14.7109375" customWidth="1"/>
    <col min="23" max="23" width="24" customWidth="1"/>
    <col min="24" max="24" width="19.42578125" customWidth="1"/>
    <col min="25" max="25" width="20.140625" customWidth="1"/>
    <col min="26" max="28" width="15.42578125" customWidth="1"/>
    <col min="29" max="33" width="12.570312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21" t="s">
        <v>13</v>
      </c>
      <c r="B1" s="21" t="s">
        <v>4</v>
      </c>
      <c r="C1" s="21" t="s">
        <v>6</v>
      </c>
      <c r="D1" s="21" t="s">
        <v>129</v>
      </c>
      <c r="E1" s="21" t="s">
        <v>1</v>
      </c>
      <c r="F1" s="21" t="s">
        <v>352</v>
      </c>
      <c r="G1" s="21" t="s">
        <v>131</v>
      </c>
      <c r="H1" s="21" t="s">
        <v>132</v>
      </c>
      <c r="I1" s="21" t="s">
        <v>133</v>
      </c>
      <c r="J1" s="21" t="s">
        <v>130</v>
      </c>
      <c r="K1" s="21" t="s">
        <v>402</v>
      </c>
      <c r="L1" s="21" t="s">
        <v>401</v>
      </c>
      <c r="M1" s="21" t="s">
        <v>400</v>
      </c>
      <c r="N1" s="21" t="s">
        <v>399</v>
      </c>
      <c r="O1" s="21" t="s">
        <v>398</v>
      </c>
      <c r="P1" s="21" t="s">
        <v>416</v>
      </c>
      <c r="Q1" s="21" t="s">
        <v>403</v>
      </c>
      <c r="R1" s="21" t="s">
        <v>370</v>
      </c>
      <c r="S1" s="21" t="s">
        <v>404</v>
      </c>
      <c r="T1" s="21" t="s">
        <v>371</v>
      </c>
      <c r="U1" s="21" t="s">
        <v>405</v>
      </c>
      <c r="V1" s="21" t="s">
        <v>372</v>
      </c>
      <c r="W1" s="21" t="s">
        <v>406</v>
      </c>
      <c r="X1" s="21" t="s">
        <v>368</v>
      </c>
      <c r="Y1" s="21" t="s">
        <v>407</v>
      </c>
      <c r="Z1" s="21" t="s">
        <v>369</v>
      </c>
      <c r="AA1" s="21" t="s">
        <v>408</v>
      </c>
      <c r="AB1" s="21" t="s">
        <v>409</v>
      </c>
      <c r="AC1" s="21" t="s">
        <v>661</v>
      </c>
      <c r="AD1" s="21" t="s">
        <v>657</v>
      </c>
      <c r="AE1" s="21" t="s">
        <v>660</v>
      </c>
      <c r="AF1" s="21" t="s">
        <v>659</v>
      </c>
      <c r="AG1" s="21" t="s">
        <v>658</v>
      </c>
      <c r="AH1" s="21" t="s">
        <v>347</v>
      </c>
      <c r="AI1" s="21" t="s">
        <v>338</v>
      </c>
      <c r="AJ1" s="21" t="s">
        <v>348</v>
      </c>
      <c r="AK1" s="21" t="s">
        <v>339</v>
      </c>
      <c r="AL1" s="21" t="s">
        <v>349</v>
      </c>
      <c r="AM1" s="21" t="s">
        <v>343</v>
      </c>
      <c r="AN1" s="21" t="s">
        <v>346</v>
      </c>
      <c r="AO1" s="21" t="s">
        <v>340</v>
      </c>
      <c r="AP1" s="21" t="s">
        <v>350</v>
      </c>
      <c r="AQ1" s="21" t="s">
        <v>341</v>
      </c>
      <c r="AR1" s="21" t="s">
        <v>351</v>
      </c>
      <c r="AS1" s="21" t="s">
        <v>342</v>
      </c>
      <c r="AT1" s="21" t="s">
        <v>345</v>
      </c>
      <c r="AU1" s="21" t="s">
        <v>355</v>
      </c>
    </row>
    <row r="2" spans="1:49" x14ac:dyDescent="0.25">
      <c r="A2" s="22" t="b">
        <v>0</v>
      </c>
      <c r="B2" s="12">
        <f t="shared" ref="B2:B76" si="0">ROW()-1</f>
        <v>1</v>
      </c>
      <c r="C2" s="2" t="str">
        <f>"F_"&amp;LEFT(H2,2)&amp;"_"&amp;LEFT(J2,2)</f>
        <v>F_00_00</v>
      </c>
      <c r="D2" s="3"/>
      <c r="E2" s="9"/>
      <c r="F2" s="2"/>
      <c r="G2" s="18"/>
      <c r="H2" s="2" t="str">
        <f>_xlfn.XLOOKUP(G2,Tab_Def_Processes[Process_Name],Tab_Def_Processes[Process_ID],,0,)</f>
        <v>00</v>
      </c>
      <c r="I2" s="18"/>
      <c r="J2" s="5" t="str">
        <f>_xlfn.XLOOKUP(I2,Tab_Def_Processes[Process_Name],Tab_Def_Processes[Process_ID],,0,)</f>
        <v>00</v>
      </c>
      <c r="K2" s="18" t="s">
        <v>2</v>
      </c>
      <c r="L2" s="18" t="s">
        <v>2</v>
      </c>
      <c r="M2" s="18" t="s">
        <v>2</v>
      </c>
      <c r="N2" s="18" t="s">
        <v>2</v>
      </c>
      <c r="O2" s="18" t="s">
        <v>2</v>
      </c>
      <c r="P2" s="18" t="s">
        <v>2</v>
      </c>
      <c r="Q2" s="2" t="str">
        <f>Tab_Def_Flows[[#This Row],[Flow_ID]]&amp;"_E1"</f>
        <v>F_00_00_E1</v>
      </c>
      <c r="R2" s="20"/>
      <c r="S2" s="2" t="str">
        <f>Tab_Def_Flows[[#This Row],[Flow_ID]]&amp;"_E2"</f>
        <v>F_00_00_E2</v>
      </c>
      <c r="T2" s="16"/>
      <c r="U2" s="2" t="str">
        <f>Tab_Def_Flows[[#This Row],[Flow_ID]]&amp;"_E3"</f>
        <v>F_00_00_E3</v>
      </c>
      <c r="V2" s="16"/>
      <c r="W2" s="2" t="str">
        <f>Tab_Def_Flows[[#This Row],[Flow_ID]]&amp;"_E4"</f>
        <v>F_00_00_E4</v>
      </c>
      <c r="X2" s="16"/>
      <c r="Y2" s="2" t="str">
        <f>Tab_Def_Flows[[#This Row],[Flow_ID]]&amp;"_E5"</f>
        <v>F_00_00_E5</v>
      </c>
      <c r="Z2" s="20"/>
      <c r="AA2" s="2" t="str">
        <f>Tab_Def_Flows[[#This Row],[Flow_ID]]&amp;"_E6"</f>
        <v>F_00_00_E6</v>
      </c>
      <c r="AB2" s="20"/>
      <c r="AC2" s="9"/>
      <c r="AD2" s="9"/>
      <c r="AE2" s="9"/>
      <c r="AF2" s="9"/>
      <c r="AG2" s="9"/>
      <c r="AH2" s="49" t="b">
        <f>'0_Configuration'!$C$2</f>
        <v>1</v>
      </c>
      <c r="AI2" s="2"/>
      <c r="AJ2" s="49" t="b">
        <f>'0_Configuration'!$C$6</f>
        <v>0</v>
      </c>
      <c r="AK2" s="2" t="s">
        <v>344</v>
      </c>
      <c r="AL2" s="49" t="b">
        <f>'0_Configuration'!$C$10</f>
        <v>0</v>
      </c>
      <c r="AM2" s="2" t="s">
        <v>344</v>
      </c>
      <c r="AN2" s="49" t="b">
        <f>'0_Configuration'!$C$17</f>
        <v>0</v>
      </c>
      <c r="AO2" s="2">
        <f>_xlfn.XLOOKUP(Tab_Def_Flows[[#This Row],[ODYM_Good_Type]],Tab_Configuration[Value],Tab_Configuration[ODYM_ID],,0,)</f>
        <v>0</v>
      </c>
      <c r="AP2" s="49" t="b">
        <f>'0_Configuration'!$C$24</f>
        <v>0</v>
      </c>
      <c r="AQ2" s="2"/>
      <c r="AR2" s="49" t="b">
        <f>'0_Configuration'!$C$29</f>
        <v>1</v>
      </c>
      <c r="AS2" s="2" t="s">
        <v>358</v>
      </c>
      <c r="AT2" s="2" t="str">
        <f>IF(Tab_Def_Flows[[#This Row],[ODYM_time_(t)]],"t,","")&amp;IF(Tab_Def_Flows[[#This Row],[ODYM_Region_(r)]],"r,","")&amp;IF(Tab_Def_Flows[[#This Row],[ODYM_process_(p)]],"p,","")&amp;IF(Tab_Def_Flows[[#This Row],[ODYM_Good_(g)2]],"g,","")&amp;IF(Tab_Def_Flows[[#This Row],[ODYM_material_(m)]],"m,","")&amp;IF(Tab_Def_Flows[[#This Row],[ODYM_element_(e)]],"e","")</f>
        <v>t,e</v>
      </c>
      <c r="AU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22" t="b">
        <v>0</v>
      </c>
      <c r="B3" s="12">
        <f t="shared" ref="B3:B8" si="1">ROW()-1</f>
        <v>2</v>
      </c>
      <c r="C3" s="2" t="str">
        <f t="shared" ref="C3:C8" si="2">"F_"&amp;LEFT(H3,2)&amp;"_"&amp;LEFT(J3,2)</f>
        <v>F_00_00</v>
      </c>
      <c r="D3" s="3"/>
      <c r="E3" s="9"/>
      <c r="F3" s="2"/>
      <c r="G3" s="18"/>
      <c r="H3" s="2" t="str">
        <f>_xlfn.XLOOKUP(G3,Tab_Def_Processes[Process_Name],Tab_Def_Processes[Process_ID],,0,)</f>
        <v>00</v>
      </c>
      <c r="I3" s="18"/>
      <c r="J3" s="5" t="str">
        <f>_xlfn.XLOOKUP(I3,Tab_Def_Processes[Process_Name],Tab_Def_Processes[Process_ID],,0,)</f>
        <v>00</v>
      </c>
      <c r="K3" s="18" t="s">
        <v>2</v>
      </c>
      <c r="L3" s="18" t="s">
        <v>2</v>
      </c>
      <c r="M3" s="18" t="s">
        <v>2</v>
      </c>
      <c r="N3" s="18" t="s">
        <v>2</v>
      </c>
      <c r="O3" s="18" t="s">
        <v>2</v>
      </c>
      <c r="P3" s="18" t="s">
        <v>2</v>
      </c>
      <c r="Q3" s="2" t="str">
        <f>Tab_Def_Flows[[#This Row],[Flow_ID]]&amp;"_E1"</f>
        <v>F_00_00_E1</v>
      </c>
      <c r="R3" s="20"/>
      <c r="S3" s="2" t="str">
        <f>Tab_Def_Flows[[#This Row],[Flow_ID]]&amp;"_E2"</f>
        <v>F_00_00_E2</v>
      </c>
      <c r="T3" s="16"/>
      <c r="U3" s="2" t="str">
        <f>Tab_Def_Flows[[#This Row],[Flow_ID]]&amp;"_E3"</f>
        <v>F_00_00_E3</v>
      </c>
      <c r="V3" s="16"/>
      <c r="W3" s="2" t="str">
        <f>Tab_Def_Flows[[#This Row],[Flow_ID]]&amp;"_E4"</f>
        <v>F_00_00_E4</v>
      </c>
      <c r="X3" s="16"/>
      <c r="Y3" s="2" t="str">
        <f>Tab_Def_Flows[[#This Row],[Flow_ID]]&amp;"_E5"</f>
        <v>F_00_00_E5</v>
      </c>
      <c r="Z3" s="20"/>
      <c r="AA3" s="2" t="str">
        <f>Tab_Def_Flows[[#This Row],[Flow_ID]]&amp;"_E6"</f>
        <v>F_00_00_E6</v>
      </c>
      <c r="AB3" s="20"/>
      <c r="AC3" s="9"/>
      <c r="AD3" s="9"/>
      <c r="AE3" s="9"/>
      <c r="AF3" s="9"/>
      <c r="AG3" s="9"/>
      <c r="AH3" s="49" t="b">
        <f>'0_Configuration'!$C$2</f>
        <v>1</v>
      </c>
      <c r="AI3" s="2"/>
      <c r="AJ3" s="49" t="b">
        <f>'0_Configuration'!$C$6</f>
        <v>0</v>
      </c>
      <c r="AK3" s="2" t="s">
        <v>344</v>
      </c>
      <c r="AL3" s="49" t="b">
        <f>'0_Configuration'!$C$10</f>
        <v>0</v>
      </c>
      <c r="AM3" s="2" t="s">
        <v>344</v>
      </c>
      <c r="AN3" s="49" t="b">
        <f>'0_Configuration'!$C$17</f>
        <v>0</v>
      </c>
      <c r="AO3" s="2">
        <f>_xlfn.XLOOKUP(Tab_Def_Flows[[#This Row],[ODYM_Good_Type]],Tab_Configuration[Value],Tab_Configuration[ODYM_ID],,0,)</f>
        <v>0</v>
      </c>
      <c r="AP3" s="49" t="b">
        <f>'0_Configuration'!$C$24</f>
        <v>0</v>
      </c>
      <c r="AQ3" s="2"/>
      <c r="AR3" s="49" t="b">
        <f>'0_Configuration'!$C$29</f>
        <v>1</v>
      </c>
      <c r="AS3" s="2" t="s">
        <v>358</v>
      </c>
      <c r="AT3" s="2" t="str">
        <f>IF(Tab_Def_Flows[[#This Row],[ODYM_time_(t)]],"t,","")&amp;IF(Tab_Def_Flows[[#This Row],[ODYM_Region_(r)]],"r,","")&amp;IF(Tab_Def_Flows[[#This Row],[ODYM_process_(p)]],"p,","")&amp;IF(Tab_Def_Flows[[#This Row],[ODYM_Good_(g)2]],"g,","")&amp;IF(Tab_Def_Flows[[#This Row],[ODYM_material_(m)]],"m,","")&amp;IF(Tab_Def_Flows[[#This Row],[ODYM_element_(e)]],"e","")</f>
        <v>t,e</v>
      </c>
      <c r="AU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22" t="b">
        <v>0</v>
      </c>
      <c r="B4" s="12">
        <f t="shared" si="1"/>
        <v>3</v>
      </c>
      <c r="C4" s="2" t="str">
        <f t="shared" si="2"/>
        <v>F_00_00</v>
      </c>
      <c r="D4" s="3"/>
      <c r="E4" s="9"/>
      <c r="F4" s="2"/>
      <c r="G4" s="18"/>
      <c r="H4" s="2" t="str">
        <f>_xlfn.XLOOKUP(G4,Tab_Def_Processes[Process_Name],Tab_Def_Processes[Process_ID],,0,)</f>
        <v>00</v>
      </c>
      <c r="I4" s="18"/>
      <c r="J4" s="5" t="str">
        <f>_xlfn.XLOOKUP(I4,Tab_Def_Processes[Process_Name],Tab_Def_Processes[Process_ID],,0,)</f>
        <v>00</v>
      </c>
      <c r="K4" s="18" t="s">
        <v>2</v>
      </c>
      <c r="L4" s="18" t="s">
        <v>2</v>
      </c>
      <c r="M4" s="18" t="s">
        <v>2</v>
      </c>
      <c r="N4" s="18" t="s">
        <v>2</v>
      </c>
      <c r="O4" s="18" t="s">
        <v>2</v>
      </c>
      <c r="P4" s="18" t="s">
        <v>2</v>
      </c>
      <c r="Q4" s="2" t="str">
        <f>Tab_Def_Flows[[#This Row],[Flow_ID]]&amp;"_E1"</f>
        <v>F_00_00_E1</v>
      </c>
      <c r="R4" s="20"/>
      <c r="S4" s="2" t="str">
        <f>Tab_Def_Flows[[#This Row],[Flow_ID]]&amp;"_E2"</f>
        <v>F_00_00_E2</v>
      </c>
      <c r="T4" s="16"/>
      <c r="U4" s="2" t="str">
        <f>Tab_Def_Flows[[#This Row],[Flow_ID]]&amp;"_E3"</f>
        <v>F_00_00_E3</v>
      </c>
      <c r="V4" s="16"/>
      <c r="W4" s="2" t="str">
        <f>Tab_Def_Flows[[#This Row],[Flow_ID]]&amp;"_E4"</f>
        <v>F_00_00_E4</v>
      </c>
      <c r="X4" s="16"/>
      <c r="Y4" s="2" t="str">
        <f>Tab_Def_Flows[[#This Row],[Flow_ID]]&amp;"_E5"</f>
        <v>F_00_00_E5</v>
      </c>
      <c r="Z4" s="20"/>
      <c r="AA4" s="2" t="str">
        <f>Tab_Def_Flows[[#This Row],[Flow_ID]]&amp;"_E6"</f>
        <v>F_00_00_E6</v>
      </c>
      <c r="AB4" s="20"/>
      <c r="AC4" s="9"/>
      <c r="AD4" s="9"/>
      <c r="AE4" s="9"/>
      <c r="AF4" s="9"/>
      <c r="AG4" s="9"/>
      <c r="AH4" s="49" t="b">
        <f>'0_Configuration'!$C$2</f>
        <v>1</v>
      </c>
      <c r="AI4" s="2"/>
      <c r="AJ4" s="49" t="b">
        <f>'0_Configuration'!$C$6</f>
        <v>0</v>
      </c>
      <c r="AK4" s="2" t="s">
        <v>344</v>
      </c>
      <c r="AL4" s="49" t="b">
        <f>'0_Configuration'!$C$10</f>
        <v>0</v>
      </c>
      <c r="AM4" s="2" t="s">
        <v>344</v>
      </c>
      <c r="AN4" s="49" t="b">
        <f>'0_Configuration'!$C$17</f>
        <v>0</v>
      </c>
      <c r="AO4" s="2">
        <f>_xlfn.XLOOKUP(Tab_Def_Flows[[#This Row],[ODYM_Good_Type]],Tab_Configuration[Value],Tab_Configuration[ODYM_ID],,0,)</f>
        <v>0</v>
      </c>
      <c r="AP4" s="49" t="b">
        <f>'0_Configuration'!$C$24</f>
        <v>0</v>
      </c>
      <c r="AQ4" s="2"/>
      <c r="AR4" s="49" t="b">
        <f>'0_Configuration'!$C$29</f>
        <v>1</v>
      </c>
      <c r="AS4" s="2" t="s">
        <v>358</v>
      </c>
      <c r="AT4" s="2" t="str">
        <f>IF(Tab_Def_Flows[[#This Row],[ODYM_time_(t)]],"t,","")&amp;IF(Tab_Def_Flows[[#This Row],[ODYM_Region_(r)]],"r,","")&amp;IF(Tab_Def_Flows[[#This Row],[ODYM_process_(p)]],"p,","")&amp;IF(Tab_Def_Flows[[#This Row],[ODYM_Good_(g)2]],"g,","")&amp;IF(Tab_Def_Flows[[#This Row],[ODYM_material_(m)]],"m,","")&amp;IF(Tab_Def_Flows[[#This Row],[ODYM_element_(e)]],"e","")</f>
        <v>t,e</v>
      </c>
      <c r="AU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22" t="b">
        <v>0</v>
      </c>
      <c r="B5" s="12">
        <f t="shared" si="1"/>
        <v>4</v>
      </c>
      <c r="C5" s="2" t="str">
        <f t="shared" si="2"/>
        <v>F_00_00</v>
      </c>
      <c r="D5" s="3"/>
      <c r="E5" s="9"/>
      <c r="F5" s="2"/>
      <c r="G5" s="18"/>
      <c r="H5" s="2" t="str">
        <f>_xlfn.XLOOKUP(G5,Tab_Def_Processes[Process_Name],Tab_Def_Processes[Process_ID],,0,)</f>
        <v>00</v>
      </c>
      <c r="I5" s="18"/>
      <c r="J5" s="5" t="str">
        <f>_xlfn.XLOOKUP(I5,Tab_Def_Processes[Process_Name],Tab_Def_Processes[Process_ID],,0,)</f>
        <v>00</v>
      </c>
      <c r="K5" s="18" t="s">
        <v>2</v>
      </c>
      <c r="L5" s="18" t="s">
        <v>2</v>
      </c>
      <c r="M5" s="18" t="s">
        <v>2</v>
      </c>
      <c r="N5" s="18" t="s">
        <v>2</v>
      </c>
      <c r="O5" s="18" t="s">
        <v>2</v>
      </c>
      <c r="P5" s="18" t="s">
        <v>2</v>
      </c>
      <c r="Q5" s="2" t="str">
        <f>Tab_Def_Flows[[#This Row],[Flow_ID]]&amp;"_E1"</f>
        <v>F_00_00_E1</v>
      </c>
      <c r="R5" s="20"/>
      <c r="S5" s="2" t="str">
        <f>Tab_Def_Flows[[#This Row],[Flow_ID]]&amp;"_E2"</f>
        <v>F_00_00_E2</v>
      </c>
      <c r="T5" s="16"/>
      <c r="U5" s="2" t="str">
        <f>Tab_Def_Flows[[#This Row],[Flow_ID]]&amp;"_E3"</f>
        <v>F_00_00_E3</v>
      </c>
      <c r="V5" s="16"/>
      <c r="W5" s="2" t="str">
        <f>Tab_Def_Flows[[#This Row],[Flow_ID]]&amp;"_E4"</f>
        <v>F_00_00_E4</v>
      </c>
      <c r="X5" s="16"/>
      <c r="Y5" s="2" t="str">
        <f>Tab_Def_Flows[[#This Row],[Flow_ID]]&amp;"_E5"</f>
        <v>F_00_00_E5</v>
      </c>
      <c r="Z5" s="20"/>
      <c r="AA5" s="2" t="str">
        <f>Tab_Def_Flows[[#This Row],[Flow_ID]]&amp;"_E6"</f>
        <v>F_00_00_E6</v>
      </c>
      <c r="AB5" s="20"/>
      <c r="AC5" s="9"/>
      <c r="AD5" s="9"/>
      <c r="AE5" s="9"/>
      <c r="AF5" s="9"/>
      <c r="AG5" s="9"/>
      <c r="AH5" s="49" t="b">
        <f>'0_Configuration'!$C$2</f>
        <v>1</v>
      </c>
      <c r="AI5" s="2"/>
      <c r="AJ5" s="49" t="b">
        <f>'0_Configuration'!$C$6</f>
        <v>0</v>
      </c>
      <c r="AK5" s="2" t="s">
        <v>344</v>
      </c>
      <c r="AL5" s="49" t="b">
        <f>'0_Configuration'!$C$10</f>
        <v>0</v>
      </c>
      <c r="AM5" s="2" t="s">
        <v>344</v>
      </c>
      <c r="AN5" s="49" t="b">
        <f>'0_Configuration'!$C$17</f>
        <v>0</v>
      </c>
      <c r="AO5" s="2">
        <f>_xlfn.XLOOKUP(Tab_Def_Flows[[#This Row],[ODYM_Good_Type]],Tab_Configuration[Value],Tab_Configuration[ODYM_ID],,0,)</f>
        <v>0</v>
      </c>
      <c r="AP5" s="49" t="b">
        <f>'0_Configuration'!$C$24</f>
        <v>0</v>
      </c>
      <c r="AQ5" s="2"/>
      <c r="AR5" s="49" t="b">
        <f>'0_Configuration'!$C$29</f>
        <v>1</v>
      </c>
      <c r="AS5" s="2" t="s">
        <v>358</v>
      </c>
      <c r="AT5" s="2" t="str">
        <f>IF(Tab_Def_Flows[[#This Row],[ODYM_time_(t)]],"t,","")&amp;IF(Tab_Def_Flows[[#This Row],[ODYM_Region_(r)]],"r,","")&amp;IF(Tab_Def_Flows[[#This Row],[ODYM_process_(p)]],"p,","")&amp;IF(Tab_Def_Flows[[#This Row],[ODYM_Good_(g)2]],"g,","")&amp;IF(Tab_Def_Flows[[#This Row],[ODYM_material_(m)]],"m,","")&amp;IF(Tab_Def_Flows[[#This Row],[ODYM_element_(e)]],"e","")</f>
        <v>t,e</v>
      </c>
      <c r="AU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22" t="b">
        <v>0</v>
      </c>
      <c r="B6" s="12">
        <f t="shared" si="1"/>
        <v>5</v>
      </c>
      <c r="C6" s="2" t="str">
        <f t="shared" si="2"/>
        <v>F_00_00</v>
      </c>
      <c r="D6" s="3"/>
      <c r="E6" s="9"/>
      <c r="F6" s="2"/>
      <c r="G6" s="18"/>
      <c r="H6" s="2" t="str">
        <f>_xlfn.XLOOKUP(G6,Tab_Def_Processes[Process_Name],Tab_Def_Processes[Process_ID],,0,)</f>
        <v>00</v>
      </c>
      <c r="I6" s="18"/>
      <c r="J6" s="5" t="str">
        <f>_xlfn.XLOOKUP(I6,Tab_Def_Processes[Process_Name],Tab_Def_Processes[Process_ID],,0,)</f>
        <v>00</v>
      </c>
      <c r="K6" s="18" t="s">
        <v>2</v>
      </c>
      <c r="L6" s="18" t="s">
        <v>2</v>
      </c>
      <c r="M6" s="18" t="s">
        <v>2</v>
      </c>
      <c r="N6" s="18" t="s">
        <v>2</v>
      </c>
      <c r="O6" s="18" t="s">
        <v>2</v>
      </c>
      <c r="P6" s="18" t="s">
        <v>2</v>
      </c>
      <c r="Q6" s="2" t="str">
        <f>Tab_Def_Flows[[#This Row],[Flow_ID]]&amp;"_E1"</f>
        <v>F_00_00_E1</v>
      </c>
      <c r="R6" s="20"/>
      <c r="S6" s="2" t="str">
        <f>Tab_Def_Flows[[#This Row],[Flow_ID]]&amp;"_E2"</f>
        <v>F_00_00_E2</v>
      </c>
      <c r="T6" s="16"/>
      <c r="U6" s="2" t="str">
        <f>Tab_Def_Flows[[#This Row],[Flow_ID]]&amp;"_E3"</f>
        <v>F_00_00_E3</v>
      </c>
      <c r="V6" s="16"/>
      <c r="W6" s="2" t="str">
        <f>Tab_Def_Flows[[#This Row],[Flow_ID]]&amp;"_E4"</f>
        <v>F_00_00_E4</v>
      </c>
      <c r="X6" s="16"/>
      <c r="Y6" s="2" t="str">
        <f>Tab_Def_Flows[[#This Row],[Flow_ID]]&amp;"_E5"</f>
        <v>F_00_00_E5</v>
      </c>
      <c r="Z6" s="20"/>
      <c r="AA6" s="2" t="str">
        <f>Tab_Def_Flows[[#This Row],[Flow_ID]]&amp;"_E6"</f>
        <v>F_00_00_E6</v>
      </c>
      <c r="AB6" s="20"/>
      <c r="AC6" s="9"/>
      <c r="AD6" s="9"/>
      <c r="AE6" s="9"/>
      <c r="AF6" s="9"/>
      <c r="AG6" s="9"/>
      <c r="AH6" s="49" t="b">
        <f>'0_Configuration'!$C$2</f>
        <v>1</v>
      </c>
      <c r="AI6" s="2"/>
      <c r="AJ6" s="49" t="b">
        <f>'0_Configuration'!$C$6</f>
        <v>0</v>
      </c>
      <c r="AK6" s="2" t="s">
        <v>344</v>
      </c>
      <c r="AL6" s="49" t="b">
        <f>'0_Configuration'!$C$10</f>
        <v>0</v>
      </c>
      <c r="AM6" s="2" t="s">
        <v>344</v>
      </c>
      <c r="AN6" s="49" t="b">
        <f>'0_Configuration'!$C$17</f>
        <v>0</v>
      </c>
      <c r="AO6" s="2">
        <f>_xlfn.XLOOKUP(Tab_Def_Flows[[#This Row],[ODYM_Good_Type]],Tab_Configuration[Value],Tab_Configuration[ODYM_ID],,0,)</f>
        <v>0</v>
      </c>
      <c r="AP6" s="49" t="b">
        <f>'0_Configuration'!$C$24</f>
        <v>0</v>
      </c>
      <c r="AQ6" s="2"/>
      <c r="AR6" s="49" t="b">
        <f>'0_Configuration'!$C$29</f>
        <v>1</v>
      </c>
      <c r="AS6" s="2" t="s">
        <v>358</v>
      </c>
      <c r="AT6" s="2" t="str">
        <f>IF(Tab_Def_Flows[[#This Row],[ODYM_time_(t)]],"t,","")&amp;IF(Tab_Def_Flows[[#This Row],[ODYM_Region_(r)]],"r,","")&amp;IF(Tab_Def_Flows[[#This Row],[ODYM_process_(p)]],"p,","")&amp;IF(Tab_Def_Flows[[#This Row],[ODYM_Good_(g)2]],"g,","")&amp;IF(Tab_Def_Flows[[#This Row],[ODYM_material_(m)]],"m,","")&amp;IF(Tab_Def_Flows[[#This Row],[ODYM_element_(e)]],"e","")</f>
        <v>t,e</v>
      </c>
      <c r="AU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22" t="b">
        <v>0</v>
      </c>
      <c r="B7" s="12">
        <f t="shared" si="1"/>
        <v>6</v>
      </c>
      <c r="C7" s="2" t="str">
        <f t="shared" si="2"/>
        <v>F_00_00</v>
      </c>
      <c r="D7" s="3"/>
      <c r="E7" s="9"/>
      <c r="F7" s="2"/>
      <c r="G7" s="18"/>
      <c r="H7" s="2" t="str">
        <f>_xlfn.XLOOKUP(G7,Tab_Def_Processes[Process_Name],Tab_Def_Processes[Process_ID],,0,)</f>
        <v>00</v>
      </c>
      <c r="I7" s="18"/>
      <c r="J7" s="5" t="str">
        <f>_xlfn.XLOOKUP(I7,Tab_Def_Processes[Process_Name],Tab_Def_Processes[Process_ID],,0,)</f>
        <v>00</v>
      </c>
      <c r="K7" s="18" t="s">
        <v>2</v>
      </c>
      <c r="L7" s="18" t="s">
        <v>2</v>
      </c>
      <c r="M7" s="18" t="s">
        <v>2</v>
      </c>
      <c r="N7" s="18" t="s">
        <v>2</v>
      </c>
      <c r="O7" s="18" t="s">
        <v>2</v>
      </c>
      <c r="P7" s="18" t="s">
        <v>2</v>
      </c>
      <c r="Q7" s="2" t="str">
        <f>Tab_Def_Flows[[#This Row],[Flow_ID]]&amp;"_E1"</f>
        <v>F_00_00_E1</v>
      </c>
      <c r="R7" s="20"/>
      <c r="S7" s="2" t="str">
        <f>Tab_Def_Flows[[#This Row],[Flow_ID]]&amp;"_E2"</f>
        <v>F_00_00_E2</v>
      </c>
      <c r="T7" s="16"/>
      <c r="U7" s="2" t="str">
        <f>Tab_Def_Flows[[#This Row],[Flow_ID]]&amp;"_E3"</f>
        <v>F_00_00_E3</v>
      </c>
      <c r="V7" s="16"/>
      <c r="W7" s="2" t="str">
        <f>Tab_Def_Flows[[#This Row],[Flow_ID]]&amp;"_E4"</f>
        <v>F_00_00_E4</v>
      </c>
      <c r="X7" s="16"/>
      <c r="Y7" s="2" t="str">
        <f>Tab_Def_Flows[[#This Row],[Flow_ID]]&amp;"_E5"</f>
        <v>F_00_00_E5</v>
      </c>
      <c r="Z7" s="20"/>
      <c r="AA7" s="2" t="str">
        <f>Tab_Def_Flows[[#This Row],[Flow_ID]]&amp;"_E6"</f>
        <v>F_00_00_E6</v>
      </c>
      <c r="AB7" s="20"/>
      <c r="AC7" s="9"/>
      <c r="AD7" s="9"/>
      <c r="AE7" s="9"/>
      <c r="AF7" s="9"/>
      <c r="AG7" s="9"/>
      <c r="AH7" s="49" t="b">
        <f>'0_Configuration'!$C$2</f>
        <v>1</v>
      </c>
      <c r="AI7" s="2"/>
      <c r="AJ7" s="49" t="b">
        <f>'0_Configuration'!$C$6</f>
        <v>0</v>
      </c>
      <c r="AK7" s="2" t="s">
        <v>344</v>
      </c>
      <c r="AL7" s="49" t="b">
        <f>'0_Configuration'!$C$10</f>
        <v>0</v>
      </c>
      <c r="AM7" s="2" t="s">
        <v>344</v>
      </c>
      <c r="AN7" s="49" t="b">
        <f>'0_Configuration'!$C$17</f>
        <v>0</v>
      </c>
      <c r="AO7" s="2">
        <f>_xlfn.XLOOKUP(Tab_Def_Flows[[#This Row],[ODYM_Good_Type]],Tab_Configuration[Value],Tab_Configuration[ODYM_ID],,0,)</f>
        <v>0</v>
      </c>
      <c r="AP7" s="49" t="b">
        <f>'0_Configuration'!$C$24</f>
        <v>0</v>
      </c>
      <c r="AQ7" s="2"/>
      <c r="AR7" s="49" t="b">
        <f>'0_Configuration'!$C$29</f>
        <v>1</v>
      </c>
      <c r="AS7" s="2" t="s">
        <v>358</v>
      </c>
      <c r="AT7" s="2" t="str">
        <f>IF(Tab_Def_Flows[[#This Row],[ODYM_time_(t)]],"t,","")&amp;IF(Tab_Def_Flows[[#This Row],[ODYM_Region_(r)]],"r,","")&amp;IF(Tab_Def_Flows[[#This Row],[ODYM_process_(p)]],"p,","")&amp;IF(Tab_Def_Flows[[#This Row],[ODYM_Good_(g)2]],"g,","")&amp;IF(Tab_Def_Flows[[#This Row],[ODYM_material_(m)]],"m,","")&amp;IF(Tab_Def_Flows[[#This Row],[ODYM_element_(e)]],"e","")</f>
        <v>t,e</v>
      </c>
      <c r="AU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22" t="b">
        <v>0</v>
      </c>
      <c r="B8" s="12">
        <f t="shared" si="1"/>
        <v>7</v>
      </c>
      <c r="C8" s="2" t="str">
        <f t="shared" si="2"/>
        <v>F_00_00</v>
      </c>
      <c r="D8" s="3"/>
      <c r="E8" s="9"/>
      <c r="F8" s="2"/>
      <c r="G8" s="18"/>
      <c r="H8" s="2" t="str">
        <f>_xlfn.XLOOKUP(G8,Tab_Def_Processes[Process_Name],Tab_Def_Processes[Process_ID],,0,)</f>
        <v>00</v>
      </c>
      <c r="I8" s="18"/>
      <c r="J8" s="5" t="str">
        <f>_xlfn.XLOOKUP(I8,Tab_Def_Processes[Process_Name],Tab_Def_Processes[Process_ID],,0,)</f>
        <v>00</v>
      </c>
      <c r="K8" s="18" t="s">
        <v>2</v>
      </c>
      <c r="L8" s="18" t="s">
        <v>2</v>
      </c>
      <c r="M8" s="18" t="s">
        <v>2</v>
      </c>
      <c r="N8" s="18" t="s">
        <v>2</v>
      </c>
      <c r="O8" s="18" t="s">
        <v>2</v>
      </c>
      <c r="P8" s="18" t="s">
        <v>2</v>
      </c>
      <c r="Q8" s="2" t="str">
        <f>Tab_Def_Flows[[#This Row],[Flow_ID]]&amp;"_E1"</f>
        <v>F_00_00_E1</v>
      </c>
      <c r="R8" s="20"/>
      <c r="S8" s="2" t="str">
        <f>Tab_Def_Flows[[#This Row],[Flow_ID]]&amp;"_E2"</f>
        <v>F_00_00_E2</v>
      </c>
      <c r="T8" s="16"/>
      <c r="U8" s="2" t="str">
        <f>Tab_Def_Flows[[#This Row],[Flow_ID]]&amp;"_E3"</f>
        <v>F_00_00_E3</v>
      </c>
      <c r="V8" s="16"/>
      <c r="W8" s="2" t="str">
        <f>Tab_Def_Flows[[#This Row],[Flow_ID]]&amp;"_E4"</f>
        <v>F_00_00_E4</v>
      </c>
      <c r="X8" s="16"/>
      <c r="Y8" s="2" t="str">
        <f>Tab_Def_Flows[[#This Row],[Flow_ID]]&amp;"_E5"</f>
        <v>F_00_00_E5</v>
      </c>
      <c r="Z8" s="20"/>
      <c r="AA8" s="2" t="str">
        <f>Tab_Def_Flows[[#This Row],[Flow_ID]]&amp;"_E6"</f>
        <v>F_00_00_E6</v>
      </c>
      <c r="AB8" s="20"/>
      <c r="AC8" s="9"/>
      <c r="AD8" s="9"/>
      <c r="AE8" s="9"/>
      <c r="AF8" s="9"/>
      <c r="AG8" s="9"/>
      <c r="AH8" s="49" t="b">
        <f>'0_Configuration'!$C$2</f>
        <v>1</v>
      </c>
      <c r="AI8" s="2"/>
      <c r="AJ8" s="49" t="b">
        <f>'0_Configuration'!$C$6</f>
        <v>0</v>
      </c>
      <c r="AK8" s="2" t="s">
        <v>344</v>
      </c>
      <c r="AL8" s="49" t="b">
        <f>'0_Configuration'!$C$10</f>
        <v>0</v>
      </c>
      <c r="AM8" s="2" t="s">
        <v>344</v>
      </c>
      <c r="AN8" s="49" t="b">
        <f>'0_Configuration'!$C$17</f>
        <v>0</v>
      </c>
      <c r="AO8" s="2">
        <f>_xlfn.XLOOKUP(Tab_Def_Flows[[#This Row],[ODYM_Good_Type]],Tab_Configuration[Value],Tab_Configuration[ODYM_ID],,0,)</f>
        <v>0</v>
      </c>
      <c r="AP8" s="49" t="b">
        <f>'0_Configuration'!$C$24</f>
        <v>0</v>
      </c>
      <c r="AQ8" s="2"/>
      <c r="AR8" s="49" t="b">
        <f>'0_Configuration'!$C$29</f>
        <v>1</v>
      </c>
      <c r="AS8" s="2" t="s">
        <v>358</v>
      </c>
      <c r="AT8" s="2" t="str">
        <f>IF(Tab_Def_Flows[[#This Row],[ODYM_time_(t)]],"t,","")&amp;IF(Tab_Def_Flows[[#This Row],[ODYM_Region_(r)]],"r,","")&amp;IF(Tab_Def_Flows[[#This Row],[ODYM_process_(p)]],"p,","")&amp;IF(Tab_Def_Flows[[#This Row],[ODYM_Good_(g)2]],"g,","")&amp;IF(Tab_Def_Flows[[#This Row],[ODYM_material_(m)]],"m,","")&amp;IF(Tab_Def_Flows[[#This Row],[ODYM_element_(e)]],"e","")</f>
        <v>t,e</v>
      </c>
      <c r="AU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22" t="b">
        <v>0</v>
      </c>
      <c r="B9" s="12">
        <f t="shared" si="0"/>
        <v>8</v>
      </c>
      <c r="C9" s="2" t="str">
        <f t="shared" ref="C9:C89" si="3">"F_"&amp;LEFT(H9,2)&amp;"_"&amp;LEFT(J9,2)</f>
        <v>F_00_00</v>
      </c>
      <c r="D9" s="3"/>
      <c r="E9" s="9"/>
      <c r="F9" s="2"/>
      <c r="G9" s="18"/>
      <c r="H9" s="2" t="str">
        <f>_xlfn.XLOOKUP(G9,Tab_Def_Processes[Process_Name],Tab_Def_Processes[Process_ID],,0,)</f>
        <v>00</v>
      </c>
      <c r="I9" s="18"/>
      <c r="J9" s="5" t="str">
        <f>_xlfn.XLOOKUP(I9,Tab_Def_Processes[Process_Name],Tab_Def_Processes[Process_ID],,0,)</f>
        <v>00</v>
      </c>
      <c r="K9" s="18" t="s">
        <v>2</v>
      </c>
      <c r="L9" s="18" t="s">
        <v>2</v>
      </c>
      <c r="M9" s="18" t="s">
        <v>2</v>
      </c>
      <c r="N9" s="18" t="s">
        <v>2</v>
      </c>
      <c r="O9" s="18" t="s">
        <v>2</v>
      </c>
      <c r="P9" s="18" t="s">
        <v>2</v>
      </c>
      <c r="Q9" s="2" t="str">
        <f>Tab_Def_Flows[[#This Row],[Flow_ID]]&amp;"_E1"</f>
        <v>F_00_00_E1</v>
      </c>
      <c r="R9" s="20"/>
      <c r="S9" s="2" t="str">
        <f>Tab_Def_Flows[[#This Row],[Flow_ID]]&amp;"_E2"</f>
        <v>F_00_00_E2</v>
      </c>
      <c r="T9" s="16"/>
      <c r="U9" s="2" t="str">
        <f>Tab_Def_Flows[[#This Row],[Flow_ID]]&amp;"_E3"</f>
        <v>F_00_00_E3</v>
      </c>
      <c r="V9" s="16"/>
      <c r="W9" s="2" t="str">
        <f>Tab_Def_Flows[[#This Row],[Flow_ID]]&amp;"_E4"</f>
        <v>F_00_00_E4</v>
      </c>
      <c r="X9" s="16"/>
      <c r="Y9" s="2" t="str">
        <f>Tab_Def_Flows[[#This Row],[Flow_ID]]&amp;"_E5"</f>
        <v>F_00_00_E5</v>
      </c>
      <c r="Z9" s="20"/>
      <c r="AA9" s="2" t="str">
        <f>Tab_Def_Flows[[#This Row],[Flow_ID]]&amp;"_E6"</f>
        <v>F_00_00_E6</v>
      </c>
      <c r="AB9" s="20"/>
      <c r="AC9" s="9"/>
      <c r="AD9" s="9"/>
      <c r="AE9" s="9"/>
      <c r="AF9" s="9"/>
      <c r="AG9" s="9"/>
      <c r="AH9" s="49" t="b">
        <f>'0_Configuration'!$C$2</f>
        <v>1</v>
      </c>
      <c r="AI9" s="2"/>
      <c r="AJ9" s="49" t="b">
        <f>'0_Configuration'!$C$6</f>
        <v>0</v>
      </c>
      <c r="AK9" s="2" t="s">
        <v>344</v>
      </c>
      <c r="AL9" s="49" t="b">
        <f>'0_Configuration'!$C$10</f>
        <v>0</v>
      </c>
      <c r="AM9" s="2" t="s">
        <v>344</v>
      </c>
      <c r="AN9" s="49" t="b">
        <f>'0_Configuration'!$C$17</f>
        <v>0</v>
      </c>
      <c r="AO9" s="2">
        <f>_xlfn.XLOOKUP(Tab_Def_Flows[[#This Row],[ODYM_Good_Type]],Tab_Configuration[Value],Tab_Configuration[ODYM_ID],,0,)</f>
        <v>0</v>
      </c>
      <c r="AP9" s="49" t="b">
        <f>'0_Configuration'!$C$24</f>
        <v>0</v>
      </c>
      <c r="AQ9" s="2"/>
      <c r="AR9" s="49" t="b">
        <f>'0_Configuration'!$C$29</f>
        <v>1</v>
      </c>
      <c r="AS9" s="2" t="s">
        <v>358</v>
      </c>
      <c r="AT9" s="2" t="str">
        <f>IF(Tab_Def_Flows[[#This Row],[ODYM_time_(t)]],"t,","")&amp;IF(Tab_Def_Flows[[#This Row],[ODYM_Region_(r)]],"r,","")&amp;IF(Tab_Def_Flows[[#This Row],[ODYM_process_(p)]],"p,","")&amp;IF(Tab_Def_Flows[[#This Row],[ODYM_Good_(g)2]],"g,","")&amp;IF(Tab_Def_Flows[[#This Row],[ODYM_material_(m)]],"m,","")&amp;IF(Tab_Def_Flows[[#This Row],[ODYM_element_(e)]],"e","")</f>
        <v>t,e</v>
      </c>
      <c r="AU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22" t="b">
        <v>0</v>
      </c>
      <c r="B10" s="12">
        <f>ROW()-1</f>
        <v>9</v>
      </c>
      <c r="C10" s="2" t="str">
        <f>"F_"&amp;LEFT(H10,2)&amp;"_"&amp;LEFT(J10,2)</f>
        <v>F_00_00</v>
      </c>
      <c r="D10" s="3"/>
      <c r="E10" s="9"/>
      <c r="F10" s="2"/>
      <c r="G10" s="18"/>
      <c r="H10" s="2" t="str">
        <f>_xlfn.XLOOKUP(G10,Tab_Def_Processes[Process_Name],Tab_Def_Processes[Process_ID],,0,)</f>
        <v>00</v>
      </c>
      <c r="I10" s="18"/>
      <c r="J10" s="5" t="str">
        <f>_xlfn.XLOOKUP(I10,Tab_Def_Processes[Process_Name],Tab_Def_Processes[Process_ID],,0,)</f>
        <v>00</v>
      </c>
      <c r="K10" s="18" t="s">
        <v>2</v>
      </c>
      <c r="L10" s="18" t="s">
        <v>2</v>
      </c>
      <c r="M10" s="18" t="s">
        <v>2</v>
      </c>
      <c r="N10" s="18" t="s">
        <v>2</v>
      </c>
      <c r="O10" s="18" t="s">
        <v>2</v>
      </c>
      <c r="P10" s="18" t="s">
        <v>2</v>
      </c>
      <c r="Q10" s="2" t="str">
        <f>Tab_Def_Flows[[#This Row],[Flow_ID]]&amp;"_E1"</f>
        <v>F_00_00_E1</v>
      </c>
      <c r="R10" s="20"/>
      <c r="S10" s="2" t="str">
        <f>Tab_Def_Flows[[#This Row],[Flow_ID]]&amp;"_E2"</f>
        <v>F_00_00_E2</v>
      </c>
      <c r="T10" s="16"/>
      <c r="U10" s="2" t="str">
        <f>Tab_Def_Flows[[#This Row],[Flow_ID]]&amp;"_E3"</f>
        <v>F_00_00_E3</v>
      </c>
      <c r="V10" s="16"/>
      <c r="W10" s="2" t="str">
        <f>Tab_Def_Flows[[#This Row],[Flow_ID]]&amp;"_E4"</f>
        <v>F_00_00_E4</v>
      </c>
      <c r="X10" s="16"/>
      <c r="Y10" s="2" t="str">
        <f>Tab_Def_Flows[[#This Row],[Flow_ID]]&amp;"_E5"</f>
        <v>F_00_00_E5</v>
      </c>
      <c r="Z10" s="20"/>
      <c r="AA10" s="2" t="str">
        <f>Tab_Def_Flows[[#This Row],[Flow_ID]]&amp;"_E6"</f>
        <v>F_00_00_E6</v>
      </c>
      <c r="AB10" s="20"/>
      <c r="AC10" s="9"/>
      <c r="AD10" s="9"/>
      <c r="AE10" s="9"/>
      <c r="AF10" s="9"/>
      <c r="AG10" s="9"/>
      <c r="AH10" s="49" t="b">
        <f>'0_Configuration'!$C$2</f>
        <v>1</v>
      </c>
      <c r="AI10" s="2"/>
      <c r="AJ10" s="49" t="b">
        <f>'0_Configuration'!$C$6</f>
        <v>0</v>
      </c>
      <c r="AK10" s="2" t="s">
        <v>344</v>
      </c>
      <c r="AL10" s="49" t="b">
        <f>'0_Configuration'!$C$10</f>
        <v>0</v>
      </c>
      <c r="AM10" s="2" t="s">
        <v>344</v>
      </c>
      <c r="AN10" s="49" t="b">
        <f>'0_Configuration'!$C$17</f>
        <v>0</v>
      </c>
      <c r="AO10" s="2">
        <f>_xlfn.XLOOKUP(Tab_Def_Flows[[#This Row],[ODYM_Good_Type]],Tab_Configuration[Value],Tab_Configuration[ODYM_ID],,0,)</f>
        <v>0</v>
      </c>
      <c r="AP10" s="49" t="b">
        <f>'0_Configuration'!$C$24</f>
        <v>0</v>
      </c>
      <c r="AQ10" s="2"/>
      <c r="AR10" s="49" t="b">
        <f>'0_Configuration'!$C$29</f>
        <v>1</v>
      </c>
      <c r="AS10" s="2" t="s">
        <v>358</v>
      </c>
      <c r="AT10" s="2" t="str">
        <f>IF(Tab_Def_Flows[[#This Row],[ODYM_time_(t)]],"t,","")&amp;IF(Tab_Def_Flows[[#This Row],[ODYM_Region_(r)]],"r,","")&amp;IF(Tab_Def_Flows[[#This Row],[ODYM_process_(p)]],"p,","")&amp;IF(Tab_Def_Flows[[#This Row],[ODYM_Good_(g)2]],"g,","")&amp;IF(Tab_Def_Flows[[#This Row],[ODYM_material_(m)]],"m,","")&amp;IF(Tab_Def_Flows[[#This Row],[ODYM_element_(e)]],"e","")</f>
        <v>t,e</v>
      </c>
      <c r="AU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22" t="b">
        <v>0</v>
      </c>
      <c r="B11" s="12">
        <f>ROW()-1</f>
        <v>10</v>
      </c>
      <c r="C11" s="2" t="str">
        <f>"F_"&amp;LEFT(H11,2)&amp;"_"&amp;LEFT(J11,2)</f>
        <v>F_00_00</v>
      </c>
      <c r="D11" s="3"/>
      <c r="E11" s="9"/>
      <c r="F11" s="2"/>
      <c r="G11" s="18"/>
      <c r="H11" s="2" t="str">
        <f>_xlfn.XLOOKUP(G11,Tab_Def_Processes[Process_Name],Tab_Def_Processes[Process_ID],,0,)</f>
        <v>00</v>
      </c>
      <c r="I11" s="18"/>
      <c r="J11" s="5" t="str">
        <f>_xlfn.XLOOKUP(I11,Tab_Def_Processes[Process_Name],Tab_Def_Processes[Process_ID],,0,)</f>
        <v>00</v>
      </c>
      <c r="K11" s="18" t="s">
        <v>2</v>
      </c>
      <c r="L11" s="18" t="s">
        <v>2</v>
      </c>
      <c r="M11" s="18" t="s">
        <v>2</v>
      </c>
      <c r="N11" s="18" t="s">
        <v>2</v>
      </c>
      <c r="O11" s="18" t="s">
        <v>2</v>
      </c>
      <c r="P11" s="18" t="s">
        <v>2</v>
      </c>
      <c r="Q11" s="2" t="str">
        <f>Tab_Def_Flows[[#This Row],[Flow_ID]]&amp;"_E1"</f>
        <v>F_00_00_E1</v>
      </c>
      <c r="R11" s="20"/>
      <c r="S11" s="2" t="str">
        <f>Tab_Def_Flows[[#This Row],[Flow_ID]]&amp;"_E2"</f>
        <v>F_00_00_E2</v>
      </c>
      <c r="T11" s="16"/>
      <c r="U11" s="2" t="str">
        <f>Tab_Def_Flows[[#This Row],[Flow_ID]]&amp;"_E3"</f>
        <v>F_00_00_E3</v>
      </c>
      <c r="V11" s="16"/>
      <c r="W11" s="2" t="str">
        <f>Tab_Def_Flows[[#This Row],[Flow_ID]]&amp;"_E4"</f>
        <v>F_00_00_E4</v>
      </c>
      <c r="X11" s="16"/>
      <c r="Y11" s="2" t="str">
        <f>Tab_Def_Flows[[#This Row],[Flow_ID]]&amp;"_E5"</f>
        <v>F_00_00_E5</v>
      </c>
      <c r="Z11" s="20"/>
      <c r="AA11" s="2" t="str">
        <f>Tab_Def_Flows[[#This Row],[Flow_ID]]&amp;"_E6"</f>
        <v>F_00_00_E6</v>
      </c>
      <c r="AB11" s="20"/>
      <c r="AC11" s="9"/>
      <c r="AD11" s="9"/>
      <c r="AE11" s="9"/>
      <c r="AF11" s="9"/>
      <c r="AG11" s="9"/>
      <c r="AH11" s="49" t="b">
        <f>'0_Configuration'!$C$2</f>
        <v>1</v>
      </c>
      <c r="AI11" s="2"/>
      <c r="AJ11" s="49" t="b">
        <f>'0_Configuration'!$C$6</f>
        <v>0</v>
      </c>
      <c r="AK11" s="2" t="s">
        <v>344</v>
      </c>
      <c r="AL11" s="49" t="b">
        <f>'0_Configuration'!$C$10</f>
        <v>0</v>
      </c>
      <c r="AM11" s="2" t="s">
        <v>344</v>
      </c>
      <c r="AN11" s="49" t="b">
        <f>'0_Configuration'!$C$17</f>
        <v>0</v>
      </c>
      <c r="AO11" s="2">
        <f>_xlfn.XLOOKUP(Tab_Def_Flows[[#This Row],[ODYM_Good_Type]],Tab_Configuration[Value],Tab_Configuration[ODYM_ID],,0,)</f>
        <v>0</v>
      </c>
      <c r="AP11" s="49" t="b">
        <f>'0_Configuration'!$C$24</f>
        <v>0</v>
      </c>
      <c r="AQ11" s="2"/>
      <c r="AR11" s="49" t="b">
        <f>'0_Configuration'!$C$29</f>
        <v>1</v>
      </c>
      <c r="AS11" s="2" t="s">
        <v>358</v>
      </c>
      <c r="AT11" s="2" t="str">
        <f>IF(Tab_Def_Flows[[#This Row],[ODYM_time_(t)]],"t,","")&amp;IF(Tab_Def_Flows[[#This Row],[ODYM_Region_(r)]],"r,","")&amp;IF(Tab_Def_Flows[[#This Row],[ODYM_process_(p)]],"p,","")&amp;IF(Tab_Def_Flows[[#This Row],[ODYM_Good_(g)2]],"g,","")&amp;IF(Tab_Def_Flows[[#This Row],[ODYM_material_(m)]],"m,","")&amp;IF(Tab_Def_Flows[[#This Row],[ODYM_element_(e)]],"e","")</f>
        <v>t,e</v>
      </c>
      <c r="AU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22" t="b">
        <v>0</v>
      </c>
      <c r="B12" s="12">
        <f t="shared" si="0"/>
        <v>11</v>
      </c>
      <c r="C12" s="2" t="str">
        <f t="shared" si="3"/>
        <v>F_00_00</v>
      </c>
      <c r="D12" s="3"/>
      <c r="E12" s="9"/>
      <c r="F12" s="2"/>
      <c r="G12" s="18"/>
      <c r="H12" s="2" t="str">
        <f>_xlfn.XLOOKUP(G12,Tab_Def_Processes[Process_Name],Tab_Def_Processes[Process_ID],,0,)</f>
        <v>00</v>
      </c>
      <c r="I12" s="18"/>
      <c r="J12" s="5" t="str">
        <f>_xlfn.XLOOKUP(I12,Tab_Def_Processes[Process_Name],Tab_Def_Processes[Process_ID],,0,)</f>
        <v>00</v>
      </c>
      <c r="K12" s="18" t="s">
        <v>2</v>
      </c>
      <c r="L12" s="18" t="s">
        <v>2</v>
      </c>
      <c r="M12" s="18" t="s">
        <v>2</v>
      </c>
      <c r="N12" s="18" t="s">
        <v>2</v>
      </c>
      <c r="O12" s="18" t="s">
        <v>2</v>
      </c>
      <c r="P12" s="18" t="s">
        <v>2</v>
      </c>
      <c r="Q12" s="2" t="str">
        <f>Tab_Def_Flows[[#This Row],[Flow_ID]]&amp;"_E1"</f>
        <v>F_00_00_E1</v>
      </c>
      <c r="R12" s="20"/>
      <c r="S12" s="2" t="str">
        <f>Tab_Def_Flows[[#This Row],[Flow_ID]]&amp;"_E2"</f>
        <v>F_00_00_E2</v>
      </c>
      <c r="T12" s="16"/>
      <c r="U12" s="2" t="str">
        <f>Tab_Def_Flows[[#This Row],[Flow_ID]]&amp;"_E3"</f>
        <v>F_00_00_E3</v>
      </c>
      <c r="V12" s="16"/>
      <c r="W12" s="2" t="str">
        <f>Tab_Def_Flows[[#This Row],[Flow_ID]]&amp;"_E4"</f>
        <v>F_00_00_E4</v>
      </c>
      <c r="X12" s="16"/>
      <c r="Y12" s="2" t="str">
        <f>Tab_Def_Flows[[#This Row],[Flow_ID]]&amp;"_E5"</f>
        <v>F_00_00_E5</v>
      </c>
      <c r="Z12" s="20"/>
      <c r="AA12" s="2" t="str">
        <f>Tab_Def_Flows[[#This Row],[Flow_ID]]&amp;"_E6"</f>
        <v>F_00_00_E6</v>
      </c>
      <c r="AB12" s="20"/>
      <c r="AC12" s="9"/>
      <c r="AD12" s="9"/>
      <c r="AE12" s="9"/>
      <c r="AF12" s="9"/>
      <c r="AG12" s="9"/>
      <c r="AH12" s="49" t="b">
        <f>'0_Configuration'!$C$2</f>
        <v>1</v>
      </c>
      <c r="AI12" s="2"/>
      <c r="AJ12" s="49" t="b">
        <f>'0_Configuration'!$C$6</f>
        <v>0</v>
      </c>
      <c r="AK12" s="2" t="s">
        <v>344</v>
      </c>
      <c r="AL12" s="49" t="b">
        <f>'0_Configuration'!$C$10</f>
        <v>0</v>
      </c>
      <c r="AM12" s="2" t="s">
        <v>344</v>
      </c>
      <c r="AN12" s="49" t="b">
        <f>'0_Configuration'!$C$17</f>
        <v>0</v>
      </c>
      <c r="AO12" s="2">
        <f>_xlfn.XLOOKUP(Tab_Def_Flows[[#This Row],[ODYM_Good_Type]],Tab_Configuration[Value],Tab_Configuration[ODYM_ID],,0,)</f>
        <v>0</v>
      </c>
      <c r="AP12" s="49" t="b">
        <f>'0_Configuration'!$C$24</f>
        <v>0</v>
      </c>
      <c r="AQ12" s="2"/>
      <c r="AR12" s="49" t="b">
        <f>'0_Configuration'!$C$29</f>
        <v>1</v>
      </c>
      <c r="AS12" s="2" t="s">
        <v>358</v>
      </c>
      <c r="AT12" s="2" t="str">
        <f>IF(Tab_Def_Flows[[#This Row],[ODYM_time_(t)]],"t,","")&amp;IF(Tab_Def_Flows[[#This Row],[ODYM_Region_(r)]],"r,","")&amp;IF(Tab_Def_Flows[[#This Row],[ODYM_process_(p)]],"p,","")&amp;IF(Tab_Def_Flows[[#This Row],[ODYM_Good_(g)2]],"g,","")&amp;IF(Tab_Def_Flows[[#This Row],[ODYM_material_(m)]],"m,","")&amp;IF(Tab_Def_Flows[[#This Row],[ODYM_element_(e)]],"e","")</f>
        <v>t,e</v>
      </c>
      <c r="AU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26"/>
    </row>
    <row r="13" spans="1:49" x14ac:dyDescent="0.25">
      <c r="A13" s="22" t="b">
        <v>0</v>
      </c>
      <c r="B13" s="12">
        <f t="shared" ref="B13:B18" si="4">ROW()-1</f>
        <v>12</v>
      </c>
      <c r="C13" s="2" t="str">
        <f t="shared" si="3"/>
        <v>F_00_00</v>
      </c>
      <c r="D13" s="3"/>
      <c r="E13" s="9"/>
      <c r="F13" s="2"/>
      <c r="G13" s="18"/>
      <c r="H13" s="2" t="str">
        <f>_xlfn.XLOOKUP(G13,Tab_Def_Processes[Process_Name],Tab_Def_Processes[Process_ID],,0,)</f>
        <v>00</v>
      </c>
      <c r="I13" s="18"/>
      <c r="J13" s="5" t="str">
        <f>_xlfn.XLOOKUP(I13,Tab_Def_Processes[Process_Name],Tab_Def_Processes[Process_ID],,0,)</f>
        <v>00</v>
      </c>
      <c r="K13" s="18" t="s">
        <v>2</v>
      </c>
      <c r="L13" s="18" t="s">
        <v>2</v>
      </c>
      <c r="M13" s="18" t="s">
        <v>2</v>
      </c>
      <c r="N13" s="18" t="s">
        <v>2</v>
      </c>
      <c r="O13" s="18" t="s">
        <v>2</v>
      </c>
      <c r="P13" s="18" t="s">
        <v>2</v>
      </c>
      <c r="Q13" s="2" t="str">
        <f>Tab_Def_Flows[[#This Row],[Flow_ID]]&amp;"_E1"</f>
        <v>F_00_00_E1</v>
      </c>
      <c r="R13" s="20"/>
      <c r="S13" s="2" t="str">
        <f>Tab_Def_Flows[[#This Row],[Flow_ID]]&amp;"_E2"</f>
        <v>F_00_00_E2</v>
      </c>
      <c r="T13" s="16"/>
      <c r="U13" s="2" t="str">
        <f>Tab_Def_Flows[[#This Row],[Flow_ID]]&amp;"_E3"</f>
        <v>F_00_00_E3</v>
      </c>
      <c r="V13" s="16"/>
      <c r="W13" s="2" t="str">
        <f>Tab_Def_Flows[[#This Row],[Flow_ID]]&amp;"_E4"</f>
        <v>F_00_00_E4</v>
      </c>
      <c r="X13" s="16"/>
      <c r="Y13" s="2" t="str">
        <f>Tab_Def_Flows[[#This Row],[Flow_ID]]&amp;"_E5"</f>
        <v>F_00_00_E5</v>
      </c>
      <c r="Z13" s="20"/>
      <c r="AA13" s="2" t="str">
        <f>Tab_Def_Flows[[#This Row],[Flow_ID]]&amp;"_E6"</f>
        <v>F_00_00_E6</v>
      </c>
      <c r="AB13" s="20"/>
      <c r="AC13" s="9"/>
      <c r="AD13" s="9"/>
      <c r="AE13" s="9"/>
      <c r="AF13" s="9"/>
      <c r="AG13" s="9"/>
      <c r="AH13" s="49" t="b">
        <f>'0_Configuration'!$C$2</f>
        <v>1</v>
      </c>
      <c r="AI13" s="2"/>
      <c r="AJ13" s="49" t="b">
        <f>'0_Configuration'!$C$6</f>
        <v>0</v>
      </c>
      <c r="AK13" s="2" t="s">
        <v>344</v>
      </c>
      <c r="AL13" s="49" t="b">
        <f>'0_Configuration'!$C$10</f>
        <v>0</v>
      </c>
      <c r="AM13" s="2" t="s">
        <v>344</v>
      </c>
      <c r="AN13" s="49" t="b">
        <f>'0_Configuration'!$C$17</f>
        <v>0</v>
      </c>
      <c r="AO13" s="2">
        <f>_xlfn.XLOOKUP(Tab_Def_Flows[[#This Row],[ODYM_Good_Type]],Tab_Configuration[Value],Tab_Configuration[ODYM_ID],,0,)</f>
        <v>0</v>
      </c>
      <c r="AP13" s="49" t="b">
        <f>'0_Configuration'!$C$24</f>
        <v>0</v>
      </c>
      <c r="AQ13" s="2"/>
      <c r="AR13" s="49" t="b">
        <f>'0_Configuration'!$C$29</f>
        <v>1</v>
      </c>
      <c r="AS13" s="2" t="s">
        <v>358</v>
      </c>
      <c r="AT13" s="2" t="str">
        <f>IF(Tab_Def_Flows[[#This Row],[ODYM_time_(t)]],"t,","")&amp;IF(Tab_Def_Flows[[#This Row],[ODYM_Region_(r)]],"r,","")&amp;IF(Tab_Def_Flows[[#This Row],[ODYM_process_(p)]],"p,","")&amp;IF(Tab_Def_Flows[[#This Row],[ODYM_Good_(g)2]],"g,","")&amp;IF(Tab_Def_Flows[[#This Row],[ODYM_material_(m)]],"m,","")&amp;IF(Tab_Def_Flows[[#This Row],[ODYM_element_(e)]],"e","")</f>
        <v>t,e</v>
      </c>
      <c r="AU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26"/>
    </row>
    <row r="14" spans="1:49" x14ac:dyDescent="0.25">
      <c r="A14" s="22" t="b">
        <v>0</v>
      </c>
      <c r="B14" s="12">
        <f t="shared" si="4"/>
        <v>13</v>
      </c>
      <c r="C14" s="2" t="str">
        <f>"F_"&amp;LEFT(H14,2)&amp;"_"&amp;LEFT(J14,2)</f>
        <v>F_00_00</v>
      </c>
      <c r="D14" s="3"/>
      <c r="E14" s="9"/>
      <c r="F14" s="2"/>
      <c r="G14" s="18"/>
      <c r="H14" s="2" t="str">
        <f>_xlfn.XLOOKUP(G14,Tab_Def_Processes[Process_Name],Tab_Def_Processes[Process_ID],,0,)</f>
        <v>00</v>
      </c>
      <c r="I14" s="18"/>
      <c r="J14" s="5" t="str">
        <f>_xlfn.XLOOKUP(I14,Tab_Def_Processes[Process_Name],Tab_Def_Processes[Process_ID],,0,)</f>
        <v>00</v>
      </c>
      <c r="K14" s="18" t="s">
        <v>2</v>
      </c>
      <c r="L14" s="18" t="s">
        <v>2</v>
      </c>
      <c r="M14" s="18" t="s">
        <v>2</v>
      </c>
      <c r="N14" s="18" t="s">
        <v>2</v>
      </c>
      <c r="O14" s="18" t="s">
        <v>2</v>
      </c>
      <c r="P14" s="18" t="s">
        <v>2</v>
      </c>
      <c r="Q14" s="2" t="str">
        <f>Tab_Def_Flows[[#This Row],[Flow_ID]]&amp;"_E1"</f>
        <v>F_00_00_E1</v>
      </c>
      <c r="R14" s="20"/>
      <c r="S14" s="2" t="str">
        <f>Tab_Def_Flows[[#This Row],[Flow_ID]]&amp;"_E2"</f>
        <v>F_00_00_E2</v>
      </c>
      <c r="T14" s="16"/>
      <c r="U14" s="2" t="str">
        <f>Tab_Def_Flows[[#This Row],[Flow_ID]]&amp;"_E3"</f>
        <v>F_00_00_E3</v>
      </c>
      <c r="V14" s="16"/>
      <c r="W14" s="2" t="str">
        <f>Tab_Def_Flows[[#This Row],[Flow_ID]]&amp;"_E4"</f>
        <v>F_00_00_E4</v>
      </c>
      <c r="X14" s="16"/>
      <c r="Y14" s="2" t="str">
        <f>Tab_Def_Flows[[#This Row],[Flow_ID]]&amp;"_E5"</f>
        <v>F_00_00_E5</v>
      </c>
      <c r="Z14" s="20"/>
      <c r="AA14" s="2" t="str">
        <f>Tab_Def_Flows[[#This Row],[Flow_ID]]&amp;"_E6"</f>
        <v>F_00_00_E6</v>
      </c>
      <c r="AB14" s="20"/>
      <c r="AC14" s="9"/>
      <c r="AD14" s="9"/>
      <c r="AE14" s="9"/>
      <c r="AF14" s="9"/>
      <c r="AG14" s="9"/>
      <c r="AH14" s="49" t="b">
        <f>'0_Configuration'!$C$2</f>
        <v>1</v>
      </c>
      <c r="AI14" s="2"/>
      <c r="AJ14" s="49" t="b">
        <f>'0_Configuration'!$C$6</f>
        <v>0</v>
      </c>
      <c r="AK14" s="2" t="s">
        <v>344</v>
      </c>
      <c r="AL14" s="49" t="b">
        <f>'0_Configuration'!$C$10</f>
        <v>0</v>
      </c>
      <c r="AM14" s="2" t="s">
        <v>344</v>
      </c>
      <c r="AN14" s="49" t="b">
        <f>'0_Configuration'!$C$17</f>
        <v>0</v>
      </c>
      <c r="AO14" s="2">
        <f>_xlfn.XLOOKUP(Tab_Def_Flows[[#This Row],[ODYM_Good_Type]],Tab_Configuration[Value],Tab_Configuration[ODYM_ID],,0,)</f>
        <v>0</v>
      </c>
      <c r="AP14" s="49" t="b">
        <f>'0_Configuration'!$C$24</f>
        <v>0</v>
      </c>
      <c r="AQ14" s="2"/>
      <c r="AR14" s="49" t="b">
        <f>'0_Configuration'!$C$29</f>
        <v>1</v>
      </c>
      <c r="AS14" s="2" t="s">
        <v>358</v>
      </c>
      <c r="AT14" s="2" t="str">
        <f>IF(Tab_Def_Flows[[#This Row],[ODYM_time_(t)]],"t,","")&amp;IF(Tab_Def_Flows[[#This Row],[ODYM_Region_(r)]],"r,","")&amp;IF(Tab_Def_Flows[[#This Row],[ODYM_process_(p)]],"p,","")&amp;IF(Tab_Def_Flows[[#This Row],[ODYM_Good_(g)2]],"g,","")&amp;IF(Tab_Def_Flows[[#This Row],[ODYM_material_(m)]],"m,","")&amp;IF(Tab_Def_Flows[[#This Row],[ODYM_element_(e)]],"e","")</f>
        <v>t,e</v>
      </c>
      <c r="AU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26"/>
    </row>
    <row r="15" spans="1:49" x14ac:dyDescent="0.25">
      <c r="A15" s="22" t="b">
        <v>0</v>
      </c>
      <c r="B15" s="12">
        <f t="shared" si="4"/>
        <v>14</v>
      </c>
      <c r="C15" s="2" t="str">
        <f>"F_"&amp;LEFT(H15,2)&amp;"_"&amp;LEFT(J15,2)</f>
        <v>F_00_00</v>
      </c>
      <c r="D15" s="3"/>
      <c r="E15" s="9"/>
      <c r="F15" s="2"/>
      <c r="G15" s="18"/>
      <c r="H15" s="2" t="str">
        <f>_xlfn.XLOOKUP(G15,Tab_Def_Processes[Process_Name],Tab_Def_Processes[Process_ID],,0,)</f>
        <v>00</v>
      </c>
      <c r="I15" s="18"/>
      <c r="J15" s="5" t="str">
        <f>_xlfn.XLOOKUP(I15,Tab_Def_Processes[Process_Name],Tab_Def_Processes[Process_ID],,0,)</f>
        <v>00</v>
      </c>
      <c r="K15" s="18" t="s">
        <v>2</v>
      </c>
      <c r="L15" s="18" t="s">
        <v>2</v>
      </c>
      <c r="M15" s="18" t="s">
        <v>2</v>
      </c>
      <c r="N15" s="18" t="s">
        <v>2</v>
      </c>
      <c r="O15" s="18" t="s">
        <v>2</v>
      </c>
      <c r="P15" s="18" t="s">
        <v>2</v>
      </c>
      <c r="Q15" s="2" t="str">
        <f>Tab_Def_Flows[[#This Row],[Flow_ID]]&amp;"_E1"</f>
        <v>F_00_00_E1</v>
      </c>
      <c r="R15" s="20"/>
      <c r="S15" s="2" t="str">
        <f>Tab_Def_Flows[[#This Row],[Flow_ID]]&amp;"_E2"</f>
        <v>F_00_00_E2</v>
      </c>
      <c r="T15" s="16"/>
      <c r="U15" s="2" t="str">
        <f>Tab_Def_Flows[[#This Row],[Flow_ID]]&amp;"_E3"</f>
        <v>F_00_00_E3</v>
      </c>
      <c r="V15" s="16"/>
      <c r="W15" s="2" t="str">
        <f>Tab_Def_Flows[[#This Row],[Flow_ID]]&amp;"_E4"</f>
        <v>F_00_00_E4</v>
      </c>
      <c r="X15" s="16"/>
      <c r="Y15" s="2" t="str">
        <f>Tab_Def_Flows[[#This Row],[Flow_ID]]&amp;"_E5"</f>
        <v>F_00_00_E5</v>
      </c>
      <c r="Z15" s="20"/>
      <c r="AA15" s="2" t="str">
        <f>Tab_Def_Flows[[#This Row],[Flow_ID]]&amp;"_E6"</f>
        <v>F_00_00_E6</v>
      </c>
      <c r="AB15" s="20"/>
      <c r="AC15" s="9"/>
      <c r="AD15" s="9"/>
      <c r="AE15" s="9"/>
      <c r="AF15" s="9"/>
      <c r="AG15" s="9"/>
      <c r="AH15" s="49" t="b">
        <f>'0_Configuration'!$C$2</f>
        <v>1</v>
      </c>
      <c r="AI15" s="2"/>
      <c r="AJ15" s="49" t="b">
        <f>'0_Configuration'!$C$6</f>
        <v>0</v>
      </c>
      <c r="AK15" s="2" t="s">
        <v>344</v>
      </c>
      <c r="AL15" s="49" t="b">
        <f>'0_Configuration'!$C$10</f>
        <v>0</v>
      </c>
      <c r="AM15" s="2" t="s">
        <v>344</v>
      </c>
      <c r="AN15" s="49" t="b">
        <f>'0_Configuration'!$C$17</f>
        <v>0</v>
      </c>
      <c r="AO15" s="2">
        <f>_xlfn.XLOOKUP(Tab_Def_Flows[[#This Row],[ODYM_Good_Type]],Tab_Configuration[Value],Tab_Configuration[ODYM_ID],,0,)</f>
        <v>0</v>
      </c>
      <c r="AP15" s="49" t="b">
        <f>'0_Configuration'!$C$24</f>
        <v>0</v>
      </c>
      <c r="AQ15" s="2"/>
      <c r="AR15" s="49" t="b">
        <f>'0_Configuration'!$C$29</f>
        <v>1</v>
      </c>
      <c r="AS15" s="2" t="s">
        <v>358</v>
      </c>
      <c r="AT15" s="2" t="str">
        <f>IF(Tab_Def_Flows[[#This Row],[ODYM_time_(t)]],"t,","")&amp;IF(Tab_Def_Flows[[#This Row],[ODYM_Region_(r)]],"r,","")&amp;IF(Tab_Def_Flows[[#This Row],[ODYM_process_(p)]],"p,","")&amp;IF(Tab_Def_Flows[[#This Row],[ODYM_Good_(g)2]],"g,","")&amp;IF(Tab_Def_Flows[[#This Row],[ODYM_material_(m)]],"m,","")&amp;IF(Tab_Def_Flows[[#This Row],[ODYM_element_(e)]],"e","")</f>
        <v>t,e</v>
      </c>
      <c r="AU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26"/>
    </row>
    <row r="16" spans="1:49" x14ac:dyDescent="0.25">
      <c r="A16" s="22" t="b">
        <v>0</v>
      </c>
      <c r="B16" s="12">
        <f t="shared" si="4"/>
        <v>15</v>
      </c>
      <c r="C16" s="2" t="str">
        <f>"F_"&amp;LEFT(H16,2)&amp;"_"&amp;LEFT(J16,2)</f>
        <v>F_00_00</v>
      </c>
      <c r="D16" s="3"/>
      <c r="E16" s="9"/>
      <c r="F16" s="2"/>
      <c r="G16" s="18"/>
      <c r="H16" s="2" t="str">
        <f>_xlfn.XLOOKUP(G16,Tab_Def_Processes[Process_Name],Tab_Def_Processes[Process_ID],,0,)</f>
        <v>00</v>
      </c>
      <c r="I16" s="18"/>
      <c r="J16" s="5" t="str">
        <f>_xlfn.XLOOKUP(I16,Tab_Def_Processes[Process_Name],Tab_Def_Processes[Process_ID],,0,)</f>
        <v>00</v>
      </c>
      <c r="K16" s="18" t="s">
        <v>2</v>
      </c>
      <c r="L16" s="18" t="s">
        <v>2</v>
      </c>
      <c r="M16" s="18" t="s">
        <v>2</v>
      </c>
      <c r="N16" s="18" t="s">
        <v>2</v>
      </c>
      <c r="O16" s="18" t="s">
        <v>2</v>
      </c>
      <c r="P16" s="18" t="s">
        <v>2</v>
      </c>
      <c r="Q16" s="2" t="str">
        <f>Tab_Def_Flows[[#This Row],[Flow_ID]]&amp;"_E1"</f>
        <v>F_00_00_E1</v>
      </c>
      <c r="R16" s="20"/>
      <c r="S16" s="2" t="str">
        <f>Tab_Def_Flows[[#This Row],[Flow_ID]]&amp;"_E2"</f>
        <v>F_00_00_E2</v>
      </c>
      <c r="T16" s="16"/>
      <c r="U16" s="2" t="str">
        <f>Tab_Def_Flows[[#This Row],[Flow_ID]]&amp;"_E3"</f>
        <v>F_00_00_E3</v>
      </c>
      <c r="V16" s="16"/>
      <c r="W16" s="2" t="str">
        <f>Tab_Def_Flows[[#This Row],[Flow_ID]]&amp;"_E4"</f>
        <v>F_00_00_E4</v>
      </c>
      <c r="X16" s="16"/>
      <c r="Y16" s="2" t="str">
        <f>Tab_Def_Flows[[#This Row],[Flow_ID]]&amp;"_E5"</f>
        <v>F_00_00_E5</v>
      </c>
      <c r="Z16" s="20"/>
      <c r="AA16" s="2" t="str">
        <f>Tab_Def_Flows[[#This Row],[Flow_ID]]&amp;"_E6"</f>
        <v>F_00_00_E6</v>
      </c>
      <c r="AB16" s="20"/>
      <c r="AC16" s="9"/>
      <c r="AD16" s="9"/>
      <c r="AE16" s="9"/>
      <c r="AF16" s="9"/>
      <c r="AG16" s="9"/>
      <c r="AH16" s="49" t="b">
        <f>'0_Configuration'!$C$2</f>
        <v>1</v>
      </c>
      <c r="AI16" s="2"/>
      <c r="AJ16" s="49" t="b">
        <f>'0_Configuration'!$C$6</f>
        <v>0</v>
      </c>
      <c r="AK16" s="2" t="s">
        <v>344</v>
      </c>
      <c r="AL16" s="49" t="b">
        <f>'0_Configuration'!$C$10</f>
        <v>0</v>
      </c>
      <c r="AM16" s="2" t="s">
        <v>344</v>
      </c>
      <c r="AN16" s="49" t="b">
        <f>'0_Configuration'!$C$17</f>
        <v>0</v>
      </c>
      <c r="AO16" s="2">
        <f>_xlfn.XLOOKUP(Tab_Def_Flows[[#This Row],[ODYM_Good_Type]],Tab_Configuration[Value],Tab_Configuration[ODYM_ID],,0,)</f>
        <v>0</v>
      </c>
      <c r="AP16" s="49" t="b">
        <f>'0_Configuration'!$C$24</f>
        <v>0</v>
      </c>
      <c r="AQ16" s="2"/>
      <c r="AR16" s="49" t="b">
        <f>'0_Configuration'!$C$29</f>
        <v>1</v>
      </c>
      <c r="AS16" s="2" t="s">
        <v>358</v>
      </c>
      <c r="AT16" s="2" t="str">
        <f>IF(Tab_Def_Flows[[#This Row],[ODYM_time_(t)]],"t,","")&amp;IF(Tab_Def_Flows[[#This Row],[ODYM_Region_(r)]],"r,","")&amp;IF(Tab_Def_Flows[[#This Row],[ODYM_process_(p)]],"p,","")&amp;IF(Tab_Def_Flows[[#This Row],[ODYM_Good_(g)2]],"g,","")&amp;IF(Tab_Def_Flows[[#This Row],[ODYM_material_(m)]],"m,","")&amp;IF(Tab_Def_Flows[[#This Row],[ODYM_element_(e)]],"e","")</f>
        <v>t,e</v>
      </c>
      <c r="AU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26"/>
    </row>
    <row r="17" spans="1:49" x14ac:dyDescent="0.25">
      <c r="A17" s="22" t="b">
        <v>0</v>
      </c>
      <c r="B17" s="12">
        <f t="shared" si="4"/>
        <v>16</v>
      </c>
      <c r="C17" s="2" t="str">
        <f>"F_"&amp;LEFT(H17,2)&amp;"_"&amp;LEFT(J17,2)</f>
        <v>F_00_00</v>
      </c>
      <c r="D17" s="3"/>
      <c r="E17" s="9"/>
      <c r="F17" s="2"/>
      <c r="G17" s="18"/>
      <c r="H17" s="2" t="str">
        <f>_xlfn.XLOOKUP(G17,Tab_Def_Processes[Process_Name],Tab_Def_Processes[Process_ID],,0,)</f>
        <v>00</v>
      </c>
      <c r="I17" s="18"/>
      <c r="J17" s="5" t="str">
        <f>_xlfn.XLOOKUP(I17,Tab_Def_Processes[Process_Name],Tab_Def_Processes[Process_ID],,0,)</f>
        <v>00</v>
      </c>
      <c r="K17" s="18" t="s">
        <v>2</v>
      </c>
      <c r="L17" s="18" t="s">
        <v>2</v>
      </c>
      <c r="M17" s="18" t="s">
        <v>2</v>
      </c>
      <c r="N17" s="18" t="s">
        <v>2</v>
      </c>
      <c r="O17" s="18" t="s">
        <v>2</v>
      </c>
      <c r="P17" s="18" t="s">
        <v>2</v>
      </c>
      <c r="Q17" s="2" t="str">
        <f>Tab_Def_Flows[[#This Row],[Flow_ID]]&amp;"_E1"</f>
        <v>F_00_00_E1</v>
      </c>
      <c r="R17" s="20"/>
      <c r="S17" s="2" t="str">
        <f>Tab_Def_Flows[[#This Row],[Flow_ID]]&amp;"_E2"</f>
        <v>F_00_00_E2</v>
      </c>
      <c r="T17" s="16"/>
      <c r="U17" s="2" t="str">
        <f>Tab_Def_Flows[[#This Row],[Flow_ID]]&amp;"_E3"</f>
        <v>F_00_00_E3</v>
      </c>
      <c r="V17" s="16"/>
      <c r="W17" s="2" t="str">
        <f>Tab_Def_Flows[[#This Row],[Flow_ID]]&amp;"_E4"</f>
        <v>F_00_00_E4</v>
      </c>
      <c r="X17" s="16"/>
      <c r="Y17" s="2" t="str">
        <f>Tab_Def_Flows[[#This Row],[Flow_ID]]&amp;"_E5"</f>
        <v>F_00_00_E5</v>
      </c>
      <c r="Z17" s="20"/>
      <c r="AA17" s="2" t="str">
        <f>Tab_Def_Flows[[#This Row],[Flow_ID]]&amp;"_E6"</f>
        <v>F_00_00_E6</v>
      </c>
      <c r="AB17" s="20"/>
      <c r="AC17" s="9"/>
      <c r="AD17" s="9"/>
      <c r="AE17" s="9"/>
      <c r="AF17" s="9"/>
      <c r="AG17" s="9"/>
      <c r="AH17" s="49" t="b">
        <f>'0_Configuration'!$C$2</f>
        <v>1</v>
      </c>
      <c r="AI17" s="2"/>
      <c r="AJ17" s="49" t="b">
        <f>'0_Configuration'!$C$6</f>
        <v>0</v>
      </c>
      <c r="AK17" s="2" t="s">
        <v>344</v>
      </c>
      <c r="AL17" s="49" t="b">
        <f>'0_Configuration'!$C$10</f>
        <v>0</v>
      </c>
      <c r="AM17" s="2" t="s">
        <v>344</v>
      </c>
      <c r="AN17" s="49" t="b">
        <f>'0_Configuration'!$C$17</f>
        <v>0</v>
      </c>
      <c r="AO17" s="2">
        <f>_xlfn.XLOOKUP(Tab_Def_Flows[[#This Row],[ODYM_Good_Type]],Tab_Configuration[Value],Tab_Configuration[ODYM_ID],,0,)</f>
        <v>0</v>
      </c>
      <c r="AP17" s="49" t="b">
        <f>'0_Configuration'!$C$24</f>
        <v>0</v>
      </c>
      <c r="AQ17" s="2"/>
      <c r="AR17" s="49" t="b">
        <f>'0_Configuration'!$C$29</f>
        <v>1</v>
      </c>
      <c r="AS17" s="2" t="s">
        <v>358</v>
      </c>
      <c r="AT17" s="2" t="str">
        <f>IF(Tab_Def_Flows[[#This Row],[ODYM_time_(t)]],"t,","")&amp;IF(Tab_Def_Flows[[#This Row],[ODYM_Region_(r)]],"r,","")&amp;IF(Tab_Def_Flows[[#This Row],[ODYM_process_(p)]],"p,","")&amp;IF(Tab_Def_Flows[[#This Row],[ODYM_Good_(g)2]],"g,","")&amp;IF(Tab_Def_Flows[[#This Row],[ODYM_material_(m)]],"m,","")&amp;IF(Tab_Def_Flows[[#This Row],[ODYM_element_(e)]],"e","")</f>
        <v>t,e</v>
      </c>
      <c r="AU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26"/>
    </row>
    <row r="18" spans="1:49" x14ac:dyDescent="0.25">
      <c r="A18" s="22" t="b">
        <v>0</v>
      </c>
      <c r="B18" s="12">
        <f t="shared" si="4"/>
        <v>17</v>
      </c>
      <c r="C18" s="2" t="str">
        <f>"F_"&amp;LEFT(H18,2)&amp;"_"&amp;LEFT(J18,2)</f>
        <v>F_00_00</v>
      </c>
      <c r="D18" s="3"/>
      <c r="E18" s="9"/>
      <c r="F18" s="2"/>
      <c r="G18" s="18"/>
      <c r="H18" s="2" t="str">
        <f>_xlfn.XLOOKUP(G18,Tab_Def_Processes[Process_Name],Tab_Def_Processes[Process_ID],,0,)</f>
        <v>00</v>
      </c>
      <c r="I18" s="18"/>
      <c r="J18" s="5" t="str">
        <f>_xlfn.XLOOKUP(I18,Tab_Def_Processes[Process_Name],Tab_Def_Processes[Process_ID],,0,)</f>
        <v>00</v>
      </c>
      <c r="K18" s="18" t="s">
        <v>2</v>
      </c>
      <c r="L18" s="18" t="s">
        <v>2</v>
      </c>
      <c r="M18" s="18" t="s">
        <v>2</v>
      </c>
      <c r="N18" s="18" t="s">
        <v>2</v>
      </c>
      <c r="O18" s="18" t="s">
        <v>2</v>
      </c>
      <c r="P18" s="18" t="s">
        <v>2</v>
      </c>
      <c r="Q18" s="2" t="str">
        <f>Tab_Def_Flows[[#This Row],[Flow_ID]]&amp;"_E1"</f>
        <v>F_00_00_E1</v>
      </c>
      <c r="R18" s="20"/>
      <c r="S18" s="2" t="str">
        <f>Tab_Def_Flows[[#This Row],[Flow_ID]]&amp;"_E2"</f>
        <v>F_00_00_E2</v>
      </c>
      <c r="T18" s="16"/>
      <c r="U18" s="2" t="str">
        <f>Tab_Def_Flows[[#This Row],[Flow_ID]]&amp;"_E3"</f>
        <v>F_00_00_E3</v>
      </c>
      <c r="V18" s="16"/>
      <c r="W18" s="2" t="str">
        <f>Tab_Def_Flows[[#This Row],[Flow_ID]]&amp;"_E4"</f>
        <v>F_00_00_E4</v>
      </c>
      <c r="X18" s="16"/>
      <c r="Y18" s="2" t="str">
        <f>Tab_Def_Flows[[#This Row],[Flow_ID]]&amp;"_E5"</f>
        <v>F_00_00_E5</v>
      </c>
      <c r="Z18" s="20"/>
      <c r="AA18" s="2" t="str">
        <f>Tab_Def_Flows[[#This Row],[Flow_ID]]&amp;"_E6"</f>
        <v>F_00_00_E6</v>
      </c>
      <c r="AB18" s="20"/>
      <c r="AC18" s="9"/>
      <c r="AD18" s="9"/>
      <c r="AE18" s="9"/>
      <c r="AF18" s="9"/>
      <c r="AG18" s="9"/>
      <c r="AH18" s="49" t="b">
        <f>'0_Configuration'!$C$2</f>
        <v>1</v>
      </c>
      <c r="AI18" s="2"/>
      <c r="AJ18" s="49" t="b">
        <f>'0_Configuration'!$C$6</f>
        <v>0</v>
      </c>
      <c r="AK18" s="2" t="s">
        <v>344</v>
      </c>
      <c r="AL18" s="49" t="b">
        <f>'0_Configuration'!$C$10</f>
        <v>0</v>
      </c>
      <c r="AM18" s="2" t="s">
        <v>344</v>
      </c>
      <c r="AN18" s="49" t="b">
        <f>'0_Configuration'!$C$17</f>
        <v>0</v>
      </c>
      <c r="AO18" s="2">
        <f>_xlfn.XLOOKUP(Tab_Def_Flows[[#This Row],[ODYM_Good_Type]],Tab_Configuration[Value],Tab_Configuration[ODYM_ID],,0,)</f>
        <v>0</v>
      </c>
      <c r="AP18" s="49" t="b">
        <f>'0_Configuration'!$C$24</f>
        <v>0</v>
      </c>
      <c r="AQ18" s="2"/>
      <c r="AR18" s="49" t="b">
        <f>'0_Configuration'!$C$29</f>
        <v>1</v>
      </c>
      <c r="AS18" s="2" t="s">
        <v>358</v>
      </c>
      <c r="AT18" s="2" t="str">
        <f>IF(Tab_Def_Flows[[#This Row],[ODYM_time_(t)]],"t,","")&amp;IF(Tab_Def_Flows[[#This Row],[ODYM_Region_(r)]],"r,","")&amp;IF(Tab_Def_Flows[[#This Row],[ODYM_process_(p)]],"p,","")&amp;IF(Tab_Def_Flows[[#This Row],[ODYM_Good_(g)2]],"g,","")&amp;IF(Tab_Def_Flows[[#This Row],[ODYM_material_(m)]],"m,","")&amp;IF(Tab_Def_Flows[[#This Row],[ODYM_element_(e)]],"e","")</f>
        <v>t,e</v>
      </c>
      <c r="AU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26"/>
    </row>
    <row r="19" spans="1:49" x14ac:dyDescent="0.25">
      <c r="A19" s="22" t="b">
        <v>0</v>
      </c>
      <c r="B19" s="12">
        <f t="shared" si="0"/>
        <v>18</v>
      </c>
      <c r="C19" s="2" t="str">
        <f t="shared" si="3"/>
        <v>F_00_00</v>
      </c>
      <c r="D19" s="3"/>
      <c r="E19" s="9"/>
      <c r="F19" s="2"/>
      <c r="G19" s="18"/>
      <c r="H19" s="2" t="str">
        <f>_xlfn.XLOOKUP(G19,Tab_Def_Processes[Process_Name],Tab_Def_Processes[Process_ID],,0,)</f>
        <v>00</v>
      </c>
      <c r="I19" s="18"/>
      <c r="J19" s="5" t="str">
        <f>_xlfn.XLOOKUP(I19,Tab_Def_Processes[Process_Name],Tab_Def_Processes[Process_ID],,0,)</f>
        <v>00</v>
      </c>
      <c r="K19" s="18" t="s">
        <v>2</v>
      </c>
      <c r="L19" s="18" t="s">
        <v>2</v>
      </c>
      <c r="M19" s="18" t="s">
        <v>2</v>
      </c>
      <c r="N19" s="18" t="s">
        <v>2</v>
      </c>
      <c r="O19" s="18" t="s">
        <v>2</v>
      </c>
      <c r="P19" s="18" t="s">
        <v>2</v>
      </c>
      <c r="Q19" s="2" t="str">
        <f>Tab_Def_Flows[[#This Row],[Flow_ID]]&amp;"_E1"</f>
        <v>F_00_00_E1</v>
      </c>
      <c r="R19" s="20"/>
      <c r="S19" s="2" t="str">
        <f>Tab_Def_Flows[[#This Row],[Flow_ID]]&amp;"_E2"</f>
        <v>F_00_00_E2</v>
      </c>
      <c r="T19" s="16"/>
      <c r="U19" s="2" t="str">
        <f>Tab_Def_Flows[[#This Row],[Flow_ID]]&amp;"_E3"</f>
        <v>F_00_00_E3</v>
      </c>
      <c r="V19" s="16"/>
      <c r="W19" s="2" t="str">
        <f>Tab_Def_Flows[[#This Row],[Flow_ID]]&amp;"_E4"</f>
        <v>F_00_00_E4</v>
      </c>
      <c r="X19" s="16"/>
      <c r="Y19" s="2" t="str">
        <f>Tab_Def_Flows[[#This Row],[Flow_ID]]&amp;"_E5"</f>
        <v>F_00_00_E5</v>
      </c>
      <c r="Z19" s="20"/>
      <c r="AA19" s="2" t="str">
        <f>Tab_Def_Flows[[#This Row],[Flow_ID]]&amp;"_E6"</f>
        <v>F_00_00_E6</v>
      </c>
      <c r="AB19" s="20"/>
      <c r="AC19" s="9"/>
      <c r="AD19" s="9"/>
      <c r="AE19" s="9"/>
      <c r="AF19" s="9"/>
      <c r="AG19" s="9"/>
      <c r="AH19" s="49" t="b">
        <f>'0_Configuration'!$C$2</f>
        <v>1</v>
      </c>
      <c r="AI19" s="2"/>
      <c r="AJ19" s="49" t="b">
        <f>'0_Configuration'!$C$6</f>
        <v>0</v>
      </c>
      <c r="AK19" s="2" t="s">
        <v>344</v>
      </c>
      <c r="AL19" s="49" t="b">
        <f>'0_Configuration'!$C$10</f>
        <v>0</v>
      </c>
      <c r="AM19" s="2" t="s">
        <v>344</v>
      </c>
      <c r="AN19" s="49" t="b">
        <f>'0_Configuration'!$C$17</f>
        <v>0</v>
      </c>
      <c r="AO19" s="2">
        <f>_xlfn.XLOOKUP(Tab_Def_Flows[[#This Row],[ODYM_Good_Type]],Tab_Configuration[Value],Tab_Configuration[ODYM_ID],,0,)</f>
        <v>0</v>
      </c>
      <c r="AP19" s="49" t="b">
        <f>'0_Configuration'!$C$24</f>
        <v>0</v>
      </c>
      <c r="AQ19" s="2"/>
      <c r="AR19" s="49" t="b">
        <f>'0_Configuration'!$C$29</f>
        <v>1</v>
      </c>
      <c r="AS19" s="2" t="s">
        <v>358</v>
      </c>
      <c r="AT19" s="2" t="str">
        <f>IF(Tab_Def_Flows[[#This Row],[ODYM_time_(t)]],"t,","")&amp;IF(Tab_Def_Flows[[#This Row],[ODYM_Region_(r)]],"r,","")&amp;IF(Tab_Def_Flows[[#This Row],[ODYM_process_(p)]],"p,","")&amp;IF(Tab_Def_Flows[[#This Row],[ODYM_Good_(g)2]],"g,","")&amp;IF(Tab_Def_Flows[[#This Row],[ODYM_material_(m)]],"m,","")&amp;IF(Tab_Def_Flows[[#This Row],[ODYM_element_(e)]],"e","")</f>
        <v>t,e</v>
      </c>
      <c r="AU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22" t="b">
        <v>0</v>
      </c>
      <c r="B20" s="12">
        <f>ROW()-1</f>
        <v>19</v>
      </c>
      <c r="C20" s="2" t="str">
        <f>"F_"&amp;LEFT(H20,2)&amp;"_"&amp;LEFT(J20,2)</f>
        <v>F_00_00</v>
      </c>
      <c r="D20" s="3"/>
      <c r="E20" s="9"/>
      <c r="F20" s="2"/>
      <c r="G20" s="18"/>
      <c r="H20" s="2" t="str">
        <f>_xlfn.XLOOKUP(G20,Tab_Def_Processes[Process_Name],Tab_Def_Processes[Process_ID],,0,)</f>
        <v>00</v>
      </c>
      <c r="I20" s="18"/>
      <c r="J20" s="5" t="str">
        <f>_xlfn.XLOOKUP(I20,Tab_Def_Processes[Process_Name],Tab_Def_Processes[Process_ID],,0,)</f>
        <v>00</v>
      </c>
      <c r="K20" s="18" t="s">
        <v>2</v>
      </c>
      <c r="L20" s="18" t="s">
        <v>2</v>
      </c>
      <c r="M20" s="18" t="s">
        <v>2</v>
      </c>
      <c r="N20" s="18" t="s">
        <v>2</v>
      </c>
      <c r="O20" s="18" t="s">
        <v>2</v>
      </c>
      <c r="P20" s="18" t="s">
        <v>2</v>
      </c>
      <c r="Q20" s="2" t="str">
        <f>Tab_Def_Flows[[#This Row],[Flow_ID]]&amp;"_E1"</f>
        <v>F_00_00_E1</v>
      </c>
      <c r="R20" s="20"/>
      <c r="S20" s="2" t="str">
        <f>Tab_Def_Flows[[#This Row],[Flow_ID]]&amp;"_E2"</f>
        <v>F_00_00_E2</v>
      </c>
      <c r="T20" s="16"/>
      <c r="U20" s="2" t="str">
        <f>Tab_Def_Flows[[#This Row],[Flow_ID]]&amp;"_E3"</f>
        <v>F_00_00_E3</v>
      </c>
      <c r="V20" s="16"/>
      <c r="W20" s="2" t="str">
        <f>Tab_Def_Flows[[#This Row],[Flow_ID]]&amp;"_E4"</f>
        <v>F_00_00_E4</v>
      </c>
      <c r="X20" s="16"/>
      <c r="Y20" s="2" t="str">
        <f>Tab_Def_Flows[[#This Row],[Flow_ID]]&amp;"_E5"</f>
        <v>F_00_00_E5</v>
      </c>
      <c r="Z20" s="20"/>
      <c r="AA20" s="2" t="str">
        <f>Tab_Def_Flows[[#This Row],[Flow_ID]]&amp;"_E6"</f>
        <v>F_00_00_E6</v>
      </c>
      <c r="AB20" s="20"/>
      <c r="AC20" s="9"/>
      <c r="AD20" s="9"/>
      <c r="AE20" s="9"/>
      <c r="AF20" s="9"/>
      <c r="AG20" s="9"/>
      <c r="AH20" s="49" t="b">
        <f>'0_Configuration'!$C$2</f>
        <v>1</v>
      </c>
      <c r="AI20" s="2"/>
      <c r="AJ20" s="49" t="b">
        <f>'0_Configuration'!$C$6</f>
        <v>0</v>
      </c>
      <c r="AK20" s="2" t="s">
        <v>344</v>
      </c>
      <c r="AL20" s="49" t="b">
        <f>'0_Configuration'!$C$10</f>
        <v>0</v>
      </c>
      <c r="AM20" s="2" t="s">
        <v>344</v>
      </c>
      <c r="AN20" s="49" t="b">
        <f>'0_Configuration'!$C$17</f>
        <v>0</v>
      </c>
      <c r="AO20" s="2">
        <f>_xlfn.XLOOKUP(Tab_Def_Flows[[#This Row],[ODYM_Good_Type]],Tab_Configuration[Value],Tab_Configuration[ODYM_ID],,0,)</f>
        <v>0</v>
      </c>
      <c r="AP20" s="49" t="b">
        <f>'0_Configuration'!$C$24</f>
        <v>0</v>
      </c>
      <c r="AQ20" s="2"/>
      <c r="AR20" s="49" t="b">
        <f>'0_Configuration'!$C$29</f>
        <v>1</v>
      </c>
      <c r="AS20" s="2" t="s">
        <v>358</v>
      </c>
      <c r="AT20" s="2" t="str">
        <f>IF(Tab_Def_Flows[[#This Row],[ODYM_time_(t)]],"t,","")&amp;IF(Tab_Def_Flows[[#This Row],[ODYM_Region_(r)]],"r,","")&amp;IF(Tab_Def_Flows[[#This Row],[ODYM_process_(p)]],"p,","")&amp;IF(Tab_Def_Flows[[#This Row],[ODYM_Good_(g)2]],"g,","")&amp;IF(Tab_Def_Flows[[#This Row],[ODYM_material_(m)]],"m,","")&amp;IF(Tab_Def_Flows[[#This Row],[ODYM_element_(e)]],"e","")</f>
        <v>t,e</v>
      </c>
      <c r="AU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22" t="b">
        <v>0</v>
      </c>
      <c r="B21" s="12">
        <f>ROW()-1</f>
        <v>20</v>
      </c>
      <c r="C21" s="2" t="str">
        <f>"F_"&amp;LEFT(H21,2)&amp;"_"&amp;LEFT(J21,2)</f>
        <v>F_00_00</v>
      </c>
      <c r="D21" s="3"/>
      <c r="E21" s="9"/>
      <c r="F21" s="2"/>
      <c r="G21" s="18"/>
      <c r="H21" s="2" t="str">
        <f>_xlfn.XLOOKUP(G21,Tab_Def_Processes[Process_Name],Tab_Def_Processes[Process_ID],,0,)</f>
        <v>00</v>
      </c>
      <c r="I21" s="18"/>
      <c r="J21" s="5" t="str">
        <f>_xlfn.XLOOKUP(I21,Tab_Def_Processes[Process_Name],Tab_Def_Processes[Process_ID],,0,)</f>
        <v>00</v>
      </c>
      <c r="K21" s="18" t="s">
        <v>2</v>
      </c>
      <c r="L21" s="18" t="s">
        <v>2</v>
      </c>
      <c r="M21" s="18" t="s">
        <v>2</v>
      </c>
      <c r="N21" s="18" t="s">
        <v>2</v>
      </c>
      <c r="O21" s="18" t="s">
        <v>2</v>
      </c>
      <c r="P21" s="18" t="s">
        <v>2</v>
      </c>
      <c r="Q21" s="2" t="str">
        <f>Tab_Def_Flows[[#This Row],[Flow_ID]]&amp;"_E1"</f>
        <v>F_00_00_E1</v>
      </c>
      <c r="R21" s="20"/>
      <c r="S21" s="2" t="str">
        <f>Tab_Def_Flows[[#This Row],[Flow_ID]]&amp;"_E2"</f>
        <v>F_00_00_E2</v>
      </c>
      <c r="T21" s="16"/>
      <c r="U21" s="2" t="str">
        <f>Tab_Def_Flows[[#This Row],[Flow_ID]]&amp;"_E3"</f>
        <v>F_00_00_E3</v>
      </c>
      <c r="V21" s="16"/>
      <c r="W21" s="2" t="str">
        <f>Tab_Def_Flows[[#This Row],[Flow_ID]]&amp;"_E4"</f>
        <v>F_00_00_E4</v>
      </c>
      <c r="X21" s="16"/>
      <c r="Y21" s="2" t="str">
        <f>Tab_Def_Flows[[#This Row],[Flow_ID]]&amp;"_E5"</f>
        <v>F_00_00_E5</v>
      </c>
      <c r="Z21" s="20"/>
      <c r="AA21" s="2" t="str">
        <f>Tab_Def_Flows[[#This Row],[Flow_ID]]&amp;"_E6"</f>
        <v>F_00_00_E6</v>
      </c>
      <c r="AB21" s="20"/>
      <c r="AC21" s="9"/>
      <c r="AD21" s="9"/>
      <c r="AE21" s="9"/>
      <c r="AF21" s="9"/>
      <c r="AG21" s="9"/>
      <c r="AH21" s="49" t="b">
        <f>'0_Configuration'!$C$2</f>
        <v>1</v>
      </c>
      <c r="AI21" s="2"/>
      <c r="AJ21" s="49" t="b">
        <f>'0_Configuration'!$C$6</f>
        <v>0</v>
      </c>
      <c r="AK21" s="2" t="s">
        <v>344</v>
      </c>
      <c r="AL21" s="49" t="b">
        <f>'0_Configuration'!$C$10</f>
        <v>0</v>
      </c>
      <c r="AM21" s="2" t="s">
        <v>344</v>
      </c>
      <c r="AN21" s="49" t="b">
        <f>'0_Configuration'!$C$17</f>
        <v>0</v>
      </c>
      <c r="AO21" s="2">
        <f>_xlfn.XLOOKUP(Tab_Def_Flows[[#This Row],[ODYM_Good_Type]],Tab_Configuration[Value],Tab_Configuration[ODYM_ID],,0,)</f>
        <v>0</v>
      </c>
      <c r="AP21" s="49" t="b">
        <f>'0_Configuration'!$C$24</f>
        <v>0</v>
      </c>
      <c r="AQ21" s="2"/>
      <c r="AR21" s="49" t="b">
        <f>'0_Configuration'!$C$29</f>
        <v>1</v>
      </c>
      <c r="AS21" s="2" t="s">
        <v>358</v>
      </c>
      <c r="AT21" s="2" t="str">
        <f>IF(Tab_Def_Flows[[#This Row],[ODYM_time_(t)]],"t,","")&amp;IF(Tab_Def_Flows[[#This Row],[ODYM_Region_(r)]],"r,","")&amp;IF(Tab_Def_Flows[[#This Row],[ODYM_process_(p)]],"p,","")&amp;IF(Tab_Def_Flows[[#This Row],[ODYM_Good_(g)2]],"g,","")&amp;IF(Tab_Def_Flows[[#This Row],[ODYM_material_(m)]],"m,","")&amp;IF(Tab_Def_Flows[[#This Row],[ODYM_element_(e)]],"e","")</f>
        <v>t,e</v>
      </c>
      <c r="AU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22" t="b">
        <v>0</v>
      </c>
      <c r="B22" s="12">
        <f>ROW()-1</f>
        <v>21</v>
      </c>
      <c r="C22" s="2" t="str">
        <f>"F_"&amp;LEFT(H22,2)&amp;"_"&amp;LEFT(J22,2)</f>
        <v>F_00_00</v>
      </c>
      <c r="D22" s="3"/>
      <c r="E22" s="9"/>
      <c r="F22" s="2"/>
      <c r="G22" s="18"/>
      <c r="H22" s="2" t="str">
        <f>_xlfn.XLOOKUP(G22,Tab_Def_Processes[Process_Name],Tab_Def_Processes[Process_ID],,0,)</f>
        <v>00</v>
      </c>
      <c r="I22" s="18"/>
      <c r="J22" s="5" t="str">
        <f>_xlfn.XLOOKUP(I22,Tab_Def_Processes[Process_Name],Tab_Def_Processes[Process_ID],,0,)</f>
        <v>00</v>
      </c>
      <c r="K22" s="18" t="s">
        <v>2</v>
      </c>
      <c r="L22" s="18" t="s">
        <v>2</v>
      </c>
      <c r="M22" s="18" t="s">
        <v>2</v>
      </c>
      <c r="N22" s="18" t="s">
        <v>2</v>
      </c>
      <c r="O22" s="18" t="s">
        <v>2</v>
      </c>
      <c r="P22" s="18" t="s">
        <v>2</v>
      </c>
      <c r="Q22" s="2" t="str">
        <f>Tab_Def_Flows[[#This Row],[Flow_ID]]&amp;"_E1"</f>
        <v>F_00_00_E1</v>
      </c>
      <c r="R22" s="20"/>
      <c r="S22" s="2" t="str">
        <f>Tab_Def_Flows[[#This Row],[Flow_ID]]&amp;"_E2"</f>
        <v>F_00_00_E2</v>
      </c>
      <c r="T22" s="16"/>
      <c r="U22" s="2" t="str">
        <f>Tab_Def_Flows[[#This Row],[Flow_ID]]&amp;"_E3"</f>
        <v>F_00_00_E3</v>
      </c>
      <c r="V22" s="16"/>
      <c r="W22" s="2" t="str">
        <f>Tab_Def_Flows[[#This Row],[Flow_ID]]&amp;"_E4"</f>
        <v>F_00_00_E4</v>
      </c>
      <c r="X22" s="16"/>
      <c r="Y22" s="2" t="str">
        <f>Tab_Def_Flows[[#This Row],[Flow_ID]]&amp;"_E5"</f>
        <v>F_00_00_E5</v>
      </c>
      <c r="Z22" s="20"/>
      <c r="AA22" s="2" t="str">
        <f>Tab_Def_Flows[[#This Row],[Flow_ID]]&amp;"_E6"</f>
        <v>F_00_00_E6</v>
      </c>
      <c r="AB22" s="20"/>
      <c r="AC22" s="9"/>
      <c r="AD22" s="9"/>
      <c r="AE22" s="9"/>
      <c r="AF22" s="9"/>
      <c r="AG22" s="9"/>
      <c r="AH22" s="49" t="b">
        <f>'0_Configuration'!$C$2</f>
        <v>1</v>
      </c>
      <c r="AI22" s="2"/>
      <c r="AJ22" s="49" t="b">
        <f>'0_Configuration'!$C$6</f>
        <v>0</v>
      </c>
      <c r="AK22" s="2" t="s">
        <v>344</v>
      </c>
      <c r="AL22" s="49" t="b">
        <f>'0_Configuration'!$C$10</f>
        <v>0</v>
      </c>
      <c r="AM22" s="2" t="s">
        <v>344</v>
      </c>
      <c r="AN22" s="49" t="b">
        <f>'0_Configuration'!$C$17</f>
        <v>0</v>
      </c>
      <c r="AO22" s="2">
        <f>_xlfn.XLOOKUP(Tab_Def_Flows[[#This Row],[ODYM_Good_Type]],Tab_Configuration[Value],Tab_Configuration[ODYM_ID],,0,)</f>
        <v>0</v>
      </c>
      <c r="AP22" s="49" t="b">
        <f>'0_Configuration'!$C$24</f>
        <v>0</v>
      </c>
      <c r="AQ22" s="2"/>
      <c r="AR22" s="49" t="b">
        <f>'0_Configuration'!$C$29</f>
        <v>1</v>
      </c>
      <c r="AS22" s="2" t="s">
        <v>358</v>
      </c>
      <c r="AT22" s="2" t="str">
        <f>IF(Tab_Def_Flows[[#This Row],[ODYM_time_(t)]],"t,","")&amp;IF(Tab_Def_Flows[[#This Row],[ODYM_Region_(r)]],"r,","")&amp;IF(Tab_Def_Flows[[#This Row],[ODYM_process_(p)]],"p,","")&amp;IF(Tab_Def_Flows[[#This Row],[ODYM_Good_(g)2]],"g,","")&amp;IF(Tab_Def_Flows[[#This Row],[ODYM_material_(m)]],"m,","")&amp;IF(Tab_Def_Flows[[#This Row],[ODYM_element_(e)]],"e","")</f>
        <v>t,e</v>
      </c>
      <c r="AU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22" t="b">
        <v>0</v>
      </c>
      <c r="B23" s="12">
        <f>ROW()-1</f>
        <v>22</v>
      </c>
      <c r="C23" s="2" t="str">
        <f>"F_"&amp;LEFT(H23,2)&amp;"_"&amp;LEFT(J23,2)</f>
        <v>F_00_00</v>
      </c>
      <c r="D23" s="3"/>
      <c r="E23" s="9"/>
      <c r="F23" s="2"/>
      <c r="G23" s="18"/>
      <c r="H23" s="2" t="str">
        <f>_xlfn.XLOOKUP(G23,Tab_Def_Processes[Process_Name],Tab_Def_Processes[Process_ID],,0,)</f>
        <v>00</v>
      </c>
      <c r="I23" s="18"/>
      <c r="J23" s="5" t="str">
        <f>_xlfn.XLOOKUP(I23,Tab_Def_Processes[Process_Name],Tab_Def_Processes[Process_ID],,0,)</f>
        <v>00</v>
      </c>
      <c r="K23" s="18" t="s">
        <v>2</v>
      </c>
      <c r="L23" s="18" t="s">
        <v>2</v>
      </c>
      <c r="M23" s="18" t="s">
        <v>2</v>
      </c>
      <c r="N23" s="18" t="s">
        <v>2</v>
      </c>
      <c r="O23" s="18" t="s">
        <v>2</v>
      </c>
      <c r="P23" s="18" t="s">
        <v>2</v>
      </c>
      <c r="Q23" s="2" t="str">
        <f>Tab_Def_Flows[[#This Row],[Flow_ID]]&amp;"_E1"</f>
        <v>F_00_00_E1</v>
      </c>
      <c r="R23" s="20"/>
      <c r="S23" s="2" t="str">
        <f>Tab_Def_Flows[[#This Row],[Flow_ID]]&amp;"_E2"</f>
        <v>F_00_00_E2</v>
      </c>
      <c r="T23" s="16"/>
      <c r="U23" s="2" t="str">
        <f>Tab_Def_Flows[[#This Row],[Flow_ID]]&amp;"_E3"</f>
        <v>F_00_00_E3</v>
      </c>
      <c r="V23" s="16"/>
      <c r="W23" s="2" t="str">
        <f>Tab_Def_Flows[[#This Row],[Flow_ID]]&amp;"_E4"</f>
        <v>F_00_00_E4</v>
      </c>
      <c r="X23" s="16"/>
      <c r="Y23" s="2" t="str">
        <f>Tab_Def_Flows[[#This Row],[Flow_ID]]&amp;"_E5"</f>
        <v>F_00_00_E5</v>
      </c>
      <c r="Z23" s="20"/>
      <c r="AA23" s="2" t="str">
        <f>Tab_Def_Flows[[#This Row],[Flow_ID]]&amp;"_E6"</f>
        <v>F_00_00_E6</v>
      </c>
      <c r="AB23" s="20"/>
      <c r="AC23" s="9"/>
      <c r="AD23" s="9"/>
      <c r="AE23" s="9"/>
      <c r="AF23" s="9"/>
      <c r="AG23" s="9"/>
      <c r="AH23" s="49" t="b">
        <f>'0_Configuration'!$C$2</f>
        <v>1</v>
      </c>
      <c r="AI23" s="2"/>
      <c r="AJ23" s="49" t="b">
        <f>'0_Configuration'!$C$6</f>
        <v>0</v>
      </c>
      <c r="AK23" s="2" t="s">
        <v>344</v>
      </c>
      <c r="AL23" s="49" t="b">
        <f>'0_Configuration'!$C$10</f>
        <v>0</v>
      </c>
      <c r="AM23" s="2" t="s">
        <v>344</v>
      </c>
      <c r="AN23" s="49" t="b">
        <f>'0_Configuration'!$C$17</f>
        <v>0</v>
      </c>
      <c r="AO23" s="2">
        <f>_xlfn.XLOOKUP(Tab_Def_Flows[[#This Row],[ODYM_Good_Type]],Tab_Configuration[Value],Tab_Configuration[ODYM_ID],,0,)</f>
        <v>0</v>
      </c>
      <c r="AP23" s="49" t="b">
        <f>'0_Configuration'!$C$24</f>
        <v>0</v>
      </c>
      <c r="AQ23" s="2"/>
      <c r="AR23" s="49" t="b">
        <f>'0_Configuration'!$C$29</f>
        <v>1</v>
      </c>
      <c r="AS23" s="2" t="s">
        <v>358</v>
      </c>
      <c r="AT23" s="2" t="str">
        <f>IF(Tab_Def_Flows[[#This Row],[ODYM_time_(t)]],"t,","")&amp;IF(Tab_Def_Flows[[#This Row],[ODYM_Region_(r)]],"r,","")&amp;IF(Tab_Def_Flows[[#This Row],[ODYM_process_(p)]],"p,","")&amp;IF(Tab_Def_Flows[[#This Row],[ODYM_Good_(g)2]],"g,","")&amp;IF(Tab_Def_Flows[[#This Row],[ODYM_material_(m)]],"m,","")&amp;IF(Tab_Def_Flows[[#This Row],[ODYM_element_(e)]],"e","")</f>
        <v>t,e</v>
      </c>
      <c r="AU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22" t="b">
        <v>0</v>
      </c>
      <c r="B24" s="12">
        <f>ROW()-1</f>
        <v>23</v>
      </c>
      <c r="C24" s="2" t="str">
        <f>"F_"&amp;LEFT(H24,2)&amp;"_"&amp;LEFT(J24,2)</f>
        <v>F_00_00</v>
      </c>
      <c r="D24" s="3"/>
      <c r="E24" s="9"/>
      <c r="F24" s="2"/>
      <c r="G24" s="18"/>
      <c r="H24" s="2" t="str">
        <f>_xlfn.XLOOKUP(G24,Tab_Def_Processes[Process_Name],Tab_Def_Processes[Process_ID],,0,)</f>
        <v>00</v>
      </c>
      <c r="I24" s="18"/>
      <c r="J24" s="5" t="str">
        <f>_xlfn.XLOOKUP(I24,Tab_Def_Processes[Process_Name],Tab_Def_Processes[Process_ID],,0,)</f>
        <v>00</v>
      </c>
      <c r="K24" s="18" t="s">
        <v>2</v>
      </c>
      <c r="L24" s="18" t="s">
        <v>2</v>
      </c>
      <c r="M24" s="18" t="s">
        <v>2</v>
      </c>
      <c r="N24" s="18" t="s">
        <v>2</v>
      </c>
      <c r="O24" s="18" t="s">
        <v>2</v>
      </c>
      <c r="P24" s="18" t="s">
        <v>2</v>
      </c>
      <c r="Q24" s="2" t="str">
        <f>Tab_Def_Flows[[#This Row],[Flow_ID]]&amp;"_E1"</f>
        <v>F_00_00_E1</v>
      </c>
      <c r="R24" s="20"/>
      <c r="S24" s="2" t="str">
        <f>Tab_Def_Flows[[#This Row],[Flow_ID]]&amp;"_E2"</f>
        <v>F_00_00_E2</v>
      </c>
      <c r="T24" s="16"/>
      <c r="U24" s="2" t="str">
        <f>Tab_Def_Flows[[#This Row],[Flow_ID]]&amp;"_E3"</f>
        <v>F_00_00_E3</v>
      </c>
      <c r="V24" s="16"/>
      <c r="W24" s="2" t="str">
        <f>Tab_Def_Flows[[#This Row],[Flow_ID]]&amp;"_E4"</f>
        <v>F_00_00_E4</v>
      </c>
      <c r="X24" s="16"/>
      <c r="Y24" s="2" t="str">
        <f>Tab_Def_Flows[[#This Row],[Flow_ID]]&amp;"_E5"</f>
        <v>F_00_00_E5</v>
      </c>
      <c r="Z24" s="20"/>
      <c r="AA24" s="2" t="str">
        <f>Tab_Def_Flows[[#This Row],[Flow_ID]]&amp;"_E6"</f>
        <v>F_00_00_E6</v>
      </c>
      <c r="AB24" s="20"/>
      <c r="AC24" s="9"/>
      <c r="AD24" s="9"/>
      <c r="AE24" s="9"/>
      <c r="AF24" s="9"/>
      <c r="AG24" s="9"/>
      <c r="AH24" s="49" t="b">
        <f>'0_Configuration'!$C$2</f>
        <v>1</v>
      </c>
      <c r="AI24" s="2"/>
      <c r="AJ24" s="49" t="b">
        <f>'0_Configuration'!$C$6</f>
        <v>0</v>
      </c>
      <c r="AK24" s="2" t="s">
        <v>344</v>
      </c>
      <c r="AL24" s="49" t="b">
        <f>'0_Configuration'!$C$10</f>
        <v>0</v>
      </c>
      <c r="AM24" s="2" t="s">
        <v>344</v>
      </c>
      <c r="AN24" s="49" t="b">
        <f>'0_Configuration'!$C$17</f>
        <v>0</v>
      </c>
      <c r="AO24" s="2">
        <f>_xlfn.XLOOKUP(Tab_Def_Flows[[#This Row],[ODYM_Good_Type]],Tab_Configuration[Value],Tab_Configuration[ODYM_ID],,0,)</f>
        <v>0</v>
      </c>
      <c r="AP24" s="49" t="b">
        <f>'0_Configuration'!$C$24</f>
        <v>0</v>
      </c>
      <c r="AQ24" s="2"/>
      <c r="AR24" s="49" t="b">
        <f>'0_Configuration'!$C$29</f>
        <v>1</v>
      </c>
      <c r="AS24" s="2" t="s">
        <v>358</v>
      </c>
      <c r="AT24" s="2" t="str">
        <f>IF(Tab_Def_Flows[[#This Row],[ODYM_time_(t)]],"t,","")&amp;IF(Tab_Def_Flows[[#This Row],[ODYM_Region_(r)]],"r,","")&amp;IF(Tab_Def_Flows[[#This Row],[ODYM_process_(p)]],"p,","")&amp;IF(Tab_Def_Flows[[#This Row],[ODYM_Good_(g)2]],"g,","")&amp;IF(Tab_Def_Flows[[#This Row],[ODYM_material_(m)]],"m,","")&amp;IF(Tab_Def_Flows[[#This Row],[ODYM_element_(e)]],"e","")</f>
        <v>t,e</v>
      </c>
      <c r="AU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22" t="b">
        <v>0</v>
      </c>
      <c r="B25" s="12">
        <f t="shared" si="0"/>
        <v>24</v>
      </c>
      <c r="C25" s="2" t="str">
        <f t="shared" si="3"/>
        <v>F_00_00</v>
      </c>
      <c r="D25" s="3"/>
      <c r="E25" s="9"/>
      <c r="F25" s="2"/>
      <c r="G25" s="18"/>
      <c r="H25" s="2" t="str">
        <f>_xlfn.XLOOKUP(G25,Tab_Def_Processes[Process_Name],Tab_Def_Processes[Process_ID],,0,)</f>
        <v>00</v>
      </c>
      <c r="I25" s="18"/>
      <c r="J25" s="5" t="str">
        <f>_xlfn.XLOOKUP(I25,Tab_Def_Processes[Process_Name],Tab_Def_Processes[Process_ID],,0,)</f>
        <v>00</v>
      </c>
      <c r="K25" s="18" t="s">
        <v>2</v>
      </c>
      <c r="L25" s="18" t="s">
        <v>2</v>
      </c>
      <c r="M25" s="18" t="s">
        <v>2</v>
      </c>
      <c r="N25" s="18" t="s">
        <v>2</v>
      </c>
      <c r="O25" s="18" t="s">
        <v>2</v>
      </c>
      <c r="P25" s="18" t="s">
        <v>2</v>
      </c>
      <c r="Q25" s="2" t="str">
        <f>Tab_Def_Flows[[#This Row],[Flow_ID]]&amp;"_E1"</f>
        <v>F_00_00_E1</v>
      </c>
      <c r="R25" s="20"/>
      <c r="S25" s="2" t="str">
        <f>Tab_Def_Flows[[#This Row],[Flow_ID]]&amp;"_E2"</f>
        <v>F_00_00_E2</v>
      </c>
      <c r="T25" s="16"/>
      <c r="U25" s="2" t="str">
        <f>Tab_Def_Flows[[#This Row],[Flow_ID]]&amp;"_E3"</f>
        <v>F_00_00_E3</v>
      </c>
      <c r="V25" s="16"/>
      <c r="W25" s="2" t="str">
        <f>Tab_Def_Flows[[#This Row],[Flow_ID]]&amp;"_E4"</f>
        <v>F_00_00_E4</v>
      </c>
      <c r="X25" s="16"/>
      <c r="Y25" s="2" t="str">
        <f>Tab_Def_Flows[[#This Row],[Flow_ID]]&amp;"_E5"</f>
        <v>F_00_00_E5</v>
      </c>
      <c r="Z25" s="20"/>
      <c r="AA25" s="2" t="str">
        <f>Tab_Def_Flows[[#This Row],[Flow_ID]]&amp;"_E6"</f>
        <v>F_00_00_E6</v>
      </c>
      <c r="AB25" s="20"/>
      <c r="AC25" s="9"/>
      <c r="AD25" s="9"/>
      <c r="AE25" s="9"/>
      <c r="AF25" s="9"/>
      <c r="AG25" s="9"/>
      <c r="AH25" s="49" t="b">
        <f>'0_Configuration'!$C$2</f>
        <v>1</v>
      </c>
      <c r="AI25" s="2"/>
      <c r="AJ25" s="49" t="b">
        <f>'0_Configuration'!$C$6</f>
        <v>0</v>
      </c>
      <c r="AK25" s="2" t="s">
        <v>344</v>
      </c>
      <c r="AL25" s="49" t="b">
        <f>'0_Configuration'!$C$10</f>
        <v>0</v>
      </c>
      <c r="AM25" s="2" t="s">
        <v>344</v>
      </c>
      <c r="AN25" s="49" t="b">
        <f>'0_Configuration'!$C$17</f>
        <v>0</v>
      </c>
      <c r="AO25" s="2">
        <f>_xlfn.XLOOKUP(Tab_Def_Flows[[#This Row],[ODYM_Good_Type]],Tab_Configuration[Value],Tab_Configuration[ODYM_ID],,0,)</f>
        <v>0</v>
      </c>
      <c r="AP25" s="49" t="b">
        <f>'0_Configuration'!$C$24</f>
        <v>0</v>
      </c>
      <c r="AQ25" s="2"/>
      <c r="AR25" s="49" t="b">
        <f>'0_Configuration'!$C$29</f>
        <v>1</v>
      </c>
      <c r="AS25" s="2" t="s">
        <v>358</v>
      </c>
      <c r="AT25" s="2" t="str">
        <f>IF(Tab_Def_Flows[[#This Row],[ODYM_time_(t)]],"t,","")&amp;IF(Tab_Def_Flows[[#This Row],[ODYM_Region_(r)]],"r,","")&amp;IF(Tab_Def_Flows[[#This Row],[ODYM_process_(p)]],"p,","")&amp;IF(Tab_Def_Flows[[#This Row],[ODYM_Good_(g)2]],"g,","")&amp;IF(Tab_Def_Flows[[#This Row],[ODYM_material_(m)]],"m,","")&amp;IF(Tab_Def_Flows[[#This Row],[ODYM_element_(e)]],"e","")</f>
        <v>t,e</v>
      </c>
      <c r="AU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22" t="b">
        <v>0</v>
      </c>
      <c r="B26" s="12">
        <f t="shared" si="0"/>
        <v>25</v>
      </c>
      <c r="C26" s="2" t="str">
        <f t="shared" si="3"/>
        <v>F_00_00</v>
      </c>
      <c r="D26" s="3"/>
      <c r="E26" s="9"/>
      <c r="F26" s="2"/>
      <c r="G26" s="18"/>
      <c r="H26" s="2" t="str">
        <f>_xlfn.XLOOKUP(G26,Tab_Def_Processes[Process_Name],Tab_Def_Processes[Process_ID],,0,)</f>
        <v>00</v>
      </c>
      <c r="I26" s="18"/>
      <c r="J26" s="5" t="str">
        <f>_xlfn.XLOOKUP(I26,Tab_Def_Processes[Process_Name],Tab_Def_Processes[Process_ID],,0,)</f>
        <v>00</v>
      </c>
      <c r="K26" s="18" t="s">
        <v>2</v>
      </c>
      <c r="L26" s="18" t="s">
        <v>2</v>
      </c>
      <c r="M26" s="18" t="s">
        <v>2</v>
      </c>
      <c r="N26" s="18" t="s">
        <v>2</v>
      </c>
      <c r="O26" s="18" t="s">
        <v>2</v>
      </c>
      <c r="P26" s="18" t="s">
        <v>2</v>
      </c>
      <c r="Q26" s="2" t="str">
        <f>Tab_Def_Flows[[#This Row],[Flow_ID]]&amp;"_E1"</f>
        <v>F_00_00_E1</v>
      </c>
      <c r="R26" s="20"/>
      <c r="S26" s="2" t="str">
        <f>Tab_Def_Flows[[#This Row],[Flow_ID]]&amp;"_E2"</f>
        <v>F_00_00_E2</v>
      </c>
      <c r="T26" s="16"/>
      <c r="U26" s="2" t="str">
        <f>Tab_Def_Flows[[#This Row],[Flow_ID]]&amp;"_E3"</f>
        <v>F_00_00_E3</v>
      </c>
      <c r="V26" s="16"/>
      <c r="W26" s="2" t="str">
        <f>Tab_Def_Flows[[#This Row],[Flow_ID]]&amp;"_E4"</f>
        <v>F_00_00_E4</v>
      </c>
      <c r="X26" s="16"/>
      <c r="Y26" s="2" t="str">
        <f>Tab_Def_Flows[[#This Row],[Flow_ID]]&amp;"_E5"</f>
        <v>F_00_00_E5</v>
      </c>
      <c r="Z26" s="20"/>
      <c r="AA26" s="2" t="str">
        <f>Tab_Def_Flows[[#This Row],[Flow_ID]]&amp;"_E6"</f>
        <v>F_00_00_E6</v>
      </c>
      <c r="AB26" s="20"/>
      <c r="AC26" s="9"/>
      <c r="AD26" s="9"/>
      <c r="AE26" s="9"/>
      <c r="AF26" s="9"/>
      <c r="AG26" s="9"/>
      <c r="AH26" s="49" t="b">
        <f>'0_Configuration'!$C$2</f>
        <v>1</v>
      </c>
      <c r="AI26" s="2"/>
      <c r="AJ26" s="49" t="b">
        <f>'0_Configuration'!$C$6</f>
        <v>0</v>
      </c>
      <c r="AK26" s="2" t="s">
        <v>344</v>
      </c>
      <c r="AL26" s="49" t="b">
        <f>'0_Configuration'!$C$10</f>
        <v>0</v>
      </c>
      <c r="AM26" s="2" t="s">
        <v>344</v>
      </c>
      <c r="AN26" s="49" t="b">
        <f>'0_Configuration'!$C$17</f>
        <v>0</v>
      </c>
      <c r="AO26" s="2">
        <f>_xlfn.XLOOKUP(Tab_Def_Flows[[#This Row],[ODYM_Good_Type]],Tab_Configuration[Value],Tab_Configuration[ODYM_ID],,0,)</f>
        <v>0</v>
      </c>
      <c r="AP26" s="49" t="b">
        <f>'0_Configuration'!$C$24</f>
        <v>0</v>
      </c>
      <c r="AQ26" s="2"/>
      <c r="AR26" s="49" t="b">
        <f>'0_Configuration'!$C$29</f>
        <v>1</v>
      </c>
      <c r="AS26" s="2" t="s">
        <v>358</v>
      </c>
      <c r="AT26" s="2" t="str">
        <f>IF(Tab_Def_Flows[[#This Row],[ODYM_time_(t)]],"t,","")&amp;IF(Tab_Def_Flows[[#This Row],[ODYM_Region_(r)]],"r,","")&amp;IF(Tab_Def_Flows[[#This Row],[ODYM_process_(p)]],"p,","")&amp;IF(Tab_Def_Flows[[#This Row],[ODYM_Good_(g)2]],"g,","")&amp;IF(Tab_Def_Flows[[#This Row],[ODYM_material_(m)]],"m,","")&amp;IF(Tab_Def_Flows[[#This Row],[ODYM_element_(e)]],"e","")</f>
        <v>t,e</v>
      </c>
      <c r="AU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22" t="b">
        <v>0</v>
      </c>
      <c r="B27" s="12">
        <f t="shared" si="0"/>
        <v>26</v>
      </c>
      <c r="C27" s="2" t="str">
        <f t="shared" si="3"/>
        <v>F_00_00</v>
      </c>
      <c r="D27" s="3"/>
      <c r="E27" s="9"/>
      <c r="F27" s="2"/>
      <c r="G27" s="18"/>
      <c r="H27" s="2" t="str">
        <f>_xlfn.XLOOKUP(G27,Tab_Def_Processes[Process_Name],Tab_Def_Processes[Process_ID],,0,)</f>
        <v>00</v>
      </c>
      <c r="I27" s="18"/>
      <c r="J27" s="5" t="str">
        <f>_xlfn.XLOOKUP(I27,Tab_Def_Processes[Process_Name],Tab_Def_Processes[Process_ID],,0,)</f>
        <v>00</v>
      </c>
      <c r="K27" s="18" t="s">
        <v>2</v>
      </c>
      <c r="L27" s="18" t="s">
        <v>2</v>
      </c>
      <c r="M27" s="18" t="s">
        <v>2</v>
      </c>
      <c r="N27" s="18" t="s">
        <v>2</v>
      </c>
      <c r="O27" s="18" t="s">
        <v>2</v>
      </c>
      <c r="P27" s="18" t="s">
        <v>2</v>
      </c>
      <c r="Q27" s="2" t="str">
        <f>Tab_Def_Flows[[#This Row],[Flow_ID]]&amp;"_E1"</f>
        <v>F_00_00_E1</v>
      </c>
      <c r="R27" s="20"/>
      <c r="S27" s="2" t="str">
        <f>Tab_Def_Flows[[#This Row],[Flow_ID]]&amp;"_E2"</f>
        <v>F_00_00_E2</v>
      </c>
      <c r="T27" s="16"/>
      <c r="U27" s="2" t="str">
        <f>Tab_Def_Flows[[#This Row],[Flow_ID]]&amp;"_E3"</f>
        <v>F_00_00_E3</v>
      </c>
      <c r="V27" s="16"/>
      <c r="W27" s="2" t="str">
        <f>Tab_Def_Flows[[#This Row],[Flow_ID]]&amp;"_E4"</f>
        <v>F_00_00_E4</v>
      </c>
      <c r="X27" s="16"/>
      <c r="Y27" s="2" t="str">
        <f>Tab_Def_Flows[[#This Row],[Flow_ID]]&amp;"_E5"</f>
        <v>F_00_00_E5</v>
      </c>
      <c r="Z27" s="20"/>
      <c r="AA27" s="2" t="str">
        <f>Tab_Def_Flows[[#This Row],[Flow_ID]]&amp;"_E6"</f>
        <v>F_00_00_E6</v>
      </c>
      <c r="AB27" s="20"/>
      <c r="AC27" s="9"/>
      <c r="AD27" s="9"/>
      <c r="AE27" s="9"/>
      <c r="AF27" s="9"/>
      <c r="AG27" s="9"/>
      <c r="AH27" s="49" t="b">
        <f>'0_Configuration'!$C$2</f>
        <v>1</v>
      </c>
      <c r="AI27" s="2"/>
      <c r="AJ27" s="49" t="b">
        <f>'0_Configuration'!$C$6</f>
        <v>0</v>
      </c>
      <c r="AK27" s="2" t="s">
        <v>344</v>
      </c>
      <c r="AL27" s="49" t="b">
        <f>'0_Configuration'!$C$10</f>
        <v>0</v>
      </c>
      <c r="AM27" s="2" t="s">
        <v>344</v>
      </c>
      <c r="AN27" s="49" t="b">
        <f>'0_Configuration'!$C$17</f>
        <v>0</v>
      </c>
      <c r="AO27" s="2">
        <f>_xlfn.XLOOKUP(Tab_Def_Flows[[#This Row],[ODYM_Good_Type]],Tab_Configuration[Value],Tab_Configuration[ODYM_ID],,0,)</f>
        <v>0</v>
      </c>
      <c r="AP27" s="49" t="b">
        <f>'0_Configuration'!$C$24</f>
        <v>0</v>
      </c>
      <c r="AQ27" s="2"/>
      <c r="AR27" s="49" t="b">
        <f>'0_Configuration'!$C$29</f>
        <v>1</v>
      </c>
      <c r="AS27" s="2" t="s">
        <v>358</v>
      </c>
      <c r="AT27" s="2" t="str">
        <f>IF(Tab_Def_Flows[[#This Row],[ODYM_time_(t)]],"t,","")&amp;IF(Tab_Def_Flows[[#This Row],[ODYM_Region_(r)]],"r,","")&amp;IF(Tab_Def_Flows[[#This Row],[ODYM_process_(p)]],"p,","")&amp;IF(Tab_Def_Flows[[#This Row],[ODYM_Good_(g)2]],"g,","")&amp;IF(Tab_Def_Flows[[#This Row],[ODYM_material_(m)]],"m,","")&amp;IF(Tab_Def_Flows[[#This Row],[ODYM_element_(e)]],"e","")</f>
        <v>t,e</v>
      </c>
      <c r="AU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22" t="b">
        <v>0</v>
      </c>
      <c r="B28" s="12">
        <f t="shared" si="0"/>
        <v>27</v>
      </c>
      <c r="C28" s="2" t="str">
        <f t="shared" si="3"/>
        <v>F_00_00</v>
      </c>
      <c r="D28" s="3"/>
      <c r="E28" s="9"/>
      <c r="F28" s="2"/>
      <c r="G28" s="18"/>
      <c r="H28" s="2" t="str">
        <f>_xlfn.XLOOKUP(G28,Tab_Def_Processes[Process_Name],Tab_Def_Processes[Process_ID],,0,)</f>
        <v>00</v>
      </c>
      <c r="I28" s="18"/>
      <c r="J28" s="5" t="str">
        <f>_xlfn.XLOOKUP(I28,Tab_Def_Processes[Process_Name],Tab_Def_Processes[Process_ID],,0,)</f>
        <v>00</v>
      </c>
      <c r="K28" s="18" t="s">
        <v>2</v>
      </c>
      <c r="L28" s="18" t="s">
        <v>2</v>
      </c>
      <c r="M28" s="18" t="s">
        <v>2</v>
      </c>
      <c r="N28" s="18" t="s">
        <v>2</v>
      </c>
      <c r="O28" s="18" t="s">
        <v>2</v>
      </c>
      <c r="P28" s="18" t="s">
        <v>2</v>
      </c>
      <c r="Q28" s="2" t="str">
        <f>Tab_Def_Flows[[#This Row],[Flow_ID]]&amp;"_E1"</f>
        <v>F_00_00_E1</v>
      </c>
      <c r="R28" s="20"/>
      <c r="S28" s="2" t="str">
        <f>Tab_Def_Flows[[#This Row],[Flow_ID]]&amp;"_E2"</f>
        <v>F_00_00_E2</v>
      </c>
      <c r="T28" s="16"/>
      <c r="U28" s="2" t="str">
        <f>Tab_Def_Flows[[#This Row],[Flow_ID]]&amp;"_E3"</f>
        <v>F_00_00_E3</v>
      </c>
      <c r="V28" s="16"/>
      <c r="W28" s="2" t="str">
        <f>Tab_Def_Flows[[#This Row],[Flow_ID]]&amp;"_E4"</f>
        <v>F_00_00_E4</v>
      </c>
      <c r="X28" s="16"/>
      <c r="Y28" s="2" t="str">
        <f>Tab_Def_Flows[[#This Row],[Flow_ID]]&amp;"_E5"</f>
        <v>F_00_00_E5</v>
      </c>
      <c r="Z28" s="20"/>
      <c r="AA28" s="2" t="str">
        <f>Tab_Def_Flows[[#This Row],[Flow_ID]]&amp;"_E6"</f>
        <v>F_00_00_E6</v>
      </c>
      <c r="AB28" s="20"/>
      <c r="AC28" s="9"/>
      <c r="AD28" s="9"/>
      <c r="AE28" s="9"/>
      <c r="AF28" s="9"/>
      <c r="AG28" s="9"/>
      <c r="AH28" s="49" t="b">
        <f>'0_Configuration'!$C$2</f>
        <v>1</v>
      </c>
      <c r="AI28" s="2"/>
      <c r="AJ28" s="49" t="b">
        <f>'0_Configuration'!$C$6</f>
        <v>0</v>
      </c>
      <c r="AK28" s="2" t="s">
        <v>344</v>
      </c>
      <c r="AL28" s="49" t="b">
        <f>'0_Configuration'!$C$10</f>
        <v>0</v>
      </c>
      <c r="AM28" s="2" t="s">
        <v>344</v>
      </c>
      <c r="AN28" s="49" t="b">
        <f>'0_Configuration'!$C$17</f>
        <v>0</v>
      </c>
      <c r="AO28" s="2">
        <f>_xlfn.XLOOKUP(Tab_Def_Flows[[#This Row],[ODYM_Good_Type]],Tab_Configuration[Value],Tab_Configuration[ODYM_ID],,0,)</f>
        <v>0</v>
      </c>
      <c r="AP28" s="49" t="b">
        <f>'0_Configuration'!$C$24</f>
        <v>0</v>
      </c>
      <c r="AQ28" s="2"/>
      <c r="AR28" s="49" t="b">
        <f>'0_Configuration'!$C$29</f>
        <v>1</v>
      </c>
      <c r="AS28" s="2" t="s">
        <v>358</v>
      </c>
      <c r="AT28" s="2" t="str">
        <f>IF(Tab_Def_Flows[[#This Row],[ODYM_time_(t)]],"t,","")&amp;IF(Tab_Def_Flows[[#This Row],[ODYM_Region_(r)]],"r,","")&amp;IF(Tab_Def_Flows[[#This Row],[ODYM_process_(p)]],"p,","")&amp;IF(Tab_Def_Flows[[#This Row],[ODYM_Good_(g)2]],"g,","")&amp;IF(Tab_Def_Flows[[#This Row],[ODYM_material_(m)]],"m,","")&amp;IF(Tab_Def_Flows[[#This Row],[ODYM_element_(e)]],"e","")</f>
        <v>t,e</v>
      </c>
      <c r="AU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22" t="b">
        <v>0</v>
      </c>
      <c r="B29" s="12">
        <f>ROW()-1</f>
        <v>28</v>
      </c>
      <c r="C29" s="2" t="str">
        <f>"F_"&amp;LEFT(H29,2)&amp;"_"&amp;LEFT(J29,2)</f>
        <v>F_00_00</v>
      </c>
      <c r="D29" s="3"/>
      <c r="E29" s="9"/>
      <c r="F29" s="2"/>
      <c r="G29" s="18"/>
      <c r="H29" s="2" t="str">
        <f>_xlfn.XLOOKUP(G29,Tab_Def_Processes[Process_Name],Tab_Def_Processes[Process_ID],,0,)</f>
        <v>00</v>
      </c>
      <c r="I29" s="18"/>
      <c r="J29" s="5" t="str">
        <f>_xlfn.XLOOKUP(I29,Tab_Def_Processes[Process_Name],Tab_Def_Processes[Process_ID],,0,)</f>
        <v>00</v>
      </c>
      <c r="K29" s="18" t="s">
        <v>2</v>
      </c>
      <c r="L29" s="18" t="s">
        <v>2</v>
      </c>
      <c r="M29" s="18" t="s">
        <v>2</v>
      </c>
      <c r="N29" s="18" t="s">
        <v>2</v>
      </c>
      <c r="O29" s="18" t="s">
        <v>2</v>
      </c>
      <c r="P29" s="18" t="s">
        <v>2</v>
      </c>
      <c r="Q29" s="2" t="str">
        <f>Tab_Def_Flows[[#This Row],[Flow_ID]]&amp;"_E1"</f>
        <v>F_00_00_E1</v>
      </c>
      <c r="R29" s="20"/>
      <c r="S29" s="2" t="str">
        <f>Tab_Def_Flows[[#This Row],[Flow_ID]]&amp;"_E2"</f>
        <v>F_00_00_E2</v>
      </c>
      <c r="T29" s="16"/>
      <c r="U29" s="2" t="str">
        <f>Tab_Def_Flows[[#This Row],[Flow_ID]]&amp;"_E3"</f>
        <v>F_00_00_E3</v>
      </c>
      <c r="V29" s="16"/>
      <c r="W29" s="2" t="str">
        <f>Tab_Def_Flows[[#This Row],[Flow_ID]]&amp;"_E4"</f>
        <v>F_00_00_E4</v>
      </c>
      <c r="X29" s="16"/>
      <c r="Y29" s="2" t="str">
        <f>Tab_Def_Flows[[#This Row],[Flow_ID]]&amp;"_E5"</f>
        <v>F_00_00_E5</v>
      </c>
      <c r="Z29" s="20"/>
      <c r="AA29" s="2" t="str">
        <f>Tab_Def_Flows[[#This Row],[Flow_ID]]&amp;"_E6"</f>
        <v>F_00_00_E6</v>
      </c>
      <c r="AB29" s="20"/>
      <c r="AC29" s="9"/>
      <c r="AD29" s="9"/>
      <c r="AE29" s="9"/>
      <c r="AF29" s="9"/>
      <c r="AG29" s="9"/>
      <c r="AH29" s="49" t="b">
        <f>'0_Configuration'!$C$2</f>
        <v>1</v>
      </c>
      <c r="AI29" s="2"/>
      <c r="AJ29" s="49" t="b">
        <f>'0_Configuration'!$C$6</f>
        <v>0</v>
      </c>
      <c r="AK29" s="2" t="s">
        <v>344</v>
      </c>
      <c r="AL29" s="49" t="b">
        <f>'0_Configuration'!$C$10</f>
        <v>0</v>
      </c>
      <c r="AM29" s="2" t="s">
        <v>344</v>
      </c>
      <c r="AN29" s="49" t="b">
        <f>'0_Configuration'!$C$17</f>
        <v>0</v>
      </c>
      <c r="AO29" s="2">
        <f>_xlfn.XLOOKUP(Tab_Def_Flows[[#This Row],[ODYM_Good_Type]],Tab_Configuration[Value],Tab_Configuration[ODYM_ID],,0,)</f>
        <v>0</v>
      </c>
      <c r="AP29" s="49" t="b">
        <f>'0_Configuration'!$C$24</f>
        <v>0</v>
      </c>
      <c r="AQ29" s="2"/>
      <c r="AR29" s="49" t="b">
        <f>'0_Configuration'!$C$29</f>
        <v>1</v>
      </c>
      <c r="AS29" s="2" t="s">
        <v>358</v>
      </c>
      <c r="AT29" s="2" t="str">
        <f>IF(Tab_Def_Flows[[#This Row],[ODYM_time_(t)]],"t,","")&amp;IF(Tab_Def_Flows[[#This Row],[ODYM_Region_(r)]],"r,","")&amp;IF(Tab_Def_Flows[[#This Row],[ODYM_process_(p)]],"p,","")&amp;IF(Tab_Def_Flows[[#This Row],[ODYM_Good_(g)2]],"g,","")&amp;IF(Tab_Def_Flows[[#This Row],[ODYM_material_(m)]],"m,","")&amp;IF(Tab_Def_Flows[[#This Row],[ODYM_element_(e)]],"e","")</f>
        <v>t,e</v>
      </c>
      <c r="AU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22" t="b">
        <v>0</v>
      </c>
      <c r="B30" s="12">
        <f>ROW()-1</f>
        <v>29</v>
      </c>
      <c r="C30" s="2" t="str">
        <f>"F_"&amp;LEFT(H30,2)&amp;"_"&amp;LEFT(J30,2)</f>
        <v>F_00_00</v>
      </c>
      <c r="D30" s="3"/>
      <c r="E30" s="9"/>
      <c r="F30" s="2"/>
      <c r="G30" s="18"/>
      <c r="H30" s="2" t="str">
        <f>_xlfn.XLOOKUP(G30,Tab_Def_Processes[Process_Name],Tab_Def_Processes[Process_ID],,0,)</f>
        <v>00</v>
      </c>
      <c r="I30" s="18"/>
      <c r="J30" s="5" t="str">
        <f>_xlfn.XLOOKUP(I30,Tab_Def_Processes[Process_Name],Tab_Def_Processes[Process_ID],,0,)</f>
        <v>00</v>
      </c>
      <c r="K30" s="18" t="s">
        <v>2</v>
      </c>
      <c r="L30" s="18" t="s">
        <v>2</v>
      </c>
      <c r="M30" s="18" t="s">
        <v>2</v>
      </c>
      <c r="N30" s="18" t="s">
        <v>2</v>
      </c>
      <c r="O30" s="18" t="s">
        <v>2</v>
      </c>
      <c r="P30" s="18" t="s">
        <v>2</v>
      </c>
      <c r="Q30" s="2" t="str">
        <f>Tab_Def_Flows[[#This Row],[Flow_ID]]&amp;"_E1"</f>
        <v>F_00_00_E1</v>
      </c>
      <c r="R30" s="20"/>
      <c r="S30" s="2" t="str">
        <f>Tab_Def_Flows[[#This Row],[Flow_ID]]&amp;"_E2"</f>
        <v>F_00_00_E2</v>
      </c>
      <c r="T30" s="16"/>
      <c r="U30" s="2" t="str">
        <f>Tab_Def_Flows[[#This Row],[Flow_ID]]&amp;"_E3"</f>
        <v>F_00_00_E3</v>
      </c>
      <c r="V30" s="16"/>
      <c r="W30" s="2" t="str">
        <f>Tab_Def_Flows[[#This Row],[Flow_ID]]&amp;"_E4"</f>
        <v>F_00_00_E4</v>
      </c>
      <c r="X30" s="16"/>
      <c r="Y30" s="2" t="str">
        <f>Tab_Def_Flows[[#This Row],[Flow_ID]]&amp;"_E5"</f>
        <v>F_00_00_E5</v>
      </c>
      <c r="Z30" s="20"/>
      <c r="AA30" s="2" t="str">
        <f>Tab_Def_Flows[[#This Row],[Flow_ID]]&amp;"_E6"</f>
        <v>F_00_00_E6</v>
      </c>
      <c r="AB30" s="20"/>
      <c r="AC30" s="9"/>
      <c r="AD30" s="9"/>
      <c r="AE30" s="9"/>
      <c r="AF30" s="9"/>
      <c r="AG30" s="9"/>
      <c r="AH30" s="49" t="b">
        <f>'0_Configuration'!$C$2</f>
        <v>1</v>
      </c>
      <c r="AI30" s="2"/>
      <c r="AJ30" s="49" t="b">
        <f>'0_Configuration'!$C$6</f>
        <v>0</v>
      </c>
      <c r="AK30" s="2" t="s">
        <v>344</v>
      </c>
      <c r="AL30" s="49" t="b">
        <f>'0_Configuration'!$C$10</f>
        <v>0</v>
      </c>
      <c r="AM30" s="2" t="s">
        <v>344</v>
      </c>
      <c r="AN30" s="49" t="b">
        <f>'0_Configuration'!$C$17</f>
        <v>0</v>
      </c>
      <c r="AO30" s="2">
        <f>_xlfn.XLOOKUP(Tab_Def_Flows[[#This Row],[ODYM_Good_Type]],Tab_Configuration[Value],Tab_Configuration[ODYM_ID],,0,)</f>
        <v>0</v>
      </c>
      <c r="AP30" s="49" t="b">
        <f>'0_Configuration'!$C$24</f>
        <v>0</v>
      </c>
      <c r="AQ30" s="2"/>
      <c r="AR30" s="49" t="b">
        <f>'0_Configuration'!$C$29</f>
        <v>1</v>
      </c>
      <c r="AS30" s="2" t="s">
        <v>358</v>
      </c>
      <c r="AT30" s="2" t="str">
        <f>IF(Tab_Def_Flows[[#This Row],[ODYM_time_(t)]],"t,","")&amp;IF(Tab_Def_Flows[[#This Row],[ODYM_Region_(r)]],"r,","")&amp;IF(Tab_Def_Flows[[#This Row],[ODYM_process_(p)]],"p,","")&amp;IF(Tab_Def_Flows[[#This Row],[ODYM_Good_(g)2]],"g,","")&amp;IF(Tab_Def_Flows[[#This Row],[ODYM_material_(m)]],"m,","")&amp;IF(Tab_Def_Flows[[#This Row],[ODYM_element_(e)]],"e","")</f>
        <v>t,e</v>
      </c>
      <c r="AU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22" t="b">
        <v>0</v>
      </c>
      <c r="B31" s="12">
        <f>ROW()-1</f>
        <v>30</v>
      </c>
      <c r="C31" s="2" t="str">
        <f>"F_"&amp;LEFT(H31,2)&amp;"_"&amp;LEFT(J31,2)</f>
        <v>F_00_00</v>
      </c>
      <c r="D31" s="3"/>
      <c r="E31" s="9"/>
      <c r="F31" s="2"/>
      <c r="G31" s="18"/>
      <c r="H31" s="2" t="str">
        <f>_xlfn.XLOOKUP(G31,Tab_Def_Processes[Process_Name],Tab_Def_Processes[Process_ID],,0,)</f>
        <v>00</v>
      </c>
      <c r="I31" s="18"/>
      <c r="J31" s="5" t="str">
        <f>_xlfn.XLOOKUP(I31,Tab_Def_Processes[Process_Name],Tab_Def_Processes[Process_ID],,0,)</f>
        <v>00</v>
      </c>
      <c r="K31" s="18" t="s">
        <v>2</v>
      </c>
      <c r="L31" s="18" t="s">
        <v>2</v>
      </c>
      <c r="M31" s="18" t="s">
        <v>2</v>
      </c>
      <c r="N31" s="18" t="s">
        <v>2</v>
      </c>
      <c r="O31" s="18" t="s">
        <v>2</v>
      </c>
      <c r="P31" s="18" t="s">
        <v>2</v>
      </c>
      <c r="Q31" s="2" t="str">
        <f>Tab_Def_Flows[[#This Row],[Flow_ID]]&amp;"_E1"</f>
        <v>F_00_00_E1</v>
      </c>
      <c r="R31" s="20"/>
      <c r="S31" s="2" t="str">
        <f>Tab_Def_Flows[[#This Row],[Flow_ID]]&amp;"_E2"</f>
        <v>F_00_00_E2</v>
      </c>
      <c r="T31" s="16"/>
      <c r="U31" s="2" t="str">
        <f>Tab_Def_Flows[[#This Row],[Flow_ID]]&amp;"_E3"</f>
        <v>F_00_00_E3</v>
      </c>
      <c r="V31" s="16"/>
      <c r="W31" s="2" t="str">
        <f>Tab_Def_Flows[[#This Row],[Flow_ID]]&amp;"_E4"</f>
        <v>F_00_00_E4</v>
      </c>
      <c r="X31" s="16"/>
      <c r="Y31" s="2" t="str">
        <f>Tab_Def_Flows[[#This Row],[Flow_ID]]&amp;"_E5"</f>
        <v>F_00_00_E5</v>
      </c>
      <c r="Z31" s="20"/>
      <c r="AA31" s="2" t="str">
        <f>Tab_Def_Flows[[#This Row],[Flow_ID]]&amp;"_E6"</f>
        <v>F_00_00_E6</v>
      </c>
      <c r="AB31" s="20"/>
      <c r="AC31" s="9"/>
      <c r="AD31" s="9"/>
      <c r="AE31" s="9"/>
      <c r="AF31" s="9"/>
      <c r="AG31" s="9"/>
      <c r="AH31" s="49" t="b">
        <f>'0_Configuration'!$C$2</f>
        <v>1</v>
      </c>
      <c r="AI31" s="2"/>
      <c r="AJ31" s="49" t="b">
        <f>'0_Configuration'!$C$6</f>
        <v>0</v>
      </c>
      <c r="AK31" s="2" t="s">
        <v>344</v>
      </c>
      <c r="AL31" s="49" t="b">
        <f>'0_Configuration'!$C$10</f>
        <v>0</v>
      </c>
      <c r="AM31" s="2" t="s">
        <v>344</v>
      </c>
      <c r="AN31" s="49" t="b">
        <f>'0_Configuration'!$C$17</f>
        <v>0</v>
      </c>
      <c r="AO31" s="2">
        <f>_xlfn.XLOOKUP(Tab_Def_Flows[[#This Row],[ODYM_Good_Type]],Tab_Configuration[Value],Tab_Configuration[ODYM_ID],,0,)</f>
        <v>0</v>
      </c>
      <c r="AP31" s="49" t="b">
        <f>'0_Configuration'!$C$24</f>
        <v>0</v>
      </c>
      <c r="AQ31" s="2"/>
      <c r="AR31" s="49" t="b">
        <f>'0_Configuration'!$C$29</f>
        <v>1</v>
      </c>
      <c r="AS31" s="2" t="s">
        <v>358</v>
      </c>
      <c r="AT31" s="2" t="str">
        <f>IF(Tab_Def_Flows[[#This Row],[ODYM_time_(t)]],"t,","")&amp;IF(Tab_Def_Flows[[#This Row],[ODYM_Region_(r)]],"r,","")&amp;IF(Tab_Def_Flows[[#This Row],[ODYM_process_(p)]],"p,","")&amp;IF(Tab_Def_Flows[[#This Row],[ODYM_Good_(g)2]],"g,","")&amp;IF(Tab_Def_Flows[[#This Row],[ODYM_material_(m)]],"m,","")&amp;IF(Tab_Def_Flows[[#This Row],[ODYM_element_(e)]],"e","")</f>
        <v>t,e</v>
      </c>
      <c r="AU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22" t="b">
        <v>0</v>
      </c>
      <c r="B32" s="12">
        <f t="shared" si="0"/>
        <v>31</v>
      </c>
      <c r="C32" s="2" t="str">
        <f t="shared" si="3"/>
        <v>F_00_00</v>
      </c>
      <c r="D32" s="3"/>
      <c r="E32" s="9"/>
      <c r="F32" s="2"/>
      <c r="G32" s="18"/>
      <c r="H32" s="2" t="str">
        <f>_xlfn.XLOOKUP(G32,Tab_Def_Processes[Process_Name],Tab_Def_Processes[Process_ID],,0,)</f>
        <v>00</v>
      </c>
      <c r="I32" s="18"/>
      <c r="J32" s="5" t="str">
        <f>_xlfn.XLOOKUP(I32,Tab_Def_Processes[Process_Name],Tab_Def_Processes[Process_ID],,0,)</f>
        <v>00</v>
      </c>
      <c r="K32" s="18" t="s">
        <v>2</v>
      </c>
      <c r="L32" s="18" t="s">
        <v>2</v>
      </c>
      <c r="M32" s="18" t="s">
        <v>2</v>
      </c>
      <c r="N32" s="18" t="s">
        <v>2</v>
      </c>
      <c r="O32" s="18" t="s">
        <v>2</v>
      </c>
      <c r="P32" s="18" t="s">
        <v>2</v>
      </c>
      <c r="Q32" s="2" t="str">
        <f>Tab_Def_Flows[[#This Row],[Flow_ID]]&amp;"_E1"</f>
        <v>F_00_00_E1</v>
      </c>
      <c r="R32" s="20"/>
      <c r="S32" s="2" t="str">
        <f>Tab_Def_Flows[[#This Row],[Flow_ID]]&amp;"_E2"</f>
        <v>F_00_00_E2</v>
      </c>
      <c r="T32" s="16"/>
      <c r="U32" s="2" t="str">
        <f>Tab_Def_Flows[[#This Row],[Flow_ID]]&amp;"_E3"</f>
        <v>F_00_00_E3</v>
      </c>
      <c r="V32" s="16"/>
      <c r="W32" s="2" t="str">
        <f>Tab_Def_Flows[[#This Row],[Flow_ID]]&amp;"_E4"</f>
        <v>F_00_00_E4</v>
      </c>
      <c r="X32" s="16"/>
      <c r="Y32" s="2" t="str">
        <f>Tab_Def_Flows[[#This Row],[Flow_ID]]&amp;"_E5"</f>
        <v>F_00_00_E5</v>
      </c>
      <c r="Z32" s="20"/>
      <c r="AA32" s="2" t="str">
        <f>Tab_Def_Flows[[#This Row],[Flow_ID]]&amp;"_E6"</f>
        <v>F_00_00_E6</v>
      </c>
      <c r="AB32" s="20"/>
      <c r="AC32" s="9"/>
      <c r="AD32" s="9"/>
      <c r="AE32" s="9"/>
      <c r="AF32" s="9"/>
      <c r="AG32" s="9"/>
      <c r="AH32" s="49" t="b">
        <f>'0_Configuration'!$C$2</f>
        <v>1</v>
      </c>
      <c r="AI32" s="2"/>
      <c r="AJ32" s="49" t="b">
        <f>'0_Configuration'!$C$6</f>
        <v>0</v>
      </c>
      <c r="AK32" s="2" t="s">
        <v>344</v>
      </c>
      <c r="AL32" s="49" t="b">
        <f>'0_Configuration'!$C$10</f>
        <v>0</v>
      </c>
      <c r="AM32" s="2" t="s">
        <v>344</v>
      </c>
      <c r="AN32" s="49" t="b">
        <f>'0_Configuration'!$C$17</f>
        <v>0</v>
      </c>
      <c r="AO32" s="2">
        <f>_xlfn.XLOOKUP(Tab_Def_Flows[[#This Row],[ODYM_Good_Type]],Tab_Configuration[Value],Tab_Configuration[ODYM_ID],,0,)</f>
        <v>0</v>
      </c>
      <c r="AP32" s="49" t="b">
        <f>'0_Configuration'!$C$24</f>
        <v>0</v>
      </c>
      <c r="AQ32" s="2"/>
      <c r="AR32" s="49" t="b">
        <f>'0_Configuration'!$C$29</f>
        <v>1</v>
      </c>
      <c r="AS32" s="2" t="s">
        <v>358</v>
      </c>
      <c r="AT32" s="2" t="str">
        <f>IF(Tab_Def_Flows[[#This Row],[ODYM_time_(t)]],"t,","")&amp;IF(Tab_Def_Flows[[#This Row],[ODYM_Region_(r)]],"r,","")&amp;IF(Tab_Def_Flows[[#This Row],[ODYM_process_(p)]],"p,","")&amp;IF(Tab_Def_Flows[[#This Row],[ODYM_Good_(g)2]],"g,","")&amp;IF(Tab_Def_Flows[[#This Row],[ODYM_material_(m)]],"m,","")&amp;IF(Tab_Def_Flows[[#This Row],[ODYM_element_(e)]],"e","")</f>
        <v>t,e</v>
      </c>
      <c r="AU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22" t="b">
        <v>0</v>
      </c>
      <c r="B33" s="12">
        <f t="shared" si="0"/>
        <v>32</v>
      </c>
      <c r="C33" s="2" t="str">
        <f t="shared" si="3"/>
        <v>F_00_00</v>
      </c>
      <c r="D33" s="3"/>
      <c r="E33" s="9"/>
      <c r="F33" s="2"/>
      <c r="G33" s="18"/>
      <c r="H33" s="2" t="str">
        <f>_xlfn.XLOOKUP(G33,Tab_Def_Processes[Process_Name],Tab_Def_Processes[Process_ID],,0,)</f>
        <v>00</v>
      </c>
      <c r="I33" s="18"/>
      <c r="J33" s="5" t="str">
        <f>_xlfn.XLOOKUP(I33,Tab_Def_Processes[Process_Name],Tab_Def_Processes[Process_ID],,0,)</f>
        <v>00</v>
      </c>
      <c r="K33" s="18" t="s">
        <v>2</v>
      </c>
      <c r="L33" s="18" t="s">
        <v>2</v>
      </c>
      <c r="M33" s="18" t="s">
        <v>2</v>
      </c>
      <c r="N33" s="18" t="s">
        <v>2</v>
      </c>
      <c r="O33" s="18" t="s">
        <v>2</v>
      </c>
      <c r="P33" s="18" t="s">
        <v>2</v>
      </c>
      <c r="Q33" s="2" t="str">
        <f>Tab_Def_Flows[[#This Row],[Flow_ID]]&amp;"_E1"</f>
        <v>F_00_00_E1</v>
      </c>
      <c r="R33" s="20"/>
      <c r="S33" s="2" t="str">
        <f>Tab_Def_Flows[[#This Row],[Flow_ID]]&amp;"_E2"</f>
        <v>F_00_00_E2</v>
      </c>
      <c r="T33" s="16"/>
      <c r="U33" s="2" t="str">
        <f>Tab_Def_Flows[[#This Row],[Flow_ID]]&amp;"_E3"</f>
        <v>F_00_00_E3</v>
      </c>
      <c r="V33" s="16"/>
      <c r="W33" s="2" t="str">
        <f>Tab_Def_Flows[[#This Row],[Flow_ID]]&amp;"_E4"</f>
        <v>F_00_00_E4</v>
      </c>
      <c r="X33" s="16"/>
      <c r="Y33" s="2" t="str">
        <f>Tab_Def_Flows[[#This Row],[Flow_ID]]&amp;"_E5"</f>
        <v>F_00_00_E5</v>
      </c>
      <c r="Z33" s="20"/>
      <c r="AA33" s="2" t="str">
        <f>Tab_Def_Flows[[#This Row],[Flow_ID]]&amp;"_E6"</f>
        <v>F_00_00_E6</v>
      </c>
      <c r="AB33" s="20"/>
      <c r="AC33" s="9"/>
      <c r="AD33" s="9"/>
      <c r="AE33" s="9"/>
      <c r="AF33" s="9"/>
      <c r="AG33" s="9"/>
      <c r="AH33" s="49" t="b">
        <f>'0_Configuration'!$C$2</f>
        <v>1</v>
      </c>
      <c r="AI33" s="2"/>
      <c r="AJ33" s="49" t="b">
        <f>'0_Configuration'!$C$6</f>
        <v>0</v>
      </c>
      <c r="AK33" s="2" t="s">
        <v>344</v>
      </c>
      <c r="AL33" s="49" t="b">
        <f>'0_Configuration'!$C$10</f>
        <v>0</v>
      </c>
      <c r="AM33" s="2" t="s">
        <v>344</v>
      </c>
      <c r="AN33" s="49" t="b">
        <f>'0_Configuration'!$C$17</f>
        <v>0</v>
      </c>
      <c r="AO33" s="2">
        <f>_xlfn.XLOOKUP(Tab_Def_Flows[[#This Row],[ODYM_Good_Type]],Tab_Configuration[Value],Tab_Configuration[ODYM_ID],,0,)</f>
        <v>0</v>
      </c>
      <c r="AP33" s="49" t="b">
        <f>'0_Configuration'!$C$24</f>
        <v>0</v>
      </c>
      <c r="AQ33" s="2"/>
      <c r="AR33" s="49" t="b">
        <f>'0_Configuration'!$C$29</f>
        <v>1</v>
      </c>
      <c r="AS33" s="2" t="s">
        <v>358</v>
      </c>
      <c r="AT33" s="2" t="str">
        <f>IF(Tab_Def_Flows[[#This Row],[ODYM_time_(t)]],"t,","")&amp;IF(Tab_Def_Flows[[#This Row],[ODYM_Region_(r)]],"r,","")&amp;IF(Tab_Def_Flows[[#This Row],[ODYM_process_(p)]],"p,","")&amp;IF(Tab_Def_Flows[[#This Row],[ODYM_Good_(g)2]],"g,","")&amp;IF(Tab_Def_Flows[[#This Row],[ODYM_material_(m)]],"m,","")&amp;IF(Tab_Def_Flows[[#This Row],[ODYM_element_(e)]],"e","")</f>
        <v>t,e</v>
      </c>
      <c r="AU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22" t="b">
        <v>0</v>
      </c>
      <c r="B34" s="12">
        <f>ROW()-1</f>
        <v>33</v>
      </c>
      <c r="C34" s="2" t="str">
        <f>"F_"&amp;LEFT(H34,2)&amp;"_"&amp;LEFT(J34,2)</f>
        <v>F_00_00</v>
      </c>
      <c r="D34" s="3"/>
      <c r="E34" s="9"/>
      <c r="F34" s="2"/>
      <c r="G34" s="18"/>
      <c r="H34" s="2" t="str">
        <f>_xlfn.XLOOKUP(G34,Tab_Def_Processes[Process_Name],Tab_Def_Processes[Process_ID],,0,)</f>
        <v>00</v>
      </c>
      <c r="I34" s="18"/>
      <c r="J34" s="5" t="str">
        <f>_xlfn.XLOOKUP(I34,Tab_Def_Processes[Process_Name],Tab_Def_Processes[Process_ID],,0,)</f>
        <v>00</v>
      </c>
      <c r="K34" s="18" t="s">
        <v>2</v>
      </c>
      <c r="L34" s="18" t="s">
        <v>2</v>
      </c>
      <c r="M34" s="18" t="s">
        <v>2</v>
      </c>
      <c r="N34" s="18" t="s">
        <v>2</v>
      </c>
      <c r="O34" s="18" t="s">
        <v>2</v>
      </c>
      <c r="P34" s="18" t="s">
        <v>2</v>
      </c>
      <c r="Q34" s="2" t="str">
        <f>Tab_Def_Flows[[#This Row],[Flow_ID]]&amp;"_E1"</f>
        <v>F_00_00_E1</v>
      </c>
      <c r="R34" s="20"/>
      <c r="S34" s="2" t="str">
        <f>Tab_Def_Flows[[#This Row],[Flow_ID]]&amp;"_E2"</f>
        <v>F_00_00_E2</v>
      </c>
      <c r="T34" s="16"/>
      <c r="U34" s="2" t="str">
        <f>Tab_Def_Flows[[#This Row],[Flow_ID]]&amp;"_E3"</f>
        <v>F_00_00_E3</v>
      </c>
      <c r="V34" s="16"/>
      <c r="W34" s="2" t="str">
        <f>Tab_Def_Flows[[#This Row],[Flow_ID]]&amp;"_E4"</f>
        <v>F_00_00_E4</v>
      </c>
      <c r="X34" s="16"/>
      <c r="Y34" s="2" t="str">
        <f>Tab_Def_Flows[[#This Row],[Flow_ID]]&amp;"_E5"</f>
        <v>F_00_00_E5</v>
      </c>
      <c r="Z34" s="20"/>
      <c r="AA34" s="2" t="str">
        <f>Tab_Def_Flows[[#This Row],[Flow_ID]]&amp;"_E6"</f>
        <v>F_00_00_E6</v>
      </c>
      <c r="AB34" s="20"/>
      <c r="AC34" s="9"/>
      <c r="AD34" s="9"/>
      <c r="AE34" s="9"/>
      <c r="AF34" s="9"/>
      <c r="AG34" s="9"/>
      <c r="AH34" s="49" t="b">
        <f>'0_Configuration'!$C$2</f>
        <v>1</v>
      </c>
      <c r="AI34" s="2"/>
      <c r="AJ34" s="49" t="b">
        <f>'0_Configuration'!$C$6</f>
        <v>0</v>
      </c>
      <c r="AK34" s="2" t="s">
        <v>344</v>
      </c>
      <c r="AL34" s="49" t="b">
        <f>'0_Configuration'!$C$10</f>
        <v>0</v>
      </c>
      <c r="AM34" s="2" t="s">
        <v>344</v>
      </c>
      <c r="AN34" s="49" t="b">
        <f>'0_Configuration'!$C$17</f>
        <v>0</v>
      </c>
      <c r="AO34" s="2">
        <f>_xlfn.XLOOKUP(Tab_Def_Flows[[#This Row],[ODYM_Good_Type]],Tab_Configuration[Value],Tab_Configuration[ODYM_ID],,0,)</f>
        <v>0</v>
      </c>
      <c r="AP34" s="49" t="b">
        <f>'0_Configuration'!$C$24</f>
        <v>0</v>
      </c>
      <c r="AQ34" s="2"/>
      <c r="AR34" s="49" t="b">
        <f>'0_Configuration'!$C$29</f>
        <v>1</v>
      </c>
      <c r="AS34" s="2" t="s">
        <v>358</v>
      </c>
      <c r="AT34" s="2" t="str">
        <f>IF(Tab_Def_Flows[[#This Row],[ODYM_time_(t)]],"t,","")&amp;IF(Tab_Def_Flows[[#This Row],[ODYM_Region_(r)]],"r,","")&amp;IF(Tab_Def_Flows[[#This Row],[ODYM_process_(p)]],"p,","")&amp;IF(Tab_Def_Flows[[#This Row],[ODYM_Good_(g)2]],"g,","")&amp;IF(Tab_Def_Flows[[#This Row],[ODYM_material_(m)]],"m,","")&amp;IF(Tab_Def_Flows[[#This Row],[ODYM_element_(e)]],"e","")</f>
        <v>t,e</v>
      </c>
      <c r="AU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22" t="b">
        <v>0</v>
      </c>
      <c r="B35" s="12">
        <f>ROW()-1</f>
        <v>34</v>
      </c>
      <c r="C35" s="2" t="str">
        <f>"F_"&amp;LEFT(H35,2)&amp;"_"&amp;LEFT(J35,2)</f>
        <v>F_00_00</v>
      </c>
      <c r="D35" s="3"/>
      <c r="E35" s="9"/>
      <c r="F35" s="2"/>
      <c r="G35" s="18"/>
      <c r="H35" s="2" t="str">
        <f>_xlfn.XLOOKUP(G35,Tab_Def_Processes[Process_Name],Tab_Def_Processes[Process_ID],,0,)</f>
        <v>00</v>
      </c>
      <c r="I35" s="18"/>
      <c r="J35" s="5" t="str">
        <f>_xlfn.XLOOKUP(I35,Tab_Def_Processes[Process_Name],Tab_Def_Processes[Process_ID],,0,)</f>
        <v>00</v>
      </c>
      <c r="K35" s="18" t="s">
        <v>2</v>
      </c>
      <c r="L35" s="18" t="s">
        <v>2</v>
      </c>
      <c r="M35" s="18" t="s">
        <v>2</v>
      </c>
      <c r="N35" s="18" t="s">
        <v>2</v>
      </c>
      <c r="O35" s="18" t="s">
        <v>2</v>
      </c>
      <c r="P35" s="18" t="s">
        <v>2</v>
      </c>
      <c r="Q35" s="2" t="str">
        <f>Tab_Def_Flows[[#This Row],[Flow_ID]]&amp;"_E1"</f>
        <v>F_00_00_E1</v>
      </c>
      <c r="R35" s="20"/>
      <c r="S35" s="2" t="str">
        <f>Tab_Def_Flows[[#This Row],[Flow_ID]]&amp;"_E2"</f>
        <v>F_00_00_E2</v>
      </c>
      <c r="T35" s="16"/>
      <c r="U35" s="2" t="str">
        <f>Tab_Def_Flows[[#This Row],[Flow_ID]]&amp;"_E3"</f>
        <v>F_00_00_E3</v>
      </c>
      <c r="V35" s="16"/>
      <c r="W35" s="2" t="str">
        <f>Tab_Def_Flows[[#This Row],[Flow_ID]]&amp;"_E4"</f>
        <v>F_00_00_E4</v>
      </c>
      <c r="X35" s="16"/>
      <c r="Y35" s="2" t="str">
        <f>Tab_Def_Flows[[#This Row],[Flow_ID]]&amp;"_E5"</f>
        <v>F_00_00_E5</v>
      </c>
      <c r="Z35" s="20"/>
      <c r="AA35" s="2" t="str">
        <f>Tab_Def_Flows[[#This Row],[Flow_ID]]&amp;"_E6"</f>
        <v>F_00_00_E6</v>
      </c>
      <c r="AB35" s="20"/>
      <c r="AC35" s="9"/>
      <c r="AD35" s="9"/>
      <c r="AE35" s="9"/>
      <c r="AF35" s="9"/>
      <c r="AG35" s="9"/>
      <c r="AH35" s="49" t="b">
        <f>'0_Configuration'!$C$2</f>
        <v>1</v>
      </c>
      <c r="AI35" s="2"/>
      <c r="AJ35" s="49" t="b">
        <f>'0_Configuration'!$C$6</f>
        <v>0</v>
      </c>
      <c r="AK35" s="2" t="s">
        <v>344</v>
      </c>
      <c r="AL35" s="49" t="b">
        <f>'0_Configuration'!$C$10</f>
        <v>0</v>
      </c>
      <c r="AM35" s="2" t="s">
        <v>344</v>
      </c>
      <c r="AN35" s="49" t="b">
        <f>'0_Configuration'!$C$17</f>
        <v>0</v>
      </c>
      <c r="AO35" s="2">
        <f>_xlfn.XLOOKUP(Tab_Def_Flows[[#This Row],[ODYM_Good_Type]],Tab_Configuration[Value],Tab_Configuration[ODYM_ID],,0,)</f>
        <v>0</v>
      </c>
      <c r="AP35" s="49" t="b">
        <f>'0_Configuration'!$C$24</f>
        <v>0</v>
      </c>
      <c r="AQ35" s="2"/>
      <c r="AR35" s="49" t="b">
        <f>'0_Configuration'!$C$29</f>
        <v>1</v>
      </c>
      <c r="AS35" s="2" t="s">
        <v>358</v>
      </c>
      <c r="AT35" s="2" t="str">
        <f>IF(Tab_Def_Flows[[#This Row],[ODYM_time_(t)]],"t,","")&amp;IF(Tab_Def_Flows[[#This Row],[ODYM_Region_(r)]],"r,","")&amp;IF(Tab_Def_Flows[[#This Row],[ODYM_process_(p)]],"p,","")&amp;IF(Tab_Def_Flows[[#This Row],[ODYM_Good_(g)2]],"g,","")&amp;IF(Tab_Def_Flows[[#This Row],[ODYM_material_(m)]],"m,","")&amp;IF(Tab_Def_Flows[[#This Row],[ODYM_element_(e)]],"e","")</f>
        <v>t,e</v>
      </c>
      <c r="AU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22" t="b">
        <v>0</v>
      </c>
      <c r="B36" s="12">
        <f t="shared" si="0"/>
        <v>35</v>
      </c>
      <c r="C36" s="2" t="str">
        <f t="shared" si="3"/>
        <v>F_00_00</v>
      </c>
      <c r="D36" s="3"/>
      <c r="E36" s="9"/>
      <c r="F36" s="2"/>
      <c r="G36" s="18"/>
      <c r="H36" s="2" t="str">
        <f>_xlfn.XLOOKUP(G36,Tab_Def_Processes[Process_Name],Tab_Def_Processes[Process_ID],,0,)</f>
        <v>00</v>
      </c>
      <c r="I36" s="18"/>
      <c r="J36" s="5" t="str">
        <f>_xlfn.XLOOKUP(I36,Tab_Def_Processes[Process_Name],Tab_Def_Processes[Process_ID],,0,)</f>
        <v>00</v>
      </c>
      <c r="K36" s="18" t="s">
        <v>2</v>
      </c>
      <c r="L36" s="18" t="s">
        <v>2</v>
      </c>
      <c r="M36" s="18" t="s">
        <v>2</v>
      </c>
      <c r="N36" s="18" t="s">
        <v>2</v>
      </c>
      <c r="O36" s="18" t="s">
        <v>2</v>
      </c>
      <c r="P36" s="18" t="s">
        <v>2</v>
      </c>
      <c r="Q36" s="2" t="str">
        <f>Tab_Def_Flows[[#This Row],[Flow_ID]]&amp;"_E1"</f>
        <v>F_00_00_E1</v>
      </c>
      <c r="R36" s="20"/>
      <c r="S36" s="2" t="str">
        <f>Tab_Def_Flows[[#This Row],[Flow_ID]]&amp;"_E2"</f>
        <v>F_00_00_E2</v>
      </c>
      <c r="T36" s="16"/>
      <c r="U36" s="2" t="str">
        <f>Tab_Def_Flows[[#This Row],[Flow_ID]]&amp;"_E3"</f>
        <v>F_00_00_E3</v>
      </c>
      <c r="V36" s="16"/>
      <c r="W36" s="2" t="str">
        <f>Tab_Def_Flows[[#This Row],[Flow_ID]]&amp;"_E4"</f>
        <v>F_00_00_E4</v>
      </c>
      <c r="X36" s="16"/>
      <c r="Y36" s="2" t="str">
        <f>Tab_Def_Flows[[#This Row],[Flow_ID]]&amp;"_E5"</f>
        <v>F_00_00_E5</v>
      </c>
      <c r="Z36" s="20"/>
      <c r="AA36" s="2" t="str">
        <f>Tab_Def_Flows[[#This Row],[Flow_ID]]&amp;"_E6"</f>
        <v>F_00_00_E6</v>
      </c>
      <c r="AB36" s="20"/>
      <c r="AC36" s="9"/>
      <c r="AD36" s="9"/>
      <c r="AE36" s="9"/>
      <c r="AF36" s="9"/>
      <c r="AG36" s="9"/>
      <c r="AH36" s="49" t="b">
        <f>'0_Configuration'!$C$2</f>
        <v>1</v>
      </c>
      <c r="AI36" s="2"/>
      <c r="AJ36" s="49" t="b">
        <f>'0_Configuration'!$C$6</f>
        <v>0</v>
      </c>
      <c r="AK36" s="2" t="s">
        <v>344</v>
      </c>
      <c r="AL36" s="49" t="b">
        <f>'0_Configuration'!$C$10</f>
        <v>0</v>
      </c>
      <c r="AM36" s="2" t="s">
        <v>344</v>
      </c>
      <c r="AN36" s="49" t="b">
        <f>'0_Configuration'!$C$17</f>
        <v>0</v>
      </c>
      <c r="AO36" s="2">
        <f>_xlfn.XLOOKUP(Tab_Def_Flows[[#This Row],[ODYM_Good_Type]],Tab_Configuration[Value],Tab_Configuration[ODYM_ID],,0,)</f>
        <v>0</v>
      </c>
      <c r="AP36" s="49" t="b">
        <f>'0_Configuration'!$C$24</f>
        <v>0</v>
      </c>
      <c r="AQ36" s="2"/>
      <c r="AR36" s="49" t="b">
        <f>'0_Configuration'!$C$29</f>
        <v>1</v>
      </c>
      <c r="AS36" s="2" t="s">
        <v>358</v>
      </c>
      <c r="AT36" s="2" t="str">
        <f>IF(Tab_Def_Flows[[#This Row],[ODYM_time_(t)]],"t,","")&amp;IF(Tab_Def_Flows[[#This Row],[ODYM_Region_(r)]],"r,","")&amp;IF(Tab_Def_Flows[[#This Row],[ODYM_process_(p)]],"p,","")&amp;IF(Tab_Def_Flows[[#This Row],[ODYM_Good_(g)2]],"g,","")&amp;IF(Tab_Def_Flows[[#This Row],[ODYM_material_(m)]],"m,","")&amp;IF(Tab_Def_Flows[[#This Row],[ODYM_element_(e)]],"e","")</f>
        <v>t,e</v>
      </c>
      <c r="AU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22" t="b">
        <v>0</v>
      </c>
      <c r="B37" s="12">
        <f t="shared" si="0"/>
        <v>36</v>
      </c>
      <c r="C37" s="2" t="str">
        <f t="shared" si="3"/>
        <v>F_00_00</v>
      </c>
      <c r="D37" s="3"/>
      <c r="E37" s="9"/>
      <c r="F37" s="2"/>
      <c r="G37" s="18"/>
      <c r="H37" s="2" t="str">
        <f>_xlfn.XLOOKUP(G37,Tab_Def_Processes[Process_Name],Tab_Def_Processes[Process_ID],,0,)</f>
        <v>00</v>
      </c>
      <c r="I37" s="18"/>
      <c r="J37" s="5" t="str">
        <f>_xlfn.XLOOKUP(I37,Tab_Def_Processes[Process_Name],Tab_Def_Processes[Process_ID],,0,)</f>
        <v>00</v>
      </c>
      <c r="K37" s="18" t="s">
        <v>2</v>
      </c>
      <c r="L37" s="18" t="s">
        <v>2</v>
      </c>
      <c r="M37" s="18" t="s">
        <v>2</v>
      </c>
      <c r="N37" s="18" t="s">
        <v>2</v>
      </c>
      <c r="O37" s="18" t="s">
        <v>2</v>
      </c>
      <c r="P37" s="18" t="s">
        <v>2</v>
      </c>
      <c r="Q37" s="2" t="str">
        <f>Tab_Def_Flows[[#This Row],[Flow_ID]]&amp;"_E1"</f>
        <v>F_00_00_E1</v>
      </c>
      <c r="R37" s="20"/>
      <c r="S37" s="2" t="str">
        <f>Tab_Def_Flows[[#This Row],[Flow_ID]]&amp;"_E2"</f>
        <v>F_00_00_E2</v>
      </c>
      <c r="T37" s="16"/>
      <c r="U37" s="2" t="str">
        <f>Tab_Def_Flows[[#This Row],[Flow_ID]]&amp;"_E3"</f>
        <v>F_00_00_E3</v>
      </c>
      <c r="V37" s="16"/>
      <c r="W37" s="2" t="str">
        <f>Tab_Def_Flows[[#This Row],[Flow_ID]]&amp;"_E4"</f>
        <v>F_00_00_E4</v>
      </c>
      <c r="X37" s="16"/>
      <c r="Y37" s="2" t="str">
        <f>Tab_Def_Flows[[#This Row],[Flow_ID]]&amp;"_E5"</f>
        <v>F_00_00_E5</v>
      </c>
      <c r="Z37" s="20"/>
      <c r="AA37" s="2" t="str">
        <f>Tab_Def_Flows[[#This Row],[Flow_ID]]&amp;"_E6"</f>
        <v>F_00_00_E6</v>
      </c>
      <c r="AB37" s="20"/>
      <c r="AC37" s="9"/>
      <c r="AD37" s="9"/>
      <c r="AE37" s="9"/>
      <c r="AF37" s="9"/>
      <c r="AG37" s="9"/>
      <c r="AH37" s="49" t="b">
        <f>'0_Configuration'!$C$2</f>
        <v>1</v>
      </c>
      <c r="AI37" s="2"/>
      <c r="AJ37" s="49" t="b">
        <f>'0_Configuration'!$C$6</f>
        <v>0</v>
      </c>
      <c r="AK37" s="2" t="s">
        <v>344</v>
      </c>
      <c r="AL37" s="49" t="b">
        <f>'0_Configuration'!$C$10</f>
        <v>0</v>
      </c>
      <c r="AM37" s="2" t="s">
        <v>344</v>
      </c>
      <c r="AN37" s="49" t="b">
        <f>'0_Configuration'!$C$17</f>
        <v>0</v>
      </c>
      <c r="AO37" s="2">
        <f>_xlfn.XLOOKUP(Tab_Def_Flows[[#This Row],[ODYM_Good_Type]],Tab_Configuration[Value],Tab_Configuration[ODYM_ID],,0,)</f>
        <v>0</v>
      </c>
      <c r="AP37" s="49" t="b">
        <f>'0_Configuration'!$C$24</f>
        <v>0</v>
      </c>
      <c r="AQ37" s="2"/>
      <c r="AR37" s="49" t="b">
        <f>'0_Configuration'!$C$29</f>
        <v>1</v>
      </c>
      <c r="AS37" s="2" t="s">
        <v>358</v>
      </c>
      <c r="AT37" s="2" t="str">
        <f>IF(Tab_Def_Flows[[#This Row],[ODYM_time_(t)]],"t,","")&amp;IF(Tab_Def_Flows[[#This Row],[ODYM_Region_(r)]],"r,","")&amp;IF(Tab_Def_Flows[[#This Row],[ODYM_process_(p)]],"p,","")&amp;IF(Tab_Def_Flows[[#This Row],[ODYM_Good_(g)2]],"g,","")&amp;IF(Tab_Def_Flows[[#This Row],[ODYM_material_(m)]],"m,","")&amp;IF(Tab_Def_Flows[[#This Row],[ODYM_element_(e)]],"e","")</f>
        <v>t,e</v>
      </c>
      <c r="AU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22" t="b">
        <v>0</v>
      </c>
      <c r="B38" s="12">
        <f>ROW()-1</f>
        <v>37</v>
      </c>
      <c r="C38" s="2" t="str">
        <f>"F_"&amp;LEFT(H38,2)&amp;"_"&amp;LEFT(J38,2)</f>
        <v>F_00_00</v>
      </c>
      <c r="D38" s="3"/>
      <c r="E38" s="9"/>
      <c r="F38" s="2"/>
      <c r="G38" s="18"/>
      <c r="H38" s="2" t="str">
        <f>_xlfn.XLOOKUP(G38,Tab_Def_Processes[Process_Name],Tab_Def_Processes[Process_ID],,0,)</f>
        <v>00</v>
      </c>
      <c r="I38" s="18"/>
      <c r="J38" s="5" t="str">
        <f>_xlfn.XLOOKUP(I38,Tab_Def_Processes[Process_Name],Tab_Def_Processes[Process_ID],,0,)</f>
        <v>00</v>
      </c>
      <c r="K38" s="18" t="s">
        <v>2</v>
      </c>
      <c r="L38" s="18" t="s">
        <v>2</v>
      </c>
      <c r="M38" s="18" t="s">
        <v>2</v>
      </c>
      <c r="N38" s="18" t="s">
        <v>2</v>
      </c>
      <c r="O38" s="18" t="s">
        <v>2</v>
      </c>
      <c r="P38" s="18" t="s">
        <v>2</v>
      </c>
      <c r="Q38" s="2" t="str">
        <f>Tab_Def_Flows[[#This Row],[Flow_ID]]&amp;"_E1"</f>
        <v>F_00_00_E1</v>
      </c>
      <c r="R38" s="20"/>
      <c r="S38" s="2" t="str">
        <f>Tab_Def_Flows[[#This Row],[Flow_ID]]&amp;"_E2"</f>
        <v>F_00_00_E2</v>
      </c>
      <c r="T38" s="16"/>
      <c r="U38" s="2" t="str">
        <f>Tab_Def_Flows[[#This Row],[Flow_ID]]&amp;"_E3"</f>
        <v>F_00_00_E3</v>
      </c>
      <c r="V38" s="16"/>
      <c r="W38" s="2" t="str">
        <f>Tab_Def_Flows[[#This Row],[Flow_ID]]&amp;"_E4"</f>
        <v>F_00_00_E4</v>
      </c>
      <c r="X38" s="16"/>
      <c r="Y38" s="2" t="str">
        <f>Tab_Def_Flows[[#This Row],[Flow_ID]]&amp;"_E5"</f>
        <v>F_00_00_E5</v>
      </c>
      <c r="Z38" s="20"/>
      <c r="AA38" s="2" t="str">
        <f>Tab_Def_Flows[[#This Row],[Flow_ID]]&amp;"_E6"</f>
        <v>F_00_00_E6</v>
      </c>
      <c r="AB38" s="20"/>
      <c r="AC38" s="9"/>
      <c r="AD38" s="9"/>
      <c r="AE38" s="9"/>
      <c r="AF38" s="9"/>
      <c r="AG38" s="9"/>
      <c r="AH38" s="49" t="b">
        <f>'0_Configuration'!$C$2</f>
        <v>1</v>
      </c>
      <c r="AI38" s="2"/>
      <c r="AJ38" s="49" t="b">
        <f>'0_Configuration'!$C$6</f>
        <v>0</v>
      </c>
      <c r="AK38" s="2" t="s">
        <v>344</v>
      </c>
      <c r="AL38" s="49" t="b">
        <f>'0_Configuration'!$C$10</f>
        <v>0</v>
      </c>
      <c r="AM38" s="2" t="s">
        <v>344</v>
      </c>
      <c r="AN38" s="49" t="b">
        <f>'0_Configuration'!$C$17</f>
        <v>0</v>
      </c>
      <c r="AO38" s="2">
        <f>_xlfn.XLOOKUP(Tab_Def_Flows[[#This Row],[ODYM_Good_Type]],Tab_Configuration[Value],Tab_Configuration[ODYM_ID],,0,)</f>
        <v>0</v>
      </c>
      <c r="AP38" s="49" t="b">
        <f>'0_Configuration'!$C$24</f>
        <v>0</v>
      </c>
      <c r="AQ38" s="2"/>
      <c r="AR38" s="49" t="b">
        <f>'0_Configuration'!$C$29</f>
        <v>1</v>
      </c>
      <c r="AS38" s="2" t="s">
        <v>358</v>
      </c>
      <c r="AT38" s="2" t="str">
        <f>IF(Tab_Def_Flows[[#This Row],[ODYM_time_(t)]],"t,","")&amp;IF(Tab_Def_Flows[[#This Row],[ODYM_Region_(r)]],"r,","")&amp;IF(Tab_Def_Flows[[#This Row],[ODYM_process_(p)]],"p,","")&amp;IF(Tab_Def_Flows[[#This Row],[ODYM_Good_(g)2]],"g,","")&amp;IF(Tab_Def_Flows[[#This Row],[ODYM_material_(m)]],"m,","")&amp;IF(Tab_Def_Flows[[#This Row],[ODYM_element_(e)]],"e","")</f>
        <v>t,e</v>
      </c>
      <c r="AU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22" t="b">
        <v>0</v>
      </c>
      <c r="B39" s="12">
        <f>ROW()-1</f>
        <v>38</v>
      </c>
      <c r="C39" s="2" t="str">
        <f>"F_"&amp;LEFT(H39,2)&amp;"_"&amp;LEFT(J39,2)</f>
        <v>F_00_00</v>
      </c>
      <c r="D39" s="3"/>
      <c r="E39" s="9"/>
      <c r="F39" s="2"/>
      <c r="G39" s="18"/>
      <c r="H39" s="2" t="str">
        <f>_xlfn.XLOOKUP(G39,Tab_Def_Processes[Process_Name],Tab_Def_Processes[Process_ID],,0,)</f>
        <v>00</v>
      </c>
      <c r="I39" s="18"/>
      <c r="J39" s="5" t="str">
        <f>_xlfn.XLOOKUP(I39,Tab_Def_Processes[Process_Name],Tab_Def_Processes[Process_ID],,0,)</f>
        <v>00</v>
      </c>
      <c r="K39" s="18" t="s">
        <v>2</v>
      </c>
      <c r="L39" s="18" t="s">
        <v>2</v>
      </c>
      <c r="M39" s="18" t="s">
        <v>2</v>
      </c>
      <c r="N39" s="18" t="s">
        <v>2</v>
      </c>
      <c r="O39" s="18" t="s">
        <v>2</v>
      </c>
      <c r="P39" s="18" t="s">
        <v>2</v>
      </c>
      <c r="Q39" s="2" t="str">
        <f>Tab_Def_Flows[[#This Row],[Flow_ID]]&amp;"_E1"</f>
        <v>F_00_00_E1</v>
      </c>
      <c r="R39" s="20"/>
      <c r="S39" s="2" t="str">
        <f>Tab_Def_Flows[[#This Row],[Flow_ID]]&amp;"_E2"</f>
        <v>F_00_00_E2</v>
      </c>
      <c r="T39" s="16"/>
      <c r="U39" s="2" t="str">
        <f>Tab_Def_Flows[[#This Row],[Flow_ID]]&amp;"_E3"</f>
        <v>F_00_00_E3</v>
      </c>
      <c r="V39" s="16"/>
      <c r="W39" s="2" t="str">
        <f>Tab_Def_Flows[[#This Row],[Flow_ID]]&amp;"_E4"</f>
        <v>F_00_00_E4</v>
      </c>
      <c r="X39" s="16"/>
      <c r="Y39" s="2" t="str">
        <f>Tab_Def_Flows[[#This Row],[Flow_ID]]&amp;"_E5"</f>
        <v>F_00_00_E5</v>
      </c>
      <c r="Z39" s="20"/>
      <c r="AA39" s="2" t="str">
        <f>Tab_Def_Flows[[#This Row],[Flow_ID]]&amp;"_E6"</f>
        <v>F_00_00_E6</v>
      </c>
      <c r="AB39" s="20"/>
      <c r="AC39" s="9"/>
      <c r="AD39" s="9"/>
      <c r="AE39" s="9"/>
      <c r="AF39" s="9"/>
      <c r="AG39" s="9"/>
      <c r="AH39" s="49" t="b">
        <f>'0_Configuration'!$C$2</f>
        <v>1</v>
      </c>
      <c r="AI39" s="2"/>
      <c r="AJ39" s="49" t="b">
        <f>'0_Configuration'!$C$6</f>
        <v>0</v>
      </c>
      <c r="AK39" s="2" t="s">
        <v>344</v>
      </c>
      <c r="AL39" s="49" t="b">
        <f>'0_Configuration'!$C$10</f>
        <v>0</v>
      </c>
      <c r="AM39" s="2" t="s">
        <v>344</v>
      </c>
      <c r="AN39" s="49" t="b">
        <f>'0_Configuration'!$C$17</f>
        <v>0</v>
      </c>
      <c r="AO39" s="2">
        <f>_xlfn.XLOOKUP(Tab_Def_Flows[[#This Row],[ODYM_Good_Type]],Tab_Configuration[Value],Tab_Configuration[ODYM_ID],,0,)</f>
        <v>0</v>
      </c>
      <c r="AP39" s="49" t="b">
        <f>'0_Configuration'!$C$24</f>
        <v>0</v>
      </c>
      <c r="AQ39" s="2"/>
      <c r="AR39" s="49" t="b">
        <f>'0_Configuration'!$C$29</f>
        <v>1</v>
      </c>
      <c r="AS39" s="2" t="s">
        <v>358</v>
      </c>
      <c r="AT39" s="2" t="str">
        <f>IF(Tab_Def_Flows[[#This Row],[ODYM_time_(t)]],"t,","")&amp;IF(Tab_Def_Flows[[#This Row],[ODYM_Region_(r)]],"r,","")&amp;IF(Tab_Def_Flows[[#This Row],[ODYM_process_(p)]],"p,","")&amp;IF(Tab_Def_Flows[[#This Row],[ODYM_Good_(g)2]],"g,","")&amp;IF(Tab_Def_Flows[[#This Row],[ODYM_material_(m)]],"m,","")&amp;IF(Tab_Def_Flows[[#This Row],[ODYM_element_(e)]],"e","")</f>
        <v>t,e</v>
      </c>
      <c r="AU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22" t="b">
        <v>0</v>
      </c>
      <c r="B40" s="12">
        <f t="shared" si="0"/>
        <v>39</v>
      </c>
      <c r="C40" s="2" t="str">
        <f t="shared" si="3"/>
        <v>F_00_00</v>
      </c>
      <c r="D40" s="3"/>
      <c r="E40" s="9"/>
      <c r="F40" s="2"/>
      <c r="G40" s="18"/>
      <c r="H40" s="2" t="str">
        <f>_xlfn.XLOOKUP(G40,Tab_Def_Processes[Process_Name],Tab_Def_Processes[Process_ID],,0,)</f>
        <v>00</v>
      </c>
      <c r="I40" s="18"/>
      <c r="J40" s="5" t="str">
        <f>_xlfn.XLOOKUP(I40,Tab_Def_Processes[Process_Name],Tab_Def_Processes[Process_ID],,0,)</f>
        <v>00</v>
      </c>
      <c r="K40" s="18" t="s">
        <v>2</v>
      </c>
      <c r="L40" s="18" t="s">
        <v>2</v>
      </c>
      <c r="M40" s="18" t="s">
        <v>2</v>
      </c>
      <c r="N40" s="18" t="s">
        <v>2</v>
      </c>
      <c r="O40" s="18" t="s">
        <v>2</v>
      </c>
      <c r="P40" s="18" t="s">
        <v>2</v>
      </c>
      <c r="Q40" s="2" t="str">
        <f>Tab_Def_Flows[[#This Row],[Flow_ID]]&amp;"_E1"</f>
        <v>F_00_00_E1</v>
      </c>
      <c r="R40" s="20"/>
      <c r="S40" s="2" t="str">
        <f>Tab_Def_Flows[[#This Row],[Flow_ID]]&amp;"_E2"</f>
        <v>F_00_00_E2</v>
      </c>
      <c r="T40" s="16"/>
      <c r="U40" s="2" t="str">
        <f>Tab_Def_Flows[[#This Row],[Flow_ID]]&amp;"_E3"</f>
        <v>F_00_00_E3</v>
      </c>
      <c r="V40" s="16"/>
      <c r="W40" s="2" t="str">
        <f>Tab_Def_Flows[[#This Row],[Flow_ID]]&amp;"_E4"</f>
        <v>F_00_00_E4</v>
      </c>
      <c r="X40" s="16"/>
      <c r="Y40" s="2" t="str">
        <f>Tab_Def_Flows[[#This Row],[Flow_ID]]&amp;"_E5"</f>
        <v>F_00_00_E5</v>
      </c>
      <c r="Z40" s="20"/>
      <c r="AA40" s="2" t="str">
        <f>Tab_Def_Flows[[#This Row],[Flow_ID]]&amp;"_E6"</f>
        <v>F_00_00_E6</v>
      </c>
      <c r="AB40" s="20"/>
      <c r="AC40" s="9"/>
      <c r="AD40" s="9"/>
      <c r="AE40" s="9"/>
      <c r="AF40" s="9"/>
      <c r="AG40" s="9"/>
      <c r="AH40" s="49" t="b">
        <f>'0_Configuration'!$C$2</f>
        <v>1</v>
      </c>
      <c r="AI40" s="2"/>
      <c r="AJ40" s="49" t="b">
        <f>'0_Configuration'!$C$6</f>
        <v>0</v>
      </c>
      <c r="AK40" s="2" t="s">
        <v>344</v>
      </c>
      <c r="AL40" s="49" t="b">
        <f>'0_Configuration'!$C$10</f>
        <v>0</v>
      </c>
      <c r="AM40" s="2" t="s">
        <v>344</v>
      </c>
      <c r="AN40" s="49" t="b">
        <f>'0_Configuration'!$C$17</f>
        <v>0</v>
      </c>
      <c r="AO40" s="2">
        <f>_xlfn.XLOOKUP(Tab_Def_Flows[[#This Row],[ODYM_Good_Type]],Tab_Configuration[Value],Tab_Configuration[ODYM_ID],,0,)</f>
        <v>0</v>
      </c>
      <c r="AP40" s="49" t="b">
        <f>'0_Configuration'!$C$24</f>
        <v>0</v>
      </c>
      <c r="AQ40" s="2"/>
      <c r="AR40" s="49" t="b">
        <f>'0_Configuration'!$C$29</f>
        <v>1</v>
      </c>
      <c r="AS40" s="2" t="s">
        <v>358</v>
      </c>
      <c r="AT40" s="2" t="str">
        <f>IF(Tab_Def_Flows[[#This Row],[ODYM_time_(t)]],"t,","")&amp;IF(Tab_Def_Flows[[#This Row],[ODYM_Region_(r)]],"r,","")&amp;IF(Tab_Def_Flows[[#This Row],[ODYM_process_(p)]],"p,","")&amp;IF(Tab_Def_Flows[[#This Row],[ODYM_Good_(g)2]],"g,","")&amp;IF(Tab_Def_Flows[[#This Row],[ODYM_material_(m)]],"m,","")&amp;IF(Tab_Def_Flows[[#This Row],[ODYM_element_(e)]],"e","")</f>
        <v>t,e</v>
      </c>
      <c r="AU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22" t="b">
        <v>0</v>
      </c>
      <c r="B41" s="12">
        <f t="shared" si="0"/>
        <v>40</v>
      </c>
      <c r="C41" s="2" t="str">
        <f t="shared" si="3"/>
        <v>F_00_00</v>
      </c>
      <c r="D41" s="3"/>
      <c r="E41" s="9"/>
      <c r="F41" s="2"/>
      <c r="G41" s="18"/>
      <c r="H41" s="2" t="str">
        <f>_xlfn.XLOOKUP(G41,Tab_Def_Processes[Process_Name],Tab_Def_Processes[Process_ID],,0,)</f>
        <v>00</v>
      </c>
      <c r="I41" s="18"/>
      <c r="J41" s="5" t="str">
        <f>_xlfn.XLOOKUP(I41,Tab_Def_Processes[Process_Name],Tab_Def_Processes[Process_ID],,0,)</f>
        <v>00</v>
      </c>
      <c r="K41" s="18" t="s">
        <v>2</v>
      </c>
      <c r="L41" s="18" t="s">
        <v>2</v>
      </c>
      <c r="M41" s="18" t="s">
        <v>2</v>
      </c>
      <c r="N41" s="18" t="s">
        <v>2</v>
      </c>
      <c r="O41" s="18" t="s">
        <v>2</v>
      </c>
      <c r="P41" s="18" t="s">
        <v>2</v>
      </c>
      <c r="Q41" s="2" t="str">
        <f>Tab_Def_Flows[[#This Row],[Flow_ID]]&amp;"_E1"</f>
        <v>F_00_00_E1</v>
      </c>
      <c r="R41" s="20"/>
      <c r="S41" s="2" t="str">
        <f>Tab_Def_Flows[[#This Row],[Flow_ID]]&amp;"_E2"</f>
        <v>F_00_00_E2</v>
      </c>
      <c r="T41" s="16"/>
      <c r="U41" s="2" t="str">
        <f>Tab_Def_Flows[[#This Row],[Flow_ID]]&amp;"_E3"</f>
        <v>F_00_00_E3</v>
      </c>
      <c r="V41" s="16"/>
      <c r="W41" s="2" t="str">
        <f>Tab_Def_Flows[[#This Row],[Flow_ID]]&amp;"_E4"</f>
        <v>F_00_00_E4</v>
      </c>
      <c r="X41" s="16"/>
      <c r="Y41" s="2" t="str">
        <f>Tab_Def_Flows[[#This Row],[Flow_ID]]&amp;"_E5"</f>
        <v>F_00_00_E5</v>
      </c>
      <c r="Z41" s="20"/>
      <c r="AA41" s="2" t="str">
        <f>Tab_Def_Flows[[#This Row],[Flow_ID]]&amp;"_E6"</f>
        <v>F_00_00_E6</v>
      </c>
      <c r="AB41" s="20"/>
      <c r="AC41" s="9"/>
      <c r="AD41" s="9"/>
      <c r="AE41" s="9"/>
      <c r="AF41" s="9"/>
      <c r="AG41" s="9"/>
      <c r="AH41" s="49" t="b">
        <f>'0_Configuration'!$C$2</f>
        <v>1</v>
      </c>
      <c r="AI41" s="2"/>
      <c r="AJ41" s="49" t="b">
        <f>'0_Configuration'!$C$6</f>
        <v>0</v>
      </c>
      <c r="AK41" s="2" t="s">
        <v>344</v>
      </c>
      <c r="AL41" s="49" t="b">
        <f>'0_Configuration'!$C$10</f>
        <v>0</v>
      </c>
      <c r="AM41" s="2" t="s">
        <v>344</v>
      </c>
      <c r="AN41" s="49" t="b">
        <f>'0_Configuration'!$C$17</f>
        <v>0</v>
      </c>
      <c r="AO41" s="2">
        <f>_xlfn.XLOOKUP(Tab_Def_Flows[[#This Row],[ODYM_Good_Type]],Tab_Configuration[Value],Tab_Configuration[ODYM_ID],,0,)</f>
        <v>0</v>
      </c>
      <c r="AP41" s="49" t="b">
        <f>'0_Configuration'!$C$24</f>
        <v>0</v>
      </c>
      <c r="AQ41" s="2"/>
      <c r="AR41" s="49" t="b">
        <f>'0_Configuration'!$C$29</f>
        <v>1</v>
      </c>
      <c r="AS41" s="2" t="s">
        <v>358</v>
      </c>
      <c r="AT41" s="2" t="str">
        <f>IF(Tab_Def_Flows[[#This Row],[ODYM_time_(t)]],"t,","")&amp;IF(Tab_Def_Flows[[#This Row],[ODYM_Region_(r)]],"r,","")&amp;IF(Tab_Def_Flows[[#This Row],[ODYM_process_(p)]],"p,","")&amp;IF(Tab_Def_Flows[[#This Row],[ODYM_Good_(g)2]],"g,","")&amp;IF(Tab_Def_Flows[[#This Row],[ODYM_material_(m)]],"m,","")&amp;IF(Tab_Def_Flows[[#This Row],[ODYM_element_(e)]],"e","")</f>
        <v>t,e</v>
      </c>
      <c r="AU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22" t="b">
        <v>0</v>
      </c>
      <c r="B42" s="12">
        <f t="shared" si="0"/>
        <v>41</v>
      </c>
      <c r="C42" s="2" t="str">
        <f t="shared" si="3"/>
        <v>F_00_00</v>
      </c>
      <c r="D42" s="3"/>
      <c r="E42" s="9"/>
      <c r="F42" s="2"/>
      <c r="G42" s="18"/>
      <c r="H42" s="2" t="str">
        <f>_xlfn.XLOOKUP(G42,Tab_Def_Processes[Process_Name],Tab_Def_Processes[Process_ID],,0,)</f>
        <v>00</v>
      </c>
      <c r="I42" s="18"/>
      <c r="J42" s="5" t="str">
        <f>_xlfn.XLOOKUP(I42,Tab_Def_Processes[Process_Name],Tab_Def_Processes[Process_ID],,0,)</f>
        <v>00</v>
      </c>
      <c r="K42" s="18" t="s">
        <v>2</v>
      </c>
      <c r="L42" s="18" t="s">
        <v>2</v>
      </c>
      <c r="M42" s="18" t="s">
        <v>2</v>
      </c>
      <c r="N42" s="18" t="s">
        <v>2</v>
      </c>
      <c r="O42" s="18" t="s">
        <v>2</v>
      </c>
      <c r="P42" s="18" t="s">
        <v>2</v>
      </c>
      <c r="Q42" s="2" t="str">
        <f>Tab_Def_Flows[[#This Row],[Flow_ID]]&amp;"_E1"</f>
        <v>F_00_00_E1</v>
      </c>
      <c r="R42" s="20"/>
      <c r="S42" s="2" t="str">
        <f>Tab_Def_Flows[[#This Row],[Flow_ID]]&amp;"_E2"</f>
        <v>F_00_00_E2</v>
      </c>
      <c r="T42" s="16"/>
      <c r="U42" s="2" t="str">
        <f>Tab_Def_Flows[[#This Row],[Flow_ID]]&amp;"_E3"</f>
        <v>F_00_00_E3</v>
      </c>
      <c r="V42" s="16"/>
      <c r="W42" s="2" t="str">
        <f>Tab_Def_Flows[[#This Row],[Flow_ID]]&amp;"_E4"</f>
        <v>F_00_00_E4</v>
      </c>
      <c r="X42" s="16"/>
      <c r="Y42" s="2" t="str">
        <f>Tab_Def_Flows[[#This Row],[Flow_ID]]&amp;"_E5"</f>
        <v>F_00_00_E5</v>
      </c>
      <c r="Z42" s="20"/>
      <c r="AA42" s="2" t="str">
        <f>Tab_Def_Flows[[#This Row],[Flow_ID]]&amp;"_E6"</f>
        <v>F_00_00_E6</v>
      </c>
      <c r="AB42" s="20"/>
      <c r="AC42" s="9"/>
      <c r="AD42" s="9"/>
      <c r="AE42" s="9"/>
      <c r="AF42" s="9"/>
      <c r="AG42" s="9"/>
      <c r="AH42" s="49" t="b">
        <f>'0_Configuration'!$C$2</f>
        <v>1</v>
      </c>
      <c r="AI42" s="2"/>
      <c r="AJ42" s="49" t="b">
        <f>'0_Configuration'!$C$6</f>
        <v>0</v>
      </c>
      <c r="AK42" s="2" t="s">
        <v>344</v>
      </c>
      <c r="AL42" s="49" t="b">
        <f>'0_Configuration'!$C$10</f>
        <v>0</v>
      </c>
      <c r="AM42" s="2" t="s">
        <v>344</v>
      </c>
      <c r="AN42" s="49" t="b">
        <f>'0_Configuration'!$C$17</f>
        <v>0</v>
      </c>
      <c r="AO42" s="2">
        <f>_xlfn.XLOOKUP(Tab_Def_Flows[[#This Row],[ODYM_Good_Type]],Tab_Configuration[Value],Tab_Configuration[ODYM_ID],,0,)</f>
        <v>0</v>
      </c>
      <c r="AP42" s="49" t="b">
        <f>'0_Configuration'!$C$24</f>
        <v>0</v>
      </c>
      <c r="AQ42" s="2"/>
      <c r="AR42" s="49" t="b">
        <f>'0_Configuration'!$C$29</f>
        <v>1</v>
      </c>
      <c r="AS42" s="2" t="s">
        <v>358</v>
      </c>
      <c r="AT42" s="2" t="str">
        <f>IF(Tab_Def_Flows[[#This Row],[ODYM_time_(t)]],"t,","")&amp;IF(Tab_Def_Flows[[#This Row],[ODYM_Region_(r)]],"r,","")&amp;IF(Tab_Def_Flows[[#This Row],[ODYM_process_(p)]],"p,","")&amp;IF(Tab_Def_Flows[[#This Row],[ODYM_Good_(g)2]],"g,","")&amp;IF(Tab_Def_Flows[[#This Row],[ODYM_material_(m)]],"m,","")&amp;IF(Tab_Def_Flows[[#This Row],[ODYM_element_(e)]],"e","")</f>
        <v>t,e</v>
      </c>
      <c r="AU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22" t="b">
        <v>0</v>
      </c>
      <c r="B43" s="12">
        <f t="shared" si="0"/>
        <v>42</v>
      </c>
      <c r="C43" s="2" t="str">
        <f t="shared" si="3"/>
        <v>F_00_00</v>
      </c>
      <c r="D43" s="3"/>
      <c r="E43" s="9"/>
      <c r="F43" s="2"/>
      <c r="G43" s="18"/>
      <c r="H43" s="2" t="str">
        <f>_xlfn.XLOOKUP(G43,Tab_Def_Processes[Process_Name],Tab_Def_Processes[Process_ID],,0,)</f>
        <v>00</v>
      </c>
      <c r="I43" s="18"/>
      <c r="J43" s="5" t="str">
        <f>_xlfn.XLOOKUP(I43,Tab_Def_Processes[Process_Name],Tab_Def_Processes[Process_ID],,0,)</f>
        <v>00</v>
      </c>
      <c r="K43" s="18" t="s">
        <v>2</v>
      </c>
      <c r="L43" s="18" t="s">
        <v>2</v>
      </c>
      <c r="M43" s="18" t="s">
        <v>2</v>
      </c>
      <c r="N43" s="18" t="s">
        <v>2</v>
      </c>
      <c r="O43" s="18" t="s">
        <v>2</v>
      </c>
      <c r="P43" s="18" t="s">
        <v>2</v>
      </c>
      <c r="Q43" s="2" t="str">
        <f>Tab_Def_Flows[[#This Row],[Flow_ID]]&amp;"_E1"</f>
        <v>F_00_00_E1</v>
      </c>
      <c r="R43" s="20"/>
      <c r="S43" s="2" t="str">
        <f>Tab_Def_Flows[[#This Row],[Flow_ID]]&amp;"_E2"</f>
        <v>F_00_00_E2</v>
      </c>
      <c r="T43" s="16"/>
      <c r="U43" s="2" t="str">
        <f>Tab_Def_Flows[[#This Row],[Flow_ID]]&amp;"_E3"</f>
        <v>F_00_00_E3</v>
      </c>
      <c r="V43" s="16"/>
      <c r="W43" s="2" t="str">
        <f>Tab_Def_Flows[[#This Row],[Flow_ID]]&amp;"_E4"</f>
        <v>F_00_00_E4</v>
      </c>
      <c r="X43" s="16"/>
      <c r="Y43" s="2" t="str">
        <f>Tab_Def_Flows[[#This Row],[Flow_ID]]&amp;"_E5"</f>
        <v>F_00_00_E5</v>
      </c>
      <c r="Z43" s="20"/>
      <c r="AA43" s="2" t="str">
        <f>Tab_Def_Flows[[#This Row],[Flow_ID]]&amp;"_E6"</f>
        <v>F_00_00_E6</v>
      </c>
      <c r="AB43" s="20"/>
      <c r="AC43" s="9"/>
      <c r="AD43" s="9"/>
      <c r="AE43" s="9"/>
      <c r="AF43" s="9"/>
      <c r="AG43" s="9"/>
      <c r="AH43" s="49" t="b">
        <f>'0_Configuration'!$C$2</f>
        <v>1</v>
      </c>
      <c r="AI43" s="2"/>
      <c r="AJ43" s="49" t="b">
        <f>'0_Configuration'!$C$6</f>
        <v>0</v>
      </c>
      <c r="AK43" s="2" t="s">
        <v>344</v>
      </c>
      <c r="AL43" s="49" t="b">
        <f>'0_Configuration'!$C$10</f>
        <v>0</v>
      </c>
      <c r="AM43" s="2" t="s">
        <v>344</v>
      </c>
      <c r="AN43" s="49" t="b">
        <f>'0_Configuration'!$C$17</f>
        <v>0</v>
      </c>
      <c r="AO43" s="2">
        <f>_xlfn.XLOOKUP(Tab_Def_Flows[[#This Row],[ODYM_Good_Type]],Tab_Configuration[Value],Tab_Configuration[ODYM_ID],,0,)</f>
        <v>0</v>
      </c>
      <c r="AP43" s="49" t="b">
        <f>'0_Configuration'!$C$24</f>
        <v>0</v>
      </c>
      <c r="AQ43" s="2"/>
      <c r="AR43" s="49" t="b">
        <f>'0_Configuration'!$C$29</f>
        <v>1</v>
      </c>
      <c r="AS43" s="2" t="s">
        <v>358</v>
      </c>
      <c r="AT43" s="2" t="str">
        <f>IF(Tab_Def_Flows[[#This Row],[ODYM_time_(t)]],"t,","")&amp;IF(Tab_Def_Flows[[#This Row],[ODYM_Region_(r)]],"r,","")&amp;IF(Tab_Def_Flows[[#This Row],[ODYM_process_(p)]],"p,","")&amp;IF(Tab_Def_Flows[[#This Row],[ODYM_Good_(g)2]],"g,","")&amp;IF(Tab_Def_Flows[[#This Row],[ODYM_material_(m)]],"m,","")&amp;IF(Tab_Def_Flows[[#This Row],[ODYM_element_(e)]],"e","")</f>
        <v>t,e</v>
      </c>
      <c r="AU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22" t="b">
        <v>0</v>
      </c>
      <c r="B44" s="12">
        <f t="shared" si="0"/>
        <v>43</v>
      </c>
      <c r="C44" s="2" t="str">
        <f t="shared" si="3"/>
        <v>F_00_00</v>
      </c>
      <c r="D44" s="3"/>
      <c r="E44" s="9"/>
      <c r="F44" s="2"/>
      <c r="G44" s="18"/>
      <c r="H44" s="2" t="str">
        <f>_xlfn.XLOOKUP(G44,Tab_Def_Processes[Process_Name],Tab_Def_Processes[Process_ID],,0,)</f>
        <v>00</v>
      </c>
      <c r="I44" s="18"/>
      <c r="J44" s="5" t="str">
        <f>_xlfn.XLOOKUP(I44,Tab_Def_Processes[Process_Name],Tab_Def_Processes[Process_ID],,0,)</f>
        <v>00</v>
      </c>
      <c r="K44" s="18" t="s">
        <v>2</v>
      </c>
      <c r="L44" s="18" t="s">
        <v>2</v>
      </c>
      <c r="M44" s="18" t="s">
        <v>2</v>
      </c>
      <c r="N44" s="18" t="s">
        <v>2</v>
      </c>
      <c r="O44" s="18" t="s">
        <v>2</v>
      </c>
      <c r="P44" s="18" t="s">
        <v>2</v>
      </c>
      <c r="Q44" s="2" t="str">
        <f>Tab_Def_Flows[[#This Row],[Flow_ID]]&amp;"_E1"</f>
        <v>F_00_00_E1</v>
      </c>
      <c r="R44" s="20"/>
      <c r="S44" s="2" t="str">
        <f>Tab_Def_Flows[[#This Row],[Flow_ID]]&amp;"_E2"</f>
        <v>F_00_00_E2</v>
      </c>
      <c r="T44" s="16"/>
      <c r="U44" s="2" t="str">
        <f>Tab_Def_Flows[[#This Row],[Flow_ID]]&amp;"_E3"</f>
        <v>F_00_00_E3</v>
      </c>
      <c r="V44" s="16"/>
      <c r="W44" s="2" t="str">
        <f>Tab_Def_Flows[[#This Row],[Flow_ID]]&amp;"_E4"</f>
        <v>F_00_00_E4</v>
      </c>
      <c r="X44" s="16"/>
      <c r="Y44" s="2" t="str">
        <f>Tab_Def_Flows[[#This Row],[Flow_ID]]&amp;"_E5"</f>
        <v>F_00_00_E5</v>
      </c>
      <c r="Z44" s="20"/>
      <c r="AA44" s="2" t="str">
        <f>Tab_Def_Flows[[#This Row],[Flow_ID]]&amp;"_E6"</f>
        <v>F_00_00_E6</v>
      </c>
      <c r="AB44" s="20"/>
      <c r="AC44" s="9"/>
      <c r="AD44" s="9"/>
      <c r="AE44" s="9"/>
      <c r="AF44" s="9"/>
      <c r="AG44" s="9"/>
      <c r="AH44" s="49" t="b">
        <f>'0_Configuration'!$C$2</f>
        <v>1</v>
      </c>
      <c r="AI44" s="2"/>
      <c r="AJ44" s="49" t="b">
        <f>'0_Configuration'!$C$6</f>
        <v>0</v>
      </c>
      <c r="AK44" s="2" t="s">
        <v>344</v>
      </c>
      <c r="AL44" s="49" t="b">
        <f>'0_Configuration'!$C$10</f>
        <v>0</v>
      </c>
      <c r="AM44" s="2" t="s">
        <v>344</v>
      </c>
      <c r="AN44" s="49" t="b">
        <f>'0_Configuration'!$C$17</f>
        <v>0</v>
      </c>
      <c r="AO44" s="2">
        <f>_xlfn.XLOOKUP(Tab_Def_Flows[[#This Row],[ODYM_Good_Type]],Tab_Configuration[Value],Tab_Configuration[ODYM_ID],,0,)</f>
        <v>0</v>
      </c>
      <c r="AP44" s="49" t="b">
        <f>'0_Configuration'!$C$24</f>
        <v>0</v>
      </c>
      <c r="AQ44" s="2"/>
      <c r="AR44" s="49" t="b">
        <f>'0_Configuration'!$C$29</f>
        <v>1</v>
      </c>
      <c r="AS44" s="2" t="s">
        <v>358</v>
      </c>
      <c r="AT44" s="2" t="str">
        <f>IF(Tab_Def_Flows[[#This Row],[ODYM_time_(t)]],"t,","")&amp;IF(Tab_Def_Flows[[#This Row],[ODYM_Region_(r)]],"r,","")&amp;IF(Tab_Def_Flows[[#This Row],[ODYM_process_(p)]],"p,","")&amp;IF(Tab_Def_Flows[[#This Row],[ODYM_Good_(g)2]],"g,","")&amp;IF(Tab_Def_Flows[[#This Row],[ODYM_material_(m)]],"m,","")&amp;IF(Tab_Def_Flows[[#This Row],[ODYM_element_(e)]],"e","")</f>
        <v>t,e</v>
      </c>
      <c r="AU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22" t="b">
        <v>0</v>
      </c>
      <c r="B45" s="12">
        <f>ROW()-1</f>
        <v>44</v>
      </c>
      <c r="C45" s="2" t="str">
        <f>"F_"&amp;LEFT(H45,2)&amp;"_"&amp;LEFT(J45,2)</f>
        <v>F_00_00</v>
      </c>
      <c r="D45" s="3"/>
      <c r="E45" s="9"/>
      <c r="F45" s="2"/>
      <c r="G45" s="18"/>
      <c r="H45" s="2" t="str">
        <f>_xlfn.XLOOKUP(G45,Tab_Def_Processes[Process_Name],Tab_Def_Processes[Process_ID],,0,)</f>
        <v>00</v>
      </c>
      <c r="I45" s="18"/>
      <c r="J45" s="5" t="str">
        <f>_xlfn.XLOOKUP(I45,Tab_Def_Processes[Process_Name],Tab_Def_Processes[Process_ID],,0,)</f>
        <v>00</v>
      </c>
      <c r="K45" s="18" t="s">
        <v>2</v>
      </c>
      <c r="L45" s="18" t="s">
        <v>2</v>
      </c>
      <c r="M45" s="18" t="s">
        <v>2</v>
      </c>
      <c r="N45" s="18" t="s">
        <v>2</v>
      </c>
      <c r="O45" s="18" t="s">
        <v>2</v>
      </c>
      <c r="P45" s="18" t="s">
        <v>2</v>
      </c>
      <c r="Q45" s="2" t="str">
        <f>Tab_Def_Flows[[#This Row],[Flow_ID]]&amp;"_E1"</f>
        <v>F_00_00_E1</v>
      </c>
      <c r="R45" s="20"/>
      <c r="S45" s="2" t="str">
        <f>Tab_Def_Flows[[#This Row],[Flow_ID]]&amp;"_E2"</f>
        <v>F_00_00_E2</v>
      </c>
      <c r="T45" s="16"/>
      <c r="U45" s="2" t="str">
        <f>Tab_Def_Flows[[#This Row],[Flow_ID]]&amp;"_E3"</f>
        <v>F_00_00_E3</v>
      </c>
      <c r="V45" s="16"/>
      <c r="W45" s="2" t="str">
        <f>Tab_Def_Flows[[#This Row],[Flow_ID]]&amp;"_E4"</f>
        <v>F_00_00_E4</v>
      </c>
      <c r="X45" s="16"/>
      <c r="Y45" s="2" t="str">
        <f>Tab_Def_Flows[[#This Row],[Flow_ID]]&amp;"_E5"</f>
        <v>F_00_00_E5</v>
      </c>
      <c r="Z45" s="20"/>
      <c r="AA45" s="2" t="str">
        <f>Tab_Def_Flows[[#This Row],[Flow_ID]]&amp;"_E6"</f>
        <v>F_00_00_E6</v>
      </c>
      <c r="AB45" s="20"/>
      <c r="AC45" s="9"/>
      <c r="AD45" s="9"/>
      <c r="AE45" s="9"/>
      <c r="AF45" s="9"/>
      <c r="AG45" s="9"/>
      <c r="AH45" s="49" t="b">
        <f>'0_Configuration'!$C$2</f>
        <v>1</v>
      </c>
      <c r="AI45" s="2"/>
      <c r="AJ45" s="49" t="b">
        <f>'0_Configuration'!$C$6</f>
        <v>0</v>
      </c>
      <c r="AK45" s="2" t="s">
        <v>344</v>
      </c>
      <c r="AL45" s="49" t="b">
        <f>'0_Configuration'!$C$10</f>
        <v>0</v>
      </c>
      <c r="AM45" s="2" t="s">
        <v>344</v>
      </c>
      <c r="AN45" s="49" t="b">
        <f>'0_Configuration'!$C$17</f>
        <v>0</v>
      </c>
      <c r="AO45" s="2">
        <f>_xlfn.XLOOKUP(Tab_Def_Flows[[#This Row],[ODYM_Good_Type]],Tab_Configuration[Value],Tab_Configuration[ODYM_ID],,0,)</f>
        <v>0</v>
      </c>
      <c r="AP45" s="49" t="b">
        <f>'0_Configuration'!$C$24</f>
        <v>0</v>
      </c>
      <c r="AQ45" s="2"/>
      <c r="AR45" s="49" t="b">
        <f>'0_Configuration'!$C$29</f>
        <v>1</v>
      </c>
      <c r="AS45" s="2" t="s">
        <v>358</v>
      </c>
      <c r="AT45" s="2" t="str">
        <f>IF(Tab_Def_Flows[[#This Row],[ODYM_time_(t)]],"t,","")&amp;IF(Tab_Def_Flows[[#This Row],[ODYM_Region_(r)]],"r,","")&amp;IF(Tab_Def_Flows[[#This Row],[ODYM_process_(p)]],"p,","")&amp;IF(Tab_Def_Flows[[#This Row],[ODYM_Good_(g)2]],"g,","")&amp;IF(Tab_Def_Flows[[#This Row],[ODYM_material_(m)]],"m,","")&amp;IF(Tab_Def_Flows[[#This Row],[ODYM_element_(e)]],"e","")</f>
        <v>t,e</v>
      </c>
      <c r="AU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22" t="b">
        <v>0</v>
      </c>
      <c r="B46" s="12">
        <f>ROW()-1</f>
        <v>45</v>
      </c>
      <c r="C46" s="2" t="str">
        <f>"F_"&amp;LEFT(H46,2)&amp;"_"&amp;LEFT(J46,2)</f>
        <v>F_00_00</v>
      </c>
      <c r="D46" s="3"/>
      <c r="E46" s="9"/>
      <c r="F46" s="2"/>
      <c r="G46" s="18"/>
      <c r="H46" s="2" t="str">
        <f>_xlfn.XLOOKUP(G46,Tab_Def_Processes[Process_Name],Tab_Def_Processes[Process_ID],,0,)</f>
        <v>00</v>
      </c>
      <c r="I46" s="18"/>
      <c r="J46" s="5" t="str">
        <f>_xlfn.XLOOKUP(I46,Tab_Def_Processes[Process_Name],Tab_Def_Processes[Process_ID],,0,)</f>
        <v>00</v>
      </c>
      <c r="K46" s="18" t="s">
        <v>2</v>
      </c>
      <c r="L46" s="18" t="s">
        <v>2</v>
      </c>
      <c r="M46" s="18" t="s">
        <v>2</v>
      </c>
      <c r="N46" s="18" t="s">
        <v>2</v>
      </c>
      <c r="O46" s="18" t="s">
        <v>2</v>
      </c>
      <c r="P46" s="18" t="s">
        <v>2</v>
      </c>
      <c r="Q46" s="2" t="str">
        <f>Tab_Def_Flows[[#This Row],[Flow_ID]]&amp;"_E1"</f>
        <v>F_00_00_E1</v>
      </c>
      <c r="R46" s="20"/>
      <c r="S46" s="2" t="str">
        <f>Tab_Def_Flows[[#This Row],[Flow_ID]]&amp;"_E2"</f>
        <v>F_00_00_E2</v>
      </c>
      <c r="T46" s="16"/>
      <c r="U46" s="2" t="str">
        <f>Tab_Def_Flows[[#This Row],[Flow_ID]]&amp;"_E3"</f>
        <v>F_00_00_E3</v>
      </c>
      <c r="V46" s="16"/>
      <c r="W46" s="2" t="str">
        <f>Tab_Def_Flows[[#This Row],[Flow_ID]]&amp;"_E4"</f>
        <v>F_00_00_E4</v>
      </c>
      <c r="X46" s="16"/>
      <c r="Y46" s="2" t="str">
        <f>Tab_Def_Flows[[#This Row],[Flow_ID]]&amp;"_E5"</f>
        <v>F_00_00_E5</v>
      </c>
      <c r="Z46" s="20"/>
      <c r="AA46" s="2" t="str">
        <f>Tab_Def_Flows[[#This Row],[Flow_ID]]&amp;"_E6"</f>
        <v>F_00_00_E6</v>
      </c>
      <c r="AB46" s="20"/>
      <c r="AC46" s="9"/>
      <c r="AD46" s="9"/>
      <c r="AE46" s="9"/>
      <c r="AF46" s="9"/>
      <c r="AG46" s="9"/>
      <c r="AH46" s="49" t="b">
        <f>'0_Configuration'!$C$2</f>
        <v>1</v>
      </c>
      <c r="AI46" s="2"/>
      <c r="AJ46" s="49" t="b">
        <f>'0_Configuration'!$C$6</f>
        <v>0</v>
      </c>
      <c r="AK46" s="2" t="s">
        <v>344</v>
      </c>
      <c r="AL46" s="49" t="b">
        <f>'0_Configuration'!$C$10</f>
        <v>0</v>
      </c>
      <c r="AM46" s="2" t="s">
        <v>344</v>
      </c>
      <c r="AN46" s="49" t="b">
        <f>'0_Configuration'!$C$17</f>
        <v>0</v>
      </c>
      <c r="AO46" s="2">
        <f>_xlfn.XLOOKUP(Tab_Def_Flows[[#This Row],[ODYM_Good_Type]],Tab_Configuration[Value],Tab_Configuration[ODYM_ID],,0,)</f>
        <v>0</v>
      </c>
      <c r="AP46" s="49" t="b">
        <f>'0_Configuration'!$C$24</f>
        <v>0</v>
      </c>
      <c r="AQ46" s="2"/>
      <c r="AR46" s="49" t="b">
        <f>'0_Configuration'!$C$29</f>
        <v>1</v>
      </c>
      <c r="AS46" s="2" t="s">
        <v>358</v>
      </c>
      <c r="AT46" s="2" t="str">
        <f>IF(Tab_Def_Flows[[#This Row],[ODYM_time_(t)]],"t,","")&amp;IF(Tab_Def_Flows[[#This Row],[ODYM_Region_(r)]],"r,","")&amp;IF(Tab_Def_Flows[[#This Row],[ODYM_process_(p)]],"p,","")&amp;IF(Tab_Def_Flows[[#This Row],[ODYM_Good_(g)2]],"g,","")&amp;IF(Tab_Def_Flows[[#This Row],[ODYM_material_(m)]],"m,","")&amp;IF(Tab_Def_Flows[[#This Row],[ODYM_element_(e)]],"e","")</f>
        <v>t,e</v>
      </c>
      <c r="AU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22" t="b">
        <v>0</v>
      </c>
      <c r="B47" s="12">
        <f t="shared" si="0"/>
        <v>46</v>
      </c>
      <c r="C47" s="2" t="str">
        <f t="shared" si="3"/>
        <v>F_00_00</v>
      </c>
      <c r="D47" s="3"/>
      <c r="E47" s="9"/>
      <c r="F47" s="2"/>
      <c r="G47" s="18"/>
      <c r="H47" s="2" t="str">
        <f>_xlfn.XLOOKUP(G47,Tab_Def_Processes[Process_Name],Tab_Def_Processes[Process_ID],,0,)</f>
        <v>00</v>
      </c>
      <c r="I47" s="18"/>
      <c r="J47" s="5" t="str">
        <f>_xlfn.XLOOKUP(I47,Tab_Def_Processes[Process_Name],Tab_Def_Processes[Process_ID],,0,)</f>
        <v>00</v>
      </c>
      <c r="K47" s="18" t="s">
        <v>2</v>
      </c>
      <c r="L47" s="18" t="s">
        <v>2</v>
      </c>
      <c r="M47" s="18" t="s">
        <v>2</v>
      </c>
      <c r="N47" s="18" t="s">
        <v>2</v>
      </c>
      <c r="O47" s="18" t="s">
        <v>2</v>
      </c>
      <c r="P47" s="18" t="s">
        <v>2</v>
      </c>
      <c r="Q47" s="2" t="str">
        <f>Tab_Def_Flows[[#This Row],[Flow_ID]]&amp;"_E1"</f>
        <v>F_00_00_E1</v>
      </c>
      <c r="R47" s="20"/>
      <c r="S47" s="2" t="str">
        <f>Tab_Def_Flows[[#This Row],[Flow_ID]]&amp;"_E2"</f>
        <v>F_00_00_E2</v>
      </c>
      <c r="T47" s="16"/>
      <c r="U47" s="2" t="str">
        <f>Tab_Def_Flows[[#This Row],[Flow_ID]]&amp;"_E3"</f>
        <v>F_00_00_E3</v>
      </c>
      <c r="V47" s="16"/>
      <c r="W47" s="2" t="str">
        <f>Tab_Def_Flows[[#This Row],[Flow_ID]]&amp;"_E4"</f>
        <v>F_00_00_E4</v>
      </c>
      <c r="X47" s="16"/>
      <c r="Y47" s="2" t="str">
        <f>Tab_Def_Flows[[#This Row],[Flow_ID]]&amp;"_E5"</f>
        <v>F_00_00_E5</v>
      </c>
      <c r="Z47" s="20"/>
      <c r="AA47" s="2" t="str">
        <f>Tab_Def_Flows[[#This Row],[Flow_ID]]&amp;"_E6"</f>
        <v>F_00_00_E6</v>
      </c>
      <c r="AB47" s="20"/>
      <c r="AC47" s="9"/>
      <c r="AD47" s="9"/>
      <c r="AE47" s="9"/>
      <c r="AF47" s="9"/>
      <c r="AG47" s="9"/>
      <c r="AH47" s="49" t="b">
        <f>'0_Configuration'!$C$2</f>
        <v>1</v>
      </c>
      <c r="AI47" s="2"/>
      <c r="AJ47" s="49" t="b">
        <f>'0_Configuration'!$C$6</f>
        <v>0</v>
      </c>
      <c r="AK47" s="2" t="s">
        <v>344</v>
      </c>
      <c r="AL47" s="49" t="b">
        <f>'0_Configuration'!$C$10</f>
        <v>0</v>
      </c>
      <c r="AM47" s="2" t="s">
        <v>344</v>
      </c>
      <c r="AN47" s="49" t="b">
        <f>'0_Configuration'!$C$17</f>
        <v>0</v>
      </c>
      <c r="AO47" s="2">
        <f>_xlfn.XLOOKUP(Tab_Def_Flows[[#This Row],[ODYM_Good_Type]],Tab_Configuration[Value],Tab_Configuration[ODYM_ID],,0,)</f>
        <v>0</v>
      </c>
      <c r="AP47" s="49" t="b">
        <f>'0_Configuration'!$C$24</f>
        <v>0</v>
      </c>
      <c r="AQ47" s="2"/>
      <c r="AR47" s="49" t="b">
        <f>'0_Configuration'!$C$29</f>
        <v>1</v>
      </c>
      <c r="AS47" s="2" t="s">
        <v>358</v>
      </c>
      <c r="AT47" s="2" t="str">
        <f>IF(Tab_Def_Flows[[#This Row],[ODYM_time_(t)]],"t,","")&amp;IF(Tab_Def_Flows[[#This Row],[ODYM_Region_(r)]],"r,","")&amp;IF(Tab_Def_Flows[[#This Row],[ODYM_process_(p)]],"p,","")&amp;IF(Tab_Def_Flows[[#This Row],[ODYM_Good_(g)2]],"g,","")&amp;IF(Tab_Def_Flows[[#This Row],[ODYM_material_(m)]],"m,","")&amp;IF(Tab_Def_Flows[[#This Row],[ODYM_element_(e)]],"e","")</f>
        <v>t,e</v>
      </c>
      <c r="AU4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22" t="b">
        <v>0</v>
      </c>
      <c r="B48" s="12">
        <f t="shared" si="0"/>
        <v>47</v>
      </c>
      <c r="C48" s="2" t="str">
        <f t="shared" si="3"/>
        <v>F_00_00</v>
      </c>
      <c r="D48" s="3"/>
      <c r="E48" s="9"/>
      <c r="F48" s="2"/>
      <c r="G48" s="18"/>
      <c r="H48" s="2" t="str">
        <f>_xlfn.XLOOKUP(G48,Tab_Def_Processes[Process_Name],Tab_Def_Processes[Process_ID],,0,)</f>
        <v>00</v>
      </c>
      <c r="I48" s="18"/>
      <c r="J48" s="5" t="str">
        <f>_xlfn.XLOOKUP(I48,Tab_Def_Processes[Process_Name],Tab_Def_Processes[Process_ID],,0,)</f>
        <v>00</v>
      </c>
      <c r="K48" s="18" t="s">
        <v>2</v>
      </c>
      <c r="L48" s="18" t="s">
        <v>2</v>
      </c>
      <c r="M48" s="18" t="s">
        <v>2</v>
      </c>
      <c r="N48" s="18" t="s">
        <v>2</v>
      </c>
      <c r="O48" s="18" t="s">
        <v>2</v>
      </c>
      <c r="P48" s="18" t="s">
        <v>2</v>
      </c>
      <c r="Q48" s="2" t="str">
        <f>Tab_Def_Flows[[#This Row],[Flow_ID]]&amp;"_E1"</f>
        <v>F_00_00_E1</v>
      </c>
      <c r="R48" s="20"/>
      <c r="S48" s="2" t="str">
        <f>Tab_Def_Flows[[#This Row],[Flow_ID]]&amp;"_E2"</f>
        <v>F_00_00_E2</v>
      </c>
      <c r="T48" s="16"/>
      <c r="U48" s="2" t="str">
        <f>Tab_Def_Flows[[#This Row],[Flow_ID]]&amp;"_E3"</f>
        <v>F_00_00_E3</v>
      </c>
      <c r="V48" s="16"/>
      <c r="W48" s="2" t="str">
        <f>Tab_Def_Flows[[#This Row],[Flow_ID]]&amp;"_E4"</f>
        <v>F_00_00_E4</v>
      </c>
      <c r="X48" s="16"/>
      <c r="Y48" s="2" t="str">
        <f>Tab_Def_Flows[[#This Row],[Flow_ID]]&amp;"_E5"</f>
        <v>F_00_00_E5</v>
      </c>
      <c r="Z48" s="20"/>
      <c r="AA48" s="2" t="str">
        <f>Tab_Def_Flows[[#This Row],[Flow_ID]]&amp;"_E6"</f>
        <v>F_00_00_E6</v>
      </c>
      <c r="AB48" s="20"/>
      <c r="AC48" s="9"/>
      <c r="AD48" s="9"/>
      <c r="AE48" s="9"/>
      <c r="AF48" s="9"/>
      <c r="AG48" s="9"/>
      <c r="AH48" s="49" t="b">
        <f>'0_Configuration'!$C$2</f>
        <v>1</v>
      </c>
      <c r="AI48" s="2"/>
      <c r="AJ48" s="49" t="b">
        <f>'0_Configuration'!$C$6</f>
        <v>0</v>
      </c>
      <c r="AK48" s="2" t="s">
        <v>344</v>
      </c>
      <c r="AL48" s="49" t="b">
        <f>'0_Configuration'!$C$10</f>
        <v>0</v>
      </c>
      <c r="AM48" s="2" t="s">
        <v>344</v>
      </c>
      <c r="AN48" s="49" t="b">
        <f>'0_Configuration'!$C$17</f>
        <v>0</v>
      </c>
      <c r="AO48" s="2">
        <f>_xlfn.XLOOKUP(Tab_Def_Flows[[#This Row],[ODYM_Good_Type]],Tab_Configuration[Value],Tab_Configuration[ODYM_ID],,0,)</f>
        <v>0</v>
      </c>
      <c r="AP48" s="49" t="b">
        <f>'0_Configuration'!$C$24</f>
        <v>0</v>
      </c>
      <c r="AQ48" s="2"/>
      <c r="AR48" s="49" t="b">
        <f>'0_Configuration'!$C$29</f>
        <v>1</v>
      </c>
      <c r="AS48" s="2" t="s">
        <v>358</v>
      </c>
      <c r="AT48" s="2" t="str">
        <f>IF(Tab_Def_Flows[[#This Row],[ODYM_time_(t)]],"t,","")&amp;IF(Tab_Def_Flows[[#This Row],[ODYM_Region_(r)]],"r,","")&amp;IF(Tab_Def_Flows[[#This Row],[ODYM_process_(p)]],"p,","")&amp;IF(Tab_Def_Flows[[#This Row],[ODYM_Good_(g)2]],"g,","")&amp;IF(Tab_Def_Flows[[#This Row],[ODYM_material_(m)]],"m,","")&amp;IF(Tab_Def_Flows[[#This Row],[ODYM_element_(e)]],"e","")</f>
        <v>t,e</v>
      </c>
      <c r="AU4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22" t="b">
        <v>0</v>
      </c>
      <c r="B49" s="12">
        <f t="shared" si="0"/>
        <v>48</v>
      </c>
      <c r="C49" s="2" t="str">
        <f t="shared" si="3"/>
        <v>F_00_00</v>
      </c>
      <c r="D49" s="3"/>
      <c r="E49" s="9"/>
      <c r="F49" s="2"/>
      <c r="G49" s="18"/>
      <c r="H49" s="2" t="str">
        <f>_xlfn.XLOOKUP(G49,Tab_Def_Processes[Process_Name],Tab_Def_Processes[Process_ID],,0,)</f>
        <v>00</v>
      </c>
      <c r="I49" s="18"/>
      <c r="J49" s="5" t="str">
        <f>_xlfn.XLOOKUP(I49,Tab_Def_Processes[Process_Name],Tab_Def_Processes[Process_ID],,0,)</f>
        <v>00</v>
      </c>
      <c r="K49" s="18" t="s">
        <v>2</v>
      </c>
      <c r="L49" s="18" t="s">
        <v>2</v>
      </c>
      <c r="M49" s="18" t="s">
        <v>2</v>
      </c>
      <c r="N49" s="18" t="s">
        <v>2</v>
      </c>
      <c r="O49" s="18" t="s">
        <v>2</v>
      </c>
      <c r="P49" s="18" t="s">
        <v>2</v>
      </c>
      <c r="Q49" s="2" t="str">
        <f>Tab_Def_Flows[[#This Row],[Flow_ID]]&amp;"_E1"</f>
        <v>F_00_00_E1</v>
      </c>
      <c r="R49" s="20"/>
      <c r="S49" s="2" t="str">
        <f>Tab_Def_Flows[[#This Row],[Flow_ID]]&amp;"_E2"</f>
        <v>F_00_00_E2</v>
      </c>
      <c r="T49" s="16"/>
      <c r="U49" s="2" t="str">
        <f>Tab_Def_Flows[[#This Row],[Flow_ID]]&amp;"_E3"</f>
        <v>F_00_00_E3</v>
      </c>
      <c r="V49" s="16"/>
      <c r="W49" s="2" t="str">
        <f>Tab_Def_Flows[[#This Row],[Flow_ID]]&amp;"_E4"</f>
        <v>F_00_00_E4</v>
      </c>
      <c r="X49" s="16"/>
      <c r="Y49" s="2" t="str">
        <f>Tab_Def_Flows[[#This Row],[Flow_ID]]&amp;"_E5"</f>
        <v>F_00_00_E5</v>
      </c>
      <c r="Z49" s="20"/>
      <c r="AA49" s="2" t="str">
        <f>Tab_Def_Flows[[#This Row],[Flow_ID]]&amp;"_E6"</f>
        <v>F_00_00_E6</v>
      </c>
      <c r="AB49" s="20"/>
      <c r="AC49" s="9"/>
      <c r="AD49" s="9"/>
      <c r="AE49" s="9"/>
      <c r="AF49" s="9"/>
      <c r="AG49" s="9"/>
      <c r="AH49" s="49" t="b">
        <f>'0_Configuration'!$C$2</f>
        <v>1</v>
      </c>
      <c r="AI49" s="2"/>
      <c r="AJ49" s="49" t="b">
        <f>'0_Configuration'!$C$6</f>
        <v>0</v>
      </c>
      <c r="AK49" s="2" t="s">
        <v>344</v>
      </c>
      <c r="AL49" s="49" t="b">
        <f>'0_Configuration'!$C$10</f>
        <v>0</v>
      </c>
      <c r="AM49" s="2" t="s">
        <v>344</v>
      </c>
      <c r="AN49" s="49" t="b">
        <f>'0_Configuration'!$C$17</f>
        <v>0</v>
      </c>
      <c r="AO49" s="2">
        <f>_xlfn.XLOOKUP(Tab_Def_Flows[[#This Row],[ODYM_Good_Type]],Tab_Configuration[Value],Tab_Configuration[ODYM_ID],,0,)</f>
        <v>0</v>
      </c>
      <c r="AP49" s="49" t="b">
        <f>'0_Configuration'!$C$24</f>
        <v>0</v>
      </c>
      <c r="AQ49" s="2"/>
      <c r="AR49" s="49" t="b">
        <f>'0_Configuration'!$C$29</f>
        <v>1</v>
      </c>
      <c r="AS49" s="2" t="s">
        <v>358</v>
      </c>
      <c r="AT49" s="2" t="str">
        <f>IF(Tab_Def_Flows[[#This Row],[ODYM_time_(t)]],"t,","")&amp;IF(Tab_Def_Flows[[#This Row],[ODYM_Region_(r)]],"r,","")&amp;IF(Tab_Def_Flows[[#This Row],[ODYM_process_(p)]],"p,","")&amp;IF(Tab_Def_Flows[[#This Row],[ODYM_Good_(g)2]],"g,","")&amp;IF(Tab_Def_Flows[[#This Row],[ODYM_material_(m)]],"m,","")&amp;IF(Tab_Def_Flows[[#This Row],[ODYM_element_(e)]],"e","")</f>
        <v>t,e</v>
      </c>
      <c r="AU4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22" t="b">
        <v>0</v>
      </c>
      <c r="B50" s="12">
        <f t="shared" si="0"/>
        <v>49</v>
      </c>
      <c r="C50" s="2" t="str">
        <f t="shared" si="3"/>
        <v>F_00_00</v>
      </c>
      <c r="D50" s="3"/>
      <c r="E50" s="9"/>
      <c r="F50" s="2"/>
      <c r="G50" s="18"/>
      <c r="H50" s="2" t="str">
        <f>_xlfn.XLOOKUP(G50,Tab_Def_Processes[Process_Name],Tab_Def_Processes[Process_ID],,0,)</f>
        <v>00</v>
      </c>
      <c r="I50" s="18"/>
      <c r="J50" s="5" t="str">
        <f>_xlfn.XLOOKUP(I50,Tab_Def_Processes[Process_Name],Tab_Def_Processes[Process_ID],,0,)</f>
        <v>00</v>
      </c>
      <c r="K50" s="18" t="s">
        <v>2</v>
      </c>
      <c r="L50" s="18" t="s">
        <v>2</v>
      </c>
      <c r="M50" s="18" t="s">
        <v>2</v>
      </c>
      <c r="N50" s="18" t="s">
        <v>2</v>
      </c>
      <c r="O50" s="18" t="s">
        <v>2</v>
      </c>
      <c r="P50" s="18" t="s">
        <v>2</v>
      </c>
      <c r="Q50" s="2" t="str">
        <f>Tab_Def_Flows[[#This Row],[Flow_ID]]&amp;"_E1"</f>
        <v>F_00_00_E1</v>
      </c>
      <c r="R50" s="20"/>
      <c r="S50" s="2" t="str">
        <f>Tab_Def_Flows[[#This Row],[Flow_ID]]&amp;"_E2"</f>
        <v>F_00_00_E2</v>
      </c>
      <c r="T50" s="16"/>
      <c r="U50" s="2" t="str">
        <f>Tab_Def_Flows[[#This Row],[Flow_ID]]&amp;"_E3"</f>
        <v>F_00_00_E3</v>
      </c>
      <c r="V50" s="16"/>
      <c r="W50" s="2" t="str">
        <f>Tab_Def_Flows[[#This Row],[Flow_ID]]&amp;"_E4"</f>
        <v>F_00_00_E4</v>
      </c>
      <c r="X50" s="16"/>
      <c r="Y50" s="2" t="str">
        <f>Tab_Def_Flows[[#This Row],[Flow_ID]]&amp;"_E5"</f>
        <v>F_00_00_E5</v>
      </c>
      <c r="Z50" s="20"/>
      <c r="AA50" s="2" t="str">
        <f>Tab_Def_Flows[[#This Row],[Flow_ID]]&amp;"_E6"</f>
        <v>F_00_00_E6</v>
      </c>
      <c r="AB50" s="20"/>
      <c r="AC50" s="9"/>
      <c r="AD50" s="9"/>
      <c r="AE50" s="9"/>
      <c r="AF50" s="9"/>
      <c r="AG50" s="9"/>
      <c r="AH50" s="49" t="b">
        <f>'0_Configuration'!$C$2</f>
        <v>1</v>
      </c>
      <c r="AI50" s="2"/>
      <c r="AJ50" s="49" t="b">
        <f>'0_Configuration'!$C$6</f>
        <v>0</v>
      </c>
      <c r="AK50" s="2" t="s">
        <v>344</v>
      </c>
      <c r="AL50" s="49" t="b">
        <f>'0_Configuration'!$C$10</f>
        <v>0</v>
      </c>
      <c r="AM50" s="2" t="s">
        <v>344</v>
      </c>
      <c r="AN50" s="49" t="b">
        <f>'0_Configuration'!$C$17</f>
        <v>0</v>
      </c>
      <c r="AO50" s="2">
        <f>_xlfn.XLOOKUP(Tab_Def_Flows[[#This Row],[ODYM_Good_Type]],Tab_Configuration[Value],Tab_Configuration[ODYM_ID],,0,)</f>
        <v>0</v>
      </c>
      <c r="AP50" s="49" t="b">
        <f>'0_Configuration'!$C$24</f>
        <v>0</v>
      </c>
      <c r="AQ50" s="2"/>
      <c r="AR50" s="49" t="b">
        <f>'0_Configuration'!$C$29</f>
        <v>1</v>
      </c>
      <c r="AS50" s="2" t="s">
        <v>358</v>
      </c>
      <c r="AT50" s="2" t="str">
        <f>IF(Tab_Def_Flows[[#This Row],[ODYM_time_(t)]],"t,","")&amp;IF(Tab_Def_Flows[[#This Row],[ODYM_Region_(r)]],"r,","")&amp;IF(Tab_Def_Flows[[#This Row],[ODYM_process_(p)]],"p,","")&amp;IF(Tab_Def_Flows[[#This Row],[ODYM_Good_(g)2]],"g,","")&amp;IF(Tab_Def_Flows[[#This Row],[ODYM_material_(m)]],"m,","")&amp;IF(Tab_Def_Flows[[#This Row],[ODYM_element_(e)]],"e","")</f>
        <v>t,e</v>
      </c>
      <c r="AU5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22" t="b">
        <v>0</v>
      </c>
      <c r="B51" s="12">
        <f t="shared" si="0"/>
        <v>50</v>
      </c>
      <c r="C51" s="2" t="str">
        <f t="shared" si="3"/>
        <v>F_00_00</v>
      </c>
      <c r="D51" s="3"/>
      <c r="E51" s="9"/>
      <c r="F51" s="2"/>
      <c r="G51" s="18"/>
      <c r="H51" s="2" t="str">
        <f>_xlfn.XLOOKUP(G51,Tab_Def_Processes[Process_Name],Tab_Def_Processes[Process_ID],,0,)</f>
        <v>00</v>
      </c>
      <c r="I51" s="18"/>
      <c r="J51" s="5" t="str">
        <f>_xlfn.XLOOKUP(I51,Tab_Def_Processes[Process_Name],Tab_Def_Processes[Process_ID],,0,)</f>
        <v>00</v>
      </c>
      <c r="K51" s="18" t="s">
        <v>2</v>
      </c>
      <c r="L51" s="18" t="s">
        <v>2</v>
      </c>
      <c r="M51" s="18" t="s">
        <v>2</v>
      </c>
      <c r="N51" s="18" t="s">
        <v>2</v>
      </c>
      <c r="O51" s="18" t="s">
        <v>2</v>
      </c>
      <c r="P51" s="18" t="s">
        <v>2</v>
      </c>
      <c r="Q51" s="2" t="str">
        <f>Tab_Def_Flows[[#This Row],[Flow_ID]]&amp;"_E1"</f>
        <v>F_00_00_E1</v>
      </c>
      <c r="R51" s="20"/>
      <c r="S51" s="2" t="str">
        <f>Tab_Def_Flows[[#This Row],[Flow_ID]]&amp;"_E2"</f>
        <v>F_00_00_E2</v>
      </c>
      <c r="T51" s="16"/>
      <c r="U51" s="2" t="str">
        <f>Tab_Def_Flows[[#This Row],[Flow_ID]]&amp;"_E3"</f>
        <v>F_00_00_E3</v>
      </c>
      <c r="V51" s="16"/>
      <c r="W51" s="2" t="str">
        <f>Tab_Def_Flows[[#This Row],[Flow_ID]]&amp;"_E4"</f>
        <v>F_00_00_E4</v>
      </c>
      <c r="X51" s="16"/>
      <c r="Y51" s="2" t="str">
        <f>Tab_Def_Flows[[#This Row],[Flow_ID]]&amp;"_E5"</f>
        <v>F_00_00_E5</v>
      </c>
      <c r="Z51" s="20"/>
      <c r="AA51" s="2" t="str">
        <f>Tab_Def_Flows[[#This Row],[Flow_ID]]&amp;"_E6"</f>
        <v>F_00_00_E6</v>
      </c>
      <c r="AB51" s="20"/>
      <c r="AC51" s="9"/>
      <c r="AD51" s="9"/>
      <c r="AE51" s="9"/>
      <c r="AF51" s="9"/>
      <c r="AG51" s="9"/>
      <c r="AH51" s="49" t="b">
        <f>'0_Configuration'!$C$2</f>
        <v>1</v>
      </c>
      <c r="AI51" s="2"/>
      <c r="AJ51" s="49" t="b">
        <f>'0_Configuration'!$C$6</f>
        <v>0</v>
      </c>
      <c r="AK51" s="2" t="s">
        <v>344</v>
      </c>
      <c r="AL51" s="49" t="b">
        <f>'0_Configuration'!$C$10</f>
        <v>0</v>
      </c>
      <c r="AM51" s="2" t="s">
        <v>344</v>
      </c>
      <c r="AN51" s="49" t="b">
        <f>'0_Configuration'!$C$17</f>
        <v>0</v>
      </c>
      <c r="AO51" s="2">
        <f>_xlfn.XLOOKUP(Tab_Def_Flows[[#This Row],[ODYM_Good_Type]],Tab_Configuration[Value],Tab_Configuration[ODYM_ID],,0,)</f>
        <v>0</v>
      </c>
      <c r="AP51" s="49" t="b">
        <f>'0_Configuration'!$C$24</f>
        <v>0</v>
      </c>
      <c r="AQ51" s="2"/>
      <c r="AR51" s="49" t="b">
        <f>'0_Configuration'!$C$29</f>
        <v>1</v>
      </c>
      <c r="AS51" s="2" t="s">
        <v>358</v>
      </c>
      <c r="AT51" s="2" t="str">
        <f>IF(Tab_Def_Flows[[#This Row],[ODYM_time_(t)]],"t,","")&amp;IF(Tab_Def_Flows[[#This Row],[ODYM_Region_(r)]],"r,","")&amp;IF(Tab_Def_Flows[[#This Row],[ODYM_process_(p)]],"p,","")&amp;IF(Tab_Def_Flows[[#This Row],[ODYM_Good_(g)2]],"g,","")&amp;IF(Tab_Def_Flows[[#This Row],[ODYM_material_(m)]],"m,","")&amp;IF(Tab_Def_Flows[[#This Row],[ODYM_element_(e)]],"e","")</f>
        <v>t,e</v>
      </c>
      <c r="AU5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22" t="b">
        <v>0</v>
      </c>
      <c r="B52" s="12">
        <f t="shared" si="0"/>
        <v>51</v>
      </c>
      <c r="C52" s="2" t="str">
        <f t="shared" si="3"/>
        <v>F_00_00</v>
      </c>
      <c r="D52" s="3"/>
      <c r="E52" s="9"/>
      <c r="F52" s="2"/>
      <c r="G52" s="18"/>
      <c r="H52" s="2" t="str">
        <f>_xlfn.XLOOKUP(G52,Tab_Def_Processes[Process_Name],Tab_Def_Processes[Process_ID],,0,)</f>
        <v>00</v>
      </c>
      <c r="I52" s="18"/>
      <c r="J52" s="5" t="str">
        <f>_xlfn.XLOOKUP(I52,Tab_Def_Processes[Process_Name],Tab_Def_Processes[Process_ID],,0,)</f>
        <v>00</v>
      </c>
      <c r="K52" s="18" t="s">
        <v>2</v>
      </c>
      <c r="L52" s="18" t="s">
        <v>2</v>
      </c>
      <c r="M52" s="18" t="s">
        <v>2</v>
      </c>
      <c r="N52" s="18" t="s">
        <v>2</v>
      </c>
      <c r="O52" s="18" t="s">
        <v>2</v>
      </c>
      <c r="P52" s="18" t="s">
        <v>2</v>
      </c>
      <c r="Q52" s="2" t="str">
        <f>Tab_Def_Flows[[#This Row],[Flow_ID]]&amp;"_E1"</f>
        <v>F_00_00_E1</v>
      </c>
      <c r="R52" s="20"/>
      <c r="S52" s="2" t="str">
        <f>Tab_Def_Flows[[#This Row],[Flow_ID]]&amp;"_E2"</f>
        <v>F_00_00_E2</v>
      </c>
      <c r="T52" s="16"/>
      <c r="U52" s="2" t="str">
        <f>Tab_Def_Flows[[#This Row],[Flow_ID]]&amp;"_E3"</f>
        <v>F_00_00_E3</v>
      </c>
      <c r="V52" s="16"/>
      <c r="W52" s="2" t="str">
        <f>Tab_Def_Flows[[#This Row],[Flow_ID]]&amp;"_E4"</f>
        <v>F_00_00_E4</v>
      </c>
      <c r="X52" s="16"/>
      <c r="Y52" s="2" t="str">
        <f>Tab_Def_Flows[[#This Row],[Flow_ID]]&amp;"_E5"</f>
        <v>F_00_00_E5</v>
      </c>
      <c r="Z52" s="20"/>
      <c r="AA52" s="2" t="str">
        <f>Tab_Def_Flows[[#This Row],[Flow_ID]]&amp;"_E6"</f>
        <v>F_00_00_E6</v>
      </c>
      <c r="AB52" s="20"/>
      <c r="AC52" s="9"/>
      <c r="AD52" s="9"/>
      <c r="AE52" s="9"/>
      <c r="AF52" s="9"/>
      <c r="AG52" s="9"/>
      <c r="AH52" s="49" t="b">
        <f>'0_Configuration'!$C$2</f>
        <v>1</v>
      </c>
      <c r="AI52" s="2"/>
      <c r="AJ52" s="49" t="b">
        <f>'0_Configuration'!$C$6</f>
        <v>0</v>
      </c>
      <c r="AK52" s="2" t="s">
        <v>344</v>
      </c>
      <c r="AL52" s="49" t="b">
        <f>'0_Configuration'!$C$10</f>
        <v>0</v>
      </c>
      <c r="AM52" s="2" t="s">
        <v>344</v>
      </c>
      <c r="AN52" s="49" t="b">
        <f>'0_Configuration'!$C$17</f>
        <v>0</v>
      </c>
      <c r="AO52" s="2">
        <f>_xlfn.XLOOKUP(Tab_Def_Flows[[#This Row],[ODYM_Good_Type]],Tab_Configuration[Value],Tab_Configuration[ODYM_ID],,0,)</f>
        <v>0</v>
      </c>
      <c r="AP52" s="49" t="b">
        <f>'0_Configuration'!$C$24</f>
        <v>0</v>
      </c>
      <c r="AQ52" s="2"/>
      <c r="AR52" s="49" t="b">
        <f>'0_Configuration'!$C$29</f>
        <v>1</v>
      </c>
      <c r="AS52" s="2" t="s">
        <v>358</v>
      </c>
      <c r="AT52" s="2" t="str">
        <f>IF(Tab_Def_Flows[[#This Row],[ODYM_time_(t)]],"t,","")&amp;IF(Tab_Def_Flows[[#This Row],[ODYM_Region_(r)]],"r,","")&amp;IF(Tab_Def_Flows[[#This Row],[ODYM_process_(p)]],"p,","")&amp;IF(Tab_Def_Flows[[#This Row],[ODYM_Good_(g)2]],"g,","")&amp;IF(Tab_Def_Flows[[#This Row],[ODYM_material_(m)]],"m,","")&amp;IF(Tab_Def_Flows[[#This Row],[ODYM_element_(e)]],"e","")</f>
        <v>t,e</v>
      </c>
      <c r="AU5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22" t="b">
        <v>0</v>
      </c>
      <c r="B53" s="12">
        <f t="shared" si="0"/>
        <v>52</v>
      </c>
      <c r="C53" s="2" t="str">
        <f t="shared" si="3"/>
        <v>F_00_00</v>
      </c>
      <c r="D53" s="3"/>
      <c r="E53" s="9"/>
      <c r="F53" s="2"/>
      <c r="G53" s="18"/>
      <c r="H53" s="2" t="str">
        <f>_xlfn.XLOOKUP(G53,Tab_Def_Processes[Process_Name],Tab_Def_Processes[Process_ID],,0,)</f>
        <v>00</v>
      </c>
      <c r="I53" s="18"/>
      <c r="J53" s="5" t="str">
        <f>_xlfn.XLOOKUP(I53,Tab_Def_Processes[Process_Name],Tab_Def_Processes[Process_ID],,0,)</f>
        <v>00</v>
      </c>
      <c r="K53" s="18" t="s">
        <v>2</v>
      </c>
      <c r="L53" s="18" t="s">
        <v>2</v>
      </c>
      <c r="M53" s="18" t="s">
        <v>2</v>
      </c>
      <c r="N53" s="18" t="s">
        <v>2</v>
      </c>
      <c r="O53" s="18" t="s">
        <v>2</v>
      </c>
      <c r="P53" s="18" t="s">
        <v>2</v>
      </c>
      <c r="Q53" s="2" t="str">
        <f>Tab_Def_Flows[[#This Row],[Flow_ID]]&amp;"_E1"</f>
        <v>F_00_00_E1</v>
      </c>
      <c r="R53" s="20"/>
      <c r="S53" s="2" t="str">
        <f>Tab_Def_Flows[[#This Row],[Flow_ID]]&amp;"_E2"</f>
        <v>F_00_00_E2</v>
      </c>
      <c r="T53" s="16"/>
      <c r="U53" s="2" t="str">
        <f>Tab_Def_Flows[[#This Row],[Flow_ID]]&amp;"_E3"</f>
        <v>F_00_00_E3</v>
      </c>
      <c r="V53" s="16"/>
      <c r="W53" s="2" t="str">
        <f>Tab_Def_Flows[[#This Row],[Flow_ID]]&amp;"_E4"</f>
        <v>F_00_00_E4</v>
      </c>
      <c r="X53" s="16"/>
      <c r="Y53" s="2" t="str">
        <f>Tab_Def_Flows[[#This Row],[Flow_ID]]&amp;"_E5"</f>
        <v>F_00_00_E5</v>
      </c>
      <c r="Z53" s="20"/>
      <c r="AA53" s="2" t="str">
        <f>Tab_Def_Flows[[#This Row],[Flow_ID]]&amp;"_E6"</f>
        <v>F_00_00_E6</v>
      </c>
      <c r="AB53" s="20"/>
      <c r="AC53" s="9"/>
      <c r="AD53" s="9"/>
      <c r="AE53" s="9"/>
      <c r="AF53" s="9"/>
      <c r="AG53" s="9"/>
      <c r="AH53" s="49" t="b">
        <f>'0_Configuration'!$C$2</f>
        <v>1</v>
      </c>
      <c r="AI53" s="2"/>
      <c r="AJ53" s="49" t="b">
        <f>'0_Configuration'!$C$6</f>
        <v>0</v>
      </c>
      <c r="AK53" s="2" t="s">
        <v>344</v>
      </c>
      <c r="AL53" s="49" t="b">
        <f>'0_Configuration'!$C$10</f>
        <v>0</v>
      </c>
      <c r="AM53" s="2" t="s">
        <v>344</v>
      </c>
      <c r="AN53" s="49" t="b">
        <f>'0_Configuration'!$C$17</f>
        <v>0</v>
      </c>
      <c r="AO53" s="2">
        <f>_xlfn.XLOOKUP(Tab_Def_Flows[[#This Row],[ODYM_Good_Type]],Tab_Configuration[Value],Tab_Configuration[ODYM_ID],,0,)</f>
        <v>0</v>
      </c>
      <c r="AP53" s="49" t="b">
        <f>'0_Configuration'!$C$24</f>
        <v>0</v>
      </c>
      <c r="AQ53" s="2"/>
      <c r="AR53" s="49" t="b">
        <f>'0_Configuration'!$C$29</f>
        <v>1</v>
      </c>
      <c r="AS53" s="2" t="s">
        <v>358</v>
      </c>
      <c r="AT53" s="2" t="str">
        <f>IF(Tab_Def_Flows[[#This Row],[ODYM_time_(t)]],"t,","")&amp;IF(Tab_Def_Flows[[#This Row],[ODYM_Region_(r)]],"r,","")&amp;IF(Tab_Def_Flows[[#This Row],[ODYM_process_(p)]],"p,","")&amp;IF(Tab_Def_Flows[[#This Row],[ODYM_Good_(g)2]],"g,","")&amp;IF(Tab_Def_Flows[[#This Row],[ODYM_material_(m)]],"m,","")&amp;IF(Tab_Def_Flows[[#This Row],[ODYM_element_(e)]],"e","")</f>
        <v>t,e</v>
      </c>
      <c r="AU5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22" t="b">
        <v>0</v>
      </c>
      <c r="B54" s="12">
        <f t="shared" si="0"/>
        <v>53</v>
      </c>
      <c r="C54" s="2" t="str">
        <f t="shared" si="3"/>
        <v>F_00_00</v>
      </c>
      <c r="D54" s="3"/>
      <c r="E54" s="9"/>
      <c r="F54" s="2"/>
      <c r="G54" s="18"/>
      <c r="H54" s="2" t="str">
        <f>_xlfn.XLOOKUP(G54,Tab_Def_Processes[Process_Name],Tab_Def_Processes[Process_ID],,0,)</f>
        <v>00</v>
      </c>
      <c r="I54" s="18"/>
      <c r="J54" s="5" t="str">
        <f>_xlfn.XLOOKUP(I54,Tab_Def_Processes[Process_Name],Tab_Def_Processes[Process_ID],,0,)</f>
        <v>00</v>
      </c>
      <c r="K54" s="18" t="s">
        <v>2</v>
      </c>
      <c r="L54" s="18" t="s">
        <v>2</v>
      </c>
      <c r="M54" s="18" t="s">
        <v>2</v>
      </c>
      <c r="N54" s="18" t="s">
        <v>2</v>
      </c>
      <c r="O54" s="18" t="s">
        <v>2</v>
      </c>
      <c r="P54" s="18" t="s">
        <v>2</v>
      </c>
      <c r="Q54" s="2" t="str">
        <f>Tab_Def_Flows[[#This Row],[Flow_ID]]&amp;"_E1"</f>
        <v>F_00_00_E1</v>
      </c>
      <c r="R54" s="20"/>
      <c r="S54" s="2" t="str">
        <f>Tab_Def_Flows[[#This Row],[Flow_ID]]&amp;"_E2"</f>
        <v>F_00_00_E2</v>
      </c>
      <c r="T54" s="16"/>
      <c r="U54" s="2" t="str">
        <f>Tab_Def_Flows[[#This Row],[Flow_ID]]&amp;"_E3"</f>
        <v>F_00_00_E3</v>
      </c>
      <c r="V54" s="16"/>
      <c r="W54" s="2" t="str">
        <f>Tab_Def_Flows[[#This Row],[Flow_ID]]&amp;"_E4"</f>
        <v>F_00_00_E4</v>
      </c>
      <c r="X54" s="16"/>
      <c r="Y54" s="2" t="str">
        <f>Tab_Def_Flows[[#This Row],[Flow_ID]]&amp;"_E5"</f>
        <v>F_00_00_E5</v>
      </c>
      <c r="Z54" s="20"/>
      <c r="AA54" s="2" t="str">
        <f>Tab_Def_Flows[[#This Row],[Flow_ID]]&amp;"_E6"</f>
        <v>F_00_00_E6</v>
      </c>
      <c r="AB54" s="20"/>
      <c r="AC54" s="9"/>
      <c r="AD54" s="9"/>
      <c r="AE54" s="9"/>
      <c r="AF54" s="9"/>
      <c r="AG54" s="9"/>
      <c r="AH54" s="49" t="b">
        <f>'0_Configuration'!$C$2</f>
        <v>1</v>
      </c>
      <c r="AI54" s="2"/>
      <c r="AJ54" s="49" t="b">
        <f>'0_Configuration'!$C$6</f>
        <v>0</v>
      </c>
      <c r="AK54" s="2" t="s">
        <v>344</v>
      </c>
      <c r="AL54" s="49" t="b">
        <f>'0_Configuration'!$C$10</f>
        <v>0</v>
      </c>
      <c r="AM54" s="2" t="s">
        <v>344</v>
      </c>
      <c r="AN54" s="49" t="b">
        <f>'0_Configuration'!$C$17</f>
        <v>0</v>
      </c>
      <c r="AO54" s="2">
        <f>_xlfn.XLOOKUP(Tab_Def_Flows[[#This Row],[ODYM_Good_Type]],Tab_Configuration[Value],Tab_Configuration[ODYM_ID],,0,)</f>
        <v>0</v>
      </c>
      <c r="AP54" s="49" t="b">
        <f>'0_Configuration'!$C$24</f>
        <v>0</v>
      </c>
      <c r="AQ54" s="2"/>
      <c r="AR54" s="49" t="b">
        <f>'0_Configuration'!$C$29</f>
        <v>1</v>
      </c>
      <c r="AS54" s="2" t="s">
        <v>358</v>
      </c>
      <c r="AT54" s="2" t="str">
        <f>IF(Tab_Def_Flows[[#This Row],[ODYM_time_(t)]],"t,","")&amp;IF(Tab_Def_Flows[[#This Row],[ODYM_Region_(r)]],"r,","")&amp;IF(Tab_Def_Flows[[#This Row],[ODYM_process_(p)]],"p,","")&amp;IF(Tab_Def_Flows[[#This Row],[ODYM_Good_(g)2]],"g,","")&amp;IF(Tab_Def_Flows[[#This Row],[ODYM_material_(m)]],"m,","")&amp;IF(Tab_Def_Flows[[#This Row],[ODYM_element_(e)]],"e","")</f>
        <v>t,e</v>
      </c>
      <c r="AU5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22" t="b">
        <v>0</v>
      </c>
      <c r="B55" s="12">
        <f t="shared" si="0"/>
        <v>54</v>
      </c>
      <c r="C55" s="2" t="str">
        <f t="shared" si="3"/>
        <v>F_00_00</v>
      </c>
      <c r="D55" s="3"/>
      <c r="E55" s="9"/>
      <c r="F55" s="2"/>
      <c r="G55" s="18"/>
      <c r="H55" s="2" t="str">
        <f>_xlfn.XLOOKUP(G55,Tab_Def_Processes[Process_Name],Tab_Def_Processes[Process_ID],,0,)</f>
        <v>00</v>
      </c>
      <c r="I55" s="18"/>
      <c r="J55" s="5" t="str">
        <f>_xlfn.XLOOKUP(I55,Tab_Def_Processes[Process_Name],Tab_Def_Processes[Process_ID],,0,)</f>
        <v>00</v>
      </c>
      <c r="K55" s="18" t="s">
        <v>2</v>
      </c>
      <c r="L55" s="18" t="s">
        <v>2</v>
      </c>
      <c r="M55" s="18" t="s">
        <v>2</v>
      </c>
      <c r="N55" s="18" t="s">
        <v>2</v>
      </c>
      <c r="O55" s="18" t="s">
        <v>2</v>
      </c>
      <c r="P55" s="18" t="s">
        <v>2</v>
      </c>
      <c r="Q55" s="2" t="str">
        <f>Tab_Def_Flows[[#This Row],[Flow_ID]]&amp;"_E1"</f>
        <v>F_00_00_E1</v>
      </c>
      <c r="R55" s="20"/>
      <c r="S55" s="2" t="str">
        <f>Tab_Def_Flows[[#This Row],[Flow_ID]]&amp;"_E2"</f>
        <v>F_00_00_E2</v>
      </c>
      <c r="T55" s="16"/>
      <c r="U55" s="2" t="str">
        <f>Tab_Def_Flows[[#This Row],[Flow_ID]]&amp;"_E3"</f>
        <v>F_00_00_E3</v>
      </c>
      <c r="V55" s="16"/>
      <c r="W55" s="2" t="str">
        <f>Tab_Def_Flows[[#This Row],[Flow_ID]]&amp;"_E4"</f>
        <v>F_00_00_E4</v>
      </c>
      <c r="X55" s="16"/>
      <c r="Y55" s="2" t="str">
        <f>Tab_Def_Flows[[#This Row],[Flow_ID]]&amp;"_E5"</f>
        <v>F_00_00_E5</v>
      </c>
      <c r="Z55" s="20"/>
      <c r="AA55" s="2" t="str">
        <f>Tab_Def_Flows[[#This Row],[Flow_ID]]&amp;"_E6"</f>
        <v>F_00_00_E6</v>
      </c>
      <c r="AB55" s="20"/>
      <c r="AC55" s="9"/>
      <c r="AD55" s="9"/>
      <c r="AE55" s="9"/>
      <c r="AF55" s="9"/>
      <c r="AG55" s="9"/>
      <c r="AH55" s="49" t="b">
        <f>'0_Configuration'!$C$2</f>
        <v>1</v>
      </c>
      <c r="AI55" s="2"/>
      <c r="AJ55" s="49" t="b">
        <f>'0_Configuration'!$C$6</f>
        <v>0</v>
      </c>
      <c r="AK55" s="2" t="s">
        <v>344</v>
      </c>
      <c r="AL55" s="49" t="b">
        <f>'0_Configuration'!$C$10</f>
        <v>0</v>
      </c>
      <c r="AM55" s="2" t="s">
        <v>344</v>
      </c>
      <c r="AN55" s="49" t="b">
        <f>'0_Configuration'!$C$17</f>
        <v>0</v>
      </c>
      <c r="AO55" s="2">
        <f>_xlfn.XLOOKUP(Tab_Def_Flows[[#This Row],[ODYM_Good_Type]],Tab_Configuration[Value],Tab_Configuration[ODYM_ID],,0,)</f>
        <v>0</v>
      </c>
      <c r="AP55" s="49" t="b">
        <f>'0_Configuration'!$C$24</f>
        <v>0</v>
      </c>
      <c r="AQ55" s="2"/>
      <c r="AR55" s="49" t="b">
        <f>'0_Configuration'!$C$29</f>
        <v>1</v>
      </c>
      <c r="AS55" s="2" t="s">
        <v>358</v>
      </c>
      <c r="AT55" s="2" t="str">
        <f>IF(Tab_Def_Flows[[#This Row],[ODYM_time_(t)]],"t,","")&amp;IF(Tab_Def_Flows[[#This Row],[ODYM_Region_(r)]],"r,","")&amp;IF(Tab_Def_Flows[[#This Row],[ODYM_process_(p)]],"p,","")&amp;IF(Tab_Def_Flows[[#This Row],[ODYM_Good_(g)2]],"g,","")&amp;IF(Tab_Def_Flows[[#This Row],[ODYM_material_(m)]],"m,","")&amp;IF(Tab_Def_Flows[[#This Row],[ODYM_element_(e)]],"e","")</f>
        <v>t,e</v>
      </c>
      <c r="AU5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22" t="b">
        <v>0</v>
      </c>
      <c r="B56" s="12">
        <f t="shared" si="0"/>
        <v>55</v>
      </c>
      <c r="C56" s="2" t="str">
        <f t="shared" si="3"/>
        <v>F_00_00</v>
      </c>
      <c r="D56" s="3"/>
      <c r="E56" s="9"/>
      <c r="F56" s="2"/>
      <c r="G56" s="18"/>
      <c r="H56" s="2" t="str">
        <f>_xlfn.XLOOKUP(G56,Tab_Def_Processes[Process_Name],Tab_Def_Processes[Process_ID],,0,)</f>
        <v>00</v>
      </c>
      <c r="I56" s="18"/>
      <c r="J56" s="5" t="str">
        <f>_xlfn.XLOOKUP(I56,Tab_Def_Processes[Process_Name],Tab_Def_Processes[Process_ID],,0,)</f>
        <v>00</v>
      </c>
      <c r="K56" s="18" t="s">
        <v>2</v>
      </c>
      <c r="L56" s="18" t="s">
        <v>2</v>
      </c>
      <c r="M56" s="18" t="s">
        <v>2</v>
      </c>
      <c r="N56" s="18" t="s">
        <v>2</v>
      </c>
      <c r="O56" s="18" t="s">
        <v>2</v>
      </c>
      <c r="P56" s="18" t="s">
        <v>2</v>
      </c>
      <c r="Q56" s="2" t="str">
        <f>Tab_Def_Flows[[#This Row],[Flow_ID]]&amp;"_E1"</f>
        <v>F_00_00_E1</v>
      </c>
      <c r="R56" s="20"/>
      <c r="S56" s="2" t="str">
        <f>Tab_Def_Flows[[#This Row],[Flow_ID]]&amp;"_E2"</f>
        <v>F_00_00_E2</v>
      </c>
      <c r="T56" s="16"/>
      <c r="U56" s="2" t="str">
        <f>Tab_Def_Flows[[#This Row],[Flow_ID]]&amp;"_E3"</f>
        <v>F_00_00_E3</v>
      </c>
      <c r="V56" s="16"/>
      <c r="W56" s="2" t="str">
        <f>Tab_Def_Flows[[#This Row],[Flow_ID]]&amp;"_E4"</f>
        <v>F_00_00_E4</v>
      </c>
      <c r="X56" s="16"/>
      <c r="Y56" s="2" t="str">
        <f>Tab_Def_Flows[[#This Row],[Flow_ID]]&amp;"_E5"</f>
        <v>F_00_00_E5</v>
      </c>
      <c r="Z56" s="20"/>
      <c r="AA56" s="2" t="str">
        <f>Tab_Def_Flows[[#This Row],[Flow_ID]]&amp;"_E6"</f>
        <v>F_00_00_E6</v>
      </c>
      <c r="AB56" s="20"/>
      <c r="AC56" s="9"/>
      <c r="AD56" s="9"/>
      <c r="AE56" s="9"/>
      <c r="AF56" s="9"/>
      <c r="AG56" s="9"/>
      <c r="AH56" s="49" t="b">
        <f>'0_Configuration'!$C$2</f>
        <v>1</v>
      </c>
      <c r="AI56" s="2"/>
      <c r="AJ56" s="49" t="b">
        <f>'0_Configuration'!$C$6</f>
        <v>0</v>
      </c>
      <c r="AK56" s="2" t="s">
        <v>344</v>
      </c>
      <c r="AL56" s="49" t="b">
        <f>'0_Configuration'!$C$10</f>
        <v>0</v>
      </c>
      <c r="AM56" s="2" t="s">
        <v>344</v>
      </c>
      <c r="AN56" s="49" t="b">
        <f>'0_Configuration'!$C$17</f>
        <v>0</v>
      </c>
      <c r="AO56" s="2">
        <f>_xlfn.XLOOKUP(Tab_Def_Flows[[#This Row],[ODYM_Good_Type]],Tab_Configuration[Value],Tab_Configuration[ODYM_ID],,0,)</f>
        <v>0</v>
      </c>
      <c r="AP56" s="49" t="b">
        <f>'0_Configuration'!$C$24</f>
        <v>0</v>
      </c>
      <c r="AQ56" s="2"/>
      <c r="AR56" s="49" t="b">
        <f>'0_Configuration'!$C$29</f>
        <v>1</v>
      </c>
      <c r="AS56" s="2" t="s">
        <v>358</v>
      </c>
      <c r="AT56" s="2" t="str">
        <f>IF(Tab_Def_Flows[[#This Row],[ODYM_time_(t)]],"t,","")&amp;IF(Tab_Def_Flows[[#This Row],[ODYM_Region_(r)]],"r,","")&amp;IF(Tab_Def_Flows[[#This Row],[ODYM_process_(p)]],"p,","")&amp;IF(Tab_Def_Flows[[#This Row],[ODYM_Good_(g)2]],"g,","")&amp;IF(Tab_Def_Flows[[#This Row],[ODYM_material_(m)]],"m,","")&amp;IF(Tab_Def_Flows[[#This Row],[ODYM_element_(e)]],"e","")</f>
        <v>t,e</v>
      </c>
      <c r="AU5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22" t="b">
        <v>0</v>
      </c>
      <c r="B57" s="12">
        <f t="shared" si="0"/>
        <v>56</v>
      </c>
      <c r="C57" s="2" t="str">
        <f t="shared" si="3"/>
        <v>F_00_00</v>
      </c>
      <c r="D57" s="3"/>
      <c r="E57" s="9"/>
      <c r="F57" s="2"/>
      <c r="G57" s="18"/>
      <c r="H57" s="2" t="str">
        <f>_xlfn.XLOOKUP(G57,Tab_Def_Processes[Process_Name],Tab_Def_Processes[Process_ID],,0,)</f>
        <v>00</v>
      </c>
      <c r="I57" s="18"/>
      <c r="J57" s="5" t="str">
        <f>_xlfn.XLOOKUP(I57,Tab_Def_Processes[Process_Name],Tab_Def_Processes[Process_ID],,0,)</f>
        <v>00</v>
      </c>
      <c r="K57" s="18" t="s">
        <v>2</v>
      </c>
      <c r="L57" s="18" t="s">
        <v>2</v>
      </c>
      <c r="M57" s="18" t="s">
        <v>2</v>
      </c>
      <c r="N57" s="18" t="s">
        <v>2</v>
      </c>
      <c r="O57" s="18" t="s">
        <v>2</v>
      </c>
      <c r="P57" s="18" t="s">
        <v>2</v>
      </c>
      <c r="Q57" s="2" t="str">
        <f>Tab_Def_Flows[[#This Row],[Flow_ID]]&amp;"_E1"</f>
        <v>F_00_00_E1</v>
      </c>
      <c r="R57" s="20"/>
      <c r="S57" s="2" t="str">
        <f>Tab_Def_Flows[[#This Row],[Flow_ID]]&amp;"_E2"</f>
        <v>F_00_00_E2</v>
      </c>
      <c r="T57" s="16"/>
      <c r="U57" s="2" t="str">
        <f>Tab_Def_Flows[[#This Row],[Flow_ID]]&amp;"_E3"</f>
        <v>F_00_00_E3</v>
      </c>
      <c r="V57" s="16"/>
      <c r="W57" s="2" t="str">
        <f>Tab_Def_Flows[[#This Row],[Flow_ID]]&amp;"_E4"</f>
        <v>F_00_00_E4</v>
      </c>
      <c r="X57" s="16"/>
      <c r="Y57" s="2" t="str">
        <f>Tab_Def_Flows[[#This Row],[Flow_ID]]&amp;"_E5"</f>
        <v>F_00_00_E5</v>
      </c>
      <c r="Z57" s="20"/>
      <c r="AA57" s="2" t="str">
        <f>Tab_Def_Flows[[#This Row],[Flow_ID]]&amp;"_E6"</f>
        <v>F_00_00_E6</v>
      </c>
      <c r="AB57" s="20"/>
      <c r="AC57" s="9"/>
      <c r="AD57" s="9"/>
      <c r="AE57" s="9"/>
      <c r="AF57" s="9"/>
      <c r="AG57" s="9"/>
      <c r="AH57" s="49" t="b">
        <f>'0_Configuration'!$C$2</f>
        <v>1</v>
      </c>
      <c r="AI57" s="2"/>
      <c r="AJ57" s="49" t="b">
        <f>'0_Configuration'!$C$6</f>
        <v>0</v>
      </c>
      <c r="AK57" s="2" t="s">
        <v>344</v>
      </c>
      <c r="AL57" s="49" t="b">
        <f>'0_Configuration'!$C$10</f>
        <v>0</v>
      </c>
      <c r="AM57" s="2" t="s">
        <v>344</v>
      </c>
      <c r="AN57" s="49" t="b">
        <f>'0_Configuration'!$C$17</f>
        <v>0</v>
      </c>
      <c r="AO57" s="2">
        <f>_xlfn.XLOOKUP(Tab_Def_Flows[[#This Row],[ODYM_Good_Type]],Tab_Configuration[Value],Tab_Configuration[ODYM_ID],,0,)</f>
        <v>0</v>
      </c>
      <c r="AP57" s="49" t="b">
        <f>'0_Configuration'!$C$24</f>
        <v>0</v>
      </c>
      <c r="AQ57" s="2"/>
      <c r="AR57" s="49" t="b">
        <f>'0_Configuration'!$C$29</f>
        <v>1</v>
      </c>
      <c r="AS57" s="2" t="s">
        <v>358</v>
      </c>
      <c r="AT57" s="2" t="str">
        <f>IF(Tab_Def_Flows[[#This Row],[ODYM_time_(t)]],"t,","")&amp;IF(Tab_Def_Flows[[#This Row],[ODYM_Region_(r)]],"r,","")&amp;IF(Tab_Def_Flows[[#This Row],[ODYM_process_(p)]],"p,","")&amp;IF(Tab_Def_Flows[[#This Row],[ODYM_Good_(g)2]],"g,","")&amp;IF(Tab_Def_Flows[[#This Row],[ODYM_material_(m)]],"m,","")&amp;IF(Tab_Def_Flows[[#This Row],[ODYM_element_(e)]],"e","")</f>
        <v>t,e</v>
      </c>
      <c r="AU5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22" t="b">
        <v>0</v>
      </c>
      <c r="B58" s="12">
        <f t="shared" si="0"/>
        <v>57</v>
      </c>
      <c r="C58" s="2" t="str">
        <f t="shared" si="3"/>
        <v>F_00_00</v>
      </c>
      <c r="D58" s="3"/>
      <c r="E58" s="9"/>
      <c r="F58" s="2"/>
      <c r="G58" s="18"/>
      <c r="H58" s="2" t="str">
        <f>_xlfn.XLOOKUP(G58,Tab_Def_Processes[Process_Name],Tab_Def_Processes[Process_ID],,0,)</f>
        <v>00</v>
      </c>
      <c r="I58" s="18"/>
      <c r="J58" s="5" t="str">
        <f>_xlfn.XLOOKUP(I58,Tab_Def_Processes[Process_Name],Tab_Def_Processes[Process_ID],,0,)</f>
        <v>00</v>
      </c>
      <c r="K58" s="18" t="s">
        <v>2</v>
      </c>
      <c r="L58" s="18" t="s">
        <v>2</v>
      </c>
      <c r="M58" s="18" t="s">
        <v>2</v>
      </c>
      <c r="N58" s="18" t="s">
        <v>2</v>
      </c>
      <c r="O58" s="18" t="s">
        <v>2</v>
      </c>
      <c r="P58" s="18" t="s">
        <v>2</v>
      </c>
      <c r="Q58" s="2" t="str">
        <f>Tab_Def_Flows[[#This Row],[Flow_ID]]&amp;"_E1"</f>
        <v>F_00_00_E1</v>
      </c>
      <c r="R58" s="20"/>
      <c r="S58" s="2" t="str">
        <f>Tab_Def_Flows[[#This Row],[Flow_ID]]&amp;"_E2"</f>
        <v>F_00_00_E2</v>
      </c>
      <c r="T58" s="16"/>
      <c r="U58" s="2" t="str">
        <f>Tab_Def_Flows[[#This Row],[Flow_ID]]&amp;"_E3"</f>
        <v>F_00_00_E3</v>
      </c>
      <c r="V58" s="16"/>
      <c r="W58" s="2" t="str">
        <f>Tab_Def_Flows[[#This Row],[Flow_ID]]&amp;"_E4"</f>
        <v>F_00_00_E4</v>
      </c>
      <c r="X58" s="16"/>
      <c r="Y58" s="2" t="str">
        <f>Tab_Def_Flows[[#This Row],[Flow_ID]]&amp;"_E5"</f>
        <v>F_00_00_E5</v>
      </c>
      <c r="Z58" s="20"/>
      <c r="AA58" s="2" t="str">
        <f>Tab_Def_Flows[[#This Row],[Flow_ID]]&amp;"_E6"</f>
        <v>F_00_00_E6</v>
      </c>
      <c r="AB58" s="20"/>
      <c r="AC58" s="9"/>
      <c r="AD58" s="9"/>
      <c r="AE58" s="9"/>
      <c r="AF58" s="9"/>
      <c r="AG58" s="9"/>
      <c r="AH58" s="49" t="b">
        <f>'0_Configuration'!$C$2</f>
        <v>1</v>
      </c>
      <c r="AI58" s="2"/>
      <c r="AJ58" s="49" t="b">
        <f>'0_Configuration'!$C$6</f>
        <v>0</v>
      </c>
      <c r="AK58" s="2" t="s">
        <v>344</v>
      </c>
      <c r="AL58" s="49" t="b">
        <f>'0_Configuration'!$C$10</f>
        <v>0</v>
      </c>
      <c r="AM58" s="2" t="s">
        <v>344</v>
      </c>
      <c r="AN58" s="49" t="b">
        <f>'0_Configuration'!$C$17</f>
        <v>0</v>
      </c>
      <c r="AO58" s="2">
        <f>_xlfn.XLOOKUP(Tab_Def_Flows[[#This Row],[ODYM_Good_Type]],Tab_Configuration[Value],Tab_Configuration[ODYM_ID],,0,)</f>
        <v>0</v>
      </c>
      <c r="AP58" s="49" t="b">
        <f>'0_Configuration'!$C$24</f>
        <v>0</v>
      </c>
      <c r="AQ58" s="2"/>
      <c r="AR58" s="49" t="b">
        <f>'0_Configuration'!$C$29</f>
        <v>1</v>
      </c>
      <c r="AS58" s="2" t="s">
        <v>358</v>
      </c>
      <c r="AT58" s="2" t="str">
        <f>IF(Tab_Def_Flows[[#This Row],[ODYM_time_(t)]],"t,","")&amp;IF(Tab_Def_Flows[[#This Row],[ODYM_Region_(r)]],"r,","")&amp;IF(Tab_Def_Flows[[#This Row],[ODYM_process_(p)]],"p,","")&amp;IF(Tab_Def_Flows[[#This Row],[ODYM_Good_(g)2]],"g,","")&amp;IF(Tab_Def_Flows[[#This Row],[ODYM_material_(m)]],"m,","")&amp;IF(Tab_Def_Flows[[#This Row],[ODYM_element_(e)]],"e","")</f>
        <v>t,e</v>
      </c>
      <c r="AU5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22" t="b">
        <v>0</v>
      </c>
      <c r="B59" s="12">
        <f t="shared" si="0"/>
        <v>58</v>
      </c>
      <c r="C59" s="2" t="str">
        <f t="shared" si="3"/>
        <v>F_00_00</v>
      </c>
      <c r="D59" s="3"/>
      <c r="E59" s="9"/>
      <c r="F59" s="2"/>
      <c r="G59" s="18"/>
      <c r="H59" s="2" t="str">
        <f>_xlfn.XLOOKUP(G59,Tab_Def_Processes[Process_Name],Tab_Def_Processes[Process_ID],,0,)</f>
        <v>00</v>
      </c>
      <c r="I59" s="18"/>
      <c r="J59" s="5" t="str">
        <f>_xlfn.XLOOKUP(I59,Tab_Def_Processes[Process_Name],Tab_Def_Processes[Process_ID],,0,)</f>
        <v>00</v>
      </c>
      <c r="K59" s="18" t="s">
        <v>2</v>
      </c>
      <c r="L59" s="18" t="s">
        <v>2</v>
      </c>
      <c r="M59" s="18" t="s">
        <v>2</v>
      </c>
      <c r="N59" s="18" t="s">
        <v>2</v>
      </c>
      <c r="O59" s="18" t="s">
        <v>2</v>
      </c>
      <c r="P59" s="18" t="s">
        <v>2</v>
      </c>
      <c r="Q59" s="2" t="str">
        <f>Tab_Def_Flows[[#This Row],[Flow_ID]]&amp;"_E1"</f>
        <v>F_00_00_E1</v>
      </c>
      <c r="R59" s="20"/>
      <c r="S59" s="2" t="str">
        <f>Tab_Def_Flows[[#This Row],[Flow_ID]]&amp;"_E2"</f>
        <v>F_00_00_E2</v>
      </c>
      <c r="T59" s="16"/>
      <c r="U59" s="2" t="str">
        <f>Tab_Def_Flows[[#This Row],[Flow_ID]]&amp;"_E3"</f>
        <v>F_00_00_E3</v>
      </c>
      <c r="V59" s="16"/>
      <c r="W59" s="2" t="str">
        <f>Tab_Def_Flows[[#This Row],[Flow_ID]]&amp;"_E4"</f>
        <v>F_00_00_E4</v>
      </c>
      <c r="X59" s="16"/>
      <c r="Y59" s="2" t="str">
        <f>Tab_Def_Flows[[#This Row],[Flow_ID]]&amp;"_E5"</f>
        <v>F_00_00_E5</v>
      </c>
      <c r="Z59" s="20"/>
      <c r="AA59" s="2" t="str">
        <f>Tab_Def_Flows[[#This Row],[Flow_ID]]&amp;"_E6"</f>
        <v>F_00_00_E6</v>
      </c>
      <c r="AB59" s="20"/>
      <c r="AC59" s="9"/>
      <c r="AD59" s="9"/>
      <c r="AE59" s="9"/>
      <c r="AF59" s="9"/>
      <c r="AG59" s="9"/>
      <c r="AH59" s="49" t="b">
        <f>'0_Configuration'!$C$2</f>
        <v>1</v>
      </c>
      <c r="AI59" s="2"/>
      <c r="AJ59" s="49" t="b">
        <f>'0_Configuration'!$C$6</f>
        <v>0</v>
      </c>
      <c r="AK59" s="2" t="s">
        <v>344</v>
      </c>
      <c r="AL59" s="49" t="b">
        <f>'0_Configuration'!$C$10</f>
        <v>0</v>
      </c>
      <c r="AM59" s="2" t="s">
        <v>344</v>
      </c>
      <c r="AN59" s="49" t="b">
        <f>'0_Configuration'!$C$17</f>
        <v>0</v>
      </c>
      <c r="AO59" s="2">
        <f>_xlfn.XLOOKUP(Tab_Def_Flows[[#This Row],[ODYM_Good_Type]],Tab_Configuration[Value],Tab_Configuration[ODYM_ID],,0,)</f>
        <v>0</v>
      </c>
      <c r="AP59" s="49" t="b">
        <f>'0_Configuration'!$C$24</f>
        <v>0</v>
      </c>
      <c r="AQ59" s="2"/>
      <c r="AR59" s="49" t="b">
        <f>'0_Configuration'!$C$29</f>
        <v>1</v>
      </c>
      <c r="AS59" s="2" t="s">
        <v>358</v>
      </c>
      <c r="AT59" s="2" t="str">
        <f>IF(Tab_Def_Flows[[#This Row],[ODYM_time_(t)]],"t,","")&amp;IF(Tab_Def_Flows[[#This Row],[ODYM_Region_(r)]],"r,","")&amp;IF(Tab_Def_Flows[[#This Row],[ODYM_process_(p)]],"p,","")&amp;IF(Tab_Def_Flows[[#This Row],[ODYM_Good_(g)2]],"g,","")&amp;IF(Tab_Def_Flows[[#This Row],[ODYM_material_(m)]],"m,","")&amp;IF(Tab_Def_Flows[[#This Row],[ODYM_element_(e)]],"e","")</f>
        <v>t,e</v>
      </c>
      <c r="AU5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22" t="b">
        <v>0</v>
      </c>
      <c r="B60" s="12">
        <f t="shared" si="0"/>
        <v>59</v>
      </c>
      <c r="C60" s="2" t="str">
        <f t="shared" si="3"/>
        <v>F_00_00</v>
      </c>
      <c r="D60" s="3"/>
      <c r="E60" s="9"/>
      <c r="F60" s="2"/>
      <c r="G60" s="18"/>
      <c r="H60" s="2" t="str">
        <f>_xlfn.XLOOKUP(G60,Tab_Def_Processes[Process_Name],Tab_Def_Processes[Process_ID],,0,)</f>
        <v>00</v>
      </c>
      <c r="I60" s="18"/>
      <c r="J60" s="5" t="str">
        <f>_xlfn.XLOOKUP(I60,Tab_Def_Processes[Process_Name],Tab_Def_Processes[Process_ID],,0,)</f>
        <v>00</v>
      </c>
      <c r="K60" s="18" t="s">
        <v>2</v>
      </c>
      <c r="L60" s="18" t="s">
        <v>2</v>
      </c>
      <c r="M60" s="18" t="s">
        <v>2</v>
      </c>
      <c r="N60" s="18" t="s">
        <v>2</v>
      </c>
      <c r="O60" s="18" t="s">
        <v>2</v>
      </c>
      <c r="P60" s="18" t="s">
        <v>2</v>
      </c>
      <c r="Q60" s="2" t="str">
        <f>Tab_Def_Flows[[#This Row],[Flow_ID]]&amp;"_E1"</f>
        <v>F_00_00_E1</v>
      </c>
      <c r="R60" s="20"/>
      <c r="S60" s="2" t="str">
        <f>Tab_Def_Flows[[#This Row],[Flow_ID]]&amp;"_E2"</f>
        <v>F_00_00_E2</v>
      </c>
      <c r="T60" s="16"/>
      <c r="U60" s="2" t="str">
        <f>Tab_Def_Flows[[#This Row],[Flow_ID]]&amp;"_E3"</f>
        <v>F_00_00_E3</v>
      </c>
      <c r="V60" s="16"/>
      <c r="W60" s="2" t="str">
        <f>Tab_Def_Flows[[#This Row],[Flow_ID]]&amp;"_E4"</f>
        <v>F_00_00_E4</v>
      </c>
      <c r="X60" s="16"/>
      <c r="Y60" s="2" t="str">
        <f>Tab_Def_Flows[[#This Row],[Flow_ID]]&amp;"_E5"</f>
        <v>F_00_00_E5</v>
      </c>
      <c r="Z60" s="20"/>
      <c r="AA60" s="2" t="str">
        <f>Tab_Def_Flows[[#This Row],[Flow_ID]]&amp;"_E6"</f>
        <v>F_00_00_E6</v>
      </c>
      <c r="AB60" s="20"/>
      <c r="AC60" s="9"/>
      <c r="AD60" s="9"/>
      <c r="AE60" s="9"/>
      <c r="AF60" s="9"/>
      <c r="AG60" s="9"/>
      <c r="AH60" s="49" t="b">
        <f>'0_Configuration'!$C$2</f>
        <v>1</v>
      </c>
      <c r="AI60" s="2"/>
      <c r="AJ60" s="49" t="b">
        <f>'0_Configuration'!$C$6</f>
        <v>0</v>
      </c>
      <c r="AK60" s="2" t="s">
        <v>344</v>
      </c>
      <c r="AL60" s="49" t="b">
        <f>'0_Configuration'!$C$10</f>
        <v>0</v>
      </c>
      <c r="AM60" s="2" t="s">
        <v>344</v>
      </c>
      <c r="AN60" s="49" t="b">
        <f>'0_Configuration'!$C$17</f>
        <v>0</v>
      </c>
      <c r="AO60" s="2">
        <f>_xlfn.XLOOKUP(Tab_Def_Flows[[#This Row],[ODYM_Good_Type]],Tab_Configuration[Value],Tab_Configuration[ODYM_ID],,0,)</f>
        <v>0</v>
      </c>
      <c r="AP60" s="49" t="b">
        <f>'0_Configuration'!$C$24</f>
        <v>0</v>
      </c>
      <c r="AQ60" s="2"/>
      <c r="AR60" s="49" t="b">
        <f>'0_Configuration'!$C$29</f>
        <v>1</v>
      </c>
      <c r="AS60" s="2" t="s">
        <v>358</v>
      </c>
      <c r="AT60" s="2" t="str">
        <f>IF(Tab_Def_Flows[[#This Row],[ODYM_time_(t)]],"t,","")&amp;IF(Tab_Def_Flows[[#This Row],[ODYM_Region_(r)]],"r,","")&amp;IF(Tab_Def_Flows[[#This Row],[ODYM_process_(p)]],"p,","")&amp;IF(Tab_Def_Flows[[#This Row],[ODYM_Good_(g)2]],"g,","")&amp;IF(Tab_Def_Flows[[#This Row],[ODYM_material_(m)]],"m,","")&amp;IF(Tab_Def_Flows[[#This Row],[ODYM_element_(e)]],"e","")</f>
        <v>t,e</v>
      </c>
      <c r="AU6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22" t="b">
        <v>0</v>
      </c>
      <c r="B61" s="12">
        <f t="shared" si="0"/>
        <v>60</v>
      </c>
      <c r="C61" s="2" t="str">
        <f t="shared" si="3"/>
        <v>F_00_00</v>
      </c>
      <c r="D61" s="3"/>
      <c r="E61" s="9"/>
      <c r="F61" s="2"/>
      <c r="G61" s="18"/>
      <c r="H61" s="2" t="str">
        <f>_xlfn.XLOOKUP(G61,Tab_Def_Processes[Process_Name],Tab_Def_Processes[Process_ID],,0,)</f>
        <v>00</v>
      </c>
      <c r="I61" s="18"/>
      <c r="J61" s="5" t="str">
        <f>_xlfn.XLOOKUP(I61,Tab_Def_Processes[Process_Name],Tab_Def_Processes[Process_ID],,0,)</f>
        <v>00</v>
      </c>
      <c r="K61" s="18" t="s">
        <v>2</v>
      </c>
      <c r="L61" s="18" t="s">
        <v>2</v>
      </c>
      <c r="M61" s="18" t="s">
        <v>2</v>
      </c>
      <c r="N61" s="18" t="s">
        <v>2</v>
      </c>
      <c r="O61" s="18" t="s">
        <v>2</v>
      </c>
      <c r="P61" s="18" t="s">
        <v>2</v>
      </c>
      <c r="Q61" s="2" t="str">
        <f>Tab_Def_Flows[[#This Row],[Flow_ID]]&amp;"_E1"</f>
        <v>F_00_00_E1</v>
      </c>
      <c r="R61" s="20"/>
      <c r="S61" s="2" t="str">
        <f>Tab_Def_Flows[[#This Row],[Flow_ID]]&amp;"_E2"</f>
        <v>F_00_00_E2</v>
      </c>
      <c r="T61" s="16"/>
      <c r="U61" s="2" t="str">
        <f>Tab_Def_Flows[[#This Row],[Flow_ID]]&amp;"_E3"</f>
        <v>F_00_00_E3</v>
      </c>
      <c r="V61" s="16"/>
      <c r="W61" s="2" t="str">
        <f>Tab_Def_Flows[[#This Row],[Flow_ID]]&amp;"_E4"</f>
        <v>F_00_00_E4</v>
      </c>
      <c r="X61" s="16"/>
      <c r="Y61" s="2" t="str">
        <f>Tab_Def_Flows[[#This Row],[Flow_ID]]&amp;"_E5"</f>
        <v>F_00_00_E5</v>
      </c>
      <c r="Z61" s="20"/>
      <c r="AA61" s="2" t="str">
        <f>Tab_Def_Flows[[#This Row],[Flow_ID]]&amp;"_E6"</f>
        <v>F_00_00_E6</v>
      </c>
      <c r="AB61" s="20"/>
      <c r="AC61" s="9"/>
      <c r="AD61" s="9"/>
      <c r="AE61" s="9"/>
      <c r="AF61" s="9"/>
      <c r="AG61" s="9"/>
      <c r="AH61" s="49" t="b">
        <f>'0_Configuration'!$C$2</f>
        <v>1</v>
      </c>
      <c r="AI61" s="2"/>
      <c r="AJ61" s="49" t="b">
        <f>'0_Configuration'!$C$6</f>
        <v>0</v>
      </c>
      <c r="AK61" s="2" t="s">
        <v>344</v>
      </c>
      <c r="AL61" s="49" t="b">
        <f>'0_Configuration'!$C$10</f>
        <v>0</v>
      </c>
      <c r="AM61" s="2" t="s">
        <v>344</v>
      </c>
      <c r="AN61" s="49" t="b">
        <f>'0_Configuration'!$C$17</f>
        <v>0</v>
      </c>
      <c r="AO61" s="2">
        <f>_xlfn.XLOOKUP(Tab_Def_Flows[[#This Row],[ODYM_Good_Type]],Tab_Configuration[Value],Tab_Configuration[ODYM_ID],,0,)</f>
        <v>0</v>
      </c>
      <c r="AP61" s="49" t="b">
        <f>'0_Configuration'!$C$24</f>
        <v>0</v>
      </c>
      <c r="AQ61" s="2"/>
      <c r="AR61" s="49" t="b">
        <f>'0_Configuration'!$C$29</f>
        <v>1</v>
      </c>
      <c r="AS61" s="2" t="s">
        <v>358</v>
      </c>
      <c r="AT61" s="2" t="str">
        <f>IF(Tab_Def_Flows[[#This Row],[ODYM_time_(t)]],"t,","")&amp;IF(Tab_Def_Flows[[#This Row],[ODYM_Region_(r)]],"r,","")&amp;IF(Tab_Def_Flows[[#This Row],[ODYM_process_(p)]],"p,","")&amp;IF(Tab_Def_Flows[[#This Row],[ODYM_Good_(g)2]],"g,","")&amp;IF(Tab_Def_Flows[[#This Row],[ODYM_material_(m)]],"m,","")&amp;IF(Tab_Def_Flows[[#This Row],[ODYM_element_(e)]],"e","")</f>
        <v>t,e</v>
      </c>
      <c r="AU6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22" t="b">
        <v>0</v>
      </c>
      <c r="B62" s="12">
        <f t="shared" si="0"/>
        <v>61</v>
      </c>
      <c r="C62" s="2" t="str">
        <f t="shared" si="3"/>
        <v>F_00_00</v>
      </c>
      <c r="D62" s="3"/>
      <c r="E62" s="9"/>
      <c r="F62" s="2"/>
      <c r="G62" s="18"/>
      <c r="H62" s="2" t="str">
        <f>_xlfn.XLOOKUP(G62,Tab_Def_Processes[Process_Name],Tab_Def_Processes[Process_ID],,0,)</f>
        <v>00</v>
      </c>
      <c r="I62" s="18"/>
      <c r="J62" s="5" t="str">
        <f>_xlfn.XLOOKUP(I62,Tab_Def_Processes[Process_Name],Tab_Def_Processes[Process_ID],,0,)</f>
        <v>00</v>
      </c>
      <c r="K62" s="18" t="s">
        <v>2</v>
      </c>
      <c r="L62" s="18" t="s">
        <v>2</v>
      </c>
      <c r="M62" s="18" t="s">
        <v>2</v>
      </c>
      <c r="N62" s="18" t="s">
        <v>2</v>
      </c>
      <c r="O62" s="18" t="s">
        <v>2</v>
      </c>
      <c r="P62" s="18" t="s">
        <v>2</v>
      </c>
      <c r="Q62" s="2" t="str">
        <f>Tab_Def_Flows[[#This Row],[Flow_ID]]&amp;"_E1"</f>
        <v>F_00_00_E1</v>
      </c>
      <c r="R62" s="20"/>
      <c r="S62" s="2" t="str">
        <f>Tab_Def_Flows[[#This Row],[Flow_ID]]&amp;"_E2"</f>
        <v>F_00_00_E2</v>
      </c>
      <c r="T62" s="16"/>
      <c r="U62" s="2" t="str">
        <f>Tab_Def_Flows[[#This Row],[Flow_ID]]&amp;"_E3"</f>
        <v>F_00_00_E3</v>
      </c>
      <c r="V62" s="16"/>
      <c r="W62" s="2" t="str">
        <f>Tab_Def_Flows[[#This Row],[Flow_ID]]&amp;"_E4"</f>
        <v>F_00_00_E4</v>
      </c>
      <c r="X62" s="16"/>
      <c r="Y62" s="2" t="str">
        <f>Tab_Def_Flows[[#This Row],[Flow_ID]]&amp;"_E5"</f>
        <v>F_00_00_E5</v>
      </c>
      <c r="Z62" s="20"/>
      <c r="AA62" s="2" t="str">
        <f>Tab_Def_Flows[[#This Row],[Flow_ID]]&amp;"_E6"</f>
        <v>F_00_00_E6</v>
      </c>
      <c r="AB62" s="20"/>
      <c r="AC62" s="9"/>
      <c r="AD62" s="9"/>
      <c r="AE62" s="9"/>
      <c r="AF62" s="9"/>
      <c r="AG62" s="9"/>
      <c r="AH62" s="49" t="b">
        <f>'0_Configuration'!$C$2</f>
        <v>1</v>
      </c>
      <c r="AI62" s="2"/>
      <c r="AJ62" s="49" t="b">
        <f>'0_Configuration'!$C$6</f>
        <v>0</v>
      </c>
      <c r="AK62" s="2" t="s">
        <v>344</v>
      </c>
      <c r="AL62" s="49" t="b">
        <f>'0_Configuration'!$C$10</f>
        <v>0</v>
      </c>
      <c r="AM62" s="2" t="s">
        <v>344</v>
      </c>
      <c r="AN62" s="49" t="b">
        <f>'0_Configuration'!$C$17</f>
        <v>0</v>
      </c>
      <c r="AO62" s="2">
        <f>_xlfn.XLOOKUP(Tab_Def_Flows[[#This Row],[ODYM_Good_Type]],Tab_Configuration[Value],Tab_Configuration[ODYM_ID],,0,)</f>
        <v>0</v>
      </c>
      <c r="AP62" s="49" t="b">
        <f>'0_Configuration'!$C$24</f>
        <v>0</v>
      </c>
      <c r="AQ62" s="2"/>
      <c r="AR62" s="49" t="b">
        <f>'0_Configuration'!$C$29</f>
        <v>1</v>
      </c>
      <c r="AS62" s="2" t="s">
        <v>358</v>
      </c>
      <c r="AT62" s="2" t="str">
        <f>IF(Tab_Def_Flows[[#This Row],[ODYM_time_(t)]],"t,","")&amp;IF(Tab_Def_Flows[[#This Row],[ODYM_Region_(r)]],"r,","")&amp;IF(Tab_Def_Flows[[#This Row],[ODYM_process_(p)]],"p,","")&amp;IF(Tab_Def_Flows[[#This Row],[ODYM_Good_(g)2]],"g,","")&amp;IF(Tab_Def_Flows[[#This Row],[ODYM_material_(m)]],"m,","")&amp;IF(Tab_Def_Flows[[#This Row],[ODYM_element_(e)]],"e","")</f>
        <v>t,e</v>
      </c>
      <c r="AU6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22" t="b">
        <v>0</v>
      </c>
      <c r="B63" s="12">
        <f t="shared" si="0"/>
        <v>62</v>
      </c>
      <c r="C63" s="2" t="str">
        <f t="shared" si="3"/>
        <v>F_00_00</v>
      </c>
      <c r="D63" s="3"/>
      <c r="E63" s="9"/>
      <c r="F63" s="2"/>
      <c r="G63" s="18"/>
      <c r="H63" s="2" t="str">
        <f>_xlfn.XLOOKUP(G63,Tab_Def_Processes[Process_Name],Tab_Def_Processes[Process_ID],,0,)</f>
        <v>00</v>
      </c>
      <c r="I63" s="18"/>
      <c r="J63" s="5" t="str">
        <f>_xlfn.XLOOKUP(I63,Tab_Def_Processes[Process_Name],Tab_Def_Processes[Process_ID],,0,)</f>
        <v>00</v>
      </c>
      <c r="K63" s="18" t="s">
        <v>2</v>
      </c>
      <c r="L63" s="18" t="s">
        <v>2</v>
      </c>
      <c r="M63" s="18" t="s">
        <v>2</v>
      </c>
      <c r="N63" s="18" t="s">
        <v>2</v>
      </c>
      <c r="O63" s="18" t="s">
        <v>2</v>
      </c>
      <c r="P63" s="18" t="s">
        <v>2</v>
      </c>
      <c r="Q63" s="2" t="str">
        <f>Tab_Def_Flows[[#This Row],[Flow_ID]]&amp;"_E1"</f>
        <v>F_00_00_E1</v>
      </c>
      <c r="R63" s="20"/>
      <c r="S63" s="2" t="str">
        <f>Tab_Def_Flows[[#This Row],[Flow_ID]]&amp;"_E2"</f>
        <v>F_00_00_E2</v>
      </c>
      <c r="T63" s="16"/>
      <c r="U63" s="2" t="str">
        <f>Tab_Def_Flows[[#This Row],[Flow_ID]]&amp;"_E3"</f>
        <v>F_00_00_E3</v>
      </c>
      <c r="V63" s="16"/>
      <c r="W63" s="2" t="str">
        <f>Tab_Def_Flows[[#This Row],[Flow_ID]]&amp;"_E4"</f>
        <v>F_00_00_E4</v>
      </c>
      <c r="X63" s="16"/>
      <c r="Y63" s="2" t="str">
        <f>Tab_Def_Flows[[#This Row],[Flow_ID]]&amp;"_E5"</f>
        <v>F_00_00_E5</v>
      </c>
      <c r="Z63" s="20"/>
      <c r="AA63" s="2" t="str">
        <f>Tab_Def_Flows[[#This Row],[Flow_ID]]&amp;"_E6"</f>
        <v>F_00_00_E6</v>
      </c>
      <c r="AB63" s="20"/>
      <c r="AC63" s="9"/>
      <c r="AD63" s="9"/>
      <c r="AE63" s="9"/>
      <c r="AF63" s="9"/>
      <c r="AG63" s="9"/>
      <c r="AH63" s="49" t="b">
        <f>'0_Configuration'!$C$2</f>
        <v>1</v>
      </c>
      <c r="AI63" s="2"/>
      <c r="AJ63" s="49" t="b">
        <f>'0_Configuration'!$C$6</f>
        <v>0</v>
      </c>
      <c r="AK63" s="2" t="s">
        <v>344</v>
      </c>
      <c r="AL63" s="49" t="b">
        <f>'0_Configuration'!$C$10</f>
        <v>0</v>
      </c>
      <c r="AM63" s="2" t="s">
        <v>344</v>
      </c>
      <c r="AN63" s="49" t="b">
        <f>'0_Configuration'!$C$17</f>
        <v>0</v>
      </c>
      <c r="AO63" s="2">
        <f>_xlfn.XLOOKUP(Tab_Def_Flows[[#This Row],[ODYM_Good_Type]],Tab_Configuration[Value],Tab_Configuration[ODYM_ID],,0,)</f>
        <v>0</v>
      </c>
      <c r="AP63" s="49" t="b">
        <f>'0_Configuration'!$C$24</f>
        <v>0</v>
      </c>
      <c r="AQ63" s="2"/>
      <c r="AR63" s="49" t="b">
        <f>'0_Configuration'!$C$29</f>
        <v>1</v>
      </c>
      <c r="AS63" s="2" t="s">
        <v>358</v>
      </c>
      <c r="AT63" s="2" t="str">
        <f>IF(Tab_Def_Flows[[#This Row],[ODYM_time_(t)]],"t,","")&amp;IF(Tab_Def_Flows[[#This Row],[ODYM_Region_(r)]],"r,","")&amp;IF(Tab_Def_Flows[[#This Row],[ODYM_process_(p)]],"p,","")&amp;IF(Tab_Def_Flows[[#This Row],[ODYM_Good_(g)2]],"g,","")&amp;IF(Tab_Def_Flows[[#This Row],[ODYM_material_(m)]],"m,","")&amp;IF(Tab_Def_Flows[[#This Row],[ODYM_element_(e)]],"e","")</f>
        <v>t,e</v>
      </c>
      <c r="AU6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22" t="b">
        <v>0</v>
      </c>
      <c r="B64" s="12">
        <f t="shared" si="0"/>
        <v>63</v>
      </c>
      <c r="C64" s="2" t="str">
        <f t="shared" si="3"/>
        <v>F_00_00</v>
      </c>
      <c r="D64" s="3"/>
      <c r="E64" s="9"/>
      <c r="F64" s="2"/>
      <c r="G64" s="18"/>
      <c r="H64" s="2" t="str">
        <f>_xlfn.XLOOKUP(G64,Tab_Def_Processes[Process_Name],Tab_Def_Processes[Process_ID],,0,)</f>
        <v>00</v>
      </c>
      <c r="I64" s="18"/>
      <c r="J64" s="5" t="str">
        <f>_xlfn.XLOOKUP(I64,Tab_Def_Processes[Process_Name],Tab_Def_Processes[Process_ID],,0,)</f>
        <v>00</v>
      </c>
      <c r="K64" s="18" t="s">
        <v>2</v>
      </c>
      <c r="L64" s="18" t="s">
        <v>2</v>
      </c>
      <c r="M64" s="18" t="s">
        <v>2</v>
      </c>
      <c r="N64" s="18" t="s">
        <v>2</v>
      </c>
      <c r="O64" s="18" t="s">
        <v>2</v>
      </c>
      <c r="P64" s="18" t="s">
        <v>2</v>
      </c>
      <c r="Q64" s="2" t="str">
        <f>Tab_Def_Flows[[#This Row],[Flow_ID]]&amp;"_E1"</f>
        <v>F_00_00_E1</v>
      </c>
      <c r="R64" s="20"/>
      <c r="S64" s="2" t="str">
        <f>Tab_Def_Flows[[#This Row],[Flow_ID]]&amp;"_E2"</f>
        <v>F_00_00_E2</v>
      </c>
      <c r="T64" s="16"/>
      <c r="U64" s="2" t="str">
        <f>Tab_Def_Flows[[#This Row],[Flow_ID]]&amp;"_E3"</f>
        <v>F_00_00_E3</v>
      </c>
      <c r="V64" s="16"/>
      <c r="W64" s="2" t="str">
        <f>Tab_Def_Flows[[#This Row],[Flow_ID]]&amp;"_E4"</f>
        <v>F_00_00_E4</v>
      </c>
      <c r="X64" s="16"/>
      <c r="Y64" s="2" t="str">
        <f>Tab_Def_Flows[[#This Row],[Flow_ID]]&amp;"_E5"</f>
        <v>F_00_00_E5</v>
      </c>
      <c r="Z64" s="20"/>
      <c r="AA64" s="2" t="str">
        <f>Tab_Def_Flows[[#This Row],[Flow_ID]]&amp;"_E6"</f>
        <v>F_00_00_E6</v>
      </c>
      <c r="AB64" s="20"/>
      <c r="AC64" s="9"/>
      <c r="AD64" s="9"/>
      <c r="AE64" s="9"/>
      <c r="AF64" s="9"/>
      <c r="AG64" s="9"/>
      <c r="AH64" s="49" t="b">
        <f>'0_Configuration'!$C$2</f>
        <v>1</v>
      </c>
      <c r="AI64" s="2"/>
      <c r="AJ64" s="49" t="b">
        <f>'0_Configuration'!$C$6</f>
        <v>0</v>
      </c>
      <c r="AK64" s="2" t="s">
        <v>344</v>
      </c>
      <c r="AL64" s="49" t="b">
        <f>'0_Configuration'!$C$10</f>
        <v>0</v>
      </c>
      <c r="AM64" s="2" t="s">
        <v>344</v>
      </c>
      <c r="AN64" s="49" t="b">
        <f>'0_Configuration'!$C$17</f>
        <v>0</v>
      </c>
      <c r="AO64" s="2">
        <f>_xlfn.XLOOKUP(Tab_Def_Flows[[#This Row],[ODYM_Good_Type]],Tab_Configuration[Value],Tab_Configuration[ODYM_ID],,0,)</f>
        <v>0</v>
      </c>
      <c r="AP64" s="49" t="b">
        <f>'0_Configuration'!$C$24</f>
        <v>0</v>
      </c>
      <c r="AQ64" s="2"/>
      <c r="AR64" s="49" t="b">
        <f>'0_Configuration'!$C$29</f>
        <v>1</v>
      </c>
      <c r="AS64" s="2" t="s">
        <v>358</v>
      </c>
      <c r="AT64" s="2" t="str">
        <f>IF(Tab_Def_Flows[[#This Row],[ODYM_time_(t)]],"t,","")&amp;IF(Tab_Def_Flows[[#This Row],[ODYM_Region_(r)]],"r,","")&amp;IF(Tab_Def_Flows[[#This Row],[ODYM_process_(p)]],"p,","")&amp;IF(Tab_Def_Flows[[#This Row],[ODYM_Good_(g)2]],"g,","")&amp;IF(Tab_Def_Flows[[#This Row],[ODYM_material_(m)]],"m,","")&amp;IF(Tab_Def_Flows[[#This Row],[ODYM_element_(e)]],"e","")</f>
        <v>t,e</v>
      </c>
      <c r="AU6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22" t="b">
        <v>0</v>
      </c>
      <c r="B65" s="12">
        <f t="shared" si="0"/>
        <v>64</v>
      </c>
      <c r="C65" s="2" t="str">
        <f t="shared" si="3"/>
        <v>F_00_00</v>
      </c>
      <c r="D65" s="3"/>
      <c r="E65" s="9"/>
      <c r="F65" s="2"/>
      <c r="G65" s="18"/>
      <c r="H65" s="2" t="str">
        <f>_xlfn.XLOOKUP(G65,Tab_Def_Processes[Process_Name],Tab_Def_Processes[Process_ID],,0,)</f>
        <v>00</v>
      </c>
      <c r="I65" s="18"/>
      <c r="J65" s="5" t="str">
        <f>_xlfn.XLOOKUP(I65,Tab_Def_Processes[Process_Name],Tab_Def_Processes[Process_ID],,0,)</f>
        <v>00</v>
      </c>
      <c r="K65" s="18" t="s">
        <v>2</v>
      </c>
      <c r="L65" s="18" t="s">
        <v>2</v>
      </c>
      <c r="M65" s="18" t="s">
        <v>2</v>
      </c>
      <c r="N65" s="18" t="s">
        <v>2</v>
      </c>
      <c r="O65" s="18" t="s">
        <v>2</v>
      </c>
      <c r="P65" s="18" t="s">
        <v>2</v>
      </c>
      <c r="Q65" s="2" t="str">
        <f>Tab_Def_Flows[[#This Row],[Flow_ID]]&amp;"_E1"</f>
        <v>F_00_00_E1</v>
      </c>
      <c r="R65" s="20"/>
      <c r="S65" s="2" t="str">
        <f>Tab_Def_Flows[[#This Row],[Flow_ID]]&amp;"_E2"</f>
        <v>F_00_00_E2</v>
      </c>
      <c r="T65" s="16"/>
      <c r="U65" s="2" t="str">
        <f>Tab_Def_Flows[[#This Row],[Flow_ID]]&amp;"_E3"</f>
        <v>F_00_00_E3</v>
      </c>
      <c r="V65" s="16"/>
      <c r="W65" s="2" t="str">
        <f>Tab_Def_Flows[[#This Row],[Flow_ID]]&amp;"_E4"</f>
        <v>F_00_00_E4</v>
      </c>
      <c r="X65" s="16"/>
      <c r="Y65" s="2" t="str">
        <f>Tab_Def_Flows[[#This Row],[Flow_ID]]&amp;"_E5"</f>
        <v>F_00_00_E5</v>
      </c>
      <c r="Z65" s="20"/>
      <c r="AA65" s="2" t="str">
        <f>Tab_Def_Flows[[#This Row],[Flow_ID]]&amp;"_E6"</f>
        <v>F_00_00_E6</v>
      </c>
      <c r="AB65" s="20"/>
      <c r="AC65" s="9"/>
      <c r="AD65" s="9"/>
      <c r="AE65" s="9"/>
      <c r="AF65" s="9"/>
      <c r="AG65" s="9"/>
      <c r="AH65" s="49" t="b">
        <f>'0_Configuration'!$C$2</f>
        <v>1</v>
      </c>
      <c r="AI65" s="2"/>
      <c r="AJ65" s="49" t="b">
        <f>'0_Configuration'!$C$6</f>
        <v>0</v>
      </c>
      <c r="AK65" s="2" t="s">
        <v>344</v>
      </c>
      <c r="AL65" s="49" t="b">
        <f>'0_Configuration'!$C$10</f>
        <v>0</v>
      </c>
      <c r="AM65" s="2" t="s">
        <v>344</v>
      </c>
      <c r="AN65" s="49" t="b">
        <f>'0_Configuration'!$C$17</f>
        <v>0</v>
      </c>
      <c r="AO65" s="2">
        <f>_xlfn.XLOOKUP(Tab_Def_Flows[[#This Row],[ODYM_Good_Type]],Tab_Configuration[Value],Tab_Configuration[ODYM_ID],,0,)</f>
        <v>0</v>
      </c>
      <c r="AP65" s="49" t="b">
        <f>'0_Configuration'!$C$24</f>
        <v>0</v>
      </c>
      <c r="AQ65" s="2"/>
      <c r="AR65" s="49" t="b">
        <f>'0_Configuration'!$C$29</f>
        <v>1</v>
      </c>
      <c r="AS65" s="2" t="s">
        <v>358</v>
      </c>
      <c r="AT65" s="2" t="str">
        <f>IF(Tab_Def_Flows[[#This Row],[ODYM_time_(t)]],"t,","")&amp;IF(Tab_Def_Flows[[#This Row],[ODYM_Region_(r)]],"r,","")&amp;IF(Tab_Def_Flows[[#This Row],[ODYM_process_(p)]],"p,","")&amp;IF(Tab_Def_Flows[[#This Row],[ODYM_Good_(g)2]],"g,","")&amp;IF(Tab_Def_Flows[[#This Row],[ODYM_material_(m)]],"m,","")&amp;IF(Tab_Def_Flows[[#This Row],[ODYM_element_(e)]],"e","")</f>
        <v>t,e</v>
      </c>
      <c r="AU6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22" t="b">
        <v>0</v>
      </c>
      <c r="B66" s="12">
        <f t="shared" si="0"/>
        <v>65</v>
      </c>
      <c r="C66" s="2" t="str">
        <f t="shared" si="3"/>
        <v>F_00_00</v>
      </c>
      <c r="D66" s="3"/>
      <c r="E66" s="9"/>
      <c r="F66" s="2"/>
      <c r="G66" s="18"/>
      <c r="H66" s="2" t="str">
        <f>_xlfn.XLOOKUP(G66,Tab_Def_Processes[Process_Name],Tab_Def_Processes[Process_ID],,0,)</f>
        <v>00</v>
      </c>
      <c r="I66" s="18"/>
      <c r="J66" s="5" t="str">
        <f>_xlfn.XLOOKUP(I66,Tab_Def_Processes[Process_Name],Tab_Def_Processes[Process_ID],,0,)</f>
        <v>00</v>
      </c>
      <c r="K66" s="18" t="s">
        <v>2</v>
      </c>
      <c r="L66" s="18" t="s">
        <v>2</v>
      </c>
      <c r="M66" s="18" t="s">
        <v>2</v>
      </c>
      <c r="N66" s="18" t="s">
        <v>2</v>
      </c>
      <c r="O66" s="18" t="s">
        <v>2</v>
      </c>
      <c r="P66" s="18" t="s">
        <v>2</v>
      </c>
      <c r="Q66" s="2" t="str">
        <f>Tab_Def_Flows[[#This Row],[Flow_ID]]&amp;"_E1"</f>
        <v>F_00_00_E1</v>
      </c>
      <c r="R66" s="20"/>
      <c r="S66" s="2" t="str">
        <f>Tab_Def_Flows[[#This Row],[Flow_ID]]&amp;"_E2"</f>
        <v>F_00_00_E2</v>
      </c>
      <c r="T66" s="16"/>
      <c r="U66" s="2" t="str">
        <f>Tab_Def_Flows[[#This Row],[Flow_ID]]&amp;"_E3"</f>
        <v>F_00_00_E3</v>
      </c>
      <c r="V66" s="16"/>
      <c r="W66" s="2" t="str">
        <f>Tab_Def_Flows[[#This Row],[Flow_ID]]&amp;"_E4"</f>
        <v>F_00_00_E4</v>
      </c>
      <c r="X66" s="16"/>
      <c r="Y66" s="2" t="str">
        <f>Tab_Def_Flows[[#This Row],[Flow_ID]]&amp;"_E5"</f>
        <v>F_00_00_E5</v>
      </c>
      <c r="Z66" s="20"/>
      <c r="AA66" s="2" t="str">
        <f>Tab_Def_Flows[[#This Row],[Flow_ID]]&amp;"_E6"</f>
        <v>F_00_00_E6</v>
      </c>
      <c r="AB66" s="20"/>
      <c r="AC66" s="9"/>
      <c r="AD66" s="9"/>
      <c r="AE66" s="9"/>
      <c r="AF66" s="9"/>
      <c r="AG66" s="9"/>
      <c r="AH66" s="49" t="b">
        <f>'0_Configuration'!$C$2</f>
        <v>1</v>
      </c>
      <c r="AI66" s="2"/>
      <c r="AJ66" s="49" t="b">
        <f>'0_Configuration'!$C$6</f>
        <v>0</v>
      </c>
      <c r="AK66" s="2" t="s">
        <v>344</v>
      </c>
      <c r="AL66" s="49" t="b">
        <f>'0_Configuration'!$C$10</f>
        <v>0</v>
      </c>
      <c r="AM66" s="2" t="s">
        <v>344</v>
      </c>
      <c r="AN66" s="49" t="b">
        <f>'0_Configuration'!$C$17</f>
        <v>0</v>
      </c>
      <c r="AO66" s="2">
        <f>_xlfn.XLOOKUP(Tab_Def_Flows[[#This Row],[ODYM_Good_Type]],Tab_Configuration[Value],Tab_Configuration[ODYM_ID],,0,)</f>
        <v>0</v>
      </c>
      <c r="AP66" s="49" t="b">
        <f>'0_Configuration'!$C$24</f>
        <v>0</v>
      </c>
      <c r="AQ66" s="2"/>
      <c r="AR66" s="49" t="b">
        <f>'0_Configuration'!$C$29</f>
        <v>1</v>
      </c>
      <c r="AS66" s="2" t="s">
        <v>358</v>
      </c>
      <c r="AT66" s="2" t="str">
        <f>IF(Tab_Def_Flows[[#This Row],[ODYM_time_(t)]],"t,","")&amp;IF(Tab_Def_Flows[[#This Row],[ODYM_Region_(r)]],"r,","")&amp;IF(Tab_Def_Flows[[#This Row],[ODYM_process_(p)]],"p,","")&amp;IF(Tab_Def_Flows[[#This Row],[ODYM_Good_(g)2]],"g,","")&amp;IF(Tab_Def_Flows[[#This Row],[ODYM_material_(m)]],"m,","")&amp;IF(Tab_Def_Flows[[#This Row],[ODYM_element_(e)]],"e","")</f>
        <v>t,e</v>
      </c>
      <c r="AU6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22" t="b">
        <v>0</v>
      </c>
      <c r="B67" s="12">
        <f t="shared" si="0"/>
        <v>66</v>
      </c>
      <c r="C67" s="2" t="str">
        <f t="shared" si="3"/>
        <v>F_00_00</v>
      </c>
      <c r="D67" s="3"/>
      <c r="E67" s="9"/>
      <c r="F67" s="2"/>
      <c r="G67" s="18"/>
      <c r="H67" s="2" t="str">
        <f>_xlfn.XLOOKUP(G67,Tab_Def_Processes[Process_Name],Tab_Def_Processes[Process_ID],,0,)</f>
        <v>00</v>
      </c>
      <c r="I67" s="18"/>
      <c r="J67" s="5" t="str">
        <f>_xlfn.XLOOKUP(I67,Tab_Def_Processes[Process_Name],Tab_Def_Processes[Process_ID],,0,)</f>
        <v>00</v>
      </c>
      <c r="K67" s="18" t="s">
        <v>2</v>
      </c>
      <c r="L67" s="18" t="s">
        <v>2</v>
      </c>
      <c r="M67" s="18" t="s">
        <v>2</v>
      </c>
      <c r="N67" s="18" t="s">
        <v>2</v>
      </c>
      <c r="O67" s="18" t="s">
        <v>2</v>
      </c>
      <c r="P67" s="18" t="s">
        <v>2</v>
      </c>
      <c r="Q67" s="2" t="str">
        <f>Tab_Def_Flows[[#This Row],[Flow_ID]]&amp;"_E1"</f>
        <v>F_00_00_E1</v>
      </c>
      <c r="R67" s="20"/>
      <c r="S67" s="2" t="str">
        <f>Tab_Def_Flows[[#This Row],[Flow_ID]]&amp;"_E2"</f>
        <v>F_00_00_E2</v>
      </c>
      <c r="T67" s="16"/>
      <c r="U67" s="2" t="str">
        <f>Tab_Def_Flows[[#This Row],[Flow_ID]]&amp;"_E3"</f>
        <v>F_00_00_E3</v>
      </c>
      <c r="V67" s="16"/>
      <c r="W67" s="2" t="str">
        <f>Tab_Def_Flows[[#This Row],[Flow_ID]]&amp;"_E4"</f>
        <v>F_00_00_E4</v>
      </c>
      <c r="X67" s="16"/>
      <c r="Y67" s="2" t="str">
        <f>Tab_Def_Flows[[#This Row],[Flow_ID]]&amp;"_E5"</f>
        <v>F_00_00_E5</v>
      </c>
      <c r="Z67" s="20"/>
      <c r="AA67" s="2" t="str">
        <f>Tab_Def_Flows[[#This Row],[Flow_ID]]&amp;"_E6"</f>
        <v>F_00_00_E6</v>
      </c>
      <c r="AB67" s="20"/>
      <c r="AC67" s="9"/>
      <c r="AD67" s="9"/>
      <c r="AE67" s="9"/>
      <c r="AF67" s="9"/>
      <c r="AG67" s="9"/>
      <c r="AH67" s="49" t="b">
        <f>'0_Configuration'!$C$2</f>
        <v>1</v>
      </c>
      <c r="AI67" s="2"/>
      <c r="AJ67" s="49" t="b">
        <f>'0_Configuration'!$C$6</f>
        <v>0</v>
      </c>
      <c r="AK67" s="2" t="s">
        <v>344</v>
      </c>
      <c r="AL67" s="49" t="b">
        <f>'0_Configuration'!$C$10</f>
        <v>0</v>
      </c>
      <c r="AM67" s="2" t="s">
        <v>344</v>
      </c>
      <c r="AN67" s="49" t="b">
        <f>'0_Configuration'!$C$17</f>
        <v>0</v>
      </c>
      <c r="AO67" s="2">
        <f>_xlfn.XLOOKUP(Tab_Def_Flows[[#This Row],[ODYM_Good_Type]],Tab_Configuration[Value],Tab_Configuration[ODYM_ID],,0,)</f>
        <v>0</v>
      </c>
      <c r="AP67" s="49" t="b">
        <f>'0_Configuration'!$C$24</f>
        <v>0</v>
      </c>
      <c r="AQ67" s="2"/>
      <c r="AR67" s="49" t="b">
        <f>'0_Configuration'!$C$29</f>
        <v>1</v>
      </c>
      <c r="AS67" s="2" t="s">
        <v>358</v>
      </c>
      <c r="AT67" s="2" t="str">
        <f>IF(Tab_Def_Flows[[#This Row],[ODYM_time_(t)]],"t,","")&amp;IF(Tab_Def_Flows[[#This Row],[ODYM_Region_(r)]],"r,","")&amp;IF(Tab_Def_Flows[[#This Row],[ODYM_process_(p)]],"p,","")&amp;IF(Tab_Def_Flows[[#This Row],[ODYM_Good_(g)2]],"g,","")&amp;IF(Tab_Def_Flows[[#This Row],[ODYM_material_(m)]],"m,","")&amp;IF(Tab_Def_Flows[[#This Row],[ODYM_element_(e)]],"e","")</f>
        <v>t,e</v>
      </c>
      <c r="AU6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22" t="b">
        <v>0</v>
      </c>
      <c r="B68" s="12">
        <f t="shared" si="0"/>
        <v>67</v>
      </c>
      <c r="C68" s="2" t="str">
        <f t="shared" si="3"/>
        <v>F_00_00</v>
      </c>
      <c r="D68" s="3"/>
      <c r="E68" s="9"/>
      <c r="F68" s="2"/>
      <c r="G68" s="18"/>
      <c r="H68" s="2" t="str">
        <f>_xlfn.XLOOKUP(G68,Tab_Def_Processes[Process_Name],Tab_Def_Processes[Process_ID],,0,)</f>
        <v>00</v>
      </c>
      <c r="I68" s="18"/>
      <c r="J68" s="5" t="str">
        <f>_xlfn.XLOOKUP(I68,Tab_Def_Processes[Process_Name],Tab_Def_Processes[Process_ID],,0,)</f>
        <v>00</v>
      </c>
      <c r="K68" s="18" t="s">
        <v>2</v>
      </c>
      <c r="L68" s="18" t="s">
        <v>2</v>
      </c>
      <c r="M68" s="18" t="s">
        <v>2</v>
      </c>
      <c r="N68" s="18" t="s">
        <v>2</v>
      </c>
      <c r="O68" s="18" t="s">
        <v>2</v>
      </c>
      <c r="P68" s="18" t="s">
        <v>2</v>
      </c>
      <c r="Q68" s="2" t="str">
        <f>Tab_Def_Flows[[#This Row],[Flow_ID]]&amp;"_E1"</f>
        <v>F_00_00_E1</v>
      </c>
      <c r="R68" s="20"/>
      <c r="S68" s="2" t="str">
        <f>Tab_Def_Flows[[#This Row],[Flow_ID]]&amp;"_E2"</f>
        <v>F_00_00_E2</v>
      </c>
      <c r="T68" s="16"/>
      <c r="U68" s="2" t="str">
        <f>Tab_Def_Flows[[#This Row],[Flow_ID]]&amp;"_E3"</f>
        <v>F_00_00_E3</v>
      </c>
      <c r="V68" s="16"/>
      <c r="W68" s="2" t="str">
        <f>Tab_Def_Flows[[#This Row],[Flow_ID]]&amp;"_E4"</f>
        <v>F_00_00_E4</v>
      </c>
      <c r="X68" s="16"/>
      <c r="Y68" s="2" t="str">
        <f>Tab_Def_Flows[[#This Row],[Flow_ID]]&amp;"_E5"</f>
        <v>F_00_00_E5</v>
      </c>
      <c r="Z68" s="20"/>
      <c r="AA68" s="2" t="str">
        <f>Tab_Def_Flows[[#This Row],[Flow_ID]]&amp;"_E6"</f>
        <v>F_00_00_E6</v>
      </c>
      <c r="AB68" s="20"/>
      <c r="AC68" s="9"/>
      <c r="AD68" s="9"/>
      <c r="AE68" s="9"/>
      <c r="AF68" s="9"/>
      <c r="AG68" s="9"/>
      <c r="AH68" s="49" t="b">
        <f>'0_Configuration'!$C$2</f>
        <v>1</v>
      </c>
      <c r="AI68" s="2"/>
      <c r="AJ68" s="49" t="b">
        <f>'0_Configuration'!$C$6</f>
        <v>0</v>
      </c>
      <c r="AK68" s="2" t="s">
        <v>344</v>
      </c>
      <c r="AL68" s="49" t="b">
        <f>'0_Configuration'!$C$10</f>
        <v>0</v>
      </c>
      <c r="AM68" s="2" t="s">
        <v>344</v>
      </c>
      <c r="AN68" s="49" t="b">
        <f>'0_Configuration'!$C$17</f>
        <v>0</v>
      </c>
      <c r="AO68" s="2">
        <f>_xlfn.XLOOKUP(Tab_Def_Flows[[#This Row],[ODYM_Good_Type]],Tab_Configuration[Value],Tab_Configuration[ODYM_ID],,0,)</f>
        <v>0</v>
      </c>
      <c r="AP68" s="49" t="b">
        <f>'0_Configuration'!$C$24</f>
        <v>0</v>
      </c>
      <c r="AQ68" s="2"/>
      <c r="AR68" s="49" t="b">
        <f>'0_Configuration'!$C$29</f>
        <v>1</v>
      </c>
      <c r="AS68" s="2" t="s">
        <v>358</v>
      </c>
      <c r="AT68" s="2" t="str">
        <f>IF(Tab_Def_Flows[[#This Row],[ODYM_time_(t)]],"t,","")&amp;IF(Tab_Def_Flows[[#This Row],[ODYM_Region_(r)]],"r,","")&amp;IF(Tab_Def_Flows[[#This Row],[ODYM_process_(p)]],"p,","")&amp;IF(Tab_Def_Flows[[#This Row],[ODYM_Good_(g)2]],"g,","")&amp;IF(Tab_Def_Flows[[#This Row],[ODYM_material_(m)]],"m,","")&amp;IF(Tab_Def_Flows[[#This Row],[ODYM_element_(e)]],"e","")</f>
        <v>t,e</v>
      </c>
      <c r="AU6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22" t="b">
        <v>0</v>
      </c>
      <c r="B69" s="12">
        <f t="shared" si="0"/>
        <v>68</v>
      </c>
      <c r="C69" s="2" t="str">
        <f t="shared" si="3"/>
        <v>F_00_00</v>
      </c>
      <c r="D69" s="3"/>
      <c r="E69" s="9"/>
      <c r="F69" s="2"/>
      <c r="G69" s="18"/>
      <c r="H69" s="2" t="str">
        <f>_xlfn.XLOOKUP(G69,Tab_Def_Processes[Process_Name],Tab_Def_Processes[Process_ID],,0,)</f>
        <v>00</v>
      </c>
      <c r="I69" s="18"/>
      <c r="J69" s="5" t="str">
        <f>_xlfn.XLOOKUP(I69,Tab_Def_Processes[Process_Name],Tab_Def_Processes[Process_ID],,0,)</f>
        <v>00</v>
      </c>
      <c r="K69" s="18" t="s">
        <v>2</v>
      </c>
      <c r="L69" s="18" t="s">
        <v>2</v>
      </c>
      <c r="M69" s="18" t="s">
        <v>2</v>
      </c>
      <c r="N69" s="18" t="s">
        <v>2</v>
      </c>
      <c r="O69" s="18" t="s">
        <v>2</v>
      </c>
      <c r="P69" s="18" t="s">
        <v>2</v>
      </c>
      <c r="Q69" s="2" t="str">
        <f>Tab_Def_Flows[[#This Row],[Flow_ID]]&amp;"_E1"</f>
        <v>F_00_00_E1</v>
      </c>
      <c r="R69" s="20"/>
      <c r="S69" s="2" t="str">
        <f>Tab_Def_Flows[[#This Row],[Flow_ID]]&amp;"_E2"</f>
        <v>F_00_00_E2</v>
      </c>
      <c r="T69" s="16"/>
      <c r="U69" s="2" t="str">
        <f>Tab_Def_Flows[[#This Row],[Flow_ID]]&amp;"_E3"</f>
        <v>F_00_00_E3</v>
      </c>
      <c r="V69" s="16"/>
      <c r="W69" s="2" t="str">
        <f>Tab_Def_Flows[[#This Row],[Flow_ID]]&amp;"_E4"</f>
        <v>F_00_00_E4</v>
      </c>
      <c r="X69" s="16"/>
      <c r="Y69" s="2" t="str">
        <f>Tab_Def_Flows[[#This Row],[Flow_ID]]&amp;"_E5"</f>
        <v>F_00_00_E5</v>
      </c>
      <c r="Z69" s="20"/>
      <c r="AA69" s="2" t="str">
        <f>Tab_Def_Flows[[#This Row],[Flow_ID]]&amp;"_E6"</f>
        <v>F_00_00_E6</v>
      </c>
      <c r="AB69" s="20"/>
      <c r="AC69" s="9"/>
      <c r="AD69" s="9"/>
      <c r="AE69" s="9"/>
      <c r="AF69" s="9"/>
      <c r="AG69" s="9"/>
      <c r="AH69" s="49" t="b">
        <f>'0_Configuration'!$C$2</f>
        <v>1</v>
      </c>
      <c r="AI69" s="2"/>
      <c r="AJ69" s="49" t="b">
        <f>'0_Configuration'!$C$6</f>
        <v>0</v>
      </c>
      <c r="AK69" s="2" t="s">
        <v>344</v>
      </c>
      <c r="AL69" s="49" t="b">
        <f>'0_Configuration'!$C$10</f>
        <v>0</v>
      </c>
      <c r="AM69" s="2" t="s">
        <v>344</v>
      </c>
      <c r="AN69" s="49" t="b">
        <f>'0_Configuration'!$C$17</f>
        <v>0</v>
      </c>
      <c r="AO69" s="2">
        <f>_xlfn.XLOOKUP(Tab_Def_Flows[[#This Row],[ODYM_Good_Type]],Tab_Configuration[Value],Tab_Configuration[ODYM_ID],,0,)</f>
        <v>0</v>
      </c>
      <c r="AP69" s="49" t="b">
        <f>'0_Configuration'!$C$24</f>
        <v>0</v>
      </c>
      <c r="AQ69" s="2"/>
      <c r="AR69" s="49" t="b">
        <f>'0_Configuration'!$C$29</f>
        <v>1</v>
      </c>
      <c r="AS69" s="2" t="s">
        <v>358</v>
      </c>
      <c r="AT69" s="2" t="str">
        <f>IF(Tab_Def_Flows[[#This Row],[ODYM_time_(t)]],"t,","")&amp;IF(Tab_Def_Flows[[#This Row],[ODYM_Region_(r)]],"r,","")&amp;IF(Tab_Def_Flows[[#This Row],[ODYM_process_(p)]],"p,","")&amp;IF(Tab_Def_Flows[[#This Row],[ODYM_Good_(g)2]],"g,","")&amp;IF(Tab_Def_Flows[[#This Row],[ODYM_material_(m)]],"m,","")&amp;IF(Tab_Def_Flows[[#This Row],[ODYM_element_(e)]],"e","")</f>
        <v>t,e</v>
      </c>
      <c r="AU6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22" t="b">
        <v>0</v>
      </c>
      <c r="B70" s="12">
        <f t="shared" si="0"/>
        <v>69</v>
      </c>
      <c r="C70" s="2" t="str">
        <f t="shared" si="3"/>
        <v>F_00_00</v>
      </c>
      <c r="D70" s="3"/>
      <c r="E70" s="9"/>
      <c r="F70" s="2"/>
      <c r="G70" s="18"/>
      <c r="H70" s="2" t="str">
        <f>_xlfn.XLOOKUP(G70,Tab_Def_Processes[Process_Name],Tab_Def_Processes[Process_ID],,0,)</f>
        <v>00</v>
      </c>
      <c r="I70" s="18"/>
      <c r="J70" s="5" t="str">
        <f>_xlfn.XLOOKUP(I70,Tab_Def_Processes[Process_Name],Tab_Def_Processes[Process_ID],,0,)</f>
        <v>00</v>
      </c>
      <c r="K70" s="18" t="s">
        <v>2</v>
      </c>
      <c r="L70" s="18" t="s">
        <v>2</v>
      </c>
      <c r="M70" s="18" t="s">
        <v>2</v>
      </c>
      <c r="N70" s="18" t="s">
        <v>2</v>
      </c>
      <c r="O70" s="18" t="s">
        <v>2</v>
      </c>
      <c r="P70" s="18" t="s">
        <v>2</v>
      </c>
      <c r="Q70" s="2" t="str">
        <f>Tab_Def_Flows[[#This Row],[Flow_ID]]&amp;"_E1"</f>
        <v>F_00_00_E1</v>
      </c>
      <c r="R70" s="20"/>
      <c r="S70" s="2" t="str">
        <f>Tab_Def_Flows[[#This Row],[Flow_ID]]&amp;"_E2"</f>
        <v>F_00_00_E2</v>
      </c>
      <c r="T70" s="16"/>
      <c r="U70" s="2" t="str">
        <f>Tab_Def_Flows[[#This Row],[Flow_ID]]&amp;"_E3"</f>
        <v>F_00_00_E3</v>
      </c>
      <c r="V70" s="16"/>
      <c r="W70" s="2" t="str">
        <f>Tab_Def_Flows[[#This Row],[Flow_ID]]&amp;"_E4"</f>
        <v>F_00_00_E4</v>
      </c>
      <c r="X70" s="16"/>
      <c r="Y70" s="2" t="str">
        <f>Tab_Def_Flows[[#This Row],[Flow_ID]]&amp;"_E5"</f>
        <v>F_00_00_E5</v>
      </c>
      <c r="Z70" s="20"/>
      <c r="AA70" s="2" t="str">
        <f>Tab_Def_Flows[[#This Row],[Flow_ID]]&amp;"_E6"</f>
        <v>F_00_00_E6</v>
      </c>
      <c r="AB70" s="20"/>
      <c r="AC70" s="9"/>
      <c r="AD70" s="9"/>
      <c r="AE70" s="9"/>
      <c r="AF70" s="9"/>
      <c r="AG70" s="9"/>
      <c r="AH70" s="49" t="b">
        <f>'0_Configuration'!$C$2</f>
        <v>1</v>
      </c>
      <c r="AI70" s="2"/>
      <c r="AJ70" s="49" t="b">
        <f>'0_Configuration'!$C$6</f>
        <v>0</v>
      </c>
      <c r="AK70" s="2" t="s">
        <v>344</v>
      </c>
      <c r="AL70" s="49" t="b">
        <f>'0_Configuration'!$C$10</f>
        <v>0</v>
      </c>
      <c r="AM70" s="2" t="s">
        <v>344</v>
      </c>
      <c r="AN70" s="49" t="b">
        <f>'0_Configuration'!$C$17</f>
        <v>0</v>
      </c>
      <c r="AO70" s="2">
        <f>_xlfn.XLOOKUP(Tab_Def_Flows[[#This Row],[ODYM_Good_Type]],Tab_Configuration[Value],Tab_Configuration[ODYM_ID],,0,)</f>
        <v>0</v>
      </c>
      <c r="AP70" s="49" t="b">
        <f>'0_Configuration'!$C$24</f>
        <v>0</v>
      </c>
      <c r="AQ70" s="2"/>
      <c r="AR70" s="49" t="b">
        <f>'0_Configuration'!$C$29</f>
        <v>1</v>
      </c>
      <c r="AS70" s="2" t="s">
        <v>358</v>
      </c>
      <c r="AT70" s="2" t="str">
        <f>IF(Tab_Def_Flows[[#This Row],[ODYM_time_(t)]],"t,","")&amp;IF(Tab_Def_Flows[[#This Row],[ODYM_Region_(r)]],"r,","")&amp;IF(Tab_Def_Flows[[#This Row],[ODYM_process_(p)]],"p,","")&amp;IF(Tab_Def_Flows[[#This Row],[ODYM_Good_(g)2]],"g,","")&amp;IF(Tab_Def_Flows[[#This Row],[ODYM_material_(m)]],"m,","")&amp;IF(Tab_Def_Flows[[#This Row],[ODYM_element_(e)]],"e","")</f>
        <v>t,e</v>
      </c>
      <c r="AU7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22" t="b">
        <v>0</v>
      </c>
      <c r="B71" s="12">
        <f t="shared" si="0"/>
        <v>70</v>
      </c>
      <c r="C71" s="2" t="str">
        <f t="shared" si="3"/>
        <v>F_00_00</v>
      </c>
      <c r="D71" s="3"/>
      <c r="E71" s="9"/>
      <c r="F71" s="2"/>
      <c r="G71" s="18"/>
      <c r="H71" s="2" t="str">
        <f>_xlfn.XLOOKUP(G71,Tab_Def_Processes[Process_Name],Tab_Def_Processes[Process_ID],,0,)</f>
        <v>00</v>
      </c>
      <c r="I71" s="18"/>
      <c r="J71" s="5" t="str">
        <f>_xlfn.XLOOKUP(I71,Tab_Def_Processes[Process_Name],Tab_Def_Processes[Process_ID],,0,)</f>
        <v>00</v>
      </c>
      <c r="K71" s="18" t="s">
        <v>2</v>
      </c>
      <c r="L71" s="18" t="s">
        <v>2</v>
      </c>
      <c r="M71" s="18" t="s">
        <v>2</v>
      </c>
      <c r="N71" s="18" t="s">
        <v>2</v>
      </c>
      <c r="O71" s="18" t="s">
        <v>2</v>
      </c>
      <c r="P71" s="18" t="s">
        <v>2</v>
      </c>
      <c r="Q71" s="2" t="str">
        <f>Tab_Def_Flows[[#This Row],[Flow_ID]]&amp;"_E1"</f>
        <v>F_00_00_E1</v>
      </c>
      <c r="R71" s="20"/>
      <c r="S71" s="2" t="str">
        <f>Tab_Def_Flows[[#This Row],[Flow_ID]]&amp;"_E2"</f>
        <v>F_00_00_E2</v>
      </c>
      <c r="T71" s="16"/>
      <c r="U71" s="2" t="str">
        <f>Tab_Def_Flows[[#This Row],[Flow_ID]]&amp;"_E3"</f>
        <v>F_00_00_E3</v>
      </c>
      <c r="V71" s="16"/>
      <c r="W71" s="2" t="str">
        <f>Tab_Def_Flows[[#This Row],[Flow_ID]]&amp;"_E4"</f>
        <v>F_00_00_E4</v>
      </c>
      <c r="X71" s="16"/>
      <c r="Y71" s="2" t="str">
        <f>Tab_Def_Flows[[#This Row],[Flow_ID]]&amp;"_E5"</f>
        <v>F_00_00_E5</v>
      </c>
      <c r="Z71" s="20"/>
      <c r="AA71" s="2" t="str">
        <f>Tab_Def_Flows[[#This Row],[Flow_ID]]&amp;"_E6"</f>
        <v>F_00_00_E6</v>
      </c>
      <c r="AB71" s="20"/>
      <c r="AC71" s="9"/>
      <c r="AD71" s="9"/>
      <c r="AE71" s="9"/>
      <c r="AF71" s="9"/>
      <c r="AG71" s="9"/>
      <c r="AH71" s="49" t="b">
        <f>'0_Configuration'!$C$2</f>
        <v>1</v>
      </c>
      <c r="AI71" s="2"/>
      <c r="AJ71" s="49" t="b">
        <f>'0_Configuration'!$C$6</f>
        <v>0</v>
      </c>
      <c r="AK71" s="2" t="s">
        <v>344</v>
      </c>
      <c r="AL71" s="49" t="b">
        <f>'0_Configuration'!$C$10</f>
        <v>0</v>
      </c>
      <c r="AM71" s="2" t="s">
        <v>344</v>
      </c>
      <c r="AN71" s="49" t="b">
        <f>'0_Configuration'!$C$17</f>
        <v>0</v>
      </c>
      <c r="AO71" s="2">
        <f>_xlfn.XLOOKUP(Tab_Def_Flows[[#This Row],[ODYM_Good_Type]],Tab_Configuration[Value],Tab_Configuration[ODYM_ID],,0,)</f>
        <v>0</v>
      </c>
      <c r="AP71" s="49" t="b">
        <f>'0_Configuration'!$C$24</f>
        <v>0</v>
      </c>
      <c r="AQ71" s="2"/>
      <c r="AR71" s="49" t="b">
        <f>'0_Configuration'!$C$29</f>
        <v>1</v>
      </c>
      <c r="AS71" s="2" t="s">
        <v>358</v>
      </c>
      <c r="AT71" s="2" t="str">
        <f>IF(Tab_Def_Flows[[#This Row],[ODYM_time_(t)]],"t,","")&amp;IF(Tab_Def_Flows[[#This Row],[ODYM_Region_(r)]],"r,","")&amp;IF(Tab_Def_Flows[[#This Row],[ODYM_process_(p)]],"p,","")&amp;IF(Tab_Def_Flows[[#This Row],[ODYM_Good_(g)2]],"g,","")&amp;IF(Tab_Def_Flows[[#This Row],[ODYM_material_(m)]],"m,","")&amp;IF(Tab_Def_Flows[[#This Row],[ODYM_element_(e)]],"e","")</f>
        <v>t,e</v>
      </c>
      <c r="AU7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22" t="b">
        <v>0</v>
      </c>
      <c r="B72" s="12">
        <f t="shared" si="0"/>
        <v>71</v>
      </c>
      <c r="C72" s="2" t="str">
        <f t="shared" si="3"/>
        <v>F_00_00</v>
      </c>
      <c r="D72" s="3"/>
      <c r="E72" s="9"/>
      <c r="F72" s="2"/>
      <c r="G72" s="18"/>
      <c r="H72" s="2" t="str">
        <f>_xlfn.XLOOKUP(G72,Tab_Def_Processes[Process_Name],Tab_Def_Processes[Process_ID],,0,)</f>
        <v>00</v>
      </c>
      <c r="I72" s="18"/>
      <c r="J72" s="5" t="str">
        <f>_xlfn.XLOOKUP(I72,Tab_Def_Processes[Process_Name],Tab_Def_Processes[Process_ID],,0,)</f>
        <v>00</v>
      </c>
      <c r="K72" s="18" t="s">
        <v>2</v>
      </c>
      <c r="L72" s="18" t="s">
        <v>2</v>
      </c>
      <c r="M72" s="18" t="s">
        <v>2</v>
      </c>
      <c r="N72" s="18" t="s">
        <v>2</v>
      </c>
      <c r="O72" s="18" t="s">
        <v>2</v>
      </c>
      <c r="P72" s="18" t="s">
        <v>2</v>
      </c>
      <c r="Q72" s="2" t="str">
        <f>Tab_Def_Flows[[#This Row],[Flow_ID]]&amp;"_E1"</f>
        <v>F_00_00_E1</v>
      </c>
      <c r="R72" s="20"/>
      <c r="S72" s="2" t="str">
        <f>Tab_Def_Flows[[#This Row],[Flow_ID]]&amp;"_E2"</f>
        <v>F_00_00_E2</v>
      </c>
      <c r="T72" s="16"/>
      <c r="U72" s="2" t="str">
        <f>Tab_Def_Flows[[#This Row],[Flow_ID]]&amp;"_E3"</f>
        <v>F_00_00_E3</v>
      </c>
      <c r="V72" s="16"/>
      <c r="W72" s="2" t="str">
        <f>Tab_Def_Flows[[#This Row],[Flow_ID]]&amp;"_E4"</f>
        <v>F_00_00_E4</v>
      </c>
      <c r="X72" s="16"/>
      <c r="Y72" s="2" t="str">
        <f>Tab_Def_Flows[[#This Row],[Flow_ID]]&amp;"_E5"</f>
        <v>F_00_00_E5</v>
      </c>
      <c r="Z72" s="20"/>
      <c r="AA72" s="2" t="str">
        <f>Tab_Def_Flows[[#This Row],[Flow_ID]]&amp;"_E6"</f>
        <v>F_00_00_E6</v>
      </c>
      <c r="AB72" s="20"/>
      <c r="AC72" s="9"/>
      <c r="AD72" s="9"/>
      <c r="AE72" s="9"/>
      <c r="AF72" s="9"/>
      <c r="AG72" s="9"/>
      <c r="AH72" s="49" t="b">
        <f>'0_Configuration'!$C$2</f>
        <v>1</v>
      </c>
      <c r="AI72" s="2"/>
      <c r="AJ72" s="49" t="b">
        <f>'0_Configuration'!$C$6</f>
        <v>0</v>
      </c>
      <c r="AK72" s="2" t="s">
        <v>344</v>
      </c>
      <c r="AL72" s="49" t="b">
        <f>'0_Configuration'!$C$10</f>
        <v>0</v>
      </c>
      <c r="AM72" s="2" t="s">
        <v>344</v>
      </c>
      <c r="AN72" s="49" t="b">
        <f>'0_Configuration'!$C$17</f>
        <v>0</v>
      </c>
      <c r="AO72" s="2">
        <f>_xlfn.XLOOKUP(Tab_Def_Flows[[#This Row],[ODYM_Good_Type]],Tab_Configuration[Value],Tab_Configuration[ODYM_ID],,0,)</f>
        <v>0</v>
      </c>
      <c r="AP72" s="49" t="b">
        <f>'0_Configuration'!$C$24</f>
        <v>0</v>
      </c>
      <c r="AQ72" s="2"/>
      <c r="AR72" s="49" t="b">
        <f>'0_Configuration'!$C$29</f>
        <v>1</v>
      </c>
      <c r="AS72" s="2" t="s">
        <v>358</v>
      </c>
      <c r="AT72" s="2" t="str">
        <f>IF(Tab_Def_Flows[[#This Row],[ODYM_time_(t)]],"t,","")&amp;IF(Tab_Def_Flows[[#This Row],[ODYM_Region_(r)]],"r,","")&amp;IF(Tab_Def_Flows[[#This Row],[ODYM_process_(p)]],"p,","")&amp;IF(Tab_Def_Flows[[#This Row],[ODYM_Good_(g)2]],"g,","")&amp;IF(Tab_Def_Flows[[#This Row],[ODYM_material_(m)]],"m,","")&amp;IF(Tab_Def_Flows[[#This Row],[ODYM_element_(e)]],"e","")</f>
        <v>t,e</v>
      </c>
      <c r="AU7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22" t="b">
        <v>0</v>
      </c>
      <c r="B73" s="12">
        <f t="shared" si="0"/>
        <v>72</v>
      </c>
      <c r="C73" s="2" t="str">
        <f t="shared" si="3"/>
        <v>F_00_00</v>
      </c>
      <c r="D73" s="3"/>
      <c r="E73" s="9"/>
      <c r="F73" s="2"/>
      <c r="G73" s="18"/>
      <c r="H73" s="2" t="str">
        <f>_xlfn.XLOOKUP(G73,Tab_Def_Processes[Process_Name],Tab_Def_Processes[Process_ID],,0,)</f>
        <v>00</v>
      </c>
      <c r="I73" s="18"/>
      <c r="J73" s="5" t="str">
        <f>_xlfn.XLOOKUP(I73,Tab_Def_Processes[Process_Name],Tab_Def_Processes[Process_ID],,0,)</f>
        <v>00</v>
      </c>
      <c r="K73" s="18" t="s">
        <v>2</v>
      </c>
      <c r="L73" s="18" t="s">
        <v>2</v>
      </c>
      <c r="M73" s="18" t="s">
        <v>2</v>
      </c>
      <c r="N73" s="18" t="s">
        <v>2</v>
      </c>
      <c r="O73" s="18" t="s">
        <v>2</v>
      </c>
      <c r="P73" s="18" t="s">
        <v>2</v>
      </c>
      <c r="Q73" s="2" t="str">
        <f>Tab_Def_Flows[[#This Row],[Flow_ID]]&amp;"_E1"</f>
        <v>F_00_00_E1</v>
      </c>
      <c r="R73" s="20"/>
      <c r="S73" s="2" t="str">
        <f>Tab_Def_Flows[[#This Row],[Flow_ID]]&amp;"_E2"</f>
        <v>F_00_00_E2</v>
      </c>
      <c r="T73" s="16"/>
      <c r="U73" s="2" t="str">
        <f>Tab_Def_Flows[[#This Row],[Flow_ID]]&amp;"_E3"</f>
        <v>F_00_00_E3</v>
      </c>
      <c r="V73" s="16"/>
      <c r="W73" s="2" t="str">
        <f>Tab_Def_Flows[[#This Row],[Flow_ID]]&amp;"_E4"</f>
        <v>F_00_00_E4</v>
      </c>
      <c r="X73" s="16"/>
      <c r="Y73" s="2" t="str">
        <f>Tab_Def_Flows[[#This Row],[Flow_ID]]&amp;"_E5"</f>
        <v>F_00_00_E5</v>
      </c>
      <c r="Z73" s="20"/>
      <c r="AA73" s="2" t="str">
        <f>Tab_Def_Flows[[#This Row],[Flow_ID]]&amp;"_E6"</f>
        <v>F_00_00_E6</v>
      </c>
      <c r="AB73" s="20"/>
      <c r="AC73" s="9"/>
      <c r="AD73" s="9"/>
      <c r="AE73" s="9"/>
      <c r="AF73" s="9"/>
      <c r="AG73" s="9"/>
      <c r="AH73" s="49" t="b">
        <f>'0_Configuration'!$C$2</f>
        <v>1</v>
      </c>
      <c r="AI73" s="2"/>
      <c r="AJ73" s="49" t="b">
        <f>'0_Configuration'!$C$6</f>
        <v>0</v>
      </c>
      <c r="AK73" s="2" t="s">
        <v>344</v>
      </c>
      <c r="AL73" s="49" t="b">
        <f>'0_Configuration'!$C$10</f>
        <v>0</v>
      </c>
      <c r="AM73" s="2" t="s">
        <v>344</v>
      </c>
      <c r="AN73" s="49" t="b">
        <f>'0_Configuration'!$C$17</f>
        <v>0</v>
      </c>
      <c r="AO73" s="2">
        <f>_xlfn.XLOOKUP(Tab_Def_Flows[[#This Row],[ODYM_Good_Type]],Tab_Configuration[Value],Tab_Configuration[ODYM_ID],,0,)</f>
        <v>0</v>
      </c>
      <c r="AP73" s="49" t="b">
        <f>'0_Configuration'!$C$24</f>
        <v>0</v>
      </c>
      <c r="AQ73" s="2"/>
      <c r="AR73" s="49" t="b">
        <f>'0_Configuration'!$C$29</f>
        <v>1</v>
      </c>
      <c r="AS73" s="2" t="s">
        <v>358</v>
      </c>
      <c r="AT73" s="2" t="str">
        <f>IF(Tab_Def_Flows[[#This Row],[ODYM_time_(t)]],"t,","")&amp;IF(Tab_Def_Flows[[#This Row],[ODYM_Region_(r)]],"r,","")&amp;IF(Tab_Def_Flows[[#This Row],[ODYM_process_(p)]],"p,","")&amp;IF(Tab_Def_Flows[[#This Row],[ODYM_Good_(g)2]],"g,","")&amp;IF(Tab_Def_Flows[[#This Row],[ODYM_material_(m)]],"m,","")&amp;IF(Tab_Def_Flows[[#This Row],[ODYM_element_(e)]],"e","")</f>
        <v>t,e</v>
      </c>
      <c r="AU7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22" t="b">
        <v>0</v>
      </c>
      <c r="B74" s="12">
        <f t="shared" si="0"/>
        <v>73</v>
      </c>
      <c r="C74" s="2" t="str">
        <f t="shared" si="3"/>
        <v>F_00_00</v>
      </c>
      <c r="D74" s="3"/>
      <c r="E74" s="9"/>
      <c r="F74" s="2"/>
      <c r="G74" s="18"/>
      <c r="H74" s="2" t="str">
        <f>_xlfn.XLOOKUP(G74,Tab_Def_Processes[Process_Name],Tab_Def_Processes[Process_ID],,0,)</f>
        <v>00</v>
      </c>
      <c r="I74" s="18"/>
      <c r="J74" s="5" t="str">
        <f>_xlfn.XLOOKUP(I74,Tab_Def_Processes[Process_Name],Tab_Def_Processes[Process_ID],,0,)</f>
        <v>00</v>
      </c>
      <c r="K74" s="18" t="s">
        <v>2</v>
      </c>
      <c r="L74" s="18" t="s">
        <v>2</v>
      </c>
      <c r="M74" s="18" t="s">
        <v>2</v>
      </c>
      <c r="N74" s="18" t="s">
        <v>2</v>
      </c>
      <c r="O74" s="18" t="s">
        <v>2</v>
      </c>
      <c r="P74" s="18" t="s">
        <v>2</v>
      </c>
      <c r="Q74" s="2" t="str">
        <f>Tab_Def_Flows[[#This Row],[Flow_ID]]&amp;"_E1"</f>
        <v>F_00_00_E1</v>
      </c>
      <c r="R74" s="20"/>
      <c r="S74" s="2" t="str">
        <f>Tab_Def_Flows[[#This Row],[Flow_ID]]&amp;"_E2"</f>
        <v>F_00_00_E2</v>
      </c>
      <c r="T74" s="16"/>
      <c r="U74" s="2" t="str">
        <f>Tab_Def_Flows[[#This Row],[Flow_ID]]&amp;"_E3"</f>
        <v>F_00_00_E3</v>
      </c>
      <c r="V74" s="16"/>
      <c r="W74" s="2" t="str">
        <f>Tab_Def_Flows[[#This Row],[Flow_ID]]&amp;"_E4"</f>
        <v>F_00_00_E4</v>
      </c>
      <c r="X74" s="16"/>
      <c r="Y74" s="2" t="str">
        <f>Tab_Def_Flows[[#This Row],[Flow_ID]]&amp;"_E5"</f>
        <v>F_00_00_E5</v>
      </c>
      <c r="Z74" s="20"/>
      <c r="AA74" s="2" t="str">
        <f>Tab_Def_Flows[[#This Row],[Flow_ID]]&amp;"_E6"</f>
        <v>F_00_00_E6</v>
      </c>
      <c r="AB74" s="20"/>
      <c r="AC74" s="9"/>
      <c r="AD74" s="9"/>
      <c r="AE74" s="9"/>
      <c r="AF74" s="9"/>
      <c r="AG74" s="9"/>
      <c r="AH74" s="49" t="b">
        <f>'0_Configuration'!$C$2</f>
        <v>1</v>
      </c>
      <c r="AI74" s="2"/>
      <c r="AJ74" s="49" t="b">
        <f>'0_Configuration'!$C$6</f>
        <v>0</v>
      </c>
      <c r="AK74" s="2" t="s">
        <v>344</v>
      </c>
      <c r="AL74" s="49" t="b">
        <f>'0_Configuration'!$C$10</f>
        <v>0</v>
      </c>
      <c r="AM74" s="2" t="s">
        <v>344</v>
      </c>
      <c r="AN74" s="49" t="b">
        <f>'0_Configuration'!$C$17</f>
        <v>0</v>
      </c>
      <c r="AO74" s="2">
        <f>_xlfn.XLOOKUP(Tab_Def_Flows[[#This Row],[ODYM_Good_Type]],Tab_Configuration[Value],Tab_Configuration[ODYM_ID],,0,)</f>
        <v>0</v>
      </c>
      <c r="AP74" s="49" t="b">
        <f>'0_Configuration'!$C$24</f>
        <v>0</v>
      </c>
      <c r="AQ74" s="2"/>
      <c r="AR74" s="49" t="b">
        <f>'0_Configuration'!$C$29</f>
        <v>1</v>
      </c>
      <c r="AS74" s="2" t="s">
        <v>358</v>
      </c>
      <c r="AT74" s="2" t="str">
        <f>IF(Tab_Def_Flows[[#This Row],[ODYM_time_(t)]],"t,","")&amp;IF(Tab_Def_Flows[[#This Row],[ODYM_Region_(r)]],"r,","")&amp;IF(Tab_Def_Flows[[#This Row],[ODYM_process_(p)]],"p,","")&amp;IF(Tab_Def_Flows[[#This Row],[ODYM_Good_(g)2]],"g,","")&amp;IF(Tab_Def_Flows[[#This Row],[ODYM_material_(m)]],"m,","")&amp;IF(Tab_Def_Flows[[#This Row],[ODYM_element_(e)]],"e","")</f>
        <v>t,e</v>
      </c>
      <c r="AU7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22" t="b">
        <v>0</v>
      </c>
      <c r="B75" s="12">
        <f t="shared" si="0"/>
        <v>74</v>
      </c>
      <c r="C75" s="2" t="str">
        <f t="shared" si="3"/>
        <v>F_00_00</v>
      </c>
      <c r="D75" s="3"/>
      <c r="E75" s="9"/>
      <c r="F75" s="2"/>
      <c r="G75" s="18"/>
      <c r="H75" s="2" t="str">
        <f>_xlfn.XLOOKUP(G75,Tab_Def_Processes[Process_Name],Tab_Def_Processes[Process_ID],,0,)</f>
        <v>00</v>
      </c>
      <c r="I75" s="18"/>
      <c r="J75" s="5" t="str">
        <f>_xlfn.XLOOKUP(I75,Tab_Def_Processes[Process_Name],Tab_Def_Processes[Process_ID],,0,)</f>
        <v>00</v>
      </c>
      <c r="K75" s="18" t="s">
        <v>2</v>
      </c>
      <c r="L75" s="18" t="s">
        <v>2</v>
      </c>
      <c r="M75" s="18" t="s">
        <v>2</v>
      </c>
      <c r="N75" s="18" t="s">
        <v>2</v>
      </c>
      <c r="O75" s="18" t="s">
        <v>2</v>
      </c>
      <c r="P75" s="18" t="s">
        <v>2</v>
      </c>
      <c r="Q75" s="2" t="str">
        <f>Tab_Def_Flows[[#This Row],[Flow_ID]]&amp;"_E1"</f>
        <v>F_00_00_E1</v>
      </c>
      <c r="R75" s="20"/>
      <c r="S75" s="2" t="str">
        <f>Tab_Def_Flows[[#This Row],[Flow_ID]]&amp;"_E2"</f>
        <v>F_00_00_E2</v>
      </c>
      <c r="T75" s="16"/>
      <c r="U75" s="2" t="str">
        <f>Tab_Def_Flows[[#This Row],[Flow_ID]]&amp;"_E3"</f>
        <v>F_00_00_E3</v>
      </c>
      <c r="V75" s="16"/>
      <c r="W75" s="2" t="str">
        <f>Tab_Def_Flows[[#This Row],[Flow_ID]]&amp;"_E4"</f>
        <v>F_00_00_E4</v>
      </c>
      <c r="X75" s="16"/>
      <c r="Y75" s="2" t="str">
        <f>Tab_Def_Flows[[#This Row],[Flow_ID]]&amp;"_E5"</f>
        <v>F_00_00_E5</v>
      </c>
      <c r="Z75" s="20"/>
      <c r="AA75" s="2" t="str">
        <f>Tab_Def_Flows[[#This Row],[Flow_ID]]&amp;"_E6"</f>
        <v>F_00_00_E6</v>
      </c>
      <c r="AB75" s="20"/>
      <c r="AC75" s="9"/>
      <c r="AD75" s="9"/>
      <c r="AE75" s="9"/>
      <c r="AF75" s="9"/>
      <c r="AG75" s="9"/>
      <c r="AH75" s="49" t="b">
        <f>'0_Configuration'!$C$2</f>
        <v>1</v>
      </c>
      <c r="AI75" s="2"/>
      <c r="AJ75" s="49" t="b">
        <f>'0_Configuration'!$C$6</f>
        <v>0</v>
      </c>
      <c r="AK75" s="2" t="s">
        <v>344</v>
      </c>
      <c r="AL75" s="49" t="b">
        <f>'0_Configuration'!$C$10</f>
        <v>0</v>
      </c>
      <c r="AM75" s="2" t="s">
        <v>344</v>
      </c>
      <c r="AN75" s="49" t="b">
        <f>'0_Configuration'!$C$17</f>
        <v>0</v>
      </c>
      <c r="AO75" s="2">
        <f>_xlfn.XLOOKUP(Tab_Def_Flows[[#This Row],[ODYM_Good_Type]],Tab_Configuration[Value],Tab_Configuration[ODYM_ID],,0,)</f>
        <v>0</v>
      </c>
      <c r="AP75" s="49" t="b">
        <f>'0_Configuration'!$C$24</f>
        <v>0</v>
      </c>
      <c r="AQ75" s="2"/>
      <c r="AR75" s="49" t="b">
        <f>'0_Configuration'!$C$29</f>
        <v>1</v>
      </c>
      <c r="AS75" s="2" t="s">
        <v>358</v>
      </c>
      <c r="AT75" s="2" t="str">
        <f>IF(Tab_Def_Flows[[#This Row],[ODYM_time_(t)]],"t,","")&amp;IF(Tab_Def_Flows[[#This Row],[ODYM_Region_(r)]],"r,","")&amp;IF(Tab_Def_Flows[[#This Row],[ODYM_process_(p)]],"p,","")&amp;IF(Tab_Def_Flows[[#This Row],[ODYM_Good_(g)2]],"g,","")&amp;IF(Tab_Def_Flows[[#This Row],[ODYM_material_(m)]],"m,","")&amp;IF(Tab_Def_Flows[[#This Row],[ODYM_element_(e)]],"e","")</f>
        <v>t,e</v>
      </c>
      <c r="AU7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22" t="b">
        <v>0</v>
      </c>
      <c r="B76" s="12">
        <f t="shared" si="0"/>
        <v>75</v>
      </c>
      <c r="C76" s="2" t="str">
        <f t="shared" si="3"/>
        <v>F_00_00</v>
      </c>
      <c r="D76" s="3"/>
      <c r="E76" s="9"/>
      <c r="F76" s="2"/>
      <c r="G76" s="18"/>
      <c r="H76" s="2" t="str">
        <f>_xlfn.XLOOKUP(G76,Tab_Def_Processes[Process_Name],Tab_Def_Processes[Process_ID],,0,)</f>
        <v>00</v>
      </c>
      <c r="I76" s="18"/>
      <c r="J76" s="5" t="str">
        <f>_xlfn.XLOOKUP(I76,Tab_Def_Processes[Process_Name],Tab_Def_Processes[Process_ID],,0,)</f>
        <v>00</v>
      </c>
      <c r="K76" s="18" t="s">
        <v>2</v>
      </c>
      <c r="L76" s="18" t="s">
        <v>2</v>
      </c>
      <c r="M76" s="18" t="s">
        <v>2</v>
      </c>
      <c r="N76" s="18" t="s">
        <v>2</v>
      </c>
      <c r="O76" s="18" t="s">
        <v>2</v>
      </c>
      <c r="P76" s="18" t="s">
        <v>2</v>
      </c>
      <c r="Q76" s="2" t="str">
        <f>Tab_Def_Flows[[#This Row],[Flow_ID]]&amp;"_E1"</f>
        <v>F_00_00_E1</v>
      </c>
      <c r="R76" s="20"/>
      <c r="S76" s="2" t="str">
        <f>Tab_Def_Flows[[#This Row],[Flow_ID]]&amp;"_E2"</f>
        <v>F_00_00_E2</v>
      </c>
      <c r="T76" s="16"/>
      <c r="U76" s="2" t="str">
        <f>Tab_Def_Flows[[#This Row],[Flow_ID]]&amp;"_E3"</f>
        <v>F_00_00_E3</v>
      </c>
      <c r="V76" s="16"/>
      <c r="W76" s="2" t="str">
        <f>Tab_Def_Flows[[#This Row],[Flow_ID]]&amp;"_E4"</f>
        <v>F_00_00_E4</v>
      </c>
      <c r="X76" s="16"/>
      <c r="Y76" s="2" t="str">
        <f>Tab_Def_Flows[[#This Row],[Flow_ID]]&amp;"_E5"</f>
        <v>F_00_00_E5</v>
      </c>
      <c r="Z76" s="20"/>
      <c r="AA76" s="2" t="str">
        <f>Tab_Def_Flows[[#This Row],[Flow_ID]]&amp;"_E6"</f>
        <v>F_00_00_E6</v>
      </c>
      <c r="AB76" s="20"/>
      <c r="AC76" s="9"/>
      <c r="AD76" s="9"/>
      <c r="AE76" s="9"/>
      <c r="AF76" s="9"/>
      <c r="AG76" s="9"/>
      <c r="AH76" s="49" t="b">
        <f>'0_Configuration'!$C$2</f>
        <v>1</v>
      </c>
      <c r="AI76" s="2"/>
      <c r="AJ76" s="49" t="b">
        <f>'0_Configuration'!$C$6</f>
        <v>0</v>
      </c>
      <c r="AK76" s="2" t="s">
        <v>344</v>
      </c>
      <c r="AL76" s="49" t="b">
        <f>'0_Configuration'!$C$10</f>
        <v>0</v>
      </c>
      <c r="AM76" s="2" t="s">
        <v>344</v>
      </c>
      <c r="AN76" s="49" t="b">
        <f>'0_Configuration'!$C$17</f>
        <v>0</v>
      </c>
      <c r="AO76" s="2">
        <f>_xlfn.XLOOKUP(Tab_Def_Flows[[#This Row],[ODYM_Good_Type]],Tab_Configuration[Value],Tab_Configuration[ODYM_ID],,0,)</f>
        <v>0</v>
      </c>
      <c r="AP76" s="49" t="b">
        <f>'0_Configuration'!$C$24</f>
        <v>0</v>
      </c>
      <c r="AQ76" s="2"/>
      <c r="AR76" s="49" t="b">
        <f>'0_Configuration'!$C$29</f>
        <v>1</v>
      </c>
      <c r="AS76" s="2" t="s">
        <v>358</v>
      </c>
      <c r="AT76" s="2" t="str">
        <f>IF(Tab_Def_Flows[[#This Row],[ODYM_time_(t)]],"t,","")&amp;IF(Tab_Def_Flows[[#This Row],[ODYM_Region_(r)]],"r,","")&amp;IF(Tab_Def_Flows[[#This Row],[ODYM_process_(p)]],"p,","")&amp;IF(Tab_Def_Flows[[#This Row],[ODYM_Good_(g)2]],"g,","")&amp;IF(Tab_Def_Flows[[#This Row],[ODYM_material_(m)]],"m,","")&amp;IF(Tab_Def_Flows[[#This Row],[ODYM_element_(e)]],"e","")</f>
        <v>t,e</v>
      </c>
      <c r="AU7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22" t="b">
        <v>0</v>
      </c>
      <c r="B77" s="12">
        <f t="shared" ref="B77:B94" si="5">ROW()-1</f>
        <v>76</v>
      </c>
      <c r="C77" s="2" t="str">
        <f t="shared" si="3"/>
        <v>F_00_00</v>
      </c>
      <c r="D77" s="3"/>
      <c r="E77" s="9"/>
      <c r="F77" s="2"/>
      <c r="G77" s="18"/>
      <c r="H77" s="2" t="str">
        <f>_xlfn.XLOOKUP(G77,Tab_Def_Processes[Process_Name],Tab_Def_Processes[Process_ID],,0,)</f>
        <v>00</v>
      </c>
      <c r="I77" s="18"/>
      <c r="J77" s="5" t="str">
        <f>_xlfn.XLOOKUP(I77,Tab_Def_Processes[Process_Name],Tab_Def_Processes[Process_ID],,0,)</f>
        <v>00</v>
      </c>
      <c r="K77" s="18" t="s">
        <v>2</v>
      </c>
      <c r="L77" s="18" t="s">
        <v>2</v>
      </c>
      <c r="M77" s="18" t="s">
        <v>2</v>
      </c>
      <c r="N77" s="18" t="s">
        <v>2</v>
      </c>
      <c r="O77" s="18" t="s">
        <v>2</v>
      </c>
      <c r="P77" s="18" t="s">
        <v>2</v>
      </c>
      <c r="Q77" s="2" t="str">
        <f>Tab_Def_Flows[[#This Row],[Flow_ID]]&amp;"_E1"</f>
        <v>F_00_00_E1</v>
      </c>
      <c r="R77" s="20"/>
      <c r="S77" s="2" t="str">
        <f>Tab_Def_Flows[[#This Row],[Flow_ID]]&amp;"_E2"</f>
        <v>F_00_00_E2</v>
      </c>
      <c r="T77" s="16"/>
      <c r="U77" s="2" t="str">
        <f>Tab_Def_Flows[[#This Row],[Flow_ID]]&amp;"_E3"</f>
        <v>F_00_00_E3</v>
      </c>
      <c r="V77" s="16"/>
      <c r="W77" s="2" t="str">
        <f>Tab_Def_Flows[[#This Row],[Flow_ID]]&amp;"_E4"</f>
        <v>F_00_00_E4</v>
      </c>
      <c r="X77" s="16"/>
      <c r="Y77" s="2" t="str">
        <f>Tab_Def_Flows[[#This Row],[Flow_ID]]&amp;"_E5"</f>
        <v>F_00_00_E5</v>
      </c>
      <c r="Z77" s="20"/>
      <c r="AA77" s="2" t="str">
        <f>Tab_Def_Flows[[#This Row],[Flow_ID]]&amp;"_E6"</f>
        <v>F_00_00_E6</v>
      </c>
      <c r="AB77" s="20"/>
      <c r="AC77" s="9"/>
      <c r="AD77" s="9"/>
      <c r="AE77" s="9"/>
      <c r="AF77" s="9"/>
      <c r="AG77" s="9"/>
      <c r="AH77" s="49" t="b">
        <f>'0_Configuration'!$C$2</f>
        <v>1</v>
      </c>
      <c r="AI77" s="2"/>
      <c r="AJ77" s="49" t="b">
        <f>'0_Configuration'!$C$6</f>
        <v>0</v>
      </c>
      <c r="AK77" s="2" t="s">
        <v>344</v>
      </c>
      <c r="AL77" s="49" t="b">
        <f>'0_Configuration'!$C$10</f>
        <v>0</v>
      </c>
      <c r="AM77" s="2" t="s">
        <v>344</v>
      </c>
      <c r="AN77" s="49" t="b">
        <f>'0_Configuration'!$C$17</f>
        <v>0</v>
      </c>
      <c r="AO77" s="2">
        <f>_xlfn.XLOOKUP(Tab_Def_Flows[[#This Row],[ODYM_Good_Type]],Tab_Configuration[Value],Tab_Configuration[ODYM_ID],,0,)</f>
        <v>0</v>
      </c>
      <c r="AP77" s="49" t="b">
        <f>'0_Configuration'!$C$24</f>
        <v>0</v>
      </c>
      <c r="AQ77" s="2"/>
      <c r="AR77" s="49" t="b">
        <f>'0_Configuration'!$C$29</f>
        <v>1</v>
      </c>
      <c r="AS77" s="2" t="s">
        <v>358</v>
      </c>
      <c r="AT77" s="2" t="str">
        <f>IF(Tab_Def_Flows[[#This Row],[ODYM_time_(t)]],"t,","")&amp;IF(Tab_Def_Flows[[#This Row],[ODYM_Region_(r)]],"r,","")&amp;IF(Tab_Def_Flows[[#This Row],[ODYM_process_(p)]],"p,","")&amp;IF(Tab_Def_Flows[[#This Row],[ODYM_Good_(g)2]],"g,","")&amp;IF(Tab_Def_Flows[[#This Row],[ODYM_material_(m)]],"m,","")&amp;IF(Tab_Def_Flows[[#This Row],[ODYM_element_(e)]],"e","")</f>
        <v>t,e</v>
      </c>
      <c r="AU7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22" t="b">
        <v>0</v>
      </c>
      <c r="B78" s="12">
        <f t="shared" si="5"/>
        <v>77</v>
      </c>
      <c r="C78" s="2" t="str">
        <f t="shared" si="3"/>
        <v>F_00_00</v>
      </c>
      <c r="D78" s="3"/>
      <c r="E78" s="9"/>
      <c r="F78" s="2"/>
      <c r="G78" s="18"/>
      <c r="H78" s="2" t="str">
        <f>_xlfn.XLOOKUP(G78,Tab_Def_Processes[Process_Name],Tab_Def_Processes[Process_ID],,0,)</f>
        <v>00</v>
      </c>
      <c r="I78" s="18"/>
      <c r="J78" s="5" t="str">
        <f>_xlfn.XLOOKUP(I78,Tab_Def_Processes[Process_Name],Tab_Def_Processes[Process_ID],,0,)</f>
        <v>00</v>
      </c>
      <c r="K78" s="18" t="s">
        <v>2</v>
      </c>
      <c r="L78" s="18" t="s">
        <v>2</v>
      </c>
      <c r="M78" s="18" t="s">
        <v>2</v>
      </c>
      <c r="N78" s="18" t="s">
        <v>2</v>
      </c>
      <c r="O78" s="18" t="s">
        <v>2</v>
      </c>
      <c r="P78" s="18" t="s">
        <v>2</v>
      </c>
      <c r="Q78" s="2" t="str">
        <f>Tab_Def_Flows[[#This Row],[Flow_ID]]&amp;"_E1"</f>
        <v>F_00_00_E1</v>
      </c>
      <c r="R78" s="20"/>
      <c r="S78" s="2" t="str">
        <f>Tab_Def_Flows[[#This Row],[Flow_ID]]&amp;"_E2"</f>
        <v>F_00_00_E2</v>
      </c>
      <c r="T78" s="16"/>
      <c r="U78" s="2" t="str">
        <f>Tab_Def_Flows[[#This Row],[Flow_ID]]&amp;"_E3"</f>
        <v>F_00_00_E3</v>
      </c>
      <c r="V78" s="16"/>
      <c r="W78" s="2" t="str">
        <f>Tab_Def_Flows[[#This Row],[Flow_ID]]&amp;"_E4"</f>
        <v>F_00_00_E4</v>
      </c>
      <c r="X78" s="16"/>
      <c r="Y78" s="2" t="str">
        <f>Tab_Def_Flows[[#This Row],[Flow_ID]]&amp;"_E5"</f>
        <v>F_00_00_E5</v>
      </c>
      <c r="Z78" s="20"/>
      <c r="AA78" s="2" t="str">
        <f>Tab_Def_Flows[[#This Row],[Flow_ID]]&amp;"_E6"</f>
        <v>F_00_00_E6</v>
      </c>
      <c r="AB78" s="20"/>
      <c r="AC78" s="9"/>
      <c r="AD78" s="9"/>
      <c r="AE78" s="9"/>
      <c r="AF78" s="9"/>
      <c r="AG78" s="9"/>
      <c r="AH78" s="49" t="b">
        <f>'0_Configuration'!$C$2</f>
        <v>1</v>
      </c>
      <c r="AI78" s="2"/>
      <c r="AJ78" s="49" t="b">
        <f>'0_Configuration'!$C$6</f>
        <v>0</v>
      </c>
      <c r="AK78" s="2" t="s">
        <v>344</v>
      </c>
      <c r="AL78" s="49" t="b">
        <f>'0_Configuration'!$C$10</f>
        <v>0</v>
      </c>
      <c r="AM78" s="2" t="s">
        <v>344</v>
      </c>
      <c r="AN78" s="49" t="b">
        <f>'0_Configuration'!$C$17</f>
        <v>0</v>
      </c>
      <c r="AO78" s="2">
        <f>_xlfn.XLOOKUP(Tab_Def_Flows[[#This Row],[ODYM_Good_Type]],Tab_Configuration[Value],Tab_Configuration[ODYM_ID],,0,)</f>
        <v>0</v>
      </c>
      <c r="AP78" s="49" t="b">
        <f>'0_Configuration'!$C$24</f>
        <v>0</v>
      </c>
      <c r="AQ78" s="2"/>
      <c r="AR78" s="49" t="b">
        <f>'0_Configuration'!$C$29</f>
        <v>1</v>
      </c>
      <c r="AS78" s="2" t="s">
        <v>358</v>
      </c>
      <c r="AT78" s="2" t="str">
        <f>IF(Tab_Def_Flows[[#This Row],[ODYM_time_(t)]],"t,","")&amp;IF(Tab_Def_Flows[[#This Row],[ODYM_Region_(r)]],"r,","")&amp;IF(Tab_Def_Flows[[#This Row],[ODYM_process_(p)]],"p,","")&amp;IF(Tab_Def_Flows[[#This Row],[ODYM_Good_(g)2]],"g,","")&amp;IF(Tab_Def_Flows[[#This Row],[ODYM_material_(m)]],"m,","")&amp;IF(Tab_Def_Flows[[#This Row],[ODYM_element_(e)]],"e","")</f>
        <v>t,e</v>
      </c>
      <c r="AU7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22" t="b">
        <v>0</v>
      </c>
      <c r="B79" s="12">
        <f t="shared" si="5"/>
        <v>78</v>
      </c>
      <c r="C79" s="2" t="str">
        <f t="shared" si="3"/>
        <v>F_00_00</v>
      </c>
      <c r="D79" s="3"/>
      <c r="E79" s="9"/>
      <c r="F79" s="2"/>
      <c r="G79" s="18"/>
      <c r="H79" s="2" t="str">
        <f>_xlfn.XLOOKUP(G79,Tab_Def_Processes[Process_Name],Tab_Def_Processes[Process_ID],,0,)</f>
        <v>00</v>
      </c>
      <c r="I79" s="18"/>
      <c r="J79" s="5" t="str">
        <f>_xlfn.XLOOKUP(I79,Tab_Def_Processes[Process_Name],Tab_Def_Processes[Process_ID],,0,)</f>
        <v>00</v>
      </c>
      <c r="K79" s="18" t="s">
        <v>2</v>
      </c>
      <c r="L79" s="18" t="s">
        <v>2</v>
      </c>
      <c r="M79" s="18" t="s">
        <v>2</v>
      </c>
      <c r="N79" s="18" t="s">
        <v>2</v>
      </c>
      <c r="O79" s="18" t="s">
        <v>2</v>
      </c>
      <c r="P79" s="18" t="s">
        <v>2</v>
      </c>
      <c r="Q79" s="2" t="str">
        <f>Tab_Def_Flows[[#This Row],[Flow_ID]]&amp;"_E1"</f>
        <v>F_00_00_E1</v>
      </c>
      <c r="R79" s="20"/>
      <c r="S79" s="2" t="str">
        <f>Tab_Def_Flows[[#This Row],[Flow_ID]]&amp;"_E2"</f>
        <v>F_00_00_E2</v>
      </c>
      <c r="T79" s="16"/>
      <c r="U79" s="2" t="str">
        <f>Tab_Def_Flows[[#This Row],[Flow_ID]]&amp;"_E3"</f>
        <v>F_00_00_E3</v>
      </c>
      <c r="V79" s="16"/>
      <c r="W79" s="2" t="str">
        <f>Tab_Def_Flows[[#This Row],[Flow_ID]]&amp;"_E4"</f>
        <v>F_00_00_E4</v>
      </c>
      <c r="X79" s="16"/>
      <c r="Y79" s="2" t="str">
        <f>Tab_Def_Flows[[#This Row],[Flow_ID]]&amp;"_E5"</f>
        <v>F_00_00_E5</v>
      </c>
      <c r="Z79" s="20"/>
      <c r="AA79" s="2" t="str">
        <f>Tab_Def_Flows[[#This Row],[Flow_ID]]&amp;"_E6"</f>
        <v>F_00_00_E6</v>
      </c>
      <c r="AB79" s="20"/>
      <c r="AC79" s="9"/>
      <c r="AD79" s="9"/>
      <c r="AE79" s="9"/>
      <c r="AF79" s="9"/>
      <c r="AG79" s="9"/>
      <c r="AH79" s="49" t="b">
        <f>'0_Configuration'!$C$2</f>
        <v>1</v>
      </c>
      <c r="AI79" s="2"/>
      <c r="AJ79" s="49" t="b">
        <f>'0_Configuration'!$C$6</f>
        <v>0</v>
      </c>
      <c r="AK79" s="2" t="s">
        <v>344</v>
      </c>
      <c r="AL79" s="49" t="b">
        <f>'0_Configuration'!$C$10</f>
        <v>0</v>
      </c>
      <c r="AM79" s="2" t="s">
        <v>344</v>
      </c>
      <c r="AN79" s="49" t="b">
        <f>'0_Configuration'!$C$17</f>
        <v>0</v>
      </c>
      <c r="AO79" s="2">
        <f>_xlfn.XLOOKUP(Tab_Def_Flows[[#This Row],[ODYM_Good_Type]],Tab_Configuration[Value],Tab_Configuration[ODYM_ID],,0,)</f>
        <v>0</v>
      </c>
      <c r="AP79" s="49" t="b">
        <f>'0_Configuration'!$C$24</f>
        <v>0</v>
      </c>
      <c r="AQ79" s="2"/>
      <c r="AR79" s="49" t="b">
        <f>'0_Configuration'!$C$29</f>
        <v>1</v>
      </c>
      <c r="AS79" s="2" t="s">
        <v>358</v>
      </c>
      <c r="AT79" s="2" t="str">
        <f>IF(Tab_Def_Flows[[#This Row],[ODYM_time_(t)]],"t,","")&amp;IF(Tab_Def_Flows[[#This Row],[ODYM_Region_(r)]],"r,","")&amp;IF(Tab_Def_Flows[[#This Row],[ODYM_process_(p)]],"p,","")&amp;IF(Tab_Def_Flows[[#This Row],[ODYM_Good_(g)2]],"g,","")&amp;IF(Tab_Def_Flows[[#This Row],[ODYM_material_(m)]],"m,","")&amp;IF(Tab_Def_Flows[[#This Row],[ODYM_element_(e)]],"e","")</f>
        <v>t,e</v>
      </c>
      <c r="AU7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22" t="b">
        <v>0</v>
      </c>
      <c r="B80" s="12">
        <f t="shared" si="5"/>
        <v>79</v>
      </c>
      <c r="C80" s="2" t="str">
        <f t="shared" si="3"/>
        <v>F_00_00</v>
      </c>
      <c r="D80" s="3"/>
      <c r="E80" s="9"/>
      <c r="F80" s="2"/>
      <c r="G80" s="18"/>
      <c r="H80" s="2" t="str">
        <f>_xlfn.XLOOKUP(G80,Tab_Def_Processes[Process_Name],Tab_Def_Processes[Process_ID],,0,)</f>
        <v>00</v>
      </c>
      <c r="I80" s="18"/>
      <c r="J80" s="5" t="str">
        <f>_xlfn.XLOOKUP(I80,Tab_Def_Processes[Process_Name],Tab_Def_Processes[Process_ID],,0,)</f>
        <v>00</v>
      </c>
      <c r="K80" s="18" t="s">
        <v>2</v>
      </c>
      <c r="L80" s="18" t="s">
        <v>2</v>
      </c>
      <c r="M80" s="18" t="s">
        <v>2</v>
      </c>
      <c r="N80" s="18" t="s">
        <v>2</v>
      </c>
      <c r="O80" s="18" t="s">
        <v>2</v>
      </c>
      <c r="P80" s="18" t="s">
        <v>2</v>
      </c>
      <c r="Q80" s="2" t="str">
        <f>Tab_Def_Flows[[#This Row],[Flow_ID]]&amp;"_E1"</f>
        <v>F_00_00_E1</v>
      </c>
      <c r="R80" s="20"/>
      <c r="S80" s="2" t="str">
        <f>Tab_Def_Flows[[#This Row],[Flow_ID]]&amp;"_E2"</f>
        <v>F_00_00_E2</v>
      </c>
      <c r="T80" s="16"/>
      <c r="U80" s="2" t="str">
        <f>Tab_Def_Flows[[#This Row],[Flow_ID]]&amp;"_E3"</f>
        <v>F_00_00_E3</v>
      </c>
      <c r="V80" s="16"/>
      <c r="W80" s="2" t="str">
        <f>Tab_Def_Flows[[#This Row],[Flow_ID]]&amp;"_E4"</f>
        <v>F_00_00_E4</v>
      </c>
      <c r="X80" s="16"/>
      <c r="Y80" s="2" t="str">
        <f>Tab_Def_Flows[[#This Row],[Flow_ID]]&amp;"_E5"</f>
        <v>F_00_00_E5</v>
      </c>
      <c r="Z80" s="20"/>
      <c r="AA80" s="2" t="str">
        <f>Tab_Def_Flows[[#This Row],[Flow_ID]]&amp;"_E6"</f>
        <v>F_00_00_E6</v>
      </c>
      <c r="AB80" s="20"/>
      <c r="AC80" s="9"/>
      <c r="AD80" s="9"/>
      <c r="AE80" s="9"/>
      <c r="AF80" s="9"/>
      <c r="AG80" s="9"/>
      <c r="AH80" s="49" t="b">
        <f>'0_Configuration'!$C$2</f>
        <v>1</v>
      </c>
      <c r="AI80" s="2"/>
      <c r="AJ80" s="49" t="b">
        <f>'0_Configuration'!$C$6</f>
        <v>0</v>
      </c>
      <c r="AK80" s="2" t="s">
        <v>344</v>
      </c>
      <c r="AL80" s="49" t="b">
        <f>'0_Configuration'!$C$10</f>
        <v>0</v>
      </c>
      <c r="AM80" s="2" t="s">
        <v>344</v>
      </c>
      <c r="AN80" s="49" t="b">
        <f>'0_Configuration'!$C$17</f>
        <v>0</v>
      </c>
      <c r="AO80" s="2">
        <f>_xlfn.XLOOKUP(Tab_Def_Flows[[#This Row],[ODYM_Good_Type]],Tab_Configuration[Value],Tab_Configuration[ODYM_ID],,0,)</f>
        <v>0</v>
      </c>
      <c r="AP80" s="49" t="b">
        <f>'0_Configuration'!$C$24</f>
        <v>0</v>
      </c>
      <c r="AQ80" s="2"/>
      <c r="AR80" s="49" t="b">
        <f>'0_Configuration'!$C$29</f>
        <v>1</v>
      </c>
      <c r="AS80" s="2" t="s">
        <v>358</v>
      </c>
      <c r="AT80" s="2" t="str">
        <f>IF(Tab_Def_Flows[[#This Row],[ODYM_time_(t)]],"t,","")&amp;IF(Tab_Def_Flows[[#This Row],[ODYM_Region_(r)]],"r,","")&amp;IF(Tab_Def_Flows[[#This Row],[ODYM_process_(p)]],"p,","")&amp;IF(Tab_Def_Flows[[#This Row],[ODYM_Good_(g)2]],"g,","")&amp;IF(Tab_Def_Flows[[#This Row],[ODYM_material_(m)]],"m,","")&amp;IF(Tab_Def_Flows[[#This Row],[ODYM_element_(e)]],"e","")</f>
        <v>t,e</v>
      </c>
      <c r="AU8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22" t="b">
        <v>0</v>
      </c>
      <c r="B81" s="12">
        <f t="shared" si="5"/>
        <v>80</v>
      </c>
      <c r="C81" s="2" t="str">
        <f t="shared" si="3"/>
        <v>F_00_00</v>
      </c>
      <c r="D81" s="3"/>
      <c r="E81" s="9"/>
      <c r="F81" s="2"/>
      <c r="G81" s="18"/>
      <c r="H81" s="2" t="str">
        <f>_xlfn.XLOOKUP(G81,Tab_Def_Processes[Process_Name],Tab_Def_Processes[Process_ID],,0,)</f>
        <v>00</v>
      </c>
      <c r="I81" s="18"/>
      <c r="J81" s="5" t="str">
        <f>_xlfn.XLOOKUP(I81,Tab_Def_Processes[Process_Name],Tab_Def_Processes[Process_ID],,0,)</f>
        <v>00</v>
      </c>
      <c r="K81" s="18" t="s">
        <v>2</v>
      </c>
      <c r="L81" s="18" t="s">
        <v>2</v>
      </c>
      <c r="M81" s="18" t="s">
        <v>2</v>
      </c>
      <c r="N81" s="18" t="s">
        <v>2</v>
      </c>
      <c r="O81" s="18" t="s">
        <v>2</v>
      </c>
      <c r="P81" s="18" t="s">
        <v>2</v>
      </c>
      <c r="Q81" s="2" t="str">
        <f>Tab_Def_Flows[[#This Row],[Flow_ID]]&amp;"_E1"</f>
        <v>F_00_00_E1</v>
      </c>
      <c r="R81" s="20"/>
      <c r="S81" s="2" t="str">
        <f>Tab_Def_Flows[[#This Row],[Flow_ID]]&amp;"_E2"</f>
        <v>F_00_00_E2</v>
      </c>
      <c r="T81" s="16"/>
      <c r="U81" s="2" t="str">
        <f>Tab_Def_Flows[[#This Row],[Flow_ID]]&amp;"_E3"</f>
        <v>F_00_00_E3</v>
      </c>
      <c r="V81" s="16"/>
      <c r="W81" s="2" t="str">
        <f>Tab_Def_Flows[[#This Row],[Flow_ID]]&amp;"_E4"</f>
        <v>F_00_00_E4</v>
      </c>
      <c r="X81" s="16"/>
      <c r="Y81" s="2" t="str">
        <f>Tab_Def_Flows[[#This Row],[Flow_ID]]&amp;"_E5"</f>
        <v>F_00_00_E5</v>
      </c>
      <c r="Z81" s="20"/>
      <c r="AA81" s="2" t="str">
        <f>Tab_Def_Flows[[#This Row],[Flow_ID]]&amp;"_E6"</f>
        <v>F_00_00_E6</v>
      </c>
      <c r="AB81" s="20"/>
      <c r="AC81" s="9"/>
      <c r="AD81" s="9"/>
      <c r="AE81" s="9"/>
      <c r="AF81" s="9"/>
      <c r="AG81" s="9"/>
      <c r="AH81" s="49" t="b">
        <f>'0_Configuration'!$C$2</f>
        <v>1</v>
      </c>
      <c r="AI81" s="2"/>
      <c r="AJ81" s="49" t="b">
        <f>'0_Configuration'!$C$6</f>
        <v>0</v>
      </c>
      <c r="AK81" s="2" t="s">
        <v>344</v>
      </c>
      <c r="AL81" s="49" t="b">
        <f>'0_Configuration'!$C$10</f>
        <v>0</v>
      </c>
      <c r="AM81" s="2" t="s">
        <v>344</v>
      </c>
      <c r="AN81" s="49" t="b">
        <f>'0_Configuration'!$C$17</f>
        <v>0</v>
      </c>
      <c r="AO81" s="2">
        <f>_xlfn.XLOOKUP(Tab_Def_Flows[[#This Row],[ODYM_Good_Type]],Tab_Configuration[Value],Tab_Configuration[ODYM_ID],,0,)</f>
        <v>0</v>
      </c>
      <c r="AP81" s="49" t="b">
        <f>'0_Configuration'!$C$24</f>
        <v>0</v>
      </c>
      <c r="AQ81" s="2"/>
      <c r="AR81" s="49" t="b">
        <f>'0_Configuration'!$C$29</f>
        <v>1</v>
      </c>
      <c r="AS81" s="2" t="s">
        <v>358</v>
      </c>
      <c r="AT81" s="2" t="str">
        <f>IF(Tab_Def_Flows[[#This Row],[ODYM_time_(t)]],"t,","")&amp;IF(Tab_Def_Flows[[#This Row],[ODYM_Region_(r)]],"r,","")&amp;IF(Tab_Def_Flows[[#This Row],[ODYM_process_(p)]],"p,","")&amp;IF(Tab_Def_Flows[[#This Row],[ODYM_Good_(g)2]],"g,","")&amp;IF(Tab_Def_Flows[[#This Row],[ODYM_material_(m)]],"m,","")&amp;IF(Tab_Def_Flows[[#This Row],[ODYM_element_(e)]],"e","")</f>
        <v>t,e</v>
      </c>
      <c r="AU8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22" t="b">
        <v>0</v>
      </c>
      <c r="B82" s="12">
        <f t="shared" si="5"/>
        <v>81</v>
      </c>
      <c r="C82" s="2" t="str">
        <f t="shared" si="3"/>
        <v>F_00_00</v>
      </c>
      <c r="D82" s="3"/>
      <c r="E82" s="9"/>
      <c r="F82" s="2"/>
      <c r="G82" s="18"/>
      <c r="H82" s="2" t="str">
        <f>_xlfn.XLOOKUP(G82,Tab_Def_Processes[Process_Name],Tab_Def_Processes[Process_ID],,0,)</f>
        <v>00</v>
      </c>
      <c r="I82" s="18"/>
      <c r="J82" s="5" t="str">
        <f>_xlfn.XLOOKUP(I82,Tab_Def_Processes[Process_Name],Tab_Def_Processes[Process_ID],,0,)</f>
        <v>00</v>
      </c>
      <c r="K82" s="18" t="s">
        <v>2</v>
      </c>
      <c r="L82" s="18" t="s">
        <v>2</v>
      </c>
      <c r="M82" s="18" t="s">
        <v>2</v>
      </c>
      <c r="N82" s="18" t="s">
        <v>2</v>
      </c>
      <c r="O82" s="18" t="s">
        <v>2</v>
      </c>
      <c r="P82" s="18" t="s">
        <v>2</v>
      </c>
      <c r="Q82" s="2" t="str">
        <f>Tab_Def_Flows[[#This Row],[Flow_ID]]&amp;"_E1"</f>
        <v>F_00_00_E1</v>
      </c>
      <c r="R82" s="20"/>
      <c r="S82" s="2" t="str">
        <f>Tab_Def_Flows[[#This Row],[Flow_ID]]&amp;"_E2"</f>
        <v>F_00_00_E2</v>
      </c>
      <c r="T82" s="16"/>
      <c r="U82" s="2" t="str">
        <f>Tab_Def_Flows[[#This Row],[Flow_ID]]&amp;"_E3"</f>
        <v>F_00_00_E3</v>
      </c>
      <c r="V82" s="16"/>
      <c r="W82" s="2" t="str">
        <f>Tab_Def_Flows[[#This Row],[Flow_ID]]&amp;"_E4"</f>
        <v>F_00_00_E4</v>
      </c>
      <c r="X82" s="16"/>
      <c r="Y82" s="2" t="str">
        <f>Tab_Def_Flows[[#This Row],[Flow_ID]]&amp;"_E5"</f>
        <v>F_00_00_E5</v>
      </c>
      <c r="Z82" s="20"/>
      <c r="AA82" s="2" t="str">
        <f>Tab_Def_Flows[[#This Row],[Flow_ID]]&amp;"_E6"</f>
        <v>F_00_00_E6</v>
      </c>
      <c r="AB82" s="20"/>
      <c r="AC82" s="9"/>
      <c r="AD82" s="9"/>
      <c r="AE82" s="9"/>
      <c r="AF82" s="9"/>
      <c r="AG82" s="9"/>
      <c r="AH82" s="49" t="b">
        <f>'0_Configuration'!$C$2</f>
        <v>1</v>
      </c>
      <c r="AI82" s="2"/>
      <c r="AJ82" s="49" t="b">
        <f>'0_Configuration'!$C$6</f>
        <v>0</v>
      </c>
      <c r="AK82" s="2" t="s">
        <v>344</v>
      </c>
      <c r="AL82" s="49" t="b">
        <f>'0_Configuration'!$C$10</f>
        <v>0</v>
      </c>
      <c r="AM82" s="2" t="s">
        <v>344</v>
      </c>
      <c r="AN82" s="49" t="b">
        <f>'0_Configuration'!$C$17</f>
        <v>0</v>
      </c>
      <c r="AO82" s="2">
        <f>_xlfn.XLOOKUP(Tab_Def_Flows[[#This Row],[ODYM_Good_Type]],Tab_Configuration[Value],Tab_Configuration[ODYM_ID],,0,)</f>
        <v>0</v>
      </c>
      <c r="AP82" s="49" t="b">
        <f>'0_Configuration'!$C$24</f>
        <v>0</v>
      </c>
      <c r="AQ82" s="2"/>
      <c r="AR82" s="49" t="b">
        <f>'0_Configuration'!$C$29</f>
        <v>1</v>
      </c>
      <c r="AS82" s="2" t="s">
        <v>358</v>
      </c>
      <c r="AT82" s="2" t="str">
        <f>IF(Tab_Def_Flows[[#This Row],[ODYM_time_(t)]],"t,","")&amp;IF(Tab_Def_Flows[[#This Row],[ODYM_Region_(r)]],"r,","")&amp;IF(Tab_Def_Flows[[#This Row],[ODYM_process_(p)]],"p,","")&amp;IF(Tab_Def_Flows[[#This Row],[ODYM_Good_(g)2]],"g,","")&amp;IF(Tab_Def_Flows[[#This Row],[ODYM_material_(m)]],"m,","")&amp;IF(Tab_Def_Flows[[#This Row],[ODYM_element_(e)]],"e","")</f>
        <v>t,e</v>
      </c>
      <c r="AU8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22" t="b">
        <v>0</v>
      </c>
      <c r="B83" s="12">
        <f t="shared" si="5"/>
        <v>82</v>
      </c>
      <c r="C83" s="2" t="str">
        <f t="shared" si="3"/>
        <v>F_00_00</v>
      </c>
      <c r="D83" s="3"/>
      <c r="E83" s="9"/>
      <c r="F83" s="2"/>
      <c r="G83" s="18"/>
      <c r="H83" s="2" t="str">
        <f>_xlfn.XLOOKUP(G83,Tab_Def_Processes[Process_Name],Tab_Def_Processes[Process_ID],,0,)</f>
        <v>00</v>
      </c>
      <c r="I83" s="18"/>
      <c r="J83" s="5" t="str">
        <f>_xlfn.XLOOKUP(I83,Tab_Def_Processes[Process_Name],Tab_Def_Processes[Process_ID],,0,)</f>
        <v>00</v>
      </c>
      <c r="K83" s="18" t="s">
        <v>2</v>
      </c>
      <c r="L83" s="18" t="s">
        <v>2</v>
      </c>
      <c r="M83" s="18" t="s">
        <v>2</v>
      </c>
      <c r="N83" s="18" t="s">
        <v>2</v>
      </c>
      <c r="O83" s="18" t="s">
        <v>2</v>
      </c>
      <c r="P83" s="18" t="s">
        <v>2</v>
      </c>
      <c r="Q83" s="2" t="str">
        <f>Tab_Def_Flows[[#This Row],[Flow_ID]]&amp;"_E1"</f>
        <v>F_00_00_E1</v>
      </c>
      <c r="R83" s="20"/>
      <c r="S83" s="2" t="str">
        <f>Tab_Def_Flows[[#This Row],[Flow_ID]]&amp;"_E2"</f>
        <v>F_00_00_E2</v>
      </c>
      <c r="T83" s="16"/>
      <c r="U83" s="2" t="str">
        <f>Tab_Def_Flows[[#This Row],[Flow_ID]]&amp;"_E3"</f>
        <v>F_00_00_E3</v>
      </c>
      <c r="V83" s="16"/>
      <c r="W83" s="2" t="str">
        <f>Tab_Def_Flows[[#This Row],[Flow_ID]]&amp;"_E4"</f>
        <v>F_00_00_E4</v>
      </c>
      <c r="X83" s="16"/>
      <c r="Y83" s="2" t="str">
        <f>Tab_Def_Flows[[#This Row],[Flow_ID]]&amp;"_E5"</f>
        <v>F_00_00_E5</v>
      </c>
      <c r="Z83" s="20"/>
      <c r="AA83" s="2" t="str">
        <f>Tab_Def_Flows[[#This Row],[Flow_ID]]&amp;"_E6"</f>
        <v>F_00_00_E6</v>
      </c>
      <c r="AB83" s="20"/>
      <c r="AC83" s="9"/>
      <c r="AD83" s="9"/>
      <c r="AE83" s="9"/>
      <c r="AF83" s="9"/>
      <c r="AG83" s="9"/>
      <c r="AH83" s="49" t="b">
        <f>'0_Configuration'!$C$2</f>
        <v>1</v>
      </c>
      <c r="AI83" s="2"/>
      <c r="AJ83" s="49" t="b">
        <f>'0_Configuration'!$C$6</f>
        <v>0</v>
      </c>
      <c r="AK83" s="2" t="s">
        <v>344</v>
      </c>
      <c r="AL83" s="49" t="b">
        <f>'0_Configuration'!$C$10</f>
        <v>0</v>
      </c>
      <c r="AM83" s="2" t="s">
        <v>344</v>
      </c>
      <c r="AN83" s="49" t="b">
        <f>'0_Configuration'!$C$17</f>
        <v>0</v>
      </c>
      <c r="AO83" s="2">
        <f>_xlfn.XLOOKUP(Tab_Def_Flows[[#This Row],[ODYM_Good_Type]],Tab_Configuration[Value],Tab_Configuration[ODYM_ID],,0,)</f>
        <v>0</v>
      </c>
      <c r="AP83" s="49" t="b">
        <f>'0_Configuration'!$C$24</f>
        <v>0</v>
      </c>
      <c r="AQ83" s="2"/>
      <c r="AR83" s="49" t="b">
        <f>'0_Configuration'!$C$29</f>
        <v>1</v>
      </c>
      <c r="AS83" s="2" t="s">
        <v>358</v>
      </c>
      <c r="AT83" s="2" t="str">
        <f>IF(Tab_Def_Flows[[#This Row],[ODYM_time_(t)]],"t,","")&amp;IF(Tab_Def_Flows[[#This Row],[ODYM_Region_(r)]],"r,","")&amp;IF(Tab_Def_Flows[[#This Row],[ODYM_process_(p)]],"p,","")&amp;IF(Tab_Def_Flows[[#This Row],[ODYM_Good_(g)2]],"g,","")&amp;IF(Tab_Def_Flows[[#This Row],[ODYM_material_(m)]],"m,","")&amp;IF(Tab_Def_Flows[[#This Row],[ODYM_element_(e)]],"e","")</f>
        <v>t,e</v>
      </c>
      <c r="AU8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22" t="b">
        <v>0</v>
      </c>
      <c r="B84" s="12">
        <f t="shared" si="5"/>
        <v>83</v>
      </c>
      <c r="C84" s="2" t="str">
        <f t="shared" si="3"/>
        <v>F_00_00</v>
      </c>
      <c r="D84" s="3"/>
      <c r="E84" s="9"/>
      <c r="F84" s="2"/>
      <c r="G84" s="18"/>
      <c r="H84" s="2" t="str">
        <f>_xlfn.XLOOKUP(G84,Tab_Def_Processes[Process_Name],Tab_Def_Processes[Process_ID],,0,)</f>
        <v>00</v>
      </c>
      <c r="I84" s="18"/>
      <c r="J84" s="5" t="str">
        <f>_xlfn.XLOOKUP(I84,Tab_Def_Processes[Process_Name],Tab_Def_Processes[Process_ID],,0,)</f>
        <v>00</v>
      </c>
      <c r="K84" s="18" t="s">
        <v>2</v>
      </c>
      <c r="L84" s="18" t="s">
        <v>2</v>
      </c>
      <c r="M84" s="18" t="s">
        <v>2</v>
      </c>
      <c r="N84" s="18" t="s">
        <v>2</v>
      </c>
      <c r="O84" s="18" t="s">
        <v>2</v>
      </c>
      <c r="P84" s="18" t="s">
        <v>2</v>
      </c>
      <c r="Q84" s="2" t="str">
        <f>Tab_Def_Flows[[#This Row],[Flow_ID]]&amp;"_E1"</f>
        <v>F_00_00_E1</v>
      </c>
      <c r="R84" s="20"/>
      <c r="S84" s="2" t="str">
        <f>Tab_Def_Flows[[#This Row],[Flow_ID]]&amp;"_E2"</f>
        <v>F_00_00_E2</v>
      </c>
      <c r="T84" s="16"/>
      <c r="U84" s="2" t="str">
        <f>Tab_Def_Flows[[#This Row],[Flow_ID]]&amp;"_E3"</f>
        <v>F_00_00_E3</v>
      </c>
      <c r="V84" s="16"/>
      <c r="W84" s="2" t="str">
        <f>Tab_Def_Flows[[#This Row],[Flow_ID]]&amp;"_E4"</f>
        <v>F_00_00_E4</v>
      </c>
      <c r="X84" s="16"/>
      <c r="Y84" s="2" t="str">
        <f>Tab_Def_Flows[[#This Row],[Flow_ID]]&amp;"_E5"</f>
        <v>F_00_00_E5</v>
      </c>
      <c r="Z84" s="20"/>
      <c r="AA84" s="2" t="str">
        <f>Tab_Def_Flows[[#This Row],[Flow_ID]]&amp;"_E6"</f>
        <v>F_00_00_E6</v>
      </c>
      <c r="AB84" s="20"/>
      <c r="AC84" s="9"/>
      <c r="AD84" s="9"/>
      <c r="AE84" s="9"/>
      <c r="AF84" s="9"/>
      <c r="AG84" s="9"/>
      <c r="AH84" s="49" t="b">
        <f>'0_Configuration'!$C$2</f>
        <v>1</v>
      </c>
      <c r="AI84" s="2"/>
      <c r="AJ84" s="49" t="b">
        <f>'0_Configuration'!$C$6</f>
        <v>0</v>
      </c>
      <c r="AK84" s="2" t="s">
        <v>344</v>
      </c>
      <c r="AL84" s="49" t="b">
        <f>'0_Configuration'!$C$10</f>
        <v>0</v>
      </c>
      <c r="AM84" s="2" t="s">
        <v>344</v>
      </c>
      <c r="AN84" s="49" t="b">
        <f>'0_Configuration'!$C$17</f>
        <v>0</v>
      </c>
      <c r="AO84" s="2">
        <f>_xlfn.XLOOKUP(Tab_Def_Flows[[#This Row],[ODYM_Good_Type]],Tab_Configuration[Value],Tab_Configuration[ODYM_ID],,0,)</f>
        <v>0</v>
      </c>
      <c r="AP84" s="49" t="b">
        <f>'0_Configuration'!$C$24</f>
        <v>0</v>
      </c>
      <c r="AQ84" s="2"/>
      <c r="AR84" s="49" t="b">
        <f>'0_Configuration'!$C$29</f>
        <v>1</v>
      </c>
      <c r="AS84" s="2" t="s">
        <v>358</v>
      </c>
      <c r="AT84" s="2" t="str">
        <f>IF(Tab_Def_Flows[[#This Row],[ODYM_time_(t)]],"t,","")&amp;IF(Tab_Def_Flows[[#This Row],[ODYM_Region_(r)]],"r,","")&amp;IF(Tab_Def_Flows[[#This Row],[ODYM_process_(p)]],"p,","")&amp;IF(Tab_Def_Flows[[#This Row],[ODYM_Good_(g)2]],"g,","")&amp;IF(Tab_Def_Flows[[#This Row],[ODYM_material_(m)]],"m,","")&amp;IF(Tab_Def_Flows[[#This Row],[ODYM_element_(e)]],"e","")</f>
        <v>t,e</v>
      </c>
      <c r="AU8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22" t="b">
        <v>0</v>
      </c>
      <c r="B85" s="12">
        <f t="shared" si="5"/>
        <v>84</v>
      </c>
      <c r="C85" s="2" t="str">
        <f t="shared" si="3"/>
        <v>F_00_00</v>
      </c>
      <c r="D85" s="3"/>
      <c r="E85" s="9"/>
      <c r="F85" s="2"/>
      <c r="G85" s="18"/>
      <c r="H85" s="2" t="str">
        <f>_xlfn.XLOOKUP(G85,Tab_Def_Processes[Process_Name],Tab_Def_Processes[Process_ID],,0,)</f>
        <v>00</v>
      </c>
      <c r="I85" s="18"/>
      <c r="J85" s="5" t="str">
        <f>_xlfn.XLOOKUP(I85,Tab_Def_Processes[Process_Name],Tab_Def_Processes[Process_ID],,0,)</f>
        <v>00</v>
      </c>
      <c r="K85" s="18" t="s">
        <v>2</v>
      </c>
      <c r="L85" s="18" t="s">
        <v>2</v>
      </c>
      <c r="M85" s="18" t="s">
        <v>2</v>
      </c>
      <c r="N85" s="18" t="s">
        <v>2</v>
      </c>
      <c r="O85" s="18" t="s">
        <v>2</v>
      </c>
      <c r="P85" s="18" t="s">
        <v>2</v>
      </c>
      <c r="Q85" s="2" t="str">
        <f>Tab_Def_Flows[[#This Row],[Flow_ID]]&amp;"_E1"</f>
        <v>F_00_00_E1</v>
      </c>
      <c r="R85" s="20"/>
      <c r="S85" s="2" t="str">
        <f>Tab_Def_Flows[[#This Row],[Flow_ID]]&amp;"_E2"</f>
        <v>F_00_00_E2</v>
      </c>
      <c r="T85" s="16"/>
      <c r="U85" s="2" t="str">
        <f>Tab_Def_Flows[[#This Row],[Flow_ID]]&amp;"_E3"</f>
        <v>F_00_00_E3</v>
      </c>
      <c r="V85" s="16"/>
      <c r="W85" s="2" t="str">
        <f>Tab_Def_Flows[[#This Row],[Flow_ID]]&amp;"_E4"</f>
        <v>F_00_00_E4</v>
      </c>
      <c r="X85" s="16"/>
      <c r="Y85" s="2" t="str">
        <f>Tab_Def_Flows[[#This Row],[Flow_ID]]&amp;"_E5"</f>
        <v>F_00_00_E5</v>
      </c>
      <c r="Z85" s="20"/>
      <c r="AA85" s="2" t="str">
        <f>Tab_Def_Flows[[#This Row],[Flow_ID]]&amp;"_E6"</f>
        <v>F_00_00_E6</v>
      </c>
      <c r="AB85" s="20"/>
      <c r="AC85" s="9"/>
      <c r="AD85" s="9"/>
      <c r="AE85" s="9"/>
      <c r="AF85" s="9"/>
      <c r="AG85" s="9"/>
      <c r="AH85" s="49" t="b">
        <f>'0_Configuration'!$C$2</f>
        <v>1</v>
      </c>
      <c r="AI85" s="2"/>
      <c r="AJ85" s="49" t="b">
        <f>'0_Configuration'!$C$6</f>
        <v>0</v>
      </c>
      <c r="AK85" s="2" t="s">
        <v>344</v>
      </c>
      <c r="AL85" s="49" t="b">
        <f>'0_Configuration'!$C$10</f>
        <v>0</v>
      </c>
      <c r="AM85" s="2" t="s">
        <v>344</v>
      </c>
      <c r="AN85" s="49" t="b">
        <f>'0_Configuration'!$C$17</f>
        <v>0</v>
      </c>
      <c r="AO85" s="2">
        <f>_xlfn.XLOOKUP(Tab_Def_Flows[[#This Row],[ODYM_Good_Type]],Tab_Configuration[Value],Tab_Configuration[ODYM_ID],,0,)</f>
        <v>0</v>
      </c>
      <c r="AP85" s="49" t="b">
        <f>'0_Configuration'!$C$24</f>
        <v>0</v>
      </c>
      <c r="AQ85" s="2"/>
      <c r="AR85" s="49" t="b">
        <f>'0_Configuration'!$C$29</f>
        <v>1</v>
      </c>
      <c r="AS85" s="2" t="s">
        <v>358</v>
      </c>
      <c r="AT85" s="2" t="str">
        <f>IF(Tab_Def_Flows[[#This Row],[ODYM_time_(t)]],"t,","")&amp;IF(Tab_Def_Flows[[#This Row],[ODYM_Region_(r)]],"r,","")&amp;IF(Tab_Def_Flows[[#This Row],[ODYM_process_(p)]],"p,","")&amp;IF(Tab_Def_Flows[[#This Row],[ODYM_Good_(g)2]],"g,","")&amp;IF(Tab_Def_Flows[[#This Row],[ODYM_material_(m)]],"m,","")&amp;IF(Tab_Def_Flows[[#This Row],[ODYM_element_(e)]],"e","")</f>
        <v>t,e</v>
      </c>
      <c r="AU8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22" t="b">
        <v>0</v>
      </c>
      <c r="B86" s="12">
        <f t="shared" si="5"/>
        <v>85</v>
      </c>
      <c r="C86" s="2" t="str">
        <f t="shared" si="3"/>
        <v>F_00_00</v>
      </c>
      <c r="D86" s="3"/>
      <c r="E86" s="9"/>
      <c r="F86" s="2"/>
      <c r="G86" s="18"/>
      <c r="H86" s="2" t="str">
        <f>_xlfn.XLOOKUP(G86,Tab_Def_Processes[Process_Name],Tab_Def_Processes[Process_ID],,0,)</f>
        <v>00</v>
      </c>
      <c r="I86" s="18"/>
      <c r="J86" s="5" t="str">
        <f>_xlfn.XLOOKUP(I86,Tab_Def_Processes[Process_Name],Tab_Def_Processes[Process_ID],,0,)</f>
        <v>00</v>
      </c>
      <c r="K86" s="18" t="s">
        <v>2</v>
      </c>
      <c r="L86" s="18" t="s">
        <v>2</v>
      </c>
      <c r="M86" s="18" t="s">
        <v>2</v>
      </c>
      <c r="N86" s="18" t="s">
        <v>2</v>
      </c>
      <c r="O86" s="18" t="s">
        <v>2</v>
      </c>
      <c r="P86" s="18" t="s">
        <v>2</v>
      </c>
      <c r="Q86" s="2" t="str">
        <f>Tab_Def_Flows[[#This Row],[Flow_ID]]&amp;"_E1"</f>
        <v>F_00_00_E1</v>
      </c>
      <c r="R86" s="20"/>
      <c r="S86" s="2" t="str">
        <f>Tab_Def_Flows[[#This Row],[Flow_ID]]&amp;"_E2"</f>
        <v>F_00_00_E2</v>
      </c>
      <c r="T86" s="16"/>
      <c r="U86" s="2" t="str">
        <f>Tab_Def_Flows[[#This Row],[Flow_ID]]&amp;"_E3"</f>
        <v>F_00_00_E3</v>
      </c>
      <c r="V86" s="16"/>
      <c r="W86" s="2" t="str">
        <f>Tab_Def_Flows[[#This Row],[Flow_ID]]&amp;"_E4"</f>
        <v>F_00_00_E4</v>
      </c>
      <c r="X86" s="16"/>
      <c r="Y86" s="2" t="str">
        <f>Tab_Def_Flows[[#This Row],[Flow_ID]]&amp;"_E5"</f>
        <v>F_00_00_E5</v>
      </c>
      <c r="Z86" s="20"/>
      <c r="AA86" s="2" t="str">
        <f>Tab_Def_Flows[[#This Row],[Flow_ID]]&amp;"_E6"</f>
        <v>F_00_00_E6</v>
      </c>
      <c r="AB86" s="20"/>
      <c r="AC86" s="9"/>
      <c r="AD86" s="9"/>
      <c r="AE86" s="9"/>
      <c r="AF86" s="9"/>
      <c r="AG86" s="9"/>
      <c r="AH86" s="49" t="b">
        <f>'0_Configuration'!$C$2</f>
        <v>1</v>
      </c>
      <c r="AI86" s="2"/>
      <c r="AJ86" s="49" t="b">
        <f>'0_Configuration'!$C$6</f>
        <v>0</v>
      </c>
      <c r="AK86" s="2" t="s">
        <v>344</v>
      </c>
      <c r="AL86" s="49" t="b">
        <f>'0_Configuration'!$C$10</f>
        <v>0</v>
      </c>
      <c r="AM86" s="2" t="s">
        <v>344</v>
      </c>
      <c r="AN86" s="49" t="b">
        <f>'0_Configuration'!$C$17</f>
        <v>0</v>
      </c>
      <c r="AO86" s="2">
        <f>_xlfn.XLOOKUP(Tab_Def_Flows[[#This Row],[ODYM_Good_Type]],Tab_Configuration[Value],Tab_Configuration[ODYM_ID],,0,)</f>
        <v>0</v>
      </c>
      <c r="AP86" s="49" t="b">
        <f>'0_Configuration'!$C$24</f>
        <v>0</v>
      </c>
      <c r="AQ86" s="2"/>
      <c r="AR86" s="49" t="b">
        <f>'0_Configuration'!$C$29</f>
        <v>1</v>
      </c>
      <c r="AS86" s="2" t="s">
        <v>358</v>
      </c>
      <c r="AT86" s="2" t="str">
        <f>IF(Tab_Def_Flows[[#This Row],[ODYM_time_(t)]],"t,","")&amp;IF(Tab_Def_Flows[[#This Row],[ODYM_Region_(r)]],"r,","")&amp;IF(Tab_Def_Flows[[#This Row],[ODYM_process_(p)]],"p,","")&amp;IF(Tab_Def_Flows[[#This Row],[ODYM_Good_(g)2]],"g,","")&amp;IF(Tab_Def_Flows[[#This Row],[ODYM_material_(m)]],"m,","")&amp;IF(Tab_Def_Flows[[#This Row],[ODYM_element_(e)]],"e","")</f>
        <v>t,e</v>
      </c>
      <c r="AU8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22" t="b">
        <v>0</v>
      </c>
      <c r="B87" s="12">
        <f t="shared" si="5"/>
        <v>86</v>
      </c>
      <c r="C87" s="2" t="str">
        <f t="shared" si="3"/>
        <v>F_00_00</v>
      </c>
      <c r="D87" s="3"/>
      <c r="E87" s="9"/>
      <c r="F87" s="2"/>
      <c r="G87" s="18"/>
      <c r="H87" s="2" t="str">
        <f>_xlfn.XLOOKUP(G87,Tab_Def_Processes[Process_Name],Tab_Def_Processes[Process_ID],,0,)</f>
        <v>00</v>
      </c>
      <c r="I87" s="18"/>
      <c r="J87" s="5" t="str">
        <f>_xlfn.XLOOKUP(I87,Tab_Def_Processes[Process_Name],Tab_Def_Processes[Process_ID],,0,)</f>
        <v>00</v>
      </c>
      <c r="K87" s="18" t="s">
        <v>2</v>
      </c>
      <c r="L87" s="18" t="s">
        <v>2</v>
      </c>
      <c r="M87" s="18" t="s">
        <v>2</v>
      </c>
      <c r="N87" s="18" t="s">
        <v>2</v>
      </c>
      <c r="O87" s="18" t="s">
        <v>2</v>
      </c>
      <c r="P87" s="18" t="s">
        <v>2</v>
      </c>
      <c r="Q87" s="2" t="str">
        <f>Tab_Def_Flows[[#This Row],[Flow_ID]]&amp;"_E1"</f>
        <v>F_00_00_E1</v>
      </c>
      <c r="R87" s="20"/>
      <c r="S87" s="2" t="str">
        <f>Tab_Def_Flows[[#This Row],[Flow_ID]]&amp;"_E2"</f>
        <v>F_00_00_E2</v>
      </c>
      <c r="T87" s="16"/>
      <c r="U87" s="2" t="str">
        <f>Tab_Def_Flows[[#This Row],[Flow_ID]]&amp;"_E3"</f>
        <v>F_00_00_E3</v>
      </c>
      <c r="V87" s="16"/>
      <c r="W87" s="2" t="str">
        <f>Tab_Def_Flows[[#This Row],[Flow_ID]]&amp;"_E4"</f>
        <v>F_00_00_E4</v>
      </c>
      <c r="X87" s="16"/>
      <c r="Y87" s="2" t="str">
        <f>Tab_Def_Flows[[#This Row],[Flow_ID]]&amp;"_E5"</f>
        <v>F_00_00_E5</v>
      </c>
      <c r="Z87" s="20"/>
      <c r="AA87" s="2" t="str">
        <f>Tab_Def_Flows[[#This Row],[Flow_ID]]&amp;"_E6"</f>
        <v>F_00_00_E6</v>
      </c>
      <c r="AB87" s="20"/>
      <c r="AC87" s="9"/>
      <c r="AD87" s="9"/>
      <c r="AE87" s="9"/>
      <c r="AF87" s="9"/>
      <c r="AG87" s="9"/>
      <c r="AH87" s="49" t="b">
        <f>'0_Configuration'!$C$2</f>
        <v>1</v>
      </c>
      <c r="AI87" s="2"/>
      <c r="AJ87" s="49" t="b">
        <f>'0_Configuration'!$C$6</f>
        <v>0</v>
      </c>
      <c r="AK87" s="2" t="s">
        <v>344</v>
      </c>
      <c r="AL87" s="49" t="b">
        <f>'0_Configuration'!$C$10</f>
        <v>0</v>
      </c>
      <c r="AM87" s="2" t="s">
        <v>344</v>
      </c>
      <c r="AN87" s="49" t="b">
        <f>'0_Configuration'!$C$17</f>
        <v>0</v>
      </c>
      <c r="AO87" s="2">
        <f>_xlfn.XLOOKUP(Tab_Def_Flows[[#This Row],[ODYM_Good_Type]],Tab_Configuration[Value],Tab_Configuration[ODYM_ID],,0,)</f>
        <v>0</v>
      </c>
      <c r="AP87" s="49" t="b">
        <f>'0_Configuration'!$C$24</f>
        <v>0</v>
      </c>
      <c r="AQ87" s="2"/>
      <c r="AR87" s="49" t="b">
        <f>'0_Configuration'!$C$29</f>
        <v>1</v>
      </c>
      <c r="AS87" s="2" t="s">
        <v>358</v>
      </c>
      <c r="AT87" s="2" t="str">
        <f>IF(Tab_Def_Flows[[#This Row],[ODYM_time_(t)]],"t,","")&amp;IF(Tab_Def_Flows[[#This Row],[ODYM_Region_(r)]],"r,","")&amp;IF(Tab_Def_Flows[[#This Row],[ODYM_process_(p)]],"p,","")&amp;IF(Tab_Def_Flows[[#This Row],[ODYM_Good_(g)2]],"g,","")&amp;IF(Tab_Def_Flows[[#This Row],[ODYM_material_(m)]],"m,","")&amp;IF(Tab_Def_Flows[[#This Row],[ODYM_element_(e)]],"e","")</f>
        <v>t,e</v>
      </c>
      <c r="AU8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22" t="b">
        <v>0</v>
      </c>
      <c r="B88" s="12">
        <f t="shared" si="5"/>
        <v>87</v>
      </c>
      <c r="C88" s="2" t="str">
        <f t="shared" si="3"/>
        <v>F_00_00</v>
      </c>
      <c r="D88" s="3"/>
      <c r="E88" s="9"/>
      <c r="F88" s="2"/>
      <c r="G88" s="18"/>
      <c r="H88" s="2" t="str">
        <f>_xlfn.XLOOKUP(G88,Tab_Def_Processes[Process_Name],Tab_Def_Processes[Process_ID],,0,)</f>
        <v>00</v>
      </c>
      <c r="I88" s="18"/>
      <c r="J88" s="5" t="str">
        <f>_xlfn.XLOOKUP(I88,Tab_Def_Processes[Process_Name],Tab_Def_Processes[Process_ID],,0,)</f>
        <v>00</v>
      </c>
      <c r="K88" s="18" t="s">
        <v>2</v>
      </c>
      <c r="L88" s="18" t="s">
        <v>2</v>
      </c>
      <c r="M88" s="18" t="s">
        <v>2</v>
      </c>
      <c r="N88" s="18" t="s">
        <v>2</v>
      </c>
      <c r="O88" s="18" t="s">
        <v>2</v>
      </c>
      <c r="P88" s="18" t="s">
        <v>2</v>
      </c>
      <c r="Q88" s="2" t="str">
        <f>Tab_Def_Flows[[#This Row],[Flow_ID]]&amp;"_E1"</f>
        <v>F_00_00_E1</v>
      </c>
      <c r="R88" s="20"/>
      <c r="S88" s="2" t="str">
        <f>Tab_Def_Flows[[#This Row],[Flow_ID]]&amp;"_E2"</f>
        <v>F_00_00_E2</v>
      </c>
      <c r="T88" s="16"/>
      <c r="U88" s="2" t="str">
        <f>Tab_Def_Flows[[#This Row],[Flow_ID]]&amp;"_E3"</f>
        <v>F_00_00_E3</v>
      </c>
      <c r="V88" s="16"/>
      <c r="W88" s="2" t="str">
        <f>Tab_Def_Flows[[#This Row],[Flow_ID]]&amp;"_E4"</f>
        <v>F_00_00_E4</v>
      </c>
      <c r="X88" s="16"/>
      <c r="Y88" s="2" t="str">
        <f>Tab_Def_Flows[[#This Row],[Flow_ID]]&amp;"_E5"</f>
        <v>F_00_00_E5</v>
      </c>
      <c r="Z88" s="20"/>
      <c r="AA88" s="2" t="str">
        <f>Tab_Def_Flows[[#This Row],[Flow_ID]]&amp;"_E6"</f>
        <v>F_00_00_E6</v>
      </c>
      <c r="AB88" s="20"/>
      <c r="AC88" s="9"/>
      <c r="AD88" s="9"/>
      <c r="AE88" s="9"/>
      <c r="AF88" s="9"/>
      <c r="AG88" s="9"/>
      <c r="AH88" s="49" t="b">
        <f>'0_Configuration'!$C$2</f>
        <v>1</v>
      </c>
      <c r="AI88" s="2"/>
      <c r="AJ88" s="49" t="b">
        <f>'0_Configuration'!$C$6</f>
        <v>0</v>
      </c>
      <c r="AK88" s="2" t="s">
        <v>344</v>
      </c>
      <c r="AL88" s="49" t="b">
        <f>'0_Configuration'!$C$10</f>
        <v>0</v>
      </c>
      <c r="AM88" s="2" t="s">
        <v>344</v>
      </c>
      <c r="AN88" s="49" t="b">
        <f>'0_Configuration'!$C$17</f>
        <v>0</v>
      </c>
      <c r="AO88" s="2">
        <f>_xlfn.XLOOKUP(Tab_Def_Flows[[#This Row],[ODYM_Good_Type]],Tab_Configuration[Value],Tab_Configuration[ODYM_ID],,0,)</f>
        <v>0</v>
      </c>
      <c r="AP88" s="49" t="b">
        <f>'0_Configuration'!$C$24</f>
        <v>0</v>
      </c>
      <c r="AQ88" s="2"/>
      <c r="AR88" s="49" t="b">
        <f>'0_Configuration'!$C$29</f>
        <v>1</v>
      </c>
      <c r="AS88" s="2" t="s">
        <v>358</v>
      </c>
      <c r="AT88" s="2" t="str">
        <f>IF(Tab_Def_Flows[[#This Row],[ODYM_time_(t)]],"t,","")&amp;IF(Tab_Def_Flows[[#This Row],[ODYM_Region_(r)]],"r,","")&amp;IF(Tab_Def_Flows[[#This Row],[ODYM_process_(p)]],"p,","")&amp;IF(Tab_Def_Flows[[#This Row],[ODYM_Good_(g)2]],"g,","")&amp;IF(Tab_Def_Flows[[#This Row],[ODYM_material_(m)]],"m,","")&amp;IF(Tab_Def_Flows[[#This Row],[ODYM_element_(e)]],"e","")</f>
        <v>t,e</v>
      </c>
      <c r="AU8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22" t="b">
        <v>0</v>
      </c>
      <c r="B89" s="12">
        <f t="shared" si="5"/>
        <v>88</v>
      </c>
      <c r="C89" s="2" t="str">
        <f t="shared" si="3"/>
        <v>F_00_00</v>
      </c>
      <c r="D89" s="3"/>
      <c r="E89" s="9"/>
      <c r="F89" s="2"/>
      <c r="G89" s="18"/>
      <c r="H89" s="2" t="str">
        <f>_xlfn.XLOOKUP(G89,Tab_Def_Processes[Process_Name],Tab_Def_Processes[Process_ID],,0,)</f>
        <v>00</v>
      </c>
      <c r="I89" s="18"/>
      <c r="J89" s="5" t="str">
        <f>_xlfn.XLOOKUP(I89,Tab_Def_Processes[Process_Name],Tab_Def_Processes[Process_ID],,0,)</f>
        <v>00</v>
      </c>
      <c r="K89" s="18" t="s">
        <v>2</v>
      </c>
      <c r="L89" s="18" t="s">
        <v>2</v>
      </c>
      <c r="M89" s="18" t="s">
        <v>2</v>
      </c>
      <c r="N89" s="18" t="s">
        <v>2</v>
      </c>
      <c r="O89" s="18" t="s">
        <v>2</v>
      </c>
      <c r="P89" s="18" t="s">
        <v>2</v>
      </c>
      <c r="Q89" s="2" t="str">
        <f>Tab_Def_Flows[[#This Row],[Flow_ID]]&amp;"_E1"</f>
        <v>F_00_00_E1</v>
      </c>
      <c r="R89" s="20"/>
      <c r="S89" s="2" t="str">
        <f>Tab_Def_Flows[[#This Row],[Flow_ID]]&amp;"_E2"</f>
        <v>F_00_00_E2</v>
      </c>
      <c r="T89" s="16"/>
      <c r="U89" s="2" t="str">
        <f>Tab_Def_Flows[[#This Row],[Flow_ID]]&amp;"_E3"</f>
        <v>F_00_00_E3</v>
      </c>
      <c r="V89" s="16"/>
      <c r="W89" s="2" t="str">
        <f>Tab_Def_Flows[[#This Row],[Flow_ID]]&amp;"_E4"</f>
        <v>F_00_00_E4</v>
      </c>
      <c r="X89" s="16"/>
      <c r="Y89" s="2" t="str">
        <f>Tab_Def_Flows[[#This Row],[Flow_ID]]&amp;"_E5"</f>
        <v>F_00_00_E5</v>
      </c>
      <c r="Z89" s="20"/>
      <c r="AA89" s="2" t="str">
        <f>Tab_Def_Flows[[#This Row],[Flow_ID]]&amp;"_E6"</f>
        <v>F_00_00_E6</v>
      </c>
      <c r="AB89" s="20"/>
      <c r="AC89" s="9"/>
      <c r="AD89" s="9"/>
      <c r="AE89" s="9"/>
      <c r="AF89" s="9"/>
      <c r="AG89" s="9"/>
      <c r="AH89" s="49" t="b">
        <f>'0_Configuration'!$C$2</f>
        <v>1</v>
      </c>
      <c r="AI89" s="2"/>
      <c r="AJ89" s="49" t="b">
        <f>'0_Configuration'!$C$6</f>
        <v>0</v>
      </c>
      <c r="AK89" s="2" t="s">
        <v>344</v>
      </c>
      <c r="AL89" s="49" t="b">
        <f>'0_Configuration'!$C$10</f>
        <v>0</v>
      </c>
      <c r="AM89" s="2" t="s">
        <v>344</v>
      </c>
      <c r="AN89" s="49" t="b">
        <f>'0_Configuration'!$C$17</f>
        <v>0</v>
      </c>
      <c r="AO89" s="2">
        <f>_xlfn.XLOOKUP(Tab_Def_Flows[[#This Row],[ODYM_Good_Type]],Tab_Configuration[Value],Tab_Configuration[ODYM_ID],,0,)</f>
        <v>0</v>
      </c>
      <c r="AP89" s="49" t="b">
        <f>'0_Configuration'!$C$24</f>
        <v>0</v>
      </c>
      <c r="AQ89" s="2"/>
      <c r="AR89" s="49" t="b">
        <f>'0_Configuration'!$C$29</f>
        <v>1</v>
      </c>
      <c r="AS89" s="2" t="s">
        <v>358</v>
      </c>
      <c r="AT89" s="2" t="str">
        <f>IF(Tab_Def_Flows[[#This Row],[ODYM_time_(t)]],"t,","")&amp;IF(Tab_Def_Flows[[#This Row],[ODYM_Region_(r)]],"r,","")&amp;IF(Tab_Def_Flows[[#This Row],[ODYM_process_(p)]],"p,","")&amp;IF(Tab_Def_Flows[[#This Row],[ODYM_Good_(g)2]],"g,","")&amp;IF(Tab_Def_Flows[[#This Row],[ODYM_material_(m)]],"m,","")&amp;IF(Tab_Def_Flows[[#This Row],[ODYM_element_(e)]],"e","")</f>
        <v>t,e</v>
      </c>
      <c r="AU8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22" t="b">
        <v>0</v>
      </c>
      <c r="B90" s="12">
        <f t="shared" si="5"/>
        <v>89</v>
      </c>
      <c r="C90" s="2" t="str">
        <f>"F_"&amp;LEFT(H90,2)&amp;"_"&amp;LEFT(J90,2)</f>
        <v>F_00_00</v>
      </c>
      <c r="D90" s="3"/>
      <c r="E90" s="9"/>
      <c r="F90" s="2"/>
      <c r="G90" s="18"/>
      <c r="H90" s="2" t="str">
        <f>_xlfn.XLOOKUP(G90,Tab_Def_Processes[Process_Name],Tab_Def_Processes[Process_ID],,0,)</f>
        <v>00</v>
      </c>
      <c r="I90" s="18"/>
      <c r="J90" s="5" t="str">
        <f>_xlfn.XLOOKUP(I90,Tab_Def_Processes[Process_Name],Tab_Def_Processes[Process_ID],,0,)</f>
        <v>00</v>
      </c>
      <c r="K90" s="18" t="s">
        <v>2</v>
      </c>
      <c r="L90" s="18" t="s">
        <v>2</v>
      </c>
      <c r="M90" s="18" t="s">
        <v>2</v>
      </c>
      <c r="N90" s="18" t="s">
        <v>2</v>
      </c>
      <c r="O90" s="18" t="s">
        <v>2</v>
      </c>
      <c r="P90" s="18" t="s">
        <v>2</v>
      </c>
      <c r="Q90" s="2" t="str">
        <f>Tab_Def_Flows[[#This Row],[Flow_ID]]&amp;"_E1"</f>
        <v>F_00_00_E1</v>
      </c>
      <c r="R90" s="20"/>
      <c r="S90" s="2" t="str">
        <f>Tab_Def_Flows[[#This Row],[Flow_ID]]&amp;"_E2"</f>
        <v>F_00_00_E2</v>
      </c>
      <c r="T90" s="16"/>
      <c r="U90" s="2" t="str">
        <f>Tab_Def_Flows[[#This Row],[Flow_ID]]&amp;"_E3"</f>
        <v>F_00_00_E3</v>
      </c>
      <c r="V90" s="16"/>
      <c r="W90" s="2" t="str">
        <f>Tab_Def_Flows[[#This Row],[Flow_ID]]&amp;"_E4"</f>
        <v>F_00_00_E4</v>
      </c>
      <c r="X90" s="16"/>
      <c r="Y90" s="2" t="str">
        <f>Tab_Def_Flows[[#This Row],[Flow_ID]]&amp;"_E5"</f>
        <v>F_00_00_E5</v>
      </c>
      <c r="Z90" s="20"/>
      <c r="AA90" s="2" t="str">
        <f>Tab_Def_Flows[[#This Row],[Flow_ID]]&amp;"_E6"</f>
        <v>F_00_00_E6</v>
      </c>
      <c r="AB90" s="20"/>
      <c r="AC90" s="9"/>
      <c r="AD90" s="9"/>
      <c r="AE90" s="9"/>
      <c r="AF90" s="9"/>
      <c r="AG90" s="9"/>
      <c r="AH90" s="49" t="b">
        <f>'0_Configuration'!$C$2</f>
        <v>1</v>
      </c>
      <c r="AI90" s="2"/>
      <c r="AJ90" s="49" t="b">
        <f>'0_Configuration'!$C$6</f>
        <v>0</v>
      </c>
      <c r="AK90" s="2" t="s">
        <v>344</v>
      </c>
      <c r="AL90" s="49" t="b">
        <f>'0_Configuration'!$C$10</f>
        <v>0</v>
      </c>
      <c r="AM90" s="2" t="s">
        <v>344</v>
      </c>
      <c r="AN90" s="49" t="b">
        <f>'0_Configuration'!$C$17</f>
        <v>0</v>
      </c>
      <c r="AO90" s="2">
        <f>_xlfn.XLOOKUP(Tab_Def_Flows[[#This Row],[ODYM_Good_Type]],Tab_Configuration[Value],Tab_Configuration[ODYM_ID],,0,)</f>
        <v>0</v>
      </c>
      <c r="AP90" s="49" t="b">
        <f>'0_Configuration'!$C$24</f>
        <v>0</v>
      </c>
      <c r="AQ90" s="2"/>
      <c r="AR90" s="49" t="b">
        <f>'0_Configuration'!$C$29</f>
        <v>1</v>
      </c>
      <c r="AS90" s="2" t="s">
        <v>358</v>
      </c>
      <c r="AT90" s="2" t="str">
        <f>IF(Tab_Def_Flows[[#This Row],[ODYM_time_(t)]],"t,","")&amp;IF(Tab_Def_Flows[[#This Row],[ODYM_Region_(r)]],"r,","")&amp;IF(Tab_Def_Flows[[#This Row],[ODYM_process_(p)]],"p,","")&amp;IF(Tab_Def_Flows[[#This Row],[ODYM_Good_(g)2]],"g,","")&amp;IF(Tab_Def_Flows[[#This Row],[ODYM_material_(m)]],"m,","")&amp;IF(Tab_Def_Flows[[#This Row],[ODYM_element_(e)]],"e","")</f>
        <v>t,e</v>
      </c>
      <c r="AU9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22" t="b">
        <v>0</v>
      </c>
      <c r="B91" s="12">
        <f t="shared" si="5"/>
        <v>90</v>
      </c>
      <c r="C91" s="2" t="str">
        <f>"F_"&amp;LEFT(H91,2)&amp;"_"&amp;LEFT(J91,2)</f>
        <v>F_00_00</v>
      </c>
      <c r="D91" s="3"/>
      <c r="E91" s="9"/>
      <c r="F91" s="2"/>
      <c r="G91" s="18"/>
      <c r="H91" s="2" t="str">
        <f>_xlfn.XLOOKUP(G91,Tab_Def_Processes[Process_Name],Tab_Def_Processes[Process_ID],,0,)</f>
        <v>00</v>
      </c>
      <c r="I91" s="18"/>
      <c r="J91" s="5" t="str">
        <f>_xlfn.XLOOKUP(I91,Tab_Def_Processes[Process_Name],Tab_Def_Processes[Process_ID],,0,)</f>
        <v>00</v>
      </c>
      <c r="K91" s="18" t="s">
        <v>2</v>
      </c>
      <c r="L91" s="18" t="s">
        <v>2</v>
      </c>
      <c r="M91" s="18" t="s">
        <v>2</v>
      </c>
      <c r="N91" s="18" t="s">
        <v>2</v>
      </c>
      <c r="O91" s="18" t="s">
        <v>2</v>
      </c>
      <c r="P91" s="18" t="s">
        <v>2</v>
      </c>
      <c r="Q91" s="2" t="str">
        <f>Tab_Def_Flows[[#This Row],[Flow_ID]]&amp;"_E1"</f>
        <v>F_00_00_E1</v>
      </c>
      <c r="R91" s="20"/>
      <c r="S91" s="2" t="str">
        <f>Tab_Def_Flows[[#This Row],[Flow_ID]]&amp;"_E2"</f>
        <v>F_00_00_E2</v>
      </c>
      <c r="T91" s="16"/>
      <c r="U91" s="2" t="str">
        <f>Tab_Def_Flows[[#This Row],[Flow_ID]]&amp;"_E3"</f>
        <v>F_00_00_E3</v>
      </c>
      <c r="V91" s="16"/>
      <c r="W91" s="2" t="str">
        <f>Tab_Def_Flows[[#This Row],[Flow_ID]]&amp;"_E4"</f>
        <v>F_00_00_E4</v>
      </c>
      <c r="X91" s="16"/>
      <c r="Y91" s="2" t="str">
        <f>Tab_Def_Flows[[#This Row],[Flow_ID]]&amp;"_E5"</f>
        <v>F_00_00_E5</v>
      </c>
      <c r="Z91" s="20"/>
      <c r="AA91" s="2" t="str">
        <f>Tab_Def_Flows[[#This Row],[Flow_ID]]&amp;"_E6"</f>
        <v>F_00_00_E6</v>
      </c>
      <c r="AB91" s="20"/>
      <c r="AC91" s="9"/>
      <c r="AD91" s="9"/>
      <c r="AE91" s="9"/>
      <c r="AF91" s="9"/>
      <c r="AG91" s="9"/>
      <c r="AH91" s="49" t="b">
        <f>'0_Configuration'!$C$2</f>
        <v>1</v>
      </c>
      <c r="AI91" s="2"/>
      <c r="AJ91" s="49" t="b">
        <f>'0_Configuration'!$C$6</f>
        <v>0</v>
      </c>
      <c r="AK91" s="2" t="s">
        <v>344</v>
      </c>
      <c r="AL91" s="49" t="b">
        <f>'0_Configuration'!$C$10</f>
        <v>0</v>
      </c>
      <c r="AM91" s="2" t="s">
        <v>344</v>
      </c>
      <c r="AN91" s="49" t="b">
        <f>'0_Configuration'!$C$17</f>
        <v>0</v>
      </c>
      <c r="AO91" s="2">
        <f>_xlfn.XLOOKUP(Tab_Def_Flows[[#This Row],[ODYM_Good_Type]],Tab_Configuration[Value],Tab_Configuration[ODYM_ID],,0,)</f>
        <v>0</v>
      </c>
      <c r="AP91" s="49" t="b">
        <f>'0_Configuration'!$C$24</f>
        <v>0</v>
      </c>
      <c r="AQ91" s="2"/>
      <c r="AR91" s="49" t="b">
        <f>'0_Configuration'!$C$29</f>
        <v>1</v>
      </c>
      <c r="AS91" s="2" t="s">
        <v>358</v>
      </c>
      <c r="AT91" s="2" t="str">
        <f>IF(Tab_Def_Flows[[#This Row],[ODYM_time_(t)]],"t,","")&amp;IF(Tab_Def_Flows[[#This Row],[ODYM_Region_(r)]],"r,","")&amp;IF(Tab_Def_Flows[[#This Row],[ODYM_process_(p)]],"p,","")&amp;IF(Tab_Def_Flows[[#This Row],[ODYM_Good_(g)2]],"g,","")&amp;IF(Tab_Def_Flows[[#This Row],[ODYM_material_(m)]],"m,","")&amp;IF(Tab_Def_Flows[[#This Row],[ODYM_element_(e)]],"e","")</f>
        <v>t,e</v>
      </c>
      <c r="AU9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22" t="b">
        <v>0</v>
      </c>
      <c r="B92" s="12">
        <f t="shared" si="5"/>
        <v>91</v>
      </c>
      <c r="C92" s="2" t="str">
        <f>"F_"&amp;LEFT(H92,2)&amp;"_"&amp;LEFT(J92,2)</f>
        <v>F_00_00</v>
      </c>
      <c r="D92" s="3"/>
      <c r="E92" s="9"/>
      <c r="F92" s="2"/>
      <c r="G92" s="18"/>
      <c r="H92" s="2" t="str">
        <f>_xlfn.XLOOKUP(G92,Tab_Def_Processes[Process_Name],Tab_Def_Processes[Process_ID],,0,)</f>
        <v>00</v>
      </c>
      <c r="I92" s="18"/>
      <c r="J92" s="5" t="str">
        <f>_xlfn.XLOOKUP(I92,Tab_Def_Processes[Process_Name],Tab_Def_Processes[Process_ID],,0,)</f>
        <v>00</v>
      </c>
      <c r="K92" s="18" t="s">
        <v>2</v>
      </c>
      <c r="L92" s="18" t="s">
        <v>2</v>
      </c>
      <c r="M92" s="18" t="s">
        <v>2</v>
      </c>
      <c r="N92" s="18" t="s">
        <v>2</v>
      </c>
      <c r="O92" s="18" t="s">
        <v>2</v>
      </c>
      <c r="P92" s="18" t="s">
        <v>2</v>
      </c>
      <c r="Q92" s="2" t="str">
        <f>Tab_Def_Flows[[#This Row],[Flow_ID]]&amp;"_E1"</f>
        <v>F_00_00_E1</v>
      </c>
      <c r="R92" s="20"/>
      <c r="S92" s="2" t="str">
        <f>Tab_Def_Flows[[#This Row],[Flow_ID]]&amp;"_E2"</f>
        <v>F_00_00_E2</v>
      </c>
      <c r="T92" s="16"/>
      <c r="U92" s="2" t="str">
        <f>Tab_Def_Flows[[#This Row],[Flow_ID]]&amp;"_E3"</f>
        <v>F_00_00_E3</v>
      </c>
      <c r="V92" s="16"/>
      <c r="W92" s="2" t="str">
        <f>Tab_Def_Flows[[#This Row],[Flow_ID]]&amp;"_E4"</f>
        <v>F_00_00_E4</v>
      </c>
      <c r="X92" s="16"/>
      <c r="Y92" s="2" t="str">
        <f>Tab_Def_Flows[[#This Row],[Flow_ID]]&amp;"_E5"</f>
        <v>F_00_00_E5</v>
      </c>
      <c r="Z92" s="20"/>
      <c r="AA92" s="2" t="str">
        <f>Tab_Def_Flows[[#This Row],[Flow_ID]]&amp;"_E6"</f>
        <v>F_00_00_E6</v>
      </c>
      <c r="AB92" s="20"/>
      <c r="AC92" s="9"/>
      <c r="AD92" s="9"/>
      <c r="AE92" s="9"/>
      <c r="AF92" s="9"/>
      <c r="AG92" s="9"/>
      <c r="AH92" s="49" t="b">
        <f>'0_Configuration'!$C$2</f>
        <v>1</v>
      </c>
      <c r="AI92" s="2"/>
      <c r="AJ92" s="49" t="b">
        <f>'0_Configuration'!$C$6</f>
        <v>0</v>
      </c>
      <c r="AK92" s="2" t="s">
        <v>344</v>
      </c>
      <c r="AL92" s="49" t="b">
        <f>'0_Configuration'!$C$10</f>
        <v>0</v>
      </c>
      <c r="AM92" s="2" t="s">
        <v>344</v>
      </c>
      <c r="AN92" s="49" t="b">
        <f>'0_Configuration'!$C$17</f>
        <v>0</v>
      </c>
      <c r="AO92" s="2">
        <f>_xlfn.XLOOKUP(Tab_Def_Flows[[#This Row],[ODYM_Good_Type]],Tab_Configuration[Value],Tab_Configuration[ODYM_ID],,0,)</f>
        <v>0</v>
      </c>
      <c r="AP92" s="49" t="b">
        <f>'0_Configuration'!$C$24</f>
        <v>0</v>
      </c>
      <c r="AQ92" s="2"/>
      <c r="AR92" s="49" t="b">
        <f>'0_Configuration'!$C$29</f>
        <v>1</v>
      </c>
      <c r="AS92" s="2" t="s">
        <v>358</v>
      </c>
      <c r="AT92" s="2" t="str">
        <f>IF(Tab_Def_Flows[[#This Row],[ODYM_time_(t)]],"t,","")&amp;IF(Tab_Def_Flows[[#This Row],[ODYM_Region_(r)]],"r,","")&amp;IF(Tab_Def_Flows[[#This Row],[ODYM_process_(p)]],"p,","")&amp;IF(Tab_Def_Flows[[#This Row],[ODYM_Good_(g)2]],"g,","")&amp;IF(Tab_Def_Flows[[#This Row],[ODYM_material_(m)]],"m,","")&amp;IF(Tab_Def_Flows[[#This Row],[ODYM_element_(e)]],"e","")</f>
        <v>t,e</v>
      </c>
      <c r="AU9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22" t="b">
        <v>0</v>
      </c>
      <c r="B93" s="12">
        <f t="shared" si="5"/>
        <v>92</v>
      </c>
      <c r="C93" s="2" t="str">
        <f>"F_"&amp;LEFT(H93,2)&amp;"_"&amp;LEFT(J93,2)</f>
        <v>F_00_00</v>
      </c>
      <c r="D93" s="3"/>
      <c r="E93" s="9"/>
      <c r="F93" s="2"/>
      <c r="G93" s="18"/>
      <c r="H93" s="2" t="str">
        <f>_xlfn.XLOOKUP(G93,Tab_Def_Processes[Process_Name],Tab_Def_Processes[Process_ID],,0,)</f>
        <v>00</v>
      </c>
      <c r="I93" s="18"/>
      <c r="J93" s="5" t="str">
        <f>_xlfn.XLOOKUP(I93,Tab_Def_Processes[Process_Name],Tab_Def_Processes[Process_ID],,0,)</f>
        <v>00</v>
      </c>
      <c r="K93" s="18" t="s">
        <v>2</v>
      </c>
      <c r="L93" s="18" t="s">
        <v>2</v>
      </c>
      <c r="M93" s="18" t="s">
        <v>2</v>
      </c>
      <c r="N93" s="18" t="s">
        <v>2</v>
      </c>
      <c r="O93" s="18" t="s">
        <v>2</v>
      </c>
      <c r="P93" s="18" t="s">
        <v>2</v>
      </c>
      <c r="Q93" s="2" t="str">
        <f>Tab_Def_Flows[[#This Row],[Flow_ID]]&amp;"_E1"</f>
        <v>F_00_00_E1</v>
      </c>
      <c r="R93" s="20"/>
      <c r="S93" s="2" t="str">
        <f>Tab_Def_Flows[[#This Row],[Flow_ID]]&amp;"_E2"</f>
        <v>F_00_00_E2</v>
      </c>
      <c r="T93" s="16"/>
      <c r="U93" s="2" t="str">
        <f>Tab_Def_Flows[[#This Row],[Flow_ID]]&amp;"_E3"</f>
        <v>F_00_00_E3</v>
      </c>
      <c r="V93" s="16"/>
      <c r="W93" s="2" t="str">
        <f>Tab_Def_Flows[[#This Row],[Flow_ID]]&amp;"_E4"</f>
        <v>F_00_00_E4</v>
      </c>
      <c r="X93" s="16"/>
      <c r="Y93" s="2" t="str">
        <f>Tab_Def_Flows[[#This Row],[Flow_ID]]&amp;"_E5"</f>
        <v>F_00_00_E5</v>
      </c>
      <c r="Z93" s="20"/>
      <c r="AA93" s="2" t="str">
        <f>Tab_Def_Flows[[#This Row],[Flow_ID]]&amp;"_E6"</f>
        <v>F_00_00_E6</v>
      </c>
      <c r="AB93" s="20"/>
      <c r="AC93" s="9"/>
      <c r="AD93" s="9"/>
      <c r="AE93" s="9"/>
      <c r="AF93" s="9"/>
      <c r="AG93" s="9"/>
      <c r="AH93" s="49" t="b">
        <f>'0_Configuration'!$C$2</f>
        <v>1</v>
      </c>
      <c r="AI93" s="2"/>
      <c r="AJ93" s="49" t="b">
        <f>'0_Configuration'!$C$6</f>
        <v>0</v>
      </c>
      <c r="AK93" s="2" t="s">
        <v>344</v>
      </c>
      <c r="AL93" s="49" t="b">
        <f>'0_Configuration'!$C$10</f>
        <v>0</v>
      </c>
      <c r="AM93" s="2" t="s">
        <v>344</v>
      </c>
      <c r="AN93" s="49" t="b">
        <f>'0_Configuration'!$C$17</f>
        <v>0</v>
      </c>
      <c r="AO93" s="2">
        <f>_xlfn.XLOOKUP(Tab_Def_Flows[[#This Row],[ODYM_Good_Type]],Tab_Configuration[Value],Tab_Configuration[ODYM_ID],,0,)</f>
        <v>0</v>
      </c>
      <c r="AP93" s="49" t="b">
        <f>'0_Configuration'!$C$24</f>
        <v>0</v>
      </c>
      <c r="AQ93" s="2"/>
      <c r="AR93" s="49" t="b">
        <f>'0_Configuration'!$C$29</f>
        <v>1</v>
      </c>
      <c r="AS93" s="2" t="s">
        <v>358</v>
      </c>
      <c r="AT93" s="2" t="str">
        <f>IF(Tab_Def_Flows[[#This Row],[ODYM_time_(t)]],"t,","")&amp;IF(Tab_Def_Flows[[#This Row],[ODYM_Region_(r)]],"r,","")&amp;IF(Tab_Def_Flows[[#This Row],[ODYM_process_(p)]],"p,","")&amp;IF(Tab_Def_Flows[[#This Row],[ODYM_Good_(g)2]],"g,","")&amp;IF(Tab_Def_Flows[[#This Row],[ODYM_material_(m)]],"m,","")&amp;IF(Tab_Def_Flows[[#This Row],[ODYM_element_(e)]],"e","")</f>
        <v>t,e</v>
      </c>
      <c r="AU9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22" t="b">
        <v>0</v>
      </c>
      <c r="B94" s="12">
        <f t="shared" si="5"/>
        <v>93</v>
      </c>
      <c r="C94" s="2" t="str">
        <f>"F_"&amp;LEFT(H94,2)&amp;"_"&amp;LEFT(J94,2)</f>
        <v>F__</v>
      </c>
      <c r="D94" s="3" t="s">
        <v>5</v>
      </c>
      <c r="E94" s="9"/>
      <c r="F94" s="2"/>
      <c r="G94" s="18"/>
      <c r="H94" s="2"/>
      <c r="I94" s="18"/>
      <c r="J94" s="5"/>
      <c r="K94" s="18" t="s">
        <v>2</v>
      </c>
      <c r="L94" s="18" t="s">
        <v>2</v>
      </c>
      <c r="M94" s="18" t="s">
        <v>2</v>
      </c>
      <c r="N94" s="18" t="s">
        <v>2</v>
      </c>
      <c r="O94" s="18" t="s">
        <v>2</v>
      </c>
      <c r="P94" s="18" t="s">
        <v>2</v>
      </c>
      <c r="Q94" s="2" t="str">
        <f>Tab_Def_Flows[[#This Row],[Flow_ID]]&amp;"_E1"</f>
        <v>F___E1</v>
      </c>
      <c r="R94" s="20"/>
      <c r="S94" s="2" t="str">
        <f>Tab_Def_Flows[[#This Row],[Flow_ID]]&amp;"_E2"</f>
        <v>F___E2</v>
      </c>
      <c r="T94" s="16"/>
      <c r="U94" s="2" t="str">
        <f>Tab_Def_Flows[[#This Row],[Flow_ID]]&amp;"_E3"</f>
        <v>F___E3</v>
      </c>
      <c r="V94" s="16"/>
      <c r="W94" s="2" t="str">
        <f>Tab_Def_Flows[[#This Row],[Flow_ID]]&amp;"_E4"</f>
        <v>F___E4</v>
      </c>
      <c r="X94" s="16"/>
      <c r="Y94" s="2" t="str">
        <f>Tab_Def_Flows[[#This Row],[Flow_ID]]&amp;"_E5"</f>
        <v>F___E5</v>
      </c>
      <c r="Z94" s="20"/>
      <c r="AA94" s="2" t="str">
        <f>Tab_Def_Flows[[#This Row],[Flow_ID]]&amp;"_E6"</f>
        <v>F___E6</v>
      </c>
      <c r="AB94" s="20"/>
      <c r="AC94" s="9"/>
      <c r="AD94" s="9"/>
      <c r="AE94" s="9"/>
      <c r="AF94" s="9"/>
      <c r="AG94" s="9"/>
      <c r="AH94" s="49" t="b">
        <f>'0_Configuration'!$C$2</f>
        <v>1</v>
      </c>
      <c r="AI94" s="2"/>
      <c r="AJ94" s="49" t="b">
        <f>'0_Configuration'!$C$6</f>
        <v>0</v>
      </c>
      <c r="AK94" s="2" t="s">
        <v>344</v>
      </c>
      <c r="AL94" s="49" t="b">
        <f>'0_Configuration'!$C$10</f>
        <v>0</v>
      </c>
      <c r="AM94" s="2" t="s">
        <v>344</v>
      </c>
      <c r="AN94" s="49" t="b">
        <f>'0_Configuration'!$C$17</f>
        <v>0</v>
      </c>
      <c r="AO94" s="2">
        <f>_xlfn.XLOOKUP(Tab_Def_Flows[[#This Row],[ODYM_Good_Type]],Tab_Configuration[Value],Tab_Configuration[ODYM_ID],,0,)</f>
        <v>0</v>
      </c>
      <c r="AP94" s="49" t="b">
        <f>'0_Configuration'!$C$24</f>
        <v>0</v>
      </c>
      <c r="AQ94" s="2"/>
      <c r="AR94" s="49" t="b">
        <f>'0_Configuration'!$C$29</f>
        <v>1</v>
      </c>
      <c r="AS94" s="2" t="s">
        <v>358</v>
      </c>
      <c r="AT94" s="2" t="str">
        <f>IF(Tab_Def_Flows[[#This Row],[ODYM_time_(t)]],"t,","")&amp;IF(Tab_Def_Flows[[#This Row],[ODYM_Region_(r)]],"r,","")&amp;IF(Tab_Def_Flows[[#This Row],[ODYM_process_(p)]],"p,","")&amp;IF(Tab_Def_Flows[[#This Row],[ODYM_Good_(g)2]],"g,","")&amp;IF(Tab_Def_Flows[[#This Row],[ODYM_material_(m)]],"m,","")&amp;IF(Tab_Def_Flows[[#This Row],[ODYM_element_(e)]],"e","")</f>
        <v>t,e</v>
      </c>
      <c r="AU9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formatCells="0" insertColumns="0" insertRows="0" selectLockedCells="1" autoFilter="0"/>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AD2:AG94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M600"/>
  <sheetViews>
    <sheetView zoomScale="130" zoomScaleNormal="130" workbookViewId="0">
      <selection activeCell="K10" sqref="J10:K12"/>
    </sheetView>
  </sheetViews>
  <sheetFormatPr defaultColWidth="10.85546875" defaultRowHeight="15" outlineLevelCol="1" x14ac:dyDescent="0.25"/>
  <cols>
    <col min="2" max="2" width="18.7109375" customWidth="1"/>
    <col min="3" max="3" width="37.28515625" customWidth="1"/>
    <col min="4" max="9" width="9.42578125" hidden="1" customWidth="1" outlineLevel="1"/>
    <col min="10" max="10" width="18.7109375" customWidth="1" collapsed="1"/>
    <col min="11" max="11" width="16.42578125" customWidth="1"/>
    <col min="12" max="12" width="17.5703125" customWidth="1"/>
    <col min="13" max="13" width="17.5703125" hidden="1" customWidth="1" outlineLevel="1"/>
    <col min="14" max="16" width="12.5703125" hidden="1" customWidth="1" outlineLevel="1"/>
    <col min="17" max="17" width="14.140625" customWidth="1" collapsed="1"/>
    <col min="18" max="18" width="15.5703125" customWidth="1"/>
    <col min="19" max="19" width="32.28515625" customWidth="1"/>
    <col min="20" max="20" width="32.28515625" customWidth="1" outlineLevel="1"/>
    <col min="21" max="21" width="17" customWidth="1" outlineLevel="1"/>
    <col min="22" max="22" width="15.42578125" customWidth="1" outlineLevel="1"/>
    <col min="23" max="23" width="9.7109375" customWidth="1" outlineLevel="1"/>
    <col min="24" max="24" width="15.140625" customWidth="1" outlineLevel="1"/>
    <col min="25" max="25" width="14.140625" customWidth="1" outlineLevel="1"/>
    <col min="26" max="26" width="9.28515625" customWidth="1" outlineLevel="1"/>
    <col min="27" max="27" width="19.85546875" customWidth="1" outlineLevel="1"/>
    <col min="28" max="28" width="16.5703125" customWidth="1" outlineLevel="1"/>
    <col min="29" max="29" width="8.5703125" customWidth="1" outlineLevel="1"/>
    <col min="30" max="30" width="19.7109375" customWidth="1" outlineLevel="1"/>
    <col min="31" max="31" width="19.28515625" customWidth="1" outlineLevel="1"/>
    <col min="32" max="32" width="8.7109375" customWidth="1" outlineLevel="1"/>
    <col min="33" max="33" width="19.28515625" customWidth="1" outlineLevel="1"/>
    <col min="34" max="34" width="19" customWidth="1" outlineLevel="1"/>
    <col min="35" max="35" width="8.7109375" customWidth="1" outlineLevel="1"/>
    <col min="36" max="37" width="10.85546875" customWidth="1" outlineLevel="1"/>
    <col min="38" max="38" width="9.28515625" customWidth="1" outlineLevel="1"/>
    <col min="39" max="39" width="10.85546875" customWidth="1" outlineLevel="1"/>
  </cols>
  <sheetData>
    <row r="1" spans="1:39" x14ac:dyDescent="0.25">
      <c r="A1" s="21" t="s">
        <v>4</v>
      </c>
      <c r="B1" s="21" t="s">
        <v>6</v>
      </c>
      <c r="C1" s="21" t="s">
        <v>129</v>
      </c>
      <c r="D1" s="21" t="s">
        <v>402</v>
      </c>
      <c r="E1" s="21" t="s">
        <v>401</v>
      </c>
      <c r="F1" s="21" t="s">
        <v>400</v>
      </c>
      <c r="G1" s="21" t="s">
        <v>399</v>
      </c>
      <c r="H1" s="21" t="s">
        <v>398</v>
      </c>
      <c r="I1" s="21" t="s">
        <v>416</v>
      </c>
      <c r="J1" s="21" t="s">
        <v>127</v>
      </c>
      <c r="K1" s="21" t="s">
        <v>128</v>
      </c>
      <c r="L1" s="21" t="s">
        <v>11</v>
      </c>
      <c r="M1" s="21" t="s">
        <v>7</v>
      </c>
      <c r="N1" s="21" t="s">
        <v>662</v>
      </c>
      <c r="O1" s="21" t="s">
        <v>663</v>
      </c>
      <c r="P1" s="21" t="s">
        <v>664</v>
      </c>
      <c r="Q1" s="21" t="s">
        <v>8</v>
      </c>
      <c r="R1" s="21" t="s">
        <v>9</v>
      </c>
      <c r="S1" s="21" t="s">
        <v>10</v>
      </c>
      <c r="T1" s="21" t="s">
        <v>665</v>
      </c>
      <c r="U1" s="21" t="s">
        <v>466</v>
      </c>
      <c r="V1" s="21" t="s">
        <v>373</v>
      </c>
      <c r="W1" s="21" t="s">
        <v>374</v>
      </c>
      <c r="X1" s="21" t="s">
        <v>375</v>
      </c>
      <c r="Y1" s="21" t="s">
        <v>376</v>
      </c>
      <c r="Z1" s="21" t="s">
        <v>377</v>
      </c>
      <c r="AA1" t="s">
        <v>378</v>
      </c>
      <c r="AB1" s="21" t="s">
        <v>379</v>
      </c>
      <c r="AC1" s="21" t="s">
        <v>380</v>
      </c>
      <c r="AD1" s="21" t="s">
        <v>381</v>
      </c>
      <c r="AE1" s="21" t="s">
        <v>382</v>
      </c>
      <c r="AF1" s="21" t="s">
        <v>383</v>
      </c>
      <c r="AG1" s="21" t="s">
        <v>384</v>
      </c>
      <c r="AH1" t="s">
        <v>385</v>
      </c>
      <c r="AI1" s="21" t="s">
        <v>386</v>
      </c>
      <c r="AJ1" s="21" t="s">
        <v>387</v>
      </c>
      <c r="AK1" s="21" t="s">
        <v>415</v>
      </c>
      <c r="AL1" s="21" t="s">
        <v>414</v>
      </c>
      <c r="AM1" s="21" t="s">
        <v>413</v>
      </c>
    </row>
    <row r="2" spans="1:39" x14ac:dyDescent="0.25">
      <c r="A2" s="4">
        <f>ROW()-1</f>
        <v>1</v>
      </c>
      <c r="B2" s="2" t="str">
        <f>_xlfn.XLOOKUP(C2,Tab_Def_Flows[Flow_Name],Tab_Def_Flows[Flow_ID],,0,)</f>
        <v>F__</v>
      </c>
      <c r="C2" s="18" t="s">
        <v>5</v>
      </c>
      <c r="D2" s="5" t="str">
        <f>_xlfn.XLOOKUP(C2,Tab_Def_Flows[Flow_Name],Tab_Def_Flows[Use_E1],,0,)</f>
        <v>Yes</v>
      </c>
      <c r="E2" s="5" t="str">
        <f>_xlfn.XLOOKUP(C2,Tab_Def_Flows[Flow_Name],Tab_Def_Flows[Use_E2],,0,)</f>
        <v>Yes</v>
      </c>
      <c r="F2" s="5" t="str">
        <f>_xlfn.XLOOKUP(C2,Tab_Def_Flows[Flow_Name],Tab_Def_Flows[Use_E3],,0,)</f>
        <v>Yes</v>
      </c>
      <c r="G2" s="5" t="str">
        <f>_xlfn.XLOOKUP(C2,Tab_Def_Flows[Flow_Name],Tab_Def_Flows[Use_E4],,0,)</f>
        <v>Yes</v>
      </c>
      <c r="H2" s="5" t="str">
        <f>_xlfn.XLOOKUP(C2,Tab_Def_Flows[Flow_Name],Tab_Def_Flows[Use_E5],,0,)</f>
        <v>Yes</v>
      </c>
      <c r="I2" s="5" t="str">
        <f>_xlfn.XLOOKUP(C2,Tab_Def_Flows[Flow_Name],Tab_Def_Flows[Use_E6],,0,)</f>
        <v>Yes</v>
      </c>
      <c r="J2" s="3"/>
      <c r="K2" s="3"/>
      <c r="L2" s="2" t="str">
        <f>'0_Configuration'!$C$41</f>
        <v>Mg</v>
      </c>
      <c r="M2" s="9"/>
      <c r="N2" s="9"/>
      <c r="O2" s="9"/>
      <c r="P2" s="9"/>
      <c r="Q2" s="18" t="s">
        <v>3</v>
      </c>
      <c r="R2" s="10"/>
      <c r="S2" s="3"/>
      <c r="T2" s="9"/>
      <c r="U2" s="9"/>
      <c r="V2" s="2">
        <f>_xlfn.XLOOKUP(Tab_Data_Flows[[#This Row],[Flow_Name]],Tab_Def_Flows[Flow_Name],Tab_Def_Flows[Flow_E1_Fraction'[%']],"N.A.",0,1)</f>
        <v>0</v>
      </c>
      <c r="W2" s="8">
        <f t="shared" ref="W2:W65" si="0">IF(Q2="no",K2,K2*R2)</f>
        <v>0</v>
      </c>
      <c r="X2" s="2" t="str">
        <f>Tab_Data_Flows[[#This Row],[UoM_Source]]</f>
        <v>Mg</v>
      </c>
      <c r="Y2" s="19">
        <f>_xlfn.XLOOKUP(Tab_Data_Flows[[#This Row],[Flow_Name]],Tab_Def_Flows[Flow_Name],Tab_Def_Flows[Flow_E2_Fraction'[%']],"N.A.",0,1)</f>
        <v>0</v>
      </c>
      <c r="Z2" s="2">
        <f>IF(E2="Yes",W2*Tab_Data_Flows[[#This Row],[E2_Fraction'[%']]],"N.A.")</f>
        <v>0</v>
      </c>
      <c r="AA2" s="2" t="str">
        <f>Tab_Data_Flows[[#This Row],[E1_UoM]]</f>
        <v>Mg</v>
      </c>
      <c r="AB2" s="19">
        <f>_xlfn.XLOOKUP(Tab_Data_Flows[[#This Row],[Flow_Name]],Tab_Def_Flows[Flow_Name],Tab_Def_Flows[Flow_E3_Fraction'[%']],"N.A.",0,1)</f>
        <v>0</v>
      </c>
      <c r="AC2" s="2">
        <f>IF(E2="Yes",AB2*Tab_Data_Flows[[#This Row],[E1_value]],"N.A.")</f>
        <v>0</v>
      </c>
      <c r="AD2" s="2" t="str">
        <f>Tab_Data_Flows[[#This Row],[E1_UoM]]</f>
        <v>Mg</v>
      </c>
      <c r="AE2" s="19">
        <f>_xlfn.XLOOKUP(Tab_Data_Flows[[#This Row],[Flow_Name]],Tab_Def_Flows[Flow_Name],Tab_Def_Flows[Flow_E4_Fraction'[%']],"N.A.",0,1)</f>
        <v>0</v>
      </c>
      <c r="AF2" s="2">
        <f>IF(H2="Yes",Tab_Data_Flows[[#This Row],[E4_Fraction'[%']]]*Tab_Data_Flows[[#This Row],[E1_value]],"N.A.")</f>
        <v>0</v>
      </c>
      <c r="AG2" s="2" t="str">
        <f>Tab_Data_Flows[[#This Row],[E1_UoM]]</f>
        <v>Mg</v>
      </c>
      <c r="AH2" s="2">
        <f>_xlfn.XLOOKUP(Tab_Data_Flows[[#This Row],[Flow_Name]],Tab_Def_Flows[Flow_Name],Tab_Def_Flows[Flow_E5_Fraction'[%']],"N.A.",0,1)</f>
        <v>0</v>
      </c>
      <c r="AI2" s="2">
        <f>IF(H2="Yes",Tab_Data_Flows[[#This Row],[E5_Fraction'[%']]]*Tab_Data_Flows[[#This Row],[E1_value]],"N.A.")</f>
        <v>0</v>
      </c>
      <c r="AJ2" s="2" t="str">
        <f>Tab_Data_Flows[[#This Row],[E1_UoM]]</f>
        <v>Mg</v>
      </c>
      <c r="AK2" s="19">
        <f>_xlfn.XLOOKUP(Tab_Data_Flows[[#This Row],[Flow_Name]],Tab_Def_Flows[Flow_Name],Tab_Def_Flows[Flow_E6_Fraction'[%']],"N.A.",0,1)</f>
        <v>0</v>
      </c>
      <c r="AL2" s="2">
        <f>IF(Tab_Data_Flows[[#This Row],[Use_E6]]="Yes",Tab_Data_Flows[[#This Row],[E6_Fraction'[%']]]*Tab_Data_Flows[[#This Row],[E1_value]],"N.A.")</f>
        <v>0</v>
      </c>
      <c r="AM2" s="2" t="str">
        <f>Tab_Data_Flows[[#This Row],[E1_UoM]]</f>
        <v>Mg</v>
      </c>
    </row>
    <row r="3" spans="1:39" x14ac:dyDescent="0.25">
      <c r="A3" s="4">
        <f t="shared" ref="A3:A66" si="1">ROW()-1</f>
        <v>2</v>
      </c>
      <c r="B3" s="2" t="str">
        <f>_xlfn.XLOOKUP(C3,Tab_Def_Flows[Flow_Name],Tab_Def_Flows[Flow_ID],,0,)</f>
        <v>F__</v>
      </c>
      <c r="C3" s="18" t="s">
        <v>5</v>
      </c>
      <c r="D3" s="5" t="str">
        <f>_xlfn.XLOOKUP(C3,Tab_Def_Flows[Flow_Name],Tab_Def_Flows[Use_E1],,0,)</f>
        <v>Yes</v>
      </c>
      <c r="E3" s="5" t="str">
        <f>_xlfn.XLOOKUP(C3,Tab_Def_Flows[Flow_Name],Tab_Def_Flows[Use_E2],,0,)</f>
        <v>Yes</v>
      </c>
      <c r="F3" s="5" t="str">
        <f>_xlfn.XLOOKUP(C3,Tab_Def_Flows[Flow_Name],Tab_Def_Flows[Use_E3],,0,)</f>
        <v>Yes</v>
      </c>
      <c r="G3" s="5" t="str">
        <f>_xlfn.XLOOKUP(C3,Tab_Def_Flows[Flow_Name],Tab_Def_Flows[Use_E4],,0,)</f>
        <v>Yes</v>
      </c>
      <c r="H3" s="5" t="str">
        <f>_xlfn.XLOOKUP(C3,Tab_Def_Flows[Flow_Name],Tab_Def_Flows[Use_E5],,0,)</f>
        <v>Yes</v>
      </c>
      <c r="I3" s="5" t="str">
        <f>_xlfn.XLOOKUP(C3,Tab_Def_Flows[Flow_Name],Tab_Def_Flows[Use_E6],,0,)</f>
        <v>Yes</v>
      </c>
      <c r="J3" s="3"/>
      <c r="K3" s="3"/>
      <c r="L3" s="2" t="str">
        <f>'0_Configuration'!$C$41</f>
        <v>Mg</v>
      </c>
      <c r="M3" s="9"/>
      <c r="N3" s="9"/>
      <c r="O3" s="9"/>
      <c r="P3" s="9"/>
      <c r="Q3" s="18" t="s">
        <v>3</v>
      </c>
      <c r="R3" s="10"/>
      <c r="S3" s="3"/>
      <c r="T3" s="9"/>
      <c r="U3" s="9"/>
      <c r="V3" s="2">
        <f>_xlfn.XLOOKUP(Tab_Data_Flows[[#This Row],[Flow_Name]],Tab_Def_Flows[Flow_Name],Tab_Def_Flows[Flow_E1_Fraction'[%']],"N.A.",0,1)</f>
        <v>0</v>
      </c>
      <c r="W3" s="8">
        <f t="shared" si="0"/>
        <v>0</v>
      </c>
      <c r="X3" s="2" t="str">
        <f>Tab_Data_Flows[[#This Row],[UoM_Source]]</f>
        <v>Mg</v>
      </c>
      <c r="Y3" s="19">
        <f>_xlfn.XLOOKUP(Tab_Data_Flows[[#This Row],[Flow_Name]],Tab_Def_Flows[Flow_Name],Tab_Def_Flows[Flow_E2_Fraction'[%']],"N.A.",0,1)</f>
        <v>0</v>
      </c>
      <c r="Z3" s="2">
        <f>IF(D3="Yes",W3*Tab_Data_Flows[[#This Row],[E2_Fraction'[%']]],"N.A.")</f>
        <v>0</v>
      </c>
      <c r="AA3" s="2" t="str">
        <f>Tab_Data_Flows[[#This Row],[E1_UoM]]</f>
        <v>Mg</v>
      </c>
      <c r="AB3" s="19">
        <f>_xlfn.XLOOKUP(Tab_Data_Flows[[#This Row],[Flow_Name]],Tab_Def_Flows[Flow_Name],Tab_Def_Flows[Flow_E3_Fraction'[%']],"N.A.",0,1)</f>
        <v>0</v>
      </c>
      <c r="AC3" s="2">
        <f>IF(E3="Yes",AB3*Tab_Data_Flows[[#This Row],[E1_value]],"N.A.")</f>
        <v>0</v>
      </c>
      <c r="AD3" s="2" t="str">
        <f>Tab_Data_Flows[[#This Row],[E1_UoM]]</f>
        <v>Mg</v>
      </c>
      <c r="AE3" s="19">
        <f>_xlfn.XLOOKUP(Tab_Data_Flows[[#This Row],[Flow_Name]],Tab_Def_Flows[Flow_Name],Tab_Def_Flows[Flow_E4_Fraction'[%']],"N.A.",0,1)</f>
        <v>0</v>
      </c>
      <c r="AF3" s="2">
        <f>IF(H3="Yes",Tab_Data_Flows[[#This Row],[E4_Fraction'[%']]]*Tab_Data_Flows[[#This Row],[E1_value]],"N.A.")</f>
        <v>0</v>
      </c>
      <c r="AG3" s="2" t="str">
        <f>Tab_Data_Flows[[#This Row],[E1_UoM]]</f>
        <v>Mg</v>
      </c>
      <c r="AH3" s="2">
        <f>_xlfn.XLOOKUP(Tab_Data_Flows[[#This Row],[Flow_Name]],Tab_Def_Flows[Flow_Name],Tab_Def_Flows[Flow_E5_Fraction'[%']],"N.A.",0,1)</f>
        <v>0</v>
      </c>
      <c r="AI3" s="2">
        <f>IF(H3="Yes",Tab_Data_Flows[[#This Row],[E5_Fraction'[%']]]*Tab_Data_Flows[[#This Row],[E1_value]],"N.A.")</f>
        <v>0</v>
      </c>
      <c r="AJ3" s="2" t="str">
        <f>Tab_Data_Flows[[#This Row],[E1_UoM]]</f>
        <v>Mg</v>
      </c>
      <c r="AK3" s="19">
        <f>_xlfn.XLOOKUP(Tab_Data_Flows[[#This Row],[Flow_Name]],Tab_Def_Flows[Flow_Name],Tab_Def_Flows[Flow_E6_Fraction'[%']],"N.A.",0,1)</f>
        <v>0</v>
      </c>
      <c r="AL3" s="2">
        <f>IF(Tab_Data_Flows[[#This Row],[Use_E6]]="Yes",Tab_Data_Flows[[#This Row],[E6_Fraction'[%']]]*Tab_Data_Flows[[#This Row],[E1_value]],"N.A.")</f>
        <v>0</v>
      </c>
      <c r="AM3" s="2" t="str">
        <f>Tab_Data_Flows[[#This Row],[E1_UoM]]</f>
        <v>Mg</v>
      </c>
    </row>
    <row r="4" spans="1:39" x14ac:dyDescent="0.25">
      <c r="A4" s="4">
        <f t="shared" si="1"/>
        <v>3</v>
      </c>
      <c r="B4" s="2" t="str">
        <f>_xlfn.XLOOKUP(C4,Tab_Def_Flows[Flow_Name],Tab_Def_Flows[Flow_ID],,0,)</f>
        <v>F__</v>
      </c>
      <c r="C4" s="18" t="s">
        <v>5</v>
      </c>
      <c r="D4" s="5" t="str">
        <f>_xlfn.XLOOKUP(C4,Tab_Def_Flows[Flow_Name],Tab_Def_Flows[Use_E1],,0,)</f>
        <v>Yes</v>
      </c>
      <c r="E4" s="5" t="str">
        <f>_xlfn.XLOOKUP(C4,Tab_Def_Flows[Flow_Name],Tab_Def_Flows[Use_E2],,0,)</f>
        <v>Yes</v>
      </c>
      <c r="F4" s="5" t="str">
        <f>_xlfn.XLOOKUP(C4,Tab_Def_Flows[Flow_Name],Tab_Def_Flows[Use_E3],,0,)</f>
        <v>Yes</v>
      </c>
      <c r="G4" s="5" t="str">
        <f>_xlfn.XLOOKUP(C4,Tab_Def_Flows[Flow_Name],Tab_Def_Flows[Use_E4],,0,)</f>
        <v>Yes</v>
      </c>
      <c r="H4" s="5" t="str">
        <f>_xlfn.XLOOKUP(C4,Tab_Def_Flows[Flow_Name],Tab_Def_Flows[Use_E5],,0,)</f>
        <v>Yes</v>
      </c>
      <c r="I4" s="5" t="str">
        <f>_xlfn.XLOOKUP(C4,Tab_Def_Flows[Flow_Name],Tab_Def_Flows[Use_E6],,0,)</f>
        <v>Yes</v>
      </c>
      <c r="J4" s="3"/>
      <c r="K4" s="3"/>
      <c r="L4" s="2" t="str">
        <f>'0_Configuration'!$C$41</f>
        <v>Mg</v>
      </c>
      <c r="M4" s="9"/>
      <c r="N4" s="9"/>
      <c r="O4" s="9"/>
      <c r="P4" s="9"/>
      <c r="Q4" s="18" t="s">
        <v>3</v>
      </c>
      <c r="R4" s="10"/>
      <c r="S4" s="3"/>
      <c r="T4" s="9"/>
      <c r="U4" s="9"/>
      <c r="V4" s="2">
        <f>_xlfn.XLOOKUP(Tab_Data_Flows[[#This Row],[Flow_Name]],Tab_Def_Flows[Flow_Name],Tab_Def_Flows[Flow_E1_Fraction'[%']],"N.A.",0,1)</f>
        <v>0</v>
      </c>
      <c r="W4" s="8">
        <f t="shared" si="0"/>
        <v>0</v>
      </c>
      <c r="X4" s="2" t="str">
        <f>Tab_Data_Flows[[#This Row],[UoM_Source]]</f>
        <v>Mg</v>
      </c>
      <c r="Y4" s="19">
        <f>_xlfn.XLOOKUP(Tab_Data_Flows[[#This Row],[Flow_Name]],Tab_Def_Flows[Flow_Name],Tab_Def_Flows[Flow_E2_Fraction'[%']],"N.A.",0,1)</f>
        <v>0</v>
      </c>
      <c r="Z4" s="2">
        <f>IF(D4="Yes",W4*Tab_Data_Flows[[#This Row],[E2_Fraction'[%']]],"N.A.")</f>
        <v>0</v>
      </c>
      <c r="AA4" s="2" t="str">
        <f>Tab_Data_Flows[[#This Row],[E1_UoM]]</f>
        <v>Mg</v>
      </c>
      <c r="AB4" s="19">
        <f>_xlfn.XLOOKUP(Tab_Data_Flows[[#This Row],[Flow_Name]],Tab_Def_Flows[Flow_Name],Tab_Def_Flows[Flow_E3_Fraction'[%']],"N.A.",0,1)</f>
        <v>0</v>
      </c>
      <c r="AC4" s="2">
        <f>IF(E4="Yes",AB4*Tab_Data_Flows[[#This Row],[E1_value]],"N.A.")</f>
        <v>0</v>
      </c>
      <c r="AD4" s="2" t="str">
        <f>Tab_Data_Flows[[#This Row],[E1_UoM]]</f>
        <v>Mg</v>
      </c>
      <c r="AE4" s="19">
        <f>_xlfn.XLOOKUP(Tab_Data_Flows[[#This Row],[Flow_Name]],Tab_Def_Flows[Flow_Name],Tab_Def_Flows[Flow_E4_Fraction'[%']],"N.A.",0,1)</f>
        <v>0</v>
      </c>
      <c r="AF4" s="2">
        <f>IF(H4="Yes",Tab_Data_Flows[[#This Row],[E4_Fraction'[%']]]*Tab_Data_Flows[[#This Row],[E1_value]],"N.A.")</f>
        <v>0</v>
      </c>
      <c r="AG4" s="2" t="str">
        <f>Tab_Data_Flows[[#This Row],[E1_UoM]]</f>
        <v>Mg</v>
      </c>
      <c r="AH4" s="2">
        <f>_xlfn.XLOOKUP(Tab_Data_Flows[[#This Row],[Flow_Name]],Tab_Def_Flows[Flow_Name],Tab_Def_Flows[Flow_E5_Fraction'[%']],"N.A.",0,1)</f>
        <v>0</v>
      </c>
      <c r="AI4" s="2">
        <f>IF(H4="Yes",Tab_Data_Flows[[#This Row],[E5_Fraction'[%']]]*Tab_Data_Flows[[#This Row],[E1_value]],"N.A.")</f>
        <v>0</v>
      </c>
      <c r="AJ4" s="2" t="str">
        <f>Tab_Data_Flows[[#This Row],[E1_UoM]]</f>
        <v>Mg</v>
      </c>
      <c r="AK4" s="19">
        <f>_xlfn.XLOOKUP(Tab_Data_Flows[[#This Row],[Flow_Name]],Tab_Def_Flows[Flow_Name],Tab_Def_Flows[Flow_E6_Fraction'[%']],"N.A.",0,1)</f>
        <v>0</v>
      </c>
      <c r="AL4" s="2">
        <f>IF(Tab_Data_Flows[[#This Row],[Use_E6]]="Yes",Tab_Data_Flows[[#This Row],[E6_Fraction'[%']]]*Tab_Data_Flows[[#This Row],[E1_value]],"N.A.")</f>
        <v>0</v>
      </c>
      <c r="AM4" s="2" t="str">
        <f>Tab_Data_Flows[[#This Row],[E1_UoM]]</f>
        <v>Mg</v>
      </c>
    </row>
    <row r="5" spans="1:39" x14ac:dyDescent="0.25">
      <c r="A5" s="4">
        <f t="shared" si="1"/>
        <v>4</v>
      </c>
      <c r="B5" s="2" t="str">
        <f>_xlfn.XLOOKUP(C5,Tab_Def_Flows[Flow_Name],Tab_Def_Flows[Flow_ID],,0,)</f>
        <v>F__</v>
      </c>
      <c r="C5" s="18" t="s">
        <v>5</v>
      </c>
      <c r="D5" s="5" t="str">
        <f>_xlfn.XLOOKUP(C5,Tab_Def_Flows[Flow_Name],Tab_Def_Flows[Use_E1],,0,)</f>
        <v>Yes</v>
      </c>
      <c r="E5" s="5" t="str">
        <f>_xlfn.XLOOKUP(C5,Tab_Def_Flows[Flow_Name],Tab_Def_Flows[Use_E2],,0,)</f>
        <v>Yes</v>
      </c>
      <c r="F5" s="5" t="str">
        <f>_xlfn.XLOOKUP(C5,Tab_Def_Flows[Flow_Name],Tab_Def_Flows[Use_E3],,0,)</f>
        <v>Yes</v>
      </c>
      <c r="G5" s="5" t="str">
        <f>_xlfn.XLOOKUP(C5,Tab_Def_Flows[Flow_Name],Tab_Def_Flows[Use_E4],,0,)</f>
        <v>Yes</v>
      </c>
      <c r="H5" s="5" t="str">
        <f>_xlfn.XLOOKUP(C5,Tab_Def_Flows[Flow_Name],Tab_Def_Flows[Use_E5],,0,)</f>
        <v>Yes</v>
      </c>
      <c r="I5" s="5" t="str">
        <f>_xlfn.XLOOKUP(C5,Tab_Def_Flows[Flow_Name],Tab_Def_Flows[Use_E6],,0,)</f>
        <v>Yes</v>
      </c>
      <c r="J5" s="3"/>
      <c r="K5" s="3"/>
      <c r="L5" s="2" t="str">
        <f>'0_Configuration'!$C$41</f>
        <v>Mg</v>
      </c>
      <c r="M5" s="9"/>
      <c r="N5" s="9"/>
      <c r="O5" s="9"/>
      <c r="P5" s="9"/>
      <c r="Q5" s="18" t="s">
        <v>3</v>
      </c>
      <c r="R5" s="10"/>
      <c r="S5" s="3"/>
      <c r="T5" s="9"/>
      <c r="U5" s="9"/>
      <c r="V5" s="2">
        <f>_xlfn.XLOOKUP(Tab_Data_Flows[[#This Row],[Flow_Name]],Tab_Def_Flows[Flow_Name],Tab_Def_Flows[Flow_E1_Fraction'[%']],"N.A.",0,1)</f>
        <v>0</v>
      </c>
      <c r="W5" s="8">
        <f t="shared" si="0"/>
        <v>0</v>
      </c>
      <c r="X5" s="2" t="str">
        <f>Tab_Data_Flows[[#This Row],[UoM_Source]]</f>
        <v>Mg</v>
      </c>
      <c r="Y5" s="19">
        <f>_xlfn.XLOOKUP(Tab_Data_Flows[[#This Row],[Flow_Name]],Tab_Def_Flows[Flow_Name],Tab_Def_Flows[Flow_E2_Fraction'[%']],"N.A.",0,1)</f>
        <v>0</v>
      </c>
      <c r="Z5" s="2">
        <f>IF(D5="Yes",W5*Tab_Data_Flows[[#This Row],[E2_Fraction'[%']]],"N.A.")</f>
        <v>0</v>
      </c>
      <c r="AA5" s="2" t="str">
        <f>Tab_Data_Flows[[#This Row],[E1_UoM]]</f>
        <v>Mg</v>
      </c>
      <c r="AB5" s="19">
        <f>_xlfn.XLOOKUP(Tab_Data_Flows[[#This Row],[Flow_Name]],Tab_Def_Flows[Flow_Name],Tab_Def_Flows[Flow_E3_Fraction'[%']],"N.A.",0,1)</f>
        <v>0</v>
      </c>
      <c r="AC5" s="2">
        <f>IF(E5="Yes",AB5*Tab_Data_Flows[[#This Row],[E1_value]],"N.A.")</f>
        <v>0</v>
      </c>
      <c r="AD5" s="2" t="str">
        <f>Tab_Data_Flows[[#This Row],[E1_UoM]]</f>
        <v>Mg</v>
      </c>
      <c r="AE5" s="19">
        <f>_xlfn.XLOOKUP(Tab_Data_Flows[[#This Row],[Flow_Name]],Tab_Def_Flows[Flow_Name],Tab_Def_Flows[Flow_E4_Fraction'[%']],"N.A.",0,1)</f>
        <v>0</v>
      </c>
      <c r="AF5" s="2">
        <f>IF(H5="Yes",Tab_Data_Flows[[#This Row],[E4_Fraction'[%']]]*Tab_Data_Flows[[#This Row],[E1_value]],"N.A.")</f>
        <v>0</v>
      </c>
      <c r="AG5" s="2" t="str">
        <f>Tab_Data_Flows[[#This Row],[E1_UoM]]</f>
        <v>Mg</v>
      </c>
      <c r="AH5" s="2">
        <f>_xlfn.XLOOKUP(Tab_Data_Flows[[#This Row],[Flow_Name]],Tab_Def_Flows[Flow_Name],Tab_Def_Flows[Flow_E5_Fraction'[%']],"N.A.",0,1)</f>
        <v>0</v>
      </c>
      <c r="AI5" s="2">
        <f>IF(H5="Yes",Tab_Data_Flows[[#This Row],[E5_Fraction'[%']]]*Tab_Data_Flows[[#This Row],[E1_value]],"N.A.")</f>
        <v>0</v>
      </c>
      <c r="AJ5" s="2" t="str">
        <f>Tab_Data_Flows[[#This Row],[E1_UoM]]</f>
        <v>Mg</v>
      </c>
      <c r="AK5" s="19">
        <f>_xlfn.XLOOKUP(Tab_Data_Flows[[#This Row],[Flow_Name]],Tab_Def_Flows[Flow_Name],Tab_Def_Flows[Flow_E6_Fraction'[%']],"N.A.",0,1)</f>
        <v>0</v>
      </c>
      <c r="AL5" s="2">
        <f>IF(Tab_Data_Flows[[#This Row],[Use_E6]]="Yes",Tab_Data_Flows[[#This Row],[E6_Fraction'[%']]]*Tab_Data_Flows[[#This Row],[E1_value]],"N.A.")</f>
        <v>0</v>
      </c>
      <c r="AM5" s="2" t="str">
        <f>Tab_Data_Flows[[#This Row],[E1_UoM]]</f>
        <v>Mg</v>
      </c>
    </row>
    <row r="6" spans="1:39" x14ac:dyDescent="0.25">
      <c r="A6" s="4">
        <f t="shared" si="1"/>
        <v>5</v>
      </c>
      <c r="B6" s="2" t="str">
        <f>_xlfn.XLOOKUP(C6,Tab_Def_Flows[Flow_Name],Tab_Def_Flows[Flow_ID],,0,)</f>
        <v>F__</v>
      </c>
      <c r="C6" s="18" t="s">
        <v>5</v>
      </c>
      <c r="D6" s="5" t="str">
        <f>_xlfn.XLOOKUP(C6,Tab_Def_Flows[Flow_Name],Tab_Def_Flows[Use_E1],,0,)</f>
        <v>Yes</v>
      </c>
      <c r="E6" s="5" t="str">
        <f>_xlfn.XLOOKUP(C6,Tab_Def_Flows[Flow_Name],Tab_Def_Flows[Use_E2],,0,)</f>
        <v>Yes</v>
      </c>
      <c r="F6" s="5" t="str">
        <f>_xlfn.XLOOKUP(C6,Tab_Def_Flows[Flow_Name],Tab_Def_Flows[Use_E3],,0,)</f>
        <v>Yes</v>
      </c>
      <c r="G6" s="5" t="str">
        <f>_xlfn.XLOOKUP(C6,Tab_Def_Flows[Flow_Name],Tab_Def_Flows[Use_E4],,0,)</f>
        <v>Yes</v>
      </c>
      <c r="H6" s="5" t="str">
        <f>_xlfn.XLOOKUP(C6,Tab_Def_Flows[Flow_Name],Tab_Def_Flows[Use_E5],,0,)</f>
        <v>Yes</v>
      </c>
      <c r="I6" s="5" t="str">
        <f>_xlfn.XLOOKUP(C6,Tab_Def_Flows[Flow_Name],Tab_Def_Flows[Use_E6],,0,)</f>
        <v>Yes</v>
      </c>
      <c r="J6" s="3"/>
      <c r="K6" s="3"/>
      <c r="L6" s="2" t="str">
        <f>'0_Configuration'!$C$41</f>
        <v>Mg</v>
      </c>
      <c r="M6" s="9"/>
      <c r="N6" s="9"/>
      <c r="O6" s="9"/>
      <c r="P6" s="9"/>
      <c r="Q6" s="18" t="s">
        <v>3</v>
      </c>
      <c r="R6" s="10"/>
      <c r="S6" s="3"/>
      <c r="T6" s="9"/>
      <c r="U6" s="9"/>
      <c r="V6" s="2">
        <f>_xlfn.XLOOKUP(Tab_Data_Flows[[#This Row],[Flow_Name]],Tab_Def_Flows[Flow_Name],Tab_Def_Flows[Flow_E1_Fraction'[%']],"N.A.",0,1)</f>
        <v>0</v>
      </c>
      <c r="W6" s="8">
        <f t="shared" si="0"/>
        <v>0</v>
      </c>
      <c r="X6" s="2" t="str">
        <f>Tab_Data_Flows[[#This Row],[UoM_Source]]</f>
        <v>Mg</v>
      </c>
      <c r="Y6" s="19">
        <f>_xlfn.XLOOKUP(Tab_Data_Flows[[#This Row],[Flow_Name]],Tab_Def_Flows[Flow_Name],Tab_Def_Flows[Flow_E2_Fraction'[%']],"N.A.",0,1)</f>
        <v>0</v>
      </c>
      <c r="Z6" s="2">
        <f>IF(D6="Yes",W6*Tab_Data_Flows[[#This Row],[E2_Fraction'[%']]],"N.A.")</f>
        <v>0</v>
      </c>
      <c r="AA6" s="2" t="str">
        <f>Tab_Data_Flows[[#This Row],[E1_UoM]]</f>
        <v>Mg</v>
      </c>
      <c r="AB6" s="19">
        <f>_xlfn.XLOOKUP(Tab_Data_Flows[[#This Row],[Flow_Name]],Tab_Def_Flows[Flow_Name],Tab_Def_Flows[Flow_E3_Fraction'[%']],"N.A.",0,1)</f>
        <v>0</v>
      </c>
      <c r="AC6" s="2">
        <f>IF(E6="Yes",AB6*Tab_Data_Flows[[#This Row],[E1_value]],"N.A.")</f>
        <v>0</v>
      </c>
      <c r="AD6" s="2" t="str">
        <f>Tab_Data_Flows[[#This Row],[E1_UoM]]</f>
        <v>Mg</v>
      </c>
      <c r="AE6" s="19">
        <f>_xlfn.XLOOKUP(Tab_Data_Flows[[#This Row],[Flow_Name]],Tab_Def_Flows[Flow_Name],Tab_Def_Flows[Flow_E4_Fraction'[%']],"N.A.",0,1)</f>
        <v>0</v>
      </c>
      <c r="AF6" s="2">
        <f>IF(H6="Yes",Tab_Data_Flows[[#This Row],[E4_Fraction'[%']]]*Tab_Data_Flows[[#This Row],[E1_value]],"N.A.")</f>
        <v>0</v>
      </c>
      <c r="AG6" s="2" t="str">
        <f>Tab_Data_Flows[[#This Row],[E1_UoM]]</f>
        <v>Mg</v>
      </c>
      <c r="AH6" s="2">
        <f>_xlfn.XLOOKUP(Tab_Data_Flows[[#This Row],[Flow_Name]],Tab_Def_Flows[Flow_Name],Tab_Def_Flows[Flow_E5_Fraction'[%']],"N.A.",0,1)</f>
        <v>0</v>
      </c>
      <c r="AI6" s="2">
        <f>IF(H6="Yes",Tab_Data_Flows[[#This Row],[E5_Fraction'[%']]]*Tab_Data_Flows[[#This Row],[E1_value]],"N.A.")</f>
        <v>0</v>
      </c>
      <c r="AJ6" s="2" t="str">
        <f>Tab_Data_Flows[[#This Row],[E1_UoM]]</f>
        <v>Mg</v>
      </c>
      <c r="AK6" s="19">
        <f>_xlfn.XLOOKUP(Tab_Data_Flows[[#This Row],[Flow_Name]],Tab_Def_Flows[Flow_Name],Tab_Def_Flows[Flow_E6_Fraction'[%']],"N.A.",0,1)</f>
        <v>0</v>
      </c>
      <c r="AL6" s="2">
        <f>IF(Tab_Data_Flows[[#This Row],[Use_E6]]="Yes",Tab_Data_Flows[[#This Row],[E6_Fraction'[%']]]*Tab_Data_Flows[[#This Row],[E1_value]],"N.A.")</f>
        <v>0</v>
      </c>
      <c r="AM6" s="2" t="str">
        <f>Tab_Data_Flows[[#This Row],[E1_UoM]]</f>
        <v>Mg</v>
      </c>
    </row>
    <row r="7" spans="1:39" x14ac:dyDescent="0.25">
      <c r="A7" s="4">
        <f t="shared" si="1"/>
        <v>6</v>
      </c>
      <c r="B7" s="2" t="str">
        <f>_xlfn.XLOOKUP(C7,Tab_Def_Flows[Flow_Name],Tab_Def_Flows[Flow_ID],,0,)</f>
        <v>F__</v>
      </c>
      <c r="C7" s="18" t="s">
        <v>5</v>
      </c>
      <c r="D7" s="5" t="str">
        <f>_xlfn.XLOOKUP(C7,Tab_Def_Flows[Flow_Name],Tab_Def_Flows[Use_E1],,0,)</f>
        <v>Yes</v>
      </c>
      <c r="E7" s="5" t="str">
        <f>_xlfn.XLOOKUP(C7,Tab_Def_Flows[Flow_Name],Tab_Def_Flows[Use_E2],,0,)</f>
        <v>Yes</v>
      </c>
      <c r="F7" s="5" t="str">
        <f>_xlfn.XLOOKUP(C7,Tab_Def_Flows[Flow_Name],Tab_Def_Flows[Use_E3],,0,)</f>
        <v>Yes</v>
      </c>
      <c r="G7" s="5" t="str">
        <f>_xlfn.XLOOKUP(C7,Tab_Def_Flows[Flow_Name],Tab_Def_Flows[Use_E4],,0,)</f>
        <v>Yes</v>
      </c>
      <c r="H7" s="5" t="str">
        <f>_xlfn.XLOOKUP(C7,Tab_Def_Flows[Flow_Name],Tab_Def_Flows[Use_E5],,0,)</f>
        <v>Yes</v>
      </c>
      <c r="I7" s="5" t="str">
        <f>_xlfn.XLOOKUP(C7,Tab_Def_Flows[Flow_Name],Tab_Def_Flows[Use_E6],,0,)</f>
        <v>Yes</v>
      </c>
      <c r="J7" s="3"/>
      <c r="K7" s="3"/>
      <c r="L7" s="2" t="str">
        <f>'0_Configuration'!$C$41</f>
        <v>Mg</v>
      </c>
      <c r="M7" s="9"/>
      <c r="N7" s="9"/>
      <c r="O7" s="9"/>
      <c r="P7" s="9"/>
      <c r="Q7" s="18" t="s">
        <v>3</v>
      </c>
      <c r="R7" s="10"/>
      <c r="S7" s="3"/>
      <c r="T7" s="9"/>
      <c r="U7" s="9"/>
      <c r="V7" s="2">
        <f>_xlfn.XLOOKUP(Tab_Data_Flows[[#This Row],[Flow_Name]],Tab_Def_Flows[Flow_Name],Tab_Def_Flows[Flow_E1_Fraction'[%']],"N.A.",0,1)</f>
        <v>0</v>
      </c>
      <c r="W7" s="8">
        <f t="shared" si="0"/>
        <v>0</v>
      </c>
      <c r="X7" s="2" t="str">
        <f>Tab_Data_Flows[[#This Row],[UoM_Source]]</f>
        <v>Mg</v>
      </c>
      <c r="Y7" s="19">
        <f>_xlfn.XLOOKUP(Tab_Data_Flows[[#This Row],[Flow_Name]],Tab_Def_Flows[Flow_Name],Tab_Def_Flows[Flow_E2_Fraction'[%']],"N.A.",0,1)</f>
        <v>0</v>
      </c>
      <c r="Z7" s="2">
        <f>IF(D7="Yes",W7*Tab_Data_Flows[[#This Row],[E2_Fraction'[%']]],"N.A.")</f>
        <v>0</v>
      </c>
      <c r="AA7" s="2" t="str">
        <f>Tab_Data_Flows[[#This Row],[E1_UoM]]</f>
        <v>Mg</v>
      </c>
      <c r="AB7" s="19">
        <f>_xlfn.XLOOKUP(Tab_Data_Flows[[#This Row],[Flow_Name]],Tab_Def_Flows[Flow_Name],Tab_Def_Flows[Flow_E3_Fraction'[%']],"N.A.",0,1)</f>
        <v>0</v>
      </c>
      <c r="AC7" s="2">
        <f>IF(E7="Yes",AB7*Tab_Data_Flows[[#This Row],[E1_value]],"N.A.")</f>
        <v>0</v>
      </c>
      <c r="AD7" s="2" t="str">
        <f>Tab_Data_Flows[[#This Row],[E1_UoM]]</f>
        <v>Mg</v>
      </c>
      <c r="AE7" s="19">
        <f>_xlfn.XLOOKUP(Tab_Data_Flows[[#This Row],[Flow_Name]],Tab_Def_Flows[Flow_Name],Tab_Def_Flows[Flow_E4_Fraction'[%']],"N.A.",0,1)</f>
        <v>0</v>
      </c>
      <c r="AF7" s="2">
        <f>IF(H7="Yes",Tab_Data_Flows[[#This Row],[E4_Fraction'[%']]]*Tab_Data_Flows[[#This Row],[E1_value]],"N.A.")</f>
        <v>0</v>
      </c>
      <c r="AG7" s="2" t="str">
        <f>Tab_Data_Flows[[#This Row],[E1_UoM]]</f>
        <v>Mg</v>
      </c>
      <c r="AH7" s="2">
        <f>_xlfn.XLOOKUP(Tab_Data_Flows[[#This Row],[Flow_Name]],Tab_Def_Flows[Flow_Name],Tab_Def_Flows[Flow_E5_Fraction'[%']],"N.A.",0,1)</f>
        <v>0</v>
      </c>
      <c r="AI7" s="2">
        <f>IF(H7="Yes",Tab_Data_Flows[[#This Row],[E5_Fraction'[%']]]*Tab_Data_Flows[[#This Row],[E1_value]],"N.A.")</f>
        <v>0</v>
      </c>
      <c r="AJ7" s="2" t="str">
        <f>Tab_Data_Flows[[#This Row],[E1_UoM]]</f>
        <v>Mg</v>
      </c>
      <c r="AK7" s="19">
        <f>_xlfn.XLOOKUP(Tab_Data_Flows[[#This Row],[Flow_Name]],Tab_Def_Flows[Flow_Name],Tab_Def_Flows[Flow_E6_Fraction'[%']],"N.A.",0,1)</f>
        <v>0</v>
      </c>
      <c r="AL7" s="2">
        <f>IF(Tab_Data_Flows[[#This Row],[Use_E6]]="Yes",Tab_Data_Flows[[#This Row],[E6_Fraction'[%']]]*Tab_Data_Flows[[#This Row],[E1_value]],"N.A.")</f>
        <v>0</v>
      </c>
      <c r="AM7" s="2" t="str">
        <f>Tab_Data_Flows[[#This Row],[E1_UoM]]</f>
        <v>Mg</v>
      </c>
    </row>
    <row r="8" spans="1:39" x14ac:dyDescent="0.25">
      <c r="A8" s="4">
        <f t="shared" si="1"/>
        <v>7</v>
      </c>
      <c r="B8" s="2" t="str">
        <f>_xlfn.XLOOKUP(C8,Tab_Def_Flows[Flow_Name],Tab_Def_Flows[Flow_ID],,0,)</f>
        <v>F__</v>
      </c>
      <c r="C8" s="18" t="s">
        <v>5</v>
      </c>
      <c r="D8" s="5" t="str">
        <f>_xlfn.XLOOKUP(C8,Tab_Def_Flows[Flow_Name],Tab_Def_Flows[Use_E1],,0,)</f>
        <v>Yes</v>
      </c>
      <c r="E8" s="5" t="str">
        <f>_xlfn.XLOOKUP(C8,Tab_Def_Flows[Flow_Name],Tab_Def_Flows[Use_E2],,0,)</f>
        <v>Yes</v>
      </c>
      <c r="F8" s="5" t="str">
        <f>_xlfn.XLOOKUP(C8,Tab_Def_Flows[Flow_Name],Tab_Def_Flows[Use_E3],,0,)</f>
        <v>Yes</v>
      </c>
      <c r="G8" s="5" t="str">
        <f>_xlfn.XLOOKUP(C8,Tab_Def_Flows[Flow_Name],Tab_Def_Flows[Use_E4],,0,)</f>
        <v>Yes</v>
      </c>
      <c r="H8" s="5" t="str">
        <f>_xlfn.XLOOKUP(C8,Tab_Def_Flows[Flow_Name],Tab_Def_Flows[Use_E5],,0,)</f>
        <v>Yes</v>
      </c>
      <c r="I8" s="5" t="str">
        <f>_xlfn.XLOOKUP(C8,Tab_Def_Flows[Flow_Name],Tab_Def_Flows[Use_E6],,0,)</f>
        <v>Yes</v>
      </c>
      <c r="J8" s="3"/>
      <c r="K8" s="3"/>
      <c r="L8" s="2" t="str">
        <f>'0_Configuration'!$C$41</f>
        <v>Mg</v>
      </c>
      <c r="M8" s="9"/>
      <c r="N8" s="9"/>
      <c r="O8" s="9"/>
      <c r="P8" s="9"/>
      <c r="Q8" s="18" t="s">
        <v>3</v>
      </c>
      <c r="R8" s="10"/>
      <c r="S8" s="3"/>
      <c r="T8" s="9"/>
      <c r="U8" s="9"/>
      <c r="V8" s="2">
        <f>_xlfn.XLOOKUP(Tab_Data_Flows[[#This Row],[Flow_Name]],Tab_Def_Flows[Flow_Name],Tab_Def_Flows[Flow_E1_Fraction'[%']],"N.A.",0,1)</f>
        <v>0</v>
      </c>
      <c r="W8" s="8">
        <f t="shared" si="0"/>
        <v>0</v>
      </c>
      <c r="X8" s="2" t="str">
        <f>Tab_Data_Flows[[#This Row],[UoM_Source]]</f>
        <v>Mg</v>
      </c>
      <c r="Y8" s="19">
        <f>_xlfn.XLOOKUP(Tab_Data_Flows[[#This Row],[Flow_Name]],Tab_Def_Flows[Flow_Name],Tab_Def_Flows[Flow_E2_Fraction'[%']],"N.A.",0,1)</f>
        <v>0</v>
      </c>
      <c r="Z8" s="2">
        <f>IF(D8="Yes",W8*Tab_Data_Flows[[#This Row],[E2_Fraction'[%']]],"N.A.")</f>
        <v>0</v>
      </c>
      <c r="AA8" s="2" t="str">
        <f>Tab_Data_Flows[[#This Row],[E1_UoM]]</f>
        <v>Mg</v>
      </c>
      <c r="AB8" s="19">
        <f>_xlfn.XLOOKUP(Tab_Data_Flows[[#This Row],[Flow_Name]],Tab_Def_Flows[Flow_Name],Tab_Def_Flows[Flow_E3_Fraction'[%']],"N.A.",0,1)</f>
        <v>0</v>
      </c>
      <c r="AC8" s="2">
        <f>IF(E8="Yes",AB8*Tab_Data_Flows[[#This Row],[E1_value]],"N.A.")</f>
        <v>0</v>
      </c>
      <c r="AD8" s="2" t="str">
        <f>Tab_Data_Flows[[#This Row],[E1_UoM]]</f>
        <v>Mg</v>
      </c>
      <c r="AE8" s="19">
        <f>_xlfn.XLOOKUP(Tab_Data_Flows[[#This Row],[Flow_Name]],Tab_Def_Flows[Flow_Name],Tab_Def_Flows[Flow_E4_Fraction'[%']],"N.A.",0,1)</f>
        <v>0</v>
      </c>
      <c r="AF8" s="2">
        <f>IF(H8="Yes",Tab_Data_Flows[[#This Row],[E4_Fraction'[%']]]*Tab_Data_Flows[[#This Row],[E1_value]],"N.A.")</f>
        <v>0</v>
      </c>
      <c r="AG8" s="2" t="str">
        <f>Tab_Data_Flows[[#This Row],[E1_UoM]]</f>
        <v>Mg</v>
      </c>
      <c r="AH8" s="2">
        <f>_xlfn.XLOOKUP(Tab_Data_Flows[[#This Row],[Flow_Name]],Tab_Def_Flows[Flow_Name],Tab_Def_Flows[Flow_E5_Fraction'[%']],"N.A.",0,1)</f>
        <v>0</v>
      </c>
      <c r="AI8" s="2">
        <f>IF(H8="Yes",Tab_Data_Flows[[#This Row],[E5_Fraction'[%']]]*Tab_Data_Flows[[#This Row],[E1_value]],"N.A.")</f>
        <v>0</v>
      </c>
      <c r="AJ8" s="2" t="str">
        <f>Tab_Data_Flows[[#This Row],[E1_UoM]]</f>
        <v>Mg</v>
      </c>
      <c r="AK8" s="19">
        <f>_xlfn.XLOOKUP(Tab_Data_Flows[[#This Row],[Flow_Name]],Tab_Def_Flows[Flow_Name],Tab_Def_Flows[Flow_E6_Fraction'[%']],"N.A.",0,1)</f>
        <v>0</v>
      </c>
      <c r="AL8" s="2">
        <f>IF(Tab_Data_Flows[[#This Row],[Use_E6]]="Yes",Tab_Data_Flows[[#This Row],[E6_Fraction'[%']]]*Tab_Data_Flows[[#This Row],[E1_value]],"N.A.")</f>
        <v>0</v>
      </c>
      <c r="AM8" s="2" t="str">
        <f>Tab_Data_Flows[[#This Row],[E1_UoM]]</f>
        <v>Mg</v>
      </c>
    </row>
    <row r="9" spans="1:39" x14ac:dyDescent="0.25">
      <c r="A9" s="4">
        <f t="shared" si="1"/>
        <v>8</v>
      </c>
      <c r="B9" s="2" t="str">
        <f>_xlfn.XLOOKUP(C9,Tab_Def_Flows[Flow_Name],Tab_Def_Flows[Flow_ID],,0,)</f>
        <v>F__</v>
      </c>
      <c r="C9" s="18" t="s">
        <v>5</v>
      </c>
      <c r="D9" s="5" t="str">
        <f>_xlfn.XLOOKUP(C9,Tab_Def_Flows[Flow_Name],Tab_Def_Flows[Use_E1],,0,)</f>
        <v>Yes</v>
      </c>
      <c r="E9" s="5" t="str">
        <f>_xlfn.XLOOKUP(C9,Tab_Def_Flows[Flow_Name],Tab_Def_Flows[Use_E2],,0,)</f>
        <v>Yes</v>
      </c>
      <c r="F9" s="5" t="str">
        <f>_xlfn.XLOOKUP(C9,Tab_Def_Flows[Flow_Name],Tab_Def_Flows[Use_E3],,0,)</f>
        <v>Yes</v>
      </c>
      <c r="G9" s="5" t="str">
        <f>_xlfn.XLOOKUP(C9,Tab_Def_Flows[Flow_Name],Tab_Def_Flows[Use_E4],,0,)</f>
        <v>Yes</v>
      </c>
      <c r="H9" s="5" t="str">
        <f>_xlfn.XLOOKUP(C9,Tab_Def_Flows[Flow_Name],Tab_Def_Flows[Use_E5],,0,)</f>
        <v>Yes</v>
      </c>
      <c r="I9" s="5" t="str">
        <f>_xlfn.XLOOKUP(C9,Tab_Def_Flows[Flow_Name],Tab_Def_Flows[Use_E6],,0,)</f>
        <v>Yes</v>
      </c>
      <c r="J9" s="3"/>
      <c r="K9" s="3"/>
      <c r="L9" s="2" t="str">
        <f>'0_Configuration'!$C$41</f>
        <v>Mg</v>
      </c>
      <c r="M9" s="9"/>
      <c r="N9" s="9"/>
      <c r="O9" s="9"/>
      <c r="P9" s="9"/>
      <c r="Q9" s="18" t="s">
        <v>3</v>
      </c>
      <c r="R9" s="3"/>
      <c r="S9" s="3"/>
      <c r="T9" s="9"/>
      <c r="U9" s="9"/>
      <c r="V9" s="2">
        <f>_xlfn.XLOOKUP(Tab_Data_Flows[[#This Row],[Flow_Name]],Tab_Def_Flows[Flow_Name],Tab_Def_Flows[Flow_E1_Fraction'[%']],"N.A.",0,1)</f>
        <v>0</v>
      </c>
      <c r="W9" s="8">
        <f t="shared" si="0"/>
        <v>0</v>
      </c>
      <c r="X9" s="2" t="str">
        <f>Tab_Data_Flows[[#This Row],[UoM_Source]]</f>
        <v>Mg</v>
      </c>
      <c r="Y9" s="19">
        <f>_xlfn.XLOOKUP(Tab_Data_Flows[[#This Row],[Flow_Name]],Tab_Def_Flows[Flow_Name],Tab_Def_Flows[Flow_E2_Fraction'[%']],"N.A.",0,1)</f>
        <v>0</v>
      </c>
      <c r="Z9" s="2">
        <f>IF(D9="Yes",W9*Tab_Data_Flows[[#This Row],[E2_Fraction'[%']]],"N.A.")</f>
        <v>0</v>
      </c>
      <c r="AA9" s="2" t="str">
        <f>Tab_Data_Flows[[#This Row],[E1_UoM]]</f>
        <v>Mg</v>
      </c>
      <c r="AB9" s="19">
        <f>_xlfn.XLOOKUP(Tab_Data_Flows[[#This Row],[Flow_Name]],Tab_Def_Flows[Flow_Name],Tab_Def_Flows[Flow_E3_Fraction'[%']],"N.A.",0,1)</f>
        <v>0</v>
      </c>
      <c r="AC9" s="2">
        <f>IF(E9="Yes",AB9*Tab_Data_Flows[[#This Row],[E1_value]],"N.A.")</f>
        <v>0</v>
      </c>
      <c r="AD9" s="2" t="str">
        <f>Tab_Data_Flows[[#This Row],[E1_UoM]]</f>
        <v>Mg</v>
      </c>
      <c r="AE9" s="19">
        <f>_xlfn.XLOOKUP(Tab_Data_Flows[[#This Row],[Flow_Name]],Tab_Def_Flows[Flow_Name],Tab_Def_Flows[Flow_E4_Fraction'[%']],"N.A.",0,1)</f>
        <v>0</v>
      </c>
      <c r="AF9" s="2">
        <f>IF(H9="Yes",Tab_Data_Flows[[#This Row],[E4_Fraction'[%']]]*Tab_Data_Flows[[#This Row],[E1_value]],"N.A.")</f>
        <v>0</v>
      </c>
      <c r="AG9" s="2" t="str">
        <f>Tab_Data_Flows[[#This Row],[E1_UoM]]</f>
        <v>Mg</v>
      </c>
      <c r="AH9" s="2">
        <f>_xlfn.XLOOKUP(Tab_Data_Flows[[#This Row],[Flow_Name]],Tab_Def_Flows[Flow_Name],Tab_Def_Flows[Flow_E5_Fraction'[%']],"N.A.",0,1)</f>
        <v>0</v>
      </c>
      <c r="AI9" s="2">
        <f>IF(H9="Yes",Tab_Data_Flows[[#This Row],[E5_Fraction'[%']]]*Tab_Data_Flows[[#This Row],[E1_value]],"N.A.")</f>
        <v>0</v>
      </c>
      <c r="AJ9" s="2" t="str">
        <f>Tab_Data_Flows[[#This Row],[E1_UoM]]</f>
        <v>Mg</v>
      </c>
      <c r="AK9" s="19">
        <f>_xlfn.XLOOKUP(Tab_Data_Flows[[#This Row],[Flow_Name]],Tab_Def_Flows[Flow_Name],Tab_Def_Flows[Flow_E6_Fraction'[%']],"N.A.",0,1)</f>
        <v>0</v>
      </c>
      <c r="AL9" s="2">
        <f>IF(Tab_Data_Flows[[#This Row],[Use_E6]]="Yes",Tab_Data_Flows[[#This Row],[E6_Fraction'[%']]]*Tab_Data_Flows[[#This Row],[E1_value]],"N.A.")</f>
        <v>0</v>
      </c>
      <c r="AM9" s="2" t="str">
        <f>Tab_Data_Flows[[#This Row],[E1_UoM]]</f>
        <v>Mg</v>
      </c>
    </row>
    <row r="10" spans="1:39" x14ac:dyDescent="0.25">
      <c r="A10" s="4">
        <f t="shared" si="1"/>
        <v>9</v>
      </c>
      <c r="B10" s="2" t="str">
        <f>_xlfn.XLOOKUP(C10,Tab_Def_Flows[Flow_Name],Tab_Def_Flows[Flow_ID],,0,)</f>
        <v>F__</v>
      </c>
      <c r="C10" s="18" t="s">
        <v>5</v>
      </c>
      <c r="D10" s="5" t="str">
        <f>_xlfn.XLOOKUP(C10,Tab_Def_Flows[Flow_Name],Tab_Def_Flows[Use_E1],,0,)</f>
        <v>Yes</v>
      </c>
      <c r="E10" s="5" t="str">
        <f>_xlfn.XLOOKUP(C10,Tab_Def_Flows[Flow_Name],Tab_Def_Flows[Use_E2],,0,)</f>
        <v>Yes</v>
      </c>
      <c r="F10" s="5" t="str">
        <f>_xlfn.XLOOKUP(C10,Tab_Def_Flows[Flow_Name],Tab_Def_Flows[Use_E3],,0,)</f>
        <v>Yes</v>
      </c>
      <c r="G10" s="5" t="str">
        <f>_xlfn.XLOOKUP(C10,Tab_Def_Flows[Flow_Name],Tab_Def_Flows[Use_E4],,0,)</f>
        <v>Yes</v>
      </c>
      <c r="H10" s="5" t="str">
        <f>_xlfn.XLOOKUP(C10,Tab_Def_Flows[Flow_Name],Tab_Def_Flows[Use_E5],,0,)</f>
        <v>Yes</v>
      </c>
      <c r="I10" s="5" t="str">
        <f>_xlfn.XLOOKUP(C10,Tab_Def_Flows[Flow_Name],Tab_Def_Flows[Use_E6],,0,)</f>
        <v>Yes</v>
      </c>
      <c r="J10" s="3"/>
      <c r="K10" s="3"/>
      <c r="L10" s="2" t="str">
        <f>'0_Configuration'!$C$41</f>
        <v>Mg</v>
      </c>
      <c r="M10" s="9"/>
      <c r="N10" s="9"/>
      <c r="O10" s="9"/>
      <c r="P10" s="9"/>
      <c r="Q10" s="18" t="s">
        <v>3</v>
      </c>
      <c r="R10" s="3"/>
      <c r="S10" s="3"/>
      <c r="T10" s="9"/>
      <c r="U10" s="9"/>
      <c r="V10" s="2">
        <f>_xlfn.XLOOKUP(Tab_Data_Flows[[#This Row],[Flow_Name]],Tab_Def_Flows[Flow_Name],Tab_Def_Flows[Flow_E1_Fraction'[%']],"N.A.",0,1)</f>
        <v>0</v>
      </c>
      <c r="W10" s="8">
        <f t="shared" si="0"/>
        <v>0</v>
      </c>
      <c r="X10" s="2" t="str">
        <f>Tab_Data_Flows[[#This Row],[UoM_Source]]</f>
        <v>Mg</v>
      </c>
      <c r="Y10" s="19">
        <f>_xlfn.XLOOKUP(Tab_Data_Flows[[#This Row],[Flow_Name]],Tab_Def_Flows[Flow_Name],Tab_Def_Flows[Flow_E2_Fraction'[%']],"N.A.",0,1)</f>
        <v>0</v>
      </c>
      <c r="Z10" s="2">
        <f>IF(D10="Yes",W10*Tab_Data_Flows[[#This Row],[E2_Fraction'[%']]],"N.A.")</f>
        <v>0</v>
      </c>
      <c r="AA10" s="2" t="str">
        <f>Tab_Data_Flows[[#This Row],[E1_UoM]]</f>
        <v>Mg</v>
      </c>
      <c r="AB10" s="19">
        <f>_xlfn.XLOOKUP(Tab_Data_Flows[[#This Row],[Flow_Name]],Tab_Def_Flows[Flow_Name],Tab_Def_Flows[Flow_E3_Fraction'[%']],"N.A.",0,1)</f>
        <v>0</v>
      </c>
      <c r="AC10" s="2">
        <f>IF(E10="Yes",AB10*Tab_Data_Flows[[#This Row],[E1_value]],"N.A.")</f>
        <v>0</v>
      </c>
      <c r="AD10" s="2" t="str">
        <f>Tab_Data_Flows[[#This Row],[E1_UoM]]</f>
        <v>Mg</v>
      </c>
      <c r="AE10" s="19">
        <f>_xlfn.XLOOKUP(Tab_Data_Flows[[#This Row],[Flow_Name]],Tab_Def_Flows[Flow_Name],Tab_Def_Flows[Flow_E4_Fraction'[%']],"N.A.",0,1)</f>
        <v>0</v>
      </c>
      <c r="AF10" s="2">
        <f>IF(H10="Yes",Tab_Data_Flows[[#This Row],[E4_Fraction'[%']]]*Tab_Data_Flows[[#This Row],[E1_value]],"N.A.")</f>
        <v>0</v>
      </c>
      <c r="AG10" s="2" t="str">
        <f>Tab_Data_Flows[[#This Row],[E1_UoM]]</f>
        <v>Mg</v>
      </c>
      <c r="AH10" s="2">
        <f>_xlfn.XLOOKUP(Tab_Data_Flows[[#This Row],[Flow_Name]],Tab_Def_Flows[Flow_Name],Tab_Def_Flows[Flow_E5_Fraction'[%']],"N.A.",0,1)</f>
        <v>0</v>
      </c>
      <c r="AI10" s="2">
        <f>IF(H10="Yes",Tab_Data_Flows[[#This Row],[E5_Fraction'[%']]]*Tab_Data_Flows[[#This Row],[E1_value]],"N.A.")</f>
        <v>0</v>
      </c>
      <c r="AJ10" s="2" t="str">
        <f>Tab_Data_Flows[[#This Row],[E1_UoM]]</f>
        <v>Mg</v>
      </c>
      <c r="AK10" s="19">
        <f>_xlfn.XLOOKUP(Tab_Data_Flows[[#This Row],[Flow_Name]],Tab_Def_Flows[Flow_Name],Tab_Def_Flows[Flow_E6_Fraction'[%']],"N.A.",0,1)</f>
        <v>0</v>
      </c>
      <c r="AL10" s="2">
        <f>IF(Tab_Data_Flows[[#This Row],[Use_E6]]="Yes",Tab_Data_Flows[[#This Row],[E6_Fraction'[%']]]*Tab_Data_Flows[[#This Row],[E1_value]],"N.A.")</f>
        <v>0</v>
      </c>
      <c r="AM10" s="2" t="str">
        <f>Tab_Data_Flows[[#This Row],[E1_UoM]]</f>
        <v>Mg</v>
      </c>
    </row>
    <row r="11" spans="1:39" x14ac:dyDescent="0.25">
      <c r="A11" s="4">
        <f t="shared" si="1"/>
        <v>10</v>
      </c>
      <c r="B11" s="2" t="str">
        <f>_xlfn.XLOOKUP(C11,Tab_Def_Flows[Flow_Name],Tab_Def_Flows[Flow_ID],,0,)</f>
        <v>F__</v>
      </c>
      <c r="C11" s="18" t="s">
        <v>5</v>
      </c>
      <c r="D11" s="5" t="str">
        <f>_xlfn.XLOOKUP(C11,Tab_Def_Flows[Flow_Name],Tab_Def_Flows[Use_E1],,0,)</f>
        <v>Yes</v>
      </c>
      <c r="E11" s="5" t="str">
        <f>_xlfn.XLOOKUP(C11,Tab_Def_Flows[Flow_Name],Tab_Def_Flows[Use_E2],,0,)</f>
        <v>Yes</v>
      </c>
      <c r="F11" s="5" t="str">
        <f>_xlfn.XLOOKUP(C11,Tab_Def_Flows[Flow_Name],Tab_Def_Flows[Use_E3],,0,)</f>
        <v>Yes</v>
      </c>
      <c r="G11" s="5" t="str">
        <f>_xlfn.XLOOKUP(C11,Tab_Def_Flows[Flow_Name],Tab_Def_Flows[Use_E4],,0,)</f>
        <v>Yes</v>
      </c>
      <c r="H11" s="5" t="str">
        <f>_xlfn.XLOOKUP(C11,Tab_Def_Flows[Flow_Name],Tab_Def_Flows[Use_E5],,0,)</f>
        <v>Yes</v>
      </c>
      <c r="I11" s="5" t="str">
        <f>_xlfn.XLOOKUP(C11,Tab_Def_Flows[Flow_Name],Tab_Def_Flows[Use_E6],,0,)</f>
        <v>Yes</v>
      </c>
      <c r="J11" s="3"/>
      <c r="K11" s="3"/>
      <c r="L11" s="2" t="str">
        <f>'0_Configuration'!$C$41</f>
        <v>Mg</v>
      </c>
      <c r="M11" s="9"/>
      <c r="N11" s="9"/>
      <c r="O11" s="9"/>
      <c r="P11" s="9"/>
      <c r="Q11" s="18" t="s">
        <v>3</v>
      </c>
      <c r="R11" s="3"/>
      <c r="S11" s="3"/>
      <c r="T11" s="9"/>
      <c r="U11" s="9"/>
      <c r="V11" s="2">
        <f>_xlfn.XLOOKUP(Tab_Data_Flows[[#This Row],[Flow_Name]],Tab_Def_Flows[Flow_Name],Tab_Def_Flows[Flow_E1_Fraction'[%']],"N.A.",0,1)</f>
        <v>0</v>
      </c>
      <c r="W11" s="8">
        <f t="shared" si="0"/>
        <v>0</v>
      </c>
      <c r="X11" s="2" t="str">
        <f>Tab_Data_Flows[[#This Row],[UoM_Source]]</f>
        <v>Mg</v>
      </c>
      <c r="Y11" s="19">
        <f>_xlfn.XLOOKUP(Tab_Data_Flows[[#This Row],[Flow_Name]],Tab_Def_Flows[Flow_Name],Tab_Def_Flows[Flow_E2_Fraction'[%']],"N.A.",0,1)</f>
        <v>0</v>
      </c>
      <c r="Z11" s="2">
        <f>IF(D11="Yes",W11*Tab_Data_Flows[[#This Row],[E2_Fraction'[%']]],"N.A.")</f>
        <v>0</v>
      </c>
      <c r="AA11" s="2" t="str">
        <f>Tab_Data_Flows[[#This Row],[E1_UoM]]</f>
        <v>Mg</v>
      </c>
      <c r="AB11" s="19">
        <f>_xlfn.XLOOKUP(Tab_Data_Flows[[#This Row],[Flow_Name]],Tab_Def_Flows[Flow_Name],Tab_Def_Flows[Flow_E3_Fraction'[%']],"N.A.",0,1)</f>
        <v>0</v>
      </c>
      <c r="AC11" s="2">
        <f>IF(E11="Yes",AB11*Tab_Data_Flows[[#This Row],[E1_value]],"N.A.")</f>
        <v>0</v>
      </c>
      <c r="AD11" s="2" t="str">
        <f>Tab_Data_Flows[[#This Row],[E1_UoM]]</f>
        <v>Mg</v>
      </c>
      <c r="AE11" s="19">
        <f>_xlfn.XLOOKUP(Tab_Data_Flows[[#This Row],[Flow_Name]],Tab_Def_Flows[Flow_Name],Tab_Def_Flows[Flow_E4_Fraction'[%']],"N.A.",0,1)</f>
        <v>0</v>
      </c>
      <c r="AF11" s="2">
        <f>IF(H11="Yes",Tab_Data_Flows[[#This Row],[E4_Fraction'[%']]]*Tab_Data_Flows[[#This Row],[E1_value]],"N.A.")</f>
        <v>0</v>
      </c>
      <c r="AG11" s="2" t="str">
        <f>Tab_Data_Flows[[#This Row],[E1_UoM]]</f>
        <v>Mg</v>
      </c>
      <c r="AH11" s="2">
        <f>_xlfn.XLOOKUP(Tab_Data_Flows[[#This Row],[Flow_Name]],Tab_Def_Flows[Flow_Name],Tab_Def_Flows[Flow_E5_Fraction'[%']],"N.A.",0,1)</f>
        <v>0</v>
      </c>
      <c r="AI11" s="2">
        <f>IF(H11="Yes",Tab_Data_Flows[[#This Row],[E5_Fraction'[%']]]*Tab_Data_Flows[[#This Row],[E1_value]],"N.A.")</f>
        <v>0</v>
      </c>
      <c r="AJ11" s="2" t="str">
        <f>Tab_Data_Flows[[#This Row],[E1_UoM]]</f>
        <v>Mg</v>
      </c>
      <c r="AK11" s="19">
        <f>_xlfn.XLOOKUP(Tab_Data_Flows[[#This Row],[Flow_Name]],Tab_Def_Flows[Flow_Name],Tab_Def_Flows[Flow_E6_Fraction'[%']],"N.A.",0,1)</f>
        <v>0</v>
      </c>
      <c r="AL11" s="2">
        <f>IF(Tab_Data_Flows[[#This Row],[Use_E6]]="Yes",Tab_Data_Flows[[#This Row],[E6_Fraction'[%']]]*Tab_Data_Flows[[#This Row],[E1_value]],"N.A.")</f>
        <v>0</v>
      </c>
      <c r="AM11" s="2" t="str">
        <f>Tab_Data_Flows[[#This Row],[E1_UoM]]</f>
        <v>Mg</v>
      </c>
    </row>
    <row r="12" spans="1:39" x14ac:dyDescent="0.25">
      <c r="A12" s="4">
        <f t="shared" si="1"/>
        <v>11</v>
      </c>
      <c r="B12" s="2" t="str">
        <f>_xlfn.XLOOKUP(C12,Tab_Def_Flows[Flow_Name],Tab_Def_Flows[Flow_ID],,0,)</f>
        <v>F__</v>
      </c>
      <c r="C12" s="18" t="s">
        <v>5</v>
      </c>
      <c r="D12" s="5" t="str">
        <f>_xlfn.XLOOKUP(C12,Tab_Def_Flows[Flow_Name],Tab_Def_Flows[Use_E1],,0,)</f>
        <v>Yes</v>
      </c>
      <c r="E12" s="5" t="str">
        <f>_xlfn.XLOOKUP(C12,Tab_Def_Flows[Flow_Name],Tab_Def_Flows[Use_E2],,0,)</f>
        <v>Yes</v>
      </c>
      <c r="F12" s="5" t="str">
        <f>_xlfn.XLOOKUP(C12,Tab_Def_Flows[Flow_Name],Tab_Def_Flows[Use_E3],,0,)</f>
        <v>Yes</v>
      </c>
      <c r="G12" s="5" t="str">
        <f>_xlfn.XLOOKUP(C12,Tab_Def_Flows[Flow_Name],Tab_Def_Flows[Use_E4],,0,)</f>
        <v>Yes</v>
      </c>
      <c r="H12" s="5" t="str">
        <f>_xlfn.XLOOKUP(C12,Tab_Def_Flows[Flow_Name],Tab_Def_Flows[Use_E5],,0,)</f>
        <v>Yes</v>
      </c>
      <c r="I12" s="5" t="str">
        <f>_xlfn.XLOOKUP(C12,Tab_Def_Flows[Flow_Name],Tab_Def_Flows[Use_E6],,0,)</f>
        <v>Yes</v>
      </c>
      <c r="J12" s="3"/>
      <c r="K12" s="3"/>
      <c r="L12" s="2" t="str">
        <f>'0_Configuration'!$C$41</f>
        <v>Mg</v>
      </c>
      <c r="M12" s="9"/>
      <c r="N12" s="9"/>
      <c r="O12" s="9"/>
      <c r="P12" s="9"/>
      <c r="Q12" s="18" t="s">
        <v>3</v>
      </c>
      <c r="R12" s="3"/>
      <c r="S12" s="3"/>
      <c r="T12" s="9"/>
      <c r="U12" s="9"/>
      <c r="V12" s="2">
        <f>_xlfn.XLOOKUP(Tab_Data_Flows[[#This Row],[Flow_Name]],Tab_Def_Flows[Flow_Name],Tab_Def_Flows[Flow_E1_Fraction'[%']],"N.A.",0,1)</f>
        <v>0</v>
      </c>
      <c r="W12" s="8">
        <f t="shared" si="0"/>
        <v>0</v>
      </c>
      <c r="X12" s="2" t="str">
        <f>Tab_Data_Flows[[#This Row],[UoM_Source]]</f>
        <v>Mg</v>
      </c>
      <c r="Y12" s="19">
        <f>_xlfn.XLOOKUP(Tab_Data_Flows[[#This Row],[Flow_Name]],Tab_Def_Flows[Flow_Name],Tab_Def_Flows[Flow_E2_Fraction'[%']],"N.A.",0,1)</f>
        <v>0</v>
      </c>
      <c r="Z12" s="2">
        <f>IF(D12="Yes",W12*Tab_Data_Flows[[#This Row],[E2_Fraction'[%']]],"N.A.")</f>
        <v>0</v>
      </c>
      <c r="AA12" s="2" t="str">
        <f>Tab_Data_Flows[[#This Row],[E1_UoM]]</f>
        <v>Mg</v>
      </c>
      <c r="AB12" s="19">
        <f>_xlfn.XLOOKUP(Tab_Data_Flows[[#This Row],[Flow_Name]],Tab_Def_Flows[Flow_Name],Tab_Def_Flows[Flow_E3_Fraction'[%']],"N.A.",0,1)</f>
        <v>0</v>
      </c>
      <c r="AC12" s="2">
        <f>IF(E12="Yes",AB12*Tab_Data_Flows[[#This Row],[E1_value]],"N.A.")</f>
        <v>0</v>
      </c>
      <c r="AD12" s="2" t="str">
        <f>Tab_Data_Flows[[#This Row],[E1_UoM]]</f>
        <v>Mg</v>
      </c>
      <c r="AE12" s="19">
        <f>_xlfn.XLOOKUP(Tab_Data_Flows[[#This Row],[Flow_Name]],Tab_Def_Flows[Flow_Name],Tab_Def_Flows[Flow_E4_Fraction'[%']],"N.A.",0,1)</f>
        <v>0</v>
      </c>
      <c r="AF12" s="2">
        <f>IF(H12="Yes",Tab_Data_Flows[[#This Row],[E4_Fraction'[%']]]*Tab_Data_Flows[[#This Row],[E1_value]],"N.A.")</f>
        <v>0</v>
      </c>
      <c r="AG12" s="2" t="str">
        <f>Tab_Data_Flows[[#This Row],[E1_UoM]]</f>
        <v>Mg</v>
      </c>
      <c r="AH12" s="2">
        <f>_xlfn.XLOOKUP(Tab_Data_Flows[[#This Row],[Flow_Name]],Tab_Def_Flows[Flow_Name],Tab_Def_Flows[Flow_E5_Fraction'[%']],"N.A.",0,1)</f>
        <v>0</v>
      </c>
      <c r="AI12" s="2">
        <f>IF(H12="Yes",Tab_Data_Flows[[#This Row],[E5_Fraction'[%']]]*Tab_Data_Flows[[#This Row],[E1_value]],"N.A.")</f>
        <v>0</v>
      </c>
      <c r="AJ12" s="2" t="str">
        <f>Tab_Data_Flows[[#This Row],[E1_UoM]]</f>
        <v>Mg</v>
      </c>
      <c r="AK12" s="19">
        <f>_xlfn.XLOOKUP(Tab_Data_Flows[[#This Row],[Flow_Name]],Tab_Def_Flows[Flow_Name],Tab_Def_Flows[Flow_E6_Fraction'[%']],"N.A.",0,1)</f>
        <v>0</v>
      </c>
      <c r="AL12" s="2">
        <f>IF(Tab_Data_Flows[[#This Row],[Use_E6]]="Yes",Tab_Data_Flows[[#This Row],[E6_Fraction'[%']]]*Tab_Data_Flows[[#This Row],[E1_value]],"N.A.")</f>
        <v>0</v>
      </c>
      <c r="AM12" s="2" t="str">
        <f>Tab_Data_Flows[[#This Row],[E1_UoM]]</f>
        <v>Mg</v>
      </c>
    </row>
    <row r="13" spans="1:39" x14ac:dyDescent="0.25">
      <c r="A13" s="4">
        <f t="shared" si="1"/>
        <v>12</v>
      </c>
      <c r="B13" s="2" t="str">
        <f>_xlfn.XLOOKUP(C13,Tab_Def_Flows[Flow_Name],Tab_Def_Flows[Flow_ID],,0,)</f>
        <v>F__</v>
      </c>
      <c r="C13" s="18" t="s">
        <v>5</v>
      </c>
      <c r="D13" s="5" t="str">
        <f>_xlfn.XLOOKUP(C13,Tab_Def_Flows[Flow_Name],Tab_Def_Flows[Use_E1],,0,)</f>
        <v>Yes</v>
      </c>
      <c r="E13" s="5" t="str">
        <f>_xlfn.XLOOKUP(C13,Tab_Def_Flows[Flow_Name],Tab_Def_Flows[Use_E2],,0,)</f>
        <v>Yes</v>
      </c>
      <c r="F13" s="5" t="str">
        <f>_xlfn.XLOOKUP(C13,Tab_Def_Flows[Flow_Name],Tab_Def_Flows[Use_E3],,0,)</f>
        <v>Yes</v>
      </c>
      <c r="G13" s="5" t="str">
        <f>_xlfn.XLOOKUP(C13,Tab_Def_Flows[Flow_Name],Tab_Def_Flows[Use_E4],,0,)</f>
        <v>Yes</v>
      </c>
      <c r="H13" s="5" t="str">
        <f>_xlfn.XLOOKUP(C13,Tab_Def_Flows[Flow_Name],Tab_Def_Flows[Use_E5],,0,)</f>
        <v>Yes</v>
      </c>
      <c r="I13" s="5" t="str">
        <f>_xlfn.XLOOKUP(C13,Tab_Def_Flows[Flow_Name],Tab_Def_Flows[Use_E6],,0,)</f>
        <v>Yes</v>
      </c>
      <c r="J13" s="3"/>
      <c r="K13" s="3"/>
      <c r="L13" s="2" t="str">
        <f>'0_Configuration'!$C$41</f>
        <v>Mg</v>
      </c>
      <c r="M13" s="9"/>
      <c r="N13" s="9"/>
      <c r="O13" s="9"/>
      <c r="P13" s="9"/>
      <c r="Q13" s="18" t="s">
        <v>3</v>
      </c>
      <c r="R13" s="3"/>
      <c r="S13" s="3"/>
      <c r="T13" s="9"/>
      <c r="U13" s="9"/>
      <c r="V13" s="2">
        <f>_xlfn.XLOOKUP(Tab_Data_Flows[[#This Row],[Flow_Name]],Tab_Def_Flows[Flow_Name],Tab_Def_Flows[Flow_E1_Fraction'[%']],"N.A.",0,1)</f>
        <v>0</v>
      </c>
      <c r="W13" s="8">
        <f t="shared" si="0"/>
        <v>0</v>
      </c>
      <c r="X13" s="2" t="str">
        <f>Tab_Data_Flows[[#This Row],[UoM_Source]]</f>
        <v>Mg</v>
      </c>
      <c r="Y13" s="19">
        <f>_xlfn.XLOOKUP(Tab_Data_Flows[[#This Row],[Flow_Name]],Tab_Def_Flows[Flow_Name],Tab_Def_Flows[Flow_E2_Fraction'[%']],"N.A.",0,1)</f>
        <v>0</v>
      </c>
      <c r="Z13" s="2">
        <f>IF(D13="Yes",W13*Tab_Data_Flows[[#This Row],[E2_Fraction'[%']]],"N.A.")</f>
        <v>0</v>
      </c>
      <c r="AA13" s="2" t="str">
        <f>Tab_Data_Flows[[#This Row],[E1_UoM]]</f>
        <v>Mg</v>
      </c>
      <c r="AB13" s="19">
        <f>_xlfn.XLOOKUP(Tab_Data_Flows[[#This Row],[Flow_Name]],Tab_Def_Flows[Flow_Name],Tab_Def_Flows[Flow_E3_Fraction'[%']],"N.A.",0,1)</f>
        <v>0</v>
      </c>
      <c r="AC13" s="2">
        <f>IF(E13="Yes",AB13*Tab_Data_Flows[[#This Row],[E1_value]],"N.A.")</f>
        <v>0</v>
      </c>
      <c r="AD13" s="2" t="str">
        <f>Tab_Data_Flows[[#This Row],[E1_UoM]]</f>
        <v>Mg</v>
      </c>
      <c r="AE13" s="19">
        <f>_xlfn.XLOOKUP(Tab_Data_Flows[[#This Row],[Flow_Name]],Tab_Def_Flows[Flow_Name],Tab_Def_Flows[Flow_E4_Fraction'[%']],"N.A.",0,1)</f>
        <v>0</v>
      </c>
      <c r="AF13" s="2">
        <f>IF(H13="Yes",Tab_Data_Flows[[#This Row],[E4_Fraction'[%']]]*Tab_Data_Flows[[#This Row],[E1_value]],"N.A.")</f>
        <v>0</v>
      </c>
      <c r="AG13" s="2" t="str">
        <f>Tab_Data_Flows[[#This Row],[E1_UoM]]</f>
        <v>Mg</v>
      </c>
      <c r="AH13" s="2">
        <f>_xlfn.XLOOKUP(Tab_Data_Flows[[#This Row],[Flow_Name]],Tab_Def_Flows[Flow_Name],Tab_Def_Flows[Flow_E5_Fraction'[%']],"N.A.",0,1)</f>
        <v>0</v>
      </c>
      <c r="AI13" s="2">
        <f>IF(H13="Yes",Tab_Data_Flows[[#This Row],[E5_Fraction'[%']]]*Tab_Data_Flows[[#This Row],[E1_value]],"N.A.")</f>
        <v>0</v>
      </c>
      <c r="AJ13" s="2" t="str">
        <f>Tab_Data_Flows[[#This Row],[E1_UoM]]</f>
        <v>Mg</v>
      </c>
      <c r="AK13" s="19">
        <f>_xlfn.XLOOKUP(Tab_Data_Flows[[#This Row],[Flow_Name]],Tab_Def_Flows[Flow_Name],Tab_Def_Flows[Flow_E6_Fraction'[%']],"N.A.",0,1)</f>
        <v>0</v>
      </c>
      <c r="AL13" s="2">
        <f>IF(Tab_Data_Flows[[#This Row],[Use_E6]]="Yes",Tab_Data_Flows[[#This Row],[E6_Fraction'[%']]]*Tab_Data_Flows[[#This Row],[E1_value]],"N.A.")</f>
        <v>0</v>
      </c>
      <c r="AM13" s="2" t="str">
        <f>Tab_Data_Flows[[#This Row],[E1_UoM]]</f>
        <v>Mg</v>
      </c>
    </row>
    <row r="14" spans="1:39" x14ac:dyDescent="0.25">
      <c r="A14" s="4">
        <f t="shared" si="1"/>
        <v>13</v>
      </c>
      <c r="B14" s="2" t="str">
        <f>_xlfn.XLOOKUP(C14,Tab_Def_Flows[Flow_Name],Tab_Def_Flows[Flow_ID],,0,)</f>
        <v>F__</v>
      </c>
      <c r="C14" s="18" t="s">
        <v>5</v>
      </c>
      <c r="D14" s="5" t="str">
        <f>_xlfn.XLOOKUP(C14,Tab_Def_Flows[Flow_Name],Tab_Def_Flows[Use_E1],,0,)</f>
        <v>Yes</v>
      </c>
      <c r="E14" s="5" t="str">
        <f>_xlfn.XLOOKUP(C14,Tab_Def_Flows[Flow_Name],Tab_Def_Flows[Use_E2],,0,)</f>
        <v>Yes</v>
      </c>
      <c r="F14" s="5" t="str">
        <f>_xlfn.XLOOKUP(C14,Tab_Def_Flows[Flow_Name],Tab_Def_Flows[Use_E3],,0,)</f>
        <v>Yes</v>
      </c>
      <c r="G14" s="5" t="str">
        <f>_xlfn.XLOOKUP(C14,Tab_Def_Flows[Flow_Name],Tab_Def_Flows[Use_E4],,0,)</f>
        <v>Yes</v>
      </c>
      <c r="H14" s="5" t="str">
        <f>_xlfn.XLOOKUP(C14,Tab_Def_Flows[Flow_Name],Tab_Def_Flows[Use_E5],,0,)</f>
        <v>Yes</v>
      </c>
      <c r="I14" s="5" t="str">
        <f>_xlfn.XLOOKUP(C14,Tab_Def_Flows[Flow_Name],Tab_Def_Flows[Use_E6],,0,)</f>
        <v>Yes</v>
      </c>
      <c r="J14" s="3"/>
      <c r="K14" s="3"/>
      <c r="L14" s="2" t="str">
        <f>'0_Configuration'!$C$41</f>
        <v>Mg</v>
      </c>
      <c r="M14" s="9"/>
      <c r="N14" s="9"/>
      <c r="O14" s="9"/>
      <c r="P14" s="9"/>
      <c r="Q14" s="18" t="s">
        <v>3</v>
      </c>
      <c r="R14" s="3"/>
      <c r="S14" s="3"/>
      <c r="T14" s="9"/>
      <c r="U14" s="9"/>
      <c r="V14" s="2">
        <f>_xlfn.XLOOKUP(Tab_Data_Flows[[#This Row],[Flow_Name]],Tab_Def_Flows[Flow_Name],Tab_Def_Flows[Flow_E1_Fraction'[%']],"N.A.",0,1)</f>
        <v>0</v>
      </c>
      <c r="W14" s="8">
        <f t="shared" si="0"/>
        <v>0</v>
      </c>
      <c r="X14" s="2" t="str">
        <f>Tab_Data_Flows[[#This Row],[UoM_Source]]</f>
        <v>Mg</v>
      </c>
      <c r="Y14" s="19">
        <f>_xlfn.XLOOKUP(Tab_Data_Flows[[#This Row],[Flow_Name]],Tab_Def_Flows[Flow_Name],Tab_Def_Flows[Flow_E2_Fraction'[%']],"N.A.",0,1)</f>
        <v>0</v>
      </c>
      <c r="Z14" s="2">
        <f>IF(D14="Yes",W14*Tab_Data_Flows[[#This Row],[E2_Fraction'[%']]],"N.A.")</f>
        <v>0</v>
      </c>
      <c r="AA14" s="2" t="str">
        <f>Tab_Data_Flows[[#This Row],[E1_UoM]]</f>
        <v>Mg</v>
      </c>
      <c r="AB14" s="19">
        <f>_xlfn.XLOOKUP(Tab_Data_Flows[[#This Row],[Flow_Name]],Tab_Def_Flows[Flow_Name],Tab_Def_Flows[Flow_E3_Fraction'[%']],"N.A.",0,1)</f>
        <v>0</v>
      </c>
      <c r="AC14" s="2">
        <f>IF(E14="Yes",AB14*Tab_Data_Flows[[#This Row],[E1_value]],"N.A.")</f>
        <v>0</v>
      </c>
      <c r="AD14" s="2" t="str">
        <f>Tab_Data_Flows[[#This Row],[E1_UoM]]</f>
        <v>Mg</v>
      </c>
      <c r="AE14" s="19">
        <f>_xlfn.XLOOKUP(Tab_Data_Flows[[#This Row],[Flow_Name]],Tab_Def_Flows[Flow_Name],Tab_Def_Flows[Flow_E4_Fraction'[%']],"N.A.",0,1)</f>
        <v>0</v>
      </c>
      <c r="AF14" s="2">
        <f>IF(H14="Yes",Tab_Data_Flows[[#This Row],[E4_Fraction'[%']]]*Tab_Data_Flows[[#This Row],[E1_value]],"N.A.")</f>
        <v>0</v>
      </c>
      <c r="AG14" s="2" t="str">
        <f>Tab_Data_Flows[[#This Row],[E1_UoM]]</f>
        <v>Mg</v>
      </c>
      <c r="AH14" s="2">
        <f>_xlfn.XLOOKUP(Tab_Data_Flows[[#This Row],[Flow_Name]],Tab_Def_Flows[Flow_Name],Tab_Def_Flows[Flow_E5_Fraction'[%']],"N.A.",0,1)</f>
        <v>0</v>
      </c>
      <c r="AI14" s="2">
        <f>IF(H14="Yes",Tab_Data_Flows[[#This Row],[E5_Fraction'[%']]]*Tab_Data_Flows[[#This Row],[E1_value]],"N.A.")</f>
        <v>0</v>
      </c>
      <c r="AJ14" s="2" t="str">
        <f>Tab_Data_Flows[[#This Row],[E1_UoM]]</f>
        <v>Mg</v>
      </c>
      <c r="AK14" s="19">
        <f>_xlfn.XLOOKUP(Tab_Data_Flows[[#This Row],[Flow_Name]],Tab_Def_Flows[Flow_Name],Tab_Def_Flows[Flow_E6_Fraction'[%']],"N.A.",0,1)</f>
        <v>0</v>
      </c>
      <c r="AL14" s="2">
        <f>IF(Tab_Data_Flows[[#This Row],[Use_E6]]="Yes",Tab_Data_Flows[[#This Row],[E6_Fraction'[%']]]*Tab_Data_Flows[[#This Row],[E1_value]],"N.A.")</f>
        <v>0</v>
      </c>
      <c r="AM14" s="2" t="str">
        <f>Tab_Data_Flows[[#This Row],[E1_UoM]]</f>
        <v>Mg</v>
      </c>
    </row>
    <row r="15" spans="1:39" x14ac:dyDescent="0.25">
      <c r="A15" s="4">
        <f t="shared" si="1"/>
        <v>14</v>
      </c>
      <c r="B15" s="2" t="str">
        <f>_xlfn.XLOOKUP(C15,Tab_Def_Flows[Flow_Name],Tab_Def_Flows[Flow_ID],,0,)</f>
        <v>F__</v>
      </c>
      <c r="C15" s="18" t="s">
        <v>5</v>
      </c>
      <c r="D15" s="5" t="str">
        <f>_xlfn.XLOOKUP(C15,Tab_Def_Flows[Flow_Name],Tab_Def_Flows[Use_E1],,0,)</f>
        <v>Yes</v>
      </c>
      <c r="E15" s="5" t="str">
        <f>_xlfn.XLOOKUP(C15,Tab_Def_Flows[Flow_Name],Tab_Def_Flows[Use_E2],,0,)</f>
        <v>Yes</v>
      </c>
      <c r="F15" s="5" t="str">
        <f>_xlfn.XLOOKUP(C15,Tab_Def_Flows[Flow_Name],Tab_Def_Flows[Use_E3],,0,)</f>
        <v>Yes</v>
      </c>
      <c r="G15" s="5" t="str">
        <f>_xlfn.XLOOKUP(C15,Tab_Def_Flows[Flow_Name],Tab_Def_Flows[Use_E4],,0,)</f>
        <v>Yes</v>
      </c>
      <c r="H15" s="5" t="str">
        <f>_xlfn.XLOOKUP(C15,Tab_Def_Flows[Flow_Name],Tab_Def_Flows[Use_E5],,0,)</f>
        <v>Yes</v>
      </c>
      <c r="I15" s="5" t="str">
        <f>_xlfn.XLOOKUP(C15,Tab_Def_Flows[Flow_Name],Tab_Def_Flows[Use_E6],,0,)</f>
        <v>Yes</v>
      </c>
      <c r="J15" s="3"/>
      <c r="K15" s="3"/>
      <c r="L15" s="2" t="str">
        <f>'0_Configuration'!$C$41</f>
        <v>Mg</v>
      </c>
      <c r="M15" s="9"/>
      <c r="N15" s="9"/>
      <c r="O15" s="9"/>
      <c r="P15" s="9"/>
      <c r="Q15" s="18" t="s">
        <v>3</v>
      </c>
      <c r="R15" s="3"/>
      <c r="S15" s="3"/>
      <c r="T15" s="9"/>
      <c r="U15" s="9"/>
      <c r="V15" s="2">
        <f>_xlfn.XLOOKUP(Tab_Data_Flows[[#This Row],[Flow_Name]],Tab_Def_Flows[Flow_Name],Tab_Def_Flows[Flow_E1_Fraction'[%']],"N.A.",0,1)</f>
        <v>0</v>
      </c>
      <c r="W15" s="8">
        <f t="shared" si="0"/>
        <v>0</v>
      </c>
      <c r="X15" s="2" t="str">
        <f>Tab_Data_Flows[[#This Row],[UoM_Source]]</f>
        <v>Mg</v>
      </c>
      <c r="Y15" s="19">
        <f>_xlfn.XLOOKUP(Tab_Data_Flows[[#This Row],[Flow_Name]],Tab_Def_Flows[Flow_Name],Tab_Def_Flows[Flow_E2_Fraction'[%']],"N.A.",0,1)</f>
        <v>0</v>
      </c>
      <c r="Z15" s="2">
        <f>IF(D15="Yes",W15*Tab_Data_Flows[[#This Row],[E2_Fraction'[%']]],"N.A.")</f>
        <v>0</v>
      </c>
      <c r="AA15" s="2" t="str">
        <f>Tab_Data_Flows[[#This Row],[E1_UoM]]</f>
        <v>Mg</v>
      </c>
      <c r="AB15" s="19">
        <f>_xlfn.XLOOKUP(Tab_Data_Flows[[#This Row],[Flow_Name]],Tab_Def_Flows[Flow_Name],Tab_Def_Flows[Flow_E3_Fraction'[%']],"N.A.",0,1)</f>
        <v>0</v>
      </c>
      <c r="AC15" s="2">
        <f>IF(E15="Yes",AB15*Tab_Data_Flows[[#This Row],[E1_value]],"N.A.")</f>
        <v>0</v>
      </c>
      <c r="AD15" s="2" t="str">
        <f>Tab_Data_Flows[[#This Row],[E1_UoM]]</f>
        <v>Mg</v>
      </c>
      <c r="AE15" s="19">
        <f>_xlfn.XLOOKUP(Tab_Data_Flows[[#This Row],[Flow_Name]],Tab_Def_Flows[Flow_Name],Tab_Def_Flows[Flow_E4_Fraction'[%']],"N.A.",0,1)</f>
        <v>0</v>
      </c>
      <c r="AF15" s="2">
        <f>IF(H15="Yes",Tab_Data_Flows[[#This Row],[E4_Fraction'[%']]]*Tab_Data_Flows[[#This Row],[E1_value]],"N.A.")</f>
        <v>0</v>
      </c>
      <c r="AG15" s="2" t="str">
        <f>Tab_Data_Flows[[#This Row],[E1_UoM]]</f>
        <v>Mg</v>
      </c>
      <c r="AH15" s="2">
        <f>_xlfn.XLOOKUP(Tab_Data_Flows[[#This Row],[Flow_Name]],Tab_Def_Flows[Flow_Name],Tab_Def_Flows[Flow_E5_Fraction'[%']],"N.A.",0,1)</f>
        <v>0</v>
      </c>
      <c r="AI15" s="2">
        <f>IF(H15="Yes",Tab_Data_Flows[[#This Row],[E5_Fraction'[%']]]*Tab_Data_Flows[[#This Row],[E1_value]],"N.A.")</f>
        <v>0</v>
      </c>
      <c r="AJ15" s="2" t="str">
        <f>Tab_Data_Flows[[#This Row],[E1_UoM]]</f>
        <v>Mg</v>
      </c>
      <c r="AK15" s="19">
        <f>_xlfn.XLOOKUP(Tab_Data_Flows[[#This Row],[Flow_Name]],Tab_Def_Flows[Flow_Name],Tab_Def_Flows[Flow_E6_Fraction'[%']],"N.A.",0,1)</f>
        <v>0</v>
      </c>
      <c r="AL15" s="2">
        <f>IF(Tab_Data_Flows[[#This Row],[Use_E6]]="Yes",Tab_Data_Flows[[#This Row],[E6_Fraction'[%']]]*Tab_Data_Flows[[#This Row],[E1_value]],"N.A.")</f>
        <v>0</v>
      </c>
      <c r="AM15" s="2" t="str">
        <f>Tab_Data_Flows[[#This Row],[E1_UoM]]</f>
        <v>Mg</v>
      </c>
    </row>
    <row r="16" spans="1:39" x14ac:dyDescent="0.25">
      <c r="A16" s="4">
        <f t="shared" si="1"/>
        <v>15</v>
      </c>
      <c r="B16" s="2" t="str">
        <f>_xlfn.XLOOKUP(C16,Tab_Def_Flows[Flow_Name],Tab_Def_Flows[Flow_ID],,0,)</f>
        <v>F__</v>
      </c>
      <c r="C16" s="18" t="s">
        <v>5</v>
      </c>
      <c r="D16" s="5" t="str">
        <f>_xlfn.XLOOKUP(C16,Tab_Def_Flows[Flow_Name],Tab_Def_Flows[Use_E1],,0,)</f>
        <v>Yes</v>
      </c>
      <c r="E16" s="5" t="str">
        <f>_xlfn.XLOOKUP(C16,Tab_Def_Flows[Flow_Name],Tab_Def_Flows[Use_E2],,0,)</f>
        <v>Yes</v>
      </c>
      <c r="F16" s="5" t="str">
        <f>_xlfn.XLOOKUP(C16,Tab_Def_Flows[Flow_Name],Tab_Def_Flows[Use_E3],,0,)</f>
        <v>Yes</v>
      </c>
      <c r="G16" s="5" t="str">
        <f>_xlfn.XLOOKUP(C16,Tab_Def_Flows[Flow_Name],Tab_Def_Flows[Use_E4],,0,)</f>
        <v>Yes</v>
      </c>
      <c r="H16" s="5" t="str">
        <f>_xlfn.XLOOKUP(C16,Tab_Def_Flows[Flow_Name],Tab_Def_Flows[Use_E5],,0,)</f>
        <v>Yes</v>
      </c>
      <c r="I16" s="5" t="str">
        <f>_xlfn.XLOOKUP(C16,Tab_Def_Flows[Flow_Name],Tab_Def_Flows[Use_E6],,0,)</f>
        <v>Yes</v>
      </c>
      <c r="J16" s="3"/>
      <c r="K16" s="3"/>
      <c r="L16" s="2" t="str">
        <f>'0_Configuration'!$C$41</f>
        <v>Mg</v>
      </c>
      <c r="M16" s="9"/>
      <c r="N16" s="9"/>
      <c r="O16" s="9"/>
      <c r="P16" s="9"/>
      <c r="Q16" s="18" t="s">
        <v>3</v>
      </c>
      <c r="R16" s="3"/>
      <c r="S16" s="3"/>
      <c r="T16" s="9"/>
      <c r="U16" s="9"/>
      <c r="V16" s="2">
        <f>_xlfn.XLOOKUP(Tab_Data_Flows[[#This Row],[Flow_Name]],Tab_Def_Flows[Flow_Name],Tab_Def_Flows[Flow_E1_Fraction'[%']],"N.A.",0,1)</f>
        <v>0</v>
      </c>
      <c r="W16" s="8">
        <f t="shared" si="0"/>
        <v>0</v>
      </c>
      <c r="X16" s="2" t="str">
        <f>Tab_Data_Flows[[#This Row],[UoM_Source]]</f>
        <v>Mg</v>
      </c>
      <c r="Y16" s="19">
        <f>_xlfn.XLOOKUP(Tab_Data_Flows[[#This Row],[Flow_Name]],Tab_Def_Flows[Flow_Name],Tab_Def_Flows[Flow_E2_Fraction'[%']],"N.A.",0,1)</f>
        <v>0</v>
      </c>
      <c r="Z16" s="2">
        <f>IF(D16="Yes",W16*Tab_Data_Flows[[#This Row],[E2_Fraction'[%']]],"N.A.")</f>
        <v>0</v>
      </c>
      <c r="AA16" s="2" t="str">
        <f>Tab_Data_Flows[[#This Row],[E1_UoM]]</f>
        <v>Mg</v>
      </c>
      <c r="AB16" s="19">
        <f>_xlfn.XLOOKUP(Tab_Data_Flows[[#This Row],[Flow_Name]],Tab_Def_Flows[Flow_Name],Tab_Def_Flows[Flow_E3_Fraction'[%']],"N.A.",0,1)</f>
        <v>0</v>
      </c>
      <c r="AC16" s="2">
        <f>IF(E16="Yes",AB16*Tab_Data_Flows[[#This Row],[E1_value]],"N.A.")</f>
        <v>0</v>
      </c>
      <c r="AD16" s="2" t="str">
        <f>Tab_Data_Flows[[#This Row],[E1_UoM]]</f>
        <v>Mg</v>
      </c>
      <c r="AE16" s="19">
        <f>_xlfn.XLOOKUP(Tab_Data_Flows[[#This Row],[Flow_Name]],Tab_Def_Flows[Flow_Name],Tab_Def_Flows[Flow_E4_Fraction'[%']],"N.A.",0,1)</f>
        <v>0</v>
      </c>
      <c r="AF16" s="2">
        <f>IF(H16="Yes",Tab_Data_Flows[[#This Row],[E4_Fraction'[%']]]*Tab_Data_Flows[[#This Row],[E1_value]],"N.A.")</f>
        <v>0</v>
      </c>
      <c r="AG16" s="2" t="str">
        <f>Tab_Data_Flows[[#This Row],[E1_UoM]]</f>
        <v>Mg</v>
      </c>
      <c r="AH16" s="2">
        <f>_xlfn.XLOOKUP(Tab_Data_Flows[[#This Row],[Flow_Name]],Tab_Def_Flows[Flow_Name],Tab_Def_Flows[Flow_E5_Fraction'[%']],"N.A.",0,1)</f>
        <v>0</v>
      </c>
      <c r="AI16" s="2">
        <f>IF(H16="Yes",Tab_Data_Flows[[#This Row],[E5_Fraction'[%']]]*Tab_Data_Flows[[#This Row],[E1_value]],"N.A.")</f>
        <v>0</v>
      </c>
      <c r="AJ16" s="2" t="str">
        <f>Tab_Data_Flows[[#This Row],[E1_UoM]]</f>
        <v>Mg</v>
      </c>
      <c r="AK16" s="19">
        <f>_xlfn.XLOOKUP(Tab_Data_Flows[[#This Row],[Flow_Name]],Tab_Def_Flows[Flow_Name],Tab_Def_Flows[Flow_E6_Fraction'[%']],"N.A.",0,1)</f>
        <v>0</v>
      </c>
      <c r="AL16" s="2">
        <f>IF(Tab_Data_Flows[[#This Row],[Use_E6]]="Yes",Tab_Data_Flows[[#This Row],[E6_Fraction'[%']]]*Tab_Data_Flows[[#This Row],[E1_value]],"N.A.")</f>
        <v>0</v>
      </c>
      <c r="AM16" s="2" t="str">
        <f>Tab_Data_Flows[[#This Row],[E1_UoM]]</f>
        <v>Mg</v>
      </c>
    </row>
    <row r="17" spans="1:39" x14ac:dyDescent="0.25">
      <c r="A17" s="4">
        <f t="shared" si="1"/>
        <v>16</v>
      </c>
      <c r="B17" s="2" t="str">
        <f>_xlfn.XLOOKUP(C17,Tab_Def_Flows[Flow_Name],Tab_Def_Flows[Flow_ID],,0,)</f>
        <v>F__</v>
      </c>
      <c r="C17" s="18" t="s">
        <v>5</v>
      </c>
      <c r="D17" s="5" t="str">
        <f>_xlfn.XLOOKUP(C17,Tab_Def_Flows[Flow_Name],Tab_Def_Flows[Use_E1],,0,)</f>
        <v>Yes</v>
      </c>
      <c r="E17" s="5" t="str">
        <f>_xlfn.XLOOKUP(C17,Tab_Def_Flows[Flow_Name],Tab_Def_Flows[Use_E2],,0,)</f>
        <v>Yes</v>
      </c>
      <c r="F17" s="5" t="str">
        <f>_xlfn.XLOOKUP(C17,Tab_Def_Flows[Flow_Name],Tab_Def_Flows[Use_E3],,0,)</f>
        <v>Yes</v>
      </c>
      <c r="G17" s="5" t="str">
        <f>_xlfn.XLOOKUP(C17,Tab_Def_Flows[Flow_Name],Tab_Def_Flows[Use_E4],,0,)</f>
        <v>Yes</v>
      </c>
      <c r="H17" s="5" t="str">
        <f>_xlfn.XLOOKUP(C17,Tab_Def_Flows[Flow_Name],Tab_Def_Flows[Use_E5],,0,)</f>
        <v>Yes</v>
      </c>
      <c r="I17" s="5" t="str">
        <f>_xlfn.XLOOKUP(C17,Tab_Def_Flows[Flow_Name],Tab_Def_Flows[Use_E6],,0,)</f>
        <v>Yes</v>
      </c>
      <c r="J17" s="3"/>
      <c r="K17" s="3"/>
      <c r="L17" s="2" t="str">
        <f>'0_Configuration'!$C$41</f>
        <v>Mg</v>
      </c>
      <c r="M17" s="9"/>
      <c r="N17" s="9"/>
      <c r="O17" s="9"/>
      <c r="P17" s="9"/>
      <c r="Q17" s="18" t="s">
        <v>3</v>
      </c>
      <c r="R17" s="3"/>
      <c r="S17" s="3"/>
      <c r="T17" s="9"/>
      <c r="U17" s="9"/>
      <c r="V17" s="2">
        <f>_xlfn.XLOOKUP(Tab_Data_Flows[[#This Row],[Flow_Name]],Tab_Def_Flows[Flow_Name],Tab_Def_Flows[Flow_E1_Fraction'[%']],"N.A.",0,1)</f>
        <v>0</v>
      </c>
      <c r="W17" s="8">
        <f t="shared" si="0"/>
        <v>0</v>
      </c>
      <c r="X17" s="2" t="str">
        <f>Tab_Data_Flows[[#This Row],[UoM_Source]]</f>
        <v>Mg</v>
      </c>
      <c r="Y17" s="19">
        <f>_xlfn.XLOOKUP(Tab_Data_Flows[[#This Row],[Flow_Name]],Tab_Def_Flows[Flow_Name],Tab_Def_Flows[Flow_E2_Fraction'[%']],"N.A.",0,1)</f>
        <v>0</v>
      </c>
      <c r="Z17" s="2">
        <f>IF(D17="Yes",W17*Tab_Data_Flows[[#This Row],[E2_Fraction'[%']]],"N.A.")</f>
        <v>0</v>
      </c>
      <c r="AA17" s="2" t="str">
        <f>Tab_Data_Flows[[#This Row],[E1_UoM]]</f>
        <v>Mg</v>
      </c>
      <c r="AB17" s="19">
        <f>_xlfn.XLOOKUP(Tab_Data_Flows[[#This Row],[Flow_Name]],Tab_Def_Flows[Flow_Name],Tab_Def_Flows[Flow_E3_Fraction'[%']],"N.A.",0,1)</f>
        <v>0</v>
      </c>
      <c r="AC17" s="2">
        <f>IF(E17="Yes",AB17*Tab_Data_Flows[[#This Row],[E1_value]],"N.A.")</f>
        <v>0</v>
      </c>
      <c r="AD17" s="2" t="str">
        <f>Tab_Data_Flows[[#This Row],[E1_UoM]]</f>
        <v>Mg</v>
      </c>
      <c r="AE17" s="19">
        <f>_xlfn.XLOOKUP(Tab_Data_Flows[[#This Row],[Flow_Name]],Tab_Def_Flows[Flow_Name],Tab_Def_Flows[Flow_E4_Fraction'[%']],"N.A.",0,1)</f>
        <v>0</v>
      </c>
      <c r="AF17" s="2">
        <f>IF(H17="Yes",Tab_Data_Flows[[#This Row],[E4_Fraction'[%']]]*Tab_Data_Flows[[#This Row],[E1_value]],"N.A.")</f>
        <v>0</v>
      </c>
      <c r="AG17" s="2" t="str">
        <f>Tab_Data_Flows[[#This Row],[E1_UoM]]</f>
        <v>Mg</v>
      </c>
      <c r="AH17" s="2">
        <f>_xlfn.XLOOKUP(Tab_Data_Flows[[#This Row],[Flow_Name]],Tab_Def_Flows[Flow_Name],Tab_Def_Flows[Flow_E5_Fraction'[%']],"N.A.",0,1)</f>
        <v>0</v>
      </c>
      <c r="AI17" s="2">
        <f>IF(H17="Yes",Tab_Data_Flows[[#This Row],[E5_Fraction'[%']]]*Tab_Data_Flows[[#This Row],[E1_value]],"N.A.")</f>
        <v>0</v>
      </c>
      <c r="AJ17" s="2" t="str">
        <f>Tab_Data_Flows[[#This Row],[E1_UoM]]</f>
        <v>Mg</v>
      </c>
      <c r="AK17" s="19">
        <f>_xlfn.XLOOKUP(Tab_Data_Flows[[#This Row],[Flow_Name]],Tab_Def_Flows[Flow_Name],Tab_Def_Flows[Flow_E6_Fraction'[%']],"N.A.",0,1)</f>
        <v>0</v>
      </c>
      <c r="AL17" s="2">
        <f>IF(Tab_Data_Flows[[#This Row],[Use_E6]]="Yes",Tab_Data_Flows[[#This Row],[E6_Fraction'[%']]]*Tab_Data_Flows[[#This Row],[E1_value]],"N.A.")</f>
        <v>0</v>
      </c>
      <c r="AM17" s="2" t="str">
        <f>Tab_Data_Flows[[#This Row],[E1_UoM]]</f>
        <v>Mg</v>
      </c>
    </row>
    <row r="18" spans="1:39" x14ac:dyDescent="0.25">
      <c r="A18" s="4">
        <f t="shared" si="1"/>
        <v>17</v>
      </c>
      <c r="B18" s="2" t="str">
        <f>_xlfn.XLOOKUP(C18,Tab_Def_Flows[Flow_Name],Tab_Def_Flows[Flow_ID],,0,)</f>
        <v>F__</v>
      </c>
      <c r="C18" s="18" t="s">
        <v>5</v>
      </c>
      <c r="D18" s="5" t="str">
        <f>_xlfn.XLOOKUP(C18,Tab_Def_Flows[Flow_Name],Tab_Def_Flows[Use_E1],,0,)</f>
        <v>Yes</v>
      </c>
      <c r="E18" s="5" t="str">
        <f>_xlfn.XLOOKUP(C18,Tab_Def_Flows[Flow_Name],Tab_Def_Flows[Use_E2],,0,)</f>
        <v>Yes</v>
      </c>
      <c r="F18" s="5" t="str">
        <f>_xlfn.XLOOKUP(C18,Tab_Def_Flows[Flow_Name],Tab_Def_Flows[Use_E3],,0,)</f>
        <v>Yes</v>
      </c>
      <c r="G18" s="5" t="str">
        <f>_xlfn.XLOOKUP(C18,Tab_Def_Flows[Flow_Name],Tab_Def_Flows[Use_E4],,0,)</f>
        <v>Yes</v>
      </c>
      <c r="H18" s="5" t="str">
        <f>_xlfn.XLOOKUP(C18,Tab_Def_Flows[Flow_Name],Tab_Def_Flows[Use_E5],,0,)</f>
        <v>Yes</v>
      </c>
      <c r="I18" s="5" t="str">
        <f>_xlfn.XLOOKUP(C18,Tab_Def_Flows[Flow_Name],Tab_Def_Flows[Use_E6],,0,)</f>
        <v>Yes</v>
      </c>
      <c r="J18" s="3"/>
      <c r="K18" s="3"/>
      <c r="L18" s="2" t="str">
        <f>'0_Configuration'!$C$41</f>
        <v>Mg</v>
      </c>
      <c r="M18" s="9"/>
      <c r="N18" s="9"/>
      <c r="O18" s="9"/>
      <c r="P18" s="9"/>
      <c r="Q18" s="18" t="s">
        <v>3</v>
      </c>
      <c r="R18" s="3"/>
      <c r="S18" s="3"/>
      <c r="T18" s="9"/>
      <c r="U18" s="9"/>
      <c r="V18" s="2">
        <f>_xlfn.XLOOKUP(Tab_Data_Flows[[#This Row],[Flow_Name]],Tab_Def_Flows[Flow_Name],Tab_Def_Flows[Flow_E1_Fraction'[%']],"N.A.",0,1)</f>
        <v>0</v>
      </c>
      <c r="W18" s="8">
        <f t="shared" si="0"/>
        <v>0</v>
      </c>
      <c r="X18" s="2" t="str">
        <f>Tab_Data_Flows[[#This Row],[UoM_Source]]</f>
        <v>Mg</v>
      </c>
      <c r="Y18" s="19">
        <f>_xlfn.XLOOKUP(Tab_Data_Flows[[#This Row],[Flow_Name]],Tab_Def_Flows[Flow_Name],Tab_Def_Flows[Flow_E2_Fraction'[%']],"N.A.",0,1)</f>
        <v>0</v>
      </c>
      <c r="Z18" s="2">
        <f>IF(D18="Yes",W18*Tab_Data_Flows[[#This Row],[E2_Fraction'[%']]],"N.A.")</f>
        <v>0</v>
      </c>
      <c r="AA18" s="2" t="str">
        <f>Tab_Data_Flows[[#This Row],[E1_UoM]]</f>
        <v>Mg</v>
      </c>
      <c r="AB18" s="19">
        <f>_xlfn.XLOOKUP(Tab_Data_Flows[[#This Row],[Flow_Name]],Tab_Def_Flows[Flow_Name],Tab_Def_Flows[Flow_E3_Fraction'[%']],"N.A.",0,1)</f>
        <v>0</v>
      </c>
      <c r="AC18" s="2">
        <f>IF(E18="Yes",AB18*Tab_Data_Flows[[#This Row],[E1_value]],"N.A.")</f>
        <v>0</v>
      </c>
      <c r="AD18" s="2" t="str">
        <f>Tab_Data_Flows[[#This Row],[E1_UoM]]</f>
        <v>Mg</v>
      </c>
      <c r="AE18" s="19">
        <f>_xlfn.XLOOKUP(Tab_Data_Flows[[#This Row],[Flow_Name]],Tab_Def_Flows[Flow_Name],Tab_Def_Flows[Flow_E4_Fraction'[%']],"N.A.",0,1)</f>
        <v>0</v>
      </c>
      <c r="AF18" s="2">
        <f>IF(H18="Yes",Tab_Data_Flows[[#This Row],[E4_Fraction'[%']]]*Tab_Data_Flows[[#This Row],[E1_value]],"N.A.")</f>
        <v>0</v>
      </c>
      <c r="AG18" s="2" t="str">
        <f>Tab_Data_Flows[[#This Row],[E1_UoM]]</f>
        <v>Mg</v>
      </c>
      <c r="AH18" s="2">
        <f>_xlfn.XLOOKUP(Tab_Data_Flows[[#This Row],[Flow_Name]],Tab_Def_Flows[Flow_Name],Tab_Def_Flows[Flow_E5_Fraction'[%']],"N.A.",0,1)</f>
        <v>0</v>
      </c>
      <c r="AI18" s="2">
        <f>IF(H18="Yes",Tab_Data_Flows[[#This Row],[E5_Fraction'[%']]]*Tab_Data_Flows[[#This Row],[E1_value]],"N.A.")</f>
        <v>0</v>
      </c>
      <c r="AJ18" s="2" t="str">
        <f>Tab_Data_Flows[[#This Row],[E1_UoM]]</f>
        <v>Mg</v>
      </c>
      <c r="AK18" s="19">
        <f>_xlfn.XLOOKUP(Tab_Data_Flows[[#This Row],[Flow_Name]],Tab_Def_Flows[Flow_Name],Tab_Def_Flows[Flow_E6_Fraction'[%']],"N.A.",0,1)</f>
        <v>0</v>
      </c>
      <c r="AL18" s="2">
        <f>IF(Tab_Data_Flows[[#This Row],[Use_E6]]="Yes",Tab_Data_Flows[[#This Row],[E6_Fraction'[%']]]*Tab_Data_Flows[[#This Row],[E1_value]],"N.A.")</f>
        <v>0</v>
      </c>
      <c r="AM18" s="2" t="str">
        <f>Tab_Data_Flows[[#This Row],[E1_UoM]]</f>
        <v>Mg</v>
      </c>
    </row>
    <row r="19" spans="1:39" x14ac:dyDescent="0.25">
      <c r="A19" s="4">
        <f t="shared" si="1"/>
        <v>18</v>
      </c>
      <c r="B19" s="2" t="str">
        <f>_xlfn.XLOOKUP(C19,Tab_Def_Flows[Flow_Name],Tab_Def_Flows[Flow_ID],,0,)</f>
        <v>F__</v>
      </c>
      <c r="C19" s="18" t="s">
        <v>5</v>
      </c>
      <c r="D19" s="5" t="str">
        <f>_xlfn.XLOOKUP(C19,Tab_Def_Flows[Flow_Name],Tab_Def_Flows[Use_E1],,0,)</f>
        <v>Yes</v>
      </c>
      <c r="E19" s="5" t="str">
        <f>_xlfn.XLOOKUP(C19,Tab_Def_Flows[Flow_Name],Tab_Def_Flows[Use_E2],,0,)</f>
        <v>Yes</v>
      </c>
      <c r="F19" s="5" t="str">
        <f>_xlfn.XLOOKUP(C19,Tab_Def_Flows[Flow_Name],Tab_Def_Flows[Use_E3],,0,)</f>
        <v>Yes</v>
      </c>
      <c r="G19" s="5" t="str">
        <f>_xlfn.XLOOKUP(C19,Tab_Def_Flows[Flow_Name],Tab_Def_Flows[Use_E4],,0,)</f>
        <v>Yes</v>
      </c>
      <c r="H19" s="5" t="str">
        <f>_xlfn.XLOOKUP(C19,Tab_Def_Flows[Flow_Name],Tab_Def_Flows[Use_E5],,0,)</f>
        <v>Yes</v>
      </c>
      <c r="I19" s="5" t="str">
        <f>_xlfn.XLOOKUP(C19,Tab_Def_Flows[Flow_Name],Tab_Def_Flows[Use_E6],,0,)</f>
        <v>Yes</v>
      </c>
      <c r="J19" s="3"/>
      <c r="K19" s="3"/>
      <c r="L19" s="2" t="str">
        <f>'0_Configuration'!$C$41</f>
        <v>Mg</v>
      </c>
      <c r="M19" s="9"/>
      <c r="N19" s="9"/>
      <c r="O19" s="9"/>
      <c r="P19" s="9"/>
      <c r="Q19" s="18" t="s">
        <v>3</v>
      </c>
      <c r="R19" s="3"/>
      <c r="S19" s="3"/>
      <c r="T19" s="9"/>
      <c r="U19" s="9"/>
      <c r="V19" s="2">
        <f>_xlfn.XLOOKUP(Tab_Data_Flows[[#This Row],[Flow_Name]],Tab_Def_Flows[Flow_Name],Tab_Def_Flows[Flow_E1_Fraction'[%']],"N.A.",0,1)</f>
        <v>0</v>
      </c>
      <c r="W19" s="8">
        <f t="shared" si="0"/>
        <v>0</v>
      </c>
      <c r="X19" s="2" t="str">
        <f>Tab_Data_Flows[[#This Row],[UoM_Source]]</f>
        <v>Mg</v>
      </c>
      <c r="Y19" s="19">
        <f>_xlfn.XLOOKUP(Tab_Data_Flows[[#This Row],[Flow_Name]],Tab_Def_Flows[Flow_Name],Tab_Def_Flows[Flow_E2_Fraction'[%']],"N.A.",0,1)</f>
        <v>0</v>
      </c>
      <c r="Z19" s="2">
        <f>IF(D19="Yes",W19*Tab_Data_Flows[[#This Row],[E2_Fraction'[%']]],"N.A.")</f>
        <v>0</v>
      </c>
      <c r="AA19" s="2" t="str">
        <f>Tab_Data_Flows[[#This Row],[E1_UoM]]</f>
        <v>Mg</v>
      </c>
      <c r="AB19" s="19">
        <f>_xlfn.XLOOKUP(Tab_Data_Flows[[#This Row],[Flow_Name]],Tab_Def_Flows[Flow_Name],Tab_Def_Flows[Flow_E3_Fraction'[%']],"N.A.",0,1)</f>
        <v>0</v>
      </c>
      <c r="AC19" s="2">
        <f>IF(E19="Yes",AB19*Tab_Data_Flows[[#This Row],[E1_value]],"N.A.")</f>
        <v>0</v>
      </c>
      <c r="AD19" s="2" t="str">
        <f>Tab_Data_Flows[[#This Row],[E1_UoM]]</f>
        <v>Mg</v>
      </c>
      <c r="AE19" s="19">
        <f>_xlfn.XLOOKUP(Tab_Data_Flows[[#This Row],[Flow_Name]],Tab_Def_Flows[Flow_Name],Tab_Def_Flows[Flow_E4_Fraction'[%']],"N.A.",0,1)</f>
        <v>0</v>
      </c>
      <c r="AF19" s="2">
        <f>IF(H19="Yes",Tab_Data_Flows[[#This Row],[E4_Fraction'[%']]]*Tab_Data_Flows[[#This Row],[E1_value]],"N.A.")</f>
        <v>0</v>
      </c>
      <c r="AG19" s="2" t="str">
        <f>Tab_Data_Flows[[#This Row],[E1_UoM]]</f>
        <v>Mg</v>
      </c>
      <c r="AH19" s="2">
        <f>_xlfn.XLOOKUP(Tab_Data_Flows[[#This Row],[Flow_Name]],Tab_Def_Flows[Flow_Name],Tab_Def_Flows[Flow_E5_Fraction'[%']],"N.A.",0,1)</f>
        <v>0</v>
      </c>
      <c r="AI19" s="2">
        <f>IF(H19="Yes",Tab_Data_Flows[[#This Row],[E5_Fraction'[%']]]*Tab_Data_Flows[[#This Row],[E1_value]],"N.A.")</f>
        <v>0</v>
      </c>
      <c r="AJ19" s="2" t="str">
        <f>Tab_Data_Flows[[#This Row],[E1_UoM]]</f>
        <v>Mg</v>
      </c>
      <c r="AK19" s="19">
        <f>_xlfn.XLOOKUP(Tab_Data_Flows[[#This Row],[Flow_Name]],Tab_Def_Flows[Flow_Name],Tab_Def_Flows[Flow_E6_Fraction'[%']],"N.A.",0,1)</f>
        <v>0</v>
      </c>
      <c r="AL19" s="2">
        <f>IF(Tab_Data_Flows[[#This Row],[Use_E6]]="Yes",Tab_Data_Flows[[#This Row],[E6_Fraction'[%']]]*Tab_Data_Flows[[#This Row],[E1_value]],"N.A.")</f>
        <v>0</v>
      </c>
      <c r="AM19" s="2" t="str">
        <f>Tab_Data_Flows[[#This Row],[E1_UoM]]</f>
        <v>Mg</v>
      </c>
    </row>
    <row r="20" spans="1:39" x14ac:dyDescent="0.25">
      <c r="A20" s="4">
        <f t="shared" si="1"/>
        <v>19</v>
      </c>
      <c r="B20" s="2" t="str">
        <f>_xlfn.XLOOKUP(C20,Tab_Def_Flows[Flow_Name],Tab_Def_Flows[Flow_ID],,0,)</f>
        <v>F__</v>
      </c>
      <c r="C20" s="18" t="s">
        <v>5</v>
      </c>
      <c r="D20" s="5" t="str">
        <f>_xlfn.XLOOKUP(C20,Tab_Def_Flows[Flow_Name],Tab_Def_Flows[Use_E1],,0,)</f>
        <v>Yes</v>
      </c>
      <c r="E20" s="5" t="str">
        <f>_xlfn.XLOOKUP(C20,Tab_Def_Flows[Flow_Name],Tab_Def_Flows[Use_E2],,0,)</f>
        <v>Yes</v>
      </c>
      <c r="F20" s="5" t="str">
        <f>_xlfn.XLOOKUP(C20,Tab_Def_Flows[Flow_Name],Tab_Def_Flows[Use_E3],,0,)</f>
        <v>Yes</v>
      </c>
      <c r="G20" s="5" t="str">
        <f>_xlfn.XLOOKUP(C20,Tab_Def_Flows[Flow_Name],Tab_Def_Flows[Use_E4],,0,)</f>
        <v>Yes</v>
      </c>
      <c r="H20" s="5" t="str">
        <f>_xlfn.XLOOKUP(C20,Tab_Def_Flows[Flow_Name],Tab_Def_Flows[Use_E5],,0,)</f>
        <v>Yes</v>
      </c>
      <c r="I20" s="5" t="str">
        <f>_xlfn.XLOOKUP(C20,Tab_Def_Flows[Flow_Name],Tab_Def_Flows[Use_E6],,0,)</f>
        <v>Yes</v>
      </c>
      <c r="J20" s="3"/>
      <c r="K20" s="3"/>
      <c r="L20" s="2" t="str">
        <f>'0_Configuration'!$C$41</f>
        <v>Mg</v>
      </c>
      <c r="M20" s="9"/>
      <c r="N20" s="9"/>
      <c r="O20" s="9"/>
      <c r="P20" s="9"/>
      <c r="Q20" s="18" t="s">
        <v>3</v>
      </c>
      <c r="R20" s="3"/>
      <c r="S20" s="3"/>
      <c r="T20" s="9"/>
      <c r="U20" s="9"/>
      <c r="V20" s="2">
        <f>_xlfn.XLOOKUP(Tab_Data_Flows[[#This Row],[Flow_Name]],Tab_Def_Flows[Flow_Name],Tab_Def_Flows[Flow_E1_Fraction'[%']],"N.A.",0,1)</f>
        <v>0</v>
      </c>
      <c r="W20" s="8">
        <f t="shared" si="0"/>
        <v>0</v>
      </c>
      <c r="X20" s="2" t="str">
        <f>Tab_Data_Flows[[#This Row],[UoM_Source]]</f>
        <v>Mg</v>
      </c>
      <c r="Y20" s="19">
        <f>_xlfn.XLOOKUP(Tab_Data_Flows[[#This Row],[Flow_Name]],Tab_Def_Flows[Flow_Name],Tab_Def_Flows[Flow_E2_Fraction'[%']],"N.A.",0,1)</f>
        <v>0</v>
      </c>
      <c r="Z20" s="2">
        <f>IF(D20="Yes",W20*Tab_Data_Flows[[#This Row],[E2_Fraction'[%']]],"N.A.")</f>
        <v>0</v>
      </c>
      <c r="AA20" s="2" t="str">
        <f>Tab_Data_Flows[[#This Row],[E1_UoM]]</f>
        <v>Mg</v>
      </c>
      <c r="AB20" s="19">
        <f>_xlfn.XLOOKUP(Tab_Data_Flows[[#This Row],[Flow_Name]],Tab_Def_Flows[Flow_Name],Tab_Def_Flows[Flow_E3_Fraction'[%']],"N.A.",0,1)</f>
        <v>0</v>
      </c>
      <c r="AC20" s="2">
        <f>IF(E20="Yes",AB20*Tab_Data_Flows[[#This Row],[E1_value]],"N.A.")</f>
        <v>0</v>
      </c>
      <c r="AD20" s="2" t="str">
        <f>Tab_Data_Flows[[#This Row],[E1_UoM]]</f>
        <v>Mg</v>
      </c>
      <c r="AE20" s="19">
        <f>_xlfn.XLOOKUP(Tab_Data_Flows[[#This Row],[Flow_Name]],Tab_Def_Flows[Flow_Name],Tab_Def_Flows[Flow_E4_Fraction'[%']],"N.A.",0,1)</f>
        <v>0</v>
      </c>
      <c r="AF20" s="2">
        <f>IF(H20="Yes",Tab_Data_Flows[[#This Row],[E4_Fraction'[%']]]*Tab_Data_Flows[[#This Row],[E1_value]],"N.A.")</f>
        <v>0</v>
      </c>
      <c r="AG20" s="2" t="str">
        <f>Tab_Data_Flows[[#This Row],[E1_UoM]]</f>
        <v>Mg</v>
      </c>
      <c r="AH20" s="2">
        <f>_xlfn.XLOOKUP(Tab_Data_Flows[[#This Row],[Flow_Name]],Tab_Def_Flows[Flow_Name],Tab_Def_Flows[Flow_E5_Fraction'[%']],"N.A.",0,1)</f>
        <v>0</v>
      </c>
      <c r="AI20" s="2">
        <f>IF(H20="Yes",Tab_Data_Flows[[#This Row],[E5_Fraction'[%']]]*Tab_Data_Flows[[#This Row],[E1_value]],"N.A.")</f>
        <v>0</v>
      </c>
      <c r="AJ20" s="2" t="str">
        <f>Tab_Data_Flows[[#This Row],[E1_UoM]]</f>
        <v>Mg</v>
      </c>
      <c r="AK20" s="19">
        <f>_xlfn.XLOOKUP(Tab_Data_Flows[[#This Row],[Flow_Name]],Tab_Def_Flows[Flow_Name],Tab_Def_Flows[Flow_E6_Fraction'[%']],"N.A.",0,1)</f>
        <v>0</v>
      </c>
      <c r="AL20" s="2">
        <f>IF(Tab_Data_Flows[[#This Row],[Use_E6]]="Yes",Tab_Data_Flows[[#This Row],[E6_Fraction'[%']]]*Tab_Data_Flows[[#This Row],[E1_value]],"N.A.")</f>
        <v>0</v>
      </c>
      <c r="AM20" s="2" t="str">
        <f>Tab_Data_Flows[[#This Row],[E1_UoM]]</f>
        <v>Mg</v>
      </c>
    </row>
    <row r="21" spans="1:39" x14ac:dyDescent="0.25">
      <c r="A21" s="4">
        <f t="shared" si="1"/>
        <v>20</v>
      </c>
      <c r="B21" s="2" t="str">
        <f>_xlfn.XLOOKUP(C21,Tab_Def_Flows[Flow_Name],Tab_Def_Flows[Flow_ID],,0,)</f>
        <v>F__</v>
      </c>
      <c r="C21" s="18" t="s">
        <v>5</v>
      </c>
      <c r="D21" s="5" t="str">
        <f>_xlfn.XLOOKUP(C21,Tab_Def_Flows[Flow_Name],Tab_Def_Flows[Use_E1],,0,)</f>
        <v>Yes</v>
      </c>
      <c r="E21" s="5" t="str">
        <f>_xlfn.XLOOKUP(C21,Tab_Def_Flows[Flow_Name],Tab_Def_Flows[Use_E2],,0,)</f>
        <v>Yes</v>
      </c>
      <c r="F21" s="5" t="str">
        <f>_xlfn.XLOOKUP(C21,Tab_Def_Flows[Flow_Name],Tab_Def_Flows[Use_E3],,0,)</f>
        <v>Yes</v>
      </c>
      <c r="G21" s="5" t="str">
        <f>_xlfn.XLOOKUP(C21,Tab_Def_Flows[Flow_Name],Tab_Def_Flows[Use_E4],,0,)</f>
        <v>Yes</v>
      </c>
      <c r="H21" s="5" t="str">
        <f>_xlfn.XLOOKUP(C21,Tab_Def_Flows[Flow_Name],Tab_Def_Flows[Use_E5],,0,)</f>
        <v>Yes</v>
      </c>
      <c r="I21" s="5" t="str">
        <f>_xlfn.XLOOKUP(C21,Tab_Def_Flows[Flow_Name],Tab_Def_Flows[Use_E6],,0,)</f>
        <v>Yes</v>
      </c>
      <c r="J21" s="3"/>
      <c r="K21" s="3"/>
      <c r="L21" s="2" t="str">
        <f>'0_Configuration'!$C$41</f>
        <v>Mg</v>
      </c>
      <c r="M21" s="9"/>
      <c r="N21" s="9"/>
      <c r="O21" s="9"/>
      <c r="P21" s="9"/>
      <c r="Q21" s="18" t="s">
        <v>3</v>
      </c>
      <c r="R21" s="3"/>
      <c r="S21" s="3"/>
      <c r="T21" s="9"/>
      <c r="U21" s="9"/>
      <c r="V21" s="2">
        <f>_xlfn.XLOOKUP(Tab_Data_Flows[[#This Row],[Flow_Name]],Tab_Def_Flows[Flow_Name],Tab_Def_Flows[Flow_E1_Fraction'[%']],"N.A.",0,1)</f>
        <v>0</v>
      </c>
      <c r="W21" s="8">
        <f t="shared" si="0"/>
        <v>0</v>
      </c>
      <c r="X21" s="2" t="str">
        <f>Tab_Data_Flows[[#This Row],[UoM_Source]]</f>
        <v>Mg</v>
      </c>
      <c r="Y21" s="19">
        <f>_xlfn.XLOOKUP(Tab_Data_Flows[[#This Row],[Flow_Name]],Tab_Def_Flows[Flow_Name],Tab_Def_Flows[Flow_E2_Fraction'[%']],"N.A.",0,1)</f>
        <v>0</v>
      </c>
      <c r="Z21" s="2">
        <f>IF(D21="Yes",W21*Tab_Data_Flows[[#This Row],[E2_Fraction'[%']]],"N.A.")</f>
        <v>0</v>
      </c>
      <c r="AA21" s="2" t="str">
        <f>Tab_Data_Flows[[#This Row],[E1_UoM]]</f>
        <v>Mg</v>
      </c>
      <c r="AB21" s="19">
        <f>_xlfn.XLOOKUP(Tab_Data_Flows[[#This Row],[Flow_Name]],Tab_Def_Flows[Flow_Name],Tab_Def_Flows[Flow_E3_Fraction'[%']],"N.A.",0,1)</f>
        <v>0</v>
      </c>
      <c r="AC21" s="2">
        <f>IF(E21="Yes",AB21*Tab_Data_Flows[[#This Row],[E1_value]],"N.A.")</f>
        <v>0</v>
      </c>
      <c r="AD21" s="2" t="str">
        <f>Tab_Data_Flows[[#This Row],[E1_UoM]]</f>
        <v>Mg</v>
      </c>
      <c r="AE21" s="19">
        <f>_xlfn.XLOOKUP(Tab_Data_Flows[[#This Row],[Flow_Name]],Tab_Def_Flows[Flow_Name],Tab_Def_Flows[Flow_E4_Fraction'[%']],"N.A.",0,1)</f>
        <v>0</v>
      </c>
      <c r="AF21" s="2">
        <f>IF(H21="Yes",Tab_Data_Flows[[#This Row],[E4_Fraction'[%']]]*Tab_Data_Flows[[#This Row],[E1_value]],"N.A.")</f>
        <v>0</v>
      </c>
      <c r="AG21" s="2" t="str">
        <f>Tab_Data_Flows[[#This Row],[E1_UoM]]</f>
        <v>Mg</v>
      </c>
      <c r="AH21" s="2">
        <f>_xlfn.XLOOKUP(Tab_Data_Flows[[#This Row],[Flow_Name]],Tab_Def_Flows[Flow_Name],Tab_Def_Flows[Flow_E5_Fraction'[%']],"N.A.",0,1)</f>
        <v>0</v>
      </c>
      <c r="AI21" s="2">
        <f>IF(H21="Yes",Tab_Data_Flows[[#This Row],[E5_Fraction'[%']]]*Tab_Data_Flows[[#This Row],[E1_value]],"N.A.")</f>
        <v>0</v>
      </c>
      <c r="AJ21" s="2" t="str">
        <f>Tab_Data_Flows[[#This Row],[E1_UoM]]</f>
        <v>Mg</v>
      </c>
      <c r="AK21" s="19">
        <f>_xlfn.XLOOKUP(Tab_Data_Flows[[#This Row],[Flow_Name]],Tab_Def_Flows[Flow_Name],Tab_Def_Flows[Flow_E6_Fraction'[%']],"N.A.",0,1)</f>
        <v>0</v>
      </c>
      <c r="AL21" s="2">
        <f>IF(Tab_Data_Flows[[#This Row],[Use_E6]]="Yes",Tab_Data_Flows[[#This Row],[E6_Fraction'[%']]]*Tab_Data_Flows[[#This Row],[E1_value]],"N.A.")</f>
        <v>0</v>
      </c>
      <c r="AM21" s="2" t="str">
        <f>Tab_Data_Flows[[#This Row],[E1_UoM]]</f>
        <v>Mg</v>
      </c>
    </row>
    <row r="22" spans="1:39" x14ac:dyDescent="0.25">
      <c r="A22" s="4">
        <f t="shared" si="1"/>
        <v>21</v>
      </c>
      <c r="B22" s="2" t="str">
        <f>_xlfn.XLOOKUP(C22,Tab_Def_Flows[Flow_Name],Tab_Def_Flows[Flow_ID],,0,)</f>
        <v>F__</v>
      </c>
      <c r="C22" s="18" t="s">
        <v>5</v>
      </c>
      <c r="D22" s="5" t="str">
        <f>_xlfn.XLOOKUP(C22,Tab_Def_Flows[Flow_Name],Tab_Def_Flows[Use_E1],,0,)</f>
        <v>Yes</v>
      </c>
      <c r="E22" s="5" t="str">
        <f>_xlfn.XLOOKUP(C22,Tab_Def_Flows[Flow_Name],Tab_Def_Flows[Use_E2],,0,)</f>
        <v>Yes</v>
      </c>
      <c r="F22" s="5" t="str">
        <f>_xlfn.XLOOKUP(C22,Tab_Def_Flows[Flow_Name],Tab_Def_Flows[Use_E3],,0,)</f>
        <v>Yes</v>
      </c>
      <c r="G22" s="5" t="str">
        <f>_xlfn.XLOOKUP(C22,Tab_Def_Flows[Flow_Name],Tab_Def_Flows[Use_E4],,0,)</f>
        <v>Yes</v>
      </c>
      <c r="H22" s="5" t="str">
        <f>_xlfn.XLOOKUP(C22,Tab_Def_Flows[Flow_Name],Tab_Def_Flows[Use_E5],,0,)</f>
        <v>Yes</v>
      </c>
      <c r="I22" s="5" t="str">
        <f>_xlfn.XLOOKUP(C22,Tab_Def_Flows[Flow_Name],Tab_Def_Flows[Use_E6],,0,)</f>
        <v>Yes</v>
      </c>
      <c r="J22" s="3"/>
      <c r="K22" s="3"/>
      <c r="L22" s="2" t="str">
        <f>'0_Configuration'!$C$41</f>
        <v>Mg</v>
      </c>
      <c r="M22" s="9"/>
      <c r="N22" s="9"/>
      <c r="O22" s="9"/>
      <c r="P22" s="9"/>
      <c r="Q22" s="18" t="s">
        <v>3</v>
      </c>
      <c r="R22" s="3"/>
      <c r="S22" s="3"/>
      <c r="T22" s="9"/>
      <c r="U22" s="9"/>
      <c r="V22" s="2">
        <f>_xlfn.XLOOKUP(Tab_Data_Flows[[#This Row],[Flow_Name]],Tab_Def_Flows[Flow_Name],Tab_Def_Flows[Flow_E1_Fraction'[%']],"N.A.",0,1)</f>
        <v>0</v>
      </c>
      <c r="W22" s="8">
        <f t="shared" si="0"/>
        <v>0</v>
      </c>
      <c r="X22" s="2" t="str">
        <f>Tab_Data_Flows[[#This Row],[UoM_Source]]</f>
        <v>Mg</v>
      </c>
      <c r="Y22" s="19">
        <f>_xlfn.XLOOKUP(Tab_Data_Flows[[#This Row],[Flow_Name]],Tab_Def_Flows[Flow_Name],Tab_Def_Flows[Flow_E2_Fraction'[%']],"N.A.",0,1)</f>
        <v>0</v>
      </c>
      <c r="Z22" s="2">
        <f>IF(D22="Yes",W22*Tab_Data_Flows[[#This Row],[E2_Fraction'[%']]],"N.A.")</f>
        <v>0</v>
      </c>
      <c r="AA22" s="2" t="str">
        <f>Tab_Data_Flows[[#This Row],[E1_UoM]]</f>
        <v>Mg</v>
      </c>
      <c r="AB22" s="19">
        <f>_xlfn.XLOOKUP(Tab_Data_Flows[[#This Row],[Flow_Name]],Tab_Def_Flows[Flow_Name],Tab_Def_Flows[Flow_E3_Fraction'[%']],"N.A.",0,1)</f>
        <v>0</v>
      </c>
      <c r="AC22" s="2">
        <f>IF(E22="Yes",AB22*Tab_Data_Flows[[#This Row],[E1_value]],"N.A.")</f>
        <v>0</v>
      </c>
      <c r="AD22" s="2" t="str">
        <f>Tab_Data_Flows[[#This Row],[E1_UoM]]</f>
        <v>Mg</v>
      </c>
      <c r="AE22" s="19">
        <f>_xlfn.XLOOKUP(Tab_Data_Flows[[#This Row],[Flow_Name]],Tab_Def_Flows[Flow_Name],Tab_Def_Flows[Flow_E4_Fraction'[%']],"N.A.",0,1)</f>
        <v>0</v>
      </c>
      <c r="AF22" s="2">
        <f>IF(H22="Yes",Tab_Data_Flows[[#This Row],[E4_Fraction'[%']]]*Tab_Data_Flows[[#This Row],[E1_value]],"N.A.")</f>
        <v>0</v>
      </c>
      <c r="AG22" s="2" t="str">
        <f>Tab_Data_Flows[[#This Row],[E1_UoM]]</f>
        <v>Mg</v>
      </c>
      <c r="AH22" s="2">
        <f>_xlfn.XLOOKUP(Tab_Data_Flows[[#This Row],[Flow_Name]],Tab_Def_Flows[Flow_Name],Tab_Def_Flows[Flow_E5_Fraction'[%']],"N.A.",0,1)</f>
        <v>0</v>
      </c>
      <c r="AI22" s="2">
        <f>IF(H22="Yes",Tab_Data_Flows[[#This Row],[E5_Fraction'[%']]]*Tab_Data_Flows[[#This Row],[E1_value]],"N.A.")</f>
        <v>0</v>
      </c>
      <c r="AJ22" s="2" t="str">
        <f>Tab_Data_Flows[[#This Row],[E1_UoM]]</f>
        <v>Mg</v>
      </c>
      <c r="AK22" s="19">
        <f>_xlfn.XLOOKUP(Tab_Data_Flows[[#This Row],[Flow_Name]],Tab_Def_Flows[Flow_Name],Tab_Def_Flows[Flow_E6_Fraction'[%']],"N.A.",0,1)</f>
        <v>0</v>
      </c>
      <c r="AL22" s="2">
        <f>IF(Tab_Data_Flows[[#This Row],[Use_E6]]="Yes",Tab_Data_Flows[[#This Row],[E6_Fraction'[%']]]*Tab_Data_Flows[[#This Row],[E1_value]],"N.A.")</f>
        <v>0</v>
      </c>
      <c r="AM22" s="2" t="str">
        <f>Tab_Data_Flows[[#This Row],[E1_UoM]]</f>
        <v>Mg</v>
      </c>
    </row>
    <row r="23" spans="1:39" x14ac:dyDescent="0.25">
      <c r="A23" s="4">
        <f t="shared" si="1"/>
        <v>22</v>
      </c>
      <c r="B23" s="2" t="str">
        <f>_xlfn.XLOOKUP(C23,Tab_Def_Flows[Flow_Name],Tab_Def_Flows[Flow_ID],,0,)</f>
        <v>F__</v>
      </c>
      <c r="C23" s="18" t="s">
        <v>5</v>
      </c>
      <c r="D23" s="5" t="str">
        <f>_xlfn.XLOOKUP(C23,Tab_Def_Flows[Flow_Name],Tab_Def_Flows[Use_E1],,0,)</f>
        <v>Yes</v>
      </c>
      <c r="E23" s="5" t="str">
        <f>_xlfn.XLOOKUP(C23,Tab_Def_Flows[Flow_Name],Tab_Def_Flows[Use_E2],,0,)</f>
        <v>Yes</v>
      </c>
      <c r="F23" s="5" t="str">
        <f>_xlfn.XLOOKUP(C23,Tab_Def_Flows[Flow_Name],Tab_Def_Flows[Use_E3],,0,)</f>
        <v>Yes</v>
      </c>
      <c r="G23" s="5" t="str">
        <f>_xlfn.XLOOKUP(C23,Tab_Def_Flows[Flow_Name],Tab_Def_Flows[Use_E4],,0,)</f>
        <v>Yes</v>
      </c>
      <c r="H23" s="5" t="str">
        <f>_xlfn.XLOOKUP(C23,Tab_Def_Flows[Flow_Name],Tab_Def_Flows[Use_E5],,0,)</f>
        <v>Yes</v>
      </c>
      <c r="I23" s="5" t="str">
        <f>_xlfn.XLOOKUP(C23,Tab_Def_Flows[Flow_Name],Tab_Def_Flows[Use_E6],,0,)</f>
        <v>Yes</v>
      </c>
      <c r="J23" s="3"/>
      <c r="K23" s="3"/>
      <c r="L23" s="2" t="str">
        <f>'0_Configuration'!$C$41</f>
        <v>Mg</v>
      </c>
      <c r="M23" s="9"/>
      <c r="N23" s="9"/>
      <c r="O23" s="9"/>
      <c r="P23" s="9"/>
      <c r="Q23" s="18" t="s">
        <v>3</v>
      </c>
      <c r="R23" s="3"/>
      <c r="S23" s="3"/>
      <c r="T23" s="9"/>
      <c r="U23" s="9"/>
      <c r="V23" s="2">
        <f>_xlfn.XLOOKUP(Tab_Data_Flows[[#This Row],[Flow_Name]],Tab_Def_Flows[Flow_Name],Tab_Def_Flows[Flow_E1_Fraction'[%']],"N.A.",0,1)</f>
        <v>0</v>
      </c>
      <c r="W23" s="8">
        <f t="shared" si="0"/>
        <v>0</v>
      </c>
      <c r="X23" s="2" t="str">
        <f>Tab_Data_Flows[[#This Row],[UoM_Source]]</f>
        <v>Mg</v>
      </c>
      <c r="Y23" s="19">
        <f>_xlfn.XLOOKUP(Tab_Data_Flows[[#This Row],[Flow_Name]],Tab_Def_Flows[Flow_Name],Tab_Def_Flows[Flow_E2_Fraction'[%']],"N.A.",0,1)</f>
        <v>0</v>
      </c>
      <c r="Z23" s="2">
        <f>IF(D23="Yes",W23*Tab_Data_Flows[[#This Row],[E2_Fraction'[%']]],"N.A.")</f>
        <v>0</v>
      </c>
      <c r="AA23" s="2" t="str">
        <f>Tab_Data_Flows[[#This Row],[E1_UoM]]</f>
        <v>Mg</v>
      </c>
      <c r="AB23" s="19">
        <f>_xlfn.XLOOKUP(Tab_Data_Flows[[#This Row],[Flow_Name]],Tab_Def_Flows[Flow_Name],Tab_Def_Flows[Flow_E3_Fraction'[%']],"N.A.",0,1)</f>
        <v>0</v>
      </c>
      <c r="AC23" s="2">
        <f>IF(E23="Yes",AB23*Tab_Data_Flows[[#This Row],[E1_value]],"N.A.")</f>
        <v>0</v>
      </c>
      <c r="AD23" s="2" t="str">
        <f>Tab_Data_Flows[[#This Row],[E1_UoM]]</f>
        <v>Mg</v>
      </c>
      <c r="AE23" s="19">
        <f>_xlfn.XLOOKUP(Tab_Data_Flows[[#This Row],[Flow_Name]],Tab_Def_Flows[Flow_Name],Tab_Def_Flows[Flow_E4_Fraction'[%']],"N.A.",0,1)</f>
        <v>0</v>
      </c>
      <c r="AF23" s="2">
        <f>IF(H23="Yes",Tab_Data_Flows[[#This Row],[E4_Fraction'[%']]]*Tab_Data_Flows[[#This Row],[E1_value]],"N.A.")</f>
        <v>0</v>
      </c>
      <c r="AG23" s="2" t="str">
        <f>Tab_Data_Flows[[#This Row],[E1_UoM]]</f>
        <v>Mg</v>
      </c>
      <c r="AH23" s="2">
        <f>_xlfn.XLOOKUP(Tab_Data_Flows[[#This Row],[Flow_Name]],Tab_Def_Flows[Flow_Name],Tab_Def_Flows[Flow_E5_Fraction'[%']],"N.A.",0,1)</f>
        <v>0</v>
      </c>
      <c r="AI23" s="2">
        <f>IF(H23="Yes",Tab_Data_Flows[[#This Row],[E5_Fraction'[%']]]*Tab_Data_Flows[[#This Row],[E1_value]],"N.A.")</f>
        <v>0</v>
      </c>
      <c r="AJ23" s="2" t="str">
        <f>Tab_Data_Flows[[#This Row],[E1_UoM]]</f>
        <v>Mg</v>
      </c>
      <c r="AK23" s="19">
        <f>_xlfn.XLOOKUP(Tab_Data_Flows[[#This Row],[Flow_Name]],Tab_Def_Flows[Flow_Name],Tab_Def_Flows[Flow_E6_Fraction'[%']],"N.A.",0,1)</f>
        <v>0</v>
      </c>
      <c r="AL23" s="2">
        <f>IF(Tab_Data_Flows[[#This Row],[Use_E6]]="Yes",Tab_Data_Flows[[#This Row],[E6_Fraction'[%']]]*Tab_Data_Flows[[#This Row],[E1_value]],"N.A.")</f>
        <v>0</v>
      </c>
      <c r="AM23" s="2" t="str">
        <f>Tab_Data_Flows[[#This Row],[E1_UoM]]</f>
        <v>Mg</v>
      </c>
    </row>
    <row r="24" spans="1:39" x14ac:dyDescent="0.25">
      <c r="A24" s="4">
        <f t="shared" si="1"/>
        <v>23</v>
      </c>
      <c r="B24" s="2" t="str">
        <f>_xlfn.XLOOKUP(C24,Tab_Def_Flows[Flow_Name],Tab_Def_Flows[Flow_ID],,0,)</f>
        <v>F__</v>
      </c>
      <c r="C24" s="18" t="s">
        <v>5</v>
      </c>
      <c r="D24" s="5" t="str">
        <f>_xlfn.XLOOKUP(C24,Tab_Def_Flows[Flow_Name],Tab_Def_Flows[Use_E1],,0,)</f>
        <v>Yes</v>
      </c>
      <c r="E24" s="5" t="str">
        <f>_xlfn.XLOOKUP(C24,Tab_Def_Flows[Flow_Name],Tab_Def_Flows[Use_E2],,0,)</f>
        <v>Yes</v>
      </c>
      <c r="F24" s="5" t="str">
        <f>_xlfn.XLOOKUP(C24,Tab_Def_Flows[Flow_Name],Tab_Def_Flows[Use_E3],,0,)</f>
        <v>Yes</v>
      </c>
      <c r="G24" s="5" t="str">
        <f>_xlfn.XLOOKUP(C24,Tab_Def_Flows[Flow_Name],Tab_Def_Flows[Use_E4],,0,)</f>
        <v>Yes</v>
      </c>
      <c r="H24" s="5" t="str">
        <f>_xlfn.XLOOKUP(C24,Tab_Def_Flows[Flow_Name],Tab_Def_Flows[Use_E5],,0,)</f>
        <v>Yes</v>
      </c>
      <c r="I24" s="5" t="str">
        <f>_xlfn.XLOOKUP(C24,Tab_Def_Flows[Flow_Name],Tab_Def_Flows[Use_E6],,0,)</f>
        <v>Yes</v>
      </c>
      <c r="J24" s="3"/>
      <c r="K24" s="3"/>
      <c r="L24" s="2" t="str">
        <f>'0_Configuration'!$C$41</f>
        <v>Mg</v>
      </c>
      <c r="M24" s="9"/>
      <c r="N24" s="9"/>
      <c r="O24" s="9"/>
      <c r="P24" s="9"/>
      <c r="Q24" s="18" t="s">
        <v>3</v>
      </c>
      <c r="R24" s="3"/>
      <c r="S24" s="3"/>
      <c r="T24" s="9"/>
      <c r="U24" s="9"/>
      <c r="V24" s="2">
        <f>_xlfn.XLOOKUP(Tab_Data_Flows[[#This Row],[Flow_Name]],Tab_Def_Flows[Flow_Name],Tab_Def_Flows[Flow_E1_Fraction'[%']],"N.A.",0,1)</f>
        <v>0</v>
      </c>
      <c r="W24" s="8">
        <f t="shared" si="0"/>
        <v>0</v>
      </c>
      <c r="X24" s="2" t="str">
        <f>Tab_Data_Flows[[#This Row],[UoM_Source]]</f>
        <v>Mg</v>
      </c>
      <c r="Y24" s="19">
        <f>_xlfn.XLOOKUP(Tab_Data_Flows[[#This Row],[Flow_Name]],Tab_Def_Flows[Flow_Name],Tab_Def_Flows[Flow_E2_Fraction'[%']],"N.A.",0,1)</f>
        <v>0</v>
      </c>
      <c r="Z24" s="2">
        <f>IF(D24="Yes",W24*Tab_Data_Flows[[#This Row],[E2_Fraction'[%']]],"N.A.")</f>
        <v>0</v>
      </c>
      <c r="AA24" s="2" t="str">
        <f>Tab_Data_Flows[[#This Row],[E1_UoM]]</f>
        <v>Mg</v>
      </c>
      <c r="AB24" s="19">
        <f>_xlfn.XLOOKUP(Tab_Data_Flows[[#This Row],[Flow_Name]],Tab_Def_Flows[Flow_Name],Tab_Def_Flows[Flow_E3_Fraction'[%']],"N.A.",0,1)</f>
        <v>0</v>
      </c>
      <c r="AC24" s="2">
        <f>IF(E24="Yes",AB24*Tab_Data_Flows[[#This Row],[E1_value]],"N.A.")</f>
        <v>0</v>
      </c>
      <c r="AD24" s="2" t="str">
        <f>Tab_Data_Flows[[#This Row],[E1_UoM]]</f>
        <v>Mg</v>
      </c>
      <c r="AE24" s="19">
        <f>_xlfn.XLOOKUP(Tab_Data_Flows[[#This Row],[Flow_Name]],Tab_Def_Flows[Flow_Name],Tab_Def_Flows[Flow_E4_Fraction'[%']],"N.A.",0,1)</f>
        <v>0</v>
      </c>
      <c r="AF24" s="2">
        <f>IF(H24="Yes",Tab_Data_Flows[[#This Row],[E4_Fraction'[%']]]*Tab_Data_Flows[[#This Row],[E1_value]],"N.A.")</f>
        <v>0</v>
      </c>
      <c r="AG24" s="2" t="str">
        <f>Tab_Data_Flows[[#This Row],[E1_UoM]]</f>
        <v>Mg</v>
      </c>
      <c r="AH24" s="2">
        <f>_xlfn.XLOOKUP(Tab_Data_Flows[[#This Row],[Flow_Name]],Tab_Def_Flows[Flow_Name],Tab_Def_Flows[Flow_E5_Fraction'[%']],"N.A.",0,1)</f>
        <v>0</v>
      </c>
      <c r="AI24" s="2">
        <f>IF(H24="Yes",Tab_Data_Flows[[#This Row],[E5_Fraction'[%']]]*Tab_Data_Flows[[#This Row],[E1_value]],"N.A.")</f>
        <v>0</v>
      </c>
      <c r="AJ24" s="2" t="str">
        <f>Tab_Data_Flows[[#This Row],[E1_UoM]]</f>
        <v>Mg</v>
      </c>
      <c r="AK24" s="19">
        <f>_xlfn.XLOOKUP(Tab_Data_Flows[[#This Row],[Flow_Name]],Tab_Def_Flows[Flow_Name],Tab_Def_Flows[Flow_E6_Fraction'[%']],"N.A.",0,1)</f>
        <v>0</v>
      </c>
      <c r="AL24" s="2">
        <f>IF(Tab_Data_Flows[[#This Row],[Use_E6]]="Yes",Tab_Data_Flows[[#This Row],[E6_Fraction'[%']]]*Tab_Data_Flows[[#This Row],[E1_value]],"N.A.")</f>
        <v>0</v>
      </c>
      <c r="AM24" s="2" t="str">
        <f>Tab_Data_Flows[[#This Row],[E1_UoM]]</f>
        <v>Mg</v>
      </c>
    </row>
    <row r="25" spans="1:39" x14ac:dyDescent="0.25">
      <c r="A25" s="4">
        <f t="shared" si="1"/>
        <v>24</v>
      </c>
      <c r="B25" s="2" t="str">
        <f>_xlfn.XLOOKUP(C25,Tab_Def_Flows[Flow_Name],Tab_Def_Flows[Flow_ID],,0,)</f>
        <v>F__</v>
      </c>
      <c r="C25" s="18" t="s">
        <v>5</v>
      </c>
      <c r="D25" s="5" t="str">
        <f>_xlfn.XLOOKUP(C25,Tab_Def_Flows[Flow_Name],Tab_Def_Flows[Use_E1],,0,)</f>
        <v>Yes</v>
      </c>
      <c r="E25" s="5" t="str">
        <f>_xlfn.XLOOKUP(C25,Tab_Def_Flows[Flow_Name],Tab_Def_Flows[Use_E2],,0,)</f>
        <v>Yes</v>
      </c>
      <c r="F25" s="5" t="str">
        <f>_xlfn.XLOOKUP(C25,Tab_Def_Flows[Flow_Name],Tab_Def_Flows[Use_E3],,0,)</f>
        <v>Yes</v>
      </c>
      <c r="G25" s="5" t="str">
        <f>_xlfn.XLOOKUP(C25,Tab_Def_Flows[Flow_Name],Tab_Def_Flows[Use_E4],,0,)</f>
        <v>Yes</v>
      </c>
      <c r="H25" s="5" t="str">
        <f>_xlfn.XLOOKUP(C25,Tab_Def_Flows[Flow_Name],Tab_Def_Flows[Use_E5],,0,)</f>
        <v>Yes</v>
      </c>
      <c r="I25" s="5" t="str">
        <f>_xlfn.XLOOKUP(C25,Tab_Def_Flows[Flow_Name],Tab_Def_Flows[Use_E6],,0,)</f>
        <v>Yes</v>
      </c>
      <c r="J25" s="3"/>
      <c r="K25" s="3"/>
      <c r="L25" s="2" t="str">
        <f>'0_Configuration'!$C$41</f>
        <v>Mg</v>
      </c>
      <c r="M25" s="9"/>
      <c r="N25" s="9"/>
      <c r="O25" s="9"/>
      <c r="P25" s="9"/>
      <c r="Q25" s="18" t="s">
        <v>3</v>
      </c>
      <c r="R25" s="3"/>
      <c r="S25" s="3"/>
      <c r="T25" s="9"/>
      <c r="U25" s="9"/>
      <c r="V25" s="2">
        <f>_xlfn.XLOOKUP(Tab_Data_Flows[[#This Row],[Flow_Name]],Tab_Def_Flows[Flow_Name],Tab_Def_Flows[Flow_E1_Fraction'[%']],"N.A.",0,1)</f>
        <v>0</v>
      </c>
      <c r="W25" s="8">
        <f t="shared" si="0"/>
        <v>0</v>
      </c>
      <c r="X25" s="2" t="str">
        <f>Tab_Data_Flows[[#This Row],[UoM_Source]]</f>
        <v>Mg</v>
      </c>
      <c r="Y25" s="19">
        <f>_xlfn.XLOOKUP(Tab_Data_Flows[[#This Row],[Flow_Name]],Tab_Def_Flows[Flow_Name],Tab_Def_Flows[Flow_E2_Fraction'[%']],"N.A.",0,1)</f>
        <v>0</v>
      </c>
      <c r="Z25" s="2">
        <f>IF(D25="Yes",W25*Tab_Data_Flows[[#This Row],[E2_Fraction'[%']]],"N.A.")</f>
        <v>0</v>
      </c>
      <c r="AA25" s="2" t="str">
        <f>Tab_Data_Flows[[#This Row],[E1_UoM]]</f>
        <v>Mg</v>
      </c>
      <c r="AB25" s="19">
        <f>_xlfn.XLOOKUP(Tab_Data_Flows[[#This Row],[Flow_Name]],Tab_Def_Flows[Flow_Name],Tab_Def_Flows[Flow_E3_Fraction'[%']],"N.A.",0,1)</f>
        <v>0</v>
      </c>
      <c r="AC25" s="2">
        <f>IF(E25="Yes",AB25*Tab_Data_Flows[[#This Row],[E1_value]],"N.A.")</f>
        <v>0</v>
      </c>
      <c r="AD25" s="2" t="str">
        <f>Tab_Data_Flows[[#This Row],[E1_UoM]]</f>
        <v>Mg</v>
      </c>
      <c r="AE25" s="19">
        <f>_xlfn.XLOOKUP(Tab_Data_Flows[[#This Row],[Flow_Name]],Tab_Def_Flows[Flow_Name],Tab_Def_Flows[Flow_E4_Fraction'[%']],"N.A.",0,1)</f>
        <v>0</v>
      </c>
      <c r="AF25" s="2">
        <f>IF(H25="Yes",Tab_Data_Flows[[#This Row],[E4_Fraction'[%']]]*Tab_Data_Flows[[#This Row],[E1_value]],"N.A.")</f>
        <v>0</v>
      </c>
      <c r="AG25" s="2" t="str">
        <f>Tab_Data_Flows[[#This Row],[E1_UoM]]</f>
        <v>Mg</v>
      </c>
      <c r="AH25" s="2">
        <f>_xlfn.XLOOKUP(Tab_Data_Flows[[#This Row],[Flow_Name]],Tab_Def_Flows[Flow_Name],Tab_Def_Flows[Flow_E5_Fraction'[%']],"N.A.",0,1)</f>
        <v>0</v>
      </c>
      <c r="AI25" s="2">
        <f>IF(H25="Yes",Tab_Data_Flows[[#This Row],[E5_Fraction'[%']]]*Tab_Data_Flows[[#This Row],[E1_value]],"N.A.")</f>
        <v>0</v>
      </c>
      <c r="AJ25" s="2" t="str">
        <f>Tab_Data_Flows[[#This Row],[E1_UoM]]</f>
        <v>Mg</v>
      </c>
      <c r="AK25" s="19">
        <f>_xlfn.XLOOKUP(Tab_Data_Flows[[#This Row],[Flow_Name]],Tab_Def_Flows[Flow_Name],Tab_Def_Flows[Flow_E6_Fraction'[%']],"N.A.",0,1)</f>
        <v>0</v>
      </c>
      <c r="AL25" s="2">
        <f>IF(Tab_Data_Flows[[#This Row],[Use_E6]]="Yes",Tab_Data_Flows[[#This Row],[E6_Fraction'[%']]]*Tab_Data_Flows[[#This Row],[E1_value]],"N.A.")</f>
        <v>0</v>
      </c>
      <c r="AM25" s="2" t="str">
        <f>Tab_Data_Flows[[#This Row],[E1_UoM]]</f>
        <v>Mg</v>
      </c>
    </row>
    <row r="26" spans="1:39" x14ac:dyDescent="0.25">
      <c r="A26" s="4">
        <f t="shared" si="1"/>
        <v>25</v>
      </c>
      <c r="B26" s="2" t="str">
        <f>_xlfn.XLOOKUP(C26,Tab_Def_Flows[Flow_Name],Tab_Def_Flows[Flow_ID],,0,)</f>
        <v>F__</v>
      </c>
      <c r="C26" s="18" t="s">
        <v>5</v>
      </c>
      <c r="D26" s="5" t="str">
        <f>_xlfn.XLOOKUP(C26,Tab_Def_Flows[Flow_Name],Tab_Def_Flows[Use_E1],,0,)</f>
        <v>Yes</v>
      </c>
      <c r="E26" s="5" t="str">
        <f>_xlfn.XLOOKUP(C26,Tab_Def_Flows[Flow_Name],Tab_Def_Flows[Use_E2],,0,)</f>
        <v>Yes</v>
      </c>
      <c r="F26" s="5" t="str">
        <f>_xlfn.XLOOKUP(C26,Tab_Def_Flows[Flow_Name],Tab_Def_Flows[Use_E3],,0,)</f>
        <v>Yes</v>
      </c>
      <c r="G26" s="5" t="str">
        <f>_xlfn.XLOOKUP(C26,Tab_Def_Flows[Flow_Name],Tab_Def_Flows[Use_E4],,0,)</f>
        <v>Yes</v>
      </c>
      <c r="H26" s="5" t="str">
        <f>_xlfn.XLOOKUP(C26,Tab_Def_Flows[Flow_Name],Tab_Def_Flows[Use_E5],,0,)</f>
        <v>Yes</v>
      </c>
      <c r="I26" s="5" t="str">
        <f>_xlfn.XLOOKUP(C26,Tab_Def_Flows[Flow_Name],Tab_Def_Flows[Use_E6],,0,)</f>
        <v>Yes</v>
      </c>
      <c r="J26" s="3"/>
      <c r="K26" s="3"/>
      <c r="L26" s="2" t="str">
        <f>'0_Configuration'!$C$41</f>
        <v>Mg</v>
      </c>
      <c r="M26" s="9"/>
      <c r="N26" s="9"/>
      <c r="O26" s="9"/>
      <c r="P26" s="9"/>
      <c r="Q26" s="18" t="s">
        <v>3</v>
      </c>
      <c r="R26" s="3"/>
      <c r="S26" s="3"/>
      <c r="T26" s="9"/>
      <c r="U26" s="9"/>
      <c r="V26" s="2">
        <f>_xlfn.XLOOKUP(Tab_Data_Flows[[#This Row],[Flow_Name]],Tab_Def_Flows[Flow_Name],Tab_Def_Flows[Flow_E1_Fraction'[%']],"N.A.",0,1)</f>
        <v>0</v>
      </c>
      <c r="W26" s="8">
        <f t="shared" si="0"/>
        <v>0</v>
      </c>
      <c r="X26" s="2" t="str">
        <f>Tab_Data_Flows[[#This Row],[UoM_Source]]</f>
        <v>Mg</v>
      </c>
      <c r="Y26" s="19">
        <f>_xlfn.XLOOKUP(Tab_Data_Flows[[#This Row],[Flow_Name]],Tab_Def_Flows[Flow_Name],Tab_Def_Flows[Flow_E2_Fraction'[%']],"N.A.",0,1)</f>
        <v>0</v>
      </c>
      <c r="Z26" s="2">
        <f>IF(D26="Yes",W26*Tab_Data_Flows[[#This Row],[E2_Fraction'[%']]],"N.A.")</f>
        <v>0</v>
      </c>
      <c r="AA26" s="2" t="str">
        <f>Tab_Data_Flows[[#This Row],[E1_UoM]]</f>
        <v>Mg</v>
      </c>
      <c r="AB26" s="19">
        <f>_xlfn.XLOOKUP(Tab_Data_Flows[[#This Row],[Flow_Name]],Tab_Def_Flows[Flow_Name],Tab_Def_Flows[Flow_E3_Fraction'[%']],"N.A.",0,1)</f>
        <v>0</v>
      </c>
      <c r="AC26" s="2">
        <f>IF(E26="Yes",AB26*Tab_Data_Flows[[#This Row],[E1_value]],"N.A.")</f>
        <v>0</v>
      </c>
      <c r="AD26" s="2" t="str">
        <f>Tab_Data_Flows[[#This Row],[E1_UoM]]</f>
        <v>Mg</v>
      </c>
      <c r="AE26" s="19">
        <f>_xlfn.XLOOKUP(Tab_Data_Flows[[#This Row],[Flow_Name]],Tab_Def_Flows[Flow_Name],Tab_Def_Flows[Flow_E4_Fraction'[%']],"N.A.",0,1)</f>
        <v>0</v>
      </c>
      <c r="AF26" s="2">
        <f>IF(H26="Yes",Tab_Data_Flows[[#This Row],[E4_Fraction'[%']]]*Tab_Data_Flows[[#This Row],[E1_value]],"N.A.")</f>
        <v>0</v>
      </c>
      <c r="AG26" s="2" t="str">
        <f>Tab_Data_Flows[[#This Row],[E1_UoM]]</f>
        <v>Mg</v>
      </c>
      <c r="AH26" s="2">
        <f>_xlfn.XLOOKUP(Tab_Data_Flows[[#This Row],[Flow_Name]],Tab_Def_Flows[Flow_Name],Tab_Def_Flows[Flow_E5_Fraction'[%']],"N.A.",0,1)</f>
        <v>0</v>
      </c>
      <c r="AI26" s="2">
        <f>IF(H26="Yes",Tab_Data_Flows[[#This Row],[E5_Fraction'[%']]]*Tab_Data_Flows[[#This Row],[E1_value]],"N.A.")</f>
        <v>0</v>
      </c>
      <c r="AJ26" s="2" t="str">
        <f>Tab_Data_Flows[[#This Row],[E1_UoM]]</f>
        <v>Mg</v>
      </c>
      <c r="AK26" s="19">
        <f>_xlfn.XLOOKUP(Tab_Data_Flows[[#This Row],[Flow_Name]],Tab_Def_Flows[Flow_Name],Tab_Def_Flows[Flow_E6_Fraction'[%']],"N.A.",0,1)</f>
        <v>0</v>
      </c>
      <c r="AL26" s="2">
        <f>IF(Tab_Data_Flows[[#This Row],[Use_E6]]="Yes",Tab_Data_Flows[[#This Row],[E6_Fraction'[%']]]*Tab_Data_Flows[[#This Row],[E1_value]],"N.A.")</f>
        <v>0</v>
      </c>
      <c r="AM26" s="2" t="str">
        <f>Tab_Data_Flows[[#This Row],[E1_UoM]]</f>
        <v>Mg</v>
      </c>
    </row>
    <row r="27" spans="1:39" x14ac:dyDescent="0.25">
      <c r="A27" s="4">
        <f t="shared" si="1"/>
        <v>26</v>
      </c>
      <c r="B27" s="2" t="str">
        <f>_xlfn.XLOOKUP(C27,Tab_Def_Flows[Flow_Name],Tab_Def_Flows[Flow_ID],,0,)</f>
        <v>F__</v>
      </c>
      <c r="C27" s="18" t="s">
        <v>5</v>
      </c>
      <c r="D27" s="5" t="str">
        <f>_xlfn.XLOOKUP(C27,Tab_Def_Flows[Flow_Name],Tab_Def_Flows[Use_E1],,0,)</f>
        <v>Yes</v>
      </c>
      <c r="E27" s="5" t="str">
        <f>_xlfn.XLOOKUP(C27,Tab_Def_Flows[Flow_Name],Tab_Def_Flows[Use_E2],,0,)</f>
        <v>Yes</v>
      </c>
      <c r="F27" s="5" t="str">
        <f>_xlfn.XLOOKUP(C27,Tab_Def_Flows[Flow_Name],Tab_Def_Flows[Use_E3],,0,)</f>
        <v>Yes</v>
      </c>
      <c r="G27" s="5" t="str">
        <f>_xlfn.XLOOKUP(C27,Tab_Def_Flows[Flow_Name],Tab_Def_Flows[Use_E4],,0,)</f>
        <v>Yes</v>
      </c>
      <c r="H27" s="5" t="str">
        <f>_xlfn.XLOOKUP(C27,Tab_Def_Flows[Flow_Name],Tab_Def_Flows[Use_E5],,0,)</f>
        <v>Yes</v>
      </c>
      <c r="I27" s="5" t="str">
        <f>_xlfn.XLOOKUP(C27,Tab_Def_Flows[Flow_Name],Tab_Def_Flows[Use_E6],,0,)</f>
        <v>Yes</v>
      </c>
      <c r="J27" s="3"/>
      <c r="K27" s="3"/>
      <c r="L27" s="2" t="str">
        <f>'0_Configuration'!$C$41</f>
        <v>Mg</v>
      </c>
      <c r="M27" s="9"/>
      <c r="N27" s="9"/>
      <c r="O27" s="9"/>
      <c r="P27" s="9"/>
      <c r="Q27" s="18" t="s">
        <v>3</v>
      </c>
      <c r="R27" s="3"/>
      <c r="S27" s="3"/>
      <c r="T27" s="9"/>
      <c r="U27" s="9"/>
      <c r="V27" s="2">
        <f>_xlfn.XLOOKUP(Tab_Data_Flows[[#This Row],[Flow_Name]],Tab_Def_Flows[Flow_Name],Tab_Def_Flows[Flow_E1_Fraction'[%']],"N.A.",0,1)</f>
        <v>0</v>
      </c>
      <c r="W27" s="8">
        <f t="shared" si="0"/>
        <v>0</v>
      </c>
      <c r="X27" s="2" t="str">
        <f>Tab_Data_Flows[[#This Row],[UoM_Source]]</f>
        <v>Mg</v>
      </c>
      <c r="Y27" s="19">
        <f>_xlfn.XLOOKUP(Tab_Data_Flows[[#This Row],[Flow_Name]],Tab_Def_Flows[Flow_Name],Tab_Def_Flows[Flow_E2_Fraction'[%']],"N.A.",0,1)</f>
        <v>0</v>
      </c>
      <c r="Z27" s="2">
        <f>IF(D27="Yes",W27*Tab_Data_Flows[[#This Row],[E2_Fraction'[%']]],"N.A.")</f>
        <v>0</v>
      </c>
      <c r="AA27" s="2" t="str">
        <f>Tab_Data_Flows[[#This Row],[E1_UoM]]</f>
        <v>Mg</v>
      </c>
      <c r="AB27" s="19">
        <f>_xlfn.XLOOKUP(Tab_Data_Flows[[#This Row],[Flow_Name]],Tab_Def_Flows[Flow_Name],Tab_Def_Flows[Flow_E3_Fraction'[%']],"N.A.",0,1)</f>
        <v>0</v>
      </c>
      <c r="AC27" s="2">
        <f>IF(E27="Yes",AB27*Tab_Data_Flows[[#This Row],[E1_value]],"N.A.")</f>
        <v>0</v>
      </c>
      <c r="AD27" s="2" t="str">
        <f>Tab_Data_Flows[[#This Row],[E1_UoM]]</f>
        <v>Mg</v>
      </c>
      <c r="AE27" s="19">
        <f>_xlfn.XLOOKUP(Tab_Data_Flows[[#This Row],[Flow_Name]],Tab_Def_Flows[Flow_Name],Tab_Def_Flows[Flow_E4_Fraction'[%']],"N.A.",0,1)</f>
        <v>0</v>
      </c>
      <c r="AF27" s="2">
        <f>IF(H27="Yes",Tab_Data_Flows[[#This Row],[E4_Fraction'[%']]]*Tab_Data_Flows[[#This Row],[E1_value]],"N.A.")</f>
        <v>0</v>
      </c>
      <c r="AG27" s="2" t="str">
        <f>Tab_Data_Flows[[#This Row],[E1_UoM]]</f>
        <v>Mg</v>
      </c>
      <c r="AH27" s="2">
        <f>_xlfn.XLOOKUP(Tab_Data_Flows[[#This Row],[Flow_Name]],Tab_Def_Flows[Flow_Name],Tab_Def_Flows[Flow_E5_Fraction'[%']],"N.A.",0,1)</f>
        <v>0</v>
      </c>
      <c r="AI27" s="2">
        <f>IF(H27="Yes",Tab_Data_Flows[[#This Row],[E5_Fraction'[%']]]*Tab_Data_Flows[[#This Row],[E1_value]],"N.A.")</f>
        <v>0</v>
      </c>
      <c r="AJ27" s="2" t="str">
        <f>Tab_Data_Flows[[#This Row],[E1_UoM]]</f>
        <v>Mg</v>
      </c>
      <c r="AK27" s="19">
        <f>_xlfn.XLOOKUP(Tab_Data_Flows[[#This Row],[Flow_Name]],Tab_Def_Flows[Flow_Name],Tab_Def_Flows[Flow_E6_Fraction'[%']],"N.A.",0,1)</f>
        <v>0</v>
      </c>
      <c r="AL27" s="2">
        <f>IF(Tab_Data_Flows[[#This Row],[Use_E6]]="Yes",Tab_Data_Flows[[#This Row],[E6_Fraction'[%']]]*Tab_Data_Flows[[#This Row],[E1_value]],"N.A.")</f>
        <v>0</v>
      </c>
      <c r="AM27" s="2" t="str">
        <f>Tab_Data_Flows[[#This Row],[E1_UoM]]</f>
        <v>Mg</v>
      </c>
    </row>
    <row r="28" spans="1:39" x14ac:dyDescent="0.25">
      <c r="A28" s="4">
        <f t="shared" si="1"/>
        <v>27</v>
      </c>
      <c r="B28" s="2" t="str">
        <f>_xlfn.XLOOKUP(C28,Tab_Def_Flows[Flow_Name],Tab_Def_Flows[Flow_ID],,0,)</f>
        <v>F__</v>
      </c>
      <c r="C28" s="18" t="s">
        <v>5</v>
      </c>
      <c r="D28" s="5" t="str">
        <f>_xlfn.XLOOKUP(C28,Tab_Def_Flows[Flow_Name],Tab_Def_Flows[Use_E1],,0,)</f>
        <v>Yes</v>
      </c>
      <c r="E28" s="5" t="str">
        <f>_xlfn.XLOOKUP(C28,Tab_Def_Flows[Flow_Name],Tab_Def_Flows[Use_E2],,0,)</f>
        <v>Yes</v>
      </c>
      <c r="F28" s="5" t="str">
        <f>_xlfn.XLOOKUP(C28,Tab_Def_Flows[Flow_Name],Tab_Def_Flows[Use_E3],,0,)</f>
        <v>Yes</v>
      </c>
      <c r="G28" s="5" t="str">
        <f>_xlfn.XLOOKUP(C28,Tab_Def_Flows[Flow_Name],Tab_Def_Flows[Use_E4],,0,)</f>
        <v>Yes</v>
      </c>
      <c r="H28" s="5" t="str">
        <f>_xlfn.XLOOKUP(C28,Tab_Def_Flows[Flow_Name],Tab_Def_Flows[Use_E5],,0,)</f>
        <v>Yes</v>
      </c>
      <c r="I28" s="5" t="str">
        <f>_xlfn.XLOOKUP(C28,Tab_Def_Flows[Flow_Name],Tab_Def_Flows[Use_E6],,0,)</f>
        <v>Yes</v>
      </c>
      <c r="J28" s="3"/>
      <c r="K28" s="3"/>
      <c r="L28" s="2" t="str">
        <f>'0_Configuration'!$C$41</f>
        <v>Mg</v>
      </c>
      <c r="M28" s="9"/>
      <c r="N28" s="9"/>
      <c r="O28" s="9"/>
      <c r="P28" s="9"/>
      <c r="Q28" s="18" t="s">
        <v>3</v>
      </c>
      <c r="R28" s="3"/>
      <c r="S28" s="3"/>
      <c r="T28" s="9"/>
      <c r="U28" s="9"/>
      <c r="V28" s="2">
        <f>_xlfn.XLOOKUP(Tab_Data_Flows[[#This Row],[Flow_Name]],Tab_Def_Flows[Flow_Name],Tab_Def_Flows[Flow_E1_Fraction'[%']],"N.A.",0,1)</f>
        <v>0</v>
      </c>
      <c r="W28" s="8">
        <f t="shared" si="0"/>
        <v>0</v>
      </c>
      <c r="X28" s="2" t="str">
        <f>Tab_Data_Flows[[#This Row],[UoM_Source]]</f>
        <v>Mg</v>
      </c>
      <c r="Y28" s="19">
        <f>_xlfn.XLOOKUP(Tab_Data_Flows[[#This Row],[Flow_Name]],Tab_Def_Flows[Flow_Name],Tab_Def_Flows[Flow_E2_Fraction'[%']],"N.A.",0,1)</f>
        <v>0</v>
      </c>
      <c r="Z28" s="2">
        <f>IF(D28="Yes",W28*Tab_Data_Flows[[#This Row],[E2_Fraction'[%']]],"N.A.")</f>
        <v>0</v>
      </c>
      <c r="AA28" s="2" t="str">
        <f>Tab_Data_Flows[[#This Row],[E1_UoM]]</f>
        <v>Mg</v>
      </c>
      <c r="AB28" s="19">
        <f>_xlfn.XLOOKUP(Tab_Data_Flows[[#This Row],[Flow_Name]],Tab_Def_Flows[Flow_Name],Tab_Def_Flows[Flow_E3_Fraction'[%']],"N.A.",0,1)</f>
        <v>0</v>
      </c>
      <c r="AC28" s="2">
        <f>IF(E28="Yes",AB28*Tab_Data_Flows[[#This Row],[E1_value]],"N.A.")</f>
        <v>0</v>
      </c>
      <c r="AD28" s="2" t="str">
        <f>Tab_Data_Flows[[#This Row],[E1_UoM]]</f>
        <v>Mg</v>
      </c>
      <c r="AE28" s="19">
        <f>_xlfn.XLOOKUP(Tab_Data_Flows[[#This Row],[Flow_Name]],Tab_Def_Flows[Flow_Name],Tab_Def_Flows[Flow_E4_Fraction'[%']],"N.A.",0,1)</f>
        <v>0</v>
      </c>
      <c r="AF28" s="2">
        <f>IF(H28="Yes",Tab_Data_Flows[[#This Row],[E4_Fraction'[%']]]*Tab_Data_Flows[[#This Row],[E1_value]],"N.A.")</f>
        <v>0</v>
      </c>
      <c r="AG28" s="2" t="str">
        <f>Tab_Data_Flows[[#This Row],[E1_UoM]]</f>
        <v>Mg</v>
      </c>
      <c r="AH28" s="2">
        <f>_xlfn.XLOOKUP(Tab_Data_Flows[[#This Row],[Flow_Name]],Tab_Def_Flows[Flow_Name],Tab_Def_Flows[Flow_E5_Fraction'[%']],"N.A.",0,1)</f>
        <v>0</v>
      </c>
      <c r="AI28" s="2">
        <f>IF(H28="Yes",Tab_Data_Flows[[#This Row],[E5_Fraction'[%']]]*Tab_Data_Flows[[#This Row],[E1_value]],"N.A.")</f>
        <v>0</v>
      </c>
      <c r="AJ28" s="2" t="str">
        <f>Tab_Data_Flows[[#This Row],[E1_UoM]]</f>
        <v>Mg</v>
      </c>
      <c r="AK28" s="19">
        <f>_xlfn.XLOOKUP(Tab_Data_Flows[[#This Row],[Flow_Name]],Tab_Def_Flows[Flow_Name],Tab_Def_Flows[Flow_E6_Fraction'[%']],"N.A.",0,1)</f>
        <v>0</v>
      </c>
      <c r="AL28" s="2">
        <f>IF(Tab_Data_Flows[[#This Row],[Use_E6]]="Yes",Tab_Data_Flows[[#This Row],[E6_Fraction'[%']]]*Tab_Data_Flows[[#This Row],[E1_value]],"N.A.")</f>
        <v>0</v>
      </c>
      <c r="AM28" s="2" t="str">
        <f>Tab_Data_Flows[[#This Row],[E1_UoM]]</f>
        <v>Mg</v>
      </c>
    </row>
    <row r="29" spans="1:39" x14ac:dyDescent="0.25">
      <c r="A29" s="4">
        <f t="shared" si="1"/>
        <v>28</v>
      </c>
      <c r="B29" s="2" t="str">
        <f>_xlfn.XLOOKUP(C29,Tab_Def_Flows[Flow_Name],Tab_Def_Flows[Flow_ID],,0,)</f>
        <v>F__</v>
      </c>
      <c r="C29" s="18" t="s">
        <v>5</v>
      </c>
      <c r="D29" s="5" t="str">
        <f>_xlfn.XLOOKUP(C29,Tab_Def_Flows[Flow_Name],Tab_Def_Flows[Use_E1],,0,)</f>
        <v>Yes</v>
      </c>
      <c r="E29" s="5" t="str">
        <f>_xlfn.XLOOKUP(C29,Tab_Def_Flows[Flow_Name],Tab_Def_Flows[Use_E2],,0,)</f>
        <v>Yes</v>
      </c>
      <c r="F29" s="5" t="str">
        <f>_xlfn.XLOOKUP(C29,Tab_Def_Flows[Flow_Name],Tab_Def_Flows[Use_E3],,0,)</f>
        <v>Yes</v>
      </c>
      <c r="G29" s="5" t="str">
        <f>_xlfn.XLOOKUP(C29,Tab_Def_Flows[Flow_Name],Tab_Def_Flows[Use_E4],,0,)</f>
        <v>Yes</v>
      </c>
      <c r="H29" s="5" t="str">
        <f>_xlfn.XLOOKUP(C29,Tab_Def_Flows[Flow_Name],Tab_Def_Flows[Use_E5],,0,)</f>
        <v>Yes</v>
      </c>
      <c r="I29" s="5" t="str">
        <f>_xlfn.XLOOKUP(C29,Tab_Def_Flows[Flow_Name],Tab_Def_Flows[Use_E6],,0,)</f>
        <v>Yes</v>
      </c>
      <c r="J29" s="3"/>
      <c r="K29" s="3"/>
      <c r="L29" s="2" t="str">
        <f>'0_Configuration'!$C$41</f>
        <v>Mg</v>
      </c>
      <c r="M29" s="9"/>
      <c r="N29" s="9"/>
      <c r="O29" s="9"/>
      <c r="P29" s="9"/>
      <c r="Q29" s="18" t="s">
        <v>3</v>
      </c>
      <c r="R29" s="3"/>
      <c r="S29" s="3"/>
      <c r="T29" s="9"/>
      <c r="U29" s="9"/>
      <c r="V29" s="2">
        <f>_xlfn.XLOOKUP(Tab_Data_Flows[[#This Row],[Flow_Name]],Tab_Def_Flows[Flow_Name],Tab_Def_Flows[Flow_E1_Fraction'[%']],"N.A.",0,1)</f>
        <v>0</v>
      </c>
      <c r="W29" s="8">
        <f t="shared" si="0"/>
        <v>0</v>
      </c>
      <c r="X29" s="2" t="str">
        <f>Tab_Data_Flows[[#This Row],[UoM_Source]]</f>
        <v>Mg</v>
      </c>
      <c r="Y29" s="19">
        <f>_xlfn.XLOOKUP(Tab_Data_Flows[[#This Row],[Flow_Name]],Tab_Def_Flows[Flow_Name],Tab_Def_Flows[Flow_E2_Fraction'[%']],"N.A.",0,1)</f>
        <v>0</v>
      </c>
      <c r="Z29" s="2">
        <f>IF(D29="Yes",W29*Tab_Data_Flows[[#This Row],[E2_Fraction'[%']]],"N.A.")</f>
        <v>0</v>
      </c>
      <c r="AA29" s="2" t="str">
        <f>Tab_Data_Flows[[#This Row],[E1_UoM]]</f>
        <v>Mg</v>
      </c>
      <c r="AB29" s="19">
        <f>_xlfn.XLOOKUP(Tab_Data_Flows[[#This Row],[Flow_Name]],Tab_Def_Flows[Flow_Name],Tab_Def_Flows[Flow_E3_Fraction'[%']],"N.A.",0,1)</f>
        <v>0</v>
      </c>
      <c r="AC29" s="2">
        <f>IF(E29="Yes",AB29*Tab_Data_Flows[[#This Row],[E1_value]],"N.A.")</f>
        <v>0</v>
      </c>
      <c r="AD29" s="2" t="str">
        <f>Tab_Data_Flows[[#This Row],[E1_UoM]]</f>
        <v>Mg</v>
      </c>
      <c r="AE29" s="19">
        <f>_xlfn.XLOOKUP(Tab_Data_Flows[[#This Row],[Flow_Name]],Tab_Def_Flows[Flow_Name],Tab_Def_Flows[Flow_E4_Fraction'[%']],"N.A.",0,1)</f>
        <v>0</v>
      </c>
      <c r="AF29" s="2">
        <f>IF(H29="Yes",Tab_Data_Flows[[#This Row],[E4_Fraction'[%']]]*Tab_Data_Flows[[#This Row],[E1_value]],"N.A.")</f>
        <v>0</v>
      </c>
      <c r="AG29" s="2" t="str">
        <f>Tab_Data_Flows[[#This Row],[E1_UoM]]</f>
        <v>Mg</v>
      </c>
      <c r="AH29" s="2">
        <f>_xlfn.XLOOKUP(Tab_Data_Flows[[#This Row],[Flow_Name]],Tab_Def_Flows[Flow_Name],Tab_Def_Flows[Flow_E5_Fraction'[%']],"N.A.",0,1)</f>
        <v>0</v>
      </c>
      <c r="AI29" s="2">
        <f>IF(H29="Yes",Tab_Data_Flows[[#This Row],[E5_Fraction'[%']]]*Tab_Data_Flows[[#This Row],[E1_value]],"N.A.")</f>
        <v>0</v>
      </c>
      <c r="AJ29" s="2" t="str">
        <f>Tab_Data_Flows[[#This Row],[E1_UoM]]</f>
        <v>Mg</v>
      </c>
      <c r="AK29" s="19">
        <f>_xlfn.XLOOKUP(Tab_Data_Flows[[#This Row],[Flow_Name]],Tab_Def_Flows[Flow_Name],Tab_Def_Flows[Flow_E6_Fraction'[%']],"N.A.",0,1)</f>
        <v>0</v>
      </c>
      <c r="AL29" s="2">
        <f>IF(Tab_Data_Flows[[#This Row],[Use_E6]]="Yes",Tab_Data_Flows[[#This Row],[E6_Fraction'[%']]]*Tab_Data_Flows[[#This Row],[E1_value]],"N.A.")</f>
        <v>0</v>
      </c>
      <c r="AM29" s="2" t="str">
        <f>Tab_Data_Flows[[#This Row],[E1_UoM]]</f>
        <v>Mg</v>
      </c>
    </row>
    <row r="30" spans="1:39" x14ac:dyDescent="0.25">
      <c r="A30" s="4">
        <f t="shared" si="1"/>
        <v>29</v>
      </c>
      <c r="B30" s="2" t="str">
        <f>_xlfn.XLOOKUP(C30,Tab_Def_Flows[Flow_Name],Tab_Def_Flows[Flow_ID],,0,)</f>
        <v>F__</v>
      </c>
      <c r="C30" s="18" t="s">
        <v>5</v>
      </c>
      <c r="D30" s="5" t="str">
        <f>_xlfn.XLOOKUP(C30,Tab_Def_Flows[Flow_Name],Tab_Def_Flows[Use_E1],,0,)</f>
        <v>Yes</v>
      </c>
      <c r="E30" s="5" t="str">
        <f>_xlfn.XLOOKUP(C30,Tab_Def_Flows[Flow_Name],Tab_Def_Flows[Use_E2],,0,)</f>
        <v>Yes</v>
      </c>
      <c r="F30" s="5" t="str">
        <f>_xlfn.XLOOKUP(C30,Tab_Def_Flows[Flow_Name],Tab_Def_Flows[Use_E3],,0,)</f>
        <v>Yes</v>
      </c>
      <c r="G30" s="5" t="str">
        <f>_xlfn.XLOOKUP(C30,Tab_Def_Flows[Flow_Name],Tab_Def_Flows[Use_E4],,0,)</f>
        <v>Yes</v>
      </c>
      <c r="H30" s="5" t="str">
        <f>_xlfn.XLOOKUP(C30,Tab_Def_Flows[Flow_Name],Tab_Def_Flows[Use_E5],,0,)</f>
        <v>Yes</v>
      </c>
      <c r="I30" s="5" t="str">
        <f>_xlfn.XLOOKUP(C30,Tab_Def_Flows[Flow_Name],Tab_Def_Flows[Use_E6],,0,)</f>
        <v>Yes</v>
      </c>
      <c r="J30" s="3"/>
      <c r="K30" s="3"/>
      <c r="L30" s="2" t="str">
        <f>'0_Configuration'!$C$41</f>
        <v>Mg</v>
      </c>
      <c r="M30" s="9"/>
      <c r="N30" s="9"/>
      <c r="O30" s="9"/>
      <c r="P30" s="9"/>
      <c r="Q30" s="18" t="s">
        <v>3</v>
      </c>
      <c r="R30" s="3"/>
      <c r="S30" s="3"/>
      <c r="T30" s="9"/>
      <c r="U30" s="9"/>
      <c r="V30" s="2">
        <f>_xlfn.XLOOKUP(Tab_Data_Flows[[#This Row],[Flow_Name]],Tab_Def_Flows[Flow_Name],Tab_Def_Flows[Flow_E1_Fraction'[%']],"N.A.",0,1)</f>
        <v>0</v>
      </c>
      <c r="W30" s="8">
        <f t="shared" si="0"/>
        <v>0</v>
      </c>
      <c r="X30" s="2" t="str">
        <f>Tab_Data_Flows[[#This Row],[UoM_Source]]</f>
        <v>Mg</v>
      </c>
      <c r="Y30" s="19">
        <f>_xlfn.XLOOKUP(Tab_Data_Flows[[#This Row],[Flow_Name]],Tab_Def_Flows[Flow_Name],Tab_Def_Flows[Flow_E2_Fraction'[%']],"N.A.",0,1)</f>
        <v>0</v>
      </c>
      <c r="Z30" s="2">
        <f>IF(D30="Yes",W30*Tab_Data_Flows[[#This Row],[E2_Fraction'[%']]],"N.A.")</f>
        <v>0</v>
      </c>
      <c r="AA30" s="2" t="str">
        <f>Tab_Data_Flows[[#This Row],[E1_UoM]]</f>
        <v>Mg</v>
      </c>
      <c r="AB30" s="19">
        <f>_xlfn.XLOOKUP(Tab_Data_Flows[[#This Row],[Flow_Name]],Tab_Def_Flows[Flow_Name],Tab_Def_Flows[Flow_E3_Fraction'[%']],"N.A.",0,1)</f>
        <v>0</v>
      </c>
      <c r="AC30" s="2">
        <f>IF(E30="Yes",AB30*Tab_Data_Flows[[#This Row],[E1_value]],"N.A.")</f>
        <v>0</v>
      </c>
      <c r="AD30" s="2" t="str">
        <f>Tab_Data_Flows[[#This Row],[E1_UoM]]</f>
        <v>Mg</v>
      </c>
      <c r="AE30" s="19">
        <f>_xlfn.XLOOKUP(Tab_Data_Flows[[#This Row],[Flow_Name]],Tab_Def_Flows[Flow_Name],Tab_Def_Flows[Flow_E4_Fraction'[%']],"N.A.",0,1)</f>
        <v>0</v>
      </c>
      <c r="AF30" s="2">
        <f>IF(H30="Yes",Tab_Data_Flows[[#This Row],[E4_Fraction'[%']]]*Tab_Data_Flows[[#This Row],[E1_value]],"N.A.")</f>
        <v>0</v>
      </c>
      <c r="AG30" s="2" t="str">
        <f>Tab_Data_Flows[[#This Row],[E1_UoM]]</f>
        <v>Mg</v>
      </c>
      <c r="AH30" s="2">
        <f>_xlfn.XLOOKUP(Tab_Data_Flows[[#This Row],[Flow_Name]],Tab_Def_Flows[Flow_Name],Tab_Def_Flows[Flow_E5_Fraction'[%']],"N.A.",0,1)</f>
        <v>0</v>
      </c>
      <c r="AI30" s="2">
        <f>IF(H30="Yes",Tab_Data_Flows[[#This Row],[E5_Fraction'[%']]]*Tab_Data_Flows[[#This Row],[E1_value]],"N.A.")</f>
        <v>0</v>
      </c>
      <c r="AJ30" s="2" t="str">
        <f>Tab_Data_Flows[[#This Row],[E1_UoM]]</f>
        <v>Mg</v>
      </c>
      <c r="AK30" s="19">
        <f>_xlfn.XLOOKUP(Tab_Data_Flows[[#This Row],[Flow_Name]],Tab_Def_Flows[Flow_Name],Tab_Def_Flows[Flow_E6_Fraction'[%']],"N.A.",0,1)</f>
        <v>0</v>
      </c>
      <c r="AL30" s="2">
        <f>IF(Tab_Data_Flows[[#This Row],[Use_E6]]="Yes",Tab_Data_Flows[[#This Row],[E6_Fraction'[%']]]*Tab_Data_Flows[[#This Row],[E1_value]],"N.A.")</f>
        <v>0</v>
      </c>
      <c r="AM30" s="2" t="str">
        <f>Tab_Data_Flows[[#This Row],[E1_UoM]]</f>
        <v>Mg</v>
      </c>
    </row>
    <row r="31" spans="1:39" x14ac:dyDescent="0.25">
      <c r="A31" s="4">
        <f t="shared" si="1"/>
        <v>30</v>
      </c>
      <c r="B31" s="2" t="str">
        <f>_xlfn.XLOOKUP(C31,Tab_Def_Flows[Flow_Name],Tab_Def_Flows[Flow_ID],,0,)</f>
        <v>F__</v>
      </c>
      <c r="C31" s="18" t="s">
        <v>5</v>
      </c>
      <c r="D31" s="5" t="str">
        <f>_xlfn.XLOOKUP(C31,Tab_Def_Flows[Flow_Name],Tab_Def_Flows[Use_E1],,0,)</f>
        <v>Yes</v>
      </c>
      <c r="E31" s="5" t="str">
        <f>_xlfn.XLOOKUP(C31,Tab_Def_Flows[Flow_Name],Tab_Def_Flows[Use_E2],,0,)</f>
        <v>Yes</v>
      </c>
      <c r="F31" s="5" t="str">
        <f>_xlfn.XLOOKUP(C31,Tab_Def_Flows[Flow_Name],Tab_Def_Flows[Use_E3],,0,)</f>
        <v>Yes</v>
      </c>
      <c r="G31" s="5" t="str">
        <f>_xlfn.XLOOKUP(C31,Tab_Def_Flows[Flow_Name],Tab_Def_Flows[Use_E4],,0,)</f>
        <v>Yes</v>
      </c>
      <c r="H31" s="5" t="str">
        <f>_xlfn.XLOOKUP(C31,Tab_Def_Flows[Flow_Name],Tab_Def_Flows[Use_E5],,0,)</f>
        <v>Yes</v>
      </c>
      <c r="I31" s="5" t="str">
        <f>_xlfn.XLOOKUP(C31,Tab_Def_Flows[Flow_Name],Tab_Def_Flows[Use_E6],,0,)</f>
        <v>Yes</v>
      </c>
      <c r="J31" s="3"/>
      <c r="K31" s="3"/>
      <c r="L31" s="2" t="str">
        <f>'0_Configuration'!$C$41</f>
        <v>Mg</v>
      </c>
      <c r="M31" s="9"/>
      <c r="N31" s="9"/>
      <c r="O31" s="9"/>
      <c r="P31" s="9"/>
      <c r="Q31" s="18" t="s">
        <v>3</v>
      </c>
      <c r="R31" s="10"/>
      <c r="S31" s="3"/>
      <c r="T31" s="9"/>
      <c r="U31" s="9"/>
      <c r="V31" s="2">
        <f>_xlfn.XLOOKUP(Tab_Data_Flows[[#This Row],[Flow_Name]],Tab_Def_Flows[Flow_Name],Tab_Def_Flows[Flow_E1_Fraction'[%']],"N.A.",0,1)</f>
        <v>0</v>
      </c>
      <c r="W31" s="8">
        <f t="shared" si="0"/>
        <v>0</v>
      </c>
      <c r="X31" s="2" t="str">
        <f>Tab_Data_Flows[[#This Row],[UoM_Source]]</f>
        <v>Mg</v>
      </c>
      <c r="Y31" s="19">
        <f>_xlfn.XLOOKUP(Tab_Data_Flows[[#This Row],[Flow_Name]],Tab_Def_Flows[Flow_Name],Tab_Def_Flows[Flow_E2_Fraction'[%']],"N.A.",0,1)</f>
        <v>0</v>
      </c>
      <c r="Z31" s="2">
        <f>IF(D31="Yes",W31*Tab_Data_Flows[[#This Row],[E2_Fraction'[%']]],"N.A.")</f>
        <v>0</v>
      </c>
      <c r="AA31" s="2" t="str">
        <f>Tab_Data_Flows[[#This Row],[E1_UoM]]</f>
        <v>Mg</v>
      </c>
      <c r="AB31" s="19">
        <f>_xlfn.XLOOKUP(Tab_Data_Flows[[#This Row],[Flow_Name]],Tab_Def_Flows[Flow_Name],Tab_Def_Flows[Flow_E3_Fraction'[%']],"N.A.",0,1)</f>
        <v>0</v>
      </c>
      <c r="AC31" s="2">
        <f>IF(E31="Yes",AB31*Tab_Data_Flows[[#This Row],[E1_value]],"N.A.")</f>
        <v>0</v>
      </c>
      <c r="AD31" s="2" t="str">
        <f>Tab_Data_Flows[[#This Row],[E1_UoM]]</f>
        <v>Mg</v>
      </c>
      <c r="AE31" s="19">
        <f>_xlfn.XLOOKUP(Tab_Data_Flows[[#This Row],[Flow_Name]],Tab_Def_Flows[Flow_Name],Tab_Def_Flows[Flow_E4_Fraction'[%']],"N.A.",0,1)</f>
        <v>0</v>
      </c>
      <c r="AF31" s="2">
        <f>IF(H31="Yes",Tab_Data_Flows[[#This Row],[E4_Fraction'[%']]]*Tab_Data_Flows[[#This Row],[E1_value]],"N.A.")</f>
        <v>0</v>
      </c>
      <c r="AG31" s="2" t="str">
        <f>Tab_Data_Flows[[#This Row],[E1_UoM]]</f>
        <v>Mg</v>
      </c>
      <c r="AH31" s="2">
        <f>_xlfn.XLOOKUP(Tab_Data_Flows[[#This Row],[Flow_Name]],Tab_Def_Flows[Flow_Name],Tab_Def_Flows[Flow_E5_Fraction'[%']],"N.A.",0,1)</f>
        <v>0</v>
      </c>
      <c r="AI31" s="2">
        <f>IF(H31="Yes",Tab_Data_Flows[[#This Row],[E5_Fraction'[%']]]*Tab_Data_Flows[[#This Row],[E1_value]],"N.A.")</f>
        <v>0</v>
      </c>
      <c r="AJ31" s="2" t="str">
        <f>Tab_Data_Flows[[#This Row],[E1_UoM]]</f>
        <v>Mg</v>
      </c>
      <c r="AK31" s="19">
        <f>_xlfn.XLOOKUP(Tab_Data_Flows[[#This Row],[Flow_Name]],Tab_Def_Flows[Flow_Name],Tab_Def_Flows[Flow_E6_Fraction'[%']],"N.A.",0,1)</f>
        <v>0</v>
      </c>
      <c r="AL31" s="2">
        <f>IF(Tab_Data_Flows[[#This Row],[Use_E6]]="Yes",Tab_Data_Flows[[#This Row],[E6_Fraction'[%']]]*Tab_Data_Flows[[#This Row],[E1_value]],"N.A.")</f>
        <v>0</v>
      </c>
      <c r="AM31" s="2" t="str">
        <f>Tab_Data_Flows[[#This Row],[E1_UoM]]</f>
        <v>Mg</v>
      </c>
    </row>
    <row r="32" spans="1:39" x14ac:dyDescent="0.25">
      <c r="A32" s="4">
        <f t="shared" si="1"/>
        <v>31</v>
      </c>
      <c r="B32" s="2" t="str">
        <f>_xlfn.XLOOKUP(C32,Tab_Def_Flows[Flow_Name],Tab_Def_Flows[Flow_ID],,0,)</f>
        <v>F__</v>
      </c>
      <c r="C32" s="18" t="s">
        <v>5</v>
      </c>
      <c r="D32" s="5" t="str">
        <f>_xlfn.XLOOKUP(C32,Tab_Def_Flows[Flow_Name],Tab_Def_Flows[Use_E1],,0,)</f>
        <v>Yes</v>
      </c>
      <c r="E32" s="5" t="str">
        <f>_xlfn.XLOOKUP(C32,Tab_Def_Flows[Flow_Name],Tab_Def_Flows[Use_E2],,0,)</f>
        <v>Yes</v>
      </c>
      <c r="F32" s="5" t="str">
        <f>_xlfn.XLOOKUP(C32,Tab_Def_Flows[Flow_Name],Tab_Def_Flows[Use_E3],,0,)</f>
        <v>Yes</v>
      </c>
      <c r="G32" s="5" t="str">
        <f>_xlfn.XLOOKUP(C32,Tab_Def_Flows[Flow_Name],Tab_Def_Flows[Use_E4],,0,)</f>
        <v>Yes</v>
      </c>
      <c r="H32" s="5" t="str">
        <f>_xlfn.XLOOKUP(C32,Tab_Def_Flows[Flow_Name],Tab_Def_Flows[Use_E5],,0,)</f>
        <v>Yes</v>
      </c>
      <c r="I32" s="5" t="str">
        <f>_xlfn.XLOOKUP(C32,Tab_Def_Flows[Flow_Name],Tab_Def_Flows[Use_E6],,0,)</f>
        <v>Yes</v>
      </c>
      <c r="J32" s="3"/>
      <c r="K32" s="3"/>
      <c r="L32" s="2" t="str">
        <f>'0_Configuration'!$C$41</f>
        <v>Mg</v>
      </c>
      <c r="M32" s="9"/>
      <c r="N32" s="9"/>
      <c r="O32" s="9"/>
      <c r="P32" s="9"/>
      <c r="Q32" s="18" t="s">
        <v>3</v>
      </c>
      <c r="R32" s="10"/>
      <c r="S32" s="3"/>
      <c r="T32" s="9"/>
      <c r="U32" s="9"/>
      <c r="V32" s="2">
        <f>_xlfn.XLOOKUP(Tab_Data_Flows[[#This Row],[Flow_Name]],Tab_Def_Flows[Flow_Name],Tab_Def_Flows[Flow_E1_Fraction'[%']],"N.A.",0,1)</f>
        <v>0</v>
      </c>
      <c r="W32" s="8">
        <f t="shared" si="0"/>
        <v>0</v>
      </c>
      <c r="X32" s="2" t="str">
        <f>Tab_Data_Flows[[#This Row],[UoM_Source]]</f>
        <v>Mg</v>
      </c>
      <c r="Y32" s="19">
        <f>_xlfn.XLOOKUP(Tab_Data_Flows[[#This Row],[Flow_Name]],Tab_Def_Flows[Flow_Name],Tab_Def_Flows[Flow_E2_Fraction'[%']],"N.A.",0,1)</f>
        <v>0</v>
      </c>
      <c r="Z32" s="2">
        <f>IF(D32="Yes",W32*Tab_Data_Flows[[#This Row],[E2_Fraction'[%']]],"N.A.")</f>
        <v>0</v>
      </c>
      <c r="AA32" s="2" t="str">
        <f>Tab_Data_Flows[[#This Row],[E1_UoM]]</f>
        <v>Mg</v>
      </c>
      <c r="AB32" s="19">
        <f>_xlfn.XLOOKUP(Tab_Data_Flows[[#This Row],[Flow_Name]],Tab_Def_Flows[Flow_Name],Tab_Def_Flows[Flow_E3_Fraction'[%']],"N.A.",0,1)</f>
        <v>0</v>
      </c>
      <c r="AC32" s="2">
        <f>IF(E32="Yes",AB32*Tab_Data_Flows[[#This Row],[E1_value]],"N.A.")</f>
        <v>0</v>
      </c>
      <c r="AD32" s="2" t="str">
        <f>Tab_Data_Flows[[#This Row],[E1_UoM]]</f>
        <v>Mg</v>
      </c>
      <c r="AE32" s="19">
        <f>_xlfn.XLOOKUP(Tab_Data_Flows[[#This Row],[Flow_Name]],Tab_Def_Flows[Flow_Name],Tab_Def_Flows[Flow_E4_Fraction'[%']],"N.A.",0,1)</f>
        <v>0</v>
      </c>
      <c r="AF32" s="2">
        <f>IF(H32="Yes",Tab_Data_Flows[[#This Row],[E4_Fraction'[%']]]*Tab_Data_Flows[[#This Row],[E1_value]],"N.A.")</f>
        <v>0</v>
      </c>
      <c r="AG32" s="2" t="str">
        <f>Tab_Data_Flows[[#This Row],[E1_UoM]]</f>
        <v>Mg</v>
      </c>
      <c r="AH32" s="2">
        <f>_xlfn.XLOOKUP(Tab_Data_Flows[[#This Row],[Flow_Name]],Tab_Def_Flows[Flow_Name],Tab_Def_Flows[Flow_E5_Fraction'[%']],"N.A.",0,1)</f>
        <v>0</v>
      </c>
      <c r="AI32" s="2">
        <f>IF(H32="Yes",Tab_Data_Flows[[#This Row],[E5_Fraction'[%']]]*Tab_Data_Flows[[#This Row],[E1_value]],"N.A.")</f>
        <v>0</v>
      </c>
      <c r="AJ32" s="2" t="str">
        <f>Tab_Data_Flows[[#This Row],[E1_UoM]]</f>
        <v>Mg</v>
      </c>
      <c r="AK32" s="19">
        <f>_xlfn.XLOOKUP(Tab_Data_Flows[[#This Row],[Flow_Name]],Tab_Def_Flows[Flow_Name],Tab_Def_Flows[Flow_E6_Fraction'[%']],"N.A.",0,1)</f>
        <v>0</v>
      </c>
      <c r="AL32" s="2">
        <f>IF(Tab_Data_Flows[[#This Row],[Use_E6]]="Yes",Tab_Data_Flows[[#This Row],[E6_Fraction'[%']]]*Tab_Data_Flows[[#This Row],[E1_value]],"N.A.")</f>
        <v>0</v>
      </c>
      <c r="AM32" s="2" t="str">
        <f>Tab_Data_Flows[[#This Row],[E1_UoM]]</f>
        <v>Mg</v>
      </c>
    </row>
    <row r="33" spans="1:39" x14ac:dyDescent="0.25">
      <c r="A33" s="4">
        <f t="shared" si="1"/>
        <v>32</v>
      </c>
      <c r="B33" s="2" t="str">
        <f>_xlfn.XLOOKUP(C33,Tab_Def_Flows[Flow_Name],Tab_Def_Flows[Flow_ID],,0,)</f>
        <v>F__</v>
      </c>
      <c r="C33" s="18" t="s">
        <v>5</v>
      </c>
      <c r="D33" s="5" t="str">
        <f>_xlfn.XLOOKUP(C33,Tab_Def_Flows[Flow_Name],Tab_Def_Flows[Use_E1],,0,)</f>
        <v>Yes</v>
      </c>
      <c r="E33" s="5" t="str">
        <f>_xlfn.XLOOKUP(C33,Tab_Def_Flows[Flow_Name],Tab_Def_Flows[Use_E2],,0,)</f>
        <v>Yes</v>
      </c>
      <c r="F33" s="5" t="str">
        <f>_xlfn.XLOOKUP(C33,Tab_Def_Flows[Flow_Name],Tab_Def_Flows[Use_E3],,0,)</f>
        <v>Yes</v>
      </c>
      <c r="G33" s="5" t="str">
        <f>_xlfn.XLOOKUP(C33,Tab_Def_Flows[Flow_Name],Tab_Def_Flows[Use_E4],,0,)</f>
        <v>Yes</v>
      </c>
      <c r="H33" s="5" t="str">
        <f>_xlfn.XLOOKUP(C33,Tab_Def_Flows[Flow_Name],Tab_Def_Flows[Use_E5],,0,)</f>
        <v>Yes</v>
      </c>
      <c r="I33" s="5" t="str">
        <f>_xlfn.XLOOKUP(C33,Tab_Def_Flows[Flow_Name],Tab_Def_Flows[Use_E6],,0,)</f>
        <v>Yes</v>
      </c>
      <c r="J33" s="3"/>
      <c r="K33" s="3"/>
      <c r="L33" s="2" t="str">
        <f>'0_Configuration'!$C$41</f>
        <v>Mg</v>
      </c>
      <c r="M33" s="9"/>
      <c r="N33" s="9"/>
      <c r="O33" s="9"/>
      <c r="P33" s="9"/>
      <c r="Q33" s="18" t="s">
        <v>3</v>
      </c>
      <c r="R33" s="10"/>
      <c r="S33" s="3"/>
      <c r="T33" s="9"/>
      <c r="U33" s="9"/>
      <c r="V33" s="2">
        <f>_xlfn.XLOOKUP(Tab_Data_Flows[[#This Row],[Flow_Name]],Tab_Def_Flows[Flow_Name],Tab_Def_Flows[Flow_E1_Fraction'[%']],"N.A.",0,1)</f>
        <v>0</v>
      </c>
      <c r="W33" s="8">
        <f t="shared" si="0"/>
        <v>0</v>
      </c>
      <c r="X33" s="2" t="str">
        <f>Tab_Data_Flows[[#This Row],[UoM_Source]]</f>
        <v>Mg</v>
      </c>
      <c r="Y33" s="19">
        <f>_xlfn.XLOOKUP(Tab_Data_Flows[[#This Row],[Flow_Name]],Tab_Def_Flows[Flow_Name],Tab_Def_Flows[Flow_E2_Fraction'[%']],"N.A.",0,1)</f>
        <v>0</v>
      </c>
      <c r="Z33" s="2">
        <f>IF(D33="Yes",W33*Tab_Data_Flows[[#This Row],[E2_Fraction'[%']]],"N.A.")</f>
        <v>0</v>
      </c>
      <c r="AA33" s="2" t="str">
        <f>Tab_Data_Flows[[#This Row],[E1_UoM]]</f>
        <v>Mg</v>
      </c>
      <c r="AB33" s="19">
        <f>_xlfn.XLOOKUP(Tab_Data_Flows[[#This Row],[Flow_Name]],Tab_Def_Flows[Flow_Name],Tab_Def_Flows[Flow_E3_Fraction'[%']],"N.A.",0,1)</f>
        <v>0</v>
      </c>
      <c r="AC33" s="2">
        <f>IF(E33="Yes",AB33*Tab_Data_Flows[[#This Row],[E1_value]],"N.A.")</f>
        <v>0</v>
      </c>
      <c r="AD33" s="2" t="str">
        <f>Tab_Data_Flows[[#This Row],[E1_UoM]]</f>
        <v>Mg</v>
      </c>
      <c r="AE33" s="19">
        <f>_xlfn.XLOOKUP(Tab_Data_Flows[[#This Row],[Flow_Name]],Tab_Def_Flows[Flow_Name],Tab_Def_Flows[Flow_E4_Fraction'[%']],"N.A.",0,1)</f>
        <v>0</v>
      </c>
      <c r="AF33" s="2">
        <f>IF(H33="Yes",Tab_Data_Flows[[#This Row],[E4_Fraction'[%']]]*Tab_Data_Flows[[#This Row],[E1_value]],"N.A.")</f>
        <v>0</v>
      </c>
      <c r="AG33" s="2" t="str">
        <f>Tab_Data_Flows[[#This Row],[E1_UoM]]</f>
        <v>Mg</v>
      </c>
      <c r="AH33" s="2">
        <f>_xlfn.XLOOKUP(Tab_Data_Flows[[#This Row],[Flow_Name]],Tab_Def_Flows[Flow_Name],Tab_Def_Flows[Flow_E5_Fraction'[%']],"N.A.",0,1)</f>
        <v>0</v>
      </c>
      <c r="AI33" s="2">
        <f>IF(H33="Yes",Tab_Data_Flows[[#This Row],[E5_Fraction'[%']]]*Tab_Data_Flows[[#This Row],[E1_value]],"N.A.")</f>
        <v>0</v>
      </c>
      <c r="AJ33" s="2" t="str">
        <f>Tab_Data_Flows[[#This Row],[E1_UoM]]</f>
        <v>Mg</v>
      </c>
      <c r="AK33" s="19">
        <f>_xlfn.XLOOKUP(Tab_Data_Flows[[#This Row],[Flow_Name]],Tab_Def_Flows[Flow_Name],Tab_Def_Flows[Flow_E6_Fraction'[%']],"N.A.",0,1)</f>
        <v>0</v>
      </c>
      <c r="AL33" s="2">
        <f>IF(Tab_Data_Flows[[#This Row],[Use_E6]]="Yes",Tab_Data_Flows[[#This Row],[E6_Fraction'[%']]]*Tab_Data_Flows[[#This Row],[E1_value]],"N.A.")</f>
        <v>0</v>
      </c>
      <c r="AM33" s="2" t="str">
        <f>Tab_Data_Flows[[#This Row],[E1_UoM]]</f>
        <v>Mg</v>
      </c>
    </row>
    <row r="34" spans="1:39" x14ac:dyDescent="0.25">
      <c r="A34" s="4">
        <f t="shared" si="1"/>
        <v>33</v>
      </c>
      <c r="B34" s="2" t="str">
        <f>_xlfn.XLOOKUP(C34,Tab_Def_Flows[Flow_Name],Tab_Def_Flows[Flow_ID],,0,)</f>
        <v>F__</v>
      </c>
      <c r="C34" s="18" t="s">
        <v>5</v>
      </c>
      <c r="D34" s="5" t="str">
        <f>_xlfn.XLOOKUP(C34,Tab_Def_Flows[Flow_Name],Tab_Def_Flows[Use_E1],,0,)</f>
        <v>Yes</v>
      </c>
      <c r="E34" s="5" t="str">
        <f>_xlfn.XLOOKUP(C34,Tab_Def_Flows[Flow_Name],Tab_Def_Flows[Use_E2],,0,)</f>
        <v>Yes</v>
      </c>
      <c r="F34" s="5" t="str">
        <f>_xlfn.XLOOKUP(C34,Tab_Def_Flows[Flow_Name],Tab_Def_Flows[Use_E3],,0,)</f>
        <v>Yes</v>
      </c>
      <c r="G34" s="5" t="str">
        <f>_xlfn.XLOOKUP(C34,Tab_Def_Flows[Flow_Name],Tab_Def_Flows[Use_E4],,0,)</f>
        <v>Yes</v>
      </c>
      <c r="H34" s="5" t="str">
        <f>_xlfn.XLOOKUP(C34,Tab_Def_Flows[Flow_Name],Tab_Def_Flows[Use_E5],,0,)</f>
        <v>Yes</v>
      </c>
      <c r="I34" s="5" t="str">
        <f>_xlfn.XLOOKUP(C34,Tab_Def_Flows[Flow_Name],Tab_Def_Flows[Use_E6],,0,)</f>
        <v>Yes</v>
      </c>
      <c r="J34" s="3"/>
      <c r="K34" s="3"/>
      <c r="L34" s="2" t="str">
        <f>'0_Configuration'!$C$41</f>
        <v>Mg</v>
      </c>
      <c r="M34" s="9"/>
      <c r="N34" s="9"/>
      <c r="O34" s="9"/>
      <c r="P34" s="9"/>
      <c r="Q34" s="18" t="s">
        <v>3</v>
      </c>
      <c r="R34" s="10"/>
      <c r="S34" s="3"/>
      <c r="T34" s="9"/>
      <c r="U34" s="9"/>
      <c r="V34" s="2">
        <f>_xlfn.XLOOKUP(Tab_Data_Flows[[#This Row],[Flow_Name]],Tab_Def_Flows[Flow_Name],Tab_Def_Flows[Flow_E1_Fraction'[%']],"N.A.",0,1)</f>
        <v>0</v>
      </c>
      <c r="W34" s="8">
        <f t="shared" si="0"/>
        <v>0</v>
      </c>
      <c r="X34" s="2" t="str">
        <f>Tab_Data_Flows[[#This Row],[UoM_Source]]</f>
        <v>Mg</v>
      </c>
      <c r="Y34" s="19">
        <f>_xlfn.XLOOKUP(Tab_Data_Flows[[#This Row],[Flow_Name]],Tab_Def_Flows[Flow_Name],Tab_Def_Flows[Flow_E2_Fraction'[%']],"N.A.",0,1)</f>
        <v>0</v>
      </c>
      <c r="Z34" s="2">
        <f>IF(D34="Yes",W34*Tab_Data_Flows[[#This Row],[E2_Fraction'[%']]],"N.A.")</f>
        <v>0</v>
      </c>
      <c r="AA34" s="2" t="str">
        <f>Tab_Data_Flows[[#This Row],[E1_UoM]]</f>
        <v>Mg</v>
      </c>
      <c r="AB34" s="19">
        <f>_xlfn.XLOOKUP(Tab_Data_Flows[[#This Row],[Flow_Name]],Tab_Def_Flows[Flow_Name],Tab_Def_Flows[Flow_E3_Fraction'[%']],"N.A.",0,1)</f>
        <v>0</v>
      </c>
      <c r="AC34" s="2">
        <f>IF(E34="Yes",AB34*Tab_Data_Flows[[#This Row],[E1_value]],"N.A.")</f>
        <v>0</v>
      </c>
      <c r="AD34" s="2" t="str">
        <f>Tab_Data_Flows[[#This Row],[E1_UoM]]</f>
        <v>Mg</v>
      </c>
      <c r="AE34" s="19">
        <f>_xlfn.XLOOKUP(Tab_Data_Flows[[#This Row],[Flow_Name]],Tab_Def_Flows[Flow_Name],Tab_Def_Flows[Flow_E4_Fraction'[%']],"N.A.",0,1)</f>
        <v>0</v>
      </c>
      <c r="AF34" s="2">
        <f>IF(H34="Yes",Tab_Data_Flows[[#This Row],[E4_Fraction'[%']]]*Tab_Data_Flows[[#This Row],[E1_value]],"N.A.")</f>
        <v>0</v>
      </c>
      <c r="AG34" s="2" t="str">
        <f>Tab_Data_Flows[[#This Row],[E1_UoM]]</f>
        <v>Mg</v>
      </c>
      <c r="AH34" s="2">
        <f>_xlfn.XLOOKUP(Tab_Data_Flows[[#This Row],[Flow_Name]],Tab_Def_Flows[Flow_Name],Tab_Def_Flows[Flow_E5_Fraction'[%']],"N.A.",0,1)</f>
        <v>0</v>
      </c>
      <c r="AI34" s="2">
        <f>IF(H34="Yes",Tab_Data_Flows[[#This Row],[E5_Fraction'[%']]]*Tab_Data_Flows[[#This Row],[E1_value]],"N.A.")</f>
        <v>0</v>
      </c>
      <c r="AJ34" s="2" t="str">
        <f>Tab_Data_Flows[[#This Row],[E1_UoM]]</f>
        <v>Mg</v>
      </c>
      <c r="AK34" s="19">
        <f>_xlfn.XLOOKUP(Tab_Data_Flows[[#This Row],[Flow_Name]],Tab_Def_Flows[Flow_Name],Tab_Def_Flows[Flow_E6_Fraction'[%']],"N.A.",0,1)</f>
        <v>0</v>
      </c>
      <c r="AL34" s="2">
        <f>IF(Tab_Data_Flows[[#This Row],[Use_E6]]="Yes",Tab_Data_Flows[[#This Row],[E6_Fraction'[%']]]*Tab_Data_Flows[[#This Row],[E1_value]],"N.A.")</f>
        <v>0</v>
      </c>
      <c r="AM34" s="2" t="str">
        <f>Tab_Data_Flows[[#This Row],[E1_UoM]]</f>
        <v>Mg</v>
      </c>
    </row>
    <row r="35" spans="1:39" x14ac:dyDescent="0.25">
      <c r="A35" s="4">
        <f t="shared" si="1"/>
        <v>34</v>
      </c>
      <c r="B35" s="2" t="str">
        <f>_xlfn.XLOOKUP(C35,Tab_Def_Flows[Flow_Name],Tab_Def_Flows[Flow_ID],,0,)</f>
        <v>F__</v>
      </c>
      <c r="C35" s="18" t="s">
        <v>5</v>
      </c>
      <c r="D35" s="5" t="str">
        <f>_xlfn.XLOOKUP(C35,Tab_Def_Flows[Flow_Name],Tab_Def_Flows[Use_E1],,0,)</f>
        <v>Yes</v>
      </c>
      <c r="E35" s="5" t="str">
        <f>_xlfn.XLOOKUP(C35,Tab_Def_Flows[Flow_Name],Tab_Def_Flows[Use_E2],,0,)</f>
        <v>Yes</v>
      </c>
      <c r="F35" s="5" t="str">
        <f>_xlfn.XLOOKUP(C35,Tab_Def_Flows[Flow_Name],Tab_Def_Flows[Use_E3],,0,)</f>
        <v>Yes</v>
      </c>
      <c r="G35" s="5" t="str">
        <f>_xlfn.XLOOKUP(C35,Tab_Def_Flows[Flow_Name],Tab_Def_Flows[Use_E4],,0,)</f>
        <v>Yes</v>
      </c>
      <c r="H35" s="5" t="str">
        <f>_xlfn.XLOOKUP(C35,Tab_Def_Flows[Flow_Name],Tab_Def_Flows[Use_E5],,0,)</f>
        <v>Yes</v>
      </c>
      <c r="I35" s="5" t="str">
        <f>_xlfn.XLOOKUP(C35,Tab_Def_Flows[Flow_Name],Tab_Def_Flows[Use_E6],,0,)</f>
        <v>Yes</v>
      </c>
      <c r="J35" s="3"/>
      <c r="K35" s="3"/>
      <c r="L35" s="2" t="str">
        <f>'0_Configuration'!$C$41</f>
        <v>Mg</v>
      </c>
      <c r="M35" s="9"/>
      <c r="N35" s="9"/>
      <c r="O35" s="9"/>
      <c r="P35" s="9"/>
      <c r="Q35" s="18" t="s">
        <v>3</v>
      </c>
      <c r="R35" s="10"/>
      <c r="S35" s="3"/>
      <c r="T35" s="9"/>
      <c r="U35" s="9"/>
      <c r="V35" s="2">
        <f>_xlfn.XLOOKUP(Tab_Data_Flows[[#This Row],[Flow_Name]],Tab_Def_Flows[Flow_Name],Tab_Def_Flows[Flow_E1_Fraction'[%']],"N.A.",0,1)</f>
        <v>0</v>
      </c>
      <c r="W35" s="8">
        <f t="shared" si="0"/>
        <v>0</v>
      </c>
      <c r="X35" s="2" t="str">
        <f>Tab_Data_Flows[[#This Row],[UoM_Source]]</f>
        <v>Mg</v>
      </c>
      <c r="Y35" s="19">
        <f>_xlfn.XLOOKUP(Tab_Data_Flows[[#This Row],[Flow_Name]],Tab_Def_Flows[Flow_Name],Tab_Def_Flows[Flow_E2_Fraction'[%']],"N.A.",0,1)</f>
        <v>0</v>
      </c>
      <c r="Z35" s="2">
        <f>IF(D35="Yes",W35*Tab_Data_Flows[[#This Row],[E2_Fraction'[%']]],"N.A.")</f>
        <v>0</v>
      </c>
      <c r="AA35" s="2" t="str">
        <f>Tab_Data_Flows[[#This Row],[E1_UoM]]</f>
        <v>Mg</v>
      </c>
      <c r="AB35" s="19">
        <f>_xlfn.XLOOKUP(Tab_Data_Flows[[#This Row],[Flow_Name]],Tab_Def_Flows[Flow_Name],Tab_Def_Flows[Flow_E3_Fraction'[%']],"N.A.",0,1)</f>
        <v>0</v>
      </c>
      <c r="AC35" s="2">
        <f>IF(E35="Yes",AB35*Tab_Data_Flows[[#This Row],[E1_value]],"N.A.")</f>
        <v>0</v>
      </c>
      <c r="AD35" s="2" t="str">
        <f>Tab_Data_Flows[[#This Row],[E1_UoM]]</f>
        <v>Mg</v>
      </c>
      <c r="AE35" s="19">
        <f>_xlfn.XLOOKUP(Tab_Data_Flows[[#This Row],[Flow_Name]],Tab_Def_Flows[Flow_Name],Tab_Def_Flows[Flow_E4_Fraction'[%']],"N.A.",0,1)</f>
        <v>0</v>
      </c>
      <c r="AF35" s="2">
        <f>IF(H35="Yes",Tab_Data_Flows[[#This Row],[E4_Fraction'[%']]]*Tab_Data_Flows[[#This Row],[E1_value]],"N.A.")</f>
        <v>0</v>
      </c>
      <c r="AG35" s="2" t="str">
        <f>Tab_Data_Flows[[#This Row],[E1_UoM]]</f>
        <v>Mg</v>
      </c>
      <c r="AH35" s="2">
        <f>_xlfn.XLOOKUP(Tab_Data_Flows[[#This Row],[Flow_Name]],Tab_Def_Flows[Flow_Name],Tab_Def_Flows[Flow_E5_Fraction'[%']],"N.A.",0,1)</f>
        <v>0</v>
      </c>
      <c r="AI35" s="2">
        <f>IF(H35="Yes",Tab_Data_Flows[[#This Row],[E5_Fraction'[%']]]*Tab_Data_Flows[[#This Row],[E1_value]],"N.A.")</f>
        <v>0</v>
      </c>
      <c r="AJ35" s="2" t="str">
        <f>Tab_Data_Flows[[#This Row],[E1_UoM]]</f>
        <v>Mg</v>
      </c>
      <c r="AK35" s="19">
        <f>_xlfn.XLOOKUP(Tab_Data_Flows[[#This Row],[Flow_Name]],Tab_Def_Flows[Flow_Name],Tab_Def_Flows[Flow_E6_Fraction'[%']],"N.A.",0,1)</f>
        <v>0</v>
      </c>
      <c r="AL35" s="2">
        <f>IF(Tab_Data_Flows[[#This Row],[Use_E6]]="Yes",Tab_Data_Flows[[#This Row],[E6_Fraction'[%']]]*Tab_Data_Flows[[#This Row],[E1_value]],"N.A.")</f>
        <v>0</v>
      </c>
      <c r="AM35" s="2" t="str">
        <f>Tab_Data_Flows[[#This Row],[E1_UoM]]</f>
        <v>Mg</v>
      </c>
    </row>
    <row r="36" spans="1:39" x14ac:dyDescent="0.25">
      <c r="A36" s="4">
        <f t="shared" si="1"/>
        <v>35</v>
      </c>
      <c r="B36" s="2" t="str">
        <f>_xlfn.XLOOKUP(C36,Tab_Def_Flows[Flow_Name],Tab_Def_Flows[Flow_ID],,0,)</f>
        <v>F__</v>
      </c>
      <c r="C36" s="18" t="s">
        <v>5</v>
      </c>
      <c r="D36" s="5" t="str">
        <f>_xlfn.XLOOKUP(C36,Tab_Def_Flows[Flow_Name],Tab_Def_Flows[Use_E1],,0,)</f>
        <v>Yes</v>
      </c>
      <c r="E36" s="5" t="str">
        <f>_xlfn.XLOOKUP(C36,Tab_Def_Flows[Flow_Name],Tab_Def_Flows[Use_E2],,0,)</f>
        <v>Yes</v>
      </c>
      <c r="F36" s="5" t="str">
        <f>_xlfn.XLOOKUP(C36,Tab_Def_Flows[Flow_Name],Tab_Def_Flows[Use_E3],,0,)</f>
        <v>Yes</v>
      </c>
      <c r="G36" s="5" t="str">
        <f>_xlfn.XLOOKUP(C36,Tab_Def_Flows[Flow_Name],Tab_Def_Flows[Use_E4],,0,)</f>
        <v>Yes</v>
      </c>
      <c r="H36" s="5" t="str">
        <f>_xlfn.XLOOKUP(C36,Tab_Def_Flows[Flow_Name],Tab_Def_Flows[Use_E5],,0,)</f>
        <v>Yes</v>
      </c>
      <c r="I36" s="5" t="str">
        <f>_xlfn.XLOOKUP(C36,Tab_Def_Flows[Flow_Name],Tab_Def_Flows[Use_E6],,0,)</f>
        <v>Yes</v>
      </c>
      <c r="J36" s="3"/>
      <c r="K36" s="3"/>
      <c r="L36" s="2" t="str">
        <f>'0_Configuration'!$C$41</f>
        <v>Mg</v>
      </c>
      <c r="M36" s="9"/>
      <c r="N36" s="9"/>
      <c r="O36" s="9"/>
      <c r="P36" s="9"/>
      <c r="Q36" s="18" t="s">
        <v>3</v>
      </c>
      <c r="R36" s="10"/>
      <c r="S36" s="3"/>
      <c r="T36" s="9"/>
      <c r="U36" s="9"/>
      <c r="V36" s="2">
        <f>_xlfn.XLOOKUP(Tab_Data_Flows[[#This Row],[Flow_Name]],Tab_Def_Flows[Flow_Name],Tab_Def_Flows[Flow_E1_Fraction'[%']],"N.A.",0,1)</f>
        <v>0</v>
      </c>
      <c r="W36" s="8">
        <f t="shared" si="0"/>
        <v>0</v>
      </c>
      <c r="X36" s="2" t="str">
        <f>Tab_Data_Flows[[#This Row],[UoM_Source]]</f>
        <v>Mg</v>
      </c>
      <c r="Y36" s="19">
        <f>_xlfn.XLOOKUP(Tab_Data_Flows[[#This Row],[Flow_Name]],Tab_Def_Flows[Flow_Name],Tab_Def_Flows[Flow_E2_Fraction'[%']],"N.A.",0,1)</f>
        <v>0</v>
      </c>
      <c r="Z36" s="2">
        <f>IF(D36="Yes",W36*Tab_Data_Flows[[#This Row],[E2_Fraction'[%']]],"N.A.")</f>
        <v>0</v>
      </c>
      <c r="AA36" s="2" t="str">
        <f>Tab_Data_Flows[[#This Row],[E1_UoM]]</f>
        <v>Mg</v>
      </c>
      <c r="AB36" s="19">
        <f>_xlfn.XLOOKUP(Tab_Data_Flows[[#This Row],[Flow_Name]],Tab_Def_Flows[Flow_Name],Tab_Def_Flows[Flow_E3_Fraction'[%']],"N.A.",0,1)</f>
        <v>0</v>
      </c>
      <c r="AC36" s="2">
        <f>IF(E36="Yes",AB36*Tab_Data_Flows[[#This Row],[E1_value]],"N.A.")</f>
        <v>0</v>
      </c>
      <c r="AD36" s="2" t="str">
        <f>Tab_Data_Flows[[#This Row],[E1_UoM]]</f>
        <v>Mg</v>
      </c>
      <c r="AE36" s="19">
        <f>_xlfn.XLOOKUP(Tab_Data_Flows[[#This Row],[Flow_Name]],Tab_Def_Flows[Flow_Name],Tab_Def_Flows[Flow_E4_Fraction'[%']],"N.A.",0,1)</f>
        <v>0</v>
      </c>
      <c r="AF36" s="2">
        <f>IF(H36="Yes",Tab_Data_Flows[[#This Row],[E4_Fraction'[%']]]*Tab_Data_Flows[[#This Row],[E1_value]],"N.A.")</f>
        <v>0</v>
      </c>
      <c r="AG36" s="2" t="str">
        <f>Tab_Data_Flows[[#This Row],[E1_UoM]]</f>
        <v>Mg</v>
      </c>
      <c r="AH36" s="2">
        <f>_xlfn.XLOOKUP(Tab_Data_Flows[[#This Row],[Flow_Name]],Tab_Def_Flows[Flow_Name],Tab_Def_Flows[Flow_E5_Fraction'[%']],"N.A.",0,1)</f>
        <v>0</v>
      </c>
      <c r="AI36" s="2">
        <f>IF(H36="Yes",Tab_Data_Flows[[#This Row],[E5_Fraction'[%']]]*Tab_Data_Flows[[#This Row],[E1_value]],"N.A.")</f>
        <v>0</v>
      </c>
      <c r="AJ36" s="2" t="str">
        <f>Tab_Data_Flows[[#This Row],[E1_UoM]]</f>
        <v>Mg</v>
      </c>
      <c r="AK36" s="19">
        <f>_xlfn.XLOOKUP(Tab_Data_Flows[[#This Row],[Flow_Name]],Tab_Def_Flows[Flow_Name],Tab_Def_Flows[Flow_E6_Fraction'[%']],"N.A.",0,1)</f>
        <v>0</v>
      </c>
      <c r="AL36" s="2">
        <f>IF(Tab_Data_Flows[[#This Row],[Use_E6]]="Yes",Tab_Data_Flows[[#This Row],[E6_Fraction'[%']]]*Tab_Data_Flows[[#This Row],[E1_value]],"N.A.")</f>
        <v>0</v>
      </c>
      <c r="AM36" s="2" t="str">
        <f>Tab_Data_Flows[[#This Row],[E1_UoM]]</f>
        <v>Mg</v>
      </c>
    </row>
    <row r="37" spans="1:39" x14ac:dyDescent="0.25">
      <c r="A37" s="4">
        <f t="shared" si="1"/>
        <v>36</v>
      </c>
      <c r="B37" s="2" t="str">
        <f>_xlfn.XLOOKUP(C37,Tab_Def_Flows[Flow_Name],Tab_Def_Flows[Flow_ID],,0,)</f>
        <v>F__</v>
      </c>
      <c r="C37" s="18" t="s">
        <v>5</v>
      </c>
      <c r="D37" s="5" t="str">
        <f>_xlfn.XLOOKUP(C37,Tab_Def_Flows[Flow_Name],Tab_Def_Flows[Use_E1],,0,)</f>
        <v>Yes</v>
      </c>
      <c r="E37" s="5" t="str">
        <f>_xlfn.XLOOKUP(C37,Tab_Def_Flows[Flow_Name],Tab_Def_Flows[Use_E2],,0,)</f>
        <v>Yes</v>
      </c>
      <c r="F37" s="5" t="str">
        <f>_xlfn.XLOOKUP(C37,Tab_Def_Flows[Flow_Name],Tab_Def_Flows[Use_E3],,0,)</f>
        <v>Yes</v>
      </c>
      <c r="G37" s="5" t="str">
        <f>_xlfn.XLOOKUP(C37,Tab_Def_Flows[Flow_Name],Tab_Def_Flows[Use_E4],,0,)</f>
        <v>Yes</v>
      </c>
      <c r="H37" s="5" t="str">
        <f>_xlfn.XLOOKUP(C37,Tab_Def_Flows[Flow_Name],Tab_Def_Flows[Use_E5],,0,)</f>
        <v>Yes</v>
      </c>
      <c r="I37" s="5" t="str">
        <f>_xlfn.XLOOKUP(C37,Tab_Def_Flows[Flow_Name],Tab_Def_Flows[Use_E6],,0,)</f>
        <v>Yes</v>
      </c>
      <c r="J37" s="3"/>
      <c r="K37" s="3"/>
      <c r="L37" s="2" t="str">
        <f>'0_Configuration'!$C$41</f>
        <v>Mg</v>
      </c>
      <c r="M37" s="9"/>
      <c r="N37" s="9"/>
      <c r="O37" s="9"/>
      <c r="P37" s="9"/>
      <c r="Q37" s="18" t="s">
        <v>3</v>
      </c>
      <c r="R37" s="10"/>
      <c r="S37" s="3"/>
      <c r="T37" s="9"/>
      <c r="U37" s="9"/>
      <c r="V37" s="2">
        <f>_xlfn.XLOOKUP(Tab_Data_Flows[[#This Row],[Flow_Name]],Tab_Def_Flows[Flow_Name],Tab_Def_Flows[Flow_E1_Fraction'[%']],"N.A.",0,1)</f>
        <v>0</v>
      </c>
      <c r="W37" s="8">
        <f t="shared" si="0"/>
        <v>0</v>
      </c>
      <c r="X37" s="2" t="str">
        <f>Tab_Data_Flows[[#This Row],[UoM_Source]]</f>
        <v>Mg</v>
      </c>
      <c r="Y37" s="19">
        <f>_xlfn.XLOOKUP(Tab_Data_Flows[[#This Row],[Flow_Name]],Tab_Def_Flows[Flow_Name],Tab_Def_Flows[Flow_E2_Fraction'[%']],"N.A.",0,1)</f>
        <v>0</v>
      </c>
      <c r="Z37" s="2">
        <f>IF(D37="Yes",W37*Tab_Data_Flows[[#This Row],[E2_Fraction'[%']]],"N.A.")</f>
        <v>0</v>
      </c>
      <c r="AA37" s="2" t="str">
        <f>Tab_Data_Flows[[#This Row],[E1_UoM]]</f>
        <v>Mg</v>
      </c>
      <c r="AB37" s="19">
        <f>_xlfn.XLOOKUP(Tab_Data_Flows[[#This Row],[Flow_Name]],Tab_Def_Flows[Flow_Name],Tab_Def_Flows[Flow_E3_Fraction'[%']],"N.A.",0,1)</f>
        <v>0</v>
      </c>
      <c r="AC37" s="2">
        <f>IF(E37="Yes",AB37*Tab_Data_Flows[[#This Row],[E1_value]],"N.A.")</f>
        <v>0</v>
      </c>
      <c r="AD37" s="2" t="str">
        <f>Tab_Data_Flows[[#This Row],[E1_UoM]]</f>
        <v>Mg</v>
      </c>
      <c r="AE37" s="19">
        <f>_xlfn.XLOOKUP(Tab_Data_Flows[[#This Row],[Flow_Name]],Tab_Def_Flows[Flow_Name],Tab_Def_Flows[Flow_E4_Fraction'[%']],"N.A.",0,1)</f>
        <v>0</v>
      </c>
      <c r="AF37" s="2">
        <f>IF(H37="Yes",Tab_Data_Flows[[#This Row],[E4_Fraction'[%']]]*Tab_Data_Flows[[#This Row],[E1_value]],"N.A.")</f>
        <v>0</v>
      </c>
      <c r="AG37" s="2" t="str">
        <f>Tab_Data_Flows[[#This Row],[E1_UoM]]</f>
        <v>Mg</v>
      </c>
      <c r="AH37" s="2">
        <f>_xlfn.XLOOKUP(Tab_Data_Flows[[#This Row],[Flow_Name]],Tab_Def_Flows[Flow_Name],Tab_Def_Flows[Flow_E5_Fraction'[%']],"N.A.",0,1)</f>
        <v>0</v>
      </c>
      <c r="AI37" s="2">
        <f>IF(H37="Yes",Tab_Data_Flows[[#This Row],[E5_Fraction'[%']]]*Tab_Data_Flows[[#This Row],[E1_value]],"N.A.")</f>
        <v>0</v>
      </c>
      <c r="AJ37" s="2" t="str">
        <f>Tab_Data_Flows[[#This Row],[E1_UoM]]</f>
        <v>Mg</v>
      </c>
      <c r="AK37" s="19">
        <f>_xlfn.XLOOKUP(Tab_Data_Flows[[#This Row],[Flow_Name]],Tab_Def_Flows[Flow_Name],Tab_Def_Flows[Flow_E6_Fraction'[%']],"N.A.",0,1)</f>
        <v>0</v>
      </c>
      <c r="AL37" s="2">
        <f>IF(Tab_Data_Flows[[#This Row],[Use_E6]]="Yes",Tab_Data_Flows[[#This Row],[E6_Fraction'[%']]]*Tab_Data_Flows[[#This Row],[E1_value]],"N.A.")</f>
        <v>0</v>
      </c>
      <c r="AM37" s="2" t="str">
        <f>Tab_Data_Flows[[#This Row],[E1_UoM]]</f>
        <v>Mg</v>
      </c>
    </row>
    <row r="38" spans="1:39" x14ac:dyDescent="0.25">
      <c r="A38" s="4">
        <f t="shared" si="1"/>
        <v>37</v>
      </c>
      <c r="B38" s="2" t="str">
        <f>_xlfn.XLOOKUP(C38,Tab_Def_Flows[Flow_Name],Tab_Def_Flows[Flow_ID],,0,)</f>
        <v>F__</v>
      </c>
      <c r="C38" s="18" t="s">
        <v>5</v>
      </c>
      <c r="D38" s="5" t="str">
        <f>_xlfn.XLOOKUP(C38,Tab_Def_Flows[Flow_Name],Tab_Def_Flows[Use_E1],,0,)</f>
        <v>Yes</v>
      </c>
      <c r="E38" s="5" t="str">
        <f>_xlfn.XLOOKUP(C38,Tab_Def_Flows[Flow_Name],Tab_Def_Flows[Use_E2],,0,)</f>
        <v>Yes</v>
      </c>
      <c r="F38" s="5" t="str">
        <f>_xlfn.XLOOKUP(C38,Tab_Def_Flows[Flow_Name],Tab_Def_Flows[Use_E3],,0,)</f>
        <v>Yes</v>
      </c>
      <c r="G38" s="5" t="str">
        <f>_xlfn.XLOOKUP(C38,Tab_Def_Flows[Flow_Name],Tab_Def_Flows[Use_E4],,0,)</f>
        <v>Yes</v>
      </c>
      <c r="H38" s="5" t="str">
        <f>_xlfn.XLOOKUP(C38,Tab_Def_Flows[Flow_Name],Tab_Def_Flows[Use_E5],,0,)</f>
        <v>Yes</v>
      </c>
      <c r="I38" s="5" t="str">
        <f>_xlfn.XLOOKUP(C38,Tab_Def_Flows[Flow_Name],Tab_Def_Flows[Use_E6],,0,)</f>
        <v>Yes</v>
      </c>
      <c r="J38" s="3"/>
      <c r="K38" s="3"/>
      <c r="L38" s="2" t="str">
        <f>'0_Configuration'!$C$41</f>
        <v>Mg</v>
      </c>
      <c r="M38" s="9"/>
      <c r="N38" s="9"/>
      <c r="O38" s="9"/>
      <c r="P38" s="9"/>
      <c r="Q38" s="18" t="s">
        <v>3</v>
      </c>
      <c r="R38" s="3"/>
      <c r="S38" s="3"/>
      <c r="T38" s="9"/>
      <c r="U38" s="9"/>
      <c r="V38" s="2">
        <f>_xlfn.XLOOKUP(Tab_Data_Flows[[#This Row],[Flow_Name]],Tab_Def_Flows[Flow_Name],Tab_Def_Flows[Flow_E1_Fraction'[%']],"N.A.",0,1)</f>
        <v>0</v>
      </c>
      <c r="W38" s="8">
        <f t="shared" si="0"/>
        <v>0</v>
      </c>
      <c r="X38" s="2" t="str">
        <f>Tab_Data_Flows[[#This Row],[UoM_Source]]</f>
        <v>Mg</v>
      </c>
      <c r="Y38" s="19">
        <f>_xlfn.XLOOKUP(Tab_Data_Flows[[#This Row],[Flow_Name]],Tab_Def_Flows[Flow_Name],Tab_Def_Flows[Flow_E2_Fraction'[%']],"N.A.",0,1)</f>
        <v>0</v>
      </c>
      <c r="Z38" s="2">
        <f>IF(D38="Yes",W38*Tab_Data_Flows[[#This Row],[E2_Fraction'[%']]],"N.A.")</f>
        <v>0</v>
      </c>
      <c r="AA38" s="2" t="str">
        <f>Tab_Data_Flows[[#This Row],[E1_UoM]]</f>
        <v>Mg</v>
      </c>
      <c r="AB38" s="19">
        <f>_xlfn.XLOOKUP(Tab_Data_Flows[[#This Row],[Flow_Name]],Tab_Def_Flows[Flow_Name],Tab_Def_Flows[Flow_E3_Fraction'[%']],"N.A.",0,1)</f>
        <v>0</v>
      </c>
      <c r="AC38" s="2">
        <f>IF(E38="Yes",AB38*Tab_Data_Flows[[#This Row],[E1_value]],"N.A.")</f>
        <v>0</v>
      </c>
      <c r="AD38" s="2" t="str">
        <f>Tab_Data_Flows[[#This Row],[E1_UoM]]</f>
        <v>Mg</v>
      </c>
      <c r="AE38" s="19">
        <f>_xlfn.XLOOKUP(Tab_Data_Flows[[#This Row],[Flow_Name]],Tab_Def_Flows[Flow_Name],Tab_Def_Flows[Flow_E4_Fraction'[%']],"N.A.",0,1)</f>
        <v>0</v>
      </c>
      <c r="AF38" s="2">
        <f>IF(H38="Yes",Tab_Data_Flows[[#This Row],[E4_Fraction'[%']]]*Tab_Data_Flows[[#This Row],[E1_value]],"N.A.")</f>
        <v>0</v>
      </c>
      <c r="AG38" s="2" t="str">
        <f>Tab_Data_Flows[[#This Row],[E1_UoM]]</f>
        <v>Mg</v>
      </c>
      <c r="AH38" s="2">
        <f>_xlfn.XLOOKUP(Tab_Data_Flows[[#This Row],[Flow_Name]],Tab_Def_Flows[Flow_Name],Tab_Def_Flows[Flow_E5_Fraction'[%']],"N.A.",0,1)</f>
        <v>0</v>
      </c>
      <c r="AI38" s="2">
        <f>IF(H38="Yes",Tab_Data_Flows[[#This Row],[E5_Fraction'[%']]]*Tab_Data_Flows[[#This Row],[E1_value]],"N.A.")</f>
        <v>0</v>
      </c>
      <c r="AJ38" s="2" t="str">
        <f>Tab_Data_Flows[[#This Row],[E1_UoM]]</f>
        <v>Mg</v>
      </c>
      <c r="AK38" s="19">
        <f>_xlfn.XLOOKUP(Tab_Data_Flows[[#This Row],[Flow_Name]],Tab_Def_Flows[Flow_Name],Tab_Def_Flows[Flow_E6_Fraction'[%']],"N.A.",0,1)</f>
        <v>0</v>
      </c>
      <c r="AL38" s="2">
        <f>IF(Tab_Data_Flows[[#This Row],[Use_E6]]="Yes",Tab_Data_Flows[[#This Row],[E6_Fraction'[%']]]*Tab_Data_Flows[[#This Row],[E1_value]],"N.A.")</f>
        <v>0</v>
      </c>
      <c r="AM38" s="2" t="str">
        <f>Tab_Data_Flows[[#This Row],[E1_UoM]]</f>
        <v>Mg</v>
      </c>
    </row>
    <row r="39" spans="1:39" x14ac:dyDescent="0.25">
      <c r="A39" s="4">
        <f t="shared" si="1"/>
        <v>38</v>
      </c>
      <c r="B39" s="2" t="str">
        <f>_xlfn.XLOOKUP(C39,Tab_Def_Flows[Flow_Name],Tab_Def_Flows[Flow_ID],,0,)</f>
        <v>F__</v>
      </c>
      <c r="C39" s="18" t="s">
        <v>5</v>
      </c>
      <c r="D39" s="5" t="str">
        <f>_xlfn.XLOOKUP(C39,Tab_Def_Flows[Flow_Name],Tab_Def_Flows[Use_E1],,0,)</f>
        <v>Yes</v>
      </c>
      <c r="E39" s="5" t="str">
        <f>_xlfn.XLOOKUP(C39,Tab_Def_Flows[Flow_Name],Tab_Def_Flows[Use_E2],,0,)</f>
        <v>Yes</v>
      </c>
      <c r="F39" s="5" t="str">
        <f>_xlfn.XLOOKUP(C39,Tab_Def_Flows[Flow_Name],Tab_Def_Flows[Use_E3],,0,)</f>
        <v>Yes</v>
      </c>
      <c r="G39" s="5" t="str">
        <f>_xlfn.XLOOKUP(C39,Tab_Def_Flows[Flow_Name],Tab_Def_Flows[Use_E4],,0,)</f>
        <v>Yes</v>
      </c>
      <c r="H39" s="5" t="str">
        <f>_xlfn.XLOOKUP(C39,Tab_Def_Flows[Flow_Name],Tab_Def_Flows[Use_E5],,0,)</f>
        <v>Yes</v>
      </c>
      <c r="I39" s="5" t="str">
        <f>_xlfn.XLOOKUP(C39,Tab_Def_Flows[Flow_Name],Tab_Def_Flows[Use_E6],,0,)</f>
        <v>Yes</v>
      </c>
      <c r="J39" s="3"/>
      <c r="K39" s="3"/>
      <c r="L39" s="2" t="str">
        <f>'0_Configuration'!$C$41</f>
        <v>Mg</v>
      </c>
      <c r="M39" s="9"/>
      <c r="N39" s="9"/>
      <c r="O39" s="9"/>
      <c r="P39" s="9"/>
      <c r="Q39" s="18" t="s">
        <v>3</v>
      </c>
      <c r="R39" s="3"/>
      <c r="S39" s="3"/>
      <c r="T39" s="9"/>
      <c r="U39" s="9"/>
      <c r="V39" s="2">
        <f>_xlfn.XLOOKUP(Tab_Data_Flows[[#This Row],[Flow_Name]],Tab_Def_Flows[Flow_Name],Tab_Def_Flows[Flow_E1_Fraction'[%']],"N.A.",0,1)</f>
        <v>0</v>
      </c>
      <c r="W39" s="8">
        <f t="shared" si="0"/>
        <v>0</v>
      </c>
      <c r="X39" s="2" t="str">
        <f>Tab_Data_Flows[[#This Row],[UoM_Source]]</f>
        <v>Mg</v>
      </c>
      <c r="Y39" s="19">
        <f>_xlfn.XLOOKUP(Tab_Data_Flows[[#This Row],[Flow_Name]],Tab_Def_Flows[Flow_Name],Tab_Def_Flows[Flow_E2_Fraction'[%']],"N.A.",0,1)</f>
        <v>0</v>
      </c>
      <c r="Z39" s="2">
        <f>IF(D39="Yes",W39*Tab_Data_Flows[[#This Row],[E2_Fraction'[%']]],"N.A.")</f>
        <v>0</v>
      </c>
      <c r="AA39" s="2" t="str">
        <f>Tab_Data_Flows[[#This Row],[E1_UoM]]</f>
        <v>Mg</v>
      </c>
      <c r="AB39" s="19">
        <f>_xlfn.XLOOKUP(Tab_Data_Flows[[#This Row],[Flow_Name]],Tab_Def_Flows[Flow_Name],Tab_Def_Flows[Flow_E3_Fraction'[%']],"N.A.",0,1)</f>
        <v>0</v>
      </c>
      <c r="AC39" s="2">
        <f>IF(E39="Yes",AB39*Tab_Data_Flows[[#This Row],[E1_value]],"N.A.")</f>
        <v>0</v>
      </c>
      <c r="AD39" s="2" t="str">
        <f>Tab_Data_Flows[[#This Row],[E1_UoM]]</f>
        <v>Mg</v>
      </c>
      <c r="AE39" s="19">
        <f>_xlfn.XLOOKUP(Tab_Data_Flows[[#This Row],[Flow_Name]],Tab_Def_Flows[Flow_Name],Tab_Def_Flows[Flow_E4_Fraction'[%']],"N.A.",0,1)</f>
        <v>0</v>
      </c>
      <c r="AF39" s="2">
        <f>IF(H39="Yes",Tab_Data_Flows[[#This Row],[E4_Fraction'[%']]]*Tab_Data_Flows[[#This Row],[E1_value]],"N.A.")</f>
        <v>0</v>
      </c>
      <c r="AG39" s="2" t="str">
        <f>Tab_Data_Flows[[#This Row],[E1_UoM]]</f>
        <v>Mg</v>
      </c>
      <c r="AH39" s="2">
        <f>_xlfn.XLOOKUP(Tab_Data_Flows[[#This Row],[Flow_Name]],Tab_Def_Flows[Flow_Name],Tab_Def_Flows[Flow_E5_Fraction'[%']],"N.A.",0,1)</f>
        <v>0</v>
      </c>
      <c r="AI39" s="2">
        <f>IF(H39="Yes",Tab_Data_Flows[[#This Row],[E5_Fraction'[%']]]*Tab_Data_Flows[[#This Row],[E1_value]],"N.A.")</f>
        <v>0</v>
      </c>
      <c r="AJ39" s="2" t="str">
        <f>Tab_Data_Flows[[#This Row],[E1_UoM]]</f>
        <v>Mg</v>
      </c>
      <c r="AK39" s="19">
        <f>_xlfn.XLOOKUP(Tab_Data_Flows[[#This Row],[Flow_Name]],Tab_Def_Flows[Flow_Name],Tab_Def_Flows[Flow_E6_Fraction'[%']],"N.A.",0,1)</f>
        <v>0</v>
      </c>
      <c r="AL39" s="2">
        <f>IF(Tab_Data_Flows[[#This Row],[Use_E6]]="Yes",Tab_Data_Flows[[#This Row],[E6_Fraction'[%']]]*Tab_Data_Flows[[#This Row],[E1_value]],"N.A.")</f>
        <v>0</v>
      </c>
      <c r="AM39" s="2" t="str">
        <f>Tab_Data_Flows[[#This Row],[E1_UoM]]</f>
        <v>Mg</v>
      </c>
    </row>
    <row r="40" spans="1:39" x14ac:dyDescent="0.25">
      <c r="A40" s="4">
        <f t="shared" si="1"/>
        <v>39</v>
      </c>
      <c r="B40" s="2" t="str">
        <f>_xlfn.XLOOKUP(C40,Tab_Def_Flows[Flow_Name],Tab_Def_Flows[Flow_ID],,0,)</f>
        <v>F__</v>
      </c>
      <c r="C40" s="18" t="s">
        <v>5</v>
      </c>
      <c r="D40" s="5" t="str">
        <f>_xlfn.XLOOKUP(C40,Tab_Def_Flows[Flow_Name],Tab_Def_Flows[Use_E1],,0,)</f>
        <v>Yes</v>
      </c>
      <c r="E40" s="5" t="str">
        <f>_xlfn.XLOOKUP(C40,Tab_Def_Flows[Flow_Name],Tab_Def_Flows[Use_E2],,0,)</f>
        <v>Yes</v>
      </c>
      <c r="F40" s="5" t="str">
        <f>_xlfn.XLOOKUP(C40,Tab_Def_Flows[Flow_Name],Tab_Def_Flows[Use_E3],,0,)</f>
        <v>Yes</v>
      </c>
      <c r="G40" s="5" t="str">
        <f>_xlfn.XLOOKUP(C40,Tab_Def_Flows[Flow_Name],Tab_Def_Flows[Use_E4],,0,)</f>
        <v>Yes</v>
      </c>
      <c r="H40" s="5" t="str">
        <f>_xlfn.XLOOKUP(C40,Tab_Def_Flows[Flow_Name],Tab_Def_Flows[Use_E5],,0,)</f>
        <v>Yes</v>
      </c>
      <c r="I40" s="5" t="str">
        <f>_xlfn.XLOOKUP(C40,Tab_Def_Flows[Flow_Name],Tab_Def_Flows[Use_E6],,0,)</f>
        <v>Yes</v>
      </c>
      <c r="J40" s="3"/>
      <c r="K40" s="3"/>
      <c r="L40" s="2" t="str">
        <f>'0_Configuration'!$C$41</f>
        <v>Mg</v>
      </c>
      <c r="M40" s="9"/>
      <c r="N40" s="9"/>
      <c r="O40" s="9"/>
      <c r="P40" s="9"/>
      <c r="Q40" s="18" t="s">
        <v>3</v>
      </c>
      <c r="R40" s="3"/>
      <c r="S40" s="3"/>
      <c r="T40" s="9"/>
      <c r="U40" s="9"/>
      <c r="V40" s="2">
        <f>_xlfn.XLOOKUP(Tab_Data_Flows[[#This Row],[Flow_Name]],Tab_Def_Flows[Flow_Name],Tab_Def_Flows[Flow_E1_Fraction'[%']],"N.A.",0,1)</f>
        <v>0</v>
      </c>
      <c r="W40" s="8">
        <f t="shared" si="0"/>
        <v>0</v>
      </c>
      <c r="X40" s="2" t="str">
        <f>Tab_Data_Flows[[#This Row],[UoM_Source]]</f>
        <v>Mg</v>
      </c>
      <c r="Y40" s="19">
        <f>_xlfn.XLOOKUP(Tab_Data_Flows[[#This Row],[Flow_Name]],Tab_Def_Flows[Flow_Name],Tab_Def_Flows[Flow_E2_Fraction'[%']],"N.A.",0,1)</f>
        <v>0</v>
      </c>
      <c r="Z40" s="2">
        <f>IF(D40="Yes",W40*Tab_Data_Flows[[#This Row],[E2_Fraction'[%']]],"N.A.")</f>
        <v>0</v>
      </c>
      <c r="AA40" s="2" t="str">
        <f>Tab_Data_Flows[[#This Row],[E1_UoM]]</f>
        <v>Mg</v>
      </c>
      <c r="AB40" s="19">
        <f>_xlfn.XLOOKUP(Tab_Data_Flows[[#This Row],[Flow_Name]],Tab_Def_Flows[Flow_Name],Tab_Def_Flows[Flow_E3_Fraction'[%']],"N.A.",0,1)</f>
        <v>0</v>
      </c>
      <c r="AC40" s="2">
        <f>IF(E40="Yes",AB40*Tab_Data_Flows[[#This Row],[E1_value]],"N.A.")</f>
        <v>0</v>
      </c>
      <c r="AD40" s="2" t="str">
        <f>Tab_Data_Flows[[#This Row],[E1_UoM]]</f>
        <v>Mg</v>
      </c>
      <c r="AE40" s="19">
        <f>_xlfn.XLOOKUP(Tab_Data_Flows[[#This Row],[Flow_Name]],Tab_Def_Flows[Flow_Name],Tab_Def_Flows[Flow_E4_Fraction'[%']],"N.A.",0,1)</f>
        <v>0</v>
      </c>
      <c r="AF40" s="2">
        <f>IF(H40="Yes",Tab_Data_Flows[[#This Row],[E4_Fraction'[%']]]*Tab_Data_Flows[[#This Row],[E1_value]],"N.A.")</f>
        <v>0</v>
      </c>
      <c r="AG40" s="2" t="str">
        <f>Tab_Data_Flows[[#This Row],[E1_UoM]]</f>
        <v>Mg</v>
      </c>
      <c r="AH40" s="2">
        <f>_xlfn.XLOOKUP(Tab_Data_Flows[[#This Row],[Flow_Name]],Tab_Def_Flows[Flow_Name],Tab_Def_Flows[Flow_E5_Fraction'[%']],"N.A.",0,1)</f>
        <v>0</v>
      </c>
      <c r="AI40" s="2">
        <f>IF(H40="Yes",Tab_Data_Flows[[#This Row],[E5_Fraction'[%']]]*Tab_Data_Flows[[#This Row],[E1_value]],"N.A.")</f>
        <v>0</v>
      </c>
      <c r="AJ40" s="2" t="str">
        <f>Tab_Data_Flows[[#This Row],[E1_UoM]]</f>
        <v>Mg</v>
      </c>
      <c r="AK40" s="19">
        <f>_xlfn.XLOOKUP(Tab_Data_Flows[[#This Row],[Flow_Name]],Tab_Def_Flows[Flow_Name],Tab_Def_Flows[Flow_E6_Fraction'[%']],"N.A.",0,1)</f>
        <v>0</v>
      </c>
      <c r="AL40" s="2">
        <f>IF(Tab_Data_Flows[[#This Row],[Use_E6]]="Yes",Tab_Data_Flows[[#This Row],[E6_Fraction'[%']]]*Tab_Data_Flows[[#This Row],[E1_value]],"N.A.")</f>
        <v>0</v>
      </c>
      <c r="AM40" s="2" t="str">
        <f>Tab_Data_Flows[[#This Row],[E1_UoM]]</f>
        <v>Mg</v>
      </c>
    </row>
    <row r="41" spans="1:39" x14ac:dyDescent="0.25">
      <c r="A41" s="4">
        <f t="shared" si="1"/>
        <v>40</v>
      </c>
      <c r="B41" s="2" t="str">
        <f>_xlfn.XLOOKUP(C41,Tab_Def_Flows[Flow_Name],Tab_Def_Flows[Flow_ID],,0,)</f>
        <v>F__</v>
      </c>
      <c r="C41" s="18" t="s">
        <v>5</v>
      </c>
      <c r="D41" s="5" t="str">
        <f>_xlfn.XLOOKUP(C41,Tab_Def_Flows[Flow_Name],Tab_Def_Flows[Use_E1],,0,)</f>
        <v>Yes</v>
      </c>
      <c r="E41" s="5" t="str">
        <f>_xlfn.XLOOKUP(C41,Tab_Def_Flows[Flow_Name],Tab_Def_Flows[Use_E2],,0,)</f>
        <v>Yes</v>
      </c>
      <c r="F41" s="5" t="str">
        <f>_xlfn.XLOOKUP(C41,Tab_Def_Flows[Flow_Name],Tab_Def_Flows[Use_E3],,0,)</f>
        <v>Yes</v>
      </c>
      <c r="G41" s="5" t="str">
        <f>_xlfn.XLOOKUP(C41,Tab_Def_Flows[Flow_Name],Tab_Def_Flows[Use_E4],,0,)</f>
        <v>Yes</v>
      </c>
      <c r="H41" s="5" t="str">
        <f>_xlfn.XLOOKUP(C41,Tab_Def_Flows[Flow_Name],Tab_Def_Flows[Use_E5],,0,)</f>
        <v>Yes</v>
      </c>
      <c r="I41" s="5" t="str">
        <f>_xlfn.XLOOKUP(C41,Tab_Def_Flows[Flow_Name],Tab_Def_Flows[Use_E6],,0,)</f>
        <v>Yes</v>
      </c>
      <c r="J41" s="3"/>
      <c r="K41" s="3"/>
      <c r="L41" s="2" t="str">
        <f>'0_Configuration'!$C$41</f>
        <v>Mg</v>
      </c>
      <c r="M41" s="9"/>
      <c r="N41" s="9"/>
      <c r="O41" s="9"/>
      <c r="P41" s="9"/>
      <c r="Q41" s="18" t="s">
        <v>3</v>
      </c>
      <c r="R41" s="3"/>
      <c r="S41" s="3"/>
      <c r="T41" s="9"/>
      <c r="U41" s="9"/>
      <c r="V41" s="2">
        <f>_xlfn.XLOOKUP(Tab_Data_Flows[[#This Row],[Flow_Name]],Tab_Def_Flows[Flow_Name],Tab_Def_Flows[Flow_E1_Fraction'[%']],"N.A.",0,1)</f>
        <v>0</v>
      </c>
      <c r="W41" s="8">
        <f t="shared" si="0"/>
        <v>0</v>
      </c>
      <c r="X41" s="2" t="str">
        <f>Tab_Data_Flows[[#This Row],[UoM_Source]]</f>
        <v>Mg</v>
      </c>
      <c r="Y41" s="19">
        <f>_xlfn.XLOOKUP(Tab_Data_Flows[[#This Row],[Flow_Name]],Tab_Def_Flows[Flow_Name],Tab_Def_Flows[Flow_E2_Fraction'[%']],"N.A.",0,1)</f>
        <v>0</v>
      </c>
      <c r="Z41" s="2">
        <f>IF(D41="Yes",W41*Tab_Data_Flows[[#This Row],[E2_Fraction'[%']]],"N.A.")</f>
        <v>0</v>
      </c>
      <c r="AA41" s="2" t="str">
        <f>Tab_Data_Flows[[#This Row],[E1_UoM]]</f>
        <v>Mg</v>
      </c>
      <c r="AB41" s="19">
        <f>_xlfn.XLOOKUP(Tab_Data_Flows[[#This Row],[Flow_Name]],Tab_Def_Flows[Flow_Name],Tab_Def_Flows[Flow_E3_Fraction'[%']],"N.A.",0,1)</f>
        <v>0</v>
      </c>
      <c r="AC41" s="2">
        <f>IF(E41="Yes",AB41*Tab_Data_Flows[[#This Row],[E1_value]],"N.A.")</f>
        <v>0</v>
      </c>
      <c r="AD41" s="2" t="str">
        <f>Tab_Data_Flows[[#This Row],[E1_UoM]]</f>
        <v>Mg</v>
      </c>
      <c r="AE41" s="19">
        <f>_xlfn.XLOOKUP(Tab_Data_Flows[[#This Row],[Flow_Name]],Tab_Def_Flows[Flow_Name],Tab_Def_Flows[Flow_E4_Fraction'[%']],"N.A.",0,1)</f>
        <v>0</v>
      </c>
      <c r="AF41" s="2">
        <f>IF(H41="Yes",Tab_Data_Flows[[#This Row],[E4_Fraction'[%']]]*Tab_Data_Flows[[#This Row],[E1_value]],"N.A.")</f>
        <v>0</v>
      </c>
      <c r="AG41" s="2" t="str">
        <f>Tab_Data_Flows[[#This Row],[E1_UoM]]</f>
        <v>Mg</v>
      </c>
      <c r="AH41" s="2">
        <f>_xlfn.XLOOKUP(Tab_Data_Flows[[#This Row],[Flow_Name]],Tab_Def_Flows[Flow_Name],Tab_Def_Flows[Flow_E5_Fraction'[%']],"N.A.",0,1)</f>
        <v>0</v>
      </c>
      <c r="AI41" s="2">
        <f>IF(H41="Yes",Tab_Data_Flows[[#This Row],[E5_Fraction'[%']]]*Tab_Data_Flows[[#This Row],[E1_value]],"N.A.")</f>
        <v>0</v>
      </c>
      <c r="AJ41" s="2" t="str">
        <f>Tab_Data_Flows[[#This Row],[E1_UoM]]</f>
        <v>Mg</v>
      </c>
      <c r="AK41" s="19">
        <f>_xlfn.XLOOKUP(Tab_Data_Flows[[#This Row],[Flow_Name]],Tab_Def_Flows[Flow_Name],Tab_Def_Flows[Flow_E6_Fraction'[%']],"N.A.",0,1)</f>
        <v>0</v>
      </c>
      <c r="AL41" s="2">
        <f>IF(Tab_Data_Flows[[#This Row],[Use_E6]]="Yes",Tab_Data_Flows[[#This Row],[E6_Fraction'[%']]]*Tab_Data_Flows[[#This Row],[E1_value]],"N.A.")</f>
        <v>0</v>
      </c>
      <c r="AM41" s="2" t="str">
        <f>Tab_Data_Flows[[#This Row],[E1_UoM]]</f>
        <v>Mg</v>
      </c>
    </row>
    <row r="42" spans="1:39" x14ac:dyDescent="0.25">
      <c r="A42" s="4">
        <f t="shared" si="1"/>
        <v>41</v>
      </c>
      <c r="B42" s="2" t="str">
        <f>_xlfn.XLOOKUP(C42,Tab_Def_Flows[Flow_Name],Tab_Def_Flows[Flow_ID],,0,)</f>
        <v>F__</v>
      </c>
      <c r="C42" s="18" t="s">
        <v>5</v>
      </c>
      <c r="D42" s="5" t="str">
        <f>_xlfn.XLOOKUP(C42,Tab_Def_Flows[Flow_Name],Tab_Def_Flows[Use_E1],,0,)</f>
        <v>Yes</v>
      </c>
      <c r="E42" s="5" t="str">
        <f>_xlfn.XLOOKUP(C42,Tab_Def_Flows[Flow_Name],Tab_Def_Flows[Use_E2],,0,)</f>
        <v>Yes</v>
      </c>
      <c r="F42" s="5" t="str">
        <f>_xlfn.XLOOKUP(C42,Tab_Def_Flows[Flow_Name],Tab_Def_Flows[Use_E3],,0,)</f>
        <v>Yes</v>
      </c>
      <c r="G42" s="5" t="str">
        <f>_xlfn.XLOOKUP(C42,Tab_Def_Flows[Flow_Name],Tab_Def_Flows[Use_E4],,0,)</f>
        <v>Yes</v>
      </c>
      <c r="H42" s="5" t="str">
        <f>_xlfn.XLOOKUP(C42,Tab_Def_Flows[Flow_Name],Tab_Def_Flows[Use_E5],,0,)</f>
        <v>Yes</v>
      </c>
      <c r="I42" s="5" t="str">
        <f>_xlfn.XLOOKUP(C42,Tab_Def_Flows[Flow_Name],Tab_Def_Flows[Use_E6],,0,)</f>
        <v>Yes</v>
      </c>
      <c r="J42" s="3"/>
      <c r="K42" s="3"/>
      <c r="L42" s="2" t="str">
        <f>'0_Configuration'!$C$41</f>
        <v>Mg</v>
      </c>
      <c r="M42" s="9"/>
      <c r="N42" s="9"/>
      <c r="O42" s="9"/>
      <c r="P42" s="9"/>
      <c r="Q42" s="18" t="s">
        <v>3</v>
      </c>
      <c r="R42" s="3"/>
      <c r="S42" s="3"/>
      <c r="T42" s="9"/>
      <c r="U42" s="9"/>
      <c r="V42" s="2">
        <f>_xlfn.XLOOKUP(Tab_Data_Flows[[#This Row],[Flow_Name]],Tab_Def_Flows[Flow_Name],Tab_Def_Flows[Flow_E1_Fraction'[%']],"N.A.",0,1)</f>
        <v>0</v>
      </c>
      <c r="W42" s="8">
        <f t="shared" si="0"/>
        <v>0</v>
      </c>
      <c r="X42" s="2" t="str">
        <f>Tab_Data_Flows[[#This Row],[UoM_Source]]</f>
        <v>Mg</v>
      </c>
      <c r="Y42" s="19">
        <f>_xlfn.XLOOKUP(Tab_Data_Flows[[#This Row],[Flow_Name]],Tab_Def_Flows[Flow_Name],Tab_Def_Flows[Flow_E2_Fraction'[%']],"N.A.",0,1)</f>
        <v>0</v>
      </c>
      <c r="Z42" s="2">
        <f>IF(D42="Yes",W42*Tab_Data_Flows[[#This Row],[E2_Fraction'[%']]],"N.A.")</f>
        <v>0</v>
      </c>
      <c r="AA42" s="2" t="str">
        <f>Tab_Data_Flows[[#This Row],[E1_UoM]]</f>
        <v>Mg</v>
      </c>
      <c r="AB42" s="19">
        <f>_xlfn.XLOOKUP(Tab_Data_Flows[[#This Row],[Flow_Name]],Tab_Def_Flows[Flow_Name],Tab_Def_Flows[Flow_E3_Fraction'[%']],"N.A.",0,1)</f>
        <v>0</v>
      </c>
      <c r="AC42" s="2">
        <f>IF(E42="Yes",AB42*Tab_Data_Flows[[#This Row],[E1_value]],"N.A.")</f>
        <v>0</v>
      </c>
      <c r="AD42" s="2" t="str">
        <f>Tab_Data_Flows[[#This Row],[E1_UoM]]</f>
        <v>Mg</v>
      </c>
      <c r="AE42" s="19">
        <f>_xlfn.XLOOKUP(Tab_Data_Flows[[#This Row],[Flow_Name]],Tab_Def_Flows[Flow_Name],Tab_Def_Flows[Flow_E4_Fraction'[%']],"N.A.",0,1)</f>
        <v>0</v>
      </c>
      <c r="AF42" s="2">
        <f>IF(H42="Yes",Tab_Data_Flows[[#This Row],[E4_Fraction'[%']]]*Tab_Data_Flows[[#This Row],[E1_value]],"N.A.")</f>
        <v>0</v>
      </c>
      <c r="AG42" s="2" t="str">
        <f>Tab_Data_Flows[[#This Row],[E1_UoM]]</f>
        <v>Mg</v>
      </c>
      <c r="AH42" s="2">
        <f>_xlfn.XLOOKUP(Tab_Data_Flows[[#This Row],[Flow_Name]],Tab_Def_Flows[Flow_Name],Tab_Def_Flows[Flow_E5_Fraction'[%']],"N.A.",0,1)</f>
        <v>0</v>
      </c>
      <c r="AI42" s="2">
        <f>IF(H42="Yes",Tab_Data_Flows[[#This Row],[E5_Fraction'[%']]]*Tab_Data_Flows[[#This Row],[E1_value]],"N.A.")</f>
        <v>0</v>
      </c>
      <c r="AJ42" s="2" t="str">
        <f>Tab_Data_Flows[[#This Row],[E1_UoM]]</f>
        <v>Mg</v>
      </c>
      <c r="AK42" s="19">
        <f>_xlfn.XLOOKUP(Tab_Data_Flows[[#This Row],[Flow_Name]],Tab_Def_Flows[Flow_Name],Tab_Def_Flows[Flow_E6_Fraction'[%']],"N.A.",0,1)</f>
        <v>0</v>
      </c>
      <c r="AL42" s="2">
        <f>IF(Tab_Data_Flows[[#This Row],[Use_E6]]="Yes",Tab_Data_Flows[[#This Row],[E6_Fraction'[%']]]*Tab_Data_Flows[[#This Row],[E1_value]],"N.A.")</f>
        <v>0</v>
      </c>
      <c r="AM42" s="2" t="str">
        <f>Tab_Data_Flows[[#This Row],[E1_UoM]]</f>
        <v>Mg</v>
      </c>
    </row>
    <row r="43" spans="1:39" x14ac:dyDescent="0.25">
      <c r="A43" s="4">
        <f t="shared" si="1"/>
        <v>42</v>
      </c>
      <c r="B43" s="2" t="str">
        <f>_xlfn.XLOOKUP(C43,Tab_Def_Flows[Flow_Name],Tab_Def_Flows[Flow_ID],,0,)</f>
        <v>F__</v>
      </c>
      <c r="C43" s="18" t="s">
        <v>5</v>
      </c>
      <c r="D43" s="5" t="str">
        <f>_xlfn.XLOOKUP(C43,Tab_Def_Flows[Flow_Name],Tab_Def_Flows[Use_E1],,0,)</f>
        <v>Yes</v>
      </c>
      <c r="E43" s="5" t="str">
        <f>_xlfn.XLOOKUP(C43,Tab_Def_Flows[Flow_Name],Tab_Def_Flows[Use_E2],,0,)</f>
        <v>Yes</v>
      </c>
      <c r="F43" s="5" t="str">
        <f>_xlfn.XLOOKUP(C43,Tab_Def_Flows[Flow_Name],Tab_Def_Flows[Use_E3],,0,)</f>
        <v>Yes</v>
      </c>
      <c r="G43" s="5" t="str">
        <f>_xlfn.XLOOKUP(C43,Tab_Def_Flows[Flow_Name],Tab_Def_Flows[Use_E4],,0,)</f>
        <v>Yes</v>
      </c>
      <c r="H43" s="5" t="str">
        <f>_xlfn.XLOOKUP(C43,Tab_Def_Flows[Flow_Name],Tab_Def_Flows[Use_E5],,0,)</f>
        <v>Yes</v>
      </c>
      <c r="I43" s="5" t="str">
        <f>_xlfn.XLOOKUP(C43,Tab_Def_Flows[Flow_Name],Tab_Def_Flows[Use_E6],,0,)</f>
        <v>Yes</v>
      </c>
      <c r="J43" s="3"/>
      <c r="K43" s="3"/>
      <c r="L43" s="2" t="str">
        <f>'0_Configuration'!$C$41</f>
        <v>Mg</v>
      </c>
      <c r="M43" s="9"/>
      <c r="N43" s="9"/>
      <c r="O43" s="9"/>
      <c r="P43" s="9"/>
      <c r="Q43" s="18" t="s">
        <v>3</v>
      </c>
      <c r="R43" s="3"/>
      <c r="S43" s="3"/>
      <c r="T43" s="9"/>
      <c r="U43" s="9"/>
      <c r="V43" s="2">
        <f>_xlfn.XLOOKUP(Tab_Data_Flows[[#This Row],[Flow_Name]],Tab_Def_Flows[Flow_Name],Tab_Def_Flows[Flow_E1_Fraction'[%']],"N.A.",0,1)</f>
        <v>0</v>
      </c>
      <c r="W43" s="8">
        <f t="shared" si="0"/>
        <v>0</v>
      </c>
      <c r="X43" s="2" t="str">
        <f>Tab_Data_Flows[[#This Row],[UoM_Source]]</f>
        <v>Mg</v>
      </c>
      <c r="Y43" s="19">
        <f>_xlfn.XLOOKUP(Tab_Data_Flows[[#This Row],[Flow_Name]],Tab_Def_Flows[Flow_Name],Tab_Def_Flows[Flow_E2_Fraction'[%']],"N.A.",0,1)</f>
        <v>0</v>
      </c>
      <c r="Z43" s="2">
        <f>IF(D43="Yes",W43*Tab_Data_Flows[[#This Row],[E2_Fraction'[%']]],"N.A.")</f>
        <v>0</v>
      </c>
      <c r="AA43" s="2" t="str">
        <f>Tab_Data_Flows[[#This Row],[E1_UoM]]</f>
        <v>Mg</v>
      </c>
      <c r="AB43" s="19">
        <f>_xlfn.XLOOKUP(Tab_Data_Flows[[#This Row],[Flow_Name]],Tab_Def_Flows[Flow_Name],Tab_Def_Flows[Flow_E3_Fraction'[%']],"N.A.",0,1)</f>
        <v>0</v>
      </c>
      <c r="AC43" s="2">
        <f>IF(E43="Yes",AB43*Tab_Data_Flows[[#This Row],[E1_value]],"N.A.")</f>
        <v>0</v>
      </c>
      <c r="AD43" s="2" t="str">
        <f>Tab_Data_Flows[[#This Row],[E1_UoM]]</f>
        <v>Mg</v>
      </c>
      <c r="AE43" s="19">
        <f>_xlfn.XLOOKUP(Tab_Data_Flows[[#This Row],[Flow_Name]],Tab_Def_Flows[Flow_Name],Tab_Def_Flows[Flow_E4_Fraction'[%']],"N.A.",0,1)</f>
        <v>0</v>
      </c>
      <c r="AF43" s="2">
        <f>IF(H43="Yes",Tab_Data_Flows[[#This Row],[E4_Fraction'[%']]]*Tab_Data_Flows[[#This Row],[E1_value]],"N.A.")</f>
        <v>0</v>
      </c>
      <c r="AG43" s="2" t="str">
        <f>Tab_Data_Flows[[#This Row],[E1_UoM]]</f>
        <v>Mg</v>
      </c>
      <c r="AH43" s="2">
        <f>_xlfn.XLOOKUP(Tab_Data_Flows[[#This Row],[Flow_Name]],Tab_Def_Flows[Flow_Name],Tab_Def_Flows[Flow_E5_Fraction'[%']],"N.A.",0,1)</f>
        <v>0</v>
      </c>
      <c r="AI43" s="2">
        <f>IF(H43="Yes",Tab_Data_Flows[[#This Row],[E5_Fraction'[%']]]*Tab_Data_Flows[[#This Row],[E1_value]],"N.A.")</f>
        <v>0</v>
      </c>
      <c r="AJ43" s="2" t="str">
        <f>Tab_Data_Flows[[#This Row],[E1_UoM]]</f>
        <v>Mg</v>
      </c>
      <c r="AK43" s="19">
        <f>_xlfn.XLOOKUP(Tab_Data_Flows[[#This Row],[Flow_Name]],Tab_Def_Flows[Flow_Name],Tab_Def_Flows[Flow_E6_Fraction'[%']],"N.A.",0,1)</f>
        <v>0</v>
      </c>
      <c r="AL43" s="2">
        <f>IF(Tab_Data_Flows[[#This Row],[Use_E6]]="Yes",Tab_Data_Flows[[#This Row],[E6_Fraction'[%']]]*Tab_Data_Flows[[#This Row],[E1_value]],"N.A.")</f>
        <v>0</v>
      </c>
      <c r="AM43" s="2" t="str">
        <f>Tab_Data_Flows[[#This Row],[E1_UoM]]</f>
        <v>Mg</v>
      </c>
    </row>
    <row r="44" spans="1:39" x14ac:dyDescent="0.25">
      <c r="A44" s="4">
        <f t="shared" si="1"/>
        <v>43</v>
      </c>
      <c r="B44" s="2" t="str">
        <f>_xlfn.XLOOKUP(C44,Tab_Def_Flows[Flow_Name],Tab_Def_Flows[Flow_ID],,0,)</f>
        <v>F__</v>
      </c>
      <c r="C44" s="18" t="s">
        <v>5</v>
      </c>
      <c r="D44" s="5" t="str">
        <f>_xlfn.XLOOKUP(C44,Tab_Def_Flows[Flow_Name],Tab_Def_Flows[Use_E1],,0,)</f>
        <v>Yes</v>
      </c>
      <c r="E44" s="5" t="str">
        <f>_xlfn.XLOOKUP(C44,Tab_Def_Flows[Flow_Name],Tab_Def_Flows[Use_E2],,0,)</f>
        <v>Yes</v>
      </c>
      <c r="F44" s="5" t="str">
        <f>_xlfn.XLOOKUP(C44,Tab_Def_Flows[Flow_Name],Tab_Def_Flows[Use_E3],,0,)</f>
        <v>Yes</v>
      </c>
      <c r="G44" s="5" t="str">
        <f>_xlfn.XLOOKUP(C44,Tab_Def_Flows[Flow_Name],Tab_Def_Flows[Use_E4],,0,)</f>
        <v>Yes</v>
      </c>
      <c r="H44" s="5" t="str">
        <f>_xlfn.XLOOKUP(C44,Tab_Def_Flows[Flow_Name],Tab_Def_Flows[Use_E5],,0,)</f>
        <v>Yes</v>
      </c>
      <c r="I44" s="5" t="str">
        <f>_xlfn.XLOOKUP(C44,Tab_Def_Flows[Flow_Name],Tab_Def_Flows[Use_E6],,0,)</f>
        <v>Yes</v>
      </c>
      <c r="J44" s="3"/>
      <c r="K44" s="3"/>
      <c r="L44" s="2" t="str">
        <f>'0_Configuration'!$C$41</f>
        <v>Mg</v>
      </c>
      <c r="M44" s="9"/>
      <c r="N44" s="9"/>
      <c r="O44" s="9"/>
      <c r="P44" s="9"/>
      <c r="Q44" s="18" t="s">
        <v>3</v>
      </c>
      <c r="R44" s="3"/>
      <c r="S44" s="3"/>
      <c r="T44" s="9"/>
      <c r="U44" s="9"/>
      <c r="V44" s="2">
        <f>_xlfn.XLOOKUP(Tab_Data_Flows[[#This Row],[Flow_Name]],Tab_Def_Flows[Flow_Name],Tab_Def_Flows[Flow_E1_Fraction'[%']],"N.A.",0,1)</f>
        <v>0</v>
      </c>
      <c r="W44" s="8">
        <f t="shared" si="0"/>
        <v>0</v>
      </c>
      <c r="X44" s="2" t="str">
        <f>Tab_Data_Flows[[#This Row],[UoM_Source]]</f>
        <v>Mg</v>
      </c>
      <c r="Y44" s="19">
        <f>_xlfn.XLOOKUP(Tab_Data_Flows[[#This Row],[Flow_Name]],Tab_Def_Flows[Flow_Name],Tab_Def_Flows[Flow_E2_Fraction'[%']],"N.A.",0,1)</f>
        <v>0</v>
      </c>
      <c r="Z44" s="2">
        <f>IF(D44="Yes",W44*Tab_Data_Flows[[#This Row],[E2_Fraction'[%']]],"N.A.")</f>
        <v>0</v>
      </c>
      <c r="AA44" s="2" t="str">
        <f>Tab_Data_Flows[[#This Row],[E1_UoM]]</f>
        <v>Mg</v>
      </c>
      <c r="AB44" s="19">
        <f>_xlfn.XLOOKUP(Tab_Data_Flows[[#This Row],[Flow_Name]],Tab_Def_Flows[Flow_Name],Tab_Def_Flows[Flow_E3_Fraction'[%']],"N.A.",0,1)</f>
        <v>0</v>
      </c>
      <c r="AC44" s="2">
        <f>IF(E44="Yes",AB44*Tab_Data_Flows[[#This Row],[E1_value]],"N.A.")</f>
        <v>0</v>
      </c>
      <c r="AD44" s="2" t="str">
        <f>Tab_Data_Flows[[#This Row],[E1_UoM]]</f>
        <v>Mg</v>
      </c>
      <c r="AE44" s="19">
        <f>_xlfn.XLOOKUP(Tab_Data_Flows[[#This Row],[Flow_Name]],Tab_Def_Flows[Flow_Name],Tab_Def_Flows[Flow_E4_Fraction'[%']],"N.A.",0,1)</f>
        <v>0</v>
      </c>
      <c r="AF44" s="2">
        <f>IF(H44="Yes",Tab_Data_Flows[[#This Row],[E4_Fraction'[%']]]*Tab_Data_Flows[[#This Row],[E1_value]],"N.A.")</f>
        <v>0</v>
      </c>
      <c r="AG44" s="2" t="str">
        <f>Tab_Data_Flows[[#This Row],[E1_UoM]]</f>
        <v>Mg</v>
      </c>
      <c r="AH44" s="2">
        <f>_xlfn.XLOOKUP(Tab_Data_Flows[[#This Row],[Flow_Name]],Tab_Def_Flows[Flow_Name],Tab_Def_Flows[Flow_E5_Fraction'[%']],"N.A.",0,1)</f>
        <v>0</v>
      </c>
      <c r="AI44" s="2">
        <f>IF(H44="Yes",Tab_Data_Flows[[#This Row],[E5_Fraction'[%']]]*Tab_Data_Flows[[#This Row],[E1_value]],"N.A.")</f>
        <v>0</v>
      </c>
      <c r="AJ44" s="2" t="str">
        <f>Tab_Data_Flows[[#This Row],[E1_UoM]]</f>
        <v>Mg</v>
      </c>
      <c r="AK44" s="19">
        <f>_xlfn.XLOOKUP(Tab_Data_Flows[[#This Row],[Flow_Name]],Tab_Def_Flows[Flow_Name],Tab_Def_Flows[Flow_E6_Fraction'[%']],"N.A.",0,1)</f>
        <v>0</v>
      </c>
      <c r="AL44" s="2">
        <f>IF(Tab_Data_Flows[[#This Row],[Use_E6]]="Yes",Tab_Data_Flows[[#This Row],[E6_Fraction'[%']]]*Tab_Data_Flows[[#This Row],[E1_value]],"N.A.")</f>
        <v>0</v>
      </c>
      <c r="AM44" s="2" t="str">
        <f>Tab_Data_Flows[[#This Row],[E1_UoM]]</f>
        <v>Mg</v>
      </c>
    </row>
    <row r="45" spans="1:39" x14ac:dyDescent="0.25">
      <c r="A45" s="4">
        <f t="shared" si="1"/>
        <v>44</v>
      </c>
      <c r="B45" s="2" t="str">
        <f>_xlfn.XLOOKUP(C45,Tab_Def_Flows[Flow_Name],Tab_Def_Flows[Flow_ID],,0,)</f>
        <v>F__</v>
      </c>
      <c r="C45" s="18" t="s">
        <v>5</v>
      </c>
      <c r="D45" s="5" t="str">
        <f>_xlfn.XLOOKUP(C45,Tab_Def_Flows[Flow_Name],Tab_Def_Flows[Use_E1],,0,)</f>
        <v>Yes</v>
      </c>
      <c r="E45" s="5" t="str">
        <f>_xlfn.XLOOKUP(C45,Tab_Def_Flows[Flow_Name],Tab_Def_Flows[Use_E2],,0,)</f>
        <v>Yes</v>
      </c>
      <c r="F45" s="5" t="str">
        <f>_xlfn.XLOOKUP(C45,Tab_Def_Flows[Flow_Name],Tab_Def_Flows[Use_E3],,0,)</f>
        <v>Yes</v>
      </c>
      <c r="G45" s="5" t="str">
        <f>_xlfn.XLOOKUP(C45,Tab_Def_Flows[Flow_Name],Tab_Def_Flows[Use_E4],,0,)</f>
        <v>Yes</v>
      </c>
      <c r="H45" s="5" t="str">
        <f>_xlfn.XLOOKUP(C45,Tab_Def_Flows[Flow_Name],Tab_Def_Flows[Use_E5],,0,)</f>
        <v>Yes</v>
      </c>
      <c r="I45" s="5" t="str">
        <f>_xlfn.XLOOKUP(C45,Tab_Def_Flows[Flow_Name],Tab_Def_Flows[Use_E6],,0,)</f>
        <v>Yes</v>
      </c>
      <c r="J45" s="3"/>
      <c r="K45" s="3"/>
      <c r="L45" s="2" t="str">
        <f>'0_Configuration'!$C$41</f>
        <v>Mg</v>
      </c>
      <c r="M45" s="9"/>
      <c r="N45" s="9"/>
      <c r="O45" s="9"/>
      <c r="P45" s="9"/>
      <c r="Q45" s="18" t="s">
        <v>3</v>
      </c>
      <c r="R45" s="3"/>
      <c r="S45" s="3"/>
      <c r="T45" s="9"/>
      <c r="U45" s="9"/>
      <c r="V45" s="2">
        <f>_xlfn.XLOOKUP(Tab_Data_Flows[[#This Row],[Flow_Name]],Tab_Def_Flows[Flow_Name],Tab_Def_Flows[Flow_E1_Fraction'[%']],"N.A.",0,1)</f>
        <v>0</v>
      </c>
      <c r="W45" s="8">
        <f t="shared" si="0"/>
        <v>0</v>
      </c>
      <c r="X45" s="2" t="str">
        <f>Tab_Data_Flows[[#This Row],[UoM_Source]]</f>
        <v>Mg</v>
      </c>
      <c r="Y45" s="19">
        <f>_xlfn.XLOOKUP(Tab_Data_Flows[[#This Row],[Flow_Name]],Tab_Def_Flows[Flow_Name],Tab_Def_Flows[Flow_E2_Fraction'[%']],"N.A.",0,1)</f>
        <v>0</v>
      </c>
      <c r="Z45" s="2">
        <f>IF(D45="Yes",W45*Tab_Data_Flows[[#This Row],[E2_Fraction'[%']]],"N.A.")</f>
        <v>0</v>
      </c>
      <c r="AA45" s="2" t="str">
        <f>Tab_Data_Flows[[#This Row],[E1_UoM]]</f>
        <v>Mg</v>
      </c>
      <c r="AB45" s="19">
        <f>_xlfn.XLOOKUP(Tab_Data_Flows[[#This Row],[Flow_Name]],Tab_Def_Flows[Flow_Name],Tab_Def_Flows[Flow_E3_Fraction'[%']],"N.A.",0,1)</f>
        <v>0</v>
      </c>
      <c r="AC45" s="2">
        <f>IF(E45="Yes",AB45*Tab_Data_Flows[[#This Row],[E1_value]],"N.A.")</f>
        <v>0</v>
      </c>
      <c r="AD45" s="2" t="str">
        <f>Tab_Data_Flows[[#This Row],[E1_UoM]]</f>
        <v>Mg</v>
      </c>
      <c r="AE45" s="19">
        <f>_xlfn.XLOOKUP(Tab_Data_Flows[[#This Row],[Flow_Name]],Tab_Def_Flows[Flow_Name],Tab_Def_Flows[Flow_E4_Fraction'[%']],"N.A.",0,1)</f>
        <v>0</v>
      </c>
      <c r="AF45" s="2">
        <f>IF(H45="Yes",Tab_Data_Flows[[#This Row],[E4_Fraction'[%']]]*Tab_Data_Flows[[#This Row],[E1_value]],"N.A.")</f>
        <v>0</v>
      </c>
      <c r="AG45" s="2" t="str">
        <f>Tab_Data_Flows[[#This Row],[E1_UoM]]</f>
        <v>Mg</v>
      </c>
      <c r="AH45" s="2">
        <f>_xlfn.XLOOKUP(Tab_Data_Flows[[#This Row],[Flow_Name]],Tab_Def_Flows[Flow_Name],Tab_Def_Flows[Flow_E5_Fraction'[%']],"N.A.",0,1)</f>
        <v>0</v>
      </c>
      <c r="AI45" s="2">
        <f>IF(H45="Yes",Tab_Data_Flows[[#This Row],[E5_Fraction'[%']]]*Tab_Data_Flows[[#This Row],[E1_value]],"N.A.")</f>
        <v>0</v>
      </c>
      <c r="AJ45" s="2" t="str">
        <f>Tab_Data_Flows[[#This Row],[E1_UoM]]</f>
        <v>Mg</v>
      </c>
      <c r="AK45" s="19">
        <f>_xlfn.XLOOKUP(Tab_Data_Flows[[#This Row],[Flow_Name]],Tab_Def_Flows[Flow_Name],Tab_Def_Flows[Flow_E6_Fraction'[%']],"N.A.",0,1)</f>
        <v>0</v>
      </c>
      <c r="AL45" s="2">
        <f>IF(Tab_Data_Flows[[#This Row],[Use_E6]]="Yes",Tab_Data_Flows[[#This Row],[E6_Fraction'[%']]]*Tab_Data_Flows[[#This Row],[E1_value]],"N.A.")</f>
        <v>0</v>
      </c>
      <c r="AM45" s="2" t="str">
        <f>Tab_Data_Flows[[#This Row],[E1_UoM]]</f>
        <v>Mg</v>
      </c>
    </row>
    <row r="46" spans="1:39" x14ac:dyDescent="0.25">
      <c r="A46" s="4">
        <f t="shared" si="1"/>
        <v>45</v>
      </c>
      <c r="B46" s="2" t="str">
        <f>_xlfn.XLOOKUP(C46,Tab_Def_Flows[Flow_Name],Tab_Def_Flows[Flow_ID],,0,)</f>
        <v>F__</v>
      </c>
      <c r="C46" s="18" t="s">
        <v>5</v>
      </c>
      <c r="D46" s="5" t="str">
        <f>_xlfn.XLOOKUP(C46,Tab_Def_Flows[Flow_Name],Tab_Def_Flows[Use_E1],,0,)</f>
        <v>Yes</v>
      </c>
      <c r="E46" s="5" t="str">
        <f>_xlfn.XLOOKUP(C46,Tab_Def_Flows[Flow_Name],Tab_Def_Flows[Use_E2],,0,)</f>
        <v>Yes</v>
      </c>
      <c r="F46" s="5" t="str">
        <f>_xlfn.XLOOKUP(C46,Tab_Def_Flows[Flow_Name],Tab_Def_Flows[Use_E3],,0,)</f>
        <v>Yes</v>
      </c>
      <c r="G46" s="5" t="str">
        <f>_xlfn.XLOOKUP(C46,Tab_Def_Flows[Flow_Name],Tab_Def_Flows[Use_E4],,0,)</f>
        <v>Yes</v>
      </c>
      <c r="H46" s="5" t="str">
        <f>_xlfn.XLOOKUP(C46,Tab_Def_Flows[Flow_Name],Tab_Def_Flows[Use_E5],,0,)</f>
        <v>Yes</v>
      </c>
      <c r="I46" s="5" t="str">
        <f>_xlfn.XLOOKUP(C46,Tab_Def_Flows[Flow_Name],Tab_Def_Flows[Use_E6],,0,)</f>
        <v>Yes</v>
      </c>
      <c r="J46" s="3"/>
      <c r="K46" s="3"/>
      <c r="L46" s="2" t="str">
        <f>'0_Configuration'!$C$41</f>
        <v>Mg</v>
      </c>
      <c r="M46" s="9"/>
      <c r="N46" s="9"/>
      <c r="O46" s="9"/>
      <c r="P46" s="9"/>
      <c r="Q46" s="18" t="s">
        <v>3</v>
      </c>
      <c r="R46" s="3"/>
      <c r="S46" s="3"/>
      <c r="T46" s="9"/>
      <c r="U46" s="9"/>
      <c r="V46" s="2">
        <f>_xlfn.XLOOKUP(Tab_Data_Flows[[#This Row],[Flow_Name]],Tab_Def_Flows[Flow_Name],Tab_Def_Flows[Flow_E1_Fraction'[%']],"N.A.",0,1)</f>
        <v>0</v>
      </c>
      <c r="W46" s="8">
        <f t="shared" si="0"/>
        <v>0</v>
      </c>
      <c r="X46" s="2" t="str">
        <f>Tab_Data_Flows[[#This Row],[UoM_Source]]</f>
        <v>Mg</v>
      </c>
      <c r="Y46" s="19">
        <f>_xlfn.XLOOKUP(Tab_Data_Flows[[#This Row],[Flow_Name]],Tab_Def_Flows[Flow_Name],Tab_Def_Flows[Flow_E2_Fraction'[%']],"N.A.",0,1)</f>
        <v>0</v>
      </c>
      <c r="Z46" s="2">
        <f>IF(D46="Yes",W46*Tab_Data_Flows[[#This Row],[E2_Fraction'[%']]],"N.A.")</f>
        <v>0</v>
      </c>
      <c r="AA46" s="2" t="str">
        <f>Tab_Data_Flows[[#This Row],[E1_UoM]]</f>
        <v>Mg</v>
      </c>
      <c r="AB46" s="19">
        <f>_xlfn.XLOOKUP(Tab_Data_Flows[[#This Row],[Flow_Name]],Tab_Def_Flows[Flow_Name],Tab_Def_Flows[Flow_E3_Fraction'[%']],"N.A.",0,1)</f>
        <v>0</v>
      </c>
      <c r="AC46" s="2">
        <f>IF(E46="Yes",AB46*Tab_Data_Flows[[#This Row],[E1_value]],"N.A.")</f>
        <v>0</v>
      </c>
      <c r="AD46" s="2" t="str">
        <f>Tab_Data_Flows[[#This Row],[E1_UoM]]</f>
        <v>Mg</v>
      </c>
      <c r="AE46" s="19">
        <f>_xlfn.XLOOKUP(Tab_Data_Flows[[#This Row],[Flow_Name]],Tab_Def_Flows[Flow_Name],Tab_Def_Flows[Flow_E4_Fraction'[%']],"N.A.",0,1)</f>
        <v>0</v>
      </c>
      <c r="AF46" s="2">
        <f>IF(H46="Yes",Tab_Data_Flows[[#This Row],[E4_Fraction'[%']]]*Tab_Data_Flows[[#This Row],[E1_value]],"N.A.")</f>
        <v>0</v>
      </c>
      <c r="AG46" s="2" t="str">
        <f>Tab_Data_Flows[[#This Row],[E1_UoM]]</f>
        <v>Mg</v>
      </c>
      <c r="AH46" s="2">
        <f>_xlfn.XLOOKUP(Tab_Data_Flows[[#This Row],[Flow_Name]],Tab_Def_Flows[Flow_Name],Tab_Def_Flows[Flow_E5_Fraction'[%']],"N.A.",0,1)</f>
        <v>0</v>
      </c>
      <c r="AI46" s="2">
        <f>IF(H46="Yes",Tab_Data_Flows[[#This Row],[E5_Fraction'[%']]]*Tab_Data_Flows[[#This Row],[E1_value]],"N.A.")</f>
        <v>0</v>
      </c>
      <c r="AJ46" s="2" t="str">
        <f>Tab_Data_Flows[[#This Row],[E1_UoM]]</f>
        <v>Mg</v>
      </c>
      <c r="AK46" s="19">
        <f>_xlfn.XLOOKUP(Tab_Data_Flows[[#This Row],[Flow_Name]],Tab_Def_Flows[Flow_Name],Tab_Def_Flows[Flow_E6_Fraction'[%']],"N.A.",0,1)</f>
        <v>0</v>
      </c>
      <c r="AL46" s="2">
        <f>IF(Tab_Data_Flows[[#This Row],[Use_E6]]="Yes",Tab_Data_Flows[[#This Row],[E6_Fraction'[%']]]*Tab_Data_Flows[[#This Row],[E1_value]],"N.A.")</f>
        <v>0</v>
      </c>
      <c r="AM46" s="2" t="str">
        <f>Tab_Data_Flows[[#This Row],[E1_UoM]]</f>
        <v>Mg</v>
      </c>
    </row>
    <row r="47" spans="1:39" x14ac:dyDescent="0.25">
      <c r="A47" s="4">
        <f t="shared" si="1"/>
        <v>46</v>
      </c>
      <c r="B47" s="2" t="str">
        <f>_xlfn.XLOOKUP(C47,Tab_Def_Flows[Flow_Name],Tab_Def_Flows[Flow_ID],,0,)</f>
        <v>F__</v>
      </c>
      <c r="C47" s="18" t="s">
        <v>5</v>
      </c>
      <c r="D47" s="5" t="str">
        <f>_xlfn.XLOOKUP(C47,Tab_Def_Flows[Flow_Name],Tab_Def_Flows[Use_E1],,0,)</f>
        <v>Yes</v>
      </c>
      <c r="E47" s="5" t="str">
        <f>_xlfn.XLOOKUP(C47,Tab_Def_Flows[Flow_Name],Tab_Def_Flows[Use_E2],,0,)</f>
        <v>Yes</v>
      </c>
      <c r="F47" s="5" t="str">
        <f>_xlfn.XLOOKUP(C47,Tab_Def_Flows[Flow_Name],Tab_Def_Flows[Use_E3],,0,)</f>
        <v>Yes</v>
      </c>
      <c r="G47" s="5" t="str">
        <f>_xlfn.XLOOKUP(C47,Tab_Def_Flows[Flow_Name],Tab_Def_Flows[Use_E4],,0,)</f>
        <v>Yes</v>
      </c>
      <c r="H47" s="5" t="str">
        <f>_xlfn.XLOOKUP(C47,Tab_Def_Flows[Flow_Name],Tab_Def_Flows[Use_E5],,0,)</f>
        <v>Yes</v>
      </c>
      <c r="I47" s="5" t="str">
        <f>_xlfn.XLOOKUP(C47,Tab_Def_Flows[Flow_Name],Tab_Def_Flows[Use_E6],,0,)</f>
        <v>Yes</v>
      </c>
      <c r="J47" s="3"/>
      <c r="K47" s="3"/>
      <c r="L47" s="2" t="str">
        <f>'0_Configuration'!$C$41</f>
        <v>Mg</v>
      </c>
      <c r="M47" s="9"/>
      <c r="N47" s="9"/>
      <c r="O47" s="9"/>
      <c r="P47" s="9"/>
      <c r="Q47" s="18" t="s">
        <v>3</v>
      </c>
      <c r="R47" s="3"/>
      <c r="S47" s="3"/>
      <c r="T47" s="9"/>
      <c r="U47" s="9"/>
      <c r="V47" s="2">
        <f>_xlfn.XLOOKUP(Tab_Data_Flows[[#This Row],[Flow_Name]],Tab_Def_Flows[Flow_Name],Tab_Def_Flows[Flow_E1_Fraction'[%']],"N.A.",0,1)</f>
        <v>0</v>
      </c>
      <c r="W47" s="8">
        <f t="shared" si="0"/>
        <v>0</v>
      </c>
      <c r="X47" s="2" t="str">
        <f>Tab_Data_Flows[[#This Row],[UoM_Source]]</f>
        <v>Mg</v>
      </c>
      <c r="Y47" s="19">
        <f>_xlfn.XLOOKUP(Tab_Data_Flows[[#This Row],[Flow_Name]],Tab_Def_Flows[Flow_Name],Tab_Def_Flows[Flow_E2_Fraction'[%']],"N.A.",0,1)</f>
        <v>0</v>
      </c>
      <c r="Z47" s="2">
        <f>IF(D47="Yes",W47*Tab_Data_Flows[[#This Row],[E2_Fraction'[%']]],"N.A.")</f>
        <v>0</v>
      </c>
      <c r="AA47" s="2" t="str">
        <f>Tab_Data_Flows[[#This Row],[E1_UoM]]</f>
        <v>Mg</v>
      </c>
      <c r="AB47" s="19">
        <f>_xlfn.XLOOKUP(Tab_Data_Flows[[#This Row],[Flow_Name]],Tab_Def_Flows[Flow_Name],Tab_Def_Flows[Flow_E3_Fraction'[%']],"N.A.",0,1)</f>
        <v>0</v>
      </c>
      <c r="AC47" s="2">
        <f>IF(E47="Yes",AB47*Tab_Data_Flows[[#This Row],[E1_value]],"N.A.")</f>
        <v>0</v>
      </c>
      <c r="AD47" s="2" t="str">
        <f>Tab_Data_Flows[[#This Row],[E1_UoM]]</f>
        <v>Mg</v>
      </c>
      <c r="AE47" s="19">
        <f>_xlfn.XLOOKUP(Tab_Data_Flows[[#This Row],[Flow_Name]],Tab_Def_Flows[Flow_Name],Tab_Def_Flows[Flow_E4_Fraction'[%']],"N.A.",0,1)</f>
        <v>0</v>
      </c>
      <c r="AF47" s="2">
        <f>IF(H47="Yes",Tab_Data_Flows[[#This Row],[E4_Fraction'[%']]]*Tab_Data_Flows[[#This Row],[E1_value]],"N.A.")</f>
        <v>0</v>
      </c>
      <c r="AG47" s="2" t="str">
        <f>Tab_Data_Flows[[#This Row],[E1_UoM]]</f>
        <v>Mg</v>
      </c>
      <c r="AH47" s="2">
        <f>_xlfn.XLOOKUP(Tab_Data_Flows[[#This Row],[Flow_Name]],Tab_Def_Flows[Flow_Name],Tab_Def_Flows[Flow_E5_Fraction'[%']],"N.A.",0,1)</f>
        <v>0</v>
      </c>
      <c r="AI47" s="2">
        <f>IF(H47="Yes",Tab_Data_Flows[[#This Row],[E5_Fraction'[%']]]*Tab_Data_Flows[[#This Row],[E1_value]],"N.A.")</f>
        <v>0</v>
      </c>
      <c r="AJ47" s="2" t="str">
        <f>Tab_Data_Flows[[#This Row],[E1_UoM]]</f>
        <v>Mg</v>
      </c>
      <c r="AK47" s="19">
        <f>_xlfn.XLOOKUP(Tab_Data_Flows[[#This Row],[Flow_Name]],Tab_Def_Flows[Flow_Name],Tab_Def_Flows[Flow_E6_Fraction'[%']],"N.A.",0,1)</f>
        <v>0</v>
      </c>
      <c r="AL47" s="2">
        <f>IF(Tab_Data_Flows[[#This Row],[Use_E6]]="Yes",Tab_Data_Flows[[#This Row],[E6_Fraction'[%']]]*Tab_Data_Flows[[#This Row],[E1_value]],"N.A.")</f>
        <v>0</v>
      </c>
      <c r="AM47" s="2" t="str">
        <f>Tab_Data_Flows[[#This Row],[E1_UoM]]</f>
        <v>Mg</v>
      </c>
    </row>
    <row r="48" spans="1:39" x14ac:dyDescent="0.25">
      <c r="A48" s="4">
        <f t="shared" si="1"/>
        <v>47</v>
      </c>
      <c r="B48" s="2" t="str">
        <f>_xlfn.XLOOKUP(C48,Tab_Def_Flows[Flow_Name],Tab_Def_Flows[Flow_ID],,0,)</f>
        <v>F__</v>
      </c>
      <c r="C48" s="18" t="s">
        <v>5</v>
      </c>
      <c r="D48" s="5" t="str">
        <f>_xlfn.XLOOKUP(C48,Tab_Def_Flows[Flow_Name],Tab_Def_Flows[Use_E1],,0,)</f>
        <v>Yes</v>
      </c>
      <c r="E48" s="5" t="str">
        <f>_xlfn.XLOOKUP(C48,Tab_Def_Flows[Flow_Name],Tab_Def_Flows[Use_E2],,0,)</f>
        <v>Yes</v>
      </c>
      <c r="F48" s="5" t="str">
        <f>_xlfn.XLOOKUP(C48,Tab_Def_Flows[Flow_Name],Tab_Def_Flows[Use_E3],,0,)</f>
        <v>Yes</v>
      </c>
      <c r="G48" s="5" t="str">
        <f>_xlfn.XLOOKUP(C48,Tab_Def_Flows[Flow_Name],Tab_Def_Flows[Use_E4],,0,)</f>
        <v>Yes</v>
      </c>
      <c r="H48" s="5" t="str">
        <f>_xlfn.XLOOKUP(C48,Tab_Def_Flows[Flow_Name],Tab_Def_Flows[Use_E5],,0,)</f>
        <v>Yes</v>
      </c>
      <c r="I48" s="5" t="str">
        <f>_xlfn.XLOOKUP(C48,Tab_Def_Flows[Flow_Name],Tab_Def_Flows[Use_E6],,0,)</f>
        <v>Yes</v>
      </c>
      <c r="J48" s="3"/>
      <c r="K48" s="3"/>
      <c r="L48" s="2" t="str">
        <f>'0_Configuration'!$C$41</f>
        <v>Mg</v>
      </c>
      <c r="M48" s="9"/>
      <c r="N48" s="9"/>
      <c r="O48" s="9"/>
      <c r="P48" s="9"/>
      <c r="Q48" s="18" t="s">
        <v>3</v>
      </c>
      <c r="R48" s="3"/>
      <c r="S48" s="3"/>
      <c r="T48" s="9"/>
      <c r="U48" s="9"/>
      <c r="V48" s="2">
        <f>_xlfn.XLOOKUP(Tab_Data_Flows[[#This Row],[Flow_Name]],Tab_Def_Flows[Flow_Name],Tab_Def_Flows[Flow_E1_Fraction'[%']],"N.A.",0,1)</f>
        <v>0</v>
      </c>
      <c r="W48" s="8">
        <f t="shared" si="0"/>
        <v>0</v>
      </c>
      <c r="X48" s="2" t="str">
        <f>Tab_Data_Flows[[#This Row],[UoM_Source]]</f>
        <v>Mg</v>
      </c>
      <c r="Y48" s="19">
        <f>_xlfn.XLOOKUP(Tab_Data_Flows[[#This Row],[Flow_Name]],Tab_Def_Flows[Flow_Name],Tab_Def_Flows[Flow_E2_Fraction'[%']],"N.A.",0,1)</f>
        <v>0</v>
      </c>
      <c r="Z48" s="2">
        <f>IF(D48="Yes",W48*Tab_Data_Flows[[#This Row],[E2_Fraction'[%']]],"N.A.")</f>
        <v>0</v>
      </c>
      <c r="AA48" s="2" t="str">
        <f>Tab_Data_Flows[[#This Row],[E1_UoM]]</f>
        <v>Mg</v>
      </c>
      <c r="AB48" s="19">
        <f>_xlfn.XLOOKUP(Tab_Data_Flows[[#This Row],[Flow_Name]],Tab_Def_Flows[Flow_Name],Tab_Def_Flows[Flow_E3_Fraction'[%']],"N.A.",0,1)</f>
        <v>0</v>
      </c>
      <c r="AC48" s="2">
        <f>IF(E48="Yes",AB48*Tab_Data_Flows[[#This Row],[E1_value]],"N.A.")</f>
        <v>0</v>
      </c>
      <c r="AD48" s="2" t="str">
        <f>Tab_Data_Flows[[#This Row],[E1_UoM]]</f>
        <v>Mg</v>
      </c>
      <c r="AE48" s="19">
        <f>_xlfn.XLOOKUP(Tab_Data_Flows[[#This Row],[Flow_Name]],Tab_Def_Flows[Flow_Name],Tab_Def_Flows[Flow_E4_Fraction'[%']],"N.A.",0,1)</f>
        <v>0</v>
      </c>
      <c r="AF48" s="2">
        <f>IF(H48="Yes",Tab_Data_Flows[[#This Row],[E4_Fraction'[%']]]*Tab_Data_Flows[[#This Row],[E1_value]],"N.A.")</f>
        <v>0</v>
      </c>
      <c r="AG48" s="2" t="str">
        <f>Tab_Data_Flows[[#This Row],[E1_UoM]]</f>
        <v>Mg</v>
      </c>
      <c r="AH48" s="2">
        <f>_xlfn.XLOOKUP(Tab_Data_Flows[[#This Row],[Flow_Name]],Tab_Def_Flows[Flow_Name],Tab_Def_Flows[Flow_E5_Fraction'[%']],"N.A.",0,1)</f>
        <v>0</v>
      </c>
      <c r="AI48" s="2">
        <f>IF(H48="Yes",Tab_Data_Flows[[#This Row],[E5_Fraction'[%']]]*Tab_Data_Flows[[#This Row],[E1_value]],"N.A.")</f>
        <v>0</v>
      </c>
      <c r="AJ48" s="2" t="str">
        <f>Tab_Data_Flows[[#This Row],[E1_UoM]]</f>
        <v>Mg</v>
      </c>
      <c r="AK48" s="19">
        <f>_xlfn.XLOOKUP(Tab_Data_Flows[[#This Row],[Flow_Name]],Tab_Def_Flows[Flow_Name],Tab_Def_Flows[Flow_E6_Fraction'[%']],"N.A.",0,1)</f>
        <v>0</v>
      </c>
      <c r="AL48" s="2">
        <f>IF(Tab_Data_Flows[[#This Row],[Use_E6]]="Yes",Tab_Data_Flows[[#This Row],[E6_Fraction'[%']]]*Tab_Data_Flows[[#This Row],[E1_value]],"N.A.")</f>
        <v>0</v>
      </c>
      <c r="AM48" s="2" t="str">
        <f>Tab_Data_Flows[[#This Row],[E1_UoM]]</f>
        <v>Mg</v>
      </c>
    </row>
    <row r="49" spans="1:39" x14ac:dyDescent="0.25">
      <c r="A49" s="4">
        <f t="shared" si="1"/>
        <v>48</v>
      </c>
      <c r="B49" s="2" t="str">
        <f>_xlfn.XLOOKUP(C49,Tab_Def_Flows[Flow_Name],Tab_Def_Flows[Flow_ID],,0,)</f>
        <v>F__</v>
      </c>
      <c r="C49" s="18" t="s">
        <v>5</v>
      </c>
      <c r="D49" s="5" t="str">
        <f>_xlfn.XLOOKUP(C49,Tab_Def_Flows[Flow_Name],Tab_Def_Flows[Use_E1],,0,)</f>
        <v>Yes</v>
      </c>
      <c r="E49" s="5" t="str">
        <f>_xlfn.XLOOKUP(C49,Tab_Def_Flows[Flow_Name],Tab_Def_Flows[Use_E2],,0,)</f>
        <v>Yes</v>
      </c>
      <c r="F49" s="5" t="str">
        <f>_xlfn.XLOOKUP(C49,Tab_Def_Flows[Flow_Name],Tab_Def_Flows[Use_E3],,0,)</f>
        <v>Yes</v>
      </c>
      <c r="G49" s="5" t="str">
        <f>_xlfn.XLOOKUP(C49,Tab_Def_Flows[Flow_Name],Tab_Def_Flows[Use_E4],,0,)</f>
        <v>Yes</v>
      </c>
      <c r="H49" s="5" t="str">
        <f>_xlfn.XLOOKUP(C49,Tab_Def_Flows[Flow_Name],Tab_Def_Flows[Use_E5],,0,)</f>
        <v>Yes</v>
      </c>
      <c r="I49" s="5" t="str">
        <f>_xlfn.XLOOKUP(C49,Tab_Def_Flows[Flow_Name],Tab_Def_Flows[Use_E6],,0,)</f>
        <v>Yes</v>
      </c>
      <c r="J49" s="3"/>
      <c r="K49" s="3"/>
      <c r="L49" s="2" t="str">
        <f>'0_Configuration'!$C$41</f>
        <v>Mg</v>
      </c>
      <c r="M49" s="9"/>
      <c r="N49" s="9"/>
      <c r="O49" s="9"/>
      <c r="P49" s="9"/>
      <c r="Q49" s="18" t="s">
        <v>3</v>
      </c>
      <c r="R49" s="3"/>
      <c r="S49" s="3"/>
      <c r="T49" s="9"/>
      <c r="U49" s="9"/>
      <c r="V49" s="2">
        <f>_xlfn.XLOOKUP(Tab_Data_Flows[[#This Row],[Flow_Name]],Tab_Def_Flows[Flow_Name],Tab_Def_Flows[Flow_E1_Fraction'[%']],"N.A.",0,1)</f>
        <v>0</v>
      </c>
      <c r="W49" s="8">
        <f t="shared" si="0"/>
        <v>0</v>
      </c>
      <c r="X49" s="2" t="str">
        <f>Tab_Data_Flows[[#This Row],[UoM_Source]]</f>
        <v>Mg</v>
      </c>
      <c r="Y49" s="19">
        <f>_xlfn.XLOOKUP(Tab_Data_Flows[[#This Row],[Flow_Name]],Tab_Def_Flows[Flow_Name],Tab_Def_Flows[Flow_E2_Fraction'[%']],"N.A.",0,1)</f>
        <v>0</v>
      </c>
      <c r="Z49" s="2">
        <f>IF(D49="Yes",W49*Tab_Data_Flows[[#This Row],[E2_Fraction'[%']]],"N.A.")</f>
        <v>0</v>
      </c>
      <c r="AA49" s="2" t="str">
        <f>Tab_Data_Flows[[#This Row],[E1_UoM]]</f>
        <v>Mg</v>
      </c>
      <c r="AB49" s="19">
        <f>_xlfn.XLOOKUP(Tab_Data_Flows[[#This Row],[Flow_Name]],Tab_Def_Flows[Flow_Name],Tab_Def_Flows[Flow_E3_Fraction'[%']],"N.A.",0,1)</f>
        <v>0</v>
      </c>
      <c r="AC49" s="2">
        <f>IF(E49="Yes",AB49*Tab_Data_Flows[[#This Row],[E1_value]],"N.A.")</f>
        <v>0</v>
      </c>
      <c r="AD49" s="2" t="str">
        <f>Tab_Data_Flows[[#This Row],[E1_UoM]]</f>
        <v>Mg</v>
      </c>
      <c r="AE49" s="19">
        <f>_xlfn.XLOOKUP(Tab_Data_Flows[[#This Row],[Flow_Name]],Tab_Def_Flows[Flow_Name],Tab_Def_Flows[Flow_E4_Fraction'[%']],"N.A.",0,1)</f>
        <v>0</v>
      </c>
      <c r="AF49" s="2">
        <f>IF(H49="Yes",Tab_Data_Flows[[#This Row],[E4_Fraction'[%']]]*Tab_Data_Flows[[#This Row],[E1_value]],"N.A.")</f>
        <v>0</v>
      </c>
      <c r="AG49" s="2" t="str">
        <f>Tab_Data_Flows[[#This Row],[E1_UoM]]</f>
        <v>Mg</v>
      </c>
      <c r="AH49" s="2">
        <f>_xlfn.XLOOKUP(Tab_Data_Flows[[#This Row],[Flow_Name]],Tab_Def_Flows[Flow_Name],Tab_Def_Flows[Flow_E5_Fraction'[%']],"N.A.",0,1)</f>
        <v>0</v>
      </c>
      <c r="AI49" s="2">
        <f>IF(H49="Yes",Tab_Data_Flows[[#This Row],[E5_Fraction'[%']]]*Tab_Data_Flows[[#This Row],[E1_value]],"N.A.")</f>
        <v>0</v>
      </c>
      <c r="AJ49" s="2" t="str">
        <f>Tab_Data_Flows[[#This Row],[E1_UoM]]</f>
        <v>Mg</v>
      </c>
      <c r="AK49" s="19">
        <f>_xlfn.XLOOKUP(Tab_Data_Flows[[#This Row],[Flow_Name]],Tab_Def_Flows[Flow_Name],Tab_Def_Flows[Flow_E6_Fraction'[%']],"N.A.",0,1)</f>
        <v>0</v>
      </c>
      <c r="AL49" s="2">
        <f>IF(Tab_Data_Flows[[#This Row],[Use_E6]]="Yes",Tab_Data_Flows[[#This Row],[E6_Fraction'[%']]]*Tab_Data_Flows[[#This Row],[E1_value]],"N.A.")</f>
        <v>0</v>
      </c>
      <c r="AM49" s="2" t="str">
        <f>Tab_Data_Flows[[#This Row],[E1_UoM]]</f>
        <v>Mg</v>
      </c>
    </row>
    <row r="50" spans="1:39" x14ac:dyDescent="0.25">
      <c r="A50" s="4">
        <f t="shared" si="1"/>
        <v>49</v>
      </c>
      <c r="B50" s="2" t="str">
        <f>_xlfn.XLOOKUP(C50,Tab_Def_Flows[Flow_Name],Tab_Def_Flows[Flow_ID],,0,)</f>
        <v>F__</v>
      </c>
      <c r="C50" s="18" t="s">
        <v>5</v>
      </c>
      <c r="D50" s="5" t="str">
        <f>_xlfn.XLOOKUP(C50,Tab_Def_Flows[Flow_Name],Tab_Def_Flows[Use_E1],,0,)</f>
        <v>Yes</v>
      </c>
      <c r="E50" s="5" t="str">
        <f>_xlfn.XLOOKUP(C50,Tab_Def_Flows[Flow_Name],Tab_Def_Flows[Use_E2],,0,)</f>
        <v>Yes</v>
      </c>
      <c r="F50" s="5" t="str">
        <f>_xlfn.XLOOKUP(C50,Tab_Def_Flows[Flow_Name],Tab_Def_Flows[Use_E3],,0,)</f>
        <v>Yes</v>
      </c>
      <c r="G50" s="5" t="str">
        <f>_xlfn.XLOOKUP(C50,Tab_Def_Flows[Flow_Name],Tab_Def_Flows[Use_E4],,0,)</f>
        <v>Yes</v>
      </c>
      <c r="H50" s="5" t="str">
        <f>_xlfn.XLOOKUP(C50,Tab_Def_Flows[Flow_Name],Tab_Def_Flows[Use_E5],,0,)</f>
        <v>Yes</v>
      </c>
      <c r="I50" s="5" t="str">
        <f>_xlfn.XLOOKUP(C50,Tab_Def_Flows[Flow_Name],Tab_Def_Flows[Use_E6],,0,)</f>
        <v>Yes</v>
      </c>
      <c r="J50" s="3"/>
      <c r="K50" s="3"/>
      <c r="L50" s="2" t="str">
        <f>'0_Configuration'!$C$41</f>
        <v>Mg</v>
      </c>
      <c r="M50" s="9"/>
      <c r="N50" s="9"/>
      <c r="O50" s="9"/>
      <c r="P50" s="9"/>
      <c r="Q50" s="18" t="s">
        <v>3</v>
      </c>
      <c r="R50" s="3"/>
      <c r="S50" s="3"/>
      <c r="T50" s="9"/>
      <c r="U50" s="9"/>
      <c r="V50" s="2">
        <f>_xlfn.XLOOKUP(Tab_Data_Flows[[#This Row],[Flow_Name]],Tab_Def_Flows[Flow_Name],Tab_Def_Flows[Flow_E1_Fraction'[%']],"N.A.",0,1)</f>
        <v>0</v>
      </c>
      <c r="W50" s="8">
        <f t="shared" si="0"/>
        <v>0</v>
      </c>
      <c r="X50" s="2" t="str">
        <f>Tab_Data_Flows[[#This Row],[UoM_Source]]</f>
        <v>Mg</v>
      </c>
      <c r="Y50" s="19">
        <f>_xlfn.XLOOKUP(Tab_Data_Flows[[#This Row],[Flow_Name]],Tab_Def_Flows[Flow_Name],Tab_Def_Flows[Flow_E2_Fraction'[%']],"N.A.",0,1)</f>
        <v>0</v>
      </c>
      <c r="Z50" s="2">
        <f>IF(D50="Yes",W50*Tab_Data_Flows[[#This Row],[E2_Fraction'[%']]],"N.A.")</f>
        <v>0</v>
      </c>
      <c r="AA50" s="2" t="str">
        <f>Tab_Data_Flows[[#This Row],[E1_UoM]]</f>
        <v>Mg</v>
      </c>
      <c r="AB50" s="19">
        <f>_xlfn.XLOOKUP(Tab_Data_Flows[[#This Row],[Flow_Name]],Tab_Def_Flows[Flow_Name],Tab_Def_Flows[Flow_E3_Fraction'[%']],"N.A.",0,1)</f>
        <v>0</v>
      </c>
      <c r="AC50" s="2">
        <f>IF(E50="Yes",AB50*Tab_Data_Flows[[#This Row],[E1_value]],"N.A.")</f>
        <v>0</v>
      </c>
      <c r="AD50" s="2" t="str">
        <f>Tab_Data_Flows[[#This Row],[E1_UoM]]</f>
        <v>Mg</v>
      </c>
      <c r="AE50" s="19">
        <f>_xlfn.XLOOKUP(Tab_Data_Flows[[#This Row],[Flow_Name]],Tab_Def_Flows[Flow_Name],Tab_Def_Flows[Flow_E4_Fraction'[%']],"N.A.",0,1)</f>
        <v>0</v>
      </c>
      <c r="AF50" s="2">
        <f>IF(H50="Yes",Tab_Data_Flows[[#This Row],[E4_Fraction'[%']]]*Tab_Data_Flows[[#This Row],[E1_value]],"N.A.")</f>
        <v>0</v>
      </c>
      <c r="AG50" s="2" t="str">
        <f>Tab_Data_Flows[[#This Row],[E1_UoM]]</f>
        <v>Mg</v>
      </c>
      <c r="AH50" s="2">
        <f>_xlfn.XLOOKUP(Tab_Data_Flows[[#This Row],[Flow_Name]],Tab_Def_Flows[Flow_Name],Tab_Def_Flows[Flow_E5_Fraction'[%']],"N.A.",0,1)</f>
        <v>0</v>
      </c>
      <c r="AI50" s="2">
        <f>IF(H50="Yes",Tab_Data_Flows[[#This Row],[E5_Fraction'[%']]]*Tab_Data_Flows[[#This Row],[E1_value]],"N.A.")</f>
        <v>0</v>
      </c>
      <c r="AJ50" s="2" t="str">
        <f>Tab_Data_Flows[[#This Row],[E1_UoM]]</f>
        <v>Mg</v>
      </c>
      <c r="AK50" s="19">
        <f>_xlfn.XLOOKUP(Tab_Data_Flows[[#This Row],[Flow_Name]],Tab_Def_Flows[Flow_Name],Tab_Def_Flows[Flow_E6_Fraction'[%']],"N.A.",0,1)</f>
        <v>0</v>
      </c>
      <c r="AL50" s="2">
        <f>IF(Tab_Data_Flows[[#This Row],[Use_E6]]="Yes",Tab_Data_Flows[[#This Row],[E6_Fraction'[%']]]*Tab_Data_Flows[[#This Row],[E1_value]],"N.A.")</f>
        <v>0</v>
      </c>
      <c r="AM50" s="2" t="str">
        <f>Tab_Data_Flows[[#This Row],[E1_UoM]]</f>
        <v>Mg</v>
      </c>
    </row>
    <row r="51" spans="1:39" x14ac:dyDescent="0.25">
      <c r="A51" s="4">
        <f t="shared" si="1"/>
        <v>50</v>
      </c>
      <c r="B51" s="2" t="str">
        <f>_xlfn.XLOOKUP(C51,Tab_Def_Flows[Flow_Name],Tab_Def_Flows[Flow_ID],,0,)</f>
        <v>F__</v>
      </c>
      <c r="C51" s="18" t="s">
        <v>5</v>
      </c>
      <c r="D51" s="5" t="str">
        <f>_xlfn.XLOOKUP(C51,Tab_Def_Flows[Flow_Name],Tab_Def_Flows[Use_E1],,0,)</f>
        <v>Yes</v>
      </c>
      <c r="E51" s="5" t="str">
        <f>_xlfn.XLOOKUP(C51,Tab_Def_Flows[Flow_Name],Tab_Def_Flows[Use_E2],,0,)</f>
        <v>Yes</v>
      </c>
      <c r="F51" s="5" t="str">
        <f>_xlfn.XLOOKUP(C51,Tab_Def_Flows[Flow_Name],Tab_Def_Flows[Use_E3],,0,)</f>
        <v>Yes</v>
      </c>
      <c r="G51" s="5" t="str">
        <f>_xlfn.XLOOKUP(C51,Tab_Def_Flows[Flow_Name],Tab_Def_Flows[Use_E4],,0,)</f>
        <v>Yes</v>
      </c>
      <c r="H51" s="5" t="str">
        <f>_xlfn.XLOOKUP(C51,Tab_Def_Flows[Flow_Name],Tab_Def_Flows[Use_E5],,0,)</f>
        <v>Yes</v>
      </c>
      <c r="I51" s="5" t="str">
        <f>_xlfn.XLOOKUP(C51,Tab_Def_Flows[Flow_Name],Tab_Def_Flows[Use_E6],,0,)</f>
        <v>Yes</v>
      </c>
      <c r="J51" s="3"/>
      <c r="K51" s="3"/>
      <c r="L51" s="2" t="str">
        <f>'0_Configuration'!$C$41</f>
        <v>Mg</v>
      </c>
      <c r="M51" s="9"/>
      <c r="N51" s="9"/>
      <c r="O51" s="9"/>
      <c r="P51" s="9"/>
      <c r="Q51" s="18" t="s">
        <v>3</v>
      </c>
      <c r="R51" s="3"/>
      <c r="S51" s="3"/>
      <c r="T51" s="9"/>
      <c r="U51" s="9"/>
      <c r="V51" s="2">
        <f>_xlfn.XLOOKUP(Tab_Data_Flows[[#This Row],[Flow_Name]],Tab_Def_Flows[Flow_Name],Tab_Def_Flows[Flow_E1_Fraction'[%']],"N.A.",0,1)</f>
        <v>0</v>
      </c>
      <c r="W51" s="8">
        <f t="shared" si="0"/>
        <v>0</v>
      </c>
      <c r="X51" s="2" t="str">
        <f>Tab_Data_Flows[[#This Row],[UoM_Source]]</f>
        <v>Mg</v>
      </c>
      <c r="Y51" s="19">
        <f>_xlfn.XLOOKUP(Tab_Data_Flows[[#This Row],[Flow_Name]],Tab_Def_Flows[Flow_Name],Tab_Def_Flows[Flow_E2_Fraction'[%']],"N.A.",0,1)</f>
        <v>0</v>
      </c>
      <c r="Z51" s="2">
        <f>IF(D51="Yes",W51*Tab_Data_Flows[[#This Row],[E2_Fraction'[%']]],"N.A.")</f>
        <v>0</v>
      </c>
      <c r="AA51" s="2" t="str">
        <f>Tab_Data_Flows[[#This Row],[E1_UoM]]</f>
        <v>Mg</v>
      </c>
      <c r="AB51" s="19">
        <f>_xlfn.XLOOKUP(Tab_Data_Flows[[#This Row],[Flow_Name]],Tab_Def_Flows[Flow_Name],Tab_Def_Flows[Flow_E3_Fraction'[%']],"N.A.",0,1)</f>
        <v>0</v>
      </c>
      <c r="AC51" s="2">
        <f>IF(E51="Yes",AB51*Tab_Data_Flows[[#This Row],[E1_value]],"N.A.")</f>
        <v>0</v>
      </c>
      <c r="AD51" s="2" t="str">
        <f>Tab_Data_Flows[[#This Row],[E1_UoM]]</f>
        <v>Mg</v>
      </c>
      <c r="AE51" s="19">
        <f>_xlfn.XLOOKUP(Tab_Data_Flows[[#This Row],[Flow_Name]],Tab_Def_Flows[Flow_Name],Tab_Def_Flows[Flow_E4_Fraction'[%']],"N.A.",0,1)</f>
        <v>0</v>
      </c>
      <c r="AF51" s="2">
        <f>IF(H51="Yes",Tab_Data_Flows[[#This Row],[E4_Fraction'[%']]]*Tab_Data_Flows[[#This Row],[E1_value]],"N.A.")</f>
        <v>0</v>
      </c>
      <c r="AG51" s="2" t="str">
        <f>Tab_Data_Flows[[#This Row],[E1_UoM]]</f>
        <v>Mg</v>
      </c>
      <c r="AH51" s="2">
        <f>_xlfn.XLOOKUP(Tab_Data_Flows[[#This Row],[Flow_Name]],Tab_Def_Flows[Flow_Name],Tab_Def_Flows[Flow_E5_Fraction'[%']],"N.A.",0,1)</f>
        <v>0</v>
      </c>
      <c r="AI51" s="2">
        <f>IF(H51="Yes",Tab_Data_Flows[[#This Row],[E5_Fraction'[%']]]*Tab_Data_Flows[[#This Row],[E1_value]],"N.A.")</f>
        <v>0</v>
      </c>
      <c r="AJ51" s="2" t="str">
        <f>Tab_Data_Flows[[#This Row],[E1_UoM]]</f>
        <v>Mg</v>
      </c>
      <c r="AK51" s="19">
        <f>_xlfn.XLOOKUP(Tab_Data_Flows[[#This Row],[Flow_Name]],Tab_Def_Flows[Flow_Name],Tab_Def_Flows[Flow_E6_Fraction'[%']],"N.A.",0,1)</f>
        <v>0</v>
      </c>
      <c r="AL51" s="2">
        <f>IF(Tab_Data_Flows[[#This Row],[Use_E6]]="Yes",Tab_Data_Flows[[#This Row],[E6_Fraction'[%']]]*Tab_Data_Flows[[#This Row],[E1_value]],"N.A.")</f>
        <v>0</v>
      </c>
      <c r="AM51" s="2" t="str">
        <f>Tab_Data_Flows[[#This Row],[E1_UoM]]</f>
        <v>Mg</v>
      </c>
    </row>
    <row r="52" spans="1:39" x14ac:dyDescent="0.25">
      <c r="A52" s="4">
        <f t="shared" si="1"/>
        <v>51</v>
      </c>
      <c r="B52" s="2" t="str">
        <f>_xlfn.XLOOKUP(C52,Tab_Def_Flows[Flow_Name],Tab_Def_Flows[Flow_ID],,0,)</f>
        <v>F__</v>
      </c>
      <c r="C52" s="18" t="s">
        <v>5</v>
      </c>
      <c r="D52" s="5" t="str">
        <f>_xlfn.XLOOKUP(C52,Tab_Def_Flows[Flow_Name],Tab_Def_Flows[Use_E1],,0,)</f>
        <v>Yes</v>
      </c>
      <c r="E52" s="5" t="str">
        <f>_xlfn.XLOOKUP(C52,Tab_Def_Flows[Flow_Name],Tab_Def_Flows[Use_E2],,0,)</f>
        <v>Yes</v>
      </c>
      <c r="F52" s="5" t="str">
        <f>_xlfn.XLOOKUP(C52,Tab_Def_Flows[Flow_Name],Tab_Def_Flows[Use_E3],,0,)</f>
        <v>Yes</v>
      </c>
      <c r="G52" s="5" t="str">
        <f>_xlfn.XLOOKUP(C52,Tab_Def_Flows[Flow_Name],Tab_Def_Flows[Use_E4],,0,)</f>
        <v>Yes</v>
      </c>
      <c r="H52" s="5" t="str">
        <f>_xlfn.XLOOKUP(C52,Tab_Def_Flows[Flow_Name],Tab_Def_Flows[Use_E5],,0,)</f>
        <v>Yes</v>
      </c>
      <c r="I52" s="5" t="str">
        <f>_xlfn.XLOOKUP(C52,Tab_Def_Flows[Flow_Name],Tab_Def_Flows[Use_E6],,0,)</f>
        <v>Yes</v>
      </c>
      <c r="J52" s="3"/>
      <c r="K52" s="3"/>
      <c r="L52" s="2" t="str">
        <f>'0_Configuration'!$C$41</f>
        <v>Mg</v>
      </c>
      <c r="M52" s="9"/>
      <c r="N52" s="9"/>
      <c r="O52" s="9"/>
      <c r="P52" s="9"/>
      <c r="Q52" s="18" t="s">
        <v>3</v>
      </c>
      <c r="R52" s="3"/>
      <c r="S52" s="3"/>
      <c r="T52" s="9"/>
      <c r="U52" s="9"/>
      <c r="V52" s="2">
        <f>_xlfn.XLOOKUP(Tab_Data_Flows[[#This Row],[Flow_Name]],Tab_Def_Flows[Flow_Name],Tab_Def_Flows[Flow_E1_Fraction'[%']],"N.A.",0,1)</f>
        <v>0</v>
      </c>
      <c r="W52" s="8">
        <f t="shared" si="0"/>
        <v>0</v>
      </c>
      <c r="X52" s="2" t="str">
        <f>Tab_Data_Flows[[#This Row],[UoM_Source]]</f>
        <v>Mg</v>
      </c>
      <c r="Y52" s="19">
        <f>_xlfn.XLOOKUP(Tab_Data_Flows[[#This Row],[Flow_Name]],Tab_Def_Flows[Flow_Name],Tab_Def_Flows[Flow_E2_Fraction'[%']],"N.A.",0,1)</f>
        <v>0</v>
      </c>
      <c r="Z52" s="2">
        <f>IF(D52="Yes",W52*Tab_Data_Flows[[#This Row],[E2_Fraction'[%']]],"N.A.")</f>
        <v>0</v>
      </c>
      <c r="AA52" s="2" t="str">
        <f>Tab_Data_Flows[[#This Row],[E1_UoM]]</f>
        <v>Mg</v>
      </c>
      <c r="AB52" s="19">
        <f>_xlfn.XLOOKUP(Tab_Data_Flows[[#This Row],[Flow_Name]],Tab_Def_Flows[Flow_Name],Tab_Def_Flows[Flow_E3_Fraction'[%']],"N.A.",0,1)</f>
        <v>0</v>
      </c>
      <c r="AC52" s="2">
        <f>IF(E52="Yes",AB52*Tab_Data_Flows[[#This Row],[E1_value]],"N.A.")</f>
        <v>0</v>
      </c>
      <c r="AD52" s="2" t="str">
        <f>Tab_Data_Flows[[#This Row],[E1_UoM]]</f>
        <v>Mg</v>
      </c>
      <c r="AE52" s="19">
        <f>_xlfn.XLOOKUP(Tab_Data_Flows[[#This Row],[Flow_Name]],Tab_Def_Flows[Flow_Name],Tab_Def_Flows[Flow_E4_Fraction'[%']],"N.A.",0,1)</f>
        <v>0</v>
      </c>
      <c r="AF52" s="2">
        <f>IF(H52="Yes",Tab_Data_Flows[[#This Row],[E4_Fraction'[%']]]*Tab_Data_Flows[[#This Row],[E1_value]],"N.A.")</f>
        <v>0</v>
      </c>
      <c r="AG52" s="2" t="str">
        <f>Tab_Data_Flows[[#This Row],[E1_UoM]]</f>
        <v>Mg</v>
      </c>
      <c r="AH52" s="2">
        <f>_xlfn.XLOOKUP(Tab_Data_Flows[[#This Row],[Flow_Name]],Tab_Def_Flows[Flow_Name],Tab_Def_Flows[Flow_E5_Fraction'[%']],"N.A.",0,1)</f>
        <v>0</v>
      </c>
      <c r="AI52" s="2">
        <f>IF(H52="Yes",Tab_Data_Flows[[#This Row],[E5_Fraction'[%']]]*Tab_Data_Flows[[#This Row],[E1_value]],"N.A.")</f>
        <v>0</v>
      </c>
      <c r="AJ52" s="2" t="str">
        <f>Tab_Data_Flows[[#This Row],[E1_UoM]]</f>
        <v>Mg</v>
      </c>
      <c r="AK52" s="19">
        <f>_xlfn.XLOOKUP(Tab_Data_Flows[[#This Row],[Flow_Name]],Tab_Def_Flows[Flow_Name],Tab_Def_Flows[Flow_E6_Fraction'[%']],"N.A.",0,1)</f>
        <v>0</v>
      </c>
      <c r="AL52" s="2">
        <f>IF(Tab_Data_Flows[[#This Row],[Use_E6]]="Yes",Tab_Data_Flows[[#This Row],[E6_Fraction'[%']]]*Tab_Data_Flows[[#This Row],[E1_value]],"N.A.")</f>
        <v>0</v>
      </c>
      <c r="AM52" s="2" t="str">
        <f>Tab_Data_Flows[[#This Row],[E1_UoM]]</f>
        <v>Mg</v>
      </c>
    </row>
    <row r="53" spans="1:39" x14ac:dyDescent="0.25">
      <c r="A53" s="4">
        <f t="shared" si="1"/>
        <v>52</v>
      </c>
      <c r="B53" s="2" t="str">
        <f>_xlfn.XLOOKUP(C53,Tab_Def_Flows[Flow_Name],Tab_Def_Flows[Flow_ID],,0,)</f>
        <v>F__</v>
      </c>
      <c r="C53" s="18" t="s">
        <v>5</v>
      </c>
      <c r="D53" s="5" t="str">
        <f>_xlfn.XLOOKUP(C53,Tab_Def_Flows[Flow_Name],Tab_Def_Flows[Use_E1],,0,)</f>
        <v>Yes</v>
      </c>
      <c r="E53" s="5" t="str">
        <f>_xlfn.XLOOKUP(C53,Tab_Def_Flows[Flow_Name],Tab_Def_Flows[Use_E2],,0,)</f>
        <v>Yes</v>
      </c>
      <c r="F53" s="5" t="str">
        <f>_xlfn.XLOOKUP(C53,Tab_Def_Flows[Flow_Name],Tab_Def_Flows[Use_E3],,0,)</f>
        <v>Yes</v>
      </c>
      <c r="G53" s="5" t="str">
        <f>_xlfn.XLOOKUP(C53,Tab_Def_Flows[Flow_Name],Tab_Def_Flows[Use_E4],,0,)</f>
        <v>Yes</v>
      </c>
      <c r="H53" s="5" t="str">
        <f>_xlfn.XLOOKUP(C53,Tab_Def_Flows[Flow_Name],Tab_Def_Flows[Use_E5],,0,)</f>
        <v>Yes</v>
      </c>
      <c r="I53" s="5" t="str">
        <f>_xlfn.XLOOKUP(C53,Tab_Def_Flows[Flow_Name],Tab_Def_Flows[Use_E6],,0,)</f>
        <v>Yes</v>
      </c>
      <c r="J53" s="3"/>
      <c r="K53" s="3"/>
      <c r="L53" s="2" t="str">
        <f>'0_Configuration'!$C$41</f>
        <v>Mg</v>
      </c>
      <c r="M53" s="9"/>
      <c r="N53" s="9"/>
      <c r="O53" s="9"/>
      <c r="P53" s="9"/>
      <c r="Q53" s="18" t="s">
        <v>3</v>
      </c>
      <c r="R53" s="3"/>
      <c r="S53" s="3"/>
      <c r="T53" s="9"/>
      <c r="U53" s="9"/>
      <c r="V53" s="2">
        <f>_xlfn.XLOOKUP(Tab_Data_Flows[[#This Row],[Flow_Name]],Tab_Def_Flows[Flow_Name],Tab_Def_Flows[Flow_E1_Fraction'[%']],"N.A.",0,1)</f>
        <v>0</v>
      </c>
      <c r="W53" s="8">
        <f t="shared" si="0"/>
        <v>0</v>
      </c>
      <c r="X53" s="2" t="str">
        <f>Tab_Data_Flows[[#This Row],[UoM_Source]]</f>
        <v>Mg</v>
      </c>
      <c r="Y53" s="19">
        <f>_xlfn.XLOOKUP(Tab_Data_Flows[[#This Row],[Flow_Name]],Tab_Def_Flows[Flow_Name],Tab_Def_Flows[Flow_E2_Fraction'[%']],"N.A.",0,1)</f>
        <v>0</v>
      </c>
      <c r="Z53" s="2">
        <f>IF(D53="Yes",W53*Tab_Data_Flows[[#This Row],[E2_Fraction'[%']]],"N.A.")</f>
        <v>0</v>
      </c>
      <c r="AA53" s="2" t="str">
        <f>Tab_Data_Flows[[#This Row],[E1_UoM]]</f>
        <v>Mg</v>
      </c>
      <c r="AB53" s="19">
        <f>_xlfn.XLOOKUP(Tab_Data_Flows[[#This Row],[Flow_Name]],Tab_Def_Flows[Flow_Name],Tab_Def_Flows[Flow_E3_Fraction'[%']],"N.A.",0,1)</f>
        <v>0</v>
      </c>
      <c r="AC53" s="2">
        <f>IF(E53="Yes",AB53*Tab_Data_Flows[[#This Row],[E1_value]],"N.A.")</f>
        <v>0</v>
      </c>
      <c r="AD53" s="2" t="str">
        <f>Tab_Data_Flows[[#This Row],[E1_UoM]]</f>
        <v>Mg</v>
      </c>
      <c r="AE53" s="19">
        <f>_xlfn.XLOOKUP(Tab_Data_Flows[[#This Row],[Flow_Name]],Tab_Def_Flows[Flow_Name],Tab_Def_Flows[Flow_E4_Fraction'[%']],"N.A.",0,1)</f>
        <v>0</v>
      </c>
      <c r="AF53" s="2">
        <f>IF(H53="Yes",Tab_Data_Flows[[#This Row],[E4_Fraction'[%']]]*Tab_Data_Flows[[#This Row],[E1_value]],"N.A.")</f>
        <v>0</v>
      </c>
      <c r="AG53" s="2" t="str">
        <f>Tab_Data_Flows[[#This Row],[E1_UoM]]</f>
        <v>Mg</v>
      </c>
      <c r="AH53" s="2">
        <f>_xlfn.XLOOKUP(Tab_Data_Flows[[#This Row],[Flow_Name]],Tab_Def_Flows[Flow_Name],Tab_Def_Flows[Flow_E5_Fraction'[%']],"N.A.",0,1)</f>
        <v>0</v>
      </c>
      <c r="AI53" s="2">
        <f>IF(H53="Yes",Tab_Data_Flows[[#This Row],[E5_Fraction'[%']]]*Tab_Data_Flows[[#This Row],[E1_value]],"N.A.")</f>
        <v>0</v>
      </c>
      <c r="AJ53" s="2" t="str">
        <f>Tab_Data_Flows[[#This Row],[E1_UoM]]</f>
        <v>Mg</v>
      </c>
      <c r="AK53" s="19">
        <f>_xlfn.XLOOKUP(Tab_Data_Flows[[#This Row],[Flow_Name]],Tab_Def_Flows[Flow_Name],Tab_Def_Flows[Flow_E6_Fraction'[%']],"N.A.",0,1)</f>
        <v>0</v>
      </c>
      <c r="AL53" s="2">
        <f>IF(Tab_Data_Flows[[#This Row],[Use_E6]]="Yes",Tab_Data_Flows[[#This Row],[E6_Fraction'[%']]]*Tab_Data_Flows[[#This Row],[E1_value]],"N.A.")</f>
        <v>0</v>
      </c>
      <c r="AM53" s="2" t="str">
        <f>Tab_Data_Flows[[#This Row],[E1_UoM]]</f>
        <v>Mg</v>
      </c>
    </row>
    <row r="54" spans="1:39" x14ac:dyDescent="0.25">
      <c r="A54" s="4">
        <f t="shared" si="1"/>
        <v>53</v>
      </c>
      <c r="B54" s="2" t="str">
        <f>_xlfn.XLOOKUP(C54,Tab_Def_Flows[Flow_Name],Tab_Def_Flows[Flow_ID],,0,)</f>
        <v>F__</v>
      </c>
      <c r="C54" s="18" t="s">
        <v>5</v>
      </c>
      <c r="D54" s="5" t="str">
        <f>_xlfn.XLOOKUP(C54,Tab_Def_Flows[Flow_Name],Tab_Def_Flows[Use_E1],,0,)</f>
        <v>Yes</v>
      </c>
      <c r="E54" s="5" t="str">
        <f>_xlfn.XLOOKUP(C54,Tab_Def_Flows[Flow_Name],Tab_Def_Flows[Use_E2],,0,)</f>
        <v>Yes</v>
      </c>
      <c r="F54" s="5" t="str">
        <f>_xlfn.XLOOKUP(C54,Tab_Def_Flows[Flow_Name],Tab_Def_Flows[Use_E3],,0,)</f>
        <v>Yes</v>
      </c>
      <c r="G54" s="5" t="str">
        <f>_xlfn.XLOOKUP(C54,Tab_Def_Flows[Flow_Name],Tab_Def_Flows[Use_E4],,0,)</f>
        <v>Yes</v>
      </c>
      <c r="H54" s="5" t="str">
        <f>_xlfn.XLOOKUP(C54,Tab_Def_Flows[Flow_Name],Tab_Def_Flows[Use_E5],,0,)</f>
        <v>Yes</v>
      </c>
      <c r="I54" s="5" t="str">
        <f>_xlfn.XLOOKUP(C54,Tab_Def_Flows[Flow_Name],Tab_Def_Flows[Use_E6],,0,)</f>
        <v>Yes</v>
      </c>
      <c r="J54" s="3"/>
      <c r="K54" s="3"/>
      <c r="L54" s="2" t="str">
        <f>'0_Configuration'!$C$41</f>
        <v>Mg</v>
      </c>
      <c r="M54" s="9"/>
      <c r="N54" s="9"/>
      <c r="O54" s="9"/>
      <c r="P54" s="9"/>
      <c r="Q54" s="18" t="s">
        <v>3</v>
      </c>
      <c r="R54" s="3"/>
      <c r="S54" s="3"/>
      <c r="T54" s="9"/>
      <c r="U54" s="9"/>
      <c r="V54" s="2">
        <f>_xlfn.XLOOKUP(Tab_Data_Flows[[#This Row],[Flow_Name]],Tab_Def_Flows[Flow_Name],Tab_Def_Flows[Flow_E1_Fraction'[%']],"N.A.",0,1)</f>
        <v>0</v>
      </c>
      <c r="W54" s="8">
        <f t="shared" si="0"/>
        <v>0</v>
      </c>
      <c r="X54" s="2" t="str">
        <f>Tab_Data_Flows[[#This Row],[UoM_Source]]</f>
        <v>Mg</v>
      </c>
      <c r="Y54" s="19">
        <f>_xlfn.XLOOKUP(Tab_Data_Flows[[#This Row],[Flow_Name]],Tab_Def_Flows[Flow_Name],Tab_Def_Flows[Flow_E2_Fraction'[%']],"N.A.",0,1)</f>
        <v>0</v>
      </c>
      <c r="Z54" s="2">
        <f>IF(D54="Yes",W54*Tab_Data_Flows[[#This Row],[E2_Fraction'[%']]],"N.A.")</f>
        <v>0</v>
      </c>
      <c r="AA54" s="2" t="str">
        <f>Tab_Data_Flows[[#This Row],[E1_UoM]]</f>
        <v>Mg</v>
      </c>
      <c r="AB54" s="19">
        <f>_xlfn.XLOOKUP(Tab_Data_Flows[[#This Row],[Flow_Name]],Tab_Def_Flows[Flow_Name],Tab_Def_Flows[Flow_E3_Fraction'[%']],"N.A.",0,1)</f>
        <v>0</v>
      </c>
      <c r="AC54" s="2">
        <f>IF(E54="Yes",AB54*Tab_Data_Flows[[#This Row],[E1_value]],"N.A.")</f>
        <v>0</v>
      </c>
      <c r="AD54" s="2" t="str">
        <f>Tab_Data_Flows[[#This Row],[E1_UoM]]</f>
        <v>Mg</v>
      </c>
      <c r="AE54" s="19">
        <f>_xlfn.XLOOKUP(Tab_Data_Flows[[#This Row],[Flow_Name]],Tab_Def_Flows[Flow_Name],Tab_Def_Flows[Flow_E4_Fraction'[%']],"N.A.",0,1)</f>
        <v>0</v>
      </c>
      <c r="AF54" s="2">
        <f>IF(H54="Yes",Tab_Data_Flows[[#This Row],[E4_Fraction'[%']]]*Tab_Data_Flows[[#This Row],[E1_value]],"N.A.")</f>
        <v>0</v>
      </c>
      <c r="AG54" s="2" t="str">
        <f>Tab_Data_Flows[[#This Row],[E1_UoM]]</f>
        <v>Mg</v>
      </c>
      <c r="AH54" s="2">
        <f>_xlfn.XLOOKUP(Tab_Data_Flows[[#This Row],[Flow_Name]],Tab_Def_Flows[Flow_Name],Tab_Def_Flows[Flow_E5_Fraction'[%']],"N.A.",0,1)</f>
        <v>0</v>
      </c>
      <c r="AI54" s="2">
        <f>IF(H54="Yes",Tab_Data_Flows[[#This Row],[E5_Fraction'[%']]]*Tab_Data_Flows[[#This Row],[E1_value]],"N.A.")</f>
        <v>0</v>
      </c>
      <c r="AJ54" s="2" t="str">
        <f>Tab_Data_Flows[[#This Row],[E1_UoM]]</f>
        <v>Mg</v>
      </c>
      <c r="AK54" s="19">
        <f>_xlfn.XLOOKUP(Tab_Data_Flows[[#This Row],[Flow_Name]],Tab_Def_Flows[Flow_Name],Tab_Def_Flows[Flow_E6_Fraction'[%']],"N.A.",0,1)</f>
        <v>0</v>
      </c>
      <c r="AL54" s="2">
        <f>IF(Tab_Data_Flows[[#This Row],[Use_E6]]="Yes",Tab_Data_Flows[[#This Row],[E6_Fraction'[%']]]*Tab_Data_Flows[[#This Row],[E1_value]],"N.A.")</f>
        <v>0</v>
      </c>
      <c r="AM54" s="2" t="str">
        <f>Tab_Data_Flows[[#This Row],[E1_UoM]]</f>
        <v>Mg</v>
      </c>
    </row>
    <row r="55" spans="1:39" x14ac:dyDescent="0.25">
      <c r="A55" s="4">
        <f t="shared" si="1"/>
        <v>54</v>
      </c>
      <c r="B55" s="2" t="str">
        <f>_xlfn.XLOOKUP(C55,Tab_Def_Flows[Flow_Name],Tab_Def_Flows[Flow_ID],,0,)</f>
        <v>F__</v>
      </c>
      <c r="C55" s="18" t="s">
        <v>5</v>
      </c>
      <c r="D55" s="5" t="str">
        <f>_xlfn.XLOOKUP(C55,Tab_Def_Flows[Flow_Name],Tab_Def_Flows[Use_E1],,0,)</f>
        <v>Yes</v>
      </c>
      <c r="E55" s="5" t="str">
        <f>_xlfn.XLOOKUP(C55,Tab_Def_Flows[Flow_Name],Tab_Def_Flows[Use_E2],,0,)</f>
        <v>Yes</v>
      </c>
      <c r="F55" s="5" t="str">
        <f>_xlfn.XLOOKUP(C55,Tab_Def_Flows[Flow_Name],Tab_Def_Flows[Use_E3],,0,)</f>
        <v>Yes</v>
      </c>
      <c r="G55" s="5" t="str">
        <f>_xlfn.XLOOKUP(C55,Tab_Def_Flows[Flow_Name],Tab_Def_Flows[Use_E4],,0,)</f>
        <v>Yes</v>
      </c>
      <c r="H55" s="5" t="str">
        <f>_xlfn.XLOOKUP(C55,Tab_Def_Flows[Flow_Name],Tab_Def_Flows[Use_E5],,0,)</f>
        <v>Yes</v>
      </c>
      <c r="I55" s="5" t="str">
        <f>_xlfn.XLOOKUP(C55,Tab_Def_Flows[Flow_Name],Tab_Def_Flows[Use_E6],,0,)</f>
        <v>Yes</v>
      </c>
      <c r="J55" s="3"/>
      <c r="K55" s="3"/>
      <c r="L55" s="2" t="str">
        <f>'0_Configuration'!$C$41</f>
        <v>Mg</v>
      </c>
      <c r="M55" s="9"/>
      <c r="N55" s="9"/>
      <c r="O55" s="9"/>
      <c r="P55" s="9"/>
      <c r="Q55" s="18" t="s">
        <v>3</v>
      </c>
      <c r="R55" s="3"/>
      <c r="S55" s="3"/>
      <c r="T55" s="9"/>
      <c r="U55" s="9"/>
      <c r="V55" s="2">
        <f>_xlfn.XLOOKUP(Tab_Data_Flows[[#This Row],[Flow_Name]],Tab_Def_Flows[Flow_Name],Tab_Def_Flows[Flow_E1_Fraction'[%']],"N.A.",0,1)</f>
        <v>0</v>
      </c>
      <c r="W55" s="8">
        <f t="shared" si="0"/>
        <v>0</v>
      </c>
      <c r="X55" s="2" t="str">
        <f>Tab_Data_Flows[[#This Row],[UoM_Source]]</f>
        <v>Mg</v>
      </c>
      <c r="Y55" s="19">
        <f>_xlfn.XLOOKUP(Tab_Data_Flows[[#This Row],[Flow_Name]],Tab_Def_Flows[Flow_Name],Tab_Def_Flows[Flow_E2_Fraction'[%']],"N.A.",0,1)</f>
        <v>0</v>
      </c>
      <c r="Z55" s="2">
        <f>IF(D55="Yes",W55*Tab_Data_Flows[[#This Row],[E2_Fraction'[%']]],"N.A.")</f>
        <v>0</v>
      </c>
      <c r="AA55" s="2" t="str">
        <f>Tab_Data_Flows[[#This Row],[E1_UoM]]</f>
        <v>Mg</v>
      </c>
      <c r="AB55" s="19">
        <f>_xlfn.XLOOKUP(Tab_Data_Flows[[#This Row],[Flow_Name]],Tab_Def_Flows[Flow_Name],Tab_Def_Flows[Flow_E3_Fraction'[%']],"N.A.",0,1)</f>
        <v>0</v>
      </c>
      <c r="AC55" s="2">
        <f>IF(E55="Yes",AB55*Tab_Data_Flows[[#This Row],[E1_value]],"N.A.")</f>
        <v>0</v>
      </c>
      <c r="AD55" s="2" t="str">
        <f>Tab_Data_Flows[[#This Row],[E1_UoM]]</f>
        <v>Mg</v>
      </c>
      <c r="AE55" s="19">
        <f>_xlfn.XLOOKUP(Tab_Data_Flows[[#This Row],[Flow_Name]],Tab_Def_Flows[Flow_Name],Tab_Def_Flows[Flow_E4_Fraction'[%']],"N.A.",0,1)</f>
        <v>0</v>
      </c>
      <c r="AF55" s="2">
        <f>IF(H55="Yes",Tab_Data_Flows[[#This Row],[E4_Fraction'[%']]]*Tab_Data_Flows[[#This Row],[E1_value]],"N.A.")</f>
        <v>0</v>
      </c>
      <c r="AG55" s="2" t="str">
        <f>Tab_Data_Flows[[#This Row],[E1_UoM]]</f>
        <v>Mg</v>
      </c>
      <c r="AH55" s="2">
        <f>_xlfn.XLOOKUP(Tab_Data_Flows[[#This Row],[Flow_Name]],Tab_Def_Flows[Flow_Name],Tab_Def_Flows[Flow_E5_Fraction'[%']],"N.A.",0,1)</f>
        <v>0</v>
      </c>
      <c r="AI55" s="2">
        <f>IF(H55="Yes",Tab_Data_Flows[[#This Row],[E5_Fraction'[%']]]*Tab_Data_Flows[[#This Row],[E1_value]],"N.A.")</f>
        <v>0</v>
      </c>
      <c r="AJ55" s="2" t="str">
        <f>Tab_Data_Flows[[#This Row],[E1_UoM]]</f>
        <v>Mg</v>
      </c>
      <c r="AK55" s="19">
        <f>_xlfn.XLOOKUP(Tab_Data_Flows[[#This Row],[Flow_Name]],Tab_Def_Flows[Flow_Name],Tab_Def_Flows[Flow_E6_Fraction'[%']],"N.A.",0,1)</f>
        <v>0</v>
      </c>
      <c r="AL55" s="2">
        <f>IF(Tab_Data_Flows[[#This Row],[Use_E6]]="Yes",Tab_Data_Flows[[#This Row],[E6_Fraction'[%']]]*Tab_Data_Flows[[#This Row],[E1_value]],"N.A.")</f>
        <v>0</v>
      </c>
      <c r="AM55" s="2" t="str">
        <f>Tab_Data_Flows[[#This Row],[E1_UoM]]</f>
        <v>Mg</v>
      </c>
    </row>
    <row r="56" spans="1:39" x14ac:dyDescent="0.25">
      <c r="A56" s="4">
        <f t="shared" si="1"/>
        <v>55</v>
      </c>
      <c r="B56" s="2" t="str">
        <f>_xlfn.XLOOKUP(C56,Tab_Def_Flows[Flow_Name],Tab_Def_Flows[Flow_ID],,0,)</f>
        <v>F__</v>
      </c>
      <c r="C56" s="18" t="s">
        <v>5</v>
      </c>
      <c r="D56" s="5" t="str">
        <f>_xlfn.XLOOKUP(C56,Tab_Def_Flows[Flow_Name],Tab_Def_Flows[Use_E1],,0,)</f>
        <v>Yes</v>
      </c>
      <c r="E56" s="5" t="str">
        <f>_xlfn.XLOOKUP(C56,Tab_Def_Flows[Flow_Name],Tab_Def_Flows[Use_E2],,0,)</f>
        <v>Yes</v>
      </c>
      <c r="F56" s="5" t="str">
        <f>_xlfn.XLOOKUP(C56,Tab_Def_Flows[Flow_Name],Tab_Def_Flows[Use_E3],,0,)</f>
        <v>Yes</v>
      </c>
      <c r="G56" s="5" t="str">
        <f>_xlfn.XLOOKUP(C56,Tab_Def_Flows[Flow_Name],Tab_Def_Flows[Use_E4],,0,)</f>
        <v>Yes</v>
      </c>
      <c r="H56" s="5" t="str">
        <f>_xlfn.XLOOKUP(C56,Tab_Def_Flows[Flow_Name],Tab_Def_Flows[Use_E5],,0,)</f>
        <v>Yes</v>
      </c>
      <c r="I56" s="5" t="str">
        <f>_xlfn.XLOOKUP(C56,Tab_Def_Flows[Flow_Name],Tab_Def_Flows[Use_E6],,0,)</f>
        <v>Yes</v>
      </c>
      <c r="J56" s="3"/>
      <c r="K56" s="3"/>
      <c r="L56" s="2" t="str">
        <f>'0_Configuration'!$C$41</f>
        <v>Mg</v>
      </c>
      <c r="M56" s="9"/>
      <c r="N56" s="9"/>
      <c r="O56" s="9"/>
      <c r="P56" s="9"/>
      <c r="Q56" s="18" t="s">
        <v>3</v>
      </c>
      <c r="R56" s="3"/>
      <c r="S56" s="3"/>
      <c r="T56" s="9"/>
      <c r="U56" s="9"/>
      <c r="V56" s="2">
        <f>_xlfn.XLOOKUP(Tab_Data_Flows[[#This Row],[Flow_Name]],Tab_Def_Flows[Flow_Name],Tab_Def_Flows[Flow_E1_Fraction'[%']],"N.A.",0,1)</f>
        <v>0</v>
      </c>
      <c r="W56" s="8">
        <f t="shared" si="0"/>
        <v>0</v>
      </c>
      <c r="X56" s="2" t="str">
        <f>Tab_Data_Flows[[#This Row],[UoM_Source]]</f>
        <v>Mg</v>
      </c>
      <c r="Y56" s="19">
        <f>_xlfn.XLOOKUP(Tab_Data_Flows[[#This Row],[Flow_Name]],Tab_Def_Flows[Flow_Name],Tab_Def_Flows[Flow_E2_Fraction'[%']],"N.A.",0,1)</f>
        <v>0</v>
      </c>
      <c r="Z56" s="2">
        <f>IF(D56="Yes",W56*Tab_Data_Flows[[#This Row],[E2_Fraction'[%']]],"N.A.")</f>
        <v>0</v>
      </c>
      <c r="AA56" s="2" t="str">
        <f>Tab_Data_Flows[[#This Row],[E1_UoM]]</f>
        <v>Mg</v>
      </c>
      <c r="AB56" s="19">
        <f>_xlfn.XLOOKUP(Tab_Data_Flows[[#This Row],[Flow_Name]],Tab_Def_Flows[Flow_Name],Tab_Def_Flows[Flow_E3_Fraction'[%']],"N.A.",0,1)</f>
        <v>0</v>
      </c>
      <c r="AC56" s="2">
        <f>IF(E56="Yes",AB56*Tab_Data_Flows[[#This Row],[E1_value]],"N.A.")</f>
        <v>0</v>
      </c>
      <c r="AD56" s="2" t="str">
        <f>Tab_Data_Flows[[#This Row],[E1_UoM]]</f>
        <v>Mg</v>
      </c>
      <c r="AE56" s="19">
        <f>_xlfn.XLOOKUP(Tab_Data_Flows[[#This Row],[Flow_Name]],Tab_Def_Flows[Flow_Name],Tab_Def_Flows[Flow_E4_Fraction'[%']],"N.A.",0,1)</f>
        <v>0</v>
      </c>
      <c r="AF56" s="2">
        <f>IF(H56="Yes",Tab_Data_Flows[[#This Row],[E4_Fraction'[%']]]*Tab_Data_Flows[[#This Row],[E1_value]],"N.A.")</f>
        <v>0</v>
      </c>
      <c r="AG56" s="2" t="str">
        <f>Tab_Data_Flows[[#This Row],[E1_UoM]]</f>
        <v>Mg</v>
      </c>
      <c r="AH56" s="2">
        <f>_xlfn.XLOOKUP(Tab_Data_Flows[[#This Row],[Flow_Name]],Tab_Def_Flows[Flow_Name],Tab_Def_Flows[Flow_E5_Fraction'[%']],"N.A.",0,1)</f>
        <v>0</v>
      </c>
      <c r="AI56" s="2">
        <f>IF(H56="Yes",Tab_Data_Flows[[#This Row],[E5_Fraction'[%']]]*Tab_Data_Flows[[#This Row],[E1_value]],"N.A.")</f>
        <v>0</v>
      </c>
      <c r="AJ56" s="2" t="str">
        <f>Tab_Data_Flows[[#This Row],[E1_UoM]]</f>
        <v>Mg</v>
      </c>
      <c r="AK56" s="19">
        <f>_xlfn.XLOOKUP(Tab_Data_Flows[[#This Row],[Flow_Name]],Tab_Def_Flows[Flow_Name],Tab_Def_Flows[Flow_E6_Fraction'[%']],"N.A.",0,1)</f>
        <v>0</v>
      </c>
      <c r="AL56" s="2">
        <f>IF(Tab_Data_Flows[[#This Row],[Use_E6]]="Yes",Tab_Data_Flows[[#This Row],[E6_Fraction'[%']]]*Tab_Data_Flows[[#This Row],[E1_value]],"N.A.")</f>
        <v>0</v>
      </c>
      <c r="AM56" s="2" t="str">
        <f>Tab_Data_Flows[[#This Row],[E1_UoM]]</f>
        <v>Mg</v>
      </c>
    </row>
    <row r="57" spans="1:39" x14ac:dyDescent="0.25">
      <c r="A57" s="4">
        <f t="shared" si="1"/>
        <v>56</v>
      </c>
      <c r="B57" s="2" t="str">
        <f>_xlfn.XLOOKUP(C57,Tab_Def_Flows[Flow_Name],Tab_Def_Flows[Flow_ID],,0,)</f>
        <v>F__</v>
      </c>
      <c r="C57" s="18" t="s">
        <v>5</v>
      </c>
      <c r="D57" s="5" t="str">
        <f>_xlfn.XLOOKUP(C57,Tab_Def_Flows[Flow_Name],Tab_Def_Flows[Use_E1],,0,)</f>
        <v>Yes</v>
      </c>
      <c r="E57" s="5" t="str">
        <f>_xlfn.XLOOKUP(C57,Tab_Def_Flows[Flow_Name],Tab_Def_Flows[Use_E2],,0,)</f>
        <v>Yes</v>
      </c>
      <c r="F57" s="5" t="str">
        <f>_xlfn.XLOOKUP(C57,Tab_Def_Flows[Flow_Name],Tab_Def_Flows[Use_E3],,0,)</f>
        <v>Yes</v>
      </c>
      <c r="G57" s="5" t="str">
        <f>_xlfn.XLOOKUP(C57,Tab_Def_Flows[Flow_Name],Tab_Def_Flows[Use_E4],,0,)</f>
        <v>Yes</v>
      </c>
      <c r="H57" s="5" t="str">
        <f>_xlfn.XLOOKUP(C57,Tab_Def_Flows[Flow_Name],Tab_Def_Flows[Use_E5],,0,)</f>
        <v>Yes</v>
      </c>
      <c r="I57" s="5" t="str">
        <f>_xlfn.XLOOKUP(C57,Tab_Def_Flows[Flow_Name],Tab_Def_Flows[Use_E6],,0,)</f>
        <v>Yes</v>
      </c>
      <c r="J57" s="3"/>
      <c r="K57" s="3"/>
      <c r="L57" s="2" t="str">
        <f>'0_Configuration'!$C$41</f>
        <v>Mg</v>
      </c>
      <c r="M57" s="9"/>
      <c r="N57" s="9"/>
      <c r="O57" s="9"/>
      <c r="P57" s="9"/>
      <c r="Q57" s="18" t="s">
        <v>3</v>
      </c>
      <c r="R57" s="3"/>
      <c r="S57" s="3"/>
      <c r="T57" s="9"/>
      <c r="U57" s="9"/>
      <c r="V57" s="2">
        <f>_xlfn.XLOOKUP(Tab_Data_Flows[[#This Row],[Flow_Name]],Tab_Def_Flows[Flow_Name],Tab_Def_Flows[Flow_E1_Fraction'[%']],"N.A.",0,1)</f>
        <v>0</v>
      </c>
      <c r="W57" s="8">
        <f t="shared" si="0"/>
        <v>0</v>
      </c>
      <c r="X57" s="2" t="str">
        <f>Tab_Data_Flows[[#This Row],[UoM_Source]]</f>
        <v>Mg</v>
      </c>
      <c r="Y57" s="19">
        <f>_xlfn.XLOOKUP(Tab_Data_Flows[[#This Row],[Flow_Name]],Tab_Def_Flows[Flow_Name],Tab_Def_Flows[Flow_E2_Fraction'[%']],"N.A.",0,1)</f>
        <v>0</v>
      </c>
      <c r="Z57" s="2">
        <f>IF(D57="Yes",W57*Tab_Data_Flows[[#This Row],[E2_Fraction'[%']]],"N.A.")</f>
        <v>0</v>
      </c>
      <c r="AA57" s="2" t="str">
        <f>Tab_Data_Flows[[#This Row],[E1_UoM]]</f>
        <v>Mg</v>
      </c>
      <c r="AB57" s="19">
        <f>_xlfn.XLOOKUP(Tab_Data_Flows[[#This Row],[Flow_Name]],Tab_Def_Flows[Flow_Name],Tab_Def_Flows[Flow_E3_Fraction'[%']],"N.A.",0,1)</f>
        <v>0</v>
      </c>
      <c r="AC57" s="2">
        <f>IF(E57="Yes",AB57*Tab_Data_Flows[[#This Row],[E1_value]],"N.A.")</f>
        <v>0</v>
      </c>
      <c r="AD57" s="2" t="str">
        <f>Tab_Data_Flows[[#This Row],[E1_UoM]]</f>
        <v>Mg</v>
      </c>
      <c r="AE57" s="19">
        <f>_xlfn.XLOOKUP(Tab_Data_Flows[[#This Row],[Flow_Name]],Tab_Def_Flows[Flow_Name],Tab_Def_Flows[Flow_E4_Fraction'[%']],"N.A.",0,1)</f>
        <v>0</v>
      </c>
      <c r="AF57" s="2">
        <f>IF(H57="Yes",Tab_Data_Flows[[#This Row],[E4_Fraction'[%']]]*Tab_Data_Flows[[#This Row],[E1_value]],"N.A.")</f>
        <v>0</v>
      </c>
      <c r="AG57" s="2" t="str">
        <f>Tab_Data_Flows[[#This Row],[E1_UoM]]</f>
        <v>Mg</v>
      </c>
      <c r="AH57" s="2">
        <f>_xlfn.XLOOKUP(Tab_Data_Flows[[#This Row],[Flow_Name]],Tab_Def_Flows[Flow_Name],Tab_Def_Flows[Flow_E5_Fraction'[%']],"N.A.",0,1)</f>
        <v>0</v>
      </c>
      <c r="AI57" s="2">
        <f>IF(H57="Yes",Tab_Data_Flows[[#This Row],[E5_Fraction'[%']]]*Tab_Data_Flows[[#This Row],[E1_value]],"N.A.")</f>
        <v>0</v>
      </c>
      <c r="AJ57" s="2" t="str">
        <f>Tab_Data_Flows[[#This Row],[E1_UoM]]</f>
        <v>Mg</v>
      </c>
      <c r="AK57" s="19">
        <f>_xlfn.XLOOKUP(Tab_Data_Flows[[#This Row],[Flow_Name]],Tab_Def_Flows[Flow_Name],Tab_Def_Flows[Flow_E6_Fraction'[%']],"N.A.",0,1)</f>
        <v>0</v>
      </c>
      <c r="AL57" s="2">
        <f>IF(Tab_Data_Flows[[#This Row],[Use_E6]]="Yes",Tab_Data_Flows[[#This Row],[E6_Fraction'[%']]]*Tab_Data_Flows[[#This Row],[E1_value]],"N.A.")</f>
        <v>0</v>
      </c>
      <c r="AM57" s="2" t="str">
        <f>Tab_Data_Flows[[#This Row],[E1_UoM]]</f>
        <v>Mg</v>
      </c>
    </row>
    <row r="58" spans="1:39" x14ac:dyDescent="0.25">
      <c r="A58" s="4">
        <f t="shared" si="1"/>
        <v>57</v>
      </c>
      <c r="B58" s="2" t="str">
        <f>_xlfn.XLOOKUP(C58,Tab_Def_Flows[Flow_Name],Tab_Def_Flows[Flow_ID],,0,)</f>
        <v>F__</v>
      </c>
      <c r="C58" s="18" t="s">
        <v>5</v>
      </c>
      <c r="D58" s="5" t="str">
        <f>_xlfn.XLOOKUP(C58,Tab_Def_Flows[Flow_Name],Tab_Def_Flows[Use_E1],,0,)</f>
        <v>Yes</v>
      </c>
      <c r="E58" s="5" t="str">
        <f>_xlfn.XLOOKUP(C58,Tab_Def_Flows[Flow_Name],Tab_Def_Flows[Use_E2],,0,)</f>
        <v>Yes</v>
      </c>
      <c r="F58" s="5" t="str">
        <f>_xlfn.XLOOKUP(C58,Tab_Def_Flows[Flow_Name],Tab_Def_Flows[Use_E3],,0,)</f>
        <v>Yes</v>
      </c>
      <c r="G58" s="5" t="str">
        <f>_xlfn.XLOOKUP(C58,Tab_Def_Flows[Flow_Name],Tab_Def_Flows[Use_E4],,0,)</f>
        <v>Yes</v>
      </c>
      <c r="H58" s="5" t="str">
        <f>_xlfn.XLOOKUP(C58,Tab_Def_Flows[Flow_Name],Tab_Def_Flows[Use_E5],,0,)</f>
        <v>Yes</v>
      </c>
      <c r="I58" s="5" t="str">
        <f>_xlfn.XLOOKUP(C58,Tab_Def_Flows[Flow_Name],Tab_Def_Flows[Use_E6],,0,)</f>
        <v>Yes</v>
      </c>
      <c r="J58" s="3"/>
      <c r="K58" s="3"/>
      <c r="L58" s="2" t="str">
        <f>'0_Configuration'!$C$41</f>
        <v>Mg</v>
      </c>
      <c r="M58" s="9"/>
      <c r="N58" s="9"/>
      <c r="O58" s="9"/>
      <c r="P58" s="9"/>
      <c r="Q58" s="18" t="s">
        <v>3</v>
      </c>
      <c r="R58" s="3"/>
      <c r="S58" s="3"/>
      <c r="T58" s="9"/>
      <c r="U58" s="9"/>
      <c r="V58" s="2">
        <f>_xlfn.XLOOKUP(Tab_Data_Flows[[#This Row],[Flow_Name]],Tab_Def_Flows[Flow_Name],Tab_Def_Flows[Flow_E1_Fraction'[%']],"N.A.",0,1)</f>
        <v>0</v>
      </c>
      <c r="W58" s="8">
        <f t="shared" si="0"/>
        <v>0</v>
      </c>
      <c r="X58" s="2" t="str">
        <f>Tab_Data_Flows[[#This Row],[UoM_Source]]</f>
        <v>Mg</v>
      </c>
      <c r="Y58" s="19">
        <f>_xlfn.XLOOKUP(Tab_Data_Flows[[#This Row],[Flow_Name]],Tab_Def_Flows[Flow_Name],Tab_Def_Flows[Flow_E2_Fraction'[%']],"N.A.",0,1)</f>
        <v>0</v>
      </c>
      <c r="Z58" s="2">
        <f>IF(D58="Yes",W58*Tab_Data_Flows[[#This Row],[E2_Fraction'[%']]],"N.A.")</f>
        <v>0</v>
      </c>
      <c r="AA58" s="2" t="str">
        <f>Tab_Data_Flows[[#This Row],[E1_UoM]]</f>
        <v>Mg</v>
      </c>
      <c r="AB58" s="19">
        <f>_xlfn.XLOOKUP(Tab_Data_Flows[[#This Row],[Flow_Name]],Tab_Def_Flows[Flow_Name],Tab_Def_Flows[Flow_E3_Fraction'[%']],"N.A.",0,1)</f>
        <v>0</v>
      </c>
      <c r="AC58" s="2">
        <f>IF(E58="Yes",AB58*Tab_Data_Flows[[#This Row],[E1_value]],"N.A.")</f>
        <v>0</v>
      </c>
      <c r="AD58" s="2" t="str">
        <f>Tab_Data_Flows[[#This Row],[E1_UoM]]</f>
        <v>Mg</v>
      </c>
      <c r="AE58" s="19">
        <f>_xlfn.XLOOKUP(Tab_Data_Flows[[#This Row],[Flow_Name]],Tab_Def_Flows[Flow_Name],Tab_Def_Flows[Flow_E4_Fraction'[%']],"N.A.",0,1)</f>
        <v>0</v>
      </c>
      <c r="AF58" s="2">
        <f>IF(H58="Yes",Tab_Data_Flows[[#This Row],[E4_Fraction'[%']]]*Tab_Data_Flows[[#This Row],[E1_value]],"N.A.")</f>
        <v>0</v>
      </c>
      <c r="AG58" s="2" t="str">
        <f>Tab_Data_Flows[[#This Row],[E1_UoM]]</f>
        <v>Mg</v>
      </c>
      <c r="AH58" s="2">
        <f>_xlfn.XLOOKUP(Tab_Data_Flows[[#This Row],[Flow_Name]],Tab_Def_Flows[Flow_Name],Tab_Def_Flows[Flow_E5_Fraction'[%']],"N.A.",0,1)</f>
        <v>0</v>
      </c>
      <c r="AI58" s="2">
        <f>IF(H58="Yes",Tab_Data_Flows[[#This Row],[E5_Fraction'[%']]]*Tab_Data_Flows[[#This Row],[E1_value]],"N.A.")</f>
        <v>0</v>
      </c>
      <c r="AJ58" s="2" t="str">
        <f>Tab_Data_Flows[[#This Row],[E1_UoM]]</f>
        <v>Mg</v>
      </c>
      <c r="AK58" s="19">
        <f>_xlfn.XLOOKUP(Tab_Data_Flows[[#This Row],[Flow_Name]],Tab_Def_Flows[Flow_Name],Tab_Def_Flows[Flow_E6_Fraction'[%']],"N.A.",0,1)</f>
        <v>0</v>
      </c>
      <c r="AL58" s="2">
        <f>IF(Tab_Data_Flows[[#This Row],[Use_E6]]="Yes",Tab_Data_Flows[[#This Row],[E6_Fraction'[%']]]*Tab_Data_Flows[[#This Row],[E1_value]],"N.A.")</f>
        <v>0</v>
      </c>
      <c r="AM58" s="2" t="str">
        <f>Tab_Data_Flows[[#This Row],[E1_UoM]]</f>
        <v>Mg</v>
      </c>
    </row>
    <row r="59" spans="1:39" x14ac:dyDescent="0.25">
      <c r="A59" s="4">
        <f t="shared" si="1"/>
        <v>58</v>
      </c>
      <c r="B59" s="2" t="str">
        <f>_xlfn.XLOOKUP(C59,Tab_Def_Flows[Flow_Name],Tab_Def_Flows[Flow_ID],,0,)</f>
        <v>F__</v>
      </c>
      <c r="C59" s="18" t="s">
        <v>5</v>
      </c>
      <c r="D59" s="5" t="str">
        <f>_xlfn.XLOOKUP(C59,Tab_Def_Flows[Flow_Name],Tab_Def_Flows[Use_E1],,0,)</f>
        <v>Yes</v>
      </c>
      <c r="E59" s="5" t="str">
        <f>_xlfn.XLOOKUP(C59,Tab_Def_Flows[Flow_Name],Tab_Def_Flows[Use_E2],,0,)</f>
        <v>Yes</v>
      </c>
      <c r="F59" s="5" t="str">
        <f>_xlfn.XLOOKUP(C59,Tab_Def_Flows[Flow_Name],Tab_Def_Flows[Use_E3],,0,)</f>
        <v>Yes</v>
      </c>
      <c r="G59" s="5" t="str">
        <f>_xlfn.XLOOKUP(C59,Tab_Def_Flows[Flow_Name],Tab_Def_Flows[Use_E4],,0,)</f>
        <v>Yes</v>
      </c>
      <c r="H59" s="5" t="str">
        <f>_xlfn.XLOOKUP(C59,Tab_Def_Flows[Flow_Name],Tab_Def_Flows[Use_E5],,0,)</f>
        <v>Yes</v>
      </c>
      <c r="I59" s="5" t="str">
        <f>_xlfn.XLOOKUP(C59,Tab_Def_Flows[Flow_Name],Tab_Def_Flows[Use_E6],,0,)</f>
        <v>Yes</v>
      </c>
      <c r="J59" s="3"/>
      <c r="K59" s="3"/>
      <c r="L59" s="2" t="str">
        <f>'0_Configuration'!$C$41</f>
        <v>Mg</v>
      </c>
      <c r="M59" s="9"/>
      <c r="N59" s="9"/>
      <c r="O59" s="9"/>
      <c r="P59" s="9"/>
      <c r="Q59" s="18" t="s">
        <v>3</v>
      </c>
      <c r="R59" s="3"/>
      <c r="S59" s="3"/>
      <c r="T59" s="9"/>
      <c r="U59" s="9"/>
      <c r="V59" s="2">
        <f>_xlfn.XLOOKUP(Tab_Data_Flows[[#This Row],[Flow_Name]],Tab_Def_Flows[Flow_Name],Tab_Def_Flows[Flow_E1_Fraction'[%']],"N.A.",0,1)</f>
        <v>0</v>
      </c>
      <c r="W59" s="8">
        <f t="shared" si="0"/>
        <v>0</v>
      </c>
      <c r="X59" s="2" t="str">
        <f>Tab_Data_Flows[[#This Row],[UoM_Source]]</f>
        <v>Mg</v>
      </c>
      <c r="Y59" s="19">
        <f>_xlfn.XLOOKUP(Tab_Data_Flows[[#This Row],[Flow_Name]],Tab_Def_Flows[Flow_Name],Tab_Def_Flows[Flow_E2_Fraction'[%']],"N.A.",0,1)</f>
        <v>0</v>
      </c>
      <c r="Z59" s="2">
        <f>IF(D59="Yes",W59*Tab_Data_Flows[[#This Row],[E2_Fraction'[%']]],"N.A.")</f>
        <v>0</v>
      </c>
      <c r="AA59" s="2" t="str">
        <f>Tab_Data_Flows[[#This Row],[E1_UoM]]</f>
        <v>Mg</v>
      </c>
      <c r="AB59" s="19">
        <f>_xlfn.XLOOKUP(Tab_Data_Flows[[#This Row],[Flow_Name]],Tab_Def_Flows[Flow_Name],Tab_Def_Flows[Flow_E3_Fraction'[%']],"N.A.",0,1)</f>
        <v>0</v>
      </c>
      <c r="AC59" s="2">
        <f>IF(E59="Yes",AB59*Tab_Data_Flows[[#This Row],[E1_value]],"N.A.")</f>
        <v>0</v>
      </c>
      <c r="AD59" s="2" t="str">
        <f>Tab_Data_Flows[[#This Row],[E1_UoM]]</f>
        <v>Mg</v>
      </c>
      <c r="AE59" s="19">
        <f>_xlfn.XLOOKUP(Tab_Data_Flows[[#This Row],[Flow_Name]],Tab_Def_Flows[Flow_Name],Tab_Def_Flows[Flow_E4_Fraction'[%']],"N.A.",0,1)</f>
        <v>0</v>
      </c>
      <c r="AF59" s="2">
        <f>IF(H59="Yes",Tab_Data_Flows[[#This Row],[E4_Fraction'[%']]]*Tab_Data_Flows[[#This Row],[E1_value]],"N.A.")</f>
        <v>0</v>
      </c>
      <c r="AG59" s="2" t="str">
        <f>Tab_Data_Flows[[#This Row],[E1_UoM]]</f>
        <v>Mg</v>
      </c>
      <c r="AH59" s="2">
        <f>_xlfn.XLOOKUP(Tab_Data_Flows[[#This Row],[Flow_Name]],Tab_Def_Flows[Flow_Name],Tab_Def_Flows[Flow_E5_Fraction'[%']],"N.A.",0,1)</f>
        <v>0</v>
      </c>
      <c r="AI59" s="2">
        <f>IF(H59="Yes",Tab_Data_Flows[[#This Row],[E5_Fraction'[%']]]*Tab_Data_Flows[[#This Row],[E1_value]],"N.A.")</f>
        <v>0</v>
      </c>
      <c r="AJ59" s="2" t="str">
        <f>Tab_Data_Flows[[#This Row],[E1_UoM]]</f>
        <v>Mg</v>
      </c>
      <c r="AK59" s="19">
        <f>_xlfn.XLOOKUP(Tab_Data_Flows[[#This Row],[Flow_Name]],Tab_Def_Flows[Flow_Name],Tab_Def_Flows[Flow_E6_Fraction'[%']],"N.A.",0,1)</f>
        <v>0</v>
      </c>
      <c r="AL59" s="2">
        <f>IF(Tab_Data_Flows[[#This Row],[Use_E6]]="Yes",Tab_Data_Flows[[#This Row],[E6_Fraction'[%']]]*Tab_Data_Flows[[#This Row],[E1_value]],"N.A.")</f>
        <v>0</v>
      </c>
      <c r="AM59" s="2" t="str">
        <f>Tab_Data_Flows[[#This Row],[E1_UoM]]</f>
        <v>Mg</v>
      </c>
    </row>
    <row r="60" spans="1:39" x14ac:dyDescent="0.25">
      <c r="A60" s="4">
        <f t="shared" si="1"/>
        <v>59</v>
      </c>
      <c r="B60" s="2" t="str">
        <f>_xlfn.XLOOKUP(C60,Tab_Def_Flows[Flow_Name],Tab_Def_Flows[Flow_ID],,0,)</f>
        <v>F__</v>
      </c>
      <c r="C60" s="18" t="s">
        <v>5</v>
      </c>
      <c r="D60" s="5" t="str">
        <f>_xlfn.XLOOKUP(C60,Tab_Def_Flows[Flow_Name],Tab_Def_Flows[Use_E1],,0,)</f>
        <v>Yes</v>
      </c>
      <c r="E60" s="5" t="str">
        <f>_xlfn.XLOOKUP(C60,Tab_Def_Flows[Flow_Name],Tab_Def_Flows[Use_E2],,0,)</f>
        <v>Yes</v>
      </c>
      <c r="F60" s="5" t="str">
        <f>_xlfn.XLOOKUP(C60,Tab_Def_Flows[Flow_Name],Tab_Def_Flows[Use_E3],,0,)</f>
        <v>Yes</v>
      </c>
      <c r="G60" s="5" t="str">
        <f>_xlfn.XLOOKUP(C60,Tab_Def_Flows[Flow_Name],Tab_Def_Flows[Use_E4],,0,)</f>
        <v>Yes</v>
      </c>
      <c r="H60" s="5" t="str">
        <f>_xlfn.XLOOKUP(C60,Tab_Def_Flows[Flow_Name],Tab_Def_Flows[Use_E5],,0,)</f>
        <v>Yes</v>
      </c>
      <c r="I60" s="5" t="str">
        <f>_xlfn.XLOOKUP(C60,Tab_Def_Flows[Flow_Name],Tab_Def_Flows[Use_E6],,0,)</f>
        <v>Yes</v>
      </c>
      <c r="J60" s="3"/>
      <c r="K60" s="3"/>
      <c r="L60" s="2" t="str">
        <f>'0_Configuration'!$C$41</f>
        <v>Mg</v>
      </c>
      <c r="M60" s="9"/>
      <c r="N60" s="9"/>
      <c r="O60" s="9"/>
      <c r="P60" s="9"/>
      <c r="Q60" s="18" t="s">
        <v>3</v>
      </c>
      <c r="R60" s="10"/>
      <c r="S60" s="3"/>
      <c r="T60" s="9"/>
      <c r="U60" s="9"/>
      <c r="V60" s="2">
        <f>_xlfn.XLOOKUP(Tab_Data_Flows[[#This Row],[Flow_Name]],Tab_Def_Flows[Flow_Name],Tab_Def_Flows[Flow_E1_Fraction'[%']],"N.A.",0,1)</f>
        <v>0</v>
      </c>
      <c r="W60" s="8">
        <f t="shared" si="0"/>
        <v>0</v>
      </c>
      <c r="X60" s="2" t="str">
        <f>Tab_Data_Flows[[#This Row],[UoM_Source]]</f>
        <v>Mg</v>
      </c>
      <c r="Y60" s="19">
        <f>_xlfn.XLOOKUP(Tab_Data_Flows[[#This Row],[Flow_Name]],Tab_Def_Flows[Flow_Name],Tab_Def_Flows[Flow_E2_Fraction'[%']],"N.A.",0,1)</f>
        <v>0</v>
      </c>
      <c r="Z60" s="2">
        <f>IF(D60="Yes",W60*Tab_Data_Flows[[#This Row],[E2_Fraction'[%']]],"N.A.")</f>
        <v>0</v>
      </c>
      <c r="AA60" s="2" t="str">
        <f>Tab_Data_Flows[[#This Row],[E1_UoM]]</f>
        <v>Mg</v>
      </c>
      <c r="AB60" s="19">
        <f>_xlfn.XLOOKUP(Tab_Data_Flows[[#This Row],[Flow_Name]],Tab_Def_Flows[Flow_Name],Tab_Def_Flows[Flow_E3_Fraction'[%']],"N.A.",0,1)</f>
        <v>0</v>
      </c>
      <c r="AC60" s="2">
        <f>IF(E60="Yes",AB60*Tab_Data_Flows[[#This Row],[E1_value]],"N.A.")</f>
        <v>0</v>
      </c>
      <c r="AD60" s="2" t="str">
        <f>Tab_Data_Flows[[#This Row],[E1_UoM]]</f>
        <v>Mg</v>
      </c>
      <c r="AE60" s="19">
        <f>_xlfn.XLOOKUP(Tab_Data_Flows[[#This Row],[Flow_Name]],Tab_Def_Flows[Flow_Name],Tab_Def_Flows[Flow_E4_Fraction'[%']],"N.A.",0,1)</f>
        <v>0</v>
      </c>
      <c r="AF60" s="2">
        <f>IF(H60="Yes",Tab_Data_Flows[[#This Row],[E4_Fraction'[%']]]*Tab_Data_Flows[[#This Row],[E1_value]],"N.A.")</f>
        <v>0</v>
      </c>
      <c r="AG60" s="2" t="str">
        <f>Tab_Data_Flows[[#This Row],[E1_UoM]]</f>
        <v>Mg</v>
      </c>
      <c r="AH60" s="2">
        <f>_xlfn.XLOOKUP(Tab_Data_Flows[[#This Row],[Flow_Name]],Tab_Def_Flows[Flow_Name],Tab_Def_Flows[Flow_E5_Fraction'[%']],"N.A.",0,1)</f>
        <v>0</v>
      </c>
      <c r="AI60" s="2">
        <f>IF(H60="Yes",Tab_Data_Flows[[#This Row],[E5_Fraction'[%']]]*Tab_Data_Flows[[#This Row],[E1_value]],"N.A.")</f>
        <v>0</v>
      </c>
      <c r="AJ60" s="2" t="str">
        <f>Tab_Data_Flows[[#This Row],[E1_UoM]]</f>
        <v>Mg</v>
      </c>
      <c r="AK60" s="19">
        <f>_xlfn.XLOOKUP(Tab_Data_Flows[[#This Row],[Flow_Name]],Tab_Def_Flows[Flow_Name],Tab_Def_Flows[Flow_E6_Fraction'[%']],"N.A.",0,1)</f>
        <v>0</v>
      </c>
      <c r="AL60" s="2">
        <f>IF(Tab_Data_Flows[[#This Row],[Use_E6]]="Yes",Tab_Data_Flows[[#This Row],[E6_Fraction'[%']]]*Tab_Data_Flows[[#This Row],[E1_value]],"N.A.")</f>
        <v>0</v>
      </c>
      <c r="AM60" s="2" t="str">
        <f>Tab_Data_Flows[[#This Row],[E1_UoM]]</f>
        <v>Mg</v>
      </c>
    </row>
    <row r="61" spans="1:39" x14ac:dyDescent="0.25">
      <c r="A61" s="4">
        <f t="shared" si="1"/>
        <v>60</v>
      </c>
      <c r="B61" s="2" t="str">
        <f>_xlfn.XLOOKUP(C61,Tab_Def_Flows[Flow_Name],Tab_Def_Flows[Flow_ID],,0,)</f>
        <v>F__</v>
      </c>
      <c r="C61" s="18" t="s">
        <v>5</v>
      </c>
      <c r="D61" s="5" t="str">
        <f>_xlfn.XLOOKUP(C61,Tab_Def_Flows[Flow_Name],Tab_Def_Flows[Use_E1],,0,)</f>
        <v>Yes</v>
      </c>
      <c r="E61" s="5" t="str">
        <f>_xlfn.XLOOKUP(C61,Tab_Def_Flows[Flow_Name],Tab_Def_Flows[Use_E2],,0,)</f>
        <v>Yes</v>
      </c>
      <c r="F61" s="5" t="str">
        <f>_xlfn.XLOOKUP(C61,Tab_Def_Flows[Flow_Name],Tab_Def_Flows[Use_E3],,0,)</f>
        <v>Yes</v>
      </c>
      <c r="G61" s="5" t="str">
        <f>_xlfn.XLOOKUP(C61,Tab_Def_Flows[Flow_Name],Tab_Def_Flows[Use_E4],,0,)</f>
        <v>Yes</v>
      </c>
      <c r="H61" s="5" t="str">
        <f>_xlfn.XLOOKUP(C61,Tab_Def_Flows[Flow_Name],Tab_Def_Flows[Use_E5],,0,)</f>
        <v>Yes</v>
      </c>
      <c r="I61" s="5" t="str">
        <f>_xlfn.XLOOKUP(C61,Tab_Def_Flows[Flow_Name],Tab_Def_Flows[Use_E6],,0,)</f>
        <v>Yes</v>
      </c>
      <c r="J61" s="3"/>
      <c r="K61" s="3"/>
      <c r="L61" s="2" t="str">
        <f>'0_Configuration'!$C$41</f>
        <v>Mg</v>
      </c>
      <c r="M61" s="9"/>
      <c r="N61" s="9"/>
      <c r="O61" s="9"/>
      <c r="P61" s="9"/>
      <c r="Q61" s="18" t="s">
        <v>3</v>
      </c>
      <c r="R61" s="10"/>
      <c r="S61" s="3"/>
      <c r="T61" s="9"/>
      <c r="U61" s="9"/>
      <c r="V61" s="2">
        <f>_xlfn.XLOOKUP(Tab_Data_Flows[[#This Row],[Flow_Name]],Tab_Def_Flows[Flow_Name],Tab_Def_Flows[Flow_E1_Fraction'[%']],"N.A.",0,1)</f>
        <v>0</v>
      </c>
      <c r="W61" s="8">
        <f t="shared" si="0"/>
        <v>0</v>
      </c>
      <c r="X61" s="2" t="str">
        <f>Tab_Data_Flows[[#This Row],[UoM_Source]]</f>
        <v>Mg</v>
      </c>
      <c r="Y61" s="19">
        <f>_xlfn.XLOOKUP(Tab_Data_Flows[[#This Row],[Flow_Name]],Tab_Def_Flows[Flow_Name],Tab_Def_Flows[Flow_E2_Fraction'[%']],"N.A.",0,1)</f>
        <v>0</v>
      </c>
      <c r="Z61" s="2">
        <f>IF(D61="Yes",W61*Tab_Data_Flows[[#This Row],[E2_Fraction'[%']]],"N.A.")</f>
        <v>0</v>
      </c>
      <c r="AA61" s="2" t="str">
        <f>Tab_Data_Flows[[#This Row],[E1_UoM]]</f>
        <v>Mg</v>
      </c>
      <c r="AB61" s="19">
        <f>_xlfn.XLOOKUP(Tab_Data_Flows[[#This Row],[Flow_Name]],Tab_Def_Flows[Flow_Name],Tab_Def_Flows[Flow_E3_Fraction'[%']],"N.A.",0,1)</f>
        <v>0</v>
      </c>
      <c r="AC61" s="2">
        <f>IF(E61="Yes",AB61*Tab_Data_Flows[[#This Row],[E1_value]],"N.A.")</f>
        <v>0</v>
      </c>
      <c r="AD61" s="2" t="str">
        <f>Tab_Data_Flows[[#This Row],[E1_UoM]]</f>
        <v>Mg</v>
      </c>
      <c r="AE61" s="19">
        <f>_xlfn.XLOOKUP(Tab_Data_Flows[[#This Row],[Flow_Name]],Tab_Def_Flows[Flow_Name],Tab_Def_Flows[Flow_E4_Fraction'[%']],"N.A.",0,1)</f>
        <v>0</v>
      </c>
      <c r="AF61" s="2">
        <f>IF(H61="Yes",Tab_Data_Flows[[#This Row],[E4_Fraction'[%']]]*Tab_Data_Flows[[#This Row],[E1_value]],"N.A.")</f>
        <v>0</v>
      </c>
      <c r="AG61" s="2" t="str">
        <f>Tab_Data_Flows[[#This Row],[E1_UoM]]</f>
        <v>Mg</v>
      </c>
      <c r="AH61" s="2">
        <f>_xlfn.XLOOKUP(Tab_Data_Flows[[#This Row],[Flow_Name]],Tab_Def_Flows[Flow_Name],Tab_Def_Flows[Flow_E5_Fraction'[%']],"N.A.",0,1)</f>
        <v>0</v>
      </c>
      <c r="AI61" s="2">
        <f>IF(H61="Yes",Tab_Data_Flows[[#This Row],[E5_Fraction'[%']]]*Tab_Data_Flows[[#This Row],[E1_value]],"N.A.")</f>
        <v>0</v>
      </c>
      <c r="AJ61" s="2" t="str">
        <f>Tab_Data_Flows[[#This Row],[E1_UoM]]</f>
        <v>Mg</v>
      </c>
      <c r="AK61" s="19">
        <f>_xlfn.XLOOKUP(Tab_Data_Flows[[#This Row],[Flow_Name]],Tab_Def_Flows[Flow_Name],Tab_Def_Flows[Flow_E6_Fraction'[%']],"N.A.",0,1)</f>
        <v>0</v>
      </c>
      <c r="AL61" s="2">
        <f>IF(Tab_Data_Flows[[#This Row],[Use_E6]]="Yes",Tab_Data_Flows[[#This Row],[E6_Fraction'[%']]]*Tab_Data_Flows[[#This Row],[E1_value]],"N.A.")</f>
        <v>0</v>
      </c>
      <c r="AM61" s="2" t="str">
        <f>Tab_Data_Flows[[#This Row],[E1_UoM]]</f>
        <v>Mg</v>
      </c>
    </row>
    <row r="62" spans="1:39" x14ac:dyDescent="0.25">
      <c r="A62" s="4">
        <f t="shared" si="1"/>
        <v>61</v>
      </c>
      <c r="B62" s="2" t="str">
        <f>_xlfn.XLOOKUP(C62,Tab_Def_Flows[Flow_Name],Tab_Def_Flows[Flow_ID],,0,)</f>
        <v>F__</v>
      </c>
      <c r="C62" s="18" t="s">
        <v>5</v>
      </c>
      <c r="D62" s="5" t="str">
        <f>_xlfn.XLOOKUP(C62,Tab_Def_Flows[Flow_Name],Tab_Def_Flows[Use_E1],,0,)</f>
        <v>Yes</v>
      </c>
      <c r="E62" s="5" t="str">
        <f>_xlfn.XLOOKUP(C62,Tab_Def_Flows[Flow_Name],Tab_Def_Flows[Use_E2],,0,)</f>
        <v>Yes</v>
      </c>
      <c r="F62" s="5" t="str">
        <f>_xlfn.XLOOKUP(C62,Tab_Def_Flows[Flow_Name],Tab_Def_Flows[Use_E3],,0,)</f>
        <v>Yes</v>
      </c>
      <c r="G62" s="5" t="str">
        <f>_xlfn.XLOOKUP(C62,Tab_Def_Flows[Flow_Name],Tab_Def_Flows[Use_E4],,0,)</f>
        <v>Yes</v>
      </c>
      <c r="H62" s="5" t="str">
        <f>_xlfn.XLOOKUP(C62,Tab_Def_Flows[Flow_Name],Tab_Def_Flows[Use_E5],,0,)</f>
        <v>Yes</v>
      </c>
      <c r="I62" s="5" t="str">
        <f>_xlfn.XLOOKUP(C62,Tab_Def_Flows[Flow_Name],Tab_Def_Flows[Use_E6],,0,)</f>
        <v>Yes</v>
      </c>
      <c r="J62" s="3"/>
      <c r="K62" s="3"/>
      <c r="L62" s="2" t="str">
        <f>'0_Configuration'!$C$41</f>
        <v>Mg</v>
      </c>
      <c r="M62" s="9"/>
      <c r="N62" s="9"/>
      <c r="O62" s="9"/>
      <c r="P62" s="9"/>
      <c r="Q62" s="18" t="s">
        <v>3</v>
      </c>
      <c r="R62" s="10"/>
      <c r="S62" s="3"/>
      <c r="T62" s="9"/>
      <c r="U62" s="9"/>
      <c r="V62" s="2">
        <f>_xlfn.XLOOKUP(Tab_Data_Flows[[#This Row],[Flow_Name]],Tab_Def_Flows[Flow_Name],Tab_Def_Flows[Flow_E1_Fraction'[%']],"N.A.",0,1)</f>
        <v>0</v>
      </c>
      <c r="W62" s="8">
        <f t="shared" si="0"/>
        <v>0</v>
      </c>
      <c r="X62" s="2" t="str">
        <f>Tab_Data_Flows[[#This Row],[UoM_Source]]</f>
        <v>Mg</v>
      </c>
      <c r="Y62" s="19">
        <f>_xlfn.XLOOKUP(Tab_Data_Flows[[#This Row],[Flow_Name]],Tab_Def_Flows[Flow_Name],Tab_Def_Flows[Flow_E2_Fraction'[%']],"N.A.",0,1)</f>
        <v>0</v>
      </c>
      <c r="Z62" s="2">
        <f>IF(D62="Yes",W62*Tab_Data_Flows[[#This Row],[E2_Fraction'[%']]],"N.A.")</f>
        <v>0</v>
      </c>
      <c r="AA62" s="2" t="str">
        <f>Tab_Data_Flows[[#This Row],[E1_UoM]]</f>
        <v>Mg</v>
      </c>
      <c r="AB62" s="19">
        <f>_xlfn.XLOOKUP(Tab_Data_Flows[[#This Row],[Flow_Name]],Tab_Def_Flows[Flow_Name],Tab_Def_Flows[Flow_E3_Fraction'[%']],"N.A.",0,1)</f>
        <v>0</v>
      </c>
      <c r="AC62" s="2">
        <f>IF(E62="Yes",AB62*Tab_Data_Flows[[#This Row],[E1_value]],"N.A.")</f>
        <v>0</v>
      </c>
      <c r="AD62" s="2" t="str">
        <f>Tab_Data_Flows[[#This Row],[E1_UoM]]</f>
        <v>Mg</v>
      </c>
      <c r="AE62" s="19">
        <f>_xlfn.XLOOKUP(Tab_Data_Flows[[#This Row],[Flow_Name]],Tab_Def_Flows[Flow_Name],Tab_Def_Flows[Flow_E4_Fraction'[%']],"N.A.",0,1)</f>
        <v>0</v>
      </c>
      <c r="AF62" s="2">
        <f>IF(H62="Yes",Tab_Data_Flows[[#This Row],[E4_Fraction'[%']]]*Tab_Data_Flows[[#This Row],[E1_value]],"N.A.")</f>
        <v>0</v>
      </c>
      <c r="AG62" s="2" t="str">
        <f>Tab_Data_Flows[[#This Row],[E1_UoM]]</f>
        <v>Mg</v>
      </c>
      <c r="AH62" s="2">
        <f>_xlfn.XLOOKUP(Tab_Data_Flows[[#This Row],[Flow_Name]],Tab_Def_Flows[Flow_Name],Tab_Def_Flows[Flow_E5_Fraction'[%']],"N.A.",0,1)</f>
        <v>0</v>
      </c>
      <c r="AI62" s="2">
        <f>IF(H62="Yes",Tab_Data_Flows[[#This Row],[E5_Fraction'[%']]]*Tab_Data_Flows[[#This Row],[E1_value]],"N.A.")</f>
        <v>0</v>
      </c>
      <c r="AJ62" s="2" t="str">
        <f>Tab_Data_Flows[[#This Row],[E1_UoM]]</f>
        <v>Mg</v>
      </c>
      <c r="AK62" s="19">
        <f>_xlfn.XLOOKUP(Tab_Data_Flows[[#This Row],[Flow_Name]],Tab_Def_Flows[Flow_Name],Tab_Def_Flows[Flow_E6_Fraction'[%']],"N.A.",0,1)</f>
        <v>0</v>
      </c>
      <c r="AL62" s="2">
        <f>IF(Tab_Data_Flows[[#This Row],[Use_E6]]="Yes",Tab_Data_Flows[[#This Row],[E6_Fraction'[%']]]*Tab_Data_Flows[[#This Row],[E1_value]],"N.A.")</f>
        <v>0</v>
      </c>
      <c r="AM62" s="2" t="str">
        <f>Tab_Data_Flows[[#This Row],[E1_UoM]]</f>
        <v>Mg</v>
      </c>
    </row>
    <row r="63" spans="1:39" x14ac:dyDescent="0.25">
      <c r="A63" s="4">
        <f t="shared" si="1"/>
        <v>62</v>
      </c>
      <c r="B63" s="2" t="str">
        <f>_xlfn.XLOOKUP(C63,Tab_Def_Flows[Flow_Name],Tab_Def_Flows[Flow_ID],,0,)</f>
        <v>F__</v>
      </c>
      <c r="C63" s="18" t="s">
        <v>5</v>
      </c>
      <c r="D63" s="5" t="str">
        <f>_xlfn.XLOOKUP(C63,Tab_Def_Flows[Flow_Name],Tab_Def_Flows[Use_E1],,0,)</f>
        <v>Yes</v>
      </c>
      <c r="E63" s="5" t="str">
        <f>_xlfn.XLOOKUP(C63,Tab_Def_Flows[Flow_Name],Tab_Def_Flows[Use_E2],,0,)</f>
        <v>Yes</v>
      </c>
      <c r="F63" s="5" t="str">
        <f>_xlfn.XLOOKUP(C63,Tab_Def_Flows[Flow_Name],Tab_Def_Flows[Use_E3],,0,)</f>
        <v>Yes</v>
      </c>
      <c r="G63" s="5" t="str">
        <f>_xlfn.XLOOKUP(C63,Tab_Def_Flows[Flow_Name],Tab_Def_Flows[Use_E4],,0,)</f>
        <v>Yes</v>
      </c>
      <c r="H63" s="5" t="str">
        <f>_xlfn.XLOOKUP(C63,Tab_Def_Flows[Flow_Name],Tab_Def_Flows[Use_E5],,0,)</f>
        <v>Yes</v>
      </c>
      <c r="I63" s="5" t="str">
        <f>_xlfn.XLOOKUP(C63,Tab_Def_Flows[Flow_Name],Tab_Def_Flows[Use_E6],,0,)</f>
        <v>Yes</v>
      </c>
      <c r="J63" s="3"/>
      <c r="K63" s="3"/>
      <c r="L63" s="2" t="str">
        <f>'0_Configuration'!$C$41</f>
        <v>Mg</v>
      </c>
      <c r="M63" s="9"/>
      <c r="N63" s="9"/>
      <c r="O63" s="9"/>
      <c r="P63" s="9"/>
      <c r="Q63" s="18" t="s">
        <v>3</v>
      </c>
      <c r="R63" s="10"/>
      <c r="S63" s="3"/>
      <c r="T63" s="9"/>
      <c r="U63" s="9"/>
      <c r="V63" s="2">
        <f>_xlfn.XLOOKUP(Tab_Data_Flows[[#This Row],[Flow_Name]],Tab_Def_Flows[Flow_Name],Tab_Def_Flows[Flow_E1_Fraction'[%']],"N.A.",0,1)</f>
        <v>0</v>
      </c>
      <c r="W63" s="8">
        <f t="shared" si="0"/>
        <v>0</v>
      </c>
      <c r="X63" s="2" t="str">
        <f>Tab_Data_Flows[[#This Row],[UoM_Source]]</f>
        <v>Mg</v>
      </c>
      <c r="Y63" s="19">
        <f>_xlfn.XLOOKUP(Tab_Data_Flows[[#This Row],[Flow_Name]],Tab_Def_Flows[Flow_Name],Tab_Def_Flows[Flow_E2_Fraction'[%']],"N.A.",0,1)</f>
        <v>0</v>
      </c>
      <c r="Z63" s="2">
        <f>IF(D63="Yes",W63*Tab_Data_Flows[[#This Row],[E2_Fraction'[%']]],"N.A.")</f>
        <v>0</v>
      </c>
      <c r="AA63" s="2" t="str">
        <f>Tab_Data_Flows[[#This Row],[E1_UoM]]</f>
        <v>Mg</v>
      </c>
      <c r="AB63" s="19">
        <f>_xlfn.XLOOKUP(Tab_Data_Flows[[#This Row],[Flow_Name]],Tab_Def_Flows[Flow_Name],Tab_Def_Flows[Flow_E3_Fraction'[%']],"N.A.",0,1)</f>
        <v>0</v>
      </c>
      <c r="AC63" s="2">
        <f>IF(E63="Yes",AB63*Tab_Data_Flows[[#This Row],[E1_value]],"N.A.")</f>
        <v>0</v>
      </c>
      <c r="AD63" s="2" t="str">
        <f>Tab_Data_Flows[[#This Row],[E1_UoM]]</f>
        <v>Mg</v>
      </c>
      <c r="AE63" s="19">
        <f>_xlfn.XLOOKUP(Tab_Data_Flows[[#This Row],[Flow_Name]],Tab_Def_Flows[Flow_Name],Tab_Def_Flows[Flow_E4_Fraction'[%']],"N.A.",0,1)</f>
        <v>0</v>
      </c>
      <c r="AF63" s="2">
        <f>IF(H63="Yes",Tab_Data_Flows[[#This Row],[E4_Fraction'[%']]]*Tab_Data_Flows[[#This Row],[E1_value]],"N.A.")</f>
        <v>0</v>
      </c>
      <c r="AG63" s="2" t="str">
        <f>Tab_Data_Flows[[#This Row],[E1_UoM]]</f>
        <v>Mg</v>
      </c>
      <c r="AH63" s="2">
        <f>_xlfn.XLOOKUP(Tab_Data_Flows[[#This Row],[Flow_Name]],Tab_Def_Flows[Flow_Name],Tab_Def_Flows[Flow_E5_Fraction'[%']],"N.A.",0,1)</f>
        <v>0</v>
      </c>
      <c r="AI63" s="2">
        <f>IF(H63="Yes",Tab_Data_Flows[[#This Row],[E5_Fraction'[%']]]*Tab_Data_Flows[[#This Row],[E1_value]],"N.A.")</f>
        <v>0</v>
      </c>
      <c r="AJ63" s="2" t="str">
        <f>Tab_Data_Flows[[#This Row],[E1_UoM]]</f>
        <v>Mg</v>
      </c>
      <c r="AK63" s="19">
        <f>_xlfn.XLOOKUP(Tab_Data_Flows[[#This Row],[Flow_Name]],Tab_Def_Flows[Flow_Name],Tab_Def_Flows[Flow_E6_Fraction'[%']],"N.A.",0,1)</f>
        <v>0</v>
      </c>
      <c r="AL63" s="2">
        <f>IF(Tab_Data_Flows[[#This Row],[Use_E6]]="Yes",Tab_Data_Flows[[#This Row],[E6_Fraction'[%']]]*Tab_Data_Flows[[#This Row],[E1_value]],"N.A.")</f>
        <v>0</v>
      </c>
      <c r="AM63" s="2" t="str">
        <f>Tab_Data_Flows[[#This Row],[E1_UoM]]</f>
        <v>Mg</v>
      </c>
    </row>
    <row r="64" spans="1:39" x14ac:dyDescent="0.25">
      <c r="A64" s="4">
        <f t="shared" si="1"/>
        <v>63</v>
      </c>
      <c r="B64" s="2" t="str">
        <f>_xlfn.XLOOKUP(C64,Tab_Def_Flows[Flow_Name],Tab_Def_Flows[Flow_ID],,0,)</f>
        <v>F__</v>
      </c>
      <c r="C64" s="18" t="s">
        <v>5</v>
      </c>
      <c r="D64" s="5" t="str">
        <f>_xlfn.XLOOKUP(C64,Tab_Def_Flows[Flow_Name],Tab_Def_Flows[Use_E1],,0,)</f>
        <v>Yes</v>
      </c>
      <c r="E64" s="5" t="str">
        <f>_xlfn.XLOOKUP(C64,Tab_Def_Flows[Flow_Name],Tab_Def_Flows[Use_E2],,0,)</f>
        <v>Yes</v>
      </c>
      <c r="F64" s="5" t="str">
        <f>_xlfn.XLOOKUP(C64,Tab_Def_Flows[Flow_Name],Tab_Def_Flows[Use_E3],,0,)</f>
        <v>Yes</v>
      </c>
      <c r="G64" s="5" t="str">
        <f>_xlfn.XLOOKUP(C64,Tab_Def_Flows[Flow_Name],Tab_Def_Flows[Use_E4],,0,)</f>
        <v>Yes</v>
      </c>
      <c r="H64" s="5" t="str">
        <f>_xlfn.XLOOKUP(C64,Tab_Def_Flows[Flow_Name],Tab_Def_Flows[Use_E5],,0,)</f>
        <v>Yes</v>
      </c>
      <c r="I64" s="5" t="str">
        <f>_xlfn.XLOOKUP(C64,Tab_Def_Flows[Flow_Name],Tab_Def_Flows[Use_E6],,0,)</f>
        <v>Yes</v>
      </c>
      <c r="J64" s="3"/>
      <c r="K64" s="3"/>
      <c r="L64" s="2" t="str">
        <f>'0_Configuration'!$C$41</f>
        <v>Mg</v>
      </c>
      <c r="M64" s="9"/>
      <c r="N64" s="9"/>
      <c r="O64" s="9"/>
      <c r="P64" s="9"/>
      <c r="Q64" s="18" t="s">
        <v>3</v>
      </c>
      <c r="R64" s="10"/>
      <c r="S64" s="3"/>
      <c r="T64" s="9"/>
      <c r="U64" s="9"/>
      <c r="V64" s="2">
        <f>_xlfn.XLOOKUP(Tab_Data_Flows[[#This Row],[Flow_Name]],Tab_Def_Flows[Flow_Name],Tab_Def_Flows[Flow_E1_Fraction'[%']],"N.A.",0,1)</f>
        <v>0</v>
      </c>
      <c r="W64" s="8">
        <f t="shared" si="0"/>
        <v>0</v>
      </c>
      <c r="X64" s="2" t="str">
        <f>Tab_Data_Flows[[#This Row],[UoM_Source]]</f>
        <v>Mg</v>
      </c>
      <c r="Y64" s="19">
        <f>_xlfn.XLOOKUP(Tab_Data_Flows[[#This Row],[Flow_Name]],Tab_Def_Flows[Flow_Name],Tab_Def_Flows[Flow_E2_Fraction'[%']],"N.A.",0,1)</f>
        <v>0</v>
      </c>
      <c r="Z64" s="2">
        <f>IF(D64="Yes",W64*Tab_Data_Flows[[#This Row],[E2_Fraction'[%']]],"N.A.")</f>
        <v>0</v>
      </c>
      <c r="AA64" s="2" t="str">
        <f>Tab_Data_Flows[[#This Row],[E1_UoM]]</f>
        <v>Mg</v>
      </c>
      <c r="AB64" s="19">
        <f>_xlfn.XLOOKUP(Tab_Data_Flows[[#This Row],[Flow_Name]],Tab_Def_Flows[Flow_Name],Tab_Def_Flows[Flow_E3_Fraction'[%']],"N.A.",0,1)</f>
        <v>0</v>
      </c>
      <c r="AC64" s="2">
        <f>IF(E64="Yes",AB64*Tab_Data_Flows[[#This Row],[E1_value]],"N.A.")</f>
        <v>0</v>
      </c>
      <c r="AD64" s="2" t="str">
        <f>Tab_Data_Flows[[#This Row],[E1_UoM]]</f>
        <v>Mg</v>
      </c>
      <c r="AE64" s="19">
        <f>_xlfn.XLOOKUP(Tab_Data_Flows[[#This Row],[Flow_Name]],Tab_Def_Flows[Flow_Name],Tab_Def_Flows[Flow_E4_Fraction'[%']],"N.A.",0,1)</f>
        <v>0</v>
      </c>
      <c r="AF64" s="2">
        <f>IF(H64="Yes",Tab_Data_Flows[[#This Row],[E4_Fraction'[%']]]*Tab_Data_Flows[[#This Row],[E1_value]],"N.A.")</f>
        <v>0</v>
      </c>
      <c r="AG64" s="2" t="str">
        <f>Tab_Data_Flows[[#This Row],[E1_UoM]]</f>
        <v>Mg</v>
      </c>
      <c r="AH64" s="2">
        <f>_xlfn.XLOOKUP(Tab_Data_Flows[[#This Row],[Flow_Name]],Tab_Def_Flows[Flow_Name],Tab_Def_Flows[Flow_E5_Fraction'[%']],"N.A.",0,1)</f>
        <v>0</v>
      </c>
      <c r="AI64" s="2">
        <f>IF(H64="Yes",Tab_Data_Flows[[#This Row],[E5_Fraction'[%']]]*Tab_Data_Flows[[#This Row],[E1_value]],"N.A.")</f>
        <v>0</v>
      </c>
      <c r="AJ64" s="2" t="str">
        <f>Tab_Data_Flows[[#This Row],[E1_UoM]]</f>
        <v>Mg</v>
      </c>
      <c r="AK64" s="19">
        <f>_xlfn.XLOOKUP(Tab_Data_Flows[[#This Row],[Flow_Name]],Tab_Def_Flows[Flow_Name],Tab_Def_Flows[Flow_E6_Fraction'[%']],"N.A.",0,1)</f>
        <v>0</v>
      </c>
      <c r="AL64" s="2">
        <f>IF(Tab_Data_Flows[[#This Row],[Use_E6]]="Yes",Tab_Data_Flows[[#This Row],[E6_Fraction'[%']]]*Tab_Data_Flows[[#This Row],[E1_value]],"N.A.")</f>
        <v>0</v>
      </c>
      <c r="AM64" s="2" t="str">
        <f>Tab_Data_Flows[[#This Row],[E1_UoM]]</f>
        <v>Mg</v>
      </c>
    </row>
    <row r="65" spans="1:39" x14ac:dyDescent="0.25">
      <c r="A65" s="4">
        <f t="shared" si="1"/>
        <v>64</v>
      </c>
      <c r="B65" s="2" t="str">
        <f>_xlfn.XLOOKUP(C65,Tab_Def_Flows[Flow_Name],Tab_Def_Flows[Flow_ID],,0,)</f>
        <v>F__</v>
      </c>
      <c r="C65" s="18" t="s">
        <v>5</v>
      </c>
      <c r="D65" s="5" t="str">
        <f>_xlfn.XLOOKUP(C65,Tab_Def_Flows[Flow_Name],Tab_Def_Flows[Use_E1],,0,)</f>
        <v>Yes</v>
      </c>
      <c r="E65" s="5" t="str">
        <f>_xlfn.XLOOKUP(C65,Tab_Def_Flows[Flow_Name],Tab_Def_Flows[Use_E2],,0,)</f>
        <v>Yes</v>
      </c>
      <c r="F65" s="5" t="str">
        <f>_xlfn.XLOOKUP(C65,Tab_Def_Flows[Flow_Name],Tab_Def_Flows[Use_E3],,0,)</f>
        <v>Yes</v>
      </c>
      <c r="G65" s="5" t="str">
        <f>_xlfn.XLOOKUP(C65,Tab_Def_Flows[Flow_Name],Tab_Def_Flows[Use_E4],,0,)</f>
        <v>Yes</v>
      </c>
      <c r="H65" s="5" t="str">
        <f>_xlfn.XLOOKUP(C65,Tab_Def_Flows[Flow_Name],Tab_Def_Flows[Use_E5],,0,)</f>
        <v>Yes</v>
      </c>
      <c r="I65" s="5" t="str">
        <f>_xlfn.XLOOKUP(C65,Tab_Def_Flows[Flow_Name],Tab_Def_Flows[Use_E6],,0,)</f>
        <v>Yes</v>
      </c>
      <c r="J65" s="3"/>
      <c r="K65" s="3"/>
      <c r="L65" s="2" t="str">
        <f>'0_Configuration'!$C$41</f>
        <v>Mg</v>
      </c>
      <c r="M65" s="9"/>
      <c r="N65" s="9"/>
      <c r="O65" s="9"/>
      <c r="P65" s="9"/>
      <c r="Q65" s="18" t="s">
        <v>3</v>
      </c>
      <c r="R65" s="10"/>
      <c r="S65" s="3"/>
      <c r="T65" s="9"/>
      <c r="U65" s="9"/>
      <c r="V65" s="2">
        <f>_xlfn.XLOOKUP(Tab_Data_Flows[[#This Row],[Flow_Name]],Tab_Def_Flows[Flow_Name],Tab_Def_Flows[Flow_E1_Fraction'[%']],"N.A.",0,1)</f>
        <v>0</v>
      </c>
      <c r="W65" s="8">
        <f t="shared" si="0"/>
        <v>0</v>
      </c>
      <c r="X65" s="2" t="str">
        <f>Tab_Data_Flows[[#This Row],[UoM_Source]]</f>
        <v>Mg</v>
      </c>
      <c r="Y65" s="19">
        <f>_xlfn.XLOOKUP(Tab_Data_Flows[[#This Row],[Flow_Name]],Tab_Def_Flows[Flow_Name],Tab_Def_Flows[Flow_E2_Fraction'[%']],"N.A.",0,1)</f>
        <v>0</v>
      </c>
      <c r="Z65" s="2">
        <f>IF(D65="Yes",W65*Tab_Data_Flows[[#This Row],[E2_Fraction'[%']]],"N.A.")</f>
        <v>0</v>
      </c>
      <c r="AA65" s="2" t="str">
        <f>Tab_Data_Flows[[#This Row],[E1_UoM]]</f>
        <v>Mg</v>
      </c>
      <c r="AB65" s="19">
        <f>_xlfn.XLOOKUP(Tab_Data_Flows[[#This Row],[Flow_Name]],Tab_Def_Flows[Flow_Name],Tab_Def_Flows[Flow_E3_Fraction'[%']],"N.A.",0,1)</f>
        <v>0</v>
      </c>
      <c r="AC65" s="2">
        <f>IF(E65="Yes",AB65*Tab_Data_Flows[[#This Row],[E1_value]],"N.A.")</f>
        <v>0</v>
      </c>
      <c r="AD65" s="2" t="str">
        <f>Tab_Data_Flows[[#This Row],[E1_UoM]]</f>
        <v>Mg</v>
      </c>
      <c r="AE65" s="19">
        <f>_xlfn.XLOOKUP(Tab_Data_Flows[[#This Row],[Flow_Name]],Tab_Def_Flows[Flow_Name],Tab_Def_Flows[Flow_E4_Fraction'[%']],"N.A.",0,1)</f>
        <v>0</v>
      </c>
      <c r="AF65" s="2">
        <f>IF(H65="Yes",Tab_Data_Flows[[#This Row],[E4_Fraction'[%']]]*Tab_Data_Flows[[#This Row],[E1_value]],"N.A.")</f>
        <v>0</v>
      </c>
      <c r="AG65" s="2" t="str">
        <f>Tab_Data_Flows[[#This Row],[E1_UoM]]</f>
        <v>Mg</v>
      </c>
      <c r="AH65" s="2">
        <f>_xlfn.XLOOKUP(Tab_Data_Flows[[#This Row],[Flow_Name]],Tab_Def_Flows[Flow_Name],Tab_Def_Flows[Flow_E5_Fraction'[%']],"N.A.",0,1)</f>
        <v>0</v>
      </c>
      <c r="AI65" s="2">
        <f>IF(H65="Yes",Tab_Data_Flows[[#This Row],[E5_Fraction'[%']]]*Tab_Data_Flows[[#This Row],[E1_value]],"N.A.")</f>
        <v>0</v>
      </c>
      <c r="AJ65" s="2" t="str">
        <f>Tab_Data_Flows[[#This Row],[E1_UoM]]</f>
        <v>Mg</v>
      </c>
      <c r="AK65" s="19">
        <f>_xlfn.XLOOKUP(Tab_Data_Flows[[#This Row],[Flow_Name]],Tab_Def_Flows[Flow_Name],Tab_Def_Flows[Flow_E6_Fraction'[%']],"N.A.",0,1)</f>
        <v>0</v>
      </c>
      <c r="AL65" s="2">
        <f>IF(Tab_Data_Flows[[#This Row],[Use_E6]]="Yes",Tab_Data_Flows[[#This Row],[E6_Fraction'[%']]]*Tab_Data_Flows[[#This Row],[E1_value]],"N.A.")</f>
        <v>0</v>
      </c>
      <c r="AM65" s="2" t="str">
        <f>Tab_Data_Flows[[#This Row],[E1_UoM]]</f>
        <v>Mg</v>
      </c>
    </row>
    <row r="66" spans="1:39" x14ac:dyDescent="0.25">
      <c r="A66" s="4">
        <f t="shared" si="1"/>
        <v>65</v>
      </c>
      <c r="B66" s="2" t="str">
        <f>_xlfn.XLOOKUP(C66,Tab_Def_Flows[Flow_Name],Tab_Def_Flows[Flow_ID],,0,)</f>
        <v>F__</v>
      </c>
      <c r="C66" s="18" t="s">
        <v>5</v>
      </c>
      <c r="D66" s="5" t="str">
        <f>_xlfn.XLOOKUP(C66,Tab_Def_Flows[Flow_Name],Tab_Def_Flows[Use_E1],,0,)</f>
        <v>Yes</v>
      </c>
      <c r="E66" s="5" t="str">
        <f>_xlfn.XLOOKUP(C66,Tab_Def_Flows[Flow_Name],Tab_Def_Flows[Use_E2],,0,)</f>
        <v>Yes</v>
      </c>
      <c r="F66" s="5" t="str">
        <f>_xlfn.XLOOKUP(C66,Tab_Def_Flows[Flow_Name],Tab_Def_Flows[Use_E3],,0,)</f>
        <v>Yes</v>
      </c>
      <c r="G66" s="5" t="str">
        <f>_xlfn.XLOOKUP(C66,Tab_Def_Flows[Flow_Name],Tab_Def_Flows[Use_E4],,0,)</f>
        <v>Yes</v>
      </c>
      <c r="H66" s="5" t="str">
        <f>_xlfn.XLOOKUP(C66,Tab_Def_Flows[Flow_Name],Tab_Def_Flows[Use_E5],,0,)</f>
        <v>Yes</v>
      </c>
      <c r="I66" s="5" t="str">
        <f>_xlfn.XLOOKUP(C66,Tab_Def_Flows[Flow_Name],Tab_Def_Flows[Use_E6],,0,)</f>
        <v>Yes</v>
      </c>
      <c r="J66" s="3"/>
      <c r="K66" s="3"/>
      <c r="L66" s="2" t="str">
        <f>'0_Configuration'!$C$41</f>
        <v>Mg</v>
      </c>
      <c r="M66" s="9"/>
      <c r="N66" s="9"/>
      <c r="O66" s="9"/>
      <c r="P66" s="9"/>
      <c r="Q66" s="18" t="s">
        <v>3</v>
      </c>
      <c r="R66" s="10"/>
      <c r="S66" s="3"/>
      <c r="T66" s="9"/>
      <c r="U66" s="9"/>
      <c r="V66" s="2">
        <f>_xlfn.XLOOKUP(Tab_Data_Flows[[#This Row],[Flow_Name]],Tab_Def_Flows[Flow_Name],Tab_Def_Flows[Flow_E1_Fraction'[%']],"N.A.",0,1)</f>
        <v>0</v>
      </c>
      <c r="W66" s="8">
        <f t="shared" ref="W66:W129" si="2">IF(Q66="no",K66,K66*R66)</f>
        <v>0</v>
      </c>
      <c r="X66" s="2" t="str">
        <f>Tab_Data_Flows[[#This Row],[UoM_Source]]</f>
        <v>Mg</v>
      </c>
      <c r="Y66" s="19">
        <f>_xlfn.XLOOKUP(Tab_Data_Flows[[#This Row],[Flow_Name]],Tab_Def_Flows[Flow_Name],Tab_Def_Flows[Flow_E2_Fraction'[%']],"N.A.",0,1)</f>
        <v>0</v>
      </c>
      <c r="Z66" s="2">
        <f>IF(D66="Yes",W66*Tab_Data_Flows[[#This Row],[E2_Fraction'[%']]],"N.A.")</f>
        <v>0</v>
      </c>
      <c r="AA66" s="2" t="str">
        <f>Tab_Data_Flows[[#This Row],[E1_UoM]]</f>
        <v>Mg</v>
      </c>
      <c r="AB66" s="19">
        <f>_xlfn.XLOOKUP(Tab_Data_Flows[[#This Row],[Flow_Name]],Tab_Def_Flows[Flow_Name],Tab_Def_Flows[Flow_E3_Fraction'[%']],"N.A.",0,1)</f>
        <v>0</v>
      </c>
      <c r="AC66" s="2">
        <f>IF(E66="Yes",AB66*Tab_Data_Flows[[#This Row],[E1_value]],"N.A.")</f>
        <v>0</v>
      </c>
      <c r="AD66" s="2" t="str">
        <f>Tab_Data_Flows[[#This Row],[E1_UoM]]</f>
        <v>Mg</v>
      </c>
      <c r="AE66" s="19">
        <f>_xlfn.XLOOKUP(Tab_Data_Flows[[#This Row],[Flow_Name]],Tab_Def_Flows[Flow_Name],Tab_Def_Flows[Flow_E4_Fraction'[%']],"N.A.",0,1)</f>
        <v>0</v>
      </c>
      <c r="AF66" s="2">
        <f>IF(H66="Yes",Tab_Data_Flows[[#This Row],[E4_Fraction'[%']]]*Tab_Data_Flows[[#This Row],[E1_value]],"N.A.")</f>
        <v>0</v>
      </c>
      <c r="AG66" s="2" t="str">
        <f>Tab_Data_Flows[[#This Row],[E1_UoM]]</f>
        <v>Mg</v>
      </c>
      <c r="AH66" s="2">
        <f>_xlfn.XLOOKUP(Tab_Data_Flows[[#This Row],[Flow_Name]],Tab_Def_Flows[Flow_Name],Tab_Def_Flows[Flow_E5_Fraction'[%']],"N.A.",0,1)</f>
        <v>0</v>
      </c>
      <c r="AI66" s="2">
        <f>IF(H66="Yes",Tab_Data_Flows[[#This Row],[E5_Fraction'[%']]]*Tab_Data_Flows[[#This Row],[E1_value]],"N.A.")</f>
        <v>0</v>
      </c>
      <c r="AJ66" s="2" t="str">
        <f>Tab_Data_Flows[[#This Row],[E1_UoM]]</f>
        <v>Mg</v>
      </c>
      <c r="AK66" s="19">
        <f>_xlfn.XLOOKUP(Tab_Data_Flows[[#This Row],[Flow_Name]],Tab_Def_Flows[Flow_Name],Tab_Def_Flows[Flow_E6_Fraction'[%']],"N.A.",0,1)</f>
        <v>0</v>
      </c>
      <c r="AL66" s="2">
        <f>IF(Tab_Data_Flows[[#This Row],[Use_E6]]="Yes",Tab_Data_Flows[[#This Row],[E6_Fraction'[%']]]*Tab_Data_Flows[[#This Row],[E1_value]],"N.A.")</f>
        <v>0</v>
      </c>
      <c r="AM66" s="2" t="str">
        <f>Tab_Data_Flows[[#This Row],[E1_UoM]]</f>
        <v>Mg</v>
      </c>
    </row>
    <row r="67" spans="1:39" x14ac:dyDescent="0.25">
      <c r="A67" s="4">
        <f t="shared" ref="A67:A130" si="3">ROW()-1</f>
        <v>66</v>
      </c>
      <c r="B67" s="2" t="str">
        <f>_xlfn.XLOOKUP(C67,Tab_Def_Flows[Flow_Name],Tab_Def_Flows[Flow_ID],,0,)</f>
        <v>F__</v>
      </c>
      <c r="C67" s="18" t="s">
        <v>5</v>
      </c>
      <c r="D67" s="5" t="str">
        <f>_xlfn.XLOOKUP(C67,Tab_Def_Flows[Flow_Name],Tab_Def_Flows[Use_E1],,0,)</f>
        <v>Yes</v>
      </c>
      <c r="E67" s="5" t="str">
        <f>_xlfn.XLOOKUP(C67,Tab_Def_Flows[Flow_Name],Tab_Def_Flows[Use_E2],,0,)</f>
        <v>Yes</v>
      </c>
      <c r="F67" s="5" t="str">
        <f>_xlfn.XLOOKUP(C67,Tab_Def_Flows[Flow_Name],Tab_Def_Flows[Use_E3],,0,)</f>
        <v>Yes</v>
      </c>
      <c r="G67" s="5" t="str">
        <f>_xlfn.XLOOKUP(C67,Tab_Def_Flows[Flow_Name],Tab_Def_Flows[Use_E4],,0,)</f>
        <v>Yes</v>
      </c>
      <c r="H67" s="5" t="str">
        <f>_xlfn.XLOOKUP(C67,Tab_Def_Flows[Flow_Name],Tab_Def_Flows[Use_E5],,0,)</f>
        <v>Yes</v>
      </c>
      <c r="I67" s="5" t="str">
        <f>_xlfn.XLOOKUP(C67,Tab_Def_Flows[Flow_Name],Tab_Def_Flows[Use_E6],,0,)</f>
        <v>Yes</v>
      </c>
      <c r="J67" s="3"/>
      <c r="K67" s="3"/>
      <c r="L67" s="2" t="str">
        <f>'0_Configuration'!$C$41</f>
        <v>Mg</v>
      </c>
      <c r="M67" s="9"/>
      <c r="N67" s="9"/>
      <c r="O67" s="9"/>
      <c r="P67" s="9"/>
      <c r="Q67" s="18" t="s">
        <v>3</v>
      </c>
      <c r="R67" s="3"/>
      <c r="S67" s="3"/>
      <c r="T67" s="9"/>
      <c r="U67" s="9"/>
      <c r="V67" s="2">
        <f>_xlfn.XLOOKUP(Tab_Data_Flows[[#This Row],[Flow_Name]],Tab_Def_Flows[Flow_Name],Tab_Def_Flows[Flow_E1_Fraction'[%']],"N.A.",0,1)</f>
        <v>0</v>
      </c>
      <c r="W67" s="8">
        <f t="shared" si="2"/>
        <v>0</v>
      </c>
      <c r="X67" s="2" t="str">
        <f>Tab_Data_Flows[[#This Row],[UoM_Source]]</f>
        <v>Mg</v>
      </c>
      <c r="Y67" s="19">
        <f>_xlfn.XLOOKUP(Tab_Data_Flows[[#This Row],[Flow_Name]],Tab_Def_Flows[Flow_Name],Tab_Def_Flows[Flow_E2_Fraction'[%']],"N.A.",0,1)</f>
        <v>0</v>
      </c>
      <c r="Z67" s="2">
        <f>IF(D67="Yes",W67*Tab_Data_Flows[[#This Row],[E2_Fraction'[%']]],"N.A.")</f>
        <v>0</v>
      </c>
      <c r="AA67" s="2" t="str">
        <f>Tab_Data_Flows[[#This Row],[E1_UoM]]</f>
        <v>Mg</v>
      </c>
      <c r="AB67" s="19">
        <f>_xlfn.XLOOKUP(Tab_Data_Flows[[#This Row],[Flow_Name]],Tab_Def_Flows[Flow_Name],Tab_Def_Flows[Flow_E3_Fraction'[%']],"N.A.",0,1)</f>
        <v>0</v>
      </c>
      <c r="AC67" s="2">
        <f>IF(E67="Yes",AB67*Tab_Data_Flows[[#This Row],[E1_value]],"N.A.")</f>
        <v>0</v>
      </c>
      <c r="AD67" s="2" t="str">
        <f>Tab_Data_Flows[[#This Row],[E1_UoM]]</f>
        <v>Mg</v>
      </c>
      <c r="AE67" s="19">
        <f>_xlfn.XLOOKUP(Tab_Data_Flows[[#This Row],[Flow_Name]],Tab_Def_Flows[Flow_Name],Tab_Def_Flows[Flow_E4_Fraction'[%']],"N.A.",0,1)</f>
        <v>0</v>
      </c>
      <c r="AF67" s="2">
        <f>IF(H67="Yes",Tab_Data_Flows[[#This Row],[E4_Fraction'[%']]]*Tab_Data_Flows[[#This Row],[E1_value]],"N.A.")</f>
        <v>0</v>
      </c>
      <c r="AG67" s="2" t="str">
        <f>Tab_Data_Flows[[#This Row],[E1_UoM]]</f>
        <v>Mg</v>
      </c>
      <c r="AH67" s="2">
        <f>_xlfn.XLOOKUP(Tab_Data_Flows[[#This Row],[Flow_Name]],Tab_Def_Flows[Flow_Name],Tab_Def_Flows[Flow_E5_Fraction'[%']],"N.A.",0,1)</f>
        <v>0</v>
      </c>
      <c r="AI67" s="2">
        <f>IF(H67="Yes",Tab_Data_Flows[[#This Row],[E5_Fraction'[%']]]*Tab_Data_Flows[[#This Row],[E1_value]],"N.A.")</f>
        <v>0</v>
      </c>
      <c r="AJ67" s="2" t="str">
        <f>Tab_Data_Flows[[#This Row],[E1_UoM]]</f>
        <v>Mg</v>
      </c>
      <c r="AK67" s="19">
        <f>_xlfn.XLOOKUP(Tab_Data_Flows[[#This Row],[Flow_Name]],Tab_Def_Flows[Flow_Name],Tab_Def_Flows[Flow_E6_Fraction'[%']],"N.A.",0,1)</f>
        <v>0</v>
      </c>
      <c r="AL67" s="2">
        <f>IF(Tab_Data_Flows[[#This Row],[Use_E6]]="Yes",Tab_Data_Flows[[#This Row],[E6_Fraction'[%']]]*Tab_Data_Flows[[#This Row],[E1_value]],"N.A.")</f>
        <v>0</v>
      </c>
      <c r="AM67" s="2" t="str">
        <f>Tab_Data_Flows[[#This Row],[E1_UoM]]</f>
        <v>Mg</v>
      </c>
    </row>
    <row r="68" spans="1:39" x14ac:dyDescent="0.25">
      <c r="A68" s="4">
        <f t="shared" si="3"/>
        <v>67</v>
      </c>
      <c r="B68" s="2" t="str">
        <f>_xlfn.XLOOKUP(C68,Tab_Def_Flows[Flow_Name],Tab_Def_Flows[Flow_ID],,0,)</f>
        <v>F__</v>
      </c>
      <c r="C68" s="18" t="s">
        <v>5</v>
      </c>
      <c r="D68" s="5" t="str">
        <f>_xlfn.XLOOKUP(C68,Tab_Def_Flows[Flow_Name],Tab_Def_Flows[Use_E1],,0,)</f>
        <v>Yes</v>
      </c>
      <c r="E68" s="5" t="str">
        <f>_xlfn.XLOOKUP(C68,Tab_Def_Flows[Flow_Name],Tab_Def_Flows[Use_E2],,0,)</f>
        <v>Yes</v>
      </c>
      <c r="F68" s="5" t="str">
        <f>_xlfn.XLOOKUP(C68,Tab_Def_Flows[Flow_Name],Tab_Def_Flows[Use_E3],,0,)</f>
        <v>Yes</v>
      </c>
      <c r="G68" s="5" t="str">
        <f>_xlfn.XLOOKUP(C68,Tab_Def_Flows[Flow_Name],Tab_Def_Flows[Use_E4],,0,)</f>
        <v>Yes</v>
      </c>
      <c r="H68" s="5" t="str">
        <f>_xlfn.XLOOKUP(C68,Tab_Def_Flows[Flow_Name],Tab_Def_Flows[Use_E5],,0,)</f>
        <v>Yes</v>
      </c>
      <c r="I68" s="5" t="str">
        <f>_xlfn.XLOOKUP(C68,Tab_Def_Flows[Flow_Name],Tab_Def_Flows[Use_E6],,0,)</f>
        <v>Yes</v>
      </c>
      <c r="J68" s="3"/>
      <c r="K68" s="3"/>
      <c r="L68" s="2" t="str">
        <f>'0_Configuration'!$C$41</f>
        <v>Mg</v>
      </c>
      <c r="M68" s="9"/>
      <c r="N68" s="9"/>
      <c r="O68" s="9"/>
      <c r="P68" s="9"/>
      <c r="Q68" s="18" t="s">
        <v>3</v>
      </c>
      <c r="R68" s="3"/>
      <c r="S68" s="3"/>
      <c r="T68" s="9"/>
      <c r="U68" s="9"/>
      <c r="V68" s="2">
        <f>_xlfn.XLOOKUP(Tab_Data_Flows[[#This Row],[Flow_Name]],Tab_Def_Flows[Flow_Name],Tab_Def_Flows[Flow_E1_Fraction'[%']],"N.A.",0,1)</f>
        <v>0</v>
      </c>
      <c r="W68" s="8">
        <f t="shared" si="2"/>
        <v>0</v>
      </c>
      <c r="X68" s="2" t="str">
        <f>Tab_Data_Flows[[#This Row],[UoM_Source]]</f>
        <v>Mg</v>
      </c>
      <c r="Y68" s="19">
        <f>_xlfn.XLOOKUP(Tab_Data_Flows[[#This Row],[Flow_Name]],Tab_Def_Flows[Flow_Name],Tab_Def_Flows[Flow_E2_Fraction'[%']],"N.A.",0,1)</f>
        <v>0</v>
      </c>
      <c r="Z68" s="2">
        <f>IF(D68="Yes",W68*Tab_Data_Flows[[#This Row],[E2_Fraction'[%']]],"N.A.")</f>
        <v>0</v>
      </c>
      <c r="AA68" s="2" t="str">
        <f>Tab_Data_Flows[[#This Row],[E1_UoM]]</f>
        <v>Mg</v>
      </c>
      <c r="AB68" s="19">
        <f>_xlfn.XLOOKUP(Tab_Data_Flows[[#This Row],[Flow_Name]],Tab_Def_Flows[Flow_Name],Tab_Def_Flows[Flow_E3_Fraction'[%']],"N.A.",0,1)</f>
        <v>0</v>
      </c>
      <c r="AC68" s="2">
        <f>IF(E68="Yes",AB68*Tab_Data_Flows[[#This Row],[E1_value]],"N.A.")</f>
        <v>0</v>
      </c>
      <c r="AD68" s="2" t="str">
        <f>Tab_Data_Flows[[#This Row],[E1_UoM]]</f>
        <v>Mg</v>
      </c>
      <c r="AE68" s="19">
        <f>_xlfn.XLOOKUP(Tab_Data_Flows[[#This Row],[Flow_Name]],Tab_Def_Flows[Flow_Name],Tab_Def_Flows[Flow_E4_Fraction'[%']],"N.A.",0,1)</f>
        <v>0</v>
      </c>
      <c r="AF68" s="2">
        <f>IF(H68="Yes",Tab_Data_Flows[[#This Row],[E4_Fraction'[%']]]*Tab_Data_Flows[[#This Row],[E1_value]],"N.A.")</f>
        <v>0</v>
      </c>
      <c r="AG68" s="2" t="str">
        <f>Tab_Data_Flows[[#This Row],[E1_UoM]]</f>
        <v>Mg</v>
      </c>
      <c r="AH68" s="2">
        <f>_xlfn.XLOOKUP(Tab_Data_Flows[[#This Row],[Flow_Name]],Tab_Def_Flows[Flow_Name],Tab_Def_Flows[Flow_E5_Fraction'[%']],"N.A.",0,1)</f>
        <v>0</v>
      </c>
      <c r="AI68" s="2">
        <f>IF(H68="Yes",Tab_Data_Flows[[#This Row],[E5_Fraction'[%']]]*Tab_Data_Flows[[#This Row],[E1_value]],"N.A.")</f>
        <v>0</v>
      </c>
      <c r="AJ68" s="2" t="str">
        <f>Tab_Data_Flows[[#This Row],[E1_UoM]]</f>
        <v>Mg</v>
      </c>
      <c r="AK68" s="19">
        <f>_xlfn.XLOOKUP(Tab_Data_Flows[[#This Row],[Flow_Name]],Tab_Def_Flows[Flow_Name],Tab_Def_Flows[Flow_E6_Fraction'[%']],"N.A.",0,1)</f>
        <v>0</v>
      </c>
      <c r="AL68" s="2">
        <f>IF(Tab_Data_Flows[[#This Row],[Use_E6]]="Yes",Tab_Data_Flows[[#This Row],[E6_Fraction'[%']]]*Tab_Data_Flows[[#This Row],[E1_value]],"N.A.")</f>
        <v>0</v>
      </c>
      <c r="AM68" s="2" t="str">
        <f>Tab_Data_Flows[[#This Row],[E1_UoM]]</f>
        <v>Mg</v>
      </c>
    </row>
    <row r="69" spans="1:39" x14ac:dyDescent="0.25">
      <c r="A69" s="4">
        <f t="shared" si="3"/>
        <v>68</v>
      </c>
      <c r="B69" s="2" t="str">
        <f>_xlfn.XLOOKUP(C69,Tab_Def_Flows[Flow_Name],Tab_Def_Flows[Flow_ID],,0,)</f>
        <v>F__</v>
      </c>
      <c r="C69" s="18" t="s">
        <v>5</v>
      </c>
      <c r="D69" s="5" t="str">
        <f>_xlfn.XLOOKUP(C69,Tab_Def_Flows[Flow_Name],Tab_Def_Flows[Use_E1],,0,)</f>
        <v>Yes</v>
      </c>
      <c r="E69" s="5" t="str">
        <f>_xlfn.XLOOKUP(C69,Tab_Def_Flows[Flow_Name],Tab_Def_Flows[Use_E2],,0,)</f>
        <v>Yes</v>
      </c>
      <c r="F69" s="5" t="str">
        <f>_xlfn.XLOOKUP(C69,Tab_Def_Flows[Flow_Name],Tab_Def_Flows[Use_E3],,0,)</f>
        <v>Yes</v>
      </c>
      <c r="G69" s="5" t="str">
        <f>_xlfn.XLOOKUP(C69,Tab_Def_Flows[Flow_Name],Tab_Def_Flows[Use_E4],,0,)</f>
        <v>Yes</v>
      </c>
      <c r="H69" s="5" t="str">
        <f>_xlfn.XLOOKUP(C69,Tab_Def_Flows[Flow_Name],Tab_Def_Flows[Use_E5],,0,)</f>
        <v>Yes</v>
      </c>
      <c r="I69" s="5" t="str">
        <f>_xlfn.XLOOKUP(C69,Tab_Def_Flows[Flow_Name],Tab_Def_Flows[Use_E6],,0,)</f>
        <v>Yes</v>
      </c>
      <c r="J69" s="3"/>
      <c r="K69" s="3"/>
      <c r="L69" s="2" t="str">
        <f>'0_Configuration'!$C$41</f>
        <v>Mg</v>
      </c>
      <c r="M69" s="9"/>
      <c r="N69" s="9"/>
      <c r="O69" s="9"/>
      <c r="P69" s="9"/>
      <c r="Q69" s="18" t="s">
        <v>3</v>
      </c>
      <c r="R69" s="3"/>
      <c r="S69" s="3"/>
      <c r="T69" s="9"/>
      <c r="U69" s="9"/>
      <c r="V69" s="2">
        <f>_xlfn.XLOOKUP(Tab_Data_Flows[[#This Row],[Flow_Name]],Tab_Def_Flows[Flow_Name],Tab_Def_Flows[Flow_E1_Fraction'[%']],"N.A.",0,1)</f>
        <v>0</v>
      </c>
      <c r="W69" s="8">
        <f t="shared" si="2"/>
        <v>0</v>
      </c>
      <c r="X69" s="2" t="str">
        <f>Tab_Data_Flows[[#This Row],[UoM_Source]]</f>
        <v>Mg</v>
      </c>
      <c r="Y69" s="19">
        <f>_xlfn.XLOOKUP(Tab_Data_Flows[[#This Row],[Flow_Name]],Tab_Def_Flows[Flow_Name],Tab_Def_Flows[Flow_E2_Fraction'[%']],"N.A.",0,1)</f>
        <v>0</v>
      </c>
      <c r="Z69" s="2">
        <f>IF(D69="Yes",W69*Tab_Data_Flows[[#This Row],[E2_Fraction'[%']]],"N.A.")</f>
        <v>0</v>
      </c>
      <c r="AA69" s="2" t="str">
        <f>Tab_Data_Flows[[#This Row],[E1_UoM]]</f>
        <v>Mg</v>
      </c>
      <c r="AB69" s="19">
        <f>_xlfn.XLOOKUP(Tab_Data_Flows[[#This Row],[Flow_Name]],Tab_Def_Flows[Flow_Name],Tab_Def_Flows[Flow_E3_Fraction'[%']],"N.A.",0,1)</f>
        <v>0</v>
      </c>
      <c r="AC69" s="2">
        <f>IF(E69="Yes",AB69*Tab_Data_Flows[[#This Row],[E1_value]],"N.A.")</f>
        <v>0</v>
      </c>
      <c r="AD69" s="2" t="str">
        <f>Tab_Data_Flows[[#This Row],[E1_UoM]]</f>
        <v>Mg</v>
      </c>
      <c r="AE69" s="19">
        <f>_xlfn.XLOOKUP(Tab_Data_Flows[[#This Row],[Flow_Name]],Tab_Def_Flows[Flow_Name],Tab_Def_Flows[Flow_E4_Fraction'[%']],"N.A.",0,1)</f>
        <v>0</v>
      </c>
      <c r="AF69" s="2">
        <f>IF(H69="Yes",Tab_Data_Flows[[#This Row],[E4_Fraction'[%']]]*Tab_Data_Flows[[#This Row],[E1_value]],"N.A.")</f>
        <v>0</v>
      </c>
      <c r="AG69" s="2" t="str">
        <f>Tab_Data_Flows[[#This Row],[E1_UoM]]</f>
        <v>Mg</v>
      </c>
      <c r="AH69" s="2">
        <f>_xlfn.XLOOKUP(Tab_Data_Flows[[#This Row],[Flow_Name]],Tab_Def_Flows[Flow_Name],Tab_Def_Flows[Flow_E5_Fraction'[%']],"N.A.",0,1)</f>
        <v>0</v>
      </c>
      <c r="AI69" s="2">
        <f>IF(H69="Yes",Tab_Data_Flows[[#This Row],[E5_Fraction'[%']]]*Tab_Data_Flows[[#This Row],[E1_value]],"N.A.")</f>
        <v>0</v>
      </c>
      <c r="AJ69" s="2" t="str">
        <f>Tab_Data_Flows[[#This Row],[E1_UoM]]</f>
        <v>Mg</v>
      </c>
      <c r="AK69" s="19">
        <f>_xlfn.XLOOKUP(Tab_Data_Flows[[#This Row],[Flow_Name]],Tab_Def_Flows[Flow_Name],Tab_Def_Flows[Flow_E6_Fraction'[%']],"N.A.",0,1)</f>
        <v>0</v>
      </c>
      <c r="AL69" s="2">
        <f>IF(Tab_Data_Flows[[#This Row],[Use_E6]]="Yes",Tab_Data_Flows[[#This Row],[E6_Fraction'[%']]]*Tab_Data_Flows[[#This Row],[E1_value]],"N.A.")</f>
        <v>0</v>
      </c>
      <c r="AM69" s="2" t="str">
        <f>Tab_Data_Flows[[#This Row],[E1_UoM]]</f>
        <v>Mg</v>
      </c>
    </row>
    <row r="70" spans="1:39" x14ac:dyDescent="0.25">
      <c r="A70" s="4">
        <f t="shared" si="3"/>
        <v>69</v>
      </c>
      <c r="B70" s="2" t="str">
        <f>_xlfn.XLOOKUP(C70,Tab_Def_Flows[Flow_Name],Tab_Def_Flows[Flow_ID],,0,)</f>
        <v>F__</v>
      </c>
      <c r="C70" s="18" t="s">
        <v>5</v>
      </c>
      <c r="D70" s="5" t="str">
        <f>_xlfn.XLOOKUP(C70,Tab_Def_Flows[Flow_Name],Tab_Def_Flows[Use_E1],,0,)</f>
        <v>Yes</v>
      </c>
      <c r="E70" s="5" t="str">
        <f>_xlfn.XLOOKUP(C70,Tab_Def_Flows[Flow_Name],Tab_Def_Flows[Use_E2],,0,)</f>
        <v>Yes</v>
      </c>
      <c r="F70" s="5" t="str">
        <f>_xlfn.XLOOKUP(C70,Tab_Def_Flows[Flow_Name],Tab_Def_Flows[Use_E3],,0,)</f>
        <v>Yes</v>
      </c>
      <c r="G70" s="5" t="str">
        <f>_xlfn.XLOOKUP(C70,Tab_Def_Flows[Flow_Name],Tab_Def_Flows[Use_E4],,0,)</f>
        <v>Yes</v>
      </c>
      <c r="H70" s="5" t="str">
        <f>_xlfn.XLOOKUP(C70,Tab_Def_Flows[Flow_Name],Tab_Def_Flows[Use_E5],,0,)</f>
        <v>Yes</v>
      </c>
      <c r="I70" s="5" t="str">
        <f>_xlfn.XLOOKUP(C70,Tab_Def_Flows[Flow_Name],Tab_Def_Flows[Use_E6],,0,)</f>
        <v>Yes</v>
      </c>
      <c r="J70" s="3"/>
      <c r="K70" s="3"/>
      <c r="L70" s="2" t="str">
        <f>'0_Configuration'!$C$41</f>
        <v>Mg</v>
      </c>
      <c r="M70" s="9"/>
      <c r="N70" s="9"/>
      <c r="O70" s="9"/>
      <c r="P70" s="9"/>
      <c r="Q70" s="18" t="s">
        <v>3</v>
      </c>
      <c r="R70" s="3"/>
      <c r="S70" s="3"/>
      <c r="T70" s="9"/>
      <c r="U70" s="9"/>
      <c r="V70" s="2">
        <f>_xlfn.XLOOKUP(Tab_Data_Flows[[#This Row],[Flow_Name]],Tab_Def_Flows[Flow_Name],Tab_Def_Flows[Flow_E1_Fraction'[%']],"N.A.",0,1)</f>
        <v>0</v>
      </c>
      <c r="W70" s="8">
        <f t="shared" si="2"/>
        <v>0</v>
      </c>
      <c r="X70" s="2" t="str">
        <f>Tab_Data_Flows[[#This Row],[UoM_Source]]</f>
        <v>Mg</v>
      </c>
      <c r="Y70" s="19">
        <f>_xlfn.XLOOKUP(Tab_Data_Flows[[#This Row],[Flow_Name]],Tab_Def_Flows[Flow_Name],Tab_Def_Flows[Flow_E2_Fraction'[%']],"N.A.",0,1)</f>
        <v>0</v>
      </c>
      <c r="Z70" s="2">
        <f>IF(D70="Yes",W70*Tab_Data_Flows[[#This Row],[E2_Fraction'[%']]],"N.A.")</f>
        <v>0</v>
      </c>
      <c r="AA70" s="2" t="str">
        <f>Tab_Data_Flows[[#This Row],[E1_UoM]]</f>
        <v>Mg</v>
      </c>
      <c r="AB70" s="19">
        <f>_xlfn.XLOOKUP(Tab_Data_Flows[[#This Row],[Flow_Name]],Tab_Def_Flows[Flow_Name],Tab_Def_Flows[Flow_E3_Fraction'[%']],"N.A.",0,1)</f>
        <v>0</v>
      </c>
      <c r="AC70" s="2">
        <f>IF(E70="Yes",AB70*Tab_Data_Flows[[#This Row],[E1_value]],"N.A.")</f>
        <v>0</v>
      </c>
      <c r="AD70" s="2" t="str">
        <f>Tab_Data_Flows[[#This Row],[E1_UoM]]</f>
        <v>Mg</v>
      </c>
      <c r="AE70" s="19">
        <f>_xlfn.XLOOKUP(Tab_Data_Flows[[#This Row],[Flow_Name]],Tab_Def_Flows[Flow_Name],Tab_Def_Flows[Flow_E4_Fraction'[%']],"N.A.",0,1)</f>
        <v>0</v>
      </c>
      <c r="AF70" s="2">
        <f>IF(H70="Yes",Tab_Data_Flows[[#This Row],[E4_Fraction'[%']]]*Tab_Data_Flows[[#This Row],[E1_value]],"N.A.")</f>
        <v>0</v>
      </c>
      <c r="AG70" s="2" t="str">
        <f>Tab_Data_Flows[[#This Row],[E1_UoM]]</f>
        <v>Mg</v>
      </c>
      <c r="AH70" s="2">
        <f>_xlfn.XLOOKUP(Tab_Data_Flows[[#This Row],[Flow_Name]],Tab_Def_Flows[Flow_Name],Tab_Def_Flows[Flow_E5_Fraction'[%']],"N.A.",0,1)</f>
        <v>0</v>
      </c>
      <c r="AI70" s="2">
        <f>IF(H70="Yes",Tab_Data_Flows[[#This Row],[E5_Fraction'[%']]]*Tab_Data_Flows[[#This Row],[E1_value]],"N.A.")</f>
        <v>0</v>
      </c>
      <c r="AJ70" s="2" t="str">
        <f>Tab_Data_Flows[[#This Row],[E1_UoM]]</f>
        <v>Mg</v>
      </c>
      <c r="AK70" s="19">
        <f>_xlfn.XLOOKUP(Tab_Data_Flows[[#This Row],[Flow_Name]],Tab_Def_Flows[Flow_Name],Tab_Def_Flows[Flow_E6_Fraction'[%']],"N.A.",0,1)</f>
        <v>0</v>
      </c>
      <c r="AL70" s="2">
        <f>IF(Tab_Data_Flows[[#This Row],[Use_E6]]="Yes",Tab_Data_Flows[[#This Row],[E6_Fraction'[%']]]*Tab_Data_Flows[[#This Row],[E1_value]],"N.A.")</f>
        <v>0</v>
      </c>
      <c r="AM70" s="2" t="str">
        <f>Tab_Data_Flows[[#This Row],[E1_UoM]]</f>
        <v>Mg</v>
      </c>
    </row>
    <row r="71" spans="1:39" x14ac:dyDescent="0.25">
      <c r="A71" s="4">
        <f t="shared" si="3"/>
        <v>70</v>
      </c>
      <c r="B71" s="2" t="str">
        <f>_xlfn.XLOOKUP(C71,Tab_Def_Flows[Flow_Name],Tab_Def_Flows[Flow_ID],,0,)</f>
        <v>F__</v>
      </c>
      <c r="C71" s="18" t="s">
        <v>5</v>
      </c>
      <c r="D71" s="5" t="str">
        <f>_xlfn.XLOOKUP(C71,Tab_Def_Flows[Flow_Name],Tab_Def_Flows[Use_E1],,0,)</f>
        <v>Yes</v>
      </c>
      <c r="E71" s="5" t="str">
        <f>_xlfn.XLOOKUP(C71,Tab_Def_Flows[Flow_Name],Tab_Def_Flows[Use_E2],,0,)</f>
        <v>Yes</v>
      </c>
      <c r="F71" s="5" t="str">
        <f>_xlfn.XLOOKUP(C71,Tab_Def_Flows[Flow_Name],Tab_Def_Flows[Use_E3],,0,)</f>
        <v>Yes</v>
      </c>
      <c r="G71" s="5" t="str">
        <f>_xlfn.XLOOKUP(C71,Tab_Def_Flows[Flow_Name],Tab_Def_Flows[Use_E4],,0,)</f>
        <v>Yes</v>
      </c>
      <c r="H71" s="5" t="str">
        <f>_xlfn.XLOOKUP(C71,Tab_Def_Flows[Flow_Name],Tab_Def_Flows[Use_E5],,0,)</f>
        <v>Yes</v>
      </c>
      <c r="I71" s="5" t="str">
        <f>_xlfn.XLOOKUP(C71,Tab_Def_Flows[Flow_Name],Tab_Def_Flows[Use_E6],,0,)</f>
        <v>Yes</v>
      </c>
      <c r="J71" s="3"/>
      <c r="K71" s="3"/>
      <c r="L71" s="2" t="str">
        <f>'0_Configuration'!$C$41</f>
        <v>Mg</v>
      </c>
      <c r="M71" s="9"/>
      <c r="N71" s="9"/>
      <c r="O71" s="9"/>
      <c r="P71" s="9"/>
      <c r="Q71" s="18" t="s">
        <v>3</v>
      </c>
      <c r="R71" s="3"/>
      <c r="S71" s="3"/>
      <c r="T71" s="9"/>
      <c r="U71" s="9"/>
      <c r="V71" s="2">
        <f>_xlfn.XLOOKUP(Tab_Data_Flows[[#This Row],[Flow_Name]],Tab_Def_Flows[Flow_Name],Tab_Def_Flows[Flow_E1_Fraction'[%']],"N.A.",0,1)</f>
        <v>0</v>
      </c>
      <c r="W71" s="8">
        <f t="shared" si="2"/>
        <v>0</v>
      </c>
      <c r="X71" s="2" t="str">
        <f>Tab_Data_Flows[[#This Row],[UoM_Source]]</f>
        <v>Mg</v>
      </c>
      <c r="Y71" s="19">
        <f>_xlfn.XLOOKUP(Tab_Data_Flows[[#This Row],[Flow_Name]],Tab_Def_Flows[Flow_Name],Tab_Def_Flows[Flow_E2_Fraction'[%']],"N.A.",0,1)</f>
        <v>0</v>
      </c>
      <c r="Z71" s="2">
        <f>IF(D71="Yes",W71*Tab_Data_Flows[[#This Row],[E2_Fraction'[%']]],"N.A.")</f>
        <v>0</v>
      </c>
      <c r="AA71" s="2" t="str">
        <f>Tab_Data_Flows[[#This Row],[E1_UoM]]</f>
        <v>Mg</v>
      </c>
      <c r="AB71" s="19">
        <f>_xlfn.XLOOKUP(Tab_Data_Flows[[#This Row],[Flow_Name]],Tab_Def_Flows[Flow_Name],Tab_Def_Flows[Flow_E3_Fraction'[%']],"N.A.",0,1)</f>
        <v>0</v>
      </c>
      <c r="AC71" s="2">
        <f>IF(E71="Yes",AB71*Tab_Data_Flows[[#This Row],[E1_value]],"N.A.")</f>
        <v>0</v>
      </c>
      <c r="AD71" s="2" t="str">
        <f>Tab_Data_Flows[[#This Row],[E1_UoM]]</f>
        <v>Mg</v>
      </c>
      <c r="AE71" s="19">
        <f>_xlfn.XLOOKUP(Tab_Data_Flows[[#This Row],[Flow_Name]],Tab_Def_Flows[Flow_Name],Tab_Def_Flows[Flow_E4_Fraction'[%']],"N.A.",0,1)</f>
        <v>0</v>
      </c>
      <c r="AF71" s="2">
        <f>IF(H71="Yes",Tab_Data_Flows[[#This Row],[E4_Fraction'[%']]]*Tab_Data_Flows[[#This Row],[E1_value]],"N.A.")</f>
        <v>0</v>
      </c>
      <c r="AG71" s="2" t="str">
        <f>Tab_Data_Flows[[#This Row],[E1_UoM]]</f>
        <v>Mg</v>
      </c>
      <c r="AH71" s="2">
        <f>_xlfn.XLOOKUP(Tab_Data_Flows[[#This Row],[Flow_Name]],Tab_Def_Flows[Flow_Name],Tab_Def_Flows[Flow_E5_Fraction'[%']],"N.A.",0,1)</f>
        <v>0</v>
      </c>
      <c r="AI71" s="2">
        <f>IF(H71="Yes",Tab_Data_Flows[[#This Row],[E5_Fraction'[%']]]*Tab_Data_Flows[[#This Row],[E1_value]],"N.A.")</f>
        <v>0</v>
      </c>
      <c r="AJ71" s="2" t="str">
        <f>Tab_Data_Flows[[#This Row],[E1_UoM]]</f>
        <v>Mg</v>
      </c>
      <c r="AK71" s="19">
        <f>_xlfn.XLOOKUP(Tab_Data_Flows[[#This Row],[Flow_Name]],Tab_Def_Flows[Flow_Name],Tab_Def_Flows[Flow_E6_Fraction'[%']],"N.A.",0,1)</f>
        <v>0</v>
      </c>
      <c r="AL71" s="2">
        <f>IF(Tab_Data_Flows[[#This Row],[Use_E6]]="Yes",Tab_Data_Flows[[#This Row],[E6_Fraction'[%']]]*Tab_Data_Flows[[#This Row],[E1_value]],"N.A.")</f>
        <v>0</v>
      </c>
      <c r="AM71" s="2" t="str">
        <f>Tab_Data_Flows[[#This Row],[E1_UoM]]</f>
        <v>Mg</v>
      </c>
    </row>
    <row r="72" spans="1:39" x14ac:dyDescent="0.25">
      <c r="A72" s="4">
        <f t="shared" si="3"/>
        <v>71</v>
      </c>
      <c r="B72" s="2" t="str">
        <f>_xlfn.XLOOKUP(C72,Tab_Def_Flows[Flow_Name],Tab_Def_Flows[Flow_ID],,0,)</f>
        <v>F__</v>
      </c>
      <c r="C72" s="18" t="s">
        <v>5</v>
      </c>
      <c r="D72" s="5" t="str">
        <f>_xlfn.XLOOKUP(C72,Tab_Def_Flows[Flow_Name],Tab_Def_Flows[Use_E1],,0,)</f>
        <v>Yes</v>
      </c>
      <c r="E72" s="5" t="str">
        <f>_xlfn.XLOOKUP(C72,Tab_Def_Flows[Flow_Name],Tab_Def_Flows[Use_E2],,0,)</f>
        <v>Yes</v>
      </c>
      <c r="F72" s="5" t="str">
        <f>_xlfn.XLOOKUP(C72,Tab_Def_Flows[Flow_Name],Tab_Def_Flows[Use_E3],,0,)</f>
        <v>Yes</v>
      </c>
      <c r="G72" s="5" t="str">
        <f>_xlfn.XLOOKUP(C72,Tab_Def_Flows[Flow_Name],Tab_Def_Flows[Use_E4],,0,)</f>
        <v>Yes</v>
      </c>
      <c r="H72" s="5" t="str">
        <f>_xlfn.XLOOKUP(C72,Tab_Def_Flows[Flow_Name],Tab_Def_Flows[Use_E5],,0,)</f>
        <v>Yes</v>
      </c>
      <c r="I72" s="5" t="str">
        <f>_xlfn.XLOOKUP(C72,Tab_Def_Flows[Flow_Name],Tab_Def_Flows[Use_E6],,0,)</f>
        <v>Yes</v>
      </c>
      <c r="J72" s="3"/>
      <c r="K72" s="3"/>
      <c r="L72" s="2" t="str">
        <f>'0_Configuration'!$C$41</f>
        <v>Mg</v>
      </c>
      <c r="M72" s="9"/>
      <c r="N72" s="9"/>
      <c r="O72" s="9"/>
      <c r="P72" s="9"/>
      <c r="Q72" s="18" t="s">
        <v>3</v>
      </c>
      <c r="R72" s="3"/>
      <c r="S72" s="3"/>
      <c r="T72" s="9"/>
      <c r="U72" s="9"/>
      <c r="V72" s="2">
        <f>_xlfn.XLOOKUP(Tab_Data_Flows[[#This Row],[Flow_Name]],Tab_Def_Flows[Flow_Name],Tab_Def_Flows[Flow_E1_Fraction'[%']],"N.A.",0,1)</f>
        <v>0</v>
      </c>
      <c r="W72" s="8">
        <f t="shared" si="2"/>
        <v>0</v>
      </c>
      <c r="X72" s="2" t="str">
        <f>Tab_Data_Flows[[#This Row],[UoM_Source]]</f>
        <v>Mg</v>
      </c>
      <c r="Y72" s="19">
        <f>_xlfn.XLOOKUP(Tab_Data_Flows[[#This Row],[Flow_Name]],Tab_Def_Flows[Flow_Name],Tab_Def_Flows[Flow_E2_Fraction'[%']],"N.A.",0,1)</f>
        <v>0</v>
      </c>
      <c r="Z72" s="2">
        <f>IF(D72="Yes",W72*Tab_Data_Flows[[#This Row],[E2_Fraction'[%']]],"N.A.")</f>
        <v>0</v>
      </c>
      <c r="AA72" s="2" t="str">
        <f>Tab_Data_Flows[[#This Row],[E1_UoM]]</f>
        <v>Mg</v>
      </c>
      <c r="AB72" s="19">
        <f>_xlfn.XLOOKUP(Tab_Data_Flows[[#This Row],[Flow_Name]],Tab_Def_Flows[Flow_Name],Tab_Def_Flows[Flow_E3_Fraction'[%']],"N.A.",0,1)</f>
        <v>0</v>
      </c>
      <c r="AC72" s="2">
        <f>IF(E72="Yes",AB72*Tab_Data_Flows[[#This Row],[E1_value]],"N.A.")</f>
        <v>0</v>
      </c>
      <c r="AD72" s="2" t="str">
        <f>Tab_Data_Flows[[#This Row],[E1_UoM]]</f>
        <v>Mg</v>
      </c>
      <c r="AE72" s="19">
        <f>_xlfn.XLOOKUP(Tab_Data_Flows[[#This Row],[Flow_Name]],Tab_Def_Flows[Flow_Name],Tab_Def_Flows[Flow_E4_Fraction'[%']],"N.A.",0,1)</f>
        <v>0</v>
      </c>
      <c r="AF72" s="2">
        <f>IF(H72="Yes",Tab_Data_Flows[[#This Row],[E4_Fraction'[%']]]*Tab_Data_Flows[[#This Row],[E1_value]],"N.A.")</f>
        <v>0</v>
      </c>
      <c r="AG72" s="2" t="str">
        <f>Tab_Data_Flows[[#This Row],[E1_UoM]]</f>
        <v>Mg</v>
      </c>
      <c r="AH72" s="2">
        <f>_xlfn.XLOOKUP(Tab_Data_Flows[[#This Row],[Flow_Name]],Tab_Def_Flows[Flow_Name],Tab_Def_Flows[Flow_E5_Fraction'[%']],"N.A.",0,1)</f>
        <v>0</v>
      </c>
      <c r="AI72" s="2">
        <f>IF(H72="Yes",Tab_Data_Flows[[#This Row],[E5_Fraction'[%']]]*Tab_Data_Flows[[#This Row],[E1_value]],"N.A.")</f>
        <v>0</v>
      </c>
      <c r="AJ72" s="2" t="str">
        <f>Tab_Data_Flows[[#This Row],[E1_UoM]]</f>
        <v>Mg</v>
      </c>
      <c r="AK72" s="19">
        <f>_xlfn.XLOOKUP(Tab_Data_Flows[[#This Row],[Flow_Name]],Tab_Def_Flows[Flow_Name],Tab_Def_Flows[Flow_E6_Fraction'[%']],"N.A.",0,1)</f>
        <v>0</v>
      </c>
      <c r="AL72" s="2">
        <f>IF(Tab_Data_Flows[[#This Row],[Use_E6]]="Yes",Tab_Data_Flows[[#This Row],[E6_Fraction'[%']]]*Tab_Data_Flows[[#This Row],[E1_value]],"N.A.")</f>
        <v>0</v>
      </c>
      <c r="AM72" s="2" t="str">
        <f>Tab_Data_Flows[[#This Row],[E1_UoM]]</f>
        <v>Mg</v>
      </c>
    </row>
    <row r="73" spans="1:39" x14ac:dyDescent="0.25">
      <c r="A73" s="4">
        <f t="shared" si="3"/>
        <v>72</v>
      </c>
      <c r="B73" s="2" t="str">
        <f>_xlfn.XLOOKUP(C73,Tab_Def_Flows[Flow_Name],Tab_Def_Flows[Flow_ID],,0,)</f>
        <v>F__</v>
      </c>
      <c r="C73" s="18" t="s">
        <v>5</v>
      </c>
      <c r="D73" s="5" t="str">
        <f>_xlfn.XLOOKUP(C73,Tab_Def_Flows[Flow_Name],Tab_Def_Flows[Use_E1],,0,)</f>
        <v>Yes</v>
      </c>
      <c r="E73" s="5" t="str">
        <f>_xlfn.XLOOKUP(C73,Tab_Def_Flows[Flow_Name],Tab_Def_Flows[Use_E2],,0,)</f>
        <v>Yes</v>
      </c>
      <c r="F73" s="5" t="str">
        <f>_xlfn.XLOOKUP(C73,Tab_Def_Flows[Flow_Name],Tab_Def_Flows[Use_E3],,0,)</f>
        <v>Yes</v>
      </c>
      <c r="G73" s="5" t="str">
        <f>_xlfn.XLOOKUP(C73,Tab_Def_Flows[Flow_Name],Tab_Def_Flows[Use_E4],,0,)</f>
        <v>Yes</v>
      </c>
      <c r="H73" s="5" t="str">
        <f>_xlfn.XLOOKUP(C73,Tab_Def_Flows[Flow_Name],Tab_Def_Flows[Use_E5],,0,)</f>
        <v>Yes</v>
      </c>
      <c r="I73" s="5" t="str">
        <f>_xlfn.XLOOKUP(C73,Tab_Def_Flows[Flow_Name],Tab_Def_Flows[Use_E6],,0,)</f>
        <v>Yes</v>
      </c>
      <c r="J73" s="3"/>
      <c r="K73" s="3"/>
      <c r="L73" s="2" t="str">
        <f>'0_Configuration'!$C$41</f>
        <v>Mg</v>
      </c>
      <c r="M73" s="9"/>
      <c r="N73" s="9"/>
      <c r="O73" s="9"/>
      <c r="P73" s="9"/>
      <c r="Q73" s="18" t="s">
        <v>3</v>
      </c>
      <c r="R73" s="3"/>
      <c r="S73" s="3"/>
      <c r="T73" s="9"/>
      <c r="U73" s="9"/>
      <c r="V73" s="2">
        <f>_xlfn.XLOOKUP(Tab_Data_Flows[[#This Row],[Flow_Name]],Tab_Def_Flows[Flow_Name],Tab_Def_Flows[Flow_E1_Fraction'[%']],"N.A.",0,1)</f>
        <v>0</v>
      </c>
      <c r="W73" s="8">
        <f t="shared" si="2"/>
        <v>0</v>
      </c>
      <c r="X73" s="2" t="str">
        <f>Tab_Data_Flows[[#This Row],[UoM_Source]]</f>
        <v>Mg</v>
      </c>
      <c r="Y73" s="19">
        <f>_xlfn.XLOOKUP(Tab_Data_Flows[[#This Row],[Flow_Name]],Tab_Def_Flows[Flow_Name],Tab_Def_Flows[Flow_E2_Fraction'[%']],"N.A.",0,1)</f>
        <v>0</v>
      </c>
      <c r="Z73" s="2">
        <f>IF(D73="Yes",W73*Tab_Data_Flows[[#This Row],[E2_Fraction'[%']]],"N.A.")</f>
        <v>0</v>
      </c>
      <c r="AA73" s="2" t="str">
        <f>Tab_Data_Flows[[#This Row],[E1_UoM]]</f>
        <v>Mg</v>
      </c>
      <c r="AB73" s="19">
        <f>_xlfn.XLOOKUP(Tab_Data_Flows[[#This Row],[Flow_Name]],Tab_Def_Flows[Flow_Name],Tab_Def_Flows[Flow_E3_Fraction'[%']],"N.A.",0,1)</f>
        <v>0</v>
      </c>
      <c r="AC73" s="2">
        <f>IF(E73="Yes",AB73*Tab_Data_Flows[[#This Row],[E1_value]],"N.A.")</f>
        <v>0</v>
      </c>
      <c r="AD73" s="2" t="str">
        <f>Tab_Data_Flows[[#This Row],[E1_UoM]]</f>
        <v>Mg</v>
      </c>
      <c r="AE73" s="19">
        <f>_xlfn.XLOOKUP(Tab_Data_Flows[[#This Row],[Flow_Name]],Tab_Def_Flows[Flow_Name],Tab_Def_Flows[Flow_E4_Fraction'[%']],"N.A.",0,1)</f>
        <v>0</v>
      </c>
      <c r="AF73" s="2">
        <f>IF(H73="Yes",Tab_Data_Flows[[#This Row],[E4_Fraction'[%']]]*Tab_Data_Flows[[#This Row],[E1_value]],"N.A.")</f>
        <v>0</v>
      </c>
      <c r="AG73" s="2" t="str">
        <f>Tab_Data_Flows[[#This Row],[E1_UoM]]</f>
        <v>Mg</v>
      </c>
      <c r="AH73" s="2">
        <f>_xlfn.XLOOKUP(Tab_Data_Flows[[#This Row],[Flow_Name]],Tab_Def_Flows[Flow_Name],Tab_Def_Flows[Flow_E5_Fraction'[%']],"N.A.",0,1)</f>
        <v>0</v>
      </c>
      <c r="AI73" s="2">
        <f>IF(H73="Yes",Tab_Data_Flows[[#This Row],[E5_Fraction'[%']]]*Tab_Data_Flows[[#This Row],[E1_value]],"N.A.")</f>
        <v>0</v>
      </c>
      <c r="AJ73" s="2" t="str">
        <f>Tab_Data_Flows[[#This Row],[E1_UoM]]</f>
        <v>Mg</v>
      </c>
      <c r="AK73" s="19">
        <f>_xlfn.XLOOKUP(Tab_Data_Flows[[#This Row],[Flow_Name]],Tab_Def_Flows[Flow_Name],Tab_Def_Flows[Flow_E6_Fraction'[%']],"N.A.",0,1)</f>
        <v>0</v>
      </c>
      <c r="AL73" s="2">
        <f>IF(Tab_Data_Flows[[#This Row],[Use_E6]]="Yes",Tab_Data_Flows[[#This Row],[E6_Fraction'[%']]]*Tab_Data_Flows[[#This Row],[E1_value]],"N.A.")</f>
        <v>0</v>
      </c>
      <c r="AM73" s="2" t="str">
        <f>Tab_Data_Flows[[#This Row],[E1_UoM]]</f>
        <v>Mg</v>
      </c>
    </row>
    <row r="74" spans="1:39" x14ac:dyDescent="0.25">
      <c r="A74" s="4">
        <f t="shared" si="3"/>
        <v>73</v>
      </c>
      <c r="B74" s="2" t="str">
        <f>_xlfn.XLOOKUP(C74,Tab_Def_Flows[Flow_Name],Tab_Def_Flows[Flow_ID],,0,)</f>
        <v>F__</v>
      </c>
      <c r="C74" s="18" t="s">
        <v>5</v>
      </c>
      <c r="D74" s="5" t="str">
        <f>_xlfn.XLOOKUP(C74,Tab_Def_Flows[Flow_Name],Tab_Def_Flows[Use_E1],,0,)</f>
        <v>Yes</v>
      </c>
      <c r="E74" s="5" t="str">
        <f>_xlfn.XLOOKUP(C74,Tab_Def_Flows[Flow_Name],Tab_Def_Flows[Use_E2],,0,)</f>
        <v>Yes</v>
      </c>
      <c r="F74" s="5" t="str">
        <f>_xlfn.XLOOKUP(C74,Tab_Def_Flows[Flow_Name],Tab_Def_Flows[Use_E3],,0,)</f>
        <v>Yes</v>
      </c>
      <c r="G74" s="5" t="str">
        <f>_xlfn.XLOOKUP(C74,Tab_Def_Flows[Flow_Name],Tab_Def_Flows[Use_E4],,0,)</f>
        <v>Yes</v>
      </c>
      <c r="H74" s="5" t="str">
        <f>_xlfn.XLOOKUP(C74,Tab_Def_Flows[Flow_Name],Tab_Def_Flows[Use_E5],,0,)</f>
        <v>Yes</v>
      </c>
      <c r="I74" s="5" t="str">
        <f>_xlfn.XLOOKUP(C74,Tab_Def_Flows[Flow_Name],Tab_Def_Flows[Use_E6],,0,)</f>
        <v>Yes</v>
      </c>
      <c r="J74" s="3"/>
      <c r="K74" s="3"/>
      <c r="L74" s="2" t="str">
        <f>'0_Configuration'!$C$41</f>
        <v>Mg</v>
      </c>
      <c r="M74" s="9"/>
      <c r="N74" s="9"/>
      <c r="O74" s="9"/>
      <c r="P74" s="9"/>
      <c r="Q74" s="18" t="s">
        <v>3</v>
      </c>
      <c r="R74" s="3"/>
      <c r="S74" s="3"/>
      <c r="T74" s="9"/>
      <c r="U74" s="9"/>
      <c r="V74" s="2">
        <f>_xlfn.XLOOKUP(Tab_Data_Flows[[#This Row],[Flow_Name]],Tab_Def_Flows[Flow_Name],Tab_Def_Flows[Flow_E1_Fraction'[%']],"N.A.",0,1)</f>
        <v>0</v>
      </c>
      <c r="W74" s="8">
        <f t="shared" si="2"/>
        <v>0</v>
      </c>
      <c r="X74" s="2" t="str">
        <f>Tab_Data_Flows[[#This Row],[UoM_Source]]</f>
        <v>Mg</v>
      </c>
      <c r="Y74" s="19">
        <f>_xlfn.XLOOKUP(Tab_Data_Flows[[#This Row],[Flow_Name]],Tab_Def_Flows[Flow_Name],Tab_Def_Flows[Flow_E2_Fraction'[%']],"N.A.",0,1)</f>
        <v>0</v>
      </c>
      <c r="Z74" s="2">
        <f>IF(D74="Yes",W74*Tab_Data_Flows[[#This Row],[E2_Fraction'[%']]],"N.A.")</f>
        <v>0</v>
      </c>
      <c r="AA74" s="2" t="str">
        <f>Tab_Data_Flows[[#This Row],[E1_UoM]]</f>
        <v>Mg</v>
      </c>
      <c r="AB74" s="19">
        <f>_xlfn.XLOOKUP(Tab_Data_Flows[[#This Row],[Flow_Name]],Tab_Def_Flows[Flow_Name],Tab_Def_Flows[Flow_E3_Fraction'[%']],"N.A.",0,1)</f>
        <v>0</v>
      </c>
      <c r="AC74" s="2">
        <f>IF(E74="Yes",AB74*Tab_Data_Flows[[#This Row],[E1_value]],"N.A.")</f>
        <v>0</v>
      </c>
      <c r="AD74" s="2" t="str">
        <f>Tab_Data_Flows[[#This Row],[E1_UoM]]</f>
        <v>Mg</v>
      </c>
      <c r="AE74" s="19">
        <f>_xlfn.XLOOKUP(Tab_Data_Flows[[#This Row],[Flow_Name]],Tab_Def_Flows[Flow_Name],Tab_Def_Flows[Flow_E4_Fraction'[%']],"N.A.",0,1)</f>
        <v>0</v>
      </c>
      <c r="AF74" s="2">
        <f>IF(H74="Yes",Tab_Data_Flows[[#This Row],[E4_Fraction'[%']]]*Tab_Data_Flows[[#This Row],[E1_value]],"N.A.")</f>
        <v>0</v>
      </c>
      <c r="AG74" s="2" t="str">
        <f>Tab_Data_Flows[[#This Row],[E1_UoM]]</f>
        <v>Mg</v>
      </c>
      <c r="AH74" s="2">
        <f>_xlfn.XLOOKUP(Tab_Data_Flows[[#This Row],[Flow_Name]],Tab_Def_Flows[Flow_Name],Tab_Def_Flows[Flow_E5_Fraction'[%']],"N.A.",0,1)</f>
        <v>0</v>
      </c>
      <c r="AI74" s="2">
        <f>IF(H74="Yes",Tab_Data_Flows[[#This Row],[E5_Fraction'[%']]]*Tab_Data_Flows[[#This Row],[E1_value]],"N.A.")</f>
        <v>0</v>
      </c>
      <c r="AJ74" s="2" t="str">
        <f>Tab_Data_Flows[[#This Row],[E1_UoM]]</f>
        <v>Mg</v>
      </c>
      <c r="AK74" s="19">
        <f>_xlfn.XLOOKUP(Tab_Data_Flows[[#This Row],[Flow_Name]],Tab_Def_Flows[Flow_Name],Tab_Def_Flows[Flow_E6_Fraction'[%']],"N.A.",0,1)</f>
        <v>0</v>
      </c>
      <c r="AL74" s="2">
        <f>IF(Tab_Data_Flows[[#This Row],[Use_E6]]="Yes",Tab_Data_Flows[[#This Row],[E6_Fraction'[%']]]*Tab_Data_Flows[[#This Row],[E1_value]],"N.A.")</f>
        <v>0</v>
      </c>
      <c r="AM74" s="2" t="str">
        <f>Tab_Data_Flows[[#This Row],[E1_UoM]]</f>
        <v>Mg</v>
      </c>
    </row>
    <row r="75" spans="1:39" x14ac:dyDescent="0.25">
      <c r="A75" s="4">
        <f t="shared" si="3"/>
        <v>74</v>
      </c>
      <c r="B75" s="2" t="str">
        <f>_xlfn.XLOOKUP(C75,Tab_Def_Flows[Flow_Name],Tab_Def_Flows[Flow_ID],,0,)</f>
        <v>F__</v>
      </c>
      <c r="C75" s="18" t="s">
        <v>5</v>
      </c>
      <c r="D75" s="5" t="str">
        <f>_xlfn.XLOOKUP(C75,Tab_Def_Flows[Flow_Name],Tab_Def_Flows[Use_E1],,0,)</f>
        <v>Yes</v>
      </c>
      <c r="E75" s="5" t="str">
        <f>_xlfn.XLOOKUP(C75,Tab_Def_Flows[Flow_Name],Tab_Def_Flows[Use_E2],,0,)</f>
        <v>Yes</v>
      </c>
      <c r="F75" s="5" t="str">
        <f>_xlfn.XLOOKUP(C75,Tab_Def_Flows[Flow_Name],Tab_Def_Flows[Use_E3],,0,)</f>
        <v>Yes</v>
      </c>
      <c r="G75" s="5" t="str">
        <f>_xlfn.XLOOKUP(C75,Tab_Def_Flows[Flow_Name],Tab_Def_Flows[Use_E4],,0,)</f>
        <v>Yes</v>
      </c>
      <c r="H75" s="5" t="str">
        <f>_xlfn.XLOOKUP(C75,Tab_Def_Flows[Flow_Name],Tab_Def_Flows[Use_E5],,0,)</f>
        <v>Yes</v>
      </c>
      <c r="I75" s="5" t="str">
        <f>_xlfn.XLOOKUP(C75,Tab_Def_Flows[Flow_Name],Tab_Def_Flows[Use_E6],,0,)</f>
        <v>Yes</v>
      </c>
      <c r="J75" s="3"/>
      <c r="K75" s="3"/>
      <c r="L75" s="2" t="str">
        <f>'0_Configuration'!$C$41</f>
        <v>Mg</v>
      </c>
      <c r="M75" s="9"/>
      <c r="N75" s="9"/>
      <c r="O75" s="9"/>
      <c r="P75" s="9"/>
      <c r="Q75" s="18" t="s">
        <v>3</v>
      </c>
      <c r="R75" s="3"/>
      <c r="S75" s="3"/>
      <c r="T75" s="9"/>
      <c r="U75" s="9"/>
      <c r="V75" s="2">
        <f>_xlfn.XLOOKUP(Tab_Data_Flows[[#This Row],[Flow_Name]],Tab_Def_Flows[Flow_Name],Tab_Def_Flows[Flow_E1_Fraction'[%']],"N.A.",0,1)</f>
        <v>0</v>
      </c>
      <c r="W75" s="8">
        <f t="shared" si="2"/>
        <v>0</v>
      </c>
      <c r="X75" s="2" t="str">
        <f>Tab_Data_Flows[[#This Row],[UoM_Source]]</f>
        <v>Mg</v>
      </c>
      <c r="Y75" s="19">
        <f>_xlfn.XLOOKUP(Tab_Data_Flows[[#This Row],[Flow_Name]],Tab_Def_Flows[Flow_Name],Tab_Def_Flows[Flow_E2_Fraction'[%']],"N.A.",0,1)</f>
        <v>0</v>
      </c>
      <c r="Z75" s="2">
        <f>IF(D75="Yes",W75*Tab_Data_Flows[[#This Row],[E2_Fraction'[%']]],"N.A.")</f>
        <v>0</v>
      </c>
      <c r="AA75" s="2" t="str">
        <f>Tab_Data_Flows[[#This Row],[E1_UoM]]</f>
        <v>Mg</v>
      </c>
      <c r="AB75" s="19">
        <f>_xlfn.XLOOKUP(Tab_Data_Flows[[#This Row],[Flow_Name]],Tab_Def_Flows[Flow_Name],Tab_Def_Flows[Flow_E3_Fraction'[%']],"N.A.",0,1)</f>
        <v>0</v>
      </c>
      <c r="AC75" s="2">
        <f>IF(E75="Yes",AB75*Tab_Data_Flows[[#This Row],[E1_value]],"N.A.")</f>
        <v>0</v>
      </c>
      <c r="AD75" s="2" t="str">
        <f>Tab_Data_Flows[[#This Row],[E1_UoM]]</f>
        <v>Mg</v>
      </c>
      <c r="AE75" s="19">
        <f>_xlfn.XLOOKUP(Tab_Data_Flows[[#This Row],[Flow_Name]],Tab_Def_Flows[Flow_Name],Tab_Def_Flows[Flow_E4_Fraction'[%']],"N.A.",0,1)</f>
        <v>0</v>
      </c>
      <c r="AF75" s="2">
        <f>IF(H75="Yes",Tab_Data_Flows[[#This Row],[E4_Fraction'[%']]]*Tab_Data_Flows[[#This Row],[E1_value]],"N.A.")</f>
        <v>0</v>
      </c>
      <c r="AG75" s="2" t="str">
        <f>Tab_Data_Flows[[#This Row],[E1_UoM]]</f>
        <v>Mg</v>
      </c>
      <c r="AH75" s="2">
        <f>_xlfn.XLOOKUP(Tab_Data_Flows[[#This Row],[Flow_Name]],Tab_Def_Flows[Flow_Name],Tab_Def_Flows[Flow_E5_Fraction'[%']],"N.A.",0,1)</f>
        <v>0</v>
      </c>
      <c r="AI75" s="2">
        <f>IF(H75="Yes",Tab_Data_Flows[[#This Row],[E5_Fraction'[%']]]*Tab_Data_Flows[[#This Row],[E1_value]],"N.A.")</f>
        <v>0</v>
      </c>
      <c r="AJ75" s="2" t="str">
        <f>Tab_Data_Flows[[#This Row],[E1_UoM]]</f>
        <v>Mg</v>
      </c>
      <c r="AK75" s="19">
        <f>_xlfn.XLOOKUP(Tab_Data_Flows[[#This Row],[Flow_Name]],Tab_Def_Flows[Flow_Name],Tab_Def_Flows[Flow_E6_Fraction'[%']],"N.A.",0,1)</f>
        <v>0</v>
      </c>
      <c r="AL75" s="2">
        <f>IF(Tab_Data_Flows[[#This Row],[Use_E6]]="Yes",Tab_Data_Flows[[#This Row],[E6_Fraction'[%']]]*Tab_Data_Flows[[#This Row],[E1_value]],"N.A.")</f>
        <v>0</v>
      </c>
      <c r="AM75" s="2" t="str">
        <f>Tab_Data_Flows[[#This Row],[E1_UoM]]</f>
        <v>Mg</v>
      </c>
    </row>
    <row r="76" spans="1:39" x14ac:dyDescent="0.25">
      <c r="A76" s="4">
        <f t="shared" si="3"/>
        <v>75</v>
      </c>
      <c r="B76" s="2" t="str">
        <f>_xlfn.XLOOKUP(C76,Tab_Def_Flows[Flow_Name],Tab_Def_Flows[Flow_ID],,0,)</f>
        <v>F__</v>
      </c>
      <c r="C76" s="18" t="s">
        <v>5</v>
      </c>
      <c r="D76" s="5" t="str">
        <f>_xlfn.XLOOKUP(C76,Tab_Def_Flows[Flow_Name],Tab_Def_Flows[Use_E1],,0,)</f>
        <v>Yes</v>
      </c>
      <c r="E76" s="5" t="str">
        <f>_xlfn.XLOOKUP(C76,Tab_Def_Flows[Flow_Name],Tab_Def_Flows[Use_E2],,0,)</f>
        <v>Yes</v>
      </c>
      <c r="F76" s="5" t="str">
        <f>_xlfn.XLOOKUP(C76,Tab_Def_Flows[Flow_Name],Tab_Def_Flows[Use_E3],,0,)</f>
        <v>Yes</v>
      </c>
      <c r="G76" s="5" t="str">
        <f>_xlfn.XLOOKUP(C76,Tab_Def_Flows[Flow_Name],Tab_Def_Flows[Use_E4],,0,)</f>
        <v>Yes</v>
      </c>
      <c r="H76" s="5" t="str">
        <f>_xlfn.XLOOKUP(C76,Tab_Def_Flows[Flow_Name],Tab_Def_Flows[Use_E5],,0,)</f>
        <v>Yes</v>
      </c>
      <c r="I76" s="5" t="str">
        <f>_xlfn.XLOOKUP(C76,Tab_Def_Flows[Flow_Name],Tab_Def_Flows[Use_E6],,0,)</f>
        <v>Yes</v>
      </c>
      <c r="J76" s="3"/>
      <c r="K76" s="3"/>
      <c r="L76" s="2" t="str">
        <f>'0_Configuration'!$C$41</f>
        <v>Mg</v>
      </c>
      <c r="M76" s="9"/>
      <c r="N76" s="9"/>
      <c r="O76" s="9"/>
      <c r="P76" s="9"/>
      <c r="Q76" s="18" t="s">
        <v>3</v>
      </c>
      <c r="R76" s="3"/>
      <c r="S76" s="3"/>
      <c r="T76" s="9"/>
      <c r="U76" s="9"/>
      <c r="V76" s="2">
        <f>_xlfn.XLOOKUP(Tab_Data_Flows[[#This Row],[Flow_Name]],Tab_Def_Flows[Flow_Name],Tab_Def_Flows[Flow_E1_Fraction'[%']],"N.A.",0,1)</f>
        <v>0</v>
      </c>
      <c r="W76" s="8">
        <f t="shared" si="2"/>
        <v>0</v>
      </c>
      <c r="X76" s="2" t="str">
        <f>Tab_Data_Flows[[#This Row],[UoM_Source]]</f>
        <v>Mg</v>
      </c>
      <c r="Y76" s="19">
        <f>_xlfn.XLOOKUP(Tab_Data_Flows[[#This Row],[Flow_Name]],Tab_Def_Flows[Flow_Name],Tab_Def_Flows[Flow_E2_Fraction'[%']],"N.A.",0,1)</f>
        <v>0</v>
      </c>
      <c r="Z76" s="2">
        <f>IF(D76="Yes",W76*Tab_Data_Flows[[#This Row],[E2_Fraction'[%']]],"N.A.")</f>
        <v>0</v>
      </c>
      <c r="AA76" s="2" t="str">
        <f>Tab_Data_Flows[[#This Row],[E1_UoM]]</f>
        <v>Mg</v>
      </c>
      <c r="AB76" s="19">
        <f>_xlfn.XLOOKUP(Tab_Data_Flows[[#This Row],[Flow_Name]],Tab_Def_Flows[Flow_Name],Tab_Def_Flows[Flow_E3_Fraction'[%']],"N.A.",0,1)</f>
        <v>0</v>
      </c>
      <c r="AC76" s="2">
        <f>IF(E76="Yes",AB76*Tab_Data_Flows[[#This Row],[E1_value]],"N.A.")</f>
        <v>0</v>
      </c>
      <c r="AD76" s="2" t="str">
        <f>Tab_Data_Flows[[#This Row],[E1_UoM]]</f>
        <v>Mg</v>
      </c>
      <c r="AE76" s="19">
        <f>_xlfn.XLOOKUP(Tab_Data_Flows[[#This Row],[Flow_Name]],Tab_Def_Flows[Flow_Name],Tab_Def_Flows[Flow_E4_Fraction'[%']],"N.A.",0,1)</f>
        <v>0</v>
      </c>
      <c r="AF76" s="2">
        <f>IF(H76="Yes",Tab_Data_Flows[[#This Row],[E4_Fraction'[%']]]*Tab_Data_Flows[[#This Row],[E1_value]],"N.A.")</f>
        <v>0</v>
      </c>
      <c r="AG76" s="2" t="str">
        <f>Tab_Data_Flows[[#This Row],[E1_UoM]]</f>
        <v>Mg</v>
      </c>
      <c r="AH76" s="2">
        <f>_xlfn.XLOOKUP(Tab_Data_Flows[[#This Row],[Flow_Name]],Tab_Def_Flows[Flow_Name],Tab_Def_Flows[Flow_E5_Fraction'[%']],"N.A.",0,1)</f>
        <v>0</v>
      </c>
      <c r="AI76" s="2">
        <f>IF(H76="Yes",Tab_Data_Flows[[#This Row],[E5_Fraction'[%']]]*Tab_Data_Flows[[#This Row],[E1_value]],"N.A.")</f>
        <v>0</v>
      </c>
      <c r="AJ76" s="2" t="str">
        <f>Tab_Data_Flows[[#This Row],[E1_UoM]]</f>
        <v>Mg</v>
      </c>
      <c r="AK76" s="19">
        <f>_xlfn.XLOOKUP(Tab_Data_Flows[[#This Row],[Flow_Name]],Tab_Def_Flows[Flow_Name],Tab_Def_Flows[Flow_E6_Fraction'[%']],"N.A.",0,1)</f>
        <v>0</v>
      </c>
      <c r="AL76" s="2">
        <f>IF(Tab_Data_Flows[[#This Row],[Use_E6]]="Yes",Tab_Data_Flows[[#This Row],[E6_Fraction'[%']]]*Tab_Data_Flows[[#This Row],[E1_value]],"N.A.")</f>
        <v>0</v>
      </c>
      <c r="AM76" s="2" t="str">
        <f>Tab_Data_Flows[[#This Row],[E1_UoM]]</f>
        <v>Mg</v>
      </c>
    </row>
    <row r="77" spans="1:39" x14ac:dyDescent="0.25">
      <c r="A77" s="4">
        <f t="shared" si="3"/>
        <v>76</v>
      </c>
      <c r="B77" s="2" t="str">
        <f>_xlfn.XLOOKUP(C77,Tab_Def_Flows[Flow_Name],Tab_Def_Flows[Flow_ID],,0,)</f>
        <v>F__</v>
      </c>
      <c r="C77" s="18" t="s">
        <v>5</v>
      </c>
      <c r="D77" s="5" t="str">
        <f>_xlfn.XLOOKUP(C77,Tab_Def_Flows[Flow_Name],Tab_Def_Flows[Use_E1],,0,)</f>
        <v>Yes</v>
      </c>
      <c r="E77" s="5" t="str">
        <f>_xlfn.XLOOKUP(C77,Tab_Def_Flows[Flow_Name],Tab_Def_Flows[Use_E2],,0,)</f>
        <v>Yes</v>
      </c>
      <c r="F77" s="5" t="str">
        <f>_xlfn.XLOOKUP(C77,Tab_Def_Flows[Flow_Name],Tab_Def_Flows[Use_E3],,0,)</f>
        <v>Yes</v>
      </c>
      <c r="G77" s="5" t="str">
        <f>_xlfn.XLOOKUP(C77,Tab_Def_Flows[Flow_Name],Tab_Def_Flows[Use_E4],,0,)</f>
        <v>Yes</v>
      </c>
      <c r="H77" s="5" t="str">
        <f>_xlfn.XLOOKUP(C77,Tab_Def_Flows[Flow_Name],Tab_Def_Flows[Use_E5],,0,)</f>
        <v>Yes</v>
      </c>
      <c r="I77" s="5" t="str">
        <f>_xlfn.XLOOKUP(C77,Tab_Def_Flows[Flow_Name],Tab_Def_Flows[Use_E6],,0,)</f>
        <v>Yes</v>
      </c>
      <c r="J77" s="3"/>
      <c r="K77" s="3"/>
      <c r="L77" s="2" t="str">
        <f>'0_Configuration'!$C$41</f>
        <v>Mg</v>
      </c>
      <c r="M77" s="9"/>
      <c r="N77" s="9"/>
      <c r="O77" s="9"/>
      <c r="P77" s="9"/>
      <c r="Q77" s="18" t="s">
        <v>3</v>
      </c>
      <c r="R77" s="3"/>
      <c r="S77" s="3"/>
      <c r="T77" s="9"/>
      <c r="U77" s="9"/>
      <c r="V77" s="2">
        <f>_xlfn.XLOOKUP(Tab_Data_Flows[[#This Row],[Flow_Name]],Tab_Def_Flows[Flow_Name],Tab_Def_Flows[Flow_E1_Fraction'[%']],"N.A.",0,1)</f>
        <v>0</v>
      </c>
      <c r="W77" s="8">
        <f t="shared" si="2"/>
        <v>0</v>
      </c>
      <c r="X77" s="2" t="str">
        <f>Tab_Data_Flows[[#This Row],[UoM_Source]]</f>
        <v>Mg</v>
      </c>
      <c r="Y77" s="19">
        <f>_xlfn.XLOOKUP(Tab_Data_Flows[[#This Row],[Flow_Name]],Tab_Def_Flows[Flow_Name],Tab_Def_Flows[Flow_E2_Fraction'[%']],"N.A.",0,1)</f>
        <v>0</v>
      </c>
      <c r="Z77" s="2">
        <f>IF(D77="Yes",W77*Tab_Data_Flows[[#This Row],[E2_Fraction'[%']]],"N.A.")</f>
        <v>0</v>
      </c>
      <c r="AA77" s="2" t="str">
        <f>Tab_Data_Flows[[#This Row],[E1_UoM]]</f>
        <v>Mg</v>
      </c>
      <c r="AB77" s="19">
        <f>_xlfn.XLOOKUP(Tab_Data_Flows[[#This Row],[Flow_Name]],Tab_Def_Flows[Flow_Name],Tab_Def_Flows[Flow_E3_Fraction'[%']],"N.A.",0,1)</f>
        <v>0</v>
      </c>
      <c r="AC77" s="2">
        <f>IF(E77="Yes",AB77*Tab_Data_Flows[[#This Row],[E1_value]],"N.A.")</f>
        <v>0</v>
      </c>
      <c r="AD77" s="2" t="str">
        <f>Tab_Data_Flows[[#This Row],[E1_UoM]]</f>
        <v>Mg</v>
      </c>
      <c r="AE77" s="19">
        <f>_xlfn.XLOOKUP(Tab_Data_Flows[[#This Row],[Flow_Name]],Tab_Def_Flows[Flow_Name],Tab_Def_Flows[Flow_E4_Fraction'[%']],"N.A.",0,1)</f>
        <v>0</v>
      </c>
      <c r="AF77" s="2">
        <f>IF(H77="Yes",Tab_Data_Flows[[#This Row],[E4_Fraction'[%']]]*Tab_Data_Flows[[#This Row],[E1_value]],"N.A.")</f>
        <v>0</v>
      </c>
      <c r="AG77" s="2" t="str">
        <f>Tab_Data_Flows[[#This Row],[E1_UoM]]</f>
        <v>Mg</v>
      </c>
      <c r="AH77" s="2">
        <f>_xlfn.XLOOKUP(Tab_Data_Flows[[#This Row],[Flow_Name]],Tab_Def_Flows[Flow_Name],Tab_Def_Flows[Flow_E5_Fraction'[%']],"N.A.",0,1)</f>
        <v>0</v>
      </c>
      <c r="AI77" s="2">
        <f>IF(H77="Yes",Tab_Data_Flows[[#This Row],[E5_Fraction'[%']]]*Tab_Data_Flows[[#This Row],[E1_value]],"N.A.")</f>
        <v>0</v>
      </c>
      <c r="AJ77" s="2" t="str">
        <f>Tab_Data_Flows[[#This Row],[E1_UoM]]</f>
        <v>Mg</v>
      </c>
      <c r="AK77" s="19">
        <f>_xlfn.XLOOKUP(Tab_Data_Flows[[#This Row],[Flow_Name]],Tab_Def_Flows[Flow_Name],Tab_Def_Flows[Flow_E6_Fraction'[%']],"N.A.",0,1)</f>
        <v>0</v>
      </c>
      <c r="AL77" s="2">
        <f>IF(Tab_Data_Flows[[#This Row],[Use_E6]]="Yes",Tab_Data_Flows[[#This Row],[E6_Fraction'[%']]]*Tab_Data_Flows[[#This Row],[E1_value]],"N.A.")</f>
        <v>0</v>
      </c>
      <c r="AM77" s="2" t="str">
        <f>Tab_Data_Flows[[#This Row],[E1_UoM]]</f>
        <v>Mg</v>
      </c>
    </row>
    <row r="78" spans="1:39" x14ac:dyDescent="0.25">
      <c r="A78" s="4">
        <f t="shared" si="3"/>
        <v>77</v>
      </c>
      <c r="B78" s="2" t="str">
        <f>_xlfn.XLOOKUP(C78,Tab_Def_Flows[Flow_Name],Tab_Def_Flows[Flow_ID],,0,)</f>
        <v>F__</v>
      </c>
      <c r="C78" s="18" t="s">
        <v>5</v>
      </c>
      <c r="D78" s="5" t="str">
        <f>_xlfn.XLOOKUP(C78,Tab_Def_Flows[Flow_Name],Tab_Def_Flows[Use_E1],,0,)</f>
        <v>Yes</v>
      </c>
      <c r="E78" s="5" t="str">
        <f>_xlfn.XLOOKUP(C78,Tab_Def_Flows[Flow_Name],Tab_Def_Flows[Use_E2],,0,)</f>
        <v>Yes</v>
      </c>
      <c r="F78" s="5" t="str">
        <f>_xlfn.XLOOKUP(C78,Tab_Def_Flows[Flow_Name],Tab_Def_Flows[Use_E3],,0,)</f>
        <v>Yes</v>
      </c>
      <c r="G78" s="5" t="str">
        <f>_xlfn.XLOOKUP(C78,Tab_Def_Flows[Flow_Name],Tab_Def_Flows[Use_E4],,0,)</f>
        <v>Yes</v>
      </c>
      <c r="H78" s="5" t="str">
        <f>_xlfn.XLOOKUP(C78,Tab_Def_Flows[Flow_Name],Tab_Def_Flows[Use_E5],,0,)</f>
        <v>Yes</v>
      </c>
      <c r="I78" s="5" t="str">
        <f>_xlfn.XLOOKUP(C78,Tab_Def_Flows[Flow_Name],Tab_Def_Flows[Use_E6],,0,)</f>
        <v>Yes</v>
      </c>
      <c r="J78" s="3"/>
      <c r="K78" s="3"/>
      <c r="L78" s="2" t="str">
        <f>'0_Configuration'!$C$41</f>
        <v>Mg</v>
      </c>
      <c r="M78" s="9"/>
      <c r="N78" s="9"/>
      <c r="O78" s="9"/>
      <c r="P78" s="9"/>
      <c r="Q78" s="18" t="s">
        <v>3</v>
      </c>
      <c r="R78" s="3"/>
      <c r="S78" s="3"/>
      <c r="T78" s="9"/>
      <c r="U78" s="9"/>
      <c r="V78" s="2">
        <f>_xlfn.XLOOKUP(Tab_Data_Flows[[#This Row],[Flow_Name]],Tab_Def_Flows[Flow_Name],Tab_Def_Flows[Flow_E1_Fraction'[%']],"N.A.",0,1)</f>
        <v>0</v>
      </c>
      <c r="W78" s="8">
        <f t="shared" si="2"/>
        <v>0</v>
      </c>
      <c r="X78" s="2" t="str">
        <f>Tab_Data_Flows[[#This Row],[UoM_Source]]</f>
        <v>Mg</v>
      </c>
      <c r="Y78" s="19">
        <f>_xlfn.XLOOKUP(Tab_Data_Flows[[#This Row],[Flow_Name]],Tab_Def_Flows[Flow_Name],Tab_Def_Flows[Flow_E2_Fraction'[%']],"N.A.",0,1)</f>
        <v>0</v>
      </c>
      <c r="Z78" s="2">
        <f>IF(D78="Yes",W78*Tab_Data_Flows[[#This Row],[E2_Fraction'[%']]],"N.A.")</f>
        <v>0</v>
      </c>
      <c r="AA78" s="2" t="str">
        <f>Tab_Data_Flows[[#This Row],[E1_UoM]]</f>
        <v>Mg</v>
      </c>
      <c r="AB78" s="19">
        <f>_xlfn.XLOOKUP(Tab_Data_Flows[[#This Row],[Flow_Name]],Tab_Def_Flows[Flow_Name],Tab_Def_Flows[Flow_E3_Fraction'[%']],"N.A.",0,1)</f>
        <v>0</v>
      </c>
      <c r="AC78" s="2">
        <f>IF(E78="Yes",AB78*Tab_Data_Flows[[#This Row],[E1_value]],"N.A.")</f>
        <v>0</v>
      </c>
      <c r="AD78" s="2" t="str">
        <f>Tab_Data_Flows[[#This Row],[E1_UoM]]</f>
        <v>Mg</v>
      </c>
      <c r="AE78" s="19">
        <f>_xlfn.XLOOKUP(Tab_Data_Flows[[#This Row],[Flow_Name]],Tab_Def_Flows[Flow_Name],Tab_Def_Flows[Flow_E4_Fraction'[%']],"N.A.",0,1)</f>
        <v>0</v>
      </c>
      <c r="AF78" s="2">
        <f>IF(H78="Yes",Tab_Data_Flows[[#This Row],[E4_Fraction'[%']]]*Tab_Data_Flows[[#This Row],[E1_value]],"N.A.")</f>
        <v>0</v>
      </c>
      <c r="AG78" s="2" t="str">
        <f>Tab_Data_Flows[[#This Row],[E1_UoM]]</f>
        <v>Mg</v>
      </c>
      <c r="AH78" s="2">
        <f>_xlfn.XLOOKUP(Tab_Data_Flows[[#This Row],[Flow_Name]],Tab_Def_Flows[Flow_Name],Tab_Def_Flows[Flow_E5_Fraction'[%']],"N.A.",0,1)</f>
        <v>0</v>
      </c>
      <c r="AI78" s="2">
        <f>IF(H78="Yes",Tab_Data_Flows[[#This Row],[E5_Fraction'[%']]]*Tab_Data_Flows[[#This Row],[E1_value]],"N.A.")</f>
        <v>0</v>
      </c>
      <c r="AJ78" s="2" t="str">
        <f>Tab_Data_Flows[[#This Row],[E1_UoM]]</f>
        <v>Mg</v>
      </c>
      <c r="AK78" s="19">
        <f>_xlfn.XLOOKUP(Tab_Data_Flows[[#This Row],[Flow_Name]],Tab_Def_Flows[Flow_Name],Tab_Def_Flows[Flow_E6_Fraction'[%']],"N.A.",0,1)</f>
        <v>0</v>
      </c>
      <c r="AL78" s="2">
        <f>IF(Tab_Data_Flows[[#This Row],[Use_E6]]="Yes",Tab_Data_Flows[[#This Row],[E6_Fraction'[%']]]*Tab_Data_Flows[[#This Row],[E1_value]],"N.A.")</f>
        <v>0</v>
      </c>
      <c r="AM78" s="2" t="str">
        <f>Tab_Data_Flows[[#This Row],[E1_UoM]]</f>
        <v>Mg</v>
      </c>
    </row>
    <row r="79" spans="1:39" x14ac:dyDescent="0.25">
      <c r="A79" s="4">
        <f t="shared" si="3"/>
        <v>78</v>
      </c>
      <c r="B79" s="2" t="str">
        <f>_xlfn.XLOOKUP(C79,Tab_Def_Flows[Flow_Name],Tab_Def_Flows[Flow_ID],,0,)</f>
        <v>F__</v>
      </c>
      <c r="C79" s="18" t="s">
        <v>5</v>
      </c>
      <c r="D79" s="5" t="str">
        <f>_xlfn.XLOOKUP(C79,Tab_Def_Flows[Flow_Name],Tab_Def_Flows[Use_E1],,0,)</f>
        <v>Yes</v>
      </c>
      <c r="E79" s="5" t="str">
        <f>_xlfn.XLOOKUP(C79,Tab_Def_Flows[Flow_Name],Tab_Def_Flows[Use_E2],,0,)</f>
        <v>Yes</v>
      </c>
      <c r="F79" s="5" t="str">
        <f>_xlfn.XLOOKUP(C79,Tab_Def_Flows[Flow_Name],Tab_Def_Flows[Use_E3],,0,)</f>
        <v>Yes</v>
      </c>
      <c r="G79" s="5" t="str">
        <f>_xlfn.XLOOKUP(C79,Tab_Def_Flows[Flow_Name],Tab_Def_Flows[Use_E4],,0,)</f>
        <v>Yes</v>
      </c>
      <c r="H79" s="5" t="str">
        <f>_xlfn.XLOOKUP(C79,Tab_Def_Flows[Flow_Name],Tab_Def_Flows[Use_E5],,0,)</f>
        <v>Yes</v>
      </c>
      <c r="I79" s="5" t="str">
        <f>_xlfn.XLOOKUP(C79,Tab_Def_Flows[Flow_Name],Tab_Def_Flows[Use_E6],,0,)</f>
        <v>Yes</v>
      </c>
      <c r="J79" s="3"/>
      <c r="K79" s="3"/>
      <c r="L79" s="2" t="str">
        <f>'0_Configuration'!$C$41</f>
        <v>Mg</v>
      </c>
      <c r="M79" s="9"/>
      <c r="N79" s="9"/>
      <c r="O79" s="9"/>
      <c r="P79" s="9"/>
      <c r="Q79" s="18" t="s">
        <v>3</v>
      </c>
      <c r="R79" s="3"/>
      <c r="S79" s="3"/>
      <c r="T79" s="9"/>
      <c r="U79" s="9"/>
      <c r="V79" s="2">
        <f>_xlfn.XLOOKUP(Tab_Data_Flows[[#This Row],[Flow_Name]],Tab_Def_Flows[Flow_Name],Tab_Def_Flows[Flow_E1_Fraction'[%']],"N.A.",0,1)</f>
        <v>0</v>
      </c>
      <c r="W79" s="8">
        <f t="shared" si="2"/>
        <v>0</v>
      </c>
      <c r="X79" s="2" t="str">
        <f>Tab_Data_Flows[[#This Row],[UoM_Source]]</f>
        <v>Mg</v>
      </c>
      <c r="Y79" s="19">
        <f>_xlfn.XLOOKUP(Tab_Data_Flows[[#This Row],[Flow_Name]],Tab_Def_Flows[Flow_Name],Tab_Def_Flows[Flow_E2_Fraction'[%']],"N.A.",0,1)</f>
        <v>0</v>
      </c>
      <c r="Z79" s="2">
        <f>IF(D79="Yes",W79*Tab_Data_Flows[[#This Row],[E2_Fraction'[%']]],"N.A.")</f>
        <v>0</v>
      </c>
      <c r="AA79" s="2" t="str">
        <f>Tab_Data_Flows[[#This Row],[E1_UoM]]</f>
        <v>Mg</v>
      </c>
      <c r="AB79" s="19">
        <f>_xlfn.XLOOKUP(Tab_Data_Flows[[#This Row],[Flow_Name]],Tab_Def_Flows[Flow_Name],Tab_Def_Flows[Flow_E3_Fraction'[%']],"N.A.",0,1)</f>
        <v>0</v>
      </c>
      <c r="AC79" s="2">
        <f>IF(E79="Yes",AB79*Tab_Data_Flows[[#This Row],[E1_value]],"N.A.")</f>
        <v>0</v>
      </c>
      <c r="AD79" s="2" t="str">
        <f>Tab_Data_Flows[[#This Row],[E1_UoM]]</f>
        <v>Mg</v>
      </c>
      <c r="AE79" s="19">
        <f>_xlfn.XLOOKUP(Tab_Data_Flows[[#This Row],[Flow_Name]],Tab_Def_Flows[Flow_Name],Tab_Def_Flows[Flow_E4_Fraction'[%']],"N.A.",0,1)</f>
        <v>0</v>
      </c>
      <c r="AF79" s="2">
        <f>IF(H79="Yes",Tab_Data_Flows[[#This Row],[E4_Fraction'[%']]]*Tab_Data_Flows[[#This Row],[E1_value]],"N.A.")</f>
        <v>0</v>
      </c>
      <c r="AG79" s="2" t="str">
        <f>Tab_Data_Flows[[#This Row],[E1_UoM]]</f>
        <v>Mg</v>
      </c>
      <c r="AH79" s="2">
        <f>_xlfn.XLOOKUP(Tab_Data_Flows[[#This Row],[Flow_Name]],Tab_Def_Flows[Flow_Name],Tab_Def_Flows[Flow_E5_Fraction'[%']],"N.A.",0,1)</f>
        <v>0</v>
      </c>
      <c r="AI79" s="2">
        <f>IF(H79="Yes",Tab_Data_Flows[[#This Row],[E5_Fraction'[%']]]*Tab_Data_Flows[[#This Row],[E1_value]],"N.A.")</f>
        <v>0</v>
      </c>
      <c r="AJ79" s="2" t="str">
        <f>Tab_Data_Flows[[#This Row],[E1_UoM]]</f>
        <v>Mg</v>
      </c>
      <c r="AK79" s="19">
        <f>_xlfn.XLOOKUP(Tab_Data_Flows[[#This Row],[Flow_Name]],Tab_Def_Flows[Flow_Name],Tab_Def_Flows[Flow_E6_Fraction'[%']],"N.A.",0,1)</f>
        <v>0</v>
      </c>
      <c r="AL79" s="2">
        <f>IF(Tab_Data_Flows[[#This Row],[Use_E6]]="Yes",Tab_Data_Flows[[#This Row],[E6_Fraction'[%']]]*Tab_Data_Flows[[#This Row],[E1_value]],"N.A.")</f>
        <v>0</v>
      </c>
      <c r="AM79" s="2" t="str">
        <f>Tab_Data_Flows[[#This Row],[E1_UoM]]</f>
        <v>Mg</v>
      </c>
    </row>
    <row r="80" spans="1:39" x14ac:dyDescent="0.25">
      <c r="A80" s="4">
        <f t="shared" si="3"/>
        <v>79</v>
      </c>
      <c r="B80" s="2" t="str">
        <f>_xlfn.XLOOKUP(C80,Tab_Def_Flows[Flow_Name],Tab_Def_Flows[Flow_ID],,0,)</f>
        <v>F__</v>
      </c>
      <c r="C80" s="18" t="s">
        <v>5</v>
      </c>
      <c r="D80" s="5" t="str">
        <f>_xlfn.XLOOKUP(C80,Tab_Def_Flows[Flow_Name],Tab_Def_Flows[Use_E1],,0,)</f>
        <v>Yes</v>
      </c>
      <c r="E80" s="5" t="str">
        <f>_xlfn.XLOOKUP(C80,Tab_Def_Flows[Flow_Name],Tab_Def_Flows[Use_E2],,0,)</f>
        <v>Yes</v>
      </c>
      <c r="F80" s="5" t="str">
        <f>_xlfn.XLOOKUP(C80,Tab_Def_Flows[Flow_Name],Tab_Def_Flows[Use_E3],,0,)</f>
        <v>Yes</v>
      </c>
      <c r="G80" s="5" t="str">
        <f>_xlfn.XLOOKUP(C80,Tab_Def_Flows[Flow_Name],Tab_Def_Flows[Use_E4],,0,)</f>
        <v>Yes</v>
      </c>
      <c r="H80" s="5" t="str">
        <f>_xlfn.XLOOKUP(C80,Tab_Def_Flows[Flow_Name],Tab_Def_Flows[Use_E5],,0,)</f>
        <v>Yes</v>
      </c>
      <c r="I80" s="5" t="str">
        <f>_xlfn.XLOOKUP(C80,Tab_Def_Flows[Flow_Name],Tab_Def_Flows[Use_E6],,0,)</f>
        <v>Yes</v>
      </c>
      <c r="J80" s="3"/>
      <c r="K80" s="3"/>
      <c r="L80" s="2" t="str">
        <f>'0_Configuration'!$C$41</f>
        <v>Mg</v>
      </c>
      <c r="M80" s="9"/>
      <c r="N80" s="9"/>
      <c r="O80" s="9"/>
      <c r="P80" s="9"/>
      <c r="Q80" s="18" t="s">
        <v>3</v>
      </c>
      <c r="R80" s="3"/>
      <c r="S80" s="3"/>
      <c r="T80" s="9"/>
      <c r="U80" s="9"/>
      <c r="V80" s="2">
        <f>_xlfn.XLOOKUP(Tab_Data_Flows[[#This Row],[Flow_Name]],Tab_Def_Flows[Flow_Name],Tab_Def_Flows[Flow_E1_Fraction'[%']],"N.A.",0,1)</f>
        <v>0</v>
      </c>
      <c r="W80" s="8">
        <f t="shared" si="2"/>
        <v>0</v>
      </c>
      <c r="X80" s="2" t="str">
        <f>Tab_Data_Flows[[#This Row],[UoM_Source]]</f>
        <v>Mg</v>
      </c>
      <c r="Y80" s="19">
        <f>_xlfn.XLOOKUP(Tab_Data_Flows[[#This Row],[Flow_Name]],Tab_Def_Flows[Flow_Name],Tab_Def_Flows[Flow_E2_Fraction'[%']],"N.A.",0,1)</f>
        <v>0</v>
      </c>
      <c r="Z80" s="2">
        <f>IF(D80="Yes",W80*Tab_Data_Flows[[#This Row],[E2_Fraction'[%']]],"N.A.")</f>
        <v>0</v>
      </c>
      <c r="AA80" s="2" t="str">
        <f>Tab_Data_Flows[[#This Row],[E1_UoM]]</f>
        <v>Mg</v>
      </c>
      <c r="AB80" s="19">
        <f>_xlfn.XLOOKUP(Tab_Data_Flows[[#This Row],[Flow_Name]],Tab_Def_Flows[Flow_Name],Tab_Def_Flows[Flow_E3_Fraction'[%']],"N.A.",0,1)</f>
        <v>0</v>
      </c>
      <c r="AC80" s="2">
        <f>IF(E80="Yes",AB80*Tab_Data_Flows[[#This Row],[E1_value]],"N.A.")</f>
        <v>0</v>
      </c>
      <c r="AD80" s="2" t="str">
        <f>Tab_Data_Flows[[#This Row],[E1_UoM]]</f>
        <v>Mg</v>
      </c>
      <c r="AE80" s="19">
        <f>_xlfn.XLOOKUP(Tab_Data_Flows[[#This Row],[Flow_Name]],Tab_Def_Flows[Flow_Name],Tab_Def_Flows[Flow_E4_Fraction'[%']],"N.A.",0,1)</f>
        <v>0</v>
      </c>
      <c r="AF80" s="2">
        <f>IF(H80="Yes",Tab_Data_Flows[[#This Row],[E4_Fraction'[%']]]*Tab_Data_Flows[[#This Row],[E1_value]],"N.A.")</f>
        <v>0</v>
      </c>
      <c r="AG80" s="2" t="str">
        <f>Tab_Data_Flows[[#This Row],[E1_UoM]]</f>
        <v>Mg</v>
      </c>
      <c r="AH80" s="2">
        <f>_xlfn.XLOOKUP(Tab_Data_Flows[[#This Row],[Flow_Name]],Tab_Def_Flows[Flow_Name],Tab_Def_Flows[Flow_E5_Fraction'[%']],"N.A.",0,1)</f>
        <v>0</v>
      </c>
      <c r="AI80" s="2">
        <f>IF(H80="Yes",Tab_Data_Flows[[#This Row],[E5_Fraction'[%']]]*Tab_Data_Flows[[#This Row],[E1_value]],"N.A.")</f>
        <v>0</v>
      </c>
      <c r="AJ80" s="2" t="str">
        <f>Tab_Data_Flows[[#This Row],[E1_UoM]]</f>
        <v>Mg</v>
      </c>
      <c r="AK80" s="19">
        <f>_xlfn.XLOOKUP(Tab_Data_Flows[[#This Row],[Flow_Name]],Tab_Def_Flows[Flow_Name],Tab_Def_Flows[Flow_E6_Fraction'[%']],"N.A.",0,1)</f>
        <v>0</v>
      </c>
      <c r="AL80" s="2">
        <f>IF(Tab_Data_Flows[[#This Row],[Use_E6]]="Yes",Tab_Data_Flows[[#This Row],[E6_Fraction'[%']]]*Tab_Data_Flows[[#This Row],[E1_value]],"N.A.")</f>
        <v>0</v>
      </c>
      <c r="AM80" s="2" t="str">
        <f>Tab_Data_Flows[[#This Row],[E1_UoM]]</f>
        <v>Mg</v>
      </c>
    </row>
    <row r="81" spans="1:39" x14ac:dyDescent="0.25">
      <c r="A81" s="4">
        <f t="shared" si="3"/>
        <v>80</v>
      </c>
      <c r="B81" s="2" t="str">
        <f>_xlfn.XLOOKUP(C81,Tab_Def_Flows[Flow_Name],Tab_Def_Flows[Flow_ID],,0,)</f>
        <v>F__</v>
      </c>
      <c r="C81" s="18" t="s">
        <v>5</v>
      </c>
      <c r="D81" s="5" t="str">
        <f>_xlfn.XLOOKUP(C81,Tab_Def_Flows[Flow_Name],Tab_Def_Flows[Use_E1],,0,)</f>
        <v>Yes</v>
      </c>
      <c r="E81" s="5" t="str">
        <f>_xlfn.XLOOKUP(C81,Tab_Def_Flows[Flow_Name],Tab_Def_Flows[Use_E2],,0,)</f>
        <v>Yes</v>
      </c>
      <c r="F81" s="5" t="str">
        <f>_xlfn.XLOOKUP(C81,Tab_Def_Flows[Flow_Name],Tab_Def_Flows[Use_E3],,0,)</f>
        <v>Yes</v>
      </c>
      <c r="G81" s="5" t="str">
        <f>_xlfn.XLOOKUP(C81,Tab_Def_Flows[Flow_Name],Tab_Def_Flows[Use_E4],,0,)</f>
        <v>Yes</v>
      </c>
      <c r="H81" s="5" t="str">
        <f>_xlfn.XLOOKUP(C81,Tab_Def_Flows[Flow_Name],Tab_Def_Flows[Use_E5],,0,)</f>
        <v>Yes</v>
      </c>
      <c r="I81" s="5" t="str">
        <f>_xlfn.XLOOKUP(C81,Tab_Def_Flows[Flow_Name],Tab_Def_Flows[Use_E6],,0,)</f>
        <v>Yes</v>
      </c>
      <c r="J81" s="3"/>
      <c r="K81" s="3"/>
      <c r="L81" s="2" t="str">
        <f>'0_Configuration'!$C$41</f>
        <v>Mg</v>
      </c>
      <c r="M81" s="9"/>
      <c r="N81" s="9"/>
      <c r="O81" s="9"/>
      <c r="P81" s="9"/>
      <c r="Q81" s="18" t="s">
        <v>3</v>
      </c>
      <c r="R81" s="3"/>
      <c r="S81" s="3"/>
      <c r="T81" s="9"/>
      <c r="U81" s="9"/>
      <c r="V81" s="2">
        <f>_xlfn.XLOOKUP(Tab_Data_Flows[[#This Row],[Flow_Name]],Tab_Def_Flows[Flow_Name],Tab_Def_Flows[Flow_E1_Fraction'[%']],"N.A.",0,1)</f>
        <v>0</v>
      </c>
      <c r="W81" s="8">
        <f t="shared" si="2"/>
        <v>0</v>
      </c>
      <c r="X81" s="2" t="str">
        <f>Tab_Data_Flows[[#This Row],[UoM_Source]]</f>
        <v>Mg</v>
      </c>
      <c r="Y81" s="19">
        <f>_xlfn.XLOOKUP(Tab_Data_Flows[[#This Row],[Flow_Name]],Tab_Def_Flows[Flow_Name],Tab_Def_Flows[Flow_E2_Fraction'[%']],"N.A.",0,1)</f>
        <v>0</v>
      </c>
      <c r="Z81" s="2">
        <f>IF(D81="Yes",W81*Tab_Data_Flows[[#This Row],[E2_Fraction'[%']]],"N.A.")</f>
        <v>0</v>
      </c>
      <c r="AA81" s="2" t="str">
        <f>Tab_Data_Flows[[#This Row],[E1_UoM]]</f>
        <v>Mg</v>
      </c>
      <c r="AB81" s="19">
        <f>_xlfn.XLOOKUP(Tab_Data_Flows[[#This Row],[Flow_Name]],Tab_Def_Flows[Flow_Name],Tab_Def_Flows[Flow_E3_Fraction'[%']],"N.A.",0,1)</f>
        <v>0</v>
      </c>
      <c r="AC81" s="2">
        <f>IF(E81="Yes",AB81*Tab_Data_Flows[[#This Row],[E1_value]],"N.A.")</f>
        <v>0</v>
      </c>
      <c r="AD81" s="2" t="str">
        <f>Tab_Data_Flows[[#This Row],[E1_UoM]]</f>
        <v>Mg</v>
      </c>
      <c r="AE81" s="19">
        <f>_xlfn.XLOOKUP(Tab_Data_Flows[[#This Row],[Flow_Name]],Tab_Def_Flows[Flow_Name],Tab_Def_Flows[Flow_E4_Fraction'[%']],"N.A.",0,1)</f>
        <v>0</v>
      </c>
      <c r="AF81" s="2">
        <f>IF(H81="Yes",Tab_Data_Flows[[#This Row],[E4_Fraction'[%']]]*Tab_Data_Flows[[#This Row],[E1_value]],"N.A.")</f>
        <v>0</v>
      </c>
      <c r="AG81" s="2" t="str">
        <f>Tab_Data_Flows[[#This Row],[E1_UoM]]</f>
        <v>Mg</v>
      </c>
      <c r="AH81" s="2">
        <f>_xlfn.XLOOKUP(Tab_Data_Flows[[#This Row],[Flow_Name]],Tab_Def_Flows[Flow_Name],Tab_Def_Flows[Flow_E5_Fraction'[%']],"N.A.",0,1)</f>
        <v>0</v>
      </c>
      <c r="AI81" s="2">
        <f>IF(H81="Yes",Tab_Data_Flows[[#This Row],[E5_Fraction'[%']]]*Tab_Data_Flows[[#This Row],[E1_value]],"N.A.")</f>
        <v>0</v>
      </c>
      <c r="AJ81" s="2" t="str">
        <f>Tab_Data_Flows[[#This Row],[E1_UoM]]</f>
        <v>Mg</v>
      </c>
      <c r="AK81" s="19">
        <f>_xlfn.XLOOKUP(Tab_Data_Flows[[#This Row],[Flow_Name]],Tab_Def_Flows[Flow_Name],Tab_Def_Flows[Flow_E6_Fraction'[%']],"N.A.",0,1)</f>
        <v>0</v>
      </c>
      <c r="AL81" s="2">
        <f>IF(Tab_Data_Flows[[#This Row],[Use_E6]]="Yes",Tab_Data_Flows[[#This Row],[E6_Fraction'[%']]]*Tab_Data_Flows[[#This Row],[E1_value]],"N.A.")</f>
        <v>0</v>
      </c>
      <c r="AM81" s="2" t="str">
        <f>Tab_Data_Flows[[#This Row],[E1_UoM]]</f>
        <v>Mg</v>
      </c>
    </row>
    <row r="82" spans="1:39" x14ac:dyDescent="0.25">
      <c r="A82" s="4">
        <f t="shared" si="3"/>
        <v>81</v>
      </c>
      <c r="B82" s="2" t="str">
        <f>_xlfn.XLOOKUP(C82,Tab_Def_Flows[Flow_Name],Tab_Def_Flows[Flow_ID],,0,)</f>
        <v>F__</v>
      </c>
      <c r="C82" s="18" t="s">
        <v>5</v>
      </c>
      <c r="D82" s="5" t="str">
        <f>_xlfn.XLOOKUP(C82,Tab_Def_Flows[Flow_Name],Tab_Def_Flows[Use_E1],,0,)</f>
        <v>Yes</v>
      </c>
      <c r="E82" s="5" t="str">
        <f>_xlfn.XLOOKUP(C82,Tab_Def_Flows[Flow_Name],Tab_Def_Flows[Use_E2],,0,)</f>
        <v>Yes</v>
      </c>
      <c r="F82" s="5" t="str">
        <f>_xlfn.XLOOKUP(C82,Tab_Def_Flows[Flow_Name],Tab_Def_Flows[Use_E3],,0,)</f>
        <v>Yes</v>
      </c>
      <c r="G82" s="5" t="str">
        <f>_xlfn.XLOOKUP(C82,Tab_Def_Flows[Flow_Name],Tab_Def_Flows[Use_E4],,0,)</f>
        <v>Yes</v>
      </c>
      <c r="H82" s="5" t="str">
        <f>_xlfn.XLOOKUP(C82,Tab_Def_Flows[Flow_Name],Tab_Def_Flows[Use_E5],,0,)</f>
        <v>Yes</v>
      </c>
      <c r="I82" s="5" t="str">
        <f>_xlfn.XLOOKUP(C82,Tab_Def_Flows[Flow_Name],Tab_Def_Flows[Use_E6],,0,)</f>
        <v>Yes</v>
      </c>
      <c r="J82" s="3"/>
      <c r="K82" s="3"/>
      <c r="L82" s="2" t="str">
        <f>'0_Configuration'!$C$41</f>
        <v>Mg</v>
      </c>
      <c r="M82" s="9"/>
      <c r="N82" s="9"/>
      <c r="O82" s="9"/>
      <c r="P82" s="9"/>
      <c r="Q82" s="18" t="s">
        <v>3</v>
      </c>
      <c r="R82" s="3"/>
      <c r="S82" s="3"/>
      <c r="T82" s="9"/>
      <c r="U82" s="9"/>
      <c r="V82" s="2">
        <f>_xlfn.XLOOKUP(Tab_Data_Flows[[#This Row],[Flow_Name]],Tab_Def_Flows[Flow_Name],Tab_Def_Flows[Flow_E1_Fraction'[%']],"N.A.",0,1)</f>
        <v>0</v>
      </c>
      <c r="W82" s="8">
        <f t="shared" si="2"/>
        <v>0</v>
      </c>
      <c r="X82" s="2" t="str">
        <f>Tab_Data_Flows[[#This Row],[UoM_Source]]</f>
        <v>Mg</v>
      </c>
      <c r="Y82" s="19">
        <f>_xlfn.XLOOKUP(Tab_Data_Flows[[#This Row],[Flow_Name]],Tab_Def_Flows[Flow_Name],Tab_Def_Flows[Flow_E2_Fraction'[%']],"N.A.",0,1)</f>
        <v>0</v>
      </c>
      <c r="Z82" s="2">
        <f>IF(D82="Yes",W82*Tab_Data_Flows[[#This Row],[E2_Fraction'[%']]],"N.A.")</f>
        <v>0</v>
      </c>
      <c r="AA82" s="2" t="str">
        <f>Tab_Data_Flows[[#This Row],[E1_UoM]]</f>
        <v>Mg</v>
      </c>
      <c r="AB82" s="19">
        <f>_xlfn.XLOOKUP(Tab_Data_Flows[[#This Row],[Flow_Name]],Tab_Def_Flows[Flow_Name],Tab_Def_Flows[Flow_E3_Fraction'[%']],"N.A.",0,1)</f>
        <v>0</v>
      </c>
      <c r="AC82" s="2">
        <f>IF(E82="Yes",AB82*Tab_Data_Flows[[#This Row],[E1_value]],"N.A.")</f>
        <v>0</v>
      </c>
      <c r="AD82" s="2" t="str">
        <f>Tab_Data_Flows[[#This Row],[E1_UoM]]</f>
        <v>Mg</v>
      </c>
      <c r="AE82" s="19">
        <f>_xlfn.XLOOKUP(Tab_Data_Flows[[#This Row],[Flow_Name]],Tab_Def_Flows[Flow_Name],Tab_Def_Flows[Flow_E4_Fraction'[%']],"N.A.",0,1)</f>
        <v>0</v>
      </c>
      <c r="AF82" s="2">
        <f>IF(H82="Yes",Tab_Data_Flows[[#This Row],[E4_Fraction'[%']]]*Tab_Data_Flows[[#This Row],[E1_value]],"N.A.")</f>
        <v>0</v>
      </c>
      <c r="AG82" s="2" t="str">
        <f>Tab_Data_Flows[[#This Row],[E1_UoM]]</f>
        <v>Mg</v>
      </c>
      <c r="AH82" s="2">
        <f>_xlfn.XLOOKUP(Tab_Data_Flows[[#This Row],[Flow_Name]],Tab_Def_Flows[Flow_Name],Tab_Def_Flows[Flow_E5_Fraction'[%']],"N.A.",0,1)</f>
        <v>0</v>
      </c>
      <c r="AI82" s="2">
        <f>IF(H82="Yes",Tab_Data_Flows[[#This Row],[E5_Fraction'[%']]]*Tab_Data_Flows[[#This Row],[E1_value]],"N.A.")</f>
        <v>0</v>
      </c>
      <c r="AJ82" s="2" t="str">
        <f>Tab_Data_Flows[[#This Row],[E1_UoM]]</f>
        <v>Mg</v>
      </c>
      <c r="AK82" s="19">
        <f>_xlfn.XLOOKUP(Tab_Data_Flows[[#This Row],[Flow_Name]],Tab_Def_Flows[Flow_Name],Tab_Def_Flows[Flow_E6_Fraction'[%']],"N.A.",0,1)</f>
        <v>0</v>
      </c>
      <c r="AL82" s="2">
        <f>IF(Tab_Data_Flows[[#This Row],[Use_E6]]="Yes",Tab_Data_Flows[[#This Row],[E6_Fraction'[%']]]*Tab_Data_Flows[[#This Row],[E1_value]],"N.A.")</f>
        <v>0</v>
      </c>
      <c r="AM82" s="2" t="str">
        <f>Tab_Data_Flows[[#This Row],[E1_UoM]]</f>
        <v>Mg</v>
      </c>
    </row>
    <row r="83" spans="1:39" x14ac:dyDescent="0.25">
      <c r="A83" s="4">
        <f t="shared" si="3"/>
        <v>82</v>
      </c>
      <c r="B83" s="2" t="str">
        <f>_xlfn.XLOOKUP(C83,Tab_Def_Flows[Flow_Name],Tab_Def_Flows[Flow_ID],,0,)</f>
        <v>F__</v>
      </c>
      <c r="C83" s="18" t="s">
        <v>5</v>
      </c>
      <c r="D83" s="5" t="str">
        <f>_xlfn.XLOOKUP(C83,Tab_Def_Flows[Flow_Name],Tab_Def_Flows[Use_E1],,0,)</f>
        <v>Yes</v>
      </c>
      <c r="E83" s="5" t="str">
        <f>_xlfn.XLOOKUP(C83,Tab_Def_Flows[Flow_Name],Tab_Def_Flows[Use_E2],,0,)</f>
        <v>Yes</v>
      </c>
      <c r="F83" s="5" t="str">
        <f>_xlfn.XLOOKUP(C83,Tab_Def_Flows[Flow_Name],Tab_Def_Flows[Use_E3],,0,)</f>
        <v>Yes</v>
      </c>
      <c r="G83" s="5" t="str">
        <f>_xlfn.XLOOKUP(C83,Tab_Def_Flows[Flow_Name],Tab_Def_Flows[Use_E4],,0,)</f>
        <v>Yes</v>
      </c>
      <c r="H83" s="5" t="str">
        <f>_xlfn.XLOOKUP(C83,Tab_Def_Flows[Flow_Name],Tab_Def_Flows[Use_E5],,0,)</f>
        <v>Yes</v>
      </c>
      <c r="I83" s="5" t="str">
        <f>_xlfn.XLOOKUP(C83,Tab_Def_Flows[Flow_Name],Tab_Def_Flows[Use_E6],,0,)</f>
        <v>Yes</v>
      </c>
      <c r="J83" s="3"/>
      <c r="K83" s="3"/>
      <c r="L83" s="2" t="str">
        <f>'0_Configuration'!$C$41</f>
        <v>Mg</v>
      </c>
      <c r="M83" s="9"/>
      <c r="N83" s="9"/>
      <c r="O83" s="9"/>
      <c r="P83" s="9"/>
      <c r="Q83" s="18" t="s">
        <v>3</v>
      </c>
      <c r="R83" s="3"/>
      <c r="S83" s="3"/>
      <c r="T83" s="9"/>
      <c r="U83" s="9"/>
      <c r="V83" s="2">
        <f>_xlfn.XLOOKUP(Tab_Data_Flows[[#This Row],[Flow_Name]],Tab_Def_Flows[Flow_Name],Tab_Def_Flows[Flow_E1_Fraction'[%']],"N.A.",0,1)</f>
        <v>0</v>
      </c>
      <c r="W83" s="8">
        <f t="shared" si="2"/>
        <v>0</v>
      </c>
      <c r="X83" s="2" t="str">
        <f>Tab_Data_Flows[[#This Row],[UoM_Source]]</f>
        <v>Mg</v>
      </c>
      <c r="Y83" s="19">
        <f>_xlfn.XLOOKUP(Tab_Data_Flows[[#This Row],[Flow_Name]],Tab_Def_Flows[Flow_Name],Tab_Def_Flows[Flow_E2_Fraction'[%']],"N.A.",0,1)</f>
        <v>0</v>
      </c>
      <c r="Z83" s="2">
        <f>IF(D83="Yes",W83*Tab_Data_Flows[[#This Row],[E2_Fraction'[%']]],"N.A.")</f>
        <v>0</v>
      </c>
      <c r="AA83" s="2" t="str">
        <f>Tab_Data_Flows[[#This Row],[E1_UoM]]</f>
        <v>Mg</v>
      </c>
      <c r="AB83" s="19">
        <f>_xlfn.XLOOKUP(Tab_Data_Flows[[#This Row],[Flow_Name]],Tab_Def_Flows[Flow_Name],Tab_Def_Flows[Flow_E3_Fraction'[%']],"N.A.",0,1)</f>
        <v>0</v>
      </c>
      <c r="AC83" s="2">
        <f>IF(E83="Yes",AB83*Tab_Data_Flows[[#This Row],[E1_value]],"N.A.")</f>
        <v>0</v>
      </c>
      <c r="AD83" s="2" t="str">
        <f>Tab_Data_Flows[[#This Row],[E1_UoM]]</f>
        <v>Mg</v>
      </c>
      <c r="AE83" s="19">
        <f>_xlfn.XLOOKUP(Tab_Data_Flows[[#This Row],[Flow_Name]],Tab_Def_Flows[Flow_Name],Tab_Def_Flows[Flow_E4_Fraction'[%']],"N.A.",0,1)</f>
        <v>0</v>
      </c>
      <c r="AF83" s="2">
        <f>IF(H83="Yes",Tab_Data_Flows[[#This Row],[E4_Fraction'[%']]]*Tab_Data_Flows[[#This Row],[E1_value]],"N.A.")</f>
        <v>0</v>
      </c>
      <c r="AG83" s="2" t="str">
        <f>Tab_Data_Flows[[#This Row],[E1_UoM]]</f>
        <v>Mg</v>
      </c>
      <c r="AH83" s="2">
        <f>_xlfn.XLOOKUP(Tab_Data_Flows[[#This Row],[Flow_Name]],Tab_Def_Flows[Flow_Name],Tab_Def_Flows[Flow_E5_Fraction'[%']],"N.A.",0,1)</f>
        <v>0</v>
      </c>
      <c r="AI83" s="2">
        <f>IF(H83="Yes",Tab_Data_Flows[[#This Row],[E5_Fraction'[%']]]*Tab_Data_Flows[[#This Row],[E1_value]],"N.A.")</f>
        <v>0</v>
      </c>
      <c r="AJ83" s="2" t="str">
        <f>Tab_Data_Flows[[#This Row],[E1_UoM]]</f>
        <v>Mg</v>
      </c>
      <c r="AK83" s="19">
        <f>_xlfn.XLOOKUP(Tab_Data_Flows[[#This Row],[Flow_Name]],Tab_Def_Flows[Flow_Name],Tab_Def_Flows[Flow_E6_Fraction'[%']],"N.A.",0,1)</f>
        <v>0</v>
      </c>
      <c r="AL83" s="2">
        <f>IF(Tab_Data_Flows[[#This Row],[Use_E6]]="Yes",Tab_Data_Flows[[#This Row],[E6_Fraction'[%']]]*Tab_Data_Flows[[#This Row],[E1_value]],"N.A.")</f>
        <v>0</v>
      </c>
      <c r="AM83" s="2" t="str">
        <f>Tab_Data_Flows[[#This Row],[E1_UoM]]</f>
        <v>Mg</v>
      </c>
    </row>
    <row r="84" spans="1:39" x14ac:dyDescent="0.25">
      <c r="A84" s="4">
        <f t="shared" si="3"/>
        <v>83</v>
      </c>
      <c r="B84" s="2" t="str">
        <f>_xlfn.XLOOKUP(C84,Tab_Def_Flows[Flow_Name],Tab_Def_Flows[Flow_ID],,0,)</f>
        <v>F__</v>
      </c>
      <c r="C84" s="18" t="s">
        <v>5</v>
      </c>
      <c r="D84" s="5" t="str">
        <f>_xlfn.XLOOKUP(C84,Tab_Def_Flows[Flow_Name],Tab_Def_Flows[Use_E1],,0,)</f>
        <v>Yes</v>
      </c>
      <c r="E84" s="5" t="str">
        <f>_xlfn.XLOOKUP(C84,Tab_Def_Flows[Flow_Name],Tab_Def_Flows[Use_E2],,0,)</f>
        <v>Yes</v>
      </c>
      <c r="F84" s="5" t="str">
        <f>_xlfn.XLOOKUP(C84,Tab_Def_Flows[Flow_Name],Tab_Def_Flows[Use_E3],,0,)</f>
        <v>Yes</v>
      </c>
      <c r="G84" s="5" t="str">
        <f>_xlfn.XLOOKUP(C84,Tab_Def_Flows[Flow_Name],Tab_Def_Flows[Use_E4],,0,)</f>
        <v>Yes</v>
      </c>
      <c r="H84" s="5" t="str">
        <f>_xlfn.XLOOKUP(C84,Tab_Def_Flows[Flow_Name],Tab_Def_Flows[Use_E5],,0,)</f>
        <v>Yes</v>
      </c>
      <c r="I84" s="5" t="str">
        <f>_xlfn.XLOOKUP(C84,Tab_Def_Flows[Flow_Name],Tab_Def_Flows[Use_E6],,0,)</f>
        <v>Yes</v>
      </c>
      <c r="J84" s="3"/>
      <c r="K84" s="3"/>
      <c r="L84" s="2" t="str">
        <f>'0_Configuration'!$C$41</f>
        <v>Mg</v>
      </c>
      <c r="M84" s="9"/>
      <c r="N84" s="9"/>
      <c r="O84" s="9"/>
      <c r="P84" s="9"/>
      <c r="Q84" s="18" t="s">
        <v>3</v>
      </c>
      <c r="R84" s="3"/>
      <c r="S84" s="3"/>
      <c r="T84" s="9"/>
      <c r="U84" s="9"/>
      <c r="V84" s="2">
        <f>_xlfn.XLOOKUP(Tab_Data_Flows[[#This Row],[Flow_Name]],Tab_Def_Flows[Flow_Name],Tab_Def_Flows[Flow_E1_Fraction'[%']],"N.A.",0,1)</f>
        <v>0</v>
      </c>
      <c r="W84" s="8">
        <f t="shared" si="2"/>
        <v>0</v>
      </c>
      <c r="X84" s="2" t="str">
        <f>Tab_Data_Flows[[#This Row],[UoM_Source]]</f>
        <v>Mg</v>
      </c>
      <c r="Y84" s="19">
        <f>_xlfn.XLOOKUP(Tab_Data_Flows[[#This Row],[Flow_Name]],Tab_Def_Flows[Flow_Name],Tab_Def_Flows[Flow_E2_Fraction'[%']],"N.A.",0,1)</f>
        <v>0</v>
      </c>
      <c r="Z84" s="2">
        <f>IF(D84="Yes",W84*Tab_Data_Flows[[#This Row],[E2_Fraction'[%']]],"N.A.")</f>
        <v>0</v>
      </c>
      <c r="AA84" s="2" t="str">
        <f>Tab_Data_Flows[[#This Row],[E1_UoM]]</f>
        <v>Mg</v>
      </c>
      <c r="AB84" s="19">
        <f>_xlfn.XLOOKUP(Tab_Data_Flows[[#This Row],[Flow_Name]],Tab_Def_Flows[Flow_Name],Tab_Def_Flows[Flow_E3_Fraction'[%']],"N.A.",0,1)</f>
        <v>0</v>
      </c>
      <c r="AC84" s="2">
        <f>IF(E84="Yes",AB84*Tab_Data_Flows[[#This Row],[E1_value]],"N.A.")</f>
        <v>0</v>
      </c>
      <c r="AD84" s="2" t="str">
        <f>Tab_Data_Flows[[#This Row],[E1_UoM]]</f>
        <v>Mg</v>
      </c>
      <c r="AE84" s="19">
        <f>_xlfn.XLOOKUP(Tab_Data_Flows[[#This Row],[Flow_Name]],Tab_Def_Flows[Flow_Name],Tab_Def_Flows[Flow_E4_Fraction'[%']],"N.A.",0,1)</f>
        <v>0</v>
      </c>
      <c r="AF84" s="2">
        <f>IF(H84="Yes",Tab_Data_Flows[[#This Row],[E4_Fraction'[%']]]*Tab_Data_Flows[[#This Row],[E1_value]],"N.A.")</f>
        <v>0</v>
      </c>
      <c r="AG84" s="2" t="str">
        <f>Tab_Data_Flows[[#This Row],[E1_UoM]]</f>
        <v>Mg</v>
      </c>
      <c r="AH84" s="2">
        <f>_xlfn.XLOOKUP(Tab_Data_Flows[[#This Row],[Flow_Name]],Tab_Def_Flows[Flow_Name],Tab_Def_Flows[Flow_E5_Fraction'[%']],"N.A.",0,1)</f>
        <v>0</v>
      </c>
      <c r="AI84" s="2">
        <f>IF(H84="Yes",Tab_Data_Flows[[#This Row],[E5_Fraction'[%']]]*Tab_Data_Flows[[#This Row],[E1_value]],"N.A.")</f>
        <v>0</v>
      </c>
      <c r="AJ84" s="2" t="str">
        <f>Tab_Data_Flows[[#This Row],[E1_UoM]]</f>
        <v>Mg</v>
      </c>
      <c r="AK84" s="19">
        <f>_xlfn.XLOOKUP(Tab_Data_Flows[[#This Row],[Flow_Name]],Tab_Def_Flows[Flow_Name],Tab_Def_Flows[Flow_E6_Fraction'[%']],"N.A.",0,1)</f>
        <v>0</v>
      </c>
      <c r="AL84" s="2">
        <f>IF(Tab_Data_Flows[[#This Row],[Use_E6]]="Yes",Tab_Data_Flows[[#This Row],[E6_Fraction'[%']]]*Tab_Data_Flows[[#This Row],[E1_value]],"N.A.")</f>
        <v>0</v>
      </c>
      <c r="AM84" s="2" t="str">
        <f>Tab_Data_Flows[[#This Row],[E1_UoM]]</f>
        <v>Mg</v>
      </c>
    </row>
    <row r="85" spans="1:39" x14ac:dyDescent="0.25">
      <c r="A85" s="4">
        <f t="shared" si="3"/>
        <v>84</v>
      </c>
      <c r="B85" s="2" t="str">
        <f>_xlfn.XLOOKUP(C85,Tab_Def_Flows[Flow_Name],Tab_Def_Flows[Flow_ID],,0,)</f>
        <v>F__</v>
      </c>
      <c r="C85" s="18" t="s">
        <v>5</v>
      </c>
      <c r="D85" s="5" t="str">
        <f>_xlfn.XLOOKUP(C85,Tab_Def_Flows[Flow_Name],Tab_Def_Flows[Use_E1],,0,)</f>
        <v>Yes</v>
      </c>
      <c r="E85" s="5" t="str">
        <f>_xlfn.XLOOKUP(C85,Tab_Def_Flows[Flow_Name],Tab_Def_Flows[Use_E2],,0,)</f>
        <v>Yes</v>
      </c>
      <c r="F85" s="5" t="str">
        <f>_xlfn.XLOOKUP(C85,Tab_Def_Flows[Flow_Name],Tab_Def_Flows[Use_E3],,0,)</f>
        <v>Yes</v>
      </c>
      <c r="G85" s="5" t="str">
        <f>_xlfn.XLOOKUP(C85,Tab_Def_Flows[Flow_Name],Tab_Def_Flows[Use_E4],,0,)</f>
        <v>Yes</v>
      </c>
      <c r="H85" s="5" t="str">
        <f>_xlfn.XLOOKUP(C85,Tab_Def_Flows[Flow_Name],Tab_Def_Flows[Use_E5],,0,)</f>
        <v>Yes</v>
      </c>
      <c r="I85" s="5" t="str">
        <f>_xlfn.XLOOKUP(C85,Tab_Def_Flows[Flow_Name],Tab_Def_Flows[Use_E6],,0,)</f>
        <v>Yes</v>
      </c>
      <c r="J85" s="3"/>
      <c r="K85" s="3"/>
      <c r="L85" s="2" t="str">
        <f>'0_Configuration'!$C$41</f>
        <v>Mg</v>
      </c>
      <c r="M85" s="9"/>
      <c r="N85" s="9"/>
      <c r="O85" s="9"/>
      <c r="P85" s="9"/>
      <c r="Q85" s="18" t="s">
        <v>3</v>
      </c>
      <c r="R85" s="3"/>
      <c r="S85" s="3"/>
      <c r="T85" s="9"/>
      <c r="U85" s="9"/>
      <c r="V85" s="2">
        <f>_xlfn.XLOOKUP(Tab_Data_Flows[[#This Row],[Flow_Name]],Tab_Def_Flows[Flow_Name],Tab_Def_Flows[Flow_E1_Fraction'[%']],"N.A.",0,1)</f>
        <v>0</v>
      </c>
      <c r="W85" s="8">
        <f t="shared" si="2"/>
        <v>0</v>
      </c>
      <c r="X85" s="2" t="str">
        <f>Tab_Data_Flows[[#This Row],[UoM_Source]]</f>
        <v>Mg</v>
      </c>
      <c r="Y85" s="19">
        <f>_xlfn.XLOOKUP(Tab_Data_Flows[[#This Row],[Flow_Name]],Tab_Def_Flows[Flow_Name],Tab_Def_Flows[Flow_E2_Fraction'[%']],"N.A.",0,1)</f>
        <v>0</v>
      </c>
      <c r="Z85" s="2">
        <f>IF(D85="Yes",W85*Tab_Data_Flows[[#This Row],[E2_Fraction'[%']]],"N.A.")</f>
        <v>0</v>
      </c>
      <c r="AA85" s="2" t="str">
        <f>Tab_Data_Flows[[#This Row],[E1_UoM]]</f>
        <v>Mg</v>
      </c>
      <c r="AB85" s="19">
        <f>_xlfn.XLOOKUP(Tab_Data_Flows[[#This Row],[Flow_Name]],Tab_Def_Flows[Flow_Name],Tab_Def_Flows[Flow_E3_Fraction'[%']],"N.A.",0,1)</f>
        <v>0</v>
      </c>
      <c r="AC85" s="2">
        <f>IF(E85="Yes",AB85*Tab_Data_Flows[[#This Row],[E1_value]],"N.A.")</f>
        <v>0</v>
      </c>
      <c r="AD85" s="2" t="str">
        <f>Tab_Data_Flows[[#This Row],[E1_UoM]]</f>
        <v>Mg</v>
      </c>
      <c r="AE85" s="19">
        <f>_xlfn.XLOOKUP(Tab_Data_Flows[[#This Row],[Flow_Name]],Tab_Def_Flows[Flow_Name],Tab_Def_Flows[Flow_E4_Fraction'[%']],"N.A.",0,1)</f>
        <v>0</v>
      </c>
      <c r="AF85" s="2">
        <f>IF(H85="Yes",Tab_Data_Flows[[#This Row],[E4_Fraction'[%']]]*Tab_Data_Flows[[#This Row],[E1_value]],"N.A.")</f>
        <v>0</v>
      </c>
      <c r="AG85" s="2" t="str">
        <f>Tab_Data_Flows[[#This Row],[E1_UoM]]</f>
        <v>Mg</v>
      </c>
      <c r="AH85" s="2">
        <f>_xlfn.XLOOKUP(Tab_Data_Flows[[#This Row],[Flow_Name]],Tab_Def_Flows[Flow_Name],Tab_Def_Flows[Flow_E5_Fraction'[%']],"N.A.",0,1)</f>
        <v>0</v>
      </c>
      <c r="AI85" s="2">
        <f>IF(H85="Yes",Tab_Data_Flows[[#This Row],[E5_Fraction'[%']]]*Tab_Data_Flows[[#This Row],[E1_value]],"N.A.")</f>
        <v>0</v>
      </c>
      <c r="AJ85" s="2" t="str">
        <f>Tab_Data_Flows[[#This Row],[E1_UoM]]</f>
        <v>Mg</v>
      </c>
      <c r="AK85" s="19">
        <f>_xlfn.XLOOKUP(Tab_Data_Flows[[#This Row],[Flow_Name]],Tab_Def_Flows[Flow_Name],Tab_Def_Flows[Flow_E6_Fraction'[%']],"N.A.",0,1)</f>
        <v>0</v>
      </c>
      <c r="AL85" s="2">
        <f>IF(Tab_Data_Flows[[#This Row],[Use_E6]]="Yes",Tab_Data_Flows[[#This Row],[E6_Fraction'[%']]]*Tab_Data_Flows[[#This Row],[E1_value]],"N.A.")</f>
        <v>0</v>
      </c>
      <c r="AM85" s="2" t="str">
        <f>Tab_Data_Flows[[#This Row],[E1_UoM]]</f>
        <v>Mg</v>
      </c>
    </row>
    <row r="86" spans="1:39" x14ac:dyDescent="0.25">
      <c r="A86" s="4">
        <f t="shared" si="3"/>
        <v>85</v>
      </c>
      <c r="B86" s="2" t="str">
        <f>_xlfn.XLOOKUP(C86,Tab_Def_Flows[Flow_Name],Tab_Def_Flows[Flow_ID],,0,)</f>
        <v>F__</v>
      </c>
      <c r="C86" s="18" t="s">
        <v>5</v>
      </c>
      <c r="D86" s="5" t="str">
        <f>_xlfn.XLOOKUP(C86,Tab_Def_Flows[Flow_Name],Tab_Def_Flows[Use_E1],,0,)</f>
        <v>Yes</v>
      </c>
      <c r="E86" s="5" t="str">
        <f>_xlfn.XLOOKUP(C86,Tab_Def_Flows[Flow_Name],Tab_Def_Flows[Use_E2],,0,)</f>
        <v>Yes</v>
      </c>
      <c r="F86" s="5" t="str">
        <f>_xlfn.XLOOKUP(C86,Tab_Def_Flows[Flow_Name],Tab_Def_Flows[Use_E3],,0,)</f>
        <v>Yes</v>
      </c>
      <c r="G86" s="5" t="str">
        <f>_xlfn.XLOOKUP(C86,Tab_Def_Flows[Flow_Name],Tab_Def_Flows[Use_E4],,0,)</f>
        <v>Yes</v>
      </c>
      <c r="H86" s="5" t="str">
        <f>_xlfn.XLOOKUP(C86,Tab_Def_Flows[Flow_Name],Tab_Def_Flows[Use_E5],,0,)</f>
        <v>Yes</v>
      </c>
      <c r="I86" s="5" t="str">
        <f>_xlfn.XLOOKUP(C86,Tab_Def_Flows[Flow_Name],Tab_Def_Flows[Use_E6],,0,)</f>
        <v>Yes</v>
      </c>
      <c r="J86" s="3"/>
      <c r="K86" s="3"/>
      <c r="L86" s="2" t="str">
        <f>'0_Configuration'!$C$41</f>
        <v>Mg</v>
      </c>
      <c r="M86" s="9"/>
      <c r="N86" s="9"/>
      <c r="O86" s="9"/>
      <c r="P86" s="9"/>
      <c r="Q86" s="18" t="s">
        <v>3</v>
      </c>
      <c r="R86" s="3"/>
      <c r="S86" s="3"/>
      <c r="T86" s="9"/>
      <c r="U86" s="9"/>
      <c r="V86" s="2">
        <f>_xlfn.XLOOKUP(Tab_Data_Flows[[#This Row],[Flow_Name]],Tab_Def_Flows[Flow_Name],Tab_Def_Flows[Flow_E1_Fraction'[%']],"N.A.",0,1)</f>
        <v>0</v>
      </c>
      <c r="W86" s="8">
        <f t="shared" si="2"/>
        <v>0</v>
      </c>
      <c r="X86" s="2" t="str">
        <f>Tab_Data_Flows[[#This Row],[UoM_Source]]</f>
        <v>Mg</v>
      </c>
      <c r="Y86" s="19">
        <f>_xlfn.XLOOKUP(Tab_Data_Flows[[#This Row],[Flow_Name]],Tab_Def_Flows[Flow_Name],Tab_Def_Flows[Flow_E2_Fraction'[%']],"N.A.",0,1)</f>
        <v>0</v>
      </c>
      <c r="Z86" s="2">
        <f>IF(D86="Yes",W86*Tab_Data_Flows[[#This Row],[E2_Fraction'[%']]],"N.A.")</f>
        <v>0</v>
      </c>
      <c r="AA86" s="2" t="str">
        <f>Tab_Data_Flows[[#This Row],[E1_UoM]]</f>
        <v>Mg</v>
      </c>
      <c r="AB86" s="19">
        <f>_xlfn.XLOOKUP(Tab_Data_Flows[[#This Row],[Flow_Name]],Tab_Def_Flows[Flow_Name],Tab_Def_Flows[Flow_E3_Fraction'[%']],"N.A.",0,1)</f>
        <v>0</v>
      </c>
      <c r="AC86" s="2">
        <f>IF(E86="Yes",AB86*Tab_Data_Flows[[#This Row],[E1_value]],"N.A.")</f>
        <v>0</v>
      </c>
      <c r="AD86" s="2" t="str">
        <f>Tab_Data_Flows[[#This Row],[E1_UoM]]</f>
        <v>Mg</v>
      </c>
      <c r="AE86" s="19">
        <f>_xlfn.XLOOKUP(Tab_Data_Flows[[#This Row],[Flow_Name]],Tab_Def_Flows[Flow_Name],Tab_Def_Flows[Flow_E4_Fraction'[%']],"N.A.",0,1)</f>
        <v>0</v>
      </c>
      <c r="AF86" s="2">
        <f>IF(H86="Yes",Tab_Data_Flows[[#This Row],[E4_Fraction'[%']]]*Tab_Data_Flows[[#This Row],[E1_value]],"N.A.")</f>
        <v>0</v>
      </c>
      <c r="AG86" s="2" t="str">
        <f>Tab_Data_Flows[[#This Row],[E1_UoM]]</f>
        <v>Mg</v>
      </c>
      <c r="AH86" s="2">
        <f>_xlfn.XLOOKUP(Tab_Data_Flows[[#This Row],[Flow_Name]],Tab_Def_Flows[Flow_Name],Tab_Def_Flows[Flow_E5_Fraction'[%']],"N.A.",0,1)</f>
        <v>0</v>
      </c>
      <c r="AI86" s="2">
        <f>IF(H86="Yes",Tab_Data_Flows[[#This Row],[E5_Fraction'[%']]]*Tab_Data_Flows[[#This Row],[E1_value]],"N.A.")</f>
        <v>0</v>
      </c>
      <c r="AJ86" s="2" t="str">
        <f>Tab_Data_Flows[[#This Row],[E1_UoM]]</f>
        <v>Mg</v>
      </c>
      <c r="AK86" s="19">
        <f>_xlfn.XLOOKUP(Tab_Data_Flows[[#This Row],[Flow_Name]],Tab_Def_Flows[Flow_Name],Tab_Def_Flows[Flow_E6_Fraction'[%']],"N.A.",0,1)</f>
        <v>0</v>
      </c>
      <c r="AL86" s="2">
        <f>IF(Tab_Data_Flows[[#This Row],[Use_E6]]="Yes",Tab_Data_Flows[[#This Row],[E6_Fraction'[%']]]*Tab_Data_Flows[[#This Row],[E1_value]],"N.A.")</f>
        <v>0</v>
      </c>
      <c r="AM86" s="2" t="str">
        <f>Tab_Data_Flows[[#This Row],[E1_UoM]]</f>
        <v>Mg</v>
      </c>
    </row>
    <row r="87" spans="1:39" x14ac:dyDescent="0.25">
      <c r="A87" s="4">
        <f t="shared" si="3"/>
        <v>86</v>
      </c>
      <c r="B87" s="2" t="str">
        <f>_xlfn.XLOOKUP(C87,Tab_Def_Flows[Flow_Name],Tab_Def_Flows[Flow_ID],,0,)</f>
        <v>F__</v>
      </c>
      <c r="C87" s="18" t="s">
        <v>5</v>
      </c>
      <c r="D87" s="5" t="str">
        <f>_xlfn.XLOOKUP(C87,Tab_Def_Flows[Flow_Name],Tab_Def_Flows[Use_E1],,0,)</f>
        <v>Yes</v>
      </c>
      <c r="E87" s="5" t="str">
        <f>_xlfn.XLOOKUP(C87,Tab_Def_Flows[Flow_Name],Tab_Def_Flows[Use_E2],,0,)</f>
        <v>Yes</v>
      </c>
      <c r="F87" s="5" t="str">
        <f>_xlfn.XLOOKUP(C87,Tab_Def_Flows[Flow_Name],Tab_Def_Flows[Use_E3],,0,)</f>
        <v>Yes</v>
      </c>
      <c r="G87" s="5" t="str">
        <f>_xlfn.XLOOKUP(C87,Tab_Def_Flows[Flow_Name],Tab_Def_Flows[Use_E4],,0,)</f>
        <v>Yes</v>
      </c>
      <c r="H87" s="5" t="str">
        <f>_xlfn.XLOOKUP(C87,Tab_Def_Flows[Flow_Name],Tab_Def_Flows[Use_E5],,0,)</f>
        <v>Yes</v>
      </c>
      <c r="I87" s="5" t="str">
        <f>_xlfn.XLOOKUP(C87,Tab_Def_Flows[Flow_Name],Tab_Def_Flows[Use_E6],,0,)</f>
        <v>Yes</v>
      </c>
      <c r="J87" s="3"/>
      <c r="K87" s="3"/>
      <c r="L87" s="2" t="str">
        <f>'0_Configuration'!$C$41</f>
        <v>Mg</v>
      </c>
      <c r="M87" s="9"/>
      <c r="N87" s="9"/>
      <c r="O87" s="9"/>
      <c r="P87" s="9"/>
      <c r="Q87" s="18" t="s">
        <v>3</v>
      </c>
      <c r="R87" s="3"/>
      <c r="S87" s="3"/>
      <c r="T87" s="9"/>
      <c r="U87" s="9"/>
      <c r="V87" s="2">
        <f>_xlfn.XLOOKUP(Tab_Data_Flows[[#This Row],[Flow_Name]],Tab_Def_Flows[Flow_Name],Tab_Def_Flows[Flow_E1_Fraction'[%']],"N.A.",0,1)</f>
        <v>0</v>
      </c>
      <c r="W87" s="8">
        <f t="shared" si="2"/>
        <v>0</v>
      </c>
      <c r="X87" s="2" t="str">
        <f>Tab_Data_Flows[[#This Row],[UoM_Source]]</f>
        <v>Mg</v>
      </c>
      <c r="Y87" s="19">
        <f>_xlfn.XLOOKUP(Tab_Data_Flows[[#This Row],[Flow_Name]],Tab_Def_Flows[Flow_Name],Tab_Def_Flows[Flow_E2_Fraction'[%']],"N.A.",0,1)</f>
        <v>0</v>
      </c>
      <c r="Z87" s="2">
        <f>IF(D87="Yes",W87*Tab_Data_Flows[[#This Row],[E2_Fraction'[%']]],"N.A.")</f>
        <v>0</v>
      </c>
      <c r="AA87" s="2" t="str">
        <f>Tab_Data_Flows[[#This Row],[E1_UoM]]</f>
        <v>Mg</v>
      </c>
      <c r="AB87" s="19">
        <f>_xlfn.XLOOKUP(Tab_Data_Flows[[#This Row],[Flow_Name]],Tab_Def_Flows[Flow_Name],Tab_Def_Flows[Flow_E3_Fraction'[%']],"N.A.",0,1)</f>
        <v>0</v>
      </c>
      <c r="AC87" s="2">
        <f>IF(E87="Yes",AB87*Tab_Data_Flows[[#This Row],[E1_value]],"N.A.")</f>
        <v>0</v>
      </c>
      <c r="AD87" s="2" t="str">
        <f>Tab_Data_Flows[[#This Row],[E1_UoM]]</f>
        <v>Mg</v>
      </c>
      <c r="AE87" s="19">
        <f>_xlfn.XLOOKUP(Tab_Data_Flows[[#This Row],[Flow_Name]],Tab_Def_Flows[Flow_Name],Tab_Def_Flows[Flow_E4_Fraction'[%']],"N.A.",0,1)</f>
        <v>0</v>
      </c>
      <c r="AF87" s="2">
        <f>IF(H87="Yes",Tab_Data_Flows[[#This Row],[E4_Fraction'[%']]]*Tab_Data_Flows[[#This Row],[E1_value]],"N.A.")</f>
        <v>0</v>
      </c>
      <c r="AG87" s="2" t="str">
        <f>Tab_Data_Flows[[#This Row],[E1_UoM]]</f>
        <v>Mg</v>
      </c>
      <c r="AH87" s="2">
        <f>_xlfn.XLOOKUP(Tab_Data_Flows[[#This Row],[Flow_Name]],Tab_Def_Flows[Flow_Name],Tab_Def_Flows[Flow_E5_Fraction'[%']],"N.A.",0,1)</f>
        <v>0</v>
      </c>
      <c r="AI87" s="2">
        <f>IF(H87="Yes",Tab_Data_Flows[[#This Row],[E5_Fraction'[%']]]*Tab_Data_Flows[[#This Row],[E1_value]],"N.A.")</f>
        <v>0</v>
      </c>
      <c r="AJ87" s="2" t="str">
        <f>Tab_Data_Flows[[#This Row],[E1_UoM]]</f>
        <v>Mg</v>
      </c>
      <c r="AK87" s="19">
        <f>_xlfn.XLOOKUP(Tab_Data_Flows[[#This Row],[Flow_Name]],Tab_Def_Flows[Flow_Name],Tab_Def_Flows[Flow_E6_Fraction'[%']],"N.A.",0,1)</f>
        <v>0</v>
      </c>
      <c r="AL87" s="2">
        <f>IF(Tab_Data_Flows[[#This Row],[Use_E6]]="Yes",Tab_Data_Flows[[#This Row],[E6_Fraction'[%']]]*Tab_Data_Flows[[#This Row],[E1_value]],"N.A.")</f>
        <v>0</v>
      </c>
      <c r="AM87" s="2" t="str">
        <f>Tab_Data_Flows[[#This Row],[E1_UoM]]</f>
        <v>Mg</v>
      </c>
    </row>
    <row r="88" spans="1:39" x14ac:dyDescent="0.25">
      <c r="A88" s="4">
        <f t="shared" si="3"/>
        <v>87</v>
      </c>
      <c r="B88" s="2" t="str">
        <f>_xlfn.XLOOKUP(C88,Tab_Def_Flows[Flow_Name],Tab_Def_Flows[Flow_ID],,0,)</f>
        <v>F__</v>
      </c>
      <c r="C88" s="18" t="s">
        <v>5</v>
      </c>
      <c r="D88" s="5" t="str">
        <f>_xlfn.XLOOKUP(C88,Tab_Def_Flows[Flow_Name],Tab_Def_Flows[Use_E1],,0,)</f>
        <v>Yes</v>
      </c>
      <c r="E88" s="5" t="str">
        <f>_xlfn.XLOOKUP(C88,Tab_Def_Flows[Flow_Name],Tab_Def_Flows[Use_E2],,0,)</f>
        <v>Yes</v>
      </c>
      <c r="F88" s="5" t="str">
        <f>_xlfn.XLOOKUP(C88,Tab_Def_Flows[Flow_Name],Tab_Def_Flows[Use_E3],,0,)</f>
        <v>Yes</v>
      </c>
      <c r="G88" s="5" t="str">
        <f>_xlfn.XLOOKUP(C88,Tab_Def_Flows[Flow_Name],Tab_Def_Flows[Use_E4],,0,)</f>
        <v>Yes</v>
      </c>
      <c r="H88" s="5" t="str">
        <f>_xlfn.XLOOKUP(C88,Tab_Def_Flows[Flow_Name],Tab_Def_Flows[Use_E5],,0,)</f>
        <v>Yes</v>
      </c>
      <c r="I88" s="5" t="str">
        <f>_xlfn.XLOOKUP(C88,Tab_Def_Flows[Flow_Name],Tab_Def_Flows[Use_E6],,0,)</f>
        <v>Yes</v>
      </c>
      <c r="J88" s="3"/>
      <c r="K88" s="3"/>
      <c r="L88" s="2" t="str">
        <f>'0_Configuration'!$C$41</f>
        <v>Mg</v>
      </c>
      <c r="M88" s="9"/>
      <c r="N88" s="9"/>
      <c r="O88" s="9"/>
      <c r="P88" s="9"/>
      <c r="Q88" s="18" t="s">
        <v>3</v>
      </c>
      <c r="R88" s="3"/>
      <c r="S88" s="3"/>
      <c r="T88" s="9"/>
      <c r="U88" s="9"/>
      <c r="V88" s="2">
        <f>_xlfn.XLOOKUP(Tab_Data_Flows[[#This Row],[Flow_Name]],Tab_Def_Flows[Flow_Name],Tab_Def_Flows[Flow_E1_Fraction'[%']],"N.A.",0,1)</f>
        <v>0</v>
      </c>
      <c r="W88" s="8">
        <f t="shared" si="2"/>
        <v>0</v>
      </c>
      <c r="X88" s="2" t="str">
        <f>Tab_Data_Flows[[#This Row],[UoM_Source]]</f>
        <v>Mg</v>
      </c>
      <c r="Y88" s="19">
        <f>_xlfn.XLOOKUP(Tab_Data_Flows[[#This Row],[Flow_Name]],Tab_Def_Flows[Flow_Name],Tab_Def_Flows[Flow_E2_Fraction'[%']],"N.A.",0,1)</f>
        <v>0</v>
      </c>
      <c r="Z88" s="2">
        <f>IF(D88="Yes",W88*Tab_Data_Flows[[#This Row],[E2_Fraction'[%']]],"N.A.")</f>
        <v>0</v>
      </c>
      <c r="AA88" s="2" t="str">
        <f>Tab_Data_Flows[[#This Row],[E1_UoM]]</f>
        <v>Mg</v>
      </c>
      <c r="AB88" s="19">
        <f>_xlfn.XLOOKUP(Tab_Data_Flows[[#This Row],[Flow_Name]],Tab_Def_Flows[Flow_Name],Tab_Def_Flows[Flow_E3_Fraction'[%']],"N.A.",0,1)</f>
        <v>0</v>
      </c>
      <c r="AC88" s="2">
        <f>IF(E88="Yes",AB88*Tab_Data_Flows[[#This Row],[E1_value]],"N.A.")</f>
        <v>0</v>
      </c>
      <c r="AD88" s="2" t="str">
        <f>Tab_Data_Flows[[#This Row],[E1_UoM]]</f>
        <v>Mg</v>
      </c>
      <c r="AE88" s="19">
        <f>_xlfn.XLOOKUP(Tab_Data_Flows[[#This Row],[Flow_Name]],Tab_Def_Flows[Flow_Name],Tab_Def_Flows[Flow_E4_Fraction'[%']],"N.A.",0,1)</f>
        <v>0</v>
      </c>
      <c r="AF88" s="2">
        <f>IF(H88="Yes",Tab_Data_Flows[[#This Row],[E4_Fraction'[%']]]*Tab_Data_Flows[[#This Row],[E1_value]],"N.A.")</f>
        <v>0</v>
      </c>
      <c r="AG88" s="2" t="str">
        <f>Tab_Data_Flows[[#This Row],[E1_UoM]]</f>
        <v>Mg</v>
      </c>
      <c r="AH88" s="2">
        <f>_xlfn.XLOOKUP(Tab_Data_Flows[[#This Row],[Flow_Name]],Tab_Def_Flows[Flow_Name],Tab_Def_Flows[Flow_E5_Fraction'[%']],"N.A.",0,1)</f>
        <v>0</v>
      </c>
      <c r="AI88" s="2">
        <f>IF(H88="Yes",Tab_Data_Flows[[#This Row],[E5_Fraction'[%']]]*Tab_Data_Flows[[#This Row],[E1_value]],"N.A.")</f>
        <v>0</v>
      </c>
      <c r="AJ88" s="2" t="str">
        <f>Tab_Data_Flows[[#This Row],[E1_UoM]]</f>
        <v>Mg</v>
      </c>
      <c r="AK88" s="19">
        <f>_xlfn.XLOOKUP(Tab_Data_Flows[[#This Row],[Flow_Name]],Tab_Def_Flows[Flow_Name],Tab_Def_Flows[Flow_E6_Fraction'[%']],"N.A.",0,1)</f>
        <v>0</v>
      </c>
      <c r="AL88" s="2">
        <f>IF(Tab_Data_Flows[[#This Row],[Use_E6]]="Yes",Tab_Data_Flows[[#This Row],[E6_Fraction'[%']]]*Tab_Data_Flows[[#This Row],[E1_value]],"N.A.")</f>
        <v>0</v>
      </c>
      <c r="AM88" s="2" t="str">
        <f>Tab_Data_Flows[[#This Row],[E1_UoM]]</f>
        <v>Mg</v>
      </c>
    </row>
    <row r="89" spans="1:39" x14ac:dyDescent="0.25">
      <c r="A89" s="4">
        <f t="shared" si="3"/>
        <v>88</v>
      </c>
      <c r="B89" s="2" t="str">
        <f>_xlfn.XLOOKUP(C89,Tab_Def_Flows[Flow_Name],Tab_Def_Flows[Flow_ID],,0,)</f>
        <v>F__</v>
      </c>
      <c r="C89" s="18" t="s">
        <v>5</v>
      </c>
      <c r="D89" s="5" t="str">
        <f>_xlfn.XLOOKUP(C89,Tab_Def_Flows[Flow_Name],Tab_Def_Flows[Use_E1],,0,)</f>
        <v>Yes</v>
      </c>
      <c r="E89" s="5" t="str">
        <f>_xlfn.XLOOKUP(C89,Tab_Def_Flows[Flow_Name],Tab_Def_Flows[Use_E2],,0,)</f>
        <v>Yes</v>
      </c>
      <c r="F89" s="5" t="str">
        <f>_xlfn.XLOOKUP(C89,Tab_Def_Flows[Flow_Name],Tab_Def_Flows[Use_E3],,0,)</f>
        <v>Yes</v>
      </c>
      <c r="G89" s="5" t="str">
        <f>_xlfn.XLOOKUP(C89,Tab_Def_Flows[Flow_Name],Tab_Def_Flows[Use_E4],,0,)</f>
        <v>Yes</v>
      </c>
      <c r="H89" s="5" t="str">
        <f>_xlfn.XLOOKUP(C89,Tab_Def_Flows[Flow_Name],Tab_Def_Flows[Use_E5],,0,)</f>
        <v>Yes</v>
      </c>
      <c r="I89" s="5" t="str">
        <f>_xlfn.XLOOKUP(C89,Tab_Def_Flows[Flow_Name],Tab_Def_Flows[Use_E6],,0,)</f>
        <v>Yes</v>
      </c>
      <c r="J89" s="3"/>
      <c r="K89" s="3"/>
      <c r="L89" s="2" t="str">
        <f>'0_Configuration'!$C$41</f>
        <v>Mg</v>
      </c>
      <c r="M89" s="9"/>
      <c r="N89" s="9"/>
      <c r="O89" s="9"/>
      <c r="P89" s="9"/>
      <c r="Q89" s="18" t="s">
        <v>3</v>
      </c>
      <c r="R89" s="10"/>
      <c r="S89" s="3"/>
      <c r="T89" s="9"/>
      <c r="U89" s="9"/>
      <c r="V89" s="2">
        <f>_xlfn.XLOOKUP(Tab_Data_Flows[[#This Row],[Flow_Name]],Tab_Def_Flows[Flow_Name],Tab_Def_Flows[Flow_E1_Fraction'[%']],"N.A.",0,1)</f>
        <v>0</v>
      </c>
      <c r="W89" s="8">
        <f t="shared" si="2"/>
        <v>0</v>
      </c>
      <c r="X89" s="2" t="str">
        <f>Tab_Data_Flows[[#This Row],[UoM_Source]]</f>
        <v>Mg</v>
      </c>
      <c r="Y89" s="19">
        <f>_xlfn.XLOOKUP(Tab_Data_Flows[[#This Row],[Flow_Name]],Tab_Def_Flows[Flow_Name],Tab_Def_Flows[Flow_E2_Fraction'[%']],"N.A.",0,1)</f>
        <v>0</v>
      </c>
      <c r="Z89" s="2">
        <f>IF(D89="Yes",W89*Tab_Data_Flows[[#This Row],[E2_Fraction'[%']]],"N.A.")</f>
        <v>0</v>
      </c>
      <c r="AA89" s="2" t="str">
        <f>Tab_Data_Flows[[#This Row],[E1_UoM]]</f>
        <v>Mg</v>
      </c>
      <c r="AB89" s="19">
        <f>_xlfn.XLOOKUP(Tab_Data_Flows[[#This Row],[Flow_Name]],Tab_Def_Flows[Flow_Name],Tab_Def_Flows[Flow_E3_Fraction'[%']],"N.A.",0,1)</f>
        <v>0</v>
      </c>
      <c r="AC89" s="2">
        <f>IF(E89="Yes",AB89*Tab_Data_Flows[[#This Row],[E1_value]],"N.A.")</f>
        <v>0</v>
      </c>
      <c r="AD89" s="2" t="str">
        <f>Tab_Data_Flows[[#This Row],[E1_UoM]]</f>
        <v>Mg</v>
      </c>
      <c r="AE89" s="19">
        <f>_xlfn.XLOOKUP(Tab_Data_Flows[[#This Row],[Flow_Name]],Tab_Def_Flows[Flow_Name],Tab_Def_Flows[Flow_E4_Fraction'[%']],"N.A.",0,1)</f>
        <v>0</v>
      </c>
      <c r="AF89" s="2">
        <f>IF(H89="Yes",Tab_Data_Flows[[#This Row],[E4_Fraction'[%']]]*Tab_Data_Flows[[#This Row],[E1_value]],"N.A.")</f>
        <v>0</v>
      </c>
      <c r="AG89" s="2" t="str">
        <f>Tab_Data_Flows[[#This Row],[E1_UoM]]</f>
        <v>Mg</v>
      </c>
      <c r="AH89" s="2">
        <f>_xlfn.XLOOKUP(Tab_Data_Flows[[#This Row],[Flow_Name]],Tab_Def_Flows[Flow_Name],Tab_Def_Flows[Flow_E5_Fraction'[%']],"N.A.",0,1)</f>
        <v>0</v>
      </c>
      <c r="AI89" s="2">
        <f>IF(H89="Yes",Tab_Data_Flows[[#This Row],[E5_Fraction'[%']]]*Tab_Data_Flows[[#This Row],[E1_value]],"N.A.")</f>
        <v>0</v>
      </c>
      <c r="AJ89" s="2" t="str">
        <f>Tab_Data_Flows[[#This Row],[E1_UoM]]</f>
        <v>Mg</v>
      </c>
      <c r="AK89" s="19">
        <f>_xlfn.XLOOKUP(Tab_Data_Flows[[#This Row],[Flow_Name]],Tab_Def_Flows[Flow_Name],Tab_Def_Flows[Flow_E6_Fraction'[%']],"N.A.",0,1)</f>
        <v>0</v>
      </c>
      <c r="AL89" s="2">
        <f>IF(Tab_Data_Flows[[#This Row],[Use_E6]]="Yes",Tab_Data_Flows[[#This Row],[E6_Fraction'[%']]]*Tab_Data_Flows[[#This Row],[E1_value]],"N.A.")</f>
        <v>0</v>
      </c>
      <c r="AM89" s="2" t="str">
        <f>Tab_Data_Flows[[#This Row],[E1_UoM]]</f>
        <v>Mg</v>
      </c>
    </row>
    <row r="90" spans="1:39" x14ac:dyDescent="0.25">
      <c r="A90" s="4">
        <f t="shared" si="3"/>
        <v>89</v>
      </c>
      <c r="B90" s="2" t="str">
        <f>_xlfn.XLOOKUP(C90,Tab_Def_Flows[Flow_Name],Tab_Def_Flows[Flow_ID],,0,)</f>
        <v>F__</v>
      </c>
      <c r="C90" s="18" t="s">
        <v>5</v>
      </c>
      <c r="D90" s="5" t="str">
        <f>_xlfn.XLOOKUP(C90,Tab_Def_Flows[Flow_Name],Tab_Def_Flows[Use_E1],,0,)</f>
        <v>Yes</v>
      </c>
      <c r="E90" s="5" t="str">
        <f>_xlfn.XLOOKUP(C90,Tab_Def_Flows[Flow_Name],Tab_Def_Flows[Use_E2],,0,)</f>
        <v>Yes</v>
      </c>
      <c r="F90" s="5" t="str">
        <f>_xlfn.XLOOKUP(C90,Tab_Def_Flows[Flow_Name],Tab_Def_Flows[Use_E3],,0,)</f>
        <v>Yes</v>
      </c>
      <c r="G90" s="5" t="str">
        <f>_xlfn.XLOOKUP(C90,Tab_Def_Flows[Flow_Name],Tab_Def_Flows[Use_E4],,0,)</f>
        <v>Yes</v>
      </c>
      <c r="H90" s="5" t="str">
        <f>_xlfn.XLOOKUP(C90,Tab_Def_Flows[Flow_Name],Tab_Def_Flows[Use_E5],,0,)</f>
        <v>Yes</v>
      </c>
      <c r="I90" s="5" t="str">
        <f>_xlfn.XLOOKUP(C90,Tab_Def_Flows[Flow_Name],Tab_Def_Flows[Use_E6],,0,)</f>
        <v>Yes</v>
      </c>
      <c r="J90" s="3"/>
      <c r="K90" s="3"/>
      <c r="L90" s="2" t="str">
        <f>'0_Configuration'!$C$41</f>
        <v>Mg</v>
      </c>
      <c r="M90" s="9"/>
      <c r="N90" s="9"/>
      <c r="O90" s="9"/>
      <c r="P90" s="9"/>
      <c r="Q90" s="18" t="s">
        <v>3</v>
      </c>
      <c r="R90" s="10"/>
      <c r="S90" s="3"/>
      <c r="T90" s="9"/>
      <c r="U90" s="9"/>
      <c r="V90" s="2">
        <f>_xlfn.XLOOKUP(Tab_Data_Flows[[#This Row],[Flow_Name]],Tab_Def_Flows[Flow_Name],Tab_Def_Flows[Flow_E1_Fraction'[%']],"N.A.",0,1)</f>
        <v>0</v>
      </c>
      <c r="W90" s="8">
        <f t="shared" si="2"/>
        <v>0</v>
      </c>
      <c r="X90" s="2" t="str">
        <f>Tab_Data_Flows[[#This Row],[UoM_Source]]</f>
        <v>Mg</v>
      </c>
      <c r="Y90" s="19">
        <f>_xlfn.XLOOKUP(Tab_Data_Flows[[#This Row],[Flow_Name]],Tab_Def_Flows[Flow_Name],Tab_Def_Flows[Flow_E2_Fraction'[%']],"N.A.",0,1)</f>
        <v>0</v>
      </c>
      <c r="Z90" s="2">
        <f>IF(D90="Yes",W90*Tab_Data_Flows[[#This Row],[E2_Fraction'[%']]],"N.A.")</f>
        <v>0</v>
      </c>
      <c r="AA90" s="2" t="str">
        <f>Tab_Data_Flows[[#This Row],[E1_UoM]]</f>
        <v>Mg</v>
      </c>
      <c r="AB90" s="19">
        <f>_xlfn.XLOOKUP(Tab_Data_Flows[[#This Row],[Flow_Name]],Tab_Def_Flows[Flow_Name],Tab_Def_Flows[Flow_E3_Fraction'[%']],"N.A.",0,1)</f>
        <v>0</v>
      </c>
      <c r="AC90" s="2">
        <f>IF(E90="Yes",AB90*Tab_Data_Flows[[#This Row],[E1_value]],"N.A.")</f>
        <v>0</v>
      </c>
      <c r="AD90" s="2" t="str">
        <f>Tab_Data_Flows[[#This Row],[E1_UoM]]</f>
        <v>Mg</v>
      </c>
      <c r="AE90" s="19">
        <f>_xlfn.XLOOKUP(Tab_Data_Flows[[#This Row],[Flow_Name]],Tab_Def_Flows[Flow_Name],Tab_Def_Flows[Flow_E4_Fraction'[%']],"N.A.",0,1)</f>
        <v>0</v>
      </c>
      <c r="AF90" s="2">
        <f>IF(H90="Yes",Tab_Data_Flows[[#This Row],[E4_Fraction'[%']]]*Tab_Data_Flows[[#This Row],[E1_value]],"N.A.")</f>
        <v>0</v>
      </c>
      <c r="AG90" s="2" t="str">
        <f>Tab_Data_Flows[[#This Row],[E1_UoM]]</f>
        <v>Mg</v>
      </c>
      <c r="AH90" s="2">
        <f>_xlfn.XLOOKUP(Tab_Data_Flows[[#This Row],[Flow_Name]],Tab_Def_Flows[Flow_Name],Tab_Def_Flows[Flow_E5_Fraction'[%']],"N.A.",0,1)</f>
        <v>0</v>
      </c>
      <c r="AI90" s="2">
        <f>IF(H90="Yes",Tab_Data_Flows[[#This Row],[E5_Fraction'[%']]]*Tab_Data_Flows[[#This Row],[E1_value]],"N.A.")</f>
        <v>0</v>
      </c>
      <c r="AJ90" s="2" t="str">
        <f>Tab_Data_Flows[[#This Row],[E1_UoM]]</f>
        <v>Mg</v>
      </c>
      <c r="AK90" s="19">
        <f>_xlfn.XLOOKUP(Tab_Data_Flows[[#This Row],[Flow_Name]],Tab_Def_Flows[Flow_Name],Tab_Def_Flows[Flow_E6_Fraction'[%']],"N.A.",0,1)</f>
        <v>0</v>
      </c>
      <c r="AL90" s="2">
        <f>IF(Tab_Data_Flows[[#This Row],[Use_E6]]="Yes",Tab_Data_Flows[[#This Row],[E6_Fraction'[%']]]*Tab_Data_Flows[[#This Row],[E1_value]],"N.A.")</f>
        <v>0</v>
      </c>
      <c r="AM90" s="2" t="str">
        <f>Tab_Data_Flows[[#This Row],[E1_UoM]]</f>
        <v>Mg</v>
      </c>
    </row>
    <row r="91" spans="1:39" x14ac:dyDescent="0.25">
      <c r="A91" s="4">
        <f t="shared" si="3"/>
        <v>90</v>
      </c>
      <c r="B91" s="2" t="str">
        <f>_xlfn.XLOOKUP(C91,Tab_Def_Flows[Flow_Name],Tab_Def_Flows[Flow_ID],,0,)</f>
        <v>F__</v>
      </c>
      <c r="C91" s="18" t="s">
        <v>5</v>
      </c>
      <c r="D91" s="5" t="str">
        <f>_xlfn.XLOOKUP(C91,Tab_Def_Flows[Flow_Name],Tab_Def_Flows[Use_E1],,0,)</f>
        <v>Yes</v>
      </c>
      <c r="E91" s="5" t="str">
        <f>_xlfn.XLOOKUP(C91,Tab_Def_Flows[Flow_Name],Tab_Def_Flows[Use_E2],,0,)</f>
        <v>Yes</v>
      </c>
      <c r="F91" s="5" t="str">
        <f>_xlfn.XLOOKUP(C91,Tab_Def_Flows[Flow_Name],Tab_Def_Flows[Use_E3],,0,)</f>
        <v>Yes</v>
      </c>
      <c r="G91" s="5" t="str">
        <f>_xlfn.XLOOKUP(C91,Tab_Def_Flows[Flow_Name],Tab_Def_Flows[Use_E4],,0,)</f>
        <v>Yes</v>
      </c>
      <c r="H91" s="5" t="str">
        <f>_xlfn.XLOOKUP(C91,Tab_Def_Flows[Flow_Name],Tab_Def_Flows[Use_E5],,0,)</f>
        <v>Yes</v>
      </c>
      <c r="I91" s="5" t="str">
        <f>_xlfn.XLOOKUP(C91,Tab_Def_Flows[Flow_Name],Tab_Def_Flows[Use_E6],,0,)</f>
        <v>Yes</v>
      </c>
      <c r="J91" s="3"/>
      <c r="K91" s="3"/>
      <c r="L91" s="2" t="str">
        <f>'0_Configuration'!$C$41</f>
        <v>Mg</v>
      </c>
      <c r="M91" s="9"/>
      <c r="N91" s="9"/>
      <c r="O91" s="9"/>
      <c r="P91" s="9"/>
      <c r="Q91" s="18" t="s">
        <v>3</v>
      </c>
      <c r="R91" s="10"/>
      <c r="S91" s="3"/>
      <c r="T91" s="9"/>
      <c r="U91" s="9"/>
      <c r="V91" s="2">
        <f>_xlfn.XLOOKUP(Tab_Data_Flows[[#This Row],[Flow_Name]],Tab_Def_Flows[Flow_Name],Tab_Def_Flows[Flow_E1_Fraction'[%']],"N.A.",0,1)</f>
        <v>0</v>
      </c>
      <c r="W91" s="8">
        <f t="shared" si="2"/>
        <v>0</v>
      </c>
      <c r="X91" s="2" t="str">
        <f>Tab_Data_Flows[[#This Row],[UoM_Source]]</f>
        <v>Mg</v>
      </c>
      <c r="Y91" s="19">
        <f>_xlfn.XLOOKUP(Tab_Data_Flows[[#This Row],[Flow_Name]],Tab_Def_Flows[Flow_Name],Tab_Def_Flows[Flow_E2_Fraction'[%']],"N.A.",0,1)</f>
        <v>0</v>
      </c>
      <c r="Z91" s="2">
        <f>IF(D91="Yes",W91*Tab_Data_Flows[[#This Row],[E2_Fraction'[%']]],"N.A.")</f>
        <v>0</v>
      </c>
      <c r="AA91" s="2" t="str">
        <f>Tab_Data_Flows[[#This Row],[E1_UoM]]</f>
        <v>Mg</v>
      </c>
      <c r="AB91" s="19">
        <f>_xlfn.XLOOKUP(Tab_Data_Flows[[#This Row],[Flow_Name]],Tab_Def_Flows[Flow_Name],Tab_Def_Flows[Flow_E3_Fraction'[%']],"N.A.",0,1)</f>
        <v>0</v>
      </c>
      <c r="AC91" s="2">
        <f>IF(E91="Yes",AB91*Tab_Data_Flows[[#This Row],[E1_value]],"N.A.")</f>
        <v>0</v>
      </c>
      <c r="AD91" s="2" t="str">
        <f>Tab_Data_Flows[[#This Row],[E1_UoM]]</f>
        <v>Mg</v>
      </c>
      <c r="AE91" s="19">
        <f>_xlfn.XLOOKUP(Tab_Data_Flows[[#This Row],[Flow_Name]],Tab_Def_Flows[Flow_Name],Tab_Def_Flows[Flow_E4_Fraction'[%']],"N.A.",0,1)</f>
        <v>0</v>
      </c>
      <c r="AF91" s="2">
        <f>IF(H91="Yes",Tab_Data_Flows[[#This Row],[E4_Fraction'[%']]]*Tab_Data_Flows[[#This Row],[E1_value]],"N.A.")</f>
        <v>0</v>
      </c>
      <c r="AG91" s="2" t="str">
        <f>Tab_Data_Flows[[#This Row],[E1_UoM]]</f>
        <v>Mg</v>
      </c>
      <c r="AH91" s="2">
        <f>_xlfn.XLOOKUP(Tab_Data_Flows[[#This Row],[Flow_Name]],Tab_Def_Flows[Flow_Name],Tab_Def_Flows[Flow_E5_Fraction'[%']],"N.A.",0,1)</f>
        <v>0</v>
      </c>
      <c r="AI91" s="2">
        <f>IF(H91="Yes",Tab_Data_Flows[[#This Row],[E5_Fraction'[%']]]*Tab_Data_Flows[[#This Row],[E1_value]],"N.A.")</f>
        <v>0</v>
      </c>
      <c r="AJ91" s="2" t="str">
        <f>Tab_Data_Flows[[#This Row],[E1_UoM]]</f>
        <v>Mg</v>
      </c>
      <c r="AK91" s="19">
        <f>_xlfn.XLOOKUP(Tab_Data_Flows[[#This Row],[Flow_Name]],Tab_Def_Flows[Flow_Name],Tab_Def_Flows[Flow_E6_Fraction'[%']],"N.A.",0,1)</f>
        <v>0</v>
      </c>
      <c r="AL91" s="2">
        <f>IF(Tab_Data_Flows[[#This Row],[Use_E6]]="Yes",Tab_Data_Flows[[#This Row],[E6_Fraction'[%']]]*Tab_Data_Flows[[#This Row],[E1_value]],"N.A.")</f>
        <v>0</v>
      </c>
      <c r="AM91" s="2" t="str">
        <f>Tab_Data_Flows[[#This Row],[E1_UoM]]</f>
        <v>Mg</v>
      </c>
    </row>
    <row r="92" spans="1:39" x14ac:dyDescent="0.25">
      <c r="A92" s="4">
        <f t="shared" si="3"/>
        <v>91</v>
      </c>
      <c r="B92" s="2" t="str">
        <f>_xlfn.XLOOKUP(C92,Tab_Def_Flows[Flow_Name],Tab_Def_Flows[Flow_ID],,0,)</f>
        <v>F__</v>
      </c>
      <c r="C92" s="18" t="s">
        <v>5</v>
      </c>
      <c r="D92" s="5" t="str">
        <f>_xlfn.XLOOKUP(C92,Tab_Def_Flows[Flow_Name],Tab_Def_Flows[Use_E1],,0,)</f>
        <v>Yes</v>
      </c>
      <c r="E92" s="5" t="str">
        <f>_xlfn.XLOOKUP(C92,Tab_Def_Flows[Flow_Name],Tab_Def_Flows[Use_E2],,0,)</f>
        <v>Yes</v>
      </c>
      <c r="F92" s="5" t="str">
        <f>_xlfn.XLOOKUP(C92,Tab_Def_Flows[Flow_Name],Tab_Def_Flows[Use_E3],,0,)</f>
        <v>Yes</v>
      </c>
      <c r="G92" s="5" t="str">
        <f>_xlfn.XLOOKUP(C92,Tab_Def_Flows[Flow_Name],Tab_Def_Flows[Use_E4],,0,)</f>
        <v>Yes</v>
      </c>
      <c r="H92" s="5" t="str">
        <f>_xlfn.XLOOKUP(C92,Tab_Def_Flows[Flow_Name],Tab_Def_Flows[Use_E5],,0,)</f>
        <v>Yes</v>
      </c>
      <c r="I92" s="5" t="str">
        <f>_xlfn.XLOOKUP(C92,Tab_Def_Flows[Flow_Name],Tab_Def_Flows[Use_E6],,0,)</f>
        <v>Yes</v>
      </c>
      <c r="J92" s="3"/>
      <c r="K92" s="3"/>
      <c r="L92" s="2" t="str">
        <f>'0_Configuration'!$C$41</f>
        <v>Mg</v>
      </c>
      <c r="M92" s="9"/>
      <c r="N92" s="9"/>
      <c r="O92" s="9"/>
      <c r="P92" s="9"/>
      <c r="Q92" s="18" t="s">
        <v>3</v>
      </c>
      <c r="R92" s="10"/>
      <c r="S92" s="3"/>
      <c r="T92" s="9"/>
      <c r="U92" s="9"/>
      <c r="V92" s="2">
        <f>_xlfn.XLOOKUP(Tab_Data_Flows[[#This Row],[Flow_Name]],Tab_Def_Flows[Flow_Name],Tab_Def_Flows[Flow_E1_Fraction'[%']],"N.A.",0,1)</f>
        <v>0</v>
      </c>
      <c r="W92" s="8">
        <f t="shared" si="2"/>
        <v>0</v>
      </c>
      <c r="X92" s="2" t="str">
        <f>Tab_Data_Flows[[#This Row],[UoM_Source]]</f>
        <v>Mg</v>
      </c>
      <c r="Y92" s="19">
        <f>_xlfn.XLOOKUP(Tab_Data_Flows[[#This Row],[Flow_Name]],Tab_Def_Flows[Flow_Name],Tab_Def_Flows[Flow_E2_Fraction'[%']],"N.A.",0,1)</f>
        <v>0</v>
      </c>
      <c r="Z92" s="2">
        <f>IF(D92="Yes",W92*Tab_Data_Flows[[#This Row],[E2_Fraction'[%']]],"N.A.")</f>
        <v>0</v>
      </c>
      <c r="AA92" s="2" t="str">
        <f>Tab_Data_Flows[[#This Row],[E1_UoM]]</f>
        <v>Mg</v>
      </c>
      <c r="AB92" s="19">
        <f>_xlfn.XLOOKUP(Tab_Data_Flows[[#This Row],[Flow_Name]],Tab_Def_Flows[Flow_Name],Tab_Def_Flows[Flow_E3_Fraction'[%']],"N.A.",0,1)</f>
        <v>0</v>
      </c>
      <c r="AC92" s="2">
        <f>IF(E92="Yes",AB92*Tab_Data_Flows[[#This Row],[E1_value]],"N.A.")</f>
        <v>0</v>
      </c>
      <c r="AD92" s="2" t="str">
        <f>Tab_Data_Flows[[#This Row],[E1_UoM]]</f>
        <v>Mg</v>
      </c>
      <c r="AE92" s="19">
        <f>_xlfn.XLOOKUP(Tab_Data_Flows[[#This Row],[Flow_Name]],Tab_Def_Flows[Flow_Name],Tab_Def_Flows[Flow_E4_Fraction'[%']],"N.A.",0,1)</f>
        <v>0</v>
      </c>
      <c r="AF92" s="2">
        <f>IF(H92="Yes",Tab_Data_Flows[[#This Row],[E4_Fraction'[%']]]*Tab_Data_Flows[[#This Row],[E1_value]],"N.A.")</f>
        <v>0</v>
      </c>
      <c r="AG92" s="2" t="str">
        <f>Tab_Data_Flows[[#This Row],[E1_UoM]]</f>
        <v>Mg</v>
      </c>
      <c r="AH92" s="2">
        <f>_xlfn.XLOOKUP(Tab_Data_Flows[[#This Row],[Flow_Name]],Tab_Def_Flows[Flow_Name],Tab_Def_Flows[Flow_E5_Fraction'[%']],"N.A.",0,1)</f>
        <v>0</v>
      </c>
      <c r="AI92" s="2">
        <f>IF(H92="Yes",Tab_Data_Flows[[#This Row],[E5_Fraction'[%']]]*Tab_Data_Flows[[#This Row],[E1_value]],"N.A.")</f>
        <v>0</v>
      </c>
      <c r="AJ92" s="2" t="str">
        <f>Tab_Data_Flows[[#This Row],[E1_UoM]]</f>
        <v>Mg</v>
      </c>
      <c r="AK92" s="19">
        <f>_xlfn.XLOOKUP(Tab_Data_Flows[[#This Row],[Flow_Name]],Tab_Def_Flows[Flow_Name],Tab_Def_Flows[Flow_E6_Fraction'[%']],"N.A.",0,1)</f>
        <v>0</v>
      </c>
      <c r="AL92" s="2">
        <f>IF(Tab_Data_Flows[[#This Row],[Use_E6]]="Yes",Tab_Data_Flows[[#This Row],[E6_Fraction'[%']]]*Tab_Data_Flows[[#This Row],[E1_value]],"N.A.")</f>
        <v>0</v>
      </c>
      <c r="AM92" s="2" t="str">
        <f>Tab_Data_Flows[[#This Row],[E1_UoM]]</f>
        <v>Mg</v>
      </c>
    </row>
    <row r="93" spans="1:39" x14ac:dyDescent="0.25">
      <c r="A93" s="4">
        <f t="shared" si="3"/>
        <v>92</v>
      </c>
      <c r="B93" s="2" t="str">
        <f>_xlfn.XLOOKUP(C93,Tab_Def_Flows[Flow_Name],Tab_Def_Flows[Flow_ID],,0,)</f>
        <v>F__</v>
      </c>
      <c r="C93" s="18" t="s">
        <v>5</v>
      </c>
      <c r="D93" s="5" t="str">
        <f>_xlfn.XLOOKUP(C93,Tab_Def_Flows[Flow_Name],Tab_Def_Flows[Use_E1],,0,)</f>
        <v>Yes</v>
      </c>
      <c r="E93" s="5" t="str">
        <f>_xlfn.XLOOKUP(C93,Tab_Def_Flows[Flow_Name],Tab_Def_Flows[Use_E2],,0,)</f>
        <v>Yes</v>
      </c>
      <c r="F93" s="5" t="str">
        <f>_xlfn.XLOOKUP(C93,Tab_Def_Flows[Flow_Name],Tab_Def_Flows[Use_E3],,0,)</f>
        <v>Yes</v>
      </c>
      <c r="G93" s="5" t="str">
        <f>_xlfn.XLOOKUP(C93,Tab_Def_Flows[Flow_Name],Tab_Def_Flows[Use_E4],,0,)</f>
        <v>Yes</v>
      </c>
      <c r="H93" s="5" t="str">
        <f>_xlfn.XLOOKUP(C93,Tab_Def_Flows[Flow_Name],Tab_Def_Flows[Use_E5],,0,)</f>
        <v>Yes</v>
      </c>
      <c r="I93" s="5" t="str">
        <f>_xlfn.XLOOKUP(C93,Tab_Def_Flows[Flow_Name],Tab_Def_Flows[Use_E6],,0,)</f>
        <v>Yes</v>
      </c>
      <c r="J93" s="3"/>
      <c r="K93" s="3"/>
      <c r="L93" s="2" t="str">
        <f>'0_Configuration'!$C$41</f>
        <v>Mg</v>
      </c>
      <c r="M93" s="9"/>
      <c r="N93" s="9"/>
      <c r="O93" s="9"/>
      <c r="P93" s="9"/>
      <c r="Q93" s="18" t="s">
        <v>3</v>
      </c>
      <c r="R93" s="10"/>
      <c r="S93" s="3"/>
      <c r="T93" s="9"/>
      <c r="U93" s="9"/>
      <c r="V93" s="2">
        <f>_xlfn.XLOOKUP(Tab_Data_Flows[[#This Row],[Flow_Name]],Tab_Def_Flows[Flow_Name],Tab_Def_Flows[Flow_E1_Fraction'[%']],"N.A.",0,1)</f>
        <v>0</v>
      </c>
      <c r="W93" s="8">
        <f t="shared" si="2"/>
        <v>0</v>
      </c>
      <c r="X93" s="2" t="str">
        <f>Tab_Data_Flows[[#This Row],[UoM_Source]]</f>
        <v>Mg</v>
      </c>
      <c r="Y93" s="19">
        <f>_xlfn.XLOOKUP(Tab_Data_Flows[[#This Row],[Flow_Name]],Tab_Def_Flows[Flow_Name],Tab_Def_Flows[Flow_E2_Fraction'[%']],"N.A.",0,1)</f>
        <v>0</v>
      </c>
      <c r="Z93" s="2">
        <f>IF(D93="Yes",W93*Tab_Data_Flows[[#This Row],[E2_Fraction'[%']]],"N.A.")</f>
        <v>0</v>
      </c>
      <c r="AA93" s="2" t="str">
        <f>Tab_Data_Flows[[#This Row],[E1_UoM]]</f>
        <v>Mg</v>
      </c>
      <c r="AB93" s="19">
        <f>_xlfn.XLOOKUP(Tab_Data_Flows[[#This Row],[Flow_Name]],Tab_Def_Flows[Flow_Name],Tab_Def_Flows[Flow_E3_Fraction'[%']],"N.A.",0,1)</f>
        <v>0</v>
      </c>
      <c r="AC93" s="2">
        <f>IF(E93="Yes",AB93*Tab_Data_Flows[[#This Row],[E1_value]],"N.A.")</f>
        <v>0</v>
      </c>
      <c r="AD93" s="2" t="str">
        <f>Tab_Data_Flows[[#This Row],[E1_UoM]]</f>
        <v>Mg</v>
      </c>
      <c r="AE93" s="19">
        <f>_xlfn.XLOOKUP(Tab_Data_Flows[[#This Row],[Flow_Name]],Tab_Def_Flows[Flow_Name],Tab_Def_Flows[Flow_E4_Fraction'[%']],"N.A.",0,1)</f>
        <v>0</v>
      </c>
      <c r="AF93" s="2">
        <f>IF(H93="Yes",Tab_Data_Flows[[#This Row],[E4_Fraction'[%']]]*Tab_Data_Flows[[#This Row],[E1_value]],"N.A.")</f>
        <v>0</v>
      </c>
      <c r="AG93" s="2" t="str">
        <f>Tab_Data_Flows[[#This Row],[E1_UoM]]</f>
        <v>Mg</v>
      </c>
      <c r="AH93" s="2">
        <f>_xlfn.XLOOKUP(Tab_Data_Flows[[#This Row],[Flow_Name]],Tab_Def_Flows[Flow_Name],Tab_Def_Flows[Flow_E5_Fraction'[%']],"N.A.",0,1)</f>
        <v>0</v>
      </c>
      <c r="AI93" s="2">
        <f>IF(H93="Yes",Tab_Data_Flows[[#This Row],[E5_Fraction'[%']]]*Tab_Data_Flows[[#This Row],[E1_value]],"N.A.")</f>
        <v>0</v>
      </c>
      <c r="AJ93" s="2" t="str">
        <f>Tab_Data_Flows[[#This Row],[E1_UoM]]</f>
        <v>Mg</v>
      </c>
      <c r="AK93" s="19">
        <f>_xlfn.XLOOKUP(Tab_Data_Flows[[#This Row],[Flow_Name]],Tab_Def_Flows[Flow_Name],Tab_Def_Flows[Flow_E6_Fraction'[%']],"N.A.",0,1)</f>
        <v>0</v>
      </c>
      <c r="AL93" s="2">
        <f>IF(Tab_Data_Flows[[#This Row],[Use_E6]]="Yes",Tab_Data_Flows[[#This Row],[E6_Fraction'[%']]]*Tab_Data_Flows[[#This Row],[E1_value]],"N.A.")</f>
        <v>0</v>
      </c>
      <c r="AM93" s="2" t="str">
        <f>Tab_Data_Flows[[#This Row],[E1_UoM]]</f>
        <v>Mg</v>
      </c>
    </row>
    <row r="94" spans="1:39" x14ac:dyDescent="0.25">
      <c r="A94" s="4">
        <f t="shared" si="3"/>
        <v>93</v>
      </c>
      <c r="B94" s="2" t="str">
        <f>_xlfn.XLOOKUP(C94,Tab_Def_Flows[Flow_Name],Tab_Def_Flows[Flow_ID],,0,)</f>
        <v>F__</v>
      </c>
      <c r="C94" s="18" t="s">
        <v>5</v>
      </c>
      <c r="D94" s="5" t="str">
        <f>_xlfn.XLOOKUP(C94,Tab_Def_Flows[Flow_Name],Tab_Def_Flows[Use_E1],,0,)</f>
        <v>Yes</v>
      </c>
      <c r="E94" s="5" t="str">
        <f>_xlfn.XLOOKUP(C94,Tab_Def_Flows[Flow_Name],Tab_Def_Flows[Use_E2],,0,)</f>
        <v>Yes</v>
      </c>
      <c r="F94" s="5" t="str">
        <f>_xlfn.XLOOKUP(C94,Tab_Def_Flows[Flow_Name],Tab_Def_Flows[Use_E3],,0,)</f>
        <v>Yes</v>
      </c>
      <c r="G94" s="5" t="str">
        <f>_xlfn.XLOOKUP(C94,Tab_Def_Flows[Flow_Name],Tab_Def_Flows[Use_E4],,0,)</f>
        <v>Yes</v>
      </c>
      <c r="H94" s="5" t="str">
        <f>_xlfn.XLOOKUP(C94,Tab_Def_Flows[Flow_Name],Tab_Def_Flows[Use_E5],,0,)</f>
        <v>Yes</v>
      </c>
      <c r="I94" s="5" t="str">
        <f>_xlfn.XLOOKUP(C94,Tab_Def_Flows[Flow_Name],Tab_Def_Flows[Use_E6],,0,)</f>
        <v>Yes</v>
      </c>
      <c r="J94" s="3"/>
      <c r="K94" s="3"/>
      <c r="L94" s="2" t="str">
        <f>'0_Configuration'!$C$41</f>
        <v>Mg</v>
      </c>
      <c r="M94" s="9"/>
      <c r="N94" s="9"/>
      <c r="O94" s="9"/>
      <c r="P94" s="9"/>
      <c r="Q94" s="18" t="s">
        <v>3</v>
      </c>
      <c r="R94" s="10"/>
      <c r="S94" s="3"/>
      <c r="T94" s="9"/>
      <c r="U94" s="9"/>
      <c r="V94" s="2">
        <f>_xlfn.XLOOKUP(Tab_Data_Flows[[#This Row],[Flow_Name]],Tab_Def_Flows[Flow_Name],Tab_Def_Flows[Flow_E1_Fraction'[%']],"N.A.",0,1)</f>
        <v>0</v>
      </c>
      <c r="W94" s="8">
        <f t="shared" si="2"/>
        <v>0</v>
      </c>
      <c r="X94" s="2" t="str">
        <f>Tab_Data_Flows[[#This Row],[UoM_Source]]</f>
        <v>Mg</v>
      </c>
      <c r="Y94" s="19">
        <f>_xlfn.XLOOKUP(Tab_Data_Flows[[#This Row],[Flow_Name]],Tab_Def_Flows[Flow_Name],Tab_Def_Flows[Flow_E2_Fraction'[%']],"N.A.",0,1)</f>
        <v>0</v>
      </c>
      <c r="Z94" s="2">
        <f>IF(D94="Yes",W94*Tab_Data_Flows[[#This Row],[E2_Fraction'[%']]],"N.A.")</f>
        <v>0</v>
      </c>
      <c r="AA94" s="2" t="str">
        <f>Tab_Data_Flows[[#This Row],[E1_UoM]]</f>
        <v>Mg</v>
      </c>
      <c r="AB94" s="19">
        <f>_xlfn.XLOOKUP(Tab_Data_Flows[[#This Row],[Flow_Name]],Tab_Def_Flows[Flow_Name],Tab_Def_Flows[Flow_E3_Fraction'[%']],"N.A.",0,1)</f>
        <v>0</v>
      </c>
      <c r="AC94" s="2">
        <f>IF(E94="Yes",AB94*Tab_Data_Flows[[#This Row],[E1_value]],"N.A.")</f>
        <v>0</v>
      </c>
      <c r="AD94" s="2" t="str">
        <f>Tab_Data_Flows[[#This Row],[E1_UoM]]</f>
        <v>Mg</v>
      </c>
      <c r="AE94" s="19">
        <f>_xlfn.XLOOKUP(Tab_Data_Flows[[#This Row],[Flow_Name]],Tab_Def_Flows[Flow_Name],Tab_Def_Flows[Flow_E4_Fraction'[%']],"N.A.",0,1)</f>
        <v>0</v>
      </c>
      <c r="AF94" s="2">
        <f>IF(H94="Yes",Tab_Data_Flows[[#This Row],[E4_Fraction'[%']]]*Tab_Data_Flows[[#This Row],[E1_value]],"N.A.")</f>
        <v>0</v>
      </c>
      <c r="AG94" s="2" t="str">
        <f>Tab_Data_Flows[[#This Row],[E1_UoM]]</f>
        <v>Mg</v>
      </c>
      <c r="AH94" s="2">
        <f>_xlfn.XLOOKUP(Tab_Data_Flows[[#This Row],[Flow_Name]],Tab_Def_Flows[Flow_Name],Tab_Def_Flows[Flow_E5_Fraction'[%']],"N.A.",0,1)</f>
        <v>0</v>
      </c>
      <c r="AI94" s="2">
        <f>IF(H94="Yes",Tab_Data_Flows[[#This Row],[E5_Fraction'[%']]]*Tab_Data_Flows[[#This Row],[E1_value]],"N.A.")</f>
        <v>0</v>
      </c>
      <c r="AJ94" s="2" t="str">
        <f>Tab_Data_Flows[[#This Row],[E1_UoM]]</f>
        <v>Mg</v>
      </c>
      <c r="AK94" s="19">
        <f>_xlfn.XLOOKUP(Tab_Data_Flows[[#This Row],[Flow_Name]],Tab_Def_Flows[Flow_Name],Tab_Def_Flows[Flow_E6_Fraction'[%']],"N.A.",0,1)</f>
        <v>0</v>
      </c>
      <c r="AL94" s="2">
        <f>IF(Tab_Data_Flows[[#This Row],[Use_E6]]="Yes",Tab_Data_Flows[[#This Row],[E6_Fraction'[%']]]*Tab_Data_Flows[[#This Row],[E1_value]],"N.A.")</f>
        <v>0</v>
      </c>
      <c r="AM94" s="2" t="str">
        <f>Tab_Data_Flows[[#This Row],[E1_UoM]]</f>
        <v>Mg</v>
      </c>
    </row>
    <row r="95" spans="1:39" x14ac:dyDescent="0.25">
      <c r="A95" s="4">
        <f t="shared" si="3"/>
        <v>94</v>
      </c>
      <c r="B95" s="2" t="str">
        <f>_xlfn.XLOOKUP(C95,Tab_Def_Flows[Flow_Name],Tab_Def_Flows[Flow_ID],,0,)</f>
        <v>F__</v>
      </c>
      <c r="C95" s="18" t="s">
        <v>5</v>
      </c>
      <c r="D95" s="5" t="str">
        <f>_xlfn.XLOOKUP(C95,Tab_Def_Flows[Flow_Name],Tab_Def_Flows[Use_E1],,0,)</f>
        <v>Yes</v>
      </c>
      <c r="E95" s="5" t="str">
        <f>_xlfn.XLOOKUP(C95,Tab_Def_Flows[Flow_Name],Tab_Def_Flows[Use_E2],,0,)</f>
        <v>Yes</v>
      </c>
      <c r="F95" s="5" t="str">
        <f>_xlfn.XLOOKUP(C95,Tab_Def_Flows[Flow_Name],Tab_Def_Flows[Use_E3],,0,)</f>
        <v>Yes</v>
      </c>
      <c r="G95" s="5" t="str">
        <f>_xlfn.XLOOKUP(C95,Tab_Def_Flows[Flow_Name],Tab_Def_Flows[Use_E4],,0,)</f>
        <v>Yes</v>
      </c>
      <c r="H95" s="5" t="str">
        <f>_xlfn.XLOOKUP(C95,Tab_Def_Flows[Flow_Name],Tab_Def_Flows[Use_E5],,0,)</f>
        <v>Yes</v>
      </c>
      <c r="I95" s="5" t="str">
        <f>_xlfn.XLOOKUP(C95,Tab_Def_Flows[Flow_Name],Tab_Def_Flows[Use_E6],,0,)</f>
        <v>Yes</v>
      </c>
      <c r="J95" s="3"/>
      <c r="K95" s="3"/>
      <c r="L95" s="2" t="str">
        <f>'0_Configuration'!$C$41</f>
        <v>Mg</v>
      </c>
      <c r="M95" s="9"/>
      <c r="N95" s="9"/>
      <c r="O95" s="9"/>
      <c r="P95" s="9"/>
      <c r="Q95" s="18" t="s">
        <v>3</v>
      </c>
      <c r="R95" s="10"/>
      <c r="S95" s="3"/>
      <c r="T95" s="9"/>
      <c r="U95" s="9"/>
      <c r="V95" s="2">
        <f>_xlfn.XLOOKUP(Tab_Data_Flows[[#This Row],[Flow_Name]],Tab_Def_Flows[Flow_Name],Tab_Def_Flows[Flow_E1_Fraction'[%']],"N.A.",0,1)</f>
        <v>0</v>
      </c>
      <c r="W95" s="8">
        <f t="shared" si="2"/>
        <v>0</v>
      </c>
      <c r="X95" s="2" t="str">
        <f>Tab_Data_Flows[[#This Row],[UoM_Source]]</f>
        <v>Mg</v>
      </c>
      <c r="Y95" s="19">
        <f>_xlfn.XLOOKUP(Tab_Data_Flows[[#This Row],[Flow_Name]],Tab_Def_Flows[Flow_Name],Tab_Def_Flows[Flow_E2_Fraction'[%']],"N.A.",0,1)</f>
        <v>0</v>
      </c>
      <c r="Z95" s="2">
        <f>IF(D95="Yes",W95*Tab_Data_Flows[[#This Row],[E2_Fraction'[%']]],"N.A.")</f>
        <v>0</v>
      </c>
      <c r="AA95" s="2" t="str">
        <f>Tab_Data_Flows[[#This Row],[E1_UoM]]</f>
        <v>Mg</v>
      </c>
      <c r="AB95" s="19">
        <f>_xlfn.XLOOKUP(Tab_Data_Flows[[#This Row],[Flow_Name]],Tab_Def_Flows[Flow_Name],Tab_Def_Flows[Flow_E3_Fraction'[%']],"N.A.",0,1)</f>
        <v>0</v>
      </c>
      <c r="AC95" s="2">
        <f>IF(E95="Yes",AB95*Tab_Data_Flows[[#This Row],[E1_value]],"N.A.")</f>
        <v>0</v>
      </c>
      <c r="AD95" s="2" t="str">
        <f>Tab_Data_Flows[[#This Row],[E1_UoM]]</f>
        <v>Mg</v>
      </c>
      <c r="AE95" s="19">
        <f>_xlfn.XLOOKUP(Tab_Data_Flows[[#This Row],[Flow_Name]],Tab_Def_Flows[Flow_Name],Tab_Def_Flows[Flow_E4_Fraction'[%']],"N.A.",0,1)</f>
        <v>0</v>
      </c>
      <c r="AF95" s="2">
        <f>IF(H95="Yes",Tab_Data_Flows[[#This Row],[E4_Fraction'[%']]]*Tab_Data_Flows[[#This Row],[E1_value]],"N.A.")</f>
        <v>0</v>
      </c>
      <c r="AG95" s="2" t="str">
        <f>Tab_Data_Flows[[#This Row],[E1_UoM]]</f>
        <v>Mg</v>
      </c>
      <c r="AH95" s="2">
        <f>_xlfn.XLOOKUP(Tab_Data_Flows[[#This Row],[Flow_Name]],Tab_Def_Flows[Flow_Name],Tab_Def_Flows[Flow_E5_Fraction'[%']],"N.A.",0,1)</f>
        <v>0</v>
      </c>
      <c r="AI95" s="2">
        <f>IF(H95="Yes",Tab_Data_Flows[[#This Row],[E5_Fraction'[%']]]*Tab_Data_Flows[[#This Row],[E1_value]],"N.A.")</f>
        <v>0</v>
      </c>
      <c r="AJ95" s="2" t="str">
        <f>Tab_Data_Flows[[#This Row],[E1_UoM]]</f>
        <v>Mg</v>
      </c>
      <c r="AK95" s="19">
        <f>_xlfn.XLOOKUP(Tab_Data_Flows[[#This Row],[Flow_Name]],Tab_Def_Flows[Flow_Name],Tab_Def_Flows[Flow_E6_Fraction'[%']],"N.A.",0,1)</f>
        <v>0</v>
      </c>
      <c r="AL95" s="2">
        <f>IF(Tab_Data_Flows[[#This Row],[Use_E6]]="Yes",Tab_Data_Flows[[#This Row],[E6_Fraction'[%']]]*Tab_Data_Flows[[#This Row],[E1_value]],"N.A.")</f>
        <v>0</v>
      </c>
      <c r="AM95" s="2" t="str">
        <f>Tab_Data_Flows[[#This Row],[E1_UoM]]</f>
        <v>Mg</v>
      </c>
    </row>
    <row r="96" spans="1:39" x14ac:dyDescent="0.25">
      <c r="A96" s="4">
        <f t="shared" si="3"/>
        <v>95</v>
      </c>
      <c r="B96" s="2" t="str">
        <f>_xlfn.XLOOKUP(C96,Tab_Def_Flows[Flow_Name],Tab_Def_Flows[Flow_ID],,0,)</f>
        <v>F__</v>
      </c>
      <c r="C96" s="18" t="s">
        <v>5</v>
      </c>
      <c r="D96" s="5" t="str">
        <f>_xlfn.XLOOKUP(C96,Tab_Def_Flows[Flow_Name],Tab_Def_Flows[Use_E1],,0,)</f>
        <v>Yes</v>
      </c>
      <c r="E96" s="5" t="str">
        <f>_xlfn.XLOOKUP(C96,Tab_Def_Flows[Flow_Name],Tab_Def_Flows[Use_E2],,0,)</f>
        <v>Yes</v>
      </c>
      <c r="F96" s="5" t="str">
        <f>_xlfn.XLOOKUP(C96,Tab_Def_Flows[Flow_Name],Tab_Def_Flows[Use_E3],,0,)</f>
        <v>Yes</v>
      </c>
      <c r="G96" s="5" t="str">
        <f>_xlfn.XLOOKUP(C96,Tab_Def_Flows[Flow_Name],Tab_Def_Flows[Use_E4],,0,)</f>
        <v>Yes</v>
      </c>
      <c r="H96" s="5" t="str">
        <f>_xlfn.XLOOKUP(C96,Tab_Def_Flows[Flow_Name],Tab_Def_Flows[Use_E5],,0,)</f>
        <v>Yes</v>
      </c>
      <c r="I96" s="5" t="str">
        <f>_xlfn.XLOOKUP(C96,Tab_Def_Flows[Flow_Name],Tab_Def_Flows[Use_E6],,0,)</f>
        <v>Yes</v>
      </c>
      <c r="J96" s="3"/>
      <c r="K96" s="3"/>
      <c r="L96" s="2" t="str">
        <f>'0_Configuration'!$C$41</f>
        <v>Mg</v>
      </c>
      <c r="M96" s="9"/>
      <c r="N96" s="9"/>
      <c r="O96" s="9"/>
      <c r="P96" s="9"/>
      <c r="Q96" s="18" t="s">
        <v>3</v>
      </c>
      <c r="R96" s="3"/>
      <c r="S96" s="3"/>
      <c r="T96" s="9"/>
      <c r="U96" s="9"/>
      <c r="V96" s="2">
        <f>_xlfn.XLOOKUP(Tab_Data_Flows[[#This Row],[Flow_Name]],Tab_Def_Flows[Flow_Name],Tab_Def_Flows[Flow_E1_Fraction'[%']],"N.A.",0,1)</f>
        <v>0</v>
      </c>
      <c r="W96" s="8">
        <f t="shared" si="2"/>
        <v>0</v>
      </c>
      <c r="X96" s="2" t="str">
        <f>Tab_Data_Flows[[#This Row],[UoM_Source]]</f>
        <v>Mg</v>
      </c>
      <c r="Y96" s="19">
        <f>_xlfn.XLOOKUP(Tab_Data_Flows[[#This Row],[Flow_Name]],Tab_Def_Flows[Flow_Name],Tab_Def_Flows[Flow_E2_Fraction'[%']],"N.A.",0,1)</f>
        <v>0</v>
      </c>
      <c r="Z96" s="2">
        <f>IF(D96="Yes",W96*Tab_Data_Flows[[#This Row],[E2_Fraction'[%']]],"N.A.")</f>
        <v>0</v>
      </c>
      <c r="AA96" s="2" t="str">
        <f>Tab_Data_Flows[[#This Row],[E1_UoM]]</f>
        <v>Mg</v>
      </c>
      <c r="AB96" s="19">
        <f>_xlfn.XLOOKUP(Tab_Data_Flows[[#This Row],[Flow_Name]],Tab_Def_Flows[Flow_Name],Tab_Def_Flows[Flow_E3_Fraction'[%']],"N.A.",0,1)</f>
        <v>0</v>
      </c>
      <c r="AC96" s="2">
        <f>IF(E96="Yes",AB96*Tab_Data_Flows[[#This Row],[E1_value]],"N.A.")</f>
        <v>0</v>
      </c>
      <c r="AD96" s="2" t="str">
        <f>Tab_Data_Flows[[#This Row],[E1_UoM]]</f>
        <v>Mg</v>
      </c>
      <c r="AE96" s="19">
        <f>_xlfn.XLOOKUP(Tab_Data_Flows[[#This Row],[Flow_Name]],Tab_Def_Flows[Flow_Name],Tab_Def_Flows[Flow_E4_Fraction'[%']],"N.A.",0,1)</f>
        <v>0</v>
      </c>
      <c r="AF96" s="2">
        <f>IF(H96="Yes",Tab_Data_Flows[[#This Row],[E4_Fraction'[%']]]*Tab_Data_Flows[[#This Row],[E1_value]],"N.A.")</f>
        <v>0</v>
      </c>
      <c r="AG96" s="2" t="str">
        <f>Tab_Data_Flows[[#This Row],[E1_UoM]]</f>
        <v>Mg</v>
      </c>
      <c r="AH96" s="2">
        <f>_xlfn.XLOOKUP(Tab_Data_Flows[[#This Row],[Flow_Name]],Tab_Def_Flows[Flow_Name],Tab_Def_Flows[Flow_E5_Fraction'[%']],"N.A.",0,1)</f>
        <v>0</v>
      </c>
      <c r="AI96" s="2">
        <f>IF(H96="Yes",Tab_Data_Flows[[#This Row],[E5_Fraction'[%']]]*Tab_Data_Flows[[#This Row],[E1_value]],"N.A.")</f>
        <v>0</v>
      </c>
      <c r="AJ96" s="2" t="str">
        <f>Tab_Data_Flows[[#This Row],[E1_UoM]]</f>
        <v>Mg</v>
      </c>
      <c r="AK96" s="19">
        <f>_xlfn.XLOOKUP(Tab_Data_Flows[[#This Row],[Flow_Name]],Tab_Def_Flows[Flow_Name],Tab_Def_Flows[Flow_E6_Fraction'[%']],"N.A.",0,1)</f>
        <v>0</v>
      </c>
      <c r="AL96" s="2">
        <f>IF(Tab_Data_Flows[[#This Row],[Use_E6]]="Yes",Tab_Data_Flows[[#This Row],[E6_Fraction'[%']]]*Tab_Data_Flows[[#This Row],[E1_value]],"N.A.")</f>
        <v>0</v>
      </c>
      <c r="AM96" s="2" t="str">
        <f>Tab_Data_Flows[[#This Row],[E1_UoM]]</f>
        <v>Mg</v>
      </c>
    </row>
    <row r="97" spans="1:39" x14ac:dyDescent="0.25">
      <c r="A97" s="4">
        <f t="shared" si="3"/>
        <v>96</v>
      </c>
      <c r="B97" s="2" t="str">
        <f>_xlfn.XLOOKUP(C97,Tab_Def_Flows[Flow_Name],Tab_Def_Flows[Flow_ID],,0,)</f>
        <v>F__</v>
      </c>
      <c r="C97" s="18" t="s">
        <v>5</v>
      </c>
      <c r="D97" s="5" t="str">
        <f>_xlfn.XLOOKUP(C97,Tab_Def_Flows[Flow_Name],Tab_Def_Flows[Use_E1],,0,)</f>
        <v>Yes</v>
      </c>
      <c r="E97" s="5" t="str">
        <f>_xlfn.XLOOKUP(C97,Tab_Def_Flows[Flow_Name],Tab_Def_Flows[Use_E2],,0,)</f>
        <v>Yes</v>
      </c>
      <c r="F97" s="5" t="str">
        <f>_xlfn.XLOOKUP(C97,Tab_Def_Flows[Flow_Name],Tab_Def_Flows[Use_E3],,0,)</f>
        <v>Yes</v>
      </c>
      <c r="G97" s="5" t="str">
        <f>_xlfn.XLOOKUP(C97,Tab_Def_Flows[Flow_Name],Tab_Def_Flows[Use_E4],,0,)</f>
        <v>Yes</v>
      </c>
      <c r="H97" s="5" t="str">
        <f>_xlfn.XLOOKUP(C97,Tab_Def_Flows[Flow_Name],Tab_Def_Flows[Use_E5],,0,)</f>
        <v>Yes</v>
      </c>
      <c r="I97" s="5" t="str">
        <f>_xlfn.XLOOKUP(C97,Tab_Def_Flows[Flow_Name],Tab_Def_Flows[Use_E6],,0,)</f>
        <v>Yes</v>
      </c>
      <c r="J97" s="3"/>
      <c r="K97" s="3"/>
      <c r="L97" s="2" t="str">
        <f>'0_Configuration'!$C$41</f>
        <v>Mg</v>
      </c>
      <c r="M97" s="9"/>
      <c r="N97" s="9"/>
      <c r="O97" s="9"/>
      <c r="P97" s="9"/>
      <c r="Q97" s="18" t="s">
        <v>3</v>
      </c>
      <c r="R97" s="3"/>
      <c r="S97" s="3"/>
      <c r="T97" s="9"/>
      <c r="U97" s="9"/>
      <c r="V97" s="2">
        <f>_xlfn.XLOOKUP(Tab_Data_Flows[[#This Row],[Flow_Name]],Tab_Def_Flows[Flow_Name],Tab_Def_Flows[Flow_E1_Fraction'[%']],"N.A.",0,1)</f>
        <v>0</v>
      </c>
      <c r="W97" s="8">
        <f t="shared" si="2"/>
        <v>0</v>
      </c>
      <c r="X97" s="2" t="str">
        <f>Tab_Data_Flows[[#This Row],[UoM_Source]]</f>
        <v>Mg</v>
      </c>
      <c r="Y97" s="19">
        <f>_xlfn.XLOOKUP(Tab_Data_Flows[[#This Row],[Flow_Name]],Tab_Def_Flows[Flow_Name],Tab_Def_Flows[Flow_E2_Fraction'[%']],"N.A.",0,1)</f>
        <v>0</v>
      </c>
      <c r="Z97" s="2">
        <f>IF(D97="Yes",W97*Tab_Data_Flows[[#This Row],[E2_Fraction'[%']]],"N.A.")</f>
        <v>0</v>
      </c>
      <c r="AA97" s="2" t="str">
        <f>Tab_Data_Flows[[#This Row],[E1_UoM]]</f>
        <v>Mg</v>
      </c>
      <c r="AB97" s="19">
        <f>_xlfn.XLOOKUP(Tab_Data_Flows[[#This Row],[Flow_Name]],Tab_Def_Flows[Flow_Name],Tab_Def_Flows[Flow_E3_Fraction'[%']],"N.A.",0,1)</f>
        <v>0</v>
      </c>
      <c r="AC97" s="2">
        <f>IF(E97="Yes",AB97*Tab_Data_Flows[[#This Row],[E1_value]],"N.A.")</f>
        <v>0</v>
      </c>
      <c r="AD97" s="2" t="str">
        <f>Tab_Data_Flows[[#This Row],[E1_UoM]]</f>
        <v>Mg</v>
      </c>
      <c r="AE97" s="19">
        <f>_xlfn.XLOOKUP(Tab_Data_Flows[[#This Row],[Flow_Name]],Tab_Def_Flows[Flow_Name],Tab_Def_Flows[Flow_E4_Fraction'[%']],"N.A.",0,1)</f>
        <v>0</v>
      </c>
      <c r="AF97" s="2">
        <f>IF(H97="Yes",Tab_Data_Flows[[#This Row],[E4_Fraction'[%']]]*Tab_Data_Flows[[#This Row],[E1_value]],"N.A.")</f>
        <v>0</v>
      </c>
      <c r="AG97" s="2" t="str">
        <f>Tab_Data_Flows[[#This Row],[E1_UoM]]</f>
        <v>Mg</v>
      </c>
      <c r="AH97" s="2">
        <f>_xlfn.XLOOKUP(Tab_Data_Flows[[#This Row],[Flow_Name]],Tab_Def_Flows[Flow_Name],Tab_Def_Flows[Flow_E5_Fraction'[%']],"N.A.",0,1)</f>
        <v>0</v>
      </c>
      <c r="AI97" s="2">
        <f>IF(H97="Yes",Tab_Data_Flows[[#This Row],[E5_Fraction'[%']]]*Tab_Data_Flows[[#This Row],[E1_value]],"N.A.")</f>
        <v>0</v>
      </c>
      <c r="AJ97" s="2" t="str">
        <f>Tab_Data_Flows[[#This Row],[E1_UoM]]</f>
        <v>Mg</v>
      </c>
      <c r="AK97" s="19">
        <f>_xlfn.XLOOKUP(Tab_Data_Flows[[#This Row],[Flow_Name]],Tab_Def_Flows[Flow_Name],Tab_Def_Flows[Flow_E6_Fraction'[%']],"N.A.",0,1)</f>
        <v>0</v>
      </c>
      <c r="AL97" s="2">
        <f>IF(Tab_Data_Flows[[#This Row],[Use_E6]]="Yes",Tab_Data_Flows[[#This Row],[E6_Fraction'[%']]]*Tab_Data_Flows[[#This Row],[E1_value]],"N.A.")</f>
        <v>0</v>
      </c>
      <c r="AM97" s="2" t="str">
        <f>Tab_Data_Flows[[#This Row],[E1_UoM]]</f>
        <v>Mg</v>
      </c>
    </row>
    <row r="98" spans="1:39" x14ac:dyDescent="0.25">
      <c r="A98" s="4">
        <f t="shared" si="3"/>
        <v>97</v>
      </c>
      <c r="B98" s="2" t="str">
        <f>_xlfn.XLOOKUP(C98,Tab_Def_Flows[Flow_Name],Tab_Def_Flows[Flow_ID],,0,)</f>
        <v>F__</v>
      </c>
      <c r="C98" s="18" t="s">
        <v>5</v>
      </c>
      <c r="D98" s="5" t="str">
        <f>_xlfn.XLOOKUP(C98,Tab_Def_Flows[Flow_Name],Tab_Def_Flows[Use_E1],,0,)</f>
        <v>Yes</v>
      </c>
      <c r="E98" s="5" t="str">
        <f>_xlfn.XLOOKUP(C98,Tab_Def_Flows[Flow_Name],Tab_Def_Flows[Use_E2],,0,)</f>
        <v>Yes</v>
      </c>
      <c r="F98" s="5" t="str">
        <f>_xlfn.XLOOKUP(C98,Tab_Def_Flows[Flow_Name],Tab_Def_Flows[Use_E3],,0,)</f>
        <v>Yes</v>
      </c>
      <c r="G98" s="5" t="str">
        <f>_xlfn.XLOOKUP(C98,Tab_Def_Flows[Flow_Name],Tab_Def_Flows[Use_E4],,0,)</f>
        <v>Yes</v>
      </c>
      <c r="H98" s="5" t="str">
        <f>_xlfn.XLOOKUP(C98,Tab_Def_Flows[Flow_Name],Tab_Def_Flows[Use_E5],,0,)</f>
        <v>Yes</v>
      </c>
      <c r="I98" s="5" t="str">
        <f>_xlfn.XLOOKUP(C98,Tab_Def_Flows[Flow_Name],Tab_Def_Flows[Use_E6],,0,)</f>
        <v>Yes</v>
      </c>
      <c r="J98" s="3"/>
      <c r="K98" s="3"/>
      <c r="L98" s="2" t="str">
        <f>'0_Configuration'!$C$41</f>
        <v>Mg</v>
      </c>
      <c r="M98" s="9"/>
      <c r="N98" s="9"/>
      <c r="O98" s="9"/>
      <c r="P98" s="9"/>
      <c r="Q98" s="18" t="s">
        <v>3</v>
      </c>
      <c r="R98" s="3"/>
      <c r="S98" s="3"/>
      <c r="T98" s="9"/>
      <c r="U98" s="9"/>
      <c r="V98" s="2">
        <f>_xlfn.XLOOKUP(Tab_Data_Flows[[#This Row],[Flow_Name]],Tab_Def_Flows[Flow_Name],Tab_Def_Flows[Flow_E1_Fraction'[%']],"N.A.",0,1)</f>
        <v>0</v>
      </c>
      <c r="W98" s="8">
        <f t="shared" si="2"/>
        <v>0</v>
      </c>
      <c r="X98" s="2" t="str">
        <f>Tab_Data_Flows[[#This Row],[UoM_Source]]</f>
        <v>Mg</v>
      </c>
      <c r="Y98" s="19">
        <f>_xlfn.XLOOKUP(Tab_Data_Flows[[#This Row],[Flow_Name]],Tab_Def_Flows[Flow_Name],Tab_Def_Flows[Flow_E2_Fraction'[%']],"N.A.",0,1)</f>
        <v>0</v>
      </c>
      <c r="Z98" s="2">
        <f>IF(D98="Yes",W98*Tab_Data_Flows[[#This Row],[E2_Fraction'[%']]],"N.A.")</f>
        <v>0</v>
      </c>
      <c r="AA98" s="2" t="str">
        <f>Tab_Data_Flows[[#This Row],[E1_UoM]]</f>
        <v>Mg</v>
      </c>
      <c r="AB98" s="19">
        <f>_xlfn.XLOOKUP(Tab_Data_Flows[[#This Row],[Flow_Name]],Tab_Def_Flows[Flow_Name],Tab_Def_Flows[Flow_E3_Fraction'[%']],"N.A.",0,1)</f>
        <v>0</v>
      </c>
      <c r="AC98" s="2">
        <f>IF(E98="Yes",AB98*Tab_Data_Flows[[#This Row],[E1_value]],"N.A.")</f>
        <v>0</v>
      </c>
      <c r="AD98" s="2" t="str">
        <f>Tab_Data_Flows[[#This Row],[E1_UoM]]</f>
        <v>Mg</v>
      </c>
      <c r="AE98" s="19">
        <f>_xlfn.XLOOKUP(Tab_Data_Flows[[#This Row],[Flow_Name]],Tab_Def_Flows[Flow_Name],Tab_Def_Flows[Flow_E4_Fraction'[%']],"N.A.",0,1)</f>
        <v>0</v>
      </c>
      <c r="AF98" s="2">
        <f>IF(H98="Yes",Tab_Data_Flows[[#This Row],[E4_Fraction'[%']]]*Tab_Data_Flows[[#This Row],[E1_value]],"N.A.")</f>
        <v>0</v>
      </c>
      <c r="AG98" s="2" t="str">
        <f>Tab_Data_Flows[[#This Row],[E1_UoM]]</f>
        <v>Mg</v>
      </c>
      <c r="AH98" s="2">
        <f>_xlfn.XLOOKUP(Tab_Data_Flows[[#This Row],[Flow_Name]],Tab_Def_Flows[Flow_Name],Tab_Def_Flows[Flow_E5_Fraction'[%']],"N.A.",0,1)</f>
        <v>0</v>
      </c>
      <c r="AI98" s="2">
        <f>IF(H98="Yes",Tab_Data_Flows[[#This Row],[E5_Fraction'[%']]]*Tab_Data_Flows[[#This Row],[E1_value]],"N.A.")</f>
        <v>0</v>
      </c>
      <c r="AJ98" s="2" t="str">
        <f>Tab_Data_Flows[[#This Row],[E1_UoM]]</f>
        <v>Mg</v>
      </c>
      <c r="AK98" s="19">
        <f>_xlfn.XLOOKUP(Tab_Data_Flows[[#This Row],[Flow_Name]],Tab_Def_Flows[Flow_Name],Tab_Def_Flows[Flow_E6_Fraction'[%']],"N.A.",0,1)</f>
        <v>0</v>
      </c>
      <c r="AL98" s="2">
        <f>IF(Tab_Data_Flows[[#This Row],[Use_E6]]="Yes",Tab_Data_Flows[[#This Row],[E6_Fraction'[%']]]*Tab_Data_Flows[[#This Row],[E1_value]],"N.A.")</f>
        <v>0</v>
      </c>
      <c r="AM98" s="2" t="str">
        <f>Tab_Data_Flows[[#This Row],[E1_UoM]]</f>
        <v>Mg</v>
      </c>
    </row>
    <row r="99" spans="1:39" x14ac:dyDescent="0.25">
      <c r="A99" s="4">
        <f t="shared" si="3"/>
        <v>98</v>
      </c>
      <c r="B99" s="2" t="str">
        <f>_xlfn.XLOOKUP(C99,Tab_Def_Flows[Flow_Name],Tab_Def_Flows[Flow_ID],,0,)</f>
        <v>F__</v>
      </c>
      <c r="C99" s="18" t="s">
        <v>5</v>
      </c>
      <c r="D99" s="5" t="str">
        <f>_xlfn.XLOOKUP(C99,Tab_Def_Flows[Flow_Name],Tab_Def_Flows[Use_E1],,0,)</f>
        <v>Yes</v>
      </c>
      <c r="E99" s="5" t="str">
        <f>_xlfn.XLOOKUP(C99,Tab_Def_Flows[Flow_Name],Tab_Def_Flows[Use_E2],,0,)</f>
        <v>Yes</v>
      </c>
      <c r="F99" s="5" t="str">
        <f>_xlfn.XLOOKUP(C99,Tab_Def_Flows[Flow_Name],Tab_Def_Flows[Use_E3],,0,)</f>
        <v>Yes</v>
      </c>
      <c r="G99" s="5" t="str">
        <f>_xlfn.XLOOKUP(C99,Tab_Def_Flows[Flow_Name],Tab_Def_Flows[Use_E4],,0,)</f>
        <v>Yes</v>
      </c>
      <c r="H99" s="5" t="str">
        <f>_xlfn.XLOOKUP(C99,Tab_Def_Flows[Flow_Name],Tab_Def_Flows[Use_E5],,0,)</f>
        <v>Yes</v>
      </c>
      <c r="I99" s="5" t="str">
        <f>_xlfn.XLOOKUP(C99,Tab_Def_Flows[Flow_Name],Tab_Def_Flows[Use_E6],,0,)</f>
        <v>Yes</v>
      </c>
      <c r="J99" s="3"/>
      <c r="K99" s="3"/>
      <c r="L99" s="2" t="str">
        <f>'0_Configuration'!$C$41</f>
        <v>Mg</v>
      </c>
      <c r="M99" s="9"/>
      <c r="N99" s="9"/>
      <c r="O99" s="9"/>
      <c r="P99" s="9"/>
      <c r="Q99" s="18" t="s">
        <v>3</v>
      </c>
      <c r="R99" s="3"/>
      <c r="S99" s="3"/>
      <c r="T99" s="9"/>
      <c r="U99" s="9"/>
      <c r="V99" s="2">
        <f>_xlfn.XLOOKUP(Tab_Data_Flows[[#This Row],[Flow_Name]],Tab_Def_Flows[Flow_Name],Tab_Def_Flows[Flow_E1_Fraction'[%']],"N.A.",0,1)</f>
        <v>0</v>
      </c>
      <c r="W99" s="8">
        <f t="shared" si="2"/>
        <v>0</v>
      </c>
      <c r="X99" s="2" t="str">
        <f>Tab_Data_Flows[[#This Row],[UoM_Source]]</f>
        <v>Mg</v>
      </c>
      <c r="Y99" s="19">
        <f>_xlfn.XLOOKUP(Tab_Data_Flows[[#This Row],[Flow_Name]],Tab_Def_Flows[Flow_Name],Tab_Def_Flows[Flow_E2_Fraction'[%']],"N.A.",0,1)</f>
        <v>0</v>
      </c>
      <c r="Z99" s="2">
        <f>IF(D99="Yes",W99*Tab_Data_Flows[[#This Row],[E2_Fraction'[%']]],"N.A.")</f>
        <v>0</v>
      </c>
      <c r="AA99" s="2" t="str">
        <f>Tab_Data_Flows[[#This Row],[E1_UoM]]</f>
        <v>Mg</v>
      </c>
      <c r="AB99" s="19">
        <f>_xlfn.XLOOKUP(Tab_Data_Flows[[#This Row],[Flow_Name]],Tab_Def_Flows[Flow_Name],Tab_Def_Flows[Flow_E3_Fraction'[%']],"N.A.",0,1)</f>
        <v>0</v>
      </c>
      <c r="AC99" s="2">
        <f>IF(E99="Yes",AB99*Tab_Data_Flows[[#This Row],[E1_value]],"N.A.")</f>
        <v>0</v>
      </c>
      <c r="AD99" s="2" t="str">
        <f>Tab_Data_Flows[[#This Row],[E1_UoM]]</f>
        <v>Mg</v>
      </c>
      <c r="AE99" s="19">
        <f>_xlfn.XLOOKUP(Tab_Data_Flows[[#This Row],[Flow_Name]],Tab_Def_Flows[Flow_Name],Tab_Def_Flows[Flow_E4_Fraction'[%']],"N.A.",0,1)</f>
        <v>0</v>
      </c>
      <c r="AF99" s="2">
        <f>IF(H99="Yes",Tab_Data_Flows[[#This Row],[E4_Fraction'[%']]]*Tab_Data_Flows[[#This Row],[E1_value]],"N.A.")</f>
        <v>0</v>
      </c>
      <c r="AG99" s="2" t="str">
        <f>Tab_Data_Flows[[#This Row],[E1_UoM]]</f>
        <v>Mg</v>
      </c>
      <c r="AH99" s="2">
        <f>_xlfn.XLOOKUP(Tab_Data_Flows[[#This Row],[Flow_Name]],Tab_Def_Flows[Flow_Name],Tab_Def_Flows[Flow_E5_Fraction'[%']],"N.A.",0,1)</f>
        <v>0</v>
      </c>
      <c r="AI99" s="2">
        <f>IF(H99="Yes",Tab_Data_Flows[[#This Row],[E5_Fraction'[%']]]*Tab_Data_Flows[[#This Row],[E1_value]],"N.A.")</f>
        <v>0</v>
      </c>
      <c r="AJ99" s="2" t="str">
        <f>Tab_Data_Flows[[#This Row],[E1_UoM]]</f>
        <v>Mg</v>
      </c>
      <c r="AK99" s="19">
        <f>_xlfn.XLOOKUP(Tab_Data_Flows[[#This Row],[Flow_Name]],Tab_Def_Flows[Flow_Name],Tab_Def_Flows[Flow_E6_Fraction'[%']],"N.A.",0,1)</f>
        <v>0</v>
      </c>
      <c r="AL99" s="2">
        <f>IF(Tab_Data_Flows[[#This Row],[Use_E6]]="Yes",Tab_Data_Flows[[#This Row],[E6_Fraction'[%']]]*Tab_Data_Flows[[#This Row],[E1_value]],"N.A.")</f>
        <v>0</v>
      </c>
      <c r="AM99" s="2" t="str">
        <f>Tab_Data_Flows[[#This Row],[E1_UoM]]</f>
        <v>Mg</v>
      </c>
    </row>
    <row r="100" spans="1:39" x14ac:dyDescent="0.25">
      <c r="A100" s="4">
        <f t="shared" si="3"/>
        <v>99</v>
      </c>
      <c r="B100" s="2" t="str">
        <f>_xlfn.XLOOKUP(C100,Tab_Def_Flows[Flow_Name],Tab_Def_Flows[Flow_ID],,0,)</f>
        <v>F__</v>
      </c>
      <c r="C100" s="18" t="s">
        <v>5</v>
      </c>
      <c r="D100" s="5" t="str">
        <f>_xlfn.XLOOKUP(C100,Tab_Def_Flows[Flow_Name],Tab_Def_Flows[Use_E1],,0,)</f>
        <v>Yes</v>
      </c>
      <c r="E100" s="5" t="str">
        <f>_xlfn.XLOOKUP(C100,Tab_Def_Flows[Flow_Name],Tab_Def_Flows[Use_E2],,0,)</f>
        <v>Yes</v>
      </c>
      <c r="F100" s="5" t="str">
        <f>_xlfn.XLOOKUP(C100,Tab_Def_Flows[Flow_Name],Tab_Def_Flows[Use_E3],,0,)</f>
        <v>Yes</v>
      </c>
      <c r="G100" s="5" t="str">
        <f>_xlfn.XLOOKUP(C100,Tab_Def_Flows[Flow_Name],Tab_Def_Flows[Use_E4],,0,)</f>
        <v>Yes</v>
      </c>
      <c r="H100" s="5" t="str">
        <f>_xlfn.XLOOKUP(C100,Tab_Def_Flows[Flow_Name],Tab_Def_Flows[Use_E5],,0,)</f>
        <v>Yes</v>
      </c>
      <c r="I100" s="5" t="str">
        <f>_xlfn.XLOOKUP(C100,Tab_Def_Flows[Flow_Name],Tab_Def_Flows[Use_E6],,0,)</f>
        <v>Yes</v>
      </c>
      <c r="J100" s="3"/>
      <c r="K100" s="3"/>
      <c r="L100" s="2" t="str">
        <f>'0_Configuration'!$C$41</f>
        <v>Mg</v>
      </c>
      <c r="M100" s="9"/>
      <c r="N100" s="9"/>
      <c r="O100" s="9"/>
      <c r="P100" s="9"/>
      <c r="Q100" s="18" t="s">
        <v>3</v>
      </c>
      <c r="R100" s="3"/>
      <c r="S100" s="3"/>
      <c r="T100" s="9"/>
      <c r="U100" s="9"/>
      <c r="V100" s="2">
        <f>_xlfn.XLOOKUP(Tab_Data_Flows[[#This Row],[Flow_Name]],Tab_Def_Flows[Flow_Name],Tab_Def_Flows[Flow_E1_Fraction'[%']],"N.A.",0,1)</f>
        <v>0</v>
      </c>
      <c r="W100" s="8">
        <f t="shared" si="2"/>
        <v>0</v>
      </c>
      <c r="X100" s="2" t="str">
        <f>Tab_Data_Flows[[#This Row],[UoM_Source]]</f>
        <v>Mg</v>
      </c>
      <c r="Y100" s="19">
        <f>_xlfn.XLOOKUP(Tab_Data_Flows[[#This Row],[Flow_Name]],Tab_Def_Flows[Flow_Name],Tab_Def_Flows[Flow_E2_Fraction'[%']],"N.A.",0,1)</f>
        <v>0</v>
      </c>
      <c r="Z100" s="2">
        <f>IF(D100="Yes",W100*Tab_Data_Flows[[#This Row],[E2_Fraction'[%']]],"N.A.")</f>
        <v>0</v>
      </c>
      <c r="AA100" s="2" t="str">
        <f>Tab_Data_Flows[[#This Row],[E1_UoM]]</f>
        <v>Mg</v>
      </c>
      <c r="AB100" s="19">
        <f>_xlfn.XLOOKUP(Tab_Data_Flows[[#This Row],[Flow_Name]],Tab_Def_Flows[Flow_Name],Tab_Def_Flows[Flow_E3_Fraction'[%']],"N.A.",0,1)</f>
        <v>0</v>
      </c>
      <c r="AC100" s="2">
        <f>IF(E100="Yes",AB100*Tab_Data_Flows[[#This Row],[E1_value]],"N.A.")</f>
        <v>0</v>
      </c>
      <c r="AD100" s="2" t="str">
        <f>Tab_Data_Flows[[#This Row],[E1_UoM]]</f>
        <v>Mg</v>
      </c>
      <c r="AE100" s="19">
        <f>_xlfn.XLOOKUP(Tab_Data_Flows[[#This Row],[Flow_Name]],Tab_Def_Flows[Flow_Name],Tab_Def_Flows[Flow_E4_Fraction'[%']],"N.A.",0,1)</f>
        <v>0</v>
      </c>
      <c r="AF100" s="2">
        <f>IF(H100="Yes",Tab_Data_Flows[[#This Row],[E4_Fraction'[%']]]*Tab_Data_Flows[[#This Row],[E1_value]],"N.A.")</f>
        <v>0</v>
      </c>
      <c r="AG100" s="2" t="str">
        <f>Tab_Data_Flows[[#This Row],[E1_UoM]]</f>
        <v>Mg</v>
      </c>
      <c r="AH100" s="2">
        <f>_xlfn.XLOOKUP(Tab_Data_Flows[[#This Row],[Flow_Name]],Tab_Def_Flows[Flow_Name],Tab_Def_Flows[Flow_E5_Fraction'[%']],"N.A.",0,1)</f>
        <v>0</v>
      </c>
      <c r="AI100" s="2">
        <f>IF(H100="Yes",Tab_Data_Flows[[#This Row],[E5_Fraction'[%']]]*Tab_Data_Flows[[#This Row],[E1_value]],"N.A.")</f>
        <v>0</v>
      </c>
      <c r="AJ100" s="2" t="str">
        <f>Tab_Data_Flows[[#This Row],[E1_UoM]]</f>
        <v>Mg</v>
      </c>
      <c r="AK100" s="19">
        <f>_xlfn.XLOOKUP(Tab_Data_Flows[[#This Row],[Flow_Name]],Tab_Def_Flows[Flow_Name],Tab_Def_Flows[Flow_E6_Fraction'[%']],"N.A.",0,1)</f>
        <v>0</v>
      </c>
      <c r="AL100" s="2">
        <f>IF(Tab_Data_Flows[[#This Row],[Use_E6]]="Yes",Tab_Data_Flows[[#This Row],[E6_Fraction'[%']]]*Tab_Data_Flows[[#This Row],[E1_value]],"N.A.")</f>
        <v>0</v>
      </c>
      <c r="AM100" s="2" t="str">
        <f>Tab_Data_Flows[[#This Row],[E1_UoM]]</f>
        <v>Mg</v>
      </c>
    </row>
    <row r="101" spans="1:39" x14ac:dyDescent="0.25">
      <c r="A101" s="4">
        <f t="shared" si="3"/>
        <v>100</v>
      </c>
      <c r="B101" s="2" t="str">
        <f>_xlfn.XLOOKUP(C101,Tab_Def_Flows[Flow_Name],Tab_Def_Flows[Flow_ID],,0,)</f>
        <v>F__</v>
      </c>
      <c r="C101" s="18" t="s">
        <v>5</v>
      </c>
      <c r="D101" s="5" t="str">
        <f>_xlfn.XLOOKUP(C101,Tab_Def_Flows[Flow_Name],Tab_Def_Flows[Use_E1],,0,)</f>
        <v>Yes</v>
      </c>
      <c r="E101" s="5" t="str">
        <f>_xlfn.XLOOKUP(C101,Tab_Def_Flows[Flow_Name],Tab_Def_Flows[Use_E2],,0,)</f>
        <v>Yes</v>
      </c>
      <c r="F101" s="5" t="str">
        <f>_xlfn.XLOOKUP(C101,Tab_Def_Flows[Flow_Name],Tab_Def_Flows[Use_E3],,0,)</f>
        <v>Yes</v>
      </c>
      <c r="G101" s="5" t="str">
        <f>_xlfn.XLOOKUP(C101,Tab_Def_Flows[Flow_Name],Tab_Def_Flows[Use_E4],,0,)</f>
        <v>Yes</v>
      </c>
      <c r="H101" s="5" t="str">
        <f>_xlfn.XLOOKUP(C101,Tab_Def_Flows[Flow_Name],Tab_Def_Flows[Use_E5],,0,)</f>
        <v>Yes</v>
      </c>
      <c r="I101" s="5" t="str">
        <f>_xlfn.XLOOKUP(C101,Tab_Def_Flows[Flow_Name],Tab_Def_Flows[Use_E6],,0,)</f>
        <v>Yes</v>
      </c>
      <c r="J101" s="3"/>
      <c r="K101" s="3"/>
      <c r="L101" s="2" t="str">
        <f>'0_Configuration'!$C$41</f>
        <v>Mg</v>
      </c>
      <c r="M101" s="9"/>
      <c r="N101" s="9"/>
      <c r="O101" s="9"/>
      <c r="P101" s="9"/>
      <c r="Q101" s="18" t="s">
        <v>3</v>
      </c>
      <c r="R101" s="3"/>
      <c r="S101" s="3"/>
      <c r="T101" s="9"/>
      <c r="U101" s="9"/>
      <c r="V101" s="2">
        <f>_xlfn.XLOOKUP(Tab_Data_Flows[[#This Row],[Flow_Name]],Tab_Def_Flows[Flow_Name],Tab_Def_Flows[Flow_E1_Fraction'[%']],"N.A.",0,1)</f>
        <v>0</v>
      </c>
      <c r="W101" s="8">
        <f t="shared" si="2"/>
        <v>0</v>
      </c>
      <c r="X101" s="2" t="str">
        <f>Tab_Data_Flows[[#This Row],[UoM_Source]]</f>
        <v>Mg</v>
      </c>
      <c r="Y101" s="19">
        <f>_xlfn.XLOOKUP(Tab_Data_Flows[[#This Row],[Flow_Name]],Tab_Def_Flows[Flow_Name],Tab_Def_Flows[Flow_E2_Fraction'[%']],"N.A.",0,1)</f>
        <v>0</v>
      </c>
      <c r="Z101" s="2">
        <f>IF(D101="Yes",W101*Tab_Data_Flows[[#This Row],[E2_Fraction'[%']]],"N.A.")</f>
        <v>0</v>
      </c>
      <c r="AA101" s="2" t="str">
        <f>Tab_Data_Flows[[#This Row],[E1_UoM]]</f>
        <v>Mg</v>
      </c>
      <c r="AB101" s="19">
        <f>_xlfn.XLOOKUP(Tab_Data_Flows[[#This Row],[Flow_Name]],Tab_Def_Flows[Flow_Name],Tab_Def_Flows[Flow_E3_Fraction'[%']],"N.A.",0,1)</f>
        <v>0</v>
      </c>
      <c r="AC101" s="2">
        <f>IF(E101="Yes",AB101*Tab_Data_Flows[[#This Row],[E1_value]],"N.A.")</f>
        <v>0</v>
      </c>
      <c r="AD101" s="2" t="str">
        <f>Tab_Data_Flows[[#This Row],[E1_UoM]]</f>
        <v>Mg</v>
      </c>
      <c r="AE101" s="19">
        <f>_xlfn.XLOOKUP(Tab_Data_Flows[[#This Row],[Flow_Name]],Tab_Def_Flows[Flow_Name],Tab_Def_Flows[Flow_E4_Fraction'[%']],"N.A.",0,1)</f>
        <v>0</v>
      </c>
      <c r="AF101" s="2">
        <f>IF(H101="Yes",Tab_Data_Flows[[#This Row],[E4_Fraction'[%']]]*Tab_Data_Flows[[#This Row],[E1_value]],"N.A.")</f>
        <v>0</v>
      </c>
      <c r="AG101" s="2" t="str">
        <f>Tab_Data_Flows[[#This Row],[E1_UoM]]</f>
        <v>Mg</v>
      </c>
      <c r="AH101" s="2">
        <f>_xlfn.XLOOKUP(Tab_Data_Flows[[#This Row],[Flow_Name]],Tab_Def_Flows[Flow_Name],Tab_Def_Flows[Flow_E5_Fraction'[%']],"N.A.",0,1)</f>
        <v>0</v>
      </c>
      <c r="AI101" s="2">
        <f>IF(H101="Yes",Tab_Data_Flows[[#This Row],[E5_Fraction'[%']]]*Tab_Data_Flows[[#This Row],[E1_value]],"N.A.")</f>
        <v>0</v>
      </c>
      <c r="AJ101" s="2" t="str">
        <f>Tab_Data_Flows[[#This Row],[E1_UoM]]</f>
        <v>Mg</v>
      </c>
      <c r="AK101" s="19">
        <f>_xlfn.XLOOKUP(Tab_Data_Flows[[#This Row],[Flow_Name]],Tab_Def_Flows[Flow_Name],Tab_Def_Flows[Flow_E6_Fraction'[%']],"N.A.",0,1)</f>
        <v>0</v>
      </c>
      <c r="AL101" s="2">
        <f>IF(Tab_Data_Flows[[#This Row],[Use_E6]]="Yes",Tab_Data_Flows[[#This Row],[E6_Fraction'[%']]]*Tab_Data_Flows[[#This Row],[E1_value]],"N.A.")</f>
        <v>0</v>
      </c>
      <c r="AM101" s="2" t="str">
        <f>Tab_Data_Flows[[#This Row],[E1_UoM]]</f>
        <v>Mg</v>
      </c>
    </row>
    <row r="102" spans="1:39" x14ac:dyDescent="0.25">
      <c r="A102" s="4">
        <f t="shared" si="3"/>
        <v>101</v>
      </c>
      <c r="B102" s="2" t="str">
        <f>_xlfn.XLOOKUP(C102,Tab_Def_Flows[Flow_Name],Tab_Def_Flows[Flow_ID],,0,)</f>
        <v>F__</v>
      </c>
      <c r="C102" s="18" t="s">
        <v>5</v>
      </c>
      <c r="D102" s="5" t="str">
        <f>_xlfn.XLOOKUP(C102,Tab_Def_Flows[Flow_Name],Tab_Def_Flows[Use_E1],,0,)</f>
        <v>Yes</v>
      </c>
      <c r="E102" s="5" t="str">
        <f>_xlfn.XLOOKUP(C102,Tab_Def_Flows[Flow_Name],Tab_Def_Flows[Use_E2],,0,)</f>
        <v>Yes</v>
      </c>
      <c r="F102" s="5" t="str">
        <f>_xlfn.XLOOKUP(C102,Tab_Def_Flows[Flow_Name],Tab_Def_Flows[Use_E3],,0,)</f>
        <v>Yes</v>
      </c>
      <c r="G102" s="5" t="str">
        <f>_xlfn.XLOOKUP(C102,Tab_Def_Flows[Flow_Name],Tab_Def_Flows[Use_E4],,0,)</f>
        <v>Yes</v>
      </c>
      <c r="H102" s="5" t="str">
        <f>_xlfn.XLOOKUP(C102,Tab_Def_Flows[Flow_Name],Tab_Def_Flows[Use_E5],,0,)</f>
        <v>Yes</v>
      </c>
      <c r="I102" s="5" t="str">
        <f>_xlfn.XLOOKUP(C102,Tab_Def_Flows[Flow_Name],Tab_Def_Flows[Use_E6],,0,)</f>
        <v>Yes</v>
      </c>
      <c r="J102" s="3"/>
      <c r="K102" s="3"/>
      <c r="L102" s="2" t="str">
        <f>'0_Configuration'!$C$41</f>
        <v>Mg</v>
      </c>
      <c r="M102" s="9"/>
      <c r="N102" s="9"/>
      <c r="O102" s="9"/>
      <c r="P102" s="9"/>
      <c r="Q102" s="18" t="s">
        <v>3</v>
      </c>
      <c r="R102" s="3"/>
      <c r="S102" s="3"/>
      <c r="T102" s="9"/>
      <c r="U102" s="9"/>
      <c r="V102" s="2">
        <f>_xlfn.XLOOKUP(Tab_Data_Flows[[#This Row],[Flow_Name]],Tab_Def_Flows[Flow_Name],Tab_Def_Flows[Flow_E1_Fraction'[%']],"N.A.",0,1)</f>
        <v>0</v>
      </c>
      <c r="W102" s="8">
        <f t="shared" si="2"/>
        <v>0</v>
      </c>
      <c r="X102" s="2" t="str">
        <f>Tab_Data_Flows[[#This Row],[UoM_Source]]</f>
        <v>Mg</v>
      </c>
      <c r="Y102" s="19">
        <f>_xlfn.XLOOKUP(Tab_Data_Flows[[#This Row],[Flow_Name]],Tab_Def_Flows[Flow_Name],Tab_Def_Flows[Flow_E2_Fraction'[%']],"N.A.",0,1)</f>
        <v>0</v>
      </c>
      <c r="Z102" s="2">
        <f>IF(D102="Yes",W102*Tab_Data_Flows[[#This Row],[E2_Fraction'[%']]],"N.A.")</f>
        <v>0</v>
      </c>
      <c r="AA102" s="2" t="str">
        <f>Tab_Data_Flows[[#This Row],[E1_UoM]]</f>
        <v>Mg</v>
      </c>
      <c r="AB102" s="19">
        <f>_xlfn.XLOOKUP(Tab_Data_Flows[[#This Row],[Flow_Name]],Tab_Def_Flows[Flow_Name],Tab_Def_Flows[Flow_E3_Fraction'[%']],"N.A.",0,1)</f>
        <v>0</v>
      </c>
      <c r="AC102" s="2">
        <f>IF(E102="Yes",AB102*Tab_Data_Flows[[#This Row],[E1_value]],"N.A.")</f>
        <v>0</v>
      </c>
      <c r="AD102" s="2" t="str">
        <f>Tab_Data_Flows[[#This Row],[E1_UoM]]</f>
        <v>Mg</v>
      </c>
      <c r="AE102" s="19">
        <f>_xlfn.XLOOKUP(Tab_Data_Flows[[#This Row],[Flow_Name]],Tab_Def_Flows[Flow_Name],Tab_Def_Flows[Flow_E4_Fraction'[%']],"N.A.",0,1)</f>
        <v>0</v>
      </c>
      <c r="AF102" s="2">
        <f>IF(H102="Yes",Tab_Data_Flows[[#This Row],[E4_Fraction'[%']]]*Tab_Data_Flows[[#This Row],[E1_value]],"N.A.")</f>
        <v>0</v>
      </c>
      <c r="AG102" s="2" t="str">
        <f>Tab_Data_Flows[[#This Row],[E1_UoM]]</f>
        <v>Mg</v>
      </c>
      <c r="AH102" s="2">
        <f>_xlfn.XLOOKUP(Tab_Data_Flows[[#This Row],[Flow_Name]],Tab_Def_Flows[Flow_Name],Tab_Def_Flows[Flow_E5_Fraction'[%']],"N.A.",0,1)</f>
        <v>0</v>
      </c>
      <c r="AI102" s="2">
        <f>IF(H102="Yes",Tab_Data_Flows[[#This Row],[E5_Fraction'[%']]]*Tab_Data_Flows[[#This Row],[E1_value]],"N.A.")</f>
        <v>0</v>
      </c>
      <c r="AJ102" s="2" t="str">
        <f>Tab_Data_Flows[[#This Row],[E1_UoM]]</f>
        <v>Mg</v>
      </c>
      <c r="AK102" s="19">
        <f>_xlfn.XLOOKUP(Tab_Data_Flows[[#This Row],[Flow_Name]],Tab_Def_Flows[Flow_Name],Tab_Def_Flows[Flow_E6_Fraction'[%']],"N.A.",0,1)</f>
        <v>0</v>
      </c>
      <c r="AL102" s="2">
        <f>IF(Tab_Data_Flows[[#This Row],[Use_E6]]="Yes",Tab_Data_Flows[[#This Row],[E6_Fraction'[%']]]*Tab_Data_Flows[[#This Row],[E1_value]],"N.A.")</f>
        <v>0</v>
      </c>
      <c r="AM102" s="2" t="str">
        <f>Tab_Data_Flows[[#This Row],[E1_UoM]]</f>
        <v>Mg</v>
      </c>
    </row>
    <row r="103" spans="1:39" x14ac:dyDescent="0.25">
      <c r="A103" s="4">
        <f t="shared" si="3"/>
        <v>102</v>
      </c>
      <c r="B103" s="2" t="str">
        <f>_xlfn.XLOOKUP(C103,Tab_Def_Flows[Flow_Name],Tab_Def_Flows[Flow_ID],,0,)</f>
        <v>F__</v>
      </c>
      <c r="C103" s="18" t="s">
        <v>5</v>
      </c>
      <c r="D103" s="5" t="str">
        <f>_xlfn.XLOOKUP(C103,Tab_Def_Flows[Flow_Name],Tab_Def_Flows[Use_E1],,0,)</f>
        <v>Yes</v>
      </c>
      <c r="E103" s="5" t="str">
        <f>_xlfn.XLOOKUP(C103,Tab_Def_Flows[Flow_Name],Tab_Def_Flows[Use_E2],,0,)</f>
        <v>Yes</v>
      </c>
      <c r="F103" s="5" t="str">
        <f>_xlfn.XLOOKUP(C103,Tab_Def_Flows[Flow_Name],Tab_Def_Flows[Use_E3],,0,)</f>
        <v>Yes</v>
      </c>
      <c r="G103" s="5" t="str">
        <f>_xlfn.XLOOKUP(C103,Tab_Def_Flows[Flow_Name],Tab_Def_Flows[Use_E4],,0,)</f>
        <v>Yes</v>
      </c>
      <c r="H103" s="5" t="str">
        <f>_xlfn.XLOOKUP(C103,Tab_Def_Flows[Flow_Name],Tab_Def_Flows[Use_E5],,0,)</f>
        <v>Yes</v>
      </c>
      <c r="I103" s="5" t="str">
        <f>_xlfn.XLOOKUP(C103,Tab_Def_Flows[Flow_Name],Tab_Def_Flows[Use_E6],,0,)</f>
        <v>Yes</v>
      </c>
      <c r="J103" s="3"/>
      <c r="K103" s="3"/>
      <c r="L103" s="2" t="str">
        <f>'0_Configuration'!$C$41</f>
        <v>Mg</v>
      </c>
      <c r="M103" s="9"/>
      <c r="N103" s="9"/>
      <c r="O103" s="9"/>
      <c r="P103" s="9"/>
      <c r="Q103" s="18" t="s">
        <v>3</v>
      </c>
      <c r="R103" s="3"/>
      <c r="S103" s="3"/>
      <c r="T103" s="9"/>
      <c r="U103" s="9"/>
      <c r="V103" s="2">
        <f>_xlfn.XLOOKUP(Tab_Data_Flows[[#This Row],[Flow_Name]],Tab_Def_Flows[Flow_Name],Tab_Def_Flows[Flow_E1_Fraction'[%']],"N.A.",0,1)</f>
        <v>0</v>
      </c>
      <c r="W103" s="8">
        <f t="shared" si="2"/>
        <v>0</v>
      </c>
      <c r="X103" s="2" t="str">
        <f>Tab_Data_Flows[[#This Row],[UoM_Source]]</f>
        <v>Mg</v>
      </c>
      <c r="Y103" s="19">
        <f>_xlfn.XLOOKUP(Tab_Data_Flows[[#This Row],[Flow_Name]],Tab_Def_Flows[Flow_Name],Tab_Def_Flows[Flow_E2_Fraction'[%']],"N.A.",0,1)</f>
        <v>0</v>
      </c>
      <c r="Z103" s="2">
        <f>IF(D103="Yes",W103*Tab_Data_Flows[[#This Row],[E2_Fraction'[%']]],"N.A.")</f>
        <v>0</v>
      </c>
      <c r="AA103" s="2" t="str">
        <f>Tab_Data_Flows[[#This Row],[E1_UoM]]</f>
        <v>Mg</v>
      </c>
      <c r="AB103" s="19">
        <f>_xlfn.XLOOKUP(Tab_Data_Flows[[#This Row],[Flow_Name]],Tab_Def_Flows[Flow_Name],Tab_Def_Flows[Flow_E3_Fraction'[%']],"N.A.",0,1)</f>
        <v>0</v>
      </c>
      <c r="AC103" s="2">
        <f>IF(E103="Yes",AB103*Tab_Data_Flows[[#This Row],[E1_value]],"N.A.")</f>
        <v>0</v>
      </c>
      <c r="AD103" s="2" t="str">
        <f>Tab_Data_Flows[[#This Row],[E1_UoM]]</f>
        <v>Mg</v>
      </c>
      <c r="AE103" s="19">
        <f>_xlfn.XLOOKUP(Tab_Data_Flows[[#This Row],[Flow_Name]],Tab_Def_Flows[Flow_Name],Tab_Def_Flows[Flow_E4_Fraction'[%']],"N.A.",0,1)</f>
        <v>0</v>
      </c>
      <c r="AF103" s="2">
        <f>IF(H103="Yes",Tab_Data_Flows[[#This Row],[E4_Fraction'[%']]]*Tab_Data_Flows[[#This Row],[E1_value]],"N.A.")</f>
        <v>0</v>
      </c>
      <c r="AG103" s="2" t="str">
        <f>Tab_Data_Flows[[#This Row],[E1_UoM]]</f>
        <v>Mg</v>
      </c>
      <c r="AH103" s="2">
        <f>_xlfn.XLOOKUP(Tab_Data_Flows[[#This Row],[Flow_Name]],Tab_Def_Flows[Flow_Name],Tab_Def_Flows[Flow_E5_Fraction'[%']],"N.A.",0,1)</f>
        <v>0</v>
      </c>
      <c r="AI103" s="2">
        <f>IF(H103="Yes",Tab_Data_Flows[[#This Row],[E5_Fraction'[%']]]*Tab_Data_Flows[[#This Row],[E1_value]],"N.A.")</f>
        <v>0</v>
      </c>
      <c r="AJ103" s="2" t="str">
        <f>Tab_Data_Flows[[#This Row],[E1_UoM]]</f>
        <v>Mg</v>
      </c>
      <c r="AK103" s="19">
        <f>_xlfn.XLOOKUP(Tab_Data_Flows[[#This Row],[Flow_Name]],Tab_Def_Flows[Flow_Name],Tab_Def_Flows[Flow_E6_Fraction'[%']],"N.A.",0,1)</f>
        <v>0</v>
      </c>
      <c r="AL103" s="2">
        <f>IF(Tab_Data_Flows[[#This Row],[Use_E6]]="Yes",Tab_Data_Flows[[#This Row],[E6_Fraction'[%']]]*Tab_Data_Flows[[#This Row],[E1_value]],"N.A.")</f>
        <v>0</v>
      </c>
      <c r="AM103" s="2" t="str">
        <f>Tab_Data_Flows[[#This Row],[E1_UoM]]</f>
        <v>Mg</v>
      </c>
    </row>
    <row r="104" spans="1:39" x14ac:dyDescent="0.25">
      <c r="A104" s="4">
        <f t="shared" si="3"/>
        <v>103</v>
      </c>
      <c r="B104" s="2" t="str">
        <f>_xlfn.XLOOKUP(C104,Tab_Def_Flows[Flow_Name],Tab_Def_Flows[Flow_ID],,0,)</f>
        <v>F__</v>
      </c>
      <c r="C104" s="18" t="s">
        <v>5</v>
      </c>
      <c r="D104" s="5" t="str">
        <f>_xlfn.XLOOKUP(C104,Tab_Def_Flows[Flow_Name],Tab_Def_Flows[Use_E1],,0,)</f>
        <v>Yes</v>
      </c>
      <c r="E104" s="5" t="str">
        <f>_xlfn.XLOOKUP(C104,Tab_Def_Flows[Flow_Name],Tab_Def_Flows[Use_E2],,0,)</f>
        <v>Yes</v>
      </c>
      <c r="F104" s="5" t="str">
        <f>_xlfn.XLOOKUP(C104,Tab_Def_Flows[Flow_Name],Tab_Def_Flows[Use_E3],,0,)</f>
        <v>Yes</v>
      </c>
      <c r="G104" s="5" t="str">
        <f>_xlfn.XLOOKUP(C104,Tab_Def_Flows[Flow_Name],Tab_Def_Flows[Use_E4],,0,)</f>
        <v>Yes</v>
      </c>
      <c r="H104" s="5" t="str">
        <f>_xlfn.XLOOKUP(C104,Tab_Def_Flows[Flow_Name],Tab_Def_Flows[Use_E5],,0,)</f>
        <v>Yes</v>
      </c>
      <c r="I104" s="5" t="str">
        <f>_xlfn.XLOOKUP(C104,Tab_Def_Flows[Flow_Name],Tab_Def_Flows[Use_E6],,0,)</f>
        <v>Yes</v>
      </c>
      <c r="J104" s="3"/>
      <c r="K104" s="3"/>
      <c r="L104" s="2" t="str">
        <f>'0_Configuration'!$C$41</f>
        <v>Mg</v>
      </c>
      <c r="M104" s="9"/>
      <c r="N104" s="9"/>
      <c r="O104" s="9"/>
      <c r="P104" s="9"/>
      <c r="Q104" s="18" t="s">
        <v>3</v>
      </c>
      <c r="R104" s="3"/>
      <c r="S104" s="3"/>
      <c r="T104" s="9"/>
      <c r="U104" s="9"/>
      <c r="V104" s="2">
        <f>_xlfn.XLOOKUP(Tab_Data_Flows[[#This Row],[Flow_Name]],Tab_Def_Flows[Flow_Name],Tab_Def_Flows[Flow_E1_Fraction'[%']],"N.A.",0,1)</f>
        <v>0</v>
      </c>
      <c r="W104" s="8">
        <f t="shared" si="2"/>
        <v>0</v>
      </c>
      <c r="X104" s="2" t="str">
        <f>Tab_Data_Flows[[#This Row],[UoM_Source]]</f>
        <v>Mg</v>
      </c>
      <c r="Y104" s="19">
        <f>_xlfn.XLOOKUP(Tab_Data_Flows[[#This Row],[Flow_Name]],Tab_Def_Flows[Flow_Name],Tab_Def_Flows[Flow_E2_Fraction'[%']],"N.A.",0,1)</f>
        <v>0</v>
      </c>
      <c r="Z104" s="2">
        <f>IF(D104="Yes",W104*Tab_Data_Flows[[#This Row],[E2_Fraction'[%']]],"N.A.")</f>
        <v>0</v>
      </c>
      <c r="AA104" s="2" t="str">
        <f>Tab_Data_Flows[[#This Row],[E1_UoM]]</f>
        <v>Mg</v>
      </c>
      <c r="AB104" s="19">
        <f>_xlfn.XLOOKUP(Tab_Data_Flows[[#This Row],[Flow_Name]],Tab_Def_Flows[Flow_Name],Tab_Def_Flows[Flow_E3_Fraction'[%']],"N.A.",0,1)</f>
        <v>0</v>
      </c>
      <c r="AC104" s="2">
        <f>IF(E104="Yes",AB104*Tab_Data_Flows[[#This Row],[E1_value]],"N.A.")</f>
        <v>0</v>
      </c>
      <c r="AD104" s="2" t="str">
        <f>Tab_Data_Flows[[#This Row],[E1_UoM]]</f>
        <v>Mg</v>
      </c>
      <c r="AE104" s="19">
        <f>_xlfn.XLOOKUP(Tab_Data_Flows[[#This Row],[Flow_Name]],Tab_Def_Flows[Flow_Name],Tab_Def_Flows[Flow_E4_Fraction'[%']],"N.A.",0,1)</f>
        <v>0</v>
      </c>
      <c r="AF104" s="2">
        <f>IF(H104="Yes",Tab_Data_Flows[[#This Row],[E4_Fraction'[%']]]*Tab_Data_Flows[[#This Row],[E1_value]],"N.A.")</f>
        <v>0</v>
      </c>
      <c r="AG104" s="2" t="str">
        <f>Tab_Data_Flows[[#This Row],[E1_UoM]]</f>
        <v>Mg</v>
      </c>
      <c r="AH104" s="2">
        <f>_xlfn.XLOOKUP(Tab_Data_Flows[[#This Row],[Flow_Name]],Tab_Def_Flows[Flow_Name],Tab_Def_Flows[Flow_E5_Fraction'[%']],"N.A.",0,1)</f>
        <v>0</v>
      </c>
      <c r="AI104" s="2">
        <f>IF(H104="Yes",Tab_Data_Flows[[#This Row],[E5_Fraction'[%']]]*Tab_Data_Flows[[#This Row],[E1_value]],"N.A.")</f>
        <v>0</v>
      </c>
      <c r="AJ104" s="2" t="str">
        <f>Tab_Data_Flows[[#This Row],[E1_UoM]]</f>
        <v>Mg</v>
      </c>
      <c r="AK104" s="19">
        <f>_xlfn.XLOOKUP(Tab_Data_Flows[[#This Row],[Flow_Name]],Tab_Def_Flows[Flow_Name],Tab_Def_Flows[Flow_E6_Fraction'[%']],"N.A.",0,1)</f>
        <v>0</v>
      </c>
      <c r="AL104" s="2">
        <f>IF(Tab_Data_Flows[[#This Row],[Use_E6]]="Yes",Tab_Data_Flows[[#This Row],[E6_Fraction'[%']]]*Tab_Data_Flows[[#This Row],[E1_value]],"N.A.")</f>
        <v>0</v>
      </c>
      <c r="AM104" s="2" t="str">
        <f>Tab_Data_Flows[[#This Row],[E1_UoM]]</f>
        <v>Mg</v>
      </c>
    </row>
    <row r="105" spans="1:39" x14ac:dyDescent="0.25">
      <c r="A105" s="4">
        <f t="shared" si="3"/>
        <v>104</v>
      </c>
      <c r="B105" s="2" t="str">
        <f>_xlfn.XLOOKUP(C105,Tab_Def_Flows[Flow_Name],Tab_Def_Flows[Flow_ID],,0,)</f>
        <v>F__</v>
      </c>
      <c r="C105" s="18" t="s">
        <v>5</v>
      </c>
      <c r="D105" s="5" t="str">
        <f>_xlfn.XLOOKUP(C105,Tab_Def_Flows[Flow_Name],Tab_Def_Flows[Use_E1],,0,)</f>
        <v>Yes</v>
      </c>
      <c r="E105" s="5" t="str">
        <f>_xlfn.XLOOKUP(C105,Tab_Def_Flows[Flow_Name],Tab_Def_Flows[Use_E2],,0,)</f>
        <v>Yes</v>
      </c>
      <c r="F105" s="5" t="str">
        <f>_xlfn.XLOOKUP(C105,Tab_Def_Flows[Flow_Name],Tab_Def_Flows[Use_E3],,0,)</f>
        <v>Yes</v>
      </c>
      <c r="G105" s="5" t="str">
        <f>_xlfn.XLOOKUP(C105,Tab_Def_Flows[Flow_Name],Tab_Def_Flows[Use_E4],,0,)</f>
        <v>Yes</v>
      </c>
      <c r="H105" s="5" t="str">
        <f>_xlfn.XLOOKUP(C105,Tab_Def_Flows[Flow_Name],Tab_Def_Flows[Use_E5],,0,)</f>
        <v>Yes</v>
      </c>
      <c r="I105" s="5" t="str">
        <f>_xlfn.XLOOKUP(C105,Tab_Def_Flows[Flow_Name],Tab_Def_Flows[Use_E6],,0,)</f>
        <v>Yes</v>
      </c>
      <c r="J105" s="3"/>
      <c r="K105" s="3"/>
      <c r="L105" s="2" t="str">
        <f>'0_Configuration'!$C$41</f>
        <v>Mg</v>
      </c>
      <c r="M105" s="9"/>
      <c r="N105" s="9"/>
      <c r="O105" s="9"/>
      <c r="P105" s="9"/>
      <c r="Q105" s="18" t="s">
        <v>3</v>
      </c>
      <c r="R105" s="3"/>
      <c r="S105" s="3"/>
      <c r="T105" s="9"/>
      <c r="U105" s="9"/>
      <c r="V105" s="2">
        <f>_xlfn.XLOOKUP(Tab_Data_Flows[[#This Row],[Flow_Name]],Tab_Def_Flows[Flow_Name],Tab_Def_Flows[Flow_E1_Fraction'[%']],"N.A.",0,1)</f>
        <v>0</v>
      </c>
      <c r="W105" s="8">
        <f t="shared" si="2"/>
        <v>0</v>
      </c>
      <c r="X105" s="2" t="str">
        <f>Tab_Data_Flows[[#This Row],[UoM_Source]]</f>
        <v>Mg</v>
      </c>
      <c r="Y105" s="19">
        <f>_xlfn.XLOOKUP(Tab_Data_Flows[[#This Row],[Flow_Name]],Tab_Def_Flows[Flow_Name],Tab_Def_Flows[Flow_E2_Fraction'[%']],"N.A.",0,1)</f>
        <v>0</v>
      </c>
      <c r="Z105" s="2">
        <f>IF(D105="Yes",W105*Tab_Data_Flows[[#This Row],[E2_Fraction'[%']]],"N.A.")</f>
        <v>0</v>
      </c>
      <c r="AA105" s="2" t="str">
        <f>Tab_Data_Flows[[#This Row],[E1_UoM]]</f>
        <v>Mg</v>
      </c>
      <c r="AB105" s="19">
        <f>_xlfn.XLOOKUP(Tab_Data_Flows[[#This Row],[Flow_Name]],Tab_Def_Flows[Flow_Name],Tab_Def_Flows[Flow_E3_Fraction'[%']],"N.A.",0,1)</f>
        <v>0</v>
      </c>
      <c r="AC105" s="2">
        <f>IF(E105="Yes",AB105*Tab_Data_Flows[[#This Row],[E1_value]],"N.A.")</f>
        <v>0</v>
      </c>
      <c r="AD105" s="2" t="str">
        <f>Tab_Data_Flows[[#This Row],[E1_UoM]]</f>
        <v>Mg</v>
      </c>
      <c r="AE105" s="19">
        <f>_xlfn.XLOOKUP(Tab_Data_Flows[[#This Row],[Flow_Name]],Tab_Def_Flows[Flow_Name],Tab_Def_Flows[Flow_E4_Fraction'[%']],"N.A.",0,1)</f>
        <v>0</v>
      </c>
      <c r="AF105" s="2">
        <f>IF(H105="Yes",Tab_Data_Flows[[#This Row],[E4_Fraction'[%']]]*Tab_Data_Flows[[#This Row],[E1_value]],"N.A.")</f>
        <v>0</v>
      </c>
      <c r="AG105" s="2" t="str">
        <f>Tab_Data_Flows[[#This Row],[E1_UoM]]</f>
        <v>Mg</v>
      </c>
      <c r="AH105" s="2">
        <f>_xlfn.XLOOKUP(Tab_Data_Flows[[#This Row],[Flow_Name]],Tab_Def_Flows[Flow_Name],Tab_Def_Flows[Flow_E5_Fraction'[%']],"N.A.",0,1)</f>
        <v>0</v>
      </c>
      <c r="AI105" s="2">
        <f>IF(H105="Yes",Tab_Data_Flows[[#This Row],[E5_Fraction'[%']]]*Tab_Data_Flows[[#This Row],[E1_value]],"N.A.")</f>
        <v>0</v>
      </c>
      <c r="AJ105" s="2" t="str">
        <f>Tab_Data_Flows[[#This Row],[E1_UoM]]</f>
        <v>Mg</v>
      </c>
      <c r="AK105" s="19">
        <f>_xlfn.XLOOKUP(Tab_Data_Flows[[#This Row],[Flow_Name]],Tab_Def_Flows[Flow_Name],Tab_Def_Flows[Flow_E6_Fraction'[%']],"N.A.",0,1)</f>
        <v>0</v>
      </c>
      <c r="AL105" s="2">
        <f>IF(Tab_Data_Flows[[#This Row],[Use_E6]]="Yes",Tab_Data_Flows[[#This Row],[E6_Fraction'[%']]]*Tab_Data_Flows[[#This Row],[E1_value]],"N.A.")</f>
        <v>0</v>
      </c>
      <c r="AM105" s="2" t="str">
        <f>Tab_Data_Flows[[#This Row],[E1_UoM]]</f>
        <v>Mg</v>
      </c>
    </row>
    <row r="106" spans="1:39" x14ac:dyDescent="0.25">
      <c r="A106" s="4">
        <f t="shared" si="3"/>
        <v>105</v>
      </c>
      <c r="B106" s="2" t="str">
        <f>_xlfn.XLOOKUP(C106,Tab_Def_Flows[Flow_Name],Tab_Def_Flows[Flow_ID],,0,)</f>
        <v>F__</v>
      </c>
      <c r="C106" s="18" t="s">
        <v>5</v>
      </c>
      <c r="D106" s="5" t="str">
        <f>_xlfn.XLOOKUP(C106,Tab_Def_Flows[Flow_Name],Tab_Def_Flows[Use_E1],,0,)</f>
        <v>Yes</v>
      </c>
      <c r="E106" s="5" t="str">
        <f>_xlfn.XLOOKUP(C106,Tab_Def_Flows[Flow_Name],Tab_Def_Flows[Use_E2],,0,)</f>
        <v>Yes</v>
      </c>
      <c r="F106" s="5" t="str">
        <f>_xlfn.XLOOKUP(C106,Tab_Def_Flows[Flow_Name],Tab_Def_Flows[Use_E3],,0,)</f>
        <v>Yes</v>
      </c>
      <c r="G106" s="5" t="str">
        <f>_xlfn.XLOOKUP(C106,Tab_Def_Flows[Flow_Name],Tab_Def_Flows[Use_E4],,0,)</f>
        <v>Yes</v>
      </c>
      <c r="H106" s="5" t="str">
        <f>_xlfn.XLOOKUP(C106,Tab_Def_Flows[Flow_Name],Tab_Def_Flows[Use_E5],,0,)</f>
        <v>Yes</v>
      </c>
      <c r="I106" s="5" t="str">
        <f>_xlfn.XLOOKUP(C106,Tab_Def_Flows[Flow_Name],Tab_Def_Flows[Use_E6],,0,)</f>
        <v>Yes</v>
      </c>
      <c r="J106" s="3"/>
      <c r="K106" s="3"/>
      <c r="L106" s="2" t="str">
        <f>'0_Configuration'!$C$41</f>
        <v>Mg</v>
      </c>
      <c r="M106" s="9"/>
      <c r="N106" s="9"/>
      <c r="O106" s="9"/>
      <c r="P106" s="9"/>
      <c r="Q106" s="18" t="s">
        <v>3</v>
      </c>
      <c r="R106" s="3"/>
      <c r="S106" s="3"/>
      <c r="T106" s="9"/>
      <c r="U106" s="9"/>
      <c r="V106" s="2">
        <f>_xlfn.XLOOKUP(Tab_Data_Flows[[#This Row],[Flow_Name]],Tab_Def_Flows[Flow_Name],Tab_Def_Flows[Flow_E1_Fraction'[%']],"N.A.",0,1)</f>
        <v>0</v>
      </c>
      <c r="W106" s="8">
        <f t="shared" si="2"/>
        <v>0</v>
      </c>
      <c r="X106" s="2" t="str">
        <f>Tab_Data_Flows[[#This Row],[UoM_Source]]</f>
        <v>Mg</v>
      </c>
      <c r="Y106" s="19">
        <f>_xlfn.XLOOKUP(Tab_Data_Flows[[#This Row],[Flow_Name]],Tab_Def_Flows[Flow_Name],Tab_Def_Flows[Flow_E2_Fraction'[%']],"N.A.",0,1)</f>
        <v>0</v>
      </c>
      <c r="Z106" s="2">
        <f>IF(D106="Yes",W106*Tab_Data_Flows[[#This Row],[E2_Fraction'[%']]],"N.A.")</f>
        <v>0</v>
      </c>
      <c r="AA106" s="2" t="str">
        <f>Tab_Data_Flows[[#This Row],[E1_UoM]]</f>
        <v>Mg</v>
      </c>
      <c r="AB106" s="19">
        <f>_xlfn.XLOOKUP(Tab_Data_Flows[[#This Row],[Flow_Name]],Tab_Def_Flows[Flow_Name],Tab_Def_Flows[Flow_E3_Fraction'[%']],"N.A.",0,1)</f>
        <v>0</v>
      </c>
      <c r="AC106" s="2">
        <f>IF(E106="Yes",AB106*Tab_Data_Flows[[#This Row],[E1_value]],"N.A.")</f>
        <v>0</v>
      </c>
      <c r="AD106" s="2" t="str">
        <f>Tab_Data_Flows[[#This Row],[E1_UoM]]</f>
        <v>Mg</v>
      </c>
      <c r="AE106" s="19">
        <f>_xlfn.XLOOKUP(Tab_Data_Flows[[#This Row],[Flow_Name]],Tab_Def_Flows[Flow_Name],Tab_Def_Flows[Flow_E4_Fraction'[%']],"N.A.",0,1)</f>
        <v>0</v>
      </c>
      <c r="AF106" s="2">
        <f>IF(H106="Yes",Tab_Data_Flows[[#This Row],[E4_Fraction'[%']]]*Tab_Data_Flows[[#This Row],[E1_value]],"N.A.")</f>
        <v>0</v>
      </c>
      <c r="AG106" s="2" t="str">
        <f>Tab_Data_Flows[[#This Row],[E1_UoM]]</f>
        <v>Mg</v>
      </c>
      <c r="AH106" s="2">
        <f>_xlfn.XLOOKUP(Tab_Data_Flows[[#This Row],[Flow_Name]],Tab_Def_Flows[Flow_Name],Tab_Def_Flows[Flow_E5_Fraction'[%']],"N.A.",0,1)</f>
        <v>0</v>
      </c>
      <c r="AI106" s="2">
        <f>IF(H106="Yes",Tab_Data_Flows[[#This Row],[E5_Fraction'[%']]]*Tab_Data_Flows[[#This Row],[E1_value]],"N.A.")</f>
        <v>0</v>
      </c>
      <c r="AJ106" s="2" t="str">
        <f>Tab_Data_Flows[[#This Row],[E1_UoM]]</f>
        <v>Mg</v>
      </c>
      <c r="AK106" s="19">
        <f>_xlfn.XLOOKUP(Tab_Data_Flows[[#This Row],[Flow_Name]],Tab_Def_Flows[Flow_Name],Tab_Def_Flows[Flow_E6_Fraction'[%']],"N.A.",0,1)</f>
        <v>0</v>
      </c>
      <c r="AL106" s="2">
        <f>IF(Tab_Data_Flows[[#This Row],[Use_E6]]="Yes",Tab_Data_Flows[[#This Row],[E6_Fraction'[%']]]*Tab_Data_Flows[[#This Row],[E1_value]],"N.A.")</f>
        <v>0</v>
      </c>
      <c r="AM106" s="2" t="str">
        <f>Tab_Data_Flows[[#This Row],[E1_UoM]]</f>
        <v>Mg</v>
      </c>
    </row>
    <row r="107" spans="1:39" x14ac:dyDescent="0.25">
      <c r="A107" s="4">
        <f t="shared" si="3"/>
        <v>106</v>
      </c>
      <c r="B107" s="2" t="str">
        <f>_xlfn.XLOOKUP(C107,Tab_Def_Flows[Flow_Name],Tab_Def_Flows[Flow_ID],,0,)</f>
        <v>F__</v>
      </c>
      <c r="C107" s="18" t="s">
        <v>5</v>
      </c>
      <c r="D107" s="5" t="str">
        <f>_xlfn.XLOOKUP(C107,Tab_Def_Flows[Flow_Name],Tab_Def_Flows[Use_E1],,0,)</f>
        <v>Yes</v>
      </c>
      <c r="E107" s="5" t="str">
        <f>_xlfn.XLOOKUP(C107,Tab_Def_Flows[Flow_Name],Tab_Def_Flows[Use_E2],,0,)</f>
        <v>Yes</v>
      </c>
      <c r="F107" s="5" t="str">
        <f>_xlfn.XLOOKUP(C107,Tab_Def_Flows[Flow_Name],Tab_Def_Flows[Use_E3],,0,)</f>
        <v>Yes</v>
      </c>
      <c r="G107" s="5" t="str">
        <f>_xlfn.XLOOKUP(C107,Tab_Def_Flows[Flow_Name],Tab_Def_Flows[Use_E4],,0,)</f>
        <v>Yes</v>
      </c>
      <c r="H107" s="5" t="str">
        <f>_xlfn.XLOOKUP(C107,Tab_Def_Flows[Flow_Name],Tab_Def_Flows[Use_E5],,0,)</f>
        <v>Yes</v>
      </c>
      <c r="I107" s="5" t="str">
        <f>_xlfn.XLOOKUP(C107,Tab_Def_Flows[Flow_Name],Tab_Def_Flows[Use_E6],,0,)</f>
        <v>Yes</v>
      </c>
      <c r="J107" s="3"/>
      <c r="K107" s="3"/>
      <c r="L107" s="2" t="str">
        <f>'0_Configuration'!$C$41</f>
        <v>Mg</v>
      </c>
      <c r="M107" s="9"/>
      <c r="N107" s="9"/>
      <c r="O107" s="9"/>
      <c r="P107" s="9"/>
      <c r="Q107" s="18" t="s">
        <v>3</v>
      </c>
      <c r="R107" s="3"/>
      <c r="S107" s="3"/>
      <c r="T107" s="9"/>
      <c r="U107" s="9"/>
      <c r="V107" s="2">
        <f>_xlfn.XLOOKUP(Tab_Data_Flows[[#This Row],[Flow_Name]],Tab_Def_Flows[Flow_Name],Tab_Def_Flows[Flow_E1_Fraction'[%']],"N.A.",0,1)</f>
        <v>0</v>
      </c>
      <c r="W107" s="8">
        <f t="shared" si="2"/>
        <v>0</v>
      </c>
      <c r="X107" s="2" t="str">
        <f>Tab_Data_Flows[[#This Row],[UoM_Source]]</f>
        <v>Mg</v>
      </c>
      <c r="Y107" s="19">
        <f>_xlfn.XLOOKUP(Tab_Data_Flows[[#This Row],[Flow_Name]],Tab_Def_Flows[Flow_Name],Tab_Def_Flows[Flow_E2_Fraction'[%']],"N.A.",0,1)</f>
        <v>0</v>
      </c>
      <c r="Z107" s="2">
        <f>IF(D107="Yes",W107*Tab_Data_Flows[[#This Row],[E2_Fraction'[%']]],"N.A.")</f>
        <v>0</v>
      </c>
      <c r="AA107" s="2" t="str">
        <f>Tab_Data_Flows[[#This Row],[E1_UoM]]</f>
        <v>Mg</v>
      </c>
      <c r="AB107" s="19">
        <f>_xlfn.XLOOKUP(Tab_Data_Flows[[#This Row],[Flow_Name]],Tab_Def_Flows[Flow_Name],Tab_Def_Flows[Flow_E3_Fraction'[%']],"N.A.",0,1)</f>
        <v>0</v>
      </c>
      <c r="AC107" s="2">
        <f>IF(E107="Yes",AB107*Tab_Data_Flows[[#This Row],[E1_value]],"N.A.")</f>
        <v>0</v>
      </c>
      <c r="AD107" s="2" t="str">
        <f>Tab_Data_Flows[[#This Row],[E1_UoM]]</f>
        <v>Mg</v>
      </c>
      <c r="AE107" s="19">
        <f>_xlfn.XLOOKUP(Tab_Data_Flows[[#This Row],[Flow_Name]],Tab_Def_Flows[Flow_Name],Tab_Def_Flows[Flow_E4_Fraction'[%']],"N.A.",0,1)</f>
        <v>0</v>
      </c>
      <c r="AF107" s="2">
        <f>IF(H107="Yes",Tab_Data_Flows[[#This Row],[E4_Fraction'[%']]]*Tab_Data_Flows[[#This Row],[E1_value]],"N.A.")</f>
        <v>0</v>
      </c>
      <c r="AG107" s="2" t="str">
        <f>Tab_Data_Flows[[#This Row],[E1_UoM]]</f>
        <v>Mg</v>
      </c>
      <c r="AH107" s="2">
        <f>_xlfn.XLOOKUP(Tab_Data_Flows[[#This Row],[Flow_Name]],Tab_Def_Flows[Flow_Name],Tab_Def_Flows[Flow_E5_Fraction'[%']],"N.A.",0,1)</f>
        <v>0</v>
      </c>
      <c r="AI107" s="2">
        <f>IF(H107="Yes",Tab_Data_Flows[[#This Row],[E5_Fraction'[%']]]*Tab_Data_Flows[[#This Row],[E1_value]],"N.A.")</f>
        <v>0</v>
      </c>
      <c r="AJ107" s="2" t="str">
        <f>Tab_Data_Flows[[#This Row],[E1_UoM]]</f>
        <v>Mg</v>
      </c>
      <c r="AK107" s="19">
        <f>_xlfn.XLOOKUP(Tab_Data_Flows[[#This Row],[Flow_Name]],Tab_Def_Flows[Flow_Name],Tab_Def_Flows[Flow_E6_Fraction'[%']],"N.A.",0,1)</f>
        <v>0</v>
      </c>
      <c r="AL107" s="2">
        <f>IF(Tab_Data_Flows[[#This Row],[Use_E6]]="Yes",Tab_Data_Flows[[#This Row],[E6_Fraction'[%']]]*Tab_Data_Flows[[#This Row],[E1_value]],"N.A.")</f>
        <v>0</v>
      </c>
      <c r="AM107" s="2" t="str">
        <f>Tab_Data_Flows[[#This Row],[E1_UoM]]</f>
        <v>Mg</v>
      </c>
    </row>
    <row r="108" spans="1:39" x14ac:dyDescent="0.25">
      <c r="A108" s="4">
        <f t="shared" si="3"/>
        <v>107</v>
      </c>
      <c r="B108" s="2" t="str">
        <f>_xlfn.XLOOKUP(C108,Tab_Def_Flows[Flow_Name],Tab_Def_Flows[Flow_ID],,0,)</f>
        <v>F__</v>
      </c>
      <c r="C108" s="18" t="s">
        <v>5</v>
      </c>
      <c r="D108" s="5" t="str">
        <f>_xlfn.XLOOKUP(C108,Tab_Def_Flows[Flow_Name],Tab_Def_Flows[Use_E1],,0,)</f>
        <v>Yes</v>
      </c>
      <c r="E108" s="5" t="str">
        <f>_xlfn.XLOOKUP(C108,Tab_Def_Flows[Flow_Name],Tab_Def_Flows[Use_E2],,0,)</f>
        <v>Yes</v>
      </c>
      <c r="F108" s="5" t="str">
        <f>_xlfn.XLOOKUP(C108,Tab_Def_Flows[Flow_Name],Tab_Def_Flows[Use_E3],,0,)</f>
        <v>Yes</v>
      </c>
      <c r="G108" s="5" t="str">
        <f>_xlfn.XLOOKUP(C108,Tab_Def_Flows[Flow_Name],Tab_Def_Flows[Use_E4],,0,)</f>
        <v>Yes</v>
      </c>
      <c r="H108" s="5" t="str">
        <f>_xlfn.XLOOKUP(C108,Tab_Def_Flows[Flow_Name],Tab_Def_Flows[Use_E5],,0,)</f>
        <v>Yes</v>
      </c>
      <c r="I108" s="5" t="str">
        <f>_xlfn.XLOOKUP(C108,Tab_Def_Flows[Flow_Name],Tab_Def_Flows[Use_E6],,0,)</f>
        <v>Yes</v>
      </c>
      <c r="J108" s="3"/>
      <c r="K108" s="3"/>
      <c r="L108" s="2" t="str">
        <f>'0_Configuration'!$C$41</f>
        <v>Mg</v>
      </c>
      <c r="M108" s="9"/>
      <c r="N108" s="9"/>
      <c r="O108" s="9"/>
      <c r="P108" s="9"/>
      <c r="Q108" s="18" t="s">
        <v>3</v>
      </c>
      <c r="R108" s="3"/>
      <c r="S108" s="3"/>
      <c r="T108" s="9"/>
      <c r="U108" s="9"/>
      <c r="V108" s="2">
        <f>_xlfn.XLOOKUP(Tab_Data_Flows[[#This Row],[Flow_Name]],Tab_Def_Flows[Flow_Name],Tab_Def_Flows[Flow_E1_Fraction'[%']],"N.A.",0,1)</f>
        <v>0</v>
      </c>
      <c r="W108" s="8">
        <f t="shared" si="2"/>
        <v>0</v>
      </c>
      <c r="X108" s="2" t="str">
        <f>Tab_Data_Flows[[#This Row],[UoM_Source]]</f>
        <v>Mg</v>
      </c>
      <c r="Y108" s="19">
        <f>_xlfn.XLOOKUP(Tab_Data_Flows[[#This Row],[Flow_Name]],Tab_Def_Flows[Flow_Name],Tab_Def_Flows[Flow_E2_Fraction'[%']],"N.A.",0,1)</f>
        <v>0</v>
      </c>
      <c r="Z108" s="2">
        <f>IF(D108="Yes",W108*Tab_Data_Flows[[#This Row],[E2_Fraction'[%']]],"N.A.")</f>
        <v>0</v>
      </c>
      <c r="AA108" s="2" t="str">
        <f>Tab_Data_Flows[[#This Row],[E1_UoM]]</f>
        <v>Mg</v>
      </c>
      <c r="AB108" s="19">
        <f>_xlfn.XLOOKUP(Tab_Data_Flows[[#This Row],[Flow_Name]],Tab_Def_Flows[Flow_Name],Tab_Def_Flows[Flow_E3_Fraction'[%']],"N.A.",0,1)</f>
        <v>0</v>
      </c>
      <c r="AC108" s="2">
        <f>IF(E108="Yes",AB108*Tab_Data_Flows[[#This Row],[E1_value]],"N.A.")</f>
        <v>0</v>
      </c>
      <c r="AD108" s="2" t="str">
        <f>Tab_Data_Flows[[#This Row],[E1_UoM]]</f>
        <v>Mg</v>
      </c>
      <c r="AE108" s="19">
        <f>_xlfn.XLOOKUP(Tab_Data_Flows[[#This Row],[Flow_Name]],Tab_Def_Flows[Flow_Name],Tab_Def_Flows[Flow_E4_Fraction'[%']],"N.A.",0,1)</f>
        <v>0</v>
      </c>
      <c r="AF108" s="2">
        <f>IF(H108="Yes",Tab_Data_Flows[[#This Row],[E4_Fraction'[%']]]*Tab_Data_Flows[[#This Row],[E1_value]],"N.A.")</f>
        <v>0</v>
      </c>
      <c r="AG108" s="2" t="str">
        <f>Tab_Data_Flows[[#This Row],[E1_UoM]]</f>
        <v>Mg</v>
      </c>
      <c r="AH108" s="2">
        <f>_xlfn.XLOOKUP(Tab_Data_Flows[[#This Row],[Flow_Name]],Tab_Def_Flows[Flow_Name],Tab_Def_Flows[Flow_E5_Fraction'[%']],"N.A.",0,1)</f>
        <v>0</v>
      </c>
      <c r="AI108" s="2">
        <f>IF(H108="Yes",Tab_Data_Flows[[#This Row],[E5_Fraction'[%']]]*Tab_Data_Flows[[#This Row],[E1_value]],"N.A.")</f>
        <v>0</v>
      </c>
      <c r="AJ108" s="2" t="str">
        <f>Tab_Data_Flows[[#This Row],[E1_UoM]]</f>
        <v>Mg</v>
      </c>
      <c r="AK108" s="19">
        <f>_xlfn.XLOOKUP(Tab_Data_Flows[[#This Row],[Flow_Name]],Tab_Def_Flows[Flow_Name],Tab_Def_Flows[Flow_E6_Fraction'[%']],"N.A.",0,1)</f>
        <v>0</v>
      </c>
      <c r="AL108" s="2">
        <f>IF(Tab_Data_Flows[[#This Row],[Use_E6]]="Yes",Tab_Data_Flows[[#This Row],[E6_Fraction'[%']]]*Tab_Data_Flows[[#This Row],[E1_value]],"N.A.")</f>
        <v>0</v>
      </c>
      <c r="AM108" s="2" t="str">
        <f>Tab_Data_Flows[[#This Row],[E1_UoM]]</f>
        <v>Mg</v>
      </c>
    </row>
    <row r="109" spans="1:39" x14ac:dyDescent="0.25">
      <c r="A109" s="4">
        <f t="shared" si="3"/>
        <v>108</v>
      </c>
      <c r="B109" s="2" t="str">
        <f>_xlfn.XLOOKUP(C109,Tab_Def_Flows[Flow_Name],Tab_Def_Flows[Flow_ID],,0,)</f>
        <v>F__</v>
      </c>
      <c r="C109" s="18" t="s">
        <v>5</v>
      </c>
      <c r="D109" s="5" t="str">
        <f>_xlfn.XLOOKUP(C109,Tab_Def_Flows[Flow_Name],Tab_Def_Flows[Use_E1],,0,)</f>
        <v>Yes</v>
      </c>
      <c r="E109" s="5" t="str">
        <f>_xlfn.XLOOKUP(C109,Tab_Def_Flows[Flow_Name],Tab_Def_Flows[Use_E2],,0,)</f>
        <v>Yes</v>
      </c>
      <c r="F109" s="5" t="str">
        <f>_xlfn.XLOOKUP(C109,Tab_Def_Flows[Flow_Name],Tab_Def_Flows[Use_E3],,0,)</f>
        <v>Yes</v>
      </c>
      <c r="G109" s="5" t="str">
        <f>_xlfn.XLOOKUP(C109,Tab_Def_Flows[Flow_Name],Tab_Def_Flows[Use_E4],,0,)</f>
        <v>Yes</v>
      </c>
      <c r="H109" s="5" t="str">
        <f>_xlfn.XLOOKUP(C109,Tab_Def_Flows[Flow_Name],Tab_Def_Flows[Use_E5],,0,)</f>
        <v>Yes</v>
      </c>
      <c r="I109" s="5" t="str">
        <f>_xlfn.XLOOKUP(C109,Tab_Def_Flows[Flow_Name],Tab_Def_Flows[Use_E6],,0,)</f>
        <v>Yes</v>
      </c>
      <c r="J109" s="3"/>
      <c r="K109" s="3"/>
      <c r="L109" s="2" t="str">
        <f>'0_Configuration'!$C$41</f>
        <v>Mg</v>
      </c>
      <c r="M109" s="9"/>
      <c r="N109" s="9"/>
      <c r="O109" s="9"/>
      <c r="P109" s="9"/>
      <c r="Q109" s="18" t="s">
        <v>3</v>
      </c>
      <c r="R109" s="3"/>
      <c r="S109" s="3"/>
      <c r="T109" s="9"/>
      <c r="U109" s="9"/>
      <c r="V109" s="2">
        <f>_xlfn.XLOOKUP(Tab_Data_Flows[[#This Row],[Flow_Name]],Tab_Def_Flows[Flow_Name],Tab_Def_Flows[Flow_E1_Fraction'[%']],"N.A.",0,1)</f>
        <v>0</v>
      </c>
      <c r="W109" s="8">
        <f t="shared" si="2"/>
        <v>0</v>
      </c>
      <c r="X109" s="2" t="str">
        <f>Tab_Data_Flows[[#This Row],[UoM_Source]]</f>
        <v>Mg</v>
      </c>
      <c r="Y109" s="19">
        <f>_xlfn.XLOOKUP(Tab_Data_Flows[[#This Row],[Flow_Name]],Tab_Def_Flows[Flow_Name],Tab_Def_Flows[Flow_E2_Fraction'[%']],"N.A.",0,1)</f>
        <v>0</v>
      </c>
      <c r="Z109" s="2">
        <f>IF(D109="Yes",W109*Tab_Data_Flows[[#This Row],[E2_Fraction'[%']]],"N.A.")</f>
        <v>0</v>
      </c>
      <c r="AA109" s="2" t="str">
        <f>Tab_Data_Flows[[#This Row],[E1_UoM]]</f>
        <v>Mg</v>
      </c>
      <c r="AB109" s="19">
        <f>_xlfn.XLOOKUP(Tab_Data_Flows[[#This Row],[Flow_Name]],Tab_Def_Flows[Flow_Name],Tab_Def_Flows[Flow_E3_Fraction'[%']],"N.A.",0,1)</f>
        <v>0</v>
      </c>
      <c r="AC109" s="2">
        <f>IF(E109="Yes",AB109*Tab_Data_Flows[[#This Row],[E1_value]],"N.A.")</f>
        <v>0</v>
      </c>
      <c r="AD109" s="2" t="str">
        <f>Tab_Data_Flows[[#This Row],[E1_UoM]]</f>
        <v>Mg</v>
      </c>
      <c r="AE109" s="19">
        <f>_xlfn.XLOOKUP(Tab_Data_Flows[[#This Row],[Flow_Name]],Tab_Def_Flows[Flow_Name],Tab_Def_Flows[Flow_E4_Fraction'[%']],"N.A.",0,1)</f>
        <v>0</v>
      </c>
      <c r="AF109" s="2">
        <f>IF(H109="Yes",Tab_Data_Flows[[#This Row],[E4_Fraction'[%']]]*Tab_Data_Flows[[#This Row],[E1_value]],"N.A.")</f>
        <v>0</v>
      </c>
      <c r="AG109" s="2" t="str">
        <f>Tab_Data_Flows[[#This Row],[E1_UoM]]</f>
        <v>Mg</v>
      </c>
      <c r="AH109" s="2">
        <f>_xlfn.XLOOKUP(Tab_Data_Flows[[#This Row],[Flow_Name]],Tab_Def_Flows[Flow_Name],Tab_Def_Flows[Flow_E5_Fraction'[%']],"N.A.",0,1)</f>
        <v>0</v>
      </c>
      <c r="AI109" s="2">
        <f>IF(H109="Yes",Tab_Data_Flows[[#This Row],[E5_Fraction'[%']]]*Tab_Data_Flows[[#This Row],[E1_value]],"N.A.")</f>
        <v>0</v>
      </c>
      <c r="AJ109" s="2" t="str">
        <f>Tab_Data_Flows[[#This Row],[E1_UoM]]</f>
        <v>Mg</v>
      </c>
      <c r="AK109" s="19">
        <f>_xlfn.XLOOKUP(Tab_Data_Flows[[#This Row],[Flow_Name]],Tab_Def_Flows[Flow_Name],Tab_Def_Flows[Flow_E6_Fraction'[%']],"N.A.",0,1)</f>
        <v>0</v>
      </c>
      <c r="AL109" s="2">
        <f>IF(Tab_Data_Flows[[#This Row],[Use_E6]]="Yes",Tab_Data_Flows[[#This Row],[E6_Fraction'[%']]]*Tab_Data_Flows[[#This Row],[E1_value]],"N.A.")</f>
        <v>0</v>
      </c>
      <c r="AM109" s="2" t="str">
        <f>Tab_Data_Flows[[#This Row],[E1_UoM]]</f>
        <v>Mg</v>
      </c>
    </row>
    <row r="110" spans="1:39" x14ac:dyDescent="0.25">
      <c r="A110" s="4">
        <f t="shared" si="3"/>
        <v>109</v>
      </c>
      <c r="B110" s="2" t="str">
        <f>_xlfn.XLOOKUP(C110,Tab_Def_Flows[Flow_Name],Tab_Def_Flows[Flow_ID],,0,)</f>
        <v>F__</v>
      </c>
      <c r="C110" s="18" t="s">
        <v>5</v>
      </c>
      <c r="D110" s="5" t="str">
        <f>_xlfn.XLOOKUP(C110,Tab_Def_Flows[Flow_Name],Tab_Def_Flows[Use_E1],,0,)</f>
        <v>Yes</v>
      </c>
      <c r="E110" s="5" t="str">
        <f>_xlfn.XLOOKUP(C110,Tab_Def_Flows[Flow_Name],Tab_Def_Flows[Use_E2],,0,)</f>
        <v>Yes</v>
      </c>
      <c r="F110" s="5" t="str">
        <f>_xlfn.XLOOKUP(C110,Tab_Def_Flows[Flow_Name],Tab_Def_Flows[Use_E3],,0,)</f>
        <v>Yes</v>
      </c>
      <c r="G110" s="5" t="str">
        <f>_xlfn.XLOOKUP(C110,Tab_Def_Flows[Flow_Name],Tab_Def_Flows[Use_E4],,0,)</f>
        <v>Yes</v>
      </c>
      <c r="H110" s="5" t="str">
        <f>_xlfn.XLOOKUP(C110,Tab_Def_Flows[Flow_Name],Tab_Def_Flows[Use_E5],,0,)</f>
        <v>Yes</v>
      </c>
      <c r="I110" s="5" t="str">
        <f>_xlfn.XLOOKUP(C110,Tab_Def_Flows[Flow_Name],Tab_Def_Flows[Use_E6],,0,)</f>
        <v>Yes</v>
      </c>
      <c r="J110" s="3"/>
      <c r="K110" s="3"/>
      <c r="L110" s="2" t="str">
        <f>'0_Configuration'!$C$41</f>
        <v>Mg</v>
      </c>
      <c r="M110" s="9"/>
      <c r="N110" s="9"/>
      <c r="O110" s="9"/>
      <c r="P110" s="9"/>
      <c r="Q110" s="18" t="s">
        <v>3</v>
      </c>
      <c r="R110" s="3"/>
      <c r="S110" s="3"/>
      <c r="T110" s="9"/>
      <c r="U110" s="9"/>
      <c r="V110" s="2">
        <f>_xlfn.XLOOKUP(Tab_Data_Flows[[#This Row],[Flow_Name]],Tab_Def_Flows[Flow_Name],Tab_Def_Flows[Flow_E1_Fraction'[%']],"N.A.",0,1)</f>
        <v>0</v>
      </c>
      <c r="W110" s="8">
        <f t="shared" si="2"/>
        <v>0</v>
      </c>
      <c r="X110" s="2" t="str">
        <f>Tab_Data_Flows[[#This Row],[UoM_Source]]</f>
        <v>Mg</v>
      </c>
      <c r="Y110" s="19">
        <f>_xlfn.XLOOKUP(Tab_Data_Flows[[#This Row],[Flow_Name]],Tab_Def_Flows[Flow_Name],Tab_Def_Flows[Flow_E2_Fraction'[%']],"N.A.",0,1)</f>
        <v>0</v>
      </c>
      <c r="Z110" s="2">
        <f>IF(D110="Yes",W110*Tab_Data_Flows[[#This Row],[E2_Fraction'[%']]],"N.A.")</f>
        <v>0</v>
      </c>
      <c r="AA110" s="2" t="str">
        <f>Tab_Data_Flows[[#This Row],[E1_UoM]]</f>
        <v>Mg</v>
      </c>
      <c r="AB110" s="19">
        <f>_xlfn.XLOOKUP(Tab_Data_Flows[[#This Row],[Flow_Name]],Tab_Def_Flows[Flow_Name],Tab_Def_Flows[Flow_E3_Fraction'[%']],"N.A.",0,1)</f>
        <v>0</v>
      </c>
      <c r="AC110" s="2">
        <f>IF(E110="Yes",AB110*Tab_Data_Flows[[#This Row],[E1_value]],"N.A.")</f>
        <v>0</v>
      </c>
      <c r="AD110" s="2" t="str">
        <f>Tab_Data_Flows[[#This Row],[E1_UoM]]</f>
        <v>Mg</v>
      </c>
      <c r="AE110" s="19">
        <f>_xlfn.XLOOKUP(Tab_Data_Flows[[#This Row],[Flow_Name]],Tab_Def_Flows[Flow_Name],Tab_Def_Flows[Flow_E4_Fraction'[%']],"N.A.",0,1)</f>
        <v>0</v>
      </c>
      <c r="AF110" s="2">
        <f>IF(H110="Yes",Tab_Data_Flows[[#This Row],[E4_Fraction'[%']]]*Tab_Data_Flows[[#This Row],[E1_value]],"N.A.")</f>
        <v>0</v>
      </c>
      <c r="AG110" s="2" t="str">
        <f>Tab_Data_Flows[[#This Row],[E1_UoM]]</f>
        <v>Mg</v>
      </c>
      <c r="AH110" s="2">
        <f>_xlfn.XLOOKUP(Tab_Data_Flows[[#This Row],[Flow_Name]],Tab_Def_Flows[Flow_Name],Tab_Def_Flows[Flow_E5_Fraction'[%']],"N.A.",0,1)</f>
        <v>0</v>
      </c>
      <c r="AI110" s="2">
        <f>IF(H110="Yes",Tab_Data_Flows[[#This Row],[E5_Fraction'[%']]]*Tab_Data_Flows[[#This Row],[E1_value]],"N.A.")</f>
        <v>0</v>
      </c>
      <c r="AJ110" s="2" t="str">
        <f>Tab_Data_Flows[[#This Row],[E1_UoM]]</f>
        <v>Mg</v>
      </c>
      <c r="AK110" s="19">
        <f>_xlfn.XLOOKUP(Tab_Data_Flows[[#This Row],[Flow_Name]],Tab_Def_Flows[Flow_Name],Tab_Def_Flows[Flow_E6_Fraction'[%']],"N.A.",0,1)</f>
        <v>0</v>
      </c>
      <c r="AL110" s="2">
        <f>IF(Tab_Data_Flows[[#This Row],[Use_E6]]="Yes",Tab_Data_Flows[[#This Row],[E6_Fraction'[%']]]*Tab_Data_Flows[[#This Row],[E1_value]],"N.A.")</f>
        <v>0</v>
      </c>
      <c r="AM110" s="2" t="str">
        <f>Tab_Data_Flows[[#This Row],[E1_UoM]]</f>
        <v>Mg</v>
      </c>
    </row>
    <row r="111" spans="1:39" x14ac:dyDescent="0.25">
      <c r="A111" s="4">
        <f t="shared" si="3"/>
        <v>110</v>
      </c>
      <c r="B111" s="2" t="str">
        <f>_xlfn.XLOOKUP(C111,Tab_Def_Flows[Flow_Name],Tab_Def_Flows[Flow_ID],,0,)</f>
        <v>F__</v>
      </c>
      <c r="C111" s="18" t="s">
        <v>5</v>
      </c>
      <c r="D111" s="5" t="str">
        <f>_xlfn.XLOOKUP(C111,Tab_Def_Flows[Flow_Name],Tab_Def_Flows[Use_E1],,0,)</f>
        <v>Yes</v>
      </c>
      <c r="E111" s="5" t="str">
        <f>_xlfn.XLOOKUP(C111,Tab_Def_Flows[Flow_Name],Tab_Def_Flows[Use_E2],,0,)</f>
        <v>Yes</v>
      </c>
      <c r="F111" s="5" t="str">
        <f>_xlfn.XLOOKUP(C111,Tab_Def_Flows[Flow_Name],Tab_Def_Flows[Use_E3],,0,)</f>
        <v>Yes</v>
      </c>
      <c r="G111" s="5" t="str">
        <f>_xlfn.XLOOKUP(C111,Tab_Def_Flows[Flow_Name],Tab_Def_Flows[Use_E4],,0,)</f>
        <v>Yes</v>
      </c>
      <c r="H111" s="5" t="str">
        <f>_xlfn.XLOOKUP(C111,Tab_Def_Flows[Flow_Name],Tab_Def_Flows[Use_E5],,0,)</f>
        <v>Yes</v>
      </c>
      <c r="I111" s="5" t="str">
        <f>_xlfn.XLOOKUP(C111,Tab_Def_Flows[Flow_Name],Tab_Def_Flows[Use_E6],,0,)</f>
        <v>Yes</v>
      </c>
      <c r="J111" s="3"/>
      <c r="K111" s="3"/>
      <c r="L111" s="2" t="str">
        <f>'0_Configuration'!$C$41</f>
        <v>Mg</v>
      </c>
      <c r="M111" s="9"/>
      <c r="N111" s="9"/>
      <c r="O111" s="9"/>
      <c r="P111" s="9"/>
      <c r="Q111" s="18" t="s">
        <v>3</v>
      </c>
      <c r="R111" s="3"/>
      <c r="S111" s="3"/>
      <c r="T111" s="9"/>
      <c r="U111" s="9"/>
      <c r="V111" s="2">
        <f>_xlfn.XLOOKUP(Tab_Data_Flows[[#This Row],[Flow_Name]],Tab_Def_Flows[Flow_Name],Tab_Def_Flows[Flow_E1_Fraction'[%']],"N.A.",0,1)</f>
        <v>0</v>
      </c>
      <c r="W111" s="8">
        <f t="shared" si="2"/>
        <v>0</v>
      </c>
      <c r="X111" s="2" t="str">
        <f>Tab_Data_Flows[[#This Row],[UoM_Source]]</f>
        <v>Mg</v>
      </c>
      <c r="Y111" s="19">
        <f>_xlfn.XLOOKUP(Tab_Data_Flows[[#This Row],[Flow_Name]],Tab_Def_Flows[Flow_Name],Tab_Def_Flows[Flow_E2_Fraction'[%']],"N.A.",0,1)</f>
        <v>0</v>
      </c>
      <c r="Z111" s="2">
        <f>IF(D111="Yes",W111*Tab_Data_Flows[[#This Row],[E2_Fraction'[%']]],"N.A.")</f>
        <v>0</v>
      </c>
      <c r="AA111" s="2" t="str">
        <f>Tab_Data_Flows[[#This Row],[E1_UoM]]</f>
        <v>Mg</v>
      </c>
      <c r="AB111" s="19">
        <f>_xlfn.XLOOKUP(Tab_Data_Flows[[#This Row],[Flow_Name]],Tab_Def_Flows[Flow_Name],Tab_Def_Flows[Flow_E3_Fraction'[%']],"N.A.",0,1)</f>
        <v>0</v>
      </c>
      <c r="AC111" s="2">
        <f>IF(E111="Yes",AB111*Tab_Data_Flows[[#This Row],[E1_value]],"N.A.")</f>
        <v>0</v>
      </c>
      <c r="AD111" s="2" t="str">
        <f>Tab_Data_Flows[[#This Row],[E1_UoM]]</f>
        <v>Mg</v>
      </c>
      <c r="AE111" s="19">
        <f>_xlfn.XLOOKUP(Tab_Data_Flows[[#This Row],[Flow_Name]],Tab_Def_Flows[Flow_Name],Tab_Def_Flows[Flow_E4_Fraction'[%']],"N.A.",0,1)</f>
        <v>0</v>
      </c>
      <c r="AF111" s="2">
        <f>IF(H111="Yes",Tab_Data_Flows[[#This Row],[E4_Fraction'[%']]]*Tab_Data_Flows[[#This Row],[E1_value]],"N.A.")</f>
        <v>0</v>
      </c>
      <c r="AG111" s="2" t="str">
        <f>Tab_Data_Flows[[#This Row],[E1_UoM]]</f>
        <v>Mg</v>
      </c>
      <c r="AH111" s="2">
        <f>_xlfn.XLOOKUP(Tab_Data_Flows[[#This Row],[Flow_Name]],Tab_Def_Flows[Flow_Name],Tab_Def_Flows[Flow_E5_Fraction'[%']],"N.A.",0,1)</f>
        <v>0</v>
      </c>
      <c r="AI111" s="2">
        <f>IF(H111="Yes",Tab_Data_Flows[[#This Row],[E5_Fraction'[%']]]*Tab_Data_Flows[[#This Row],[E1_value]],"N.A.")</f>
        <v>0</v>
      </c>
      <c r="AJ111" s="2" t="str">
        <f>Tab_Data_Flows[[#This Row],[E1_UoM]]</f>
        <v>Mg</v>
      </c>
      <c r="AK111" s="19">
        <f>_xlfn.XLOOKUP(Tab_Data_Flows[[#This Row],[Flow_Name]],Tab_Def_Flows[Flow_Name],Tab_Def_Flows[Flow_E6_Fraction'[%']],"N.A.",0,1)</f>
        <v>0</v>
      </c>
      <c r="AL111" s="2">
        <f>IF(Tab_Data_Flows[[#This Row],[Use_E6]]="Yes",Tab_Data_Flows[[#This Row],[E6_Fraction'[%']]]*Tab_Data_Flows[[#This Row],[E1_value]],"N.A.")</f>
        <v>0</v>
      </c>
      <c r="AM111" s="2" t="str">
        <f>Tab_Data_Flows[[#This Row],[E1_UoM]]</f>
        <v>Mg</v>
      </c>
    </row>
    <row r="112" spans="1:39" x14ac:dyDescent="0.25">
      <c r="A112" s="4">
        <f t="shared" si="3"/>
        <v>111</v>
      </c>
      <c r="B112" s="2" t="str">
        <f>_xlfn.XLOOKUP(C112,Tab_Def_Flows[Flow_Name],Tab_Def_Flows[Flow_ID],,0,)</f>
        <v>F__</v>
      </c>
      <c r="C112" s="18" t="s">
        <v>5</v>
      </c>
      <c r="D112" s="5" t="str">
        <f>_xlfn.XLOOKUP(C112,Tab_Def_Flows[Flow_Name],Tab_Def_Flows[Use_E1],,0,)</f>
        <v>Yes</v>
      </c>
      <c r="E112" s="5" t="str">
        <f>_xlfn.XLOOKUP(C112,Tab_Def_Flows[Flow_Name],Tab_Def_Flows[Use_E2],,0,)</f>
        <v>Yes</v>
      </c>
      <c r="F112" s="5" t="str">
        <f>_xlfn.XLOOKUP(C112,Tab_Def_Flows[Flow_Name],Tab_Def_Flows[Use_E3],,0,)</f>
        <v>Yes</v>
      </c>
      <c r="G112" s="5" t="str">
        <f>_xlfn.XLOOKUP(C112,Tab_Def_Flows[Flow_Name],Tab_Def_Flows[Use_E4],,0,)</f>
        <v>Yes</v>
      </c>
      <c r="H112" s="5" t="str">
        <f>_xlfn.XLOOKUP(C112,Tab_Def_Flows[Flow_Name],Tab_Def_Flows[Use_E5],,0,)</f>
        <v>Yes</v>
      </c>
      <c r="I112" s="5" t="str">
        <f>_xlfn.XLOOKUP(C112,Tab_Def_Flows[Flow_Name],Tab_Def_Flows[Use_E6],,0,)</f>
        <v>Yes</v>
      </c>
      <c r="J112" s="3"/>
      <c r="K112" s="3"/>
      <c r="L112" s="2" t="str">
        <f>'0_Configuration'!$C$41</f>
        <v>Mg</v>
      </c>
      <c r="M112" s="9"/>
      <c r="N112" s="9"/>
      <c r="O112" s="9"/>
      <c r="P112" s="9"/>
      <c r="Q112" s="18" t="s">
        <v>3</v>
      </c>
      <c r="R112" s="3"/>
      <c r="S112" s="3"/>
      <c r="T112" s="9"/>
      <c r="U112" s="9"/>
      <c r="V112" s="2">
        <f>_xlfn.XLOOKUP(Tab_Data_Flows[[#This Row],[Flow_Name]],Tab_Def_Flows[Flow_Name],Tab_Def_Flows[Flow_E1_Fraction'[%']],"N.A.",0,1)</f>
        <v>0</v>
      </c>
      <c r="W112" s="8">
        <f t="shared" si="2"/>
        <v>0</v>
      </c>
      <c r="X112" s="2" t="str">
        <f>Tab_Data_Flows[[#This Row],[UoM_Source]]</f>
        <v>Mg</v>
      </c>
      <c r="Y112" s="19">
        <f>_xlfn.XLOOKUP(Tab_Data_Flows[[#This Row],[Flow_Name]],Tab_Def_Flows[Flow_Name],Tab_Def_Flows[Flow_E2_Fraction'[%']],"N.A.",0,1)</f>
        <v>0</v>
      </c>
      <c r="Z112" s="2">
        <f>IF(D112="Yes",W112*Tab_Data_Flows[[#This Row],[E2_Fraction'[%']]],"N.A.")</f>
        <v>0</v>
      </c>
      <c r="AA112" s="2" t="str">
        <f>Tab_Data_Flows[[#This Row],[E1_UoM]]</f>
        <v>Mg</v>
      </c>
      <c r="AB112" s="19">
        <f>_xlfn.XLOOKUP(Tab_Data_Flows[[#This Row],[Flow_Name]],Tab_Def_Flows[Flow_Name],Tab_Def_Flows[Flow_E3_Fraction'[%']],"N.A.",0,1)</f>
        <v>0</v>
      </c>
      <c r="AC112" s="2">
        <f>IF(E112="Yes",AB112*Tab_Data_Flows[[#This Row],[E1_value]],"N.A.")</f>
        <v>0</v>
      </c>
      <c r="AD112" s="2" t="str">
        <f>Tab_Data_Flows[[#This Row],[E1_UoM]]</f>
        <v>Mg</v>
      </c>
      <c r="AE112" s="19">
        <f>_xlfn.XLOOKUP(Tab_Data_Flows[[#This Row],[Flow_Name]],Tab_Def_Flows[Flow_Name],Tab_Def_Flows[Flow_E4_Fraction'[%']],"N.A.",0,1)</f>
        <v>0</v>
      </c>
      <c r="AF112" s="2">
        <f>IF(H112="Yes",Tab_Data_Flows[[#This Row],[E4_Fraction'[%']]]*Tab_Data_Flows[[#This Row],[E1_value]],"N.A.")</f>
        <v>0</v>
      </c>
      <c r="AG112" s="2" t="str">
        <f>Tab_Data_Flows[[#This Row],[E1_UoM]]</f>
        <v>Mg</v>
      </c>
      <c r="AH112" s="2">
        <f>_xlfn.XLOOKUP(Tab_Data_Flows[[#This Row],[Flow_Name]],Tab_Def_Flows[Flow_Name],Tab_Def_Flows[Flow_E5_Fraction'[%']],"N.A.",0,1)</f>
        <v>0</v>
      </c>
      <c r="AI112" s="2">
        <f>IF(H112="Yes",Tab_Data_Flows[[#This Row],[E5_Fraction'[%']]]*Tab_Data_Flows[[#This Row],[E1_value]],"N.A.")</f>
        <v>0</v>
      </c>
      <c r="AJ112" s="2" t="str">
        <f>Tab_Data_Flows[[#This Row],[E1_UoM]]</f>
        <v>Mg</v>
      </c>
      <c r="AK112" s="19">
        <f>_xlfn.XLOOKUP(Tab_Data_Flows[[#This Row],[Flow_Name]],Tab_Def_Flows[Flow_Name],Tab_Def_Flows[Flow_E6_Fraction'[%']],"N.A.",0,1)</f>
        <v>0</v>
      </c>
      <c r="AL112" s="2">
        <f>IF(Tab_Data_Flows[[#This Row],[Use_E6]]="Yes",Tab_Data_Flows[[#This Row],[E6_Fraction'[%']]]*Tab_Data_Flows[[#This Row],[E1_value]],"N.A.")</f>
        <v>0</v>
      </c>
      <c r="AM112" s="2" t="str">
        <f>Tab_Data_Flows[[#This Row],[E1_UoM]]</f>
        <v>Mg</v>
      </c>
    </row>
    <row r="113" spans="1:39" x14ac:dyDescent="0.25">
      <c r="A113" s="4">
        <f t="shared" si="3"/>
        <v>112</v>
      </c>
      <c r="B113" s="2" t="str">
        <f>_xlfn.XLOOKUP(C113,Tab_Def_Flows[Flow_Name],Tab_Def_Flows[Flow_ID],,0,)</f>
        <v>F__</v>
      </c>
      <c r="C113" s="18" t="s">
        <v>5</v>
      </c>
      <c r="D113" s="5" t="str">
        <f>_xlfn.XLOOKUP(C113,Tab_Def_Flows[Flow_Name],Tab_Def_Flows[Use_E1],,0,)</f>
        <v>Yes</v>
      </c>
      <c r="E113" s="5" t="str">
        <f>_xlfn.XLOOKUP(C113,Tab_Def_Flows[Flow_Name],Tab_Def_Flows[Use_E2],,0,)</f>
        <v>Yes</v>
      </c>
      <c r="F113" s="5" t="str">
        <f>_xlfn.XLOOKUP(C113,Tab_Def_Flows[Flow_Name],Tab_Def_Flows[Use_E3],,0,)</f>
        <v>Yes</v>
      </c>
      <c r="G113" s="5" t="str">
        <f>_xlfn.XLOOKUP(C113,Tab_Def_Flows[Flow_Name],Tab_Def_Flows[Use_E4],,0,)</f>
        <v>Yes</v>
      </c>
      <c r="H113" s="5" t="str">
        <f>_xlfn.XLOOKUP(C113,Tab_Def_Flows[Flow_Name],Tab_Def_Flows[Use_E5],,0,)</f>
        <v>Yes</v>
      </c>
      <c r="I113" s="5" t="str">
        <f>_xlfn.XLOOKUP(C113,Tab_Def_Flows[Flow_Name],Tab_Def_Flows[Use_E6],,0,)</f>
        <v>Yes</v>
      </c>
      <c r="J113" s="3"/>
      <c r="K113" s="3"/>
      <c r="L113" s="2" t="str">
        <f>'0_Configuration'!$C$41</f>
        <v>Mg</v>
      </c>
      <c r="M113" s="9"/>
      <c r="N113" s="9"/>
      <c r="O113" s="9"/>
      <c r="P113" s="9"/>
      <c r="Q113" s="18" t="s">
        <v>3</v>
      </c>
      <c r="R113" s="3"/>
      <c r="S113" s="3"/>
      <c r="T113" s="9"/>
      <c r="U113" s="9"/>
      <c r="V113" s="2">
        <f>_xlfn.XLOOKUP(Tab_Data_Flows[[#This Row],[Flow_Name]],Tab_Def_Flows[Flow_Name],Tab_Def_Flows[Flow_E1_Fraction'[%']],"N.A.",0,1)</f>
        <v>0</v>
      </c>
      <c r="W113" s="8">
        <f t="shared" si="2"/>
        <v>0</v>
      </c>
      <c r="X113" s="2" t="str">
        <f>Tab_Data_Flows[[#This Row],[UoM_Source]]</f>
        <v>Mg</v>
      </c>
      <c r="Y113" s="19">
        <f>_xlfn.XLOOKUP(Tab_Data_Flows[[#This Row],[Flow_Name]],Tab_Def_Flows[Flow_Name],Tab_Def_Flows[Flow_E2_Fraction'[%']],"N.A.",0,1)</f>
        <v>0</v>
      </c>
      <c r="Z113" s="2">
        <f>IF(D113="Yes",W113*Tab_Data_Flows[[#This Row],[E2_Fraction'[%']]],"N.A.")</f>
        <v>0</v>
      </c>
      <c r="AA113" s="2" t="str">
        <f>Tab_Data_Flows[[#This Row],[E1_UoM]]</f>
        <v>Mg</v>
      </c>
      <c r="AB113" s="19">
        <f>_xlfn.XLOOKUP(Tab_Data_Flows[[#This Row],[Flow_Name]],Tab_Def_Flows[Flow_Name],Tab_Def_Flows[Flow_E3_Fraction'[%']],"N.A.",0,1)</f>
        <v>0</v>
      </c>
      <c r="AC113" s="2">
        <f>IF(E113="Yes",AB113*Tab_Data_Flows[[#This Row],[E1_value]],"N.A.")</f>
        <v>0</v>
      </c>
      <c r="AD113" s="2" t="str">
        <f>Tab_Data_Flows[[#This Row],[E1_UoM]]</f>
        <v>Mg</v>
      </c>
      <c r="AE113" s="19">
        <f>_xlfn.XLOOKUP(Tab_Data_Flows[[#This Row],[Flow_Name]],Tab_Def_Flows[Flow_Name],Tab_Def_Flows[Flow_E4_Fraction'[%']],"N.A.",0,1)</f>
        <v>0</v>
      </c>
      <c r="AF113" s="2">
        <f>IF(H113="Yes",Tab_Data_Flows[[#This Row],[E4_Fraction'[%']]]*Tab_Data_Flows[[#This Row],[E1_value]],"N.A.")</f>
        <v>0</v>
      </c>
      <c r="AG113" s="2" t="str">
        <f>Tab_Data_Flows[[#This Row],[E1_UoM]]</f>
        <v>Mg</v>
      </c>
      <c r="AH113" s="2">
        <f>_xlfn.XLOOKUP(Tab_Data_Flows[[#This Row],[Flow_Name]],Tab_Def_Flows[Flow_Name],Tab_Def_Flows[Flow_E5_Fraction'[%']],"N.A.",0,1)</f>
        <v>0</v>
      </c>
      <c r="AI113" s="2">
        <f>IF(H113="Yes",Tab_Data_Flows[[#This Row],[E5_Fraction'[%']]]*Tab_Data_Flows[[#This Row],[E1_value]],"N.A.")</f>
        <v>0</v>
      </c>
      <c r="AJ113" s="2" t="str">
        <f>Tab_Data_Flows[[#This Row],[E1_UoM]]</f>
        <v>Mg</v>
      </c>
      <c r="AK113" s="19">
        <f>_xlfn.XLOOKUP(Tab_Data_Flows[[#This Row],[Flow_Name]],Tab_Def_Flows[Flow_Name],Tab_Def_Flows[Flow_E6_Fraction'[%']],"N.A.",0,1)</f>
        <v>0</v>
      </c>
      <c r="AL113" s="2">
        <f>IF(Tab_Data_Flows[[#This Row],[Use_E6]]="Yes",Tab_Data_Flows[[#This Row],[E6_Fraction'[%']]]*Tab_Data_Flows[[#This Row],[E1_value]],"N.A.")</f>
        <v>0</v>
      </c>
      <c r="AM113" s="2" t="str">
        <f>Tab_Data_Flows[[#This Row],[E1_UoM]]</f>
        <v>Mg</v>
      </c>
    </row>
    <row r="114" spans="1:39" x14ac:dyDescent="0.25">
      <c r="A114" s="4">
        <f t="shared" si="3"/>
        <v>113</v>
      </c>
      <c r="B114" s="2" t="str">
        <f>_xlfn.XLOOKUP(C114,Tab_Def_Flows[Flow_Name],Tab_Def_Flows[Flow_ID],,0,)</f>
        <v>F__</v>
      </c>
      <c r="C114" s="18" t="s">
        <v>5</v>
      </c>
      <c r="D114" s="5" t="str">
        <f>_xlfn.XLOOKUP(C114,Tab_Def_Flows[Flow_Name],Tab_Def_Flows[Use_E1],,0,)</f>
        <v>Yes</v>
      </c>
      <c r="E114" s="5" t="str">
        <f>_xlfn.XLOOKUP(C114,Tab_Def_Flows[Flow_Name],Tab_Def_Flows[Use_E2],,0,)</f>
        <v>Yes</v>
      </c>
      <c r="F114" s="5" t="str">
        <f>_xlfn.XLOOKUP(C114,Tab_Def_Flows[Flow_Name],Tab_Def_Flows[Use_E3],,0,)</f>
        <v>Yes</v>
      </c>
      <c r="G114" s="5" t="str">
        <f>_xlfn.XLOOKUP(C114,Tab_Def_Flows[Flow_Name],Tab_Def_Flows[Use_E4],,0,)</f>
        <v>Yes</v>
      </c>
      <c r="H114" s="5" t="str">
        <f>_xlfn.XLOOKUP(C114,Tab_Def_Flows[Flow_Name],Tab_Def_Flows[Use_E5],,0,)</f>
        <v>Yes</v>
      </c>
      <c r="I114" s="5" t="str">
        <f>_xlfn.XLOOKUP(C114,Tab_Def_Flows[Flow_Name],Tab_Def_Flows[Use_E6],,0,)</f>
        <v>Yes</v>
      </c>
      <c r="J114" s="3"/>
      <c r="K114" s="3"/>
      <c r="L114" s="2" t="str">
        <f>'0_Configuration'!$C$41</f>
        <v>Mg</v>
      </c>
      <c r="M114" s="9"/>
      <c r="N114" s="9"/>
      <c r="O114" s="9"/>
      <c r="P114" s="9"/>
      <c r="Q114" s="18" t="s">
        <v>3</v>
      </c>
      <c r="R114" s="3"/>
      <c r="S114" s="3"/>
      <c r="T114" s="9"/>
      <c r="U114" s="9"/>
      <c r="V114" s="2">
        <f>_xlfn.XLOOKUP(Tab_Data_Flows[[#This Row],[Flow_Name]],Tab_Def_Flows[Flow_Name],Tab_Def_Flows[Flow_E1_Fraction'[%']],"N.A.",0,1)</f>
        <v>0</v>
      </c>
      <c r="W114" s="8">
        <f t="shared" si="2"/>
        <v>0</v>
      </c>
      <c r="X114" s="2" t="str">
        <f>Tab_Data_Flows[[#This Row],[UoM_Source]]</f>
        <v>Mg</v>
      </c>
      <c r="Y114" s="19">
        <f>_xlfn.XLOOKUP(Tab_Data_Flows[[#This Row],[Flow_Name]],Tab_Def_Flows[Flow_Name],Tab_Def_Flows[Flow_E2_Fraction'[%']],"N.A.",0,1)</f>
        <v>0</v>
      </c>
      <c r="Z114" s="2">
        <f>IF(D114="Yes",W114*Tab_Data_Flows[[#This Row],[E2_Fraction'[%']]],"N.A.")</f>
        <v>0</v>
      </c>
      <c r="AA114" s="2" t="str">
        <f>Tab_Data_Flows[[#This Row],[E1_UoM]]</f>
        <v>Mg</v>
      </c>
      <c r="AB114" s="19">
        <f>_xlfn.XLOOKUP(Tab_Data_Flows[[#This Row],[Flow_Name]],Tab_Def_Flows[Flow_Name],Tab_Def_Flows[Flow_E3_Fraction'[%']],"N.A.",0,1)</f>
        <v>0</v>
      </c>
      <c r="AC114" s="2">
        <f>IF(E114="Yes",AB114*Tab_Data_Flows[[#This Row],[E1_value]],"N.A.")</f>
        <v>0</v>
      </c>
      <c r="AD114" s="2" t="str">
        <f>Tab_Data_Flows[[#This Row],[E1_UoM]]</f>
        <v>Mg</v>
      </c>
      <c r="AE114" s="19">
        <f>_xlfn.XLOOKUP(Tab_Data_Flows[[#This Row],[Flow_Name]],Tab_Def_Flows[Flow_Name],Tab_Def_Flows[Flow_E4_Fraction'[%']],"N.A.",0,1)</f>
        <v>0</v>
      </c>
      <c r="AF114" s="2">
        <f>IF(H114="Yes",Tab_Data_Flows[[#This Row],[E4_Fraction'[%']]]*Tab_Data_Flows[[#This Row],[E1_value]],"N.A.")</f>
        <v>0</v>
      </c>
      <c r="AG114" s="2" t="str">
        <f>Tab_Data_Flows[[#This Row],[E1_UoM]]</f>
        <v>Mg</v>
      </c>
      <c r="AH114" s="2">
        <f>_xlfn.XLOOKUP(Tab_Data_Flows[[#This Row],[Flow_Name]],Tab_Def_Flows[Flow_Name],Tab_Def_Flows[Flow_E5_Fraction'[%']],"N.A.",0,1)</f>
        <v>0</v>
      </c>
      <c r="AI114" s="2">
        <f>IF(H114="Yes",Tab_Data_Flows[[#This Row],[E5_Fraction'[%']]]*Tab_Data_Flows[[#This Row],[E1_value]],"N.A.")</f>
        <v>0</v>
      </c>
      <c r="AJ114" s="2" t="str">
        <f>Tab_Data_Flows[[#This Row],[E1_UoM]]</f>
        <v>Mg</v>
      </c>
      <c r="AK114" s="19">
        <f>_xlfn.XLOOKUP(Tab_Data_Flows[[#This Row],[Flow_Name]],Tab_Def_Flows[Flow_Name],Tab_Def_Flows[Flow_E6_Fraction'[%']],"N.A.",0,1)</f>
        <v>0</v>
      </c>
      <c r="AL114" s="2">
        <f>IF(Tab_Data_Flows[[#This Row],[Use_E6]]="Yes",Tab_Data_Flows[[#This Row],[E6_Fraction'[%']]]*Tab_Data_Flows[[#This Row],[E1_value]],"N.A.")</f>
        <v>0</v>
      </c>
      <c r="AM114" s="2" t="str">
        <f>Tab_Data_Flows[[#This Row],[E1_UoM]]</f>
        <v>Mg</v>
      </c>
    </row>
    <row r="115" spans="1:39" x14ac:dyDescent="0.25">
      <c r="A115" s="4">
        <f t="shared" si="3"/>
        <v>114</v>
      </c>
      <c r="B115" s="2" t="str">
        <f>_xlfn.XLOOKUP(C115,Tab_Def_Flows[Flow_Name],Tab_Def_Flows[Flow_ID],,0,)</f>
        <v>F__</v>
      </c>
      <c r="C115" s="18" t="s">
        <v>5</v>
      </c>
      <c r="D115" s="5" t="str">
        <f>_xlfn.XLOOKUP(C115,Tab_Def_Flows[Flow_Name],Tab_Def_Flows[Use_E1],,0,)</f>
        <v>Yes</v>
      </c>
      <c r="E115" s="5" t="str">
        <f>_xlfn.XLOOKUP(C115,Tab_Def_Flows[Flow_Name],Tab_Def_Flows[Use_E2],,0,)</f>
        <v>Yes</v>
      </c>
      <c r="F115" s="5" t="str">
        <f>_xlfn.XLOOKUP(C115,Tab_Def_Flows[Flow_Name],Tab_Def_Flows[Use_E3],,0,)</f>
        <v>Yes</v>
      </c>
      <c r="G115" s="5" t="str">
        <f>_xlfn.XLOOKUP(C115,Tab_Def_Flows[Flow_Name],Tab_Def_Flows[Use_E4],,0,)</f>
        <v>Yes</v>
      </c>
      <c r="H115" s="5" t="str">
        <f>_xlfn.XLOOKUP(C115,Tab_Def_Flows[Flow_Name],Tab_Def_Flows[Use_E5],,0,)</f>
        <v>Yes</v>
      </c>
      <c r="I115" s="5" t="str">
        <f>_xlfn.XLOOKUP(C115,Tab_Def_Flows[Flow_Name],Tab_Def_Flows[Use_E6],,0,)</f>
        <v>Yes</v>
      </c>
      <c r="J115" s="3"/>
      <c r="K115" s="3"/>
      <c r="L115" s="2" t="str">
        <f>'0_Configuration'!$C$41</f>
        <v>Mg</v>
      </c>
      <c r="M115" s="9"/>
      <c r="N115" s="9"/>
      <c r="O115" s="9"/>
      <c r="P115" s="9"/>
      <c r="Q115" s="18" t="s">
        <v>3</v>
      </c>
      <c r="R115" s="3"/>
      <c r="S115" s="3"/>
      <c r="T115" s="9"/>
      <c r="U115" s="9"/>
      <c r="V115" s="2">
        <f>_xlfn.XLOOKUP(Tab_Data_Flows[[#This Row],[Flow_Name]],Tab_Def_Flows[Flow_Name],Tab_Def_Flows[Flow_E1_Fraction'[%']],"N.A.",0,1)</f>
        <v>0</v>
      </c>
      <c r="W115" s="8">
        <f t="shared" si="2"/>
        <v>0</v>
      </c>
      <c r="X115" s="2" t="str">
        <f>Tab_Data_Flows[[#This Row],[UoM_Source]]</f>
        <v>Mg</v>
      </c>
      <c r="Y115" s="19">
        <f>_xlfn.XLOOKUP(Tab_Data_Flows[[#This Row],[Flow_Name]],Tab_Def_Flows[Flow_Name],Tab_Def_Flows[Flow_E2_Fraction'[%']],"N.A.",0,1)</f>
        <v>0</v>
      </c>
      <c r="Z115" s="2">
        <f>IF(D115="Yes",W115*Tab_Data_Flows[[#This Row],[E2_Fraction'[%']]],"N.A.")</f>
        <v>0</v>
      </c>
      <c r="AA115" s="2" t="str">
        <f>Tab_Data_Flows[[#This Row],[E1_UoM]]</f>
        <v>Mg</v>
      </c>
      <c r="AB115" s="19">
        <f>_xlfn.XLOOKUP(Tab_Data_Flows[[#This Row],[Flow_Name]],Tab_Def_Flows[Flow_Name],Tab_Def_Flows[Flow_E3_Fraction'[%']],"N.A.",0,1)</f>
        <v>0</v>
      </c>
      <c r="AC115" s="2">
        <f>IF(E115="Yes",AB115*Tab_Data_Flows[[#This Row],[E1_value]],"N.A.")</f>
        <v>0</v>
      </c>
      <c r="AD115" s="2" t="str">
        <f>Tab_Data_Flows[[#This Row],[E1_UoM]]</f>
        <v>Mg</v>
      </c>
      <c r="AE115" s="19">
        <f>_xlfn.XLOOKUP(Tab_Data_Flows[[#This Row],[Flow_Name]],Tab_Def_Flows[Flow_Name],Tab_Def_Flows[Flow_E4_Fraction'[%']],"N.A.",0,1)</f>
        <v>0</v>
      </c>
      <c r="AF115" s="2">
        <f>IF(H115="Yes",Tab_Data_Flows[[#This Row],[E4_Fraction'[%']]]*Tab_Data_Flows[[#This Row],[E1_value]],"N.A.")</f>
        <v>0</v>
      </c>
      <c r="AG115" s="2" t="str">
        <f>Tab_Data_Flows[[#This Row],[E1_UoM]]</f>
        <v>Mg</v>
      </c>
      <c r="AH115" s="2">
        <f>_xlfn.XLOOKUP(Tab_Data_Flows[[#This Row],[Flow_Name]],Tab_Def_Flows[Flow_Name],Tab_Def_Flows[Flow_E5_Fraction'[%']],"N.A.",0,1)</f>
        <v>0</v>
      </c>
      <c r="AI115" s="2">
        <f>IF(H115="Yes",Tab_Data_Flows[[#This Row],[E5_Fraction'[%']]]*Tab_Data_Flows[[#This Row],[E1_value]],"N.A.")</f>
        <v>0</v>
      </c>
      <c r="AJ115" s="2" t="str">
        <f>Tab_Data_Flows[[#This Row],[E1_UoM]]</f>
        <v>Mg</v>
      </c>
      <c r="AK115" s="19">
        <f>_xlfn.XLOOKUP(Tab_Data_Flows[[#This Row],[Flow_Name]],Tab_Def_Flows[Flow_Name],Tab_Def_Flows[Flow_E6_Fraction'[%']],"N.A.",0,1)</f>
        <v>0</v>
      </c>
      <c r="AL115" s="2">
        <f>IF(Tab_Data_Flows[[#This Row],[Use_E6]]="Yes",Tab_Data_Flows[[#This Row],[E6_Fraction'[%']]]*Tab_Data_Flows[[#This Row],[E1_value]],"N.A.")</f>
        <v>0</v>
      </c>
      <c r="AM115" s="2" t="str">
        <f>Tab_Data_Flows[[#This Row],[E1_UoM]]</f>
        <v>Mg</v>
      </c>
    </row>
    <row r="116" spans="1:39" x14ac:dyDescent="0.25">
      <c r="A116" s="4">
        <f t="shared" si="3"/>
        <v>115</v>
      </c>
      <c r="B116" s="2" t="str">
        <f>_xlfn.XLOOKUP(C116,Tab_Def_Flows[Flow_Name],Tab_Def_Flows[Flow_ID],,0,)</f>
        <v>F__</v>
      </c>
      <c r="C116" s="18" t="s">
        <v>5</v>
      </c>
      <c r="D116" s="5" t="str">
        <f>_xlfn.XLOOKUP(C116,Tab_Def_Flows[Flow_Name],Tab_Def_Flows[Use_E1],,0,)</f>
        <v>Yes</v>
      </c>
      <c r="E116" s="5" t="str">
        <f>_xlfn.XLOOKUP(C116,Tab_Def_Flows[Flow_Name],Tab_Def_Flows[Use_E2],,0,)</f>
        <v>Yes</v>
      </c>
      <c r="F116" s="5" t="str">
        <f>_xlfn.XLOOKUP(C116,Tab_Def_Flows[Flow_Name],Tab_Def_Flows[Use_E3],,0,)</f>
        <v>Yes</v>
      </c>
      <c r="G116" s="5" t="str">
        <f>_xlfn.XLOOKUP(C116,Tab_Def_Flows[Flow_Name],Tab_Def_Flows[Use_E4],,0,)</f>
        <v>Yes</v>
      </c>
      <c r="H116" s="5" t="str">
        <f>_xlfn.XLOOKUP(C116,Tab_Def_Flows[Flow_Name],Tab_Def_Flows[Use_E5],,0,)</f>
        <v>Yes</v>
      </c>
      <c r="I116" s="5" t="str">
        <f>_xlfn.XLOOKUP(C116,Tab_Def_Flows[Flow_Name],Tab_Def_Flows[Use_E6],,0,)</f>
        <v>Yes</v>
      </c>
      <c r="J116" s="3"/>
      <c r="K116" s="3"/>
      <c r="L116" s="2" t="str">
        <f>'0_Configuration'!$C$41</f>
        <v>Mg</v>
      </c>
      <c r="M116" s="9"/>
      <c r="N116" s="9"/>
      <c r="O116" s="9"/>
      <c r="P116" s="9"/>
      <c r="Q116" s="18" t="s">
        <v>3</v>
      </c>
      <c r="R116" s="3"/>
      <c r="S116" s="3"/>
      <c r="T116" s="9"/>
      <c r="U116" s="9"/>
      <c r="V116" s="2">
        <f>_xlfn.XLOOKUP(Tab_Data_Flows[[#This Row],[Flow_Name]],Tab_Def_Flows[Flow_Name],Tab_Def_Flows[Flow_E1_Fraction'[%']],"N.A.",0,1)</f>
        <v>0</v>
      </c>
      <c r="W116" s="8">
        <f t="shared" si="2"/>
        <v>0</v>
      </c>
      <c r="X116" s="2" t="str">
        <f>Tab_Data_Flows[[#This Row],[UoM_Source]]</f>
        <v>Mg</v>
      </c>
      <c r="Y116" s="19">
        <f>_xlfn.XLOOKUP(Tab_Data_Flows[[#This Row],[Flow_Name]],Tab_Def_Flows[Flow_Name],Tab_Def_Flows[Flow_E2_Fraction'[%']],"N.A.",0,1)</f>
        <v>0</v>
      </c>
      <c r="Z116" s="2">
        <f>IF(D116="Yes",W116*Tab_Data_Flows[[#This Row],[E2_Fraction'[%']]],"N.A.")</f>
        <v>0</v>
      </c>
      <c r="AA116" s="2" t="str">
        <f>Tab_Data_Flows[[#This Row],[E1_UoM]]</f>
        <v>Mg</v>
      </c>
      <c r="AB116" s="19">
        <f>_xlfn.XLOOKUP(Tab_Data_Flows[[#This Row],[Flow_Name]],Tab_Def_Flows[Flow_Name],Tab_Def_Flows[Flow_E3_Fraction'[%']],"N.A.",0,1)</f>
        <v>0</v>
      </c>
      <c r="AC116" s="2">
        <f>IF(E116="Yes",AB116*Tab_Data_Flows[[#This Row],[E1_value]],"N.A.")</f>
        <v>0</v>
      </c>
      <c r="AD116" s="2" t="str">
        <f>Tab_Data_Flows[[#This Row],[E1_UoM]]</f>
        <v>Mg</v>
      </c>
      <c r="AE116" s="19">
        <f>_xlfn.XLOOKUP(Tab_Data_Flows[[#This Row],[Flow_Name]],Tab_Def_Flows[Flow_Name],Tab_Def_Flows[Flow_E4_Fraction'[%']],"N.A.",0,1)</f>
        <v>0</v>
      </c>
      <c r="AF116" s="2">
        <f>IF(H116="Yes",Tab_Data_Flows[[#This Row],[E4_Fraction'[%']]]*Tab_Data_Flows[[#This Row],[E1_value]],"N.A.")</f>
        <v>0</v>
      </c>
      <c r="AG116" s="2" t="str">
        <f>Tab_Data_Flows[[#This Row],[E1_UoM]]</f>
        <v>Mg</v>
      </c>
      <c r="AH116" s="2">
        <f>_xlfn.XLOOKUP(Tab_Data_Flows[[#This Row],[Flow_Name]],Tab_Def_Flows[Flow_Name],Tab_Def_Flows[Flow_E5_Fraction'[%']],"N.A.",0,1)</f>
        <v>0</v>
      </c>
      <c r="AI116" s="2">
        <f>IF(H116="Yes",Tab_Data_Flows[[#This Row],[E5_Fraction'[%']]]*Tab_Data_Flows[[#This Row],[E1_value]],"N.A.")</f>
        <v>0</v>
      </c>
      <c r="AJ116" s="2" t="str">
        <f>Tab_Data_Flows[[#This Row],[E1_UoM]]</f>
        <v>Mg</v>
      </c>
      <c r="AK116" s="19">
        <f>_xlfn.XLOOKUP(Tab_Data_Flows[[#This Row],[Flow_Name]],Tab_Def_Flows[Flow_Name],Tab_Def_Flows[Flow_E6_Fraction'[%']],"N.A.",0,1)</f>
        <v>0</v>
      </c>
      <c r="AL116" s="2">
        <f>IF(Tab_Data_Flows[[#This Row],[Use_E6]]="Yes",Tab_Data_Flows[[#This Row],[E6_Fraction'[%']]]*Tab_Data_Flows[[#This Row],[E1_value]],"N.A.")</f>
        <v>0</v>
      </c>
      <c r="AM116" s="2" t="str">
        <f>Tab_Data_Flows[[#This Row],[E1_UoM]]</f>
        <v>Mg</v>
      </c>
    </row>
    <row r="117" spans="1:39" x14ac:dyDescent="0.25">
      <c r="A117" s="4">
        <f t="shared" si="3"/>
        <v>116</v>
      </c>
      <c r="B117" s="2" t="str">
        <f>_xlfn.XLOOKUP(C117,Tab_Def_Flows[Flow_Name],Tab_Def_Flows[Flow_ID],,0,)</f>
        <v>F__</v>
      </c>
      <c r="C117" s="18" t="s">
        <v>5</v>
      </c>
      <c r="D117" s="5" t="str">
        <f>_xlfn.XLOOKUP(C117,Tab_Def_Flows[Flow_Name],Tab_Def_Flows[Use_E1],,0,)</f>
        <v>Yes</v>
      </c>
      <c r="E117" s="5" t="str">
        <f>_xlfn.XLOOKUP(C117,Tab_Def_Flows[Flow_Name],Tab_Def_Flows[Use_E2],,0,)</f>
        <v>Yes</v>
      </c>
      <c r="F117" s="5" t="str">
        <f>_xlfn.XLOOKUP(C117,Tab_Def_Flows[Flow_Name],Tab_Def_Flows[Use_E3],,0,)</f>
        <v>Yes</v>
      </c>
      <c r="G117" s="5" t="str">
        <f>_xlfn.XLOOKUP(C117,Tab_Def_Flows[Flow_Name],Tab_Def_Flows[Use_E4],,0,)</f>
        <v>Yes</v>
      </c>
      <c r="H117" s="5" t="str">
        <f>_xlfn.XLOOKUP(C117,Tab_Def_Flows[Flow_Name],Tab_Def_Flows[Use_E5],,0,)</f>
        <v>Yes</v>
      </c>
      <c r="I117" s="5" t="str">
        <f>_xlfn.XLOOKUP(C117,Tab_Def_Flows[Flow_Name],Tab_Def_Flows[Use_E6],,0,)</f>
        <v>Yes</v>
      </c>
      <c r="J117" s="3"/>
      <c r="K117" s="3"/>
      <c r="L117" s="2" t="str">
        <f>'0_Configuration'!$C$41</f>
        <v>Mg</v>
      </c>
      <c r="M117" s="9"/>
      <c r="N117" s="9"/>
      <c r="O117" s="9"/>
      <c r="P117" s="9"/>
      <c r="Q117" s="18" t="s">
        <v>3</v>
      </c>
      <c r="R117" s="3"/>
      <c r="S117" s="3"/>
      <c r="T117" s="9"/>
      <c r="U117" s="9"/>
      <c r="V117" s="2">
        <f>_xlfn.XLOOKUP(Tab_Data_Flows[[#This Row],[Flow_Name]],Tab_Def_Flows[Flow_Name],Tab_Def_Flows[Flow_E1_Fraction'[%']],"N.A.",0,1)</f>
        <v>0</v>
      </c>
      <c r="W117" s="8">
        <f t="shared" si="2"/>
        <v>0</v>
      </c>
      <c r="X117" s="2" t="str">
        <f>Tab_Data_Flows[[#This Row],[UoM_Source]]</f>
        <v>Mg</v>
      </c>
      <c r="Y117" s="19">
        <f>_xlfn.XLOOKUP(Tab_Data_Flows[[#This Row],[Flow_Name]],Tab_Def_Flows[Flow_Name],Tab_Def_Flows[Flow_E2_Fraction'[%']],"N.A.",0,1)</f>
        <v>0</v>
      </c>
      <c r="Z117" s="2">
        <f>IF(D117="Yes",W117*Tab_Data_Flows[[#This Row],[E2_Fraction'[%']]],"N.A.")</f>
        <v>0</v>
      </c>
      <c r="AA117" s="2" t="str">
        <f>Tab_Data_Flows[[#This Row],[E1_UoM]]</f>
        <v>Mg</v>
      </c>
      <c r="AB117" s="19">
        <f>_xlfn.XLOOKUP(Tab_Data_Flows[[#This Row],[Flow_Name]],Tab_Def_Flows[Flow_Name],Tab_Def_Flows[Flow_E3_Fraction'[%']],"N.A.",0,1)</f>
        <v>0</v>
      </c>
      <c r="AC117" s="2">
        <f>IF(E117="Yes",AB117*Tab_Data_Flows[[#This Row],[E1_value]],"N.A.")</f>
        <v>0</v>
      </c>
      <c r="AD117" s="2" t="str">
        <f>Tab_Data_Flows[[#This Row],[E1_UoM]]</f>
        <v>Mg</v>
      </c>
      <c r="AE117" s="19">
        <f>_xlfn.XLOOKUP(Tab_Data_Flows[[#This Row],[Flow_Name]],Tab_Def_Flows[Flow_Name],Tab_Def_Flows[Flow_E4_Fraction'[%']],"N.A.",0,1)</f>
        <v>0</v>
      </c>
      <c r="AF117" s="2">
        <f>IF(H117="Yes",Tab_Data_Flows[[#This Row],[E4_Fraction'[%']]]*Tab_Data_Flows[[#This Row],[E1_value]],"N.A.")</f>
        <v>0</v>
      </c>
      <c r="AG117" s="2" t="str">
        <f>Tab_Data_Flows[[#This Row],[E1_UoM]]</f>
        <v>Mg</v>
      </c>
      <c r="AH117" s="2">
        <f>_xlfn.XLOOKUP(Tab_Data_Flows[[#This Row],[Flow_Name]],Tab_Def_Flows[Flow_Name],Tab_Def_Flows[Flow_E5_Fraction'[%']],"N.A.",0,1)</f>
        <v>0</v>
      </c>
      <c r="AI117" s="2">
        <f>IF(H117="Yes",Tab_Data_Flows[[#This Row],[E5_Fraction'[%']]]*Tab_Data_Flows[[#This Row],[E1_value]],"N.A.")</f>
        <v>0</v>
      </c>
      <c r="AJ117" s="2" t="str">
        <f>Tab_Data_Flows[[#This Row],[E1_UoM]]</f>
        <v>Mg</v>
      </c>
      <c r="AK117" s="19">
        <f>_xlfn.XLOOKUP(Tab_Data_Flows[[#This Row],[Flow_Name]],Tab_Def_Flows[Flow_Name],Tab_Def_Flows[Flow_E6_Fraction'[%']],"N.A.",0,1)</f>
        <v>0</v>
      </c>
      <c r="AL117" s="2">
        <f>IF(Tab_Data_Flows[[#This Row],[Use_E6]]="Yes",Tab_Data_Flows[[#This Row],[E6_Fraction'[%']]]*Tab_Data_Flows[[#This Row],[E1_value]],"N.A.")</f>
        <v>0</v>
      </c>
      <c r="AM117" s="2" t="str">
        <f>Tab_Data_Flows[[#This Row],[E1_UoM]]</f>
        <v>Mg</v>
      </c>
    </row>
    <row r="118" spans="1:39" x14ac:dyDescent="0.25">
      <c r="A118" s="4">
        <f t="shared" si="3"/>
        <v>117</v>
      </c>
      <c r="B118" s="2" t="str">
        <f>_xlfn.XLOOKUP(C118,Tab_Def_Flows[Flow_Name],Tab_Def_Flows[Flow_ID],,0,)</f>
        <v>F__</v>
      </c>
      <c r="C118" s="18" t="s">
        <v>5</v>
      </c>
      <c r="D118" s="5" t="str">
        <f>_xlfn.XLOOKUP(C118,Tab_Def_Flows[Flow_Name],Tab_Def_Flows[Use_E1],,0,)</f>
        <v>Yes</v>
      </c>
      <c r="E118" s="5" t="str">
        <f>_xlfn.XLOOKUP(C118,Tab_Def_Flows[Flow_Name],Tab_Def_Flows[Use_E2],,0,)</f>
        <v>Yes</v>
      </c>
      <c r="F118" s="5" t="str">
        <f>_xlfn.XLOOKUP(C118,Tab_Def_Flows[Flow_Name],Tab_Def_Flows[Use_E3],,0,)</f>
        <v>Yes</v>
      </c>
      <c r="G118" s="5" t="str">
        <f>_xlfn.XLOOKUP(C118,Tab_Def_Flows[Flow_Name],Tab_Def_Flows[Use_E4],,0,)</f>
        <v>Yes</v>
      </c>
      <c r="H118" s="5" t="str">
        <f>_xlfn.XLOOKUP(C118,Tab_Def_Flows[Flow_Name],Tab_Def_Flows[Use_E5],,0,)</f>
        <v>Yes</v>
      </c>
      <c r="I118" s="5" t="str">
        <f>_xlfn.XLOOKUP(C118,Tab_Def_Flows[Flow_Name],Tab_Def_Flows[Use_E6],,0,)</f>
        <v>Yes</v>
      </c>
      <c r="J118" s="3"/>
      <c r="K118" s="3"/>
      <c r="L118" s="2" t="str">
        <f>'0_Configuration'!$C$41</f>
        <v>Mg</v>
      </c>
      <c r="M118" s="9"/>
      <c r="N118" s="9"/>
      <c r="O118" s="9"/>
      <c r="P118" s="9"/>
      <c r="Q118" s="18" t="s">
        <v>3</v>
      </c>
      <c r="R118" s="10"/>
      <c r="S118" s="3"/>
      <c r="T118" s="9"/>
      <c r="U118" s="9"/>
      <c r="V118" s="2">
        <f>_xlfn.XLOOKUP(Tab_Data_Flows[[#This Row],[Flow_Name]],Tab_Def_Flows[Flow_Name],Tab_Def_Flows[Flow_E1_Fraction'[%']],"N.A.",0,1)</f>
        <v>0</v>
      </c>
      <c r="W118" s="8">
        <f t="shared" si="2"/>
        <v>0</v>
      </c>
      <c r="X118" s="2" t="str">
        <f>Tab_Data_Flows[[#This Row],[UoM_Source]]</f>
        <v>Mg</v>
      </c>
      <c r="Y118" s="19">
        <f>_xlfn.XLOOKUP(Tab_Data_Flows[[#This Row],[Flow_Name]],Tab_Def_Flows[Flow_Name],Tab_Def_Flows[Flow_E2_Fraction'[%']],"N.A.",0,1)</f>
        <v>0</v>
      </c>
      <c r="Z118" s="2">
        <f>IF(D118="Yes",W118*Tab_Data_Flows[[#This Row],[E2_Fraction'[%']]],"N.A.")</f>
        <v>0</v>
      </c>
      <c r="AA118" s="2" t="str">
        <f>Tab_Data_Flows[[#This Row],[E1_UoM]]</f>
        <v>Mg</v>
      </c>
      <c r="AB118" s="19">
        <f>_xlfn.XLOOKUP(Tab_Data_Flows[[#This Row],[Flow_Name]],Tab_Def_Flows[Flow_Name],Tab_Def_Flows[Flow_E3_Fraction'[%']],"N.A.",0,1)</f>
        <v>0</v>
      </c>
      <c r="AC118" s="2">
        <f>IF(E118="Yes",AB118*Tab_Data_Flows[[#This Row],[E1_value]],"N.A.")</f>
        <v>0</v>
      </c>
      <c r="AD118" s="2" t="str">
        <f>Tab_Data_Flows[[#This Row],[E1_UoM]]</f>
        <v>Mg</v>
      </c>
      <c r="AE118" s="19">
        <f>_xlfn.XLOOKUP(Tab_Data_Flows[[#This Row],[Flow_Name]],Tab_Def_Flows[Flow_Name],Tab_Def_Flows[Flow_E4_Fraction'[%']],"N.A.",0,1)</f>
        <v>0</v>
      </c>
      <c r="AF118" s="2">
        <f>IF(H118="Yes",Tab_Data_Flows[[#This Row],[E4_Fraction'[%']]]*Tab_Data_Flows[[#This Row],[E1_value]],"N.A.")</f>
        <v>0</v>
      </c>
      <c r="AG118" s="2" t="str">
        <f>Tab_Data_Flows[[#This Row],[E1_UoM]]</f>
        <v>Mg</v>
      </c>
      <c r="AH118" s="2">
        <f>_xlfn.XLOOKUP(Tab_Data_Flows[[#This Row],[Flow_Name]],Tab_Def_Flows[Flow_Name],Tab_Def_Flows[Flow_E5_Fraction'[%']],"N.A.",0,1)</f>
        <v>0</v>
      </c>
      <c r="AI118" s="2">
        <f>IF(H118="Yes",Tab_Data_Flows[[#This Row],[E5_Fraction'[%']]]*Tab_Data_Flows[[#This Row],[E1_value]],"N.A.")</f>
        <v>0</v>
      </c>
      <c r="AJ118" s="2" t="str">
        <f>Tab_Data_Flows[[#This Row],[E1_UoM]]</f>
        <v>Mg</v>
      </c>
      <c r="AK118" s="19">
        <f>_xlfn.XLOOKUP(Tab_Data_Flows[[#This Row],[Flow_Name]],Tab_Def_Flows[Flow_Name],Tab_Def_Flows[Flow_E6_Fraction'[%']],"N.A.",0,1)</f>
        <v>0</v>
      </c>
      <c r="AL118" s="2">
        <f>IF(Tab_Data_Flows[[#This Row],[Use_E6]]="Yes",Tab_Data_Flows[[#This Row],[E6_Fraction'[%']]]*Tab_Data_Flows[[#This Row],[E1_value]],"N.A.")</f>
        <v>0</v>
      </c>
      <c r="AM118" s="2" t="str">
        <f>Tab_Data_Flows[[#This Row],[E1_UoM]]</f>
        <v>Mg</v>
      </c>
    </row>
    <row r="119" spans="1:39" x14ac:dyDescent="0.25">
      <c r="A119" s="4">
        <f t="shared" si="3"/>
        <v>118</v>
      </c>
      <c r="B119" s="2" t="str">
        <f>_xlfn.XLOOKUP(C119,Tab_Def_Flows[Flow_Name],Tab_Def_Flows[Flow_ID],,0,)</f>
        <v>F__</v>
      </c>
      <c r="C119" s="18" t="s">
        <v>5</v>
      </c>
      <c r="D119" s="5" t="str">
        <f>_xlfn.XLOOKUP(C119,Tab_Def_Flows[Flow_Name],Tab_Def_Flows[Use_E1],,0,)</f>
        <v>Yes</v>
      </c>
      <c r="E119" s="5" t="str">
        <f>_xlfn.XLOOKUP(C119,Tab_Def_Flows[Flow_Name],Tab_Def_Flows[Use_E2],,0,)</f>
        <v>Yes</v>
      </c>
      <c r="F119" s="5" t="str">
        <f>_xlfn.XLOOKUP(C119,Tab_Def_Flows[Flow_Name],Tab_Def_Flows[Use_E3],,0,)</f>
        <v>Yes</v>
      </c>
      <c r="G119" s="5" t="str">
        <f>_xlfn.XLOOKUP(C119,Tab_Def_Flows[Flow_Name],Tab_Def_Flows[Use_E4],,0,)</f>
        <v>Yes</v>
      </c>
      <c r="H119" s="5" t="str">
        <f>_xlfn.XLOOKUP(C119,Tab_Def_Flows[Flow_Name],Tab_Def_Flows[Use_E5],,0,)</f>
        <v>Yes</v>
      </c>
      <c r="I119" s="5" t="str">
        <f>_xlfn.XLOOKUP(C119,Tab_Def_Flows[Flow_Name],Tab_Def_Flows[Use_E6],,0,)</f>
        <v>Yes</v>
      </c>
      <c r="J119" s="3"/>
      <c r="K119" s="3"/>
      <c r="L119" s="2" t="str">
        <f>'0_Configuration'!$C$41</f>
        <v>Mg</v>
      </c>
      <c r="M119" s="9"/>
      <c r="N119" s="9"/>
      <c r="O119" s="9"/>
      <c r="P119" s="9"/>
      <c r="Q119" s="18" t="s">
        <v>3</v>
      </c>
      <c r="R119" s="10"/>
      <c r="S119" s="3"/>
      <c r="T119" s="9"/>
      <c r="U119" s="9"/>
      <c r="V119" s="2">
        <f>_xlfn.XLOOKUP(Tab_Data_Flows[[#This Row],[Flow_Name]],Tab_Def_Flows[Flow_Name],Tab_Def_Flows[Flow_E1_Fraction'[%']],"N.A.",0,1)</f>
        <v>0</v>
      </c>
      <c r="W119" s="8">
        <f t="shared" si="2"/>
        <v>0</v>
      </c>
      <c r="X119" s="2" t="str">
        <f>Tab_Data_Flows[[#This Row],[UoM_Source]]</f>
        <v>Mg</v>
      </c>
      <c r="Y119" s="19">
        <f>_xlfn.XLOOKUP(Tab_Data_Flows[[#This Row],[Flow_Name]],Tab_Def_Flows[Flow_Name],Tab_Def_Flows[Flow_E2_Fraction'[%']],"N.A.",0,1)</f>
        <v>0</v>
      </c>
      <c r="Z119" s="2">
        <f>IF(D119="Yes",W119*Tab_Data_Flows[[#This Row],[E2_Fraction'[%']]],"N.A.")</f>
        <v>0</v>
      </c>
      <c r="AA119" s="2" t="str">
        <f>Tab_Data_Flows[[#This Row],[E1_UoM]]</f>
        <v>Mg</v>
      </c>
      <c r="AB119" s="19">
        <f>_xlfn.XLOOKUP(Tab_Data_Flows[[#This Row],[Flow_Name]],Tab_Def_Flows[Flow_Name],Tab_Def_Flows[Flow_E3_Fraction'[%']],"N.A.",0,1)</f>
        <v>0</v>
      </c>
      <c r="AC119" s="2">
        <f>IF(E119="Yes",AB119*Tab_Data_Flows[[#This Row],[E1_value]],"N.A.")</f>
        <v>0</v>
      </c>
      <c r="AD119" s="2" t="str">
        <f>Tab_Data_Flows[[#This Row],[E1_UoM]]</f>
        <v>Mg</v>
      </c>
      <c r="AE119" s="19">
        <f>_xlfn.XLOOKUP(Tab_Data_Flows[[#This Row],[Flow_Name]],Tab_Def_Flows[Flow_Name],Tab_Def_Flows[Flow_E4_Fraction'[%']],"N.A.",0,1)</f>
        <v>0</v>
      </c>
      <c r="AF119" s="2">
        <f>IF(H119="Yes",Tab_Data_Flows[[#This Row],[E4_Fraction'[%']]]*Tab_Data_Flows[[#This Row],[E1_value]],"N.A.")</f>
        <v>0</v>
      </c>
      <c r="AG119" s="2" t="str">
        <f>Tab_Data_Flows[[#This Row],[E1_UoM]]</f>
        <v>Mg</v>
      </c>
      <c r="AH119" s="2">
        <f>_xlfn.XLOOKUP(Tab_Data_Flows[[#This Row],[Flow_Name]],Tab_Def_Flows[Flow_Name],Tab_Def_Flows[Flow_E5_Fraction'[%']],"N.A.",0,1)</f>
        <v>0</v>
      </c>
      <c r="AI119" s="2">
        <f>IF(H119="Yes",Tab_Data_Flows[[#This Row],[E5_Fraction'[%']]]*Tab_Data_Flows[[#This Row],[E1_value]],"N.A.")</f>
        <v>0</v>
      </c>
      <c r="AJ119" s="2" t="str">
        <f>Tab_Data_Flows[[#This Row],[E1_UoM]]</f>
        <v>Mg</v>
      </c>
      <c r="AK119" s="19">
        <f>_xlfn.XLOOKUP(Tab_Data_Flows[[#This Row],[Flow_Name]],Tab_Def_Flows[Flow_Name],Tab_Def_Flows[Flow_E6_Fraction'[%']],"N.A.",0,1)</f>
        <v>0</v>
      </c>
      <c r="AL119" s="2">
        <f>IF(Tab_Data_Flows[[#This Row],[Use_E6]]="Yes",Tab_Data_Flows[[#This Row],[E6_Fraction'[%']]]*Tab_Data_Flows[[#This Row],[E1_value]],"N.A.")</f>
        <v>0</v>
      </c>
      <c r="AM119" s="2" t="str">
        <f>Tab_Data_Flows[[#This Row],[E1_UoM]]</f>
        <v>Mg</v>
      </c>
    </row>
    <row r="120" spans="1:39" x14ac:dyDescent="0.25">
      <c r="A120" s="4">
        <f t="shared" si="3"/>
        <v>119</v>
      </c>
      <c r="B120" s="2" t="str">
        <f>_xlfn.XLOOKUP(C120,Tab_Def_Flows[Flow_Name],Tab_Def_Flows[Flow_ID],,0,)</f>
        <v>F__</v>
      </c>
      <c r="C120" s="18" t="s">
        <v>5</v>
      </c>
      <c r="D120" s="5" t="str">
        <f>_xlfn.XLOOKUP(C120,Tab_Def_Flows[Flow_Name],Tab_Def_Flows[Use_E1],,0,)</f>
        <v>Yes</v>
      </c>
      <c r="E120" s="5" t="str">
        <f>_xlfn.XLOOKUP(C120,Tab_Def_Flows[Flow_Name],Tab_Def_Flows[Use_E2],,0,)</f>
        <v>Yes</v>
      </c>
      <c r="F120" s="5" t="str">
        <f>_xlfn.XLOOKUP(C120,Tab_Def_Flows[Flow_Name],Tab_Def_Flows[Use_E3],,0,)</f>
        <v>Yes</v>
      </c>
      <c r="G120" s="5" t="str">
        <f>_xlfn.XLOOKUP(C120,Tab_Def_Flows[Flow_Name],Tab_Def_Flows[Use_E4],,0,)</f>
        <v>Yes</v>
      </c>
      <c r="H120" s="5" t="str">
        <f>_xlfn.XLOOKUP(C120,Tab_Def_Flows[Flow_Name],Tab_Def_Flows[Use_E5],,0,)</f>
        <v>Yes</v>
      </c>
      <c r="I120" s="5" t="str">
        <f>_xlfn.XLOOKUP(C120,Tab_Def_Flows[Flow_Name],Tab_Def_Flows[Use_E6],,0,)</f>
        <v>Yes</v>
      </c>
      <c r="J120" s="3"/>
      <c r="K120" s="3"/>
      <c r="L120" s="2" t="str">
        <f>'0_Configuration'!$C$41</f>
        <v>Mg</v>
      </c>
      <c r="M120" s="9"/>
      <c r="N120" s="9"/>
      <c r="O120" s="9"/>
      <c r="P120" s="9"/>
      <c r="Q120" s="18" t="s">
        <v>3</v>
      </c>
      <c r="R120" s="10"/>
      <c r="S120" s="3"/>
      <c r="T120" s="9"/>
      <c r="U120" s="9"/>
      <c r="V120" s="2">
        <f>_xlfn.XLOOKUP(Tab_Data_Flows[[#This Row],[Flow_Name]],Tab_Def_Flows[Flow_Name],Tab_Def_Flows[Flow_E1_Fraction'[%']],"N.A.",0,1)</f>
        <v>0</v>
      </c>
      <c r="W120" s="8">
        <f t="shared" si="2"/>
        <v>0</v>
      </c>
      <c r="X120" s="2" t="str">
        <f>Tab_Data_Flows[[#This Row],[UoM_Source]]</f>
        <v>Mg</v>
      </c>
      <c r="Y120" s="19">
        <f>_xlfn.XLOOKUP(Tab_Data_Flows[[#This Row],[Flow_Name]],Tab_Def_Flows[Flow_Name],Tab_Def_Flows[Flow_E2_Fraction'[%']],"N.A.",0,1)</f>
        <v>0</v>
      </c>
      <c r="Z120" s="2">
        <f>IF(D120="Yes",W120*Tab_Data_Flows[[#This Row],[E2_Fraction'[%']]],"N.A.")</f>
        <v>0</v>
      </c>
      <c r="AA120" s="2" t="str">
        <f>Tab_Data_Flows[[#This Row],[E1_UoM]]</f>
        <v>Mg</v>
      </c>
      <c r="AB120" s="19">
        <f>_xlfn.XLOOKUP(Tab_Data_Flows[[#This Row],[Flow_Name]],Tab_Def_Flows[Flow_Name],Tab_Def_Flows[Flow_E3_Fraction'[%']],"N.A.",0,1)</f>
        <v>0</v>
      </c>
      <c r="AC120" s="2">
        <f>IF(E120="Yes",AB120*Tab_Data_Flows[[#This Row],[E1_value]],"N.A.")</f>
        <v>0</v>
      </c>
      <c r="AD120" s="2" t="str">
        <f>Tab_Data_Flows[[#This Row],[E1_UoM]]</f>
        <v>Mg</v>
      </c>
      <c r="AE120" s="19">
        <f>_xlfn.XLOOKUP(Tab_Data_Flows[[#This Row],[Flow_Name]],Tab_Def_Flows[Flow_Name],Tab_Def_Flows[Flow_E4_Fraction'[%']],"N.A.",0,1)</f>
        <v>0</v>
      </c>
      <c r="AF120" s="2">
        <f>IF(H120="Yes",Tab_Data_Flows[[#This Row],[E4_Fraction'[%']]]*Tab_Data_Flows[[#This Row],[E1_value]],"N.A.")</f>
        <v>0</v>
      </c>
      <c r="AG120" s="2" t="str">
        <f>Tab_Data_Flows[[#This Row],[E1_UoM]]</f>
        <v>Mg</v>
      </c>
      <c r="AH120" s="2">
        <f>_xlfn.XLOOKUP(Tab_Data_Flows[[#This Row],[Flow_Name]],Tab_Def_Flows[Flow_Name],Tab_Def_Flows[Flow_E5_Fraction'[%']],"N.A.",0,1)</f>
        <v>0</v>
      </c>
      <c r="AI120" s="2">
        <f>IF(H120="Yes",Tab_Data_Flows[[#This Row],[E5_Fraction'[%']]]*Tab_Data_Flows[[#This Row],[E1_value]],"N.A.")</f>
        <v>0</v>
      </c>
      <c r="AJ120" s="2" t="str">
        <f>Tab_Data_Flows[[#This Row],[E1_UoM]]</f>
        <v>Mg</v>
      </c>
      <c r="AK120" s="19">
        <f>_xlfn.XLOOKUP(Tab_Data_Flows[[#This Row],[Flow_Name]],Tab_Def_Flows[Flow_Name],Tab_Def_Flows[Flow_E6_Fraction'[%']],"N.A.",0,1)</f>
        <v>0</v>
      </c>
      <c r="AL120" s="2">
        <f>IF(Tab_Data_Flows[[#This Row],[Use_E6]]="Yes",Tab_Data_Flows[[#This Row],[E6_Fraction'[%']]]*Tab_Data_Flows[[#This Row],[E1_value]],"N.A.")</f>
        <v>0</v>
      </c>
      <c r="AM120" s="2" t="str">
        <f>Tab_Data_Flows[[#This Row],[E1_UoM]]</f>
        <v>Mg</v>
      </c>
    </row>
    <row r="121" spans="1:39" x14ac:dyDescent="0.25">
      <c r="A121" s="4">
        <f t="shared" si="3"/>
        <v>120</v>
      </c>
      <c r="B121" s="2" t="str">
        <f>_xlfn.XLOOKUP(C121,Tab_Def_Flows[Flow_Name],Tab_Def_Flows[Flow_ID],,0,)</f>
        <v>F__</v>
      </c>
      <c r="C121" s="18" t="s">
        <v>5</v>
      </c>
      <c r="D121" s="5" t="str">
        <f>_xlfn.XLOOKUP(C121,Tab_Def_Flows[Flow_Name],Tab_Def_Flows[Use_E1],,0,)</f>
        <v>Yes</v>
      </c>
      <c r="E121" s="5" t="str">
        <f>_xlfn.XLOOKUP(C121,Tab_Def_Flows[Flow_Name],Tab_Def_Flows[Use_E2],,0,)</f>
        <v>Yes</v>
      </c>
      <c r="F121" s="5" t="str">
        <f>_xlfn.XLOOKUP(C121,Tab_Def_Flows[Flow_Name],Tab_Def_Flows[Use_E3],,0,)</f>
        <v>Yes</v>
      </c>
      <c r="G121" s="5" t="str">
        <f>_xlfn.XLOOKUP(C121,Tab_Def_Flows[Flow_Name],Tab_Def_Flows[Use_E4],,0,)</f>
        <v>Yes</v>
      </c>
      <c r="H121" s="5" t="str">
        <f>_xlfn.XLOOKUP(C121,Tab_Def_Flows[Flow_Name],Tab_Def_Flows[Use_E5],,0,)</f>
        <v>Yes</v>
      </c>
      <c r="I121" s="5" t="str">
        <f>_xlfn.XLOOKUP(C121,Tab_Def_Flows[Flow_Name],Tab_Def_Flows[Use_E6],,0,)</f>
        <v>Yes</v>
      </c>
      <c r="J121" s="3"/>
      <c r="K121" s="3"/>
      <c r="L121" s="2" t="str">
        <f>'0_Configuration'!$C$41</f>
        <v>Mg</v>
      </c>
      <c r="M121" s="9"/>
      <c r="N121" s="9"/>
      <c r="O121" s="9"/>
      <c r="P121" s="9"/>
      <c r="Q121" s="18" t="s">
        <v>3</v>
      </c>
      <c r="R121" s="10"/>
      <c r="S121" s="3"/>
      <c r="T121" s="9"/>
      <c r="U121" s="9"/>
      <c r="V121" s="2">
        <f>_xlfn.XLOOKUP(Tab_Data_Flows[[#This Row],[Flow_Name]],Tab_Def_Flows[Flow_Name],Tab_Def_Flows[Flow_E1_Fraction'[%']],"N.A.",0,1)</f>
        <v>0</v>
      </c>
      <c r="W121" s="8">
        <f t="shared" si="2"/>
        <v>0</v>
      </c>
      <c r="X121" s="2" t="str">
        <f>Tab_Data_Flows[[#This Row],[UoM_Source]]</f>
        <v>Mg</v>
      </c>
      <c r="Y121" s="19">
        <f>_xlfn.XLOOKUP(Tab_Data_Flows[[#This Row],[Flow_Name]],Tab_Def_Flows[Flow_Name],Tab_Def_Flows[Flow_E2_Fraction'[%']],"N.A.",0,1)</f>
        <v>0</v>
      </c>
      <c r="Z121" s="2">
        <f>IF(D121="Yes",W121*Tab_Data_Flows[[#This Row],[E2_Fraction'[%']]],"N.A.")</f>
        <v>0</v>
      </c>
      <c r="AA121" s="2" t="str">
        <f>Tab_Data_Flows[[#This Row],[E1_UoM]]</f>
        <v>Mg</v>
      </c>
      <c r="AB121" s="19">
        <f>_xlfn.XLOOKUP(Tab_Data_Flows[[#This Row],[Flow_Name]],Tab_Def_Flows[Flow_Name],Tab_Def_Flows[Flow_E3_Fraction'[%']],"N.A.",0,1)</f>
        <v>0</v>
      </c>
      <c r="AC121" s="2">
        <f>IF(E121="Yes",AB121*Tab_Data_Flows[[#This Row],[E1_value]],"N.A.")</f>
        <v>0</v>
      </c>
      <c r="AD121" s="2" t="str">
        <f>Tab_Data_Flows[[#This Row],[E1_UoM]]</f>
        <v>Mg</v>
      </c>
      <c r="AE121" s="19">
        <f>_xlfn.XLOOKUP(Tab_Data_Flows[[#This Row],[Flow_Name]],Tab_Def_Flows[Flow_Name],Tab_Def_Flows[Flow_E4_Fraction'[%']],"N.A.",0,1)</f>
        <v>0</v>
      </c>
      <c r="AF121" s="2">
        <f>IF(H121="Yes",Tab_Data_Flows[[#This Row],[E4_Fraction'[%']]]*Tab_Data_Flows[[#This Row],[E1_value]],"N.A.")</f>
        <v>0</v>
      </c>
      <c r="AG121" s="2" t="str">
        <f>Tab_Data_Flows[[#This Row],[E1_UoM]]</f>
        <v>Mg</v>
      </c>
      <c r="AH121" s="2">
        <f>_xlfn.XLOOKUP(Tab_Data_Flows[[#This Row],[Flow_Name]],Tab_Def_Flows[Flow_Name],Tab_Def_Flows[Flow_E5_Fraction'[%']],"N.A.",0,1)</f>
        <v>0</v>
      </c>
      <c r="AI121" s="2">
        <f>IF(H121="Yes",Tab_Data_Flows[[#This Row],[E5_Fraction'[%']]]*Tab_Data_Flows[[#This Row],[E1_value]],"N.A.")</f>
        <v>0</v>
      </c>
      <c r="AJ121" s="2" t="str">
        <f>Tab_Data_Flows[[#This Row],[E1_UoM]]</f>
        <v>Mg</v>
      </c>
      <c r="AK121" s="19">
        <f>_xlfn.XLOOKUP(Tab_Data_Flows[[#This Row],[Flow_Name]],Tab_Def_Flows[Flow_Name],Tab_Def_Flows[Flow_E6_Fraction'[%']],"N.A.",0,1)</f>
        <v>0</v>
      </c>
      <c r="AL121" s="2">
        <f>IF(Tab_Data_Flows[[#This Row],[Use_E6]]="Yes",Tab_Data_Flows[[#This Row],[E6_Fraction'[%']]]*Tab_Data_Flows[[#This Row],[E1_value]],"N.A.")</f>
        <v>0</v>
      </c>
      <c r="AM121" s="2" t="str">
        <f>Tab_Data_Flows[[#This Row],[E1_UoM]]</f>
        <v>Mg</v>
      </c>
    </row>
    <row r="122" spans="1:39" x14ac:dyDescent="0.25">
      <c r="A122" s="4">
        <f t="shared" si="3"/>
        <v>121</v>
      </c>
      <c r="B122" s="2" t="str">
        <f>_xlfn.XLOOKUP(C122,Tab_Def_Flows[Flow_Name],Tab_Def_Flows[Flow_ID],,0,)</f>
        <v>F__</v>
      </c>
      <c r="C122" s="18" t="s">
        <v>5</v>
      </c>
      <c r="D122" s="5" t="str">
        <f>_xlfn.XLOOKUP(C122,Tab_Def_Flows[Flow_Name],Tab_Def_Flows[Use_E1],,0,)</f>
        <v>Yes</v>
      </c>
      <c r="E122" s="5" t="str">
        <f>_xlfn.XLOOKUP(C122,Tab_Def_Flows[Flow_Name],Tab_Def_Flows[Use_E2],,0,)</f>
        <v>Yes</v>
      </c>
      <c r="F122" s="5" t="str">
        <f>_xlfn.XLOOKUP(C122,Tab_Def_Flows[Flow_Name],Tab_Def_Flows[Use_E3],,0,)</f>
        <v>Yes</v>
      </c>
      <c r="G122" s="5" t="str">
        <f>_xlfn.XLOOKUP(C122,Tab_Def_Flows[Flow_Name],Tab_Def_Flows[Use_E4],,0,)</f>
        <v>Yes</v>
      </c>
      <c r="H122" s="5" t="str">
        <f>_xlfn.XLOOKUP(C122,Tab_Def_Flows[Flow_Name],Tab_Def_Flows[Use_E5],,0,)</f>
        <v>Yes</v>
      </c>
      <c r="I122" s="5" t="str">
        <f>_xlfn.XLOOKUP(C122,Tab_Def_Flows[Flow_Name],Tab_Def_Flows[Use_E6],,0,)</f>
        <v>Yes</v>
      </c>
      <c r="J122" s="3"/>
      <c r="K122" s="3"/>
      <c r="L122" s="2" t="str">
        <f>'0_Configuration'!$C$41</f>
        <v>Mg</v>
      </c>
      <c r="M122" s="9"/>
      <c r="N122" s="9"/>
      <c r="O122" s="9"/>
      <c r="P122" s="9"/>
      <c r="Q122" s="18" t="s">
        <v>3</v>
      </c>
      <c r="R122" s="10"/>
      <c r="S122" s="3"/>
      <c r="T122" s="9"/>
      <c r="U122" s="9"/>
      <c r="V122" s="2">
        <f>_xlfn.XLOOKUP(Tab_Data_Flows[[#This Row],[Flow_Name]],Tab_Def_Flows[Flow_Name],Tab_Def_Flows[Flow_E1_Fraction'[%']],"N.A.",0,1)</f>
        <v>0</v>
      </c>
      <c r="W122" s="8">
        <f t="shared" si="2"/>
        <v>0</v>
      </c>
      <c r="X122" s="2" t="str">
        <f>Tab_Data_Flows[[#This Row],[UoM_Source]]</f>
        <v>Mg</v>
      </c>
      <c r="Y122" s="19">
        <f>_xlfn.XLOOKUP(Tab_Data_Flows[[#This Row],[Flow_Name]],Tab_Def_Flows[Flow_Name],Tab_Def_Flows[Flow_E2_Fraction'[%']],"N.A.",0,1)</f>
        <v>0</v>
      </c>
      <c r="Z122" s="2">
        <f>IF(D122="Yes",W122*Tab_Data_Flows[[#This Row],[E2_Fraction'[%']]],"N.A.")</f>
        <v>0</v>
      </c>
      <c r="AA122" s="2" t="str">
        <f>Tab_Data_Flows[[#This Row],[E1_UoM]]</f>
        <v>Mg</v>
      </c>
      <c r="AB122" s="19">
        <f>_xlfn.XLOOKUP(Tab_Data_Flows[[#This Row],[Flow_Name]],Tab_Def_Flows[Flow_Name],Tab_Def_Flows[Flow_E3_Fraction'[%']],"N.A.",0,1)</f>
        <v>0</v>
      </c>
      <c r="AC122" s="2">
        <f>IF(E122="Yes",AB122*Tab_Data_Flows[[#This Row],[E1_value]],"N.A.")</f>
        <v>0</v>
      </c>
      <c r="AD122" s="2" t="str">
        <f>Tab_Data_Flows[[#This Row],[E1_UoM]]</f>
        <v>Mg</v>
      </c>
      <c r="AE122" s="19">
        <f>_xlfn.XLOOKUP(Tab_Data_Flows[[#This Row],[Flow_Name]],Tab_Def_Flows[Flow_Name],Tab_Def_Flows[Flow_E4_Fraction'[%']],"N.A.",0,1)</f>
        <v>0</v>
      </c>
      <c r="AF122" s="2">
        <f>IF(H122="Yes",Tab_Data_Flows[[#This Row],[E4_Fraction'[%']]]*Tab_Data_Flows[[#This Row],[E1_value]],"N.A.")</f>
        <v>0</v>
      </c>
      <c r="AG122" s="2" t="str">
        <f>Tab_Data_Flows[[#This Row],[E1_UoM]]</f>
        <v>Mg</v>
      </c>
      <c r="AH122" s="2">
        <f>_xlfn.XLOOKUP(Tab_Data_Flows[[#This Row],[Flow_Name]],Tab_Def_Flows[Flow_Name],Tab_Def_Flows[Flow_E5_Fraction'[%']],"N.A.",0,1)</f>
        <v>0</v>
      </c>
      <c r="AI122" s="2">
        <f>IF(H122="Yes",Tab_Data_Flows[[#This Row],[E5_Fraction'[%']]]*Tab_Data_Flows[[#This Row],[E1_value]],"N.A.")</f>
        <v>0</v>
      </c>
      <c r="AJ122" s="2" t="str">
        <f>Tab_Data_Flows[[#This Row],[E1_UoM]]</f>
        <v>Mg</v>
      </c>
      <c r="AK122" s="19">
        <f>_xlfn.XLOOKUP(Tab_Data_Flows[[#This Row],[Flow_Name]],Tab_Def_Flows[Flow_Name],Tab_Def_Flows[Flow_E6_Fraction'[%']],"N.A.",0,1)</f>
        <v>0</v>
      </c>
      <c r="AL122" s="2">
        <f>IF(Tab_Data_Flows[[#This Row],[Use_E6]]="Yes",Tab_Data_Flows[[#This Row],[E6_Fraction'[%']]]*Tab_Data_Flows[[#This Row],[E1_value]],"N.A.")</f>
        <v>0</v>
      </c>
      <c r="AM122" s="2" t="str">
        <f>Tab_Data_Flows[[#This Row],[E1_UoM]]</f>
        <v>Mg</v>
      </c>
    </row>
    <row r="123" spans="1:39" x14ac:dyDescent="0.25">
      <c r="A123" s="4">
        <f t="shared" si="3"/>
        <v>122</v>
      </c>
      <c r="B123" s="2" t="str">
        <f>_xlfn.XLOOKUP(C123,Tab_Def_Flows[Flow_Name],Tab_Def_Flows[Flow_ID],,0,)</f>
        <v>F__</v>
      </c>
      <c r="C123" s="18" t="s">
        <v>5</v>
      </c>
      <c r="D123" s="5" t="str">
        <f>_xlfn.XLOOKUP(C123,Tab_Def_Flows[Flow_Name],Tab_Def_Flows[Use_E1],,0,)</f>
        <v>Yes</v>
      </c>
      <c r="E123" s="5" t="str">
        <f>_xlfn.XLOOKUP(C123,Tab_Def_Flows[Flow_Name],Tab_Def_Flows[Use_E2],,0,)</f>
        <v>Yes</v>
      </c>
      <c r="F123" s="5" t="str">
        <f>_xlfn.XLOOKUP(C123,Tab_Def_Flows[Flow_Name],Tab_Def_Flows[Use_E3],,0,)</f>
        <v>Yes</v>
      </c>
      <c r="G123" s="5" t="str">
        <f>_xlfn.XLOOKUP(C123,Tab_Def_Flows[Flow_Name],Tab_Def_Flows[Use_E4],,0,)</f>
        <v>Yes</v>
      </c>
      <c r="H123" s="5" t="str">
        <f>_xlfn.XLOOKUP(C123,Tab_Def_Flows[Flow_Name],Tab_Def_Flows[Use_E5],,0,)</f>
        <v>Yes</v>
      </c>
      <c r="I123" s="5" t="str">
        <f>_xlfn.XLOOKUP(C123,Tab_Def_Flows[Flow_Name],Tab_Def_Flows[Use_E6],,0,)</f>
        <v>Yes</v>
      </c>
      <c r="J123" s="3"/>
      <c r="K123" s="3"/>
      <c r="L123" s="2" t="str">
        <f>'0_Configuration'!$C$41</f>
        <v>Mg</v>
      </c>
      <c r="M123" s="9"/>
      <c r="N123" s="9"/>
      <c r="O123" s="9"/>
      <c r="P123" s="9"/>
      <c r="Q123" s="18" t="s">
        <v>3</v>
      </c>
      <c r="R123" s="10"/>
      <c r="S123" s="3"/>
      <c r="T123" s="9"/>
      <c r="U123" s="9"/>
      <c r="V123" s="2">
        <f>_xlfn.XLOOKUP(Tab_Data_Flows[[#This Row],[Flow_Name]],Tab_Def_Flows[Flow_Name],Tab_Def_Flows[Flow_E1_Fraction'[%']],"N.A.",0,1)</f>
        <v>0</v>
      </c>
      <c r="W123" s="8">
        <f t="shared" si="2"/>
        <v>0</v>
      </c>
      <c r="X123" s="2" t="str">
        <f>Tab_Data_Flows[[#This Row],[UoM_Source]]</f>
        <v>Mg</v>
      </c>
      <c r="Y123" s="19">
        <f>_xlfn.XLOOKUP(Tab_Data_Flows[[#This Row],[Flow_Name]],Tab_Def_Flows[Flow_Name],Tab_Def_Flows[Flow_E2_Fraction'[%']],"N.A.",0,1)</f>
        <v>0</v>
      </c>
      <c r="Z123" s="2">
        <f>IF(D123="Yes",W123*Tab_Data_Flows[[#This Row],[E2_Fraction'[%']]],"N.A.")</f>
        <v>0</v>
      </c>
      <c r="AA123" s="2" t="str">
        <f>Tab_Data_Flows[[#This Row],[E1_UoM]]</f>
        <v>Mg</v>
      </c>
      <c r="AB123" s="19">
        <f>_xlfn.XLOOKUP(Tab_Data_Flows[[#This Row],[Flow_Name]],Tab_Def_Flows[Flow_Name],Tab_Def_Flows[Flow_E3_Fraction'[%']],"N.A.",0,1)</f>
        <v>0</v>
      </c>
      <c r="AC123" s="2">
        <f>IF(E123="Yes",AB123*Tab_Data_Flows[[#This Row],[E1_value]],"N.A.")</f>
        <v>0</v>
      </c>
      <c r="AD123" s="2" t="str">
        <f>Tab_Data_Flows[[#This Row],[E1_UoM]]</f>
        <v>Mg</v>
      </c>
      <c r="AE123" s="19">
        <f>_xlfn.XLOOKUP(Tab_Data_Flows[[#This Row],[Flow_Name]],Tab_Def_Flows[Flow_Name],Tab_Def_Flows[Flow_E4_Fraction'[%']],"N.A.",0,1)</f>
        <v>0</v>
      </c>
      <c r="AF123" s="2">
        <f>IF(H123="Yes",Tab_Data_Flows[[#This Row],[E4_Fraction'[%']]]*Tab_Data_Flows[[#This Row],[E1_value]],"N.A.")</f>
        <v>0</v>
      </c>
      <c r="AG123" s="2" t="str">
        <f>Tab_Data_Flows[[#This Row],[E1_UoM]]</f>
        <v>Mg</v>
      </c>
      <c r="AH123" s="2">
        <f>_xlfn.XLOOKUP(Tab_Data_Flows[[#This Row],[Flow_Name]],Tab_Def_Flows[Flow_Name],Tab_Def_Flows[Flow_E5_Fraction'[%']],"N.A.",0,1)</f>
        <v>0</v>
      </c>
      <c r="AI123" s="2">
        <f>IF(H123="Yes",Tab_Data_Flows[[#This Row],[E5_Fraction'[%']]]*Tab_Data_Flows[[#This Row],[E1_value]],"N.A.")</f>
        <v>0</v>
      </c>
      <c r="AJ123" s="2" t="str">
        <f>Tab_Data_Flows[[#This Row],[E1_UoM]]</f>
        <v>Mg</v>
      </c>
      <c r="AK123" s="19">
        <f>_xlfn.XLOOKUP(Tab_Data_Flows[[#This Row],[Flow_Name]],Tab_Def_Flows[Flow_Name],Tab_Def_Flows[Flow_E6_Fraction'[%']],"N.A.",0,1)</f>
        <v>0</v>
      </c>
      <c r="AL123" s="2">
        <f>IF(Tab_Data_Flows[[#This Row],[Use_E6]]="Yes",Tab_Data_Flows[[#This Row],[E6_Fraction'[%']]]*Tab_Data_Flows[[#This Row],[E1_value]],"N.A.")</f>
        <v>0</v>
      </c>
      <c r="AM123" s="2" t="str">
        <f>Tab_Data_Flows[[#This Row],[E1_UoM]]</f>
        <v>Mg</v>
      </c>
    </row>
    <row r="124" spans="1:39" x14ac:dyDescent="0.25">
      <c r="A124" s="4">
        <f t="shared" si="3"/>
        <v>123</v>
      </c>
      <c r="B124" s="2" t="str">
        <f>_xlfn.XLOOKUP(C124,Tab_Def_Flows[Flow_Name],Tab_Def_Flows[Flow_ID],,0,)</f>
        <v>F__</v>
      </c>
      <c r="C124" s="18" t="s">
        <v>5</v>
      </c>
      <c r="D124" s="5" t="str">
        <f>_xlfn.XLOOKUP(C124,Tab_Def_Flows[Flow_Name],Tab_Def_Flows[Use_E1],,0,)</f>
        <v>Yes</v>
      </c>
      <c r="E124" s="5" t="str">
        <f>_xlfn.XLOOKUP(C124,Tab_Def_Flows[Flow_Name],Tab_Def_Flows[Use_E2],,0,)</f>
        <v>Yes</v>
      </c>
      <c r="F124" s="5" t="str">
        <f>_xlfn.XLOOKUP(C124,Tab_Def_Flows[Flow_Name],Tab_Def_Flows[Use_E3],,0,)</f>
        <v>Yes</v>
      </c>
      <c r="G124" s="5" t="str">
        <f>_xlfn.XLOOKUP(C124,Tab_Def_Flows[Flow_Name],Tab_Def_Flows[Use_E4],,0,)</f>
        <v>Yes</v>
      </c>
      <c r="H124" s="5" t="str">
        <f>_xlfn.XLOOKUP(C124,Tab_Def_Flows[Flow_Name],Tab_Def_Flows[Use_E5],,0,)</f>
        <v>Yes</v>
      </c>
      <c r="I124" s="5" t="str">
        <f>_xlfn.XLOOKUP(C124,Tab_Def_Flows[Flow_Name],Tab_Def_Flows[Use_E6],,0,)</f>
        <v>Yes</v>
      </c>
      <c r="J124" s="3"/>
      <c r="K124" s="3"/>
      <c r="L124" s="2" t="str">
        <f>'0_Configuration'!$C$41</f>
        <v>Mg</v>
      </c>
      <c r="M124" s="9"/>
      <c r="N124" s="9"/>
      <c r="O124" s="9"/>
      <c r="P124" s="9"/>
      <c r="Q124" s="18" t="s">
        <v>3</v>
      </c>
      <c r="R124" s="10"/>
      <c r="S124" s="3"/>
      <c r="T124" s="9"/>
      <c r="U124" s="9"/>
      <c r="V124" s="2">
        <f>_xlfn.XLOOKUP(Tab_Data_Flows[[#This Row],[Flow_Name]],Tab_Def_Flows[Flow_Name],Tab_Def_Flows[Flow_E1_Fraction'[%']],"N.A.",0,1)</f>
        <v>0</v>
      </c>
      <c r="W124" s="8">
        <f t="shared" si="2"/>
        <v>0</v>
      </c>
      <c r="X124" s="2" t="str">
        <f>Tab_Data_Flows[[#This Row],[UoM_Source]]</f>
        <v>Mg</v>
      </c>
      <c r="Y124" s="19">
        <f>_xlfn.XLOOKUP(Tab_Data_Flows[[#This Row],[Flow_Name]],Tab_Def_Flows[Flow_Name],Tab_Def_Flows[Flow_E2_Fraction'[%']],"N.A.",0,1)</f>
        <v>0</v>
      </c>
      <c r="Z124" s="2">
        <f>IF(D124="Yes",W124*Tab_Data_Flows[[#This Row],[E2_Fraction'[%']]],"N.A.")</f>
        <v>0</v>
      </c>
      <c r="AA124" s="2" t="str">
        <f>Tab_Data_Flows[[#This Row],[E1_UoM]]</f>
        <v>Mg</v>
      </c>
      <c r="AB124" s="19">
        <f>_xlfn.XLOOKUP(Tab_Data_Flows[[#This Row],[Flow_Name]],Tab_Def_Flows[Flow_Name],Tab_Def_Flows[Flow_E3_Fraction'[%']],"N.A.",0,1)</f>
        <v>0</v>
      </c>
      <c r="AC124" s="2">
        <f>IF(E124="Yes",AB124*Tab_Data_Flows[[#This Row],[E1_value]],"N.A.")</f>
        <v>0</v>
      </c>
      <c r="AD124" s="2" t="str">
        <f>Tab_Data_Flows[[#This Row],[E1_UoM]]</f>
        <v>Mg</v>
      </c>
      <c r="AE124" s="19">
        <f>_xlfn.XLOOKUP(Tab_Data_Flows[[#This Row],[Flow_Name]],Tab_Def_Flows[Flow_Name],Tab_Def_Flows[Flow_E4_Fraction'[%']],"N.A.",0,1)</f>
        <v>0</v>
      </c>
      <c r="AF124" s="2">
        <f>IF(H124="Yes",Tab_Data_Flows[[#This Row],[E4_Fraction'[%']]]*Tab_Data_Flows[[#This Row],[E1_value]],"N.A.")</f>
        <v>0</v>
      </c>
      <c r="AG124" s="2" t="str">
        <f>Tab_Data_Flows[[#This Row],[E1_UoM]]</f>
        <v>Mg</v>
      </c>
      <c r="AH124" s="2">
        <f>_xlfn.XLOOKUP(Tab_Data_Flows[[#This Row],[Flow_Name]],Tab_Def_Flows[Flow_Name],Tab_Def_Flows[Flow_E5_Fraction'[%']],"N.A.",0,1)</f>
        <v>0</v>
      </c>
      <c r="AI124" s="2">
        <f>IF(H124="Yes",Tab_Data_Flows[[#This Row],[E5_Fraction'[%']]]*Tab_Data_Flows[[#This Row],[E1_value]],"N.A.")</f>
        <v>0</v>
      </c>
      <c r="AJ124" s="2" t="str">
        <f>Tab_Data_Flows[[#This Row],[E1_UoM]]</f>
        <v>Mg</v>
      </c>
      <c r="AK124" s="19">
        <f>_xlfn.XLOOKUP(Tab_Data_Flows[[#This Row],[Flow_Name]],Tab_Def_Flows[Flow_Name],Tab_Def_Flows[Flow_E6_Fraction'[%']],"N.A.",0,1)</f>
        <v>0</v>
      </c>
      <c r="AL124" s="2">
        <f>IF(Tab_Data_Flows[[#This Row],[Use_E6]]="Yes",Tab_Data_Flows[[#This Row],[E6_Fraction'[%']]]*Tab_Data_Flows[[#This Row],[E1_value]],"N.A.")</f>
        <v>0</v>
      </c>
      <c r="AM124" s="2" t="str">
        <f>Tab_Data_Flows[[#This Row],[E1_UoM]]</f>
        <v>Mg</v>
      </c>
    </row>
    <row r="125" spans="1:39" x14ac:dyDescent="0.25">
      <c r="A125" s="4">
        <f t="shared" si="3"/>
        <v>124</v>
      </c>
      <c r="B125" s="2" t="str">
        <f>_xlfn.XLOOKUP(C125,Tab_Def_Flows[Flow_Name],Tab_Def_Flows[Flow_ID],,0,)</f>
        <v>F__</v>
      </c>
      <c r="C125" s="18" t="s">
        <v>5</v>
      </c>
      <c r="D125" s="5" t="str">
        <f>_xlfn.XLOOKUP(C125,Tab_Def_Flows[Flow_Name],Tab_Def_Flows[Use_E1],,0,)</f>
        <v>Yes</v>
      </c>
      <c r="E125" s="5" t="str">
        <f>_xlfn.XLOOKUP(C125,Tab_Def_Flows[Flow_Name],Tab_Def_Flows[Use_E2],,0,)</f>
        <v>Yes</v>
      </c>
      <c r="F125" s="5" t="str">
        <f>_xlfn.XLOOKUP(C125,Tab_Def_Flows[Flow_Name],Tab_Def_Flows[Use_E3],,0,)</f>
        <v>Yes</v>
      </c>
      <c r="G125" s="5" t="str">
        <f>_xlfn.XLOOKUP(C125,Tab_Def_Flows[Flow_Name],Tab_Def_Flows[Use_E4],,0,)</f>
        <v>Yes</v>
      </c>
      <c r="H125" s="5" t="str">
        <f>_xlfn.XLOOKUP(C125,Tab_Def_Flows[Flow_Name],Tab_Def_Flows[Use_E5],,0,)</f>
        <v>Yes</v>
      </c>
      <c r="I125" s="5" t="str">
        <f>_xlfn.XLOOKUP(C125,Tab_Def_Flows[Flow_Name],Tab_Def_Flows[Use_E6],,0,)</f>
        <v>Yes</v>
      </c>
      <c r="J125" s="3"/>
      <c r="K125" s="3"/>
      <c r="L125" s="2" t="str">
        <f>'0_Configuration'!$C$41</f>
        <v>Mg</v>
      </c>
      <c r="M125" s="9"/>
      <c r="N125" s="9"/>
      <c r="O125" s="9"/>
      <c r="P125" s="9"/>
      <c r="Q125" s="18" t="s">
        <v>3</v>
      </c>
      <c r="R125" s="3"/>
      <c r="S125" s="3"/>
      <c r="T125" s="9"/>
      <c r="U125" s="9"/>
      <c r="V125" s="2">
        <f>_xlfn.XLOOKUP(Tab_Data_Flows[[#This Row],[Flow_Name]],Tab_Def_Flows[Flow_Name],Tab_Def_Flows[Flow_E1_Fraction'[%']],"N.A.",0,1)</f>
        <v>0</v>
      </c>
      <c r="W125" s="8">
        <f t="shared" si="2"/>
        <v>0</v>
      </c>
      <c r="X125" s="2" t="str">
        <f>Tab_Data_Flows[[#This Row],[UoM_Source]]</f>
        <v>Mg</v>
      </c>
      <c r="Y125" s="19">
        <f>_xlfn.XLOOKUP(Tab_Data_Flows[[#This Row],[Flow_Name]],Tab_Def_Flows[Flow_Name],Tab_Def_Flows[Flow_E2_Fraction'[%']],"N.A.",0,1)</f>
        <v>0</v>
      </c>
      <c r="Z125" s="2">
        <f>IF(D125="Yes",W125*Tab_Data_Flows[[#This Row],[E2_Fraction'[%']]],"N.A.")</f>
        <v>0</v>
      </c>
      <c r="AA125" s="2" t="str">
        <f>Tab_Data_Flows[[#This Row],[E1_UoM]]</f>
        <v>Mg</v>
      </c>
      <c r="AB125" s="19">
        <f>_xlfn.XLOOKUP(Tab_Data_Flows[[#This Row],[Flow_Name]],Tab_Def_Flows[Flow_Name],Tab_Def_Flows[Flow_E3_Fraction'[%']],"N.A.",0,1)</f>
        <v>0</v>
      </c>
      <c r="AC125" s="2">
        <f>IF(E125="Yes",AB125*Tab_Data_Flows[[#This Row],[E1_value]],"N.A.")</f>
        <v>0</v>
      </c>
      <c r="AD125" s="2" t="str">
        <f>Tab_Data_Flows[[#This Row],[E1_UoM]]</f>
        <v>Mg</v>
      </c>
      <c r="AE125" s="19">
        <f>_xlfn.XLOOKUP(Tab_Data_Flows[[#This Row],[Flow_Name]],Tab_Def_Flows[Flow_Name],Tab_Def_Flows[Flow_E4_Fraction'[%']],"N.A.",0,1)</f>
        <v>0</v>
      </c>
      <c r="AF125" s="2">
        <f>IF(H125="Yes",Tab_Data_Flows[[#This Row],[E4_Fraction'[%']]]*Tab_Data_Flows[[#This Row],[E1_value]],"N.A.")</f>
        <v>0</v>
      </c>
      <c r="AG125" s="2" t="str">
        <f>Tab_Data_Flows[[#This Row],[E1_UoM]]</f>
        <v>Mg</v>
      </c>
      <c r="AH125" s="2">
        <f>_xlfn.XLOOKUP(Tab_Data_Flows[[#This Row],[Flow_Name]],Tab_Def_Flows[Flow_Name],Tab_Def_Flows[Flow_E5_Fraction'[%']],"N.A.",0,1)</f>
        <v>0</v>
      </c>
      <c r="AI125" s="2">
        <f>IF(H125="Yes",Tab_Data_Flows[[#This Row],[E5_Fraction'[%']]]*Tab_Data_Flows[[#This Row],[E1_value]],"N.A.")</f>
        <v>0</v>
      </c>
      <c r="AJ125" s="2" t="str">
        <f>Tab_Data_Flows[[#This Row],[E1_UoM]]</f>
        <v>Mg</v>
      </c>
      <c r="AK125" s="19">
        <f>_xlfn.XLOOKUP(Tab_Data_Flows[[#This Row],[Flow_Name]],Tab_Def_Flows[Flow_Name],Tab_Def_Flows[Flow_E6_Fraction'[%']],"N.A.",0,1)</f>
        <v>0</v>
      </c>
      <c r="AL125" s="2">
        <f>IF(Tab_Data_Flows[[#This Row],[Use_E6]]="Yes",Tab_Data_Flows[[#This Row],[E6_Fraction'[%']]]*Tab_Data_Flows[[#This Row],[E1_value]],"N.A.")</f>
        <v>0</v>
      </c>
      <c r="AM125" s="2" t="str">
        <f>Tab_Data_Flows[[#This Row],[E1_UoM]]</f>
        <v>Mg</v>
      </c>
    </row>
    <row r="126" spans="1:39" x14ac:dyDescent="0.25">
      <c r="A126" s="4">
        <f t="shared" si="3"/>
        <v>125</v>
      </c>
      <c r="B126" s="2" t="str">
        <f>_xlfn.XLOOKUP(C126,Tab_Def_Flows[Flow_Name],Tab_Def_Flows[Flow_ID],,0,)</f>
        <v>F__</v>
      </c>
      <c r="C126" s="18" t="s">
        <v>5</v>
      </c>
      <c r="D126" s="5" t="str">
        <f>_xlfn.XLOOKUP(C126,Tab_Def_Flows[Flow_Name],Tab_Def_Flows[Use_E1],,0,)</f>
        <v>Yes</v>
      </c>
      <c r="E126" s="5" t="str">
        <f>_xlfn.XLOOKUP(C126,Tab_Def_Flows[Flow_Name],Tab_Def_Flows[Use_E2],,0,)</f>
        <v>Yes</v>
      </c>
      <c r="F126" s="5" t="str">
        <f>_xlfn.XLOOKUP(C126,Tab_Def_Flows[Flow_Name],Tab_Def_Flows[Use_E3],,0,)</f>
        <v>Yes</v>
      </c>
      <c r="G126" s="5" t="str">
        <f>_xlfn.XLOOKUP(C126,Tab_Def_Flows[Flow_Name],Tab_Def_Flows[Use_E4],,0,)</f>
        <v>Yes</v>
      </c>
      <c r="H126" s="5" t="str">
        <f>_xlfn.XLOOKUP(C126,Tab_Def_Flows[Flow_Name],Tab_Def_Flows[Use_E5],,0,)</f>
        <v>Yes</v>
      </c>
      <c r="I126" s="5" t="str">
        <f>_xlfn.XLOOKUP(C126,Tab_Def_Flows[Flow_Name],Tab_Def_Flows[Use_E6],,0,)</f>
        <v>Yes</v>
      </c>
      <c r="J126" s="3"/>
      <c r="K126" s="3"/>
      <c r="L126" s="2" t="str">
        <f>'0_Configuration'!$C$41</f>
        <v>Mg</v>
      </c>
      <c r="M126" s="9"/>
      <c r="N126" s="9"/>
      <c r="O126" s="9"/>
      <c r="P126" s="9"/>
      <c r="Q126" s="18" t="s">
        <v>3</v>
      </c>
      <c r="R126" s="3"/>
      <c r="S126" s="3"/>
      <c r="T126" s="9"/>
      <c r="U126" s="9"/>
      <c r="V126" s="2">
        <f>_xlfn.XLOOKUP(Tab_Data_Flows[[#This Row],[Flow_Name]],Tab_Def_Flows[Flow_Name],Tab_Def_Flows[Flow_E1_Fraction'[%']],"N.A.",0,1)</f>
        <v>0</v>
      </c>
      <c r="W126" s="8">
        <f t="shared" si="2"/>
        <v>0</v>
      </c>
      <c r="X126" s="2" t="str">
        <f>Tab_Data_Flows[[#This Row],[UoM_Source]]</f>
        <v>Mg</v>
      </c>
      <c r="Y126" s="19">
        <f>_xlfn.XLOOKUP(Tab_Data_Flows[[#This Row],[Flow_Name]],Tab_Def_Flows[Flow_Name],Tab_Def_Flows[Flow_E2_Fraction'[%']],"N.A.",0,1)</f>
        <v>0</v>
      </c>
      <c r="Z126" s="2">
        <f>IF(D126="Yes",W126*Tab_Data_Flows[[#This Row],[E2_Fraction'[%']]],"N.A.")</f>
        <v>0</v>
      </c>
      <c r="AA126" s="2" t="str">
        <f>Tab_Data_Flows[[#This Row],[E1_UoM]]</f>
        <v>Mg</v>
      </c>
      <c r="AB126" s="19">
        <f>_xlfn.XLOOKUP(Tab_Data_Flows[[#This Row],[Flow_Name]],Tab_Def_Flows[Flow_Name],Tab_Def_Flows[Flow_E3_Fraction'[%']],"N.A.",0,1)</f>
        <v>0</v>
      </c>
      <c r="AC126" s="2">
        <f>IF(E126="Yes",AB126*Tab_Data_Flows[[#This Row],[E1_value]],"N.A.")</f>
        <v>0</v>
      </c>
      <c r="AD126" s="2" t="str">
        <f>Tab_Data_Flows[[#This Row],[E1_UoM]]</f>
        <v>Mg</v>
      </c>
      <c r="AE126" s="19">
        <f>_xlfn.XLOOKUP(Tab_Data_Flows[[#This Row],[Flow_Name]],Tab_Def_Flows[Flow_Name],Tab_Def_Flows[Flow_E4_Fraction'[%']],"N.A.",0,1)</f>
        <v>0</v>
      </c>
      <c r="AF126" s="2">
        <f>IF(H126="Yes",Tab_Data_Flows[[#This Row],[E4_Fraction'[%']]]*Tab_Data_Flows[[#This Row],[E1_value]],"N.A.")</f>
        <v>0</v>
      </c>
      <c r="AG126" s="2" t="str">
        <f>Tab_Data_Flows[[#This Row],[E1_UoM]]</f>
        <v>Mg</v>
      </c>
      <c r="AH126" s="2">
        <f>_xlfn.XLOOKUP(Tab_Data_Flows[[#This Row],[Flow_Name]],Tab_Def_Flows[Flow_Name],Tab_Def_Flows[Flow_E5_Fraction'[%']],"N.A.",0,1)</f>
        <v>0</v>
      </c>
      <c r="AI126" s="2">
        <f>IF(H126="Yes",Tab_Data_Flows[[#This Row],[E5_Fraction'[%']]]*Tab_Data_Flows[[#This Row],[E1_value]],"N.A.")</f>
        <v>0</v>
      </c>
      <c r="AJ126" s="2" t="str">
        <f>Tab_Data_Flows[[#This Row],[E1_UoM]]</f>
        <v>Mg</v>
      </c>
      <c r="AK126" s="19">
        <f>_xlfn.XLOOKUP(Tab_Data_Flows[[#This Row],[Flow_Name]],Tab_Def_Flows[Flow_Name],Tab_Def_Flows[Flow_E6_Fraction'[%']],"N.A.",0,1)</f>
        <v>0</v>
      </c>
      <c r="AL126" s="2">
        <f>IF(Tab_Data_Flows[[#This Row],[Use_E6]]="Yes",Tab_Data_Flows[[#This Row],[E6_Fraction'[%']]]*Tab_Data_Flows[[#This Row],[E1_value]],"N.A.")</f>
        <v>0</v>
      </c>
      <c r="AM126" s="2" t="str">
        <f>Tab_Data_Flows[[#This Row],[E1_UoM]]</f>
        <v>Mg</v>
      </c>
    </row>
    <row r="127" spans="1:39" x14ac:dyDescent="0.25">
      <c r="A127" s="4">
        <f t="shared" si="3"/>
        <v>126</v>
      </c>
      <c r="B127" s="2" t="str">
        <f>_xlfn.XLOOKUP(C127,Tab_Def_Flows[Flow_Name],Tab_Def_Flows[Flow_ID],,0,)</f>
        <v>F__</v>
      </c>
      <c r="C127" s="18" t="s">
        <v>5</v>
      </c>
      <c r="D127" s="5" t="str">
        <f>_xlfn.XLOOKUP(C127,Tab_Def_Flows[Flow_Name],Tab_Def_Flows[Use_E1],,0,)</f>
        <v>Yes</v>
      </c>
      <c r="E127" s="5" t="str">
        <f>_xlfn.XLOOKUP(C127,Tab_Def_Flows[Flow_Name],Tab_Def_Flows[Use_E2],,0,)</f>
        <v>Yes</v>
      </c>
      <c r="F127" s="5" t="str">
        <f>_xlfn.XLOOKUP(C127,Tab_Def_Flows[Flow_Name],Tab_Def_Flows[Use_E3],,0,)</f>
        <v>Yes</v>
      </c>
      <c r="G127" s="5" t="str">
        <f>_xlfn.XLOOKUP(C127,Tab_Def_Flows[Flow_Name],Tab_Def_Flows[Use_E4],,0,)</f>
        <v>Yes</v>
      </c>
      <c r="H127" s="5" t="str">
        <f>_xlfn.XLOOKUP(C127,Tab_Def_Flows[Flow_Name],Tab_Def_Flows[Use_E5],,0,)</f>
        <v>Yes</v>
      </c>
      <c r="I127" s="5" t="str">
        <f>_xlfn.XLOOKUP(C127,Tab_Def_Flows[Flow_Name],Tab_Def_Flows[Use_E6],,0,)</f>
        <v>Yes</v>
      </c>
      <c r="J127" s="3"/>
      <c r="K127" s="3"/>
      <c r="L127" s="2" t="str">
        <f>'0_Configuration'!$C$41</f>
        <v>Mg</v>
      </c>
      <c r="M127" s="9"/>
      <c r="N127" s="9"/>
      <c r="O127" s="9"/>
      <c r="P127" s="9"/>
      <c r="Q127" s="18" t="s">
        <v>3</v>
      </c>
      <c r="R127" s="3"/>
      <c r="S127" s="3"/>
      <c r="T127" s="9"/>
      <c r="U127" s="9"/>
      <c r="V127" s="2">
        <f>_xlfn.XLOOKUP(Tab_Data_Flows[[#This Row],[Flow_Name]],Tab_Def_Flows[Flow_Name],Tab_Def_Flows[Flow_E1_Fraction'[%']],"N.A.",0,1)</f>
        <v>0</v>
      </c>
      <c r="W127" s="8">
        <f t="shared" si="2"/>
        <v>0</v>
      </c>
      <c r="X127" s="2" t="str">
        <f>Tab_Data_Flows[[#This Row],[UoM_Source]]</f>
        <v>Mg</v>
      </c>
      <c r="Y127" s="19">
        <f>_xlfn.XLOOKUP(Tab_Data_Flows[[#This Row],[Flow_Name]],Tab_Def_Flows[Flow_Name],Tab_Def_Flows[Flow_E2_Fraction'[%']],"N.A.",0,1)</f>
        <v>0</v>
      </c>
      <c r="Z127" s="2">
        <f>IF(D127="Yes",W127*Tab_Data_Flows[[#This Row],[E2_Fraction'[%']]],"N.A.")</f>
        <v>0</v>
      </c>
      <c r="AA127" s="2" t="str">
        <f>Tab_Data_Flows[[#This Row],[E1_UoM]]</f>
        <v>Mg</v>
      </c>
      <c r="AB127" s="19">
        <f>_xlfn.XLOOKUP(Tab_Data_Flows[[#This Row],[Flow_Name]],Tab_Def_Flows[Flow_Name],Tab_Def_Flows[Flow_E3_Fraction'[%']],"N.A.",0,1)</f>
        <v>0</v>
      </c>
      <c r="AC127" s="2">
        <f>IF(E127="Yes",AB127*Tab_Data_Flows[[#This Row],[E1_value]],"N.A.")</f>
        <v>0</v>
      </c>
      <c r="AD127" s="2" t="str">
        <f>Tab_Data_Flows[[#This Row],[E1_UoM]]</f>
        <v>Mg</v>
      </c>
      <c r="AE127" s="19">
        <f>_xlfn.XLOOKUP(Tab_Data_Flows[[#This Row],[Flow_Name]],Tab_Def_Flows[Flow_Name],Tab_Def_Flows[Flow_E4_Fraction'[%']],"N.A.",0,1)</f>
        <v>0</v>
      </c>
      <c r="AF127" s="2">
        <f>IF(H127="Yes",Tab_Data_Flows[[#This Row],[E4_Fraction'[%']]]*Tab_Data_Flows[[#This Row],[E1_value]],"N.A.")</f>
        <v>0</v>
      </c>
      <c r="AG127" s="2" t="str">
        <f>Tab_Data_Flows[[#This Row],[E1_UoM]]</f>
        <v>Mg</v>
      </c>
      <c r="AH127" s="2">
        <f>_xlfn.XLOOKUP(Tab_Data_Flows[[#This Row],[Flow_Name]],Tab_Def_Flows[Flow_Name],Tab_Def_Flows[Flow_E5_Fraction'[%']],"N.A.",0,1)</f>
        <v>0</v>
      </c>
      <c r="AI127" s="2">
        <f>IF(H127="Yes",Tab_Data_Flows[[#This Row],[E5_Fraction'[%']]]*Tab_Data_Flows[[#This Row],[E1_value]],"N.A.")</f>
        <v>0</v>
      </c>
      <c r="AJ127" s="2" t="str">
        <f>Tab_Data_Flows[[#This Row],[E1_UoM]]</f>
        <v>Mg</v>
      </c>
      <c r="AK127" s="19">
        <f>_xlfn.XLOOKUP(Tab_Data_Flows[[#This Row],[Flow_Name]],Tab_Def_Flows[Flow_Name],Tab_Def_Flows[Flow_E6_Fraction'[%']],"N.A.",0,1)</f>
        <v>0</v>
      </c>
      <c r="AL127" s="2">
        <f>IF(Tab_Data_Flows[[#This Row],[Use_E6]]="Yes",Tab_Data_Flows[[#This Row],[E6_Fraction'[%']]]*Tab_Data_Flows[[#This Row],[E1_value]],"N.A.")</f>
        <v>0</v>
      </c>
      <c r="AM127" s="2" t="str">
        <f>Tab_Data_Flows[[#This Row],[E1_UoM]]</f>
        <v>Mg</v>
      </c>
    </row>
    <row r="128" spans="1:39" x14ac:dyDescent="0.25">
      <c r="A128" s="4">
        <f t="shared" si="3"/>
        <v>127</v>
      </c>
      <c r="B128" s="2" t="str">
        <f>_xlfn.XLOOKUP(C128,Tab_Def_Flows[Flow_Name],Tab_Def_Flows[Flow_ID],,0,)</f>
        <v>F__</v>
      </c>
      <c r="C128" s="18" t="s">
        <v>5</v>
      </c>
      <c r="D128" s="5" t="str">
        <f>_xlfn.XLOOKUP(C128,Tab_Def_Flows[Flow_Name],Tab_Def_Flows[Use_E1],,0,)</f>
        <v>Yes</v>
      </c>
      <c r="E128" s="5" t="str">
        <f>_xlfn.XLOOKUP(C128,Tab_Def_Flows[Flow_Name],Tab_Def_Flows[Use_E2],,0,)</f>
        <v>Yes</v>
      </c>
      <c r="F128" s="5" t="str">
        <f>_xlfn.XLOOKUP(C128,Tab_Def_Flows[Flow_Name],Tab_Def_Flows[Use_E3],,0,)</f>
        <v>Yes</v>
      </c>
      <c r="G128" s="5" t="str">
        <f>_xlfn.XLOOKUP(C128,Tab_Def_Flows[Flow_Name],Tab_Def_Flows[Use_E4],,0,)</f>
        <v>Yes</v>
      </c>
      <c r="H128" s="5" t="str">
        <f>_xlfn.XLOOKUP(C128,Tab_Def_Flows[Flow_Name],Tab_Def_Flows[Use_E5],,0,)</f>
        <v>Yes</v>
      </c>
      <c r="I128" s="5" t="str">
        <f>_xlfn.XLOOKUP(C128,Tab_Def_Flows[Flow_Name],Tab_Def_Flows[Use_E6],,0,)</f>
        <v>Yes</v>
      </c>
      <c r="J128" s="3"/>
      <c r="K128" s="3"/>
      <c r="L128" s="2" t="str">
        <f>'0_Configuration'!$C$41</f>
        <v>Mg</v>
      </c>
      <c r="M128" s="9"/>
      <c r="N128" s="9"/>
      <c r="O128" s="9"/>
      <c r="P128" s="9"/>
      <c r="Q128" s="18" t="s">
        <v>3</v>
      </c>
      <c r="R128" s="3"/>
      <c r="S128" s="3"/>
      <c r="T128" s="9"/>
      <c r="U128" s="9"/>
      <c r="V128" s="2">
        <f>_xlfn.XLOOKUP(Tab_Data_Flows[[#This Row],[Flow_Name]],Tab_Def_Flows[Flow_Name],Tab_Def_Flows[Flow_E1_Fraction'[%']],"N.A.",0,1)</f>
        <v>0</v>
      </c>
      <c r="W128" s="8">
        <f t="shared" si="2"/>
        <v>0</v>
      </c>
      <c r="X128" s="2" t="str">
        <f>Tab_Data_Flows[[#This Row],[UoM_Source]]</f>
        <v>Mg</v>
      </c>
      <c r="Y128" s="19">
        <f>_xlfn.XLOOKUP(Tab_Data_Flows[[#This Row],[Flow_Name]],Tab_Def_Flows[Flow_Name],Tab_Def_Flows[Flow_E2_Fraction'[%']],"N.A.",0,1)</f>
        <v>0</v>
      </c>
      <c r="Z128" s="2">
        <f>IF(D128="Yes",W128*Tab_Data_Flows[[#This Row],[E2_Fraction'[%']]],"N.A.")</f>
        <v>0</v>
      </c>
      <c r="AA128" s="2" t="str">
        <f>Tab_Data_Flows[[#This Row],[E1_UoM]]</f>
        <v>Mg</v>
      </c>
      <c r="AB128" s="19">
        <f>_xlfn.XLOOKUP(Tab_Data_Flows[[#This Row],[Flow_Name]],Tab_Def_Flows[Flow_Name],Tab_Def_Flows[Flow_E3_Fraction'[%']],"N.A.",0,1)</f>
        <v>0</v>
      </c>
      <c r="AC128" s="2">
        <f>IF(E128="Yes",AB128*Tab_Data_Flows[[#This Row],[E1_value]],"N.A.")</f>
        <v>0</v>
      </c>
      <c r="AD128" s="2" t="str">
        <f>Tab_Data_Flows[[#This Row],[E1_UoM]]</f>
        <v>Mg</v>
      </c>
      <c r="AE128" s="19">
        <f>_xlfn.XLOOKUP(Tab_Data_Flows[[#This Row],[Flow_Name]],Tab_Def_Flows[Flow_Name],Tab_Def_Flows[Flow_E4_Fraction'[%']],"N.A.",0,1)</f>
        <v>0</v>
      </c>
      <c r="AF128" s="2">
        <f>IF(H128="Yes",Tab_Data_Flows[[#This Row],[E4_Fraction'[%']]]*Tab_Data_Flows[[#This Row],[E1_value]],"N.A.")</f>
        <v>0</v>
      </c>
      <c r="AG128" s="2" t="str">
        <f>Tab_Data_Flows[[#This Row],[E1_UoM]]</f>
        <v>Mg</v>
      </c>
      <c r="AH128" s="2">
        <f>_xlfn.XLOOKUP(Tab_Data_Flows[[#This Row],[Flow_Name]],Tab_Def_Flows[Flow_Name],Tab_Def_Flows[Flow_E5_Fraction'[%']],"N.A.",0,1)</f>
        <v>0</v>
      </c>
      <c r="AI128" s="2">
        <f>IF(H128="Yes",Tab_Data_Flows[[#This Row],[E5_Fraction'[%']]]*Tab_Data_Flows[[#This Row],[E1_value]],"N.A.")</f>
        <v>0</v>
      </c>
      <c r="AJ128" s="2" t="str">
        <f>Tab_Data_Flows[[#This Row],[E1_UoM]]</f>
        <v>Mg</v>
      </c>
      <c r="AK128" s="19">
        <f>_xlfn.XLOOKUP(Tab_Data_Flows[[#This Row],[Flow_Name]],Tab_Def_Flows[Flow_Name],Tab_Def_Flows[Flow_E6_Fraction'[%']],"N.A.",0,1)</f>
        <v>0</v>
      </c>
      <c r="AL128" s="2">
        <f>IF(Tab_Data_Flows[[#This Row],[Use_E6]]="Yes",Tab_Data_Flows[[#This Row],[E6_Fraction'[%']]]*Tab_Data_Flows[[#This Row],[E1_value]],"N.A.")</f>
        <v>0</v>
      </c>
      <c r="AM128" s="2" t="str">
        <f>Tab_Data_Flows[[#This Row],[E1_UoM]]</f>
        <v>Mg</v>
      </c>
    </row>
    <row r="129" spans="1:39" x14ac:dyDescent="0.25">
      <c r="A129" s="4">
        <f t="shared" si="3"/>
        <v>128</v>
      </c>
      <c r="B129" s="2" t="str">
        <f>_xlfn.XLOOKUP(C129,Tab_Def_Flows[Flow_Name],Tab_Def_Flows[Flow_ID],,0,)</f>
        <v>F__</v>
      </c>
      <c r="C129" s="18" t="s">
        <v>5</v>
      </c>
      <c r="D129" s="5" t="str">
        <f>_xlfn.XLOOKUP(C129,Tab_Def_Flows[Flow_Name],Tab_Def_Flows[Use_E1],,0,)</f>
        <v>Yes</v>
      </c>
      <c r="E129" s="5" t="str">
        <f>_xlfn.XLOOKUP(C129,Tab_Def_Flows[Flow_Name],Tab_Def_Flows[Use_E2],,0,)</f>
        <v>Yes</v>
      </c>
      <c r="F129" s="5" t="str">
        <f>_xlfn.XLOOKUP(C129,Tab_Def_Flows[Flow_Name],Tab_Def_Flows[Use_E3],,0,)</f>
        <v>Yes</v>
      </c>
      <c r="G129" s="5" t="str">
        <f>_xlfn.XLOOKUP(C129,Tab_Def_Flows[Flow_Name],Tab_Def_Flows[Use_E4],,0,)</f>
        <v>Yes</v>
      </c>
      <c r="H129" s="5" t="str">
        <f>_xlfn.XLOOKUP(C129,Tab_Def_Flows[Flow_Name],Tab_Def_Flows[Use_E5],,0,)</f>
        <v>Yes</v>
      </c>
      <c r="I129" s="5" t="str">
        <f>_xlfn.XLOOKUP(C129,Tab_Def_Flows[Flow_Name],Tab_Def_Flows[Use_E6],,0,)</f>
        <v>Yes</v>
      </c>
      <c r="J129" s="3"/>
      <c r="K129" s="3"/>
      <c r="L129" s="2" t="str">
        <f>'0_Configuration'!$C$41</f>
        <v>Mg</v>
      </c>
      <c r="M129" s="9"/>
      <c r="N129" s="9"/>
      <c r="O129" s="9"/>
      <c r="P129" s="9"/>
      <c r="Q129" s="18" t="s">
        <v>3</v>
      </c>
      <c r="R129" s="3"/>
      <c r="S129" s="3"/>
      <c r="T129" s="9"/>
      <c r="U129" s="9"/>
      <c r="V129" s="2">
        <f>_xlfn.XLOOKUP(Tab_Data_Flows[[#This Row],[Flow_Name]],Tab_Def_Flows[Flow_Name],Tab_Def_Flows[Flow_E1_Fraction'[%']],"N.A.",0,1)</f>
        <v>0</v>
      </c>
      <c r="W129" s="8">
        <f t="shared" si="2"/>
        <v>0</v>
      </c>
      <c r="X129" s="2" t="str">
        <f>Tab_Data_Flows[[#This Row],[UoM_Source]]</f>
        <v>Mg</v>
      </c>
      <c r="Y129" s="19">
        <f>_xlfn.XLOOKUP(Tab_Data_Flows[[#This Row],[Flow_Name]],Tab_Def_Flows[Flow_Name],Tab_Def_Flows[Flow_E2_Fraction'[%']],"N.A.",0,1)</f>
        <v>0</v>
      </c>
      <c r="Z129" s="2">
        <f>IF(D129="Yes",W129*Tab_Data_Flows[[#This Row],[E2_Fraction'[%']]],"N.A.")</f>
        <v>0</v>
      </c>
      <c r="AA129" s="2" t="str">
        <f>Tab_Data_Flows[[#This Row],[E1_UoM]]</f>
        <v>Mg</v>
      </c>
      <c r="AB129" s="19">
        <f>_xlfn.XLOOKUP(Tab_Data_Flows[[#This Row],[Flow_Name]],Tab_Def_Flows[Flow_Name],Tab_Def_Flows[Flow_E3_Fraction'[%']],"N.A.",0,1)</f>
        <v>0</v>
      </c>
      <c r="AC129" s="2">
        <f>IF(E129="Yes",AB129*Tab_Data_Flows[[#This Row],[E1_value]],"N.A.")</f>
        <v>0</v>
      </c>
      <c r="AD129" s="2" t="str">
        <f>Tab_Data_Flows[[#This Row],[E1_UoM]]</f>
        <v>Mg</v>
      </c>
      <c r="AE129" s="19">
        <f>_xlfn.XLOOKUP(Tab_Data_Flows[[#This Row],[Flow_Name]],Tab_Def_Flows[Flow_Name],Tab_Def_Flows[Flow_E4_Fraction'[%']],"N.A.",0,1)</f>
        <v>0</v>
      </c>
      <c r="AF129" s="2">
        <f>IF(H129="Yes",Tab_Data_Flows[[#This Row],[E4_Fraction'[%']]]*Tab_Data_Flows[[#This Row],[E1_value]],"N.A.")</f>
        <v>0</v>
      </c>
      <c r="AG129" s="2" t="str">
        <f>Tab_Data_Flows[[#This Row],[E1_UoM]]</f>
        <v>Mg</v>
      </c>
      <c r="AH129" s="2">
        <f>_xlfn.XLOOKUP(Tab_Data_Flows[[#This Row],[Flow_Name]],Tab_Def_Flows[Flow_Name],Tab_Def_Flows[Flow_E5_Fraction'[%']],"N.A.",0,1)</f>
        <v>0</v>
      </c>
      <c r="AI129" s="2">
        <f>IF(H129="Yes",Tab_Data_Flows[[#This Row],[E5_Fraction'[%']]]*Tab_Data_Flows[[#This Row],[E1_value]],"N.A.")</f>
        <v>0</v>
      </c>
      <c r="AJ129" s="2" t="str">
        <f>Tab_Data_Flows[[#This Row],[E1_UoM]]</f>
        <v>Mg</v>
      </c>
      <c r="AK129" s="19">
        <f>_xlfn.XLOOKUP(Tab_Data_Flows[[#This Row],[Flow_Name]],Tab_Def_Flows[Flow_Name],Tab_Def_Flows[Flow_E6_Fraction'[%']],"N.A.",0,1)</f>
        <v>0</v>
      </c>
      <c r="AL129" s="2">
        <f>IF(Tab_Data_Flows[[#This Row],[Use_E6]]="Yes",Tab_Data_Flows[[#This Row],[E6_Fraction'[%']]]*Tab_Data_Flows[[#This Row],[E1_value]],"N.A.")</f>
        <v>0</v>
      </c>
      <c r="AM129" s="2" t="str">
        <f>Tab_Data_Flows[[#This Row],[E1_UoM]]</f>
        <v>Mg</v>
      </c>
    </row>
    <row r="130" spans="1:39" x14ac:dyDescent="0.25">
      <c r="A130" s="4">
        <f t="shared" si="3"/>
        <v>129</v>
      </c>
      <c r="B130" s="2" t="str">
        <f>_xlfn.XLOOKUP(C130,Tab_Def_Flows[Flow_Name],Tab_Def_Flows[Flow_ID],,0,)</f>
        <v>F__</v>
      </c>
      <c r="C130" s="18" t="s">
        <v>5</v>
      </c>
      <c r="D130" s="5" t="str">
        <f>_xlfn.XLOOKUP(C130,Tab_Def_Flows[Flow_Name],Tab_Def_Flows[Use_E1],,0,)</f>
        <v>Yes</v>
      </c>
      <c r="E130" s="5" t="str">
        <f>_xlfn.XLOOKUP(C130,Tab_Def_Flows[Flow_Name],Tab_Def_Flows[Use_E2],,0,)</f>
        <v>Yes</v>
      </c>
      <c r="F130" s="5" t="str">
        <f>_xlfn.XLOOKUP(C130,Tab_Def_Flows[Flow_Name],Tab_Def_Flows[Use_E3],,0,)</f>
        <v>Yes</v>
      </c>
      <c r="G130" s="5" t="str">
        <f>_xlfn.XLOOKUP(C130,Tab_Def_Flows[Flow_Name],Tab_Def_Flows[Use_E4],,0,)</f>
        <v>Yes</v>
      </c>
      <c r="H130" s="5" t="str">
        <f>_xlfn.XLOOKUP(C130,Tab_Def_Flows[Flow_Name],Tab_Def_Flows[Use_E5],,0,)</f>
        <v>Yes</v>
      </c>
      <c r="I130" s="5" t="str">
        <f>_xlfn.XLOOKUP(C130,Tab_Def_Flows[Flow_Name],Tab_Def_Flows[Use_E6],,0,)</f>
        <v>Yes</v>
      </c>
      <c r="J130" s="3"/>
      <c r="K130" s="3"/>
      <c r="L130" s="2" t="str">
        <f>'0_Configuration'!$C$41</f>
        <v>Mg</v>
      </c>
      <c r="M130" s="9"/>
      <c r="N130" s="9"/>
      <c r="O130" s="9"/>
      <c r="P130" s="9"/>
      <c r="Q130" s="18" t="s">
        <v>3</v>
      </c>
      <c r="R130" s="3"/>
      <c r="S130" s="3"/>
      <c r="T130" s="9"/>
      <c r="U130" s="9"/>
      <c r="V130" s="2">
        <f>_xlfn.XLOOKUP(Tab_Data_Flows[[#This Row],[Flow_Name]],Tab_Def_Flows[Flow_Name],Tab_Def_Flows[Flow_E1_Fraction'[%']],"N.A.",0,1)</f>
        <v>0</v>
      </c>
      <c r="W130" s="8">
        <f t="shared" ref="W130:W193" si="4">IF(Q130="no",K130,K130*R130)</f>
        <v>0</v>
      </c>
      <c r="X130" s="2" t="str">
        <f>Tab_Data_Flows[[#This Row],[UoM_Source]]</f>
        <v>Mg</v>
      </c>
      <c r="Y130" s="19">
        <f>_xlfn.XLOOKUP(Tab_Data_Flows[[#This Row],[Flow_Name]],Tab_Def_Flows[Flow_Name],Tab_Def_Flows[Flow_E2_Fraction'[%']],"N.A.",0,1)</f>
        <v>0</v>
      </c>
      <c r="Z130" s="2">
        <f>IF(D130="Yes",W130*Tab_Data_Flows[[#This Row],[E2_Fraction'[%']]],"N.A.")</f>
        <v>0</v>
      </c>
      <c r="AA130" s="2" t="str">
        <f>Tab_Data_Flows[[#This Row],[E1_UoM]]</f>
        <v>Mg</v>
      </c>
      <c r="AB130" s="19">
        <f>_xlfn.XLOOKUP(Tab_Data_Flows[[#This Row],[Flow_Name]],Tab_Def_Flows[Flow_Name],Tab_Def_Flows[Flow_E3_Fraction'[%']],"N.A.",0,1)</f>
        <v>0</v>
      </c>
      <c r="AC130" s="2">
        <f>IF(E130="Yes",AB130*Tab_Data_Flows[[#This Row],[E1_value]],"N.A.")</f>
        <v>0</v>
      </c>
      <c r="AD130" s="2" t="str">
        <f>Tab_Data_Flows[[#This Row],[E1_UoM]]</f>
        <v>Mg</v>
      </c>
      <c r="AE130" s="19">
        <f>_xlfn.XLOOKUP(Tab_Data_Flows[[#This Row],[Flow_Name]],Tab_Def_Flows[Flow_Name],Tab_Def_Flows[Flow_E4_Fraction'[%']],"N.A.",0,1)</f>
        <v>0</v>
      </c>
      <c r="AF130" s="2">
        <f>IF(H130="Yes",Tab_Data_Flows[[#This Row],[E4_Fraction'[%']]]*Tab_Data_Flows[[#This Row],[E1_value]],"N.A.")</f>
        <v>0</v>
      </c>
      <c r="AG130" s="2" t="str">
        <f>Tab_Data_Flows[[#This Row],[E1_UoM]]</f>
        <v>Mg</v>
      </c>
      <c r="AH130" s="2">
        <f>_xlfn.XLOOKUP(Tab_Data_Flows[[#This Row],[Flow_Name]],Tab_Def_Flows[Flow_Name],Tab_Def_Flows[Flow_E5_Fraction'[%']],"N.A.",0,1)</f>
        <v>0</v>
      </c>
      <c r="AI130" s="2">
        <f>IF(H130="Yes",Tab_Data_Flows[[#This Row],[E5_Fraction'[%']]]*Tab_Data_Flows[[#This Row],[E1_value]],"N.A.")</f>
        <v>0</v>
      </c>
      <c r="AJ130" s="2" t="str">
        <f>Tab_Data_Flows[[#This Row],[E1_UoM]]</f>
        <v>Mg</v>
      </c>
      <c r="AK130" s="19">
        <f>_xlfn.XLOOKUP(Tab_Data_Flows[[#This Row],[Flow_Name]],Tab_Def_Flows[Flow_Name],Tab_Def_Flows[Flow_E6_Fraction'[%']],"N.A.",0,1)</f>
        <v>0</v>
      </c>
      <c r="AL130" s="2">
        <f>IF(Tab_Data_Flows[[#This Row],[Use_E6]]="Yes",Tab_Data_Flows[[#This Row],[E6_Fraction'[%']]]*Tab_Data_Flows[[#This Row],[E1_value]],"N.A.")</f>
        <v>0</v>
      </c>
      <c r="AM130" s="2" t="str">
        <f>Tab_Data_Flows[[#This Row],[E1_UoM]]</f>
        <v>Mg</v>
      </c>
    </row>
    <row r="131" spans="1:39" x14ac:dyDescent="0.25">
      <c r="A131" s="4">
        <f t="shared" ref="A131:A194" si="5">ROW()-1</f>
        <v>130</v>
      </c>
      <c r="B131" s="2" t="str">
        <f>_xlfn.XLOOKUP(C131,Tab_Def_Flows[Flow_Name],Tab_Def_Flows[Flow_ID],,0,)</f>
        <v>F__</v>
      </c>
      <c r="C131" s="18" t="s">
        <v>5</v>
      </c>
      <c r="D131" s="5" t="str">
        <f>_xlfn.XLOOKUP(C131,Tab_Def_Flows[Flow_Name],Tab_Def_Flows[Use_E1],,0,)</f>
        <v>Yes</v>
      </c>
      <c r="E131" s="5" t="str">
        <f>_xlfn.XLOOKUP(C131,Tab_Def_Flows[Flow_Name],Tab_Def_Flows[Use_E2],,0,)</f>
        <v>Yes</v>
      </c>
      <c r="F131" s="5" t="str">
        <f>_xlfn.XLOOKUP(C131,Tab_Def_Flows[Flow_Name],Tab_Def_Flows[Use_E3],,0,)</f>
        <v>Yes</v>
      </c>
      <c r="G131" s="5" t="str">
        <f>_xlfn.XLOOKUP(C131,Tab_Def_Flows[Flow_Name],Tab_Def_Flows[Use_E4],,0,)</f>
        <v>Yes</v>
      </c>
      <c r="H131" s="5" t="str">
        <f>_xlfn.XLOOKUP(C131,Tab_Def_Flows[Flow_Name],Tab_Def_Flows[Use_E5],,0,)</f>
        <v>Yes</v>
      </c>
      <c r="I131" s="5" t="str">
        <f>_xlfn.XLOOKUP(C131,Tab_Def_Flows[Flow_Name],Tab_Def_Flows[Use_E6],,0,)</f>
        <v>Yes</v>
      </c>
      <c r="J131" s="3"/>
      <c r="K131" s="3"/>
      <c r="L131" s="2" t="str">
        <f>'0_Configuration'!$C$41</f>
        <v>Mg</v>
      </c>
      <c r="M131" s="9"/>
      <c r="N131" s="9"/>
      <c r="O131" s="9"/>
      <c r="P131" s="9"/>
      <c r="Q131" s="18" t="s">
        <v>3</v>
      </c>
      <c r="R131" s="3"/>
      <c r="S131" s="3"/>
      <c r="T131" s="9"/>
      <c r="U131" s="9"/>
      <c r="V131" s="2">
        <f>_xlfn.XLOOKUP(Tab_Data_Flows[[#This Row],[Flow_Name]],Tab_Def_Flows[Flow_Name],Tab_Def_Flows[Flow_E1_Fraction'[%']],"N.A.",0,1)</f>
        <v>0</v>
      </c>
      <c r="W131" s="8">
        <f t="shared" si="4"/>
        <v>0</v>
      </c>
      <c r="X131" s="2" t="str">
        <f>Tab_Data_Flows[[#This Row],[UoM_Source]]</f>
        <v>Mg</v>
      </c>
      <c r="Y131" s="19">
        <f>_xlfn.XLOOKUP(Tab_Data_Flows[[#This Row],[Flow_Name]],Tab_Def_Flows[Flow_Name],Tab_Def_Flows[Flow_E2_Fraction'[%']],"N.A.",0,1)</f>
        <v>0</v>
      </c>
      <c r="Z131" s="2">
        <f>IF(D131="Yes",W131*Tab_Data_Flows[[#This Row],[E2_Fraction'[%']]],"N.A.")</f>
        <v>0</v>
      </c>
      <c r="AA131" s="2" t="str">
        <f>Tab_Data_Flows[[#This Row],[E1_UoM]]</f>
        <v>Mg</v>
      </c>
      <c r="AB131" s="19">
        <f>_xlfn.XLOOKUP(Tab_Data_Flows[[#This Row],[Flow_Name]],Tab_Def_Flows[Flow_Name],Tab_Def_Flows[Flow_E3_Fraction'[%']],"N.A.",0,1)</f>
        <v>0</v>
      </c>
      <c r="AC131" s="2">
        <f>IF(E131="Yes",AB131*Tab_Data_Flows[[#This Row],[E1_value]],"N.A.")</f>
        <v>0</v>
      </c>
      <c r="AD131" s="2" t="str">
        <f>Tab_Data_Flows[[#This Row],[E1_UoM]]</f>
        <v>Mg</v>
      </c>
      <c r="AE131" s="19">
        <f>_xlfn.XLOOKUP(Tab_Data_Flows[[#This Row],[Flow_Name]],Tab_Def_Flows[Flow_Name],Tab_Def_Flows[Flow_E4_Fraction'[%']],"N.A.",0,1)</f>
        <v>0</v>
      </c>
      <c r="AF131" s="2">
        <f>IF(H131="Yes",Tab_Data_Flows[[#This Row],[E4_Fraction'[%']]]*Tab_Data_Flows[[#This Row],[E1_value]],"N.A.")</f>
        <v>0</v>
      </c>
      <c r="AG131" s="2" t="str">
        <f>Tab_Data_Flows[[#This Row],[E1_UoM]]</f>
        <v>Mg</v>
      </c>
      <c r="AH131" s="2">
        <f>_xlfn.XLOOKUP(Tab_Data_Flows[[#This Row],[Flow_Name]],Tab_Def_Flows[Flow_Name],Tab_Def_Flows[Flow_E5_Fraction'[%']],"N.A.",0,1)</f>
        <v>0</v>
      </c>
      <c r="AI131" s="2">
        <f>IF(H131="Yes",Tab_Data_Flows[[#This Row],[E5_Fraction'[%']]]*Tab_Data_Flows[[#This Row],[E1_value]],"N.A.")</f>
        <v>0</v>
      </c>
      <c r="AJ131" s="2" t="str">
        <f>Tab_Data_Flows[[#This Row],[E1_UoM]]</f>
        <v>Mg</v>
      </c>
      <c r="AK131" s="19">
        <f>_xlfn.XLOOKUP(Tab_Data_Flows[[#This Row],[Flow_Name]],Tab_Def_Flows[Flow_Name],Tab_Def_Flows[Flow_E6_Fraction'[%']],"N.A.",0,1)</f>
        <v>0</v>
      </c>
      <c r="AL131" s="2">
        <f>IF(Tab_Data_Flows[[#This Row],[Use_E6]]="Yes",Tab_Data_Flows[[#This Row],[E6_Fraction'[%']]]*Tab_Data_Flows[[#This Row],[E1_value]],"N.A.")</f>
        <v>0</v>
      </c>
      <c r="AM131" s="2" t="str">
        <f>Tab_Data_Flows[[#This Row],[E1_UoM]]</f>
        <v>Mg</v>
      </c>
    </row>
    <row r="132" spans="1:39" x14ac:dyDescent="0.25">
      <c r="A132" s="4">
        <f t="shared" si="5"/>
        <v>131</v>
      </c>
      <c r="B132" s="2" t="str">
        <f>_xlfn.XLOOKUP(C132,Tab_Def_Flows[Flow_Name],Tab_Def_Flows[Flow_ID],,0,)</f>
        <v>F__</v>
      </c>
      <c r="C132" s="18" t="s">
        <v>5</v>
      </c>
      <c r="D132" s="5" t="str">
        <f>_xlfn.XLOOKUP(C132,Tab_Def_Flows[Flow_Name],Tab_Def_Flows[Use_E1],,0,)</f>
        <v>Yes</v>
      </c>
      <c r="E132" s="5" t="str">
        <f>_xlfn.XLOOKUP(C132,Tab_Def_Flows[Flow_Name],Tab_Def_Flows[Use_E2],,0,)</f>
        <v>Yes</v>
      </c>
      <c r="F132" s="5" t="str">
        <f>_xlfn.XLOOKUP(C132,Tab_Def_Flows[Flow_Name],Tab_Def_Flows[Use_E3],,0,)</f>
        <v>Yes</v>
      </c>
      <c r="G132" s="5" t="str">
        <f>_xlfn.XLOOKUP(C132,Tab_Def_Flows[Flow_Name],Tab_Def_Flows[Use_E4],,0,)</f>
        <v>Yes</v>
      </c>
      <c r="H132" s="5" t="str">
        <f>_xlfn.XLOOKUP(C132,Tab_Def_Flows[Flow_Name],Tab_Def_Flows[Use_E5],,0,)</f>
        <v>Yes</v>
      </c>
      <c r="I132" s="5" t="str">
        <f>_xlfn.XLOOKUP(C132,Tab_Def_Flows[Flow_Name],Tab_Def_Flows[Use_E6],,0,)</f>
        <v>Yes</v>
      </c>
      <c r="J132" s="3"/>
      <c r="K132" s="3"/>
      <c r="L132" s="2" t="str">
        <f>'0_Configuration'!$C$41</f>
        <v>Mg</v>
      </c>
      <c r="M132" s="9"/>
      <c r="N132" s="9"/>
      <c r="O132" s="9"/>
      <c r="P132" s="9"/>
      <c r="Q132" s="18" t="s">
        <v>3</v>
      </c>
      <c r="R132" s="3"/>
      <c r="S132" s="3"/>
      <c r="T132" s="9"/>
      <c r="U132" s="9"/>
      <c r="V132" s="2">
        <f>_xlfn.XLOOKUP(Tab_Data_Flows[[#This Row],[Flow_Name]],Tab_Def_Flows[Flow_Name],Tab_Def_Flows[Flow_E1_Fraction'[%']],"N.A.",0,1)</f>
        <v>0</v>
      </c>
      <c r="W132" s="8">
        <f t="shared" si="4"/>
        <v>0</v>
      </c>
      <c r="X132" s="2" t="str">
        <f>Tab_Data_Flows[[#This Row],[UoM_Source]]</f>
        <v>Mg</v>
      </c>
      <c r="Y132" s="19">
        <f>_xlfn.XLOOKUP(Tab_Data_Flows[[#This Row],[Flow_Name]],Tab_Def_Flows[Flow_Name],Tab_Def_Flows[Flow_E2_Fraction'[%']],"N.A.",0,1)</f>
        <v>0</v>
      </c>
      <c r="Z132" s="2">
        <f>IF(D132="Yes",W132*Tab_Data_Flows[[#This Row],[E2_Fraction'[%']]],"N.A.")</f>
        <v>0</v>
      </c>
      <c r="AA132" s="2" t="str">
        <f>Tab_Data_Flows[[#This Row],[E1_UoM]]</f>
        <v>Mg</v>
      </c>
      <c r="AB132" s="19">
        <f>_xlfn.XLOOKUP(Tab_Data_Flows[[#This Row],[Flow_Name]],Tab_Def_Flows[Flow_Name],Tab_Def_Flows[Flow_E3_Fraction'[%']],"N.A.",0,1)</f>
        <v>0</v>
      </c>
      <c r="AC132" s="2">
        <f>IF(E132="Yes",AB132*Tab_Data_Flows[[#This Row],[E1_value]],"N.A.")</f>
        <v>0</v>
      </c>
      <c r="AD132" s="2" t="str">
        <f>Tab_Data_Flows[[#This Row],[E1_UoM]]</f>
        <v>Mg</v>
      </c>
      <c r="AE132" s="19">
        <f>_xlfn.XLOOKUP(Tab_Data_Flows[[#This Row],[Flow_Name]],Tab_Def_Flows[Flow_Name],Tab_Def_Flows[Flow_E4_Fraction'[%']],"N.A.",0,1)</f>
        <v>0</v>
      </c>
      <c r="AF132" s="2">
        <f>IF(H132="Yes",Tab_Data_Flows[[#This Row],[E4_Fraction'[%']]]*Tab_Data_Flows[[#This Row],[E1_value]],"N.A.")</f>
        <v>0</v>
      </c>
      <c r="AG132" s="2" t="str">
        <f>Tab_Data_Flows[[#This Row],[E1_UoM]]</f>
        <v>Mg</v>
      </c>
      <c r="AH132" s="2">
        <f>_xlfn.XLOOKUP(Tab_Data_Flows[[#This Row],[Flow_Name]],Tab_Def_Flows[Flow_Name],Tab_Def_Flows[Flow_E5_Fraction'[%']],"N.A.",0,1)</f>
        <v>0</v>
      </c>
      <c r="AI132" s="2">
        <f>IF(H132="Yes",Tab_Data_Flows[[#This Row],[E5_Fraction'[%']]]*Tab_Data_Flows[[#This Row],[E1_value]],"N.A.")</f>
        <v>0</v>
      </c>
      <c r="AJ132" s="2" t="str">
        <f>Tab_Data_Flows[[#This Row],[E1_UoM]]</f>
        <v>Mg</v>
      </c>
      <c r="AK132" s="19">
        <f>_xlfn.XLOOKUP(Tab_Data_Flows[[#This Row],[Flow_Name]],Tab_Def_Flows[Flow_Name],Tab_Def_Flows[Flow_E6_Fraction'[%']],"N.A.",0,1)</f>
        <v>0</v>
      </c>
      <c r="AL132" s="2">
        <f>IF(Tab_Data_Flows[[#This Row],[Use_E6]]="Yes",Tab_Data_Flows[[#This Row],[E6_Fraction'[%']]]*Tab_Data_Flows[[#This Row],[E1_value]],"N.A.")</f>
        <v>0</v>
      </c>
      <c r="AM132" s="2" t="str">
        <f>Tab_Data_Flows[[#This Row],[E1_UoM]]</f>
        <v>Mg</v>
      </c>
    </row>
    <row r="133" spans="1:39" x14ac:dyDescent="0.25">
      <c r="A133" s="4">
        <f t="shared" si="5"/>
        <v>132</v>
      </c>
      <c r="B133" s="2" t="str">
        <f>_xlfn.XLOOKUP(C133,Tab_Def_Flows[Flow_Name],Tab_Def_Flows[Flow_ID],,0,)</f>
        <v>F__</v>
      </c>
      <c r="C133" s="18" t="s">
        <v>5</v>
      </c>
      <c r="D133" s="5" t="str">
        <f>_xlfn.XLOOKUP(C133,Tab_Def_Flows[Flow_Name],Tab_Def_Flows[Use_E1],,0,)</f>
        <v>Yes</v>
      </c>
      <c r="E133" s="5" t="str">
        <f>_xlfn.XLOOKUP(C133,Tab_Def_Flows[Flow_Name],Tab_Def_Flows[Use_E2],,0,)</f>
        <v>Yes</v>
      </c>
      <c r="F133" s="5" t="str">
        <f>_xlfn.XLOOKUP(C133,Tab_Def_Flows[Flow_Name],Tab_Def_Flows[Use_E3],,0,)</f>
        <v>Yes</v>
      </c>
      <c r="G133" s="5" t="str">
        <f>_xlfn.XLOOKUP(C133,Tab_Def_Flows[Flow_Name],Tab_Def_Flows[Use_E4],,0,)</f>
        <v>Yes</v>
      </c>
      <c r="H133" s="5" t="str">
        <f>_xlfn.XLOOKUP(C133,Tab_Def_Flows[Flow_Name],Tab_Def_Flows[Use_E5],,0,)</f>
        <v>Yes</v>
      </c>
      <c r="I133" s="5" t="str">
        <f>_xlfn.XLOOKUP(C133,Tab_Def_Flows[Flow_Name],Tab_Def_Flows[Use_E6],,0,)</f>
        <v>Yes</v>
      </c>
      <c r="J133" s="3"/>
      <c r="K133" s="3"/>
      <c r="L133" s="2" t="str">
        <f>'0_Configuration'!$C$41</f>
        <v>Mg</v>
      </c>
      <c r="M133" s="9"/>
      <c r="N133" s="9"/>
      <c r="O133" s="9"/>
      <c r="P133" s="9"/>
      <c r="Q133" s="18" t="s">
        <v>3</v>
      </c>
      <c r="R133" s="3"/>
      <c r="S133" s="3"/>
      <c r="T133" s="9"/>
      <c r="U133" s="9"/>
      <c r="V133" s="2">
        <f>_xlfn.XLOOKUP(Tab_Data_Flows[[#This Row],[Flow_Name]],Tab_Def_Flows[Flow_Name],Tab_Def_Flows[Flow_E1_Fraction'[%']],"N.A.",0,1)</f>
        <v>0</v>
      </c>
      <c r="W133" s="8">
        <f t="shared" si="4"/>
        <v>0</v>
      </c>
      <c r="X133" s="2" t="str">
        <f>Tab_Data_Flows[[#This Row],[UoM_Source]]</f>
        <v>Mg</v>
      </c>
      <c r="Y133" s="19">
        <f>_xlfn.XLOOKUP(Tab_Data_Flows[[#This Row],[Flow_Name]],Tab_Def_Flows[Flow_Name],Tab_Def_Flows[Flow_E2_Fraction'[%']],"N.A.",0,1)</f>
        <v>0</v>
      </c>
      <c r="Z133" s="2">
        <f>IF(D133="Yes",W133*Tab_Data_Flows[[#This Row],[E2_Fraction'[%']]],"N.A.")</f>
        <v>0</v>
      </c>
      <c r="AA133" s="2" t="str">
        <f>Tab_Data_Flows[[#This Row],[E1_UoM]]</f>
        <v>Mg</v>
      </c>
      <c r="AB133" s="19">
        <f>_xlfn.XLOOKUP(Tab_Data_Flows[[#This Row],[Flow_Name]],Tab_Def_Flows[Flow_Name],Tab_Def_Flows[Flow_E3_Fraction'[%']],"N.A.",0,1)</f>
        <v>0</v>
      </c>
      <c r="AC133" s="2">
        <f>IF(E133="Yes",AB133*Tab_Data_Flows[[#This Row],[E1_value]],"N.A.")</f>
        <v>0</v>
      </c>
      <c r="AD133" s="2" t="str">
        <f>Tab_Data_Flows[[#This Row],[E1_UoM]]</f>
        <v>Mg</v>
      </c>
      <c r="AE133" s="19">
        <f>_xlfn.XLOOKUP(Tab_Data_Flows[[#This Row],[Flow_Name]],Tab_Def_Flows[Flow_Name],Tab_Def_Flows[Flow_E4_Fraction'[%']],"N.A.",0,1)</f>
        <v>0</v>
      </c>
      <c r="AF133" s="2">
        <f>IF(H133="Yes",Tab_Data_Flows[[#This Row],[E4_Fraction'[%']]]*Tab_Data_Flows[[#This Row],[E1_value]],"N.A.")</f>
        <v>0</v>
      </c>
      <c r="AG133" s="2" t="str">
        <f>Tab_Data_Flows[[#This Row],[E1_UoM]]</f>
        <v>Mg</v>
      </c>
      <c r="AH133" s="2">
        <f>_xlfn.XLOOKUP(Tab_Data_Flows[[#This Row],[Flow_Name]],Tab_Def_Flows[Flow_Name],Tab_Def_Flows[Flow_E5_Fraction'[%']],"N.A.",0,1)</f>
        <v>0</v>
      </c>
      <c r="AI133" s="2">
        <f>IF(H133="Yes",Tab_Data_Flows[[#This Row],[E5_Fraction'[%']]]*Tab_Data_Flows[[#This Row],[E1_value]],"N.A.")</f>
        <v>0</v>
      </c>
      <c r="AJ133" s="2" t="str">
        <f>Tab_Data_Flows[[#This Row],[E1_UoM]]</f>
        <v>Mg</v>
      </c>
      <c r="AK133" s="19">
        <f>_xlfn.XLOOKUP(Tab_Data_Flows[[#This Row],[Flow_Name]],Tab_Def_Flows[Flow_Name],Tab_Def_Flows[Flow_E6_Fraction'[%']],"N.A.",0,1)</f>
        <v>0</v>
      </c>
      <c r="AL133" s="2">
        <f>IF(Tab_Data_Flows[[#This Row],[Use_E6]]="Yes",Tab_Data_Flows[[#This Row],[E6_Fraction'[%']]]*Tab_Data_Flows[[#This Row],[E1_value]],"N.A.")</f>
        <v>0</v>
      </c>
      <c r="AM133" s="2" t="str">
        <f>Tab_Data_Flows[[#This Row],[E1_UoM]]</f>
        <v>Mg</v>
      </c>
    </row>
    <row r="134" spans="1:39" x14ac:dyDescent="0.25">
      <c r="A134" s="4">
        <f t="shared" si="5"/>
        <v>133</v>
      </c>
      <c r="B134" s="2" t="str">
        <f>_xlfn.XLOOKUP(C134,Tab_Def_Flows[Flow_Name],Tab_Def_Flows[Flow_ID],,0,)</f>
        <v>F__</v>
      </c>
      <c r="C134" s="18" t="s">
        <v>5</v>
      </c>
      <c r="D134" s="5" t="str">
        <f>_xlfn.XLOOKUP(C134,Tab_Def_Flows[Flow_Name],Tab_Def_Flows[Use_E1],,0,)</f>
        <v>Yes</v>
      </c>
      <c r="E134" s="5" t="str">
        <f>_xlfn.XLOOKUP(C134,Tab_Def_Flows[Flow_Name],Tab_Def_Flows[Use_E2],,0,)</f>
        <v>Yes</v>
      </c>
      <c r="F134" s="5" t="str">
        <f>_xlfn.XLOOKUP(C134,Tab_Def_Flows[Flow_Name],Tab_Def_Flows[Use_E3],,0,)</f>
        <v>Yes</v>
      </c>
      <c r="G134" s="5" t="str">
        <f>_xlfn.XLOOKUP(C134,Tab_Def_Flows[Flow_Name],Tab_Def_Flows[Use_E4],,0,)</f>
        <v>Yes</v>
      </c>
      <c r="H134" s="5" t="str">
        <f>_xlfn.XLOOKUP(C134,Tab_Def_Flows[Flow_Name],Tab_Def_Flows[Use_E5],,0,)</f>
        <v>Yes</v>
      </c>
      <c r="I134" s="5" t="str">
        <f>_xlfn.XLOOKUP(C134,Tab_Def_Flows[Flow_Name],Tab_Def_Flows[Use_E6],,0,)</f>
        <v>Yes</v>
      </c>
      <c r="J134" s="3"/>
      <c r="K134" s="3"/>
      <c r="L134" s="2" t="str">
        <f>'0_Configuration'!$C$41</f>
        <v>Mg</v>
      </c>
      <c r="M134" s="9"/>
      <c r="N134" s="9"/>
      <c r="O134" s="9"/>
      <c r="P134" s="9"/>
      <c r="Q134" s="18" t="s">
        <v>3</v>
      </c>
      <c r="R134" s="3"/>
      <c r="S134" s="3"/>
      <c r="T134" s="9"/>
      <c r="U134" s="9"/>
      <c r="V134" s="2">
        <f>_xlfn.XLOOKUP(Tab_Data_Flows[[#This Row],[Flow_Name]],Tab_Def_Flows[Flow_Name],Tab_Def_Flows[Flow_E1_Fraction'[%']],"N.A.",0,1)</f>
        <v>0</v>
      </c>
      <c r="W134" s="8">
        <f t="shared" si="4"/>
        <v>0</v>
      </c>
      <c r="X134" s="2" t="str">
        <f>Tab_Data_Flows[[#This Row],[UoM_Source]]</f>
        <v>Mg</v>
      </c>
      <c r="Y134" s="19">
        <f>_xlfn.XLOOKUP(Tab_Data_Flows[[#This Row],[Flow_Name]],Tab_Def_Flows[Flow_Name],Tab_Def_Flows[Flow_E2_Fraction'[%']],"N.A.",0,1)</f>
        <v>0</v>
      </c>
      <c r="Z134" s="2">
        <f>IF(D134="Yes",W134*Tab_Data_Flows[[#This Row],[E2_Fraction'[%']]],"N.A.")</f>
        <v>0</v>
      </c>
      <c r="AA134" s="2" t="str">
        <f>Tab_Data_Flows[[#This Row],[E1_UoM]]</f>
        <v>Mg</v>
      </c>
      <c r="AB134" s="19">
        <f>_xlfn.XLOOKUP(Tab_Data_Flows[[#This Row],[Flow_Name]],Tab_Def_Flows[Flow_Name],Tab_Def_Flows[Flow_E3_Fraction'[%']],"N.A.",0,1)</f>
        <v>0</v>
      </c>
      <c r="AC134" s="2">
        <f>IF(E134="Yes",AB134*Tab_Data_Flows[[#This Row],[E1_value]],"N.A.")</f>
        <v>0</v>
      </c>
      <c r="AD134" s="2" t="str">
        <f>Tab_Data_Flows[[#This Row],[E1_UoM]]</f>
        <v>Mg</v>
      </c>
      <c r="AE134" s="19">
        <f>_xlfn.XLOOKUP(Tab_Data_Flows[[#This Row],[Flow_Name]],Tab_Def_Flows[Flow_Name],Tab_Def_Flows[Flow_E4_Fraction'[%']],"N.A.",0,1)</f>
        <v>0</v>
      </c>
      <c r="AF134" s="2">
        <f>IF(H134="Yes",Tab_Data_Flows[[#This Row],[E4_Fraction'[%']]]*Tab_Data_Flows[[#This Row],[E1_value]],"N.A.")</f>
        <v>0</v>
      </c>
      <c r="AG134" s="2" t="str">
        <f>Tab_Data_Flows[[#This Row],[E1_UoM]]</f>
        <v>Mg</v>
      </c>
      <c r="AH134" s="2">
        <f>_xlfn.XLOOKUP(Tab_Data_Flows[[#This Row],[Flow_Name]],Tab_Def_Flows[Flow_Name],Tab_Def_Flows[Flow_E5_Fraction'[%']],"N.A.",0,1)</f>
        <v>0</v>
      </c>
      <c r="AI134" s="2">
        <f>IF(H134="Yes",Tab_Data_Flows[[#This Row],[E5_Fraction'[%']]]*Tab_Data_Flows[[#This Row],[E1_value]],"N.A.")</f>
        <v>0</v>
      </c>
      <c r="AJ134" s="2" t="str">
        <f>Tab_Data_Flows[[#This Row],[E1_UoM]]</f>
        <v>Mg</v>
      </c>
      <c r="AK134" s="19">
        <f>_xlfn.XLOOKUP(Tab_Data_Flows[[#This Row],[Flow_Name]],Tab_Def_Flows[Flow_Name],Tab_Def_Flows[Flow_E6_Fraction'[%']],"N.A.",0,1)</f>
        <v>0</v>
      </c>
      <c r="AL134" s="2">
        <f>IF(Tab_Data_Flows[[#This Row],[Use_E6]]="Yes",Tab_Data_Flows[[#This Row],[E6_Fraction'[%']]]*Tab_Data_Flows[[#This Row],[E1_value]],"N.A.")</f>
        <v>0</v>
      </c>
      <c r="AM134" s="2" t="str">
        <f>Tab_Data_Flows[[#This Row],[E1_UoM]]</f>
        <v>Mg</v>
      </c>
    </row>
    <row r="135" spans="1:39" x14ac:dyDescent="0.25">
      <c r="A135" s="4">
        <f t="shared" si="5"/>
        <v>134</v>
      </c>
      <c r="B135" s="2" t="str">
        <f>_xlfn.XLOOKUP(C135,Tab_Def_Flows[Flow_Name],Tab_Def_Flows[Flow_ID],,0,)</f>
        <v>F__</v>
      </c>
      <c r="C135" s="18" t="s">
        <v>5</v>
      </c>
      <c r="D135" s="5" t="str">
        <f>_xlfn.XLOOKUP(C135,Tab_Def_Flows[Flow_Name],Tab_Def_Flows[Use_E1],,0,)</f>
        <v>Yes</v>
      </c>
      <c r="E135" s="5" t="str">
        <f>_xlfn.XLOOKUP(C135,Tab_Def_Flows[Flow_Name],Tab_Def_Flows[Use_E2],,0,)</f>
        <v>Yes</v>
      </c>
      <c r="F135" s="5" t="str">
        <f>_xlfn.XLOOKUP(C135,Tab_Def_Flows[Flow_Name],Tab_Def_Flows[Use_E3],,0,)</f>
        <v>Yes</v>
      </c>
      <c r="G135" s="5" t="str">
        <f>_xlfn.XLOOKUP(C135,Tab_Def_Flows[Flow_Name],Tab_Def_Flows[Use_E4],,0,)</f>
        <v>Yes</v>
      </c>
      <c r="H135" s="5" t="str">
        <f>_xlfn.XLOOKUP(C135,Tab_Def_Flows[Flow_Name],Tab_Def_Flows[Use_E5],,0,)</f>
        <v>Yes</v>
      </c>
      <c r="I135" s="5" t="str">
        <f>_xlfn.XLOOKUP(C135,Tab_Def_Flows[Flow_Name],Tab_Def_Flows[Use_E6],,0,)</f>
        <v>Yes</v>
      </c>
      <c r="J135" s="3"/>
      <c r="K135" s="3"/>
      <c r="L135" s="2" t="str">
        <f>'0_Configuration'!$C$41</f>
        <v>Mg</v>
      </c>
      <c r="M135" s="9"/>
      <c r="N135" s="9"/>
      <c r="O135" s="9"/>
      <c r="P135" s="9"/>
      <c r="Q135" s="18" t="s">
        <v>3</v>
      </c>
      <c r="R135" s="3"/>
      <c r="S135" s="3"/>
      <c r="T135" s="9"/>
      <c r="U135" s="9"/>
      <c r="V135" s="2">
        <f>_xlfn.XLOOKUP(Tab_Data_Flows[[#This Row],[Flow_Name]],Tab_Def_Flows[Flow_Name],Tab_Def_Flows[Flow_E1_Fraction'[%']],"N.A.",0,1)</f>
        <v>0</v>
      </c>
      <c r="W135" s="8">
        <f t="shared" si="4"/>
        <v>0</v>
      </c>
      <c r="X135" s="2" t="str">
        <f>Tab_Data_Flows[[#This Row],[UoM_Source]]</f>
        <v>Mg</v>
      </c>
      <c r="Y135" s="19">
        <f>_xlfn.XLOOKUP(Tab_Data_Flows[[#This Row],[Flow_Name]],Tab_Def_Flows[Flow_Name],Tab_Def_Flows[Flow_E2_Fraction'[%']],"N.A.",0,1)</f>
        <v>0</v>
      </c>
      <c r="Z135" s="2">
        <f>IF(D135="Yes",W135*Tab_Data_Flows[[#This Row],[E2_Fraction'[%']]],"N.A.")</f>
        <v>0</v>
      </c>
      <c r="AA135" s="2" t="str">
        <f>Tab_Data_Flows[[#This Row],[E1_UoM]]</f>
        <v>Mg</v>
      </c>
      <c r="AB135" s="19">
        <f>_xlfn.XLOOKUP(Tab_Data_Flows[[#This Row],[Flow_Name]],Tab_Def_Flows[Flow_Name],Tab_Def_Flows[Flow_E3_Fraction'[%']],"N.A.",0,1)</f>
        <v>0</v>
      </c>
      <c r="AC135" s="2">
        <f>IF(E135="Yes",AB135*Tab_Data_Flows[[#This Row],[E1_value]],"N.A.")</f>
        <v>0</v>
      </c>
      <c r="AD135" s="2" t="str">
        <f>Tab_Data_Flows[[#This Row],[E1_UoM]]</f>
        <v>Mg</v>
      </c>
      <c r="AE135" s="19">
        <f>_xlfn.XLOOKUP(Tab_Data_Flows[[#This Row],[Flow_Name]],Tab_Def_Flows[Flow_Name],Tab_Def_Flows[Flow_E4_Fraction'[%']],"N.A.",0,1)</f>
        <v>0</v>
      </c>
      <c r="AF135" s="2">
        <f>IF(H135="Yes",Tab_Data_Flows[[#This Row],[E4_Fraction'[%']]]*Tab_Data_Flows[[#This Row],[E1_value]],"N.A.")</f>
        <v>0</v>
      </c>
      <c r="AG135" s="2" t="str">
        <f>Tab_Data_Flows[[#This Row],[E1_UoM]]</f>
        <v>Mg</v>
      </c>
      <c r="AH135" s="2">
        <f>_xlfn.XLOOKUP(Tab_Data_Flows[[#This Row],[Flow_Name]],Tab_Def_Flows[Flow_Name],Tab_Def_Flows[Flow_E5_Fraction'[%']],"N.A.",0,1)</f>
        <v>0</v>
      </c>
      <c r="AI135" s="2">
        <f>IF(H135="Yes",Tab_Data_Flows[[#This Row],[E5_Fraction'[%']]]*Tab_Data_Flows[[#This Row],[E1_value]],"N.A.")</f>
        <v>0</v>
      </c>
      <c r="AJ135" s="2" t="str">
        <f>Tab_Data_Flows[[#This Row],[E1_UoM]]</f>
        <v>Mg</v>
      </c>
      <c r="AK135" s="19">
        <f>_xlfn.XLOOKUP(Tab_Data_Flows[[#This Row],[Flow_Name]],Tab_Def_Flows[Flow_Name],Tab_Def_Flows[Flow_E6_Fraction'[%']],"N.A.",0,1)</f>
        <v>0</v>
      </c>
      <c r="AL135" s="2">
        <f>IF(Tab_Data_Flows[[#This Row],[Use_E6]]="Yes",Tab_Data_Flows[[#This Row],[E6_Fraction'[%']]]*Tab_Data_Flows[[#This Row],[E1_value]],"N.A.")</f>
        <v>0</v>
      </c>
      <c r="AM135" s="2" t="str">
        <f>Tab_Data_Flows[[#This Row],[E1_UoM]]</f>
        <v>Mg</v>
      </c>
    </row>
    <row r="136" spans="1:39" x14ac:dyDescent="0.25">
      <c r="A136" s="4">
        <f t="shared" si="5"/>
        <v>135</v>
      </c>
      <c r="B136" s="2" t="str">
        <f>_xlfn.XLOOKUP(C136,Tab_Def_Flows[Flow_Name],Tab_Def_Flows[Flow_ID],,0,)</f>
        <v>F__</v>
      </c>
      <c r="C136" s="18" t="s">
        <v>5</v>
      </c>
      <c r="D136" s="5" t="str">
        <f>_xlfn.XLOOKUP(C136,Tab_Def_Flows[Flow_Name],Tab_Def_Flows[Use_E1],,0,)</f>
        <v>Yes</v>
      </c>
      <c r="E136" s="5" t="str">
        <f>_xlfn.XLOOKUP(C136,Tab_Def_Flows[Flow_Name],Tab_Def_Flows[Use_E2],,0,)</f>
        <v>Yes</v>
      </c>
      <c r="F136" s="5" t="str">
        <f>_xlfn.XLOOKUP(C136,Tab_Def_Flows[Flow_Name],Tab_Def_Flows[Use_E3],,0,)</f>
        <v>Yes</v>
      </c>
      <c r="G136" s="5" t="str">
        <f>_xlfn.XLOOKUP(C136,Tab_Def_Flows[Flow_Name],Tab_Def_Flows[Use_E4],,0,)</f>
        <v>Yes</v>
      </c>
      <c r="H136" s="5" t="str">
        <f>_xlfn.XLOOKUP(C136,Tab_Def_Flows[Flow_Name],Tab_Def_Flows[Use_E5],,0,)</f>
        <v>Yes</v>
      </c>
      <c r="I136" s="5" t="str">
        <f>_xlfn.XLOOKUP(C136,Tab_Def_Flows[Flow_Name],Tab_Def_Flows[Use_E6],,0,)</f>
        <v>Yes</v>
      </c>
      <c r="J136" s="3"/>
      <c r="K136" s="3"/>
      <c r="L136" s="2" t="str">
        <f>'0_Configuration'!$C$41</f>
        <v>Mg</v>
      </c>
      <c r="M136" s="9"/>
      <c r="N136" s="9"/>
      <c r="O136" s="9"/>
      <c r="P136" s="9"/>
      <c r="Q136" s="18" t="s">
        <v>3</v>
      </c>
      <c r="R136" s="3"/>
      <c r="S136" s="3"/>
      <c r="T136" s="9"/>
      <c r="U136" s="9"/>
      <c r="V136" s="2">
        <f>_xlfn.XLOOKUP(Tab_Data_Flows[[#This Row],[Flow_Name]],Tab_Def_Flows[Flow_Name],Tab_Def_Flows[Flow_E1_Fraction'[%']],"N.A.",0,1)</f>
        <v>0</v>
      </c>
      <c r="W136" s="8">
        <f t="shared" si="4"/>
        <v>0</v>
      </c>
      <c r="X136" s="2" t="str">
        <f>Tab_Data_Flows[[#This Row],[UoM_Source]]</f>
        <v>Mg</v>
      </c>
      <c r="Y136" s="19">
        <f>_xlfn.XLOOKUP(Tab_Data_Flows[[#This Row],[Flow_Name]],Tab_Def_Flows[Flow_Name],Tab_Def_Flows[Flow_E2_Fraction'[%']],"N.A.",0,1)</f>
        <v>0</v>
      </c>
      <c r="Z136" s="2">
        <f>IF(D136="Yes",W136*Tab_Data_Flows[[#This Row],[E2_Fraction'[%']]],"N.A.")</f>
        <v>0</v>
      </c>
      <c r="AA136" s="2" t="str">
        <f>Tab_Data_Flows[[#This Row],[E1_UoM]]</f>
        <v>Mg</v>
      </c>
      <c r="AB136" s="19">
        <f>_xlfn.XLOOKUP(Tab_Data_Flows[[#This Row],[Flow_Name]],Tab_Def_Flows[Flow_Name],Tab_Def_Flows[Flow_E3_Fraction'[%']],"N.A.",0,1)</f>
        <v>0</v>
      </c>
      <c r="AC136" s="2">
        <f>IF(E136="Yes",AB136*Tab_Data_Flows[[#This Row],[E1_value]],"N.A.")</f>
        <v>0</v>
      </c>
      <c r="AD136" s="2" t="str">
        <f>Tab_Data_Flows[[#This Row],[E1_UoM]]</f>
        <v>Mg</v>
      </c>
      <c r="AE136" s="19">
        <f>_xlfn.XLOOKUP(Tab_Data_Flows[[#This Row],[Flow_Name]],Tab_Def_Flows[Flow_Name],Tab_Def_Flows[Flow_E4_Fraction'[%']],"N.A.",0,1)</f>
        <v>0</v>
      </c>
      <c r="AF136" s="2">
        <f>IF(H136="Yes",Tab_Data_Flows[[#This Row],[E4_Fraction'[%']]]*Tab_Data_Flows[[#This Row],[E1_value]],"N.A.")</f>
        <v>0</v>
      </c>
      <c r="AG136" s="2" t="str">
        <f>Tab_Data_Flows[[#This Row],[E1_UoM]]</f>
        <v>Mg</v>
      </c>
      <c r="AH136" s="2">
        <f>_xlfn.XLOOKUP(Tab_Data_Flows[[#This Row],[Flow_Name]],Tab_Def_Flows[Flow_Name],Tab_Def_Flows[Flow_E5_Fraction'[%']],"N.A.",0,1)</f>
        <v>0</v>
      </c>
      <c r="AI136" s="2">
        <f>IF(H136="Yes",Tab_Data_Flows[[#This Row],[E5_Fraction'[%']]]*Tab_Data_Flows[[#This Row],[E1_value]],"N.A.")</f>
        <v>0</v>
      </c>
      <c r="AJ136" s="2" t="str">
        <f>Tab_Data_Flows[[#This Row],[E1_UoM]]</f>
        <v>Mg</v>
      </c>
      <c r="AK136" s="19">
        <f>_xlfn.XLOOKUP(Tab_Data_Flows[[#This Row],[Flow_Name]],Tab_Def_Flows[Flow_Name],Tab_Def_Flows[Flow_E6_Fraction'[%']],"N.A.",0,1)</f>
        <v>0</v>
      </c>
      <c r="AL136" s="2">
        <f>IF(Tab_Data_Flows[[#This Row],[Use_E6]]="Yes",Tab_Data_Flows[[#This Row],[E6_Fraction'[%']]]*Tab_Data_Flows[[#This Row],[E1_value]],"N.A.")</f>
        <v>0</v>
      </c>
      <c r="AM136" s="2" t="str">
        <f>Tab_Data_Flows[[#This Row],[E1_UoM]]</f>
        <v>Mg</v>
      </c>
    </row>
    <row r="137" spans="1:39" x14ac:dyDescent="0.25">
      <c r="A137" s="4">
        <f t="shared" si="5"/>
        <v>136</v>
      </c>
      <c r="B137" s="2" t="str">
        <f>_xlfn.XLOOKUP(C137,Tab_Def_Flows[Flow_Name],Tab_Def_Flows[Flow_ID],,0,)</f>
        <v>F__</v>
      </c>
      <c r="C137" s="18" t="s">
        <v>5</v>
      </c>
      <c r="D137" s="5" t="str">
        <f>_xlfn.XLOOKUP(C137,Tab_Def_Flows[Flow_Name],Tab_Def_Flows[Use_E1],,0,)</f>
        <v>Yes</v>
      </c>
      <c r="E137" s="5" t="str">
        <f>_xlfn.XLOOKUP(C137,Tab_Def_Flows[Flow_Name],Tab_Def_Flows[Use_E2],,0,)</f>
        <v>Yes</v>
      </c>
      <c r="F137" s="5" t="str">
        <f>_xlfn.XLOOKUP(C137,Tab_Def_Flows[Flow_Name],Tab_Def_Flows[Use_E3],,0,)</f>
        <v>Yes</v>
      </c>
      <c r="G137" s="5" t="str">
        <f>_xlfn.XLOOKUP(C137,Tab_Def_Flows[Flow_Name],Tab_Def_Flows[Use_E4],,0,)</f>
        <v>Yes</v>
      </c>
      <c r="H137" s="5" t="str">
        <f>_xlfn.XLOOKUP(C137,Tab_Def_Flows[Flow_Name],Tab_Def_Flows[Use_E5],,0,)</f>
        <v>Yes</v>
      </c>
      <c r="I137" s="5" t="str">
        <f>_xlfn.XLOOKUP(C137,Tab_Def_Flows[Flow_Name],Tab_Def_Flows[Use_E6],,0,)</f>
        <v>Yes</v>
      </c>
      <c r="J137" s="3"/>
      <c r="K137" s="3"/>
      <c r="L137" s="2" t="str">
        <f>'0_Configuration'!$C$41</f>
        <v>Mg</v>
      </c>
      <c r="M137" s="9"/>
      <c r="N137" s="9"/>
      <c r="O137" s="9"/>
      <c r="P137" s="9"/>
      <c r="Q137" s="18" t="s">
        <v>3</v>
      </c>
      <c r="R137" s="3"/>
      <c r="S137" s="3"/>
      <c r="T137" s="9"/>
      <c r="U137" s="9"/>
      <c r="V137" s="2">
        <f>_xlfn.XLOOKUP(Tab_Data_Flows[[#This Row],[Flow_Name]],Tab_Def_Flows[Flow_Name],Tab_Def_Flows[Flow_E1_Fraction'[%']],"N.A.",0,1)</f>
        <v>0</v>
      </c>
      <c r="W137" s="8">
        <f t="shared" si="4"/>
        <v>0</v>
      </c>
      <c r="X137" s="2" t="str">
        <f>Tab_Data_Flows[[#This Row],[UoM_Source]]</f>
        <v>Mg</v>
      </c>
      <c r="Y137" s="19">
        <f>_xlfn.XLOOKUP(Tab_Data_Flows[[#This Row],[Flow_Name]],Tab_Def_Flows[Flow_Name],Tab_Def_Flows[Flow_E2_Fraction'[%']],"N.A.",0,1)</f>
        <v>0</v>
      </c>
      <c r="Z137" s="2">
        <f>IF(D137="Yes",W137*Tab_Data_Flows[[#This Row],[E2_Fraction'[%']]],"N.A.")</f>
        <v>0</v>
      </c>
      <c r="AA137" s="2" t="str">
        <f>Tab_Data_Flows[[#This Row],[E1_UoM]]</f>
        <v>Mg</v>
      </c>
      <c r="AB137" s="19">
        <f>_xlfn.XLOOKUP(Tab_Data_Flows[[#This Row],[Flow_Name]],Tab_Def_Flows[Flow_Name],Tab_Def_Flows[Flow_E3_Fraction'[%']],"N.A.",0,1)</f>
        <v>0</v>
      </c>
      <c r="AC137" s="2">
        <f>IF(E137="Yes",AB137*Tab_Data_Flows[[#This Row],[E1_value]],"N.A.")</f>
        <v>0</v>
      </c>
      <c r="AD137" s="2" t="str">
        <f>Tab_Data_Flows[[#This Row],[E1_UoM]]</f>
        <v>Mg</v>
      </c>
      <c r="AE137" s="19">
        <f>_xlfn.XLOOKUP(Tab_Data_Flows[[#This Row],[Flow_Name]],Tab_Def_Flows[Flow_Name],Tab_Def_Flows[Flow_E4_Fraction'[%']],"N.A.",0,1)</f>
        <v>0</v>
      </c>
      <c r="AF137" s="2">
        <f>IF(H137="Yes",Tab_Data_Flows[[#This Row],[E4_Fraction'[%']]]*Tab_Data_Flows[[#This Row],[E1_value]],"N.A.")</f>
        <v>0</v>
      </c>
      <c r="AG137" s="2" t="str">
        <f>Tab_Data_Flows[[#This Row],[E1_UoM]]</f>
        <v>Mg</v>
      </c>
      <c r="AH137" s="2">
        <f>_xlfn.XLOOKUP(Tab_Data_Flows[[#This Row],[Flow_Name]],Tab_Def_Flows[Flow_Name],Tab_Def_Flows[Flow_E5_Fraction'[%']],"N.A.",0,1)</f>
        <v>0</v>
      </c>
      <c r="AI137" s="2">
        <f>IF(H137="Yes",Tab_Data_Flows[[#This Row],[E5_Fraction'[%']]]*Tab_Data_Flows[[#This Row],[E1_value]],"N.A.")</f>
        <v>0</v>
      </c>
      <c r="AJ137" s="2" t="str">
        <f>Tab_Data_Flows[[#This Row],[E1_UoM]]</f>
        <v>Mg</v>
      </c>
      <c r="AK137" s="19">
        <f>_xlfn.XLOOKUP(Tab_Data_Flows[[#This Row],[Flow_Name]],Tab_Def_Flows[Flow_Name],Tab_Def_Flows[Flow_E6_Fraction'[%']],"N.A.",0,1)</f>
        <v>0</v>
      </c>
      <c r="AL137" s="2">
        <f>IF(Tab_Data_Flows[[#This Row],[Use_E6]]="Yes",Tab_Data_Flows[[#This Row],[E6_Fraction'[%']]]*Tab_Data_Flows[[#This Row],[E1_value]],"N.A.")</f>
        <v>0</v>
      </c>
      <c r="AM137" s="2" t="str">
        <f>Tab_Data_Flows[[#This Row],[E1_UoM]]</f>
        <v>Mg</v>
      </c>
    </row>
    <row r="138" spans="1:39" x14ac:dyDescent="0.25">
      <c r="A138" s="4">
        <f t="shared" si="5"/>
        <v>137</v>
      </c>
      <c r="B138" s="2" t="str">
        <f>_xlfn.XLOOKUP(C138,Tab_Def_Flows[Flow_Name],Tab_Def_Flows[Flow_ID],,0,)</f>
        <v>F__</v>
      </c>
      <c r="C138" s="18" t="s">
        <v>5</v>
      </c>
      <c r="D138" s="5" t="str">
        <f>_xlfn.XLOOKUP(C138,Tab_Def_Flows[Flow_Name],Tab_Def_Flows[Use_E1],,0,)</f>
        <v>Yes</v>
      </c>
      <c r="E138" s="5" t="str">
        <f>_xlfn.XLOOKUP(C138,Tab_Def_Flows[Flow_Name],Tab_Def_Flows[Use_E2],,0,)</f>
        <v>Yes</v>
      </c>
      <c r="F138" s="5" t="str">
        <f>_xlfn.XLOOKUP(C138,Tab_Def_Flows[Flow_Name],Tab_Def_Flows[Use_E3],,0,)</f>
        <v>Yes</v>
      </c>
      <c r="G138" s="5" t="str">
        <f>_xlfn.XLOOKUP(C138,Tab_Def_Flows[Flow_Name],Tab_Def_Flows[Use_E4],,0,)</f>
        <v>Yes</v>
      </c>
      <c r="H138" s="5" t="str">
        <f>_xlfn.XLOOKUP(C138,Tab_Def_Flows[Flow_Name],Tab_Def_Flows[Use_E5],,0,)</f>
        <v>Yes</v>
      </c>
      <c r="I138" s="5" t="str">
        <f>_xlfn.XLOOKUP(C138,Tab_Def_Flows[Flow_Name],Tab_Def_Flows[Use_E6],,0,)</f>
        <v>Yes</v>
      </c>
      <c r="J138" s="3"/>
      <c r="K138" s="3"/>
      <c r="L138" s="2" t="str">
        <f>'0_Configuration'!$C$41</f>
        <v>Mg</v>
      </c>
      <c r="M138" s="9"/>
      <c r="N138" s="9"/>
      <c r="O138" s="9"/>
      <c r="P138" s="9"/>
      <c r="Q138" s="18" t="s">
        <v>3</v>
      </c>
      <c r="R138" s="3"/>
      <c r="S138" s="3"/>
      <c r="T138" s="9"/>
      <c r="U138" s="9"/>
      <c r="V138" s="2">
        <f>_xlfn.XLOOKUP(Tab_Data_Flows[[#This Row],[Flow_Name]],Tab_Def_Flows[Flow_Name],Tab_Def_Flows[Flow_E1_Fraction'[%']],"N.A.",0,1)</f>
        <v>0</v>
      </c>
      <c r="W138" s="8">
        <f t="shared" si="4"/>
        <v>0</v>
      </c>
      <c r="X138" s="2" t="str">
        <f>Tab_Data_Flows[[#This Row],[UoM_Source]]</f>
        <v>Mg</v>
      </c>
      <c r="Y138" s="19">
        <f>_xlfn.XLOOKUP(Tab_Data_Flows[[#This Row],[Flow_Name]],Tab_Def_Flows[Flow_Name],Tab_Def_Flows[Flow_E2_Fraction'[%']],"N.A.",0,1)</f>
        <v>0</v>
      </c>
      <c r="Z138" s="2">
        <f>IF(D138="Yes",W138*Tab_Data_Flows[[#This Row],[E2_Fraction'[%']]],"N.A.")</f>
        <v>0</v>
      </c>
      <c r="AA138" s="2" t="str">
        <f>Tab_Data_Flows[[#This Row],[E1_UoM]]</f>
        <v>Mg</v>
      </c>
      <c r="AB138" s="19">
        <f>_xlfn.XLOOKUP(Tab_Data_Flows[[#This Row],[Flow_Name]],Tab_Def_Flows[Flow_Name],Tab_Def_Flows[Flow_E3_Fraction'[%']],"N.A.",0,1)</f>
        <v>0</v>
      </c>
      <c r="AC138" s="2">
        <f>IF(E138="Yes",AB138*Tab_Data_Flows[[#This Row],[E1_value]],"N.A.")</f>
        <v>0</v>
      </c>
      <c r="AD138" s="2" t="str">
        <f>Tab_Data_Flows[[#This Row],[E1_UoM]]</f>
        <v>Mg</v>
      </c>
      <c r="AE138" s="19">
        <f>_xlfn.XLOOKUP(Tab_Data_Flows[[#This Row],[Flow_Name]],Tab_Def_Flows[Flow_Name],Tab_Def_Flows[Flow_E4_Fraction'[%']],"N.A.",0,1)</f>
        <v>0</v>
      </c>
      <c r="AF138" s="2">
        <f>IF(H138="Yes",Tab_Data_Flows[[#This Row],[E4_Fraction'[%']]]*Tab_Data_Flows[[#This Row],[E1_value]],"N.A.")</f>
        <v>0</v>
      </c>
      <c r="AG138" s="2" t="str">
        <f>Tab_Data_Flows[[#This Row],[E1_UoM]]</f>
        <v>Mg</v>
      </c>
      <c r="AH138" s="2">
        <f>_xlfn.XLOOKUP(Tab_Data_Flows[[#This Row],[Flow_Name]],Tab_Def_Flows[Flow_Name],Tab_Def_Flows[Flow_E5_Fraction'[%']],"N.A.",0,1)</f>
        <v>0</v>
      </c>
      <c r="AI138" s="2">
        <f>IF(H138="Yes",Tab_Data_Flows[[#This Row],[E5_Fraction'[%']]]*Tab_Data_Flows[[#This Row],[E1_value]],"N.A.")</f>
        <v>0</v>
      </c>
      <c r="AJ138" s="2" t="str">
        <f>Tab_Data_Flows[[#This Row],[E1_UoM]]</f>
        <v>Mg</v>
      </c>
      <c r="AK138" s="19">
        <f>_xlfn.XLOOKUP(Tab_Data_Flows[[#This Row],[Flow_Name]],Tab_Def_Flows[Flow_Name],Tab_Def_Flows[Flow_E6_Fraction'[%']],"N.A.",0,1)</f>
        <v>0</v>
      </c>
      <c r="AL138" s="2">
        <f>IF(Tab_Data_Flows[[#This Row],[Use_E6]]="Yes",Tab_Data_Flows[[#This Row],[E6_Fraction'[%']]]*Tab_Data_Flows[[#This Row],[E1_value]],"N.A.")</f>
        <v>0</v>
      </c>
      <c r="AM138" s="2" t="str">
        <f>Tab_Data_Flows[[#This Row],[E1_UoM]]</f>
        <v>Mg</v>
      </c>
    </row>
    <row r="139" spans="1:39" x14ac:dyDescent="0.25">
      <c r="A139" s="4">
        <f t="shared" si="5"/>
        <v>138</v>
      </c>
      <c r="B139" s="2" t="str">
        <f>_xlfn.XLOOKUP(C139,Tab_Def_Flows[Flow_Name],Tab_Def_Flows[Flow_ID],,0,)</f>
        <v>F__</v>
      </c>
      <c r="C139" s="18" t="s">
        <v>5</v>
      </c>
      <c r="D139" s="5" t="str">
        <f>_xlfn.XLOOKUP(C139,Tab_Def_Flows[Flow_Name],Tab_Def_Flows[Use_E1],,0,)</f>
        <v>Yes</v>
      </c>
      <c r="E139" s="5" t="str">
        <f>_xlfn.XLOOKUP(C139,Tab_Def_Flows[Flow_Name],Tab_Def_Flows[Use_E2],,0,)</f>
        <v>Yes</v>
      </c>
      <c r="F139" s="5" t="str">
        <f>_xlfn.XLOOKUP(C139,Tab_Def_Flows[Flow_Name],Tab_Def_Flows[Use_E3],,0,)</f>
        <v>Yes</v>
      </c>
      <c r="G139" s="5" t="str">
        <f>_xlfn.XLOOKUP(C139,Tab_Def_Flows[Flow_Name],Tab_Def_Flows[Use_E4],,0,)</f>
        <v>Yes</v>
      </c>
      <c r="H139" s="5" t="str">
        <f>_xlfn.XLOOKUP(C139,Tab_Def_Flows[Flow_Name],Tab_Def_Flows[Use_E5],,0,)</f>
        <v>Yes</v>
      </c>
      <c r="I139" s="5" t="str">
        <f>_xlfn.XLOOKUP(C139,Tab_Def_Flows[Flow_Name],Tab_Def_Flows[Use_E6],,0,)</f>
        <v>Yes</v>
      </c>
      <c r="J139" s="3"/>
      <c r="K139" s="3"/>
      <c r="L139" s="2" t="str">
        <f>'0_Configuration'!$C$41</f>
        <v>Mg</v>
      </c>
      <c r="M139" s="9"/>
      <c r="N139" s="9"/>
      <c r="O139" s="9"/>
      <c r="P139" s="9"/>
      <c r="Q139" s="18" t="s">
        <v>3</v>
      </c>
      <c r="R139" s="3"/>
      <c r="S139" s="3"/>
      <c r="T139" s="9"/>
      <c r="U139" s="9"/>
      <c r="V139" s="2">
        <f>_xlfn.XLOOKUP(Tab_Data_Flows[[#This Row],[Flow_Name]],Tab_Def_Flows[Flow_Name],Tab_Def_Flows[Flow_E1_Fraction'[%']],"N.A.",0,1)</f>
        <v>0</v>
      </c>
      <c r="W139" s="8">
        <f t="shared" si="4"/>
        <v>0</v>
      </c>
      <c r="X139" s="2" t="str">
        <f>Tab_Data_Flows[[#This Row],[UoM_Source]]</f>
        <v>Mg</v>
      </c>
      <c r="Y139" s="19">
        <f>_xlfn.XLOOKUP(Tab_Data_Flows[[#This Row],[Flow_Name]],Tab_Def_Flows[Flow_Name],Tab_Def_Flows[Flow_E2_Fraction'[%']],"N.A.",0,1)</f>
        <v>0</v>
      </c>
      <c r="Z139" s="2">
        <f>IF(D139="Yes",W139*Tab_Data_Flows[[#This Row],[E2_Fraction'[%']]],"N.A.")</f>
        <v>0</v>
      </c>
      <c r="AA139" s="2" t="str">
        <f>Tab_Data_Flows[[#This Row],[E1_UoM]]</f>
        <v>Mg</v>
      </c>
      <c r="AB139" s="19">
        <f>_xlfn.XLOOKUP(Tab_Data_Flows[[#This Row],[Flow_Name]],Tab_Def_Flows[Flow_Name],Tab_Def_Flows[Flow_E3_Fraction'[%']],"N.A.",0,1)</f>
        <v>0</v>
      </c>
      <c r="AC139" s="2">
        <f>IF(E139="Yes",AB139*Tab_Data_Flows[[#This Row],[E1_value]],"N.A.")</f>
        <v>0</v>
      </c>
      <c r="AD139" s="2" t="str">
        <f>Tab_Data_Flows[[#This Row],[E1_UoM]]</f>
        <v>Mg</v>
      </c>
      <c r="AE139" s="19">
        <f>_xlfn.XLOOKUP(Tab_Data_Flows[[#This Row],[Flow_Name]],Tab_Def_Flows[Flow_Name],Tab_Def_Flows[Flow_E4_Fraction'[%']],"N.A.",0,1)</f>
        <v>0</v>
      </c>
      <c r="AF139" s="2">
        <f>IF(H139="Yes",Tab_Data_Flows[[#This Row],[E4_Fraction'[%']]]*Tab_Data_Flows[[#This Row],[E1_value]],"N.A.")</f>
        <v>0</v>
      </c>
      <c r="AG139" s="2" t="str">
        <f>Tab_Data_Flows[[#This Row],[E1_UoM]]</f>
        <v>Mg</v>
      </c>
      <c r="AH139" s="2">
        <f>_xlfn.XLOOKUP(Tab_Data_Flows[[#This Row],[Flow_Name]],Tab_Def_Flows[Flow_Name],Tab_Def_Flows[Flow_E5_Fraction'[%']],"N.A.",0,1)</f>
        <v>0</v>
      </c>
      <c r="AI139" s="2">
        <f>IF(H139="Yes",Tab_Data_Flows[[#This Row],[E5_Fraction'[%']]]*Tab_Data_Flows[[#This Row],[E1_value]],"N.A.")</f>
        <v>0</v>
      </c>
      <c r="AJ139" s="2" t="str">
        <f>Tab_Data_Flows[[#This Row],[E1_UoM]]</f>
        <v>Mg</v>
      </c>
      <c r="AK139" s="19">
        <f>_xlfn.XLOOKUP(Tab_Data_Flows[[#This Row],[Flow_Name]],Tab_Def_Flows[Flow_Name],Tab_Def_Flows[Flow_E6_Fraction'[%']],"N.A.",0,1)</f>
        <v>0</v>
      </c>
      <c r="AL139" s="2">
        <f>IF(Tab_Data_Flows[[#This Row],[Use_E6]]="Yes",Tab_Data_Flows[[#This Row],[E6_Fraction'[%']]]*Tab_Data_Flows[[#This Row],[E1_value]],"N.A.")</f>
        <v>0</v>
      </c>
      <c r="AM139" s="2" t="str">
        <f>Tab_Data_Flows[[#This Row],[E1_UoM]]</f>
        <v>Mg</v>
      </c>
    </row>
    <row r="140" spans="1:39" x14ac:dyDescent="0.25">
      <c r="A140" s="4">
        <f t="shared" si="5"/>
        <v>139</v>
      </c>
      <c r="B140" s="2" t="str">
        <f>_xlfn.XLOOKUP(C140,Tab_Def_Flows[Flow_Name],Tab_Def_Flows[Flow_ID],,0,)</f>
        <v>F__</v>
      </c>
      <c r="C140" s="18" t="s">
        <v>5</v>
      </c>
      <c r="D140" s="5" t="str">
        <f>_xlfn.XLOOKUP(C140,Tab_Def_Flows[Flow_Name],Tab_Def_Flows[Use_E1],,0,)</f>
        <v>Yes</v>
      </c>
      <c r="E140" s="5" t="str">
        <f>_xlfn.XLOOKUP(C140,Tab_Def_Flows[Flow_Name],Tab_Def_Flows[Use_E2],,0,)</f>
        <v>Yes</v>
      </c>
      <c r="F140" s="5" t="str">
        <f>_xlfn.XLOOKUP(C140,Tab_Def_Flows[Flow_Name],Tab_Def_Flows[Use_E3],,0,)</f>
        <v>Yes</v>
      </c>
      <c r="G140" s="5" t="str">
        <f>_xlfn.XLOOKUP(C140,Tab_Def_Flows[Flow_Name],Tab_Def_Flows[Use_E4],,0,)</f>
        <v>Yes</v>
      </c>
      <c r="H140" s="5" t="str">
        <f>_xlfn.XLOOKUP(C140,Tab_Def_Flows[Flow_Name],Tab_Def_Flows[Use_E5],,0,)</f>
        <v>Yes</v>
      </c>
      <c r="I140" s="5" t="str">
        <f>_xlfn.XLOOKUP(C140,Tab_Def_Flows[Flow_Name],Tab_Def_Flows[Use_E6],,0,)</f>
        <v>Yes</v>
      </c>
      <c r="J140" s="3"/>
      <c r="K140" s="3"/>
      <c r="L140" s="2" t="str">
        <f>'0_Configuration'!$C$41</f>
        <v>Mg</v>
      </c>
      <c r="M140" s="9"/>
      <c r="N140" s="9"/>
      <c r="O140" s="9"/>
      <c r="P140" s="9"/>
      <c r="Q140" s="18" t="s">
        <v>3</v>
      </c>
      <c r="R140" s="3"/>
      <c r="S140" s="3"/>
      <c r="T140" s="9"/>
      <c r="U140" s="9"/>
      <c r="V140" s="2">
        <f>_xlfn.XLOOKUP(Tab_Data_Flows[[#This Row],[Flow_Name]],Tab_Def_Flows[Flow_Name],Tab_Def_Flows[Flow_E1_Fraction'[%']],"N.A.",0,1)</f>
        <v>0</v>
      </c>
      <c r="W140" s="8">
        <f t="shared" si="4"/>
        <v>0</v>
      </c>
      <c r="X140" s="2" t="str">
        <f>Tab_Data_Flows[[#This Row],[UoM_Source]]</f>
        <v>Mg</v>
      </c>
      <c r="Y140" s="19">
        <f>_xlfn.XLOOKUP(Tab_Data_Flows[[#This Row],[Flow_Name]],Tab_Def_Flows[Flow_Name],Tab_Def_Flows[Flow_E2_Fraction'[%']],"N.A.",0,1)</f>
        <v>0</v>
      </c>
      <c r="Z140" s="2">
        <f>IF(D140="Yes",W140*Tab_Data_Flows[[#This Row],[E2_Fraction'[%']]],"N.A.")</f>
        <v>0</v>
      </c>
      <c r="AA140" s="2" t="str">
        <f>Tab_Data_Flows[[#This Row],[E1_UoM]]</f>
        <v>Mg</v>
      </c>
      <c r="AB140" s="19">
        <f>_xlfn.XLOOKUP(Tab_Data_Flows[[#This Row],[Flow_Name]],Tab_Def_Flows[Flow_Name],Tab_Def_Flows[Flow_E3_Fraction'[%']],"N.A.",0,1)</f>
        <v>0</v>
      </c>
      <c r="AC140" s="2">
        <f>IF(E140="Yes",AB140*Tab_Data_Flows[[#This Row],[E1_value]],"N.A.")</f>
        <v>0</v>
      </c>
      <c r="AD140" s="2" t="str">
        <f>Tab_Data_Flows[[#This Row],[E1_UoM]]</f>
        <v>Mg</v>
      </c>
      <c r="AE140" s="19">
        <f>_xlfn.XLOOKUP(Tab_Data_Flows[[#This Row],[Flow_Name]],Tab_Def_Flows[Flow_Name],Tab_Def_Flows[Flow_E4_Fraction'[%']],"N.A.",0,1)</f>
        <v>0</v>
      </c>
      <c r="AF140" s="2">
        <f>IF(H140="Yes",Tab_Data_Flows[[#This Row],[E4_Fraction'[%']]]*Tab_Data_Flows[[#This Row],[E1_value]],"N.A.")</f>
        <v>0</v>
      </c>
      <c r="AG140" s="2" t="str">
        <f>Tab_Data_Flows[[#This Row],[E1_UoM]]</f>
        <v>Mg</v>
      </c>
      <c r="AH140" s="2">
        <f>_xlfn.XLOOKUP(Tab_Data_Flows[[#This Row],[Flow_Name]],Tab_Def_Flows[Flow_Name],Tab_Def_Flows[Flow_E5_Fraction'[%']],"N.A.",0,1)</f>
        <v>0</v>
      </c>
      <c r="AI140" s="2">
        <f>IF(H140="Yes",Tab_Data_Flows[[#This Row],[E5_Fraction'[%']]]*Tab_Data_Flows[[#This Row],[E1_value]],"N.A.")</f>
        <v>0</v>
      </c>
      <c r="AJ140" s="2" t="str">
        <f>Tab_Data_Flows[[#This Row],[E1_UoM]]</f>
        <v>Mg</v>
      </c>
      <c r="AK140" s="19">
        <f>_xlfn.XLOOKUP(Tab_Data_Flows[[#This Row],[Flow_Name]],Tab_Def_Flows[Flow_Name],Tab_Def_Flows[Flow_E6_Fraction'[%']],"N.A.",0,1)</f>
        <v>0</v>
      </c>
      <c r="AL140" s="2">
        <f>IF(Tab_Data_Flows[[#This Row],[Use_E6]]="Yes",Tab_Data_Flows[[#This Row],[E6_Fraction'[%']]]*Tab_Data_Flows[[#This Row],[E1_value]],"N.A.")</f>
        <v>0</v>
      </c>
      <c r="AM140" s="2" t="str">
        <f>Tab_Data_Flows[[#This Row],[E1_UoM]]</f>
        <v>Mg</v>
      </c>
    </row>
    <row r="141" spans="1:39" x14ac:dyDescent="0.25">
      <c r="A141" s="4">
        <f t="shared" si="5"/>
        <v>140</v>
      </c>
      <c r="B141" s="2" t="str">
        <f>_xlfn.XLOOKUP(C141,Tab_Def_Flows[Flow_Name],Tab_Def_Flows[Flow_ID],,0,)</f>
        <v>F__</v>
      </c>
      <c r="C141" s="18" t="s">
        <v>5</v>
      </c>
      <c r="D141" s="5" t="str">
        <f>_xlfn.XLOOKUP(C141,Tab_Def_Flows[Flow_Name],Tab_Def_Flows[Use_E1],,0,)</f>
        <v>Yes</v>
      </c>
      <c r="E141" s="5" t="str">
        <f>_xlfn.XLOOKUP(C141,Tab_Def_Flows[Flow_Name],Tab_Def_Flows[Use_E2],,0,)</f>
        <v>Yes</v>
      </c>
      <c r="F141" s="5" t="str">
        <f>_xlfn.XLOOKUP(C141,Tab_Def_Flows[Flow_Name],Tab_Def_Flows[Use_E3],,0,)</f>
        <v>Yes</v>
      </c>
      <c r="G141" s="5" t="str">
        <f>_xlfn.XLOOKUP(C141,Tab_Def_Flows[Flow_Name],Tab_Def_Flows[Use_E4],,0,)</f>
        <v>Yes</v>
      </c>
      <c r="H141" s="5" t="str">
        <f>_xlfn.XLOOKUP(C141,Tab_Def_Flows[Flow_Name],Tab_Def_Flows[Use_E5],,0,)</f>
        <v>Yes</v>
      </c>
      <c r="I141" s="5" t="str">
        <f>_xlfn.XLOOKUP(C141,Tab_Def_Flows[Flow_Name],Tab_Def_Flows[Use_E6],,0,)</f>
        <v>Yes</v>
      </c>
      <c r="J141" s="3"/>
      <c r="K141" s="3"/>
      <c r="L141" s="2" t="str">
        <f>'0_Configuration'!$C$41</f>
        <v>Mg</v>
      </c>
      <c r="M141" s="9"/>
      <c r="N141" s="9"/>
      <c r="O141" s="9"/>
      <c r="P141" s="9"/>
      <c r="Q141" s="18" t="s">
        <v>3</v>
      </c>
      <c r="R141" s="3"/>
      <c r="S141" s="3"/>
      <c r="T141" s="9"/>
      <c r="U141" s="9"/>
      <c r="V141" s="2">
        <f>_xlfn.XLOOKUP(Tab_Data_Flows[[#This Row],[Flow_Name]],Tab_Def_Flows[Flow_Name],Tab_Def_Flows[Flow_E1_Fraction'[%']],"N.A.",0,1)</f>
        <v>0</v>
      </c>
      <c r="W141" s="8">
        <f t="shared" si="4"/>
        <v>0</v>
      </c>
      <c r="X141" s="2" t="str">
        <f>Tab_Data_Flows[[#This Row],[UoM_Source]]</f>
        <v>Mg</v>
      </c>
      <c r="Y141" s="19">
        <f>_xlfn.XLOOKUP(Tab_Data_Flows[[#This Row],[Flow_Name]],Tab_Def_Flows[Flow_Name],Tab_Def_Flows[Flow_E2_Fraction'[%']],"N.A.",0,1)</f>
        <v>0</v>
      </c>
      <c r="Z141" s="2">
        <f>IF(D141="Yes",W141*Tab_Data_Flows[[#This Row],[E2_Fraction'[%']]],"N.A.")</f>
        <v>0</v>
      </c>
      <c r="AA141" s="2" t="str">
        <f>Tab_Data_Flows[[#This Row],[E1_UoM]]</f>
        <v>Mg</v>
      </c>
      <c r="AB141" s="19">
        <f>_xlfn.XLOOKUP(Tab_Data_Flows[[#This Row],[Flow_Name]],Tab_Def_Flows[Flow_Name],Tab_Def_Flows[Flow_E3_Fraction'[%']],"N.A.",0,1)</f>
        <v>0</v>
      </c>
      <c r="AC141" s="2">
        <f>IF(E141="Yes",AB141*Tab_Data_Flows[[#This Row],[E1_value]],"N.A.")</f>
        <v>0</v>
      </c>
      <c r="AD141" s="2" t="str">
        <f>Tab_Data_Flows[[#This Row],[E1_UoM]]</f>
        <v>Mg</v>
      </c>
      <c r="AE141" s="19">
        <f>_xlfn.XLOOKUP(Tab_Data_Flows[[#This Row],[Flow_Name]],Tab_Def_Flows[Flow_Name],Tab_Def_Flows[Flow_E4_Fraction'[%']],"N.A.",0,1)</f>
        <v>0</v>
      </c>
      <c r="AF141" s="2">
        <f>IF(H141="Yes",Tab_Data_Flows[[#This Row],[E4_Fraction'[%']]]*Tab_Data_Flows[[#This Row],[E1_value]],"N.A.")</f>
        <v>0</v>
      </c>
      <c r="AG141" s="2" t="str">
        <f>Tab_Data_Flows[[#This Row],[E1_UoM]]</f>
        <v>Mg</v>
      </c>
      <c r="AH141" s="2">
        <f>_xlfn.XLOOKUP(Tab_Data_Flows[[#This Row],[Flow_Name]],Tab_Def_Flows[Flow_Name],Tab_Def_Flows[Flow_E5_Fraction'[%']],"N.A.",0,1)</f>
        <v>0</v>
      </c>
      <c r="AI141" s="2">
        <f>IF(H141="Yes",Tab_Data_Flows[[#This Row],[E5_Fraction'[%']]]*Tab_Data_Flows[[#This Row],[E1_value]],"N.A.")</f>
        <v>0</v>
      </c>
      <c r="AJ141" s="2" t="str">
        <f>Tab_Data_Flows[[#This Row],[E1_UoM]]</f>
        <v>Mg</v>
      </c>
      <c r="AK141" s="19">
        <f>_xlfn.XLOOKUP(Tab_Data_Flows[[#This Row],[Flow_Name]],Tab_Def_Flows[Flow_Name],Tab_Def_Flows[Flow_E6_Fraction'[%']],"N.A.",0,1)</f>
        <v>0</v>
      </c>
      <c r="AL141" s="2">
        <f>IF(Tab_Data_Flows[[#This Row],[Use_E6]]="Yes",Tab_Data_Flows[[#This Row],[E6_Fraction'[%']]]*Tab_Data_Flows[[#This Row],[E1_value]],"N.A.")</f>
        <v>0</v>
      </c>
      <c r="AM141" s="2" t="str">
        <f>Tab_Data_Flows[[#This Row],[E1_UoM]]</f>
        <v>Mg</v>
      </c>
    </row>
    <row r="142" spans="1:39" x14ac:dyDescent="0.25">
      <c r="A142" s="4">
        <f t="shared" si="5"/>
        <v>141</v>
      </c>
      <c r="B142" s="2" t="str">
        <f>_xlfn.XLOOKUP(C142,Tab_Def_Flows[Flow_Name],Tab_Def_Flows[Flow_ID],,0,)</f>
        <v>F__</v>
      </c>
      <c r="C142" s="18" t="s">
        <v>5</v>
      </c>
      <c r="D142" s="5" t="str">
        <f>_xlfn.XLOOKUP(C142,Tab_Def_Flows[Flow_Name],Tab_Def_Flows[Use_E1],,0,)</f>
        <v>Yes</v>
      </c>
      <c r="E142" s="5" t="str">
        <f>_xlfn.XLOOKUP(C142,Tab_Def_Flows[Flow_Name],Tab_Def_Flows[Use_E2],,0,)</f>
        <v>Yes</v>
      </c>
      <c r="F142" s="5" t="str">
        <f>_xlfn.XLOOKUP(C142,Tab_Def_Flows[Flow_Name],Tab_Def_Flows[Use_E3],,0,)</f>
        <v>Yes</v>
      </c>
      <c r="G142" s="5" t="str">
        <f>_xlfn.XLOOKUP(C142,Tab_Def_Flows[Flow_Name],Tab_Def_Flows[Use_E4],,0,)</f>
        <v>Yes</v>
      </c>
      <c r="H142" s="5" t="str">
        <f>_xlfn.XLOOKUP(C142,Tab_Def_Flows[Flow_Name],Tab_Def_Flows[Use_E5],,0,)</f>
        <v>Yes</v>
      </c>
      <c r="I142" s="5" t="str">
        <f>_xlfn.XLOOKUP(C142,Tab_Def_Flows[Flow_Name],Tab_Def_Flows[Use_E6],,0,)</f>
        <v>Yes</v>
      </c>
      <c r="J142" s="3"/>
      <c r="K142" s="3"/>
      <c r="L142" s="2" t="str">
        <f>'0_Configuration'!$C$41</f>
        <v>Mg</v>
      </c>
      <c r="M142" s="9"/>
      <c r="N142" s="9"/>
      <c r="O142" s="9"/>
      <c r="P142" s="9"/>
      <c r="Q142" s="18" t="s">
        <v>3</v>
      </c>
      <c r="R142" s="3"/>
      <c r="S142" s="3"/>
      <c r="T142" s="9"/>
      <c r="U142" s="9"/>
      <c r="V142" s="2">
        <f>_xlfn.XLOOKUP(Tab_Data_Flows[[#This Row],[Flow_Name]],Tab_Def_Flows[Flow_Name],Tab_Def_Flows[Flow_E1_Fraction'[%']],"N.A.",0,1)</f>
        <v>0</v>
      </c>
      <c r="W142" s="8">
        <f t="shared" si="4"/>
        <v>0</v>
      </c>
      <c r="X142" s="2" t="str">
        <f>Tab_Data_Flows[[#This Row],[UoM_Source]]</f>
        <v>Mg</v>
      </c>
      <c r="Y142" s="19">
        <f>_xlfn.XLOOKUP(Tab_Data_Flows[[#This Row],[Flow_Name]],Tab_Def_Flows[Flow_Name],Tab_Def_Flows[Flow_E2_Fraction'[%']],"N.A.",0,1)</f>
        <v>0</v>
      </c>
      <c r="Z142" s="2">
        <f>IF(D142="Yes",W142*Tab_Data_Flows[[#This Row],[E2_Fraction'[%']]],"N.A.")</f>
        <v>0</v>
      </c>
      <c r="AA142" s="2" t="str">
        <f>Tab_Data_Flows[[#This Row],[E1_UoM]]</f>
        <v>Mg</v>
      </c>
      <c r="AB142" s="19">
        <f>_xlfn.XLOOKUP(Tab_Data_Flows[[#This Row],[Flow_Name]],Tab_Def_Flows[Flow_Name],Tab_Def_Flows[Flow_E3_Fraction'[%']],"N.A.",0,1)</f>
        <v>0</v>
      </c>
      <c r="AC142" s="2">
        <f>IF(E142="Yes",AB142*Tab_Data_Flows[[#This Row],[E1_value]],"N.A.")</f>
        <v>0</v>
      </c>
      <c r="AD142" s="2" t="str">
        <f>Tab_Data_Flows[[#This Row],[E1_UoM]]</f>
        <v>Mg</v>
      </c>
      <c r="AE142" s="19">
        <f>_xlfn.XLOOKUP(Tab_Data_Flows[[#This Row],[Flow_Name]],Tab_Def_Flows[Flow_Name],Tab_Def_Flows[Flow_E4_Fraction'[%']],"N.A.",0,1)</f>
        <v>0</v>
      </c>
      <c r="AF142" s="2">
        <f>IF(H142="Yes",Tab_Data_Flows[[#This Row],[E4_Fraction'[%']]]*Tab_Data_Flows[[#This Row],[E1_value]],"N.A.")</f>
        <v>0</v>
      </c>
      <c r="AG142" s="2" t="str">
        <f>Tab_Data_Flows[[#This Row],[E1_UoM]]</f>
        <v>Mg</v>
      </c>
      <c r="AH142" s="2">
        <f>_xlfn.XLOOKUP(Tab_Data_Flows[[#This Row],[Flow_Name]],Tab_Def_Flows[Flow_Name],Tab_Def_Flows[Flow_E5_Fraction'[%']],"N.A.",0,1)</f>
        <v>0</v>
      </c>
      <c r="AI142" s="2">
        <f>IF(H142="Yes",Tab_Data_Flows[[#This Row],[E5_Fraction'[%']]]*Tab_Data_Flows[[#This Row],[E1_value]],"N.A.")</f>
        <v>0</v>
      </c>
      <c r="AJ142" s="2" t="str">
        <f>Tab_Data_Flows[[#This Row],[E1_UoM]]</f>
        <v>Mg</v>
      </c>
      <c r="AK142" s="19">
        <f>_xlfn.XLOOKUP(Tab_Data_Flows[[#This Row],[Flow_Name]],Tab_Def_Flows[Flow_Name],Tab_Def_Flows[Flow_E6_Fraction'[%']],"N.A.",0,1)</f>
        <v>0</v>
      </c>
      <c r="AL142" s="2">
        <f>IF(Tab_Data_Flows[[#This Row],[Use_E6]]="Yes",Tab_Data_Flows[[#This Row],[E6_Fraction'[%']]]*Tab_Data_Flows[[#This Row],[E1_value]],"N.A.")</f>
        <v>0</v>
      </c>
      <c r="AM142" s="2" t="str">
        <f>Tab_Data_Flows[[#This Row],[E1_UoM]]</f>
        <v>Mg</v>
      </c>
    </row>
    <row r="143" spans="1:39" x14ac:dyDescent="0.25">
      <c r="A143" s="4">
        <f t="shared" si="5"/>
        <v>142</v>
      </c>
      <c r="B143" s="2" t="str">
        <f>_xlfn.XLOOKUP(C143,Tab_Def_Flows[Flow_Name],Tab_Def_Flows[Flow_ID],,0,)</f>
        <v>F__</v>
      </c>
      <c r="C143" s="18" t="s">
        <v>5</v>
      </c>
      <c r="D143" s="5" t="str">
        <f>_xlfn.XLOOKUP(C143,Tab_Def_Flows[Flow_Name],Tab_Def_Flows[Use_E1],,0,)</f>
        <v>Yes</v>
      </c>
      <c r="E143" s="5" t="str">
        <f>_xlfn.XLOOKUP(C143,Tab_Def_Flows[Flow_Name],Tab_Def_Flows[Use_E2],,0,)</f>
        <v>Yes</v>
      </c>
      <c r="F143" s="5" t="str">
        <f>_xlfn.XLOOKUP(C143,Tab_Def_Flows[Flow_Name],Tab_Def_Flows[Use_E3],,0,)</f>
        <v>Yes</v>
      </c>
      <c r="G143" s="5" t="str">
        <f>_xlfn.XLOOKUP(C143,Tab_Def_Flows[Flow_Name],Tab_Def_Flows[Use_E4],,0,)</f>
        <v>Yes</v>
      </c>
      <c r="H143" s="5" t="str">
        <f>_xlfn.XLOOKUP(C143,Tab_Def_Flows[Flow_Name],Tab_Def_Flows[Use_E5],,0,)</f>
        <v>Yes</v>
      </c>
      <c r="I143" s="5" t="str">
        <f>_xlfn.XLOOKUP(C143,Tab_Def_Flows[Flow_Name],Tab_Def_Flows[Use_E6],,0,)</f>
        <v>Yes</v>
      </c>
      <c r="J143" s="3"/>
      <c r="K143" s="3"/>
      <c r="L143" s="2" t="str">
        <f>'0_Configuration'!$C$41</f>
        <v>Mg</v>
      </c>
      <c r="M143" s="9"/>
      <c r="N143" s="9"/>
      <c r="O143" s="9"/>
      <c r="P143" s="9"/>
      <c r="Q143" s="18" t="s">
        <v>3</v>
      </c>
      <c r="R143" s="3"/>
      <c r="S143" s="3"/>
      <c r="T143" s="9"/>
      <c r="U143" s="9"/>
      <c r="V143" s="2">
        <f>_xlfn.XLOOKUP(Tab_Data_Flows[[#This Row],[Flow_Name]],Tab_Def_Flows[Flow_Name],Tab_Def_Flows[Flow_E1_Fraction'[%']],"N.A.",0,1)</f>
        <v>0</v>
      </c>
      <c r="W143" s="8">
        <f t="shared" si="4"/>
        <v>0</v>
      </c>
      <c r="X143" s="2" t="str">
        <f>Tab_Data_Flows[[#This Row],[UoM_Source]]</f>
        <v>Mg</v>
      </c>
      <c r="Y143" s="19">
        <f>_xlfn.XLOOKUP(Tab_Data_Flows[[#This Row],[Flow_Name]],Tab_Def_Flows[Flow_Name],Tab_Def_Flows[Flow_E2_Fraction'[%']],"N.A.",0,1)</f>
        <v>0</v>
      </c>
      <c r="Z143" s="2">
        <f>IF(D143="Yes",W143*Tab_Data_Flows[[#This Row],[E2_Fraction'[%']]],"N.A.")</f>
        <v>0</v>
      </c>
      <c r="AA143" s="2" t="str">
        <f>Tab_Data_Flows[[#This Row],[E1_UoM]]</f>
        <v>Mg</v>
      </c>
      <c r="AB143" s="19">
        <f>_xlfn.XLOOKUP(Tab_Data_Flows[[#This Row],[Flow_Name]],Tab_Def_Flows[Flow_Name],Tab_Def_Flows[Flow_E3_Fraction'[%']],"N.A.",0,1)</f>
        <v>0</v>
      </c>
      <c r="AC143" s="2">
        <f>IF(E143="Yes",AB143*Tab_Data_Flows[[#This Row],[E1_value]],"N.A.")</f>
        <v>0</v>
      </c>
      <c r="AD143" s="2" t="str">
        <f>Tab_Data_Flows[[#This Row],[E1_UoM]]</f>
        <v>Mg</v>
      </c>
      <c r="AE143" s="19">
        <f>_xlfn.XLOOKUP(Tab_Data_Flows[[#This Row],[Flow_Name]],Tab_Def_Flows[Flow_Name],Tab_Def_Flows[Flow_E4_Fraction'[%']],"N.A.",0,1)</f>
        <v>0</v>
      </c>
      <c r="AF143" s="2">
        <f>IF(H143="Yes",Tab_Data_Flows[[#This Row],[E4_Fraction'[%']]]*Tab_Data_Flows[[#This Row],[E1_value]],"N.A.")</f>
        <v>0</v>
      </c>
      <c r="AG143" s="2" t="str">
        <f>Tab_Data_Flows[[#This Row],[E1_UoM]]</f>
        <v>Mg</v>
      </c>
      <c r="AH143" s="2">
        <f>_xlfn.XLOOKUP(Tab_Data_Flows[[#This Row],[Flow_Name]],Tab_Def_Flows[Flow_Name],Tab_Def_Flows[Flow_E5_Fraction'[%']],"N.A.",0,1)</f>
        <v>0</v>
      </c>
      <c r="AI143" s="2">
        <f>IF(H143="Yes",Tab_Data_Flows[[#This Row],[E5_Fraction'[%']]]*Tab_Data_Flows[[#This Row],[E1_value]],"N.A.")</f>
        <v>0</v>
      </c>
      <c r="AJ143" s="2" t="str">
        <f>Tab_Data_Flows[[#This Row],[E1_UoM]]</f>
        <v>Mg</v>
      </c>
      <c r="AK143" s="19">
        <f>_xlfn.XLOOKUP(Tab_Data_Flows[[#This Row],[Flow_Name]],Tab_Def_Flows[Flow_Name],Tab_Def_Flows[Flow_E6_Fraction'[%']],"N.A.",0,1)</f>
        <v>0</v>
      </c>
      <c r="AL143" s="2">
        <f>IF(Tab_Data_Flows[[#This Row],[Use_E6]]="Yes",Tab_Data_Flows[[#This Row],[E6_Fraction'[%']]]*Tab_Data_Flows[[#This Row],[E1_value]],"N.A.")</f>
        <v>0</v>
      </c>
      <c r="AM143" s="2" t="str">
        <f>Tab_Data_Flows[[#This Row],[E1_UoM]]</f>
        <v>Mg</v>
      </c>
    </row>
    <row r="144" spans="1:39" x14ac:dyDescent="0.25">
      <c r="A144" s="4">
        <f t="shared" si="5"/>
        <v>143</v>
      </c>
      <c r="B144" s="2" t="str">
        <f>_xlfn.XLOOKUP(C144,Tab_Def_Flows[Flow_Name],Tab_Def_Flows[Flow_ID],,0,)</f>
        <v>F__</v>
      </c>
      <c r="C144" s="18" t="s">
        <v>5</v>
      </c>
      <c r="D144" s="5" t="str">
        <f>_xlfn.XLOOKUP(C144,Tab_Def_Flows[Flow_Name],Tab_Def_Flows[Use_E1],,0,)</f>
        <v>Yes</v>
      </c>
      <c r="E144" s="5" t="str">
        <f>_xlfn.XLOOKUP(C144,Tab_Def_Flows[Flow_Name],Tab_Def_Flows[Use_E2],,0,)</f>
        <v>Yes</v>
      </c>
      <c r="F144" s="5" t="str">
        <f>_xlfn.XLOOKUP(C144,Tab_Def_Flows[Flow_Name],Tab_Def_Flows[Use_E3],,0,)</f>
        <v>Yes</v>
      </c>
      <c r="G144" s="5" t="str">
        <f>_xlfn.XLOOKUP(C144,Tab_Def_Flows[Flow_Name],Tab_Def_Flows[Use_E4],,0,)</f>
        <v>Yes</v>
      </c>
      <c r="H144" s="5" t="str">
        <f>_xlfn.XLOOKUP(C144,Tab_Def_Flows[Flow_Name],Tab_Def_Flows[Use_E5],,0,)</f>
        <v>Yes</v>
      </c>
      <c r="I144" s="5" t="str">
        <f>_xlfn.XLOOKUP(C144,Tab_Def_Flows[Flow_Name],Tab_Def_Flows[Use_E6],,0,)</f>
        <v>Yes</v>
      </c>
      <c r="J144" s="3"/>
      <c r="K144" s="3"/>
      <c r="L144" s="2" t="str">
        <f>'0_Configuration'!$C$41</f>
        <v>Mg</v>
      </c>
      <c r="M144" s="9"/>
      <c r="N144" s="9"/>
      <c r="O144" s="9"/>
      <c r="P144" s="9"/>
      <c r="Q144" s="18" t="s">
        <v>3</v>
      </c>
      <c r="R144" s="3"/>
      <c r="S144" s="3"/>
      <c r="T144" s="9"/>
      <c r="U144" s="9"/>
      <c r="V144" s="2">
        <f>_xlfn.XLOOKUP(Tab_Data_Flows[[#This Row],[Flow_Name]],Tab_Def_Flows[Flow_Name],Tab_Def_Flows[Flow_E1_Fraction'[%']],"N.A.",0,1)</f>
        <v>0</v>
      </c>
      <c r="W144" s="8">
        <f t="shared" si="4"/>
        <v>0</v>
      </c>
      <c r="X144" s="2" t="str">
        <f>Tab_Data_Flows[[#This Row],[UoM_Source]]</f>
        <v>Mg</v>
      </c>
      <c r="Y144" s="19">
        <f>_xlfn.XLOOKUP(Tab_Data_Flows[[#This Row],[Flow_Name]],Tab_Def_Flows[Flow_Name],Tab_Def_Flows[Flow_E2_Fraction'[%']],"N.A.",0,1)</f>
        <v>0</v>
      </c>
      <c r="Z144" s="2">
        <f>IF(D144="Yes",W144*Tab_Data_Flows[[#This Row],[E2_Fraction'[%']]],"N.A.")</f>
        <v>0</v>
      </c>
      <c r="AA144" s="2" t="str">
        <f>Tab_Data_Flows[[#This Row],[E1_UoM]]</f>
        <v>Mg</v>
      </c>
      <c r="AB144" s="19">
        <f>_xlfn.XLOOKUP(Tab_Data_Flows[[#This Row],[Flow_Name]],Tab_Def_Flows[Flow_Name],Tab_Def_Flows[Flow_E3_Fraction'[%']],"N.A.",0,1)</f>
        <v>0</v>
      </c>
      <c r="AC144" s="2">
        <f>IF(E144="Yes",AB144*Tab_Data_Flows[[#This Row],[E1_value]],"N.A.")</f>
        <v>0</v>
      </c>
      <c r="AD144" s="2" t="str">
        <f>Tab_Data_Flows[[#This Row],[E1_UoM]]</f>
        <v>Mg</v>
      </c>
      <c r="AE144" s="19">
        <f>_xlfn.XLOOKUP(Tab_Data_Flows[[#This Row],[Flow_Name]],Tab_Def_Flows[Flow_Name],Tab_Def_Flows[Flow_E4_Fraction'[%']],"N.A.",0,1)</f>
        <v>0</v>
      </c>
      <c r="AF144" s="2">
        <f>IF(H144="Yes",Tab_Data_Flows[[#This Row],[E4_Fraction'[%']]]*Tab_Data_Flows[[#This Row],[E1_value]],"N.A.")</f>
        <v>0</v>
      </c>
      <c r="AG144" s="2" t="str">
        <f>Tab_Data_Flows[[#This Row],[E1_UoM]]</f>
        <v>Mg</v>
      </c>
      <c r="AH144" s="2">
        <f>_xlfn.XLOOKUP(Tab_Data_Flows[[#This Row],[Flow_Name]],Tab_Def_Flows[Flow_Name],Tab_Def_Flows[Flow_E5_Fraction'[%']],"N.A.",0,1)</f>
        <v>0</v>
      </c>
      <c r="AI144" s="2">
        <f>IF(H144="Yes",Tab_Data_Flows[[#This Row],[E5_Fraction'[%']]]*Tab_Data_Flows[[#This Row],[E1_value]],"N.A.")</f>
        <v>0</v>
      </c>
      <c r="AJ144" s="2" t="str">
        <f>Tab_Data_Flows[[#This Row],[E1_UoM]]</f>
        <v>Mg</v>
      </c>
      <c r="AK144" s="19">
        <f>_xlfn.XLOOKUP(Tab_Data_Flows[[#This Row],[Flow_Name]],Tab_Def_Flows[Flow_Name],Tab_Def_Flows[Flow_E6_Fraction'[%']],"N.A.",0,1)</f>
        <v>0</v>
      </c>
      <c r="AL144" s="2">
        <f>IF(Tab_Data_Flows[[#This Row],[Use_E6]]="Yes",Tab_Data_Flows[[#This Row],[E6_Fraction'[%']]]*Tab_Data_Flows[[#This Row],[E1_value]],"N.A.")</f>
        <v>0</v>
      </c>
      <c r="AM144" s="2" t="str">
        <f>Tab_Data_Flows[[#This Row],[E1_UoM]]</f>
        <v>Mg</v>
      </c>
    </row>
    <row r="145" spans="1:39" x14ac:dyDescent="0.25">
      <c r="A145" s="4">
        <f t="shared" si="5"/>
        <v>144</v>
      </c>
      <c r="B145" s="2" t="str">
        <f>_xlfn.XLOOKUP(C145,Tab_Def_Flows[Flow_Name],Tab_Def_Flows[Flow_ID],,0,)</f>
        <v>F__</v>
      </c>
      <c r="C145" s="18" t="s">
        <v>5</v>
      </c>
      <c r="D145" s="5" t="str">
        <f>_xlfn.XLOOKUP(C145,Tab_Def_Flows[Flow_Name],Tab_Def_Flows[Use_E1],,0,)</f>
        <v>Yes</v>
      </c>
      <c r="E145" s="5" t="str">
        <f>_xlfn.XLOOKUP(C145,Tab_Def_Flows[Flow_Name],Tab_Def_Flows[Use_E2],,0,)</f>
        <v>Yes</v>
      </c>
      <c r="F145" s="5" t="str">
        <f>_xlfn.XLOOKUP(C145,Tab_Def_Flows[Flow_Name],Tab_Def_Flows[Use_E3],,0,)</f>
        <v>Yes</v>
      </c>
      <c r="G145" s="5" t="str">
        <f>_xlfn.XLOOKUP(C145,Tab_Def_Flows[Flow_Name],Tab_Def_Flows[Use_E4],,0,)</f>
        <v>Yes</v>
      </c>
      <c r="H145" s="5" t="str">
        <f>_xlfn.XLOOKUP(C145,Tab_Def_Flows[Flow_Name],Tab_Def_Flows[Use_E5],,0,)</f>
        <v>Yes</v>
      </c>
      <c r="I145" s="5" t="str">
        <f>_xlfn.XLOOKUP(C145,Tab_Def_Flows[Flow_Name],Tab_Def_Flows[Use_E6],,0,)</f>
        <v>Yes</v>
      </c>
      <c r="J145" s="3"/>
      <c r="K145" s="3"/>
      <c r="L145" s="2" t="str">
        <f>'0_Configuration'!$C$41</f>
        <v>Mg</v>
      </c>
      <c r="M145" s="9"/>
      <c r="N145" s="9"/>
      <c r="O145" s="9"/>
      <c r="P145" s="9"/>
      <c r="Q145" s="18" t="s">
        <v>3</v>
      </c>
      <c r="R145" s="3"/>
      <c r="S145" s="3"/>
      <c r="T145" s="9"/>
      <c r="U145" s="9"/>
      <c r="V145" s="2">
        <f>_xlfn.XLOOKUP(Tab_Data_Flows[[#This Row],[Flow_Name]],Tab_Def_Flows[Flow_Name],Tab_Def_Flows[Flow_E1_Fraction'[%']],"N.A.",0,1)</f>
        <v>0</v>
      </c>
      <c r="W145" s="8">
        <f t="shared" si="4"/>
        <v>0</v>
      </c>
      <c r="X145" s="2" t="str">
        <f>Tab_Data_Flows[[#This Row],[UoM_Source]]</f>
        <v>Mg</v>
      </c>
      <c r="Y145" s="19">
        <f>_xlfn.XLOOKUP(Tab_Data_Flows[[#This Row],[Flow_Name]],Tab_Def_Flows[Flow_Name],Tab_Def_Flows[Flow_E2_Fraction'[%']],"N.A.",0,1)</f>
        <v>0</v>
      </c>
      <c r="Z145" s="2">
        <f>IF(D145="Yes",W145*Tab_Data_Flows[[#This Row],[E2_Fraction'[%']]],"N.A.")</f>
        <v>0</v>
      </c>
      <c r="AA145" s="2" t="str">
        <f>Tab_Data_Flows[[#This Row],[E1_UoM]]</f>
        <v>Mg</v>
      </c>
      <c r="AB145" s="19">
        <f>_xlfn.XLOOKUP(Tab_Data_Flows[[#This Row],[Flow_Name]],Tab_Def_Flows[Flow_Name],Tab_Def_Flows[Flow_E3_Fraction'[%']],"N.A.",0,1)</f>
        <v>0</v>
      </c>
      <c r="AC145" s="2">
        <f>IF(E145="Yes",AB145*Tab_Data_Flows[[#This Row],[E1_value]],"N.A.")</f>
        <v>0</v>
      </c>
      <c r="AD145" s="2" t="str">
        <f>Tab_Data_Flows[[#This Row],[E1_UoM]]</f>
        <v>Mg</v>
      </c>
      <c r="AE145" s="19">
        <f>_xlfn.XLOOKUP(Tab_Data_Flows[[#This Row],[Flow_Name]],Tab_Def_Flows[Flow_Name],Tab_Def_Flows[Flow_E4_Fraction'[%']],"N.A.",0,1)</f>
        <v>0</v>
      </c>
      <c r="AF145" s="2">
        <f>IF(H145="Yes",Tab_Data_Flows[[#This Row],[E4_Fraction'[%']]]*Tab_Data_Flows[[#This Row],[E1_value]],"N.A.")</f>
        <v>0</v>
      </c>
      <c r="AG145" s="2" t="str">
        <f>Tab_Data_Flows[[#This Row],[E1_UoM]]</f>
        <v>Mg</v>
      </c>
      <c r="AH145" s="2">
        <f>_xlfn.XLOOKUP(Tab_Data_Flows[[#This Row],[Flow_Name]],Tab_Def_Flows[Flow_Name],Tab_Def_Flows[Flow_E5_Fraction'[%']],"N.A.",0,1)</f>
        <v>0</v>
      </c>
      <c r="AI145" s="2">
        <f>IF(H145="Yes",Tab_Data_Flows[[#This Row],[E5_Fraction'[%']]]*Tab_Data_Flows[[#This Row],[E1_value]],"N.A.")</f>
        <v>0</v>
      </c>
      <c r="AJ145" s="2" t="str">
        <f>Tab_Data_Flows[[#This Row],[E1_UoM]]</f>
        <v>Mg</v>
      </c>
      <c r="AK145" s="19">
        <f>_xlfn.XLOOKUP(Tab_Data_Flows[[#This Row],[Flow_Name]],Tab_Def_Flows[Flow_Name],Tab_Def_Flows[Flow_E6_Fraction'[%']],"N.A.",0,1)</f>
        <v>0</v>
      </c>
      <c r="AL145" s="2">
        <f>IF(Tab_Data_Flows[[#This Row],[Use_E6]]="Yes",Tab_Data_Flows[[#This Row],[E6_Fraction'[%']]]*Tab_Data_Flows[[#This Row],[E1_value]],"N.A.")</f>
        <v>0</v>
      </c>
      <c r="AM145" s="2" t="str">
        <f>Tab_Data_Flows[[#This Row],[E1_UoM]]</f>
        <v>Mg</v>
      </c>
    </row>
    <row r="146" spans="1:39" x14ac:dyDescent="0.25">
      <c r="A146" s="4">
        <f t="shared" si="5"/>
        <v>145</v>
      </c>
      <c r="B146" s="2" t="str">
        <f>_xlfn.XLOOKUP(C146,Tab_Def_Flows[Flow_Name],Tab_Def_Flows[Flow_ID],,0,)</f>
        <v>F__</v>
      </c>
      <c r="C146" s="18" t="s">
        <v>5</v>
      </c>
      <c r="D146" s="5" t="str">
        <f>_xlfn.XLOOKUP(C146,Tab_Def_Flows[Flow_Name],Tab_Def_Flows[Use_E1],,0,)</f>
        <v>Yes</v>
      </c>
      <c r="E146" s="5" t="str">
        <f>_xlfn.XLOOKUP(C146,Tab_Def_Flows[Flow_Name],Tab_Def_Flows[Use_E2],,0,)</f>
        <v>Yes</v>
      </c>
      <c r="F146" s="5" t="str">
        <f>_xlfn.XLOOKUP(C146,Tab_Def_Flows[Flow_Name],Tab_Def_Flows[Use_E3],,0,)</f>
        <v>Yes</v>
      </c>
      <c r="G146" s="5" t="str">
        <f>_xlfn.XLOOKUP(C146,Tab_Def_Flows[Flow_Name],Tab_Def_Flows[Use_E4],,0,)</f>
        <v>Yes</v>
      </c>
      <c r="H146" s="5" t="str">
        <f>_xlfn.XLOOKUP(C146,Tab_Def_Flows[Flow_Name],Tab_Def_Flows[Use_E5],,0,)</f>
        <v>Yes</v>
      </c>
      <c r="I146" s="5" t="str">
        <f>_xlfn.XLOOKUP(C146,Tab_Def_Flows[Flow_Name],Tab_Def_Flows[Use_E6],,0,)</f>
        <v>Yes</v>
      </c>
      <c r="J146" s="3"/>
      <c r="K146" s="3"/>
      <c r="L146" s="2" t="str">
        <f>'0_Configuration'!$C$41</f>
        <v>Mg</v>
      </c>
      <c r="M146" s="9"/>
      <c r="N146" s="9"/>
      <c r="O146" s="9"/>
      <c r="P146" s="9"/>
      <c r="Q146" s="18" t="s">
        <v>3</v>
      </c>
      <c r="R146" s="3"/>
      <c r="S146" s="3"/>
      <c r="T146" s="9"/>
      <c r="U146" s="9"/>
      <c r="V146" s="2">
        <f>_xlfn.XLOOKUP(Tab_Data_Flows[[#This Row],[Flow_Name]],Tab_Def_Flows[Flow_Name],Tab_Def_Flows[Flow_E1_Fraction'[%']],"N.A.",0,1)</f>
        <v>0</v>
      </c>
      <c r="W146" s="8">
        <f t="shared" si="4"/>
        <v>0</v>
      </c>
      <c r="X146" s="2" t="str">
        <f>Tab_Data_Flows[[#This Row],[UoM_Source]]</f>
        <v>Mg</v>
      </c>
      <c r="Y146" s="19">
        <f>_xlfn.XLOOKUP(Tab_Data_Flows[[#This Row],[Flow_Name]],Tab_Def_Flows[Flow_Name],Tab_Def_Flows[Flow_E2_Fraction'[%']],"N.A.",0,1)</f>
        <v>0</v>
      </c>
      <c r="Z146" s="2">
        <f>IF(D146="Yes",W146*Tab_Data_Flows[[#This Row],[E2_Fraction'[%']]],"N.A.")</f>
        <v>0</v>
      </c>
      <c r="AA146" s="2" t="str">
        <f>Tab_Data_Flows[[#This Row],[E1_UoM]]</f>
        <v>Mg</v>
      </c>
      <c r="AB146" s="19">
        <f>_xlfn.XLOOKUP(Tab_Data_Flows[[#This Row],[Flow_Name]],Tab_Def_Flows[Flow_Name],Tab_Def_Flows[Flow_E3_Fraction'[%']],"N.A.",0,1)</f>
        <v>0</v>
      </c>
      <c r="AC146" s="2">
        <f>IF(E146="Yes",AB146*Tab_Data_Flows[[#This Row],[E1_value]],"N.A.")</f>
        <v>0</v>
      </c>
      <c r="AD146" s="2" t="str">
        <f>Tab_Data_Flows[[#This Row],[E1_UoM]]</f>
        <v>Mg</v>
      </c>
      <c r="AE146" s="19">
        <f>_xlfn.XLOOKUP(Tab_Data_Flows[[#This Row],[Flow_Name]],Tab_Def_Flows[Flow_Name],Tab_Def_Flows[Flow_E4_Fraction'[%']],"N.A.",0,1)</f>
        <v>0</v>
      </c>
      <c r="AF146" s="2">
        <f>IF(H146="Yes",Tab_Data_Flows[[#This Row],[E4_Fraction'[%']]]*Tab_Data_Flows[[#This Row],[E1_value]],"N.A.")</f>
        <v>0</v>
      </c>
      <c r="AG146" s="2" t="str">
        <f>Tab_Data_Flows[[#This Row],[E1_UoM]]</f>
        <v>Mg</v>
      </c>
      <c r="AH146" s="2">
        <f>_xlfn.XLOOKUP(Tab_Data_Flows[[#This Row],[Flow_Name]],Tab_Def_Flows[Flow_Name],Tab_Def_Flows[Flow_E5_Fraction'[%']],"N.A.",0,1)</f>
        <v>0</v>
      </c>
      <c r="AI146" s="2">
        <f>IF(H146="Yes",Tab_Data_Flows[[#This Row],[E5_Fraction'[%']]]*Tab_Data_Flows[[#This Row],[E1_value]],"N.A.")</f>
        <v>0</v>
      </c>
      <c r="AJ146" s="2" t="str">
        <f>Tab_Data_Flows[[#This Row],[E1_UoM]]</f>
        <v>Mg</v>
      </c>
      <c r="AK146" s="19">
        <f>_xlfn.XLOOKUP(Tab_Data_Flows[[#This Row],[Flow_Name]],Tab_Def_Flows[Flow_Name],Tab_Def_Flows[Flow_E6_Fraction'[%']],"N.A.",0,1)</f>
        <v>0</v>
      </c>
      <c r="AL146" s="2">
        <f>IF(Tab_Data_Flows[[#This Row],[Use_E6]]="Yes",Tab_Data_Flows[[#This Row],[E6_Fraction'[%']]]*Tab_Data_Flows[[#This Row],[E1_value]],"N.A.")</f>
        <v>0</v>
      </c>
      <c r="AM146" s="2" t="str">
        <f>Tab_Data_Flows[[#This Row],[E1_UoM]]</f>
        <v>Mg</v>
      </c>
    </row>
    <row r="147" spans="1:39" x14ac:dyDescent="0.25">
      <c r="A147" s="4">
        <f t="shared" si="5"/>
        <v>146</v>
      </c>
      <c r="B147" s="2" t="str">
        <f>_xlfn.XLOOKUP(C147,Tab_Def_Flows[Flow_Name],Tab_Def_Flows[Flow_ID],,0,)</f>
        <v>F__</v>
      </c>
      <c r="C147" s="18" t="s">
        <v>5</v>
      </c>
      <c r="D147" s="5" t="str">
        <f>_xlfn.XLOOKUP(C147,Tab_Def_Flows[Flow_Name],Tab_Def_Flows[Use_E1],,0,)</f>
        <v>Yes</v>
      </c>
      <c r="E147" s="5" t="str">
        <f>_xlfn.XLOOKUP(C147,Tab_Def_Flows[Flow_Name],Tab_Def_Flows[Use_E2],,0,)</f>
        <v>Yes</v>
      </c>
      <c r="F147" s="5" t="str">
        <f>_xlfn.XLOOKUP(C147,Tab_Def_Flows[Flow_Name],Tab_Def_Flows[Use_E3],,0,)</f>
        <v>Yes</v>
      </c>
      <c r="G147" s="5" t="str">
        <f>_xlfn.XLOOKUP(C147,Tab_Def_Flows[Flow_Name],Tab_Def_Flows[Use_E4],,0,)</f>
        <v>Yes</v>
      </c>
      <c r="H147" s="5" t="str">
        <f>_xlfn.XLOOKUP(C147,Tab_Def_Flows[Flow_Name],Tab_Def_Flows[Use_E5],,0,)</f>
        <v>Yes</v>
      </c>
      <c r="I147" s="5" t="str">
        <f>_xlfn.XLOOKUP(C147,Tab_Def_Flows[Flow_Name],Tab_Def_Flows[Use_E6],,0,)</f>
        <v>Yes</v>
      </c>
      <c r="J147" s="3"/>
      <c r="K147" s="3"/>
      <c r="L147" s="2" t="str">
        <f>'0_Configuration'!$C$41</f>
        <v>Mg</v>
      </c>
      <c r="M147" s="9"/>
      <c r="N147" s="9"/>
      <c r="O147" s="9"/>
      <c r="P147" s="9"/>
      <c r="Q147" s="18" t="s">
        <v>3</v>
      </c>
      <c r="R147" s="10"/>
      <c r="S147" s="3"/>
      <c r="T147" s="9"/>
      <c r="U147" s="9"/>
      <c r="V147" s="2">
        <f>_xlfn.XLOOKUP(Tab_Data_Flows[[#This Row],[Flow_Name]],Tab_Def_Flows[Flow_Name],Tab_Def_Flows[Flow_E1_Fraction'[%']],"N.A.",0,1)</f>
        <v>0</v>
      </c>
      <c r="W147" s="8">
        <f t="shared" si="4"/>
        <v>0</v>
      </c>
      <c r="X147" s="2" t="str">
        <f>Tab_Data_Flows[[#This Row],[UoM_Source]]</f>
        <v>Mg</v>
      </c>
      <c r="Y147" s="19">
        <f>_xlfn.XLOOKUP(Tab_Data_Flows[[#This Row],[Flow_Name]],Tab_Def_Flows[Flow_Name],Tab_Def_Flows[Flow_E2_Fraction'[%']],"N.A.",0,1)</f>
        <v>0</v>
      </c>
      <c r="Z147" s="2">
        <f>IF(D147="Yes",W147*Tab_Data_Flows[[#This Row],[E2_Fraction'[%']]],"N.A.")</f>
        <v>0</v>
      </c>
      <c r="AA147" s="2" t="str">
        <f>Tab_Data_Flows[[#This Row],[E1_UoM]]</f>
        <v>Mg</v>
      </c>
      <c r="AB147" s="19">
        <f>_xlfn.XLOOKUP(Tab_Data_Flows[[#This Row],[Flow_Name]],Tab_Def_Flows[Flow_Name],Tab_Def_Flows[Flow_E3_Fraction'[%']],"N.A.",0,1)</f>
        <v>0</v>
      </c>
      <c r="AC147" s="2">
        <f>IF(E147="Yes",AB147*Tab_Data_Flows[[#This Row],[E1_value]],"N.A.")</f>
        <v>0</v>
      </c>
      <c r="AD147" s="2" t="str">
        <f>Tab_Data_Flows[[#This Row],[E1_UoM]]</f>
        <v>Mg</v>
      </c>
      <c r="AE147" s="19">
        <f>_xlfn.XLOOKUP(Tab_Data_Flows[[#This Row],[Flow_Name]],Tab_Def_Flows[Flow_Name],Tab_Def_Flows[Flow_E4_Fraction'[%']],"N.A.",0,1)</f>
        <v>0</v>
      </c>
      <c r="AF147" s="2">
        <f>IF(H147="Yes",Tab_Data_Flows[[#This Row],[E4_Fraction'[%']]]*Tab_Data_Flows[[#This Row],[E1_value]],"N.A.")</f>
        <v>0</v>
      </c>
      <c r="AG147" s="2" t="str">
        <f>Tab_Data_Flows[[#This Row],[E1_UoM]]</f>
        <v>Mg</v>
      </c>
      <c r="AH147" s="2">
        <f>_xlfn.XLOOKUP(Tab_Data_Flows[[#This Row],[Flow_Name]],Tab_Def_Flows[Flow_Name],Tab_Def_Flows[Flow_E5_Fraction'[%']],"N.A.",0,1)</f>
        <v>0</v>
      </c>
      <c r="AI147" s="2">
        <f>IF(H147="Yes",Tab_Data_Flows[[#This Row],[E5_Fraction'[%']]]*Tab_Data_Flows[[#This Row],[E1_value]],"N.A.")</f>
        <v>0</v>
      </c>
      <c r="AJ147" s="2" t="str">
        <f>Tab_Data_Flows[[#This Row],[E1_UoM]]</f>
        <v>Mg</v>
      </c>
      <c r="AK147" s="19">
        <f>_xlfn.XLOOKUP(Tab_Data_Flows[[#This Row],[Flow_Name]],Tab_Def_Flows[Flow_Name],Tab_Def_Flows[Flow_E6_Fraction'[%']],"N.A.",0,1)</f>
        <v>0</v>
      </c>
      <c r="AL147" s="2">
        <f>IF(Tab_Data_Flows[[#This Row],[Use_E6]]="Yes",Tab_Data_Flows[[#This Row],[E6_Fraction'[%']]]*Tab_Data_Flows[[#This Row],[E1_value]],"N.A.")</f>
        <v>0</v>
      </c>
      <c r="AM147" s="2" t="str">
        <f>Tab_Data_Flows[[#This Row],[E1_UoM]]</f>
        <v>Mg</v>
      </c>
    </row>
    <row r="148" spans="1:39" x14ac:dyDescent="0.25">
      <c r="A148" s="4">
        <f t="shared" si="5"/>
        <v>147</v>
      </c>
      <c r="B148" s="2" t="str">
        <f>_xlfn.XLOOKUP(C148,Tab_Def_Flows[Flow_Name],Tab_Def_Flows[Flow_ID],,0,)</f>
        <v>F__</v>
      </c>
      <c r="C148" s="18" t="s">
        <v>5</v>
      </c>
      <c r="D148" s="5" t="str">
        <f>_xlfn.XLOOKUP(C148,Tab_Def_Flows[Flow_Name],Tab_Def_Flows[Use_E1],,0,)</f>
        <v>Yes</v>
      </c>
      <c r="E148" s="5" t="str">
        <f>_xlfn.XLOOKUP(C148,Tab_Def_Flows[Flow_Name],Tab_Def_Flows[Use_E2],,0,)</f>
        <v>Yes</v>
      </c>
      <c r="F148" s="5" t="str">
        <f>_xlfn.XLOOKUP(C148,Tab_Def_Flows[Flow_Name],Tab_Def_Flows[Use_E3],,0,)</f>
        <v>Yes</v>
      </c>
      <c r="G148" s="5" t="str">
        <f>_xlfn.XLOOKUP(C148,Tab_Def_Flows[Flow_Name],Tab_Def_Flows[Use_E4],,0,)</f>
        <v>Yes</v>
      </c>
      <c r="H148" s="5" t="str">
        <f>_xlfn.XLOOKUP(C148,Tab_Def_Flows[Flow_Name],Tab_Def_Flows[Use_E5],,0,)</f>
        <v>Yes</v>
      </c>
      <c r="I148" s="5" t="str">
        <f>_xlfn.XLOOKUP(C148,Tab_Def_Flows[Flow_Name],Tab_Def_Flows[Use_E6],,0,)</f>
        <v>Yes</v>
      </c>
      <c r="J148" s="3"/>
      <c r="K148" s="3"/>
      <c r="L148" s="2" t="str">
        <f>'0_Configuration'!$C$41</f>
        <v>Mg</v>
      </c>
      <c r="M148" s="9"/>
      <c r="N148" s="9"/>
      <c r="O148" s="9"/>
      <c r="P148" s="9"/>
      <c r="Q148" s="18" t="s">
        <v>3</v>
      </c>
      <c r="R148" s="10"/>
      <c r="S148" s="3"/>
      <c r="T148" s="9"/>
      <c r="U148" s="9"/>
      <c r="V148" s="2">
        <f>_xlfn.XLOOKUP(Tab_Data_Flows[[#This Row],[Flow_Name]],Tab_Def_Flows[Flow_Name],Tab_Def_Flows[Flow_E1_Fraction'[%']],"N.A.",0,1)</f>
        <v>0</v>
      </c>
      <c r="W148" s="8">
        <f t="shared" si="4"/>
        <v>0</v>
      </c>
      <c r="X148" s="2" t="str">
        <f>Tab_Data_Flows[[#This Row],[UoM_Source]]</f>
        <v>Mg</v>
      </c>
      <c r="Y148" s="19">
        <f>_xlfn.XLOOKUP(Tab_Data_Flows[[#This Row],[Flow_Name]],Tab_Def_Flows[Flow_Name],Tab_Def_Flows[Flow_E2_Fraction'[%']],"N.A.",0,1)</f>
        <v>0</v>
      </c>
      <c r="Z148" s="2">
        <f>IF(D148="Yes",W148*Tab_Data_Flows[[#This Row],[E2_Fraction'[%']]],"N.A.")</f>
        <v>0</v>
      </c>
      <c r="AA148" s="2" t="str">
        <f>Tab_Data_Flows[[#This Row],[E1_UoM]]</f>
        <v>Mg</v>
      </c>
      <c r="AB148" s="19">
        <f>_xlfn.XLOOKUP(Tab_Data_Flows[[#This Row],[Flow_Name]],Tab_Def_Flows[Flow_Name],Tab_Def_Flows[Flow_E3_Fraction'[%']],"N.A.",0,1)</f>
        <v>0</v>
      </c>
      <c r="AC148" s="2">
        <f>IF(E148="Yes",AB148*Tab_Data_Flows[[#This Row],[E1_value]],"N.A.")</f>
        <v>0</v>
      </c>
      <c r="AD148" s="2" t="str">
        <f>Tab_Data_Flows[[#This Row],[E1_UoM]]</f>
        <v>Mg</v>
      </c>
      <c r="AE148" s="19">
        <f>_xlfn.XLOOKUP(Tab_Data_Flows[[#This Row],[Flow_Name]],Tab_Def_Flows[Flow_Name],Tab_Def_Flows[Flow_E4_Fraction'[%']],"N.A.",0,1)</f>
        <v>0</v>
      </c>
      <c r="AF148" s="2">
        <f>IF(H148="Yes",Tab_Data_Flows[[#This Row],[E4_Fraction'[%']]]*Tab_Data_Flows[[#This Row],[E1_value]],"N.A.")</f>
        <v>0</v>
      </c>
      <c r="AG148" s="2" t="str">
        <f>Tab_Data_Flows[[#This Row],[E1_UoM]]</f>
        <v>Mg</v>
      </c>
      <c r="AH148" s="2">
        <f>_xlfn.XLOOKUP(Tab_Data_Flows[[#This Row],[Flow_Name]],Tab_Def_Flows[Flow_Name],Tab_Def_Flows[Flow_E5_Fraction'[%']],"N.A.",0,1)</f>
        <v>0</v>
      </c>
      <c r="AI148" s="2">
        <f>IF(H148="Yes",Tab_Data_Flows[[#This Row],[E5_Fraction'[%']]]*Tab_Data_Flows[[#This Row],[E1_value]],"N.A.")</f>
        <v>0</v>
      </c>
      <c r="AJ148" s="2" t="str">
        <f>Tab_Data_Flows[[#This Row],[E1_UoM]]</f>
        <v>Mg</v>
      </c>
      <c r="AK148" s="19">
        <f>_xlfn.XLOOKUP(Tab_Data_Flows[[#This Row],[Flow_Name]],Tab_Def_Flows[Flow_Name],Tab_Def_Flows[Flow_E6_Fraction'[%']],"N.A.",0,1)</f>
        <v>0</v>
      </c>
      <c r="AL148" s="2">
        <f>IF(Tab_Data_Flows[[#This Row],[Use_E6]]="Yes",Tab_Data_Flows[[#This Row],[E6_Fraction'[%']]]*Tab_Data_Flows[[#This Row],[E1_value]],"N.A.")</f>
        <v>0</v>
      </c>
      <c r="AM148" s="2" t="str">
        <f>Tab_Data_Flows[[#This Row],[E1_UoM]]</f>
        <v>Mg</v>
      </c>
    </row>
    <row r="149" spans="1:39" x14ac:dyDescent="0.25">
      <c r="A149" s="4">
        <f t="shared" si="5"/>
        <v>148</v>
      </c>
      <c r="B149" s="2" t="str">
        <f>_xlfn.XLOOKUP(C149,Tab_Def_Flows[Flow_Name],Tab_Def_Flows[Flow_ID],,0,)</f>
        <v>F__</v>
      </c>
      <c r="C149" s="18" t="s">
        <v>5</v>
      </c>
      <c r="D149" s="5" t="str">
        <f>_xlfn.XLOOKUP(C149,Tab_Def_Flows[Flow_Name],Tab_Def_Flows[Use_E1],,0,)</f>
        <v>Yes</v>
      </c>
      <c r="E149" s="5" t="str">
        <f>_xlfn.XLOOKUP(C149,Tab_Def_Flows[Flow_Name],Tab_Def_Flows[Use_E2],,0,)</f>
        <v>Yes</v>
      </c>
      <c r="F149" s="5" t="str">
        <f>_xlfn.XLOOKUP(C149,Tab_Def_Flows[Flow_Name],Tab_Def_Flows[Use_E3],,0,)</f>
        <v>Yes</v>
      </c>
      <c r="G149" s="5" t="str">
        <f>_xlfn.XLOOKUP(C149,Tab_Def_Flows[Flow_Name],Tab_Def_Flows[Use_E4],,0,)</f>
        <v>Yes</v>
      </c>
      <c r="H149" s="5" t="str">
        <f>_xlfn.XLOOKUP(C149,Tab_Def_Flows[Flow_Name],Tab_Def_Flows[Use_E5],,0,)</f>
        <v>Yes</v>
      </c>
      <c r="I149" s="5" t="str">
        <f>_xlfn.XLOOKUP(C149,Tab_Def_Flows[Flow_Name],Tab_Def_Flows[Use_E6],,0,)</f>
        <v>Yes</v>
      </c>
      <c r="J149" s="3"/>
      <c r="K149" s="3"/>
      <c r="L149" s="2" t="str">
        <f>'0_Configuration'!$C$41</f>
        <v>Mg</v>
      </c>
      <c r="M149" s="9"/>
      <c r="N149" s="9"/>
      <c r="O149" s="9"/>
      <c r="P149" s="9"/>
      <c r="Q149" s="18" t="s">
        <v>3</v>
      </c>
      <c r="R149" s="10"/>
      <c r="S149" s="3"/>
      <c r="T149" s="9"/>
      <c r="U149" s="9"/>
      <c r="V149" s="2">
        <f>_xlfn.XLOOKUP(Tab_Data_Flows[[#This Row],[Flow_Name]],Tab_Def_Flows[Flow_Name],Tab_Def_Flows[Flow_E1_Fraction'[%']],"N.A.",0,1)</f>
        <v>0</v>
      </c>
      <c r="W149" s="8">
        <f t="shared" si="4"/>
        <v>0</v>
      </c>
      <c r="X149" s="2" t="str">
        <f>Tab_Data_Flows[[#This Row],[UoM_Source]]</f>
        <v>Mg</v>
      </c>
      <c r="Y149" s="19">
        <f>_xlfn.XLOOKUP(Tab_Data_Flows[[#This Row],[Flow_Name]],Tab_Def_Flows[Flow_Name],Tab_Def_Flows[Flow_E2_Fraction'[%']],"N.A.",0,1)</f>
        <v>0</v>
      </c>
      <c r="Z149" s="2">
        <f>IF(D149="Yes",W149*Tab_Data_Flows[[#This Row],[E2_Fraction'[%']]],"N.A.")</f>
        <v>0</v>
      </c>
      <c r="AA149" s="2" t="str">
        <f>Tab_Data_Flows[[#This Row],[E1_UoM]]</f>
        <v>Mg</v>
      </c>
      <c r="AB149" s="19">
        <f>_xlfn.XLOOKUP(Tab_Data_Flows[[#This Row],[Flow_Name]],Tab_Def_Flows[Flow_Name],Tab_Def_Flows[Flow_E3_Fraction'[%']],"N.A.",0,1)</f>
        <v>0</v>
      </c>
      <c r="AC149" s="2">
        <f>IF(E149="Yes",AB149*Tab_Data_Flows[[#This Row],[E1_value]],"N.A.")</f>
        <v>0</v>
      </c>
      <c r="AD149" s="2" t="str">
        <f>Tab_Data_Flows[[#This Row],[E1_UoM]]</f>
        <v>Mg</v>
      </c>
      <c r="AE149" s="19">
        <f>_xlfn.XLOOKUP(Tab_Data_Flows[[#This Row],[Flow_Name]],Tab_Def_Flows[Flow_Name],Tab_Def_Flows[Flow_E4_Fraction'[%']],"N.A.",0,1)</f>
        <v>0</v>
      </c>
      <c r="AF149" s="2">
        <f>IF(H149="Yes",Tab_Data_Flows[[#This Row],[E4_Fraction'[%']]]*Tab_Data_Flows[[#This Row],[E1_value]],"N.A.")</f>
        <v>0</v>
      </c>
      <c r="AG149" s="2" t="str">
        <f>Tab_Data_Flows[[#This Row],[E1_UoM]]</f>
        <v>Mg</v>
      </c>
      <c r="AH149" s="2">
        <f>_xlfn.XLOOKUP(Tab_Data_Flows[[#This Row],[Flow_Name]],Tab_Def_Flows[Flow_Name],Tab_Def_Flows[Flow_E5_Fraction'[%']],"N.A.",0,1)</f>
        <v>0</v>
      </c>
      <c r="AI149" s="2">
        <f>IF(H149="Yes",Tab_Data_Flows[[#This Row],[E5_Fraction'[%']]]*Tab_Data_Flows[[#This Row],[E1_value]],"N.A.")</f>
        <v>0</v>
      </c>
      <c r="AJ149" s="2" t="str">
        <f>Tab_Data_Flows[[#This Row],[E1_UoM]]</f>
        <v>Mg</v>
      </c>
      <c r="AK149" s="19">
        <f>_xlfn.XLOOKUP(Tab_Data_Flows[[#This Row],[Flow_Name]],Tab_Def_Flows[Flow_Name],Tab_Def_Flows[Flow_E6_Fraction'[%']],"N.A.",0,1)</f>
        <v>0</v>
      </c>
      <c r="AL149" s="2">
        <f>IF(Tab_Data_Flows[[#This Row],[Use_E6]]="Yes",Tab_Data_Flows[[#This Row],[E6_Fraction'[%']]]*Tab_Data_Flows[[#This Row],[E1_value]],"N.A.")</f>
        <v>0</v>
      </c>
      <c r="AM149" s="2" t="str">
        <f>Tab_Data_Flows[[#This Row],[E1_UoM]]</f>
        <v>Mg</v>
      </c>
    </row>
    <row r="150" spans="1:39" x14ac:dyDescent="0.25">
      <c r="A150" s="4">
        <f t="shared" si="5"/>
        <v>149</v>
      </c>
      <c r="B150" s="2" t="str">
        <f>_xlfn.XLOOKUP(C150,Tab_Def_Flows[Flow_Name],Tab_Def_Flows[Flow_ID],,0,)</f>
        <v>F__</v>
      </c>
      <c r="C150" s="18" t="s">
        <v>5</v>
      </c>
      <c r="D150" s="5" t="str">
        <f>_xlfn.XLOOKUP(C150,Tab_Def_Flows[Flow_Name],Tab_Def_Flows[Use_E1],,0,)</f>
        <v>Yes</v>
      </c>
      <c r="E150" s="5" t="str">
        <f>_xlfn.XLOOKUP(C150,Tab_Def_Flows[Flow_Name],Tab_Def_Flows[Use_E2],,0,)</f>
        <v>Yes</v>
      </c>
      <c r="F150" s="5" t="str">
        <f>_xlfn.XLOOKUP(C150,Tab_Def_Flows[Flow_Name],Tab_Def_Flows[Use_E3],,0,)</f>
        <v>Yes</v>
      </c>
      <c r="G150" s="5" t="str">
        <f>_xlfn.XLOOKUP(C150,Tab_Def_Flows[Flow_Name],Tab_Def_Flows[Use_E4],,0,)</f>
        <v>Yes</v>
      </c>
      <c r="H150" s="5" t="str">
        <f>_xlfn.XLOOKUP(C150,Tab_Def_Flows[Flow_Name],Tab_Def_Flows[Use_E5],,0,)</f>
        <v>Yes</v>
      </c>
      <c r="I150" s="5" t="str">
        <f>_xlfn.XLOOKUP(C150,Tab_Def_Flows[Flow_Name],Tab_Def_Flows[Use_E6],,0,)</f>
        <v>Yes</v>
      </c>
      <c r="J150" s="3"/>
      <c r="K150" s="3"/>
      <c r="L150" s="2" t="str">
        <f>'0_Configuration'!$C$41</f>
        <v>Mg</v>
      </c>
      <c r="M150" s="9"/>
      <c r="N150" s="9"/>
      <c r="O150" s="9"/>
      <c r="P150" s="9"/>
      <c r="Q150" s="18" t="s">
        <v>3</v>
      </c>
      <c r="R150" s="10"/>
      <c r="S150" s="3"/>
      <c r="T150" s="9"/>
      <c r="U150" s="9"/>
      <c r="V150" s="2">
        <f>_xlfn.XLOOKUP(Tab_Data_Flows[[#This Row],[Flow_Name]],Tab_Def_Flows[Flow_Name],Tab_Def_Flows[Flow_E1_Fraction'[%']],"N.A.",0,1)</f>
        <v>0</v>
      </c>
      <c r="W150" s="8">
        <f t="shared" si="4"/>
        <v>0</v>
      </c>
      <c r="X150" s="2" t="str">
        <f>Tab_Data_Flows[[#This Row],[UoM_Source]]</f>
        <v>Mg</v>
      </c>
      <c r="Y150" s="19">
        <f>_xlfn.XLOOKUP(Tab_Data_Flows[[#This Row],[Flow_Name]],Tab_Def_Flows[Flow_Name],Tab_Def_Flows[Flow_E2_Fraction'[%']],"N.A.",0,1)</f>
        <v>0</v>
      </c>
      <c r="Z150" s="2">
        <f>IF(D150="Yes",W150*Tab_Data_Flows[[#This Row],[E2_Fraction'[%']]],"N.A.")</f>
        <v>0</v>
      </c>
      <c r="AA150" s="2" t="str">
        <f>Tab_Data_Flows[[#This Row],[E1_UoM]]</f>
        <v>Mg</v>
      </c>
      <c r="AB150" s="19">
        <f>_xlfn.XLOOKUP(Tab_Data_Flows[[#This Row],[Flow_Name]],Tab_Def_Flows[Flow_Name],Tab_Def_Flows[Flow_E3_Fraction'[%']],"N.A.",0,1)</f>
        <v>0</v>
      </c>
      <c r="AC150" s="2">
        <f>IF(E150="Yes",AB150*Tab_Data_Flows[[#This Row],[E1_value]],"N.A.")</f>
        <v>0</v>
      </c>
      <c r="AD150" s="2" t="str">
        <f>Tab_Data_Flows[[#This Row],[E1_UoM]]</f>
        <v>Mg</v>
      </c>
      <c r="AE150" s="19">
        <f>_xlfn.XLOOKUP(Tab_Data_Flows[[#This Row],[Flow_Name]],Tab_Def_Flows[Flow_Name],Tab_Def_Flows[Flow_E4_Fraction'[%']],"N.A.",0,1)</f>
        <v>0</v>
      </c>
      <c r="AF150" s="2">
        <f>IF(H150="Yes",Tab_Data_Flows[[#This Row],[E4_Fraction'[%']]]*Tab_Data_Flows[[#This Row],[E1_value]],"N.A.")</f>
        <v>0</v>
      </c>
      <c r="AG150" s="2" t="str">
        <f>Tab_Data_Flows[[#This Row],[E1_UoM]]</f>
        <v>Mg</v>
      </c>
      <c r="AH150" s="2">
        <f>_xlfn.XLOOKUP(Tab_Data_Flows[[#This Row],[Flow_Name]],Tab_Def_Flows[Flow_Name],Tab_Def_Flows[Flow_E5_Fraction'[%']],"N.A.",0,1)</f>
        <v>0</v>
      </c>
      <c r="AI150" s="2">
        <f>IF(H150="Yes",Tab_Data_Flows[[#This Row],[E5_Fraction'[%']]]*Tab_Data_Flows[[#This Row],[E1_value]],"N.A.")</f>
        <v>0</v>
      </c>
      <c r="AJ150" s="2" t="str">
        <f>Tab_Data_Flows[[#This Row],[E1_UoM]]</f>
        <v>Mg</v>
      </c>
      <c r="AK150" s="19">
        <f>_xlfn.XLOOKUP(Tab_Data_Flows[[#This Row],[Flow_Name]],Tab_Def_Flows[Flow_Name],Tab_Def_Flows[Flow_E6_Fraction'[%']],"N.A.",0,1)</f>
        <v>0</v>
      </c>
      <c r="AL150" s="2">
        <f>IF(Tab_Data_Flows[[#This Row],[Use_E6]]="Yes",Tab_Data_Flows[[#This Row],[E6_Fraction'[%']]]*Tab_Data_Flows[[#This Row],[E1_value]],"N.A.")</f>
        <v>0</v>
      </c>
      <c r="AM150" s="2" t="str">
        <f>Tab_Data_Flows[[#This Row],[E1_UoM]]</f>
        <v>Mg</v>
      </c>
    </row>
    <row r="151" spans="1:39" x14ac:dyDescent="0.25">
      <c r="A151" s="4">
        <f t="shared" si="5"/>
        <v>150</v>
      </c>
      <c r="B151" s="2" t="str">
        <f>_xlfn.XLOOKUP(C151,Tab_Def_Flows[Flow_Name],Tab_Def_Flows[Flow_ID],,0,)</f>
        <v>F__</v>
      </c>
      <c r="C151" s="18" t="s">
        <v>5</v>
      </c>
      <c r="D151" s="5" t="str">
        <f>_xlfn.XLOOKUP(C151,Tab_Def_Flows[Flow_Name],Tab_Def_Flows[Use_E1],,0,)</f>
        <v>Yes</v>
      </c>
      <c r="E151" s="5" t="str">
        <f>_xlfn.XLOOKUP(C151,Tab_Def_Flows[Flow_Name],Tab_Def_Flows[Use_E2],,0,)</f>
        <v>Yes</v>
      </c>
      <c r="F151" s="5" t="str">
        <f>_xlfn.XLOOKUP(C151,Tab_Def_Flows[Flow_Name],Tab_Def_Flows[Use_E3],,0,)</f>
        <v>Yes</v>
      </c>
      <c r="G151" s="5" t="str">
        <f>_xlfn.XLOOKUP(C151,Tab_Def_Flows[Flow_Name],Tab_Def_Flows[Use_E4],,0,)</f>
        <v>Yes</v>
      </c>
      <c r="H151" s="5" t="str">
        <f>_xlfn.XLOOKUP(C151,Tab_Def_Flows[Flow_Name],Tab_Def_Flows[Use_E5],,0,)</f>
        <v>Yes</v>
      </c>
      <c r="I151" s="5" t="str">
        <f>_xlfn.XLOOKUP(C151,Tab_Def_Flows[Flow_Name],Tab_Def_Flows[Use_E6],,0,)</f>
        <v>Yes</v>
      </c>
      <c r="J151" s="3"/>
      <c r="K151" s="3"/>
      <c r="L151" s="2" t="str">
        <f>'0_Configuration'!$C$41</f>
        <v>Mg</v>
      </c>
      <c r="M151" s="9"/>
      <c r="N151" s="9"/>
      <c r="O151" s="9"/>
      <c r="P151" s="9"/>
      <c r="Q151" s="18" t="s">
        <v>3</v>
      </c>
      <c r="R151" s="10"/>
      <c r="S151" s="3"/>
      <c r="T151" s="9"/>
      <c r="U151" s="9"/>
      <c r="V151" s="2">
        <f>_xlfn.XLOOKUP(Tab_Data_Flows[[#This Row],[Flow_Name]],Tab_Def_Flows[Flow_Name],Tab_Def_Flows[Flow_E1_Fraction'[%']],"N.A.",0,1)</f>
        <v>0</v>
      </c>
      <c r="W151" s="8">
        <f t="shared" si="4"/>
        <v>0</v>
      </c>
      <c r="X151" s="2" t="str">
        <f>Tab_Data_Flows[[#This Row],[UoM_Source]]</f>
        <v>Mg</v>
      </c>
      <c r="Y151" s="19">
        <f>_xlfn.XLOOKUP(Tab_Data_Flows[[#This Row],[Flow_Name]],Tab_Def_Flows[Flow_Name],Tab_Def_Flows[Flow_E2_Fraction'[%']],"N.A.",0,1)</f>
        <v>0</v>
      </c>
      <c r="Z151" s="2">
        <f>IF(D151="Yes",W151*Tab_Data_Flows[[#This Row],[E2_Fraction'[%']]],"N.A.")</f>
        <v>0</v>
      </c>
      <c r="AA151" s="2" t="str">
        <f>Tab_Data_Flows[[#This Row],[E1_UoM]]</f>
        <v>Mg</v>
      </c>
      <c r="AB151" s="19">
        <f>_xlfn.XLOOKUP(Tab_Data_Flows[[#This Row],[Flow_Name]],Tab_Def_Flows[Flow_Name],Tab_Def_Flows[Flow_E3_Fraction'[%']],"N.A.",0,1)</f>
        <v>0</v>
      </c>
      <c r="AC151" s="2">
        <f>IF(E151="Yes",AB151*Tab_Data_Flows[[#This Row],[E1_value]],"N.A.")</f>
        <v>0</v>
      </c>
      <c r="AD151" s="2" t="str">
        <f>Tab_Data_Flows[[#This Row],[E1_UoM]]</f>
        <v>Mg</v>
      </c>
      <c r="AE151" s="19">
        <f>_xlfn.XLOOKUP(Tab_Data_Flows[[#This Row],[Flow_Name]],Tab_Def_Flows[Flow_Name],Tab_Def_Flows[Flow_E4_Fraction'[%']],"N.A.",0,1)</f>
        <v>0</v>
      </c>
      <c r="AF151" s="2">
        <f>IF(H151="Yes",Tab_Data_Flows[[#This Row],[E4_Fraction'[%']]]*Tab_Data_Flows[[#This Row],[E1_value]],"N.A.")</f>
        <v>0</v>
      </c>
      <c r="AG151" s="2" t="str">
        <f>Tab_Data_Flows[[#This Row],[E1_UoM]]</f>
        <v>Mg</v>
      </c>
      <c r="AH151" s="2">
        <f>_xlfn.XLOOKUP(Tab_Data_Flows[[#This Row],[Flow_Name]],Tab_Def_Flows[Flow_Name],Tab_Def_Flows[Flow_E5_Fraction'[%']],"N.A.",0,1)</f>
        <v>0</v>
      </c>
      <c r="AI151" s="2">
        <f>IF(H151="Yes",Tab_Data_Flows[[#This Row],[E5_Fraction'[%']]]*Tab_Data_Flows[[#This Row],[E1_value]],"N.A.")</f>
        <v>0</v>
      </c>
      <c r="AJ151" s="2" t="str">
        <f>Tab_Data_Flows[[#This Row],[E1_UoM]]</f>
        <v>Mg</v>
      </c>
      <c r="AK151" s="19">
        <f>_xlfn.XLOOKUP(Tab_Data_Flows[[#This Row],[Flow_Name]],Tab_Def_Flows[Flow_Name],Tab_Def_Flows[Flow_E6_Fraction'[%']],"N.A.",0,1)</f>
        <v>0</v>
      </c>
      <c r="AL151" s="2">
        <f>IF(Tab_Data_Flows[[#This Row],[Use_E6]]="Yes",Tab_Data_Flows[[#This Row],[E6_Fraction'[%']]]*Tab_Data_Flows[[#This Row],[E1_value]],"N.A.")</f>
        <v>0</v>
      </c>
      <c r="AM151" s="2" t="str">
        <f>Tab_Data_Flows[[#This Row],[E1_UoM]]</f>
        <v>Mg</v>
      </c>
    </row>
    <row r="152" spans="1:39" x14ac:dyDescent="0.25">
      <c r="A152" s="4">
        <f t="shared" si="5"/>
        <v>151</v>
      </c>
      <c r="B152" s="2" t="str">
        <f>_xlfn.XLOOKUP(C152,Tab_Def_Flows[Flow_Name],Tab_Def_Flows[Flow_ID],,0,)</f>
        <v>F__</v>
      </c>
      <c r="C152" s="18" t="s">
        <v>5</v>
      </c>
      <c r="D152" s="5" t="str">
        <f>_xlfn.XLOOKUP(C152,Tab_Def_Flows[Flow_Name],Tab_Def_Flows[Use_E1],,0,)</f>
        <v>Yes</v>
      </c>
      <c r="E152" s="5" t="str">
        <f>_xlfn.XLOOKUP(C152,Tab_Def_Flows[Flow_Name],Tab_Def_Flows[Use_E2],,0,)</f>
        <v>Yes</v>
      </c>
      <c r="F152" s="5" t="str">
        <f>_xlfn.XLOOKUP(C152,Tab_Def_Flows[Flow_Name],Tab_Def_Flows[Use_E3],,0,)</f>
        <v>Yes</v>
      </c>
      <c r="G152" s="5" t="str">
        <f>_xlfn.XLOOKUP(C152,Tab_Def_Flows[Flow_Name],Tab_Def_Flows[Use_E4],,0,)</f>
        <v>Yes</v>
      </c>
      <c r="H152" s="5" t="str">
        <f>_xlfn.XLOOKUP(C152,Tab_Def_Flows[Flow_Name],Tab_Def_Flows[Use_E5],,0,)</f>
        <v>Yes</v>
      </c>
      <c r="I152" s="5" t="str">
        <f>_xlfn.XLOOKUP(C152,Tab_Def_Flows[Flow_Name],Tab_Def_Flows[Use_E6],,0,)</f>
        <v>Yes</v>
      </c>
      <c r="J152" s="3"/>
      <c r="K152" s="3"/>
      <c r="L152" s="2" t="str">
        <f>'0_Configuration'!$C$41</f>
        <v>Mg</v>
      </c>
      <c r="M152" s="9"/>
      <c r="N152" s="9"/>
      <c r="O152" s="9"/>
      <c r="P152" s="9"/>
      <c r="Q152" s="18" t="s">
        <v>3</v>
      </c>
      <c r="R152" s="10"/>
      <c r="S152" s="3"/>
      <c r="T152" s="9"/>
      <c r="U152" s="9"/>
      <c r="V152" s="2">
        <f>_xlfn.XLOOKUP(Tab_Data_Flows[[#This Row],[Flow_Name]],Tab_Def_Flows[Flow_Name],Tab_Def_Flows[Flow_E1_Fraction'[%']],"N.A.",0,1)</f>
        <v>0</v>
      </c>
      <c r="W152" s="8">
        <f t="shared" si="4"/>
        <v>0</v>
      </c>
      <c r="X152" s="2" t="str">
        <f>Tab_Data_Flows[[#This Row],[UoM_Source]]</f>
        <v>Mg</v>
      </c>
      <c r="Y152" s="19">
        <f>_xlfn.XLOOKUP(Tab_Data_Flows[[#This Row],[Flow_Name]],Tab_Def_Flows[Flow_Name],Tab_Def_Flows[Flow_E2_Fraction'[%']],"N.A.",0,1)</f>
        <v>0</v>
      </c>
      <c r="Z152" s="2">
        <f>IF(D152="Yes",W152*Tab_Data_Flows[[#This Row],[E2_Fraction'[%']]],"N.A.")</f>
        <v>0</v>
      </c>
      <c r="AA152" s="2" t="str">
        <f>Tab_Data_Flows[[#This Row],[E1_UoM]]</f>
        <v>Mg</v>
      </c>
      <c r="AB152" s="19">
        <f>_xlfn.XLOOKUP(Tab_Data_Flows[[#This Row],[Flow_Name]],Tab_Def_Flows[Flow_Name],Tab_Def_Flows[Flow_E3_Fraction'[%']],"N.A.",0,1)</f>
        <v>0</v>
      </c>
      <c r="AC152" s="2">
        <f>IF(E152="Yes",AB152*Tab_Data_Flows[[#This Row],[E1_value]],"N.A.")</f>
        <v>0</v>
      </c>
      <c r="AD152" s="2" t="str">
        <f>Tab_Data_Flows[[#This Row],[E1_UoM]]</f>
        <v>Mg</v>
      </c>
      <c r="AE152" s="19">
        <f>_xlfn.XLOOKUP(Tab_Data_Flows[[#This Row],[Flow_Name]],Tab_Def_Flows[Flow_Name],Tab_Def_Flows[Flow_E4_Fraction'[%']],"N.A.",0,1)</f>
        <v>0</v>
      </c>
      <c r="AF152" s="2">
        <f>IF(H152="Yes",Tab_Data_Flows[[#This Row],[E4_Fraction'[%']]]*Tab_Data_Flows[[#This Row],[E1_value]],"N.A.")</f>
        <v>0</v>
      </c>
      <c r="AG152" s="2" t="str">
        <f>Tab_Data_Flows[[#This Row],[E1_UoM]]</f>
        <v>Mg</v>
      </c>
      <c r="AH152" s="2">
        <f>_xlfn.XLOOKUP(Tab_Data_Flows[[#This Row],[Flow_Name]],Tab_Def_Flows[Flow_Name],Tab_Def_Flows[Flow_E5_Fraction'[%']],"N.A.",0,1)</f>
        <v>0</v>
      </c>
      <c r="AI152" s="2">
        <f>IF(H152="Yes",Tab_Data_Flows[[#This Row],[E5_Fraction'[%']]]*Tab_Data_Flows[[#This Row],[E1_value]],"N.A.")</f>
        <v>0</v>
      </c>
      <c r="AJ152" s="2" t="str">
        <f>Tab_Data_Flows[[#This Row],[E1_UoM]]</f>
        <v>Mg</v>
      </c>
      <c r="AK152" s="19">
        <f>_xlfn.XLOOKUP(Tab_Data_Flows[[#This Row],[Flow_Name]],Tab_Def_Flows[Flow_Name],Tab_Def_Flows[Flow_E6_Fraction'[%']],"N.A.",0,1)</f>
        <v>0</v>
      </c>
      <c r="AL152" s="2">
        <f>IF(Tab_Data_Flows[[#This Row],[Use_E6]]="Yes",Tab_Data_Flows[[#This Row],[E6_Fraction'[%']]]*Tab_Data_Flows[[#This Row],[E1_value]],"N.A.")</f>
        <v>0</v>
      </c>
      <c r="AM152" s="2" t="str">
        <f>Tab_Data_Flows[[#This Row],[E1_UoM]]</f>
        <v>Mg</v>
      </c>
    </row>
    <row r="153" spans="1:39" x14ac:dyDescent="0.25">
      <c r="A153" s="4">
        <f t="shared" si="5"/>
        <v>152</v>
      </c>
      <c r="B153" s="2" t="str">
        <f>_xlfn.XLOOKUP(C153,Tab_Def_Flows[Flow_Name],Tab_Def_Flows[Flow_ID],,0,)</f>
        <v>F__</v>
      </c>
      <c r="C153" s="18" t="s">
        <v>5</v>
      </c>
      <c r="D153" s="5" t="str">
        <f>_xlfn.XLOOKUP(C153,Tab_Def_Flows[Flow_Name],Tab_Def_Flows[Use_E1],,0,)</f>
        <v>Yes</v>
      </c>
      <c r="E153" s="5" t="str">
        <f>_xlfn.XLOOKUP(C153,Tab_Def_Flows[Flow_Name],Tab_Def_Flows[Use_E2],,0,)</f>
        <v>Yes</v>
      </c>
      <c r="F153" s="5" t="str">
        <f>_xlfn.XLOOKUP(C153,Tab_Def_Flows[Flow_Name],Tab_Def_Flows[Use_E3],,0,)</f>
        <v>Yes</v>
      </c>
      <c r="G153" s="5" t="str">
        <f>_xlfn.XLOOKUP(C153,Tab_Def_Flows[Flow_Name],Tab_Def_Flows[Use_E4],,0,)</f>
        <v>Yes</v>
      </c>
      <c r="H153" s="5" t="str">
        <f>_xlfn.XLOOKUP(C153,Tab_Def_Flows[Flow_Name],Tab_Def_Flows[Use_E5],,0,)</f>
        <v>Yes</v>
      </c>
      <c r="I153" s="5" t="str">
        <f>_xlfn.XLOOKUP(C153,Tab_Def_Flows[Flow_Name],Tab_Def_Flows[Use_E6],,0,)</f>
        <v>Yes</v>
      </c>
      <c r="J153" s="3"/>
      <c r="K153" s="3"/>
      <c r="L153" s="2" t="str">
        <f>'0_Configuration'!$C$41</f>
        <v>Mg</v>
      </c>
      <c r="M153" s="9"/>
      <c r="N153" s="9"/>
      <c r="O153" s="9"/>
      <c r="P153" s="9"/>
      <c r="Q153" s="18" t="s">
        <v>3</v>
      </c>
      <c r="R153" s="10"/>
      <c r="S153" s="3"/>
      <c r="T153" s="9"/>
      <c r="U153" s="9"/>
      <c r="V153" s="2">
        <f>_xlfn.XLOOKUP(Tab_Data_Flows[[#This Row],[Flow_Name]],Tab_Def_Flows[Flow_Name],Tab_Def_Flows[Flow_E1_Fraction'[%']],"N.A.",0,1)</f>
        <v>0</v>
      </c>
      <c r="W153" s="8">
        <f t="shared" si="4"/>
        <v>0</v>
      </c>
      <c r="X153" s="2" t="str">
        <f>Tab_Data_Flows[[#This Row],[UoM_Source]]</f>
        <v>Mg</v>
      </c>
      <c r="Y153" s="19">
        <f>_xlfn.XLOOKUP(Tab_Data_Flows[[#This Row],[Flow_Name]],Tab_Def_Flows[Flow_Name],Tab_Def_Flows[Flow_E2_Fraction'[%']],"N.A.",0,1)</f>
        <v>0</v>
      </c>
      <c r="Z153" s="2">
        <f>IF(D153="Yes",W153*Tab_Data_Flows[[#This Row],[E2_Fraction'[%']]],"N.A.")</f>
        <v>0</v>
      </c>
      <c r="AA153" s="2" t="str">
        <f>Tab_Data_Flows[[#This Row],[E1_UoM]]</f>
        <v>Mg</v>
      </c>
      <c r="AB153" s="19">
        <f>_xlfn.XLOOKUP(Tab_Data_Flows[[#This Row],[Flow_Name]],Tab_Def_Flows[Flow_Name],Tab_Def_Flows[Flow_E3_Fraction'[%']],"N.A.",0,1)</f>
        <v>0</v>
      </c>
      <c r="AC153" s="2">
        <f>IF(E153="Yes",AB153*Tab_Data_Flows[[#This Row],[E1_value]],"N.A.")</f>
        <v>0</v>
      </c>
      <c r="AD153" s="2" t="str">
        <f>Tab_Data_Flows[[#This Row],[E1_UoM]]</f>
        <v>Mg</v>
      </c>
      <c r="AE153" s="19">
        <f>_xlfn.XLOOKUP(Tab_Data_Flows[[#This Row],[Flow_Name]],Tab_Def_Flows[Flow_Name],Tab_Def_Flows[Flow_E4_Fraction'[%']],"N.A.",0,1)</f>
        <v>0</v>
      </c>
      <c r="AF153" s="2">
        <f>IF(H153="Yes",Tab_Data_Flows[[#This Row],[E4_Fraction'[%']]]*Tab_Data_Flows[[#This Row],[E1_value]],"N.A.")</f>
        <v>0</v>
      </c>
      <c r="AG153" s="2" t="str">
        <f>Tab_Data_Flows[[#This Row],[E1_UoM]]</f>
        <v>Mg</v>
      </c>
      <c r="AH153" s="2">
        <f>_xlfn.XLOOKUP(Tab_Data_Flows[[#This Row],[Flow_Name]],Tab_Def_Flows[Flow_Name],Tab_Def_Flows[Flow_E5_Fraction'[%']],"N.A.",0,1)</f>
        <v>0</v>
      </c>
      <c r="AI153" s="2">
        <f>IF(H153="Yes",Tab_Data_Flows[[#This Row],[E5_Fraction'[%']]]*Tab_Data_Flows[[#This Row],[E1_value]],"N.A.")</f>
        <v>0</v>
      </c>
      <c r="AJ153" s="2" t="str">
        <f>Tab_Data_Flows[[#This Row],[E1_UoM]]</f>
        <v>Mg</v>
      </c>
      <c r="AK153" s="19">
        <f>_xlfn.XLOOKUP(Tab_Data_Flows[[#This Row],[Flow_Name]],Tab_Def_Flows[Flow_Name],Tab_Def_Flows[Flow_E6_Fraction'[%']],"N.A.",0,1)</f>
        <v>0</v>
      </c>
      <c r="AL153" s="2">
        <f>IF(Tab_Data_Flows[[#This Row],[Use_E6]]="Yes",Tab_Data_Flows[[#This Row],[E6_Fraction'[%']]]*Tab_Data_Flows[[#This Row],[E1_value]],"N.A.")</f>
        <v>0</v>
      </c>
      <c r="AM153" s="2" t="str">
        <f>Tab_Data_Flows[[#This Row],[E1_UoM]]</f>
        <v>Mg</v>
      </c>
    </row>
    <row r="154" spans="1:39" x14ac:dyDescent="0.25">
      <c r="A154" s="4">
        <f t="shared" si="5"/>
        <v>153</v>
      </c>
      <c r="B154" s="2" t="str">
        <f>_xlfn.XLOOKUP(C154,Tab_Def_Flows[Flow_Name],Tab_Def_Flows[Flow_ID],,0,)</f>
        <v>F__</v>
      </c>
      <c r="C154" s="18" t="s">
        <v>5</v>
      </c>
      <c r="D154" s="5" t="str">
        <f>_xlfn.XLOOKUP(C154,Tab_Def_Flows[Flow_Name],Tab_Def_Flows[Use_E1],,0,)</f>
        <v>Yes</v>
      </c>
      <c r="E154" s="5" t="str">
        <f>_xlfn.XLOOKUP(C154,Tab_Def_Flows[Flow_Name],Tab_Def_Flows[Use_E2],,0,)</f>
        <v>Yes</v>
      </c>
      <c r="F154" s="5" t="str">
        <f>_xlfn.XLOOKUP(C154,Tab_Def_Flows[Flow_Name],Tab_Def_Flows[Use_E3],,0,)</f>
        <v>Yes</v>
      </c>
      <c r="G154" s="5" t="str">
        <f>_xlfn.XLOOKUP(C154,Tab_Def_Flows[Flow_Name],Tab_Def_Flows[Use_E4],,0,)</f>
        <v>Yes</v>
      </c>
      <c r="H154" s="5" t="str">
        <f>_xlfn.XLOOKUP(C154,Tab_Def_Flows[Flow_Name],Tab_Def_Flows[Use_E5],,0,)</f>
        <v>Yes</v>
      </c>
      <c r="I154" s="5" t="str">
        <f>_xlfn.XLOOKUP(C154,Tab_Def_Flows[Flow_Name],Tab_Def_Flows[Use_E6],,0,)</f>
        <v>Yes</v>
      </c>
      <c r="J154" s="3"/>
      <c r="K154" s="3"/>
      <c r="L154" s="2" t="str">
        <f>'0_Configuration'!$C$41</f>
        <v>Mg</v>
      </c>
      <c r="M154" s="9"/>
      <c r="N154" s="9"/>
      <c r="O154" s="9"/>
      <c r="P154" s="9"/>
      <c r="Q154" s="18" t="s">
        <v>3</v>
      </c>
      <c r="R154" s="3"/>
      <c r="S154" s="3"/>
      <c r="T154" s="9"/>
      <c r="U154" s="9"/>
      <c r="V154" s="2">
        <f>_xlfn.XLOOKUP(Tab_Data_Flows[[#This Row],[Flow_Name]],Tab_Def_Flows[Flow_Name],Tab_Def_Flows[Flow_E1_Fraction'[%']],"N.A.",0,1)</f>
        <v>0</v>
      </c>
      <c r="W154" s="8">
        <f t="shared" si="4"/>
        <v>0</v>
      </c>
      <c r="X154" s="2" t="str">
        <f>Tab_Data_Flows[[#This Row],[UoM_Source]]</f>
        <v>Mg</v>
      </c>
      <c r="Y154" s="19">
        <f>_xlfn.XLOOKUP(Tab_Data_Flows[[#This Row],[Flow_Name]],Tab_Def_Flows[Flow_Name],Tab_Def_Flows[Flow_E2_Fraction'[%']],"N.A.",0,1)</f>
        <v>0</v>
      </c>
      <c r="Z154" s="2">
        <f>IF(D154="Yes",W154*Tab_Data_Flows[[#This Row],[E2_Fraction'[%']]],"N.A.")</f>
        <v>0</v>
      </c>
      <c r="AA154" s="2" t="str">
        <f>Tab_Data_Flows[[#This Row],[E1_UoM]]</f>
        <v>Mg</v>
      </c>
      <c r="AB154" s="19">
        <f>_xlfn.XLOOKUP(Tab_Data_Flows[[#This Row],[Flow_Name]],Tab_Def_Flows[Flow_Name],Tab_Def_Flows[Flow_E3_Fraction'[%']],"N.A.",0,1)</f>
        <v>0</v>
      </c>
      <c r="AC154" s="2">
        <f>IF(E154="Yes",AB154*Tab_Data_Flows[[#This Row],[E1_value]],"N.A.")</f>
        <v>0</v>
      </c>
      <c r="AD154" s="2" t="str">
        <f>Tab_Data_Flows[[#This Row],[E1_UoM]]</f>
        <v>Mg</v>
      </c>
      <c r="AE154" s="19">
        <f>_xlfn.XLOOKUP(Tab_Data_Flows[[#This Row],[Flow_Name]],Tab_Def_Flows[Flow_Name],Tab_Def_Flows[Flow_E4_Fraction'[%']],"N.A.",0,1)</f>
        <v>0</v>
      </c>
      <c r="AF154" s="2">
        <f>IF(H154="Yes",Tab_Data_Flows[[#This Row],[E4_Fraction'[%']]]*Tab_Data_Flows[[#This Row],[E1_value]],"N.A.")</f>
        <v>0</v>
      </c>
      <c r="AG154" s="2" t="str">
        <f>Tab_Data_Flows[[#This Row],[E1_UoM]]</f>
        <v>Mg</v>
      </c>
      <c r="AH154" s="2">
        <f>_xlfn.XLOOKUP(Tab_Data_Flows[[#This Row],[Flow_Name]],Tab_Def_Flows[Flow_Name],Tab_Def_Flows[Flow_E5_Fraction'[%']],"N.A.",0,1)</f>
        <v>0</v>
      </c>
      <c r="AI154" s="2">
        <f>IF(H154="Yes",Tab_Data_Flows[[#This Row],[E5_Fraction'[%']]]*Tab_Data_Flows[[#This Row],[E1_value]],"N.A.")</f>
        <v>0</v>
      </c>
      <c r="AJ154" s="2" t="str">
        <f>Tab_Data_Flows[[#This Row],[E1_UoM]]</f>
        <v>Mg</v>
      </c>
      <c r="AK154" s="19">
        <f>_xlfn.XLOOKUP(Tab_Data_Flows[[#This Row],[Flow_Name]],Tab_Def_Flows[Flow_Name],Tab_Def_Flows[Flow_E6_Fraction'[%']],"N.A.",0,1)</f>
        <v>0</v>
      </c>
      <c r="AL154" s="2">
        <f>IF(Tab_Data_Flows[[#This Row],[Use_E6]]="Yes",Tab_Data_Flows[[#This Row],[E6_Fraction'[%']]]*Tab_Data_Flows[[#This Row],[E1_value]],"N.A.")</f>
        <v>0</v>
      </c>
      <c r="AM154" s="2" t="str">
        <f>Tab_Data_Flows[[#This Row],[E1_UoM]]</f>
        <v>Mg</v>
      </c>
    </row>
    <row r="155" spans="1:39" x14ac:dyDescent="0.25">
      <c r="A155" s="4">
        <f t="shared" si="5"/>
        <v>154</v>
      </c>
      <c r="B155" s="2" t="str">
        <f>_xlfn.XLOOKUP(C155,Tab_Def_Flows[Flow_Name],Tab_Def_Flows[Flow_ID],,0,)</f>
        <v>F__</v>
      </c>
      <c r="C155" s="18" t="s">
        <v>5</v>
      </c>
      <c r="D155" s="5" t="str">
        <f>_xlfn.XLOOKUP(C155,Tab_Def_Flows[Flow_Name],Tab_Def_Flows[Use_E1],,0,)</f>
        <v>Yes</v>
      </c>
      <c r="E155" s="5" t="str">
        <f>_xlfn.XLOOKUP(C155,Tab_Def_Flows[Flow_Name],Tab_Def_Flows[Use_E2],,0,)</f>
        <v>Yes</v>
      </c>
      <c r="F155" s="5" t="str">
        <f>_xlfn.XLOOKUP(C155,Tab_Def_Flows[Flow_Name],Tab_Def_Flows[Use_E3],,0,)</f>
        <v>Yes</v>
      </c>
      <c r="G155" s="5" t="str">
        <f>_xlfn.XLOOKUP(C155,Tab_Def_Flows[Flow_Name],Tab_Def_Flows[Use_E4],,0,)</f>
        <v>Yes</v>
      </c>
      <c r="H155" s="5" t="str">
        <f>_xlfn.XLOOKUP(C155,Tab_Def_Flows[Flow_Name],Tab_Def_Flows[Use_E5],,0,)</f>
        <v>Yes</v>
      </c>
      <c r="I155" s="5" t="str">
        <f>_xlfn.XLOOKUP(C155,Tab_Def_Flows[Flow_Name],Tab_Def_Flows[Use_E6],,0,)</f>
        <v>Yes</v>
      </c>
      <c r="J155" s="3"/>
      <c r="K155" s="3"/>
      <c r="L155" s="2" t="str">
        <f>'0_Configuration'!$C$41</f>
        <v>Mg</v>
      </c>
      <c r="M155" s="9"/>
      <c r="N155" s="9"/>
      <c r="O155" s="9"/>
      <c r="P155" s="9"/>
      <c r="Q155" s="18" t="s">
        <v>3</v>
      </c>
      <c r="R155" s="3"/>
      <c r="S155" s="3"/>
      <c r="T155" s="9"/>
      <c r="U155" s="9"/>
      <c r="V155" s="2">
        <f>_xlfn.XLOOKUP(Tab_Data_Flows[[#This Row],[Flow_Name]],Tab_Def_Flows[Flow_Name],Tab_Def_Flows[Flow_E1_Fraction'[%']],"N.A.",0,1)</f>
        <v>0</v>
      </c>
      <c r="W155" s="8">
        <f t="shared" si="4"/>
        <v>0</v>
      </c>
      <c r="X155" s="2" t="str">
        <f>Tab_Data_Flows[[#This Row],[UoM_Source]]</f>
        <v>Mg</v>
      </c>
      <c r="Y155" s="19">
        <f>_xlfn.XLOOKUP(Tab_Data_Flows[[#This Row],[Flow_Name]],Tab_Def_Flows[Flow_Name],Tab_Def_Flows[Flow_E2_Fraction'[%']],"N.A.",0,1)</f>
        <v>0</v>
      </c>
      <c r="Z155" s="2">
        <f>IF(D155="Yes",W155*Tab_Data_Flows[[#This Row],[E2_Fraction'[%']]],"N.A.")</f>
        <v>0</v>
      </c>
      <c r="AA155" s="2" t="str">
        <f>Tab_Data_Flows[[#This Row],[E1_UoM]]</f>
        <v>Mg</v>
      </c>
      <c r="AB155" s="19">
        <f>_xlfn.XLOOKUP(Tab_Data_Flows[[#This Row],[Flow_Name]],Tab_Def_Flows[Flow_Name],Tab_Def_Flows[Flow_E3_Fraction'[%']],"N.A.",0,1)</f>
        <v>0</v>
      </c>
      <c r="AC155" s="2">
        <f>IF(E155="Yes",AB155*Tab_Data_Flows[[#This Row],[E1_value]],"N.A.")</f>
        <v>0</v>
      </c>
      <c r="AD155" s="2" t="str">
        <f>Tab_Data_Flows[[#This Row],[E1_UoM]]</f>
        <v>Mg</v>
      </c>
      <c r="AE155" s="19">
        <f>_xlfn.XLOOKUP(Tab_Data_Flows[[#This Row],[Flow_Name]],Tab_Def_Flows[Flow_Name],Tab_Def_Flows[Flow_E4_Fraction'[%']],"N.A.",0,1)</f>
        <v>0</v>
      </c>
      <c r="AF155" s="2">
        <f>IF(H155="Yes",Tab_Data_Flows[[#This Row],[E4_Fraction'[%']]]*Tab_Data_Flows[[#This Row],[E1_value]],"N.A.")</f>
        <v>0</v>
      </c>
      <c r="AG155" s="2" t="str">
        <f>Tab_Data_Flows[[#This Row],[E1_UoM]]</f>
        <v>Mg</v>
      </c>
      <c r="AH155" s="2">
        <f>_xlfn.XLOOKUP(Tab_Data_Flows[[#This Row],[Flow_Name]],Tab_Def_Flows[Flow_Name],Tab_Def_Flows[Flow_E5_Fraction'[%']],"N.A.",0,1)</f>
        <v>0</v>
      </c>
      <c r="AI155" s="2">
        <f>IF(H155="Yes",Tab_Data_Flows[[#This Row],[E5_Fraction'[%']]]*Tab_Data_Flows[[#This Row],[E1_value]],"N.A.")</f>
        <v>0</v>
      </c>
      <c r="AJ155" s="2" t="str">
        <f>Tab_Data_Flows[[#This Row],[E1_UoM]]</f>
        <v>Mg</v>
      </c>
      <c r="AK155" s="19">
        <f>_xlfn.XLOOKUP(Tab_Data_Flows[[#This Row],[Flow_Name]],Tab_Def_Flows[Flow_Name],Tab_Def_Flows[Flow_E6_Fraction'[%']],"N.A.",0,1)</f>
        <v>0</v>
      </c>
      <c r="AL155" s="2">
        <f>IF(Tab_Data_Flows[[#This Row],[Use_E6]]="Yes",Tab_Data_Flows[[#This Row],[E6_Fraction'[%']]]*Tab_Data_Flows[[#This Row],[E1_value]],"N.A.")</f>
        <v>0</v>
      </c>
      <c r="AM155" s="2" t="str">
        <f>Tab_Data_Flows[[#This Row],[E1_UoM]]</f>
        <v>Mg</v>
      </c>
    </row>
    <row r="156" spans="1:39" x14ac:dyDescent="0.25">
      <c r="A156" s="4">
        <f t="shared" si="5"/>
        <v>155</v>
      </c>
      <c r="B156" s="2" t="str">
        <f>_xlfn.XLOOKUP(C156,Tab_Def_Flows[Flow_Name],Tab_Def_Flows[Flow_ID],,0,)</f>
        <v>F__</v>
      </c>
      <c r="C156" s="18" t="s">
        <v>5</v>
      </c>
      <c r="D156" s="5" t="str">
        <f>_xlfn.XLOOKUP(C156,Tab_Def_Flows[Flow_Name],Tab_Def_Flows[Use_E1],,0,)</f>
        <v>Yes</v>
      </c>
      <c r="E156" s="5" t="str">
        <f>_xlfn.XLOOKUP(C156,Tab_Def_Flows[Flow_Name],Tab_Def_Flows[Use_E2],,0,)</f>
        <v>Yes</v>
      </c>
      <c r="F156" s="5" t="str">
        <f>_xlfn.XLOOKUP(C156,Tab_Def_Flows[Flow_Name],Tab_Def_Flows[Use_E3],,0,)</f>
        <v>Yes</v>
      </c>
      <c r="G156" s="5" t="str">
        <f>_xlfn.XLOOKUP(C156,Tab_Def_Flows[Flow_Name],Tab_Def_Flows[Use_E4],,0,)</f>
        <v>Yes</v>
      </c>
      <c r="H156" s="5" t="str">
        <f>_xlfn.XLOOKUP(C156,Tab_Def_Flows[Flow_Name],Tab_Def_Flows[Use_E5],,0,)</f>
        <v>Yes</v>
      </c>
      <c r="I156" s="5" t="str">
        <f>_xlfn.XLOOKUP(C156,Tab_Def_Flows[Flow_Name],Tab_Def_Flows[Use_E6],,0,)</f>
        <v>Yes</v>
      </c>
      <c r="J156" s="3"/>
      <c r="K156" s="3"/>
      <c r="L156" s="2" t="str">
        <f>'0_Configuration'!$C$41</f>
        <v>Mg</v>
      </c>
      <c r="M156" s="9"/>
      <c r="N156" s="9"/>
      <c r="O156" s="9"/>
      <c r="P156" s="9"/>
      <c r="Q156" s="18" t="s">
        <v>3</v>
      </c>
      <c r="R156" s="3"/>
      <c r="S156" s="3"/>
      <c r="T156" s="9"/>
      <c r="U156" s="9"/>
      <c r="V156" s="2">
        <f>_xlfn.XLOOKUP(Tab_Data_Flows[[#This Row],[Flow_Name]],Tab_Def_Flows[Flow_Name],Tab_Def_Flows[Flow_E1_Fraction'[%']],"N.A.",0,1)</f>
        <v>0</v>
      </c>
      <c r="W156" s="8">
        <f t="shared" si="4"/>
        <v>0</v>
      </c>
      <c r="X156" s="2" t="str">
        <f>Tab_Data_Flows[[#This Row],[UoM_Source]]</f>
        <v>Mg</v>
      </c>
      <c r="Y156" s="19">
        <f>_xlfn.XLOOKUP(Tab_Data_Flows[[#This Row],[Flow_Name]],Tab_Def_Flows[Flow_Name],Tab_Def_Flows[Flow_E2_Fraction'[%']],"N.A.",0,1)</f>
        <v>0</v>
      </c>
      <c r="Z156" s="2">
        <f>IF(D156="Yes",W156*Tab_Data_Flows[[#This Row],[E2_Fraction'[%']]],"N.A.")</f>
        <v>0</v>
      </c>
      <c r="AA156" s="2" t="str">
        <f>Tab_Data_Flows[[#This Row],[E1_UoM]]</f>
        <v>Mg</v>
      </c>
      <c r="AB156" s="19">
        <f>_xlfn.XLOOKUP(Tab_Data_Flows[[#This Row],[Flow_Name]],Tab_Def_Flows[Flow_Name],Tab_Def_Flows[Flow_E3_Fraction'[%']],"N.A.",0,1)</f>
        <v>0</v>
      </c>
      <c r="AC156" s="2">
        <f>IF(E156="Yes",AB156*Tab_Data_Flows[[#This Row],[E1_value]],"N.A.")</f>
        <v>0</v>
      </c>
      <c r="AD156" s="2" t="str">
        <f>Tab_Data_Flows[[#This Row],[E1_UoM]]</f>
        <v>Mg</v>
      </c>
      <c r="AE156" s="19">
        <f>_xlfn.XLOOKUP(Tab_Data_Flows[[#This Row],[Flow_Name]],Tab_Def_Flows[Flow_Name],Tab_Def_Flows[Flow_E4_Fraction'[%']],"N.A.",0,1)</f>
        <v>0</v>
      </c>
      <c r="AF156" s="2">
        <f>IF(H156="Yes",Tab_Data_Flows[[#This Row],[E4_Fraction'[%']]]*Tab_Data_Flows[[#This Row],[E1_value]],"N.A.")</f>
        <v>0</v>
      </c>
      <c r="AG156" s="2" t="str">
        <f>Tab_Data_Flows[[#This Row],[E1_UoM]]</f>
        <v>Mg</v>
      </c>
      <c r="AH156" s="2">
        <f>_xlfn.XLOOKUP(Tab_Data_Flows[[#This Row],[Flow_Name]],Tab_Def_Flows[Flow_Name],Tab_Def_Flows[Flow_E5_Fraction'[%']],"N.A.",0,1)</f>
        <v>0</v>
      </c>
      <c r="AI156" s="2">
        <f>IF(H156="Yes",Tab_Data_Flows[[#This Row],[E5_Fraction'[%']]]*Tab_Data_Flows[[#This Row],[E1_value]],"N.A.")</f>
        <v>0</v>
      </c>
      <c r="AJ156" s="2" t="str">
        <f>Tab_Data_Flows[[#This Row],[E1_UoM]]</f>
        <v>Mg</v>
      </c>
      <c r="AK156" s="19">
        <f>_xlfn.XLOOKUP(Tab_Data_Flows[[#This Row],[Flow_Name]],Tab_Def_Flows[Flow_Name],Tab_Def_Flows[Flow_E6_Fraction'[%']],"N.A.",0,1)</f>
        <v>0</v>
      </c>
      <c r="AL156" s="2">
        <f>IF(Tab_Data_Flows[[#This Row],[Use_E6]]="Yes",Tab_Data_Flows[[#This Row],[E6_Fraction'[%']]]*Tab_Data_Flows[[#This Row],[E1_value]],"N.A.")</f>
        <v>0</v>
      </c>
      <c r="AM156" s="2" t="str">
        <f>Tab_Data_Flows[[#This Row],[E1_UoM]]</f>
        <v>Mg</v>
      </c>
    </row>
    <row r="157" spans="1:39" x14ac:dyDescent="0.25">
      <c r="A157" s="4">
        <f t="shared" si="5"/>
        <v>156</v>
      </c>
      <c r="B157" s="2" t="str">
        <f>_xlfn.XLOOKUP(C157,Tab_Def_Flows[Flow_Name],Tab_Def_Flows[Flow_ID],,0,)</f>
        <v>F__</v>
      </c>
      <c r="C157" s="18" t="s">
        <v>5</v>
      </c>
      <c r="D157" s="5" t="str">
        <f>_xlfn.XLOOKUP(C157,Tab_Def_Flows[Flow_Name],Tab_Def_Flows[Use_E1],,0,)</f>
        <v>Yes</v>
      </c>
      <c r="E157" s="5" t="str">
        <f>_xlfn.XLOOKUP(C157,Tab_Def_Flows[Flow_Name],Tab_Def_Flows[Use_E2],,0,)</f>
        <v>Yes</v>
      </c>
      <c r="F157" s="5" t="str">
        <f>_xlfn.XLOOKUP(C157,Tab_Def_Flows[Flow_Name],Tab_Def_Flows[Use_E3],,0,)</f>
        <v>Yes</v>
      </c>
      <c r="G157" s="5" t="str">
        <f>_xlfn.XLOOKUP(C157,Tab_Def_Flows[Flow_Name],Tab_Def_Flows[Use_E4],,0,)</f>
        <v>Yes</v>
      </c>
      <c r="H157" s="5" t="str">
        <f>_xlfn.XLOOKUP(C157,Tab_Def_Flows[Flow_Name],Tab_Def_Flows[Use_E5],,0,)</f>
        <v>Yes</v>
      </c>
      <c r="I157" s="5" t="str">
        <f>_xlfn.XLOOKUP(C157,Tab_Def_Flows[Flow_Name],Tab_Def_Flows[Use_E6],,0,)</f>
        <v>Yes</v>
      </c>
      <c r="J157" s="3"/>
      <c r="K157" s="3"/>
      <c r="L157" s="2" t="str">
        <f>'0_Configuration'!$C$41</f>
        <v>Mg</v>
      </c>
      <c r="M157" s="9"/>
      <c r="N157" s="9"/>
      <c r="O157" s="9"/>
      <c r="P157" s="9"/>
      <c r="Q157" s="18" t="s">
        <v>3</v>
      </c>
      <c r="R157" s="3"/>
      <c r="S157" s="3"/>
      <c r="T157" s="9"/>
      <c r="U157" s="9"/>
      <c r="V157" s="2">
        <f>_xlfn.XLOOKUP(Tab_Data_Flows[[#This Row],[Flow_Name]],Tab_Def_Flows[Flow_Name],Tab_Def_Flows[Flow_E1_Fraction'[%']],"N.A.",0,1)</f>
        <v>0</v>
      </c>
      <c r="W157" s="8">
        <f t="shared" si="4"/>
        <v>0</v>
      </c>
      <c r="X157" s="2" t="str">
        <f>Tab_Data_Flows[[#This Row],[UoM_Source]]</f>
        <v>Mg</v>
      </c>
      <c r="Y157" s="19">
        <f>_xlfn.XLOOKUP(Tab_Data_Flows[[#This Row],[Flow_Name]],Tab_Def_Flows[Flow_Name],Tab_Def_Flows[Flow_E2_Fraction'[%']],"N.A.",0,1)</f>
        <v>0</v>
      </c>
      <c r="Z157" s="2">
        <f>IF(D157="Yes",W157*Tab_Data_Flows[[#This Row],[E2_Fraction'[%']]],"N.A.")</f>
        <v>0</v>
      </c>
      <c r="AA157" s="2" t="str">
        <f>Tab_Data_Flows[[#This Row],[E1_UoM]]</f>
        <v>Mg</v>
      </c>
      <c r="AB157" s="19">
        <f>_xlfn.XLOOKUP(Tab_Data_Flows[[#This Row],[Flow_Name]],Tab_Def_Flows[Flow_Name],Tab_Def_Flows[Flow_E3_Fraction'[%']],"N.A.",0,1)</f>
        <v>0</v>
      </c>
      <c r="AC157" s="2">
        <f>IF(E157="Yes",AB157*Tab_Data_Flows[[#This Row],[E1_value]],"N.A.")</f>
        <v>0</v>
      </c>
      <c r="AD157" s="2" t="str">
        <f>Tab_Data_Flows[[#This Row],[E1_UoM]]</f>
        <v>Mg</v>
      </c>
      <c r="AE157" s="19">
        <f>_xlfn.XLOOKUP(Tab_Data_Flows[[#This Row],[Flow_Name]],Tab_Def_Flows[Flow_Name],Tab_Def_Flows[Flow_E4_Fraction'[%']],"N.A.",0,1)</f>
        <v>0</v>
      </c>
      <c r="AF157" s="2">
        <f>IF(H157="Yes",Tab_Data_Flows[[#This Row],[E4_Fraction'[%']]]*Tab_Data_Flows[[#This Row],[E1_value]],"N.A.")</f>
        <v>0</v>
      </c>
      <c r="AG157" s="2" t="str">
        <f>Tab_Data_Flows[[#This Row],[E1_UoM]]</f>
        <v>Mg</v>
      </c>
      <c r="AH157" s="2">
        <f>_xlfn.XLOOKUP(Tab_Data_Flows[[#This Row],[Flow_Name]],Tab_Def_Flows[Flow_Name],Tab_Def_Flows[Flow_E5_Fraction'[%']],"N.A.",0,1)</f>
        <v>0</v>
      </c>
      <c r="AI157" s="2">
        <f>IF(H157="Yes",Tab_Data_Flows[[#This Row],[E5_Fraction'[%']]]*Tab_Data_Flows[[#This Row],[E1_value]],"N.A.")</f>
        <v>0</v>
      </c>
      <c r="AJ157" s="2" t="str">
        <f>Tab_Data_Flows[[#This Row],[E1_UoM]]</f>
        <v>Mg</v>
      </c>
      <c r="AK157" s="19">
        <f>_xlfn.XLOOKUP(Tab_Data_Flows[[#This Row],[Flow_Name]],Tab_Def_Flows[Flow_Name],Tab_Def_Flows[Flow_E6_Fraction'[%']],"N.A.",0,1)</f>
        <v>0</v>
      </c>
      <c r="AL157" s="2">
        <f>IF(Tab_Data_Flows[[#This Row],[Use_E6]]="Yes",Tab_Data_Flows[[#This Row],[E6_Fraction'[%']]]*Tab_Data_Flows[[#This Row],[E1_value]],"N.A.")</f>
        <v>0</v>
      </c>
      <c r="AM157" s="2" t="str">
        <f>Tab_Data_Flows[[#This Row],[E1_UoM]]</f>
        <v>Mg</v>
      </c>
    </row>
    <row r="158" spans="1:39" x14ac:dyDescent="0.25">
      <c r="A158" s="4">
        <f t="shared" si="5"/>
        <v>157</v>
      </c>
      <c r="B158" s="2" t="str">
        <f>_xlfn.XLOOKUP(C158,Tab_Def_Flows[Flow_Name],Tab_Def_Flows[Flow_ID],,0,)</f>
        <v>F__</v>
      </c>
      <c r="C158" s="18" t="s">
        <v>5</v>
      </c>
      <c r="D158" s="5" t="str">
        <f>_xlfn.XLOOKUP(C158,Tab_Def_Flows[Flow_Name],Tab_Def_Flows[Use_E1],,0,)</f>
        <v>Yes</v>
      </c>
      <c r="E158" s="5" t="str">
        <f>_xlfn.XLOOKUP(C158,Tab_Def_Flows[Flow_Name],Tab_Def_Flows[Use_E2],,0,)</f>
        <v>Yes</v>
      </c>
      <c r="F158" s="5" t="str">
        <f>_xlfn.XLOOKUP(C158,Tab_Def_Flows[Flow_Name],Tab_Def_Flows[Use_E3],,0,)</f>
        <v>Yes</v>
      </c>
      <c r="G158" s="5" t="str">
        <f>_xlfn.XLOOKUP(C158,Tab_Def_Flows[Flow_Name],Tab_Def_Flows[Use_E4],,0,)</f>
        <v>Yes</v>
      </c>
      <c r="H158" s="5" t="str">
        <f>_xlfn.XLOOKUP(C158,Tab_Def_Flows[Flow_Name],Tab_Def_Flows[Use_E5],,0,)</f>
        <v>Yes</v>
      </c>
      <c r="I158" s="5" t="str">
        <f>_xlfn.XLOOKUP(C158,Tab_Def_Flows[Flow_Name],Tab_Def_Flows[Use_E6],,0,)</f>
        <v>Yes</v>
      </c>
      <c r="J158" s="3"/>
      <c r="K158" s="3"/>
      <c r="L158" s="2" t="str">
        <f>'0_Configuration'!$C$41</f>
        <v>Mg</v>
      </c>
      <c r="M158" s="9"/>
      <c r="N158" s="9"/>
      <c r="O158" s="9"/>
      <c r="P158" s="9"/>
      <c r="Q158" s="18" t="s">
        <v>3</v>
      </c>
      <c r="R158" s="3"/>
      <c r="S158" s="3"/>
      <c r="T158" s="9"/>
      <c r="U158" s="9"/>
      <c r="V158" s="2">
        <f>_xlfn.XLOOKUP(Tab_Data_Flows[[#This Row],[Flow_Name]],Tab_Def_Flows[Flow_Name],Tab_Def_Flows[Flow_E1_Fraction'[%']],"N.A.",0,1)</f>
        <v>0</v>
      </c>
      <c r="W158" s="8">
        <f t="shared" si="4"/>
        <v>0</v>
      </c>
      <c r="X158" s="2" t="str">
        <f>Tab_Data_Flows[[#This Row],[UoM_Source]]</f>
        <v>Mg</v>
      </c>
      <c r="Y158" s="19">
        <f>_xlfn.XLOOKUP(Tab_Data_Flows[[#This Row],[Flow_Name]],Tab_Def_Flows[Flow_Name],Tab_Def_Flows[Flow_E2_Fraction'[%']],"N.A.",0,1)</f>
        <v>0</v>
      </c>
      <c r="Z158" s="2">
        <f>IF(D158="Yes",W158*Tab_Data_Flows[[#This Row],[E2_Fraction'[%']]],"N.A.")</f>
        <v>0</v>
      </c>
      <c r="AA158" s="2" t="str">
        <f>Tab_Data_Flows[[#This Row],[E1_UoM]]</f>
        <v>Mg</v>
      </c>
      <c r="AB158" s="19">
        <f>_xlfn.XLOOKUP(Tab_Data_Flows[[#This Row],[Flow_Name]],Tab_Def_Flows[Flow_Name],Tab_Def_Flows[Flow_E3_Fraction'[%']],"N.A.",0,1)</f>
        <v>0</v>
      </c>
      <c r="AC158" s="2">
        <f>IF(E158="Yes",AB158*Tab_Data_Flows[[#This Row],[E1_value]],"N.A.")</f>
        <v>0</v>
      </c>
      <c r="AD158" s="2" t="str">
        <f>Tab_Data_Flows[[#This Row],[E1_UoM]]</f>
        <v>Mg</v>
      </c>
      <c r="AE158" s="19">
        <f>_xlfn.XLOOKUP(Tab_Data_Flows[[#This Row],[Flow_Name]],Tab_Def_Flows[Flow_Name],Tab_Def_Flows[Flow_E4_Fraction'[%']],"N.A.",0,1)</f>
        <v>0</v>
      </c>
      <c r="AF158" s="2">
        <f>IF(H158="Yes",Tab_Data_Flows[[#This Row],[E4_Fraction'[%']]]*Tab_Data_Flows[[#This Row],[E1_value]],"N.A.")</f>
        <v>0</v>
      </c>
      <c r="AG158" s="2" t="str">
        <f>Tab_Data_Flows[[#This Row],[E1_UoM]]</f>
        <v>Mg</v>
      </c>
      <c r="AH158" s="2">
        <f>_xlfn.XLOOKUP(Tab_Data_Flows[[#This Row],[Flow_Name]],Tab_Def_Flows[Flow_Name],Tab_Def_Flows[Flow_E5_Fraction'[%']],"N.A.",0,1)</f>
        <v>0</v>
      </c>
      <c r="AI158" s="2">
        <f>IF(H158="Yes",Tab_Data_Flows[[#This Row],[E5_Fraction'[%']]]*Tab_Data_Flows[[#This Row],[E1_value]],"N.A.")</f>
        <v>0</v>
      </c>
      <c r="AJ158" s="2" t="str">
        <f>Tab_Data_Flows[[#This Row],[E1_UoM]]</f>
        <v>Mg</v>
      </c>
      <c r="AK158" s="19">
        <f>_xlfn.XLOOKUP(Tab_Data_Flows[[#This Row],[Flow_Name]],Tab_Def_Flows[Flow_Name],Tab_Def_Flows[Flow_E6_Fraction'[%']],"N.A.",0,1)</f>
        <v>0</v>
      </c>
      <c r="AL158" s="2">
        <f>IF(Tab_Data_Flows[[#This Row],[Use_E6]]="Yes",Tab_Data_Flows[[#This Row],[E6_Fraction'[%']]]*Tab_Data_Flows[[#This Row],[E1_value]],"N.A.")</f>
        <v>0</v>
      </c>
      <c r="AM158" s="2" t="str">
        <f>Tab_Data_Flows[[#This Row],[E1_UoM]]</f>
        <v>Mg</v>
      </c>
    </row>
    <row r="159" spans="1:39" x14ac:dyDescent="0.25">
      <c r="A159" s="4">
        <f t="shared" si="5"/>
        <v>158</v>
      </c>
      <c r="B159" s="2" t="str">
        <f>_xlfn.XLOOKUP(C159,Tab_Def_Flows[Flow_Name],Tab_Def_Flows[Flow_ID],,0,)</f>
        <v>F__</v>
      </c>
      <c r="C159" s="18" t="s">
        <v>5</v>
      </c>
      <c r="D159" s="5" t="str">
        <f>_xlfn.XLOOKUP(C159,Tab_Def_Flows[Flow_Name],Tab_Def_Flows[Use_E1],,0,)</f>
        <v>Yes</v>
      </c>
      <c r="E159" s="5" t="str">
        <f>_xlfn.XLOOKUP(C159,Tab_Def_Flows[Flow_Name],Tab_Def_Flows[Use_E2],,0,)</f>
        <v>Yes</v>
      </c>
      <c r="F159" s="5" t="str">
        <f>_xlfn.XLOOKUP(C159,Tab_Def_Flows[Flow_Name],Tab_Def_Flows[Use_E3],,0,)</f>
        <v>Yes</v>
      </c>
      <c r="G159" s="5" t="str">
        <f>_xlfn.XLOOKUP(C159,Tab_Def_Flows[Flow_Name],Tab_Def_Flows[Use_E4],,0,)</f>
        <v>Yes</v>
      </c>
      <c r="H159" s="5" t="str">
        <f>_xlfn.XLOOKUP(C159,Tab_Def_Flows[Flow_Name],Tab_Def_Flows[Use_E5],,0,)</f>
        <v>Yes</v>
      </c>
      <c r="I159" s="5" t="str">
        <f>_xlfn.XLOOKUP(C159,Tab_Def_Flows[Flow_Name],Tab_Def_Flows[Use_E6],,0,)</f>
        <v>Yes</v>
      </c>
      <c r="J159" s="3"/>
      <c r="K159" s="3"/>
      <c r="L159" s="2" t="str">
        <f>'0_Configuration'!$C$41</f>
        <v>Mg</v>
      </c>
      <c r="M159" s="9"/>
      <c r="N159" s="9"/>
      <c r="O159" s="9"/>
      <c r="P159" s="9"/>
      <c r="Q159" s="18" t="s">
        <v>3</v>
      </c>
      <c r="R159" s="3"/>
      <c r="S159" s="3"/>
      <c r="T159" s="9"/>
      <c r="U159" s="9"/>
      <c r="V159" s="2">
        <f>_xlfn.XLOOKUP(Tab_Data_Flows[[#This Row],[Flow_Name]],Tab_Def_Flows[Flow_Name],Tab_Def_Flows[Flow_E1_Fraction'[%']],"N.A.",0,1)</f>
        <v>0</v>
      </c>
      <c r="W159" s="8">
        <f t="shared" si="4"/>
        <v>0</v>
      </c>
      <c r="X159" s="2" t="str">
        <f>Tab_Data_Flows[[#This Row],[UoM_Source]]</f>
        <v>Mg</v>
      </c>
      <c r="Y159" s="19">
        <f>_xlfn.XLOOKUP(Tab_Data_Flows[[#This Row],[Flow_Name]],Tab_Def_Flows[Flow_Name],Tab_Def_Flows[Flow_E2_Fraction'[%']],"N.A.",0,1)</f>
        <v>0</v>
      </c>
      <c r="Z159" s="2">
        <f>IF(D159="Yes",W159*Tab_Data_Flows[[#This Row],[E2_Fraction'[%']]],"N.A.")</f>
        <v>0</v>
      </c>
      <c r="AA159" s="2" t="str">
        <f>Tab_Data_Flows[[#This Row],[E1_UoM]]</f>
        <v>Mg</v>
      </c>
      <c r="AB159" s="19">
        <f>_xlfn.XLOOKUP(Tab_Data_Flows[[#This Row],[Flow_Name]],Tab_Def_Flows[Flow_Name],Tab_Def_Flows[Flow_E3_Fraction'[%']],"N.A.",0,1)</f>
        <v>0</v>
      </c>
      <c r="AC159" s="2">
        <f>IF(E159="Yes",AB159*Tab_Data_Flows[[#This Row],[E1_value]],"N.A.")</f>
        <v>0</v>
      </c>
      <c r="AD159" s="2" t="str">
        <f>Tab_Data_Flows[[#This Row],[E1_UoM]]</f>
        <v>Mg</v>
      </c>
      <c r="AE159" s="19">
        <f>_xlfn.XLOOKUP(Tab_Data_Flows[[#This Row],[Flow_Name]],Tab_Def_Flows[Flow_Name],Tab_Def_Flows[Flow_E4_Fraction'[%']],"N.A.",0,1)</f>
        <v>0</v>
      </c>
      <c r="AF159" s="2">
        <f>IF(H159="Yes",Tab_Data_Flows[[#This Row],[E4_Fraction'[%']]]*Tab_Data_Flows[[#This Row],[E1_value]],"N.A.")</f>
        <v>0</v>
      </c>
      <c r="AG159" s="2" t="str">
        <f>Tab_Data_Flows[[#This Row],[E1_UoM]]</f>
        <v>Mg</v>
      </c>
      <c r="AH159" s="2">
        <f>_xlfn.XLOOKUP(Tab_Data_Flows[[#This Row],[Flow_Name]],Tab_Def_Flows[Flow_Name],Tab_Def_Flows[Flow_E5_Fraction'[%']],"N.A.",0,1)</f>
        <v>0</v>
      </c>
      <c r="AI159" s="2">
        <f>IF(H159="Yes",Tab_Data_Flows[[#This Row],[E5_Fraction'[%']]]*Tab_Data_Flows[[#This Row],[E1_value]],"N.A.")</f>
        <v>0</v>
      </c>
      <c r="AJ159" s="2" t="str">
        <f>Tab_Data_Flows[[#This Row],[E1_UoM]]</f>
        <v>Mg</v>
      </c>
      <c r="AK159" s="19">
        <f>_xlfn.XLOOKUP(Tab_Data_Flows[[#This Row],[Flow_Name]],Tab_Def_Flows[Flow_Name],Tab_Def_Flows[Flow_E6_Fraction'[%']],"N.A.",0,1)</f>
        <v>0</v>
      </c>
      <c r="AL159" s="2">
        <f>IF(Tab_Data_Flows[[#This Row],[Use_E6]]="Yes",Tab_Data_Flows[[#This Row],[E6_Fraction'[%']]]*Tab_Data_Flows[[#This Row],[E1_value]],"N.A.")</f>
        <v>0</v>
      </c>
      <c r="AM159" s="2" t="str">
        <f>Tab_Data_Flows[[#This Row],[E1_UoM]]</f>
        <v>Mg</v>
      </c>
    </row>
    <row r="160" spans="1:39" x14ac:dyDescent="0.25">
      <c r="A160" s="4">
        <f t="shared" si="5"/>
        <v>159</v>
      </c>
      <c r="B160" s="2" t="str">
        <f>_xlfn.XLOOKUP(C160,Tab_Def_Flows[Flow_Name],Tab_Def_Flows[Flow_ID],,0,)</f>
        <v>F__</v>
      </c>
      <c r="C160" s="18" t="s">
        <v>5</v>
      </c>
      <c r="D160" s="5" t="str">
        <f>_xlfn.XLOOKUP(C160,Tab_Def_Flows[Flow_Name],Tab_Def_Flows[Use_E1],,0,)</f>
        <v>Yes</v>
      </c>
      <c r="E160" s="5" t="str">
        <f>_xlfn.XLOOKUP(C160,Tab_Def_Flows[Flow_Name],Tab_Def_Flows[Use_E2],,0,)</f>
        <v>Yes</v>
      </c>
      <c r="F160" s="5" t="str">
        <f>_xlfn.XLOOKUP(C160,Tab_Def_Flows[Flow_Name],Tab_Def_Flows[Use_E3],,0,)</f>
        <v>Yes</v>
      </c>
      <c r="G160" s="5" t="str">
        <f>_xlfn.XLOOKUP(C160,Tab_Def_Flows[Flow_Name],Tab_Def_Flows[Use_E4],,0,)</f>
        <v>Yes</v>
      </c>
      <c r="H160" s="5" t="str">
        <f>_xlfn.XLOOKUP(C160,Tab_Def_Flows[Flow_Name],Tab_Def_Flows[Use_E5],,0,)</f>
        <v>Yes</v>
      </c>
      <c r="I160" s="5" t="str">
        <f>_xlfn.XLOOKUP(C160,Tab_Def_Flows[Flow_Name],Tab_Def_Flows[Use_E6],,0,)</f>
        <v>Yes</v>
      </c>
      <c r="J160" s="3"/>
      <c r="K160" s="3"/>
      <c r="L160" s="2" t="str">
        <f>'0_Configuration'!$C$41</f>
        <v>Mg</v>
      </c>
      <c r="M160" s="9"/>
      <c r="N160" s="9"/>
      <c r="O160" s="9"/>
      <c r="P160" s="9"/>
      <c r="Q160" s="18" t="s">
        <v>3</v>
      </c>
      <c r="R160" s="3"/>
      <c r="S160" s="3"/>
      <c r="T160" s="9"/>
      <c r="U160" s="9"/>
      <c r="V160" s="2">
        <f>_xlfn.XLOOKUP(Tab_Data_Flows[[#This Row],[Flow_Name]],Tab_Def_Flows[Flow_Name],Tab_Def_Flows[Flow_E1_Fraction'[%']],"N.A.",0,1)</f>
        <v>0</v>
      </c>
      <c r="W160" s="8">
        <f t="shared" si="4"/>
        <v>0</v>
      </c>
      <c r="X160" s="2" t="str">
        <f>Tab_Data_Flows[[#This Row],[UoM_Source]]</f>
        <v>Mg</v>
      </c>
      <c r="Y160" s="19">
        <f>_xlfn.XLOOKUP(Tab_Data_Flows[[#This Row],[Flow_Name]],Tab_Def_Flows[Flow_Name],Tab_Def_Flows[Flow_E2_Fraction'[%']],"N.A.",0,1)</f>
        <v>0</v>
      </c>
      <c r="Z160" s="2">
        <f>IF(D160="Yes",W160*Tab_Data_Flows[[#This Row],[E2_Fraction'[%']]],"N.A.")</f>
        <v>0</v>
      </c>
      <c r="AA160" s="2" t="str">
        <f>Tab_Data_Flows[[#This Row],[E1_UoM]]</f>
        <v>Mg</v>
      </c>
      <c r="AB160" s="19">
        <f>_xlfn.XLOOKUP(Tab_Data_Flows[[#This Row],[Flow_Name]],Tab_Def_Flows[Flow_Name],Tab_Def_Flows[Flow_E3_Fraction'[%']],"N.A.",0,1)</f>
        <v>0</v>
      </c>
      <c r="AC160" s="2">
        <f>IF(E160="Yes",AB160*Tab_Data_Flows[[#This Row],[E1_value]],"N.A.")</f>
        <v>0</v>
      </c>
      <c r="AD160" s="2" t="str">
        <f>Tab_Data_Flows[[#This Row],[E1_UoM]]</f>
        <v>Mg</v>
      </c>
      <c r="AE160" s="19">
        <f>_xlfn.XLOOKUP(Tab_Data_Flows[[#This Row],[Flow_Name]],Tab_Def_Flows[Flow_Name],Tab_Def_Flows[Flow_E4_Fraction'[%']],"N.A.",0,1)</f>
        <v>0</v>
      </c>
      <c r="AF160" s="2">
        <f>IF(H160="Yes",Tab_Data_Flows[[#This Row],[E4_Fraction'[%']]]*Tab_Data_Flows[[#This Row],[E1_value]],"N.A.")</f>
        <v>0</v>
      </c>
      <c r="AG160" s="2" t="str">
        <f>Tab_Data_Flows[[#This Row],[E1_UoM]]</f>
        <v>Mg</v>
      </c>
      <c r="AH160" s="2">
        <f>_xlfn.XLOOKUP(Tab_Data_Flows[[#This Row],[Flow_Name]],Tab_Def_Flows[Flow_Name],Tab_Def_Flows[Flow_E5_Fraction'[%']],"N.A.",0,1)</f>
        <v>0</v>
      </c>
      <c r="AI160" s="2">
        <f>IF(H160="Yes",Tab_Data_Flows[[#This Row],[E5_Fraction'[%']]]*Tab_Data_Flows[[#This Row],[E1_value]],"N.A.")</f>
        <v>0</v>
      </c>
      <c r="AJ160" s="2" t="str">
        <f>Tab_Data_Flows[[#This Row],[E1_UoM]]</f>
        <v>Mg</v>
      </c>
      <c r="AK160" s="19">
        <f>_xlfn.XLOOKUP(Tab_Data_Flows[[#This Row],[Flow_Name]],Tab_Def_Flows[Flow_Name],Tab_Def_Flows[Flow_E6_Fraction'[%']],"N.A.",0,1)</f>
        <v>0</v>
      </c>
      <c r="AL160" s="2">
        <f>IF(Tab_Data_Flows[[#This Row],[Use_E6]]="Yes",Tab_Data_Flows[[#This Row],[E6_Fraction'[%']]]*Tab_Data_Flows[[#This Row],[E1_value]],"N.A.")</f>
        <v>0</v>
      </c>
      <c r="AM160" s="2" t="str">
        <f>Tab_Data_Flows[[#This Row],[E1_UoM]]</f>
        <v>Mg</v>
      </c>
    </row>
    <row r="161" spans="1:39" x14ac:dyDescent="0.25">
      <c r="A161" s="4">
        <f t="shared" si="5"/>
        <v>160</v>
      </c>
      <c r="B161" s="2" t="str">
        <f>_xlfn.XLOOKUP(C161,Tab_Def_Flows[Flow_Name],Tab_Def_Flows[Flow_ID],,0,)</f>
        <v>F__</v>
      </c>
      <c r="C161" s="18" t="s">
        <v>5</v>
      </c>
      <c r="D161" s="5" t="str">
        <f>_xlfn.XLOOKUP(C161,Tab_Def_Flows[Flow_Name],Tab_Def_Flows[Use_E1],,0,)</f>
        <v>Yes</v>
      </c>
      <c r="E161" s="5" t="str">
        <f>_xlfn.XLOOKUP(C161,Tab_Def_Flows[Flow_Name],Tab_Def_Flows[Use_E2],,0,)</f>
        <v>Yes</v>
      </c>
      <c r="F161" s="5" t="str">
        <f>_xlfn.XLOOKUP(C161,Tab_Def_Flows[Flow_Name],Tab_Def_Flows[Use_E3],,0,)</f>
        <v>Yes</v>
      </c>
      <c r="G161" s="5" t="str">
        <f>_xlfn.XLOOKUP(C161,Tab_Def_Flows[Flow_Name],Tab_Def_Flows[Use_E4],,0,)</f>
        <v>Yes</v>
      </c>
      <c r="H161" s="5" t="str">
        <f>_xlfn.XLOOKUP(C161,Tab_Def_Flows[Flow_Name],Tab_Def_Flows[Use_E5],,0,)</f>
        <v>Yes</v>
      </c>
      <c r="I161" s="5" t="str">
        <f>_xlfn.XLOOKUP(C161,Tab_Def_Flows[Flow_Name],Tab_Def_Flows[Use_E6],,0,)</f>
        <v>Yes</v>
      </c>
      <c r="J161" s="3"/>
      <c r="K161" s="3"/>
      <c r="L161" s="2" t="str">
        <f>'0_Configuration'!$C$41</f>
        <v>Mg</v>
      </c>
      <c r="M161" s="9"/>
      <c r="N161" s="9"/>
      <c r="O161" s="9"/>
      <c r="P161" s="9"/>
      <c r="Q161" s="18" t="s">
        <v>3</v>
      </c>
      <c r="R161" s="3"/>
      <c r="S161" s="3"/>
      <c r="T161" s="9"/>
      <c r="U161" s="9"/>
      <c r="V161" s="2">
        <f>_xlfn.XLOOKUP(Tab_Data_Flows[[#This Row],[Flow_Name]],Tab_Def_Flows[Flow_Name],Tab_Def_Flows[Flow_E1_Fraction'[%']],"N.A.",0,1)</f>
        <v>0</v>
      </c>
      <c r="W161" s="8">
        <f t="shared" si="4"/>
        <v>0</v>
      </c>
      <c r="X161" s="2" t="str">
        <f>Tab_Data_Flows[[#This Row],[UoM_Source]]</f>
        <v>Mg</v>
      </c>
      <c r="Y161" s="19">
        <f>_xlfn.XLOOKUP(Tab_Data_Flows[[#This Row],[Flow_Name]],Tab_Def_Flows[Flow_Name],Tab_Def_Flows[Flow_E2_Fraction'[%']],"N.A.",0,1)</f>
        <v>0</v>
      </c>
      <c r="Z161" s="2">
        <f>IF(D161="Yes",W161*Tab_Data_Flows[[#This Row],[E2_Fraction'[%']]],"N.A.")</f>
        <v>0</v>
      </c>
      <c r="AA161" s="2" t="str">
        <f>Tab_Data_Flows[[#This Row],[E1_UoM]]</f>
        <v>Mg</v>
      </c>
      <c r="AB161" s="19">
        <f>_xlfn.XLOOKUP(Tab_Data_Flows[[#This Row],[Flow_Name]],Tab_Def_Flows[Flow_Name],Tab_Def_Flows[Flow_E3_Fraction'[%']],"N.A.",0,1)</f>
        <v>0</v>
      </c>
      <c r="AC161" s="2">
        <f>IF(E161="Yes",AB161*Tab_Data_Flows[[#This Row],[E1_value]],"N.A.")</f>
        <v>0</v>
      </c>
      <c r="AD161" s="2" t="str">
        <f>Tab_Data_Flows[[#This Row],[E1_UoM]]</f>
        <v>Mg</v>
      </c>
      <c r="AE161" s="19">
        <f>_xlfn.XLOOKUP(Tab_Data_Flows[[#This Row],[Flow_Name]],Tab_Def_Flows[Flow_Name],Tab_Def_Flows[Flow_E4_Fraction'[%']],"N.A.",0,1)</f>
        <v>0</v>
      </c>
      <c r="AF161" s="2">
        <f>IF(H161="Yes",Tab_Data_Flows[[#This Row],[E4_Fraction'[%']]]*Tab_Data_Flows[[#This Row],[E1_value]],"N.A.")</f>
        <v>0</v>
      </c>
      <c r="AG161" s="2" t="str">
        <f>Tab_Data_Flows[[#This Row],[E1_UoM]]</f>
        <v>Mg</v>
      </c>
      <c r="AH161" s="2">
        <f>_xlfn.XLOOKUP(Tab_Data_Flows[[#This Row],[Flow_Name]],Tab_Def_Flows[Flow_Name],Tab_Def_Flows[Flow_E5_Fraction'[%']],"N.A.",0,1)</f>
        <v>0</v>
      </c>
      <c r="AI161" s="2">
        <f>IF(H161="Yes",Tab_Data_Flows[[#This Row],[E5_Fraction'[%']]]*Tab_Data_Flows[[#This Row],[E1_value]],"N.A.")</f>
        <v>0</v>
      </c>
      <c r="AJ161" s="2" t="str">
        <f>Tab_Data_Flows[[#This Row],[E1_UoM]]</f>
        <v>Mg</v>
      </c>
      <c r="AK161" s="19">
        <f>_xlfn.XLOOKUP(Tab_Data_Flows[[#This Row],[Flow_Name]],Tab_Def_Flows[Flow_Name],Tab_Def_Flows[Flow_E6_Fraction'[%']],"N.A.",0,1)</f>
        <v>0</v>
      </c>
      <c r="AL161" s="2">
        <f>IF(Tab_Data_Flows[[#This Row],[Use_E6]]="Yes",Tab_Data_Flows[[#This Row],[E6_Fraction'[%']]]*Tab_Data_Flows[[#This Row],[E1_value]],"N.A.")</f>
        <v>0</v>
      </c>
      <c r="AM161" s="2" t="str">
        <f>Tab_Data_Flows[[#This Row],[E1_UoM]]</f>
        <v>Mg</v>
      </c>
    </row>
    <row r="162" spans="1:39" x14ac:dyDescent="0.25">
      <c r="A162" s="4">
        <f t="shared" si="5"/>
        <v>161</v>
      </c>
      <c r="B162" s="2" t="str">
        <f>_xlfn.XLOOKUP(C162,Tab_Def_Flows[Flow_Name],Tab_Def_Flows[Flow_ID],,0,)</f>
        <v>F__</v>
      </c>
      <c r="C162" s="18" t="s">
        <v>5</v>
      </c>
      <c r="D162" s="5" t="str">
        <f>_xlfn.XLOOKUP(C162,Tab_Def_Flows[Flow_Name],Tab_Def_Flows[Use_E1],,0,)</f>
        <v>Yes</v>
      </c>
      <c r="E162" s="5" t="str">
        <f>_xlfn.XLOOKUP(C162,Tab_Def_Flows[Flow_Name],Tab_Def_Flows[Use_E2],,0,)</f>
        <v>Yes</v>
      </c>
      <c r="F162" s="5" t="str">
        <f>_xlfn.XLOOKUP(C162,Tab_Def_Flows[Flow_Name],Tab_Def_Flows[Use_E3],,0,)</f>
        <v>Yes</v>
      </c>
      <c r="G162" s="5" t="str">
        <f>_xlfn.XLOOKUP(C162,Tab_Def_Flows[Flow_Name],Tab_Def_Flows[Use_E4],,0,)</f>
        <v>Yes</v>
      </c>
      <c r="H162" s="5" t="str">
        <f>_xlfn.XLOOKUP(C162,Tab_Def_Flows[Flow_Name],Tab_Def_Flows[Use_E5],,0,)</f>
        <v>Yes</v>
      </c>
      <c r="I162" s="5" t="str">
        <f>_xlfn.XLOOKUP(C162,Tab_Def_Flows[Flow_Name],Tab_Def_Flows[Use_E6],,0,)</f>
        <v>Yes</v>
      </c>
      <c r="J162" s="3"/>
      <c r="K162" s="3"/>
      <c r="L162" s="2" t="str">
        <f>'0_Configuration'!$C$41</f>
        <v>Mg</v>
      </c>
      <c r="M162" s="9"/>
      <c r="N162" s="9"/>
      <c r="O162" s="9"/>
      <c r="P162" s="9"/>
      <c r="Q162" s="18" t="s">
        <v>3</v>
      </c>
      <c r="R162" s="3"/>
      <c r="S162" s="3"/>
      <c r="T162" s="9"/>
      <c r="U162" s="9"/>
      <c r="V162" s="2">
        <f>_xlfn.XLOOKUP(Tab_Data_Flows[[#This Row],[Flow_Name]],Tab_Def_Flows[Flow_Name],Tab_Def_Flows[Flow_E1_Fraction'[%']],"N.A.",0,1)</f>
        <v>0</v>
      </c>
      <c r="W162" s="8">
        <f t="shared" si="4"/>
        <v>0</v>
      </c>
      <c r="X162" s="2" t="str">
        <f>Tab_Data_Flows[[#This Row],[UoM_Source]]</f>
        <v>Mg</v>
      </c>
      <c r="Y162" s="19">
        <f>_xlfn.XLOOKUP(Tab_Data_Flows[[#This Row],[Flow_Name]],Tab_Def_Flows[Flow_Name],Tab_Def_Flows[Flow_E2_Fraction'[%']],"N.A.",0,1)</f>
        <v>0</v>
      </c>
      <c r="Z162" s="2">
        <f>IF(D162="Yes",W162*Tab_Data_Flows[[#This Row],[E2_Fraction'[%']]],"N.A.")</f>
        <v>0</v>
      </c>
      <c r="AA162" s="2" t="str">
        <f>Tab_Data_Flows[[#This Row],[E1_UoM]]</f>
        <v>Mg</v>
      </c>
      <c r="AB162" s="19">
        <f>_xlfn.XLOOKUP(Tab_Data_Flows[[#This Row],[Flow_Name]],Tab_Def_Flows[Flow_Name],Tab_Def_Flows[Flow_E3_Fraction'[%']],"N.A.",0,1)</f>
        <v>0</v>
      </c>
      <c r="AC162" s="2">
        <f>IF(E162="Yes",AB162*Tab_Data_Flows[[#This Row],[E1_value]],"N.A.")</f>
        <v>0</v>
      </c>
      <c r="AD162" s="2" t="str">
        <f>Tab_Data_Flows[[#This Row],[E1_UoM]]</f>
        <v>Mg</v>
      </c>
      <c r="AE162" s="19">
        <f>_xlfn.XLOOKUP(Tab_Data_Flows[[#This Row],[Flow_Name]],Tab_Def_Flows[Flow_Name],Tab_Def_Flows[Flow_E4_Fraction'[%']],"N.A.",0,1)</f>
        <v>0</v>
      </c>
      <c r="AF162" s="2">
        <f>IF(H162="Yes",Tab_Data_Flows[[#This Row],[E4_Fraction'[%']]]*Tab_Data_Flows[[#This Row],[E1_value]],"N.A.")</f>
        <v>0</v>
      </c>
      <c r="AG162" s="2" t="str">
        <f>Tab_Data_Flows[[#This Row],[E1_UoM]]</f>
        <v>Mg</v>
      </c>
      <c r="AH162" s="2">
        <f>_xlfn.XLOOKUP(Tab_Data_Flows[[#This Row],[Flow_Name]],Tab_Def_Flows[Flow_Name],Tab_Def_Flows[Flow_E5_Fraction'[%']],"N.A.",0,1)</f>
        <v>0</v>
      </c>
      <c r="AI162" s="2">
        <f>IF(H162="Yes",Tab_Data_Flows[[#This Row],[E5_Fraction'[%']]]*Tab_Data_Flows[[#This Row],[E1_value]],"N.A.")</f>
        <v>0</v>
      </c>
      <c r="AJ162" s="2" t="str">
        <f>Tab_Data_Flows[[#This Row],[E1_UoM]]</f>
        <v>Mg</v>
      </c>
      <c r="AK162" s="19">
        <f>_xlfn.XLOOKUP(Tab_Data_Flows[[#This Row],[Flow_Name]],Tab_Def_Flows[Flow_Name],Tab_Def_Flows[Flow_E6_Fraction'[%']],"N.A.",0,1)</f>
        <v>0</v>
      </c>
      <c r="AL162" s="2">
        <f>IF(Tab_Data_Flows[[#This Row],[Use_E6]]="Yes",Tab_Data_Flows[[#This Row],[E6_Fraction'[%']]]*Tab_Data_Flows[[#This Row],[E1_value]],"N.A.")</f>
        <v>0</v>
      </c>
      <c r="AM162" s="2" t="str">
        <f>Tab_Data_Flows[[#This Row],[E1_UoM]]</f>
        <v>Mg</v>
      </c>
    </row>
    <row r="163" spans="1:39" x14ac:dyDescent="0.25">
      <c r="A163" s="4">
        <f t="shared" si="5"/>
        <v>162</v>
      </c>
      <c r="B163" s="2" t="str">
        <f>_xlfn.XLOOKUP(C163,Tab_Def_Flows[Flow_Name],Tab_Def_Flows[Flow_ID],,0,)</f>
        <v>F__</v>
      </c>
      <c r="C163" s="18" t="s">
        <v>5</v>
      </c>
      <c r="D163" s="5" t="str">
        <f>_xlfn.XLOOKUP(C163,Tab_Def_Flows[Flow_Name],Tab_Def_Flows[Use_E1],,0,)</f>
        <v>Yes</v>
      </c>
      <c r="E163" s="5" t="str">
        <f>_xlfn.XLOOKUP(C163,Tab_Def_Flows[Flow_Name],Tab_Def_Flows[Use_E2],,0,)</f>
        <v>Yes</v>
      </c>
      <c r="F163" s="5" t="str">
        <f>_xlfn.XLOOKUP(C163,Tab_Def_Flows[Flow_Name],Tab_Def_Flows[Use_E3],,0,)</f>
        <v>Yes</v>
      </c>
      <c r="G163" s="5" t="str">
        <f>_xlfn.XLOOKUP(C163,Tab_Def_Flows[Flow_Name],Tab_Def_Flows[Use_E4],,0,)</f>
        <v>Yes</v>
      </c>
      <c r="H163" s="5" t="str">
        <f>_xlfn.XLOOKUP(C163,Tab_Def_Flows[Flow_Name],Tab_Def_Flows[Use_E5],,0,)</f>
        <v>Yes</v>
      </c>
      <c r="I163" s="5" t="str">
        <f>_xlfn.XLOOKUP(C163,Tab_Def_Flows[Flow_Name],Tab_Def_Flows[Use_E6],,0,)</f>
        <v>Yes</v>
      </c>
      <c r="J163" s="3"/>
      <c r="K163" s="3"/>
      <c r="L163" s="2" t="str">
        <f>'0_Configuration'!$C$41</f>
        <v>Mg</v>
      </c>
      <c r="M163" s="9"/>
      <c r="N163" s="9"/>
      <c r="O163" s="9"/>
      <c r="P163" s="9"/>
      <c r="Q163" s="18" t="s">
        <v>3</v>
      </c>
      <c r="R163" s="3"/>
      <c r="S163" s="3"/>
      <c r="T163" s="9"/>
      <c r="U163" s="9"/>
      <c r="V163" s="2">
        <f>_xlfn.XLOOKUP(Tab_Data_Flows[[#This Row],[Flow_Name]],Tab_Def_Flows[Flow_Name],Tab_Def_Flows[Flow_E1_Fraction'[%']],"N.A.",0,1)</f>
        <v>0</v>
      </c>
      <c r="W163" s="8">
        <f t="shared" si="4"/>
        <v>0</v>
      </c>
      <c r="X163" s="2" t="str">
        <f>Tab_Data_Flows[[#This Row],[UoM_Source]]</f>
        <v>Mg</v>
      </c>
      <c r="Y163" s="19">
        <f>_xlfn.XLOOKUP(Tab_Data_Flows[[#This Row],[Flow_Name]],Tab_Def_Flows[Flow_Name],Tab_Def_Flows[Flow_E2_Fraction'[%']],"N.A.",0,1)</f>
        <v>0</v>
      </c>
      <c r="Z163" s="2">
        <f>IF(D163="Yes",W163*Tab_Data_Flows[[#This Row],[E2_Fraction'[%']]],"N.A.")</f>
        <v>0</v>
      </c>
      <c r="AA163" s="2" t="str">
        <f>Tab_Data_Flows[[#This Row],[E1_UoM]]</f>
        <v>Mg</v>
      </c>
      <c r="AB163" s="19">
        <f>_xlfn.XLOOKUP(Tab_Data_Flows[[#This Row],[Flow_Name]],Tab_Def_Flows[Flow_Name],Tab_Def_Flows[Flow_E3_Fraction'[%']],"N.A.",0,1)</f>
        <v>0</v>
      </c>
      <c r="AC163" s="2">
        <f>IF(E163="Yes",AB163*Tab_Data_Flows[[#This Row],[E1_value]],"N.A.")</f>
        <v>0</v>
      </c>
      <c r="AD163" s="2" t="str">
        <f>Tab_Data_Flows[[#This Row],[E1_UoM]]</f>
        <v>Mg</v>
      </c>
      <c r="AE163" s="19">
        <f>_xlfn.XLOOKUP(Tab_Data_Flows[[#This Row],[Flow_Name]],Tab_Def_Flows[Flow_Name],Tab_Def_Flows[Flow_E4_Fraction'[%']],"N.A.",0,1)</f>
        <v>0</v>
      </c>
      <c r="AF163" s="2">
        <f>IF(H163="Yes",Tab_Data_Flows[[#This Row],[E4_Fraction'[%']]]*Tab_Data_Flows[[#This Row],[E1_value]],"N.A.")</f>
        <v>0</v>
      </c>
      <c r="AG163" s="2" t="str">
        <f>Tab_Data_Flows[[#This Row],[E1_UoM]]</f>
        <v>Mg</v>
      </c>
      <c r="AH163" s="2">
        <f>_xlfn.XLOOKUP(Tab_Data_Flows[[#This Row],[Flow_Name]],Tab_Def_Flows[Flow_Name],Tab_Def_Flows[Flow_E5_Fraction'[%']],"N.A.",0,1)</f>
        <v>0</v>
      </c>
      <c r="AI163" s="2">
        <f>IF(H163="Yes",Tab_Data_Flows[[#This Row],[E5_Fraction'[%']]]*Tab_Data_Flows[[#This Row],[E1_value]],"N.A.")</f>
        <v>0</v>
      </c>
      <c r="AJ163" s="2" t="str">
        <f>Tab_Data_Flows[[#This Row],[E1_UoM]]</f>
        <v>Mg</v>
      </c>
      <c r="AK163" s="19">
        <f>_xlfn.XLOOKUP(Tab_Data_Flows[[#This Row],[Flow_Name]],Tab_Def_Flows[Flow_Name],Tab_Def_Flows[Flow_E6_Fraction'[%']],"N.A.",0,1)</f>
        <v>0</v>
      </c>
      <c r="AL163" s="2">
        <f>IF(Tab_Data_Flows[[#This Row],[Use_E6]]="Yes",Tab_Data_Flows[[#This Row],[E6_Fraction'[%']]]*Tab_Data_Flows[[#This Row],[E1_value]],"N.A.")</f>
        <v>0</v>
      </c>
      <c r="AM163" s="2" t="str">
        <f>Tab_Data_Flows[[#This Row],[E1_UoM]]</f>
        <v>Mg</v>
      </c>
    </row>
    <row r="164" spans="1:39" x14ac:dyDescent="0.25">
      <c r="A164" s="4">
        <f t="shared" si="5"/>
        <v>163</v>
      </c>
      <c r="B164" s="2" t="str">
        <f>_xlfn.XLOOKUP(C164,Tab_Def_Flows[Flow_Name],Tab_Def_Flows[Flow_ID],,0,)</f>
        <v>F__</v>
      </c>
      <c r="C164" s="18" t="s">
        <v>5</v>
      </c>
      <c r="D164" s="5" t="str">
        <f>_xlfn.XLOOKUP(C164,Tab_Def_Flows[Flow_Name],Tab_Def_Flows[Use_E1],,0,)</f>
        <v>Yes</v>
      </c>
      <c r="E164" s="5" t="str">
        <f>_xlfn.XLOOKUP(C164,Tab_Def_Flows[Flow_Name],Tab_Def_Flows[Use_E2],,0,)</f>
        <v>Yes</v>
      </c>
      <c r="F164" s="5" t="str">
        <f>_xlfn.XLOOKUP(C164,Tab_Def_Flows[Flow_Name],Tab_Def_Flows[Use_E3],,0,)</f>
        <v>Yes</v>
      </c>
      <c r="G164" s="5" t="str">
        <f>_xlfn.XLOOKUP(C164,Tab_Def_Flows[Flow_Name],Tab_Def_Flows[Use_E4],,0,)</f>
        <v>Yes</v>
      </c>
      <c r="H164" s="5" t="str">
        <f>_xlfn.XLOOKUP(C164,Tab_Def_Flows[Flow_Name],Tab_Def_Flows[Use_E5],,0,)</f>
        <v>Yes</v>
      </c>
      <c r="I164" s="5" t="str">
        <f>_xlfn.XLOOKUP(C164,Tab_Def_Flows[Flow_Name],Tab_Def_Flows[Use_E6],,0,)</f>
        <v>Yes</v>
      </c>
      <c r="J164" s="3"/>
      <c r="K164" s="3"/>
      <c r="L164" s="2" t="str">
        <f>'0_Configuration'!$C$41</f>
        <v>Mg</v>
      </c>
      <c r="M164" s="9"/>
      <c r="N164" s="9"/>
      <c r="O164" s="9"/>
      <c r="P164" s="9"/>
      <c r="Q164" s="18" t="s">
        <v>3</v>
      </c>
      <c r="R164" s="3"/>
      <c r="S164" s="3"/>
      <c r="T164" s="9"/>
      <c r="U164" s="9"/>
      <c r="V164" s="2">
        <f>_xlfn.XLOOKUP(Tab_Data_Flows[[#This Row],[Flow_Name]],Tab_Def_Flows[Flow_Name],Tab_Def_Flows[Flow_E1_Fraction'[%']],"N.A.",0,1)</f>
        <v>0</v>
      </c>
      <c r="W164" s="8">
        <f t="shared" si="4"/>
        <v>0</v>
      </c>
      <c r="X164" s="2" t="str">
        <f>Tab_Data_Flows[[#This Row],[UoM_Source]]</f>
        <v>Mg</v>
      </c>
      <c r="Y164" s="19">
        <f>_xlfn.XLOOKUP(Tab_Data_Flows[[#This Row],[Flow_Name]],Tab_Def_Flows[Flow_Name],Tab_Def_Flows[Flow_E2_Fraction'[%']],"N.A.",0,1)</f>
        <v>0</v>
      </c>
      <c r="Z164" s="2">
        <f>IF(D164="Yes",W164*Tab_Data_Flows[[#This Row],[E2_Fraction'[%']]],"N.A.")</f>
        <v>0</v>
      </c>
      <c r="AA164" s="2" t="str">
        <f>Tab_Data_Flows[[#This Row],[E1_UoM]]</f>
        <v>Mg</v>
      </c>
      <c r="AB164" s="19">
        <f>_xlfn.XLOOKUP(Tab_Data_Flows[[#This Row],[Flow_Name]],Tab_Def_Flows[Flow_Name],Tab_Def_Flows[Flow_E3_Fraction'[%']],"N.A.",0,1)</f>
        <v>0</v>
      </c>
      <c r="AC164" s="2">
        <f>IF(E164="Yes",AB164*Tab_Data_Flows[[#This Row],[E1_value]],"N.A.")</f>
        <v>0</v>
      </c>
      <c r="AD164" s="2" t="str">
        <f>Tab_Data_Flows[[#This Row],[E1_UoM]]</f>
        <v>Mg</v>
      </c>
      <c r="AE164" s="19">
        <f>_xlfn.XLOOKUP(Tab_Data_Flows[[#This Row],[Flow_Name]],Tab_Def_Flows[Flow_Name],Tab_Def_Flows[Flow_E4_Fraction'[%']],"N.A.",0,1)</f>
        <v>0</v>
      </c>
      <c r="AF164" s="2">
        <f>IF(H164="Yes",Tab_Data_Flows[[#This Row],[E4_Fraction'[%']]]*Tab_Data_Flows[[#This Row],[E1_value]],"N.A.")</f>
        <v>0</v>
      </c>
      <c r="AG164" s="2" t="str">
        <f>Tab_Data_Flows[[#This Row],[E1_UoM]]</f>
        <v>Mg</v>
      </c>
      <c r="AH164" s="2">
        <f>_xlfn.XLOOKUP(Tab_Data_Flows[[#This Row],[Flow_Name]],Tab_Def_Flows[Flow_Name],Tab_Def_Flows[Flow_E5_Fraction'[%']],"N.A.",0,1)</f>
        <v>0</v>
      </c>
      <c r="AI164" s="2">
        <f>IF(H164="Yes",Tab_Data_Flows[[#This Row],[E5_Fraction'[%']]]*Tab_Data_Flows[[#This Row],[E1_value]],"N.A.")</f>
        <v>0</v>
      </c>
      <c r="AJ164" s="2" t="str">
        <f>Tab_Data_Flows[[#This Row],[E1_UoM]]</f>
        <v>Mg</v>
      </c>
      <c r="AK164" s="19">
        <f>_xlfn.XLOOKUP(Tab_Data_Flows[[#This Row],[Flow_Name]],Tab_Def_Flows[Flow_Name],Tab_Def_Flows[Flow_E6_Fraction'[%']],"N.A.",0,1)</f>
        <v>0</v>
      </c>
      <c r="AL164" s="2">
        <f>IF(Tab_Data_Flows[[#This Row],[Use_E6]]="Yes",Tab_Data_Flows[[#This Row],[E6_Fraction'[%']]]*Tab_Data_Flows[[#This Row],[E1_value]],"N.A.")</f>
        <v>0</v>
      </c>
      <c r="AM164" s="2" t="str">
        <f>Tab_Data_Flows[[#This Row],[E1_UoM]]</f>
        <v>Mg</v>
      </c>
    </row>
    <row r="165" spans="1:39" x14ac:dyDescent="0.25">
      <c r="A165" s="4">
        <f t="shared" si="5"/>
        <v>164</v>
      </c>
      <c r="B165" s="2" t="str">
        <f>_xlfn.XLOOKUP(C165,Tab_Def_Flows[Flow_Name],Tab_Def_Flows[Flow_ID],,0,)</f>
        <v>F__</v>
      </c>
      <c r="C165" s="18" t="s">
        <v>5</v>
      </c>
      <c r="D165" s="5" t="str">
        <f>_xlfn.XLOOKUP(C165,Tab_Def_Flows[Flow_Name],Tab_Def_Flows[Use_E1],,0,)</f>
        <v>Yes</v>
      </c>
      <c r="E165" s="5" t="str">
        <f>_xlfn.XLOOKUP(C165,Tab_Def_Flows[Flow_Name],Tab_Def_Flows[Use_E2],,0,)</f>
        <v>Yes</v>
      </c>
      <c r="F165" s="5" t="str">
        <f>_xlfn.XLOOKUP(C165,Tab_Def_Flows[Flow_Name],Tab_Def_Flows[Use_E3],,0,)</f>
        <v>Yes</v>
      </c>
      <c r="G165" s="5" t="str">
        <f>_xlfn.XLOOKUP(C165,Tab_Def_Flows[Flow_Name],Tab_Def_Flows[Use_E4],,0,)</f>
        <v>Yes</v>
      </c>
      <c r="H165" s="5" t="str">
        <f>_xlfn.XLOOKUP(C165,Tab_Def_Flows[Flow_Name],Tab_Def_Flows[Use_E5],,0,)</f>
        <v>Yes</v>
      </c>
      <c r="I165" s="5" t="str">
        <f>_xlfn.XLOOKUP(C165,Tab_Def_Flows[Flow_Name],Tab_Def_Flows[Use_E6],,0,)</f>
        <v>Yes</v>
      </c>
      <c r="J165" s="3"/>
      <c r="K165" s="3"/>
      <c r="L165" s="2" t="str">
        <f>'0_Configuration'!$C$41</f>
        <v>Mg</v>
      </c>
      <c r="M165" s="9"/>
      <c r="N165" s="9"/>
      <c r="O165" s="9"/>
      <c r="P165" s="9"/>
      <c r="Q165" s="18" t="s">
        <v>3</v>
      </c>
      <c r="R165" s="3"/>
      <c r="S165" s="3"/>
      <c r="T165" s="9"/>
      <c r="U165" s="9"/>
      <c r="V165" s="2">
        <f>_xlfn.XLOOKUP(Tab_Data_Flows[[#This Row],[Flow_Name]],Tab_Def_Flows[Flow_Name],Tab_Def_Flows[Flow_E1_Fraction'[%']],"N.A.",0,1)</f>
        <v>0</v>
      </c>
      <c r="W165" s="8">
        <f t="shared" si="4"/>
        <v>0</v>
      </c>
      <c r="X165" s="2" t="str">
        <f>Tab_Data_Flows[[#This Row],[UoM_Source]]</f>
        <v>Mg</v>
      </c>
      <c r="Y165" s="19">
        <f>_xlfn.XLOOKUP(Tab_Data_Flows[[#This Row],[Flow_Name]],Tab_Def_Flows[Flow_Name],Tab_Def_Flows[Flow_E2_Fraction'[%']],"N.A.",0,1)</f>
        <v>0</v>
      </c>
      <c r="Z165" s="2">
        <f>IF(D165="Yes",W165*Tab_Data_Flows[[#This Row],[E2_Fraction'[%']]],"N.A.")</f>
        <v>0</v>
      </c>
      <c r="AA165" s="2" t="str">
        <f>Tab_Data_Flows[[#This Row],[E1_UoM]]</f>
        <v>Mg</v>
      </c>
      <c r="AB165" s="19">
        <f>_xlfn.XLOOKUP(Tab_Data_Flows[[#This Row],[Flow_Name]],Tab_Def_Flows[Flow_Name],Tab_Def_Flows[Flow_E3_Fraction'[%']],"N.A.",0,1)</f>
        <v>0</v>
      </c>
      <c r="AC165" s="2">
        <f>IF(E165="Yes",AB165*Tab_Data_Flows[[#This Row],[E1_value]],"N.A.")</f>
        <v>0</v>
      </c>
      <c r="AD165" s="2" t="str">
        <f>Tab_Data_Flows[[#This Row],[E1_UoM]]</f>
        <v>Mg</v>
      </c>
      <c r="AE165" s="19">
        <f>_xlfn.XLOOKUP(Tab_Data_Flows[[#This Row],[Flow_Name]],Tab_Def_Flows[Flow_Name],Tab_Def_Flows[Flow_E4_Fraction'[%']],"N.A.",0,1)</f>
        <v>0</v>
      </c>
      <c r="AF165" s="2">
        <f>IF(H165="Yes",Tab_Data_Flows[[#This Row],[E4_Fraction'[%']]]*Tab_Data_Flows[[#This Row],[E1_value]],"N.A.")</f>
        <v>0</v>
      </c>
      <c r="AG165" s="2" t="str">
        <f>Tab_Data_Flows[[#This Row],[E1_UoM]]</f>
        <v>Mg</v>
      </c>
      <c r="AH165" s="2">
        <f>_xlfn.XLOOKUP(Tab_Data_Flows[[#This Row],[Flow_Name]],Tab_Def_Flows[Flow_Name],Tab_Def_Flows[Flow_E5_Fraction'[%']],"N.A.",0,1)</f>
        <v>0</v>
      </c>
      <c r="AI165" s="2">
        <f>IF(H165="Yes",Tab_Data_Flows[[#This Row],[E5_Fraction'[%']]]*Tab_Data_Flows[[#This Row],[E1_value]],"N.A.")</f>
        <v>0</v>
      </c>
      <c r="AJ165" s="2" t="str">
        <f>Tab_Data_Flows[[#This Row],[E1_UoM]]</f>
        <v>Mg</v>
      </c>
      <c r="AK165" s="19">
        <f>_xlfn.XLOOKUP(Tab_Data_Flows[[#This Row],[Flow_Name]],Tab_Def_Flows[Flow_Name],Tab_Def_Flows[Flow_E6_Fraction'[%']],"N.A.",0,1)</f>
        <v>0</v>
      </c>
      <c r="AL165" s="2">
        <f>IF(Tab_Data_Flows[[#This Row],[Use_E6]]="Yes",Tab_Data_Flows[[#This Row],[E6_Fraction'[%']]]*Tab_Data_Flows[[#This Row],[E1_value]],"N.A.")</f>
        <v>0</v>
      </c>
      <c r="AM165" s="2" t="str">
        <f>Tab_Data_Flows[[#This Row],[E1_UoM]]</f>
        <v>Mg</v>
      </c>
    </row>
    <row r="166" spans="1:39" x14ac:dyDescent="0.25">
      <c r="A166" s="4">
        <f t="shared" si="5"/>
        <v>165</v>
      </c>
      <c r="B166" s="2" t="str">
        <f>_xlfn.XLOOKUP(C166,Tab_Def_Flows[Flow_Name],Tab_Def_Flows[Flow_ID],,0,)</f>
        <v>F__</v>
      </c>
      <c r="C166" s="18" t="s">
        <v>5</v>
      </c>
      <c r="D166" s="5" t="str">
        <f>_xlfn.XLOOKUP(C166,Tab_Def_Flows[Flow_Name],Tab_Def_Flows[Use_E1],,0,)</f>
        <v>Yes</v>
      </c>
      <c r="E166" s="5" t="str">
        <f>_xlfn.XLOOKUP(C166,Tab_Def_Flows[Flow_Name],Tab_Def_Flows[Use_E2],,0,)</f>
        <v>Yes</v>
      </c>
      <c r="F166" s="5" t="str">
        <f>_xlfn.XLOOKUP(C166,Tab_Def_Flows[Flow_Name],Tab_Def_Flows[Use_E3],,0,)</f>
        <v>Yes</v>
      </c>
      <c r="G166" s="5" t="str">
        <f>_xlfn.XLOOKUP(C166,Tab_Def_Flows[Flow_Name],Tab_Def_Flows[Use_E4],,0,)</f>
        <v>Yes</v>
      </c>
      <c r="H166" s="5" t="str">
        <f>_xlfn.XLOOKUP(C166,Tab_Def_Flows[Flow_Name],Tab_Def_Flows[Use_E5],,0,)</f>
        <v>Yes</v>
      </c>
      <c r="I166" s="5" t="str">
        <f>_xlfn.XLOOKUP(C166,Tab_Def_Flows[Flow_Name],Tab_Def_Flows[Use_E6],,0,)</f>
        <v>Yes</v>
      </c>
      <c r="J166" s="3"/>
      <c r="K166" s="3"/>
      <c r="L166" s="2" t="str">
        <f>'0_Configuration'!$C$41</f>
        <v>Mg</v>
      </c>
      <c r="M166" s="9"/>
      <c r="N166" s="9"/>
      <c r="O166" s="9"/>
      <c r="P166" s="9"/>
      <c r="Q166" s="18" t="s">
        <v>3</v>
      </c>
      <c r="R166" s="3"/>
      <c r="S166" s="3"/>
      <c r="T166" s="9"/>
      <c r="U166" s="9"/>
      <c r="V166" s="2">
        <f>_xlfn.XLOOKUP(Tab_Data_Flows[[#This Row],[Flow_Name]],Tab_Def_Flows[Flow_Name],Tab_Def_Flows[Flow_E1_Fraction'[%']],"N.A.",0,1)</f>
        <v>0</v>
      </c>
      <c r="W166" s="8">
        <f t="shared" si="4"/>
        <v>0</v>
      </c>
      <c r="X166" s="2" t="str">
        <f>Tab_Data_Flows[[#This Row],[UoM_Source]]</f>
        <v>Mg</v>
      </c>
      <c r="Y166" s="19">
        <f>_xlfn.XLOOKUP(Tab_Data_Flows[[#This Row],[Flow_Name]],Tab_Def_Flows[Flow_Name],Tab_Def_Flows[Flow_E2_Fraction'[%']],"N.A.",0,1)</f>
        <v>0</v>
      </c>
      <c r="Z166" s="2">
        <f>IF(D166="Yes",W166*Tab_Data_Flows[[#This Row],[E2_Fraction'[%']]],"N.A.")</f>
        <v>0</v>
      </c>
      <c r="AA166" s="2" t="str">
        <f>Tab_Data_Flows[[#This Row],[E1_UoM]]</f>
        <v>Mg</v>
      </c>
      <c r="AB166" s="19">
        <f>_xlfn.XLOOKUP(Tab_Data_Flows[[#This Row],[Flow_Name]],Tab_Def_Flows[Flow_Name],Tab_Def_Flows[Flow_E3_Fraction'[%']],"N.A.",0,1)</f>
        <v>0</v>
      </c>
      <c r="AC166" s="2">
        <f>IF(E166="Yes",AB166*Tab_Data_Flows[[#This Row],[E1_value]],"N.A.")</f>
        <v>0</v>
      </c>
      <c r="AD166" s="2" t="str">
        <f>Tab_Data_Flows[[#This Row],[E1_UoM]]</f>
        <v>Mg</v>
      </c>
      <c r="AE166" s="19">
        <f>_xlfn.XLOOKUP(Tab_Data_Flows[[#This Row],[Flow_Name]],Tab_Def_Flows[Flow_Name],Tab_Def_Flows[Flow_E4_Fraction'[%']],"N.A.",0,1)</f>
        <v>0</v>
      </c>
      <c r="AF166" s="2">
        <f>IF(H166="Yes",Tab_Data_Flows[[#This Row],[E4_Fraction'[%']]]*Tab_Data_Flows[[#This Row],[E1_value]],"N.A.")</f>
        <v>0</v>
      </c>
      <c r="AG166" s="2" t="str">
        <f>Tab_Data_Flows[[#This Row],[E1_UoM]]</f>
        <v>Mg</v>
      </c>
      <c r="AH166" s="2">
        <f>_xlfn.XLOOKUP(Tab_Data_Flows[[#This Row],[Flow_Name]],Tab_Def_Flows[Flow_Name],Tab_Def_Flows[Flow_E5_Fraction'[%']],"N.A.",0,1)</f>
        <v>0</v>
      </c>
      <c r="AI166" s="2">
        <f>IF(H166="Yes",Tab_Data_Flows[[#This Row],[E5_Fraction'[%']]]*Tab_Data_Flows[[#This Row],[E1_value]],"N.A.")</f>
        <v>0</v>
      </c>
      <c r="AJ166" s="2" t="str">
        <f>Tab_Data_Flows[[#This Row],[E1_UoM]]</f>
        <v>Mg</v>
      </c>
      <c r="AK166" s="19">
        <f>_xlfn.XLOOKUP(Tab_Data_Flows[[#This Row],[Flow_Name]],Tab_Def_Flows[Flow_Name],Tab_Def_Flows[Flow_E6_Fraction'[%']],"N.A.",0,1)</f>
        <v>0</v>
      </c>
      <c r="AL166" s="2">
        <f>IF(Tab_Data_Flows[[#This Row],[Use_E6]]="Yes",Tab_Data_Flows[[#This Row],[E6_Fraction'[%']]]*Tab_Data_Flows[[#This Row],[E1_value]],"N.A.")</f>
        <v>0</v>
      </c>
      <c r="AM166" s="2" t="str">
        <f>Tab_Data_Flows[[#This Row],[E1_UoM]]</f>
        <v>Mg</v>
      </c>
    </row>
    <row r="167" spans="1:39" x14ac:dyDescent="0.25">
      <c r="A167" s="4">
        <f t="shared" si="5"/>
        <v>166</v>
      </c>
      <c r="B167" s="2" t="str">
        <f>_xlfn.XLOOKUP(C167,Tab_Def_Flows[Flow_Name],Tab_Def_Flows[Flow_ID],,0,)</f>
        <v>F__</v>
      </c>
      <c r="C167" s="18" t="s">
        <v>5</v>
      </c>
      <c r="D167" s="5" t="str">
        <f>_xlfn.XLOOKUP(C167,Tab_Def_Flows[Flow_Name],Tab_Def_Flows[Use_E1],,0,)</f>
        <v>Yes</v>
      </c>
      <c r="E167" s="5" t="str">
        <f>_xlfn.XLOOKUP(C167,Tab_Def_Flows[Flow_Name],Tab_Def_Flows[Use_E2],,0,)</f>
        <v>Yes</v>
      </c>
      <c r="F167" s="5" t="str">
        <f>_xlfn.XLOOKUP(C167,Tab_Def_Flows[Flow_Name],Tab_Def_Flows[Use_E3],,0,)</f>
        <v>Yes</v>
      </c>
      <c r="G167" s="5" t="str">
        <f>_xlfn.XLOOKUP(C167,Tab_Def_Flows[Flow_Name],Tab_Def_Flows[Use_E4],,0,)</f>
        <v>Yes</v>
      </c>
      <c r="H167" s="5" t="str">
        <f>_xlfn.XLOOKUP(C167,Tab_Def_Flows[Flow_Name],Tab_Def_Flows[Use_E5],,0,)</f>
        <v>Yes</v>
      </c>
      <c r="I167" s="5" t="str">
        <f>_xlfn.XLOOKUP(C167,Tab_Def_Flows[Flow_Name],Tab_Def_Flows[Use_E6],,0,)</f>
        <v>Yes</v>
      </c>
      <c r="J167" s="3"/>
      <c r="K167" s="3"/>
      <c r="L167" s="2" t="str">
        <f>'0_Configuration'!$C$41</f>
        <v>Mg</v>
      </c>
      <c r="M167" s="9"/>
      <c r="N167" s="9"/>
      <c r="O167" s="9"/>
      <c r="P167" s="9"/>
      <c r="Q167" s="18" t="s">
        <v>3</v>
      </c>
      <c r="R167" s="3"/>
      <c r="S167" s="3"/>
      <c r="T167" s="9"/>
      <c r="U167" s="9"/>
      <c r="V167" s="2">
        <f>_xlfn.XLOOKUP(Tab_Data_Flows[[#This Row],[Flow_Name]],Tab_Def_Flows[Flow_Name],Tab_Def_Flows[Flow_E1_Fraction'[%']],"N.A.",0,1)</f>
        <v>0</v>
      </c>
      <c r="W167" s="8">
        <f t="shared" si="4"/>
        <v>0</v>
      </c>
      <c r="X167" s="2" t="str">
        <f>Tab_Data_Flows[[#This Row],[UoM_Source]]</f>
        <v>Mg</v>
      </c>
      <c r="Y167" s="19">
        <f>_xlfn.XLOOKUP(Tab_Data_Flows[[#This Row],[Flow_Name]],Tab_Def_Flows[Flow_Name],Tab_Def_Flows[Flow_E2_Fraction'[%']],"N.A.",0,1)</f>
        <v>0</v>
      </c>
      <c r="Z167" s="2">
        <f>IF(D167="Yes",W167*Tab_Data_Flows[[#This Row],[E2_Fraction'[%']]],"N.A.")</f>
        <v>0</v>
      </c>
      <c r="AA167" s="2" t="str">
        <f>Tab_Data_Flows[[#This Row],[E1_UoM]]</f>
        <v>Mg</v>
      </c>
      <c r="AB167" s="19">
        <f>_xlfn.XLOOKUP(Tab_Data_Flows[[#This Row],[Flow_Name]],Tab_Def_Flows[Flow_Name],Tab_Def_Flows[Flow_E3_Fraction'[%']],"N.A.",0,1)</f>
        <v>0</v>
      </c>
      <c r="AC167" s="2">
        <f>IF(E167="Yes",AB167*Tab_Data_Flows[[#This Row],[E1_value]],"N.A.")</f>
        <v>0</v>
      </c>
      <c r="AD167" s="2" t="str">
        <f>Tab_Data_Flows[[#This Row],[E1_UoM]]</f>
        <v>Mg</v>
      </c>
      <c r="AE167" s="19">
        <f>_xlfn.XLOOKUP(Tab_Data_Flows[[#This Row],[Flow_Name]],Tab_Def_Flows[Flow_Name],Tab_Def_Flows[Flow_E4_Fraction'[%']],"N.A.",0,1)</f>
        <v>0</v>
      </c>
      <c r="AF167" s="2">
        <f>IF(H167="Yes",Tab_Data_Flows[[#This Row],[E4_Fraction'[%']]]*Tab_Data_Flows[[#This Row],[E1_value]],"N.A.")</f>
        <v>0</v>
      </c>
      <c r="AG167" s="2" t="str">
        <f>Tab_Data_Flows[[#This Row],[E1_UoM]]</f>
        <v>Mg</v>
      </c>
      <c r="AH167" s="2">
        <f>_xlfn.XLOOKUP(Tab_Data_Flows[[#This Row],[Flow_Name]],Tab_Def_Flows[Flow_Name],Tab_Def_Flows[Flow_E5_Fraction'[%']],"N.A.",0,1)</f>
        <v>0</v>
      </c>
      <c r="AI167" s="2">
        <f>IF(H167="Yes",Tab_Data_Flows[[#This Row],[E5_Fraction'[%']]]*Tab_Data_Flows[[#This Row],[E1_value]],"N.A.")</f>
        <v>0</v>
      </c>
      <c r="AJ167" s="2" t="str">
        <f>Tab_Data_Flows[[#This Row],[E1_UoM]]</f>
        <v>Mg</v>
      </c>
      <c r="AK167" s="19">
        <f>_xlfn.XLOOKUP(Tab_Data_Flows[[#This Row],[Flow_Name]],Tab_Def_Flows[Flow_Name],Tab_Def_Flows[Flow_E6_Fraction'[%']],"N.A.",0,1)</f>
        <v>0</v>
      </c>
      <c r="AL167" s="2">
        <f>IF(Tab_Data_Flows[[#This Row],[Use_E6]]="Yes",Tab_Data_Flows[[#This Row],[E6_Fraction'[%']]]*Tab_Data_Flows[[#This Row],[E1_value]],"N.A.")</f>
        <v>0</v>
      </c>
      <c r="AM167" s="2" t="str">
        <f>Tab_Data_Flows[[#This Row],[E1_UoM]]</f>
        <v>Mg</v>
      </c>
    </row>
    <row r="168" spans="1:39" x14ac:dyDescent="0.25">
      <c r="A168" s="4">
        <f t="shared" si="5"/>
        <v>167</v>
      </c>
      <c r="B168" s="2" t="str">
        <f>_xlfn.XLOOKUP(C168,Tab_Def_Flows[Flow_Name],Tab_Def_Flows[Flow_ID],,0,)</f>
        <v>F__</v>
      </c>
      <c r="C168" s="18" t="s">
        <v>5</v>
      </c>
      <c r="D168" s="5" t="str">
        <f>_xlfn.XLOOKUP(C168,Tab_Def_Flows[Flow_Name],Tab_Def_Flows[Use_E1],,0,)</f>
        <v>Yes</v>
      </c>
      <c r="E168" s="5" t="str">
        <f>_xlfn.XLOOKUP(C168,Tab_Def_Flows[Flow_Name],Tab_Def_Flows[Use_E2],,0,)</f>
        <v>Yes</v>
      </c>
      <c r="F168" s="5" t="str">
        <f>_xlfn.XLOOKUP(C168,Tab_Def_Flows[Flow_Name],Tab_Def_Flows[Use_E3],,0,)</f>
        <v>Yes</v>
      </c>
      <c r="G168" s="5" t="str">
        <f>_xlfn.XLOOKUP(C168,Tab_Def_Flows[Flow_Name],Tab_Def_Flows[Use_E4],,0,)</f>
        <v>Yes</v>
      </c>
      <c r="H168" s="5" t="str">
        <f>_xlfn.XLOOKUP(C168,Tab_Def_Flows[Flow_Name],Tab_Def_Flows[Use_E5],,0,)</f>
        <v>Yes</v>
      </c>
      <c r="I168" s="5" t="str">
        <f>_xlfn.XLOOKUP(C168,Tab_Def_Flows[Flow_Name],Tab_Def_Flows[Use_E6],,0,)</f>
        <v>Yes</v>
      </c>
      <c r="J168" s="3"/>
      <c r="K168" s="3"/>
      <c r="L168" s="2" t="str">
        <f>'0_Configuration'!$C$41</f>
        <v>Mg</v>
      </c>
      <c r="M168" s="9"/>
      <c r="N168" s="9"/>
      <c r="O168" s="9"/>
      <c r="P168" s="9"/>
      <c r="Q168" s="18" t="s">
        <v>3</v>
      </c>
      <c r="R168" s="3"/>
      <c r="S168" s="3"/>
      <c r="T168" s="9"/>
      <c r="U168" s="9"/>
      <c r="V168" s="2">
        <f>_xlfn.XLOOKUP(Tab_Data_Flows[[#This Row],[Flow_Name]],Tab_Def_Flows[Flow_Name],Tab_Def_Flows[Flow_E1_Fraction'[%']],"N.A.",0,1)</f>
        <v>0</v>
      </c>
      <c r="W168" s="8">
        <f t="shared" si="4"/>
        <v>0</v>
      </c>
      <c r="X168" s="2" t="str">
        <f>Tab_Data_Flows[[#This Row],[UoM_Source]]</f>
        <v>Mg</v>
      </c>
      <c r="Y168" s="19">
        <f>_xlfn.XLOOKUP(Tab_Data_Flows[[#This Row],[Flow_Name]],Tab_Def_Flows[Flow_Name],Tab_Def_Flows[Flow_E2_Fraction'[%']],"N.A.",0,1)</f>
        <v>0</v>
      </c>
      <c r="Z168" s="2">
        <f>IF(D168="Yes",W168*Tab_Data_Flows[[#This Row],[E2_Fraction'[%']]],"N.A.")</f>
        <v>0</v>
      </c>
      <c r="AA168" s="2" t="str">
        <f>Tab_Data_Flows[[#This Row],[E1_UoM]]</f>
        <v>Mg</v>
      </c>
      <c r="AB168" s="19">
        <f>_xlfn.XLOOKUP(Tab_Data_Flows[[#This Row],[Flow_Name]],Tab_Def_Flows[Flow_Name],Tab_Def_Flows[Flow_E3_Fraction'[%']],"N.A.",0,1)</f>
        <v>0</v>
      </c>
      <c r="AC168" s="2">
        <f>IF(E168="Yes",AB168*Tab_Data_Flows[[#This Row],[E1_value]],"N.A.")</f>
        <v>0</v>
      </c>
      <c r="AD168" s="2" t="str">
        <f>Tab_Data_Flows[[#This Row],[E1_UoM]]</f>
        <v>Mg</v>
      </c>
      <c r="AE168" s="19">
        <f>_xlfn.XLOOKUP(Tab_Data_Flows[[#This Row],[Flow_Name]],Tab_Def_Flows[Flow_Name],Tab_Def_Flows[Flow_E4_Fraction'[%']],"N.A.",0,1)</f>
        <v>0</v>
      </c>
      <c r="AF168" s="2">
        <f>IF(H168="Yes",Tab_Data_Flows[[#This Row],[E4_Fraction'[%']]]*Tab_Data_Flows[[#This Row],[E1_value]],"N.A.")</f>
        <v>0</v>
      </c>
      <c r="AG168" s="2" t="str">
        <f>Tab_Data_Flows[[#This Row],[E1_UoM]]</f>
        <v>Mg</v>
      </c>
      <c r="AH168" s="2">
        <f>_xlfn.XLOOKUP(Tab_Data_Flows[[#This Row],[Flow_Name]],Tab_Def_Flows[Flow_Name],Tab_Def_Flows[Flow_E5_Fraction'[%']],"N.A.",0,1)</f>
        <v>0</v>
      </c>
      <c r="AI168" s="2">
        <f>IF(H168="Yes",Tab_Data_Flows[[#This Row],[E5_Fraction'[%']]]*Tab_Data_Flows[[#This Row],[E1_value]],"N.A.")</f>
        <v>0</v>
      </c>
      <c r="AJ168" s="2" t="str">
        <f>Tab_Data_Flows[[#This Row],[E1_UoM]]</f>
        <v>Mg</v>
      </c>
      <c r="AK168" s="19">
        <f>_xlfn.XLOOKUP(Tab_Data_Flows[[#This Row],[Flow_Name]],Tab_Def_Flows[Flow_Name],Tab_Def_Flows[Flow_E6_Fraction'[%']],"N.A.",0,1)</f>
        <v>0</v>
      </c>
      <c r="AL168" s="2">
        <f>IF(Tab_Data_Flows[[#This Row],[Use_E6]]="Yes",Tab_Data_Flows[[#This Row],[E6_Fraction'[%']]]*Tab_Data_Flows[[#This Row],[E1_value]],"N.A.")</f>
        <v>0</v>
      </c>
      <c r="AM168" s="2" t="str">
        <f>Tab_Data_Flows[[#This Row],[E1_UoM]]</f>
        <v>Mg</v>
      </c>
    </row>
    <row r="169" spans="1:39" x14ac:dyDescent="0.25">
      <c r="A169" s="4">
        <f t="shared" si="5"/>
        <v>168</v>
      </c>
      <c r="B169" s="2" t="str">
        <f>_xlfn.XLOOKUP(C169,Tab_Def_Flows[Flow_Name],Tab_Def_Flows[Flow_ID],,0,)</f>
        <v>F__</v>
      </c>
      <c r="C169" s="18" t="s">
        <v>5</v>
      </c>
      <c r="D169" s="5" t="str">
        <f>_xlfn.XLOOKUP(C169,Tab_Def_Flows[Flow_Name],Tab_Def_Flows[Use_E1],,0,)</f>
        <v>Yes</v>
      </c>
      <c r="E169" s="5" t="str">
        <f>_xlfn.XLOOKUP(C169,Tab_Def_Flows[Flow_Name],Tab_Def_Flows[Use_E2],,0,)</f>
        <v>Yes</v>
      </c>
      <c r="F169" s="5" t="str">
        <f>_xlfn.XLOOKUP(C169,Tab_Def_Flows[Flow_Name],Tab_Def_Flows[Use_E3],,0,)</f>
        <v>Yes</v>
      </c>
      <c r="G169" s="5" t="str">
        <f>_xlfn.XLOOKUP(C169,Tab_Def_Flows[Flow_Name],Tab_Def_Flows[Use_E4],,0,)</f>
        <v>Yes</v>
      </c>
      <c r="H169" s="5" t="str">
        <f>_xlfn.XLOOKUP(C169,Tab_Def_Flows[Flow_Name],Tab_Def_Flows[Use_E5],,0,)</f>
        <v>Yes</v>
      </c>
      <c r="I169" s="5" t="str">
        <f>_xlfn.XLOOKUP(C169,Tab_Def_Flows[Flow_Name],Tab_Def_Flows[Use_E6],,0,)</f>
        <v>Yes</v>
      </c>
      <c r="J169" s="3"/>
      <c r="K169" s="3"/>
      <c r="L169" s="2" t="str">
        <f>'0_Configuration'!$C$41</f>
        <v>Mg</v>
      </c>
      <c r="M169" s="9"/>
      <c r="N169" s="9"/>
      <c r="O169" s="9"/>
      <c r="P169" s="9"/>
      <c r="Q169" s="18" t="s">
        <v>3</v>
      </c>
      <c r="R169" s="3"/>
      <c r="S169" s="3"/>
      <c r="T169" s="9"/>
      <c r="U169" s="9"/>
      <c r="V169" s="2">
        <f>_xlfn.XLOOKUP(Tab_Data_Flows[[#This Row],[Flow_Name]],Tab_Def_Flows[Flow_Name],Tab_Def_Flows[Flow_E1_Fraction'[%']],"N.A.",0,1)</f>
        <v>0</v>
      </c>
      <c r="W169" s="8">
        <f t="shared" si="4"/>
        <v>0</v>
      </c>
      <c r="X169" s="2" t="str">
        <f>Tab_Data_Flows[[#This Row],[UoM_Source]]</f>
        <v>Mg</v>
      </c>
      <c r="Y169" s="19">
        <f>_xlfn.XLOOKUP(Tab_Data_Flows[[#This Row],[Flow_Name]],Tab_Def_Flows[Flow_Name],Tab_Def_Flows[Flow_E2_Fraction'[%']],"N.A.",0,1)</f>
        <v>0</v>
      </c>
      <c r="Z169" s="2">
        <f>IF(D169="Yes",W169*Tab_Data_Flows[[#This Row],[E2_Fraction'[%']]],"N.A.")</f>
        <v>0</v>
      </c>
      <c r="AA169" s="2" t="str">
        <f>Tab_Data_Flows[[#This Row],[E1_UoM]]</f>
        <v>Mg</v>
      </c>
      <c r="AB169" s="19">
        <f>_xlfn.XLOOKUP(Tab_Data_Flows[[#This Row],[Flow_Name]],Tab_Def_Flows[Flow_Name],Tab_Def_Flows[Flow_E3_Fraction'[%']],"N.A.",0,1)</f>
        <v>0</v>
      </c>
      <c r="AC169" s="2">
        <f>IF(E169="Yes",AB169*Tab_Data_Flows[[#This Row],[E1_value]],"N.A.")</f>
        <v>0</v>
      </c>
      <c r="AD169" s="2" t="str">
        <f>Tab_Data_Flows[[#This Row],[E1_UoM]]</f>
        <v>Mg</v>
      </c>
      <c r="AE169" s="19">
        <f>_xlfn.XLOOKUP(Tab_Data_Flows[[#This Row],[Flow_Name]],Tab_Def_Flows[Flow_Name],Tab_Def_Flows[Flow_E4_Fraction'[%']],"N.A.",0,1)</f>
        <v>0</v>
      </c>
      <c r="AF169" s="2">
        <f>IF(H169="Yes",Tab_Data_Flows[[#This Row],[E4_Fraction'[%']]]*Tab_Data_Flows[[#This Row],[E1_value]],"N.A.")</f>
        <v>0</v>
      </c>
      <c r="AG169" s="2" t="str">
        <f>Tab_Data_Flows[[#This Row],[E1_UoM]]</f>
        <v>Mg</v>
      </c>
      <c r="AH169" s="2">
        <f>_xlfn.XLOOKUP(Tab_Data_Flows[[#This Row],[Flow_Name]],Tab_Def_Flows[Flow_Name],Tab_Def_Flows[Flow_E5_Fraction'[%']],"N.A.",0,1)</f>
        <v>0</v>
      </c>
      <c r="AI169" s="2">
        <f>IF(H169="Yes",Tab_Data_Flows[[#This Row],[E5_Fraction'[%']]]*Tab_Data_Flows[[#This Row],[E1_value]],"N.A.")</f>
        <v>0</v>
      </c>
      <c r="AJ169" s="2" t="str">
        <f>Tab_Data_Flows[[#This Row],[E1_UoM]]</f>
        <v>Mg</v>
      </c>
      <c r="AK169" s="19">
        <f>_xlfn.XLOOKUP(Tab_Data_Flows[[#This Row],[Flow_Name]],Tab_Def_Flows[Flow_Name],Tab_Def_Flows[Flow_E6_Fraction'[%']],"N.A.",0,1)</f>
        <v>0</v>
      </c>
      <c r="AL169" s="2">
        <f>IF(Tab_Data_Flows[[#This Row],[Use_E6]]="Yes",Tab_Data_Flows[[#This Row],[E6_Fraction'[%']]]*Tab_Data_Flows[[#This Row],[E1_value]],"N.A.")</f>
        <v>0</v>
      </c>
      <c r="AM169" s="2" t="str">
        <f>Tab_Data_Flows[[#This Row],[E1_UoM]]</f>
        <v>Mg</v>
      </c>
    </row>
    <row r="170" spans="1:39" x14ac:dyDescent="0.25">
      <c r="A170" s="4">
        <f t="shared" si="5"/>
        <v>169</v>
      </c>
      <c r="B170" s="2" t="str">
        <f>_xlfn.XLOOKUP(C170,Tab_Def_Flows[Flow_Name],Tab_Def_Flows[Flow_ID],,0,)</f>
        <v>F__</v>
      </c>
      <c r="C170" s="18" t="s">
        <v>5</v>
      </c>
      <c r="D170" s="5" t="str">
        <f>_xlfn.XLOOKUP(C170,Tab_Def_Flows[Flow_Name],Tab_Def_Flows[Use_E1],,0,)</f>
        <v>Yes</v>
      </c>
      <c r="E170" s="5" t="str">
        <f>_xlfn.XLOOKUP(C170,Tab_Def_Flows[Flow_Name],Tab_Def_Flows[Use_E2],,0,)</f>
        <v>Yes</v>
      </c>
      <c r="F170" s="5" t="str">
        <f>_xlfn.XLOOKUP(C170,Tab_Def_Flows[Flow_Name],Tab_Def_Flows[Use_E3],,0,)</f>
        <v>Yes</v>
      </c>
      <c r="G170" s="5" t="str">
        <f>_xlfn.XLOOKUP(C170,Tab_Def_Flows[Flow_Name],Tab_Def_Flows[Use_E4],,0,)</f>
        <v>Yes</v>
      </c>
      <c r="H170" s="5" t="str">
        <f>_xlfn.XLOOKUP(C170,Tab_Def_Flows[Flow_Name],Tab_Def_Flows[Use_E5],,0,)</f>
        <v>Yes</v>
      </c>
      <c r="I170" s="5" t="str">
        <f>_xlfn.XLOOKUP(C170,Tab_Def_Flows[Flow_Name],Tab_Def_Flows[Use_E6],,0,)</f>
        <v>Yes</v>
      </c>
      <c r="J170" s="3"/>
      <c r="K170" s="3"/>
      <c r="L170" s="2" t="str">
        <f>'0_Configuration'!$C$41</f>
        <v>Mg</v>
      </c>
      <c r="M170" s="9"/>
      <c r="N170" s="9"/>
      <c r="O170" s="9"/>
      <c r="P170" s="9"/>
      <c r="Q170" s="18" t="s">
        <v>3</v>
      </c>
      <c r="R170" s="3"/>
      <c r="S170" s="3"/>
      <c r="T170" s="9"/>
      <c r="U170" s="9"/>
      <c r="V170" s="2">
        <f>_xlfn.XLOOKUP(Tab_Data_Flows[[#This Row],[Flow_Name]],Tab_Def_Flows[Flow_Name],Tab_Def_Flows[Flow_E1_Fraction'[%']],"N.A.",0,1)</f>
        <v>0</v>
      </c>
      <c r="W170" s="8">
        <f t="shared" si="4"/>
        <v>0</v>
      </c>
      <c r="X170" s="2" t="str">
        <f>Tab_Data_Flows[[#This Row],[UoM_Source]]</f>
        <v>Mg</v>
      </c>
      <c r="Y170" s="19">
        <f>_xlfn.XLOOKUP(Tab_Data_Flows[[#This Row],[Flow_Name]],Tab_Def_Flows[Flow_Name],Tab_Def_Flows[Flow_E2_Fraction'[%']],"N.A.",0,1)</f>
        <v>0</v>
      </c>
      <c r="Z170" s="2">
        <f>IF(D170="Yes",W170*Tab_Data_Flows[[#This Row],[E2_Fraction'[%']]],"N.A.")</f>
        <v>0</v>
      </c>
      <c r="AA170" s="2" t="str">
        <f>Tab_Data_Flows[[#This Row],[E1_UoM]]</f>
        <v>Mg</v>
      </c>
      <c r="AB170" s="19">
        <f>_xlfn.XLOOKUP(Tab_Data_Flows[[#This Row],[Flow_Name]],Tab_Def_Flows[Flow_Name],Tab_Def_Flows[Flow_E3_Fraction'[%']],"N.A.",0,1)</f>
        <v>0</v>
      </c>
      <c r="AC170" s="2">
        <f>IF(E170="Yes",AB170*Tab_Data_Flows[[#This Row],[E1_value]],"N.A.")</f>
        <v>0</v>
      </c>
      <c r="AD170" s="2" t="str">
        <f>Tab_Data_Flows[[#This Row],[E1_UoM]]</f>
        <v>Mg</v>
      </c>
      <c r="AE170" s="19">
        <f>_xlfn.XLOOKUP(Tab_Data_Flows[[#This Row],[Flow_Name]],Tab_Def_Flows[Flow_Name],Tab_Def_Flows[Flow_E4_Fraction'[%']],"N.A.",0,1)</f>
        <v>0</v>
      </c>
      <c r="AF170" s="2">
        <f>IF(H170="Yes",Tab_Data_Flows[[#This Row],[E4_Fraction'[%']]]*Tab_Data_Flows[[#This Row],[E1_value]],"N.A.")</f>
        <v>0</v>
      </c>
      <c r="AG170" s="2" t="str">
        <f>Tab_Data_Flows[[#This Row],[E1_UoM]]</f>
        <v>Mg</v>
      </c>
      <c r="AH170" s="2">
        <f>_xlfn.XLOOKUP(Tab_Data_Flows[[#This Row],[Flow_Name]],Tab_Def_Flows[Flow_Name],Tab_Def_Flows[Flow_E5_Fraction'[%']],"N.A.",0,1)</f>
        <v>0</v>
      </c>
      <c r="AI170" s="2">
        <f>IF(H170="Yes",Tab_Data_Flows[[#This Row],[E5_Fraction'[%']]]*Tab_Data_Flows[[#This Row],[E1_value]],"N.A.")</f>
        <v>0</v>
      </c>
      <c r="AJ170" s="2" t="str">
        <f>Tab_Data_Flows[[#This Row],[E1_UoM]]</f>
        <v>Mg</v>
      </c>
      <c r="AK170" s="19">
        <f>_xlfn.XLOOKUP(Tab_Data_Flows[[#This Row],[Flow_Name]],Tab_Def_Flows[Flow_Name],Tab_Def_Flows[Flow_E6_Fraction'[%']],"N.A.",0,1)</f>
        <v>0</v>
      </c>
      <c r="AL170" s="2">
        <f>IF(Tab_Data_Flows[[#This Row],[Use_E6]]="Yes",Tab_Data_Flows[[#This Row],[E6_Fraction'[%']]]*Tab_Data_Flows[[#This Row],[E1_value]],"N.A.")</f>
        <v>0</v>
      </c>
      <c r="AM170" s="2" t="str">
        <f>Tab_Data_Flows[[#This Row],[E1_UoM]]</f>
        <v>Mg</v>
      </c>
    </row>
    <row r="171" spans="1:39" x14ac:dyDescent="0.25">
      <c r="A171" s="4">
        <f t="shared" si="5"/>
        <v>170</v>
      </c>
      <c r="B171" s="2" t="str">
        <f>_xlfn.XLOOKUP(C171,Tab_Def_Flows[Flow_Name],Tab_Def_Flows[Flow_ID],,0,)</f>
        <v>F__</v>
      </c>
      <c r="C171" s="18" t="s">
        <v>5</v>
      </c>
      <c r="D171" s="5" t="str">
        <f>_xlfn.XLOOKUP(C171,Tab_Def_Flows[Flow_Name],Tab_Def_Flows[Use_E1],,0,)</f>
        <v>Yes</v>
      </c>
      <c r="E171" s="5" t="str">
        <f>_xlfn.XLOOKUP(C171,Tab_Def_Flows[Flow_Name],Tab_Def_Flows[Use_E2],,0,)</f>
        <v>Yes</v>
      </c>
      <c r="F171" s="5" t="str">
        <f>_xlfn.XLOOKUP(C171,Tab_Def_Flows[Flow_Name],Tab_Def_Flows[Use_E3],,0,)</f>
        <v>Yes</v>
      </c>
      <c r="G171" s="5" t="str">
        <f>_xlfn.XLOOKUP(C171,Tab_Def_Flows[Flow_Name],Tab_Def_Flows[Use_E4],,0,)</f>
        <v>Yes</v>
      </c>
      <c r="H171" s="5" t="str">
        <f>_xlfn.XLOOKUP(C171,Tab_Def_Flows[Flow_Name],Tab_Def_Flows[Use_E5],,0,)</f>
        <v>Yes</v>
      </c>
      <c r="I171" s="5" t="str">
        <f>_xlfn.XLOOKUP(C171,Tab_Def_Flows[Flow_Name],Tab_Def_Flows[Use_E6],,0,)</f>
        <v>Yes</v>
      </c>
      <c r="J171" s="3"/>
      <c r="K171" s="3"/>
      <c r="L171" s="2" t="str">
        <f>'0_Configuration'!$C$41</f>
        <v>Mg</v>
      </c>
      <c r="M171" s="9"/>
      <c r="N171" s="9"/>
      <c r="O171" s="9"/>
      <c r="P171" s="9"/>
      <c r="Q171" s="18" t="s">
        <v>3</v>
      </c>
      <c r="R171" s="3"/>
      <c r="S171" s="3"/>
      <c r="T171" s="9"/>
      <c r="U171" s="9"/>
      <c r="V171" s="2">
        <f>_xlfn.XLOOKUP(Tab_Data_Flows[[#This Row],[Flow_Name]],Tab_Def_Flows[Flow_Name],Tab_Def_Flows[Flow_E1_Fraction'[%']],"N.A.",0,1)</f>
        <v>0</v>
      </c>
      <c r="W171" s="8">
        <f t="shared" si="4"/>
        <v>0</v>
      </c>
      <c r="X171" s="2" t="str">
        <f>Tab_Data_Flows[[#This Row],[UoM_Source]]</f>
        <v>Mg</v>
      </c>
      <c r="Y171" s="19">
        <f>_xlfn.XLOOKUP(Tab_Data_Flows[[#This Row],[Flow_Name]],Tab_Def_Flows[Flow_Name],Tab_Def_Flows[Flow_E2_Fraction'[%']],"N.A.",0,1)</f>
        <v>0</v>
      </c>
      <c r="Z171" s="2">
        <f>IF(D171="Yes",W171*Tab_Data_Flows[[#This Row],[E2_Fraction'[%']]],"N.A.")</f>
        <v>0</v>
      </c>
      <c r="AA171" s="2" t="str">
        <f>Tab_Data_Flows[[#This Row],[E1_UoM]]</f>
        <v>Mg</v>
      </c>
      <c r="AB171" s="19">
        <f>_xlfn.XLOOKUP(Tab_Data_Flows[[#This Row],[Flow_Name]],Tab_Def_Flows[Flow_Name],Tab_Def_Flows[Flow_E3_Fraction'[%']],"N.A.",0,1)</f>
        <v>0</v>
      </c>
      <c r="AC171" s="2">
        <f>IF(E171="Yes",AB171*Tab_Data_Flows[[#This Row],[E1_value]],"N.A.")</f>
        <v>0</v>
      </c>
      <c r="AD171" s="2" t="str">
        <f>Tab_Data_Flows[[#This Row],[E1_UoM]]</f>
        <v>Mg</v>
      </c>
      <c r="AE171" s="19">
        <f>_xlfn.XLOOKUP(Tab_Data_Flows[[#This Row],[Flow_Name]],Tab_Def_Flows[Flow_Name],Tab_Def_Flows[Flow_E4_Fraction'[%']],"N.A.",0,1)</f>
        <v>0</v>
      </c>
      <c r="AF171" s="2">
        <f>IF(H171="Yes",Tab_Data_Flows[[#This Row],[E4_Fraction'[%']]]*Tab_Data_Flows[[#This Row],[E1_value]],"N.A.")</f>
        <v>0</v>
      </c>
      <c r="AG171" s="2" t="str">
        <f>Tab_Data_Flows[[#This Row],[E1_UoM]]</f>
        <v>Mg</v>
      </c>
      <c r="AH171" s="2">
        <f>_xlfn.XLOOKUP(Tab_Data_Flows[[#This Row],[Flow_Name]],Tab_Def_Flows[Flow_Name],Tab_Def_Flows[Flow_E5_Fraction'[%']],"N.A.",0,1)</f>
        <v>0</v>
      </c>
      <c r="AI171" s="2">
        <f>IF(H171="Yes",Tab_Data_Flows[[#This Row],[E5_Fraction'[%']]]*Tab_Data_Flows[[#This Row],[E1_value]],"N.A.")</f>
        <v>0</v>
      </c>
      <c r="AJ171" s="2" t="str">
        <f>Tab_Data_Flows[[#This Row],[E1_UoM]]</f>
        <v>Mg</v>
      </c>
      <c r="AK171" s="19">
        <f>_xlfn.XLOOKUP(Tab_Data_Flows[[#This Row],[Flow_Name]],Tab_Def_Flows[Flow_Name],Tab_Def_Flows[Flow_E6_Fraction'[%']],"N.A.",0,1)</f>
        <v>0</v>
      </c>
      <c r="AL171" s="2">
        <f>IF(Tab_Data_Flows[[#This Row],[Use_E6]]="Yes",Tab_Data_Flows[[#This Row],[E6_Fraction'[%']]]*Tab_Data_Flows[[#This Row],[E1_value]],"N.A.")</f>
        <v>0</v>
      </c>
      <c r="AM171" s="2" t="str">
        <f>Tab_Data_Flows[[#This Row],[E1_UoM]]</f>
        <v>Mg</v>
      </c>
    </row>
    <row r="172" spans="1:39" x14ac:dyDescent="0.25">
      <c r="A172" s="4">
        <f t="shared" si="5"/>
        <v>171</v>
      </c>
      <c r="B172" s="2" t="str">
        <f>_xlfn.XLOOKUP(C172,Tab_Def_Flows[Flow_Name],Tab_Def_Flows[Flow_ID],,0,)</f>
        <v>F__</v>
      </c>
      <c r="C172" s="18" t="s">
        <v>5</v>
      </c>
      <c r="D172" s="5" t="str">
        <f>_xlfn.XLOOKUP(C172,Tab_Def_Flows[Flow_Name],Tab_Def_Flows[Use_E1],,0,)</f>
        <v>Yes</v>
      </c>
      <c r="E172" s="5" t="str">
        <f>_xlfn.XLOOKUP(C172,Tab_Def_Flows[Flow_Name],Tab_Def_Flows[Use_E2],,0,)</f>
        <v>Yes</v>
      </c>
      <c r="F172" s="5" t="str">
        <f>_xlfn.XLOOKUP(C172,Tab_Def_Flows[Flow_Name],Tab_Def_Flows[Use_E3],,0,)</f>
        <v>Yes</v>
      </c>
      <c r="G172" s="5" t="str">
        <f>_xlfn.XLOOKUP(C172,Tab_Def_Flows[Flow_Name],Tab_Def_Flows[Use_E4],,0,)</f>
        <v>Yes</v>
      </c>
      <c r="H172" s="5" t="str">
        <f>_xlfn.XLOOKUP(C172,Tab_Def_Flows[Flow_Name],Tab_Def_Flows[Use_E5],,0,)</f>
        <v>Yes</v>
      </c>
      <c r="I172" s="5" t="str">
        <f>_xlfn.XLOOKUP(C172,Tab_Def_Flows[Flow_Name],Tab_Def_Flows[Use_E6],,0,)</f>
        <v>Yes</v>
      </c>
      <c r="J172" s="3"/>
      <c r="K172" s="3"/>
      <c r="L172" s="2" t="str">
        <f>'0_Configuration'!$C$41</f>
        <v>Mg</v>
      </c>
      <c r="M172" s="9"/>
      <c r="N172" s="9"/>
      <c r="O172" s="9"/>
      <c r="P172" s="9"/>
      <c r="Q172" s="18" t="s">
        <v>3</v>
      </c>
      <c r="R172" s="3"/>
      <c r="S172" s="3"/>
      <c r="T172" s="9"/>
      <c r="U172" s="9"/>
      <c r="V172" s="2">
        <f>_xlfn.XLOOKUP(Tab_Data_Flows[[#This Row],[Flow_Name]],Tab_Def_Flows[Flow_Name],Tab_Def_Flows[Flow_E1_Fraction'[%']],"N.A.",0,1)</f>
        <v>0</v>
      </c>
      <c r="W172" s="8">
        <f t="shared" si="4"/>
        <v>0</v>
      </c>
      <c r="X172" s="2" t="str">
        <f>Tab_Data_Flows[[#This Row],[UoM_Source]]</f>
        <v>Mg</v>
      </c>
      <c r="Y172" s="19">
        <f>_xlfn.XLOOKUP(Tab_Data_Flows[[#This Row],[Flow_Name]],Tab_Def_Flows[Flow_Name],Tab_Def_Flows[Flow_E2_Fraction'[%']],"N.A.",0,1)</f>
        <v>0</v>
      </c>
      <c r="Z172" s="2">
        <f>IF(D172="Yes",W172*Tab_Data_Flows[[#This Row],[E2_Fraction'[%']]],"N.A.")</f>
        <v>0</v>
      </c>
      <c r="AA172" s="2" t="str">
        <f>Tab_Data_Flows[[#This Row],[E1_UoM]]</f>
        <v>Mg</v>
      </c>
      <c r="AB172" s="19">
        <f>_xlfn.XLOOKUP(Tab_Data_Flows[[#This Row],[Flow_Name]],Tab_Def_Flows[Flow_Name],Tab_Def_Flows[Flow_E3_Fraction'[%']],"N.A.",0,1)</f>
        <v>0</v>
      </c>
      <c r="AC172" s="2">
        <f>IF(E172="Yes",AB172*Tab_Data_Flows[[#This Row],[E1_value]],"N.A.")</f>
        <v>0</v>
      </c>
      <c r="AD172" s="2" t="str">
        <f>Tab_Data_Flows[[#This Row],[E1_UoM]]</f>
        <v>Mg</v>
      </c>
      <c r="AE172" s="19">
        <f>_xlfn.XLOOKUP(Tab_Data_Flows[[#This Row],[Flow_Name]],Tab_Def_Flows[Flow_Name],Tab_Def_Flows[Flow_E4_Fraction'[%']],"N.A.",0,1)</f>
        <v>0</v>
      </c>
      <c r="AF172" s="2">
        <f>IF(H172="Yes",Tab_Data_Flows[[#This Row],[E4_Fraction'[%']]]*Tab_Data_Flows[[#This Row],[E1_value]],"N.A.")</f>
        <v>0</v>
      </c>
      <c r="AG172" s="2" t="str">
        <f>Tab_Data_Flows[[#This Row],[E1_UoM]]</f>
        <v>Mg</v>
      </c>
      <c r="AH172" s="2">
        <f>_xlfn.XLOOKUP(Tab_Data_Flows[[#This Row],[Flow_Name]],Tab_Def_Flows[Flow_Name],Tab_Def_Flows[Flow_E5_Fraction'[%']],"N.A.",0,1)</f>
        <v>0</v>
      </c>
      <c r="AI172" s="2">
        <f>IF(H172="Yes",Tab_Data_Flows[[#This Row],[E5_Fraction'[%']]]*Tab_Data_Flows[[#This Row],[E1_value]],"N.A.")</f>
        <v>0</v>
      </c>
      <c r="AJ172" s="2" t="str">
        <f>Tab_Data_Flows[[#This Row],[E1_UoM]]</f>
        <v>Mg</v>
      </c>
      <c r="AK172" s="19">
        <f>_xlfn.XLOOKUP(Tab_Data_Flows[[#This Row],[Flow_Name]],Tab_Def_Flows[Flow_Name],Tab_Def_Flows[Flow_E6_Fraction'[%']],"N.A.",0,1)</f>
        <v>0</v>
      </c>
      <c r="AL172" s="2">
        <f>IF(Tab_Data_Flows[[#This Row],[Use_E6]]="Yes",Tab_Data_Flows[[#This Row],[E6_Fraction'[%']]]*Tab_Data_Flows[[#This Row],[E1_value]],"N.A.")</f>
        <v>0</v>
      </c>
      <c r="AM172" s="2" t="str">
        <f>Tab_Data_Flows[[#This Row],[E1_UoM]]</f>
        <v>Mg</v>
      </c>
    </row>
    <row r="173" spans="1:39" x14ac:dyDescent="0.25">
      <c r="A173" s="4">
        <f t="shared" si="5"/>
        <v>172</v>
      </c>
      <c r="B173" s="2" t="str">
        <f>_xlfn.XLOOKUP(C173,Tab_Def_Flows[Flow_Name],Tab_Def_Flows[Flow_ID],,0,)</f>
        <v>F__</v>
      </c>
      <c r="C173" s="18" t="s">
        <v>5</v>
      </c>
      <c r="D173" s="5" t="str">
        <f>_xlfn.XLOOKUP(C173,Tab_Def_Flows[Flow_Name],Tab_Def_Flows[Use_E1],,0,)</f>
        <v>Yes</v>
      </c>
      <c r="E173" s="5" t="str">
        <f>_xlfn.XLOOKUP(C173,Tab_Def_Flows[Flow_Name],Tab_Def_Flows[Use_E2],,0,)</f>
        <v>Yes</v>
      </c>
      <c r="F173" s="5" t="str">
        <f>_xlfn.XLOOKUP(C173,Tab_Def_Flows[Flow_Name],Tab_Def_Flows[Use_E3],,0,)</f>
        <v>Yes</v>
      </c>
      <c r="G173" s="5" t="str">
        <f>_xlfn.XLOOKUP(C173,Tab_Def_Flows[Flow_Name],Tab_Def_Flows[Use_E4],,0,)</f>
        <v>Yes</v>
      </c>
      <c r="H173" s="5" t="str">
        <f>_xlfn.XLOOKUP(C173,Tab_Def_Flows[Flow_Name],Tab_Def_Flows[Use_E5],,0,)</f>
        <v>Yes</v>
      </c>
      <c r="I173" s="5" t="str">
        <f>_xlfn.XLOOKUP(C173,Tab_Def_Flows[Flow_Name],Tab_Def_Flows[Use_E6],,0,)</f>
        <v>Yes</v>
      </c>
      <c r="J173" s="3"/>
      <c r="K173" s="3"/>
      <c r="L173" s="2" t="str">
        <f>'0_Configuration'!$C$41</f>
        <v>Mg</v>
      </c>
      <c r="M173" s="9"/>
      <c r="N173" s="9"/>
      <c r="O173" s="9"/>
      <c r="P173" s="9"/>
      <c r="Q173" s="18" t="s">
        <v>3</v>
      </c>
      <c r="R173" s="3"/>
      <c r="S173" s="3"/>
      <c r="T173" s="9"/>
      <c r="U173" s="9"/>
      <c r="V173" s="2">
        <f>_xlfn.XLOOKUP(Tab_Data_Flows[[#This Row],[Flow_Name]],Tab_Def_Flows[Flow_Name],Tab_Def_Flows[Flow_E1_Fraction'[%']],"N.A.",0,1)</f>
        <v>0</v>
      </c>
      <c r="W173" s="8">
        <f t="shared" si="4"/>
        <v>0</v>
      </c>
      <c r="X173" s="2" t="str">
        <f>Tab_Data_Flows[[#This Row],[UoM_Source]]</f>
        <v>Mg</v>
      </c>
      <c r="Y173" s="19">
        <f>_xlfn.XLOOKUP(Tab_Data_Flows[[#This Row],[Flow_Name]],Tab_Def_Flows[Flow_Name],Tab_Def_Flows[Flow_E2_Fraction'[%']],"N.A.",0,1)</f>
        <v>0</v>
      </c>
      <c r="Z173" s="2">
        <f>IF(D173="Yes",W173*Tab_Data_Flows[[#This Row],[E2_Fraction'[%']]],"N.A.")</f>
        <v>0</v>
      </c>
      <c r="AA173" s="2" t="str">
        <f>Tab_Data_Flows[[#This Row],[E1_UoM]]</f>
        <v>Mg</v>
      </c>
      <c r="AB173" s="19">
        <f>_xlfn.XLOOKUP(Tab_Data_Flows[[#This Row],[Flow_Name]],Tab_Def_Flows[Flow_Name],Tab_Def_Flows[Flow_E3_Fraction'[%']],"N.A.",0,1)</f>
        <v>0</v>
      </c>
      <c r="AC173" s="2">
        <f>IF(E173="Yes",AB173*Tab_Data_Flows[[#This Row],[E1_value]],"N.A.")</f>
        <v>0</v>
      </c>
      <c r="AD173" s="2" t="str">
        <f>Tab_Data_Flows[[#This Row],[E1_UoM]]</f>
        <v>Mg</v>
      </c>
      <c r="AE173" s="19">
        <f>_xlfn.XLOOKUP(Tab_Data_Flows[[#This Row],[Flow_Name]],Tab_Def_Flows[Flow_Name],Tab_Def_Flows[Flow_E4_Fraction'[%']],"N.A.",0,1)</f>
        <v>0</v>
      </c>
      <c r="AF173" s="2">
        <f>IF(H173="Yes",Tab_Data_Flows[[#This Row],[E4_Fraction'[%']]]*Tab_Data_Flows[[#This Row],[E1_value]],"N.A.")</f>
        <v>0</v>
      </c>
      <c r="AG173" s="2" t="str">
        <f>Tab_Data_Flows[[#This Row],[E1_UoM]]</f>
        <v>Mg</v>
      </c>
      <c r="AH173" s="2">
        <f>_xlfn.XLOOKUP(Tab_Data_Flows[[#This Row],[Flow_Name]],Tab_Def_Flows[Flow_Name],Tab_Def_Flows[Flow_E5_Fraction'[%']],"N.A.",0,1)</f>
        <v>0</v>
      </c>
      <c r="AI173" s="2">
        <f>IF(H173="Yes",Tab_Data_Flows[[#This Row],[E5_Fraction'[%']]]*Tab_Data_Flows[[#This Row],[E1_value]],"N.A.")</f>
        <v>0</v>
      </c>
      <c r="AJ173" s="2" t="str">
        <f>Tab_Data_Flows[[#This Row],[E1_UoM]]</f>
        <v>Mg</v>
      </c>
      <c r="AK173" s="19">
        <f>_xlfn.XLOOKUP(Tab_Data_Flows[[#This Row],[Flow_Name]],Tab_Def_Flows[Flow_Name],Tab_Def_Flows[Flow_E6_Fraction'[%']],"N.A.",0,1)</f>
        <v>0</v>
      </c>
      <c r="AL173" s="2">
        <f>IF(Tab_Data_Flows[[#This Row],[Use_E6]]="Yes",Tab_Data_Flows[[#This Row],[E6_Fraction'[%']]]*Tab_Data_Flows[[#This Row],[E1_value]],"N.A.")</f>
        <v>0</v>
      </c>
      <c r="AM173" s="2" t="str">
        <f>Tab_Data_Flows[[#This Row],[E1_UoM]]</f>
        <v>Mg</v>
      </c>
    </row>
    <row r="174" spans="1:39" x14ac:dyDescent="0.25">
      <c r="A174" s="4">
        <f t="shared" si="5"/>
        <v>173</v>
      </c>
      <c r="B174" s="2" t="str">
        <f>_xlfn.XLOOKUP(C174,Tab_Def_Flows[Flow_Name],Tab_Def_Flows[Flow_ID],,0,)</f>
        <v>F__</v>
      </c>
      <c r="C174" s="18" t="s">
        <v>5</v>
      </c>
      <c r="D174" s="5" t="str">
        <f>_xlfn.XLOOKUP(C174,Tab_Def_Flows[Flow_Name],Tab_Def_Flows[Use_E1],,0,)</f>
        <v>Yes</v>
      </c>
      <c r="E174" s="5" t="str">
        <f>_xlfn.XLOOKUP(C174,Tab_Def_Flows[Flow_Name],Tab_Def_Flows[Use_E2],,0,)</f>
        <v>Yes</v>
      </c>
      <c r="F174" s="5" t="str">
        <f>_xlfn.XLOOKUP(C174,Tab_Def_Flows[Flow_Name],Tab_Def_Flows[Use_E3],,0,)</f>
        <v>Yes</v>
      </c>
      <c r="G174" s="5" t="str">
        <f>_xlfn.XLOOKUP(C174,Tab_Def_Flows[Flow_Name],Tab_Def_Flows[Use_E4],,0,)</f>
        <v>Yes</v>
      </c>
      <c r="H174" s="5" t="str">
        <f>_xlfn.XLOOKUP(C174,Tab_Def_Flows[Flow_Name],Tab_Def_Flows[Use_E5],,0,)</f>
        <v>Yes</v>
      </c>
      <c r="I174" s="5" t="str">
        <f>_xlfn.XLOOKUP(C174,Tab_Def_Flows[Flow_Name],Tab_Def_Flows[Use_E6],,0,)</f>
        <v>Yes</v>
      </c>
      <c r="J174" s="3"/>
      <c r="K174" s="3"/>
      <c r="L174" s="2" t="str">
        <f>'0_Configuration'!$C$41</f>
        <v>Mg</v>
      </c>
      <c r="M174" s="9"/>
      <c r="N174" s="9"/>
      <c r="O174" s="9"/>
      <c r="P174" s="9"/>
      <c r="Q174" s="18" t="s">
        <v>3</v>
      </c>
      <c r="R174" s="3"/>
      <c r="S174" s="3"/>
      <c r="T174" s="9"/>
      <c r="U174" s="9"/>
      <c r="V174" s="2">
        <f>_xlfn.XLOOKUP(Tab_Data_Flows[[#This Row],[Flow_Name]],Tab_Def_Flows[Flow_Name],Tab_Def_Flows[Flow_E1_Fraction'[%']],"N.A.",0,1)</f>
        <v>0</v>
      </c>
      <c r="W174" s="8">
        <f t="shared" si="4"/>
        <v>0</v>
      </c>
      <c r="X174" s="2" t="str">
        <f>Tab_Data_Flows[[#This Row],[UoM_Source]]</f>
        <v>Mg</v>
      </c>
      <c r="Y174" s="19">
        <f>_xlfn.XLOOKUP(Tab_Data_Flows[[#This Row],[Flow_Name]],Tab_Def_Flows[Flow_Name],Tab_Def_Flows[Flow_E2_Fraction'[%']],"N.A.",0,1)</f>
        <v>0</v>
      </c>
      <c r="Z174" s="2">
        <f>IF(D174="Yes",W174*Tab_Data_Flows[[#This Row],[E2_Fraction'[%']]],"N.A.")</f>
        <v>0</v>
      </c>
      <c r="AA174" s="2" t="str">
        <f>Tab_Data_Flows[[#This Row],[E1_UoM]]</f>
        <v>Mg</v>
      </c>
      <c r="AB174" s="19">
        <f>_xlfn.XLOOKUP(Tab_Data_Flows[[#This Row],[Flow_Name]],Tab_Def_Flows[Flow_Name],Tab_Def_Flows[Flow_E3_Fraction'[%']],"N.A.",0,1)</f>
        <v>0</v>
      </c>
      <c r="AC174" s="2">
        <f>IF(E174="Yes",AB174*Tab_Data_Flows[[#This Row],[E1_value]],"N.A.")</f>
        <v>0</v>
      </c>
      <c r="AD174" s="2" t="str">
        <f>Tab_Data_Flows[[#This Row],[E1_UoM]]</f>
        <v>Mg</v>
      </c>
      <c r="AE174" s="19">
        <f>_xlfn.XLOOKUP(Tab_Data_Flows[[#This Row],[Flow_Name]],Tab_Def_Flows[Flow_Name],Tab_Def_Flows[Flow_E4_Fraction'[%']],"N.A.",0,1)</f>
        <v>0</v>
      </c>
      <c r="AF174" s="2">
        <f>IF(H174="Yes",Tab_Data_Flows[[#This Row],[E4_Fraction'[%']]]*Tab_Data_Flows[[#This Row],[E1_value]],"N.A.")</f>
        <v>0</v>
      </c>
      <c r="AG174" s="2" t="str">
        <f>Tab_Data_Flows[[#This Row],[E1_UoM]]</f>
        <v>Mg</v>
      </c>
      <c r="AH174" s="2">
        <f>_xlfn.XLOOKUP(Tab_Data_Flows[[#This Row],[Flow_Name]],Tab_Def_Flows[Flow_Name],Tab_Def_Flows[Flow_E5_Fraction'[%']],"N.A.",0,1)</f>
        <v>0</v>
      </c>
      <c r="AI174" s="2">
        <f>IF(H174="Yes",Tab_Data_Flows[[#This Row],[E5_Fraction'[%']]]*Tab_Data_Flows[[#This Row],[E1_value]],"N.A.")</f>
        <v>0</v>
      </c>
      <c r="AJ174" s="2" t="str">
        <f>Tab_Data_Flows[[#This Row],[E1_UoM]]</f>
        <v>Mg</v>
      </c>
      <c r="AK174" s="19">
        <f>_xlfn.XLOOKUP(Tab_Data_Flows[[#This Row],[Flow_Name]],Tab_Def_Flows[Flow_Name],Tab_Def_Flows[Flow_E6_Fraction'[%']],"N.A.",0,1)</f>
        <v>0</v>
      </c>
      <c r="AL174" s="2">
        <f>IF(Tab_Data_Flows[[#This Row],[Use_E6]]="Yes",Tab_Data_Flows[[#This Row],[E6_Fraction'[%']]]*Tab_Data_Flows[[#This Row],[E1_value]],"N.A.")</f>
        <v>0</v>
      </c>
      <c r="AM174" s="2" t="str">
        <f>Tab_Data_Flows[[#This Row],[E1_UoM]]</f>
        <v>Mg</v>
      </c>
    </row>
    <row r="175" spans="1:39" x14ac:dyDescent="0.25">
      <c r="A175" s="4">
        <f t="shared" si="5"/>
        <v>174</v>
      </c>
      <c r="B175" s="2" t="str">
        <f>_xlfn.XLOOKUP(C175,Tab_Def_Flows[Flow_Name],Tab_Def_Flows[Flow_ID],,0,)</f>
        <v>F__</v>
      </c>
      <c r="C175" s="18" t="s">
        <v>5</v>
      </c>
      <c r="D175" s="5" t="str">
        <f>_xlfn.XLOOKUP(C175,Tab_Def_Flows[Flow_Name],Tab_Def_Flows[Use_E1],,0,)</f>
        <v>Yes</v>
      </c>
      <c r="E175" s="5" t="str">
        <f>_xlfn.XLOOKUP(C175,Tab_Def_Flows[Flow_Name],Tab_Def_Flows[Use_E2],,0,)</f>
        <v>Yes</v>
      </c>
      <c r="F175" s="5" t="str">
        <f>_xlfn.XLOOKUP(C175,Tab_Def_Flows[Flow_Name],Tab_Def_Flows[Use_E3],,0,)</f>
        <v>Yes</v>
      </c>
      <c r="G175" s="5" t="str">
        <f>_xlfn.XLOOKUP(C175,Tab_Def_Flows[Flow_Name],Tab_Def_Flows[Use_E4],,0,)</f>
        <v>Yes</v>
      </c>
      <c r="H175" s="5" t="str">
        <f>_xlfn.XLOOKUP(C175,Tab_Def_Flows[Flow_Name],Tab_Def_Flows[Use_E5],,0,)</f>
        <v>Yes</v>
      </c>
      <c r="I175" s="5" t="str">
        <f>_xlfn.XLOOKUP(C175,Tab_Def_Flows[Flow_Name],Tab_Def_Flows[Use_E6],,0,)</f>
        <v>Yes</v>
      </c>
      <c r="J175" s="3"/>
      <c r="K175" s="3"/>
      <c r="L175" s="2" t="str">
        <f>'0_Configuration'!$C$41</f>
        <v>Mg</v>
      </c>
      <c r="M175" s="9"/>
      <c r="N175" s="9"/>
      <c r="O175" s="9"/>
      <c r="P175" s="9"/>
      <c r="Q175" s="18" t="s">
        <v>3</v>
      </c>
      <c r="R175" s="3"/>
      <c r="S175" s="3"/>
      <c r="T175" s="9"/>
      <c r="U175" s="9"/>
      <c r="V175" s="2">
        <f>_xlfn.XLOOKUP(Tab_Data_Flows[[#This Row],[Flow_Name]],Tab_Def_Flows[Flow_Name],Tab_Def_Flows[Flow_E1_Fraction'[%']],"N.A.",0,1)</f>
        <v>0</v>
      </c>
      <c r="W175" s="8">
        <f t="shared" si="4"/>
        <v>0</v>
      </c>
      <c r="X175" s="2" t="str">
        <f>Tab_Data_Flows[[#This Row],[UoM_Source]]</f>
        <v>Mg</v>
      </c>
      <c r="Y175" s="19">
        <f>_xlfn.XLOOKUP(Tab_Data_Flows[[#This Row],[Flow_Name]],Tab_Def_Flows[Flow_Name],Tab_Def_Flows[Flow_E2_Fraction'[%']],"N.A.",0,1)</f>
        <v>0</v>
      </c>
      <c r="Z175" s="2">
        <f>IF(D175="Yes",W175*Tab_Data_Flows[[#This Row],[E2_Fraction'[%']]],"N.A.")</f>
        <v>0</v>
      </c>
      <c r="AA175" s="2" t="str">
        <f>Tab_Data_Flows[[#This Row],[E1_UoM]]</f>
        <v>Mg</v>
      </c>
      <c r="AB175" s="19">
        <f>_xlfn.XLOOKUP(Tab_Data_Flows[[#This Row],[Flow_Name]],Tab_Def_Flows[Flow_Name],Tab_Def_Flows[Flow_E3_Fraction'[%']],"N.A.",0,1)</f>
        <v>0</v>
      </c>
      <c r="AC175" s="2">
        <f>IF(E175="Yes",AB175*Tab_Data_Flows[[#This Row],[E1_value]],"N.A.")</f>
        <v>0</v>
      </c>
      <c r="AD175" s="2" t="str">
        <f>Tab_Data_Flows[[#This Row],[E1_UoM]]</f>
        <v>Mg</v>
      </c>
      <c r="AE175" s="19">
        <f>_xlfn.XLOOKUP(Tab_Data_Flows[[#This Row],[Flow_Name]],Tab_Def_Flows[Flow_Name],Tab_Def_Flows[Flow_E4_Fraction'[%']],"N.A.",0,1)</f>
        <v>0</v>
      </c>
      <c r="AF175" s="2">
        <f>IF(H175="Yes",Tab_Data_Flows[[#This Row],[E4_Fraction'[%']]]*Tab_Data_Flows[[#This Row],[E1_value]],"N.A.")</f>
        <v>0</v>
      </c>
      <c r="AG175" s="2" t="str">
        <f>Tab_Data_Flows[[#This Row],[E1_UoM]]</f>
        <v>Mg</v>
      </c>
      <c r="AH175" s="2">
        <f>_xlfn.XLOOKUP(Tab_Data_Flows[[#This Row],[Flow_Name]],Tab_Def_Flows[Flow_Name],Tab_Def_Flows[Flow_E5_Fraction'[%']],"N.A.",0,1)</f>
        <v>0</v>
      </c>
      <c r="AI175" s="2">
        <f>IF(H175="Yes",Tab_Data_Flows[[#This Row],[E5_Fraction'[%']]]*Tab_Data_Flows[[#This Row],[E1_value]],"N.A.")</f>
        <v>0</v>
      </c>
      <c r="AJ175" s="2" t="str">
        <f>Tab_Data_Flows[[#This Row],[E1_UoM]]</f>
        <v>Mg</v>
      </c>
      <c r="AK175" s="19">
        <f>_xlfn.XLOOKUP(Tab_Data_Flows[[#This Row],[Flow_Name]],Tab_Def_Flows[Flow_Name],Tab_Def_Flows[Flow_E6_Fraction'[%']],"N.A.",0,1)</f>
        <v>0</v>
      </c>
      <c r="AL175" s="2">
        <f>IF(Tab_Data_Flows[[#This Row],[Use_E6]]="Yes",Tab_Data_Flows[[#This Row],[E6_Fraction'[%']]]*Tab_Data_Flows[[#This Row],[E1_value]],"N.A.")</f>
        <v>0</v>
      </c>
      <c r="AM175" s="2" t="str">
        <f>Tab_Data_Flows[[#This Row],[E1_UoM]]</f>
        <v>Mg</v>
      </c>
    </row>
    <row r="176" spans="1:39" x14ac:dyDescent="0.25">
      <c r="A176" s="4">
        <f t="shared" si="5"/>
        <v>175</v>
      </c>
      <c r="B176" s="2" t="str">
        <f>_xlfn.XLOOKUP(C176,Tab_Def_Flows[Flow_Name],Tab_Def_Flows[Flow_ID],,0,)</f>
        <v>F__</v>
      </c>
      <c r="C176" s="18" t="s">
        <v>5</v>
      </c>
      <c r="D176" s="5" t="str">
        <f>_xlfn.XLOOKUP(C176,Tab_Def_Flows[Flow_Name],Tab_Def_Flows[Use_E1],,0,)</f>
        <v>Yes</v>
      </c>
      <c r="E176" s="5" t="str">
        <f>_xlfn.XLOOKUP(C176,Tab_Def_Flows[Flow_Name],Tab_Def_Flows[Use_E2],,0,)</f>
        <v>Yes</v>
      </c>
      <c r="F176" s="5" t="str">
        <f>_xlfn.XLOOKUP(C176,Tab_Def_Flows[Flow_Name],Tab_Def_Flows[Use_E3],,0,)</f>
        <v>Yes</v>
      </c>
      <c r="G176" s="5" t="str">
        <f>_xlfn.XLOOKUP(C176,Tab_Def_Flows[Flow_Name],Tab_Def_Flows[Use_E4],,0,)</f>
        <v>Yes</v>
      </c>
      <c r="H176" s="5" t="str">
        <f>_xlfn.XLOOKUP(C176,Tab_Def_Flows[Flow_Name],Tab_Def_Flows[Use_E5],,0,)</f>
        <v>Yes</v>
      </c>
      <c r="I176" s="5" t="str">
        <f>_xlfn.XLOOKUP(C176,Tab_Def_Flows[Flow_Name],Tab_Def_Flows[Use_E6],,0,)</f>
        <v>Yes</v>
      </c>
      <c r="J176" s="3"/>
      <c r="K176" s="3"/>
      <c r="L176" s="2" t="str">
        <f>'0_Configuration'!$C$41</f>
        <v>Mg</v>
      </c>
      <c r="M176" s="9"/>
      <c r="N176" s="9"/>
      <c r="O176" s="9"/>
      <c r="P176" s="9"/>
      <c r="Q176" s="18" t="s">
        <v>3</v>
      </c>
      <c r="R176" s="10"/>
      <c r="S176" s="3"/>
      <c r="T176" s="9"/>
      <c r="U176" s="9"/>
      <c r="V176" s="2">
        <f>_xlfn.XLOOKUP(Tab_Data_Flows[[#This Row],[Flow_Name]],Tab_Def_Flows[Flow_Name],Tab_Def_Flows[Flow_E1_Fraction'[%']],"N.A.",0,1)</f>
        <v>0</v>
      </c>
      <c r="W176" s="8">
        <f t="shared" si="4"/>
        <v>0</v>
      </c>
      <c r="X176" s="2" t="str">
        <f>Tab_Data_Flows[[#This Row],[UoM_Source]]</f>
        <v>Mg</v>
      </c>
      <c r="Y176" s="19">
        <f>_xlfn.XLOOKUP(Tab_Data_Flows[[#This Row],[Flow_Name]],Tab_Def_Flows[Flow_Name],Tab_Def_Flows[Flow_E2_Fraction'[%']],"N.A.",0,1)</f>
        <v>0</v>
      </c>
      <c r="Z176" s="2">
        <f>IF(D176="Yes",W176*Tab_Data_Flows[[#This Row],[E2_Fraction'[%']]],"N.A.")</f>
        <v>0</v>
      </c>
      <c r="AA176" s="2" t="str">
        <f>Tab_Data_Flows[[#This Row],[E1_UoM]]</f>
        <v>Mg</v>
      </c>
      <c r="AB176" s="19">
        <f>_xlfn.XLOOKUP(Tab_Data_Flows[[#This Row],[Flow_Name]],Tab_Def_Flows[Flow_Name],Tab_Def_Flows[Flow_E3_Fraction'[%']],"N.A.",0,1)</f>
        <v>0</v>
      </c>
      <c r="AC176" s="2">
        <f>IF(E176="Yes",AB176*Tab_Data_Flows[[#This Row],[E1_value]],"N.A.")</f>
        <v>0</v>
      </c>
      <c r="AD176" s="2" t="str">
        <f>Tab_Data_Flows[[#This Row],[E1_UoM]]</f>
        <v>Mg</v>
      </c>
      <c r="AE176" s="19">
        <f>_xlfn.XLOOKUP(Tab_Data_Flows[[#This Row],[Flow_Name]],Tab_Def_Flows[Flow_Name],Tab_Def_Flows[Flow_E4_Fraction'[%']],"N.A.",0,1)</f>
        <v>0</v>
      </c>
      <c r="AF176" s="2">
        <f>IF(H176="Yes",Tab_Data_Flows[[#This Row],[E4_Fraction'[%']]]*Tab_Data_Flows[[#This Row],[E1_value]],"N.A.")</f>
        <v>0</v>
      </c>
      <c r="AG176" s="2" t="str">
        <f>Tab_Data_Flows[[#This Row],[E1_UoM]]</f>
        <v>Mg</v>
      </c>
      <c r="AH176" s="2">
        <f>_xlfn.XLOOKUP(Tab_Data_Flows[[#This Row],[Flow_Name]],Tab_Def_Flows[Flow_Name],Tab_Def_Flows[Flow_E5_Fraction'[%']],"N.A.",0,1)</f>
        <v>0</v>
      </c>
      <c r="AI176" s="2">
        <f>IF(H176="Yes",Tab_Data_Flows[[#This Row],[E5_Fraction'[%']]]*Tab_Data_Flows[[#This Row],[E1_value]],"N.A.")</f>
        <v>0</v>
      </c>
      <c r="AJ176" s="2" t="str">
        <f>Tab_Data_Flows[[#This Row],[E1_UoM]]</f>
        <v>Mg</v>
      </c>
      <c r="AK176" s="19">
        <f>_xlfn.XLOOKUP(Tab_Data_Flows[[#This Row],[Flow_Name]],Tab_Def_Flows[Flow_Name],Tab_Def_Flows[Flow_E6_Fraction'[%']],"N.A.",0,1)</f>
        <v>0</v>
      </c>
      <c r="AL176" s="2">
        <f>IF(Tab_Data_Flows[[#This Row],[Use_E6]]="Yes",Tab_Data_Flows[[#This Row],[E6_Fraction'[%']]]*Tab_Data_Flows[[#This Row],[E1_value]],"N.A.")</f>
        <v>0</v>
      </c>
      <c r="AM176" s="2" t="str">
        <f>Tab_Data_Flows[[#This Row],[E1_UoM]]</f>
        <v>Mg</v>
      </c>
    </row>
    <row r="177" spans="1:39" x14ac:dyDescent="0.25">
      <c r="A177" s="4">
        <f t="shared" si="5"/>
        <v>176</v>
      </c>
      <c r="B177" s="2" t="str">
        <f>_xlfn.XLOOKUP(C177,Tab_Def_Flows[Flow_Name],Tab_Def_Flows[Flow_ID],,0,)</f>
        <v>F__</v>
      </c>
      <c r="C177" s="18" t="s">
        <v>5</v>
      </c>
      <c r="D177" s="5" t="str">
        <f>_xlfn.XLOOKUP(C177,Tab_Def_Flows[Flow_Name],Tab_Def_Flows[Use_E1],,0,)</f>
        <v>Yes</v>
      </c>
      <c r="E177" s="5" t="str">
        <f>_xlfn.XLOOKUP(C177,Tab_Def_Flows[Flow_Name],Tab_Def_Flows[Use_E2],,0,)</f>
        <v>Yes</v>
      </c>
      <c r="F177" s="5" t="str">
        <f>_xlfn.XLOOKUP(C177,Tab_Def_Flows[Flow_Name],Tab_Def_Flows[Use_E3],,0,)</f>
        <v>Yes</v>
      </c>
      <c r="G177" s="5" t="str">
        <f>_xlfn.XLOOKUP(C177,Tab_Def_Flows[Flow_Name],Tab_Def_Flows[Use_E4],,0,)</f>
        <v>Yes</v>
      </c>
      <c r="H177" s="5" t="str">
        <f>_xlfn.XLOOKUP(C177,Tab_Def_Flows[Flow_Name],Tab_Def_Flows[Use_E5],,0,)</f>
        <v>Yes</v>
      </c>
      <c r="I177" s="5" t="str">
        <f>_xlfn.XLOOKUP(C177,Tab_Def_Flows[Flow_Name],Tab_Def_Flows[Use_E6],,0,)</f>
        <v>Yes</v>
      </c>
      <c r="J177" s="3"/>
      <c r="K177" s="3"/>
      <c r="L177" s="2" t="str">
        <f>'0_Configuration'!$C$41</f>
        <v>Mg</v>
      </c>
      <c r="M177" s="9"/>
      <c r="N177" s="9"/>
      <c r="O177" s="9"/>
      <c r="P177" s="9"/>
      <c r="Q177" s="18" t="s">
        <v>3</v>
      </c>
      <c r="R177" s="10"/>
      <c r="S177" s="3"/>
      <c r="T177" s="9"/>
      <c r="U177" s="9"/>
      <c r="V177" s="2">
        <f>_xlfn.XLOOKUP(Tab_Data_Flows[[#This Row],[Flow_Name]],Tab_Def_Flows[Flow_Name],Tab_Def_Flows[Flow_E1_Fraction'[%']],"N.A.",0,1)</f>
        <v>0</v>
      </c>
      <c r="W177" s="8">
        <f t="shared" si="4"/>
        <v>0</v>
      </c>
      <c r="X177" s="2" t="str">
        <f>Tab_Data_Flows[[#This Row],[UoM_Source]]</f>
        <v>Mg</v>
      </c>
      <c r="Y177" s="19">
        <f>_xlfn.XLOOKUP(Tab_Data_Flows[[#This Row],[Flow_Name]],Tab_Def_Flows[Flow_Name],Tab_Def_Flows[Flow_E2_Fraction'[%']],"N.A.",0,1)</f>
        <v>0</v>
      </c>
      <c r="Z177" s="2">
        <f>IF(D177="Yes",W177*Tab_Data_Flows[[#This Row],[E2_Fraction'[%']]],"N.A.")</f>
        <v>0</v>
      </c>
      <c r="AA177" s="2" t="str">
        <f>Tab_Data_Flows[[#This Row],[E1_UoM]]</f>
        <v>Mg</v>
      </c>
      <c r="AB177" s="19">
        <f>_xlfn.XLOOKUP(Tab_Data_Flows[[#This Row],[Flow_Name]],Tab_Def_Flows[Flow_Name],Tab_Def_Flows[Flow_E3_Fraction'[%']],"N.A.",0,1)</f>
        <v>0</v>
      </c>
      <c r="AC177" s="2">
        <f>IF(E177="Yes",AB177*Tab_Data_Flows[[#This Row],[E1_value]],"N.A.")</f>
        <v>0</v>
      </c>
      <c r="AD177" s="2" t="str">
        <f>Tab_Data_Flows[[#This Row],[E1_UoM]]</f>
        <v>Mg</v>
      </c>
      <c r="AE177" s="19">
        <f>_xlfn.XLOOKUP(Tab_Data_Flows[[#This Row],[Flow_Name]],Tab_Def_Flows[Flow_Name],Tab_Def_Flows[Flow_E4_Fraction'[%']],"N.A.",0,1)</f>
        <v>0</v>
      </c>
      <c r="AF177" s="2">
        <f>IF(H177="Yes",Tab_Data_Flows[[#This Row],[E4_Fraction'[%']]]*Tab_Data_Flows[[#This Row],[E1_value]],"N.A.")</f>
        <v>0</v>
      </c>
      <c r="AG177" s="2" t="str">
        <f>Tab_Data_Flows[[#This Row],[E1_UoM]]</f>
        <v>Mg</v>
      </c>
      <c r="AH177" s="2">
        <f>_xlfn.XLOOKUP(Tab_Data_Flows[[#This Row],[Flow_Name]],Tab_Def_Flows[Flow_Name],Tab_Def_Flows[Flow_E5_Fraction'[%']],"N.A.",0,1)</f>
        <v>0</v>
      </c>
      <c r="AI177" s="2">
        <f>IF(H177="Yes",Tab_Data_Flows[[#This Row],[E5_Fraction'[%']]]*Tab_Data_Flows[[#This Row],[E1_value]],"N.A.")</f>
        <v>0</v>
      </c>
      <c r="AJ177" s="2" t="str">
        <f>Tab_Data_Flows[[#This Row],[E1_UoM]]</f>
        <v>Mg</v>
      </c>
      <c r="AK177" s="19">
        <f>_xlfn.XLOOKUP(Tab_Data_Flows[[#This Row],[Flow_Name]],Tab_Def_Flows[Flow_Name],Tab_Def_Flows[Flow_E6_Fraction'[%']],"N.A.",0,1)</f>
        <v>0</v>
      </c>
      <c r="AL177" s="2">
        <f>IF(Tab_Data_Flows[[#This Row],[Use_E6]]="Yes",Tab_Data_Flows[[#This Row],[E6_Fraction'[%']]]*Tab_Data_Flows[[#This Row],[E1_value]],"N.A.")</f>
        <v>0</v>
      </c>
      <c r="AM177" s="2" t="str">
        <f>Tab_Data_Flows[[#This Row],[E1_UoM]]</f>
        <v>Mg</v>
      </c>
    </row>
    <row r="178" spans="1:39" x14ac:dyDescent="0.25">
      <c r="A178" s="4">
        <f t="shared" si="5"/>
        <v>177</v>
      </c>
      <c r="B178" s="2" t="str">
        <f>_xlfn.XLOOKUP(C178,Tab_Def_Flows[Flow_Name],Tab_Def_Flows[Flow_ID],,0,)</f>
        <v>F__</v>
      </c>
      <c r="C178" s="18" t="s">
        <v>5</v>
      </c>
      <c r="D178" s="5" t="str">
        <f>_xlfn.XLOOKUP(C178,Tab_Def_Flows[Flow_Name],Tab_Def_Flows[Use_E1],,0,)</f>
        <v>Yes</v>
      </c>
      <c r="E178" s="5" t="str">
        <f>_xlfn.XLOOKUP(C178,Tab_Def_Flows[Flow_Name],Tab_Def_Flows[Use_E2],,0,)</f>
        <v>Yes</v>
      </c>
      <c r="F178" s="5" t="str">
        <f>_xlfn.XLOOKUP(C178,Tab_Def_Flows[Flow_Name],Tab_Def_Flows[Use_E3],,0,)</f>
        <v>Yes</v>
      </c>
      <c r="G178" s="5" t="str">
        <f>_xlfn.XLOOKUP(C178,Tab_Def_Flows[Flow_Name],Tab_Def_Flows[Use_E4],,0,)</f>
        <v>Yes</v>
      </c>
      <c r="H178" s="5" t="str">
        <f>_xlfn.XLOOKUP(C178,Tab_Def_Flows[Flow_Name],Tab_Def_Flows[Use_E5],,0,)</f>
        <v>Yes</v>
      </c>
      <c r="I178" s="5" t="str">
        <f>_xlfn.XLOOKUP(C178,Tab_Def_Flows[Flow_Name],Tab_Def_Flows[Use_E6],,0,)</f>
        <v>Yes</v>
      </c>
      <c r="J178" s="3"/>
      <c r="K178" s="3"/>
      <c r="L178" s="2" t="str">
        <f>'0_Configuration'!$C$41</f>
        <v>Mg</v>
      </c>
      <c r="M178" s="9"/>
      <c r="N178" s="9"/>
      <c r="O178" s="9"/>
      <c r="P178" s="9"/>
      <c r="Q178" s="18" t="s">
        <v>3</v>
      </c>
      <c r="R178" s="10"/>
      <c r="S178" s="3"/>
      <c r="T178" s="9"/>
      <c r="U178" s="9"/>
      <c r="V178" s="2">
        <f>_xlfn.XLOOKUP(Tab_Data_Flows[[#This Row],[Flow_Name]],Tab_Def_Flows[Flow_Name],Tab_Def_Flows[Flow_E1_Fraction'[%']],"N.A.",0,1)</f>
        <v>0</v>
      </c>
      <c r="W178" s="8">
        <f t="shared" si="4"/>
        <v>0</v>
      </c>
      <c r="X178" s="2" t="str">
        <f>Tab_Data_Flows[[#This Row],[UoM_Source]]</f>
        <v>Mg</v>
      </c>
      <c r="Y178" s="19">
        <f>_xlfn.XLOOKUP(Tab_Data_Flows[[#This Row],[Flow_Name]],Tab_Def_Flows[Flow_Name],Tab_Def_Flows[Flow_E2_Fraction'[%']],"N.A.",0,1)</f>
        <v>0</v>
      </c>
      <c r="Z178" s="2">
        <f>IF(D178="Yes",W178*Tab_Data_Flows[[#This Row],[E2_Fraction'[%']]],"N.A.")</f>
        <v>0</v>
      </c>
      <c r="AA178" s="2" t="str">
        <f>Tab_Data_Flows[[#This Row],[E1_UoM]]</f>
        <v>Mg</v>
      </c>
      <c r="AB178" s="19">
        <f>_xlfn.XLOOKUP(Tab_Data_Flows[[#This Row],[Flow_Name]],Tab_Def_Flows[Flow_Name],Tab_Def_Flows[Flow_E3_Fraction'[%']],"N.A.",0,1)</f>
        <v>0</v>
      </c>
      <c r="AC178" s="2">
        <f>IF(E178="Yes",AB178*Tab_Data_Flows[[#This Row],[E1_value]],"N.A.")</f>
        <v>0</v>
      </c>
      <c r="AD178" s="2" t="str">
        <f>Tab_Data_Flows[[#This Row],[E1_UoM]]</f>
        <v>Mg</v>
      </c>
      <c r="AE178" s="19">
        <f>_xlfn.XLOOKUP(Tab_Data_Flows[[#This Row],[Flow_Name]],Tab_Def_Flows[Flow_Name],Tab_Def_Flows[Flow_E4_Fraction'[%']],"N.A.",0,1)</f>
        <v>0</v>
      </c>
      <c r="AF178" s="2">
        <f>IF(H178="Yes",Tab_Data_Flows[[#This Row],[E4_Fraction'[%']]]*Tab_Data_Flows[[#This Row],[E1_value]],"N.A.")</f>
        <v>0</v>
      </c>
      <c r="AG178" s="2" t="str">
        <f>Tab_Data_Flows[[#This Row],[E1_UoM]]</f>
        <v>Mg</v>
      </c>
      <c r="AH178" s="2">
        <f>_xlfn.XLOOKUP(Tab_Data_Flows[[#This Row],[Flow_Name]],Tab_Def_Flows[Flow_Name],Tab_Def_Flows[Flow_E5_Fraction'[%']],"N.A.",0,1)</f>
        <v>0</v>
      </c>
      <c r="AI178" s="2">
        <f>IF(H178="Yes",Tab_Data_Flows[[#This Row],[E5_Fraction'[%']]]*Tab_Data_Flows[[#This Row],[E1_value]],"N.A.")</f>
        <v>0</v>
      </c>
      <c r="AJ178" s="2" t="str">
        <f>Tab_Data_Flows[[#This Row],[E1_UoM]]</f>
        <v>Mg</v>
      </c>
      <c r="AK178" s="19">
        <f>_xlfn.XLOOKUP(Tab_Data_Flows[[#This Row],[Flow_Name]],Tab_Def_Flows[Flow_Name],Tab_Def_Flows[Flow_E6_Fraction'[%']],"N.A.",0,1)</f>
        <v>0</v>
      </c>
      <c r="AL178" s="2">
        <f>IF(Tab_Data_Flows[[#This Row],[Use_E6]]="Yes",Tab_Data_Flows[[#This Row],[E6_Fraction'[%']]]*Tab_Data_Flows[[#This Row],[E1_value]],"N.A.")</f>
        <v>0</v>
      </c>
      <c r="AM178" s="2" t="str">
        <f>Tab_Data_Flows[[#This Row],[E1_UoM]]</f>
        <v>Mg</v>
      </c>
    </row>
    <row r="179" spans="1:39" x14ac:dyDescent="0.25">
      <c r="A179" s="4">
        <f t="shared" si="5"/>
        <v>178</v>
      </c>
      <c r="B179" s="2" t="str">
        <f>_xlfn.XLOOKUP(C179,Tab_Def_Flows[Flow_Name],Tab_Def_Flows[Flow_ID],,0,)</f>
        <v>F__</v>
      </c>
      <c r="C179" s="18" t="s">
        <v>5</v>
      </c>
      <c r="D179" s="5" t="str">
        <f>_xlfn.XLOOKUP(C179,Tab_Def_Flows[Flow_Name],Tab_Def_Flows[Use_E1],,0,)</f>
        <v>Yes</v>
      </c>
      <c r="E179" s="5" t="str">
        <f>_xlfn.XLOOKUP(C179,Tab_Def_Flows[Flow_Name],Tab_Def_Flows[Use_E2],,0,)</f>
        <v>Yes</v>
      </c>
      <c r="F179" s="5" t="str">
        <f>_xlfn.XLOOKUP(C179,Tab_Def_Flows[Flow_Name],Tab_Def_Flows[Use_E3],,0,)</f>
        <v>Yes</v>
      </c>
      <c r="G179" s="5" t="str">
        <f>_xlfn.XLOOKUP(C179,Tab_Def_Flows[Flow_Name],Tab_Def_Flows[Use_E4],,0,)</f>
        <v>Yes</v>
      </c>
      <c r="H179" s="5" t="str">
        <f>_xlfn.XLOOKUP(C179,Tab_Def_Flows[Flow_Name],Tab_Def_Flows[Use_E5],,0,)</f>
        <v>Yes</v>
      </c>
      <c r="I179" s="5" t="str">
        <f>_xlfn.XLOOKUP(C179,Tab_Def_Flows[Flow_Name],Tab_Def_Flows[Use_E6],,0,)</f>
        <v>Yes</v>
      </c>
      <c r="J179" s="3"/>
      <c r="K179" s="3"/>
      <c r="L179" s="2" t="str">
        <f>'0_Configuration'!$C$41</f>
        <v>Mg</v>
      </c>
      <c r="M179" s="9"/>
      <c r="N179" s="9"/>
      <c r="O179" s="9"/>
      <c r="P179" s="9"/>
      <c r="Q179" s="18" t="s">
        <v>3</v>
      </c>
      <c r="R179" s="10"/>
      <c r="S179" s="3"/>
      <c r="T179" s="9"/>
      <c r="U179" s="9"/>
      <c r="V179" s="2">
        <f>_xlfn.XLOOKUP(Tab_Data_Flows[[#This Row],[Flow_Name]],Tab_Def_Flows[Flow_Name],Tab_Def_Flows[Flow_E1_Fraction'[%']],"N.A.",0,1)</f>
        <v>0</v>
      </c>
      <c r="W179" s="8">
        <f t="shared" si="4"/>
        <v>0</v>
      </c>
      <c r="X179" s="2" t="str">
        <f>Tab_Data_Flows[[#This Row],[UoM_Source]]</f>
        <v>Mg</v>
      </c>
      <c r="Y179" s="19">
        <f>_xlfn.XLOOKUP(Tab_Data_Flows[[#This Row],[Flow_Name]],Tab_Def_Flows[Flow_Name],Tab_Def_Flows[Flow_E2_Fraction'[%']],"N.A.",0,1)</f>
        <v>0</v>
      </c>
      <c r="Z179" s="2">
        <f>IF(D179="Yes",W179*Tab_Data_Flows[[#This Row],[E2_Fraction'[%']]],"N.A.")</f>
        <v>0</v>
      </c>
      <c r="AA179" s="2" t="str">
        <f>Tab_Data_Flows[[#This Row],[E1_UoM]]</f>
        <v>Mg</v>
      </c>
      <c r="AB179" s="19">
        <f>_xlfn.XLOOKUP(Tab_Data_Flows[[#This Row],[Flow_Name]],Tab_Def_Flows[Flow_Name],Tab_Def_Flows[Flow_E3_Fraction'[%']],"N.A.",0,1)</f>
        <v>0</v>
      </c>
      <c r="AC179" s="2">
        <f>IF(E179="Yes",AB179*Tab_Data_Flows[[#This Row],[E1_value]],"N.A.")</f>
        <v>0</v>
      </c>
      <c r="AD179" s="2" t="str">
        <f>Tab_Data_Flows[[#This Row],[E1_UoM]]</f>
        <v>Mg</v>
      </c>
      <c r="AE179" s="19">
        <f>_xlfn.XLOOKUP(Tab_Data_Flows[[#This Row],[Flow_Name]],Tab_Def_Flows[Flow_Name],Tab_Def_Flows[Flow_E4_Fraction'[%']],"N.A.",0,1)</f>
        <v>0</v>
      </c>
      <c r="AF179" s="2">
        <f>IF(H179="Yes",Tab_Data_Flows[[#This Row],[E4_Fraction'[%']]]*Tab_Data_Flows[[#This Row],[E1_value]],"N.A.")</f>
        <v>0</v>
      </c>
      <c r="AG179" s="2" t="str">
        <f>Tab_Data_Flows[[#This Row],[E1_UoM]]</f>
        <v>Mg</v>
      </c>
      <c r="AH179" s="2">
        <f>_xlfn.XLOOKUP(Tab_Data_Flows[[#This Row],[Flow_Name]],Tab_Def_Flows[Flow_Name],Tab_Def_Flows[Flow_E5_Fraction'[%']],"N.A.",0,1)</f>
        <v>0</v>
      </c>
      <c r="AI179" s="2">
        <f>IF(H179="Yes",Tab_Data_Flows[[#This Row],[E5_Fraction'[%']]]*Tab_Data_Flows[[#This Row],[E1_value]],"N.A.")</f>
        <v>0</v>
      </c>
      <c r="AJ179" s="2" t="str">
        <f>Tab_Data_Flows[[#This Row],[E1_UoM]]</f>
        <v>Mg</v>
      </c>
      <c r="AK179" s="19">
        <f>_xlfn.XLOOKUP(Tab_Data_Flows[[#This Row],[Flow_Name]],Tab_Def_Flows[Flow_Name],Tab_Def_Flows[Flow_E6_Fraction'[%']],"N.A.",0,1)</f>
        <v>0</v>
      </c>
      <c r="AL179" s="2">
        <f>IF(Tab_Data_Flows[[#This Row],[Use_E6]]="Yes",Tab_Data_Flows[[#This Row],[E6_Fraction'[%']]]*Tab_Data_Flows[[#This Row],[E1_value]],"N.A.")</f>
        <v>0</v>
      </c>
      <c r="AM179" s="2" t="str">
        <f>Tab_Data_Flows[[#This Row],[E1_UoM]]</f>
        <v>Mg</v>
      </c>
    </row>
    <row r="180" spans="1:39" x14ac:dyDescent="0.25">
      <c r="A180" s="4">
        <f t="shared" si="5"/>
        <v>179</v>
      </c>
      <c r="B180" s="2" t="str">
        <f>_xlfn.XLOOKUP(C180,Tab_Def_Flows[Flow_Name],Tab_Def_Flows[Flow_ID],,0,)</f>
        <v>F__</v>
      </c>
      <c r="C180" s="18" t="s">
        <v>5</v>
      </c>
      <c r="D180" s="5" t="str">
        <f>_xlfn.XLOOKUP(C180,Tab_Def_Flows[Flow_Name],Tab_Def_Flows[Use_E1],,0,)</f>
        <v>Yes</v>
      </c>
      <c r="E180" s="5" t="str">
        <f>_xlfn.XLOOKUP(C180,Tab_Def_Flows[Flow_Name],Tab_Def_Flows[Use_E2],,0,)</f>
        <v>Yes</v>
      </c>
      <c r="F180" s="5" t="str">
        <f>_xlfn.XLOOKUP(C180,Tab_Def_Flows[Flow_Name],Tab_Def_Flows[Use_E3],,0,)</f>
        <v>Yes</v>
      </c>
      <c r="G180" s="5" t="str">
        <f>_xlfn.XLOOKUP(C180,Tab_Def_Flows[Flow_Name],Tab_Def_Flows[Use_E4],,0,)</f>
        <v>Yes</v>
      </c>
      <c r="H180" s="5" t="str">
        <f>_xlfn.XLOOKUP(C180,Tab_Def_Flows[Flow_Name],Tab_Def_Flows[Use_E5],,0,)</f>
        <v>Yes</v>
      </c>
      <c r="I180" s="5" t="str">
        <f>_xlfn.XLOOKUP(C180,Tab_Def_Flows[Flow_Name],Tab_Def_Flows[Use_E6],,0,)</f>
        <v>Yes</v>
      </c>
      <c r="J180" s="3"/>
      <c r="K180" s="3"/>
      <c r="L180" s="2" t="str">
        <f>'0_Configuration'!$C$41</f>
        <v>Mg</v>
      </c>
      <c r="M180" s="9"/>
      <c r="N180" s="9"/>
      <c r="O180" s="9"/>
      <c r="P180" s="9"/>
      <c r="Q180" s="18" t="s">
        <v>3</v>
      </c>
      <c r="R180" s="10"/>
      <c r="S180" s="3"/>
      <c r="T180" s="9"/>
      <c r="U180" s="9"/>
      <c r="V180" s="2">
        <f>_xlfn.XLOOKUP(Tab_Data_Flows[[#This Row],[Flow_Name]],Tab_Def_Flows[Flow_Name],Tab_Def_Flows[Flow_E1_Fraction'[%']],"N.A.",0,1)</f>
        <v>0</v>
      </c>
      <c r="W180" s="8">
        <f t="shared" si="4"/>
        <v>0</v>
      </c>
      <c r="X180" s="2" t="str">
        <f>Tab_Data_Flows[[#This Row],[UoM_Source]]</f>
        <v>Mg</v>
      </c>
      <c r="Y180" s="19">
        <f>_xlfn.XLOOKUP(Tab_Data_Flows[[#This Row],[Flow_Name]],Tab_Def_Flows[Flow_Name],Tab_Def_Flows[Flow_E2_Fraction'[%']],"N.A.",0,1)</f>
        <v>0</v>
      </c>
      <c r="Z180" s="2">
        <f>IF(D180="Yes",W180*Tab_Data_Flows[[#This Row],[E2_Fraction'[%']]],"N.A.")</f>
        <v>0</v>
      </c>
      <c r="AA180" s="2" t="str">
        <f>Tab_Data_Flows[[#This Row],[E1_UoM]]</f>
        <v>Mg</v>
      </c>
      <c r="AB180" s="19">
        <f>_xlfn.XLOOKUP(Tab_Data_Flows[[#This Row],[Flow_Name]],Tab_Def_Flows[Flow_Name],Tab_Def_Flows[Flow_E3_Fraction'[%']],"N.A.",0,1)</f>
        <v>0</v>
      </c>
      <c r="AC180" s="2">
        <f>IF(E180="Yes",AB180*Tab_Data_Flows[[#This Row],[E1_value]],"N.A.")</f>
        <v>0</v>
      </c>
      <c r="AD180" s="2" t="str">
        <f>Tab_Data_Flows[[#This Row],[E1_UoM]]</f>
        <v>Mg</v>
      </c>
      <c r="AE180" s="19">
        <f>_xlfn.XLOOKUP(Tab_Data_Flows[[#This Row],[Flow_Name]],Tab_Def_Flows[Flow_Name],Tab_Def_Flows[Flow_E4_Fraction'[%']],"N.A.",0,1)</f>
        <v>0</v>
      </c>
      <c r="AF180" s="2">
        <f>IF(H180="Yes",Tab_Data_Flows[[#This Row],[E4_Fraction'[%']]]*Tab_Data_Flows[[#This Row],[E1_value]],"N.A.")</f>
        <v>0</v>
      </c>
      <c r="AG180" s="2" t="str">
        <f>Tab_Data_Flows[[#This Row],[E1_UoM]]</f>
        <v>Mg</v>
      </c>
      <c r="AH180" s="2">
        <f>_xlfn.XLOOKUP(Tab_Data_Flows[[#This Row],[Flow_Name]],Tab_Def_Flows[Flow_Name],Tab_Def_Flows[Flow_E5_Fraction'[%']],"N.A.",0,1)</f>
        <v>0</v>
      </c>
      <c r="AI180" s="2">
        <f>IF(H180="Yes",Tab_Data_Flows[[#This Row],[E5_Fraction'[%']]]*Tab_Data_Flows[[#This Row],[E1_value]],"N.A.")</f>
        <v>0</v>
      </c>
      <c r="AJ180" s="2" t="str">
        <f>Tab_Data_Flows[[#This Row],[E1_UoM]]</f>
        <v>Mg</v>
      </c>
      <c r="AK180" s="19">
        <f>_xlfn.XLOOKUP(Tab_Data_Flows[[#This Row],[Flow_Name]],Tab_Def_Flows[Flow_Name],Tab_Def_Flows[Flow_E6_Fraction'[%']],"N.A.",0,1)</f>
        <v>0</v>
      </c>
      <c r="AL180" s="2">
        <f>IF(Tab_Data_Flows[[#This Row],[Use_E6]]="Yes",Tab_Data_Flows[[#This Row],[E6_Fraction'[%']]]*Tab_Data_Flows[[#This Row],[E1_value]],"N.A.")</f>
        <v>0</v>
      </c>
      <c r="AM180" s="2" t="str">
        <f>Tab_Data_Flows[[#This Row],[E1_UoM]]</f>
        <v>Mg</v>
      </c>
    </row>
    <row r="181" spans="1:39" x14ac:dyDescent="0.25">
      <c r="A181" s="4">
        <f t="shared" si="5"/>
        <v>180</v>
      </c>
      <c r="B181" s="2" t="str">
        <f>_xlfn.XLOOKUP(C181,Tab_Def_Flows[Flow_Name],Tab_Def_Flows[Flow_ID],,0,)</f>
        <v>F__</v>
      </c>
      <c r="C181" s="18" t="s">
        <v>5</v>
      </c>
      <c r="D181" s="5" t="str">
        <f>_xlfn.XLOOKUP(C181,Tab_Def_Flows[Flow_Name],Tab_Def_Flows[Use_E1],,0,)</f>
        <v>Yes</v>
      </c>
      <c r="E181" s="5" t="str">
        <f>_xlfn.XLOOKUP(C181,Tab_Def_Flows[Flow_Name],Tab_Def_Flows[Use_E2],,0,)</f>
        <v>Yes</v>
      </c>
      <c r="F181" s="5" t="str">
        <f>_xlfn.XLOOKUP(C181,Tab_Def_Flows[Flow_Name],Tab_Def_Flows[Use_E3],,0,)</f>
        <v>Yes</v>
      </c>
      <c r="G181" s="5" t="str">
        <f>_xlfn.XLOOKUP(C181,Tab_Def_Flows[Flow_Name],Tab_Def_Flows[Use_E4],,0,)</f>
        <v>Yes</v>
      </c>
      <c r="H181" s="5" t="str">
        <f>_xlfn.XLOOKUP(C181,Tab_Def_Flows[Flow_Name],Tab_Def_Flows[Use_E5],,0,)</f>
        <v>Yes</v>
      </c>
      <c r="I181" s="5" t="str">
        <f>_xlfn.XLOOKUP(C181,Tab_Def_Flows[Flow_Name],Tab_Def_Flows[Use_E6],,0,)</f>
        <v>Yes</v>
      </c>
      <c r="J181" s="3"/>
      <c r="K181" s="3"/>
      <c r="L181" s="2" t="str">
        <f>'0_Configuration'!$C$41</f>
        <v>Mg</v>
      </c>
      <c r="M181" s="9"/>
      <c r="N181" s="9"/>
      <c r="O181" s="9"/>
      <c r="P181" s="9"/>
      <c r="Q181" s="18" t="s">
        <v>3</v>
      </c>
      <c r="R181" s="10"/>
      <c r="S181" s="3"/>
      <c r="T181" s="9"/>
      <c r="U181" s="9"/>
      <c r="V181" s="2">
        <f>_xlfn.XLOOKUP(Tab_Data_Flows[[#This Row],[Flow_Name]],Tab_Def_Flows[Flow_Name],Tab_Def_Flows[Flow_E1_Fraction'[%']],"N.A.",0,1)</f>
        <v>0</v>
      </c>
      <c r="W181" s="8">
        <f t="shared" si="4"/>
        <v>0</v>
      </c>
      <c r="X181" s="2" t="str">
        <f>Tab_Data_Flows[[#This Row],[UoM_Source]]</f>
        <v>Mg</v>
      </c>
      <c r="Y181" s="19">
        <f>_xlfn.XLOOKUP(Tab_Data_Flows[[#This Row],[Flow_Name]],Tab_Def_Flows[Flow_Name],Tab_Def_Flows[Flow_E2_Fraction'[%']],"N.A.",0,1)</f>
        <v>0</v>
      </c>
      <c r="Z181" s="2">
        <f>IF(D181="Yes",W181*Tab_Data_Flows[[#This Row],[E2_Fraction'[%']]],"N.A.")</f>
        <v>0</v>
      </c>
      <c r="AA181" s="2" t="str">
        <f>Tab_Data_Flows[[#This Row],[E1_UoM]]</f>
        <v>Mg</v>
      </c>
      <c r="AB181" s="19">
        <f>_xlfn.XLOOKUP(Tab_Data_Flows[[#This Row],[Flow_Name]],Tab_Def_Flows[Flow_Name],Tab_Def_Flows[Flow_E3_Fraction'[%']],"N.A.",0,1)</f>
        <v>0</v>
      </c>
      <c r="AC181" s="2">
        <f>IF(E181="Yes",AB181*Tab_Data_Flows[[#This Row],[E1_value]],"N.A.")</f>
        <v>0</v>
      </c>
      <c r="AD181" s="2" t="str">
        <f>Tab_Data_Flows[[#This Row],[E1_UoM]]</f>
        <v>Mg</v>
      </c>
      <c r="AE181" s="19">
        <f>_xlfn.XLOOKUP(Tab_Data_Flows[[#This Row],[Flow_Name]],Tab_Def_Flows[Flow_Name],Tab_Def_Flows[Flow_E4_Fraction'[%']],"N.A.",0,1)</f>
        <v>0</v>
      </c>
      <c r="AF181" s="2">
        <f>IF(H181="Yes",Tab_Data_Flows[[#This Row],[E4_Fraction'[%']]]*Tab_Data_Flows[[#This Row],[E1_value]],"N.A.")</f>
        <v>0</v>
      </c>
      <c r="AG181" s="2" t="str">
        <f>Tab_Data_Flows[[#This Row],[E1_UoM]]</f>
        <v>Mg</v>
      </c>
      <c r="AH181" s="2">
        <f>_xlfn.XLOOKUP(Tab_Data_Flows[[#This Row],[Flow_Name]],Tab_Def_Flows[Flow_Name],Tab_Def_Flows[Flow_E5_Fraction'[%']],"N.A.",0,1)</f>
        <v>0</v>
      </c>
      <c r="AI181" s="2">
        <f>IF(H181="Yes",Tab_Data_Flows[[#This Row],[E5_Fraction'[%']]]*Tab_Data_Flows[[#This Row],[E1_value]],"N.A.")</f>
        <v>0</v>
      </c>
      <c r="AJ181" s="2" t="str">
        <f>Tab_Data_Flows[[#This Row],[E1_UoM]]</f>
        <v>Mg</v>
      </c>
      <c r="AK181" s="19">
        <f>_xlfn.XLOOKUP(Tab_Data_Flows[[#This Row],[Flow_Name]],Tab_Def_Flows[Flow_Name],Tab_Def_Flows[Flow_E6_Fraction'[%']],"N.A.",0,1)</f>
        <v>0</v>
      </c>
      <c r="AL181" s="2">
        <f>IF(Tab_Data_Flows[[#This Row],[Use_E6]]="Yes",Tab_Data_Flows[[#This Row],[E6_Fraction'[%']]]*Tab_Data_Flows[[#This Row],[E1_value]],"N.A.")</f>
        <v>0</v>
      </c>
      <c r="AM181" s="2" t="str">
        <f>Tab_Data_Flows[[#This Row],[E1_UoM]]</f>
        <v>Mg</v>
      </c>
    </row>
    <row r="182" spans="1:39" x14ac:dyDescent="0.25">
      <c r="A182" s="4">
        <f t="shared" si="5"/>
        <v>181</v>
      </c>
      <c r="B182" s="2" t="str">
        <f>_xlfn.XLOOKUP(C182,Tab_Def_Flows[Flow_Name],Tab_Def_Flows[Flow_ID],,0,)</f>
        <v>F__</v>
      </c>
      <c r="C182" s="18" t="s">
        <v>5</v>
      </c>
      <c r="D182" s="5" t="str">
        <f>_xlfn.XLOOKUP(C182,Tab_Def_Flows[Flow_Name],Tab_Def_Flows[Use_E1],,0,)</f>
        <v>Yes</v>
      </c>
      <c r="E182" s="5" t="str">
        <f>_xlfn.XLOOKUP(C182,Tab_Def_Flows[Flow_Name],Tab_Def_Flows[Use_E2],,0,)</f>
        <v>Yes</v>
      </c>
      <c r="F182" s="5" t="str">
        <f>_xlfn.XLOOKUP(C182,Tab_Def_Flows[Flow_Name],Tab_Def_Flows[Use_E3],,0,)</f>
        <v>Yes</v>
      </c>
      <c r="G182" s="5" t="str">
        <f>_xlfn.XLOOKUP(C182,Tab_Def_Flows[Flow_Name],Tab_Def_Flows[Use_E4],,0,)</f>
        <v>Yes</v>
      </c>
      <c r="H182" s="5" t="str">
        <f>_xlfn.XLOOKUP(C182,Tab_Def_Flows[Flow_Name],Tab_Def_Flows[Use_E5],,0,)</f>
        <v>Yes</v>
      </c>
      <c r="I182" s="5" t="str">
        <f>_xlfn.XLOOKUP(C182,Tab_Def_Flows[Flow_Name],Tab_Def_Flows[Use_E6],,0,)</f>
        <v>Yes</v>
      </c>
      <c r="J182" s="3"/>
      <c r="K182" s="3"/>
      <c r="L182" s="2" t="str">
        <f>'0_Configuration'!$C$41</f>
        <v>Mg</v>
      </c>
      <c r="M182" s="9"/>
      <c r="N182" s="9"/>
      <c r="O182" s="9"/>
      <c r="P182" s="9"/>
      <c r="Q182" s="18" t="s">
        <v>3</v>
      </c>
      <c r="R182" s="10"/>
      <c r="S182" s="3"/>
      <c r="T182" s="9"/>
      <c r="U182" s="9"/>
      <c r="V182" s="2">
        <f>_xlfn.XLOOKUP(Tab_Data_Flows[[#This Row],[Flow_Name]],Tab_Def_Flows[Flow_Name],Tab_Def_Flows[Flow_E1_Fraction'[%']],"N.A.",0,1)</f>
        <v>0</v>
      </c>
      <c r="W182" s="8">
        <f t="shared" si="4"/>
        <v>0</v>
      </c>
      <c r="X182" s="2" t="str">
        <f>Tab_Data_Flows[[#This Row],[UoM_Source]]</f>
        <v>Mg</v>
      </c>
      <c r="Y182" s="19">
        <f>_xlfn.XLOOKUP(Tab_Data_Flows[[#This Row],[Flow_Name]],Tab_Def_Flows[Flow_Name],Tab_Def_Flows[Flow_E2_Fraction'[%']],"N.A.",0,1)</f>
        <v>0</v>
      </c>
      <c r="Z182" s="2">
        <f>IF(D182="Yes",W182*Tab_Data_Flows[[#This Row],[E2_Fraction'[%']]],"N.A.")</f>
        <v>0</v>
      </c>
      <c r="AA182" s="2" t="str">
        <f>Tab_Data_Flows[[#This Row],[E1_UoM]]</f>
        <v>Mg</v>
      </c>
      <c r="AB182" s="19">
        <f>_xlfn.XLOOKUP(Tab_Data_Flows[[#This Row],[Flow_Name]],Tab_Def_Flows[Flow_Name],Tab_Def_Flows[Flow_E3_Fraction'[%']],"N.A.",0,1)</f>
        <v>0</v>
      </c>
      <c r="AC182" s="2">
        <f>IF(E182="Yes",AB182*Tab_Data_Flows[[#This Row],[E1_value]],"N.A.")</f>
        <v>0</v>
      </c>
      <c r="AD182" s="2" t="str">
        <f>Tab_Data_Flows[[#This Row],[E1_UoM]]</f>
        <v>Mg</v>
      </c>
      <c r="AE182" s="19">
        <f>_xlfn.XLOOKUP(Tab_Data_Flows[[#This Row],[Flow_Name]],Tab_Def_Flows[Flow_Name],Tab_Def_Flows[Flow_E4_Fraction'[%']],"N.A.",0,1)</f>
        <v>0</v>
      </c>
      <c r="AF182" s="2">
        <f>IF(H182="Yes",Tab_Data_Flows[[#This Row],[E4_Fraction'[%']]]*Tab_Data_Flows[[#This Row],[E1_value]],"N.A.")</f>
        <v>0</v>
      </c>
      <c r="AG182" s="2" t="str">
        <f>Tab_Data_Flows[[#This Row],[E1_UoM]]</f>
        <v>Mg</v>
      </c>
      <c r="AH182" s="2">
        <f>_xlfn.XLOOKUP(Tab_Data_Flows[[#This Row],[Flow_Name]],Tab_Def_Flows[Flow_Name],Tab_Def_Flows[Flow_E5_Fraction'[%']],"N.A.",0,1)</f>
        <v>0</v>
      </c>
      <c r="AI182" s="2">
        <f>IF(H182="Yes",Tab_Data_Flows[[#This Row],[E5_Fraction'[%']]]*Tab_Data_Flows[[#This Row],[E1_value]],"N.A.")</f>
        <v>0</v>
      </c>
      <c r="AJ182" s="2" t="str">
        <f>Tab_Data_Flows[[#This Row],[E1_UoM]]</f>
        <v>Mg</v>
      </c>
      <c r="AK182" s="19">
        <f>_xlfn.XLOOKUP(Tab_Data_Flows[[#This Row],[Flow_Name]],Tab_Def_Flows[Flow_Name],Tab_Def_Flows[Flow_E6_Fraction'[%']],"N.A.",0,1)</f>
        <v>0</v>
      </c>
      <c r="AL182" s="2">
        <f>IF(Tab_Data_Flows[[#This Row],[Use_E6]]="Yes",Tab_Data_Flows[[#This Row],[E6_Fraction'[%']]]*Tab_Data_Flows[[#This Row],[E1_value]],"N.A.")</f>
        <v>0</v>
      </c>
      <c r="AM182" s="2" t="str">
        <f>Tab_Data_Flows[[#This Row],[E1_UoM]]</f>
        <v>Mg</v>
      </c>
    </row>
    <row r="183" spans="1:39" x14ac:dyDescent="0.25">
      <c r="A183" s="4">
        <f t="shared" si="5"/>
        <v>182</v>
      </c>
      <c r="B183" s="2" t="str">
        <f>_xlfn.XLOOKUP(C183,Tab_Def_Flows[Flow_Name],Tab_Def_Flows[Flow_ID],,0,)</f>
        <v>F__</v>
      </c>
      <c r="C183" s="18" t="s">
        <v>5</v>
      </c>
      <c r="D183" s="5" t="str">
        <f>_xlfn.XLOOKUP(C183,Tab_Def_Flows[Flow_Name],Tab_Def_Flows[Use_E1],,0,)</f>
        <v>Yes</v>
      </c>
      <c r="E183" s="5" t="str">
        <f>_xlfn.XLOOKUP(C183,Tab_Def_Flows[Flow_Name],Tab_Def_Flows[Use_E2],,0,)</f>
        <v>Yes</v>
      </c>
      <c r="F183" s="5" t="str">
        <f>_xlfn.XLOOKUP(C183,Tab_Def_Flows[Flow_Name],Tab_Def_Flows[Use_E3],,0,)</f>
        <v>Yes</v>
      </c>
      <c r="G183" s="5" t="str">
        <f>_xlfn.XLOOKUP(C183,Tab_Def_Flows[Flow_Name],Tab_Def_Flows[Use_E4],,0,)</f>
        <v>Yes</v>
      </c>
      <c r="H183" s="5" t="str">
        <f>_xlfn.XLOOKUP(C183,Tab_Def_Flows[Flow_Name],Tab_Def_Flows[Use_E5],,0,)</f>
        <v>Yes</v>
      </c>
      <c r="I183" s="5" t="str">
        <f>_xlfn.XLOOKUP(C183,Tab_Def_Flows[Flow_Name],Tab_Def_Flows[Use_E6],,0,)</f>
        <v>Yes</v>
      </c>
      <c r="J183" s="3"/>
      <c r="K183" s="3"/>
      <c r="L183" s="2" t="str">
        <f>'0_Configuration'!$C$41</f>
        <v>Mg</v>
      </c>
      <c r="M183" s="9"/>
      <c r="N183" s="9"/>
      <c r="O183" s="9"/>
      <c r="P183" s="9"/>
      <c r="Q183" s="18" t="s">
        <v>3</v>
      </c>
      <c r="R183" s="3"/>
      <c r="S183" s="3"/>
      <c r="T183" s="9"/>
      <c r="U183" s="9"/>
      <c r="V183" s="2">
        <f>_xlfn.XLOOKUP(Tab_Data_Flows[[#This Row],[Flow_Name]],Tab_Def_Flows[Flow_Name],Tab_Def_Flows[Flow_E1_Fraction'[%']],"N.A.",0,1)</f>
        <v>0</v>
      </c>
      <c r="W183" s="8">
        <f t="shared" si="4"/>
        <v>0</v>
      </c>
      <c r="X183" s="2" t="str">
        <f>Tab_Data_Flows[[#This Row],[UoM_Source]]</f>
        <v>Mg</v>
      </c>
      <c r="Y183" s="19">
        <f>_xlfn.XLOOKUP(Tab_Data_Flows[[#This Row],[Flow_Name]],Tab_Def_Flows[Flow_Name],Tab_Def_Flows[Flow_E2_Fraction'[%']],"N.A.",0,1)</f>
        <v>0</v>
      </c>
      <c r="Z183" s="2">
        <f>IF(D183="Yes",W183*Tab_Data_Flows[[#This Row],[E2_Fraction'[%']]],"N.A.")</f>
        <v>0</v>
      </c>
      <c r="AA183" s="2" t="str">
        <f>Tab_Data_Flows[[#This Row],[E1_UoM]]</f>
        <v>Mg</v>
      </c>
      <c r="AB183" s="19">
        <f>_xlfn.XLOOKUP(Tab_Data_Flows[[#This Row],[Flow_Name]],Tab_Def_Flows[Flow_Name],Tab_Def_Flows[Flow_E3_Fraction'[%']],"N.A.",0,1)</f>
        <v>0</v>
      </c>
      <c r="AC183" s="2">
        <f>IF(E183="Yes",AB183*Tab_Data_Flows[[#This Row],[E1_value]],"N.A.")</f>
        <v>0</v>
      </c>
      <c r="AD183" s="2" t="str">
        <f>Tab_Data_Flows[[#This Row],[E1_UoM]]</f>
        <v>Mg</v>
      </c>
      <c r="AE183" s="19">
        <f>_xlfn.XLOOKUP(Tab_Data_Flows[[#This Row],[Flow_Name]],Tab_Def_Flows[Flow_Name],Tab_Def_Flows[Flow_E4_Fraction'[%']],"N.A.",0,1)</f>
        <v>0</v>
      </c>
      <c r="AF183" s="2">
        <f>IF(H183="Yes",Tab_Data_Flows[[#This Row],[E4_Fraction'[%']]]*Tab_Data_Flows[[#This Row],[E1_value]],"N.A.")</f>
        <v>0</v>
      </c>
      <c r="AG183" s="2" t="str">
        <f>Tab_Data_Flows[[#This Row],[E1_UoM]]</f>
        <v>Mg</v>
      </c>
      <c r="AH183" s="2">
        <f>_xlfn.XLOOKUP(Tab_Data_Flows[[#This Row],[Flow_Name]],Tab_Def_Flows[Flow_Name],Tab_Def_Flows[Flow_E5_Fraction'[%']],"N.A.",0,1)</f>
        <v>0</v>
      </c>
      <c r="AI183" s="2">
        <f>IF(H183="Yes",Tab_Data_Flows[[#This Row],[E5_Fraction'[%']]]*Tab_Data_Flows[[#This Row],[E1_value]],"N.A.")</f>
        <v>0</v>
      </c>
      <c r="AJ183" s="2" t="str">
        <f>Tab_Data_Flows[[#This Row],[E1_UoM]]</f>
        <v>Mg</v>
      </c>
      <c r="AK183" s="19">
        <f>_xlfn.XLOOKUP(Tab_Data_Flows[[#This Row],[Flow_Name]],Tab_Def_Flows[Flow_Name],Tab_Def_Flows[Flow_E6_Fraction'[%']],"N.A.",0,1)</f>
        <v>0</v>
      </c>
      <c r="AL183" s="2">
        <f>IF(Tab_Data_Flows[[#This Row],[Use_E6]]="Yes",Tab_Data_Flows[[#This Row],[E6_Fraction'[%']]]*Tab_Data_Flows[[#This Row],[E1_value]],"N.A.")</f>
        <v>0</v>
      </c>
      <c r="AM183" s="2" t="str">
        <f>Tab_Data_Flows[[#This Row],[E1_UoM]]</f>
        <v>Mg</v>
      </c>
    </row>
    <row r="184" spans="1:39" x14ac:dyDescent="0.25">
      <c r="A184" s="4">
        <f t="shared" si="5"/>
        <v>183</v>
      </c>
      <c r="B184" s="2" t="str">
        <f>_xlfn.XLOOKUP(C184,Tab_Def_Flows[Flow_Name],Tab_Def_Flows[Flow_ID],,0,)</f>
        <v>F__</v>
      </c>
      <c r="C184" s="18" t="s">
        <v>5</v>
      </c>
      <c r="D184" s="5" t="str">
        <f>_xlfn.XLOOKUP(C184,Tab_Def_Flows[Flow_Name],Tab_Def_Flows[Use_E1],,0,)</f>
        <v>Yes</v>
      </c>
      <c r="E184" s="5" t="str">
        <f>_xlfn.XLOOKUP(C184,Tab_Def_Flows[Flow_Name],Tab_Def_Flows[Use_E2],,0,)</f>
        <v>Yes</v>
      </c>
      <c r="F184" s="5" t="str">
        <f>_xlfn.XLOOKUP(C184,Tab_Def_Flows[Flow_Name],Tab_Def_Flows[Use_E3],,0,)</f>
        <v>Yes</v>
      </c>
      <c r="G184" s="5" t="str">
        <f>_xlfn.XLOOKUP(C184,Tab_Def_Flows[Flow_Name],Tab_Def_Flows[Use_E4],,0,)</f>
        <v>Yes</v>
      </c>
      <c r="H184" s="5" t="str">
        <f>_xlfn.XLOOKUP(C184,Tab_Def_Flows[Flow_Name],Tab_Def_Flows[Use_E5],,0,)</f>
        <v>Yes</v>
      </c>
      <c r="I184" s="5" t="str">
        <f>_xlfn.XLOOKUP(C184,Tab_Def_Flows[Flow_Name],Tab_Def_Flows[Use_E6],,0,)</f>
        <v>Yes</v>
      </c>
      <c r="J184" s="3"/>
      <c r="K184" s="3"/>
      <c r="L184" s="2" t="str">
        <f>'0_Configuration'!$C$41</f>
        <v>Mg</v>
      </c>
      <c r="M184" s="9"/>
      <c r="N184" s="9"/>
      <c r="O184" s="9"/>
      <c r="P184" s="9"/>
      <c r="Q184" s="18" t="s">
        <v>3</v>
      </c>
      <c r="R184" s="3"/>
      <c r="S184" s="3"/>
      <c r="T184" s="9"/>
      <c r="U184" s="9"/>
      <c r="V184" s="2">
        <f>_xlfn.XLOOKUP(Tab_Data_Flows[[#This Row],[Flow_Name]],Tab_Def_Flows[Flow_Name],Tab_Def_Flows[Flow_E1_Fraction'[%']],"N.A.",0,1)</f>
        <v>0</v>
      </c>
      <c r="W184" s="8">
        <f t="shared" si="4"/>
        <v>0</v>
      </c>
      <c r="X184" s="2" t="str">
        <f>Tab_Data_Flows[[#This Row],[UoM_Source]]</f>
        <v>Mg</v>
      </c>
      <c r="Y184" s="19">
        <f>_xlfn.XLOOKUP(Tab_Data_Flows[[#This Row],[Flow_Name]],Tab_Def_Flows[Flow_Name],Tab_Def_Flows[Flow_E2_Fraction'[%']],"N.A.",0,1)</f>
        <v>0</v>
      </c>
      <c r="Z184" s="2">
        <f>IF(D184="Yes",W184*Tab_Data_Flows[[#This Row],[E2_Fraction'[%']]],"N.A.")</f>
        <v>0</v>
      </c>
      <c r="AA184" s="2" t="str">
        <f>Tab_Data_Flows[[#This Row],[E1_UoM]]</f>
        <v>Mg</v>
      </c>
      <c r="AB184" s="19">
        <f>_xlfn.XLOOKUP(Tab_Data_Flows[[#This Row],[Flow_Name]],Tab_Def_Flows[Flow_Name],Tab_Def_Flows[Flow_E3_Fraction'[%']],"N.A.",0,1)</f>
        <v>0</v>
      </c>
      <c r="AC184" s="2">
        <f>IF(E184="Yes",AB184*Tab_Data_Flows[[#This Row],[E1_value]],"N.A.")</f>
        <v>0</v>
      </c>
      <c r="AD184" s="2" t="str">
        <f>Tab_Data_Flows[[#This Row],[E1_UoM]]</f>
        <v>Mg</v>
      </c>
      <c r="AE184" s="19">
        <f>_xlfn.XLOOKUP(Tab_Data_Flows[[#This Row],[Flow_Name]],Tab_Def_Flows[Flow_Name],Tab_Def_Flows[Flow_E4_Fraction'[%']],"N.A.",0,1)</f>
        <v>0</v>
      </c>
      <c r="AF184" s="2">
        <f>IF(H184="Yes",Tab_Data_Flows[[#This Row],[E4_Fraction'[%']]]*Tab_Data_Flows[[#This Row],[E1_value]],"N.A.")</f>
        <v>0</v>
      </c>
      <c r="AG184" s="2" t="str">
        <f>Tab_Data_Flows[[#This Row],[E1_UoM]]</f>
        <v>Mg</v>
      </c>
      <c r="AH184" s="2">
        <f>_xlfn.XLOOKUP(Tab_Data_Flows[[#This Row],[Flow_Name]],Tab_Def_Flows[Flow_Name],Tab_Def_Flows[Flow_E5_Fraction'[%']],"N.A.",0,1)</f>
        <v>0</v>
      </c>
      <c r="AI184" s="2">
        <f>IF(H184="Yes",Tab_Data_Flows[[#This Row],[E5_Fraction'[%']]]*Tab_Data_Flows[[#This Row],[E1_value]],"N.A.")</f>
        <v>0</v>
      </c>
      <c r="AJ184" s="2" t="str">
        <f>Tab_Data_Flows[[#This Row],[E1_UoM]]</f>
        <v>Mg</v>
      </c>
      <c r="AK184" s="19">
        <f>_xlfn.XLOOKUP(Tab_Data_Flows[[#This Row],[Flow_Name]],Tab_Def_Flows[Flow_Name],Tab_Def_Flows[Flow_E6_Fraction'[%']],"N.A.",0,1)</f>
        <v>0</v>
      </c>
      <c r="AL184" s="2">
        <f>IF(Tab_Data_Flows[[#This Row],[Use_E6]]="Yes",Tab_Data_Flows[[#This Row],[E6_Fraction'[%']]]*Tab_Data_Flows[[#This Row],[E1_value]],"N.A.")</f>
        <v>0</v>
      </c>
      <c r="AM184" s="2" t="str">
        <f>Tab_Data_Flows[[#This Row],[E1_UoM]]</f>
        <v>Mg</v>
      </c>
    </row>
    <row r="185" spans="1:39" x14ac:dyDescent="0.25">
      <c r="A185" s="4">
        <f t="shared" si="5"/>
        <v>184</v>
      </c>
      <c r="B185" s="2" t="str">
        <f>_xlfn.XLOOKUP(C185,Tab_Def_Flows[Flow_Name],Tab_Def_Flows[Flow_ID],,0,)</f>
        <v>F__</v>
      </c>
      <c r="C185" s="18" t="s">
        <v>5</v>
      </c>
      <c r="D185" s="5" t="str">
        <f>_xlfn.XLOOKUP(C185,Tab_Def_Flows[Flow_Name],Tab_Def_Flows[Use_E1],,0,)</f>
        <v>Yes</v>
      </c>
      <c r="E185" s="5" t="str">
        <f>_xlfn.XLOOKUP(C185,Tab_Def_Flows[Flow_Name],Tab_Def_Flows[Use_E2],,0,)</f>
        <v>Yes</v>
      </c>
      <c r="F185" s="5" t="str">
        <f>_xlfn.XLOOKUP(C185,Tab_Def_Flows[Flow_Name],Tab_Def_Flows[Use_E3],,0,)</f>
        <v>Yes</v>
      </c>
      <c r="G185" s="5" t="str">
        <f>_xlfn.XLOOKUP(C185,Tab_Def_Flows[Flow_Name],Tab_Def_Flows[Use_E4],,0,)</f>
        <v>Yes</v>
      </c>
      <c r="H185" s="5" t="str">
        <f>_xlfn.XLOOKUP(C185,Tab_Def_Flows[Flow_Name],Tab_Def_Flows[Use_E5],,0,)</f>
        <v>Yes</v>
      </c>
      <c r="I185" s="5" t="str">
        <f>_xlfn.XLOOKUP(C185,Tab_Def_Flows[Flow_Name],Tab_Def_Flows[Use_E6],,0,)</f>
        <v>Yes</v>
      </c>
      <c r="J185" s="3"/>
      <c r="K185" s="3"/>
      <c r="L185" s="2" t="str">
        <f>'0_Configuration'!$C$41</f>
        <v>Mg</v>
      </c>
      <c r="M185" s="9"/>
      <c r="N185" s="9"/>
      <c r="O185" s="9"/>
      <c r="P185" s="9"/>
      <c r="Q185" s="18" t="s">
        <v>3</v>
      </c>
      <c r="R185" s="3"/>
      <c r="S185" s="3"/>
      <c r="T185" s="9"/>
      <c r="U185" s="9"/>
      <c r="V185" s="2">
        <f>_xlfn.XLOOKUP(Tab_Data_Flows[[#This Row],[Flow_Name]],Tab_Def_Flows[Flow_Name],Tab_Def_Flows[Flow_E1_Fraction'[%']],"N.A.",0,1)</f>
        <v>0</v>
      </c>
      <c r="W185" s="8">
        <f t="shared" si="4"/>
        <v>0</v>
      </c>
      <c r="X185" s="2" t="str">
        <f>Tab_Data_Flows[[#This Row],[UoM_Source]]</f>
        <v>Mg</v>
      </c>
      <c r="Y185" s="19">
        <f>_xlfn.XLOOKUP(Tab_Data_Flows[[#This Row],[Flow_Name]],Tab_Def_Flows[Flow_Name],Tab_Def_Flows[Flow_E2_Fraction'[%']],"N.A.",0,1)</f>
        <v>0</v>
      </c>
      <c r="Z185" s="2">
        <f>IF(D185="Yes",W185*Tab_Data_Flows[[#This Row],[E2_Fraction'[%']]],"N.A.")</f>
        <v>0</v>
      </c>
      <c r="AA185" s="2" t="str">
        <f>Tab_Data_Flows[[#This Row],[E1_UoM]]</f>
        <v>Mg</v>
      </c>
      <c r="AB185" s="19">
        <f>_xlfn.XLOOKUP(Tab_Data_Flows[[#This Row],[Flow_Name]],Tab_Def_Flows[Flow_Name],Tab_Def_Flows[Flow_E3_Fraction'[%']],"N.A.",0,1)</f>
        <v>0</v>
      </c>
      <c r="AC185" s="2">
        <f>IF(E185="Yes",AB185*Tab_Data_Flows[[#This Row],[E1_value]],"N.A.")</f>
        <v>0</v>
      </c>
      <c r="AD185" s="2" t="str">
        <f>Tab_Data_Flows[[#This Row],[E1_UoM]]</f>
        <v>Mg</v>
      </c>
      <c r="AE185" s="19">
        <f>_xlfn.XLOOKUP(Tab_Data_Flows[[#This Row],[Flow_Name]],Tab_Def_Flows[Flow_Name],Tab_Def_Flows[Flow_E4_Fraction'[%']],"N.A.",0,1)</f>
        <v>0</v>
      </c>
      <c r="AF185" s="2">
        <f>IF(H185="Yes",Tab_Data_Flows[[#This Row],[E4_Fraction'[%']]]*Tab_Data_Flows[[#This Row],[E1_value]],"N.A.")</f>
        <v>0</v>
      </c>
      <c r="AG185" s="2" t="str">
        <f>Tab_Data_Flows[[#This Row],[E1_UoM]]</f>
        <v>Mg</v>
      </c>
      <c r="AH185" s="2">
        <f>_xlfn.XLOOKUP(Tab_Data_Flows[[#This Row],[Flow_Name]],Tab_Def_Flows[Flow_Name],Tab_Def_Flows[Flow_E5_Fraction'[%']],"N.A.",0,1)</f>
        <v>0</v>
      </c>
      <c r="AI185" s="2">
        <f>IF(H185="Yes",Tab_Data_Flows[[#This Row],[E5_Fraction'[%']]]*Tab_Data_Flows[[#This Row],[E1_value]],"N.A.")</f>
        <v>0</v>
      </c>
      <c r="AJ185" s="2" t="str">
        <f>Tab_Data_Flows[[#This Row],[E1_UoM]]</f>
        <v>Mg</v>
      </c>
      <c r="AK185" s="19">
        <f>_xlfn.XLOOKUP(Tab_Data_Flows[[#This Row],[Flow_Name]],Tab_Def_Flows[Flow_Name],Tab_Def_Flows[Flow_E6_Fraction'[%']],"N.A.",0,1)</f>
        <v>0</v>
      </c>
      <c r="AL185" s="2">
        <f>IF(Tab_Data_Flows[[#This Row],[Use_E6]]="Yes",Tab_Data_Flows[[#This Row],[E6_Fraction'[%']]]*Tab_Data_Flows[[#This Row],[E1_value]],"N.A.")</f>
        <v>0</v>
      </c>
      <c r="AM185" s="2" t="str">
        <f>Tab_Data_Flows[[#This Row],[E1_UoM]]</f>
        <v>Mg</v>
      </c>
    </row>
    <row r="186" spans="1:39" x14ac:dyDescent="0.25">
      <c r="A186" s="4">
        <f t="shared" si="5"/>
        <v>185</v>
      </c>
      <c r="B186" s="2" t="str">
        <f>_xlfn.XLOOKUP(C186,Tab_Def_Flows[Flow_Name],Tab_Def_Flows[Flow_ID],,0,)</f>
        <v>F__</v>
      </c>
      <c r="C186" s="18" t="s">
        <v>5</v>
      </c>
      <c r="D186" s="5" t="str">
        <f>_xlfn.XLOOKUP(C186,Tab_Def_Flows[Flow_Name],Tab_Def_Flows[Use_E1],,0,)</f>
        <v>Yes</v>
      </c>
      <c r="E186" s="5" t="str">
        <f>_xlfn.XLOOKUP(C186,Tab_Def_Flows[Flow_Name],Tab_Def_Flows[Use_E2],,0,)</f>
        <v>Yes</v>
      </c>
      <c r="F186" s="5" t="str">
        <f>_xlfn.XLOOKUP(C186,Tab_Def_Flows[Flow_Name],Tab_Def_Flows[Use_E3],,0,)</f>
        <v>Yes</v>
      </c>
      <c r="G186" s="5" t="str">
        <f>_xlfn.XLOOKUP(C186,Tab_Def_Flows[Flow_Name],Tab_Def_Flows[Use_E4],,0,)</f>
        <v>Yes</v>
      </c>
      <c r="H186" s="5" t="str">
        <f>_xlfn.XLOOKUP(C186,Tab_Def_Flows[Flow_Name],Tab_Def_Flows[Use_E5],,0,)</f>
        <v>Yes</v>
      </c>
      <c r="I186" s="5" t="str">
        <f>_xlfn.XLOOKUP(C186,Tab_Def_Flows[Flow_Name],Tab_Def_Flows[Use_E6],,0,)</f>
        <v>Yes</v>
      </c>
      <c r="J186" s="3"/>
      <c r="K186" s="3"/>
      <c r="L186" s="2" t="str">
        <f>'0_Configuration'!$C$41</f>
        <v>Mg</v>
      </c>
      <c r="M186" s="9"/>
      <c r="N186" s="9"/>
      <c r="O186" s="9"/>
      <c r="P186" s="9"/>
      <c r="Q186" s="18" t="s">
        <v>3</v>
      </c>
      <c r="R186" s="3"/>
      <c r="S186" s="3"/>
      <c r="T186" s="9"/>
      <c r="U186" s="9"/>
      <c r="V186" s="2">
        <f>_xlfn.XLOOKUP(Tab_Data_Flows[[#This Row],[Flow_Name]],Tab_Def_Flows[Flow_Name],Tab_Def_Flows[Flow_E1_Fraction'[%']],"N.A.",0,1)</f>
        <v>0</v>
      </c>
      <c r="W186" s="8">
        <f t="shared" si="4"/>
        <v>0</v>
      </c>
      <c r="X186" s="2" t="str">
        <f>Tab_Data_Flows[[#This Row],[UoM_Source]]</f>
        <v>Mg</v>
      </c>
      <c r="Y186" s="19">
        <f>_xlfn.XLOOKUP(Tab_Data_Flows[[#This Row],[Flow_Name]],Tab_Def_Flows[Flow_Name],Tab_Def_Flows[Flow_E2_Fraction'[%']],"N.A.",0,1)</f>
        <v>0</v>
      </c>
      <c r="Z186" s="2">
        <f>IF(D186="Yes",W186*Tab_Data_Flows[[#This Row],[E2_Fraction'[%']]],"N.A.")</f>
        <v>0</v>
      </c>
      <c r="AA186" s="2" t="str">
        <f>Tab_Data_Flows[[#This Row],[E1_UoM]]</f>
        <v>Mg</v>
      </c>
      <c r="AB186" s="19">
        <f>_xlfn.XLOOKUP(Tab_Data_Flows[[#This Row],[Flow_Name]],Tab_Def_Flows[Flow_Name],Tab_Def_Flows[Flow_E3_Fraction'[%']],"N.A.",0,1)</f>
        <v>0</v>
      </c>
      <c r="AC186" s="2">
        <f>IF(E186="Yes",AB186*Tab_Data_Flows[[#This Row],[E1_value]],"N.A.")</f>
        <v>0</v>
      </c>
      <c r="AD186" s="2" t="str">
        <f>Tab_Data_Flows[[#This Row],[E1_UoM]]</f>
        <v>Mg</v>
      </c>
      <c r="AE186" s="19">
        <f>_xlfn.XLOOKUP(Tab_Data_Flows[[#This Row],[Flow_Name]],Tab_Def_Flows[Flow_Name],Tab_Def_Flows[Flow_E4_Fraction'[%']],"N.A.",0,1)</f>
        <v>0</v>
      </c>
      <c r="AF186" s="2">
        <f>IF(H186="Yes",Tab_Data_Flows[[#This Row],[E4_Fraction'[%']]]*Tab_Data_Flows[[#This Row],[E1_value]],"N.A.")</f>
        <v>0</v>
      </c>
      <c r="AG186" s="2" t="str">
        <f>Tab_Data_Flows[[#This Row],[E1_UoM]]</f>
        <v>Mg</v>
      </c>
      <c r="AH186" s="2">
        <f>_xlfn.XLOOKUP(Tab_Data_Flows[[#This Row],[Flow_Name]],Tab_Def_Flows[Flow_Name],Tab_Def_Flows[Flow_E5_Fraction'[%']],"N.A.",0,1)</f>
        <v>0</v>
      </c>
      <c r="AI186" s="2">
        <f>IF(H186="Yes",Tab_Data_Flows[[#This Row],[E5_Fraction'[%']]]*Tab_Data_Flows[[#This Row],[E1_value]],"N.A.")</f>
        <v>0</v>
      </c>
      <c r="AJ186" s="2" t="str">
        <f>Tab_Data_Flows[[#This Row],[E1_UoM]]</f>
        <v>Mg</v>
      </c>
      <c r="AK186" s="19">
        <f>_xlfn.XLOOKUP(Tab_Data_Flows[[#This Row],[Flow_Name]],Tab_Def_Flows[Flow_Name],Tab_Def_Flows[Flow_E6_Fraction'[%']],"N.A.",0,1)</f>
        <v>0</v>
      </c>
      <c r="AL186" s="2">
        <f>IF(Tab_Data_Flows[[#This Row],[Use_E6]]="Yes",Tab_Data_Flows[[#This Row],[E6_Fraction'[%']]]*Tab_Data_Flows[[#This Row],[E1_value]],"N.A.")</f>
        <v>0</v>
      </c>
      <c r="AM186" s="2" t="str">
        <f>Tab_Data_Flows[[#This Row],[E1_UoM]]</f>
        <v>Mg</v>
      </c>
    </row>
    <row r="187" spans="1:39" x14ac:dyDescent="0.25">
      <c r="A187" s="4">
        <f t="shared" si="5"/>
        <v>186</v>
      </c>
      <c r="B187" s="2" t="str">
        <f>_xlfn.XLOOKUP(C187,Tab_Def_Flows[Flow_Name],Tab_Def_Flows[Flow_ID],,0,)</f>
        <v>F__</v>
      </c>
      <c r="C187" s="18" t="s">
        <v>5</v>
      </c>
      <c r="D187" s="5" t="str">
        <f>_xlfn.XLOOKUP(C187,Tab_Def_Flows[Flow_Name],Tab_Def_Flows[Use_E1],,0,)</f>
        <v>Yes</v>
      </c>
      <c r="E187" s="5" t="str">
        <f>_xlfn.XLOOKUP(C187,Tab_Def_Flows[Flow_Name],Tab_Def_Flows[Use_E2],,0,)</f>
        <v>Yes</v>
      </c>
      <c r="F187" s="5" t="str">
        <f>_xlfn.XLOOKUP(C187,Tab_Def_Flows[Flow_Name],Tab_Def_Flows[Use_E3],,0,)</f>
        <v>Yes</v>
      </c>
      <c r="G187" s="5" t="str">
        <f>_xlfn.XLOOKUP(C187,Tab_Def_Flows[Flow_Name],Tab_Def_Flows[Use_E4],,0,)</f>
        <v>Yes</v>
      </c>
      <c r="H187" s="5" t="str">
        <f>_xlfn.XLOOKUP(C187,Tab_Def_Flows[Flow_Name],Tab_Def_Flows[Use_E5],,0,)</f>
        <v>Yes</v>
      </c>
      <c r="I187" s="5" t="str">
        <f>_xlfn.XLOOKUP(C187,Tab_Def_Flows[Flow_Name],Tab_Def_Flows[Use_E6],,0,)</f>
        <v>Yes</v>
      </c>
      <c r="J187" s="3"/>
      <c r="K187" s="3"/>
      <c r="L187" s="2" t="str">
        <f>'0_Configuration'!$C$41</f>
        <v>Mg</v>
      </c>
      <c r="M187" s="9"/>
      <c r="N187" s="9"/>
      <c r="O187" s="9"/>
      <c r="P187" s="9"/>
      <c r="Q187" s="18" t="s">
        <v>3</v>
      </c>
      <c r="R187" s="3"/>
      <c r="S187" s="3"/>
      <c r="T187" s="9"/>
      <c r="U187" s="9"/>
      <c r="V187" s="2">
        <f>_xlfn.XLOOKUP(Tab_Data_Flows[[#This Row],[Flow_Name]],Tab_Def_Flows[Flow_Name],Tab_Def_Flows[Flow_E1_Fraction'[%']],"N.A.",0,1)</f>
        <v>0</v>
      </c>
      <c r="W187" s="8">
        <f t="shared" si="4"/>
        <v>0</v>
      </c>
      <c r="X187" s="2" t="str">
        <f>Tab_Data_Flows[[#This Row],[UoM_Source]]</f>
        <v>Mg</v>
      </c>
      <c r="Y187" s="19">
        <f>_xlfn.XLOOKUP(Tab_Data_Flows[[#This Row],[Flow_Name]],Tab_Def_Flows[Flow_Name],Tab_Def_Flows[Flow_E2_Fraction'[%']],"N.A.",0,1)</f>
        <v>0</v>
      </c>
      <c r="Z187" s="2">
        <f>IF(D187="Yes",W187*Tab_Data_Flows[[#This Row],[E2_Fraction'[%']]],"N.A.")</f>
        <v>0</v>
      </c>
      <c r="AA187" s="2" t="str">
        <f>Tab_Data_Flows[[#This Row],[E1_UoM]]</f>
        <v>Mg</v>
      </c>
      <c r="AB187" s="19">
        <f>_xlfn.XLOOKUP(Tab_Data_Flows[[#This Row],[Flow_Name]],Tab_Def_Flows[Flow_Name],Tab_Def_Flows[Flow_E3_Fraction'[%']],"N.A.",0,1)</f>
        <v>0</v>
      </c>
      <c r="AC187" s="2">
        <f>IF(E187="Yes",AB187*Tab_Data_Flows[[#This Row],[E1_value]],"N.A.")</f>
        <v>0</v>
      </c>
      <c r="AD187" s="2" t="str">
        <f>Tab_Data_Flows[[#This Row],[E1_UoM]]</f>
        <v>Mg</v>
      </c>
      <c r="AE187" s="19">
        <f>_xlfn.XLOOKUP(Tab_Data_Flows[[#This Row],[Flow_Name]],Tab_Def_Flows[Flow_Name],Tab_Def_Flows[Flow_E4_Fraction'[%']],"N.A.",0,1)</f>
        <v>0</v>
      </c>
      <c r="AF187" s="2">
        <f>IF(H187="Yes",Tab_Data_Flows[[#This Row],[E4_Fraction'[%']]]*Tab_Data_Flows[[#This Row],[E1_value]],"N.A.")</f>
        <v>0</v>
      </c>
      <c r="AG187" s="2" t="str">
        <f>Tab_Data_Flows[[#This Row],[E1_UoM]]</f>
        <v>Mg</v>
      </c>
      <c r="AH187" s="2">
        <f>_xlfn.XLOOKUP(Tab_Data_Flows[[#This Row],[Flow_Name]],Tab_Def_Flows[Flow_Name],Tab_Def_Flows[Flow_E5_Fraction'[%']],"N.A.",0,1)</f>
        <v>0</v>
      </c>
      <c r="AI187" s="2">
        <f>IF(H187="Yes",Tab_Data_Flows[[#This Row],[E5_Fraction'[%']]]*Tab_Data_Flows[[#This Row],[E1_value]],"N.A.")</f>
        <v>0</v>
      </c>
      <c r="AJ187" s="2" t="str">
        <f>Tab_Data_Flows[[#This Row],[E1_UoM]]</f>
        <v>Mg</v>
      </c>
      <c r="AK187" s="19">
        <f>_xlfn.XLOOKUP(Tab_Data_Flows[[#This Row],[Flow_Name]],Tab_Def_Flows[Flow_Name],Tab_Def_Flows[Flow_E6_Fraction'[%']],"N.A.",0,1)</f>
        <v>0</v>
      </c>
      <c r="AL187" s="2">
        <f>IF(Tab_Data_Flows[[#This Row],[Use_E6]]="Yes",Tab_Data_Flows[[#This Row],[E6_Fraction'[%']]]*Tab_Data_Flows[[#This Row],[E1_value]],"N.A.")</f>
        <v>0</v>
      </c>
      <c r="AM187" s="2" t="str">
        <f>Tab_Data_Flows[[#This Row],[E1_UoM]]</f>
        <v>Mg</v>
      </c>
    </row>
    <row r="188" spans="1:39" x14ac:dyDescent="0.25">
      <c r="A188" s="4">
        <f t="shared" si="5"/>
        <v>187</v>
      </c>
      <c r="B188" s="2" t="str">
        <f>_xlfn.XLOOKUP(C188,Tab_Def_Flows[Flow_Name],Tab_Def_Flows[Flow_ID],,0,)</f>
        <v>F__</v>
      </c>
      <c r="C188" s="18" t="s">
        <v>5</v>
      </c>
      <c r="D188" s="5" t="str">
        <f>_xlfn.XLOOKUP(C188,Tab_Def_Flows[Flow_Name],Tab_Def_Flows[Use_E1],,0,)</f>
        <v>Yes</v>
      </c>
      <c r="E188" s="5" t="str">
        <f>_xlfn.XLOOKUP(C188,Tab_Def_Flows[Flow_Name],Tab_Def_Flows[Use_E2],,0,)</f>
        <v>Yes</v>
      </c>
      <c r="F188" s="5" t="str">
        <f>_xlfn.XLOOKUP(C188,Tab_Def_Flows[Flow_Name],Tab_Def_Flows[Use_E3],,0,)</f>
        <v>Yes</v>
      </c>
      <c r="G188" s="5" t="str">
        <f>_xlfn.XLOOKUP(C188,Tab_Def_Flows[Flow_Name],Tab_Def_Flows[Use_E4],,0,)</f>
        <v>Yes</v>
      </c>
      <c r="H188" s="5" t="str">
        <f>_xlfn.XLOOKUP(C188,Tab_Def_Flows[Flow_Name],Tab_Def_Flows[Use_E5],,0,)</f>
        <v>Yes</v>
      </c>
      <c r="I188" s="5" t="str">
        <f>_xlfn.XLOOKUP(C188,Tab_Def_Flows[Flow_Name],Tab_Def_Flows[Use_E6],,0,)</f>
        <v>Yes</v>
      </c>
      <c r="J188" s="3"/>
      <c r="K188" s="3"/>
      <c r="L188" s="2" t="str">
        <f>'0_Configuration'!$C$41</f>
        <v>Mg</v>
      </c>
      <c r="M188" s="9"/>
      <c r="N188" s="9"/>
      <c r="O188" s="9"/>
      <c r="P188" s="9"/>
      <c r="Q188" s="18" t="s">
        <v>3</v>
      </c>
      <c r="R188" s="3"/>
      <c r="S188" s="3"/>
      <c r="T188" s="9"/>
      <c r="U188" s="9"/>
      <c r="V188" s="2">
        <f>_xlfn.XLOOKUP(Tab_Data_Flows[[#This Row],[Flow_Name]],Tab_Def_Flows[Flow_Name],Tab_Def_Flows[Flow_E1_Fraction'[%']],"N.A.",0,1)</f>
        <v>0</v>
      </c>
      <c r="W188" s="8">
        <f t="shared" si="4"/>
        <v>0</v>
      </c>
      <c r="X188" s="2" t="str">
        <f>Tab_Data_Flows[[#This Row],[UoM_Source]]</f>
        <v>Mg</v>
      </c>
      <c r="Y188" s="19">
        <f>_xlfn.XLOOKUP(Tab_Data_Flows[[#This Row],[Flow_Name]],Tab_Def_Flows[Flow_Name],Tab_Def_Flows[Flow_E2_Fraction'[%']],"N.A.",0,1)</f>
        <v>0</v>
      </c>
      <c r="Z188" s="2">
        <f>IF(D188="Yes",W188*Tab_Data_Flows[[#This Row],[E2_Fraction'[%']]],"N.A.")</f>
        <v>0</v>
      </c>
      <c r="AA188" s="2" t="str">
        <f>Tab_Data_Flows[[#This Row],[E1_UoM]]</f>
        <v>Mg</v>
      </c>
      <c r="AB188" s="19">
        <f>_xlfn.XLOOKUP(Tab_Data_Flows[[#This Row],[Flow_Name]],Tab_Def_Flows[Flow_Name],Tab_Def_Flows[Flow_E3_Fraction'[%']],"N.A.",0,1)</f>
        <v>0</v>
      </c>
      <c r="AC188" s="2">
        <f>IF(E188="Yes",AB188*Tab_Data_Flows[[#This Row],[E1_value]],"N.A.")</f>
        <v>0</v>
      </c>
      <c r="AD188" s="2" t="str">
        <f>Tab_Data_Flows[[#This Row],[E1_UoM]]</f>
        <v>Mg</v>
      </c>
      <c r="AE188" s="19">
        <f>_xlfn.XLOOKUP(Tab_Data_Flows[[#This Row],[Flow_Name]],Tab_Def_Flows[Flow_Name],Tab_Def_Flows[Flow_E4_Fraction'[%']],"N.A.",0,1)</f>
        <v>0</v>
      </c>
      <c r="AF188" s="2">
        <f>IF(H188="Yes",Tab_Data_Flows[[#This Row],[E4_Fraction'[%']]]*Tab_Data_Flows[[#This Row],[E1_value]],"N.A.")</f>
        <v>0</v>
      </c>
      <c r="AG188" s="2" t="str">
        <f>Tab_Data_Flows[[#This Row],[E1_UoM]]</f>
        <v>Mg</v>
      </c>
      <c r="AH188" s="2">
        <f>_xlfn.XLOOKUP(Tab_Data_Flows[[#This Row],[Flow_Name]],Tab_Def_Flows[Flow_Name],Tab_Def_Flows[Flow_E5_Fraction'[%']],"N.A.",0,1)</f>
        <v>0</v>
      </c>
      <c r="AI188" s="2">
        <f>IF(H188="Yes",Tab_Data_Flows[[#This Row],[E5_Fraction'[%']]]*Tab_Data_Flows[[#This Row],[E1_value]],"N.A.")</f>
        <v>0</v>
      </c>
      <c r="AJ188" s="2" t="str">
        <f>Tab_Data_Flows[[#This Row],[E1_UoM]]</f>
        <v>Mg</v>
      </c>
      <c r="AK188" s="19">
        <f>_xlfn.XLOOKUP(Tab_Data_Flows[[#This Row],[Flow_Name]],Tab_Def_Flows[Flow_Name],Tab_Def_Flows[Flow_E6_Fraction'[%']],"N.A.",0,1)</f>
        <v>0</v>
      </c>
      <c r="AL188" s="2">
        <f>IF(Tab_Data_Flows[[#This Row],[Use_E6]]="Yes",Tab_Data_Flows[[#This Row],[E6_Fraction'[%']]]*Tab_Data_Flows[[#This Row],[E1_value]],"N.A.")</f>
        <v>0</v>
      </c>
      <c r="AM188" s="2" t="str">
        <f>Tab_Data_Flows[[#This Row],[E1_UoM]]</f>
        <v>Mg</v>
      </c>
    </row>
    <row r="189" spans="1:39" x14ac:dyDescent="0.25">
      <c r="A189" s="4">
        <f t="shared" si="5"/>
        <v>188</v>
      </c>
      <c r="B189" s="2" t="str">
        <f>_xlfn.XLOOKUP(C189,Tab_Def_Flows[Flow_Name],Tab_Def_Flows[Flow_ID],,0,)</f>
        <v>F__</v>
      </c>
      <c r="C189" s="18" t="s">
        <v>5</v>
      </c>
      <c r="D189" s="5" t="str">
        <f>_xlfn.XLOOKUP(C189,Tab_Def_Flows[Flow_Name],Tab_Def_Flows[Use_E1],,0,)</f>
        <v>Yes</v>
      </c>
      <c r="E189" s="5" t="str">
        <f>_xlfn.XLOOKUP(C189,Tab_Def_Flows[Flow_Name],Tab_Def_Flows[Use_E2],,0,)</f>
        <v>Yes</v>
      </c>
      <c r="F189" s="5" t="str">
        <f>_xlfn.XLOOKUP(C189,Tab_Def_Flows[Flow_Name],Tab_Def_Flows[Use_E3],,0,)</f>
        <v>Yes</v>
      </c>
      <c r="G189" s="5" t="str">
        <f>_xlfn.XLOOKUP(C189,Tab_Def_Flows[Flow_Name],Tab_Def_Flows[Use_E4],,0,)</f>
        <v>Yes</v>
      </c>
      <c r="H189" s="5" t="str">
        <f>_xlfn.XLOOKUP(C189,Tab_Def_Flows[Flow_Name],Tab_Def_Flows[Use_E5],,0,)</f>
        <v>Yes</v>
      </c>
      <c r="I189" s="5" t="str">
        <f>_xlfn.XLOOKUP(C189,Tab_Def_Flows[Flow_Name],Tab_Def_Flows[Use_E6],,0,)</f>
        <v>Yes</v>
      </c>
      <c r="J189" s="3"/>
      <c r="K189" s="3"/>
      <c r="L189" s="2" t="str">
        <f>'0_Configuration'!$C$41</f>
        <v>Mg</v>
      </c>
      <c r="M189" s="9"/>
      <c r="N189" s="9"/>
      <c r="O189" s="9"/>
      <c r="P189" s="9"/>
      <c r="Q189" s="18" t="s">
        <v>3</v>
      </c>
      <c r="R189" s="3"/>
      <c r="S189" s="3"/>
      <c r="T189" s="9"/>
      <c r="U189" s="9"/>
      <c r="V189" s="2">
        <f>_xlfn.XLOOKUP(Tab_Data_Flows[[#This Row],[Flow_Name]],Tab_Def_Flows[Flow_Name],Tab_Def_Flows[Flow_E1_Fraction'[%']],"N.A.",0,1)</f>
        <v>0</v>
      </c>
      <c r="W189" s="8">
        <f t="shared" si="4"/>
        <v>0</v>
      </c>
      <c r="X189" s="2" t="str">
        <f>Tab_Data_Flows[[#This Row],[UoM_Source]]</f>
        <v>Mg</v>
      </c>
      <c r="Y189" s="19">
        <f>_xlfn.XLOOKUP(Tab_Data_Flows[[#This Row],[Flow_Name]],Tab_Def_Flows[Flow_Name],Tab_Def_Flows[Flow_E2_Fraction'[%']],"N.A.",0,1)</f>
        <v>0</v>
      </c>
      <c r="Z189" s="2">
        <f>IF(D189="Yes",W189*Tab_Data_Flows[[#This Row],[E2_Fraction'[%']]],"N.A.")</f>
        <v>0</v>
      </c>
      <c r="AA189" s="2" t="str">
        <f>Tab_Data_Flows[[#This Row],[E1_UoM]]</f>
        <v>Mg</v>
      </c>
      <c r="AB189" s="19">
        <f>_xlfn.XLOOKUP(Tab_Data_Flows[[#This Row],[Flow_Name]],Tab_Def_Flows[Flow_Name],Tab_Def_Flows[Flow_E3_Fraction'[%']],"N.A.",0,1)</f>
        <v>0</v>
      </c>
      <c r="AC189" s="2">
        <f>IF(E189="Yes",AB189*Tab_Data_Flows[[#This Row],[E1_value]],"N.A.")</f>
        <v>0</v>
      </c>
      <c r="AD189" s="2" t="str">
        <f>Tab_Data_Flows[[#This Row],[E1_UoM]]</f>
        <v>Mg</v>
      </c>
      <c r="AE189" s="19">
        <f>_xlfn.XLOOKUP(Tab_Data_Flows[[#This Row],[Flow_Name]],Tab_Def_Flows[Flow_Name],Tab_Def_Flows[Flow_E4_Fraction'[%']],"N.A.",0,1)</f>
        <v>0</v>
      </c>
      <c r="AF189" s="2">
        <f>IF(H189="Yes",Tab_Data_Flows[[#This Row],[E4_Fraction'[%']]]*Tab_Data_Flows[[#This Row],[E1_value]],"N.A.")</f>
        <v>0</v>
      </c>
      <c r="AG189" s="2" t="str">
        <f>Tab_Data_Flows[[#This Row],[E1_UoM]]</f>
        <v>Mg</v>
      </c>
      <c r="AH189" s="2">
        <f>_xlfn.XLOOKUP(Tab_Data_Flows[[#This Row],[Flow_Name]],Tab_Def_Flows[Flow_Name],Tab_Def_Flows[Flow_E5_Fraction'[%']],"N.A.",0,1)</f>
        <v>0</v>
      </c>
      <c r="AI189" s="2">
        <f>IF(H189="Yes",Tab_Data_Flows[[#This Row],[E5_Fraction'[%']]]*Tab_Data_Flows[[#This Row],[E1_value]],"N.A.")</f>
        <v>0</v>
      </c>
      <c r="AJ189" s="2" t="str">
        <f>Tab_Data_Flows[[#This Row],[E1_UoM]]</f>
        <v>Mg</v>
      </c>
      <c r="AK189" s="19">
        <f>_xlfn.XLOOKUP(Tab_Data_Flows[[#This Row],[Flow_Name]],Tab_Def_Flows[Flow_Name],Tab_Def_Flows[Flow_E6_Fraction'[%']],"N.A.",0,1)</f>
        <v>0</v>
      </c>
      <c r="AL189" s="2">
        <f>IF(Tab_Data_Flows[[#This Row],[Use_E6]]="Yes",Tab_Data_Flows[[#This Row],[E6_Fraction'[%']]]*Tab_Data_Flows[[#This Row],[E1_value]],"N.A.")</f>
        <v>0</v>
      </c>
      <c r="AM189" s="2" t="str">
        <f>Tab_Data_Flows[[#This Row],[E1_UoM]]</f>
        <v>Mg</v>
      </c>
    </row>
    <row r="190" spans="1:39" x14ac:dyDescent="0.25">
      <c r="A190" s="4">
        <f t="shared" si="5"/>
        <v>189</v>
      </c>
      <c r="B190" s="2" t="str">
        <f>_xlfn.XLOOKUP(C190,Tab_Def_Flows[Flow_Name],Tab_Def_Flows[Flow_ID],,0,)</f>
        <v>F__</v>
      </c>
      <c r="C190" s="18" t="s">
        <v>5</v>
      </c>
      <c r="D190" s="5" t="str">
        <f>_xlfn.XLOOKUP(C190,Tab_Def_Flows[Flow_Name],Tab_Def_Flows[Use_E1],,0,)</f>
        <v>Yes</v>
      </c>
      <c r="E190" s="5" t="str">
        <f>_xlfn.XLOOKUP(C190,Tab_Def_Flows[Flow_Name],Tab_Def_Flows[Use_E2],,0,)</f>
        <v>Yes</v>
      </c>
      <c r="F190" s="5" t="str">
        <f>_xlfn.XLOOKUP(C190,Tab_Def_Flows[Flow_Name],Tab_Def_Flows[Use_E3],,0,)</f>
        <v>Yes</v>
      </c>
      <c r="G190" s="5" t="str">
        <f>_xlfn.XLOOKUP(C190,Tab_Def_Flows[Flow_Name],Tab_Def_Flows[Use_E4],,0,)</f>
        <v>Yes</v>
      </c>
      <c r="H190" s="5" t="str">
        <f>_xlfn.XLOOKUP(C190,Tab_Def_Flows[Flow_Name],Tab_Def_Flows[Use_E5],,0,)</f>
        <v>Yes</v>
      </c>
      <c r="I190" s="5" t="str">
        <f>_xlfn.XLOOKUP(C190,Tab_Def_Flows[Flow_Name],Tab_Def_Flows[Use_E6],,0,)</f>
        <v>Yes</v>
      </c>
      <c r="J190" s="3"/>
      <c r="K190" s="3"/>
      <c r="L190" s="2" t="str">
        <f>'0_Configuration'!$C$41</f>
        <v>Mg</v>
      </c>
      <c r="M190" s="9"/>
      <c r="N190" s="9"/>
      <c r="O190" s="9"/>
      <c r="P190" s="9"/>
      <c r="Q190" s="18" t="s">
        <v>3</v>
      </c>
      <c r="R190" s="3"/>
      <c r="S190" s="3"/>
      <c r="T190" s="9"/>
      <c r="U190" s="9"/>
      <c r="V190" s="2">
        <f>_xlfn.XLOOKUP(Tab_Data_Flows[[#This Row],[Flow_Name]],Tab_Def_Flows[Flow_Name],Tab_Def_Flows[Flow_E1_Fraction'[%']],"N.A.",0,1)</f>
        <v>0</v>
      </c>
      <c r="W190" s="8">
        <f t="shared" si="4"/>
        <v>0</v>
      </c>
      <c r="X190" s="2" t="str">
        <f>Tab_Data_Flows[[#This Row],[UoM_Source]]</f>
        <v>Mg</v>
      </c>
      <c r="Y190" s="19">
        <f>_xlfn.XLOOKUP(Tab_Data_Flows[[#This Row],[Flow_Name]],Tab_Def_Flows[Flow_Name],Tab_Def_Flows[Flow_E2_Fraction'[%']],"N.A.",0,1)</f>
        <v>0</v>
      </c>
      <c r="Z190" s="2">
        <f>IF(D190="Yes",W190*Tab_Data_Flows[[#This Row],[E2_Fraction'[%']]],"N.A.")</f>
        <v>0</v>
      </c>
      <c r="AA190" s="2" t="str">
        <f>Tab_Data_Flows[[#This Row],[E1_UoM]]</f>
        <v>Mg</v>
      </c>
      <c r="AB190" s="19">
        <f>_xlfn.XLOOKUP(Tab_Data_Flows[[#This Row],[Flow_Name]],Tab_Def_Flows[Flow_Name],Tab_Def_Flows[Flow_E3_Fraction'[%']],"N.A.",0,1)</f>
        <v>0</v>
      </c>
      <c r="AC190" s="2">
        <f>IF(E190="Yes",AB190*Tab_Data_Flows[[#This Row],[E1_value]],"N.A.")</f>
        <v>0</v>
      </c>
      <c r="AD190" s="2" t="str">
        <f>Tab_Data_Flows[[#This Row],[E1_UoM]]</f>
        <v>Mg</v>
      </c>
      <c r="AE190" s="19">
        <f>_xlfn.XLOOKUP(Tab_Data_Flows[[#This Row],[Flow_Name]],Tab_Def_Flows[Flow_Name],Tab_Def_Flows[Flow_E4_Fraction'[%']],"N.A.",0,1)</f>
        <v>0</v>
      </c>
      <c r="AF190" s="2">
        <f>IF(H190="Yes",Tab_Data_Flows[[#This Row],[E4_Fraction'[%']]]*Tab_Data_Flows[[#This Row],[E1_value]],"N.A.")</f>
        <v>0</v>
      </c>
      <c r="AG190" s="2" t="str">
        <f>Tab_Data_Flows[[#This Row],[E1_UoM]]</f>
        <v>Mg</v>
      </c>
      <c r="AH190" s="2">
        <f>_xlfn.XLOOKUP(Tab_Data_Flows[[#This Row],[Flow_Name]],Tab_Def_Flows[Flow_Name],Tab_Def_Flows[Flow_E5_Fraction'[%']],"N.A.",0,1)</f>
        <v>0</v>
      </c>
      <c r="AI190" s="2">
        <f>IF(H190="Yes",Tab_Data_Flows[[#This Row],[E5_Fraction'[%']]]*Tab_Data_Flows[[#This Row],[E1_value]],"N.A.")</f>
        <v>0</v>
      </c>
      <c r="AJ190" s="2" t="str">
        <f>Tab_Data_Flows[[#This Row],[E1_UoM]]</f>
        <v>Mg</v>
      </c>
      <c r="AK190" s="19">
        <f>_xlfn.XLOOKUP(Tab_Data_Flows[[#This Row],[Flow_Name]],Tab_Def_Flows[Flow_Name],Tab_Def_Flows[Flow_E6_Fraction'[%']],"N.A.",0,1)</f>
        <v>0</v>
      </c>
      <c r="AL190" s="2">
        <f>IF(Tab_Data_Flows[[#This Row],[Use_E6]]="Yes",Tab_Data_Flows[[#This Row],[E6_Fraction'[%']]]*Tab_Data_Flows[[#This Row],[E1_value]],"N.A.")</f>
        <v>0</v>
      </c>
      <c r="AM190" s="2" t="str">
        <f>Tab_Data_Flows[[#This Row],[E1_UoM]]</f>
        <v>Mg</v>
      </c>
    </row>
    <row r="191" spans="1:39" x14ac:dyDescent="0.25">
      <c r="A191" s="4">
        <f t="shared" si="5"/>
        <v>190</v>
      </c>
      <c r="B191" s="2" t="str">
        <f>_xlfn.XLOOKUP(C191,Tab_Def_Flows[Flow_Name],Tab_Def_Flows[Flow_ID],,0,)</f>
        <v>F__</v>
      </c>
      <c r="C191" s="18" t="s">
        <v>5</v>
      </c>
      <c r="D191" s="5" t="str">
        <f>_xlfn.XLOOKUP(C191,Tab_Def_Flows[Flow_Name],Tab_Def_Flows[Use_E1],,0,)</f>
        <v>Yes</v>
      </c>
      <c r="E191" s="5" t="str">
        <f>_xlfn.XLOOKUP(C191,Tab_Def_Flows[Flow_Name],Tab_Def_Flows[Use_E2],,0,)</f>
        <v>Yes</v>
      </c>
      <c r="F191" s="5" t="str">
        <f>_xlfn.XLOOKUP(C191,Tab_Def_Flows[Flow_Name],Tab_Def_Flows[Use_E3],,0,)</f>
        <v>Yes</v>
      </c>
      <c r="G191" s="5" t="str">
        <f>_xlfn.XLOOKUP(C191,Tab_Def_Flows[Flow_Name],Tab_Def_Flows[Use_E4],,0,)</f>
        <v>Yes</v>
      </c>
      <c r="H191" s="5" t="str">
        <f>_xlfn.XLOOKUP(C191,Tab_Def_Flows[Flow_Name],Tab_Def_Flows[Use_E5],,0,)</f>
        <v>Yes</v>
      </c>
      <c r="I191" s="5" t="str">
        <f>_xlfn.XLOOKUP(C191,Tab_Def_Flows[Flow_Name],Tab_Def_Flows[Use_E6],,0,)</f>
        <v>Yes</v>
      </c>
      <c r="J191" s="3"/>
      <c r="K191" s="3"/>
      <c r="L191" s="2" t="str">
        <f>'0_Configuration'!$C$41</f>
        <v>Mg</v>
      </c>
      <c r="M191" s="9"/>
      <c r="N191" s="9"/>
      <c r="O191" s="9"/>
      <c r="P191" s="9"/>
      <c r="Q191" s="18" t="s">
        <v>3</v>
      </c>
      <c r="R191" s="3"/>
      <c r="S191" s="3"/>
      <c r="T191" s="9"/>
      <c r="U191" s="9"/>
      <c r="V191" s="2">
        <f>_xlfn.XLOOKUP(Tab_Data_Flows[[#This Row],[Flow_Name]],Tab_Def_Flows[Flow_Name],Tab_Def_Flows[Flow_E1_Fraction'[%']],"N.A.",0,1)</f>
        <v>0</v>
      </c>
      <c r="W191" s="8">
        <f t="shared" si="4"/>
        <v>0</v>
      </c>
      <c r="X191" s="2" t="str">
        <f>Tab_Data_Flows[[#This Row],[UoM_Source]]</f>
        <v>Mg</v>
      </c>
      <c r="Y191" s="19">
        <f>_xlfn.XLOOKUP(Tab_Data_Flows[[#This Row],[Flow_Name]],Tab_Def_Flows[Flow_Name],Tab_Def_Flows[Flow_E2_Fraction'[%']],"N.A.",0,1)</f>
        <v>0</v>
      </c>
      <c r="Z191" s="2">
        <f>IF(D191="Yes",W191*Tab_Data_Flows[[#This Row],[E2_Fraction'[%']]],"N.A.")</f>
        <v>0</v>
      </c>
      <c r="AA191" s="2" t="str">
        <f>Tab_Data_Flows[[#This Row],[E1_UoM]]</f>
        <v>Mg</v>
      </c>
      <c r="AB191" s="19">
        <f>_xlfn.XLOOKUP(Tab_Data_Flows[[#This Row],[Flow_Name]],Tab_Def_Flows[Flow_Name],Tab_Def_Flows[Flow_E3_Fraction'[%']],"N.A.",0,1)</f>
        <v>0</v>
      </c>
      <c r="AC191" s="2">
        <f>IF(E191="Yes",AB191*Tab_Data_Flows[[#This Row],[E1_value]],"N.A.")</f>
        <v>0</v>
      </c>
      <c r="AD191" s="2" t="str">
        <f>Tab_Data_Flows[[#This Row],[E1_UoM]]</f>
        <v>Mg</v>
      </c>
      <c r="AE191" s="19">
        <f>_xlfn.XLOOKUP(Tab_Data_Flows[[#This Row],[Flow_Name]],Tab_Def_Flows[Flow_Name],Tab_Def_Flows[Flow_E4_Fraction'[%']],"N.A.",0,1)</f>
        <v>0</v>
      </c>
      <c r="AF191" s="2">
        <f>IF(H191="Yes",Tab_Data_Flows[[#This Row],[E4_Fraction'[%']]]*Tab_Data_Flows[[#This Row],[E1_value]],"N.A.")</f>
        <v>0</v>
      </c>
      <c r="AG191" s="2" t="str">
        <f>Tab_Data_Flows[[#This Row],[E1_UoM]]</f>
        <v>Mg</v>
      </c>
      <c r="AH191" s="2">
        <f>_xlfn.XLOOKUP(Tab_Data_Flows[[#This Row],[Flow_Name]],Tab_Def_Flows[Flow_Name],Tab_Def_Flows[Flow_E5_Fraction'[%']],"N.A.",0,1)</f>
        <v>0</v>
      </c>
      <c r="AI191" s="2">
        <f>IF(H191="Yes",Tab_Data_Flows[[#This Row],[E5_Fraction'[%']]]*Tab_Data_Flows[[#This Row],[E1_value]],"N.A.")</f>
        <v>0</v>
      </c>
      <c r="AJ191" s="2" t="str">
        <f>Tab_Data_Flows[[#This Row],[E1_UoM]]</f>
        <v>Mg</v>
      </c>
      <c r="AK191" s="19">
        <f>_xlfn.XLOOKUP(Tab_Data_Flows[[#This Row],[Flow_Name]],Tab_Def_Flows[Flow_Name],Tab_Def_Flows[Flow_E6_Fraction'[%']],"N.A.",0,1)</f>
        <v>0</v>
      </c>
      <c r="AL191" s="2">
        <f>IF(Tab_Data_Flows[[#This Row],[Use_E6]]="Yes",Tab_Data_Flows[[#This Row],[E6_Fraction'[%']]]*Tab_Data_Flows[[#This Row],[E1_value]],"N.A.")</f>
        <v>0</v>
      </c>
      <c r="AM191" s="2" t="str">
        <f>Tab_Data_Flows[[#This Row],[E1_UoM]]</f>
        <v>Mg</v>
      </c>
    </row>
    <row r="192" spans="1:39" x14ac:dyDescent="0.25">
      <c r="A192" s="4">
        <f t="shared" si="5"/>
        <v>191</v>
      </c>
      <c r="B192" s="2" t="str">
        <f>_xlfn.XLOOKUP(C192,Tab_Def_Flows[Flow_Name],Tab_Def_Flows[Flow_ID],,0,)</f>
        <v>F__</v>
      </c>
      <c r="C192" s="18" t="s">
        <v>5</v>
      </c>
      <c r="D192" s="5" t="str">
        <f>_xlfn.XLOOKUP(C192,Tab_Def_Flows[Flow_Name],Tab_Def_Flows[Use_E1],,0,)</f>
        <v>Yes</v>
      </c>
      <c r="E192" s="5" t="str">
        <f>_xlfn.XLOOKUP(C192,Tab_Def_Flows[Flow_Name],Tab_Def_Flows[Use_E2],,0,)</f>
        <v>Yes</v>
      </c>
      <c r="F192" s="5" t="str">
        <f>_xlfn.XLOOKUP(C192,Tab_Def_Flows[Flow_Name],Tab_Def_Flows[Use_E3],,0,)</f>
        <v>Yes</v>
      </c>
      <c r="G192" s="5" t="str">
        <f>_xlfn.XLOOKUP(C192,Tab_Def_Flows[Flow_Name],Tab_Def_Flows[Use_E4],,0,)</f>
        <v>Yes</v>
      </c>
      <c r="H192" s="5" t="str">
        <f>_xlfn.XLOOKUP(C192,Tab_Def_Flows[Flow_Name],Tab_Def_Flows[Use_E5],,0,)</f>
        <v>Yes</v>
      </c>
      <c r="I192" s="5" t="str">
        <f>_xlfn.XLOOKUP(C192,Tab_Def_Flows[Flow_Name],Tab_Def_Flows[Use_E6],,0,)</f>
        <v>Yes</v>
      </c>
      <c r="J192" s="3"/>
      <c r="K192" s="3"/>
      <c r="L192" s="2" t="str">
        <f>'0_Configuration'!$C$41</f>
        <v>Mg</v>
      </c>
      <c r="M192" s="9"/>
      <c r="N192" s="9"/>
      <c r="O192" s="9"/>
      <c r="P192" s="9"/>
      <c r="Q192" s="18" t="s">
        <v>3</v>
      </c>
      <c r="R192" s="3"/>
      <c r="S192" s="3"/>
      <c r="T192" s="9"/>
      <c r="U192" s="9"/>
      <c r="V192" s="2">
        <f>_xlfn.XLOOKUP(Tab_Data_Flows[[#This Row],[Flow_Name]],Tab_Def_Flows[Flow_Name],Tab_Def_Flows[Flow_E1_Fraction'[%']],"N.A.",0,1)</f>
        <v>0</v>
      </c>
      <c r="W192" s="8">
        <f t="shared" si="4"/>
        <v>0</v>
      </c>
      <c r="X192" s="2" t="str">
        <f>Tab_Data_Flows[[#This Row],[UoM_Source]]</f>
        <v>Mg</v>
      </c>
      <c r="Y192" s="19">
        <f>_xlfn.XLOOKUP(Tab_Data_Flows[[#This Row],[Flow_Name]],Tab_Def_Flows[Flow_Name],Tab_Def_Flows[Flow_E2_Fraction'[%']],"N.A.",0,1)</f>
        <v>0</v>
      </c>
      <c r="Z192" s="2">
        <f>IF(D192="Yes",W192*Tab_Data_Flows[[#This Row],[E2_Fraction'[%']]],"N.A.")</f>
        <v>0</v>
      </c>
      <c r="AA192" s="2" t="str">
        <f>Tab_Data_Flows[[#This Row],[E1_UoM]]</f>
        <v>Mg</v>
      </c>
      <c r="AB192" s="19">
        <f>_xlfn.XLOOKUP(Tab_Data_Flows[[#This Row],[Flow_Name]],Tab_Def_Flows[Flow_Name],Tab_Def_Flows[Flow_E3_Fraction'[%']],"N.A.",0,1)</f>
        <v>0</v>
      </c>
      <c r="AC192" s="2">
        <f>IF(E192="Yes",AB192*Tab_Data_Flows[[#This Row],[E1_value]],"N.A.")</f>
        <v>0</v>
      </c>
      <c r="AD192" s="2" t="str">
        <f>Tab_Data_Flows[[#This Row],[E1_UoM]]</f>
        <v>Mg</v>
      </c>
      <c r="AE192" s="19">
        <f>_xlfn.XLOOKUP(Tab_Data_Flows[[#This Row],[Flow_Name]],Tab_Def_Flows[Flow_Name],Tab_Def_Flows[Flow_E4_Fraction'[%']],"N.A.",0,1)</f>
        <v>0</v>
      </c>
      <c r="AF192" s="2">
        <f>IF(H192="Yes",Tab_Data_Flows[[#This Row],[E4_Fraction'[%']]]*Tab_Data_Flows[[#This Row],[E1_value]],"N.A.")</f>
        <v>0</v>
      </c>
      <c r="AG192" s="2" t="str">
        <f>Tab_Data_Flows[[#This Row],[E1_UoM]]</f>
        <v>Mg</v>
      </c>
      <c r="AH192" s="2">
        <f>_xlfn.XLOOKUP(Tab_Data_Flows[[#This Row],[Flow_Name]],Tab_Def_Flows[Flow_Name],Tab_Def_Flows[Flow_E5_Fraction'[%']],"N.A.",0,1)</f>
        <v>0</v>
      </c>
      <c r="AI192" s="2">
        <f>IF(H192="Yes",Tab_Data_Flows[[#This Row],[E5_Fraction'[%']]]*Tab_Data_Flows[[#This Row],[E1_value]],"N.A.")</f>
        <v>0</v>
      </c>
      <c r="AJ192" s="2" t="str">
        <f>Tab_Data_Flows[[#This Row],[E1_UoM]]</f>
        <v>Mg</v>
      </c>
      <c r="AK192" s="19">
        <f>_xlfn.XLOOKUP(Tab_Data_Flows[[#This Row],[Flow_Name]],Tab_Def_Flows[Flow_Name],Tab_Def_Flows[Flow_E6_Fraction'[%']],"N.A.",0,1)</f>
        <v>0</v>
      </c>
      <c r="AL192" s="2">
        <f>IF(Tab_Data_Flows[[#This Row],[Use_E6]]="Yes",Tab_Data_Flows[[#This Row],[E6_Fraction'[%']]]*Tab_Data_Flows[[#This Row],[E1_value]],"N.A.")</f>
        <v>0</v>
      </c>
      <c r="AM192" s="2" t="str">
        <f>Tab_Data_Flows[[#This Row],[E1_UoM]]</f>
        <v>Mg</v>
      </c>
    </row>
    <row r="193" spans="1:39" x14ac:dyDescent="0.25">
      <c r="A193" s="4">
        <f t="shared" si="5"/>
        <v>192</v>
      </c>
      <c r="B193" s="2" t="str">
        <f>_xlfn.XLOOKUP(C193,Tab_Def_Flows[Flow_Name],Tab_Def_Flows[Flow_ID],,0,)</f>
        <v>F__</v>
      </c>
      <c r="C193" s="18" t="s">
        <v>5</v>
      </c>
      <c r="D193" s="5" t="str">
        <f>_xlfn.XLOOKUP(C193,Tab_Def_Flows[Flow_Name],Tab_Def_Flows[Use_E1],,0,)</f>
        <v>Yes</v>
      </c>
      <c r="E193" s="5" t="str">
        <f>_xlfn.XLOOKUP(C193,Tab_Def_Flows[Flow_Name],Tab_Def_Flows[Use_E2],,0,)</f>
        <v>Yes</v>
      </c>
      <c r="F193" s="5" t="str">
        <f>_xlfn.XLOOKUP(C193,Tab_Def_Flows[Flow_Name],Tab_Def_Flows[Use_E3],,0,)</f>
        <v>Yes</v>
      </c>
      <c r="G193" s="5" t="str">
        <f>_xlfn.XLOOKUP(C193,Tab_Def_Flows[Flow_Name],Tab_Def_Flows[Use_E4],,0,)</f>
        <v>Yes</v>
      </c>
      <c r="H193" s="5" t="str">
        <f>_xlfn.XLOOKUP(C193,Tab_Def_Flows[Flow_Name],Tab_Def_Flows[Use_E5],,0,)</f>
        <v>Yes</v>
      </c>
      <c r="I193" s="5" t="str">
        <f>_xlfn.XLOOKUP(C193,Tab_Def_Flows[Flow_Name],Tab_Def_Flows[Use_E6],,0,)</f>
        <v>Yes</v>
      </c>
      <c r="J193" s="3"/>
      <c r="K193" s="3"/>
      <c r="L193" s="2" t="str">
        <f>'0_Configuration'!$C$41</f>
        <v>Mg</v>
      </c>
      <c r="M193" s="9"/>
      <c r="N193" s="9"/>
      <c r="O193" s="9"/>
      <c r="P193" s="9"/>
      <c r="Q193" s="18" t="s">
        <v>3</v>
      </c>
      <c r="R193" s="3"/>
      <c r="S193" s="3"/>
      <c r="T193" s="9"/>
      <c r="U193" s="9"/>
      <c r="V193" s="2">
        <f>_xlfn.XLOOKUP(Tab_Data_Flows[[#This Row],[Flow_Name]],Tab_Def_Flows[Flow_Name],Tab_Def_Flows[Flow_E1_Fraction'[%']],"N.A.",0,1)</f>
        <v>0</v>
      </c>
      <c r="W193" s="8">
        <f t="shared" si="4"/>
        <v>0</v>
      </c>
      <c r="X193" s="2" t="str">
        <f>Tab_Data_Flows[[#This Row],[UoM_Source]]</f>
        <v>Mg</v>
      </c>
      <c r="Y193" s="19">
        <f>_xlfn.XLOOKUP(Tab_Data_Flows[[#This Row],[Flow_Name]],Tab_Def_Flows[Flow_Name],Tab_Def_Flows[Flow_E2_Fraction'[%']],"N.A.",0,1)</f>
        <v>0</v>
      </c>
      <c r="Z193" s="2">
        <f>IF(D193="Yes",W193*Tab_Data_Flows[[#This Row],[E2_Fraction'[%']]],"N.A.")</f>
        <v>0</v>
      </c>
      <c r="AA193" s="2" t="str">
        <f>Tab_Data_Flows[[#This Row],[E1_UoM]]</f>
        <v>Mg</v>
      </c>
      <c r="AB193" s="19">
        <f>_xlfn.XLOOKUP(Tab_Data_Flows[[#This Row],[Flow_Name]],Tab_Def_Flows[Flow_Name],Tab_Def_Flows[Flow_E3_Fraction'[%']],"N.A.",0,1)</f>
        <v>0</v>
      </c>
      <c r="AC193" s="2">
        <f>IF(E193="Yes",AB193*Tab_Data_Flows[[#This Row],[E1_value]],"N.A.")</f>
        <v>0</v>
      </c>
      <c r="AD193" s="2" t="str">
        <f>Tab_Data_Flows[[#This Row],[E1_UoM]]</f>
        <v>Mg</v>
      </c>
      <c r="AE193" s="19">
        <f>_xlfn.XLOOKUP(Tab_Data_Flows[[#This Row],[Flow_Name]],Tab_Def_Flows[Flow_Name],Tab_Def_Flows[Flow_E4_Fraction'[%']],"N.A.",0,1)</f>
        <v>0</v>
      </c>
      <c r="AF193" s="2">
        <f>IF(H193="Yes",Tab_Data_Flows[[#This Row],[E4_Fraction'[%']]]*Tab_Data_Flows[[#This Row],[E1_value]],"N.A.")</f>
        <v>0</v>
      </c>
      <c r="AG193" s="2" t="str">
        <f>Tab_Data_Flows[[#This Row],[E1_UoM]]</f>
        <v>Mg</v>
      </c>
      <c r="AH193" s="2">
        <f>_xlfn.XLOOKUP(Tab_Data_Flows[[#This Row],[Flow_Name]],Tab_Def_Flows[Flow_Name],Tab_Def_Flows[Flow_E5_Fraction'[%']],"N.A.",0,1)</f>
        <v>0</v>
      </c>
      <c r="AI193" s="2">
        <f>IF(H193="Yes",Tab_Data_Flows[[#This Row],[E5_Fraction'[%']]]*Tab_Data_Flows[[#This Row],[E1_value]],"N.A.")</f>
        <v>0</v>
      </c>
      <c r="AJ193" s="2" t="str">
        <f>Tab_Data_Flows[[#This Row],[E1_UoM]]</f>
        <v>Mg</v>
      </c>
      <c r="AK193" s="19">
        <f>_xlfn.XLOOKUP(Tab_Data_Flows[[#This Row],[Flow_Name]],Tab_Def_Flows[Flow_Name],Tab_Def_Flows[Flow_E6_Fraction'[%']],"N.A.",0,1)</f>
        <v>0</v>
      </c>
      <c r="AL193" s="2">
        <f>IF(Tab_Data_Flows[[#This Row],[Use_E6]]="Yes",Tab_Data_Flows[[#This Row],[E6_Fraction'[%']]]*Tab_Data_Flows[[#This Row],[E1_value]],"N.A.")</f>
        <v>0</v>
      </c>
      <c r="AM193" s="2" t="str">
        <f>Tab_Data_Flows[[#This Row],[E1_UoM]]</f>
        <v>Mg</v>
      </c>
    </row>
    <row r="194" spans="1:39" x14ac:dyDescent="0.25">
      <c r="A194" s="4">
        <f t="shared" si="5"/>
        <v>193</v>
      </c>
      <c r="B194" s="2" t="str">
        <f>_xlfn.XLOOKUP(C194,Tab_Def_Flows[Flow_Name],Tab_Def_Flows[Flow_ID],,0,)</f>
        <v>F__</v>
      </c>
      <c r="C194" s="18" t="s">
        <v>5</v>
      </c>
      <c r="D194" s="5" t="str">
        <f>_xlfn.XLOOKUP(C194,Tab_Def_Flows[Flow_Name],Tab_Def_Flows[Use_E1],,0,)</f>
        <v>Yes</v>
      </c>
      <c r="E194" s="5" t="str">
        <f>_xlfn.XLOOKUP(C194,Tab_Def_Flows[Flow_Name],Tab_Def_Flows[Use_E2],,0,)</f>
        <v>Yes</v>
      </c>
      <c r="F194" s="5" t="str">
        <f>_xlfn.XLOOKUP(C194,Tab_Def_Flows[Flow_Name],Tab_Def_Flows[Use_E3],,0,)</f>
        <v>Yes</v>
      </c>
      <c r="G194" s="5" t="str">
        <f>_xlfn.XLOOKUP(C194,Tab_Def_Flows[Flow_Name],Tab_Def_Flows[Use_E4],,0,)</f>
        <v>Yes</v>
      </c>
      <c r="H194" s="5" t="str">
        <f>_xlfn.XLOOKUP(C194,Tab_Def_Flows[Flow_Name],Tab_Def_Flows[Use_E5],,0,)</f>
        <v>Yes</v>
      </c>
      <c r="I194" s="5" t="str">
        <f>_xlfn.XLOOKUP(C194,Tab_Def_Flows[Flow_Name],Tab_Def_Flows[Use_E6],,0,)</f>
        <v>Yes</v>
      </c>
      <c r="J194" s="3"/>
      <c r="K194" s="3"/>
      <c r="L194" s="2" t="str">
        <f>'0_Configuration'!$C$41</f>
        <v>Mg</v>
      </c>
      <c r="M194" s="9"/>
      <c r="N194" s="9"/>
      <c r="O194" s="9"/>
      <c r="P194" s="9"/>
      <c r="Q194" s="18" t="s">
        <v>3</v>
      </c>
      <c r="R194" s="3"/>
      <c r="S194" s="3"/>
      <c r="T194" s="9"/>
      <c r="U194" s="9"/>
      <c r="V194" s="2">
        <f>_xlfn.XLOOKUP(Tab_Data_Flows[[#This Row],[Flow_Name]],Tab_Def_Flows[Flow_Name],Tab_Def_Flows[Flow_E1_Fraction'[%']],"N.A.",0,1)</f>
        <v>0</v>
      </c>
      <c r="W194" s="8">
        <f t="shared" ref="W194:W257" si="6">IF(Q194="no",K194,K194*R194)</f>
        <v>0</v>
      </c>
      <c r="X194" s="2" t="str">
        <f>Tab_Data_Flows[[#This Row],[UoM_Source]]</f>
        <v>Mg</v>
      </c>
      <c r="Y194" s="19">
        <f>_xlfn.XLOOKUP(Tab_Data_Flows[[#This Row],[Flow_Name]],Tab_Def_Flows[Flow_Name],Tab_Def_Flows[Flow_E2_Fraction'[%']],"N.A.",0,1)</f>
        <v>0</v>
      </c>
      <c r="Z194" s="2">
        <f>IF(D194="Yes",W194*Tab_Data_Flows[[#This Row],[E2_Fraction'[%']]],"N.A.")</f>
        <v>0</v>
      </c>
      <c r="AA194" s="2" t="str">
        <f>Tab_Data_Flows[[#This Row],[E1_UoM]]</f>
        <v>Mg</v>
      </c>
      <c r="AB194" s="19">
        <f>_xlfn.XLOOKUP(Tab_Data_Flows[[#This Row],[Flow_Name]],Tab_Def_Flows[Flow_Name],Tab_Def_Flows[Flow_E3_Fraction'[%']],"N.A.",0,1)</f>
        <v>0</v>
      </c>
      <c r="AC194" s="2">
        <f>IF(E194="Yes",AB194*Tab_Data_Flows[[#This Row],[E1_value]],"N.A.")</f>
        <v>0</v>
      </c>
      <c r="AD194" s="2" t="str">
        <f>Tab_Data_Flows[[#This Row],[E1_UoM]]</f>
        <v>Mg</v>
      </c>
      <c r="AE194" s="19">
        <f>_xlfn.XLOOKUP(Tab_Data_Flows[[#This Row],[Flow_Name]],Tab_Def_Flows[Flow_Name],Tab_Def_Flows[Flow_E4_Fraction'[%']],"N.A.",0,1)</f>
        <v>0</v>
      </c>
      <c r="AF194" s="2">
        <f>IF(H194="Yes",Tab_Data_Flows[[#This Row],[E4_Fraction'[%']]]*Tab_Data_Flows[[#This Row],[E1_value]],"N.A.")</f>
        <v>0</v>
      </c>
      <c r="AG194" s="2" t="str">
        <f>Tab_Data_Flows[[#This Row],[E1_UoM]]</f>
        <v>Mg</v>
      </c>
      <c r="AH194" s="2">
        <f>_xlfn.XLOOKUP(Tab_Data_Flows[[#This Row],[Flow_Name]],Tab_Def_Flows[Flow_Name],Tab_Def_Flows[Flow_E5_Fraction'[%']],"N.A.",0,1)</f>
        <v>0</v>
      </c>
      <c r="AI194" s="2">
        <f>IF(H194="Yes",Tab_Data_Flows[[#This Row],[E5_Fraction'[%']]]*Tab_Data_Flows[[#This Row],[E1_value]],"N.A.")</f>
        <v>0</v>
      </c>
      <c r="AJ194" s="2" t="str">
        <f>Tab_Data_Flows[[#This Row],[E1_UoM]]</f>
        <v>Mg</v>
      </c>
      <c r="AK194" s="19">
        <f>_xlfn.XLOOKUP(Tab_Data_Flows[[#This Row],[Flow_Name]],Tab_Def_Flows[Flow_Name],Tab_Def_Flows[Flow_E6_Fraction'[%']],"N.A.",0,1)</f>
        <v>0</v>
      </c>
      <c r="AL194" s="2">
        <f>IF(Tab_Data_Flows[[#This Row],[Use_E6]]="Yes",Tab_Data_Flows[[#This Row],[E6_Fraction'[%']]]*Tab_Data_Flows[[#This Row],[E1_value]],"N.A.")</f>
        <v>0</v>
      </c>
      <c r="AM194" s="2" t="str">
        <f>Tab_Data_Flows[[#This Row],[E1_UoM]]</f>
        <v>Mg</v>
      </c>
    </row>
    <row r="195" spans="1:39" x14ac:dyDescent="0.25">
      <c r="A195" s="4">
        <f t="shared" ref="A195:A258" si="7">ROW()-1</f>
        <v>194</v>
      </c>
      <c r="B195" s="2" t="str">
        <f>_xlfn.XLOOKUP(C195,Tab_Def_Flows[Flow_Name],Tab_Def_Flows[Flow_ID],,0,)</f>
        <v>F__</v>
      </c>
      <c r="C195" s="18" t="s">
        <v>5</v>
      </c>
      <c r="D195" s="5" t="str">
        <f>_xlfn.XLOOKUP(C195,Tab_Def_Flows[Flow_Name],Tab_Def_Flows[Use_E1],,0,)</f>
        <v>Yes</v>
      </c>
      <c r="E195" s="5" t="str">
        <f>_xlfn.XLOOKUP(C195,Tab_Def_Flows[Flow_Name],Tab_Def_Flows[Use_E2],,0,)</f>
        <v>Yes</v>
      </c>
      <c r="F195" s="5" t="str">
        <f>_xlfn.XLOOKUP(C195,Tab_Def_Flows[Flow_Name],Tab_Def_Flows[Use_E3],,0,)</f>
        <v>Yes</v>
      </c>
      <c r="G195" s="5" t="str">
        <f>_xlfn.XLOOKUP(C195,Tab_Def_Flows[Flow_Name],Tab_Def_Flows[Use_E4],,0,)</f>
        <v>Yes</v>
      </c>
      <c r="H195" s="5" t="str">
        <f>_xlfn.XLOOKUP(C195,Tab_Def_Flows[Flow_Name],Tab_Def_Flows[Use_E5],,0,)</f>
        <v>Yes</v>
      </c>
      <c r="I195" s="5" t="str">
        <f>_xlfn.XLOOKUP(C195,Tab_Def_Flows[Flow_Name],Tab_Def_Flows[Use_E6],,0,)</f>
        <v>Yes</v>
      </c>
      <c r="J195" s="3"/>
      <c r="K195" s="3"/>
      <c r="L195" s="2" t="str">
        <f>'0_Configuration'!$C$41</f>
        <v>Mg</v>
      </c>
      <c r="M195" s="9"/>
      <c r="N195" s="9"/>
      <c r="O195" s="9"/>
      <c r="P195" s="9"/>
      <c r="Q195" s="18" t="s">
        <v>3</v>
      </c>
      <c r="R195" s="3"/>
      <c r="S195" s="3"/>
      <c r="T195" s="9"/>
      <c r="U195" s="9"/>
      <c r="V195" s="2">
        <f>_xlfn.XLOOKUP(Tab_Data_Flows[[#This Row],[Flow_Name]],Tab_Def_Flows[Flow_Name],Tab_Def_Flows[Flow_E1_Fraction'[%']],"N.A.",0,1)</f>
        <v>0</v>
      </c>
      <c r="W195" s="8">
        <f t="shared" si="6"/>
        <v>0</v>
      </c>
      <c r="X195" s="2" t="str">
        <f>Tab_Data_Flows[[#This Row],[UoM_Source]]</f>
        <v>Mg</v>
      </c>
      <c r="Y195" s="19">
        <f>_xlfn.XLOOKUP(Tab_Data_Flows[[#This Row],[Flow_Name]],Tab_Def_Flows[Flow_Name],Tab_Def_Flows[Flow_E2_Fraction'[%']],"N.A.",0,1)</f>
        <v>0</v>
      </c>
      <c r="Z195" s="2">
        <f>IF(D195="Yes",W195*Tab_Data_Flows[[#This Row],[E2_Fraction'[%']]],"N.A.")</f>
        <v>0</v>
      </c>
      <c r="AA195" s="2" t="str">
        <f>Tab_Data_Flows[[#This Row],[E1_UoM]]</f>
        <v>Mg</v>
      </c>
      <c r="AB195" s="19">
        <f>_xlfn.XLOOKUP(Tab_Data_Flows[[#This Row],[Flow_Name]],Tab_Def_Flows[Flow_Name],Tab_Def_Flows[Flow_E3_Fraction'[%']],"N.A.",0,1)</f>
        <v>0</v>
      </c>
      <c r="AC195" s="2">
        <f>IF(E195="Yes",AB195*Tab_Data_Flows[[#This Row],[E1_value]],"N.A.")</f>
        <v>0</v>
      </c>
      <c r="AD195" s="2" t="str">
        <f>Tab_Data_Flows[[#This Row],[E1_UoM]]</f>
        <v>Mg</v>
      </c>
      <c r="AE195" s="19">
        <f>_xlfn.XLOOKUP(Tab_Data_Flows[[#This Row],[Flow_Name]],Tab_Def_Flows[Flow_Name],Tab_Def_Flows[Flow_E4_Fraction'[%']],"N.A.",0,1)</f>
        <v>0</v>
      </c>
      <c r="AF195" s="2">
        <f>IF(H195="Yes",Tab_Data_Flows[[#This Row],[E4_Fraction'[%']]]*Tab_Data_Flows[[#This Row],[E1_value]],"N.A.")</f>
        <v>0</v>
      </c>
      <c r="AG195" s="2" t="str">
        <f>Tab_Data_Flows[[#This Row],[E1_UoM]]</f>
        <v>Mg</v>
      </c>
      <c r="AH195" s="2">
        <f>_xlfn.XLOOKUP(Tab_Data_Flows[[#This Row],[Flow_Name]],Tab_Def_Flows[Flow_Name],Tab_Def_Flows[Flow_E5_Fraction'[%']],"N.A.",0,1)</f>
        <v>0</v>
      </c>
      <c r="AI195" s="2">
        <f>IF(H195="Yes",Tab_Data_Flows[[#This Row],[E5_Fraction'[%']]]*Tab_Data_Flows[[#This Row],[E1_value]],"N.A.")</f>
        <v>0</v>
      </c>
      <c r="AJ195" s="2" t="str">
        <f>Tab_Data_Flows[[#This Row],[E1_UoM]]</f>
        <v>Mg</v>
      </c>
      <c r="AK195" s="19">
        <f>_xlfn.XLOOKUP(Tab_Data_Flows[[#This Row],[Flow_Name]],Tab_Def_Flows[Flow_Name],Tab_Def_Flows[Flow_E6_Fraction'[%']],"N.A.",0,1)</f>
        <v>0</v>
      </c>
      <c r="AL195" s="2">
        <f>IF(Tab_Data_Flows[[#This Row],[Use_E6]]="Yes",Tab_Data_Flows[[#This Row],[E6_Fraction'[%']]]*Tab_Data_Flows[[#This Row],[E1_value]],"N.A.")</f>
        <v>0</v>
      </c>
      <c r="AM195" s="2" t="str">
        <f>Tab_Data_Flows[[#This Row],[E1_UoM]]</f>
        <v>Mg</v>
      </c>
    </row>
    <row r="196" spans="1:39" x14ac:dyDescent="0.25">
      <c r="A196" s="4">
        <f t="shared" si="7"/>
        <v>195</v>
      </c>
      <c r="B196" s="2" t="str">
        <f>_xlfn.XLOOKUP(C196,Tab_Def_Flows[Flow_Name],Tab_Def_Flows[Flow_ID],,0,)</f>
        <v>F__</v>
      </c>
      <c r="C196" s="18" t="s">
        <v>5</v>
      </c>
      <c r="D196" s="5" t="str">
        <f>_xlfn.XLOOKUP(C196,Tab_Def_Flows[Flow_Name],Tab_Def_Flows[Use_E1],,0,)</f>
        <v>Yes</v>
      </c>
      <c r="E196" s="5" t="str">
        <f>_xlfn.XLOOKUP(C196,Tab_Def_Flows[Flow_Name],Tab_Def_Flows[Use_E2],,0,)</f>
        <v>Yes</v>
      </c>
      <c r="F196" s="5" t="str">
        <f>_xlfn.XLOOKUP(C196,Tab_Def_Flows[Flow_Name],Tab_Def_Flows[Use_E3],,0,)</f>
        <v>Yes</v>
      </c>
      <c r="G196" s="5" t="str">
        <f>_xlfn.XLOOKUP(C196,Tab_Def_Flows[Flow_Name],Tab_Def_Flows[Use_E4],,0,)</f>
        <v>Yes</v>
      </c>
      <c r="H196" s="5" t="str">
        <f>_xlfn.XLOOKUP(C196,Tab_Def_Flows[Flow_Name],Tab_Def_Flows[Use_E5],,0,)</f>
        <v>Yes</v>
      </c>
      <c r="I196" s="5" t="str">
        <f>_xlfn.XLOOKUP(C196,Tab_Def_Flows[Flow_Name],Tab_Def_Flows[Use_E6],,0,)</f>
        <v>Yes</v>
      </c>
      <c r="J196" s="3"/>
      <c r="K196" s="3"/>
      <c r="L196" s="2" t="str">
        <f>'0_Configuration'!$C$41</f>
        <v>Mg</v>
      </c>
      <c r="M196" s="9"/>
      <c r="N196" s="9"/>
      <c r="O196" s="9"/>
      <c r="P196" s="9"/>
      <c r="Q196" s="18" t="s">
        <v>3</v>
      </c>
      <c r="R196" s="3"/>
      <c r="S196" s="3"/>
      <c r="T196" s="9"/>
      <c r="U196" s="9"/>
      <c r="V196" s="2">
        <f>_xlfn.XLOOKUP(Tab_Data_Flows[[#This Row],[Flow_Name]],Tab_Def_Flows[Flow_Name],Tab_Def_Flows[Flow_E1_Fraction'[%']],"N.A.",0,1)</f>
        <v>0</v>
      </c>
      <c r="W196" s="8">
        <f t="shared" si="6"/>
        <v>0</v>
      </c>
      <c r="X196" s="2" t="str">
        <f>Tab_Data_Flows[[#This Row],[UoM_Source]]</f>
        <v>Mg</v>
      </c>
      <c r="Y196" s="19">
        <f>_xlfn.XLOOKUP(Tab_Data_Flows[[#This Row],[Flow_Name]],Tab_Def_Flows[Flow_Name],Tab_Def_Flows[Flow_E2_Fraction'[%']],"N.A.",0,1)</f>
        <v>0</v>
      </c>
      <c r="Z196" s="2">
        <f>IF(D196="Yes",W196*Tab_Data_Flows[[#This Row],[E2_Fraction'[%']]],"N.A.")</f>
        <v>0</v>
      </c>
      <c r="AA196" s="2" t="str">
        <f>Tab_Data_Flows[[#This Row],[E1_UoM]]</f>
        <v>Mg</v>
      </c>
      <c r="AB196" s="19">
        <f>_xlfn.XLOOKUP(Tab_Data_Flows[[#This Row],[Flow_Name]],Tab_Def_Flows[Flow_Name],Tab_Def_Flows[Flow_E3_Fraction'[%']],"N.A.",0,1)</f>
        <v>0</v>
      </c>
      <c r="AC196" s="2">
        <f>IF(E196="Yes",AB196*Tab_Data_Flows[[#This Row],[E1_value]],"N.A.")</f>
        <v>0</v>
      </c>
      <c r="AD196" s="2" t="str">
        <f>Tab_Data_Flows[[#This Row],[E1_UoM]]</f>
        <v>Mg</v>
      </c>
      <c r="AE196" s="19">
        <f>_xlfn.XLOOKUP(Tab_Data_Flows[[#This Row],[Flow_Name]],Tab_Def_Flows[Flow_Name],Tab_Def_Flows[Flow_E4_Fraction'[%']],"N.A.",0,1)</f>
        <v>0</v>
      </c>
      <c r="AF196" s="2">
        <f>IF(H196="Yes",Tab_Data_Flows[[#This Row],[E4_Fraction'[%']]]*Tab_Data_Flows[[#This Row],[E1_value]],"N.A.")</f>
        <v>0</v>
      </c>
      <c r="AG196" s="2" t="str">
        <f>Tab_Data_Flows[[#This Row],[E1_UoM]]</f>
        <v>Mg</v>
      </c>
      <c r="AH196" s="2">
        <f>_xlfn.XLOOKUP(Tab_Data_Flows[[#This Row],[Flow_Name]],Tab_Def_Flows[Flow_Name],Tab_Def_Flows[Flow_E5_Fraction'[%']],"N.A.",0,1)</f>
        <v>0</v>
      </c>
      <c r="AI196" s="2">
        <f>IF(H196="Yes",Tab_Data_Flows[[#This Row],[E5_Fraction'[%']]]*Tab_Data_Flows[[#This Row],[E1_value]],"N.A.")</f>
        <v>0</v>
      </c>
      <c r="AJ196" s="2" t="str">
        <f>Tab_Data_Flows[[#This Row],[E1_UoM]]</f>
        <v>Mg</v>
      </c>
      <c r="AK196" s="19">
        <f>_xlfn.XLOOKUP(Tab_Data_Flows[[#This Row],[Flow_Name]],Tab_Def_Flows[Flow_Name],Tab_Def_Flows[Flow_E6_Fraction'[%']],"N.A.",0,1)</f>
        <v>0</v>
      </c>
      <c r="AL196" s="2">
        <f>IF(Tab_Data_Flows[[#This Row],[Use_E6]]="Yes",Tab_Data_Flows[[#This Row],[E6_Fraction'[%']]]*Tab_Data_Flows[[#This Row],[E1_value]],"N.A.")</f>
        <v>0</v>
      </c>
      <c r="AM196" s="2" t="str">
        <f>Tab_Data_Flows[[#This Row],[E1_UoM]]</f>
        <v>Mg</v>
      </c>
    </row>
    <row r="197" spans="1:39" x14ac:dyDescent="0.25">
      <c r="A197" s="4">
        <f t="shared" si="7"/>
        <v>196</v>
      </c>
      <c r="B197" s="2" t="str">
        <f>_xlfn.XLOOKUP(C197,Tab_Def_Flows[Flow_Name],Tab_Def_Flows[Flow_ID],,0,)</f>
        <v>F__</v>
      </c>
      <c r="C197" s="18" t="s">
        <v>5</v>
      </c>
      <c r="D197" s="5" t="str">
        <f>_xlfn.XLOOKUP(C197,Tab_Def_Flows[Flow_Name],Tab_Def_Flows[Use_E1],,0,)</f>
        <v>Yes</v>
      </c>
      <c r="E197" s="5" t="str">
        <f>_xlfn.XLOOKUP(C197,Tab_Def_Flows[Flow_Name],Tab_Def_Flows[Use_E2],,0,)</f>
        <v>Yes</v>
      </c>
      <c r="F197" s="5" t="str">
        <f>_xlfn.XLOOKUP(C197,Tab_Def_Flows[Flow_Name],Tab_Def_Flows[Use_E3],,0,)</f>
        <v>Yes</v>
      </c>
      <c r="G197" s="5" t="str">
        <f>_xlfn.XLOOKUP(C197,Tab_Def_Flows[Flow_Name],Tab_Def_Flows[Use_E4],,0,)</f>
        <v>Yes</v>
      </c>
      <c r="H197" s="5" t="str">
        <f>_xlfn.XLOOKUP(C197,Tab_Def_Flows[Flow_Name],Tab_Def_Flows[Use_E5],,0,)</f>
        <v>Yes</v>
      </c>
      <c r="I197" s="5" t="str">
        <f>_xlfn.XLOOKUP(C197,Tab_Def_Flows[Flow_Name],Tab_Def_Flows[Use_E6],,0,)</f>
        <v>Yes</v>
      </c>
      <c r="J197" s="3"/>
      <c r="K197" s="3"/>
      <c r="L197" s="2" t="str">
        <f>'0_Configuration'!$C$41</f>
        <v>Mg</v>
      </c>
      <c r="M197" s="9"/>
      <c r="N197" s="9"/>
      <c r="O197" s="9"/>
      <c r="P197" s="9"/>
      <c r="Q197" s="18" t="s">
        <v>3</v>
      </c>
      <c r="R197" s="3"/>
      <c r="S197" s="3"/>
      <c r="T197" s="9"/>
      <c r="U197" s="9"/>
      <c r="V197" s="2">
        <f>_xlfn.XLOOKUP(Tab_Data_Flows[[#This Row],[Flow_Name]],Tab_Def_Flows[Flow_Name],Tab_Def_Flows[Flow_E1_Fraction'[%']],"N.A.",0,1)</f>
        <v>0</v>
      </c>
      <c r="W197" s="8">
        <f t="shared" si="6"/>
        <v>0</v>
      </c>
      <c r="X197" s="2" t="str">
        <f>Tab_Data_Flows[[#This Row],[UoM_Source]]</f>
        <v>Mg</v>
      </c>
      <c r="Y197" s="19">
        <f>_xlfn.XLOOKUP(Tab_Data_Flows[[#This Row],[Flow_Name]],Tab_Def_Flows[Flow_Name],Tab_Def_Flows[Flow_E2_Fraction'[%']],"N.A.",0,1)</f>
        <v>0</v>
      </c>
      <c r="Z197" s="2">
        <f>IF(D197="Yes",W197*Tab_Data_Flows[[#This Row],[E2_Fraction'[%']]],"N.A.")</f>
        <v>0</v>
      </c>
      <c r="AA197" s="2" t="str">
        <f>Tab_Data_Flows[[#This Row],[E1_UoM]]</f>
        <v>Mg</v>
      </c>
      <c r="AB197" s="19">
        <f>_xlfn.XLOOKUP(Tab_Data_Flows[[#This Row],[Flow_Name]],Tab_Def_Flows[Flow_Name],Tab_Def_Flows[Flow_E3_Fraction'[%']],"N.A.",0,1)</f>
        <v>0</v>
      </c>
      <c r="AC197" s="2">
        <f>IF(E197="Yes",AB197*Tab_Data_Flows[[#This Row],[E1_value]],"N.A.")</f>
        <v>0</v>
      </c>
      <c r="AD197" s="2" t="str">
        <f>Tab_Data_Flows[[#This Row],[E1_UoM]]</f>
        <v>Mg</v>
      </c>
      <c r="AE197" s="19">
        <f>_xlfn.XLOOKUP(Tab_Data_Flows[[#This Row],[Flow_Name]],Tab_Def_Flows[Flow_Name],Tab_Def_Flows[Flow_E4_Fraction'[%']],"N.A.",0,1)</f>
        <v>0</v>
      </c>
      <c r="AF197" s="2">
        <f>IF(H197="Yes",Tab_Data_Flows[[#This Row],[E4_Fraction'[%']]]*Tab_Data_Flows[[#This Row],[E1_value]],"N.A.")</f>
        <v>0</v>
      </c>
      <c r="AG197" s="2" t="str">
        <f>Tab_Data_Flows[[#This Row],[E1_UoM]]</f>
        <v>Mg</v>
      </c>
      <c r="AH197" s="2">
        <f>_xlfn.XLOOKUP(Tab_Data_Flows[[#This Row],[Flow_Name]],Tab_Def_Flows[Flow_Name],Tab_Def_Flows[Flow_E5_Fraction'[%']],"N.A.",0,1)</f>
        <v>0</v>
      </c>
      <c r="AI197" s="2">
        <f>IF(H197="Yes",Tab_Data_Flows[[#This Row],[E5_Fraction'[%']]]*Tab_Data_Flows[[#This Row],[E1_value]],"N.A.")</f>
        <v>0</v>
      </c>
      <c r="AJ197" s="2" t="str">
        <f>Tab_Data_Flows[[#This Row],[E1_UoM]]</f>
        <v>Mg</v>
      </c>
      <c r="AK197" s="19">
        <f>_xlfn.XLOOKUP(Tab_Data_Flows[[#This Row],[Flow_Name]],Tab_Def_Flows[Flow_Name],Tab_Def_Flows[Flow_E6_Fraction'[%']],"N.A.",0,1)</f>
        <v>0</v>
      </c>
      <c r="AL197" s="2">
        <f>IF(Tab_Data_Flows[[#This Row],[Use_E6]]="Yes",Tab_Data_Flows[[#This Row],[E6_Fraction'[%']]]*Tab_Data_Flows[[#This Row],[E1_value]],"N.A.")</f>
        <v>0</v>
      </c>
      <c r="AM197" s="2" t="str">
        <f>Tab_Data_Flows[[#This Row],[E1_UoM]]</f>
        <v>Mg</v>
      </c>
    </row>
    <row r="198" spans="1:39" x14ac:dyDescent="0.25">
      <c r="A198" s="4">
        <f t="shared" si="7"/>
        <v>197</v>
      </c>
      <c r="B198" s="2" t="str">
        <f>_xlfn.XLOOKUP(C198,Tab_Def_Flows[Flow_Name],Tab_Def_Flows[Flow_ID],,0,)</f>
        <v>F__</v>
      </c>
      <c r="C198" s="18" t="s">
        <v>5</v>
      </c>
      <c r="D198" s="5" t="str">
        <f>_xlfn.XLOOKUP(C198,Tab_Def_Flows[Flow_Name],Tab_Def_Flows[Use_E1],,0,)</f>
        <v>Yes</v>
      </c>
      <c r="E198" s="5" t="str">
        <f>_xlfn.XLOOKUP(C198,Tab_Def_Flows[Flow_Name],Tab_Def_Flows[Use_E2],,0,)</f>
        <v>Yes</v>
      </c>
      <c r="F198" s="5" t="str">
        <f>_xlfn.XLOOKUP(C198,Tab_Def_Flows[Flow_Name],Tab_Def_Flows[Use_E3],,0,)</f>
        <v>Yes</v>
      </c>
      <c r="G198" s="5" t="str">
        <f>_xlfn.XLOOKUP(C198,Tab_Def_Flows[Flow_Name],Tab_Def_Flows[Use_E4],,0,)</f>
        <v>Yes</v>
      </c>
      <c r="H198" s="5" t="str">
        <f>_xlfn.XLOOKUP(C198,Tab_Def_Flows[Flow_Name],Tab_Def_Flows[Use_E5],,0,)</f>
        <v>Yes</v>
      </c>
      <c r="I198" s="5" t="str">
        <f>_xlfn.XLOOKUP(C198,Tab_Def_Flows[Flow_Name],Tab_Def_Flows[Use_E6],,0,)</f>
        <v>Yes</v>
      </c>
      <c r="J198" s="3"/>
      <c r="K198" s="3"/>
      <c r="L198" s="2" t="str">
        <f>'0_Configuration'!$C$41</f>
        <v>Mg</v>
      </c>
      <c r="M198" s="9"/>
      <c r="N198" s="9"/>
      <c r="O198" s="9"/>
      <c r="P198" s="9"/>
      <c r="Q198" s="18" t="s">
        <v>3</v>
      </c>
      <c r="R198" s="3"/>
      <c r="S198" s="3"/>
      <c r="T198" s="9"/>
      <c r="U198" s="9"/>
      <c r="V198" s="2">
        <f>_xlfn.XLOOKUP(Tab_Data_Flows[[#This Row],[Flow_Name]],Tab_Def_Flows[Flow_Name],Tab_Def_Flows[Flow_E1_Fraction'[%']],"N.A.",0,1)</f>
        <v>0</v>
      </c>
      <c r="W198" s="8">
        <f t="shared" si="6"/>
        <v>0</v>
      </c>
      <c r="X198" s="2" t="str">
        <f>Tab_Data_Flows[[#This Row],[UoM_Source]]</f>
        <v>Mg</v>
      </c>
      <c r="Y198" s="19">
        <f>_xlfn.XLOOKUP(Tab_Data_Flows[[#This Row],[Flow_Name]],Tab_Def_Flows[Flow_Name],Tab_Def_Flows[Flow_E2_Fraction'[%']],"N.A.",0,1)</f>
        <v>0</v>
      </c>
      <c r="Z198" s="2">
        <f>IF(D198="Yes",W198*Tab_Data_Flows[[#This Row],[E2_Fraction'[%']]],"N.A.")</f>
        <v>0</v>
      </c>
      <c r="AA198" s="2" t="str">
        <f>Tab_Data_Flows[[#This Row],[E1_UoM]]</f>
        <v>Mg</v>
      </c>
      <c r="AB198" s="19">
        <f>_xlfn.XLOOKUP(Tab_Data_Flows[[#This Row],[Flow_Name]],Tab_Def_Flows[Flow_Name],Tab_Def_Flows[Flow_E3_Fraction'[%']],"N.A.",0,1)</f>
        <v>0</v>
      </c>
      <c r="AC198" s="2">
        <f>IF(E198="Yes",AB198*Tab_Data_Flows[[#This Row],[E1_value]],"N.A.")</f>
        <v>0</v>
      </c>
      <c r="AD198" s="2" t="str">
        <f>Tab_Data_Flows[[#This Row],[E1_UoM]]</f>
        <v>Mg</v>
      </c>
      <c r="AE198" s="19">
        <f>_xlfn.XLOOKUP(Tab_Data_Flows[[#This Row],[Flow_Name]],Tab_Def_Flows[Flow_Name],Tab_Def_Flows[Flow_E4_Fraction'[%']],"N.A.",0,1)</f>
        <v>0</v>
      </c>
      <c r="AF198" s="2">
        <f>IF(H198="Yes",Tab_Data_Flows[[#This Row],[E4_Fraction'[%']]]*Tab_Data_Flows[[#This Row],[E1_value]],"N.A.")</f>
        <v>0</v>
      </c>
      <c r="AG198" s="2" t="str">
        <f>Tab_Data_Flows[[#This Row],[E1_UoM]]</f>
        <v>Mg</v>
      </c>
      <c r="AH198" s="2">
        <f>_xlfn.XLOOKUP(Tab_Data_Flows[[#This Row],[Flow_Name]],Tab_Def_Flows[Flow_Name],Tab_Def_Flows[Flow_E5_Fraction'[%']],"N.A.",0,1)</f>
        <v>0</v>
      </c>
      <c r="AI198" s="2">
        <f>IF(H198="Yes",Tab_Data_Flows[[#This Row],[E5_Fraction'[%']]]*Tab_Data_Flows[[#This Row],[E1_value]],"N.A.")</f>
        <v>0</v>
      </c>
      <c r="AJ198" s="2" t="str">
        <f>Tab_Data_Flows[[#This Row],[E1_UoM]]</f>
        <v>Mg</v>
      </c>
      <c r="AK198" s="19">
        <f>_xlfn.XLOOKUP(Tab_Data_Flows[[#This Row],[Flow_Name]],Tab_Def_Flows[Flow_Name],Tab_Def_Flows[Flow_E6_Fraction'[%']],"N.A.",0,1)</f>
        <v>0</v>
      </c>
      <c r="AL198" s="2">
        <f>IF(Tab_Data_Flows[[#This Row],[Use_E6]]="Yes",Tab_Data_Flows[[#This Row],[E6_Fraction'[%']]]*Tab_Data_Flows[[#This Row],[E1_value]],"N.A.")</f>
        <v>0</v>
      </c>
      <c r="AM198" s="2" t="str">
        <f>Tab_Data_Flows[[#This Row],[E1_UoM]]</f>
        <v>Mg</v>
      </c>
    </row>
    <row r="199" spans="1:39" x14ac:dyDescent="0.25">
      <c r="A199" s="4">
        <f t="shared" si="7"/>
        <v>198</v>
      </c>
      <c r="B199" s="2" t="str">
        <f>_xlfn.XLOOKUP(C199,Tab_Def_Flows[Flow_Name],Tab_Def_Flows[Flow_ID],,0,)</f>
        <v>F__</v>
      </c>
      <c r="C199" s="18" t="s">
        <v>5</v>
      </c>
      <c r="D199" s="5" t="str">
        <f>_xlfn.XLOOKUP(C199,Tab_Def_Flows[Flow_Name],Tab_Def_Flows[Use_E1],,0,)</f>
        <v>Yes</v>
      </c>
      <c r="E199" s="5" t="str">
        <f>_xlfn.XLOOKUP(C199,Tab_Def_Flows[Flow_Name],Tab_Def_Flows[Use_E2],,0,)</f>
        <v>Yes</v>
      </c>
      <c r="F199" s="5" t="str">
        <f>_xlfn.XLOOKUP(C199,Tab_Def_Flows[Flow_Name],Tab_Def_Flows[Use_E3],,0,)</f>
        <v>Yes</v>
      </c>
      <c r="G199" s="5" t="str">
        <f>_xlfn.XLOOKUP(C199,Tab_Def_Flows[Flow_Name],Tab_Def_Flows[Use_E4],,0,)</f>
        <v>Yes</v>
      </c>
      <c r="H199" s="5" t="str">
        <f>_xlfn.XLOOKUP(C199,Tab_Def_Flows[Flow_Name],Tab_Def_Flows[Use_E5],,0,)</f>
        <v>Yes</v>
      </c>
      <c r="I199" s="5" t="str">
        <f>_xlfn.XLOOKUP(C199,Tab_Def_Flows[Flow_Name],Tab_Def_Flows[Use_E6],,0,)</f>
        <v>Yes</v>
      </c>
      <c r="J199" s="3"/>
      <c r="K199" s="3"/>
      <c r="L199" s="2" t="str">
        <f>'0_Configuration'!$C$41</f>
        <v>Mg</v>
      </c>
      <c r="M199" s="9"/>
      <c r="N199" s="9"/>
      <c r="O199" s="9"/>
      <c r="P199" s="9"/>
      <c r="Q199" s="18" t="s">
        <v>3</v>
      </c>
      <c r="R199" s="3"/>
      <c r="S199" s="3"/>
      <c r="T199" s="9"/>
      <c r="U199" s="9"/>
      <c r="V199" s="2">
        <f>_xlfn.XLOOKUP(Tab_Data_Flows[[#This Row],[Flow_Name]],Tab_Def_Flows[Flow_Name],Tab_Def_Flows[Flow_E1_Fraction'[%']],"N.A.",0,1)</f>
        <v>0</v>
      </c>
      <c r="W199" s="8">
        <f t="shared" si="6"/>
        <v>0</v>
      </c>
      <c r="X199" s="2" t="str">
        <f>Tab_Data_Flows[[#This Row],[UoM_Source]]</f>
        <v>Mg</v>
      </c>
      <c r="Y199" s="19">
        <f>_xlfn.XLOOKUP(Tab_Data_Flows[[#This Row],[Flow_Name]],Tab_Def_Flows[Flow_Name],Tab_Def_Flows[Flow_E2_Fraction'[%']],"N.A.",0,1)</f>
        <v>0</v>
      </c>
      <c r="Z199" s="2">
        <f>IF(D199="Yes",W199*Tab_Data_Flows[[#This Row],[E2_Fraction'[%']]],"N.A.")</f>
        <v>0</v>
      </c>
      <c r="AA199" s="2" t="str">
        <f>Tab_Data_Flows[[#This Row],[E1_UoM]]</f>
        <v>Mg</v>
      </c>
      <c r="AB199" s="19">
        <f>_xlfn.XLOOKUP(Tab_Data_Flows[[#This Row],[Flow_Name]],Tab_Def_Flows[Flow_Name],Tab_Def_Flows[Flow_E3_Fraction'[%']],"N.A.",0,1)</f>
        <v>0</v>
      </c>
      <c r="AC199" s="2">
        <f>IF(E199="Yes",AB199*Tab_Data_Flows[[#This Row],[E1_value]],"N.A.")</f>
        <v>0</v>
      </c>
      <c r="AD199" s="2" t="str">
        <f>Tab_Data_Flows[[#This Row],[E1_UoM]]</f>
        <v>Mg</v>
      </c>
      <c r="AE199" s="19">
        <f>_xlfn.XLOOKUP(Tab_Data_Flows[[#This Row],[Flow_Name]],Tab_Def_Flows[Flow_Name],Tab_Def_Flows[Flow_E4_Fraction'[%']],"N.A.",0,1)</f>
        <v>0</v>
      </c>
      <c r="AF199" s="2">
        <f>IF(H199="Yes",Tab_Data_Flows[[#This Row],[E4_Fraction'[%']]]*Tab_Data_Flows[[#This Row],[E1_value]],"N.A.")</f>
        <v>0</v>
      </c>
      <c r="AG199" s="2" t="str">
        <f>Tab_Data_Flows[[#This Row],[E1_UoM]]</f>
        <v>Mg</v>
      </c>
      <c r="AH199" s="2">
        <f>_xlfn.XLOOKUP(Tab_Data_Flows[[#This Row],[Flow_Name]],Tab_Def_Flows[Flow_Name],Tab_Def_Flows[Flow_E5_Fraction'[%']],"N.A.",0,1)</f>
        <v>0</v>
      </c>
      <c r="AI199" s="2">
        <f>IF(H199="Yes",Tab_Data_Flows[[#This Row],[E5_Fraction'[%']]]*Tab_Data_Flows[[#This Row],[E1_value]],"N.A.")</f>
        <v>0</v>
      </c>
      <c r="AJ199" s="2" t="str">
        <f>Tab_Data_Flows[[#This Row],[E1_UoM]]</f>
        <v>Mg</v>
      </c>
      <c r="AK199" s="19">
        <f>_xlfn.XLOOKUP(Tab_Data_Flows[[#This Row],[Flow_Name]],Tab_Def_Flows[Flow_Name],Tab_Def_Flows[Flow_E6_Fraction'[%']],"N.A.",0,1)</f>
        <v>0</v>
      </c>
      <c r="AL199" s="2">
        <f>IF(Tab_Data_Flows[[#This Row],[Use_E6]]="Yes",Tab_Data_Flows[[#This Row],[E6_Fraction'[%']]]*Tab_Data_Flows[[#This Row],[E1_value]],"N.A.")</f>
        <v>0</v>
      </c>
      <c r="AM199" s="2" t="str">
        <f>Tab_Data_Flows[[#This Row],[E1_UoM]]</f>
        <v>Mg</v>
      </c>
    </row>
    <row r="200" spans="1:39" x14ac:dyDescent="0.25">
      <c r="A200" s="4">
        <f t="shared" si="7"/>
        <v>199</v>
      </c>
      <c r="B200" s="2" t="str">
        <f>_xlfn.XLOOKUP(C200,Tab_Def_Flows[Flow_Name],Tab_Def_Flows[Flow_ID],,0,)</f>
        <v>F__</v>
      </c>
      <c r="C200" s="18" t="s">
        <v>5</v>
      </c>
      <c r="D200" s="5" t="str">
        <f>_xlfn.XLOOKUP(C200,Tab_Def_Flows[Flow_Name],Tab_Def_Flows[Use_E1],,0,)</f>
        <v>Yes</v>
      </c>
      <c r="E200" s="5" t="str">
        <f>_xlfn.XLOOKUP(C200,Tab_Def_Flows[Flow_Name],Tab_Def_Flows[Use_E2],,0,)</f>
        <v>Yes</v>
      </c>
      <c r="F200" s="5" t="str">
        <f>_xlfn.XLOOKUP(C200,Tab_Def_Flows[Flow_Name],Tab_Def_Flows[Use_E3],,0,)</f>
        <v>Yes</v>
      </c>
      <c r="G200" s="5" t="str">
        <f>_xlfn.XLOOKUP(C200,Tab_Def_Flows[Flow_Name],Tab_Def_Flows[Use_E4],,0,)</f>
        <v>Yes</v>
      </c>
      <c r="H200" s="5" t="str">
        <f>_xlfn.XLOOKUP(C200,Tab_Def_Flows[Flow_Name],Tab_Def_Flows[Use_E5],,0,)</f>
        <v>Yes</v>
      </c>
      <c r="I200" s="5" t="str">
        <f>_xlfn.XLOOKUP(C200,Tab_Def_Flows[Flow_Name],Tab_Def_Flows[Use_E6],,0,)</f>
        <v>Yes</v>
      </c>
      <c r="J200" s="3"/>
      <c r="K200" s="3"/>
      <c r="L200" s="2" t="str">
        <f>'0_Configuration'!$C$41</f>
        <v>Mg</v>
      </c>
      <c r="M200" s="9"/>
      <c r="N200" s="9"/>
      <c r="O200" s="9"/>
      <c r="P200" s="9"/>
      <c r="Q200" s="18" t="s">
        <v>3</v>
      </c>
      <c r="R200" s="3"/>
      <c r="S200" s="3"/>
      <c r="T200" s="9"/>
      <c r="U200" s="9"/>
      <c r="V200" s="2">
        <f>_xlfn.XLOOKUP(Tab_Data_Flows[[#This Row],[Flow_Name]],Tab_Def_Flows[Flow_Name],Tab_Def_Flows[Flow_E1_Fraction'[%']],"N.A.",0,1)</f>
        <v>0</v>
      </c>
      <c r="W200" s="8">
        <f t="shared" si="6"/>
        <v>0</v>
      </c>
      <c r="X200" s="2" t="str">
        <f>Tab_Data_Flows[[#This Row],[UoM_Source]]</f>
        <v>Mg</v>
      </c>
      <c r="Y200" s="19">
        <f>_xlfn.XLOOKUP(Tab_Data_Flows[[#This Row],[Flow_Name]],Tab_Def_Flows[Flow_Name],Tab_Def_Flows[Flow_E2_Fraction'[%']],"N.A.",0,1)</f>
        <v>0</v>
      </c>
      <c r="Z200" s="2">
        <f>IF(D200="Yes",W200*Tab_Data_Flows[[#This Row],[E2_Fraction'[%']]],"N.A.")</f>
        <v>0</v>
      </c>
      <c r="AA200" s="2" t="str">
        <f>Tab_Data_Flows[[#This Row],[E1_UoM]]</f>
        <v>Mg</v>
      </c>
      <c r="AB200" s="19">
        <f>_xlfn.XLOOKUP(Tab_Data_Flows[[#This Row],[Flow_Name]],Tab_Def_Flows[Flow_Name],Tab_Def_Flows[Flow_E3_Fraction'[%']],"N.A.",0,1)</f>
        <v>0</v>
      </c>
      <c r="AC200" s="2">
        <f>IF(E200="Yes",AB200*Tab_Data_Flows[[#This Row],[E1_value]],"N.A.")</f>
        <v>0</v>
      </c>
      <c r="AD200" s="2" t="str">
        <f>Tab_Data_Flows[[#This Row],[E1_UoM]]</f>
        <v>Mg</v>
      </c>
      <c r="AE200" s="19">
        <f>_xlfn.XLOOKUP(Tab_Data_Flows[[#This Row],[Flow_Name]],Tab_Def_Flows[Flow_Name],Tab_Def_Flows[Flow_E4_Fraction'[%']],"N.A.",0,1)</f>
        <v>0</v>
      </c>
      <c r="AF200" s="2">
        <f>IF(H200="Yes",Tab_Data_Flows[[#This Row],[E4_Fraction'[%']]]*Tab_Data_Flows[[#This Row],[E1_value]],"N.A.")</f>
        <v>0</v>
      </c>
      <c r="AG200" s="2" t="str">
        <f>Tab_Data_Flows[[#This Row],[E1_UoM]]</f>
        <v>Mg</v>
      </c>
      <c r="AH200" s="2">
        <f>_xlfn.XLOOKUP(Tab_Data_Flows[[#This Row],[Flow_Name]],Tab_Def_Flows[Flow_Name],Tab_Def_Flows[Flow_E5_Fraction'[%']],"N.A.",0,1)</f>
        <v>0</v>
      </c>
      <c r="AI200" s="2">
        <f>IF(H200="Yes",Tab_Data_Flows[[#This Row],[E5_Fraction'[%']]]*Tab_Data_Flows[[#This Row],[E1_value]],"N.A.")</f>
        <v>0</v>
      </c>
      <c r="AJ200" s="2" t="str">
        <f>Tab_Data_Flows[[#This Row],[E1_UoM]]</f>
        <v>Mg</v>
      </c>
      <c r="AK200" s="19">
        <f>_xlfn.XLOOKUP(Tab_Data_Flows[[#This Row],[Flow_Name]],Tab_Def_Flows[Flow_Name],Tab_Def_Flows[Flow_E6_Fraction'[%']],"N.A.",0,1)</f>
        <v>0</v>
      </c>
      <c r="AL200" s="2">
        <f>IF(Tab_Data_Flows[[#This Row],[Use_E6]]="Yes",Tab_Data_Flows[[#This Row],[E6_Fraction'[%']]]*Tab_Data_Flows[[#This Row],[E1_value]],"N.A.")</f>
        <v>0</v>
      </c>
      <c r="AM200" s="2" t="str">
        <f>Tab_Data_Flows[[#This Row],[E1_UoM]]</f>
        <v>Mg</v>
      </c>
    </row>
    <row r="201" spans="1:39" x14ac:dyDescent="0.25">
      <c r="A201" s="4">
        <f t="shared" si="7"/>
        <v>200</v>
      </c>
      <c r="B201" s="2" t="str">
        <f>_xlfn.XLOOKUP(C201,Tab_Def_Flows[Flow_Name],Tab_Def_Flows[Flow_ID],,0,)</f>
        <v>F__</v>
      </c>
      <c r="C201" s="18" t="s">
        <v>5</v>
      </c>
      <c r="D201" s="5" t="str">
        <f>_xlfn.XLOOKUP(C201,Tab_Def_Flows[Flow_Name],Tab_Def_Flows[Use_E1],,0,)</f>
        <v>Yes</v>
      </c>
      <c r="E201" s="5" t="str">
        <f>_xlfn.XLOOKUP(C201,Tab_Def_Flows[Flow_Name],Tab_Def_Flows[Use_E2],,0,)</f>
        <v>Yes</v>
      </c>
      <c r="F201" s="5" t="str">
        <f>_xlfn.XLOOKUP(C201,Tab_Def_Flows[Flow_Name],Tab_Def_Flows[Use_E3],,0,)</f>
        <v>Yes</v>
      </c>
      <c r="G201" s="5" t="str">
        <f>_xlfn.XLOOKUP(C201,Tab_Def_Flows[Flow_Name],Tab_Def_Flows[Use_E4],,0,)</f>
        <v>Yes</v>
      </c>
      <c r="H201" s="5" t="str">
        <f>_xlfn.XLOOKUP(C201,Tab_Def_Flows[Flow_Name],Tab_Def_Flows[Use_E5],,0,)</f>
        <v>Yes</v>
      </c>
      <c r="I201" s="5" t="str">
        <f>_xlfn.XLOOKUP(C201,Tab_Def_Flows[Flow_Name],Tab_Def_Flows[Use_E6],,0,)</f>
        <v>Yes</v>
      </c>
      <c r="J201" s="3"/>
      <c r="K201" s="3"/>
      <c r="L201" s="2" t="str">
        <f>'0_Configuration'!$C$41</f>
        <v>Mg</v>
      </c>
      <c r="M201" s="9"/>
      <c r="N201" s="9"/>
      <c r="O201" s="9"/>
      <c r="P201" s="9"/>
      <c r="Q201" s="18" t="s">
        <v>3</v>
      </c>
      <c r="R201" s="3"/>
      <c r="S201" s="3"/>
      <c r="T201" s="9"/>
      <c r="U201" s="9"/>
      <c r="V201" s="2">
        <f>_xlfn.XLOOKUP(Tab_Data_Flows[[#This Row],[Flow_Name]],Tab_Def_Flows[Flow_Name],Tab_Def_Flows[Flow_E1_Fraction'[%']],"N.A.",0,1)</f>
        <v>0</v>
      </c>
      <c r="W201" s="8">
        <f t="shared" si="6"/>
        <v>0</v>
      </c>
      <c r="X201" s="2" t="str">
        <f>Tab_Data_Flows[[#This Row],[UoM_Source]]</f>
        <v>Mg</v>
      </c>
      <c r="Y201" s="19">
        <f>_xlfn.XLOOKUP(Tab_Data_Flows[[#This Row],[Flow_Name]],Tab_Def_Flows[Flow_Name],Tab_Def_Flows[Flow_E2_Fraction'[%']],"N.A.",0,1)</f>
        <v>0</v>
      </c>
      <c r="Z201" s="2">
        <f>IF(D201="Yes",W201*Tab_Data_Flows[[#This Row],[E2_Fraction'[%']]],"N.A.")</f>
        <v>0</v>
      </c>
      <c r="AA201" s="2" t="str">
        <f>Tab_Data_Flows[[#This Row],[E1_UoM]]</f>
        <v>Mg</v>
      </c>
      <c r="AB201" s="19">
        <f>_xlfn.XLOOKUP(Tab_Data_Flows[[#This Row],[Flow_Name]],Tab_Def_Flows[Flow_Name],Tab_Def_Flows[Flow_E3_Fraction'[%']],"N.A.",0,1)</f>
        <v>0</v>
      </c>
      <c r="AC201" s="2">
        <f>IF(E201="Yes",AB201*Tab_Data_Flows[[#This Row],[E1_value]],"N.A.")</f>
        <v>0</v>
      </c>
      <c r="AD201" s="2" t="str">
        <f>Tab_Data_Flows[[#This Row],[E1_UoM]]</f>
        <v>Mg</v>
      </c>
      <c r="AE201" s="19">
        <f>_xlfn.XLOOKUP(Tab_Data_Flows[[#This Row],[Flow_Name]],Tab_Def_Flows[Flow_Name],Tab_Def_Flows[Flow_E4_Fraction'[%']],"N.A.",0,1)</f>
        <v>0</v>
      </c>
      <c r="AF201" s="2">
        <f>IF(H201="Yes",Tab_Data_Flows[[#This Row],[E4_Fraction'[%']]]*Tab_Data_Flows[[#This Row],[E1_value]],"N.A.")</f>
        <v>0</v>
      </c>
      <c r="AG201" s="2" t="str">
        <f>Tab_Data_Flows[[#This Row],[E1_UoM]]</f>
        <v>Mg</v>
      </c>
      <c r="AH201" s="2">
        <f>_xlfn.XLOOKUP(Tab_Data_Flows[[#This Row],[Flow_Name]],Tab_Def_Flows[Flow_Name],Tab_Def_Flows[Flow_E5_Fraction'[%']],"N.A.",0,1)</f>
        <v>0</v>
      </c>
      <c r="AI201" s="2">
        <f>IF(H201="Yes",Tab_Data_Flows[[#This Row],[E5_Fraction'[%']]]*Tab_Data_Flows[[#This Row],[E1_value]],"N.A.")</f>
        <v>0</v>
      </c>
      <c r="AJ201" s="2" t="str">
        <f>Tab_Data_Flows[[#This Row],[E1_UoM]]</f>
        <v>Mg</v>
      </c>
      <c r="AK201" s="19">
        <f>_xlfn.XLOOKUP(Tab_Data_Flows[[#This Row],[Flow_Name]],Tab_Def_Flows[Flow_Name],Tab_Def_Flows[Flow_E6_Fraction'[%']],"N.A.",0,1)</f>
        <v>0</v>
      </c>
      <c r="AL201" s="2">
        <f>IF(Tab_Data_Flows[[#This Row],[Use_E6]]="Yes",Tab_Data_Flows[[#This Row],[E6_Fraction'[%']]]*Tab_Data_Flows[[#This Row],[E1_value]],"N.A.")</f>
        <v>0</v>
      </c>
      <c r="AM201" s="2" t="str">
        <f>Tab_Data_Flows[[#This Row],[E1_UoM]]</f>
        <v>Mg</v>
      </c>
    </row>
    <row r="202" spans="1:39" x14ac:dyDescent="0.25">
      <c r="A202" s="4">
        <f t="shared" si="7"/>
        <v>201</v>
      </c>
      <c r="B202" s="2" t="str">
        <f>_xlfn.XLOOKUP(C202,Tab_Def_Flows[Flow_Name],Tab_Def_Flows[Flow_ID],,0,)</f>
        <v>F__</v>
      </c>
      <c r="C202" s="18" t="s">
        <v>5</v>
      </c>
      <c r="D202" s="5" t="str">
        <f>_xlfn.XLOOKUP(C202,Tab_Def_Flows[Flow_Name],Tab_Def_Flows[Use_E1],,0,)</f>
        <v>Yes</v>
      </c>
      <c r="E202" s="5" t="str">
        <f>_xlfn.XLOOKUP(C202,Tab_Def_Flows[Flow_Name],Tab_Def_Flows[Use_E2],,0,)</f>
        <v>Yes</v>
      </c>
      <c r="F202" s="5" t="str">
        <f>_xlfn.XLOOKUP(C202,Tab_Def_Flows[Flow_Name],Tab_Def_Flows[Use_E3],,0,)</f>
        <v>Yes</v>
      </c>
      <c r="G202" s="5" t="str">
        <f>_xlfn.XLOOKUP(C202,Tab_Def_Flows[Flow_Name],Tab_Def_Flows[Use_E4],,0,)</f>
        <v>Yes</v>
      </c>
      <c r="H202" s="5" t="str">
        <f>_xlfn.XLOOKUP(C202,Tab_Def_Flows[Flow_Name],Tab_Def_Flows[Use_E5],,0,)</f>
        <v>Yes</v>
      </c>
      <c r="I202" s="5" t="str">
        <f>_xlfn.XLOOKUP(C202,Tab_Def_Flows[Flow_Name],Tab_Def_Flows[Use_E6],,0,)</f>
        <v>Yes</v>
      </c>
      <c r="J202" s="3"/>
      <c r="K202" s="3"/>
      <c r="L202" s="2" t="str">
        <f>'0_Configuration'!$C$41</f>
        <v>Mg</v>
      </c>
      <c r="M202" s="9"/>
      <c r="N202" s="9"/>
      <c r="O202" s="9"/>
      <c r="P202" s="9"/>
      <c r="Q202" s="18" t="s">
        <v>3</v>
      </c>
      <c r="R202" s="3"/>
      <c r="S202" s="3"/>
      <c r="T202" s="9"/>
      <c r="U202" s="9"/>
      <c r="V202" s="2">
        <f>_xlfn.XLOOKUP(Tab_Data_Flows[[#This Row],[Flow_Name]],Tab_Def_Flows[Flow_Name],Tab_Def_Flows[Flow_E1_Fraction'[%']],"N.A.",0,1)</f>
        <v>0</v>
      </c>
      <c r="W202" s="8">
        <f t="shared" si="6"/>
        <v>0</v>
      </c>
      <c r="X202" s="2" t="str">
        <f>Tab_Data_Flows[[#This Row],[UoM_Source]]</f>
        <v>Mg</v>
      </c>
      <c r="Y202" s="19">
        <f>_xlfn.XLOOKUP(Tab_Data_Flows[[#This Row],[Flow_Name]],Tab_Def_Flows[Flow_Name],Tab_Def_Flows[Flow_E2_Fraction'[%']],"N.A.",0,1)</f>
        <v>0</v>
      </c>
      <c r="Z202" s="2">
        <f>IF(D202="Yes",W202*Tab_Data_Flows[[#This Row],[E2_Fraction'[%']]],"N.A.")</f>
        <v>0</v>
      </c>
      <c r="AA202" s="2" t="str">
        <f>Tab_Data_Flows[[#This Row],[E1_UoM]]</f>
        <v>Mg</v>
      </c>
      <c r="AB202" s="19">
        <f>_xlfn.XLOOKUP(Tab_Data_Flows[[#This Row],[Flow_Name]],Tab_Def_Flows[Flow_Name],Tab_Def_Flows[Flow_E3_Fraction'[%']],"N.A.",0,1)</f>
        <v>0</v>
      </c>
      <c r="AC202" s="2">
        <f>IF(E202="Yes",AB202*Tab_Data_Flows[[#This Row],[E1_value]],"N.A.")</f>
        <v>0</v>
      </c>
      <c r="AD202" s="2" t="str">
        <f>Tab_Data_Flows[[#This Row],[E1_UoM]]</f>
        <v>Mg</v>
      </c>
      <c r="AE202" s="19">
        <f>_xlfn.XLOOKUP(Tab_Data_Flows[[#This Row],[Flow_Name]],Tab_Def_Flows[Flow_Name],Tab_Def_Flows[Flow_E4_Fraction'[%']],"N.A.",0,1)</f>
        <v>0</v>
      </c>
      <c r="AF202" s="2">
        <f>IF(H202="Yes",Tab_Data_Flows[[#This Row],[E4_Fraction'[%']]]*Tab_Data_Flows[[#This Row],[E1_value]],"N.A.")</f>
        <v>0</v>
      </c>
      <c r="AG202" s="2" t="str">
        <f>Tab_Data_Flows[[#This Row],[E1_UoM]]</f>
        <v>Mg</v>
      </c>
      <c r="AH202" s="2">
        <f>_xlfn.XLOOKUP(Tab_Data_Flows[[#This Row],[Flow_Name]],Tab_Def_Flows[Flow_Name],Tab_Def_Flows[Flow_E5_Fraction'[%']],"N.A.",0,1)</f>
        <v>0</v>
      </c>
      <c r="AI202" s="2">
        <f>IF(H202="Yes",Tab_Data_Flows[[#This Row],[E5_Fraction'[%']]]*Tab_Data_Flows[[#This Row],[E1_value]],"N.A.")</f>
        <v>0</v>
      </c>
      <c r="AJ202" s="2" t="str">
        <f>Tab_Data_Flows[[#This Row],[E1_UoM]]</f>
        <v>Mg</v>
      </c>
      <c r="AK202" s="19">
        <f>_xlfn.XLOOKUP(Tab_Data_Flows[[#This Row],[Flow_Name]],Tab_Def_Flows[Flow_Name],Tab_Def_Flows[Flow_E6_Fraction'[%']],"N.A.",0,1)</f>
        <v>0</v>
      </c>
      <c r="AL202" s="2">
        <f>IF(Tab_Data_Flows[[#This Row],[Use_E6]]="Yes",Tab_Data_Flows[[#This Row],[E6_Fraction'[%']]]*Tab_Data_Flows[[#This Row],[E1_value]],"N.A.")</f>
        <v>0</v>
      </c>
      <c r="AM202" s="2" t="str">
        <f>Tab_Data_Flows[[#This Row],[E1_UoM]]</f>
        <v>Mg</v>
      </c>
    </row>
    <row r="203" spans="1:39" x14ac:dyDescent="0.25">
      <c r="A203" s="4">
        <f t="shared" si="7"/>
        <v>202</v>
      </c>
      <c r="B203" s="2" t="str">
        <f>_xlfn.XLOOKUP(C203,Tab_Def_Flows[Flow_Name],Tab_Def_Flows[Flow_ID],,0,)</f>
        <v>F__</v>
      </c>
      <c r="C203" s="18" t="s">
        <v>5</v>
      </c>
      <c r="D203" s="5" t="str">
        <f>_xlfn.XLOOKUP(C203,Tab_Def_Flows[Flow_Name],Tab_Def_Flows[Use_E1],,0,)</f>
        <v>Yes</v>
      </c>
      <c r="E203" s="5" t="str">
        <f>_xlfn.XLOOKUP(C203,Tab_Def_Flows[Flow_Name],Tab_Def_Flows[Use_E2],,0,)</f>
        <v>Yes</v>
      </c>
      <c r="F203" s="5" t="str">
        <f>_xlfn.XLOOKUP(C203,Tab_Def_Flows[Flow_Name],Tab_Def_Flows[Use_E3],,0,)</f>
        <v>Yes</v>
      </c>
      <c r="G203" s="5" t="str">
        <f>_xlfn.XLOOKUP(C203,Tab_Def_Flows[Flow_Name],Tab_Def_Flows[Use_E4],,0,)</f>
        <v>Yes</v>
      </c>
      <c r="H203" s="5" t="str">
        <f>_xlfn.XLOOKUP(C203,Tab_Def_Flows[Flow_Name],Tab_Def_Flows[Use_E5],,0,)</f>
        <v>Yes</v>
      </c>
      <c r="I203" s="5" t="str">
        <f>_xlfn.XLOOKUP(C203,Tab_Def_Flows[Flow_Name],Tab_Def_Flows[Use_E6],,0,)</f>
        <v>Yes</v>
      </c>
      <c r="J203" s="3"/>
      <c r="K203" s="3"/>
      <c r="L203" s="2" t="str">
        <f>'0_Configuration'!$C$41</f>
        <v>Mg</v>
      </c>
      <c r="M203" s="9"/>
      <c r="N203" s="9"/>
      <c r="O203" s="9"/>
      <c r="P203" s="9"/>
      <c r="Q203" s="18" t="s">
        <v>3</v>
      </c>
      <c r="R203" s="3"/>
      <c r="S203" s="3"/>
      <c r="T203" s="9"/>
      <c r="U203" s="9"/>
      <c r="V203" s="2">
        <f>_xlfn.XLOOKUP(Tab_Data_Flows[[#This Row],[Flow_Name]],Tab_Def_Flows[Flow_Name],Tab_Def_Flows[Flow_E1_Fraction'[%']],"N.A.",0,1)</f>
        <v>0</v>
      </c>
      <c r="W203" s="8">
        <f t="shared" si="6"/>
        <v>0</v>
      </c>
      <c r="X203" s="2" t="str">
        <f>Tab_Data_Flows[[#This Row],[UoM_Source]]</f>
        <v>Mg</v>
      </c>
      <c r="Y203" s="19">
        <f>_xlfn.XLOOKUP(Tab_Data_Flows[[#This Row],[Flow_Name]],Tab_Def_Flows[Flow_Name],Tab_Def_Flows[Flow_E2_Fraction'[%']],"N.A.",0,1)</f>
        <v>0</v>
      </c>
      <c r="Z203" s="2">
        <f>IF(D203="Yes",W203*Tab_Data_Flows[[#This Row],[E2_Fraction'[%']]],"N.A.")</f>
        <v>0</v>
      </c>
      <c r="AA203" s="2" t="str">
        <f>Tab_Data_Flows[[#This Row],[E1_UoM]]</f>
        <v>Mg</v>
      </c>
      <c r="AB203" s="19">
        <f>_xlfn.XLOOKUP(Tab_Data_Flows[[#This Row],[Flow_Name]],Tab_Def_Flows[Flow_Name],Tab_Def_Flows[Flow_E3_Fraction'[%']],"N.A.",0,1)</f>
        <v>0</v>
      </c>
      <c r="AC203" s="2">
        <f>IF(E203="Yes",AB203*Tab_Data_Flows[[#This Row],[E1_value]],"N.A.")</f>
        <v>0</v>
      </c>
      <c r="AD203" s="2" t="str">
        <f>Tab_Data_Flows[[#This Row],[E1_UoM]]</f>
        <v>Mg</v>
      </c>
      <c r="AE203" s="19">
        <f>_xlfn.XLOOKUP(Tab_Data_Flows[[#This Row],[Flow_Name]],Tab_Def_Flows[Flow_Name],Tab_Def_Flows[Flow_E4_Fraction'[%']],"N.A.",0,1)</f>
        <v>0</v>
      </c>
      <c r="AF203" s="2">
        <f>IF(H203="Yes",Tab_Data_Flows[[#This Row],[E4_Fraction'[%']]]*Tab_Data_Flows[[#This Row],[E1_value]],"N.A.")</f>
        <v>0</v>
      </c>
      <c r="AG203" s="2" t="str">
        <f>Tab_Data_Flows[[#This Row],[E1_UoM]]</f>
        <v>Mg</v>
      </c>
      <c r="AH203" s="2">
        <f>_xlfn.XLOOKUP(Tab_Data_Flows[[#This Row],[Flow_Name]],Tab_Def_Flows[Flow_Name],Tab_Def_Flows[Flow_E5_Fraction'[%']],"N.A.",0,1)</f>
        <v>0</v>
      </c>
      <c r="AI203" s="2">
        <f>IF(H203="Yes",Tab_Data_Flows[[#This Row],[E5_Fraction'[%']]]*Tab_Data_Flows[[#This Row],[E1_value]],"N.A.")</f>
        <v>0</v>
      </c>
      <c r="AJ203" s="2" t="str">
        <f>Tab_Data_Flows[[#This Row],[E1_UoM]]</f>
        <v>Mg</v>
      </c>
      <c r="AK203" s="19">
        <f>_xlfn.XLOOKUP(Tab_Data_Flows[[#This Row],[Flow_Name]],Tab_Def_Flows[Flow_Name],Tab_Def_Flows[Flow_E6_Fraction'[%']],"N.A.",0,1)</f>
        <v>0</v>
      </c>
      <c r="AL203" s="2">
        <f>IF(Tab_Data_Flows[[#This Row],[Use_E6]]="Yes",Tab_Data_Flows[[#This Row],[E6_Fraction'[%']]]*Tab_Data_Flows[[#This Row],[E1_value]],"N.A.")</f>
        <v>0</v>
      </c>
      <c r="AM203" s="2" t="str">
        <f>Tab_Data_Flows[[#This Row],[E1_UoM]]</f>
        <v>Mg</v>
      </c>
    </row>
    <row r="204" spans="1:39" x14ac:dyDescent="0.25">
      <c r="A204" s="4">
        <f t="shared" si="7"/>
        <v>203</v>
      </c>
      <c r="B204" s="2" t="str">
        <f>_xlfn.XLOOKUP(C204,Tab_Def_Flows[Flow_Name],Tab_Def_Flows[Flow_ID],,0,)</f>
        <v>F__</v>
      </c>
      <c r="C204" s="18" t="s">
        <v>5</v>
      </c>
      <c r="D204" s="5" t="str">
        <f>_xlfn.XLOOKUP(C204,Tab_Def_Flows[Flow_Name],Tab_Def_Flows[Use_E1],,0,)</f>
        <v>Yes</v>
      </c>
      <c r="E204" s="5" t="str">
        <f>_xlfn.XLOOKUP(C204,Tab_Def_Flows[Flow_Name],Tab_Def_Flows[Use_E2],,0,)</f>
        <v>Yes</v>
      </c>
      <c r="F204" s="5" t="str">
        <f>_xlfn.XLOOKUP(C204,Tab_Def_Flows[Flow_Name],Tab_Def_Flows[Use_E3],,0,)</f>
        <v>Yes</v>
      </c>
      <c r="G204" s="5" t="str">
        <f>_xlfn.XLOOKUP(C204,Tab_Def_Flows[Flow_Name],Tab_Def_Flows[Use_E4],,0,)</f>
        <v>Yes</v>
      </c>
      <c r="H204" s="5" t="str">
        <f>_xlfn.XLOOKUP(C204,Tab_Def_Flows[Flow_Name],Tab_Def_Flows[Use_E5],,0,)</f>
        <v>Yes</v>
      </c>
      <c r="I204" s="5" t="str">
        <f>_xlfn.XLOOKUP(C204,Tab_Def_Flows[Flow_Name],Tab_Def_Flows[Use_E6],,0,)</f>
        <v>Yes</v>
      </c>
      <c r="J204" s="3"/>
      <c r="K204" s="3"/>
      <c r="L204" s="2" t="str">
        <f>'0_Configuration'!$C$41</f>
        <v>Mg</v>
      </c>
      <c r="M204" s="9"/>
      <c r="N204" s="9"/>
      <c r="O204" s="9"/>
      <c r="P204" s="9"/>
      <c r="Q204" s="18" t="s">
        <v>3</v>
      </c>
      <c r="R204" s="3"/>
      <c r="S204" s="3"/>
      <c r="T204" s="9"/>
      <c r="U204" s="9"/>
      <c r="V204" s="2">
        <f>_xlfn.XLOOKUP(Tab_Data_Flows[[#This Row],[Flow_Name]],Tab_Def_Flows[Flow_Name],Tab_Def_Flows[Flow_E1_Fraction'[%']],"N.A.",0,1)</f>
        <v>0</v>
      </c>
      <c r="W204" s="8">
        <f t="shared" si="6"/>
        <v>0</v>
      </c>
      <c r="X204" s="2" t="str">
        <f>Tab_Data_Flows[[#This Row],[UoM_Source]]</f>
        <v>Mg</v>
      </c>
      <c r="Y204" s="19">
        <f>_xlfn.XLOOKUP(Tab_Data_Flows[[#This Row],[Flow_Name]],Tab_Def_Flows[Flow_Name],Tab_Def_Flows[Flow_E2_Fraction'[%']],"N.A.",0,1)</f>
        <v>0</v>
      </c>
      <c r="Z204" s="2">
        <f>IF(D204="Yes",W204*Tab_Data_Flows[[#This Row],[E2_Fraction'[%']]],"N.A.")</f>
        <v>0</v>
      </c>
      <c r="AA204" s="2" t="str">
        <f>Tab_Data_Flows[[#This Row],[E1_UoM]]</f>
        <v>Mg</v>
      </c>
      <c r="AB204" s="19">
        <f>_xlfn.XLOOKUP(Tab_Data_Flows[[#This Row],[Flow_Name]],Tab_Def_Flows[Flow_Name],Tab_Def_Flows[Flow_E3_Fraction'[%']],"N.A.",0,1)</f>
        <v>0</v>
      </c>
      <c r="AC204" s="2">
        <f>IF(E204="Yes",AB204*Tab_Data_Flows[[#This Row],[E1_value]],"N.A.")</f>
        <v>0</v>
      </c>
      <c r="AD204" s="2" t="str">
        <f>Tab_Data_Flows[[#This Row],[E1_UoM]]</f>
        <v>Mg</v>
      </c>
      <c r="AE204" s="19">
        <f>_xlfn.XLOOKUP(Tab_Data_Flows[[#This Row],[Flow_Name]],Tab_Def_Flows[Flow_Name],Tab_Def_Flows[Flow_E4_Fraction'[%']],"N.A.",0,1)</f>
        <v>0</v>
      </c>
      <c r="AF204" s="2">
        <f>IF(H204="Yes",Tab_Data_Flows[[#This Row],[E4_Fraction'[%']]]*Tab_Data_Flows[[#This Row],[E1_value]],"N.A.")</f>
        <v>0</v>
      </c>
      <c r="AG204" s="2" t="str">
        <f>Tab_Data_Flows[[#This Row],[E1_UoM]]</f>
        <v>Mg</v>
      </c>
      <c r="AH204" s="2">
        <f>_xlfn.XLOOKUP(Tab_Data_Flows[[#This Row],[Flow_Name]],Tab_Def_Flows[Flow_Name],Tab_Def_Flows[Flow_E5_Fraction'[%']],"N.A.",0,1)</f>
        <v>0</v>
      </c>
      <c r="AI204" s="2">
        <f>IF(H204="Yes",Tab_Data_Flows[[#This Row],[E5_Fraction'[%']]]*Tab_Data_Flows[[#This Row],[E1_value]],"N.A.")</f>
        <v>0</v>
      </c>
      <c r="AJ204" s="2" t="str">
        <f>Tab_Data_Flows[[#This Row],[E1_UoM]]</f>
        <v>Mg</v>
      </c>
      <c r="AK204" s="19">
        <f>_xlfn.XLOOKUP(Tab_Data_Flows[[#This Row],[Flow_Name]],Tab_Def_Flows[Flow_Name],Tab_Def_Flows[Flow_E6_Fraction'[%']],"N.A.",0,1)</f>
        <v>0</v>
      </c>
      <c r="AL204" s="2">
        <f>IF(Tab_Data_Flows[[#This Row],[Use_E6]]="Yes",Tab_Data_Flows[[#This Row],[E6_Fraction'[%']]]*Tab_Data_Flows[[#This Row],[E1_value]],"N.A.")</f>
        <v>0</v>
      </c>
      <c r="AM204" s="2" t="str">
        <f>Tab_Data_Flows[[#This Row],[E1_UoM]]</f>
        <v>Mg</v>
      </c>
    </row>
    <row r="205" spans="1:39" x14ac:dyDescent="0.25">
      <c r="A205" s="4">
        <f t="shared" si="7"/>
        <v>204</v>
      </c>
      <c r="B205" s="2" t="str">
        <f>_xlfn.XLOOKUP(C205,Tab_Def_Flows[Flow_Name],Tab_Def_Flows[Flow_ID],,0,)</f>
        <v>F__</v>
      </c>
      <c r="C205" s="18" t="s">
        <v>5</v>
      </c>
      <c r="D205" s="5" t="str">
        <f>_xlfn.XLOOKUP(C205,Tab_Def_Flows[Flow_Name],Tab_Def_Flows[Use_E1],,0,)</f>
        <v>Yes</v>
      </c>
      <c r="E205" s="5" t="str">
        <f>_xlfn.XLOOKUP(C205,Tab_Def_Flows[Flow_Name],Tab_Def_Flows[Use_E2],,0,)</f>
        <v>Yes</v>
      </c>
      <c r="F205" s="5" t="str">
        <f>_xlfn.XLOOKUP(C205,Tab_Def_Flows[Flow_Name],Tab_Def_Flows[Use_E3],,0,)</f>
        <v>Yes</v>
      </c>
      <c r="G205" s="5" t="str">
        <f>_xlfn.XLOOKUP(C205,Tab_Def_Flows[Flow_Name],Tab_Def_Flows[Use_E4],,0,)</f>
        <v>Yes</v>
      </c>
      <c r="H205" s="5" t="str">
        <f>_xlfn.XLOOKUP(C205,Tab_Def_Flows[Flow_Name],Tab_Def_Flows[Use_E5],,0,)</f>
        <v>Yes</v>
      </c>
      <c r="I205" s="5" t="str">
        <f>_xlfn.XLOOKUP(C205,Tab_Def_Flows[Flow_Name],Tab_Def_Flows[Use_E6],,0,)</f>
        <v>Yes</v>
      </c>
      <c r="J205" s="3"/>
      <c r="K205" s="3"/>
      <c r="L205" s="2" t="str">
        <f>'0_Configuration'!$C$41</f>
        <v>Mg</v>
      </c>
      <c r="M205" s="9"/>
      <c r="N205" s="9"/>
      <c r="O205" s="9"/>
      <c r="P205" s="9"/>
      <c r="Q205" s="18" t="s">
        <v>3</v>
      </c>
      <c r="R205" s="10"/>
      <c r="S205" s="3"/>
      <c r="T205" s="9"/>
      <c r="U205" s="9"/>
      <c r="V205" s="2">
        <f>_xlfn.XLOOKUP(Tab_Data_Flows[[#This Row],[Flow_Name]],Tab_Def_Flows[Flow_Name],Tab_Def_Flows[Flow_E1_Fraction'[%']],"N.A.",0,1)</f>
        <v>0</v>
      </c>
      <c r="W205" s="8">
        <f t="shared" si="6"/>
        <v>0</v>
      </c>
      <c r="X205" s="2" t="str">
        <f>Tab_Data_Flows[[#This Row],[UoM_Source]]</f>
        <v>Mg</v>
      </c>
      <c r="Y205" s="19">
        <f>_xlfn.XLOOKUP(Tab_Data_Flows[[#This Row],[Flow_Name]],Tab_Def_Flows[Flow_Name],Tab_Def_Flows[Flow_E2_Fraction'[%']],"N.A.",0,1)</f>
        <v>0</v>
      </c>
      <c r="Z205" s="2">
        <f>IF(D205="Yes",W205*Tab_Data_Flows[[#This Row],[E2_Fraction'[%']]],"N.A.")</f>
        <v>0</v>
      </c>
      <c r="AA205" s="2" t="str">
        <f>Tab_Data_Flows[[#This Row],[E1_UoM]]</f>
        <v>Mg</v>
      </c>
      <c r="AB205" s="19">
        <f>_xlfn.XLOOKUP(Tab_Data_Flows[[#This Row],[Flow_Name]],Tab_Def_Flows[Flow_Name],Tab_Def_Flows[Flow_E3_Fraction'[%']],"N.A.",0,1)</f>
        <v>0</v>
      </c>
      <c r="AC205" s="2">
        <f>IF(E205="Yes",AB205*Tab_Data_Flows[[#This Row],[E1_value]],"N.A.")</f>
        <v>0</v>
      </c>
      <c r="AD205" s="2" t="str">
        <f>Tab_Data_Flows[[#This Row],[E1_UoM]]</f>
        <v>Mg</v>
      </c>
      <c r="AE205" s="19">
        <f>_xlfn.XLOOKUP(Tab_Data_Flows[[#This Row],[Flow_Name]],Tab_Def_Flows[Flow_Name],Tab_Def_Flows[Flow_E4_Fraction'[%']],"N.A.",0,1)</f>
        <v>0</v>
      </c>
      <c r="AF205" s="2">
        <f>IF(H205="Yes",Tab_Data_Flows[[#This Row],[E4_Fraction'[%']]]*Tab_Data_Flows[[#This Row],[E1_value]],"N.A.")</f>
        <v>0</v>
      </c>
      <c r="AG205" s="2" t="str">
        <f>Tab_Data_Flows[[#This Row],[E1_UoM]]</f>
        <v>Mg</v>
      </c>
      <c r="AH205" s="2">
        <f>_xlfn.XLOOKUP(Tab_Data_Flows[[#This Row],[Flow_Name]],Tab_Def_Flows[Flow_Name],Tab_Def_Flows[Flow_E5_Fraction'[%']],"N.A.",0,1)</f>
        <v>0</v>
      </c>
      <c r="AI205" s="2">
        <f>IF(H205="Yes",Tab_Data_Flows[[#This Row],[E5_Fraction'[%']]]*Tab_Data_Flows[[#This Row],[E1_value]],"N.A.")</f>
        <v>0</v>
      </c>
      <c r="AJ205" s="2" t="str">
        <f>Tab_Data_Flows[[#This Row],[E1_UoM]]</f>
        <v>Mg</v>
      </c>
      <c r="AK205" s="19">
        <f>_xlfn.XLOOKUP(Tab_Data_Flows[[#This Row],[Flow_Name]],Tab_Def_Flows[Flow_Name],Tab_Def_Flows[Flow_E6_Fraction'[%']],"N.A.",0,1)</f>
        <v>0</v>
      </c>
      <c r="AL205" s="2">
        <f>IF(Tab_Data_Flows[[#This Row],[Use_E6]]="Yes",Tab_Data_Flows[[#This Row],[E6_Fraction'[%']]]*Tab_Data_Flows[[#This Row],[E1_value]],"N.A.")</f>
        <v>0</v>
      </c>
      <c r="AM205" s="2" t="str">
        <f>Tab_Data_Flows[[#This Row],[E1_UoM]]</f>
        <v>Mg</v>
      </c>
    </row>
    <row r="206" spans="1:39" x14ac:dyDescent="0.25">
      <c r="A206" s="4">
        <f t="shared" si="7"/>
        <v>205</v>
      </c>
      <c r="B206" s="2" t="str">
        <f>_xlfn.XLOOKUP(C206,Tab_Def_Flows[Flow_Name],Tab_Def_Flows[Flow_ID],,0,)</f>
        <v>F__</v>
      </c>
      <c r="C206" s="18" t="s">
        <v>5</v>
      </c>
      <c r="D206" s="5" t="str">
        <f>_xlfn.XLOOKUP(C206,Tab_Def_Flows[Flow_Name],Tab_Def_Flows[Use_E1],,0,)</f>
        <v>Yes</v>
      </c>
      <c r="E206" s="5" t="str">
        <f>_xlfn.XLOOKUP(C206,Tab_Def_Flows[Flow_Name],Tab_Def_Flows[Use_E2],,0,)</f>
        <v>Yes</v>
      </c>
      <c r="F206" s="5" t="str">
        <f>_xlfn.XLOOKUP(C206,Tab_Def_Flows[Flow_Name],Tab_Def_Flows[Use_E3],,0,)</f>
        <v>Yes</v>
      </c>
      <c r="G206" s="5" t="str">
        <f>_xlfn.XLOOKUP(C206,Tab_Def_Flows[Flow_Name],Tab_Def_Flows[Use_E4],,0,)</f>
        <v>Yes</v>
      </c>
      <c r="H206" s="5" t="str">
        <f>_xlfn.XLOOKUP(C206,Tab_Def_Flows[Flow_Name],Tab_Def_Flows[Use_E5],,0,)</f>
        <v>Yes</v>
      </c>
      <c r="I206" s="5" t="str">
        <f>_xlfn.XLOOKUP(C206,Tab_Def_Flows[Flow_Name],Tab_Def_Flows[Use_E6],,0,)</f>
        <v>Yes</v>
      </c>
      <c r="J206" s="3"/>
      <c r="K206" s="3"/>
      <c r="L206" s="2" t="str">
        <f>'0_Configuration'!$C$41</f>
        <v>Mg</v>
      </c>
      <c r="M206" s="9"/>
      <c r="N206" s="9"/>
      <c r="O206" s="9"/>
      <c r="P206" s="9"/>
      <c r="Q206" s="18" t="s">
        <v>3</v>
      </c>
      <c r="R206" s="10"/>
      <c r="S206" s="3"/>
      <c r="T206" s="9"/>
      <c r="U206" s="9"/>
      <c r="V206" s="2">
        <f>_xlfn.XLOOKUP(Tab_Data_Flows[[#This Row],[Flow_Name]],Tab_Def_Flows[Flow_Name],Tab_Def_Flows[Flow_E1_Fraction'[%']],"N.A.",0,1)</f>
        <v>0</v>
      </c>
      <c r="W206" s="8">
        <f t="shared" si="6"/>
        <v>0</v>
      </c>
      <c r="X206" s="2" t="str">
        <f>Tab_Data_Flows[[#This Row],[UoM_Source]]</f>
        <v>Mg</v>
      </c>
      <c r="Y206" s="19">
        <f>_xlfn.XLOOKUP(Tab_Data_Flows[[#This Row],[Flow_Name]],Tab_Def_Flows[Flow_Name],Tab_Def_Flows[Flow_E2_Fraction'[%']],"N.A.",0,1)</f>
        <v>0</v>
      </c>
      <c r="Z206" s="2">
        <f>IF(D206="Yes",W206*Tab_Data_Flows[[#This Row],[E2_Fraction'[%']]],"N.A.")</f>
        <v>0</v>
      </c>
      <c r="AA206" s="2" t="str">
        <f>Tab_Data_Flows[[#This Row],[E1_UoM]]</f>
        <v>Mg</v>
      </c>
      <c r="AB206" s="19">
        <f>_xlfn.XLOOKUP(Tab_Data_Flows[[#This Row],[Flow_Name]],Tab_Def_Flows[Flow_Name],Tab_Def_Flows[Flow_E3_Fraction'[%']],"N.A.",0,1)</f>
        <v>0</v>
      </c>
      <c r="AC206" s="2">
        <f>IF(E206="Yes",AB206*Tab_Data_Flows[[#This Row],[E1_value]],"N.A.")</f>
        <v>0</v>
      </c>
      <c r="AD206" s="2" t="str">
        <f>Tab_Data_Flows[[#This Row],[E1_UoM]]</f>
        <v>Mg</v>
      </c>
      <c r="AE206" s="19">
        <f>_xlfn.XLOOKUP(Tab_Data_Flows[[#This Row],[Flow_Name]],Tab_Def_Flows[Flow_Name],Tab_Def_Flows[Flow_E4_Fraction'[%']],"N.A.",0,1)</f>
        <v>0</v>
      </c>
      <c r="AF206" s="2">
        <f>IF(H206="Yes",Tab_Data_Flows[[#This Row],[E4_Fraction'[%']]]*Tab_Data_Flows[[#This Row],[E1_value]],"N.A.")</f>
        <v>0</v>
      </c>
      <c r="AG206" s="2" t="str">
        <f>Tab_Data_Flows[[#This Row],[E1_UoM]]</f>
        <v>Mg</v>
      </c>
      <c r="AH206" s="2">
        <f>_xlfn.XLOOKUP(Tab_Data_Flows[[#This Row],[Flow_Name]],Tab_Def_Flows[Flow_Name],Tab_Def_Flows[Flow_E5_Fraction'[%']],"N.A.",0,1)</f>
        <v>0</v>
      </c>
      <c r="AI206" s="2">
        <f>IF(H206="Yes",Tab_Data_Flows[[#This Row],[E5_Fraction'[%']]]*Tab_Data_Flows[[#This Row],[E1_value]],"N.A.")</f>
        <v>0</v>
      </c>
      <c r="AJ206" s="2" t="str">
        <f>Tab_Data_Flows[[#This Row],[E1_UoM]]</f>
        <v>Mg</v>
      </c>
      <c r="AK206" s="19">
        <f>_xlfn.XLOOKUP(Tab_Data_Flows[[#This Row],[Flow_Name]],Tab_Def_Flows[Flow_Name],Tab_Def_Flows[Flow_E6_Fraction'[%']],"N.A.",0,1)</f>
        <v>0</v>
      </c>
      <c r="AL206" s="2">
        <f>IF(Tab_Data_Flows[[#This Row],[Use_E6]]="Yes",Tab_Data_Flows[[#This Row],[E6_Fraction'[%']]]*Tab_Data_Flows[[#This Row],[E1_value]],"N.A.")</f>
        <v>0</v>
      </c>
      <c r="AM206" s="2" t="str">
        <f>Tab_Data_Flows[[#This Row],[E1_UoM]]</f>
        <v>Mg</v>
      </c>
    </row>
    <row r="207" spans="1:39" x14ac:dyDescent="0.25">
      <c r="A207" s="4">
        <f t="shared" si="7"/>
        <v>206</v>
      </c>
      <c r="B207" s="2" t="str">
        <f>_xlfn.XLOOKUP(C207,Tab_Def_Flows[Flow_Name],Tab_Def_Flows[Flow_ID],,0,)</f>
        <v>F__</v>
      </c>
      <c r="C207" s="18" t="s">
        <v>5</v>
      </c>
      <c r="D207" s="5" t="str">
        <f>_xlfn.XLOOKUP(C207,Tab_Def_Flows[Flow_Name],Tab_Def_Flows[Use_E1],,0,)</f>
        <v>Yes</v>
      </c>
      <c r="E207" s="5" t="str">
        <f>_xlfn.XLOOKUP(C207,Tab_Def_Flows[Flow_Name],Tab_Def_Flows[Use_E2],,0,)</f>
        <v>Yes</v>
      </c>
      <c r="F207" s="5" t="str">
        <f>_xlfn.XLOOKUP(C207,Tab_Def_Flows[Flow_Name],Tab_Def_Flows[Use_E3],,0,)</f>
        <v>Yes</v>
      </c>
      <c r="G207" s="5" t="str">
        <f>_xlfn.XLOOKUP(C207,Tab_Def_Flows[Flow_Name],Tab_Def_Flows[Use_E4],,0,)</f>
        <v>Yes</v>
      </c>
      <c r="H207" s="5" t="str">
        <f>_xlfn.XLOOKUP(C207,Tab_Def_Flows[Flow_Name],Tab_Def_Flows[Use_E5],,0,)</f>
        <v>Yes</v>
      </c>
      <c r="I207" s="5" t="str">
        <f>_xlfn.XLOOKUP(C207,Tab_Def_Flows[Flow_Name],Tab_Def_Flows[Use_E6],,0,)</f>
        <v>Yes</v>
      </c>
      <c r="J207" s="3"/>
      <c r="K207" s="3"/>
      <c r="L207" s="2" t="str">
        <f>'0_Configuration'!$C$41</f>
        <v>Mg</v>
      </c>
      <c r="M207" s="9"/>
      <c r="N207" s="9"/>
      <c r="O207" s="9"/>
      <c r="P207" s="9"/>
      <c r="Q207" s="18" t="s">
        <v>3</v>
      </c>
      <c r="R207" s="10"/>
      <c r="S207" s="3"/>
      <c r="T207" s="9"/>
      <c r="U207" s="9"/>
      <c r="V207" s="2">
        <f>_xlfn.XLOOKUP(Tab_Data_Flows[[#This Row],[Flow_Name]],Tab_Def_Flows[Flow_Name],Tab_Def_Flows[Flow_E1_Fraction'[%']],"N.A.",0,1)</f>
        <v>0</v>
      </c>
      <c r="W207" s="8">
        <f t="shared" si="6"/>
        <v>0</v>
      </c>
      <c r="X207" s="2" t="str">
        <f>Tab_Data_Flows[[#This Row],[UoM_Source]]</f>
        <v>Mg</v>
      </c>
      <c r="Y207" s="19">
        <f>_xlfn.XLOOKUP(Tab_Data_Flows[[#This Row],[Flow_Name]],Tab_Def_Flows[Flow_Name],Tab_Def_Flows[Flow_E2_Fraction'[%']],"N.A.",0,1)</f>
        <v>0</v>
      </c>
      <c r="Z207" s="2">
        <f>IF(D207="Yes",W207*Tab_Data_Flows[[#This Row],[E2_Fraction'[%']]],"N.A.")</f>
        <v>0</v>
      </c>
      <c r="AA207" s="2" t="str">
        <f>Tab_Data_Flows[[#This Row],[E1_UoM]]</f>
        <v>Mg</v>
      </c>
      <c r="AB207" s="19">
        <f>_xlfn.XLOOKUP(Tab_Data_Flows[[#This Row],[Flow_Name]],Tab_Def_Flows[Flow_Name],Tab_Def_Flows[Flow_E3_Fraction'[%']],"N.A.",0,1)</f>
        <v>0</v>
      </c>
      <c r="AC207" s="2">
        <f>IF(E207="Yes",AB207*Tab_Data_Flows[[#This Row],[E1_value]],"N.A.")</f>
        <v>0</v>
      </c>
      <c r="AD207" s="2" t="str">
        <f>Tab_Data_Flows[[#This Row],[E1_UoM]]</f>
        <v>Mg</v>
      </c>
      <c r="AE207" s="19">
        <f>_xlfn.XLOOKUP(Tab_Data_Flows[[#This Row],[Flow_Name]],Tab_Def_Flows[Flow_Name],Tab_Def_Flows[Flow_E4_Fraction'[%']],"N.A.",0,1)</f>
        <v>0</v>
      </c>
      <c r="AF207" s="2">
        <f>IF(H207="Yes",Tab_Data_Flows[[#This Row],[E4_Fraction'[%']]]*Tab_Data_Flows[[#This Row],[E1_value]],"N.A.")</f>
        <v>0</v>
      </c>
      <c r="AG207" s="2" t="str">
        <f>Tab_Data_Flows[[#This Row],[E1_UoM]]</f>
        <v>Mg</v>
      </c>
      <c r="AH207" s="2">
        <f>_xlfn.XLOOKUP(Tab_Data_Flows[[#This Row],[Flow_Name]],Tab_Def_Flows[Flow_Name],Tab_Def_Flows[Flow_E5_Fraction'[%']],"N.A.",0,1)</f>
        <v>0</v>
      </c>
      <c r="AI207" s="2">
        <f>IF(H207="Yes",Tab_Data_Flows[[#This Row],[E5_Fraction'[%']]]*Tab_Data_Flows[[#This Row],[E1_value]],"N.A.")</f>
        <v>0</v>
      </c>
      <c r="AJ207" s="2" t="str">
        <f>Tab_Data_Flows[[#This Row],[E1_UoM]]</f>
        <v>Mg</v>
      </c>
      <c r="AK207" s="19">
        <f>_xlfn.XLOOKUP(Tab_Data_Flows[[#This Row],[Flow_Name]],Tab_Def_Flows[Flow_Name],Tab_Def_Flows[Flow_E6_Fraction'[%']],"N.A.",0,1)</f>
        <v>0</v>
      </c>
      <c r="AL207" s="2">
        <f>IF(Tab_Data_Flows[[#This Row],[Use_E6]]="Yes",Tab_Data_Flows[[#This Row],[E6_Fraction'[%']]]*Tab_Data_Flows[[#This Row],[E1_value]],"N.A.")</f>
        <v>0</v>
      </c>
      <c r="AM207" s="2" t="str">
        <f>Tab_Data_Flows[[#This Row],[E1_UoM]]</f>
        <v>Mg</v>
      </c>
    </row>
    <row r="208" spans="1:39" x14ac:dyDescent="0.25">
      <c r="A208" s="4">
        <f t="shared" si="7"/>
        <v>207</v>
      </c>
      <c r="B208" s="2" t="str">
        <f>_xlfn.XLOOKUP(C208,Tab_Def_Flows[Flow_Name],Tab_Def_Flows[Flow_ID],,0,)</f>
        <v>F__</v>
      </c>
      <c r="C208" s="18" t="s">
        <v>5</v>
      </c>
      <c r="D208" s="5" t="str">
        <f>_xlfn.XLOOKUP(C208,Tab_Def_Flows[Flow_Name],Tab_Def_Flows[Use_E1],,0,)</f>
        <v>Yes</v>
      </c>
      <c r="E208" s="5" t="str">
        <f>_xlfn.XLOOKUP(C208,Tab_Def_Flows[Flow_Name],Tab_Def_Flows[Use_E2],,0,)</f>
        <v>Yes</v>
      </c>
      <c r="F208" s="5" t="str">
        <f>_xlfn.XLOOKUP(C208,Tab_Def_Flows[Flow_Name],Tab_Def_Flows[Use_E3],,0,)</f>
        <v>Yes</v>
      </c>
      <c r="G208" s="5" t="str">
        <f>_xlfn.XLOOKUP(C208,Tab_Def_Flows[Flow_Name],Tab_Def_Flows[Use_E4],,0,)</f>
        <v>Yes</v>
      </c>
      <c r="H208" s="5" t="str">
        <f>_xlfn.XLOOKUP(C208,Tab_Def_Flows[Flow_Name],Tab_Def_Flows[Use_E5],,0,)</f>
        <v>Yes</v>
      </c>
      <c r="I208" s="5" t="str">
        <f>_xlfn.XLOOKUP(C208,Tab_Def_Flows[Flow_Name],Tab_Def_Flows[Use_E6],,0,)</f>
        <v>Yes</v>
      </c>
      <c r="J208" s="3"/>
      <c r="K208" s="3"/>
      <c r="L208" s="2" t="str">
        <f>'0_Configuration'!$C$41</f>
        <v>Mg</v>
      </c>
      <c r="M208" s="9"/>
      <c r="N208" s="9"/>
      <c r="O208" s="9"/>
      <c r="P208" s="9"/>
      <c r="Q208" s="18" t="s">
        <v>3</v>
      </c>
      <c r="R208" s="10"/>
      <c r="S208" s="3"/>
      <c r="T208" s="9"/>
      <c r="U208" s="9"/>
      <c r="V208" s="2">
        <f>_xlfn.XLOOKUP(Tab_Data_Flows[[#This Row],[Flow_Name]],Tab_Def_Flows[Flow_Name],Tab_Def_Flows[Flow_E1_Fraction'[%']],"N.A.",0,1)</f>
        <v>0</v>
      </c>
      <c r="W208" s="8">
        <f t="shared" si="6"/>
        <v>0</v>
      </c>
      <c r="X208" s="2" t="str">
        <f>Tab_Data_Flows[[#This Row],[UoM_Source]]</f>
        <v>Mg</v>
      </c>
      <c r="Y208" s="19">
        <f>_xlfn.XLOOKUP(Tab_Data_Flows[[#This Row],[Flow_Name]],Tab_Def_Flows[Flow_Name],Tab_Def_Flows[Flow_E2_Fraction'[%']],"N.A.",0,1)</f>
        <v>0</v>
      </c>
      <c r="Z208" s="2">
        <f>IF(D208="Yes",W208*Tab_Data_Flows[[#This Row],[E2_Fraction'[%']]],"N.A.")</f>
        <v>0</v>
      </c>
      <c r="AA208" s="2" t="str">
        <f>Tab_Data_Flows[[#This Row],[E1_UoM]]</f>
        <v>Mg</v>
      </c>
      <c r="AB208" s="19">
        <f>_xlfn.XLOOKUP(Tab_Data_Flows[[#This Row],[Flow_Name]],Tab_Def_Flows[Flow_Name],Tab_Def_Flows[Flow_E3_Fraction'[%']],"N.A.",0,1)</f>
        <v>0</v>
      </c>
      <c r="AC208" s="2">
        <f>IF(E208="Yes",AB208*Tab_Data_Flows[[#This Row],[E1_value]],"N.A.")</f>
        <v>0</v>
      </c>
      <c r="AD208" s="2" t="str">
        <f>Tab_Data_Flows[[#This Row],[E1_UoM]]</f>
        <v>Mg</v>
      </c>
      <c r="AE208" s="19">
        <f>_xlfn.XLOOKUP(Tab_Data_Flows[[#This Row],[Flow_Name]],Tab_Def_Flows[Flow_Name],Tab_Def_Flows[Flow_E4_Fraction'[%']],"N.A.",0,1)</f>
        <v>0</v>
      </c>
      <c r="AF208" s="2">
        <f>IF(H208="Yes",Tab_Data_Flows[[#This Row],[E4_Fraction'[%']]]*Tab_Data_Flows[[#This Row],[E1_value]],"N.A.")</f>
        <v>0</v>
      </c>
      <c r="AG208" s="2" t="str">
        <f>Tab_Data_Flows[[#This Row],[E1_UoM]]</f>
        <v>Mg</v>
      </c>
      <c r="AH208" s="2">
        <f>_xlfn.XLOOKUP(Tab_Data_Flows[[#This Row],[Flow_Name]],Tab_Def_Flows[Flow_Name],Tab_Def_Flows[Flow_E5_Fraction'[%']],"N.A.",0,1)</f>
        <v>0</v>
      </c>
      <c r="AI208" s="2">
        <f>IF(H208="Yes",Tab_Data_Flows[[#This Row],[E5_Fraction'[%']]]*Tab_Data_Flows[[#This Row],[E1_value]],"N.A.")</f>
        <v>0</v>
      </c>
      <c r="AJ208" s="2" t="str">
        <f>Tab_Data_Flows[[#This Row],[E1_UoM]]</f>
        <v>Mg</v>
      </c>
      <c r="AK208" s="19">
        <f>_xlfn.XLOOKUP(Tab_Data_Flows[[#This Row],[Flow_Name]],Tab_Def_Flows[Flow_Name],Tab_Def_Flows[Flow_E6_Fraction'[%']],"N.A.",0,1)</f>
        <v>0</v>
      </c>
      <c r="AL208" s="2">
        <f>IF(Tab_Data_Flows[[#This Row],[Use_E6]]="Yes",Tab_Data_Flows[[#This Row],[E6_Fraction'[%']]]*Tab_Data_Flows[[#This Row],[E1_value]],"N.A.")</f>
        <v>0</v>
      </c>
      <c r="AM208" s="2" t="str">
        <f>Tab_Data_Flows[[#This Row],[E1_UoM]]</f>
        <v>Mg</v>
      </c>
    </row>
    <row r="209" spans="1:39" x14ac:dyDescent="0.25">
      <c r="A209" s="4">
        <f t="shared" si="7"/>
        <v>208</v>
      </c>
      <c r="B209" s="2" t="str">
        <f>_xlfn.XLOOKUP(C209,Tab_Def_Flows[Flow_Name],Tab_Def_Flows[Flow_ID],,0,)</f>
        <v>F__</v>
      </c>
      <c r="C209" s="18" t="s">
        <v>5</v>
      </c>
      <c r="D209" s="5" t="str">
        <f>_xlfn.XLOOKUP(C209,Tab_Def_Flows[Flow_Name],Tab_Def_Flows[Use_E1],,0,)</f>
        <v>Yes</v>
      </c>
      <c r="E209" s="5" t="str">
        <f>_xlfn.XLOOKUP(C209,Tab_Def_Flows[Flow_Name],Tab_Def_Flows[Use_E2],,0,)</f>
        <v>Yes</v>
      </c>
      <c r="F209" s="5" t="str">
        <f>_xlfn.XLOOKUP(C209,Tab_Def_Flows[Flow_Name],Tab_Def_Flows[Use_E3],,0,)</f>
        <v>Yes</v>
      </c>
      <c r="G209" s="5" t="str">
        <f>_xlfn.XLOOKUP(C209,Tab_Def_Flows[Flow_Name],Tab_Def_Flows[Use_E4],,0,)</f>
        <v>Yes</v>
      </c>
      <c r="H209" s="5" t="str">
        <f>_xlfn.XLOOKUP(C209,Tab_Def_Flows[Flow_Name],Tab_Def_Flows[Use_E5],,0,)</f>
        <v>Yes</v>
      </c>
      <c r="I209" s="5" t="str">
        <f>_xlfn.XLOOKUP(C209,Tab_Def_Flows[Flow_Name],Tab_Def_Flows[Use_E6],,0,)</f>
        <v>Yes</v>
      </c>
      <c r="J209" s="3"/>
      <c r="K209" s="3"/>
      <c r="L209" s="2" t="str">
        <f>'0_Configuration'!$C$41</f>
        <v>Mg</v>
      </c>
      <c r="M209" s="9"/>
      <c r="N209" s="9"/>
      <c r="O209" s="9"/>
      <c r="P209" s="9"/>
      <c r="Q209" s="18" t="s">
        <v>3</v>
      </c>
      <c r="R209" s="10"/>
      <c r="S209" s="3"/>
      <c r="T209" s="9"/>
      <c r="U209" s="9"/>
      <c r="V209" s="2">
        <f>_xlfn.XLOOKUP(Tab_Data_Flows[[#This Row],[Flow_Name]],Tab_Def_Flows[Flow_Name],Tab_Def_Flows[Flow_E1_Fraction'[%']],"N.A.",0,1)</f>
        <v>0</v>
      </c>
      <c r="W209" s="8">
        <f t="shared" si="6"/>
        <v>0</v>
      </c>
      <c r="X209" s="2" t="str">
        <f>Tab_Data_Flows[[#This Row],[UoM_Source]]</f>
        <v>Mg</v>
      </c>
      <c r="Y209" s="19">
        <f>_xlfn.XLOOKUP(Tab_Data_Flows[[#This Row],[Flow_Name]],Tab_Def_Flows[Flow_Name],Tab_Def_Flows[Flow_E2_Fraction'[%']],"N.A.",0,1)</f>
        <v>0</v>
      </c>
      <c r="Z209" s="2">
        <f>IF(D209="Yes",W209*Tab_Data_Flows[[#This Row],[E2_Fraction'[%']]],"N.A.")</f>
        <v>0</v>
      </c>
      <c r="AA209" s="2" t="str">
        <f>Tab_Data_Flows[[#This Row],[E1_UoM]]</f>
        <v>Mg</v>
      </c>
      <c r="AB209" s="19">
        <f>_xlfn.XLOOKUP(Tab_Data_Flows[[#This Row],[Flow_Name]],Tab_Def_Flows[Flow_Name],Tab_Def_Flows[Flow_E3_Fraction'[%']],"N.A.",0,1)</f>
        <v>0</v>
      </c>
      <c r="AC209" s="2">
        <f>IF(E209="Yes",AB209*Tab_Data_Flows[[#This Row],[E1_value]],"N.A.")</f>
        <v>0</v>
      </c>
      <c r="AD209" s="2" t="str">
        <f>Tab_Data_Flows[[#This Row],[E1_UoM]]</f>
        <v>Mg</v>
      </c>
      <c r="AE209" s="19">
        <f>_xlfn.XLOOKUP(Tab_Data_Flows[[#This Row],[Flow_Name]],Tab_Def_Flows[Flow_Name],Tab_Def_Flows[Flow_E4_Fraction'[%']],"N.A.",0,1)</f>
        <v>0</v>
      </c>
      <c r="AF209" s="2">
        <f>IF(H209="Yes",Tab_Data_Flows[[#This Row],[E4_Fraction'[%']]]*Tab_Data_Flows[[#This Row],[E1_value]],"N.A.")</f>
        <v>0</v>
      </c>
      <c r="AG209" s="2" t="str">
        <f>Tab_Data_Flows[[#This Row],[E1_UoM]]</f>
        <v>Mg</v>
      </c>
      <c r="AH209" s="2">
        <f>_xlfn.XLOOKUP(Tab_Data_Flows[[#This Row],[Flow_Name]],Tab_Def_Flows[Flow_Name],Tab_Def_Flows[Flow_E5_Fraction'[%']],"N.A.",0,1)</f>
        <v>0</v>
      </c>
      <c r="AI209" s="2">
        <f>IF(H209="Yes",Tab_Data_Flows[[#This Row],[E5_Fraction'[%']]]*Tab_Data_Flows[[#This Row],[E1_value]],"N.A.")</f>
        <v>0</v>
      </c>
      <c r="AJ209" s="2" t="str">
        <f>Tab_Data_Flows[[#This Row],[E1_UoM]]</f>
        <v>Mg</v>
      </c>
      <c r="AK209" s="19">
        <f>_xlfn.XLOOKUP(Tab_Data_Flows[[#This Row],[Flow_Name]],Tab_Def_Flows[Flow_Name],Tab_Def_Flows[Flow_E6_Fraction'[%']],"N.A.",0,1)</f>
        <v>0</v>
      </c>
      <c r="AL209" s="2">
        <f>IF(Tab_Data_Flows[[#This Row],[Use_E6]]="Yes",Tab_Data_Flows[[#This Row],[E6_Fraction'[%']]]*Tab_Data_Flows[[#This Row],[E1_value]],"N.A.")</f>
        <v>0</v>
      </c>
      <c r="AM209" s="2" t="str">
        <f>Tab_Data_Flows[[#This Row],[E1_UoM]]</f>
        <v>Mg</v>
      </c>
    </row>
    <row r="210" spans="1:39" x14ac:dyDescent="0.25">
      <c r="A210" s="4">
        <f t="shared" si="7"/>
        <v>209</v>
      </c>
      <c r="B210" s="2" t="str">
        <f>_xlfn.XLOOKUP(C210,Tab_Def_Flows[Flow_Name],Tab_Def_Flows[Flow_ID],,0,)</f>
        <v>F__</v>
      </c>
      <c r="C210" s="18" t="s">
        <v>5</v>
      </c>
      <c r="D210" s="5" t="str">
        <f>_xlfn.XLOOKUP(C210,Tab_Def_Flows[Flow_Name],Tab_Def_Flows[Use_E1],,0,)</f>
        <v>Yes</v>
      </c>
      <c r="E210" s="5" t="str">
        <f>_xlfn.XLOOKUP(C210,Tab_Def_Flows[Flow_Name],Tab_Def_Flows[Use_E2],,0,)</f>
        <v>Yes</v>
      </c>
      <c r="F210" s="5" t="str">
        <f>_xlfn.XLOOKUP(C210,Tab_Def_Flows[Flow_Name],Tab_Def_Flows[Use_E3],,0,)</f>
        <v>Yes</v>
      </c>
      <c r="G210" s="5" t="str">
        <f>_xlfn.XLOOKUP(C210,Tab_Def_Flows[Flow_Name],Tab_Def_Flows[Use_E4],,0,)</f>
        <v>Yes</v>
      </c>
      <c r="H210" s="5" t="str">
        <f>_xlfn.XLOOKUP(C210,Tab_Def_Flows[Flow_Name],Tab_Def_Flows[Use_E5],,0,)</f>
        <v>Yes</v>
      </c>
      <c r="I210" s="5" t="str">
        <f>_xlfn.XLOOKUP(C210,Tab_Def_Flows[Flow_Name],Tab_Def_Flows[Use_E6],,0,)</f>
        <v>Yes</v>
      </c>
      <c r="J210" s="3"/>
      <c r="K210" s="3"/>
      <c r="L210" s="2" t="str">
        <f>'0_Configuration'!$C$41</f>
        <v>Mg</v>
      </c>
      <c r="M210" s="9"/>
      <c r="N210" s="9"/>
      <c r="O210" s="9"/>
      <c r="P210" s="9"/>
      <c r="Q210" s="18" t="s">
        <v>3</v>
      </c>
      <c r="R210" s="10"/>
      <c r="S210" s="3"/>
      <c r="T210" s="9"/>
      <c r="U210" s="9"/>
      <c r="V210" s="2">
        <f>_xlfn.XLOOKUP(Tab_Data_Flows[[#This Row],[Flow_Name]],Tab_Def_Flows[Flow_Name],Tab_Def_Flows[Flow_E1_Fraction'[%']],"N.A.",0,1)</f>
        <v>0</v>
      </c>
      <c r="W210" s="8">
        <f t="shared" si="6"/>
        <v>0</v>
      </c>
      <c r="X210" s="2" t="str">
        <f>Tab_Data_Flows[[#This Row],[UoM_Source]]</f>
        <v>Mg</v>
      </c>
      <c r="Y210" s="19">
        <f>_xlfn.XLOOKUP(Tab_Data_Flows[[#This Row],[Flow_Name]],Tab_Def_Flows[Flow_Name],Tab_Def_Flows[Flow_E2_Fraction'[%']],"N.A.",0,1)</f>
        <v>0</v>
      </c>
      <c r="Z210" s="2">
        <f>IF(D210="Yes",W210*Tab_Data_Flows[[#This Row],[E2_Fraction'[%']]],"N.A.")</f>
        <v>0</v>
      </c>
      <c r="AA210" s="2" t="str">
        <f>Tab_Data_Flows[[#This Row],[E1_UoM]]</f>
        <v>Mg</v>
      </c>
      <c r="AB210" s="19">
        <f>_xlfn.XLOOKUP(Tab_Data_Flows[[#This Row],[Flow_Name]],Tab_Def_Flows[Flow_Name],Tab_Def_Flows[Flow_E3_Fraction'[%']],"N.A.",0,1)</f>
        <v>0</v>
      </c>
      <c r="AC210" s="2">
        <f>IF(E210="Yes",AB210*Tab_Data_Flows[[#This Row],[E1_value]],"N.A.")</f>
        <v>0</v>
      </c>
      <c r="AD210" s="2" t="str">
        <f>Tab_Data_Flows[[#This Row],[E1_UoM]]</f>
        <v>Mg</v>
      </c>
      <c r="AE210" s="19">
        <f>_xlfn.XLOOKUP(Tab_Data_Flows[[#This Row],[Flow_Name]],Tab_Def_Flows[Flow_Name],Tab_Def_Flows[Flow_E4_Fraction'[%']],"N.A.",0,1)</f>
        <v>0</v>
      </c>
      <c r="AF210" s="2">
        <f>IF(H210="Yes",Tab_Data_Flows[[#This Row],[E4_Fraction'[%']]]*Tab_Data_Flows[[#This Row],[E1_value]],"N.A.")</f>
        <v>0</v>
      </c>
      <c r="AG210" s="2" t="str">
        <f>Tab_Data_Flows[[#This Row],[E1_UoM]]</f>
        <v>Mg</v>
      </c>
      <c r="AH210" s="2">
        <f>_xlfn.XLOOKUP(Tab_Data_Flows[[#This Row],[Flow_Name]],Tab_Def_Flows[Flow_Name],Tab_Def_Flows[Flow_E5_Fraction'[%']],"N.A.",0,1)</f>
        <v>0</v>
      </c>
      <c r="AI210" s="2">
        <f>IF(H210="Yes",Tab_Data_Flows[[#This Row],[E5_Fraction'[%']]]*Tab_Data_Flows[[#This Row],[E1_value]],"N.A.")</f>
        <v>0</v>
      </c>
      <c r="AJ210" s="2" t="str">
        <f>Tab_Data_Flows[[#This Row],[E1_UoM]]</f>
        <v>Mg</v>
      </c>
      <c r="AK210" s="19">
        <f>_xlfn.XLOOKUP(Tab_Data_Flows[[#This Row],[Flow_Name]],Tab_Def_Flows[Flow_Name],Tab_Def_Flows[Flow_E6_Fraction'[%']],"N.A.",0,1)</f>
        <v>0</v>
      </c>
      <c r="AL210" s="2">
        <f>IF(Tab_Data_Flows[[#This Row],[Use_E6]]="Yes",Tab_Data_Flows[[#This Row],[E6_Fraction'[%']]]*Tab_Data_Flows[[#This Row],[E1_value]],"N.A.")</f>
        <v>0</v>
      </c>
      <c r="AM210" s="2" t="str">
        <f>Tab_Data_Flows[[#This Row],[E1_UoM]]</f>
        <v>Mg</v>
      </c>
    </row>
    <row r="211" spans="1:39" x14ac:dyDescent="0.25">
      <c r="A211" s="4">
        <f t="shared" si="7"/>
        <v>210</v>
      </c>
      <c r="B211" s="2" t="str">
        <f>_xlfn.XLOOKUP(C211,Tab_Def_Flows[Flow_Name],Tab_Def_Flows[Flow_ID],,0,)</f>
        <v>F__</v>
      </c>
      <c r="C211" s="18" t="s">
        <v>5</v>
      </c>
      <c r="D211" s="5" t="str">
        <f>_xlfn.XLOOKUP(C211,Tab_Def_Flows[Flow_Name],Tab_Def_Flows[Use_E1],,0,)</f>
        <v>Yes</v>
      </c>
      <c r="E211" s="5" t="str">
        <f>_xlfn.XLOOKUP(C211,Tab_Def_Flows[Flow_Name],Tab_Def_Flows[Use_E2],,0,)</f>
        <v>Yes</v>
      </c>
      <c r="F211" s="5" t="str">
        <f>_xlfn.XLOOKUP(C211,Tab_Def_Flows[Flow_Name],Tab_Def_Flows[Use_E3],,0,)</f>
        <v>Yes</v>
      </c>
      <c r="G211" s="5" t="str">
        <f>_xlfn.XLOOKUP(C211,Tab_Def_Flows[Flow_Name],Tab_Def_Flows[Use_E4],,0,)</f>
        <v>Yes</v>
      </c>
      <c r="H211" s="5" t="str">
        <f>_xlfn.XLOOKUP(C211,Tab_Def_Flows[Flow_Name],Tab_Def_Flows[Use_E5],,0,)</f>
        <v>Yes</v>
      </c>
      <c r="I211" s="5" t="str">
        <f>_xlfn.XLOOKUP(C211,Tab_Def_Flows[Flow_Name],Tab_Def_Flows[Use_E6],,0,)</f>
        <v>Yes</v>
      </c>
      <c r="J211" s="3"/>
      <c r="K211" s="3"/>
      <c r="L211" s="2" t="str">
        <f>'0_Configuration'!$C$41</f>
        <v>Mg</v>
      </c>
      <c r="M211" s="9"/>
      <c r="N211" s="9"/>
      <c r="O211" s="9"/>
      <c r="P211" s="9"/>
      <c r="Q211" s="18" t="s">
        <v>3</v>
      </c>
      <c r="R211" s="10"/>
      <c r="S211" s="3"/>
      <c r="T211" s="9"/>
      <c r="U211" s="9"/>
      <c r="V211" s="2">
        <f>_xlfn.XLOOKUP(Tab_Data_Flows[[#This Row],[Flow_Name]],Tab_Def_Flows[Flow_Name],Tab_Def_Flows[Flow_E1_Fraction'[%']],"N.A.",0,1)</f>
        <v>0</v>
      </c>
      <c r="W211" s="8">
        <f t="shared" si="6"/>
        <v>0</v>
      </c>
      <c r="X211" s="2" t="str">
        <f>Tab_Data_Flows[[#This Row],[UoM_Source]]</f>
        <v>Mg</v>
      </c>
      <c r="Y211" s="19">
        <f>_xlfn.XLOOKUP(Tab_Data_Flows[[#This Row],[Flow_Name]],Tab_Def_Flows[Flow_Name],Tab_Def_Flows[Flow_E2_Fraction'[%']],"N.A.",0,1)</f>
        <v>0</v>
      </c>
      <c r="Z211" s="2">
        <f>IF(D211="Yes",W211*Tab_Data_Flows[[#This Row],[E2_Fraction'[%']]],"N.A.")</f>
        <v>0</v>
      </c>
      <c r="AA211" s="2" t="str">
        <f>Tab_Data_Flows[[#This Row],[E1_UoM]]</f>
        <v>Mg</v>
      </c>
      <c r="AB211" s="19">
        <f>_xlfn.XLOOKUP(Tab_Data_Flows[[#This Row],[Flow_Name]],Tab_Def_Flows[Flow_Name],Tab_Def_Flows[Flow_E3_Fraction'[%']],"N.A.",0,1)</f>
        <v>0</v>
      </c>
      <c r="AC211" s="2">
        <f>IF(E211="Yes",AB211*Tab_Data_Flows[[#This Row],[E1_value]],"N.A.")</f>
        <v>0</v>
      </c>
      <c r="AD211" s="2" t="str">
        <f>Tab_Data_Flows[[#This Row],[E1_UoM]]</f>
        <v>Mg</v>
      </c>
      <c r="AE211" s="19">
        <f>_xlfn.XLOOKUP(Tab_Data_Flows[[#This Row],[Flow_Name]],Tab_Def_Flows[Flow_Name],Tab_Def_Flows[Flow_E4_Fraction'[%']],"N.A.",0,1)</f>
        <v>0</v>
      </c>
      <c r="AF211" s="2">
        <f>IF(H211="Yes",Tab_Data_Flows[[#This Row],[E4_Fraction'[%']]]*Tab_Data_Flows[[#This Row],[E1_value]],"N.A.")</f>
        <v>0</v>
      </c>
      <c r="AG211" s="2" t="str">
        <f>Tab_Data_Flows[[#This Row],[E1_UoM]]</f>
        <v>Mg</v>
      </c>
      <c r="AH211" s="2">
        <f>_xlfn.XLOOKUP(Tab_Data_Flows[[#This Row],[Flow_Name]],Tab_Def_Flows[Flow_Name],Tab_Def_Flows[Flow_E5_Fraction'[%']],"N.A.",0,1)</f>
        <v>0</v>
      </c>
      <c r="AI211" s="2">
        <f>IF(H211="Yes",Tab_Data_Flows[[#This Row],[E5_Fraction'[%']]]*Tab_Data_Flows[[#This Row],[E1_value]],"N.A.")</f>
        <v>0</v>
      </c>
      <c r="AJ211" s="2" t="str">
        <f>Tab_Data_Flows[[#This Row],[E1_UoM]]</f>
        <v>Mg</v>
      </c>
      <c r="AK211" s="19">
        <f>_xlfn.XLOOKUP(Tab_Data_Flows[[#This Row],[Flow_Name]],Tab_Def_Flows[Flow_Name],Tab_Def_Flows[Flow_E6_Fraction'[%']],"N.A.",0,1)</f>
        <v>0</v>
      </c>
      <c r="AL211" s="2">
        <f>IF(Tab_Data_Flows[[#This Row],[Use_E6]]="Yes",Tab_Data_Flows[[#This Row],[E6_Fraction'[%']]]*Tab_Data_Flows[[#This Row],[E1_value]],"N.A.")</f>
        <v>0</v>
      </c>
      <c r="AM211" s="2" t="str">
        <f>Tab_Data_Flows[[#This Row],[E1_UoM]]</f>
        <v>Mg</v>
      </c>
    </row>
    <row r="212" spans="1:39" x14ac:dyDescent="0.25">
      <c r="A212" s="4">
        <f t="shared" si="7"/>
        <v>211</v>
      </c>
      <c r="B212" s="2" t="str">
        <f>_xlfn.XLOOKUP(C212,Tab_Def_Flows[Flow_Name],Tab_Def_Flows[Flow_ID],,0,)</f>
        <v>F__</v>
      </c>
      <c r="C212" s="18" t="s">
        <v>5</v>
      </c>
      <c r="D212" s="5" t="str">
        <f>_xlfn.XLOOKUP(C212,Tab_Def_Flows[Flow_Name],Tab_Def_Flows[Use_E1],,0,)</f>
        <v>Yes</v>
      </c>
      <c r="E212" s="5" t="str">
        <f>_xlfn.XLOOKUP(C212,Tab_Def_Flows[Flow_Name],Tab_Def_Flows[Use_E2],,0,)</f>
        <v>Yes</v>
      </c>
      <c r="F212" s="5" t="str">
        <f>_xlfn.XLOOKUP(C212,Tab_Def_Flows[Flow_Name],Tab_Def_Flows[Use_E3],,0,)</f>
        <v>Yes</v>
      </c>
      <c r="G212" s="5" t="str">
        <f>_xlfn.XLOOKUP(C212,Tab_Def_Flows[Flow_Name],Tab_Def_Flows[Use_E4],,0,)</f>
        <v>Yes</v>
      </c>
      <c r="H212" s="5" t="str">
        <f>_xlfn.XLOOKUP(C212,Tab_Def_Flows[Flow_Name],Tab_Def_Flows[Use_E5],,0,)</f>
        <v>Yes</v>
      </c>
      <c r="I212" s="5" t="str">
        <f>_xlfn.XLOOKUP(C212,Tab_Def_Flows[Flow_Name],Tab_Def_Flows[Use_E6],,0,)</f>
        <v>Yes</v>
      </c>
      <c r="J212" s="3"/>
      <c r="K212" s="3"/>
      <c r="L212" s="2" t="str">
        <f>'0_Configuration'!$C$41</f>
        <v>Mg</v>
      </c>
      <c r="M212" s="9"/>
      <c r="N212" s="9"/>
      <c r="O212" s="9"/>
      <c r="P212" s="9"/>
      <c r="Q212" s="18" t="s">
        <v>3</v>
      </c>
      <c r="R212" s="10"/>
      <c r="S212" s="3"/>
      <c r="T212" s="9"/>
      <c r="U212" s="9"/>
      <c r="V212" s="2">
        <f>_xlfn.XLOOKUP(Tab_Data_Flows[[#This Row],[Flow_Name]],Tab_Def_Flows[Flow_Name],Tab_Def_Flows[Flow_E1_Fraction'[%']],"N.A.",0,1)</f>
        <v>0</v>
      </c>
      <c r="W212" s="8">
        <f t="shared" si="6"/>
        <v>0</v>
      </c>
      <c r="X212" s="2" t="str">
        <f>Tab_Data_Flows[[#This Row],[UoM_Source]]</f>
        <v>Mg</v>
      </c>
      <c r="Y212" s="19">
        <f>_xlfn.XLOOKUP(Tab_Data_Flows[[#This Row],[Flow_Name]],Tab_Def_Flows[Flow_Name],Tab_Def_Flows[Flow_E2_Fraction'[%']],"N.A.",0,1)</f>
        <v>0</v>
      </c>
      <c r="Z212" s="2">
        <f>IF(D212="Yes",W212*Tab_Data_Flows[[#This Row],[E2_Fraction'[%']]],"N.A.")</f>
        <v>0</v>
      </c>
      <c r="AA212" s="2" t="str">
        <f>Tab_Data_Flows[[#This Row],[E1_UoM]]</f>
        <v>Mg</v>
      </c>
      <c r="AB212" s="19">
        <f>_xlfn.XLOOKUP(Tab_Data_Flows[[#This Row],[Flow_Name]],Tab_Def_Flows[Flow_Name],Tab_Def_Flows[Flow_E3_Fraction'[%']],"N.A.",0,1)</f>
        <v>0</v>
      </c>
      <c r="AC212" s="2">
        <f>IF(E212="Yes",AB212*Tab_Data_Flows[[#This Row],[E1_value]],"N.A.")</f>
        <v>0</v>
      </c>
      <c r="AD212" s="2" t="str">
        <f>Tab_Data_Flows[[#This Row],[E1_UoM]]</f>
        <v>Mg</v>
      </c>
      <c r="AE212" s="19">
        <f>_xlfn.XLOOKUP(Tab_Data_Flows[[#This Row],[Flow_Name]],Tab_Def_Flows[Flow_Name],Tab_Def_Flows[Flow_E4_Fraction'[%']],"N.A.",0,1)</f>
        <v>0</v>
      </c>
      <c r="AF212" s="2">
        <f>IF(H212="Yes",Tab_Data_Flows[[#This Row],[E4_Fraction'[%']]]*Tab_Data_Flows[[#This Row],[E1_value]],"N.A.")</f>
        <v>0</v>
      </c>
      <c r="AG212" s="2" t="str">
        <f>Tab_Data_Flows[[#This Row],[E1_UoM]]</f>
        <v>Mg</v>
      </c>
      <c r="AH212" s="2">
        <f>_xlfn.XLOOKUP(Tab_Data_Flows[[#This Row],[Flow_Name]],Tab_Def_Flows[Flow_Name],Tab_Def_Flows[Flow_E5_Fraction'[%']],"N.A.",0,1)</f>
        <v>0</v>
      </c>
      <c r="AI212" s="2">
        <f>IF(H212="Yes",Tab_Data_Flows[[#This Row],[E5_Fraction'[%']]]*Tab_Data_Flows[[#This Row],[E1_value]],"N.A.")</f>
        <v>0</v>
      </c>
      <c r="AJ212" s="2" t="str">
        <f>Tab_Data_Flows[[#This Row],[E1_UoM]]</f>
        <v>Mg</v>
      </c>
      <c r="AK212" s="19">
        <f>_xlfn.XLOOKUP(Tab_Data_Flows[[#This Row],[Flow_Name]],Tab_Def_Flows[Flow_Name],Tab_Def_Flows[Flow_E6_Fraction'[%']],"N.A.",0,1)</f>
        <v>0</v>
      </c>
      <c r="AL212" s="2">
        <f>IF(Tab_Data_Flows[[#This Row],[Use_E6]]="Yes",Tab_Data_Flows[[#This Row],[E6_Fraction'[%']]]*Tab_Data_Flows[[#This Row],[E1_value]],"N.A.")</f>
        <v>0</v>
      </c>
      <c r="AM212" s="2" t="str">
        <f>Tab_Data_Flows[[#This Row],[E1_UoM]]</f>
        <v>Mg</v>
      </c>
    </row>
    <row r="213" spans="1:39" x14ac:dyDescent="0.25">
      <c r="A213" s="4">
        <f t="shared" si="7"/>
        <v>212</v>
      </c>
      <c r="B213" s="2" t="str">
        <f>_xlfn.XLOOKUP(C213,Tab_Def_Flows[Flow_Name],Tab_Def_Flows[Flow_ID],,0,)</f>
        <v>F__</v>
      </c>
      <c r="C213" s="18" t="s">
        <v>5</v>
      </c>
      <c r="D213" s="5" t="str">
        <f>_xlfn.XLOOKUP(C213,Tab_Def_Flows[Flow_Name],Tab_Def_Flows[Use_E1],,0,)</f>
        <v>Yes</v>
      </c>
      <c r="E213" s="5" t="str">
        <f>_xlfn.XLOOKUP(C213,Tab_Def_Flows[Flow_Name],Tab_Def_Flows[Use_E2],,0,)</f>
        <v>Yes</v>
      </c>
      <c r="F213" s="5" t="str">
        <f>_xlfn.XLOOKUP(C213,Tab_Def_Flows[Flow_Name],Tab_Def_Flows[Use_E3],,0,)</f>
        <v>Yes</v>
      </c>
      <c r="G213" s="5" t="str">
        <f>_xlfn.XLOOKUP(C213,Tab_Def_Flows[Flow_Name],Tab_Def_Flows[Use_E4],,0,)</f>
        <v>Yes</v>
      </c>
      <c r="H213" s="5" t="str">
        <f>_xlfn.XLOOKUP(C213,Tab_Def_Flows[Flow_Name],Tab_Def_Flows[Use_E5],,0,)</f>
        <v>Yes</v>
      </c>
      <c r="I213" s="5" t="str">
        <f>_xlfn.XLOOKUP(C213,Tab_Def_Flows[Flow_Name],Tab_Def_Flows[Use_E6],,0,)</f>
        <v>Yes</v>
      </c>
      <c r="J213" s="3"/>
      <c r="K213" s="3"/>
      <c r="L213" s="2" t="str">
        <f>'0_Configuration'!$C$41</f>
        <v>Mg</v>
      </c>
      <c r="M213" s="9"/>
      <c r="N213" s="9"/>
      <c r="O213" s="9"/>
      <c r="P213" s="9"/>
      <c r="Q213" s="18" t="s">
        <v>3</v>
      </c>
      <c r="R213" s="10"/>
      <c r="S213" s="3"/>
      <c r="T213" s="9"/>
      <c r="U213" s="9"/>
      <c r="V213" s="2">
        <f>_xlfn.XLOOKUP(Tab_Data_Flows[[#This Row],[Flow_Name]],Tab_Def_Flows[Flow_Name],Tab_Def_Flows[Flow_E1_Fraction'[%']],"N.A.",0,1)</f>
        <v>0</v>
      </c>
      <c r="W213" s="8">
        <f t="shared" si="6"/>
        <v>0</v>
      </c>
      <c r="X213" s="2" t="str">
        <f>Tab_Data_Flows[[#This Row],[UoM_Source]]</f>
        <v>Mg</v>
      </c>
      <c r="Y213" s="19">
        <f>_xlfn.XLOOKUP(Tab_Data_Flows[[#This Row],[Flow_Name]],Tab_Def_Flows[Flow_Name],Tab_Def_Flows[Flow_E2_Fraction'[%']],"N.A.",0,1)</f>
        <v>0</v>
      </c>
      <c r="Z213" s="2">
        <f>IF(D213="Yes",W213*Tab_Data_Flows[[#This Row],[E2_Fraction'[%']]],"N.A.")</f>
        <v>0</v>
      </c>
      <c r="AA213" s="2" t="str">
        <f>Tab_Data_Flows[[#This Row],[E1_UoM]]</f>
        <v>Mg</v>
      </c>
      <c r="AB213" s="19">
        <f>_xlfn.XLOOKUP(Tab_Data_Flows[[#This Row],[Flow_Name]],Tab_Def_Flows[Flow_Name],Tab_Def_Flows[Flow_E3_Fraction'[%']],"N.A.",0,1)</f>
        <v>0</v>
      </c>
      <c r="AC213" s="2">
        <f>IF(E213="Yes",AB213*Tab_Data_Flows[[#This Row],[E1_value]],"N.A.")</f>
        <v>0</v>
      </c>
      <c r="AD213" s="2" t="str">
        <f>Tab_Data_Flows[[#This Row],[E1_UoM]]</f>
        <v>Mg</v>
      </c>
      <c r="AE213" s="19">
        <f>_xlfn.XLOOKUP(Tab_Data_Flows[[#This Row],[Flow_Name]],Tab_Def_Flows[Flow_Name],Tab_Def_Flows[Flow_E4_Fraction'[%']],"N.A.",0,1)</f>
        <v>0</v>
      </c>
      <c r="AF213" s="2">
        <f>IF(H213="Yes",Tab_Data_Flows[[#This Row],[E4_Fraction'[%']]]*Tab_Data_Flows[[#This Row],[E1_value]],"N.A.")</f>
        <v>0</v>
      </c>
      <c r="AG213" s="2" t="str">
        <f>Tab_Data_Flows[[#This Row],[E1_UoM]]</f>
        <v>Mg</v>
      </c>
      <c r="AH213" s="2">
        <f>_xlfn.XLOOKUP(Tab_Data_Flows[[#This Row],[Flow_Name]],Tab_Def_Flows[Flow_Name],Tab_Def_Flows[Flow_E5_Fraction'[%']],"N.A.",0,1)</f>
        <v>0</v>
      </c>
      <c r="AI213" s="2">
        <f>IF(H213="Yes",Tab_Data_Flows[[#This Row],[E5_Fraction'[%']]]*Tab_Data_Flows[[#This Row],[E1_value]],"N.A.")</f>
        <v>0</v>
      </c>
      <c r="AJ213" s="2" t="str">
        <f>Tab_Data_Flows[[#This Row],[E1_UoM]]</f>
        <v>Mg</v>
      </c>
      <c r="AK213" s="19">
        <f>_xlfn.XLOOKUP(Tab_Data_Flows[[#This Row],[Flow_Name]],Tab_Def_Flows[Flow_Name],Tab_Def_Flows[Flow_E6_Fraction'[%']],"N.A.",0,1)</f>
        <v>0</v>
      </c>
      <c r="AL213" s="2">
        <f>IF(Tab_Data_Flows[[#This Row],[Use_E6]]="Yes",Tab_Data_Flows[[#This Row],[E6_Fraction'[%']]]*Tab_Data_Flows[[#This Row],[E1_value]],"N.A.")</f>
        <v>0</v>
      </c>
      <c r="AM213" s="2" t="str">
        <f>Tab_Data_Flows[[#This Row],[E1_UoM]]</f>
        <v>Mg</v>
      </c>
    </row>
    <row r="214" spans="1:39" x14ac:dyDescent="0.25">
      <c r="A214" s="4">
        <f t="shared" si="7"/>
        <v>213</v>
      </c>
      <c r="B214" s="2" t="str">
        <f>_xlfn.XLOOKUP(C214,Tab_Def_Flows[Flow_Name],Tab_Def_Flows[Flow_ID],,0,)</f>
        <v>F__</v>
      </c>
      <c r="C214" s="18" t="s">
        <v>5</v>
      </c>
      <c r="D214" s="5" t="str">
        <f>_xlfn.XLOOKUP(C214,Tab_Def_Flows[Flow_Name],Tab_Def_Flows[Use_E1],,0,)</f>
        <v>Yes</v>
      </c>
      <c r="E214" s="5" t="str">
        <f>_xlfn.XLOOKUP(C214,Tab_Def_Flows[Flow_Name],Tab_Def_Flows[Use_E2],,0,)</f>
        <v>Yes</v>
      </c>
      <c r="F214" s="5" t="str">
        <f>_xlfn.XLOOKUP(C214,Tab_Def_Flows[Flow_Name],Tab_Def_Flows[Use_E3],,0,)</f>
        <v>Yes</v>
      </c>
      <c r="G214" s="5" t="str">
        <f>_xlfn.XLOOKUP(C214,Tab_Def_Flows[Flow_Name],Tab_Def_Flows[Use_E4],,0,)</f>
        <v>Yes</v>
      </c>
      <c r="H214" s="5" t="str">
        <f>_xlfn.XLOOKUP(C214,Tab_Def_Flows[Flow_Name],Tab_Def_Flows[Use_E5],,0,)</f>
        <v>Yes</v>
      </c>
      <c r="I214" s="5" t="str">
        <f>_xlfn.XLOOKUP(C214,Tab_Def_Flows[Flow_Name],Tab_Def_Flows[Use_E6],,0,)</f>
        <v>Yes</v>
      </c>
      <c r="J214" s="3"/>
      <c r="K214" s="3"/>
      <c r="L214" s="2" t="str">
        <f>'0_Configuration'!$C$41</f>
        <v>Mg</v>
      </c>
      <c r="M214" s="9"/>
      <c r="N214" s="9"/>
      <c r="O214" s="9"/>
      <c r="P214" s="9"/>
      <c r="Q214" s="18" t="s">
        <v>3</v>
      </c>
      <c r="R214" s="10"/>
      <c r="S214" s="3"/>
      <c r="T214" s="9"/>
      <c r="U214" s="9"/>
      <c r="V214" s="2">
        <f>_xlfn.XLOOKUP(Tab_Data_Flows[[#This Row],[Flow_Name]],Tab_Def_Flows[Flow_Name],Tab_Def_Flows[Flow_E1_Fraction'[%']],"N.A.",0,1)</f>
        <v>0</v>
      </c>
      <c r="W214" s="8">
        <f t="shared" si="6"/>
        <v>0</v>
      </c>
      <c r="X214" s="2" t="str">
        <f>Tab_Data_Flows[[#This Row],[UoM_Source]]</f>
        <v>Mg</v>
      </c>
      <c r="Y214" s="19">
        <f>_xlfn.XLOOKUP(Tab_Data_Flows[[#This Row],[Flow_Name]],Tab_Def_Flows[Flow_Name],Tab_Def_Flows[Flow_E2_Fraction'[%']],"N.A.",0,1)</f>
        <v>0</v>
      </c>
      <c r="Z214" s="2">
        <f>IF(D214="Yes",W214*Tab_Data_Flows[[#This Row],[E2_Fraction'[%']]],"N.A.")</f>
        <v>0</v>
      </c>
      <c r="AA214" s="2" t="str">
        <f>Tab_Data_Flows[[#This Row],[E1_UoM]]</f>
        <v>Mg</v>
      </c>
      <c r="AB214" s="19">
        <f>_xlfn.XLOOKUP(Tab_Data_Flows[[#This Row],[Flow_Name]],Tab_Def_Flows[Flow_Name],Tab_Def_Flows[Flow_E3_Fraction'[%']],"N.A.",0,1)</f>
        <v>0</v>
      </c>
      <c r="AC214" s="2">
        <f>IF(E214="Yes",AB214*Tab_Data_Flows[[#This Row],[E1_value]],"N.A.")</f>
        <v>0</v>
      </c>
      <c r="AD214" s="2" t="str">
        <f>Tab_Data_Flows[[#This Row],[E1_UoM]]</f>
        <v>Mg</v>
      </c>
      <c r="AE214" s="19">
        <f>_xlfn.XLOOKUP(Tab_Data_Flows[[#This Row],[Flow_Name]],Tab_Def_Flows[Flow_Name],Tab_Def_Flows[Flow_E4_Fraction'[%']],"N.A.",0,1)</f>
        <v>0</v>
      </c>
      <c r="AF214" s="2">
        <f>IF(H214="Yes",Tab_Data_Flows[[#This Row],[E4_Fraction'[%']]]*Tab_Data_Flows[[#This Row],[E1_value]],"N.A.")</f>
        <v>0</v>
      </c>
      <c r="AG214" s="2" t="str">
        <f>Tab_Data_Flows[[#This Row],[E1_UoM]]</f>
        <v>Mg</v>
      </c>
      <c r="AH214" s="2">
        <f>_xlfn.XLOOKUP(Tab_Data_Flows[[#This Row],[Flow_Name]],Tab_Def_Flows[Flow_Name],Tab_Def_Flows[Flow_E5_Fraction'[%']],"N.A.",0,1)</f>
        <v>0</v>
      </c>
      <c r="AI214" s="2">
        <f>IF(H214="Yes",Tab_Data_Flows[[#This Row],[E5_Fraction'[%']]]*Tab_Data_Flows[[#This Row],[E1_value]],"N.A.")</f>
        <v>0</v>
      </c>
      <c r="AJ214" s="2" t="str">
        <f>Tab_Data_Flows[[#This Row],[E1_UoM]]</f>
        <v>Mg</v>
      </c>
      <c r="AK214" s="19">
        <f>_xlfn.XLOOKUP(Tab_Data_Flows[[#This Row],[Flow_Name]],Tab_Def_Flows[Flow_Name],Tab_Def_Flows[Flow_E6_Fraction'[%']],"N.A.",0,1)</f>
        <v>0</v>
      </c>
      <c r="AL214" s="2">
        <f>IF(Tab_Data_Flows[[#This Row],[Use_E6]]="Yes",Tab_Data_Flows[[#This Row],[E6_Fraction'[%']]]*Tab_Data_Flows[[#This Row],[E1_value]],"N.A.")</f>
        <v>0</v>
      </c>
      <c r="AM214" s="2" t="str">
        <f>Tab_Data_Flows[[#This Row],[E1_UoM]]</f>
        <v>Mg</v>
      </c>
    </row>
    <row r="215" spans="1:39" x14ac:dyDescent="0.25">
      <c r="A215" s="4">
        <f t="shared" si="7"/>
        <v>214</v>
      </c>
      <c r="B215" s="2" t="str">
        <f>_xlfn.XLOOKUP(C215,Tab_Def_Flows[Flow_Name],Tab_Def_Flows[Flow_ID],,0,)</f>
        <v>F__</v>
      </c>
      <c r="C215" s="18" t="s">
        <v>5</v>
      </c>
      <c r="D215" s="5" t="str">
        <f>_xlfn.XLOOKUP(C215,Tab_Def_Flows[Flow_Name],Tab_Def_Flows[Use_E1],,0,)</f>
        <v>Yes</v>
      </c>
      <c r="E215" s="5" t="str">
        <f>_xlfn.XLOOKUP(C215,Tab_Def_Flows[Flow_Name],Tab_Def_Flows[Use_E2],,0,)</f>
        <v>Yes</v>
      </c>
      <c r="F215" s="5" t="str">
        <f>_xlfn.XLOOKUP(C215,Tab_Def_Flows[Flow_Name],Tab_Def_Flows[Use_E3],,0,)</f>
        <v>Yes</v>
      </c>
      <c r="G215" s="5" t="str">
        <f>_xlfn.XLOOKUP(C215,Tab_Def_Flows[Flow_Name],Tab_Def_Flows[Use_E4],,0,)</f>
        <v>Yes</v>
      </c>
      <c r="H215" s="5" t="str">
        <f>_xlfn.XLOOKUP(C215,Tab_Def_Flows[Flow_Name],Tab_Def_Flows[Use_E5],,0,)</f>
        <v>Yes</v>
      </c>
      <c r="I215" s="5" t="str">
        <f>_xlfn.XLOOKUP(C215,Tab_Def_Flows[Flow_Name],Tab_Def_Flows[Use_E6],,0,)</f>
        <v>Yes</v>
      </c>
      <c r="J215" s="3"/>
      <c r="K215" s="3"/>
      <c r="L215" s="2" t="str">
        <f>'0_Configuration'!$C$41</f>
        <v>Mg</v>
      </c>
      <c r="M215" s="9"/>
      <c r="N215" s="9"/>
      <c r="O215" s="9"/>
      <c r="P215" s="9"/>
      <c r="Q215" s="18" t="s">
        <v>3</v>
      </c>
      <c r="R215" s="10"/>
      <c r="S215" s="3"/>
      <c r="T215" s="9"/>
      <c r="U215" s="9"/>
      <c r="V215" s="2">
        <f>_xlfn.XLOOKUP(Tab_Data_Flows[[#This Row],[Flow_Name]],Tab_Def_Flows[Flow_Name],Tab_Def_Flows[Flow_E1_Fraction'[%']],"N.A.",0,1)</f>
        <v>0</v>
      </c>
      <c r="W215" s="8">
        <f t="shared" si="6"/>
        <v>0</v>
      </c>
      <c r="X215" s="2" t="str">
        <f>Tab_Data_Flows[[#This Row],[UoM_Source]]</f>
        <v>Mg</v>
      </c>
      <c r="Y215" s="19">
        <f>_xlfn.XLOOKUP(Tab_Data_Flows[[#This Row],[Flow_Name]],Tab_Def_Flows[Flow_Name],Tab_Def_Flows[Flow_E2_Fraction'[%']],"N.A.",0,1)</f>
        <v>0</v>
      </c>
      <c r="Z215" s="2">
        <f>IF(D215="Yes",W215*Tab_Data_Flows[[#This Row],[E2_Fraction'[%']]],"N.A.")</f>
        <v>0</v>
      </c>
      <c r="AA215" s="2" t="str">
        <f>Tab_Data_Flows[[#This Row],[E1_UoM]]</f>
        <v>Mg</v>
      </c>
      <c r="AB215" s="19">
        <f>_xlfn.XLOOKUP(Tab_Data_Flows[[#This Row],[Flow_Name]],Tab_Def_Flows[Flow_Name],Tab_Def_Flows[Flow_E3_Fraction'[%']],"N.A.",0,1)</f>
        <v>0</v>
      </c>
      <c r="AC215" s="2">
        <f>IF(E215="Yes",AB215*Tab_Data_Flows[[#This Row],[E1_value]],"N.A.")</f>
        <v>0</v>
      </c>
      <c r="AD215" s="2" t="str">
        <f>Tab_Data_Flows[[#This Row],[E1_UoM]]</f>
        <v>Mg</v>
      </c>
      <c r="AE215" s="19">
        <f>_xlfn.XLOOKUP(Tab_Data_Flows[[#This Row],[Flow_Name]],Tab_Def_Flows[Flow_Name],Tab_Def_Flows[Flow_E4_Fraction'[%']],"N.A.",0,1)</f>
        <v>0</v>
      </c>
      <c r="AF215" s="2">
        <f>IF(H215="Yes",Tab_Data_Flows[[#This Row],[E4_Fraction'[%']]]*Tab_Data_Flows[[#This Row],[E1_value]],"N.A.")</f>
        <v>0</v>
      </c>
      <c r="AG215" s="2" t="str">
        <f>Tab_Data_Flows[[#This Row],[E1_UoM]]</f>
        <v>Mg</v>
      </c>
      <c r="AH215" s="2">
        <f>_xlfn.XLOOKUP(Tab_Data_Flows[[#This Row],[Flow_Name]],Tab_Def_Flows[Flow_Name],Tab_Def_Flows[Flow_E5_Fraction'[%']],"N.A.",0,1)</f>
        <v>0</v>
      </c>
      <c r="AI215" s="2">
        <f>IF(H215="Yes",Tab_Data_Flows[[#This Row],[E5_Fraction'[%']]]*Tab_Data_Flows[[#This Row],[E1_value]],"N.A.")</f>
        <v>0</v>
      </c>
      <c r="AJ215" s="2" t="str">
        <f>Tab_Data_Flows[[#This Row],[E1_UoM]]</f>
        <v>Mg</v>
      </c>
      <c r="AK215" s="19">
        <f>_xlfn.XLOOKUP(Tab_Data_Flows[[#This Row],[Flow_Name]],Tab_Def_Flows[Flow_Name],Tab_Def_Flows[Flow_E6_Fraction'[%']],"N.A.",0,1)</f>
        <v>0</v>
      </c>
      <c r="AL215" s="2">
        <f>IF(Tab_Data_Flows[[#This Row],[Use_E6]]="Yes",Tab_Data_Flows[[#This Row],[E6_Fraction'[%']]]*Tab_Data_Flows[[#This Row],[E1_value]],"N.A.")</f>
        <v>0</v>
      </c>
      <c r="AM215" s="2" t="str">
        <f>Tab_Data_Flows[[#This Row],[E1_UoM]]</f>
        <v>Mg</v>
      </c>
    </row>
    <row r="216" spans="1:39" x14ac:dyDescent="0.25">
      <c r="A216" s="4">
        <f t="shared" si="7"/>
        <v>215</v>
      </c>
      <c r="B216" s="2" t="str">
        <f>_xlfn.XLOOKUP(C216,Tab_Def_Flows[Flow_Name],Tab_Def_Flows[Flow_ID],,0,)</f>
        <v>F__</v>
      </c>
      <c r="C216" s="18" t="s">
        <v>5</v>
      </c>
      <c r="D216" s="5" t="str">
        <f>_xlfn.XLOOKUP(C216,Tab_Def_Flows[Flow_Name],Tab_Def_Flows[Use_E1],,0,)</f>
        <v>Yes</v>
      </c>
      <c r="E216" s="5" t="str">
        <f>_xlfn.XLOOKUP(C216,Tab_Def_Flows[Flow_Name],Tab_Def_Flows[Use_E2],,0,)</f>
        <v>Yes</v>
      </c>
      <c r="F216" s="5" t="str">
        <f>_xlfn.XLOOKUP(C216,Tab_Def_Flows[Flow_Name],Tab_Def_Flows[Use_E3],,0,)</f>
        <v>Yes</v>
      </c>
      <c r="G216" s="5" t="str">
        <f>_xlfn.XLOOKUP(C216,Tab_Def_Flows[Flow_Name],Tab_Def_Flows[Use_E4],,0,)</f>
        <v>Yes</v>
      </c>
      <c r="H216" s="5" t="str">
        <f>_xlfn.XLOOKUP(C216,Tab_Def_Flows[Flow_Name],Tab_Def_Flows[Use_E5],,0,)</f>
        <v>Yes</v>
      </c>
      <c r="I216" s="5" t="str">
        <f>_xlfn.XLOOKUP(C216,Tab_Def_Flows[Flow_Name],Tab_Def_Flows[Use_E6],,0,)</f>
        <v>Yes</v>
      </c>
      <c r="J216" s="3"/>
      <c r="K216" s="3"/>
      <c r="L216" s="2" t="str">
        <f>'0_Configuration'!$C$41</f>
        <v>Mg</v>
      </c>
      <c r="M216" s="9"/>
      <c r="N216" s="9"/>
      <c r="O216" s="9"/>
      <c r="P216" s="9"/>
      <c r="Q216" s="18" t="s">
        <v>3</v>
      </c>
      <c r="R216" s="10"/>
      <c r="S216" s="3"/>
      <c r="T216" s="9"/>
      <c r="U216" s="9"/>
      <c r="V216" s="2">
        <f>_xlfn.XLOOKUP(Tab_Data_Flows[[#This Row],[Flow_Name]],Tab_Def_Flows[Flow_Name],Tab_Def_Flows[Flow_E1_Fraction'[%']],"N.A.",0,1)</f>
        <v>0</v>
      </c>
      <c r="W216" s="8">
        <f t="shared" si="6"/>
        <v>0</v>
      </c>
      <c r="X216" s="2" t="str">
        <f>Tab_Data_Flows[[#This Row],[UoM_Source]]</f>
        <v>Mg</v>
      </c>
      <c r="Y216" s="19">
        <f>_xlfn.XLOOKUP(Tab_Data_Flows[[#This Row],[Flow_Name]],Tab_Def_Flows[Flow_Name],Tab_Def_Flows[Flow_E2_Fraction'[%']],"N.A.",0,1)</f>
        <v>0</v>
      </c>
      <c r="Z216" s="2">
        <f>IF(D216="Yes",W216*Tab_Data_Flows[[#This Row],[E2_Fraction'[%']]],"N.A.")</f>
        <v>0</v>
      </c>
      <c r="AA216" s="2" t="str">
        <f>Tab_Data_Flows[[#This Row],[E1_UoM]]</f>
        <v>Mg</v>
      </c>
      <c r="AB216" s="19">
        <f>_xlfn.XLOOKUP(Tab_Data_Flows[[#This Row],[Flow_Name]],Tab_Def_Flows[Flow_Name],Tab_Def_Flows[Flow_E3_Fraction'[%']],"N.A.",0,1)</f>
        <v>0</v>
      </c>
      <c r="AC216" s="2">
        <f>IF(E216="Yes",AB216*Tab_Data_Flows[[#This Row],[E1_value]],"N.A.")</f>
        <v>0</v>
      </c>
      <c r="AD216" s="2" t="str">
        <f>Tab_Data_Flows[[#This Row],[E1_UoM]]</f>
        <v>Mg</v>
      </c>
      <c r="AE216" s="19">
        <f>_xlfn.XLOOKUP(Tab_Data_Flows[[#This Row],[Flow_Name]],Tab_Def_Flows[Flow_Name],Tab_Def_Flows[Flow_E4_Fraction'[%']],"N.A.",0,1)</f>
        <v>0</v>
      </c>
      <c r="AF216" s="2">
        <f>IF(H216="Yes",Tab_Data_Flows[[#This Row],[E4_Fraction'[%']]]*Tab_Data_Flows[[#This Row],[E1_value]],"N.A.")</f>
        <v>0</v>
      </c>
      <c r="AG216" s="2" t="str">
        <f>Tab_Data_Flows[[#This Row],[E1_UoM]]</f>
        <v>Mg</v>
      </c>
      <c r="AH216" s="2">
        <f>_xlfn.XLOOKUP(Tab_Data_Flows[[#This Row],[Flow_Name]],Tab_Def_Flows[Flow_Name],Tab_Def_Flows[Flow_E5_Fraction'[%']],"N.A.",0,1)</f>
        <v>0</v>
      </c>
      <c r="AI216" s="2">
        <f>IF(H216="Yes",Tab_Data_Flows[[#This Row],[E5_Fraction'[%']]]*Tab_Data_Flows[[#This Row],[E1_value]],"N.A.")</f>
        <v>0</v>
      </c>
      <c r="AJ216" s="2" t="str">
        <f>Tab_Data_Flows[[#This Row],[E1_UoM]]</f>
        <v>Mg</v>
      </c>
      <c r="AK216" s="19">
        <f>_xlfn.XLOOKUP(Tab_Data_Flows[[#This Row],[Flow_Name]],Tab_Def_Flows[Flow_Name],Tab_Def_Flows[Flow_E6_Fraction'[%']],"N.A.",0,1)</f>
        <v>0</v>
      </c>
      <c r="AL216" s="2">
        <f>IF(Tab_Data_Flows[[#This Row],[Use_E6]]="Yes",Tab_Data_Flows[[#This Row],[E6_Fraction'[%']]]*Tab_Data_Flows[[#This Row],[E1_value]],"N.A.")</f>
        <v>0</v>
      </c>
      <c r="AM216" s="2" t="str">
        <f>Tab_Data_Flows[[#This Row],[E1_UoM]]</f>
        <v>Mg</v>
      </c>
    </row>
    <row r="217" spans="1:39" x14ac:dyDescent="0.25">
      <c r="A217" s="4">
        <f t="shared" si="7"/>
        <v>216</v>
      </c>
      <c r="B217" s="2" t="str">
        <f>_xlfn.XLOOKUP(C217,Tab_Def_Flows[Flow_Name],Tab_Def_Flows[Flow_ID],,0,)</f>
        <v>F__</v>
      </c>
      <c r="C217" s="18" t="s">
        <v>5</v>
      </c>
      <c r="D217" s="5" t="str">
        <f>_xlfn.XLOOKUP(C217,Tab_Def_Flows[Flow_Name],Tab_Def_Flows[Use_E1],,0,)</f>
        <v>Yes</v>
      </c>
      <c r="E217" s="5" t="str">
        <f>_xlfn.XLOOKUP(C217,Tab_Def_Flows[Flow_Name],Tab_Def_Flows[Use_E2],,0,)</f>
        <v>Yes</v>
      </c>
      <c r="F217" s="5" t="str">
        <f>_xlfn.XLOOKUP(C217,Tab_Def_Flows[Flow_Name],Tab_Def_Flows[Use_E3],,0,)</f>
        <v>Yes</v>
      </c>
      <c r="G217" s="5" t="str">
        <f>_xlfn.XLOOKUP(C217,Tab_Def_Flows[Flow_Name],Tab_Def_Flows[Use_E4],,0,)</f>
        <v>Yes</v>
      </c>
      <c r="H217" s="5" t="str">
        <f>_xlfn.XLOOKUP(C217,Tab_Def_Flows[Flow_Name],Tab_Def_Flows[Use_E5],,0,)</f>
        <v>Yes</v>
      </c>
      <c r="I217" s="5" t="str">
        <f>_xlfn.XLOOKUP(C217,Tab_Def_Flows[Flow_Name],Tab_Def_Flows[Use_E6],,0,)</f>
        <v>Yes</v>
      </c>
      <c r="J217" s="3"/>
      <c r="K217" s="3"/>
      <c r="L217" s="2" t="str">
        <f>'0_Configuration'!$C$41</f>
        <v>Mg</v>
      </c>
      <c r="M217" s="9"/>
      <c r="N217" s="9"/>
      <c r="O217" s="9"/>
      <c r="P217" s="9"/>
      <c r="Q217" s="18" t="s">
        <v>3</v>
      </c>
      <c r="R217" s="10"/>
      <c r="S217" s="3"/>
      <c r="T217" s="9"/>
      <c r="U217" s="9"/>
      <c r="V217" s="2">
        <f>_xlfn.XLOOKUP(Tab_Data_Flows[[#This Row],[Flow_Name]],Tab_Def_Flows[Flow_Name],Tab_Def_Flows[Flow_E1_Fraction'[%']],"N.A.",0,1)</f>
        <v>0</v>
      </c>
      <c r="W217" s="8">
        <f t="shared" si="6"/>
        <v>0</v>
      </c>
      <c r="X217" s="2" t="str">
        <f>Tab_Data_Flows[[#This Row],[UoM_Source]]</f>
        <v>Mg</v>
      </c>
      <c r="Y217" s="19">
        <f>_xlfn.XLOOKUP(Tab_Data_Flows[[#This Row],[Flow_Name]],Tab_Def_Flows[Flow_Name],Tab_Def_Flows[Flow_E2_Fraction'[%']],"N.A.",0,1)</f>
        <v>0</v>
      </c>
      <c r="Z217" s="2">
        <f>IF(D217="Yes",W217*Tab_Data_Flows[[#This Row],[E2_Fraction'[%']]],"N.A.")</f>
        <v>0</v>
      </c>
      <c r="AA217" s="2" t="str">
        <f>Tab_Data_Flows[[#This Row],[E1_UoM]]</f>
        <v>Mg</v>
      </c>
      <c r="AB217" s="19">
        <f>_xlfn.XLOOKUP(Tab_Data_Flows[[#This Row],[Flow_Name]],Tab_Def_Flows[Flow_Name],Tab_Def_Flows[Flow_E3_Fraction'[%']],"N.A.",0,1)</f>
        <v>0</v>
      </c>
      <c r="AC217" s="2">
        <f>IF(E217="Yes",AB217*Tab_Data_Flows[[#This Row],[E1_value]],"N.A.")</f>
        <v>0</v>
      </c>
      <c r="AD217" s="2" t="str">
        <f>Tab_Data_Flows[[#This Row],[E1_UoM]]</f>
        <v>Mg</v>
      </c>
      <c r="AE217" s="19">
        <f>_xlfn.XLOOKUP(Tab_Data_Flows[[#This Row],[Flow_Name]],Tab_Def_Flows[Flow_Name],Tab_Def_Flows[Flow_E4_Fraction'[%']],"N.A.",0,1)</f>
        <v>0</v>
      </c>
      <c r="AF217" s="2">
        <f>IF(H217="Yes",Tab_Data_Flows[[#This Row],[E4_Fraction'[%']]]*Tab_Data_Flows[[#This Row],[E1_value]],"N.A.")</f>
        <v>0</v>
      </c>
      <c r="AG217" s="2" t="str">
        <f>Tab_Data_Flows[[#This Row],[E1_UoM]]</f>
        <v>Mg</v>
      </c>
      <c r="AH217" s="2">
        <f>_xlfn.XLOOKUP(Tab_Data_Flows[[#This Row],[Flow_Name]],Tab_Def_Flows[Flow_Name],Tab_Def_Flows[Flow_E5_Fraction'[%']],"N.A.",0,1)</f>
        <v>0</v>
      </c>
      <c r="AI217" s="2">
        <f>IF(H217="Yes",Tab_Data_Flows[[#This Row],[E5_Fraction'[%']]]*Tab_Data_Flows[[#This Row],[E1_value]],"N.A.")</f>
        <v>0</v>
      </c>
      <c r="AJ217" s="2" t="str">
        <f>Tab_Data_Flows[[#This Row],[E1_UoM]]</f>
        <v>Mg</v>
      </c>
      <c r="AK217" s="19">
        <f>_xlfn.XLOOKUP(Tab_Data_Flows[[#This Row],[Flow_Name]],Tab_Def_Flows[Flow_Name],Tab_Def_Flows[Flow_E6_Fraction'[%']],"N.A.",0,1)</f>
        <v>0</v>
      </c>
      <c r="AL217" s="2">
        <f>IF(Tab_Data_Flows[[#This Row],[Use_E6]]="Yes",Tab_Data_Flows[[#This Row],[E6_Fraction'[%']]]*Tab_Data_Flows[[#This Row],[E1_value]],"N.A.")</f>
        <v>0</v>
      </c>
      <c r="AM217" s="2" t="str">
        <f>Tab_Data_Flows[[#This Row],[E1_UoM]]</f>
        <v>Mg</v>
      </c>
    </row>
    <row r="218" spans="1:39" x14ac:dyDescent="0.25">
      <c r="A218" s="4">
        <f t="shared" si="7"/>
        <v>217</v>
      </c>
      <c r="B218" s="2" t="str">
        <f>_xlfn.XLOOKUP(C218,Tab_Def_Flows[Flow_Name],Tab_Def_Flows[Flow_ID],,0,)</f>
        <v>F__</v>
      </c>
      <c r="C218" s="18" t="s">
        <v>5</v>
      </c>
      <c r="D218" s="5" t="str">
        <f>_xlfn.XLOOKUP(C218,Tab_Def_Flows[Flow_Name],Tab_Def_Flows[Use_E1],,0,)</f>
        <v>Yes</v>
      </c>
      <c r="E218" s="5" t="str">
        <f>_xlfn.XLOOKUP(C218,Tab_Def_Flows[Flow_Name],Tab_Def_Flows[Use_E2],,0,)</f>
        <v>Yes</v>
      </c>
      <c r="F218" s="5" t="str">
        <f>_xlfn.XLOOKUP(C218,Tab_Def_Flows[Flow_Name],Tab_Def_Flows[Use_E3],,0,)</f>
        <v>Yes</v>
      </c>
      <c r="G218" s="5" t="str">
        <f>_xlfn.XLOOKUP(C218,Tab_Def_Flows[Flow_Name],Tab_Def_Flows[Use_E4],,0,)</f>
        <v>Yes</v>
      </c>
      <c r="H218" s="5" t="str">
        <f>_xlfn.XLOOKUP(C218,Tab_Def_Flows[Flow_Name],Tab_Def_Flows[Use_E5],,0,)</f>
        <v>Yes</v>
      </c>
      <c r="I218" s="5" t="str">
        <f>_xlfn.XLOOKUP(C218,Tab_Def_Flows[Flow_Name],Tab_Def_Flows[Use_E6],,0,)</f>
        <v>Yes</v>
      </c>
      <c r="J218" s="3"/>
      <c r="K218" s="3"/>
      <c r="L218" s="2" t="str">
        <f>'0_Configuration'!$C$41</f>
        <v>Mg</v>
      </c>
      <c r="M218" s="9"/>
      <c r="N218" s="9"/>
      <c r="O218" s="9"/>
      <c r="P218" s="9"/>
      <c r="Q218" s="18" t="s">
        <v>3</v>
      </c>
      <c r="R218" s="10"/>
      <c r="S218" s="3"/>
      <c r="T218" s="9"/>
      <c r="U218" s="9"/>
      <c r="V218" s="2">
        <f>_xlfn.XLOOKUP(Tab_Data_Flows[[#This Row],[Flow_Name]],Tab_Def_Flows[Flow_Name],Tab_Def_Flows[Flow_E1_Fraction'[%']],"N.A.",0,1)</f>
        <v>0</v>
      </c>
      <c r="W218" s="8">
        <f t="shared" si="6"/>
        <v>0</v>
      </c>
      <c r="X218" s="2" t="str">
        <f>Tab_Data_Flows[[#This Row],[UoM_Source]]</f>
        <v>Mg</v>
      </c>
      <c r="Y218" s="19">
        <f>_xlfn.XLOOKUP(Tab_Data_Flows[[#This Row],[Flow_Name]],Tab_Def_Flows[Flow_Name],Tab_Def_Flows[Flow_E2_Fraction'[%']],"N.A.",0,1)</f>
        <v>0</v>
      </c>
      <c r="Z218" s="2">
        <f>IF(D218="Yes",W218*Tab_Data_Flows[[#This Row],[E2_Fraction'[%']]],"N.A.")</f>
        <v>0</v>
      </c>
      <c r="AA218" s="2" t="str">
        <f>Tab_Data_Flows[[#This Row],[E1_UoM]]</f>
        <v>Mg</v>
      </c>
      <c r="AB218" s="19">
        <f>_xlfn.XLOOKUP(Tab_Data_Flows[[#This Row],[Flow_Name]],Tab_Def_Flows[Flow_Name],Tab_Def_Flows[Flow_E3_Fraction'[%']],"N.A.",0,1)</f>
        <v>0</v>
      </c>
      <c r="AC218" s="2">
        <f>IF(E218="Yes",AB218*Tab_Data_Flows[[#This Row],[E1_value]],"N.A.")</f>
        <v>0</v>
      </c>
      <c r="AD218" s="2" t="str">
        <f>Tab_Data_Flows[[#This Row],[E1_UoM]]</f>
        <v>Mg</v>
      </c>
      <c r="AE218" s="19">
        <f>_xlfn.XLOOKUP(Tab_Data_Flows[[#This Row],[Flow_Name]],Tab_Def_Flows[Flow_Name],Tab_Def_Flows[Flow_E4_Fraction'[%']],"N.A.",0,1)</f>
        <v>0</v>
      </c>
      <c r="AF218" s="2">
        <f>IF(H218="Yes",Tab_Data_Flows[[#This Row],[E4_Fraction'[%']]]*Tab_Data_Flows[[#This Row],[E1_value]],"N.A.")</f>
        <v>0</v>
      </c>
      <c r="AG218" s="2" t="str">
        <f>Tab_Data_Flows[[#This Row],[E1_UoM]]</f>
        <v>Mg</v>
      </c>
      <c r="AH218" s="2">
        <f>_xlfn.XLOOKUP(Tab_Data_Flows[[#This Row],[Flow_Name]],Tab_Def_Flows[Flow_Name],Tab_Def_Flows[Flow_E5_Fraction'[%']],"N.A.",0,1)</f>
        <v>0</v>
      </c>
      <c r="AI218" s="2">
        <f>IF(H218="Yes",Tab_Data_Flows[[#This Row],[E5_Fraction'[%']]]*Tab_Data_Flows[[#This Row],[E1_value]],"N.A.")</f>
        <v>0</v>
      </c>
      <c r="AJ218" s="2" t="str">
        <f>Tab_Data_Flows[[#This Row],[E1_UoM]]</f>
        <v>Mg</v>
      </c>
      <c r="AK218" s="19">
        <f>_xlfn.XLOOKUP(Tab_Data_Flows[[#This Row],[Flow_Name]],Tab_Def_Flows[Flow_Name],Tab_Def_Flows[Flow_E6_Fraction'[%']],"N.A.",0,1)</f>
        <v>0</v>
      </c>
      <c r="AL218" s="2">
        <f>IF(Tab_Data_Flows[[#This Row],[Use_E6]]="Yes",Tab_Data_Flows[[#This Row],[E6_Fraction'[%']]]*Tab_Data_Flows[[#This Row],[E1_value]],"N.A.")</f>
        <v>0</v>
      </c>
      <c r="AM218" s="2" t="str">
        <f>Tab_Data_Flows[[#This Row],[E1_UoM]]</f>
        <v>Mg</v>
      </c>
    </row>
    <row r="219" spans="1:39" x14ac:dyDescent="0.25">
      <c r="A219" s="4">
        <f t="shared" si="7"/>
        <v>218</v>
      </c>
      <c r="B219" s="2" t="str">
        <f>_xlfn.XLOOKUP(C219,Tab_Def_Flows[Flow_Name],Tab_Def_Flows[Flow_ID],,0,)</f>
        <v>F__</v>
      </c>
      <c r="C219" s="18" t="s">
        <v>5</v>
      </c>
      <c r="D219" s="5" t="str">
        <f>_xlfn.XLOOKUP(C219,Tab_Def_Flows[Flow_Name],Tab_Def_Flows[Use_E1],,0,)</f>
        <v>Yes</v>
      </c>
      <c r="E219" s="5" t="str">
        <f>_xlfn.XLOOKUP(C219,Tab_Def_Flows[Flow_Name],Tab_Def_Flows[Use_E2],,0,)</f>
        <v>Yes</v>
      </c>
      <c r="F219" s="5" t="str">
        <f>_xlfn.XLOOKUP(C219,Tab_Def_Flows[Flow_Name],Tab_Def_Flows[Use_E3],,0,)</f>
        <v>Yes</v>
      </c>
      <c r="G219" s="5" t="str">
        <f>_xlfn.XLOOKUP(C219,Tab_Def_Flows[Flow_Name],Tab_Def_Flows[Use_E4],,0,)</f>
        <v>Yes</v>
      </c>
      <c r="H219" s="5" t="str">
        <f>_xlfn.XLOOKUP(C219,Tab_Def_Flows[Flow_Name],Tab_Def_Flows[Use_E5],,0,)</f>
        <v>Yes</v>
      </c>
      <c r="I219" s="5" t="str">
        <f>_xlfn.XLOOKUP(C219,Tab_Def_Flows[Flow_Name],Tab_Def_Flows[Use_E6],,0,)</f>
        <v>Yes</v>
      </c>
      <c r="J219" s="3"/>
      <c r="K219" s="3"/>
      <c r="L219" s="2" t="str">
        <f>'0_Configuration'!$C$41</f>
        <v>Mg</v>
      </c>
      <c r="M219" s="9"/>
      <c r="N219" s="9"/>
      <c r="O219" s="9"/>
      <c r="P219" s="9"/>
      <c r="Q219" s="18" t="s">
        <v>3</v>
      </c>
      <c r="R219" s="10"/>
      <c r="S219" s="3"/>
      <c r="T219" s="9"/>
      <c r="U219" s="9"/>
      <c r="V219" s="2">
        <f>_xlfn.XLOOKUP(Tab_Data_Flows[[#This Row],[Flow_Name]],Tab_Def_Flows[Flow_Name],Tab_Def_Flows[Flow_E1_Fraction'[%']],"N.A.",0,1)</f>
        <v>0</v>
      </c>
      <c r="W219" s="8">
        <f t="shared" si="6"/>
        <v>0</v>
      </c>
      <c r="X219" s="2" t="str">
        <f>Tab_Data_Flows[[#This Row],[UoM_Source]]</f>
        <v>Mg</v>
      </c>
      <c r="Y219" s="19">
        <f>_xlfn.XLOOKUP(Tab_Data_Flows[[#This Row],[Flow_Name]],Tab_Def_Flows[Flow_Name],Tab_Def_Flows[Flow_E2_Fraction'[%']],"N.A.",0,1)</f>
        <v>0</v>
      </c>
      <c r="Z219" s="2">
        <f>IF(D219="Yes",W219*Tab_Data_Flows[[#This Row],[E2_Fraction'[%']]],"N.A.")</f>
        <v>0</v>
      </c>
      <c r="AA219" s="2" t="str">
        <f>Tab_Data_Flows[[#This Row],[E1_UoM]]</f>
        <v>Mg</v>
      </c>
      <c r="AB219" s="19">
        <f>_xlfn.XLOOKUP(Tab_Data_Flows[[#This Row],[Flow_Name]],Tab_Def_Flows[Flow_Name],Tab_Def_Flows[Flow_E3_Fraction'[%']],"N.A.",0,1)</f>
        <v>0</v>
      </c>
      <c r="AC219" s="2">
        <f>IF(E219="Yes",AB219*Tab_Data_Flows[[#This Row],[E1_value]],"N.A.")</f>
        <v>0</v>
      </c>
      <c r="AD219" s="2" t="str">
        <f>Tab_Data_Flows[[#This Row],[E1_UoM]]</f>
        <v>Mg</v>
      </c>
      <c r="AE219" s="19">
        <f>_xlfn.XLOOKUP(Tab_Data_Flows[[#This Row],[Flow_Name]],Tab_Def_Flows[Flow_Name],Tab_Def_Flows[Flow_E4_Fraction'[%']],"N.A.",0,1)</f>
        <v>0</v>
      </c>
      <c r="AF219" s="2">
        <f>IF(H219="Yes",Tab_Data_Flows[[#This Row],[E4_Fraction'[%']]]*Tab_Data_Flows[[#This Row],[E1_value]],"N.A.")</f>
        <v>0</v>
      </c>
      <c r="AG219" s="2" t="str">
        <f>Tab_Data_Flows[[#This Row],[E1_UoM]]</f>
        <v>Mg</v>
      </c>
      <c r="AH219" s="2">
        <f>_xlfn.XLOOKUP(Tab_Data_Flows[[#This Row],[Flow_Name]],Tab_Def_Flows[Flow_Name],Tab_Def_Flows[Flow_E5_Fraction'[%']],"N.A.",0,1)</f>
        <v>0</v>
      </c>
      <c r="AI219" s="2">
        <f>IF(H219="Yes",Tab_Data_Flows[[#This Row],[E5_Fraction'[%']]]*Tab_Data_Flows[[#This Row],[E1_value]],"N.A.")</f>
        <v>0</v>
      </c>
      <c r="AJ219" s="2" t="str">
        <f>Tab_Data_Flows[[#This Row],[E1_UoM]]</f>
        <v>Mg</v>
      </c>
      <c r="AK219" s="19">
        <f>_xlfn.XLOOKUP(Tab_Data_Flows[[#This Row],[Flow_Name]],Tab_Def_Flows[Flow_Name],Tab_Def_Flows[Flow_E6_Fraction'[%']],"N.A.",0,1)</f>
        <v>0</v>
      </c>
      <c r="AL219" s="2">
        <f>IF(Tab_Data_Flows[[#This Row],[Use_E6]]="Yes",Tab_Data_Flows[[#This Row],[E6_Fraction'[%']]]*Tab_Data_Flows[[#This Row],[E1_value]],"N.A.")</f>
        <v>0</v>
      </c>
      <c r="AM219" s="2" t="str">
        <f>Tab_Data_Flows[[#This Row],[E1_UoM]]</f>
        <v>Mg</v>
      </c>
    </row>
    <row r="220" spans="1:39" x14ac:dyDescent="0.25">
      <c r="A220" s="4">
        <f t="shared" si="7"/>
        <v>219</v>
      </c>
      <c r="B220" s="2" t="str">
        <f>_xlfn.XLOOKUP(C220,Tab_Def_Flows[Flow_Name],Tab_Def_Flows[Flow_ID],,0,)</f>
        <v>F__</v>
      </c>
      <c r="C220" s="18" t="s">
        <v>5</v>
      </c>
      <c r="D220" s="5" t="str">
        <f>_xlfn.XLOOKUP(C220,Tab_Def_Flows[Flow_Name],Tab_Def_Flows[Use_E1],,0,)</f>
        <v>Yes</v>
      </c>
      <c r="E220" s="5" t="str">
        <f>_xlfn.XLOOKUP(C220,Tab_Def_Flows[Flow_Name],Tab_Def_Flows[Use_E2],,0,)</f>
        <v>Yes</v>
      </c>
      <c r="F220" s="5" t="str">
        <f>_xlfn.XLOOKUP(C220,Tab_Def_Flows[Flow_Name],Tab_Def_Flows[Use_E3],,0,)</f>
        <v>Yes</v>
      </c>
      <c r="G220" s="5" t="str">
        <f>_xlfn.XLOOKUP(C220,Tab_Def_Flows[Flow_Name],Tab_Def_Flows[Use_E4],,0,)</f>
        <v>Yes</v>
      </c>
      <c r="H220" s="5" t="str">
        <f>_xlfn.XLOOKUP(C220,Tab_Def_Flows[Flow_Name],Tab_Def_Flows[Use_E5],,0,)</f>
        <v>Yes</v>
      </c>
      <c r="I220" s="5" t="str">
        <f>_xlfn.XLOOKUP(C220,Tab_Def_Flows[Flow_Name],Tab_Def_Flows[Use_E6],,0,)</f>
        <v>Yes</v>
      </c>
      <c r="J220" s="3"/>
      <c r="K220" s="3"/>
      <c r="L220" s="2" t="str">
        <f>'0_Configuration'!$C$41</f>
        <v>Mg</v>
      </c>
      <c r="M220" s="9"/>
      <c r="N220" s="9"/>
      <c r="O220" s="9"/>
      <c r="P220" s="9"/>
      <c r="Q220" s="18" t="s">
        <v>3</v>
      </c>
      <c r="R220" s="10"/>
      <c r="S220" s="3"/>
      <c r="T220" s="9"/>
      <c r="U220" s="9"/>
      <c r="V220" s="2">
        <f>_xlfn.XLOOKUP(Tab_Data_Flows[[#This Row],[Flow_Name]],Tab_Def_Flows[Flow_Name],Tab_Def_Flows[Flow_E1_Fraction'[%']],"N.A.",0,1)</f>
        <v>0</v>
      </c>
      <c r="W220" s="8">
        <f t="shared" si="6"/>
        <v>0</v>
      </c>
      <c r="X220" s="2" t="str">
        <f>Tab_Data_Flows[[#This Row],[UoM_Source]]</f>
        <v>Mg</v>
      </c>
      <c r="Y220" s="19">
        <f>_xlfn.XLOOKUP(Tab_Data_Flows[[#This Row],[Flow_Name]],Tab_Def_Flows[Flow_Name],Tab_Def_Flows[Flow_E2_Fraction'[%']],"N.A.",0,1)</f>
        <v>0</v>
      </c>
      <c r="Z220" s="2">
        <f>IF(D220="Yes",W220*Tab_Data_Flows[[#This Row],[E2_Fraction'[%']]],"N.A.")</f>
        <v>0</v>
      </c>
      <c r="AA220" s="2" t="str">
        <f>Tab_Data_Flows[[#This Row],[E1_UoM]]</f>
        <v>Mg</v>
      </c>
      <c r="AB220" s="19">
        <f>_xlfn.XLOOKUP(Tab_Data_Flows[[#This Row],[Flow_Name]],Tab_Def_Flows[Flow_Name],Tab_Def_Flows[Flow_E3_Fraction'[%']],"N.A.",0,1)</f>
        <v>0</v>
      </c>
      <c r="AC220" s="2">
        <f>IF(E220="Yes",AB220*Tab_Data_Flows[[#This Row],[E1_value]],"N.A.")</f>
        <v>0</v>
      </c>
      <c r="AD220" s="2" t="str">
        <f>Tab_Data_Flows[[#This Row],[E1_UoM]]</f>
        <v>Mg</v>
      </c>
      <c r="AE220" s="19">
        <f>_xlfn.XLOOKUP(Tab_Data_Flows[[#This Row],[Flow_Name]],Tab_Def_Flows[Flow_Name],Tab_Def_Flows[Flow_E4_Fraction'[%']],"N.A.",0,1)</f>
        <v>0</v>
      </c>
      <c r="AF220" s="2">
        <f>IF(H220="Yes",Tab_Data_Flows[[#This Row],[E4_Fraction'[%']]]*Tab_Data_Flows[[#This Row],[E1_value]],"N.A.")</f>
        <v>0</v>
      </c>
      <c r="AG220" s="2" t="str">
        <f>Tab_Data_Flows[[#This Row],[E1_UoM]]</f>
        <v>Mg</v>
      </c>
      <c r="AH220" s="2">
        <f>_xlfn.XLOOKUP(Tab_Data_Flows[[#This Row],[Flow_Name]],Tab_Def_Flows[Flow_Name],Tab_Def_Flows[Flow_E5_Fraction'[%']],"N.A.",0,1)</f>
        <v>0</v>
      </c>
      <c r="AI220" s="2">
        <f>IF(H220="Yes",Tab_Data_Flows[[#This Row],[E5_Fraction'[%']]]*Tab_Data_Flows[[#This Row],[E1_value]],"N.A.")</f>
        <v>0</v>
      </c>
      <c r="AJ220" s="2" t="str">
        <f>Tab_Data_Flows[[#This Row],[E1_UoM]]</f>
        <v>Mg</v>
      </c>
      <c r="AK220" s="19">
        <f>_xlfn.XLOOKUP(Tab_Data_Flows[[#This Row],[Flow_Name]],Tab_Def_Flows[Flow_Name],Tab_Def_Flows[Flow_E6_Fraction'[%']],"N.A.",0,1)</f>
        <v>0</v>
      </c>
      <c r="AL220" s="2">
        <f>IF(Tab_Data_Flows[[#This Row],[Use_E6]]="Yes",Tab_Data_Flows[[#This Row],[E6_Fraction'[%']]]*Tab_Data_Flows[[#This Row],[E1_value]],"N.A.")</f>
        <v>0</v>
      </c>
      <c r="AM220" s="2" t="str">
        <f>Tab_Data_Flows[[#This Row],[E1_UoM]]</f>
        <v>Mg</v>
      </c>
    </row>
    <row r="221" spans="1:39" x14ac:dyDescent="0.25">
      <c r="A221" s="4">
        <f t="shared" si="7"/>
        <v>220</v>
      </c>
      <c r="B221" s="2" t="str">
        <f>_xlfn.XLOOKUP(C221,Tab_Def_Flows[Flow_Name],Tab_Def_Flows[Flow_ID],,0,)</f>
        <v>F__</v>
      </c>
      <c r="C221" s="18" t="s">
        <v>5</v>
      </c>
      <c r="D221" s="5" t="str">
        <f>_xlfn.XLOOKUP(C221,Tab_Def_Flows[Flow_Name],Tab_Def_Flows[Use_E1],,0,)</f>
        <v>Yes</v>
      </c>
      <c r="E221" s="5" t="str">
        <f>_xlfn.XLOOKUP(C221,Tab_Def_Flows[Flow_Name],Tab_Def_Flows[Use_E2],,0,)</f>
        <v>Yes</v>
      </c>
      <c r="F221" s="5" t="str">
        <f>_xlfn.XLOOKUP(C221,Tab_Def_Flows[Flow_Name],Tab_Def_Flows[Use_E3],,0,)</f>
        <v>Yes</v>
      </c>
      <c r="G221" s="5" t="str">
        <f>_xlfn.XLOOKUP(C221,Tab_Def_Flows[Flow_Name],Tab_Def_Flows[Use_E4],,0,)</f>
        <v>Yes</v>
      </c>
      <c r="H221" s="5" t="str">
        <f>_xlfn.XLOOKUP(C221,Tab_Def_Flows[Flow_Name],Tab_Def_Flows[Use_E5],,0,)</f>
        <v>Yes</v>
      </c>
      <c r="I221" s="5" t="str">
        <f>_xlfn.XLOOKUP(C221,Tab_Def_Flows[Flow_Name],Tab_Def_Flows[Use_E6],,0,)</f>
        <v>Yes</v>
      </c>
      <c r="J221" s="3"/>
      <c r="K221" s="3"/>
      <c r="L221" s="2" t="str">
        <f>'0_Configuration'!$C$41</f>
        <v>Mg</v>
      </c>
      <c r="M221" s="9"/>
      <c r="N221" s="9"/>
      <c r="O221" s="9"/>
      <c r="P221" s="9"/>
      <c r="Q221" s="18" t="s">
        <v>3</v>
      </c>
      <c r="R221" s="10"/>
      <c r="S221" s="3"/>
      <c r="T221" s="9"/>
      <c r="U221" s="9"/>
      <c r="V221" s="2">
        <f>_xlfn.XLOOKUP(Tab_Data_Flows[[#This Row],[Flow_Name]],Tab_Def_Flows[Flow_Name],Tab_Def_Flows[Flow_E1_Fraction'[%']],"N.A.",0,1)</f>
        <v>0</v>
      </c>
      <c r="W221" s="8">
        <f t="shared" si="6"/>
        <v>0</v>
      </c>
      <c r="X221" s="2" t="str">
        <f>Tab_Data_Flows[[#This Row],[UoM_Source]]</f>
        <v>Mg</v>
      </c>
      <c r="Y221" s="19">
        <f>_xlfn.XLOOKUP(Tab_Data_Flows[[#This Row],[Flow_Name]],Tab_Def_Flows[Flow_Name],Tab_Def_Flows[Flow_E2_Fraction'[%']],"N.A.",0,1)</f>
        <v>0</v>
      </c>
      <c r="Z221" s="2">
        <f>IF(D221="Yes",W221*Tab_Data_Flows[[#This Row],[E2_Fraction'[%']]],"N.A.")</f>
        <v>0</v>
      </c>
      <c r="AA221" s="2" t="str">
        <f>Tab_Data_Flows[[#This Row],[E1_UoM]]</f>
        <v>Mg</v>
      </c>
      <c r="AB221" s="19">
        <f>_xlfn.XLOOKUP(Tab_Data_Flows[[#This Row],[Flow_Name]],Tab_Def_Flows[Flow_Name],Tab_Def_Flows[Flow_E3_Fraction'[%']],"N.A.",0,1)</f>
        <v>0</v>
      </c>
      <c r="AC221" s="2">
        <f>IF(E221="Yes",AB221*Tab_Data_Flows[[#This Row],[E1_value]],"N.A.")</f>
        <v>0</v>
      </c>
      <c r="AD221" s="2" t="str">
        <f>Tab_Data_Flows[[#This Row],[E1_UoM]]</f>
        <v>Mg</v>
      </c>
      <c r="AE221" s="19">
        <f>_xlfn.XLOOKUP(Tab_Data_Flows[[#This Row],[Flow_Name]],Tab_Def_Flows[Flow_Name],Tab_Def_Flows[Flow_E4_Fraction'[%']],"N.A.",0,1)</f>
        <v>0</v>
      </c>
      <c r="AF221" s="2">
        <f>IF(H221="Yes",Tab_Data_Flows[[#This Row],[E4_Fraction'[%']]]*Tab_Data_Flows[[#This Row],[E1_value]],"N.A.")</f>
        <v>0</v>
      </c>
      <c r="AG221" s="2" t="str">
        <f>Tab_Data_Flows[[#This Row],[E1_UoM]]</f>
        <v>Mg</v>
      </c>
      <c r="AH221" s="2">
        <f>_xlfn.XLOOKUP(Tab_Data_Flows[[#This Row],[Flow_Name]],Tab_Def_Flows[Flow_Name],Tab_Def_Flows[Flow_E5_Fraction'[%']],"N.A.",0,1)</f>
        <v>0</v>
      </c>
      <c r="AI221" s="2">
        <f>IF(H221="Yes",Tab_Data_Flows[[#This Row],[E5_Fraction'[%']]]*Tab_Data_Flows[[#This Row],[E1_value]],"N.A.")</f>
        <v>0</v>
      </c>
      <c r="AJ221" s="2" t="str">
        <f>Tab_Data_Flows[[#This Row],[E1_UoM]]</f>
        <v>Mg</v>
      </c>
      <c r="AK221" s="19">
        <f>_xlfn.XLOOKUP(Tab_Data_Flows[[#This Row],[Flow_Name]],Tab_Def_Flows[Flow_Name],Tab_Def_Flows[Flow_E6_Fraction'[%']],"N.A.",0,1)</f>
        <v>0</v>
      </c>
      <c r="AL221" s="2">
        <f>IF(Tab_Data_Flows[[#This Row],[Use_E6]]="Yes",Tab_Data_Flows[[#This Row],[E6_Fraction'[%']]]*Tab_Data_Flows[[#This Row],[E1_value]],"N.A.")</f>
        <v>0</v>
      </c>
      <c r="AM221" s="2" t="str">
        <f>Tab_Data_Flows[[#This Row],[E1_UoM]]</f>
        <v>Mg</v>
      </c>
    </row>
    <row r="222" spans="1:39" x14ac:dyDescent="0.25">
      <c r="A222" s="4">
        <f t="shared" si="7"/>
        <v>221</v>
      </c>
      <c r="B222" s="2" t="str">
        <f>_xlfn.XLOOKUP(C222,Tab_Def_Flows[Flow_Name],Tab_Def_Flows[Flow_ID],,0,)</f>
        <v>F__</v>
      </c>
      <c r="C222" s="18" t="s">
        <v>5</v>
      </c>
      <c r="D222" s="5" t="str">
        <f>_xlfn.XLOOKUP(C222,Tab_Def_Flows[Flow_Name],Tab_Def_Flows[Use_E1],,0,)</f>
        <v>Yes</v>
      </c>
      <c r="E222" s="5" t="str">
        <f>_xlfn.XLOOKUP(C222,Tab_Def_Flows[Flow_Name],Tab_Def_Flows[Use_E2],,0,)</f>
        <v>Yes</v>
      </c>
      <c r="F222" s="5" t="str">
        <f>_xlfn.XLOOKUP(C222,Tab_Def_Flows[Flow_Name],Tab_Def_Flows[Use_E3],,0,)</f>
        <v>Yes</v>
      </c>
      <c r="G222" s="5" t="str">
        <f>_xlfn.XLOOKUP(C222,Tab_Def_Flows[Flow_Name],Tab_Def_Flows[Use_E4],,0,)</f>
        <v>Yes</v>
      </c>
      <c r="H222" s="5" t="str">
        <f>_xlfn.XLOOKUP(C222,Tab_Def_Flows[Flow_Name],Tab_Def_Flows[Use_E5],,0,)</f>
        <v>Yes</v>
      </c>
      <c r="I222" s="5" t="str">
        <f>_xlfn.XLOOKUP(C222,Tab_Def_Flows[Flow_Name],Tab_Def_Flows[Use_E6],,0,)</f>
        <v>Yes</v>
      </c>
      <c r="J222" s="3"/>
      <c r="K222" s="3"/>
      <c r="L222" s="2" t="str">
        <f>'0_Configuration'!$C$41</f>
        <v>Mg</v>
      </c>
      <c r="M222" s="9"/>
      <c r="N222" s="9"/>
      <c r="O222" s="9"/>
      <c r="P222" s="9"/>
      <c r="Q222" s="18" t="s">
        <v>3</v>
      </c>
      <c r="R222" s="10"/>
      <c r="S222" s="3"/>
      <c r="T222" s="9"/>
      <c r="U222" s="9"/>
      <c r="V222" s="2">
        <f>_xlfn.XLOOKUP(Tab_Data_Flows[[#This Row],[Flow_Name]],Tab_Def_Flows[Flow_Name],Tab_Def_Flows[Flow_E1_Fraction'[%']],"N.A.",0,1)</f>
        <v>0</v>
      </c>
      <c r="W222" s="8">
        <f t="shared" si="6"/>
        <v>0</v>
      </c>
      <c r="X222" s="2" t="str">
        <f>Tab_Data_Flows[[#This Row],[UoM_Source]]</f>
        <v>Mg</v>
      </c>
      <c r="Y222" s="19">
        <f>_xlfn.XLOOKUP(Tab_Data_Flows[[#This Row],[Flow_Name]],Tab_Def_Flows[Flow_Name],Tab_Def_Flows[Flow_E2_Fraction'[%']],"N.A.",0,1)</f>
        <v>0</v>
      </c>
      <c r="Z222" s="2">
        <f>IF(D222="Yes",W222*Tab_Data_Flows[[#This Row],[E2_Fraction'[%']]],"N.A.")</f>
        <v>0</v>
      </c>
      <c r="AA222" s="2" t="str">
        <f>Tab_Data_Flows[[#This Row],[E1_UoM]]</f>
        <v>Mg</v>
      </c>
      <c r="AB222" s="19">
        <f>_xlfn.XLOOKUP(Tab_Data_Flows[[#This Row],[Flow_Name]],Tab_Def_Flows[Flow_Name],Tab_Def_Flows[Flow_E3_Fraction'[%']],"N.A.",0,1)</f>
        <v>0</v>
      </c>
      <c r="AC222" s="2">
        <f>IF(E222="Yes",AB222*Tab_Data_Flows[[#This Row],[E1_value]],"N.A.")</f>
        <v>0</v>
      </c>
      <c r="AD222" s="2" t="str">
        <f>Tab_Data_Flows[[#This Row],[E1_UoM]]</f>
        <v>Mg</v>
      </c>
      <c r="AE222" s="19">
        <f>_xlfn.XLOOKUP(Tab_Data_Flows[[#This Row],[Flow_Name]],Tab_Def_Flows[Flow_Name],Tab_Def_Flows[Flow_E4_Fraction'[%']],"N.A.",0,1)</f>
        <v>0</v>
      </c>
      <c r="AF222" s="2">
        <f>IF(H222="Yes",Tab_Data_Flows[[#This Row],[E4_Fraction'[%']]]*Tab_Data_Flows[[#This Row],[E1_value]],"N.A.")</f>
        <v>0</v>
      </c>
      <c r="AG222" s="2" t="str">
        <f>Tab_Data_Flows[[#This Row],[E1_UoM]]</f>
        <v>Mg</v>
      </c>
      <c r="AH222" s="2">
        <f>_xlfn.XLOOKUP(Tab_Data_Flows[[#This Row],[Flow_Name]],Tab_Def_Flows[Flow_Name],Tab_Def_Flows[Flow_E5_Fraction'[%']],"N.A.",0,1)</f>
        <v>0</v>
      </c>
      <c r="AI222" s="2">
        <f>IF(H222="Yes",Tab_Data_Flows[[#This Row],[E5_Fraction'[%']]]*Tab_Data_Flows[[#This Row],[E1_value]],"N.A.")</f>
        <v>0</v>
      </c>
      <c r="AJ222" s="2" t="str">
        <f>Tab_Data_Flows[[#This Row],[E1_UoM]]</f>
        <v>Mg</v>
      </c>
      <c r="AK222" s="19">
        <f>_xlfn.XLOOKUP(Tab_Data_Flows[[#This Row],[Flow_Name]],Tab_Def_Flows[Flow_Name],Tab_Def_Flows[Flow_E6_Fraction'[%']],"N.A.",0,1)</f>
        <v>0</v>
      </c>
      <c r="AL222" s="2">
        <f>IF(Tab_Data_Flows[[#This Row],[Use_E6]]="Yes",Tab_Data_Flows[[#This Row],[E6_Fraction'[%']]]*Tab_Data_Flows[[#This Row],[E1_value]],"N.A.")</f>
        <v>0</v>
      </c>
      <c r="AM222" s="2" t="str">
        <f>Tab_Data_Flows[[#This Row],[E1_UoM]]</f>
        <v>Mg</v>
      </c>
    </row>
    <row r="223" spans="1:39" x14ac:dyDescent="0.25">
      <c r="A223" s="4">
        <f t="shared" si="7"/>
        <v>222</v>
      </c>
      <c r="B223" s="2" t="str">
        <f>_xlfn.XLOOKUP(C223,Tab_Def_Flows[Flow_Name],Tab_Def_Flows[Flow_ID],,0,)</f>
        <v>F__</v>
      </c>
      <c r="C223" s="18" t="s">
        <v>5</v>
      </c>
      <c r="D223" s="5" t="str">
        <f>_xlfn.XLOOKUP(C223,Tab_Def_Flows[Flow_Name],Tab_Def_Flows[Use_E1],,0,)</f>
        <v>Yes</v>
      </c>
      <c r="E223" s="5" t="str">
        <f>_xlfn.XLOOKUP(C223,Tab_Def_Flows[Flow_Name],Tab_Def_Flows[Use_E2],,0,)</f>
        <v>Yes</v>
      </c>
      <c r="F223" s="5" t="str">
        <f>_xlfn.XLOOKUP(C223,Tab_Def_Flows[Flow_Name],Tab_Def_Flows[Use_E3],,0,)</f>
        <v>Yes</v>
      </c>
      <c r="G223" s="5" t="str">
        <f>_xlfn.XLOOKUP(C223,Tab_Def_Flows[Flow_Name],Tab_Def_Flows[Use_E4],,0,)</f>
        <v>Yes</v>
      </c>
      <c r="H223" s="5" t="str">
        <f>_xlfn.XLOOKUP(C223,Tab_Def_Flows[Flow_Name],Tab_Def_Flows[Use_E5],,0,)</f>
        <v>Yes</v>
      </c>
      <c r="I223" s="5" t="str">
        <f>_xlfn.XLOOKUP(C223,Tab_Def_Flows[Flow_Name],Tab_Def_Flows[Use_E6],,0,)</f>
        <v>Yes</v>
      </c>
      <c r="J223" s="3"/>
      <c r="K223" s="3"/>
      <c r="L223" s="2" t="str">
        <f>'0_Configuration'!$C$41</f>
        <v>Mg</v>
      </c>
      <c r="M223" s="9"/>
      <c r="N223" s="9"/>
      <c r="O223" s="9"/>
      <c r="P223" s="9"/>
      <c r="Q223" s="18" t="s">
        <v>3</v>
      </c>
      <c r="R223" s="10"/>
      <c r="S223" s="3"/>
      <c r="T223" s="9"/>
      <c r="U223" s="9"/>
      <c r="V223" s="2">
        <f>_xlfn.XLOOKUP(Tab_Data_Flows[[#This Row],[Flow_Name]],Tab_Def_Flows[Flow_Name],Tab_Def_Flows[Flow_E1_Fraction'[%']],"N.A.",0,1)</f>
        <v>0</v>
      </c>
      <c r="W223" s="8">
        <f t="shared" si="6"/>
        <v>0</v>
      </c>
      <c r="X223" s="2" t="str">
        <f>Tab_Data_Flows[[#This Row],[UoM_Source]]</f>
        <v>Mg</v>
      </c>
      <c r="Y223" s="19">
        <f>_xlfn.XLOOKUP(Tab_Data_Flows[[#This Row],[Flow_Name]],Tab_Def_Flows[Flow_Name],Tab_Def_Flows[Flow_E2_Fraction'[%']],"N.A.",0,1)</f>
        <v>0</v>
      </c>
      <c r="Z223" s="2">
        <f>IF(D223="Yes",W223*Tab_Data_Flows[[#This Row],[E2_Fraction'[%']]],"N.A.")</f>
        <v>0</v>
      </c>
      <c r="AA223" s="2" t="str">
        <f>Tab_Data_Flows[[#This Row],[E1_UoM]]</f>
        <v>Mg</v>
      </c>
      <c r="AB223" s="19">
        <f>_xlfn.XLOOKUP(Tab_Data_Flows[[#This Row],[Flow_Name]],Tab_Def_Flows[Flow_Name],Tab_Def_Flows[Flow_E3_Fraction'[%']],"N.A.",0,1)</f>
        <v>0</v>
      </c>
      <c r="AC223" s="2">
        <f>IF(E223="Yes",AB223*Tab_Data_Flows[[#This Row],[E1_value]],"N.A.")</f>
        <v>0</v>
      </c>
      <c r="AD223" s="2" t="str">
        <f>Tab_Data_Flows[[#This Row],[E1_UoM]]</f>
        <v>Mg</v>
      </c>
      <c r="AE223" s="19">
        <f>_xlfn.XLOOKUP(Tab_Data_Flows[[#This Row],[Flow_Name]],Tab_Def_Flows[Flow_Name],Tab_Def_Flows[Flow_E4_Fraction'[%']],"N.A.",0,1)</f>
        <v>0</v>
      </c>
      <c r="AF223" s="2">
        <f>IF(H223="Yes",Tab_Data_Flows[[#This Row],[E4_Fraction'[%']]]*Tab_Data_Flows[[#This Row],[E1_value]],"N.A.")</f>
        <v>0</v>
      </c>
      <c r="AG223" s="2" t="str">
        <f>Tab_Data_Flows[[#This Row],[E1_UoM]]</f>
        <v>Mg</v>
      </c>
      <c r="AH223" s="2">
        <f>_xlfn.XLOOKUP(Tab_Data_Flows[[#This Row],[Flow_Name]],Tab_Def_Flows[Flow_Name],Tab_Def_Flows[Flow_E5_Fraction'[%']],"N.A.",0,1)</f>
        <v>0</v>
      </c>
      <c r="AI223" s="2">
        <f>IF(H223="Yes",Tab_Data_Flows[[#This Row],[E5_Fraction'[%']]]*Tab_Data_Flows[[#This Row],[E1_value]],"N.A.")</f>
        <v>0</v>
      </c>
      <c r="AJ223" s="2" t="str">
        <f>Tab_Data_Flows[[#This Row],[E1_UoM]]</f>
        <v>Mg</v>
      </c>
      <c r="AK223" s="19">
        <f>_xlfn.XLOOKUP(Tab_Data_Flows[[#This Row],[Flow_Name]],Tab_Def_Flows[Flow_Name],Tab_Def_Flows[Flow_E6_Fraction'[%']],"N.A.",0,1)</f>
        <v>0</v>
      </c>
      <c r="AL223" s="2">
        <f>IF(Tab_Data_Flows[[#This Row],[Use_E6]]="Yes",Tab_Data_Flows[[#This Row],[E6_Fraction'[%']]]*Tab_Data_Flows[[#This Row],[E1_value]],"N.A.")</f>
        <v>0</v>
      </c>
      <c r="AM223" s="2" t="str">
        <f>Tab_Data_Flows[[#This Row],[E1_UoM]]</f>
        <v>Mg</v>
      </c>
    </row>
    <row r="224" spans="1:39" x14ac:dyDescent="0.25">
      <c r="A224" s="4">
        <f t="shared" si="7"/>
        <v>223</v>
      </c>
      <c r="B224" s="2" t="str">
        <f>_xlfn.XLOOKUP(C224,Tab_Def_Flows[Flow_Name],Tab_Def_Flows[Flow_ID],,0,)</f>
        <v>F__</v>
      </c>
      <c r="C224" s="18" t="s">
        <v>5</v>
      </c>
      <c r="D224" s="5" t="str">
        <f>_xlfn.XLOOKUP(C224,Tab_Def_Flows[Flow_Name],Tab_Def_Flows[Use_E1],,0,)</f>
        <v>Yes</v>
      </c>
      <c r="E224" s="5" t="str">
        <f>_xlfn.XLOOKUP(C224,Tab_Def_Flows[Flow_Name],Tab_Def_Flows[Use_E2],,0,)</f>
        <v>Yes</v>
      </c>
      <c r="F224" s="5" t="str">
        <f>_xlfn.XLOOKUP(C224,Tab_Def_Flows[Flow_Name],Tab_Def_Flows[Use_E3],,0,)</f>
        <v>Yes</v>
      </c>
      <c r="G224" s="5" t="str">
        <f>_xlfn.XLOOKUP(C224,Tab_Def_Flows[Flow_Name],Tab_Def_Flows[Use_E4],,0,)</f>
        <v>Yes</v>
      </c>
      <c r="H224" s="5" t="str">
        <f>_xlfn.XLOOKUP(C224,Tab_Def_Flows[Flow_Name],Tab_Def_Flows[Use_E5],,0,)</f>
        <v>Yes</v>
      </c>
      <c r="I224" s="5" t="str">
        <f>_xlfn.XLOOKUP(C224,Tab_Def_Flows[Flow_Name],Tab_Def_Flows[Use_E6],,0,)</f>
        <v>Yes</v>
      </c>
      <c r="J224" s="3"/>
      <c r="K224" s="3"/>
      <c r="L224" s="2" t="str">
        <f>'0_Configuration'!$C$41</f>
        <v>Mg</v>
      </c>
      <c r="M224" s="9"/>
      <c r="N224" s="9"/>
      <c r="O224" s="9"/>
      <c r="P224" s="9"/>
      <c r="Q224" s="18" t="s">
        <v>3</v>
      </c>
      <c r="R224" s="10"/>
      <c r="S224" s="3"/>
      <c r="T224" s="9"/>
      <c r="U224" s="9"/>
      <c r="V224" s="2">
        <f>_xlfn.XLOOKUP(Tab_Data_Flows[[#This Row],[Flow_Name]],Tab_Def_Flows[Flow_Name],Tab_Def_Flows[Flow_E1_Fraction'[%']],"N.A.",0,1)</f>
        <v>0</v>
      </c>
      <c r="W224" s="8">
        <f t="shared" si="6"/>
        <v>0</v>
      </c>
      <c r="X224" s="2" t="str">
        <f>Tab_Data_Flows[[#This Row],[UoM_Source]]</f>
        <v>Mg</v>
      </c>
      <c r="Y224" s="19">
        <f>_xlfn.XLOOKUP(Tab_Data_Flows[[#This Row],[Flow_Name]],Tab_Def_Flows[Flow_Name],Tab_Def_Flows[Flow_E2_Fraction'[%']],"N.A.",0,1)</f>
        <v>0</v>
      </c>
      <c r="Z224" s="2">
        <f>IF(D224="Yes",W224*Tab_Data_Flows[[#This Row],[E2_Fraction'[%']]],"N.A.")</f>
        <v>0</v>
      </c>
      <c r="AA224" s="2" t="str">
        <f>Tab_Data_Flows[[#This Row],[E1_UoM]]</f>
        <v>Mg</v>
      </c>
      <c r="AB224" s="19">
        <f>_xlfn.XLOOKUP(Tab_Data_Flows[[#This Row],[Flow_Name]],Tab_Def_Flows[Flow_Name],Tab_Def_Flows[Flow_E3_Fraction'[%']],"N.A.",0,1)</f>
        <v>0</v>
      </c>
      <c r="AC224" s="2">
        <f>IF(E224="Yes",AB224*Tab_Data_Flows[[#This Row],[E1_value]],"N.A.")</f>
        <v>0</v>
      </c>
      <c r="AD224" s="2" t="str">
        <f>Tab_Data_Flows[[#This Row],[E1_UoM]]</f>
        <v>Mg</v>
      </c>
      <c r="AE224" s="19">
        <f>_xlfn.XLOOKUP(Tab_Data_Flows[[#This Row],[Flow_Name]],Tab_Def_Flows[Flow_Name],Tab_Def_Flows[Flow_E4_Fraction'[%']],"N.A.",0,1)</f>
        <v>0</v>
      </c>
      <c r="AF224" s="2">
        <f>IF(H224="Yes",Tab_Data_Flows[[#This Row],[E4_Fraction'[%']]]*Tab_Data_Flows[[#This Row],[E1_value]],"N.A.")</f>
        <v>0</v>
      </c>
      <c r="AG224" s="2" t="str">
        <f>Tab_Data_Flows[[#This Row],[E1_UoM]]</f>
        <v>Mg</v>
      </c>
      <c r="AH224" s="2">
        <f>_xlfn.XLOOKUP(Tab_Data_Flows[[#This Row],[Flow_Name]],Tab_Def_Flows[Flow_Name],Tab_Def_Flows[Flow_E5_Fraction'[%']],"N.A.",0,1)</f>
        <v>0</v>
      </c>
      <c r="AI224" s="2">
        <f>IF(H224="Yes",Tab_Data_Flows[[#This Row],[E5_Fraction'[%']]]*Tab_Data_Flows[[#This Row],[E1_value]],"N.A.")</f>
        <v>0</v>
      </c>
      <c r="AJ224" s="2" t="str">
        <f>Tab_Data_Flows[[#This Row],[E1_UoM]]</f>
        <v>Mg</v>
      </c>
      <c r="AK224" s="19">
        <f>_xlfn.XLOOKUP(Tab_Data_Flows[[#This Row],[Flow_Name]],Tab_Def_Flows[Flow_Name],Tab_Def_Flows[Flow_E6_Fraction'[%']],"N.A.",0,1)</f>
        <v>0</v>
      </c>
      <c r="AL224" s="2">
        <f>IF(Tab_Data_Flows[[#This Row],[Use_E6]]="Yes",Tab_Data_Flows[[#This Row],[E6_Fraction'[%']]]*Tab_Data_Flows[[#This Row],[E1_value]],"N.A.")</f>
        <v>0</v>
      </c>
      <c r="AM224" s="2" t="str">
        <f>Tab_Data_Flows[[#This Row],[E1_UoM]]</f>
        <v>Mg</v>
      </c>
    </row>
    <row r="225" spans="1:39" x14ac:dyDescent="0.25">
      <c r="A225" s="4">
        <f t="shared" si="7"/>
        <v>224</v>
      </c>
      <c r="B225" s="2" t="str">
        <f>_xlfn.XLOOKUP(C225,Tab_Def_Flows[Flow_Name],Tab_Def_Flows[Flow_ID],,0,)</f>
        <v>F__</v>
      </c>
      <c r="C225" s="18" t="s">
        <v>5</v>
      </c>
      <c r="D225" s="5" t="str">
        <f>_xlfn.XLOOKUP(C225,Tab_Def_Flows[Flow_Name],Tab_Def_Flows[Use_E1],,0,)</f>
        <v>Yes</v>
      </c>
      <c r="E225" s="5" t="str">
        <f>_xlfn.XLOOKUP(C225,Tab_Def_Flows[Flow_Name],Tab_Def_Flows[Use_E2],,0,)</f>
        <v>Yes</v>
      </c>
      <c r="F225" s="5" t="str">
        <f>_xlfn.XLOOKUP(C225,Tab_Def_Flows[Flow_Name],Tab_Def_Flows[Use_E3],,0,)</f>
        <v>Yes</v>
      </c>
      <c r="G225" s="5" t="str">
        <f>_xlfn.XLOOKUP(C225,Tab_Def_Flows[Flow_Name],Tab_Def_Flows[Use_E4],,0,)</f>
        <v>Yes</v>
      </c>
      <c r="H225" s="5" t="str">
        <f>_xlfn.XLOOKUP(C225,Tab_Def_Flows[Flow_Name],Tab_Def_Flows[Use_E5],,0,)</f>
        <v>Yes</v>
      </c>
      <c r="I225" s="5" t="str">
        <f>_xlfn.XLOOKUP(C225,Tab_Def_Flows[Flow_Name],Tab_Def_Flows[Use_E6],,0,)</f>
        <v>Yes</v>
      </c>
      <c r="J225" s="3"/>
      <c r="K225" s="3"/>
      <c r="L225" s="2" t="str">
        <f>'0_Configuration'!$C$41</f>
        <v>Mg</v>
      </c>
      <c r="M225" s="9"/>
      <c r="N225" s="9"/>
      <c r="O225" s="9"/>
      <c r="P225" s="9"/>
      <c r="Q225" s="18" t="s">
        <v>3</v>
      </c>
      <c r="R225" s="10"/>
      <c r="S225" s="3"/>
      <c r="T225" s="9"/>
      <c r="U225" s="9"/>
      <c r="V225" s="2">
        <f>_xlfn.XLOOKUP(Tab_Data_Flows[[#This Row],[Flow_Name]],Tab_Def_Flows[Flow_Name],Tab_Def_Flows[Flow_E1_Fraction'[%']],"N.A.",0,1)</f>
        <v>0</v>
      </c>
      <c r="W225" s="8">
        <f t="shared" si="6"/>
        <v>0</v>
      </c>
      <c r="X225" s="2" t="str">
        <f>Tab_Data_Flows[[#This Row],[UoM_Source]]</f>
        <v>Mg</v>
      </c>
      <c r="Y225" s="19">
        <f>_xlfn.XLOOKUP(Tab_Data_Flows[[#This Row],[Flow_Name]],Tab_Def_Flows[Flow_Name],Tab_Def_Flows[Flow_E2_Fraction'[%']],"N.A.",0,1)</f>
        <v>0</v>
      </c>
      <c r="Z225" s="2">
        <f>IF(D225="Yes",W225*Tab_Data_Flows[[#This Row],[E2_Fraction'[%']]],"N.A.")</f>
        <v>0</v>
      </c>
      <c r="AA225" s="2" t="str">
        <f>Tab_Data_Flows[[#This Row],[E1_UoM]]</f>
        <v>Mg</v>
      </c>
      <c r="AB225" s="19">
        <f>_xlfn.XLOOKUP(Tab_Data_Flows[[#This Row],[Flow_Name]],Tab_Def_Flows[Flow_Name],Tab_Def_Flows[Flow_E3_Fraction'[%']],"N.A.",0,1)</f>
        <v>0</v>
      </c>
      <c r="AC225" s="2">
        <f>IF(E225="Yes",AB225*Tab_Data_Flows[[#This Row],[E1_value]],"N.A.")</f>
        <v>0</v>
      </c>
      <c r="AD225" s="2" t="str">
        <f>Tab_Data_Flows[[#This Row],[E1_UoM]]</f>
        <v>Mg</v>
      </c>
      <c r="AE225" s="19">
        <f>_xlfn.XLOOKUP(Tab_Data_Flows[[#This Row],[Flow_Name]],Tab_Def_Flows[Flow_Name],Tab_Def_Flows[Flow_E4_Fraction'[%']],"N.A.",0,1)</f>
        <v>0</v>
      </c>
      <c r="AF225" s="2">
        <f>IF(H225="Yes",Tab_Data_Flows[[#This Row],[E4_Fraction'[%']]]*Tab_Data_Flows[[#This Row],[E1_value]],"N.A.")</f>
        <v>0</v>
      </c>
      <c r="AG225" s="2" t="str">
        <f>Tab_Data_Flows[[#This Row],[E1_UoM]]</f>
        <v>Mg</v>
      </c>
      <c r="AH225" s="2">
        <f>_xlfn.XLOOKUP(Tab_Data_Flows[[#This Row],[Flow_Name]],Tab_Def_Flows[Flow_Name],Tab_Def_Flows[Flow_E5_Fraction'[%']],"N.A.",0,1)</f>
        <v>0</v>
      </c>
      <c r="AI225" s="2">
        <f>IF(H225="Yes",Tab_Data_Flows[[#This Row],[E5_Fraction'[%']]]*Tab_Data_Flows[[#This Row],[E1_value]],"N.A.")</f>
        <v>0</v>
      </c>
      <c r="AJ225" s="2" t="str">
        <f>Tab_Data_Flows[[#This Row],[E1_UoM]]</f>
        <v>Mg</v>
      </c>
      <c r="AK225" s="19">
        <f>_xlfn.XLOOKUP(Tab_Data_Flows[[#This Row],[Flow_Name]],Tab_Def_Flows[Flow_Name],Tab_Def_Flows[Flow_E6_Fraction'[%']],"N.A.",0,1)</f>
        <v>0</v>
      </c>
      <c r="AL225" s="2">
        <f>IF(Tab_Data_Flows[[#This Row],[Use_E6]]="Yes",Tab_Data_Flows[[#This Row],[E6_Fraction'[%']]]*Tab_Data_Flows[[#This Row],[E1_value]],"N.A.")</f>
        <v>0</v>
      </c>
      <c r="AM225" s="2" t="str">
        <f>Tab_Data_Flows[[#This Row],[E1_UoM]]</f>
        <v>Mg</v>
      </c>
    </row>
    <row r="226" spans="1:39" x14ac:dyDescent="0.25">
      <c r="A226" s="4">
        <f t="shared" si="7"/>
        <v>225</v>
      </c>
      <c r="B226" s="2" t="str">
        <f>_xlfn.XLOOKUP(C226,Tab_Def_Flows[Flow_Name],Tab_Def_Flows[Flow_ID],,0,)</f>
        <v>F__</v>
      </c>
      <c r="C226" s="18" t="s">
        <v>5</v>
      </c>
      <c r="D226" s="5" t="str">
        <f>_xlfn.XLOOKUP(C226,Tab_Def_Flows[Flow_Name],Tab_Def_Flows[Use_E1],,0,)</f>
        <v>Yes</v>
      </c>
      <c r="E226" s="5" t="str">
        <f>_xlfn.XLOOKUP(C226,Tab_Def_Flows[Flow_Name],Tab_Def_Flows[Use_E2],,0,)</f>
        <v>Yes</v>
      </c>
      <c r="F226" s="5" t="str">
        <f>_xlfn.XLOOKUP(C226,Tab_Def_Flows[Flow_Name],Tab_Def_Flows[Use_E3],,0,)</f>
        <v>Yes</v>
      </c>
      <c r="G226" s="5" t="str">
        <f>_xlfn.XLOOKUP(C226,Tab_Def_Flows[Flow_Name],Tab_Def_Flows[Use_E4],,0,)</f>
        <v>Yes</v>
      </c>
      <c r="H226" s="5" t="str">
        <f>_xlfn.XLOOKUP(C226,Tab_Def_Flows[Flow_Name],Tab_Def_Flows[Use_E5],,0,)</f>
        <v>Yes</v>
      </c>
      <c r="I226" s="5" t="str">
        <f>_xlfn.XLOOKUP(C226,Tab_Def_Flows[Flow_Name],Tab_Def_Flows[Use_E6],,0,)</f>
        <v>Yes</v>
      </c>
      <c r="J226" s="3"/>
      <c r="K226" s="3"/>
      <c r="L226" s="2" t="str">
        <f>'0_Configuration'!$C$41</f>
        <v>Mg</v>
      </c>
      <c r="M226" s="9"/>
      <c r="N226" s="9"/>
      <c r="O226" s="9"/>
      <c r="P226" s="9"/>
      <c r="Q226" s="18" t="s">
        <v>3</v>
      </c>
      <c r="R226" s="10"/>
      <c r="S226" s="3"/>
      <c r="T226" s="9"/>
      <c r="U226" s="9"/>
      <c r="V226" s="2">
        <f>_xlfn.XLOOKUP(Tab_Data_Flows[[#This Row],[Flow_Name]],Tab_Def_Flows[Flow_Name],Tab_Def_Flows[Flow_E1_Fraction'[%']],"N.A.",0,1)</f>
        <v>0</v>
      </c>
      <c r="W226" s="8">
        <f t="shared" si="6"/>
        <v>0</v>
      </c>
      <c r="X226" s="2" t="str">
        <f>Tab_Data_Flows[[#This Row],[UoM_Source]]</f>
        <v>Mg</v>
      </c>
      <c r="Y226" s="19">
        <f>_xlfn.XLOOKUP(Tab_Data_Flows[[#This Row],[Flow_Name]],Tab_Def_Flows[Flow_Name],Tab_Def_Flows[Flow_E2_Fraction'[%']],"N.A.",0,1)</f>
        <v>0</v>
      </c>
      <c r="Z226" s="2">
        <f>IF(D226="Yes",W226*Tab_Data_Flows[[#This Row],[E2_Fraction'[%']]],"N.A.")</f>
        <v>0</v>
      </c>
      <c r="AA226" s="2" t="str">
        <f>Tab_Data_Flows[[#This Row],[E1_UoM]]</f>
        <v>Mg</v>
      </c>
      <c r="AB226" s="19">
        <f>_xlfn.XLOOKUP(Tab_Data_Flows[[#This Row],[Flow_Name]],Tab_Def_Flows[Flow_Name],Tab_Def_Flows[Flow_E3_Fraction'[%']],"N.A.",0,1)</f>
        <v>0</v>
      </c>
      <c r="AC226" s="2">
        <f>IF(E226="Yes",AB226*Tab_Data_Flows[[#This Row],[E1_value]],"N.A.")</f>
        <v>0</v>
      </c>
      <c r="AD226" s="2" t="str">
        <f>Tab_Data_Flows[[#This Row],[E1_UoM]]</f>
        <v>Mg</v>
      </c>
      <c r="AE226" s="19">
        <f>_xlfn.XLOOKUP(Tab_Data_Flows[[#This Row],[Flow_Name]],Tab_Def_Flows[Flow_Name],Tab_Def_Flows[Flow_E4_Fraction'[%']],"N.A.",0,1)</f>
        <v>0</v>
      </c>
      <c r="AF226" s="2">
        <f>IF(H226="Yes",Tab_Data_Flows[[#This Row],[E4_Fraction'[%']]]*Tab_Data_Flows[[#This Row],[E1_value]],"N.A.")</f>
        <v>0</v>
      </c>
      <c r="AG226" s="2" t="str">
        <f>Tab_Data_Flows[[#This Row],[E1_UoM]]</f>
        <v>Mg</v>
      </c>
      <c r="AH226" s="2">
        <f>_xlfn.XLOOKUP(Tab_Data_Flows[[#This Row],[Flow_Name]],Tab_Def_Flows[Flow_Name],Tab_Def_Flows[Flow_E5_Fraction'[%']],"N.A.",0,1)</f>
        <v>0</v>
      </c>
      <c r="AI226" s="2">
        <f>IF(H226="Yes",Tab_Data_Flows[[#This Row],[E5_Fraction'[%']]]*Tab_Data_Flows[[#This Row],[E1_value]],"N.A.")</f>
        <v>0</v>
      </c>
      <c r="AJ226" s="2" t="str">
        <f>Tab_Data_Flows[[#This Row],[E1_UoM]]</f>
        <v>Mg</v>
      </c>
      <c r="AK226" s="19">
        <f>_xlfn.XLOOKUP(Tab_Data_Flows[[#This Row],[Flow_Name]],Tab_Def_Flows[Flow_Name],Tab_Def_Flows[Flow_E6_Fraction'[%']],"N.A.",0,1)</f>
        <v>0</v>
      </c>
      <c r="AL226" s="2">
        <f>IF(Tab_Data_Flows[[#This Row],[Use_E6]]="Yes",Tab_Data_Flows[[#This Row],[E6_Fraction'[%']]]*Tab_Data_Flows[[#This Row],[E1_value]],"N.A.")</f>
        <v>0</v>
      </c>
      <c r="AM226" s="2" t="str">
        <f>Tab_Data_Flows[[#This Row],[E1_UoM]]</f>
        <v>Mg</v>
      </c>
    </row>
    <row r="227" spans="1:39" x14ac:dyDescent="0.25">
      <c r="A227" s="4">
        <f t="shared" si="7"/>
        <v>226</v>
      </c>
      <c r="B227" s="2" t="str">
        <f>_xlfn.XLOOKUP(C227,Tab_Def_Flows[Flow_Name],Tab_Def_Flows[Flow_ID],,0,)</f>
        <v>F__</v>
      </c>
      <c r="C227" s="18" t="s">
        <v>5</v>
      </c>
      <c r="D227" s="5" t="str">
        <f>_xlfn.XLOOKUP(C227,Tab_Def_Flows[Flow_Name],Tab_Def_Flows[Use_E1],,0,)</f>
        <v>Yes</v>
      </c>
      <c r="E227" s="5" t="str">
        <f>_xlfn.XLOOKUP(C227,Tab_Def_Flows[Flow_Name],Tab_Def_Flows[Use_E2],,0,)</f>
        <v>Yes</v>
      </c>
      <c r="F227" s="5" t="str">
        <f>_xlfn.XLOOKUP(C227,Tab_Def_Flows[Flow_Name],Tab_Def_Flows[Use_E3],,0,)</f>
        <v>Yes</v>
      </c>
      <c r="G227" s="5" t="str">
        <f>_xlfn.XLOOKUP(C227,Tab_Def_Flows[Flow_Name],Tab_Def_Flows[Use_E4],,0,)</f>
        <v>Yes</v>
      </c>
      <c r="H227" s="5" t="str">
        <f>_xlfn.XLOOKUP(C227,Tab_Def_Flows[Flow_Name],Tab_Def_Flows[Use_E5],,0,)</f>
        <v>Yes</v>
      </c>
      <c r="I227" s="5" t="str">
        <f>_xlfn.XLOOKUP(C227,Tab_Def_Flows[Flow_Name],Tab_Def_Flows[Use_E6],,0,)</f>
        <v>Yes</v>
      </c>
      <c r="J227" s="3"/>
      <c r="K227" s="3"/>
      <c r="L227" s="2" t="str">
        <f>'0_Configuration'!$C$41</f>
        <v>Mg</v>
      </c>
      <c r="M227" s="9"/>
      <c r="N227" s="9"/>
      <c r="O227" s="9"/>
      <c r="P227" s="9"/>
      <c r="Q227" s="18" t="s">
        <v>3</v>
      </c>
      <c r="R227" s="10"/>
      <c r="S227" s="3"/>
      <c r="T227" s="9"/>
      <c r="U227" s="9"/>
      <c r="V227" s="2">
        <f>_xlfn.XLOOKUP(Tab_Data_Flows[[#This Row],[Flow_Name]],Tab_Def_Flows[Flow_Name],Tab_Def_Flows[Flow_E1_Fraction'[%']],"N.A.",0,1)</f>
        <v>0</v>
      </c>
      <c r="W227" s="8">
        <f t="shared" si="6"/>
        <v>0</v>
      </c>
      <c r="X227" s="2" t="str">
        <f>Tab_Data_Flows[[#This Row],[UoM_Source]]</f>
        <v>Mg</v>
      </c>
      <c r="Y227" s="19">
        <f>_xlfn.XLOOKUP(Tab_Data_Flows[[#This Row],[Flow_Name]],Tab_Def_Flows[Flow_Name],Tab_Def_Flows[Flow_E2_Fraction'[%']],"N.A.",0,1)</f>
        <v>0</v>
      </c>
      <c r="Z227" s="2">
        <f>IF(D227="Yes",W227*Tab_Data_Flows[[#This Row],[E2_Fraction'[%']]],"N.A.")</f>
        <v>0</v>
      </c>
      <c r="AA227" s="2" t="str">
        <f>Tab_Data_Flows[[#This Row],[E1_UoM]]</f>
        <v>Mg</v>
      </c>
      <c r="AB227" s="19">
        <f>_xlfn.XLOOKUP(Tab_Data_Flows[[#This Row],[Flow_Name]],Tab_Def_Flows[Flow_Name],Tab_Def_Flows[Flow_E3_Fraction'[%']],"N.A.",0,1)</f>
        <v>0</v>
      </c>
      <c r="AC227" s="2">
        <f>IF(E227="Yes",AB227*Tab_Data_Flows[[#This Row],[E1_value]],"N.A.")</f>
        <v>0</v>
      </c>
      <c r="AD227" s="2" t="str">
        <f>Tab_Data_Flows[[#This Row],[E1_UoM]]</f>
        <v>Mg</v>
      </c>
      <c r="AE227" s="19">
        <f>_xlfn.XLOOKUP(Tab_Data_Flows[[#This Row],[Flow_Name]],Tab_Def_Flows[Flow_Name],Tab_Def_Flows[Flow_E4_Fraction'[%']],"N.A.",0,1)</f>
        <v>0</v>
      </c>
      <c r="AF227" s="2">
        <f>IF(H227="Yes",Tab_Data_Flows[[#This Row],[E4_Fraction'[%']]]*Tab_Data_Flows[[#This Row],[E1_value]],"N.A.")</f>
        <v>0</v>
      </c>
      <c r="AG227" s="2" t="str">
        <f>Tab_Data_Flows[[#This Row],[E1_UoM]]</f>
        <v>Mg</v>
      </c>
      <c r="AH227" s="2">
        <f>_xlfn.XLOOKUP(Tab_Data_Flows[[#This Row],[Flow_Name]],Tab_Def_Flows[Flow_Name],Tab_Def_Flows[Flow_E5_Fraction'[%']],"N.A.",0,1)</f>
        <v>0</v>
      </c>
      <c r="AI227" s="2">
        <f>IF(H227="Yes",Tab_Data_Flows[[#This Row],[E5_Fraction'[%']]]*Tab_Data_Flows[[#This Row],[E1_value]],"N.A.")</f>
        <v>0</v>
      </c>
      <c r="AJ227" s="2" t="str">
        <f>Tab_Data_Flows[[#This Row],[E1_UoM]]</f>
        <v>Mg</v>
      </c>
      <c r="AK227" s="19">
        <f>_xlfn.XLOOKUP(Tab_Data_Flows[[#This Row],[Flow_Name]],Tab_Def_Flows[Flow_Name],Tab_Def_Flows[Flow_E6_Fraction'[%']],"N.A.",0,1)</f>
        <v>0</v>
      </c>
      <c r="AL227" s="2">
        <f>IF(Tab_Data_Flows[[#This Row],[Use_E6]]="Yes",Tab_Data_Flows[[#This Row],[E6_Fraction'[%']]]*Tab_Data_Flows[[#This Row],[E1_value]],"N.A.")</f>
        <v>0</v>
      </c>
      <c r="AM227" s="2" t="str">
        <f>Tab_Data_Flows[[#This Row],[E1_UoM]]</f>
        <v>Mg</v>
      </c>
    </row>
    <row r="228" spans="1:39" x14ac:dyDescent="0.25">
      <c r="A228" s="4">
        <f t="shared" si="7"/>
        <v>227</v>
      </c>
      <c r="B228" s="2" t="str">
        <f>_xlfn.XLOOKUP(C228,Tab_Def_Flows[Flow_Name],Tab_Def_Flows[Flow_ID],,0,)</f>
        <v>F__</v>
      </c>
      <c r="C228" s="18" t="s">
        <v>5</v>
      </c>
      <c r="D228" s="5" t="str">
        <f>_xlfn.XLOOKUP(C228,Tab_Def_Flows[Flow_Name],Tab_Def_Flows[Use_E1],,0,)</f>
        <v>Yes</v>
      </c>
      <c r="E228" s="5" t="str">
        <f>_xlfn.XLOOKUP(C228,Tab_Def_Flows[Flow_Name],Tab_Def_Flows[Use_E2],,0,)</f>
        <v>Yes</v>
      </c>
      <c r="F228" s="5" t="str">
        <f>_xlfn.XLOOKUP(C228,Tab_Def_Flows[Flow_Name],Tab_Def_Flows[Use_E3],,0,)</f>
        <v>Yes</v>
      </c>
      <c r="G228" s="5" t="str">
        <f>_xlfn.XLOOKUP(C228,Tab_Def_Flows[Flow_Name],Tab_Def_Flows[Use_E4],,0,)</f>
        <v>Yes</v>
      </c>
      <c r="H228" s="5" t="str">
        <f>_xlfn.XLOOKUP(C228,Tab_Def_Flows[Flow_Name],Tab_Def_Flows[Use_E5],,0,)</f>
        <v>Yes</v>
      </c>
      <c r="I228" s="5" t="str">
        <f>_xlfn.XLOOKUP(C228,Tab_Def_Flows[Flow_Name],Tab_Def_Flows[Use_E6],,0,)</f>
        <v>Yes</v>
      </c>
      <c r="J228" s="3"/>
      <c r="K228" s="3"/>
      <c r="L228" s="2" t="str">
        <f>'0_Configuration'!$C$41</f>
        <v>Mg</v>
      </c>
      <c r="M228" s="9"/>
      <c r="N228" s="9"/>
      <c r="O228" s="9"/>
      <c r="P228" s="9"/>
      <c r="Q228" s="18" t="s">
        <v>3</v>
      </c>
      <c r="R228" s="10"/>
      <c r="S228" s="3"/>
      <c r="T228" s="9"/>
      <c r="U228" s="9"/>
      <c r="V228" s="2">
        <f>_xlfn.XLOOKUP(Tab_Data_Flows[[#This Row],[Flow_Name]],Tab_Def_Flows[Flow_Name],Tab_Def_Flows[Flow_E1_Fraction'[%']],"N.A.",0,1)</f>
        <v>0</v>
      </c>
      <c r="W228" s="8">
        <f t="shared" si="6"/>
        <v>0</v>
      </c>
      <c r="X228" s="2" t="str">
        <f>Tab_Data_Flows[[#This Row],[UoM_Source]]</f>
        <v>Mg</v>
      </c>
      <c r="Y228" s="19">
        <f>_xlfn.XLOOKUP(Tab_Data_Flows[[#This Row],[Flow_Name]],Tab_Def_Flows[Flow_Name],Tab_Def_Flows[Flow_E2_Fraction'[%']],"N.A.",0,1)</f>
        <v>0</v>
      </c>
      <c r="Z228" s="2">
        <f>IF(D228="Yes",W228*Tab_Data_Flows[[#This Row],[E2_Fraction'[%']]],"N.A.")</f>
        <v>0</v>
      </c>
      <c r="AA228" s="2" t="str">
        <f>Tab_Data_Flows[[#This Row],[E1_UoM]]</f>
        <v>Mg</v>
      </c>
      <c r="AB228" s="19">
        <f>_xlfn.XLOOKUP(Tab_Data_Flows[[#This Row],[Flow_Name]],Tab_Def_Flows[Flow_Name],Tab_Def_Flows[Flow_E3_Fraction'[%']],"N.A.",0,1)</f>
        <v>0</v>
      </c>
      <c r="AC228" s="2">
        <f>IF(E228="Yes",AB228*Tab_Data_Flows[[#This Row],[E1_value]],"N.A.")</f>
        <v>0</v>
      </c>
      <c r="AD228" s="2" t="str">
        <f>Tab_Data_Flows[[#This Row],[E1_UoM]]</f>
        <v>Mg</v>
      </c>
      <c r="AE228" s="19">
        <f>_xlfn.XLOOKUP(Tab_Data_Flows[[#This Row],[Flow_Name]],Tab_Def_Flows[Flow_Name],Tab_Def_Flows[Flow_E4_Fraction'[%']],"N.A.",0,1)</f>
        <v>0</v>
      </c>
      <c r="AF228" s="2">
        <f>IF(H228="Yes",Tab_Data_Flows[[#This Row],[E4_Fraction'[%']]]*Tab_Data_Flows[[#This Row],[E1_value]],"N.A.")</f>
        <v>0</v>
      </c>
      <c r="AG228" s="2" t="str">
        <f>Tab_Data_Flows[[#This Row],[E1_UoM]]</f>
        <v>Mg</v>
      </c>
      <c r="AH228" s="2">
        <f>_xlfn.XLOOKUP(Tab_Data_Flows[[#This Row],[Flow_Name]],Tab_Def_Flows[Flow_Name],Tab_Def_Flows[Flow_E5_Fraction'[%']],"N.A.",0,1)</f>
        <v>0</v>
      </c>
      <c r="AI228" s="2">
        <f>IF(H228="Yes",Tab_Data_Flows[[#This Row],[E5_Fraction'[%']]]*Tab_Data_Flows[[#This Row],[E1_value]],"N.A.")</f>
        <v>0</v>
      </c>
      <c r="AJ228" s="2" t="str">
        <f>Tab_Data_Flows[[#This Row],[E1_UoM]]</f>
        <v>Mg</v>
      </c>
      <c r="AK228" s="19">
        <f>_xlfn.XLOOKUP(Tab_Data_Flows[[#This Row],[Flow_Name]],Tab_Def_Flows[Flow_Name],Tab_Def_Flows[Flow_E6_Fraction'[%']],"N.A.",0,1)</f>
        <v>0</v>
      </c>
      <c r="AL228" s="2">
        <f>IF(Tab_Data_Flows[[#This Row],[Use_E6]]="Yes",Tab_Data_Flows[[#This Row],[E6_Fraction'[%']]]*Tab_Data_Flows[[#This Row],[E1_value]],"N.A.")</f>
        <v>0</v>
      </c>
      <c r="AM228" s="2" t="str">
        <f>Tab_Data_Flows[[#This Row],[E1_UoM]]</f>
        <v>Mg</v>
      </c>
    </row>
    <row r="229" spans="1:39" x14ac:dyDescent="0.25">
      <c r="A229" s="4">
        <f t="shared" si="7"/>
        <v>228</v>
      </c>
      <c r="B229" s="2" t="str">
        <f>_xlfn.XLOOKUP(C229,Tab_Def_Flows[Flow_Name],Tab_Def_Flows[Flow_ID],,0,)</f>
        <v>F__</v>
      </c>
      <c r="C229" s="18" t="s">
        <v>5</v>
      </c>
      <c r="D229" s="5" t="str">
        <f>_xlfn.XLOOKUP(C229,Tab_Def_Flows[Flow_Name],Tab_Def_Flows[Use_E1],,0,)</f>
        <v>Yes</v>
      </c>
      <c r="E229" s="5" t="str">
        <f>_xlfn.XLOOKUP(C229,Tab_Def_Flows[Flow_Name],Tab_Def_Flows[Use_E2],,0,)</f>
        <v>Yes</v>
      </c>
      <c r="F229" s="5" t="str">
        <f>_xlfn.XLOOKUP(C229,Tab_Def_Flows[Flow_Name],Tab_Def_Flows[Use_E3],,0,)</f>
        <v>Yes</v>
      </c>
      <c r="G229" s="5" t="str">
        <f>_xlfn.XLOOKUP(C229,Tab_Def_Flows[Flow_Name],Tab_Def_Flows[Use_E4],,0,)</f>
        <v>Yes</v>
      </c>
      <c r="H229" s="5" t="str">
        <f>_xlfn.XLOOKUP(C229,Tab_Def_Flows[Flow_Name],Tab_Def_Flows[Use_E5],,0,)</f>
        <v>Yes</v>
      </c>
      <c r="I229" s="5" t="str">
        <f>_xlfn.XLOOKUP(C229,Tab_Def_Flows[Flow_Name],Tab_Def_Flows[Use_E6],,0,)</f>
        <v>Yes</v>
      </c>
      <c r="J229" s="3"/>
      <c r="K229" s="3"/>
      <c r="L229" s="2" t="str">
        <f>'0_Configuration'!$C$41</f>
        <v>Mg</v>
      </c>
      <c r="M229" s="9"/>
      <c r="N229" s="9"/>
      <c r="O229" s="9"/>
      <c r="P229" s="9"/>
      <c r="Q229" s="18" t="s">
        <v>3</v>
      </c>
      <c r="R229" s="10"/>
      <c r="S229" s="3"/>
      <c r="T229" s="9"/>
      <c r="U229" s="9"/>
      <c r="V229" s="2">
        <f>_xlfn.XLOOKUP(Tab_Data_Flows[[#This Row],[Flow_Name]],Tab_Def_Flows[Flow_Name],Tab_Def_Flows[Flow_E1_Fraction'[%']],"N.A.",0,1)</f>
        <v>0</v>
      </c>
      <c r="W229" s="8">
        <f t="shared" si="6"/>
        <v>0</v>
      </c>
      <c r="X229" s="2" t="str">
        <f>Tab_Data_Flows[[#This Row],[UoM_Source]]</f>
        <v>Mg</v>
      </c>
      <c r="Y229" s="19">
        <f>_xlfn.XLOOKUP(Tab_Data_Flows[[#This Row],[Flow_Name]],Tab_Def_Flows[Flow_Name],Tab_Def_Flows[Flow_E2_Fraction'[%']],"N.A.",0,1)</f>
        <v>0</v>
      </c>
      <c r="Z229" s="2">
        <f>IF(D229="Yes",W229*Tab_Data_Flows[[#This Row],[E2_Fraction'[%']]],"N.A.")</f>
        <v>0</v>
      </c>
      <c r="AA229" s="2" t="str">
        <f>Tab_Data_Flows[[#This Row],[E1_UoM]]</f>
        <v>Mg</v>
      </c>
      <c r="AB229" s="19">
        <f>_xlfn.XLOOKUP(Tab_Data_Flows[[#This Row],[Flow_Name]],Tab_Def_Flows[Flow_Name],Tab_Def_Flows[Flow_E3_Fraction'[%']],"N.A.",0,1)</f>
        <v>0</v>
      </c>
      <c r="AC229" s="2">
        <f>IF(E229="Yes",AB229*Tab_Data_Flows[[#This Row],[E1_value]],"N.A.")</f>
        <v>0</v>
      </c>
      <c r="AD229" s="2" t="str">
        <f>Tab_Data_Flows[[#This Row],[E1_UoM]]</f>
        <v>Mg</v>
      </c>
      <c r="AE229" s="19">
        <f>_xlfn.XLOOKUP(Tab_Data_Flows[[#This Row],[Flow_Name]],Tab_Def_Flows[Flow_Name],Tab_Def_Flows[Flow_E4_Fraction'[%']],"N.A.",0,1)</f>
        <v>0</v>
      </c>
      <c r="AF229" s="2">
        <f>IF(H229="Yes",Tab_Data_Flows[[#This Row],[E4_Fraction'[%']]]*Tab_Data_Flows[[#This Row],[E1_value]],"N.A.")</f>
        <v>0</v>
      </c>
      <c r="AG229" s="2" t="str">
        <f>Tab_Data_Flows[[#This Row],[E1_UoM]]</f>
        <v>Mg</v>
      </c>
      <c r="AH229" s="2">
        <f>_xlfn.XLOOKUP(Tab_Data_Flows[[#This Row],[Flow_Name]],Tab_Def_Flows[Flow_Name],Tab_Def_Flows[Flow_E5_Fraction'[%']],"N.A.",0,1)</f>
        <v>0</v>
      </c>
      <c r="AI229" s="2">
        <f>IF(H229="Yes",Tab_Data_Flows[[#This Row],[E5_Fraction'[%']]]*Tab_Data_Flows[[#This Row],[E1_value]],"N.A.")</f>
        <v>0</v>
      </c>
      <c r="AJ229" s="2" t="str">
        <f>Tab_Data_Flows[[#This Row],[E1_UoM]]</f>
        <v>Mg</v>
      </c>
      <c r="AK229" s="19">
        <f>_xlfn.XLOOKUP(Tab_Data_Flows[[#This Row],[Flow_Name]],Tab_Def_Flows[Flow_Name],Tab_Def_Flows[Flow_E6_Fraction'[%']],"N.A.",0,1)</f>
        <v>0</v>
      </c>
      <c r="AL229" s="2">
        <f>IF(Tab_Data_Flows[[#This Row],[Use_E6]]="Yes",Tab_Data_Flows[[#This Row],[E6_Fraction'[%']]]*Tab_Data_Flows[[#This Row],[E1_value]],"N.A.")</f>
        <v>0</v>
      </c>
      <c r="AM229" s="2" t="str">
        <f>Tab_Data_Flows[[#This Row],[E1_UoM]]</f>
        <v>Mg</v>
      </c>
    </row>
    <row r="230" spans="1:39" x14ac:dyDescent="0.25">
      <c r="A230" s="4">
        <f t="shared" si="7"/>
        <v>229</v>
      </c>
      <c r="B230" s="2" t="str">
        <f>_xlfn.XLOOKUP(C230,Tab_Def_Flows[Flow_Name],Tab_Def_Flows[Flow_ID],,0,)</f>
        <v>F__</v>
      </c>
      <c r="C230" s="18" t="s">
        <v>5</v>
      </c>
      <c r="D230" s="5" t="str">
        <f>_xlfn.XLOOKUP(C230,Tab_Def_Flows[Flow_Name],Tab_Def_Flows[Use_E1],,0,)</f>
        <v>Yes</v>
      </c>
      <c r="E230" s="5" t="str">
        <f>_xlfn.XLOOKUP(C230,Tab_Def_Flows[Flow_Name],Tab_Def_Flows[Use_E2],,0,)</f>
        <v>Yes</v>
      </c>
      <c r="F230" s="5" t="str">
        <f>_xlfn.XLOOKUP(C230,Tab_Def_Flows[Flow_Name],Tab_Def_Flows[Use_E3],,0,)</f>
        <v>Yes</v>
      </c>
      <c r="G230" s="5" t="str">
        <f>_xlfn.XLOOKUP(C230,Tab_Def_Flows[Flow_Name],Tab_Def_Flows[Use_E4],,0,)</f>
        <v>Yes</v>
      </c>
      <c r="H230" s="5" t="str">
        <f>_xlfn.XLOOKUP(C230,Tab_Def_Flows[Flow_Name],Tab_Def_Flows[Use_E5],,0,)</f>
        <v>Yes</v>
      </c>
      <c r="I230" s="5" t="str">
        <f>_xlfn.XLOOKUP(C230,Tab_Def_Flows[Flow_Name],Tab_Def_Flows[Use_E6],,0,)</f>
        <v>Yes</v>
      </c>
      <c r="J230" s="3"/>
      <c r="K230" s="3"/>
      <c r="L230" s="2" t="str">
        <f>'0_Configuration'!$C$41</f>
        <v>Mg</v>
      </c>
      <c r="M230" s="9"/>
      <c r="N230" s="9"/>
      <c r="O230" s="9"/>
      <c r="P230" s="9"/>
      <c r="Q230" s="18" t="s">
        <v>3</v>
      </c>
      <c r="R230" s="10"/>
      <c r="S230" s="3"/>
      <c r="T230" s="9"/>
      <c r="U230" s="9"/>
      <c r="V230" s="2">
        <f>_xlfn.XLOOKUP(Tab_Data_Flows[[#This Row],[Flow_Name]],Tab_Def_Flows[Flow_Name],Tab_Def_Flows[Flow_E1_Fraction'[%']],"N.A.",0,1)</f>
        <v>0</v>
      </c>
      <c r="W230" s="8">
        <f t="shared" si="6"/>
        <v>0</v>
      </c>
      <c r="X230" s="2" t="str">
        <f>Tab_Data_Flows[[#This Row],[UoM_Source]]</f>
        <v>Mg</v>
      </c>
      <c r="Y230" s="19">
        <f>_xlfn.XLOOKUP(Tab_Data_Flows[[#This Row],[Flow_Name]],Tab_Def_Flows[Flow_Name],Tab_Def_Flows[Flow_E2_Fraction'[%']],"N.A.",0,1)</f>
        <v>0</v>
      </c>
      <c r="Z230" s="2">
        <f>IF(D230="Yes",W230*Tab_Data_Flows[[#This Row],[E2_Fraction'[%']]],"N.A.")</f>
        <v>0</v>
      </c>
      <c r="AA230" s="2" t="str">
        <f>Tab_Data_Flows[[#This Row],[E1_UoM]]</f>
        <v>Mg</v>
      </c>
      <c r="AB230" s="19">
        <f>_xlfn.XLOOKUP(Tab_Data_Flows[[#This Row],[Flow_Name]],Tab_Def_Flows[Flow_Name],Tab_Def_Flows[Flow_E3_Fraction'[%']],"N.A.",0,1)</f>
        <v>0</v>
      </c>
      <c r="AC230" s="2">
        <f>IF(E230="Yes",AB230*Tab_Data_Flows[[#This Row],[E1_value]],"N.A.")</f>
        <v>0</v>
      </c>
      <c r="AD230" s="2" t="str">
        <f>Tab_Data_Flows[[#This Row],[E1_UoM]]</f>
        <v>Mg</v>
      </c>
      <c r="AE230" s="19">
        <f>_xlfn.XLOOKUP(Tab_Data_Flows[[#This Row],[Flow_Name]],Tab_Def_Flows[Flow_Name],Tab_Def_Flows[Flow_E4_Fraction'[%']],"N.A.",0,1)</f>
        <v>0</v>
      </c>
      <c r="AF230" s="2">
        <f>IF(H230="Yes",Tab_Data_Flows[[#This Row],[E4_Fraction'[%']]]*Tab_Data_Flows[[#This Row],[E1_value]],"N.A.")</f>
        <v>0</v>
      </c>
      <c r="AG230" s="2" t="str">
        <f>Tab_Data_Flows[[#This Row],[E1_UoM]]</f>
        <v>Mg</v>
      </c>
      <c r="AH230" s="2">
        <f>_xlfn.XLOOKUP(Tab_Data_Flows[[#This Row],[Flow_Name]],Tab_Def_Flows[Flow_Name],Tab_Def_Flows[Flow_E5_Fraction'[%']],"N.A.",0,1)</f>
        <v>0</v>
      </c>
      <c r="AI230" s="2">
        <f>IF(H230="Yes",Tab_Data_Flows[[#This Row],[E5_Fraction'[%']]]*Tab_Data_Flows[[#This Row],[E1_value]],"N.A.")</f>
        <v>0</v>
      </c>
      <c r="AJ230" s="2" t="str">
        <f>Tab_Data_Flows[[#This Row],[E1_UoM]]</f>
        <v>Mg</v>
      </c>
      <c r="AK230" s="19">
        <f>_xlfn.XLOOKUP(Tab_Data_Flows[[#This Row],[Flow_Name]],Tab_Def_Flows[Flow_Name],Tab_Def_Flows[Flow_E6_Fraction'[%']],"N.A.",0,1)</f>
        <v>0</v>
      </c>
      <c r="AL230" s="2">
        <f>IF(Tab_Data_Flows[[#This Row],[Use_E6]]="Yes",Tab_Data_Flows[[#This Row],[E6_Fraction'[%']]]*Tab_Data_Flows[[#This Row],[E1_value]],"N.A.")</f>
        <v>0</v>
      </c>
      <c r="AM230" s="2" t="str">
        <f>Tab_Data_Flows[[#This Row],[E1_UoM]]</f>
        <v>Mg</v>
      </c>
    </row>
    <row r="231" spans="1:39" x14ac:dyDescent="0.25">
      <c r="A231" s="4">
        <f t="shared" si="7"/>
        <v>230</v>
      </c>
      <c r="B231" s="2" t="str">
        <f>_xlfn.XLOOKUP(C231,Tab_Def_Flows[Flow_Name],Tab_Def_Flows[Flow_ID],,0,)</f>
        <v>F__</v>
      </c>
      <c r="C231" s="18" t="s">
        <v>5</v>
      </c>
      <c r="D231" s="5" t="str">
        <f>_xlfn.XLOOKUP(C231,Tab_Def_Flows[Flow_Name],Tab_Def_Flows[Use_E1],,0,)</f>
        <v>Yes</v>
      </c>
      <c r="E231" s="5" t="str">
        <f>_xlfn.XLOOKUP(C231,Tab_Def_Flows[Flow_Name],Tab_Def_Flows[Use_E2],,0,)</f>
        <v>Yes</v>
      </c>
      <c r="F231" s="5" t="str">
        <f>_xlfn.XLOOKUP(C231,Tab_Def_Flows[Flow_Name],Tab_Def_Flows[Use_E3],,0,)</f>
        <v>Yes</v>
      </c>
      <c r="G231" s="5" t="str">
        <f>_xlfn.XLOOKUP(C231,Tab_Def_Flows[Flow_Name],Tab_Def_Flows[Use_E4],,0,)</f>
        <v>Yes</v>
      </c>
      <c r="H231" s="5" t="str">
        <f>_xlfn.XLOOKUP(C231,Tab_Def_Flows[Flow_Name],Tab_Def_Flows[Use_E5],,0,)</f>
        <v>Yes</v>
      </c>
      <c r="I231" s="5" t="str">
        <f>_xlfn.XLOOKUP(C231,Tab_Def_Flows[Flow_Name],Tab_Def_Flows[Use_E6],,0,)</f>
        <v>Yes</v>
      </c>
      <c r="J231" s="3"/>
      <c r="K231" s="3"/>
      <c r="L231" s="2" t="str">
        <f>'0_Configuration'!$C$41</f>
        <v>Mg</v>
      </c>
      <c r="M231" s="9"/>
      <c r="N231" s="9"/>
      <c r="O231" s="9"/>
      <c r="P231" s="9"/>
      <c r="Q231" s="18" t="s">
        <v>3</v>
      </c>
      <c r="R231" s="10"/>
      <c r="S231" s="3"/>
      <c r="T231" s="9"/>
      <c r="U231" s="9"/>
      <c r="V231" s="2">
        <f>_xlfn.XLOOKUP(Tab_Data_Flows[[#This Row],[Flow_Name]],Tab_Def_Flows[Flow_Name],Tab_Def_Flows[Flow_E1_Fraction'[%']],"N.A.",0,1)</f>
        <v>0</v>
      </c>
      <c r="W231" s="8">
        <f t="shared" si="6"/>
        <v>0</v>
      </c>
      <c r="X231" s="2" t="str">
        <f>Tab_Data_Flows[[#This Row],[UoM_Source]]</f>
        <v>Mg</v>
      </c>
      <c r="Y231" s="19">
        <f>_xlfn.XLOOKUP(Tab_Data_Flows[[#This Row],[Flow_Name]],Tab_Def_Flows[Flow_Name],Tab_Def_Flows[Flow_E2_Fraction'[%']],"N.A.",0,1)</f>
        <v>0</v>
      </c>
      <c r="Z231" s="2">
        <f>IF(D231="Yes",W231*Tab_Data_Flows[[#This Row],[E2_Fraction'[%']]],"N.A.")</f>
        <v>0</v>
      </c>
      <c r="AA231" s="2" t="str">
        <f>Tab_Data_Flows[[#This Row],[E1_UoM]]</f>
        <v>Mg</v>
      </c>
      <c r="AB231" s="19">
        <f>_xlfn.XLOOKUP(Tab_Data_Flows[[#This Row],[Flow_Name]],Tab_Def_Flows[Flow_Name],Tab_Def_Flows[Flow_E3_Fraction'[%']],"N.A.",0,1)</f>
        <v>0</v>
      </c>
      <c r="AC231" s="2">
        <f>IF(E231="Yes",AB231*Tab_Data_Flows[[#This Row],[E1_value]],"N.A.")</f>
        <v>0</v>
      </c>
      <c r="AD231" s="2" t="str">
        <f>Tab_Data_Flows[[#This Row],[E1_UoM]]</f>
        <v>Mg</v>
      </c>
      <c r="AE231" s="19">
        <f>_xlfn.XLOOKUP(Tab_Data_Flows[[#This Row],[Flow_Name]],Tab_Def_Flows[Flow_Name],Tab_Def_Flows[Flow_E4_Fraction'[%']],"N.A.",0,1)</f>
        <v>0</v>
      </c>
      <c r="AF231" s="2">
        <f>IF(H231="Yes",Tab_Data_Flows[[#This Row],[E4_Fraction'[%']]]*Tab_Data_Flows[[#This Row],[E1_value]],"N.A.")</f>
        <v>0</v>
      </c>
      <c r="AG231" s="2" t="str">
        <f>Tab_Data_Flows[[#This Row],[E1_UoM]]</f>
        <v>Mg</v>
      </c>
      <c r="AH231" s="2">
        <f>_xlfn.XLOOKUP(Tab_Data_Flows[[#This Row],[Flow_Name]],Tab_Def_Flows[Flow_Name],Tab_Def_Flows[Flow_E5_Fraction'[%']],"N.A.",0,1)</f>
        <v>0</v>
      </c>
      <c r="AI231" s="2">
        <f>IF(H231="Yes",Tab_Data_Flows[[#This Row],[E5_Fraction'[%']]]*Tab_Data_Flows[[#This Row],[E1_value]],"N.A.")</f>
        <v>0</v>
      </c>
      <c r="AJ231" s="2" t="str">
        <f>Tab_Data_Flows[[#This Row],[E1_UoM]]</f>
        <v>Mg</v>
      </c>
      <c r="AK231" s="19">
        <f>_xlfn.XLOOKUP(Tab_Data_Flows[[#This Row],[Flow_Name]],Tab_Def_Flows[Flow_Name],Tab_Def_Flows[Flow_E6_Fraction'[%']],"N.A.",0,1)</f>
        <v>0</v>
      </c>
      <c r="AL231" s="2">
        <f>IF(Tab_Data_Flows[[#This Row],[Use_E6]]="Yes",Tab_Data_Flows[[#This Row],[E6_Fraction'[%']]]*Tab_Data_Flows[[#This Row],[E1_value]],"N.A.")</f>
        <v>0</v>
      </c>
      <c r="AM231" s="2" t="str">
        <f>Tab_Data_Flows[[#This Row],[E1_UoM]]</f>
        <v>Mg</v>
      </c>
    </row>
    <row r="232" spans="1:39" x14ac:dyDescent="0.25">
      <c r="A232" s="4">
        <f t="shared" si="7"/>
        <v>231</v>
      </c>
      <c r="B232" s="2" t="str">
        <f>_xlfn.XLOOKUP(C232,Tab_Def_Flows[Flow_Name],Tab_Def_Flows[Flow_ID],,0,)</f>
        <v>F__</v>
      </c>
      <c r="C232" s="18" t="s">
        <v>5</v>
      </c>
      <c r="D232" s="5" t="str">
        <f>_xlfn.XLOOKUP(C232,Tab_Def_Flows[Flow_Name],Tab_Def_Flows[Use_E1],,0,)</f>
        <v>Yes</v>
      </c>
      <c r="E232" s="5" t="str">
        <f>_xlfn.XLOOKUP(C232,Tab_Def_Flows[Flow_Name],Tab_Def_Flows[Use_E2],,0,)</f>
        <v>Yes</v>
      </c>
      <c r="F232" s="5" t="str">
        <f>_xlfn.XLOOKUP(C232,Tab_Def_Flows[Flow_Name],Tab_Def_Flows[Use_E3],,0,)</f>
        <v>Yes</v>
      </c>
      <c r="G232" s="5" t="str">
        <f>_xlfn.XLOOKUP(C232,Tab_Def_Flows[Flow_Name],Tab_Def_Flows[Use_E4],,0,)</f>
        <v>Yes</v>
      </c>
      <c r="H232" s="5" t="str">
        <f>_xlfn.XLOOKUP(C232,Tab_Def_Flows[Flow_Name],Tab_Def_Flows[Use_E5],,0,)</f>
        <v>Yes</v>
      </c>
      <c r="I232" s="5" t="str">
        <f>_xlfn.XLOOKUP(C232,Tab_Def_Flows[Flow_Name],Tab_Def_Flows[Use_E6],,0,)</f>
        <v>Yes</v>
      </c>
      <c r="J232" s="3"/>
      <c r="K232" s="3"/>
      <c r="L232" s="2" t="str">
        <f>'0_Configuration'!$C$41</f>
        <v>Mg</v>
      </c>
      <c r="M232" s="9"/>
      <c r="N232" s="9"/>
      <c r="O232" s="9"/>
      <c r="P232" s="9"/>
      <c r="Q232" s="18" t="s">
        <v>3</v>
      </c>
      <c r="R232" s="10"/>
      <c r="S232" s="3"/>
      <c r="T232" s="9"/>
      <c r="U232" s="9"/>
      <c r="V232" s="2">
        <f>_xlfn.XLOOKUP(Tab_Data_Flows[[#This Row],[Flow_Name]],Tab_Def_Flows[Flow_Name],Tab_Def_Flows[Flow_E1_Fraction'[%']],"N.A.",0,1)</f>
        <v>0</v>
      </c>
      <c r="W232" s="8">
        <f t="shared" si="6"/>
        <v>0</v>
      </c>
      <c r="X232" s="2" t="str">
        <f>Tab_Data_Flows[[#This Row],[UoM_Source]]</f>
        <v>Mg</v>
      </c>
      <c r="Y232" s="19">
        <f>_xlfn.XLOOKUP(Tab_Data_Flows[[#This Row],[Flow_Name]],Tab_Def_Flows[Flow_Name],Tab_Def_Flows[Flow_E2_Fraction'[%']],"N.A.",0,1)</f>
        <v>0</v>
      </c>
      <c r="Z232" s="2">
        <f>IF(D232="Yes",W232*Tab_Data_Flows[[#This Row],[E2_Fraction'[%']]],"N.A.")</f>
        <v>0</v>
      </c>
      <c r="AA232" s="2" t="str">
        <f>Tab_Data_Flows[[#This Row],[E1_UoM]]</f>
        <v>Mg</v>
      </c>
      <c r="AB232" s="19">
        <f>_xlfn.XLOOKUP(Tab_Data_Flows[[#This Row],[Flow_Name]],Tab_Def_Flows[Flow_Name],Tab_Def_Flows[Flow_E3_Fraction'[%']],"N.A.",0,1)</f>
        <v>0</v>
      </c>
      <c r="AC232" s="2">
        <f>IF(E232="Yes",AB232*Tab_Data_Flows[[#This Row],[E1_value]],"N.A.")</f>
        <v>0</v>
      </c>
      <c r="AD232" s="2" t="str">
        <f>Tab_Data_Flows[[#This Row],[E1_UoM]]</f>
        <v>Mg</v>
      </c>
      <c r="AE232" s="19">
        <f>_xlfn.XLOOKUP(Tab_Data_Flows[[#This Row],[Flow_Name]],Tab_Def_Flows[Flow_Name],Tab_Def_Flows[Flow_E4_Fraction'[%']],"N.A.",0,1)</f>
        <v>0</v>
      </c>
      <c r="AF232" s="2">
        <f>IF(H232="Yes",Tab_Data_Flows[[#This Row],[E4_Fraction'[%']]]*Tab_Data_Flows[[#This Row],[E1_value]],"N.A.")</f>
        <v>0</v>
      </c>
      <c r="AG232" s="2" t="str">
        <f>Tab_Data_Flows[[#This Row],[E1_UoM]]</f>
        <v>Mg</v>
      </c>
      <c r="AH232" s="2">
        <f>_xlfn.XLOOKUP(Tab_Data_Flows[[#This Row],[Flow_Name]],Tab_Def_Flows[Flow_Name],Tab_Def_Flows[Flow_E5_Fraction'[%']],"N.A.",0,1)</f>
        <v>0</v>
      </c>
      <c r="AI232" s="2">
        <f>IF(H232="Yes",Tab_Data_Flows[[#This Row],[E5_Fraction'[%']]]*Tab_Data_Flows[[#This Row],[E1_value]],"N.A.")</f>
        <v>0</v>
      </c>
      <c r="AJ232" s="2" t="str">
        <f>Tab_Data_Flows[[#This Row],[E1_UoM]]</f>
        <v>Mg</v>
      </c>
      <c r="AK232" s="19">
        <f>_xlfn.XLOOKUP(Tab_Data_Flows[[#This Row],[Flow_Name]],Tab_Def_Flows[Flow_Name],Tab_Def_Flows[Flow_E6_Fraction'[%']],"N.A.",0,1)</f>
        <v>0</v>
      </c>
      <c r="AL232" s="2">
        <f>IF(Tab_Data_Flows[[#This Row],[Use_E6]]="Yes",Tab_Data_Flows[[#This Row],[E6_Fraction'[%']]]*Tab_Data_Flows[[#This Row],[E1_value]],"N.A.")</f>
        <v>0</v>
      </c>
      <c r="AM232" s="2" t="str">
        <f>Tab_Data_Flows[[#This Row],[E1_UoM]]</f>
        <v>Mg</v>
      </c>
    </row>
    <row r="233" spans="1:39" x14ac:dyDescent="0.25">
      <c r="A233" s="4">
        <f t="shared" si="7"/>
        <v>232</v>
      </c>
      <c r="B233" s="2" t="str">
        <f>_xlfn.XLOOKUP(C233,Tab_Def_Flows[Flow_Name],Tab_Def_Flows[Flow_ID],,0,)</f>
        <v>F__</v>
      </c>
      <c r="C233" s="18" t="s">
        <v>5</v>
      </c>
      <c r="D233" s="5" t="str">
        <f>_xlfn.XLOOKUP(C233,Tab_Def_Flows[Flow_Name],Tab_Def_Flows[Use_E1],,0,)</f>
        <v>Yes</v>
      </c>
      <c r="E233" s="5" t="str">
        <f>_xlfn.XLOOKUP(C233,Tab_Def_Flows[Flow_Name],Tab_Def_Flows[Use_E2],,0,)</f>
        <v>Yes</v>
      </c>
      <c r="F233" s="5" t="str">
        <f>_xlfn.XLOOKUP(C233,Tab_Def_Flows[Flow_Name],Tab_Def_Flows[Use_E3],,0,)</f>
        <v>Yes</v>
      </c>
      <c r="G233" s="5" t="str">
        <f>_xlfn.XLOOKUP(C233,Tab_Def_Flows[Flow_Name],Tab_Def_Flows[Use_E4],,0,)</f>
        <v>Yes</v>
      </c>
      <c r="H233" s="5" t="str">
        <f>_xlfn.XLOOKUP(C233,Tab_Def_Flows[Flow_Name],Tab_Def_Flows[Use_E5],,0,)</f>
        <v>Yes</v>
      </c>
      <c r="I233" s="5" t="str">
        <f>_xlfn.XLOOKUP(C233,Tab_Def_Flows[Flow_Name],Tab_Def_Flows[Use_E6],,0,)</f>
        <v>Yes</v>
      </c>
      <c r="J233" s="3"/>
      <c r="K233" s="3"/>
      <c r="L233" s="2" t="str">
        <f>'0_Configuration'!$C$41</f>
        <v>Mg</v>
      </c>
      <c r="M233" s="9"/>
      <c r="N233" s="9"/>
      <c r="O233" s="9"/>
      <c r="P233" s="9"/>
      <c r="Q233" s="18" t="s">
        <v>3</v>
      </c>
      <c r="R233" s="10"/>
      <c r="S233" s="3"/>
      <c r="T233" s="9"/>
      <c r="U233" s="9"/>
      <c r="V233" s="2">
        <f>_xlfn.XLOOKUP(Tab_Data_Flows[[#This Row],[Flow_Name]],Tab_Def_Flows[Flow_Name],Tab_Def_Flows[Flow_E1_Fraction'[%']],"N.A.",0,1)</f>
        <v>0</v>
      </c>
      <c r="W233" s="8">
        <f t="shared" si="6"/>
        <v>0</v>
      </c>
      <c r="X233" s="2" t="str">
        <f>Tab_Data_Flows[[#This Row],[UoM_Source]]</f>
        <v>Mg</v>
      </c>
      <c r="Y233" s="19">
        <f>_xlfn.XLOOKUP(Tab_Data_Flows[[#This Row],[Flow_Name]],Tab_Def_Flows[Flow_Name],Tab_Def_Flows[Flow_E2_Fraction'[%']],"N.A.",0,1)</f>
        <v>0</v>
      </c>
      <c r="Z233" s="2">
        <f>IF(D233="Yes",W233*Tab_Data_Flows[[#This Row],[E2_Fraction'[%']]],"N.A.")</f>
        <v>0</v>
      </c>
      <c r="AA233" s="2" t="str">
        <f>Tab_Data_Flows[[#This Row],[E1_UoM]]</f>
        <v>Mg</v>
      </c>
      <c r="AB233" s="19">
        <f>_xlfn.XLOOKUP(Tab_Data_Flows[[#This Row],[Flow_Name]],Tab_Def_Flows[Flow_Name],Tab_Def_Flows[Flow_E3_Fraction'[%']],"N.A.",0,1)</f>
        <v>0</v>
      </c>
      <c r="AC233" s="2">
        <f>IF(E233="Yes",AB233*Tab_Data_Flows[[#This Row],[E1_value]],"N.A.")</f>
        <v>0</v>
      </c>
      <c r="AD233" s="2" t="str">
        <f>Tab_Data_Flows[[#This Row],[E1_UoM]]</f>
        <v>Mg</v>
      </c>
      <c r="AE233" s="19">
        <f>_xlfn.XLOOKUP(Tab_Data_Flows[[#This Row],[Flow_Name]],Tab_Def_Flows[Flow_Name],Tab_Def_Flows[Flow_E4_Fraction'[%']],"N.A.",0,1)</f>
        <v>0</v>
      </c>
      <c r="AF233" s="2">
        <f>IF(H233="Yes",Tab_Data_Flows[[#This Row],[E4_Fraction'[%']]]*Tab_Data_Flows[[#This Row],[E1_value]],"N.A.")</f>
        <v>0</v>
      </c>
      <c r="AG233" s="2" t="str">
        <f>Tab_Data_Flows[[#This Row],[E1_UoM]]</f>
        <v>Mg</v>
      </c>
      <c r="AH233" s="2">
        <f>_xlfn.XLOOKUP(Tab_Data_Flows[[#This Row],[Flow_Name]],Tab_Def_Flows[Flow_Name],Tab_Def_Flows[Flow_E5_Fraction'[%']],"N.A.",0,1)</f>
        <v>0</v>
      </c>
      <c r="AI233" s="2">
        <f>IF(H233="Yes",Tab_Data_Flows[[#This Row],[E5_Fraction'[%']]]*Tab_Data_Flows[[#This Row],[E1_value]],"N.A.")</f>
        <v>0</v>
      </c>
      <c r="AJ233" s="2" t="str">
        <f>Tab_Data_Flows[[#This Row],[E1_UoM]]</f>
        <v>Mg</v>
      </c>
      <c r="AK233" s="19">
        <f>_xlfn.XLOOKUP(Tab_Data_Flows[[#This Row],[Flow_Name]],Tab_Def_Flows[Flow_Name],Tab_Def_Flows[Flow_E6_Fraction'[%']],"N.A.",0,1)</f>
        <v>0</v>
      </c>
      <c r="AL233" s="2">
        <f>IF(Tab_Data_Flows[[#This Row],[Use_E6]]="Yes",Tab_Data_Flows[[#This Row],[E6_Fraction'[%']]]*Tab_Data_Flows[[#This Row],[E1_value]],"N.A.")</f>
        <v>0</v>
      </c>
      <c r="AM233" s="2" t="str">
        <f>Tab_Data_Flows[[#This Row],[E1_UoM]]</f>
        <v>Mg</v>
      </c>
    </row>
    <row r="234" spans="1:39" x14ac:dyDescent="0.25">
      <c r="A234" s="4">
        <f t="shared" si="7"/>
        <v>233</v>
      </c>
      <c r="B234" s="2" t="str">
        <f>_xlfn.XLOOKUP(C234,Tab_Def_Flows[Flow_Name],Tab_Def_Flows[Flow_ID],,0,)</f>
        <v>F__</v>
      </c>
      <c r="C234" s="18" t="s">
        <v>5</v>
      </c>
      <c r="D234" s="5" t="str">
        <f>_xlfn.XLOOKUP(C234,Tab_Def_Flows[Flow_Name],Tab_Def_Flows[Use_E1],,0,)</f>
        <v>Yes</v>
      </c>
      <c r="E234" s="5" t="str">
        <f>_xlfn.XLOOKUP(C234,Tab_Def_Flows[Flow_Name],Tab_Def_Flows[Use_E2],,0,)</f>
        <v>Yes</v>
      </c>
      <c r="F234" s="5" t="str">
        <f>_xlfn.XLOOKUP(C234,Tab_Def_Flows[Flow_Name],Tab_Def_Flows[Use_E3],,0,)</f>
        <v>Yes</v>
      </c>
      <c r="G234" s="5" t="str">
        <f>_xlfn.XLOOKUP(C234,Tab_Def_Flows[Flow_Name],Tab_Def_Flows[Use_E4],,0,)</f>
        <v>Yes</v>
      </c>
      <c r="H234" s="5" t="str">
        <f>_xlfn.XLOOKUP(C234,Tab_Def_Flows[Flow_Name],Tab_Def_Flows[Use_E5],,0,)</f>
        <v>Yes</v>
      </c>
      <c r="I234" s="5" t="str">
        <f>_xlfn.XLOOKUP(C234,Tab_Def_Flows[Flow_Name],Tab_Def_Flows[Use_E6],,0,)</f>
        <v>Yes</v>
      </c>
      <c r="J234" s="3"/>
      <c r="K234" s="3"/>
      <c r="L234" s="2" t="str">
        <f>'0_Configuration'!$C$41</f>
        <v>Mg</v>
      </c>
      <c r="M234" s="9"/>
      <c r="N234" s="9"/>
      <c r="O234" s="9"/>
      <c r="P234" s="9"/>
      <c r="Q234" s="18" t="s">
        <v>3</v>
      </c>
      <c r="R234" s="10"/>
      <c r="S234" s="3"/>
      <c r="T234" s="9"/>
      <c r="U234" s="9"/>
      <c r="V234" s="2">
        <f>_xlfn.XLOOKUP(Tab_Data_Flows[[#This Row],[Flow_Name]],Tab_Def_Flows[Flow_Name],Tab_Def_Flows[Flow_E1_Fraction'[%']],"N.A.",0,1)</f>
        <v>0</v>
      </c>
      <c r="W234" s="8">
        <f t="shared" si="6"/>
        <v>0</v>
      </c>
      <c r="X234" s="2" t="str">
        <f>Tab_Data_Flows[[#This Row],[UoM_Source]]</f>
        <v>Mg</v>
      </c>
      <c r="Y234" s="19">
        <f>_xlfn.XLOOKUP(Tab_Data_Flows[[#This Row],[Flow_Name]],Tab_Def_Flows[Flow_Name],Tab_Def_Flows[Flow_E2_Fraction'[%']],"N.A.",0,1)</f>
        <v>0</v>
      </c>
      <c r="Z234" s="2">
        <f>IF(D234="Yes",W234*Tab_Data_Flows[[#This Row],[E2_Fraction'[%']]],"N.A.")</f>
        <v>0</v>
      </c>
      <c r="AA234" s="2" t="str">
        <f>Tab_Data_Flows[[#This Row],[E1_UoM]]</f>
        <v>Mg</v>
      </c>
      <c r="AB234" s="19">
        <f>_xlfn.XLOOKUP(Tab_Data_Flows[[#This Row],[Flow_Name]],Tab_Def_Flows[Flow_Name],Tab_Def_Flows[Flow_E3_Fraction'[%']],"N.A.",0,1)</f>
        <v>0</v>
      </c>
      <c r="AC234" s="2">
        <f>IF(E234="Yes",AB234*Tab_Data_Flows[[#This Row],[E1_value]],"N.A.")</f>
        <v>0</v>
      </c>
      <c r="AD234" s="2" t="str">
        <f>Tab_Data_Flows[[#This Row],[E1_UoM]]</f>
        <v>Mg</v>
      </c>
      <c r="AE234" s="19">
        <f>_xlfn.XLOOKUP(Tab_Data_Flows[[#This Row],[Flow_Name]],Tab_Def_Flows[Flow_Name],Tab_Def_Flows[Flow_E4_Fraction'[%']],"N.A.",0,1)</f>
        <v>0</v>
      </c>
      <c r="AF234" s="2">
        <f>IF(H234="Yes",Tab_Data_Flows[[#This Row],[E4_Fraction'[%']]]*Tab_Data_Flows[[#This Row],[E1_value]],"N.A.")</f>
        <v>0</v>
      </c>
      <c r="AG234" s="2" t="str">
        <f>Tab_Data_Flows[[#This Row],[E1_UoM]]</f>
        <v>Mg</v>
      </c>
      <c r="AH234" s="2">
        <f>_xlfn.XLOOKUP(Tab_Data_Flows[[#This Row],[Flow_Name]],Tab_Def_Flows[Flow_Name],Tab_Def_Flows[Flow_E5_Fraction'[%']],"N.A.",0,1)</f>
        <v>0</v>
      </c>
      <c r="AI234" s="2">
        <f>IF(H234="Yes",Tab_Data_Flows[[#This Row],[E5_Fraction'[%']]]*Tab_Data_Flows[[#This Row],[E1_value]],"N.A.")</f>
        <v>0</v>
      </c>
      <c r="AJ234" s="2" t="str">
        <f>Tab_Data_Flows[[#This Row],[E1_UoM]]</f>
        <v>Mg</v>
      </c>
      <c r="AK234" s="19">
        <f>_xlfn.XLOOKUP(Tab_Data_Flows[[#This Row],[Flow_Name]],Tab_Def_Flows[Flow_Name],Tab_Def_Flows[Flow_E6_Fraction'[%']],"N.A.",0,1)</f>
        <v>0</v>
      </c>
      <c r="AL234" s="2">
        <f>IF(Tab_Data_Flows[[#This Row],[Use_E6]]="Yes",Tab_Data_Flows[[#This Row],[E6_Fraction'[%']]]*Tab_Data_Flows[[#This Row],[E1_value]],"N.A.")</f>
        <v>0</v>
      </c>
      <c r="AM234" s="2" t="str">
        <f>Tab_Data_Flows[[#This Row],[E1_UoM]]</f>
        <v>Mg</v>
      </c>
    </row>
    <row r="235" spans="1:39" x14ac:dyDescent="0.25">
      <c r="A235" s="4">
        <f t="shared" si="7"/>
        <v>234</v>
      </c>
      <c r="B235" s="2" t="str">
        <f>_xlfn.XLOOKUP(C235,Tab_Def_Flows[Flow_Name],Tab_Def_Flows[Flow_ID],,0,)</f>
        <v>F__</v>
      </c>
      <c r="C235" s="18" t="s">
        <v>5</v>
      </c>
      <c r="D235" s="5" t="str">
        <f>_xlfn.XLOOKUP(C235,Tab_Def_Flows[Flow_Name],Tab_Def_Flows[Use_E1],,0,)</f>
        <v>Yes</v>
      </c>
      <c r="E235" s="5" t="str">
        <f>_xlfn.XLOOKUP(C235,Tab_Def_Flows[Flow_Name],Tab_Def_Flows[Use_E2],,0,)</f>
        <v>Yes</v>
      </c>
      <c r="F235" s="5" t="str">
        <f>_xlfn.XLOOKUP(C235,Tab_Def_Flows[Flow_Name],Tab_Def_Flows[Use_E3],,0,)</f>
        <v>Yes</v>
      </c>
      <c r="G235" s="5" t="str">
        <f>_xlfn.XLOOKUP(C235,Tab_Def_Flows[Flow_Name],Tab_Def_Flows[Use_E4],,0,)</f>
        <v>Yes</v>
      </c>
      <c r="H235" s="5" t="str">
        <f>_xlfn.XLOOKUP(C235,Tab_Def_Flows[Flow_Name],Tab_Def_Flows[Use_E5],,0,)</f>
        <v>Yes</v>
      </c>
      <c r="I235" s="5" t="str">
        <f>_xlfn.XLOOKUP(C235,Tab_Def_Flows[Flow_Name],Tab_Def_Flows[Use_E6],,0,)</f>
        <v>Yes</v>
      </c>
      <c r="J235" s="3"/>
      <c r="K235" s="3"/>
      <c r="L235" s="2" t="str">
        <f>'0_Configuration'!$C$41</f>
        <v>Mg</v>
      </c>
      <c r="M235" s="9"/>
      <c r="N235" s="9"/>
      <c r="O235" s="9"/>
      <c r="P235" s="9"/>
      <c r="Q235" s="18" t="s">
        <v>3</v>
      </c>
      <c r="R235" s="10"/>
      <c r="S235" s="3"/>
      <c r="T235" s="9"/>
      <c r="U235" s="9"/>
      <c r="V235" s="2">
        <f>_xlfn.XLOOKUP(Tab_Data_Flows[[#This Row],[Flow_Name]],Tab_Def_Flows[Flow_Name],Tab_Def_Flows[Flow_E1_Fraction'[%']],"N.A.",0,1)</f>
        <v>0</v>
      </c>
      <c r="W235" s="8">
        <f t="shared" si="6"/>
        <v>0</v>
      </c>
      <c r="X235" s="2" t="str">
        <f>Tab_Data_Flows[[#This Row],[UoM_Source]]</f>
        <v>Mg</v>
      </c>
      <c r="Y235" s="19">
        <f>_xlfn.XLOOKUP(Tab_Data_Flows[[#This Row],[Flow_Name]],Tab_Def_Flows[Flow_Name],Tab_Def_Flows[Flow_E2_Fraction'[%']],"N.A.",0,1)</f>
        <v>0</v>
      </c>
      <c r="Z235" s="2">
        <f>IF(D235="Yes",W235*Tab_Data_Flows[[#This Row],[E2_Fraction'[%']]],"N.A.")</f>
        <v>0</v>
      </c>
      <c r="AA235" s="2" t="str">
        <f>Tab_Data_Flows[[#This Row],[E1_UoM]]</f>
        <v>Mg</v>
      </c>
      <c r="AB235" s="19">
        <f>_xlfn.XLOOKUP(Tab_Data_Flows[[#This Row],[Flow_Name]],Tab_Def_Flows[Flow_Name],Tab_Def_Flows[Flow_E3_Fraction'[%']],"N.A.",0,1)</f>
        <v>0</v>
      </c>
      <c r="AC235" s="2">
        <f>IF(E235="Yes",AB235*Tab_Data_Flows[[#This Row],[E1_value]],"N.A.")</f>
        <v>0</v>
      </c>
      <c r="AD235" s="2" t="str">
        <f>Tab_Data_Flows[[#This Row],[E1_UoM]]</f>
        <v>Mg</v>
      </c>
      <c r="AE235" s="19">
        <f>_xlfn.XLOOKUP(Tab_Data_Flows[[#This Row],[Flow_Name]],Tab_Def_Flows[Flow_Name],Tab_Def_Flows[Flow_E4_Fraction'[%']],"N.A.",0,1)</f>
        <v>0</v>
      </c>
      <c r="AF235" s="2">
        <f>IF(H235="Yes",Tab_Data_Flows[[#This Row],[E4_Fraction'[%']]]*Tab_Data_Flows[[#This Row],[E1_value]],"N.A.")</f>
        <v>0</v>
      </c>
      <c r="AG235" s="2" t="str">
        <f>Tab_Data_Flows[[#This Row],[E1_UoM]]</f>
        <v>Mg</v>
      </c>
      <c r="AH235" s="2">
        <f>_xlfn.XLOOKUP(Tab_Data_Flows[[#This Row],[Flow_Name]],Tab_Def_Flows[Flow_Name],Tab_Def_Flows[Flow_E5_Fraction'[%']],"N.A.",0,1)</f>
        <v>0</v>
      </c>
      <c r="AI235" s="2">
        <f>IF(H235="Yes",Tab_Data_Flows[[#This Row],[E5_Fraction'[%']]]*Tab_Data_Flows[[#This Row],[E1_value]],"N.A.")</f>
        <v>0</v>
      </c>
      <c r="AJ235" s="2" t="str">
        <f>Tab_Data_Flows[[#This Row],[E1_UoM]]</f>
        <v>Mg</v>
      </c>
      <c r="AK235" s="19">
        <f>_xlfn.XLOOKUP(Tab_Data_Flows[[#This Row],[Flow_Name]],Tab_Def_Flows[Flow_Name],Tab_Def_Flows[Flow_E6_Fraction'[%']],"N.A.",0,1)</f>
        <v>0</v>
      </c>
      <c r="AL235" s="2">
        <f>IF(Tab_Data_Flows[[#This Row],[Use_E6]]="Yes",Tab_Data_Flows[[#This Row],[E6_Fraction'[%']]]*Tab_Data_Flows[[#This Row],[E1_value]],"N.A.")</f>
        <v>0</v>
      </c>
      <c r="AM235" s="2" t="str">
        <f>Tab_Data_Flows[[#This Row],[E1_UoM]]</f>
        <v>Mg</v>
      </c>
    </row>
    <row r="236" spans="1:39" x14ac:dyDescent="0.25">
      <c r="A236" s="4">
        <f t="shared" si="7"/>
        <v>235</v>
      </c>
      <c r="B236" s="2" t="str">
        <f>_xlfn.XLOOKUP(C236,Tab_Def_Flows[Flow_Name],Tab_Def_Flows[Flow_ID],,0,)</f>
        <v>F__</v>
      </c>
      <c r="C236" s="18" t="s">
        <v>5</v>
      </c>
      <c r="D236" s="5" t="str">
        <f>_xlfn.XLOOKUP(C236,Tab_Def_Flows[Flow_Name],Tab_Def_Flows[Use_E1],,0,)</f>
        <v>Yes</v>
      </c>
      <c r="E236" s="5" t="str">
        <f>_xlfn.XLOOKUP(C236,Tab_Def_Flows[Flow_Name],Tab_Def_Flows[Use_E2],,0,)</f>
        <v>Yes</v>
      </c>
      <c r="F236" s="5" t="str">
        <f>_xlfn.XLOOKUP(C236,Tab_Def_Flows[Flow_Name],Tab_Def_Flows[Use_E3],,0,)</f>
        <v>Yes</v>
      </c>
      <c r="G236" s="5" t="str">
        <f>_xlfn.XLOOKUP(C236,Tab_Def_Flows[Flow_Name],Tab_Def_Flows[Use_E4],,0,)</f>
        <v>Yes</v>
      </c>
      <c r="H236" s="5" t="str">
        <f>_xlfn.XLOOKUP(C236,Tab_Def_Flows[Flow_Name],Tab_Def_Flows[Use_E5],,0,)</f>
        <v>Yes</v>
      </c>
      <c r="I236" s="5" t="str">
        <f>_xlfn.XLOOKUP(C236,Tab_Def_Flows[Flow_Name],Tab_Def_Flows[Use_E6],,0,)</f>
        <v>Yes</v>
      </c>
      <c r="J236" s="3"/>
      <c r="K236" s="3"/>
      <c r="L236" s="2" t="str">
        <f>'0_Configuration'!$C$41</f>
        <v>Mg</v>
      </c>
      <c r="M236" s="9"/>
      <c r="N236" s="9"/>
      <c r="O236" s="9"/>
      <c r="P236" s="9"/>
      <c r="Q236" s="18" t="s">
        <v>3</v>
      </c>
      <c r="R236" s="10"/>
      <c r="S236" s="3"/>
      <c r="T236" s="9"/>
      <c r="U236" s="9"/>
      <c r="V236" s="2">
        <f>_xlfn.XLOOKUP(Tab_Data_Flows[[#This Row],[Flow_Name]],Tab_Def_Flows[Flow_Name],Tab_Def_Flows[Flow_E1_Fraction'[%']],"N.A.",0,1)</f>
        <v>0</v>
      </c>
      <c r="W236" s="8">
        <f t="shared" si="6"/>
        <v>0</v>
      </c>
      <c r="X236" s="2" t="str">
        <f>Tab_Data_Flows[[#This Row],[UoM_Source]]</f>
        <v>Mg</v>
      </c>
      <c r="Y236" s="19">
        <f>_xlfn.XLOOKUP(Tab_Data_Flows[[#This Row],[Flow_Name]],Tab_Def_Flows[Flow_Name],Tab_Def_Flows[Flow_E2_Fraction'[%']],"N.A.",0,1)</f>
        <v>0</v>
      </c>
      <c r="Z236" s="2">
        <f>IF(D236="Yes",W236*Tab_Data_Flows[[#This Row],[E2_Fraction'[%']]],"N.A.")</f>
        <v>0</v>
      </c>
      <c r="AA236" s="2" t="str">
        <f>Tab_Data_Flows[[#This Row],[E1_UoM]]</f>
        <v>Mg</v>
      </c>
      <c r="AB236" s="19">
        <f>_xlfn.XLOOKUP(Tab_Data_Flows[[#This Row],[Flow_Name]],Tab_Def_Flows[Flow_Name],Tab_Def_Flows[Flow_E3_Fraction'[%']],"N.A.",0,1)</f>
        <v>0</v>
      </c>
      <c r="AC236" s="2">
        <f>IF(E236="Yes",AB236*Tab_Data_Flows[[#This Row],[E1_value]],"N.A.")</f>
        <v>0</v>
      </c>
      <c r="AD236" s="2" t="str">
        <f>Tab_Data_Flows[[#This Row],[E1_UoM]]</f>
        <v>Mg</v>
      </c>
      <c r="AE236" s="19">
        <f>_xlfn.XLOOKUP(Tab_Data_Flows[[#This Row],[Flow_Name]],Tab_Def_Flows[Flow_Name],Tab_Def_Flows[Flow_E4_Fraction'[%']],"N.A.",0,1)</f>
        <v>0</v>
      </c>
      <c r="AF236" s="2">
        <f>IF(H236="Yes",Tab_Data_Flows[[#This Row],[E4_Fraction'[%']]]*Tab_Data_Flows[[#This Row],[E1_value]],"N.A.")</f>
        <v>0</v>
      </c>
      <c r="AG236" s="2" t="str">
        <f>Tab_Data_Flows[[#This Row],[E1_UoM]]</f>
        <v>Mg</v>
      </c>
      <c r="AH236" s="2">
        <f>_xlfn.XLOOKUP(Tab_Data_Flows[[#This Row],[Flow_Name]],Tab_Def_Flows[Flow_Name],Tab_Def_Flows[Flow_E5_Fraction'[%']],"N.A.",0,1)</f>
        <v>0</v>
      </c>
      <c r="AI236" s="2">
        <f>IF(H236="Yes",Tab_Data_Flows[[#This Row],[E5_Fraction'[%']]]*Tab_Data_Flows[[#This Row],[E1_value]],"N.A.")</f>
        <v>0</v>
      </c>
      <c r="AJ236" s="2" t="str">
        <f>Tab_Data_Flows[[#This Row],[E1_UoM]]</f>
        <v>Mg</v>
      </c>
      <c r="AK236" s="19">
        <f>_xlfn.XLOOKUP(Tab_Data_Flows[[#This Row],[Flow_Name]],Tab_Def_Flows[Flow_Name],Tab_Def_Flows[Flow_E6_Fraction'[%']],"N.A.",0,1)</f>
        <v>0</v>
      </c>
      <c r="AL236" s="2">
        <f>IF(Tab_Data_Flows[[#This Row],[Use_E6]]="Yes",Tab_Data_Flows[[#This Row],[E6_Fraction'[%']]]*Tab_Data_Flows[[#This Row],[E1_value]],"N.A.")</f>
        <v>0</v>
      </c>
      <c r="AM236" s="2" t="str">
        <f>Tab_Data_Flows[[#This Row],[E1_UoM]]</f>
        <v>Mg</v>
      </c>
    </row>
    <row r="237" spans="1:39" x14ac:dyDescent="0.25">
      <c r="A237" s="4">
        <f t="shared" si="7"/>
        <v>236</v>
      </c>
      <c r="B237" s="2" t="str">
        <f>_xlfn.XLOOKUP(C237,Tab_Def_Flows[Flow_Name],Tab_Def_Flows[Flow_ID],,0,)</f>
        <v>F__</v>
      </c>
      <c r="C237" s="18" t="s">
        <v>5</v>
      </c>
      <c r="D237" s="5" t="str">
        <f>_xlfn.XLOOKUP(C237,Tab_Def_Flows[Flow_Name],Tab_Def_Flows[Use_E1],,0,)</f>
        <v>Yes</v>
      </c>
      <c r="E237" s="5" t="str">
        <f>_xlfn.XLOOKUP(C237,Tab_Def_Flows[Flow_Name],Tab_Def_Flows[Use_E2],,0,)</f>
        <v>Yes</v>
      </c>
      <c r="F237" s="5" t="str">
        <f>_xlfn.XLOOKUP(C237,Tab_Def_Flows[Flow_Name],Tab_Def_Flows[Use_E3],,0,)</f>
        <v>Yes</v>
      </c>
      <c r="G237" s="5" t="str">
        <f>_xlfn.XLOOKUP(C237,Tab_Def_Flows[Flow_Name],Tab_Def_Flows[Use_E4],,0,)</f>
        <v>Yes</v>
      </c>
      <c r="H237" s="5" t="str">
        <f>_xlfn.XLOOKUP(C237,Tab_Def_Flows[Flow_Name],Tab_Def_Flows[Use_E5],,0,)</f>
        <v>Yes</v>
      </c>
      <c r="I237" s="5" t="str">
        <f>_xlfn.XLOOKUP(C237,Tab_Def_Flows[Flow_Name],Tab_Def_Flows[Use_E6],,0,)</f>
        <v>Yes</v>
      </c>
      <c r="J237" s="3"/>
      <c r="K237" s="3"/>
      <c r="L237" s="2" t="str">
        <f>'0_Configuration'!$C$41</f>
        <v>Mg</v>
      </c>
      <c r="M237" s="9"/>
      <c r="N237" s="9"/>
      <c r="O237" s="9"/>
      <c r="P237" s="9"/>
      <c r="Q237" s="18" t="s">
        <v>3</v>
      </c>
      <c r="R237" s="10"/>
      <c r="S237" s="3"/>
      <c r="T237" s="9"/>
      <c r="U237" s="9"/>
      <c r="V237" s="2">
        <f>_xlfn.XLOOKUP(Tab_Data_Flows[[#This Row],[Flow_Name]],Tab_Def_Flows[Flow_Name],Tab_Def_Flows[Flow_E1_Fraction'[%']],"N.A.",0,1)</f>
        <v>0</v>
      </c>
      <c r="W237" s="8">
        <f t="shared" si="6"/>
        <v>0</v>
      </c>
      <c r="X237" s="2" t="str">
        <f>Tab_Data_Flows[[#This Row],[UoM_Source]]</f>
        <v>Mg</v>
      </c>
      <c r="Y237" s="19">
        <f>_xlfn.XLOOKUP(Tab_Data_Flows[[#This Row],[Flow_Name]],Tab_Def_Flows[Flow_Name],Tab_Def_Flows[Flow_E2_Fraction'[%']],"N.A.",0,1)</f>
        <v>0</v>
      </c>
      <c r="Z237" s="2">
        <f>IF(D237="Yes",W237*Tab_Data_Flows[[#This Row],[E2_Fraction'[%']]],"N.A.")</f>
        <v>0</v>
      </c>
      <c r="AA237" s="2" t="str">
        <f>Tab_Data_Flows[[#This Row],[E1_UoM]]</f>
        <v>Mg</v>
      </c>
      <c r="AB237" s="19">
        <f>_xlfn.XLOOKUP(Tab_Data_Flows[[#This Row],[Flow_Name]],Tab_Def_Flows[Flow_Name],Tab_Def_Flows[Flow_E3_Fraction'[%']],"N.A.",0,1)</f>
        <v>0</v>
      </c>
      <c r="AC237" s="2">
        <f>IF(E237="Yes",AB237*Tab_Data_Flows[[#This Row],[E1_value]],"N.A.")</f>
        <v>0</v>
      </c>
      <c r="AD237" s="2" t="str">
        <f>Tab_Data_Flows[[#This Row],[E1_UoM]]</f>
        <v>Mg</v>
      </c>
      <c r="AE237" s="19">
        <f>_xlfn.XLOOKUP(Tab_Data_Flows[[#This Row],[Flow_Name]],Tab_Def_Flows[Flow_Name],Tab_Def_Flows[Flow_E4_Fraction'[%']],"N.A.",0,1)</f>
        <v>0</v>
      </c>
      <c r="AF237" s="2">
        <f>IF(H237="Yes",Tab_Data_Flows[[#This Row],[E4_Fraction'[%']]]*Tab_Data_Flows[[#This Row],[E1_value]],"N.A.")</f>
        <v>0</v>
      </c>
      <c r="AG237" s="2" t="str">
        <f>Tab_Data_Flows[[#This Row],[E1_UoM]]</f>
        <v>Mg</v>
      </c>
      <c r="AH237" s="2">
        <f>_xlfn.XLOOKUP(Tab_Data_Flows[[#This Row],[Flow_Name]],Tab_Def_Flows[Flow_Name],Tab_Def_Flows[Flow_E5_Fraction'[%']],"N.A.",0,1)</f>
        <v>0</v>
      </c>
      <c r="AI237" s="2">
        <f>IF(H237="Yes",Tab_Data_Flows[[#This Row],[E5_Fraction'[%']]]*Tab_Data_Flows[[#This Row],[E1_value]],"N.A.")</f>
        <v>0</v>
      </c>
      <c r="AJ237" s="2" t="str">
        <f>Tab_Data_Flows[[#This Row],[E1_UoM]]</f>
        <v>Mg</v>
      </c>
      <c r="AK237" s="19">
        <f>_xlfn.XLOOKUP(Tab_Data_Flows[[#This Row],[Flow_Name]],Tab_Def_Flows[Flow_Name],Tab_Def_Flows[Flow_E6_Fraction'[%']],"N.A.",0,1)</f>
        <v>0</v>
      </c>
      <c r="AL237" s="2">
        <f>IF(Tab_Data_Flows[[#This Row],[Use_E6]]="Yes",Tab_Data_Flows[[#This Row],[E6_Fraction'[%']]]*Tab_Data_Flows[[#This Row],[E1_value]],"N.A.")</f>
        <v>0</v>
      </c>
      <c r="AM237" s="2" t="str">
        <f>Tab_Data_Flows[[#This Row],[E1_UoM]]</f>
        <v>Mg</v>
      </c>
    </row>
    <row r="238" spans="1:39" x14ac:dyDescent="0.25">
      <c r="A238" s="4">
        <f t="shared" si="7"/>
        <v>237</v>
      </c>
      <c r="B238" s="2" t="str">
        <f>_xlfn.XLOOKUP(C238,Tab_Def_Flows[Flow_Name],Tab_Def_Flows[Flow_ID],,0,)</f>
        <v>F__</v>
      </c>
      <c r="C238" s="18" t="s">
        <v>5</v>
      </c>
      <c r="D238" s="5" t="str">
        <f>_xlfn.XLOOKUP(C238,Tab_Def_Flows[Flow_Name],Tab_Def_Flows[Use_E1],,0,)</f>
        <v>Yes</v>
      </c>
      <c r="E238" s="5" t="str">
        <f>_xlfn.XLOOKUP(C238,Tab_Def_Flows[Flow_Name],Tab_Def_Flows[Use_E2],,0,)</f>
        <v>Yes</v>
      </c>
      <c r="F238" s="5" t="str">
        <f>_xlfn.XLOOKUP(C238,Tab_Def_Flows[Flow_Name],Tab_Def_Flows[Use_E3],,0,)</f>
        <v>Yes</v>
      </c>
      <c r="G238" s="5" t="str">
        <f>_xlfn.XLOOKUP(C238,Tab_Def_Flows[Flow_Name],Tab_Def_Flows[Use_E4],,0,)</f>
        <v>Yes</v>
      </c>
      <c r="H238" s="5" t="str">
        <f>_xlfn.XLOOKUP(C238,Tab_Def_Flows[Flow_Name],Tab_Def_Flows[Use_E5],,0,)</f>
        <v>Yes</v>
      </c>
      <c r="I238" s="5" t="str">
        <f>_xlfn.XLOOKUP(C238,Tab_Def_Flows[Flow_Name],Tab_Def_Flows[Use_E6],,0,)</f>
        <v>Yes</v>
      </c>
      <c r="J238" s="3"/>
      <c r="K238" s="3"/>
      <c r="L238" s="2" t="str">
        <f>'0_Configuration'!$C$41</f>
        <v>Mg</v>
      </c>
      <c r="M238" s="9"/>
      <c r="N238" s="9"/>
      <c r="O238" s="9"/>
      <c r="P238" s="9"/>
      <c r="Q238" s="18" t="s">
        <v>3</v>
      </c>
      <c r="R238" s="10"/>
      <c r="S238" s="3"/>
      <c r="T238" s="9"/>
      <c r="U238" s="9"/>
      <c r="V238" s="2">
        <f>_xlfn.XLOOKUP(Tab_Data_Flows[[#This Row],[Flow_Name]],Tab_Def_Flows[Flow_Name],Tab_Def_Flows[Flow_E1_Fraction'[%']],"N.A.",0,1)</f>
        <v>0</v>
      </c>
      <c r="W238" s="8">
        <f t="shared" si="6"/>
        <v>0</v>
      </c>
      <c r="X238" s="2" t="str">
        <f>Tab_Data_Flows[[#This Row],[UoM_Source]]</f>
        <v>Mg</v>
      </c>
      <c r="Y238" s="19">
        <f>_xlfn.XLOOKUP(Tab_Data_Flows[[#This Row],[Flow_Name]],Tab_Def_Flows[Flow_Name],Tab_Def_Flows[Flow_E2_Fraction'[%']],"N.A.",0,1)</f>
        <v>0</v>
      </c>
      <c r="Z238" s="2">
        <f>IF(D238="Yes",W238*Tab_Data_Flows[[#This Row],[E2_Fraction'[%']]],"N.A.")</f>
        <v>0</v>
      </c>
      <c r="AA238" s="2" t="str">
        <f>Tab_Data_Flows[[#This Row],[E1_UoM]]</f>
        <v>Mg</v>
      </c>
      <c r="AB238" s="19">
        <f>_xlfn.XLOOKUP(Tab_Data_Flows[[#This Row],[Flow_Name]],Tab_Def_Flows[Flow_Name],Tab_Def_Flows[Flow_E3_Fraction'[%']],"N.A.",0,1)</f>
        <v>0</v>
      </c>
      <c r="AC238" s="2">
        <f>IF(E238="Yes",AB238*Tab_Data_Flows[[#This Row],[E1_value]],"N.A.")</f>
        <v>0</v>
      </c>
      <c r="AD238" s="2" t="str">
        <f>Tab_Data_Flows[[#This Row],[E1_UoM]]</f>
        <v>Mg</v>
      </c>
      <c r="AE238" s="19">
        <f>_xlfn.XLOOKUP(Tab_Data_Flows[[#This Row],[Flow_Name]],Tab_Def_Flows[Flow_Name],Tab_Def_Flows[Flow_E4_Fraction'[%']],"N.A.",0,1)</f>
        <v>0</v>
      </c>
      <c r="AF238" s="2">
        <f>IF(H238="Yes",Tab_Data_Flows[[#This Row],[E4_Fraction'[%']]]*Tab_Data_Flows[[#This Row],[E1_value]],"N.A.")</f>
        <v>0</v>
      </c>
      <c r="AG238" s="2" t="str">
        <f>Tab_Data_Flows[[#This Row],[E1_UoM]]</f>
        <v>Mg</v>
      </c>
      <c r="AH238" s="2">
        <f>_xlfn.XLOOKUP(Tab_Data_Flows[[#This Row],[Flow_Name]],Tab_Def_Flows[Flow_Name],Tab_Def_Flows[Flow_E5_Fraction'[%']],"N.A.",0,1)</f>
        <v>0</v>
      </c>
      <c r="AI238" s="2">
        <f>IF(H238="Yes",Tab_Data_Flows[[#This Row],[E5_Fraction'[%']]]*Tab_Data_Flows[[#This Row],[E1_value]],"N.A.")</f>
        <v>0</v>
      </c>
      <c r="AJ238" s="2" t="str">
        <f>Tab_Data_Flows[[#This Row],[E1_UoM]]</f>
        <v>Mg</v>
      </c>
      <c r="AK238" s="19">
        <f>_xlfn.XLOOKUP(Tab_Data_Flows[[#This Row],[Flow_Name]],Tab_Def_Flows[Flow_Name],Tab_Def_Flows[Flow_E6_Fraction'[%']],"N.A.",0,1)</f>
        <v>0</v>
      </c>
      <c r="AL238" s="2">
        <f>IF(Tab_Data_Flows[[#This Row],[Use_E6]]="Yes",Tab_Data_Flows[[#This Row],[E6_Fraction'[%']]]*Tab_Data_Flows[[#This Row],[E1_value]],"N.A.")</f>
        <v>0</v>
      </c>
      <c r="AM238" s="2" t="str">
        <f>Tab_Data_Flows[[#This Row],[E1_UoM]]</f>
        <v>Mg</v>
      </c>
    </row>
    <row r="239" spans="1:39" x14ac:dyDescent="0.25">
      <c r="A239" s="4">
        <f t="shared" si="7"/>
        <v>238</v>
      </c>
      <c r="B239" s="2" t="str">
        <f>_xlfn.XLOOKUP(C239,Tab_Def_Flows[Flow_Name],Tab_Def_Flows[Flow_ID],,0,)</f>
        <v>F__</v>
      </c>
      <c r="C239" s="18" t="s">
        <v>5</v>
      </c>
      <c r="D239" s="5" t="str">
        <f>_xlfn.XLOOKUP(C239,Tab_Def_Flows[Flow_Name],Tab_Def_Flows[Use_E1],,0,)</f>
        <v>Yes</v>
      </c>
      <c r="E239" s="5" t="str">
        <f>_xlfn.XLOOKUP(C239,Tab_Def_Flows[Flow_Name],Tab_Def_Flows[Use_E2],,0,)</f>
        <v>Yes</v>
      </c>
      <c r="F239" s="5" t="str">
        <f>_xlfn.XLOOKUP(C239,Tab_Def_Flows[Flow_Name],Tab_Def_Flows[Use_E3],,0,)</f>
        <v>Yes</v>
      </c>
      <c r="G239" s="5" t="str">
        <f>_xlfn.XLOOKUP(C239,Tab_Def_Flows[Flow_Name],Tab_Def_Flows[Use_E4],,0,)</f>
        <v>Yes</v>
      </c>
      <c r="H239" s="5" t="str">
        <f>_xlfn.XLOOKUP(C239,Tab_Def_Flows[Flow_Name],Tab_Def_Flows[Use_E5],,0,)</f>
        <v>Yes</v>
      </c>
      <c r="I239" s="5" t="str">
        <f>_xlfn.XLOOKUP(C239,Tab_Def_Flows[Flow_Name],Tab_Def_Flows[Use_E6],,0,)</f>
        <v>Yes</v>
      </c>
      <c r="J239" s="3"/>
      <c r="K239" s="3"/>
      <c r="L239" s="2" t="str">
        <f>'0_Configuration'!$C$41</f>
        <v>Mg</v>
      </c>
      <c r="M239" s="9"/>
      <c r="N239" s="9"/>
      <c r="O239" s="9"/>
      <c r="P239" s="9"/>
      <c r="Q239" s="18" t="s">
        <v>3</v>
      </c>
      <c r="R239" s="10"/>
      <c r="S239" s="3"/>
      <c r="T239" s="9"/>
      <c r="U239" s="9"/>
      <c r="V239" s="2">
        <f>_xlfn.XLOOKUP(Tab_Data_Flows[[#This Row],[Flow_Name]],Tab_Def_Flows[Flow_Name],Tab_Def_Flows[Flow_E1_Fraction'[%']],"N.A.",0,1)</f>
        <v>0</v>
      </c>
      <c r="W239" s="8">
        <f t="shared" si="6"/>
        <v>0</v>
      </c>
      <c r="X239" s="2" t="str">
        <f>Tab_Data_Flows[[#This Row],[UoM_Source]]</f>
        <v>Mg</v>
      </c>
      <c r="Y239" s="19">
        <f>_xlfn.XLOOKUP(Tab_Data_Flows[[#This Row],[Flow_Name]],Tab_Def_Flows[Flow_Name],Tab_Def_Flows[Flow_E2_Fraction'[%']],"N.A.",0,1)</f>
        <v>0</v>
      </c>
      <c r="Z239" s="2">
        <f>IF(D239="Yes",W239*Tab_Data_Flows[[#This Row],[E2_Fraction'[%']]],"N.A.")</f>
        <v>0</v>
      </c>
      <c r="AA239" s="2" t="str">
        <f>Tab_Data_Flows[[#This Row],[E1_UoM]]</f>
        <v>Mg</v>
      </c>
      <c r="AB239" s="19">
        <f>_xlfn.XLOOKUP(Tab_Data_Flows[[#This Row],[Flow_Name]],Tab_Def_Flows[Flow_Name],Tab_Def_Flows[Flow_E3_Fraction'[%']],"N.A.",0,1)</f>
        <v>0</v>
      </c>
      <c r="AC239" s="2">
        <f>IF(E239="Yes",AB239*Tab_Data_Flows[[#This Row],[E1_value]],"N.A.")</f>
        <v>0</v>
      </c>
      <c r="AD239" s="2" t="str">
        <f>Tab_Data_Flows[[#This Row],[E1_UoM]]</f>
        <v>Mg</v>
      </c>
      <c r="AE239" s="19">
        <f>_xlfn.XLOOKUP(Tab_Data_Flows[[#This Row],[Flow_Name]],Tab_Def_Flows[Flow_Name],Tab_Def_Flows[Flow_E4_Fraction'[%']],"N.A.",0,1)</f>
        <v>0</v>
      </c>
      <c r="AF239" s="2">
        <f>IF(H239="Yes",Tab_Data_Flows[[#This Row],[E4_Fraction'[%']]]*Tab_Data_Flows[[#This Row],[E1_value]],"N.A.")</f>
        <v>0</v>
      </c>
      <c r="AG239" s="2" t="str">
        <f>Tab_Data_Flows[[#This Row],[E1_UoM]]</f>
        <v>Mg</v>
      </c>
      <c r="AH239" s="2">
        <f>_xlfn.XLOOKUP(Tab_Data_Flows[[#This Row],[Flow_Name]],Tab_Def_Flows[Flow_Name],Tab_Def_Flows[Flow_E5_Fraction'[%']],"N.A.",0,1)</f>
        <v>0</v>
      </c>
      <c r="AI239" s="2">
        <f>IF(H239="Yes",Tab_Data_Flows[[#This Row],[E5_Fraction'[%']]]*Tab_Data_Flows[[#This Row],[E1_value]],"N.A.")</f>
        <v>0</v>
      </c>
      <c r="AJ239" s="2" t="str">
        <f>Tab_Data_Flows[[#This Row],[E1_UoM]]</f>
        <v>Mg</v>
      </c>
      <c r="AK239" s="19">
        <f>_xlfn.XLOOKUP(Tab_Data_Flows[[#This Row],[Flow_Name]],Tab_Def_Flows[Flow_Name],Tab_Def_Flows[Flow_E6_Fraction'[%']],"N.A.",0,1)</f>
        <v>0</v>
      </c>
      <c r="AL239" s="2">
        <f>IF(Tab_Data_Flows[[#This Row],[Use_E6]]="Yes",Tab_Data_Flows[[#This Row],[E6_Fraction'[%']]]*Tab_Data_Flows[[#This Row],[E1_value]],"N.A.")</f>
        <v>0</v>
      </c>
      <c r="AM239" s="2" t="str">
        <f>Tab_Data_Flows[[#This Row],[E1_UoM]]</f>
        <v>Mg</v>
      </c>
    </row>
    <row r="240" spans="1:39" x14ac:dyDescent="0.25">
      <c r="A240" s="4">
        <f t="shared" si="7"/>
        <v>239</v>
      </c>
      <c r="B240" s="2" t="str">
        <f>_xlfn.XLOOKUP(C240,Tab_Def_Flows[Flow_Name],Tab_Def_Flows[Flow_ID],,0,)</f>
        <v>F__</v>
      </c>
      <c r="C240" s="18" t="s">
        <v>5</v>
      </c>
      <c r="D240" s="5" t="str">
        <f>_xlfn.XLOOKUP(C240,Tab_Def_Flows[Flow_Name],Tab_Def_Flows[Use_E1],,0,)</f>
        <v>Yes</v>
      </c>
      <c r="E240" s="5" t="str">
        <f>_xlfn.XLOOKUP(C240,Tab_Def_Flows[Flow_Name],Tab_Def_Flows[Use_E2],,0,)</f>
        <v>Yes</v>
      </c>
      <c r="F240" s="5" t="str">
        <f>_xlfn.XLOOKUP(C240,Tab_Def_Flows[Flow_Name],Tab_Def_Flows[Use_E3],,0,)</f>
        <v>Yes</v>
      </c>
      <c r="G240" s="5" t="str">
        <f>_xlfn.XLOOKUP(C240,Tab_Def_Flows[Flow_Name],Tab_Def_Flows[Use_E4],,0,)</f>
        <v>Yes</v>
      </c>
      <c r="H240" s="5" t="str">
        <f>_xlfn.XLOOKUP(C240,Tab_Def_Flows[Flow_Name],Tab_Def_Flows[Use_E5],,0,)</f>
        <v>Yes</v>
      </c>
      <c r="I240" s="5" t="str">
        <f>_xlfn.XLOOKUP(C240,Tab_Def_Flows[Flow_Name],Tab_Def_Flows[Use_E6],,0,)</f>
        <v>Yes</v>
      </c>
      <c r="J240" s="3"/>
      <c r="K240" s="3"/>
      <c r="L240" s="2" t="str">
        <f>'0_Configuration'!$C$41</f>
        <v>Mg</v>
      </c>
      <c r="M240" s="9"/>
      <c r="N240" s="9"/>
      <c r="O240" s="9"/>
      <c r="P240" s="9"/>
      <c r="Q240" s="18" t="s">
        <v>3</v>
      </c>
      <c r="R240" s="10"/>
      <c r="S240" s="3"/>
      <c r="T240" s="9"/>
      <c r="U240" s="9"/>
      <c r="V240" s="2">
        <f>_xlfn.XLOOKUP(Tab_Data_Flows[[#This Row],[Flow_Name]],Tab_Def_Flows[Flow_Name],Tab_Def_Flows[Flow_E1_Fraction'[%']],"N.A.",0,1)</f>
        <v>0</v>
      </c>
      <c r="W240" s="8">
        <f t="shared" si="6"/>
        <v>0</v>
      </c>
      <c r="X240" s="2" t="str">
        <f>Tab_Data_Flows[[#This Row],[UoM_Source]]</f>
        <v>Mg</v>
      </c>
      <c r="Y240" s="19">
        <f>_xlfn.XLOOKUP(Tab_Data_Flows[[#This Row],[Flow_Name]],Tab_Def_Flows[Flow_Name],Tab_Def_Flows[Flow_E2_Fraction'[%']],"N.A.",0,1)</f>
        <v>0</v>
      </c>
      <c r="Z240" s="2">
        <f>IF(D240="Yes",W240*Tab_Data_Flows[[#This Row],[E2_Fraction'[%']]],"N.A.")</f>
        <v>0</v>
      </c>
      <c r="AA240" s="2" t="str">
        <f>Tab_Data_Flows[[#This Row],[E1_UoM]]</f>
        <v>Mg</v>
      </c>
      <c r="AB240" s="19">
        <f>_xlfn.XLOOKUP(Tab_Data_Flows[[#This Row],[Flow_Name]],Tab_Def_Flows[Flow_Name],Tab_Def_Flows[Flow_E3_Fraction'[%']],"N.A.",0,1)</f>
        <v>0</v>
      </c>
      <c r="AC240" s="2">
        <f>IF(E240="Yes",AB240*Tab_Data_Flows[[#This Row],[E1_value]],"N.A.")</f>
        <v>0</v>
      </c>
      <c r="AD240" s="2" t="str">
        <f>Tab_Data_Flows[[#This Row],[E1_UoM]]</f>
        <v>Mg</v>
      </c>
      <c r="AE240" s="19">
        <f>_xlfn.XLOOKUP(Tab_Data_Flows[[#This Row],[Flow_Name]],Tab_Def_Flows[Flow_Name],Tab_Def_Flows[Flow_E4_Fraction'[%']],"N.A.",0,1)</f>
        <v>0</v>
      </c>
      <c r="AF240" s="2">
        <f>IF(H240="Yes",Tab_Data_Flows[[#This Row],[E4_Fraction'[%']]]*Tab_Data_Flows[[#This Row],[E1_value]],"N.A.")</f>
        <v>0</v>
      </c>
      <c r="AG240" s="2" t="str">
        <f>Tab_Data_Flows[[#This Row],[E1_UoM]]</f>
        <v>Mg</v>
      </c>
      <c r="AH240" s="2">
        <f>_xlfn.XLOOKUP(Tab_Data_Flows[[#This Row],[Flow_Name]],Tab_Def_Flows[Flow_Name],Tab_Def_Flows[Flow_E5_Fraction'[%']],"N.A.",0,1)</f>
        <v>0</v>
      </c>
      <c r="AI240" s="2">
        <f>IF(H240="Yes",Tab_Data_Flows[[#This Row],[E5_Fraction'[%']]]*Tab_Data_Flows[[#This Row],[E1_value]],"N.A.")</f>
        <v>0</v>
      </c>
      <c r="AJ240" s="2" t="str">
        <f>Tab_Data_Flows[[#This Row],[E1_UoM]]</f>
        <v>Mg</v>
      </c>
      <c r="AK240" s="19">
        <f>_xlfn.XLOOKUP(Tab_Data_Flows[[#This Row],[Flow_Name]],Tab_Def_Flows[Flow_Name],Tab_Def_Flows[Flow_E6_Fraction'[%']],"N.A.",0,1)</f>
        <v>0</v>
      </c>
      <c r="AL240" s="2">
        <f>IF(Tab_Data_Flows[[#This Row],[Use_E6]]="Yes",Tab_Data_Flows[[#This Row],[E6_Fraction'[%']]]*Tab_Data_Flows[[#This Row],[E1_value]],"N.A.")</f>
        <v>0</v>
      </c>
      <c r="AM240" s="2" t="str">
        <f>Tab_Data_Flows[[#This Row],[E1_UoM]]</f>
        <v>Mg</v>
      </c>
    </row>
    <row r="241" spans="1:39" x14ac:dyDescent="0.25">
      <c r="A241" s="4">
        <f t="shared" si="7"/>
        <v>240</v>
      </c>
      <c r="B241" s="2" t="str">
        <f>_xlfn.XLOOKUP(C241,Tab_Def_Flows[Flow_Name],Tab_Def_Flows[Flow_ID],,0,)</f>
        <v>F__</v>
      </c>
      <c r="C241" s="18" t="s">
        <v>5</v>
      </c>
      <c r="D241" s="5" t="str">
        <f>_xlfn.XLOOKUP(C241,Tab_Def_Flows[Flow_Name],Tab_Def_Flows[Use_E1],,0,)</f>
        <v>Yes</v>
      </c>
      <c r="E241" s="5" t="str">
        <f>_xlfn.XLOOKUP(C241,Tab_Def_Flows[Flow_Name],Tab_Def_Flows[Use_E2],,0,)</f>
        <v>Yes</v>
      </c>
      <c r="F241" s="5" t="str">
        <f>_xlfn.XLOOKUP(C241,Tab_Def_Flows[Flow_Name],Tab_Def_Flows[Use_E3],,0,)</f>
        <v>Yes</v>
      </c>
      <c r="G241" s="5" t="str">
        <f>_xlfn.XLOOKUP(C241,Tab_Def_Flows[Flow_Name],Tab_Def_Flows[Use_E4],,0,)</f>
        <v>Yes</v>
      </c>
      <c r="H241" s="5" t="str">
        <f>_xlfn.XLOOKUP(C241,Tab_Def_Flows[Flow_Name],Tab_Def_Flows[Use_E5],,0,)</f>
        <v>Yes</v>
      </c>
      <c r="I241" s="5" t="str">
        <f>_xlfn.XLOOKUP(C241,Tab_Def_Flows[Flow_Name],Tab_Def_Flows[Use_E6],,0,)</f>
        <v>Yes</v>
      </c>
      <c r="J241" s="3"/>
      <c r="K241" s="3"/>
      <c r="L241" s="2" t="str">
        <f>'0_Configuration'!$C$41</f>
        <v>Mg</v>
      </c>
      <c r="M241" s="9"/>
      <c r="N241" s="9"/>
      <c r="O241" s="9"/>
      <c r="P241" s="9"/>
      <c r="Q241" s="18" t="s">
        <v>3</v>
      </c>
      <c r="R241" s="10"/>
      <c r="S241" s="3"/>
      <c r="T241" s="9"/>
      <c r="U241" s="9"/>
      <c r="V241" s="2">
        <f>_xlfn.XLOOKUP(Tab_Data_Flows[[#This Row],[Flow_Name]],Tab_Def_Flows[Flow_Name],Tab_Def_Flows[Flow_E1_Fraction'[%']],"N.A.",0,1)</f>
        <v>0</v>
      </c>
      <c r="W241" s="8">
        <f t="shared" si="6"/>
        <v>0</v>
      </c>
      <c r="X241" s="2" t="str">
        <f>Tab_Data_Flows[[#This Row],[UoM_Source]]</f>
        <v>Mg</v>
      </c>
      <c r="Y241" s="19">
        <f>_xlfn.XLOOKUP(Tab_Data_Flows[[#This Row],[Flow_Name]],Tab_Def_Flows[Flow_Name],Tab_Def_Flows[Flow_E2_Fraction'[%']],"N.A.",0,1)</f>
        <v>0</v>
      </c>
      <c r="Z241" s="2">
        <f>IF(D241="Yes",W241*Tab_Data_Flows[[#This Row],[E2_Fraction'[%']]],"N.A.")</f>
        <v>0</v>
      </c>
      <c r="AA241" s="2" t="str">
        <f>Tab_Data_Flows[[#This Row],[E1_UoM]]</f>
        <v>Mg</v>
      </c>
      <c r="AB241" s="19">
        <f>_xlfn.XLOOKUP(Tab_Data_Flows[[#This Row],[Flow_Name]],Tab_Def_Flows[Flow_Name],Tab_Def_Flows[Flow_E3_Fraction'[%']],"N.A.",0,1)</f>
        <v>0</v>
      </c>
      <c r="AC241" s="2">
        <f>IF(E241="Yes",AB241*Tab_Data_Flows[[#This Row],[E1_value]],"N.A.")</f>
        <v>0</v>
      </c>
      <c r="AD241" s="2" t="str">
        <f>Tab_Data_Flows[[#This Row],[E1_UoM]]</f>
        <v>Mg</v>
      </c>
      <c r="AE241" s="19">
        <f>_xlfn.XLOOKUP(Tab_Data_Flows[[#This Row],[Flow_Name]],Tab_Def_Flows[Flow_Name],Tab_Def_Flows[Flow_E4_Fraction'[%']],"N.A.",0,1)</f>
        <v>0</v>
      </c>
      <c r="AF241" s="2">
        <f>IF(H241="Yes",Tab_Data_Flows[[#This Row],[E4_Fraction'[%']]]*Tab_Data_Flows[[#This Row],[E1_value]],"N.A.")</f>
        <v>0</v>
      </c>
      <c r="AG241" s="2" t="str">
        <f>Tab_Data_Flows[[#This Row],[E1_UoM]]</f>
        <v>Mg</v>
      </c>
      <c r="AH241" s="2">
        <f>_xlfn.XLOOKUP(Tab_Data_Flows[[#This Row],[Flow_Name]],Tab_Def_Flows[Flow_Name],Tab_Def_Flows[Flow_E5_Fraction'[%']],"N.A.",0,1)</f>
        <v>0</v>
      </c>
      <c r="AI241" s="2">
        <f>IF(H241="Yes",Tab_Data_Flows[[#This Row],[E5_Fraction'[%']]]*Tab_Data_Flows[[#This Row],[E1_value]],"N.A.")</f>
        <v>0</v>
      </c>
      <c r="AJ241" s="2" t="str">
        <f>Tab_Data_Flows[[#This Row],[E1_UoM]]</f>
        <v>Mg</v>
      </c>
      <c r="AK241" s="19">
        <f>_xlfn.XLOOKUP(Tab_Data_Flows[[#This Row],[Flow_Name]],Tab_Def_Flows[Flow_Name],Tab_Def_Flows[Flow_E6_Fraction'[%']],"N.A.",0,1)</f>
        <v>0</v>
      </c>
      <c r="AL241" s="2">
        <f>IF(Tab_Data_Flows[[#This Row],[Use_E6]]="Yes",Tab_Data_Flows[[#This Row],[E6_Fraction'[%']]]*Tab_Data_Flows[[#This Row],[E1_value]],"N.A.")</f>
        <v>0</v>
      </c>
      <c r="AM241" s="2" t="str">
        <f>Tab_Data_Flows[[#This Row],[E1_UoM]]</f>
        <v>Mg</v>
      </c>
    </row>
    <row r="242" spans="1:39" x14ac:dyDescent="0.25">
      <c r="A242" s="4">
        <f t="shared" si="7"/>
        <v>241</v>
      </c>
      <c r="B242" s="2" t="str">
        <f>_xlfn.XLOOKUP(C242,Tab_Def_Flows[Flow_Name],Tab_Def_Flows[Flow_ID],,0,)</f>
        <v>F__</v>
      </c>
      <c r="C242" s="18" t="s">
        <v>5</v>
      </c>
      <c r="D242" s="5" t="str">
        <f>_xlfn.XLOOKUP(C242,Tab_Def_Flows[Flow_Name],Tab_Def_Flows[Use_E1],,0,)</f>
        <v>Yes</v>
      </c>
      <c r="E242" s="5" t="str">
        <f>_xlfn.XLOOKUP(C242,Tab_Def_Flows[Flow_Name],Tab_Def_Flows[Use_E2],,0,)</f>
        <v>Yes</v>
      </c>
      <c r="F242" s="5" t="str">
        <f>_xlfn.XLOOKUP(C242,Tab_Def_Flows[Flow_Name],Tab_Def_Flows[Use_E3],,0,)</f>
        <v>Yes</v>
      </c>
      <c r="G242" s="5" t="str">
        <f>_xlfn.XLOOKUP(C242,Tab_Def_Flows[Flow_Name],Tab_Def_Flows[Use_E4],,0,)</f>
        <v>Yes</v>
      </c>
      <c r="H242" s="5" t="str">
        <f>_xlfn.XLOOKUP(C242,Tab_Def_Flows[Flow_Name],Tab_Def_Flows[Use_E5],,0,)</f>
        <v>Yes</v>
      </c>
      <c r="I242" s="5" t="str">
        <f>_xlfn.XLOOKUP(C242,Tab_Def_Flows[Flow_Name],Tab_Def_Flows[Use_E6],,0,)</f>
        <v>Yes</v>
      </c>
      <c r="J242" s="3"/>
      <c r="K242" s="3"/>
      <c r="L242" s="2" t="str">
        <f>'0_Configuration'!$C$41</f>
        <v>Mg</v>
      </c>
      <c r="M242" s="9"/>
      <c r="N242" s="9"/>
      <c r="O242" s="9"/>
      <c r="P242" s="9"/>
      <c r="Q242" s="18" t="s">
        <v>3</v>
      </c>
      <c r="R242" s="10"/>
      <c r="S242" s="3"/>
      <c r="T242" s="9"/>
      <c r="U242" s="9"/>
      <c r="V242" s="2">
        <f>_xlfn.XLOOKUP(Tab_Data_Flows[[#This Row],[Flow_Name]],Tab_Def_Flows[Flow_Name],Tab_Def_Flows[Flow_E1_Fraction'[%']],"N.A.",0,1)</f>
        <v>0</v>
      </c>
      <c r="W242" s="8">
        <f t="shared" si="6"/>
        <v>0</v>
      </c>
      <c r="X242" s="2" t="str">
        <f>Tab_Data_Flows[[#This Row],[UoM_Source]]</f>
        <v>Mg</v>
      </c>
      <c r="Y242" s="19">
        <f>_xlfn.XLOOKUP(Tab_Data_Flows[[#This Row],[Flow_Name]],Tab_Def_Flows[Flow_Name],Tab_Def_Flows[Flow_E2_Fraction'[%']],"N.A.",0,1)</f>
        <v>0</v>
      </c>
      <c r="Z242" s="2">
        <f>IF(D242="Yes",W242*Tab_Data_Flows[[#This Row],[E2_Fraction'[%']]],"N.A.")</f>
        <v>0</v>
      </c>
      <c r="AA242" s="2" t="str">
        <f>Tab_Data_Flows[[#This Row],[E1_UoM]]</f>
        <v>Mg</v>
      </c>
      <c r="AB242" s="19">
        <f>_xlfn.XLOOKUP(Tab_Data_Flows[[#This Row],[Flow_Name]],Tab_Def_Flows[Flow_Name],Tab_Def_Flows[Flow_E3_Fraction'[%']],"N.A.",0,1)</f>
        <v>0</v>
      </c>
      <c r="AC242" s="2">
        <f>IF(E242="Yes",AB242*Tab_Data_Flows[[#This Row],[E1_value]],"N.A.")</f>
        <v>0</v>
      </c>
      <c r="AD242" s="2" t="str">
        <f>Tab_Data_Flows[[#This Row],[E1_UoM]]</f>
        <v>Mg</v>
      </c>
      <c r="AE242" s="19">
        <f>_xlfn.XLOOKUP(Tab_Data_Flows[[#This Row],[Flow_Name]],Tab_Def_Flows[Flow_Name],Tab_Def_Flows[Flow_E4_Fraction'[%']],"N.A.",0,1)</f>
        <v>0</v>
      </c>
      <c r="AF242" s="2">
        <f>IF(H242="Yes",Tab_Data_Flows[[#This Row],[E4_Fraction'[%']]]*Tab_Data_Flows[[#This Row],[E1_value]],"N.A.")</f>
        <v>0</v>
      </c>
      <c r="AG242" s="2" t="str">
        <f>Tab_Data_Flows[[#This Row],[E1_UoM]]</f>
        <v>Mg</v>
      </c>
      <c r="AH242" s="2">
        <f>_xlfn.XLOOKUP(Tab_Data_Flows[[#This Row],[Flow_Name]],Tab_Def_Flows[Flow_Name],Tab_Def_Flows[Flow_E5_Fraction'[%']],"N.A.",0,1)</f>
        <v>0</v>
      </c>
      <c r="AI242" s="2">
        <f>IF(H242="Yes",Tab_Data_Flows[[#This Row],[E5_Fraction'[%']]]*Tab_Data_Flows[[#This Row],[E1_value]],"N.A.")</f>
        <v>0</v>
      </c>
      <c r="AJ242" s="2" t="str">
        <f>Tab_Data_Flows[[#This Row],[E1_UoM]]</f>
        <v>Mg</v>
      </c>
      <c r="AK242" s="19">
        <f>_xlfn.XLOOKUP(Tab_Data_Flows[[#This Row],[Flow_Name]],Tab_Def_Flows[Flow_Name],Tab_Def_Flows[Flow_E6_Fraction'[%']],"N.A.",0,1)</f>
        <v>0</v>
      </c>
      <c r="AL242" s="2">
        <f>IF(Tab_Data_Flows[[#This Row],[Use_E6]]="Yes",Tab_Data_Flows[[#This Row],[E6_Fraction'[%']]]*Tab_Data_Flows[[#This Row],[E1_value]],"N.A.")</f>
        <v>0</v>
      </c>
      <c r="AM242" s="2" t="str">
        <f>Tab_Data_Flows[[#This Row],[E1_UoM]]</f>
        <v>Mg</v>
      </c>
    </row>
    <row r="243" spans="1:39" x14ac:dyDescent="0.25">
      <c r="A243" s="4">
        <f t="shared" si="7"/>
        <v>242</v>
      </c>
      <c r="B243" s="2" t="str">
        <f>_xlfn.XLOOKUP(C243,Tab_Def_Flows[Flow_Name],Tab_Def_Flows[Flow_ID],,0,)</f>
        <v>F__</v>
      </c>
      <c r="C243" s="18" t="s">
        <v>5</v>
      </c>
      <c r="D243" s="5" t="str">
        <f>_xlfn.XLOOKUP(C243,Tab_Def_Flows[Flow_Name],Tab_Def_Flows[Use_E1],,0,)</f>
        <v>Yes</v>
      </c>
      <c r="E243" s="5" t="str">
        <f>_xlfn.XLOOKUP(C243,Tab_Def_Flows[Flow_Name],Tab_Def_Flows[Use_E2],,0,)</f>
        <v>Yes</v>
      </c>
      <c r="F243" s="5" t="str">
        <f>_xlfn.XLOOKUP(C243,Tab_Def_Flows[Flow_Name],Tab_Def_Flows[Use_E3],,0,)</f>
        <v>Yes</v>
      </c>
      <c r="G243" s="5" t="str">
        <f>_xlfn.XLOOKUP(C243,Tab_Def_Flows[Flow_Name],Tab_Def_Flows[Use_E4],,0,)</f>
        <v>Yes</v>
      </c>
      <c r="H243" s="5" t="str">
        <f>_xlfn.XLOOKUP(C243,Tab_Def_Flows[Flow_Name],Tab_Def_Flows[Use_E5],,0,)</f>
        <v>Yes</v>
      </c>
      <c r="I243" s="5" t="str">
        <f>_xlfn.XLOOKUP(C243,Tab_Def_Flows[Flow_Name],Tab_Def_Flows[Use_E6],,0,)</f>
        <v>Yes</v>
      </c>
      <c r="J243" s="3"/>
      <c r="K243" s="3"/>
      <c r="L243" s="2" t="str">
        <f>'0_Configuration'!$C$41</f>
        <v>Mg</v>
      </c>
      <c r="M243" s="9"/>
      <c r="N243" s="9"/>
      <c r="O243" s="9"/>
      <c r="P243" s="9"/>
      <c r="Q243" s="18" t="s">
        <v>3</v>
      </c>
      <c r="R243" s="10"/>
      <c r="S243" s="3"/>
      <c r="T243" s="9"/>
      <c r="U243" s="9"/>
      <c r="V243" s="2">
        <f>_xlfn.XLOOKUP(Tab_Data_Flows[[#This Row],[Flow_Name]],Tab_Def_Flows[Flow_Name],Tab_Def_Flows[Flow_E1_Fraction'[%']],"N.A.",0,1)</f>
        <v>0</v>
      </c>
      <c r="W243" s="8">
        <f t="shared" si="6"/>
        <v>0</v>
      </c>
      <c r="X243" s="2" t="str">
        <f>Tab_Data_Flows[[#This Row],[UoM_Source]]</f>
        <v>Mg</v>
      </c>
      <c r="Y243" s="19">
        <f>_xlfn.XLOOKUP(Tab_Data_Flows[[#This Row],[Flow_Name]],Tab_Def_Flows[Flow_Name],Tab_Def_Flows[Flow_E2_Fraction'[%']],"N.A.",0,1)</f>
        <v>0</v>
      </c>
      <c r="Z243" s="2">
        <f>IF(D243="Yes",W243*Tab_Data_Flows[[#This Row],[E2_Fraction'[%']]],"N.A.")</f>
        <v>0</v>
      </c>
      <c r="AA243" s="2" t="str">
        <f>Tab_Data_Flows[[#This Row],[E1_UoM]]</f>
        <v>Mg</v>
      </c>
      <c r="AB243" s="19">
        <f>_xlfn.XLOOKUP(Tab_Data_Flows[[#This Row],[Flow_Name]],Tab_Def_Flows[Flow_Name],Tab_Def_Flows[Flow_E3_Fraction'[%']],"N.A.",0,1)</f>
        <v>0</v>
      </c>
      <c r="AC243" s="2">
        <f>IF(E243="Yes",AB243*Tab_Data_Flows[[#This Row],[E1_value]],"N.A.")</f>
        <v>0</v>
      </c>
      <c r="AD243" s="2" t="str">
        <f>Tab_Data_Flows[[#This Row],[E1_UoM]]</f>
        <v>Mg</v>
      </c>
      <c r="AE243" s="19">
        <f>_xlfn.XLOOKUP(Tab_Data_Flows[[#This Row],[Flow_Name]],Tab_Def_Flows[Flow_Name],Tab_Def_Flows[Flow_E4_Fraction'[%']],"N.A.",0,1)</f>
        <v>0</v>
      </c>
      <c r="AF243" s="2">
        <f>IF(H243="Yes",Tab_Data_Flows[[#This Row],[E4_Fraction'[%']]]*Tab_Data_Flows[[#This Row],[E1_value]],"N.A.")</f>
        <v>0</v>
      </c>
      <c r="AG243" s="2" t="str">
        <f>Tab_Data_Flows[[#This Row],[E1_UoM]]</f>
        <v>Mg</v>
      </c>
      <c r="AH243" s="2">
        <f>_xlfn.XLOOKUP(Tab_Data_Flows[[#This Row],[Flow_Name]],Tab_Def_Flows[Flow_Name],Tab_Def_Flows[Flow_E5_Fraction'[%']],"N.A.",0,1)</f>
        <v>0</v>
      </c>
      <c r="AI243" s="2">
        <f>IF(H243="Yes",Tab_Data_Flows[[#This Row],[E5_Fraction'[%']]]*Tab_Data_Flows[[#This Row],[E1_value]],"N.A.")</f>
        <v>0</v>
      </c>
      <c r="AJ243" s="2" t="str">
        <f>Tab_Data_Flows[[#This Row],[E1_UoM]]</f>
        <v>Mg</v>
      </c>
      <c r="AK243" s="19">
        <f>_xlfn.XLOOKUP(Tab_Data_Flows[[#This Row],[Flow_Name]],Tab_Def_Flows[Flow_Name],Tab_Def_Flows[Flow_E6_Fraction'[%']],"N.A.",0,1)</f>
        <v>0</v>
      </c>
      <c r="AL243" s="2">
        <f>IF(Tab_Data_Flows[[#This Row],[Use_E6]]="Yes",Tab_Data_Flows[[#This Row],[E6_Fraction'[%']]]*Tab_Data_Flows[[#This Row],[E1_value]],"N.A.")</f>
        <v>0</v>
      </c>
      <c r="AM243" s="2" t="str">
        <f>Tab_Data_Flows[[#This Row],[E1_UoM]]</f>
        <v>Mg</v>
      </c>
    </row>
    <row r="244" spans="1:39" x14ac:dyDescent="0.25">
      <c r="A244" s="4">
        <f t="shared" si="7"/>
        <v>243</v>
      </c>
      <c r="B244" s="2" t="str">
        <f>_xlfn.XLOOKUP(C244,Tab_Def_Flows[Flow_Name],Tab_Def_Flows[Flow_ID],,0,)</f>
        <v>F__</v>
      </c>
      <c r="C244" s="18" t="s">
        <v>5</v>
      </c>
      <c r="D244" s="5" t="str">
        <f>_xlfn.XLOOKUP(C244,Tab_Def_Flows[Flow_Name],Tab_Def_Flows[Use_E1],,0,)</f>
        <v>Yes</v>
      </c>
      <c r="E244" s="5" t="str">
        <f>_xlfn.XLOOKUP(C244,Tab_Def_Flows[Flow_Name],Tab_Def_Flows[Use_E2],,0,)</f>
        <v>Yes</v>
      </c>
      <c r="F244" s="5" t="str">
        <f>_xlfn.XLOOKUP(C244,Tab_Def_Flows[Flow_Name],Tab_Def_Flows[Use_E3],,0,)</f>
        <v>Yes</v>
      </c>
      <c r="G244" s="5" t="str">
        <f>_xlfn.XLOOKUP(C244,Tab_Def_Flows[Flow_Name],Tab_Def_Flows[Use_E4],,0,)</f>
        <v>Yes</v>
      </c>
      <c r="H244" s="5" t="str">
        <f>_xlfn.XLOOKUP(C244,Tab_Def_Flows[Flow_Name],Tab_Def_Flows[Use_E5],,0,)</f>
        <v>Yes</v>
      </c>
      <c r="I244" s="5" t="str">
        <f>_xlfn.XLOOKUP(C244,Tab_Def_Flows[Flow_Name],Tab_Def_Flows[Use_E6],,0,)</f>
        <v>Yes</v>
      </c>
      <c r="J244" s="3"/>
      <c r="K244" s="3"/>
      <c r="L244" s="2" t="str">
        <f>'0_Configuration'!$C$41</f>
        <v>Mg</v>
      </c>
      <c r="M244" s="9"/>
      <c r="N244" s="9"/>
      <c r="O244" s="9"/>
      <c r="P244" s="9"/>
      <c r="Q244" s="18" t="s">
        <v>3</v>
      </c>
      <c r="R244" s="10"/>
      <c r="S244" s="3"/>
      <c r="T244" s="9"/>
      <c r="U244" s="9"/>
      <c r="V244" s="2">
        <f>_xlfn.XLOOKUP(Tab_Data_Flows[[#This Row],[Flow_Name]],Tab_Def_Flows[Flow_Name],Tab_Def_Flows[Flow_E1_Fraction'[%']],"N.A.",0,1)</f>
        <v>0</v>
      </c>
      <c r="W244" s="8">
        <f t="shared" si="6"/>
        <v>0</v>
      </c>
      <c r="X244" s="2" t="str">
        <f>Tab_Data_Flows[[#This Row],[UoM_Source]]</f>
        <v>Mg</v>
      </c>
      <c r="Y244" s="19">
        <f>_xlfn.XLOOKUP(Tab_Data_Flows[[#This Row],[Flow_Name]],Tab_Def_Flows[Flow_Name],Tab_Def_Flows[Flow_E2_Fraction'[%']],"N.A.",0,1)</f>
        <v>0</v>
      </c>
      <c r="Z244" s="2">
        <f>IF(D244="Yes",W244*Tab_Data_Flows[[#This Row],[E2_Fraction'[%']]],"N.A.")</f>
        <v>0</v>
      </c>
      <c r="AA244" s="2" t="str">
        <f>Tab_Data_Flows[[#This Row],[E1_UoM]]</f>
        <v>Mg</v>
      </c>
      <c r="AB244" s="19">
        <f>_xlfn.XLOOKUP(Tab_Data_Flows[[#This Row],[Flow_Name]],Tab_Def_Flows[Flow_Name],Tab_Def_Flows[Flow_E3_Fraction'[%']],"N.A.",0,1)</f>
        <v>0</v>
      </c>
      <c r="AC244" s="2">
        <f>IF(E244="Yes",AB244*Tab_Data_Flows[[#This Row],[E1_value]],"N.A.")</f>
        <v>0</v>
      </c>
      <c r="AD244" s="2" t="str">
        <f>Tab_Data_Flows[[#This Row],[E1_UoM]]</f>
        <v>Mg</v>
      </c>
      <c r="AE244" s="19">
        <f>_xlfn.XLOOKUP(Tab_Data_Flows[[#This Row],[Flow_Name]],Tab_Def_Flows[Flow_Name],Tab_Def_Flows[Flow_E4_Fraction'[%']],"N.A.",0,1)</f>
        <v>0</v>
      </c>
      <c r="AF244" s="2">
        <f>IF(H244="Yes",Tab_Data_Flows[[#This Row],[E4_Fraction'[%']]]*Tab_Data_Flows[[#This Row],[E1_value]],"N.A.")</f>
        <v>0</v>
      </c>
      <c r="AG244" s="2" t="str">
        <f>Tab_Data_Flows[[#This Row],[E1_UoM]]</f>
        <v>Mg</v>
      </c>
      <c r="AH244" s="2">
        <f>_xlfn.XLOOKUP(Tab_Data_Flows[[#This Row],[Flow_Name]],Tab_Def_Flows[Flow_Name],Tab_Def_Flows[Flow_E5_Fraction'[%']],"N.A.",0,1)</f>
        <v>0</v>
      </c>
      <c r="AI244" s="2">
        <f>IF(H244="Yes",Tab_Data_Flows[[#This Row],[E5_Fraction'[%']]]*Tab_Data_Flows[[#This Row],[E1_value]],"N.A.")</f>
        <v>0</v>
      </c>
      <c r="AJ244" s="2" t="str">
        <f>Tab_Data_Flows[[#This Row],[E1_UoM]]</f>
        <v>Mg</v>
      </c>
      <c r="AK244" s="19">
        <f>_xlfn.XLOOKUP(Tab_Data_Flows[[#This Row],[Flow_Name]],Tab_Def_Flows[Flow_Name],Tab_Def_Flows[Flow_E6_Fraction'[%']],"N.A.",0,1)</f>
        <v>0</v>
      </c>
      <c r="AL244" s="2">
        <f>IF(Tab_Data_Flows[[#This Row],[Use_E6]]="Yes",Tab_Data_Flows[[#This Row],[E6_Fraction'[%']]]*Tab_Data_Flows[[#This Row],[E1_value]],"N.A.")</f>
        <v>0</v>
      </c>
      <c r="AM244" s="2" t="str">
        <f>Tab_Data_Flows[[#This Row],[E1_UoM]]</f>
        <v>Mg</v>
      </c>
    </row>
    <row r="245" spans="1:39" x14ac:dyDescent="0.25">
      <c r="A245" s="4">
        <f t="shared" si="7"/>
        <v>244</v>
      </c>
      <c r="B245" s="2" t="str">
        <f>_xlfn.XLOOKUP(C245,Tab_Def_Flows[Flow_Name],Tab_Def_Flows[Flow_ID],,0,)</f>
        <v>F__</v>
      </c>
      <c r="C245" s="18" t="s">
        <v>5</v>
      </c>
      <c r="D245" s="5" t="str">
        <f>_xlfn.XLOOKUP(C245,Tab_Def_Flows[Flow_Name],Tab_Def_Flows[Use_E1],,0,)</f>
        <v>Yes</v>
      </c>
      <c r="E245" s="5" t="str">
        <f>_xlfn.XLOOKUP(C245,Tab_Def_Flows[Flow_Name],Tab_Def_Flows[Use_E2],,0,)</f>
        <v>Yes</v>
      </c>
      <c r="F245" s="5" t="str">
        <f>_xlfn.XLOOKUP(C245,Tab_Def_Flows[Flow_Name],Tab_Def_Flows[Use_E3],,0,)</f>
        <v>Yes</v>
      </c>
      <c r="G245" s="5" t="str">
        <f>_xlfn.XLOOKUP(C245,Tab_Def_Flows[Flow_Name],Tab_Def_Flows[Use_E4],,0,)</f>
        <v>Yes</v>
      </c>
      <c r="H245" s="5" t="str">
        <f>_xlfn.XLOOKUP(C245,Tab_Def_Flows[Flow_Name],Tab_Def_Flows[Use_E5],,0,)</f>
        <v>Yes</v>
      </c>
      <c r="I245" s="5" t="str">
        <f>_xlfn.XLOOKUP(C245,Tab_Def_Flows[Flow_Name],Tab_Def_Flows[Use_E6],,0,)</f>
        <v>Yes</v>
      </c>
      <c r="J245" s="3"/>
      <c r="K245" s="3"/>
      <c r="L245" s="2" t="str">
        <f>'0_Configuration'!$C$41</f>
        <v>Mg</v>
      </c>
      <c r="M245" s="9"/>
      <c r="N245" s="9"/>
      <c r="O245" s="9"/>
      <c r="P245" s="9"/>
      <c r="Q245" s="18" t="s">
        <v>3</v>
      </c>
      <c r="R245" s="10"/>
      <c r="S245" s="3"/>
      <c r="T245" s="9"/>
      <c r="U245" s="9"/>
      <c r="V245" s="2">
        <f>_xlfn.XLOOKUP(Tab_Data_Flows[[#This Row],[Flow_Name]],Tab_Def_Flows[Flow_Name],Tab_Def_Flows[Flow_E1_Fraction'[%']],"N.A.",0,1)</f>
        <v>0</v>
      </c>
      <c r="W245" s="8">
        <f t="shared" si="6"/>
        <v>0</v>
      </c>
      <c r="X245" s="2" t="str">
        <f>Tab_Data_Flows[[#This Row],[UoM_Source]]</f>
        <v>Mg</v>
      </c>
      <c r="Y245" s="19">
        <f>_xlfn.XLOOKUP(Tab_Data_Flows[[#This Row],[Flow_Name]],Tab_Def_Flows[Flow_Name],Tab_Def_Flows[Flow_E2_Fraction'[%']],"N.A.",0,1)</f>
        <v>0</v>
      </c>
      <c r="Z245" s="2">
        <f>IF(D245="Yes",W245*Tab_Data_Flows[[#This Row],[E2_Fraction'[%']]],"N.A.")</f>
        <v>0</v>
      </c>
      <c r="AA245" s="2" t="str">
        <f>Tab_Data_Flows[[#This Row],[E1_UoM]]</f>
        <v>Mg</v>
      </c>
      <c r="AB245" s="19">
        <f>_xlfn.XLOOKUP(Tab_Data_Flows[[#This Row],[Flow_Name]],Tab_Def_Flows[Flow_Name],Tab_Def_Flows[Flow_E3_Fraction'[%']],"N.A.",0,1)</f>
        <v>0</v>
      </c>
      <c r="AC245" s="2">
        <f>IF(E245="Yes",AB245*Tab_Data_Flows[[#This Row],[E1_value]],"N.A.")</f>
        <v>0</v>
      </c>
      <c r="AD245" s="2" t="str">
        <f>Tab_Data_Flows[[#This Row],[E1_UoM]]</f>
        <v>Mg</v>
      </c>
      <c r="AE245" s="19">
        <f>_xlfn.XLOOKUP(Tab_Data_Flows[[#This Row],[Flow_Name]],Tab_Def_Flows[Flow_Name],Tab_Def_Flows[Flow_E4_Fraction'[%']],"N.A.",0,1)</f>
        <v>0</v>
      </c>
      <c r="AF245" s="2">
        <f>IF(H245="Yes",Tab_Data_Flows[[#This Row],[E4_Fraction'[%']]]*Tab_Data_Flows[[#This Row],[E1_value]],"N.A.")</f>
        <v>0</v>
      </c>
      <c r="AG245" s="2" t="str">
        <f>Tab_Data_Flows[[#This Row],[E1_UoM]]</f>
        <v>Mg</v>
      </c>
      <c r="AH245" s="2">
        <f>_xlfn.XLOOKUP(Tab_Data_Flows[[#This Row],[Flow_Name]],Tab_Def_Flows[Flow_Name],Tab_Def_Flows[Flow_E5_Fraction'[%']],"N.A.",0,1)</f>
        <v>0</v>
      </c>
      <c r="AI245" s="2">
        <f>IF(H245="Yes",Tab_Data_Flows[[#This Row],[E5_Fraction'[%']]]*Tab_Data_Flows[[#This Row],[E1_value]],"N.A.")</f>
        <v>0</v>
      </c>
      <c r="AJ245" s="2" t="str">
        <f>Tab_Data_Flows[[#This Row],[E1_UoM]]</f>
        <v>Mg</v>
      </c>
      <c r="AK245" s="19">
        <f>_xlfn.XLOOKUP(Tab_Data_Flows[[#This Row],[Flow_Name]],Tab_Def_Flows[Flow_Name],Tab_Def_Flows[Flow_E6_Fraction'[%']],"N.A.",0,1)</f>
        <v>0</v>
      </c>
      <c r="AL245" s="2">
        <f>IF(Tab_Data_Flows[[#This Row],[Use_E6]]="Yes",Tab_Data_Flows[[#This Row],[E6_Fraction'[%']]]*Tab_Data_Flows[[#This Row],[E1_value]],"N.A.")</f>
        <v>0</v>
      </c>
      <c r="AM245" s="2" t="str">
        <f>Tab_Data_Flows[[#This Row],[E1_UoM]]</f>
        <v>Mg</v>
      </c>
    </row>
    <row r="246" spans="1:39" x14ac:dyDescent="0.25">
      <c r="A246" s="4">
        <f t="shared" si="7"/>
        <v>245</v>
      </c>
      <c r="B246" s="2" t="str">
        <f>_xlfn.XLOOKUP(C246,Tab_Def_Flows[Flow_Name],Tab_Def_Flows[Flow_ID],,0,)</f>
        <v>F__</v>
      </c>
      <c r="C246" s="18" t="s">
        <v>5</v>
      </c>
      <c r="D246" s="5" t="str">
        <f>_xlfn.XLOOKUP(C246,Tab_Def_Flows[Flow_Name],Tab_Def_Flows[Use_E1],,0,)</f>
        <v>Yes</v>
      </c>
      <c r="E246" s="5" t="str">
        <f>_xlfn.XLOOKUP(C246,Tab_Def_Flows[Flow_Name],Tab_Def_Flows[Use_E2],,0,)</f>
        <v>Yes</v>
      </c>
      <c r="F246" s="5" t="str">
        <f>_xlfn.XLOOKUP(C246,Tab_Def_Flows[Flow_Name],Tab_Def_Flows[Use_E3],,0,)</f>
        <v>Yes</v>
      </c>
      <c r="G246" s="5" t="str">
        <f>_xlfn.XLOOKUP(C246,Tab_Def_Flows[Flow_Name],Tab_Def_Flows[Use_E4],,0,)</f>
        <v>Yes</v>
      </c>
      <c r="H246" s="5" t="str">
        <f>_xlfn.XLOOKUP(C246,Tab_Def_Flows[Flow_Name],Tab_Def_Flows[Use_E5],,0,)</f>
        <v>Yes</v>
      </c>
      <c r="I246" s="5" t="str">
        <f>_xlfn.XLOOKUP(C246,Tab_Def_Flows[Flow_Name],Tab_Def_Flows[Use_E6],,0,)</f>
        <v>Yes</v>
      </c>
      <c r="J246" s="3"/>
      <c r="K246" s="3"/>
      <c r="L246" s="2" t="str">
        <f>'0_Configuration'!$C$41</f>
        <v>Mg</v>
      </c>
      <c r="M246" s="9"/>
      <c r="N246" s="9"/>
      <c r="O246" s="9"/>
      <c r="P246" s="9"/>
      <c r="Q246" s="18" t="s">
        <v>3</v>
      </c>
      <c r="R246" s="10"/>
      <c r="S246" s="3"/>
      <c r="T246" s="9"/>
      <c r="U246" s="9"/>
      <c r="V246" s="2">
        <f>_xlfn.XLOOKUP(Tab_Data_Flows[[#This Row],[Flow_Name]],Tab_Def_Flows[Flow_Name],Tab_Def_Flows[Flow_E1_Fraction'[%']],"N.A.",0,1)</f>
        <v>0</v>
      </c>
      <c r="W246" s="8">
        <f t="shared" si="6"/>
        <v>0</v>
      </c>
      <c r="X246" s="2" t="str">
        <f>Tab_Data_Flows[[#This Row],[UoM_Source]]</f>
        <v>Mg</v>
      </c>
      <c r="Y246" s="19">
        <f>_xlfn.XLOOKUP(Tab_Data_Flows[[#This Row],[Flow_Name]],Tab_Def_Flows[Flow_Name],Tab_Def_Flows[Flow_E2_Fraction'[%']],"N.A.",0,1)</f>
        <v>0</v>
      </c>
      <c r="Z246" s="2">
        <f>IF(D246="Yes",W246*Tab_Data_Flows[[#This Row],[E2_Fraction'[%']]],"N.A.")</f>
        <v>0</v>
      </c>
      <c r="AA246" s="2" t="str">
        <f>Tab_Data_Flows[[#This Row],[E1_UoM]]</f>
        <v>Mg</v>
      </c>
      <c r="AB246" s="19">
        <f>_xlfn.XLOOKUP(Tab_Data_Flows[[#This Row],[Flow_Name]],Tab_Def_Flows[Flow_Name],Tab_Def_Flows[Flow_E3_Fraction'[%']],"N.A.",0,1)</f>
        <v>0</v>
      </c>
      <c r="AC246" s="2">
        <f>IF(E246="Yes",AB246*Tab_Data_Flows[[#This Row],[E1_value]],"N.A.")</f>
        <v>0</v>
      </c>
      <c r="AD246" s="2" t="str">
        <f>Tab_Data_Flows[[#This Row],[E1_UoM]]</f>
        <v>Mg</v>
      </c>
      <c r="AE246" s="19">
        <f>_xlfn.XLOOKUP(Tab_Data_Flows[[#This Row],[Flow_Name]],Tab_Def_Flows[Flow_Name],Tab_Def_Flows[Flow_E4_Fraction'[%']],"N.A.",0,1)</f>
        <v>0</v>
      </c>
      <c r="AF246" s="2">
        <f>IF(H246="Yes",Tab_Data_Flows[[#This Row],[E4_Fraction'[%']]]*Tab_Data_Flows[[#This Row],[E1_value]],"N.A.")</f>
        <v>0</v>
      </c>
      <c r="AG246" s="2" t="str">
        <f>Tab_Data_Flows[[#This Row],[E1_UoM]]</f>
        <v>Mg</v>
      </c>
      <c r="AH246" s="2">
        <f>_xlfn.XLOOKUP(Tab_Data_Flows[[#This Row],[Flow_Name]],Tab_Def_Flows[Flow_Name],Tab_Def_Flows[Flow_E5_Fraction'[%']],"N.A.",0,1)</f>
        <v>0</v>
      </c>
      <c r="AI246" s="2">
        <f>IF(H246="Yes",Tab_Data_Flows[[#This Row],[E5_Fraction'[%']]]*Tab_Data_Flows[[#This Row],[E1_value]],"N.A.")</f>
        <v>0</v>
      </c>
      <c r="AJ246" s="2" t="str">
        <f>Tab_Data_Flows[[#This Row],[E1_UoM]]</f>
        <v>Mg</v>
      </c>
      <c r="AK246" s="19">
        <f>_xlfn.XLOOKUP(Tab_Data_Flows[[#This Row],[Flow_Name]],Tab_Def_Flows[Flow_Name],Tab_Def_Flows[Flow_E6_Fraction'[%']],"N.A.",0,1)</f>
        <v>0</v>
      </c>
      <c r="AL246" s="2">
        <f>IF(Tab_Data_Flows[[#This Row],[Use_E6]]="Yes",Tab_Data_Flows[[#This Row],[E6_Fraction'[%']]]*Tab_Data_Flows[[#This Row],[E1_value]],"N.A.")</f>
        <v>0</v>
      </c>
      <c r="AM246" s="2" t="str">
        <f>Tab_Data_Flows[[#This Row],[E1_UoM]]</f>
        <v>Mg</v>
      </c>
    </row>
    <row r="247" spans="1:39" x14ac:dyDescent="0.25">
      <c r="A247" s="4">
        <f t="shared" si="7"/>
        <v>246</v>
      </c>
      <c r="B247" s="2" t="str">
        <f>_xlfn.XLOOKUP(C247,Tab_Def_Flows[Flow_Name],Tab_Def_Flows[Flow_ID],,0,)</f>
        <v>F__</v>
      </c>
      <c r="C247" s="18" t="s">
        <v>5</v>
      </c>
      <c r="D247" s="5" t="str">
        <f>_xlfn.XLOOKUP(C247,Tab_Def_Flows[Flow_Name],Tab_Def_Flows[Use_E1],,0,)</f>
        <v>Yes</v>
      </c>
      <c r="E247" s="5" t="str">
        <f>_xlfn.XLOOKUP(C247,Tab_Def_Flows[Flow_Name],Tab_Def_Flows[Use_E2],,0,)</f>
        <v>Yes</v>
      </c>
      <c r="F247" s="5" t="str">
        <f>_xlfn.XLOOKUP(C247,Tab_Def_Flows[Flow_Name],Tab_Def_Flows[Use_E3],,0,)</f>
        <v>Yes</v>
      </c>
      <c r="G247" s="5" t="str">
        <f>_xlfn.XLOOKUP(C247,Tab_Def_Flows[Flow_Name],Tab_Def_Flows[Use_E4],,0,)</f>
        <v>Yes</v>
      </c>
      <c r="H247" s="5" t="str">
        <f>_xlfn.XLOOKUP(C247,Tab_Def_Flows[Flow_Name],Tab_Def_Flows[Use_E5],,0,)</f>
        <v>Yes</v>
      </c>
      <c r="I247" s="5" t="str">
        <f>_xlfn.XLOOKUP(C247,Tab_Def_Flows[Flow_Name],Tab_Def_Flows[Use_E6],,0,)</f>
        <v>Yes</v>
      </c>
      <c r="J247" s="3"/>
      <c r="K247" s="3"/>
      <c r="L247" s="2" t="str">
        <f>'0_Configuration'!$C$41</f>
        <v>Mg</v>
      </c>
      <c r="M247" s="9"/>
      <c r="N247" s="9"/>
      <c r="O247" s="9"/>
      <c r="P247" s="9"/>
      <c r="Q247" s="18" t="s">
        <v>3</v>
      </c>
      <c r="R247" s="10"/>
      <c r="S247" s="3"/>
      <c r="T247" s="9"/>
      <c r="U247" s="9"/>
      <c r="V247" s="2">
        <f>_xlfn.XLOOKUP(Tab_Data_Flows[[#This Row],[Flow_Name]],Tab_Def_Flows[Flow_Name],Tab_Def_Flows[Flow_E1_Fraction'[%']],"N.A.",0,1)</f>
        <v>0</v>
      </c>
      <c r="W247" s="8">
        <f t="shared" si="6"/>
        <v>0</v>
      </c>
      <c r="X247" s="2" t="str">
        <f>Tab_Data_Flows[[#This Row],[UoM_Source]]</f>
        <v>Mg</v>
      </c>
      <c r="Y247" s="19">
        <f>_xlfn.XLOOKUP(Tab_Data_Flows[[#This Row],[Flow_Name]],Tab_Def_Flows[Flow_Name],Tab_Def_Flows[Flow_E2_Fraction'[%']],"N.A.",0,1)</f>
        <v>0</v>
      </c>
      <c r="Z247" s="2">
        <f>IF(D247="Yes",W247*Tab_Data_Flows[[#This Row],[E2_Fraction'[%']]],"N.A.")</f>
        <v>0</v>
      </c>
      <c r="AA247" s="2" t="str">
        <f>Tab_Data_Flows[[#This Row],[E1_UoM]]</f>
        <v>Mg</v>
      </c>
      <c r="AB247" s="19">
        <f>_xlfn.XLOOKUP(Tab_Data_Flows[[#This Row],[Flow_Name]],Tab_Def_Flows[Flow_Name],Tab_Def_Flows[Flow_E3_Fraction'[%']],"N.A.",0,1)</f>
        <v>0</v>
      </c>
      <c r="AC247" s="2">
        <f>IF(E247="Yes",AB247*Tab_Data_Flows[[#This Row],[E1_value]],"N.A.")</f>
        <v>0</v>
      </c>
      <c r="AD247" s="2" t="str">
        <f>Tab_Data_Flows[[#This Row],[E1_UoM]]</f>
        <v>Mg</v>
      </c>
      <c r="AE247" s="19">
        <f>_xlfn.XLOOKUP(Tab_Data_Flows[[#This Row],[Flow_Name]],Tab_Def_Flows[Flow_Name],Tab_Def_Flows[Flow_E4_Fraction'[%']],"N.A.",0,1)</f>
        <v>0</v>
      </c>
      <c r="AF247" s="2">
        <f>IF(H247="Yes",Tab_Data_Flows[[#This Row],[E4_Fraction'[%']]]*Tab_Data_Flows[[#This Row],[E1_value]],"N.A.")</f>
        <v>0</v>
      </c>
      <c r="AG247" s="2" t="str">
        <f>Tab_Data_Flows[[#This Row],[E1_UoM]]</f>
        <v>Mg</v>
      </c>
      <c r="AH247" s="2">
        <f>_xlfn.XLOOKUP(Tab_Data_Flows[[#This Row],[Flow_Name]],Tab_Def_Flows[Flow_Name],Tab_Def_Flows[Flow_E5_Fraction'[%']],"N.A.",0,1)</f>
        <v>0</v>
      </c>
      <c r="AI247" s="2">
        <f>IF(H247="Yes",Tab_Data_Flows[[#This Row],[E5_Fraction'[%']]]*Tab_Data_Flows[[#This Row],[E1_value]],"N.A.")</f>
        <v>0</v>
      </c>
      <c r="AJ247" s="2" t="str">
        <f>Tab_Data_Flows[[#This Row],[E1_UoM]]</f>
        <v>Mg</v>
      </c>
      <c r="AK247" s="19">
        <f>_xlfn.XLOOKUP(Tab_Data_Flows[[#This Row],[Flow_Name]],Tab_Def_Flows[Flow_Name],Tab_Def_Flows[Flow_E6_Fraction'[%']],"N.A.",0,1)</f>
        <v>0</v>
      </c>
      <c r="AL247" s="2">
        <f>IF(Tab_Data_Flows[[#This Row],[Use_E6]]="Yes",Tab_Data_Flows[[#This Row],[E6_Fraction'[%']]]*Tab_Data_Flows[[#This Row],[E1_value]],"N.A.")</f>
        <v>0</v>
      </c>
      <c r="AM247" s="2" t="str">
        <f>Tab_Data_Flows[[#This Row],[E1_UoM]]</f>
        <v>Mg</v>
      </c>
    </row>
    <row r="248" spans="1:39" x14ac:dyDescent="0.25">
      <c r="A248" s="4">
        <f t="shared" si="7"/>
        <v>247</v>
      </c>
      <c r="B248" s="2" t="str">
        <f>_xlfn.XLOOKUP(C248,Tab_Def_Flows[Flow_Name],Tab_Def_Flows[Flow_ID],,0,)</f>
        <v>F__</v>
      </c>
      <c r="C248" s="18" t="s">
        <v>5</v>
      </c>
      <c r="D248" s="5" t="str">
        <f>_xlfn.XLOOKUP(C248,Tab_Def_Flows[Flow_Name],Tab_Def_Flows[Use_E1],,0,)</f>
        <v>Yes</v>
      </c>
      <c r="E248" s="5" t="str">
        <f>_xlfn.XLOOKUP(C248,Tab_Def_Flows[Flow_Name],Tab_Def_Flows[Use_E2],,0,)</f>
        <v>Yes</v>
      </c>
      <c r="F248" s="5" t="str">
        <f>_xlfn.XLOOKUP(C248,Tab_Def_Flows[Flow_Name],Tab_Def_Flows[Use_E3],,0,)</f>
        <v>Yes</v>
      </c>
      <c r="G248" s="5" t="str">
        <f>_xlfn.XLOOKUP(C248,Tab_Def_Flows[Flow_Name],Tab_Def_Flows[Use_E4],,0,)</f>
        <v>Yes</v>
      </c>
      <c r="H248" s="5" t="str">
        <f>_xlfn.XLOOKUP(C248,Tab_Def_Flows[Flow_Name],Tab_Def_Flows[Use_E5],,0,)</f>
        <v>Yes</v>
      </c>
      <c r="I248" s="5" t="str">
        <f>_xlfn.XLOOKUP(C248,Tab_Def_Flows[Flow_Name],Tab_Def_Flows[Use_E6],,0,)</f>
        <v>Yes</v>
      </c>
      <c r="J248" s="3"/>
      <c r="K248" s="3"/>
      <c r="L248" s="2" t="str">
        <f>'0_Configuration'!$C$41</f>
        <v>Mg</v>
      </c>
      <c r="M248" s="9"/>
      <c r="N248" s="9"/>
      <c r="O248" s="9"/>
      <c r="P248" s="9"/>
      <c r="Q248" s="18" t="s">
        <v>3</v>
      </c>
      <c r="R248" s="10"/>
      <c r="S248" s="3"/>
      <c r="T248" s="9"/>
      <c r="U248" s="9"/>
      <c r="V248" s="2">
        <f>_xlfn.XLOOKUP(Tab_Data_Flows[[#This Row],[Flow_Name]],Tab_Def_Flows[Flow_Name],Tab_Def_Flows[Flow_E1_Fraction'[%']],"N.A.",0,1)</f>
        <v>0</v>
      </c>
      <c r="W248" s="8">
        <f t="shared" si="6"/>
        <v>0</v>
      </c>
      <c r="X248" s="2" t="str">
        <f>Tab_Data_Flows[[#This Row],[UoM_Source]]</f>
        <v>Mg</v>
      </c>
      <c r="Y248" s="19">
        <f>_xlfn.XLOOKUP(Tab_Data_Flows[[#This Row],[Flow_Name]],Tab_Def_Flows[Flow_Name],Tab_Def_Flows[Flow_E2_Fraction'[%']],"N.A.",0,1)</f>
        <v>0</v>
      </c>
      <c r="Z248" s="2">
        <f>IF(D248="Yes",W248*Tab_Data_Flows[[#This Row],[E2_Fraction'[%']]],"N.A.")</f>
        <v>0</v>
      </c>
      <c r="AA248" s="2" t="str">
        <f>Tab_Data_Flows[[#This Row],[E1_UoM]]</f>
        <v>Mg</v>
      </c>
      <c r="AB248" s="19">
        <f>_xlfn.XLOOKUP(Tab_Data_Flows[[#This Row],[Flow_Name]],Tab_Def_Flows[Flow_Name],Tab_Def_Flows[Flow_E3_Fraction'[%']],"N.A.",0,1)</f>
        <v>0</v>
      </c>
      <c r="AC248" s="2">
        <f>IF(E248="Yes",AB248*Tab_Data_Flows[[#This Row],[E1_value]],"N.A.")</f>
        <v>0</v>
      </c>
      <c r="AD248" s="2" t="str">
        <f>Tab_Data_Flows[[#This Row],[E1_UoM]]</f>
        <v>Mg</v>
      </c>
      <c r="AE248" s="19">
        <f>_xlfn.XLOOKUP(Tab_Data_Flows[[#This Row],[Flow_Name]],Tab_Def_Flows[Flow_Name],Tab_Def_Flows[Flow_E4_Fraction'[%']],"N.A.",0,1)</f>
        <v>0</v>
      </c>
      <c r="AF248" s="2">
        <f>IF(H248="Yes",Tab_Data_Flows[[#This Row],[E4_Fraction'[%']]]*Tab_Data_Flows[[#This Row],[E1_value]],"N.A.")</f>
        <v>0</v>
      </c>
      <c r="AG248" s="2" t="str">
        <f>Tab_Data_Flows[[#This Row],[E1_UoM]]</f>
        <v>Mg</v>
      </c>
      <c r="AH248" s="2">
        <f>_xlfn.XLOOKUP(Tab_Data_Flows[[#This Row],[Flow_Name]],Tab_Def_Flows[Flow_Name],Tab_Def_Flows[Flow_E5_Fraction'[%']],"N.A.",0,1)</f>
        <v>0</v>
      </c>
      <c r="AI248" s="2">
        <f>IF(H248="Yes",Tab_Data_Flows[[#This Row],[E5_Fraction'[%']]]*Tab_Data_Flows[[#This Row],[E1_value]],"N.A.")</f>
        <v>0</v>
      </c>
      <c r="AJ248" s="2" t="str">
        <f>Tab_Data_Flows[[#This Row],[E1_UoM]]</f>
        <v>Mg</v>
      </c>
      <c r="AK248" s="19">
        <f>_xlfn.XLOOKUP(Tab_Data_Flows[[#This Row],[Flow_Name]],Tab_Def_Flows[Flow_Name],Tab_Def_Flows[Flow_E6_Fraction'[%']],"N.A.",0,1)</f>
        <v>0</v>
      </c>
      <c r="AL248" s="2">
        <f>IF(Tab_Data_Flows[[#This Row],[Use_E6]]="Yes",Tab_Data_Flows[[#This Row],[E6_Fraction'[%']]]*Tab_Data_Flows[[#This Row],[E1_value]],"N.A.")</f>
        <v>0</v>
      </c>
      <c r="AM248" s="2" t="str">
        <f>Tab_Data_Flows[[#This Row],[E1_UoM]]</f>
        <v>Mg</v>
      </c>
    </row>
    <row r="249" spans="1:39" x14ac:dyDescent="0.25">
      <c r="A249" s="4">
        <f t="shared" si="7"/>
        <v>248</v>
      </c>
      <c r="B249" s="2" t="str">
        <f>_xlfn.XLOOKUP(C249,Tab_Def_Flows[Flow_Name],Tab_Def_Flows[Flow_ID],,0,)</f>
        <v>F__</v>
      </c>
      <c r="C249" s="18" t="s">
        <v>5</v>
      </c>
      <c r="D249" s="5" t="str">
        <f>_xlfn.XLOOKUP(C249,Tab_Def_Flows[Flow_Name],Tab_Def_Flows[Use_E1],,0,)</f>
        <v>Yes</v>
      </c>
      <c r="E249" s="5" t="str">
        <f>_xlfn.XLOOKUP(C249,Tab_Def_Flows[Flow_Name],Tab_Def_Flows[Use_E2],,0,)</f>
        <v>Yes</v>
      </c>
      <c r="F249" s="5" t="str">
        <f>_xlfn.XLOOKUP(C249,Tab_Def_Flows[Flow_Name],Tab_Def_Flows[Use_E3],,0,)</f>
        <v>Yes</v>
      </c>
      <c r="G249" s="5" t="str">
        <f>_xlfn.XLOOKUP(C249,Tab_Def_Flows[Flow_Name],Tab_Def_Flows[Use_E4],,0,)</f>
        <v>Yes</v>
      </c>
      <c r="H249" s="5" t="str">
        <f>_xlfn.XLOOKUP(C249,Tab_Def_Flows[Flow_Name],Tab_Def_Flows[Use_E5],,0,)</f>
        <v>Yes</v>
      </c>
      <c r="I249" s="5" t="str">
        <f>_xlfn.XLOOKUP(C249,Tab_Def_Flows[Flow_Name],Tab_Def_Flows[Use_E6],,0,)</f>
        <v>Yes</v>
      </c>
      <c r="J249" s="3"/>
      <c r="K249" s="3"/>
      <c r="L249" s="2" t="str">
        <f>'0_Configuration'!$C$41</f>
        <v>Mg</v>
      </c>
      <c r="M249" s="9"/>
      <c r="N249" s="9"/>
      <c r="O249" s="9"/>
      <c r="P249" s="9"/>
      <c r="Q249" s="18" t="s">
        <v>3</v>
      </c>
      <c r="R249" s="10"/>
      <c r="S249" s="3"/>
      <c r="T249" s="9"/>
      <c r="U249" s="9"/>
      <c r="V249" s="2">
        <f>_xlfn.XLOOKUP(Tab_Data_Flows[[#This Row],[Flow_Name]],Tab_Def_Flows[Flow_Name],Tab_Def_Flows[Flow_E1_Fraction'[%']],"N.A.",0,1)</f>
        <v>0</v>
      </c>
      <c r="W249" s="8">
        <f t="shared" si="6"/>
        <v>0</v>
      </c>
      <c r="X249" s="2" t="str">
        <f>Tab_Data_Flows[[#This Row],[UoM_Source]]</f>
        <v>Mg</v>
      </c>
      <c r="Y249" s="19">
        <f>_xlfn.XLOOKUP(Tab_Data_Flows[[#This Row],[Flow_Name]],Tab_Def_Flows[Flow_Name],Tab_Def_Flows[Flow_E2_Fraction'[%']],"N.A.",0,1)</f>
        <v>0</v>
      </c>
      <c r="Z249" s="2">
        <f>IF(D249="Yes",W249*Tab_Data_Flows[[#This Row],[E2_Fraction'[%']]],"N.A.")</f>
        <v>0</v>
      </c>
      <c r="AA249" s="2" t="str">
        <f>Tab_Data_Flows[[#This Row],[E1_UoM]]</f>
        <v>Mg</v>
      </c>
      <c r="AB249" s="19">
        <f>_xlfn.XLOOKUP(Tab_Data_Flows[[#This Row],[Flow_Name]],Tab_Def_Flows[Flow_Name],Tab_Def_Flows[Flow_E3_Fraction'[%']],"N.A.",0,1)</f>
        <v>0</v>
      </c>
      <c r="AC249" s="2">
        <f>IF(E249="Yes",AB249*Tab_Data_Flows[[#This Row],[E1_value]],"N.A.")</f>
        <v>0</v>
      </c>
      <c r="AD249" s="2" t="str">
        <f>Tab_Data_Flows[[#This Row],[E1_UoM]]</f>
        <v>Mg</v>
      </c>
      <c r="AE249" s="19">
        <f>_xlfn.XLOOKUP(Tab_Data_Flows[[#This Row],[Flow_Name]],Tab_Def_Flows[Flow_Name],Tab_Def_Flows[Flow_E4_Fraction'[%']],"N.A.",0,1)</f>
        <v>0</v>
      </c>
      <c r="AF249" s="2">
        <f>IF(H249="Yes",Tab_Data_Flows[[#This Row],[E4_Fraction'[%']]]*Tab_Data_Flows[[#This Row],[E1_value]],"N.A.")</f>
        <v>0</v>
      </c>
      <c r="AG249" s="2" t="str">
        <f>Tab_Data_Flows[[#This Row],[E1_UoM]]</f>
        <v>Mg</v>
      </c>
      <c r="AH249" s="2">
        <f>_xlfn.XLOOKUP(Tab_Data_Flows[[#This Row],[Flow_Name]],Tab_Def_Flows[Flow_Name],Tab_Def_Flows[Flow_E5_Fraction'[%']],"N.A.",0,1)</f>
        <v>0</v>
      </c>
      <c r="AI249" s="2">
        <f>IF(H249="Yes",Tab_Data_Flows[[#This Row],[E5_Fraction'[%']]]*Tab_Data_Flows[[#This Row],[E1_value]],"N.A.")</f>
        <v>0</v>
      </c>
      <c r="AJ249" s="2" t="str">
        <f>Tab_Data_Flows[[#This Row],[E1_UoM]]</f>
        <v>Mg</v>
      </c>
      <c r="AK249" s="19">
        <f>_xlfn.XLOOKUP(Tab_Data_Flows[[#This Row],[Flow_Name]],Tab_Def_Flows[Flow_Name],Tab_Def_Flows[Flow_E6_Fraction'[%']],"N.A.",0,1)</f>
        <v>0</v>
      </c>
      <c r="AL249" s="2">
        <f>IF(Tab_Data_Flows[[#This Row],[Use_E6]]="Yes",Tab_Data_Flows[[#This Row],[E6_Fraction'[%']]]*Tab_Data_Flows[[#This Row],[E1_value]],"N.A.")</f>
        <v>0</v>
      </c>
      <c r="AM249" s="2" t="str">
        <f>Tab_Data_Flows[[#This Row],[E1_UoM]]</f>
        <v>Mg</v>
      </c>
    </row>
    <row r="250" spans="1:39" x14ac:dyDescent="0.25">
      <c r="A250" s="4">
        <f t="shared" si="7"/>
        <v>249</v>
      </c>
      <c r="B250" s="2" t="str">
        <f>_xlfn.XLOOKUP(C250,Tab_Def_Flows[Flow_Name],Tab_Def_Flows[Flow_ID],,0,)</f>
        <v>F__</v>
      </c>
      <c r="C250" s="18" t="s">
        <v>5</v>
      </c>
      <c r="D250" s="5" t="str">
        <f>_xlfn.XLOOKUP(C250,Tab_Def_Flows[Flow_Name],Tab_Def_Flows[Use_E1],,0,)</f>
        <v>Yes</v>
      </c>
      <c r="E250" s="5" t="str">
        <f>_xlfn.XLOOKUP(C250,Tab_Def_Flows[Flow_Name],Tab_Def_Flows[Use_E2],,0,)</f>
        <v>Yes</v>
      </c>
      <c r="F250" s="5" t="str">
        <f>_xlfn.XLOOKUP(C250,Tab_Def_Flows[Flow_Name],Tab_Def_Flows[Use_E3],,0,)</f>
        <v>Yes</v>
      </c>
      <c r="G250" s="5" t="str">
        <f>_xlfn.XLOOKUP(C250,Tab_Def_Flows[Flow_Name],Tab_Def_Flows[Use_E4],,0,)</f>
        <v>Yes</v>
      </c>
      <c r="H250" s="5" t="str">
        <f>_xlfn.XLOOKUP(C250,Tab_Def_Flows[Flow_Name],Tab_Def_Flows[Use_E5],,0,)</f>
        <v>Yes</v>
      </c>
      <c r="I250" s="5" t="str">
        <f>_xlfn.XLOOKUP(C250,Tab_Def_Flows[Flow_Name],Tab_Def_Flows[Use_E6],,0,)</f>
        <v>Yes</v>
      </c>
      <c r="J250" s="3"/>
      <c r="K250" s="3"/>
      <c r="L250" s="2" t="str">
        <f>'0_Configuration'!$C$41</f>
        <v>Mg</v>
      </c>
      <c r="M250" s="9"/>
      <c r="N250" s="9"/>
      <c r="O250" s="9"/>
      <c r="P250" s="9"/>
      <c r="Q250" s="18" t="s">
        <v>3</v>
      </c>
      <c r="R250" s="10"/>
      <c r="S250" s="3"/>
      <c r="T250" s="9"/>
      <c r="U250" s="9"/>
      <c r="V250" s="2">
        <f>_xlfn.XLOOKUP(Tab_Data_Flows[[#This Row],[Flow_Name]],Tab_Def_Flows[Flow_Name],Tab_Def_Flows[Flow_E1_Fraction'[%']],"N.A.",0,1)</f>
        <v>0</v>
      </c>
      <c r="W250" s="8">
        <f t="shared" si="6"/>
        <v>0</v>
      </c>
      <c r="X250" s="2" t="str">
        <f>Tab_Data_Flows[[#This Row],[UoM_Source]]</f>
        <v>Mg</v>
      </c>
      <c r="Y250" s="19">
        <f>_xlfn.XLOOKUP(Tab_Data_Flows[[#This Row],[Flow_Name]],Tab_Def_Flows[Flow_Name],Tab_Def_Flows[Flow_E2_Fraction'[%']],"N.A.",0,1)</f>
        <v>0</v>
      </c>
      <c r="Z250" s="2">
        <f>IF(D250="Yes",W250*Tab_Data_Flows[[#This Row],[E2_Fraction'[%']]],"N.A.")</f>
        <v>0</v>
      </c>
      <c r="AA250" s="2" t="str">
        <f>Tab_Data_Flows[[#This Row],[E1_UoM]]</f>
        <v>Mg</v>
      </c>
      <c r="AB250" s="19">
        <f>_xlfn.XLOOKUP(Tab_Data_Flows[[#This Row],[Flow_Name]],Tab_Def_Flows[Flow_Name],Tab_Def_Flows[Flow_E3_Fraction'[%']],"N.A.",0,1)</f>
        <v>0</v>
      </c>
      <c r="AC250" s="2">
        <f>IF(E250="Yes",AB250*Tab_Data_Flows[[#This Row],[E1_value]],"N.A.")</f>
        <v>0</v>
      </c>
      <c r="AD250" s="2" t="str">
        <f>Tab_Data_Flows[[#This Row],[E1_UoM]]</f>
        <v>Mg</v>
      </c>
      <c r="AE250" s="19">
        <f>_xlfn.XLOOKUP(Tab_Data_Flows[[#This Row],[Flow_Name]],Tab_Def_Flows[Flow_Name],Tab_Def_Flows[Flow_E4_Fraction'[%']],"N.A.",0,1)</f>
        <v>0</v>
      </c>
      <c r="AF250" s="2">
        <f>IF(H250="Yes",Tab_Data_Flows[[#This Row],[E4_Fraction'[%']]]*Tab_Data_Flows[[#This Row],[E1_value]],"N.A.")</f>
        <v>0</v>
      </c>
      <c r="AG250" s="2" t="str">
        <f>Tab_Data_Flows[[#This Row],[E1_UoM]]</f>
        <v>Mg</v>
      </c>
      <c r="AH250" s="2">
        <f>_xlfn.XLOOKUP(Tab_Data_Flows[[#This Row],[Flow_Name]],Tab_Def_Flows[Flow_Name],Tab_Def_Flows[Flow_E5_Fraction'[%']],"N.A.",0,1)</f>
        <v>0</v>
      </c>
      <c r="AI250" s="2">
        <f>IF(H250="Yes",Tab_Data_Flows[[#This Row],[E5_Fraction'[%']]]*Tab_Data_Flows[[#This Row],[E1_value]],"N.A.")</f>
        <v>0</v>
      </c>
      <c r="AJ250" s="2" t="str">
        <f>Tab_Data_Flows[[#This Row],[E1_UoM]]</f>
        <v>Mg</v>
      </c>
      <c r="AK250" s="19">
        <f>_xlfn.XLOOKUP(Tab_Data_Flows[[#This Row],[Flow_Name]],Tab_Def_Flows[Flow_Name],Tab_Def_Flows[Flow_E6_Fraction'[%']],"N.A.",0,1)</f>
        <v>0</v>
      </c>
      <c r="AL250" s="2">
        <f>IF(Tab_Data_Flows[[#This Row],[Use_E6]]="Yes",Tab_Data_Flows[[#This Row],[E6_Fraction'[%']]]*Tab_Data_Flows[[#This Row],[E1_value]],"N.A.")</f>
        <v>0</v>
      </c>
      <c r="AM250" s="2" t="str">
        <f>Tab_Data_Flows[[#This Row],[E1_UoM]]</f>
        <v>Mg</v>
      </c>
    </row>
    <row r="251" spans="1:39" x14ac:dyDescent="0.25">
      <c r="A251" s="4">
        <f t="shared" si="7"/>
        <v>250</v>
      </c>
      <c r="B251" s="2" t="str">
        <f>_xlfn.XLOOKUP(C251,Tab_Def_Flows[Flow_Name],Tab_Def_Flows[Flow_ID],,0,)</f>
        <v>F__</v>
      </c>
      <c r="C251" s="18" t="s">
        <v>5</v>
      </c>
      <c r="D251" s="5" t="str">
        <f>_xlfn.XLOOKUP(C251,Tab_Def_Flows[Flow_Name],Tab_Def_Flows[Use_E1],,0,)</f>
        <v>Yes</v>
      </c>
      <c r="E251" s="5" t="str">
        <f>_xlfn.XLOOKUP(C251,Tab_Def_Flows[Flow_Name],Tab_Def_Flows[Use_E2],,0,)</f>
        <v>Yes</v>
      </c>
      <c r="F251" s="5" t="str">
        <f>_xlfn.XLOOKUP(C251,Tab_Def_Flows[Flow_Name],Tab_Def_Flows[Use_E3],,0,)</f>
        <v>Yes</v>
      </c>
      <c r="G251" s="5" t="str">
        <f>_xlfn.XLOOKUP(C251,Tab_Def_Flows[Flow_Name],Tab_Def_Flows[Use_E4],,0,)</f>
        <v>Yes</v>
      </c>
      <c r="H251" s="5" t="str">
        <f>_xlfn.XLOOKUP(C251,Tab_Def_Flows[Flow_Name],Tab_Def_Flows[Use_E5],,0,)</f>
        <v>Yes</v>
      </c>
      <c r="I251" s="5" t="str">
        <f>_xlfn.XLOOKUP(C251,Tab_Def_Flows[Flow_Name],Tab_Def_Flows[Use_E6],,0,)</f>
        <v>Yes</v>
      </c>
      <c r="J251" s="3"/>
      <c r="K251" s="3"/>
      <c r="L251" s="2" t="str">
        <f>'0_Configuration'!$C$41</f>
        <v>Mg</v>
      </c>
      <c r="M251" s="9"/>
      <c r="N251" s="9"/>
      <c r="O251" s="9"/>
      <c r="P251" s="9"/>
      <c r="Q251" s="18" t="s">
        <v>3</v>
      </c>
      <c r="R251" s="10"/>
      <c r="S251" s="3"/>
      <c r="T251" s="9"/>
      <c r="U251" s="9"/>
      <c r="V251" s="2">
        <f>_xlfn.XLOOKUP(Tab_Data_Flows[[#This Row],[Flow_Name]],Tab_Def_Flows[Flow_Name],Tab_Def_Flows[Flow_E1_Fraction'[%']],"N.A.",0,1)</f>
        <v>0</v>
      </c>
      <c r="W251" s="8">
        <f t="shared" si="6"/>
        <v>0</v>
      </c>
      <c r="X251" s="2" t="str">
        <f>Tab_Data_Flows[[#This Row],[UoM_Source]]</f>
        <v>Mg</v>
      </c>
      <c r="Y251" s="19">
        <f>_xlfn.XLOOKUP(Tab_Data_Flows[[#This Row],[Flow_Name]],Tab_Def_Flows[Flow_Name],Tab_Def_Flows[Flow_E2_Fraction'[%']],"N.A.",0,1)</f>
        <v>0</v>
      </c>
      <c r="Z251" s="2">
        <f>IF(D251="Yes",W251*Tab_Data_Flows[[#This Row],[E2_Fraction'[%']]],"N.A.")</f>
        <v>0</v>
      </c>
      <c r="AA251" s="2" t="str">
        <f>Tab_Data_Flows[[#This Row],[E1_UoM]]</f>
        <v>Mg</v>
      </c>
      <c r="AB251" s="19">
        <f>_xlfn.XLOOKUP(Tab_Data_Flows[[#This Row],[Flow_Name]],Tab_Def_Flows[Flow_Name],Tab_Def_Flows[Flow_E3_Fraction'[%']],"N.A.",0,1)</f>
        <v>0</v>
      </c>
      <c r="AC251" s="2">
        <f>IF(E251="Yes",AB251*Tab_Data_Flows[[#This Row],[E1_value]],"N.A.")</f>
        <v>0</v>
      </c>
      <c r="AD251" s="2" t="str">
        <f>Tab_Data_Flows[[#This Row],[E1_UoM]]</f>
        <v>Mg</v>
      </c>
      <c r="AE251" s="19">
        <f>_xlfn.XLOOKUP(Tab_Data_Flows[[#This Row],[Flow_Name]],Tab_Def_Flows[Flow_Name],Tab_Def_Flows[Flow_E4_Fraction'[%']],"N.A.",0,1)</f>
        <v>0</v>
      </c>
      <c r="AF251" s="2">
        <f>IF(H251="Yes",Tab_Data_Flows[[#This Row],[E4_Fraction'[%']]]*Tab_Data_Flows[[#This Row],[E1_value]],"N.A.")</f>
        <v>0</v>
      </c>
      <c r="AG251" s="2" t="str">
        <f>Tab_Data_Flows[[#This Row],[E1_UoM]]</f>
        <v>Mg</v>
      </c>
      <c r="AH251" s="2">
        <f>_xlfn.XLOOKUP(Tab_Data_Flows[[#This Row],[Flow_Name]],Tab_Def_Flows[Flow_Name],Tab_Def_Flows[Flow_E5_Fraction'[%']],"N.A.",0,1)</f>
        <v>0</v>
      </c>
      <c r="AI251" s="2">
        <f>IF(H251="Yes",Tab_Data_Flows[[#This Row],[E5_Fraction'[%']]]*Tab_Data_Flows[[#This Row],[E1_value]],"N.A.")</f>
        <v>0</v>
      </c>
      <c r="AJ251" s="2" t="str">
        <f>Tab_Data_Flows[[#This Row],[E1_UoM]]</f>
        <v>Mg</v>
      </c>
      <c r="AK251" s="19">
        <f>_xlfn.XLOOKUP(Tab_Data_Flows[[#This Row],[Flow_Name]],Tab_Def_Flows[Flow_Name],Tab_Def_Flows[Flow_E6_Fraction'[%']],"N.A.",0,1)</f>
        <v>0</v>
      </c>
      <c r="AL251" s="2">
        <f>IF(Tab_Data_Flows[[#This Row],[Use_E6]]="Yes",Tab_Data_Flows[[#This Row],[E6_Fraction'[%']]]*Tab_Data_Flows[[#This Row],[E1_value]],"N.A.")</f>
        <v>0</v>
      </c>
      <c r="AM251" s="2" t="str">
        <f>Tab_Data_Flows[[#This Row],[E1_UoM]]</f>
        <v>Mg</v>
      </c>
    </row>
    <row r="252" spans="1:39" x14ac:dyDescent="0.25">
      <c r="A252" s="4">
        <f t="shared" si="7"/>
        <v>251</v>
      </c>
      <c r="B252" s="2" t="str">
        <f>_xlfn.XLOOKUP(C252,Tab_Def_Flows[Flow_Name],Tab_Def_Flows[Flow_ID],,0,)</f>
        <v>F__</v>
      </c>
      <c r="C252" s="18" t="s">
        <v>5</v>
      </c>
      <c r="D252" s="5" t="str">
        <f>_xlfn.XLOOKUP(C252,Tab_Def_Flows[Flow_Name],Tab_Def_Flows[Use_E1],,0,)</f>
        <v>Yes</v>
      </c>
      <c r="E252" s="5" t="str">
        <f>_xlfn.XLOOKUP(C252,Tab_Def_Flows[Flow_Name],Tab_Def_Flows[Use_E2],,0,)</f>
        <v>Yes</v>
      </c>
      <c r="F252" s="5" t="str">
        <f>_xlfn.XLOOKUP(C252,Tab_Def_Flows[Flow_Name],Tab_Def_Flows[Use_E3],,0,)</f>
        <v>Yes</v>
      </c>
      <c r="G252" s="5" t="str">
        <f>_xlfn.XLOOKUP(C252,Tab_Def_Flows[Flow_Name],Tab_Def_Flows[Use_E4],,0,)</f>
        <v>Yes</v>
      </c>
      <c r="H252" s="5" t="str">
        <f>_xlfn.XLOOKUP(C252,Tab_Def_Flows[Flow_Name],Tab_Def_Flows[Use_E5],,0,)</f>
        <v>Yes</v>
      </c>
      <c r="I252" s="5" t="str">
        <f>_xlfn.XLOOKUP(C252,Tab_Def_Flows[Flow_Name],Tab_Def_Flows[Use_E6],,0,)</f>
        <v>Yes</v>
      </c>
      <c r="J252" s="3"/>
      <c r="K252" s="3"/>
      <c r="L252" s="2" t="str">
        <f>'0_Configuration'!$C$41</f>
        <v>Mg</v>
      </c>
      <c r="M252" s="9"/>
      <c r="N252" s="9"/>
      <c r="O252" s="9"/>
      <c r="P252" s="9"/>
      <c r="Q252" s="18" t="s">
        <v>3</v>
      </c>
      <c r="R252" s="10"/>
      <c r="S252" s="3"/>
      <c r="T252" s="9"/>
      <c r="U252" s="9"/>
      <c r="V252" s="2">
        <f>_xlfn.XLOOKUP(Tab_Data_Flows[[#This Row],[Flow_Name]],Tab_Def_Flows[Flow_Name],Tab_Def_Flows[Flow_E1_Fraction'[%']],"N.A.",0,1)</f>
        <v>0</v>
      </c>
      <c r="W252" s="8">
        <f t="shared" si="6"/>
        <v>0</v>
      </c>
      <c r="X252" s="2" t="str">
        <f>Tab_Data_Flows[[#This Row],[UoM_Source]]</f>
        <v>Mg</v>
      </c>
      <c r="Y252" s="19">
        <f>_xlfn.XLOOKUP(Tab_Data_Flows[[#This Row],[Flow_Name]],Tab_Def_Flows[Flow_Name],Tab_Def_Flows[Flow_E2_Fraction'[%']],"N.A.",0,1)</f>
        <v>0</v>
      </c>
      <c r="Z252" s="2">
        <f>IF(D252="Yes",W252*Tab_Data_Flows[[#This Row],[E2_Fraction'[%']]],"N.A.")</f>
        <v>0</v>
      </c>
      <c r="AA252" s="2" t="str">
        <f>Tab_Data_Flows[[#This Row],[E1_UoM]]</f>
        <v>Mg</v>
      </c>
      <c r="AB252" s="19">
        <f>_xlfn.XLOOKUP(Tab_Data_Flows[[#This Row],[Flow_Name]],Tab_Def_Flows[Flow_Name],Tab_Def_Flows[Flow_E3_Fraction'[%']],"N.A.",0,1)</f>
        <v>0</v>
      </c>
      <c r="AC252" s="2">
        <f>IF(E252="Yes",AB252*Tab_Data_Flows[[#This Row],[E1_value]],"N.A.")</f>
        <v>0</v>
      </c>
      <c r="AD252" s="2" t="str">
        <f>Tab_Data_Flows[[#This Row],[E1_UoM]]</f>
        <v>Mg</v>
      </c>
      <c r="AE252" s="19">
        <f>_xlfn.XLOOKUP(Tab_Data_Flows[[#This Row],[Flow_Name]],Tab_Def_Flows[Flow_Name],Tab_Def_Flows[Flow_E4_Fraction'[%']],"N.A.",0,1)</f>
        <v>0</v>
      </c>
      <c r="AF252" s="2">
        <f>IF(H252="Yes",Tab_Data_Flows[[#This Row],[E4_Fraction'[%']]]*Tab_Data_Flows[[#This Row],[E1_value]],"N.A.")</f>
        <v>0</v>
      </c>
      <c r="AG252" s="2" t="str">
        <f>Tab_Data_Flows[[#This Row],[E1_UoM]]</f>
        <v>Mg</v>
      </c>
      <c r="AH252" s="2">
        <f>_xlfn.XLOOKUP(Tab_Data_Flows[[#This Row],[Flow_Name]],Tab_Def_Flows[Flow_Name],Tab_Def_Flows[Flow_E5_Fraction'[%']],"N.A.",0,1)</f>
        <v>0</v>
      </c>
      <c r="AI252" s="2">
        <f>IF(H252="Yes",Tab_Data_Flows[[#This Row],[E5_Fraction'[%']]]*Tab_Data_Flows[[#This Row],[E1_value]],"N.A.")</f>
        <v>0</v>
      </c>
      <c r="AJ252" s="2" t="str">
        <f>Tab_Data_Flows[[#This Row],[E1_UoM]]</f>
        <v>Mg</v>
      </c>
      <c r="AK252" s="19">
        <f>_xlfn.XLOOKUP(Tab_Data_Flows[[#This Row],[Flow_Name]],Tab_Def_Flows[Flow_Name],Tab_Def_Flows[Flow_E6_Fraction'[%']],"N.A.",0,1)</f>
        <v>0</v>
      </c>
      <c r="AL252" s="2">
        <f>IF(Tab_Data_Flows[[#This Row],[Use_E6]]="Yes",Tab_Data_Flows[[#This Row],[E6_Fraction'[%']]]*Tab_Data_Flows[[#This Row],[E1_value]],"N.A.")</f>
        <v>0</v>
      </c>
      <c r="AM252" s="2" t="str">
        <f>Tab_Data_Flows[[#This Row],[E1_UoM]]</f>
        <v>Mg</v>
      </c>
    </row>
    <row r="253" spans="1:39" x14ac:dyDescent="0.25">
      <c r="A253" s="4">
        <f t="shared" si="7"/>
        <v>252</v>
      </c>
      <c r="B253" s="2" t="str">
        <f>_xlfn.XLOOKUP(C253,Tab_Def_Flows[Flow_Name],Tab_Def_Flows[Flow_ID],,0,)</f>
        <v>F__</v>
      </c>
      <c r="C253" s="18" t="s">
        <v>5</v>
      </c>
      <c r="D253" s="5" t="str">
        <f>_xlfn.XLOOKUP(C253,Tab_Def_Flows[Flow_Name],Tab_Def_Flows[Use_E1],,0,)</f>
        <v>Yes</v>
      </c>
      <c r="E253" s="5" t="str">
        <f>_xlfn.XLOOKUP(C253,Tab_Def_Flows[Flow_Name],Tab_Def_Flows[Use_E2],,0,)</f>
        <v>Yes</v>
      </c>
      <c r="F253" s="5" t="str">
        <f>_xlfn.XLOOKUP(C253,Tab_Def_Flows[Flow_Name],Tab_Def_Flows[Use_E3],,0,)</f>
        <v>Yes</v>
      </c>
      <c r="G253" s="5" t="str">
        <f>_xlfn.XLOOKUP(C253,Tab_Def_Flows[Flow_Name],Tab_Def_Flows[Use_E4],,0,)</f>
        <v>Yes</v>
      </c>
      <c r="H253" s="5" t="str">
        <f>_xlfn.XLOOKUP(C253,Tab_Def_Flows[Flow_Name],Tab_Def_Flows[Use_E5],,0,)</f>
        <v>Yes</v>
      </c>
      <c r="I253" s="5" t="str">
        <f>_xlfn.XLOOKUP(C253,Tab_Def_Flows[Flow_Name],Tab_Def_Flows[Use_E6],,0,)</f>
        <v>Yes</v>
      </c>
      <c r="J253" s="3"/>
      <c r="K253" s="3"/>
      <c r="L253" s="2" t="str">
        <f>'0_Configuration'!$C$41</f>
        <v>Mg</v>
      </c>
      <c r="M253" s="9"/>
      <c r="N253" s="9"/>
      <c r="O253" s="9"/>
      <c r="P253" s="9"/>
      <c r="Q253" s="18" t="s">
        <v>3</v>
      </c>
      <c r="R253" s="10"/>
      <c r="S253" s="3"/>
      <c r="T253" s="9"/>
      <c r="U253" s="9"/>
      <c r="V253" s="2">
        <f>_xlfn.XLOOKUP(Tab_Data_Flows[[#This Row],[Flow_Name]],Tab_Def_Flows[Flow_Name],Tab_Def_Flows[Flow_E1_Fraction'[%']],"N.A.",0,1)</f>
        <v>0</v>
      </c>
      <c r="W253" s="8">
        <f t="shared" si="6"/>
        <v>0</v>
      </c>
      <c r="X253" s="2" t="str">
        <f>Tab_Data_Flows[[#This Row],[UoM_Source]]</f>
        <v>Mg</v>
      </c>
      <c r="Y253" s="19">
        <f>_xlfn.XLOOKUP(Tab_Data_Flows[[#This Row],[Flow_Name]],Tab_Def_Flows[Flow_Name],Tab_Def_Flows[Flow_E2_Fraction'[%']],"N.A.",0,1)</f>
        <v>0</v>
      </c>
      <c r="Z253" s="2">
        <f>IF(D253="Yes",W253*Tab_Data_Flows[[#This Row],[E2_Fraction'[%']]],"N.A.")</f>
        <v>0</v>
      </c>
      <c r="AA253" s="2" t="str">
        <f>Tab_Data_Flows[[#This Row],[E1_UoM]]</f>
        <v>Mg</v>
      </c>
      <c r="AB253" s="19">
        <f>_xlfn.XLOOKUP(Tab_Data_Flows[[#This Row],[Flow_Name]],Tab_Def_Flows[Flow_Name],Tab_Def_Flows[Flow_E3_Fraction'[%']],"N.A.",0,1)</f>
        <v>0</v>
      </c>
      <c r="AC253" s="2">
        <f>IF(E253="Yes",AB253*Tab_Data_Flows[[#This Row],[E1_value]],"N.A.")</f>
        <v>0</v>
      </c>
      <c r="AD253" s="2" t="str">
        <f>Tab_Data_Flows[[#This Row],[E1_UoM]]</f>
        <v>Mg</v>
      </c>
      <c r="AE253" s="19">
        <f>_xlfn.XLOOKUP(Tab_Data_Flows[[#This Row],[Flow_Name]],Tab_Def_Flows[Flow_Name],Tab_Def_Flows[Flow_E4_Fraction'[%']],"N.A.",0,1)</f>
        <v>0</v>
      </c>
      <c r="AF253" s="2">
        <f>IF(H253="Yes",Tab_Data_Flows[[#This Row],[E4_Fraction'[%']]]*Tab_Data_Flows[[#This Row],[E1_value]],"N.A.")</f>
        <v>0</v>
      </c>
      <c r="AG253" s="2" t="str">
        <f>Tab_Data_Flows[[#This Row],[E1_UoM]]</f>
        <v>Mg</v>
      </c>
      <c r="AH253" s="2">
        <f>_xlfn.XLOOKUP(Tab_Data_Flows[[#This Row],[Flow_Name]],Tab_Def_Flows[Flow_Name],Tab_Def_Flows[Flow_E5_Fraction'[%']],"N.A.",0,1)</f>
        <v>0</v>
      </c>
      <c r="AI253" s="2">
        <f>IF(H253="Yes",Tab_Data_Flows[[#This Row],[E5_Fraction'[%']]]*Tab_Data_Flows[[#This Row],[E1_value]],"N.A.")</f>
        <v>0</v>
      </c>
      <c r="AJ253" s="2" t="str">
        <f>Tab_Data_Flows[[#This Row],[E1_UoM]]</f>
        <v>Mg</v>
      </c>
      <c r="AK253" s="19">
        <f>_xlfn.XLOOKUP(Tab_Data_Flows[[#This Row],[Flow_Name]],Tab_Def_Flows[Flow_Name],Tab_Def_Flows[Flow_E6_Fraction'[%']],"N.A.",0,1)</f>
        <v>0</v>
      </c>
      <c r="AL253" s="2">
        <f>IF(Tab_Data_Flows[[#This Row],[Use_E6]]="Yes",Tab_Data_Flows[[#This Row],[E6_Fraction'[%']]]*Tab_Data_Flows[[#This Row],[E1_value]],"N.A.")</f>
        <v>0</v>
      </c>
      <c r="AM253" s="2" t="str">
        <f>Tab_Data_Flows[[#This Row],[E1_UoM]]</f>
        <v>Mg</v>
      </c>
    </row>
    <row r="254" spans="1:39" x14ac:dyDescent="0.25">
      <c r="A254" s="4">
        <f t="shared" si="7"/>
        <v>253</v>
      </c>
      <c r="B254" s="2" t="str">
        <f>_xlfn.XLOOKUP(C254,Tab_Def_Flows[Flow_Name],Tab_Def_Flows[Flow_ID],,0,)</f>
        <v>F__</v>
      </c>
      <c r="C254" s="18" t="s">
        <v>5</v>
      </c>
      <c r="D254" s="5" t="str">
        <f>_xlfn.XLOOKUP(C254,Tab_Def_Flows[Flow_Name],Tab_Def_Flows[Use_E1],,0,)</f>
        <v>Yes</v>
      </c>
      <c r="E254" s="5" t="str">
        <f>_xlfn.XLOOKUP(C254,Tab_Def_Flows[Flow_Name],Tab_Def_Flows[Use_E2],,0,)</f>
        <v>Yes</v>
      </c>
      <c r="F254" s="5" t="str">
        <f>_xlfn.XLOOKUP(C254,Tab_Def_Flows[Flow_Name],Tab_Def_Flows[Use_E3],,0,)</f>
        <v>Yes</v>
      </c>
      <c r="G254" s="5" t="str">
        <f>_xlfn.XLOOKUP(C254,Tab_Def_Flows[Flow_Name],Tab_Def_Flows[Use_E4],,0,)</f>
        <v>Yes</v>
      </c>
      <c r="H254" s="5" t="str">
        <f>_xlfn.XLOOKUP(C254,Tab_Def_Flows[Flow_Name],Tab_Def_Flows[Use_E5],,0,)</f>
        <v>Yes</v>
      </c>
      <c r="I254" s="5" t="str">
        <f>_xlfn.XLOOKUP(C254,Tab_Def_Flows[Flow_Name],Tab_Def_Flows[Use_E6],,0,)</f>
        <v>Yes</v>
      </c>
      <c r="J254" s="3"/>
      <c r="K254" s="3"/>
      <c r="L254" s="2" t="str">
        <f>'0_Configuration'!$C$41</f>
        <v>Mg</v>
      </c>
      <c r="M254" s="9"/>
      <c r="N254" s="9"/>
      <c r="O254" s="9"/>
      <c r="P254" s="9"/>
      <c r="Q254" s="18" t="s">
        <v>3</v>
      </c>
      <c r="R254" s="10"/>
      <c r="S254" s="3"/>
      <c r="T254" s="9"/>
      <c r="U254" s="9"/>
      <c r="V254" s="2">
        <f>_xlfn.XLOOKUP(Tab_Data_Flows[[#This Row],[Flow_Name]],Tab_Def_Flows[Flow_Name],Tab_Def_Flows[Flow_E1_Fraction'[%']],"N.A.",0,1)</f>
        <v>0</v>
      </c>
      <c r="W254" s="8">
        <f t="shared" si="6"/>
        <v>0</v>
      </c>
      <c r="X254" s="2" t="str">
        <f>Tab_Data_Flows[[#This Row],[UoM_Source]]</f>
        <v>Mg</v>
      </c>
      <c r="Y254" s="19">
        <f>_xlfn.XLOOKUP(Tab_Data_Flows[[#This Row],[Flow_Name]],Tab_Def_Flows[Flow_Name],Tab_Def_Flows[Flow_E2_Fraction'[%']],"N.A.",0,1)</f>
        <v>0</v>
      </c>
      <c r="Z254" s="2">
        <f>IF(D254="Yes",W254*Tab_Data_Flows[[#This Row],[E2_Fraction'[%']]],"N.A.")</f>
        <v>0</v>
      </c>
      <c r="AA254" s="2" t="str">
        <f>Tab_Data_Flows[[#This Row],[E1_UoM]]</f>
        <v>Mg</v>
      </c>
      <c r="AB254" s="19">
        <f>_xlfn.XLOOKUP(Tab_Data_Flows[[#This Row],[Flow_Name]],Tab_Def_Flows[Flow_Name],Tab_Def_Flows[Flow_E3_Fraction'[%']],"N.A.",0,1)</f>
        <v>0</v>
      </c>
      <c r="AC254" s="2">
        <f>IF(E254="Yes",AB254*Tab_Data_Flows[[#This Row],[E1_value]],"N.A.")</f>
        <v>0</v>
      </c>
      <c r="AD254" s="2" t="str">
        <f>Tab_Data_Flows[[#This Row],[E1_UoM]]</f>
        <v>Mg</v>
      </c>
      <c r="AE254" s="19">
        <f>_xlfn.XLOOKUP(Tab_Data_Flows[[#This Row],[Flow_Name]],Tab_Def_Flows[Flow_Name],Tab_Def_Flows[Flow_E4_Fraction'[%']],"N.A.",0,1)</f>
        <v>0</v>
      </c>
      <c r="AF254" s="2">
        <f>IF(H254="Yes",Tab_Data_Flows[[#This Row],[E4_Fraction'[%']]]*Tab_Data_Flows[[#This Row],[E1_value]],"N.A.")</f>
        <v>0</v>
      </c>
      <c r="AG254" s="2" t="str">
        <f>Tab_Data_Flows[[#This Row],[E1_UoM]]</f>
        <v>Mg</v>
      </c>
      <c r="AH254" s="2">
        <f>_xlfn.XLOOKUP(Tab_Data_Flows[[#This Row],[Flow_Name]],Tab_Def_Flows[Flow_Name],Tab_Def_Flows[Flow_E5_Fraction'[%']],"N.A.",0,1)</f>
        <v>0</v>
      </c>
      <c r="AI254" s="2">
        <f>IF(H254="Yes",Tab_Data_Flows[[#This Row],[E5_Fraction'[%']]]*Tab_Data_Flows[[#This Row],[E1_value]],"N.A.")</f>
        <v>0</v>
      </c>
      <c r="AJ254" s="2" t="str">
        <f>Tab_Data_Flows[[#This Row],[E1_UoM]]</f>
        <v>Mg</v>
      </c>
      <c r="AK254" s="19">
        <f>_xlfn.XLOOKUP(Tab_Data_Flows[[#This Row],[Flow_Name]],Tab_Def_Flows[Flow_Name],Tab_Def_Flows[Flow_E6_Fraction'[%']],"N.A.",0,1)</f>
        <v>0</v>
      </c>
      <c r="AL254" s="2">
        <f>IF(Tab_Data_Flows[[#This Row],[Use_E6]]="Yes",Tab_Data_Flows[[#This Row],[E6_Fraction'[%']]]*Tab_Data_Flows[[#This Row],[E1_value]],"N.A.")</f>
        <v>0</v>
      </c>
      <c r="AM254" s="2" t="str">
        <f>Tab_Data_Flows[[#This Row],[E1_UoM]]</f>
        <v>Mg</v>
      </c>
    </row>
    <row r="255" spans="1:39" x14ac:dyDescent="0.25">
      <c r="A255" s="4">
        <f t="shared" si="7"/>
        <v>254</v>
      </c>
      <c r="B255" s="2" t="str">
        <f>_xlfn.XLOOKUP(C255,Tab_Def_Flows[Flow_Name],Tab_Def_Flows[Flow_ID],,0,)</f>
        <v>F__</v>
      </c>
      <c r="C255" s="18" t="s">
        <v>5</v>
      </c>
      <c r="D255" s="5" t="str">
        <f>_xlfn.XLOOKUP(C255,Tab_Def_Flows[Flow_Name],Tab_Def_Flows[Use_E1],,0,)</f>
        <v>Yes</v>
      </c>
      <c r="E255" s="5" t="str">
        <f>_xlfn.XLOOKUP(C255,Tab_Def_Flows[Flow_Name],Tab_Def_Flows[Use_E2],,0,)</f>
        <v>Yes</v>
      </c>
      <c r="F255" s="5" t="str">
        <f>_xlfn.XLOOKUP(C255,Tab_Def_Flows[Flow_Name],Tab_Def_Flows[Use_E3],,0,)</f>
        <v>Yes</v>
      </c>
      <c r="G255" s="5" t="str">
        <f>_xlfn.XLOOKUP(C255,Tab_Def_Flows[Flow_Name],Tab_Def_Flows[Use_E4],,0,)</f>
        <v>Yes</v>
      </c>
      <c r="H255" s="5" t="str">
        <f>_xlfn.XLOOKUP(C255,Tab_Def_Flows[Flow_Name],Tab_Def_Flows[Use_E5],,0,)</f>
        <v>Yes</v>
      </c>
      <c r="I255" s="5" t="str">
        <f>_xlfn.XLOOKUP(C255,Tab_Def_Flows[Flow_Name],Tab_Def_Flows[Use_E6],,0,)</f>
        <v>Yes</v>
      </c>
      <c r="J255" s="3"/>
      <c r="K255" s="3"/>
      <c r="L255" s="2" t="str">
        <f>'0_Configuration'!$C$41</f>
        <v>Mg</v>
      </c>
      <c r="M255" s="9"/>
      <c r="N255" s="9"/>
      <c r="O255" s="9"/>
      <c r="P255" s="9"/>
      <c r="Q255" s="18" t="s">
        <v>3</v>
      </c>
      <c r="R255" s="10"/>
      <c r="S255" s="3"/>
      <c r="T255" s="9"/>
      <c r="U255" s="9"/>
      <c r="V255" s="2">
        <f>_xlfn.XLOOKUP(Tab_Data_Flows[[#This Row],[Flow_Name]],Tab_Def_Flows[Flow_Name],Tab_Def_Flows[Flow_E1_Fraction'[%']],"N.A.",0,1)</f>
        <v>0</v>
      </c>
      <c r="W255" s="8">
        <f t="shared" si="6"/>
        <v>0</v>
      </c>
      <c r="X255" s="2" t="str">
        <f>Tab_Data_Flows[[#This Row],[UoM_Source]]</f>
        <v>Mg</v>
      </c>
      <c r="Y255" s="19">
        <f>_xlfn.XLOOKUP(Tab_Data_Flows[[#This Row],[Flow_Name]],Tab_Def_Flows[Flow_Name],Tab_Def_Flows[Flow_E2_Fraction'[%']],"N.A.",0,1)</f>
        <v>0</v>
      </c>
      <c r="Z255" s="2">
        <f>IF(D255="Yes",W255*Tab_Data_Flows[[#This Row],[E2_Fraction'[%']]],"N.A.")</f>
        <v>0</v>
      </c>
      <c r="AA255" s="2" t="str">
        <f>Tab_Data_Flows[[#This Row],[E1_UoM]]</f>
        <v>Mg</v>
      </c>
      <c r="AB255" s="19">
        <f>_xlfn.XLOOKUP(Tab_Data_Flows[[#This Row],[Flow_Name]],Tab_Def_Flows[Flow_Name],Tab_Def_Flows[Flow_E3_Fraction'[%']],"N.A.",0,1)</f>
        <v>0</v>
      </c>
      <c r="AC255" s="2">
        <f>IF(E255="Yes",AB255*Tab_Data_Flows[[#This Row],[E1_value]],"N.A.")</f>
        <v>0</v>
      </c>
      <c r="AD255" s="2" t="str">
        <f>Tab_Data_Flows[[#This Row],[E1_UoM]]</f>
        <v>Mg</v>
      </c>
      <c r="AE255" s="19">
        <f>_xlfn.XLOOKUP(Tab_Data_Flows[[#This Row],[Flow_Name]],Tab_Def_Flows[Flow_Name],Tab_Def_Flows[Flow_E4_Fraction'[%']],"N.A.",0,1)</f>
        <v>0</v>
      </c>
      <c r="AF255" s="2">
        <f>IF(H255="Yes",Tab_Data_Flows[[#This Row],[E4_Fraction'[%']]]*Tab_Data_Flows[[#This Row],[E1_value]],"N.A.")</f>
        <v>0</v>
      </c>
      <c r="AG255" s="2" t="str">
        <f>Tab_Data_Flows[[#This Row],[E1_UoM]]</f>
        <v>Mg</v>
      </c>
      <c r="AH255" s="2">
        <f>_xlfn.XLOOKUP(Tab_Data_Flows[[#This Row],[Flow_Name]],Tab_Def_Flows[Flow_Name],Tab_Def_Flows[Flow_E5_Fraction'[%']],"N.A.",0,1)</f>
        <v>0</v>
      </c>
      <c r="AI255" s="2">
        <f>IF(H255="Yes",Tab_Data_Flows[[#This Row],[E5_Fraction'[%']]]*Tab_Data_Flows[[#This Row],[E1_value]],"N.A.")</f>
        <v>0</v>
      </c>
      <c r="AJ255" s="2" t="str">
        <f>Tab_Data_Flows[[#This Row],[E1_UoM]]</f>
        <v>Mg</v>
      </c>
      <c r="AK255" s="19">
        <f>_xlfn.XLOOKUP(Tab_Data_Flows[[#This Row],[Flow_Name]],Tab_Def_Flows[Flow_Name],Tab_Def_Flows[Flow_E6_Fraction'[%']],"N.A.",0,1)</f>
        <v>0</v>
      </c>
      <c r="AL255" s="2">
        <f>IF(Tab_Data_Flows[[#This Row],[Use_E6]]="Yes",Tab_Data_Flows[[#This Row],[E6_Fraction'[%']]]*Tab_Data_Flows[[#This Row],[E1_value]],"N.A.")</f>
        <v>0</v>
      </c>
      <c r="AM255" s="2" t="str">
        <f>Tab_Data_Flows[[#This Row],[E1_UoM]]</f>
        <v>Mg</v>
      </c>
    </row>
    <row r="256" spans="1:39" x14ac:dyDescent="0.25">
      <c r="A256" s="4">
        <f t="shared" si="7"/>
        <v>255</v>
      </c>
      <c r="B256" s="2" t="str">
        <f>_xlfn.XLOOKUP(C256,Tab_Def_Flows[Flow_Name],Tab_Def_Flows[Flow_ID],,0,)</f>
        <v>F__</v>
      </c>
      <c r="C256" s="18" t="s">
        <v>5</v>
      </c>
      <c r="D256" s="5" t="str">
        <f>_xlfn.XLOOKUP(C256,Tab_Def_Flows[Flow_Name],Tab_Def_Flows[Use_E1],,0,)</f>
        <v>Yes</v>
      </c>
      <c r="E256" s="5" t="str">
        <f>_xlfn.XLOOKUP(C256,Tab_Def_Flows[Flow_Name],Tab_Def_Flows[Use_E2],,0,)</f>
        <v>Yes</v>
      </c>
      <c r="F256" s="5" t="str">
        <f>_xlfn.XLOOKUP(C256,Tab_Def_Flows[Flow_Name],Tab_Def_Flows[Use_E3],,0,)</f>
        <v>Yes</v>
      </c>
      <c r="G256" s="5" t="str">
        <f>_xlfn.XLOOKUP(C256,Tab_Def_Flows[Flow_Name],Tab_Def_Flows[Use_E4],,0,)</f>
        <v>Yes</v>
      </c>
      <c r="H256" s="5" t="str">
        <f>_xlfn.XLOOKUP(C256,Tab_Def_Flows[Flow_Name],Tab_Def_Flows[Use_E5],,0,)</f>
        <v>Yes</v>
      </c>
      <c r="I256" s="5" t="str">
        <f>_xlfn.XLOOKUP(C256,Tab_Def_Flows[Flow_Name],Tab_Def_Flows[Use_E6],,0,)</f>
        <v>Yes</v>
      </c>
      <c r="J256" s="3"/>
      <c r="K256" s="3"/>
      <c r="L256" s="2" t="str">
        <f>'0_Configuration'!$C$41</f>
        <v>Mg</v>
      </c>
      <c r="M256" s="9"/>
      <c r="N256" s="9"/>
      <c r="O256" s="9"/>
      <c r="P256" s="9"/>
      <c r="Q256" s="18" t="s">
        <v>3</v>
      </c>
      <c r="R256" s="10"/>
      <c r="S256" s="3"/>
      <c r="T256" s="9"/>
      <c r="U256" s="9"/>
      <c r="V256" s="2">
        <f>_xlfn.XLOOKUP(Tab_Data_Flows[[#This Row],[Flow_Name]],Tab_Def_Flows[Flow_Name],Tab_Def_Flows[Flow_E1_Fraction'[%']],"N.A.",0,1)</f>
        <v>0</v>
      </c>
      <c r="W256" s="8">
        <f t="shared" si="6"/>
        <v>0</v>
      </c>
      <c r="X256" s="2" t="str">
        <f>Tab_Data_Flows[[#This Row],[UoM_Source]]</f>
        <v>Mg</v>
      </c>
      <c r="Y256" s="19">
        <f>_xlfn.XLOOKUP(Tab_Data_Flows[[#This Row],[Flow_Name]],Tab_Def_Flows[Flow_Name],Tab_Def_Flows[Flow_E2_Fraction'[%']],"N.A.",0,1)</f>
        <v>0</v>
      </c>
      <c r="Z256" s="2">
        <f>IF(D256="Yes",W256*Tab_Data_Flows[[#This Row],[E2_Fraction'[%']]],"N.A.")</f>
        <v>0</v>
      </c>
      <c r="AA256" s="2" t="str">
        <f>Tab_Data_Flows[[#This Row],[E1_UoM]]</f>
        <v>Mg</v>
      </c>
      <c r="AB256" s="19">
        <f>_xlfn.XLOOKUP(Tab_Data_Flows[[#This Row],[Flow_Name]],Tab_Def_Flows[Flow_Name],Tab_Def_Flows[Flow_E3_Fraction'[%']],"N.A.",0,1)</f>
        <v>0</v>
      </c>
      <c r="AC256" s="2">
        <f>IF(E256="Yes",AB256*Tab_Data_Flows[[#This Row],[E1_value]],"N.A.")</f>
        <v>0</v>
      </c>
      <c r="AD256" s="2" t="str">
        <f>Tab_Data_Flows[[#This Row],[E1_UoM]]</f>
        <v>Mg</v>
      </c>
      <c r="AE256" s="19">
        <f>_xlfn.XLOOKUP(Tab_Data_Flows[[#This Row],[Flow_Name]],Tab_Def_Flows[Flow_Name],Tab_Def_Flows[Flow_E4_Fraction'[%']],"N.A.",0,1)</f>
        <v>0</v>
      </c>
      <c r="AF256" s="2">
        <f>IF(H256="Yes",Tab_Data_Flows[[#This Row],[E4_Fraction'[%']]]*Tab_Data_Flows[[#This Row],[E1_value]],"N.A.")</f>
        <v>0</v>
      </c>
      <c r="AG256" s="2" t="str">
        <f>Tab_Data_Flows[[#This Row],[E1_UoM]]</f>
        <v>Mg</v>
      </c>
      <c r="AH256" s="2">
        <f>_xlfn.XLOOKUP(Tab_Data_Flows[[#This Row],[Flow_Name]],Tab_Def_Flows[Flow_Name],Tab_Def_Flows[Flow_E5_Fraction'[%']],"N.A.",0,1)</f>
        <v>0</v>
      </c>
      <c r="AI256" s="2">
        <f>IF(H256="Yes",Tab_Data_Flows[[#This Row],[E5_Fraction'[%']]]*Tab_Data_Flows[[#This Row],[E1_value]],"N.A.")</f>
        <v>0</v>
      </c>
      <c r="AJ256" s="2" t="str">
        <f>Tab_Data_Flows[[#This Row],[E1_UoM]]</f>
        <v>Mg</v>
      </c>
      <c r="AK256" s="19">
        <f>_xlfn.XLOOKUP(Tab_Data_Flows[[#This Row],[Flow_Name]],Tab_Def_Flows[Flow_Name],Tab_Def_Flows[Flow_E6_Fraction'[%']],"N.A.",0,1)</f>
        <v>0</v>
      </c>
      <c r="AL256" s="2">
        <f>IF(Tab_Data_Flows[[#This Row],[Use_E6]]="Yes",Tab_Data_Flows[[#This Row],[E6_Fraction'[%']]]*Tab_Data_Flows[[#This Row],[E1_value]],"N.A.")</f>
        <v>0</v>
      </c>
      <c r="AM256" s="2" t="str">
        <f>Tab_Data_Flows[[#This Row],[E1_UoM]]</f>
        <v>Mg</v>
      </c>
    </row>
    <row r="257" spans="1:39" x14ac:dyDescent="0.25">
      <c r="A257" s="4">
        <f t="shared" si="7"/>
        <v>256</v>
      </c>
      <c r="B257" s="2" t="str">
        <f>_xlfn.XLOOKUP(C257,Tab_Def_Flows[Flow_Name],Tab_Def_Flows[Flow_ID],,0,)</f>
        <v>F__</v>
      </c>
      <c r="C257" s="18" t="s">
        <v>5</v>
      </c>
      <c r="D257" s="5" t="str">
        <f>_xlfn.XLOOKUP(C257,Tab_Def_Flows[Flow_Name],Tab_Def_Flows[Use_E1],,0,)</f>
        <v>Yes</v>
      </c>
      <c r="E257" s="5" t="str">
        <f>_xlfn.XLOOKUP(C257,Tab_Def_Flows[Flow_Name],Tab_Def_Flows[Use_E2],,0,)</f>
        <v>Yes</v>
      </c>
      <c r="F257" s="5" t="str">
        <f>_xlfn.XLOOKUP(C257,Tab_Def_Flows[Flow_Name],Tab_Def_Flows[Use_E3],,0,)</f>
        <v>Yes</v>
      </c>
      <c r="G257" s="5" t="str">
        <f>_xlfn.XLOOKUP(C257,Tab_Def_Flows[Flow_Name],Tab_Def_Flows[Use_E4],,0,)</f>
        <v>Yes</v>
      </c>
      <c r="H257" s="5" t="str">
        <f>_xlfn.XLOOKUP(C257,Tab_Def_Flows[Flow_Name],Tab_Def_Flows[Use_E5],,0,)</f>
        <v>Yes</v>
      </c>
      <c r="I257" s="5" t="str">
        <f>_xlfn.XLOOKUP(C257,Tab_Def_Flows[Flow_Name],Tab_Def_Flows[Use_E6],,0,)</f>
        <v>Yes</v>
      </c>
      <c r="J257" s="3"/>
      <c r="K257" s="3"/>
      <c r="L257" s="2" t="str">
        <f>'0_Configuration'!$C$41</f>
        <v>Mg</v>
      </c>
      <c r="M257" s="9"/>
      <c r="N257" s="9"/>
      <c r="O257" s="9"/>
      <c r="P257" s="9"/>
      <c r="Q257" s="18" t="s">
        <v>3</v>
      </c>
      <c r="R257" s="10"/>
      <c r="S257" s="3"/>
      <c r="T257" s="9"/>
      <c r="U257" s="9"/>
      <c r="V257" s="2">
        <f>_xlfn.XLOOKUP(Tab_Data_Flows[[#This Row],[Flow_Name]],Tab_Def_Flows[Flow_Name],Tab_Def_Flows[Flow_E1_Fraction'[%']],"N.A.",0,1)</f>
        <v>0</v>
      </c>
      <c r="W257" s="8">
        <f t="shared" si="6"/>
        <v>0</v>
      </c>
      <c r="X257" s="2" t="str">
        <f>Tab_Data_Flows[[#This Row],[UoM_Source]]</f>
        <v>Mg</v>
      </c>
      <c r="Y257" s="19">
        <f>_xlfn.XLOOKUP(Tab_Data_Flows[[#This Row],[Flow_Name]],Tab_Def_Flows[Flow_Name],Tab_Def_Flows[Flow_E2_Fraction'[%']],"N.A.",0,1)</f>
        <v>0</v>
      </c>
      <c r="Z257" s="2">
        <f>IF(D257="Yes",W257*Tab_Data_Flows[[#This Row],[E2_Fraction'[%']]],"N.A.")</f>
        <v>0</v>
      </c>
      <c r="AA257" s="2" t="str">
        <f>Tab_Data_Flows[[#This Row],[E1_UoM]]</f>
        <v>Mg</v>
      </c>
      <c r="AB257" s="19">
        <f>_xlfn.XLOOKUP(Tab_Data_Flows[[#This Row],[Flow_Name]],Tab_Def_Flows[Flow_Name],Tab_Def_Flows[Flow_E3_Fraction'[%']],"N.A.",0,1)</f>
        <v>0</v>
      </c>
      <c r="AC257" s="2">
        <f>IF(E257="Yes",AB257*Tab_Data_Flows[[#This Row],[E1_value]],"N.A.")</f>
        <v>0</v>
      </c>
      <c r="AD257" s="2" t="str">
        <f>Tab_Data_Flows[[#This Row],[E1_UoM]]</f>
        <v>Mg</v>
      </c>
      <c r="AE257" s="19">
        <f>_xlfn.XLOOKUP(Tab_Data_Flows[[#This Row],[Flow_Name]],Tab_Def_Flows[Flow_Name],Tab_Def_Flows[Flow_E4_Fraction'[%']],"N.A.",0,1)</f>
        <v>0</v>
      </c>
      <c r="AF257" s="2">
        <f>IF(H257="Yes",Tab_Data_Flows[[#This Row],[E4_Fraction'[%']]]*Tab_Data_Flows[[#This Row],[E1_value]],"N.A.")</f>
        <v>0</v>
      </c>
      <c r="AG257" s="2" t="str">
        <f>Tab_Data_Flows[[#This Row],[E1_UoM]]</f>
        <v>Mg</v>
      </c>
      <c r="AH257" s="2">
        <f>_xlfn.XLOOKUP(Tab_Data_Flows[[#This Row],[Flow_Name]],Tab_Def_Flows[Flow_Name],Tab_Def_Flows[Flow_E5_Fraction'[%']],"N.A.",0,1)</f>
        <v>0</v>
      </c>
      <c r="AI257" s="2">
        <f>IF(H257="Yes",Tab_Data_Flows[[#This Row],[E5_Fraction'[%']]]*Tab_Data_Flows[[#This Row],[E1_value]],"N.A.")</f>
        <v>0</v>
      </c>
      <c r="AJ257" s="2" t="str">
        <f>Tab_Data_Flows[[#This Row],[E1_UoM]]</f>
        <v>Mg</v>
      </c>
      <c r="AK257" s="19">
        <f>_xlfn.XLOOKUP(Tab_Data_Flows[[#This Row],[Flow_Name]],Tab_Def_Flows[Flow_Name],Tab_Def_Flows[Flow_E6_Fraction'[%']],"N.A.",0,1)</f>
        <v>0</v>
      </c>
      <c r="AL257" s="2">
        <f>IF(Tab_Data_Flows[[#This Row],[Use_E6]]="Yes",Tab_Data_Flows[[#This Row],[E6_Fraction'[%']]]*Tab_Data_Flows[[#This Row],[E1_value]],"N.A.")</f>
        <v>0</v>
      </c>
      <c r="AM257" s="2" t="str">
        <f>Tab_Data_Flows[[#This Row],[E1_UoM]]</f>
        <v>Mg</v>
      </c>
    </row>
    <row r="258" spans="1:39" x14ac:dyDescent="0.25">
      <c r="A258" s="4">
        <f t="shared" si="7"/>
        <v>257</v>
      </c>
      <c r="B258" s="2" t="str">
        <f>_xlfn.XLOOKUP(C258,Tab_Def_Flows[Flow_Name],Tab_Def_Flows[Flow_ID],,0,)</f>
        <v>F__</v>
      </c>
      <c r="C258" s="18" t="s">
        <v>5</v>
      </c>
      <c r="D258" s="5" t="str">
        <f>_xlfn.XLOOKUP(C258,Tab_Def_Flows[Flow_Name],Tab_Def_Flows[Use_E1],,0,)</f>
        <v>Yes</v>
      </c>
      <c r="E258" s="5" t="str">
        <f>_xlfn.XLOOKUP(C258,Tab_Def_Flows[Flow_Name],Tab_Def_Flows[Use_E2],,0,)</f>
        <v>Yes</v>
      </c>
      <c r="F258" s="5" t="str">
        <f>_xlfn.XLOOKUP(C258,Tab_Def_Flows[Flow_Name],Tab_Def_Flows[Use_E3],,0,)</f>
        <v>Yes</v>
      </c>
      <c r="G258" s="5" t="str">
        <f>_xlfn.XLOOKUP(C258,Tab_Def_Flows[Flow_Name],Tab_Def_Flows[Use_E4],,0,)</f>
        <v>Yes</v>
      </c>
      <c r="H258" s="5" t="str">
        <f>_xlfn.XLOOKUP(C258,Tab_Def_Flows[Flow_Name],Tab_Def_Flows[Use_E5],,0,)</f>
        <v>Yes</v>
      </c>
      <c r="I258" s="5" t="str">
        <f>_xlfn.XLOOKUP(C258,Tab_Def_Flows[Flow_Name],Tab_Def_Flows[Use_E6],,0,)</f>
        <v>Yes</v>
      </c>
      <c r="J258" s="3"/>
      <c r="K258" s="3"/>
      <c r="L258" s="2" t="str">
        <f>'0_Configuration'!$C$41</f>
        <v>Mg</v>
      </c>
      <c r="M258" s="9"/>
      <c r="N258" s="9"/>
      <c r="O258" s="9"/>
      <c r="P258" s="9"/>
      <c r="Q258" s="18" t="s">
        <v>3</v>
      </c>
      <c r="R258" s="10"/>
      <c r="S258" s="3"/>
      <c r="T258" s="9"/>
      <c r="U258" s="9"/>
      <c r="V258" s="2">
        <f>_xlfn.XLOOKUP(Tab_Data_Flows[[#This Row],[Flow_Name]],Tab_Def_Flows[Flow_Name],Tab_Def_Flows[Flow_E1_Fraction'[%']],"N.A.",0,1)</f>
        <v>0</v>
      </c>
      <c r="W258" s="8">
        <f t="shared" ref="W258:W321" si="8">IF(Q258="no",K258,K258*R258)</f>
        <v>0</v>
      </c>
      <c r="X258" s="2" t="str">
        <f>Tab_Data_Flows[[#This Row],[UoM_Source]]</f>
        <v>Mg</v>
      </c>
      <c r="Y258" s="19">
        <f>_xlfn.XLOOKUP(Tab_Data_Flows[[#This Row],[Flow_Name]],Tab_Def_Flows[Flow_Name],Tab_Def_Flows[Flow_E2_Fraction'[%']],"N.A.",0,1)</f>
        <v>0</v>
      </c>
      <c r="Z258" s="2">
        <f>IF(D258="Yes",W258*Tab_Data_Flows[[#This Row],[E2_Fraction'[%']]],"N.A.")</f>
        <v>0</v>
      </c>
      <c r="AA258" s="2" t="str">
        <f>Tab_Data_Flows[[#This Row],[E1_UoM]]</f>
        <v>Mg</v>
      </c>
      <c r="AB258" s="19">
        <f>_xlfn.XLOOKUP(Tab_Data_Flows[[#This Row],[Flow_Name]],Tab_Def_Flows[Flow_Name],Tab_Def_Flows[Flow_E3_Fraction'[%']],"N.A.",0,1)</f>
        <v>0</v>
      </c>
      <c r="AC258" s="2">
        <f>IF(E258="Yes",AB258*Tab_Data_Flows[[#This Row],[E1_value]],"N.A.")</f>
        <v>0</v>
      </c>
      <c r="AD258" s="2" t="str">
        <f>Tab_Data_Flows[[#This Row],[E1_UoM]]</f>
        <v>Mg</v>
      </c>
      <c r="AE258" s="19">
        <f>_xlfn.XLOOKUP(Tab_Data_Flows[[#This Row],[Flow_Name]],Tab_Def_Flows[Flow_Name],Tab_Def_Flows[Flow_E4_Fraction'[%']],"N.A.",0,1)</f>
        <v>0</v>
      </c>
      <c r="AF258" s="2">
        <f>IF(H258="Yes",Tab_Data_Flows[[#This Row],[E4_Fraction'[%']]]*Tab_Data_Flows[[#This Row],[E1_value]],"N.A.")</f>
        <v>0</v>
      </c>
      <c r="AG258" s="2" t="str">
        <f>Tab_Data_Flows[[#This Row],[E1_UoM]]</f>
        <v>Mg</v>
      </c>
      <c r="AH258" s="2">
        <f>_xlfn.XLOOKUP(Tab_Data_Flows[[#This Row],[Flow_Name]],Tab_Def_Flows[Flow_Name],Tab_Def_Flows[Flow_E5_Fraction'[%']],"N.A.",0,1)</f>
        <v>0</v>
      </c>
      <c r="AI258" s="2">
        <f>IF(H258="Yes",Tab_Data_Flows[[#This Row],[E5_Fraction'[%']]]*Tab_Data_Flows[[#This Row],[E1_value]],"N.A.")</f>
        <v>0</v>
      </c>
      <c r="AJ258" s="2" t="str">
        <f>Tab_Data_Flows[[#This Row],[E1_UoM]]</f>
        <v>Mg</v>
      </c>
      <c r="AK258" s="19">
        <f>_xlfn.XLOOKUP(Tab_Data_Flows[[#This Row],[Flow_Name]],Tab_Def_Flows[Flow_Name],Tab_Def_Flows[Flow_E6_Fraction'[%']],"N.A.",0,1)</f>
        <v>0</v>
      </c>
      <c r="AL258" s="2">
        <f>IF(Tab_Data_Flows[[#This Row],[Use_E6]]="Yes",Tab_Data_Flows[[#This Row],[E6_Fraction'[%']]]*Tab_Data_Flows[[#This Row],[E1_value]],"N.A.")</f>
        <v>0</v>
      </c>
      <c r="AM258" s="2" t="str">
        <f>Tab_Data_Flows[[#This Row],[E1_UoM]]</f>
        <v>Mg</v>
      </c>
    </row>
    <row r="259" spans="1:39" x14ac:dyDescent="0.25">
      <c r="A259" s="4">
        <f t="shared" ref="A259:A322" si="9">ROW()-1</f>
        <v>258</v>
      </c>
      <c r="B259" s="2" t="str">
        <f>_xlfn.XLOOKUP(C259,Tab_Def_Flows[Flow_Name],Tab_Def_Flows[Flow_ID],,0,)</f>
        <v>F__</v>
      </c>
      <c r="C259" s="18" t="s">
        <v>5</v>
      </c>
      <c r="D259" s="5" t="str">
        <f>_xlfn.XLOOKUP(C259,Tab_Def_Flows[Flow_Name],Tab_Def_Flows[Use_E1],,0,)</f>
        <v>Yes</v>
      </c>
      <c r="E259" s="5" t="str">
        <f>_xlfn.XLOOKUP(C259,Tab_Def_Flows[Flow_Name],Tab_Def_Flows[Use_E2],,0,)</f>
        <v>Yes</v>
      </c>
      <c r="F259" s="5" t="str">
        <f>_xlfn.XLOOKUP(C259,Tab_Def_Flows[Flow_Name],Tab_Def_Flows[Use_E3],,0,)</f>
        <v>Yes</v>
      </c>
      <c r="G259" s="5" t="str">
        <f>_xlfn.XLOOKUP(C259,Tab_Def_Flows[Flow_Name],Tab_Def_Flows[Use_E4],,0,)</f>
        <v>Yes</v>
      </c>
      <c r="H259" s="5" t="str">
        <f>_xlfn.XLOOKUP(C259,Tab_Def_Flows[Flow_Name],Tab_Def_Flows[Use_E5],,0,)</f>
        <v>Yes</v>
      </c>
      <c r="I259" s="5" t="str">
        <f>_xlfn.XLOOKUP(C259,Tab_Def_Flows[Flow_Name],Tab_Def_Flows[Use_E6],,0,)</f>
        <v>Yes</v>
      </c>
      <c r="J259" s="3"/>
      <c r="K259" s="3"/>
      <c r="L259" s="2" t="str">
        <f>'0_Configuration'!$C$41</f>
        <v>Mg</v>
      </c>
      <c r="M259" s="9"/>
      <c r="N259" s="9"/>
      <c r="O259" s="9"/>
      <c r="P259" s="9"/>
      <c r="Q259" s="18" t="s">
        <v>3</v>
      </c>
      <c r="R259" s="10"/>
      <c r="S259" s="3"/>
      <c r="T259" s="9"/>
      <c r="U259" s="9"/>
      <c r="V259" s="2">
        <f>_xlfn.XLOOKUP(Tab_Data_Flows[[#This Row],[Flow_Name]],Tab_Def_Flows[Flow_Name],Tab_Def_Flows[Flow_E1_Fraction'[%']],"N.A.",0,1)</f>
        <v>0</v>
      </c>
      <c r="W259" s="8">
        <f t="shared" si="8"/>
        <v>0</v>
      </c>
      <c r="X259" s="2" t="str">
        <f>Tab_Data_Flows[[#This Row],[UoM_Source]]</f>
        <v>Mg</v>
      </c>
      <c r="Y259" s="19">
        <f>_xlfn.XLOOKUP(Tab_Data_Flows[[#This Row],[Flow_Name]],Tab_Def_Flows[Flow_Name],Tab_Def_Flows[Flow_E2_Fraction'[%']],"N.A.",0,1)</f>
        <v>0</v>
      </c>
      <c r="Z259" s="2">
        <f>IF(D259="Yes",W259*Tab_Data_Flows[[#This Row],[E2_Fraction'[%']]],"N.A.")</f>
        <v>0</v>
      </c>
      <c r="AA259" s="2" t="str">
        <f>Tab_Data_Flows[[#This Row],[E1_UoM]]</f>
        <v>Mg</v>
      </c>
      <c r="AB259" s="19">
        <f>_xlfn.XLOOKUP(Tab_Data_Flows[[#This Row],[Flow_Name]],Tab_Def_Flows[Flow_Name],Tab_Def_Flows[Flow_E3_Fraction'[%']],"N.A.",0,1)</f>
        <v>0</v>
      </c>
      <c r="AC259" s="2">
        <f>IF(E259="Yes",AB259*Tab_Data_Flows[[#This Row],[E1_value]],"N.A.")</f>
        <v>0</v>
      </c>
      <c r="AD259" s="2" t="str">
        <f>Tab_Data_Flows[[#This Row],[E1_UoM]]</f>
        <v>Mg</v>
      </c>
      <c r="AE259" s="19">
        <f>_xlfn.XLOOKUP(Tab_Data_Flows[[#This Row],[Flow_Name]],Tab_Def_Flows[Flow_Name],Tab_Def_Flows[Flow_E4_Fraction'[%']],"N.A.",0,1)</f>
        <v>0</v>
      </c>
      <c r="AF259" s="2">
        <f>IF(H259="Yes",Tab_Data_Flows[[#This Row],[E4_Fraction'[%']]]*Tab_Data_Flows[[#This Row],[E1_value]],"N.A.")</f>
        <v>0</v>
      </c>
      <c r="AG259" s="2" t="str">
        <f>Tab_Data_Flows[[#This Row],[E1_UoM]]</f>
        <v>Mg</v>
      </c>
      <c r="AH259" s="2">
        <f>_xlfn.XLOOKUP(Tab_Data_Flows[[#This Row],[Flow_Name]],Tab_Def_Flows[Flow_Name],Tab_Def_Flows[Flow_E5_Fraction'[%']],"N.A.",0,1)</f>
        <v>0</v>
      </c>
      <c r="AI259" s="2">
        <f>IF(H259="Yes",Tab_Data_Flows[[#This Row],[E5_Fraction'[%']]]*Tab_Data_Flows[[#This Row],[E1_value]],"N.A.")</f>
        <v>0</v>
      </c>
      <c r="AJ259" s="2" t="str">
        <f>Tab_Data_Flows[[#This Row],[E1_UoM]]</f>
        <v>Mg</v>
      </c>
      <c r="AK259" s="19">
        <f>_xlfn.XLOOKUP(Tab_Data_Flows[[#This Row],[Flow_Name]],Tab_Def_Flows[Flow_Name],Tab_Def_Flows[Flow_E6_Fraction'[%']],"N.A.",0,1)</f>
        <v>0</v>
      </c>
      <c r="AL259" s="2">
        <f>IF(Tab_Data_Flows[[#This Row],[Use_E6]]="Yes",Tab_Data_Flows[[#This Row],[E6_Fraction'[%']]]*Tab_Data_Flows[[#This Row],[E1_value]],"N.A.")</f>
        <v>0</v>
      </c>
      <c r="AM259" s="2" t="str">
        <f>Tab_Data_Flows[[#This Row],[E1_UoM]]</f>
        <v>Mg</v>
      </c>
    </row>
    <row r="260" spans="1:39" x14ac:dyDescent="0.25">
      <c r="A260" s="4">
        <f t="shared" si="9"/>
        <v>259</v>
      </c>
      <c r="B260" s="2" t="str">
        <f>_xlfn.XLOOKUP(C260,Tab_Def_Flows[Flow_Name],Tab_Def_Flows[Flow_ID],,0,)</f>
        <v>F__</v>
      </c>
      <c r="C260" s="18" t="s">
        <v>5</v>
      </c>
      <c r="D260" s="5" t="str">
        <f>_xlfn.XLOOKUP(C260,Tab_Def_Flows[Flow_Name],Tab_Def_Flows[Use_E1],,0,)</f>
        <v>Yes</v>
      </c>
      <c r="E260" s="5" t="str">
        <f>_xlfn.XLOOKUP(C260,Tab_Def_Flows[Flow_Name],Tab_Def_Flows[Use_E2],,0,)</f>
        <v>Yes</v>
      </c>
      <c r="F260" s="5" t="str">
        <f>_xlfn.XLOOKUP(C260,Tab_Def_Flows[Flow_Name],Tab_Def_Flows[Use_E3],,0,)</f>
        <v>Yes</v>
      </c>
      <c r="G260" s="5" t="str">
        <f>_xlfn.XLOOKUP(C260,Tab_Def_Flows[Flow_Name],Tab_Def_Flows[Use_E4],,0,)</f>
        <v>Yes</v>
      </c>
      <c r="H260" s="5" t="str">
        <f>_xlfn.XLOOKUP(C260,Tab_Def_Flows[Flow_Name],Tab_Def_Flows[Use_E5],,0,)</f>
        <v>Yes</v>
      </c>
      <c r="I260" s="5" t="str">
        <f>_xlfn.XLOOKUP(C260,Tab_Def_Flows[Flow_Name],Tab_Def_Flows[Use_E6],,0,)</f>
        <v>Yes</v>
      </c>
      <c r="J260" s="3"/>
      <c r="K260" s="3"/>
      <c r="L260" s="2" t="str">
        <f>'0_Configuration'!$C$41</f>
        <v>Mg</v>
      </c>
      <c r="M260" s="9"/>
      <c r="N260" s="9"/>
      <c r="O260" s="9"/>
      <c r="P260" s="9"/>
      <c r="Q260" s="18" t="s">
        <v>3</v>
      </c>
      <c r="R260" s="10"/>
      <c r="S260" s="3"/>
      <c r="T260" s="9"/>
      <c r="U260" s="9"/>
      <c r="V260" s="2">
        <f>_xlfn.XLOOKUP(Tab_Data_Flows[[#This Row],[Flow_Name]],Tab_Def_Flows[Flow_Name],Tab_Def_Flows[Flow_E1_Fraction'[%']],"N.A.",0,1)</f>
        <v>0</v>
      </c>
      <c r="W260" s="8">
        <f t="shared" si="8"/>
        <v>0</v>
      </c>
      <c r="X260" s="2" t="str">
        <f>Tab_Data_Flows[[#This Row],[UoM_Source]]</f>
        <v>Mg</v>
      </c>
      <c r="Y260" s="19">
        <f>_xlfn.XLOOKUP(Tab_Data_Flows[[#This Row],[Flow_Name]],Tab_Def_Flows[Flow_Name],Tab_Def_Flows[Flow_E2_Fraction'[%']],"N.A.",0,1)</f>
        <v>0</v>
      </c>
      <c r="Z260" s="2">
        <f>IF(D260="Yes",W260*Tab_Data_Flows[[#This Row],[E2_Fraction'[%']]],"N.A.")</f>
        <v>0</v>
      </c>
      <c r="AA260" s="2" t="str">
        <f>Tab_Data_Flows[[#This Row],[E1_UoM]]</f>
        <v>Mg</v>
      </c>
      <c r="AB260" s="19">
        <f>_xlfn.XLOOKUP(Tab_Data_Flows[[#This Row],[Flow_Name]],Tab_Def_Flows[Flow_Name],Tab_Def_Flows[Flow_E3_Fraction'[%']],"N.A.",0,1)</f>
        <v>0</v>
      </c>
      <c r="AC260" s="2">
        <f>IF(E260="Yes",AB260*Tab_Data_Flows[[#This Row],[E1_value]],"N.A.")</f>
        <v>0</v>
      </c>
      <c r="AD260" s="2" t="str">
        <f>Tab_Data_Flows[[#This Row],[E1_UoM]]</f>
        <v>Mg</v>
      </c>
      <c r="AE260" s="19">
        <f>_xlfn.XLOOKUP(Tab_Data_Flows[[#This Row],[Flow_Name]],Tab_Def_Flows[Flow_Name],Tab_Def_Flows[Flow_E4_Fraction'[%']],"N.A.",0,1)</f>
        <v>0</v>
      </c>
      <c r="AF260" s="2">
        <f>IF(H260="Yes",Tab_Data_Flows[[#This Row],[E4_Fraction'[%']]]*Tab_Data_Flows[[#This Row],[E1_value]],"N.A.")</f>
        <v>0</v>
      </c>
      <c r="AG260" s="2" t="str">
        <f>Tab_Data_Flows[[#This Row],[E1_UoM]]</f>
        <v>Mg</v>
      </c>
      <c r="AH260" s="2">
        <f>_xlfn.XLOOKUP(Tab_Data_Flows[[#This Row],[Flow_Name]],Tab_Def_Flows[Flow_Name],Tab_Def_Flows[Flow_E5_Fraction'[%']],"N.A.",0,1)</f>
        <v>0</v>
      </c>
      <c r="AI260" s="2">
        <f>IF(H260="Yes",Tab_Data_Flows[[#This Row],[E5_Fraction'[%']]]*Tab_Data_Flows[[#This Row],[E1_value]],"N.A.")</f>
        <v>0</v>
      </c>
      <c r="AJ260" s="2" t="str">
        <f>Tab_Data_Flows[[#This Row],[E1_UoM]]</f>
        <v>Mg</v>
      </c>
      <c r="AK260" s="19">
        <f>_xlfn.XLOOKUP(Tab_Data_Flows[[#This Row],[Flow_Name]],Tab_Def_Flows[Flow_Name],Tab_Def_Flows[Flow_E6_Fraction'[%']],"N.A.",0,1)</f>
        <v>0</v>
      </c>
      <c r="AL260" s="2">
        <f>IF(Tab_Data_Flows[[#This Row],[Use_E6]]="Yes",Tab_Data_Flows[[#This Row],[E6_Fraction'[%']]]*Tab_Data_Flows[[#This Row],[E1_value]],"N.A.")</f>
        <v>0</v>
      </c>
      <c r="AM260" s="2" t="str">
        <f>Tab_Data_Flows[[#This Row],[E1_UoM]]</f>
        <v>Mg</v>
      </c>
    </row>
    <row r="261" spans="1:39" x14ac:dyDescent="0.25">
      <c r="A261" s="4">
        <f t="shared" si="9"/>
        <v>260</v>
      </c>
      <c r="B261" s="2" t="str">
        <f>_xlfn.XLOOKUP(C261,Tab_Def_Flows[Flow_Name],Tab_Def_Flows[Flow_ID],,0,)</f>
        <v>F__</v>
      </c>
      <c r="C261" s="18" t="s">
        <v>5</v>
      </c>
      <c r="D261" s="5" t="str">
        <f>_xlfn.XLOOKUP(C261,Tab_Def_Flows[Flow_Name],Tab_Def_Flows[Use_E1],,0,)</f>
        <v>Yes</v>
      </c>
      <c r="E261" s="5" t="str">
        <f>_xlfn.XLOOKUP(C261,Tab_Def_Flows[Flow_Name],Tab_Def_Flows[Use_E2],,0,)</f>
        <v>Yes</v>
      </c>
      <c r="F261" s="5" t="str">
        <f>_xlfn.XLOOKUP(C261,Tab_Def_Flows[Flow_Name],Tab_Def_Flows[Use_E3],,0,)</f>
        <v>Yes</v>
      </c>
      <c r="G261" s="5" t="str">
        <f>_xlfn.XLOOKUP(C261,Tab_Def_Flows[Flow_Name],Tab_Def_Flows[Use_E4],,0,)</f>
        <v>Yes</v>
      </c>
      <c r="H261" s="5" t="str">
        <f>_xlfn.XLOOKUP(C261,Tab_Def_Flows[Flow_Name],Tab_Def_Flows[Use_E5],,0,)</f>
        <v>Yes</v>
      </c>
      <c r="I261" s="5" t="str">
        <f>_xlfn.XLOOKUP(C261,Tab_Def_Flows[Flow_Name],Tab_Def_Flows[Use_E6],,0,)</f>
        <v>Yes</v>
      </c>
      <c r="J261" s="3"/>
      <c r="K261" s="3"/>
      <c r="L261" s="2" t="str">
        <f>'0_Configuration'!$C$41</f>
        <v>Mg</v>
      </c>
      <c r="M261" s="9"/>
      <c r="N261" s="9"/>
      <c r="O261" s="9"/>
      <c r="P261" s="9"/>
      <c r="Q261" s="18" t="s">
        <v>3</v>
      </c>
      <c r="R261" s="10"/>
      <c r="S261" s="3"/>
      <c r="T261" s="9"/>
      <c r="U261" s="9"/>
      <c r="V261" s="2">
        <f>_xlfn.XLOOKUP(Tab_Data_Flows[[#This Row],[Flow_Name]],Tab_Def_Flows[Flow_Name],Tab_Def_Flows[Flow_E1_Fraction'[%']],"N.A.",0,1)</f>
        <v>0</v>
      </c>
      <c r="W261" s="8">
        <f t="shared" si="8"/>
        <v>0</v>
      </c>
      <c r="X261" s="2" t="str">
        <f>Tab_Data_Flows[[#This Row],[UoM_Source]]</f>
        <v>Mg</v>
      </c>
      <c r="Y261" s="19">
        <f>_xlfn.XLOOKUP(Tab_Data_Flows[[#This Row],[Flow_Name]],Tab_Def_Flows[Flow_Name],Tab_Def_Flows[Flow_E2_Fraction'[%']],"N.A.",0,1)</f>
        <v>0</v>
      </c>
      <c r="Z261" s="2">
        <f>IF(D261="Yes",W261*Tab_Data_Flows[[#This Row],[E2_Fraction'[%']]],"N.A.")</f>
        <v>0</v>
      </c>
      <c r="AA261" s="2" t="str">
        <f>Tab_Data_Flows[[#This Row],[E1_UoM]]</f>
        <v>Mg</v>
      </c>
      <c r="AB261" s="19">
        <f>_xlfn.XLOOKUP(Tab_Data_Flows[[#This Row],[Flow_Name]],Tab_Def_Flows[Flow_Name],Tab_Def_Flows[Flow_E3_Fraction'[%']],"N.A.",0,1)</f>
        <v>0</v>
      </c>
      <c r="AC261" s="2">
        <f>IF(E261="Yes",AB261*Tab_Data_Flows[[#This Row],[E1_value]],"N.A.")</f>
        <v>0</v>
      </c>
      <c r="AD261" s="2" t="str">
        <f>Tab_Data_Flows[[#This Row],[E1_UoM]]</f>
        <v>Mg</v>
      </c>
      <c r="AE261" s="19">
        <f>_xlfn.XLOOKUP(Tab_Data_Flows[[#This Row],[Flow_Name]],Tab_Def_Flows[Flow_Name],Tab_Def_Flows[Flow_E4_Fraction'[%']],"N.A.",0,1)</f>
        <v>0</v>
      </c>
      <c r="AF261" s="2">
        <f>IF(H261="Yes",Tab_Data_Flows[[#This Row],[E4_Fraction'[%']]]*Tab_Data_Flows[[#This Row],[E1_value]],"N.A.")</f>
        <v>0</v>
      </c>
      <c r="AG261" s="2" t="str">
        <f>Tab_Data_Flows[[#This Row],[E1_UoM]]</f>
        <v>Mg</v>
      </c>
      <c r="AH261" s="2">
        <f>_xlfn.XLOOKUP(Tab_Data_Flows[[#This Row],[Flow_Name]],Tab_Def_Flows[Flow_Name],Tab_Def_Flows[Flow_E5_Fraction'[%']],"N.A.",0,1)</f>
        <v>0</v>
      </c>
      <c r="AI261" s="2">
        <f>IF(H261="Yes",Tab_Data_Flows[[#This Row],[E5_Fraction'[%']]]*Tab_Data_Flows[[#This Row],[E1_value]],"N.A.")</f>
        <v>0</v>
      </c>
      <c r="AJ261" s="2" t="str">
        <f>Tab_Data_Flows[[#This Row],[E1_UoM]]</f>
        <v>Mg</v>
      </c>
      <c r="AK261" s="19">
        <f>_xlfn.XLOOKUP(Tab_Data_Flows[[#This Row],[Flow_Name]],Tab_Def_Flows[Flow_Name],Tab_Def_Flows[Flow_E6_Fraction'[%']],"N.A.",0,1)</f>
        <v>0</v>
      </c>
      <c r="AL261" s="2">
        <f>IF(Tab_Data_Flows[[#This Row],[Use_E6]]="Yes",Tab_Data_Flows[[#This Row],[E6_Fraction'[%']]]*Tab_Data_Flows[[#This Row],[E1_value]],"N.A.")</f>
        <v>0</v>
      </c>
      <c r="AM261" s="2" t="str">
        <f>Tab_Data_Flows[[#This Row],[E1_UoM]]</f>
        <v>Mg</v>
      </c>
    </row>
    <row r="262" spans="1:39" x14ac:dyDescent="0.25">
      <c r="A262" s="4">
        <f t="shared" si="9"/>
        <v>261</v>
      </c>
      <c r="B262" s="2" t="str">
        <f>_xlfn.XLOOKUP(C262,Tab_Def_Flows[Flow_Name],Tab_Def_Flows[Flow_ID],,0,)</f>
        <v>F__</v>
      </c>
      <c r="C262" s="18" t="s">
        <v>5</v>
      </c>
      <c r="D262" s="5" t="str">
        <f>_xlfn.XLOOKUP(C262,Tab_Def_Flows[Flow_Name],Tab_Def_Flows[Use_E1],,0,)</f>
        <v>Yes</v>
      </c>
      <c r="E262" s="5" t="str">
        <f>_xlfn.XLOOKUP(C262,Tab_Def_Flows[Flow_Name],Tab_Def_Flows[Use_E2],,0,)</f>
        <v>Yes</v>
      </c>
      <c r="F262" s="5" t="str">
        <f>_xlfn.XLOOKUP(C262,Tab_Def_Flows[Flow_Name],Tab_Def_Flows[Use_E3],,0,)</f>
        <v>Yes</v>
      </c>
      <c r="G262" s="5" t="str">
        <f>_xlfn.XLOOKUP(C262,Tab_Def_Flows[Flow_Name],Tab_Def_Flows[Use_E4],,0,)</f>
        <v>Yes</v>
      </c>
      <c r="H262" s="5" t="str">
        <f>_xlfn.XLOOKUP(C262,Tab_Def_Flows[Flow_Name],Tab_Def_Flows[Use_E5],,0,)</f>
        <v>Yes</v>
      </c>
      <c r="I262" s="5" t="str">
        <f>_xlfn.XLOOKUP(C262,Tab_Def_Flows[Flow_Name],Tab_Def_Flows[Use_E6],,0,)</f>
        <v>Yes</v>
      </c>
      <c r="J262" s="3"/>
      <c r="K262" s="3"/>
      <c r="L262" s="2" t="str">
        <f>'0_Configuration'!$C$41</f>
        <v>Mg</v>
      </c>
      <c r="M262" s="9"/>
      <c r="N262" s="9"/>
      <c r="O262" s="9"/>
      <c r="P262" s="9"/>
      <c r="Q262" s="18" t="s">
        <v>3</v>
      </c>
      <c r="R262" s="10"/>
      <c r="S262" s="3"/>
      <c r="T262" s="9"/>
      <c r="U262" s="9"/>
      <c r="V262" s="2">
        <f>_xlfn.XLOOKUP(Tab_Data_Flows[[#This Row],[Flow_Name]],Tab_Def_Flows[Flow_Name],Tab_Def_Flows[Flow_E1_Fraction'[%']],"N.A.",0,1)</f>
        <v>0</v>
      </c>
      <c r="W262" s="8">
        <f t="shared" si="8"/>
        <v>0</v>
      </c>
      <c r="X262" s="2" t="str">
        <f>Tab_Data_Flows[[#This Row],[UoM_Source]]</f>
        <v>Mg</v>
      </c>
      <c r="Y262" s="19">
        <f>_xlfn.XLOOKUP(Tab_Data_Flows[[#This Row],[Flow_Name]],Tab_Def_Flows[Flow_Name],Tab_Def_Flows[Flow_E2_Fraction'[%']],"N.A.",0,1)</f>
        <v>0</v>
      </c>
      <c r="Z262" s="2">
        <f>IF(D262="Yes",W262*Tab_Data_Flows[[#This Row],[E2_Fraction'[%']]],"N.A.")</f>
        <v>0</v>
      </c>
      <c r="AA262" s="2" t="str">
        <f>Tab_Data_Flows[[#This Row],[E1_UoM]]</f>
        <v>Mg</v>
      </c>
      <c r="AB262" s="19">
        <f>_xlfn.XLOOKUP(Tab_Data_Flows[[#This Row],[Flow_Name]],Tab_Def_Flows[Flow_Name],Tab_Def_Flows[Flow_E3_Fraction'[%']],"N.A.",0,1)</f>
        <v>0</v>
      </c>
      <c r="AC262" s="2">
        <f>IF(E262="Yes",AB262*Tab_Data_Flows[[#This Row],[E1_value]],"N.A.")</f>
        <v>0</v>
      </c>
      <c r="AD262" s="2" t="str">
        <f>Tab_Data_Flows[[#This Row],[E1_UoM]]</f>
        <v>Mg</v>
      </c>
      <c r="AE262" s="19">
        <f>_xlfn.XLOOKUP(Tab_Data_Flows[[#This Row],[Flow_Name]],Tab_Def_Flows[Flow_Name],Tab_Def_Flows[Flow_E4_Fraction'[%']],"N.A.",0,1)</f>
        <v>0</v>
      </c>
      <c r="AF262" s="2">
        <f>IF(H262="Yes",Tab_Data_Flows[[#This Row],[E4_Fraction'[%']]]*Tab_Data_Flows[[#This Row],[E1_value]],"N.A.")</f>
        <v>0</v>
      </c>
      <c r="AG262" s="2" t="str">
        <f>Tab_Data_Flows[[#This Row],[E1_UoM]]</f>
        <v>Mg</v>
      </c>
      <c r="AH262" s="2">
        <f>_xlfn.XLOOKUP(Tab_Data_Flows[[#This Row],[Flow_Name]],Tab_Def_Flows[Flow_Name],Tab_Def_Flows[Flow_E5_Fraction'[%']],"N.A.",0,1)</f>
        <v>0</v>
      </c>
      <c r="AI262" s="2">
        <f>IF(H262="Yes",Tab_Data_Flows[[#This Row],[E5_Fraction'[%']]]*Tab_Data_Flows[[#This Row],[E1_value]],"N.A.")</f>
        <v>0</v>
      </c>
      <c r="AJ262" s="2" t="str">
        <f>Tab_Data_Flows[[#This Row],[E1_UoM]]</f>
        <v>Mg</v>
      </c>
      <c r="AK262" s="19">
        <f>_xlfn.XLOOKUP(Tab_Data_Flows[[#This Row],[Flow_Name]],Tab_Def_Flows[Flow_Name],Tab_Def_Flows[Flow_E6_Fraction'[%']],"N.A.",0,1)</f>
        <v>0</v>
      </c>
      <c r="AL262" s="2">
        <f>IF(Tab_Data_Flows[[#This Row],[Use_E6]]="Yes",Tab_Data_Flows[[#This Row],[E6_Fraction'[%']]]*Tab_Data_Flows[[#This Row],[E1_value]],"N.A.")</f>
        <v>0</v>
      </c>
      <c r="AM262" s="2" t="str">
        <f>Tab_Data_Flows[[#This Row],[E1_UoM]]</f>
        <v>Mg</v>
      </c>
    </row>
    <row r="263" spans="1:39" x14ac:dyDescent="0.25">
      <c r="A263" s="4">
        <f t="shared" si="9"/>
        <v>262</v>
      </c>
      <c r="B263" s="2" t="str">
        <f>_xlfn.XLOOKUP(C263,Tab_Def_Flows[Flow_Name],Tab_Def_Flows[Flow_ID],,0,)</f>
        <v>F__</v>
      </c>
      <c r="C263" s="18" t="s">
        <v>5</v>
      </c>
      <c r="D263" s="5" t="str">
        <f>_xlfn.XLOOKUP(C263,Tab_Def_Flows[Flow_Name],Tab_Def_Flows[Use_E1],,0,)</f>
        <v>Yes</v>
      </c>
      <c r="E263" s="5" t="str">
        <f>_xlfn.XLOOKUP(C263,Tab_Def_Flows[Flow_Name],Tab_Def_Flows[Use_E2],,0,)</f>
        <v>Yes</v>
      </c>
      <c r="F263" s="5" t="str">
        <f>_xlfn.XLOOKUP(C263,Tab_Def_Flows[Flow_Name],Tab_Def_Flows[Use_E3],,0,)</f>
        <v>Yes</v>
      </c>
      <c r="G263" s="5" t="str">
        <f>_xlfn.XLOOKUP(C263,Tab_Def_Flows[Flow_Name],Tab_Def_Flows[Use_E4],,0,)</f>
        <v>Yes</v>
      </c>
      <c r="H263" s="5" t="str">
        <f>_xlfn.XLOOKUP(C263,Tab_Def_Flows[Flow_Name],Tab_Def_Flows[Use_E5],,0,)</f>
        <v>Yes</v>
      </c>
      <c r="I263" s="5" t="str">
        <f>_xlfn.XLOOKUP(C263,Tab_Def_Flows[Flow_Name],Tab_Def_Flows[Use_E6],,0,)</f>
        <v>Yes</v>
      </c>
      <c r="J263" s="3"/>
      <c r="K263" s="3"/>
      <c r="L263" s="2" t="str">
        <f>'0_Configuration'!$C$41</f>
        <v>Mg</v>
      </c>
      <c r="M263" s="9"/>
      <c r="N263" s="9"/>
      <c r="O263" s="9"/>
      <c r="P263" s="9"/>
      <c r="Q263" s="18" t="s">
        <v>3</v>
      </c>
      <c r="R263" s="10"/>
      <c r="S263" s="3"/>
      <c r="T263" s="9"/>
      <c r="U263" s="9"/>
      <c r="V263" s="2">
        <f>_xlfn.XLOOKUP(Tab_Data_Flows[[#This Row],[Flow_Name]],Tab_Def_Flows[Flow_Name],Tab_Def_Flows[Flow_E1_Fraction'[%']],"N.A.",0,1)</f>
        <v>0</v>
      </c>
      <c r="W263" s="8">
        <f t="shared" si="8"/>
        <v>0</v>
      </c>
      <c r="X263" s="2" t="str">
        <f>Tab_Data_Flows[[#This Row],[UoM_Source]]</f>
        <v>Mg</v>
      </c>
      <c r="Y263" s="19">
        <f>_xlfn.XLOOKUP(Tab_Data_Flows[[#This Row],[Flow_Name]],Tab_Def_Flows[Flow_Name],Tab_Def_Flows[Flow_E2_Fraction'[%']],"N.A.",0,1)</f>
        <v>0</v>
      </c>
      <c r="Z263" s="2">
        <f>IF(D263="Yes",W263*Tab_Data_Flows[[#This Row],[E2_Fraction'[%']]],"N.A.")</f>
        <v>0</v>
      </c>
      <c r="AA263" s="2" t="str">
        <f>Tab_Data_Flows[[#This Row],[E1_UoM]]</f>
        <v>Mg</v>
      </c>
      <c r="AB263" s="19">
        <f>_xlfn.XLOOKUP(Tab_Data_Flows[[#This Row],[Flow_Name]],Tab_Def_Flows[Flow_Name],Tab_Def_Flows[Flow_E3_Fraction'[%']],"N.A.",0,1)</f>
        <v>0</v>
      </c>
      <c r="AC263" s="2">
        <f>IF(E263="Yes",AB263*Tab_Data_Flows[[#This Row],[E1_value]],"N.A.")</f>
        <v>0</v>
      </c>
      <c r="AD263" s="2" t="str">
        <f>Tab_Data_Flows[[#This Row],[E1_UoM]]</f>
        <v>Mg</v>
      </c>
      <c r="AE263" s="19">
        <f>_xlfn.XLOOKUP(Tab_Data_Flows[[#This Row],[Flow_Name]],Tab_Def_Flows[Flow_Name],Tab_Def_Flows[Flow_E4_Fraction'[%']],"N.A.",0,1)</f>
        <v>0</v>
      </c>
      <c r="AF263" s="2">
        <f>IF(H263="Yes",Tab_Data_Flows[[#This Row],[E4_Fraction'[%']]]*Tab_Data_Flows[[#This Row],[E1_value]],"N.A.")</f>
        <v>0</v>
      </c>
      <c r="AG263" s="2" t="str">
        <f>Tab_Data_Flows[[#This Row],[E1_UoM]]</f>
        <v>Mg</v>
      </c>
      <c r="AH263" s="2">
        <f>_xlfn.XLOOKUP(Tab_Data_Flows[[#This Row],[Flow_Name]],Tab_Def_Flows[Flow_Name],Tab_Def_Flows[Flow_E5_Fraction'[%']],"N.A.",0,1)</f>
        <v>0</v>
      </c>
      <c r="AI263" s="2">
        <f>IF(H263="Yes",Tab_Data_Flows[[#This Row],[E5_Fraction'[%']]]*Tab_Data_Flows[[#This Row],[E1_value]],"N.A.")</f>
        <v>0</v>
      </c>
      <c r="AJ263" s="2" t="str">
        <f>Tab_Data_Flows[[#This Row],[E1_UoM]]</f>
        <v>Mg</v>
      </c>
      <c r="AK263" s="19">
        <f>_xlfn.XLOOKUP(Tab_Data_Flows[[#This Row],[Flow_Name]],Tab_Def_Flows[Flow_Name],Tab_Def_Flows[Flow_E6_Fraction'[%']],"N.A.",0,1)</f>
        <v>0</v>
      </c>
      <c r="AL263" s="2">
        <f>IF(Tab_Data_Flows[[#This Row],[Use_E6]]="Yes",Tab_Data_Flows[[#This Row],[E6_Fraction'[%']]]*Tab_Data_Flows[[#This Row],[E1_value]],"N.A.")</f>
        <v>0</v>
      </c>
      <c r="AM263" s="2" t="str">
        <f>Tab_Data_Flows[[#This Row],[E1_UoM]]</f>
        <v>Mg</v>
      </c>
    </row>
    <row r="264" spans="1:39" x14ac:dyDescent="0.25">
      <c r="A264" s="4">
        <f t="shared" si="9"/>
        <v>263</v>
      </c>
      <c r="B264" s="2" t="str">
        <f>_xlfn.XLOOKUP(C264,Tab_Def_Flows[Flow_Name],Tab_Def_Flows[Flow_ID],,0,)</f>
        <v>F__</v>
      </c>
      <c r="C264" s="18" t="s">
        <v>5</v>
      </c>
      <c r="D264" s="5" t="str">
        <f>_xlfn.XLOOKUP(C264,Tab_Def_Flows[Flow_Name],Tab_Def_Flows[Use_E1],,0,)</f>
        <v>Yes</v>
      </c>
      <c r="E264" s="5" t="str">
        <f>_xlfn.XLOOKUP(C264,Tab_Def_Flows[Flow_Name],Tab_Def_Flows[Use_E2],,0,)</f>
        <v>Yes</v>
      </c>
      <c r="F264" s="5" t="str">
        <f>_xlfn.XLOOKUP(C264,Tab_Def_Flows[Flow_Name],Tab_Def_Flows[Use_E3],,0,)</f>
        <v>Yes</v>
      </c>
      <c r="G264" s="5" t="str">
        <f>_xlfn.XLOOKUP(C264,Tab_Def_Flows[Flow_Name],Tab_Def_Flows[Use_E4],,0,)</f>
        <v>Yes</v>
      </c>
      <c r="H264" s="5" t="str">
        <f>_xlfn.XLOOKUP(C264,Tab_Def_Flows[Flow_Name],Tab_Def_Flows[Use_E5],,0,)</f>
        <v>Yes</v>
      </c>
      <c r="I264" s="5" t="str">
        <f>_xlfn.XLOOKUP(C264,Tab_Def_Flows[Flow_Name],Tab_Def_Flows[Use_E6],,0,)</f>
        <v>Yes</v>
      </c>
      <c r="J264" s="3"/>
      <c r="K264" s="3"/>
      <c r="L264" s="2" t="str">
        <f>'0_Configuration'!$C$41</f>
        <v>Mg</v>
      </c>
      <c r="M264" s="9"/>
      <c r="N264" s="9"/>
      <c r="O264" s="9"/>
      <c r="P264" s="9"/>
      <c r="Q264" s="18" t="s">
        <v>3</v>
      </c>
      <c r="R264" s="10"/>
      <c r="S264" s="3"/>
      <c r="T264" s="9"/>
      <c r="U264" s="9"/>
      <c r="V264" s="2">
        <f>_xlfn.XLOOKUP(Tab_Data_Flows[[#This Row],[Flow_Name]],Tab_Def_Flows[Flow_Name],Tab_Def_Flows[Flow_E1_Fraction'[%']],"N.A.",0,1)</f>
        <v>0</v>
      </c>
      <c r="W264" s="8">
        <f t="shared" si="8"/>
        <v>0</v>
      </c>
      <c r="X264" s="2" t="str">
        <f>Tab_Data_Flows[[#This Row],[UoM_Source]]</f>
        <v>Mg</v>
      </c>
      <c r="Y264" s="19">
        <f>_xlfn.XLOOKUP(Tab_Data_Flows[[#This Row],[Flow_Name]],Tab_Def_Flows[Flow_Name],Tab_Def_Flows[Flow_E2_Fraction'[%']],"N.A.",0,1)</f>
        <v>0</v>
      </c>
      <c r="Z264" s="2">
        <f>IF(D264="Yes",W264*Tab_Data_Flows[[#This Row],[E2_Fraction'[%']]],"N.A.")</f>
        <v>0</v>
      </c>
      <c r="AA264" s="2" t="str">
        <f>Tab_Data_Flows[[#This Row],[E1_UoM]]</f>
        <v>Mg</v>
      </c>
      <c r="AB264" s="19">
        <f>_xlfn.XLOOKUP(Tab_Data_Flows[[#This Row],[Flow_Name]],Tab_Def_Flows[Flow_Name],Tab_Def_Flows[Flow_E3_Fraction'[%']],"N.A.",0,1)</f>
        <v>0</v>
      </c>
      <c r="AC264" s="2">
        <f>IF(E264="Yes",AB264*Tab_Data_Flows[[#This Row],[E1_value]],"N.A.")</f>
        <v>0</v>
      </c>
      <c r="AD264" s="2" t="str">
        <f>Tab_Data_Flows[[#This Row],[E1_UoM]]</f>
        <v>Mg</v>
      </c>
      <c r="AE264" s="19">
        <f>_xlfn.XLOOKUP(Tab_Data_Flows[[#This Row],[Flow_Name]],Tab_Def_Flows[Flow_Name],Tab_Def_Flows[Flow_E4_Fraction'[%']],"N.A.",0,1)</f>
        <v>0</v>
      </c>
      <c r="AF264" s="2">
        <f>IF(H264="Yes",Tab_Data_Flows[[#This Row],[E4_Fraction'[%']]]*Tab_Data_Flows[[#This Row],[E1_value]],"N.A.")</f>
        <v>0</v>
      </c>
      <c r="AG264" s="2" t="str">
        <f>Tab_Data_Flows[[#This Row],[E1_UoM]]</f>
        <v>Mg</v>
      </c>
      <c r="AH264" s="2">
        <f>_xlfn.XLOOKUP(Tab_Data_Flows[[#This Row],[Flow_Name]],Tab_Def_Flows[Flow_Name],Tab_Def_Flows[Flow_E5_Fraction'[%']],"N.A.",0,1)</f>
        <v>0</v>
      </c>
      <c r="AI264" s="2">
        <f>IF(H264="Yes",Tab_Data_Flows[[#This Row],[E5_Fraction'[%']]]*Tab_Data_Flows[[#This Row],[E1_value]],"N.A.")</f>
        <v>0</v>
      </c>
      <c r="AJ264" s="2" t="str">
        <f>Tab_Data_Flows[[#This Row],[E1_UoM]]</f>
        <v>Mg</v>
      </c>
      <c r="AK264" s="19">
        <f>_xlfn.XLOOKUP(Tab_Data_Flows[[#This Row],[Flow_Name]],Tab_Def_Flows[Flow_Name],Tab_Def_Flows[Flow_E6_Fraction'[%']],"N.A.",0,1)</f>
        <v>0</v>
      </c>
      <c r="AL264" s="2">
        <f>IF(Tab_Data_Flows[[#This Row],[Use_E6]]="Yes",Tab_Data_Flows[[#This Row],[E6_Fraction'[%']]]*Tab_Data_Flows[[#This Row],[E1_value]],"N.A.")</f>
        <v>0</v>
      </c>
      <c r="AM264" s="2" t="str">
        <f>Tab_Data_Flows[[#This Row],[E1_UoM]]</f>
        <v>Mg</v>
      </c>
    </row>
    <row r="265" spans="1:39" x14ac:dyDescent="0.25">
      <c r="A265" s="4">
        <f t="shared" si="9"/>
        <v>264</v>
      </c>
      <c r="B265" s="2" t="str">
        <f>_xlfn.XLOOKUP(C265,Tab_Def_Flows[Flow_Name],Tab_Def_Flows[Flow_ID],,0,)</f>
        <v>F__</v>
      </c>
      <c r="C265" s="18" t="s">
        <v>5</v>
      </c>
      <c r="D265" s="5" t="str">
        <f>_xlfn.XLOOKUP(C265,Tab_Def_Flows[Flow_Name],Tab_Def_Flows[Use_E1],,0,)</f>
        <v>Yes</v>
      </c>
      <c r="E265" s="5" t="str">
        <f>_xlfn.XLOOKUP(C265,Tab_Def_Flows[Flow_Name],Tab_Def_Flows[Use_E2],,0,)</f>
        <v>Yes</v>
      </c>
      <c r="F265" s="5" t="str">
        <f>_xlfn.XLOOKUP(C265,Tab_Def_Flows[Flow_Name],Tab_Def_Flows[Use_E3],,0,)</f>
        <v>Yes</v>
      </c>
      <c r="G265" s="5" t="str">
        <f>_xlfn.XLOOKUP(C265,Tab_Def_Flows[Flow_Name],Tab_Def_Flows[Use_E4],,0,)</f>
        <v>Yes</v>
      </c>
      <c r="H265" s="5" t="str">
        <f>_xlfn.XLOOKUP(C265,Tab_Def_Flows[Flow_Name],Tab_Def_Flows[Use_E5],,0,)</f>
        <v>Yes</v>
      </c>
      <c r="I265" s="5" t="str">
        <f>_xlfn.XLOOKUP(C265,Tab_Def_Flows[Flow_Name],Tab_Def_Flows[Use_E6],,0,)</f>
        <v>Yes</v>
      </c>
      <c r="J265" s="3"/>
      <c r="K265" s="3"/>
      <c r="L265" s="2" t="str">
        <f>'0_Configuration'!$C$41</f>
        <v>Mg</v>
      </c>
      <c r="M265" s="9"/>
      <c r="N265" s="9"/>
      <c r="O265" s="9"/>
      <c r="P265" s="9"/>
      <c r="Q265" s="18" t="s">
        <v>3</v>
      </c>
      <c r="R265" s="10"/>
      <c r="S265" s="3"/>
      <c r="T265" s="9"/>
      <c r="U265" s="9"/>
      <c r="V265" s="2">
        <f>_xlfn.XLOOKUP(Tab_Data_Flows[[#This Row],[Flow_Name]],Tab_Def_Flows[Flow_Name],Tab_Def_Flows[Flow_E1_Fraction'[%']],"N.A.",0,1)</f>
        <v>0</v>
      </c>
      <c r="W265" s="8">
        <f t="shared" si="8"/>
        <v>0</v>
      </c>
      <c r="X265" s="2" t="str">
        <f>Tab_Data_Flows[[#This Row],[UoM_Source]]</f>
        <v>Mg</v>
      </c>
      <c r="Y265" s="19">
        <f>_xlfn.XLOOKUP(Tab_Data_Flows[[#This Row],[Flow_Name]],Tab_Def_Flows[Flow_Name],Tab_Def_Flows[Flow_E2_Fraction'[%']],"N.A.",0,1)</f>
        <v>0</v>
      </c>
      <c r="Z265" s="2">
        <f>IF(D265="Yes",W265*Tab_Data_Flows[[#This Row],[E2_Fraction'[%']]],"N.A.")</f>
        <v>0</v>
      </c>
      <c r="AA265" s="2" t="str">
        <f>Tab_Data_Flows[[#This Row],[E1_UoM]]</f>
        <v>Mg</v>
      </c>
      <c r="AB265" s="19">
        <f>_xlfn.XLOOKUP(Tab_Data_Flows[[#This Row],[Flow_Name]],Tab_Def_Flows[Flow_Name],Tab_Def_Flows[Flow_E3_Fraction'[%']],"N.A.",0,1)</f>
        <v>0</v>
      </c>
      <c r="AC265" s="2">
        <f>IF(E265="Yes",AB265*Tab_Data_Flows[[#This Row],[E1_value]],"N.A.")</f>
        <v>0</v>
      </c>
      <c r="AD265" s="2" t="str">
        <f>Tab_Data_Flows[[#This Row],[E1_UoM]]</f>
        <v>Mg</v>
      </c>
      <c r="AE265" s="19">
        <f>_xlfn.XLOOKUP(Tab_Data_Flows[[#This Row],[Flow_Name]],Tab_Def_Flows[Flow_Name],Tab_Def_Flows[Flow_E4_Fraction'[%']],"N.A.",0,1)</f>
        <v>0</v>
      </c>
      <c r="AF265" s="2">
        <f>IF(H265="Yes",Tab_Data_Flows[[#This Row],[E4_Fraction'[%']]]*Tab_Data_Flows[[#This Row],[E1_value]],"N.A.")</f>
        <v>0</v>
      </c>
      <c r="AG265" s="2" t="str">
        <f>Tab_Data_Flows[[#This Row],[E1_UoM]]</f>
        <v>Mg</v>
      </c>
      <c r="AH265" s="2">
        <f>_xlfn.XLOOKUP(Tab_Data_Flows[[#This Row],[Flow_Name]],Tab_Def_Flows[Flow_Name],Tab_Def_Flows[Flow_E5_Fraction'[%']],"N.A.",0,1)</f>
        <v>0</v>
      </c>
      <c r="AI265" s="2">
        <f>IF(H265="Yes",Tab_Data_Flows[[#This Row],[E5_Fraction'[%']]]*Tab_Data_Flows[[#This Row],[E1_value]],"N.A.")</f>
        <v>0</v>
      </c>
      <c r="AJ265" s="2" t="str">
        <f>Tab_Data_Flows[[#This Row],[E1_UoM]]</f>
        <v>Mg</v>
      </c>
      <c r="AK265" s="19">
        <f>_xlfn.XLOOKUP(Tab_Data_Flows[[#This Row],[Flow_Name]],Tab_Def_Flows[Flow_Name],Tab_Def_Flows[Flow_E6_Fraction'[%']],"N.A.",0,1)</f>
        <v>0</v>
      </c>
      <c r="AL265" s="2">
        <f>IF(Tab_Data_Flows[[#This Row],[Use_E6]]="Yes",Tab_Data_Flows[[#This Row],[E6_Fraction'[%']]]*Tab_Data_Flows[[#This Row],[E1_value]],"N.A.")</f>
        <v>0</v>
      </c>
      <c r="AM265" s="2" t="str">
        <f>Tab_Data_Flows[[#This Row],[E1_UoM]]</f>
        <v>Mg</v>
      </c>
    </row>
    <row r="266" spans="1:39" x14ac:dyDescent="0.25">
      <c r="A266" s="4">
        <f t="shared" si="9"/>
        <v>265</v>
      </c>
      <c r="B266" s="2" t="str">
        <f>_xlfn.XLOOKUP(C266,Tab_Def_Flows[Flow_Name],Tab_Def_Flows[Flow_ID],,0,)</f>
        <v>F__</v>
      </c>
      <c r="C266" s="18" t="s">
        <v>5</v>
      </c>
      <c r="D266" s="5" t="str">
        <f>_xlfn.XLOOKUP(C266,Tab_Def_Flows[Flow_Name],Tab_Def_Flows[Use_E1],,0,)</f>
        <v>Yes</v>
      </c>
      <c r="E266" s="5" t="str">
        <f>_xlfn.XLOOKUP(C266,Tab_Def_Flows[Flow_Name],Tab_Def_Flows[Use_E2],,0,)</f>
        <v>Yes</v>
      </c>
      <c r="F266" s="5" t="str">
        <f>_xlfn.XLOOKUP(C266,Tab_Def_Flows[Flow_Name],Tab_Def_Flows[Use_E3],,0,)</f>
        <v>Yes</v>
      </c>
      <c r="G266" s="5" t="str">
        <f>_xlfn.XLOOKUP(C266,Tab_Def_Flows[Flow_Name],Tab_Def_Flows[Use_E4],,0,)</f>
        <v>Yes</v>
      </c>
      <c r="H266" s="5" t="str">
        <f>_xlfn.XLOOKUP(C266,Tab_Def_Flows[Flow_Name],Tab_Def_Flows[Use_E5],,0,)</f>
        <v>Yes</v>
      </c>
      <c r="I266" s="5" t="str">
        <f>_xlfn.XLOOKUP(C266,Tab_Def_Flows[Flow_Name],Tab_Def_Flows[Use_E6],,0,)</f>
        <v>Yes</v>
      </c>
      <c r="J266" s="3"/>
      <c r="K266" s="3"/>
      <c r="L266" s="2" t="str">
        <f>'0_Configuration'!$C$41</f>
        <v>Mg</v>
      </c>
      <c r="M266" s="9"/>
      <c r="N266" s="9"/>
      <c r="O266" s="9"/>
      <c r="P266" s="9"/>
      <c r="Q266" s="18" t="s">
        <v>3</v>
      </c>
      <c r="R266" s="10"/>
      <c r="S266" s="3"/>
      <c r="T266" s="9"/>
      <c r="U266" s="9"/>
      <c r="V266" s="2">
        <f>_xlfn.XLOOKUP(Tab_Data_Flows[[#This Row],[Flow_Name]],Tab_Def_Flows[Flow_Name],Tab_Def_Flows[Flow_E1_Fraction'[%']],"N.A.",0,1)</f>
        <v>0</v>
      </c>
      <c r="W266" s="8">
        <f t="shared" si="8"/>
        <v>0</v>
      </c>
      <c r="X266" s="2" t="str">
        <f>Tab_Data_Flows[[#This Row],[UoM_Source]]</f>
        <v>Mg</v>
      </c>
      <c r="Y266" s="19">
        <f>_xlfn.XLOOKUP(Tab_Data_Flows[[#This Row],[Flow_Name]],Tab_Def_Flows[Flow_Name],Tab_Def_Flows[Flow_E2_Fraction'[%']],"N.A.",0,1)</f>
        <v>0</v>
      </c>
      <c r="Z266" s="2">
        <f>IF(D266="Yes",W266*Tab_Data_Flows[[#This Row],[E2_Fraction'[%']]],"N.A.")</f>
        <v>0</v>
      </c>
      <c r="AA266" s="2" t="str">
        <f>Tab_Data_Flows[[#This Row],[E1_UoM]]</f>
        <v>Mg</v>
      </c>
      <c r="AB266" s="19">
        <f>_xlfn.XLOOKUP(Tab_Data_Flows[[#This Row],[Flow_Name]],Tab_Def_Flows[Flow_Name],Tab_Def_Flows[Flow_E3_Fraction'[%']],"N.A.",0,1)</f>
        <v>0</v>
      </c>
      <c r="AC266" s="2">
        <f>IF(E266="Yes",AB266*Tab_Data_Flows[[#This Row],[E1_value]],"N.A.")</f>
        <v>0</v>
      </c>
      <c r="AD266" s="2" t="str">
        <f>Tab_Data_Flows[[#This Row],[E1_UoM]]</f>
        <v>Mg</v>
      </c>
      <c r="AE266" s="19">
        <f>_xlfn.XLOOKUP(Tab_Data_Flows[[#This Row],[Flow_Name]],Tab_Def_Flows[Flow_Name],Tab_Def_Flows[Flow_E4_Fraction'[%']],"N.A.",0,1)</f>
        <v>0</v>
      </c>
      <c r="AF266" s="2">
        <f>IF(H266="Yes",Tab_Data_Flows[[#This Row],[E4_Fraction'[%']]]*Tab_Data_Flows[[#This Row],[E1_value]],"N.A.")</f>
        <v>0</v>
      </c>
      <c r="AG266" s="2" t="str">
        <f>Tab_Data_Flows[[#This Row],[E1_UoM]]</f>
        <v>Mg</v>
      </c>
      <c r="AH266" s="2">
        <f>_xlfn.XLOOKUP(Tab_Data_Flows[[#This Row],[Flow_Name]],Tab_Def_Flows[Flow_Name],Tab_Def_Flows[Flow_E5_Fraction'[%']],"N.A.",0,1)</f>
        <v>0</v>
      </c>
      <c r="AI266" s="2">
        <f>IF(H266="Yes",Tab_Data_Flows[[#This Row],[E5_Fraction'[%']]]*Tab_Data_Flows[[#This Row],[E1_value]],"N.A.")</f>
        <v>0</v>
      </c>
      <c r="AJ266" s="2" t="str">
        <f>Tab_Data_Flows[[#This Row],[E1_UoM]]</f>
        <v>Mg</v>
      </c>
      <c r="AK266" s="19">
        <f>_xlfn.XLOOKUP(Tab_Data_Flows[[#This Row],[Flow_Name]],Tab_Def_Flows[Flow_Name],Tab_Def_Flows[Flow_E6_Fraction'[%']],"N.A.",0,1)</f>
        <v>0</v>
      </c>
      <c r="AL266" s="2">
        <f>IF(Tab_Data_Flows[[#This Row],[Use_E6]]="Yes",Tab_Data_Flows[[#This Row],[E6_Fraction'[%']]]*Tab_Data_Flows[[#This Row],[E1_value]],"N.A.")</f>
        <v>0</v>
      </c>
      <c r="AM266" s="2" t="str">
        <f>Tab_Data_Flows[[#This Row],[E1_UoM]]</f>
        <v>Mg</v>
      </c>
    </row>
    <row r="267" spans="1:39" x14ac:dyDescent="0.25">
      <c r="A267" s="4">
        <f t="shared" si="9"/>
        <v>266</v>
      </c>
      <c r="B267" s="2" t="str">
        <f>_xlfn.XLOOKUP(C267,Tab_Def_Flows[Flow_Name],Tab_Def_Flows[Flow_ID],,0,)</f>
        <v>F__</v>
      </c>
      <c r="C267" s="18" t="s">
        <v>5</v>
      </c>
      <c r="D267" s="5" t="str">
        <f>_xlfn.XLOOKUP(C267,Tab_Def_Flows[Flow_Name],Tab_Def_Flows[Use_E1],,0,)</f>
        <v>Yes</v>
      </c>
      <c r="E267" s="5" t="str">
        <f>_xlfn.XLOOKUP(C267,Tab_Def_Flows[Flow_Name],Tab_Def_Flows[Use_E2],,0,)</f>
        <v>Yes</v>
      </c>
      <c r="F267" s="5" t="str">
        <f>_xlfn.XLOOKUP(C267,Tab_Def_Flows[Flow_Name],Tab_Def_Flows[Use_E3],,0,)</f>
        <v>Yes</v>
      </c>
      <c r="G267" s="5" t="str">
        <f>_xlfn.XLOOKUP(C267,Tab_Def_Flows[Flow_Name],Tab_Def_Flows[Use_E4],,0,)</f>
        <v>Yes</v>
      </c>
      <c r="H267" s="5" t="str">
        <f>_xlfn.XLOOKUP(C267,Tab_Def_Flows[Flow_Name],Tab_Def_Flows[Use_E5],,0,)</f>
        <v>Yes</v>
      </c>
      <c r="I267" s="5" t="str">
        <f>_xlfn.XLOOKUP(C267,Tab_Def_Flows[Flow_Name],Tab_Def_Flows[Use_E6],,0,)</f>
        <v>Yes</v>
      </c>
      <c r="J267" s="3"/>
      <c r="K267" s="3"/>
      <c r="L267" s="2" t="str">
        <f>'0_Configuration'!$C$41</f>
        <v>Mg</v>
      </c>
      <c r="M267" s="9"/>
      <c r="N267" s="9"/>
      <c r="O267" s="9"/>
      <c r="P267" s="9"/>
      <c r="Q267" s="18" t="s">
        <v>3</v>
      </c>
      <c r="R267" s="10"/>
      <c r="S267" s="3"/>
      <c r="T267" s="9"/>
      <c r="U267" s="9"/>
      <c r="V267" s="2">
        <f>_xlfn.XLOOKUP(Tab_Data_Flows[[#This Row],[Flow_Name]],Tab_Def_Flows[Flow_Name],Tab_Def_Flows[Flow_E1_Fraction'[%']],"N.A.",0,1)</f>
        <v>0</v>
      </c>
      <c r="W267" s="8">
        <f t="shared" si="8"/>
        <v>0</v>
      </c>
      <c r="X267" s="2" t="str">
        <f>Tab_Data_Flows[[#This Row],[UoM_Source]]</f>
        <v>Mg</v>
      </c>
      <c r="Y267" s="19">
        <f>_xlfn.XLOOKUP(Tab_Data_Flows[[#This Row],[Flow_Name]],Tab_Def_Flows[Flow_Name],Tab_Def_Flows[Flow_E2_Fraction'[%']],"N.A.",0,1)</f>
        <v>0</v>
      </c>
      <c r="Z267" s="2">
        <f>IF(D267="Yes",W267*Tab_Data_Flows[[#This Row],[E2_Fraction'[%']]],"N.A.")</f>
        <v>0</v>
      </c>
      <c r="AA267" s="2" t="str">
        <f>Tab_Data_Flows[[#This Row],[E1_UoM]]</f>
        <v>Mg</v>
      </c>
      <c r="AB267" s="19">
        <f>_xlfn.XLOOKUP(Tab_Data_Flows[[#This Row],[Flow_Name]],Tab_Def_Flows[Flow_Name],Tab_Def_Flows[Flow_E3_Fraction'[%']],"N.A.",0,1)</f>
        <v>0</v>
      </c>
      <c r="AC267" s="2">
        <f>IF(E267="Yes",AB267*Tab_Data_Flows[[#This Row],[E1_value]],"N.A.")</f>
        <v>0</v>
      </c>
      <c r="AD267" s="2" t="str">
        <f>Tab_Data_Flows[[#This Row],[E1_UoM]]</f>
        <v>Mg</v>
      </c>
      <c r="AE267" s="19">
        <f>_xlfn.XLOOKUP(Tab_Data_Flows[[#This Row],[Flow_Name]],Tab_Def_Flows[Flow_Name],Tab_Def_Flows[Flow_E4_Fraction'[%']],"N.A.",0,1)</f>
        <v>0</v>
      </c>
      <c r="AF267" s="2">
        <f>IF(H267="Yes",Tab_Data_Flows[[#This Row],[E4_Fraction'[%']]]*Tab_Data_Flows[[#This Row],[E1_value]],"N.A.")</f>
        <v>0</v>
      </c>
      <c r="AG267" s="2" t="str">
        <f>Tab_Data_Flows[[#This Row],[E1_UoM]]</f>
        <v>Mg</v>
      </c>
      <c r="AH267" s="2">
        <f>_xlfn.XLOOKUP(Tab_Data_Flows[[#This Row],[Flow_Name]],Tab_Def_Flows[Flow_Name],Tab_Def_Flows[Flow_E5_Fraction'[%']],"N.A.",0,1)</f>
        <v>0</v>
      </c>
      <c r="AI267" s="2">
        <f>IF(H267="Yes",Tab_Data_Flows[[#This Row],[E5_Fraction'[%']]]*Tab_Data_Flows[[#This Row],[E1_value]],"N.A.")</f>
        <v>0</v>
      </c>
      <c r="AJ267" s="2" t="str">
        <f>Tab_Data_Flows[[#This Row],[E1_UoM]]</f>
        <v>Mg</v>
      </c>
      <c r="AK267" s="19">
        <f>_xlfn.XLOOKUP(Tab_Data_Flows[[#This Row],[Flow_Name]],Tab_Def_Flows[Flow_Name],Tab_Def_Flows[Flow_E6_Fraction'[%']],"N.A.",0,1)</f>
        <v>0</v>
      </c>
      <c r="AL267" s="2">
        <f>IF(Tab_Data_Flows[[#This Row],[Use_E6]]="Yes",Tab_Data_Flows[[#This Row],[E6_Fraction'[%']]]*Tab_Data_Flows[[#This Row],[E1_value]],"N.A.")</f>
        <v>0</v>
      </c>
      <c r="AM267" s="2" t="str">
        <f>Tab_Data_Flows[[#This Row],[E1_UoM]]</f>
        <v>Mg</v>
      </c>
    </row>
    <row r="268" spans="1:39" x14ac:dyDescent="0.25">
      <c r="A268" s="4">
        <f t="shared" si="9"/>
        <v>267</v>
      </c>
      <c r="B268" s="2" t="str">
        <f>_xlfn.XLOOKUP(C268,Tab_Def_Flows[Flow_Name],Tab_Def_Flows[Flow_ID],,0,)</f>
        <v>F__</v>
      </c>
      <c r="C268" s="18" t="s">
        <v>5</v>
      </c>
      <c r="D268" s="5" t="str">
        <f>_xlfn.XLOOKUP(C268,Tab_Def_Flows[Flow_Name],Tab_Def_Flows[Use_E1],,0,)</f>
        <v>Yes</v>
      </c>
      <c r="E268" s="5" t="str">
        <f>_xlfn.XLOOKUP(C268,Tab_Def_Flows[Flow_Name],Tab_Def_Flows[Use_E2],,0,)</f>
        <v>Yes</v>
      </c>
      <c r="F268" s="5" t="str">
        <f>_xlfn.XLOOKUP(C268,Tab_Def_Flows[Flow_Name],Tab_Def_Flows[Use_E3],,0,)</f>
        <v>Yes</v>
      </c>
      <c r="G268" s="5" t="str">
        <f>_xlfn.XLOOKUP(C268,Tab_Def_Flows[Flow_Name],Tab_Def_Flows[Use_E4],,0,)</f>
        <v>Yes</v>
      </c>
      <c r="H268" s="5" t="str">
        <f>_xlfn.XLOOKUP(C268,Tab_Def_Flows[Flow_Name],Tab_Def_Flows[Use_E5],,0,)</f>
        <v>Yes</v>
      </c>
      <c r="I268" s="5" t="str">
        <f>_xlfn.XLOOKUP(C268,Tab_Def_Flows[Flow_Name],Tab_Def_Flows[Use_E6],,0,)</f>
        <v>Yes</v>
      </c>
      <c r="J268" s="3"/>
      <c r="K268" s="3"/>
      <c r="L268" s="2" t="str">
        <f>'0_Configuration'!$C$41</f>
        <v>Mg</v>
      </c>
      <c r="M268" s="9"/>
      <c r="N268" s="9"/>
      <c r="O268" s="9"/>
      <c r="P268" s="9"/>
      <c r="Q268" s="18" t="s">
        <v>3</v>
      </c>
      <c r="R268" s="10"/>
      <c r="S268" s="3"/>
      <c r="T268" s="9"/>
      <c r="U268" s="9"/>
      <c r="V268" s="2">
        <f>_xlfn.XLOOKUP(Tab_Data_Flows[[#This Row],[Flow_Name]],Tab_Def_Flows[Flow_Name],Tab_Def_Flows[Flow_E1_Fraction'[%']],"N.A.",0,1)</f>
        <v>0</v>
      </c>
      <c r="W268" s="8">
        <f t="shared" si="8"/>
        <v>0</v>
      </c>
      <c r="X268" s="2" t="str">
        <f>Tab_Data_Flows[[#This Row],[UoM_Source]]</f>
        <v>Mg</v>
      </c>
      <c r="Y268" s="19">
        <f>_xlfn.XLOOKUP(Tab_Data_Flows[[#This Row],[Flow_Name]],Tab_Def_Flows[Flow_Name],Tab_Def_Flows[Flow_E2_Fraction'[%']],"N.A.",0,1)</f>
        <v>0</v>
      </c>
      <c r="Z268" s="2">
        <f>IF(D268="Yes",W268*Tab_Data_Flows[[#This Row],[E2_Fraction'[%']]],"N.A.")</f>
        <v>0</v>
      </c>
      <c r="AA268" s="2" t="str">
        <f>Tab_Data_Flows[[#This Row],[E1_UoM]]</f>
        <v>Mg</v>
      </c>
      <c r="AB268" s="19">
        <f>_xlfn.XLOOKUP(Tab_Data_Flows[[#This Row],[Flow_Name]],Tab_Def_Flows[Flow_Name],Tab_Def_Flows[Flow_E3_Fraction'[%']],"N.A.",0,1)</f>
        <v>0</v>
      </c>
      <c r="AC268" s="2">
        <f>IF(E268="Yes",AB268*Tab_Data_Flows[[#This Row],[E1_value]],"N.A.")</f>
        <v>0</v>
      </c>
      <c r="AD268" s="2" t="str">
        <f>Tab_Data_Flows[[#This Row],[E1_UoM]]</f>
        <v>Mg</v>
      </c>
      <c r="AE268" s="19">
        <f>_xlfn.XLOOKUP(Tab_Data_Flows[[#This Row],[Flow_Name]],Tab_Def_Flows[Flow_Name],Tab_Def_Flows[Flow_E4_Fraction'[%']],"N.A.",0,1)</f>
        <v>0</v>
      </c>
      <c r="AF268" s="2">
        <f>IF(H268="Yes",Tab_Data_Flows[[#This Row],[E4_Fraction'[%']]]*Tab_Data_Flows[[#This Row],[E1_value]],"N.A.")</f>
        <v>0</v>
      </c>
      <c r="AG268" s="2" t="str">
        <f>Tab_Data_Flows[[#This Row],[E1_UoM]]</f>
        <v>Mg</v>
      </c>
      <c r="AH268" s="2">
        <f>_xlfn.XLOOKUP(Tab_Data_Flows[[#This Row],[Flow_Name]],Tab_Def_Flows[Flow_Name],Tab_Def_Flows[Flow_E5_Fraction'[%']],"N.A.",0,1)</f>
        <v>0</v>
      </c>
      <c r="AI268" s="2">
        <f>IF(H268="Yes",Tab_Data_Flows[[#This Row],[E5_Fraction'[%']]]*Tab_Data_Flows[[#This Row],[E1_value]],"N.A.")</f>
        <v>0</v>
      </c>
      <c r="AJ268" s="2" t="str">
        <f>Tab_Data_Flows[[#This Row],[E1_UoM]]</f>
        <v>Mg</v>
      </c>
      <c r="AK268" s="19">
        <f>_xlfn.XLOOKUP(Tab_Data_Flows[[#This Row],[Flow_Name]],Tab_Def_Flows[Flow_Name],Tab_Def_Flows[Flow_E6_Fraction'[%']],"N.A.",0,1)</f>
        <v>0</v>
      </c>
      <c r="AL268" s="2">
        <f>IF(Tab_Data_Flows[[#This Row],[Use_E6]]="Yes",Tab_Data_Flows[[#This Row],[E6_Fraction'[%']]]*Tab_Data_Flows[[#This Row],[E1_value]],"N.A.")</f>
        <v>0</v>
      </c>
      <c r="AM268" s="2" t="str">
        <f>Tab_Data_Flows[[#This Row],[E1_UoM]]</f>
        <v>Mg</v>
      </c>
    </row>
    <row r="269" spans="1:39" x14ac:dyDescent="0.25">
      <c r="A269" s="4">
        <f t="shared" si="9"/>
        <v>268</v>
      </c>
      <c r="B269" s="2" t="str">
        <f>_xlfn.XLOOKUP(C269,Tab_Def_Flows[Flow_Name],Tab_Def_Flows[Flow_ID],,0,)</f>
        <v>F__</v>
      </c>
      <c r="C269" s="18" t="s">
        <v>5</v>
      </c>
      <c r="D269" s="5" t="str">
        <f>_xlfn.XLOOKUP(C269,Tab_Def_Flows[Flow_Name],Tab_Def_Flows[Use_E1],,0,)</f>
        <v>Yes</v>
      </c>
      <c r="E269" s="5" t="str">
        <f>_xlfn.XLOOKUP(C269,Tab_Def_Flows[Flow_Name],Tab_Def_Flows[Use_E2],,0,)</f>
        <v>Yes</v>
      </c>
      <c r="F269" s="5" t="str">
        <f>_xlfn.XLOOKUP(C269,Tab_Def_Flows[Flow_Name],Tab_Def_Flows[Use_E3],,0,)</f>
        <v>Yes</v>
      </c>
      <c r="G269" s="5" t="str">
        <f>_xlfn.XLOOKUP(C269,Tab_Def_Flows[Flow_Name],Tab_Def_Flows[Use_E4],,0,)</f>
        <v>Yes</v>
      </c>
      <c r="H269" s="5" t="str">
        <f>_xlfn.XLOOKUP(C269,Tab_Def_Flows[Flow_Name],Tab_Def_Flows[Use_E5],,0,)</f>
        <v>Yes</v>
      </c>
      <c r="I269" s="5" t="str">
        <f>_xlfn.XLOOKUP(C269,Tab_Def_Flows[Flow_Name],Tab_Def_Flows[Use_E6],,0,)</f>
        <v>Yes</v>
      </c>
      <c r="J269" s="3"/>
      <c r="K269" s="3"/>
      <c r="L269" s="2" t="str">
        <f>'0_Configuration'!$C$41</f>
        <v>Mg</v>
      </c>
      <c r="M269" s="9"/>
      <c r="N269" s="9"/>
      <c r="O269" s="9"/>
      <c r="P269" s="9"/>
      <c r="Q269" s="18" t="s">
        <v>3</v>
      </c>
      <c r="R269" s="10"/>
      <c r="S269" s="3"/>
      <c r="T269" s="9"/>
      <c r="U269" s="9"/>
      <c r="V269" s="2">
        <f>_xlfn.XLOOKUP(Tab_Data_Flows[[#This Row],[Flow_Name]],Tab_Def_Flows[Flow_Name],Tab_Def_Flows[Flow_E1_Fraction'[%']],"N.A.",0,1)</f>
        <v>0</v>
      </c>
      <c r="W269" s="8">
        <f t="shared" si="8"/>
        <v>0</v>
      </c>
      <c r="X269" s="2" t="str">
        <f>Tab_Data_Flows[[#This Row],[UoM_Source]]</f>
        <v>Mg</v>
      </c>
      <c r="Y269" s="19">
        <f>_xlfn.XLOOKUP(Tab_Data_Flows[[#This Row],[Flow_Name]],Tab_Def_Flows[Flow_Name],Tab_Def_Flows[Flow_E2_Fraction'[%']],"N.A.",0,1)</f>
        <v>0</v>
      </c>
      <c r="Z269" s="2">
        <f>IF(D269="Yes",W269*Tab_Data_Flows[[#This Row],[E2_Fraction'[%']]],"N.A.")</f>
        <v>0</v>
      </c>
      <c r="AA269" s="2" t="str">
        <f>Tab_Data_Flows[[#This Row],[E1_UoM]]</f>
        <v>Mg</v>
      </c>
      <c r="AB269" s="19">
        <f>_xlfn.XLOOKUP(Tab_Data_Flows[[#This Row],[Flow_Name]],Tab_Def_Flows[Flow_Name],Tab_Def_Flows[Flow_E3_Fraction'[%']],"N.A.",0,1)</f>
        <v>0</v>
      </c>
      <c r="AC269" s="2">
        <f>IF(E269="Yes",AB269*Tab_Data_Flows[[#This Row],[E1_value]],"N.A.")</f>
        <v>0</v>
      </c>
      <c r="AD269" s="2" t="str">
        <f>Tab_Data_Flows[[#This Row],[E1_UoM]]</f>
        <v>Mg</v>
      </c>
      <c r="AE269" s="19">
        <f>_xlfn.XLOOKUP(Tab_Data_Flows[[#This Row],[Flow_Name]],Tab_Def_Flows[Flow_Name],Tab_Def_Flows[Flow_E4_Fraction'[%']],"N.A.",0,1)</f>
        <v>0</v>
      </c>
      <c r="AF269" s="2">
        <f>IF(H269="Yes",Tab_Data_Flows[[#This Row],[E4_Fraction'[%']]]*Tab_Data_Flows[[#This Row],[E1_value]],"N.A.")</f>
        <v>0</v>
      </c>
      <c r="AG269" s="2" t="str">
        <f>Tab_Data_Flows[[#This Row],[E1_UoM]]</f>
        <v>Mg</v>
      </c>
      <c r="AH269" s="2">
        <f>_xlfn.XLOOKUP(Tab_Data_Flows[[#This Row],[Flow_Name]],Tab_Def_Flows[Flow_Name],Tab_Def_Flows[Flow_E5_Fraction'[%']],"N.A.",0,1)</f>
        <v>0</v>
      </c>
      <c r="AI269" s="2">
        <f>IF(H269="Yes",Tab_Data_Flows[[#This Row],[E5_Fraction'[%']]]*Tab_Data_Flows[[#This Row],[E1_value]],"N.A.")</f>
        <v>0</v>
      </c>
      <c r="AJ269" s="2" t="str">
        <f>Tab_Data_Flows[[#This Row],[E1_UoM]]</f>
        <v>Mg</v>
      </c>
      <c r="AK269" s="19">
        <f>_xlfn.XLOOKUP(Tab_Data_Flows[[#This Row],[Flow_Name]],Tab_Def_Flows[Flow_Name],Tab_Def_Flows[Flow_E6_Fraction'[%']],"N.A.",0,1)</f>
        <v>0</v>
      </c>
      <c r="AL269" s="2">
        <f>IF(Tab_Data_Flows[[#This Row],[Use_E6]]="Yes",Tab_Data_Flows[[#This Row],[E6_Fraction'[%']]]*Tab_Data_Flows[[#This Row],[E1_value]],"N.A.")</f>
        <v>0</v>
      </c>
      <c r="AM269" s="2" t="str">
        <f>Tab_Data_Flows[[#This Row],[E1_UoM]]</f>
        <v>Mg</v>
      </c>
    </row>
    <row r="270" spans="1:39" x14ac:dyDescent="0.25">
      <c r="A270" s="4">
        <f t="shared" si="9"/>
        <v>269</v>
      </c>
      <c r="B270" s="2" t="str">
        <f>_xlfn.XLOOKUP(C270,Tab_Def_Flows[Flow_Name],Tab_Def_Flows[Flow_ID],,0,)</f>
        <v>F__</v>
      </c>
      <c r="C270" s="18" t="s">
        <v>5</v>
      </c>
      <c r="D270" s="5" t="str">
        <f>_xlfn.XLOOKUP(C270,Tab_Def_Flows[Flow_Name],Tab_Def_Flows[Use_E1],,0,)</f>
        <v>Yes</v>
      </c>
      <c r="E270" s="5" t="str">
        <f>_xlfn.XLOOKUP(C270,Tab_Def_Flows[Flow_Name],Tab_Def_Flows[Use_E2],,0,)</f>
        <v>Yes</v>
      </c>
      <c r="F270" s="5" t="str">
        <f>_xlfn.XLOOKUP(C270,Tab_Def_Flows[Flow_Name],Tab_Def_Flows[Use_E3],,0,)</f>
        <v>Yes</v>
      </c>
      <c r="G270" s="5" t="str">
        <f>_xlfn.XLOOKUP(C270,Tab_Def_Flows[Flow_Name],Tab_Def_Flows[Use_E4],,0,)</f>
        <v>Yes</v>
      </c>
      <c r="H270" s="5" t="str">
        <f>_xlfn.XLOOKUP(C270,Tab_Def_Flows[Flow_Name],Tab_Def_Flows[Use_E5],,0,)</f>
        <v>Yes</v>
      </c>
      <c r="I270" s="5" t="str">
        <f>_xlfn.XLOOKUP(C270,Tab_Def_Flows[Flow_Name],Tab_Def_Flows[Use_E6],,0,)</f>
        <v>Yes</v>
      </c>
      <c r="J270" s="3"/>
      <c r="K270" s="3"/>
      <c r="L270" s="2" t="str">
        <f>'0_Configuration'!$C$41</f>
        <v>Mg</v>
      </c>
      <c r="M270" s="9"/>
      <c r="N270" s="9"/>
      <c r="O270" s="9"/>
      <c r="P270" s="9"/>
      <c r="Q270" s="18" t="s">
        <v>3</v>
      </c>
      <c r="R270" s="10"/>
      <c r="S270" s="3"/>
      <c r="T270" s="9"/>
      <c r="U270" s="9"/>
      <c r="V270" s="2">
        <f>_xlfn.XLOOKUP(Tab_Data_Flows[[#This Row],[Flow_Name]],Tab_Def_Flows[Flow_Name],Tab_Def_Flows[Flow_E1_Fraction'[%']],"N.A.",0,1)</f>
        <v>0</v>
      </c>
      <c r="W270" s="8">
        <f t="shared" si="8"/>
        <v>0</v>
      </c>
      <c r="X270" s="2" t="str">
        <f>Tab_Data_Flows[[#This Row],[UoM_Source]]</f>
        <v>Mg</v>
      </c>
      <c r="Y270" s="19">
        <f>_xlfn.XLOOKUP(Tab_Data_Flows[[#This Row],[Flow_Name]],Tab_Def_Flows[Flow_Name],Tab_Def_Flows[Flow_E2_Fraction'[%']],"N.A.",0,1)</f>
        <v>0</v>
      </c>
      <c r="Z270" s="2">
        <f>IF(D270="Yes",W270*Tab_Data_Flows[[#This Row],[E2_Fraction'[%']]],"N.A.")</f>
        <v>0</v>
      </c>
      <c r="AA270" s="2" t="str">
        <f>Tab_Data_Flows[[#This Row],[E1_UoM]]</f>
        <v>Mg</v>
      </c>
      <c r="AB270" s="19">
        <f>_xlfn.XLOOKUP(Tab_Data_Flows[[#This Row],[Flow_Name]],Tab_Def_Flows[Flow_Name],Tab_Def_Flows[Flow_E3_Fraction'[%']],"N.A.",0,1)</f>
        <v>0</v>
      </c>
      <c r="AC270" s="2">
        <f>IF(E270="Yes",AB270*Tab_Data_Flows[[#This Row],[E1_value]],"N.A.")</f>
        <v>0</v>
      </c>
      <c r="AD270" s="2" t="str">
        <f>Tab_Data_Flows[[#This Row],[E1_UoM]]</f>
        <v>Mg</v>
      </c>
      <c r="AE270" s="19">
        <f>_xlfn.XLOOKUP(Tab_Data_Flows[[#This Row],[Flow_Name]],Tab_Def_Flows[Flow_Name],Tab_Def_Flows[Flow_E4_Fraction'[%']],"N.A.",0,1)</f>
        <v>0</v>
      </c>
      <c r="AF270" s="2">
        <f>IF(H270="Yes",Tab_Data_Flows[[#This Row],[E4_Fraction'[%']]]*Tab_Data_Flows[[#This Row],[E1_value]],"N.A.")</f>
        <v>0</v>
      </c>
      <c r="AG270" s="2" t="str">
        <f>Tab_Data_Flows[[#This Row],[E1_UoM]]</f>
        <v>Mg</v>
      </c>
      <c r="AH270" s="2">
        <f>_xlfn.XLOOKUP(Tab_Data_Flows[[#This Row],[Flow_Name]],Tab_Def_Flows[Flow_Name],Tab_Def_Flows[Flow_E5_Fraction'[%']],"N.A.",0,1)</f>
        <v>0</v>
      </c>
      <c r="AI270" s="2">
        <f>IF(H270="Yes",Tab_Data_Flows[[#This Row],[E5_Fraction'[%']]]*Tab_Data_Flows[[#This Row],[E1_value]],"N.A.")</f>
        <v>0</v>
      </c>
      <c r="AJ270" s="2" t="str">
        <f>Tab_Data_Flows[[#This Row],[E1_UoM]]</f>
        <v>Mg</v>
      </c>
      <c r="AK270" s="19">
        <f>_xlfn.XLOOKUP(Tab_Data_Flows[[#This Row],[Flow_Name]],Tab_Def_Flows[Flow_Name],Tab_Def_Flows[Flow_E6_Fraction'[%']],"N.A.",0,1)</f>
        <v>0</v>
      </c>
      <c r="AL270" s="2">
        <f>IF(Tab_Data_Flows[[#This Row],[Use_E6]]="Yes",Tab_Data_Flows[[#This Row],[E6_Fraction'[%']]]*Tab_Data_Flows[[#This Row],[E1_value]],"N.A.")</f>
        <v>0</v>
      </c>
      <c r="AM270" s="2" t="str">
        <f>Tab_Data_Flows[[#This Row],[E1_UoM]]</f>
        <v>Mg</v>
      </c>
    </row>
    <row r="271" spans="1:39" x14ac:dyDescent="0.25">
      <c r="A271" s="4">
        <f t="shared" si="9"/>
        <v>270</v>
      </c>
      <c r="B271" s="2" t="str">
        <f>_xlfn.XLOOKUP(C271,Tab_Def_Flows[Flow_Name],Tab_Def_Flows[Flow_ID],,0,)</f>
        <v>F__</v>
      </c>
      <c r="C271" s="18" t="s">
        <v>5</v>
      </c>
      <c r="D271" s="5" t="str">
        <f>_xlfn.XLOOKUP(C271,Tab_Def_Flows[Flow_Name],Tab_Def_Flows[Use_E1],,0,)</f>
        <v>Yes</v>
      </c>
      <c r="E271" s="5" t="str">
        <f>_xlfn.XLOOKUP(C271,Tab_Def_Flows[Flow_Name],Tab_Def_Flows[Use_E2],,0,)</f>
        <v>Yes</v>
      </c>
      <c r="F271" s="5" t="str">
        <f>_xlfn.XLOOKUP(C271,Tab_Def_Flows[Flow_Name],Tab_Def_Flows[Use_E3],,0,)</f>
        <v>Yes</v>
      </c>
      <c r="G271" s="5" t="str">
        <f>_xlfn.XLOOKUP(C271,Tab_Def_Flows[Flow_Name],Tab_Def_Flows[Use_E4],,0,)</f>
        <v>Yes</v>
      </c>
      <c r="H271" s="5" t="str">
        <f>_xlfn.XLOOKUP(C271,Tab_Def_Flows[Flow_Name],Tab_Def_Flows[Use_E5],,0,)</f>
        <v>Yes</v>
      </c>
      <c r="I271" s="5" t="str">
        <f>_xlfn.XLOOKUP(C271,Tab_Def_Flows[Flow_Name],Tab_Def_Flows[Use_E6],,0,)</f>
        <v>Yes</v>
      </c>
      <c r="J271" s="3"/>
      <c r="K271" s="3"/>
      <c r="L271" s="2" t="str">
        <f>'0_Configuration'!$C$41</f>
        <v>Mg</v>
      </c>
      <c r="M271" s="9"/>
      <c r="N271" s="9"/>
      <c r="O271" s="9"/>
      <c r="P271" s="9"/>
      <c r="Q271" s="18" t="s">
        <v>3</v>
      </c>
      <c r="R271" s="10"/>
      <c r="S271" s="3"/>
      <c r="T271" s="9"/>
      <c r="U271" s="9"/>
      <c r="V271" s="2">
        <f>_xlfn.XLOOKUP(Tab_Data_Flows[[#This Row],[Flow_Name]],Tab_Def_Flows[Flow_Name],Tab_Def_Flows[Flow_E1_Fraction'[%']],"N.A.",0,1)</f>
        <v>0</v>
      </c>
      <c r="W271" s="8">
        <f t="shared" si="8"/>
        <v>0</v>
      </c>
      <c r="X271" s="2" t="str">
        <f>Tab_Data_Flows[[#This Row],[UoM_Source]]</f>
        <v>Mg</v>
      </c>
      <c r="Y271" s="19">
        <f>_xlfn.XLOOKUP(Tab_Data_Flows[[#This Row],[Flow_Name]],Tab_Def_Flows[Flow_Name],Tab_Def_Flows[Flow_E2_Fraction'[%']],"N.A.",0,1)</f>
        <v>0</v>
      </c>
      <c r="Z271" s="2">
        <f>IF(D271="Yes",W271*Tab_Data_Flows[[#This Row],[E2_Fraction'[%']]],"N.A.")</f>
        <v>0</v>
      </c>
      <c r="AA271" s="2" t="str">
        <f>Tab_Data_Flows[[#This Row],[E1_UoM]]</f>
        <v>Mg</v>
      </c>
      <c r="AB271" s="19">
        <f>_xlfn.XLOOKUP(Tab_Data_Flows[[#This Row],[Flow_Name]],Tab_Def_Flows[Flow_Name],Tab_Def_Flows[Flow_E3_Fraction'[%']],"N.A.",0,1)</f>
        <v>0</v>
      </c>
      <c r="AC271" s="2">
        <f>IF(E271="Yes",AB271*Tab_Data_Flows[[#This Row],[E1_value]],"N.A.")</f>
        <v>0</v>
      </c>
      <c r="AD271" s="2" t="str">
        <f>Tab_Data_Flows[[#This Row],[E1_UoM]]</f>
        <v>Mg</v>
      </c>
      <c r="AE271" s="19">
        <f>_xlfn.XLOOKUP(Tab_Data_Flows[[#This Row],[Flow_Name]],Tab_Def_Flows[Flow_Name],Tab_Def_Flows[Flow_E4_Fraction'[%']],"N.A.",0,1)</f>
        <v>0</v>
      </c>
      <c r="AF271" s="2">
        <f>IF(H271="Yes",Tab_Data_Flows[[#This Row],[E4_Fraction'[%']]]*Tab_Data_Flows[[#This Row],[E1_value]],"N.A.")</f>
        <v>0</v>
      </c>
      <c r="AG271" s="2" t="str">
        <f>Tab_Data_Flows[[#This Row],[E1_UoM]]</f>
        <v>Mg</v>
      </c>
      <c r="AH271" s="2">
        <f>_xlfn.XLOOKUP(Tab_Data_Flows[[#This Row],[Flow_Name]],Tab_Def_Flows[Flow_Name],Tab_Def_Flows[Flow_E5_Fraction'[%']],"N.A.",0,1)</f>
        <v>0</v>
      </c>
      <c r="AI271" s="2">
        <f>IF(H271="Yes",Tab_Data_Flows[[#This Row],[E5_Fraction'[%']]]*Tab_Data_Flows[[#This Row],[E1_value]],"N.A.")</f>
        <v>0</v>
      </c>
      <c r="AJ271" s="2" t="str">
        <f>Tab_Data_Flows[[#This Row],[E1_UoM]]</f>
        <v>Mg</v>
      </c>
      <c r="AK271" s="19">
        <f>_xlfn.XLOOKUP(Tab_Data_Flows[[#This Row],[Flow_Name]],Tab_Def_Flows[Flow_Name],Tab_Def_Flows[Flow_E6_Fraction'[%']],"N.A.",0,1)</f>
        <v>0</v>
      </c>
      <c r="AL271" s="2">
        <f>IF(Tab_Data_Flows[[#This Row],[Use_E6]]="Yes",Tab_Data_Flows[[#This Row],[E6_Fraction'[%']]]*Tab_Data_Flows[[#This Row],[E1_value]],"N.A.")</f>
        <v>0</v>
      </c>
      <c r="AM271" s="2" t="str">
        <f>Tab_Data_Flows[[#This Row],[E1_UoM]]</f>
        <v>Mg</v>
      </c>
    </row>
    <row r="272" spans="1:39" x14ac:dyDescent="0.25">
      <c r="A272" s="4">
        <f t="shared" si="9"/>
        <v>271</v>
      </c>
      <c r="B272" s="2" t="str">
        <f>_xlfn.XLOOKUP(C272,Tab_Def_Flows[Flow_Name],Tab_Def_Flows[Flow_ID],,0,)</f>
        <v>F__</v>
      </c>
      <c r="C272" s="18" t="s">
        <v>5</v>
      </c>
      <c r="D272" s="5" t="str">
        <f>_xlfn.XLOOKUP(C272,Tab_Def_Flows[Flow_Name],Tab_Def_Flows[Use_E1],,0,)</f>
        <v>Yes</v>
      </c>
      <c r="E272" s="5" t="str">
        <f>_xlfn.XLOOKUP(C272,Tab_Def_Flows[Flow_Name],Tab_Def_Flows[Use_E2],,0,)</f>
        <v>Yes</v>
      </c>
      <c r="F272" s="5" t="str">
        <f>_xlfn.XLOOKUP(C272,Tab_Def_Flows[Flow_Name],Tab_Def_Flows[Use_E3],,0,)</f>
        <v>Yes</v>
      </c>
      <c r="G272" s="5" t="str">
        <f>_xlfn.XLOOKUP(C272,Tab_Def_Flows[Flow_Name],Tab_Def_Flows[Use_E4],,0,)</f>
        <v>Yes</v>
      </c>
      <c r="H272" s="5" t="str">
        <f>_xlfn.XLOOKUP(C272,Tab_Def_Flows[Flow_Name],Tab_Def_Flows[Use_E5],,0,)</f>
        <v>Yes</v>
      </c>
      <c r="I272" s="5" t="str">
        <f>_xlfn.XLOOKUP(C272,Tab_Def_Flows[Flow_Name],Tab_Def_Flows[Use_E6],,0,)</f>
        <v>Yes</v>
      </c>
      <c r="J272" s="3"/>
      <c r="K272" s="3"/>
      <c r="L272" s="2" t="str">
        <f>'0_Configuration'!$C$41</f>
        <v>Mg</v>
      </c>
      <c r="M272" s="9"/>
      <c r="N272" s="9"/>
      <c r="O272" s="9"/>
      <c r="P272" s="9"/>
      <c r="Q272" s="18" t="s">
        <v>3</v>
      </c>
      <c r="R272" s="10"/>
      <c r="S272" s="3"/>
      <c r="T272" s="9"/>
      <c r="U272" s="9"/>
      <c r="V272" s="2">
        <f>_xlfn.XLOOKUP(Tab_Data_Flows[[#This Row],[Flow_Name]],Tab_Def_Flows[Flow_Name],Tab_Def_Flows[Flow_E1_Fraction'[%']],"N.A.",0,1)</f>
        <v>0</v>
      </c>
      <c r="W272" s="8">
        <f t="shared" si="8"/>
        <v>0</v>
      </c>
      <c r="X272" s="2" t="str">
        <f>Tab_Data_Flows[[#This Row],[UoM_Source]]</f>
        <v>Mg</v>
      </c>
      <c r="Y272" s="19">
        <f>_xlfn.XLOOKUP(Tab_Data_Flows[[#This Row],[Flow_Name]],Tab_Def_Flows[Flow_Name],Tab_Def_Flows[Flow_E2_Fraction'[%']],"N.A.",0,1)</f>
        <v>0</v>
      </c>
      <c r="Z272" s="2">
        <f>IF(D272="Yes",W272*Tab_Data_Flows[[#This Row],[E2_Fraction'[%']]],"N.A.")</f>
        <v>0</v>
      </c>
      <c r="AA272" s="2" t="str">
        <f>Tab_Data_Flows[[#This Row],[E1_UoM]]</f>
        <v>Mg</v>
      </c>
      <c r="AB272" s="19">
        <f>_xlfn.XLOOKUP(Tab_Data_Flows[[#This Row],[Flow_Name]],Tab_Def_Flows[Flow_Name],Tab_Def_Flows[Flow_E3_Fraction'[%']],"N.A.",0,1)</f>
        <v>0</v>
      </c>
      <c r="AC272" s="2">
        <f>IF(E272="Yes",AB272*Tab_Data_Flows[[#This Row],[E1_value]],"N.A.")</f>
        <v>0</v>
      </c>
      <c r="AD272" s="2" t="str">
        <f>Tab_Data_Flows[[#This Row],[E1_UoM]]</f>
        <v>Mg</v>
      </c>
      <c r="AE272" s="19">
        <f>_xlfn.XLOOKUP(Tab_Data_Flows[[#This Row],[Flow_Name]],Tab_Def_Flows[Flow_Name],Tab_Def_Flows[Flow_E4_Fraction'[%']],"N.A.",0,1)</f>
        <v>0</v>
      </c>
      <c r="AF272" s="2">
        <f>IF(H272="Yes",Tab_Data_Flows[[#This Row],[E4_Fraction'[%']]]*Tab_Data_Flows[[#This Row],[E1_value]],"N.A.")</f>
        <v>0</v>
      </c>
      <c r="AG272" s="2" t="str">
        <f>Tab_Data_Flows[[#This Row],[E1_UoM]]</f>
        <v>Mg</v>
      </c>
      <c r="AH272" s="2">
        <f>_xlfn.XLOOKUP(Tab_Data_Flows[[#This Row],[Flow_Name]],Tab_Def_Flows[Flow_Name],Tab_Def_Flows[Flow_E5_Fraction'[%']],"N.A.",0,1)</f>
        <v>0</v>
      </c>
      <c r="AI272" s="2">
        <f>IF(H272="Yes",Tab_Data_Flows[[#This Row],[E5_Fraction'[%']]]*Tab_Data_Flows[[#This Row],[E1_value]],"N.A.")</f>
        <v>0</v>
      </c>
      <c r="AJ272" s="2" t="str">
        <f>Tab_Data_Flows[[#This Row],[E1_UoM]]</f>
        <v>Mg</v>
      </c>
      <c r="AK272" s="19">
        <f>_xlfn.XLOOKUP(Tab_Data_Flows[[#This Row],[Flow_Name]],Tab_Def_Flows[Flow_Name],Tab_Def_Flows[Flow_E6_Fraction'[%']],"N.A.",0,1)</f>
        <v>0</v>
      </c>
      <c r="AL272" s="2">
        <f>IF(Tab_Data_Flows[[#This Row],[Use_E6]]="Yes",Tab_Data_Flows[[#This Row],[E6_Fraction'[%']]]*Tab_Data_Flows[[#This Row],[E1_value]],"N.A.")</f>
        <v>0</v>
      </c>
      <c r="AM272" s="2" t="str">
        <f>Tab_Data_Flows[[#This Row],[E1_UoM]]</f>
        <v>Mg</v>
      </c>
    </row>
    <row r="273" spans="1:39" x14ac:dyDescent="0.25">
      <c r="A273" s="4">
        <f t="shared" si="9"/>
        <v>272</v>
      </c>
      <c r="B273" s="2" t="str">
        <f>_xlfn.XLOOKUP(C273,Tab_Def_Flows[Flow_Name],Tab_Def_Flows[Flow_ID],,0,)</f>
        <v>F__</v>
      </c>
      <c r="C273" s="18" t="s">
        <v>5</v>
      </c>
      <c r="D273" s="5" t="str">
        <f>_xlfn.XLOOKUP(C273,Tab_Def_Flows[Flow_Name],Tab_Def_Flows[Use_E1],,0,)</f>
        <v>Yes</v>
      </c>
      <c r="E273" s="5" t="str">
        <f>_xlfn.XLOOKUP(C273,Tab_Def_Flows[Flow_Name],Tab_Def_Flows[Use_E2],,0,)</f>
        <v>Yes</v>
      </c>
      <c r="F273" s="5" t="str">
        <f>_xlfn.XLOOKUP(C273,Tab_Def_Flows[Flow_Name],Tab_Def_Flows[Use_E3],,0,)</f>
        <v>Yes</v>
      </c>
      <c r="G273" s="5" t="str">
        <f>_xlfn.XLOOKUP(C273,Tab_Def_Flows[Flow_Name],Tab_Def_Flows[Use_E4],,0,)</f>
        <v>Yes</v>
      </c>
      <c r="H273" s="5" t="str">
        <f>_xlfn.XLOOKUP(C273,Tab_Def_Flows[Flow_Name],Tab_Def_Flows[Use_E5],,0,)</f>
        <v>Yes</v>
      </c>
      <c r="I273" s="5" t="str">
        <f>_xlfn.XLOOKUP(C273,Tab_Def_Flows[Flow_Name],Tab_Def_Flows[Use_E6],,0,)</f>
        <v>Yes</v>
      </c>
      <c r="J273" s="3"/>
      <c r="K273" s="3"/>
      <c r="L273" s="2" t="str">
        <f>'0_Configuration'!$C$41</f>
        <v>Mg</v>
      </c>
      <c r="M273" s="9"/>
      <c r="N273" s="9"/>
      <c r="O273" s="9"/>
      <c r="P273" s="9"/>
      <c r="Q273" s="18" t="s">
        <v>3</v>
      </c>
      <c r="R273" s="10"/>
      <c r="S273" s="3"/>
      <c r="T273" s="9"/>
      <c r="U273" s="9"/>
      <c r="V273" s="2">
        <f>_xlfn.XLOOKUP(Tab_Data_Flows[[#This Row],[Flow_Name]],Tab_Def_Flows[Flow_Name],Tab_Def_Flows[Flow_E1_Fraction'[%']],"N.A.",0,1)</f>
        <v>0</v>
      </c>
      <c r="W273" s="8">
        <f t="shared" si="8"/>
        <v>0</v>
      </c>
      <c r="X273" s="2" t="str">
        <f>Tab_Data_Flows[[#This Row],[UoM_Source]]</f>
        <v>Mg</v>
      </c>
      <c r="Y273" s="19">
        <f>_xlfn.XLOOKUP(Tab_Data_Flows[[#This Row],[Flow_Name]],Tab_Def_Flows[Flow_Name],Tab_Def_Flows[Flow_E2_Fraction'[%']],"N.A.",0,1)</f>
        <v>0</v>
      </c>
      <c r="Z273" s="2">
        <f>IF(D273="Yes",W273*Tab_Data_Flows[[#This Row],[E2_Fraction'[%']]],"N.A.")</f>
        <v>0</v>
      </c>
      <c r="AA273" s="2" t="str">
        <f>Tab_Data_Flows[[#This Row],[E1_UoM]]</f>
        <v>Mg</v>
      </c>
      <c r="AB273" s="19">
        <f>_xlfn.XLOOKUP(Tab_Data_Flows[[#This Row],[Flow_Name]],Tab_Def_Flows[Flow_Name],Tab_Def_Flows[Flow_E3_Fraction'[%']],"N.A.",0,1)</f>
        <v>0</v>
      </c>
      <c r="AC273" s="2">
        <f>IF(E273="Yes",AB273*Tab_Data_Flows[[#This Row],[E1_value]],"N.A.")</f>
        <v>0</v>
      </c>
      <c r="AD273" s="2" t="str">
        <f>Tab_Data_Flows[[#This Row],[E1_UoM]]</f>
        <v>Mg</v>
      </c>
      <c r="AE273" s="19">
        <f>_xlfn.XLOOKUP(Tab_Data_Flows[[#This Row],[Flow_Name]],Tab_Def_Flows[Flow_Name],Tab_Def_Flows[Flow_E4_Fraction'[%']],"N.A.",0,1)</f>
        <v>0</v>
      </c>
      <c r="AF273" s="2">
        <f>IF(H273="Yes",Tab_Data_Flows[[#This Row],[E4_Fraction'[%']]]*Tab_Data_Flows[[#This Row],[E1_value]],"N.A.")</f>
        <v>0</v>
      </c>
      <c r="AG273" s="2" t="str">
        <f>Tab_Data_Flows[[#This Row],[E1_UoM]]</f>
        <v>Mg</v>
      </c>
      <c r="AH273" s="2">
        <f>_xlfn.XLOOKUP(Tab_Data_Flows[[#This Row],[Flow_Name]],Tab_Def_Flows[Flow_Name],Tab_Def_Flows[Flow_E5_Fraction'[%']],"N.A.",0,1)</f>
        <v>0</v>
      </c>
      <c r="AI273" s="2">
        <f>IF(H273="Yes",Tab_Data_Flows[[#This Row],[E5_Fraction'[%']]]*Tab_Data_Flows[[#This Row],[E1_value]],"N.A.")</f>
        <v>0</v>
      </c>
      <c r="AJ273" s="2" t="str">
        <f>Tab_Data_Flows[[#This Row],[E1_UoM]]</f>
        <v>Mg</v>
      </c>
      <c r="AK273" s="19">
        <f>_xlfn.XLOOKUP(Tab_Data_Flows[[#This Row],[Flow_Name]],Tab_Def_Flows[Flow_Name],Tab_Def_Flows[Flow_E6_Fraction'[%']],"N.A.",0,1)</f>
        <v>0</v>
      </c>
      <c r="AL273" s="2">
        <f>IF(Tab_Data_Flows[[#This Row],[Use_E6]]="Yes",Tab_Data_Flows[[#This Row],[E6_Fraction'[%']]]*Tab_Data_Flows[[#This Row],[E1_value]],"N.A.")</f>
        <v>0</v>
      </c>
      <c r="AM273" s="2" t="str">
        <f>Tab_Data_Flows[[#This Row],[E1_UoM]]</f>
        <v>Mg</v>
      </c>
    </row>
    <row r="274" spans="1:39" x14ac:dyDescent="0.25">
      <c r="A274" s="4">
        <f t="shared" si="9"/>
        <v>273</v>
      </c>
      <c r="B274" s="2" t="str">
        <f>_xlfn.XLOOKUP(C274,Tab_Def_Flows[Flow_Name],Tab_Def_Flows[Flow_ID],,0,)</f>
        <v>F__</v>
      </c>
      <c r="C274" s="18" t="s">
        <v>5</v>
      </c>
      <c r="D274" s="5" t="str">
        <f>_xlfn.XLOOKUP(C274,Tab_Def_Flows[Flow_Name],Tab_Def_Flows[Use_E1],,0,)</f>
        <v>Yes</v>
      </c>
      <c r="E274" s="5" t="str">
        <f>_xlfn.XLOOKUP(C274,Tab_Def_Flows[Flow_Name],Tab_Def_Flows[Use_E2],,0,)</f>
        <v>Yes</v>
      </c>
      <c r="F274" s="5" t="str">
        <f>_xlfn.XLOOKUP(C274,Tab_Def_Flows[Flow_Name],Tab_Def_Flows[Use_E3],,0,)</f>
        <v>Yes</v>
      </c>
      <c r="G274" s="5" t="str">
        <f>_xlfn.XLOOKUP(C274,Tab_Def_Flows[Flow_Name],Tab_Def_Flows[Use_E4],,0,)</f>
        <v>Yes</v>
      </c>
      <c r="H274" s="5" t="str">
        <f>_xlfn.XLOOKUP(C274,Tab_Def_Flows[Flow_Name],Tab_Def_Flows[Use_E5],,0,)</f>
        <v>Yes</v>
      </c>
      <c r="I274" s="5" t="str">
        <f>_xlfn.XLOOKUP(C274,Tab_Def_Flows[Flow_Name],Tab_Def_Flows[Use_E6],,0,)</f>
        <v>Yes</v>
      </c>
      <c r="J274" s="3"/>
      <c r="K274" s="3"/>
      <c r="L274" s="2" t="str">
        <f>'0_Configuration'!$C$41</f>
        <v>Mg</v>
      </c>
      <c r="M274" s="9"/>
      <c r="N274" s="9"/>
      <c r="O274" s="9"/>
      <c r="P274" s="9"/>
      <c r="Q274" s="18" t="s">
        <v>3</v>
      </c>
      <c r="R274" s="10"/>
      <c r="S274" s="3"/>
      <c r="T274" s="9"/>
      <c r="U274" s="9"/>
      <c r="V274" s="2">
        <f>_xlfn.XLOOKUP(Tab_Data_Flows[[#This Row],[Flow_Name]],Tab_Def_Flows[Flow_Name],Tab_Def_Flows[Flow_E1_Fraction'[%']],"N.A.",0,1)</f>
        <v>0</v>
      </c>
      <c r="W274" s="8">
        <f t="shared" si="8"/>
        <v>0</v>
      </c>
      <c r="X274" s="2" t="str">
        <f>Tab_Data_Flows[[#This Row],[UoM_Source]]</f>
        <v>Mg</v>
      </c>
      <c r="Y274" s="19">
        <f>_xlfn.XLOOKUP(Tab_Data_Flows[[#This Row],[Flow_Name]],Tab_Def_Flows[Flow_Name],Tab_Def_Flows[Flow_E2_Fraction'[%']],"N.A.",0,1)</f>
        <v>0</v>
      </c>
      <c r="Z274" s="2">
        <f>IF(D274="Yes",W274*Tab_Data_Flows[[#This Row],[E2_Fraction'[%']]],"N.A.")</f>
        <v>0</v>
      </c>
      <c r="AA274" s="2" t="str">
        <f>Tab_Data_Flows[[#This Row],[E1_UoM]]</f>
        <v>Mg</v>
      </c>
      <c r="AB274" s="19">
        <f>_xlfn.XLOOKUP(Tab_Data_Flows[[#This Row],[Flow_Name]],Tab_Def_Flows[Flow_Name],Tab_Def_Flows[Flow_E3_Fraction'[%']],"N.A.",0,1)</f>
        <v>0</v>
      </c>
      <c r="AC274" s="2">
        <f>IF(E274="Yes",AB274*Tab_Data_Flows[[#This Row],[E1_value]],"N.A.")</f>
        <v>0</v>
      </c>
      <c r="AD274" s="2" t="str">
        <f>Tab_Data_Flows[[#This Row],[E1_UoM]]</f>
        <v>Mg</v>
      </c>
      <c r="AE274" s="19">
        <f>_xlfn.XLOOKUP(Tab_Data_Flows[[#This Row],[Flow_Name]],Tab_Def_Flows[Flow_Name],Tab_Def_Flows[Flow_E4_Fraction'[%']],"N.A.",0,1)</f>
        <v>0</v>
      </c>
      <c r="AF274" s="2">
        <f>IF(H274="Yes",Tab_Data_Flows[[#This Row],[E4_Fraction'[%']]]*Tab_Data_Flows[[#This Row],[E1_value]],"N.A.")</f>
        <v>0</v>
      </c>
      <c r="AG274" s="2" t="str">
        <f>Tab_Data_Flows[[#This Row],[E1_UoM]]</f>
        <v>Mg</v>
      </c>
      <c r="AH274" s="2">
        <f>_xlfn.XLOOKUP(Tab_Data_Flows[[#This Row],[Flow_Name]],Tab_Def_Flows[Flow_Name],Tab_Def_Flows[Flow_E5_Fraction'[%']],"N.A.",0,1)</f>
        <v>0</v>
      </c>
      <c r="AI274" s="2">
        <f>IF(H274="Yes",Tab_Data_Flows[[#This Row],[E5_Fraction'[%']]]*Tab_Data_Flows[[#This Row],[E1_value]],"N.A.")</f>
        <v>0</v>
      </c>
      <c r="AJ274" s="2" t="str">
        <f>Tab_Data_Flows[[#This Row],[E1_UoM]]</f>
        <v>Mg</v>
      </c>
      <c r="AK274" s="19">
        <f>_xlfn.XLOOKUP(Tab_Data_Flows[[#This Row],[Flow_Name]],Tab_Def_Flows[Flow_Name],Tab_Def_Flows[Flow_E6_Fraction'[%']],"N.A.",0,1)</f>
        <v>0</v>
      </c>
      <c r="AL274" s="2">
        <f>IF(Tab_Data_Flows[[#This Row],[Use_E6]]="Yes",Tab_Data_Flows[[#This Row],[E6_Fraction'[%']]]*Tab_Data_Flows[[#This Row],[E1_value]],"N.A.")</f>
        <v>0</v>
      </c>
      <c r="AM274" s="2" t="str">
        <f>Tab_Data_Flows[[#This Row],[E1_UoM]]</f>
        <v>Mg</v>
      </c>
    </row>
    <row r="275" spans="1:39" x14ac:dyDescent="0.25">
      <c r="A275" s="4">
        <f t="shared" si="9"/>
        <v>274</v>
      </c>
      <c r="B275" s="2" t="str">
        <f>_xlfn.XLOOKUP(C275,Tab_Def_Flows[Flow_Name],Tab_Def_Flows[Flow_ID],,0,)</f>
        <v>F__</v>
      </c>
      <c r="C275" s="18" t="s">
        <v>5</v>
      </c>
      <c r="D275" s="5" t="str">
        <f>_xlfn.XLOOKUP(C275,Tab_Def_Flows[Flow_Name],Tab_Def_Flows[Use_E1],,0,)</f>
        <v>Yes</v>
      </c>
      <c r="E275" s="5" t="str">
        <f>_xlfn.XLOOKUP(C275,Tab_Def_Flows[Flow_Name],Tab_Def_Flows[Use_E2],,0,)</f>
        <v>Yes</v>
      </c>
      <c r="F275" s="5" t="str">
        <f>_xlfn.XLOOKUP(C275,Tab_Def_Flows[Flow_Name],Tab_Def_Flows[Use_E3],,0,)</f>
        <v>Yes</v>
      </c>
      <c r="G275" s="5" t="str">
        <f>_xlfn.XLOOKUP(C275,Tab_Def_Flows[Flow_Name],Tab_Def_Flows[Use_E4],,0,)</f>
        <v>Yes</v>
      </c>
      <c r="H275" s="5" t="str">
        <f>_xlfn.XLOOKUP(C275,Tab_Def_Flows[Flow_Name],Tab_Def_Flows[Use_E5],,0,)</f>
        <v>Yes</v>
      </c>
      <c r="I275" s="5" t="str">
        <f>_xlfn.XLOOKUP(C275,Tab_Def_Flows[Flow_Name],Tab_Def_Flows[Use_E6],,0,)</f>
        <v>Yes</v>
      </c>
      <c r="J275" s="3"/>
      <c r="K275" s="3"/>
      <c r="L275" s="2" t="str">
        <f>'0_Configuration'!$C$41</f>
        <v>Mg</v>
      </c>
      <c r="M275" s="9"/>
      <c r="N275" s="9"/>
      <c r="O275" s="9"/>
      <c r="P275" s="9"/>
      <c r="Q275" s="18" t="s">
        <v>3</v>
      </c>
      <c r="R275" s="10"/>
      <c r="S275" s="3"/>
      <c r="T275" s="9"/>
      <c r="U275" s="9"/>
      <c r="V275" s="2">
        <f>_xlfn.XLOOKUP(Tab_Data_Flows[[#This Row],[Flow_Name]],Tab_Def_Flows[Flow_Name],Tab_Def_Flows[Flow_E1_Fraction'[%']],"N.A.",0,1)</f>
        <v>0</v>
      </c>
      <c r="W275" s="8">
        <f t="shared" si="8"/>
        <v>0</v>
      </c>
      <c r="X275" s="2" t="str">
        <f>Tab_Data_Flows[[#This Row],[UoM_Source]]</f>
        <v>Mg</v>
      </c>
      <c r="Y275" s="19">
        <f>_xlfn.XLOOKUP(Tab_Data_Flows[[#This Row],[Flow_Name]],Tab_Def_Flows[Flow_Name],Tab_Def_Flows[Flow_E2_Fraction'[%']],"N.A.",0,1)</f>
        <v>0</v>
      </c>
      <c r="Z275" s="2">
        <f>IF(D275="Yes",W275*Tab_Data_Flows[[#This Row],[E2_Fraction'[%']]],"N.A.")</f>
        <v>0</v>
      </c>
      <c r="AA275" s="2" t="str">
        <f>Tab_Data_Flows[[#This Row],[E1_UoM]]</f>
        <v>Mg</v>
      </c>
      <c r="AB275" s="19">
        <f>_xlfn.XLOOKUP(Tab_Data_Flows[[#This Row],[Flow_Name]],Tab_Def_Flows[Flow_Name],Tab_Def_Flows[Flow_E3_Fraction'[%']],"N.A.",0,1)</f>
        <v>0</v>
      </c>
      <c r="AC275" s="2">
        <f>IF(E275="Yes",AB275*Tab_Data_Flows[[#This Row],[E1_value]],"N.A.")</f>
        <v>0</v>
      </c>
      <c r="AD275" s="2" t="str">
        <f>Tab_Data_Flows[[#This Row],[E1_UoM]]</f>
        <v>Mg</v>
      </c>
      <c r="AE275" s="19">
        <f>_xlfn.XLOOKUP(Tab_Data_Flows[[#This Row],[Flow_Name]],Tab_Def_Flows[Flow_Name],Tab_Def_Flows[Flow_E4_Fraction'[%']],"N.A.",0,1)</f>
        <v>0</v>
      </c>
      <c r="AF275" s="2">
        <f>IF(H275="Yes",Tab_Data_Flows[[#This Row],[E4_Fraction'[%']]]*Tab_Data_Flows[[#This Row],[E1_value]],"N.A.")</f>
        <v>0</v>
      </c>
      <c r="AG275" s="2" t="str">
        <f>Tab_Data_Flows[[#This Row],[E1_UoM]]</f>
        <v>Mg</v>
      </c>
      <c r="AH275" s="2">
        <f>_xlfn.XLOOKUP(Tab_Data_Flows[[#This Row],[Flow_Name]],Tab_Def_Flows[Flow_Name],Tab_Def_Flows[Flow_E5_Fraction'[%']],"N.A.",0,1)</f>
        <v>0</v>
      </c>
      <c r="AI275" s="2">
        <f>IF(H275="Yes",Tab_Data_Flows[[#This Row],[E5_Fraction'[%']]]*Tab_Data_Flows[[#This Row],[E1_value]],"N.A.")</f>
        <v>0</v>
      </c>
      <c r="AJ275" s="2" t="str">
        <f>Tab_Data_Flows[[#This Row],[E1_UoM]]</f>
        <v>Mg</v>
      </c>
      <c r="AK275" s="19">
        <f>_xlfn.XLOOKUP(Tab_Data_Flows[[#This Row],[Flow_Name]],Tab_Def_Flows[Flow_Name],Tab_Def_Flows[Flow_E6_Fraction'[%']],"N.A.",0,1)</f>
        <v>0</v>
      </c>
      <c r="AL275" s="2">
        <f>IF(Tab_Data_Flows[[#This Row],[Use_E6]]="Yes",Tab_Data_Flows[[#This Row],[E6_Fraction'[%']]]*Tab_Data_Flows[[#This Row],[E1_value]],"N.A.")</f>
        <v>0</v>
      </c>
      <c r="AM275" s="2" t="str">
        <f>Tab_Data_Flows[[#This Row],[E1_UoM]]</f>
        <v>Mg</v>
      </c>
    </row>
    <row r="276" spans="1:39" x14ac:dyDescent="0.25">
      <c r="A276" s="4">
        <f t="shared" si="9"/>
        <v>275</v>
      </c>
      <c r="B276" s="2" t="str">
        <f>_xlfn.XLOOKUP(C276,Tab_Def_Flows[Flow_Name],Tab_Def_Flows[Flow_ID],,0,)</f>
        <v>F__</v>
      </c>
      <c r="C276" s="18" t="s">
        <v>5</v>
      </c>
      <c r="D276" s="5" t="str">
        <f>_xlfn.XLOOKUP(C276,Tab_Def_Flows[Flow_Name],Tab_Def_Flows[Use_E1],,0,)</f>
        <v>Yes</v>
      </c>
      <c r="E276" s="5" t="str">
        <f>_xlfn.XLOOKUP(C276,Tab_Def_Flows[Flow_Name],Tab_Def_Flows[Use_E2],,0,)</f>
        <v>Yes</v>
      </c>
      <c r="F276" s="5" t="str">
        <f>_xlfn.XLOOKUP(C276,Tab_Def_Flows[Flow_Name],Tab_Def_Flows[Use_E3],,0,)</f>
        <v>Yes</v>
      </c>
      <c r="G276" s="5" t="str">
        <f>_xlfn.XLOOKUP(C276,Tab_Def_Flows[Flow_Name],Tab_Def_Flows[Use_E4],,0,)</f>
        <v>Yes</v>
      </c>
      <c r="H276" s="5" t="str">
        <f>_xlfn.XLOOKUP(C276,Tab_Def_Flows[Flow_Name],Tab_Def_Flows[Use_E5],,0,)</f>
        <v>Yes</v>
      </c>
      <c r="I276" s="5" t="str">
        <f>_xlfn.XLOOKUP(C276,Tab_Def_Flows[Flow_Name],Tab_Def_Flows[Use_E6],,0,)</f>
        <v>Yes</v>
      </c>
      <c r="J276" s="3"/>
      <c r="K276" s="3"/>
      <c r="L276" s="2" t="str">
        <f>'0_Configuration'!$C$41</f>
        <v>Mg</v>
      </c>
      <c r="M276" s="9"/>
      <c r="N276" s="9"/>
      <c r="O276" s="9"/>
      <c r="P276" s="9"/>
      <c r="Q276" s="18" t="s">
        <v>3</v>
      </c>
      <c r="R276" s="10"/>
      <c r="S276" s="3"/>
      <c r="T276" s="9"/>
      <c r="U276" s="9"/>
      <c r="V276" s="2">
        <f>_xlfn.XLOOKUP(Tab_Data_Flows[[#This Row],[Flow_Name]],Tab_Def_Flows[Flow_Name],Tab_Def_Flows[Flow_E1_Fraction'[%']],"N.A.",0,1)</f>
        <v>0</v>
      </c>
      <c r="W276" s="8">
        <f t="shared" si="8"/>
        <v>0</v>
      </c>
      <c r="X276" s="2" t="str">
        <f>Tab_Data_Flows[[#This Row],[UoM_Source]]</f>
        <v>Mg</v>
      </c>
      <c r="Y276" s="19">
        <f>_xlfn.XLOOKUP(Tab_Data_Flows[[#This Row],[Flow_Name]],Tab_Def_Flows[Flow_Name],Tab_Def_Flows[Flow_E2_Fraction'[%']],"N.A.",0,1)</f>
        <v>0</v>
      </c>
      <c r="Z276" s="2">
        <f>IF(D276="Yes",W276*Tab_Data_Flows[[#This Row],[E2_Fraction'[%']]],"N.A.")</f>
        <v>0</v>
      </c>
      <c r="AA276" s="2" t="str">
        <f>Tab_Data_Flows[[#This Row],[E1_UoM]]</f>
        <v>Mg</v>
      </c>
      <c r="AB276" s="19">
        <f>_xlfn.XLOOKUP(Tab_Data_Flows[[#This Row],[Flow_Name]],Tab_Def_Flows[Flow_Name],Tab_Def_Flows[Flow_E3_Fraction'[%']],"N.A.",0,1)</f>
        <v>0</v>
      </c>
      <c r="AC276" s="2">
        <f>IF(E276="Yes",AB276*Tab_Data_Flows[[#This Row],[E1_value]],"N.A.")</f>
        <v>0</v>
      </c>
      <c r="AD276" s="2" t="str">
        <f>Tab_Data_Flows[[#This Row],[E1_UoM]]</f>
        <v>Mg</v>
      </c>
      <c r="AE276" s="19">
        <f>_xlfn.XLOOKUP(Tab_Data_Flows[[#This Row],[Flow_Name]],Tab_Def_Flows[Flow_Name],Tab_Def_Flows[Flow_E4_Fraction'[%']],"N.A.",0,1)</f>
        <v>0</v>
      </c>
      <c r="AF276" s="2">
        <f>IF(H276="Yes",Tab_Data_Flows[[#This Row],[E4_Fraction'[%']]]*Tab_Data_Flows[[#This Row],[E1_value]],"N.A.")</f>
        <v>0</v>
      </c>
      <c r="AG276" s="2" t="str">
        <f>Tab_Data_Flows[[#This Row],[E1_UoM]]</f>
        <v>Mg</v>
      </c>
      <c r="AH276" s="2">
        <f>_xlfn.XLOOKUP(Tab_Data_Flows[[#This Row],[Flow_Name]],Tab_Def_Flows[Flow_Name],Tab_Def_Flows[Flow_E5_Fraction'[%']],"N.A.",0,1)</f>
        <v>0</v>
      </c>
      <c r="AI276" s="2">
        <f>IF(H276="Yes",Tab_Data_Flows[[#This Row],[E5_Fraction'[%']]]*Tab_Data_Flows[[#This Row],[E1_value]],"N.A.")</f>
        <v>0</v>
      </c>
      <c r="AJ276" s="2" t="str">
        <f>Tab_Data_Flows[[#This Row],[E1_UoM]]</f>
        <v>Mg</v>
      </c>
      <c r="AK276" s="19">
        <f>_xlfn.XLOOKUP(Tab_Data_Flows[[#This Row],[Flow_Name]],Tab_Def_Flows[Flow_Name],Tab_Def_Flows[Flow_E6_Fraction'[%']],"N.A.",0,1)</f>
        <v>0</v>
      </c>
      <c r="AL276" s="2">
        <f>IF(Tab_Data_Flows[[#This Row],[Use_E6]]="Yes",Tab_Data_Flows[[#This Row],[E6_Fraction'[%']]]*Tab_Data_Flows[[#This Row],[E1_value]],"N.A.")</f>
        <v>0</v>
      </c>
      <c r="AM276" s="2" t="str">
        <f>Tab_Data_Flows[[#This Row],[E1_UoM]]</f>
        <v>Mg</v>
      </c>
    </row>
    <row r="277" spans="1:39" x14ac:dyDescent="0.25">
      <c r="A277" s="4">
        <f t="shared" si="9"/>
        <v>276</v>
      </c>
      <c r="B277" s="2" t="str">
        <f>_xlfn.XLOOKUP(C277,Tab_Def_Flows[Flow_Name],Tab_Def_Flows[Flow_ID],,0,)</f>
        <v>F__</v>
      </c>
      <c r="C277" s="18" t="s">
        <v>5</v>
      </c>
      <c r="D277" s="5" t="str">
        <f>_xlfn.XLOOKUP(C277,Tab_Def_Flows[Flow_Name],Tab_Def_Flows[Use_E1],,0,)</f>
        <v>Yes</v>
      </c>
      <c r="E277" s="5" t="str">
        <f>_xlfn.XLOOKUP(C277,Tab_Def_Flows[Flow_Name],Tab_Def_Flows[Use_E2],,0,)</f>
        <v>Yes</v>
      </c>
      <c r="F277" s="5" t="str">
        <f>_xlfn.XLOOKUP(C277,Tab_Def_Flows[Flow_Name],Tab_Def_Flows[Use_E3],,0,)</f>
        <v>Yes</v>
      </c>
      <c r="G277" s="5" t="str">
        <f>_xlfn.XLOOKUP(C277,Tab_Def_Flows[Flow_Name],Tab_Def_Flows[Use_E4],,0,)</f>
        <v>Yes</v>
      </c>
      <c r="H277" s="5" t="str">
        <f>_xlfn.XLOOKUP(C277,Tab_Def_Flows[Flow_Name],Tab_Def_Flows[Use_E5],,0,)</f>
        <v>Yes</v>
      </c>
      <c r="I277" s="5" t="str">
        <f>_xlfn.XLOOKUP(C277,Tab_Def_Flows[Flow_Name],Tab_Def_Flows[Use_E6],,0,)</f>
        <v>Yes</v>
      </c>
      <c r="J277" s="3"/>
      <c r="K277" s="3"/>
      <c r="L277" s="2" t="str">
        <f>'0_Configuration'!$C$41</f>
        <v>Mg</v>
      </c>
      <c r="M277" s="9"/>
      <c r="N277" s="9"/>
      <c r="O277" s="9"/>
      <c r="P277" s="9"/>
      <c r="Q277" s="18" t="s">
        <v>3</v>
      </c>
      <c r="R277" s="10"/>
      <c r="S277" s="3"/>
      <c r="T277" s="9"/>
      <c r="U277" s="9"/>
      <c r="V277" s="2">
        <f>_xlfn.XLOOKUP(Tab_Data_Flows[[#This Row],[Flow_Name]],Tab_Def_Flows[Flow_Name],Tab_Def_Flows[Flow_E1_Fraction'[%']],"N.A.",0,1)</f>
        <v>0</v>
      </c>
      <c r="W277" s="8">
        <f t="shared" si="8"/>
        <v>0</v>
      </c>
      <c r="X277" s="2" t="str">
        <f>Tab_Data_Flows[[#This Row],[UoM_Source]]</f>
        <v>Mg</v>
      </c>
      <c r="Y277" s="19">
        <f>_xlfn.XLOOKUP(Tab_Data_Flows[[#This Row],[Flow_Name]],Tab_Def_Flows[Flow_Name],Tab_Def_Flows[Flow_E2_Fraction'[%']],"N.A.",0,1)</f>
        <v>0</v>
      </c>
      <c r="Z277" s="2">
        <f>IF(D277="Yes",W277*Tab_Data_Flows[[#This Row],[E2_Fraction'[%']]],"N.A.")</f>
        <v>0</v>
      </c>
      <c r="AA277" s="2" t="str">
        <f>Tab_Data_Flows[[#This Row],[E1_UoM]]</f>
        <v>Mg</v>
      </c>
      <c r="AB277" s="19">
        <f>_xlfn.XLOOKUP(Tab_Data_Flows[[#This Row],[Flow_Name]],Tab_Def_Flows[Flow_Name],Tab_Def_Flows[Flow_E3_Fraction'[%']],"N.A.",0,1)</f>
        <v>0</v>
      </c>
      <c r="AC277" s="2">
        <f>IF(E277="Yes",AB277*Tab_Data_Flows[[#This Row],[E1_value]],"N.A.")</f>
        <v>0</v>
      </c>
      <c r="AD277" s="2" t="str">
        <f>Tab_Data_Flows[[#This Row],[E1_UoM]]</f>
        <v>Mg</v>
      </c>
      <c r="AE277" s="19">
        <f>_xlfn.XLOOKUP(Tab_Data_Flows[[#This Row],[Flow_Name]],Tab_Def_Flows[Flow_Name],Tab_Def_Flows[Flow_E4_Fraction'[%']],"N.A.",0,1)</f>
        <v>0</v>
      </c>
      <c r="AF277" s="2">
        <f>IF(H277="Yes",Tab_Data_Flows[[#This Row],[E4_Fraction'[%']]]*Tab_Data_Flows[[#This Row],[E1_value]],"N.A.")</f>
        <v>0</v>
      </c>
      <c r="AG277" s="2" t="str">
        <f>Tab_Data_Flows[[#This Row],[E1_UoM]]</f>
        <v>Mg</v>
      </c>
      <c r="AH277" s="2">
        <f>_xlfn.XLOOKUP(Tab_Data_Flows[[#This Row],[Flow_Name]],Tab_Def_Flows[Flow_Name],Tab_Def_Flows[Flow_E5_Fraction'[%']],"N.A.",0,1)</f>
        <v>0</v>
      </c>
      <c r="AI277" s="2">
        <f>IF(H277="Yes",Tab_Data_Flows[[#This Row],[E5_Fraction'[%']]]*Tab_Data_Flows[[#This Row],[E1_value]],"N.A.")</f>
        <v>0</v>
      </c>
      <c r="AJ277" s="2" t="str">
        <f>Tab_Data_Flows[[#This Row],[E1_UoM]]</f>
        <v>Mg</v>
      </c>
      <c r="AK277" s="19">
        <f>_xlfn.XLOOKUP(Tab_Data_Flows[[#This Row],[Flow_Name]],Tab_Def_Flows[Flow_Name],Tab_Def_Flows[Flow_E6_Fraction'[%']],"N.A.",0,1)</f>
        <v>0</v>
      </c>
      <c r="AL277" s="2">
        <f>IF(Tab_Data_Flows[[#This Row],[Use_E6]]="Yes",Tab_Data_Flows[[#This Row],[E6_Fraction'[%']]]*Tab_Data_Flows[[#This Row],[E1_value]],"N.A.")</f>
        <v>0</v>
      </c>
      <c r="AM277" s="2" t="str">
        <f>Tab_Data_Flows[[#This Row],[E1_UoM]]</f>
        <v>Mg</v>
      </c>
    </row>
    <row r="278" spans="1:39" x14ac:dyDescent="0.25">
      <c r="A278" s="4">
        <f t="shared" si="9"/>
        <v>277</v>
      </c>
      <c r="B278" s="2" t="str">
        <f>_xlfn.XLOOKUP(C278,Tab_Def_Flows[Flow_Name],Tab_Def_Flows[Flow_ID],,0,)</f>
        <v>F__</v>
      </c>
      <c r="C278" s="18" t="s">
        <v>5</v>
      </c>
      <c r="D278" s="5" t="str">
        <f>_xlfn.XLOOKUP(C278,Tab_Def_Flows[Flow_Name],Tab_Def_Flows[Use_E1],,0,)</f>
        <v>Yes</v>
      </c>
      <c r="E278" s="5" t="str">
        <f>_xlfn.XLOOKUP(C278,Tab_Def_Flows[Flow_Name],Tab_Def_Flows[Use_E2],,0,)</f>
        <v>Yes</v>
      </c>
      <c r="F278" s="5" t="str">
        <f>_xlfn.XLOOKUP(C278,Tab_Def_Flows[Flow_Name],Tab_Def_Flows[Use_E3],,0,)</f>
        <v>Yes</v>
      </c>
      <c r="G278" s="5" t="str">
        <f>_xlfn.XLOOKUP(C278,Tab_Def_Flows[Flow_Name],Tab_Def_Flows[Use_E4],,0,)</f>
        <v>Yes</v>
      </c>
      <c r="H278" s="5" t="str">
        <f>_xlfn.XLOOKUP(C278,Tab_Def_Flows[Flow_Name],Tab_Def_Flows[Use_E5],,0,)</f>
        <v>Yes</v>
      </c>
      <c r="I278" s="5" t="str">
        <f>_xlfn.XLOOKUP(C278,Tab_Def_Flows[Flow_Name],Tab_Def_Flows[Use_E6],,0,)</f>
        <v>Yes</v>
      </c>
      <c r="J278" s="3"/>
      <c r="K278" s="3"/>
      <c r="L278" s="2" t="str">
        <f>'0_Configuration'!$C$41</f>
        <v>Mg</v>
      </c>
      <c r="M278" s="9"/>
      <c r="N278" s="9"/>
      <c r="O278" s="9"/>
      <c r="P278" s="9"/>
      <c r="Q278" s="18" t="s">
        <v>3</v>
      </c>
      <c r="R278" s="10"/>
      <c r="S278" s="3"/>
      <c r="T278" s="9"/>
      <c r="U278" s="9"/>
      <c r="V278" s="2">
        <f>_xlfn.XLOOKUP(Tab_Data_Flows[[#This Row],[Flow_Name]],Tab_Def_Flows[Flow_Name],Tab_Def_Flows[Flow_E1_Fraction'[%']],"N.A.",0,1)</f>
        <v>0</v>
      </c>
      <c r="W278" s="8">
        <f t="shared" si="8"/>
        <v>0</v>
      </c>
      <c r="X278" s="2" t="str">
        <f>Tab_Data_Flows[[#This Row],[UoM_Source]]</f>
        <v>Mg</v>
      </c>
      <c r="Y278" s="19">
        <f>_xlfn.XLOOKUP(Tab_Data_Flows[[#This Row],[Flow_Name]],Tab_Def_Flows[Flow_Name],Tab_Def_Flows[Flow_E2_Fraction'[%']],"N.A.",0,1)</f>
        <v>0</v>
      </c>
      <c r="Z278" s="2">
        <f>IF(D278="Yes",W278*Tab_Data_Flows[[#This Row],[E2_Fraction'[%']]],"N.A.")</f>
        <v>0</v>
      </c>
      <c r="AA278" s="2" t="str">
        <f>Tab_Data_Flows[[#This Row],[E1_UoM]]</f>
        <v>Mg</v>
      </c>
      <c r="AB278" s="19">
        <f>_xlfn.XLOOKUP(Tab_Data_Flows[[#This Row],[Flow_Name]],Tab_Def_Flows[Flow_Name],Tab_Def_Flows[Flow_E3_Fraction'[%']],"N.A.",0,1)</f>
        <v>0</v>
      </c>
      <c r="AC278" s="2">
        <f>IF(E278="Yes",AB278*Tab_Data_Flows[[#This Row],[E1_value]],"N.A.")</f>
        <v>0</v>
      </c>
      <c r="AD278" s="2" t="str">
        <f>Tab_Data_Flows[[#This Row],[E1_UoM]]</f>
        <v>Mg</v>
      </c>
      <c r="AE278" s="19">
        <f>_xlfn.XLOOKUP(Tab_Data_Flows[[#This Row],[Flow_Name]],Tab_Def_Flows[Flow_Name],Tab_Def_Flows[Flow_E4_Fraction'[%']],"N.A.",0,1)</f>
        <v>0</v>
      </c>
      <c r="AF278" s="2">
        <f>IF(H278="Yes",Tab_Data_Flows[[#This Row],[E4_Fraction'[%']]]*Tab_Data_Flows[[#This Row],[E1_value]],"N.A.")</f>
        <v>0</v>
      </c>
      <c r="AG278" s="2" t="str">
        <f>Tab_Data_Flows[[#This Row],[E1_UoM]]</f>
        <v>Mg</v>
      </c>
      <c r="AH278" s="2">
        <f>_xlfn.XLOOKUP(Tab_Data_Flows[[#This Row],[Flow_Name]],Tab_Def_Flows[Flow_Name],Tab_Def_Flows[Flow_E5_Fraction'[%']],"N.A.",0,1)</f>
        <v>0</v>
      </c>
      <c r="AI278" s="2">
        <f>IF(H278="Yes",Tab_Data_Flows[[#This Row],[E5_Fraction'[%']]]*Tab_Data_Flows[[#This Row],[E1_value]],"N.A.")</f>
        <v>0</v>
      </c>
      <c r="AJ278" s="2" t="str">
        <f>Tab_Data_Flows[[#This Row],[E1_UoM]]</f>
        <v>Mg</v>
      </c>
      <c r="AK278" s="19">
        <f>_xlfn.XLOOKUP(Tab_Data_Flows[[#This Row],[Flow_Name]],Tab_Def_Flows[Flow_Name],Tab_Def_Flows[Flow_E6_Fraction'[%']],"N.A.",0,1)</f>
        <v>0</v>
      </c>
      <c r="AL278" s="2">
        <f>IF(Tab_Data_Flows[[#This Row],[Use_E6]]="Yes",Tab_Data_Flows[[#This Row],[E6_Fraction'[%']]]*Tab_Data_Flows[[#This Row],[E1_value]],"N.A.")</f>
        <v>0</v>
      </c>
      <c r="AM278" s="2" t="str">
        <f>Tab_Data_Flows[[#This Row],[E1_UoM]]</f>
        <v>Mg</v>
      </c>
    </row>
    <row r="279" spans="1:39" x14ac:dyDescent="0.25">
      <c r="A279" s="4">
        <f t="shared" si="9"/>
        <v>278</v>
      </c>
      <c r="B279" s="2" t="str">
        <f>_xlfn.XLOOKUP(C279,Tab_Def_Flows[Flow_Name],Tab_Def_Flows[Flow_ID],,0,)</f>
        <v>F__</v>
      </c>
      <c r="C279" s="18" t="s">
        <v>5</v>
      </c>
      <c r="D279" s="5" t="str">
        <f>_xlfn.XLOOKUP(C279,Tab_Def_Flows[Flow_Name],Tab_Def_Flows[Use_E1],,0,)</f>
        <v>Yes</v>
      </c>
      <c r="E279" s="5" t="str">
        <f>_xlfn.XLOOKUP(C279,Tab_Def_Flows[Flow_Name],Tab_Def_Flows[Use_E2],,0,)</f>
        <v>Yes</v>
      </c>
      <c r="F279" s="5" t="str">
        <f>_xlfn.XLOOKUP(C279,Tab_Def_Flows[Flow_Name],Tab_Def_Flows[Use_E3],,0,)</f>
        <v>Yes</v>
      </c>
      <c r="G279" s="5" t="str">
        <f>_xlfn.XLOOKUP(C279,Tab_Def_Flows[Flow_Name],Tab_Def_Flows[Use_E4],,0,)</f>
        <v>Yes</v>
      </c>
      <c r="H279" s="5" t="str">
        <f>_xlfn.XLOOKUP(C279,Tab_Def_Flows[Flow_Name],Tab_Def_Flows[Use_E5],,0,)</f>
        <v>Yes</v>
      </c>
      <c r="I279" s="5" t="str">
        <f>_xlfn.XLOOKUP(C279,Tab_Def_Flows[Flow_Name],Tab_Def_Flows[Use_E6],,0,)</f>
        <v>Yes</v>
      </c>
      <c r="J279" s="3"/>
      <c r="K279" s="3"/>
      <c r="L279" s="2" t="str">
        <f>'0_Configuration'!$C$41</f>
        <v>Mg</v>
      </c>
      <c r="M279" s="9"/>
      <c r="N279" s="9"/>
      <c r="O279" s="9"/>
      <c r="P279" s="9"/>
      <c r="Q279" s="18" t="s">
        <v>3</v>
      </c>
      <c r="R279" s="10"/>
      <c r="S279" s="3"/>
      <c r="T279" s="9"/>
      <c r="U279" s="9"/>
      <c r="V279" s="2">
        <f>_xlfn.XLOOKUP(Tab_Data_Flows[[#This Row],[Flow_Name]],Tab_Def_Flows[Flow_Name],Tab_Def_Flows[Flow_E1_Fraction'[%']],"N.A.",0,1)</f>
        <v>0</v>
      </c>
      <c r="W279" s="8">
        <f t="shared" si="8"/>
        <v>0</v>
      </c>
      <c r="X279" s="2" t="str">
        <f>Tab_Data_Flows[[#This Row],[UoM_Source]]</f>
        <v>Mg</v>
      </c>
      <c r="Y279" s="19">
        <f>_xlfn.XLOOKUP(Tab_Data_Flows[[#This Row],[Flow_Name]],Tab_Def_Flows[Flow_Name],Tab_Def_Flows[Flow_E2_Fraction'[%']],"N.A.",0,1)</f>
        <v>0</v>
      </c>
      <c r="Z279" s="2">
        <f>IF(D279="Yes",W279*Tab_Data_Flows[[#This Row],[E2_Fraction'[%']]],"N.A.")</f>
        <v>0</v>
      </c>
      <c r="AA279" s="2" t="str">
        <f>Tab_Data_Flows[[#This Row],[E1_UoM]]</f>
        <v>Mg</v>
      </c>
      <c r="AB279" s="19">
        <f>_xlfn.XLOOKUP(Tab_Data_Flows[[#This Row],[Flow_Name]],Tab_Def_Flows[Flow_Name],Tab_Def_Flows[Flow_E3_Fraction'[%']],"N.A.",0,1)</f>
        <v>0</v>
      </c>
      <c r="AC279" s="2">
        <f>IF(E279="Yes",AB279*Tab_Data_Flows[[#This Row],[E1_value]],"N.A.")</f>
        <v>0</v>
      </c>
      <c r="AD279" s="2" t="str">
        <f>Tab_Data_Flows[[#This Row],[E1_UoM]]</f>
        <v>Mg</v>
      </c>
      <c r="AE279" s="19">
        <f>_xlfn.XLOOKUP(Tab_Data_Flows[[#This Row],[Flow_Name]],Tab_Def_Flows[Flow_Name],Tab_Def_Flows[Flow_E4_Fraction'[%']],"N.A.",0,1)</f>
        <v>0</v>
      </c>
      <c r="AF279" s="2">
        <f>IF(H279="Yes",Tab_Data_Flows[[#This Row],[E4_Fraction'[%']]]*Tab_Data_Flows[[#This Row],[E1_value]],"N.A.")</f>
        <v>0</v>
      </c>
      <c r="AG279" s="2" t="str">
        <f>Tab_Data_Flows[[#This Row],[E1_UoM]]</f>
        <v>Mg</v>
      </c>
      <c r="AH279" s="2">
        <f>_xlfn.XLOOKUP(Tab_Data_Flows[[#This Row],[Flow_Name]],Tab_Def_Flows[Flow_Name],Tab_Def_Flows[Flow_E5_Fraction'[%']],"N.A.",0,1)</f>
        <v>0</v>
      </c>
      <c r="AI279" s="2">
        <f>IF(H279="Yes",Tab_Data_Flows[[#This Row],[E5_Fraction'[%']]]*Tab_Data_Flows[[#This Row],[E1_value]],"N.A.")</f>
        <v>0</v>
      </c>
      <c r="AJ279" s="2" t="str">
        <f>Tab_Data_Flows[[#This Row],[E1_UoM]]</f>
        <v>Mg</v>
      </c>
      <c r="AK279" s="19">
        <f>_xlfn.XLOOKUP(Tab_Data_Flows[[#This Row],[Flow_Name]],Tab_Def_Flows[Flow_Name],Tab_Def_Flows[Flow_E6_Fraction'[%']],"N.A.",0,1)</f>
        <v>0</v>
      </c>
      <c r="AL279" s="2">
        <f>IF(Tab_Data_Flows[[#This Row],[Use_E6]]="Yes",Tab_Data_Flows[[#This Row],[E6_Fraction'[%']]]*Tab_Data_Flows[[#This Row],[E1_value]],"N.A.")</f>
        <v>0</v>
      </c>
      <c r="AM279" s="2" t="str">
        <f>Tab_Data_Flows[[#This Row],[E1_UoM]]</f>
        <v>Mg</v>
      </c>
    </row>
    <row r="280" spans="1:39" x14ac:dyDescent="0.25">
      <c r="A280" s="4">
        <f t="shared" si="9"/>
        <v>279</v>
      </c>
      <c r="B280" s="2" t="str">
        <f>_xlfn.XLOOKUP(C280,Tab_Def_Flows[Flow_Name],Tab_Def_Flows[Flow_ID],,0,)</f>
        <v>F__</v>
      </c>
      <c r="C280" s="18" t="s">
        <v>5</v>
      </c>
      <c r="D280" s="5" t="str">
        <f>_xlfn.XLOOKUP(C280,Tab_Def_Flows[Flow_Name],Tab_Def_Flows[Use_E1],,0,)</f>
        <v>Yes</v>
      </c>
      <c r="E280" s="5" t="str">
        <f>_xlfn.XLOOKUP(C280,Tab_Def_Flows[Flow_Name],Tab_Def_Flows[Use_E2],,0,)</f>
        <v>Yes</v>
      </c>
      <c r="F280" s="5" t="str">
        <f>_xlfn.XLOOKUP(C280,Tab_Def_Flows[Flow_Name],Tab_Def_Flows[Use_E3],,0,)</f>
        <v>Yes</v>
      </c>
      <c r="G280" s="5" t="str">
        <f>_xlfn.XLOOKUP(C280,Tab_Def_Flows[Flow_Name],Tab_Def_Flows[Use_E4],,0,)</f>
        <v>Yes</v>
      </c>
      <c r="H280" s="5" t="str">
        <f>_xlfn.XLOOKUP(C280,Tab_Def_Flows[Flow_Name],Tab_Def_Flows[Use_E5],,0,)</f>
        <v>Yes</v>
      </c>
      <c r="I280" s="5" t="str">
        <f>_xlfn.XLOOKUP(C280,Tab_Def_Flows[Flow_Name],Tab_Def_Flows[Use_E6],,0,)</f>
        <v>Yes</v>
      </c>
      <c r="J280" s="3"/>
      <c r="K280" s="3"/>
      <c r="L280" s="2" t="str">
        <f>'0_Configuration'!$C$41</f>
        <v>Mg</v>
      </c>
      <c r="M280" s="9"/>
      <c r="N280" s="9"/>
      <c r="O280" s="9"/>
      <c r="P280" s="9"/>
      <c r="Q280" s="18" t="s">
        <v>3</v>
      </c>
      <c r="R280" s="10"/>
      <c r="S280" s="3"/>
      <c r="T280" s="9"/>
      <c r="U280" s="9"/>
      <c r="V280" s="2">
        <f>_xlfn.XLOOKUP(Tab_Data_Flows[[#This Row],[Flow_Name]],Tab_Def_Flows[Flow_Name],Tab_Def_Flows[Flow_E1_Fraction'[%']],"N.A.",0,1)</f>
        <v>0</v>
      </c>
      <c r="W280" s="8">
        <f t="shared" si="8"/>
        <v>0</v>
      </c>
      <c r="X280" s="2" t="str">
        <f>Tab_Data_Flows[[#This Row],[UoM_Source]]</f>
        <v>Mg</v>
      </c>
      <c r="Y280" s="19">
        <f>_xlfn.XLOOKUP(Tab_Data_Flows[[#This Row],[Flow_Name]],Tab_Def_Flows[Flow_Name],Tab_Def_Flows[Flow_E2_Fraction'[%']],"N.A.",0,1)</f>
        <v>0</v>
      </c>
      <c r="Z280" s="2">
        <f>IF(D280="Yes",W280*Tab_Data_Flows[[#This Row],[E2_Fraction'[%']]],"N.A.")</f>
        <v>0</v>
      </c>
      <c r="AA280" s="2" t="str">
        <f>Tab_Data_Flows[[#This Row],[E1_UoM]]</f>
        <v>Mg</v>
      </c>
      <c r="AB280" s="19">
        <f>_xlfn.XLOOKUP(Tab_Data_Flows[[#This Row],[Flow_Name]],Tab_Def_Flows[Flow_Name],Tab_Def_Flows[Flow_E3_Fraction'[%']],"N.A.",0,1)</f>
        <v>0</v>
      </c>
      <c r="AC280" s="2">
        <f>IF(E280="Yes",AB280*Tab_Data_Flows[[#This Row],[E1_value]],"N.A.")</f>
        <v>0</v>
      </c>
      <c r="AD280" s="2" t="str">
        <f>Tab_Data_Flows[[#This Row],[E1_UoM]]</f>
        <v>Mg</v>
      </c>
      <c r="AE280" s="19">
        <f>_xlfn.XLOOKUP(Tab_Data_Flows[[#This Row],[Flow_Name]],Tab_Def_Flows[Flow_Name],Tab_Def_Flows[Flow_E4_Fraction'[%']],"N.A.",0,1)</f>
        <v>0</v>
      </c>
      <c r="AF280" s="2">
        <f>IF(H280="Yes",Tab_Data_Flows[[#This Row],[E4_Fraction'[%']]]*Tab_Data_Flows[[#This Row],[E1_value]],"N.A.")</f>
        <v>0</v>
      </c>
      <c r="AG280" s="2" t="str">
        <f>Tab_Data_Flows[[#This Row],[E1_UoM]]</f>
        <v>Mg</v>
      </c>
      <c r="AH280" s="2">
        <f>_xlfn.XLOOKUP(Tab_Data_Flows[[#This Row],[Flow_Name]],Tab_Def_Flows[Flow_Name],Tab_Def_Flows[Flow_E5_Fraction'[%']],"N.A.",0,1)</f>
        <v>0</v>
      </c>
      <c r="AI280" s="2">
        <f>IF(H280="Yes",Tab_Data_Flows[[#This Row],[E5_Fraction'[%']]]*Tab_Data_Flows[[#This Row],[E1_value]],"N.A.")</f>
        <v>0</v>
      </c>
      <c r="AJ280" s="2" t="str">
        <f>Tab_Data_Flows[[#This Row],[E1_UoM]]</f>
        <v>Mg</v>
      </c>
      <c r="AK280" s="19">
        <f>_xlfn.XLOOKUP(Tab_Data_Flows[[#This Row],[Flow_Name]],Tab_Def_Flows[Flow_Name],Tab_Def_Flows[Flow_E6_Fraction'[%']],"N.A.",0,1)</f>
        <v>0</v>
      </c>
      <c r="AL280" s="2">
        <f>IF(Tab_Data_Flows[[#This Row],[Use_E6]]="Yes",Tab_Data_Flows[[#This Row],[E6_Fraction'[%']]]*Tab_Data_Flows[[#This Row],[E1_value]],"N.A.")</f>
        <v>0</v>
      </c>
      <c r="AM280" s="2" t="str">
        <f>Tab_Data_Flows[[#This Row],[E1_UoM]]</f>
        <v>Mg</v>
      </c>
    </row>
    <row r="281" spans="1:39" x14ac:dyDescent="0.25">
      <c r="A281" s="4">
        <f t="shared" si="9"/>
        <v>280</v>
      </c>
      <c r="B281" s="2" t="str">
        <f>_xlfn.XLOOKUP(C281,Tab_Def_Flows[Flow_Name],Tab_Def_Flows[Flow_ID],,0,)</f>
        <v>F__</v>
      </c>
      <c r="C281" s="18" t="s">
        <v>5</v>
      </c>
      <c r="D281" s="5" t="str">
        <f>_xlfn.XLOOKUP(C281,Tab_Def_Flows[Flow_Name],Tab_Def_Flows[Use_E1],,0,)</f>
        <v>Yes</v>
      </c>
      <c r="E281" s="5" t="str">
        <f>_xlfn.XLOOKUP(C281,Tab_Def_Flows[Flow_Name],Tab_Def_Flows[Use_E2],,0,)</f>
        <v>Yes</v>
      </c>
      <c r="F281" s="5" t="str">
        <f>_xlfn.XLOOKUP(C281,Tab_Def_Flows[Flow_Name],Tab_Def_Flows[Use_E3],,0,)</f>
        <v>Yes</v>
      </c>
      <c r="G281" s="5" t="str">
        <f>_xlfn.XLOOKUP(C281,Tab_Def_Flows[Flow_Name],Tab_Def_Flows[Use_E4],,0,)</f>
        <v>Yes</v>
      </c>
      <c r="H281" s="5" t="str">
        <f>_xlfn.XLOOKUP(C281,Tab_Def_Flows[Flow_Name],Tab_Def_Flows[Use_E5],,0,)</f>
        <v>Yes</v>
      </c>
      <c r="I281" s="5" t="str">
        <f>_xlfn.XLOOKUP(C281,Tab_Def_Flows[Flow_Name],Tab_Def_Flows[Use_E6],,0,)</f>
        <v>Yes</v>
      </c>
      <c r="J281" s="3"/>
      <c r="K281" s="3"/>
      <c r="L281" s="2" t="str">
        <f>'0_Configuration'!$C$41</f>
        <v>Mg</v>
      </c>
      <c r="M281" s="9"/>
      <c r="N281" s="9"/>
      <c r="O281" s="9"/>
      <c r="P281" s="9"/>
      <c r="Q281" s="18" t="s">
        <v>3</v>
      </c>
      <c r="R281" s="10"/>
      <c r="S281" s="3"/>
      <c r="T281" s="9"/>
      <c r="U281" s="9"/>
      <c r="V281" s="2">
        <f>_xlfn.XLOOKUP(Tab_Data_Flows[[#This Row],[Flow_Name]],Tab_Def_Flows[Flow_Name],Tab_Def_Flows[Flow_E1_Fraction'[%']],"N.A.",0,1)</f>
        <v>0</v>
      </c>
      <c r="W281" s="8">
        <f t="shared" si="8"/>
        <v>0</v>
      </c>
      <c r="X281" s="2" t="str">
        <f>Tab_Data_Flows[[#This Row],[UoM_Source]]</f>
        <v>Mg</v>
      </c>
      <c r="Y281" s="19">
        <f>_xlfn.XLOOKUP(Tab_Data_Flows[[#This Row],[Flow_Name]],Tab_Def_Flows[Flow_Name],Tab_Def_Flows[Flow_E2_Fraction'[%']],"N.A.",0,1)</f>
        <v>0</v>
      </c>
      <c r="Z281" s="2">
        <f>IF(D281="Yes",W281*Tab_Data_Flows[[#This Row],[E2_Fraction'[%']]],"N.A.")</f>
        <v>0</v>
      </c>
      <c r="AA281" s="2" t="str">
        <f>Tab_Data_Flows[[#This Row],[E1_UoM]]</f>
        <v>Mg</v>
      </c>
      <c r="AB281" s="19">
        <f>_xlfn.XLOOKUP(Tab_Data_Flows[[#This Row],[Flow_Name]],Tab_Def_Flows[Flow_Name],Tab_Def_Flows[Flow_E3_Fraction'[%']],"N.A.",0,1)</f>
        <v>0</v>
      </c>
      <c r="AC281" s="2">
        <f>IF(E281="Yes",AB281*Tab_Data_Flows[[#This Row],[E1_value]],"N.A.")</f>
        <v>0</v>
      </c>
      <c r="AD281" s="2" t="str">
        <f>Tab_Data_Flows[[#This Row],[E1_UoM]]</f>
        <v>Mg</v>
      </c>
      <c r="AE281" s="19">
        <f>_xlfn.XLOOKUP(Tab_Data_Flows[[#This Row],[Flow_Name]],Tab_Def_Flows[Flow_Name],Tab_Def_Flows[Flow_E4_Fraction'[%']],"N.A.",0,1)</f>
        <v>0</v>
      </c>
      <c r="AF281" s="2">
        <f>IF(H281="Yes",Tab_Data_Flows[[#This Row],[E4_Fraction'[%']]]*Tab_Data_Flows[[#This Row],[E1_value]],"N.A.")</f>
        <v>0</v>
      </c>
      <c r="AG281" s="2" t="str">
        <f>Tab_Data_Flows[[#This Row],[E1_UoM]]</f>
        <v>Mg</v>
      </c>
      <c r="AH281" s="2">
        <f>_xlfn.XLOOKUP(Tab_Data_Flows[[#This Row],[Flow_Name]],Tab_Def_Flows[Flow_Name],Tab_Def_Flows[Flow_E5_Fraction'[%']],"N.A.",0,1)</f>
        <v>0</v>
      </c>
      <c r="AI281" s="2">
        <f>IF(H281="Yes",Tab_Data_Flows[[#This Row],[E5_Fraction'[%']]]*Tab_Data_Flows[[#This Row],[E1_value]],"N.A.")</f>
        <v>0</v>
      </c>
      <c r="AJ281" s="2" t="str">
        <f>Tab_Data_Flows[[#This Row],[E1_UoM]]</f>
        <v>Mg</v>
      </c>
      <c r="AK281" s="19">
        <f>_xlfn.XLOOKUP(Tab_Data_Flows[[#This Row],[Flow_Name]],Tab_Def_Flows[Flow_Name],Tab_Def_Flows[Flow_E6_Fraction'[%']],"N.A.",0,1)</f>
        <v>0</v>
      </c>
      <c r="AL281" s="2">
        <f>IF(Tab_Data_Flows[[#This Row],[Use_E6]]="Yes",Tab_Data_Flows[[#This Row],[E6_Fraction'[%']]]*Tab_Data_Flows[[#This Row],[E1_value]],"N.A.")</f>
        <v>0</v>
      </c>
      <c r="AM281" s="2" t="str">
        <f>Tab_Data_Flows[[#This Row],[E1_UoM]]</f>
        <v>Mg</v>
      </c>
    </row>
    <row r="282" spans="1:39" x14ac:dyDescent="0.25">
      <c r="A282" s="4">
        <f t="shared" si="9"/>
        <v>281</v>
      </c>
      <c r="B282" s="2" t="str">
        <f>_xlfn.XLOOKUP(C282,Tab_Def_Flows[Flow_Name],Tab_Def_Flows[Flow_ID],,0,)</f>
        <v>F__</v>
      </c>
      <c r="C282" s="18" t="s">
        <v>5</v>
      </c>
      <c r="D282" s="5" t="str">
        <f>_xlfn.XLOOKUP(C282,Tab_Def_Flows[Flow_Name],Tab_Def_Flows[Use_E1],,0,)</f>
        <v>Yes</v>
      </c>
      <c r="E282" s="5" t="str">
        <f>_xlfn.XLOOKUP(C282,Tab_Def_Flows[Flow_Name],Tab_Def_Flows[Use_E2],,0,)</f>
        <v>Yes</v>
      </c>
      <c r="F282" s="5" t="str">
        <f>_xlfn.XLOOKUP(C282,Tab_Def_Flows[Flow_Name],Tab_Def_Flows[Use_E3],,0,)</f>
        <v>Yes</v>
      </c>
      <c r="G282" s="5" t="str">
        <f>_xlfn.XLOOKUP(C282,Tab_Def_Flows[Flow_Name],Tab_Def_Flows[Use_E4],,0,)</f>
        <v>Yes</v>
      </c>
      <c r="H282" s="5" t="str">
        <f>_xlfn.XLOOKUP(C282,Tab_Def_Flows[Flow_Name],Tab_Def_Flows[Use_E5],,0,)</f>
        <v>Yes</v>
      </c>
      <c r="I282" s="5" t="str">
        <f>_xlfn.XLOOKUP(C282,Tab_Def_Flows[Flow_Name],Tab_Def_Flows[Use_E6],,0,)</f>
        <v>Yes</v>
      </c>
      <c r="J282" s="3"/>
      <c r="K282" s="3"/>
      <c r="L282" s="2" t="str">
        <f>'0_Configuration'!$C$41</f>
        <v>Mg</v>
      </c>
      <c r="M282" s="9"/>
      <c r="N282" s="9"/>
      <c r="O282" s="9"/>
      <c r="P282" s="9"/>
      <c r="Q282" s="18" t="s">
        <v>3</v>
      </c>
      <c r="R282" s="10"/>
      <c r="S282" s="3"/>
      <c r="T282" s="9"/>
      <c r="U282" s="9"/>
      <c r="V282" s="2">
        <f>_xlfn.XLOOKUP(Tab_Data_Flows[[#This Row],[Flow_Name]],Tab_Def_Flows[Flow_Name],Tab_Def_Flows[Flow_E1_Fraction'[%']],"N.A.",0,1)</f>
        <v>0</v>
      </c>
      <c r="W282" s="8">
        <f t="shared" si="8"/>
        <v>0</v>
      </c>
      <c r="X282" s="2" t="str">
        <f>Tab_Data_Flows[[#This Row],[UoM_Source]]</f>
        <v>Mg</v>
      </c>
      <c r="Y282" s="19">
        <f>_xlfn.XLOOKUP(Tab_Data_Flows[[#This Row],[Flow_Name]],Tab_Def_Flows[Flow_Name],Tab_Def_Flows[Flow_E2_Fraction'[%']],"N.A.",0,1)</f>
        <v>0</v>
      </c>
      <c r="Z282" s="2">
        <f>IF(D282="Yes",W282*Tab_Data_Flows[[#This Row],[E2_Fraction'[%']]],"N.A.")</f>
        <v>0</v>
      </c>
      <c r="AA282" s="2" t="str">
        <f>Tab_Data_Flows[[#This Row],[E1_UoM]]</f>
        <v>Mg</v>
      </c>
      <c r="AB282" s="19">
        <f>_xlfn.XLOOKUP(Tab_Data_Flows[[#This Row],[Flow_Name]],Tab_Def_Flows[Flow_Name],Tab_Def_Flows[Flow_E3_Fraction'[%']],"N.A.",0,1)</f>
        <v>0</v>
      </c>
      <c r="AC282" s="2">
        <f>IF(E282="Yes",AB282*Tab_Data_Flows[[#This Row],[E1_value]],"N.A.")</f>
        <v>0</v>
      </c>
      <c r="AD282" s="2" t="str">
        <f>Tab_Data_Flows[[#This Row],[E1_UoM]]</f>
        <v>Mg</v>
      </c>
      <c r="AE282" s="19">
        <f>_xlfn.XLOOKUP(Tab_Data_Flows[[#This Row],[Flow_Name]],Tab_Def_Flows[Flow_Name],Tab_Def_Flows[Flow_E4_Fraction'[%']],"N.A.",0,1)</f>
        <v>0</v>
      </c>
      <c r="AF282" s="2">
        <f>IF(H282="Yes",Tab_Data_Flows[[#This Row],[E4_Fraction'[%']]]*Tab_Data_Flows[[#This Row],[E1_value]],"N.A.")</f>
        <v>0</v>
      </c>
      <c r="AG282" s="2" t="str">
        <f>Tab_Data_Flows[[#This Row],[E1_UoM]]</f>
        <v>Mg</v>
      </c>
      <c r="AH282" s="2">
        <f>_xlfn.XLOOKUP(Tab_Data_Flows[[#This Row],[Flow_Name]],Tab_Def_Flows[Flow_Name],Tab_Def_Flows[Flow_E5_Fraction'[%']],"N.A.",0,1)</f>
        <v>0</v>
      </c>
      <c r="AI282" s="2">
        <f>IF(H282="Yes",Tab_Data_Flows[[#This Row],[E5_Fraction'[%']]]*Tab_Data_Flows[[#This Row],[E1_value]],"N.A.")</f>
        <v>0</v>
      </c>
      <c r="AJ282" s="2" t="str">
        <f>Tab_Data_Flows[[#This Row],[E1_UoM]]</f>
        <v>Mg</v>
      </c>
      <c r="AK282" s="19">
        <f>_xlfn.XLOOKUP(Tab_Data_Flows[[#This Row],[Flow_Name]],Tab_Def_Flows[Flow_Name],Tab_Def_Flows[Flow_E6_Fraction'[%']],"N.A.",0,1)</f>
        <v>0</v>
      </c>
      <c r="AL282" s="2">
        <f>IF(Tab_Data_Flows[[#This Row],[Use_E6]]="Yes",Tab_Data_Flows[[#This Row],[E6_Fraction'[%']]]*Tab_Data_Flows[[#This Row],[E1_value]],"N.A.")</f>
        <v>0</v>
      </c>
      <c r="AM282" s="2" t="str">
        <f>Tab_Data_Flows[[#This Row],[E1_UoM]]</f>
        <v>Mg</v>
      </c>
    </row>
    <row r="283" spans="1:39" x14ac:dyDescent="0.25">
      <c r="A283" s="4">
        <f t="shared" si="9"/>
        <v>282</v>
      </c>
      <c r="B283" s="2" t="str">
        <f>_xlfn.XLOOKUP(C283,Tab_Def_Flows[Flow_Name],Tab_Def_Flows[Flow_ID],,0,)</f>
        <v>F__</v>
      </c>
      <c r="C283" s="18" t="s">
        <v>5</v>
      </c>
      <c r="D283" s="5" t="str">
        <f>_xlfn.XLOOKUP(C283,Tab_Def_Flows[Flow_Name],Tab_Def_Flows[Use_E1],,0,)</f>
        <v>Yes</v>
      </c>
      <c r="E283" s="5" t="str">
        <f>_xlfn.XLOOKUP(C283,Tab_Def_Flows[Flow_Name],Tab_Def_Flows[Use_E2],,0,)</f>
        <v>Yes</v>
      </c>
      <c r="F283" s="5" t="str">
        <f>_xlfn.XLOOKUP(C283,Tab_Def_Flows[Flow_Name],Tab_Def_Flows[Use_E3],,0,)</f>
        <v>Yes</v>
      </c>
      <c r="G283" s="5" t="str">
        <f>_xlfn.XLOOKUP(C283,Tab_Def_Flows[Flow_Name],Tab_Def_Flows[Use_E4],,0,)</f>
        <v>Yes</v>
      </c>
      <c r="H283" s="5" t="str">
        <f>_xlfn.XLOOKUP(C283,Tab_Def_Flows[Flow_Name],Tab_Def_Flows[Use_E5],,0,)</f>
        <v>Yes</v>
      </c>
      <c r="I283" s="5" t="str">
        <f>_xlfn.XLOOKUP(C283,Tab_Def_Flows[Flow_Name],Tab_Def_Flows[Use_E6],,0,)</f>
        <v>Yes</v>
      </c>
      <c r="J283" s="3"/>
      <c r="K283" s="3"/>
      <c r="L283" s="2" t="str">
        <f>'0_Configuration'!$C$41</f>
        <v>Mg</v>
      </c>
      <c r="M283" s="9"/>
      <c r="N283" s="9"/>
      <c r="O283" s="9"/>
      <c r="P283" s="9"/>
      <c r="Q283" s="18" t="s">
        <v>3</v>
      </c>
      <c r="R283" s="10"/>
      <c r="S283" s="3"/>
      <c r="T283" s="9"/>
      <c r="U283" s="9"/>
      <c r="V283" s="2">
        <f>_xlfn.XLOOKUP(Tab_Data_Flows[[#This Row],[Flow_Name]],Tab_Def_Flows[Flow_Name],Tab_Def_Flows[Flow_E1_Fraction'[%']],"N.A.",0,1)</f>
        <v>0</v>
      </c>
      <c r="W283" s="8">
        <f t="shared" si="8"/>
        <v>0</v>
      </c>
      <c r="X283" s="2" t="str">
        <f>Tab_Data_Flows[[#This Row],[UoM_Source]]</f>
        <v>Mg</v>
      </c>
      <c r="Y283" s="19">
        <f>_xlfn.XLOOKUP(Tab_Data_Flows[[#This Row],[Flow_Name]],Tab_Def_Flows[Flow_Name],Tab_Def_Flows[Flow_E2_Fraction'[%']],"N.A.",0,1)</f>
        <v>0</v>
      </c>
      <c r="Z283" s="2">
        <f>IF(D283="Yes",W283*Tab_Data_Flows[[#This Row],[E2_Fraction'[%']]],"N.A.")</f>
        <v>0</v>
      </c>
      <c r="AA283" s="2" t="str">
        <f>Tab_Data_Flows[[#This Row],[E1_UoM]]</f>
        <v>Mg</v>
      </c>
      <c r="AB283" s="19">
        <f>_xlfn.XLOOKUP(Tab_Data_Flows[[#This Row],[Flow_Name]],Tab_Def_Flows[Flow_Name],Tab_Def_Flows[Flow_E3_Fraction'[%']],"N.A.",0,1)</f>
        <v>0</v>
      </c>
      <c r="AC283" s="2">
        <f>IF(E283="Yes",AB283*Tab_Data_Flows[[#This Row],[E1_value]],"N.A.")</f>
        <v>0</v>
      </c>
      <c r="AD283" s="2" t="str">
        <f>Tab_Data_Flows[[#This Row],[E1_UoM]]</f>
        <v>Mg</v>
      </c>
      <c r="AE283" s="19">
        <f>_xlfn.XLOOKUP(Tab_Data_Flows[[#This Row],[Flow_Name]],Tab_Def_Flows[Flow_Name],Tab_Def_Flows[Flow_E4_Fraction'[%']],"N.A.",0,1)</f>
        <v>0</v>
      </c>
      <c r="AF283" s="2">
        <f>IF(H283="Yes",Tab_Data_Flows[[#This Row],[E4_Fraction'[%']]]*Tab_Data_Flows[[#This Row],[E1_value]],"N.A.")</f>
        <v>0</v>
      </c>
      <c r="AG283" s="2" t="str">
        <f>Tab_Data_Flows[[#This Row],[E1_UoM]]</f>
        <v>Mg</v>
      </c>
      <c r="AH283" s="2">
        <f>_xlfn.XLOOKUP(Tab_Data_Flows[[#This Row],[Flow_Name]],Tab_Def_Flows[Flow_Name],Tab_Def_Flows[Flow_E5_Fraction'[%']],"N.A.",0,1)</f>
        <v>0</v>
      </c>
      <c r="AI283" s="2">
        <f>IF(H283="Yes",Tab_Data_Flows[[#This Row],[E5_Fraction'[%']]]*Tab_Data_Flows[[#This Row],[E1_value]],"N.A.")</f>
        <v>0</v>
      </c>
      <c r="AJ283" s="2" t="str">
        <f>Tab_Data_Flows[[#This Row],[E1_UoM]]</f>
        <v>Mg</v>
      </c>
      <c r="AK283" s="19">
        <f>_xlfn.XLOOKUP(Tab_Data_Flows[[#This Row],[Flow_Name]],Tab_Def_Flows[Flow_Name],Tab_Def_Flows[Flow_E6_Fraction'[%']],"N.A.",0,1)</f>
        <v>0</v>
      </c>
      <c r="AL283" s="2">
        <f>IF(Tab_Data_Flows[[#This Row],[Use_E6]]="Yes",Tab_Data_Flows[[#This Row],[E6_Fraction'[%']]]*Tab_Data_Flows[[#This Row],[E1_value]],"N.A.")</f>
        <v>0</v>
      </c>
      <c r="AM283" s="2" t="str">
        <f>Tab_Data_Flows[[#This Row],[E1_UoM]]</f>
        <v>Mg</v>
      </c>
    </row>
    <row r="284" spans="1:39" x14ac:dyDescent="0.25">
      <c r="A284" s="4">
        <f t="shared" si="9"/>
        <v>283</v>
      </c>
      <c r="B284" s="2" t="str">
        <f>_xlfn.XLOOKUP(C284,Tab_Def_Flows[Flow_Name],Tab_Def_Flows[Flow_ID],,0,)</f>
        <v>F__</v>
      </c>
      <c r="C284" s="18" t="s">
        <v>5</v>
      </c>
      <c r="D284" s="5" t="str">
        <f>_xlfn.XLOOKUP(C284,Tab_Def_Flows[Flow_Name],Tab_Def_Flows[Use_E1],,0,)</f>
        <v>Yes</v>
      </c>
      <c r="E284" s="5" t="str">
        <f>_xlfn.XLOOKUP(C284,Tab_Def_Flows[Flow_Name],Tab_Def_Flows[Use_E2],,0,)</f>
        <v>Yes</v>
      </c>
      <c r="F284" s="5" t="str">
        <f>_xlfn.XLOOKUP(C284,Tab_Def_Flows[Flow_Name],Tab_Def_Flows[Use_E3],,0,)</f>
        <v>Yes</v>
      </c>
      <c r="G284" s="5" t="str">
        <f>_xlfn.XLOOKUP(C284,Tab_Def_Flows[Flow_Name],Tab_Def_Flows[Use_E4],,0,)</f>
        <v>Yes</v>
      </c>
      <c r="H284" s="5" t="str">
        <f>_xlfn.XLOOKUP(C284,Tab_Def_Flows[Flow_Name],Tab_Def_Flows[Use_E5],,0,)</f>
        <v>Yes</v>
      </c>
      <c r="I284" s="5" t="str">
        <f>_xlfn.XLOOKUP(C284,Tab_Def_Flows[Flow_Name],Tab_Def_Flows[Use_E6],,0,)</f>
        <v>Yes</v>
      </c>
      <c r="J284" s="3"/>
      <c r="K284" s="3"/>
      <c r="L284" s="2" t="str">
        <f>'0_Configuration'!$C$41</f>
        <v>Mg</v>
      </c>
      <c r="M284" s="9"/>
      <c r="N284" s="9"/>
      <c r="O284" s="9"/>
      <c r="P284" s="9"/>
      <c r="Q284" s="18" t="s">
        <v>3</v>
      </c>
      <c r="R284" s="10"/>
      <c r="S284" s="3"/>
      <c r="T284" s="9"/>
      <c r="U284" s="9"/>
      <c r="V284" s="2">
        <f>_xlfn.XLOOKUP(Tab_Data_Flows[[#This Row],[Flow_Name]],Tab_Def_Flows[Flow_Name],Tab_Def_Flows[Flow_E1_Fraction'[%']],"N.A.",0,1)</f>
        <v>0</v>
      </c>
      <c r="W284" s="8">
        <f t="shared" si="8"/>
        <v>0</v>
      </c>
      <c r="X284" s="2" t="str">
        <f>Tab_Data_Flows[[#This Row],[UoM_Source]]</f>
        <v>Mg</v>
      </c>
      <c r="Y284" s="19">
        <f>_xlfn.XLOOKUP(Tab_Data_Flows[[#This Row],[Flow_Name]],Tab_Def_Flows[Flow_Name],Tab_Def_Flows[Flow_E2_Fraction'[%']],"N.A.",0,1)</f>
        <v>0</v>
      </c>
      <c r="Z284" s="2">
        <f>IF(D284="Yes",W284*Tab_Data_Flows[[#This Row],[E2_Fraction'[%']]],"N.A.")</f>
        <v>0</v>
      </c>
      <c r="AA284" s="2" t="str">
        <f>Tab_Data_Flows[[#This Row],[E1_UoM]]</f>
        <v>Mg</v>
      </c>
      <c r="AB284" s="19">
        <f>_xlfn.XLOOKUP(Tab_Data_Flows[[#This Row],[Flow_Name]],Tab_Def_Flows[Flow_Name],Tab_Def_Flows[Flow_E3_Fraction'[%']],"N.A.",0,1)</f>
        <v>0</v>
      </c>
      <c r="AC284" s="2">
        <f>IF(E284="Yes",AB284*Tab_Data_Flows[[#This Row],[E1_value]],"N.A.")</f>
        <v>0</v>
      </c>
      <c r="AD284" s="2" t="str">
        <f>Tab_Data_Flows[[#This Row],[E1_UoM]]</f>
        <v>Mg</v>
      </c>
      <c r="AE284" s="19">
        <f>_xlfn.XLOOKUP(Tab_Data_Flows[[#This Row],[Flow_Name]],Tab_Def_Flows[Flow_Name],Tab_Def_Flows[Flow_E4_Fraction'[%']],"N.A.",0,1)</f>
        <v>0</v>
      </c>
      <c r="AF284" s="2">
        <f>IF(H284="Yes",Tab_Data_Flows[[#This Row],[E4_Fraction'[%']]]*Tab_Data_Flows[[#This Row],[E1_value]],"N.A.")</f>
        <v>0</v>
      </c>
      <c r="AG284" s="2" t="str">
        <f>Tab_Data_Flows[[#This Row],[E1_UoM]]</f>
        <v>Mg</v>
      </c>
      <c r="AH284" s="2">
        <f>_xlfn.XLOOKUP(Tab_Data_Flows[[#This Row],[Flow_Name]],Tab_Def_Flows[Flow_Name],Tab_Def_Flows[Flow_E5_Fraction'[%']],"N.A.",0,1)</f>
        <v>0</v>
      </c>
      <c r="AI284" s="2">
        <f>IF(H284="Yes",Tab_Data_Flows[[#This Row],[E5_Fraction'[%']]]*Tab_Data_Flows[[#This Row],[E1_value]],"N.A.")</f>
        <v>0</v>
      </c>
      <c r="AJ284" s="2" t="str">
        <f>Tab_Data_Flows[[#This Row],[E1_UoM]]</f>
        <v>Mg</v>
      </c>
      <c r="AK284" s="19">
        <f>_xlfn.XLOOKUP(Tab_Data_Flows[[#This Row],[Flow_Name]],Tab_Def_Flows[Flow_Name],Tab_Def_Flows[Flow_E6_Fraction'[%']],"N.A.",0,1)</f>
        <v>0</v>
      </c>
      <c r="AL284" s="2">
        <f>IF(Tab_Data_Flows[[#This Row],[Use_E6]]="Yes",Tab_Data_Flows[[#This Row],[E6_Fraction'[%']]]*Tab_Data_Flows[[#This Row],[E1_value]],"N.A.")</f>
        <v>0</v>
      </c>
      <c r="AM284" s="2" t="str">
        <f>Tab_Data_Flows[[#This Row],[E1_UoM]]</f>
        <v>Mg</v>
      </c>
    </row>
    <row r="285" spans="1:39" x14ac:dyDescent="0.25">
      <c r="A285" s="4">
        <f t="shared" si="9"/>
        <v>284</v>
      </c>
      <c r="B285" s="2" t="str">
        <f>_xlfn.XLOOKUP(C285,Tab_Def_Flows[Flow_Name],Tab_Def_Flows[Flow_ID],,0,)</f>
        <v>F__</v>
      </c>
      <c r="C285" s="18" t="s">
        <v>5</v>
      </c>
      <c r="D285" s="5" t="str">
        <f>_xlfn.XLOOKUP(C285,Tab_Def_Flows[Flow_Name],Tab_Def_Flows[Use_E1],,0,)</f>
        <v>Yes</v>
      </c>
      <c r="E285" s="5" t="str">
        <f>_xlfn.XLOOKUP(C285,Tab_Def_Flows[Flow_Name],Tab_Def_Flows[Use_E2],,0,)</f>
        <v>Yes</v>
      </c>
      <c r="F285" s="5" t="str">
        <f>_xlfn.XLOOKUP(C285,Tab_Def_Flows[Flow_Name],Tab_Def_Flows[Use_E3],,0,)</f>
        <v>Yes</v>
      </c>
      <c r="G285" s="5" t="str">
        <f>_xlfn.XLOOKUP(C285,Tab_Def_Flows[Flow_Name],Tab_Def_Flows[Use_E4],,0,)</f>
        <v>Yes</v>
      </c>
      <c r="H285" s="5" t="str">
        <f>_xlfn.XLOOKUP(C285,Tab_Def_Flows[Flow_Name],Tab_Def_Flows[Use_E5],,0,)</f>
        <v>Yes</v>
      </c>
      <c r="I285" s="5" t="str">
        <f>_xlfn.XLOOKUP(C285,Tab_Def_Flows[Flow_Name],Tab_Def_Flows[Use_E6],,0,)</f>
        <v>Yes</v>
      </c>
      <c r="J285" s="3"/>
      <c r="K285" s="3"/>
      <c r="L285" s="2" t="str">
        <f>'0_Configuration'!$C$41</f>
        <v>Mg</v>
      </c>
      <c r="M285" s="9"/>
      <c r="N285" s="9"/>
      <c r="O285" s="9"/>
      <c r="P285" s="9"/>
      <c r="Q285" s="18" t="s">
        <v>3</v>
      </c>
      <c r="R285" s="10"/>
      <c r="S285" s="3"/>
      <c r="T285" s="9"/>
      <c r="U285" s="9"/>
      <c r="V285" s="2">
        <f>_xlfn.XLOOKUP(Tab_Data_Flows[[#This Row],[Flow_Name]],Tab_Def_Flows[Flow_Name],Tab_Def_Flows[Flow_E1_Fraction'[%']],"N.A.",0,1)</f>
        <v>0</v>
      </c>
      <c r="W285" s="8">
        <f t="shared" si="8"/>
        <v>0</v>
      </c>
      <c r="X285" s="2" t="str">
        <f>Tab_Data_Flows[[#This Row],[UoM_Source]]</f>
        <v>Mg</v>
      </c>
      <c r="Y285" s="19">
        <f>_xlfn.XLOOKUP(Tab_Data_Flows[[#This Row],[Flow_Name]],Tab_Def_Flows[Flow_Name],Tab_Def_Flows[Flow_E2_Fraction'[%']],"N.A.",0,1)</f>
        <v>0</v>
      </c>
      <c r="Z285" s="2">
        <f>IF(D285="Yes",W285*Tab_Data_Flows[[#This Row],[E2_Fraction'[%']]],"N.A.")</f>
        <v>0</v>
      </c>
      <c r="AA285" s="2" t="str">
        <f>Tab_Data_Flows[[#This Row],[E1_UoM]]</f>
        <v>Mg</v>
      </c>
      <c r="AB285" s="19">
        <f>_xlfn.XLOOKUP(Tab_Data_Flows[[#This Row],[Flow_Name]],Tab_Def_Flows[Flow_Name],Tab_Def_Flows[Flow_E3_Fraction'[%']],"N.A.",0,1)</f>
        <v>0</v>
      </c>
      <c r="AC285" s="2">
        <f>IF(E285="Yes",AB285*Tab_Data_Flows[[#This Row],[E1_value]],"N.A.")</f>
        <v>0</v>
      </c>
      <c r="AD285" s="2" t="str">
        <f>Tab_Data_Flows[[#This Row],[E1_UoM]]</f>
        <v>Mg</v>
      </c>
      <c r="AE285" s="19">
        <f>_xlfn.XLOOKUP(Tab_Data_Flows[[#This Row],[Flow_Name]],Tab_Def_Flows[Flow_Name],Tab_Def_Flows[Flow_E4_Fraction'[%']],"N.A.",0,1)</f>
        <v>0</v>
      </c>
      <c r="AF285" s="2">
        <f>IF(H285="Yes",Tab_Data_Flows[[#This Row],[E4_Fraction'[%']]]*Tab_Data_Flows[[#This Row],[E1_value]],"N.A.")</f>
        <v>0</v>
      </c>
      <c r="AG285" s="2" t="str">
        <f>Tab_Data_Flows[[#This Row],[E1_UoM]]</f>
        <v>Mg</v>
      </c>
      <c r="AH285" s="2">
        <f>_xlfn.XLOOKUP(Tab_Data_Flows[[#This Row],[Flow_Name]],Tab_Def_Flows[Flow_Name],Tab_Def_Flows[Flow_E5_Fraction'[%']],"N.A.",0,1)</f>
        <v>0</v>
      </c>
      <c r="AI285" s="2">
        <f>IF(H285="Yes",Tab_Data_Flows[[#This Row],[E5_Fraction'[%']]]*Tab_Data_Flows[[#This Row],[E1_value]],"N.A.")</f>
        <v>0</v>
      </c>
      <c r="AJ285" s="2" t="str">
        <f>Tab_Data_Flows[[#This Row],[E1_UoM]]</f>
        <v>Mg</v>
      </c>
      <c r="AK285" s="19">
        <f>_xlfn.XLOOKUP(Tab_Data_Flows[[#This Row],[Flow_Name]],Tab_Def_Flows[Flow_Name],Tab_Def_Flows[Flow_E6_Fraction'[%']],"N.A.",0,1)</f>
        <v>0</v>
      </c>
      <c r="AL285" s="2">
        <f>IF(Tab_Data_Flows[[#This Row],[Use_E6]]="Yes",Tab_Data_Flows[[#This Row],[E6_Fraction'[%']]]*Tab_Data_Flows[[#This Row],[E1_value]],"N.A.")</f>
        <v>0</v>
      </c>
      <c r="AM285" s="2" t="str">
        <f>Tab_Data_Flows[[#This Row],[E1_UoM]]</f>
        <v>Mg</v>
      </c>
    </row>
    <row r="286" spans="1:39" x14ac:dyDescent="0.25">
      <c r="A286" s="4">
        <f t="shared" si="9"/>
        <v>285</v>
      </c>
      <c r="B286" s="2" t="str">
        <f>_xlfn.XLOOKUP(C286,Tab_Def_Flows[Flow_Name],Tab_Def_Flows[Flow_ID],,0,)</f>
        <v>F__</v>
      </c>
      <c r="C286" s="18" t="s">
        <v>5</v>
      </c>
      <c r="D286" s="5" t="str">
        <f>_xlfn.XLOOKUP(C286,Tab_Def_Flows[Flow_Name],Tab_Def_Flows[Use_E1],,0,)</f>
        <v>Yes</v>
      </c>
      <c r="E286" s="5" t="str">
        <f>_xlfn.XLOOKUP(C286,Tab_Def_Flows[Flow_Name],Tab_Def_Flows[Use_E2],,0,)</f>
        <v>Yes</v>
      </c>
      <c r="F286" s="5" t="str">
        <f>_xlfn.XLOOKUP(C286,Tab_Def_Flows[Flow_Name],Tab_Def_Flows[Use_E3],,0,)</f>
        <v>Yes</v>
      </c>
      <c r="G286" s="5" t="str">
        <f>_xlfn.XLOOKUP(C286,Tab_Def_Flows[Flow_Name],Tab_Def_Flows[Use_E4],,0,)</f>
        <v>Yes</v>
      </c>
      <c r="H286" s="5" t="str">
        <f>_xlfn.XLOOKUP(C286,Tab_Def_Flows[Flow_Name],Tab_Def_Flows[Use_E5],,0,)</f>
        <v>Yes</v>
      </c>
      <c r="I286" s="5" t="str">
        <f>_xlfn.XLOOKUP(C286,Tab_Def_Flows[Flow_Name],Tab_Def_Flows[Use_E6],,0,)</f>
        <v>Yes</v>
      </c>
      <c r="J286" s="3"/>
      <c r="K286" s="3"/>
      <c r="L286" s="2" t="str">
        <f>'0_Configuration'!$C$41</f>
        <v>Mg</v>
      </c>
      <c r="M286" s="9"/>
      <c r="N286" s="9"/>
      <c r="O286" s="9"/>
      <c r="P286" s="9"/>
      <c r="Q286" s="18" t="s">
        <v>3</v>
      </c>
      <c r="R286" s="10"/>
      <c r="S286" s="3"/>
      <c r="T286" s="9"/>
      <c r="U286" s="9"/>
      <c r="V286" s="2">
        <f>_xlfn.XLOOKUP(Tab_Data_Flows[[#This Row],[Flow_Name]],Tab_Def_Flows[Flow_Name],Tab_Def_Flows[Flow_E1_Fraction'[%']],"N.A.",0,1)</f>
        <v>0</v>
      </c>
      <c r="W286" s="8">
        <f t="shared" si="8"/>
        <v>0</v>
      </c>
      <c r="X286" s="2" t="str">
        <f>Tab_Data_Flows[[#This Row],[UoM_Source]]</f>
        <v>Mg</v>
      </c>
      <c r="Y286" s="19">
        <f>_xlfn.XLOOKUP(Tab_Data_Flows[[#This Row],[Flow_Name]],Tab_Def_Flows[Flow_Name],Tab_Def_Flows[Flow_E2_Fraction'[%']],"N.A.",0,1)</f>
        <v>0</v>
      </c>
      <c r="Z286" s="2">
        <f>IF(D286="Yes",W286*Tab_Data_Flows[[#This Row],[E2_Fraction'[%']]],"N.A.")</f>
        <v>0</v>
      </c>
      <c r="AA286" s="2" t="str">
        <f>Tab_Data_Flows[[#This Row],[E1_UoM]]</f>
        <v>Mg</v>
      </c>
      <c r="AB286" s="19">
        <f>_xlfn.XLOOKUP(Tab_Data_Flows[[#This Row],[Flow_Name]],Tab_Def_Flows[Flow_Name],Tab_Def_Flows[Flow_E3_Fraction'[%']],"N.A.",0,1)</f>
        <v>0</v>
      </c>
      <c r="AC286" s="2">
        <f>IF(E286="Yes",AB286*Tab_Data_Flows[[#This Row],[E1_value]],"N.A.")</f>
        <v>0</v>
      </c>
      <c r="AD286" s="2" t="str">
        <f>Tab_Data_Flows[[#This Row],[E1_UoM]]</f>
        <v>Mg</v>
      </c>
      <c r="AE286" s="19">
        <f>_xlfn.XLOOKUP(Tab_Data_Flows[[#This Row],[Flow_Name]],Tab_Def_Flows[Flow_Name],Tab_Def_Flows[Flow_E4_Fraction'[%']],"N.A.",0,1)</f>
        <v>0</v>
      </c>
      <c r="AF286" s="2">
        <f>IF(H286="Yes",Tab_Data_Flows[[#This Row],[E4_Fraction'[%']]]*Tab_Data_Flows[[#This Row],[E1_value]],"N.A.")</f>
        <v>0</v>
      </c>
      <c r="AG286" s="2" t="str">
        <f>Tab_Data_Flows[[#This Row],[E1_UoM]]</f>
        <v>Mg</v>
      </c>
      <c r="AH286" s="2">
        <f>_xlfn.XLOOKUP(Tab_Data_Flows[[#This Row],[Flow_Name]],Tab_Def_Flows[Flow_Name],Tab_Def_Flows[Flow_E5_Fraction'[%']],"N.A.",0,1)</f>
        <v>0</v>
      </c>
      <c r="AI286" s="2">
        <f>IF(H286="Yes",Tab_Data_Flows[[#This Row],[E5_Fraction'[%']]]*Tab_Data_Flows[[#This Row],[E1_value]],"N.A.")</f>
        <v>0</v>
      </c>
      <c r="AJ286" s="2" t="str">
        <f>Tab_Data_Flows[[#This Row],[E1_UoM]]</f>
        <v>Mg</v>
      </c>
      <c r="AK286" s="19">
        <f>_xlfn.XLOOKUP(Tab_Data_Flows[[#This Row],[Flow_Name]],Tab_Def_Flows[Flow_Name],Tab_Def_Flows[Flow_E6_Fraction'[%']],"N.A.",0,1)</f>
        <v>0</v>
      </c>
      <c r="AL286" s="2">
        <f>IF(Tab_Data_Flows[[#This Row],[Use_E6]]="Yes",Tab_Data_Flows[[#This Row],[E6_Fraction'[%']]]*Tab_Data_Flows[[#This Row],[E1_value]],"N.A.")</f>
        <v>0</v>
      </c>
      <c r="AM286" s="2" t="str">
        <f>Tab_Data_Flows[[#This Row],[E1_UoM]]</f>
        <v>Mg</v>
      </c>
    </row>
    <row r="287" spans="1:39" x14ac:dyDescent="0.25">
      <c r="A287" s="4">
        <f t="shared" si="9"/>
        <v>286</v>
      </c>
      <c r="B287" s="2" t="str">
        <f>_xlfn.XLOOKUP(C287,Tab_Def_Flows[Flow_Name],Tab_Def_Flows[Flow_ID],,0,)</f>
        <v>F__</v>
      </c>
      <c r="C287" s="18" t="s">
        <v>5</v>
      </c>
      <c r="D287" s="5" t="str">
        <f>_xlfn.XLOOKUP(C287,Tab_Def_Flows[Flow_Name],Tab_Def_Flows[Use_E1],,0,)</f>
        <v>Yes</v>
      </c>
      <c r="E287" s="5" t="str">
        <f>_xlfn.XLOOKUP(C287,Tab_Def_Flows[Flow_Name],Tab_Def_Flows[Use_E2],,0,)</f>
        <v>Yes</v>
      </c>
      <c r="F287" s="5" t="str">
        <f>_xlfn.XLOOKUP(C287,Tab_Def_Flows[Flow_Name],Tab_Def_Flows[Use_E3],,0,)</f>
        <v>Yes</v>
      </c>
      <c r="G287" s="5" t="str">
        <f>_xlfn.XLOOKUP(C287,Tab_Def_Flows[Flow_Name],Tab_Def_Flows[Use_E4],,0,)</f>
        <v>Yes</v>
      </c>
      <c r="H287" s="5" t="str">
        <f>_xlfn.XLOOKUP(C287,Tab_Def_Flows[Flow_Name],Tab_Def_Flows[Use_E5],,0,)</f>
        <v>Yes</v>
      </c>
      <c r="I287" s="5" t="str">
        <f>_xlfn.XLOOKUP(C287,Tab_Def_Flows[Flow_Name],Tab_Def_Flows[Use_E6],,0,)</f>
        <v>Yes</v>
      </c>
      <c r="J287" s="3"/>
      <c r="K287" s="3"/>
      <c r="L287" s="2" t="str">
        <f>'0_Configuration'!$C$41</f>
        <v>Mg</v>
      </c>
      <c r="M287" s="9"/>
      <c r="N287" s="9"/>
      <c r="O287" s="9"/>
      <c r="P287" s="9"/>
      <c r="Q287" s="18" t="s">
        <v>3</v>
      </c>
      <c r="R287" s="10"/>
      <c r="S287" s="3"/>
      <c r="T287" s="9"/>
      <c r="U287" s="9"/>
      <c r="V287" s="2">
        <f>_xlfn.XLOOKUP(Tab_Data_Flows[[#This Row],[Flow_Name]],Tab_Def_Flows[Flow_Name],Tab_Def_Flows[Flow_E1_Fraction'[%']],"N.A.",0,1)</f>
        <v>0</v>
      </c>
      <c r="W287" s="8">
        <f t="shared" si="8"/>
        <v>0</v>
      </c>
      <c r="X287" s="2" t="str">
        <f>Tab_Data_Flows[[#This Row],[UoM_Source]]</f>
        <v>Mg</v>
      </c>
      <c r="Y287" s="19">
        <f>_xlfn.XLOOKUP(Tab_Data_Flows[[#This Row],[Flow_Name]],Tab_Def_Flows[Flow_Name],Tab_Def_Flows[Flow_E2_Fraction'[%']],"N.A.",0,1)</f>
        <v>0</v>
      </c>
      <c r="Z287" s="2">
        <f>IF(D287="Yes",W287*Tab_Data_Flows[[#This Row],[E2_Fraction'[%']]],"N.A.")</f>
        <v>0</v>
      </c>
      <c r="AA287" s="2" t="str">
        <f>Tab_Data_Flows[[#This Row],[E1_UoM]]</f>
        <v>Mg</v>
      </c>
      <c r="AB287" s="19">
        <f>_xlfn.XLOOKUP(Tab_Data_Flows[[#This Row],[Flow_Name]],Tab_Def_Flows[Flow_Name],Tab_Def_Flows[Flow_E3_Fraction'[%']],"N.A.",0,1)</f>
        <v>0</v>
      </c>
      <c r="AC287" s="2">
        <f>IF(E287="Yes",AB287*Tab_Data_Flows[[#This Row],[E1_value]],"N.A.")</f>
        <v>0</v>
      </c>
      <c r="AD287" s="2" t="str">
        <f>Tab_Data_Flows[[#This Row],[E1_UoM]]</f>
        <v>Mg</v>
      </c>
      <c r="AE287" s="19">
        <f>_xlfn.XLOOKUP(Tab_Data_Flows[[#This Row],[Flow_Name]],Tab_Def_Flows[Flow_Name],Tab_Def_Flows[Flow_E4_Fraction'[%']],"N.A.",0,1)</f>
        <v>0</v>
      </c>
      <c r="AF287" s="2">
        <f>IF(H287="Yes",Tab_Data_Flows[[#This Row],[E4_Fraction'[%']]]*Tab_Data_Flows[[#This Row],[E1_value]],"N.A.")</f>
        <v>0</v>
      </c>
      <c r="AG287" s="2" t="str">
        <f>Tab_Data_Flows[[#This Row],[E1_UoM]]</f>
        <v>Mg</v>
      </c>
      <c r="AH287" s="2">
        <f>_xlfn.XLOOKUP(Tab_Data_Flows[[#This Row],[Flow_Name]],Tab_Def_Flows[Flow_Name],Tab_Def_Flows[Flow_E5_Fraction'[%']],"N.A.",0,1)</f>
        <v>0</v>
      </c>
      <c r="AI287" s="2">
        <f>IF(H287="Yes",Tab_Data_Flows[[#This Row],[E5_Fraction'[%']]]*Tab_Data_Flows[[#This Row],[E1_value]],"N.A.")</f>
        <v>0</v>
      </c>
      <c r="AJ287" s="2" t="str">
        <f>Tab_Data_Flows[[#This Row],[E1_UoM]]</f>
        <v>Mg</v>
      </c>
      <c r="AK287" s="19">
        <f>_xlfn.XLOOKUP(Tab_Data_Flows[[#This Row],[Flow_Name]],Tab_Def_Flows[Flow_Name],Tab_Def_Flows[Flow_E6_Fraction'[%']],"N.A.",0,1)</f>
        <v>0</v>
      </c>
      <c r="AL287" s="2">
        <f>IF(Tab_Data_Flows[[#This Row],[Use_E6]]="Yes",Tab_Data_Flows[[#This Row],[E6_Fraction'[%']]]*Tab_Data_Flows[[#This Row],[E1_value]],"N.A.")</f>
        <v>0</v>
      </c>
      <c r="AM287" s="2" t="str">
        <f>Tab_Data_Flows[[#This Row],[E1_UoM]]</f>
        <v>Mg</v>
      </c>
    </row>
    <row r="288" spans="1:39" x14ac:dyDescent="0.25">
      <c r="A288" s="4">
        <f t="shared" si="9"/>
        <v>287</v>
      </c>
      <c r="B288" s="2" t="str">
        <f>_xlfn.XLOOKUP(C288,Tab_Def_Flows[Flow_Name],Tab_Def_Flows[Flow_ID],,0,)</f>
        <v>F__</v>
      </c>
      <c r="C288" s="18" t="s">
        <v>5</v>
      </c>
      <c r="D288" s="5" t="str">
        <f>_xlfn.XLOOKUP(C288,Tab_Def_Flows[Flow_Name],Tab_Def_Flows[Use_E1],,0,)</f>
        <v>Yes</v>
      </c>
      <c r="E288" s="5" t="str">
        <f>_xlfn.XLOOKUP(C288,Tab_Def_Flows[Flow_Name],Tab_Def_Flows[Use_E2],,0,)</f>
        <v>Yes</v>
      </c>
      <c r="F288" s="5" t="str">
        <f>_xlfn.XLOOKUP(C288,Tab_Def_Flows[Flow_Name],Tab_Def_Flows[Use_E3],,0,)</f>
        <v>Yes</v>
      </c>
      <c r="G288" s="5" t="str">
        <f>_xlfn.XLOOKUP(C288,Tab_Def_Flows[Flow_Name],Tab_Def_Flows[Use_E4],,0,)</f>
        <v>Yes</v>
      </c>
      <c r="H288" s="5" t="str">
        <f>_xlfn.XLOOKUP(C288,Tab_Def_Flows[Flow_Name],Tab_Def_Flows[Use_E5],,0,)</f>
        <v>Yes</v>
      </c>
      <c r="I288" s="5" t="str">
        <f>_xlfn.XLOOKUP(C288,Tab_Def_Flows[Flow_Name],Tab_Def_Flows[Use_E6],,0,)</f>
        <v>Yes</v>
      </c>
      <c r="J288" s="3"/>
      <c r="K288" s="3"/>
      <c r="L288" s="2" t="str">
        <f>'0_Configuration'!$C$41</f>
        <v>Mg</v>
      </c>
      <c r="M288" s="9"/>
      <c r="N288" s="9"/>
      <c r="O288" s="9"/>
      <c r="P288" s="9"/>
      <c r="Q288" s="18" t="s">
        <v>3</v>
      </c>
      <c r="R288" s="10"/>
      <c r="S288" s="3"/>
      <c r="T288" s="9"/>
      <c r="U288" s="9"/>
      <c r="V288" s="2">
        <f>_xlfn.XLOOKUP(Tab_Data_Flows[[#This Row],[Flow_Name]],Tab_Def_Flows[Flow_Name],Tab_Def_Flows[Flow_E1_Fraction'[%']],"N.A.",0,1)</f>
        <v>0</v>
      </c>
      <c r="W288" s="8">
        <f t="shared" si="8"/>
        <v>0</v>
      </c>
      <c r="X288" s="2" t="str">
        <f>Tab_Data_Flows[[#This Row],[UoM_Source]]</f>
        <v>Mg</v>
      </c>
      <c r="Y288" s="19">
        <f>_xlfn.XLOOKUP(Tab_Data_Flows[[#This Row],[Flow_Name]],Tab_Def_Flows[Flow_Name],Tab_Def_Flows[Flow_E2_Fraction'[%']],"N.A.",0,1)</f>
        <v>0</v>
      </c>
      <c r="Z288" s="2">
        <f>IF(D288="Yes",W288*Tab_Data_Flows[[#This Row],[E2_Fraction'[%']]],"N.A.")</f>
        <v>0</v>
      </c>
      <c r="AA288" s="2" t="str">
        <f>Tab_Data_Flows[[#This Row],[E1_UoM]]</f>
        <v>Mg</v>
      </c>
      <c r="AB288" s="19">
        <f>_xlfn.XLOOKUP(Tab_Data_Flows[[#This Row],[Flow_Name]],Tab_Def_Flows[Flow_Name],Tab_Def_Flows[Flow_E3_Fraction'[%']],"N.A.",0,1)</f>
        <v>0</v>
      </c>
      <c r="AC288" s="2">
        <f>IF(E288="Yes",AB288*Tab_Data_Flows[[#This Row],[E1_value]],"N.A.")</f>
        <v>0</v>
      </c>
      <c r="AD288" s="2" t="str">
        <f>Tab_Data_Flows[[#This Row],[E1_UoM]]</f>
        <v>Mg</v>
      </c>
      <c r="AE288" s="19">
        <f>_xlfn.XLOOKUP(Tab_Data_Flows[[#This Row],[Flow_Name]],Tab_Def_Flows[Flow_Name],Tab_Def_Flows[Flow_E4_Fraction'[%']],"N.A.",0,1)</f>
        <v>0</v>
      </c>
      <c r="AF288" s="2">
        <f>IF(H288="Yes",Tab_Data_Flows[[#This Row],[E4_Fraction'[%']]]*Tab_Data_Flows[[#This Row],[E1_value]],"N.A.")</f>
        <v>0</v>
      </c>
      <c r="AG288" s="2" t="str">
        <f>Tab_Data_Flows[[#This Row],[E1_UoM]]</f>
        <v>Mg</v>
      </c>
      <c r="AH288" s="2">
        <f>_xlfn.XLOOKUP(Tab_Data_Flows[[#This Row],[Flow_Name]],Tab_Def_Flows[Flow_Name],Tab_Def_Flows[Flow_E5_Fraction'[%']],"N.A.",0,1)</f>
        <v>0</v>
      </c>
      <c r="AI288" s="2">
        <f>IF(H288="Yes",Tab_Data_Flows[[#This Row],[E5_Fraction'[%']]]*Tab_Data_Flows[[#This Row],[E1_value]],"N.A.")</f>
        <v>0</v>
      </c>
      <c r="AJ288" s="2" t="str">
        <f>Tab_Data_Flows[[#This Row],[E1_UoM]]</f>
        <v>Mg</v>
      </c>
      <c r="AK288" s="19">
        <f>_xlfn.XLOOKUP(Tab_Data_Flows[[#This Row],[Flow_Name]],Tab_Def_Flows[Flow_Name],Tab_Def_Flows[Flow_E6_Fraction'[%']],"N.A.",0,1)</f>
        <v>0</v>
      </c>
      <c r="AL288" s="2">
        <f>IF(Tab_Data_Flows[[#This Row],[Use_E6]]="Yes",Tab_Data_Flows[[#This Row],[E6_Fraction'[%']]]*Tab_Data_Flows[[#This Row],[E1_value]],"N.A.")</f>
        <v>0</v>
      </c>
      <c r="AM288" s="2" t="str">
        <f>Tab_Data_Flows[[#This Row],[E1_UoM]]</f>
        <v>Mg</v>
      </c>
    </row>
    <row r="289" spans="1:39" x14ac:dyDescent="0.25">
      <c r="A289" s="4">
        <f t="shared" si="9"/>
        <v>288</v>
      </c>
      <c r="B289" s="2" t="str">
        <f>_xlfn.XLOOKUP(C289,Tab_Def_Flows[Flow_Name],Tab_Def_Flows[Flow_ID],,0,)</f>
        <v>F__</v>
      </c>
      <c r="C289" s="18" t="s">
        <v>5</v>
      </c>
      <c r="D289" s="5" t="str">
        <f>_xlfn.XLOOKUP(C289,Tab_Def_Flows[Flow_Name],Tab_Def_Flows[Use_E1],,0,)</f>
        <v>Yes</v>
      </c>
      <c r="E289" s="5" t="str">
        <f>_xlfn.XLOOKUP(C289,Tab_Def_Flows[Flow_Name],Tab_Def_Flows[Use_E2],,0,)</f>
        <v>Yes</v>
      </c>
      <c r="F289" s="5" t="str">
        <f>_xlfn.XLOOKUP(C289,Tab_Def_Flows[Flow_Name],Tab_Def_Flows[Use_E3],,0,)</f>
        <v>Yes</v>
      </c>
      <c r="G289" s="5" t="str">
        <f>_xlfn.XLOOKUP(C289,Tab_Def_Flows[Flow_Name],Tab_Def_Flows[Use_E4],,0,)</f>
        <v>Yes</v>
      </c>
      <c r="H289" s="5" t="str">
        <f>_xlfn.XLOOKUP(C289,Tab_Def_Flows[Flow_Name],Tab_Def_Flows[Use_E5],,0,)</f>
        <v>Yes</v>
      </c>
      <c r="I289" s="5" t="str">
        <f>_xlfn.XLOOKUP(C289,Tab_Def_Flows[Flow_Name],Tab_Def_Flows[Use_E6],,0,)</f>
        <v>Yes</v>
      </c>
      <c r="J289" s="3"/>
      <c r="K289" s="3"/>
      <c r="L289" s="2" t="str">
        <f>'0_Configuration'!$C$41</f>
        <v>Mg</v>
      </c>
      <c r="M289" s="9"/>
      <c r="N289" s="9"/>
      <c r="O289" s="9"/>
      <c r="P289" s="9"/>
      <c r="Q289" s="18" t="s">
        <v>3</v>
      </c>
      <c r="R289" s="10"/>
      <c r="S289" s="3"/>
      <c r="T289" s="9"/>
      <c r="U289" s="9"/>
      <c r="V289" s="2">
        <f>_xlfn.XLOOKUP(Tab_Data_Flows[[#This Row],[Flow_Name]],Tab_Def_Flows[Flow_Name],Tab_Def_Flows[Flow_E1_Fraction'[%']],"N.A.",0,1)</f>
        <v>0</v>
      </c>
      <c r="W289" s="8">
        <f t="shared" si="8"/>
        <v>0</v>
      </c>
      <c r="X289" s="2" t="str">
        <f>Tab_Data_Flows[[#This Row],[UoM_Source]]</f>
        <v>Mg</v>
      </c>
      <c r="Y289" s="19">
        <f>_xlfn.XLOOKUP(Tab_Data_Flows[[#This Row],[Flow_Name]],Tab_Def_Flows[Flow_Name],Tab_Def_Flows[Flow_E2_Fraction'[%']],"N.A.",0,1)</f>
        <v>0</v>
      </c>
      <c r="Z289" s="2">
        <f>IF(D289="Yes",W289*Tab_Data_Flows[[#This Row],[E2_Fraction'[%']]],"N.A.")</f>
        <v>0</v>
      </c>
      <c r="AA289" s="2" t="str">
        <f>Tab_Data_Flows[[#This Row],[E1_UoM]]</f>
        <v>Mg</v>
      </c>
      <c r="AB289" s="19">
        <f>_xlfn.XLOOKUP(Tab_Data_Flows[[#This Row],[Flow_Name]],Tab_Def_Flows[Flow_Name],Tab_Def_Flows[Flow_E3_Fraction'[%']],"N.A.",0,1)</f>
        <v>0</v>
      </c>
      <c r="AC289" s="2">
        <f>IF(E289="Yes",AB289*Tab_Data_Flows[[#This Row],[E1_value]],"N.A.")</f>
        <v>0</v>
      </c>
      <c r="AD289" s="2" t="str">
        <f>Tab_Data_Flows[[#This Row],[E1_UoM]]</f>
        <v>Mg</v>
      </c>
      <c r="AE289" s="19">
        <f>_xlfn.XLOOKUP(Tab_Data_Flows[[#This Row],[Flow_Name]],Tab_Def_Flows[Flow_Name],Tab_Def_Flows[Flow_E4_Fraction'[%']],"N.A.",0,1)</f>
        <v>0</v>
      </c>
      <c r="AF289" s="2">
        <f>IF(H289="Yes",Tab_Data_Flows[[#This Row],[E4_Fraction'[%']]]*Tab_Data_Flows[[#This Row],[E1_value]],"N.A.")</f>
        <v>0</v>
      </c>
      <c r="AG289" s="2" t="str">
        <f>Tab_Data_Flows[[#This Row],[E1_UoM]]</f>
        <v>Mg</v>
      </c>
      <c r="AH289" s="2">
        <f>_xlfn.XLOOKUP(Tab_Data_Flows[[#This Row],[Flow_Name]],Tab_Def_Flows[Flow_Name],Tab_Def_Flows[Flow_E5_Fraction'[%']],"N.A.",0,1)</f>
        <v>0</v>
      </c>
      <c r="AI289" s="2">
        <f>IF(H289="Yes",Tab_Data_Flows[[#This Row],[E5_Fraction'[%']]]*Tab_Data_Flows[[#This Row],[E1_value]],"N.A.")</f>
        <v>0</v>
      </c>
      <c r="AJ289" s="2" t="str">
        <f>Tab_Data_Flows[[#This Row],[E1_UoM]]</f>
        <v>Mg</v>
      </c>
      <c r="AK289" s="19">
        <f>_xlfn.XLOOKUP(Tab_Data_Flows[[#This Row],[Flow_Name]],Tab_Def_Flows[Flow_Name],Tab_Def_Flows[Flow_E6_Fraction'[%']],"N.A.",0,1)</f>
        <v>0</v>
      </c>
      <c r="AL289" s="2">
        <f>IF(Tab_Data_Flows[[#This Row],[Use_E6]]="Yes",Tab_Data_Flows[[#This Row],[E6_Fraction'[%']]]*Tab_Data_Flows[[#This Row],[E1_value]],"N.A.")</f>
        <v>0</v>
      </c>
      <c r="AM289" s="2" t="str">
        <f>Tab_Data_Flows[[#This Row],[E1_UoM]]</f>
        <v>Mg</v>
      </c>
    </row>
    <row r="290" spans="1:39" x14ac:dyDescent="0.25">
      <c r="A290" s="4">
        <f t="shared" si="9"/>
        <v>289</v>
      </c>
      <c r="B290" s="2" t="str">
        <f>_xlfn.XLOOKUP(C290,Tab_Def_Flows[Flow_Name],Tab_Def_Flows[Flow_ID],,0,)</f>
        <v>F__</v>
      </c>
      <c r="C290" s="18" t="s">
        <v>5</v>
      </c>
      <c r="D290" s="5" t="str">
        <f>_xlfn.XLOOKUP(C290,Tab_Def_Flows[Flow_Name],Tab_Def_Flows[Use_E1],,0,)</f>
        <v>Yes</v>
      </c>
      <c r="E290" s="5" t="str">
        <f>_xlfn.XLOOKUP(C290,Tab_Def_Flows[Flow_Name],Tab_Def_Flows[Use_E2],,0,)</f>
        <v>Yes</v>
      </c>
      <c r="F290" s="5" t="str">
        <f>_xlfn.XLOOKUP(C290,Tab_Def_Flows[Flow_Name],Tab_Def_Flows[Use_E3],,0,)</f>
        <v>Yes</v>
      </c>
      <c r="G290" s="5" t="str">
        <f>_xlfn.XLOOKUP(C290,Tab_Def_Flows[Flow_Name],Tab_Def_Flows[Use_E4],,0,)</f>
        <v>Yes</v>
      </c>
      <c r="H290" s="5" t="str">
        <f>_xlfn.XLOOKUP(C290,Tab_Def_Flows[Flow_Name],Tab_Def_Flows[Use_E5],,0,)</f>
        <v>Yes</v>
      </c>
      <c r="I290" s="5" t="str">
        <f>_xlfn.XLOOKUP(C290,Tab_Def_Flows[Flow_Name],Tab_Def_Flows[Use_E6],,0,)</f>
        <v>Yes</v>
      </c>
      <c r="J290" s="3"/>
      <c r="K290" s="3"/>
      <c r="L290" s="2" t="str">
        <f>'0_Configuration'!$C$41</f>
        <v>Mg</v>
      </c>
      <c r="M290" s="9"/>
      <c r="N290" s="9"/>
      <c r="O290" s="9"/>
      <c r="P290" s="9"/>
      <c r="Q290" s="18" t="s">
        <v>3</v>
      </c>
      <c r="R290" s="10"/>
      <c r="S290" s="3"/>
      <c r="T290" s="9"/>
      <c r="U290" s="9"/>
      <c r="V290" s="2">
        <f>_xlfn.XLOOKUP(Tab_Data_Flows[[#This Row],[Flow_Name]],Tab_Def_Flows[Flow_Name],Tab_Def_Flows[Flow_E1_Fraction'[%']],"N.A.",0,1)</f>
        <v>0</v>
      </c>
      <c r="W290" s="8">
        <f t="shared" si="8"/>
        <v>0</v>
      </c>
      <c r="X290" s="2" t="str">
        <f>Tab_Data_Flows[[#This Row],[UoM_Source]]</f>
        <v>Mg</v>
      </c>
      <c r="Y290" s="19">
        <f>_xlfn.XLOOKUP(Tab_Data_Flows[[#This Row],[Flow_Name]],Tab_Def_Flows[Flow_Name],Tab_Def_Flows[Flow_E2_Fraction'[%']],"N.A.",0,1)</f>
        <v>0</v>
      </c>
      <c r="Z290" s="2">
        <f>IF(D290="Yes",W290*Tab_Data_Flows[[#This Row],[E2_Fraction'[%']]],"N.A.")</f>
        <v>0</v>
      </c>
      <c r="AA290" s="2" t="str">
        <f>Tab_Data_Flows[[#This Row],[E1_UoM]]</f>
        <v>Mg</v>
      </c>
      <c r="AB290" s="19">
        <f>_xlfn.XLOOKUP(Tab_Data_Flows[[#This Row],[Flow_Name]],Tab_Def_Flows[Flow_Name],Tab_Def_Flows[Flow_E3_Fraction'[%']],"N.A.",0,1)</f>
        <v>0</v>
      </c>
      <c r="AC290" s="2">
        <f>IF(E290="Yes",AB290*Tab_Data_Flows[[#This Row],[E1_value]],"N.A.")</f>
        <v>0</v>
      </c>
      <c r="AD290" s="2" t="str">
        <f>Tab_Data_Flows[[#This Row],[E1_UoM]]</f>
        <v>Mg</v>
      </c>
      <c r="AE290" s="19">
        <f>_xlfn.XLOOKUP(Tab_Data_Flows[[#This Row],[Flow_Name]],Tab_Def_Flows[Flow_Name],Tab_Def_Flows[Flow_E4_Fraction'[%']],"N.A.",0,1)</f>
        <v>0</v>
      </c>
      <c r="AF290" s="2">
        <f>IF(H290="Yes",Tab_Data_Flows[[#This Row],[E4_Fraction'[%']]]*Tab_Data_Flows[[#This Row],[E1_value]],"N.A.")</f>
        <v>0</v>
      </c>
      <c r="AG290" s="2" t="str">
        <f>Tab_Data_Flows[[#This Row],[E1_UoM]]</f>
        <v>Mg</v>
      </c>
      <c r="AH290" s="2">
        <f>_xlfn.XLOOKUP(Tab_Data_Flows[[#This Row],[Flow_Name]],Tab_Def_Flows[Flow_Name],Tab_Def_Flows[Flow_E5_Fraction'[%']],"N.A.",0,1)</f>
        <v>0</v>
      </c>
      <c r="AI290" s="2">
        <f>IF(H290="Yes",Tab_Data_Flows[[#This Row],[E5_Fraction'[%']]]*Tab_Data_Flows[[#This Row],[E1_value]],"N.A.")</f>
        <v>0</v>
      </c>
      <c r="AJ290" s="2" t="str">
        <f>Tab_Data_Flows[[#This Row],[E1_UoM]]</f>
        <v>Mg</v>
      </c>
      <c r="AK290" s="19">
        <f>_xlfn.XLOOKUP(Tab_Data_Flows[[#This Row],[Flow_Name]],Tab_Def_Flows[Flow_Name],Tab_Def_Flows[Flow_E6_Fraction'[%']],"N.A.",0,1)</f>
        <v>0</v>
      </c>
      <c r="AL290" s="2">
        <f>IF(Tab_Data_Flows[[#This Row],[Use_E6]]="Yes",Tab_Data_Flows[[#This Row],[E6_Fraction'[%']]]*Tab_Data_Flows[[#This Row],[E1_value]],"N.A.")</f>
        <v>0</v>
      </c>
      <c r="AM290" s="2" t="str">
        <f>Tab_Data_Flows[[#This Row],[E1_UoM]]</f>
        <v>Mg</v>
      </c>
    </row>
    <row r="291" spans="1:39" x14ac:dyDescent="0.25">
      <c r="A291" s="4">
        <f t="shared" si="9"/>
        <v>290</v>
      </c>
      <c r="B291" s="2" t="str">
        <f>_xlfn.XLOOKUP(C291,Tab_Def_Flows[Flow_Name],Tab_Def_Flows[Flow_ID],,0,)</f>
        <v>F__</v>
      </c>
      <c r="C291" s="18" t="s">
        <v>5</v>
      </c>
      <c r="D291" s="5" t="str">
        <f>_xlfn.XLOOKUP(C291,Tab_Def_Flows[Flow_Name],Tab_Def_Flows[Use_E1],,0,)</f>
        <v>Yes</v>
      </c>
      <c r="E291" s="5" t="str">
        <f>_xlfn.XLOOKUP(C291,Tab_Def_Flows[Flow_Name],Tab_Def_Flows[Use_E2],,0,)</f>
        <v>Yes</v>
      </c>
      <c r="F291" s="5" t="str">
        <f>_xlfn.XLOOKUP(C291,Tab_Def_Flows[Flow_Name],Tab_Def_Flows[Use_E3],,0,)</f>
        <v>Yes</v>
      </c>
      <c r="G291" s="5" t="str">
        <f>_xlfn.XLOOKUP(C291,Tab_Def_Flows[Flow_Name],Tab_Def_Flows[Use_E4],,0,)</f>
        <v>Yes</v>
      </c>
      <c r="H291" s="5" t="str">
        <f>_xlfn.XLOOKUP(C291,Tab_Def_Flows[Flow_Name],Tab_Def_Flows[Use_E5],,0,)</f>
        <v>Yes</v>
      </c>
      <c r="I291" s="5" t="str">
        <f>_xlfn.XLOOKUP(C291,Tab_Def_Flows[Flow_Name],Tab_Def_Flows[Use_E6],,0,)</f>
        <v>Yes</v>
      </c>
      <c r="J291" s="3"/>
      <c r="K291" s="3"/>
      <c r="L291" s="2" t="str">
        <f>'0_Configuration'!$C$41</f>
        <v>Mg</v>
      </c>
      <c r="M291" s="9"/>
      <c r="N291" s="9"/>
      <c r="O291" s="9"/>
      <c r="P291" s="9"/>
      <c r="Q291" s="18" t="s">
        <v>3</v>
      </c>
      <c r="R291" s="10"/>
      <c r="S291" s="3"/>
      <c r="T291" s="9"/>
      <c r="U291" s="9"/>
      <c r="V291" s="2">
        <f>_xlfn.XLOOKUP(Tab_Data_Flows[[#This Row],[Flow_Name]],Tab_Def_Flows[Flow_Name],Tab_Def_Flows[Flow_E1_Fraction'[%']],"N.A.",0,1)</f>
        <v>0</v>
      </c>
      <c r="W291" s="8">
        <f t="shared" si="8"/>
        <v>0</v>
      </c>
      <c r="X291" s="2" t="str">
        <f>Tab_Data_Flows[[#This Row],[UoM_Source]]</f>
        <v>Mg</v>
      </c>
      <c r="Y291" s="19">
        <f>_xlfn.XLOOKUP(Tab_Data_Flows[[#This Row],[Flow_Name]],Tab_Def_Flows[Flow_Name],Tab_Def_Flows[Flow_E2_Fraction'[%']],"N.A.",0,1)</f>
        <v>0</v>
      </c>
      <c r="Z291" s="2">
        <f>IF(D291="Yes",W291*Tab_Data_Flows[[#This Row],[E2_Fraction'[%']]],"N.A.")</f>
        <v>0</v>
      </c>
      <c r="AA291" s="2" t="str">
        <f>Tab_Data_Flows[[#This Row],[E1_UoM]]</f>
        <v>Mg</v>
      </c>
      <c r="AB291" s="19">
        <f>_xlfn.XLOOKUP(Tab_Data_Flows[[#This Row],[Flow_Name]],Tab_Def_Flows[Flow_Name],Tab_Def_Flows[Flow_E3_Fraction'[%']],"N.A.",0,1)</f>
        <v>0</v>
      </c>
      <c r="AC291" s="2">
        <f>IF(E291="Yes",AB291*Tab_Data_Flows[[#This Row],[E1_value]],"N.A.")</f>
        <v>0</v>
      </c>
      <c r="AD291" s="2" t="str">
        <f>Tab_Data_Flows[[#This Row],[E1_UoM]]</f>
        <v>Mg</v>
      </c>
      <c r="AE291" s="19">
        <f>_xlfn.XLOOKUP(Tab_Data_Flows[[#This Row],[Flow_Name]],Tab_Def_Flows[Flow_Name],Tab_Def_Flows[Flow_E4_Fraction'[%']],"N.A.",0,1)</f>
        <v>0</v>
      </c>
      <c r="AF291" s="2">
        <f>IF(H291="Yes",Tab_Data_Flows[[#This Row],[E4_Fraction'[%']]]*Tab_Data_Flows[[#This Row],[E1_value]],"N.A.")</f>
        <v>0</v>
      </c>
      <c r="AG291" s="2" t="str">
        <f>Tab_Data_Flows[[#This Row],[E1_UoM]]</f>
        <v>Mg</v>
      </c>
      <c r="AH291" s="2">
        <f>_xlfn.XLOOKUP(Tab_Data_Flows[[#This Row],[Flow_Name]],Tab_Def_Flows[Flow_Name],Tab_Def_Flows[Flow_E5_Fraction'[%']],"N.A.",0,1)</f>
        <v>0</v>
      </c>
      <c r="AI291" s="2">
        <f>IF(H291="Yes",Tab_Data_Flows[[#This Row],[E5_Fraction'[%']]]*Tab_Data_Flows[[#This Row],[E1_value]],"N.A.")</f>
        <v>0</v>
      </c>
      <c r="AJ291" s="2" t="str">
        <f>Tab_Data_Flows[[#This Row],[E1_UoM]]</f>
        <v>Mg</v>
      </c>
      <c r="AK291" s="19">
        <f>_xlfn.XLOOKUP(Tab_Data_Flows[[#This Row],[Flow_Name]],Tab_Def_Flows[Flow_Name],Tab_Def_Flows[Flow_E6_Fraction'[%']],"N.A.",0,1)</f>
        <v>0</v>
      </c>
      <c r="AL291" s="2">
        <f>IF(Tab_Data_Flows[[#This Row],[Use_E6]]="Yes",Tab_Data_Flows[[#This Row],[E6_Fraction'[%']]]*Tab_Data_Flows[[#This Row],[E1_value]],"N.A.")</f>
        <v>0</v>
      </c>
      <c r="AM291" s="2" t="str">
        <f>Tab_Data_Flows[[#This Row],[E1_UoM]]</f>
        <v>Mg</v>
      </c>
    </row>
    <row r="292" spans="1:39" x14ac:dyDescent="0.25">
      <c r="A292" s="4">
        <f t="shared" si="9"/>
        <v>291</v>
      </c>
      <c r="B292" s="2" t="str">
        <f>_xlfn.XLOOKUP(C292,Tab_Def_Flows[Flow_Name],Tab_Def_Flows[Flow_ID],,0,)</f>
        <v>F__</v>
      </c>
      <c r="C292" s="18" t="s">
        <v>5</v>
      </c>
      <c r="D292" s="5" t="str">
        <f>_xlfn.XLOOKUP(C292,Tab_Def_Flows[Flow_Name],Tab_Def_Flows[Use_E1],,0,)</f>
        <v>Yes</v>
      </c>
      <c r="E292" s="5" t="str">
        <f>_xlfn.XLOOKUP(C292,Tab_Def_Flows[Flow_Name],Tab_Def_Flows[Use_E2],,0,)</f>
        <v>Yes</v>
      </c>
      <c r="F292" s="5" t="str">
        <f>_xlfn.XLOOKUP(C292,Tab_Def_Flows[Flow_Name],Tab_Def_Flows[Use_E3],,0,)</f>
        <v>Yes</v>
      </c>
      <c r="G292" s="5" t="str">
        <f>_xlfn.XLOOKUP(C292,Tab_Def_Flows[Flow_Name],Tab_Def_Flows[Use_E4],,0,)</f>
        <v>Yes</v>
      </c>
      <c r="H292" s="5" t="str">
        <f>_xlfn.XLOOKUP(C292,Tab_Def_Flows[Flow_Name],Tab_Def_Flows[Use_E5],,0,)</f>
        <v>Yes</v>
      </c>
      <c r="I292" s="5" t="str">
        <f>_xlfn.XLOOKUP(C292,Tab_Def_Flows[Flow_Name],Tab_Def_Flows[Use_E6],,0,)</f>
        <v>Yes</v>
      </c>
      <c r="J292" s="3"/>
      <c r="K292" s="3"/>
      <c r="L292" s="2" t="str">
        <f>'0_Configuration'!$C$41</f>
        <v>Mg</v>
      </c>
      <c r="M292" s="9"/>
      <c r="N292" s="9"/>
      <c r="O292" s="9"/>
      <c r="P292" s="9"/>
      <c r="Q292" s="18" t="s">
        <v>3</v>
      </c>
      <c r="R292" s="10"/>
      <c r="S292" s="3"/>
      <c r="T292" s="9"/>
      <c r="U292" s="9"/>
      <c r="V292" s="2">
        <f>_xlfn.XLOOKUP(Tab_Data_Flows[[#This Row],[Flow_Name]],Tab_Def_Flows[Flow_Name],Tab_Def_Flows[Flow_E1_Fraction'[%']],"N.A.",0,1)</f>
        <v>0</v>
      </c>
      <c r="W292" s="8">
        <f t="shared" si="8"/>
        <v>0</v>
      </c>
      <c r="X292" s="2" t="str">
        <f>Tab_Data_Flows[[#This Row],[UoM_Source]]</f>
        <v>Mg</v>
      </c>
      <c r="Y292" s="19">
        <f>_xlfn.XLOOKUP(Tab_Data_Flows[[#This Row],[Flow_Name]],Tab_Def_Flows[Flow_Name],Tab_Def_Flows[Flow_E2_Fraction'[%']],"N.A.",0,1)</f>
        <v>0</v>
      </c>
      <c r="Z292" s="2">
        <f>IF(D292="Yes",W292*Tab_Data_Flows[[#This Row],[E2_Fraction'[%']]],"N.A.")</f>
        <v>0</v>
      </c>
      <c r="AA292" s="2" t="str">
        <f>Tab_Data_Flows[[#This Row],[E1_UoM]]</f>
        <v>Mg</v>
      </c>
      <c r="AB292" s="19">
        <f>_xlfn.XLOOKUP(Tab_Data_Flows[[#This Row],[Flow_Name]],Tab_Def_Flows[Flow_Name],Tab_Def_Flows[Flow_E3_Fraction'[%']],"N.A.",0,1)</f>
        <v>0</v>
      </c>
      <c r="AC292" s="2">
        <f>IF(E292="Yes",AB292*Tab_Data_Flows[[#This Row],[E1_value]],"N.A.")</f>
        <v>0</v>
      </c>
      <c r="AD292" s="2" t="str">
        <f>Tab_Data_Flows[[#This Row],[E1_UoM]]</f>
        <v>Mg</v>
      </c>
      <c r="AE292" s="19">
        <f>_xlfn.XLOOKUP(Tab_Data_Flows[[#This Row],[Flow_Name]],Tab_Def_Flows[Flow_Name],Tab_Def_Flows[Flow_E4_Fraction'[%']],"N.A.",0,1)</f>
        <v>0</v>
      </c>
      <c r="AF292" s="2">
        <f>IF(H292="Yes",Tab_Data_Flows[[#This Row],[E4_Fraction'[%']]]*Tab_Data_Flows[[#This Row],[E1_value]],"N.A.")</f>
        <v>0</v>
      </c>
      <c r="AG292" s="2" t="str">
        <f>Tab_Data_Flows[[#This Row],[E1_UoM]]</f>
        <v>Mg</v>
      </c>
      <c r="AH292" s="2">
        <f>_xlfn.XLOOKUP(Tab_Data_Flows[[#This Row],[Flow_Name]],Tab_Def_Flows[Flow_Name],Tab_Def_Flows[Flow_E5_Fraction'[%']],"N.A.",0,1)</f>
        <v>0</v>
      </c>
      <c r="AI292" s="2">
        <f>IF(H292="Yes",Tab_Data_Flows[[#This Row],[E5_Fraction'[%']]]*Tab_Data_Flows[[#This Row],[E1_value]],"N.A.")</f>
        <v>0</v>
      </c>
      <c r="AJ292" s="2" t="str">
        <f>Tab_Data_Flows[[#This Row],[E1_UoM]]</f>
        <v>Mg</v>
      </c>
      <c r="AK292" s="19">
        <f>_xlfn.XLOOKUP(Tab_Data_Flows[[#This Row],[Flow_Name]],Tab_Def_Flows[Flow_Name],Tab_Def_Flows[Flow_E6_Fraction'[%']],"N.A.",0,1)</f>
        <v>0</v>
      </c>
      <c r="AL292" s="2">
        <f>IF(Tab_Data_Flows[[#This Row],[Use_E6]]="Yes",Tab_Data_Flows[[#This Row],[E6_Fraction'[%']]]*Tab_Data_Flows[[#This Row],[E1_value]],"N.A.")</f>
        <v>0</v>
      </c>
      <c r="AM292" s="2" t="str">
        <f>Tab_Data_Flows[[#This Row],[E1_UoM]]</f>
        <v>Mg</v>
      </c>
    </row>
    <row r="293" spans="1:39" x14ac:dyDescent="0.25">
      <c r="A293" s="4">
        <f t="shared" si="9"/>
        <v>292</v>
      </c>
      <c r="B293" s="2" t="str">
        <f>_xlfn.XLOOKUP(C293,Tab_Def_Flows[Flow_Name],Tab_Def_Flows[Flow_ID],,0,)</f>
        <v>F__</v>
      </c>
      <c r="C293" s="18" t="s">
        <v>5</v>
      </c>
      <c r="D293" s="5" t="str">
        <f>_xlfn.XLOOKUP(C293,Tab_Def_Flows[Flow_Name],Tab_Def_Flows[Use_E1],,0,)</f>
        <v>Yes</v>
      </c>
      <c r="E293" s="5" t="str">
        <f>_xlfn.XLOOKUP(C293,Tab_Def_Flows[Flow_Name],Tab_Def_Flows[Use_E2],,0,)</f>
        <v>Yes</v>
      </c>
      <c r="F293" s="5" t="str">
        <f>_xlfn.XLOOKUP(C293,Tab_Def_Flows[Flow_Name],Tab_Def_Flows[Use_E3],,0,)</f>
        <v>Yes</v>
      </c>
      <c r="G293" s="5" t="str">
        <f>_xlfn.XLOOKUP(C293,Tab_Def_Flows[Flow_Name],Tab_Def_Flows[Use_E4],,0,)</f>
        <v>Yes</v>
      </c>
      <c r="H293" s="5" t="str">
        <f>_xlfn.XLOOKUP(C293,Tab_Def_Flows[Flow_Name],Tab_Def_Flows[Use_E5],,0,)</f>
        <v>Yes</v>
      </c>
      <c r="I293" s="5" t="str">
        <f>_xlfn.XLOOKUP(C293,Tab_Def_Flows[Flow_Name],Tab_Def_Flows[Use_E6],,0,)</f>
        <v>Yes</v>
      </c>
      <c r="J293" s="3"/>
      <c r="K293" s="3"/>
      <c r="L293" s="2" t="str">
        <f>'0_Configuration'!$C$41</f>
        <v>Mg</v>
      </c>
      <c r="M293" s="9"/>
      <c r="N293" s="9"/>
      <c r="O293" s="9"/>
      <c r="P293" s="9"/>
      <c r="Q293" s="18" t="s">
        <v>3</v>
      </c>
      <c r="R293" s="10"/>
      <c r="S293" s="3"/>
      <c r="T293" s="9"/>
      <c r="U293" s="9"/>
      <c r="V293" s="2">
        <f>_xlfn.XLOOKUP(Tab_Data_Flows[[#This Row],[Flow_Name]],Tab_Def_Flows[Flow_Name],Tab_Def_Flows[Flow_E1_Fraction'[%']],"N.A.",0,1)</f>
        <v>0</v>
      </c>
      <c r="W293" s="8">
        <f t="shared" si="8"/>
        <v>0</v>
      </c>
      <c r="X293" s="2" t="str">
        <f>Tab_Data_Flows[[#This Row],[UoM_Source]]</f>
        <v>Mg</v>
      </c>
      <c r="Y293" s="19">
        <f>_xlfn.XLOOKUP(Tab_Data_Flows[[#This Row],[Flow_Name]],Tab_Def_Flows[Flow_Name],Tab_Def_Flows[Flow_E2_Fraction'[%']],"N.A.",0,1)</f>
        <v>0</v>
      </c>
      <c r="Z293" s="2">
        <f>IF(D293="Yes",W293*Tab_Data_Flows[[#This Row],[E2_Fraction'[%']]],"N.A.")</f>
        <v>0</v>
      </c>
      <c r="AA293" s="2" t="str">
        <f>Tab_Data_Flows[[#This Row],[E1_UoM]]</f>
        <v>Mg</v>
      </c>
      <c r="AB293" s="19">
        <f>_xlfn.XLOOKUP(Tab_Data_Flows[[#This Row],[Flow_Name]],Tab_Def_Flows[Flow_Name],Tab_Def_Flows[Flow_E3_Fraction'[%']],"N.A.",0,1)</f>
        <v>0</v>
      </c>
      <c r="AC293" s="2">
        <f>IF(E293="Yes",AB293*Tab_Data_Flows[[#This Row],[E1_value]],"N.A.")</f>
        <v>0</v>
      </c>
      <c r="AD293" s="2" t="str">
        <f>Tab_Data_Flows[[#This Row],[E1_UoM]]</f>
        <v>Mg</v>
      </c>
      <c r="AE293" s="19">
        <f>_xlfn.XLOOKUP(Tab_Data_Flows[[#This Row],[Flow_Name]],Tab_Def_Flows[Flow_Name],Tab_Def_Flows[Flow_E4_Fraction'[%']],"N.A.",0,1)</f>
        <v>0</v>
      </c>
      <c r="AF293" s="2">
        <f>IF(H293="Yes",Tab_Data_Flows[[#This Row],[E4_Fraction'[%']]]*Tab_Data_Flows[[#This Row],[E1_value]],"N.A.")</f>
        <v>0</v>
      </c>
      <c r="AG293" s="2" t="str">
        <f>Tab_Data_Flows[[#This Row],[E1_UoM]]</f>
        <v>Mg</v>
      </c>
      <c r="AH293" s="2">
        <f>_xlfn.XLOOKUP(Tab_Data_Flows[[#This Row],[Flow_Name]],Tab_Def_Flows[Flow_Name],Tab_Def_Flows[Flow_E5_Fraction'[%']],"N.A.",0,1)</f>
        <v>0</v>
      </c>
      <c r="AI293" s="2">
        <f>IF(H293="Yes",Tab_Data_Flows[[#This Row],[E5_Fraction'[%']]]*Tab_Data_Flows[[#This Row],[E1_value]],"N.A.")</f>
        <v>0</v>
      </c>
      <c r="AJ293" s="2" t="str">
        <f>Tab_Data_Flows[[#This Row],[E1_UoM]]</f>
        <v>Mg</v>
      </c>
      <c r="AK293" s="19">
        <f>_xlfn.XLOOKUP(Tab_Data_Flows[[#This Row],[Flow_Name]],Tab_Def_Flows[Flow_Name],Tab_Def_Flows[Flow_E6_Fraction'[%']],"N.A.",0,1)</f>
        <v>0</v>
      </c>
      <c r="AL293" s="2">
        <f>IF(Tab_Data_Flows[[#This Row],[Use_E6]]="Yes",Tab_Data_Flows[[#This Row],[E6_Fraction'[%']]]*Tab_Data_Flows[[#This Row],[E1_value]],"N.A.")</f>
        <v>0</v>
      </c>
      <c r="AM293" s="2" t="str">
        <f>Tab_Data_Flows[[#This Row],[E1_UoM]]</f>
        <v>Mg</v>
      </c>
    </row>
    <row r="294" spans="1:39" x14ac:dyDescent="0.25">
      <c r="A294" s="4">
        <f t="shared" si="9"/>
        <v>293</v>
      </c>
      <c r="B294" s="2" t="str">
        <f>_xlfn.XLOOKUP(C294,Tab_Def_Flows[Flow_Name],Tab_Def_Flows[Flow_ID],,0,)</f>
        <v>F__</v>
      </c>
      <c r="C294" s="18" t="s">
        <v>5</v>
      </c>
      <c r="D294" s="5" t="str">
        <f>_xlfn.XLOOKUP(C294,Tab_Def_Flows[Flow_Name],Tab_Def_Flows[Use_E1],,0,)</f>
        <v>Yes</v>
      </c>
      <c r="E294" s="5" t="str">
        <f>_xlfn.XLOOKUP(C294,Tab_Def_Flows[Flow_Name],Tab_Def_Flows[Use_E2],,0,)</f>
        <v>Yes</v>
      </c>
      <c r="F294" s="5" t="str">
        <f>_xlfn.XLOOKUP(C294,Tab_Def_Flows[Flow_Name],Tab_Def_Flows[Use_E3],,0,)</f>
        <v>Yes</v>
      </c>
      <c r="G294" s="5" t="str">
        <f>_xlfn.XLOOKUP(C294,Tab_Def_Flows[Flow_Name],Tab_Def_Flows[Use_E4],,0,)</f>
        <v>Yes</v>
      </c>
      <c r="H294" s="5" t="str">
        <f>_xlfn.XLOOKUP(C294,Tab_Def_Flows[Flow_Name],Tab_Def_Flows[Use_E5],,0,)</f>
        <v>Yes</v>
      </c>
      <c r="I294" s="5" t="str">
        <f>_xlfn.XLOOKUP(C294,Tab_Def_Flows[Flow_Name],Tab_Def_Flows[Use_E6],,0,)</f>
        <v>Yes</v>
      </c>
      <c r="J294" s="3"/>
      <c r="K294" s="3"/>
      <c r="L294" s="2" t="str">
        <f>'0_Configuration'!$C$41</f>
        <v>Mg</v>
      </c>
      <c r="M294" s="9"/>
      <c r="N294" s="9"/>
      <c r="O294" s="9"/>
      <c r="P294" s="9"/>
      <c r="Q294" s="18" t="s">
        <v>3</v>
      </c>
      <c r="R294" s="10"/>
      <c r="S294" s="3"/>
      <c r="T294" s="9"/>
      <c r="U294" s="9"/>
      <c r="V294" s="2">
        <f>_xlfn.XLOOKUP(Tab_Data_Flows[[#This Row],[Flow_Name]],Tab_Def_Flows[Flow_Name],Tab_Def_Flows[Flow_E1_Fraction'[%']],"N.A.",0,1)</f>
        <v>0</v>
      </c>
      <c r="W294" s="8">
        <f t="shared" si="8"/>
        <v>0</v>
      </c>
      <c r="X294" s="2" t="str">
        <f>Tab_Data_Flows[[#This Row],[UoM_Source]]</f>
        <v>Mg</v>
      </c>
      <c r="Y294" s="19">
        <f>_xlfn.XLOOKUP(Tab_Data_Flows[[#This Row],[Flow_Name]],Tab_Def_Flows[Flow_Name],Tab_Def_Flows[Flow_E2_Fraction'[%']],"N.A.",0,1)</f>
        <v>0</v>
      </c>
      <c r="Z294" s="2">
        <f>IF(D294="Yes",W294*Tab_Data_Flows[[#This Row],[E2_Fraction'[%']]],"N.A.")</f>
        <v>0</v>
      </c>
      <c r="AA294" s="2" t="str">
        <f>Tab_Data_Flows[[#This Row],[E1_UoM]]</f>
        <v>Mg</v>
      </c>
      <c r="AB294" s="19">
        <f>_xlfn.XLOOKUP(Tab_Data_Flows[[#This Row],[Flow_Name]],Tab_Def_Flows[Flow_Name],Tab_Def_Flows[Flow_E3_Fraction'[%']],"N.A.",0,1)</f>
        <v>0</v>
      </c>
      <c r="AC294" s="2">
        <f>IF(E294="Yes",AB294*Tab_Data_Flows[[#This Row],[E1_value]],"N.A.")</f>
        <v>0</v>
      </c>
      <c r="AD294" s="2" t="str">
        <f>Tab_Data_Flows[[#This Row],[E1_UoM]]</f>
        <v>Mg</v>
      </c>
      <c r="AE294" s="19">
        <f>_xlfn.XLOOKUP(Tab_Data_Flows[[#This Row],[Flow_Name]],Tab_Def_Flows[Flow_Name],Tab_Def_Flows[Flow_E4_Fraction'[%']],"N.A.",0,1)</f>
        <v>0</v>
      </c>
      <c r="AF294" s="2">
        <f>IF(H294="Yes",Tab_Data_Flows[[#This Row],[E4_Fraction'[%']]]*Tab_Data_Flows[[#This Row],[E1_value]],"N.A.")</f>
        <v>0</v>
      </c>
      <c r="AG294" s="2" t="str">
        <f>Tab_Data_Flows[[#This Row],[E1_UoM]]</f>
        <v>Mg</v>
      </c>
      <c r="AH294" s="2">
        <f>_xlfn.XLOOKUP(Tab_Data_Flows[[#This Row],[Flow_Name]],Tab_Def_Flows[Flow_Name],Tab_Def_Flows[Flow_E5_Fraction'[%']],"N.A.",0,1)</f>
        <v>0</v>
      </c>
      <c r="AI294" s="2">
        <f>IF(H294="Yes",Tab_Data_Flows[[#This Row],[E5_Fraction'[%']]]*Tab_Data_Flows[[#This Row],[E1_value]],"N.A.")</f>
        <v>0</v>
      </c>
      <c r="AJ294" s="2" t="str">
        <f>Tab_Data_Flows[[#This Row],[E1_UoM]]</f>
        <v>Mg</v>
      </c>
      <c r="AK294" s="19">
        <f>_xlfn.XLOOKUP(Tab_Data_Flows[[#This Row],[Flow_Name]],Tab_Def_Flows[Flow_Name],Tab_Def_Flows[Flow_E6_Fraction'[%']],"N.A.",0,1)</f>
        <v>0</v>
      </c>
      <c r="AL294" s="2">
        <f>IF(Tab_Data_Flows[[#This Row],[Use_E6]]="Yes",Tab_Data_Flows[[#This Row],[E6_Fraction'[%']]]*Tab_Data_Flows[[#This Row],[E1_value]],"N.A.")</f>
        <v>0</v>
      </c>
      <c r="AM294" s="2" t="str">
        <f>Tab_Data_Flows[[#This Row],[E1_UoM]]</f>
        <v>Mg</v>
      </c>
    </row>
    <row r="295" spans="1:39" x14ac:dyDescent="0.25">
      <c r="A295" s="4">
        <f t="shared" si="9"/>
        <v>294</v>
      </c>
      <c r="B295" s="2" t="str">
        <f>_xlfn.XLOOKUP(C295,Tab_Def_Flows[Flow_Name],Tab_Def_Flows[Flow_ID],,0,)</f>
        <v>F__</v>
      </c>
      <c r="C295" s="18" t="s">
        <v>5</v>
      </c>
      <c r="D295" s="5" t="str">
        <f>_xlfn.XLOOKUP(C295,Tab_Def_Flows[Flow_Name],Tab_Def_Flows[Use_E1],,0,)</f>
        <v>Yes</v>
      </c>
      <c r="E295" s="5" t="str">
        <f>_xlfn.XLOOKUP(C295,Tab_Def_Flows[Flow_Name],Tab_Def_Flows[Use_E2],,0,)</f>
        <v>Yes</v>
      </c>
      <c r="F295" s="5" t="str">
        <f>_xlfn.XLOOKUP(C295,Tab_Def_Flows[Flow_Name],Tab_Def_Flows[Use_E3],,0,)</f>
        <v>Yes</v>
      </c>
      <c r="G295" s="5" t="str">
        <f>_xlfn.XLOOKUP(C295,Tab_Def_Flows[Flow_Name],Tab_Def_Flows[Use_E4],,0,)</f>
        <v>Yes</v>
      </c>
      <c r="H295" s="5" t="str">
        <f>_xlfn.XLOOKUP(C295,Tab_Def_Flows[Flow_Name],Tab_Def_Flows[Use_E5],,0,)</f>
        <v>Yes</v>
      </c>
      <c r="I295" s="5" t="str">
        <f>_xlfn.XLOOKUP(C295,Tab_Def_Flows[Flow_Name],Tab_Def_Flows[Use_E6],,0,)</f>
        <v>Yes</v>
      </c>
      <c r="J295" s="3"/>
      <c r="K295" s="3"/>
      <c r="L295" s="2" t="str">
        <f>'0_Configuration'!$C$41</f>
        <v>Mg</v>
      </c>
      <c r="M295" s="9"/>
      <c r="N295" s="9"/>
      <c r="O295" s="9"/>
      <c r="P295" s="9"/>
      <c r="Q295" s="18" t="s">
        <v>3</v>
      </c>
      <c r="R295" s="10"/>
      <c r="S295" s="3"/>
      <c r="T295" s="9"/>
      <c r="U295" s="9"/>
      <c r="V295" s="2">
        <f>_xlfn.XLOOKUP(Tab_Data_Flows[[#This Row],[Flow_Name]],Tab_Def_Flows[Flow_Name],Tab_Def_Flows[Flow_E1_Fraction'[%']],"N.A.",0,1)</f>
        <v>0</v>
      </c>
      <c r="W295" s="8">
        <f t="shared" si="8"/>
        <v>0</v>
      </c>
      <c r="X295" s="2" t="str">
        <f>Tab_Data_Flows[[#This Row],[UoM_Source]]</f>
        <v>Mg</v>
      </c>
      <c r="Y295" s="19">
        <f>_xlfn.XLOOKUP(Tab_Data_Flows[[#This Row],[Flow_Name]],Tab_Def_Flows[Flow_Name],Tab_Def_Flows[Flow_E2_Fraction'[%']],"N.A.",0,1)</f>
        <v>0</v>
      </c>
      <c r="Z295" s="2">
        <f>IF(D295="Yes",W295*Tab_Data_Flows[[#This Row],[E2_Fraction'[%']]],"N.A.")</f>
        <v>0</v>
      </c>
      <c r="AA295" s="2" t="str">
        <f>Tab_Data_Flows[[#This Row],[E1_UoM]]</f>
        <v>Mg</v>
      </c>
      <c r="AB295" s="19">
        <f>_xlfn.XLOOKUP(Tab_Data_Flows[[#This Row],[Flow_Name]],Tab_Def_Flows[Flow_Name],Tab_Def_Flows[Flow_E3_Fraction'[%']],"N.A.",0,1)</f>
        <v>0</v>
      </c>
      <c r="AC295" s="2">
        <f>IF(E295="Yes",AB295*Tab_Data_Flows[[#This Row],[E1_value]],"N.A.")</f>
        <v>0</v>
      </c>
      <c r="AD295" s="2" t="str">
        <f>Tab_Data_Flows[[#This Row],[E1_UoM]]</f>
        <v>Mg</v>
      </c>
      <c r="AE295" s="19">
        <f>_xlfn.XLOOKUP(Tab_Data_Flows[[#This Row],[Flow_Name]],Tab_Def_Flows[Flow_Name],Tab_Def_Flows[Flow_E4_Fraction'[%']],"N.A.",0,1)</f>
        <v>0</v>
      </c>
      <c r="AF295" s="2">
        <f>IF(H295="Yes",Tab_Data_Flows[[#This Row],[E4_Fraction'[%']]]*Tab_Data_Flows[[#This Row],[E1_value]],"N.A.")</f>
        <v>0</v>
      </c>
      <c r="AG295" s="2" t="str">
        <f>Tab_Data_Flows[[#This Row],[E1_UoM]]</f>
        <v>Mg</v>
      </c>
      <c r="AH295" s="2">
        <f>_xlfn.XLOOKUP(Tab_Data_Flows[[#This Row],[Flow_Name]],Tab_Def_Flows[Flow_Name],Tab_Def_Flows[Flow_E5_Fraction'[%']],"N.A.",0,1)</f>
        <v>0</v>
      </c>
      <c r="AI295" s="2">
        <f>IF(H295="Yes",Tab_Data_Flows[[#This Row],[E5_Fraction'[%']]]*Tab_Data_Flows[[#This Row],[E1_value]],"N.A.")</f>
        <v>0</v>
      </c>
      <c r="AJ295" s="2" t="str">
        <f>Tab_Data_Flows[[#This Row],[E1_UoM]]</f>
        <v>Mg</v>
      </c>
      <c r="AK295" s="19">
        <f>_xlfn.XLOOKUP(Tab_Data_Flows[[#This Row],[Flow_Name]],Tab_Def_Flows[Flow_Name],Tab_Def_Flows[Flow_E6_Fraction'[%']],"N.A.",0,1)</f>
        <v>0</v>
      </c>
      <c r="AL295" s="2">
        <f>IF(Tab_Data_Flows[[#This Row],[Use_E6]]="Yes",Tab_Data_Flows[[#This Row],[E6_Fraction'[%']]]*Tab_Data_Flows[[#This Row],[E1_value]],"N.A.")</f>
        <v>0</v>
      </c>
      <c r="AM295" s="2" t="str">
        <f>Tab_Data_Flows[[#This Row],[E1_UoM]]</f>
        <v>Mg</v>
      </c>
    </row>
    <row r="296" spans="1:39" x14ac:dyDescent="0.25">
      <c r="A296" s="4">
        <f t="shared" si="9"/>
        <v>295</v>
      </c>
      <c r="B296" s="2" t="str">
        <f>_xlfn.XLOOKUP(C296,Tab_Def_Flows[Flow_Name],Tab_Def_Flows[Flow_ID],,0,)</f>
        <v>F__</v>
      </c>
      <c r="C296" s="18" t="s">
        <v>5</v>
      </c>
      <c r="D296" s="5" t="str">
        <f>_xlfn.XLOOKUP(C296,Tab_Def_Flows[Flow_Name],Tab_Def_Flows[Use_E1],,0,)</f>
        <v>Yes</v>
      </c>
      <c r="E296" s="5" t="str">
        <f>_xlfn.XLOOKUP(C296,Tab_Def_Flows[Flow_Name],Tab_Def_Flows[Use_E2],,0,)</f>
        <v>Yes</v>
      </c>
      <c r="F296" s="5" t="str">
        <f>_xlfn.XLOOKUP(C296,Tab_Def_Flows[Flow_Name],Tab_Def_Flows[Use_E3],,0,)</f>
        <v>Yes</v>
      </c>
      <c r="G296" s="5" t="str">
        <f>_xlfn.XLOOKUP(C296,Tab_Def_Flows[Flow_Name],Tab_Def_Flows[Use_E4],,0,)</f>
        <v>Yes</v>
      </c>
      <c r="H296" s="5" t="str">
        <f>_xlfn.XLOOKUP(C296,Tab_Def_Flows[Flow_Name],Tab_Def_Flows[Use_E5],,0,)</f>
        <v>Yes</v>
      </c>
      <c r="I296" s="5" t="str">
        <f>_xlfn.XLOOKUP(C296,Tab_Def_Flows[Flow_Name],Tab_Def_Flows[Use_E6],,0,)</f>
        <v>Yes</v>
      </c>
      <c r="J296" s="3"/>
      <c r="K296" s="3"/>
      <c r="L296" s="2" t="str">
        <f>'0_Configuration'!$C$41</f>
        <v>Mg</v>
      </c>
      <c r="M296" s="9"/>
      <c r="N296" s="9"/>
      <c r="O296" s="9"/>
      <c r="P296" s="9"/>
      <c r="Q296" s="18" t="s">
        <v>3</v>
      </c>
      <c r="R296" s="10"/>
      <c r="S296" s="3"/>
      <c r="T296" s="9"/>
      <c r="U296" s="9"/>
      <c r="V296" s="2">
        <f>_xlfn.XLOOKUP(Tab_Data_Flows[[#This Row],[Flow_Name]],Tab_Def_Flows[Flow_Name],Tab_Def_Flows[Flow_E1_Fraction'[%']],"N.A.",0,1)</f>
        <v>0</v>
      </c>
      <c r="W296" s="8">
        <f t="shared" si="8"/>
        <v>0</v>
      </c>
      <c r="X296" s="2" t="str">
        <f>Tab_Data_Flows[[#This Row],[UoM_Source]]</f>
        <v>Mg</v>
      </c>
      <c r="Y296" s="19">
        <f>_xlfn.XLOOKUP(Tab_Data_Flows[[#This Row],[Flow_Name]],Tab_Def_Flows[Flow_Name],Tab_Def_Flows[Flow_E2_Fraction'[%']],"N.A.",0,1)</f>
        <v>0</v>
      </c>
      <c r="Z296" s="2">
        <f>IF(D296="Yes",W296*Tab_Data_Flows[[#This Row],[E2_Fraction'[%']]],"N.A.")</f>
        <v>0</v>
      </c>
      <c r="AA296" s="2" t="str">
        <f>Tab_Data_Flows[[#This Row],[E1_UoM]]</f>
        <v>Mg</v>
      </c>
      <c r="AB296" s="19">
        <f>_xlfn.XLOOKUP(Tab_Data_Flows[[#This Row],[Flow_Name]],Tab_Def_Flows[Flow_Name],Tab_Def_Flows[Flow_E3_Fraction'[%']],"N.A.",0,1)</f>
        <v>0</v>
      </c>
      <c r="AC296" s="2">
        <f>IF(E296="Yes",AB296*Tab_Data_Flows[[#This Row],[E1_value]],"N.A.")</f>
        <v>0</v>
      </c>
      <c r="AD296" s="2" t="str">
        <f>Tab_Data_Flows[[#This Row],[E1_UoM]]</f>
        <v>Mg</v>
      </c>
      <c r="AE296" s="19">
        <f>_xlfn.XLOOKUP(Tab_Data_Flows[[#This Row],[Flow_Name]],Tab_Def_Flows[Flow_Name],Tab_Def_Flows[Flow_E4_Fraction'[%']],"N.A.",0,1)</f>
        <v>0</v>
      </c>
      <c r="AF296" s="2">
        <f>IF(H296="Yes",Tab_Data_Flows[[#This Row],[E4_Fraction'[%']]]*Tab_Data_Flows[[#This Row],[E1_value]],"N.A.")</f>
        <v>0</v>
      </c>
      <c r="AG296" s="2" t="str">
        <f>Tab_Data_Flows[[#This Row],[E1_UoM]]</f>
        <v>Mg</v>
      </c>
      <c r="AH296" s="2">
        <f>_xlfn.XLOOKUP(Tab_Data_Flows[[#This Row],[Flow_Name]],Tab_Def_Flows[Flow_Name],Tab_Def_Flows[Flow_E5_Fraction'[%']],"N.A.",0,1)</f>
        <v>0</v>
      </c>
      <c r="AI296" s="2">
        <f>IF(H296="Yes",Tab_Data_Flows[[#This Row],[E5_Fraction'[%']]]*Tab_Data_Flows[[#This Row],[E1_value]],"N.A.")</f>
        <v>0</v>
      </c>
      <c r="AJ296" s="2" t="str">
        <f>Tab_Data_Flows[[#This Row],[E1_UoM]]</f>
        <v>Mg</v>
      </c>
      <c r="AK296" s="19">
        <f>_xlfn.XLOOKUP(Tab_Data_Flows[[#This Row],[Flow_Name]],Tab_Def_Flows[Flow_Name],Tab_Def_Flows[Flow_E6_Fraction'[%']],"N.A.",0,1)</f>
        <v>0</v>
      </c>
      <c r="AL296" s="2">
        <f>IF(Tab_Data_Flows[[#This Row],[Use_E6]]="Yes",Tab_Data_Flows[[#This Row],[E6_Fraction'[%']]]*Tab_Data_Flows[[#This Row],[E1_value]],"N.A.")</f>
        <v>0</v>
      </c>
      <c r="AM296" s="2" t="str">
        <f>Tab_Data_Flows[[#This Row],[E1_UoM]]</f>
        <v>Mg</v>
      </c>
    </row>
    <row r="297" spans="1:39" x14ac:dyDescent="0.25">
      <c r="A297" s="4">
        <f t="shared" si="9"/>
        <v>296</v>
      </c>
      <c r="B297" s="2" t="str">
        <f>_xlfn.XLOOKUP(C297,Tab_Def_Flows[Flow_Name],Tab_Def_Flows[Flow_ID],,0,)</f>
        <v>F__</v>
      </c>
      <c r="C297" s="18" t="s">
        <v>5</v>
      </c>
      <c r="D297" s="5" t="str">
        <f>_xlfn.XLOOKUP(C297,Tab_Def_Flows[Flow_Name],Tab_Def_Flows[Use_E1],,0,)</f>
        <v>Yes</v>
      </c>
      <c r="E297" s="5" t="str">
        <f>_xlfn.XLOOKUP(C297,Tab_Def_Flows[Flow_Name],Tab_Def_Flows[Use_E2],,0,)</f>
        <v>Yes</v>
      </c>
      <c r="F297" s="5" t="str">
        <f>_xlfn.XLOOKUP(C297,Tab_Def_Flows[Flow_Name],Tab_Def_Flows[Use_E3],,0,)</f>
        <v>Yes</v>
      </c>
      <c r="G297" s="5" t="str">
        <f>_xlfn.XLOOKUP(C297,Tab_Def_Flows[Flow_Name],Tab_Def_Flows[Use_E4],,0,)</f>
        <v>Yes</v>
      </c>
      <c r="H297" s="5" t="str">
        <f>_xlfn.XLOOKUP(C297,Tab_Def_Flows[Flow_Name],Tab_Def_Flows[Use_E5],,0,)</f>
        <v>Yes</v>
      </c>
      <c r="I297" s="5" t="str">
        <f>_xlfn.XLOOKUP(C297,Tab_Def_Flows[Flow_Name],Tab_Def_Flows[Use_E6],,0,)</f>
        <v>Yes</v>
      </c>
      <c r="J297" s="3"/>
      <c r="K297" s="3"/>
      <c r="L297" s="2" t="str">
        <f>'0_Configuration'!$C$41</f>
        <v>Mg</v>
      </c>
      <c r="M297" s="9"/>
      <c r="N297" s="9"/>
      <c r="O297" s="9"/>
      <c r="P297" s="9"/>
      <c r="Q297" s="18" t="s">
        <v>3</v>
      </c>
      <c r="R297" s="10"/>
      <c r="S297" s="3"/>
      <c r="T297" s="9"/>
      <c r="U297" s="9"/>
      <c r="V297" s="2">
        <f>_xlfn.XLOOKUP(Tab_Data_Flows[[#This Row],[Flow_Name]],Tab_Def_Flows[Flow_Name],Tab_Def_Flows[Flow_E1_Fraction'[%']],"N.A.",0,1)</f>
        <v>0</v>
      </c>
      <c r="W297" s="8">
        <f t="shared" si="8"/>
        <v>0</v>
      </c>
      <c r="X297" s="2" t="str">
        <f>Tab_Data_Flows[[#This Row],[UoM_Source]]</f>
        <v>Mg</v>
      </c>
      <c r="Y297" s="19">
        <f>_xlfn.XLOOKUP(Tab_Data_Flows[[#This Row],[Flow_Name]],Tab_Def_Flows[Flow_Name],Tab_Def_Flows[Flow_E2_Fraction'[%']],"N.A.",0,1)</f>
        <v>0</v>
      </c>
      <c r="Z297" s="2">
        <f>IF(D297="Yes",W297*Tab_Data_Flows[[#This Row],[E2_Fraction'[%']]],"N.A.")</f>
        <v>0</v>
      </c>
      <c r="AA297" s="2" t="str">
        <f>Tab_Data_Flows[[#This Row],[E1_UoM]]</f>
        <v>Mg</v>
      </c>
      <c r="AB297" s="19">
        <f>_xlfn.XLOOKUP(Tab_Data_Flows[[#This Row],[Flow_Name]],Tab_Def_Flows[Flow_Name],Tab_Def_Flows[Flow_E3_Fraction'[%']],"N.A.",0,1)</f>
        <v>0</v>
      </c>
      <c r="AC297" s="2">
        <f>IF(E297="Yes",AB297*Tab_Data_Flows[[#This Row],[E1_value]],"N.A.")</f>
        <v>0</v>
      </c>
      <c r="AD297" s="2" t="str">
        <f>Tab_Data_Flows[[#This Row],[E1_UoM]]</f>
        <v>Mg</v>
      </c>
      <c r="AE297" s="19">
        <f>_xlfn.XLOOKUP(Tab_Data_Flows[[#This Row],[Flow_Name]],Tab_Def_Flows[Flow_Name],Tab_Def_Flows[Flow_E4_Fraction'[%']],"N.A.",0,1)</f>
        <v>0</v>
      </c>
      <c r="AF297" s="2">
        <f>IF(H297="Yes",Tab_Data_Flows[[#This Row],[E4_Fraction'[%']]]*Tab_Data_Flows[[#This Row],[E1_value]],"N.A.")</f>
        <v>0</v>
      </c>
      <c r="AG297" s="2" t="str">
        <f>Tab_Data_Flows[[#This Row],[E1_UoM]]</f>
        <v>Mg</v>
      </c>
      <c r="AH297" s="2">
        <f>_xlfn.XLOOKUP(Tab_Data_Flows[[#This Row],[Flow_Name]],Tab_Def_Flows[Flow_Name],Tab_Def_Flows[Flow_E5_Fraction'[%']],"N.A.",0,1)</f>
        <v>0</v>
      </c>
      <c r="AI297" s="2">
        <f>IF(H297="Yes",Tab_Data_Flows[[#This Row],[E5_Fraction'[%']]]*Tab_Data_Flows[[#This Row],[E1_value]],"N.A.")</f>
        <v>0</v>
      </c>
      <c r="AJ297" s="2" t="str">
        <f>Tab_Data_Flows[[#This Row],[E1_UoM]]</f>
        <v>Mg</v>
      </c>
      <c r="AK297" s="19">
        <f>_xlfn.XLOOKUP(Tab_Data_Flows[[#This Row],[Flow_Name]],Tab_Def_Flows[Flow_Name],Tab_Def_Flows[Flow_E6_Fraction'[%']],"N.A.",0,1)</f>
        <v>0</v>
      </c>
      <c r="AL297" s="2">
        <f>IF(Tab_Data_Flows[[#This Row],[Use_E6]]="Yes",Tab_Data_Flows[[#This Row],[E6_Fraction'[%']]]*Tab_Data_Flows[[#This Row],[E1_value]],"N.A.")</f>
        <v>0</v>
      </c>
      <c r="AM297" s="2" t="str">
        <f>Tab_Data_Flows[[#This Row],[E1_UoM]]</f>
        <v>Mg</v>
      </c>
    </row>
    <row r="298" spans="1:39" x14ac:dyDescent="0.25">
      <c r="A298" s="4">
        <f t="shared" si="9"/>
        <v>297</v>
      </c>
      <c r="B298" s="2" t="str">
        <f>_xlfn.XLOOKUP(C298,Tab_Def_Flows[Flow_Name],Tab_Def_Flows[Flow_ID],,0,)</f>
        <v>F__</v>
      </c>
      <c r="C298" s="18" t="s">
        <v>5</v>
      </c>
      <c r="D298" s="5" t="str">
        <f>_xlfn.XLOOKUP(C298,Tab_Def_Flows[Flow_Name],Tab_Def_Flows[Use_E1],,0,)</f>
        <v>Yes</v>
      </c>
      <c r="E298" s="5" t="str">
        <f>_xlfn.XLOOKUP(C298,Tab_Def_Flows[Flow_Name],Tab_Def_Flows[Use_E2],,0,)</f>
        <v>Yes</v>
      </c>
      <c r="F298" s="5" t="str">
        <f>_xlfn.XLOOKUP(C298,Tab_Def_Flows[Flow_Name],Tab_Def_Flows[Use_E3],,0,)</f>
        <v>Yes</v>
      </c>
      <c r="G298" s="5" t="str">
        <f>_xlfn.XLOOKUP(C298,Tab_Def_Flows[Flow_Name],Tab_Def_Flows[Use_E4],,0,)</f>
        <v>Yes</v>
      </c>
      <c r="H298" s="5" t="str">
        <f>_xlfn.XLOOKUP(C298,Tab_Def_Flows[Flow_Name],Tab_Def_Flows[Use_E5],,0,)</f>
        <v>Yes</v>
      </c>
      <c r="I298" s="5" t="str">
        <f>_xlfn.XLOOKUP(C298,Tab_Def_Flows[Flow_Name],Tab_Def_Flows[Use_E6],,0,)</f>
        <v>Yes</v>
      </c>
      <c r="J298" s="3"/>
      <c r="K298" s="3"/>
      <c r="L298" s="2" t="str">
        <f>'0_Configuration'!$C$41</f>
        <v>Mg</v>
      </c>
      <c r="M298" s="9"/>
      <c r="N298" s="9"/>
      <c r="O298" s="9"/>
      <c r="P298" s="9"/>
      <c r="Q298" s="18" t="s">
        <v>3</v>
      </c>
      <c r="R298" s="10"/>
      <c r="S298" s="3"/>
      <c r="T298" s="9"/>
      <c r="U298" s="9"/>
      <c r="V298" s="2">
        <f>_xlfn.XLOOKUP(Tab_Data_Flows[[#This Row],[Flow_Name]],Tab_Def_Flows[Flow_Name],Tab_Def_Flows[Flow_E1_Fraction'[%']],"N.A.",0,1)</f>
        <v>0</v>
      </c>
      <c r="W298" s="8">
        <f t="shared" si="8"/>
        <v>0</v>
      </c>
      <c r="X298" s="2" t="str">
        <f>Tab_Data_Flows[[#This Row],[UoM_Source]]</f>
        <v>Mg</v>
      </c>
      <c r="Y298" s="19">
        <f>_xlfn.XLOOKUP(Tab_Data_Flows[[#This Row],[Flow_Name]],Tab_Def_Flows[Flow_Name],Tab_Def_Flows[Flow_E2_Fraction'[%']],"N.A.",0,1)</f>
        <v>0</v>
      </c>
      <c r="Z298" s="2">
        <f>IF(D298="Yes",W298*Tab_Data_Flows[[#This Row],[E2_Fraction'[%']]],"N.A.")</f>
        <v>0</v>
      </c>
      <c r="AA298" s="2" t="str">
        <f>Tab_Data_Flows[[#This Row],[E1_UoM]]</f>
        <v>Mg</v>
      </c>
      <c r="AB298" s="19">
        <f>_xlfn.XLOOKUP(Tab_Data_Flows[[#This Row],[Flow_Name]],Tab_Def_Flows[Flow_Name],Tab_Def_Flows[Flow_E3_Fraction'[%']],"N.A.",0,1)</f>
        <v>0</v>
      </c>
      <c r="AC298" s="2">
        <f>IF(E298="Yes",AB298*Tab_Data_Flows[[#This Row],[E1_value]],"N.A.")</f>
        <v>0</v>
      </c>
      <c r="AD298" s="2" t="str">
        <f>Tab_Data_Flows[[#This Row],[E1_UoM]]</f>
        <v>Mg</v>
      </c>
      <c r="AE298" s="19">
        <f>_xlfn.XLOOKUP(Tab_Data_Flows[[#This Row],[Flow_Name]],Tab_Def_Flows[Flow_Name],Tab_Def_Flows[Flow_E4_Fraction'[%']],"N.A.",0,1)</f>
        <v>0</v>
      </c>
      <c r="AF298" s="2">
        <f>IF(H298="Yes",Tab_Data_Flows[[#This Row],[E4_Fraction'[%']]]*Tab_Data_Flows[[#This Row],[E1_value]],"N.A.")</f>
        <v>0</v>
      </c>
      <c r="AG298" s="2" t="str">
        <f>Tab_Data_Flows[[#This Row],[E1_UoM]]</f>
        <v>Mg</v>
      </c>
      <c r="AH298" s="2">
        <f>_xlfn.XLOOKUP(Tab_Data_Flows[[#This Row],[Flow_Name]],Tab_Def_Flows[Flow_Name],Tab_Def_Flows[Flow_E5_Fraction'[%']],"N.A.",0,1)</f>
        <v>0</v>
      </c>
      <c r="AI298" s="2">
        <f>IF(H298="Yes",Tab_Data_Flows[[#This Row],[E5_Fraction'[%']]]*Tab_Data_Flows[[#This Row],[E1_value]],"N.A.")</f>
        <v>0</v>
      </c>
      <c r="AJ298" s="2" t="str">
        <f>Tab_Data_Flows[[#This Row],[E1_UoM]]</f>
        <v>Mg</v>
      </c>
      <c r="AK298" s="19">
        <f>_xlfn.XLOOKUP(Tab_Data_Flows[[#This Row],[Flow_Name]],Tab_Def_Flows[Flow_Name],Tab_Def_Flows[Flow_E6_Fraction'[%']],"N.A.",0,1)</f>
        <v>0</v>
      </c>
      <c r="AL298" s="2">
        <f>IF(Tab_Data_Flows[[#This Row],[Use_E6]]="Yes",Tab_Data_Flows[[#This Row],[E6_Fraction'[%']]]*Tab_Data_Flows[[#This Row],[E1_value]],"N.A.")</f>
        <v>0</v>
      </c>
      <c r="AM298" s="2" t="str">
        <f>Tab_Data_Flows[[#This Row],[E1_UoM]]</f>
        <v>Mg</v>
      </c>
    </row>
    <row r="299" spans="1:39" x14ac:dyDescent="0.25">
      <c r="A299" s="4">
        <f t="shared" si="9"/>
        <v>298</v>
      </c>
      <c r="B299" s="2" t="str">
        <f>_xlfn.XLOOKUP(C299,Tab_Def_Flows[Flow_Name],Tab_Def_Flows[Flow_ID],,0,)</f>
        <v>F__</v>
      </c>
      <c r="C299" s="18" t="s">
        <v>5</v>
      </c>
      <c r="D299" s="5" t="str">
        <f>_xlfn.XLOOKUP(C299,Tab_Def_Flows[Flow_Name],Tab_Def_Flows[Use_E1],,0,)</f>
        <v>Yes</v>
      </c>
      <c r="E299" s="5" t="str">
        <f>_xlfn.XLOOKUP(C299,Tab_Def_Flows[Flow_Name],Tab_Def_Flows[Use_E2],,0,)</f>
        <v>Yes</v>
      </c>
      <c r="F299" s="5" t="str">
        <f>_xlfn.XLOOKUP(C299,Tab_Def_Flows[Flow_Name],Tab_Def_Flows[Use_E3],,0,)</f>
        <v>Yes</v>
      </c>
      <c r="G299" s="5" t="str">
        <f>_xlfn.XLOOKUP(C299,Tab_Def_Flows[Flow_Name],Tab_Def_Flows[Use_E4],,0,)</f>
        <v>Yes</v>
      </c>
      <c r="H299" s="5" t="str">
        <f>_xlfn.XLOOKUP(C299,Tab_Def_Flows[Flow_Name],Tab_Def_Flows[Use_E5],,0,)</f>
        <v>Yes</v>
      </c>
      <c r="I299" s="5" t="str">
        <f>_xlfn.XLOOKUP(C299,Tab_Def_Flows[Flow_Name],Tab_Def_Flows[Use_E6],,0,)</f>
        <v>Yes</v>
      </c>
      <c r="J299" s="3"/>
      <c r="K299" s="3"/>
      <c r="L299" s="2" t="str">
        <f>'0_Configuration'!$C$41</f>
        <v>Mg</v>
      </c>
      <c r="M299" s="9"/>
      <c r="N299" s="9"/>
      <c r="O299" s="9"/>
      <c r="P299" s="9"/>
      <c r="Q299" s="18" t="s">
        <v>3</v>
      </c>
      <c r="R299" s="10"/>
      <c r="S299" s="3"/>
      <c r="T299" s="9"/>
      <c r="U299" s="9"/>
      <c r="V299" s="2">
        <f>_xlfn.XLOOKUP(Tab_Data_Flows[[#This Row],[Flow_Name]],Tab_Def_Flows[Flow_Name],Tab_Def_Flows[Flow_E1_Fraction'[%']],"N.A.",0,1)</f>
        <v>0</v>
      </c>
      <c r="W299" s="8">
        <f t="shared" si="8"/>
        <v>0</v>
      </c>
      <c r="X299" s="2" t="str">
        <f>Tab_Data_Flows[[#This Row],[UoM_Source]]</f>
        <v>Mg</v>
      </c>
      <c r="Y299" s="19">
        <f>_xlfn.XLOOKUP(Tab_Data_Flows[[#This Row],[Flow_Name]],Tab_Def_Flows[Flow_Name],Tab_Def_Flows[Flow_E2_Fraction'[%']],"N.A.",0,1)</f>
        <v>0</v>
      </c>
      <c r="Z299" s="2">
        <f>IF(D299="Yes",W299*Tab_Data_Flows[[#This Row],[E2_Fraction'[%']]],"N.A.")</f>
        <v>0</v>
      </c>
      <c r="AA299" s="2" t="str">
        <f>Tab_Data_Flows[[#This Row],[E1_UoM]]</f>
        <v>Mg</v>
      </c>
      <c r="AB299" s="19">
        <f>_xlfn.XLOOKUP(Tab_Data_Flows[[#This Row],[Flow_Name]],Tab_Def_Flows[Flow_Name],Tab_Def_Flows[Flow_E3_Fraction'[%']],"N.A.",0,1)</f>
        <v>0</v>
      </c>
      <c r="AC299" s="2">
        <f>IF(E299="Yes",AB299*Tab_Data_Flows[[#This Row],[E1_value]],"N.A.")</f>
        <v>0</v>
      </c>
      <c r="AD299" s="2" t="str">
        <f>Tab_Data_Flows[[#This Row],[E1_UoM]]</f>
        <v>Mg</v>
      </c>
      <c r="AE299" s="19">
        <f>_xlfn.XLOOKUP(Tab_Data_Flows[[#This Row],[Flow_Name]],Tab_Def_Flows[Flow_Name],Tab_Def_Flows[Flow_E4_Fraction'[%']],"N.A.",0,1)</f>
        <v>0</v>
      </c>
      <c r="AF299" s="2">
        <f>IF(H299="Yes",Tab_Data_Flows[[#This Row],[E4_Fraction'[%']]]*Tab_Data_Flows[[#This Row],[E1_value]],"N.A.")</f>
        <v>0</v>
      </c>
      <c r="AG299" s="2" t="str">
        <f>Tab_Data_Flows[[#This Row],[E1_UoM]]</f>
        <v>Mg</v>
      </c>
      <c r="AH299" s="2">
        <f>_xlfn.XLOOKUP(Tab_Data_Flows[[#This Row],[Flow_Name]],Tab_Def_Flows[Flow_Name],Tab_Def_Flows[Flow_E5_Fraction'[%']],"N.A.",0,1)</f>
        <v>0</v>
      </c>
      <c r="AI299" s="2">
        <f>IF(H299="Yes",Tab_Data_Flows[[#This Row],[E5_Fraction'[%']]]*Tab_Data_Flows[[#This Row],[E1_value]],"N.A.")</f>
        <v>0</v>
      </c>
      <c r="AJ299" s="2" t="str">
        <f>Tab_Data_Flows[[#This Row],[E1_UoM]]</f>
        <v>Mg</v>
      </c>
      <c r="AK299" s="19">
        <f>_xlfn.XLOOKUP(Tab_Data_Flows[[#This Row],[Flow_Name]],Tab_Def_Flows[Flow_Name],Tab_Def_Flows[Flow_E6_Fraction'[%']],"N.A.",0,1)</f>
        <v>0</v>
      </c>
      <c r="AL299" s="2">
        <f>IF(Tab_Data_Flows[[#This Row],[Use_E6]]="Yes",Tab_Data_Flows[[#This Row],[E6_Fraction'[%']]]*Tab_Data_Flows[[#This Row],[E1_value]],"N.A.")</f>
        <v>0</v>
      </c>
      <c r="AM299" s="2" t="str">
        <f>Tab_Data_Flows[[#This Row],[E1_UoM]]</f>
        <v>Mg</v>
      </c>
    </row>
    <row r="300" spans="1:39" x14ac:dyDescent="0.25">
      <c r="A300" s="4">
        <f t="shared" si="9"/>
        <v>299</v>
      </c>
      <c r="B300" s="2" t="str">
        <f>_xlfn.XLOOKUP(C300,Tab_Def_Flows[Flow_Name],Tab_Def_Flows[Flow_ID],,0,)</f>
        <v>F__</v>
      </c>
      <c r="C300" s="18" t="s">
        <v>5</v>
      </c>
      <c r="D300" s="5" t="str">
        <f>_xlfn.XLOOKUP(C300,Tab_Def_Flows[Flow_Name],Tab_Def_Flows[Use_E1],,0,)</f>
        <v>Yes</v>
      </c>
      <c r="E300" s="5" t="str">
        <f>_xlfn.XLOOKUP(C300,Tab_Def_Flows[Flow_Name],Tab_Def_Flows[Use_E2],,0,)</f>
        <v>Yes</v>
      </c>
      <c r="F300" s="5" t="str">
        <f>_xlfn.XLOOKUP(C300,Tab_Def_Flows[Flow_Name],Tab_Def_Flows[Use_E3],,0,)</f>
        <v>Yes</v>
      </c>
      <c r="G300" s="5" t="str">
        <f>_xlfn.XLOOKUP(C300,Tab_Def_Flows[Flow_Name],Tab_Def_Flows[Use_E4],,0,)</f>
        <v>Yes</v>
      </c>
      <c r="H300" s="5" t="str">
        <f>_xlfn.XLOOKUP(C300,Tab_Def_Flows[Flow_Name],Tab_Def_Flows[Use_E5],,0,)</f>
        <v>Yes</v>
      </c>
      <c r="I300" s="5" t="str">
        <f>_xlfn.XLOOKUP(C300,Tab_Def_Flows[Flow_Name],Tab_Def_Flows[Use_E6],,0,)</f>
        <v>Yes</v>
      </c>
      <c r="J300" s="3"/>
      <c r="K300" s="3"/>
      <c r="L300" s="2" t="str">
        <f>'0_Configuration'!$C$41</f>
        <v>Mg</v>
      </c>
      <c r="M300" s="9"/>
      <c r="N300" s="9"/>
      <c r="O300" s="9"/>
      <c r="P300" s="9"/>
      <c r="Q300" s="18" t="s">
        <v>3</v>
      </c>
      <c r="R300" s="10"/>
      <c r="S300" s="3"/>
      <c r="T300" s="9"/>
      <c r="U300" s="9"/>
      <c r="V300" s="2">
        <f>_xlfn.XLOOKUP(Tab_Data_Flows[[#This Row],[Flow_Name]],Tab_Def_Flows[Flow_Name],Tab_Def_Flows[Flow_E1_Fraction'[%']],"N.A.",0,1)</f>
        <v>0</v>
      </c>
      <c r="W300" s="8">
        <f t="shared" si="8"/>
        <v>0</v>
      </c>
      <c r="X300" s="2" t="str">
        <f>Tab_Data_Flows[[#This Row],[UoM_Source]]</f>
        <v>Mg</v>
      </c>
      <c r="Y300" s="19">
        <f>_xlfn.XLOOKUP(Tab_Data_Flows[[#This Row],[Flow_Name]],Tab_Def_Flows[Flow_Name],Tab_Def_Flows[Flow_E2_Fraction'[%']],"N.A.",0,1)</f>
        <v>0</v>
      </c>
      <c r="Z300" s="2">
        <f>IF(D300="Yes",W300*Tab_Data_Flows[[#This Row],[E2_Fraction'[%']]],"N.A.")</f>
        <v>0</v>
      </c>
      <c r="AA300" s="2" t="str">
        <f>Tab_Data_Flows[[#This Row],[E1_UoM]]</f>
        <v>Mg</v>
      </c>
      <c r="AB300" s="19">
        <f>_xlfn.XLOOKUP(Tab_Data_Flows[[#This Row],[Flow_Name]],Tab_Def_Flows[Flow_Name],Tab_Def_Flows[Flow_E3_Fraction'[%']],"N.A.",0,1)</f>
        <v>0</v>
      </c>
      <c r="AC300" s="2">
        <f>IF(E300="Yes",AB300*Tab_Data_Flows[[#This Row],[E1_value]],"N.A.")</f>
        <v>0</v>
      </c>
      <c r="AD300" s="2" t="str">
        <f>Tab_Data_Flows[[#This Row],[E1_UoM]]</f>
        <v>Mg</v>
      </c>
      <c r="AE300" s="19">
        <f>_xlfn.XLOOKUP(Tab_Data_Flows[[#This Row],[Flow_Name]],Tab_Def_Flows[Flow_Name],Tab_Def_Flows[Flow_E4_Fraction'[%']],"N.A.",0,1)</f>
        <v>0</v>
      </c>
      <c r="AF300" s="2">
        <f>IF(H300="Yes",Tab_Data_Flows[[#This Row],[E4_Fraction'[%']]]*Tab_Data_Flows[[#This Row],[E1_value]],"N.A.")</f>
        <v>0</v>
      </c>
      <c r="AG300" s="2" t="str">
        <f>Tab_Data_Flows[[#This Row],[E1_UoM]]</f>
        <v>Mg</v>
      </c>
      <c r="AH300" s="2">
        <f>_xlfn.XLOOKUP(Tab_Data_Flows[[#This Row],[Flow_Name]],Tab_Def_Flows[Flow_Name],Tab_Def_Flows[Flow_E5_Fraction'[%']],"N.A.",0,1)</f>
        <v>0</v>
      </c>
      <c r="AI300" s="2">
        <f>IF(H300="Yes",Tab_Data_Flows[[#This Row],[E5_Fraction'[%']]]*Tab_Data_Flows[[#This Row],[E1_value]],"N.A.")</f>
        <v>0</v>
      </c>
      <c r="AJ300" s="2" t="str">
        <f>Tab_Data_Flows[[#This Row],[E1_UoM]]</f>
        <v>Mg</v>
      </c>
      <c r="AK300" s="19">
        <f>_xlfn.XLOOKUP(Tab_Data_Flows[[#This Row],[Flow_Name]],Tab_Def_Flows[Flow_Name],Tab_Def_Flows[Flow_E6_Fraction'[%']],"N.A.",0,1)</f>
        <v>0</v>
      </c>
      <c r="AL300" s="2">
        <f>IF(Tab_Data_Flows[[#This Row],[Use_E6]]="Yes",Tab_Data_Flows[[#This Row],[E6_Fraction'[%']]]*Tab_Data_Flows[[#This Row],[E1_value]],"N.A.")</f>
        <v>0</v>
      </c>
      <c r="AM300" s="2" t="str">
        <f>Tab_Data_Flows[[#This Row],[E1_UoM]]</f>
        <v>Mg</v>
      </c>
    </row>
    <row r="301" spans="1:39" x14ac:dyDescent="0.25">
      <c r="A301" s="4">
        <f t="shared" si="9"/>
        <v>300</v>
      </c>
      <c r="B301" s="2" t="str">
        <f>_xlfn.XLOOKUP(C301,Tab_Def_Flows[Flow_Name],Tab_Def_Flows[Flow_ID],,0,)</f>
        <v>F__</v>
      </c>
      <c r="C301" s="18" t="s">
        <v>5</v>
      </c>
      <c r="D301" s="5" t="str">
        <f>_xlfn.XLOOKUP(C301,Tab_Def_Flows[Flow_Name],Tab_Def_Flows[Use_E1],,0,)</f>
        <v>Yes</v>
      </c>
      <c r="E301" s="5" t="str">
        <f>_xlfn.XLOOKUP(C301,Tab_Def_Flows[Flow_Name],Tab_Def_Flows[Use_E2],,0,)</f>
        <v>Yes</v>
      </c>
      <c r="F301" s="5" t="str">
        <f>_xlfn.XLOOKUP(C301,Tab_Def_Flows[Flow_Name],Tab_Def_Flows[Use_E3],,0,)</f>
        <v>Yes</v>
      </c>
      <c r="G301" s="5" t="str">
        <f>_xlfn.XLOOKUP(C301,Tab_Def_Flows[Flow_Name],Tab_Def_Flows[Use_E4],,0,)</f>
        <v>Yes</v>
      </c>
      <c r="H301" s="5" t="str">
        <f>_xlfn.XLOOKUP(C301,Tab_Def_Flows[Flow_Name],Tab_Def_Flows[Use_E5],,0,)</f>
        <v>Yes</v>
      </c>
      <c r="I301" s="5" t="str">
        <f>_xlfn.XLOOKUP(C301,Tab_Def_Flows[Flow_Name],Tab_Def_Flows[Use_E6],,0,)</f>
        <v>Yes</v>
      </c>
      <c r="J301" s="3"/>
      <c r="K301" s="3"/>
      <c r="L301" s="2" t="str">
        <f>'0_Configuration'!$C$41</f>
        <v>Mg</v>
      </c>
      <c r="M301" s="9"/>
      <c r="N301" s="9"/>
      <c r="O301" s="9"/>
      <c r="P301" s="9"/>
      <c r="Q301" s="18" t="s">
        <v>3</v>
      </c>
      <c r="R301" s="10"/>
      <c r="S301" s="3"/>
      <c r="T301" s="9"/>
      <c r="U301" s="9"/>
      <c r="V301" s="2">
        <f>_xlfn.XLOOKUP(Tab_Data_Flows[[#This Row],[Flow_Name]],Tab_Def_Flows[Flow_Name],Tab_Def_Flows[Flow_E1_Fraction'[%']],"N.A.",0,1)</f>
        <v>0</v>
      </c>
      <c r="W301" s="8">
        <f t="shared" si="8"/>
        <v>0</v>
      </c>
      <c r="X301" s="2" t="str">
        <f>Tab_Data_Flows[[#This Row],[UoM_Source]]</f>
        <v>Mg</v>
      </c>
      <c r="Y301" s="19">
        <f>_xlfn.XLOOKUP(Tab_Data_Flows[[#This Row],[Flow_Name]],Tab_Def_Flows[Flow_Name],Tab_Def_Flows[Flow_E2_Fraction'[%']],"N.A.",0,1)</f>
        <v>0</v>
      </c>
      <c r="Z301" s="2">
        <f>IF(D301="Yes",W301*Tab_Data_Flows[[#This Row],[E2_Fraction'[%']]],"N.A.")</f>
        <v>0</v>
      </c>
      <c r="AA301" s="2" t="str">
        <f>Tab_Data_Flows[[#This Row],[E1_UoM]]</f>
        <v>Mg</v>
      </c>
      <c r="AB301" s="19">
        <f>_xlfn.XLOOKUP(Tab_Data_Flows[[#This Row],[Flow_Name]],Tab_Def_Flows[Flow_Name],Tab_Def_Flows[Flow_E3_Fraction'[%']],"N.A.",0,1)</f>
        <v>0</v>
      </c>
      <c r="AC301" s="2">
        <f>IF(E301="Yes",AB301*Tab_Data_Flows[[#This Row],[E1_value]],"N.A.")</f>
        <v>0</v>
      </c>
      <c r="AD301" s="2" t="str">
        <f>Tab_Data_Flows[[#This Row],[E1_UoM]]</f>
        <v>Mg</v>
      </c>
      <c r="AE301" s="19">
        <f>_xlfn.XLOOKUP(Tab_Data_Flows[[#This Row],[Flow_Name]],Tab_Def_Flows[Flow_Name],Tab_Def_Flows[Flow_E4_Fraction'[%']],"N.A.",0,1)</f>
        <v>0</v>
      </c>
      <c r="AF301" s="2">
        <f>IF(H301="Yes",Tab_Data_Flows[[#This Row],[E4_Fraction'[%']]]*Tab_Data_Flows[[#This Row],[E1_value]],"N.A.")</f>
        <v>0</v>
      </c>
      <c r="AG301" s="2" t="str">
        <f>Tab_Data_Flows[[#This Row],[E1_UoM]]</f>
        <v>Mg</v>
      </c>
      <c r="AH301" s="2">
        <f>_xlfn.XLOOKUP(Tab_Data_Flows[[#This Row],[Flow_Name]],Tab_Def_Flows[Flow_Name],Tab_Def_Flows[Flow_E5_Fraction'[%']],"N.A.",0,1)</f>
        <v>0</v>
      </c>
      <c r="AI301" s="2">
        <f>IF(H301="Yes",Tab_Data_Flows[[#This Row],[E5_Fraction'[%']]]*Tab_Data_Flows[[#This Row],[E1_value]],"N.A.")</f>
        <v>0</v>
      </c>
      <c r="AJ301" s="2" t="str">
        <f>Tab_Data_Flows[[#This Row],[E1_UoM]]</f>
        <v>Mg</v>
      </c>
      <c r="AK301" s="19">
        <f>_xlfn.XLOOKUP(Tab_Data_Flows[[#This Row],[Flow_Name]],Tab_Def_Flows[Flow_Name],Tab_Def_Flows[Flow_E6_Fraction'[%']],"N.A.",0,1)</f>
        <v>0</v>
      </c>
      <c r="AL301" s="2">
        <f>IF(Tab_Data_Flows[[#This Row],[Use_E6]]="Yes",Tab_Data_Flows[[#This Row],[E6_Fraction'[%']]]*Tab_Data_Flows[[#This Row],[E1_value]],"N.A.")</f>
        <v>0</v>
      </c>
      <c r="AM301" s="2" t="str">
        <f>Tab_Data_Flows[[#This Row],[E1_UoM]]</f>
        <v>Mg</v>
      </c>
    </row>
    <row r="302" spans="1:39" x14ac:dyDescent="0.25">
      <c r="A302" s="4">
        <f t="shared" si="9"/>
        <v>301</v>
      </c>
      <c r="B302" s="2" t="str">
        <f>_xlfn.XLOOKUP(C302,Tab_Def_Flows[Flow_Name],Tab_Def_Flows[Flow_ID],,0,)</f>
        <v>F__</v>
      </c>
      <c r="C302" s="18" t="s">
        <v>5</v>
      </c>
      <c r="D302" s="5" t="str">
        <f>_xlfn.XLOOKUP(C302,Tab_Def_Flows[Flow_Name],Tab_Def_Flows[Use_E1],,0,)</f>
        <v>Yes</v>
      </c>
      <c r="E302" s="5" t="str">
        <f>_xlfn.XLOOKUP(C302,Tab_Def_Flows[Flow_Name],Tab_Def_Flows[Use_E2],,0,)</f>
        <v>Yes</v>
      </c>
      <c r="F302" s="5" t="str">
        <f>_xlfn.XLOOKUP(C302,Tab_Def_Flows[Flow_Name],Tab_Def_Flows[Use_E3],,0,)</f>
        <v>Yes</v>
      </c>
      <c r="G302" s="5" t="str">
        <f>_xlfn.XLOOKUP(C302,Tab_Def_Flows[Flow_Name],Tab_Def_Flows[Use_E4],,0,)</f>
        <v>Yes</v>
      </c>
      <c r="H302" s="5" t="str">
        <f>_xlfn.XLOOKUP(C302,Tab_Def_Flows[Flow_Name],Tab_Def_Flows[Use_E5],,0,)</f>
        <v>Yes</v>
      </c>
      <c r="I302" s="5" t="str">
        <f>_xlfn.XLOOKUP(C302,Tab_Def_Flows[Flow_Name],Tab_Def_Flows[Use_E6],,0,)</f>
        <v>Yes</v>
      </c>
      <c r="J302" s="3"/>
      <c r="K302" s="3"/>
      <c r="L302" s="2" t="str">
        <f>'0_Configuration'!$C$41</f>
        <v>Mg</v>
      </c>
      <c r="M302" s="9"/>
      <c r="N302" s="9"/>
      <c r="O302" s="9"/>
      <c r="P302" s="9"/>
      <c r="Q302" s="18" t="s">
        <v>3</v>
      </c>
      <c r="R302" s="10"/>
      <c r="S302" s="3"/>
      <c r="T302" s="9"/>
      <c r="U302" s="9"/>
      <c r="V302" s="2">
        <f>_xlfn.XLOOKUP(Tab_Data_Flows[[#This Row],[Flow_Name]],Tab_Def_Flows[Flow_Name],Tab_Def_Flows[Flow_E1_Fraction'[%']],"N.A.",0,1)</f>
        <v>0</v>
      </c>
      <c r="W302" s="8">
        <f t="shared" si="8"/>
        <v>0</v>
      </c>
      <c r="X302" s="2" t="str">
        <f>Tab_Data_Flows[[#This Row],[UoM_Source]]</f>
        <v>Mg</v>
      </c>
      <c r="Y302" s="19">
        <f>_xlfn.XLOOKUP(Tab_Data_Flows[[#This Row],[Flow_Name]],Tab_Def_Flows[Flow_Name],Tab_Def_Flows[Flow_E2_Fraction'[%']],"N.A.",0,1)</f>
        <v>0</v>
      </c>
      <c r="Z302" s="2">
        <f>IF(D302="Yes",W302*Tab_Data_Flows[[#This Row],[E2_Fraction'[%']]],"N.A.")</f>
        <v>0</v>
      </c>
      <c r="AA302" s="2" t="str">
        <f>Tab_Data_Flows[[#This Row],[E1_UoM]]</f>
        <v>Mg</v>
      </c>
      <c r="AB302" s="19">
        <f>_xlfn.XLOOKUP(Tab_Data_Flows[[#This Row],[Flow_Name]],Tab_Def_Flows[Flow_Name],Tab_Def_Flows[Flow_E3_Fraction'[%']],"N.A.",0,1)</f>
        <v>0</v>
      </c>
      <c r="AC302" s="2">
        <f>IF(E302="Yes",AB302*Tab_Data_Flows[[#This Row],[E1_value]],"N.A.")</f>
        <v>0</v>
      </c>
      <c r="AD302" s="2" t="str">
        <f>Tab_Data_Flows[[#This Row],[E1_UoM]]</f>
        <v>Mg</v>
      </c>
      <c r="AE302" s="19">
        <f>_xlfn.XLOOKUP(Tab_Data_Flows[[#This Row],[Flow_Name]],Tab_Def_Flows[Flow_Name],Tab_Def_Flows[Flow_E4_Fraction'[%']],"N.A.",0,1)</f>
        <v>0</v>
      </c>
      <c r="AF302" s="2">
        <f>IF(H302="Yes",Tab_Data_Flows[[#This Row],[E4_Fraction'[%']]]*Tab_Data_Flows[[#This Row],[E1_value]],"N.A.")</f>
        <v>0</v>
      </c>
      <c r="AG302" s="2" t="str">
        <f>Tab_Data_Flows[[#This Row],[E1_UoM]]</f>
        <v>Mg</v>
      </c>
      <c r="AH302" s="2">
        <f>_xlfn.XLOOKUP(Tab_Data_Flows[[#This Row],[Flow_Name]],Tab_Def_Flows[Flow_Name],Tab_Def_Flows[Flow_E5_Fraction'[%']],"N.A.",0,1)</f>
        <v>0</v>
      </c>
      <c r="AI302" s="2">
        <f>IF(H302="Yes",Tab_Data_Flows[[#This Row],[E5_Fraction'[%']]]*Tab_Data_Flows[[#This Row],[E1_value]],"N.A.")</f>
        <v>0</v>
      </c>
      <c r="AJ302" s="2" t="str">
        <f>Tab_Data_Flows[[#This Row],[E1_UoM]]</f>
        <v>Mg</v>
      </c>
      <c r="AK302" s="19">
        <f>_xlfn.XLOOKUP(Tab_Data_Flows[[#This Row],[Flow_Name]],Tab_Def_Flows[Flow_Name],Tab_Def_Flows[Flow_E6_Fraction'[%']],"N.A.",0,1)</f>
        <v>0</v>
      </c>
      <c r="AL302" s="2">
        <f>IF(Tab_Data_Flows[[#This Row],[Use_E6]]="Yes",Tab_Data_Flows[[#This Row],[E6_Fraction'[%']]]*Tab_Data_Flows[[#This Row],[E1_value]],"N.A.")</f>
        <v>0</v>
      </c>
      <c r="AM302" s="2" t="str">
        <f>Tab_Data_Flows[[#This Row],[E1_UoM]]</f>
        <v>Mg</v>
      </c>
    </row>
    <row r="303" spans="1:39" x14ac:dyDescent="0.25">
      <c r="A303" s="4">
        <f t="shared" si="9"/>
        <v>302</v>
      </c>
      <c r="B303" s="2" t="str">
        <f>_xlfn.XLOOKUP(C303,Tab_Def_Flows[Flow_Name],Tab_Def_Flows[Flow_ID],,0,)</f>
        <v>F__</v>
      </c>
      <c r="C303" s="18" t="s">
        <v>5</v>
      </c>
      <c r="D303" s="5" t="str">
        <f>_xlfn.XLOOKUP(C303,Tab_Def_Flows[Flow_Name],Tab_Def_Flows[Use_E1],,0,)</f>
        <v>Yes</v>
      </c>
      <c r="E303" s="5" t="str">
        <f>_xlfn.XLOOKUP(C303,Tab_Def_Flows[Flow_Name],Tab_Def_Flows[Use_E2],,0,)</f>
        <v>Yes</v>
      </c>
      <c r="F303" s="5" t="str">
        <f>_xlfn.XLOOKUP(C303,Tab_Def_Flows[Flow_Name],Tab_Def_Flows[Use_E3],,0,)</f>
        <v>Yes</v>
      </c>
      <c r="G303" s="5" t="str">
        <f>_xlfn.XLOOKUP(C303,Tab_Def_Flows[Flow_Name],Tab_Def_Flows[Use_E4],,0,)</f>
        <v>Yes</v>
      </c>
      <c r="H303" s="5" t="str">
        <f>_xlfn.XLOOKUP(C303,Tab_Def_Flows[Flow_Name],Tab_Def_Flows[Use_E5],,0,)</f>
        <v>Yes</v>
      </c>
      <c r="I303" s="5" t="str">
        <f>_xlfn.XLOOKUP(C303,Tab_Def_Flows[Flow_Name],Tab_Def_Flows[Use_E6],,0,)</f>
        <v>Yes</v>
      </c>
      <c r="J303" s="3"/>
      <c r="K303" s="3"/>
      <c r="L303" s="2" t="str">
        <f>'0_Configuration'!$C$41</f>
        <v>Mg</v>
      </c>
      <c r="M303" s="9"/>
      <c r="N303" s="9"/>
      <c r="O303" s="9"/>
      <c r="P303" s="9"/>
      <c r="Q303" s="18" t="s">
        <v>3</v>
      </c>
      <c r="R303" s="10"/>
      <c r="S303" s="3"/>
      <c r="T303" s="9"/>
      <c r="U303" s="9"/>
      <c r="V303" s="2">
        <f>_xlfn.XLOOKUP(Tab_Data_Flows[[#This Row],[Flow_Name]],Tab_Def_Flows[Flow_Name],Tab_Def_Flows[Flow_E1_Fraction'[%']],"N.A.",0,1)</f>
        <v>0</v>
      </c>
      <c r="W303" s="8">
        <f t="shared" si="8"/>
        <v>0</v>
      </c>
      <c r="X303" s="2" t="str">
        <f>Tab_Data_Flows[[#This Row],[UoM_Source]]</f>
        <v>Mg</v>
      </c>
      <c r="Y303" s="19">
        <f>_xlfn.XLOOKUP(Tab_Data_Flows[[#This Row],[Flow_Name]],Tab_Def_Flows[Flow_Name],Tab_Def_Flows[Flow_E2_Fraction'[%']],"N.A.",0,1)</f>
        <v>0</v>
      </c>
      <c r="Z303" s="2">
        <f>IF(D303="Yes",W303*Tab_Data_Flows[[#This Row],[E2_Fraction'[%']]],"N.A.")</f>
        <v>0</v>
      </c>
      <c r="AA303" s="2" t="str">
        <f>Tab_Data_Flows[[#This Row],[E1_UoM]]</f>
        <v>Mg</v>
      </c>
      <c r="AB303" s="19">
        <f>_xlfn.XLOOKUP(Tab_Data_Flows[[#This Row],[Flow_Name]],Tab_Def_Flows[Flow_Name],Tab_Def_Flows[Flow_E3_Fraction'[%']],"N.A.",0,1)</f>
        <v>0</v>
      </c>
      <c r="AC303" s="2">
        <f>IF(E303="Yes",AB303*Tab_Data_Flows[[#This Row],[E1_value]],"N.A.")</f>
        <v>0</v>
      </c>
      <c r="AD303" s="2" t="str">
        <f>Tab_Data_Flows[[#This Row],[E1_UoM]]</f>
        <v>Mg</v>
      </c>
      <c r="AE303" s="19">
        <f>_xlfn.XLOOKUP(Tab_Data_Flows[[#This Row],[Flow_Name]],Tab_Def_Flows[Flow_Name],Tab_Def_Flows[Flow_E4_Fraction'[%']],"N.A.",0,1)</f>
        <v>0</v>
      </c>
      <c r="AF303" s="2">
        <f>IF(H303="Yes",Tab_Data_Flows[[#This Row],[E4_Fraction'[%']]]*Tab_Data_Flows[[#This Row],[E1_value]],"N.A.")</f>
        <v>0</v>
      </c>
      <c r="AG303" s="2" t="str">
        <f>Tab_Data_Flows[[#This Row],[E1_UoM]]</f>
        <v>Mg</v>
      </c>
      <c r="AH303" s="2">
        <f>_xlfn.XLOOKUP(Tab_Data_Flows[[#This Row],[Flow_Name]],Tab_Def_Flows[Flow_Name],Tab_Def_Flows[Flow_E5_Fraction'[%']],"N.A.",0,1)</f>
        <v>0</v>
      </c>
      <c r="AI303" s="2">
        <f>IF(H303="Yes",Tab_Data_Flows[[#This Row],[E5_Fraction'[%']]]*Tab_Data_Flows[[#This Row],[E1_value]],"N.A.")</f>
        <v>0</v>
      </c>
      <c r="AJ303" s="2" t="str">
        <f>Tab_Data_Flows[[#This Row],[E1_UoM]]</f>
        <v>Mg</v>
      </c>
      <c r="AK303" s="19">
        <f>_xlfn.XLOOKUP(Tab_Data_Flows[[#This Row],[Flow_Name]],Tab_Def_Flows[Flow_Name],Tab_Def_Flows[Flow_E6_Fraction'[%']],"N.A.",0,1)</f>
        <v>0</v>
      </c>
      <c r="AL303" s="2">
        <f>IF(Tab_Data_Flows[[#This Row],[Use_E6]]="Yes",Tab_Data_Flows[[#This Row],[E6_Fraction'[%']]]*Tab_Data_Flows[[#This Row],[E1_value]],"N.A.")</f>
        <v>0</v>
      </c>
      <c r="AM303" s="2" t="str">
        <f>Tab_Data_Flows[[#This Row],[E1_UoM]]</f>
        <v>Mg</v>
      </c>
    </row>
    <row r="304" spans="1:39" x14ac:dyDescent="0.25">
      <c r="A304" s="4">
        <f t="shared" si="9"/>
        <v>303</v>
      </c>
      <c r="B304" s="2" t="str">
        <f>_xlfn.XLOOKUP(C304,Tab_Def_Flows[Flow_Name],Tab_Def_Flows[Flow_ID],,0,)</f>
        <v>F__</v>
      </c>
      <c r="C304" s="18" t="s">
        <v>5</v>
      </c>
      <c r="D304" s="5" t="str">
        <f>_xlfn.XLOOKUP(C304,Tab_Def_Flows[Flow_Name],Tab_Def_Flows[Use_E1],,0,)</f>
        <v>Yes</v>
      </c>
      <c r="E304" s="5" t="str">
        <f>_xlfn.XLOOKUP(C304,Tab_Def_Flows[Flow_Name],Tab_Def_Flows[Use_E2],,0,)</f>
        <v>Yes</v>
      </c>
      <c r="F304" s="5" t="str">
        <f>_xlfn.XLOOKUP(C304,Tab_Def_Flows[Flow_Name],Tab_Def_Flows[Use_E3],,0,)</f>
        <v>Yes</v>
      </c>
      <c r="G304" s="5" t="str">
        <f>_xlfn.XLOOKUP(C304,Tab_Def_Flows[Flow_Name],Tab_Def_Flows[Use_E4],,0,)</f>
        <v>Yes</v>
      </c>
      <c r="H304" s="5" t="str">
        <f>_xlfn.XLOOKUP(C304,Tab_Def_Flows[Flow_Name],Tab_Def_Flows[Use_E5],,0,)</f>
        <v>Yes</v>
      </c>
      <c r="I304" s="5" t="str">
        <f>_xlfn.XLOOKUP(C304,Tab_Def_Flows[Flow_Name],Tab_Def_Flows[Use_E6],,0,)</f>
        <v>Yes</v>
      </c>
      <c r="J304" s="3"/>
      <c r="K304" s="3"/>
      <c r="L304" s="2" t="str">
        <f>'0_Configuration'!$C$41</f>
        <v>Mg</v>
      </c>
      <c r="M304" s="9"/>
      <c r="N304" s="9"/>
      <c r="O304" s="9"/>
      <c r="P304" s="9"/>
      <c r="Q304" s="18" t="s">
        <v>3</v>
      </c>
      <c r="R304" s="10"/>
      <c r="S304" s="3"/>
      <c r="T304" s="9"/>
      <c r="U304" s="9"/>
      <c r="V304" s="2">
        <f>_xlfn.XLOOKUP(Tab_Data_Flows[[#This Row],[Flow_Name]],Tab_Def_Flows[Flow_Name],Tab_Def_Flows[Flow_E1_Fraction'[%']],"N.A.",0,1)</f>
        <v>0</v>
      </c>
      <c r="W304" s="8">
        <f t="shared" si="8"/>
        <v>0</v>
      </c>
      <c r="X304" s="2" t="str">
        <f>Tab_Data_Flows[[#This Row],[UoM_Source]]</f>
        <v>Mg</v>
      </c>
      <c r="Y304" s="19">
        <f>_xlfn.XLOOKUP(Tab_Data_Flows[[#This Row],[Flow_Name]],Tab_Def_Flows[Flow_Name],Tab_Def_Flows[Flow_E2_Fraction'[%']],"N.A.",0,1)</f>
        <v>0</v>
      </c>
      <c r="Z304" s="2">
        <f>IF(D304="Yes",W304*Tab_Data_Flows[[#This Row],[E2_Fraction'[%']]],"N.A.")</f>
        <v>0</v>
      </c>
      <c r="AA304" s="2" t="str">
        <f>Tab_Data_Flows[[#This Row],[E1_UoM]]</f>
        <v>Mg</v>
      </c>
      <c r="AB304" s="19">
        <f>_xlfn.XLOOKUP(Tab_Data_Flows[[#This Row],[Flow_Name]],Tab_Def_Flows[Flow_Name],Tab_Def_Flows[Flow_E3_Fraction'[%']],"N.A.",0,1)</f>
        <v>0</v>
      </c>
      <c r="AC304" s="2">
        <f>IF(E304="Yes",AB304*Tab_Data_Flows[[#This Row],[E1_value]],"N.A.")</f>
        <v>0</v>
      </c>
      <c r="AD304" s="2" t="str">
        <f>Tab_Data_Flows[[#This Row],[E1_UoM]]</f>
        <v>Mg</v>
      </c>
      <c r="AE304" s="19">
        <f>_xlfn.XLOOKUP(Tab_Data_Flows[[#This Row],[Flow_Name]],Tab_Def_Flows[Flow_Name],Tab_Def_Flows[Flow_E4_Fraction'[%']],"N.A.",0,1)</f>
        <v>0</v>
      </c>
      <c r="AF304" s="2">
        <f>IF(H304="Yes",Tab_Data_Flows[[#This Row],[E4_Fraction'[%']]]*Tab_Data_Flows[[#This Row],[E1_value]],"N.A.")</f>
        <v>0</v>
      </c>
      <c r="AG304" s="2" t="str">
        <f>Tab_Data_Flows[[#This Row],[E1_UoM]]</f>
        <v>Mg</v>
      </c>
      <c r="AH304" s="2">
        <f>_xlfn.XLOOKUP(Tab_Data_Flows[[#This Row],[Flow_Name]],Tab_Def_Flows[Flow_Name],Tab_Def_Flows[Flow_E5_Fraction'[%']],"N.A.",0,1)</f>
        <v>0</v>
      </c>
      <c r="AI304" s="2">
        <f>IF(H304="Yes",Tab_Data_Flows[[#This Row],[E5_Fraction'[%']]]*Tab_Data_Flows[[#This Row],[E1_value]],"N.A.")</f>
        <v>0</v>
      </c>
      <c r="AJ304" s="2" t="str">
        <f>Tab_Data_Flows[[#This Row],[E1_UoM]]</f>
        <v>Mg</v>
      </c>
      <c r="AK304" s="19">
        <f>_xlfn.XLOOKUP(Tab_Data_Flows[[#This Row],[Flow_Name]],Tab_Def_Flows[Flow_Name],Tab_Def_Flows[Flow_E6_Fraction'[%']],"N.A.",0,1)</f>
        <v>0</v>
      </c>
      <c r="AL304" s="2">
        <f>IF(Tab_Data_Flows[[#This Row],[Use_E6]]="Yes",Tab_Data_Flows[[#This Row],[E6_Fraction'[%']]]*Tab_Data_Flows[[#This Row],[E1_value]],"N.A.")</f>
        <v>0</v>
      </c>
      <c r="AM304" s="2" t="str">
        <f>Tab_Data_Flows[[#This Row],[E1_UoM]]</f>
        <v>Mg</v>
      </c>
    </row>
    <row r="305" spans="1:39" x14ac:dyDescent="0.25">
      <c r="A305" s="4">
        <f t="shared" si="9"/>
        <v>304</v>
      </c>
      <c r="B305" s="2" t="str">
        <f>_xlfn.XLOOKUP(C305,Tab_Def_Flows[Flow_Name],Tab_Def_Flows[Flow_ID],,0,)</f>
        <v>F__</v>
      </c>
      <c r="C305" s="18" t="s">
        <v>5</v>
      </c>
      <c r="D305" s="5" t="str">
        <f>_xlfn.XLOOKUP(C305,Tab_Def_Flows[Flow_Name],Tab_Def_Flows[Use_E1],,0,)</f>
        <v>Yes</v>
      </c>
      <c r="E305" s="5" t="str">
        <f>_xlfn.XLOOKUP(C305,Tab_Def_Flows[Flow_Name],Tab_Def_Flows[Use_E2],,0,)</f>
        <v>Yes</v>
      </c>
      <c r="F305" s="5" t="str">
        <f>_xlfn.XLOOKUP(C305,Tab_Def_Flows[Flow_Name],Tab_Def_Flows[Use_E3],,0,)</f>
        <v>Yes</v>
      </c>
      <c r="G305" s="5" t="str">
        <f>_xlfn.XLOOKUP(C305,Tab_Def_Flows[Flow_Name],Tab_Def_Flows[Use_E4],,0,)</f>
        <v>Yes</v>
      </c>
      <c r="H305" s="5" t="str">
        <f>_xlfn.XLOOKUP(C305,Tab_Def_Flows[Flow_Name],Tab_Def_Flows[Use_E5],,0,)</f>
        <v>Yes</v>
      </c>
      <c r="I305" s="5" t="str">
        <f>_xlfn.XLOOKUP(C305,Tab_Def_Flows[Flow_Name],Tab_Def_Flows[Use_E6],,0,)</f>
        <v>Yes</v>
      </c>
      <c r="J305" s="3"/>
      <c r="K305" s="3"/>
      <c r="L305" s="2" t="str">
        <f>'0_Configuration'!$C$41</f>
        <v>Mg</v>
      </c>
      <c r="M305" s="9"/>
      <c r="N305" s="9"/>
      <c r="O305" s="9"/>
      <c r="P305" s="9"/>
      <c r="Q305" s="18" t="s">
        <v>3</v>
      </c>
      <c r="R305" s="10"/>
      <c r="S305" s="3"/>
      <c r="T305" s="9"/>
      <c r="U305" s="9"/>
      <c r="V305" s="2">
        <f>_xlfn.XLOOKUP(Tab_Data_Flows[[#This Row],[Flow_Name]],Tab_Def_Flows[Flow_Name],Tab_Def_Flows[Flow_E1_Fraction'[%']],"N.A.",0,1)</f>
        <v>0</v>
      </c>
      <c r="W305" s="8">
        <f t="shared" si="8"/>
        <v>0</v>
      </c>
      <c r="X305" s="2" t="str">
        <f>Tab_Data_Flows[[#This Row],[UoM_Source]]</f>
        <v>Mg</v>
      </c>
      <c r="Y305" s="19">
        <f>_xlfn.XLOOKUP(Tab_Data_Flows[[#This Row],[Flow_Name]],Tab_Def_Flows[Flow_Name],Tab_Def_Flows[Flow_E2_Fraction'[%']],"N.A.",0,1)</f>
        <v>0</v>
      </c>
      <c r="Z305" s="2">
        <f>IF(D305="Yes",W305*Tab_Data_Flows[[#This Row],[E2_Fraction'[%']]],"N.A.")</f>
        <v>0</v>
      </c>
      <c r="AA305" s="2" t="str">
        <f>Tab_Data_Flows[[#This Row],[E1_UoM]]</f>
        <v>Mg</v>
      </c>
      <c r="AB305" s="19">
        <f>_xlfn.XLOOKUP(Tab_Data_Flows[[#This Row],[Flow_Name]],Tab_Def_Flows[Flow_Name],Tab_Def_Flows[Flow_E3_Fraction'[%']],"N.A.",0,1)</f>
        <v>0</v>
      </c>
      <c r="AC305" s="2">
        <f>IF(E305="Yes",AB305*Tab_Data_Flows[[#This Row],[E1_value]],"N.A.")</f>
        <v>0</v>
      </c>
      <c r="AD305" s="2" t="str">
        <f>Tab_Data_Flows[[#This Row],[E1_UoM]]</f>
        <v>Mg</v>
      </c>
      <c r="AE305" s="19">
        <f>_xlfn.XLOOKUP(Tab_Data_Flows[[#This Row],[Flow_Name]],Tab_Def_Flows[Flow_Name],Tab_Def_Flows[Flow_E4_Fraction'[%']],"N.A.",0,1)</f>
        <v>0</v>
      </c>
      <c r="AF305" s="2">
        <f>IF(H305="Yes",Tab_Data_Flows[[#This Row],[E4_Fraction'[%']]]*Tab_Data_Flows[[#This Row],[E1_value]],"N.A.")</f>
        <v>0</v>
      </c>
      <c r="AG305" s="2" t="str">
        <f>Tab_Data_Flows[[#This Row],[E1_UoM]]</f>
        <v>Mg</v>
      </c>
      <c r="AH305" s="2">
        <f>_xlfn.XLOOKUP(Tab_Data_Flows[[#This Row],[Flow_Name]],Tab_Def_Flows[Flow_Name],Tab_Def_Flows[Flow_E5_Fraction'[%']],"N.A.",0,1)</f>
        <v>0</v>
      </c>
      <c r="AI305" s="2">
        <f>IF(H305="Yes",Tab_Data_Flows[[#This Row],[E5_Fraction'[%']]]*Tab_Data_Flows[[#This Row],[E1_value]],"N.A.")</f>
        <v>0</v>
      </c>
      <c r="AJ305" s="2" t="str">
        <f>Tab_Data_Flows[[#This Row],[E1_UoM]]</f>
        <v>Mg</v>
      </c>
      <c r="AK305" s="19">
        <f>_xlfn.XLOOKUP(Tab_Data_Flows[[#This Row],[Flow_Name]],Tab_Def_Flows[Flow_Name],Tab_Def_Flows[Flow_E6_Fraction'[%']],"N.A.",0,1)</f>
        <v>0</v>
      </c>
      <c r="AL305" s="2">
        <f>IF(Tab_Data_Flows[[#This Row],[Use_E6]]="Yes",Tab_Data_Flows[[#This Row],[E6_Fraction'[%']]]*Tab_Data_Flows[[#This Row],[E1_value]],"N.A.")</f>
        <v>0</v>
      </c>
      <c r="AM305" s="2" t="str">
        <f>Tab_Data_Flows[[#This Row],[E1_UoM]]</f>
        <v>Mg</v>
      </c>
    </row>
    <row r="306" spans="1:39" x14ac:dyDescent="0.25">
      <c r="A306" s="4">
        <f t="shared" si="9"/>
        <v>305</v>
      </c>
      <c r="B306" s="2" t="str">
        <f>_xlfn.XLOOKUP(C306,Tab_Def_Flows[Flow_Name],Tab_Def_Flows[Flow_ID],,0,)</f>
        <v>F__</v>
      </c>
      <c r="C306" s="18" t="s">
        <v>5</v>
      </c>
      <c r="D306" s="5" t="str">
        <f>_xlfn.XLOOKUP(C306,Tab_Def_Flows[Flow_Name],Tab_Def_Flows[Use_E1],,0,)</f>
        <v>Yes</v>
      </c>
      <c r="E306" s="5" t="str">
        <f>_xlfn.XLOOKUP(C306,Tab_Def_Flows[Flow_Name],Tab_Def_Flows[Use_E2],,0,)</f>
        <v>Yes</v>
      </c>
      <c r="F306" s="5" t="str">
        <f>_xlfn.XLOOKUP(C306,Tab_Def_Flows[Flow_Name],Tab_Def_Flows[Use_E3],,0,)</f>
        <v>Yes</v>
      </c>
      <c r="G306" s="5" t="str">
        <f>_xlfn.XLOOKUP(C306,Tab_Def_Flows[Flow_Name],Tab_Def_Flows[Use_E4],,0,)</f>
        <v>Yes</v>
      </c>
      <c r="H306" s="5" t="str">
        <f>_xlfn.XLOOKUP(C306,Tab_Def_Flows[Flow_Name],Tab_Def_Flows[Use_E5],,0,)</f>
        <v>Yes</v>
      </c>
      <c r="I306" s="5" t="str">
        <f>_xlfn.XLOOKUP(C306,Tab_Def_Flows[Flow_Name],Tab_Def_Flows[Use_E6],,0,)</f>
        <v>Yes</v>
      </c>
      <c r="J306" s="3"/>
      <c r="K306" s="3"/>
      <c r="L306" s="2" t="str">
        <f>'0_Configuration'!$C$41</f>
        <v>Mg</v>
      </c>
      <c r="M306" s="9"/>
      <c r="N306" s="9"/>
      <c r="O306" s="9"/>
      <c r="P306" s="9"/>
      <c r="Q306" s="18" t="s">
        <v>3</v>
      </c>
      <c r="R306" s="10"/>
      <c r="S306" s="3"/>
      <c r="T306" s="9"/>
      <c r="U306" s="9"/>
      <c r="V306" s="2">
        <f>_xlfn.XLOOKUP(Tab_Data_Flows[[#This Row],[Flow_Name]],Tab_Def_Flows[Flow_Name],Tab_Def_Flows[Flow_E1_Fraction'[%']],"N.A.",0,1)</f>
        <v>0</v>
      </c>
      <c r="W306" s="8">
        <f t="shared" si="8"/>
        <v>0</v>
      </c>
      <c r="X306" s="2" t="str">
        <f>Tab_Data_Flows[[#This Row],[UoM_Source]]</f>
        <v>Mg</v>
      </c>
      <c r="Y306" s="19">
        <f>_xlfn.XLOOKUP(Tab_Data_Flows[[#This Row],[Flow_Name]],Tab_Def_Flows[Flow_Name],Tab_Def_Flows[Flow_E2_Fraction'[%']],"N.A.",0,1)</f>
        <v>0</v>
      </c>
      <c r="Z306" s="2">
        <f>IF(D306="Yes",W306*Tab_Data_Flows[[#This Row],[E2_Fraction'[%']]],"N.A.")</f>
        <v>0</v>
      </c>
      <c r="AA306" s="2" t="str">
        <f>Tab_Data_Flows[[#This Row],[E1_UoM]]</f>
        <v>Mg</v>
      </c>
      <c r="AB306" s="19">
        <f>_xlfn.XLOOKUP(Tab_Data_Flows[[#This Row],[Flow_Name]],Tab_Def_Flows[Flow_Name],Tab_Def_Flows[Flow_E3_Fraction'[%']],"N.A.",0,1)</f>
        <v>0</v>
      </c>
      <c r="AC306" s="2">
        <f>IF(E306="Yes",AB306*Tab_Data_Flows[[#This Row],[E1_value]],"N.A.")</f>
        <v>0</v>
      </c>
      <c r="AD306" s="2" t="str">
        <f>Tab_Data_Flows[[#This Row],[E1_UoM]]</f>
        <v>Mg</v>
      </c>
      <c r="AE306" s="19">
        <f>_xlfn.XLOOKUP(Tab_Data_Flows[[#This Row],[Flow_Name]],Tab_Def_Flows[Flow_Name],Tab_Def_Flows[Flow_E4_Fraction'[%']],"N.A.",0,1)</f>
        <v>0</v>
      </c>
      <c r="AF306" s="2">
        <f>IF(H306="Yes",Tab_Data_Flows[[#This Row],[E4_Fraction'[%']]]*Tab_Data_Flows[[#This Row],[E1_value]],"N.A.")</f>
        <v>0</v>
      </c>
      <c r="AG306" s="2" t="str">
        <f>Tab_Data_Flows[[#This Row],[E1_UoM]]</f>
        <v>Mg</v>
      </c>
      <c r="AH306" s="2">
        <f>_xlfn.XLOOKUP(Tab_Data_Flows[[#This Row],[Flow_Name]],Tab_Def_Flows[Flow_Name],Tab_Def_Flows[Flow_E5_Fraction'[%']],"N.A.",0,1)</f>
        <v>0</v>
      </c>
      <c r="AI306" s="2">
        <f>IF(H306="Yes",Tab_Data_Flows[[#This Row],[E5_Fraction'[%']]]*Tab_Data_Flows[[#This Row],[E1_value]],"N.A.")</f>
        <v>0</v>
      </c>
      <c r="AJ306" s="2" t="str">
        <f>Tab_Data_Flows[[#This Row],[E1_UoM]]</f>
        <v>Mg</v>
      </c>
      <c r="AK306" s="19">
        <f>_xlfn.XLOOKUP(Tab_Data_Flows[[#This Row],[Flow_Name]],Tab_Def_Flows[Flow_Name],Tab_Def_Flows[Flow_E6_Fraction'[%']],"N.A.",0,1)</f>
        <v>0</v>
      </c>
      <c r="AL306" s="2">
        <f>IF(Tab_Data_Flows[[#This Row],[Use_E6]]="Yes",Tab_Data_Flows[[#This Row],[E6_Fraction'[%']]]*Tab_Data_Flows[[#This Row],[E1_value]],"N.A.")</f>
        <v>0</v>
      </c>
      <c r="AM306" s="2" t="str">
        <f>Tab_Data_Flows[[#This Row],[E1_UoM]]</f>
        <v>Mg</v>
      </c>
    </row>
    <row r="307" spans="1:39" x14ac:dyDescent="0.25">
      <c r="A307" s="4">
        <f t="shared" si="9"/>
        <v>306</v>
      </c>
      <c r="B307" s="2" t="str">
        <f>_xlfn.XLOOKUP(C307,Tab_Def_Flows[Flow_Name],Tab_Def_Flows[Flow_ID],,0,)</f>
        <v>F__</v>
      </c>
      <c r="C307" s="18" t="s">
        <v>5</v>
      </c>
      <c r="D307" s="5" t="str">
        <f>_xlfn.XLOOKUP(C307,Tab_Def_Flows[Flow_Name],Tab_Def_Flows[Use_E1],,0,)</f>
        <v>Yes</v>
      </c>
      <c r="E307" s="5" t="str">
        <f>_xlfn.XLOOKUP(C307,Tab_Def_Flows[Flow_Name],Tab_Def_Flows[Use_E2],,0,)</f>
        <v>Yes</v>
      </c>
      <c r="F307" s="5" t="str">
        <f>_xlfn.XLOOKUP(C307,Tab_Def_Flows[Flow_Name],Tab_Def_Flows[Use_E3],,0,)</f>
        <v>Yes</v>
      </c>
      <c r="G307" s="5" t="str">
        <f>_xlfn.XLOOKUP(C307,Tab_Def_Flows[Flow_Name],Tab_Def_Flows[Use_E4],,0,)</f>
        <v>Yes</v>
      </c>
      <c r="H307" s="5" t="str">
        <f>_xlfn.XLOOKUP(C307,Tab_Def_Flows[Flow_Name],Tab_Def_Flows[Use_E5],,0,)</f>
        <v>Yes</v>
      </c>
      <c r="I307" s="5" t="str">
        <f>_xlfn.XLOOKUP(C307,Tab_Def_Flows[Flow_Name],Tab_Def_Flows[Use_E6],,0,)</f>
        <v>Yes</v>
      </c>
      <c r="J307" s="3"/>
      <c r="K307" s="3"/>
      <c r="L307" s="2" t="str">
        <f>'0_Configuration'!$C$41</f>
        <v>Mg</v>
      </c>
      <c r="M307" s="9"/>
      <c r="N307" s="9"/>
      <c r="O307" s="9"/>
      <c r="P307" s="9"/>
      <c r="Q307" s="18" t="s">
        <v>3</v>
      </c>
      <c r="R307" s="10"/>
      <c r="S307" s="3"/>
      <c r="T307" s="9"/>
      <c r="U307" s="9"/>
      <c r="V307" s="2">
        <f>_xlfn.XLOOKUP(Tab_Data_Flows[[#This Row],[Flow_Name]],Tab_Def_Flows[Flow_Name],Tab_Def_Flows[Flow_E1_Fraction'[%']],"N.A.",0,1)</f>
        <v>0</v>
      </c>
      <c r="W307" s="8">
        <f t="shared" si="8"/>
        <v>0</v>
      </c>
      <c r="X307" s="2" t="str">
        <f>Tab_Data_Flows[[#This Row],[UoM_Source]]</f>
        <v>Mg</v>
      </c>
      <c r="Y307" s="19">
        <f>_xlfn.XLOOKUP(Tab_Data_Flows[[#This Row],[Flow_Name]],Tab_Def_Flows[Flow_Name],Tab_Def_Flows[Flow_E2_Fraction'[%']],"N.A.",0,1)</f>
        <v>0</v>
      </c>
      <c r="Z307" s="2">
        <f>IF(D307="Yes",W307*Tab_Data_Flows[[#This Row],[E2_Fraction'[%']]],"N.A.")</f>
        <v>0</v>
      </c>
      <c r="AA307" s="2" t="str">
        <f>Tab_Data_Flows[[#This Row],[E1_UoM]]</f>
        <v>Mg</v>
      </c>
      <c r="AB307" s="19">
        <f>_xlfn.XLOOKUP(Tab_Data_Flows[[#This Row],[Flow_Name]],Tab_Def_Flows[Flow_Name],Tab_Def_Flows[Flow_E3_Fraction'[%']],"N.A.",0,1)</f>
        <v>0</v>
      </c>
      <c r="AC307" s="2">
        <f>IF(E307="Yes",AB307*Tab_Data_Flows[[#This Row],[E1_value]],"N.A.")</f>
        <v>0</v>
      </c>
      <c r="AD307" s="2" t="str">
        <f>Tab_Data_Flows[[#This Row],[E1_UoM]]</f>
        <v>Mg</v>
      </c>
      <c r="AE307" s="19">
        <f>_xlfn.XLOOKUP(Tab_Data_Flows[[#This Row],[Flow_Name]],Tab_Def_Flows[Flow_Name],Tab_Def_Flows[Flow_E4_Fraction'[%']],"N.A.",0,1)</f>
        <v>0</v>
      </c>
      <c r="AF307" s="2">
        <f>IF(H307="Yes",Tab_Data_Flows[[#This Row],[E4_Fraction'[%']]]*Tab_Data_Flows[[#This Row],[E1_value]],"N.A.")</f>
        <v>0</v>
      </c>
      <c r="AG307" s="2" t="str">
        <f>Tab_Data_Flows[[#This Row],[E1_UoM]]</f>
        <v>Mg</v>
      </c>
      <c r="AH307" s="2">
        <f>_xlfn.XLOOKUP(Tab_Data_Flows[[#This Row],[Flow_Name]],Tab_Def_Flows[Flow_Name],Tab_Def_Flows[Flow_E5_Fraction'[%']],"N.A.",0,1)</f>
        <v>0</v>
      </c>
      <c r="AI307" s="2">
        <f>IF(H307="Yes",Tab_Data_Flows[[#This Row],[E5_Fraction'[%']]]*Tab_Data_Flows[[#This Row],[E1_value]],"N.A.")</f>
        <v>0</v>
      </c>
      <c r="AJ307" s="2" t="str">
        <f>Tab_Data_Flows[[#This Row],[E1_UoM]]</f>
        <v>Mg</v>
      </c>
      <c r="AK307" s="19">
        <f>_xlfn.XLOOKUP(Tab_Data_Flows[[#This Row],[Flow_Name]],Tab_Def_Flows[Flow_Name],Tab_Def_Flows[Flow_E6_Fraction'[%']],"N.A.",0,1)</f>
        <v>0</v>
      </c>
      <c r="AL307" s="2">
        <f>IF(Tab_Data_Flows[[#This Row],[Use_E6]]="Yes",Tab_Data_Flows[[#This Row],[E6_Fraction'[%']]]*Tab_Data_Flows[[#This Row],[E1_value]],"N.A.")</f>
        <v>0</v>
      </c>
      <c r="AM307" s="2" t="str">
        <f>Tab_Data_Flows[[#This Row],[E1_UoM]]</f>
        <v>Mg</v>
      </c>
    </row>
    <row r="308" spans="1:39" x14ac:dyDescent="0.25">
      <c r="A308" s="4">
        <f t="shared" si="9"/>
        <v>307</v>
      </c>
      <c r="B308" s="2" t="str">
        <f>_xlfn.XLOOKUP(C308,Tab_Def_Flows[Flow_Name],Tab_Def_Flows[Flow_ID],,0,)</f>
        <v>F__</v>
      </c>
      <c r="C308" s="18" t="s">
        <v>5</v>
      </c>
      <c r="D308" s="5" t="str">
        <f>_xlfn.XLOOKUP(C308,Tab_Def_Flows[Flow_Name],Tab_Def_Flows[Use_E1],,0,)</f>
        <v>Yes</v>
      </c>
      <c r="E308" s="5" t="str">
        <f>_xlfn.XLOOKUP(C308,Tab_Def_Flows[Flow_Name],Tab_Def_Flows[Use_E2],,0,)</f>
        <v>Yes</v>
      </c>
      <c r="F308" s="5" t="str">
        <f>_xlfn.XLOOKUP(C308,Tab_Def_Flows[Flow_Name],Tab_Def_Flows[Use_E3],,0,)</f>
        <v>Yes</v>
      </c>
      <c r="G308" s="5" t="str">
        <f>_xlfn.XLOOKUP(C308,Tab_Def_Flows[Flow_Name],Tab_Def_Flows[Use_E4],,0,)</f>
        <v>Yes</v>
      </c>
      <c r="H308" s="5" t="str">
        <f>_xlfn.XLOOKUP(C308,Tab_Def_Flows[Flow_Name],Tab_Def_Flows[Use_E5],,0,)</f>
        <v>Yes</v>
      </c>
      <c r="I308" s="5" t="str">
        <f>_xlfn.XLOOKUP(C308,Tab_Def_Flows[Flow_Name],Tab_Def_Flows[Use_E6],,0,)</f>
        <v>Yes</v>
      </c>
      <c r="J308" s="3"/>
      <c r="K308" s="3"/>
      <c r="L308" s="2" t="str">
        <f>'0_Configuration'!$C$41</f>
        <v>Mg</v>
      </c>
      <c r="M308" s="9"/>
      <c r="N308" s="9"/>
      <c r="O308" s="9"/>
      <c r="P308" s="9"/>
      <c r="Q308" s="18" t="s">
        <v>3</v>
      </c>
      <c r="R308" s="10"/>
      <c r="S308" s="3"/>
      <c r="T308" s="9"/>
      <c r="U308" s="9"/>
      <c r="V308" s="2">
        <f>_xlfn.XLOOKUP(Tab_Data_Flows[[#This Row],[Flow_Name]],Tab_Def_Flows[Flow_Name],Tab_Def_Flows[Flow_E1_Fraction'[%']],"N.A.",0,1)</f>
        <v>0</v>
      </c>
      <c r="W308" s="8">
        <f t="shared" si="8"/>
        <v>0</v>
      </c>
      <c r="X308" s="2" t="str">
        <f>Tab_Data_Flows[[#This Row],[UoM_Source]]</f>
        <v>Mg</v>
      </c>
      <c r="Y308" s="19">
        <f>_xlfn.XLOOKUP(Tab_Data_Flows[[#This Row],[Flow_Name]],Tab_Def_Flows[Flow_Name],Tab_Def_Flows[Flow_E2_Fraction'[%']],"N.A.",0,1)</f>
        <v>0</v>
      </c>
      <c r="Z308" s="2">
        <f>IF(D308="Yes",W308*Tab_Data_Flows[[#This Row],[E2_Fraction'[%']]],"N.A.")</f>
        <v>0</v>
      </c>
      <c r="AA308" s="2" t="str">
        <f>Tab_Data_Flows[[#This Row],[E1_UoM]]</f>
        <v>Mg</v>
      </c>
      <c r="AB308" s="19">
        <f>_xlfn.XLOOKUP(Tab_Data_Flows[[#This Row],[Flow_Name]],Tab_Def_Flows[Flow_Name],Tab_Def_Flows[Flow_E3_Fraction'[%']],"N.A.",0,1)</f>
        <v>0</v>
      </c>
      <c r="AC308" s="2">
        <f>IF(E308="Yes",AB308*Tab_Data_Flows[[#This Row],[E1_value]],"N.A.")</f>
        <v>0</v>
      </c>
      <c r="AD308" s="2" t="str">
        <f>Tab_Data_Flows[[#This Row],[E1_UoM]]</f>
        <v>Mg</v>
      </c>
      <c r="AE308" s="19">
        <f>_xlfn.XLOOKUP(Tab_Data_Flows[[#This Row],[Flow_Name]],Tab_Def_Flows[Flow_Name],Tab_Def_Flows[Flow_E4_Fraction'[%']],"N.A.",0,1)</f>
        <v>0</v>
      </c>
      <c r="AF308" s="2">
        <f>IF(H308="Yes",Tab_Data_Flows[[#This Row],[E4_Fraction'[%']]]*Tab_Data_Flows[[#This Row],[E1_value]],"N.A.")</f>
        <v>0</v>
      </c>
      <c r="AG308" s="2" t="str">
        <f>Tab_Data_Flows[[#This Row],[E1_UoM]]</f>
        <v>Mg</v>
      </c>
      <c r="AH308" s="2">
        <f>_xlfn.XLOOKUP(Tab_Data_Flows[[#This Row],[Flow_Name]],Tab_Def_Flows[Flow_Name],Tab_Def_Flows[Flow_E5_Fraction'[%']],"N.A.",0,1)</f>
        <v>0</v>
      </c>
      <c r="AI308" s="2">
        <f>IF(H308="Yes",Tab_Data_Flows[[#This Row],[E5_Fraction'[%']]]*Tab_Data_Flows[[#This Row],[E1_value]],"N.A.")</f>
        <v>0</v>
      </c>
      <c r="AJ308" s="2" t="str">
        <f>Tab_Data_Flows[[#This Row],[E1_UoM]]</f>
        <v>Mg</v>
      </c>
      <c r="AK308" s="19">
        <f>_xlfn.XLOOKUP(Tab_Data_Flows[[#This Row],[Flow_Name]],Tab_Def_Flows[Flow_Name],Tab_Def_Flows[Flow_E6_Fraction'[%']],"N.A.",0,1)</f>
        <v>0</v>
      </c>
      <c r="AL308" s="2">
        <f>IF(Tab_Data_Flows[[#This Row],[Use_E6]]="Yes",Tab_Data_Flows[[#This Row],[E6_Fraction'[%']]]*Tab_Data_Flows[[#This Row],[E1_value]],"N.A.")</f>
        <v>0</v>
      </c>
      <c r="AM308" s="2" t="str">
        <f>Tab_Data_Flows[[#This Row],[E1_UoM]]</f>
        <v>Mg</v>
      </c>
    </row>
    <row r="309" spans="1:39" x14ac:dyDescent="0.25">
      <c r="A309" s="4">
        <f t="shared" si="9"/>
        <v>308</v>
      </c>
      <c r="B309" s="2" t="str">
        <f>_xlfn.XLOOKUP(C309,Tab_Def_Flows[Flow_Name],Tab_Def_Flows[Flow_ID],,0,)</f>
        <v>F__</v>
      </c>
      <c r="C309" s="18" t="s">
        <v>5</v>
      </c>
      <c r="D309" s="5" t="str">
        <f>_xlfn.XLOOKUP(C309,Tab_Def_Flows[Flow_Name],Tab_Def_Flows[Use_E1],,0,)</f>
        <v>Yes</v>
      </c>
      <c r="E309" s="5" t="str">
        <f>_xlfn.XLOOKUP(C309,Tab_Def_Flows[Flow_Name],Tab_Def_Flows[Use_E2],,0,)</f>
        <v>Yes</v>
      </c>
      <c r="F309" s="5" t="str">
        <f>_xlfn.XLOOKUP(C309,Tab_Def_Flows[Flow_Name],Tab_Def_Flows[Use_E3],,0,)</f>
        <v>Yes</v>
      </c>
      <c r="G309" s="5" t="str">
        <f>_xlfn.XLOOKUP(C309,Tab_Def_Flows[Flow_Name],Tab_Def_Flows[Use_E4],,0,)</f>
        <v>Yes</v>
      </c>
      <c r="H309" s="5" t="str">
        <f>_xlfn.XLOOKUP(C309,Tab_Def_Flows[Flow_Name],Tab_Def_Flows[Use_E5],,0,)</f>
        <v>Yes</v>
      </c>
      <c r="I309" s="5" t="str">
        <f>_xlfn.XLOOKUP(C309,Tab_Def_Flows[Flow_Name],Tab_Def_Flows[Use_E6],,0,)</f>
        <v>Yes</v>
      </c>
      <c r="J309" s="3"/>
      <c r="K309" s="3"/>
      <c r="L309" s="2" t="str">
        <f>'0_Configuration'!$C$41</f>
        <v>Mg</v>
      </c>
      <c r="M309" s="9"/>
      <c r="N309" s="9"/>
      <c r="O309" s="9"/>
      <c r="P309" s="9"/>
      <c r="Q309" s="18" t="s">
        <v>3</v>
      </c>
      <c r="R309" s="10"/>
      <c r="S309" s="3"/>
      <c r="T309" s="9"/>
      <c r="U309" s="9"/>
      <c r="V309" s="2">
        <f>_xlfn.XLOOKUP(Tab_Data_Flows[[#This Row],[Flow_Name]],Tab_Def_Flows[Flow_Name],Tab_Def_Flows[Flow_E1_Fraction'[%']],"N.A.",0,1)</f>
        <v>0</v>
      </c>
      <c r="W309" s="8">
        <f t="shared" si="8"/>
        <v>0</v>
      </c>
      <c r="X309" s="2" t="str">
        <f>Tab_Data_Flows[[#This Row],[UoM_Source]]</f>
        <v>Mg</v>
      </c>
      <c r="Y309" s="19">
        <f>_xlfn.XLOOKUP(Tab_Data_Flows[[#This Row],[Flow_Name]],Tab_Def_Flows[Flow_Name],Tab_Def_Flows[Flow_E2_Fraction'[%']],"N.A.",0,1)</f>
        <v>0</v>
      </c>
      <c r="Z309" s="2">
        <f>IF(D309="Yes",W309*Tab_Data_Flows[[#This Row],[E2_Fraction'[%']]],"N.A.")</f>
        <v>0</v>
      </c>
      <c r="AA309" s="2" t="str">
        <f>Tab_Data_Flows[[#This Row],[E1_UoM]]</f>
        <v>Mg</v>
      </c>
      <c r="AB309" s="19">
        <f>_xlfn.XLOOKUP(Tab_Data_Flows[[#This Row],[Flow_Name]],Tab_Def_Flows[Flow_Name],Tab_Def_Flows[Flow_E3_Fraction'[%']],"N.A.",0,1)</f>
        <v>0</v>
      </c>
      <c r="AC309" s="2">
        <f>IF(E309="Yes",AB309*Tab_Data_Flows[[#This Row],[E1_value]],"N.A.")</f>
        <v>0</v>
      </c>
      <c r="AD309" s="2" t="str">
        <f>Tab_Data_Flows[[#This Row],[E1_UoM]]</f>
        <v>Mg</v>
      </c>
      <c r="AE309" s="19">
        <f>_xlfn.XLOOKUP(Tab_Data_Flows[[#This Row],[Flow_Name]],Tab_Def_Flows[Flow_Name],Tab_Def_Flows[Flow_E4_Fraction'[%']],"N.A.",0,1)</f>
        <v>0</v>
      </c>
      <c r="AF309" s="2">
        <f>IF(H309="Yes",Tab_Data_Flows[[#This Row],[E4_Fraction'[%']]]*Tab_Data_Flows[[#This Row],[E1_value]],"N.A.")</f>
        <v>0</v>
      </c>
      <c r="AG309" s="2" t="str">
        <f>Tab_Data_Flows[[#This Row],[E1_UoM]]</f>
        <v>Mg</v>
      </c>
      <c r="AH309" s="2">
        <f>_xlfn.XLOOKUP(Tab_Data_Flows[[#This Row],[Flow_Name]],Tab_Def_Flows[Flow_Name],Tab_Def_Flows[Flow_E5_Fraction'[%']],"N.A.",0,1)</f>
        <v>0</v>
      </c>
      <c r="AI309" s="2">
        <f>IF(H309="Yes",Tab_Data_Flows[[#This Row],[E5_Fraction'[%']]]*Tab_Data_Flows[[#This Row],[E1_value]],"N.A.")</f>
        <v>0</v>
      </c>
      <c r="AJ309" s="2" t="str">
        <f>Tab_Data_Flows[[#This Row],[E1_UoM]]</f>
        <v>Mg</v>
      </c>
      <c r="AK309" s="19">
        <f>_xlfn.XLOOKUP(Tab_Data_Flows[[#This Row],[Flow_Name]],Tab_Def_Flows[Flow_Name],Tab_Def_Flows[Flow_E6_Fraction'[%']],"N.A.",0,1)</f>
        <v>0</v>
      </c>
      <c r="AL309" s="2">
        <f>IF(Tab_Data_Flows[[#This Row],[Use_E6]]="Yes",Tab_Data_Flows[[#This Row],[E6_Fraction'[%']]]*Tab_Data_Flows[[#This Row],[E1_value]],"N.A.")</f>
        <v>0</v>
      </c>
      <c r="AM309" s="2" t="str">
        <f>Tab_Data_Flows[[#This Row],[E1_UoM]]</f>
        <v>Mg</v>
      </c>
    </row>
    <row r="310" spans="1:39" x14ac:dyDescent="0.25">
      <c r="A310" s="4">
        <f t="shared" si="9"/>
        <v>309</v>
      </c>
      <c r="B310" s="2" t="str">
        <f>_xlfn.XLOOKUP(C310,Tab_Def_Flows[Flow_Name],Tab_Def_Flows[Flow_ID],,0,)</f>
        <v>F__</v>
      </c>
      <c r="C310" s="18" t="s">
        <v>5</v>
      </c>
      <c r="D310" s="5" t="str">
        <f>_xlfn.XLOOKUP(C310,Tab_Def_Flows[Flow_Name],Tab_Def_Flows[Use_E1],,0,)</f>
        <v>Yes</v>
      </c>
      <c r="E310" s="5" t="str">
        <f>_xlfn.XLOOKUP(C310,Tab_Def_Flows[Flow_Name],Tab_Def_Flows[Use_E2],,0,)</f>
        <v>Yes</v>
      </c>
      <c r="F310" s="5" t="str">
        <f>_xlfn.XLOOKUP(C310,Tab_Def_Flows[Flow_Name],Tab_Def_Flows[Use_E3],,0,)</f>
        <v>Yes</v>
      </c>
      <c r="G310" s="5" t="str">
        <f>_xlfn.XLOOKUP(C310,Tab_Def_Flows[Flow_Name],Tab_Def_Flows[Use_E4],,0,)</f>
        <v>Yes</v>
      </c>
      <c r="H310" s="5" t="str">
        <f>_xlfn.XLOOKUP(C310,Tab_Def_Flows[Flow_Name],Tab_Def_Flows[Use_E5],,0,)</f>
        <v>Yes</v>
      </c>
      <c r="I310" s="5" t="str">
        <f>_xlfn.XLOOKUP(C310,Tab_Def_Flows[Flow_Name],Tab_Def_Flows[Use_E6],,0,)</f>
        <v>Yes</v>
      </c>
      <c r="J310" s="3"/>
      <c r="K310" s="3"/>
      <c r="L310" s="2" t="str">
        <f>'0_Configuration'!$C$41</f>
        <v>Mg</v>
      </c>
      <c r="M310" s="9"/>
      <c r="N310" s="9"/>
      <c r="O310" s="9"/>
      <c r="P310" s="9"/>
      <c r="Q310" s="18" t="s">
        <v>3</v>
      </c>
      <c r="R310" s="10"/>
      <c r="S310" s="3"/>
      <c r="T310" s="9"/>
      <c r="U310" s="9"/>
      <c r="V310" s="2">
        <f>_xlfn.XLOOKUP(Tab_Data_Flows[[#This Row],[Flow_Name]],Tab_Def_Flows[Flow_Name],Tab_Def_Flows[Flow_E1_Fraction'[%']],"N.A.",0,1)</f>
        <v>0</v>
      </c>
      <c r="W310" s="8">
        <f t="shared" si="8"/>
        <v>0</v>
      </c>
      <c r="X310" s="2" t="str">
        <f>Tab_Data_Flows[[#This Row],[UoM_Source]]</f>
        <v>Mg</v>
      </c>
      <c r="Y310" s="19">
        <f>_xlfn.XLOOKUP(Tab_Data_Flows[[#This Row],[Flow_Name]],Tab_Def_Flows[Flow_Name],Tab_Def_Flows[Flow_E2_Fraction'[%']],"N.A.",0,1)</f>
        <v>0</v>
      </c>
      <c r="Z310" s="2">
        <f>IF(D310="Yes",W310*Tab_Data_Flows[[#This Row],[E2_Fraction'[%']]],"N.A.")</f>
        <v>0</v>
      </c>
      <c r="AA310" s="2" t="str">
        <f>Tab_Data_Flows[[#This Row],[E1_UoM]]</f>
        <v>Mg</v>
      </c>
      <c r="AB310" s="19">
        <f>_xlfn.XLOOKUP(Tab_Data_Flows[[#This Row],[Flow_Name]],Tab_Def_Flows[Flow_Name],Tab_Def_Flows[Flow_E3_Fraction'[%']],"N.A.",0,1)</f>
        <v>0</v>
      </c>
      <c r="AC310" s="2">
        <f>IF(E310="Yes",AB310*Tab_Data_Flows[[#This Row],[E1_value]],"N.A.")</f>
        <v>0</v>
      </c>
      <c r="AD310" s="2" t="str">
        <f>Tab_Data_Flows[[#This Row],[E1_UoM]]</f>
        <v>Mg</v>
      </c>
      <c r="AE310" s="19">
        <f>_xlfn.XLOOKUP(Tab_Data_Flows[[#This Row],[Flow_Name]],Tab_Def_Flows[Flow_Name],Tab_Def_Flows[Flow_E4_Fraction'[%']],"N.A.",0,1)</f>
        <v>0</v>
      </c>
      <c r="AF310" s="2">
        <f>IF(H310="Yes",Tab_Data_Flows[[#This Row],[E4_Fraction'[%']]]*Tab_Data_Flows[[#This Row],[E1_value]],"N.A.")</f>
        <v>0</v>
      </c>
      <c r="AG310" s="2" t="str">
        <f>Tab_Data_Flows[[#This Row],[E1_UoM]]</f>
        <v>Mg</v>
      </c>
      <c r="AH310" s="2">
        <f>_xlfn.XLOOKUP(Tab_Data_Flows[[#This Row],[Flow_Name]],Tab_Def_Flows[Flow_Name],Tab_Def_Flows[Flow_E5_Fraction'[%']],"N.A.",0,1)</f>
        <v>0</v>
      </c>
      <c r="AI310" s="2">
        <f>IF(H310="Yes",Tab_Data_Flows[[#This Row],[E5_Fraction'[%']]]*Tab_Data_Flows[[#This Row],[E1_value]],"N.A.")</f>
        <v>0</v>
      </c>
      <c r="AJ310" s="2" t="str">
        <f>Tab_Data_Flows[[#This Row],[E1_UoM]]</f>
        <v>Mg</v>
      </c>
      <c r="AK310" s="19">
        <f>_xlfn.XLOOKUP(Tab_Data_Flows[[#This Row],[Flow_Name]],Tab_Def_Flows[Flow_Name],Tab_Def_Flows[Flow_E6_Fraction'[%']],"N.A.",0,1)</f>
        <v>0</v>
      </c>
      <c r="AL310" s="2">
        <f>IF(Tab_Data_Flows[[#This Row],[Use_E6]]="Yes",Tab_Data_Flows[[#This Row],[E6_Fraction'[%']]]*Tab_Data_Flows[[#This Row],[E1_value]],"N.A.")</f>
        <v>0</v>
      </c>
      <c r="AM310" s="2" t="str">
        <f>Tab_Data_Flows[[#This Row],[E1_UoM]]</f>
        <v>Mg</v>
      </c>
    </row>
    <row r="311" spans="1:39" x14ac:dyDescent="0.25">
      <c r="A311" s="4">
        <f t="shared" si="9"/>
        <v>310</v>
      </c>
      <c r="B311" s="2" t="str">
        <f>_xlfn.XLOOKUP(C311,Tab_Def_Flows[Flow_Name],Tab_Def_Flows[Flow_ID],,0,)</f>
        <v>F__</v>
      </c>
      <c r="C311" s="18" t="s">
        <v>5</v>
      </c>
      <c r="D311" s="5" t="str">
        <f>_xlfn.XLOOKUP(C311,Tab_Def_Flows[Flow_Name],Tab_Def_Flows[Use_E1],,0,)</f>
        <v>Yes</v>
      </c>
      <c r="E311" s="5" t="str">
        <f>_xlfn.XLOOKUP(C311,Tab_Def_Flows[Flow_Name],Tab_Def_Flows[Use_E2],,0,)</f>
        <v>Yes</v>
      </c>
      <c r="F311" s="5" t="str">
        <f>_xlfn.XLOOKUP(C311,Tab_Def_Flows[Flow_Name],Tab_Def_Flows[Use_E3],,0,)</f>
        <v>Yes</v>
      </c>
      <c r="G311" s="5" t="str">
        <f>_xlfn.XLOOKUP(C311,Tab_Def_Flows[Flow_Name],Tab_Def_Flows[Use_E4],,0,)</f>
        <v>Yes</v>
      </c>
      <c r="H311" s="5" t="str">
        <f>_xlfn.XLOOKUP(C311,Tab_Def_Flows[Flow_Name],Tab_Def_Flows[Use_E5],,0,)</f>
        <v>Yes</v>
      </c>
      <c r="I311" s="5" t="str">
        <f>_xlfn.XLOOKUP(C311,Tab_Def_Flows[Flow_Name],Tab_Def_Flows[Use_E6],,0,)</f>
        <v>Yes</v>
      </c>
      <c r="J311" s="3"/>
      <c r="K311" s="3"/>
      <c r="L311" s="2" t="str">
        <f>'0_Configuration'!$C$41</f>
        <v>Mg</v>
      </c>
      <c r="M311" s="9"/>
      <c r="N311" s="9"/>
      <c r="O311" s="9"/>
      <c r="P311" s="9"/>
      <c r="Q311" s="18" t="s">
        <v>3</v>
      </c>
      <c r="R311" s="10"/>
      <c r="S311" s="3"/>
      <c r="T311" s="9"/>
      <c r="U311" s="9"/>
      <c r="V311" s="2">
        <f>_xlfn.XLOOKUP(Tab_Data_Flows[[#This Row],[Flow_Name]],Tab_Def_Flows[Flow_Name],Tab_Def_Flows[Flow_E1_Fraction'[%']],"N.A.",0,1)</f>
        <v>0</v>
      </c>
      <c r="W311" s="8">
        <f t="shared" si="8"/>
        <v>0</v>
      </c>
      <c r="X311" s="2" t="str">
        <f>Tab_Data_Flows[[#This Row],[UoM_Source]]</f>
        <v>Mg</v>
      </c>
      <c r="Y311" s="19">
        <f>_xlfn.XLOOKUP(Tab_Data_Flows[[#This Row],[Flow_Name]],Tab_Def_Flows[Flow_Name],Tab_Def_Flows[Flow_E2_Fraction'[%']],"N.A.",0,1)</f>
        <v>0</v>
      </c>
      <c r="Z311" s="2">
        <f>IF(D311="Yes",W311*Tab_Data_Flows[[#This Row],[E2_Fraction'[%']]],"N.A.")</f>
        <v>0</v>
      </c>
      <c r="AA311" s="2" t="str">
        <f>Tab_Data_Flows[[#This Row],[E1_UoM]]</f>
        <v>Mg</v>
      </c>
      <c r="AB311" s="19">
        <f>_xlfn.XLOOKUP(Tab_Data_Flows[[#This Row],[Flow_Name]],Tab_Def_Flows[Flow_Name],Tab_Def_Flows[Flow_E3_Fraction'[%']],"N.A.",0,1)</f>
        <v>0</v>
      </c>
      <c r="AC311" s="2">
        <f>IF(E311="Yes",AB311*Tab_Data_Flows[[#This Row],[E1_value]],"N.A.")</f>
        <v>0</v>
      </c>
      <c r="AD311" s="2" t="str">
        <f>Tab_Data_Flows[[#This Row],[E1_UoM]]</f>
        <v>Mg</v>
      </c>
      <c r="AE311" s="19">
        <f>_xlfn.XLOOKUP(Tab_Data_Flows[[#This Row],[Flow_Name]],Tab_Def_Flows[Flow_Name],Tab_Def_Flows[Flow_E4_Fraction'[%']],"N.A.",0,1)</f>
        <v>0</v>
      </c>
      <c r="AF311" s="2">
        <f>IF(H311="Yes",Tab_Data_Flows[[#This Row],[E4_Fraction'[%']]]*Tab_Data_Flows[[#This Row],[E1_value]],"N.A.")</f>
        <v>0</v>
      </c>
      <c r="AG311" s="2" t="str">
        <f>Tab_Data_Flows[[#This Row],[E1_UoM]]</f>
        <v>Mg</v>
      </c>
      <c r="AH311" s="2">
        <f>_xlfn.XLOOKUP(Tab_Data_Flows[[#This Row],[Flow_Name]],Tab_Def_Flows[Flow_Name],Tab_Def_Flows[Flow_E5_Fraction'[%']],"N.A.",0,1)</f>
        <v>0</v>
      </c>
      <c r="AI311" s="2">
        <f>IF(H311="Yes",Tab_Data_Flows[[#This Row],[E5_Fraction'[%']]]*Tab_Data_Flows[[#This Row],[E1_value]],"N.A.")</f>
        <v>0</v>
      </c>
      <c r="AJ311" s="2" t="str">
        <f>Tab_Data_Flows[[#This Row],[E1_UoM]]</f>
        <v>Mg</v>
      </c>
      <c r="AK311" s="19">
        <f>_xlfn.XLOOKUP(Tab_Data_Flows[[#This Row],[Flow_Name]],Tab_Def_Flows[Flow_Name],Tab_Def_Flows[Flow_E6_Fraction'[%']],"N.A.",0,1)</f>
        <v>0</v>
      </c>
      <c r="AL311" s="2">
        <f>IF(Tab_Data_Flows[[#This Row],[Use_E6]]="Yes",Tab_Data_Flows[[#This Row],[E6_Fraction'[%']]]*Tab_Data_Flows[[#This Row],[E1_value]],"N.A.")</f>
        <v>0</v>
      </c>
      <c r="AM311" s="2" t="str">
        <f>Tab_Data_Flows[[#This Row],[E1_UoM]]</f>
        <v>Mg</v>
      </c>
    </row>
    <row r="312" spans="1:39" x14ac:dyDescent="0.25">
      <c r="A312" s="4">
        <f t="shared" si="9"/>
        <v>311</v>
      </c>
      <c r="B312" s="2" t="str">
        <f>_xlfn.XLOOKUP(C312,Tab_Def_Flows[Flow_Name],Tab_Def_Flows[Flow_ID],,0,)</f>
        <v>F__</v>
      </c>
      <c r="C312" s="18" t="s">
        <v>5</v>
      </c>
      <c r="D312" s="5" t="str">
        <f>_xlfn.XLOOKUP(C312,Tab_Def_Flows[Flow_Name],Tab_Def_Flows[Use_E1],,0,)</f>
        <v>Yes</v>
      </c>
      <c r="E312" s="5" t="str">
        <f>_xlfn.XLOOKUP(C312,Tab_Def_Flows[Flow_Name],Tab_Def_Flows[Use_E2],,0,)</f>
        <v>Yes</v>
      </c>
      <c r="F312" s="5" t="str">
        <f>_xlfn.XLOOKUP(C312,Tab_Def_Flows[Flow_Name],Tab_Def_Flows[Use_E3],,0,)</f>
        <v>Yes</v>
      </c>
      <c r="G312" s="5" t="str">
        <f>_xlfn.XLOOKUP(C312,Tab_Def_Flows[Flow_Name],Tab_Def_Flows[Use_E4],,0,)</f>
        <v>Yes</v>
      </c>
      <c r="H312" s="5" t="str">
        <f>_xlfn.XLOOKUP(C312,Tab_Def_Flows[Flow_Name],Tab_Def_Flows[Use_E5],,0,)</f>
        <v>Yes</v>
      </c>
      <c r="I312" s="5" t="str">
        <f>_xlfn.XLOOKUP(C312,Tab_Def_Flows[Flow_Name],Tab_Def_Flows[Use_E6],,0,)</f>
        <v>Yes</v>
      </c>
      <c r="J312" s="3"/>
      <c r="K312" s="3"/>
      <c r="L312" s="2" t="str">
        <f>'0_Configuration'!$C$41</f>
        <v>Mg</v>
      </c>
      <c r="M312" s="9"/>
      <c r="N312" s="9"/>
      <c r="O312" s="9"/>
      <c r="P312" s="9"/>
      <c r="Q312" s="18" t="s">
        <v>3</v>
      </c>
      <c r="R312" s="10"/>
      <c r="S312" s="3"/>
      <c r="T312" s="9"/>
      <c r="U312" s="9"/>
      <c r="V312" s="2">
        <f>_xlfn.XLOOKUP(Tab_Data_Flows[[#This Row],[Flow_Name]],Tab_Def_Flows[Flow_Name],Tab_Def_Flows[Flow_E1_Fraction'[%']],"N.A.",0,1)</f>
        <v>0</v>
      </c>
      <c r="W312" s="8">
        <f t="shared" si="8"/>
        <v>0</v>
      </c>
      <c r="X312" s="2" t="str">
        <f>Tab_Data_Flows[[#This Row],[UoM_Source]]</f>
        <v>Mg</v>
      </c>
      <c r="Y312" s="19">
        <f>_xlfn.XLOOKUP(Tab_Data_Flows[[#This Row],[Flow_Name]],Tab_Def_Flows[Flow_Name],Tab_Def_Flows[Flow_E2_Fraction'[%']],"N.A.",0,1)</f>
        <v>0</v>
      </c>
      <c r="Z312" s="2">
        <f>IF(D312="Yes",W312*Tab_Data_Flows[[#This Row],[E2_Fraction'[%']]],"N.A.")</f>
        <v>0</v>
      </c>
      <c r="AA312" s="2" t="str">
        <f>Tab_Data_Flows[[#This Row],[E1_UoM]]</f>
        <v>Mg</v>
      </c>
      <c r="AB312" s="19">
        <f>_xlfn.XLOOKUP(Tab_Data_Flows[[#This Row],[Flow_Name]],Tab_Def_Flows[Flow_Name],Tab_Def_Flows[Flow_E3_Fraction'[%']],"N.A.",0,1)</f>
        <v>0</v>
      </c>
      <c r="AC312" s="2">
        <f>IF(E312="Yes",AB312*Tab_Data_Flows[[#This Row],[E1_value]],"N.A.")</f>
        <v>0</v>
      </c>
      <c r="AD312" s="2" t="str">
        <f>Tab_Data_Flows[[#This Row],[E1_UoM]]</f>
        <v>Mg</v>
      </c>
      <c r="AE312" s="19">
        <f>_xlfn.XLOOKUP(Tab_Data_Flows[[#This Row],[Flow_Name]],Tab_Def_Flows[Flow_Name],Tab_Def_Flows[Flow_E4_Fraction'[%']],"N.A.",0,1)</f>
        <v>0</v>
      </c>
      <c r="AF312" s="2">
        <f>IF(H312="Yes",Tab_Data_Flows[[#This Row],[E4_Fraction'[%']]]*Tab_Data_Flows[[#This Row],[E1_value]],"N.A.")</f>
        <v>0</v>
      </c>
      <c r="AG312" s="2" t="str">
        <f>Tab_Data_Flows[[#This Row],[E1_UoM]]</f>
        <v>Mg</v>
      </c>
      <c r="AH312" s="2">
        <f>_xlfn.XLOOKUP(Tab_Data_Flows[[#This Row],[Flow_Name]],Tab_Def_Flows[Flow_Name],Tab_Def_Flows[Flow_E5_Fraction'[%']],"N.A.",0,1)</f>
        <v>0</v>
      </c>
      <c r="AI312" s="2">
        <f>IF(H312="Yes",Tab_Data_Flows[[#This Row],[E5_Fraction'[%']]]*Tab_Data_Flows[[#This Row],[E1_value]],"N.A.")</f>
        <v>0</v>
      </c>
      <c r="AJ312" s="2" t="str">
        <f>Tab_Data_Flows[[#This Row],[E1_UoM]]</f>
        <v>Mg</v>
      </c>
      <c r="AK312" s="19">
        <f>_xlfn.XLOOKUP(Tab_Data_Flows[[#This Row],[Flow_Name]],Tab_Def_Flows[Flow_Name],Tab_Def_Flows[Flow_E6_Fraction'[%']],"N.A.",0,1)</f>
        <v>0</v>
      </c>
      <c r="AL312" s="2">
        <f>IF(Tab_Data_Flows[[#This Row],[Use_E6]]="Yes",Tab_Data_Flows[[#This Row],[E6_Fraction'[%']]]*Tab_Data_Flows[[#This Row],[E1_value]],"N.A.")</f>
        <v>0</v>
      </c>
      <c r="AM312" s="2" t="str">
        <f>Tab_Data_Flows[[#This Row],[E1_UoM]]</f>
        <v>Mg</v>
      </c>
    </row>
    <row r="313" spans="1:39" x14ac:dyDescent="0.25">
      <c r="A313" s="4">
        <f t="shared" si="9"/>
        <v>312</v>
      </c>
      <c r="B313" s="2" t="str">
        <f>_xlfn.XLOOKUP(C313,Tab_Def_Flows[Flow_Name],Tab_Def_Flows[Flow_ID],,0,)</f>
        <v>F__</v>
      </c>
      <c r="C313" s="18" t="s">
        <v>5</v>
      </c>
      <c r="D313" s="5" t="str">
        <f>_xlfn.XLOOKUP(C313,Tab_Def_Flows[Flow_Name],Tab_Def_Flows[Use_E1],,0,)</f>
        <v>Yes</v>
      </c>
      <c r="E313" s="5" t="str">
        <f>_xlfn.XLOOKUP(C313,Tab_Def_Flows[Flow_Name],Tab_Def_Flows[Use_E2],,0,)</f>
        <v>Yes</v>
      </c>
      <c r="F313" s="5" t="str">
        <f>_xlfn.XLOOKUP(C313,Tab_Def_Flows[Flow_Name],Tab_Def_Flows[Use_E3],,0,)</f>
        <v>Yes</v>
      </c>
      <c r="G313" s="5" t="str">
        <f>_xlfn.XLOOKUP(C313,Tab_Def_Flows[Flow_Name],Tab_Def_Flows[Use_E4],,0,)</f>
        <v>Yes</v>
      </c>
      <c r="H313" s="5" t="str">
        <f>_xlfn.XLOOKUP(C313,Tab_Def_Flows[Flow_Name],Tab_Def_Flows[Use_E5],,0,)</f>
        <v>Yes</v>
      </c>
      <c r="I313" s="5" t="str">
        <f>_xlfn.XLOOKUP(C313,Tab_Def_Flows[Flow_Name],Tab_Def_Flows[Use_E6],,0,)</f>
        <v>Yes</v>
      </c>
      <c r="J313" s="3"/>
      <c r="K313" s="3"/>
      <c r="L313" s="2" t="str">
        <f>'0_Configuration'!$C$41</f>
        <v>Mg</v>
      </c>
      <c r="M313" s="9"/>
      <c r="N313" s="9"/>
      <c r="O313" s="9"/>
      <c r="P313" s="9"/>
      <c r="Q313" s="18" t="s">
        <v>3</v>
      </c>
      <c r="R313" s="10"/>
      <c r="S313" s="3"/>
      <c r="T313" s="9"/>
      <c r="U313" s="9"/>
      <c r="V313" s="2">
        <f>_xlfn.XLOOKUP(Tab_Data_Flows[[#This Row],[Flow_Name]],Tab_Def_Flows[Flow_Name],Tab_Def_Flows[Flow_E1_Fraction'[%']],"N.A.",0,1)</f>
        <v>0</v>
      </c>
      <c r="W313" s="8">
        <f t="shared" si="8"/>
        <v>0</v>
      </c>
      <c r="X313" s="2" t="str">
        <f>Tab_Data_Flows[[#This Row],[UoM_Source]]</f>
        <v>Mg</v>
      </c>
      <c r="Y313" s="19">
        <f>_xlfn.XLOOKUP(Tab_Data_Flows[[#This Row],[Flow_Name]],Tab_Def_Flows[Flow_Name],Tab_Def_Flows[Flow_E2_Fraction'[%']],"N.A.",0,1)</f>
        <v>0</v>
      </c>
      <c r="Z313" s="2">
        <f>IF(D313="Yes",W313*Tab_Data_Flows[[#This Row],[E2_Fraction'[%']]],"N.A.")</f>
        <v>0</v>
      </c>
      <c r="AA313" s="2" t="str">
        <f>Tab_Data_Flows[[#This Row],[E1_UoM]]</f>
        <v>Mg</v>
      </c>
      <c r="AB313" s="19">
        <f>_xlfn.XLOOKUP(Tab_Data_Flows[[#This Row],[Flow_Name]],Tab_Def_Flows[Flow_Name],Tab_Def_Flows[Flow_E3_Fraction'[%']],"N.A.",0,1)</f>
        <v>0</v>
      </c>
      <c r="AC313" s="2">
        <f>IF(E313="Yes",AB313*Tab_Data_Flows[[#This Row],[E1_value]],"N.A.")</f>
        <v>0</v>
      </c>
      <c r="AD313" s="2" t="str">
        <f>Tab_Data_Flows[[#This Row],[E1_UoM]]</f>
        <v>Mg</v>
      </c>
      <c r="AE313" s="19">
        <f>_xlfn.XLOOKUP(Tab_Data_Flows[[#This Row],[Flow_Name]],Tab_Def_Flows[Flow_Name],Tab_Def_Flows[Flow_E4_Fraction'[%']],"N.A.",0,1)</f>
        <v>0</v>
      </c>
      <c r="AF313" s="2">
        <f>IF(H313="Yes",Tab_Data_Flows[[#This Row],[E4_Fraction'[%']]]*Tab_Data_Flows[[#This Row],[E1_value]],"N.A.")</f>
        <v>0</v>
      </c>
      <c r="AG313" s="2" t="str">
        <f>Tab_Data_Flows[[#This Row],[E1_UoM]]</f>
        <v>Mg</v>
      </c>
      <c r="AH313" s="2">
        <f>_xlfn.XLOOKUP(Tab_Data_Flows[[#This Row],[Flow_Name]],Tab_Def_Flows[Flow_Name],Tab_Def_Flows[Flow_E5_Fraction'[%']],"N.A.",0,1)</f>
        <v>0</v>
      </c>
      <c r="AI313" s="2">
        <f>IF(H313="Yes",Tab_Data_Flows[[#This Row],[E5_Fraction'[%']]]*Tab_Data_Flows[[#This Row],[E1_value]],"N.A.")</f>
        <v>0</v>
      </c>
      <c r="AJ313" s="2" t="str">
        <f>Tab_Data_Flows[[#This Row],[E1_UoM]]</f>
        <v>Mg</v>
      </c>
      <c r="AK313" s="19">
        <f>_xlfn.XLOOKUP(Tab_Data_Flows[[#This Row],[Flow_Name]],Tab_Def_Flows[Flow_Name],Tab_Def_Flows[Flow_E6_Fraction'[%']],"N.A.",0,1)</f>
        <v>0</v>
      </c>
      <c r="AL313" s="2">
        <f>IF(Tab_Data_Flows[[#This Row],[Use_E6]]="Yes",Tab_Data_Flows[[#This Row],[E6_Fraction'[%']]]*Tab_Data_Flows[[#This Row],[E1_value]],"N.A.")</f>
        <v>0</v>
      </c>
      <c r="AM313" s="2" t="str">
        <f>Tab_Data_Flows[[#This Row],[E1_UoM]]</f>
        <v>Mg</v>
      </c>
    </row>
    <row r="314" spans="1:39" x14ac:dyDescent="0.25">
      <c r="A314" s="4">
        <f t="shared" si="9"/>
        <v>313</v>
      </c>
      <c r="B314" s="2" t="str">
        <f>_xlfn.XLOOKUP(C314,Tab_Def_Flows[Flow_Name],Tab_Def_Flows[Flow_ID],,0,)</f>
        <v>F__</v>
      </c>
      <c r="C314" s="18" t="s">
        <v>5</v>
      </c>
      <c r="D314" s="5" t="str">
        <f>_xlfn.XLOOKUP(C314,Tab_Def_Flows[Flow_Name],Tab_Def_Flows[Use_E1],,0,)</f>
        <v>Yes</v>
      </c>
      <c r="E314" s="5" t="str">
        <f>_xlfn.XLOOKUP(C314,Tab_Def_Flows[Flow_Name],Tab_Def_Flows[Use_E2],,0,)</f>
        <v>Yes</v>
      </c>
      <c r="F314" s="5" t="str">
        <f>_xlfn.XLOOKUP(C314,Tab_Def_Flows[Flow_Name],Tab_Def_Flows[Use_E3],,0,)</f>
        <v>Yes</v>
      </c>
      <c r="G314" s="5" t="str">
        <f>_xlfn.XLOOKUP(C314,Tab_Def_Flows[Flow_Name],Tab_Def_Flows[Use_E4],,0,)</f>
        <v>Yes</v>
      </c>
      <c r="H314" s="5" t="str">
        <f>_xlfn.XLOOKUP(C314,Tab_Def_Flows[Flow_Name],Tab_Def_Flows[Use_E5],,0,)</f>
        <v>Yes</v>
      </c>
      <c r="I314" s="5" t="str">
        <f>_xlfn.XLOOKUP(C314,Tab_Def_Flows[Flow_Name],Tab_Def_Flows[Use_E6],,0,)</f>
        <v>Yes</v>
      </c>
      <c r="J314" s="3"/>
      <c r="K314" s="3"/>
      <c r="L314" s="2" t="str">
        <f>'0_Configuration'!$C$41</f>
        <v>Mg</v>
      </c>
      <c r="M314" s="9"/>
      <c r="N314" s="9"/>
      <c r="O314" s="9"/>
      <c r="P314" s="9"/>
      <c r="Q314" s="18" t="s">
        <v>3</v>
      </c>
      <c r="R314" s="10"/>
      <c r="S314" s="3"/>
      <c r="T314" s="9"/>
      <c r="U314" s="9"/>
      <c r="V314" s="2">
        <f>_xlfn.XLOOKUP(Tab_Data_Flows[[#This Row],[Flow_Name]],Tab_Def_Flows[Flow_Name],Tab_Def_Flows[Flow_E1_Fraction'[%']],"N.A.",0,1)</f>
        <v>0</v>
      </c>
      <c r="W314" s="8">
        <f t="shared" si="8"/>
        <v>0</v>
      </c>
      <c r="X314" s="2" t="str">
        <f>Tab_Data_Flows[[#This Row],[UoM_Source]]</f>
        <v>Mg</v>
      </c>
      <c r="Y314" s="19">
        <f>_xlfn.XLOOKUP(Tab_Data_Flows[[#This Row],[Flow_Name]],Tab_Def_Flows[Flow_Name],Tab_Def_Flows[Flow_E2_Fraction'[%']],"N.A.",0,1)</f>
        <v>0</v>
      </c>
      <c r="Z314" s="2">
        <f>IF(D314="Yes",W314*Tab_Data_Flows[[#This Row],[E2_Fraction'[%']]],"N.A.")</f>
        <v>0</v>
      </c>
      <c r="AA314" s="2" t="str">
        <f>Tab_Data_Flows[[#This Row],[E1_UoM]]</f>
        <v>Mg</v>
      </c>
      <c r="AB314" s="19">
        <f>_xlfn.XLOOKUP(Tab_Data_Flows[[#This Row],[Flow_Name]],Tab_Def_Flows[Flow_Name],Tab_Def_Flows[Flow_E3_Fraction'[%']],"N.A.",0,1)</f>
        <v>0</v>
      </c>
      <c r="AC314" s="2">
        <f>IF(E314="Yes",AB314*Tab_Data_Flows[[#This Row],[E1_value]],"N.A.")</f>
        <v>0</v>
      </c>
      <c r="AD314" s="2" t="str">
        <f>Tab_Data_Flows[[#This Row],[E1_UoM]]</f>
        <v>Mg</v>
      </c>
      <c r="AE314" s="19">
        <f>_xlfn.XLOOKUP(Tab_Data_Flows[[#This Row],[Flow_Name]],Tab_Def_Flows[Flow_Name],Tab_Def_Flows[Flow_E4_Fraction'[%']],"N.A.",0,1)</f>
        <v>0</v>
      </c>
      <c r="AF314" s="2">
        <f>IF(H314="Yes",Tab_Data_Flows[[#This Row],[E4_Fraction'[%']]]*Tab_Data_Flows[[#This Row],[E1_value]],"N.A.")</f>
        <v>0</v>
      </c>
      <c r="AG314" s="2" t="str">
        <f>Tab_Data_Flows[[#This Row],[E1_UoM]]</f>
        <v>Mg</v>
      </c>
      <c r="AH314" s="2">
        <f>_xlfn.XLOOKUP(Tab_Data_Flows[[#This Row],[Flow_Name]],Tab_Def_Flows[Flow_Name],Tab_Def_Flows[Flow_E5_Fraction'[%']],"N.A.",0,1)</f>
        <v>0</v>
      </c>
      <c r="AI314" s="2">
        <f>IF(H314="Yes",Tab_Data_Flows[[#This Row],[E5_Fraction'[%']]]*Tab_Data_Flows[[#This Row],[E1_value]],"N.A.")</f>
        <v>0</v>
      </c>
      <c r="AJ314" s="2" t="str">
        <f>Tab_Data_Flows[[#This Row],[E1_UoM]]</f>
        <v>Mg</v>
      </c>
      <c r="AK314" s="19">
        <f>_xlfn.XLOOKUP(Tab_Data_Flows[[#This Row],[Flow_Name]],Tab_Def_Flows[Flow_Name],Tab_Def_Flows[Flow_E6_Fraction'[%']],"N.A.",0,1)</f>
        <v>0</v>
      </c>
      <c r="AL314" s="2">
        <f>IF(Tab_Data_Flows[[#This Row],[Use_E6]]="Yes",Tab_Data_Flows[[#This Row],[E6_Fraction'[%']]]*Tab_Data_Flows[[#This Row],[E1_value]],"N.A.")</f>
        <v>0</v>
      </c>
      <c r="AM314" s="2" t="str">
        <f>Tab_Data_Flows[[#This Row],[E1_UoM]]</f>
        <v>Mg</v>
      </c>
    </row>
    <row r="315" spans="1:39" x14ac:dyDescent="0.25">
      <c r="A315" s="4">
        <f t="shared" si="9"/>
        <v>314</v>
      </c>
      <c r="B315" s="2" t="str">
        <f>_xlfn.XLOOKUP(C315,Tab_Def_Flows[Flow_Name],Tab_Def_Flows[Flow_ID],,0,)</f>
        <v>F__</v>
      </c>
      <c r="C315" s="18" t="s">
        <v>5</v>
      </c>
      <c r="D315" s="5" t="str">
        <f>_xlfn.XLOOKUP(C315,Tab_Def_Flows[Flow_Name],Tab_Def_Flows[Use_E1],,0,)</f>
        <v>Yes</v>
      </c>
      <c r="E315" s="5" t="str">
        <f>_xlfn.XLOOKUP(C315,Tab_Def_Flows[Flow_Name],Tab_Def_Flows[Use_E2],,0,)</f>
        <v>Yes</v>
      </c>
      <c r="F315" s="5" t="str">
        <f>_xlfn.XLOOKUP(C315,Tab_Def_Flows[Flow_Name],Tab_Def_Flows[Use_E3],,0,)</f>
        <v>Yes</v>
      </c>
      <c r="G315" s="5" t="str">
        <f>_xlfn.XLOOKUP(C315,Tab_Def_Flows[Flow_Name],Tab_Def_Flows[Use_E4],,0,)</f>
        <v>Yes</v>
      </c>
      <c r="H315" s="5" t="str">
        <f>_xlfn.XLOOKUP(C315,Tab_Def_Flows[Flow_Name],Tab_Def_Flows[Use_E5],,0,)</f>
        <v>Yes</v>
      </c>
      <c r="I315" s="5" t="str">
        <f>_xlfn.XLOOKUP(C315,Tab_Def_Flows[Flow_Name],Tab_Def_Flows[Use_E6],,0,)</f>
        <v>Yes</v>
      </c>
      <c r="J315" s="3"/>
      <c r="K315" s="3"/>
      <c r="L315" s="2" t="str">
        <f>'0_Configuration'!$C$41</f>
        <v>Mg</v>
      </c>
      <c r="M315" s="9"/>
      <c r="N315" s="9"/>
      <c r="O315" s="9"/>
      <c r="P315" s="9"/>
      <c r="Q315" s="18" t="s">
        <v>3</v>
      </c>
      <c r="R315" s="10"/>
      <c r="S315" s="3"/>
      <c r="T315" s="9"/>
      <c r="U315" s="9"/>
      <c r="V315" s="2">
        <f>_xlfn.XLOOKUP(Tab_Data_Flows[[#This Row],[Flow_Name]],Tab_Def_Flows[Flow_Name],Tab_Def_Flows[Flow_E1_Fraction'[%']],"N.A.",0,1)</f>
        <v>0</v>
      </c>
      <c r="W315" s="8">
        <f t="shared" si="8"/>
        <v>0</v>
      </c>
      <c r="X315" s="2" t="str">
        <f>Tab_Data_Flows[[#This Row],[UoM_Source]]</f>
        <v>Mg</v>
      </c>
      <c r="Y315" s="19">
        <f>_xlfn.XLOOKUP(Tab_Data_Flows[[#This Row],[Flow_Name]],Tab_Def_Flows[Flow_Name],Tab_Def_Flows[Flow_E2_Fraction'[%']],"N.A.",0,1)</f>
        <v>0</v>
      </c>
      <c r="Z315" s="2">
        <f>IF(D315="Yes",W315*Tab_Data_Flows[[#This Row],[E2_Fraction'[%']]],"N.A.")</f>
        <v>0</v>
      </c>
      <c r="AA315" s="2" t="str">
        <f>Tab_Data_Flows[[#This Row],[E1_UoM]]</f>
        <v>Mg</v>
      </c>
      <c r="AB315" s="19">
        <f>_xlfn.XLOOKUP(Tab_Data_Flows[[#This Row],[Flow_Name]],Tab_Def_Flows[Flow_Name],Tab_Def_Flows[Flow_E3_Fraction'[%']],"N.A.",0,1)</f>
        <v>0</v>
      </c>
      <c r="AC315" s="2">
        <f>IF(E315="Yes",AB315*Tab_Data_Flows[[#This Row],[E1_value]],"N.A.")</f>
        <v>0</v>
      </c>
      <c r="AD315" s="2" t="str">
        <f>Tab_Data_Flows[[#This Row],[E1_UoM]]</f>
        <v>Mg</v>
      </c>
      <c r="AE315" s="19">
        <f>_xlfn.XLOOKUP(Tab_Data_Flows[[#This Row],[Flow_Name]],Tab_Def_Flows[Flow_Name],Tab_Def_Flows[Flow_E4_Fraction'[%']],"N.A.",0,1)</f>
        <v>0</v>
      </c>
      <c r="AF315" s="2">
        <f>IF(H315="Yes",Tab_Data_Flows[[#This Row],[E4_Fraction'[%']]]*Tab_Data_Flows[[#This Row],[E1_value]],"N.A.")</f>
        <v>0</v>
      </c>
      <c r="AG315" s="2" t="str">
        <f>Tab_Data_Flows[[#This Row],[E1_UoM]]</f>
        <v>Mg</v>
      </c>
      <c r="AH315" s="2">
        <f>_xlfn.XLOOKUP(Tab_Data_Flows[[#This Row],[Flow_Name]],Tab_Def_Flows[Flow_Name],Tab_Def_Flows[Flow_E5_Fraction'[%']],"N.A.",0,1)</f>
        <v>0</v>
      </c>
      <c r="AI315" s="2">
        <f>IF(H315="Yes",Tab_Data_Flows[[#This Row],[E5_Fraction'[%']]]*Tab_Data_Flows[[#This Row],[E1_value]],"N.A.")</f>
        <v>0</v>
      </c>
      <c r="AJ315" s="2" t="str">
        <f>Tab_Data_Flows[[#This Row],[E1_UoM]]</f>
        <v>Mg</v>
      </c>
      <c r="AK315" s="19">
        <f>_xlfn.XLOOKUP(Tab_Data_Flows[[#This Row],[Flow_Name]],Tab_Def_Flows[Flow_Name],Tab_Def_Flows[Flow_E6_Fraction'[%']],"N.A.",0,1)</f>
        <v>0</v>
      </c>
      <c r="AL315" s="2">
        <f>IF(Tab_Data_Flows[[#This Row],[Use_E6]]="Yes",Tab_Data_Flows[[#This Row],[E6_Fraction'[%']]]*Tab_Data_Flows[[#This Row],[E1_value]],"N.A.")</f>
        <v>0</v>
      </c>
      <c r="AM315" s="2" t="str">
        <f>Tab_Data_Flows[[#This Row],[E1_UoM]]</f>
        <v>Mg</v>
      </c>
    </row>
    <row r="316" spans="1:39" x14ac:dyDescent="0.25">
      <c r="A316" s="4">
        <f t="shared" si="9"/>
        <v>315</v>
      </c>
      <c r="B316" s="2" t="str">
        <f>_xlfn.XLOOKUP(C316,Tab_Def_Flows[Flow_Name],Tab_Def_Flows[Flow_ID],,0,)</f>
        <v>F__</v>
      </c>
      <c r="C316" s="18" t="s">
        <v>5</v>
      </c>
      <c r="D316" s="5" t="str">
        <f>_xlfn.XLOOKUP(C316,Tab_Def_Flows[Flow_Name],Tab_Def_Flows[Use_E1],,0,)</f>
        <v>Yes</v>
      </c>
      <c r="E316" s="5" t="str">
        <f>_xlfn.XLOOKUP(C316,Tab_Def_Flows[Flow_Name],Tab_Def_Flows[Use_E2],,0,)</f>
        <v>Yes</v>
      </c>
      <c r="F316" s="5" t="str">
        <f>_xlfn.XLOOKUP(C316,Tab_Def_Flows[Flow_Name],Tab_Def_Flows[Use_E3],,0,)</f>
        <v>Yes</v>
      </c>
      <c r="G316" s="5" t="str">
        <f>_xlfn.XLOOKUP(C316,Tab_Def_Flows[Flow_Name],Tab_Def_Flows[Use_E4],,0,)</f>
        <v>Yes</v>
      </c>
      <c r="H316" s="5" t="str">
        <f>_xlfn.XLOOKUP(C316,Tab_Def_Flows[Flow_Name],Tab_Def_Flows[Use_E5],,0,)</f>
        <v>Yes</v>
      </c>
      <c r="I316" s="5" t="str">
        <f>_xlfn.XLOOKUP(C316,Tab_Def_Flows[Flow_Name],Tab_Def_Flows[Use_E6],,0,)</f>
        <v>Yes</v>
      </c>
      <c r="J316" s="3"/>
      <c r="K316" s="3"/>
      <c r="L316" s="2" t="str">
        <f>'0_Configuration'!$C$41</f>
        <v>Mg</v>
      </c>
      <c r="M316" s="9"/>
      <c r="N316" s="9"/>
      <c r="O316" s="9"/>
      <c r="P316" s="9"/>
      <c r="Q316" s="18" t="s">
        <v>3</v>
      </c>
      <c r="R316" s="10"/>
      <c r="S316" s="3"/>
      <c r="T316" s="9"/>
      <c r="U316" s="9"/>
      <c r="V316" s="2">
        <f>_xlfn.XLOOKUP(Tab_Data_Flows[[#This Row],[Flow_Name]],Tab_Def_Flows[Flow_Name],Tab_Def_Flows[Flow_E1_Fraction'[%']],"N.A.",0,1)</f>
        <v>0</v>
      </c>
      <c r="W316" s="8">
        <f t="shared" si="8"/>
        <v>0</v>
      </c>
      <c r="X316" s="2" t="str">
        <f>Tab_Data_Flows[[#This Row],[UoM_Source]]</f>
        <v>Mg</v>
      </c>
      <c r="Y316" s="19">
        <f>_xlfn.XLOOKUP(Tab_Data_Flows[[#This Row],[Flow_Name]],Tab_Def_Flows[Flow_Name],Tab_Def_Flows[Flow_E2_Fraction'[%']],"N.A.",0,1)</f>
        <v>0</v>
      </c>
      <c r="Z316" s="2">
        <f>IF(D316="Yes",W316*Tab_Data_Flows[[#This Row],[E2_Fraction'[%']]],"N.A.")</f>
        <v>0</v>
      </c>
      <c r="AA316" s="2" t="str">
        <f>Tab_Data_Flows[[#This Row],[E1_UoM]]</f>
        <v>Mg</v>
      </c>
      <c r="AB316" s="19">
        <f>_xlfn.XLOOKUP(Tab_Data_Flows[[#This Row],[Flow_Name]],Tab_Def_Flows[Flow_Name],Tab_Def_Flows[Flow_E3_Fraction'[%']],"N.A.",0,1)</f>
        <v>0</v>
      </c>
      <c r="AC316" s="2">
        <f>IF(E316="Yes",AB316*Tab_Data_Flows[[#This Row],[E1_value]],"N.A.")</f>
        <v>0</v>
      </c>
      <c r="AD316" s="2" t="str">
        <f>Tab_Data_Flows[[#This Row],[E1_UoM]]</f>
        <v>Mg</v>
      </c>
      <c r="AE316" s="19">
        <f>_xlfn.XLOOKUP(Tab_Data_Flows[[#This Row],[Flow_Name]],Tab_Def_Flows[Flow_Name],Tab_Def_Flows[Flow_E4_Fraction'[%']],"N.A.",0,1)</f>
        <v>0</v>
      </c>
      <c r="AF316" s="2">
        <f>IF(H316="Yes",Tab_Data_Flows[[#This Row],[E4_Fraction'[%']]]*Tab_Data_Flows[[#This Row],[E1_value]],"N.A.")</f>
        <v>0</v>
      </c>
      <c r="AG316" s="2" t="str">
        <f>Tab_Data_Flows[[#This Row],[E1_UoM]]</f>
        <v>Mg</v>
      </c>
      <c r="AH316" s="2">
        <f>_xlfn.XLOOKUP(Tab_Data_Flows[[#This Row],[Flow_Name]],Tab_Def_Flows[Flow_Name],Tab_Def_Flows[Flow_E5_Fraction'[%']],"N.A.",0,1)</f>
        <v>0</v>
      </c>
      <c r="AI316" s="2">
        <f>IF(H316="Yes",Tab_Data_Flows[[#This Row],[E5_Fraction'[%']]]*Tab_Data_Flows[[#This Row],[E1_value]],"N.A.")</f>
        <v>0</v>
      </c>
      <c r="AJ316" s="2" t="str">
        <f>Tab_Data_Flows[[#This Row],[E1_UoM]]</f>
        <v>Mg</v>
      </c>
      <c r="AK316" s="19">
        <f>_xlfn.XLOOKUP(Tab_Data_Flows[[#This Row],[Flow_Name]],Tab_Def_Flows[Flow_Name],Tab_Def_Flows[Flow_E6_Fraction'[%']],"N.A.",0,1)</f>
        <v>0</v>
      </c>
      <c r="AL316" s="2">
        <f>IF(Tab_Data_Flows[[#This Row],[Use_E6]]="Yes",Tab_Data_Flows[[#This Row],[E6_Fraction'[%']]]*Tab_Data_Flows[[#This Row],[E1_value]],"N.A.")</f>
        <v>0</v>
      </c>
      <c r="AM316" s="2" t="str">
        <f>Tab_Data_Flows[[#This Row],[E1_UoM]]</f>
        <v>Mg</v>
      </c>
    </row>
    <row r="317" spans="1:39" x14ac:dyDescent="0.25">
      <c r="A317" s="4">
        <f t="shared" si="9"/>
        <v>316</v>
      </c>
      <c r="B317" s="2" t="str">
        <f>_xlfn.XLOOKUP(C317,Tab_Def_Flows[Flow_Name],Tab_Def_Flows[Flow_ID],,0,)</f>
        <v>F__</v>
      </c>
      <c r="C317" s="18" t="s">
        <v>5</v>
      </c>
      <c r="D317" s="5" t="str">
        <f>_xlfn.XLOOKUP(C317,Tab_Def_Flows[Flow_Name],Tab_Def_Flows[Use_E1],,0,)</f>
        <v>Yes</v>
      </c>
      <c r="E317" s="5" t="str">
        <f>_xlfn.XLOOKUP(C317,Tab_Def_Flows[Flow_Name],Tab_Def_Flows[Use_E2],,0,)</f>
        <v>Yes</v>
      </c>
      <c r="F317" s="5" t="str">
        <f>_xlfn.XLOOKUP(C317,Tab_Def_Flows[Flow_Name],Tab_Def_Flows[Use_E3],,0,)</f>
        <v>Yes</v>
      </c>
      <c r="G317" s="5" t="str">
        <f>_xlfn.XLOOKUP(C317,Tab_Def_Flows[Flow_Name],Tab_Def_Flows[Use_E4],,0,)</f>
        <v>Yes</v>
      </c>
      <c r="H317" s="5" t="str">
        <f>_xlfn.XLOOKUP(C317,Tab_Def_Flows[Flow_Name],Tab_Def_Flows[Use_E5],,0,)</f>
        <v>Yes</v>
      </c>
      <c r="I317" s="5" t="str">
        <f>_xlfn.XLOOKUP(C317,Tab_Def_Flows[Flow_Name],Tab_Def_Flows[Use_E6],,0,)</f>
        <v>Yes</v>
      </c>
      <c r="J317" s="3"/>
      <c r="K317" s="3"/>
      <c r="L317" s="2" t="str">
        <f>'0_Configuration'!$C$41</f>
        <v>Mg</v>
      </c>
      <c r="M317" s="9"/>
      <c r="N317" s="9"/>
      <c r="O317" s="9"/>
      <c r="P317" s="9"/>
      <c r="Q317" s="18" t="s">
        <v>3</v>
      </c>
      <c r="R317" s="10"/>
      <c r="S317" s="3"/>
      <c r="T317" s="9"/>
      <c r="U317" s="9"/>
      <c r="V317" s="2">
        <f>_xlfn.XLOOKUP(Tab_Data_Flows[[#This Row],[Flow_Name]],Tab_Def_Flows[Flow_Name],Tab_Def_Flows[Flow_E1_Fraction'[%']],"N.A.",0,1)</f>
        <v>0</v>
      </c>
      <c r="W317" s="8">
        <f t="shared" si="8"/>
        <v>0</v>
      </c>
      <c r="X317" s="2" t="str">
        <f>Tab_Data_Flows[[#This Row],[UoM_Source]]</f>
        <v>Mg</v>
      </c>
      <c r="Y317" s="19">
        <f>_xlfn.XLOOKUP(Tab_Data_Flows[[#This Row],[Flow_Name]],Tab_Def_Flows[Flow_Name],Tab_Def_Flows[Flow_E2_Fraction'[%']],"N.A.",0,1)</f>
        <v>0</v>
      </c>
      <c r="Z317" s="2">
        <f>IF(D317="Yes",W317*Tab_Data_Flows[[#This Row],[E2_Fraction'[%']]],"N.A.")</f>
        <v>0</v>
      </c>
      <c r="AA317" s="2" t="str">
        <f>Tab_Data_Flows[[#This Row],[E1_UoM]]</f>
        <v>Mg</v>
      </c>
      <c r="AB317" s="19">
        <f>_xlfn.XLOOKUP(Tab_Data_Flows[[#This Row],[Flow_Name]],Tab_Def_Flows[Flow_Name],Tab_Def_Flows[Flow_E3_Fraction'[%']],"N.A.",0,1)</f>
        <v>0</v>
      </c>
      <c r="AC317" s="2">
        <f>IF(E317="Yes",AB317*Tab_Data_Flows[[#This Row],[E1_value]],"N.A.")</f>
        <v>0</v>
      </c>
      <c r="AD317" s="2" t="str">
        <f>Tab_Data_Flows[[#This Row],[E1_UoM]]</f>
        <v>Mg</v>
      </c>
      <c r="AE317" s="19">
        <f>_xlfn.XLOOKUP(Tab_Data_Flows[[#This Row],[Flow_Name]],Tab_Def_Flows[Flow_Name],Tab_Def_Flows[Flow_E4_Fraction'[%']],"N.A.",0,1)</f>
        <v>0</v>
      </c>
      <c r="AF317" s="2">
        <f>IF(H317="Yes",Tab_Data_Flows[[#This Row],[E4_Fraction'[%']]]*Tab_Data_Flows[[#This Row],[E1_value]],"N.A.")</f>
        <v>0</v>
      </c>
      <c r="AG317" s="2" t="str">
        <f>Tab_Data_Flows[[#This Row],[E1_UoM]]</f>
        <v>Mg</v>
      </c>
      <c r="AH317" s="2">
        <f>_xlfn.XLOOKUP(Tab_Data_Flows[[#This Row],[Flow_Name]],Tab_Def_Flows[Flow_Name],Tab_Def_Flows[Flow_E5_Fraction'[%']],"N.A.",0,1)</f>
        <v>0</v>
      </c>
      <c r="AI317" s="2">
        <f>IF(H317="Yes",Tab_Data_Flows[[#This Row],[E5_Fraction'[%']]]*Tab_Data_Flows[[#This Row],[E1_value]],"N.A.")</f>
        <v>0</v>
      </c>
      <c r="AJ317" s="2" t="str">
        <f>Tab_Data_Flows[[#This Row],[E1_UoM]]</f>
        <v>Mg</v>
      </c>
      <c r="AK317" s="19">
        <f>_xlfn.XLOOKUP(Tab_Data_Flows[[#This Row],[Flow_Name]],Tab_Def_Flows[Flow_Name],Tab_Def_Flows[Flow_E6_Fraction'[%']],"N.A.",0,1)</f>
        <v>0</v>
      </c>
      <c r="AL317" s="2">
        <f>IF(Tab_Data_Flows[[#This Row],[Use_E6]]="Yes",Tab_Data_Flows[[#This Row],[E6_Fraction'[%']]]*Tab_Data_Flows[[#This Row],[E1_value]],"N.A.")</f>
        <v>0</v>
      </c>
      <c r="AM317" s="2" t="str">
        <f>Tab_Data_Flows[[#This Row],[E1_UoM]]</f>
        <v>Mg</v>
      </c>
    </row>
    <row r="318" spans="1:39" x14ac:dyDescent="0.25">
      <c r="A318" s="4">
        <f t="shared" si="9"/>
        <v>317</v>
      </c>
      <c r="B318" s="2" t="str">
        <f>_xlfn.XLOOKUP(C318,Tab_Def_Flows[Flow_Name],Tab_Def_Flows[Flow_ID],,0,)</f>
        <v>F__</v>
      </c>
      <c r="C318" s="18" t="s">
        <v>5</v>
      </c>
      <c r="D318" s="5" t="str">
        <f>_xlfn.XLOOKUP(C318,Tab_Def_Flows[Flow_Name],Tab_Def_Flows[Use_E1],,0,)</f>
        <v>Yes</v>
      </c>
      <c r="E318" s="5" t="str">
        <f>_xlfn.XLOOKUP(C318,Tab_Def_Flows[Flow_Name],Tab_Def_Flows[Use_E2],,0,)</f>
        <v>Yes</v>
      </c>
      <c r="F318" s="5" t="str">
        <f>_xlfn.XLOOKUP(C318,Tab_Def_Flows[Flow_Name],Tab_Def_Flows[Use_E3],,0,)</f>
        <v>Yes</v>
      </c>
      <c r="G318" s="5" t="str">
        <f>_xlfn.XLOOKUP(C318,Tab_Def_Flows[Flow_Name],Tab_Def_Flows[Use_E4],,0,)</f>
        <v>Yes</v>
      </c>
      <c r="H318" s="5" t="str">
        <f>_xlfn.XLOOKUP(C318,Tab_Def_Flows[Flow_Name],Tab_Def_Flows[Use_E5],,0,)</f>
        <v>Yes</v>
      </c>
      <c r="I318" s="5" t="str">
        <f>_xlfn.XLOOKUP(C318,Tab_Def_Flows[Flow_Name],Tab_Def_Flows[Use_E6],,0,)</f>
        <v>Yes</v>
      </c>
      <c r="J318" s="3"/>
      <c r="K318" s="3"/>
      <c r="L318" s="2" t="str">
        <f>'0_Configuration'!$C$41</f>
        <v>Mg</v>
      </c>
      <c r="M318" s="9"/>
      <c r="N318" s="9"/>
      <c r="O318" s="9"/>
      <c r="P318" s="9"/>
      <c r="Q318" s="18" t="s">
        <v>3</v>
      </c>
      <c r="R318" s="10"/>
      <c r="S318" s="3"/>
      <c r="T318" s="9"/>
      <c r="U318" s="9"/>
      <c r="V318" s="2">
        <f>_xlfn.XLOOKUP(Tab_Data_Flows[[#This Row],[Flow_Name]],Tab_Def_Flows[Flow_Name],Tab_Def_Flows[Flow_E1_Fraction'[%']],"N.A.",0,1)</f>
        <v>0</v>
      </c>
      <c r="W318" s="8">
        <f t="shared" si="8"/>
        <v>0</v>
      </c>
      <c r="X318" s="2" t="str">
        <f>Tab_Data_Flows[[#This Row],[UoM_Source]]</f>
        <v>Mg</v>
      </c>
      <c r="Y318" s="19">
        <f>_xlfn.XLOOKUP(Tab_Data_Flows[[#This Row],[Flow_Name]],Tab_Def_Flows[Flow_Name],Tab_Def_Flows[Flow_E2_Fraction'[%']],"N.A.",0,1)</f>
        <v>0</v>
      </c>
      <c r="Z318" s="2">
        <f>IF(D318="Yes",W318*Tab_Data_Flows[[#This Row],[E2_Fraction'[%']]],"N.A.")</f>
        <v>0</v>
      </c>
      <c r="AA318" s="2" t="str">
        <f>Tab_Data_Flows[[#This Row],[E1_UoM]]</f>
        <v>Mg</v>
      </c>
      <c r="AB318" s="19">
        <f>_xlfn.XLOOKUP(Tab_Data_Flows[[#This Row],[Flow_Name]],Tab_Def_Flows[Flow_Name],Tab_Def_Flows[Flow_E3_Fraction'[%']],"N.A.",0,1)</f>
        <v>0</v>
      </c>
      <c r="AC318" s="2">
        <f>IF(E318="Yes",AB318*Tab_Data_Flows[[#This Row],[E1_value]],"N.A.")</f>
        <v>0</v>
      </c>
      <c r="AD318" s="2" t="str">
        <f>Tab_Data_Flows[[#This Row],[E1_UoM]]</f>
        <v>Mg</v>
      </c>
      <c r="AE318" s="19">
        <f>_xlfn.XLOOKUP(Tab_Data_Flows[[#This Row],[Flow_Name]],Tab_Def_Flows[Flow_Name],Tab_Def_Flows[Flow_E4_Fraction'[%']],"N.A.",0,1)</f>
        <v>0</v>
      </c>
      <c r="AF318" s="2">
        <f>IF(H318="Yes",Tab_Data_Flows[[#This Row],[E4_Fraction'[%']]]*Tab_Data_Flows[[#This Row],[E1_value]],"N.A.")</f>
        <v>0</v>
      </c>
      <c r="AG318" s="2" t="str">
        <f>Tab_Data_Flows[[#This Row],[E1_UoM]]</f>
        <v>Mg</v>
      </c>
      <c r="AH318" s="2">
        <f>_xlfn.XLOOKUP(Tab_Data_Flows[[#This Row],[Flow_Name]],Tab_Def_Flows[Flow_Name],Tab_Def_Flows[Flow_E5_Fraction'[%']],"N.A.",0,1)</f>
        <v>0</v>
      </c>
      <c r="AI318" s="2">
        <f>IF(H318="Yes",Tab_Data_Flows[[#This Row],[E5_Fraction'[%']]]*Tab_Data_Flows[[#This Row],[E1_value]],"N.A.")</f>
        <v>0</v>
      </c>
      <c r="AJ318" s="2" t="str">
        <f>Tab_Data_Flows[[#This Row],[E1_UoM]]</f>
        <v>Mg</v>
      </c>
      <c r="AK318" s="19">
        <f>_xlfn.XLOOKUP(Tab_Data_Flows[[#This Row],[Flow_Name]],Tab_Def_Flows[Flow_Name],Tab_Def_Flows[Flow_E6_Fraction'[%']],"N.A.",0,1)</f>
        <v>0</v>
      </c>
      <c r="AL318" s="2">
        <f>IF(Tab_Data_Flows[[#This Row],[Use_E6]]="Yes",Tab_Data_Flows[[#This Row],[E6_Fraction'[%']]]*Tab_Data_Flows[[#This Row],[E1_value]],"N.A.")</f>
        <v>0</v>
      </c>
      <c r="AM318" s="2" t="str">
        <f>Tab_Data_Flows[[#This Row],[E1_UoM]]</f>
        <v>Mg</v>
      </c>
    </row>
    <row r="319" spans="1:39" x14ac:dyDescent="0.25">
      <c r="A319" s="4">
        <f t="shared" si="9"/>
        <v>318</v>
      </c>
      <c r="B319" s="2" t="str">
        <f>_xlfn.XLOOKUP(C319,Tab_Def_Flows[Flow_Name],Tab_Def_Flows[Flow_ID],,0,)</f>
        <v>F__</v>
      </c>
      <c r="C319" s="18" t="s">
        <v>5</v>
      </c>
      <c r="D319" s="5" t="str">
        <f>_xlfn.XLOOKUP(C319,Tab_Def_Flows[Flow_Name],Tab_Def_Flows[Use_E1],,0,)</f>
        <v>Yes</v>
      </c>
      <c r="E319" s="5" t="str">
        <f>_xlfn.XLOOKUP(C319,Tab_Def_Flows[Flow_Name],Tab_Def_Flows[Use_E2],,0,)</f>
        <v>Yes</v>
      </c>
      <c r="F319" s="5" t="str">
        <f>_xlfn.XLOOKUP(C319,Tab_Def_Flows[Flow_Name],Tab_Def_Flows[Use_E3],,0,)</f>
        <v>Yes</v>
      </c>
      <c r="G319" s="5" t="str">
        <f>_xlfn.XLOOKUP(C319,Tab_Def_Flows[Flow_Name],Tab_Def_Flows[Use_E4],,0,)</f>
        <v>Yes</v>
      </c>
      <c r="H319" s="5" t="str">
        <f>_xlfn.XLOOKUP(C319,Tab_Def_Flows[Flow_Name],Tab_Def_Flows[Use_E5],,0,)</f>
        <v>Yes</v>
      </c>
      <c r="I319" s="5" t="str">
        <f>_xlfn.XLOOKUP(C319,Tab_Def_Flows[Flow_Name],Tab_Def_Flows[Use_E6],,0,)</f>
        <v>Yes</v>
      </c>
      <c r="J319" s="3"/>
      <c r="K319" s="3"/>
      <c r="L319" s="2" t="str">
        <f>'0_Configuration'!$C$41</f>
        <v>Mg</v>
      </c>
      <c r="M319" s="9"/>
      <c r="N319" s="9"/>
      <c r="O319" s="9"/>
      <c r="P319" s="9"/>
      <c r="Q319" s="18" t="s">
        <v>3</v>
      </c>
      <c r="R319" s="10"/>
      <c r="S319" s="3"/>
      <c r="T319" s="9"/>
      <c r="U319" s="9"/>
      <c r="V319" s="2">
        <f>_xlfn.XLOOKUP(Tab_Data_Flows[[#This Row],[Flow_Name]],Tab_Def_Flows[Flow_Name],Tab_Def_Flows[Flow_E1_Fraction'[%']],"N.A.",0,1)</f>
        <v>0</v>
      </c>
      <c r="W319" s="8">
        <f t="shared" si="8"/>
        <v>0</v>
      </c>
      <c r="X319" s="2" t="str">
        <f>Tab_Data_Flows[[#This Row],[UoM_Source]]</f>
        <v>Mg</v>
      </c>
      <c r="Y319" s="19">
        <f>_xlfn.XLOOKUP(Tab_Data_Flows[[#This Row],[Flow_Name]],Tab_Def_Flows[Flow_Name],Tab_Def_Flows[Flow_E2_Fraction'[%']],"N.A.",0,1)</f>
        <v>0</v>
      </c>
      <c r="Z319" s="2">
        <f>IF(D319="Yes",W319*Tab_Data_Flows[[#This Row],[E2_Fraction'[%']]],"N.A.")</f>
        <v>0</v>
      </c>
      <c r="AA319" s="2" t="str">
        <f>Tab_Data_Flows[[#This Row],[E1_UoM]]</f>
        <v>Mg</v>
      </c>
      <c r="AB319" s="19">
        <f>_xlfn.XLOOKUP(Tab_Data_Flows[[#This Row],[Flow_Name]],Tab_Def_Flows[Flow_Name],Tab_Def_Flows[Flow_E3_Fraction'[%']],"N.A.",0,1)</f>
        <v>0</v>
      </c>
      <c r="AC319" s="2">
        <f>IF(E319="Yes",AB319*Tab_Data_Flows[[#This Row],[E1_value]],"N.A.")</f>
        <v>0</v>
      </c>
      <c r="AD319" s="2" t="str">
        <f>Tab_Data_Flows[[#This Row],[E1_UoM]]</f>
        <v>Mg</v>
      </c>
      <c r="AE319" s="19">
        <f>_xlfn.XLOOKUP(Tab_Data_Flows[[#This Row],[Flow_Name]],Tab_Def_Flows[Flow_Name],Tab_Def_Flows[Flow_E4_Fraction'[%']],"N.A.",0,1)</f>
        <v>0</v>
      </c>
      <c r="AF319" s="2">
        <f>IF(H319="Yes",Tab_Data_Flows[[#This Row],[E4_Fraction'[%']]]*Tab_Data_Flows[[#This Row],[E1_value]],"N.A.")</f>
        <v>0</v>
      </c>
      <c r="AG319" s="2" t="str">
        <f>Tab_Data_Flows[[#This Row],[E1_UoM]]</f>
        <v>Mg</v>
      </c>
      <c r="AH319" s="2">
        <f>_xlfn.XLOOKUP(Tab_Data_Flows[[#This Row],[Flow_Name]],Tab_Def_Flows[Flow_Name],Tab_Def_Flows[Flow_E5_Fraction'[%']],"N.A.",0,1)</f>
        <v>0</v>
      </c>
      <c r="AI319" s="2">
        <f>IF(H319="Yes",Tab_Data_Flows[[#This Row],[E5_Fraction'[%']]]*Tab_Data_Flows[[#This Row],[E1_value]],"N.A.")</f>
        <v>0</v>
      </c>
      <c r="AJ319" s="2" t="str">
        <f>Tab_Data_Flows[[#This Row],[E1_UoM]]</f>
        <v>Mg</v>
      </c>
      <c r="AK319" s="19">
        <f>_xlfn.XLOOKUP(Tab_Data_Flows[[#This Row],[Flow_Name]],Tab_Def_Flows[Flow_Name],Tab_Def_Flows[Flow_E6_Fraction'[%']],"N.A.",0,1)</f>
        <v>0</v>
      </c>
      <c r="AL319" s="2">
        <f>IF(Tab_Data_Flows[[#This Row],[Use_E6]]="Yes",Tab_Data_Flows[[#This Row],[E6_Fraction'[%']]]*Tab_Data_Flows[[#This Row],[E1_value]],"N.A.")</f>
        <v>0</v>
      </c>
      <c r="AM319" s="2" t="str">
        <f>Tab_Data_Flows[[#This Row],[E1_UoM]]</f>
        <v>Mg</v>
      </c>
    </row>
    <row r="320" spans="1:39" x14ac:dyDescent="0.25">
      <c r="A320" s="4">
        <f t="shared" si="9"/>
        <v>319</v>
      </c>
      <c r="B320" s="2" t="str">
        <f>_xlfn.XLOOKUP(C320,Tab_Def_Flows[Flow_Name],Tab_Def_Flows[Flow_ID],,0,)</f>
        <v>F__</v>
      </c>
      <c r="C320" s="18" t="s">
        <v>5</v>
      </c>
      <c r="D320" s="5" t="str">
        <f>_xlfn.XLOOKUP(C320,Tab_Def_Flows[Flow_Name],Tab_Def_Flows[Use_E1],,0,)</f>
        <v>Yes</v>
      </c>
      <c r="E320" s="5" t="str">
        <f>_xlfn.XLOOKUP(C320,Tab_Def_Flows[Flow_Name],Tab_Def_Flows[Use_E2],,0,)</f>
        <v>Yes</v>
      </c>
      <c r="F320" s="5" t="str">
        <f>_xlfn.XLOOKUP(C320,Tab_Def_Flows[Flow_Name],Tab_Def_Flows[Use_E3],,0,)</f>
        <v>Yes</v>
      </c>
      <c r="G320" s="5" t="str">
        <f>_xlfn.XLOOKUP(C320,Tab_Def_Flows[Flow_Name],Tab_Def_Flows[Use_E4],,0,)</f>
        <v>Yes</v>
      </c>
      <c r="H320" s="5" t="str">
        <f>_xlfn.XLOOKUP(C320,Tab_Def_Flows[Flow_Name],Tab_Def_Flows[Use_E5],,0,)</f>
        <v>Yes</v>
      </c>
      <c r="I320" s="5" t="str">
        <f>_xlfn.XLOOKUP(C320,Tab_Def_Flows[Flow_Name],Tab_Def_Flows[Use_E6],,0,)</f>
        <v>Yes</v>
      </c>
      <c r="J320" s="3"/>
      <c r="K320" s="3"/>
      <c r="L320" s="2" t="str">
        <f>'0_Configuration'!$C$41</f>
        <v>Mg</v>
      </c>
      <c r="M320" s="9"/>
      <c r="N320" s="9"/>
      <c r="O320" s="9"/>
      <c r="P320" s="9"/>
      <c r="Q320" s="18" t="s">
        <v>3</v>
      </c>
      <c r="R320" s="10"/>
      <c r="S320" s="3"/>
      <c r="T320" s="9"/>
      <c r="U320" s="9"/>
      <c r="V320" s="2">
        <f>_xlfn.XLOOKUP(Tab_Data_Flows[[#This Row],[Flow_Name]],Tab_Def_Flows[Flow_Name],Tab_Def_Flows[Flow_E1_Fraction'[%']],"N.A.",0,1)</f>
        <v>0</v>
      </c>
      <c r="W320" s="8">
        <f t="shared" si="8"/>
        <v>0</v>
      </c>
      <c r="X320" s="2" t="str">
        <f>Tab_Data_Flows[[#This Row],[UoM_Source]]</f>
        <v>Mg</v>
      </c>
      <c r="Y320" s="19">
        <f>_xlfn.XLOOKUP(Tab_Data_Flows[[#This Row],[Flow_Name]],Tab_Def_Flows[Flow_Name],Tab_Def_Flows[Flow_E2_Fraction'[%']],"N.A.",0,1)</f>
        <v>0</v>
      </c>
      <c r="Z320" s="2">
        <f>IF(D320="Yes",W320*Tab_Data_Flows[[#This Row],[E2_Fraction'[%']]],"N.A.")</f>
        <v>0</v>
      </c>
      <c r="AA320" s="2" t="str">
        <f>Tab_Data_Flows[[#This Row],[E1_UoM]]</f>
        <v>Mg</v>
      </c>
      <c r="AB320" s="19">
        <f>_xlfn.XLOOKUP(Tab_Data_Flows[[#This Row],[Flow_Name]],Tab_Def_Flows[Flow_Name],Tab_Def_Flows[Flow_E3_Fraction'[%']],"N.A.",0,1)</f>
        <v>0</v>
      </c>
      <c r="AC320" s="2">
        <f>IF(E320="Yes",AB320*Tab_Data_Flows[[#This Row],[E1_value]],"N.A.")</f>
        <v>0</v>
      </c>
      <c r="AD320" s="2" t="str">
        <f>Tab_Data_Flows[[#This Row],[E1_UoM]]</f>
        <v>Mg</v>
      </c>
      <c r="AE320" s="19">
        <f>_xlfn.XLOOKUP(Tab_Data_Flows[[#This Row],[Flow_Name]],Tab_Def_Flows[Flow_Name],Tab_Def_Flows[Flow_E4_Fraction'[%']],"N.A.",0,1)</f>
        <v>0</v>
      </c>
      <c r="AF320" s="2">
        <f>IF(H320="Yes",Tab_Data_Flows[[#This Row],[E4_Fraction'[%']]]*Tab_Data_Flows[[#This Row],[E1_value]],"N.A.")</f>
        <v>0</v>
      </c>
      <c r="AG320" s="2" t="str">
        <f>Tab_Data_Flows[[#This Row],[E1_UoM]]</f>
        <v>Mg</v>
      </c>
      <c r="AH320" s="2">
        <f>_xlfn.XLOOKUP(Tab_Data_Flows[[#This Row],[Flow_Name]],Tab_Def_Flows[Flow_Name],Tab_Def_Flows[Flow_E5_Fraction'[%']],"N.A.",0,1)</f>
        <v>0</v>
      </c>
      <c r="AI320" s="2">
        <f>IF(H320="Yes",Tab_Data_Flows[[#This Row],[E5_Fraction'[%']]]*Tab_Data_Flows[[#This Row],[E1_value]],"N.A.")</f>
        <v>0</v>
      </c>
      <c r="AJ320" s="2" t="str">
        <f>Tab_Data_Flows[[#This Row],[E1_UoM]]</f>
        <v>Mg</v>
      </c>
      <c r="AK320" s="19">
        <f>_xlfn.XLOOKUP(Tab_Data_Flows[[#This Row],[Flow_Name]],Tab_Def_Flows[Flow_Name],Tab_Def_Flows[Flow_E6_Fraction'[%']],"N.A.",0,1)</f>
        <v>0</v>
      </c>
      <c r="AL320" s="2">
        <f>IF(Tab_Data_Flows[[#This Row],[Use_E6]]="Yes",Tab_Data_Flows[[#This Row],[E6_Fraction'[%']]]*Tab_Data_Flows[[#This Row],[E1_value]],"N.A.")</f>
        <v>0</v>
      </c>
      <c r="AM320" s="2" t="str">
        <f>Tab_Data_Flows[[#This Row],[E1_UoM]]</f>
        <v>Mg</v>
      </c>
    </row>
    <row r="321" spans="1:39" x14ac:dyDescent="0.25">
      <c r="A321" s="4">
        <f t="shared" si="9"/>
        <v>320</v>
      </c>
      <c r="B321" s="2" t="str">
        <f>_xlfn.XLOOKUP(C321,Tab_Def_Flows[Flow_Name],Tab_Def_Flows[Flow_ID],,0,)</f>
        <v>F__</v>
      </c>
      <c r="C321" s="18" t="s">
        <v>5</v>
      </c>
      <c r="D321" s="5" t="str">
        <f>_xlfn.XLOOKUP(C321,Tab_Def_Flows[Flow_Name],Tab_Def_Flows[Use_E1],,0,)</f>
        <v>Yes</v>
      </c>
      <c r="E321" s="5" t="str">
        <f>_xlfn.XLOOKUP(C321,Tab_Def_Flows[Flow_Name],Tab_Def_Flows[Use_E2],,0,)</f>
        <v>Yes</v>
      </c>
      <c r="F321" s="5" t="str">
        <f>_xlfn.XLOOKUP(C321,Tab_Def_Flows[Flow_Name],Tab_Def_Flows[Use_E3],,0,)</f>
        <v>Yes</v>
      </c>
      <c r="G321" s="5" t="str">
        <f>_xlfn.XLOOKUP(C321,Tab_Def_Flows[Flow_Name],Tab_Def_Flows[Use_E4],,0,)</f>
        <v>Yes</v>
      </c>
      <c r="H321" s="5" t="str">
        <f>_xlfn.XLOOKUP(C321,Tab_Def_Flows[Flow_Name],Tab_Def_Flows[Use_E5],,0,)</f>
        <v>Yes</v>
      </c>
      <c r="I321" s="5" t="str">
        <f>_xlfn.XLOOKUP(C321,Tab_Def_Flows[Flow_Name],Tab_Def_Flows[Use_E6],,0,)</f>
        <v>Yes</v>
      </c>
      <c r="J321" s="3"/>
      <c r="K321" s="3"/>
      <c r="L321" s="2" t="str">
        <f>'0_Configuration'!$C$41</f>
        <v>Mg</v>
      </c>
      <c r="M321" s="9"/>
      <c r="N321" s="9"/>
      <c r="O321" s="9"/>
      <c r="P321" s="9"/>
      <c r="Q321" s="18" t="s">
        <v>3</v>
      </c>
      <c r="R321" s="10"/>
      <c r="S321" s="3"/>
      <c r="T321" s="9"/>
      <c r="U321" s="9"/>
      <c r="V321" s="2">
        <f>_xlfn.XLOOKUP(Tab_Data_Flows[[#This Row],[Flow_Name]],Tab_Def_Flows[Flow_Name],Tab_Def_Flows[Flow_E1_Fraction'[%']],"N.A.",0,1)</f>
        <v>0</v>
      </c>
      <c r="W321" s="8">
        <f t="shared" si="8"/>
        <v>0</v>
      </c>
      <c r="X321" s="2" t="str">
        <f>Tab_Data_Flows[[#This Row],[UoM_Source]]</f>
        <v>Mg</v>
      </c>
      <c r="Y321" s="19">
        <f>_xlfn.XLOOKUP(Tab_Data_Flows[[#This Row],[Flow_Name]],Tab_Def_Flows[Flow_Name],Tab_Def_Flows[Flow_E2_Fraction'[%']],"N.A.",0,1)</f>
        <v>0</v>
      </c>
      <c r="Z321" s="2">
        <f>IF(D321="Yes",W321*Tab_Data_Flows[[#This Row],[E2_Fraction'[%']]],"N.A.")</f>
        <v>0</v>
      </c>
      <c r="AA321" s="2" t="str">
        <f>Tab_Data_Flows[[#This Row],[E1_UoM]]</f>
        <v>Mg</v>
      </c>
      <c r="AB321" s="19">
        <f>_xlfn.XLOOKUP(Tab_Data_Flows[[#This Row],[Flow_Name]],Tab_Def_Flows[Flow_Name],Tab_Def_Flows[Flow_E3_Fraction'[%']],"N.A.",0,1)</f>
        <v>0</v>
      </c>
      <c r="AC321" s="2">
        <f>IF(E321="Yes",AB321*Tab_Data_Flows[[#This Row],[E1_value]],"N.A.")</f>
        <v>0</v>
      </c>
      <c r="AD321" s="2" t="str">
        <f>Tab_Data_Flows[[#This Row],[E1_UoM]]</f>
        <v>Mg</v>
      </c>
      <c r="AE321" s="19">
        <f>_xlfn.XLOOKUP(Tab_Data_Flows[[#This Row],[Flow_Name]],Tab_Def_Flows[Flow_Name],Tab_Def_Flows[Flow_E4_Fraction'[%']],"N.A.",0,1)</f>
        <v>0</v>
      </c>
      <c r="AF321" s="2">
        <f>IF(H321="Yes",Tab_Data_Flows[[#This Row],[E4_Fraction'[%']]]*Tab_Data_Flows[[#This Row],[E1_value]],"N.A.")</f>
        <v>0</v>
      </c>
      <c r="AG321" s="2" t="str">
        <f>Tab_Data_Flows[[#This Row],[E1_UoM]]</f>
        <v>Mg</v>
      </c>
      <c r="AH321" s="2">
        <f>_xlfn.XLOOKUP(Tab_Data_Flows[[#This Row],[Flow_Name]],Tab_Def_Flows[Flow_Name],Tab_Def_Flows[Flow_E5_Fraction'[%']],"N.A.",0,1)</f>
        <v>0</v>
      </c>
      <c r="AI321" s="2">
        <f>IF(H321="Yes",Tab_Data_Flows[[#This Row],[E5_Fraction'[%']]]*Tab_Data_Flows[[#This Row],[E1_value]],"N.A.")</f>
        <v>0</v>
      </c>
      <c r="AJ321" s="2" t="str">
        <f>Tab_Data_Flows[[#This Row],[E1_UoM]]</f>
        <v>Mg</v>
      </c>
      <c r="AK321" s="19">
        <f>_xlfn.XLOOKUP(Tab_Data_Flows[[#This Row],[Flow_Name]],Tab_Def_Flows[Flow_Name],Tab_Def_Flows[Flow_E6_Fraction'[%']],"N.A.",0,1)</f>
        <v>0</v>
      </c>
      <c r="AL321" s="2">
        <f>IF(Tab_Data_Flows[[#This Row],[Use_E6]]="Yes",Tab_Data_Flows[[#This Row],[E6_Fraction'[%']]]*Tab_Data_Flows[[#This Row],[E1_value]],"N.A.")</f>
        <v>0</v>
      </c>
      <c r="AM321" s="2" t="str">
        <f>Tab_Data_Flows[[#This Row],[E1_UoM]]</f>
        <v>Mg</v>
      </c>
    </row>
    <row r="322" spans="1:39" x14ac:dyDescent="0.25">
      <c r="A322" s="4">
        <f t="shared" si="9"/>
        <v>321</v>
      </c>
      <c r="B322" s="2" t="str">
        <f>_xlfn.XLOOKUP(C322,Tab_Def_Flows[Flow_Name],Tab_Def_Flows[Flow_ID],,0,)</f>
        <v>F__</v>
      </c>
      <c r="C322" s="18" t="s">
        <v>5</v>
      </c>
      <c r="D322" s="5" t="str">
        <f>_xlfn.XLOOKUP(C322,Tab_Def_Flows[Flow_Name],Tab_Def_Flows[Use_E1],,0,)</f>
        <v>Yes</v>
      </c>
      <c r="E322" s="5" t="str">
        <f>_xlfn.XLOOKUP(C322,Tab_Def_Flows[Flow_Name],Tab_Def_Flows[Use_E2],,0,)</f>
        <v>Yes</v>
      </c>
      <c r="F322" s="5" t="str">
        <f>_xlfn.XLOOKUP(C322,Tab_Def_Flows[Flow_Name],Tab_Def_Flows[Use_E3],,0,)</f>
        <v>Yes</v>
      </c>
      <c r="G322" s="5" t="str">
        <f>_xlfn.XLOOKUP(C322,Tab_Def_Flows[Flow_Name],Tab_Def_Flows[Use_E4],,0,)</f>
        <v>Yes</v>
      </c>
      <c r="H322" s="5" t="str">
        <f>_xlfn.XLOOKUP(C322,Tab_Def_Flows[Flow_Name],Tab_Def_Flows[Use_E5],,0,)</f>
        <v>Yes</v>
      </c>
      <c r="I322" s="5" t="str">
        <f>_xlfn.XLOOKUP(C322,Tab_Def_Flows[Flow_Name],Tab_Def_Flows[Use_E6],,0,)</f>
        <v>Yes</v>
      </c>
      <c r="J322" s="3"/>
      <c r="K322" s="3"/>
      <c r="L322" s="2" t="str">
        <f>'0_Configuration'!$C$41</f>
        <v>Mg</v>
      </c>
      <c r="M322" s="9"/>
      <c r="N322" s="9"/>
      <c r="O322" s="9"/>
      <c r="P322" s="9"/>
      <c r="Q322" s="18" t="s">
        <v>3</v>
      </c>
      <c r="R322" s="10"/>
      <c r="S322" s="3"/>
      <c r="T322" s="9"/>
      <c r="U322" s="9"/>
      <c r="V322" s="2">
        <f>_xlfn.XLOOKUP(Tab_Data_Flows[[#This Row],[Flow_Name]],Tab_Def_Flows[Flow_Name],Tab_Def_Flows[Flow_E1_Fraction'[%']],"N.A.",0,1)</f>
        <v>0</v>
      </c>
      <c r="W322" s="8">
        <f t="shared" ref="W322:W349" si="10">IF(Q322="no",K322,K322*R322)</f>
        <v>0</v>
      </c>
      <c r="X322" s="2" t="str">
        <f>Tab_Data_Flows[[#This Row],[UoM_Source]]</f>
        <v>Mg</v>
      </c>
      <c r="Y322" s="19">
        <f>_xlfn.XLOOKUP(Tab_Data_Flows[[#This Row],[Flow_Name]],Tab_Def_Flows[Flow_Name],Tab_Def_Flows[Flow_E2_Fraction'[%']],"N.A.",0,1)</f>
        <v>0</v>
      </c>
      <c r="Z322" s="2">
        <f>IF(D322="Yes",W322*Tab_Data_Flows[[#This Row],[E2_Fraction'[%']]],"N.A.")</f>
        <v>0</v>
      </c>
      <c r="AA322" s="2" t="str">
        <f>Tab_Data_Flows[[#This Row],[E1_UoM]]</f>
        <v>Mg</v>
      </c>
      <c r="AB322" s="19">
        <f>_xlfn.XLOOKUP(Tab_Data_Flows[[#This Row],[Flow_Name]],Tab_Def_Flows[Flow_Name],Tab_Def_Flows[Flow_E3_Fraction'[%']],"N.A.",0,1)</f>
        <v>0</v>
      </c>
      <c r="AC322" s="2">
        <f>IF(E322="Yes",AB322*Tab_Data_Flows[[#This Row],[E1_value]],"N.A.")</f>
        <v>0</v>
      </c>
      <c r="AD322" s="2" t="str">
        <f>Tab_Data_Flows[[#This Row],[E1_UoM]]</f>
        <v>Mg</v>
      </c>
      <c r="AE322" s="19">
        <f>_xlfn.XLOOKUP(Tab_Data_Flows[[#This Row],[Flow_Name]],Tab_Def_Flows[Flow_Name],Tab_Def_Flows[Flow_E4_Fraction'[%']],"N.A.",0,1)</f>
        <v>0</v>
      </c>
      <c r="AF322" s="2">
        <f>IF(H322="Yes",Tab_Data_Flows[[#This Row],[E4_Fraction'[%']]]*Tab_Data_Flows[[#This Row],[E1_value]],"N.A.")</f>
        <v>0</v>
      </c>
      <c r="AG322" s="2" t="str">
        <f>Tab_Data_Flows[[#This Row],[E1_UoM]]</f>
        <v>Mg</v>
      </c>
      <c r="AH322" s="2">
        <f>_xlfn.XLOOKUP(Tab_Data_Flows[[#This Row],[Flow_Name]],Tab_Def_Flows[Flow_Name],Tab_Def_Flows[Flow_E5_Fraction'[%']],"N.A.",0,1)</f>
        <v>0</v>
      </c>
      <c r="AI322" s="2">
        <f>IF(H322="Yes",Tab_Data_Flows[[#This Row],[E5_Fraction'[%']]]*Tab_Data_Flows[[#This Row],[E1_value]],"N.A.")</f>
        <v>0</v>
      </c>
      <c r="AJ322" s="2" t="str">
        <f>Tab_Data_Flows[[#This Row],[E1_UoM]]</f>
        <v>Mg</v>
      </c>
      <c r="AK322" s="19">
        <f>_xlfn.XLOOKUP(Tab_Data_Flows[[#This Row],[Flow_Name]],Tab_Def_Flows[Flow_Name],Tab_Def_Flows[Flow_E6_Fraction'[%']],"N.A.",0,1)</f>
        <v>0</v>
      </c>
      <c r="AL322" s="2">
        <f>IF(Tab_Data_Flows[[#This Row],[Use_E6]]="Yes",Tab_Data_Flows[[#This Row],[E6_Fraction'[%']]]*Tab_Data_Flows[[#This Row],[E1_value]],"N.A.")</f>
        <v>0</v>
      </c>
      <c r="AM322" s="2" t="str">
        <f>Tab_Data_Flows[[#This Row],[E1_UoM]]</f>
        <v>Mg</v>
      </c>
    </row>
    <row r="323" spans="1:39" x14ac:dyDescent="0.25">
      <c r="A323" s="4">
        <f t="shared" ref="A323:A346" si="11">ROW()-1</f>
        <v>322</v>
      </c>
      <c r="B323" s="2" t="str">
        <f>_xlfn.XLOOKUP(C323,Tab_Def_Flows[Flow_Name],Tab_Def_Flows[Flow_ID],,0,)</f>
        <v>F__</v>
      </c>
      <c r="C323" s="18" t="s">
        <v>5</v>
      </c>
      <c r="D323" s="5" t="str">
        <f>_xlfn.XLOOKUP(C323,Tab_Def_Flows[Flow_Name],Tab_Def_Flows[Use_E1],,0,)</f>
        <v>Yes</v>
      </c>
      <c r="E323" s="5" t="str">
        <f>_xlfn.XLOOKUP(C323,Tab_Def_Flows[Flow_Name],Tab_Def_Flows[Use_E2],,0,)</f>
        <v>Yes</v>
      </c>
      <c r="F323" s="5" t="str">
        <f>_xlfn.XLOOKUP(C323,Tab_Def_Flows[Flow_Name],Tab_Def_Flows[Use_E3],,0,)</f>
        <v>Yes</v>
      </c>
      <c r="G323" s="5" t="str">
        <f>_xlfn.XLOOKUP(C323,Tab_Def_Flows[Flow_Name],Tab_Def_Flows[Use_E4],,0,)</f>
        <v>Yes</v>
      </c>
      <c r="H323" s="5" t="str">
        <f>_xlfn.XLOOKUP(C323,Tab_Def_Flows[Flow_Name],Tab_Def_Flows[Use_E5],,0,)</f>
        <v>Yes</v>
      </c>
      <c r="I323" s="5" t="str">
        <f>_xlfn.XLOOKUP(C323,Tab_Def_Flows[Flow_Name],Tab_Def_Flows[Use_E6],,0,)</f>
        <v>Yes</v>
      </c>
      <c r="J323" s="3"/>
      <c r="K323" s="3"/>
      <c r="L323" s="2" t="str">
        <f>'0_Configuration'!$C$41</f>
        <v>Mg</v>
      </c>
      <c r="M323" s="9"/>
      <c r="N323" s="9"/>
      <c r="O323" s="9"/>
      <c r="P323" s="9"/>
      <c r="Q323" s="18" t="s">
        <v>3</v>
      </c>
      <c r="R323" s="10"/>
      <c r="S323" s="3"/>
      <c r="T323" s="9"/>
      <c r="U323" s="9"/>
      <c r="V323" s="2">
        <f>_xlfn.XLOOKUP(Tab_Data_Flows[[#This Row],[Flow_Name]],Tab_Def_Flows[Flow_Name],Tab_Def_Flows[Flow_E1_Fraction'[%']],"N.A.",0,1)</f>
        <v>0</v>
      </c>
      <c r="W323" s="8">
        <f t="shared" si="10"/>
        <v>0</v>
      </c>
      <c r="X323" s="2" t="str">
        <f>Tab_Data_Flows[[#This Row],[UoM_Source]]</f>
        <v>Mg</v>
      </c>
      <c r="Y323" s="19">
        <f>_xlfn.XLOOKUP(Tab_Data_Flows[[#This Row],[Flow_Name]],Tab_Def_Flows[Flow_Name],Tab_Def_Flows[Flow_E2_Fraction'[%']],"N.A.",0,1)</f>
        <v>0</v>
      </c>
      <c r="Z323" s="2">
        <f>IF(D323="Yes",W323*Tab_Data_Flows[[#This Row],[E2_Fraction'[%']]],"N.A.")</f>
        <v>0</v>
      </c>
      <c r="AA323" s="2" t="str">
        <f>Tab_Data_Flows[[#This Row],[E1_UoM]]</f>
        <v>Mg</v>
      </c>
      <c r="AB323" s="19">
        <f>_xlfn.XLOOKUP(Tab_Data_Flows[[#This Row],[Flow_Name]],Tab_Def_Flows[Flow_Name],Tab_Def_Flows[Flow_E3_Fraction'[%']],"N.A.",0,1)</f>
        <v>0</v>
      </c>
      <c r="AC323" s="2">
        <f>IF(E323="Yes",AB323*Tab_Data_Flows[[#This Row],[E1_value]],"N.A.")</f>
        <v>0</v>
      </c>
      <c r="AD323" s="2" t="str">
        <f>Tab_Data_Flows[[#This Row],[E1_UoM]]</f>
        <v>Mg</v>
      </c>
      <c r="AE323" s="19">
        <f>_xlfn.XLOOKUP(Tab_Data_Flows[[#This Row],[Flow_Name]],Tab_Def_Flows[Flow_Name],Tab_Def_Flows[Flow_E4_Fraction'[%']],"N.A.",0,1)</f>
        <v>0</v>
      </c>
      <c r="AF323" s="2">
        <f>IF(H323="Yes",Tab_Data_Flows[[#This Row],[E4_Fraction'[%']]]*Tab_Data_Flows[[#This Row],[E1_value]],"N.A.")</f>
        <v>0</v>
      </c>
      <c r="AG323" s="2" t="str">
        <f>Tab_Data_Flows[[#This Row],[E1_UoM]]</f>
        <v>Mg</v>
      </c>
      <c r="AH323" s="2">
        <f>_xlfn.XLOOKUP(Tab_Data_Flows[[#This Row],[Flow_Name]],Tab_Def_Flows[Flow_Name],Tab_Def_Flows[Flow_E5_Fraction'[%']],"N.A.",0,1)</f>
        <v>0</v>
      </c>
      <c r="AI323" s="2">
        <f>IF(H323="Yes",Tab_Data_Flows[[#This Row],[E5_Fraction'[%']]]*Tab_Data_Flows[[#This Row],[E1_value]],"N.A.")</f>
        <v>0</v>
      </c>
      <c r="AJ323" s="2" t="str">
        <f>Tab_Data_Flows[[#This Row],[E1_UoM]]</f>
        <v>Mg</v>
      </c>
      <c r="AK323" s="19">
        <f>_xlfn.XLOOKUP(Tab_Data_Flows[[#This Row],[Flow_Name]],Tab_Def_Flows[Flow_Name],Tab_Def_Flows[Flow_E6_Fraction'[%']],"N.A.",0,1)</f>
        <v>0</v>
      </c>
      <c r="AL323" s="2">
        <f>IF(Tab_Data_Flows[[#This Row],[Use_E6]]="Yes",Tab_Data_Flows[[#This Row],[E6_Fraction'[%']]]*Tab_Data_Flows[[#This Row],[E1_value]],"N.A.")</f>
        <v>0</v>
      </c>
      <c r="AM323" s="2" t="str">
        <f>Tab_Data_Flows[[#This Row],[E1_UoM]]</f>
        <v>Mg</v>
      </c>
    </row>
    <row r="324" spans="1:39" x14ac:dyDescent="0.25">
      <c r="A324" s="4">
        <f t="shared" si="11"/>
        <v>323</v>
      </c>
      <c r="B324" s="2" t="str">
        <f>_xlfn.XLOOKUP(C324,Tab_Def_Flows[Flow_Name],Tab_Def_Flows[Flow_ID],,0,)</f>
        <v>F__</v>
      </c>
      <c r="C324" s="18" t="s">
        <v>5</v>
      </c>
      <c r="D324" s="5" t="str">
        <f>_xlfn.XLOOKUP(C324,Tab_Def_Flows[Flow_Name],Tab_Def_Flows[Use_E1],,0,)</f>
        <v>Yes</v>
      </c>
      <c r="E324" s="5" t="str">
        <f>_xlfn.XLOOKUP(C324,Tab_Def_Flows[Flow_Name],Tab_Def_Flows[Use_E2],,0,)</f>
        <v>Yes</v>
      </c>
      <c r="F324" s="5" t="str">
        <f>_xlfn.XLOOKUP(C324,Tab_Def_Flows[Flow_Name],Tab_Def_Flows[Use_E3],,0,)</f>
        <v>Yes</v>
      </c>
      <c r="G324" s="5" t="str">
        <f>_xlfn.XLOOKUP(C324,Tab_Def_Flows[Flow_Name],Tab_Def_Flows[Use_E4],,0,)</f>
        <v>Yes</v>
      </c>
      <c r="H324" s="5" t="str">
        <f>_xlfn.XLOOKUP(C324,Tab_Def_Flows[Flow_Name],Tab_Def_Flows[Use_E5],,0,)</f>
        <v>Yes</v>
      </c>
      <c r="I324" s="5" t="str">
        <f>_xlfn.XLOOKUP(C324,Tab_Def_Flows[Flow_Name],Tab_Def_Flows[Use_E6],,0,)</f>
        <v>Yes</v>
      </c>
      <c r="J324" s="3"/>
      <c r="K324" s="3"/>
      <c r="L324" s="2" t="str">
        <f>'0_Configuration'!$C$41</f>
        <v>Mg</v>
      </c>
      <c r="M324" s="9"/>
      <c r="N324" s="9"/>
      <c r="O324" s="9"/>
      <c r="P324" s="9"/>
      <c r="Q324" s="18" t="s">
        <v>3</v>
      </c>
      <c r="R324" s="10"/>
      <c r="S324" s="3"/>
      <c r="T324" s="9"/>
      <c r="U324" s="9"/>
      <c r="V324" s="2">
        <f>_xlfn.XLOOKUP(Tab_Data_Flows[[#This Row],[Flow_Name]],Tab_Def_Flows[Flow_Name],Tab_Def_Flows[Flow_E1_Fraction'[%']],"N.A.",0,1)</f>
        <v>0</v>
      </c>
      <c r="W324" s="8">
        <f t="shared" si="10"/>
        <v>0</v>
      </c>
      <c r="X324" s="2" t="str">
        <f>Tab_Data_Flows[[#This Row],[UoM_Source]]</f>
        <v>Mg</v>
      </c>
      <c r="Y324" s="19">
        <f>_xlfn.XLOOKUP(Tab_Data_Flows[[#This Row],[Flow_Name]],Tab_Def_Flows[Flow_Name],Tab_Def_Flows[Flow_E2_Fraction'[%']],"N.A.",0,1)</f>
        <v>0</v>
      </c>
      <c r="Z324" s="2">
        <f>IF(D324="Yes",W324*Tab_Data_Flows[[#This Row],[E2_Fraction'[%']]],"N.A.")</f>
        <v>0</v>
      </c>
      <c r="AA324" s="2" t="str">
        <f>Tab_Data_Flows[[#This Row],[E1_UoM]]</f>
        <v>Mg</v>
      </c>
      <c r="AB324" s="19">
        <f>_xlfn.XLOOKUP(Tab_Data_Flows[[#This Row],[Flow_Name]],Tab_Def_Flows[Flow_Name],Tab_Def_Flows[Flow_E3_Fraction'[%']],"N.A.",0,1)</f>
        <v>0</v>
      </c>
      <c r="AC324" s="2">
        <f>IF(E324="Yes",AB324*Tab_Data_Flows[[#This Row],[E1_value]],"N.A.")</f>
        <v>0</v>
      </c>
      <c r="AD324" s="2" t="str">
        <f>Tab_Data_Flows[[#This Row],[E1_UoM]]</f>
        <v>Mg</v>
      </c>
      <c r="AE324" s="19">
        <f>_xlfn.XLOOKUP(Tab_Data_Flows[[#This Row],[Flow_Name]],Tab_Def_Flows[Flow_Name],Tab_Def_Flows[Flow_E4_Fraction'[%']],"N.A.",0,1)</f>
        <v>0</v>
      </c>
      <c r="AF324" s="2">
        <f>IF(H324="Yes",Tab_Data_Flows[[#This Row],[E4_Fraction'[%']]]*Tab_Data_Flows[[#This Row],[E1_value]],"N.A.")</f>
        <v>0</v>
      </c>
      <c r="AG324" s="2" t="str">
        <f>Tab_Data_Flows[[#This Row],[E1_UoM]]</f>
        <v>Mg</v>
      </c>
      <c r="AH324" s="2">
        <f>_xlfn.XLOOKUP(Tab_Data_Flows[[#This Row],[Flow_Name]],Tab_Def_Flows[Flow_Name],Tab_Def_Flows[Flow_E5_Fraction'[%']],"N.A.",0,1)</f>
        <v>0</v>
      </c>
      <c r="AI324" s="2">
        <f>IF(H324="Yes",Tab_Data_Flows[[#This Row],[E5_Fraction'[%']]]*Tab_Data_Flows[[#This Row],[E1_value]],"N.A.")</f>
        <v>0</v>
      </c>
      <c r="AJ324" s="2" t="str">
        <f>Tab_Data_Flows[[#This Row],[E1_UoM]]</f>
        <v>Mg</v>
      </c>
      <c r="AK324" s="19">
        <f>_xlfn.XLOOKUP(Tab_Data_Flows[[#This Row],[Flow_Name]],Tab_Def_Flows[Flow_Name],Tab_Def_Flows[Flow_E6_Fraction'[%']],"N.A.",0,1)</f>
        <v>0</v>
      </c>
      <c r="AL324" s="2">
        <f>IF(Tab_Data_Flows[[#This Row],[Use_E6]]="Yes",Tab_Data_Flows[[#This Row],[E6_Fraction'[%']]]*Tab_Data_Flows[[#This Row],[E1_value]],"N.A.")</f>
        <v>0</v>
      </c>
      <c r="AM324" s="2" t="str">
        <f>Tab_Data_Flows[[#This Row],[E1_UoM]]</f>
        <v>Mg</v>
      </c>
    </row>
    <row r="325" spans="1:39" x14ac:dyDescent="0.25">
      <c r="A325" s="4">
        <f t="shared" si="11"/>
        <v>324</v>
      </c>
      <c r="B325" s="2" t="str">
        <f>_xlfn.XLOOKUP(C325,Tab_Def_Flows[Flow_Name],Tab_Def_Flows[Flow_ID],,0,)</f>
        <v>F__</v>
      </c>
      <c r="C325" s="18" t="s">
        <v>5</v>
      </c>
      <c r="D325" s="5" t="str">
        <f>_xlfn.XLOOKUP(C325,Tab_Def_Flows[Flow_Name],Tab_Def_Flows[Use_E1],,0,)</f>
        <v>Yes</v>
      </c>
      <c r="E325" s="5" t="str">
        <f>_xlfn.XLOOKUP(C325,Tab_Def_Flows[Flow_Name],Tab_Def_Flows[Use_E2],,0,)</f>
        <v>Yes</v>
      </c>
      <c r="F325" s="5" t="str">
        <f>_xlfn.XLOOKUP(C325,Tab_Def_Flows[Flow_Name],Tab_Def_Flows[Use_E3],,0,)</f>
        <v>Yes</v>
      </c>
      <c r="G325" s="5" t="str">
        <f>_xlfn.XLOOKUP(C325,Tab_Def_Flows[Flow_Name],Tab_Def_Flows[Use_E4],,0,)</f>
        <v>Yes</v>
      </c>
      <c r="H325" s="5" t="str">
        <f>_xlfn.XLOOKUP(C325,Tab_Def_Flows[Flow_Name],Tab_Def_Flows[Use_E5],,0,)</f>
        <v>Yes</v>
      </c>
      <c r="I325" s="5" t="str">
        <f>_xlfn.XLOOKUP(C325,Tab_Def_Flows[Flow_Name],Tab_Def_Flows[Use_E6],,0,)</f>
        <v>Yes</v>
      </c>
      <c r="J325" s="3"/>
      <c r="K325" s="3"/>
      <c r="L325" s="2" t="str">
        <f>'0_Configuration'!$C$41</f>
        <v>Mg</v>
      </c>
      <c r="M325" s="9"/>
      <c r="N325" s="9"/>
      <c r="O325" s="9"/>
      <c r="P325" s="9"/>
      <c r="Q325" s="18" t="s">
        <v>3</v>
      </c>
      <c r="R325" s="10"/>
      <c r="S325" s="3"/>
      <c r="T325" s="9"/>
      <c r="U325" s="9"/>
      <c r="V325" s="2">
        <f>_xlfn.XLOOKUP(Tab_Data_Flows[[#This Row],[Flow_Name]],Tab_Def_Flows[Flow_Name],Tab_Def_Flows[Flow_E1_Fraction'[%']],"N.A.",0,1)</f>
        <v>0</v>
      </c>
      <c r="W325" s="8">
        <f t="shared" si="10"/>
        <v>0</v>
      </c>
      <c r="X325" s="2" t="str">
        <f>Tab_Data_Flows[[#This Row],[UoM_Source]]</f>
        <v>Mg</v>
      </c>
      <c r="Y325" s="19">
        <f>_xlfn.XLOOKUP(Tab_Data_Flows[[#This Row],[Flow_Name]],Tab_Def_Flows[Flow_Name],Tab_Def_Flows[Flow_E2_Fraction'[%']],"N.A.",0,1)</f>
        <v>0</v>
      </c>
      <c r="Z325" s="2">
        <f>IF(D325="Yes",W325*Tab_Data_Flows[[#This Row],[E2_Fraction'[%']]],"N.A.")</f>
        <v>0</v>
      </c>
      <c r="AA325" s="2" t="str">
        <f>Tab_Data_Flows[[#This Row],[E1_UoM]]</f>
        <v>Mg</v>
      </c>
      <c r="AB325" s="19">
        <f>_xlfn.XLOOKUP(Tab_Data_Flows[[#This Row],[Flow_Name]],Tab_Def_Flows[Flow_Name],Tab_Def_Flows[Flow_E3_Fraction'[%']],"N.A.",0,1)</f>
        <v>0</v>
      </c>
      <c r="AC325" s="2">
        <f>IF(E325="Yes",AB325*Tab_Data_Flows[[#This Row],[E1_value]],"N.A.")</f>
        <v>0</v>
      </c>
      <c r="AD325" s="2" t="str">
        <f>Tab_Data_Flows[[#This Row],[E1_UoM]]</f>
        <v>Mg</v>
      </c>
      <c r="AE325" s="19">
        <f>_xlfn.XLOOKUP(Tab_Data_Flows[[#This Row],[Flow_Name]],Tab_Def_Flows[Flow_Name],Tab_Def_Flows[Flow_E4_Fraction'[%']],"N.A.",0,1)</f>
        <v>0</v>
      </c>
      <c r="AF325" s="2">
        <f>IF(H325="Yes",Tab_Data_Flows[[#This Row],[E4_Fraction'[%']]]*Tab_Data_Flows[[#This Row],[E1_value]],"N.A.")</f>
        <v>0</v>
      </c>
      <c r="AG325" s="2" t="str">
        <f>Tab_Data_Flows[[#This Row],[E1_UoM]]</f>
        <v>Mg</v>
      </c>
      <c r="AH325" s="2">
        <f>_xlfn.XLOOKUP(Tab_Data_Flows[[#This Row],[Flow_Name]],Tab_Def_Flows[Flow_Name],Tab_Def_Flows[Flow_E5_Fraction'[%']],"N.A.",0,1)</f>
        <v>0</v>
      </c>
      <c r="AI325" s="2">
        <f>IF(H325="Yes",Tab_Data_Flows[[#This Row],[E5_Fraction'[%']]]*Tab_Data_Flows[[#This Row],[E1_value]],"N.A.")</f>
        <v>0</v>
      </c>
      <c r="AJ325" s="2" t="str">
        <f>Tab_Data_Flows[[#This Row],[E1_UoM]]</f>
        <v>Mg</v>
      </c>
      <c r="AK325" s="19">
        <f>_xlfn.XLOOKUP(Tab_Data_Flows[[#This Row],[Flow_Name]],Tab_Def_Flows[Flow_Name],Tab_Def_Flows[Flow_E6_Fraction'[%']],"N.A.",0,1)</f>
        <v>0</v>
      </c>
      <c r="AL325" s="2">
        <f>IF(Tab_Data_Flows[[#This Row],[Use_E6]]="Yes",Tab_Data_Flows[[#This Row],[E6_Fraction'[%']]]*Tab_Data_Flows[[#This Row],[E1_value]],"N.A.")</f>
        <v>0</v>
      </c>
      <c r="AM325" s="2" t="str">
        <f>Tab_Data_Flows[[#This Row],[E1_UoM]]</f>
        <v>Mg</v>
      </c>
    </row>
    <row r="326" spans="1:39" x14ac:dyDescent="0.25">
      <c r="A326" s="4">
        <f t="shared" si="11"/>
        <v>325</v>
      </c>
      <c r="B326" s="2" t="str">
        <f>_xlfn.XLOOKUP(C326,Tab_Def_Flows[Flow_Name],Tab_Def_Flows[Flow_ID],,0,)</f>
        <v>F__</v>
      </c>
      <c r="C326" s="18" t="s">
        <v>5</v>
      </c>
      <c r="D326" s="5" t="str">
        <f>_xlfn.XLOOKUP(C326,Tab_Def_Flows[Flow_Name],Tab_Def_Flows[Use_E1],,0,)</f>
        <v>Yes</v>
      </c>
      <c r="E326" s="5" t="str">
        <f>_xlfn.XLOOKUP(C326,Tab_Def_Flows[Flow_Name],Tab_Def_Flows[Use_E2],,0,)</f>
        <v>Yes</v>
      </c>
      <c r="F326" s="5" t="str">
        <f>_xlfn.XLOOKUP(C326,Tab_Def_Flows[Flow_Name],Tab_Def_Flows[Use_E3],,0,)</f>
        <v>Yes</v>
      </c>
      <c r="G326" s="5" t="str">
        <f>_xlfn.XLOOKUP(C326,Tab_Def_Flows[Flow_Name],Tab_Def_Flows[Use_E4],,0,)</f>
        <v>Yes</v>
      </c>
      <c r="H326" s="5" t="str">
        <f>_xlfn.XLOOKUP(C326,Tab_Def_Flows[Flow_Name],Tab_Def_Flows[Use_E5],,0,)</f>
        <v>Yes</v>
      </c>
      <c r="I326" s="5" t="str">
        <f>_xlfn.XLOOKUP(C326,Tab_Def_Flows[Flow_Name],Tab_Def_Flows[Use_E6],,0,)</f>
        <v>Yes</v>
      </c>
      <c r="J326" s="3"/>
      <c r="K326" s="3"/>
      <c r="L326" s="2" t="str">
        <f>'0_Configuration'!$C$41</f>
        <v>Mg</v>
      </c>
      <c r="M326" s="9"/>
      <c r="N326" s="9"/>
      <c r="O326" s="9"/>
      <c r="P326" s="9"/>
      <c r="Q326" s="18" t="s">
        <v>3</v>
      </c>
      <c r="R326" s="10"/>
      <c r="S326" s="3"/>
      <c r="T326" s="9"/>
      <c r="U326" s="9"/>
      <c r="V326" s="2">
        <f>_xlfn.XLOOKUP(Tab_Data_Flows[[#This Row],[Flow_Name]],Tab_Def_Flows[Flow_Name],Tab_Def_Flows[Flow_E1_Fraction'[%']],"N.A.",0,1)</f>
        <v>0</v>
      </c>
      <c r="W326" s="8">
        <f t="shared" si="10"/>
        <v>0</v>
      </c>
      <c r="X326" s="2" t="str">
        <f>Tab_Data_Flows[[#This Row],[UoM_Source]]</f>
        <v>Mg</v>
      </c>
      <c r="Y326" s="19">
        <f>_xlfn.XLOOKUP(Tab_Data_Flows[[#This Row],[Flow_Name]],Tab_Def_Flows[Flow_Name],Tab_Def_Flows[Flow_E2_Fraction'[%']],"N.A.",0,1)</f>
        <v>0</v>
      </c>
      <c r="Z326" s="2">
        <f>IF(D326="Yes",W326*Tab_Data_Flows[[#This Row],[E2_Fraction'[%']]],"N.A.")</f>
        <v>0</v>
      </c>
      <c r="AA326" s="2" t="str">
        <f>Tab_Data_Flows[[#This Row],[E1_UoM]]</f>
        <v>Mg</v>
      </c>
      <c r="AB326" s="19">
        <f>_xlfn.XLOOKUP(Tab_Data_Flows[[#This Row],[Flow_Name]],Tab_Def_Flows[Flow_Name],Tab_Def_Flows[Flow_E3_Fraction'[%']],"N.A.",0,1)</f>
        <v>0</v>
      </c>
      <c r="AC326" s="2">
        <f>IF(E326="Yes",AB326*Tab_Data_Flows[[#This Row],[E1_value]],"N.A.")</f>
        <v>0</v>
      </c>
      <c r="AD326" s="2" t="str">
        <f>Tab_Data_Flows[[#This Row],[E1_UoM]]</f>
        <v>Mg</v>
      </c>
      <c r="AE326" s="19">
        <f>_xlfn.XLOOKUP(Tab_Data_Flows[[#This Row],[Flow_Name]],Tab_Def_Flows[Flow_Name],Tab_Def_Flows[Flow_E4_Fraction'[%']],"N.A.",0,1)</f>
        <v>0</v>
      </c>
      <c r="AF326" s="2">
        <f>IF(H326="Yes",Tab_Data_Flows[[#This Row],[E4_Fraction'[%']]]*Tab_Data_Flows[[#This Row],[E1_value]],"N.A.")</f>
        <v>0</v>
      </c>
      <c r="AG326" s="2" t="str">
        <f>Tab_Data_Flows[[#This Row],[E1_UoM]]</f>
        <v>Mg</v>
      </c>
      <c r="AH326" s="2">
        <f>_xlfn.XLOOKUP(Tab_Data_Flows[[#This Row],[Flow_Name]],Tab_Def_Flows[Flow_Name],Tab_Def_Flows[Flow_E5_Fraction'[%']],"N.A.",0,1)</f>
        <v>0</v>
      </c>
      <c r="AI326" s="2">
        <f>IF(H326="Yes",Tab_Data_Flows[[#This Row],[E5_Fraction'[%']]]*Tab_Data_Flows[[#This Row],[E1_value]],"N.A.")</f>
        <v>0</v>
      </c>
      <c r="AJ326" s="2" t="str">
        <f>Tab_Data_Flows[[#This Row],[E1_UoM]]</f>
        <v>Mg</v>
      </c>
      <c r="AK326" s="19">
        <f>_xlfn.XLOOKUP(Tab_Data_Flows[[#This Row],[Flow_Name]],Tab_Def_Flows[Flow_Name],Tab_Def_Flows[Flow_E6_Fraction'[%']],"N.A.",0,1)</f>
        <v>0</v>
      </c>
      <c r="AL326" s="2">
        <f>IF(Tab_Data_Flows[[#This Row],[Use_E6]]="Yes",Tab_Data_Flows[[#This Row],[E6_Fraction'[%']]]*Tab_Data_Flows[[#This Row],[E1_value]],"N.A.")</f>
        <v>0</v>
      </c>
      <c r="AM326" s="2" t="str">
        <f>Tab_Data_Flows[[#This Row],[E1_UoM]]</f>
        <v>Mg</v>
      </c>
    </row>
    <row r="327" spans="1:39" x14ac:dyDescent="0.25">
      <c r="A327" s="4">
        <f t="shared" si="11"/>
        <v>326</v>
      </c>
      <c r="B327" s="2" t="str">
        <f>_xlfn.XLOOKUP(C327,Tab_Def_Flows[Flow_Name],Tab_Def_Flows[Flow_ID],,0,)</f>
        <v>F__</v>
      </c>
      <c r="C327" s="18" t="s">
        <v>5</v>
      </c>
      <c r="D327" s="5" t="str">
        <f>_xlfn.XLOOKUP(C327,Tab_Def_Flows[Flow_Name],Tab_Def_Flows[Use_E1],,0,)</f>
        <v>Yes</v>
      </c>
      <c r="E327" s="5" t="str">
        <f>_xlfn.XLOOKUP(C327,Tab_Def_Flows[Flow_Name],Tab_Def_Flows[Use_E2],,0,)</f>
        <v>Yes</v>
      </c>
      <c r="F327" s="5" t="str">
        <f>_xlfn.XLOOKUP(C327,Tab_Def_Flows[Flow_Name],Tab_Def_Flows[Use_E3],,0,)</f>
        <v>Yes</v>
      </c>
      <c r="G327" s="5" t="str">
        <f>_xlfn.XLOOKUP(C327,Tab_Def_Flows[Flow_Name],Tab_Def_Flows[Use_E4],,0,)</f>
        <v>Yes</v>
      </c>
      <c r="H327" s="5" t="str">
        <f>_xlfn.XLOOKUP(C327,Tab_Def_Flows[Flow_Name],Tab_Def_Flows[Use_E5],,0,)</f>
        <v>Yes</v>
      </c>
      <c r="I327" s="5" t="str">
        <f>_xlfn.XLOOKUP(C327,Tab_Def_Flows[Flow_Name],Tab_Def_Flows[Use_E6],,0,)</f>
        <v>Yes</v>
      </c>
      <c r="J327" s="3"/>
      <c r="K327" s="3"/>
      <c r="L327" s="2" t="str">
        <f>'0_Configuration'!$C$41</f>
        <v>Mg</v>
      </c>
      <c r="M327" s="9"/>
      <c r="N327" s="9"/>
      <c r="O327" s="9"/>
      <c r="P327" s="9"/>
      <c r="Q327" s="18" t="s">
        <v>3</v>
      </c>
      <c r="R327" s="10"/>
      <c r="S327" s="3"/>
      <c r="T327" s="9"/>
      <c r="U327" s="9"/>
      <c r="V327" s="2">
        <f>_xlfn.XLOOKUP(Tab_Data_Flows[[#This Row],[Flow_Name]],Tab_Def_Flows[Flow_Name],Tab_Def_Flows[Flow_E1_Fraction'[%']],"N.A.",0,1)</f>
        <v>0</v>
      </c>
      <c r="W327" s="8">
        <f t="shared" si="10"/>
        <v>0</v>
      </c>
      <c r="X327" s="2" t="str">
        <f>Tab_Data_Flows[[#This Row],[UoM_Source]]</f>
        <v>Mg</v>
      </c>
      <c r="Y327" s="19">
        <f>_xlfn.XLOOKUP(Tab_Data_Flows[[#This Row],[Flow_Name]],Tab_Def_Flows[Flow_Name],Tab_Def_Flows[Flow_E2_Fraction'[%']],"N.A.",0,1)</f>
        <v>0</v>
      </c>
      <c r="Z327" s="2">
        <f>IF(D327="Yes",W327*Tab_Data_Flows[[#This Row],[E2_Fraction'[%']]],"N.A.")</f>
        <v>0</v>
      </c>
      <c r="AA327" s="2" t="str">
        <f>Tab_Data_Flows[[#This Row],[E1_UoM]]</f>
        <v>Mg</v>
      </c>
      <c r="AB327" s="19">
        <f>_xlfn.XLOOKUP(Tab_Data_Flows[[#This Row],[Flow_Name]],Tab_Def_Flows[Flow_Name],Tab_Def_Flows[Flow_E3_Fraction'[%']],"N.A.",0,1)</f>
        <v>0</v>
      </c>
      <c r="AC327" s="2">
        <f>IF(E327="Yes",AB327*Tab_Data_Flows[[#This Row],[E1_value]],"N.A.")</f>
        <v>0</v>
      </c>
      <c r="AD327" s="2" t="str">
        <f>Tab_Data_Flows[[#This Row],[E1_UoM]]</f>
        <v>Mg</v>
      </c>
      <c r="AE327" s="19">
        <f>_xlfn.XLOOKUP(Tab_Data_Flows[[#This Row],[Flow_Name]],Tab_Def_Flows[Flow_Name],Tab_Def_Flows[Flow_E4_Fraction'[%']],"N.A.",0,1)</f>
        <v>0</v>
      </c>
      <c r="AF327" s="2">
        <f>IF(H327="Yes",Tab_Data_Flows[[#This Row],[E4_Fraction'[%']]]*Tab_Data_Flows[[#This Row],[E1_value]],"N.A.")</f>
        <v>0</v>
      </c>
      <c r="AG327" s="2" t="str">
        <f>Tab_Data_Flows[[#This Row],[E1_UoM]]</f>
        <v>Mg</v>
      </c>
      <c r="AH327" s="2">
        <f>_xlfn.XLOOKUP(Tab_Data_Flows[[#This Row],[Flow_Name]],Tab_Def_Flows[Flow_Name],Tab_Def_Flows[Flow_E5_Fraction'[%']],"N.A.",0,1)</f>
        <v>0</v>
      </c>
      <c r="AI327" s="2">
        <f>IF(H327="Yes",Tab_Data_Flows[[#This Row],[E5_Fraction'[%']]]*Tab_Data_Flows[[#This Row],[E1_value]],"N.A.")</f>
        <v>0</v>
      </c>
      <c r="AJ327" s="2" t="str">
        <f>Tab_Data_Flows[[#This Row],[E1_UoM]]</f>
        <v>Mg</v>
      </c>
      <c r="AK327" s="19">
        <f>_xlfn.XLOOKUP(Tab_Data_Flows[[#This Row],[Flow_Name]],Tab_Def_Flows[Flow_Name],Tab_Def_Flows[Flow_E6_Fraction'[%']],"N.A.",0,1)</f>
        <v>0</v>
      </c>
      <c r="AL327" s="2">
        <f>IF(Tab_Data_Flows[[#This Row],[Use_E6]]="Yes",Tab_Data_Flows[[#This Row],[E6_Fraction'[%']]]*Tab_Data_Flows[[#This Row],[E1_value]],"N.A.")</f>
        <v>0</v>
      </c>
      <c r="AM327" s="2" t="str">
        <f>Tab_Data_Flows[[#This Row],[E1_UoM]]</f>
        <v>Mg</v>
      </c>
    </row>
    <row r="328" spans="1:39" x14ac:dyDescent="0.25">
      <c r="A328" s="4">
        <f t="shared" si="11"/>
        <v>327</v>
      </c>
      <c r="B328" s="2" t="str">
        <f>_xlfn.XLOOKUP(C328,Tab_Def_Flows[Flow_Name],Tab_Def_Flows[Flow_ID],,0,)</f>
        <v>F__</v>
      </c>
      <c r="C328" s="18" t="s">
        <v>5</v>
      </c>
      <c r="D328" s="5" t="str">
        <f>_xlfn.XLOOKUP(C328,Tab_Def_Flows[Flow_Name],Tab_Def_Flows[Use_E1],,0,)</f>
        <v>Yes</v>
      </c>
      <c r="E328" s="5" t="str">
        <f>_xlfn.XLOOKUP(C328,Tab_Def_Flows[Flow_Name],Tab_Def_Flows[Use_E2],,0,)</f>
        <v>Yes</v>
      </c>
      <c r="F328" s="5" t="str">
        <f>_xlfn.XLOOKUP(C328,Tab_Def_Flows[Flow_Name],Tab_Def_Flows[Use_E3],,0,)</f>
        <v>Yes</v>
      </c>
      <c r="G328" s="5" t="str">
        <f>_xlfn.XLOOKUP(C328,Tab_Def_Flows[Flow_Name],Tab_Def_Flows[Use_E4],,0,)</f>
        <v>Yes</v>
      </c>
      <c r="H328" s="5" t="str">
        <f>_xlfn.XLOOKUP(C328,Tab_Def_Flows[Flow_Name],Tab_Def_Flows[Use_E5],,0,)</f>
        <v>Yes</v>
      </c>
      <c r="I328" s="5" t="str">
        <f>_xlfn.XLOOKUP(C328,Tab_Def_Flows[Flow_Name],Tab_Def_Flows[Use_E6],,0,)</f>
        <v>Yes</v>
      </c>
      <c r="J328" s="3"/>
      <c r="K328" s="3"/>
      <c r="L328" s="2" t="str">
        <f>'0_Configuration'!$C$41</f>
        <v>Mg</v>
      </c>
      <c r="M328" s="9"/>
      <c r="N328" s="9"/>
      <c r="O328" s="9"/>
      <c r="P328" s="9"/>
      <c r="Q328" s="18" t="s">
        <v>3</v>
      </c>
      <c r="R328" s="10"/>
      <c r="S328" s="3"/>
      <c r="T328" s="9"/>
      <c r="U328" s="9"/>
      <c r="V328" s="2">
        <f>_xlfn.XLOOKUP(Tab_Data_Flows[[#This Row],[Flow_Name]],Tab_Def_Flows[Flow_Name],Tab_Def_Flows[Flow_E1_Fraction'[%']],"N.A.",0,1)</f>
        <v>0</v>
      </c>
      <c r="W328" s="8">
        <f t="shared" si="10"/>
        <v>0</v>
      </c>
      <c r="X328" s="2" t="str">
        <f>Tab_Data_Flows[[#This Row],[UoM_Source]]</f>
        <v>Mg</v>
      </c>
      <c r="Y328" s="19">
        <f>_xlfn.XLOOKUP(Tab_Data_Flows[[#This Row],[Flow_Name]],Tab_Def_Flows[Flow_Name],Tab_Def_Flows[Flow_E2_Fraction'[%']],"N.A.",0,1)</f>
        <v>0</v>
      </c>
      <c r="Z328" s="2">
        <f>IF(D328="Yes",W328*Tab_Data_Flows[[#This Row],[E2_Fraction'[%']]],"N.A.")</f>
        <v>0</v>
      </c>
      <c r="AA328" s="2" t="str">
        <f>Tab_Data_Flows[[#This Row],[E1_UoM]]</f>
        <v>Mg</v>
      </c>
      <c r="AB328" s="19">
        <f>_xlfn.XLOOKUP(Tab_Data_Flows[[#This Row],[Flow_Name]],Tab_Def_Flows[Flow_Name],Tab_Def_Flows[Flow_E3_Fraction'[%']],"N.A.",0,1)</f>
        <v>0</v>
      </c>
      <c r="AC328" s="2">
        <f>IF(E328="Yes",AB328*Tab_Data_Flows[[#This Row],[E1_value]],"N.A.")</f>
        <v>0</v>
      </c>
      <c r="AD328" s="2" t="str">
        <f>Tab_Data_Flows[[#This Row],[E1_UoM]]</f>
        <v>Mg</v>
      </c>
      <c r="AE328" s="19">
        <f>_xlfn.XLOOKUP(Tab_Data_Flows[[#This Row],[Flow_Name]],Tab_Def_Flows[Flow_Name],Tab_Def_Flows[Flow_E4_Fraction'[%']],"N.A.",0,1)</f>
        <v>0</v>
      </c>
      <c r="AF328" s="2">
        <f>IF(H328="Yes",Tab_Data_Flows[[#This Row],[E4_Fraction'[%']]]*Tab_Data_Flows[[#This Row],[E1_value]],"N.A.")</f>
        <v>0</v>
      </c>
      <c r="AG328" s="2" t="str">
        <f>Tab_Data_Flows[[#This Row],[E1_UoM]]</f>
        <v>Mg</v>
      </c>
      <c r="AH328" s="2">
        <f>_xlfn.XLOOKUP(Tab_Data_Flows[[#This Row],[Flow_Name]],Tab_Def_Flows[Flow_Name],Tab_Def_Flows[Flow_E5_Fraction'[%']],"N.A.",0,1)</f>
        <v>0</v>
      </c>
      <c r="AI328" s="2">
        <f>IF(H328="Yes",Tab_Data_Flows[[#This Row],[E5_Fraction'[%']]]*Tab_Data_Flows[[#This Row],[E1_value]],"N.A.")</f>
        <v>0</v>
      </c>
      <c r="AJ328" s="2" t="str">
        <f>Tab_Data_Flows[[#This Row],[E1_UoM]]</f>
        <v>Mg</v>
      </c>
      <c r="AK328" s="19">
        <f>_xlfn.XLOOKUP(Tab_Data_Flows[[#This Row],[Flow_Name]],Tab_Def_Flows[Flow_Name],Tab_Def_Flows[Flow_E6_Fraction'[%']],"N.A.",0,1)</f>
        <v>0</v>
      </c>
      <c r="AL328" s="2">
        <f>IF(Tab_Data_Flows[[#This Row],[Use_E6]]="Yes",Tab_Data_Flows[[#This Row],[E6_Fraction'[%']]]*Tab_Data_Flows[[#This Row],[E1_value]],"N.A.")</f>
        <v>0</v>
      </c>
      <c r="AM328" s="2" t="str">
        <f>Tab_Data_Flows[[#This Row],[E1_UoM]]</f>
        <v>Mg</v>
      </c>
    </row>
    <row r="329" spans="1:39" x14ac:dyDescent="0.25">
      <c r="A329" s="4">
        <f t="shared" si="11"/>
        <v>328</v>
      </c>
      <c r="B329" s="2" t="str">
        <f>_xlfn.XLOOKUP(C329,Tab_Def_Flows[Flow_Name],Tab_Def_Flows[Flow_ID],,0,)</f>
        <v>F__</v>
      </c>
      <c r="C329" s="18" t="s">
        <v>5</v>
      </c>
      <c r="D329" s="5" t="str">
        <f>_xlfn.XLOOKUP(C329,Tab_Def_Flows[Flow_Name],Tab_Def_Flows[Use_E1],,0,)</f>
        <v>Yes</v>
      </c>
      <c r="E329" s="5" t="str">
        <f>_xlfn.XLOOKUP(C329,Tab_Def_Flows[Flow_Name],Tab_Def_Flows[Use_E2],,0,)</f>
        <v>Yes</v>
      </c>
      <c r="F329" s="5" t="str">
        <f>_xlfn.XLOOKUP(C329,Tab_Def_Flows[Flow_Name],Tab_Def_Flows[Use_E3],,0,)</f>
        <v>Yes</v>
      </c>
      <c r="G329" s="5" t="str">
        <f>_xlfn.XLOOKUP(C329,Tab_Def_Flows[Flow_Name],Tab_Def_Flows[Use_E4],,0,)</f>
        <v>Yes</v>
      </c>
      <c r="H329" s="5" t="str">
        <f>_xlfn.XLOOKUP(C329,Tab_Def_Flows[Flow_Name],Tab_Def_Flows[Use_E5],,0,)</f>
        <v>Yes</v>
      </c>
      <c r="I329" s="5" t="str">
        <f>_xlfn.XLOOKUP(C329,Tab_Def_Flows[Flow_Name],Tab_Def_Flows[Use_E6],,0,)</f>
        <v>Yes</v>
      </c>
      <c r="J329" s="3"/>
      <c r="K329" s="3"/>
      <c r="L329" s="2" t="str">
        <f>'0_Configuration'!$C$41</f>
        <v>Mg</v>
      </c>
      <c r="M329" s="9"/>
      <c r="N329" s="9"/>
      <c r="O329" s="9"/>
      <c r="P329" s="9"/>
      <c r="Q329" s="18" t="s">
        <v>3</v>
      </c>
      <c r="R329" s="10"/>
      <c r="S329" s="3"/>
      <c r="T329" s="9"/>
      <c r="U329" s="9"/>
      <c r="V329" s="2">
        <f>_xlfn.XLOOKUP(Tab_Data_Flows[[#This Row],[Flow_Name]],Tab_Def_Flows[Flow_Name],Tab_Def_Flows[Flow_E1_Fraction'[%']],"N.A.",0,1)</f>
        <v>0</v>
      </c>
      <c r="W329" s="8">
        <f t="shared" si="10"/>
        <v>0</v>
      </c>
      <c r="X329" s="2" t="str">
        <f>Tab_Data_Flows[[#This Row],[UoM_Source]]</f>
        <v>Mg</v>
      </c>
      <c r="Y329" s="19">
        <f>_xlfn.XLOOKUP(Tab_Data_Flows[[#This Row],[Flow_Name]],Tab_Def_Flows[Flow_Name],Tab_Def_Flows[Flow_E2_Fraction'[%']],"N.A.",0,1)</f>
        <v>0</v>
      </c>
      <c r="Z329" s="2">
        <f>IF(D329="Yes",W329*Tab_Data_Flows[[#This Row],[E2_Fraction'[%']]],"N.A.")</f>
        <v>0</v>
      </c>
      <c r="AA329" s="2" t="str">
        <f>Tab_Data_Flows[[#This Row],[E1_UoM]]</f>
        <v>Mg</v>
      </c>
      <c r="AB329" s="19">
        <f>_xlfn.XLOOKUP(Tab_Data_Flows[[#This Row],[Flow_Name]],Tab_Def_Flows[Flow_Name],Tab_Def_Flows[Flow_E3_Fraction'[%']],"N.A.",0,1)</f>
        <v>0</v>
      </c>
      <c r="AC329" s="2">
        <f>IF(E329="Yes",AB329*Tab_Data_Flows[[#This Row],[E1_value]],"N.A.")</f>
        <v>0</v>
      </c>
      <c r="AD329" s="2" t="str">
        <f>Tab_Data_Flows[[#This Row],[E1_UoM]]</f>
        <v>Mg</v>
      </c>
      <c r="AE329" s="19">
        <f>_xlfn.XLOOKUP(Tab_Data_Flows[[#This Row],[Flow_Name]],Tab_Def_Flows[Flow_Name],Tab_Def_Flows[Flow_E4_Fraction'[%']],"N.A.",0,1)</f>
        <v>0</v>
      </c>
      <c r="AF329" s="2">
        <f>IF(H329="Yes",Tab_Data_Flows[[#This Row],[E4_Fraction'[%']]]*Tab_Data_Flows[[#This Row],[E1_value]],"N.A.")</f>
        <v>0</v>
      </c>
      <c r="AG329" s="2" t="str">
        <f>Tab_Data_Flows[[#This Row],[E1_UoM]]</f>
        <v>Mg</v>
      </c>
      <c r="AH329" s="2">
        <f>_xlfn.XLOOKUP(Tab_Data_Flows[[#This Row],[Flow_Name]],Tab_Def_Flows[Flow_Name],Tab_Def_Flows[Flow_E5_Fraction'[%']],"N.A.",0,1)</f>
        <v>0</v>
      </c>
      <c r="AI329" s="2">
        <f>IF(H329="Yes",Tab_Data_Flows[[#This Row],[E5_Fraction'[%']]]*Tab_Data_Flows[[#This Row],[E1_value]],"N.A.")</f>
        <v>0</v>
      </c>
      <c r="AJ329" s="2" t="str">
        <f>Tab_Data_Flows[[#This Row],[E1_UoM]]</f>
        <v>Mg</v>
      </c>
      <c r="AK329" s="19">
        <f>_xlfn.XLOOKUP(Tab_Data_Flows[[#This Row],[Flow_Name]],Tab_Def_Flows[Flow_Name],Tab_Def_Flows[Flow_E6_Fraction'[%']],"N.A.",0,1)</f>
        <v>0</v>
      </c>
      <c r="AL329" s="2">
        <f>IF(Tab_Data_Flows[[#This Row],[Use_E6]]="Yes",Tab_Data_Flows[[#This Row],[E6_Fraction'[%']]]*Tab_Data_Flows[[#This Row],[E1_value]],"N.A.")</f>
        <v>0</v>
      </c>
      <c r="AM329" s="2" t="str">
        <f>Tab_Data_Flows[[#This Row],[E1_UoM]]</f>
        <v>Mg</v>
      </c>
    </row>
    <row r="330" spans="1:39" x14ac:dyDescent="0.25">
      <c r="A330" s="4">
        <f t="shared" si="11"/>
        <v>329</v>
      </c>
      <c r="B330" s="2" t="str">
        <f>_xlfn.XLOOKUP(C330,Tab_Def_Flows[Flow_Name],Tab_Def_Flows[Flow_ID],,0,)</f>
        <v>F__</v>
      </c>
      <c r="C330" s="18" t="s">
        <v>5</v>
      </c>
      <c r="D330" s="5" t="str">
        <f>_xlfn.XLOOKUP(C330,Tab_Def_Flows[Flow_Name],Tab_Def_Flows[Use_E1],,0,)</f>
        <v>Yes</v>
      </c>
      <c r="E330" s="5" t="str">
        <f>_xlfn.XLOOKUP(C330,Tab_Def_Flows[Flow_Name],Tab_Def_Flows[Use_E2],,0,)</f>
        <v>Yes</v>
      </c>
      <c r="F330" s="5" t="str">
        <f>_xlfn.XLOOKUP(C330,Tab_Def_Flows[Flow_Name],Tab_Def_Flows[Use_E3],,0,)</f>
        <v>Yes</v>
      </c>
      <c r="G330" s="5" t="str">
        <f>_xlfn.XLOOKUP(C330,Tab_Def_Flows[Flow_Name],Tab_Def_Flows[Use_E4],,0,)</f>
        <v>Yes</v>
      </c>
      <c r="H330" s="5" t="str">
        <f>_xlfn.XLOOKUP(C330,Tab_Def_Flows[Flow_Name],Tab_Def_Flows[Use_E5],,0,)</f>
        <v>Yes</v>
      </c>
      <c r="I330" s="5" t="str">
        <f>_xlfn.XLOOKUP(C330,Tab_Def_Flows[Flow_Name],Tab_Def_Flows[Use_E6],,0,)</f>
        <v>Yes</v>
      </c>
      <c r="J330" s="3"/>
      <c r="K330" s="3"/>
      <c r="L330" s="2" t="str">
        <f>'0_Configuration'!$C$41</f>
        <v>Mg</v>
      </c>
      <c r="M330" s="9"/>
      <c r="N330" s="9"/>
      <c r="O330" s="9"/>
      <c r="P330" s="9"/>
      <c r="Q330" s="18" t="s">
        <v>3</v>
      </c>
      <c r="R330" s="10"/>
      <c r="S330" s="3"/>
      <c r="T330" s="9"/>
      <c r="U330" s="9"/>
      <c r="V330" s="2">
        <f>_xlfn.XLOOKUP(Tab_Data_Flows[[#This Row],[Flow_Name]],Tab_Def_Flows[Flow_Name],Tab_Def_Flows[Flow_E1_Fraction'[%']],"N.A.",0,1)</f>
        <v>0</v>
      </c>
      <c r="W330" s="8">
        <f t="shared" si="10"/>
        <v>0</v>
      </c>
      <c r="X330" s="2" t="str">
        <f>Tab_Data_Flows[[#This Row],[UoM_Source]]</f>
        <v>Mg</v>
      </c>
      <c r="Y330" s="19">
        <f>_xlfn.XLOOKUP(Tab_Data_Flows[[#This Row],[Flow_Name]],Tab_Def_Flows[Flow_Name],Tab_Def_Flows[Flow_E2_Fraction'[%']],"N.A.",0,1)</f>
        <v>0</v>
      </c>
      <c r="Z330" s="2">
        <f>IF(D330="Yes",W330*Tab_Data_Flows[[#This Row],[E2_Fraction'[%']]],"N.A.")</f>
        <v>0</v>
      </c>
      <c r="AA330" s="2" t="str">
        <f>Tab_Data_Flows[[#This Row],[E1_UoM]]</f>
        <v>Mg</v>
      </c>
      <c r="AB330" s="19">
        <f>_xlfn.XLOOKUP(Tab_Data_Flows[[#This Row],[Flow_Name]],Tab_Def_Flows[Flow_Name],Tab_Def_Flows[Flow_E3_Fraction'[%']],"N.A.",0,1)</f>
        <v>0</v>
      </c>
      <c r="AC330" s="2">
        <f>IF(E330="Yes",AB330*Tab_Data_Flows[[#This Row],[E1_value]],"N.A.")</f>
        <v>0</v>
      </c>
      <c r="AD330" s="2" t="str">
        <f>Tab_Data_Flows[[#This Row],[E1_UoM]]</f>
        <v>Mg</v>
      </c>
      <c r="AE330" s="19">
        <f>_xlfn.XLOOKUP(Tab_Data_Flows[[#This Row],[Flow_Name]],Tab_Def_Flows[Flow_Name],Tab_Def_Flows[Flow_E4_Fraction'[%']],"N.A.",0,1)</f>
        <v>0</v>
      </c>
      <c r="AF330" s="2">
        <f>IF(H330="Yes",Tab_Data_Flows[[#This Row],[E4_Fraction'[%']]]*Tab_Data_Flows[[#This Row],[E1_value]],"N.A.")</f>
        <v>0</v>
      </c>
      <c r="AG330" s="2" t="str">
        <f>Tab_Data_Flows[[#This Row],[E1_UoM]]</f>
        <v>Mg</v>
      </c>
      <c r="AH330" s="2">
        <f>_xlfn.XLOOKUP(Tab_Data_Flows[[#This Row],[Flow_Name]],Tab_Def_Flows[Flow_Name],Tab_Def_Flows[Flow_E5_Fraction'[%']],"N.A.",0,1)</f>
        <v>0</v>
      </c>
      <c r="AI330" s="2">
        <f>IF(H330="Yes",Tab_Data_Flows[[#This Row],[E5_Fraction'[%']]]*Tab_Data_Flows[[#This Row],[E1_value]],"N.A.")</f>
        <v>0</v>
      </c>
      <c r="AJ330" s="2" t="str">
        <f>Tab_Data_Flows[[#This Row],[E1_UoM]]</f>
        <v>Mg</v>
      </c>
      <c r="AK330" s="19">
        <f>_xlfn.XLOOKUP(Tab_Data_Flows[[#This Row],[Flow_Name]],Tab_Def_Flows[Flow_Name],Tab_Def_Flows[Flow_E6_Fraction'[%']],"N.A.",0,1)</f>
        <v>0</v>
      </c>
      <c r="AL330" s="2">
        <f>IF(Tab_Data_Flows[[#This Row],[Use_E6]]="Yes",Tab_Data_Flows[[#This Row],[E6_Fraction'[%']]]*Tab_Data_Flows[[#This Row],[E1_value]],"N.A.")</f>
        <v>0</v>
      </c>
      <c r="AM330" s="2" t="str">
        <f>Tab_Data_Flows[[#This Row],[E1_UoM]]</f>
        <v>Mg</v>
      </c>
    </row>
    <row r="331" spans="1:39" x14ac:dyDescent="0.25">
      <c r="A331" s="4">
        <f t="shared" si="11"/>
        <v>330</v>
      </c>
      <c r="B331" s="2" t="str">
        <f>_xlfn.XLOOKUP(C331,Tab_Def_Flows[Flow_Name],Tab_Def_Flows[Flow_ID],,0,)</f>
        <v>F__</v>
      </c>
      <c r="C331" s="18" t="s">
        <v>5</v>
      </c>
      <c r="D331" s="5" t="str">
        <f>_xlfn.XLOOKUP(C331,Tab_Def_Flows[Flow_Name],Tab_Def_Flows[Use_E1],,0,)</f>
        <v>Yes</v>
      </c>
      <c r="E331" s="5" t="str">
        <f>_xlfn.XLOOKUP(C331,Tab_Def_Flows[Flow_Name],Tab_Def_Flows[Use_E2],,0,)</f>
        <v>Yes</v>
      </c>
      <c r="F331" s="5" t="str">
        <f>_xlfn.XLOOKUP(C331,Tab_Def_Flows[Flow_Name],Tab_Def_Flows[Use_E3],,0,)</f>
        <v>Yes</v>
      </c>
      <c r="G331" s="5" t="str">
        <f>_xlfn.XLOOKUP(C331,Tab_Def_Flows[Flow_Name],Tab_Def_Flows[Use_E4],,0,)</f>
        <v>Yes</v>
      </c>
      <c r="H331" s="5" t="str">
        <f>_xlfn.XLOOKUP(C331,Tab_Def_Flows[Flow_Name],Tab_Def_Flows[Use_E5],,0,)</f>
        <v>Yes</v>
      </c>
      <c r="I331" s="5" t="str">
        <f>_xlfn.XLOOKUP(C331,Tab_Def_Flows[Flow_Name],Tab_Def_Flows[Use_E6],,0,)</f>
        <v>Yes</v>
      </c>
      <c r="J331" s="3"/>
      <c r="K331" s="3"/>
      <c r="L331" s="2" t="str">
        <f>'0_Configuration'!$C$41</f>
        <v>Mg</v>
      </c>
      <c r="M331" s="9"/>
      <c r="N331" s="9"/>
      <c r="O331" s="9"/>
      <c r="P331" s="9"/>
      <c r="Q331" s="18" t="s">
        <v>3</v>
      </c>
      <c r="R331" s="10"/>
      <c r="S331" s="3"/>
      <c r="T331" s="9"/>
      <c r="U331" s="9"/>
      <c r="V331" s="2">
        <f>_xlfn.XLOOKUP(Tab_Data_Flows[[#This Row],[Flow_Name]],Tab_Def_Flows[Flow_Name],Tab_Def_Flows[Flow_E1_Fraction'[%']],"N.A.",0,1)</f>
        <v>0</v>
      </c>
      <c r="W331" s="8">
        <f t="shared" si="10"/>
        <v>0</v>
      </c>
      <c r="X331" s="2" t="str">
        <f>Tab_Data_Flows[[#This Row],[UoM_Source]]</f>
        <v>Mg</v>
      </c>
      <c r="Y331" s="19">
        <f>_xlfn.XLOOKUP(Tab_Data_Flows[[#This Row],[Flow_Name]],Tab_Def_Flows[Flow_Name],Tab_Def_Flows[Flow_E2_Fraction'[%']],"N.A.",0,1)</f>
        <v>0</v>
      </c>
      <c r="Z331" s="2">
        <f>IF(D331="Yes",W331*Tab_Data_Flows[[#This Row],[E2_Fraction'[%']]],"N.A.")</f>
        <v>0</v>
      </c>
      <c r="AA331" s="2" t="str">
        <f>Tab_Data_Flows[[#This Row],[E1_UoM]]</f>
        <v>Mg</v>
      </c>
      <c r="AB331" s="19">
        <f>_xlfn.XLOOKUP(Tab_Data_Flows[[#This Row],[Flow_Name]],Tab_Def_Flows[Flow_Name],Tab_Def_Flows[Flow_E3_Fraction'[%']],"N.A.",0,1)</f>
        <v>0</v>
      </c>
      <c r="AC331" s="2">
        <f>IF(E331="Yes",AB331*Tab_Data_Flows[[#This Row],[E1_value]],"N.A.")</f>
        <v>0</v>
      </c>
      <c r="AD331" s="2" t="str">
        <f>Tab_Data_Flows[[#This Row],[E1_UoM]]</f>
        <v>Mg</v>
      </c>
      <c r="AE331" s="19">
        <f>_xlfn.XLOOKUP(Tab_Data_Flows[[#This Row],[Flow_Name]],Tab_Def_Flows[Flow_Name],Tab_Def_Flows[Flow_E4_Fraction'[%']],"N.A.",0,1)</f>
        <v>0</v>
      </c>
      <c r="AF331" s="2">
        <f>IF(H331="Yes",Tab_Data_Flows[[#This Row],[E4_Fraction'[%']]]*Tab_Data_Flows[[#This Row],[E1_value]],"N.A.")</f>
        <v>0</v>
      </c>
      <c r="AG331" s="2" t="str">
        <f>Tab_Data_Flows[[#This Row],[E1_UoM]]</f>
        <v>Mg</v>
      </c>
      <c r="AH331" s="2">
        <f>_xlfn.XLOOKUP(Tab_Data_Flows[[#This Row],[Flow_Name]],Tab_Def_Flows[Flow_Name],Tab_Def_Flows[Flow_E5_Fraction'[%']],"N.A.",0,1)</f>
        <v>0</v>
      </c>
      <c r="AI331" s="2">
        <f>IF(H331="Yes",Tab_Data_Flows[[#This Row],[E5_Fraction'[%']]]*Tab_Data_Flows[[#This Row],[E1_value]],"N.A.")</f>
        <v>0</v>
      </c>
      <c r="AJ331" s="2" t="str">
        <f>Tab_Data_Flows[[#This Row],[E1_UoM]]</f>
        <v>Mg</v>
      </c>
      <c r="AK331" s="19">
        <f>_xlfn.XLOOKUP(Tab_Data_Flows[[#This Row],[Flow_Name]],Tab_Def_Flows[Flow_Name],Tab_Def_Flows[Flow_E6_Fraction'[%']],"N.A.",0,1)</f>
        <v>0</v>
      </c>
      <c r="AL331" s="2">
        <f>IF(Tab_Data_Flows[[#This Row],[Use_E6]]="Yes",Tab_Data_Flows[[#This Row],[E6_Fraction'[%']]]*Tab_Data_Flows[[#This Row],[E1_value]],"N.A.")</f>
        <v>0</v>
      </c>
      <c r="AM331" s="2" t="str">
        <f>Tab_Data_Flows[[#This Row],[E1_UoM]]</f>
        <v>Mg</v>
      </c>
    </row>
    <row r="332" spans="1:39" x14ac:dyDescent="0.25">
      <c r="A332" s="4">
        <f t="shared" si="11"/>
        <v>331</v>
      </c>
      <c r="B332" s="2" t="str">
        <f>_xlfn.XLOOKUP(C332,Tab_Def_Flows[Flow_Name],Tab_Def_Flows[Flow_ID],,0,)</f>
        <v>F__</v>
      </c>
      <c r="C332" s="18" t="s">
        <v>5</v>
      </c>
      <c r="D332" s="5" t="str">
        <f>_xlfn.XLOOKUP(C332,Tab_Def_Flows[Flow_Name],Tab_Def_Flows[Use_E1],,0,)</f>
        <v>Yes</v>
      </c>
      <c r="E332" s="5" t="str">
        <f>_xlfn.XLOOKUP(C332,Tab_Def_Flows[Flow_Name],Tab_Def_Flows[Use_E2],,0,)</f>
        <v>Yes</v>
      </c>
      <c r="F332" s="5" t="str">
        <f>_xlfn.XLOOKUP(C332,Tab_Def_Flows[Flow_Name],Tab_Def_Flows[Use_E3],,0,)</f>
        <v>Yes</v>
      </c>
      <c r="G332" s="5" t="str">
        <f>_xlfn.XLOOKUP(C332,Tab_Def_Flows[Flow_Name],Tab_Def_Flows[Use_E4],,0,)</f>
        <v>Yes</v>
      </c>
      <c r="H332" s="5" t="str">
        <f>_xlfn.XLOOKUP(C332,Tab_Def_Flows[Flow_Name],Tab_Def_Flows[Use_E5],,0,)</f>
        <v>Yes</v>
      </c>
      <c r="I332" s="5" t="str">
        <f>_xlfn.XLOOKUP(C332,Tab_Def_Flows[Flow_Name],Tab_Def_Flows[Use_E6],,0,)</f>
        <v>Yes</v>
      </c>
      <c r="J332" s="3"/>
      <c r="K332" s="3"/>
      <c r="L332" s="2" t="str">
        <f>'0_Configuration'!$C$41</f>
        <v>Mg</v>
      </c>
      <c r="M332" s="9"/>
      <c r="N332" s="9"/>
      <c r="O332" s="9"/>
      <c r="P332" s="9"/>
      <c r="Q332" s="18" t="s">
        <v>3</v>
      </c>
      <c r="R332" s="10"/>
      <c r="S332" s="3"/>
      <c r="T332" s="9"/>
      <c r="U332" s="9"/>
      <c r="V332" s="2">
        <f>_xlfn.XLOOKUP(Tab_Data_Flows[[#This Row],[Flow_Name]],Tab_Def_Flows[Flow_Name],Tab_Def_Flows[Flow_E1_Fraction'[%']],"N.A.",0,1)</f>
        <v>0</v>
      </c>
      <c r="W332" s="8">
        <f t="shared" si="10"/>
        <v>0</v>
      </c>
      <c r="X332" s="2" t="str">
        <f>Tab_Data_Flows[[#This Row],[UoM_Source]]</f>
        <v>Mg</v>
      </c>
      <c r="Y332" s="19">
        <f>_xlfn.XLOOKUP(Tab_Data_Flows[[#This Row],[Flow_Name]],Tab_Def_Flows[Flow_Name],Tab_Def_Flows[Flow_E2_Fraction'[%']],"N.A.",0,1)</f>
        <v>0</v>
      </c>
      <c r="Z332" s="2">
        <f>IF(D332="Yes",W332*Tab_Data_Flows[[#This Row],[E2_Fraction'[%']]],"N.A.")</f>
        <v>0</v>
      </c>
      <c r="AA332" s="2" t="str">
        <f>Tab_Data_Flows[[#This Row],[E1_UoM]]</f>
        <v>Mg</v>
      </c>
      <c r="AB332" s="19">
        <f>_xlfn.XLOOKUP(Tab_Data_Flows[[#This Row],[Flow_Name]],Tab_Def_Flows[Flow_Name],Tab_Def_Flows[Flow_E3_Fraction'[%']],"N.A.",0,1)</f>
        <v>0</v>
      </c>
      <c r="AC332" s="2">
        <f>IF(E332="Yes",AB332*Tab_Data_Flows[[#This Row],[E1_value]],"N.A.")</f>
        <v>0</v>
      </c>
      <c r="AD332" s="2" t="str">
        <f>Tab_Data_Flows[[#This Row],[E1_UoM]]</f>
        <v>Mg</v>
      </c>
      <c r="AE332" s="19">
        <f>_xlfn.XLOOKUP(Tab_Data_Flows[[#This Row],[Flow_Name]],Tab_Def_Flows[Flow_Name],Tab_Def_Flows[Flow_E4_Fraction'[%']],"N.A.",0,1)</f>
        <v>0</v>
      </c>
      <c r="AF332" s="2">
        <f>IF(H332="Yes",Tab_Data_Flows[[#This Row],[E4_Fraction'[%']]]*Tab_Data_Flows[[#This Row],[E1_value]],"N.A.")</f>
        <v>0</v>
      </c>
      <c r="AG332" s="2" t="str">
        <f>Tab_Data_Flows[[#This Row],[E1_UoM]]</f>
        <v>Mg</v>
      </c>
      <c r="AH332" s="2">
        <f>_xlfn.XLOOKUP(Tab_Data_Flows[[#This Row],[Flow_Name]],Tab_Def_Flows[Flow_Name],Tab_Def_Flows[Flow_E5_Fraction'[%']],"N.A.",0,1)</f>
        <v>0</v>
      </c>
      <c r="AI332" s="2">
        <f>IF(H332="Yes",Tab_Data_Flows[[#This Row],[E5_Fraction'[%']]]*Tab_Data_Flows[[#This Row],[E1_value]],"N.A.")</f>
        <v>0</v>
      </c>
      <c r="AJ332" s="2" t="str">
        <f>Tab_Data_Flows[[#This Row],[E1_UoM]]</f>
        <v>Mg</v>
      </c>
      <c r="AK332" s="19">
        <f>_xlfn.XLOOKUP(Tab_Data_Flows[[#This Row],[Flow_Name]],Tab_Def_Flows[Flow_Name],Tab_Def_Flows[Flow_E6_Fraction'[%']],"N.A.",0,1)</f>
        <v>0</v>
      </c>
      <c r="AL332" s="2">
        <f>IF(Tab_Data_Flows[[#This Row],[Use_E6]]="Yes",Tab_Data_Flows[[#This Row],[E6_Fraction'[%']]]*Tab_Data_Flows[[#This Row],[E1_value]],"N.A.")</f>
        <v>0</v>
      </c>
      <c r="AM332" s="2" t="str">
        <f>Tab_Data_Flows[[#This Row],[E1_UoM]]</f>
        <v>Mg</v>
      </c>
    </row>
    <row r="333" spans="1:39" x14ac:dyDescent="0.25">
      <c r="A333" s="4">
        <f t="shared" si="11"/>
        <v>332</v>
      </c>
      <c r="B333" s="2" t="str">
        <f>_xlfn.XLOOKUP(C333,Tab_Def_Flows[Flow_Name],Tab_Def_Flows[Flow_ID],,0,)</f>
        <v>F__</v>
      </c>
      <c r="C333" s="18" t="s">
        <v>5</v>
      </c>
      <c r="D333" s="5" t="str">
        <f>_xlfn.XLOOKUP(C333,Tab_Def_Flows[Flow_Name],Tab_Def_Flows[Use_E1],,0,)</f>
        <v>Yes</v>
      </c>
      <c r="E333" s="5" t="str">
        <f>_xlfn.XLOOKUP(C333,Tab_Def_Flows[Flow_Name],Tab_Def_Flows[Use_E2],,0,)</f>
        <v>Yes</v>
      </c>
      <c r="F333" s="5" t="str">
        <f>_xlfn.XLOOKUP(C333,Tab_Def_Flows[Flow_Name],Tab_Def_Flows[Use_E3],,0,)</f>
        <v>Yes</v>
      </c>
      <c r="G333" s="5" t="str">
        <f>_xlfn.XLOOKUP(C333,Tab_Def_Flows[Flow_Name],Tab_Def_Flows[Use_E4],,0,)</f>
        <v>Yes</v>
      </c>
      <c r="H333" s="5" t="str">
        <f>_xlfn.XLOOKUP(C333,Tab_Def_Flows[Flow_Name],Tab_Def_Flows[Use_E5],,0,)</f>
        <v>Yes</v>
      </c>
      <c r="I333" s="5" t="str">
        <f>_xlfn.XLOOKUP(C333,Tab_Def_Flows[Flow_Name],Tab_Def_Flows[Use_E6],,0,)</f>
        <v>Yes</v>
      </c>
      <c r="J333" s="3"/>
      <c r="K333" s="3"/>
      <c r="L333" s="2" t="str">
        <f>'0_Configuration'!$C$41</f>
        <v>Mg</v>
      </c>
      <c r="M333" s="9"/>
      <c r="N333" s="9"/>
      <c r="O333" s="9"/>
      <c r="P333" s="9"/>
      <c r="Q333" s="18" t="s">
        <v>3</v>
      </c>
      <c r="R333" s="10"/>
      <c r="S333" s="3"/>
      <c r="T333" s="9"/>
      <c r="U333" s="9"/>
      <c r="V333" s="2">
        <f>_xlfn.XLOOKUP(Tab_Data_Flows[[#This Row],[Flow_Name]],Tab_Def_Flows[Flow_Name],Tab_Def_Flows[Flow_E1_Fraction'[%']],"N.A.",0,1)</f>
        <v>0</v>
      </c>
      <c r="W333" s="8">
        <f t="shared" si="10"/>
        <v>0</v>
      </c>
      <c r="X333" s="2" t="str">
        <f>Tab_Data_Flows[[#This Row],[UoM_Source]]</f>
        <v>Mg</v>
      </c>
      <c r="Y333" s="19">
        <f>_xlfn.XLOOKUP(Tab_Data_Flows[[#This Row],[Flow_Name]],Tab_Def_Flows[Flow_Name],Tab_Def_Flows[Flow_E2_Fraction'[%']],"N.A.",0,1)</f>
        <v>0</v>
      </c>
      <c r="Z333" s="2">
        <f>IF(D333="Yes",W333*Tab_Data_Flows[[#This Row],[E2_Fraction'[%']]],"N.A.")</f>
        <v>0</v>
      </c>
      <c r="AA333" s="2" t="str">
        <f>Tab_Data_Flows[[#This Row],[E1_UoM]]</f>
        <v>Mg</v>
      </c>
      <c r="AB333" s="19">
        <f>_xlfn.XLOOKUP(Tab_Data_Flows[[#This Row],[Flow_Name]],Tab_Def_Flows[Flow_Name],Tab_Def_Flows[Flow_E3_Fraction'[%']],"N.A.",0,1)</f>
        <v>0</v>
      </c>
      <c r="AC333" s="2">
        <f>IF(E333="Yes",AB333*Tab_Data_Flows[[#This Row],[E1_value]],"N.A.")</f>
        <v>0</v>
      </c>
      <c r="AD333" s="2" t="str">
        <f>Tab_Data_Flows[[#This Row],[E1_UoM]]</f>
        <v>Mg</v>
      </c>
      <c r="AE333" s="19">
        <f>_xlfn.XLOOKUP(Tab_Data_Flows[[#This Row],[Flow_Name]],Tab_Def_Flows[Flow_Name],Tab_Def_Flows[Flow_E4_Fraction'[%']],"N.A.",0,1)</f>
        <v>0</v>
      </c>
      <c r="AF333" s="2">
        <f>IF(H333="Yes",Tab_Data_Flows[[#This Row],[E4_Fraction'[%']]]*Tab_Data_Flows[[#This Row],[E1_value]],"N.A.")</f>
        <v>0</v>
      </c>
      <c r="AG333" s="2" t="str">
        <f>Tab_Data_Flows[[#This Row],[E1_UoM]]</f>
        <v>Mg</v>
      </c>
      <c r="AH333" s="2">
        <f>_xlfn.XLOOKUP(Tab_Data_Flows[[#This Row],[Flow_Name]],Tab_Def_Flows[Flow_Name],Tab_Def_Flows[Flow_E5_Fraction'[%']],"N.A.",0,1)</f>
        <v>0</v>
      </c>
      <c r="AI333" s="2">
        <f>IF(H333="Yes",Tab_Data_Flows[[#This Row],[E5_Fraction'[%']]]*Tab_Data_Flows[[#This Row],[E1_value]],"N.A.")</f>
        <v>0</v>
      </c>
      <c r="AJ333" s="2" t="str">
        <f>Tab_Data_Flows[[#This Row],[E1_UoM]]</f>
        <v>Mg</v>
      </c>
      <c r="AK333" s="19">
        <f>_xlfn.XLOOKUP(Tab_Data_Flows[[#This Row],[Flow_Name]],Tab_Def_Flows[Flow_Name],Tab_Def_Flows[Flow_E6_Fraction'[%']],"N.A.",0,1)</f>
        <v>0</v>
      </c>
      <c r="AL333" s="2">
        <f>IF(Tab_Data_Flows[[#This Row],[Use_E6]]="Yes",Tab_Data_Flows[[#This Row],[E6_Fraction'[%']]]*Tab_Data_Flows[[#This Row],[E1_value]],"N.A.")</f>
        <v>0</v>
      </c>
      <c r="AM333" s="2" t="str">
        <f>Tab_Data_Flows[[#This Row],[E1_UoM]]</f>
        <v>Mg</v>
      </c>
    </row>
    <row r="334" spans="1:39" x14ac:dyDescent="0.25">
      <c r="A334" s="4">
        <f t="shared" si="11"/>
        <v>333</v>
      </c>
      <c r="B334" s="2" t="str">
        <f>_xlfn.XLOOKUP(C334,Tab_Def_Flows[Flow_Name],Tab_Def_Flows[Flow_ID],,0,)</f>
        <v>F__</v>
      </c>
      <c r="C334" s="18" t="s">
        <v>5</v>
      </c>
      <c r="D334" s="5" t="str">
        <f>_xlfn.XLOOKUP(C334,Tab_Def_Flows[Flow_Name],Tab_Def_Flows[Use_E1],,0,)</f>
        <v>Yes</v>
      </c>
      <c r="E334" s="5" t="str">
        <f>_xlfn.XLOOKUP(C334,Tab_Def_Flows[Flow_Name],Tab_Def_Flows[Use_E2],,0,)</f>
        <v>Yes</v>
      </c>
      <c r="F334" s="5" t="str">
        <f>_xlfn.XLOOKUP(C334,Tab_Def_Flows[Flow_Name],Tab_Def_Flows[Use_E3],,0,)</f>
        <v>Yes</v>
      </c>
      <c r="G334" s="5" t="str">
        <f>_xlfn.XLOOKUP(C334,Tab_Def_Flows[Flow_Name],Tab_Def_Flows[Use_E4],,0,)</f>
        <v>Yes</v>
      </c>
      <c r="H334" s="5" t="str">
        <f>_xlfn.XLOOKUP(C334,Tab_Def_Flows[Flow_Name],Tab_Def_Flows[Use_E5],,0,)</f>
        <v>Yes</v>
      </c>
      <c r="I334" s="5" t="str">
        <f>_xlfn.XLOOKUP(C334,Tab_Def_Flows[Flow_Name],Tab_Def_Flows[Use_E6],,0,)</f>
        <v>Yes</v>
      </c>
      <c r="J334" s="3"/>
      <c r="K334" s="3"/>
      <c r="L334" s="2" t="str">
        <f>'0_Configuration'!$C$41</f>
        <v>Mg</v>
      </c>
      <c r="M334" s="9"/>
      <c r="N334" s="9"/>
      <c r="O334" s="9"/>
      <c r="P334" s="9"/>
      <c r="Q334" s="18" t="s">
        <v>3</v>
      </c>
      <c r="R334" s="3"/>
      <c r="S334" s="3"/>
      <c r="T334" s="9"/>
      <c r="U334" s="9"/>
      <c r="V334" s="2">
        <f>_xlfn.XLOOKUP(Tab_Data_Flows[[#This Row],[Flow_Name]],Tab_Def_Flows[Flow_Name],Tab_Def_Flows[Flow_E1_Fraction'[%']],"N.A.",0,1)</f>
        <v>0</v>
      </c>
      <c r="W334" s="8">
        <f t="shared" si="10"/>
        <v>0</v>
      </c>
      <c r="X334" s="2" t="str">
        <f>Tab_Data_Flows[[#This Row],[UoM_Source]]</f>
        <v>Mg</v>
      </c>
      <c r="Y334" s="19">
        <f>_xlfn.XLOOKUP(Tab_Data_Flows[[#This Row],[Flow_Name]],Tab_Def_Flows[Flow_Name],Tab_Def_Flows[Flow_E2_Fraction'[%']],"N.A.",0,1)</f>
        <v>0</v>
      </c>
      <c r="Z334" s="2">
        <f>IF(D334="Yes",W334*Tab_Data_Flows[[#This Row],[E2_Fraction'[%']]],"N.A.")</f>
        <v>0</v>
      </c>
      <c r="AA334" s="2" t="str">
        <f>Tab_Data_Flows[[#This Row],[E1_UoM]]</f>
        <v>Mg</v>
      </c>
      <c r="AB334" s="19">
        <f>_xlfn.XLOOKUP(Tab_Data_Flows[[#This Row],[Flow_Name]],Tab_Def_Flows[Flow_Name],Tab_Def_Flows[Flow_E3_Fraction'[%']],"N.A.",0,1)</f>
        <v>0</v>
      </c>
      <c r="AC334" s="2">
        <f>IF(E334="Yes",AB334*Tab_Data_Flows[[#This Row],[E1_value]],"N.A.")</f>
        <v>0</v>
      </c>
      <c r="AD334" s="2" t="str">
        <f>Tab_Data_Flows[[#This Row],[E1_UoM]]</f>
        <v>Mg</v>
      </c>
      <c r="AE334" s="19">
        <f>_xlfn.XLOOKUP(Tab_Data_Flows[[#This Row],[Flow_Name]],Tab_Def_Flows[Flow_Name],Tab_Def_Flows[Flow_E4_Fraction'[%']],"N.A.",0,1)</f>
        <v>0</v>
      </c>
      <c r="AF334" s="2">
        <f>IF(H334="Yes",Tab_Data_Flows[[#This Row],[E4_Fraction'[%']]]*Tab_Data_Flows[[#This Row],[E1_value]],"N.A.")</f>
        <v>0</v>
      </c>
      <c r="AG334" s="2" t="str">
        <f>Tab_Data_Flows[[#This Row],[E1_UoM]]</f>
        <v>Mg</v>
      </c>
      <c r="AH334" s="2">
        <f>_xlfn.XLOOKUP(Tab_Data_Flows[[#This Row],[Flow_Name]],Tab_Def_Flows[Flow_Name],Tab_Def_Flows[Flow_E5_Fraction'[%']],"N.A.",0,1)</f>
        <v>0</v>
      </c>
      <c r="AI334" s="2">
        <f>IF(H334="Yes",Tab_Data_Flows[[#This Row],[E5_Fraction'[%']]]*Tab_Data_Flows[[#This Row],[E1_value]],"N.A.")</f>
        <v>0</v>
      </c>
      <c r="AJ334" s="2" t="str">
        <f>Tab_Data_Flows[[#This Row],[E1_UoM]]</f>
        <v>Mg</v>
      </c>
      <c r="AK334" s="19">
        <f>_xlfn.XLOOKUP(Tab_Data_Flows[[#This Row],[Flow_Name]],Tab_Def_Flows[Flow_Name],Tab_Def_Flows[Flow_E6_Fraction'[%']],"N.A.",0,1)</f>
        <v>0</v>
      </c>
      <c r="AL334" s="2">
        <f>IF(Tab_Data_Flows[[#This Row],[Use_E6]]="Yes",Tab_Data_Flows[[#This Row],[E6_Fraction'[%']]]*Tab_Data_Flows[[#This Row],[E1_value]],"N.A.")</f>
        <v>0</v>
      </c>
      <c r="AM334" s="2" t="str">
        <f>Tab_Data_Flows[[#This Row],[E1_UoM]]</f>
        <v>Mg</v>
      </c>
    </row>
    <row r="335" spans="1:39" x14ac:dyDescent="0.25">
      <c r="A335" s="4">
        <f t="shared" si="11"/>
        <v>334</v>
      </c>
      <c r="B335" s="2" t="str">
        <f>_xlfn.XLOOKUP(C335,Tab_Def_Flows[Flow_Name],Tab_Def_Flows[Flow_ID],,0,)</f>
        <v>F__</v>
      </c>
      <c r="C335" s="18" t="s">
        <v>5</v>
      </c>
      <c r="D335" s="5" t="str">
        <f>_xlfn.XLOOKUP(C335,Tab_Def_Flows[Flow_Name],Tab_Def_Flows[Use_E1],,0,)</f>
        <v>Yes</v>
      </c>
      <c r="E335" s="5" t="str">
        <f>_xlfn.XLOOKUP(C335,Tab_Def_Flows[Flow_Name],Tab_Def_Flows[Use_E2],,0,)</f>
        <v>Yes</v>
      </c>
      <c r="F335" s="5" t="str">
        <f>_xlfn.XLOOKUP(C335,Tab_Def_Flows[Flow_Name],Tab_Def_Flows[Use_E3],,0,)</f>
        <v>Yes</v>
      </c>
      <c r="G335" s="5" t="str">
        <f>_xlfn.XLOOKUP(C335,Tab_Def_Flows[Flow_Name],Tab_Def_Flows[Use_E4],,0,)</f>
        <v>Yes</v>
      </c>
      <c r="H335" s="5" t="str">
        <f>_xlfn.XLOOKUP(C335,Tab_Def_Flows[Flow_Name],Tab_Def_Flows[Use_E5],,0,)</f>
        <v>Yes</v>
      </c>
      <c r="I335" s="5" t="str">
        <f>_xlfn.XLOOKUP(C335,Tab_Def_Flows[Flow_Name],Tab_Def_Flows[Use_E6],,0,)</f>
        <v>Yes</v>
      </c>
      <c r="J335" s="3"/>
      <c r="K335" s="3"/>
      <c r="L335" s="2" t="str">
        <f>'0_Configuration'!$C$41</f>
        <v>Mg</v>
      </c>
      <c r="M335" s="9"/>
      <c r="N335" s="9"/>
      <c r="O335" s="9"/>
      <c r="P335" s="9"/>
      <c r="Q335" s="18" t="s">
        <v>3</v>
      </c>
      <c r="R335" s="3"/>
      <c r="S335" s="3"/>
      <c r="T335" s="9"/>
      <c r="U335" s="9"/>
      <c r="V335" s="2">
        <f>_xlfn.XLOOKUP(Tab_Data_Flows[[#This Row],[Flow_Name]],Tab_Def_Flows[Flow_Name],Tab_Def_Flows[Flow_E1_Fraction'[%']],"N.A.",0,1)</f>
        <v>0</v>
      </c>
      <c r="W335" s="8">
        <f t="shared" si="10"/>
        <v>0</v>
      </c>
      <c r="X335" s="2" t="str">
        <f>Tab_Data_Flows[[#This Row],[UoM_Source]]</f>
        <v>Mg</v>
      </c>
      <c r="Y335" s="19">
        <f>_xlfn.XLOOKUP(Tab_Data_Flows[[#This Row],[Flow_Name]],Tab_Def_Flows[Flow_Name],Tab_Def_Flows[Flow_E2_Fraction'[%']],"N.A.",0,1)</f>
        <v>0</v>
      </c>
      <c r="Z335" s="2">
        <f>IF(D335="Yes",W335*Tab_Data_Flows[[#This Row],[E2_Fraction'[%']]],"N.A.")</f>
        <v>0</v>
      </c>
      <c r="AA335" s="2" t="str">
        <f>Tab_Data_Flows[[#This Row],[E1_UoM]]</f>
        <v>Mg</v>
      </c>
      <c r="AB335" s="19">
        <f>_xlfn.XLOOKUP(Tab_Data_Flows[[#This Row],[Flow_Name]],Tab_Def_Flows[Flow_Name],Tab_Def_Flows[Flow_E3_Fraction'[%']],"N.A.",0,1)</f>
        <v>0</v>
      </c>
      <c r="AC335" s="2">
        <f>IF(E335="Yes",AB335*Tab_Data_Flows[[#This Row],[E1_value]],"N.A.")</f>
        <v>0</v>
      </c>
      <c r="AD335" s="2" t="str">
        <f>Tab_Data_Flows[[#This Row],[E1_UoM]]</f>
        <v>Mg</v>
      </c>
      <c r="AE335" s="19">
        <f>_xlfn.XLOOKUP(Tab_Data_Flows[[#This Row],[Flow_Name]],Tab_Def_Flows[Flow_Name],Tab_Def_Flows[Flow_E4_Fraction'[%']],"N.A.",0,1)</f>
        <v>0</v>
      </c>
      <c r="AF335" s="2">
        <f>IF(H335="Yes",Tab_Data_Flows[[#This Row],[E4_Fraction'[%']]]*Tab_Data_Flows[[#This Row],[E1_value]],"N.A.")</f>
        <v>0</v>
      </c>
      <c r="AG335" s="2" t="str">
        <f>Tab_Data_Flows[[#This Row],[E1_UoM]]</f>
        <v>Mg</v>
      </c>
      <c r="AH335" s="2">
        <f>_xlfn.XLOOKUP(Tab_Data_Flows[[#This Row],[Flow_Name]],Tab_Def_Flows[Flow_Name],Tab_Def_Flows[Flow_E5_Fraction'[%']],"N.A.",0,1)</f>
        <v>0</v>
      </c>
      <c r="AI335" s="2">
        <f>IF(H335="Yes",Tab_Data_Flows[[#This Row],[E5_Fraction'[%']]]*Tab_Data_Flows[[#This Row],[E1_value]],"N.A.")</f>
        <v>0</v>
      </c>
      <c r="AJ335" s="2" t="str">
        <f>Tab_Data_Flows[[#This Row],[E1_UoM]]</f>
        <v>Mg</v>
      </c>
      <c r="AK335" s="19">
        <f>_xlfn.XLOOKUP(Tab_Data_Flows[[#This Row],[Flow_Name]],Tab_Def_Flows[Flow_Name],Tab_Def_Flows[Flow_E6_Fraction'[%']],"N.A.",0,1)</f>
        <v>0</v>
      </c>
      <c r="AL335" s="2">
        <f>IF(Tab_Data_Flows[[#This Row],[Use_E6]]="Yes",Tab_Data_Flows[[#This Row],[E6_Fraction'[%']]]*Tab_Data_Flows[[#This Row],[E1_value]],"N.A.")</f>
        <v>0</v>
      </c>
      <c r="AM335" s="2" t="str">
        <f>Tab_Data_Flows[[#This Row],[E1_UoM]]</f>
        <v>Mg</v>
      </c>
    </row>
    <row r="336" spans="1:39" x14ac:dyDescent="0.25">
      <c r="A336" s="4">
        <f t="shared" si="11"/>
        <v>335</v>
      </c>
      <c r="B336" s="2" t="str">
        <f>_xlfn.XLOOKUP(C336,Tab_Def_Flows[Flow_Name],Tab_Def_Flows[Flow_ID],,0,)</f>
        <v>F__</v>
      </c>
      <c r="C336" s="18" t="s">
        <v>5</v>
      </c>
      <c r="D336" s="5" t="str">
        <f>_xlfn.XLOOKUP(C336,Tab_Def_Flows[Flow_Name],Tab_Def_Flows[Use_E1],,0,)</f>
        <v>Yes</v>
      </c>
      <c r="E336" s="5" t="str">
        <f>_xlfn.XLOOKUP(C336,Tab_Def_Flows[Flow_Name],Tab_Def_Flows[Use_E2],,0,)</f>
        <v>Yes</v>
      </c>
      <c r="F336" s="5" t="str">
        <f>_xlfn.XLOOKUP(C336,Tab_Def_Flows[Flow_Name],Tab_Def_Flows[Use_E3],,0,)</f>
        <v>Yes</v>
      </c>
      <c r="G336" s="5" t="str">
        <f>_xlfn.XLOOKUP(C336,Tab_Def_Flows[Flow_Name],Tab_Def_Flows[Use_E4],,0,)</f>
        <v>Yes</v>
      </c>
      <c r="H336" s="5" t="str">
        <f>_xlfn.XLOOKUP(C336,Tab_Def_Flows[Flow_Name],Tab_Def_Flows[Use_E5],,0,)</f>
        <v>Yes</v>
      </c>
      <c r="I336" s="5" t="str">
        <f>_xlfn.XLOOKUP(C336,Tab_Def_Flows[Flow_Name],Tab_Def_Flows[Use_E6],,0,)</f>
        <v>Yes</v>
      </c>
      <c r="J336" s="3"/>
      <c r="K336" s="3"/>
      <c r="L336" s="2" t="str">
        <f>'0_Configuration'!$C$41</f>
        <v>Mg</v>
      </c>
      <c r="M336" s="9"/>
      <c r="N336" s="9"/>
      <c r="O336" s="9"/>
      <c r="P336" s="9"/>
      <c r="Q336" s="18" t="s">
        <v>3</v>
      </c>
      <c r="R336" s="3"/>
      <c r="S336" s="3"/>
      <c r="T336" s="9"/>
      <c r="U336" s="9"/>
      <c r="V336" s="2">
        <f>_xlfn.XLOOKUP(Tab_Data_Flows[[#This Row],[Flow_Name]],Tab_Def_Flows[Flow_Name],Tab_Def_Flows[Flow_E1_Fraction'[%']],"N.A.",0,1)</f>
        <v>0</v>
      </c>
      <c r="W336" s="8">
        <f t="shared" si="10"/>
        <v>0</v>
      </c>
      <c r="X336" s="2" t="str">
        <f>Tab_Data_Flows[[#This Row],[UoM_Source]]</f>
        <v>Mg</v>
      </c>
      <c r="Y336" s="19">
        <f>_xlfn.XLOOKUP(Tab_Data_Flows[[#This Row],[Flow_Name]],Tab_Def_Flows[Flow_Name],Tab_Def_Flows[Flow_E2_Fraction'[%']],"N.A.",0,1)</f>
        <v>0</v>
      </c>
      <c r="Z336" s="2">
        <f>IF(D336="Yes",W336*Tab_Data_Flows[[#This Row],[E2_Fraction'[%']]],"N.A.")</f>
        <v>0</v>
      </c>
      <c r="AA336" s="2" t="str">
        <f>Tab_Data_Flows[[#This Row],[E1_UoM]]</f>
        <v>Mg</v>
      </c>
      <c r="AB336" s="19">
        <f>_xlfn.XLOOKUP(Tab_Data_Flows[[#This Row],[Flow_Name]],Tab_Def_Flows[Flow_Name],Tab_Def_Flows[Flow_E3_Fraction'[%']],"N.A.",0,1)</f>
        <v>0</v>
      </c>
      <c r="AC336" s="2">
        <f>IF(E336="Yes",AB336*Tab_Data_Flows[[#This Row],[E1_value]],"N.A.")</f>
        <v>0</v>
      </c>
      <c r="AD336" s="2" t="str">
        <f>Tab_Data_Flows[[#This Row],[E1_UoM]]</f>
        <v>Mg</v>
      </c>
      <c r="AE336" s="19">
        <f>_xlfn.XLOOKUP(Tab_Data_Flows[[#This Row],[Flow_Name]],Tab_Def_Flows[Flow_Name],Tab_Def_Flows[Flow_E4_Fraction'[%']],"N.A.",0,1)</f>
        <v>0</v>
      </c>
      <c r="AF336" s="2">
        <f>IF(H336="Yes",Tab_Data_Flows[[#This Row],[E4_Fraction'[%']]]*Tab_Data_Flows[[#This Row],[E1_value]],"N.A.")</f>
        <v>0</v>
      </c>
      <c r="AG336" s="2" t="str">
        <f>Tab_Data_Flows[[#This Row],[E1_UoM]]</f>
        <v>Mg</v>
      </c>
      <c r="AH336" s="2">
        <f>_xlfn.XLOOKUP(Tab_Data_Flows[[#This Row],[Flow_Name]],Tab_Def_Flows[Flow_Name],Tab_Def_Flows[Flow_E5_Fraction'[%']],"N.A.",0,1)</f>
        <v>0</v>
      </c>
      <c r="AI336" s="2">
        <f>IF(H336="Yes",Tab_Data_Flows[[#This Row],[E5_Fraction'[%']]]*Tab_Data_Flows[[#This Row],[E1_value]],"N.A.")</f>
        <v>0</v>
      </c>
      <c r="AJ336" s="2" t="str">
        <f>Tab_Data_Flows[[#This Row],[E1_UoM]]</f>
        <v>Mg</v>
      </c>
      <c r="AK336" s="19">
        <f>_xlfn.XLOOKUP(Tab_Data_Flows[[#This Row],[Flow_Name]],Tab_Def_Flows[Flow_Name],Tab_Def_Flows[Flow_E6_Fraction'[%']],"N.A.",0,1)</f>
        <v>0</v>
      </c>
      <c r="AL336" s="2">
        <f>IF(Tab_Data_Flows[[#This Row],[Use_E6]]="Yes",Tab_Data_Flows[[#This Row],[E6_Fraction'[%']]]*Tab_Data_Flows[[#This Row],[E1_value]],"N.A.")</f>
        <v>0</v>
      </c>
      <c r="AM336" s="2" t="str">
        <f>Tab_Data_Flows[[#This Row],[E1_UoM]]</f>
        <v>Mg</v>
      </c>
    </row>
    <row r="337" spans="1:39" x14ac:dyDescent="0.25">
      <c r="A337" s="4">
        <f t="shared" si="11"/>
        <v>336</v>
      </c>
      <c r="B337" s="2" t="str">
        <f>_xlfn.XLOOKUP(C337,Tab_Def_Flows[Flow_Name],Tab_Def_Flows[Flow_ID],,0,)</f>
        <v>F__</v>
      </c>
      <c r="C337" s="18" t="s">
        <v>5</v>
      </c>
      <c r="D337" s="5" t="str">
        <f>_xlfn.XLOOKUP(C337,Tab_Def_Flows[Flow_Name],Tab_Def_Flows[Use_E1],,0,)</f>
        <v>Yes</v>
      </c>
      <c r="E337" s="5" t="str">
        <f>_xlfn.XLOOKUP(C337,Tab_Def_Flows[Flow_Name],Tab_Def_Flows[Use_E2],,0,)</f>
        <v>Yes</v>
      </c>
      <c r="F337" s="5" t="str">
        <f>_xlfn.XLOOKUP(C337,Tab_Def_Flows[Flow_Name],Tab_Def_Flows[Use_E3],,0,)</f>
        <v>Yes</v>
      </c>
      <c r="G337" s="5" t="str">
        <f>_xlfn.XLOOKUP(C337,Tab_Def_Flows[Flow_Name],Tab_Def_Flows[Use_E4],,0,)</f>
        <v>Yes</v>
      </c>
      <c r="H337" s="5" t="str">
        <f>_xlfn.XLOOKUP(C337,Tab_Def_Flows[Flow_Name],Tab_Def_Flows[Use_E5],,0,)</f>
        <v>Yes</v>
      </c>
      <c r="I337" s="5" t="str">
        <f>_xlfn.XLOOKUP(C337,Tab_Def_Flows[Flow_Name],Tab_Def_Flows[Use_E6],,0,)</f>
        <v>Yes</v>
      </c>
      <c r="J337" s="3"/>
      <c r="K337" s="3"/>
      <c r="L337" s="2" t="str">
        <f>'0_Configuration'!$C$41</f>
        <v>Mg</v>
      </c>
      <c r="M337" s="9"/>
      <c r="N337" s="9"/>
      <c r="O337" s="9"/>
      <c r="P337" s="9"/>
      <c r="Q337" s="18" t="s">
        <v>3</v>
      </c>
      <c r="R337" s="3"/>
      <c r="S337" s="3"/>
      <c r="T337" s="9"/>
      <c r="U337" s="9"/>
      <c r="V337" s="2">
        <f>_xlfn.XLOOKUP(Tab_Data_Flows[[#This Row],[Flow_Name]],Tab_Def_Flows[Flow_Name],Tab_Def_Flows[Flow_E1_Fraction'[%']],"N.A.",0,1)</f>
        <v>0</v>
      </c>
      <c r="W337" s="8">
        <f t="shared" si="10"/>
        <v>0</v>
      </c>
      <c r="X337" s="2" t="str">
        <f>Tab_Data_Flows[[#This Row],[UoM_Source]]</f>
        <v>Mg</v>
      </c>
      <c r="Y337" s="19">
        <f>_xlfn.XLOOKUP(Tab_Data_Flows[[#This Row],[Flow_Name]],Tab_Def_Flows[Flow_Name],Tab_Def_Flows[Flow_E2_Fraction'[%']],"N.A.",0,1)</f>
        <v>0</v>
      </c>
      <c r="Z337" s="2">
        <f>IF(D337="Yes",W337*Tab_Data_Flows[[#This Row],[E2_Fraction'[%']]],"N.A.")</f>
        <v>0</v>
      </c>
      <c r="AA337" s="2" t="str">
        <f>Tab_Data_Flows[[#This Row],[E1_UoM]]</f>
        <v>Mg</v>
      </c>
      <c r="AB337" s="19">
        <f>_xlfn.XLOOKUP(Tab_Data_Flows[[#This Row],[Flow_Name]],Tab_Def_Flows[Flow_Name],Tab_Def_Flows[Flow_E3_Fraction'[%']],"N.A.",0,1)</f>
        <v>0</v>
      </c>
      <c r="AC337" s="2">
        <f>IF(E337="Yes",AB337*Tab_Data_Flows[[#This Row],[E1_value]],"N.A.")</f>
        <v>0</v>
      </c>
      <c r="AD337" s="2" t="str">
        <f>Tab_Data_Flows[[#This Row],[E1_UoM]]</f>
        <v>Mg</v>
      </c>
      <c r="AE337" s="19">
        <f>_xlfn.XLOOKUP(Tab_Data_Flows[[#This Row],[Flow_Name]],Tab_Def_Flows[Flow_Name],Tab_Def_Flows[Flow_E4_Fraction'[%']],"N.A.",0,1)</f>
        <v>0</v>
      </c>
      <c r="AF337" s="2">
        <f>IF(H337="Yes",Tab_Data_Flows[[#This Row],[E4_Fraction'[%']]]*Tab_Data_Flows[[#This Row],[E1_value]],"N.A.")</f>
        <v>0</v>
      </c>
      <c r="AG337" s="2" t="str">
        <f>Tab_Data_Flows[[#This Row],[E1_UoM]]</f>
        <v>Mg</v>
      </c>
      <c r="AH337" s="2">
        <f>_xlfn.XLOOKUP(Tab_Data_Flows[[#This Row],[Flow_Name]],Tab_Def_Flows[Flow_Name],Tab_Def_Flows[Flow_E5_Fraction'[%']],"N.A.",0,1)</f>
        <v>0</v>
      </c>
      <c r="AI337" s="2">
        <f>IF(H337="Yes",Tab_Data_Flows[[#This Row],[E5_Fraction'[%']]]*Tab_Data_Flows[[#This Row],[E1_value]],"N.A.")</f>
        <v>0</v>
      </c>
      <c r="AJ337" s="2" t="str">
        <f>Tab_Data_Flows[[#This Row],[E1_UoM]]</f>
        <v>Mg</v>
      </c>
      <c r="AK337" s="19">
        <f>_xlfn.XLOOKUP(Tab_Data_Flows[[#This Row],[Flow_Name]],Tab_Def_Flows[Flow_Name],Tab_Def_Flows[Flow_E6_Fraction'[%']],"N.A.",0,1)</f>
        <v>0</v>
      </c>
      <c r="AL337" s="2">
        <f>IF(Tab_Data_Flows[[#This Row],[Use_E6]]="Yes",Tab_Data_Flows[[#This Row],[E6_Fraction'[%']]]*Tab_Data_Flows[[#This Row],[E1_value]],"N.A.")</f>
        <v>0</v>
      </c>
      <c r="AM337" s="2" t="str">
        <f>Tab_Data_Flows[[#This Row],[E1_UoM]]</f>
        <v>Mg</v>
      </c>
    </row>
    <row r="338" spans="1:39" x14ac:dyDescent="0.25">
      <c r="A338" s="4">
        <f t="shared" si="11"/>
        <v>337</v>
      </c>
      <c r="B338" s="2" t="str">
        <f>_xlfn.XLOOKUP(C338,Tab_Def_Flows[Flow_Name],Tab_Def_Flows[Flow_ID],,0,)</f>
        <v>F__</v>
      </c>
      <c r="C338" s="18" t="s">
        <v>5</v>
      </c>
      <c r="D338" s="5" t="str">
        <f>_xlfn.XLOOKUP(C338,Tab_Def_Flows[Flow_Name],Tab_Def_Flows[Use_E1],,0,)</f>
        <v>Yes</v>
      </c>
      <c r="E338" s="5" t="str">
        <f>_xlfn.XLOOKUP(C338,Tab_Def_Flows[Flow_Name],Tab_Def_Flows[Use_E2],,0,)</f>
        <v>Yes</v>
      </c>
      <c r="F338" s="5" t="str">
        <f>_xlfn.XLOOKUP(C338,Tab_Def_Flows[Flow_Name],Tab_Def_Flows[Use_E3],,0,)</f>
        <v>Yes</v>
      </c>
      <c r="G338" s="5" t="str">
        <f>_xlfn.XLOOKUP(C338,Tab_Def_Flows[Flow_Name],Tab_Def_Flows[Use_E4],,0,)</f>
        <v>Yes</v>
      </c>
      <c r="H338" s="5" t="str">
        <f>_xlfn.XLOOKUP(C338,Tab_Def_Flows[Flow_Name],Tab_Def_Flows[Use_E5],,0,)</f>
        <v>Yes</v>
      </c>
      <c r="I338" s="5" t="str">
        <f>_xlfn.XLOOKUP(C338,Tab_Def_Flows[Flow_Name],Tab_Def_Flows[Use_E6],,0,)</f>
        <v>Yes</v>
      </c>
      <c r="J338" s="3"/>
      <c r="K338" s="3"/>
      <c r="L338" s="2" t="str">
        <f>'0_Configuration'!$C$41</f>
        <v>Mg</v>
      </c>
      <c r="M338" s="9"/>
      <c r="N338" s="9"/>
      <c r="O338" s="9"/>
      <c r="P338" s="9"/>
      <c r="Q338" s="18" t="s">
        <v>3</v>
      </c>
      <c r="R338" s="3"/>
      <c r="S338" s="3"/>
      <c r="T338" s="9"/>
      <c r="U338" s="9"/>
      <c r="V338" s="2">
        <f>_xlfn.XLOOKUP(Tab_Data_Flows[[#This Row],[Flow_Name]],Tab_Def_Flows[Flow_Name],Tab_Def_Flows[Flow_E1_Fraction'[%']],"N.A.",0,1)</f>
        <v>0</v>
      </c>
      <c r="W338" s="8">
        <f t="shared" si="10"/>
        <v>0</v>
      </c>
      <c r="X338" s="2" t="str">
        <f>Tab_Data_Flows[[#This Row],[UoM_Source]]</f>
        <v>Mg</v>
      </c>
      <c r="Y338" s="19">
        <f>_xlfn.XLOOKUP(Tab_Data_Flows[[#This Row],[Flow_Name]],Tab_Def_Flows[Flow_Name],Tab_Def_Flows[Flow_E2_Fraction'[%']],"N.A.",0,1)</f>
        <v>0</v>
      </c>
      <c r="Z338" s="2">
        <f>IF(D338="Yes",W338*Tab_Data_Flows[[#This Row],[E2_Fraction'[%']]],"N.A.")</f>
        <v>0</v>
      </c>
      <c r="AA338" s="2" t="str">
        <f>Tab_Data_Flows[[#This Row],[E1_UoM]]</f>
        <v>Mg</v>
      </c>
      <c r="AB338" s="19">
        <f>_xlfn.XLOOKUP(Tab_Data_Flows[[#This Row],[Flow_Name]],Tab_Def_Flows[Flow_Name],Tab_Def_Flows[Flow_E3_Fraction'[%']],"N.A.",0,1)</f>
        <v>0</v>
      </c>
      <c r="AC338" s="2">
        <f>IF(E338="Yes",AB338*Tab_Data_Flows[[#This Row],[E1_value]],"N.A.")</f>
        <v>0</v>
      </c>
      <c r="AD338" s="2" t="str">
        <f>Tab_Data_Flows[[#This Row],[E1_UoM]]</f>
        <v>Mg</v>
      </c>
      <c r="AE338" s="19">
        <f>_xlfn.XLOOKUP(Tab_Data_Flows[[#This Row],[Flow_Name]],Tab_Def_Flows[Flow_Name],Tab_Def_Flows[Flow_E4_Fraction'[%']],"N.A.",0,1)</f>
        <v>0</v>
      </c>
      <c r="AF338" s="2">
        <f>IF(H338="Yes",Tab_Data_Flows[[#This Row],[E4_Fraction'[%']]]*Tab_Data_Flows[[#This Row],[E1_value]],"N.A.")</f>
        <v>0</v>
      </c>
      <c r="AG338" s="2" t="str">
        <f>Tab_Data_Flows[[#This Row],[E1_UoM]]</f>
        <v>Mg</v>
      </c>
      <c r="AH338" s="2">
        <f>_xlfn.XLOOKUP(Tab_Data_Flows[[#This Row],[Flow_Name]],Tab_Def_Flows[Flow_Name],Tab_Def_Flows[Flow_E5_Fraction'[%']],"N.A.",0,1)</f>
        <v>0</v>
      </c>
      <c r="AI338" s="2">
        <f>IF(H338="Yes",Tab_Data_Flows[[#This Row],[E5_Fraction'[%']]]*Tab_Data_Flows[[#This Row],[E1_value]],"N.A.")</f>
        <v>0</v>
      </c>
      <c r="AJ338" s="2" t="str">
        <f>Tab_Data_Flows[[#This Row],[E1_UoM]]</f>
        <v>Mg</v>
      </c>
      <c r="AK338" s="19">
        <f>_xlfn.XLOOKUP(Tab_Data_Flows[[#This Row],[Flow_Name]],Tab_Def_Flows[Flow_Name],Tab_Def_Flows[Flow_E6_Fraction'[%']],"N.A.",0,1)</f>
        <v>0</v>
      </c>
      <c r="AL338" s="2">
        <f>IF(Tab_Data_Flows[[#This Row],[Use_E6]]="Yes",Tab_Data_Flows[[#This Row],[E6_Fraction'[%']]]*Tab_Data_Flows[[#This Row],[E1_value]],"N.A.")</f>
        <v>0</v>
      </c>
      <c r="AM338" s="2" t="str">
        <f>Tab_Data_Flows[[#This Row],[E1_UoM]]</f>
        <v>Mg</v>
      </c>
    </row>
    <row r="339" spans="1:39" x14ac:dyDescent="0.25">
      <c r="A339" s="4">
        <f t="shared" si="11"/>
        <v>338</v>
      </c>
      <c r="B339" s="2" t="str">
        <f>_xlfn.XLOOKUP(C339,Tab_Def_Flows[Flow_Name],Tab_Def_Flows[Flow_ID],,0,)</f>
        <v>F__</v>
      </c>
      <c r="C339" s="18" t="s">
        <v>5</v>
      </c>
      <c r="D339" s="5" t="str">
        <f>_xlfn.XLOOKUP(C339,Tab_Def_Flows[Flow_Name],Tab_Def_Flows[Use_E1],,0,)</f>
        <v>Yes</v>
      </c>
      <c r="E339" s="5" t="str">
        <f>_xlfn.XLOOKUP(C339,Tab_Def_Flows[Flow_Name],Tab_Def_Flows[Use_E2],,0,)</f>
        <v>Yes</v>
      </c>
      <c r="F339" s="5" t="str">
        <f>_xlfn.XLOOKUP(C339,Tab_Def_Flows[Flow_Name],Tab_Def_Flows[Use_E3],,0,)</f>
        <v>Yes</v>
      </c>
      <c r="G339" s="5" t="str">
        <f>_xlfn.XLOOKUP(C339,Tab_Def_Flows[Flow_Name],Tab_Def_Flows[Use_E4],,0,)</f>
        <v>Yes</v>
      </c>
      <c r="H339" s="5" t="str">
        <f>_xlfn.XLOOKUP(C339,Tab_Def_Flows[Flow_Name],Tab_Def_Flows[Use_E5],,0,)</f>
        <v>Yes</v>
      </c>
      <c r="I339" s="5" t="str">
        <f>_xlfn.XLOOKUP(C339,Tab_Def_Flows[Flow_Name],Tab_Def_Flows[Use_E6],,0,)</f>
        <v>Yes</v>
      </c>
      <c r="J339" s="3"/>
      <c r="K339" s="3"/>
      <c r="L339" s="2" t="str">
        <f>'0_Configuration'!$C$41</f>
        <v>Mg</v>
      </c>
      <c r="M339" s="9"/>
      <c r="N339" s="9"/>
      <c r="O339" s="9"/>
      <c r="P339" s="9"/>
      <c r="Q339" s="18" t="s">
        <v>3</v>
      </c>
      <c r="R339" s="3"/>
      <c r="S339" s="3"/>
      <c r="T339" s="9"/>
      <c r="U339" s="9"/>
      <c r="V339" s="2">
        <f>_xlfn.XLOOKUP(Tab_Data_Flows[[#This Row],[Flow_Name]],Tab_Def_Flows[Flow_Name],Tab_Def_Flows[Flow_E1_Fraction'[%']],"N.A.",0,1)</f>
        <v>0</v>
      </c>
      <c r="W339" s="8">
        <f t="shared" si="10"/>
        <v>0</v>
      </c>
      <c r="X339" s="2" t="str">
        <f>Tab_Data_Flows[[#This Row],[UoM_Source]]</f>
        <v>Mg</v>
      </c>
      <c r="Y339" s="19">
        <f>_xlfn.XLOOKUP(Tab_Data_Flows[[#This Row],[Flow_Name]],Tab_Def_Flows[Flow_Name],Tab_Def_Flows[Flow_E2_Fraction'[%']],"N.A.",0,1)</f>
        <v>0</v>
      </c>
      <c r="Z339" s="2">
        <f>IF(D339="Yes",W339*Tab_Data_Flows[[#This Row],[E2_Fraction'[%']]],"N.A.")</f>
        <v>0</v>
      </c>
      <c r="AA339" s="2" t="str">
        <f>Tab_Data_Flows[[#This Row],[E1_UoM]]</f>
        <v>Mg</v>
      </c>
      <c r="AB339" s="19">
        <f>_xlfn.XLOOKUP(Tab_Data_Flows[[#This Row],[Flow_Name]],Tab_Def_Flows[Flow_Name],Tab_Def_Flows[Flow_E3_Fraction'[%']],"N.A.",0,1)</f>
        <v>0</v>
      </c>
      <c r="AC339" s="2">
        <f>IF(E339="Yes",AB339*Tab_Data_Flows[[#This Row],[E1_value]],"N.A.")</f>
        <v>0</v>
      </c>
      <c r="AD339" s="2" t="str">
        <f>Tab_Data_Flows[[#This Row],[E1_UoM]]</f>
        <v>Mg</v>
      </c>
      <c r="AE339" s="19">
        <f>_xlfn.XLOOKUP(Tab_Data_Flows[[#This Row],[Flow_Name]],Tab_Def_Flows[Flow_Name],Tab_Def_Flows[Flow_E4_Fraction'[%']],"N.A.",0,1)</f>
        <v>0</v>
      </c>
      <c r="AF339" s="2">
        <f>IF(H339="Yes",Tab_Data_Flows[[#This Row],[E4_Fraction'[%']]]*Tab_Data_Flows[[#This Row],[E1_value]],"N.A.")</f>
        <v>0</v>
      </c>
      <c r="AG339" s="2" t="str">
        <f>Tab_Data_Flows[[#This Row],[E1_UoM]]</f>
        <v>Mg</v>
      </c>
      <c r="AH339" s="2">
        <f>_xlfn.XLOOKUP(Tab_Data_Flows[[#This Row],[Flow_Name]],Tab_Def_Flows[Flow_Name],Tab_Def_Flows[Flow_E5_Fraction'[%']],"N.A.",0,1)</f>
        <v>0</v>
      </c>
      <c r="AI339" s="2">
        <f>IF(H339="Yes",Tab_Data_Flows[[#This Row],[E5_Fraction'[%']]]*Tab_Data_Flows[[#This Row],[E1_value]],"N.A.")</f>
        <v>0</v>
      </c>
      <c r="AJ339" s="2" t="str">
        <f>Tab_Data_Flows[[#This Row],[E1_UoM]]</f>
        <v>Mg</v>
      </c>
      <c r="AK339" s="19">
        <f>_xlfn.XLOOKUP(Tab_Data_Flows[[#This Row],[Flow_Name]],Tab_Def_Flows[Flow_Name],Tab_Def_Flows[Flow_E6_Fraction'[%']],"N.A.",0,1)</f>
        <v>0</v>
      </c>
      <c r="AL339" s="2">
        <f>IF(Tab_Data_Flows[[#This Row],[Use_E6]]="Yes",Tab_Data_Flows[[#This Row],[E6_Fraction'[%']]]*Tab_Data_Flows[[#This Row],[E1_value]],"N.A.")</f>
        <v>0</v>
      </c>
      <c r="AM339" s="2" t="str">
        <f>Tab_Data_Flows[[#This Row],[E1_UoM]]</f>
        <v>Mg</v>
      </c>
    </row>
    <row r="340" spans="1:39" x14ac:dyDescent="0.25">
      <c r="A340" s="4">
        <f t="shared" si="11"/>
        <v>339</v>
      </c>
      <c r="B340" s="2" t="str">
        <f>_xlfn.XLOOKUP(C340,Tab_Def_Flows[Flow_Name],Tab_Def_Flows[Flow_ID],,0,)</f>
        <v>F__</v>
      </c>
      <c r="C340" s="18" t="s">
        <v>5</v>
      </c>
      <c r="D340" s="5" t="str">
        <f>_xlfn.XLOOKUP(C340,Tab_Def_Flows[Flow_Name],Tab_Def_Flows[Use_E1],,0,)</f>
        <v>Yes</v>
      </c>
      <c r="E340" s="5" t="str">
        <f>_xlfn.XLOOKUP(C340,Tab_Def_Flows[Flow_Name],Tab_Def_Flows[Use_E2],,0,)</f>
        <v>Yes</v>
      </c>
      <c r="F340" s="5" t="str">
        <f>_xlfn.XLOOKUP(C340,Tab_Def_Flows[Flow_Name],Tab_Def_Flows[Use_E3],,0,)</f>
        <v>Yes</v>
      </c>
      <c r="G340" s="5" t="str">
        <f>_xlfn.XLOOKUP(C340,Tab_Def_Flows[Flow_Name],Tab_Def_Flows[Use_E4],,0,)</f>
        <v>Yes</v>
      </c>
      <c r="H340" s="5" t="str">
        <f>_xlfn.XLOOKUP(C340,Tab_Def_Flows[Flow_Name],Tab_Def_Flows[Use_E5],,0,)</f>
        <v>Yes</v>
      </c>
      <c r="I340" s="5" t="str">
        <f>_xlfn.XLOOKUP(C340,Tab_Def_Flows[Flow_Name],Tab_Def_Flows[Use_E6],,0,)</f>
        <v>Yes</v>
      </c>
      <c r="J340" s="3"/>
      <c r="K340" s="3"/>
      <c r="L340" s="2" t="str">
        <f>'0_Configuration'!$C$41</f>
        <v>Mg</v>
      </c>
      <c r="M340" s="9"/>
      <c r="N340" s="9"/>
      <c r="O340" s="9"/>
      <c r="P340" s="9"/>
      <c r="Q340" s="18" t="s">
        <v>3</v>
      </c>
      <c r="R340" s="3"/>
      <c r="S340" s="3"/>
      <c r="T340" s="9"/>
      <c r="U340" s="9"/>
      <c r="V340" s="2">
        <f>_xlfn.XLOOKUP(Tab_Data_Flows[[#This Row],[Flow_Name]],Tab_Def_Flows[Flow_Name],Tab_Def_Flows[Flow_E1_Fraction'[%']],"N.A.",0,1)</f>
        <v>0</v>
      </c>
      <c r="W340" s="8">
        <f t="shared" si="10"/>
        <v>0</v>
      </c>
      <c r="X340" s="2" t="str">
        <f>Tab_Data_Flows[[#This Row],[UoM_Source]]</f>
        <v>Mg</v>
      </c>
      <c r="Y340" s="19">
        <f>_xlfn.XLOOKUP(Tab_Data_Flows[[#This Row],[Flow_Name]],Tab_Def_Flows[Flow_Name],Tab_Def_Flows[Flow_E2_Fraction'[%']],"N.A.",0,1)</f>
        <v>0</v>
      </c>
      <c r="Z340" s="2">
        <f>IF(D340="Yes",W340*Tab_Data_Flows[[#This Row],[E2_Fraction'[%']]],"N.A.")</f>
        <v>0</v>
      </c>
      <c r="AA340" s="2" t="str">
        <f>Tab_Data_Flows[[#This Row],[E1_UoM]]</f>
        <v>Mg</v>
      </c>
      <c r="AB340" s="19">
        <f>_xlfn.XLOOKUP(Tab_Data_Flows[[#This Row],[Flow_Name]],Tab_Def_Flows[Flow_Name],Tab_Def_Flows[Flow_E3_Fraction'[%']],"N.A.",0,1)</f>
        <v>0</v>
      </c>
      <c r="AC340" s="2">
        <f>IF(E340="Yes",AB340*Tab_Data_Flows[[#This Row],[E1_value]],"N.A.")</f>
        <v>0</v>
      </c>
      <c r="AD340" s="2" t="str">
        <f>Tab_Data_Flows[[#This Row],[E1_UoM]]</f>
        <v>Mg</v>
      </c>
      <c r="AE340" s="19">
        <f>_xlfn.XLOOKUP(Tab_Data_Flows[[#This Row],[Flow_Name]],Tab_Def_Flows[Flow_Name],Tab_Def_Flows[Flow_E4_Fraction'[%']],"N.A.",0,1)</f>
        <v>0</v>
      </c>
      <c r="AF340" s="2">
        <f>IF(H340="Yes",Tab_Data_Flows[[#This Row],[E4_Fraction'[%']]]*Tab_Data_Flows[[#This Row],[E1_value]],"N.A.")</f>
        <v>0</v>
      </c>
      <c r="AG340" s="2" t="str">
        <f>Tab_Data_Flows[[#This Row],[E1_UoM]]</f>
        <v>Mg</v>
      </c>
      <c r="AH340" s="2">
        <f>_xlfn.XLOOKUP(Tab_Data_Flows[[#This Row],[Flow_Name]],Tab_Def_Flows[Flow_Name],Tab_Def_Flows[Flow_E5_Fraction'[%']],"N.A.",0,1)</f>
        <v>0</v>
      </c>
      <c r="AI340" s="2">
        <f>IF(H340="Yes",Tab_Data_Flows[[#This Row],[E5_Fraction'[%']]]*Tab_Data_Flows[[#This Row],[E1_value]],"N.A.")</f>
        <v>0</v>
      </c>
      <c r="AJ340" s="2" t="str">
        <f>Tab_Data_Flows[[#This Row],[E1_UoM]]</f>
        <v>Mg</v>
      </c>
      <c r="AK340" s="19">
        <f>_xlfn.XLOOKUP(Tab_Data_Flows[[#This Row],[Flow_Name]],Tab_Def_Flows[Flow_Name],Tab_Def_Flows[Flow_E6_Fraction'[%']],"N.A.",0,1)</f>
        <v>0</v>
      </c>
      <c r="AL340" s="2">
        <f>IF(Tab_Data_Flows[[#This Row],[Use_E6]]="Yes",Tab_Data_Flows[[#This Row],[E6_Fraction'[%']]]*Tab_Data_Flows[[#This Row],[E1_value]],"N.A.")</f>
        <v>0</v>
      </c>
      <c r="AM340" s="2" t="str">
        <f>Tab_Data_Flows[[#This Row],[E1_UoM]]</f>
        <v>Mg</v>
      </c>
    </row>
    <row r="341" spans="1:39" x14ac:dyDescent="0.25">
      <c r="A341" s="4">
        <f t="shared" si="11"/>
        <v>340</v>
      </c>
      <c r="B341" s="2" t="str">
        <f>_xlfn.XLOOKUP(C341,Tab_Def_Flows[Flow_Name],Tab_Def_Flows[Flow_ID],,0,)</f>
        <v>F__</v>
      </c>
      <c r="C341" s="18" t="s">
        <v>5</v>
      </c>
      <c r="D341" s="5" t="str">
        <f>_xlfn.XLOOKUP(C341,Tab_Def_Flows[Flow_Name],Tab_Def_Flows[Use_E1],,0,)</f>
        <v>Yes</v>
      </c>
      <c r="E341" s="5" t="str">
        <f>_xlfn.XLOOKUP(C341,Tab_Def_Flows[Flow_Name],Tab_Def_Flows[Use_E2],,0,)</f>
        <v>Yes</v>
      </c>
      <c r="F341" s="5" t="str">
        <f>_xlfn.XLOOKUP(C341,Tab_Def_Flows[Flow_Name],Tab_Def_Flows[Use_E3],,0,)</f>
        <v>Yes</v>
      </c>
      <c r="G341" s="5" t="str">
        <f>_xlfn.XLOOKUP(C341,Tab_Def_Flows[Flow_Name],Tab_Def_Flows[Use_E4],,0,)</f>
        <v>Yes</v>
      </c>
      <c r="H341" s="5" t="str">
        <f>_xlfn.XLOOKUP(C341,Tab_Def_Flows[Flow_Name],Tab_Def_Flows[Use_E5],,0,)</f>
        <v>Yes</v>
      </c>
      <c r="I341" s="5" t="str">
        <f>_xlfn.XLOOKUP(C341,Tab_Def_Flows[Flow_Name],Tab_Def_Flows[Use_E6],,0,)</f>
        <v>Yes</v>
      </c>
      <c r="J341" s="3"/>
      <c r="K341" s="3"/>
      <c r="L341" s="2" t="str">
        <f>'0_Configuration'!$C$41</f>
        <v>Mg</v>
      </c>
      <c r="M341" s="9"/>
      <c r="N341" s="9"/>
      <c r="O341" s="9"/>
      <c r="P341" s="9"/>
      <c r="Q341" s="18" t="s">
        <v>3</v>
      </c>
      <c r="R341" s="3"/>
      <c r="S341" s="3"/>
      <c r="T341" s="9"/>
      <c r="U341" s="9"/>
      <c r="V341" s="2">
        <f>_xlfn.XLOOKUP(Tab_Data_Flows[[#This Row],[Flow_Name]],Tab_Def_Flows[Flow_Name],Tab_Def_Flows[Flow_E1_Fraction'[%']],"N.A.",0,1)</f>
        <v>0</v>
      </c>
      <c r="W341" s="8">
        <f t="shared" si="10"/>
        <v>0</v>
      </c>
      <c r="X341" s="2" t="str">
        <f>Tab_Data_Flows[[#This Row],[UoM_Source]]</f>
        <v>Mg</v>
      </c>
      <c r="Y341" s="19">
        <f>_xlfn.XLOOKUP(Tab_Data_Flows[[#This Row],[Flow_Name]],Tab_Def_Flows[Flow_Name],Tab_Def_Flows[Flow_E2_Fraction'[%']],"N.A.",0,1)</f>
        <v>0</v>
      </c>
      <c r="Z341" s="2">
        <f>IF(D341="Yes",W341*Tab_Data_Flows[[#This Row],[E2_Fraction'[%']]],"N.A.")</f>
        <v>0</v>
      </c>
      <c r="AA341" s="2" t="str">
        <f>Tab_Data_Flows[[#This Row],[E1_UoM]]</f>
        <v>Mg</v>
      </c>
      <c r="AB341" s="19">
        <f>_xlfn.XLOOKUP(Tab_Data_Flows[[#This Row],[Flow_Name]],Tab_Def_Flows[Flow_Name],Tab_Def_Flows[Flow_E3_Fraction'[%']],"N.A.",0,1)</f>
        <v>0</v>
      </c>
      <c r="AC341" s="2">
        <f>IF(E341="Yes",AB341*Tab_Data_Flows[[#This Row],[E1_value]],"N.A.")</f>
        <v>0</v>
      </c>
      <c r="AD341" s="2" t="str">
        <f>Tab_Data_Flows[[#This Row],[E1_UoM]]</f>
        <v>Mg</v>
      </c>
      <c r="AE341" s="19">
        <f>_xlfn.XLOOKUP(Tab_Data_Flows[[#This Row],[Flow_Name]],Tab_Def_Flows[Flow_Name],Tab_Def_Flows[Flow_E4_Fraction'[%']],"N.A.",0,1)</f>
        <v>0</v>
      </c>
      <c r="AF341" s="2">
        <f>IF(H341="Yes",Tab_Data_Flows[[#This Row],[E4_Fraction'[%']]]*Tab_Data_Flows[[#This Row],[E1_value]],"N.A.")</f>
        <v>0</v>
      </c>
      <c r="AG341" s="2" t="str">
        <f>Tab_Data_Flows[[#This Row],[E1_UoM]]</f>
        <v>Mg</v>
      </c>
      <c r="AH341" s="2">
        <f>_xlfn.XLOOKUP(Tab_Data_Flows[[#This Row],[Flow_Name]],Tab_Def_Flows[Flow_Name],Tab_Def_Flows[Flow_E5_Fraction'[%']],"N.A.",0,1)</f>
        <v>0</v>
      </c>
      <c r="AI341" s="2">
        <f>IF(H341="Yes",Tab_Data_Flows[[#This Row],[E5_Fraction'[%']]]*Tab_Data_Flows[[#This Row],[E1_value]],"N.A.")</f>
        <v>0</v>
      </c>
      <c r="AJ341" s="2" t="str">
        <f>Tab_Data_Flows[[#This Row],[E1_UoM]]</f>
        <v>Mg</v>
      </c>
      <c r="AK341" s="19">
        <f>_xlfn.XLOOKUP(Tab_Data_Flows[[#This Row],[Flow_Name]],Tab_Def_Flows[Flow_Name],Tab_Def_Flows[Flow_E6_Fraction'[%']],"N.A.",0,1)</f>
        <v>0</v>
      </c>
      <c r="AL341" s="2">
        <f>IF(Tab_Data_Flows[[#This Row],[Use_E6]]="Yes",Tab_Data_Flows[[#This Row],[E6_Fraction'[%']]]*Tab_Data_Flows[[#This Row],[E1_value]],"N.A.")</f>
        <v>0</v>
      </c>
      <c r="AM341" s="2" t="str">
        <f>Tab_Data_Flows[[#This Row],[E1_UoM]]</f>
        <v>Mg</v>
      </c>
    </row>
    <row r="342" spans="1:39" x14ac:dyDescent="0.25">
      <c r="A342" s="4">
        <f t="shared" si="11"/>
        <v>341</v>
      </c>
      <c r="B342" s="2" t="str">
        <f>_xlfn.XLOOKUP(C342,Tab_Def_Flows[Flow_Name],Tab_Def_Flows[Flow_ID],,0,)</f>
        <v>F__</v>
      </c>
      <c r="C342" s="18" t="s">
        <v>5</v>
      </c>
      <c r="D342" s="5" t="str">
        <f>_xlfn.XLOOKUP(C342,Tab_Def_Flows[Flow_Name],Tab_Def_Flows[Use_E1],,0,)</f>
        <v>Yes</v>
      </c>
      <c r="E342" s="5" t="str">
        <f>_xlfn.XLOOKUP(C342,Tab_Def_Flows[Flow_Name],Tab_Def_Flows[Use_E2],,0,)</f>
        <v>Yes</v>
      </c>
      <c r="F342" s="5" t="str">
        <f>_xlfn.XLOOKUP(C342,Tab_Def_Flows[Flow_Name],Tab_Def_Flows[Use_E3],,0,)</f>
        <v>Yes</v>
      </c>
      <c r="G342" s="5" t="str">
        <f>_xlfn.XLOOKUP(C342,Tab_Def_Flows[Flow_Name],Tab_Def_Flows[Use_E4],,0,)</f>
        <v>Yes</v>
      </c>
      <c r="H342" s="5" t="str">
        <f>_xlfn.XLOOKUP(C342,Tab_Def_Flows[Flow_Name],Tab_Def_Flows[Use_E5],,0,)</f>
        <v>Yes</v>
      </c>
      <c r="I342" s="5" t="str">
        <f>_xlfn.XLOOKUP(C342,Tab_Def_Flows[Flow_Name],Tab_Def_Flows[Use_E6],,0,)</f>
        <v>Yes</v>
      </c>
      <c r="J342" s="3"/>
      <c r="K342" s="3"/>
      <c r="L342" s="2" t="str">
        <f>'0_Configuration'!$C$41</f>
        <v>Mg</v>
      </c>
      <c r="M342" s="9"/>
      <c r="N342" s="9"/>
      <c r="O342" s="9"/>
      <c r="P342" s="9"/>
      <c r="Q342" s="18" t="s">
        <v>3</v>
      </c>
      <c r="R342" s="3"/>
      <c r="S342" s="3"/>
      <c r="T342" s="9"/>
      <c r="U342" s="9"/>
      <c r="V342" s="2">
        <f>_xlfn.XLOOKUP(Tab_Data_Flows[[#This Row],[Flow_Name]],Tab_Def_Flows[Flow_Name],Tab_Def_Flows[Flow_E1_Fraction'[%']],"N.A.",0,1)</f>
        <v>0</v>
      </c>
      <c r="W342" s="8">
        <f t="shared" si="10"/>
        <v>0</v>
      </c>
      <c r="X342" s="2" t="str">
        <f>Tab_Data_Flows[[#This Row],[UoM_Source]]</f>
        <v>Mg</v>
      </c>
      <c r="Y342" s="19">
        <f>_xlfn.XLOOKUP(Tab_Data_Flows[[#This Row],[Flow_Name]],Tab_Def_Flows[Flow_Name],Tab_Def_Flows[Flow_E2_Fraction'[%']],"N.A.",0,1)</f>
        <v>0</v>
      </c>
      <c r="Z342" s="2">
        <f>IF(D342="Yes",W342*Tab_Data_Flows[[#This Row],[E2_Fraction'[%']]],"N.A.")</f>
        <v>0</v>
      </c>
      <c r="AA342" s="2" t="str">
        <f>Tab_Data_Flows[[#This Row],[E1_UoM]]</f>
        <v>Mg</v>
      </c>
      <c r="AB342" s="19">
        <f>_xlfn.XLOOKUP(Tab_Data_Flows[[#This Row],[Flow_Name]],Tab_Def_Flows[Flow_Name],Tab_Def_Flows[Flow_E3_Fraction'[%']],"N.A.",0,1)</f>
        <v>0</v>
      </c>
      <c r="AC342" s="2">
        <f>IF(E342="Yes",AB342*Tab_Data_Flows[[#This Row],[E1_value]],"N.A.")</f>
        <v>0</v>
      </c>
      <c r="AD342" s="2" t="str">
        <f>Tab_Data_Flows[[#This Row],[E1_UoM]]</f>
        <v>Mg</v>
      </c>
      <c r="AE342" s="19">
        <f>_xlfn.XLOOKUP(Tab_Data_Flows[[#This Row],[Flow_Name]],Tab_Def_Flows[Flow_Name],Tab_Def_Flows[Flow_E4_Fraction'[%']],"N.A.",0,1)</f>
        <v>0</v>
      </c>
      <c r="AF342" s="2">
        <f>IF(H342="Yes",Tab_Data_Flows[[#This Row],[E4_Fraction'[%']]]*Tab_Data_Flows[[#This Row],[E1_value]],"N.A.")</f>
        <v>0</v>
      </c>
      <c r="AG342" s="2" t="str">
        <f>Tab_Data_Flows[[#This Row],[E1_UoM]]</f>
        <v>Mg</v>
      </c>
      <c r="AH342" s="2">
        <f>_xlfn.XLOOKUP(Tab_Data_Flows[[#This Row],[Flow_Name]],Tab_Def_Flows[Flow_Name],Tab_Def_Flows[Flow_E5_Fraction'[%']],"N.A.",0,1)</f>
        <v>0</v>
      </c>
      <c r="AI342" s="2">
        <f>IF(H342="Yes",Tab_Data_Flows[[#This Row],[E5_Fraction'[%']]]*Tab_Data_Flows[[#This Row],[E1_value]],"N.A.")</f>
        <v>0</v>
      </c>
      <c r="AJ342" s="2" t="str">
        <f>Tab_Data_Flows[[#This Row],[E1_UoM]]</f>
        <v>Mg</v>
      </c>
      <c r="AK342" s="19">
        <f>_xlfn.XLOOKUP(Tab_Data_Flows[[#This Row],[Flow_Name]],Tab_Def_Flows[Flow_Name],Tab_Def_Flows[Flow_E6_Fraction'[%']],"N.A.",0,1)</f>
        <v>0</v>
      </c>
      <c r="AL342" s="2">
        <f>IF(Tab_Data_Flows[[#This Row],[Use_E6]]="Yes",Tab_Data_Flows[[#This Row],[E6_Fraction'[%']]]*Tab_Data_Flows[[#This Row],[E1_value]],"N.A.")</f>
        <v>0</v>
      </c>
      <c r="AM342" s="2" t="str">
        <f>Tab_Data_Flows[[#This Row],[E1_UoM]]</f>
        <v>Mg</v>
      </c>
    </row>
    <row r="343" spans="1:39" x14ac:dyDescent="0.25">
      <c r="A343" s="4">
        <f t="shared" si="11"/>
        <v>342</v>
      </c>
      <c r="B343" s="2" t="str">
        <f>_xlfn.XLOOKUP(C343,Tab_Def_Flows[Flow_Name],Tab_Def_Flows[Flow_ID],,0,)</f>
        <v>F__</v>
      </c>
      <c r="C343" s="18" t="s">
        <v>5</v>
      </c>
      <c r="D343" s="5" t="str">
        <f>_xlfn.XLOOKUP(C343,Tab_Def_Flows[Flow_Name],Tab_Def_Flows[Use_E1],,0,)</f>
        <v>Yes</v>
      </c>
      <c r="E343" s="5" t="str">
        <f>_xlfn.XLOOKUP(C343,Tab_Def_Flows[Flow_Name],Tab_Def_Flows[Use_E2],,0,)</f>
        <v>Yes</v>
      </c>
      <c r="F343" s="5" t="str">
        <f>_xlfn.XLOOKUP(C343,Tab_Def_Flows[Flow_Name],Tab_Def_Flows[Use_E3],,0,)</f>
        <v>Yes</v>
      </c>
      <c r="G343" s="5" t="str">
        <f>_xlfn.XLOOKUP(C343,Tab_Def_Flows[Flow_Name],Tab_Def_Flows[Use_E4],,0,)</f>
        <v>Yes</v>
      </c>
      <c r="H343" s="5" t="str">
        <f>_xlfn.XLOOKUP(C343,Tab_Def_Flows[Flow_Name],Tab_Def_Flows[Use_E5],,0,)</f>
        <v>Yes</v>
      </c>
      <c r="I343" s="5" t="str">
        <f>_xlfn.XLOOKUP(C343,Tab_Def_Flows[Flow_Name],Tab_Def_Flows[Use_E6],,0,)</f>
        <v>Yes</v>
      </c>
      <c r="J343" s="3"/>
      <c r="K343" s="3"/>
      <c r="L343" s="2" t="str">
        <f>'0_Configuration'!$C$41</f>
        <v>Mg</v>
      </c>
      <c r="M343" s="9"/>
      <c r="N343" s="9"/>
      <c r="O343" s="9"/>
      <c r="P343" s="9"/>
      <c r="Q343" s="18" t="s">
        <v>3</v>
      </c>
      <c r="R343" s="3"/>
      <c r="S343" s="3"/>
      <c r="T343" s="9"/>
      <c r="U343" s="9"/>
      <c r="V343" s="2">
        <f>_xlfn.XLOOKUP(Tab_Data_Flows[[#This Row],[Flow_Name]],Tab_Def_Flows[Flow_Name],Tab_Def_Flows[Flow_E1_Fraction'[%']],"N.A.",0,1)</f>
        <v>0</v>
      </c>
      <c r="W343" s="8">
        <f t="shared" si="10"/>
        <v>0</v>
      </c>
      <c r="X343" s="2" t="str">
        <f>Tab_Data_Flows[[#This Row],[UoM_Source]]</f>
        <v>Mg</v>
      </c>
      <c r="Y343" s="19">
        <f>_xlfn.XLOOKUP(Tab_Data_Flows[[#This Row],[Flow_Name]],Tab_Def_Flows[Flow_Name],Tab_Def_Flows[Flow_E2_Fraction'[%']],"N.A.",0,1)</f>
        <v>0</v>
      </c>
      <c r="Z343" s="2">
        <f>IF(D343="Yes",W343*Tab_Data_Flows[[#This Row],[E2_Fraction'[%']]],"N.A.")</f>
        <v>0</v>
      </c>
      <c r="AA343" s="2" t="str">
        <f>Tab_Data_Flows[[#This Row],[E1_UoM]]</f>
        <v>Mg</v>
      </c>
      <c r="AB343" s="19">
        <f>_xlfn.XLOOKUP(Tab_Data_Flows[[#This Row],[Flow_Name]],Tab_Def_Flows[Flow_Name],Tab_Def_Flows[Flow_E3_Fraction'[%']],"N.A.",0,1)</f>
        <v>0</v>
      </c>
      <c r="AC343" s="2">
        <f>IF(E343="Yes",AB343*Tab_Data_Flows[[#This Row],[E1_value]],"N.A.")</f>
        <v>0</v>
      </c>
      <c r="AD343" s="2" t="str">
        <f>Tab_Data_Flows[[#This Row],[E1_UoM]]</f>
        <v>Mg</v>
      </c>
      <c r="AE343" s="19">
        <f>_xlfn.XLOOKUP(Tab_Data_Flows[[#This Row],[Flow_Name]],Tab_Def_Flows[Flow_Name],Tab_Def_Flows[Flow_E4_Fraction'[%']],"N.A.",0,1)</f>
        <v>0</v>
      </c>
      <c r="AF343" s="2">
        <f>IF(H343="Yes",Tab_Data_Flows[[#This Row],[E4_Fraction'[%']]]*Tab_Data_Flows[[#This Row],[E1_value]],"N.A.")</f>
        <v>0</v>
      </c>
      <c r="AG343" s="2" t="str">
        <f>Tab_Data_Flows[[#This Row],[E1_UoM]]</f>
        <v>Mg</v>
      </c>
      <c r="AH343" s="2">
        <f>_xlfn.XLOOKUP(Tab_Data_Flows[[#This Row],[Flow_Name]],Tab_Def_Flows[Flow_Name],Tab_Def_Flows[Flow_E5_Fraction'[%']],"N.A.",0,1)</f>
        <v>0</v>
      </c>
      <c r="AI343" s="2">
        <f>IF(H343="Yes",Tab_Data_Flows[[#This Row],[E5_Fraction'[%']]]*Tab_Data_Flows[[#This Row],[E1_value]],"N.A.")</f>
        <v>0</v>
      </c>
      <c r="AJ343" s="2" t="str">
        <f>Tab_Data_Flows[[#This Row],[E1_UoM]]</f>
        <v>Mg</v>
      </c>
      <c r="AK343" s="19">
        <f>_xlfn.XLOOKUP(Tab_Data_Flows[[#This Row],[Flow_Name]],Tab_Def_Flows[Flow_Name],Tab_Def_Flows[Flow_E6_Fraction'[%']],"N.A.",0,1)</f>
        <v>0</v>
      </c>
      <c r="AL343" s="2">
        <f>IF(Tab_Data_Flows[[#This Row],[Use_E6]]="Yes",Tab_Data_Flows[[#This Row],[E6_Fraction'[%']]]*Tab_Data_Flows[[#This Row],[E1_value]],"N.A.")</f>
        <v>0</v>
      </c>
      <c r="AM343" s="2" t="str">
        <f>Tab_Data_Flows[[#This Row],[E1_UoM]]</f>
        <v>Mg</v>
      </c>
    </row>
    <row r="344" spans="1:39" x14ac:dyDescent="0.25">
      <c r="A344" s="4">
        <f t="shared" si="11"/>
        <v>343</v>
      </c>
      <c r="B344" s="2" t="str">
        <f>_xlfn.XLOOKUP(C344,Tab_Def_Flows[Flow_Name],Tab_Def_Flows[Flow_ID],,0,)</f>
        <v>F__</v>
      </c>
      <c r="C344" s="18" t="s">
        <v>5</v>
      </c>
      <c r="D344" s="5" t="str">
        <f>_xlfn.XLOOKUP(C344,Tab_Def_Flows[Flow_Name],Tab_Def_Flows[Use_E1],,0,)</f>
        <v>Yes</v>
      </c>
      <c r="E344" s="5" t="str">
        <f>_xlfn.XLOOKUP(C344,Tab_Def_Flows[Flow_Name],Tab_Def_Flows[Use_E2],,0,)</f>
        <v>Yes</v>
      </c>
      <c r="F344" s="5" t="str">
        <f>_xlfn.XLOOKUP(C344,Tab_Def_Flows[Flow_Name],Tab_Def_Flows[Use_E3],,0,)</f>
        <v>Yes</v>
      </c>
      <c r="G344" s="5" t="str">
        <f>_xlfn.XLOOKUP(C344,Tab_Def_Flows[Flow_Name],Tab_Def_Flows[Use_E4],,0,)</f>
        <v>Yes</v>
      </c>
      <c r="H344" s="5" t="str">
        <f>_xlfn.XLOOKUP(C344,Tab_Def_Flows[Flow_Name],Tab_Def_Flows[Use_E5],,0,)</f>
        <v>Yes</v>
      </c>
      <c r="I344" s="5" t="str">
        <f>_xlfn.XLOOKUP(C344,Tab_Def_Flows[Flow_Name],Tab_Def_Flows[Use_E6],,0,)</f>
        <v>Yes</v>
      </c>
      <c r="J344" s="3"/>
      <c r="K344" s="3"/>
      <c r="L344" s="2" t="str">
        <f>'0_Configuration'!$C$41</f>
        <v>Mg</v>
      </c>
      <c r="M344" s="9"/>
      <c r="N344" s="9"/>
      <c r="O344" s="9"/>
      <c r="P344" s="9"/>
      <c r="Q344" s="18" t="s">
        <v>3</v>
      </c>
      <c r="R344" s="3"/>
      <c r="S344" s="3"/>
      <c r="T344" s="9"/>
      <c r="U344" s="9"/>
      <c r="V344" s="2">
        <f>_xlfn.XLOOKUP(Tab_Data_Flows[[#This Row],[Flow_Name]],Tab_Def_Flows[Flow_Name],Tab_Def_Flows[Flow_E1_Fraction'[%']],"N.A.",0,1)</f>
        <v>0</v>
      </c>
      <c r="W344" s="8">
        <f t="shared" si="10"/>
        <v>0</v>
      </c>
      <c r="X344" s="2" t="str">
        <f>Tab_Data_Flows[[#This Row],[UoM_Source]]</f>
        <v>Mg</v>
      </c>
      <c r="Y344" s="19">
        <f>_xlfn.XLOOKUP(Tab_Data_Flows[[#This Row],[Flow_Name]],Tab_Def_Flows[Flow_Name],Tab_Def_Flows[Flow_E2_Fraction'[%']],"N.A.",0,1)</f>
        <v>0</v>
      </c>
      <c r="Z344" s="2">
        <f>IF(D344="Yes",W344*Tab_Data_Flows[[#This Row],[E2_Fraction'[%']]],"N.A.")</f>
        <v>0</v>
      </c>
      <c r="AA344" s="2" t="str">
        <f>Tab_Data_Flows[[#This Row],[E1_UoM]]</f>
        <v>Mg</v>
      </c>
      <c r="AB344" s="19">
        <f>_xlfn.XLOOKUP(Tab_Data_Flows[[#This Row],[Flow_Name]],Tab_Def_Flows[Flow_Name],Tab_Def_Flows[Flow_E3_Fraction'[%']],"N.A.",0,1)</f>
        <v>0</v>
      </c>
      <c r="AC344" s="2">
        <f>IF(E344="Yes",AB344*Tab_Data_Flows[[#This Row],[E1_value]],"N.A.")</f>
        <v>0</v>
      </c>
      <c r="AD344" s="2" t="str">
        <f>Tab_Data_Flows[[#This Row],[E1_UoM]]</f>
        <v>Mg</v>
      </c>
      <c r="AE344" s="19">
        <f>_xlfn.XLOOKUP(Tab_Data_Flows[[#This Row],[Flow_Name]],Tab_Def_Flows[Flow_Name],Tab_Def_Flows[Flow_E4_Fraction'[%']],"N.A.",0,1)</f>
        <v>0</v>
      </c>
      <c r="AF344" s="2">
        <f>IF(H344="Yes",Tab_Data_Flows[[#This Row],[E4_Fraction'[%']]]*Tab_Data_Flows[[#This Row],[E1_value]],"N.A.")</f>
        <v>0</v>
      </c>
      <c r="AG344" s="2" t="str">
        <f>Tab_Data_Flows[[#This Row],[E1_UoM]]</f>
        <v>Mg</v>
      </c>
      <c r="AH344" s="2">
        <f>_xlfn.XLOOKUP(Tab_Data_Flows[[#This Row],[Flow_Name]],Tab_Def_Flows[Flow_Name],Tab_Def_Flows[Flow_E5_Fraction'[%']],"N.A.",0,1)</f>
        <v>0</v>
      </c>
      <c r="AI344" s="2">
        <f>IF(H344="Yes",Tab_Data_Flows[[#This Row],[E5_Fraction'[%']]]*Tab_Data_Flows[[#This Row],[E1_value]],"N.A.")</f>
        <v>0</v>
      </c>
      <c r="AJ344" s="2" t="str">
        <f>Tab_Data_Flows[[#This Row],[E1_UoM]]</f>
        <v>Mg</v>
      </c>
      <c r="AK344" s="19">
        <f>_xlfn.XLOOKUP(Tab_Data_Flows[[#This Row],[Flow_Name]],Tab_Def_Flows[Flow_Name],Tab_Def_Flows[Flow_E6_Fraction'[%']],"N.A.",0,1)</f>
        <v>0</v>
      </c>
      <c r="AL344" s="2">
        <f>IF(Tab_Data_Flows[[#This Row],[Use_E6]]="Yes",Tab_Data_Flows[[#This Row],[E6_Fraction'[%']]]*Tab_Data_Flows[[#This Row],[E1_value]],"N.A.")</f>
        <v>0</v>
      </c>
      <c r="AM344" s="2" t="str">
        <f>Tab_Data_Flows[[#This Row],[E1_UoM]]</f>
        <v>Mg</v>
      </c>
    </row>
    <row r="345" spans="1:39" x14ac:dyDescent="0.25">
      <c r="A345" s="4">
        <f t="shared" si="11"/>
        <v>344</v>
      </c>
      <c r="B345" s="2" t="str">
        <f>_xlfn.XLOOKUP(C345,Tab_Def_Flows[Flow_Name],Tab_Def_Flows[Flow_ID],,0,)</f>
        <v>F__</v>
      </c>
      <c r="C345" s="18" t="s">
        <v>5</v>
      </c>
      <c r="D345" s="5" t="str">
        <f>_xlfn.XLOOKUP(C345,Tab_Def_Flows[Flow_Name],Tab_Def_Flows[Use_E1],,0,)</f>
        <v>Yes</v>
      </c>
      <c r="E345" s="5" t="str">
        <f>_xlfn.XLOOKUP(C345,Tab_Def_Flows[Flow_Name],Tab_Def_Flows[Use_E2],,0,)</f>
        <v>Yes</v>
      </c>
      <c r="F345" s="5" t="str">
        <f>_xlfn.XLOOKUP(C345,Tab_Def_Flows[Flow_Name],Tab_Def_Flows[Use_E3],,0,)</f>
        <v>Yes</v>
      </c>
      <c r="G345" s="5" t="str">
        <f>_xlfn.XLOOKUP(C345,Tab_Def_Flows[Flow_Name],Tab_Def_Flows[Use_E4],,0,)</f>
        <v>Yes</v>
      </c>
      <c r="H345" s="5" t="str">
        <f>_xlfn.XLOOKUP(C345,Tab_Def_Flows[Flow_Name],Tab_Def_Flows[Use_E5],,0,)</f>
        <v>Yes</v>
      </c>
      <c r="I345" s="5" t="str">
        <f>_xlfn.XLOOKUP(C345,Tab_Def_Flows[Flow_Name],Tab_Def_Flows[Use_E6],,0,)</f>
        <v>Yes</v>
      </c>
      <c r="J345" s="3"/>
      <c r="K345" s="3"/>
      <c r="L345" s="2" t="str">
        <f>'0_Configuration'!$C$41</f>
        <v>Mg</v>
      </c>
      <c r="M345" s="9"/>
      <c r="N345" s="9"/>
      <c r="O345" s="9"/>
      <c r="P345" s="9"/>
      <c r="Q345" s="18" t="s">
        <v>3</v>
      </c>
      <c r="R345" s="3"/>
      <c r="S345" s="3"/>
      <c r="T345" s="9"/>
      <c r="U345" s="9"/>
      <c r="V345" s="2">
        <f>_xlfn.XLOOKUP(Tab_Data_Flows[[#This Row],[Flow_Name]],Tab_Def_Flows[Flow_Name],Tab_Def_Flows[Flow_E1_Fraction'[%']],"N.A.",0,1)</f>
        <v>0</v>
      </c>
      <c r="W345" s="8">
        <f t="shared" si="10"/>
        <v>0</v>
      </c>
      <c r="X345" s="2" t="str">
        <f>Tab_Data_Flows[[#This Row],[UoM_Source]]</f>
        <v>Mg</v>
      </c>
      <c r="Y345" s="19">
        <f>_xlfn.XLOOKUP(Tab_Data_Flows[[#This Row],[Flow_Name]],Tab_Def_Flows[Flow_Name],Tab_Def_Flows[Flow_E2_Fraction'[%']],"N.A.",0,1)</f>
        <v>0</v>
      </c>
      <c r="Z345" s="2">
        <f>IF(D345="Yes",W345*Tab_Data_Flows[[#This Row],[E2_Fraction'[%']]],"N.A.")</f>
        <v>0</v>
      </c>
      <c r="AA345" s="2" t="str">
        <f>Tab_Data_Flows[[#This Row],[E1_UoM]]</f>
        <v>Mg</v>
      </c>
      <c r="AB345" s="19">
        <f>_xlfn.XLOOKUP(Tab_Data_Flows[[#This Row],[Flow_Name]],Tab_Def_Flows[Flow_Name],Tab_Def_Flows[Flow_E3_Fraction'[%']],"N.A.",0,1)</f>
        <v>0</v>
      </c>
      <c r="AC345" s="2">
        <f>IF(E345="Yes",AB345*Tab_Data_Flows[[#This Row],[E1_value]],"N.A.")</f>
        <v>0</v>
      </c>
      <c r="AD345" s="2" t="str">
        <f>Tab_Data_Flows[[#This Row],[E1_UoM]]</f>
        <v>Mg</v>
      </c>
      <c r="AE345" s="19">
        <f>_xlfn.XLOOKUP(Tab_Data_Flows[[#This Row],[Flow_Name]],Tab_Def_Flows[Flow_Name],Tab_Def_Flows[Flow_E4_Fraction'[%']],"N.A.",0,1)</f>
        <v>0</v>
      </c>
      <c r="AF345" s="2">
        <f>IF(H345="Yes",Tab_Data_Flows[[#This Row],[E4_Fraction'[%']]]*Tab_Data_Flows[[#This Row],[E1_value]],"N.A.")</f>
        <v>0</v>
      </c>
      <c r="AG345" s="2" t="str">
        <f>Tab_Data_Flows[[#This Row],[E1_UoM]]</f>
        <v>Mg</v>
      </c>
      <c r="AH345" s="2">
        <f>_xlfn.XLOOKUP(Tab_Data_Flows[[#This Row],[Flow_Name]],Tab_Def_Flows[Flow_Name],Tab_Def_Flows[Flow_E5_Fraction'[%']],"N.A.",0,1)</f>
        <v>0</v>
      </c>
      <c r="AI345" s="2">
        <f>IF(H345="Yes",Tab_Data_Flows[[#This Row],[E5_Fraction'[%']]]*Tab_Data_Flows[[#This Row],[E1_value]],"N.A.")</f>
        <v>0</v>
      </c>
      <c r="AJ345" s="2" t="str">
        <f>Tab_Data_Flows[[#This Row],[E1_UoM]]</f>
        <v>Mg</v>
      </c>
      <c r="AK345" s="19">
        <f>_xlfn.XLOOKUP(Tab_Data_Flows[[#This Row],[Flow_Name]],Tab_Def_Flows[Flow_Name],Tab_Def_Flows[Flow_E6_Fraction'[%']],"N.A.",0,1)</f>
        <v>0</v>
      </c>
      <c r="AL345" s="2">
        <f>IF(Tab_Data_Flows[[#This Row],[Use_E6]]="Yes",Tab_Data_Flows[[#This Row],[E6_Fraction'[%']]]*Tab_Data_Flows[[#This Row],[E1_value]],"N.A.")</f>
        <v>0</v>
      </c>
      <c r="AM345" s="2" t="str">
        <f>Tab_Data_Flows[[#This Row],[E1_UoM]]</f>
        <v>Mg</v>
      </c>
    </row>
    <row r="346" spans="1:39" x14ac:dyDescent="0.25">
      <c r="A346" s="4">
        <f t="shared" si="11"/>
        <v>345</v>
      </c>
      <c r="B346" s="2" t="str">
        <f>_xlfn.XLOOKUP(C346,Tab_Def_Flows[Flow_Name],Tab_Def_Flows[Flow_ID],,0,)</f>
        <v>F__</v>
      </c>
      <c r="C346" s="18" t="s">
        <v>5</v>
      </c>
      <c r="D346" s="5" t="str">
        <f>_xlfn.XLOOKUP(C346,Tab_Def_Flows[Flow_Name],Tab_Def_Flows[Use_E1],,0,)</f>
        <v>Yes</v>
      </c>
      <c r="E346" s="5" t="str">
        <f>_xlfn.XLOOKUP(C346,Tab_Def_Flows[Flow_Name],Tab_Def_Flows[Use_E2],,0,)</f>
        <v>Yes</v>
      </c>
      <c r="F346" s="5" t="str">
        <f>_xlfn.XLOOKUP(C346,Tab_Def_Flows[Flow_Name],Tab_Def_Flows[Use_E3],,0,)</f>
        <v>Yes</v>
      </c>
      <c r="G346" s="5" t="str">
        <f>_xlfn.XLOOKUP(C346,Tab_Def_Flows[Flow_Name],Tab_Def_Flows[Use_E4],,0,)</f>
        <v>Yes</v>
      </c>
      <c r="H346" s="5" t="str">
        <f>_xlfn.XLOOKUP(C346,Tab_Def_Flows[Flow_Name],Tab_Def_Flows[Use_E5],,0,)</f>
        <v>Yes</v>
      </c>
      <c r="I346" s="5" t="str">
        <f>_xlfn.XLOOKUP(C346,Tab_Def_Flows[Flow_Name],Tab_Def_Flows[Use_E6],,0,)</f>
        <v>Yes</v>
      </c>
      <c r="J346" s="3"/>
      <c r="K346" s="3"/>
      <c r="L346" s="2" t="str">
        <f>'0_Configuration'!$C$41</f>
        <v>Mg</v>
      </c>
      <c r="M346" s="9"/>
      <c r="N346" s="9"/>
      <c r="O346" s="9"/>
      <c r="P346" s="9"/>
      <c r="Q346" s="18" t="s">
        <v>3</v>
      </c>
      <c r="R346" s="3"/>
      <c r="S346" s="3"/>
      <c r="T346" s="9"/>
      <c r="U346" s="9"/>
      <c r="V346" s="2">
        <f>_xlfn.XLOOKUP(Tab_Data_Flows[[#This Row],[Flow_Name]],Tab_Def_Flows[Flow_Name],Tab_Def_Flows[Flow_E1_Fraction'[%']],"N.A.",0,1)</f>
        <v>0</v>
      </c>
      <c r="W346" s="8">
        <f t="shared" si="10"/>
        <v>0</v>
      </c>
      <c r="X346" s="2" t="str">
        <f>Tab_Data_Flows[[#This Row],[UoM_Source]]</f>
        <v>Mg</v>
      </c>
      <c r="Y346" s="19">
        <f>_xlfn.XLOOKUP(Tab_Data_Flows[[#This Row],[Flow_Name]],Tab_Def_Flows[Flow_Name],Tab_Def_Flows[Flow_E2_Fraction'[%']],"N.A.",0,1)</f>
        <v>0</v>
      </c>
      <c r="Z346" s="2">
        <f>IF(D346="Yes",W346*Tab_Data_Flows[[#This Row],[E2_Fraction'[%']]],"N.A.")</f>
        <v>0</v>
      </c>
      <c r="AA346" s="2" t="str">
        <f>Tab_Data_Flows[[#This Row],[E1_UoM]]</f>
        <v>Mg</v>
      </c>
      <c r="AB346" s="19">
        <f>_xlfn.XLOOKUP(Tab_Data_Flows[[#This Row],[Flow_Name]],Tab_Def_Flows[Flow_Name],Tab_Def_Flows[Flow_E3_Fraction'[%']],"N.A.",0,1)</f>
        <v>0</v>
      </c>
      <c r="AC346" s="2">
        <f>IF(E346="Yes",AB346*Tab_Data_Flows[[#This Row],[E1_value]],"N.A.")</f>
        <v>0</v>
      </c>
      <c r="AD346" s="2" t="str">
        <f>Tab_Data_Flows[[#This Row],[E1_UoM]]</f>
        <v>Mg</v>
      </c>
      <c r="AE346" s="19">
        <f>_xlfn.XLOOKUP(Tab_Data_Flows[[#This Row],[Flow_Name]],Tab_Def_Flows[Flow_Name],Tab_Def_Flows[Flow_E4_Fraction'[%']],"N.A.",0,1)</f>
        <v>0</v>
      </c>
      <c r="AF346" s="2">
        <f>IF(H346="Yes",Tab_Data_Flows[[#This Row],[E4_Fraction'[%']]]*Tab_Data_Flows[[#This Row],[E1_value]],"N.A.")</f>
        <v>0</v>
      </c>
      <c r="AG346" s="2" t="str">
        <f>Tab_Data_Flows[[#This Row],[E1_UoM]]</f>
        <v>Mg</v>
      </c>
      <c r="AH346" s="2">
        <f>_xlfn.XLOOKUP(Tab_Data_Flows[[#This Row],[Flow_Name]],Tab_Def_Flows[Flow_Name],Tab_Def_Flows[Flow_E5_Fraction'[%']],"N.A.",0,1)</f>
        <v>0</v>
      </c>
      <c r="AI346" s="2">
        <f>IF(H346="Yes",Tab_Data_Flows[[#This Row],[E5_Fraction'[%']]]*Tab_Data_Flows[[#This Row],[E1_value]],"N.A.")</f>
        <v>0</v>
      </c>
      <c r="AJ346" s="2" t="str">
        <f>Tab_Data_Flows[[#This Row],[E1_UoM]]</f>
        <v>Mg</v>
      </c>
      <c r="AK346" s="19">
        <f>_xlfn.XLOOKUP(Tab_Data_Flows[[#This Row],[Flow_Name]],Tab_Def_Flows[Flow_Name],Tab_Def_Flows[Flow_E6_Fraction'[%']],"N.A.",0,1)</f>
        <v>0</v>
      </c>
      <c r="AL346" s="2">
        <f>IF(Tab_Data_Flows[[#This Row],[Use_E6]]="Yes",Tab_Data_Flows[[#This Row],[E6_Fraction'[%']]]*Tab_Data_Flows[[#This Row],[E1_value]],"N.A.")</f>
        <v>0</v>
      </c>
      <c r="AM346" s="2" t="str">
        <f>Tab_Data_Flows[[#This Row],[E1_UoM]]</f>
        <v>Mg</v>
      </c>
    </row>
    <row r="347" spans="1:39" x14ac:dyDescent="0.25">
      <c r="A347" s="4">
        <f>ROW()-1</f>
        <v>346</v>
      </c>
      <c r="B347" s="2" t="str">
        <f>_xlfn.XLOOKUP(C347,Tab_Def_Flows[Flow_Name],Tab_Def_Flows[Flow_ID],,0,)</f>
        <v>F__</v>
      </c>
      <c r="C347" s="18" t="s">
        <v>5</v>
      </c>
      <c r="D347" s="5" t="str">
        <f>_xlfn.XLOOKUP(C347,Tab_Def_Flows[Flow_Name],Tab_Def_Flows[Use_E1],,0,)</f>
        <v>Yes</v>
      </c>
      <c r="E347" s="5" t="str">
        <f>_xlfn.XLOOKUP(C347,Tab_Def_Flows[Flow_Name],Tab_Def_Flows[Use_E2],,0,)</f>
        <v>Yes</v>
      </c>
      <c r="F347" s="5" t="str">
        <f>_xlfn.XLOOKUP(C347,Tab_Def_Flows[Flow_Name],Tab_Def_Flows[Use_E3],,0,)</f>
        <v>Yes</v>
      </c>
      <c r="G347" s="5" t="str">
        <f>_xlfn.XLOOKUP(C347,Tab_Def_Flows[Flow_Name],Tab_Def_Flows[Use_E4],,0,)</f>
        <v>Yes</v>
      </c>
      <c r="H347" s="5" t="str">
        <f>_xlfn.XLOOKUP(C347,Tab_Def_Flows[Flow_Name],Tab_Def_Flows[Use_E5],,0,)</f>
        <v>Yes</v>
      </c>
      <c r="I347" s="5" t="str">
        <f>_xlfn.XLOOKUP(C347,Tab_Def_Flows[Flow_Name],Tab_Def_Flows[Use_E6],,0,)</f>
        <v>Yes</v>
      </c>
      <c r="J347" s="3"/>
      <c r="K347" s="3"/>
      <c r="L347" s="2" t="str">
        <f>'0_Configuration'!$C$41</f>
        <v>Mg</v>
      </c>
      <c r="M347" s="9"/>
      <c r="N347" s="9"/>
      <c r="O347" s="9"/>
      <c r="P347" s="9"/>
      <c r="Q347" s="18" t="s">
        <v>3</v>
      </c>
      <c r="R347" s="3"/>
      <c r="S347" s="3"/>
      <c r="T347" s="9"/>
      <c r="U347" s="9"/>
      <c r="V347" s="2">
        <f>_xlfn.XLOOKUP(Tab_Data_Flows[[#This Row],[Flow_Name]],Tab_Def_Flows[Flow_Name],Tab_Def_Flows[Flow_E1_Fraction'[%']],"N.A.",0,1)</f>
        <v>0</v>
      </c>
      <c r="W347" s="8">
        <f t="shared" si="10"/>
        <v>0</v>
      </c>
      <c r="X347" s="2" t="str">
        <f>Tab_Data_Flows[[#This Row],[UoM_Source]]</f>
        <v>Mg</v>
      </c>
      <c r="Y347" s="19">
        <f>_xlfn.XLOOKUP(Tab_Data_Flows[[#This Row],[Flow_Name]],Tab_Def_Flows[Flow_Name],Tab_Def_Flows[Flow_E2_Fraction'[%']],"N.A.",0,1)</f>
        <v>0</v>
      </c>
      <c r="Z347" s="2">
        <f>IF(D347="Yes",W347*Tab_Data_Flows[[#This Row],[E2_Fraction'[%']]],"N.A.")</f>
        <v>0</v>
      </c>
      <c r="AA347" s="2" t="str">
        <f>Tab_Data_Flows[[#This Row],[E1_UoM]]</f>
        <v>Mg</v>
      </c>
      <c r="AB347" s="19">
        <f>_xlfn.XLOOKUP(Tab_Data_Flows[[#This Row],[Flow_Name]],Tab_Def_Flows[Flow_Name],Tab_Def_Flows[Flow_E3_Fraction'[%']],"N.A.",0,1)</f>
        <v>0</v>
      </c>
      <c r="AC347" s="2">
        <f>IF(E347="Yes",AB347*Tab_Data_Flows[[#This Row],[E1_value]],"N.A.")</f>
        <v>0</v>
      </c>
      <c r="AD347" s="2" t="str">
        <f>Tab_Data_Flows[[#This Row],[E1_UoM]]</f>
        <v>Mg</v>
      </c>
      <c r="AE347" s="19">
        <f>_xlfn.XLOOKUP(Tab_Data_Flows[[#This Row],[Flow_Name]],Tab_Def_Flows[Flow_Name],Tab_Def_Flows[Flow_E4_Fraction'[%']],"N.A.",0,1)</f>
        <v>0</v>
      </c>
      <c r="AF347" s="2">
        <f>IF(H347="Yes",Tab_Data_Flows[[#This Row],[E4_Fraction'[%']]]*Tab_Data_Flows[[#This Row],[E1_value]],"N.A.")</f>
        <v>0</v>
      </c>
      <c r="AG347" s="2" t="str">
        <f>Tab_Data_Flows[[#This Row],[E1_UoM]]</f>
        <v>Mg</v>
      </c>
      <c r="AH347" s="2">
        <f>_xlfn.XLOOKUP(Tab_Data_Flows[[#This Row],[Flow_Name]],Tab_Def_Flows[Flow_Name],Tab_Def_Flows[Flow_E5_Fraction'[%']],"N.A.",0,1)</f>
        <v>0</v>
      </c>
      <c r="AI347" s="2">
        <f>IF(H347="Yes",Tab_Data_Flows[[#This Row],[E5_Fraction'[%']]]*Tab_Data_Flows[[#This Row],[E1_value]],"N.A.")</f>
        <v>0</v>
      </c>
      <c r="AJ347" s="2" t="str">
        <f>Tab_Data_Flows[[#This Row],[E1_UoM]]</f>
        <v>Mg</v>
      </c>
      <c r="AK347" s="19">
        <f>_xlfn.XLOOKUP(Tab_Data_Flows[[#This Row],[Flow_Name]],Tab_Def_Flows[Flow_Name],Tab_Def_Flows[Flow_E6_Fraction'[%']],"N.A.",0,1)</f>
        <v>0</v>
      </c>
      <c r="AL347" s="2">
        <f>IF(Tab_Data_Flows[[#This Row],[Use_E6]]="Yes",Tab_Data_Flows[[#This Row],[E6_Fraction'[%']]]*Tab_Data_Flows[[#This Row],[E1_value]],"N.A.")</f>
        <v>0</v>
      </c>
      <c r="AM347" s="2" t="str">
        <f>Tab_Data_Flows[[#This Row],[E1_UoM]]</f>
        <v>Mg</v>
      </c>
    </row>
    <row r="348" spans="1:39" x14ac:dyDescent="0.25">
      <c r="A348" s="4">
        <f>ROW()-1</f>
        <v>347</v>
      </c>
      <c r="B348" s="2" t="str">
        <f>_xlfn.XLOOKUP(C348,Tab_Def_Flows[Flow_Name],Tab_Def_Flows[Flow_ID],,0,)</f>
        <v>F__</v>
      </c>
      <c r="C348" s="18" t="s">
        <v>5</v>
      </c>
      <c r="D348" s="5" t="str">
        <f>_xlfn.XLOOKUP(C348,Tab_Def_Flows[Flow_Name],Tab_Def_Flows[Use_E1],,0,)</f>
        <v>Yes</v>
      </c>
      <c r="E348" s="5" t="str">
        <f>_xlfn.XLOOKUP(C348,Tab_Def_Flows[Flow_Name],Tab_Def_Flows[Use_E2],,0,)</f>
        <v>Yes</v>
      </c>
      <c r="F348" s="5" t="str">
        <f>_xlfn.XLOOKUP(C348,Tab_Def_Flows[Flow_Name],Tab_Def_Flows[Use_E3],,0,)</f>
        <v>Yes</v>
      </c>
      <c r="G348" s="5" t="str">
        <f>_xlfn.XLOOKUP(C348,Tab_Def_Flows[Flow_Name],Tab_Def_Flows[Use_E4],,0,)</f>
        <v>Yes</v>
      </c>
      <c r="H348" s="5" t="str">
        <f>_xlfn.XLOOKUP(C348,Tab_Def_Flows[Flow_Name],Tab_Def_Flows[Use_E5],,0,)</f>
        <v>Yes</v>
      </c>
      <c r="I348" s="5" t="str">
        <f>_xlfn.XLOOKUP(C348,Tab_Def_Flows[Flow_Name],Tab_Def_Flows[Use_E6],,0,)</f>
        <v>Yes</v>
      </c>
      <c r="J348" s="3"/>
      <c r="K348" s="3"/>
      <c r="L348" s="2" t="str">
        <f>'0_Configuration'!$C$41</f>
        <v>Mg</v>
      </c>
      <c r="M348" s="9"/>
      <c r="N348" s="9"/>
      <c r="O348" s="9"/>
      <c r="P348" s="9"/>
      <c r="Q348" s="18" t="s">
        <v>3</v>
      </c>
      <c r="R348" s="3"/>
      <c r="S348" s="3"/>
      <c r="T348" s="9"/>
      <c r="U348" s="9"/>
      <c r="V348" s="2">
        <f>_xlfn.XLOOKUP(Tab_Data_Flows[[#This Row],[Flow_Name]],Tab_Def_Flows[Flow_Name],Tab_Def_Flows[Flow_E1_Fraction'[%']],"N.A.",0,1)</f>
        <v>0</v>
      </c>
      <c r="W348" s="8">
        <f t="shared" si="10"/>
        <v>0</v>
      </c>
      <c r="X348" s="2" t="str">
        <f>Tab_Data_Flows[[#This Row],[UoM_Source]]</f>
        <v>Mg</v>
      </c>
      <c r="Y348" s="19">
        <f>_xlfn.XLOOKUP(Tab_Data_Flows[[#This Row],[Flow_Name]],Tab_Def_Flows[Flow_Name],Tab_Def_Flows[Flow_E2_Fraction'[%']],"N.A.",0,1)</f>
        <v>0</v>
      </c>
      <c r="Z348" s="2">
        <f>IF(D348="Yes",W348*Tab_Data_Flows[[#This Row],[E2_Fraction'[%']]],"N.A.")</f>
        <v>0</v>
      </c>
      <c r="AA348" s="2" t="str">
        <f>Tab_Data_Flows[[#This Row],[E1_UoM]]</f>
        <v>Mg</v>
      </c>
      <c r="AB348" s="19">
        <f>_xlfn.XLOOKUP(Tab_Data_Flows[[#This Row],[Flow_Name]],Tab_Def_Flows[Flow_Name],Tab_Def_Flows[Flow_E3_Fraction'[%']],"N.A.",0,1)</f>
        <v>0</v>
      </c>
      <c r="AC348" s="2">
        <f>IF(E348="Yes",AB348*Tab_Data_Flows[[#This Row],[E1_value]],"N.A.")</f>
        <v>0</v>
      </c>
      <c r="AD348" s="2" t="str">
        <f>Tab_Data_Flows[[#This Row],[E1_UoM]]</f>
        <v>Mg</v>
      </c>
      <c r="AE348" s="19">
        <f>_xlfn.XLOOKUP(Tab_Data_Flows[[#This Row],[Flow_Name]],Tab_Def_Flows[Flow_Name],Tab_Def_Flows[Flow_E4_Fraction'[%']],"N.A.",0,1)</f>
        <v>0</v>
      </c>
      <c r="AF348" s="2">
        <f>IF(H348="Yes",Tab_Data_Flows[[#This Row],[E4_Fraction'[%']]]*Tab_Data_Flows[[#This Row],[E1_value]],"N.A.")</f>
        <v>0</v>
      </c>
      <c r="AG348" s="2" t="str">
        <f>Tab_Data_Flows[[#This Row],[E1_UoM]]</f>
        <v>Mg</v>
      </c>
      <c r="AH348" s="2">
        <f>_xlfn.XLOOKUP(Tab_Data_Flows[[#This Row],[Flow_Name]],Tab_Def_Flows[Flow_Name],Tab_Def_Flows[Flow_E5_Fraction'[%']],"N.A.",0,1)</f>
        <v>0</v>
      </c>
      <c r="AI348" s="2">
        <f>IF(H348="Yes",Tab_Data_Flows[[#This Row],[E5_Fraction'[%']]]*Tab_Data_Flows[[#This Row],[E1_value]],"N.A.")</f>
        <v>0</v>
      </c>
      <c r="AJ348" s="2" t="str">
        <f>Tab_Data_Flows[[#This Row],[E1_UoM]]</f>
        <v>Mg</v>
      </c>
      <c r="AK348" s="19">
        <f>_xlfn.XLOOKUP(Tab_Data_Flows[[#This Row],[Flow_Name]],Tab_Def_Flows[Flow_Name],Tab_Def_Flows[Flow_E6_Fraction'[%']],"N.A.",0,1)</f>
        <v>0</v>
      </c>
      <c r="AL348" s="2">
        <f>IF(Tab_Data_Flows[[#This Row],[Use_E6]]="Yes",Tab_Data_Flows[[#This Row],[E6_Fraction'[%']]]*Tab_Data_Flows[[#This Row],[E1_value]],"N.A.")</f>
        <v>0</v>
      </c>
      <c r="AM348" s="2" t="str">
        <f>Tab_Data_Flows[[#This Row],[E1_UoM]]</f>
        <v>Mg</v>
      </c>
    </row>
    <row r="349" spans="1:39" x14ac:dyDescent="0.25">
      <c r="A349" s="4">
        <f>ROW()-1</f>
        <v>348</v>
      </c>
      <c r="B349" s="2" t="str">
        <f>_xlfn.XLOOKUP(C349,Tab_Def_Flows[Flow_Name],Tab_Def_Flows[Flow_ID],,0,)</f>
        <v>F__</v>
      </c>
      <c r="C349" s="18" t="s">
        <v>5</v>
      </c>
      <c r="D349" s="5" t="str">
        <f>_xlfn.XLOOKUP(C349,Tab_Def_Flows[Flow_Name],Tab_Def_Flows[Use_E1],,0,)</f>
        <v>Yes</v>
      </c>
      <c r="E349" s="5" t="str">
        <f>_xlfn.XLOOKUP(C349,Tab_Def_Flows[Flow_Name],Tab_Def_Flows[Use_E2],,0,)</f>
        <v>Yes</v>
      </c>
      <c r="F349" s="5" t="str">
        <f>_xlfn.XLOOKUP(C349,Tab_Def_Flows[Flow_Name],Tab_Def_Flows[Use_E3],,0,)</f>
        <v>Yes</v>
      </c>
      <c r="G349" s="5" t="str">
        <f>_xlfn.XLOOKUP(C349,Tab_Def_Flows[Flow_Name],Tab_Def_Flows[Use_E4],,0,)</f>
        <v>Yes</v>
      </c>
      <c r="H349" s="5" t="str">
        <f>_xlfn.XLOOKUP(C349,Tab_Def_Flows[Flow_Name],Tab_Def_Flows[Use_E5],,0,)</f>
        <v>Yes</v>
      </c>
      <c r="I349" s="5" t="str">
        <f>_xlfn.XLOOKUP(C349,Tab_Def_Flows[Flow_Name],Tab_Def_Flows[Use_E6],,0,)</f>
        <v>Yes</v>
      </c>
      <c r="J349" s="3"/>
      <c r="K349" s="3"/>
      <c r="L349" s="2" t="str">
        <f>'0_Configuration'!$C$41</f>
        <v>Mg</v>
      </c>
      <c r="M349" s="9"/>
      <c r="N349" s="9"/>
      <c r="O349" s="9"/>
      <c r="P349" s="9"/>
      <c r="Q349" s="18" t="s">
        <v>3</v>
      </c>
      <c r="R349" s="3"/>
      <c r="S349" s="3"/>
      <c r="T349" s="9"/>
      <c r="U349" s="9"/>
      <c r="V349" s="2">
        <f>_xlfn.XLOOKUP(Tab_Data_Flows[[#This Row],[Flow_Name]],Tab_Def_Flows[Flow_Name],Tab_Def_Flows[Flow_E1_Fraction'[%']],"N.A.",0,1)</f>
        <v>0</v>
      </c>
      <c r="W349" s="8">
        <f t="shared" si="10"/>
        <v>0</v>
      </c>
      <c r="X349" s="2" t="str">
        <f>Tab_Data_Flows[[#This Row],[UoM_Source]]</f>
        <v>Mg</v>
      </c>
      <c r="Y349" s="19">
        <f>_xlfn.XLOOKUP(Tab_Data_Flows[[#This Row],[Flow_Name]],Tab_Def_Flows[Flow_Name],Tab_Def_Flows[Flow_E2_Fraction'[%']],"N.A.",0,1)</f>
        <v>0</v>
      </c>
      <c r="Z349" s="2">
        <f>IF(D349="Yes",W349*Tab_Data_Flows[[#This Row],[E2_Fraction'[%']]],"N.A.")</f>
        <v>0</v>
      </c>
      <c r="AA349" s="2" t="str">
        <f>Tab_Data_Flows[[#This Row],[E1_UoM]]</f>
        <v>Mg</v>
      </c>
      <c r="AB349" s="19">
        <f>_xlfn.XLOOKUP(Tab_Data_Flows[[#This Row],[Flow_Name]],Tab_Def_Flows[Flow_Name],Tab_Def_Flows[Flow_E3_Fraction'[%']],"N.A.",0,1)</f>
        <v>0</v>
      </c>
      <c r="AC349" s="2">
        <f>IF(E349="Yes",AB349*Tab_Data_Flows[[#This Row],[E1_value]],"N.A.")</f>
        <v>0</v>
      </c>
      <c r="AD349" s="2" t="str">
        <f>Tab_Data_Flows[[#This Row],[E1_UoM]]</f>
        <v>Mg</v>
      </c>
      <c r="AE349" s="19">
        <f>_xlfn.XLOOKUP(Tab_Data_Flows[[#This Row],[Flow_Name]],Tab_Def_Flows[Flow_Name],Tab_Def_Flows[Flow_E4_Fraction'[%']],"N.A.",0,1)</f>
        <v>0</v>
      </c>
      <c r="AF349" s="2">
        <f>IF(H349="Yes",Tab_Data_Flows[[#This Row],[E4_Fraction'[%']]]*Tab_Data_Flows[[#This Row],[E1_value]],"N.A.")</f>
        <v>0</v>
      </c>
      <c r="AG349" s="2" t="str">
        <f>Tab_Data_Flows[[#This Row],[E1_UoM]]</f>
        <v>Mg</v>
      </c>
      <c r="AH349" s="2">
        <f>_xlfn.XLOOKUP(Tab_Data_Flows[[#This Row],[Flow_Name]],Tab_Def_Flows[Flow_Name],Tab_Def_Flows[Flow_E5_Fraction'[%']],"N.A.",0,1)</f>
        <v>0</v>
      </c>
      <c r="AI349" s="2">
        <f>IF(H349="Yes",Tab_Data_Flows[[#This Row],[E5_Fraction'[%']]]*Tab_Data_Flows[[#This Row],[E1_value]],"N.A.")</f>
        <v>0</v>
      </c>
      <c r="AJ349" s="2" t="str">
        <f>Tab_Data_Flows[[#This Row],[E1_UoM]]</f>
        <v>Mg</v>
      </c>
      <c r="AK349" s="19">
        <f>_xlfn.XLOOKUP(Tab_Data_Flows[[#This Row],[Flow_Name]],Tab_Def_Flows[Flow_Name],Tab_Def_Flows[Flow_E6_Fraction'[%']],"N.A.",0,1)</f>
        <v>0</v>
      </c>
      <c r="AL349" s="2">
        <f>IF(Tab_Data_Flows[[#This Row],[Use_E6]]="Yes",Tab_Data_Flows[[#This Row],[E6_Fraction'[%']]]*Tab_Data_Flows[[#This Row],[E1_value]],"N.A.")</f>
        <v>0</v>
      </c>
      <c r="AM349" s="2" t="str">
        <f>Tab_Data_Flows[[#This Row],[E1_UoM]]</f>
        <v>Mg</v>
      </c>
    </row>
    <row r="350" spans="1:39" x14ac:dyDescent="0.25">
      <c r="A350" s="4">
        <f t="shared" ref="A350:A597" si="12">ROW()-1</f>
        <v>349</v>
      </c>
      <c r="B350" s="2" t="str">
        <f>_xlfn.XLOOKUP(C350,Tab_Def_Flows[Flow_Name],Tab_Def_Flows[Flow_ID],,0,)</f>
        <v>F__</v>
      </c>
      <c r="C350" s="18" t="s">
        <v>5</v>
      </c>
      <c r="D350" s="5" t="str">
        <f>_xlfn.XLOOKUP(C350,Tab_Def_Flows[Flow_Name],Tab_Def_Flows[Use_E1],,0,)</f>
        <v>Yes</v>
      </c>
      <c r="E350" s="5" t="str">
        <f>_xlfn.XLOOKUP(C350,Tab_Def_Flows[Flow_Name],Tab_Def_Flows[Use_E2],,0,)</f>
        <v>Yes</v>
      </c>
      <c r="F350" s="5" t="str">
        <f>_xlfn.XLOOKUP(C350,Tab_Def_Flows[Flow_Name],Tab_Def_Flows[Use_E3],,0,)</f>
        <v>Yes</v>
      </c>
      <c r="G350" s="5" t="str">
        <f>_xlfn.XLOOKUP(C350,Tab_Def_Flows[Flow_Name],Tab_Def_Flows[Use_E4],,0,)</f>
        <v>Yes</v>
      </c>
      <c r="H350" s="5" t="str">
        <f>_xlfn.XLOOKUP(C350,Tab_Def_Flows[Flow_Name],Tab_Def_Flows[Use_E5],,0,)</f>
        <v>Yes</v>
      </c>
      <c r="I350" s="5" t="str">
        <f>_xlfn.XLOOKUP(C350,Tab_Def_Flows[Flow_Name],Tab_Def_Flows[Use_E6],,0,)</f>
        <v>Yes</v>
      </c>
      <c r="J350" s="3"/>
      <c r="K350" s="3"/>
      <c r="L350" s="2" t="str">
        <f>'0_Configuration'!$C$41</f>
        <v>Mg</v>
      </c>
      <c r="M350" s="9"/>
      <c r="N350" s="9"/>
      <c r="O350" s="9"/>
      <c r="P350" s="9"/>
      <c r="Q350" s="18" t="s">
        <v>3</v>
      </c>
      <c r="R350" s="10"/>
      <c r="S350" s="3"/>
      <c r="T350" s="9"/>
      <c r="U350" s="9"/>
      <c r="V350" s="2">
        <f>_xlfn.XLOOKUP(Tab_Data_Flows[[#This Row],[Flow_Name]],Tab_Def_Flows[Flow_Name],Tab_Def_Flows[Flow_E1_Fraction'[%']],"N.A.",0,1)</f>
        <v>0</v>
      </c>
      <c r="W350" s="8">
        <f t="shared" ref="W350:W600" si="13">IF(Q350="no",K350,K350*R350)</f>
        <v>0</v>
      </c>
      <c r="X350" s="2" t="str">
        <f>Tab_Data_Flows[[#This Row],[UoM_Source]]</f>
        <v>Mg</v>
      </c>
      <c r="Y350" s="19">
        <f>_xlfn.XLOOKUP(Tab_Data_Flows[[#This Row],[Flow_Name]],Tab_Def_Flows[Flow_Name],Tab_Def_Flows[Flow_E2_Fraction'[%']],"N.A.",0,1)</f>
        <v>0</v>
      </c>
      <c r="Z350" s="2">
        <f>IF(D350="Yes",W350*Tab_Data_Flows[[#This Row],[E2_Fraction'[%']]],"N.A.")</f>
        <v>0</v>
      </c>
      <c r="AA350" s="2" t="str">
        <f>Tab_Data_Flows[[#This Row],[E1_UoM]]</f>
        <v>Mg</v>
      </c>
      <c r="AB350" s="19">
        <f>_xlfn.XLOOKUP(Tab_Data_Flows[[#This Row],[Flow_Name]],Tab_Def_Flows[Flow_Name],Tab_Def_Flows[Flow_E3_Fraction'[%']],"N.A.",0,1)</f>
        <v>0</v>
      </c>
      <c r="AC350" s="2">
        <f>IF(E350="Yes",AB350*Tab_Data_Flows[[#This Row],[E1_value]],"N.A.")</f>
        <v>0</v>
      </c>
      <c r="AD350" s="2" t="str">
        <f>Tab_Data_Flows[[#This Row],[E1_UoM]]</f>
        <v>Mg</v>
      </c>
      <c r="AE350" s="19">
        <f>_xlfn.XLOOKUP(Tab_Data_Flows[[#This Row],[Flow_Name]],Tab_Def_Flows[Flow_Name],Tab_Def_Flows[Flow_E4_Fraction'[%']],"N.A.",0,1)</f>
        <v>0</v>
      </c>
      <c r="AF350" s="2">
        <f>IF(H350="Yes",Tab_Data_Flows[[#This Row],[E4_Fraction'[%']]]*Tab_Data_Flows[[#This Row],[E1_value]],"N.A.")</f>
        <v>0</v>
      </c>
      <c r="AG350" s="2" t="str">
        <f>Tab_Data_Flows[[#This Row],[E1_UoM]]</f>
        <v>Mg</v>
      </c>
      <c r="AH350" s="2">
        <f>_xlfn.XLOOKUP(Tab_Data_Flows[[#This Row],[Flow_Name]],Tab_Def_Flows[Flow_Name],Tab_Def_Flows[Flow_E5_Fraction'[%']],"N.A.",0,1)</f>
        <v>0</v>
      </c>
      <c r="AI350" s="2">
        <f>IF(H350="Yes",Tab_Data_Flows[[#This Row],[E5_Fraction'[%']]]*Tab_Data_Flows[[#This Row],[E1_value]],"N.A.")</f>
        <v>0</v>
      </c>
      <c r="AJ350" s="2" t="str">
        <f>Tab_Data_Flows[[#This Row],[E1_UoM]]</f>
        <v>Mg</v>
      </c>
      <c r="AK350" s="19">
        <f>_xlfn.XLOOKUP(Tab_Data_Flows[[#This Row],[Flow_Name]],Tab_Def_Flows[Flow_Name],Tab_Def_Flows[Flow_E6_Fraction'[%']],"N.A.",0,1)</f>
        <v>0</v>
      </c>
      <c r="AL350" s="2">
        <f>IF(Tab_Data_Flows[[#This Row],[Use_E6]]="Yes",Tab_Data_Flows[[#This Row],[E6_Fraction'[%']]]*Tab_Data_Flows[[#This Row],[E1_value]],"N.A.")</f>
        <v>0</v>
      </c>
      <c r="AM350" s="2" t="str">
        <f>Tab_Data_Flows[[#This Row],[E1_UoM]]</f>
        <v>Mg</v>
      </c>
    </row>
    <row r="351" spans="1:39" x14ac:dyDescent="0.25">
      <c r="A351" s="4">
        <f t="shared" si="12"/>
        <v>350</v>
      </c>
      <c r="B351" s="2" t="str">
        <f>_xlfn.XLOOKUP(C351,Tab_Def_Flows[Flow_Name],Tab_Def_Flows[Flow_ID],,0,)</f>
        <v>F__</v>
      </c>
      <c r="C351" s="18" t="s">
        <v>5</v>
      </c>
      <c r="D351" s="5" t="str">
        <f>_xlfn.XLOOKUP(C351,Tab_Def_Flows[Flow_Name],Tab_Def_Flows[Use_E1],,0,)</f>
        <v>Yes</v>
      </c>
      <c r="E351" s="5" t="str">
        <f>_xlfn.XLOOKUP(C351,Tab_Def_Flows[Flow_Name],Tab_Def_Flows[Use_E2],,0,)</f>
        <v>Yes</v>
      </c>
      <c r="F351" s="5" t="str">
        <f>_xlfn.XLOOKUP(C351,Tab_Def_Flows[Flow_Name],Tab_Def_Flows[Use_E3],,0,)</f>
        <v>Yes</v>
      </c>
      <c r="G351" s="5" t="str">
        <f>_xlfn.XLOOKUP(C351,Tab_Def_Flows[Flow_Name],Tab_Def_Flows[Use_E4],,0,)</f>
        <v>Yes</v>
      </c>
      <c r="H351" s="5" t="str">
        <f>_xlfn.XLOOKUP(C351,Tab_Def_Flows[Flow_Name],Tab_Def_Flows[Use_E5],,0,)</f>
        <v>Yes</v>
      </c>
      <c r="I351" s="5" t="str">
        <f>_xlfn.XLOOKUP(C351,Tab_Def_Flows[Flow_Name],Tab_Def_Flows[Use_E6],,0,)</f>
        <v>Yes</v>
      </c>
      <c r="J351" s="3"/>
      <c r="K351" s="3"/>
      <c r="L351" s="2" t="str">
        <f>'0_Configuration'!$C$41</f>
        <v>Mg</v>
      </c>
      <c r="M351" s="9"/>
      <c r="N351" s="9"/>
      <c r="O351" s="9"/>
      <c r="P351" s="9"/>
      <c r="Q351" s="18" t="s">
        <v>3</v>
      </c>
      <c r="R351" s="10"/>
      <c r="S351" s="3"/>
      <c r="T351" s="9"/>
      <c r="U351" s="9"/>
      <c r="V351" s="2">
        <f>_xlfn.XLOOKUP(Tab_Data_Flows[[#This Row],[Flow_Name]],Tab_Def_Flows[Flow_Name],Tab_Def_Flows[Flow_E1_Fraction'[%']],"N.A.",0,1)</f>
        <v>0</v>
      </c>
      <c r="W351" s="8">
        <f t="shared" si="13"/>
        <v>0</v>
      </c>
      <c r="X351" s="2" t="str">
        <f>Tab_Data_Flows[[#This Row],[UoM_Source]]</f>
        <v>Mg</v>
      </c>
      <c r="Y351" s="19">
        <f>_xlfn.XLOOKUP(Tab_Data_Flows[[#This Row],[Flow_Name]],Tab_Def_Flows[Flow_Name],Tab_Def_Flows[Flow_E2_Fraction'[%']],"N.A.",0,1)</f>
        <v>0</v>
      </c>
      <c r="Z351" s="2">
        <f>IF(D351="Yes",W351*Tab_Data_Flows[[#This Row],[E2_Fraction'[%']]],"N.A.")</f>
        <v>0</v>
      </c>
      <c r="AA351" s="2" t="str">
        <f>Tab_Data_Flows[[#This Row],[E1_UoM]]</f>
        <v>Mg</v>
      </c>
      <c r="AB351" s="19">
        <f>_xlfn.XLOOKUP(Tab_Data_Flows[[#This Row],[Flow_Name]],Tab_Def_Flows[Flow_Name],Tab_Def_Flows[Flow_E3_Fraction'[%']],"N.A.",0,1)</f>
        <v>0</v>
      </c>
      <c r="AC351" s="2">
        <f>IF(E351="Yes",AB351*Tab_Data_Flows[[#This Row],[E1_value]],"N.A.")</f>
        <v>0</v>
      </c>
      <c r="AD351" s="2" t="str">
        <f>Tab_Data_Flows[[#This Row],[E1_UoM]]</f>
        <v>Mg</v>
      </c>
      <c r="AE351" s="19">
        <f>_xlfn.XLOOKUP(Tab_Data_Flows[[#This Row],[Flow_Name]],Tab_Def_Flows[Flow_Name],Tab_Def_Flows[Flow_E4_Fraction'[%']],"N.A.",0,1)</f>
        <v>0</v>
      </c>
      <c r="AF351" s="2">
        <f>IF(H351="Yes",Tab_Data_Flows[[#This Row],[E4_Fraction'[%']]]*Tab_Data_Flows[[#This Row],[E1_value]],"N.A.")</f>
        <v>0</v>
      </c>
      <c r="AG351" s="2" t="str">
        <f>Tab_Data_Flows[[#This Row],[E1_UoM]]</f>
        <v>Mg</v>
      </c>
      <c r="AH351" s="2">
        <f>_xlfn.XLOOKUP(Tab_Data_Flows[[#This Row],[Flow_Name]],Tab_Def_Flows[Flow_Name],Tab_Def_Flows[Flow_E5_Fraction'[%']],"N.A.",0,1)</f>
        <v>0</v>
      </c>
      <c r="AI351" s="2">
        <f>IF(H351="Yes",Tab_Data_Flows[[#This Row],[E5_Fraction'[%']]]*Tab_Data_Flows[[#This Row],[E1_value]],"N.A.")</f>
        <v>0</v>
      </c>
      <c r="AJ351" s="2" t="str">
        <f>Tab_Data_Flows[[#This Row],[E1_UoM]]</f>
        <v>Mg</v>
      </c>
      <c r="AK351" s="19">
        <f>_xlfn.XLOOKUP(Tab_Data_Flows[[#This Row],[Flow_Name]],Tab_Def_Flows[Flow_Name],Tab_Def_Flows[Flow_E6_Fraction'[%']],"N.A.",0,1)</f>
        <v>0</v>
      </c>
      <c r="AL351" s="2">
        <f>IF(Tab_Data_Flows[[#This Row],[Use_E6]]="Yes",Tab_Data_Flows[[#This Row],[E6_Fraction'[%']]]*Tab_Data_Flows[[#This Row],[E1_value]],"N.A.")</f>
        <v>0</v>
      </c>
      <c r="AM351" s="2" t="str">
        <f>Tab_Data_Flows[[#This Row],[E1_UoM]]</f>
        <v>Mg</v>
      </c>
    </row>
    <row r="352" spans="1:39" x14ac:dyDescent="0.25">
      <c r="A352" s="4">
        <f t="shared" si="12"/>
        <v>351</v>
      </c>
      <c r="B352" s="2" t="str">
        <f>_xlfn.XLOOKUP(C352,Tab_Def_Flows[Flow_Name],Tab_Def_Flows[Flow_ID],,0,)</f>
        <v>F__</v>
      </c>
      <c r="C352" s="18" t="s">
        <v>5</v>
      </c>
      <c r="D352" s="5" t="str">
        <f>_xlfn.XLOOKUP(C352,Tab_Def_Flows[Flow_Name],Tab_Def_Flows[Use_E1],,0,)</f>
        <v>Yes</v>
      </c>
      <c r="E352" s="5" t="str">
        <f>_xlfn.XLOOKUP(C352,Tab_Def_Flows[Flow_Name],Tab_Def_Flows[Use_E2],,0,)</f>
        <v>Yes</v>
      </c>
      <c r="F352" s="5" t="str">
        <f>_xlfn.XLOOKUP(C352,Tab_Def_Flows[Flow_Name],Tab_Def_Flows[Use_E3],,0,)</f>
        <v>Yes</v>
      </c>
      <c r="G352" s="5" t="str">
        <f>_xlfn.XLOOKUP(C352,Tab_Def_Flows[Flow_Name],Tab_Def_Flows[Use_E4],,0,)</f>
        <v>Yes</v>
      </c>
      <c r="H352" s="5" t="str">
        <f>_xlfn.XLOOKUP(C352,Tab_Def_Flows[Flow_Name],Tab_Def_Flows[Use_E5],,0,)</f>
        <v>Yes</v>
      </c>
      <c r="I352" s="5" t="str">
        <f>_xlfn.XLOOKUP(C352,Tab_Def_Flows[Flow_Name],Tab_Def_Flows[Use_E6],,0,)</f>
        <v>Yes</v>
      </c>
      <c r="J352" s="3"/>
      <c r="K352" s="3"/>
      <c r="L352" s="2" t="str">
        <f>'0_Configuration'!$C$41</f>
        <v>Mg</v>
      </c>
      <c r="M352" s="9"/>
      <c r="N352" s="9"/>
      <c r="O352" s="9"/>
      <c r="P352" s="9"/>
      <c r="Q352" s="18" t="s">
        <v>3</v>
      </c>
      <c r="R352" s="10"/>
      <c r="S352" s="3"/>
      <c r="T352" s="9"/>
      <c r="U352" s="9"/>
      <c r="V352" s="2">
        <f>_xlfn.XLOOKUP(Tab_Data_Flows[[#This Row],[Flow_Name]],Tab_Def_Flows[Flow_Name],Tab_Def_Flows[Flow_E1_Fraction'[%']],"N.A.",0,1)</f>
        <v>0</v>
      </c>
      <c r="W352" s="8">
        <f t="shared" si="13"/>
        <v>0</v>
      </c>
      <c r="X352" s="2" t="str">
        <f>Tab_Data_Flows[[#This Row],[UoM_Source]]</f>
        <v>Mg</v>
      </c>
      <c r="Y352" s="19">
        <f>_xlfn.XLOOKUP(Tab_Data_Flows[[#This Row],[Flow_Name]],Tab_Def_Flows[Flow_Name],Tab_Def_Flows[Flow_E2_Fraction'[%']],"N.A.",0,1)</f>
        <v>0</v>
      </c>
      <c r="Z352" s="2">
        <f>IF(D352="Yes",W352*Tab_Data_Flows[[#This Row],[E2_Fraction'[%']]],"N.A.")</f>
        <v>0</v>
      </c>
      <c r="AA352" s="2" t="str">
        <f>Tab_Data_Flows[[#This Row],[E1_UoM]]</f>
        <v>Mg</v>
      </c>
      <c r="AB352" s="19">
        <f>_xlfn.XLOOKUP(Tab_Data_Flows[[#This Row],[Flow_Name]],Tab_Def_Flows[Flow_Name],Tab_Def_Flows[Flow_E3_Fraction'[%']],"N.A.",0,1)</f>
        <v>0</v>
      </c>
      <c r="AC352" s="2">
        <f>IF(E352="Yes",AB352*Tab_Data_Flows[[#This Row],[E1_value]],"N.A.")</f>
        <v>0</v>
      </c>
      <c r="AD352" s="2" t="str">
        <f>Tab_Data_Flows[[#This Row],[E1_UoM]]</f>
        <v>Mg</v>
      </c>
      <c r="AE352" s="19">
        <f>_xlfn.XLOOKUP(Tab_Data_Flows[[#This Row],[Flow_Name]],Tab_Def_Flows[Flow_Name],Tab_Def_Flows[Flow_E4_Fraction'[%']],"N.A.",0,1)</f>
        <v>0</v>
      </c>
      <c r="AF352" s="2">
        <f>IF(H352="Yes",Tab_Data_Flows[[#This Row],[E4_Fraction'[%']]]*Tab_Data_Flows[[#This Row],[E1_value]],"N.A.")</f>
        <v>0</v>
      </c>
      <c r="AG352" s="2" t="str">
        <f>Tab_Data_Flows[[#This Row],[E1_UoM]]</f>
        <v>Mg</v>
      </c>
      <c r="AH352" s="2">
        <f>_xlfn.XLOOKUP(Tab_Data_Flows[[#This Row],[Flow_Name]],Tab_Def_Flows[Flow_Name],Tab_Def_Flows[Flow_E5_Fraction'[%']],"N.A.",0,1)</f>
        <v>0</v>
      </c>
      <c r="AI352" s="2">
        <f>IF(H352="Yes",Tab_Data_Flows[[#This Row],[E5_Fraction'[%']]]*Tab_Data_Flows[[#This Row],[E1_value]],"N.A.")</f>
        <v>0</v>
      </c>
      <c r="AJ352" s="2" t="str">
        <f>Tab_Data_Flows[[#This Row],[E1_UoM]]</f>
        <v>Mg</v>
      </c>
      <c r="AK352" s="19">
        <f>_xlfn.XLOOKUP(Tab_Data_Flows[[#This Row],[Flow_Name]],Tab_Def_Flows[Flow_Name],Tab_Def_Flows[Flow_E6_Fraction'[%']],"N.A.",0,1)</f>
        <v>0</v>
      </c>
      <c r="AL352" s="2">
        <f>IF(Tab_Data_Flows[[#This Row],[Use_E6]]="Yes",Tab_Data_Flows[[#This Row],[E6_Fraction'[%']]]*Tab_Data_Flows[[#This Row],[E1_value]],"N.A.")</f>
        <v>0</v>
      </c>
      <c r="AM352" s="2" t="str">
        <f>Tab_Data_Flows[[#This Row],[E1_UoM]]</f>
        <v>Mg</v>
      </c>
    </row>
    <row r="353" spans="1:39" x14ac:dyDescent="0.25">
      <c r="A353" s="4">
        <f t="shared" si="12"/>
        <v>352</v>
      </c>
      <c r="B353" s="2" t="str">
        <f>_xlfn.XLOOKUP(C353,Tab_Def_Flows[Flow_Name],Tab_Def_Flows[Flow_ID],,0,)</f>
        <v>F__</v>
      </c>
      <c r="C353" s="18" t="s">
        <v>5</v>
      </c>
      <c r="D353" s="5" t="str">
        <f>_xlfn.XLOOKUP(C353,Tab_Def_Flows[Flow_Name],Tab_Def_Flows[Use_E1],,0,)</f>
        <v>Yes</v>
      </c>
      <c r="E353" s="5" t="str">
        <f>_xlfn.XLOOKUP(C353,Tab_Def_Flows[Flow_Name],Tab_Def_Flows[Use_E2],,0,)</f>
        <v>Yes</v>
      </c>
      <c r="F353" s="5" t="str">
        <f>_xlfn.XLOOKUP(C353,Tab_Def_Flows[Flow_Name],Tab_Def_Flows[Use_E3],,0,)</f>
        <v>Yes</v>
      </c>
      <c r="G353" s="5" t="str">
        <f>_xlfn.XLOOKUP(C353,Tab_Def_Flows[Flow_Name],Tab_Def_Flows[Use_E4],,0,)</f>
        <v>Yes</v>
      </c>
      <c r="H353" s="5" t="str">
        <f>_xlfn.XLOOKUP(C353,Tab_Def_Flows[Flow_Name],Tab_Def_Flows[Use_E5],,0,)</f>
        <v>Yes</v>
      </c>
      <c r="I353" s="5" t="str">
        <f>_xlfn.XLOOKUP(C353,Tab_Def_Flows[Flow_Name],Tab_Def_Flows[Use_E6],,0,)</f>
        <v>Yes</v>
      </c>
      <c r="J353" s="3"/>
      <c r="K353" s="3"/>
      <c r="L353" s="2" t="str">
        <f>'0_Configuration'!$C$41</f>
        <v>Mg</v>
      </c>
      <c r="M353" s="9"/>
      <c r="N353" s="9"/>
      <c r="O353" s="9"/>
      <c r="P353" s="9"/>
      <c r="Q353" s="18" t="s">
        <v>3</v>
      </c>
      <c r="R353" s="10"/>
      <c r="S353" s="3"/>
      <c r="T353" s="9"/>
      <c r="U353" s="9"/>
      <c r="V353" s="2">
        <f>_xlfn.XLOOKUP(Tab_Data_Flows[[#This Row],[Flow_Name]],Tab_Def_Flows[Flow_Name],Tab_Def_Flows[Flow_E1_Fraction'[%']],"N.A.",0,1)</f>
        <v>0</v>
      </c>
      <c r="W353" s="8">
        <f t="shared" si="13"/>
        <v>0</v>
      </c>
      <c r="X353" s="2" t="str">
        <f>Tab_Data_Flows[[#This Row],[UoM_Source]]</f>
        <v>Mg</v>
      </c>
      <c r="Y353" s="19">
        <f>_xlfn.XLOOKUP(Tab_Data_Flows[[#This Row],[Flow_Name]],Tab_Def_Flows[Flow_Name],Tab_Def_Flows[Flow_E2_Fraction'[%']],"N.A.",0,1)</f>
        <v>0</v>
      </c>
      <c r="Z353" s="2">
        <f>IF(D353="Yes",W353*Tab_Data_Flows[[#This Row],[E2_Fraction'[%']]],"N.A.")</f>
        <v>0</v>
      </c>
      <c r="AA353" s="2" t="str">
        <f>Tab_Data_Flows[[#This Row],[E1_UoM]]</f>
        <v>Mg</v>
      </c>
      <c r="AB353" s="19">
        <f>_xlfn.XLOOKUP(Tab_Data_Flows[[#This Row],[Flow_Name]],Tab_Def_Flows[Flow_Name],Tab_Def_Flows[Flow_E3_Fraction'[%']],"N.A.",0,1)</f>
        <v>0</v>
      </c>
      <c r="AC353" s="2">
        <f>IF(E353="Yes",AB353*Tab_Data_Flows[[#This Row],[E1_value]],"N.A.")</f>
        <v>0</v>
      </c>
      <c r="AD353" s="2" t="str">
        <f>Tab_Data_Flows[[#This Row],[E1_UoM]]</f>
        <v>Mg</v>
      </c>
      <c r="AE353" s="19">
        <f>_xlfn.XLOOKUP(Tab_Data_Flows[[#This Row],[Flow_Name]],Tab_Def_Flows[Flow_Name],Tab_Def_Flows[Flow_E4_Fraction'[%']],"N.A.",0,1)</f>
        <v>0</v>
      </c>
      <c r="AF353" s="2">
        <f>IF(H353="Yes",Tab_Data_Flows[[#This Row],[E4_Fraction'[%']]]*Tab_Data_Flows[[#This Row],[E1_value]],"N.A.")</f>
        <v>0</v>
      </c>
      <c r="AG353" s="2" t="str">
        <f>Tab_Data_Flows[[#This Row],[E1_UoM]]</f>
        <v>Mg</v>
      </c>
      <c r="AH353" s="2">
        <f>_xlfn.XLOOKUP(Tab_Data_Flows[[#This Row],[Flow_Name]],Tab_Def_Flows[Flow_Name],Tab_Def_Flows[Flow_E5_Fraction'[%']],"N.A.",0,1)</f>
        <v>0</v>
      </c>
      <c r="AI353" s="2">
        <f>IF(H353="Yes",Tab_Data_Flows[[#This Row],[E5_Fraction'[%']]]*Tab_Data_Flows[[#This Row],[E1_value]],"N.A.")</f>
        <v>0</v>
      </c>
      <c r="AJ353" s="2" t="str">
        <f>Tab_Data_Flows[[#This Row],[E1_UoM]]</f>
        <v>Mg</v>
      </c>
      <c r="AK353" s="19">
        <f>_xlfn.XLOOKUP(Tab_Data_Flows[[#This Row],[Flow_Name]],Tab_Def_Flows[Flow_Name],Tab_Def_Flows[Flow_E6_Fraction'[%']],"N.A.",0,1)</f>
        <v>0</v>
      </c>
      <c r="AL353" s="2">
        <f>IF(Tab_Data_Flows[[#This Row],[Use_E6]]="Yes",Tab_Data_Flows[[#This Row],[E6_Fraction'[%']]]*Tab_Data_Flows[[#This Row],[E1_value]],"N.A.")</f>
        <v>0</v>
      </c>
      <c r="AM353" s="2" t="str">
        <f>Tab_Data_Flows[[#This Row],[E1_UoM]]</f>
        <v>Mg</v>
      </c>
    </row>
    <row r="354" spans="1:39" x14ac:dyDescent="0.25">
      <c r="A354" s="4">
        <f t="shared" si="12"/>
        <v>353</v>
      </c>
      <c r="B354" s="2" t="str">
        <f>_xlfn.XLOOKUP(C354,Tab_Def_Flows[Flow_Name],Tab_Def_Flows[Flow_ID],,0,)</f>
        <v>F__</v>
      </c>
      <c r="C354" s="18" t="s">
        <v>5</v>
      </c>
      <c r="D354" s="5" t="str">
        <f>_xlfn.XLOOKUP(C354,Tab_Def_Flows[Flow_Name],Tab_Def_Flows[Use_E1],,0,)</f>
        <v>Yes</v>
      </c>
      <c r="E354" s="5" t="str">
        <f>_xlfn.XLOOKUP(C354,Tab_Def_Flows[Flow_Name],Tab_Def_Flows[Use_E2],,0,)</f>
        <v>Yes</v>
      </c>
      <c r="F354" s="5" t="str">
        <f>_xlfn.XLOOKUP(C354,Tab_Def_Flows[Flow_Name],Tab_Def_Flows[Use_E3],,0,)</f>
        <v>Yes</v>
      </c>
      <c r="G354" s="5" t="str">
        <f>_xlfn.XLOOKUP(C354,Tab_Def_Flows[Flow_Name],Tab_Def_Flows[Use_E4],,0,)</f>
        <v>Yes</v>
      </c>
      <c r="H354" s="5" t="str">
        <f>_xlfn.XLOOKUP(C354,Tab_Def_Flows[Flow_Name],Tab_Def_Flows[Use_E5],,0,)</f>
        <v>Yes</v>
      </c>
      <c r="I354" s="5" t="str">
        <f>_xlfn.XLOOKUP(C354,Tab_Def_Flows[Flow_Name],Tab_Def_Flows[Use_E6],,0,)</f>
        <v>Yes</v>
      </c>
      <c r="J354" s="3"/>
      <c r="K354" s="3"/>
      <c r="L354" s="2" t="str">
        <f>'0_Configuration'!$C$41</f>
        <v>Mg</v>
      </c>
      <c r="M354" s="9"/>
      <c r="N354" s="9"/>
      <c r="O354" s="9"/>
      <c r="P354" s="9"/>
      <c r="Q354" s="18" t="s">
        <v>3</v>
      </c>
      <c r="R354" s="10"/>
      <c r="S354" s="3"/>
      <c r="T354" s="9"/>
      <c r="U354" s="9"/>
      <c r="V354" s="2">
        <f>_xlfn.XLOOKUP(Tab_Data_Flows[[#This Row],[Flow_Name]],Tab_Def_Flows[Flow_Name],Tab_Def_Flows[Flow_E1_Fraction'[%']],"N.A.",0,1)</f>
        <v>0</v>
      </c>
      <c r="W354" s="8">
        <f t="shared" si="13"/>
        <v>0</v>
      </c>
      <c r="X354" s="2" t="str">
        <f>Tab_Data_Flows[[#This Row],[UoM_Source]]</f>
        <v>Mg</v>
      </c>
      <c r="Y354" s="19">
        <f>_xlfn.XLOOKUP(Tab_Data_Flows[[#This Row],[Flow_Name]],Tab_Def_Flows[Flow_Name],Tab_Def_Flows[Flow_E2_Fraction'[%']],"N.A.",0,1)</f>
        <v>0</v>
      </c>
      <c r="Z354" s="2">
        <f>IF(D354="Yes",W354*Tab_Data_Flows[[#This Row],[E2_Fraction'[%']]],"N.A.")</f>
        <v>0</v>
      </c>
      <c r="AA354" s="2" t="str">
        <f>Tab_Data_Flows[[#This Row],[E1_UoM]]</f>
        <v>Mg</v>
      </c>
      <c r="AB354" s="19">
        <f>_xlfn.XLOOKUP(Tab_Data_Flows[[#This Row],[Flow_Name]],Tab_Def_Flows[Flow_Name],Tab_Def_Flows[Flow_E3_Fraction'[%']],"N.A.",0,1)</f>
        <v>0</v>
      </c>
      <c r="AC354" s="2">
        <f>IF(E354="Yes",AB354*Tab_Data_Flows[[#This Row],[E1_value]],"N.A.")</f>
        <v>0</v>
      </c>
      <c r="AD354" s="2" t="str">
        <f>Tab_Data_Flows[[#This Row],[E1_UoM]]</f>
        <v>Mg</v>
      </c>
      <c r="AE354" s="19">
        <f>_xlfn.XLOOKUP(Tab_Data_Flows[[#This Row],[Flow_Name]],Tab_Def_Flows[Flow_Name],Tab_Def_Flows[Flow_E4_Fraction'[%']],"N.A.",0,1)</f>
        <v>0</v>
      </c>
      <c r="AF354" s="2">
        <f>IF(H354="Yes",Tab_Data_Flows[[#This Row],[E4_Fraction'[%']]]*Tab_Data_Flows[[#This Row],[E1_value]],"N.A.")</f>
        <v>0</v>
      </c>
      <c r="AG354" s="2" t="str">
        <f>Tab_Data_Flows[[#This Row],[E1_UoM]]</f>
        <v>Mg</v>
      </c>
      <c r="AH354" s="2">
        <f>_xlfn.XLOOKUP(Tab_Data_Flows[[#This Row],[Flow_Name]],Tab_Def_Flows[Flow_Name],Tab_Def_Flows[Flow_E5_Fraction'[%']],"N.A.",0,1)</f>
        <v>0</v>
      </c>
      <c r="AI354" s="2">
        <f>IF(H354="Yes",Tab_Data_Flows[[#This Row],[E5_Fraction'[%']]]*Tab_Data_Flows[[#This Row],[E1_value]],"N.A.")</f>
        <v>0</v>
      </c>
      <c r="AJ354" s="2" t="str">
        <f>Tab_Data_Flows[[#This Row],[E1_UoM]]</f>
        <v>Mg</v>
      </c>
      <c r="AK354" s="19">
        <f>_xlfn.XLOOKUP(Tab_Data_Flows[[#This Row],[Flow_Name]],Tab_Def_Flows[Flow_Name],Tab_Def_Flows[Flow_E6_Fraction'[%']],"N.A.",0,1)</f>
        <v>0</v>
      </c>
      <c r="AL354" s="2">
        <f>IF(Tab_Data_Flows[[#This Row],[Use_E6]]="Yes",Tab_Data_Flows[[#This Row],[E6_Fraction'[%']]]*Tab_Data_Flows[[#This Row],[E1_value]],"N.A.")</f>
        <v>0</v>
      </c>
      <c r="AM354" s="2" t="str">
        <f>Tab_Data_Flows[[#This Row],[E1_UoM]]</f>
        <v>Mg</v>
      </c>
    </row>
    <row r="355" spans="1:39" x14ac:dyDescent="0.25">
      <c r="A355" s="4">
        <f t="shared" si="12"/>
        <v>354</v>
      </c>
      <c r="B355" s="2" t="str">
        <f>_xlfn.XLOOKUP(C355,Tab_Def_Flows[Flow_Name],Tab_Def_Flows[Flow_ID],,0,)</f>
        <v>F__</v>
      </c>
      <c r="C355" s="18" t="s">
        <v>5</v>
      </c>
      <c r="D355" s="5" t="str">
        <f>_xlfn.XLOOKUP(C355,Tab_Def_Flows[Flow_Name],Tab_Def_Flows[Use_E1],,0,)</f>
        <v>Yes</v>
      </c>
      <c r="E355" s="5" t="str">
        <f>_xlfn.XLOOKUP(C355,Tab_Def_Flows[Flow_Name],Tab_Def_Flows[Use_E2],,0,)</f>
        <v>Yes</v>
      </c>
      <c r="F355" s="5" t="str">
        <f>_xlfn.XLOOKUP(C355,Tab_Def_Flows[Flow_Name],Tab_Def_Flows[Use_E3],,0,)</f>
        <v>Yes</v>
      </c>
      <c r="G355" s="5" t="str">
        <f>_xlfn.XLOOKUP(C355,Tab_Def_Flows[Flow_Name],Tab_Def_Flows[Use_E4],,0,)</f>
        <v>Yes</v>
      </c>
      <c r="H355" s="5" t="str">
        <f>_xlfn.XLOOKUP(C355,Tab_Def_Flows[Flow_Name],Tab_Def_Flows[Use_E5],,0,)</f>
        <v>Yes</v>
      </c>
      <c r="I355" s="5" t="str">
        <f>_xlfn.XLOOKUP(C355,Tab_Def_Flows[Flow_Name],Tab_Def_Flows[Use_E6],,0,)</f>
        <v>Yes</v>
      </c>
      <c r="J355" s="3"/>
      <c r="K355" s="3"/>
      <c r="L355" s="2" t="str">
        <f>'0_Configuration'!$C$41</f>
        <v>Mg</v>
      </c>
      <c r="M355" s="9"/>
      <c r="N355" s="9"/>
      <c r="O355" s="9"/>
      <c r="P355" s="9"/>
      <c r="Q355" s="18" t="s">
        <v>3</v>
      </c>
      <c r="R355" s="10"/>
      <c r="S355" s="3"/>
      <c r="T355" s="9"/>
      <c r="U355" s="9"/>
      <c r="V355" s="2">
        <f>_xlfn.XLOOKUP(Tab_Data_Flows[[#This Row],[Flow_Name]],Tab_Def_Flows[Flow_Name],Tab_Def_Flows[Flow_E1_Fraction'[%']],"N.A.",0,1)</f>
        <v>0</v>
      </c>
      <c r="W355" s="8">
        <f t="shared" si="13"/>
        <v>0</v>
      </c>
      <c r="X355" s="2" t="str">
        <f>Tab_Data_Flows[[#This Row],[UoM_Source]]</f>
        <v>Mg</v>
      </c>
      <c r="Y355" s="19">
        <f>_xlfn.XLOOKUP(Tab_Data_Flows[[#This Row],[Flow_Name]],Tab_Def_Flows[Flow_Name],Tab_Def_Flows[Flow_E2_Fraction'[%']],"N.A.",0,1)</f>
        <v>0</v>
      </c>
      <c r="Z355" s="2">
        <f>IF(D355="Yes",W355*Tab_Data_Flows[[#This Row],[E2_Fraction'[%']]],"N.A.")</f>
        <v>0</v>
      </c>
      <c r="AA355" s="2" t="str">
        <f>Tab_Data_Flows[[#This Row],[E1_UoM]]</f>
        <v>Mg</v>
      </c>
      <c r="AB355" s="19">
        <f>_xlfn.XLOOKUP(Tab_Data_Flows[[#This Row],[Flow_Name]],Tab_Def_Flows[Flow_Name],Tab_Def_Flows[Flow_E3_Fraction'[%']],"N.A.",0,1)</f>
        <v>0</v>
      </c>
      <c r="AC355" s="2">
        <f>IF(E355="Yes",AB355*Tab_Data_Flows[[#This Row],[E1_value]],"N.A.")</f>
        <v>0</v>
      </c>
      <c r="AD355" s="2" t="str">
        <f>Tab_Data_Flows[[#This Row],[E1_UoM]]</f>
        <v>Mg</v>
      </c>
      <c r="AE355" s="19">
        <f>_xlfn.XLOOKUP(Tab_Data_Flows[[#This Row],[Flow_Name]],Tab_Def_Flows[Flow_Name],Tab_Def_Flows[Flow_E4_Fraction'[%']],"N.A.",0,1)</f>
        <v>0</v>
      </c>
      <c r="AF355" s="2">
        <f>IF(H355="Yes",Tab_Data_Flows[[#This Row],[E4_Fraction'[%']]]*Tab_Data_Flows[[#This Row],[E1_value]],"N.A.")</f>
        <v>0</v>
      </c>
      <c r="AG355" s="2" t="str">
        <f>Tab_Data_Flows[[#This Row],[E1_UoM]]</f>
        <v>Mg</v>
      </c>
      <c r="AH355" s="2">
        <f>_xlfn.XLOOKUP(Tab_Data_Flows[[#This Row],[Flow_Name]],Tab_Def_Flows[Flow_Name],Tab_Def_Flows[Flow_E5_Fraction'[%']],"N.A.",0,1)</f>
        <v>0</v>
      </c>
      <c r="AI355" s="2">
        <f>IF(H355="Yes",Tab_Data_Flows[[#This Row],[E5_Fraction'[%']]]*Tab_Data_Flows[[#This Row],[E1_value]],"N.A.")</f>
        <v>0</v>
      </c>
      <c r="AJ355" s="2" t="str">
        <f>Tab_Data_Flows[[#This Row],[E1_UoM]]</f>
        <v>Mg</v>
      </c>
      <c r="AK355" s="19">
        <f>_xlfn.XLOOKUP(Tab_Data_Flows[[#This Row],[Flow_Name]],Tab_Def_Flows[Flow_Name],Tab_Def_Flows[Flow_E6_Fraction'[%']],"N.A.",0,1)</f>
        <v>0</v>
      </c>
      <c r="AL355" s="2">
        <f>IF(Tab_Data_Flows[[#This Row],[Use_E6]]="Yes",Tab_Data_Flows[[#This Row],[E6_Fraction'[%']]]*Tab_Data_Flows[[#This Row],[E1_value]],"N.A.")</f>
        <v>0</v>
      </c>
      <c r="AM355" s="2" t="str">
        <f>Tab_Data_Flows[[#This Row],[E1_UoM]]</f>
        <v>Mg</v>
      </c>
    </row>
    <row r="356" spans="1:39" x14ac:dyDescent="0.25">
      <c r="A356" s="4">
        <f t="shared" si="12"/>
        <v>355</v>
      </c>
      <c r="B356" s="2" t="str">
        <f>_xlfn.XLOOKUP(C356,Tab_Def_Flows[Flow_Name],Tab_Def_Flows[Flow_ID],,0,)</f>
        <v>F__</v>
      </c>
      <c r="C356" s="18" t="s">
        <v>5</v>
      </c>
      <c r="D356" s="5" t="str">
        <f>_xlfn.XLOOKUP(C356,Tab_Def_Flows[Flow_Name],Tab_Def_Flows[Use_E1],,0,)</f>
        <v>Yes</v>
      </c>
      <c r="E356" s="5" t="str">
        <f>_xlfn.XLOOKUP(C356,Tab_Def_Flows[Flow_Name],Tab_Def_Flows[Use_E2],,0,)</f>
        <v>Yes</v>
      </c>
      <c r="F356" s="5" t="str">
        <f>_xlfn.XLOOKUP(C356,Tab_Def_Flows[Flow_Name],Tab_Def_Flows[Use_E3],,0,)</f>
        <v>Yes</v>
      </c>
      <c r="G356" s="5" t="str">
        <f>_xlfn.XLOOKUP(C356,Tab_Def_Flows[Flow_Name],Tab_Def_Flows[Use_E4],,0,)</f>
        <v>Yes</v>
      </c>
      <c r="H356" s="5" t="str">
        <f>_xlfn.XLOOKUP(C356,Tab_Def_Flows[Flow_Name],Tab_Def_Flows[Use_E5],,0,)</f>
        <v>Yes</v>
      </c>
      <c r="I356" s="5" t="str">
        <f>_xlfn.XLOOKUP(C356,Tab_Def_Flows[Flow_Name],Tab_Def_Flows[Use_E6],,0,)</f>
        <v>Yes</v>
      </c>
      <c r="J356" s="3"/>
      <c r="K356" s="3"/>
      <c r="L356" s="2" t="str">
        <f>'0_Configuration'!$C$41</f>
        <v>Mg</v>
      </c>
      <c r="M356" s="9"/>
      <c r="N356" s="9"/>
      <c r="O356" s="9"/>
      <c r="P356" s="9"/>
      <c r="Q356" s="18" t="s">
        <v>3</v>
      </c>
      <c r="R356" s="3"/>
      <c r="S356" s="3"/>
      <c r="T356" s="9"/>
      <c r="U356" s="9"/>
      <c r="V356" s="2">
        <f>_xlfn.XLOOKUP(Tab_Data_Flows[[#This Row],[Flow_Name]],Tab_Def_Flows[Flow_Name],Tab_Def_Flows[Flow_E1_Fraction'[%']],"N.A.",0,1)</f>
        <v>0</v>
      </c>
      <c r="W356" s="8">
        <f t="shared" si="13"/>
        <v>0</v>
      </c>
      <c r="X356" s="2" t="str">
        <f>Tab_Data_Flows[[#This Row],[UoM_Source]]</f>
        <v>Mg</v>
      </c>
      <c r="Y356" s="19">
        <f>_xlfn.XLOOKUP(Tab_Data_Flows[[#This Row],[Flow_Name]],Tab_Def_Flows[Flow_Name],Tab_Def_Flows[Flow_E2_Fraction'[%']],"N.A.",0,1)</f>
        <v>0</v>
      </c>
      <c r="Z356" s="2">
        <f>IF(D356="Yes",W356*Tab_Data_Flows[[#This Row],[E2_Fraction'[%']]],"N.A.")</f>
        <v>0</v>
      </c>
      <c r="AA356" s="2" t="str">
        <f>Tab_Data_Flows[[#This Row],[E1_UoM]]</f>
        <v>Mg</v>
      </c>
      <c r="AB356" s="19">
        <f>_xlfn.XLOOKUP(Tab_Data_Flows[[#This Row],[Flow_Name]],Tab_Def_Flows[Flow_Name],Tab_Def_Flows[Flow_E3_Fraction'[%']],"N.A.",0,1)</f>
        <v>0</v>
      </c>
      <c r="AC356" s="2">
        <f>IF(E356="Yes",AB356*Tab_Data_Flows[[#This Row],[E1_value]],"N.A.")</f>
        <v>0</v>
      </c>
      <c r="AD356" s="2" t="str">
        <f>Tab_Data_Flows[[#This Row],[E1_UoM]]</f>
        <v>Mg</v>
      </c>
      <c r="AE356" s="19">
        <f>_xlfn.XLOOKUP(Tab_Data_Flows[[#This Row],[Flow_Name]],Tab_Def_Flows[Flow_Name],Tab_Def_Flows[Flow_E4_Fraction'[%']],"N.A.",0,1)</f>
        <v>0</v>
      </c>
      <c r="AF356" s="2">
        <f>IF(H356="Yes",Tab_Data_Flows[[#This Row],[E4_Fraction'[%']]]*Tab_Data_Flows[[#This Row],[E1_value]],"N.A.")</f>
        <v>0</v>
      </c>
      <c r="AG356" s="2" t="str">
        <f>Tab_Data_Flows[[#This Row],[E1_UoM]]</f>
        <v>Mg</v>
      </c>
      <c r="AH356" s="2">
        <f>_xlfn.XLOOKUP(Tab_Data_Flows[[#This Row],[Flow_Name]],Tab_Def_Flows[Flow_Name],Tab_Def_Flows[Flow_E5_Fraction'[%']],"N.A.",0,1)</f>
        <v>0</v>
      </c>
      <c r="AI356" s="2">
        <f>IF(H356="Yes",Tab_Data_Flows[[#This Row],[E5_Fraction'[%']]]*Tab_Data_Flows[[#This Row],[E1_value]],"N.A.")</f>
        <v>0</v>
      </c>
      <c r="AJ356" s="2" t="str">
        <f>Tab_Data_Flows[[#This Row],[E1_UoM]]</f>
        <v>Mg</v>
      </c>
      <c r="AK356" s="19">
        <f>_xlfn.XLOOKUP(Tab_Data_Flows[[#This Row],[Flow_Name]],Tab_Def_Flows[Flow_Name],Tab_Def_Flows[Flow_E6_Fraction'[%']],"N.A.",0,1)</f>
        <v>0</v>
      </c>
      <c r="AL356" s="2">
        <f>IF(Tab_Data_Flows[[#This Row],[Use_E6]]="Yes",Tab_Data_Flows[[#This Row],[E6_Fraction'[%']]]*Tab_Data_Flows[[#This Row],[E1_value]],"N.A.")</f>
        <v>0</v>
      </c>
      <c r="AM356" s="2" t="str">
        <f>Tab_Data_Flows[[#This Row],[E1_UoM]]</f>
        <v>Mg</v>
      </c>
    </row>
    <row r="357" spans="1:39" x14ac:dyDescent="0.25">
      <c r="A357" s="4">
        <f t="shared" si="12"/>
        <v>356</v>
      </c>
      <c r="B357" s="2" t="str">
        <f>_xlfn.XLOOKUP(C357,Tab_Def_Flows[Flow_Name],Tab_Def_Flows[Flow_ID],,0,)</f>
        <v>F__</v>
      </c>
      <c r="C357" s="18" t="s">
        <v>5</v>
      </c>
      <c r="D357" s="5" t="str">
        <f>_xlfn.XLOOKUP(C357,Tab_Def_Flows[Flow_Name],Tab_Def_Flows[Use_E1],,0,)</f>
        <v>Yes</v>
      </c>
      <c r="E357" s="5" t="str">
        <f>_xlfn.XLOOKUP(C357,Tab_Def_Flows[Flow_Name],Tab_Def_Flows[Use_E2],,0,)</f>
        <v>Yes</v>
      </c>
      <c r="F357" s="5" t="str">
        <f>_xlfn.XLOOKUP(C357,Tab_Def_Flows[Flow_Name],Tab_Def_Flows[Use_E3],,0,)</f>
        <v>Yes</v>
      </c>
      <c r="G357" s="5" t="str">
        <f>_xlfn.XLOOKUP(C357,Tab_Def_Flows[Flow_Name],Tab_Def_Flows[Use_E4],,0,)</f>
        <v>Yes</v>
      </c>
      <c r="H357" s="5" t="str">
        <f>_xlfn.XLOOKUP(C357,Tab_Def_Flows[Flow_Name],Tab_Def_Flows[Use_E5],,0,)</f>
        <v>Yes</v>
      </c>
      <c r="I357" s="5" t="str">
        <f>_xlfn.XLOOKUP(C357,Tab_Def_Flows[Flow_Name],Tab_Def_Flows[Use_E6],,0,)</f>
        <v>Yes</v>
      </c>
      <c r="J357" s="3"/>
      <c r="K357" s="3"/>
      <c r="L357" s="2" t="str">
        <f>'0_Configuration'!$C$41</f>
        <v>Mg</v>
      </c>
      <c r="M357" s="9"/>
      <c r="N357" s="9"/>
      <c r="O357" s="9"/>
      <c r="P357" s="9"/>
      <c r="Q357" s="18" t="s">
        <v>3</v>
      </c>
      <c r="R357" s="3"/>
      <c r="S357" s="3"/>
      <c r="T357" s="9"/>
      <c r="U357" s="9"/>
      <c r="V357" s="2">
        <f>_xlfn.XLOOKUP(Tab_Data_Flows[[#This Row],[Flow_Name]],Tab_Def_Flows[Flow_Name],Tab_Def_Flows[Flow_E1_Fraction'[%']],"N.A.",0,1)</f>
        <v>0</v>
      </c>
      <c r="W357" s="8">
        <f t="shared" si="13"/>
        <v>0</v>
      </c>
      <c r="X357" s="2" t="str">
        <f>Tab_Data_Flows[[#This Row],[UoM_Source]]</f>
        <v>Mg</v>
      </c>
      <c r="Y357" s="19">
        <f>_xlfn.XLOOKUP(Tab_Data_Flows[[#This Row],[Flow_Name]],Tab_Def_Flows[Flow_Name],Tab_Def_Flows[Flow_E2_Fraction'[%']],"N.A.",0,1)</f>
        <v>0</v>
      </c>
      <c r="Z357" s="2">
        <f>IF(D357="Yes",W357*Tab_Data_Flows[[#This Row],[E2_Fraction'[%']]],"N.A.")</f>
        <v>0</v>
      </c>
      <c r="AA357" s="2" t="str">
        <f>Tab_Data_Flows[[#This Row],[E1_UoM]]</f>
        <v>Mg</v>
      </c>
      <c r="AB357" s="19">
        <f>_xlfn.XLOOKUP(Tab_Data_Flows[[#This Row],[Flow_Name]],Tab_Def_Flows[Flow_Name],Tab_Def_Flows[Flow_E3_Fraction'[%']],"N.A.",0,1)</f>
        <v>0</v>
      </c>
      <c r="AC357" s="2">
        <f>IF(E357="Yes",AB357*Tab_Data_Flows[[#This Row],[E1_value]],"N.A.")</f>
        <v>0</v>
      </c>
      <c r="AD357" s="2" t="str">
        <f>Tab_Data_Flows[[#This Row],[E1_UoM]]</f>
        <v>Mg</v>
      </c>
      <c r="AE357" s="19">
        <f>_xlfn.XLOOKUP(Tab_Data_Flows[[#This Row],[Flow_Name]],Tab_Def_Flows[Flow_Name],Tab_Def_Flows[Flow_E4_Fraction'[%']],"N.A.",0,1)</f>
        <v>0</v>
      </c>
      <c r="AF357" s="2">
        <f>IF(H357="Yes",Tab_Data_Flows[[#This Row],[E4_Fraction'[%']]]*Tab_Data_Flows[[#This Row],[E1_value]],"N.A.")</f>
        <v>0</v>
      </c>
      <c r="AG357" s="2" t="str">
        <f>Tab_Data_Flows[[#This Row],[E1_UoM]]</f>
        <v>Mg</v>
      </c>
      <c r="AH357" s="2">
        <f>_xlfn.XLOOKUP(Tab_Data_Flows[[#This Row],[Flow_Name]],Tab_Def_Flows[Flow_Name],Tab_Def_Flows[Flow_E5_Fraction'[%']],"N.A.",0,1)</f>
        <v>0</v>
      </c>
      <c r="AI357" s="2">
        <f>IF(H357="Yes",Tab_Data_Flows[[#This Row],[E5_Fraction'[%']]]*Tab_Data_Flows[[#This Row],[E1_value]],"N.A.")</f>
        <v>0</v>
      </c>
      <c r="AJ357" s="2" t="str">
        <f>Tab_Data_Flows[[#This Row],[E1_UoM]]</f>
        <v>Mg</v>
      </c>
      <c r="AK357" s="19">
        <f>_xlfn.XLOOKUP(Tab_Data_Flows[[#This Row],[Flow_Name]],Tab_Def_Flows[Flow_Name],Tab_Def_Flows[Flow_E6_Fraction'[%']],"N.A.",0,1)</f>
        <v>0</v>
      </c>
      <c r="AL357" s="2">
        <f>IF(Tab_Data_Flows[[#This Row],[Use_E6]]="Yes",Tab_Data_Flows[[#This Row],[E6_Fraction'[%']]]*Tab_Data_Flows[[#This Row],[E1_value]],"N.A.")</f>
        <v>0</v>
      </c>
      <c r="AM357" s="2" t="str">
        <f>Tab_Data_Flows[[#This Row],[E1_UoM]]</f>
        <v>Mg</v>
      </c>
    </row>
    <row r="358" spans="1:39" x14ac:dyDescent="0.25">
      <c r="A358" s="4">
        <f t="shared" si="12"/>
        <v>357</v>
      </c>
      <c r="B358" s="2" t="str">
        <f>_xlfn.XLOOKUP(C358,Tab_Def_Flows[Flow_Name],Tab_Def_Flows[Flow_ID],,0,)</f>
        <v>F__</v>
      </c>
      <c r="C358" s="18" t="s">
        <v>5</v>
      </c>
      <c r="D358" s="5" t="str">
        <f>_xlfn.XLOOKUP(C358,Tab_Def_Flows[Flow_Name],Tab_Def_Flows[Use_E1],,0,)</f>
        <v>Yes</v>
      </c>
      <c r="E358" s="5" t="str">
        <f>_xlfn.XLOOKUP(C358,Tab_Def_Flows[Flow_Name],Tab_Def_Flows[Use_E2],,0,)</f>
        <v>Yes</v>
      </c>
      <c r="F358" s="5" t="str">
        <f>_xlfn.XLOOKUP(C358,Tab_Def_Flows[Flow_Name],Tab_Def_Flows[Use_E3],,0,)</f>
        <v>Yes</v>
      </c>
      <c r="G358" s="5" t="str">
        <f>_xlfn.XLOOKUP(C358,Tab_Def_Flows[Flow_Name],Tab_Def_Flows[Use_E4],,0,)</f>
        <v>Yes</v>
      </c>
      <c r="H358" s="5" t="str">
        <f>_xlfn.XLOOKUP(C358,Tab_Def_Flows[Flow_Name],Tab_Def_Flows[Use_E5],,0,)</f>
        <v>Yes</v>
      </c>
      <c r="I358" s="5" t="str">
        <f>_xlfn.XLOOKUP(C358,Tab_Def_Flows[Flow_Name],Tab_Def_Flows[Use_E6],,0,)</f>
        <v>Yes</v>
      </c>
      <c r="J358" s="3"/>
      <c r="K358" s="3"/>
      <c r="L358" s="2" t="str">
        <f>'0_Configuration'!$C$41</f>
        <v>Mg</v>
      </c>
      <c r="M358" s="9"/>
      <c r="N358" s="9"/>
      <c r="O358" s="9"/>
      <c r="P358" s="9"/>
      <c r="Q358" s="18" t="s">
        <v>3</v>
      </c>
      <c r="R358" s="3"/>
      <c r="S358" s="3"/>
      <c r="T358" s="9"/>
      <c r="U358" s="9"/>
      <c r="V358" s="2">
        <f>_xlfn.XLOOKUP(Tab_Data_Flows[[#This Row],[Flow_Name]],Tab_Def_Flows[Flow_Name],Tab_Def_Flows[Flow_E1_Fraction'[%']],"N.A.",0,1)</f>
        <v>0</v>
      </c>
      <c r="W358" s="8">
        <f t="shared" si="13"/>
        <v>0</v>
      </c>
      <c r="X358" s="2" t="str">
        <f>Tab_Data_Flows[[#This Row],[UoM_Source]]</f>
        <v>Mg</v>
      </c>
      <c r="Y358" s="19">
        <f>_xlfn.XLOOKUP(Tab_Data_Flows[[#This Row],[Flow_Name]],Tab_Def_Flows[Flow_Name],Tab_Def_Flows[Flow_E2_Fraction'[%']],"N.A.",0,1)</f>
        <v>0</v>
      </c>
      <c r="Z358" s="2">
        <f>IF(D358="Yes",W358*Tab_Data_Flows[[#This Row],[E2_Fraction'[%']]],"N.A.")</f>
        <v>0</v>
      </c>
      <c r="AA358" s="2" t="str">
        <f>Tab_Data_Flows[[#This Row],[E1_UoM]]</f>
        <v>Mg</v>
      </c>
      <c r="AB358" s="19">
        <f>_xlfn.XLOOKUP(Tab_Data_Flows[[#This Row],[Flow_Name]],Tab_Def_Flows[Flow_Name],Tab_Def_Flows[Flow_E3_Fraction'[%']],"N.A.",0,1)</f>
        <v>0</v>
      </c>
      <c r="AC358" s="2">
        <f>IF(E358="Yes",AB358*Tab_Data_Flows[[#This Row],[E1_value]],"N.A.")</f>
        <v>0</v>
      </c>
      <c r="AD358" s="2" t="str">
        <f>Tab_Data_Flows[[#This Row],[E1_UoM]]</f>
        <v>Mg</v>
      </c>
      <c r="AE358" s="19">
        <f>_xlfn.XLOOKUP(Tab_Data_Flows[[#This Row],[Flow_Name]],Tab_Def_Flows[Flow_Name],Tab_Def_Flows[Flow_E4_Fraction'[%']],"N.A.",0,1)</f>
        <v>0</v>
      </c>
      <c r="AF358" s="2">
        <f>IF(H358="Yes",Tab_Data_Flows[[#This Row],[E4_Fraction'[%']]]*Tab_Data_Flows[[#This Row],[E1_value]],"N.A.")</f>
        <v>0</v>
      </c>
      <c r="AG358" s="2" t="str">
        <f>Tab_Data_Flows[[#This Row],[E1_UoM]]</f>
        <v>Mg</v>
      </c>
      <c r="AH358" s="2">
        <f>_xlfn.XLOOKUP(Tab_Data_Flows[[#This Row],[Flow_Name]],Tab_Def_Flows[Flow_Name],Tab_Def_Flows[Flow_E5_Fraction'[%']],"N.A.",0,1)</f>
        <v>0</v>
      </c>
      <c r="AI358" s="2">
        <f>IF(H358="Yes",Tab_Data_Flows[[#This Row],[E5_Fraction'[%']]]*Tab_Data_Flows[[#This Row],[E1_value]],"N.A.")</f>
        <v>0</v>
      </c>
      <c r="AJ358" s="2" t="str">
        <f>Tab_Data_Flows[[#This Row],[E1_UoM]]</f>
        <v>Mg</v>
      </c>
      <c r="AK358" s="19">
        <f>_xlfn.XLOOKUP(Tab_Data_Flows[[#This Row],[Flow_Name]],Tab_Def_Flows[Flow_Name],Tab_Def_Flows[Flow_E6_Fraction'[%']],"N.A.",0,1)</f>
        <v>0</v>
      </c>
      <c r="AL358" s="2">
        <f>IF(Tab_Data_Flows[[#This Row],[Use_E6]]="Yes",Tab_Data_Flows[[#This Row],[E6_Fraction'[%']]]*Tab_Data_Flows[[#This Row],[E1_value]],"N.A.")</f>
        <v>0</v>
      </c>
      <c r="AM358" s="2" t="str">
        <f>Tab_Data_Flows[[#This Row],[E1_UoM]]</f>
        <v>Mg</v>
      </c>
    </row>
    <row r="359" spans="1:39" x14ac:dyDescent="0.25">
      <c r="A359" s="4">
        <f t="shared" si="12"/>
        <v>358</v>
      </c>
      <c r="B359" s="2" t="str">
        <f>_xlfn.XLOOKUP(C359,Tab_Def_Flows[Flow_Name],Tab_Def_Flows[Flow_ID],,0,)</f>
        <v>F__</v>
      </c>
      <c r="C359" s="18" t="s">
        <v>5</v>
      </c>
      <c r="D359" s="5" t="str">
        <f>_xlfn.XLOOKUP(C359,Tab_Def_Flows[Flow_Name],Tab_Def_Flows[Use_E1],,0,)</f>
        <v>Yes</v>
      </c>
      <c r="E359" s="5" t="str">
        <f>_xlfn.XLOOKUP(C359,Tab_Def_Flows[Flow_Name],Tab_Def_Flows[Use_E2],,0,)</f>
        <v>Yes</v>
      </c>
      <c r="F359" s="5" t="str">
        <f>_xlfn.XLOOKUP(C359,Tab_Def_Flows[Flow_Name],Tab_Def_Flows[Use_E3],,0,)</f>
        <v>Yes</v>
      </c>
      <c r="G359" s="5" t="str">
        <f>_xlfn.XLOOKUP(C359,Tab_Def_Flows[Flow_Name],Tab_Def_Flows[Use_E4],,0,)</f>
        <v>Yes</v>
      </c>
      <c r="H359" s="5" t="str">
        <f>_xlfn.XLOOKUP(C359,Tab_Def_Flows[Flow_Name],Tab_Def_Flows[Use_E5],,0,)</f>
        <v>Yes</v>
      </c>
      <c r="I359" s="5" t="str">
        <f>_xlfn.XLOOKUP(C359,Tab_Def_Flows[Flow_Name],Tab_Def_Flows[Use_E6],,0,)</f>
        <v>Yes</v>
      </c>
      <c r="J359" s="3"/>
      <c r="K359" s="3"/>
      <c r="L359" s="2" t="str">
        <f>'0_Configuration'!$C$41</f>
        <v>Mg</v>
      </c>
      <c r="M359" s="9"/>
      <c r="N359" s="9"/>
      <c r="O359" s="9"/>
      <c r="P359" s="9"/>
      <c r="Q359" s="18" t="s">
        <v>3</v>
      </c>
      <c r="R359" s="3"/>
      <c r="S359" s="3"/>
      <c r="T359" s="9"/>
      <c r="U359" s="9"/>
      <c r="V359" s="2">
        <f>_xlfn.XLOOKUP(Tab_Data_Flows[[#This Row],[Flow_Name]],Tab_Def_Flows[Flow_Name],Tab_Def_Flows[Flow_E1_Fraction'[%']],"N.A.",0,1)</f>
        <v>0</v>
      </c>
      <c r="W359" s="8">
        <f t="shared" si="13"/>
        <v>0</v>
      </c>
      <c r="X359" s="2" t="str">
        <f>Tab_Data_Flows[[#This Row],[UoM_Source]]</f>
        <v>Mg</v>
      </c>
      <c r="Y359" s="19">
        <f>_xlfn.XLOOKUP(Tab_Data_Flows[[#This Row],[Flow_Name]],Tab_Def_Flows[Flow_Name],Tab_Def_Flows[Flow_E2_Fraction'[%']],"N.A.",0,1)</f>
        <v>0</v>
      </c>
      <c r="Z359" s="2">
        <f>IF(D359="Yes",W359*Tab_Data_Flows[[#This Row],[E2_Fraction'[%']]],"N.A.")</f>
        <v>0</v>
      </c>
      <c r="AA359" s="2" t="str">
        <f>Tab_Data_Flows[[#This Row],[E1_UoM]]</f>
        <v>Mg</v>
      </c>
      <c r="AB359" s="19">
        <f>_xlfn.XLOOKUP(Tab_Data_Flows[[#This Row],[Flow_Name]],Tab_Def_Flows[Flow_Name],Tab_Def_Flows[Flow_E3_Fraction'[%']],"N.A.",0,1)</f>
        <v>0</v>
      </c>
      <c r="AC359" s="2">
        <f>IF(E359="Yes",AB359*Tab_Data_Flows[[#This Row],[E1_value]],"N.A.")</f>
        <v>0</v>
      </c>
      <c r="AD359" s="2" t="str">
        <f>Tab_Data_Flows[[#This Row],[E1_UoM]]</f>
        <v>Mg</v>
      </c>
      <c r="AE359" s="19">
        <f>_xlfn.XLOOKUP(Tab_Data_Flows[[#This Row],[Flow_Name]],Tab_Def_Flows[Flow_Name],Tab_Def_Flows[Flow_E4_Fraction'[%']],"N.A.",0,1)</f>
        <v>0</v>
      </c>
      <c r="AF359" s="2">
        <f>IF(H359="Yes",Tab_Data_Flows[[#This Row],[E4_Fraction'[%']]]*Tab_Data_Flows[[#This Row],[E1_value]],"N.A.")</f>
        <v>0</v>
      </c>
      <c r="AG359" s="2" t="str">
        <f>Tab_Data_Flows[[#This Row],[E1_UoM]]</f>
        <v>Mg</v>
      </c>
      <c r="AH359" s="2">
        <f>_xlfn.XLOOKUP(Tab_Data_Flows[[#This Row],[Flow_Name]],Tab_Def_Flows[Flow_Name],Tab_Def_Flows[Flow_E5_Fraction'[%']],"N.A.",0,1)</f>
        <v>0</v>
      </c>
      <c r="AI359" s="2">
        <f>IF(H359="Yes",Tab_Data_Flows[[#This Row],[E5_Fraction'[%']]]*Tab_Data_Flows[[#This Row],[E1_value]],"N.A.")</f>
        <v>0</v>
      </c>
      <c r="AJ359" s="2" t="str">
        <f>Tab_Data_Flows[[#This Row],[E1_UoM]]</f>
        <v>Mg</v>
      </c>
      <c r="AK359" s="19">
        <f>_xlfn.XLOOKUP(Tab_Data_Flows[[#This Row],[Flow_Name]],Tab_Def_Flows[Flow_Name],Tab_Def_Flows[Flow_E6_Fraction'[%']],"N.A.",0,1)</f>
        <v>0</v>
      </c>
      <c r="AL359" s="2">
        <f>IF(Tab_Data_Flows[[#This Row],[Use_E6]]="Yes",Tab_Data_Flows[[#This Row],[E6_Fraction'[%']]]*Tab_Data_Flows[[#This Row],[E1_value]],"N.A.")</f>
        <v>0</v>
      </c>
      <c r="AM359" s="2" t="str">
        <f>Tab_Data_Flows[[#This Row],[E1_UoM]]</f>
        <v>Mg</v>
      </c>
    </row>
    <row r="360" spans="1:39" x14ac:dyDescent="0.25">
      <c r="A360" s="4">
        <f t="shared" si="12"/>
        <v>359</v>
      </c>
      <c r="B360" s="2" t="str">
        <f>_xlfn.XLOOKUP(C360,Tab_Def_Flows[Flow_Name],Tab_Def_Flows[Flow_ID],,0,)</f>
        <v>F__</v>
      </c>
      <c r="C360" s="18" t="s">
        <v>5</v>
      </c>
      <c r="D360" s="5" t="str">
        <f>_xlfn.XLOOKUP(C360,Tab_Def_Flows[Flow_Name],Tab_Def_Flows[Use_E1],,0,)</f>
        <v>Yes</v>
      </c>
      <c r="E360" s="5" t="str">
        <f>_xlfn.XLOOKUP(C360,Tab_Def_Flows[Flow_Name],Tab_Def_Flows[Use_E2],,0,)</f>
        <v>Yes</v>
      </c>
      <c r="F360" s="5" t="str">
        <f>_xlfn.XLOOKUP(C360,Tab_Def_Flows[Flow_Name],Tab_Def_Flows[Use_E3],,0,)</f>
        <v>Yes</v>
      </c>
      <c r="G360" s="5" t="str">
        <f>_xlfn.XLOOKUP(C360,Tab_Def_Flows[Flow_Name],Tab_Def_Flows[Use_E4],,0,)</f>
        <v>Yes</v>
      </c>
      <c r="H360" s="5" t="str">
        <f>_xlfn.XLOOKUP(C360,Tab_Def_Flows[Flow_Name],Tab_Def_Flows[Use_E5],,0,)</f>
        <v>Yes</v>
      </c>
      <c r="I360" s="5" t="str">
        <f>_xlfn.XLOOKUP(C360,Tab_Def_Flows[Flow_Name],Tab_Def_Flows[Use_E6],,0,)</f>
        <v>Yes</v>
      </c>
      <c r="J360" s="3"/>
      <c r="K360" s="3"/>
      <c r="L360" s="2" t="str">
        <f>'0_Configuration'!$C$41</f>
        <v>Mg</v>
      </c>
      <c r="M360" s="9"/>
      <c r="N360" s="9"/>
      <c r="O360" s="9"/>
      <c r="P360" s="9"/>
      <c r="Q360" s="18" t="s">
        <v>3</v>
      </c>
      <c r="R360" s="3"/>
      <c r="S360" s="3"/>
      <c r="T360" s="9"/>
      <c r="U360" s="9"/>
      <c r="V360" s="2">
        <f>_xlfn.XLOOKUP(Tab_Data_Flows[[#This Row],[Flow_Name]],Tab_Def_Flows[Flow_Name],Tab_Def_Flows[Flow_E1_Fraction'[%']],"N.A.",0,1)</f>
        <v>0</v>
      </c>
      <c r="W360" s="8">
        <f t="shared" si="13"/>
        <v>0</v>
      </c>
      <c r="X360" s="2" t="str">
        <f>Tab_Data_Flows[[#This Row],[UoM_Source]]</f>
        <v>Mg</v>
      </c>
      <c r="Y360" s="19">
        <f>_xlfn.XLOOKUP(Tab_Data_Flows[[#This Row],[Flow_Name]],Tab_Def_Flows[Flow_Name],Tab_Def_Flows[Flow_E2_Fraction'[%']],"N.A.",0,1)</f>
        <v>0</v>
      </c>
      <c r="Z360" s="2">
        <f>IF(D360="Yes",W360*Tab_Data_Flows[[#This Row],[E2_Fraction'[%']]],"N.A.")</f>
        <v>0</v>
      </c>
      <c r="AA360" s="2" t="str">
        <f>Tab_Data_Flows[[#This Row],[E1_UoM]]</f>
        <v>Mg</v>
      </c>
      <c r="AB360" s="19">
        <f>_xlfn.XLOOKUP(Tab_Data_Flows[[#This Row],[Flow_Name]],Tab_Def_Flows[Flow_Name],Tab_Def_Flows[Flow_E3_Fraction'[%']],"N.A.",0,1)</f>
        <v>0</v>
      </c>
      <c r="AC360" s="2">
        <f>IF(E360="Yes",AB360*Tab_Data_Flows[[#This Row],[E1_value]],"N.A.")</f>
        <v>0</v>
      </c>
      <c r="AD360" s="2" t="str">
        <f>Tab_Data_Flows[[#This Row],[E1_UoM]]</f>
        <v>Mg</v>
      </c>
      <c r="AE360" s="19">
        <f>_xlfn.XLOOKUP(Tab_Data_Flows[[#This Row],[Flow_Name]],Tab_Def_Flows[Flow_Name],Tab_Def_Flows[Flow_E4_Fraction'[%']],"N.A.",0,1)</f>
        <v>0</v>
      </c>
      <c r="AF360" s="2">
        <f>IF(H360="Yes",Tab_Data_Flows[[#This Row],[E4_Fraction'[%']]]*Tab_Data_Flows[[#This Row],[E1_value]],"N.A.")</f>
        <v>0</v>
      </c>
      <c r="AG360" s="2" t="str">
        <f>Tab_Data_Flows[[#This Row],[E1_UoM]]</f>
        <v>Mg</v>
      </c>
      <c r="AH360" s="2">
        <f>_xlfn.XLOOKUP(Tab_Data_Flows[[#This Row],[Flow_Name]],Tab_Def_Flows[Flow_Name],Tab_Def_Flows[Flow_E5_Fraction'[%']],"N.A.",0,1)</f>
        <v>0</v>
      </c>
      <c r="AI360" s="2">
        <f>IF(H360="Yes",Tab_Data_Flows[[#This Row],[E5_Fraction'[%']]]*Tab_Data_Flows[[#This Row],[E1_value]],"N.A.")</f>
        <v>0</v>
      </c>
      <c r="AJ360" s="2" t="str">
        <f>Tab_Data_Flows[[#This Row],[E1_UoM]]</f>
        <v>Mg</v>
      </c>
      <c r="AK360" s="19">
        <f>_xlfn.XLOOKUP(Tab_Data_Flows[[#This Row],[Flow_Name]],Tab_Def_Flows[Flow_Name],Tab_Def_Flows[Flow_E6_Fraction'[%']],"N.A.",0,1)</f>
        <v>0</v>
      </c>
      <c r="AL360" s="2">
        <f>IF(Tab_Data_Flows[[#This Row],[Use_E6]]="Yes",Tab_Data_Flows[[#This Row],[E6_Fraction'[%']]]*Tab_Data_Flows[[#This Row],[E1_value]],"N.A.")</f>
        <v>0</v>
      </c>
      <c r="AM360" s="2" t="str">
        <f>Tab_Data_Flows[[#This Row],[E1_UoM]]</f>
        <v>Mg</v>
      </c>
    </row>
    <row r="361" spans="1:39" x14ac:dyDescent="0.25">
      <c r="A361" s="4">
        <f t="shared" si="12"/>
        <v>360</v>
      </c>
      <c r="B361" s="2" t="str">
        <f>_xlfn.XLOOKUP(C361,Tab_Def_Flows[Flow_Name],Tab_Def_Flows[Flow_ID],,0,)</f>
        <v>F__</v>
      </c>
      <c r="C361" s="18" t="s">
        <v>5</v>
      </c>
      <c r="D361" s="5" t="str">
        <f>_xlfn.XLOOKUP(C361,Tab_Def_Flows[Flow_Name],Tab_Def_Flows[Use_E1],,0,)</f>
        <v>Yes</v>
      </c>
      <c r="E361" s="5" t="str">
        <f>_xlfn.XLOOKUP(C361,Tab_Def_Flows[Flow_Name],Tab_Def_Flows[Use_E2],,0,)</f>
        <v>Yes</v>
      </c>
      <c r="F361" s="5" t="str">
        <f>_xlfn.XLOOKUP(C361,Tab_Def_Flows[Flow_Name],Tab_Def_Flows[Use_E3],,0,)</f>
        <v>Yes</v>
      </c>
      <c r="G361" s="5" t="str">
        <f>_xlfn.XLOOKUP(C361,Tab_Def_Flows[Flow_Name],Tab_Def_Flows[Use_E4],,0,)</f>
        <v>Yes</v>
      </c>
      <c r="H361" s="5" t="str">
        <f>_xlfn.XLOOKUP(C361,Tab_Def_Flows[Flow_Name],Tab_Def_Flows[Use_E5],,0,)</f>
        <v>Yes</v>
      </c>
      <c r="I361" s="5" t="str">
        <f>_xlfn.XLOOKUP(C361,Tab_Def_Flows[Flow_Name],Tab_Def_Flows[Use_E6],,0,)</f>
        <v>Yes</v>
      </c>
      <c r="J361" s="3"/>
      <c r="K361" s="3"/>
      <c r="L361" s="2" t="str">
        <f>'0_Configuration'!$C$41</f>
        <v>Mg</v>
      </c>
      <c r="M361" s="9"/>
      <c r="N361" s="9"/>
      <c r="O361" s="9"/>
      <c r="P361" s="9"/>
      <c r="Q361" s="18" t="s">
        <v>3</v>
      </c>
      <c r="R361" s="3"/>
      <c r="S361" s="3"/>
      <c r="T361" s="9"/>
      <c r="U361" s="9"/>
      <c r="V361" s="2">
        <f>_xlfn.XLOOKUP(Tab_Data_Flows[[#This Row],[Flow_Name]],Tab_Def_Flows[Flow_Name],Tab_Def_Flows[Flow_E1_Fraction'[%']],"N.A.",0,1)</f>
        <v>0</v>
      </c>
      <c r="W361" s="8">
        <f t="shared" si="13"/>
        <v>0</v>
      </c>
      <c r="X361" s="2" t="str">
        <f>Tab_Data_Flows[[#This Row],[UoM_Source]]</f>
        <v>Mg</v>
      </c>
      <c r="Y361" s="19">
        <f>_xlfn.XLOOKUP(Tab_Data_Flows[[#This Row],[Flow_Name]],Tab_Def_Flows[Flow_Name],Tab_Def_Flows[Flow_E2_Fraction'[%']],"N.A.",0,1)</f>
        <v>0</v>
      </c>
      <c r="Z361" s="2">
        <f>IF(D361="Yes",W361*Tab_Data_Flows[[#This Row],[E2_Fraction'[%']]],"N.A.")</f>
        <v>0</v>
      </c>
      <c r="AA361" s="2" t="str">
        <f>Tab_Data_Flows[[#This Row],[E1_UoM]]</f>
        <v>Mg</v>
      </c>
      <c r="AB361" s="19">
        <f>_xlfn.XLOOKUP(Tab_Data_Flows[[#This Row],[Flow_Name]],Tab_Def_Flows[Flow_Name],Tab_Def_Flows[Flow_E3_Fraction'[%']],"N.A.",0,1)</f>
        <v>0</v>
      </c>
      <c r="AC361" s="2">
        <f>IF(E361="Yes",AB361*Tab_Data_Flows[[#This Row],[E1_value]],"N.A.")</f>
        <v>0</v>
      </c>
      <c r="AD361" s="2" t="str">
        <f>Tab_Data_Flows[[#This Row],[E1_UoM]]</f>
        <v>Mg</v>
      </c>
      <c r="AE361" s="19">
        <f>_xlfn.XLOOKUP(Tab_Data_Flows[[#This Row],[Flow_Name]],Tab_Def_Flows[Flow_Name],Tab_Def_Flows[Flow_E4_Fraction'[%']],"N.A.",0,1)</f>
        <v>0</v>
      </c>
      <c r="AF361" s="2">
        <f>IF(H361="Yes",Tab_Data_Flows[[#This Row],[E4_Fraction'[%']]]*Tab_Data_Flows[[#This Row],[E1_value]],"N.A.")</f>
        <v>0</v>
      </c>
      <c r="AG361" s="2" t="str">
        <f>Tab_Data_Flows[[#This Row],[E1_UoM]]</f>
        <v>Mg</v>
      </c>
      <c r="AH361" s="2">
        <f>_xlfn.XLOOKUP(Tab_Data_Flows[[#This Row],[Flow_Name]],Tab_Def_Flows[Flow_Name],Tab_Def_Flows[Flow_E5_Fraction'[%']],"N.A.",0,1)</f>
        <v>0</v>
      </c>
      <c r="AI361" s="2">
        <f>IF(H361="Yes",Tab_Data_Flows[[#This Row],[E5_Fraction'[%']]]*Tab_Data_Flows[[#This Row],[E1_value]],"N.A.")</f>
        <v>0</v>
      </c>
      <c r="AJ361" s="2" t="str">
        <f>Tab_Data_Flows[[#This Row],[E1_UoM]]</f>
        <v>Mg</v>
      </c>
      <c r="AK361" s="19">
        <f>_xlfn.XLOOKUP(Tab_Data_Flows[[#This Row],[Flow_Name]],Tab_Def_Flows[Flow_Name],Tab_Def_Flows[Flow_E6_Fraction'[%']],"N.A.",0,1)</f>
        <v>0</v>
      </c>
      <c r="AL361" s="2">
        <f>IF(Tab_Data_Flows[[#This Row],[Use_E6]]="Yes",Tab_Data_Flows[[#This Row],[E6_Fraction'[%']]]*Tab_Data_Flows[[#This Row],[E1_value]],"N.A.")</f>
        <v>0</v>
      </c>
      <c r="AM361" s="2" t="str">
        <f>Tab_Data_Flows[[#This Row],[E1_UoM]]</f>
        <v>Mg</v>
      </c>
    </row>
    <row r="362" spans="1:39" x14ac:dyDescent="0.25">
      <c r="A362" s="4">
        <f t="shared" si="12"/>
        <v>361</v>
      </c>
      <c r="B362" s="2" t="str">
        <f>_xlfn.XLOOKUP(C362,Tab_Def_Flows[Flow_Name],Tab_Def_Flows[Flow_ID],,0,)</f>
        <v>F__</v>
      </c>
      <c r="C362" s="18" t="s">
        <v>5</v>
      </c>
      <c r="D362" s="5" t="str">
        <f>_xlfn.XLOOKUP(C362,Tab_Def_Flows[Flow_Name],Tab_Def_Flows[Use_E1],,0,)</f>
        <v>Yes</v>
      </c>
      <c r="E362" s="5" t="str">
        <f>_xlfn.XLOOKUP(C362,Tab_Def_Flows[Flow_Name],Tab_Def_Flows[Use_E2],,0,)</f>
        <v>Yes</v>
      </c>
      <c r="F362" s="5" t="str">
        <f>_xlfn.XLOOKUP(C362,Tab_Def_Flows[Flow_Name],Tab_Def_Flows[Use_E3],,0,)</f>
        <v>Yes</v>
      </c>
      <c r="G362" s="5" t="str">
        <f>_xlfn.XLOOKUP(C362,Tab_Def_Flows[Flow_Name],Tab_Def_Flows[Use_E4],,0,)</f>
        <v>Yes</v>
      </c>
      <c r="H362" s="5" t="str">
        <f>_xlfn.XLOOKUP(C362,Tab_Def_Flows[Flow_Name],Tab_Def_Flows[Use_E5],,0,)</f>
        <v>Yes</v>
      </c>
      <c r="I362" s="5" t="str">
        <f>_xlfn.XLOOKUP(C362,Tab_Def_Flows[Flow_Name],Tab_Def_Flows[Use_E6],,0,)</f>
        <v>Yes</v>
      </c>
      <c r="J362" s="3"/>
      <c r="K362" s="3"/>
      <c r="L362" s="2" t="str">
        <f>'0_Configuration'!$C$41</f>
        <v>Mg</v>
      </c>
      <c r="M362" s="9"/>
      <c r="N362" s="9"/>
      <c r="O362" s="9"/>
      <c r="P362" s="9"/>
      <c r="Q362" s="18" t="s">
        <v>3</v>
      </c>
      <c r="R362" s="3"/>
      <c r="S362" s="3"/>
      <c r="T362" s="9"/>
      <c r="U362" s="9"/>
      <c r="V362" s="2">
        <f>_xlfn.XLOOKUP(Tab_Data_Flows[[#This Row],[Flow_Name]],Tab_Def_Flows[Flow_Name],Tab_Def_Flows[Flow_E1_Fraction'[%']],"N.A.",0,1)</f>
        <v>0</v>
      </c>
      <c r="W362" s="8">
        <f t="shared" si="13"/>
        <v>0</v>
      </c>
      <c r="X362" s="2" t="str">
        <f>Tab_Data_Flows[[#This Row],[UoM_Source]]</f>
        <v>Mg</v>
      </c>
      <c r="Y362" s="19">
        <f>_xlfn.XLOOKUP(Tab_Data_Flows[[#This Row],[Flow_Name]],Tab_Def_Flows[Flow_Name],Tab_Def_Flows[Flow_E2_Fraction'[%']],"N.A.",0,1)</f>
        <v>0</v>
      </c>
      <c r="Z362" s="2">
        <f>IF(D362="Yes",W362*Tab_Data_Flows[[#This Row],[E2_Fraction'[%']]],"N.A.")</f>
        <v>0</v>
      </c>
      <c r="AA362" s="2" t="str">
        <f>Tab_Data_Flows[[#This Row],[E1_UoM]]</f>
        <v>Mg</v>
      </c>
      <c r="AB362" s="19">
        <f>_xlfn.XLOOKUP(Tab_Data_Flows[[#This Row],[Flow_Name]],Tab_Def_Flows[Flow_Name],Tab_Def_Flows[Flow_E3_Fraction'[%']],"N.A.",0,1)</f>
        <v>0</v>
      </c>
      <c r="AC362" s="2">
        <f>IF(E362="Yes",AB362*Tab_Data_Flows[[#This Row],[E1_value]],"N.A.")</f>
        <v>0</v>
      </c>
      <c r="AD362" s="2" t="str">
        <f>Tab_Data_Flows[[#This Row],[E1_UoM]]</f>
        <v>Mg</v>
      </c>
      <c r="AE362" s="19">
        <f>_xlfn.XLOOKUP(Tab_Data_Flows[[#This Row],[Flow_Name]],Tab_Def_Flows[Flow_Name],Tab_Def_Flows[Flow_E4_Fraction'[%']],"N.A.",0,1)</f>
        <v>0</v>
      </c>
      <c r="AF362" s="2">
        <f>IF(H362="Yes",Tab_Data_Flows[[#This Row],[E4_Fraction'[%']]]*Tab_Data_Flows[[#This Row],[E1_value]],"N.A.")</f>
        <v>0</v>
      </c>
      <c r="AG362" s="2" t="str">
        <f>Tab_Data_Flows[[#This Row],[E1_UoM]]</f>
        <v>Mg</v>
      </c>
      <c r="AH362" s="2">
        <f>_xlfn.XLOOKUP(Tab_Data_Flows[[#This Row],[Flow_Name]],Tab_Def_Flows[Flow_Name],Tab_Def_Flows[Flow_E5_Fraction'[%']],"N.A.",0,1)</f>
        <v>0</v>
      </c>
      <c r="AI362" s="2">
        <f>IF(H362="Yes",Tab_Data_Flows[[#This Row],[E5_Fraction'[%']]]*Tab_Data_Flows[[#This Row],[E1_value]],"N.A.")</f>
        <v>0</v>
      </c>
      <c r="AJ362" s="2" t="str">
        <f>Tab_Data_Flows[[#This Row],[E1_UoM]]</f>
        <v>Mg</v>
      </c>
      <c r="AK362" s="19">
        <f>_xlfn.XLOOKUP(Tab_Data_Flows[[#This Row],[Flow_Name]],Tab_Def_Flows[Flow_Name],Tab_Def_Flows[Flow_E6_Fraction'[%']],"N.A.",0,1)</f>
        <v>0</v>
      </c>
      <c r="AL362" s="2">
        <f>IF(Tab_Data_Flows[[#This Row],[Use_E6]]="Yes",Tab_Data_Flows[[#This Row],[E6_Fraction'[%']]]*Tab_Data_Flows[[#This Row],[E1_value]],"N.A.")</f>
        <v>0</v>
      </c>
      <c r="AM362" s="2" t="str">
        <f>Tab_Data_Flows[[#This Row],[E1_UoM]]</f>
        <v>Mg</v>
      </c>
    </row>
    <row r="363" spans="1:39" x14ac:dyDescent="0.25">
      <c r="A363" s="4">
        <f t="shared" si="12"/>
        <v>362</v>
      </c>
      <c r="B363" s="2" t="str">
        <f>_xlfn.XLOOKUP(C363,Tab_Def_Flows[Flow_Name],Tab_Def_Flows[Flow_ID],,0,)</f>
        <v>F__</v>
      </c>
      <c r="C363" s="18" t="s">
        <v>5</v>
      </c>
      <c r="D363" s="5" t="str">
        <f>_xlfn.XLOOKUP(C363,Tab_Def_Flows[Flow_Name],Tab_Def_Flows[Use_E1],,0,)</f>
        <v>Yes</v>
      </c>
      <c r="E363" s="5" t="str">
        <f>_xlfn.XLOOKUP(C363,Tab_Def_Flows[Flow_Name],Tab_Def_Flows[Use_E2],,0,)</f>
        <v>Yes</v>
      </c>
      <c r="F363" s="5" t="str">
        <f>_xlfn.XLOOKUP(C363,Tab_Def_Flows[Flow_Name],Tab_Def_Flows[Use_E3],,0,)</f>
        <v>Yes</v>
      </c>
      <c r="G363" s="5" t="str">
        <f>_xlfn.XLOOKUP(C363,Tab_Def_Flows[Flow_Name],Tab_Def_Flows[Use_E4],,0,)</f>
        <v>Yes</v>
      </c>
      <c r="H363" s="5" t="str">
        <f>_xlfn.XLOOKUP(C363,Tab_Def_Flows[Flow_Name],Tab_Def_Flows[Use_E5],,0,)</f>
        <v>Yes</v>
      </c>
      <c r="I363" s="5" t="str">
        <f>_xlfn.XLOOKUP(C363,Tab_Def_Flows[Flow_Name],Tab_Def_Flows[Use_E6],,0,)</f>
        <v>Yes</v>
      </c>
      <c r="J363" s="3"/>
      <c r="K363" s="3"/>
      <c r="L363" s="2" t="str">
        <f>'0_Configuration'!$C$41</f>
        <v>Mg</v>
      </c>
      <c r="M363" s="9"/>
      <c r="N363" s="9"/>
      <c r="O363" s="9"/>
      <c r="P363" s="9"/>
      <c r="Q363" s="18" t="s">
        <v>3</v>
      </c>
      <c r="R363" s="3"/>
      <c r="S363" s="3"/>
      <c r="T363" s="9"/>
      <c r="U363" s="9"/>
      <c r="V363" s="2">
        <f>_xlfn.XLOOKUP(Tab_Data_Flows[[#This Row],[Flow_Name]],Tab_Def_Flows[Flow_Name],Tab_Def_Flows[Flow_E1_Fraction'[%']],"N.A.",0,1)</f>
        <v>0</v>
      </c>
      <c r="W363" s="8">
        <f t="shared" si="13"/>
        <v>0</v>
      </c>
      <c r="X363" s="2" t="str">
        <f>Tab_Data_Flows[[#This Row],[UoM_Source]]</f>
        <v>Mg</v>
      </c>
      <c r="Y363" s="19">
        <f>_xlfn.XLOOKUP(Tab_Data_Flows[[#This Row],[Flow_Name]],Tab_Def_Flows[Flow_Name],Tab_Def_Flows[Flow_E2_Fraction'[%']],"N.A.",0,1)</f>
        <v>0</v>
      </c>
      <c r="Z363" s="2">
        <f>IF(D363="Yes",W363*Tab_Data_Flows[[#This Row],[E2_Fraction'[%']]],"N.A.")</f>
        <v>0</v>
      </c>
      <c r="AA363" s="2" t="str">
        <f>Tab_Data_Flows[[#This Row],[E1_UoM]]</f>
        <v>Mg</v>
      </c>
      <c r="AB363" s="19">
        <f>_xlfn.XLOOKUP(Tab_Data_Flows[[#This Row],[Flow_Name]],Tab_Def_Flows[Flow_Name],Tab_Def_Flows[Flow_E3_Fraction'[%']],"N.A.",0,1)</f>
        <v>0</v>
      </c>
      <c r="AC363" s="2">
        <f>IF(E363="Yes",AB363*Tab_Data_Flows[[#This Row],[E1_value]],"N.A.")</f>
        <v>0</v>
      </c>
      <c r="AD363" s="2" t="str">
        <f>Tab_Data_Flows[[#This Row],[E1_UoM]]</f>
        <v>Mg</v>
      </c>
      <c r="AE363" s="19">
        <f>_xlfn.XLOOKUP(Tab_Data_Flows[[#This Row],[Flow_Name]],Tab_Def_Flows[Flow_Name],Tab_Def_Flows[Flow_E4_Fraction'[%']],"N.A.",0,1)</f>
        <v>0</v>
      </c>
      <c r="AF363" s="2">
        <f>IF(H363="Yes",Tab_Data_Flows[[#This Row],[E4_Fraction'[%']]]*Tab_Data_Flows[[#This Row],[E1_value]],"N.A.")</f>
        <v>0</v>
      </c>
      <c r="AG363" s="2" t="str">
        <f>Tab_Data_Flows[[#This Row],[E1_UoM]]</f>
        <v>Mg</v>
      </c>
      <c r="AH363" s="2">
        <f>_xlfn.XLOOKUP(Tab_Data_Flows[[#This Row],[Flow_Name]],Tab_Def_Flows[Flow_Name],Tab_Def_Flows[Flow_E5_Fraction'[%']],"N.A.",0,1)</f>
        <v>0</v>
      </c>
      <c r="AI363" s="2">
        <f>IF(H363="Yes",Tab_Data_Flows[[#This Row],[E5_Fraction'[%']]]*Tab_Data_Flows[[#This Row],[E1_value]],"N.A.")</f>
        <v>0</v>
      </c>
      <c r="AJ363" s="2" t="str">
        <f>Tab_Data_Flows[[#This Row],[E1_UoM]]</f>
        <v>Mg</v>
      </c>
      <c r="AK363" s="19">
        <f>_xlfn.XLOOKUP(Tab_Data_Flows[[#This Row],[Flow_Name]],Tab_Def_Flows[Flow_Name],Tab_Def_Flows[Flow_E6_Fraction'[%']],"N.A.",0,1)</f>
        <v>0</v>
      </c>
      <c r="AL363" s="2">
        <f>IF(Tab_Data_Flows[[#This Row],[Use_E6]]="Yes",Tab_Data_Flows[[#This Row],[E6_Fraction'[%']]]*Tab_Data_Flows[[#This Row],[E1_value]],"N.A.")</f>
        <v>0</v>
      </c>
      <c r="AM363" s="2" t="str">
        <f>Tab_Data_Flows[[#This Row],[E1_UoM]]</f>
        <v>Mg</v>
      </c>
    </row>
    <row r="364" spans="1:39" x14ac:dyDescent="0.25">
      <c r="A364" s="4">
        <f t="shared" si="12"/>
        <v>363</v>
      </c>
      <c r="B364" s="2" t="str">
        <f>_xlfn.XLOOKUP(C364,Tab_Def_Flows[Flow_Name],Tab_Def_Flows[Flow_ID],,0,)</f>
        <v>F__</v>
      </c>
      <c r="C364" s="18" t="s">
        <v>5</v>
      </c>
      <c r="D364" s="5" t="str">
        <f>_xlfn.XLOOKUP(C364,Tab_Def_Flows[Flow_Name],Tab_Def_Flows[Use_E1],,0,)</f>
        <v>Yes</v>
      </c>
      <c r="E364" s="5" t="str">
        <f>_xlfn.XLOOKUP(C364,Tab_Def_Flows[Flow_Name],Tab_Def_Flows[Use_E2],,0,)</f>
        <v>Yes</v>
      </c>
      <c r="F364" s="5" t="str">
        <f>_xlfn.XLOOKUP(C364,Tab_Def_Flows[Flow_Name],Tab_Def_Flows[Use_E3],,0,)</f>
        <v>Yes</v>
      </c>
      <c r="G364" s="5" t="str">
        <f>_xlfn.XLOOKUP(C364,Tab_Def_Flows[Flow_Name],Tab_Def_Flows[Use_E4],,0,)</f>
        <v>Yes</v>
      </c>
      <c r="H364" s="5" t="str">
        <f>_xlfn.XLOOKUP(C364,Tab_Def_Flows[Flow_Name],Tab_Def_Flows[Use_E5],,0,)</f>
        <v>Yes</v>
      </c>
      <c r="I364" s="5" t="str">
        <f>_xlfn.XLOOKUP(C364,Tab_Def_Flows[Flow_Name],Tab_Def_Flows[Use_E6],,0,)</f>
        <v>Yes</v>
      </c>
      <c r="J364" s="3"/>
      <c r="K364" s="3"/>
      <c r="L364" s="2" t="str">
        <f>'0_Configuration'!$C$41</f>
        <v>Mg</v>
      </c>
      <c r="M364" s="9"/>
      <c r="N364" s="9"/>
      <c r="O364" s="9"/>
      <c r="P364" s="9"/>
      <c r="Q364" s="18" t="s">
        <v>3</v>
      </c>
      <c r="R364" s="3"/>
      <c r="S364" s="3"/>
      <c r="T364" s="9"/>
      <c r="U364" s="9"/>
      <c r="V364" s="2">
        <f>_xlfn.XLOOKUP(Tab_Data_Flows[[#This Row],[Flow_Name]],Tab_Def_Flows[Flow_Name],Tab_Def_Flows[Flow_E1_Fraction'[%']],"N.A.",0,1)</f>
        <v>0</v>
      </c>
      <c r="W364" s="8">
        <f t="shared" si="13"/>
        <v>0</v>
      </c>
      <c r="X364" s="2" t="str">
        <f>Tab_Data_Flows[[#This Row],[UoM_Source]]</f>
        <v>Mg</v>
      </c>
      <c r="Y364" s="19">
        <f>_xlfn.XLOOKUP(Tab_Data_Flows[[#This Row],[Flow_Name]],Tab_Def_Flows[Flow_Name],Tab_Def_Flows[Flow_E2_Fraction'[%']],"N.A.",0,1)</f>
        <v>0</v>
      </c>
      <c r="Z364" s="2">
        <f>IF(D364="Yes",W364*Tab_Data_Flows[[#This Row],[E2_Fraction'[%']]],"N.A.")</f>
        <v>0</v>
      </c>
      <c r="AA364" s="2" t="str">
        <f>Tab_Data_Flows[[#This Row],[E1_UoM]]</f>
        <v>Mg</v>
      </c>
      <c r="AB364" s="19">
        <f>_xlfn.XLOOKUP(Tab_Data_Flows[[#This Row],[Flow_Name]],Tab_Def_Flows[Flow_Name],Tab_Def_Flows[Flow_E3_Fraction'[%']],"N.A.",0,1)</f>
        <v>0</v>
      </c>
      <c r="AC364" s="2">
        <f>IF(E364="Yes",AB364*Tab_Data_Flows[[#This Row],[E1_value]],"N.A.")</f>
        <v>0</v>
      </c>
      <c r="AD364" s="2" t="str">
        <f>Tab_Data_Flows[[#This Row],[E1_UoM]]</f>
        <v>Mg</v>
      </c>
      <c r="AE364" s="19">
        <f>_xlfn.XLOOKUP(Tab_Data_Flows[[#This Row],[Flow_Name]],Tab_Def_Flows[Flow_Name],Tab_Def_Flows[Flow_E4_Fraction'[%']],"N.A.",0,1)</f>
        <v>0</v>
      </c>
      <c r="AF364" s="2">
        <f>IF(H364="Yes",Tab_Data_Flows[[#This Row],[E4_Fraction'[%']]]*Tab_Data_Flows[[#This Row],[E1_value]],"N.A.")</f>
        <v>0</v>
      </c>
      <c r="AG364" s="2" t="str">
        <f>Tab_Data_Flows[[#This Row],[E1_UoM]]</f>
        <v>Mg</v>
      </c>
      <c r="AH364" s="2">
        <f>_xlfn.XLOOKUP(Tab_Data_Flows[[#This Row],[Flow_Name]],Tab_Def_Flows[Flow_Name],Tab_Def_Flows[Flow_E5_Fraction'[%']],"N.A.",0,1)</f>
        <v>0</v>
      </c>
      <c r="AI364" s="2">
        <f>IF(H364="Yes",Tab_Data_Flows[[#This Row],[E5_Fraction'[%']]]*Tab_Data_Flows[[#This Row],[E1_value]],"N.A.")</f>
        <v>0</v>
      </c>
      <c r="AJ364" s="2" t="str">
        <f>Tab_Data_Flows[[#This Row],[E1_UoM]]</f>
        <v>Mg</v>
      </c>
      <c r="AK364" s="19">
        <f>_xlfn.XLOOKUP(Tab_Data_Flows[[#This Row],[Flow_Name]],Tab_Def_Flows[Flow_Name],Tab_Def_Flows[Flow_E6_Fraction'[%']],"N.A.",0,1)</f>
        <v>0</v>
      </c>
      <c r="AL364" s="2">
        <f>IF(Tab_Data_Flows[[#This Row],[Use_E6]]="Yes",Tab_Data_Flows[[#This Row],[E6_Fraction'[%']]]*Tab_Data_Flows[[#This Row],[E1_value]],"N.A.")</f>
        <v>0</v>
      </c>
      <c r="AM364" s="2" t="str">
        <f>Tab_Data_Flows[[#This Row],[E1_UoM]]</f>
        <v>Mg</v>
      </c>
    </row>
    <row r="365" spans="1:39" x14ac:dyDescent="0.25">
      <c r="A365" s="4">
        <f t="shared" si="12"/>
        <v>364</v>
      </c>
      <c r="B365" s="2" t="str">
        <f>_xlfn.XLOOKUP(C365,Tab_Def_Flows[Flow_Name],Tab_Def_Flows[Flow_ID],,0,)</f>
        <v>F__</v>
      </c>
      <c r="C365" s="18" t="s">
        <v>5</v>
      </c>
      <c r="D365" s="5" t="str">
        <f>_xlfn.XLOOKUP(C365,Tab_Def_Flows[Flow_Name],Tab_Def_Flows[Use_E1],,0,)</f>
        <v>Yes</v>
      </c>
      <c r="E365" s="5" t="str">
        <f>_xlfn.XLOOKUP(C365,Tab_Def_Flows[Flow_Name],Tab_Def_Flows[Use_E2],,0,)</f>
        <v>Yes</v>
      </c>
      <c r="F365" s="5" t="str">
        <f>_xlfn.XLOOKUP(C365,Tab_Def_Flows[Flow_Name],Tab_Def_Flows[Use_E3],,0,)</f>
        <v>Yes</v>
      </c>
      <c r="G365" s="5" t="str">
        <f>_xlfn.XLOOKUP(C365,Tab_Def_Flows[Flow_Name],Tab_Def_Flows[Use_E4],,0,)</f>
        <v>Yes</v>
      </c>
      <c r="H365" s="5" t="str">
        <f>_xlfn.XLOOKUP(C365,Tab_Def_Flows[Flow_Name],Tab_Def_Flows[Use_E5],,0,)</f>
        <v>Yes</v>
      </c>
      <c r="I365" s="5" t="str">
        <f>_xlfn.XLOOKUP(C365,Tab_Def_Flows[Flow_Name],Tab_Def_Flows[Use_E6],,0,)</f>
        <v>Yes</v>
      </c>
      <c r="J365" s="3"/>
      <c r="K365" s="3"/>
      <c r="L365" s="2" t="str">
        <f>'0_Configuration'!$C$41</f>
        <v>Mg</v>
      </c>
      <c r="M365" s="9"/>
      <c r="N365" s="9"/>
      <c r="O365" s="9"/>
      <c r="P365" s="9"/>
      <c r="Q365" s="18" t="s">
        <v>3</v>
      </c>
      <c r="R365" s="3"/>
      <c r="S365" s="3"/>
      <c r="T365" s="9"/>
      <c r="U365" s="9"/>
      <c r="V365" s="2">
        <f>_xlfn.XLOOKUP(Tab_Data_Flows[[#This Row],[Flow_Name]],Tab_Def_Flows[Flow_Name],Tab_Def_Flows[Flow_E1_Fraction'[%']],"N.A.",0,1)</f>
        <v>0</v>
      </c>
      <c r="W365" s="8">
        <f t="shared" si="13"/>
        <v>0</v>
      </c>
      <c r="X365" s="2" t="str">
        <f>Tab_Data_Flows[[#This Row],[UoM_Source]]</f>
        <v>Mg</v>
      </c>
      <c r="Y365" s="19">
        <f>_xlfn.XLOOKUP(Tab_Data_Flows[[#This Row],[Flow_Name]],Tab_Def_Flows[Flow_Name],Tab_Def_Flows[Flow_E2_Fraction'[%']],"N.A.",0,1)</f>
        <v>0</v>
      </c>
      <c r="Z365" s="2">
        <f>IF(D365="Yes",W365*Tab_Data_Flows[[#This Row],[E2_Fraction'[%']]],"N.A.")</f>
        <v>0</v>
      </c>
      <c r="AA365" s="2" t="str">
        <f>Tab_Data_Flows[[#This Row],[E1_UoM]]</f>
        <v>Mg</v>
      </c>
      <c r="AB365" s="19">
        <f>_xlfn.XLOOKUP(Tab_Data_Flows[[#This Row],[Flow_Name]],Tab_Def_Flows[Flow_Name],Tab_Def_Flows[Flow_E3_Fraction'[%']],"N.A.",0,1)</f>
        <v>0</v>
      </c>
      <c r="AC365" s="2">
        <f>IF(E365="Yes",AB365*Tab_Data_Flows[[#This Row],[E1_value]],"N.A.")</f>
        <v>0</v>
      </c>
      <c r="AD365" s="2" t="str">
        <f>Tab_Data_Flows[[#This Row],[E1_UoM]]</f>
        <v>Mg</v>
      </c>
      <c r="AE365" s="19">
        <f>_xlfn.XLOOKUP(Tab_Data_Flows[[#This Row],[Flow_Name]],Tab_Def_Flows[Flow_Name],Tab_Def_Flows[Flow_E4_Fraction'[%']],"N.A.",0,1)</f>
        <v>0</v>
      </c>
      <c r="AF365" s="2">
        <f>IF(H365="Yes",Tab_Data_Flows[[#This Row],[E4_Fraction'[%']]]*Tab_Data_Flows[[#This Row],[E1_value]],"N.A.")</f>
        <v>0</v>
      </c>
      <c r="AG365" s="2" t="str">
        <f>Tab_Data_Flows[[#This Row],[E1_UoM]]</f>
        <v>Mg</v>
      </c>
      <c r="AH365" s="2">
        <f>_xlfn.XLOOKUP(Tab_Data_Flows[[#This Row],[Flow_Name]],Tab_Def_Flows[Flow_Name],Tab_Def_Flows[Flow_E5_Fraction'[%']],"N.A.",0,1)</f>
        <v>0</v>
      </c>
      <c r="AI365" s="2">
        <f>IF(H365="Yes",Tab_Data_Flows[[#This Row],[E5_Fraction'[%']]]*Tab_Data_Flows[[#This Row],[E1_value]],"N.A.")</f>
        <v>0</v>
      </c>
      <c r="AJ365" s="2" t="str">
        <f>Tab_Data_Flows[[#This Row],[E1_UoM]]</f>
        <v>Mg</v>
      </c>
      <c r="AK365" s="19">
        <f>_xlfn.XLOOKUP(Tab_Data_Flows[[#This Row],[Flow_Name]],Tab_Def_Flows[Flow_Name],Tab_Def_Flows[Flow_E6_Fraction'[%']],"N.A.",0,1)</f>
        <v>0</v>
      </c>
      <c r="AL365" s="2">
        <f>IF(Tab_Data_Flows[[#This Row],[Use_E6]]="Yes",Tab_Data_Flows[[#This Row],[E6_Fraction'[%']]]*Tab_Data_Flows[[#This Row],[E1_value]],"N.A.")</f>
        <v>0</v>
      </c>
      <c r="AM365" s="2" t="str">
        <f>Tab_Data_Flows[[#This Row],[E1_UoM]]</f>
        <v>Mg</v>
      </c>
    </row>
    <row r="366" spans="1:39" x14ac:dyDescent="0.25">
      <c r="A366" s="4">
        <f t="shared" si="12"/>
        <v>365</v>
      </c>
      <c r="B366" s="2" t="str">
        <f>_xlfn.XLOOKUP(C366,Tab_Def_Flows[Flow_Name],Tab_Def_Flows[Flow_ID],,0,)</f>
        <v>F__</v>
      </c>
      <c r="C366" s="18" t="s">
        <v>5</v>
      </c>
      <c r="D366" s="5" t="str">
        <f>_xlfn.XLOOKUP(C366,Tab_Def_Flows[Flow_Name],Tab_Def_Flows[Use_E1],,0,)</f>
        <v>Yes</v>
      </c>
      <c r="E366" s="5" t="str">
        <f>_xlfn.XLOOKUP(C366,Tab_Def_Flows[Flow_Name],Tab_Def_Flows[Use_E2],,0,)</f>
        <v>Yes</v>
      </c>
      <c r="F366" s="5" t="str">
        <f>_xlfn.XLOOKUP(C366,Tab_Def_Flows[Flow_Name],Tab_Def_Flows[Use_E3],,0,)</f>
        <v>Yes</v>
      </c>
      <c r="G366" s="5" t="str">
        <f>_xlfn.XLOOKUP(C366,Tab_Def_Flows[Flow_Name],Tab_Def_Flows[Use_E4],,0,)</f>
        <v>Yes</v>
      </c>
      <c r="H366" s="5" t="str">
        <f>_xlfn.XLOOKUP(C366,Tab_Def_Flows[Flow_Name],Tab_Def_Flows[Use_E5],,0,)</f>
        <v>Yes</v>
      </c>
      <c r="I366" s="5" t="str">
        <f>_xlfn.XLOOKUP(C366,Tab_Def_Flows[Flow_Name],Tab_Def_Flows[Use_E6],,0,)</f>
        <v>Yes</v>
      </c>
      <c r="J366" s="3"/>
      <c r="K366" s="3"/>
      <c r="L366" s="2" t="str">
        <f>'0_Configuration'!$C$41</f>
        <v>Mg</v>
      </c>
      <c r="M366" s="9"/>
      <c r="N366" s="9"/>
      <c r="O366" s="9"/>
      <c r="P366" s="9"/>
      <c r="Q366" s="18" t="s">
        <v>3</v>
      </c>
      <c r="R366" s="3"/>
      <c r="S366" s="3"/>
      <c r="T366" s="9"/>
      <c r="U366" s="9"/>
      <c r="V366" s="2">
        <f>_xlfn.XLOOKUP(Tab_Data_Flows[[#This Row],[Flow_Name]],Tab_Def_Flows[Flow_Name],Tab_Def_Flows[Flow_E1_Fraction'[%']],"N.A.",0,1)</f>
        <v>0</v>
      </c>
      <c r="W366" s="8">
        <f t="shared" si="13"/>
        <v>0</v>
      </c>
      <c r="X366" s="2" t="str">
        <f>Tab_Data_Flows[[#This Row],[UoM_Source]]</f>
        <v>Mg</v>
      </c>
      <c r="Y366" s="19">
        <f>_xlfn.XLOOKUP(Tab_Data_Flows[[#This Row],[Flow_Name]],Tab_Def_Flows[Flow_Name],Tab_Def_Flows[Flow_E2_Fraction'[%']],"N.A.",0,1)</f>
        <v>0</v>
      </c>
      <c r="Z366" s="2">
        <f>IF(D366="Yes",W366*Tab_Data_Flows[[#This Row],[E2_Fraction'[%']]],"N.A.")</f>
        <v>0</v>
      </c>
      <c r="AA366" s="2" t="str">
        <f>Tab_Data_Flows[[#This Row],[E1_UoM]]</f>
        <v>Mg</v>
      </c>
      <c r="AB366" s="19">
        <f>_xlfn.XLOOKUP(Tab_Data_Flows[[#This Row],[Flow_Name]],Tab_Def_Flows[Flow_Name],Tab_Def_Flows[Flow_E3_Fraction'[%']],"N.A.",0,1)</f>
        <v>0</v>
      </c>
      <c r="AC366" s="2">
        <f>IF(E366="Yes",AB366*Tab_Data_Flows[[#This Row],[E1_value]],"N.A.")</f>
        <v>0</v>
      </c>
      <c r="AD366" s="2" t="str">
        <f>Tab_Data_Flows[[#This Row],[E1_UoM]]</f>
        <v>Mg</v>
      </c>
      <c r="AE366" s="19">
        <f>_xlfn.XLOOKUP(Tab_Data_Flows[[#This Row],[Flow_Name]],Tab_Def_Flows[Flow_Name],Tab_Def_Flows[Flow_E4_Fraction'[%']],"N.A.",0,1)</f>
        <v>0</v>
      </c>
      <c r="AF366" s="2">
        <f>IF(H366="Yes",Tab_Data_Flows[[#This Row],[E4_Fraction'[%']]]*Tab_Data_Flows[[#This Row],[E1_value]],"N.A.")</f>
        <v>0</v>
      </c>
      <c r="AG366" s="2" t="str">
        <f>Tab_Data_Flows[[#This Row],[E1_UoM]]</f>
        <v>Mg</v>
      </c>
      <c r="AH366" s="2">
        <f>_xlfn.XLOOKUP(Tab_Data_Flows[[#This Row],[Flow_Name]],Tab_Def_Flows[Flow_Name],Tab_Def_Flows[Flow_E5_Fraction'[%']],"N.A.",0,1)</f>
        <v>0</v>
      </c>
      <c r="AI366" s="2">
        <f>IF(H366="Yes",Tab_Data_Flows[[#This Row],[E5_Fraction'[%']]]*Tab_Data_Flows[[#This Row],[E1_value]],"N.A.")</f>
        <v>0</v>
      </c>
      <c r="AJ366" s="2" t="str">
        <f>Tab_Data_Flows[[#This Row],[E1_UoM]]</f>
        <v>Mg</v>
      </c>
      <c r="AK366" s="19">
        <f>_xlfn.XLOOKUP(Tab_Data_Flows[[#This Row],[Flow_Name]],Tab_Def_Flows[Flow_Name],Tab_Def_Flows[Flow_E6_Fraction'[%']],"N.A.",0,1)</f>
        <v>0</v>
      </c>
      <c r="AL366" s="2">
        <f>IF(Tab_Data_Flows[[#This Row],[Use_E6]]="Yes",Tab_Data_Flows[[#This Row],[E6_Fraction'[%']]]*Tab_Data_Flows[[#This Row],[E1_value]],"N.A.")</f>
        <v>0</v>
      </c>
      <c r="AM366" s="2" t="str">
        <f>Tab_Data_Flows[[#This Row],[E1_UoM]]</f>
        <v>Mg</v>
      </c>
    </row>
    <row r="367" spans="1:39" x14ac:dyDescent="0.25">
      <c r="A367" s="4">
        <f t="shared" si="12"/>
        <v>366</v>
      </c>
      <c r="B367" s="2" t="str">
        <f>_xlfn.XLOOKUP(C367,Tab_Def_Flows[Flow_Name],Tab_Def_Flows[Flow_ID],,0,)</f>
        <v>F__</v>
      </c>
      <c r="C367" s="18" t="s">
        <v>5</v>
      </c>
      <c r="D367" s="5" t="str">
        <f>_xlfn.XLOOKUP(C367,Tab_Def_Flows[Flow_Name],Tab_Def_Flows[Use_E1],,0,)</f>
        <v>Yes</v>
      </c>
      <c r="E367" s="5" t="str">
        <f>_xlfn.XLOOKUP(C367,Tab_Def_Flows[Flow_Name],Tab_Def_Flows[Use_E2],,0,)</f>
        <v>Yes</v>
      </c>
      <c r="F367" s="5" t="str">
        <f>_xlfn.XLOOKUP(C367,Tab_Def_Flows[Flow_Name],Tab_Def_Flows[Use_E3],,0,)</f>
        <v>Yes</v>
      </c>
      <c r="G367" s="5" t="str">
        <f>_xlfn.XLOOKUP(C367,Tab_Def_Flows[Flow_Name],Tab_Def_Flows[Use_E4],,0,)</f>
        <v>Yes</v>
      </c>
      <c r="H367" s="5" t="str">
        <f>_xlfn.XLOOKUP(C367,Tab_Def_Flows[Flow_Name],Tab_Def_Flows[Use_E5],,0,)</f>
        <v>Yes</v>
      </c>
      <c r="I367" s="5" t="str">
        <f>_xlfn.XLOOKUP(C367,Tab_Def_Flows[Flow_Name],Tab_Def_Flows[Use_E6],,0,)</f>
        <v>Yes</v>
      </c>
      <c r="J367" s="3"/>
      <c r="K367" s="3"/>
      <c r="L367" s="2" t="str">
        <f>'0_Configuration'!$C$41</f>
        <v>Mg</v>
      </c>
      <c r="M367" s="9"/>
      <c r="N367" s="9"/>
      <c r="O367" s="9"/>
      <c r="P367" s="9"/>
      <c r="Q367" s="18" t="s">
        <v>3</v>
      </c>
      <c r="R367" s="3"/>
      <c r="S367" s="3"/>
      <c r="T367" s="9"/>
      <c r="U367" s="9"/>
      <c r="V367" s="2">
        <f>_xlfn.XLOOKUP(Tab_Data_Flows[[#This Row],[Flow_Name]],Tab_Def_Flows[Flow_Name],Tab_Def_Flows[Flow_E1_Fraction'[%']],"N.A.",0,1)</f>
        <v>0</v>
      </c>
      <c r="W367" s="8">
        <f t="shared" ref="W367:W430" si="14">IF(Q367="no",K367,K367*R367)</f>
        <v>0</v>
      </c>
      <c r="X367" s="2" t="str">
        <f>Tab_Data_Flows[[#This Row],[UoM_Source]]</f>
        <v>Mg</v>
      </c>
      <c r="Y367" s="19">
        <f>_xlfn.XLOOKUP(Tab_Data_Flows[[#This Row],[Flow_Name]],Tab_Def_Flows[Flow_Name],Tab_Def_Flows[Flow_E2_Fraction'[%']],"N.A.",0,1)</f>
        <v>0</v>
      </c>
      <c r="Z367" s="2">
        <f>IF(D367="Yes",W367*Tab_Data_Flows[[#This Row],[E2_Fraction'[%']]],"N.A.")</f>
        <v>0</v>
      </c>
      <c r="AA367" s="2" t="str">
        <f>Tab_Data_Flows[[#This Row],[E1_UoM]]</f>
        <v>Mg</v>
      </c>
      <c r="AB367" s="19">
        <f>_xlfn.XLOOKUP(Tab_Data_Flows[[#This Row],[Flow_Name]],Tab_Def_Flows[Flow_Name],Tab_Def_Flows[Flow_E3_Fraction'[%']],"N.A.",0,1)</f>
        <v>0</v>
      </c>
      <c r="AC367" s="2">
        <f>IF(E367="Yes",AB367*Tab_Data_Flows[[#This Row],[E1_value]],"N.A.")</f>
        <v>0</v>
      </c>
      <c r="AD367" s="2" t="str">
        <f>Tab_Data_Flows[[#This Row],[E1_UoM]]</f>
        <v>Mg</v>
      </c>
      <c r="AE367" s="19">
        <f>_xlfn.XLOOKUP(Tab_Data_Flows[[#This Row],[Flow_Name]],Tab_Def_Flows[Flow_Name],Tab_Def_Flows[Flow_E4_Fraction'[%']],"N.A.",0,1)</f>
        <v>0</v>
      </c>
      <c r="AF367" s="2">
        <f>IF(H367="Yes",Tab_Data_Flows[[#This Row],[E4_Fraction'[%']]]*Tab_Data_Flows[[#This Row],[E1_value]],"N.A.")</f>
        <v>0</v>
      </c>
      <c r="AG367" s="2" t="str">
        <f>Tab_Data_Flows[[#This Row],[E1_UoM]]</f>
        <v>Mg</v>
      </c>
      <c r="AH367" s="2">
        <f>_xlfn.XLOOKUP(Tab_Data_Flows[[#This Row],[Flow_Name]],Tab_Def_Flows[Flow_Name],Tab_Def_Flows[Flow_E5_Fraction'[%']],"N.A.",0,1)</f>
        <v>0</v>
      </c>
      <c r="AI367" s="2">
        <f>IF(H367="Yes",Tab_Data_Flows[[#This Row],[E5_Fraction'[%']]]*Tab_Data_Flows[[#This Row],[E1_value]],"N.A.")</f>
        <v>0</v>
      </c>
      <c r="AJ367" s="2" t="str">
        <f>Tab_Data_Flows[[#This Row],[E1_UoM]]</f>
        <v>Mg</v>
      </c>
      <c r="AK367" s="19">
        <f>_xlfn.XLOOKUP(Tab_Data_Flows[[#This Row],[Flow_Name]],Tab_Def_Flows[Flow_Name],Tab_Def_Flows[Flow_E6_Fraction'[%']],"N.A.",0,1)</f>
        <v>0</v>
      </c>
      <c r="AL367" s="2">
        <f>IF(Tab_Data_Flows[[#This Row],[Use_E6]]="Yes",Tab_Data_Flows[[#This Row],[E6_Fraction'[%']]]*Tab_Data_Flows[[#This Row],[E1_value]],"N.A.")</f>
        <v>0</v>
      </c>
      <c r="AM367" s="2" t="str">
        <f>Tab_Data_Flows[[#This Row],[E1_UoM]]</f>
        <v>Mg</v>
      </c>
    </row>
    <row r="368" spans="1:39" x14ac:dyDescent="0.25">
      <c r="A368" s="4">
        <f t="shared" si="12"/>
        <v>367</v>
      </c>
      <c r="B368" s="2" t="str">
        <f>_xlfn.XLOOKUP(C368,Tab_Def_Flows[Flow_Name],Tab_Def_Flows[Flow_ID],,0,)</f>
        <v>F__</v>
      </c>
      <c r="C368" s="18" t="s">
        <v>5</v>
      </c>
      <c r="D368" s="5" t="str">
        <f>_xlfn.XLOOKUP(C368,Tab_Def_Flows[Flow_Name],Tab_Def_Flows[Use_E1],,0,)</f>
        <v>Yes</v>
      </c>
      <c r="E368" s="5" t="str">
        <f>_xlfn.XLOOKUP(C368,Tab_Def_Flows[Flow_Name],Tab_Def_Flows[Use_E2],,0,)</f>
        <v>Yes</v>
      </c>
      <c r="F368" s="5" t="str">
        <f>_xlfn.XLOOKUP(C368,Tab_Def_Flows[Flow_Name],Tab_Def_Flows[Use_E3],,0,)</f>
        <v>Yes</v>
      </c>
      <c r="G368" s="5" t="str">
        <f>_xlfn.XLOOKUP(C368,Tab_Def_Flows[Flow_Name],Tab_Def_Flows[Use_E4],,0,)</f>
        <v>Yes</v>
      </c>
      <c r="H368" s="5" t="str">
        <f>_xlfn.XLOOKUP(C368,Tab_Def_Flows[Flow_Name],Tab_Def_Flows[Use_E5],,0,)</f>
        <v>Yes</v>
      </c>
      <c r="I368" s="5" t="str">
        <f>_xlfn.XLOOKUP(C368,Tab_Def_Flows[Flow_Name],Tab_Def_Flows[Use_E6],,0,)</f>
        <v>Yes</v>
      </c>
      <c r="J368" s="3"/>
      <c r="K368" s="3"/>
      <c r="L368" s="2" t="str">
        <f>'0_Configuration'!$C$41</f>
        <v>Mg</v>
      </c>
      <c r="M368" s="9"/>
      <c r="N368" s="9"/>
      <c r="O368" s="9"/>
      <c r="P368" s="9"/>
      <c r="Q368" s="18" t="s">
        <v>3</v>
      </c>
      <c r="R368" s="3"/>
      <c r="S368" s="3"/>
      <c r="T368" s="9"/>
      <c r="U368" s="9"/>
      <c r="V368" s="2">
        <f>_xlfn.XLOOKUP(Tab_Data_Flows[[#This Row],[Flow_Name]],Tab_Def_Flows[Flow_Name],Tab_Def_Flows[Flow_E1_Fraction'[%']],"N.A.",0,1)</f>
        <v>0</v>
      </c>
      <c r="W368" s="8">
        <f t="shared" si="14"/>
        <v>0</v>
      </c>
      <c r="X368" s="2" t="str">
        <f>Tab_Data_Flows[[#This Row],[UoM_Source]]</f>
        <v>Mg</v>
      </c>
      <c r="Y368" s="19">
        <f>_xlfn.XLOOKUP(Tab_Data_Flows[[#This Row],[Flow_Name]],Tab_Def_Flows[Flow_Name],Tab_Def_Flows[Flow_E2_Fraction'[%']],"N.A.",0,1)</f>
        <v>0</v>
      </c>
      <c r="Z368" s="2">
        <f>IF(D368="Yes",W368*Tab_Data_Flows[[#This Row],[E2_Fraction'[%']]],"N.A.")</f>
        <v>0</v>
      </c>
      <c r="AA368" s="2" t="str">
        <f>Tab_Data_Flows[[#This Row],[E1_UoM]]</f>
        <v>Mg</v>
      </c>
      <c r="AB368" s="19">
        <f>_xlfn.XLOOKUP(Tab_Data_Flows[[#This Row],[Flow_Name]],Tab_Def_Flows[Flow_Name],Tab_Def_Flows[Flow_E3_Fraction'[%']],"N.A.",0,1)</f>
        <v>0</v>
      </c>
      <c r="AC368" s="2">
        <f>IF(E368="Yes",AB368*Tab_Data_Flows[[#This Row],[E1_value]],"N.A.")</f>
        <v>0</v>
      </c>
      <c r="AD368" s="2" t="str">
        <f>Tab_Data_Flows[[#This Row],[E1_UoM]]</f>
        <v>Mg</v>
      </c>
      <c r="AE368" s="19">
        <f>_xlfn.XLOOKUP(Tab_Data_Flows[[#This Row],[Flow_Name]],Tab_Def_Flows[Flow_Name],Tab_Def_Flows[Flow_E4_Fraction'[%']],"N.A.",0,1)</f>
        <v>0</v>
      </c>
      <c r="AF368" s="2">
        <f>IF(H368="Yes",Tab_Data_Flows[[#This Row],[E4_Fraction'[%']]]*Tab_Data_Flows[[#This Row],[E1_value]],"N.A.")</f>
        <v>0</v>
      </c>
      <c r="AG368" s="2" t="str">
        <f>Tab_Data_Flows[[#This Row],[E1_UoM]]</f>
        <v>Mg</v>
      </c>
      <c r="AH368" s="2">
        <f>_xlfn.XLOOKUP(Tab_Data_Flows[[#This Row],[Flow_Name]],Tab_Def_Flows[Flow_Name],Tab_Def_Flows[Flow_E5_Fraction'[%']],"N.A.",0,1)</f>
        <v>0</v>
      </c>
      <c r="AI368" s="2">
        <f>IF(H368="Yes",Tab_Data_Flows[[#This Row],[E5_Fraction'[%']]]*Tab_Data_Flows[[#This Row],[E1_value]],"N.A.")</f>
        <v>0</v>
      </c>
      <c r="AJ368" s="2" t="str">
        <f>Tab_Data_Flows[[#This Row],[E1_UoM]]</f>
        <v>Mg</v>
      </c>
      <c r="AK368" s="19">
        <f>_xlfn.XLOOKUP(Tab_Data_Flows[[#This Row],[Flow_Name]],Tab_Def_Flows[Flow_Name],Tab_Def_Flows[Flow_E6_Fraction'[%']],"N.A.",0,1)</f>
        <v>0</v>
      </c>
      <c r="AL368" s="2">
        <f>IF(Tab_Data_Flows[[#This Row],[Use_E6]]="Yes",Tab_Data_Flows[[#This Row],[E6_Fraction'[%']]]*Tab_Data_Flows[[#This Row],[E1_value]],"N.A.")</f>
        <v>0</v>
      </c>
      <c r="AM368" s="2" t="str">
        <f>Tab_Data_Flows[[#This Row],[E1_UoM]]</f>
        <v>Mg</v>
      </c>
    </row>
    <row r="369" spans="1:39" x14ac:dyDescent="0.25">
      <c r="A369" s="4">
        <f t="shared" si="12"/>
        <v>368</v>
      </c>
      <c r="B369" s="2" t="str">
        <f>_xlfn.XLOOKUP(C369,Tab_Def_Flows[Flow_Name],Tab_Def_Flows[Flow_ID],,0,)</f>
        <v>F__</v>
      </c>
      <c r="C369" s="18" t="s">
        <v>5</v>
      </c>
      <c r="D369" s="5" t="str">
        <f>_xlfn.XLOOKUP(C369,Tab_Def_Flows[Flow_Name],Tab_Def_Flows[Use_E1],,0,)</f>
        <v>Yes</v>
      </c>
      <c r="E369" s="5" t="str">
        <f>_xlfn.XLOOKUP(C369,Tab_Def_Flows[Flow_Name],Tab_Def_Flows[Use_E2],,0,)</f>
        <v>Yes</v>
      </c>
      <c r="F369" s="5" t="str">
        <f>_xlfn.XLOOKUP(C369,Tab_Def_Flows[Flow_Name],Tab_Def_Flows[Use_E3],,0,)</f>
        <v>Yes</v>
      </c>
      <c r="G369" s="5" t="str">
        <f>_xlfn.XLOOKUP(C369,Tab_Def_Flows[Flow_Name],Tab_Def_Flows[Use_E4],,0,)</f>
        <v>Yes</v>
      </c>
      <c r="H369" s="5" t="str">
        <f>_xlfn.XLOOKUP(C369,Tab_Def_Flows[Flow_Name],Tab_Def_Flows[Use_E5],,0,)</f>
        <v>Yes</v>
      </c>
      <c r="I369" s="5" t="str">
        <f>_xlfn.XLOOKUP(C369,Tab_Def_Flows[Flow_Name],Tab_Def_Flows[Use_E6],,0,)</f>
        <v>Yes</v>
      </c>
      <c r="J369" s="3"/>
      <c r="K369" s="3"/>
      <c r="L369" s="2" t="str">
        <f>'0_Configuration'!$C$41</f>
        <v>Mg</v>
      </c>
      <c r="M369" s="9"/>
      <c r="N369" s="9"/>
      <c r="O369" s="9"/>
      <c r="P369" s="9"/>
      <c r="Q369" s="18" t="s">
        <v>3</v>
      </c>
      <c r="R369" s="3"/>
      <c r="S369" s="3"/>
      <c r="T369" s="9"/>
      <c r="U369" s="9"/>
      <c r="V369" s="2">
        <f>_xlfn.XLOOKUP(Tab_Data_Flows[[#This Row],[Flow_Name]],Tab_Def_Flows[Flow_Name],Tab_Def_Flows[Flow_E1_Fraction'[%']],"N.A.",0,1)</f>
        <v>0</v>
      </c>
      <c r="W369" s="8">
        <f t="shared" si="14"/>
        <v>0</v>
      </c>
      <c r="X369" s="2" t="str">
        <f>Tab_Data_Flows[[#This Row],[UoM_Source]]</f>
        <v>Mg</v>
      </c>
      <c r="Y369" s="19">
        <f>_xlfn.XLOOKUP(Tab_Data_Flows[[#This Row],[Flow_Name]],Tab_Def_Flows[Flow_Name],Tab_Def_Flows[Flow_E2_Fraction'[%']],"N.A.",0,1)</f>
        <v>0</v>
      </c>
      <c r="Z369" s="2">
        <f>IF(D369="Yes",W369*Tab_Data_Flows[[#This Row],[E2_Fraction'[%']]],"N.A.")</f>
        <v>0</v>
      </c>
      <c r="AA369" s="2" t="str">
        <f>Tab_Data_Flows[[#This Row],[E1_UoM]]</f>
        <v>Mg</v>
      </c>
      <c r="AB369" s="19">
        <f>_xlfn.XLOOKUP(Tab_Data_Flows[[#This Row],[Flow_Name]],Tab_Def_Flows[Flow_Name],Tab_Def_Flows[Flow_E3_Fraction'[%']],"N.A.",0,1)</f>
        <v>0</v>
      </c>
      <c r="AC369" s="2">
        <f>IF(E369="Yes",AB369*Tab_Data_Flows[[#This Row],[E1_value]],"N.A.")</f>
        <v>0</v>
      </c>
      <c r="AD369" s="2" t="str">
        <f>Tab_Data_Flows[[#This Row],[E1_UoM]]</f>
        <v>Mg</v>
      </c>
      <c r="AE369" s="19">
        <f>_xlfn.XLOOKUP(Tab_Data_Flows[[#This Row],[Flow_Name]],Tab_Def_Flows[Flow_Name],Tab_Def_Flows[Flow_E4_Fraction'[%']],"N.A.",0,1)</f>
        <v>0</v>
      </c>
      <c r="AF369" s="2">
        <f>IF(H369="Yes",Tab_Data_Flows[[#This Row],[E4_Fraction'[%']]]*Tab_Data_Flows[[#This Row],[E1_value]],"N.A.")</f>
        <v>0</v>
      </c>
      <c r="AG369" s="2" t="str">
        <f>Tab_Data_Flows[[#This Row],[E1_UoM]]</f>
        <v>Mg</v>
      </c>
      <c r="AH369" s="2">
        <f>_xlfn.XLOOKUP(Tab_Data_Flows[[#This Row],[Flow_Name]],Tab_Def_Flows[Flow_Name],Tab_Def_Flows[Flow_E5_Fraction'[%']],"N.A.",0,1)</f>
        <v>0</v>
      </c>
      <c r="AI369" s="2">
        <f>IF(H369="Yes",Tab_Data_Flows[[#This Row],[E5_Fraction'[%']]]*Tab_Data_Flows[[#This Row],[E1_value]],"N.A.")</f>
        <v>0</v>
      </c>
      <c r="AJ369" s="2" t="str">
        <f>Tab_Data_Flows[[#This Row],[E1_UoM]]</f>
        <v>Mg</v>
      </c>
      <c r="AK369" s="19">
        <f>_xlfn.XLOOKUP(Tab_Data_Flows[[#This Row],[Flow_Name]],Tab_Def_Flows[Flow_Name],Tab_Def_Flows[Flow_E6_Fraction'[%']],"N.A.",0,1)</f>
        <v>0</v>
      </c>
      <c r="AL369" s="2">
        <f>IF(Tab_Data_Flows[[#This Row],[Use_E6]]="Yes",Tab_Data_Flows[[#This Row],[E6_Fraction'[%']]]*Tab_Data_Flows[[#This Row],[E1_value]],"N.A.")</f>
        <v>0</v>
      </c>
      <c r="AM369" s="2" t="str">
        <f>Tab_Data_Flows[[#This Row],[E1_UoM]]</f>
        <v>Mg</v>
      </c>
    </row>
    <row r="370" spans="1:39" x14ac:dyDescent="0.25">
      <c r="A370" s="4">
        <f t="shared" si="12"/>
        <v>369</v>
      </c>
      <c r="B370" s="2" t="str">
        <f>_xlfn.XLOOKUP(C370,Tab_Def_Flows[Flow_Name],Tab_Def_Flows[Flow_ID],,0,)</f>
        <v>F__</v>
      </c>
      <c r="C370" s="18" t="s">
        <v>5</v>
      </c>
      <c r="D370" s="5" t="str">
        <f>_xlfn.XLOOKUP(C370,Tab_Def_Flows[Flow_Name],Tab_Def_Flows[Use_E1],,0,)</f>
        <v>Yes</v>
      </c>
      <c r="E370" s="5" t="str">
        <f>_xlfn.XLOOKUP(C370,Tab_Def_Flows[Flow_Name],Tab_Def_Flows[Use_E2],,0,)</f>
        <v>Yes</v>
      </c>
      <c r="F370" s="5" t="str">
        <f>_xlfn.XLOOKUP(C370,Tab_Def_Flows[Flow_Name],Tab_Def_Flows[Use_E3],,0,)</f>
        <v>Yes</v>
      </c>
      <c r="G370" s="5" t="str">
        <f>_xlfn.XLOOKUP(C370,Tab_Def_Flows[Flow_Name],Tab_Def_Flows[Use_E4],,0,)</f>
        <v>Yes</v>
      </c>
      <c r="H370" s="5" t="str">
        <f>_xlfn.XLOOKUP(C370,Tab_Def_Flows[Flow_Name],Tab_Def_Flows[Use_E5],,0,)</f>
        <v>Yes</v>
      </c>
      <c r="I370" s="5" t="str">
        <f>_xlfn.XLOOKUP(C370,Tab_Def_Flows[Flow_Name],Tab_Def_Flows[Use_E6],,0,)</f>
        <v>Yes</v>
      </c>
      <c r="J370" s="3"/>
      <c r="K370" s="3"/>
      <c r="L370" s="2" t="str">
        <f>'0_Configuration'!$C$41</f>
        <v>Mg</v>
      </c>
      <c r="M370" s="9"/>
      <c r="N370" s="9"/>
      <c r="O370" s="9"/>
      <c r="P370" s="9"/>
      <c r="Q370" s="18" t="s">
        <v>3</v>
      </c>
      <c r="R370" s="3"/>
      <c r="S370" s="3"/>
      <c r="T370" s="9"/>
      <c r="U370" s="9"/>
      <c r="V370" s="2">
        <f>_xlfn.XLOOKUP(Tab_Data_Flows[[#This Row],[Flow_Name]],Tab_Def_Flows[Flow_Name],Tab_Def_Flows[Flow_E1_Fraction'[%']],"N.A.",0,1)</f>
        <v>0</v>
      </c>
      <c r="W370" s="8">
        <f t="shared" si="14"/>
        <v>0</v>
      </c>
      <c r="X370" s="2" t="str">
        <f>Tab_Data_Flows[[#This Row],[UoM_Source]]</f>
        <v>Mg</v>
      </c>
      <c r="Y370" s="19">
        <f>_xlfn.XLOOKUP(Tab_Data_Flows[[#This Row],[Flow_Name]],Tab_Def_Flows[Flow_Name],Tab_Def_Flows[Flow_E2_Fraction'[%']],"N.A.",0,1)</f>
        <v>0</v>
      </c>
      <c r="Z370" s="2">
        <f>IF(D370="Yes",W370*Tab_Data_Flows[[#This Row],[E2_Fraction'[%']]],"N.A.")</f>
        <v>0</v>
      </c>
      <c r="AA370" s="2" t="str">
        <f>Tab_Data_Flows[[#This Row],[E1_UoM]]</f>
        <v>Mg</v>
      </c>
      <c r="AB370" s="19">
        <f>_xlfn.XLOOKUP(Tab_Data_Flows[[#This Row],[Flow_Name]],Tab_Def_Flows[Flow_Name],Tab_Def_Flows[Flow_E3_Fraction'[%']],"N.A.",0,1)</f>
        <v>0</v>
      </c>
      <c r="AC370" s="2">
        <f>IF(E370="Yes",AB370*Tab_Data_Flows[[#This Row],[E1_value]],"N.A.")</f>
        <v>0</v>
      </c>
      <c r="AD370" s="2" t="str">
        <f>Tab_Data_Flows[[#This Row],[E1_UoM]]</f>
        <v>Mg</v>
      </c>
      <c r="AE370" s="19">
        <f>_xlfn.XLOOKUP(Tab_Data_Flows[[#This Row],[Flow_Name]],Tab_Def_Flows[Flow_Name],Tab_Def_Flows[Flow_E4_Fraction'[%']],"N.A.",0,1)</f>
        <v>0</v>
      </c>
      <c r="AF370" s="2">
        <f>IF(H370="Yes",Tab_Data_Flows[[#This Row],[E4_Fraction'[%']]]*Tab_Data_Flows[[#This Row],[E1_value]],"N.A.")</f>
        <v>0</v>
      </c>
      <c r="AG370" s="2" t="str">
        <f>Tab_Data_Flows[[#This Row],[E1_UoM]]</f>
        <v>Mg</v>
      </c>
      <c r="AH370" s="2">
        <f>_xlfn.XLOOKUP(Tab_Data_Flows[[#This Row],[Flow_Name]],Tab_Def_Flows[Flow_Name],Tab_Def_Flows[Flow_E5_Fraction'[%']],"N.A.",0,1)</f>
        <v>0</v>
      </c>
      <c r="AI370" s="2">
        <f>IF(H370="Yes",Tab_Data_Flows[[#This Row],[E5_Fraction'[%']]]*Tab_Data_Flows[[#This Row],[E1_value]],"N.A.")</f>
        <v>0</v>
      </c>
      <c r="AJ370" s="2" t="str">
        <f>Tab_Data_Flows[[#This Row],[E1_UoM]]</f>
        <v>Mg</v>
      </c>
      <c r="AK370" s="19">
        <f>_xlfn.XLOOKUP(Tab_Data_Flows[[#This Row],[Flow_Name]],Tab_Def_Flows[Flow_Name],Tab_Def_Flows[Flow_E6_Fraction'[%']],"N.A.",0,1)</f>
        <v>0</v>
      </c>
      <c r="AL370" s="2">
        <f>IF(Tab_Data_Flows[[#This Row],[Use_E6]]="Yes",Tab_Data_Flows[[#This Row],[E6_Fraction'[%']]]*Tab_Data_Flows[[#This Row],[E1_value]],"N.A.")</f>
        <v>0</v>
      </c>
      <c r="AM370" s="2" t="str">
        <f>Tab_Data_Flows[[#This Row],[E1_UoM]]</f>
        <v>Mg</v>
      </c>
    </row>
    <row r="371" spans="1:39" x14ac:dyDescent="0.25">
      <c r="A371" s="4">
        <f t="shared" si="12"/>
        <v>370</v>
      </c>
      <c r="B371" s="2" t="str">
        <f>_xlfn.XLOOKUP(C371,Tab_Def_Flows[Flow_Name],Tab_Def_Flows[Flow_ID],,0,)</f>
        <v>F__</v>
      </c>
      <c r="C371" s="18" t="s">
        <v>5</v>
      </c>
      <c r="D371" s="5" t="str">
        <f>_xlfn.XLOOKUP(C371,Tab_Def_Flows[Flow_Name],Tab_Def_Flows[Use_E1],,0,)</f>
        <v>Yes</v>
      </c>
      <c r="E371" s="5" t="str">
        <f>_xlfn.XLOOKUP(C371,Tab_Def_Flows[Flow_Name],Tab_Def_Flows[Use_E2],,0,)</f>
        <v>Yes</v>
      </c>
      <c r="F371" s="5" t="str">
        <f>_xlfn.XLOOKUP(C371,Tab_Def_Flows[Flow_Name],Tab_Def_Flows[Use_E3],,0,)</f>
        <v>Yes</v>
      </c>
      <c r="G371" s="5" t="str">
        <f>_xlfn.XLOOKUP(C371,Tab_Def_Flows[Flow_Name],Tab_Def_Flows[Use_E4],,0,)</f>
        <v>Yes</v>
      </c>
      <c r="H371" s="5" t="str">
        <f>_xlfn.XLOOKUP(C371,Tab_Def_Flows[Flow_Name],Tab_Def_Flows[Use_E5],,0,)</f>
        <v>Yes</v>
      </c>
      <c r="I371" s="5" t="str">
        <f>_xlfn.XLOOKUP(C371,Tab_Def_Flows[Flow_Name],Tab_Def_Flows[Use_E6],,0,)</f>
        <v>Yes</v>
      </c>
      <c r="J371" s="3"/>
      <c r="K371" s="3"/>
      <c r="L371" s="2" t="str">
        <f>'0_Configuration'!$C$41</f>
        <v>Mg</v>
      </c>
      <c r="M371" s="9"/>
      <c r="N371" s="9"/>
      <c r="O371" s="9"/>
      <c r="P371" s="9"/>
      <c r="Q371" s="18" t="s">
        <v>3</v>
      </c>
      <c r="R371" s="3"/>
      <c r="S371" s="3"/>
      <c r="T371" s="9"/>
      <c r="U371" s="9"/>
      <c r="V371" s="2">
        <f>_xlfn.XLOOKUP(Tab_Data_Flows[[#This Row],[Flow_Name]],Tab_Def_Flows[Flow_Name],Tab_Def_Flows[Flow_E1_Fraction'[%']],"N.A.",0,1)</f>
        <v>0</v>
      </c>
      <c r="W371" s="8">
        <f t="shared" si="14"/>
        <v>0</v>
      </c>
      <c r="X371" s="2" t="str">
        <f>Tab_Data_Flows[[#This Row],[UoM_Source]]</f>
        <v>Mg</v>
      </c>
      <c r="Y371" s="19">
        <f>_xlfn.XLOOKUP(Tab_Data_Flows[[#This Row],[Flow_Name]],Tab_Def_Flows[Flow_Name],Tab_Def_Flows[Flow_E2_Fraction'[%']],"N.A.",0,1)</f>
        <v>0</v>
      </c>
      <c r="Z371" s="2">
        <f>IF(D371="Yes",W371*Tab_Data_Flows[[#This Row],[E2_Fraction'[%']]],"N.A.")</f>
        <v>0</v>
      </c>
      <c r="AA371" s="2" t="str">
        <f>Tab_Data_Flows[[#This Row],[E1_UoM]]</f>
        <v>Mg</v>
      </c>
      <c r="AB371" s="19">
        <f>_xlfn.XLOOKUP(Tab_Data_Flows[[#This Row],[Flow_Name]],Tab_Def_Flows[Flow_Name],Tab_Def_Flows[Flow_E3_Fraction'[%']],"N.A.",0,1)</f>
        <v>0</v>
      </c>
      <c r="AC371" s="2">
        <f>IF(E371="Yes",AB371*Tab_Data_Flows[[#This Row],[E1_value]],"N.A.")</f>
        <v>0</v>
      </c>
      <c r="AD371" s="2" t="str">
        <f>Tab_Data_Flows[[#This Row],[E1_UoM]]</f>
        <v>Mg</v>
      </c>
      <c r="AE371" s="19">
        <f>_xlfn.XLOOKUP(Tab_Data_Flows[[#This Row],[Flow_Name]],Tab_Def_Flows[Flow_Name],Tab_Def_Flows[Flow_E4_Fraction'[%']],"N.A.",0,1)</f>
        <v>0</v>
      </c>
      <c r="AF371" s="2">
        <f>IF(H371="Yes",Tab_Data_Flows[[#This Row],[E4_Fraction'[%']]]*Tab_Data_Flows[[#This Row],[E1_value]],"N.A.")</f>
        <v>0</v>
      </c>
      <c r="AG371" s="2" t="str">
        <f>Tab_Data_Flows[[#This Row],[E1_UoM]]</f>
        <v>Mg</v>
      </c>
      <c r="AH371" s="2">
        <f>_xlfn.XLOOKUP(Tab_Data_Flows[[#This Row],[Flow_Name]],Tab_Def_Flows[Flow_Name],Tab_Def_Flows[Flow_E5_Fraction'[%']],"N.A.",0,1)</f>
        <v>0</v>
      </c>
      <c r="AI371" s="2">
        <f>IF(H371="Yes",Tab_Data_Flows[[#This Row],[E5_Fraction'[%']]]*Tab_Data_Flows[[#This Row],[E1_value]],"N.A.")</f>
        <v>0</v>
      </c>
      <c r="AJ371" s="2" t="str">
        <f>Tab_Data_Flows[[#This Row],[E1_UoM]]</f>
        <v>Mg</v>
      </c>
      <c r="AK371" s="19">
        <f>_xlfn.XLOOKUP(Tab_Data_Flows[[#This Row],[Flow_Name]],Tab_Def_Flows[Flow_Name],Tab_Def_Flows[Flow_E6_Fraction'[%']],"N.A.",0,1)</f>
        <v>0</v>
      </c>
      <c r="AL371" s="2">
        <f>IF(Tab_Data_Flows[[#This Row],[Use_E6]]="Yes",Tab_Data_Flows[[#This Row],[E6_Fraction'[%']]]*Tab_Data_Flows[[#This Row],[E1_value]],"N.A.")</f>
        <v>0</v>
      </c>
      <c r="AM371" s="2" t="str">
        <f>Tab_Data_Flows[[#This Row],[E1_UoM]]</f>
        <v>Mg</v>
      </c>
    </row>
    <row r="372" spans="1:39" x14ac:dyDescent="0.25">
      <c r="A372" s="4">
        <f t="shared" si="12"/>
        <v>371</v>
      </c>
      <c r="B372" s="2" t="str">
        <f>_xlfn.XLOOKUP(C372,Tab_Def_Flows[Flow_Name],Tab_Def_Flows[Flow_ID],,0,)</f>
        <v>F__</v>
      </c>
      <c r="C372" s="18" t="s">
        <v>5</v>
      </c>
      <c r="D372" s="5" t="str">
        <f>_xlfn.XLOOKUP(C372,Tab_Def_Flows[Flow_Name],Tab_Def_Flows[Use_E1],,0,)</f>
        <v>Yes</v>
      </c>
      <c r="E372" s="5" t="str">
        <f>_xlfn.XLOOKUP(C372,Tab_Def_Flows[Flow_Name],Tab_Def_Flows[Use_E2],,0,)</f>
        <v>Yes</v>
      </c>
      <c r="F372" s="5" t="str">
        <f>_xlfn.XLOOKUP(C372,Tab_Def_Flows[Flow_Name],Tab_Def_Flows[Use_E3],,0,)</f>
        <v>Yes</v>
      </c>
      <c r="G372" s="5" t="str">
        <f>_xlfn.XLOOKUP(C372,Tab_Def_Flows[Flow_Name],Tab_Def_Flows[Use_E4],,0,)</f>
        <v>Yes</v>
      </c>
      <c r="H372" s="5" t="str">
        <f>_xlfn.XLOOKUP(C372,Tab_Def_Flows[Flow_Name],Tab_Def_Flows[Use_E5],,0,)</f>
        <v>Yes</v>
      </c>
      <c r="I372" s="5" t="str">
        <f>_xlfn.XLOOKUP(C372,Tab_Def_Flows[Flow_Name],Tab_Def_Flows[Use_E6],,0,)</f>
        <v>Yes</v>
      </c>
      <c r="J372" s="3"/>
      <c r="K372" s="3"/>
      <c r="L372" s="2" t="str">
        <f>'0_Configuration'!$C$41</f>
        <v>Mg</v>
      </c>
      <c r="M372" s="9"/>
      <c r="N372" s="9"/>
      <c r="O372" s="9"/>
      <c r="P372" s="9"/>
      <c r="Q372" s="18" t="s">
        <v>3</v>
      </c>
      <c r="R372" s="3"/>
      <c r="S372" s="3"/>
      <c r="T372" s="9"/>
      <c r="U372" s="9"/>
      <c r="V372" s="2">
        <f>_xlfn.XLOOKUP(Tab_Data_Flows[[#This Row],[Flow_Name]],Tab_Def_Flows[Flow_Name],Tab_Def_Flows[Flow_E1_Fraction'[%']],"N.A.",0,1)</f>
        <v>0</v>
      </c>
      <c r="W372" s="8">
        <f t="shared" si="14"/>
        <v>0</v>
      </c>
      <c r="X372" s="2" t="str">
        <f>Tab_Data_Flows[[#This Row],[UoM_Source]]</f>
        <v>Mg</v>
      </c>
      <c r="Y372" s="19">
        <f>_xlfn.XLOOKUP(Tab_Data_Flows[[#This Row],[Flow_Name]],Tab_Def_Flows[Flow_Name],Tab_Def_Flows[Flow_E2_Fraction'[%']],"N.A.",0,1)</f>
        <v>0</v>
      </c>
      <c r="Z372" s="2">
        <f>IF(D372="Yes",W372*Tab_Data_Flows[[#This Row],[E2_Fraction'[%']]],"N.A.")</f>
        <v>0</v>
      </c>
      <c r="AA372" s="2" t="str">
        <f>Tab_Data_Flows[[#This Row],[E1_UoM]]</f>
        <v>Mg</v>
      </c>
      <c r="AB372" s="19">
        <f>_xlfn.XLOOKUP(Tab_Data_Flows[[#This Row],[Flow_Name]],Tab_Def_Flows[Flow_Name],Tab_Def_Flows[Flow_E3_Fraction'[%']],"N.A.",0,1)</f>
        <v>0</v>
      </c>
      <c r="AC372" s="2">
        <f>IF(E372="Yes",AB372*Tab_Data_Flows[[#This Row],[E1_value]],"N.A.")</f>
        <v>0</v>
      </c>
      <c r="AD372" s="2" t="str">
        <f>Tab_Data_Flows[[#This Row],[E1_UoM]]</f>
        <v>Mg</v>
      </c>
      <c r="AE372" s="19">
        <f>_xlfn.XLOOKUP(Tab_Data_Flows[[#This Row],[Flow_Name]],Tab_Def_Flows[Flow_Name],Tab_Def_Flows[Flow_E4_Fraction'[%']],"N.A.",0,1)</f>
        <v>0</v>
      </c>
      <c r="AF372" s="2">
        <f>IF(H372="Yes",Tab_Data_Flows[[#This Row],[E4_Fraction'[%']]]*Tab_Data_Flows[[#This Row],[E1_value]],"N.A.")</f>
        <v>0</v>
      </c>
      <c r="AG372" s="2" t="str">
        <f>Tab_Data_Flows[[#This Row],[E1_UoM]]</f>
        <v>Mg</v>
      </c>
      <c r="AH372" s="2">
        <f>_xlfn.XLOOKUP(Tab_Data_Flows[[#This Row],[Flow_Name]],Tab_Def_Flows[Flow_Name],Tab_Def_Flows[Flow_E5_Fraction'[%']],"N.A.",0,1)</f>
        <v>0</v>
      </c>
      <c r="AI372" s="2">
        <f>IF(H372="Yes",Tab_Data_Flows[[#This Row],[E5_Fraction'[%']]]*Tab_Data_Flows[[#This Row],[E1_value]],"N.A.")</f>
        <v>0</v>
      </c>
      <c r="AJ372" s="2" t="str">
        <f>Tab_Data_Flows[[#This Row],[E1_UoM]]</f>
        <v>Mg</v>
      </c>
      <c r="AK372" s="19">
        <f>_xlfn.XLOOKUP(Tab_Data_Flows[[#This Row],[Flow_Name]],Tab_Def_Flows[Flow_Name],Tab_Def_Flows[Flow_E6_Fraction'[%']],"N.A.",0,1)</f>
        <v>0</v>
      </c>
      <c r="AL372" s="2">
        <f>IF(Tab_Data_Flows[[#This Row],[Use_E6]]="Yes",Tab_Data_Flows[[#This Row],[E6_Fraction'[%']]]*Tab_Data_Flows[[#This Row],[E1_value]],"N.A.")</f>
        <v>0</v>
      </c>
      <c r="AM372" s="2" t="str">
        <f>Tab_Data_Flows[[#This Row],[E1_UoM]]</f>
        <v>Mg</v>
      </c>
    </row>
    <row r="373" spans="1:39" x14ac:dyDescent="0.25">
      <c r="A373" s="4">
        <f t="shared" si="12"/>
        <v>372</v>
      </c>
      <c r="B373" s="2" t="str">
        <f>_xlfn.XLOOKUP(C373,Tab_Def_Flows[Flow_Name],Tab_Def_Flows[Flow_ID],,0,)</f>
        <v>F__</v>
      </c>
      <c r="C373" s="18" t="s">
        <v>5</v>
      </c>
      <c r="D373" s="5" t="str">
        <f>_xlfn.XLOOKUP(C373,Tab_Def_Flows[Flow_Name],Tab_Def_Flows[Use_E1],,0,)</f>
        <v>Yes</v>
      </c>
      <c r="E373" s="5" t="str">
        <f>_xlfn.XLOOKUP(C373,Tab_Def_Flows[Flow_Name],Tab_Def_Flows[Use_E2],,0,)</f>
        <v>Yes</v>
      </c>
      <c r="F373" s="5" t="str">
        <f>_xlfn.XLOOKUP(C373,Tab_Def_Flows[Flow_Name],Tab_Def_Flows[Use_E3],,0,)</f>
        <v>Yes</v>
      </c>
      <c r="G373" s="5" t="str">
        <f>_xlfn.XLOOKUP(C373,Tab_Def_Flows[Flow_Name],Tab_Def_Flows[Use_E4],,0,)</f>
        <v>Yes</v>
      </c>
      <c r="H373" s="5" t="str">
        <f>_xlfn.XLOOKUP(C373,Tab_Def_Flows[Flow_Name],Tab_Def_Flows[Use_E5],,0,)</f>
        <v>Yes</v>
      </c>
      <c r="I373" s="5" t="str">
        <f>_xlfn.XLOOKUP(C373,Tab_Def_Flows[Flow_Name],Tab_Def_Flows[Use_E6],,0,)</f>
        <v>Yes</v>
      </c>
      <c r="J373" s="3"/>
      <c r="K373" s="3"/>
      <c r="L373" s="2" t="str">
        <f>'0_Configuration'!$C$41</f>
        <v>Mg</v>
      </c>
      <c r="M373" s="9"/>
      <c r="N373" s="9"/>
      <c r="O373" s="9"/>
      <c r="P373" s="9"/>
      <c r="Q373" s="18" t="s">
        <v>3</v>
      </c>
      <c r="R373" s="3"/>
      <c r="S373" s="3"/>
      <c r="T373" s="9"/>
      <c r="U373" s="9"/>
      <c r="V373" s="2">
        <f>_xlfn.XLOOKUP(Tab_Data_Flows[[#This Row],[Flow_Name]],Tab_Def_Flows[Flow_Name],Tab_Def_Flows[Flow_E1_Fraction'[%']],"N.A.",0,1)</f>
        <v>0</v>
      </c>
      <c r="W373" s="8">
        <f t="shared" si="14"/>
        <v>0</v>
      </c>
      <c r="X373" s="2" t="str">
        <f>Tab_Data_Flows[[#This Row],[UoM_Source]]</f>
        <v>Mg</v>
      </c>
      <c r="Y373" s="19">
        <f>_xlfn.XLOOKUP(Tab_Data_Flows[[#This Row],[Flow_Name]],Tab_Def_Flows[Flow_Name],Tab_Def_Flows[Flow_E2_Fraction'[%']],"N.A.",0,1)</f>
        <v>0</v>
      </c>
      <c r="Z373" s="2">
        <f>IF(D373="Yes",W373*Tab_Data_Flows[[#This Row],[E2_Fraction'[%']]],"N.A.")</f>
        <v>0</v>
      </c>
      <c r="AA373" s="2" t="str">
        <f>Tab_Data_Flows[[#This Row],[E1_UoM]]</f>
        <v>Mg</v>
      </c>
      <c r="AB373" s="19">
        <f>_xlfn.XLOOKUP(Tab_Data_Flows[[#This Row],[Flow_Name]],Tab_Def_Flows[Flow_Name],Tab_Def_Flows[Flow_E3_Fraction'[%']],"N.A.",0,1)</f>
        <v>0</v>
      </c>
      <c r="AC373" s="2">
        <f>IF(E373="Yes",AB373*Tab_Data_Flows[[#This Row],[E1_value]],"N.A.")</f>
        <v>0</v>
      </c>
      <c r="AD373" s="2" t="str">
        <f>Tab_Data_Flows[[#This Row],[E1_UoM]]</f>
        <v>Mg</v>
      </c>
      <c r="AE373" s="19">
        <f>_xlfn.XLOOKUP(Tab_Data_Flows[[#This Row],[Flow_Name]],Tab_Def_Flows[Flow_Name],Tab_Def_Flows[Flow_E4_Fraction'[%']],"N.A.",0,1)</f>
        <v>0</v>
      </c>
      <c r="AF373" s="2">
        <f>IF(H373="Yes",Tab_Data_Flows[[#This Row],[E4_Fraction'[%']]]*Tab_Data_Flows[[#This Row],[E1_value]],"N.A.")</f>
        <v>0</v>
      </c>
      <c r="AG373" s="2" t="str">
        <f>Tab_Data_Flows[[#This Row],[E1_UoM]]</f>
        <v>Mg</v>
      </c>
      <c r="AH373" s="2">
        <f>_xlfn.XLOOKUP(Tab_Data_Flows[[#This Row],[Flow_Name]],Tab_Def_Flows[Flow_Name],Tab_Def_Flows[Flow_E5_Fraction'[%']],"N.A.",0,1)</f>
        <v>0</v>
      </c>
      <c r="AI373" s="2">
        <f>IF(H373="Yes",Tab_Data_Flows[[#This Row],[E5_Fraction'[%']]]*Tab_Data_Flows[[#This Row],[E1_value]],"N.A.")</f>
        <v>0</v>
      </c>
      <c r="AJ373" s="2" t="str">
        <f>Tab_Data_Flows[[#This Row],[E1_UoM]]</f>
        <v>Mg</v>
      </c>
      <c r="AK373" s="19">
        <f>_xlfn.XLOOKUP(Tab_Data_Flows[[#This Row],[Flow_Name]],Tab_Def_Flows[Flow_Name],Tab_Def_Flows[Flow_E6_Fraction'[%']],"N.A.",0,1)</f>
        <v>0</v>
      </c>
      <c r="AL373" s="2">
        <f>IF(Tab_Data_Flows[[#This Row],[Use_E6]]="Yes",Tab_Data_Flows[[#This Row],[E6_Fraction'[%']]]*Tab_Data_Flows[[#This Row],[E1_value]],"N.A.")</f>
        <v>0</v>
      </c>
      <c r="AM373" s="2" t="str">
        <f>Tab_Data_Flows[[#This Row],[E1_UoM]]</f>
        <v>Mg</v>
      </c>
    </row>
    <row r="374" spans="1:39" x14ac:dyDescent="0.25">
      <c r="A374" s="4">
        <f t="shared" si="12"/>
        <v>373</v>
      </c>
      <c r="B374" s="2" t="str">
        <f>_xlfn.XLOOKUP(C374,Tab_Def_Flows[Flow_Name],Tab_Def_Flows[Flow_ID],,0,)</f>
        <v>F__</v>
      </c>
      <c r="C374" s="18" t="s">
        <v>5</v>
      </c>
      <c r="D374" s="5" t="str">
        <f>_xlfn.XLOOKUP(C374,Tab_Def_Flows[Flow_Name],Tab_Def_Flows[Use_E1],,0,)</f>
        <v>Yes</v>
      </c>
      <c r="E374" s="5" t="str">
        <f>_xlfn.XLOOKUP(C374,Tab_Def_Flows[Flow_Name],Tab_Def_Flows[Use_E2],,0,)</f>
        <v>Yes</v>
      </c>
      <c r="F374" s="5" t="str">
        <f>_xlfn.XLOOKUP(C374,Tab_Def_Flows[Flow_Name],Tab_Def_Flows[Use_E3],,0,)</f>
        <v>Yes</v>
      </c>
      <c r="G374" s="5" t="str">
        <f>_xlfn.XLOOKUP(C374,Tab_Def_Flows[Flow_Name],Tab_Def_Flows[Use_E4],,0,)</f>
        <v>Yes</v>
      </c>
      <c r="H374" s="5" t="str">
        <f>_xlfn.XLOOKUP(C374,Tab_Def_Flows[Flow_Name],Tab_Def_Flows[Use_E5],,0,)</f>
        <v>Yes</v>
      </c>
      <c r="I374" s="5" t="str">
        <f>_xlfn.XLOOKUP(C374,Tab_Def_Flows[Flow_Name],Tab_Def_Flows[Use_E6],,0,)</f>
        <v>Yes</v>
      </c>
      <c r="J374" s="3"/>
      <c r="K374" s="3"/>
      <c r="L374" s="2" t="str">
        <f>'0_Configuration'!$C$41</f>
        <v>Mg</v>
      </c>
      <c r="M374" s="9"/>
      <c r="N374" s="9"/>
      <c r="O374" s="9"/>
      <c r="P374" s="9"/>
      <c r="Q374" s="18" t="s">
        <v>3</v>
      </c>
      <c r="R374" s="3"/>
      <c r="S374" s="3"/>
      <c r="T374" s="9"/>
      <c r="U374" s="9"/>
      <c r="V374" s="2">
        <f>_xlfn.XLOOKUP(Tab_Data_Flows[[#This Row],[Flow_Name]],Tab_Def_Flows[Flow_Name],Tab_Def_Flows[Flow_E1_Fraction'[%']],"N.A.",0,1)</f>
        <v>0</v>
      </c>
      <c r="W374" s="8">
        <f t="shared" si="14"/>
        <v>0</v>
      </c>
      <c r="X374" s="2" t="str">
        <f>Tab_Data_Flows[[#This Row],[UoM_Source]]</f>
        <v>Mg</v>
      </c>
      <c r="Y374" s="19">
        <f>_xlfn.XLOOKUP(Tab_Data_Flows[[#This Row],[Flow_Name]],Tab_Def_Flows[Flow_Name],Tab_Def_Flows[Flow_E2_Fraction'[%']],"N.A.",0,1)</f>
        <v>0</v>
      </c>
      <c r="Z374" s="2">
        <f>IF(D374="Yes",W374*Tab_Data_Flows[[#This Row],[E2_Fraction'[%']]],"N.A.")</f>
        <v>0</v>
      </c>
      <c r="AA374" s="2" t="str">
        <f>Tab_Data_Flows[[#This Row],[E1_UoM]]</f>
        <v>Mg</v>
      </c>
      <c r="AB374" s="19">
        <f>_xlfn.XLOOKUP(Tab_Data_Flows[[#This Row],[Flow_Name]],Tab_Def_Flows[Flow_Name],Tab_Def_Flows[Flow_E3_Fraction'[%']],"N.A.",0,1)</f>
        <v>0</v>
      </c>
      <c r="AC374" s="2">
        <f>IF(E374="Yes",AB374*Tab_Data_Flows[[#This Row],[E1_value]],"N.A.")</f>
        <v>0</v>
      </c>
      <c r="AD374" s="2" t="str">
        <f>Tab_Data_Flows[[#This Row],[E1_UoM]]</f>
        <v>Mg</v>
      </c>
      <c r="AE374" s="19">
        <f>_xlfn.XLOOKUP(Tab_Data_Flows[[#This Row],[Flow_Name]],Tab_Def_Flows[Flow_Name],Tab_Def_Flows[Flow_E4_Fraction'[%']],"N.A.",0,1)</f>
        <v>0</v>
      </c>
      <c r="AF374" s="2">
        <f>IF(H374="Yes",Tab_Data_Flows[[#This Row],[E4_Fraction'[%']]]*Tab_Data_Flows[[#This Row],[E1_value]],"N.A.")</f>
        <v>0</v>
      </c>
      <c r="AG374" s="2" t="str">
        <f>Tab_Data_Flows[[#This Row],[E1_UoM]]</f>
        <v>Mg</v>
      </c>
      <c r="AH374" s="2">
        <f>_xlfn.XLOOKUP(Tab_Data_Flows[[#This Row],[Flow_Name]],Tab_Def_Flows[Flow_Name],Tab_Def_Flows[Flow_E5_Fraction'[%']],"N.A.",0,1)</f>
        <v>0</v>
      </c>
      <c r="AI374" s="2">
        <f>IF(H374="Yes",Tab_Data_Flows[[#This Row],[E5_Fraction'[%']]]*Tab_Data_Flows[[#This Row],[E1_value]],"N.A.")</f>
        <v>0</v>
      </c>
      <c r="AJ374" s="2" t="str">
        <f>Tab_Data_Flows[[#This Row],[E1_UoM]]</f>
        <v>Mg</v>
      </c>
      <c r="AK374" s="19">
        <f>_xlfn.XLOOKUP(Tab_Data_Flows[[#This Row],[Flow_Name]],Tab_Def_Flows[Flow_Name],Tab_Def_Flows[Flow_E6_Fraction'[%']],"N.A.",0,1)</f>
        <v>0</v>
      </c>
      <c r="AL374" s="2">
        <f>IF(Tab_Data_Flows[[#This Row],[Use_E6]]="Yes",Tab_Data_Flows[[#This Row],[E6_Fraction'[%']]]*Tab_Data_Flows[[#This Row],[E1_value]],"N.A.")</f>
        <v>0</v>
      </c>
      <c r="AM374" s="2" t="str">
        <f>Tab_Data_Flows[[#This Row],[E1_UoM]]</f>
        <v>Mg</v>
      </c>
    </row>
    <row r="375" spans="1:39" x14ac:dyDescent="0.25">
      <c r="A375" s="4">
        <f t="shared" si="12"/>
        <v>374</v>
      </c>
      <c r="B375" s="2" t="str">
        <f>_xlfn.XLOOKUP(C375,Tab_Def_Flows[Flow_Name],Tab_Def_Flows[Flow_ID],,0,)</f>
        <v>F__</v>
      </c>
      <c r="C375" s="18" t="s">
        <v>5</v>
      </c>
      <c r="D375" s="5" t="str">
        <f>_xlfn.XLOOKUP(C375,Tab_Def_Flows[Flow_Name],Tab_Def_Flows[Use_E1],,0,)</f>
        <v>Yes</v>
      </c>
      <c r="E375" s="5" t="str">
        <f>_xlfn.XLOOKUP(C375,Tab_Def_Flows[Flow_Name],Tab_Def_Flows[Use_E2],,0,)</f>
        <v>Yes</v>
      </c>
      <c r="F375" s="5" t="str">
        <f>_xlfn.XLOOKUP(C375,Tab_Def_Flows[Flow_Name],Tab_Def_Flows[Use_E3],,0,)</f>
        <v>Yes</v>
      </c>
      <c r="G375" s="5" t="str">
        <f>_xlfn.XLOOKUP(C375,Tab_Def_Flows[Flow_Name],Tab_Def_Flows[Use_E4],,0,)</f>
        <v>Yes</v>
      </c>
      <c r="H375" s="5" t="str">
        <f>_xlfn.XLOOKUP(C375,Tab_Def_Flows[Flow_Name],Tab_Def_Flows[Use_E5],,0,)</f>
        <v>Yes</v>
      </c>
      <c r="I375" s="5" t="str">
        <f>_xlfn.XLOOKUP(C375,Tab_Def_Flows[Flow_Name],Tab_Def_Flows[Use_E6],,0,)</f>
        <v>Yes</v>
      </c>
      <c r="J375" s="3"/>
      <c r="K375" s="3"/>
      <c r="L375" s="2" t="str">
        <f>'0_Configuration'!$C$41</f>
        <v>Mg</v>
      </c>
      <c r="M375" s="9"/>
      <c r="N375" s="9"/>
      <c r="O375" s="9"/>
      <c r="P375" s="9"/>
      <c r="Q375" s="18" t="s">
        <v>3</v>
      </c>
      <c r="R375" s="3"/>
      <c r="S375" s="3"/>
      <c r="T375" s="9"/>
      <c r="U375" s="9"/>
      <c r="V375" s="2">
        <f>_xlfn.XLOOKUP(Tab_Data_Flows[[#This Row],[Flow_Name]],Tab_Def_Flows[Flow_Name],Tab_Def_Flows[Flow_E1_Fraction'[%']],"N.A.",0,1)</f>
        <v>0</v>
      </c>
      <c r="W375" s="8">
        <f t="shared" si="14"/>
        <v>0</v>
      </c>
      <c r="X375" s="2" t="str">
        <f>Tab_Data_Flows[[#This Row],[UoM_Source]]</f>
        <v>Mg</v>
      </c>
      <c r="Y375" s="19">
        <f>_xlfn.XLOOKUP(Tab_Data_Flows[[#This Row],[Flow_Name]],Tab_Def_Flows[Flow_Name],Tab_Def_Flows[Flow_E2_Fraction'[%']],"N.A.",0,1)</f>
        <v>0</v>
      </c>
      <c r="Z375" s="2">
        <f>IF(D375="Yes",W375*Tab_Data_Flows[[#This Row],[E2_Fraction'[%']]],"N.A.")</f>
        <v>0</v>
      </c>
      <c r="AA375" s="2" t="str">
        <f>Tab_Data_Flows[[#This Row],[E1_UoM]]</f>
        <v>Mg</v>
      </c>
      <c r="AB375" s="19">
        <f>_xlfn.XLOOKUP(Tab_Data_Flows[[#This Row],[Flow_Name]],Tab_Def_Flows[Flow_Name],Tab_Def_Flows[Flow_E3_Fraction'[%']],"N.A.",0,1)</f>
        <v>0</v>
      </c>
      <c r="AC375" s="2">
        <f>IF(E375="Yes",AB375*Tab_Data_Flows[[#This Row],[E1_value]],"N.A.")</f>
        <v>0</v>
      </c>
      <c r="AD375" s="2" t="str">
        <f>Tab_Data_Flows[[#This Row],[E1_UoM]]</f>
        <v>Mg</v>
      </c>
      <c r="AE375" s="19">
        <f>_xlfn.XLOOKUP(Tab_Data_Flows[[#This Row],[Flow_Name]],Tab_Def_Flows[Flow_Name],Tab_Def_Flows[Flow_E4_Fraction'[%']],"N.A.",0,1)</f>
        <v>0</v>
      </c>
      <c r="AF375" s="2">
        <f>IF(H375="Yes",Tab_Data_Flows[[#This Row],[E4_Fraction'[%']]]*Tab_Data_Flows[[#This Row],[E1_value]],"N.A.")</f>
        <v>0</v>
      </c>
      <c r="AG375" s="2" t="str">
        <f>Tab_Data_Flows[[#This Row],[E1_UoM]]</f>
        <v>Mg</v>
      </c>
      <c r="AH375" s="2">
        <f>_xlfn.XLOOKUP(Tab_Data_Flows[[#This Row],[Flow_Name]],Tab_Def_Flows[Flow_Name],Tab_Def_Flows[Flow_E5_Fraction'[%']],"N.A.",0,1)</f>
        <v>0</v>
      </c>
      <c r="AI375" s="2">
        <f>IF(H375="Yes",Tab_Data_Flows[[#This Row],[E5_Fraction'[%']]]*Tab_Data_Flows[[#This Row],[E1_value]],"N.A.")</f>
        <v>0</v>
      </c>
      <c r="AJ375" s="2" t="str">
        <f>Tab_Data_Flows[[#This Row],[E1_UoM]]</f>
        <v>Mg</v>
      </c>
      <c r="AK375" s="19">
        <f>_xlfn.XLOOKUP(Tab_Data_Flows[[#This Row],[Flow_Name]],Tab_Def_Flows[Flow_Name],Tab_Def_Flows[Flow_E6_Fraction'[%']],"N.A.",0,1)</f>
        <v>0</v>
      </c>
      <c r="AL375" s="2">
        <f>IF(Tab_Data_Flows[[#This Row],[Use_E6]]="Yes",Tab_Data_Flows[[#This Row],[E6_Fraction'[%']]]*Tab_Data_Flows[[#This Row],[E1_value]],"N.A.")</f>
        <v>0</v>
      </c>
      <c r="AM375" s="2" t="str">
        <f>Tab_Data_Flows[[#This Row],[E1_UoM]]</f>
        <v>Mg</v>
      </c>
    </row>
    <row r="376" spans="1:39" x14ac:dyDescent="0.25">
      <c r="A376" s="4">
        <f t="shared" si="12"/>
        <v>375</v>
      </c>
      <c r="B376" s="2" t="str">
        <f>_xlfn.XLOOKUP(C376,Tab_Def_Flows[Flow_Name],Tab_Def_Flows[Flow_ID],,0,)</f>
        <v>F__</v>
      </c>
      <c r="C376" s="18" t="s">
        <v>5</v>
      </c>
      <c r="D376" s="5" t="str">
        <f>_xlfn.XLOOKUP(C376,Tab_Def_Flows[Flow_Name],Tab_Def_Flows[Use_E1],,0,)</f>
        <v>Yes</v>
      </c>
      <c r="E376" s="5" t="str">
        <f>_xlfn.XLOOKUP(C376,Tab_Def_Flows[Flow_Name],Tab_Def_Flows[Use_E2],,0,)</f>
        <v>Yes</v>
      </c>
      <c r="F376" s="5" t="str">
        <f>_xlfn.XLOOKUP(C376,Tab_Def_Flows[Flow_Name],Tab_Def_Flows[Use_E3],,0,)</f>
        <v>Yes</v>
      </c>
      <c r="G376" s="5" t="str">
        <f>_xlfn.XLOOKUP(C376,Tab_Def_Flows[Flow_Name],Tab_Def_Flows[Use_E4],,0,)</f>
        <v>Yes</v>
      </c>
      <c r="H376" s="5" t="str">
        <f>_xlfn.XLOOKUP(C376,Tab_Def_Flows[Flow_Name],Tab_Def_Flows[Use_E5],,0,)</f>
        <v>Yes</v>
      </c>
      <c r="I376" s="5" t="str">
        <f>_xlfn.XLOOKUP(C376,Tab_Def_Flows[Flow_Name],Tab_Def_Flows[Use_E6],,0,)</f>
        <v>Yes</v>
      </c>
      <c r="J376" s="3"/>
      <c r="K376" s="3"/>
      <c r="L376" s="2" t="str">
        <f>'0_Configuration'!$C$41</f>
        <v>Mg</v>
      </c>
      <c r="M376" s="9"/>
      <c r="N376" s="9"/>
      <c r="O376" s="9"/>
      <c r="P376" s="9"/>
      <c r="Q376" s="18" t="s">
        <v>3</v>
      </c>
      <c r="R376" s="3"/>
      <c r="S376" s="3"/>
      <c r="T376" s="9"/>
      <c r="U376" s="9"/>
      <c r="V376" s="2">
        <f>_xlfn.XLOOKUP(Tab_Data_Flows[[#This Row],[Flow_Name]],Tab_Def_Flows[Flow_Name],Tab_Def_Flows[Flow_E1_Fraction'[%']],"N.A.",0,1)</f>
        <v>0</v>
      </c>
      <c r="W376" s="8">
        <f t="shared" si="14"/>
        <v>0</v>
      </c>
      <c r="X376" s="2" t="str">
        <f>Tab_Data_Flows[[#This Row],[UoM_Source]]</f>
        <v>Mg</v>
      </c>
      <c r="Y376" s="19">
        <f>_xlfn.XLOOKUP(Tab_Data_Flows[[#This Row],[Flow_Name]],Tab_Def_Flows[Flow_Name],Tab_Def_Flows[Flow_E2_Fraction'[%']],"N.A.",0,1)</f>
        <v>0</v>
      </c>
      <c r="Z376" s="2">
        <f>IF(D376="Yes",W376*Tab_Data_Flows[[#This Row],[E2_Fraction'[%']]],"N.A.")</f>
        <v>0</v>
      </c>
      <c r="AA376" s="2" t="str">
        <f>Tab_Data_Flows[[#This Row],[E1_UoM]]</f>
        <v>Mg</v>
      </c>
      <c r="AB376" s="19">
        <f>_xlfn.XLOOKUP(Tab_Data_Flows[[#This Row],[Flow_Name]],Tab_Def_Flows[Flow_Name],Tab_Def_Flows[Flow_E3_Fraction'[%']],"N.A.",0,1)</f>
        <v>0</v>
      </c>
      <c r="AC376" s="2">
        <f>IF(E376="Yes",AB376*Tab_Data_Flows[[#This Row],[E1_value]],"N.A.")</f>
        <v>0</v>
      </c>
      <c r="AD376" s="2" t="str">
        <f>Tab_Data_Flows[[#This Row],[E1_UoM]]</f>
        <v>Mg</v>
      </c>
      <c r="AE376" s="19">
        <f>_xlfn.XLOOKUP(Tab_Data_Flows[[#This Row],[Flow_Name]],Tab_Def_Flows[Flow_Name],Tab_Def_Flows[Flow_E4_Fraction'[%']],"N.A.",0,1)</f>
        <v>0</v>
      </c>
      <c r="AF376" s="2">
        <f>IF(H376="Yes",Tab_Data_Flows[[#This Row],[E4_Fraction'[%']]]*Tab_Data_Flows[[#This Row],[E1_value]],"N.A.")</f>
        <v>0</v>
      </c>
      <c r="AG376" s="2" t="str">
        <f>Tab_Data_Flows[[#This Row],[E1_UoM]]</f>
        <v>Mg</v>
      </c>
      <c r="AH376" s="2">
        <f>_xlfn.XLOOKUP(Tab_Data_Flows[[#This Row],[Flow_Name]],Tab_Def_Flows[Flow_Name],Tab_Def_Flows[Flow_E5_Fraction'[%']],"N.A.",0,1)</f>
        <v>0</v>
      </c>
      <c r="AI376" s="2">
        <f>IF(H376="Yes",Tab_Data_Flows[[#This Row],[E5_Fraction'[%']]]*Tab_Data_Flows[[#This Row],[E1_value]],"N.A.")</f>
        <v>0</v>
      </c>
      <c r="AJ376" s="2" t="str">
        <f>Tab_Data_Flows[[#This Row],[E1_UoM]]</f>
        <v>Mg</v>
      </c>
      <c r="AK376" s="19">
        <f>_xlfn.XLOOKUP(Tab_Data_Flows[[#This Row],[Flow_Name]],Tab_Def_Flows[Flow_Name],Tab_Def_Flows[Flow_E6_Fraction'[%']],"N.A.",0,1)</f>
        <v>0</v>
      </c>
      <c r="AL376" s="2">
        <f>IF(Tab_Data_Flows[[#This Row],[Use_E6]]="Yes",Tab_Data_Flows[[#This Row],[E6_Fraction'[%']]]*Tab_Data_Flows[[#This Row],[E1_value]],"N.A.")</f>
        <v>0</v>
      </c>
      <c r="AM376" s="2" t="str">
        <f>Tab_Data_Flows[[#This Row],[E1_UoM]]</f>
        <v>Mg</v>
      </c>
    </row>
    <row r="377" spans="1:39" x14ac:dyDescent="0.25">
      <c r="A377" s="4">
        <f t="shared" si="12"/>
        <v>376</v>
      </c>
      <c r="B377" s="2" t="str">
        <f>_xlfn.XLOOKUP(C377,Tab_Def_Flows[Flow_Name],Tab_Def_Flows[Flow_ID],,0,)</f>
        <v>F__</v>
      </c>
      <c r="C377" s="18" t="s">
        <v>5</v>
      </c>
      <c r="D377" s="5" t="str">
        <f>_xlfn.XLOOKUP(C377,Tab_Def_Flows[Flow_Name],Tab_Def_Flows[Use_E1],,0,)</f>
        <v>Yes</v>
      </c>
      <c r="E377" s="5" t="str">
        <f>_xlfn.XLOOKUP(C377,Tab_Def_Flows[Flow_Name],Tab_Def_Flows[Use_E2],,0,)</f>
        <v>Yes</v>
      </c>
      <c r="F377" s="5" t="str">
        <f>_xlfn.XLOOKUP(C377,Tab_Def_Flows[Flow_Name],Tab_Def_Flows[Use_E3],,0,)</f>
        <v>Yes</v>
      </c>
      <c r="G377" s="5" t="str">
        <f>_xlfn.XLOOKUP(C377,Tab_Def_Flows[Flow_Name],Tab_Def_Flows[Use_E4],,0,)</f>
        <v>Yes</v>
      </c>
      <c r="H377" s="5" t="str">
        <f>_xlfn.XLOOKUP(C377,Tab_Def_Flows[Flow_Name],Tab_Def_Flows[Use_E5],,0,)</f>
        <v>Yes</v>
      </c>
      <c r="I377" s="5" t="str">
        <f>_xlfn.XLOOKUP(C377,Tab_Def_Flows[Flow_Name],Tab_Def_Flows[Use_E6],,0,)</f>
        <v>Yes</v>
      </c>
      <c r="J377" s="3"/>
      <c r="K377" s="3"/>
      <c r="L377" s="2" t="str">
        <f>'0_Configuration'!$C$41</f>
        <v>Mg</v>
      </c>
      <c r="M377" s="9"/>
      <c r="N377" s="9"/>
      <c r="O377" s="9"/>
      <c r="P377" s="9"/>
      <c r="Q377" s="18" t="s">
        <v>3</v>
      </c>
      <c r="R377" s="3"/>
      <c r="S377" s="3"/>
      <c r="T377" s="9"/>
      <c r="U377" s="9"/>
      <c r="V377" s="2">
        <f>_xlfn.XLOOKUP(Tab_Data_Flows[[#This Row],[Flow_Name]],Tab_Def_Flows[Flow_Name],Tab_Def_Flows[Flow_E1_Fraction'[%']],"N.A.",0,1)</f>
        <v>0</v>
      </c>
      <c r="W377" s="8">
        <f t="shared" si="14"/>
        <v>0</v>
      </c>
      <c r="X377" s="2" t="str">
        <f>Tab_Data_Flows[[#This Row],[UoM_Source]]</f>
        <v>Mg</v>
      </c>
      <c r="Y377" s="19">
        <f>_xlfn.XLOOKUP(Tab_Data_Flows[[#This Row],[Flow_Name]],Tab_Def_Flows[Flow_Name],Tab_Def_Flows[Flow_E2_Fraction'[%']],"N.A.",0,1)</f>
        <v>0</v>
      </c>
      <c r="Z377" s="2">
        <f>IF(D377="Yes",W377*Tab_Data_Flows[[#This Row],[E2_Fraction'[%']]],"N.A.")</f>
        <v>0</v>
      </c>
      <c r="AA377" s="2" t="str">
        <f>Tab_Data_Flows[[#This Row],[E1_UoM]]</f>
        <v>Mg</v>
      </c>
      <c r="AB377" s="19">
        <f>_xlfn.XLOOKUP(Tab_Data_Flows[[#This Row],[Flow_Name]],Tab_Def_Flows[Flow_Name],Tab_Def_Flows[Flow_E3_Fraction'[%']],"N.A.",0,1)</f>
        <v>0</v>
      </c>
      <c r="AC377" s="2">
        <f>IF(E377="Yes",AB377*Tab_Data_Flows[[#This Row],[E1_value]],"N.A.")</f>
        <v>0</v>
      </c>
      <c r="AD377" s="2" t="str">
        <f>Tab_Data_Flows[[#This Row],[E1_UoM]]</f>
        <v>Mg</v>
      </c>
      <c r="AE377" s="19">
        <f>_xlfn.XLOOKUP(Tab_Data_Flows[[#This Row],[Flow_Name]],Tab_Def_Flows[Flow_Name],Tab_Def_Flows[Flow_E4_Fraction'[%']],"N.A.",0,1)</f>
        <v>0</v>
      </c>
      <c r="AF377" s="2">
        <f>IF(H377="Yes",Tab_Data_Flows[[#This Row],[E4_Fraction'[%']]]*Tab_Data_Flows[[#This Row],[E1_value]],"N.A.")</f>
        <v>0</v>
      </c>
      <c r="AG377" s="2" t="str">
        <f>Tab_Data_Flows[[#This Row],[E1_UoM]]</f>
        <v>Mg</v>
      </c>
      <c r="AH377" s="2">
        <f>_xlfn.XLOOKUP(Tab_Data_Flows[[#This Row],[Flow_Name]],Tab_Def_Flows[Flow_Name],Tab_Def_Flows[Flow_E5_Fraction'[%']],"N.A.",0,1)</f>
        <v>0</v>
      </c>
      <c r="AI377" s="2">
        <f>IF(H377="Yes",Tab_Data_Flows[[#This Row],[E5_Fraction'[%']]]*Tab_Data_Flows[[#This Row],[E1_value]],"N.A.")</f>
        <v>0</v>
      </c>
      <c r="AJ377" s="2" t="str">
        <f>Tab_Data_Flows[[#This Row],[E1_UoM]]</f>
        <v>Mg</v>
      </c>
      <c r="AK377" s="19">
        <f>_xlfn.XLOOKUP(Tab_Data_Flows[[#This Row],[Flow_Name]],Tab_Def_Flows[Flow_Name],Tab_Def_Flows[Flow_E6_Fraction'[%']],"N.A.",0,1)</f>
        <v>0</v>
      </c>
      <c r="AL377" s="2">
        <f>IF(Tab_Data_Flows[[#This Row],[Use_E6]]="Yes",Tab_Data_Flows[[#This Row],[E6_Fraction'[%']]]*Tab_Data_Flows[[#This Row],[E1_value]],"N.A.")</f>
        <v>0</v>
      </c>
      <c r="AM377" s="2" t="str">
        <f>Tab_Data_Flows[[#This Row],[E1_UoM]]</f>
        <v>Mg</v>
      </c>
    </row>
    <row r="378" spans="1:39" x14ac:dyDescent="0.25">
      <c r="A378" s="4">
        <f t="shared" si="12"/>
        <v>377</v>
      </c>
      <c r="B378" s="2" t="str">
        <f>_xlfn.XLOOKUP(C378,Tab_Def_Flows[Flow_Name],Tab_Def_Flows[Flow_ID],,0,)</f>
        <v>F__</v>
      </c>
      <c r="C378" s="18" t="s">
        <v>5</v>
      </c>
      <c r="D378" s="5" t="str">
        <f>_xlfn.XLOOKUP(C378,Tab_Def_Flows[Flow_Name],Tab_Def_Flows[Use_E1],,0,)</f>
        <v>Yes</v>
      </c>
      <c r="E378" s="5" t="str">
        <f>_xlfn.XLOOKUP(C378,Tab_Def_Flows[Flow_Name],Tab_Def_Flows[Use_E2],,0,)</f>
        <v>Yes</v>
      </c>
      <c r="F378" s="5" t="str">
        <f>_xlfn.XLOOKUP(C378,Tab_Def_Flows[Flow_Name],Tab_Def_Flows[Use_E3],,0,)</f>
        <v>Yes</v>
      </c>
      <c r="G378" s="5" t="str">
        <f>_xlfn.XLOOKUP(C378,Tab_Def_Flows[Flow_Name],Tab_Def_Flows[Use_E4],,0,)</f>
        <v>Yes</v>
      </c>
      <c r="H378" s="5" t="str">
        <f>_xlfn.XLOOKUP(C378,Tab_Def_Flows[Flow_Name],Tab_Def_Flows[Use_E5],,0,)</f>
        <v>Yes</v>
      </c>
      <c r="I378" s="5" t="str">
        <f>_xlfn.XLOOKUP(C378,Tab_Def_Flows[Flow_Name],Tab_Def_Flows[Use_E6],,0,)</f>
        <v>Yes</v>
      </c>
      <c r="J378" s="3"/>
      <c r="K378" s="3"/>
      <c r="L378" s="2" t="str">
        <f>'0_Configuration'!$C$41</f>
        <v>Mg</v>
      </c>
      <c r="M378" s="9"/>
      <c r="N378" s="9"/>
      <c r="O378" s="9"/>
      <c r="P378" s="9"/>
      <c r="Q378" s="18" t="s">
        <v>3</v>
      </c>
      <c r="R378" s="3"/>
      <c r="S378" s="3"/>
      <c r="T378" s="9"/>
      <c r="U378" s="9"/>
      <c r="V378" s="2">
        <f>_xlfn.XLOOKUP(Tab_Data_Flows[[#This Row],[Flow_Name]],Tab_Def_Flows[Flow_Name],Tab_Def_Flows[Flow_E1_Fraction'[%']],"N.A.",0,1)</f>
        <v>0</v>
      </c>
      <c r="W378" s="8">
        <f t="shared" si="14"/>
        <v>0</v>
      </c>
      <c r="X378" s="2" t="str">
        <f>Tab_Data_Flows[[#This Row],[UoM_Source]]</f>
        <v>Mg</v>
      </c>
      <c r="Y378" s="19">
        <f>_xlfn.XLOOKUP(Tab_Data_Flows[[#This Row],[Flow_Name]],Tab_Def_Flows[Flow_Name],Tab_Def_Flows[Flow_E2_Fraction'[%']],"N.A.",0,1)</f>
        <v>0</v>
      </c>
      <c r="Z378" s="2">
        <f>IF(D378="Yes",W378*Tab_Data_Flows[[#This Row],[E2_Fraction'[%']]],"N.A.")</f>
        <v>0</v>
      </c>
      <c r="AA378" s="2" t="str">
        <f>Tab_Data_Flows[[#This Row],[E1_UoM]]</f>
        <v>Mg</v>
      </c>
      <c r="AB378" s="19">
        <f>_xlfn.XLOOKUP(Tab_Data_Flows[[#This Row],[Flow_Name]],Tab_Def_Flows[Flow_Name],Tab_Def_Flows[Flow_E3_Fraction'[%']],"N.A.",0,1)</f>
        <v>0</v>
      </c>
      <c r="AC378" s="2">
        <f>IF(E378="Yes",AB378*Tab_Data_Flows[[#This Row],[E1_value]],"N.A.")</f>
        <v>0</v>
      </c>
      <c r="AD378" s="2" t="str">
        <f>Tab_Data_Flows[[#This Row],[E1_UoM]]</f>
        <v>Mg</v>
      </c>
      <c r="AE378" s="19">
        <f>_xlfn.XLOOKUP(Tab_Data_Flows[[#This Row],[Flow_Name]],Tab_Def_Flows[Flow_Name],Tab_Def_Flows[Flow_E4_Fraction'[%']],"N.A.",0,1)</f>
        <v>0</v>
      </c>
      <c r="AF378" s="2">
        <f>IF(H378="Yes",Tab_Data_Flows[[#This Row],[E4_Fraction'[%']]]*Tab_Data_Flows[[#This Row],[E1_value]],"N.A.")</f>
        <v>0</v>
      </c>
      <c r="AG378" s="2" t="str">
        <f>Tab_Data_Flows[[#This Row],[E1_UoM]]</f>
        <v>Mg</v>
      </c>
      <c r="AH378" s="2">
        <f>_xlfn.XLOOKUP(Tab_Data_Flows[[#This Row],[Flow_Name]],Tab_Def_Flows[Flow_Name],Tab_Def_Flows[Flow_E5_Fraction'[%']],"N.A.",0,1)</f>
        <v>0</v>
      </c>
      <c r="AI378" s="2">
        <f>IF(H378="Yes",Tab_Data_Flows[[#This Row],[E5_Fraction'[%']]]*Tab_Data_Flows[[#This Row],[E1_value]],"N.A.")</f>
        <v>0</v>
      </c>
      <c r="AJ378" s="2" t="str">
        <f>Tab_Data_Flows[[#This Row],[E1_UoM]]</f>
        <v>Mg</v>
      </c>
      <c r="AK378" s="19">
        <f>_xlfn.XLOOKUP(Tab_Data_Flows[[#This Row],[Flow_Name]],Tab_Def_Flows[Flow_Name],Tab_Def_Flows[Flow_E6_Fraction'[%']],"N.A.",0,1)</f>
        <v>0</v>
      </c>
      <c r="AL378" s="2">
        <f>IF(Tab_Data_Flows[[#This Row],[Use_E6]]="Yes",Tab_Data_Flows[[#This Row],[E6_Fraction'[%']]]*Tab_Data_Flows[[#This Row],[E1_value]],"N.A.")</f>
        <v>0</v>
      </c>
      <c r="AM378" s="2" t="str">
        <f>Tab_Data_Flows[[#This Row],[E1_UoM]]</f>
        <v>Mg</v>
      </c>
    </row>
    <row r="379" spans="1:39" x14ac:dyDescent="0.25">
      <c r="A379" s="4">
        <f t="shared" si="12"/>
        <v>378</v>
      </c>
      <c r="B379" s="2" t="str">
        <f>_xlfn.XLOOKUP(C379,Tab_Def_Flows[Flow_Name],Tab_Def_Flows[Flow_ID],,0,)</f>
        <v>F__</v>
      </c>
      <c r="C379" s="18" t="s">
        <v>5</v>
      </c>
      <c r="D379" s="5" t="str">
        <f>_xlfn.XLOOKUP(C379,Tab_Def_Flows[Flow_Name],Tab_Def_Flows[Use_E1],,0,)</f>
        <v>Yes</v>
      </c>
      <c r="E379" s="5" t="str">
        <f>_xlfn.XLOOKUP(C379,Tab_Def_Flows[Flow_Name],Tab_Def_Flows[Use_E2],,0,)</f>
        <v>Yes</v>
      </c>
      <c r="F379" s="5" t="str">
        <f>_xlfn.XLOOKUP(C379,Tab_Def_Flows[Flow_Name],Tab_Def_Flows[Use_E3],,0,)</f>
        <v>Yes</v>
      </c>
      <c r="G379" s="5" t="str">
        <f>_xlfn.XLOOKUP(C379,Tab_Def_Flows[Flow_Name],Tab_Def_Flows[Use_E4],,0,)</f>
        <v>Yes</v>
      </c>
      <c r="H379" s="5" t="str">
        <f>_xlfn.XLOOKUP(C379,Tab_Def_Flows[Flow_Name],Tab_Def_Flows[Use_E5],,0,)</f>
        <v>Yes</v>
      </c>
      <c r="I379" s="5" t="str">
        <f>_xlfn.XLOOKUP(C379,Tab_Def_Flows[Flow_Name],Tab_Def_Flows[Use_E6],,0,)</f>
        <v>Yes</v>
      </c>
      <c r="J379" s="3"/>
      <c r="K379" s="3"/>
      <c r="L379" s="2" t="str">
        <f>'0_Configuration'!$C$41</f>
        <v>Mg</v>
      </c>
      <c r="M379" s="9"/>
      <c r="N379" s="9"/>
      <c r="O379" s="9"/>
      <c r="P379" s="9"/>
      <c r="Q379" s="18" t="s">
        <v>3</v>
      </c>
      <c r="R379" s="3"/>
      <c r="S379" s="3"/>
      <c r="T379" s="9"/>
      <c r="U379" s="9"/>
      <c r="V379" s="2">
        <f>_xlfn.XLOOKUP(Tab_Data_Flows[[#This Row],[Flow_Name]],Tab_Def_Flows[Flow_Name],Tab_Def_Flows[Flow_E1_Fraction'[%']],"N.A.",0,1)</f>
        <v>0</v>
      </c>
      <c r="W379" s="8">
        <f t="shared" si="14"/>
        <v>0</v>
      </c>
      <c r="X379" s="2" t="str">
        <f>Tab_Data_Flows[[#This Row],[UoM_Source]]</f>
        <v>Mg</v>
      </c>
      <c r="Y379" s="19">
        <f>_xlfn.XLOOKUP(Tab_Data_Flows[[#This Row],[Flow_Name]],Tab_Def_Flows[Flow_Name],Tab_Def_Flows[Flow_E2_Fraction'[%']],"N.A.",0,1)</f>
        <v>0</v>
      </c>
      <c r="Z379" s="2">
        <f>IF(D379="Yes",W379*Tab_Data_Flows[[#This Row],[E2_Fraction'[%']]],"N.A.")</f>
        <v>0</v>
      </c>
      <c r="AA379" s="2" t="str">
        <f>Tab_Data_Flows[[#This Row],[E1_UoM]]</f>
        <v>Mg</v>
      </c>
      <c r="AB379" s="19">
        <f>_xlfn.XLOOKUP(Tab_Data_Flows[[#This Row],[Flow_Name]],Tab_Def_Flows[Flow_Name],Tab_Def_Flows[Flow_E3_Fraction'[%']],"N.A.",0,1)</f>
        <v>0</v>
      </c>
      <c r="AC379" s="2">
        <f>IF(E379="Yes",AB379*Tab_Data_Flows[[#This Row],[E1_value]],"N.A.")</f>
        <v>0</v>
      </c>
      <c r="AD379" s="2" t="str">
        <f>Tab_Data_Flows[[#This Row],[E1_UoM]]</f>
        <v>Mg</v>
      </c>
      <c r="AE379" s="19">
        <f>_xlfn.XLOOKUP(Tab_Data_Flows[[#This Row],[Flow_Name]],Tab_Def_Flows[Flow_Name],Tab_Def_Flows[Flow_E4_Fraction'[%']],"N.A.",0,1)</f>
        <v>0</v>
      </c>
      <c r="AF379" s="2">
        <f>IF(H379="Yes",Tab_Data_Flows[[#This Row],[E4_Fraction'[%']]]*Tab_Data_Flows[[#This Row],[E1_value]],"N.A.")</f>
        <v>0</v>
      </c>
      <c r="AG379" s="2" t="str">
        <f>Tab_Data_Flows[[#This Row],[E1_UoM]]</f>
        <v>Mg</v>
      </c>
      <c r="AH379" s="2">
        <f>_xlfn.XLOOKUP(Tab_Data_Flows[[#This Row],[Flow_Name]],Tab_Def_Flows[Flow_Name],Tab_Def_Flows[Flow_E5_Fraction'[%']],"N.A.",0,1)</f>
        <v>0</v>
      </c>
      <c r="AI379" s="2">
        <f>IF(H379="Yes",Tab_Data_Flows[[#This Row],[E5_Fraction'[%']]]*Tab_Data_Flows[[#This Row],[E1_value]],"N.A.")</f>
        <v>0</v>
      </c>
      <c r="AJ379" s="2" t="str">
        <f>Tab_Data_Flows[[#This Row],[E1_UoM]]</f>
        <v>Mg</v>
      </c>
      <c r="AK379" s="19">
        <f>_xlfn.XLOOKUP(Tab_Data_Flows[[#This Row],[Flow_Name]],Tab_Def_Flows[Flow_Name],Tab_Def_Flows[Flow_E6_Fraction'[%']],"N.A.",0,1)</f>
        <v>0</v>
      </c>
      <c r="AL379" s="2">
        <f>IF(Tab_Data_Flows[[#This Row],[Use_E6]]="Yes",Tab_Data_Flows[[#This Row],[E6_Fraction'[%']]]*Tab_Data_Flows[[#This Row],[E1_value]],"N.A.")</f>
        <v>0</v>
      </c>
      <c r="AM379" s="2" t="str">
        <f>Tab_Data_Flows[[#This Row],[E1_UoM]]</f>
        <v>Mg</v>
      </c>
    </row>
    <row r="380" spans="1:39" x14ac:dyDescent="0.25">
      <c r="A380" s="4">
        <f t="shared" si="12"/>
        <v>379</v>
      </c>
      <c r="B380" s="2" t="str">
        <f>_xlfn.XLOOKUP(C380,Tab_Def_Flows[Flow_Name],Tab_Def_Flows[Flow_ID],,0,)</f>
        <v>F__</v>
      </c>
      <c r="C380" s="18" t="s">
        <v>5</v>
      </c>
      <c r="D380" s="5" t="str">
        <f>_xlfn.XLOOKUP(C380,Tab_Def_Flows[Flow_Name],Tab_Def_Flows[Use_E1],,0,)</f>
        <v>Yes</v>
      </c>
      <c r="E380" s="5" t="str">
        <f>_xlfn.XLOOKUP(C380,Tab_Def_Flows[Flow_Name],Tab_Def_Flows[Use_E2],,0,)</f>
        <v>Yes</v>
      </c>
      <c r="F380" s="5" t="str">
        <f>_xlfn.XLOOKUP(C380,Tab_Def_Flows[Flow_Name],Tab_Def_Flows[Use_E3],,0,)</f>
        <v>Yes</v>
      </c>
      <c r="G380" s="5" t="str">
        <f>_xlfn.XLOOKUP(C380,Tab_Def_Flows[Flow_Name],Tab_Def_Flows[Use_E4],,0,)</f>
        <v>Yes</v>
      </c>
      <c r="H380" s="5" t="str">
        <f>_xlfn.XLOOKUP(C380,Tab_Def_Flows[Flow_Name],Tab_Def_Flows[Use_E5],,0,)</f>
        <v>Yes</v>
      </c>
      <c r="I380" s="5" t="str">
        <f>_xlfn.XLOOKUP(C380,Tab_Def_Flows[Flow_Name],Tab_Def_Flows[Use_E6],,0,)</f>
        <v>Yes</v>
      </c>
      <c r="J380" s="3"/>
      <c r="K380" s="3"/>
      <c r="L380" s="2" t="str">
        <f>'0_Configuration'!$C$41</f>
        <v>Mg</v>
      </c>
      <c r="M380" s="9"/>
      <c r="N380" s="9"/>
      <c r="O380" s="9"/>
      <c r="P380" s="9"/>
      <c r="Q380" s="18" t="s">
        <v>3</v>
      </c>
      <c r="R380" s="3"/>
      <c r="S380" s="3"/>
      <c r="T380" s="9"/>
      <c r="U380" s="9"/>
      <c r="V380" s="2">
        <f>_xlfn.XLOOKUP(Tab_Data_Flows[[#This Row],[Flow_Name]],Tab_Def_Flows[Flow_Name],Tab_Def_Flows[Flow_E1_Fraction'[%']],"N.A.",0,1)</f>
        <v>0</v>
      </c>
      <c r="W380" s="8">
        <f t="shared" si="14"/>
        <v>0</v>
      </c>
      <c r="X380" s="2" t="str">
        <f>Tab_Data_Flows[[#This Row],[UoM_Source]]</f>
        <v>Mg</v>
      </c>
      <c r="Y380" s="19">
        <f>_xlfn.XLOOKUP(Tab_Data_Flows[[#This Row],[Flow_Name]],Tab_Def_Flows[Flow_Name],Tab_Def_Flows[Flow_E2_Fraction'[%']],"N.A.",0,1)</f>
        <v>0</v>
      </c>
      <c r="Z380" s="2">
        <f>IF(D380="Yes",W380*Tab_Data_Flows[[#This Row],[E2_Fraction'[%']]],"N.A.")</f>
        <v>0</v>
      </c>
      <c r="AA380" s="2" t="str">
        <f>Tab_Data_Flows[[#This Row],[E1_UoM]]</f>
        <v>Mg</v>
      </c>
      <c r="AB380" s="19">
        <f>_xlfn.XLOOKUP(Tab_Data_Flows[[#This Row],[Flow_Name]],Tab_Def_Flows[Flow_Name],Tab_Def_Flows[Flow_E3_Fraction'[%']],"N.A.",0,1)</f>
        <v>0</v>
      </c>
      <c r="AC380" s="2">
        <f>IF(E380="Yes",AB380*Tab_Data_Flows[[#This Row],[E1_value]],"N.A.")</f>
        <v>0</v>
      </c>
      <c r="AD380" s="2" t="str">
        <f>Tab_Data_Flows[[#This Row],[E1_UoM]]</f>
        <v>Mg</v>
      </c>
      <c r="AE380" s="19">
        <f>_xlfn.XLOOKUP(Tab_Data_Flows[[#This Row],[Flow_Name]],Tab_Def_Flows[Flow_Name],Tab_Def_Flows[Flow_E4_Fraction'[%']],"N.A.",0,1)</f>
        <v>0</v>
      </c>
      <c r="AF380" s="2">
        <f>IF(H380="Yes",Tab_Data_Flows[[#This Row],[E4_Fraction'[%']]]*Tab_Data_Flows[[#This Row],[E1_value]],"N.A.")</f>
        <v>0</v>
      </c>
      <c r="AG380" s="2" t="str">
        <f>Tab_Data_Flows[[#This Row],[E1_UoM]]</f>
        <v>Mg</v>
      </c>
      <c r="AH380" s="2">
        <f>_xlfn.XLOOKUP(Tab_Data_Flows[[#This Row],[Flow_Name]],Tab_Def_Flows[Flow_Name],Tab_Def_Flows[Flow_E5_Fraction'[%']],"N.A.",0,1)</f>
        <v>0</v>
      </c>
      <c r="AI380" s="2">
        <f>IF(H380="Yes",Tab_Data_Flows[[#This Row],[E5_Fraction'[%']]]*Tab_Data_Flows[[#This Row],[E1_value]],"N.A.")</f>
        <v>0</v>
      </c>
      <c r="AJ380" s="2" t="str">
        <f>Tab_Data_Flows[[#This Row],[E1_UoM]]</f>
        <v>Mg</v>
      </c>
      <c r="AK380" s="19">
        <f>_xlfn.XLOOKUP(Tab_Data_Flows[[#This Row],[Flow_Name]],Tab_Def_Flows[Flow_Name],Tab_Def_Flows[Flow_E6_Fraction'[%']],"N.A.",0,1)</f>
        <v>0</v>
      </c>
      <c r="AL380" s="2">
        <f>IF(Tab_Data_Flows[[#This Row],[Use_E6]]="Yes",Tab_Data_Flows[[#This Row],[E6_Fraction'[%']]]*Tab_Data_Flows[[#This Row],[E1_value]],"N.A.")</f>
        <v>0</v>
      </c>
      <c r="AM380" s="2" t="str">
        <f>Tab_Data_Flows[[#This Row],[E1_UoM]]</f>
        <v>Mg</v>
      </c>
    </row>
    <row r="381" spans="1:39" x14ac:dyDescent="0.25">
      <c r="A381" s="4">
        <f t="shared" si="12"/>
        <v>380</v>
      </c>
      <c r="B381" s="2" t="str">
        <f>_xlfn.XLOOKUP(C381,Tab_Def_Flows[Flow_Name],Tab_Def_Flows[Flow_ID],,0,)</f>
        <v>F__</v>
      </c>
      <c r="C381" s="18" t="s">
        <v>5</v>
      </c>
      <c r="D381" s="5" t="str">
        <f>_xlfn.XLOOKUP(C381,Tab_Def_Flows[Flow_Name],Tab_Def_Flows[Use_E1],,0,)</f>
        <v>Yes</v>
      </c>
      <c r="E381" s="5" t="str">
        <f>_xlfn.XLOOKUP(C381,Tab_Def_Flows[Flow_Name],Tab_Def_Flows[Use_E2],,0,)</f>
        <v>Yes</v>
      </c>
      <c r="F381" s="5" t="str">
        <f>_xlfn.XLOOKUP(C381,Tab_Def_Flows[Flow_Name],Tab_Def_Flows[Use_E3],,0,)</f>
        <v>Yes</v>
      </c>
      <c r="G381" s="5" t="str">
        <f>_xlfn.XLOOKUP(C381,Tab_Def_Flows[Flow_Name],Tab_Def_Flows[Use_E4],,0,)</f>
        <v>Yes</v>
      </c>
      <c r="H381" s="5" t="str">
        <f>_xlfn.XLOOKUP(C381,Tab_Def_Flows[Flow_Name],Tab_Def_Flows[Use_E5],,0,)</f>
        <v>Yes</v>
      </c>
      <c r="I381" s="5" t="str">
        <f>_xlfn.XLOOKUP(C381,Tab_Def_Flows[Flow_Name],Tab_Def_Flows[Use_E6],,0,)</f>
        <v>Yes</v>
      </c>
      <c r="J381" s="3"/>
      <c r="K381" s="3"/>
      <c r="L381" s="2" t="str">
        <f>'0_Configuration'!$C$41</f>
        <v>Mg</v>
      </c>
      <c r="M381" s="9"/>
      <c r="N381" s="9"/>
      <c r="O381" s="9"/>
      <c r="P381" s="9"/>
      <c r="Q381" s="18" t="s">
        <v>3</v>
      </c>
      <c r="R381" s="3"/>
      <c r="S381" s="3"/>
      <c r="T381" s="9"/>
      <c r="U381" s="9"/>
      <c r="V381" s="2">
        <f>_xlfn.XLOOKUP(Tab_Data_Flows[[#This Row],[Flow_Name]],Tab_Def_Flows[Flow_Name],Tab_Def_Flows[Flow_E1_Fraction'[%']],"N.A.",0,1)</f>
        <v>0</v>
      </c>
      <c r="W381" s="8">
        <f t="shared" si="14"/>
        <v>0</v>
      </c>
      <c r="X381" s="2" t="str">
        <f>Tab_Data_Flows[[#This Row],[UoM_Source]]</f>
        <v>Mg</v>
      </c>
      <c r="Y381" s="19">
        <f>_xlfn.XLOOKUP(Tab_Data_Flows[[#This Row],[Flow_Name]],Tab_Def_Flows[Flow_Name],Tab_Def_Flows[Flow_E2_Fraction'[%']],"N.A.",0,1)</f>
        <v>0</v>
      </c>
      <c r="Z381" s="2">
        <f>IF(D381="Yes",W381*Tab_Data_Flows[[#This Row],[E2_Fraction'[%']]],"N.A.")</f>
        <v>0</v>
      </c>
      <c r="AA381" s="2" t="str">
        <f>Tab_Data_Flows[[#This Row],[E1_UoM]]</f>
        <v>Mg</v>
      </c>
      <c r="AB381" s="19">
        <f>_xlfn.XLOOKUP(Tab_Data_Flows[[#This Row],[Flow_Name]],Tab_Def_Flows[Flow_Name],Tab_Def_Flows[Flow_E3_Fraction'[%']],"N.A.",0,1)</f>
        <v>0</v>
      </c>
      <c r="AC381" s="2">
        <f>IF(E381="Yes",AB381*Tab_Data_Flows[[#This Row],[E1_value]],"N.A.")</f>
        <v>0</v>
      </c>
      <c r="AD381" s="2" t="str">
        <f>Tab_Data_Flows[[#This Row],[E1_UoM]]</f>
        <v>Mg</v>
      </c>
      <c r="AE381" s="19">
        <f>_xlfn.XLOOKUP(Tab_Data_Flows[[#This Row],[Flow_Name]],Tab_Def_Flows[Flow_Name],Tab_Def_Flows[Flow_E4_Fraction'[%']],"N.A.",0,1)</f>
        <v>0</v>
      </c>
      <c r="AF381" s="2">
        <f>IF(H381="Yes",Tab_Data_Flows[[#This Row],[E4_Fraction'[%']]]*Tab_Data_Flows[[#This Row],[E1_value]],"N.A.")</f>
        <v>0</v>
      </c>
      <c r="AG381" s="2" t="str">
        <f>Tab_Data_Flows[[#This Row],[E1_UoM]]</f>
        <v>Mg</v>
      </c>
      <c r="AH381" s="2">
        <f>_xlfn.XLOOKUP(Tab_Data_Flows[[#This Row],[Flow_Name]],Tab_Def_Flows[Flow_Name],Tab_Def_Flows[Flow_E5_Fraction'[%']],"N.A.",0,1)</f>
        <v>0</v>
      </c>
      <c r="AI381" s="2">
        <f>IF(H381="Yes",Tab_Data_Flows[[#This Row],[E5_Fraction'[%']]]*Tab_Data_Flows[[#This Row],[E1_value]],"N.A.")</f>
        <v>0</v>
      </c>
      <c r="AJ381" s="2" t="str">
        <f>Tab_Data_Flows[[#This Row],[E1_UoM]]</f>
        <v>Mg</v>
      </c>
      <c r="AK381" s="19">
        <f>_xlfn.XLOOKUP(Tab_Data_Flows[[#This Row],[Flow_Name]],Tab_Def_Flows[Flow_Name],Tab_Def_Flows[Flow_E6_Fraction'[%']],"N.A.",0,1)</f>
        <v>0</v>
      </c>
      <c r="AL381" s="2">
        <f>IF(Tab_Data_Flows[[#This Row],[Use_E6]]="Yes",Tab_Data_Flows[[#This Row],[E6_Fraction'[%']]]*Tab_Data_Flows[[#This Row],[E1_value]],"N.A.")</f>
        <v>0</v>
      </c>
      <c r="AM381" s="2" t="str">
        <f>Tab_Data_Flows[[#This Row],[E1_UoM]]</f>
        <v>Mg</v>
      </c>
    </row>
    <row r="382" spans="1:39" x14ac:dyDescent="0.25">
      <c r="A382" s="4">
        <f t="shared" si="12"/>
        <v>381</v>
      </c>
      <c r="B382" s="2" t="str">
        <f>_xlfn.XLOOKUP(C382,Tab_Def_Flows[Flow_Name],Tab_Def_Flows[Flow_ID],,0,)</f>
        <v>F__</v>
      </c>
      <c r="C382" s="18" t="s">
        <v>5</v>
      </c>
      <c r="D382" s="5" t="str">
        <f>_xlfn.XLOOKUP(C382,Tab_Def_Flows[Flow_Name],Tab_Def_Flows[Use_E1],,0,)</f>
        <v>Yes</v>
      </c>
      <c r="E382" s="5" t="str">
        <f>_xlfn.XLOOKUP(C382,Tab_Def_Flows[Flow_Name],Tab_Def_Flows[Use_E2],,0,)</f>
        <v>Yes</v>
      </c>
      <c r="F382" s="5" t="str">
        <f>_xlfn.XLOOKUP(C382,Tab_Def_Flows[Flow_Name],Tab_Def_Flows[Use_E3],,0,)</f>
        <v>Yes</v>
      </c>
      <c r="G382" s="5" t="str">
        <f>_xlfn.XLOOKUP(C382,Tab_Def_Flows[Flow_Name],Tab_Def_Flows[Use_E4],,0,)</f>
        <v>Yes</v>
      </c>
      <c r="H382" s="5" t="str">
        <f>_xlfn.XLOOKUP(C382,Tab_Def_Flows[Flow_Name],Tab_Def_Flows[Use_E5],,0,)</f>
        <v>Yes</v>
      </c>
      <c r="I382" s="5" t="str">
        <f>_xlfn.XLOOKUP(C382,Tab_Def_Flows[Flow_Name],Tab_Def_Flows[Use_E6],,0,)</f>
        <v>Yes</v>
      </c>
      <c r="J382" s="3"/>
      <c r="K382" s="3"/>
      <c r="L382" s="2" t="str">
        <f>'0_Configuration'!$C$41</f>
        <v>Mg</v>
      </c>
      <c r="M382" s="9"/>
      <c r="N382" s="9"/>
      <c r="O382" s="9"/>
      <c r="P382" s="9"/>
      <c r="Q382" s="18" t="s">
        <v>3</v>
      </c>
      <c r="R382" s="3"/>
      <c r="S382" s="3"/>
      <c r="T382" s="9"/>
      <c r="U382" s="9"/>
      <c r="V382" s="2">
        <f>_xlfn.XLOOKUP(Tab_Data_Flows[[#This Row],[Flow_Name]],Tab_Def_Flows[Flow_Name],Tab_Def_Flows[Flow_E1_Fraction'[%']],"N.A.",0,1)</f>
        <v>0</v>
      </c>
      <c r="W382" s="8">
        <f t="shared" si="14"/>
        <v>0</v>
      </c>
      <c r="X382" s="2" t="str">
        <f>Tab_Data_Flows[[#This Row],[UoM_Source]]</f>
        <v>Mg</v>
      </c>
      <c r="Y382" s="19">
        <f>_xlfn.XLOOKUP(Tab_Data_Flows[[#This Row],[Flow_Name]],Tab_Def_Flows[Flow_Name],Tab_Def_Flows[Flow_E2_Fraction'[%']],"N.A.",0,1)</f>
        <v>0</v>
      </c>
      <c r="Z382" s="2">
        <f>IF(D382="Yes",W382*Tab_Data_Flows[[#This Row],[E2_Fraction'[%']]],"N.A.")</f>
        <v>0</v>
      </c>
      <c r="AA382" s="2" t="str">
        <f>Tab_Data_Flows[[#This Row],[E1_UoM]]</f>
        <v>Mg</v>
      </c>
      <c r="AB382" s="19">
        <f>_xlfn.XLOOKUP(Tab_Data_Flows[[#This Row],[Flow_Name]],Tab_Def_Flows[Flow_Name],Tab_Def_Flows[Flow_E3_Fraction'[%']],"N.A.",0,1)</f>
        <v>0</v>
      </c>
      <c r="AC382" s="2">
        <f>IF(E382="Yes",AB382*Tab_Data_Flows[[#This Row],[E1_value]],"N.A.")</f>
        <v>0</v>
      </c>
      <c r="AD382" s="2" t="str">
        <f>Tab_Data_Flows[[#This Row],[E1_UoM]]</f>
        <v>Mg</v>
      </c>
      <c r="AE382" s="19">
        <f>_xlfn.XLOOKUP(Tab_Data_Flows[[#This Row],[Flow_Name]],Tab_Def_Flows[Flow_Name],Tab_Def_Flows[Flow_E4_Fraction'[%']],"N.A.",0,1)</f>
        <v>0</v>
      </c>
      <c r="AF382" s="2">
        <f>IF(H382="Yes",Tab_Data_Flows[[#This Row],[E4_Fraction'[%']]]*Tab_Data_Flows[[#This Row],[E1_value]],"N.A.")</f>
        <v>0</v>
      </c>
      <c r="AG382" s="2" t="str">
        <f>Tab_Data_Flows[[#This Row],[E1_UoM]]</f>
        <v>Mg</v>
      </c>
      <c r="AH382" s="2">
        <f>_xlfn.XLOOKUP(Tab_Data_Flows[[#This Row],[Flow_Name]],Tab_Def_Flows[Flow_Name],Tab_Def_Flows[Flow_E5_Fraction'[%']],"N.A.",0,1)</f>
        <v>0</v>
      </c>
      <c r="AI382" s="2">
        <f>IF(H382="Yes",Tab_Data_Flows[[#This Row],[E5_Fraction'[%']]]*Tab_Data_Flows[[#This Row],[E1_value]],"N.A.")</f>
        <v>0</v>
      </c>
      <c r="AJ382" s="2" t="str">
        <f>Tab_Data_Flows[[#This Row],[E1_UoM]]</f>
        <v>Mg</v>
      </c>
      <c r="AK382" s="19">
        <f>_xlfn.XLOOKUP(Tab_Data_Flows[[#This Row],[Flow_Name]],Tab_Def_Flows[Flow_Name],Tab_Def_Flows[Flow_E6_Fraction'[%']],"N.A.",0,1)</f>
        <v>0</v>
      </c>
      <c r="AL382" s="2">
        <f>IF(Tab_Data_Flows[[#This Row],[Use_E6]]="Yes",Tab_Data_Flows[[#This Row],[E6_Fraction'[%']]]*Tab_Data_Flows[[#This Row],[E1_value]],"N.A.")</f>
        <v>0</v>
      </c>
      <c r="AM382" s="2" t="str">
        <f>Tab_Data_Flows[[#This Row],[E1_UoM]]</f>
        <v>Mg</v>
      </c>
    </row>
    <row r="383" spans="1:39" x14ac:dyDescent="0.25">
      <c r="A383" s="4">
        <f t="shared" si="12"/>
        <v>382</v>
      </c>
      <c r="B383" s="2" t="str">
        <f>_xlfn.XLOOKUP(C383,Tab_Def_Flows[Flow_Name],Tab_Def_Flows[Flow_ID],,0,)</f>
        <v>F__</v>
      </c>
      <c r="C383" s="18" t="s">
        <v>5</v>
      </c>
      <c r="D383" s="5" t="str">
        <f>_xlfn.XLOOKUP(C383,Tab_Def_Flows[Flow_Name],Tab_Def_Flows[Use_E1],,0,)</f>
        <v>Yes</v>
      </c>
      <c r="E383" s="5" t="str">
        <f>_xlfn.XLOOKUP(C383,Tab_Def_Flows[Flow_Name],Tab_Def_Flows[Use_E2],,0,)</f>
        <v>Yes</v>
      </c>
      <c r="F383" s="5" t="str">
        <f>_xlfn.XLOOKUP(C383,Tab_Def_Flows[Flow_Name],Tab_Def_Flows[Use_E3],,0,)</f>
        <v>Yes</v>
      </c>
      <c r="G383" s="5" t="str">
        <f>_xlfn.XLOOKUP(C383,Tab_Def_Flows[Flow_Name],Tab_Def_Flows[Use_E4],,0,)</f>
        <v>Yes</v>
      </c>
      <c r="H383" s="5" t="str">
        <f>_xlfn.XLOOKUP(C383,Tab_Def_Flows[Flow_Name],Tab_Def_Flows[Use_E5],,0,)</f>
        <v>Yes</v>
      </c>
      <c r="I383" s="5" t="str">
        <f>_xlfn.XLOOKUP(C383,Tab_Def_Flows[Flow_Name],Tab_Def_Flows[Use_E6],,0,)</f>
        <v>Yes</v>
      </c>
      <c r="J383" s="3"/>
      <c r="K383" s="3"/>
      <c r="L383" s="2" t="str">
        <f>'0_Configuration'!$C$41</f>
        <v>Mg</v>
      </c>
      <c r="M383" s="9"/>
      <c r="N383" s="9"/>
      <c r="O383" s="9"/>
      <c r="P383" s="9"/>
      <c r="Q383" s="18" t="s">
        <v>3</v>
      </c>
      <c r="R383" s="3"/>
      <c r="S383" s="3"/>
      <c r="T383" s="9"/>
      <c r="U383" s="9"/>
      <c r="V383" s="2">
        <f>_xlfn.XLOOKUP(Tab_Data_Flows[[#This Row],[Flow_Name]],Tab_Def_Flows[Flow_Name],Tab_Def_Flows[Flow_E1_Fraction'[%']],"N.A.",0,1)</f>
        <v>0</v>
      </c>
      <c r="W383" s="8">
        <f t="shared" si="14"/>
        <v>0</v>
      </c>
      <c r="X383" s="2" t="str">
        <f>Tab_Data_Flows[[#This Row],[UoM_Source]]</f>
        <v>Mg</v>
      </c>
      <c r="Y383" s="19">
        <f>_xlfn.XLOOKUP(Tab_Data_Flows[[#This Row],[Flow_Name]],Tab_Def_Flows[Flow_Name],Tab_Def_Flows[Flow_E2_Fraction'[%']],"N.A.",0,1)</f>
        <v>0</v>
      </c>
      <c r="Z383" s="2">
        <f>IF(D383="Yes",W383*Tab_Data_Flows[[#This Row],[E2_Fraction'[%']]],"N.A.")</f>
        <v>0</v>
      </c>
      <c r="AA383" s="2" t="str">
        <f>Tab_Data_Flows[[#This Row],[E1_UoM]]</f>
        <v>Mg</v>
      </c>
      <c r="AB383" s="19">
        <f>_xlfn.XLOOKUP(Tab_Data_Flows[[#This Row],[Flow_Name]],Tab_Def_Flows[Flow_Name],Tab_Def_Flows[Flow_E3_Fraction'[%']],"N.A.",0,1)</f>
        <v>0</v>
      </c>
      <c r="AC383" s="2">
        <f>IF(E383="Yes",AB383*Tab_Data_Flows[[#This Row],[E1_value]],"N.A.")</f>
        <v>0</v>
      </c>
      <c r="AD383" s="2" t="str">
        <f>Tab_Data_Flows[[#This Row],[E1_UoM]]</f>
        <v>Mg</v>
      </c>
      <c r="AE383" s="19">
        <f>_xlfn.XLOOKUP(Tab_Data_Flows[[#This Row],[Flow_Name]],Tab_Def_Flows[Flow_Name],Tab_Def_Flows[Flow_E4_Fraction'[%']],"N.A.",0,1)</f>
        <v>0</v>
      </c>
      <c r="AF383" s="2">
        <f>IF(H383="Yes",Tab_Data_Flows[[#This Row],[E4_Fraction'[%']]]*Tab_Data_Flows[[#This Row],[E1_value]],"N.A.")</f>
        <v>0</v>
      </c>
      <c r="AG383" s="2" t="str">
        <f>Tab_Data_Flows[[#This Row],[E1_UoM]]</f>
        <v>Mg</v>
      </c>
      <c r="AH383" s="2">
        <f>_xlfn.XLOOKUP(Tab_Data_Flows[[#This Row],[Flow_Name]],Tab_Def_Flows[Flow_Name],Tab_Def_Flows[Flow_E5_Fraction'[%']],"N.A.",0,1)</f>
        <v>0</v>
      </c>
      <c r="AI383" s="2">
        <f>IF(H383="Yes",Tab_Data_Flows[[#This Row],[E5_Fraction'[%']]]*Tab_Data_Flows[[#This Row],[E1_value]],"N.A.")</f>
        <v>0</v>
      </c>
      <c r="AJ383" s="2" t="str">
        <f>Tab_Data_Flows[[#This Row],[E1_UoM]]</f>
        <v>Mg</v>
      </c>
      <c r="AK383" s="19">
        <f>_xlfn.XLOOKUP(Tab_Data_Flows[[#This Row],[Flow_Name]],Tab_Def_Flows[Flow_Name],Tab_Def_Flows[Flow_E6_Fraction'[%']],"N.A.",0,1)</f>
        <v>0</v>
      </c>
      <c r="AL383" s="2">
        <f>IF(Tab_Data_Flows[[#This Row],[Use_E6]]="Yes",Tab_Data_Flows[[#This Row],[E6_Fraction'[%']]]*Tab_Data_Flows[[#This Row],[E1_value]],"N.A.")</f>
        <v>0</v>
      </c>
      <c r="AM383" s="2" t="str">
        <f>Tab_Data_Flows[[#This Row],[E1_UoM]]</f>
        <v>Mg</v>
      </c>
    </row>
    <row r="384" spans="1:39" x14ac:dyDescent="0.25">
      <c r="A384" s="4">
        <f t="shared" si="12"/>
        <v>383</v>
      </c>
      <c r="B384" s="2" t="str">
        <f>_xlfn.XLOOKUP(C384,Tab_Def_Flows[Flow_Name],Tab_Def_Flows[Flow_ID],,0,)</f>
        <v>F__</v>
      </c>
      <c r="C384" s="18" t="s">
        <v>5</v>
      </c>
      <c r="D384" s="5" t="str">
        <f>_xlfn.XLOOKUP(C384,Tab_Def_Flows[Flow_Name],Tab_Def_Flows[Use_E1],,0,)</f>
        <v>Yes</v>
      </c>
      <c r="E384" s="5" t="str">
        <f>_xlfn.XLOOKUP(C384,Tab_Def_Flows[Flow_Name],Tab_Def_Flows[Use_E2],,0,)</f>
        <v>Yes</v>
      </c>
      <c r="F384" s="5" t="str">
        <f>_xlfn.XLOOKUP(C384,Tab_Def_Flows[Flow_Name],Tab_Def_Flows[Use_E3],,0,)</f>
        <v>Yes</v>
      </c>
      <c r="G384" s="5" t="str">
        <f>_xlfn.XLOOKUP(C384,Tab_Def_Flows[Flow_Name],Tab_Def_Flows[Use_E4],,0,)</f>
        <v>Yes</v>
      </c>
      <c r="H384" s="5" t="str">
        <f>_xlfn.XLOOKUP(C384,Tab_Def_Flows[Flow_Name],Tab_Def_Flows[Use_E5],,0,)</f>
        <v>Yes</v>
      </c>
      <c r="I384" s="5" t="str">
        <f>_xlfn.XLOOKUP(C384,Tab_Def_Flows[Flow_Name],Tab_Def_Flows[Use_E6],,0,)</f>
        <v>Yes</v>
      </c>
      <c r="J384" s="3"/>
      <c r="K384" s="3"/>
      <c r="L384" s="2" t="str">
        <f>'0_Configuration'!$C$41</f>
        <v>Mg</v>
      </c>
      <c r="M384" s="9"/>
      <c r="N384" s="9"/>
      <c r="O384" s="9"/>
      <c r="P384" s="9"/>
      <c r="Q384" s="18" t="s">
        <v>3</v>
      </c>
      <c r="R384" s="3"/>
      <c r="S384" s="3"/>
      <c r="T384" s="9"/>
      <c r="U384" s="9"/>
      <c r="V384" s="2">
        <f>_xlfn.XLOOKUP(Tab_Data_Flows[[#This Row],[Flow_Name]],Tab_Def_Flows[Flow_Name],Tab_Def_Flows[Flow_E1_Fraction'[%']],"N.A.",0,1)</f>
        <v>0</v>
      </c>
      <c r="W384" s="8">
        <f t="shared" si="14"/>
        <v>0</v>
      </c>
      <c r="X384" s="2" t="str">
        <f>Tab_Data_Flows[[#This Row],[UoM_Source]]</f>
        <v>Mg</v>
      </c>
      <c r="Y384" s="19">
        <f>_xlfn.XLOOKUP(Tab_Data_Flows[[#This Row],[Flow_Name]],Tab_Def_Flows[Flow_Name],Tab_Def_Flows[Flow_E2_Fraction'[%']],"N.A.",0,1)</f>
        <v>0</v>
      </c>
      <c r="Z384" s="2">
        <f>IF(D384="Yes",W384*Tab_Data_Flows[[#This Row],[E2_Fraction'[%']]],"N.A.")</f>
        <v>0</v>
      </c>
      <c r="AA384" s="2" t="str">
        <f>Tab_Data_Flows[[#This Row],[E1_UoM]]</f>
        <v>Mg</v>
      </c>
      <c r="AB384" s="19">
        <f>_xlfn.XLOOKUP(Tab_Data_Flows[[#This Row],[Flow_Name]],Tab_Def_Flows[Flow_Name],Tab_Def_Flows[Flow_E3_Fraction'[%']],"N.A.",0,1)</f>
        <v>0</v>
      </c>
      <c r="AC384" s="2">
        <f>IF(E384="Yes",AB384*Tab_Data_Flows[[#This Row],[E1_value]],"N.A.")</f>
        <v>0</v>
      </c>
      <c r="AD384" s="2" t="str">
        <f>Tab_Data_Flows[[#This Row],[E1_UoM]]</f>
        <v>Mg</v>
      </c>
      <c r="AE384" s="19">
        <f>_xlfn.XLOOKUP(Tab_Data_Flows[[#This Row],[Flow_Name]],Tab_Def_Flows[Flow_Name],Tab_Def_Flows[Flow_E4_Fraction'[%']],"N.A.",0,1)</f>
        <v>0</v>
      </c>
      <c r="AF384" s="2">
        <f>IF(H384="Yes",Tab_Data_Flows[[#This Row],[E4_Fraction'[%']]]*Tab_Data_Flows[[#This Row],[E1_value]],"N.A.")</f>
        <v>0</v>
      </c>
      <c r="AG384" s="2" t="str">
        <f>Tab_Data_Flows[[#This Row],[E1_UoM]]</f>
        <v>Mg</v>
      </c>
      <c r="AH384" s="2">
        <f>_xlfn.XLOOKUP(Tab_Data_Flows[[#This Row],[Flow_Name]],Tab_Def_Flows[Flow_Name],Tab_Def_Flows[Flow_E5_Fraction'[%']],"N.A.",0,1)</f>
        <v>0</v>
      </c>
      <c r="AI384" s="2">
        <f>IF(H384="Yes",Tab_Data_Flows[[#This Row],[E5_Fraction'[%']]]*Tab_Data_Flows[[#This Row],[E1_value]],"N.A.")</f>
        <v>0</v>
      </c>
      <c r="AJ384" s="2" t="str">
        <f>Tab_Data_Flows[[#This Row],[E1_UoM]]</f>
        <v>Mg</v>
      </c>
      <c r="AK384" s="19">
        <f>_xlfn.XLOOKUP(Tab_Data_Flows[[#This Row],[Flow_Name]],Tab_Def_Flows[Flow_Name],Tab_Def_Flows[Flow_E6_Fraction'[%']],"N.A.",0,1)</f>
        <v>0</v>
      </c>
      <c r="AL384" s="2">
        <f>IF(Tab_Data_Flows[[#This Row],[Use_E6]]="Yes",Tab_Data_Flows[[#This Row],[E6_Fraction'[%']]]*Tab_Data_Flows[[#This Row],[E1_value]],"N.A.")</f>
        <v>0</v>
      </c>
      <c r="AM384" s="2" t="str">
        <f>Tab_Data_Flows[[#This Row],[E1_UoM]]</f>
        <v>Mg</v>
      </c>
    </row>
    <row r="385" spans="1:39" x14ac:dyDescent="0.25">
      <c r="A385" s="4">
        <f t="shared" si="12"/>
        <v>384</v>
      </c>
      <c r="B385" s="2" t="str">
        <f>_xlfn.XLOOKUP(C385,Tab_Def_Flows[Flow_Name],Tab_Def_Flows[Flow_ID],,0,)</f>
        <v>F__</v>
      </c>
      <c r="C385" s="18" t="s">
        <v>5</v>
      </c>
      <c r="D385" s="5" t="str">
        <f>_xlfn.XLOOKUP(C385,Tab_Def_Flows[Flow_Name],Tab_Def_Flows[Use_E1],,0,)</f>
        <v>Yes</v>
      </c>
      <c r="E385" s="5" t="str">
        <f>_xlfn.XLOOKUP(C385,Tab_Def_Flows[Flow_Name],Tab_Def_Flows[Use_E2],,0,)</f>
        <v>Yes</v>
      </c>
      <c r="F385" s="5" t="str">
        <f>_xlfn.XLOOKUP(C385,Tab_Def_Flows[Flow_Name],Tab_Def_Flows[Use_E3],,0,)</f>
        <v>Yes</v>
      </c>
      <c r="G385" s="5" t="str">
        <f>_xlfn.XLOOKUP(C385,Tab_Def_Flows[Flow_Name],Tab_Def_Flows[Use_E4],,0,)</f>
        <v>Yes</v>
      </c>
      <c r="H385" s="5" t="str">
        <f>_xlfn.XLOOKUP(C385,Tab_Def_Flows[Flow_Name],Tab_Def_Flows[Use_E5],,0,)</f>
        <v>Yes</v>
      </c>
      <c r="I385" s="5" t="str">
        <f>_xlfn.XLOOKUP(C385,Tab_Def_Flows[Flow_Name],Tab_Def_Flows[Use_E6],,0,)</f>
        <v>Yes</v>
      </c>
      <c r="J385" s="3"/>
      <c r="K385" s="3"/>
      <c r="L385" s="2" t="str">
        <f>'0_Configuration'!$C$41</f>
        <v>Mg</v>
      </c>
      <c r="M385" s="9"/>
      <c r="N385" s="9"/>
      <c r="O385" s="9"/>
      <c r="P385" s="9"/>
      <c r="Q385" s="18" t="s">
        <v>3</v>
      </c>
      <c r="R385" s="3"/>
      <c r="S385" s="3"/>
      <c r="T385" s="9"/>
      <c r="U385" s="9"/>
      <c r="V385" s="2">
        <f>_xlfn.XLOOKUP(Tab_Data_Flows[[#This Row],[Flow_Name]],Tab_Def_Flows[Flow_Name],Tab_Def_Flows[Flow_E1_Fraction'[%']],"N.A.",0,1)</f>
        <v>0</v>
      </c>
      <c r="W385" s="8">
        <f t="shared" si="14"/>
        <v>0</v>
      </c>
      <c r="X385" s="2" t="str">
        <f>Tab_Data_Flows[[#This Row],[UoM_Source]]</f>
        <v>Mg</v>
      </c>
      <c r="Y385" s="19">
        <f>_xlfn.XLOOKUP(Tab_Data_Flows[[#This Row],[Flow_Name]],Tab_Def_Flows[Flow_Name],Tab_Def_Flows[Flow_E2_Fraction'[%']],"N.A.",0,1)</f>
        <v>0</v>
      </c>
      <c r="Z385" s="2">
        <f>IF(D385="Yes",W385*Tab_Data_Flows[[#This Row],[E2_Fraction'[%']]],"N.A.")</f>
        <v>0</v>
      </c>
      <c r="AA385" s="2" t="str">
        <f>Tab_Data_Flows[[#This Row],[E1_UoM]]</f>
        <v>Mg</v>
      </c>
      <c r="AB385" s="19">
        <f>_xlfn.XLOOKUP(Tab_Data_Flows[[#This Row],[Flow_Name]],Tab_Def_Flows[Flow_Name],Tab_Def_Flows[Flow_E3_Fraction'[%']],"N.A.",0,1)</f>
        <v>0</v>
      </c>
      <c r="AC385" s="2">
        <f>IF(E385="Yes",AB385*Tab_Data_Flows[[#This Row],[E1_value]],"N.A.")</f>
        <v>0</v>
      </c>
      <c r="AD385" s="2" t="str">
        <f>Tab_Data_Flows[[#This Row],[E1_UoM]]</f>
        <v>Mg</v>
      </c>
      <c r="AE385" s="19">
        <f>_xlfn.XLOOKUP(Tab_Data_Flows[[#This Row],[Flow_Name]],Tab_Def_Flows[Flow_Name],Tab_Def_Flows[Flow_E4_Fraction'[%']],"N.A.",0,1)</f>
        <v>0</v>
      </c>
      <c r="AF385" s="2">
        <f>IF(H385="Yes",Tab_Data_Flows[[#This Row],[E4_Fraction'[%']]]*Tab_Data_Flows[[#This Row],[E1_value]],"N.A.")</f>
        <v>0</v>
      </c>
      <c r="AG385" s="2" t="str">
        <f>Tab_Data_Flows[[#This Row],[E1_UoM]]</f>
        <v>Mg</v>
      </c>
      <c r="AH385" s="2">
        <f>_xlfn.XLOOKUP(Tab_Data_Flows[[#This Row],[Flow_Name]],Tab_Def_Flows[Flow_Name],Tab_Def_Flows[Flow_E5_Fraction'[%']],"N.A.",0,1)</f>
        <v>0</v>
      </c>
      <c r="AI385" s="2">
        <f>IF(H385="Yes",Tab_Data_Flows[[#This Row],[E5_Fraction'[%']]]*Tab_Data_Flows[[#This Row],[E1_value]],"N.A.")</f>
        <v>0</v>
      </c>
      <c r="AJ385" s="2" t="str">
        <f>Tab_Data_Flows[[#This Row],[E1_UoM]]</f>
        <v>Mg</v>
      </c>
      <c r="AK385" s="19">
        <f>_xlfn.XLOOKUP(Tab_Data_Flows[[#This Row],[Flow_Name]],Tab_Def_Flows[Flow_Name],Tab_Def_Flows[Flow_E6_Fraction'[%']],"N.A.",0,1)</f>
        <v>0</v>
      </c>
      <c r="AL385" s="2">
        <f>IF(Tab_Data_Flows[[#This Row],[Use_E6]]="Yes",Tab_Data_Flows[[#This Row],[E6_Fraction'[%']]]*Tab_Data_Flows[[#This Row],[E1_value]],"N.A.")</f>
        <v>0</v>
      </c>
      <c r="AM385" s="2" t="str">
        <f>Tab_Data_Flows[[#This Row],[E1_UoM]]</f>
        <v>Mg</v>
      </c>
    </row>
    <row r="386" spans="1:39" x14ac:dyDescent="0.25">
      <c r="A386" s="4">
        <f t="shared" si="12"/>
        <v>385</v>
      </c>
      <c r="B386" s="2" t="str">
        <f>_xlfn.XLOOKUP(C386,Tab_Def_Flows[Flow_Name],Tab_Def_Flows[Flow_ID],,0,)</f>
        <v>F__</v>
      </c>
      <c r="C386" s="18" t="s">
        <v>5</v>
      </c>
      <c r="D386" s="5" t="str">
        <f>_xlfn.XLOOKUP(C386,Tab_Def_Flows[Flow_Name],Tab_Def_Flows[Use_E1],,0,)</f>
        <v>Yes</v>
      </c>
      <c r="E386" s="5" t="str">
        <f>_xlfn.XLOOKUP(C386,Tab_Def_Flows[Flow_Name],Tab_Def_Flows[Use_E2],,0,)</f>
        <v>Yes</v>
      </c>
      <c r="F386" s="5" t="str">
        <f>_xlfn.XLOOKUP(C386,Tab_Def_Flows[Flow_Name],Tab_Def_Flows[Use_E3],,0,)</f>
        <v>Yes</v>
      </c>
      <c r="G386" s="5" t="str">
        <f>_xlfn.XLOOKUP(C386,Tab_Def_Flows[Flow_Name],Tab_Def_Flows[Use_E4],,0,)</f>
        <v>Yes</v>
      </c>
      <c r="H386" s="5" t="str">
        <f>_xlfn.XLOOKUP(C386,Tab_Def_Flows[Flow_Name],Tab_Def_Flows[Use_E5],,0,)</f>
        <v>Yes</v>
      </c>
      <c r="I386" s="5" t="str">
        <f>_xlfn.XLOOKUP(C386,Tab_Def_Flows[Flow_Name],Tab_Def_Flows[Use_E6],,0,)</f>
        <v>Yes</v>
      </c>
      <c r="J386" s="3"/>
      <c r="K386" s="3"/>
      <c r="L386" s="2" t="str">
        <f>'0_Configuration'!$C$41</f>
        <v>Mg</v>
      </c>
      <c r="M386" s="9"/>
      <c r="N386" s="9"/>
      <c r="O386" s="9"/>
      <c r="P386" s="9"/>
      <c r="Q386" s="18" t="s">
        <v>3</v>
      </c>
      <c r="R386" s="3"/>
      <c r="S386" s="3"/>
      <c r="T386" s="9"/>
      <c r="U386" s="9"/>
      <c r="V386" s="2">
        <f>_xlfn.XLOOKUP(Tab_Data_Flows[[#This Row],[Flow_Name]],Tab_Def_Flows[Flow_Name],Tab_Def_Flows[Flow_E1_Fraction'[%']],"N.A.",0,1)</f>
        <v>0</v>
      </c>
      <c r="W386" s="8">
        <f t="shared" si="14"/>
        <v>0</v>
      </c>
      <c r="X386" s="2" t="str">
        <f>Tab_Data_Flows[[#This Row],[UoM_Source]]</f>
        <v>Mg</v>
      </c>
      <c r="Y386" s="19">
        <f>_xlfn.XLOOKUP(Tab_Data_Flows[[#This Row],[Flow_Name]],Tab_Def_Flows[Flow_Name],Tab_Def_Flows[Flow_E2_Fraction'[%']],"N.A.",0,1)</f>
        <v>0</v>
      </c>
      <c r="Z386" s="2">
        <f>IF(D386="Yes",W386*Tab_Data_Flows[[#This Row],[E2_Fraction'[%']]],"N.A.")</f>
        <v>0</v>
      </c>
      <c r="AA386" s="2" t="str">
        <f>Tab_Data_Flows[[#This Row],[E1_UoM]]</f>
        <v>Mg</v>
      </c>
      <c r="AB386" s="19">
        <f>_xlfn.XLOOKUP(Tab_Data_Flows[[#This Row],[Flow_Name]],Tab_Def_Flows[Flow_Name],Tab_Def_Flows[Flow_E3_Fraction'[%']],"N.A.",0,1)</f>
        <v>0</v>
      </c>
      <c r="AC386" s="2">
        <f>IF(E386="Yes",AB386*Tab_Data_Flows[[#This Row],[E1_value]],"N.A.")</f>
        <v>0</v>
      </c>
      <c r="AD386" s="2" t="str">
        <f>Tab_Data_Flows[[#This Row],[E1_UoM]]</f>
        <v>Mg</v>
      </c>
      <c r="AE386" s="19">
        <f>_xlfn.XLOOKUP(Tab_Data_Flows[[#This Row],[Flow_Name]],Tab_Def_Flows[Flow_Name],Tab_Def_Flows[Flow_E4_Fraction'[%']],"N.A.",0,1)</f>
        <v>0</v>
      </c>
      <c r="AF386" s="2">
        <f>IF(H386="Yes",Tab_Data_Flows[[#This Row],[E4_Fraction'[%']]]*Tab_Data_Flows[[#This Row],[E1_value]],"N.A.")</f>
        <v>0</v>
      </c>
      <c r="AG386" s="2" t="str">
        <f>Tab_Data_Flows[[#This Row],[E1_UoM]]</f>
        <v>Mg</v>
      </c>
      <c r="AH386" s="2">
        <f>_xlfn.XLOOKUP(Tab_Data_Flows[[#This Row],[Flow_Name]],Tab_Def_Flows[Flow_Name],Tab_Def_Flows[Flow_E5_Fraction'[%']],"N.A.",0,1)</f>
        <v>0</v>
      </c>
      <c r="AI386" s="2">
        <f>IF(H386="Yes",Tab_Data_Flows[[#This Row],[E5_Fraction'[%']]]*Tab_Data_Flows[[#This Row],[E1_value]],"N.A.")</f>
        <v>0</v>
      </c>
      <c r="AJ386" s="2" t="str">
        <f>Tab_Data_Flows[[#This Row],[E1_UoM]]</f>
        <v>Mg</v>
      </c>
      <c r="AK386" s="19">
        <f>_xlfn.XLOOKUP(Tab_Data_Flows[[#This Row],[Flow_Name]],Tab_Def_Flows[Flow_Name],Tab_Def_Flows[Flow_E6_Fraction'[%']],"N.A.",0,1)</f>
        <v>0</v>
      </c>
      <c r="AL386" s="2">
        <f>IF(Tab_Data_Flows[[#This Row],[Use_E6]]="Yes",Tab_Data_Flows[[#This Row],[E6_Fraction'[%']]]*Tab_Data_Flows[[#This Row],[E1_value]],"N.A.")</f>
        <v>0</v>
      </c>
      <c r="AM386" s="2" t="str">
        <f>Tab_Data_Flows[[#This Row],[E1_UoM]]</f>
        <v>Mg</v>
      </c>
    </row>
    <row r="387" spans="1:39" x14ac:dyDescent="0.25">
      <c r="A387" s="4">
        <f t="shared" si="12"/>
        <v>386</v>
      </c>
      <c r="B387" s="2" t="str">
        <f>_xlfn.XLOOKUP(C387,Tab_Def_Flows[Flow_Name],Tab_Def_Flows[Flow_ID],,0,)</f>
        <v>F__</v>
      </c>
      <c r="C387" s="18" t="s">
        <v>5</v>
      </c>
      <c r="D387" s="5" t="str">
        <f>_xlfn.XLOOKUP(C387,Tab_Def_Flows[Flow_Name],Tab_Def_Flows[Use_E1],,0,)</f>
        <v>Yes</v>
      </c>
      <c r="E387" s="5" t="str">
        <f>_xlfn.XLOOKUP(C387,Tab_Def_Flows[Flow_Name],Tab_Def_Flows[Use_E2],,0,)</f>
        <v>Yes</v>
      </c>
      <c r="F387" s="5" t="str">
        <f>_xlfn.XLOOKUP(C387,Tab_Def_Flows[Flow_Name],Tab_Def_Flows[Use_E3],,0,)</f>
        <v>Yes</v>
      </c>
      <c r="G387" s="5" t="str">
        <f>_xlfn.XLOOKUP(C387,Tab_Def_Flows[Flow_Name],Tab_Def_Flows[Use_E4],,0,)</f>
        <v>Yes</v>
      </c>
      <c r="H387" s="5" t="str">
        <f>_xlfn.XLOOKUP(C387,Tab_Def_Flows[Flow_Name],Tab_Def_Flows[Use_E5],,0,)</f>
        <v>Yes</v>
      </c>
      <c r="I387" s="5" t="str">
        <f>_xlfn.XLOOKUP(C387,Tab_Def_Flows[Flow_Name],Tab_Def_Flows[Use_E6],,0,)</f>
        <v>Yes</v>
      </c>
      <c r="J387" s="3"/>
      <c r="K387" s="3"/>
      <c r="L387" s="2" t="str">
        <f>'0_Configuration'!$C$41</f>
        <v>Mg</v>
      </c>
      <c r="M387" s="9"/>
      <c r="N387" s="9"/>
      <c r="O387" s="9"/>
      <c r="P387" s="9"/>
      <c r="Q387" s="18" t="s">
        <v>3</v>
      </c>
      <c r="R387" s="3"/>
      <c r="S387" s="3"/>
      <c r="T387" s="9"/>
      <c r="U387" s="9"/>
      <c r="V387" s="2">
        <f>_xlfn.XLOOKUP(Tab_Data_Flows[[#This Row],[Flow_Name]],Tab_Def_Flows[Flow_Name],Tab_Def_Flows[Flow_E1_Fraction'[%']],"N.A.",0,1)</f>
        <v>0</v>
      </c>
      <c r="W387" s="8">
        <f t="shared" si="14"/>
        <v>0</v>
      </c>
      <c r="X387" s="2" t="str">
        <f>Tab_Data_Flows[[#This Row],[UoM_Source]]</f>
        <v>Mg</v>
      </c>
      <c r="Y387" s="19">
        <f>_xlfn.XLOOKUP(Tab_Data_Flows[[#This Row],[Flow_Name]],Tab_Def_Flows[Flow_Name],Tab_Def_Flows[Flow_E2_Fraction'[%']],"N.A.",0,1)</f>
        <v>0</v>
      </c>
      <c r="Z387" s="2">
        <f>IF(D387="Yes",W387*Tab_Data_Flows[[#This Row],[E2_Fraction'[%']]],"N.A.")</f>
        <v>0</v>
      </c>
      <c r="AA387" s="2" t="str">
        <f>Tab_Data_Flows[[#This Row],[E1_UoM]]</f>
        <v>Mg</v>
      </c>
      <c r="AB387" s="19">
        <f>_xlfn.XLOOKUP(Tab_Data_Flows[[#This Row],[Flow_Name]],Tab_Def_Flows[Flow_Name],Tab_Def_Flows[Flow_E3_Fraction'[%']],"N.A.",0,1)</f>
        <v>0</v>
      </c>
      <c r="AC387" s="2">
        <f>IF(E387="Yes",AB387*Tab_Data_Flows[[#This Row],[E1_value]],"N.A.")</f>
        <v>0</v>
      </c>
      <c r="AD387" s="2" t="str">
        <f>Tab_Data_Flows[[#This Row],[E1_UoM]]</f>
        <v>Mg</v>
      </c>
      <c r="AE387" s="19">
        <f>_xlfn.XLOOKUP(Tab_Data_Flows[[#This Row],[Flow_Name]],Tab_Def_Flows[Flow_Name],Tab_Def_Flows[Flow_E4_Fraction'[%']],"N.A.",0,1)</f>
        <v>0</v>
      </c>
      <c r="AF387" s="2">
        <f>IF(H387="Yes",Tab_Data_Flows[[#This Row],[E4_Fraction'[%']]]*Tab_Data_Flows[[#This Row],[E1_value]],"N.A.")</f>
        <v>0</v>
      </c>
      <c r="AG387" s="2" t="str">
        <f>Tab_Data_Flows[[#This Row],[E1_UoM]]</f>
        <v>Mg</v>
      </c>
      <c r="AH387" s="2">
        <f>_xlfn.XLOOKUP(Tab_Data_Flows[[#This Row],[Flow_Name]],Tab_Def_Flows[Flow_Name],Tab_Def_Flows[Flow_E5_Fraction'[%']],"N.A.",0,1)</f>
        <v>0</v>
      </c>
      <c r="AI387" s="2">
        <f>IF(H387="Yes",Tab_Data_Flows[[#This Row],[E5_Fraction'[%']]]*Tab_Data_Flows[[#This Row],[E1_value]],"N.A.")</f>
        <v>0</v>
      </c>
      <c r="AJ387" s="2" t="str">
        <f>Tab_Data_Flows[[#This Row],[E1_UoM]]</f>
        <v>Mg</v>
      </c>
      <c r="AK387" s="19">
        <f>_xlfn.XLOOKUP(Tab_Data_Flows[[#This Row],[Flow_Name]],Tab_Def_Flows[Flow_Name],Tab_Def_Flows[Flow_E6_Fraction'[%']],"N.A.",0,1)</f>
        <v>0</v>
      </c>
      <c r="AL387" s="2">
        <f>IF(Tab_Data_Flows[[#This Row],[Use_E6]]="Yes",Tab_Data_Flows[[#This Row],[E6_Fraction'[%']]]*Tab_Data_Flows[[#This Row],[E1_value]],"N.A.")</f>
        <v>0</v>
      </c>
      <c r="AM387" s="2" t="str">
        <f>Tab_Data_Flows[[#This Row],[E1_UoM]]</f>
        <v>Mg</v>
      </c>
    </row>
    <row r="388" spans="1:39" x14ac:dyDescent="0.25">
      <c r="A388" s="4">
        <f t="shared" si="12"/>
        <v>387</v>
      </c>
      <c r="B388" s="2" t="str">
        <f>_xlfn.XLOOKUP(C388,Tab_Def_Flows[Flow_Name],Tab_Def_Flows[Flow_ID],,0,)</f>
        <v>F__</v>
      </c>
      <c r="C388" s="18" t="s">
        <v>5</v>
      </c>
      <c r="D388" s="5" t="str">
        <f>_xlfn.XLOOKUP(C388,Tab_Def_Flows[Flow_Name],Tab_Def_Flows[Use_E1],,0,)</f>
        <v>Yes</v>
      </c>
      <c r="E388" s="5" t="str">
        <f>_xlfn.XLOOKUP(C388,Tab_Def_Flows[Flow_Name],Tab_Def_Flows[Use_E2],,0,)</f>
        <v>Yes</v>
      </c>
      <c r="F388" s="5" t="str">
        <f>_xlfn.XLOOKUP(C388,Tab_Def_Flows[Flow_Name],Tab_Def_Flows[Use_E3],,0,)</f>
        <v>Yes</v>
      </c>
      <c r="G388" s="5" t="str">
        <f>_xlfn.XLOOKUP(C388,Tab_Def_Flows[Flow_Name],Tab_Def_Flows[Use_E4],,0,)</f>
        <v>Yes</v>
      </c>
      <c r="H388" s="5" t="str">
        <f>_xlfn.XLOOKUP(C388,Tab_Def_Flows[Flow_Name],Tab_Def_Flows[Use_E5],,0,)</f>
        <v>Yes</v>
      </c>
      <c r="I388" s="5" t="str">
        <f>_xlfn.XLOOKUP(C388,Tab_Def_Flows[Flow_Name],Tab_Def_Flows[Use_E6],,0,)</f>
        <v>Yes</v>
      </c>
      <c r="J388" s="3"/>
      <c r="K388" s="3"/>
      <c r="L388" s="2" t="str">
        <f>'0_Configuration'!$C$41</f>
        <v>Mg</v>
      </c>
      <c r="M388" s="9"/>
      <c r="N388" s="9"/>
      <c r="O388" s="9"/>
      <c r="P388" s="9"/>
      <c r="Q388" s="18" t="s">
        <v>3</v>
      </c>
      <c r="R388" s="3"/>
      <c r="S388" s="3"/>
      <c r="T388" s="9"/>
      <c r="U388" s="9"/>
      <c r="V388" s="2">
        <f>_xlfn.XLOOKUP(Tab_Data_Flows[[#This Row],[Flow_Name]],Tab_Def_Flows[Flow_Name],Tab_Def_Flows[Flow_E1_Fraction'[%']],"N.A.",0,1)</f>
        <v>0</v>
      </c>
      <c r="W388" s="8">
        <f t="shared" si="14"/>
        <v>0</v>
      </c>
      <c r="X388" s="2" t="str">
        <f>Tab_Data_Flows[[#This Row],[UoM_Source]]</f>
        <v>Mg</v>
      </c>
      <c r="Y388" s="19">
        <f>_xlfn.XLOOKUP(Tab_Data_Flows[[#This Row],[Flow_Name]],Tab_Def_Flows[Flow_Name],Tab_Def_Flows[Flow_E2_Fraction'[%']],"N.A.",0,1)</f>
        <v>0</v>
      </c>
      <c r="Z388" s="2">
        <f>IF(D388="Yes",W388*Tab_Data_Flows[[#This Row],[E2_Fraction'[%']]],"N.A.")</f>
        <v>0</v>
      </c>
      <c r="AA388" s="2" t="str">
        <f>Tab_Data_Flows[[#This Row],[E1_UoM]]</f>
        <v>Mg</v>
      </c>
      <c r="AB388" s="19">
        <f>_xlfn.XLOOKUP(Tab_Data_Flows[[#This Row],[Flow_Name]],Tab_Def_Flows[Flow_Name],Tab_Def_Flows[Flow_E3_Fraction'[%']],"N.A.",0,1)</f>
        <v>0</v>
      </c>
      <c r="AC388" s="2">
        <f>IF(E388="Yes",AB388*Tab_Data_Flows[[#This Row],[E1_value]],"N.A.")</f>
        <v>0</v>
      </c>
      <c r="AD388" s="2" t="str">
        <f>Tab_Data_Flows[[#This Row],[E1_UoM]]</f>
        <v>Mg</v>
      </c>
      <c r="AE388" s="19">
        <f>_xlfn.XLOOKUP(Tab_Data_Flows[[#This Row],[Flow_Name]],Tab_Def_Flows[Flow_Name],Tab_Def_Flows[Flow_E4_Fraction'[%']],"N.A.",0,1)</f>
        <v>0</v>
      </c>
      <c r="AF388" s="2">
        <f>IF(H388="Yes",Tab_Data_Flows[[#This Row],[E4_Fraction'[%']]]*Tab_Data_Flows[[#This Row],[E1_value]],"N.A.")</f>
        <v>0</v>
      </c>
      <c r="AG388" s="2" t="str">
        <f>Tab_Data_Flows[[#This Row],[E1_UoM]]</f>
        <v>Mg</v>
      </c>
      <c r="AH388" s="2">
        <f>_xlfn.XLOOKUP(Tab_Data_Flows[[#This Row],[Flow_Name]],Tab_Def_Flows[Flow_Name],Tab_Def_Flows[Flow_E5_Fraction'[%']],"N.A.",0,1)</f>
        <v>0</v>
      </c>
      <c r="AI388" s="2">
        <f>IF(H388="Yes",Tab_Data_Flows[[#This Row],[E5_Fraction'[%']]]*Tab_Data_Flows[[#This Row],[E1_value]],"N.A.")</f>
        <v>0</v>
      </c>
      <c r="AJ388" s="2" t="str">
        <f>Tab_Data_Flows[[#This Row],[E1_UoM]]</f>
        <v>Mg</v>
      </c>
      <c r="AK388" s="19">
        <f>_xlfn.XLOOKUP(Tab_Data_Flows[[#This Row],[Flow_Name]],Tab_Def_Flows[Flow_Name],Tab_Def_Flows[Flow_E6_Fraction'[%']],"N.A.",0,1)</f>
        <v>0</v>
      </c>
      <c r="AL388" s="2">
        <f>IF(Tab_Data_Flows[[#This Row],[Use_E6]]="Yes",Tab_Data_Flows[[#This Row],[E6_Fraction'[%']]]*Tab_Data_Flows[[#This Row],[E1_value]],"N.A.")</f>
        <v>0</v>
      </c>
      <c r="AM388" s="2" t="str">
        <f>Tab_Data_Flows[[#This Row],[E1_UoM]]</f>
        <v>Mg</v>
      </c>
    </row>
    <row r="389" spans="1:39" x14ac:dyDescent="0.25">
      <c r="A389" s="4">
        <f t="shared" si="12"/>
        <v>388</v>
      </c>
      <c r="B389" s="2" t="str">
        <f>_xlfn.XLOOKUP(C389,Tab_Def_Flows[Flow_Name],Tab_Def_Flows[Flow_ID],,0,)</f>
        <v>F__</v>
      </c>
      <c r="C389" s="18" t="s">
        <v>5</v>
      </c>
      <c r="D389" s="5" t="str">
        <f>_xlfn.XLOOKUP(C389,Tab_Def_Flows[Flow_Name],Tab_Def_Flows[Use_E1],,0,)</f>
        <v>Yes</v>
      </c>
      <c r="E389" s="5" t="str">
        <f>_xlfn.XLOOKUP(C389,Tab_Def_Flows[Flow_Name],Tab_Def_Flows[Use_E2],,0,)</f>
        <v>Yes</v>
      </c>
      <c r="F389" s="5" t="str">
        <f>_xlfn.XLOOKUP(C389,Tab_Def_Flows[Flow_Name],Tab_Def_Flows[Use_E3],,0,)</f>
        <v>Yes</v>
      </c>
      <c r="G389" s="5" t="str">
        <f>_xlfn.XLOOKUP(C389,Tab_Def_Flows[Flow_Name],Tab_Def_Flows[Use_E4],,0,)</f>
        <v>Yes</v>
      </c>
      <c r="H389" s="5" t="str">
        <f>_xlfn.XLOOKUP(C389,Tab_Def_Flows[Flow_Name],Tab_Def_Flows[Use_E5],,0,)</f>
        <v>Yes</v>
      </c>
      <c r="I389" s="5" t="str">
        <f>_xlfn.XLOOKUP(C389,Tab_Def_Flows[Flow_Name],Tab_Def_Flows[Use_E6],,0,)</f>
        <v>Yes</v>
      </c>
      <c r="J389" s="3"/>
      <c r="K389" s="3"/>
      <c r="L389" s="2" t="str">
        <f>'0_Configuration'!$C$41</f>
        <v>Mg</v>
      </c>
      <c r="M389" s="9"/>
      <c r="N389" s="9"/>
      <c r="O389" s="9"/>
      <c r="P389" s="9"/>
      <c r="Q389" s="18" t="s">
        <v>3</v>
      </c>
      <c r="R389" s="3"/>
      <c r="S389" s="3"/>
      <c r="T389" s="9"/>
      <c r="U389" s="9"/>
      <c r="V389" s="2">
        <f>_xlfn.XLOOKUP(Tab_Data_Flows[[#This Row],[Flow_Name]],Tab_Def_Flows[Flow_Name],Tab_Def_Flows[Flow_E1_Fraction'[%']],"N.A.",0,1)</f>
        <v>0</v>
      </c>
      <c r="W389" s="8">
        <f t="shared" si="14"/>
        <v>0</v>
      </c>
      <c r="X389" s="2" t="str">
        <f>Tab_Data_Flows[[#This Row],[UoM_Source]]</f>
        <v>Mg</v>
      </c>
      <c r="Y389" s="19">
        <f>_xlfn.XLOOKUP(Tab_Data_Flows[[#This Row],[Flow_Name]],Tab_Def_Flows[Flow_Name],Tab_Def_Flows[Flow_E2_Fraction'[%']],"N.A.",0,1)</f>
        <v>0</v>
      </c>
      <c r="Z389" s="2">
        <f>IF(D389="Yes",W389*Tab_Data_Flows[[#This Row],[E2_Fraction'[%']]],"N.A.")</f>
        <v>0</v>
      </c>
      <c r="AA389" s="2" t="str">
        <f>Tab_Data_Flows[[#This Row],[E1_UoM]]</f>
        <v>Mg</v>
      </c>
      <c r="AB389" s="19">
        <f>_xlfn.XLOOKUP(Tab_Data_Flows[[#This Row],[Flow_Name]],Tab_Def_Flows[Flow_Name],Tab_Def_Flows[Flow_E3_Fraction'[%']],"N.A.",0,1)</f>
        <v>0</v>
      </c>
      <c r="AC389" s="2">
        <f>IF(E389="Yes",AB389*Tab_Data_Flows[[#This Row],[E1_value]],"N.A.")</f>
        <v>0</v>
      </c>
      <c r="AD389" s="2" t="str">
        <f>Tab_Data_Flows[[#This Row],[E1_UoM]]</f>
        <v>Mg</v>
      </c>
      <c r="AE389" s="19">
        <f>_xlfn.XLOOKUP(Tab_Data_Flows[[#This Row],[Flow_Name]],Tab_Def_Flows[Flow_Name],Tab_Def_Flows[Flow_E4_Fraction'[%']],"N.A.",0,1)</f>
        <v>0</v>
      </c>
      <c r="AF389" s="2">
        <f>IF(H389="Yes",Tab_Data_Flows[[#This Row],[E4_Fraction'[%']]]*Tab_Data_Flows[[#This Row],[E1_value]],"N.A.")</f>
        <v>0</v>
      </c>
      <c r="AG389" s="2" t="str">
        <f>Tab_Data_Flows[[#This Row],[E1_UoM]]</f>
        <v>Mg</v>
      </c>
      <c r="AH389" s="2">
        <f>_xlfn.XLOOKUP(Tab_Data_Flows[[#This Row],[Flow_Name]],Tab_Def_Flows[Flow_Name],Tab_Def_Flows[Flow_E5_Fraction'[%']],"N.A.",0,1)</f>
        <v>0</v>
      </c>
      <c r="AI389" s="2">
        <f>IF(H389="Yes",Tab_Data_Flows[[#This Row],[E5_Fraction'[%']]]*Tab_Data_Flows[[#This Row],[E1_value]],"N.A.")</f>
        <v>0</v>
      </c>
      <c r="AJ389" s="2" t="str">
        <f>Tab_Data_Flows[[#This Row],[E1_UoM]]</f>
        <v>Mg</v>
      </c>
      <c r="AK389" s="19">
        <f>_xlfn.XLOOKUP(Tab_Data_Flows[[#This Row],[Flow_Name]],Tab_Def_Flows[Flow_Name],Tab_Def_Flows[Flow_E6_Fraction'[%']],"N.A.",0,1)</f>
        <v>0</v>
      </c>
      <c r="AL389" s="2">
        <f>IF(Tab_Data_Flows[[#This Row],[Use_E6]]="Yes",Tab_Data_Flows[[#This Row],[E6_Fraction'[%']]]*Tab_Data_Flows[[#This Row],[E1_value]],"N.A.")</f>
        <v>0</v>
      </c>
      <c r="AM389" s="2" t="str">
        <f>Tab_Data_Flows[[#This Row],[E1_UoM]]</f>
        <v>Mg</v>
      </c>
    </row>
    <row r="390" spans="1:39" x14ac:dyDescent="0.25">
      <c r="A390" s="4">
        <f t="shared" si="12"/>
        <v>389</v>
      </c>
      <c r="B390" s="2" t="str">
        <f>_xlfn.XLOOKUP(C390,Tab_Def_Flows[Flow_Name],Tab_Def_Flows[Flow_ID],,0,)</f>
        <v>F__</v>
      </c>
      <c r="C390" s="18" t="s">
        <v>5</v>
      </c>
      <c r="D390" s="5" t="str">
        <f>_xlfn.XLOOKUP(C390,Tab_Def_Flows[Flow_Name],Tab_Def_Flows[Use_E1],,0,)</f>
        <v>Yes</v>
      </c>
      <c r="E390" s="5" t="str">
        <f>_xlfn.XLOOKUP(C390,Tab_Def_Flows[Flow_Name],Tab_Def_Flows[Use_E2],,0,)</f>
        <v>Yes</v>
      </c>
      <c r="F390" s="5" t="str">
        <f>_xlfn.XLOOKUP(C390,Tab_Def_Flows[Flow_Name],Tab_Def_Flows[Use_E3],,0,)</f>
        <v>Yes</v>
      </c>
      <c r="G390" s="5" t="str">
        <f>_xlfn.XLOOKUP(C390,Tab_Def_Flows[Flow_Name],Tab_Def_Flows[Use_E4],,0,)</f>
        <v>Yes</v>
      </c>
      <c r="H390" s="5" t="str">
        <f>_xlfn.XLOOKUP(C390,Tab_Def_Flows[Flow_Name],Tab_Def_Flows[Use_E5],,0,)</f>
        <v>Yes</v>
      </c>
      <c r="I390" s="5" t="str">
        <f>_xlfn.XLOOKUP(C390,Tab_Def_Flows[Flow_Name],Tab_Def_Flows[Use_E6],,0,)</f>
        <v>Yes</v>
      </c>
      <c r="J390" s="3"/>
      <c r="K390" s="3"/>
      <c r="L390" s="2" t="str">
        <f>'0_Configuration'!$C$41</f>
        <v>Mg</v>
      </c>
      <c r="M390" s="9"/>
      <c r="N390" s="9"/>
      <c r="O390" s="9"/>
      <c r="P390" s="9"/>
      <c r="Q390" s="18" t="s">
        <v>3</v>
      </c>
      <c r="R390" s="3"/>
      <c r="S390" s="3"/>
      <c r="T390" s="9"/>
      <c r="U390" s="9"/>
      <c r="V390" s="2">
        <f>_xlfn.XLOOKUP(Tab_Data_Flows[[#This Row],[Flow_Name]],Tab_Def_Flows[Flow_Name],Tab_Def_Flows[Flow_E1_Fraction'[%']],"N.A.",0,1)</f>
        <v>0</v>
      </c>
      <c r="W390" s="8">
        <f t="shared" si="14"/>
        <v>0</v>
      </c>
      <c r="X390" s="2" t="str">
        <f>Tab_Data_Flows[[#This Row],[UoM_Source]]</f>
        <v>Mg</v>
      </c>
      <c r="Y390" s="19">
        <f>_xlfn.XLOOKUP(Tab_Data_Flows[[#This Row],[Flow_Name]],Tab_Def_Flows[Flow_Name],Tab_Def_Flows[Flow_E2_Fraction'[%']],"N.A.",0,1)</f>
        <v>0</v>
      </c>
      <c r="Z390" s="2">
        <f>IF(D390="Yes",W390*Tab_Data_Flows[[#This Row],[E2_Fraction'[%']]],"N.A.")</f>
        <v>0</v>
      </c>
      <c r="AA390" s="2" t="str">
        <f>Tab_Data_Flows[[#This Row],[E1_UoM]]</f>
        <v>Mg</v>
      </c>
      <c r="AB390" s="19">
        <f>_xlfn.XLOOKUP(Tab_Data_Flows[[#This Row],[Flow_Name]],Tab_Def_Flows[Flow_Name],Tab_Def_Flows[Flow_E3_Fraction'[%']],"N.A.",0,1)</f>
        <v>0</v>
      </c>
      <c r="AC390" s="2">
        <f>IF(E390="Yes",AB390*Tab_Data_Flows[[#This Row],[E1_value]],"N.A.")</f>
        <v>0</v>
      </c>
      <c r="AD390" s="2" t="str">
        <f>Tab_Data_Flows[[#This Row],[E1_UoM]]</f>
        <v>Mg</v>
      </c>
      <c r="AE390" s="19">
        <f>_xlfn.XLOOKUP(Tab_Data_Flows[[#This Row],[Flow_Name]],Tab_Def_Flows[Flow_Name],Tab_Def_Flows[Flow_E4_Fraction'[%']],"N.A.",0,1)</f>
        <v>0</v>
      </c>
      <c r="AF390" s="2">
        <f>IF(H390="Yes",Tab_Data_Flows[[#This Row],[E4_Fraction'[%']]]*Tab_Data_Flows[[#This Row],[E1_value]],"N.A.")</f>
        <v>0</v>
      </c>
      <c r="AG390" s="2" t="str">
        <f>Tab_Data_Flows[[#This Row],[E1_UoM]]</f>
        <v>Mg</v>
      </c>
      <c r="AH390" s="2">
        <f>_xlfn.XLOOKUP(Tab_Data_Flows[[#This Row],[Flow_Name]],Tab_Def_Flows[Flow_Name],Tab_Def_Flows[Flow_E5_Fraction'[%']],"N.A.",0,1)</f>
        <v>0</v>
      </c>
      <c r="AI390" s="2">
        <f>IF(H390="Yes",Tab_Data_Flows[[#This Row],[E5_Fraction'[%']]]*Tab_Data_Flows[[#This Row],[E1_value]],"N.A.")</f>
        <v>0</v>
      </c>
      <c r="AJ390" s="2" t="str">
        <f>Tab_Data_Flows[[#This Row],[E1_UoM]]</f>
        <v>Mg</v>
      </c>
      <c r="AK390" s="19">
        <f>_xlfn.XLOOKUP(Tab_Data_Flows[[#This Row],[Flow_Name]],Tab_Def_Flows[Flow_Name],Tab_Def_Flows[Flow_E6_Fraction'[%']],"N.A.",0,1)</f>
        <v>0</v>
      </c>
      <c r="AL390" s="2">
        <f>IF(Tab_Data_Flows[[#This Row],[Use_E6]]="Yes",Tab_Data_Flows[[#This Row],[E6_Fraction'[%']]]*Tab_Data_Flows[[#This Row],[E1_value]],"N.A.")</f>
        <v>0</v>
      </c>
      <c r="AM390" s="2" t="str">
        <f>Tab_Data_Flows[[#This Row],[E1_UoM]]</f>
        <v>Mg</v>
      </c>
    </row>
    <row r="391" spans="1:39" x14ac:dyDescent="0.25">
      <c r="A391" s="4">
        <f t="shared" si="12"/>
        <v>390</v>
      </c>
      <c r="B391" s="2" t="str">
        <f>_xlfn.XLOOKUP(C391,Tab_Def_Flows[Flow_Name],Tab_Def_Flows[Flow_ID],,0,)</f>
        <v>F__</v>
      </c>
      <c r="C391" s="18" t="s">
        <v>5</v>
      </c>
      <c r="D391" s="5" t="str">
        <f>_xlfn.XLOOKUP(C391,Tab_Def_Flows[Flow_Name],Tab_Def_Flows[Use_E1],,0,)</f>
        <v>Yes</v>
      </c>
      <c r="E391" s="5" t="str">
        <f>_xlfn.XLOOKUP(C391,Tab_Def_Flows[Flow_Name],Tab_Def_Flows[Use_E2],,0,)</f>
        <v>Yes</v>
      </c>
      <c r="F391" s="5" t="str">
        <f>_xlfn.XLOOKUP(C391,Tab_Def_Flows[Flow_Name],Tab_Def_Flows[Use_E3],,0,)</f>
        <v>Yes</v>
      </c>
      <c r="G391" s="5" t="str">
        <f>_xlfn.XLOOKUP(C391,Tab_Def_Flows[Flow_Name],Tab_Def_Flows[Use_E4],,0,)</f>
        <v>Yes</v>
      </c>
      <c r="H391" s="5" t="str">
        <f>_xlfn.XLOOKUP(C391,Tab_Def_Flows[Flow_Name],Tab_Def_Flows[Use_E5],,0,)</f>
        <v>Yes</v>
      </c>
      <c r="I391" s="5" t="str">
        <f>_xlfn.XLOOKUP(C391,Tab_Def_Flows[Flow_Name],Tab_Def_Flows[Use_E6],,0,)</f>
        <v>Yes</v>
      </c>
      <c r="J391" s="3"/>
      <c r="K391" s="3"/>
      <c r="L391" s="2" t="str">
        <f>'0_Configuration'!$C$41</f>
        <v>Mg</v>
      </c>
      <c r="M391" s="9"/>
      <c r="N391" s="9"/>
      <c r="O391" s="9"/>
      <c r="P391" s="9"/>
      <c r="Q391" s="18" t="s">
        <v>3</v>
      </c>
      <c r="R391" s="3"/>
      <c r="S391" s="3"/>
      <c r="T391" s="9"/>
      <c r="U391" s="9"/>
      <c r="V391" s="2">
        <f>_xlfn.XLOOKUP(Tab_Data_Flows[[#This Row],[Flow_Name]],Tab_Def_Flows[Flow_Name],Tab_Def_Flows[Flow_E1_Fraction'[%']],"N.A.",0,1)</f>
        <v>0</v>
      </c>
      <c r="W391" s="8">
        <f t="shared" si="14"/>
        <v>0</v>
      </c>
      <c r="X391" s="2" t="str">
        <f>Tab_Data_Flows[[#This Row],[UoM_Source]]</f>
        <v>Mg</v>
      </c>
      <c r="Y391" s="19">
        <f>_xlfn.XLOOKUP(Tab_Data_Flows[[#This Row],[Flow_Name]],Tab_Def_Flows[Flow_Name],Tab_Def_Flows[Flow_E2_Fraction'[%']],"N.A.",0,1)</f>
        <v>0</v>
      </c>
      <c r="Z391" s="2">
        <f>IF(D391="Yes",W391*Tab_Data_Flows[[#This Row],[E2_Fraction'[%']]],"N.A.")</f>
        <v>0</v>
      </c>
      <c r="AA391" s="2" t="str">
        <f>Tab_Data_Flows[[#This Row],[E1_UoM]]</f>
        <v>Mg</v>
      </c>
      <c r="AB391" s="19">
        <f>_xlfn.XLOOKUP(Tab_Data_Flows[[#This Row],[Flow_Name]],Tab_Def_Flows[Flow_Name],Tab_Def_Flows[Flow_E3_Fraction'[%']],"N.A.",0,1)</f>
        <v>0</v>
      </c>
      <c r="AC391" s="2">
        <f>IF(E391="Yes",AB391*Tab_Data_Flows[[#This Row],[E1_value]],"N.A.")</f>
        <v>0</v>
      </c>
      <c r="AD391" s="2" t="str">
        <f>Tab_Data_Flows[[#This Row],[E1_UoM]]</f>
        <v>Mg</v>
      </c>
      <c r="AE391" s="19">
        <f>_xlfn.XLOOKUP(Tab_Data_Flows[[#This Row],[Flow_Name]],Tab_Def_Flows[Flow_Name],Tab_Def_Flows[Flow_E4_Fraction'[%']],"N.A.",0,1)</f>
        <v>0</v>
      </c>
      <c r="AF391" s="2">
        <f>IF(H391="Yes",Tab_Data_Flows[[#This Row],[E4_Fraction'[%']]]*Tab_Data_Flows[[#This Row],[E1_value]],"N.A.")</f>
        <v>0</v>
      </c>
      <c r="AG391" s="2" t="str">
        <f>Tab_Data_Flows[[#This Row],[E1_UoM]]</f>
        <v>Mg</v>
      </c>
      <c r="AH391" s="2">
        <f>_xlfn.XLOOKUP(Tab_Data_Flows[[#This Row],[Flow_Name]],Tab_Def_Flows[Flow_Name],Tab_Def_Flows[Flow_E5_Fraction'[%']],"N.A.",0,1)</f>
        <v>0</v>
      </c>
      <c r="AI391" s="2">
        <f>IF(H391="Yes",Tab_Data_Flows[[#This Row],[E5_Fraction'[%']]]*Tab_Data_Flows[[#This Row],[E1_value]],"N.A.")</f>
        <v>0</v>
      </c>
      <c r="AJ391" s="2" t="str">
        <f>Tab_Data_Flows[[#This Row],[E1_UoM]]</f>
        <v>Mg</v>
      </c>
      <c r="AK391" s="19">
        <f>_xlfn.XLOOKUP(Tab_Data_Flows[[#This Row],[Flow_Name]],Tab_Def_Flows[Flow_Name],Tab_Def_Flows[Flow_E6_Fraction'[%']],"N.A.",0,1)</f>
        <v>0</v>
      </c>
      <c r="AL391" s="2">
        <f>IF(Tab_Data_Flows[[#This Row],[Use_E6]]="Yes",Tab_Data_Flows[[#This Row],[E6_Fraction'[%']]]*Tab_Data_Flows[[#This Row],[E1_value]],"N.A.")</f>
        <v>0</v>
      </c>
      <c r="AM391" s="2" t="str">
        <f>Tab_Data_Flows[[#This Row],[E1_UoM]]</f>
        <v>Mg</v>
      </c>
    </row>
    <row r="392" spans="1:39" x14ac:dyDescent="0.25">
      <c r="A392" s="4">
        <f t="shared" si="12"/>
        <v>391</v>
      </c>
      <c r="B392" s="2" t="str">
        <f>_xlfn.XLOOKUP(C392,Tab_Def_Flows[Flow_Name],Tab_Def_Flows[Flow_ID],,0,)</f>
        <v>F__</v>
      </c>
      <c r="C392" s="18" t="s">
        <v>5</v>
      </c>
      <c r="D392" s="5" t="str">
        <f>_xlfn.XLOOKUP(C392,Tab_Def_Flows[Flow_Name],Tab_Def_Flows[Use_E1],,0,)</f>
        <v>Yes</v>
      </c>
      <c r="E392" s="5" t="str">
        <f>_xlfn.XLOOKUP(C392,Tab_Def_Flows[Flow_Name],Tab_Def_Flows[Use_E2],,0,)</f>
        <v>Yes</v>
      </c>
      <c r="F392" s="5" t="str">
        <f>_xlfn.XLOOKUP(C392,Tab_Def_Flows[Flow_Name],Tab_Def_Flows[Use_E3],,0,)</f>
        <v>Yes</v>
      </c>
      <c r="G392" s="5" t="str">
        <f>_xlfn.XLOOKUP(C392,Tab_Def_Flows[Flow_Name],Tab_Def_Flows[Use_E4],,0,)</f>
        <v>Yes</v>
      </c>
      <c r="H392" s="5" t="str">
        <f>_xlfn.XLOOKUP(C392,Tab_Def_Flows[Flow_Name],Tab_Def_Flows[Use_E5],,0,)</f>
        <v>Yes</v>
      </c>
      <c r="I392" s="5" t="str">
        <f>_xlfn.XLOOKUP(C392,Tab_Def_Flows[Flow_Name],Tab_Def_Flows[Use_E6],,0,)</f>
        <v>Yes</v>
      </c>
      <c r="J392" s="3"/>
      <c r="K392" s="3"/>
      <c r="L392" s="2" t="str">
        <f>'0_Configuration'!$C$41</f>
        <v>Mg</v>
      </c>
      <c r="M392" s="9"/>
      <c r="N392" s="9"/>
      <c r="O392" s="9"/>
      <c r="P392" s="9"/>
      <c r="Q392" s="18" t="s">
        <v>3</v>
      </c>
      <c r="R392" s="3"/>
      <c r="S392" s="3"/>
      <c r="T392" s="9"/>
      <c r="U392" s="9"/>
      <c r="V392" s="2">
        <f>_xlfn.XLOOKUP(Tab_Data_Flows[[#This Row],[Flow_Name]],Tab_Def_Flows[Flow_Name],Tab_Def_Flows[Flow_E1_Fraction'[%']],"N.A.",0,1)</f>
        <v>0</v>
      </c>
      <c r="W392" s="8">
        <f t="shared" si="14"/>
        <v>0</v>
      </c>
      <c r="X392" s="2" t="str">
        <f>Tab_Data_Flows[[#This Row],[UoM_Source]]</f>
        <v>Mg</v>
      </c>
      <c r="Y392" s="19">
        <f>_xlfn.XLOOKUP(Tab_Data_Flows[[#This Row],[Flow_Name]],Tab_Def_Flows[Flow_Name],Tab_Def_Flows[Flow_E2_Fraction'[%']],"N.A.",0,1)</f>
        <v>0</v>
      </c>
      <c r="Z392" s="2">
        <f>IF(D392="Yes",W392*Tab_Data_Flows[[#This Row],[E2_Fraction'[%']]],"N.A.")</f>
        <v>0</v>
      </c>
      <c r="AA392" s="2" t="str">
        <f>Tab_Data_Flows[[#This Row],[E1_UoM]]</f>
        <v>Mg</v>
      </c>
      <c r="AB392" s="19">
        <f>_xlfn.XLOOKUP(Tab_Data_Flows[[#This Row],[Flow_Name]],Tab_Def_Flows[Flow_Name],Tab_Def_Flows[Flow_E3_Fraction'[%']],"N.A.",0,1)</f>
        <v>0</v>
      </c>
      <c r="AC392" s="2">
        <f>IF(E392="Yes",AB392*Tab_Data_Flows[[#This Row],[E1_value]],"N.A.")</f>
        <v>0</v>
      </c>
      <c r="AD392" s="2" t="str">
        <f>Tab_Data_Flows[[#This Row],[E1_UoM]]</f>
        <v>Mg</v>
      </c>
      <c r="AE392" s="19">
        <f>_xlfn.XLOOKUP(Tab_Data_Flows[[#This Row],[Flow_Name]],Tab_Def_Flows[Flow_Name],Tab_Def_Flows[Flow_E4_Fraction'[%']],"N.A.",0,1)</f>
        <v>0</v>
      </c>
      <c r="AF392" s="2">
        <f>IF(H392="Yes",Tab_Data_Flows[[#This Row],[E4_Fraction'[%']]]*Tab_Data_Flows[[#This Row],[E1_value]],"N.A.")</f>
        <v>0</v>
      </c>
      <c r="AG392" s="2" t="str">
        <f>Tab_Data_Flows[[#This Row],[E1_UoM]]</f>
        <v>Mg</v>
      </c>
      <c r="AH392" s="2">
        <f>_xlfn.XLOOKUP(Tab_Data_Flows[[#This Row],[Flow_Name]],Tab_Def_Flows[Flow_Name],Tab_Def_Flows[Flow_E5_Fraction'[%']],"N.A.",0,1)</f>
        <v>0</v>
      </c>
      <c r="AI392" s="2">
        <f>IF(H392="Yes",Tab_Data_Flows[[#This Row],[E5_Fraction'[%']]]*Tab_Data_Flows[[#This Row],[E1_value]],"N.A.")</f>
        <v>0</v>
      </c>
      <c r="AJ392" s="2" t="str">
        <f>Tab_Data_Flows[[#This Row],[E1_UoM]]</f>
        <v>Mg</v>
      </c>
      <c r="AK392" s="19">
        <f>_xlfn.XLOOKUP(Tab_Data_Flows[[#This Row],[Flow_Name]],Tab_Def_Flows[Flow_Name],Tab_Def_Flows[Flow_E6_Fraction'[%']],"N.A.",0,1)</f>
        <v>0</v>
      </c>
      <c r="AL392" s="2">
        <f>IF(Tab_Data_Flows[[#This Row],[Use_E6]]="Yes",Tab_Data_Flows[[#This Row],[E6_Fraction'[%']]]*Tab_Data_Flows[[#This Row],[E1_value]],"N.A.")</f>
        <v>0</v>
      </c>
      <c r="AM392" s="2" t="str">
        <f>Tab_Data_Flows[[#This Row],[E1_UoM]]</f>
        <v>Mg</v>
      </c>
    </row>
    <row r="393" spans="1:39" x14ac:dyDescent="0.25">
      <c r="A393" s="4">
        <f t="shared" si="12"/>
        <v>392</v>
      </c>
      <c r="B393" s="2" t="str">
        <f>_xlfn.XLOOKUP(C393,Tab_Def_Flows[Flow_Name],Tab_Def_Flows[Flow_ID],,0,)</f>
        <v>F__</v>
      </c>
      <c r="C393" s="18" t="s">
        <v>5</v>
      </c>
      <c r="D393" s="5" t="str">
        <f>_xlfn.XLOOKUP(C393,Tab_Def_Flows[Flow_Name],Tab_Def_Flows[Use_E1],,0,)</f>
        <v>Yes</v>
      </c>
      <c r="E393" s="5" t="str">
        <f>_xlfn.XLOOKUP(C393,Tab_Def_Flows[Flow_Name],Tab_Def_Flows[Use_E2],,0,)</f>
        <v>Yes</v>
      </c>
      <c r="F393" s="5" t="str">
        <f>_xlfn.XLOOKUP(C393,Tab_Def_Flows[Flow_Name],Tab_Def_Flows[Use_E3],,0,)</f>
        <v>Yes</v>
      </c>
      <c r="G393" s="5" t="str">
        <f>_xlfn.XLOOKUP(C393,Tab_Def_Flows[Flow_Name],Tab_Def_Flows[Use_E4],,0,)</f>
        <v>Yes</v>
      </c>
      <c r="H393" s="5" t="str">
        <f>_xlfn.XLOOKUP(C393,Tab_Def_Flows[Flow_Name],Tab_Def_Flows[Use_E5],,0,)</f>
        <v>Yes</v>
      </c>
      <c r="I393" s="5" t="str">
        <f>_xlfn.XLOOKUP(C393,Tab_Def_Flows[Flow_Name],Tab_Def_Flows[Use_E6],,0,)</f>
        <v>Yes</v>
      </c>
      <c r="J393" s="3"/>
      <c r="K393" s="3"/>
      <c r="L393" s="2" t="str">
        <f>'0_Configuration'!$C$41</f>
        <v>Mg</v>
      </c>
      <c r="M393" s="9"/>
      <c r="N393" s="9"/>
      <c r="O393" s="9"/>
      <c r="P393" s="9"/>
      <c r="Q393" s="18" t="s">
        <v>3</v>
      </c>
      <c r="R393" s="3"/>
      <c r="S393" s="3"/>
      <c r="T393" s="9"/>
      <c r="U393" s="9"/>
      <c r="V393" s="2">
        <f>_xlfn.XLOOKUP(Tab_Data_Flows[[#This Row],[Flow_Name]],Tab_Def_Flows[Flow_Name],Tab_Def_Flows[Flow_E1_Fraction'[%']],"N.A.",0,1)</f>
        <v>0</v>
      </c>
      <c r="W393" s="8">
        <f t="shared" si="14"/>
        <v>0</v>
      </c>
      <c r="X393" s="2" t="str">
        <f>Tab_Data_Flows[[#This Row],[UoM_Source]]</f>
        <v>Mg</v>
      </c>
      <c r="Y393" s="19">
        <f>_xlfn.XLOOKUP(Tab_Data_Flows[[#This Row],[Flow_Name]],Tab_Def_Flows[Flow_Name],Tab_Def_Flows[Flow_E2_Fraction'[%']],"N.A.",0,1)</f>
        <v>0</v>
      </c>
      <c r="Z393" s="2">
        <f>IF(D393="Yes",W393*Tab_Data_Flows[[#This Row],[E2_Fraction'[%']]],"N.A.")</f>
        <v>0</v>
      </c>
      <c r="AA393" s="2" t="str">
        <f>Tab_Data_Flows[[#This Row],[E1_UoM]]</f>
        <v>Mg</v>
      </c>
      <c r="AB393" s="19">
        <f>_xlfn.XLOOKUP(Tab_Data_Flows[[#This Row],[Flow_Name]],Tab_Def_Flows[Flow_Name],Tab_Def_Flows[Flow_E3_Fraction'[%']],"N.A.",0,1)</f>
        <v>0</v>
      </c>
      <c r="AC393" s="2">
        <f>IF(E393="Yes",AB393*Tab_Data_Flows[[#This Row],[E1_value]],"N.A.")</f>
        <v>0</v>
      </c>
      <c r="AD393" s="2" t="str">
        <f>Tab_Data_Flows[[#This Row],[E1_UoM]]</f>
        <v>Mg</v>
      </c>
      <c r="AE393" s="19">
        <f>_xlfn.XLOOKUP(Tab_Data_Flows[[#This Row],[Flow_Name]],Tab_Def_Flows[Flow_Name],Tab_Def_Flows[Flow_E4_Fraction'[%']],"N.A.",0,1)</f>
        <v>0</v>
      </c>
      <c r="AF393" s="2">
        <f>IF(H393="Yes",Tab_Data_Flows[[#This Row],[E4_Fraction'[%']]]*Tab_Data_Flows[[#This Row],[E1_value]],"N.A.")</f>
        <v>0</v>
      </c>
      <c r="AG393" s="2" t="str">
        <f>Tab_Data_Flows[[#This Row],[E1_UoM]]</f>
        <v>Mg</v>
      </c>
      <c r="AH393" s="2">
        <f>_xlfn.XLOOKUP(Tab_Data_Flows[[#This Row],[Flow_Name]],Tab_Def_Flows[Flow_Name],Tab_Def_Flows[Flow_E5_Fraction'[%']],"N.A.",0,1)</f>
        <v>0</v>
      </c>
      <c r="AI393" s="2">
        <f>IF(H393="Yes",Tab_Data_Flows[[#This Row],[E5_Fraction'[%']]]*Tab_Data_Flows[[#This Row],[E1_value]],"N.A.")</f>
        <v>0</v>
      </c>
      <c r="AJ393" s="2" t="str">
        <f>Tab_Data_Flows[[#This Row],[E1_UoM]]</f>
        <v>Mg</v>
      </c>
      <c r="AK393" s="19">
        <f>_xlfn.XLOOKUP(Tab_Data_Flows[[#This Row],[Flow_Name]],Tab_Def_Flows[Flow_Name],Tab_Def_Flows[Flow_E6_Fraction'[%']],"N.A.",0,1)</f>
        <v>0</v>
      </c>
      <c r="AL393" s="2">
        <f>IF(Tab_Data_Flows[[#This Row],[Use_E6]]="Yes",Tab_Data_Flows[[#This Row],[E6_Fraction'[%']]]*Tab_Data_Flows[[#This Row],[E1_value]],"N.A.")</f>
        <v>0</v>
      </c>
      <c r="AM393" s="2" t="str">
        <f>Tab_Data_Flows[[#This Row],[E1_UoM]]</f>
        <v>Mg</v>
      </c>
    </row>
    <row r="394" spans="1:39" x14ac:dyDescent="0.25">
      <c r="A394" s="4">
        <f t="shared" si="12"/>
        <v>393</v>
      </c>
      <c r="B394" s="2" t="str">
        <f>_xlfn.XLOOKUP(C394,Tab_Def_Flows[Flow_Name],Tab_Def_Flows[Flow_ID],,0,)</f>
        <v>F__</v>
      </c>
      <c r="C394" s="18" t="s">
        <v>5</v>
      </c>
      <c r="D394" s="5" t="str">
        <f>_xlfn.XLOOKUP(C394,Tab_Def_Flows[Flow_Name],Tab_Def_Flows[Use_E1],,0,)</f>
        <v>Yes</v>
      </c>
      <c r="E394" s="5" t="str">
        <f>_xlfn.XLOOKUP(C394,Tab_Def_Flows[Flow_Name],Tab_Def_Flows[Use_E2],,0,)</f>
        <v>Yes</v>
      </c>
      <c r="F394" s="5" t="str">
        <f>_xlfn.XLOOKUP(C394,Tab_Def_Flows[Flow_Name],Tab_Def_Flows[Use_E3],,0,)</f>
        <v>Yes</v>
      </c>
      <c r="G394" s="5" t="str">
        <f>_xlfn.XLOOKUP(C394,Tab_Def_Flows[Flow_Name],Tab_Def_Flows[Use_E4],,0,)</f>
        <v>Yes</v>
      </c>
      <c r="H394" s="5" t="str">
        <f>_xlfn.XLOOKUP(C394,Tab_Def_Flows[Flow_Name],Tab_Def_Flows[Use_E5],,0,)</f>
        <v>Yes</v>
      </c>
      <c r="I394" s="5" t="str">
        <f>_xlfn.XLOOKUP(C394,Tab_Def_Flows[Flow_Name],Tab_Def_Flows[Use_E6],,0,)</f>
        <v>Yes</v>
      </c>
      <c r="J394" s="3"/>
      <c r="K394" s="3"/>
      <c r="L394" s="2" t="str">
        <f>'0_Configuration'!$C$41</f>
        <v>Mg</v>
      </c>
      <c r="M394" s="9"/>
      <c r="N394" s="9"/>
      <c r="O394" s="9"/>
      <c r="P394" s="9"/>
      <c r="Q394" s="18" t="s">
        <v>3</v>
      </c>
      <c r="R394" s="3"/>
      <c r="S394" s="3"/>
      <c r="T394" s="9"/>
      <c r="U394" s="9"/>
      <c r="V394" s="2">
        <f>_xlfn.XLOOKUP(Tab_Data_Flows[[#This Row],[Flow_Name]],Tab_Def_Flows[Flow_Name],Tab_Def_Flows[Flow_E1_Fraction'[%']],"N.A.",0,1)</f>
        <v>0</v>
      </c>
      <c r="W394" s="8">
        <f t="shared" si="14"/>
        <v>0</v>
      </c>
      <c r="X394" s="2" t="str">
        <f>Tab_Data_Flows[[#This Row],[UoM_Source]]</f>
        <v>Mg</v>
      </c>
      <c r="Y394" s="19">
        <f>_xlfn.XLOOKUP(Tab_Data_Flows[[#This Row],[Flow_Name]],Tab_Def_Flows[Flow_Name],Tab_Def_Flows[Flow_E2_Fraction'[%']],"N.A.",0,1)</f>
        <v>0</v>
      </c>
      <c r="Z394" s="2">
        <f>IF(D394="Yes",W394*Tab_Data_Flows[[#This Row],[E2_Fraction'[%']]],"N.A.")</f>
        <v>0</v>
      </c>
      <c r="AA394" s="2" t="str">
        <f>Tab_Data_Flows[[#This Row],[E1_UoM]]</f>
        <v>Mg</v>
      </c>
      <c r="AB394" s="19">
        <f>_xlfn.XLOOKUP(Tab_Data_Flows[[#This Row],[Flow_Name]],Tab_Def_Flows[Flow_Name],Tab_Def_Flows[Flow_E3_Fraction'[%']],"N.A.",0,1)</f>
        <v>0</v>
      </c>
      <c r="AC394" s="2">
        <f>IF(E394="Yes",AB394*Tab_Data_Flows[[#This Row],[E1_value]],"N.A.")</f>
        <v>0</v>
      </c>
      <c r="AD394" s="2" t="str">
        <f>Tab_Data_Flows[[#This Row],[E1_UoM]]</f>
        <v>Mg</v>
      </c>
      <c r="AE394" s="19">
        <f>_xlfn.XLOOKUP(Tab_Data_Flows[[#This Row],[Flow_Name]],Tab_Def_Flows[Flow_Name],Tab_Def_Flows[Flow_E4_Fraction'[%']],"N.A.",0,1)</f>
        <v>0</v>
      </c>
      <c r="AF394" s="2">
        <f>IF(H394="Yes",Tab_Data_Flows[[#This Row],[E4_Fraction'[%']]]*Tab_Data_Flows[[#This Row],[E1_value]],"N.A.")</f>
        <v>0</v>
      </c>
      <c r="AG394" s="2" t="str">
        <f>Tab_Data_Flows[[#This Row],[E1_UoM]]</f>
        <v>Mg</v>
      </c>
      <c r="AH394" s="2">
        <f>_xlfn.XLOOKUP(Tab_Data_Flows[[#This Row],[Flow_Name]],Tab_Def_Flows[Flow_Name],Tab_Def_Flows[Flow_E5_Fraction'[%']],"N.A.",0,1)</f>
        <v>0</v>
      </c>
      <c r="AI394" s="2">
        <f>IF(H394="Yes",Tab_Data_Flows[[#This Row],[E5_Fraction'[%']]]*Tab_Data_Flows[[#This Row],[E1_value]],"N.A.")</f>
        <v>0</v>
      </c>
      <c r="AJ394" s="2" t="str">
        <f>Tab_Data_Flows[[#This Row],[E1_UoM]]</f>
        <v>Mg</v>
      </c>
      <c r="AK394" s="19">
        <f>_xlfn.XLOOKUP(Tab_Data_Flows[[#This Row],[Flow_Name]],Tab_Def_Flows[Flow_Name],Tab_Def_Flows[Flow_E6_Fraction'[%']],"N.A.",0,1)</f>
        <v>0</v>
      </c>
      <c r="AL394" s="2">
        <f>IF(Tab_Data_Flows[[#This Row],[Use_E6]]="Yes",Tab_Data_Flows[[#This Row],[E6_Fraction'[%']]]*Tab_Data_Flows[[#This Row],[E1_value]],"N.A.")</f>
        <v>0</v>
      </c>
      <c r="AM394" s="2" t="str">
        <f>Tab_Data_Flows[[#This Row],[E1_UoM]]</f>
        <v>Mg</v>
      </c>
    </row>
    <row r="395" spans="1:39" x14ac:dyDescent="0.25">
      <c r="A395" s="4">
        <f t="shared" si="12"/>
        <v>394</v>
      </c>
      <c r="B395" s="2" t="str">
        <f>_xlfn.XLOOKUP(C395,Tab_Def_Flows[Flow_Name],Tab_Def_Flows[Flow_ID],,0,)</f>
        <v>F__</v>
      </c>
      <c r="C395" s="18" t="s">
        <v>5</v>
      </c>
      <c r="D395" s="5" t="str">
        <f>_xlfn.XLOOKUP(C395,Tab_Def_Flows[Flow_Name],Tab_Def_Flows[Use_E1],,0,)</f>
        <v>Yes</v>
      </c>
      <c r="E395" s="5" t="str">
        <f>_xlfn.XLOOKUP(C395,Tab_Def_Flows[Flow_Name],Tab_Def_Flows[Use_E2],,0,)</f>
        <v>Yes</v>
      </c>
      <c r="F395" s="5" t="str">
        <f>_xlfn.XLOOKUP(C395,Tab_Def_Flows[Flow_Name],Tab_Def_Flows[Use_E3],,0,)</f>
        <v>Yes</v>
      </c>
      <c r="G395" s="5" t="str">
        <f>_xlfn.XLOOKUP(C395,Tab_Def_Flows[Flow_Name],Tab_Def_Flows[Use_E4],,0,)</f>
        <v>Yes</v>
      </c>
      <c r="H395" s="5" t="str">
        <f>_xlfn.XLOOKUP(C395,Tab_Def_Flows[Flow_Name],Tab_Def_Flows[Use_E5],,0,)</f>
        <v>Yes</v>
      </c>
      <c r="I395" s="5" t="str">
        <f>_xlfn.XLOOKUP(C395,Tab_Def_Flows[Flow_Name],Tab_Def_Flows[Use_E6],,0,)</f>
        <v>Yes</v>
      </c>
      <c r="J395" s="3"/>
      <c r="K395" s="3"/>
      <c r="L395" s="2" t="str">
        <f>'0_Configuration'!$C$41</f>
        <v>Mg</v>
      </c>
      <c r="M395" s="9"/>
      <c r="N395" s="9"/>
      <c r="O395" s="9"/>
      <c r="P395" s="9"/>
      <c r="Q395" s="18" t="s">
        <v>3</v>
      </c>
      <c r="R395" s="3"/>
      <c r="S395" s="3"/>
      <c r="T395" s="9"/>
      <c r="U395" s="9"/>
      <c r="V395" s="2">
        <f>_xlfn.XLOOKUP(Tab_Data_Flows[[#This Row],[Flow_Name]],Tab_Def_Flows[Flow_Name],Tab_Def_Flows[Flow_E1_Fraction'[%']],"N.A.",0,1)</f>
        <v>0</v>
      </c>
      <c r="W395" s="8">
        <f t="shared" si="14"/>
        <v>0</v>
      </c>
      <c r="X395" s="2" t="str">
        <f>Tab_Data_Flows[[#This Row],[UoM_Source]]</f>
        <v>Mg</v>
      </c>
      <c r="Y395" s="19">
        <f>_xlfn.XLOOKUP(Tab_Data_Flows[[#This Row],[Flow_Name]],Tab_Def_Flows[Flow_Name],Tab_Def_Flows[Flow_E2_Fraction'[%']],"N.A.",0,1)</f>
        <v>0</v>
      </c>
      <c r="Z395" s="2">
        <f>IF(D395="Yes",W395*Tab_Data_Flows[[#This Row],[E2_Fraction'[%']]],"N.A.")</f>
        <v>0</v>
      </c>
      <c r="AA395" s="2" t="str">
        <f>Tab_Data_Flows[[#This Row],[E1_UoM]]</f>
        <v>Mg</v>
      </c>
      <c r="AB395" s="19">
        <f>_xlfn.XLOOKUP(Tab_Data_Flows[[#This Row],[Flow_Name]],Tab_Def_Flows[Flow_Name],Tab_Def_Flows[Flow_E3_Fraction'[%']],"N.A.",0,1)</f>
        <v>0</v>
      </c>
      <c r="AC395" s="2">
        <f>IF(E395="Yes",AB395*Tab_Data_Flows[[#This Row],[E1_value]],"N.A.")</f>
        <v>0</v>
      </c>
      <c r="AD395" s="2" t="str">
        <f>Tab_Data_Flows[[#This Row],[E1_UoM]]</f>
        <v>Mg</v>
      </c>
      <c r="AE395" s="19">
        <f>_xlfn.XLOOKUP(Tab_Data_Flows[[#This Row],[Flow_Name]],Tab_Def_Flows[Flow_Name],Tab_Def_Flows[Flow_E4_Fraction'[%']],"N.A.",0,1)</f>
        <v>0</v>
      </c>
      <c r="AF395" s="2">
        <f>IF(H395="Yes",Tab_Data_Flows[[#This Row],[E4_Fraction'[%']]]*Tab_Data_Flows[[#This Row],[E1_value]],"N.A.")</f>
        <v>0</v>
      </c>
      <c r="AG395" s="2" t="str">
        <f>Tab_Data_Flows[[#This Row],[E1_UoM]]</f>
        <v>Mg</v>
      </c>
      <c r="AH395" s="2">
        <f>_xlfn.XLOOKUP(Tab_Data_Flows[[#This Row],[Flow_Name]],Tab_Def_Flows[Flow_Name],Tab_Def_Flows[Flow_E5_Fraction'[%']],"N.A.",0,1)</f>
        <v>0</v>
      </c>
      <c r="AI395" s="2">
        <f>IF(H395="Yes",Tab_Data_Flows[[#This Row],[E5_Fraction'[%']]]*Tab_Data_Flows[[#This Row],[E1_value]],"N.A.")</f>
        <v>0</v>
      </c>
      <c r="AJ395" s="2" t="str">
        <f>Tab_Data_Flows[[#This Row],[E1_UoM]]</f>
        <v>Mg</v>
      </c>
      <c r="AK395" s="19">
        <f>_xlfn.XLOOKUP(Tab_Data_Flows[[#This Row],[Flow_Name]],Tab_Def_Flows[Flow_Name],Tab_Def_Flows[Flow_E6_Fraction'[%']],"N.A.",0,1)</f>
        <v>0</v>
      </c>
      <c r="AL395" s="2">
        <f>IF(Tab_Data_Flows[[#This Row],[Use_E6]]="Yes",Tab_Data_Flows[[#This Row],[E6_Fraction'[%']]]*Tab_Data_Flows[[#This Row],[E1_value]],"N.A.")</f>
        <v>0</v>
      </c>
      <c r="AM395" s="2" t="str">
        <f>Tab_Data_Flows[[#This Row],[E1_UoM]]</f>
        <v>Mg</v>
      </c>
    </row>
    <row r="396" spans="1:39" x14ac:dyDescent="0.25">
      <c r="A396" s="4">
        <f t="shared" si="12"/>
        <v>395</v>
      </c>
      <c r="B396" s="2" t="str">
        <f>_xlfn.XLOOKUP(C396,Tab_Def_Flows[Flow_Name],Tab_Def_Flows[Flow_ID],,0,)</f>
        <v>F__</v>
      </c>
      <c r="C396" s="18" t="s">
        <v>5</v>
      </c>
      <c r="D396" s="5" t="str">
        <f>_xlfn.XLOOKUP(C396,Tab_Def_Flows[Flow_Name],Tab_Def_Flows[Use_E1],,0,)</f>
        <v>Yes</v>
      </c>
      <c r="E396" s="5" t="str">
        <f>_xlfn.XLOOKUP(C396,Tab_Def_Flows[Flow_Name],Tab_Def_Flows[Use_E2],,0,)</f>
        <v>Yes</v>
      </c>
      <c r="F396" s="5" t="str">
        <f>_xlfn.XLOOKUP(C396,Tab_Def_Flows[Flow_Name],Tab_Def_Flows[Use_E3],,0,)</f>
        <v>Yes</v>
      </c>
      <c r="G396" s="5" t="str">
        <f>_xlfn.XLOOKUP(C396,Tab_Def_Flows[Flow_Name],Tab_Def_Flows[Use_E4],,0,)</f>
        <v>Yes</v>
      </c>
      <c r="H396" s="5" t="str">
        <f>_xlfn.XLOOKUP(C396,Tab_Def_Flows[Flow_Name],Tab_Def_Flows[Use_E5],,0,)</f>
        <v>Yes</v>
      </c>
      <c r="I396" s="5" t="str">
        <f>_xlfn.XLOOKUP(C396,Tab_Def_Flows[Flow_Name],Tab_Def_Flows[Use_E6],,0,)</f>
        <v>Yes</v>
      </c>
      <c r="J396" s="3"/>
      <c r="K396" s="3"/>
      <c r="L396" s="2" t="str">
        <f>'0_Configuration'!$C$41</f>
        <v>Mg</v>
      </c>
      <c r="M396" s="9"/>
      <c r="N396" s="9"/>
      <c r="O396" s="9"/>
      <c r="P396" s="9"/>
      <c r="Q396" s="18" t="s">
        <v>3</v>
      </c>
      <c r="R396" s="3"/>
      <c r="S396" s="3"/>
      <c r="T396" s="9"/>
      <c r="U396" s="9"/>
      <c r="V396" s="2">
        <f>_xlfn.XLOOKUP(Tab_Data_Flows[[#This Row],[Flow_Name]],Tab_Def_Flows[Flow_Name],Tab_Def_Flows[Flow_E1_Fraction'[%']],"N.A.",0,1)</f>
        <v>0</v>
      </c>
      <c r="W396" s="8">
        <f t="shared" si="14"/>
        <v>0</v>
      </c>
      <c r="X396" s="2" t="str">
        <f>Tab_Data_Flows[[#This Row],[UoM_Source]]</f>
        <v>Mg</v>
      </c>
      <c r="Y396" s="19">
        <f>_xlfn.XLOOKUP(Tab_Data_Flows[[#This Row],[Flow_Name]],Tab_Def_Flows[Flow_Name],Tab_Def_Flows[Flow_E2_Fraction'[%']],"N.A.",0,1)</f>
        <v>0</v>
      </c>
      <c r="Z396" s="2">
        <f>IF(D396="Yes",W396*Tab_Data_Flows[[#This Row],[E2_Fraction'[%']]],"N.A.")</f>
        <v>0</v>
      </c>
      <c r="AA396" s="2" t="str">
        <f>Tab_Data_Flows[[#This Row],[E1_UoM]]</f>
        <v>Mg</v>
      </c>
      <c r="AB396" s="19">
        <f>_xlfn.XLOOKUP(Tab_Data_Flows[[#This Row],[Flow_Name]],Tab_Def_Flows[Flow_Name],Tab_Def_Flows[Flow_E3_Fraction'[%']],"N.A.",0,1)</f>
        <v>0</v>
      </c>
      <c r="AC396" s="2">
        <f>IF(E396="Yes",AB396*Tab_Data_Flows[[#This Row],[E1_value]],"N.A.")</f>
        <v>0</v>
      </c>
      <c r="AD396" s="2" t="str">
        <f>Tab_Data_Flows[[#This Row],[E1_UoM]]</f>
        <v>Mg</v>
      </c>
      <c r="AE396" s="19">
        <f>_xlfn.XLOOKUP(Tab_Data_Flows[[#This Row],[Flow_Name]],Tab_Def_Flows[Flow_Name],Tab_Def_Flows[Flow_E4_Fraction'[%']],"N.A.",0,1)</f>
        <v>0</v>
      </c>
      <c r="AF396" s="2">
        <f>IF(H396="Yes",Tab_Data_Flows[[#This Row],[E4_Fraction'[%']]]*Tab_Data_Flows[[#This Row],[E1_value]],"N.A.")</f>
        <v>0</v>
      </c>
      <c r="AG396" s="2" t="str">
        <f>Tab_Data_Flows[[#This Row],[E1_UoM]]</f>
        <v>Mg</v>
      </c>
      <c r="AH396" s="2">
        <f>_xlfn.XLOOKUP(Tab_Data_Flows[[#This Row],[Flow_Name]],Tab_Def_Flows[Flow_Name],Tab_Def_Flows[Flow_E5_Fraction'[%']],"N.A.",0,1)</f>
        <v>0</v>
      </c>
      <c r="AI396" s="2">
        <f>IF(H396="Yes",Tab_Data_Flows[[#This Row],[E5_Fraction'[%']]]*Tab_Data_Flows[[#This Row],[E1_value]],"N.A.")</f>
        <v>0</v>
      </c>
      <c r="AJ396" s="2" t="str">
        <f>Tab_Data_Flows[[#This Row],[E1_UoM]]</f>
        <v>Mg</v>
      </c>
      <c r="AK396" s="19">
        <f>_xlfn.XLOOKUP(Tab_Data_Flows[[#This Row],[Flow_Name]],Tab_Def_Flows[Flow_Name],Tab_Def_Flows[Flow_E6_Fraction'[%']],"N.A.",0,1)</f>
        <v>0</v>
      </c>
      <c r="AL396" s="2">
        <f>IF(Tab_Data_Flows[[#This Row],[Use_E6]]="Yes",Tab_Data_Flows[[#This Row],[E6_Fraction'[%']]]*Tab_Data_Flows[[#This Row],[E1_value]],"N.A.")</f>
        <v>0</v>
      </c>
      <c r="AM396" s="2" t="str">
        <f>Tab_Data_Flows[[#This Row],[E1_UoM]]</f>
        <v>Mg</v>
      </c>
    </row>
    <row r="397" spans="1:39" x14ac:dyDescent="0.25">
      <c r="A397" s="4">
        <f t="shared" si="12"/>
        <v>396</v>
      </c>
      <c r="B397" s="2" t="str">
        <f>_xlfn.XLOOKUP(C397,Tab_Def_Flows[Flow_Name],Tab_Def_Flows[Flow_ID],,0,)</f>
        <v>F__</v>
      </c>
      <c r="C397" s="18" t="s">
        <v>5</v>
      </c>
      <c r="D397" s="5" t="str">
        <f>_xlfn.XLOOKUP(C397,Tab_Def_Flows[Flow_Name],Tab_Def_Flows[Use_E1],,0,)</f>
        <v>Yes</v>
      </c>
      <c r="E397" s="5" t="str">
        <f>_xlfn.XLOOKUP(C397,Tab_Def_Flows[Flow_Name],Tab_Def_Flows[Use_E2],,0,)</f>
        <v>Yes</v>
      </c>
      <c r="F397" s="5" t="str">
        <f>_xlfn.XLOOKUP(C397,Tab_Def_Flows[Flow_Name],Tab_Def_Flows[Use_E3],,0,)</f>
        <v>Yes</v>
      </c>
      <c r="G397" s="5" t="str">
        <f>_xlfn.XLOOKUP(C397,Tab_Def_Flows[Flow_Name],Tab_Def_Flows[Use_E4],,0,)</f>
        <v>Yes</v>
      </c>
      <c r="H397" s="5" t="str">
        <f>_xlfn.XLOOKUP(C397,Tab_Def_Flows[Flow_Name],Tab_Def_Flows[Use_E5],,0,)</f>
        <v>Yes</v>
      </c>
      <c r="I397" s="5" t="str">
        <f>_xlfn.XLOOKUP(C397,Tab_Def_Flows[Flow_Name],Tab_Def_Flows[Use_E6],,0,)</f>
        <v>Yes</v>
      </c>
      <c r="J397" s="3"/>
      <c r="K397" s="3"/>
      <c r="L397" s="2" t="str">
        <f>'0_Configuration'!$C$41</f>
        <v>Mg</v>
      </c>
      <c r="M397" s="9"/>
      <c r="N397" s="9"/>
      <c r="O397" s="9"/>
      <c r="P397" s="9"/>
      <c r="Q397" s="18" t="s">
        <v>3</v>
      </c>
      <c r="R397" s="3"/>
      <c r="S397" s="3"/>
      <c r="T397" s="9"/>
      <c r="U397" s="9"/>
      <c r="V397" s="2">
        <f>_xlfn.XLOOKUP(Tab_Data_Flows[[#This Row],[Flow_Name]],Tab_Def_Flows[Flow_Name],Tab_Def_Flows[Flow_E1_Fraction'[%']],"N.A.",0,1)</f>
        <v>0</v>
      </c>
      <c r="W397" s="8">
        <f t="shared" si="14"/>
        <v>0</v>
      </c>
      <c r="X397" s="2" t="str">
        <f>Tab_Data_Flows[[#This Row],[UoM_Source]]</f>
        <v>Mg</v>
      </c>
      <c r="Y397" s="19">
        <f>_xlfn.XLOOKUP(Tab_Data_Flows[[#This Row],[Flow_Name]],Tab_Def_Flows[Flow_Name],Tab_Def_Flows[Flow_E2_Fraction'[%']],"N.A.",0,1)</f>
        <v>0</v>
      </c>
      <c r="Z397" s="2">
        <f>IF(D397="Yes",W397*Tab_Data_Flows[[#This Row],[E2_Fraction'[%']]],"N.A.")</f>
        <v>0</v>
      </c>
      <c r="AA397" s="2" t="str">
        <f>Tab_Data_Flows[[#This Row],[E1_UoM]]</f>
        <v>Mg</v>
      </c>
      <c r="AB397" s="19">
        <f>_xlfn.XLOOKUP(Tab_Data_Flows[[#This Row],[Flow_Name]],Tab_Def_Flows[Flow_Name],Tab_Def_Flows[Flow_E3_Fraction'[%']],"N.A.",0,1)</f>
        <v>0</v>
      </c>
      <c r="AC397" s="2">
        <f>IF(E397="Yes",AB397*Tab_Data_Flows[[#This Row],[E1_value]],"N.A.")</f>
        <v>0</v>
      </c>
      <c r="AD397" s="2" t="str">
        <f>Tab_Data_Flows[[#This Row],[E1_UoM]]</f>
        <v>Mg</v>
      </c>
      <c r="AE397" s="19">
        <f>_xlfn.XLOOKUP(Tab_Data_Flows[[#This Row],[Flow_Name]],Tab_Def_Flows[Flow_Name],Tab_Def_Flows[Flow_E4_Fraction'[%']],"N.A.",0,1)</f>
        <v>0</v>
      </c>
      <c r="AF397" s="2">
        <f>IF(H397="Yes",Tab_Data_Flows[[#This Row],[E4_Fraction'[%']]]*Tab_Data_Flows[[#This Row],[E1_value]],"N.A.")</f>
        <v>0</v>
      </c>
      <c r="AG397" s="2" t="str">
        <f>Tab_Data_Flows[[#This Row],[E1_UoM]]</f>
        <v>Mg</v>
      </c>
      <c r="AH397" s="2">
        <f>_xlfn.XLOOKUP(Tab_Data_Flows[[#This Row],[Flow_Name]],Tab_Def_Flows[Flow_Name],Tab_Def_Flows[Flow_E5_Fraction'[%']],"N.A.",0,1)</f>
        <v>0</v>
      </c>
      <c r="AI397" s="2">
        <f>IF(H397="Yes",Tab_Data_Flows[[#This Row],[E5_Fraction'[%']]]*Tab_Data_Flows[[#This Row],[E1_value]],"N.A.")</f>
        <v>0</v>
      </c>
      <c r="AJ397" s="2" t="str">
        <f>Tab_Data_Flows[[#This Row],[E1_UoM]]</f>
        <v>Mg</v>
      </c>
      <c r="AK397" s="19">
        <f>_xlfn.XLOOKUP(Tab_Data_Flows[[#This Row],[Flow_Name]],Tab_Def_Flows[Flow_Name],Tab_Def_Flows[Flow_E6_Fraction'[%']],"N.A.",0,1)</f>
        <v>0</v>
      </c>
      <c r="AL397" s="2">
        <f>IF(Tab_Data_Flows[[#This Row],[Use_E6]]="Yes",Tab_Data_Flows[[#This Row],[E6_Fraction'[%']]]*Tab_Data_Flows[[#This Row],[E1_value]],"N.A.")</f>
        <v>0</v>
      </c>
      <c r="AM397" s="2" t="str">
        <f>Tab_Data_Flows[[#This Row],[E1_UoM]]</f>
        <v>Mg</v>
      </c>
    </row>
    <row r="398" spans="1:39" x14ac:dyDescent="0.25">
      <c r="A398" s="4">
        <f t="shared" si="12"/>
        <v>397</v>
      </c>
      <c r="B398" s="2" t="str">
        <f>_xlfn.XLOOKUP(C398,Tab_Def_Flows[Flow_Name],Tab_Def_Flows[Flow_ID],,0,)</f>
        <v>F__</v>
      </c>
      <c r="C398" s="18" t="s">
        <v>5</v>
      </c>
      <c r="D398" s="5" t="str">
        <f>_xlfn.XLOOKUP(C398,Tab_Def_Flows[Flow_Name],Tab_Def_Flows[Use_E1],,0,)</f>
        <v>Yes</v>
      </c>
      <c r="E398" s="5" t="str">
        <f>_xlfn.XLOOKUP(C398,Tab_Def_Flows[Flow_Name],Tab_Def_Flows[Use_E2],,0,)</f>
        <v>Yes</v>
      </c>
      <c r="F398" s="5" t="str">
        <f>_xlfn.XLOOKUP(C398,Tab_Def_Flows[Flow_Name],Tab_Def_Flows[Use_E3],,0,)</f>
        <v>Yes</v>
      </c>
      <c r="G398" s="5" t="str">
        <f>_xlfn.XLOOKUP(C398,Tab_Def_Flows[Flow_Name],Tab_Def_Flows[Use_E4],,0,)</f>
        <v>Yes</v>
      </c>
      <c r="H398" s="5" t="str">
        <f>_xlfn.XLOOKUP(C398,Tab_Def_Flows[Flow_Name],Tab_Def_Flows[Use_E5],,0,)</f>
        <v>Yes</v>
      </c>
      <c r="I398" s="5" t="str">
        <f>_xlfn.XLOOKUP(C398,Tab_Def_Flows[Flow_Name],Tab_Def_Flows[Use_E6],,0,)</f>
        <v>Yes</v>
      </c>
      <c r="J398" s="3"/>
      <c r="K398" s="3"/>
      <c r="L398" s="2" t="str">
        <f>'0_Configuration'!$C$41</f>
        <v>Mg</v>
      </c>
      <c r="M398" s="9"/>
      <c r="N398" s="9"/>
      <c r="O398" s="9"/>
      <c r="P398" s="9"/>
      <c r="Q398" s="18" t="s">
        <v>3</v>
      </c>
      <c r="R398" s="3"/>
      <c r="S398" s="3"/>
      <c r="T398" s="9"/>
      <c r="U398" s="9"/>
      <c r="V398" s="2">
        <f>_xlfn.XLOOKUP(Tab_Data_Flows[[#This Row],[Flow_Name]],Tab_Def_Flows[Flow_Name],Tab_Def_Flows[Flow_E1_Fraction'[%']],"N.A.",0,1)</f>
        <v>0</v>
      </c>
      <c r="W398" s="8">
        <f t="shared" si="14"/>
        <v>0</v>
      </c>
      <c r="X398" s="2" t="str">
        <f>Tab_Data_Flows[[#This Row],[UoM_Source]]</f>
        <v>Mg</v>
      </c>
      <c r="Y398" s="19">
        <f>_xlfn.XLOOKUP(Tab_Data_Flows[[#This Row],[Flow_Name]],Tab_Def_Flows[Flow_Name],Tab_Def_Flows[Flow_E2_Fraction'[%']],"N.A.",0,1)</f>
        <v>0</v>
      </c>
      <c r="Z398" s="2">
        <f>IF(D398="Yes",W398*Tab_Data_Flows[[#This Row],[E2_Fraction'[%']]],"N.A.")</f>
        <v>0</v>
      </c>
      <c r="AA398" s="2" t="str">
        <f>Tab_Data_Flows[[#This Row],[E1_UoM]]</f>
        <v>Mg</v>
      </c>
      <c r="AB398" s="19">
        <f>_xlfn.XLOOKUP(Tab_Data_Flows[[#This Row],[Flow_Name]],Tab_Def_Flows[Flow_Name],Tab_Def_Flows[Flow_E3_Fraction'[%']],"N.A.",0,1)</f>
        <v>0</v>
      </c>
      <c r="AC398" s="2">
        <f>IF(E398="Yes",AB398*Tab_Data_Flows[[#This Row],[E1_value]],"N.A.")</f>
        <v>0</v>
      </c>
      <c r="AD398" s="2" t="str">
        <f>Tab_Data_Flows[[#This Row],[E1_UoM]]</f>
        <v>Mg</v>
      </c>
      <c r="AE398" s="19">
        <f>_xlfn.XLOOKUP(Tab_Data_Flows[[#This Row],[Flow_Name]],Tab_Def_Flows[Flow_Name],Tab_Def_Flows[Flow_E4_Fraction'[%']],"N.A.",0,1)</f>
        <v>0</v>
      </c>
      <c r="AF398" s="2">
        <f>IF(H398="Yes",Tab_Data_Flows[[#This Row],[E4_Fraction'[%']]]*Tab_Data_Flows[[#This Row],[E1_value]],"N.A.")</f>
        <v>0</v>
      </c>
      <c r="AG398" s="2" t="str">
        <f>Tab_Data_Flows[[#This Row],[E1_UoM]]</f>
        <v>Mg</v>
      </c>
      <c r="AH398" s="2">
        <f>_xlfn.XLOOKUP(Tab_Data_Flows[[#This Row],[Flow_Name]],Tab_Def_Flows[Flow_Name],Tab_Def_Flows[Flow_E5_Fraction'[%']],"N.A.",0,1)</f>
        <v>0</v>
      </c>
      <c r="AI398" s="2">
        <f>IF(H398="Yes",Tab_Data_Flows[[#This Row],[E5_Fraction'[%']]]*Tab_Data_Flows[[#This Row],[E1_value]],"N.A.")</f>
        <v>0</v>
      </c>
      <c r="AJ398" s="2" t="str">
        <f>Tab_Data_Flows[[#This Row],[E1_UoM]]</f>
        <v>Mg</v>
      </c>
      <c r="AK398" s="19">
        <f>_xlfn.XLOOKUP(Tab_Data_Flows[[#This Row],[Flow_Name]],Tab_Def_Flows[Flow_Name],Tab_Def_Flows[Flow_E6_Fraction'[%']],"N.A.",0,1)</f>
        <v>0</v>
      </c>
      <c r="AL398" s="2">
        <f>IF(Tab_Data_Flows[[#This Row],[Use_E6]]="Yes",Tab_Data_Flows[[#This Row],[E6_Fraction'[%']]]*Tab_Data_Flows[[#This Row],[E1_value]],"N.A.")</f>
        <v>0</v>
      </c>
      <c r="AM398" s="2" t="str">
        <f>Tab_Data_Flows[[#This Row],[E1_UoM]]</f>
        <v>Mg</v>
      </c>
    </row>
    <row r="399" spans="1:39" x14ac:dyDescent="0.25">
      <c r="A399" s="4">
        <f t="shared" si="12"/>
        <v>398</v>
      </c>
      <c r="B399" s="2" t="str">
        <f>_xlfn.XLOOKUP(C399,Tab_Def_Flows[Flow_Name],Tab_Def_Flows[Flow_ID],,0,)</f>
        <v>F__</v>
      </c>
      <c r="C399" s="18" t="s">
        <v>5</v>
      </c>
      <c r="D399" s="5" t="str">
        <f>_xlfn.XLOOKUP(C399,Tab_Def_Flows[Flow_Name],Tab_Def_Flows[Use_E1],,0,)</f>
        <v>Yes</v>
      </c>
      <c r="E399" s="5" t="str">
        <f>_xlfn.XLOOKUP(C399,Tab_Def_Flows[Flow_Name],Tab_Def_Flows[Use_E2],,0,)</f>
        <v>Yes</v>
      </c>
      <c r="F399" s="5" t="str">
        <f>_xlfn.XLOOKUP(C399,Tab_Def_Flows[Flow_Name],Tab_Def_Flows[Use_E3],,0,)</f>
        <v>Yes</v>
      </c>
      <c r="G399" s="5" t="str">
        <f>_xlfn.XLOOKUP(C399,Tab_Def_Flows[Flow_Name],Tab_Def_Flows[Use_E4],,0,)</f>
        <v>Yes</v>
      </c>
      <c r="H399" s="5" t="str">
        <f>_xlfn.XLOOKUP(C399,Tab_Def_Flows[Flow_Name],Tab_Def_Flows[Use_E5],,0,)</f>
        <v>Yes</v>
      </c>
      <c r="I399" s="5" t="str">
        <f>_xlfn.XLOOKUP(C399,Tab_Def_Flows[Flow_Name],Tab_Def_Flows[Use_E6],,0,)</f>
        <v>Yes</v>
      </c>
      <c r="J399" s="3"/>
      <c r="K399" s="3"/>
      <c r="L399" s="2" t="str">
        <f>'0_Configuration'!$C$41</f>
        <v>Mg</v>
      </c>
      <c r="M399" s="9"/>
      <c r="N399" s="9"/>
      <c r="O399" s="9"/>
      <c r="P399" s="9"/>
      <c r="Q399" s="18" t="s">
        <v>3</v>
      </c>
      <c r="R399" s="3"/>
      <c r="S399" s="3"/>
      <c r="T399" s="9"/>
      <c r="U399" s="9"/>
      <c r="V399" s="2">
        <f>_xlfn.XLOOKUP(Tab_Data_Flows[[#This Row],[Flow_Name]],Tab_Def_Flows[Flow_Name],Tab_Def_Flows[Flow_E1_Fraction'[%']],"N.A.",0,1)</f>
        <v>0</v>
      </c>
      <c r="W399" s="8">
        <f t="shared" si="14"/>
        <v>0</v>
      </c>
      <c r="X399" s="2" t="str">
        <f>Tab_Data_Flows[[#This Row],[UoM_Source]]</f>
        <v>Mg</v>
      </c>
      <c r="Y399" s="19">
        <f>_xlfn.XLOOKUP(Tab_Data_Flows[[#This Row],[Flow_Name]],Tab_Def_Flows[Flow_Name],Tab_Def_Flows[Flow_E2_Fraction'[%']],"N.A.",0,1)</f>
        <v>0</v>
      </c>
      <c r="Z399" s="2">
        <f>IF(D399="Yes",W399*Tab_Data_Flows[[#This Row],[E2_Fraction'[%']]],"N.A.")</f>
        <v>0</v>
      </c>
      <c r="AA399" s="2" t="str">
        <f>Tab_Data_Flows[[#This Row],[E1_UoM]]</f>
        <v>Mg</v>
      </c>
      <c r="AB399" s="19">
        <f>_xlfn.XLOOKUP(Tab_Data_Flows[[#This Row],[Flow_Name]],Tab_Def_Flows[Flow_Name],Tab_Def_Flows[Flow_E3_Fraction'[%']],"N.A.",0,1)</f>
        <v>0</v>
      </c>
      <c r="AC399" s="2">
        <f>IF(E399="Yes",AB399*Tab_Data_Flows[[#This Row],[E1_value]],"N.A.")</f>
        <v>0</v>
      </c>
      <c r="AD399" s="2" t="str">
        <f>Tab_Data_Flows[[#This Row],[E1_UoM]]</f>
        <v>Mg</v>
      </c>
      <c r="AE399" s="19">
        <f>_xlfn.XLOOKUP(Tab_Data_Flows[[#This Row],[Flow_Name]],Tab_Def_Flows[Flow_Name],Tab_Def_Flows[Flow_E4_Fraction'[%']],"N.A.",0,1)</f>
        <v>0</v>
      </c>
      <c r="AF399" s="2">
        <f>IF(H399="Yes",Tab_Data_Flows[[#This Row],[E4_Fraction'[%']]]*Tab_Data_Flows[[#This Row],[E1_value]],"N.A.")</f>
        <v>0</v>
      </c>
      <c r="AG399" s="2" t="str">
        <f>Tab_Data_Flows[[#This Row],[E1_UoM]]</f>
        <v>Mg</v>
      </c>
      <c r="AH399" s="2">
        <f>_xlfn.XLOOKUP(Tab_Data_Flows[[#This Row],[Flow_Name]],Tab_Def_Flows[Flow_Name],Tab_Def_Flows[Flow_E5_Fraction'[%']],"N.A.",0,1)</f>
        <v>0</v>
      </c>
      <c r="AI399" s="2">
        <f>IF(H399="Yes",Tab_Data_Flows[[#This Row],[E5_Fraction'[%']]]*Tab_Data_Flows[[#This Row],[E1_value]],"N.A.")</f>
        <v>0</v>
      </c>
      <c r="AJ399" s="2" t="str">
        <f>Tab_Data_Flows[[#This Row],[E1_UoM]]</f>
        <v>Mg</v>
      </c>
      <c r="AK399" s="19">
        <f>_xlfn.XLOOKUP(Tab_Data_Flows[[#This Row],[Flow_Name]],Tab_Def_Flows[Flow_Name],Tab_Def_Flows[Flow_E6_Fraction'[%']],"N.A.",0,1)</f>
        <v>0</v>
      </c>
      <c r="AL399" s="2">
        <f>IF(Tab_Data_Flows[[#This Row],[Use_E6]]="Yes",Tab_Data_Flows[[#This Row],[E6_Fraction'[%']]]*Tab_Data_Flows[[#This Row],[E1_value]],"N.A.")</f>
        <v>0</v>
      </c>
      <c r="AM399" s="2" t="str">
        <f>Tab_Data_Flows[[#This Row],[E1_UoM]]</f>
        <v>Mg</v>
      </c>
    </row>
    <row r="400" spans="1:39" x14ac:dyDescent="0.25">
      <c r="A400" s="4">
        <f t="shared" si="12"/>
        <v>399</v>
      </c>
      <c r="B400" s="2" t="str">
        <f>_xlfn.XLOOKUP(C400,Tab_Def_Flows[Flow_Name],Tab_Def_Flows[Flow_ID],,0,)</f>
        <v>F__</v>
      </c>
      <c r="C400" s="18" t="s">
        <v>5</v>
      </c>
      <c r="D400" s="5" t="str">
        <f>_xlfn.XLOOKUP(C400,Tab_Def_Flows[Flow_Name],Tab_Def_Flows[Use_E1],,0,)</f>
        <v>Yes</v>
      </c>
      <c r="E400" s="5" t="str">
        <f>_xlfn.XLOOKUP(C400,Tab_Def_Flows[Flow_Name],Tab_Def_Flows[Use_E2],,0,)</f>
        <v>Yes</v>
      </c>
      <c r="F400" s="5" t="str">
        <f>_xlfn.XLOOKUP(C400,Tab_Def_Flows[Flow_Name],Tab_Def_Flows[Use_E3],,0,)</f>
        <v>Yes</v>
      </c>
      <c r="G400" s="5" t="str">
        <f>_xlfn.XLOOKUP(C400,Tab_Def_Flows[Flow_Name],Tab_Def_Flows[Use_E4],,0,)</f>
        <v>Yes</v>
      </c>
      <c r="H400" s="5" t="str">
        <f>_xlfn.XLOOKUP(C400,Tab_Def_Flows[Flow_Name],Tab_Def_Flows[Use_E5],,0,)</f>
        <v>Yes</v>
      </c>
      <c r="I400" s="5" t="str">
        <f>_xlfn.XLOOKUP(C400,Tab_Def_Flows[Flow_Name],Tab_Def_Flows[Use_E6],,0,)</f>
        <v>Yes</v>
      </c>
      <c r="J400" s="3"/>
      <c r="K400" s="3"/>
      <c r="L400" s="2" t="str">
        <f>'0_Configuration'!$C$41</f>
        <v>Mg</v>
      </c>
      <c r="M400" s="9"/>
      <c r="N400" s="9"/>
      <c r="O400" s="9"/>
      <c r="P400" s="9"/>
      <c r="Q400" s="18" t="s">
        <v>3</v>
      </c>
      <c r="R400" s="3"/>
      <c r="S400" s="3"/>
      <c r="T400" s="9"/>
      <c r="U400" s="9"/>
      <c r="V400" s="2">
        <f>_xlfn.XLOOKUP(Tab_Data_Flows[[#This Row],[Flow_Name]],Tab_Def_Flows[Flow_Name],Tab_Def_Flows[Flow_E1_Fraction'[%']],"N.A.",0,1)</f>
        <v>0</v>
      </c>
      <c r="W400" s="8">
        <f t="shared" si="14"/>
        <v>0</v>
      </c>
      <c r="X400" s="2" t="str">
        <f>Tab_Data_Flows[[#This Row],[UoM_Source]]</f>
        <v>Mg</v>
      </c>
      <c r="Y400" s="19">
        <f>_xlfn.XLOOKUP(Tab_Data_Flows[[#This Row],[Flow_Name]],Tab_Def_Flows[Flow_Name],Tab_Def_Flows[Flow_E2_Fraction'[%']],"N.A.",0,1)</f>
        <v>0</v>
      </c>
      <c r="Z400" s="2">
        <f>IF(D400="Yes",W400*Tab_Data_Flows[[#This Row],[E2_Fraction'[%']]],"N.A.")</f>
        <v>0</v>
      </c>
      <c r="AA400" s="2" t="str">
        <f>Tab_Data_Flows[[#This Row],[E1_UoM]]</f>
        <v>Mg</v>
      </c>
      <c r="AB400" s="19">
        <f>_xlfn.XLOOKUP(Tab_Data_Flows[[#This Row],[Flow_Name]],Tab_Def_Flows[Flow_Name],Tab_Def_Flows[Flow_E3_Fraction'[%']],"N.A.",0,1)</f>
        <v>0</v>
      </c>
      <c r="AC400" s="2">
        <f>IF(E400="Yes",AB400*Tab_Data_Flows[[#This Row],[E1_value]],"N.A.")</f>
        <v>0</v>
      </c>
      <c r="AD400" s="2" t="str">
        <f>Tab_Data_Flows[[#This Row],[E1_UoM]]</f>
        <v>Mg</v>
      </c>
      <c r="AE400" s="19">
        <f>_xlfn.XLOOKUP(Tab_Data_Flows[[#This Row],[Flow_Name]],Tab_Def_Flows[Flow_Name],Tab_Def_Flows[Flow_E4_Fraction'[%']],"N.A.",0,1)</f>
        <v>0</v>
      </c>
      <c r="AF400" s="2">
        <f>IF(H400="Yes",Tab_Data_Flows[[#This Row],[E4_Fraction'[%']]]*Tab_Data_Flows[[#This Row],[E1_value]],"N.A.")</f>
        <v>0</v>
      </c>
      <c r="AG400" s="2" t="str">
        <f>Tab_Data_Flows[[#This Row],[E1_UoM]]</f>
        <v>Mg</v>
      </c>
      <c r="AH400" s="2">
        <f>_xlfn.XLOOKUP(Tab_Data_Flows[[#This Row],[Flow_Name]],Tab_Def_Flows[Flow_Name],Tab_Def_Flows[Flow_E5_Fraction'[%']],"N.A.",0,1)</f>
        <v>0</v>
      </c>
      <c r="AI400" s="2">
        <f>IF(H400="Yes",Tab_Data_Flows[[#This Row],[E5_Fraction'[%']]]*Tab_Data_Flows[[#This Row],[E1_value]],"N.A.")</f>
        <v>0</v>
      </c>
      <c r="AJ400" s="2" t="str">
        <f>Tab_Data_Flows[[#This Row],[E1_UoM]]</f>
        <v>Mg</v>
      </c>
      <c r="AK400" s="19">
        <f>_xlfn.XLOOKUP(Tab_Data_Flows[[#This Row],[Flow_Name]],Tab_Def_Flows[Flow_Name],Tab_Def_Flows[Flow_E6_Fraction'[%']],"N.A.",0,1)</f>
        <v>0</v>
      </c>
      <c r="AL400" s="2">
        <f>IF(Tab_Data_Flows[[#This Row],[Use_E6]]="Yes",Tab_Data_Flows[[#This Row],[E6_Fraction'[%']]]*Tab_Data_Flows[[#This Row],[E1_value]],"N.A.")</f>
        <v>0</v>
      </c>
      <c r="AM400" s="2" t="str">
        <f>Tab_Data_Flows[[#This Row],[E1_UoM]]</f>
        <v>Mg</v>
      </c>
    </row>
    <row r="401" spans="1:39" x14ac:dyDescent="0.25">
      <c r="A401" s="4">
        <f t="shared" si="12"/>
        <v>400</v>
      </c>
      <c r="B401" s="2" t="str">
        <f>_xlfn.XLOOKUP(C401,Tab_Def_Flows[Flow_Name],Tab_Def_Flows[Flow_ID],,0,)</f>
        <v>F__</v>
      </c>
      <c r="C401" s="18" t="s">
        <v>5</v>
      </c>
      <c r="D401" s="5" t="str">
        <f>_xlfn.XLOOKUP(C401,Tab_Def_Flows[Flow_Name],Tab_Def_Flows[Use_E1],,0,)</f>
        <v>Yes</v>
      </c>
      <c r="E401" s="5" t="str">
        <f>_xlfn.XLOOKUP(C401,Tab_Def_Flows[Flow_Name],Tab_Def_Flows[Use_E2],,0,)</f>
        <v>Yes</v>
      </c>
      <c r="F401" s="5" t="str">
        <f>_xlfn.XLOOKUP(C401,Tab_Def_Flows[Flow_Name],Tab_Def_Flows[Use_E3],,0,)</f>
        <v>Yes</v>
      </c>
      <c r="G401" s="5" t="str">
        <f>_xlfn.XLOOKUP(C401,Tab_Def_Flows[Flow_Name],Tab_Def_Flows[Use_E4],,0,)</f>
        <v>Yes</v>
      </c>
      <c r="H401" s="5" t="str">
        <f>_xlfn.XLOOKUP(C401,Tab_Def_Flows[Flow_Name],Tab_Def_Flows[Use_E5],,0,)</f>
        <v>Yes</v>
      </c>
      <c r="I401" s="5" t="str">
        <f>_xlfn.XLOOKUP(C401,Tab_Def_Flows[Flow_Name],Tab_Def_Flows[Use_E6],,0,)</f>
        <v>Yes</v>
      </c>
      <c r="J401" s="3"/>
      <c r="K401" s="3"/>
      <c r="L401" s="2" t="str">
        <f>'0_Configuration'!$C$41</f>
        <v>Mg</v>
      </c>
      <c r="M401" s="9"/>
      <c r="N401" s="9"/>
      <c r="O401" s="9"/>
      <c r="P401" s="9"/>
      <c r="Q401" s="18" t="s">
        <v>3</v>
      </c>
      <c r="R401" s="3"/>
      <c r="S401" s="3"/>
      <c r="T401" s="9"/>
      <c r="U401" s="9"/>
      <c r="V401" s="2">
        <f>_xlfn.XLOOKUP(Tab_Data_Flows[[#This Row],[Flow_Name]],Tab_Def_Flows[Flow_Name],Tab_Def_Flows[Flow_E1_Fraction'[%']],"N.A.",0,1)</f>
        <v>0</v>
      </c>
      <c r="W401" s="8">
        <f t="shared" si="14"/>
        <v>0</v>
      </c>
      <c r="X401" s="2" t="str">
        <f>Tab_Data_Flows[[#This Row],[UoM_Source]]</f>
        <v>Mg</v>
      </c>
      <c r="Y401" s="19">
        <f>_xlfn.XLOOKUP(Tab_Data_Flows[[#This Row],[Flow_Name]],Tab_Def_Flows[Flow_Name],Tab_Def_Flows[Flow_E2_Fraction'[%']],"N.A.",0,1)</f>
        <v>0</v>
      </c>
      <c r="Z401" s="2">
        <f>IF(D401="Yes",W401*Tab_Data_Flows[[#This Row],[E2_Fraction'[%']]],"N.A.")</f>
        <v>0</v>
      </c>
      <c r="AA401" s="2" t="str">
        <f>Tab_Data_Flows[[#This Row],[E1_UoM]]</f>
        <v>Mg</v>
      </c>
      <c r="AB401" s="19">
        <f>_xlfn.XLOOKUP(Tab_Data_Flows[[#This Row],[Flow_Name]],Tab_Def_Flows[Flow_Name],Tab_Def_Flows[Flow_E3_Fraction'[%']],"N.A.",0,1)</f>
        <v>0</v>
      </c>
      <c r="AC401" s="2">
        <f>IF(E401="Yes",AB401*Tab_Data_Flows[[#This Row],[E1_value]],"N.A.")</f>
        <v>0</v>
      </c>
      <c r="AD401" s="2" t="str">
        <f>Tab_Data_Flows[[#This Row],[E1_UoM]]</f>
        <v>Mg</v>
      </c>
      <c r="AE401" s="19">
        <f>_xlfn.XLOOKUP(Tab_Data_Flows[[#This Row],[Flow_Name]],Tab_Def_Flows[Flow_Name],Tab_Def_Flows[Flow_E4_Fraction'[%']],"N.A.",0,1)</f>
        <v>0</v>
      </c>
      <c r="AF401" s="2">
        <f>IF(H401="Yes",Tab_Data_Flows[[#This Row],[E4_Fraction'[%']]]*Tab_Data_Flows[[#This Row],[E1_value]],"N.A.")</f>
        <v>0</v>
      </c>
      <c r="AG401" s="2" t="str">
        <f>Tab_Data_Flows[[#This Row],[E1_UoM]]</f>
        <v>Mg</v>
      </c>
      <c r="AH401" s="2">
        <f>_xlfn.XLOOKUP(Tab_Data_Flows[[#This Row],[Flow_Name]],Tab_Def_Flows[Flow_Name],Tab_Def_Flows[Flow_E5_Fraction'[%']],"N.A.",0,1)</f>
        <v>0</v>
      </c>
      <c r="AI401" s="2">
        <f>IF(H401="Yes",Tab_Data_Flows[[#This Row],[E5_Fraction'[%']]]*Tab_Data_Flows[[#This Row],[E1_value]],"N.A.")</f>
        <v>0</v>
      </c>
      <c r="AJ401" s="2" t="str">
        <f>Tab_Data_Flows[[#This Row],[E1_UoM]]</f>
        <v>Mg</v>
      </c>
      <c r="AK401" s="19">
        <f>_xlfn.XLOOKUP(Tab_Data_Flows[[#This Row],[Flow_Name]],Tab_Def_Flows[Flow_Name],Tab_Def_Flows[Flow_E6_Fraction'[%']],"N.A.",0,1)</f>
        <v>0</v>
      </c>
      <c r="AL401" s="2">
        <f>IF(Tab_Data_Flows[[#This Row],[Use_E6]]="Yes",Tab_Data_Flows[[#This Row],[E6_Fraction'[%']]]*Tab_Data_Flows[[#This Row],[E1_value]],"N.A.")</f>
        <v>0</v>
      </c>
      <c r="AM401" s="2" t="str">
        <f>Tab_Data_Flows[[#This Row],[E1_UoM]]</f>
        <v>Mg</v>
      </c>
    </row>
    <row r="402" spans="1:39" x14ac:dyDescent="0.25">
      <c r="A402" s="4">
        <f t="shared" si="12"/>
        <v>401</v>
      </c>
      <c r="B402" s="2" t="str">
        <f>_xlfn.XLOOKUP(C402,Tab_Def_Flows[Flow_Name],Tab_Def_Flows[Flow_ID],,0,)</f>
        <v>F__</v>
      </c>
      <c r="C402" s="18" t="s">
        <v>5</v>
      </c>
      <c r="D402" s="5" t="str">
        <f>_xlfn.XLOOKUP(C402,Tab_Def_Flows[Flow_Name],Tab_Def_Flows[Use_E1],,0,)</f>
        <v>Yes</v>
      </c>
      <c r="E402" s="5" t="str">
        <f>_xlfn.XLOOKUP(C402,Tab_Def_Flows[Flow_Name],Tab_Def_Flows[Use_E2],,0,)</f>
        <v>Yes</v>
      </c>
      <c r="F402" s="5" t="str">
        <f>_xlfn.XLOOKUP(C402,Tab_Def_Flows[Flow_Name],Tab_Def_Flows[Use_E3],,0,)</f>
        <v>Yes</v>
      </c>
      <c r="G402" s="5" t="str">
        <f>_xlfn.XLOOKUP(C402,Tab_Def_Flows[Flow_Name],Tab_Def_Flows[Use_E4],,0,)</f>
        <v>Yes</v>
      </c>
      <c r="H402" s="5" t="str">
        <f>_xlfn.XLOOKUP(C402,Tab_Def_Flows[Flow_Name],Tab_Def_Flows[Use_E5],,0,)</f>
        <v>Yes</v>
      </c>
      <c r="I402" s="5" t="str">
        <f>_xlfn.XLOOKUP(C402,Tab_Def_Flows[Flow_Name],Tab_Def_Flows[Use_E6],,0,)</f>
        <v>Yes</v>
      </c>
      <c r="J402" s="3"/>
      <c r="K402" s="3"/>
      <c r="L402" s="2" t="str">
        <f>'0_Configuration'!$C$41</f>
        <v>Mg</v>
      </c>
      <c r="M402" s="9"/>
      <c r="N402" s="9"/>
      <c r="O402" s="9"/>
      <c r="P402" s="9"/>
      <c r="Q402" s="18" t="s">
        <v>3</v>
      </c>
      <c r="R402" s="3"/>
      <c r="S402" s="3"/>
      <c r="T402" s="9"/>
      <c r="U402" s="9"/>
      <c r="V402" s="2">
        <f>_xlfn.XLOOKUP(Tab_Data_Flows[[#This Row],[Flow_Name]],Tab_Def_Flows[Flow_Name],Tab_Def_Flows[Flow_E1_Fraction'[%']],"N.A.",0,1)</f>
        <v>0</v>
      </c>
      <c r="W402" s="8">
        <f t="shared" si="14"/>
        <v>0</v>
      </c>
      <c r="X402" s="2" t="str">
        <f>Tab_Data_Flows[[#This Row],[UoM_Source]]</f>
        <v>Mg</v>
      </c>
      <c r="Y402" s="19">
        <f>_xlfn.XLOOKUP(Tab_Data_Flows[[#This Row],[Flow_Name]],Tab_Def_Flows[Flow_Name],Tab_Def_Flows[Flow_E2_Fraction'[%']],"N.A.",0,1)</f>
        <v>0</v>
      </c>
      <c r="Z402" s="2">
        <f>IF(D402="Yes",W402*Tab_Data_Flows[[#This Row],[E2_Fraction'[%']]],"N.A.")</f>
        <v>0</v>
      </c>
      <c r="AA402" s="2" t="str">
        <f>Tab_Data_Flows[[#This Row],[E1_UoM]]</f>
        <v>Mg</v>
      </c>
      <c r="AB402" s="19">
        <f>_xlfn.XLOOKUP(Tab_Data_Flows[[#This Row],[Flow_Name]],Tab_Def_Flows[Flow_Name],Tab_Def_Flows[Flow_E3_Fraction'[%']],"N.A.",0,1)</f>
        <v>0</v>
      </c>
      <c r="AC402" s="2">
        <f>IF(E402="Yes",AB402*Tab_Data_Flows[[#This Row],[E1_value]],"N.A.")</f>
        <v>0</v>
      </c>
      <c r="AD402" s="2" t="str">
        <f>Tab_Data_Flows[[#This Row],[E1_UoM]]</f>
        <v>Mg</v>
      </c>
      <c r="AE402" s="19">
        <f>_xlfn.XLOOKUP(Tab_Data_Flows[[#This Row],[Flow_Name]],Tab_Def_Flows[Flow_Name],Tab_Def_Flows[Flow_E4_Fraction'[%']],"N.A.",0,1)</f>
        <v>0</v>
      </c>
      <c r="AF402" s="2">
        <f>IF(H402="Yes",Tab_Data_Flows[[#This Row],[E4_Fraction'[%']]]*Tab_Data_Flows[[#This Row],[E1_value]],"N.A.")</f>
        <v>0</v>
      </c>
      <c r="AG402" s="2" t="str">
        <f>Tab_Data_Flows[[#This Row],[E1_UoM]]</f>
        <v>Mg</v>
      </c>
      <c r="AH402" s="2">
        <f>_xlfn.XLOOKUP(Tab_Data_Flows[[#This Row],[Flow_Name]],Tab_Def_Flows[Flow_Name],Tab_Def_Flows[Flow_E5_Fraction'[%']],"N.A.",0,1)</f>
        <v>0</v>
      </c>
      <c r="AI402" s="2">
        <f>IF(H402="Yes",Tab_Data_Flows[[#This Row],[E5_Fraction'[%']]]*Tab_Data_Flows[[#This Row],[E1_value]],"N.A.")</f>
        <v>0</v>
      </c>
      <c r="AJ402" s="2" t="str">
        <f>Tab_Data_Flows[[#This Row],[E1_UoM]]</f>
        <v>Mg</v>
      </c>
      <c r="AK402" s="19">
        <f>_xlfn.XLOOKUP(Tab_Data_Flows[[#This Row],[Flow_Name]],Tab_Def_Flows[Flow_Name],Tab_Def_Flows[Flow_E6_Fraction'[%']],"N.A.",0,1)</f>
        <v>0</v>
      </c>
      <c r="AL402" s="2">
        <f>IF(Tab_Data_Flows[[#This Row],[Use_E6]]="Yes",Tab_Data_Flows[[#This Row],[E6_Fraction'[%']]]*Tab_Data_Flows[[#This Row],[E1_value]],"N.A.")</f>
        <v>0</v>
      </c>
      <c r="AM402" s="2" t="str">
        <f>Tab_Data_Flows[[#This Row],[E1_UoM]]</f>
        <v>Mg</v>
      </c>
    </row>
    <row r="403" spans="1:39" x14ac:dyDescent="0.25">
      <c r="A403" s="4">
        <f t="shared" si="12"/>
        <v>402</v>
      </c>
      <c r="B403" s="2" t="str">
        <f>_xlfn.XLOOKUP(C403,Tab_Def_Flows[Flow_Name],Tab_Def_Flows[Flow_ID],,0,)</f>
        <v>F__</v>
      </c>
      <c r="C403" s="18" t="s">
        <v>5</v>
      </c>
      <c r="D403" s="5" t="str">
        <f>_xlfn.XLOOKUP(C403,Tab_Def_Flows[Flow_Name],Tab_Def_Flows[Use_E1],,0,)</f>
        <v>Yes</v>
      </c>
      <c r="E403" s="5" t="str">
        <f>_xlfn.XLOOKUP(C403,Tab_Def_Flows[Flow_Name],Tab_Def_Flows[Use_E2],,0,)</f>
        <v>Yes</v>
      </c>
      <c r="F403" s="5" t="str">
        <f>_xlfn.XLOOKUP(C403,Tab_Def_Flows[Flow_Name],Tab_Def_Flows[Use_E3],,0,)</f>
        <v>Yes</v>
      </c>
      <c r="G403" s="5" t="str">
        <f>_xlfn.XLOOKUP(C403,Tab_Def_Flows[Flow_Name],Tab_Def_Flows[Use_E4],,0,)</f>
        <v>Yes</v>
      </c>
      <c r="H403" s="5" t="str">
        <f>_xlfn.XLOOKUP(C403,Tab_Def_Flows[Flow_Name],Tab_Def_Flows[Use_E5],,0,)</f>
        <v>Yes</v>
      </c>
      <c r="I403" s="5" t="str">
        <f>_xlfn.XLOOKUP(C403,Tab_Def_Flows[Flow_Name],Tab_Def_Flows[Use_E6],,0,)</f>
        <v>Yes</v>
      </c>
      <c r="J403" s="3"/>
      <c r="K403" s="3"/>
      <c r="L403" s="2" t="str">
        <f>'0_Configuration'!$C$41</f>
        <v>Mg</v>
      </c>
      <c r="M403" s="9"/>
      <c r="N403" s="9"/>
      <c r="O403" s="9"/>
      <c r="P403" s="9"/>
      <c r="Q403" s="18" t="s">
        <v>3</v>
      </c>
      <c r="R403" s="3"/>
      <c r="S403" s="3"/>
      <c r="T403" s="9"/>
      <c r="U403" s="9"/>
      <c r="V403" s="2">
        <f>_xlfn.XLOOKUP(Tab_Data_Flows[[#This Row],[Flow_Name]],Tab_Def_Flows[Flow_Name],Tab_Def_Flows[Flow_E1_Fraction'[%']],"N.A.",0,1)</f>
        <v>0</v>
      </c>
      <c r="W403" s="8">
        <f t="shared" si="14"/>
        <v>0</v>
      </c>
      <c r="X403" s="2" t="str">
        <f>Tab_Data_Flows[[#This Row],[UoM_Source]]</f>
        <v>Mg</v>
      </c>
      <c r="Y403" s="19">
        <f>_xlfn.XLOOKUP(Tab_Data_Flows[[#This Row],[Flow_Name]],Tab_Def_Flows[Flow_Name],Tab_Def_Flows[Flow_E2_Fraction'[%']],"N.A.",0,1)</f>
        <v>0</v>
      </c>
      <c r="Z403" s="2">
        <f>IF(D403="Yes",W403*Tab_Data_Flows[[#This Row],[E2_Fraction'[%']]],"N.A.")</f>
        <v>0</v>
      </c>
      <c r="AA403" s="2" t="str">
        <f>Tab_Data_Flows[[#This Row],[E1_UoM]]</f>
        <v>Mg</v>
      </c>
      <c r="AB403" s="19">
        <f>_xlfn.XLOOKUP(Tab_Data_Flows[[#This Row],[Flow_Name]],Tab_Def_Flows[Flow_Name],Tab_Def_Flows[Flow_E3_Fraction'[%']],"N.A.",0,1)</f>
        <v>0</v>
      </c>
      <c r="AC403" s="2">
        <f>IF(E403="Yes",AB403*Tab_Data_Flows[[#This Row],[E1_value]],"N.A.")</f>
        <v>0</v>
      </c>
      <c r="AD403" s="2" t="str">
        <f>Tab_Data_Flows[[#This Row],[E1_UoM]]</f>
        <v>Mg</v>
      </c>
      <c r="AE403" s="19">
        <f>_xlfn.XLOOKUP(Tab_Data_Flows[[#This Row],[Flow_Name]],Tab_Def_Flows[Flow_Name],Tab_Def_Flows[Flow_E4_Fraction'[%']],"N.A.",0,1)</f>
        <v>0</v>
      </c>
      <c r="AF403" s="2">
        <f>IF(H403="Yes",Tab_Data_Flows[[#This Row],[E4_Fraction'[%']]]*Tab_Data_Flows[[#This Row],[E1_value]],"N.A.")</f>
        <v>0</v>
      </c>
      <c r="AG403" s="2" t="str">
        <f>Tab_Data_Flows[[#This Row],[E1_UoM]]</f>
        <v>Mg</v>
      </c>
      <c r="AH403" s="2">
        <f>_xlfn.XLOOKUP(Tab_Data_Flows[[#This Row],[Flow_Name]],Tab_Def_Flows[Flow_Name],Tab_Def_Flows[Flow_E5_Fraction'[%']],"N.A.",0,1)</f>
        <v>0</v>
      </c>
      <c r="AI403" s="2">
        <f>IF(H403="Yes",Tab_Data_Flows[[#This Row],[E5_Fraction'[%']]]*Tab_Data_Flows[[#This Row],[E1_value]],"N.A.")</f>
        <v>0</v>
      </c>
      <c r="AJ403" s="2" t="str">
        <f>Tab_Data_Flows[[#This Row],[E1_UoM]]</f>
        <v>Mg</v>
      </c>
      <c r="AK403" s="19">
        <f>_xlfn.XLOOKUP(Tab_Data_Flows[[#This Row],[Flow_Name]],Tab_Def_Flows[Flow_Name],Tab_Def_Flows[Flow_E6_Fraction'[%']],"N.A.",0,1)</f>
        <v>0</v>
      </c>
      <c r="AL403" s="2">
        <f>IF(Tab_Data_Flows[[#This Row],[Use_E6]]="Yes",Tab_Data_Flows[[#This Row],[E6_Fraction'[%']]]*Tab_Data_Flows[[#This Row],[E1_value]],"N.A.")</f>
        <v>0</v>
      </c>
      <c r="AM403" s="2" t="str">
        <f>Tab_Data_Flows[[#This Row],[E1_UoM]]</f>
        <v>Mg</v>
      </c>
    </row>
    <row r="404" spans="1:39" x14ac:dyDescent="0.25">
      <c r="A404" s="4">
        <f t="shared" si="12"/>
        <v>403</v>
      </c>
      <c r="B404" s="2" t="str">
        <f>_xlfn.XLOOKUP(C404,Tab_Def_Flows[Flow_Name],Tab_Def_Flows[Flow_ID],,0,)</f>
        <v>F__</v>
      </c>
      <c r="C404" s="18" t="s">
        <v>5</v>
      </c>
      <c r="D404" s="5" t="str">
        <f>_xlfn.XLOOKUP(C404,Tab_Def_Flows[Flow_Name],Tab_Def_Flows[Use_E1],,0,)</f>
        <v>Yes</v>
      </c>
      <c r="E404" s="5" t="str">
        <f>_xlfn.XLOOKUP(C404,Tab_Def_Flows[Flow_Name],Tab_Def_Flows[Use_E2],,0,)</f>
        <v>Yes</v>
      </c>
      <c r="F404" s="5" t="str">
        <f>_xlfn.XLOOKUP(C404,Tab_Def_Flows[Flow_Name],Tab_Def_Flows[Use_E3],,0,)</f>
        <v>Yes</v>
      </c>
      <c r="G404" s="5" t="str">
        <f>_xlfn.XLOOKUP(C404,Tab_Def_Flows[Flow_Name],Tab_Def_Flows[Use_E4],,0,)</f>
        <v>Yes</v>
      </c>
      <c r="H404" s="5" t="str">
        <f>_xlfn.XLOOKUP(C404,Tab_Def_Flows[Flow_Name],Tab_Def_Flows[Use_E5],,0,)</f>
        <v>Yes</v>
      </c>
      <c r="I404" s="5" t="str">
        <f>_xlfn.XLOOKUP(C404,Tab_Def_Flows[Flow_Name],Tab_Def_Flows[Use_E6],,0,)</f>
        <v>Yes</v>
      </c>
      <c r="J404" s="3"/>
      <c r="K404" s="3"/>
      <c r="L404" s="2" t="str">
        <f>'0_Configuration'!$C$41</f>
        <v>Mg</v>
      </c>
      <c r="M404" s="9"/>
      <c r="N404" s="9"/>
      <c r="O404" s="9"/>
      <c r="P404" s="9"/>
      <c r="Q404" s="18" t="s">
        <v>3</v>
      </c>
      <c r="R404" s="3"/>
      <c r="S404" s="3"/>
      <c r="T404" s="9"/>
      <c r="U404" s="9"/>
      <c r="V404" s="2">
        <f>_xlfn.XLOOKUP(Tab_Data_Flows[[#This Row],[Flow_Name]],Tab_Def_Flows[Flow_Name],Tab_Def_Flows[Flow_E1_Fraction'[%']],"N.A.",0,1)</f>
        <v>0</v>
      </c>
      <c r="W404" s="8">
        <f t="shared" si="14"/>
        <v>0</v>
      </c>
      <c r="X404" s="2" t="str">
        <f>Tab_Data_Flows[[#This Row],[UoM_Source]]</f>
        <v>Mg</v>
      </c>
      <c r="Y404" s="19">
        <f>_xlfn.XLOOKUP(Tab_Data_Flows[[#This Row],[Flow_Name]],Tab_Def_Flows[Flow_Name],Tab_Def_Flows[Flow_E2_Fraction'[%']],"N.A.",0,1)</f>
        <v>0</v>
      </c>
      <c r="Z404" s="2">
        <f>IF(D404="Yes",W404*Tab_Data_Flows[[#This Row],[E2_Fraction'[%']]],"N.A.")</f>
        <v>0</v>
      </c>
      <c r="AA404" s="2" t="str">
        <f>Tab_Data_Flows[[#This Row],[E1_UoM]]</f>
        <v>Mg</v>
      </c>
      <c r="AB404" s="19">
        <f>_xlfn.XLOOKUP(Tab_Data_Flows[[#This Row],[Flow_Name]],Tab_Def_Flows[Flow_Name],Tab_Def_Flows[Flow_E3_Fraction'[%']],"N.A.",0,1)</f>
        <v>0</v>
      </c>
      <c r="AC404" s="2">
        <f>IF(E404="Yes",AB404*Tab_Data_Flows[[#This Row],[E1_value]],"N.A.")</f>
        <v>0</v>
      </c>
      <c r="AD404" s="2" t="str">
        <f>Tab_Data_Flows[[#This Row],[E1_UoM]]</f>
        <v>Mg</v>
      </c>
      <c r="AE404" s="19">
        <f>_xlfn.XLOOKUP(Tab_Data_Flows[[#This Row],[Flow_Name]],Tab_Def_Flows[Flow_Name],Tab_Def_Flows[Flow_E4_Fraction'[%']],"N.A.",0,1)</f>
        <v>0</v>
      </c>
      <c r="AF404" s="2">
        <f>IF(H404="Yes",Tab_Data_Flows[[#This Row],[E4_Fraction'[%']]]*Tab_Data_Flows[[#This Row],[E1_value]],"N.A.")</f>
        <v>0</v>
      </c>
      <c r="AG404" s="2" t="str">
        <f>Tab_Data_Flows[[#This Row],[E1_UoM]]</f>
        <v>Mg</v>
      </c>
      <c r="AH404" s="2">
        <f>_xlfn.XLOOKUP(Tab_Data_Flows[[#This Row],[Flow_Name]],Tab_Def_Flows[Flow_Name],Tab_Def_Flows[Flow_E5_Fraction'[%']],"N.A.",0,1)</f>
        <v>0</v>
      </c>
      <c r="AI404" s="2">
        <f>IF(H404="Yes",Tab_Data_Flows[[#This Row],[E5_Fraction'[%']]]*Tab_Data_Flows[[#This Row],[E1_value]],"N.A.")</f>
        <v>0</v>
      </c>
      <c r="AJ404" s="2" t="str">
        <f>Tab_Data_Flows[[#This Row],[E1_UoM]]</f>
        <v>Mg</v>
      </c>
      <c r="AK404" s="19">
        <f>_xlfn.XLOOKUP(Tab_Data_Flows[[#This Row],[Flow_Name]],Tab_Def_Flows[Flow_Name],Tab_Def_Flows[Flow_E6_Fraction'[%']],"N.A.",0,1)</f>
        <v>0</v>
      </c>
      <c r="AL404" s="2">
        <f>IF(Tab_Data_Flows[[#This Row],[Use_E6]]="Yes",Tab_Data_Flows[[#This Row],[E6_Fraction'[%']]]*Tab_Data_Flows[[#This Row],[E1_value]],"N.A.")</f>
        <v>0</v>
      </c>
      <c r="AM404" s="2" t="str">
        <f>Tab_Data_Flows[[#This Row],[E1_UoM]]</f>
        <v>Mg</v>
      </c>
    </row>
    <row r="405" spans="1:39" x14ac:dyDescent="0.25">
      <c r="A405" s="4">
        <f t="shared" si="12"/>
        <v>404</v>
      </c>
      <c r="B405" s="2" t="str">
        <f>_xlfn.XLOOKUP(C405,Tab_Def_Flows[Flow_Name],Tab_Def_Flows[Flow_ID],,0,)</f>
        <v>F__</v>
      </c>
      <c r="C405" s="18" t="s">
        <v>5</v>
      </c>
      <c r="D405" s="5" t="str">
        <f>_xlfn.XLOOKUP(C405,Tab_Def_Flows[Flow_Name],Tab_Def_Flows[Use_E1],,0,)</f>
        <v>Yes</v>
      </c>
      <c r="E405" s="5" t="str">
        <f>_xlfn.XLOOKUP(C405,Tab_Def_Flows[Flow_Name],Tab_Def_Flows[Use_E2],,0,)</f>
        <v>Yes</v>
      </c>
      <c r="F405" s="5" t="str">
        <f>_xlfn.XLOOKUP(C405,Tab_Def_Flows[Flow_Name],Tab_Def_Flows[Use_E3],,0,)</f>
        <v>Yes</v>
      </c>
      <c r="G405" s="5" t="str">
        <f>_xlfn.XLOOKUP(C405,Tab_Def_Flows[Flow_Name],Tab_Def_Flows[Use_E4],,0,)</f>
        <v>Yes</v>
      </c>
      <c r="H405" s="5" t="str">
        <f>_xlfn.XLOOKUP(C405,Tab_Def_Flows[Flow_Name],Tab_Def_Flows[Use_E5],,0,)</f>
        <v>Yes</v>
      </c>
      <c r="I405" s="5" t="str">
        <f>_xlfn.XLOOKUP(C405,Tab_Def_Flows[Flow_Name],Tab_Def_Flows[Use_E6],,0,)</f>
        <v>Yes</v>
      </c>
      <c r="J405" s="3"/>
      <c r="K405" s="3"/>
      <c r="L405" s="2" t="str">
        <f>'0_Configuration'!$C$41</f>
        <v>Mg</v>
      </c>
      <c r="M405" s="9"/>
      <c r="N405" s="9"/>
      <c r="O405" s="9"/>
      <c r="P405" s="9"/>
      <c r="Q405" s="18" t="s">
        <v>3</v>
      </c>
      <c r="R405" s="3"/>
      <c r="S405" s="3"/>
      <c r="T405" s="9"/>
      <c r="U405" s="9"/>
      <c r="V405" s="2">
        <f>_xlfn.XLOOKUP(Tab_Data_Flows[[#This Row],[Flow_Name]],Tab_Def_Flows[Flow_Name],Tab_Def_Flows[Flow_E1_Fraction'[%']],"N.A.",0,1)</f>
        <v>0</v>
      </c>
      <c r="W405" s="8">
        <f t="shared" si="14"/>
        <v>0</v>
      </c>
      <c r="X405" s="2" t="str">
        <f>Tab_Data_Flows[[#This Row],[UoM_Source]]</f>
        <v>Mg</v>
      </c>
      <c r="Y405" s="19">
        <f>_xlfn.XLOOKUP(Tab_Data_Flows[[#This Row],[Flow_Name]],Tab_Def_Flows[Flow_Name],Tab_Def_Flows[Flow_E2_Fraction'[%']],"N.A.",0,1)</f>
        <v>0</v>
      </c>
      <c r="Z405" s="2">
        <f>IF(D405="Yes",W405*Tab_Data_Flows[[#This Row],[E2_Fraction'[%']]],"N.A.")</f>
        <v>0</v>
      </c>
      <c r="AA405" s="2" t="str">
        <f>Tab_Data_Flows[[#This Row],[E1_UoM]]</f>
        <v>Mg</v>
      </c>
      <c r="AB405" s="19">
        <f>_xlfn.XLOOKUP(Tab_Data_Flows[[#This Row],[Flow_Name]],Tab_Def_Flows[Flow_Name],Tab_Def_Flows[Flow_E3_Fraction'[%']],"N.A.",0,1)</f>
        <v>0</v>
      </c>
      <c r="AC405" s="2">
        <f>IF(E405="Yes",AB405*Tab_Data_Flows[[#This Row],[E1_value]],"N.A.")</f>
        <v>0</v>
      </c>
      <c r="AD405" s="2" t="str">
        <f>Tab_Data_Flows[[#This Row],[E1_UoM]]</f>
        <v>Mg</v>
      </c>
      <c r="AE405" s="19">
        <f>_xlfn.XLOOKUP(Tab_Data_Flows[[#This Row],[Flow_Name]],Tab_Def_Flows[Flow_Name],Tab_Def_Flows[Flow_E4_Fraction'[%']],"N.A.",0,1)</f>
        <v>0</v>
      </c>
      <c r="AF405" s="2">
        <f>IF(H405="Yes",Tab_Data_Flows[[#This Row],[E4_Fraction'[%']]]*Tab_Data_Flows[[#This Row],[E1_value]],"N.A.")</f>
        <v>0</v>
      </c>
      <c r="AG405" s="2" t="str">
        <f>Tab_Data_Flows[[#This Row],[E1_UoM]]</f>
        <v>Mg</v>
      </c>
      <c r="AH405" s="2">
        <f>_xlfn.XLOOKUP(Tab_Data_Flows[[#This Row],[Flow_Name]],Tab_Def_Flows[Flow_Name],Tab_Def_Flows[Flow_E5_Fraction'[%']],"N.A.",0,1)</f>
        <v>0</v>
      </c>
      <c r="AI405" s="2">
        <f>IF(H405="Yes",Tab_Data_Flows[[#This Row],[E5_Fraction'[%']]]*Tab_Data_Flows[[#This Row],[E1_value]],"N.A.")</f>
        <v>0</v>
      </c>
      <c r="AJ405" s="2" t="str">
        <f>Tab_Data_Flows[[#This Row],[E1_UoM]]</f>
        <v>Mg</v>
      </c>
      <c r="AK405" s="19">
        <f>_xlfn.XLOOKUP(Tab_Data_Flows[[#This Row],[Flow_Name]],Tab_Def_Flows[Flow_Name],Tab_Def_Flows[Flow_E6_Fraction'[%']],"N.A.",0,1)</f>
        <v>0</v>
      </c>
      <c r="AL405" s="2">
        <f>IF(Tab_Data_Flows[[#This Row],[Use_E6]]="Yes",Tab_Data_Flows[[#This Row],[E6_Fraction'[%']]]*Tab_Data_Flows[[#This Row],[E1_value]],"N.A.")</f>
        <v>0</v>
      </c>
      <c r="AM405" s="2" t="str">
        <f>Tab_Data_Flows[[#This Row],[E1_UoM]]</f>
        <v>Mg</v>
      </c>
    </row>
    <row r="406" spans="1:39" x14ac:dyDescent="0.25">
      <c r="A406" s="4">
        <f t="shared" si="12"/>
        <v>405</v>
      </c>
      <c r="B406" s="2" t="str">
        <f>_xlfn.XLOOKUP(C406,Tab_Def_Flows[Flow_Name],Tab_Def_Flows[Flow_ID],,0,)</f>
        <v>F__</v>
      </c>
      <c r="C406" s="18" t="s">
        <v>5</v>
      </c>
      <c r="D406" s="5" t="str">
        <f>_xlfn.XLOOKUP(C406,Tab_Def_Flows[Flow_Name],Tab_Def_Flows[Use_E1],,0,)</f>
        <v>Yes</v>
      </c>
      <c r="E406" s="5" t="str">
        <f>_xlfn.XLOOKUP(C406,Tab_Def_Flows[Flow_Name],Tab_Def_Flows[Use_E2],,0,)</f>
        <v>Yes</v>
      </c>
      <c r="F406" s="5" t="str">
        <f>_xlfn.XLOOKUP(C406,Tab_Def_Flows[Flow_Name],Tab_Def_Flows[Use_E3],,0,)</f>
        <v>Yes</v>
      </c>
      <c r="G406" s="5" t="str">
        <f>_xlfn.XLOOKUP(C406,Tab_Def_Flows[Flow_Name],Tab_Def_Flows[Use_E4],,0,)</f>
        <v>Yes</v>
      </c>
      <c r="H406" s="5" t="str">
        <f>_xlfn.XLOOKUP(C406,Tab_Def_Flows[Flow_Name],Tab_Def_Flows[Use_E5],,0,)</f>
        <v>Yes</v>
      </c>
      <c r="I406" s="5" t="str">
        <f>_xlfn.XLOOKUP(C406,Tab_Def_Flows[Flow_Name],Tab_Def_Flows[Use_E6],,0,)</f>
        <v>Yes</v>
      </c>
      <c r="J406" s="3"/>
      <c r="K406" s="3"/>
      <c r="L406" s="2" t="str">
        <f>'0_Configuration'!$C$41</f>
        <v>Mg</v>
      </c>
      <c r="M406" s="9"/>
      <c r="N406" s="9"/>
      <c r="O406" s="9"/>
      <c r="P406" s="9"/>
      <c r="Q406" s="18" t="s">
        <v>3</v>
      </c>
      <c r="R406" s="3"/>
      <c r="S406" s="3"/>
      <c r="T406" s="9"/>
      <c r="U406" s="9"/>
      <c r="V406" s="2">
        <f>_xlfn.XLOOKUP(Tab_Data_Flows[[#This Row],[Flow_Name]],Tab_Def_Flows[Flow_Name],Tab_Def_Flows[Flow_E1_Fraction'[%']],"N.A.",0,1)</f>
        <v>0</v>
      </c>
      <c r="W406" s="8">
        <f t="shared" si="14"/>
        <v>0</v>
      </c>
      <c r="X406" s="2" t="str">
        <f>Tab_Data_Flows[[#This Row],[UoM_Source]]</f>
        <v>Mg</v>
      </c>
      <c r="Y406" s="19">
        <f>_xlfn.XLOOKUP(Tab_Data_Flows[[#This Row],[Flow_Name]],Tab_Def_Flows[Flow_Name],Tab_Def_Flows[Flow_E2_Fraction'[%']],"N.A.",0,1)</f>
        <v>0</v>
      </c>
      <c r="Z406" s="2">
        <f>IF(D406="Yes",W406*Tab_Data_Flows[[#This Row],[E2_Fraction'[%']]],"N.A.")</f>
        <v>0</v>
      </c>
      <c r="AA406" s="2" t="str">
        <f>Tab_Data_Flows[[#This Row],[E1_UoM]]</f>
        <v>Mg</v>
      </c>
      <c r="AB406" s="19">
        <f>_xlfn.XLOOKUP(Tab_Data_Flows[[#This Row],[Flow_Name]],Tab_Def_Flows[Flow_Name],Tab_Def_Flows[Flow_E3_Fraction'[%']],"N.A.",0,1)</f>
        <v>0</v>
      </c>
      <c r="AC406" s="2">
        <f>IF(E406="Yes",AB406*Tab_Data_Flows[[#This Row],[E1_value]],"N.A.")</f>
        <v>0</v>
      </c>
      <c r="AD406" s="2" t="str">
        <f>Tab_Data_Flows[[#This Row],[E1_UoM]]</f>
        <v>Mg</v>
      </c>
      <c r="AE406" s="19">
        <f>_xlfn.XLOOKUP(Tab_Data_Flows[[#This Row],[Flow_Name]],Tab_Def_Flows[Flow_Name],Tab_Def_Flows[Flow_E4_Fraction'[%']],"N.A.",0,1)</f>
        <v>0</v>
      </c>
      <c r="AF406" s="2">
        <f>IF(H406="Yes",Tab_Data_Flows[[#This Row],[E4_Fraction'[%']]]*Tab_Data_Flows[[#This Row],[E1_value]],"N.A.")</f>
        <v>0</v>
      </c>
      <c r="AG406" s="2" t="str">
        <f>Tab_Data_Flows[[#This Row],[E1_UoM]]</f>
        <v>Mg</v>
      </c>
      <c r="AH406" s="2">
        <f>_xlfn.XLOOKUP(Tab_Data_Flows[[#This Row],[Flow_Name]],Tab_Def_Flows[Flow_Name],Tab_Def_Flows[Flow_E5_Fraction'[%']],"N.A.",0,1)</f>
        <v>0</v>
      </c>
      <c r="AI406" s="2">
        <f>IF(H406="Yes",Tab_Data_Flows[[#This Row],[E5_Fraction'[%']]]*Tab_Data_Flows[[#This Row],[E1_value]],"N.A.")</f>
        <v>0</v>
      </c>
      <c r="AJ406" s="2" t="str">
        <f>Tab_Data_Flows[[#This Row],[E1_UoM]]</f>
        <v>Mg</v>
      </c>
      <c r="AK406" s="19">
        <f>_xlfn.XLOOKUP(Tab_Data_Flows[[#This Row],[Flow_Name]],Tab_Def_Flows[Flow_Name],Tab_Def_Flows[Flow_E6_Fraction'[%']],"N.A.",0,1)</f>
        <v>0</v>
      </c>
      <c r="AL406" s="2">
        <f>IF(Tab_Data_Flows[[#This Row],[Use_E6]]="Yes",Tab_Data_Flows[[#This Row],[E6_Fraction'[%']]]*Tab_Data_Flows[[#This Row],[E1_value]],"N.A.")</f>
        <v>0</v>
      </c>
      <c r="AM406" s="2" t="str">
        <f>Tab_Data_Flows[[#This Row],[E1_UoM]]</f>
        <v>Mg</v>
      </c>
    </row>
    <row r="407" spans="1:39" x14ac:dyDescent="0.25">
      <c r="A407" s="4">
        <f t="shared" si="12"/>
        <v>406</v>
      </c>
      <c r="B407" s="2" t="str">
        <f>_xlfn.XLOOKUP(C407,Tab_Def_Flows[Flow_Name],Tab_Def_Flows[Flow_ID],,0,)</f>
        <v>F__</v>
      </c>
      <c r="C407" s="18" t="s">
        <v>5</v>
      </c>
      <c r="D407" s="5" t="str">
        <f>_xlfn.XLOOKUP(C407,Tab_Def_Flows[Flow_Name],Tab_Def_Flows[Use_E1],,0,)</f>
        <v>Yes</v>
      </c>
      <c r="E407" s="5" t="str">
        <f>_xlfn.XLOOKUP(C407,Tab_Def_Flows[Flow_Name],Tab_Def_Flows[Use_E2],,0,)</f>
        <v>Yes</v>
      </c>
      <c r="F407" s="5" t="str">
        <f>_xlfn.XLOOKUP(C407,Tab_Def_Flows[Flow_Name],Tab_Def_Flows[Use_E3],,0,)</f>
        <v>Yes</v>
      </c>
      <c r="G407" s="5" t="str">
        <f>_xlfn.XLOOKUP(C407,Tab_Def_Flows[Flow_Name],Tab_Def_Flows[Use_E4],,0,)</f>
        <v>Yes</v>
      </c>
      <c r="H407" s="5" t="str">
        <f>_xlfn.XLOOKUP(C407,Tab_Def_Flows[Flow_Name],Tab_Def_Flows[Use_E5],,0,)</f>
        <v>Yes</v>
      </c>
      <c r="I407" s="5" t="str">
        <f>_xlfn.XLOOKUP(C407,Tab_Def_Flows[Flow_Name],Tab_Def_Flows[Use_E6],,0,)</f>
        <v>Yes</v>
      </c>
      <c r="J407" s="3"/>
      <c r="K407" s="3"/>
      <c r="L407" s="2" t="str">
        <f>'0_Configuration'!$C$41</f>
        <v>Mg</v>
      </c>
      <c r="M407" s="9"/>
      <c r="N407" s="9"/>
      <c r="O407" s="9"/>
      <c r="P407" s="9"/>
      <c r="Q407" s="18" t="s">
        <v>3</v>
      </c>
      <c r="R407" s="3"/>
      <c r="S407" s="3"/>
      <c r="T407" s="9"/>
      <c r="U407" s="9"/>
      <c r="V407" s="2">
        <f>_xlfn.XLOOKUP(Tab_Data_Flows[[#This Row],[Flow_Name]],Tab_Def_Flows[Flow_Name],Tab_Def_Flows[Flow_E1_Fraction'[%']],"N.A.",0,1)</f>
        <v>0</v>
      </c>
      <c r="W407" s="8">
        <f t="shared" si="14"/>
        <v>0</v>
      </c>
      <c r="X407" s="2" t="str">
        <f>Tab_Data_Flows[[#This Row],[UoM_Source]]</f>
        <v>Mg</v>
      </c>
      <c r="Y407" s="19">
        <f>_xlfn.XLOOKUP(Tab_Data_Flows[[#This Row],[Flow_Name]],Tab_Def_Flows[Flow_Name],Tab_Def_Flows[Flow_E2_Fraction'[%']],"N.A.",0,1)</f>
        <v>0</v>
      </c>
      <c r="Z407" s="2">
        <f>IF(D407="Yes",W407*Tab_Data_Flows[[#This Row],[E2_Fraction'[%']]],"N.A.")</f>
        <v>0</v>
      </c>
      <c r="AA407" s="2" t="str">
        <f>Tab_Data_Flows[[#This Row],[E1_UoM]]</f>
        <v>Mg</v>
      </c>
      <c r="AB407" s="19">
        <f>_xlfn.XLOOKUP(Tab_Data_Flows[[#This Row],[Flow_Name]],Tab_Def_Flows[Flow_Name],Tab_Def_Flows[Flow_E3_Fraction'[%']],"N.A.",0,1)</f>
        <v>0</v>
      </c>
      <c r="AC407" s="2">
        <f>IF(E407="Yes",AB407*Tab_Data_Flows[[#This Row],[E1_value]],"N.A.")</f>
        <v>0</v>
      </c>
      <c r="AD407" s="2" t="str">
        <f>Tab_Data_Flows[[#This Row],[E1_UoM]]</f>
        <v>Mg</v>
      </c>
      <c r="AE407" s="19">
        <f>_xlfn.XLOOKUP(Tab_Data_Flows[[#This Row],[Flow_Name]],Tab_Def_Flows[Flow_Name],Tab_Def_Flows[Flow_E4_Fraction'[%']],"N.A.",0,1)</f>
        <v>0</v>
      </c>
      <c r="AF407" s="2">
        <f>IF(H407="Yes",Tab_Data_Flows[[#This Row],[E4_Fraction'[%']]]*Tab_Data_Flows[[#This Row],[E1_value]],"N.A.")</f>
        <v>0</v>
      </c>
      <c r="AG407" s="2" t="str">
        <f>Tab_Data_Flows[[#This Row],[E1_UoM]]</f>
        <v>Mg</v>
      </c>
      <c r="AH407" s="2">
        <f>_xlfn.XLOOKUP(Tab_Data_Flows[[#This Row],[Flow_Name]],Tab_Def_Flows[Flow_Name],Tab_Def_Flows[Flow_E5_Fraction'[%']],"N.A.",0,1)</f>
        <v>0</v>
      </c>
      <c r="AI407" s="2">
        <f>IF(H407="Yes",Tab_Data_Flows[[#This Row],[E5_Fraction'[%']]]*Tab_Data_Flows[[#This Row],[E1_value]],"N.A.")</f>
        <v>0</v>
      </c>
      <c r="AJ407" s="2" t="str">
        <f>Tab_Data_Flows[[#This Row],[E1_UoM]]</f>
        <v>Mg</v>
      </c>
      <c r="AK407" s="19">
        <f>_xlfn.XLOOKUP(Tab_Data_Flows[[#This Row],[Flow_Name]],Tab_Def_Flows[Flow_Name],Tab_Def_Flows[Flow_E6_Fraction'[%']],"N.A.",0,1)</f>
        <v>0</v>
      </c>
      <c r="AL407" s="2">
        <f>IF(Tab_Data_Flows[[#This Row],[Use_E6]]="Yes",Tab_Data_Flows[[#This Row],[E6_Fraction'[%']]]*Tab_Data_Flows[[#This Row],[E1_value]],"N.A.")</f>
        <v>0</v>
      </c>
      <c r="AM407" s="2" t="str">
        <f>Tab_Data_Flows[[#This Row],[E1_UoM]]</f>
        <v>Mg</v>
      </c>
    </row>
    <row r="408" spans="1:39" x14ac:dyDescent="0.25">
      <c r="A408" s="4">
        <f t="shared" si="12"/>
        <v>407</v>
      </c>
      <c r="B408" s="2" t="str">
        <f>_xlfn.XLOOKUP(C408,Tab_Def_Flows[Flow_Name],Tab_Def_Flows[Flow_ID],,0,)</f>
        <v>F__</v>
      </c>
      <c r="C408" s="18" t="s">
        <v>5</v>
      </c>
      <c r="D408" s="5" t="str">
        <f>_xlfn.XLOOKUP(C408,Tab_Def_Flows[Flow_Name],Tab_Def_Flows[Use_E1],,0,)</f>
        <v>Yes</v>
      </c>
      <c r="E408" s="5" t="str">
        <f>_xlfn.XLOOKUP(C408,Tab_Def_Flows[Flow_Name],Tab_Def_Flows[Use_E2],,0,)</f>
        <v>Yes</v>
      </c>
      <c r="F408" s="5" t="str">
        <f>_xlfn.XLOOKUP(C408,Tab_Def_Flows[Flow_Name],Tab_Def_Flows[Use_E3],,0,)</f>
        <v>Yes</v>
      </c>
      <c r="G408" s="5" t="str">
        <f>_xlfn.XLOOKUP(C408,Tab_Def_Flows[Flow_Name],Tab_Def_Flows[Use_E4],,0,)</f>
        <v>Yes</v>
      </c>
      <c r="H408" s="5" t="str">
        <f>_xlfn.XLOOKUP(C408,Tab_Def_Flows[Flow_Name],Tab_Def_Flows[Use_E5],,0,)</f>
        <v>Yes</v>
      </c>
      <c r="I408" s="5" t="str">
        <f>_xlfn.XLOOKUP(C408,Tab_Def_Flows[Flow_Name],Tab_Def_Flows[Use_E6],,0,)</f>
        <v>Yes</v>
      </c>
      <c r="J408" s="3"/>
      <c r="K408" s="3"/>
      <c r="L408" s="2" t="str">
        <f>'0_Configuration'!$C$41</f>
        <v>Mg</v>
      </c>
      <c r="M408" s="9"/>
      <c r="N408" s="9"/>
      <c r="O408" s="9"/>
      <c r="P408" s="9"/>
      <c r="Q408" s="18" t="s">
        <v>3</v>
      </c>
      <c r="R408" s="3"/>
      <c r="S408" s="3"/>
      <c r="T408" s="9"/>
      <c r="U408" s="9"/>
      <c r="V408" s="2">
        <f>_xlfn.XLOOKUP(Tab_Data_Flows[[#This Row],[Flow_Name]],Tab_Def_Flows[Flow_Name],Tab_Def_Flows[Flow_E1_Fraction'[%']],"N.A.",0,1)</f>
        <v>0</v>
      </c>
      <c r="W408" s="8">
        <f t="shared" si="14"/>
        <v>0</v>
      </c>
      <c r="X408" s="2" t="str">
        <f>Tab_Data_Flows[[#This Row],[UoM_Source]]</f>
        <v>Mg</v>
      </c>
      <c r="Y408" s="19">
        <f>_xlfn.XLOOKUP(Tab_Data_Flows[[#This Row],[Flow_Name]],Tab_Def_Flows[Flow_Name],Tab_Def_Flows[Flow_E2_Fraction'[%']],"N.A.",0,1)</f>
        <v>0</v>
      </c>
      <c r="Z408" s="2">
        <f>IF(D408="Yes",W408*Tab_Data_Flows[[#This Row],[E2_Fraction'[%']]],"N.A.")</f>
        <v>0</v>
      </c>
      <c r="AA408" s="2" t="str">
        <f>Tab_Data_Flows[[#This Row],[E1_UoM]]</f>
        <v>Mg</v>
      </c>
      <c r="AB408" s="19">
        <f>_xlfn.XLOOKUP(Tab_Data_Flows[[#This Row],[Flow_Name]],Tab_Def_Flows[Flow_Name],Tab_Def_Flows[Flow_E3_Fraction'[%']],"N.A.",0,1)</f>
        <v>0</v>
      </c>
      <c r="AC408" s="2">
        <f>IF(E408="Yes",AB408*Tab_Data_Flows[[#This Row],[E1_value]],"N.A.")</f>
        <v>0</v>
      </c>
      <c r="AD408" s="2" t="str">
        <f>Tab_Data_Flows[[#This Row],[E1_UoM]]</f>
        <v>Mg</v>
      </c>
      <c r="AE408" s="19">
        <f>_xlfn.XLOOKUP(Tab_Data_Flows[[#This Row],[Flow_Name]],Tab_Def_Flows[Flow_Name],Tab_Def_Flows[Flow_E4_Fraction'[%']],"N.A.",0,1)</f>
        <v>0</v>
      </c>
      <c r="AF408" s="2">
        <f>IF(H408="Yes",Tab_Data_Flows[[#This Row],[E4_Fraction'[%']]]*Tab_Data_Flows[[#This Row],[E1_value]],"N.A.")</f>
        <v>0</v>
      </c>
      <c r="AG408" s="2" t="str">
        <f>Tab_Data_Flows[[#This Row],[E1_UoM]]</f>
        <v>Mg</v>
      </c>
      <c r="AH408" s="2">
        <f>_xlfn.XLOOKUP(Tab_Data_Flows[[#This Row],[Flow_Name]],Tab_Def_Flows[Flow_Name],Tab_Def_Flows[Flow_E5_Fraction'[%']],"N.A.",0,1)</f>
        <v>0</v>
      </c>
      <c r="AI408" s="2">
        <f>IF(H408="Yes",Tab_Data_Flows[[#This Row],[E5_Fraction'[%']]]*Tab_Data_Flows[[#This Row],[E1_value]],"N.A.")</f>
        <v>0</v>
      </c>
      <c r="AJ408" s="2" t="str">
        <f>Tab_Data_Flows[[#This Row],[E1_UoM]]</f>
        <v>Mg</v>
      </c>
      <c r="AK408" s="19">
        <f>_xlfn.XLOOKUP(Tab_Data_Flows[[#This Row],[Flow_Name]],Tab_Def_Flows[Flow_Name],Tab_Def_Flows[Flow_E6_Fraction'[%']],"N.A.",0,1)</f>
        <v>0</v>
      </c>
      <c r="AL408" s="2">
        <f>IF(Tab_Data_Flows[[#This Row],[Use_E6]]="Yes",Tab_Data_Flows[[#This Row],[E6_Fraction'[%']]]*Tab_Data_Flows[[#This Row],[E1_value]],"N.A.")</f>
        <v>0</v>
      </c>
      <c r="AM408" s="2" t="str">
        <f>Tab_Data_Flows[[#This Row],[E1_UoM]]</f>
        <v>Mg</v>
      </c>
    </row>
    <row r="409" spans="1:39" x14ac:dyDescent="0.25">
      <c r="A409" s="4">
        <f t="shared" si="12"/>
        <v>408</v>
      </c>
      <c r="B409" s="2" t="str">
        <f>_xlfn.XLOOKUP(C409,Tab_Def_Flows[Flow_Name],Tab_Def_Flows[Flow_ID],,0,)</f>
        <v>F__</v>
      </c>
      <c r="C409" s="18" t="s">
        <v>5</v>
      </c>
      <c r="D409" s="5" t="str">
        <f>_xlfn.XLOOKUP(C409,Tab_Def_Flows[Flow_Name],Tab_Def_Flows[Use_E1],,0,)</f>
        <v>Yes</v>
      </c>
      <c r="E409" s="5" t="str">
        <f>_xlfn.XLOOKUP(C409,Tab_Def_Flows[Flow_Name],Tab_Def_Flows[Use_E2],,0,)</f>
        <v>Yes</v>
      </c>
      <c r="F409" s="5" t="str">
        <f>_xlfn.XLOOKUP(C409,Tab_Def_Flows[Flow_Name],Tab_Def_Flows[Use_E3],,0,)</f>
        <v>Yes</v>
      </c>
      <c r="G409" s="5" t="str">
        <f>_xlfn.XLOOKUP(C409,Tab_Def_Flows[Flow_Name],Tab_Def_Flows[Use_E4],,0,)</f>
        <v>Yes</v>
      </c>
      <c r="H409" s="5" t="str">
        <f>_xlfn.XLOOKUP(C409,Tab_Def_Flows[Flow_Name],Tab_Def_Flows[Use_E5],,0,)</f>
        <v>Yes</v>
      </c>
      <c r="I409" s="5" t="str">
        <f>_xlfn.XLOOKUP(C409,Tab_Def_Flows[Flow_Name],Tab_Def_Flows[Use_E6],,0,)</f>
        <v>Yes</v>
      </c>
      <c r="J409" s="3"/>
      <c r="K409" s="3"/>
      <c r="L409" s="2" t="str">
        <f>'0_Configuration'!$C$41</f>
        <v>Mg</v>
      </c>
      <c r="M409" s="9"/>
      <c r="N409" s="9"/>
      <c r="O409" s="9"/>
      <c r="P409" s="9"/>
      <c r="Q409" s="18" t="s">
        <v>3</v>
      </c>
      <c r="R409" s="3"/>
      <c r="S409" s="3"/>
      <c r="T409" s="9"/>
      <c r="U409" s="9"/>
      <c r="V409" s="2">
        <f>_xlfn.XLOOKUP(Tab_Data_Flows[[#This Row],[Flow_Name]],Tab_Def_Flows[Flow_Name],Tab_Def_Flows[Flow_E1_Fraction'[%']],"N.A.",0,1)</f>
        <v>0</v>
      </c>
      <c r="W409" s="8">
        <f t="shared" si="14"/>
        <v>0</v>
      </c>
      <c r="X409" s="2" t="str">
        <f>Tab_Data_Flows[[#This Row],[UoM_Source]]</f>
        <v>Mg</v>
      </c>
      <c r="Y409" s="19">
        <f>_xlfn.XLOOKUP(Tab_Data_Flows[[#This Row],[Flow_Name]],Tab_Def_Flows[Flow_Name],Tab_Def_Flows[Flow_E2_Fraction'[%']],"N.A.",0,1)</f>
        <v>0</v>
      </c>
      <c r="Z409" s="2">
        <f>IF(D409="Yes",W409*Tab_Data_Flows[[#This Row],[E2_Fraction'[%']]],"N.A.")</f>
        <v>0</v>
      </c>
      <c r="AA409" s="2" t="str">
        <f>Tab_Data_Flows[[#This Row],[E1_UoM]]</f>
        <v>Mg</v>
      </c>
      <c r="AB409" s="19">
        <f>_xlfn.XLOOKUP(Tab_Data_Flows[[#This Row],[Flow_Name]],Tab_Def_Flows[Flow_Name],Tab_Def_Flows[Flow_E3_Fraction'[%']],"N.A.",0,1)</f>
        <v>0</v>
      </c>
      <c r="AC409" s="2">
        <f>IF(E409="Yes",AB409*Tab_Data_Flows[[#This Row],[E1_value]],"N.A.")</f>
        <v>0</v>
      </c>
      <c r="AD409" s="2" t="str">
        <f>Tab_Data_Flows[[#This Row],[E1_UoM]]</f>
        <v>Mg</v>
      </c>
      <c r="AE409" s="19">
        <f>_xlfn.XLOOKUP(Tab_Data_Flows[[#This Row],[Flow_Name]],Tab_Def_Flows[Flow_Name],Tab_Def_Flows[Flow_E4_Fraction'[%']],"N.A.",0,1)</f>
        <v>0</v>
      </c>
      <c r="AF409" s="2">
        <f>IF(H409="Yes",Tab_Data_Flows[[#This Row],[E4_Fraction'[%']]]*Tab_Data_Flows[[#This Row],[E1_value]],"N.A.")</f>
        <v>0</v>
      </c>
      <c r="AG409" s="2" t="str">
        <f>Tab_Data_Flows[[#This Row],[E1_UoM]]</f>
        <v>Mg</v>
      </c>
      <c r="AH409" s="2">
        <f>_xlfn.XLOOKUP(Tab_Data_Flows[[#This Row],[Flow_Name]],Tab_Def_Flows[Flow_Name],Tab_Def_Flows[Flow_E5_Fraction'[%']],"N.A.",0,1)</f>
        <v>0</v>
      </c>
      <c r="AI409" s="2">
        <f>IF(H409="Yes",Tab_Data_Flows[[#This Row],[E5_Fraction'[%']]]*Tab_Data_Flows[[#This Row],[E1_value]],"N.A.")</f>
        <v>0</v>
      </c>
      <c r="AJ409" s="2" t="str">
        <f>Tab_Data_Flows[[#This Row],[E1_UoM]]</f>
        <v>Mg</v>
      </c>
      <c r="AK409" s="19">
        <f>_xlfn.XLOOKUP(Tab_Data_Flows[[#This Row],[Flow_Name]],Tab_Def_Flows[Flow_Name],Tab_Def_Flows[Flow_E6_Fraction'[%']],"N.A.",0,1)</f>
        <v>0</v>
      </c>
      <c r="AL409" s="2">
        <f>IF(Tab_Data_Flows[[#This Row],[Use_E6]]="Yes",Tab_Data_Flows[[#This Row],[E6_Fraction'[%']]]*Tab_Data_Flows[[#This Row],[E1_value]],"N.A.")</f>
        <v>0</v>
      </c>
      <c r="AM409" s="2" t="str">
        <f>Tab_Data_Flows[[#This Row],[E1_UoM]]</f>
        <v>Mg</v>
      </c>
    </row>
    <row r="410" spans="1:39" x14ac:dyDescent="0.25">
      <c r="A410" s="4">
        <f t="shared" si="12"/>
        <v>409</v>
      </c>
      <c r="B410" s="2" t="str">
        <f>_xlfn.XLOOKUP(C410,Tab_Def_Flows[Flow_Name],Tab_Def_Flows[Flow_ID],,0,)</f>
        <v>F__</v>
      </c>
      <c r="C410" s="18" t="s">
        <v>5</v>
      </c>
      <c r="D410" s="5" t="str">
        <f>_xlfn.XLOOKUP(C410,Tab_Def_Flows[Flow_Name],Tab_Def_Flows[Use_E1],,0,)</f>
        <v>Yes</v>
      </c>
      <c r="E410" s="5" t="str">
        <f>_xlfn.XLOOKUP(C410,Tab_Def_Flows[Flow_Name],Tab_Def_Flows[Use_E2],,0,)</f>
        <v>Yes</v>
      </c>
      <c r="F410" s="5" t="str">
        <f>_xlfn.XLOOKUP(C410,Tab_Def_Flows[Flow_Name],Tab_Def_Flows[Use_E3],,0,)</f>
        <v>Yes</v>
      </c>
      <c r="G410" s="5" t="str">
        <f>_xlfn.XLOOKUP(C410,Tab_Def_Flows[Flow_Name],Tab_Def_Flows[Use_E4],,0,)</f>
        <v>Yes</v>
      </c>
      <c r="H410" s="5" t="str">
        <f>_xlfn.XLOOKUP(C410,Tab_Def_Flows[Flow_Name],Tab_Def_Flows[Use_E5],,0,)</f>
        <v>Yes</v>
      </c>
      <c r="I410" s="5" t="str">
        <f>_xlfn.XLOOKUP(C410,Tab_Def_Flows[Flow_Name],Tab_Def_Flows[Use_E6],,0,)</f>
        <v>Yes</v>
      </c>
      <c r="J410" s="3"/>
      <c r="K410" s="3"/>
      <c r="L410" s="2" t="str">
        <f>'0_Configuration'!$C$41</f>
        <v>Mg</v>
      </c>
      <c r="M410" s="9"/>
      <c r="N410" s="9"/>
      <c r="O410" s="9"/>
      <c r="P410" s="9"/>
      <c r="Q410" s="18" t="s">
        <v>3</v>
      </c>
      <c r="R410" s="3"/>
      <c r="S410" s="3"/>
      <c r="T410" s="9"/>
      <c r="U410" s="9"/>
      <c r="V410" s="2">
        <f>_xlfn.XLOOKUP(Tab_Data_Flows[[#This Row],[Flow_Name]],Tab_Def_Flows[Flow_Name],Tab_Def_Flows[Flow_E1_Fraction'[%']],"N.A.",0,1)</f>
        <v>0</v>
      </c>
      <c r="W410" s="8">
        <f t="shared" si="14"/>
        <v>0</v>
      </c>
      <c r="X410" s="2" t="str">
        <f>Tab_Data_Flows[[#This Row],[UoM_Source]]</f>
        <v>Mg</v>
      </c>
      <c r="Y410" s="19">
        <f>_xlfn.XLOOKUP(Tab_Data_Flows[[#This Row],[Flow_Name]],Tab_Def_Flows[Flow_Name],Tab_Def_Flows[Flow_E2_Fraction'[%']],"N.A.",0,1)</f>
        <v>0</v>
      </c>
      <c r="Z410" s="2">
        <f>IF(D410="Yes",W410*Tab_Data_Flows[[#This Row],[E2_Fraction'[%']]],"N.A.")</f>
        <v>0</v>
      </c>
      <c r="AA410" s="2" t="str">
        <f>Tab_Data_Flows[[#This Row],[E1_UoM]]</f>
        <v>Mg</v>
      </c>
      <c r="AB410" s="19">
        <f>_xlfn.XLOOKUP(Tab_Data_Flows[[#This Row],[Flow_Name]],Tab_Def_Flows[Flow_Name],Tab_Def_Flows[Flow_E3_Fraction'[%']],"N.A.",0,1)</f>
        <v>0</v>
      </c>
      <c r="AC410" s="2">
        <f>IF(E410="Yes",AB410*Tab_Data_Flows[[#This Row],[E1_value]],"N.A.")</f>
        <v>0</v>
      </c>
      <c r="AD410" s="2" t="str">
        <f>Tab_Data_Flows[[#This Row],[E1_UoM]]</f>
        <v>Mg</v>
      </c>
      <c r="AE410" s="19">
        <f>_xlfn.XLOOKUP(Tab_Data_Flows[[#This Row],[Flow_Name]],Tab_Def_Flows[Flow_Name],Tab_Def_Flows[Flow_E4_Fraction'[%']],"N.A.",0,1)</f>
        <v>0</v>
      </c>
      <c r="AF410" s="2">
        <f>IF(H410="Yes",Tab_Data_Flows[[#This Row],[E4_Fraction'[%']]]*Tab_Data_Flows[[#This Row],[E1_value]],"N.A.")</f>
        <v>0</v>
      </c>
      <c r="AG410" s="2" t="str">
        <f>Tab_Data_Flows[[#This Row],[E1_UoM]]</f>
        <v>Mg</v>
      </c>
      <c r="AH410" s="2">
        <f>_xlfn.XLOOKUP(Tab_Data_Flows[[#This Row],[Flow_Name]],Tab_Def_Flows[Flow_Name],Tab_Def_Flows[Flow_E5_Fraction'[%']],"N.A.",0,1)</f>
        <v>0</v>
      </c>
      <c r="AI410" s="2">
        <f>IF(H410="Yes",Tab_Data_Flows[[#This Row],[E5_Fraction'[%']]]*Tab_Data_Flows[[#This Row],[E1_value]],"N.A.")</f>
        <v>0</v>
      </c>
      <c r="AJ410" s="2" t="str">
        <f>Tab_Data_Flows[[#This Row],[E1_UoM]]</f>
        <v>Mg</v>
      </c>
      <c r="AK410" s="19">
        <f>_xlfn.XLOOKUP(Tab_Data_Flows[[#This Row],[Flow_Name]],Tab_Def_Flows[Flow_Name],Tab_Def_Flows[Flow_E6_Fraction'[%']],"N.A.",0,1)</f>
        <v>0</v>
      </c>
      <c r="AL410" s="2">
        <f>IF(Tab_Data_Flows[[#This Row],[Use_E6]]="Yes",Tab_Data_Flows[[#This Row],[E6_Fraction'[%']]]*Tab_Data_Flows[[#This Row],[E1_value]],"N.A.")</f>
        <v>0</v>
      </c>
      <c r="AM410" s="2" t="str">
        <f>Tab_Data_Flows[[#This Row],[E1_UoM]]</f>
        <v>Mg</v>
      </c>
    </row>
    <row r="411" spans="1:39" x14ac:dyDescent="0.25">
      <c r="A411" s="4">
        <f t="shared" si="12"/>
        <v>410</v>
      </c>
      <c r="B411" s="2" t="str">
        <f>_xlfn.XLOOKUP(C411,Tab_Def_Flows[Flow_Name],Tab_Def_Flows[Flow_ID],,0,)</f>
        <v>F__</v>
      </c>
      <c r="C411" s="18" t="s">
        <v>5</v>
      </c>
      <c r="D411" s="5" t="str">
        <f>_xlfn.XLOOKUP(C411,Tab_Def_Flows[Flow_Name],Tab_Def_Flows[Use_E1],,0,)</f>
        <v>Yes</v>
      </c>
      <c r="E411" s="5" t="str">
        <f>_xlfn.XLOOKUP(C411,Tab_Def_Flows[Flow_Name],Tab_Def_Flows[Use_E2],,0,)</f>
        <v>Yes</v>
      </c>
      <c r="F411" s="5" t="str">
        <f>_xlfn.XLOOKUP(C411,Tab_Def_Flows[Flow_Name],Tab_Def_Flows[Use_E3],,0,)</f>
        <v>Yes</v>
      </c>
      <c r="G411" s="5" t="str">
        <f>_xlfn.XLOOKUP(C411,Tab_Def_Flows[Flow_Name],Tab_Def_Flows[Use_E4],,0,)</f>
        <v>Yes</v>
      </c>
      <c r="H411" s="5" t="str">
        <f>_xlfn.XLOOKUP(C411,Tab_Def_Flows[Flow_Name],Tab_Def_Flows[Use_E5],,0,)</f>
        <v>Yes</v>
      </c>
      <c r="I411" s="5" t="str">
        <f>_xlfn.XLOOKUP(C411,Tab_Def_Flows[Flow_Name],Tab_Def_Flows[Use_E6],,0,)</f>
        <v>Yes</v>
      </c>
      <c r="J411" s="3"/>
      <c r="K411" s="3"/>
      <c r="L411" s="2" t="str">
        <f>'0_Configuration'!$C$41</f>
        <v>Mg</v>
      </c>
      <c r="M411" s="9"/>
      <c r="N411" s="9"/>
      <c r="O411" s="9"/>
      <c r="P411" s="9"/>
      <c r="Q411" s="18" t="s">
        <v>3</v>
      </c>
      <c r="R411" s="3"/>
      <c r="S411" s="3"/>
      <c r="T411" s="9"/>
      <c r="U411" s="9"/>
      <c r="V411" s="2">
        <f>_xlfn.XLOOKUP(Tab_Data_Flows[[#This Row],[Flow_Name]],Tab_Def_Flows[Flow_Name],Tab_Def_Flows[Flow_E1_Fraction'[%']],"N.A.",0,1)</f>
        <v>0</v>
      </c>
      <c r="W411" s="8">
        <f t="shared" si="14"/>
        <v>0</v>
      </c>
      <c r="X411" s="2" t="str">
        <f>Tab_Data_Flows[[#This Row],[UoM_Source]]</f>
        <v>Mg</v>
      </c>
      <c r="Y411" s="19">
        <f>_xlfn.XLOOKUP(Tab_Data_Flows[[#This Row],[Flow_Name]],Tab_Def_Flows[Flow_Name],Tab_Def_Flows[Flow_E2_Fraction'[%']],"N.A.",0,1)</f>
        <v>0</v>
      </c>
      <c r="Z411" s="2">
        <f>IF(D411="Yes",W411*Tab_Data_Flows[[#This Row],[E2_Fraction'[%']]],"N.A.")</f>
        <v>0</v>
      </c>
      <c r="AA411" s="2" t="str">
        <f>Tab_Data_Flows[[#This Row],[E1_UoM]]</f>
        <v>Mg</v>
      </c>
      <c r="AB411" s="19">
        <f>_xlfn.XLOOKUP(Tab_Data_Flows[[#This Row],[Flow_Name]],Tab_Def_Flows[Flow_Name],Tab_Def_Flows[Flow_E3_Fraction'[%']],"N.A.",0,1)</f>
        <v>0</v>
      </c>
      <c r="AC411" s="2">
        <f>IF(E411="Yes",AB411*Tab_Data_Flows[[#This Row],[E1_value]],"N.A.")</f>
        <v>0</v>
      </c>
      <c r="AD411" s="2" t="str">
        <f>Tab_Data_Flows[[#This Row],[E1_UoM]]</f>
        <v>Mg</v>
      </c>
      <c r="AE411" s="19">
        <f>_xlfn.XLOOKUP(Tab_Data_Flows[[#This Row],[Flow_Name]],Tab_Def_Flows[Flow_Name],Tab_Def_Flows[Flow_E4_Fraction'[%']],"N.A.",0,1)</f>
        <v>0</v>
      </c>
      <c r="AF411" s="2">
        <f>IF(H411="Yes",Tab_Data_Flows[[#This Row],[E4_Fraction'[%']]]*Tab_Data_Flows[[#This Row],[E1_value]],"N.A.")</f>
        <v>0</v>
      </c>
      <c r="AG411" s="2" t="str">
        <f>Tab_Data_Flows[[#This Row],[E1_UoM]]</f>
        <v>Mg</v>
      </c>
      <c r="AH411" s="2">
        <f>_xlfn.XLOOKUP(Tab_Data_Flows[[#This Row],[Flow_Name]],Tab_Def_Flows[Flow_Name],Tab_Def_Flows[Flow_E5_Fraction'[%']],"N.A.",0,1)</f>
        <v>0</v>
      </c>
      <c r="AI411" s="2">
        <f>IF(H411="Yes",Tab_Data_Flows[[#This Row],[E5_Fraction'[%']]]*Tab_Data_Flows[[#This Row],[E1_value]],"N.A.")</f>
        <v>0</v>
      </c>
      <c r="AJ411" s="2" t="str">
        <f>Tab_Data_Flows[[#This Row],[E1_UoM]]</f>
        <v>Mg</v>
      </c>
      <c r="AK411" s="19">
        <f>_xlfn.XLOOKUP(Tab_Data_Flows[[#This Row],[Flow_Name]],Tab_Def_Flows[Flow_Name],Tab_Def_Flows[Flow_E6_Fraction'[%']],"N.A.",0,1)</f>
        <v>0</v>
      </c>
      <c r="AL411" s="2">
        <f>IF(Tab_Data_Flows[[#This Row],[Use_E6]]="Yes",Tab_Data_Flows[[#This Row],[E6_Fraction'[%']]]*Tab_Data_Flows[[#This Row],[E1_value]],"N.A.")</f>
        <v>0</v>
      </c>
      <c r="AM411" s="2" t="str">
        <f>Tab_Data_Flows[[#This Row],[E1_UoM]]</f>
        <v>Mg</v>
      </c>
    </row>
    <row r="412" spans="1:39" x14ac:dyDescent="0.25">
      <c r="A412" s="4">
        <f t="shared" si="12"/>
        <v>411</v>
      </c>
      <c r="B412" s="2" t="str">
        <f>_xlfn.XLOOKUP(C412,Tab_Def_Flows[Flow_Name],Tab_Def_Flows[Flow_ID],,0,)</f>
        <v>F__</v>
      </c>
      <c r="C412" s="18" t="s">
        <v>5</v>
      </c>
      <c r="D412" s="5" t="str">
        <f>_xlfn.XLOOKUP(C412,Tab_Def_Flows[Flow_Name],Tab_Def_Flows[Use_E1],,0,)</f>
        <v>Yes</v>
      </c>
      <c r="E412" s="5" t="str">
        <f>_xlfn.XLOOKUP(C412,Tab_Def_Flows[Flow_Name],Tab_Def_Flows[Use_E2],,0,)</f>
        <v>Yes</v>
      </c>
      <c r="F412" s="5" t="str">
        <f>_xlfn.XLOOKUP(C412,Tab_Def_Flows[Flow_Name],Tab_Def_Flows[Use_E3],,0,)</f>
        <v>Yes</v>
      </c>
      <c r="G412" s="5" t="str">
        <f>_xlfn.XLOOKUP(C412,Tab_Def_Flows[Flow_Name],Tab_Def_Flows[Use_E4],,0,)</f>
        <v>Yes</v>
      </c>
      <c r="H412" s="5" t="str">
        <f>_xlfn.XLOOKUP(C412,Tab_Def_Flows[Flow_Name],Tab_Def_Flows[Use_E5],,0,)</f>
        <v>Yes</v>
      </c>
      <c r="I412" s="5" t="str">
        <f>_xlfn.XLOOKUP(C412,Tab_Def_Flows[Flow_Name],Tab_Def_Flows[Use_E6],,0,)</f>
        <v>Yes</v>
      </c>
      <c r="J412" s="3"/>
      <c r="K412" s="3"/>
      <c r="L412" s="2" t="str">
        <f>'0_Configuration'!$C$41</f>
        <v>Mg</v>
      </c>
      <c r="M412" s="9"/>
      <c r="N412" s="9"/>
      <c r="O412" s="9"/>
      <c r="P412" s="9"/>
      <c r="Q412" s="18" t="s">
        <v>3</v>
      </c>
      <c r="R412" s="3"/>
      <c r="S412" s="3"/>
      <c r="T412" s="9"/>
      <c r="U412" s="9"/>
      <c r="V412" s="2">
        <f>_xlfn.XLOOKUP(Tab_Data_Flows[[#This Row],[Flow_Name]],Tab_Def_Flows[Flow_Name],Tab_Def_Flows[Flow_E1_Fraction'[%']],"N.A.",0,1)</f>
        <v>0</v>
      </c>
      <c r="W412" s="8">
        <f t="shared" si="14"/>
        <v>0</v>
      </c>
      <c r="X412" s="2" t="str">
        <f>Tab_Data_Flows[[#This Row],[UoM_Source]]</f>
        <v>Mg</v>
      </c>
      <c r="Y412" s="19">
        <f>_xlfn.XLOOKUP(Tab_Data_Flows[[#This Row],[Flow_Name]],Tab_Def_Flows[Flow_Name],Tab_Def_Flows[Flow_E2_Fraction'[%']],"N.A.",0,1)</f>
        <v>0</v>
      </c>
      <c r="Z412" s="2">
        <f>IF(D412="Yes",W412*Tab_Data_Flows[[#This Row],[E2_Fraction'[%']]],"N.A.")</f>
        <v>0</v>
      </c>
      <c r="AA412" s="2" t="str">
        <f>Tab_Data_Flows[[#This Row],[E1_UoM]]</f>
        <v>Mg</v>
      </c>
      <c r="AB412" s="19">
        <f>_xlfn.XLOOKUP(Tab_Data_Flows[[#This Row],[Flow_Name]],Tab_Def_Flows[Flow_Name],Tab_Def_Flows[Flow_E3_Fraction'[%']],"N.A.",0,1)</f>
        <v>0</v>
      </c>
      <c r="AC412" s="2">
        <f>IF(E412="Yes",AB412*Tab_Data_Flows[[#This Row],[E1_value]],"N.A.")</f>
        <v>0</v>
      </c>
      <c r="AD412" s="2" t="str">
        <f>Tab_Data_Flows[[#This Row],[E1_UoM]]</f>
        <v>Mg</v>
      </c>
      <c r="AE412" s="19">
        <f>_xlfn.XLOOKUP(Tab_Data_Flows[[#This Row],[Flow_Name]],Tab_Def_Flows[Flow_Name],Tab_Def_Flows[Flow_E4_Fraction'[%']],"N.A.",0,1)</f>
        <v>0</v>
      </c>
      <c r="AF412" s="2">
        <f>IF(H412="Yes",Tab_Data_Flows[[#This Row],[E4_Fraction'[%']]]*Tab_Data_Flows[[#This Row],[E1_value]],"N.A.")</f>
        <v>0</v>
      </c>
      <c r="AG412" s="2" t="str">
        <f>Tab_Data_Flows[[#This Row],[E1_UoM]]</f>
        <v>Mg</v>
      </c>
      <c r="AH412" s="2">
        <f>_xlfn.XLOOKUP(Tab_Data_Flows[[#This Row],[Flow_Name]],Tab_Def_Flows[Flow_Name],Tab_Def_Flows[Flow_E5_Fraction'[%']],"N.A.",0,1)</f>
        <v>0</v>
      </c>
      <c r="AI412" s="2">
        <f>IF(H412="Yes",Tab_Data_Flows[[#This Row],[E5_Fraction'[%']]]*Tab_Data_Flows[[#This Row],[E1_value]],"N.A.")</f>
        <v>0</v>
      </c>
      <c r="AJ412" s="2" t="str">
        <f>Tab_Data_Flows[[#This Row],[E1_UoM]]</f>
        <v>Mg</v>
      </c>
      <c r="AK412" s="19">
        <f>_xlfn.XLOOKUP(Tab_Data_Flows[[#This Row],[Flow_Name]],Tab_Def_Flows[Flow_Name],Tab_Def_Flows[Flow_E6_Fraction'[%']],"N.A.",0,1)</f>
        <v>0</v>
      </c>
      <c r="AL412" s="2">
        <f>IF(Tab_Data_Flows[[#This Row],[Use_E6]]="Yes",Tab_Data_Flows[[#This Row],[E6_Fraction'[%']]]*Tab_Data_Flows[[#This Row],[E1_value]],"N.A.")</f>
        <v>0</v>
      </c>
      <c r="AM412" s="2" t="str">
        <f>Tab_Data_Flows[[#This Row],[E1_UoM]]</f>
        <v>Mg</v>
      </c>
    </row>
    <row r="413" spans="1:39" x14ac:dyDescent="0.25">
      <c r="A413" s="4">
        <f t="shared" si="12"/>
        <v>412</v>
      </c>
      <c r="B413" s="2" t="str">
        <f>_xlfn.XLOOKUP(C413,Tab_Def_Flows[Flow_Name],Tab_Def_Flows[Flow_ID],,0,)</f>
        <v>F__</v>
      </c>
      <c r="C413" s="18" t="s">
        <v>5</v>
      </c>
      <c r="D413" s="5" t="str">
        <f>_xlfn.XLOOKUP(C413,Tab_Def_Flows[Flow_Name],Tab_Def_Flows[Use_E1],,0,)</f>
        <v>Yes</v>
      </c>
      <c r="E413" s="5" t="str">
        <f>_xlfn.XLOOKUP(C413,Tab_Def_Flows[Flow_Name],Tab_Def_Flows[Use_E2],,0,)</f>
        <v>Yes</v>
      </c>
      <c r="F413" s="5" t="str">
        <f>_xlfn.XLOOKUP(C413,Tab_Def_Flows[Flow_Name],Tab_Def_Flows[Use_E3],,0,)</f>
        <v>Yes</v>
      </c>
      <c r="G413" s="5" t="str">
        <f>_xlfn.XLOOKUP(C413,Tab_Def_Flows[Flow_Name],Tab_Def_Flows[Use_E4],,0,)</f>
        <v>Yes</v>
      </c>
      <c r="H413" s="5" t="str">
        <f>_xlfn.XLOOKUP(C413,Tab_Def_Flows[Flow_Name],Tab_Def_Flows[Use_E5],,0,)</f>
        <v>Yes</v>
      </c>
      <c r="I413" s="5" t="str">
        <f>_xlfn.XLOOKUP(C413,Tab_Def_Flows[Flow_Name],Tab_Def_Flows[Use_E6],,0,)</f>
        <v>Yes</v>
      </c>
      <c r="J413" s="3"/>
      <c r="K413" s="3"/>
      <c r="L413" s="2" t="str">
        <f>'0_Configuration'!$C$41</f>
        <v>Mg</v>
      </c>
      <c r="M413" s="9"/>
      <c r="N413" s="9"/>
      <c r="O413" s="9"/>
      <c r="P413" s="9"/>
      <c r="Q413" s="18" t="s">
        <v>3</v>
      </c>
      <c r="R413" s="3"/>
      <c r="S413" s="3"/>
      <c r="T413" s="9"/>
      <c r="U413" s="9"/>
      <c r="V413" s="2">
        <f>_xlfn.XLOOKUP(Tab_Data_Flows[[#This Row],[Flow_Name]],Tab_Def_Flows[Flow_Name],Tab_Def_Flows[Flow_E1_Fraction'[%']],"N.A.",0,1)</f>
        <v>0</v>
      </c>
      <c r="W413" s="8">
        <f t="shared" si="14"/>
        <v>0</v>
      </c>
      <c r="X413" s="2" t="str">
        <f>Tab_Data_Flows[[#This Row],[UoM_Source]]</f>
        <v>Mg</v>
      </c>
      <c r="Y413" s="19">
        <f>_xlfn.XLOOKUP(Tab_Data_Flows[[#This Row],[Flow_Name]],Tab_Def_Flows[Flow_Name],Tab_Def_Flows[Flow_E2_Fraction'[%']],"N.A.",0,1)</f>
        <v>0</v>
      </c>
      <c r="Z413" s="2">
        <f>IF(D413="Yes",W413*Tab_Data_Flows[[#This Row],[E2_Fraction'[%']]],"N.A.")</f>
        <v>0</v>
      </c>
      <c r="AA413" s="2" t="str">
        <f>Tab_Data_Flows[[#This Row],[E1_UoM]]</f>
        <v>Mg</v>
      </c>
      <c r="AB413" s="19">
        <f>_xlfn.XLOOKUP(Tab_Data_Flows[[#This Row],[Flow_Name]],Tab_Def_Flows[Flow_Name],Tab_Def_Flows[Flow_E3_Fraction'[%']],"N.A.",0,1)</f>
        <v>0</v>
      </c>
      <c r="AC413" s="2">
        <f>IF(E413="Yes",AB413*Tab_Data_Flows[[#This Row],[E1_value]],"N.A.")</f>
        <v>0</v>
      </c>
      <c r="AD413" s="2" t="str">
        <f>Tab_Data_Flows[[#This Row],[E1_UoM]]</f>
        <v>Mg</v>
      </c>
      <c r="AE413" s="19">
        <f>_xlfn.XLOOKUP(Tab_Data_Flows[[#This Row],[Flow_Name]],Tab_Def_Flows[Flow_Name],Tab_Def_Flows[Flow_E4_Fraction'[%']],"N.A.",0,1)</f>
        <v>0</v>
      </c>
      <c r="AF413" s="2">
        <f>IF(H413="Yes",Tab_Data_Flows[[#This Row],[E4_Fraction'[%']]]*Tab_Data_Flows[[#This Row],[E1_value]],"N.A.")</f>
        <v>0</v>
      </c>
      <c r="AG413" s="2" t="str">
        <f>Tab_Data_Flows[[#This Row],[E1_UoM]]</f>
        <v>Mg</v>
      </c>
      <c r="AH413" s="2">
        <f>_xlfn.XLOOKUP(Tab_Data_Flows[[#This Row],[Flow_Name]],Tab_Def_Flows[Flow_Name],Tab_Def_Flows[Flow_E5_Fraction'[%']],"N.A.",0,1)</f>
        <v>0</v>
      </c>
      <c r="AI413" s="2">
        <f>IF(H413="Yes",Tab_Data_Flows[[#This Row],[E5_Fraction'[%']]]*Tab_Data_Flows[[#This Row],[E1_value]],"N.A.")</f>
        <v>0</v>
      </c>
      <c r="AJ413" s="2" t="str">
        <f>Tab_Data_Flows[[#This Row],[E1_UoM]]</f>
        <v>Mg</v>
      </c>
      <c r="AK413" s="19">
        <f>_xlfn.XLOOKUP(Tab_Data_Flows[[#This Row],[Flow_Name]],Tab_Def_Flows[Flow_Name],Tab_Def_Flows[Flow_E6_Fraction'[%']],"N.A.",0,1)</f>
        <v>0</v>
      </c>
      <c r="AL413" s="2">
        <f>IF(Tab_Data_Flows[[#This Row],[Use_E6]]="Yes",Tab_Data_Flows[[#This Row],[E6_Fraction'[%']]]*Tab_Data_Flows[[#This Row],[E1_value]],"N.A.")</f>
        <v>0</v>
      </c>
      <c r="AM413" s="2" t="str">
        <f>Tab_Data_Flows[[#This Row],[E1_UoM]]</f>
        <v>Mg</v>
      </c>
    </row>
    <row r="414" spans="1:39" x14ac:dyDescent="0.25">
      <c r="A414" s="4">
        <f t="shared" si="12"/>
        <v>413</v>
      </c>
      <c r="B414" s="2" t="str">
        <f>_xlfn.XLOOKUP(C414,Tab_Def_Flows[Flow_Name],Tab_Def_Flows[Flow_ID],,0,)</f>
        <v>F__</v>
      </c>
      <c r="C414" s="18" t="s">
        <v>5</v>
      </c>
      <c r="D414" s="5" t="str">
        <f>_xlfn.XLOOKUP(C414,Tab_Def_Flows[Flow_Name],Tab_Def_Flows[Use_E1],,0,)</f>
        <v>Yes</v>
      </c>
      <c r="E414" s="5" t="str">
        <f>_xlfn.XLOOKUP(C414,Tab_Def_Flows[Flow_Name],Tab_Def_Flows[Use_E2],,0,)</f>
        <v>Yes</v>
      </c>
      <c r="F414" s="5" t="str">
        <f>_xlfn.XLOOKUP(C414,Tab_Def_Flows[Flow_Name],Tab_Def_Flows[Use_E3],,0,)</f>
        <v>Yes</v>
      </c>
      <c r="G414" s="5" t="str">
        <f>_xlfn.XLOOKUP(C414,Tab_Def_Flows[Flow_Name],Tab_Def_Flows[Use_E4],,0,)</f>
        <v>Yes</v>
      </c>
      <c r="H414" s="5" t="str">
        <f>_xlfn.XLOOKUP(C414,Tab_Def_Flows[Flow_Name],Tab_Def_Flows[Use_E5],,0,)</f>
        <v>Yes</v>
      </c>
      <c r="I414" s="5" t="str">
        <f>_xlfn.XLOOKUP(C414,Tab_Def_Flows[Flow_Name],Tab_Def_Flows[Use_E6],,0,)</f>
        <v>Yes</v>
      </c>
      <c r="J414" s="3"/>
      <c r="K414" s="3"/>
      <c r="L414" s="2" t="str">
        <f>'0_Configuration'!$C$41</f>
        <v>Mg</v>
      </c>
      <c r="M414" s="9"/>
      <c r="N414" s="9"/>
      <c r="O414" s="9"/>
      <c r="P414" s="9"/>
      <c r="Q414" s="18" t="s">
        <v>3</v>
      </c>
      <c r="R414" s="3"/>
      <c r="S414" s="3"/>
      <c r="T414" s="9"/>
      <c r="U414" s="9"/>
      <c r="V414" s="2">
        <f>_xlfn.XLOOKUP(Tab_Data_Flows[[#This Row],[Flow_Name]],Tab_Def_Flows[Flow_Name],Tab_Def_Flows[Flow_E1_Fraction'[%']],"N.A.",0,1)</f>
        <v>0</v>
      </c>
      <c r="W414" s="8">
        <f t="shared" si="14"/>
        <v>0</v>
      </c>
      <c r="X414" s="2" t="str">
        <f>Tab_Data_Flows[[#This Row],[UoM_Source]]</f>
        <v>Mg</v>
      </c>
      <c r="Y414" s="19">
        <f>_xlfn.XLOOKUP(Tab_Data_Flows[[#This Row],[Flow_Name]],Tab_Def_Flows[Flow_Name],Tab_Def_Flows[Flow_E2_Fraction'[%']],"N.A.",0,1)</f>
        <v>0</v>
      </c>
      <c r="Z414" s="2">
        <f>IF(D414="Yes",W414*Tab_Data_Flows[[#This Row],[E2_Fraction'[%']]],"N.A.")</f>
        <v>0</v>
      </c>
      <c r="AA414" s="2" t="str">
        <f>Tab_Data_Flows[[#This Row],[E1_UoM]]</f>
        <v>Mg</v>
      </c>
      <c r="AB414" s="19">
        <f>_xlfn.XLOOKUP(Tab_Data_Flows[[#This Row],[Flow_Name]],Tab_Def_Flows[Flow_Name],Tab_Def_Flows[Flow_E3_Fraction'[%']],"N.A.",0,1)</f>
        <v>0</v>
      </c>
      <c r="AC414" s="2">
        <f>IF(E414="Yes",AB414*Tab_Data_Flows[[#This Row],[E1_value]],"N.A.")</f>
        <v>0</v>
      </c>
      <c r="AD414" s="2" t="str">
        <f>Tab_Data_Flows[[#This Row],[E1_UoM]]</f>
        <v>Mg</v>
      </c>
      <c r="AE414" s="19">
        <f>_xlfn.XLOOKUP(Tab_Data_Flows[[#This Row],[Flow_Name]],Tab_Def_Flows[Flow_Name],Tab_Def_Flows[Flow_E4_Fraction'[%']],"N.A.",0,1)</f>
        <v>0</v>
      </c>
      <c r="AF414" s="2">
        <f>IF(H414="Yes",Tab_Data_Flows[[#This Row],[E4_Fraction'[%']]]*Tab_Data_Flows[[#This Row],[E1_value]],"N.A.")</f>
        <v>0</v>
      </c>
      <c r="AG414" s="2" t="str">
        <f>Tab_Data_Flows[[#This Row],[E1_UoM]]</f>
        <v>Mg</v>
      </c>
      <c r="AH414" s="2">
        <f>_xlfn.XLOOKUP(Tab_Data_Flows[[#This Row],[Flow_Name]],Tab_Def_Flows[Flow_Name],Tab_Def_Flows[Flow_E5_Fraction'[%']],"N.A.",0,1)</f>
        <v>0</v>
      </c>
      <c r="AI414" s="2">
        <f>IF(H414="Yes",Tab_Data_Flows[[#This Row],[E5_Fraction'[%']]]*Tab_Data_Flows[[#This Row],[E1_value]],"N.A.")</f>
        <v>0</v>
      </c>
      <c r="AJ414" s="2" t="str">
        <f>Tab_Data_Flows[[#This Row],[E1_UoM]]</f>
        <v>Mg</v>
      </c>
      <c r="AK414" s="19">
        <f>_xlfn.XLOOKUP(Tab_Data_Flows[[#This Row],[Flow_Name]],Tab_Def_Flows[Flow_Name],Tab_Def_Flows[Flow_E6_Fraction'[%']],"N.A.",0,1)</f>
        <v>0</v>
      </c>
      <c r="AL414" s="2">
        <f>IF(Tab_Data_Flows[[#This Row],[Use_E6]]="Yes",Tab_Data_Flows[[#This Row],[E6_Fraction'[%']]]*Tab_Data_Flows[[#This Row],[E1_value]],"N.A.")</f>
        <v>0</v>
      </c>
      <c r="AM414" s="2" t="str">
        <f>Tab_Data_Flows[[#This Row],[E1_UoM]]</f>
        <v>Mg</v>
      </c>
    </row>
    <row r="415" spans="1:39" x14ac:dyDescent="0.25">
      <c r="A415" s="4">
        <f t="shared" si="12"/>
        <v>414</v>
      </c>
      <c r="B415" s="2" t="str">
        <f>_xlfn.XLOOKUP(C415,Tab_Def_Flows[Flow_Name],Tab_Def_Flows[Flow_ID],,0,)</f>
        <v>F__</v>
      </c>
      <c r="C415" s="18" t="s">
        <v>5</v>
      </c>
      <c r="D415" s="5" t="str">
        <f>_xlfn.XLOOKUP(C415,Tab_Def_Flows[Flow_Name],Tab_Def_Flows[Use_E1],,0,)</f>
        <v>Yes</v>
      </c>
      <c r="E415" s="5" t="str">
        <f>_xlfn.XLOOKUP(C415,Tab_Def_Flows[Flow_Name],Tab_Def_Flows[Use_E2],,0,)</f>
        <v>Yes</v>
      </c>
      <c r="F415" s="5" t="str">
        <f>_xlfn.XLOOKUP(C415,Tab_Def_Flows[Flow_Name],Tab_Def_Flows[Use_E3],,0,)</f>
        <v>Yes</v>
      </c>
      <c r="G415" s="5" t="str">
        <f>_xlfn.XLOOKUP(C415,Tab_Def_Flows[Flow_Name],Tab_Def_Flows[Use_E4],,0,)</f>
        <v>Yes</v>
      </c>
      <c r="H415" s="5" t="str">
        <f>_xlfn.XLOOKUP(C415,Tab_Def_Flows[Flow_Name],Tab_Def_Flows[Use_E5],,0,)</f>
        <v>Yes</v>
      </c>
      <c r="I415" s="5" t="str">
        <f>_xlfn.XLOOKUP(C415,Tab_Def_Flows[Flow_Name],Tab_Def_Flows[Use_E6],,0,)</f>
        <v>Yes</v>
      </c>
      <c r="J415" s="3"/>
      <c r="K415" s="3"/>
      <c r="L415" s="2" t="str">
        <f>'0_Configuration'!$C$41</f>
        <v>Mg</v>
      </c>
      <c r="M415" s="9"/>
      <c r="N415" s="9"/>
      <c r="O415" s="9"/>
      <c r="P415" s="9"/>
      <c r="Q415" s="18" t="s">
        <v>3</v>
      </c>
      <c r="R415" s="3"/>
      <c r="S415" s="3"/>
      <c r="T415" s="9"/>
      <c r="U415" s="9"/>
      <c r="V415" s="2">
        <f>_xlfn.XLOOKUP(Tab_Data_Flows[[#This Row],[Flow_Name]],Tab_Def_Flows[Flow_Name],Tab_Def_Flows[Flow_E1_Fraction'[%']],"N.A.",0,1)</f>
        <v>0</v>
      </c>
      <c r="W415" s="8">
        <f t="shared" si="14"/>
        <v>0</v>
      </c>
      <c r="X415" s="2" t="str">
        <f>Tab_Data_Flows[[#This Row],[UoM_Source]]</f>
        <v>Mg</v>
      </c>
      <c r="Y415" s="19">
        <f>_xlfn.XLOOKUP(Tab_Data_Flows[[#This Row],[Flow_Name]],Tab_Def_Flows[Flow_Name],Tab_Def_Flows[Flow_E2_Fraction'[%']],"N.A.",0,1)</f>
        <v>0</v>
      </c>
      <c r="Z415" s="2">
        <f>IF(D415="Yes",W415*Tab_Data_Flows[[#This Row],[E2_Fraction'[%']]],"N.A.")</f>
        <v>0</v>
      </c>
      <c r="AA415" s="2" t="str">
        <f>Tab_Data_Flows[[#This Row],[E1_UoM]]</f>
        <v>Mg</v>
      </c>
      <c r="AB415" s="19">
        <f>_xlfn.XLOOKUP(Tab_Data_Flows[[#This Row],[Flow_Name]],Tab_Def_Flows[Flow_Name],Tab_Def_Flows[Flow_E3_Fraction'[%']],"N.A.",0,1)</f>
        <v>0</v>
      </c>
      <c r="AC415" s="2">
        <f>IF(E415="Yes",AB415*Tab_Data_Flows[[#This Row],[E1_value]],"N.A.")</f>
        <v>0</v>
      </c>
      <c r="AD415" s="2" t="str">
        <f>Tab_Data_Flows[[#This Row],[E1_UoM]]</f>
        <v>Mg</v>
      </c>
      <c r="AE415" s="19">
        <f>_xlfn.XLOOKUP(Tab_Data_Flows[[#This Row],[Flow_Name]],Tab_Def_Flows[Flow_Name],Tab_Def_Flows[Flow_E4_Fraction'[%']],"N.A.",0,1)</f>
        <v>0</v>
      </c>
      <c r="AF415" s="2">
        <f>IF(H415="Yes",Tab_Data_Flows[[#This Row],[E4_Fraction'[%']]]*Tab_Data_Flows[[#This Row],[E1_value]],"N.A.")</f>
        <v>0</v>
      </c>
      <c r="AG415" s="2" t="str">
        <f>Tab_Data_Flows[[#This Row],[E1_UoM]]</f>
        <v>Mg</v>
      </c>
      <c r="AH415" s="2">
        <f>_xlfn.XLOOKUP(Tab_Data_Flows[[#This Row],[Flow_Name]],Tab_Def_Flows[Flow_Name],Tab_Def_Flows[Flow_E5_Fraction'[%']],"N.A.",0,1)</f>
        <v>0</v>
      </c>
      <c r="AI415" s="2">
        <f>IF(H415="Yes",Tab_Data_Flows[[#This Row],[E5_Fraction'[%']]]*Tab_Data_Flows[[#This Row],[E1_value]],"N.A.")</f>
        <v>0</v>
      </c>
      <c r="AJ415" s="2" t="str">
        <f>Tab_Data_Flows[[#This Row],[E1_UoM]]</f>
        <v>Mg</v>
      </c>
      <c r="AK415" s="19">
        <f>_xlfn.XLOOKUP(Tab_Data_Flows[[#This Row],[Flow_Name]],Tab_Def_Flows[Flow_Name],Tab_Def_Flows[Flow_E6_Fraction'[%']],"N.A.",0,1)</f>
        <v>0</v>
      </c>
      <c r="AL415" s="2">
        <f>IF(Tab_Data_Flows[[#This Row],[Use_E6]]="Yes",Tab_Data_Flows[[#This Row],[E6_Fraction'[%']]]*Tab_Data_Flows[[#This Row],[E1_value]],"N.A.")</f>
        <v>0</v>
      </c>
      <c r="AM415" s="2" t="str">
        <f>Tab_Data_Flows[[#This Row],[E1_UoM]]</f>
        <v>Mg</v>
      </c>
    </row>
    <row r="416" spans="1:39" x14ac:dyDescent="0.25">
      <c r="A416" s="4">
        <f t="shared" si="12"/>
        <v>415</v>
      </c>
      <c r="B416" s="2" t="str">
        <f>_xlfn.XLOOKUP(C416,Tab_Def_Flows[Flow_Name],Tab_Def_Flows[Flow_ID],,0,)</f>
        <v>F__</v>
      </c>
      <c r="C416" s="18" t="s">
        <v>5</v>
      </c>
      <c r="D416" s="5" t="str">
        <f>_xlfn.XLOOKUP(C416,Tab_Def_Flows[Flow_Name],Tab_Def_Flows[Use_E1],,0,)</f>
        <v>Yes</v>
      </c>
      <c r="E416" s="5" t="str">
        <f>_xlfn.XLOOKUP(C416,Tab_Def_Flows[Flow_Name],Tab_Def_Flows[Use_E2],,0,)</f>
        <v>Yes</v>
      </c>
      <c r="F416" s="5" t="str">
        <f>_xlfn.XLOOKUP(C416,Tab_Def_Flows[Flow_Name],Tab_Def_Flows[Use_E3],,0,)</f>
        <v>Yes</v>
      </c>
      <c r="G416" s="5" t="str">
        <f>_xlfn.XLOOKUP(C416,Tab_Def_Flows[Flow_Name],Tab_Def_Flows[Use_E4],,0,)</f>
        <v>Yes</v>
      </c>
      <c r="H416" s="5" t="str">
        <f>_xlfn.XLOOKUP(C416,Tab_Def_Flows[Flow_Name],Tab_Def_Flows[Use_E5],,0,)</f>
        <v>Yes</v>
      </c>
      <c r="I416" s="5" t="str">
        <f>_xlfn.XLOOKUP(C416,Tab_Def_Flows[Flow_Name],Tab_Def_Flows[Use_E6],,0,)</f>
        <v>Yes</v>
      </c>
      <c r="J416" s="3"/>
      <c r="K416" s="3"/>
      <c r="L416" s="2" t="str">
        <f>'0_Configuration'!$C$41</f>
        <v>Mg</v>
      </c>
      <c r="M416" s="9"/>
      <c r="N416" s="9"/>
      <c r="O416" s="9"/>
      <c r="P416" s="9"/>
      <c r="Q416" s="18" t="s">
        <v>3</v>
      </c>
      <c r="R416" s="3"/>
      <c r="S416" s="3"/>
      <c r="T416" s="9"/>
      <c r="U416" s="9"/>
      <c r="V416" s="2">
        <f>_xlfn.XLOOKUP(Tab_Data_Flows[[#This Row],[Flow_Name]],Tab_Def_Flows[Flow_Name],Tab_Def_Flows[Flow_E1_Fraction'[%']],"N.A.",0,1)</f>
        <v>0</v>
      </c>
      <c r="W416" s="8">
        <f t="shared" si="14"/>
        <v>0</v>
      </c>
      <c r="X416" s="2" t="str">
        <f>Tab_Data_Flows[[#This Row],[UoM_Source]]</f>
        <v>Mg</v>
      </c>
      <c r="Y416" s="19">
        <f>_xlfn.XLOOKUP(Tab_Data_Flows[[#This Row],[Flow_Name]],Tab_Def_Flows[Flow_Name],Tab_Def_Flows[Flow_E2_Fraction'[%']],"N.A.",0,1)</f>
        <v>0</v>
      </c>
      <c r="Z416" s="2">
        <f>IF(D416="Yes",W416*Tab_Data_Flows[[#This Row],[E2_Fraction'[%']]],"N.A.")</f>
        <v>0</v>
      </c>
      <c r="AA416" s="2" t="str">
        <f>Tab_Data_Flows[[#This Row],[E1_UoM]]</f>
        <v>Mg</v>
      </c>
      <c r="AB416" s="19">
        <f>_xlfn.XLOOKUP(Tab_Data_Flows[[#This Row],[Flow_Name]],Tab_Def_Flows[Flow_Name],Tab_Def_Flows[Flow_E3_Fraction'[%']],"N.A.",0,1)</f>
        <v>0</v>
      </c>
      <c r="AC416" s="2">
        <f>IF(E416="Yes",AB416*Tab_Data_Flows[[#This Row],[E1_value]],"N.A.")</f>
        <v>0</v>
      </c>
      <c r="AD416" s="2" t="str">
        <f>Tab_Data_Flows[[#This Row],[E1_UoM]]</f>
        <v>Mg</v>
      </c>
      <c r="AE416" s="19">
        <f>_xlfn.XLOOKUP(Tab_Data_Flows[[#This Row],[Flow_Name]],Tab_Def_Flows[Flow_Name],Tab_Def_Flows[Flow_E4_Fraction'[%']],"N.A.",0,1)</f>
        <v>0</v>
      </c>
      <c r="AF416" s="2">
        <f>IF(H416="Yes",Tab_Data_Flows[[#This Row],[E4_Fraction'[%']]]*Tab_Data_Flows[[#This Row],[E1_value]],"N.A.")</f>
        <v>0</v>
      </c>
      <c r="AG416" s="2" t="str">
        <f>Tab_Data_Flows[[#This Row],[E1_UoM]]</f>
        <v>Mg</v>
      </c>
      <c r="AH416" s="2">
        <f>_xlfn.XLOOKUP(Tab_Data_Flows[[#This Row],[Flow_Name]],Tab_Def_Flows[Flow_Name],Tab_Def_Flows[Flow_E5_Fraction'[%']],"N.A.",0,1)</f>
        <v>0</v>
      </c>
      <c r="AI416" s="2">
        <f>IF(H416="Yes",Tab_Data_Flows[[#This Row],[E5_Fraction'[%']]]*Tab_Data_Flows[[#This Row],[E1_value]],"N.A.")</f>
        <v>0</v>
      </c>
      <c r="AJ416" s="2" t="str">
        <f>Tab_Data_Flows[[#This Row],[E1_UoM]]</f>
        <v>Mg</v>
      </c>
      <c r="AK416" s="19">
        <f>_xlfn.XLOOKUP(Tab_Data_Flows[[#This Row],[Flow_Name]],Tab_Def_Flows[Flow_Name],Tab_Def_Flows[Flow_E6_Fraction'[%']],"N.A.",0,1)</f>
        <v>0</v>
      </c>
      <c r="AL416" s="2">
        <f>IF(Tab_Data_Flows[[#This Row],[Use_E6]]="Yes",Tab_Data_Flows[[#This Row],[E6_Fraction'[%']]]*Tab_Data_Flows[[#This Row],[E1_value]],"N.A.")</f>
        <v>0</v>
      </c>
      <c r="AM416" s="2" t="str">
        <f>Tab_Data_Flows[[#This Row],[E1_UoM]]</f>
        <v>Mg</v>
      </c>
    </row>
    <row r="417" spans="1:39" x14ac:dyDescent="0.25">
      <c r="A417" s="4">
        <f t="shared" si="12"/>
        <v>416</v>
      </c>
      <c r="B417" s="2" t="str">
        <f>_xlfn.XLOOKUP(C417,Tab_Def_Flows[Flow_Name],Tab_Def_Flows[Flow_ID],,0,)</f>
        <v>F__</v>
      </c>
      <c r="C417" s="18" t="s">
        <v>5</v>
      </c>
      <c r="D417" s="5" t="str">
        <f>_xlfn.XLOOKUP(C417,Tab_Def_Flows[Flow_Name],Tab_Def_Flows[Use_E1],,0,)</f>
        <v>Yes</v>
      </c>
      <c r="E417" s="5" t="str">
        <f>_xlfn.XLOOKUP(C417,Tab_Def_Flows[Flow_Name],Tab_Def_Flows[Use_E2],,0,)</f>
        <v>Yes</v>
      </c>
      <c r="F417" s="5" t="str">
        <f>_xlfn.XLOOKUP(C417,Tab_Def_Flows[Flow_Name],Tab_Def_Flows[Use_E3],,0,)</f>
        <v>Yes</v>
      </c>
      <c r="G417" s="5" t="str">
        <f>_xlfn.XLOOKUP(C417,Tab_Def_Flows[Flow_Name],Tab_Def_Flows[Use_E4],,0,)</f>
        <v>Yes</v>
      </c>
      <c r="H417" s="5" t="str">
        <f>_xlfn.XLOOKUP(C417,Tab_Def_Flows[Flow_Name],Tab_Def_Flows[Use_E5],,0,)</f>
        <v>Yes</v>
      </c>
      <c r="I417" s="5" t="str">
        <f>_xlfn.XLOOKUP(C417,Tab_Def_Flows[Flow_Name],Tab_Def_Flows[Use_E6],,0,)</f>
        <v>Yes</v>
      </c>
      <c r="J417" s="3"/>
      <c r="K417" s="3"/>
      <c r="L417" s="2" t="str">
        <f>'0_Configuration'!$C$41</f>
        <v>Mg</v>
      </c>
      <c r="M417" s="9"/>
      <c r="N417" s="9"/>
      <c r="O417" s="9"/>
      <c r="P417" s="9"/>
      <c r="Q417" s="18" t="s">
        <v>3</v>
      </c>
      <c r="R417" s="3"/>
      <c r="S417" s="3"/>
      <c r="T417" s="9"/>
      <c r="U417" s="9"/>
      <c r="V417" s="2">
        <f>_xlfn.XLOOKUP(Tab_Data_Flows[[#This Row],[Flow_Name]],Tab_Def_Flows[Flow_Name],Tab_Def_Flows[Flow_E1_Fraction'[%']],"N.A.",0,1)</f>
        <v>0</v>
      </c>
      <c r="W417" s="8">
        <f t="shared" si="14"/>
        <v>0</v>
      </c>
      <c r="X417" s="2" t="str">
        <f>Tab_Data_Flows[[#This Row],[UoM_Source]]</f>
        <v>Mg</v>
      </c>
      <c r="Y417" s="19">
        <f>_xlfn.XLOOKUP(Tab_Data_Flows[[#This Row],[Flow_Name]],Tab_Def_Flows[Flow_Name],Tab_Def_Flows[Flow_E2_Fraction'[%']],"N.A.",0,1)</f>
        <v>0</v>
      </c>
      <c r="Z417" s="2">
        <f>IF(D417="Yes",W417*Tab_Data_Flows[[#This Row],[E2_Fraction'[%']]],"N.A.")</f>
        <v>0</v>
      </c>
      <c r="AA417" s="2" t="str">
        <f>Tab_Data_Flows[[#This Row],[E1_UoM]]</f>
        <v>Mg</v>
      </c>
      <c r="AB417" s="19">
        <f>_xlfn.XLOOKUP(Tab_Data_Flows[[#This Row],[Flow_Name]],Tab_Def_Flows[Flow_Name],Tab_Def_Flows[Flow_E3_Fraction'[%']],"N.A.",0,1)</f>
        <v>0</v>
      </c>
      <c r="AC417" s="2">
        <f>IF(E417="Yes",AB417*Tab_Data_Flows[[#This Row],[E1_value]],"N.A.")</f>
        <v>0</v>
      </c>
      <c r="AD417" s="2" t="str">
        <f>Tab_Data_Flows[[#This Row],[E1_UoM]]</f>
        <v>Mg</v>
      </c>
      <c r="AE417" s="19">
        <f>_xlfn.XLOOKUP(Tab_Data_Flows[[#This Row],[Flow_Name]],Tab_Def_Flows[Flow_Name],Tab_Def_Flows[Flow_E4_Fraction'[%']],"N.A.",0,1)</f>
        <v>0</v>
      </c>
      <c r="AF417" s="2">
        <f>IF(H417="Yes",Tab_Data_Flows[[#This Row],[E4_Fraction'[%']]]*Tab_Data_Flows[[#This Row],[E1_value]],"N.A.")</f>
        <v>0</v>
      </c>
      <c r="AG417" s="2" t="str">
        <f>Tab_Data_Flows[[#This Row],[E1_UoM]]</f>
        <v>Mg</v>
      </c>
      <c r="AH417" s="2">
        <f>_xlfn.XLOOKUP(Tab_Data_Flows[[#This Row],[Flow_Name]],Tab_Def_Flows[Flow_Name],Tab_Def_Flows[Flow_E5_Fraction'[%']],"N.A.",0,1)</f>
        <v>0</v>
      </c>
      <c r="AI417" s="2">
        <f>IF(H417="Yes",Tab_Data_Flows[[#This Row],[E5_Fraction'[%']]]*Tab_Data_Flows[[#This Row],[E1_value]],"N.A.")</f>
        <v>0</v>
      </c>
      <c r="AJ417" s="2" t="str">
        <f>Tab_Data_Flows[[#This Row],[E1_UoM]]</f>
        <v>Mg</v>
      </c>
      <c r="AK417" s="19">
        <f>_xlfn.XLOOKUP(Tab_Data_Flows[[#This Row],[Flow_Name]],Tab_Def_Flows[Flow_Name],Tab_Def_Flows[Flow_E6_Fraction'[%']],"N.A.",0,1)</f>
        <v>0</v>
      </c>
      <c r="AL417" s="2">
        <f>IF(Tab_Data_Flows[[#This Row],[Use_E6]]="Yes",Tab_Data_Flows[[#This Row],[E6_Fraction'[%']]]*Tab_Data_Flows[[#This Row],[E1_value]],"N.A.")</f>
        <v>0</v>
      </c>
      <c r="AM417" s="2" t="str">
        <f>Tab_Data_Flows[[#This Row],[E1_UoM]]</f>
        <v>Mg</v>
      </c>
    </row>
    <row r="418" spans="1:39" x14ac:dyDescent="0.25">
      <c r="A418" s="4">
        <f t="shared" si="12"/>
        <v>417</v>
      </c>
      <c r="B418" s="2" t="str">
        <f>_xlfn.XLOOKUP(C418,Tab_Def_Flows[Flow_Name],Tab_Def_Flows[Flow_ID],,0,)</f>
        <v>F__</v>
      </c>
      <c r="C418" s="18" t="s">
        <v>5</v>
      </c>
      <c r="D418" s="5" t="str">
        <f>_xlfn.XLOOKUP(C418,Tab_Def_Flows[Flow_Name],Tab_Def_Flows[Use_E1],,0,)</f>
        <v>Yes</v>
      </c>
      <c r="E418" s="5" t="str">
        <f>_xlfn.XLOOKUP(C418,Tab_Def_Flows[Flow_Name],Tab_Def_Flows[Use_E2],,0,)</f>
        <v>Yes</v>
      </c>
      <c r="F418" s="5" t="str">
        <f>_xlfn.XLOOKUP(C418,Tab_Def_Flows[Flow_Name],Tab_Def_Flows[Use_E3],,0,)</f>
        <v>Yes</v>
      </c>
      <c r="G418" s="5" t="str">
        <f>_xlfn.XLOOKUP(C418,Tab_Def_Flows[Flow_Name],Tab_Def_Flows[Use_E4],,0,)</f>
        <v>Yes</v>
      </c>
      <c r="H418" s="5" t="str">
        <f>_xlfn.XLOOKUP(C418,Tab_Def_Flows[Flow_Name],Tab_Def_Flows[Use_E5],,0,)</f>
        <v>Yes</v>
      </c>
      <c r="I418" s="5" t="str">
        <f>_xlfn.XLOOKUP(C418,Tab_Def_Flows[Flow_Name],Tab_Def_Flows[Use_E6],,0,)</f>
        <v>Yes</v>
      </c>
      <c r="J418" s="3"/>
      <c r="K418" s="3"/>
      <c r="L418" s="2" t="str">
        <f>'0_Configuration'!$C$41</f>
        <v>Mg</v>
      </c>
      <c r="M418" s="9"/>
      <c r="N418" s="9"/>
      <c r="O418" s="9"/>
      <c r="P418" s="9"/>
      <c r="Q418" s="18" t="s">
        <v>3</v>
      </c>
      <c r="R418" s="3"/>
      <c r="S418" s="3"/>
      <c r="T418" s="9"/>
      <c r="U418" s="9"/>
      <c r="V418" s="2">
        <f>_xlfn.XLOOKUP(Tab_Data_Flows[[#This Row],[Flow_Name]],Tab_Def_Flows[Flow_Name],Tab_Def_Flows[Flow_E1_Fraction'[%']],"N.A.",0,1)</f>
        <v>0</v>
      </c>
      <c r="W418" s="8">
        <f t="shared" si="14"/>
        <v>0</v>
      </c>
      <c r="X418" s="2" t="str">
        <f>Tab_Data_Flows[[#This Row],[UoM_Source]]</f>
        <v>Mg</v>
      </c>
      <c r="Y418" s="19">
        <f>_xlfn.XLOOKUP(Tab_Data_Flows[[#This Row],[Flow_Name]],Tab_Def_Flows[Flow_Name],Tab_Def_Flows[Flow_E2_Fraction'[%']],"N.A.",0,1)</f>
        <v>0</v>
      </c>
      <c r="Z418" s="2">
        <f>IF(D418="Yes",W418*Tab_Data_Flows[[#This Row],[E2_Fraction'[%']]],"N.A.")</f>
        <v>0</v>
      </c>
      <c r="AA418" s="2" t="str">
        <f>Tab_Data_Flows[[#This Row],[E1_UoM]]</f>
        <v>Mg</v>
      </c>
      <c r="AB418" s="19">
        <f>_xlfn.XLOOKUP(Tab_Data_Flows[[#This Row],[Flow_Name]],Tab_Def_Flows[Flow_Name],Tab_Def_Flows[Flow_E3_Fraction'[%']],"N.A.",0,1)</f>
        <v>0</v>
      </c>
      <c r="AC418" s="2">
        <f>IF(E418="Yes",AB418*Tab_Data_Flows[[#This Row],[E1_value]],"N.A.")</f>
        <v>0</v>
      </c>
      <c r="AD418" s="2" t="str">
        <f>Tab_Data_Flows[[#This Row],[E1_UoM]]</f>
        <v>Mg</v>
      </c>
      <c r="AE418" s="19">
        <f>_xlfn.XLOOKUP(Tab_Data_Flows[[#This Row],[Flow_Name]],Tab_Def_Flows[Flow_Name],Tab_Def_Flows[Flow_E4_Fraction'[%']],"N.A.",0,1)</f>
        <v>0</v>
      </c>
      <c r="AF418" s="2">
        <f>IF(H418="Yes",Tab_Data_Flows[[#This Row],[E4_Fraction'[%']]]*Tab_Data_Flows[[#This Row],[E1_value]],"N.A.")</f>
        <v>0</v>
      </c>
      <c r="AG418" s="2" t="str">
        <f>Tab_Data_Flows[[#This Row],[E1_UoM]]</f>
        <v>Mg</v>
      </c>
      <c r="AH418" s="2">
        <f>_xlfn.XLOOKUP(Tab_Data_Flows[[#This Row],[Flow_Name]],Tab_Def_Flows[Flow_Name],Tab_Def_Flows[Flow_E5_Fraction'[%']],"N.A.",0,1)</f>
        <v>0</v>
      </c>
      <c r="AI418" s="2">
        <f>IF(H418="Yes",Tab_Data_Flows[[#This Row],[E5_Fraction'[%']]]*Tab_Data_Flows[[#This Row],[E1_value]],"N.A.")</f>
        <v>0</v>
      </c>
      <c r="AJ418" s="2" t="str">
        <f>Tab_Data_Flows[[#This Row],[E1_UoM]]</f>
        <v>Mg</v>
      </c>
      <c r="AK418" s="19">
        <f>_xlfn.XLOOKUP(Tab_Data_Flows[[#This Row],[Flow_Name]],Tab_Def_Flows[Flow_Name],Tab_Def_Flows[Flow_E6_Fraction'[%']],"N.A.",0,1)</f>
        <v>0</v>
      </c>
      <c r="AL418" s="2">
        <f>IF(Tab_Data_Flows[[#This Row],[Use_E6]]="Yes",Tab_Data_Flows[[#This Row],[E6_Fraction'[%']]]*Tab_Data_Flows[[#This Row],[E1_value]],"N.A.")</f>
        <v>0</v>
      </c>
      <c r="AM418" s="2" t="str">
        <f>Tab_Data_Flows[[#This Row],[E1_UoM]]</f>
        <v>Mg</v>
      </c>
    </row>
    <row r="419" spans="1:39" x14ac:dyDescent="0.25">
      <c r="A419" s="4">
        <f t="shared" si="12"/>
        <v>418</v>
      </c>
      <c r="B419" s="2" t="str">
        <f>_xlfn.XLOOKUP(C419,Tab_Def_Flows[Flow_Name],Tab_Def_Flows[Flow_ID],,0,)</f>
        <v>F__</v>
      </c>
      <c r="C419" s="18" t="s">
        <v>5</v>
      </c>
      <c r="D419" s="5" t="str">
        <f>_xlfn.XLOOKUP(C419,Tab_Def_Flows[Flow_Name],Tab_Def_Flows[Use_E1],,0,)</f>
        <v>Yes</v>
      </c>
      <c r="E419" s="5" t="str">
        <f>_xlfn.XLOOKUP(C419,Tab_Def_Flows[Flow_Name],Tab_Def_Flows[Use_E2],,0,)</f>
        <v>Yes</v>
      </c>
      <c r="F419" s="5" t="str">
        <f>_xlfn.XLOOKUP(C419,Tab_Def_Flows[Flow_Name],Tab_Def_Flows[Use_E3],,0,)</f>
        <v>Yes</v>
      </c>
      <c r="G419" s="5" t="str">
        <f>_xlfn.XLOOKUP(C419,Tab_Def_Flows[Flow_Name],Tab_Def_Flows[Use_E4],,0,)</f>
        <v>Yes</v>
      </c>
      <c r="H419" s="5" t="str">
        <f>_xlfn.XLOOKUP(C419,Tab_Def_Flows[Flow_Name],Tab_Def_Flows[Use_E5],,0,)</f>
        <v>Yes</v>
      </c>
      <c r="I419" s="5" t="str">
        <f>_xlfn.XLOOKUP(C419,Tab_Def_Flows[Flow_Name],Tab_Def_Flows[Use_E6],,0,)</f>
        <v>Yes</v>
      </c>
      <c r="J419" s="3"/>
      <c r="K419" s="3"/>
      <c r="L419" s="2" t="str">
        <f>'0_Configuration'!$C$41</f>
        <v>Mg</v>
      </c>
      <c r="M419" s="9"/>
      <c r="N419" s="9"/>
      <c r="O419" s="9"/>
      <c r="P419" s="9"/>
      <c r="Q419" s="18" t="s">
        <v>3</v>
      </c>
      <c r="R419" s="3"/>
      <c r="S419" s="3"/>
      <c r="T419" s="9"/>
      <c r="U419" s="9"/>
      <c r="V419" s="2">
        <f>_xlfn.XLOOKUP(Tab_Data_Flows[[#This Row],[Flow_Name]],Tab_Def_Flows[Flow_Name],Tab_Def_Flows[Flow_E1_Fraction'[%']],"N.A.",0,1)</f>
        <v>0</v>
      </c>
      <c r="W419" s="8">
        <f t="shared" si="14"/>
        <v>0</v>
      </c>
      <c r="X419" s="2" t="str">
        <f>Tab_Data_Flows[[#This Row],[UoM_Source]]</f>
        <v>Mg</v>
      </c>
      <c r="Y419" s="19">
        <f>_xlfn.XLOOKUP(Tab_Data_Flows[[#This Row],[Flow_Name]],Tab_Def_Flows[Flow_Name],Tab_Def_Flows[Flow_E2_Fraction'[%']],"N.A.",0,1)</f>
        <v>0</v>
      </c>
      <c r="Z419" s="2">
        <f>IF(D419="Yes",W419*Tab_Data_Flows[[#This Row],[E2_Fraction'[%']]],"N.A.")</f>
        <v>0</v>
      </c>
      <c r="AA419" s="2" t="str">
        <f>Tab_Data_Flows[[#This Row],[E1_UoM]]</f>
        <v>Mg</v>
      </c>
      <c r="AB419" s="19">
        <f>_xlfn.XLOOKUP(Tab_Data_Flows[[#This Row],[Flow_Name]],Tab_Def_Flows[Flow_Name],Tab_Def_Flows[Flow_E3_Fraction'[%']],"N.A.",0,1)</f>
        <v>0</v>
      </c>
      <c r="AC419" s="2">
        <f>IF(E419="Yes",AB419*Tab_Data_Flows[[#This Row],[E1_value]],"N.A.")</f>
        <v>0</v>
      </c>
      <c r="AD419" s="2" t="str">
        <f>Tab_Data_Flows[[#This Row],[E1_UoM]]</f>
        <v>Mg</v>
      </c>
      <c r="AE419" s="19">
        <f>_xlfn.XLOOKUP(Tab_Data_Flows[[#This Row],[Flow_Name]],Tab_Def_Flows[Flow_Name],Tab_Def_Flows[Flow_E4_Fraction'[%']],"N.A.",0,1)</f>
        <v>0</v>
      </c>
      <c r="AF419" s="2">
        <f>IF(H419="Yes",Tab_Data_Flows[[#This Row],[E4_Fraction'[%']]]*Tab_Data_Flows[[#This Row],[E1_value]],"N.A.")</f>
        <v>0</v>
      </c>
      <c r="AG419" s="2" t="str">
        <f>Tab_Data_Flows[[#This Row],[E1_UoM]]</f>
        <v>Mg</v>
      </c>
      <c r="AH419" s="2">
        <f>_xlfn.XLOOKUP(Tab_Data_Flows[[#This Row],[Flow_Name]],Tab_Def_Flows[Flow_Name],Tab_Def_Flows[Flow_E5_Fraction'[%']],"N.A.",0,1)</f>
        <v>0</v>
      </c>
      <c r="AI419" s="2">
        <f>IF(H419="Yes",Tab_Data_Flows[[#This Row],[E5_Fraction'[%']]]*Tab_Data_Flows[[#This Row],[E1_value]],"N.A.")</f>
        <v>0</v>
      </c>
      <c r="AJ419" s="2" t="str">
        <f>Tab_Data_Flows[[#This Row],[E1_UoM]]</f>
        <v>Mg</v>
      </c>
      <c r="AK419" s="19">
        <f>_xlfn.XLOOKUP(Tab_Data_Flows[[#This Row],[Flow_Name]],Tab_Def_Flows[Flow_Name],Tab_Def_Flows[Flow_E6_Fraction'[%']],"N.A.",0,1)</f>
        <v>0</v>
      </c>
      <c r="AL419" s="2">
        <f>IF(Tab_Data_Flows[[#This Row],[Use_E6]]="Yes",Tab_Data_Flows[[#This Row],[E6_Fraction'[%']]]*Tab_Data_Flows[[#This Row],[E1_value]],"N.A.")</f>
        <v>0</v>
      </c>
      <c r="AM419" s="2" t="str">
        <f>Tab_Data_Flows[[#This Row],[E1_UoM]]</f>
        <v>Mg</v>
      </c>
    </row>
    <row r="420" spans="1:39" x14ac:dyDescent="0.25">
      <c r="A420" s="4">
        <f t="shared" si="12"/>
        <v>419</v>
      </c>
      <c r="B420" s="2" t="str">
        <f>_xlfn.XLOOKUP(C420,Tab_Def_Flows[Flow_Name],Tab_Def_Flows[Flow_ID],,0,)</f>
        <v>F__</v>
      </c>
      <c r="C420" s="18" t="s">
        <v>5</v>
      </c>
      <c r="D420" s="5" t="str">
        <f>_xlfn.XLOOKUP(C420,Tab_Def_Flows[Flow_Name],Tab_Def_Flows[Use_E1],,0,)</f>
        <v>Yes</v>
      </c>
      <c r="E420" s="5" t="str">
        <f>_xlfn.XLOOKUP(C420,Tab_Def_Flows[Flow_Name],Tab_Def_Flows[Use_E2],,0,)</f>
        <v>Yes</v>
      </c>
      <c r="F420" s="5" t="str">
        <f>_xlfn.XLOOKUP(C420,Tab_Def_Flows[Flow_Name],Tab_Def_Flows[Use_E3],,0,)</f>
        <v>Yes</v>
      </c>
      <c r="G420" s="5" t="str">
        <f>_xlfn.XLOOKUP(C420,Tab_Def_Flows[Flow_Name],Tab_Def_Flows[Use_E4],,0,)</f>
        <v>Yes</v>
      </c>
      <c r="H420" s="5" t="str">
        <f>_xlfn.XLOOKUP(C420,Tab_Def_Flows[Flow_Name],Tab_Def_Flows[Use_E5],,0,)</f>
        <v>Yes</v>
      </c>
      <c r="I420" s="5" t="str">
        <f>_xlfn.XLOOKUP(C420,Tab_Def_Flows[Flow_Name],Tab_Def_Flows[Use_E6],,0,)</f>
        <v>Yes</v>
      </c>
      <c r="J420" s="3"/>
      <c r="K420" s="3"/>
      <c r="L420" s="2" t="str">
        <f>'0_Configuration'!$C$41</f>
        <v>Mg</v>
      </c>
      <c r="M420" s="9"/>
      <c r="N420" s="9"/>
      <c r="O420" s="9"/>
      <c r="P420" s="9"/>
      <c r="Q420" s="18" t="s">
        <v>3</v>
      </c>
      <c r="R420" s="3"/>
      <c r="S420" s="3"/>
      <c r="T420" s="9"/>
      <c r="U420" s="9"/>
      <c r="V420" s="2">
        <f>_xlfn.XLOOKUP(Tab_Data_Flows[[#This Row],[Flow_Name]],Tab_Def_Flows[Flow_Name],Tab_Def_Flows[Flow_E1_Fraction'[%']],"N.A.",0,1)</f>
        <v>0</v>
      </c>
      <c r="W420" s="8">
        <f t="shared" si="14"/>
        <v>0</v>
      </c>
      <c r="X420" s="2" t="str">
        <f>Tab_Data_Flows[[#This Row],[UoM_Source]]</f>
        <v>Mg</v>
      </c>
      <c r="Y420" s="19">
        <f>_xlfn.XLOOKUP(Tab_Data_Flows[[#This Row],[Flow_Name]],Tab_Def_Flows[Flow_Name],Tab_Def_Flows[Flow_E2_Fraction'[%']],"N.A.",0,1)</f>
        <v>0</v>
      </c>
      <c r="Z420" s="2">
        <f>IF(D420="Yes",W420*Tab_Data_Flows[[#This Row],[E2_Fraction'[%']]],"N.A.")</f>
        <v>0</v>
      </c>
      <c r="AA420" s="2" t="str">
        <f>Tab_Data_Flows[[#This Row],[E1_UoM]]</f>
        <v>Mg</v>
      </c>
      <c r="AB420" s="19">
        <f>_xlfn.XLOOKUP(Tab_Data_Flows[[#This Row],[Flow_Name]],Tab_Def_Flows[Flow_Name],Tab_Def_Flows[Flow_E3_Fraction'[%']],"N.A.",0,1)</f>
        <v>0</v>
      </c>
      <c r="AC420" s="2">
        <f>IF(E420="Yes",AB420*Tab_Data_Flows[[#This Row],[E1_value]],"N.A.")</f>
        <v>0</v>
      </c>
      <c r="AD420" s="2" t="str">
        <f>Tab_Data_Flows[[#This Row],[E1_UoM]]</f>
        <v>Mg</v>
      </c>
      <c r="AE420" s="19">
        <f>_xlfn.XLOOKUP(Tab_Data_Flows[[#This Row],[Flow_Name]],Tab_Def_Flows[Flow_Name],Tab_Def_Flows[Flow_E4_Fraction'[%']],"N.A.",0,1)</f>
        <v>0</v>
      </c>
      <c r="AF420" s="2">
        <f>IF(H420="Yes",Tab_Data_Flows[[#This Row],[E4_Fraction'[%']]]*Tab_Data_Flows[[#This Row],[E1_value]],"N.A.")</f>
        <v>0</v>
      </c>
      <c r="AG420" s="2" t="str">
        <f>Tab_Data_Flows[[#This Row],[E1_UoM]]</f>
        <v>Mg</v>
      </c>
      <c r="AH420" s="2">
        <f>_xlfn.XLOOKUP(Tab_Data_Flows[[#This Row],[Flow_Name]],Tab_Def_Flows[Flow_Name],Tab_Def_Flows[Flow_E5_Fraction'[%']],"N.A.",0,1)</f>
        <v>0</v>
      </c>
      <c r="AI420" s="2">
        <f>IF(H420="Yes",Tab_Data_Flows[[#This Row],[E5_Fraction'[%']]]*Tab_Data_Flows[[#This Row],[E1_value]],"N.A.")</f>
        <v>0</v>
      </c>
      <c r="AJ420" s="2" t="str">
        <f>Tab_Data_Flows[[#This Row],[E1_UoM]]</f>
        <v>Mg</v>
      </c>
      <c r="AK420" s="19">
        <f>_xlfn.XLOOKUP(Tab_Data_Flows[[#This Row],[Flow_Name]],Tab_Def_Flows[Flow_Name],Tab_Def_Flows[Flow_E6_Fraction'[%']],"N.A.",0,1)</f>
        <v>0</v>
      </c>
      <c r="AL420" s="2">
        <f>IF(Tab_Data_Flows[[#This Row],[Use_E6]]="Yes",Tab_Data_Flows[[#This Row],[E6_Fraction'[%']]]*Tab_Data_Flows[[#This Row],[E1_value]],"N.A.")</f>
        <v>0</v>
      </c>
      <c r="AM420" s="2" t="str">
        <f>Tab_Data_Flows[[#This Row],[E1_UoM]]</f>
        <v>Mg</v>
      </c>
    </row>
    <row r="421" spans="1:39" x14ac:dyDescent="0.25">
      <c r="A421" s="4">
        <f t="shared" si="12"/>
        <v>420</v>
      </c>
      <c r="B421" s="2" t="str">
        <f>_xlfn.XLOOKUP(C421,Tab_Def_Flows[Flow_Name],Tab_Def_Flows[Flow_ID],,0,)</f>
        <v>F__</v>
      </c>
      <c r="C421" s="18" t="s">
        <v>5</v>
      </c>
      <c r="D421" s="5" t="str">
        <f>_xlfn.XLOOKUP(C421,Tab_Def_Flows[Flow_Name],Tab_Def_Flows[Use_E1],,0,)</f>
        <v>Yes</v>
      </c>
      <c r="E421" s="5" t="str">
        <f>_xlfn.XLOOKUP(C421,Tab_Def_Flows[Flow_Name],Tab_Def_Flows[Use_E2],,0,)</f>
        <v>Yes</v>
      </c>
      <c r="F421" s="5" t="str">
        <f>_xlfn.XLOOKUP(C421,Tab_Def_Flows[Flow_Name],Tab_Def_Flows[Use_E3],,0,)</f>
        <v>Yes</v>
      </c>
      <c r="G421" s="5" t="str">
        <f>_xlfn.XLOOKUP(C421,Tab_Def_Flows[Flow_Name],Tab_Def_Flows[Use_E4],,0,)</f>
        <v>Yes</v>
      </c>
      <c r="H421" s="5" t="str">
        <f>_xlfn.XLOOKUP(C421,Tab_Def_Flows[Flow_Name],Tab_Def_Flows[Use_E5],,0,)</f>
        <v>Yes</v>
      </c>
      <c r="I421" s="5" t="str">
        <f>_xlfn.XLOOKUP(C421,Tab_Def_Flows[Flow_Name],Tab_Def_Flows[Use_E6],,0,)</f>
        <v>Yes</v>
      </c>
      <c r="J421" s="3"/>
      <c r="K421" s="3"/>
      <c r="L421" s="2" t="str">
        <f>'0_Configuration'!$C$41</f>
        <v>Mg</v>
      </c>
      <c r="M421" s="9"/>
      <c r="N421" s="9"/>
      <c r="O421" s="9"/>
      <c r="P421" s="9"/>
      <c r="Q421" s="18" t="s">
        <v>3</v>
      </c>
      <c r="R421" s="3"/>
      <c r="S421" s="3"/>
      <c r="T421" s="9"/>
      <c r="U421" s="9"/>
      <c r="V421" s="2">
        <f>_xlfn.XLOOKUP(Tab_Data_Flows[[#This Row],[Flow_Name]],Tab_Def_Flows[Flow_Name],Tab_Def_Flows[Flow_E1_Fraction'[%']],"N.A.",0,1)</f>
        <v>0</v>
      </c>
      <c r="W421" s="8">
        <f t="shared" si="14"/>
        <v>0</v>
      </c>
      <c r="X421" s="2" t="str">
        <f>Tab_Data_Flows[[#This Row],[UoM_Source]]</f>
        <v>Mg</v>
      </c>
      <c r="Y421" s="19">
        <f>_xlfn.XLOOKUP(Tab_Data_Flows[[#This Row],[Flow_Name]],Tab_Def_Flows[Flow_Name],Tab_Def_Flows[Flow_E2_Fraction'[%']],"N.A.",0,1)</f>
        <v>0</v>
      </c>
      <c r="Z421" s="2">
        <f>IF(D421="Yes",W421*Tab_Data_Flows[[#This Row],[E2_Fraction'[%']]],"N.A.")</f>
        <v>0</v>
      </c>
      <c r="AA421" s="2" t="str">
        <f>Tab_Data_Flows[[#This Row],[E1_UoM]]</f>
        <v>Mg</v>
      </c>
      <c r="AB421" s="19">
        <f>_xlfn.XLOOKUP(Tab_Data_Flows[[#This Row],[Flow_Name]],Tab_Def_Flows[Flow_Name],Tab_Def_Flows[Flow_E3_Fraction'[%']],"N.A.",0,1)</f>
        <v>0</v>
      </c>
      <c r="AC421" s="2">
        <f>IF(E421="Yes",AB421*Tab_Data_Flows[[#This Row],[E1_value]],"N.A.")</f>
        <v>0</v>
      </c>
      <c r="AD421" s="2" t="str">
        <f>Tab_Data_Flows[[#This Row],[E1_UoM]]</f>
        <v>Mg</v>
      </c>
      <c r="AE421" s="19">
        <f>_xlfn.XLOOKUP(Tab_Data_Flows[[#This Row],[Flow_Name]],Tab_Def_Flows[Flow_Name],Tab_Def_Flows[Flow_E4_Fraction'[%']],"N.A.",0,1)</f>
        <v>0</v>
      </c>
      <c r="AF421" s="2">
        <f>IF(H421="Yes",Tab_Data_Flows[[#This Row],[E4_Fraction'[%']]]*Tab_Data_Flows[[#This Row],[E1_value]],"N.A.")</f>
        <v>0</v>
      </c>
      <c r="AG421" s="2" t="str">
        <f>Tab_Data_Flows[[#This Row],[E1_UoM]]</f>
        <v>Mg</v>
      </c>
      <c r="AH421" s="2">
        <f>_xlfn.XLOOKUP(Tab_Data_Flows[[#This Row],[Flow_Name]],Tab_Def_Flows[Flow_Name],Tab_Def_Flows[Flow_E5_Fraction'[%']],"N.A.",0,1)</f>
        <v>0</v>
      </c>
      <c r="AI421" s="2">
        <f>IF(H421="Yes",Tab_Data_Flows[[#This Row],[E5_Fraction'[%']]]*Tab_Data_Flows[[#This Row],[E1_value]],"N.A.")</f>
        <v>0</v>
      </c>
      <c r="AJ421" s="2" t="str">
        <f>Tab_Data_Flows[[#This Row],[E1_UoM]]</f>
        <v>Mg</v>
      </c>
      <c r="AK421" s="19">
        <f>_xlfn.XLOOKUP(Tab_Data_Flows[[#This Row],[Flow_Name]],Tab_Def_Flows[Flow_Name],Tab_Def_Flows[Flow_E6_Fraction'[%']],"N.A.",0,1)</f>
        <v>0</v>
      </c>
      <c r="AL421" s="2">
        <f>IF(Tab_Data_Flows[[#This Row],[Use_E6]]="Yes",Tab_Data_Flows[[#This Row],[E6_Fraction'[%']]]*Tab_Data_Flows[[#This Row],[E1_value]],"N.A.")</f>
        <v>0</v>
      </c>
      <c r="AM421" s="2" t="str">
        <f>Tab_Data_Flows[[#This Row],[E1_UoM]]</f>
        <v>Mg</v>
      </c>
    </row>
    <row r="422" spans="1:39" x14ac:dyDescent="0.25">
      <c r="A422" s="4">
        <f t="shared" si="12"/>
        <v>421</v>
      </c>
      <c r="B422" s="2" t="str">
        <f>_xlfn.XLOOKUP(C422,Tab_Def_Flows[Flow_Name],Tab_Def_Flows[Flow_ID],,0,)</f>
        <v>F__</v>
      </c>
      <c r="C422" s="18" t="s">
        <v>5</v>
      </c>
      <c r="D422" s="5" t="str">
        <f>_xlfn.XLOOKUP(C422,Tab_Def_Flows[Flow_Name],Tab_Def_Flows[Use_E1],,0,)</f>
        <v>Yes</v>
      </c>
      <c r="E422" s="5" t="str">
        <f>_xlfn.XLOOKUP(C422,Tab_Def_Flows[Flow_Name],Tab_Def_Flows[Use_E2],,0,)</f>
        <v>Yes</v>
      </c>
      <c r="F422" s="5" t="str">
        <f>_xlfn.XLOOKUP(C422,Tab_Def_Flows[Flow_Name],Tab_Def_Flows[Use_E3],,0,)</f>
        <v>Yes</v>
      </c>
      <c r="G422" s="5" t="str">
        <f>_xlfn.XLOOKUP(C422,Tab_Def_Flows[Flow_Name],Tab_Def_Flows[Use_E4],,0,)</f>
        <v>Yes</v>
      </c>
      <c r="H422" s="5" t="str">
        <f>_xlfn.XLOOKUP(C422,Tab_Def_Flows[Flow_Name],Tab_Def_Flows[Use_E5],,0,)</f>
        <v>Yes</v>
      </c>
      <c r="I422" s="5" t="str">
        <f>_xlfn.XLOOKUP(C422,Tab_Def_Flows[Flow_Name],Tab_Def_Flows[Use_E6],,0,)</f>
        <v>Yes</v>
      </c>
      <c r="J422" s="3"/>
      <c r="K422" s="3"/>
      <c r="L422" s="2" t="str">
        <f>'0_Configuration'!$C$41</f>
        <v>Mg</v>
      </c>
      <c r="M422" s="9"/>
      <c r="N422" s="9"/>
      <c r="O422" s="9"/>
      <c r="P422" s="9"/>
      <c r="Q422" s="18" t="s">
        <v>3</v>
      </c>
      <c r="R422" s="3"/>
      <c r="S422" s="3"/>
      <c r="T422" s="9"/>
      <c r="U422" s="9"/>
      <c r="V422" s="2">
        <f>_xlfn.XLOOKUP(Tab_Data_Flows[[#This Row],[Flow_Name]],Tab_Def_Flows[Flow_Name],Tab_Def_Flows[Flow_E1_Fraction'[%']],"N.A.",0,1)</f>
        <v>0</v>
      </c>
      <c r="W422" s="8">
        <f t="shared" si="14"/>
        <v>0</v>
      </c>
      <c r="X422" s="2" t="str">
        <f>Tab_Data_Flows[[#This Row],[UoM_Source]]</f>
        <v>Mg</v>
      </c>
      <c r="Y422" s="19">
        <f>_xlfn.XLOOKUP(Tab_Data_Flows[[#This Row],[Flow_Name]],Tab_Def_Flows[Flow_Name],Tab_Def_Flows[Flow_E2_Fraction'[%']],"N.A.",0,1)</f>
        <v>0</v>
      </c>
      <c r="Z422" s="2">
        <f>IF(D422="Yes",W422*Tab_Data_Flows[[#This Row],[E2_Fraction'[%']]],"N.A.")</f>
        <v>0</v>
      </c>
      <c r="AA422" s="2" t="str">
        <f>Tab_Data_Flows[[#This Row],[E1_UoM]]</f>
        <v>Mg</v>
      </c>
      <c r="AB422" s="19">
        <f>_xlfn.XLOOKUP(Tab_Data_Flows[[#This Row],[Flow_Name]],Tab_Def_Flows[Flow_Name],Tab_Def_Flows[Flow_E3_Fraction'[%']],"N.A.",0,1)</f>
        <v>0</v>
      </c>
      <c r="AC422" s="2">
        <f>IF(E422="Yes",AB422*Tab_Data_Flows[[#This Row],[E1_value]],"N.A.")</f>
        <v>0</v>
      </c>
      <c r="AD422" s="2" t="str">
        <f>Tab_Data_Flows[[#This Row],[E1_UoM]]</f>
        <v>Mg</v>
      </c>
      <c r="AE422" s="19">
        <f>_xlfn.XLOOKUP(Tab_Data_Flows[[#This Row],[Flow_Name]],Tab_Def_Flows[Flow_Name],Tab_Def_Flows[Flow_E4_Fraction'[%']],"N.A.",0,1)</f>
        <v>0</v>
      </c>
      <c r="AF422" s="2">
        <f>IF(H422="Yes",Tab_Data_Flows[[#This Row],[E4_Fraction'[%']]]*Tab_Data_Flows[[#This Row],[E1_value]],"N.A.")</f>
        <v>0</v>
      </c>
      <c r="AG422" s="2" t="str">
        <f>Tab_Data_Flows[[#This Row],[E1_UoM]]</f>
        <v>Mg</v>
      </c>
      <c r="AH422" s="2">
        <f>_xlfn.XLOOKUP(Tab_Data_Flows[[#This Row],[Flow_Name]],Tab_Def_Flows[Flow_Name],Tab_Def_Flows[Flow_E5_Fraction'[%']],"N.A.",0,1)</f>
        <v>0</v>
      </c>
      <c r="AI422" s="2">
        <f>IF(H422="Yes",Tab_Data_Flows[[#This Row],[E5_Fraction'[%']]]*Tab_Data_Flows[[#This Row],[E1_value]],"N.A.")</f>
        <v>0</v>
      </c>
      <c r="AJ422" s="2" t="str">
        <f>Tab_Data_Flows[[#This Row],[E1_UoM]]</f>
        <v>Mg</v>
      </c>
      <c r="AK422" s="19">
        <f>_xlfn.XLOOKUP(Tab_Data_Flows[[#This Row],[Flow_Name]],Tab_Def_Flows[Flow_Name],Tab_Def_Flows[Flow_E6_Fraction'[%']],"N.A.",0,1)</f>
        <v>0</v>
      </c>
      <c r="AL422" s="2">
        <f>IF(Tab_Data_Flows[[#This Row],[Use_E6]]="Yes",Tab_Data_Flows[[#This Row],[E6_Fraction'[%']]]*Tab_Data_Flows[[#This Row],[E1_value]],"N.A.")</f>
        <v>0</v>
      </c>
      <c r="AM422" s="2" t="str">
        <f>Tab_Data_Flows[[#This Row],[E1_UoM]]</f>
        <v>Mg</v>
      </c>
    </row>
    <row r="423" spans="1:39" x14ac:dyDescent="0.25">
      <c r="A423" s="4">
        <f t="shared" si="12"/>
        <v>422</v>
      </c>
      <c r="B423" s="2" t="str">
        <f>_xlfn.XLOOKUP(C423,Tab_Def_Flows[Flow_Name],Tab_Def_Flows[Flow_ID],,0,)</f>
        <v>F__</v>
      </c>
      <c r="C423" s="18" t="s">
        <v>5</v>
      </c>
      <c r="D423" s="5" t="str">
        <f>_xlfn.XLOOKUP(C423,Tab_Def_Flows[Flow_Name],Tab_Def_Flows[Use_E1],,0,)</f>
        <v>Yes</v>
      </c>
      <c r="E423" s="5" t="str">
        <f>_xlfn.XLOOKUP(C423,Tab_Def_Flows[Flow_Name],Tab_Def_Flows[Use_E2],,0,)</f>
        <v>Yes</v>
      </c>
      <c r="F423" s="5" t="str">
        <f>_xlfn.XLOOKUP(C423,Tab_Def_Flows[Flow_Name],Tab_Def_Flows[Use_E3],,0,)</f>
        <v>Yes</v>
      </c>
      <c r="G423" s="5" t="str">
        <f>_xlfn.XLOOKUP(C423,Tab_Def_Flows[Flow_Name],Tab_Def_Flows[Use_E4],,0,)</f>
        <v>Yes</v>
      </c>
      <c r="H423" s="5" t="str">
        <f>_xlfn.XLOOKUP(C423,Tab_Def_Flows[Flow_Name],Tab_Def_Flows[Use_E5],,0,)</f>
        <v>Yes</v>
      </c>
      <c r="I423" s="5" t="str">
        <f>_xlfn.XLOOKUP(C423,Tab_Def_Flows[Flow_Name],Tab_Def_Flows[Use_E6],,0,)</f>
        <v>Yes</v>
      </c>
      <c r="J423" s="3"/>
      <c r="K423" s="3"/>
      <c r="L423" s="2" t="str">
        <f>'0_Configuration'!$C$41</f>
        <v>Mg</v>
      </c>
      <c r="M423" s="9"/>
      <c r="N423" s="9"/>
      <c r="O423" s="9"/>
      <c r="P423" s="9"/>
      <c r="Q423" s="18" t="s">
        <v>3</v>
      </c>
      <c r="R423" s="3"/>
      <c r="S423" s="3"/>
      <c r="T423" s="9"/>
      <c r="U423" s="9"/>
      <c r="V423" s="2">
        <f>_xlfn.XLOOKUP(Tab_Data_Flows[[#This Row],[Flow_Name]],Tab_Def_Flows[Flow_Name],Tab_Def_Flows[Flow_E1_Fraction'[%']],"N.A.",0,1)</f>
        <v>0</v>
      </c>
      <c r="W423" s="8">
        <f t="shared" si="14"/>
        <v>0</v>
      </c>
      <c r="X423" s="2" t="str">
        <f>Tab_Data_Flows[[#This Row],[UoM_Source]]</f>
        <v>Mg</v>
      </c>
      <c r="Y423" s="19">
        <f>_xlfn.XLOOKUP(Tab_Data_Flows[[#This Row],[Flow_Name]],Tab_Def_Flows[Flow_Name],Tab_Def_Flows[Flow_E2_Fraction'[%']],"N.A.",0,1)</f>
        <v>0</v>
      </c>
      <c r="Z423" s="2">
        <f>IF(D423="Yes",W423*Tab_Data_Flows[[#This Row],[E2_Fraction'[%']]],"N.A.")</f>
        <v>0</v>
      </c>
      <c r="AA423" s="2" t="str">
        <f>Tab_Data_Flows[[#This Row],[E1_UoM]]</f>
        <v>Mg</v>
      </c>
      <c r="AB423" s="19">
        <f>_xlfn.XLOOKUP(Tab_Data_Flows[[#This Row],[Flow_Name]],Tab_Def_Flows[Flow_Name],Tab_Def_Flows[Flow_E3_Fraction'[%']],"N.A.",0,1)</f>
        <v>0</v>
      </c>
      <c r="AC423" s="2">
        <f>IF(E423="Yes",AB423*Tab_Data_Flows[[#This Row],[E1_value]],"N.A.")</f>
        <v>0</v>
      </c>
      <c r="AD423" s="2" t="str">
        <f>Tab_Data_Flows[[#This Row],[E1_UoM]]</f>
        <v>Mg</v>
      </c>
      <c r="AE423" s="19">
        <f>_xlfn.XLOOKUP(Tab_Data_Flows[[#This Row],[Flow_Name]],Tab_Def_Flows[Flow_Name],Tab_Def_Flows[Flow_E4_Fraction'[%']],"N.A.",0,1)</f>
        <v>0</v>
      </c>
      <c r="AF423" s="2">
        <f>IF(H423="Yes",Tab_Data_Flows[[#This Row],[E4_Fraction'[%']]]*Tab_Data_Flows[[#This Row],[E1_value]],"N.A.")</f>
        <v>0</v>
      </c>
      <c r="AG423" s="2" t="str">
        <f>Tab_Data_Flows[[#This Row],[E1_UoM]]</f>
        <v>Mg</v>
      </c>
      <c r="AH423" s="2">
        <f>_xlfn.XLOOKUP(Tab_Data_Flows[[#This Row],[Flow_Name]],Tab_Def_Flows[Flow_Name],Tab_Def_Flows[Flow_E5_Fraction'[%']],"N.A.",0,1)</f>
        <v>0</v>
      </c>
      <c r="AI423" s="2">
        <f>IF(H423="Yes",Tab_Data_Flows[[#This Row],[E5_Fraction'[%']]]*Tab_Data_Flows[[#This Row],[E1_value]],"N.A.")</f>
        <v>0</v>
      </c>
      <c r="AJ423" s="2" t="str">
        <f>Tab_Data_Flows[[#This Row],[E1_UoM]]</f>
        <v>Mg</v>
      </c>
      <c r="AK423" s="19">
        <f>_xlfn.XLOOKUP(Tab_Data_Flows[[#This Row],[Flow_Name]],Tab_Def_Flows[Flow_Name],Tab_Def_Flows[Flow_E6_Fraction'[%']],"N.A.",0,1)</f>
        <v>0</v>
      </c>
      <c r="AL423" s="2">
        <f>IF(Tab_Data_Flows[[#This Row],[Use_E6]]="Yes",Tab_Data_Flows[[#This Row],[E6_Fraction'[%']]]*Tab_Data_Flows[[#This Row],[E1_value]],"N.A.")</f>
        <v>0</v>
      </c>
      <c r="AM423" s="2" t="str">
        <f>Tab_Data_Flows[[#This Row],[E1_UoM]]</f>
        <v>Mg</v>
      </c>
    </row>
    <row r="424" spans="1:39" x14ac:dyDescent="0.25">
      <c r="A424" s="4">
        <f t="shared" si="12"/>
        <v>423</v>
      </c>
      <c r="B424" s="2" t="str">
        <f>_xlfn.XLOOKUP(C424,Tab_Def_Flows[Flow_Name],Tab_Def_Flows[Flow_ID],,0,)</f>
        <v>F__</v>
      </c>
      <c r="C424" s="18" t="s">
        <v>5</v>
      </c>
      <c r="D424" s="5" t="str">
        <f>_xlfn.XLOOKUP(C424,Tab_Def_Flows[Flow_Name],Tab_Def_Flows[Use_E1],,0,)</f>
        <v>Yes</v>
      </c>
      <c r="E424" s="5" t="str">
        <f>_xlfn.XLOOKUP(C424,Tab_Def_Flows[Flow_Name],Tab_Def_Flows[Use_E2],,0,)</f>
        <v>Yes</v>
      </c>
      <c r="F424" s="5" t="str">
        <f>_xlfn.XLOOKUP(C424,Tab_Def_Flows[Flow_Name],Tab_Def_Flows[Use_E3],,0,)</f>
        <v>Yes</v>
      </c>
      <c r="G424" s="5" t="str">
        <f>_xlfn.XLOOKUP(C424,Tab_Def_Flows[Flow_Name],Tab_Def_Flows[Use_E4],,0,)</f>
        <v>Yes</v>
      </c>
      <c r="H424" s="5" t="str">
        <f>_xlfn.XLOOKUP(C424,Tab_Def_Flows[Flow_Name],Tab_Def_Flows[Use_E5],,0,)</f>
        <v>Yes</v>
      </c>
      <c r="I424" s="5" t="str">
        <f>_xlfn.XLOOKUP(C424,Tab_Def_Flows[Flow_Name],Tab_Def_Flows[Use_E6],,0,)</f>
        <v>Yes</v>
      </c>
      <c r="J424" s="3"/>
      <c r="K424" s="3"/>
      <c r="L424" s="2" t="str">
        <f>'0_Configuration'!$C$41</f>
        <v>Mg</v>
      </c>
      <c r="M424" s="9"/>
      <c r="N424" s="9"/>
      <c r="O424" s="9"/>
      <c r="P424" s="9"/>
      <c r="Q424" s="18" t="s">
        <v>3</v>
      </c>
      <c r="R424" s="3"/>
      <c r="S424" s="3"/>
      <c r="T424" s="9"/>
      <c r="U424" s="9"/>
      <c r="V424" s="2">
        <f>_xlfn.XLOOKUP(Tab_Data_Flows[[#This Row],[Flow_Name]],Tab_Def_Flows[Flow_Name],Tab_Def_Flows[Flow_E1_Fraction'[%']],"N.A.",0,1)</f>
        <v>0</v>
      </c>
      <c r="W424" s="8">
        <f t="shared" si="14"/>
        <v>0</v>
      </c>
      <c r="X424" s="2" t="str">
        <f>Tab_Data_Flows[[#This Row],[UoM_Source]]</f>
        <v>Mg</v>
      </c>
      <c r="Y424" s="19">
        <f>_xlfn.XLOOKUP(Tab_Data_Flows[[#This Row],[Flow_Name]],Tab_Def_Flows[Flow_Name],Tab_Def_Flows[Flow_E2_Fraction'[%']],"N.A.",0,1)</f>
        <v>0</v>
      </c>
      <c r="Z424" s="2">
        <f>IF(D424="Yes",W424*Tab_Data_Flows[[#This Row],[E2_Fraction'[%']]],"N.A.")</f>
        <v>0</v>
      </c>
      <c r="AA424" s="2" t="str">
        <f>Tab_Data_Flows[[#This Row],[E1_UoM]]</f>
        <v>Mg</v>
      </c>
      <c r="AB424" s="19">
        <f>_xlfn.XLOOKUP(Tab_Data_Flows[[#This Row],[Flow_Name]],Tab_Def_Flows[Flow_Name],Tab_Def_Flows[Flow_E3_Fraction'[%']],"N.A.",0,1)</f>
        <v>0</v>
      </c>
      <c r="AC424" s="2">
        <f>IF(E424="Yes",AB424*Tab_Data_Flows[[#This Row],[E1_value]],"N.A.")</f>
        <v>0</v>
      </c>
      <c r="AD424" s="2" t="str">
        <f>Tab_Data_Flows[[#This Row],[E1_UoM]]</f>
        <v>Mg</v>
      </c>
      <c r="AE424" s="19">
        <f>_xlfn.XLOOKUP(Tab_Data_Flows[[#This Row],[Flow_Name]],Tab_Def_Flows[Flow_Name],Tab_Def_Flows[Flow_E4_Fraction'[%']],"N.A.",0,1)</f>
        <v>0</v>
      </c>
      <c r="AF424" s="2">
        <f>IF(H424="Yes",Tab_Data_Flows[[#This Row],[E4_Fraction'[%']]]*Tab_Data_Flows[[#This Row],[E1_value]],"N.A.")</f>
        <v>0</v>
      </c>
      <c r="AG424" s="2" t="str">
        <f>Tab_Data_Flows[[#This Row],[E1_UoM]]</f>
        <v>Mg</v>
      </c>
      <c r="AH424" s="2">
        <f>_xlfn.XLOOKUP(Tab_Data_Flows[[#This Row],[Flow_Name]],Tab_Def_Flows[Flow_Name],Tab_Def_Flows[Flow_E5_Fraction'[%']],"N.A.",0,1)</f>
        <v>0</v>
      </c>
      <c r="AI424" s="2">
        <f>IF(H424="Yes",Tab_Data_Flows[[#This Row],[E5_Fraction'[%']]]*Tab_Data_Flows[[#This Row],[E1_value]],"N.A.")</f>
        <v>0</v>
      </c>
      <c r="AJ424" s="2" t="str">
        <f>Tab_Data_Flows[[#This Row],[E1_UoM]]</f>
        <v>Mg</v>
      </c>
      <c r="AK424" s="19">
        <f>_xlfn.XLOOKUP(Tab_Data_Flows[[#This Row],[Flow_Name]],Tab_Def_Flows[Flow_Name],Tab_Def_Flows[Flow_E6_Fraction'[%']],"N.A.",0,1)</f>
        <v>0</v>
      </c>
      <c r="AL424" s="2">
        <f>IF(Tab_Data_Flows[[#This Row],[Use_E6]]="Yes",Tab_Data_Flows[[#This Row],[E6_Fraction'[%']]]*Tab_Data_Flows[[#This Row],[E1_value]],"N.A.")</f>
        <v>0</v>
      </c>
      <c r="AM424" s="2" t="str">
        <f>Tab_Data_Flows[[#This Row],[E1_UoM]]</f>
        <v>Mg</v>
      </c>
    </row>
    <row r="425" spans="1:39" x14ac:dyDescent="0.25">
      <c r="A425" s="4">
        <f t="shared" si="12"/>
        <v>424</v>
      </c>
      <c r="B425" s="2" t="str">
        <f>_xlfn.XLOOKUP(C425,Tab_Def_Flows[Flow_Name],Tab_Def_Flows[Flow_ID],,0,)</f>
        <v>F__</v>
      </c>
      <c r="C425" s="18" t="s">
        <v>5</v>
      </c>
      <c r="D425" s="5" t="str">
        <f>_xlfn.XLOOKUP(C425,Tab_Def_Flows[Flow_Name],Tab_Def_Flows[Use_E1],,0,)</f>
        <v>Yes</v>
      </c>
      <c r="E425" s="5" t="str">
        <f>_xlfn.XLOOKUP(C425,Tab_Def_Flows[Flow_Name],Tab_Def_Flows[Use_E2],,0,)</f>
        <v>Yes</v>
      </c>
      <c r="F425" s="5" t="str">
        <f>_xlfn.XLOOKUP(C425,Tab_Def_Flows[Flow_Name],Tab_Def_Flows[Use_E3],,0,)</f>
        <v>Yes</v>
      </c>
      <c r="G425" s="5" t="str">
        <f>_xlfn.XLOOKUP(C425,Tab_Def_Flows[Flow_Name],Tab_Def_Flows[Use_E4],,0,)</f>
        <v>Yes</v>
      </c>
      <c r="H425" s="5" t="str">
        <f>_xlfn.XLOOKUP(C425,Tab_Def_Flows[Flow_Name],Tab_Def_Flows[Use_E5],,0,)</f>
        <v>Yes</v>
      </c>
      <c r="I425" s="5" t="str">
        <f>_xlfn.XLOOKUP(C425,Tab_Def_Flows[Flow_Name],Tab_Def_Flows[Use_E6],,0,)</f>
        <v>Yes</v>
      </c>
      <c r="J425" s="3"/>
      <c r="K425" s="3"/>
      <c r="L425" s="2" t="str">
        <f>'0_Configuration'!$C$41</f>
        <v>Mg</v>
      </c>
      <c r="M425" s="9"/>
      <c r="N425" s="9"/>
      <c r="O425" s="9"/>
      <c r="P425" s="9"/>
      <c r="Q425" s="18" t="s">
        <v>3</v>
      </c>
      <c r="R425" s="3"/>
      <c r="S425" s="3"/>
      <c r="T425" s="9"/>
      <c r="U425" s="9"/>
      <c r="V425" s="2">
        <f>_xlfn.XLOOKUP(Tab_Data_Flows[[#This Row],[Flow_Name]],Tab_Def_Flows[Flow_Name],Tab_Def_Flows[Flow_E1_Fraction'[%']],"N.A.",0,1)</f>
        <v>0</v>
      </c>
      <c r="W425" s="8">
        <f t="shared" si="14"/>
        <v>0</v>
      </c>
      <c r="X425" s="2" t="str">
        <f>Tab_Data_Flows[[#This Row],[UoM_Source]]</f>
        <v>Mg</v>
      </c>
      <c r="Y425" s="19">
        <f>_xlfn.XLOOKUP(Tab_Data_Flows[[#This Row],[Flow_Name]],Tab_Def_Flows[Flow_Name],Tab_Def_Flows[Flow_E2_Fraction'[%']],"N.A.",0,1)</f>
        <v>0</v>
      </c>
      <c r="Z425" s="2">
        <f>IF(D425="Yes",W425*Tab_Data_Flows[[#This Row],[E2_Fraction'[%']]],"N.A.")</f>
        <v>0</v>
      </c>
      <c r="AA425" s="2" t="str">
        <f>Tab_Data_Flows[[#This Row],[E1_UoM]]</f>
        <v>Mg</v>
      </c>
      <c r="AB425" s="19">
        <f>_xlfn.XLOOKUP(Tab_Data_Flows[[#This Row],[Flow_Name]],Tab_Def_Flows[Flow_Name],Tab_Def_Flows[Flow_E3_Fraction'[%']],"N.A.",0,1)</f>
        <v>0</v>
      </c>
      <c r="AC425" s="2">
        <f>IF(E425="Yes",AB425*Tab_Data_Flows[[#This Row],[E1_value]],"N.A.")</f>
        <v>0</v>
      </c>
      <c r="AD425" s="2" t="str">
        <f>Tab_Data_Flows[[#This Row],[E1_UoM]]</f>
        <v>Mg</v>
      </c>
      <c r="AE425" s="19">
        <f>_xlfn.XLOOKUP(Tab_Data_Flows[[#This Row],[Flow_Name]],Tab_Def_Flows[Flow_Name],Tab_Def_Flows[Flow_E4_Fraction'[%']],"N.A.",0,1)</f>
        <v>0</v>
      </c>
      <c r="AF425" s="2">
        <f>IF(H425="Yes",Tab_Data_Flows[[#This Row],[E4_Fraction'[%']]]*Tab_Data_Flows[[#This Row],[E1_value]],"N.A.")</f>
        <v>0</v>
      </c>
      <c r="AG425" s="2" t="str">
        <f>Tab_Data_Flows[[#This Row],[E1_UoM]]</f>
        <v>Mg</v>
      </c>
      <c r="AH425" s="2">
        <f>_xlfn.XLOOKUP(Tab_Data_Flows[[#This Row],[Flow_Name]],Tab_Def_Flows[Flow_Name],Tab_Def_Flows[Flow_E5_Fraction'[%']],"N.A.",0,1)</f>
        <v>0</v>
      </c>
      <c r="AI425" s="2">
        <f>IF(H425="Yes",Tab_Data_Flows[[#This Row],[E5_Fraction'[%']]]*Tab_Data_Flows[[#This Row],[E1_value]],"N.A.")</f>
        <v>0</v>
      </c>
      <c r="AJ425" s="2" t="str">
        <f>Tab_Data_Flows[[#This Row],[E1_UoM]]</f>
        <v>Mg</v>
      </c>
      <c r="AK425" s="19">
        <f>_xlfn.XLOOKUP(Tab_Data_Flows[[#This Row],[Flow_Name]],Tab_Def_Flows[Flow_Name],Tab_Def_Flows[Flow_E6_Fraction'[%']],"N.A.",0,1)</f>
        <v>0</v>
      </c>
      <c r="AL425" s="2">
        <f>IF(Tab_Data_Flows[[#This Row],[Use_E6]]="Yes",Tab_Data_Flows[[#This Row],[E6_Fraction'[%']]]*Tab_Data_Flows[[#This Row],[E1_value]],"N.A.")</f>
        <v>0</v>
      </c>
      <c r="AM425" s="2" t="str">
        <f>Tab_Data_Flows[[#This Row],[E1_UoM]]</f>
        <v>Mg</v>
      </c>
    </row>
    <row r="426" spans="1:39" x14ac:dyDescent="0.25">
      <c r="A426" s="4">
        <f t="shared" si="12"/>
        <v>425</v>
      </c>
      <c r="B426" s="2" t="str">
        <f>_xlfn.XLOOKUP(C426,Tab_Def_Flows[Flow_Name],Tab_Def_Flows[Flow_ID],,0,)</f>
        <v>F__</v>
      </c>
      <c r="C426" s="18" t="s">
        <v>5</v>
      </c>
      <c r="D426" s="5" t="str">
        <f>_xlfn.XLOOKUP(C426,Tab_Def_Flows[Flow_Name],Tab_Def_Flows[Use_E1],,0,)</f>
        <v>Yes</v>
      </c>
      <c r="E426" s="5" t="str">
        <f>_xlfn.XLOOKUP(C426,Tab_Def_Flows[Flow_Name],Tab_Def_Flows[Use_E2],,0,)</f>
        <v>Yes</v>
      </c>
      <c r="F426" s="5" t="str">
        <f>_xlfn.XLOOKUP(C426,Tab_Def_Flows[Flow_Name],Tab_Def_Flows[Use_E3],,0,)</f>
        <v>Yes</v>
      </c>
      <c r="G426" s="5" t="str">
        <f>_xlfn.XLOOKUP(C426,Tab_Def_Flows[Flow_Name],Tab_Def_Flows[Use_E4],,0,)</f>
        <v>Yes</v>
      </c>
      <c r="H426" s="5" t="str">
        <f>_xlfn.XLOOKUP(C426,Tab_Def_Flows[Flow_Name],Tab_Def_Flows[Use_E5],,0,)</f>
        <v>Yes</v>
      </c>
      <c r="I426" s="5" t="str">
        <f>_xlfn.XLOOKUP(C426,Tab_Def_Flows[Flow_Name],Tab_Def_Flows[Use_E6],,0,)</f>
        <v>Yes</v>
      </c>
      <c r="J426" s="3"/>
      <c r="K426" s="3"/>
      <c r="L426" s="2" t="str">
        <f>'0_Configuration'!$C$41</f>
        <v>Mg</v>
      </c>
      <c r="M426" s="9"/>
      <c r="N426" s="9"/>
      <c r="O426" s="9"/>
      <c r="P426" s="9"/>
      <c r="Q426" s="18" t="s">
        <v>3</v>
      </c>
      <c r="R426" s="3"/>
      <c r="S426" s="3"/>
      <c r="T426" s="9"/>
      <c r="U426" s="9"/>
      <c r="V426" s="2">
        <f>_xlfn.XLOOKUP(Tab_Data_Flows[[#This Row],[Flow_Name]],Tab_Def_Flows[Flow_Name],Tab_Def_Flows[Flow_E1_Fraction'[%']],"N.A.",0,1)</f>
        <v>0</v>
      </c>
      <c r="W426" s="8">
        <f t="shared" si="14"/>
        <v>0</v>
      </c>
      <c r="X426" s="2" t="str">
        <f>Tab_Data_Flows[[#This Row],[UoM_Source]]</f>
        <v>Mg</v>
      </c>
      <c r="Y426" s="19">
        <f>_xlfn.XLOOKUP(Tab_Data_Flows[[#This Row],[Flow_Name]],Tab_Def_Flows[Flow_Name],Tab_Def_Flows[Flow_E2_Fraction'[%']],"N.A.",0,1)</f>
        <v>0</v>
      </c>
      <c r="Z426" s="2">
        <f>IF(D426="Yes",W426*Tab_Data_Flows[[#This Row],[E2_Fraction'[%']]],"N.A.")</f>
        <v>0</v>
      </c>
      <c r="AA426" s="2" t="str">
        <f>Tab_Data_Flows[[#This Row],[E1_UoM]]</f>
        <v>Mg</v>
      </c>
      <c r="AB426" s="19">
        <f>_xlfn.XLOOKUP(Tab_Data_Flows[[#This Row],[Flow_Name]],Tab_Def_Flows[Flow_Name],Tab_Def_Flows[Flow_E3_Fraction'[%']],"N.A.",0,1)</f>
        <v>0</v>
      </c>
      <c r="AC426" s="2">
        <f>IF(E426="Yes",AB426*Tab_Data_Flows[[#This Row],[E1_value]],"N.A.")</f>
        <v>0</v>
      </c>
      <c r="AD426" s="2" t="str">
        <f>Tab_Data_Flows[[#This Row],[E1_UoM]]</f>
        <v>Mg</v>
      </c>
      <c r="AE426" s="19">
        <f>_xlfn.XLOOKUP(Tab_Data_Flows[[#This Row],[Flow_Name]],Tab_Def_Flows[Flow_Name],Tab_Def_Flows[Flow_E4_Fraction'[%']],"N.A.",0,1)</f>
        <v>0</v>
      </c>
      <c r="AF426" s="2">
        <f>IF(H426="Yes",Tab_Data_Flows[[#This Row],[E4_Fraction'[%']]]*Tab_Data_Flows[[#This Row],[E1_value]],"N.A.")</f>
        <v>0</v>
      </c>
      <c r="AG426" s="2" t="str">
        <f>Tab_Data_Flows[[#This Row],[E1_UoM]]</f>
        <v>Mg</v>
      </c>
      <c r="AH426" s="2">
        <f>_xlfn.XLOOKUP(Tab_Data_Flows[[#This Row],[Flow_Name]],Tab_Def_Flows[Flow_Name],Tab_Def_Flows[Flow_E5_Fraction'[%']],"N.A.",0,1)</f>
        <v>0</v>
      </c>
      <c r="AI426" s="2">
        <f>IF(H426="Yes",Tab_Data_Flows[[#This Row],[E5_Fraction'[%']]]*Tab_Data_Flows[[#This Row],[E1_value]],"N.A.")</f>
        <v>0</v>
      </c>
      <c r="AJ426" s="2" t="str">
        <f>Tab_Data_Flows[[#This Row],[E1_UoM]]</f>
        <v>Mg</v>
      </c>
      <c r="AK426" s="19">
        <f>_xlfn.XLOOKUP(Tab_Data_Flows[[#This Row],[Flow_Name]],Tab_Def_Flows[Flow_Name],Tab_Def_Flows[Flow_E6_Fraction'[%']],"N.A.",0,1)</f>
        <v>0</v>
      </c>
      <c r="AL426" s="2">
        <f>IF(Tab_Data_Flows[[#This Row],[Use_E6]]="Yes",Tab_Data_Flows[[#This Row],[E6_Fraction'[%']]]*Tab_Data_Flows[[#This Row],[E1_value]],"N.A.")</f>
        <v>0</v>
      </c>
      <c r="AM426" s="2" t="str">
        <f>Tab_Data_Flows[[#This Row],[E1_UoM]]</f>
        <v>Mg</v>
      </c>
    </row>
    <row r="427" spans="1:39" x14ac:dyDescent="0.25">
      <c r="A427" s="4">
        <f t="shared" si="12"/>
        <v>426</v>
      </c>
      <c r="B427" s="2" t="str">
        <f>_xlfn.XLOOKUP(C427,Tab_Def_Flows[Flow_Name],Tab_Def_Flows[Flow_ID],,0,)</f>
        <v>F__</v>
      </c>
      <c r="C427" s="18" t="s">
        <v>5</v>
      </c>
      <c r="D427" s="5" t="str">
        <f>_xlfn.XLOOKUP(C427,Tab_Def_Flows[Flow_Name],Tab_Def_Flows[Use_E1],,0,)</f>
        <v>Yes</v>
      </c>
      <c r="E427" s="5" t="str">
        <f>_xlfn.XLOOKUP(C427,Tab_Def_Flows[Flow_Name],Tab_Def_Flows[Use_E2],,0,)</f>
        <v>Yes</v>
      </c>
      <c r="F427" s="5" t="str">
        <f>_xlfn.XLOOKUP(C427,Tab_Def_Flows[Flow_Name],Tab_Def_Flows[Use_E3],,0,)</f>
        <v>Yes</v>
      </c>
      <c r="G427" s="5" t="str">
        <f>_xlfn.XLOOKUP(C427,Tab_Def_Flows[Flow_Name],Tab_Def_Flows[Use_E4],,0,)</f>
        <v>Yes</v>
      </c>
      <c r="H427" s="5" t="str">
        <f>_xlfn.XLOOKUP(C427,Tab_Def_Flows[Flow_Name],Tab_Def_Flows[Use_E5],,0,)</f>
        <v>Yes</v>
      </c>
      <c r="I427" s="5" t="str">
        <f>_xlfn.XLOOKUP(C427,Tab_Def_Flows[Flow_Name],Tab_Def_Flows[Use_E6],,0,)</f>
        <v>Yes</v>
      </c>
      <c r="J427" s="3"/>
      <c r="K427" s="3"/>
      <c r="L427" s="2" t="str">
        <f>'0_Configuration'!$C$41</f>
        <v>Mg</v>
      </c>
      <c r="M427" s="9"/>
      <c r="N427" s="9"/>
      <c r="O427" s="9"/>
      <c r="P427" s="9"/>
      <c r="Q427" s="18" t="s">
        <v>3</v>
      </c>
      <c r="R427" s="3"/>
      <c r="S427" s="3"/>
      <c r="T427" s="9"/>
      <c r="U427" s="9"/>
      <c r="V427" s="2">
        <f>_xlfn.XLOOKUP(Tab_Data_Flows[[#This Row],[Flow_Name]],Tab_Def_Flows[Flow_Name],Tab_Def_Flows[Flow_E1_Fraction'[%']],"N.A.",0,1)</f>
        <v>0</v>
      </c>
      <c r="W427" s="8">
        <f t="shared" si="14"/>
        <v>0</v>
      </c>
      <c r="X427" s="2" t="str">
        <f>Tab_Data_Flows[[#This Row],[UoM_Source]]</f>
        <v>Mg</v>
      </c>
      <c r="Y427" s="19">
        <f>_xlfn.XLOOKUP(Tab_Data_Flows[[#This Row],[Flow_Name]],Tab_Def_Flows[Flow_Name],Tab_Def_Flows[Flow_E2_Fraction'[%']],"N.A.",0,1)</f>
        <v>0</v>
      </c>
      <c r="Z427" s="2">
        <f>IF(D427="Yes",W427*Tab_Data_Flows[[#This Row],[E2_Fraction'[%']]],"N.A.")</f>
        <v>0</v>
      </c>
      <c r="AA427" s="2" t="str">
        <f>Tab_Data_Flows[[#This Row],[E1_UoM]]</f>
        <v>Mg</v>
      </c>
      <c r="AB427" s="19">
        <f>_xlfn.XLOOKUP(Tab_Data_Flows[[#This Row],[Flow_Name]],Tab_Def_Flows[Flow_Name],Tab_Def_Flows[Flow_E3_Fraction'[%']],"N.A.",0,1)</f>
        <v>0</v>
      </c>
      <c r="AC427" s="2">
        <f>IF(E427="Yes",AB427*Tab_Data_Flows[[#This Row],[E1_value]],"N.A.")</f>
        <v>0</v>
      </c>
      <c r="AD427" s="2" t="str">
        <f>Tab_Data_Flows[[#This Row],[E1_UoM]]</f>
        <v>Mg</v>
      </c>
      <c r="AE427" s="19">
        <f>_xlfn.XLOOKUP(Tab_Data_Flows[[#This Row],[Flow_Name]],Tab_Def_Flows[Flow_Name],Tab_Def_Flows[Flow_E4_Fraction'[%']],"N.A.",0,1)</f>
        <v>0</v>
      </c>
      <c r="AF427" s="2">
        <f>IF(H427="Yes",Tab_Data_Flows[[#This Row],[E4_Fraction'[%']]]*Tab_Data_Flows[[#This Row],[E1_value]],"N.A.")</f>
        <v>0</v>
      </c>
      <c r="AG427" s="2" t="str">
        <f>Tab_Data_Flows[[#This Row],[E1_UoM]]</f>
        <v>Mg</v>
      </c>
      <c r="AH427" s="2">
        <f>_xlfn.XLOOKUP(Tab_Data_Flows[[#This Row],[Flow_Name]],Tab_Def_Flows[Flow_Name],Tab_Def_Flows[Flow_E5_Fraction'[%']],"N.A.",0,1)</f>
        <v>0</v>
      </c>
      <c r="AI427" s="2">
        <f>IF(H427="Yes",Tab_Data_Flows[[#This Row],[E5_Fraction'[%']]]*Tab_Data_Flows[[#This Row],[E1_value]],"N.A.")</f>
        <v>0</v>
      </c>
      <c r="AJ427" s="2" t="str">
        <f>Tab_Data_Flows[[#This Row],[E1_UoM]]</f>
        <v>Mg</v>
      </c>
      <c r="AK427" s="19">
        <f>_xlfn.XLOOKUP(Tab_Data_Flows[[#This Row],[Flow_Name]],Tab_Def_Flows[Flow_Name],Tab_Def_Flows[Flow_E6_Fraction'[%']],"N.A.",0,1)</f>
        <v>0</v>
      </c>
      <c r="AL427" s="2">
        <f>IF(Tab_Data_Flows[[#This Row],[Use_E6]]="Yes",Tab_Data_Flows[[#This Row],[E6_Fraction'[%']]]*Tab_Data_Flows[[#This Row],[E1_value]],"N.A.")</f>
        <v>0</v>
      </c>
      <c r="AM427" s="2" t="str">
        <f>Tab_Data_Flows[[#This Row],[E1_UoM]]</f>
        <v>Mg</v>
      </c>
    </row>
    <row r="428" spans="1:39" x14ac:dyDescent="0.25">
      <c r="A428" s="4">
        <f t="shared" si="12"/>
        <v>427</v>
      </c>
      <c r="B428" s="2" t="str">
        <f>_xlfn.XLOOKUP(C428,Tab_Def_Flows[Flow_Name],Tab_Def_Flows[Flow_ID],,0,)</f>
        <v>F__</v>
      </c>
      <c r="C428" s="18" t="s">
        <v>5</v>
      </c>
      <c r="D428" s="5" t="str">
        <f>_xlfn.XLOOKUP(C428,Tab_Def_Flows[Flow_Name],Tab_Def_Flows[Use_E1],,0,)</f>
        <v>Yes</v>
      </c>
      <c r="E428" s="5" t="str">
        <f>_xlfn.XLOOKUP(C428,Tab_Def_Flows[Flow_Name],Tab_Def_Flows[Use_E2],,0,)</f>
        <v>Yes</v>
      </c>
      <c r="F428" s="5" t="str">
        <f>_xlfn.XLOOKUP(C428,Tab_Def_Flows[Flow_Name],Tab_Def_Flows[Use_E3],,0,)</f>
        <v>Yes</v>
      </c>
      <c r="G428" s="5" t="str">
        <f>_xlfn.XLOOKUP(C428,Tab_Def_Flows[Flow_Name],Tab_Def_Flows[Use_E4],,0,)</f>
        <v>Yes</v>
      </c>
      <c r="H428" s="5" t="str">
        <f>_xlfn.XLOOKUP(C428,Tab_Def_Flows[Flow_Name],Tab_Def_Flows[Use_E5],,0,)</f>
        <v>Yes</v>
      </c>
      <c r="I428" s="5" t="str">
        <f>_xlfn.XLOOKUP(C428,Tab_Def_Flows[Flow_Name],Tab_Def_Flows[Use_E6],,0,)</f>
        <v>Yes</v>
      </c>
      <c r="J428" s="3"/>
      <c r="K428" s="3"/>
      <c r="L428" s="2" t="str">
        <f>'0_Configuration'!$C$41</f>
        <v>Mg</v>
      </c>
      <c r="M428" s="9"/>
      <c r="N428" s="9"/>
      <c r="O428" s="9"/>
      <c r="P428" s="9"/>
      <c r="Q428" s="18" t="s">
        <v>3</v>
      </c>
      <c r="R428" s="3"/>
      <c r="S428" s="3"/>
      <c r="T428" s="9"/>
      <c r="U428" s="9"/>
      <c r="V428" s="2">
        <f>_xlfn.XLOOKUP(Tab_Data_Flows[[#This Row],[Flow_Name]],Tab_Def_Flows[Flow_Name],Tab_Def_Flows[Flow_E1_Fraction'[%']],"N.A.",0,1)</f>
        <v>0</v>
      </c>
      <c r="W428" s="8">
        <f t="shared" si="14"/>
        <v>0</v>
      </c>
      <c r="X428" s="2" t="str">
        <f>Tab_Data_Flows[[#This Row],[UoM_Source]]</f>
        <v>Mg</v>
      </c>
      <c r="Y428" s="19">
        <f>_xlfn.XLOOKUP(Tab_Data_Flows[[#This Row],[Flow_Name]],Tab_Def_Flows[Flow_Name],Tab_Def_Flows[Flow_E2_Fraction'[%']],"N.A.",0,1)</f>
        <v>0</v>
      </c>
      <c r="Z428" s="2">
        <f>IF(D428="Yes",W428*Tab_Data_Flows[[#This Row],[E2_Fraction'[%']]],"N.A.")</f>
        <v>0</v>
      </c>
      <c r="AA428" s="2" t="str">
        <f>Tab_Data_Flows[[#This Row],[E1_UoM]]</f>
        <v>Mg</v>
      </c>
      <c r="AB428" s="19">
        <f>_xlfn.XLOOKUP(Tab_Data_Flows[[#This Row],[Flow_Name]],Tab_Def_Flows[Flow_Name],Tab_Def_Flows[Flow_E3_Fraction'[%']],"N.A.",0,1)</f>
        <v>0</v>
      </c>
      <c r="AC428" s="2">
        <f>IF(E428="Yes",AB428*Tab_Data_Flows[[#This Row],[E1_value]],"N.A.")</f>
        <v>0</v>
      </c>
      <c r="AD428" s="2" t="str">
        <f>Tab_Data_Flows[[#This Row],[E1_UoM]]</f>
        <v>Mg</v>
      </c>
      <c r="AE428" s="19">
        <f>_xlfn.XLOOKUP(Tab_Data_Flows[[#This Row],[Flow_Name]],Tab_Def_Flows[Flow_Name],Tab_Def_Flows[Flow_E4_Fraction'[%']],"N.A.",0,1)</f>
        <v>0</v>
      </c>
      <c r="AF428" s="2">
        <f>IF(H428="Yes",Tab_Data_Flows[[#This Row],[E4_Fraction'[%']]]*Tab_Data_Flows[[#This Row],[E1_value]],"N.A.")</f>
        <v>0</v>
      </c>
      <c r="AG428" s="2" t="str">
        <f>Tab_Data_Flows[[#This Row],[E1_UoM]]</f>
        <v>Mg</v>
      </c>
      <c r="AH428" s="2">
        <f>_xlfn.XLOOKUP(Tab_Data_Flows[[#This Row],[Flow_Name]],Tab_Def_Flows[Flow_Name],Tab_Def_Flows[Flow_E5_Fraction'[%']],"N.A.",0,1)</f>
        <v>0</v>
      </c>
      <c r="AI428" s="2">
        <f>IF(H428="Yes",Tab_Data_Flows[[#This Row],[E5_Fraction'[%']]]*Tab_Data_Flows[[#This Row],[E1_value]],"N.A.")</f>
        <v>0</v>
      </c>
      <c r="AJ428" s="2" t="str">
        <f>Tab_Data_Flows[[#This Row],[E1_UoM]]</f>
        <v>Mg</v>
      </c>
      <c r="AK428" s="19">
        <f>_xlfn.XLOOKUP(Tab_Data_Flows[[#This Row],[Flow_Name]],Tab_Def_Flows[Flow_Name],Tab_Def_Flows[Flow_E6_Fraction'[%']],"N.A.",0,1)</f>
        <v>0</v>
      </c>
      <c r="AL428" s="2">
        <f>IF(Tab_Data_Flows[[#This Row],[Use_E6]]="Yes",Tab_Data_Flows[[#This Row],[E6_Fraction'[%']]]*Tab_Data_Flows[[#This Row],[E1_value]],"N.A.")</f>
        <v>0</v>
      </c>
      <c r="AM428" s="2" t="str">
        <f>Tab_Data_Flows[[#This Row],[E1_UoM]]</f>
        <v>Mg</v>
      </c>
    </row>
    <row r="429" spans="1:39" x14ac:dyDescent="0.25">
      <c r="A429" s="4">
        <f t="shared" si="12"/>
        <v>428</v>
      </c>
      <c r="B429" s="2" t="str">
        <f>_xlfn.XLOOKUP(C429,Tab_Def_Flows[Flow_Name],Tab_Def_Flows[Flow_ID],,0,)</f>
        <v>F__</v>
      </c>
      <c r="C429" s="18" t="s">
        <v>5</v>
      </c>
      <c r="D429" s="5" t="str">
        <f>_xlfn.XLOOKUP(C429,Tab_Def_Flows[Flow_Name],Tab_Def_Flows[Use_E1],,0,)</f>
        <v>Yes</v>
      </c>
      <c r="E429" s="5" t="str">
        <f>_xlfn.XLOOKUP(C429,Tab_Def_Flows[Flow_Name],Tab_Def_Flows[Use_E2],,0,)</f>
        <v>Yes</v>
      </c>
      <c r="F429" s="5" t="str">
        <f>_xlfn.XLOOKUP(C429,Tab_Def_Flows[Flow_Name],Tab_Def_Flows[Use_E3],,0,)</f>
        <v>Yes</v>
      </c>
      <c r="G429" s="5" t="str">
        <f>_xlfn.XLOOKUP(C429,Tab_Def_Flows[Flow_Name],Tab_Def_Flows[Use_E4],,0,)</f>
        <v>Yes</v>
      </c>
      <c r="H429" s="5" t="str">
        <f>_xlfn.XLOOKUP(C429,Tab_Def_Flows[Flow_Name],Tab_Def_Flows[Use_E5],,0,)</f>
        <v>Yes</v>
      </c>
      <c r="I429" s="5" t="str">
        <f>_xlfn.XLOOKUP(C429,Tab_Def_Flows[Flow_Name],Tab_Def_Flows[Use_E6],,0,)</f>
        <v>Yes</v>
      </c>
      <c r="J429" s="3"/>
      <c r="K429" s="3"/>
      <c r="L429" s="2" t="str">
        <f>'0_Configuration'!$C$41</f>
        <v>Mg</v>
      </c>
      <c r="M429" s="9"/>
      <c r="N429" s="9"/>
      <c r="O429" s="9"/>
      <c r="P429" s="9"/>
      <c r="Q429" s="18" t="s">
        <v>3</v>
      </c>
      <c r="R429" s="3"/>
      <c r="S429" s="3"/>
      <c r="T429" s="9"/>
      <c r="U429" s="9"/>
      <c r="V429" s="2">
        <f>_xlfn.XLOOKUP(Tab_Data_Flows[[#This Row],[Flow_Name]],Tab_Def_Flows[Flow_Name],Tab_Def_Flows[Flow_E1_Fraction'[%']],"N.A.",0,1)</f>
        <v>0</v>
      </c>
      <c r="W429" s="8">
        <f t="shared" si="14"/>
        <v>0</v>
      </c>
      <c r="X429" s="2" t="str">
        <f>Tab_Data_Flows[[#This Row],[UoM_Source]]</f>
        <v>Mg</v>
      </c>
      <c r="Y429" s="19">
        <f>_xlfn.XLOOKUP(Tab_Data_Flows[[#This Row],[Flow_Name]],Tab_Def_Flows[Flow_Name],Tab_Def_Flows[Flow_E2_Fraction'[%']],"N.A.",0,1)</f>
        <v>0</v>
      </c>
      <c r="Z429" s="2">
        <f>IF(D429="Yes",W429*Tab_Data_Flows[[#This Row],[E2_Fraction'[%']]],"N.A.")</f>
        <v>0</v>
      </c>
      <c r="AA429" s="2" t="str">
        <f>Tab_Data_Flows[[#This Row],[E1_UoM]]</f>
        <v>Mg</v>
      </c>
      <c r="AB429" s="19">
        <f>_xlfn.XLOOKUP(Tab_Data_Flows[[#This Row],[Flow_Name]],Tab_Def_Flows[Flow_Name],Tab_Def_Flows[Flow_E3_Fraction'[%']],"N.A.",0,1)</f>
        <v>0</v>
      </c>
      <c r="AC429" s="2">
        <f>IF(E429="Yes",AB429*Tab_Data_Flows[[#This Row],[E1_value]],"N.A.")</f>
        <v>0</v>
      </c>
      <c r="AD429" s="2" t="str">
        <f>Tab_Data_Flows[[#This Row],[E1_UoM]]</f>
        <v>Mg</v>
      </c>
      <c r="AE429" s="19">
        <f>_xlfn.XLOOKUP(Tab_Data_Flows[[#This Row],[Flow_Name]],Tab_Def_Flows[Flow_Name],Tab_Def_Flows[Flow_E4_Fraction'[%']],"N.A.",0,1)</f>
        <v>0</v>
      </c>
      <c r="AF429" s="2">
        <f>IF(H429="Yes",Tab_Data_Flows[[#This Row],[E4_Fraction'[%']]]*Tab_Data_Flows[[#This Row],[E1_value]],"N.A.")</f>
        <v>0</v>
      </c>
      <c r="AG429" s="2" t="str">
        <f>Tab_Data_Flows[[#This Row],[E1_UoM]]</f>
        <v>Mg</v>
      </c>
      <c r="AH429" s="2">
        <f>_xlfn.XLOOKUP(Tab_Data_Flows[[#This Row],[Flow_Name]],Tab_Def_Flows[Flow_Name],Tab_Def_Flows[Flow_E5_Fraction'[%']],"N.A.",0,1)</f>
        <v>0</v>
      </c>
      <c r="AI429" s="2">
        <f>IF(H429="Yes",Tab_Data_Flows[[#This Row],[E5_Fraction'[%']]]*Tab_Data_Flows[[#This Row],[E1_value]],"N.A.")</f>
        <v>0</v>
      </c>
      <c r="AJ429" s="2" t="str">
        <f>Tab_Data_Flows[[#This Row],[E1_UoM]]</f>
        <v>Mg</v>
      </c>
      <c r="AK429" s="19">
        <f>_xlfn.XLOOKUP(Tab_Data_Flows[[#This Row],[Flow_Name]],Tab_Def_Flows[Flow_Name],Tab_Def_Flows[Flow_E6_Fraction'[%']],"N.A.",0,1)</f>
        <v>0</v>
      </c>
      <c r="AL429" s="2">
        <f>IF(Tab_Data_Flows[[#This Row],[Use_E6]]="Yes",Tab_Data_Flows[[#This Row],[E6_Fraction'[%']]]*Tab_Data_Flows[[#This Row],[E1_value]],"N.A.")</f>
        <v>0</v>
      </c>
      <c r="AM429" s="2" t="str">
        <f>Tab_Data_Flows[[#This Row],[E1_UoM]]</f>
        <v>Mg</v>
      </c>
    </row>
    <row r="430" spans="1:39" x14ac:dyDescent="0.25">
      <c r="A430" s="4">
        <f t="shared" si="12"/>
        <v>429</v>
      </c>
      <c r="B430" s="2" t="str">
        <f>_xlfn.XLOOKUP(C430,Tab_Def_Flows[Flow_Name],Tab_Def_Flows[Flow_ID],,0,)</f>
        <v>F__</v>
      </c>
      <c r="C430" s="18" t="s">
        <v>5</v>
      </c>
      <c r="D430" s="5" t="str">
        <f>_xlfn.XLOOKUP(C430,Tab_Def_Flows[Flow_Name],Tab_Def_Flows[Use_E1],,0,)</f>
        <v>Yes</v>
      </c>
      <c r="E430" s="5" t="str">
        <f>_xlfn.XLOOKUP(C430,Tab_Def_Flows[Flow_Name],Tab_Def_Flows[Use_E2],,0,)</f>
        <v>Yes</v>
      </c>
      <c r="F430" s="5" t="str">
        <f>_xlfn.XLOOKUP(C430,Tab_Def_Flows[Flow_Name],Tab_Def_Flows[Use_E3],,0,)</f>
        <v>Yes</v>
      </c>
      <c r="G430" s="5" t="str">
        <f>_xlfn.XLOOKUP(C430,Tab_Def_Flows[Flow_Name],Tab_Def_Flows[Use_E4],,0,)</f>
        <v>Yes</v>
      </c>
      <c r="H430" s="5" t="str">
        <f>_xlfn.XLOOKUP(C430,Tab_Def_Flows[Flow_Name],Tab_Def_Flows[Use_E5],,0,)</f>
        <v>Yes</v>
      </c>
      <c r="I430" s="5" t="str">
        <f>_xlfn.XLOOKUP(C430,Tab_Def_Flows[Flow_Name],Tab_Def_Flows[Use_E6],,0,)</f>
        <v>Yes</v>
      </c>
      <c r="J430" s="3"/>
      <c r="K430" s="3"/>
      <c r="L430" s="2" t="str">
        <f>'0_Configuration'!$C$41</f>
        <v>Mg</v>
      </c>
      <c r="M430" s="9"/>
      <c r="N430" s="9"/>
      <c r="O430" s="9"/>
      <c r="P430" s="9"/>
      <c r="Q430" s="18" t="s">
        <v>3</v>
      </c>
      <c r="R430" s="3"/>
      <c r="S430" s="3"/>
      <c r="T430" s="9"/>
      <c r="U430" s="9"/>
      <c r="V430" s="2">
        <f>_xlfn.XLOOKUP(Tab_Data_Flows[[#This Row],[Flow_Name]],Tab_Def_Flows[Flow_Name],Tab_Def_Flows[Flow_E1_Fraction'[%']],"N.A.",0,1)</f>
        <v>0</v>
      </c>
      <c r="W430" s="8">
        <f t="shared" si="14"/>
        <v>0</v>
      </c>
      <c r="X430" s="2" t="str">
        <f>Tab_Data_Flows[[#This Row],[UoM_Source]]</f>
        <v>Mg</v>
      </c>
      <c r="Y430" s="19">
        <f>_xlfn.XLOOKUP(Tab_Data_Flows[[#This Row],[Flow_Name]],Tab_Def_Flows[Flow_Name],Tab_Def_Flows[Flow_E2_Fraction'[%']],"N.A.",0,1)</f>
        <v>0</v>
      </c>
      <c r="Z430" s="2">
        <f>IF(D430="Yes",W430*Tab_Data_Flows[[#This Row],[E2_Fraction'[%']]],"N.A.")</f>
        <v>0</v>
      </c>
      <c r="AA430" s="2" t="str">
        <f>Tab_Data_Flows[[#This Row],[E1_UoM]]</f>
        <v>Mg</v>
      </c>
      <c r="AB430" s="19">
        <f>_xlfn.XLOOKUP(Tab_Data_Flows[[#This Row],[Flow_Name]],Tab_Def_Flows[Flow_Name],Tab_Def_Flows[Flow_E3_Fraction'[%']],"N.A.",0,1)</f>
        <v>0</v>
      </c>
      <c r="AC430" s="2">
        <f>IF(E430="Yes",AB430*Tab_Data_Flows[[#This Row],[E1_value]],"N.A.")</f>
        <v>0</v>
      </c>
      <c r="AD430" s="2" t="str">
        <f>Tab_Data_Flows[[#This Row],[E1_UoM]]</f>
        <v>Mg</v>
      </c>
      <c r="AE430" s="19">
        <f>_xlfn.XLOOKUP(Tab_Data_Flows[[#This Row],[Flow_Name]],Tab_Def_Flows[Flow_Name],Tab_Def_Flows[Flow_E4_Fraction'[%']],"N.A.",0,1)</f>
        <v>0</v>
      </c>
      <c r="AF430" s="2">
        <f>IF(H430="Yes",Tab_Data_Flows[[#This Row],[E4_Fraction'[%']]]*Tab_Data_Flows[[#This Row],[E1_value]],"N.A.")</f>
        <v>0</v>
      </c>
      <c r="AG430" s="2" t="str">
        <f>Tab_Data_Flows[[#This Row],[E1_UoM]]</f>
        <v>Mg</v>
      </c>
      <c r="AH430" s="2">
        <f>_xlfn.XLOOKUP(Tab_Data_Flows[[#This Row],[Flow_Name]],Tab_Def_Flows[Flow_Name],Tab_Def_Flows[Flow_E5_Fraction'[%']],"N.A.",0,1)</f>
        <v>0</v>
      </c>
      <c r="AI430" s="2">
        <f>IF(H430="Yes",Tab_Data_Flows[[#This Row],[E5_Fraction'[%']]]*Tab_Data_Flows[[#This Row],[E1_value]],"N.A.")</f>
        <v>0</v>
      </c>
      <c r="AJ430" s="2" t="str">
        <f>Tab_Data_Flows[[#This Row],[E1_UoM]]</f>
        <v>Mg</v>
      </c>
      <c r="AK430" s="19">
        <f>_xlfn.XLOOKUP(Tab_Data_Flows[[#This Row],[Flow_Name]],Tab_Def_Flows[Flow_Name],Tab_Def_Flows[Flow_E6_Fraction'[%']],"N.A.",0,1)</f>
        <v>0</v>
      </c>
      <c r="AL430" s="2">
        <f>IF(Tab_Data_Flows[[#This Row],[Use_E6]]="Yes",Tab_Data_Flows[[#This Row],[E6_Fraction'[%']]]*Tab_Data_Flows[[#This Row],[E1_value]],"N.A.")</f>
        <v>0</v>
      </c>
      <c r="AM430" s="2" t="str">
        <f>Tab_Data_Flows[[#This Row],[E1_UoM]]</f>
        <v>Mg</v>
      </c>
    </row>
    <row r="431" spans="1:39" x14ac:dyDescent="0.25">
      <c r="A431" s="4">
        <f t="shared" si="12"/>
        <v>430</v>
      </c>
      <c r="B431" s="2" t="str">
        <f>_xlfn.XLOOKUP(C431,Tab_Def_Flows[Flow_Name],Tab_Def_Flows[Flow_ID],,0,)</f>
        <v>F__</v>
      </c>
      <c r="C431" s="18" t="s">
        <v>5</v>
      </c>
      <c r="D431" s="5" t="str">
        <f>_xlfn.XLOOKUP(C431,Tab_Def_Flows[Flow_Name],Tab_Def_Flows[Use_E1],,0,)</f>
        <v>Yes</v>
      </c>
      <c r="E431" s="5" t="str">
        <f>_xlfn.XLOOKUP(C431,Tab_Def_Flows[Flow_Name],Tab_Def_Flows[Use_E2],,0,)</f>
        <v>Yes</v>
      </c>
      <c r="F431" s="5" t="str">
        <f>_xlfn.XLOOKUP(C431,Tab_Def_Flows[Flow_Name],Tab_Def_Flows[Use_E3],,0,)</f>
        <v>Yes</v>
      </c>
      <c r="G431" s="5" t="str">
        <f>_xlfn.XLOOKUP(C431,Tab_Def_Flows[Flow_Name],Tab_Def_Flows[Use_E4],,0,)</f>
        <v>Yes</v>
      </c>
      <c r="H431" s="5" t="str">
        <f>_xlfn.XLOOKUP(C431,Tab_Def_Flows[Flow_Name],Tab_Def_Flows[Use_E5],,0,)</f>
        <v>Yes</v>
      </c>
      <c r="I431" s="5" t="str">
        <f>_xlfn.XLOOKUP(C431,Tab_Def_Flows[Flow_Name],Tab_Def_Flows[Use_E6],,0,)</f>
        <v>Yes</v>
      </c>
      <c r="J431" s="3"/>
      <c r="K431" s="3"/>
      <c r="L431" s="2" t="str">
        <f>'0_Configuration'!$C$41</f>
        <v>Mg</v>
      </c>
      <c r="M431" s="9"/>
      <c r="N431" s="9"/>
      <c r="O431" s="9"/>
      <c r="P431" s="9"/>
      <c r="Q431" s="18" t="s">
        <v>3</v>
      </c>
      <c r="R431" s="3"/>
      <c r="S431" s="3"/>
      <c r="T431" s="9"/>
      <c r="U431" s="9"/>
      <c r="V431" s="2">
        <f>_xlfn.XLOOKUP(Tab_Data_Flows[[#This Row],[Flow_Name]],Tab_Def_Flows[Flow_Name],Tab_Def_Flows[Flow_E1_Fraction'[%']],"N.A.",0,1)</f>
        <v>0</v>
      </c>
      <c r="W431" s="8">
        <f t="shared" ref="W431:W494" si="15">IF(Q431="no",K431,K431*R431)</f>
        <v>0</v>
      </c>
      <c r="X431" s="2" t="str">
        <f>Tab_Data_Flows[[#This Row],[UoM_Source]]</f>
        <v>Mg</v>
      </c>
      <c r="Y431" s="19">
        <f>_xlfn.XLOOKUP(Tab_Data_Flows[[#This Row],[Flow_Name]],Tab_Def_Flows[Flow_Name],Tab_Def_Flows[Flow_E2_Fraction'[%']],"N.A.",0,1)</f>
        <v>0</v>
      </c>
      <c r="Z431" s="2">
        <f>IF(D431="Yes",W431*Tab_Data_Flows[[#This Row],[E2_Fraction'[%']]],"N.A.")</f>
        <v>0</v>
      </c>
      <c r="AA431" s="2" t="str">
        <f>Tab_Data_Flows[[#This Row],[E1_UoM]]</f>
        <v>Mg</v>
      </c>
      <c r="AB431" s="19">
        <f>_xlfn.XLOOKUP(Tab_Data_Flows[[#This Row],[Flow_Name]],Tab_Def_Flows[Flow_Name],Tab_Def_Flows[Flow_E3_Fraction'[%']],"N.A.",0,1)</f>
        <v>0</v>
      </c>
      <c r="AC431" s="2">
        <f>IF(E431="Yes",AB431*Tab_Data_Flows[[#This Row],[E1_value]],"N.A.")</f>
        <v>0</v>
      </c>
      <c r="AD431" s="2" t="str">
        <f>Tab_Data_Flows[[#This Row],[E1_UoM]]</f>
        <v>Mg</v>
      </c>
      <c r="AE431" s="19">
        <f>_xlfn.XLOOKUP(Tab_Data_Flows[[#This Row],[Flow_Name]],Tab_Def_Flows[Flow_Name],Tab_Def_Flows[Flow_E4_Fraction'[%']],"N.A.",0,1)</f>
        <v>0</v>
      </c>
      <c r="AF431" s="2">
        <f>IF(H431="Yes",Tab_Data_Flows[[#This Row],[E4_Fraction'[%']]]*Tab_Data_Flows[[#This Row],[E1_value]],"N.A.")</f>
        <v>0</v>
      </c>
      <c r="AG431" s="2" t="str">
        <f>Tab_Data_Flows[[#This Row],[E1_UoM]]</f>
        <v>Mg</v>
      </c>
      <c r="AH431" s="2">
        <f>_xlfn.XLOOKUP(Tab_Data_Flows[[#This Row],[Flow_Name]],Tab_Def_Flows[Flow_Name],Tab_Def_Flows[Flow_E5_Fraction'[%']],"N.A.",0,1)</f>
        <v>0</v>
      </c>
      <c r="AI431" s="2">
        <f>IF(H431="Yes",Tab_Data_Flows[[#This Row],[E5_Fraction'[%']]]*Tab_Data_Flows[[#This Row],[E1_value]],"N.A.")</f>
        <v>0</v>
      </c>
      <c r="AJ431" s="2" t="str">
        <f>Tab_Data_Flows[[#This Row],[E1_UoM]]</f>
        <v>Mg</v>
      </c>
      <c r="AK431" s="19">
        <f>_xlfn.XLOOKUP(Tab_Data_Flows[[#This Row],[Flow_Name]],Tab_Def_Flows[Flow_Name],Tab_Def_Flows[Flow_E6_Fraction'[%']],"N.A.",0,1)</f>
        <v>0</v>
      </c>
      <c r="AL431" s="2">
        <f>IF(Tab_Data_Flows[[#This Row],[Use_E6]]="Yes",Tab_Data_Flows[[#This Row],[E6_Fraction'[%']]]*Tab_Data_Flows[[#This Row],[E1_value]],"N.A.")</f>
        <v>0</v>
      </c>
      <c r="AM431" s="2" t="str">
        <f>Tab_Data_Flows[[#This Row],[E1_UoM]]</f>
        <v>Mg</v>
      </c>
    </row>
    <row r="432" spans="1:39" x14ac:dyDescent="0.25">
      <c r="A432" s="4">
        <f t="shared" si="12"/>
        <v>431</v>
      </c>
      <c r="B432" s="2" t="str">
        <f>_xlfn.XLOOKUP(C432,Tab_Def_Flows[Flow_Name],Tab_Def_Flows[Flow_ID],,0,)</f>
        <v>F__</v>
      </c>
      <c r="C432" s="18" t="s">
        <v>5</v>
      </c>
      <c r="D432" s="5" t="str">
        <f>_xlfn.XLOOKUP(C432,Tab_Def_Flows[Flow_Name],Tab_Def_Flows[Use_E1],,0,)</f>
        <v>Yes</v>
      </c>
      <c r="E432" s="5" t="str">
        <f>_xlfn.XLOOKUP(C432,Tab_Def_Flows[Flow_Name],Tab_Def_Flows[Use_E2],,0,)</f>
        <v>Yes</v>
      </c>
      <c r="F432" s="5" t="str">
        <f>_xlfn.XLOOKUP(C432,Tab_Def_Flows[Flow_Name],Tab_Def_Flows[Use_E3],,0,)</f>
        <v>Yes</v>
      </c>
      <c r="G432" s="5" t="str">
        <f>_xlfn.XLOOKUP(C432,Tab_Def_Flows[Flow_Name],Tab_Def_Flows[Use_E4],,0,)</f>
        <v>Yes</v>
      </c>
      <c r="H432" s="5" t="str">
        <f>_xlfn.XLOOKUP(C432,Tab_Def_Flows[Flow_Name],Tab_Def_Flows[Use_E5],,0,)</f>
        <v>Yes</v>
      </c>
      <c r="I432" s="5" t="str">
        <f>_xlfn.XLOOKUP(C432,Tab_Def_Flows[Flow_Name],Tab_Def_Flows[Use_E6],,0,)</f>
        <v>Yes</v>
      </c>
      <c r="J432" s="3"/>
      <c r="K432" s="3"/>
      <c r="L432" s="2" t="str">
        <f>'0_Configuration'!$C$41</f>
        <v>Mg</v>
      </c>
      <c r="M432" s="9"/>
      <c r="N432" s="9"/>
      <c r="O432" s="9"/>
      <c r="P432" s="9"/>
      <c r="Q432" s="18" t="s">
        <v>3</v>
      </c>
      <c r="R432" s="3"/>
      <c r="S432" s="3"/>
      <c r="T432" s="9"/>
      <c r="U432" s="9"/>
      <c r="V432" s="2">
        <f>_xlfn.XLOOKUP(Tab_Data_Flows[[#This Row],[Flow_Name]],Tab_Def_Flows[Flow_Name],Tab_Def_Flows[Flow_E1_Fraction'[%']],"N.A.",0,1)</f>
        <v>0</v>
      </c>
      <c r="W432" s="8">
        <f t="shared" si="15"/>
        <v>0</v>
      </c>
      <c r="X432" s="2" t="str">
        <f>Tab_Data_Flows[[#This Row],[UoM_Source]]</f>
        <v>Mg</v>
      </c>
      <c r="Y432" s="19">
        <f>_xlfn.XLOOKUP(Tab_Data_Flows[[#This Row],[Flow_Name]],Tab_Def_Flows[Flow_Name],Tab_Def_Flows[Flow_E2_Fraction'[%']],"N.A.",0,1)</f>
        <v>0</v>
      </c>
      <c r="Z432" s="2">
        <f>IF(D432="Yes",W432*Tab_Data_Flows[[#This Row],[E2_Fraction'[%']]],"N.A.")</f>
        <v>0</v>
      </c>
      <c r="AA432" s="2" t="str">
        <f>Tab_Data_Flows[[#This Row],[E1_UoM]]</f>
        <v>Mg</v>
      </c>
      <c r="AB432" s="19">
        <f>_xlfn.XLOOKUP(Tab_Data_Flows[[#This Row],[Flow_Name]],Tab_Def_Flows[Flow_Name],Tab_Def_Flows[Flow_E3_Fraction'[%']],"N.A.",0,1)</f>
        <v>0</v>
      </c>
      <c r="AC432" s="2">
        <f>IF(E432="Yes",AB432*Tab_Data_Flows[[#This Row],[E1_value]],"N.A.")</f>
        <v>0</v>
      </c>
      <c r="AD432" s="2" t="str">
        <f>Tab_Data_Flows[[#This Row],[E1_UoM]]</f>
        <v>Mg</v>
      </c>
      <c r="AE432" s="19">
        <f>_xlfn.XLOOKUP(Tab_Data_Flows[[#This Row],[Flow_Name]],Tab_Def_Flows[Flow_Name],Tab_Def_Flows[Flow_E4_Fraction'[%']],"N.A.",0,1)</f>
        <v>0</v>
      </c>
      <c r="AF432" s="2">
        <f>IF(H432="Yes",Tab_Data_Flows[[#This Row],[E4_Fraction'[%']]]*Tab_Data_Flows[[#This Row],[E1_value]],"N.A.")</f>
        <v>0</v>
      </c>
      <c r="AG432" s="2" t="str">
        <f>Tab_Data_Flows[[#This Row],[E1_UoM]]</f>
        <v>Mg</v>
      </c>
      <c r="AH432" s="2">
        <f>_xlfn.XLOOKUP(Tab_Data_Flows[[#This Row],[Flow_Name]],Tab_Def_Flows[Flow_Name],Tab_Def_Flows[Flow_E5_Fraction'[%']],"N.A.",0,1)</f>
        <v>0</v>
      </c>
      <c r="AI432" s="2">
        <f>IF(H432="Yes",Tab_Data_Flows[[#This Row],[E5_Fraction'[%']]]*Tab_Data_Flows[[#This Row],[E1_value]],"N.A.")</f>
        <v>0</v>
      </c>
      <c r="AJ432" s="2" t="str">
        <f>Tab_Data_Flows[[#This Row],[E1_UoM]]</f>
        <v>Mg</v>
      </c>
      <c r="AK432" s="19">
        <f>_xlfn.XLOOKUP(Tab_Data_Flows[[#This Row],[Flow_Name]],Tab_Def_Flows[Flow_Name],Tab_Def_Flows[Flow_E6_Fraction'[%']],"N.A.",0,1)</f>
        <v>0</v>
      </c>
      <c r="AL432" s="2">
        <f>IF(Tab_Data_Flows[[#This Row],[Use_E6]]="Yes",Tab_Data_Flows[[#This Row],[E6_Fraction'[%']]]*Tab_Data_Flows[[#This Row],[E1_value]],"N.A.")</f>
        <v>0</v>
      </c>
      <c r="AM432" s="2" t="str">
        <f>Tab_Data_Flows[[#This Row],[E1_UoM]]</f>
        <v>Mg</v>
      </c>
    </row>
    <row r="433" spans="1:39" x14ac:dyDescent="0.25">
      <c r="A433" s="4">
        <f t="shared" si="12"/>
        <v>432</v>
      </c>
      <c r="B433" s="2" t="str">
        <f>_xlfn.XLOOKUP(C433,Tab_Def_Flows[Flow_Name],Tab_Def_Flows[Flow_ID],,0,)</f>
        <v>F__</v>
      </c>
      <c r="C433" s="18" t="s">
        <v>5</v>
      </c>
      <c r="D433" s="5" t="str">
        <f>_xlfn.XLOOKUP(C433,Tab_Def_Flows[Flow_Name],Tab_Def_Flows[Use_E1],,0,)</f>
        <v>Yes</v>
      </c>
      <c r="E433" s="5" t="str">
        <f>_xlfn.XLOOKUP(C433,Tab_Def_Flows[Flow_Name],Tab_Def_Flows[Use_E2],,0,)</f>
        <v>Yes</v>
      </c>
      <c r="F433" s="5" t="str">
        <f>_xlfn.XLOOKUP(C433,Tab_Def_Flows[Flow_Name],Tab_Def_Flows[Use_E3],,0,)</f>
        <v>Yes</v>
      </c>
      <c r="G433" s="5" t="str">
        <f>_xlfn.XLOOKUP(C433,Tab_Def_Flows[Flow_Name],Tab_Def_Flows[Use_E4],,0,)</f>
        <v>Yes</v>
      </c>
      <c r="H433" s="5" t="str">
        <f>_xlfn.XLOOKUP(C433,Tab_Def_Flows[Flow_Name],Tab_Def_Flows[Use_E5],,0,)</f>
        <v>Yes</v>
      </c>
      <c r="I433" s="5" t="str">
        <f>_xlfn.XLOOKUP(C433,Tab_Def_Flows[Flow_Name],Tab_Def_Flows[Use_E6],,0,)</f>
        <v>Yes</v>
      </c>
      <c r="J433" s="3"/>
      <c r="K433" s="3"/>
      <c r="L433" s="2" t="str">
        <f>'0_Configuration'!$C$41</f>
        <v>Mg</v>
      </c>
      <c r="M433" s="9"/>
      <c r="N433" s="9"/>
      <c r="O433" s="9"/>
      <c r="P433" s="9"/>
      <c r="Q433" s="18" t="s">
        <v>3</v>
      </c>
      <c r="R433" s="3"/>
      <c r="S433" s="3"/>
      <c r="T433" s="9"/>
      <c r="U433" s="9"/>
      <c r="V433" s="2">
        <f>_xlfn.XLOOKUP(Tab_Data_Flows[[#This Row],[Flow_Name]],Tab_Def_Flows[Flow_Name],Tab_Def_Flows[Flow_E1_Fraction'[%']],"N.A.",0,1)</f>
        <v>0</v>
      </c>
      <c r="W433" s="8">
        <f t="shared" si="15"/>
        <v>0</v>
      </c>
      <c r="X433" s="2" t="str">
        <f>Tab_Data_Flows[[#This Row],[UoM_Source]]</f>
        <v>Mg</v>
      </c>
      <c r="Y433" s="19">
        <f>_xlfn.XLOOKUP(Tab_Data_Flows[[#This Row],[Flow_Name]],Tab_Def_Flows[Flow_Name],Tab_Def_Flows[Flow_E2_Fraction'[%']],"N.A.",0,1)</f>
        <v>0</v>
      </c>
      <c r="Z433" s="2">
        <f>IF(D433="Yes",W433*Tab_Data_Flows[[#This Row],[E2_Fraction'[%']]],"N.A.")</f>
        <v>0</v>
      </c>
      <c r="AA433" s="2" t="str">
        <f>Tab_Data_Flows[[#This Row],[E1_UoM]]</f>
        <v>Mg</v>
      </c>
      <c r="AB433" s="19">
        <f>_xlfn.XLOOKUP(Tab_Data_Flows[[#This Row],[Flow_Name]],Tab_Def_Flows[Flow_Name],Tab_Def_Flows[Flow_E3_Fraction'[%']],"N.A.",0,1)</f>
        <v>0</v>
      </c>
      <c r="AC433" s="2">
        <f>IF(E433="Yes",AB433*Tab_Data_Flows[[#This Row],[E1_value]],"N.A.")</f>
        <v>0</v>
      </c>
      <c r="AD433" s="2" t="str">
        <f>Tab_Data_Flows[[#This Row],[E1_UoM]]</f>
        <v>Mg</v>
      </c>
      <c r="AE433" s="19">
        <f>_xlfn.XLOOKUP(Tab_Data_Flows[[#This Row],[Flow_Name]],Tab_Def_Flows[Flow_Name],Tab_Def_Flows[Flow_E4_Fraction'[%']],"N.A.",0,1)</f>
        <v>0</v>
      </c>
      <c r="AF433" s="2">
        <f>IF(H433="Yes",Tab_Data_Flows[[#This Row],[E4_Fraction'[%']]]*Tab_Data_Flows[[#This Row],[E1_value]],"N.A.")</f>
        <v>0</v>
      </c>
      <c r="AG433" s="2" t="str">
        <f>Tab_Data_Flows[[#This Row],[E1_UoM]]</f>
        <v>Mg</v>
      </c>
      <c r="AH433" s="2">
        <f>_xlfn.XLOOKUP(Tab_Data_Flows[[#This Row],[Flow_Name]],Tab_Def_Flows[Flow_Name],Tab_Def_Flows[Flow_E5_Fraction'[%']],"N.A.",0,1)</f>
        <v>0</v>
      </c>
      <c r="AI433" s="2">
        <f>IF(H433="Yes",Tab_Data_Flows[[#This Row],[E5_Fraction'[%']]]*Tab_Data_Flows[[#This Row],[E1_value]],"N.A.")</f>
        <v>0</v>
      </c>
      <c r="AJ433" s="2" t="str">
        <f>Tab_Data_Flows[[#This Row],[E1_UoM]]</f>
        <v>Mg</v>
      </c>
      <c r="AK433" s="19">
        <f>_xlfn.XLOOKUP(Tab_Data_Flows[[#This Row],[Flow_Name]],Tab_Def_Flows[Flow_Name],Tab_Def_Flows[Flow_E6_Fraction'[%']],"N.A.",0,1)</f>
        <v>0</v>
      </c>
      <c r="AL433" s="2">
        <f>IF(Tab_Data_Flows[[#This Row],[Use_E6]]="Yes",Tab_Data_Flows[[#This Row],[E6_Fraction'[%']]]*Tab_Data_Flows[[#This Row],[E1_value]],"N.A.")</f>
        <v>0</v>
      </c>
      <c r="AM433" s="2" t="str">
        <f>Tab_Data_Flows[[#This Row],[E1_UoM]]</f>
        <v>Mg</v>
      </c>
    </row>
    <row r="434" spans="1:39" x14ac:dyDescent="0.25">
      <c r="A434" s="4">
        <f t="shared" si="12"/>
        <v>433</v>
      </c>
      <c r="B434" s="2" t="str">
        <f>_xlfn.XLOOKUP(C434,Tab_Def_Flows[Flow_Name],Tab_Def_Flows[Flow_ID],,0,)</f>
        <v>F__</v>
      </c>
      <c r="C434" s="18" t="s">
        <v>5</v>
      </c>
      <c r="D434" s="5" t="str">
        <f>_xlfn.XLOOKUP(C434,Tab_Def_Flows[Flow_Name],Tab_Def_Flows[Use_E1],,0,)</f>
        <v>Yes</v>
      </c>
      <c r="E434" s="5" t="str">
        <f>_xlfn.XLOOKUP(C434,Tab_Def_Flows[Flow_Name],Tab_Def_Flows[Use_E2],,0,)</f>
        <v>Yes</v>
      </c>
      <c r="F434" s="5" t="str">
        <f>_xlfn.XLOOKUP(C434,Tab_Def_Flows[Flow_Name],Tab_Def_Flows[Use_E3],,0,)</f>
        <v>Yes</v>
      </c>
      <c r="G434" s="5" t="str">
        <f>_xlfn.XLOOKUP(C434,Tab_Def_Flows[Flow_Name],Tab_Def_Flows[Use_E4],,0,)</f>
        <v>Yes</v>
      </c>
      <c r="H434" s="5" t="str">
        <f>_xlfn.XLOOKUP(C434,Tab_Def_Flows[Flow_Name],Tab_Def_Flows[Use_E5],,0,)</f>
        <v>Yes</v>
      </c>
      <c r="I434" s="5" t="str">
        <f>_xlfn.XLOOKUP(C434,Tab_Def_Flows[Flow_Name],Tab_Def_Flows[Use_E6],,0,)</f>
        <v>Yes</v>
      </c>
      <c r="J434" s="3"/>
      <c r="K434" s="3"/>
      <c r="L434" s="2" t="str">
        <f>'0_Configuration'!$C$41</f>
        <v>Mg</v>
      </c>
      <c r="M434" s="9"/>
      <c r="N434" s="9"/>
      <c r="O434" s="9"/>
      <c r="P434" s="9"/>
      <c r="Q434" s="18" t="s">
        <v>3</v>
      </c>
      <c r="R434" s="3"/>
      <c r="S434" s="3"/>
      <c r="T434" s="9"/>
      <c r="U434" s="9"/>
      <c r="V434" s="2">
        <f>_xlfn.XLOOKUP(Tab_Data_Flows[[#This Row],[Flow_Name]],Tab_Def_Flows[Flow_Name],Tab_Def_Flows[Flow_E1_Fraction'[%']],"N.A.",0,1)</f>
        <v>0</v>
      </c>
      <c r="W434" s="8">
        <f t="shared" si="15"/>
        <v>0</v>
      </c>
      <c r="X434" s="2" t="str">
        <f>Tab_Data_Flows[[#This Row],[UoM_Source]]</f>
        <v>Mg</v>
      </c>
      <c r="Y434" s="19">
        <f>_xlfn.XLOOKUP(Tab_Data_Flows[[#This Row],[Flow_Name]],Tab_Def_Flows[Flow_Name],Tab_Def_Flows[Flow_E2_Fraction'[%']],"N.A.",0,1)</f>
        <v>0</v>
      </c>
      <c r="Z434" s="2">
        <f>IF(D434="Yes",W434*Tab_Data_Flows[[#This Row],[E2_Fraction'[%']]],"N.A.")</f>
        <v>0</v>
      </c>
      <c r="AA434" s="2" t="str">
        <f>Tab_Data_Flows[[#This Row],[E1_UoM]]</f>
        <v>Mg</v>
      </c>
      <c r="AB434" s="19">
        <f>_xlfn.XLOOKUP(Tab_Data_Flows[[#This Row],[Flow_Name]],Tab_Def_Flows[Flow_Name],Tab_Def_Flows[Flow_E3_Fraction'[%']],"N.A.",0,1)</f>
        <v>0</v>
      </c>
      <c r="AC434" s="2">
        <f>IF(E434="Yes",AB434*Tab_Data_Flows[[#This Row],[E1_value]],"N.A.")</f>
        <v>0</v>
      </c>
      <c r="AD434" s="2" t="str">
        <f>Tab_Data_Flows[[#This Row],[E1_UoM]]</f>
        <v>Mg</v>
      </c>
      <c r="AE434" s="19">
        <f>_xlfn.XLOOKUP(Tab_Data_Flows[[#This Row],[Flow_Name]],Tab_Def_Flows[Flow_Name],Tab_Def_Flows[Flow_E4_Fraction'[%']],"N.A.",0,1)</f>
        <v>0</v>
      </c>
      <c r="AF434" s="2">
        <f>IF(H434="Yes",Tab_Data_Flows[[#This Row],[E4_Fraction'[%']]]*Tab_Data_Flows[[#This Row],[E1_value]],"N.A.")</f>
        <v>0</v>
      </c>
      <c r="AG434" s="2" t="str">
        <f>Tab_Data_Flows[[#This Row],[E1_UoM]]</f>
        <v>Mg</v>
      </c>
      <c r="AH434" s="2">
        <f>_xlfn.XLOOKUP(Tab_Data_Flows[[#This Row],[Flow_Name]],Tab_Def_Flows[Flow_Name],Tab_Def_Flows[Flow_E5_Fraction'[%']],"N.A.",0,1)</f>
        <v>0</v>
      </c>
      <c r="AI434" s="2">
        <f>IF(H434="Yes",Tab_Data_Flows[[#This Row],[E5_Fraction'[%']]]*Tab_Data_Flows[[#This Row],[E1_value]],"N.A.")</f>
        <v>0</v>
      </c>
      <c r="AJ434" s="2" t="str">
        <f>Tab_Data_Flows[[#This Row],[E1_UoM]]</f>
        <v>Mg</v>
      </c>
      <c r="AK434" s="19">
        <f>_xlfn.XLOOKUP(Tab_Data_Flows[[#This Row],[Flow_Name]],Tab_Def_Flows[Flow_Name],Tab_Def_Flows[Flow_E6_Fraction'[%']],"N.A.",0,1)</f>
        <v>0</v>
      </c>
      <c r="AL434" s="2">
        <f>IF(Tab_Data_Flows[[#This Row],[Use_E6]]="Yes",Tab_Data_Flows[[#This Row],[E6_Fraction'[%']]]*Tab_Data_Flows[[#This Row],[E1_value]],"N.A.")</f>
        <v>0</v>
      </c>
      <c r="AM434" s="2" t="str">
        <f>Tab_Data_Flows[[#This Row],[E1_UoM]]</f>
        <v>Mg</v>
      </c>
    </row>
    <row r="435" spans="1:39" x14ac:dyDescent="0.25">
      <c r="A435" s="4">
        <f t="shared" si="12"/>
        <v>434</v>
      </c>
      <c r="B435" s="2" t="str">
        <f>_xlfn.XLOOKUP(C435,Tab_Def_Flows[Flow_Name],Tab_Def_Flows[Flow_ID],,0,)</f>
        <v>F__</v>
      </c>
      <c r="C435" s="18" t="s">
        <v>5</v>
      </c>
      <c r="D435" s="5" t="str">
        <f>_xlfn.XLOOKUP(C435,Tab_Def_Flows[Flow_Name],Tab_Def_Flows[Use_E1],,0,)</f>
        <v>Yes</v>
      </c>
      <c r="E435" s="5" t="str">
        <f>_xlfn.XLOOKUP(C435,Tab_Def_Flows[Flow_Name],Tab_Def_Flows[Use_E2],,0,)</f>
        <v>Yes</v>
      </c>
      <c r="F435" s="5" t="str">
        <f>_xlfn.XLOOKUP(C435,Tab_Def_Flows[Flow_Name],Tab_Def_Flows[Use_E3],,0,)</f>
        <v>Yes</v>
      </c>
      <c r="G435" s="5" t="str">
        <f>_xlfn.XLOOKUP(C435,Tab_Def_Flows[Flow_Name],Tab_Def_Flows[Use_E4],,0,)</f>
        <v>Yes</v>
      </c>
      <c r="H435" s="5" t="str">
        <f>_xlfn.XLOOKUP(C435,Tab_Def_Flows[Flow_Name],Tab_Def_Flows[Use_E5],,0,)</f>
        <v>Yes</v>
      </c>
      <c r="I435" s="5" t="str">
        <f>_xlfn.XLOOKUP(C435,Tab_Def_Flows[Flow_Name],Tab_Def_Flows[Use_E6],,0,)</f>
        <v>Yes</v>
      </c>
      <c r="J435" s="3"/>
      <c r="K435" s="3"/>
      <c r="L435" s="2" t="str">
        <f>'0_Configuration'!$C$41</f>
        <v>Mg</v>
      </c>
      <c r="M435" s="9"/>
      <c r="N435" s="9"/>
      <c r="O435" s="9"/>
      <c r="P435" s="9"/>
      <c r="Q435" s="18" t="s">
        <v>3</v>
      </c>
      <c r="R435" s="3"/>
      <c r="S435" s="3"/>
      <c r="T435" s="9"/>
      <c r="U435" s="9"/>
      <c r="V435" s="2">
        <f>_xlfn.XLOOKUP(Tab_Data_Flows[[#This Row],[Flow_Name]],Tab_Def_Flows[Flow_Name],Tab_Def_Flows[Flow_E1_Fraction'[%']],"N.A.",0,1)</f>
        <v>0</v>
      </c>
      <c r="W435" s="8">
        <f t="shared" si="15"/>
        <v>0</v>
      </c>
      <c r="X435" s="2" t="str">
        <f>Tab_Data_Flows[[#This Row],[UoM_Source]]</f>
        <v>Mg</v>
      </c>
      <c r="Y435" s="19">
        <f>_xlfn.XLOOKUP(Tab_Data_Flows[[#This Row],[Flow_Name]],Tab_Def_Flows[Flow_Name],Tab_Def_Flows[Flow_E2_Fraction'[%']],"N.A.",0,1)</f>
        <v>0</v>
      </c>
      <c r="Z435" s="2">
        <f>IF(D435="Yes",W435*Tab_Data_Flows[[#This Row],[E2_Fraction'[%']]],"N.A.")</f>
        <v>0</v>
      </c>
      <c r="AA435" s="2" t="str">
        <f>Tab_Data_Flows[[#This Row],[E1_UoM]]</f>
        <v>Mg</v>
      </c>
      <c r="AB435" s="19">
        <f>_xlfn.XLOOKUP(Tab_Data_Flows[[#This Row],[Flow_Name]],Tab_Def_Flows[Flow_Name],Tab_Def_Flows[Flow_E3_Fraction'[%']],"N.A.",0,1)</f>
        <v>0</v>
      </c>
      <c r="AC435" s="2">
        <f>IF(E435="Yes",AB435*Tab_Data_Flows[[#This Row],[E1_value]],"N.A.")</f>
        <v>0</v>
      </c>
      <c r="AD435" s="2" t="str">
        <f>Tab_Data_Flows[[#This Row],[E1_UoM]]</f>
        <v>Mg</v>
      </c>
      <c r="AE435" s="19">
        <f>_xlfn.XLOOKUP(Tab_Data_Flows[[#This Row],[Flow_Name]],Tab_Def_Flows[Flow_Name],Tab_Def_Flows[Flow_E4_Fraction'[%']],"N.A.",0,1)</f>
        <v>0</v>
      </c>
      <c r="AF435" s="2">
        <f>IF(H435="Yes",Tab_Data_Flows[[#This Row],[E4_Fraction'[%']]]*Tab_Data_Flows[[#This Row],[E1_value]],"N.A.")</f>
        <v>0</v>
      </c>
      <c r="AG435" s="2" t="str">
        <f>Tab_Data_Flows[[#This Row],[E1_UoM]]</f>
        <v>Mg</v>
      </c>
      <c r="AH435" s="2">
        <f>_xlfn.XLOOKUP(Tab_Data_Flows[[#This Row],[Flow_Name]],Tab_Def_Flows[Flow_Name],Tab_Def_Flows[Flow_E5_Fraction'[%']],"N.A.",0,1)</f>
        <v>0</v>
      </c>
      <c r="AI435" s="2">
        <f>IF(H435="Yes",Tab_Data_Flows[[#This Row],[E5_Fraction'[%']]]*Tab_Data_Flows[[#This Row],[E1_value]],"N.A.")</f>
        <v>0</v>
      </c>
      <c r="AJ435" s="2" t="str">
        <f>Tab_Data_Flows[[#This Row],[E1_UoM]]</f>
        <v>Mg</v>
      </c>
      <c r="AK435" s="19">
        <f>_xlfn.XLOOKUP(Tab_Data_Flows[[#This Row],[Flow_Name]],Tab_Def_Flows[Flow_Name],Tab_Def_Flows[Flow_E6_Fraction'[%']],"N.A.",0,1)</f>
        <v>0</v>
      </c>
      <c r="AL435" s="2">
        <f>IF(Tab_Data_Flows[[#This Row],[Use_E6]]="Yes",Tab_Data_Flows[[#This Row],[E6_Fraction'[%']]]*Tab_Data_Flows[[#This Row],[E1_value]],"N.A.")</f>
        <v>0</v>
      </c>
      <c r="AM435" s="2" t="str">
        <f>Tab_Data_Flows[[#This Row],[E1_UoM]]</f>
        <v>Mg</v>
      </c>
    </row>
    <row r="436" spans="1:39" x14ac:dyDescent="0.25">
      <c r="A436" s="4">
        <f t="shared" si="12"/>
        <v>435</v>
      </c>
      <c r="B436" s="2" t="str">
        <f>_xlfn.XLOOKUP(C436,Tab_Def_Flows[Flow_Name],Tab_Def_Flows[Flow_ID],,0,)</f>
        <v>F__</v>
      </c>
      <c r="C436" s="18" t="s">
        <v>5</v>
      </c>
      <c r="D436" s="5" t="str">
        <f>_xlfn.XLOOKUP(C436,Tab_Def_Flows[Flow_Name],Tab_Def_Flows[Use_E1],,0,)</f>
        <v>Yes</v>
      </c>
      <c r="E436" s="5" t="str">
        <f>_xlfn.XLOOKUP(C436,Tab_Def_Flows[Flow_Name],Tab_Def_Flows[Use_E2],,0,)</f>
        <v>Yes</v>
      </c>
      <c r="F436" s="5" t="str">
        <f>_xlfn.XLOOKUP(C436,Tab_Def_Flows[Flow_Name],Tab_Def_Flows[Use_E3],,0,)</f>
        <v>Yes</v>
      </c>
      <c r="G436" s="5" t="str">
        <f>_xlfn.XLOOKUP(C436,Tab_Def_Flows[Flow_Name],Tab_Def_Flows[Use_E4],,0,)</f>
        <v>Yes</v>
      </c>
      <c r="H436" s="5" t="str">
        <f>_xlfn.XLOOKUP(C436,Tab_Def_Flows[Flow_Name],Tab_Def_Flows[Use_E5],,0,)</f>
        <v>Yes</v>
      </c>
      <c r="I436" s="5" t="str">
        <f>_xlfn.XLOOKUP(C436,Tab_Def_Flows[Flow_Name],Tab_Def_Flows[Use_E6],,0,)</f>
        <v>Yes</v>
      </c>
      <c r="J436" s="3"/>
      <c r="K436" s="3"/>
      <c r="L436" s="2" t="str">
        <f>'0_Configuration'!$C$41</f>
        <v>Mg</v>
      </c>
      <c r="M436" s="9"/>
      <c r="N436" s="9"/>
      <c r="O436" s="9"/>
      <c r="P436" s="9"/>
      <c r="Q436" s="18" t="s">
        <v>3</v>
      </c>
      <c r="R436" s="3"/>
      <c r="S436" s="3"/>
      <c r="T436" s="9"/>
      <c r="U436" s="9"/>
      <c r="V436" s="2">
        <f>_xlfn.XLOOKUP(Tab_Data_Flows[[#This Row],[Flow_Name]],Tab_Def_Flows[Flow_Name],Tab_Def_Flows[Flow_E1_Fraction'[%']],"N.A.",0,1)</f>
        <v>0</v>
      </c>
      <c r="W436" s="8">
        <f t="shared" si="15"/>
        <v>0</v>
      </c>
      <c r="X436" s="2" t="str">
        <f>Tab_Data_Flows[[#This Row],[UoM_Source]]</f>
        <v>Mg</v>
      </c>
      <c r="Y436" s="19">
        <f>_xlfn.XLOOKUP(Tab_Data_Flows[[#This Row],[Flow_Name]],Tab_Def_Flows[Flow_Name],Tab_Def_Flows[Flow_E2_Fraction'[%']],"N.A.",0,1)</f>
        <v>0</v>
      </c>
      <c r="Z436" s="2">
        <f>IF(D436="Yes",W436*Tab_Data_Flows[[#This Row],[E2_Fraction'[%']]],"N.A.")</f>
        <v>0</v>
      </c>
      <c r="AA436" s="2" t="str">
        <f>Tab_Data_Flows[[#This Row],[E1_UoM]]</f>
        <v>Mg</v>
      </c>
      <c r="AB436" s="19">
        <f>_xlfn.XLOOKUP(Tab_Data_Flows[[#This Row],[Flow_Name]],Tab_Def_Flows[Flow_Name],Tab_Def_Flows[Flow_E3_Fraction'[%']],"N.A.",0,1)</f>
        <v>0</v>
      </c>
      <c r="AC436" s="2">
        <f>IF(E436="Yes",AB436*Tab_Data_Flows[[#This Row],[E1_value]],"N.A.")</f>
        <v>0</v>
      </c>
      <c r="AD436" s="2" t="str">
        <f>Tab_Data_Flows[[#This Row],[E1_UoM]]</f>
        <v>Mg</v>
      </c>
      <c r="AE436" s="19">
        <f>_xlfn.XLOOKUP(Tab_Data_Flows[[#This Row],[Flow_Name]],Tab_Def_Flows[Flow_Name],Tab_Def_Flows[Flow_E4_Fraction'[%']],"N.A.",0,1)</f>
        <v>0</v>
      </c>
      <c r="AF436" s="2">
        <f>IF(H436="Yes",Tab_Data_Flows[[#This Row],[E4_Fraction'[%']]]*Tab_Data_Flows[[#This Row],[E1_value]],"N.A.")</f>
        <v>0</v>
      </c>
      <c r="AG436" s="2" t="str">
        <f>Tab_Data_Flows[[#This Row],[E1_UoM]]</f>
        <v>Mg</v>
      </c>
      <c r="AH436" s="2">
        <f>_xlfn.XLOOKUP(Tab_Data_Flows[[#This Row],[Flow_Name]],Tab_Def_Flows[Flow_Name],Tab_Def_Flows[Flow_E5_Fraction'[%']],"N.A.",0,1)</f>
        <v>0</v>
      </c>
      <c r="AI436" s="2">
        <f>IF(H436="Yes",Tab_Data_Flows[[#This Row],[E5_Fraction'[%']]]*Tab_Data_Flows[[#This Row],[E1_value]],"N.A.")</f>
        <v>0</v>
      </c>
      <c r="AJ436" s="2" t="str">
        <f>Tab_Data_Flows[[#This Row],[E1_UoM]]</f>
        <v>Mg</v>
      </c>
      <c r="AK436" s="19">
        <f>_xlfn.XLOOKUP(Tab_Data_Flows[[#This Row],[Flow_Name]],Tab_Def_Flows[Flow_Name],Tab_Def_Flows[Flow_E6_Fraction'[%']],"N.A.",0,1)</f>
        <v>0</v>
      </c>
      <c r="AL436" s="2">
        <f>IF(Tab_Data_Flows[[#This Row],[Use_E6]]="Yes",Tab_Data_Flows[[#This Row],[E6_Fraction'[%']]]*Tab_Data_Flows[[#This Row],[E1_value]],"N.A.")</f>
        <v>0</v>
      </c>
      <c r="AM436" s="2" t="str">
        <f>Tab_Data_Flows[[#This Row],[E1_UoM]]</f>
        <v>Mg</v>
      </c>
    </row>
    <row r="437" spans="1:39" x14ac:dyDescent="0.25">
      <c r="A437" s="4">
        <f t="shared" si="12"/>
        <v>436</v>
      </c>
      <c r="B437" s="2" t="str">
        <f>_xlfn.XLOOKUP(C437,Tab_Def_Flows[Flow_Name],Tab_Def_Flows[Flow_ID],,0,)</f>
        <v>F__</v>
      </c>
      <c r="C437" s="18" t="s">
        <v>5</v>
      </c>
      <c r="D437" s="5" t="str">
        <f>_xlfn.XLOOKUP(C437,Tab_Def_Flows[Flow_Name],Tab_Def_Flows[Use_E1],,0,)</f>
        <v>Yes</v>
      </c>
      <c r="E437" s="5" t="str">
        <f>_xlfn.XLOOKUP(C437,Tab_Def_Flows[Flow_Name],Tab_Def_Flows[Use_E2],,0,)</f>
        <v>Yes</v>
      </c>
      <c r="F437" s="5" t="str">
        <f>_xlfn.XLOOKUP(C437,Tab_Def_Flows[Flow_Name],Tab_Def_Flows[Use_E3],,0,)</f>
        <v>Yes</v>
      </c>
      <c r="G437" s="5" t="str">
        <f>_xlfn.XLOOKUP(C437,Tab_Def_Flows[Flow_Name],Tab_Def_Flows[Use_E4],,0,)</f>
        <v>Yes</v>
      </c>
      <c r="H437" s="5" t="str">
        <f>_xlfn.XLOOKUP(C437,Tab_Def_Flows[Flow_Name],Tab_Def_Flows[Use_E5],,0,)</f>
        <v>Yes</v>
      </c>
      <c r="I437" s="5" t="str">
        <f>_xlfn.XLOOKUP(C437,Tab_Def_Flows[Flow_Name],Tab_Def_Flows[Use_E6],,0,)</f>
        <v>Yes</v>
      </c>
      <c r="J437" s="3"/>
      <c r="K437" s="3"/>
      <c r="L437" s="2" t="str">
        <f>'0_Configuration'!$C$41</f>
        <v>Mg</v>
      </c>
      <c r="M437" s="9"/>
      <c r="N437" s="9"/>
      <c r="O437" s="9"/>
      <c r="P437" s="9"/>
      <c r="Q437" s="18" t="s">
        <v>3</v>
      </c>
      <c r="R437" s="3"/>
      <c r="S437" s="3"/>
      <c r="T437" s="9"/>
      <c r="U437" s="9"/>
      <c r="V437" s="2">
        <f>_xlfn.XLOOKUP(Tab_Data_Flows[[#This Row],[Flow_Name]],Tab_Def_Flows[Flow_Name],Tab_Def_Flows[Flow_E1_Fraction'[%']],"N.A.",0,1)</f>
        <v>0</v>
      </c>
      <c r="W437" s="8">
        <f t="shared" si="15"/>
        <v>0</v>
      </c>
      <c r="X437" s="2" t="str">
        <f>Tab_Data_Flows[[#This Row],[UoM_Source]]</f>
        <v>Mg</v>
      </c>
      <c r="Y437" s="19">
        <f>_xlfn.XLOOKUP(Tab_Data_Flows[[#This Row],[Flow_Name]],Tab_Def_Flows[Flow_Name],Tab_Def_Flows[Flow_E2_Fraction'[%']],"N.A.",0,1)</f>
        <v>0</v>
      </c>
      <c r="Z437" s="2">
        <f>IF(D437="Yes",W437*Tab_Data_Flows[[#This Row],[E2_Fraction'[%']]],"N.A.")</f>
        <v>0</v>
      </c>
      <c r="AA437" s="2" t="str">
        <f>Tab_Data_Flows[[#This Row],[E1_UoM]]</f>
        <v>Mg</v>
      </c>
      <c r="AB437" s="19">
        <f>_xlfn.XLOOKUP(Tab_Data_Flows[[#This Row],[Flow_Name]],Tab_Def_Flows[Flow_Name],Tab_Def_Flows[Flow_E3_Fraction'[%']],"N.A.",0,1)</f>
        <v>0</v>
      </c>
      <c r="AC437" s="2">
        <f>IF(E437="Yes",AB437*Tab_Data_Flows[[#This Row],[E1_value]],"N.A.")</f>
        <v>0</v>
      </c>
      <c r="AD437" s="2" t="str">
        <f>Tab_Data_Flows[[#This Row],[E1_UoM]]</f>
        <v>Mg</v>
      </c>
      <c r="AE437" s="19">
        <f>_xlfn.XLOOKUP(Tab_Data_Flows[[#This Row],[Flow_Name]],Tab_Def_Flows[Flow_Name],Tab_Def_Flows[Flow_E4_Fraction'[%']],"N.A.",0,1)</f>
        <v>0</v>
      </c>
      <c r="AF437" s="2">
        <f>IF(H437="Yes",Tab_Data_Flows[[#This Row],[E4_Fraction'[%']]]*Tab_Data_Flows[[#This Row],[E1_value]],"N.A.")</f>
        <v>0</v>
      </c>
      <c r="AG437" s="2" t="str">
        <f>Tab_Data_Flows[[#This Row],[E1_UoM]]</f>
        <v>Mg</v>
      </c>
      <c r="AH437" s="2">
        <f>_xlfn.XLOOKUP(Tab_Data_Flows[[#This Row],[Flow_Name]],Tab_Def_Flows[Flow_Name],Tab_Def_Flows[Flow_E5_Fraction'[%']],"N.A.",0,1)</f>
        <v>0</v>
      </c>
      <c r="AI437" s="2">
        <f>IF(H437="Yes",Tab_Data_Flows[[#This Row],[E5_Fraction'[%']]]*Tab_Data_Flows[[#This Row],[E1_value]],"N.A.")</f>
        <v>0</v>
      </c>
      <c r="AJ437" s="2" t="str">
        <f>Tab_Data_Flows[[#This Row],[E1_UoM]]</f>
        <v>Mg</v>
      </c>
      <c r="AK437" s="19">
        <f>_xlfn.XLOOKUP(Tab_Data_Flows[[#This Row],[Flow_Name]],Tab_Def_Flows[Flow_Name],Tab_Def_Flows[Flow_E6_Fraction'[%']],"N.A.",0,1)</f>
        <v>0</v>
      </c>
      <c r="AL437" s="2">
        <f>IF(Tab_Data_Flows[[#This Row],[Use_E6]]="Yes",Tab_Data_Flows[[#This Row],[E6_Fraction'[%']]]*Tab_Data_Flows[[#This Row],[E1_value]],"N.A.")</f>
        <v>0</v>
      </c>
      <c r="AM437" s="2" t="str">
        <f>Tab_Data_Flows[[#This Row],[E1_UoM]]</f>
        <v>Mg</v>
      </c>
    </row>
    <row r="438" spans="1:39" x14ac:dyDescent="0.25">
      <c r="A438" s="4">
        <f t="shared" si="12"/>
        <v>437</v>
      </c>
      <c r="B438" s="2" t="str">
        <f>_xlfn.XLOOKUP(C438,Tab_Def_Flows[Flow_Name],Tab_Def_Flows[Flow_ID],,0,)</f>
        <v>F__</v>
      </c>
      <c r="C438" s="18" t="s">
        <v>5</v>
      </c>
      <c r="D438" s="5" t="str">
        <f>_xlfn.XLOOKUP(C438,Tab_Def_Flows[Flow_Name],Tab_Def_Flows[Use_E1],,0,)</f>
        <v>Yes</v>
      </c>
      <c r="E438" s="5" t="str">
        <f>_xlfn.XLOOKUP(C438,Tab_Def_Flows[Flow_Name],Tab_Def_Flows[Use_E2],,0,)</f>
        <v>Yes</v>
      </c>
      <c r="F438" s="5" t="str">
        <f>_xlfn.XLOOKUP(C438,Tab_Def_Flows[Flow_Name],Tab_Def_Flows[Use_E3],,0,)</f>
        <v>Yes</v>
      </c>
      <c r="G438" s="5" t="str">
        <f>_xlfn.XLOOKUP(C438,Tab_Def_Flows[Flow_Name],Tab_Def_Flows[Use_E4],,0,)</f>
        <v>Yes</v>
      </c>
      <c r="H438" s="5" t="str">
        <f>_xlfn.XLOOKUP(C438,Tab_Def_Flows[Flow_Name],Tab_Def_Flows[Use_E5],,0,)</f>
        <v>Yes</v>
      </c>
      <c r="I438" s="5" t="str">
        <f>_xlfn.XLOOKUP(C438,Tab_Def_Flows[Flow_Name],Tab_Def_Flows[Use_E6],,0,)</f>
        <v>Yes</v>
      </c>
      <c r="J438" s="3"/>
      <c r="K438" s="3"/>
      <c r="L438" s="2" t="str">
        <f>'0_Configuration'!$C$41</f>
        <v>Mg</v>
      </c>
      <c r="M438" s="9"/>
      <c r="N438" s="9"/>
      <c r="O438" s="9"/>
      <c r="P438" s="9"/>
      <c r="Q438" s="18" t="s">
        <v>3</v>
      </c>
      <c r="R438" s="3"/>
      <c r="S438" s="3"/>
      <c r="T438" s="9"/>
      <c r="U438" s="9"/>
      <c r="V438" s="2">
        <f>_xlfn.XLOOKUP(Tab_Data_Flows[[#This Row],[Flow_Name]],Tab_Def_Flows[Flow_Name],Tab_Def_Flows[Flow_E1_Fraction'[%']],"N.A.",0,1)</f>
        <v>0</v>
      </c>
      <c r="W438" s="8">
        <f t="shared" si="15"/>
        <v>0</v>
      </c>
      <c r="X438" s="2" t="str">
        <f>Tab_Data_Flows[[#This Row],[UoM_Source]]</f>
        <v>Mg</v>
      </c>
      <c r="Y438" s="19">
        <f>_xlfn.XLOOKUP(Tab_Data_Flows[[#This Row],[Flow_Name]],Tab_Def_Flows[Flow_Name],Tab_Def_Flows[Flow_E2_Fraction'[%']],"N.A.",0,1)</f>
        <v>0</v>
      </c>
      <c r="Z438" s="2">
        <f>IF(D438="Yes",W438*Tab_Data_Flows[[#This Row],[E2_Fraction'[%']]],"N.A.")</f>
        <v>0</v>
      </c>
      <c r="AA438" s="2" t="str">
        <f>Tab_Data_Flows[[#This Row],[E1_UoM]]</f>
        <v>Mg</v>
      </c>
      <c r="AB438" s="19">
        <f>_xlfn.XLOOKUP(Tab_Data_Flows[[#This Row],[Flow_Name]],Tab_Def_Flows[Flow_Name],Tab_Def_Flows[Flow_E3_Fraction'[%']],"N.A.",0,1)</f>
        <v>0</v>
      </c>
      <c r="AC438" s="2">
        <f>IF(E438="Yes",AB438*Tab_Data_Flows[[#This Row],[E1_value]],"N.A.")</f>
        <v>0</v>
      </c>
      <c r="AD438" s="2" t="str">
        <f>Tab_Data_Flows[[#This Row],[E1_UoM]]</f>
        <v>Mg</v>
      </c>
      <c r="AE438" s="19">
        <f>_xlfn.XLOOKUP(Tab_Data_Flows[[#This Row],[Flow_Name]],Tab_Def_Flows[Flow_Name],Tab_Def_Flows[Flow_E4_Fraction'[%']],"N.A.",0,1)</f>
        <v>0</v>
      </c>
      <c r="AF438" s="2">
        <f>IF(H438="Yes",Tab_Data_Flows[[#This Row],[E4_Fraction'[%']]]*Tab_Data_Flows[[#This Row],[E1_value]],"N.A.")</f>
        <v>0</v>
      </c>
      <c r="AG438" s="2" t="str">
        <f>Tab_Data_Flows[[#This Row],[E1_UoM]]</f>
        <v>Mg</v>
      </c>
      <c r="AH438" s="2">
        <f>_xlfn.XLOOKUP(Tab_Data_Flows[[#This Row],[Flow_Name]],Tab_Def_Flows[Flow_Name],Tab_Def_Flows[Flow_E5_Fraction'[%']],"N.A.",0,1)</f>
        <v>0</v>
      </c>
      <c r="AI438" s="2">
        <f>IF(H438="Yes",Tab_Data_Flows[[#This Row],[E5_Fraction'[%']]]*Tab_Data_Flows[[#This Row],[E1_value]],"N.A.")</f>
        <v>0</v>
      </c>
      <c r="AJ438" s="2" t="str">
        <f>Tab_Data_Flows[[#This Row],[E1_UoM]]</f>
        <v>Mg</v>
      </c>
      <c r="AK438" s="19">
        <f>_xlfn.XLOOKUP(Tab_Data_Flows[[#This Row],[Flow_Name]],Tab_Def_Flows[Flow_Name],Tab_Def_Flows[Flow_E6_Fraction'[%']],"N.A.",0,1)</f>
        <v>0</v>
      </c>
      <c r="AL438" s="2">
        <f>IF(Tab_Data_Flows[[#This Row],[Use_E6]]="Yes",Tab_Data_Flows[[#This Row],[E6_Fraction'[%']]]*Tab_Data_Flows[[#This Row],[E1_value]],"N.A.")</f>
        <v>0</v>
      </c>
      <c r="AM438" s="2" t="str">
        <f>Tab_Data_Flows[[#This Row],[E1_UoM]]</f>
        <v>Mg</v>
      </c>
    </row>
    <row r="439" spans="1:39" x14ac:dyDescent="0.25">
      <c r="A439" s="4">
        <f t="shared" si="12"/>
        <v>438</v>
      </c>
      <c r="B439" s="2" t="str">
        <f>_xlfn.XLOOKUP(C439,Tab_Def_Flows[Flow_Name],Tab_Def_Flows[Flow_ID],,0,)</f>
        <v>F__</v>
      </c>
      <c r="C439" s="18" t="s">
        <v>5</v>
      </c>
      <c r="D439" s="5" t="str">
        <f>_xlfn.XLOOKUP(C439,Tab_Def_Flows[Flow_Name],Tab_Def_Flows[Use_E1],,0,)</f>
        <v>Yes</v>
      </c>
      <c r="E439" s="5" t="str">
        <f>_xlfn.XLOOKUP(C439,Tab_Def_Flows[Flow_Name],Tab_Def_Flows[Use_E2],,0,)</f>
        <v>Yes</v>
      </c>
      <c r="F439" s="5" t="str">
        <f>_xlfn.XLOOKUP(C439,Tab_Def_Flows[Flow_Name],Tab_Def_Flows[Use_E3],,0,)</f>
        <v>Yes</v>
      </c>
      <c r="G439" s="5" t="str">
        <f>_xlfn.XLOOKUP(C439,Tab_Def_Flows[Flow_Name],Tab_Def_Flows[Use_E4],,0,)</f>
        <v>Yes</v>
      </c>
      <c r="H439" s="5" t="str">
        <f>_xlfn.XLOOKUP(C439,Tab_Def_Flows[Flow_Name],Tab_Def_Flows[Use_E5],,0,)</f>
        <v>Yes</v>
      </c>
      <c r="I439" s="5" t="str">
        <f>_xlfn.XLOOKUP(C439,Tab_Def_Flows[Flow_Name],Tab_Def_Flows[Use_E6],,0,)</f>
        <v>Yes</v>
      </c>
      <c r="J439" s="3"/>
      <c r="K439" s="3"/>
      <c r="L439" s="2" t="str">
        <f>'0_Configuration'!$C$41</f>
        <v>Mg</v>
      </c>
      <c r="M439" s="9"/>
      <c r="N439" s="9"/>
      <c r="O439" s="9"/>
      <c r="P439" s="9"/>
      <c r="Q439" s="18" t="s">
        <v>3</v>
      </c>
      <c r="R439" s="3"/>
      <c r="S439" s="3"/>
      <c r="T439" s="9"/>
      <c r="U439" s="9"/>
      <c r="V439" s="2">
        <f>_xlfn.XLOOKUP(Tab_Data_Flows[[#This Row],[Flow_Name]],Tab_Def_Flows[Flow_Name],Tab_Def_Flows[Flow_E1_Fraction'[%']],"N.A.",0,1)</f>
        <v>0</v>
      </c>
      <c r="W439" s="8">
        <f t="shared" si="15"/>
        <v>0</v>
      </c>
      <c r="X439" s="2" t="str">
        <f>Tab_Data_Flows[[#This Row],[UoM_Source]]</f>
        <v>Mg</v>
      </c>
      <c r="Y439" s="19">
        <f>_xlfn.XLOOKUP(Tab_Data_Flows[[#This Row],[Flow_Name]],Tab_Def_Flows[Flow_Name],Tab_Def_Flows[Flow_E2_Fraction'[%']],"N.A.",0,1)</f>
        <v>0</v>
      </c>
      <c r="Z439" s="2">
        <f>IF(D439="Yes",W439*Tab_Data_Flows[[#This Row],[E2_Fraction'[%']]],"N.A.")</f>
        <v>0</v>
      </c>
      <c r="AA439" s="2" t="str">
        <f>Tab_Data_Flows[[#This Row],[E1_UoM]]</f>
        <v>Mg</v>
      </c>
      <c r="AB439" s="19">
        <f>_xlfn.XLOOKUP(Tab_Data_Flows[[#This Row],[Flow_Name]],Tab_Def_Flows[Flow_Name],Tab_Def_Flows[Flow_E3_Fraction'[%']],"N.A.",0,1)</f>
        <v>0</v>
      </c>
      <c r="AC439" s="2">
        <f>IF(E439="Yes",AB439*Tab_Data_Flows[[#This Row],[E1_value]],"N.A.")</f>
        <v>0</v>
      </c>
      <c r="AD439" s="2" t="str">
        <f>Tab_Data_Flows[[#This Row],[E1_UoM]]</f>
        <v>Mg</v>
      </c>
      <c r="AE439" s="19">
        <f>_xlfn.XLOOKUP(Tab_Data_Flows[[#This Row],[Flow_Name]],Tab_Def_Flows[Flow_Name],Tab_Def_Flows[Flow_E4_Fraction'[%']],"N.A.",0,1)</f>
        <v>0</v>
      </c>
      <c r="AF439" s="2">
        <f>IF(H439="Yes",Tab_Data_Flows[[#This Row],[E4_Fraction'[%']]]*Tab_Data_Flows[[#This Row],[E1_value]],"N.A.")</f>
        <v>0</v>
      </c>
      <c r="AG439" s="2" t="str">
        <f>Tab_Data_Flows[[#This Row],[E1_UoM]]</f>
        <v>Mg</v>
      </c>
      <c r="AH439" s="2">
        <f>_xlfn.XLOOKUP(Tab_Data_Flows[[#This Row],[Flow_Name]],Tab_Def_Flows[Flow_Name],Tab_Def_Flows[Flow_E5_Fraction'[%']],"N.A.",0,1)</f>
        <v>0</v>
      </c>
      <c r="AI439" s="2">
        <f>IF(H439="Yes",Tab_Data_Flows[[#This Row],[E5_Fraction'[%']]]*Tab_Data_Flows[[#This Row],[E1_value]],"N.A.")</f>
        <v>0</v>
      </c>
      <c r="AJ439" s="2" t="str">
        <f>Tab_Data_Flows[[#This Row],[E1_UoM]]</f>
        <v>Mg</v>
      </c>
      <c r="AK439" s="19">
        <f>_xlfn.XLOOKUP(Tab_Data_Flows[[#This Row],[Flow_Name]],Tab_Def_Flows[Flow_Name],Tab_Def_Flows[Flow_E6_Fraction'[%']],"N.A.",0,1)</f>
        <v>0</v>
      </c>
      <c r="AL439" s="2">
        <f>IF(Tab_Data_Flows[[#This Row],[Use_E6]]="Yes",Tab_Data_Flows[[#This Row],[E6_Fraction'[%']]]*Tab_Data_Flows[[#This Row],[E1_value]],"N.A.")</f>
        <v>0</v>
      </c>
      <c r="AM439" s="2" t="str">
        <f>Tab_Data_Flows[[#This Row],[E1_UoM]]</f>
        <v>Mg</v>
      </c>
    </row>
    <row r="440" spans="1:39" x14ac:dyDescent="0.25">
      <c r="A440" s="4">
        <f t="shared" si="12"/>
        <v>439</v>
      </c>
      <c r="B440" s="2" t="str">
        <f>_xlfn.XLOOKUP(C440,Tab_Def_Flows[Flow_Name],Tab_Def_Flows[Flow_ID],,0,)</f>
        <v>F__</v>
      </c>
      <c r="C440" s="18" t="s">
        <v>5</v>
      </c>
      <c r="D440" s="5" t="str">
        <f>_xlfn.XLOOKUP(C440,Tab_Def_Flows[Flow_Name],Tab_Def_Flows[Use_E1],,0,)</f>
        <v>Yes</v>
      </c>
      <c r="E440" s="5" t="str">
        <f>_xlfn.XLOOKUP(C440,Tab_Def_Flows[Flow_Name],Tab_Def_Flows[Use_E2],,0,)</f>
        <v>Yes</v>
      </c>
      <c r="F440" s="5" t="str">
        <f>_xlfn.XLOOKUP(C440,Tab_Def_Flows[Flow_Name],Tab_Def_Flows[Use_E3],,0,)</f>
        <v>Yes</v>
      </c>
      <c r="G440" s="5" t="str">
        <f>_xlfn.XLOOKUP(C440,Tab_Def_Flows[Flow_Name],Tab_Def_Flows[Use_E4],,0,)</f>
        <v>Yes</v>
      </c>
      <c r="H440" s="5" t="str">
        <f>_xlfn.XLOOKUP(C440,Tab_Def_Flows[Flow_Name],Tab_Def_Flows[Use_E5],,0,)</f>
        <v>Yes</v>
      </c>
      <c r="I440" s="5" t="str">
        <f>_xlfn.XLOOKUP(C440,Tab_Def_Flows[Flow_Name],Tab_Def_Flows[Use_E6],,0,)</f>
        <v>Yes</v>
      </c>
      <c r="J440" s="3"/>
      <c r="K440" s="3"/>
      <c r="L440" s="2" t="str">
        <f>'0_Configuration'!$C$41</f>
        <v>Mg</v>
      </c>
      <c r="M440" s="9"/>
      <c r="N440" s="9"/>
      <c r="O440" s="9"/>
      <c r="P440" s="9"/>
      <c r="Q440" s="18" t="s">
        <v>3</v>
      </c>
      <c r="R440" s="3"/>
      <c r="S440" s="3"/>
      <c r="T440" s="9"/>
      <c r="U440" s="9"/>
      <c r="V440" s="2">
        <f>_xlfn.XLOOKUP(Tab_Data_Flows[[#This Row],[Flow_Name]],Tab_Def_Flows[Flow_Name],Tab_Def_Flows[Flow_E1_Fraction'[%']],"N.A.",0,1)</f>
        <v>0</v>
      </c>
      <c r="W440" s="8">
        <f t="shared" si="15"/>
        <v>0</v>
      </c>
      <c r="X440" s="2" t="str">
        <f>Tab_Data_Flows[[#This Row],[UoM_Source]]</f>
        <v>Mg</v>
      </c>
      <c r="Y440" s="19">
        <f>_xlfn.XLOOKUP(Tab_Data_Flows[[#This Row],[Flow_Name]],Tab_Def_Flows[Flow_Name],Tab_Def_Flows[Flow_E2_Fraction'[%']],"N.A.",0,1)</f>
        <v>0</v>
      </c>
      <c r="Z440" s="2">
        <f>IF(D440="Yes",W440*Tab_Data_Flows[[#This Row],[E2_Fraction'[%']]],"N.A.")</f>
        <v>0</v>
      </c>
      <c r="AA440" s="2" t="str">
        <f>Tab_Data_Flows[[#This Row],[E1_UoM]]</f>
        <v>Mg</v>
      </c>
      <c r="AB440" s="19">
        <f>_xlfn.XLOOKUP(Tab_Data_Flows[[#This Row],[Flow_Name]],Tab_Def_Flows[Flow_Name],Tab_Def_Flows[Flow_E3_Fraction'[%']],"N.A.",0,1)</f>
        <v>0</v>
      </c>
      <c r="AC440" s="2">
        <f>IF(E440="Yes",AB440*Tab_Data_Flows[[#This Row],[E1_value]],"N.A.")</f>
        <v>0</v>
      </c>
      <c r="AD440" s="2" t="str">
        <f>Tab_Data_Flows[[#This Row],[E1_UoM]]</f>
        <v>Mg</v>
      </c>
      <c r="AE440" s="19">
        <f>_xlfn.XLOOKUP(Tab_Data_Flows[[#This Row],[Flow_Name]],Tab_Def_Flows[Flow_Name],Tab_Def_Flows[Flow_E4_Fraction'[%']],"N.A.",0,1)</f>
        <v>0</v>
      </c>
      <c r="AF440" s="2">
        <f>IF(H440="Yes",Tab_Data_Flows[[#This Row],[E4_Fraction'[%']]]*Tab_Data_Flows[[#This Row],[E1_value]],"N.A.")</f>
        <v>0</v>
      </c>
      <c r="AG440" s="2" t="str">
        <f>Tab_Data_Flows[[#This Row],[E1_UoM]]</f>
        <v>Mg</v>
      </c>
      <c r="AH440" s="2">
        <f>_xlfn.XLOOKUP(Tab_Data_Flows[[#This Row],[Flow_Name]],Tab_Def_Flows[Flow_Name],Tab_Def_Flows[Flow_E5_Fraction'[%']],"N.A.",0,1)</f>
        <v>0</v>
      </c>
      <c r="AI440" s="2">
        <f>IF(H440="Yes",Tab_Data_Flows[[#This Row],[E5_Fraction'[%']]]*Tab_Data_Flows[[#This Row],[E1_value]],"N.A.")</f>
        <v>0</v>
      </c>
      <c r="AJ440" s="2" t="str">
        <f>Tab_Data_Flows[[#This Row],[E1_UoM]]</f>
        <v>Mg</v>
      </c>
      <c r="AK440" s="19">
        <f>_xlfn.XLOOKUP(Tab_Data_Flows[[#This Row],[Flow_Name]],Tab_Def_Flows[Flow_Name],Tab_Def_Flows[Flow_E6_Fraction'[%']],"N.A.",0,1)</f>
        <v>0</v>
      </c>
      <c r="AL440" s="2">
        <f>IF(Tab_Data_Flows[[#This Row],[Use_E6]]="Yes",Tab_Data_Flows[[#This Row],[E6_Fraction'[%']]]*Tab_Data_Flows[[#This Row],[E1_value]],"N.A.")</f>
        <v>0</v>
      </c>
      <c r="AM440" s="2" t="str">
        <f>Tab_Data_Flows[[#This Row],[E1_UoM]]</f>
        <v>Mg</v>
      </c>
    </row>
    <row r="441" spans="1:39" x14ac:dyDescent="0.25">
      <c r="A441" s="4">
        <f t="shared" si="12"/>
        <v>440</v>
      </c>
      <c r="B441" s="2" t="str">
        <f>_xlfn.XLOOKUP(C441,Tab_Def_Flows[Flow_Name],Tab_Def_Flows[Flow_ID],,0,)</f>
        <v>F__</v>
      </c>
      <c r="C441" s="18" t="s">
        <v>5</v>
      </c>
      <c r="D441" s="5" t="str">
        <f>_xlfn.XLOOKUP(C441,Tab_Def_Flows[Flow_Name],Tab_Def_Flows[Use_E1],,0,)</f>
        <v>Yes</v>
      </c>
      <c r="E441" s="5" t="str">
        <f>_xlfn.XLOOKUP(C441,Tab_Def_Flows[Flow_Name],Tab_Def_Flows[Use_E2],,0,)</f>
        <v>Yes</v>
      </c>
      <c r="F441" s="5" t="str">
        <f>_xlfn.XLOOKUP(C441,Tab_Def_Flows[Flow_Name],Tab_Def_Flows[Use_E3],,0,)</f>
        <v>Yes</v>
      </c>
      <c r="G441" s="5" t="str">
        <f>_xlfn.XLOOKUP(C441,Tab_Def_Flows[Flow_Name],Tab_Def_Flows[Use_E4],,0,)</f>
        <v>Yes</v>
      </c>
      <c r="H441" s="5" t="str">
        <f>_xlfn.XLOOKUP(C441,Tab_Def_Flows[Flow_Name],Tab_Def_Flows[Use_E5],,0,)</f>
        <v>Yes</v>
      </c>
      <c r="I441" s="5" t="str">
        <f>_xlfn.XLOOKUP(C441,Tab_Def_Flows[Flow_Name],Tab_Def_Flows[Use_E6],,0,)</f>
        <v>Yes</v>
      </c>
      <c r="J441" s="3"/>
      <c r="K441" s="3"/>
      <c r="L441" s="2" t="str">
        <f>'0_Configuration'!$C$41</f>
        <v>Mg</v>
      </c>
      <c r="M441" s="9"/>
      <c r="N441" s="9"/>
      <c r="O441" s="9"/>
      <c r="P441" s="9"/>
      <c r="Q441" s="18" t="s">
        <v>3</v>
      </c>
      <c r="R441" s="3"/>
      <c r="S441" s="3"/>
      <c r="T441" s="9"/>
      <c r="U441" s="9"/>
      <c r="V441" s="2">
        <f>_xlfn.XLOOKUP(Tab_Data_Flows[[#This Row],[Flow_Name]],Tab_Def_Flows[Flow_Name],Tab_Def_Flows[Flow_E1_Fraction'[%']],"N.A.",0,1)</f>
        <v>0</v>
      </c>
      <c r="W441" s="8">
        <f t="shared" si="15"/>
        <v>0</v>
      </c>
      <c r="X441" s="2" t="str">
        <f>Tab_Data_Flows[[#This Row],[UoM_Source]]</f>
        <v>Mg</v>
      </c>
      <c r="Y441" s="19">
        <f>_xlfn.XLOOKUP(Tab_Data_Flows[[#This Row],[Flow_Name]],Tab_Def_Flows[Flow_Name],Tab_Def_Flows[Flow_E2_Fraction'[%']],"N.A.",0,1)</f>
        <v>0</v>
      </c>
      <c r="Z441" s="2">
        <f>IF(D441="Yes",W441*Tab_Data_Flows[[#This Row],[E2_Fraction'[%']]],"N.A.")</f>
        <v>0</v>
      </c>
      <c r="AA441" s="2" t="str">
        <f>Tab_Data_Flows[[#This Row],[E1_UoM]]</f>
        <v>Mg</v>
      </c>
      <c r="AB441" s="19">
        <f>_xlfn.XLOOKUP(Tab_Data_Flows[[#This Row],[Flow_Name]],Tab_Def_Flows[Flow_Name],Tab_Def_Flows[Flow_E3_Fraction'[%']],"N.A.",0,1)</f>
        <v>0</v>
      </c>
      <c r="AC441" s="2">
        <f>IF(E441="Yes",AB441*Tab_Data_Flows[[#This Row],[E1_value]],"N.A.")</f>
        <v>0</v>
      </c>
      <c r="AD441" s="2" t="str">
        <f>Tab_Data_Flows[[#This Row],[E1_UoM]]</f>
        <v>Mg</v>
      </c>
      <c r="AE441" s="19">
        <f>_xlfn.XLOOKUP(Tab_Data_Flows[[#This Row],[Flow_Name]],Tab_Def_Flows[Flow_Name],Tab_Def_Flows[Flow_E4_Fraction'[%']],"N.A.",0,1)</f>
        <v>0</v>
      </c>
      <c r="AF441" s="2">
        <f>IF(H441="Yes",Tab_Data_Flows[[#This Row],[E4_Fraction'[%']]]*Tab_Data_Flows[[#This Row],[E1_value]],"N.A.")</f>
        <v>0</v>
      </c>
      <c r="AG441" s="2" t="str">
        <f>Tab_Data_Flows[[#This Row],[E1_UoM]]</f>
        <v>Mg</v>
      </c>
      <c r="AH441" s="2">
        <f>_xlfn.XLOOKUP(Tab_Data_Flows[[#This Row],[Flow_Name]],Tab_Def_Flows[Flow_Name],Tab_Def_Flows[Flow_E5_Fraction'[%']],"N.A.",0,1)</f>
        <v>0</v>
      </c>
      <c r="AI441" s="2">
        <f>IF(H441="Yes",Tab_Data_Flows[[#This Row],[E5_Fraction'[%']]]*Tab_Data_Flows[[#This Row],[E1_value]],"N.A.")</f>
        <v>0</v>
      </c>
      <c r="AJ441" s="2" t="str">
        <f>Tab_Data_Flows[[#This Row],[E1_UoM]]</f>
        <v>Mg</v>
      </c>
      <c r="AK441" s="19">
        <f>_xlfn.XLOOKUP(Tab_Data_Flows[[#This Row],[Flow_Name]],Tab_Def_Flows[Flow_Name],Tab_Def_Flows[Flow_E6_Fraction'[%']],"N.A.",0,1)</f>
        <v>0</v>
      </c>
      <c r="AL441" s="2">
        <f>IF(Tab_Data_Flows[[#This Row],[Use_E6]]="Yes",Tab_Data_Flows[[#This Row],[E6_Fraction'[%']]]*Tab_Data_Flows[[#This Row],[E1_value]],"N.A.")</f>
        <v>0</v>
      </c>
      <c r="AM441" s="2" t="str">
        <f>Tab_Data_Flows[[#This Row],[E1_UoM]]</f>
        <v>Mg</v>
      </c>
    </row>
    <row r="442" spans="1:39" x14ac:dyDescent="0.25">
      <c r="A442" s="4">
        <f t="shared" si="12"/>
        <v>441</v>
      </c>
      <c r="B442" s="2" t="str">
        <f>_xlfn.XLOOKUP(C442,Tab_Def_Flows[Flow_Name],Tab_Def_Flows[Flow_ID],,0,)</f>
        <v>F__</v>
      </c>
      <c r="C442" s="18" t="s">
        <v>5</v>
      </c>
      <c r="D442" s="5" t="str">
        <f>_xlfn.XLOOKUP(C442,Tab_Def_Flows[Flow_Name],Tab_Def_Flows[Use_E1],,0,)</f>
        <v>Yes</v>
      </c>
      <c r="E442" s="5" t="str">
        <f>_xlfn.XLOOKUP(C442,Tab_Def_Flows[Flow_Name],Tab_Def_Flows[Use_E2],,0,)</f>
        <v>Yes</v>
      </c>
      <c r="F442" s="5" t="str">
        <f>_xlfn.XLOOKUP(C442,Tab_Def_Flows[Flow_Name],Tab_Def_Flows[Use_E3],,0,)</f>
        <v>Yes</v>
      </c>
      <c r="G442" s="5" t="str">
        <f>_xlfn.XLOOKUP(C442,Tab_Def_Flows[Flow_Name],Tab_Def_Flows[Use_E4],,0,)</f>
        <v>Yes</v>
      </c>
      <c r="H442" s="5" t="str">
        <f>_xlfn.XLOOKUP(C442,Tab_Def_Flows[Flow_Name],Tab_Def_Flows[Use_E5],,0,)</f>
        <v>Yes</v>
      </c>
      <c r="I442" s="5" t="str">
        <f>_xlfn.XLOOKUP(C442,Tab_Def_Flows[Flow_Name],Tab_Def_Flows[Use_E6],,0,)</f>
        <v>Yes</v>
      </c>
      <c r="J442" s="3"/>
      <c r="K442" s="3"/>
      <c r="L442" s="2" t="str">
        <f>'0_Configuration'!$C$41</f>
        <v>Mg</v>
      </c>
      <c r="M442" s="9"/>
      <c r="N442" s="9"/>
      <c r="O442" s="9"/>
      <c r="P442" s="9"/>
      <c r="Q442" s="18" t="s">
        <v>3</v>
      </c>
      <c r="R442" s="3"/>
      <c r="S442" s="3"/>
      <c r="T442" s="9"/>
      <c r="U442" s="9"/>
      <c r="V442" s="2">
        <f>_xlfn.XLOOKUP(Tab_Data_Flows[[#This Row],[Flow_Name]],Tab_Def_Flows[Flow_Name],Tab_Def_Flows[Flow_E1_Fraction'[%']],"N.A.",0,1)</f>
        <v>0</v>
      </c>
      <c r="W442" s="8">
        <f t="shared" si="15"/>
        <v>0</v>
      </c>
      <c r="X442" s="2" t="str">
        <f>Tab_Data_Flows[[#This Row],[UoM_Source]]</f>
        <v>Mg</v>
      </c>
      <c r="Y442" s="19">
        <f>_xlfn.XLOOKUP(Tab_Data_Flows[[#This Row],[Flow_Name]],Tab_Def_Flows[Flow_Name],Tab_Def_Flows[Flow_E2_Fraction'[%']],"N.A.",0,1)</f>
        <v>0</v>
      </c>
      <c r="Z442" s="2">
        <f>IF(D442="Yes",W442*Tab_Data_Flows[[#This Row],[E2_Fraction'[%']]],"N.A.")</f>
        <v>0</v>
      </c>
      <c r="AA442" s="2" t="str">
        <f>Tab_Data_Flows[[#This Row],[E1_UoM]]</f>
        <v>Mg</v>
      </c>
      <c r="AB442" s="19">
        <f>_xlfn.XLOOKUP(Tab_Data_Flows[[#This Row],[Flow_Name]],Tab_Def_Flows[Flow_Name],Tab_Def_Flows[Flow_E3_Fraction'[%']],"N.A.",0,1)</f>
        <v>0</v>
      </c>
      <c r="AC442" s="2">
        <f>IF(E442="Yes",AB442*Tab_Data_Flows[[#This Row],[E1_value]],"N.A.")</f>
        <v>0</v>
      </c>
      <c r="AD442" s="2" t="str">
        <f>Tab_Data_Flows[[#This Row],[E1_UoM]]</f>
        <v>Mg</v>
      </c>
      <c r="AE442" s="19">
        <f>_xlfn.XLOOKUP(Tab_Data_Flows[[#This Row],[Flow_Name]],Tab_Def_Flows[Flow_Name],Tab_Def_Flows[Flow_E4_Fraction'[%']],"N.A.",0,1)</f>
        <v>0</v>
      </c>
      <c r="AF442" s="2">
        <f>IF(H442="Yes",Tab_Data_Flows[[#This Row],[E4_Fraction'[%']]]*Tab_Data_Flows[[#This Row],[E1_value]],"N.A.")</f>
        <v>0</v>
      </c>
      <c r="AG442" s="2" t="str">
        <f>Tab_Data_Flows[[#This Row],[E1_UoM]]</f>
        <v>Mg</v>
      </c>
      <c r="AH442" s="2">
        <f>_xlfn.XLOOKUP(Tab_Data_Flows[[#This Row],[Flow_Name]],Tab_Def_Flows[Flow_Name],Tab_Def_Flows[Flow_E5_Fraction'[%']],"N.A.",0,1)</f>
        <v>0</v>
      </c>
      <c r="AI442" s="2">
        <f>IF(H442="Yes",Tab_Data_Flows[[#This Row],[E5_Fraction'[%']]]*Tab_Data_Flows[[#This Row],[E1_value]],"N.A.")</f>
        <v>0</v>
      </c>
      <c r="AJ442" s="2" t="str">
        <f>Tab_Data_Flows[[#This Row],[E1_UoM]]</f>
        <v>Mg</v>
      </c>
      <c r="AK442" s="19">
        <f>_xlfn.XLOOKUP(Tab_Data_Flows[[#This Row],[Flow_Name]],Tab_Def_Flows[Flow_Name],Tab_Def_Flows[Flow_E6_Fraction'[%']],"N.A.",0,1)</f>
        <v>0</v>
      </c>
      <c r="AL442" s="2">
        <f>IF(Tab_Data_Flows[[#This Row],[Use_E6]]="Yes",Tab_Data_Flows[[#This Row],[E6_Fraction'[%']]]*Tab_Data_Flows[[#This Row],[E1_value]],"N.A.")</f>
        <v>0</v>
      </c>
      <c r="AM442" s="2" t="str">
        <f>Tab_Data_Flows[[#This Row],[E1_UoM]]</f>
        <v>Mg</v>
      </c>
    </row>
    <row r="443" spans="1:39" x14ac:dyDescent="0.25">
      <c r="A443" s="4">
        <f t="shared" si="12"/>
        <v>442</v>
      </c>
      <c r="B443" s="2" t="str">
        <f>_xlfn.XLOOKUP(C443,Tab_Def_Flows[Flow_Name],Tab_Def_Flows[Flow_ID],,0,)</f>
        <v>F__</v>
      </c>
      <c r="C443" s="18" t="s">
        <v>5</v>
      </c>
      <c r="D443" s="5" t="str">
        <f>_xlfn.XLOOKUP(C443,Tab_Def_Flows[Flow_Name],Tab_Def_Flows[Use_E1],,0,)</f>
        <v>Yes</v>
      </c>
      <c r="E443" s="5" t="str">
        <f>_xlfn.XLOOKUP(C443,Tab_Def_Flows[Flow_Name],Tab_Def_Flows[Use_E2],,0,)</f>
        <v>Yes</v>
      </c>
      <c r="F443" s="5" t="str">
        <f>_xlfn.XLOOKUP(C443,Tab_Def_Flows[Flow_Name],Tab_Def_Flows[Use_E3],,0,)</f>
        <v>Yes</v>
      </c>
      <c r="G443" s="5" t="str">
        <f>_xlfn.XLOOKUP(C443,Tab_Def_Flows[Flow_Name],Tab_Def_Flows[Use_E4],,0,)</f>
        <v>Yes</v>
      </c>
      <c r="H443" s="5" t="str">
        <f>_xlfn.XLOOKUP(C443,Tab_Def_Flows[Flow_Name],Tab_Def_Flows[Use_E5],,0,)</f>
        <v>Yes</v>
      </c>
      <c r="I443" s="5" t="str">
        <f>_xlfn.XLOOKUP(C443,Tab_Def_Flows[Flow_Name],Tab_Def_Flows[Use_E6],,0,)</f>
        <v>Yes</v>
      </c>
      <c r="J443" s="3"/>
      <c r="K443" s="3"/>
      <c r="L443" s="2" t="str">
        <f>'0_Configuration'!$C$41</f>
        <v>Mg</v>
      </c>
      <c r="M443" s="9"/>
      <c r="N443" s="9"/>
      <c r="O443" s="9"/>
      <c r="P443" s="9"/>
      <c r="Q443" s="18" t="s">
        <v>3</v>
      </c>
      <c r="R443" s="3"/>
      <c r="S443" s="3"/>
      <c r="T443" s="9"/>
      <c r="U443" s="9"/>
      <c r="V443" s="2">
        <f>_xlfn.XLOOKUP(Tab_Data_Flows[[#This Row],[Flow_Name]],Tab_Def_Flows[Flow_Name],Tab_Def_Flows[Flow_E1_Fraction'[%']],"N.A.",0,1)</f>
        <v>0</v>
      </c>
      <c r="W443" s="8">
        <f t="shared" si="15"/>
        <v>0</v>
      </c>
      <c r="X443" s="2" t="str">
        <f>Tab_Data_Flows[[#This Row],[UoM_Source]]</f>
        <v>Mg</v>
      </c>
      <c r="Y443" s="19">
        <f>_xlfn.XLOOKUP(Tab_Data_Flows[[#This Row],[Flow_Name]],Tab_Def_Flows[Flow_Name],Tab_Def_Flows[Flow_E2_Fraction'[%']],"N.A.",0,1)</f>
        <v>0</v>
      </c>
      <c r="Z443" s="2">
        <f>IF(D443="Yes",W443*Tab_Data_Flows[[#This Row],[E2_Fraction'[%']]],"N.A.")</f>
        <v>0</v>
      </c>
      <c r="AA443" s="2" t="str">
        <f>Tab_Data_Flows[[#This Row],[E1_UoM]]</f>
        <v>Mg</v>
      </c>
      <c r="AB443" s="19">
        <f>_xlfn.XLOOKUP(Tab_Data_Flows[[#This Row],[Flow_Name]],Tab_Def_Flows[Flow_Name],Tab_Def_Flows[Flow_E3_Fraction'[%']],"N.A.",0,1)</f>
        <v>0</v>
      </c>
      <c r="AC443" s="2">
        <f>IF(E443="Yes",AB443*Tab_Data_Flows[[#This Row],[E1_value]],"N.A.")</f>
        <v>0</v>
      </c>
      <c r="AD443" s="2" t="str">
        <f>Tab_Data_Flows[[#This Row],[E1_UoM]]</f>
        <v>Mg</v>
      </c>
      <c r="AE443" s="19">
        <f>_xlfn.XLOOKUP(Tab_Data_Flows[[#This Row],[Flow_Name]],Tab_Def_Flows[Flow_Name],Tab_Def_Flows[Flow_E4_Fraction'[%']],"N.A.",0,1)</f>
        <v>0</v>
      </c>
      <c r="AF443" s="2">
        <f>IF(H443="Yes",Tab_Data_Flows[[#This Row],[E4_Fraction'[%']]]*Tab_Data_Flows[[#This Row],[E1_value]],"N.A.")</f>
        <v>0</v>
      </c>
      <c r="AG443" s="2" t="str">
        <f>Tab_Data_Flows[[#This Row],[E1_UoM]]</f>
        <v>Mg</v>
      </c>
      <c r="AH443" s="2">
        <f>_xlfn.XLOOKUP(Tab_Data_Flows[[#This Row],[Flow_Name]],Tab_Def_Flows[Flow_Name],Tab_Def_Flows[Flow_E5_Fraction'[%']],"N.A.",0,1)</f>
        <v>0</v>
      </c>
      <c r="AI443" s="2">
        <f>IF(H443="Yes",Tab_Data_Flows[[#This Row],[E5_Fraction'[%']]]*Tab_Data_Flows[[#This Row],[E1_value]],"N.A.")</f>
        <v>0</v>
      </c>
      <c r="AJ443" s="2" t="str">
        <f>Tab_Data_Flows[[#This Row],[E1_UoM]]</f>
        <v>Mg</v>
      </c>
      <c r="AK443" s="19">
        <f>_xlfn.XLOOKUP(Tab_Data_Flows[[#This Row],[Flow_Name]],Tab_Def_Flows[Flow_Name],Tab_Def_Flows[Flow_E6_Fraction'[%']],"N.A.",0,1)</f>
        <v>0</v>
      </c>
      <c r="AL443" s="2">
        <f>IF(Tab_Data_Flows[[#This Row],[Use_E6]]="Yes",Tab_Data_Flows[[#This Row],[E6_Fraction'[%']]]*Tab_Data_Flows[[#This Row],[E1_value]],"N.A.")</f>
        <v>0</v>
      </c>
      <c r="AM443" s="2" t="str">
        <f>Tab_Data_Flows[[#This Row],[E1_UoM]]</f>
        <v>Mg</v>
      </c>
    </row>
    <row r="444" spans="1:39" x14ac:dyDescent="0.25">
      <c r="A444" s="4">
        <f t="shared" si="12"/>
        <v>443</v>
      </c>
      <c r="B444" s="2" t="str">
        <f>_xlfn.XLOOKUP(C444,Tab_Def_Flows[Flow_Name],Tab_Def_Flows[Flow_ID],,0,)</f>
        <v>F__</v>
      </c>
      <c r="C444" s="18" t="s">
        <v>5</v>
      </c>
      <c r="D444" s="5" t="str">
        <f>_xlfn.XLOOKUP(C444,Tab_Def_Flows[Flow_Name],Tab_Def_Flows[Use_E1],,0,)</f>
        <v>Yes</v>
      </c>
      <c r="E444" s="5" t="str">
        <f>_xlfn.XLOOKUP(C444,Tab_Def_Flows[Flow_Name],Tab_Def_Flows[Use_E2],,0,)</f>
        <v>Yes</v>
      </c>
      <c r="F444" s="5" t="str">
        <f>_xlfn.XLOOKUP(C444,Tab_Def_Flows[Flow_Name],Tab_Def_Flows[Use_E3],,0,)</f>
        <v>Yes</v>
      </c>
      <c r="G444" s="5" t="str">
        <f>_xlfn.XLOOKUP(C444,Tab_Def_Flows[Flow_Name],Tab_Def_Flows[Use_E4],,0,)</f>
        <v>Yes</v>
      </c>
      <c r="H444" s="5" t="str">
        <f>_xlfn.XLOOKUP(C444,Tab_Def_Flows[Flow_Name],Tab_Def_Flows[Use_E5],,0,)</f>
        <v>Yes</v>
      </c>
      <c r="I444" s="5" t="str">
        <f>_xlfn.XLOOKUP(C444,Tab_Def_Flows[Flow_Name],Tab_Def_Flows[Use_E6],,0,)</f>
        <v>Yes</v>
      </c>
      <c r="J444" s="3"/>
      <c r="K444" s="3"/>
      <c r="L444" s="2" t="str">
        <f>'0_Configuration'!$C$41</f>
        <v>Mg</v>
      </c>
      <c r="M444" s="9"/>
      <c r="N444" s="9"/>
      <c r="O444" s="9"/>
      <c r="P444" s="9"/>
      <c r="Q444" s="18" t="s">
        <v>3</v>
      </c>
      <c r="R444" s="3"/>
      <c r="S444" s="3"/>
      <c r="T444" s="9"/>
      <c r="U444" s="9"/>
      <c r="V444" s="2">
        <f>_xlfn.XLOOKUP(Tab_Data_Flows[[#This Row],[Flow_Name]],Tab_Def_Flows[Flow_Name],Tab_Def_Flows[Flow_E1_Fraction'[%']],"N.A.",0,1)</f>
        <v>0</v>
      </c>
      <c r="W444" s="8">
        <f t="shared" si="15"/>
        <v>0</v>
      </c>
      <c r="X444" s="2" t="str">
        <f>Tab_Data_Flows[[#This Row],[UoM_Source]]</f>
        <v>Mg</v>
      </c>
      <c r="Y444" s="19">
        <f>_xlfn.XLOOKUP(Tab_Data_Flows[[#This Row],[Flow_Name]],Tab_Def_Flows[Flow_Name],Tab_Def_Flows[Flow_E2_Fraction'[%']],"N.A.",0,1)</f>
        <v>0</v>
      </c>
      <c r="Z444" s="2">
        <f>IF(D444="Yes",W444*Tab_Data_Flows[[#This Row],[E2_Fraction'[%']]],"N.A.")</f>
        <v>0</v>
      </c>
      <c r="AA444" s="2" t="str">
        <f>Tab_Data_Flows[[#This Row],[E1_UoM]]</f>
        <v>Mg</v>
      </c>
      <c r="AB444" s="19">
        <f>_xlfn.XLOOKUP(Tab_Data_Flows[[#This Row],[Flow_Name]],Tab_Def_Flows[Flow_Name],Tab_Def_Flows[Flow_E3_Fraction'[%']],"N.A.",0,1)</f>
        <v>0</v>
      </c>
      <c r="AC444" s="2">
        <f>IF(E444="Yes",AB444*Tab_Data_Flows[[#This Row],[E1_value]],"N.A.")</f>
        <v>0</v>
      </c>
      <c r="AD444" s="2" t="str">
        <f>Tab_Data_Flows[[#This Row],[E1_UoM]]</f>
        <v>Mg</v>
      </c>
      <c r="AE444" s="19">
        <f>_xlfn.XLOOKUP(Tab_Data_Flows[[#This Row],[Flow_Name]],Tab_Def_Flows[Flow_Name],Tab_Def_Flows[Flow_E4_Fraction'[%']],"N.A.",0,1)</f>
        <v>0</v>
      </c>
      <c r="AF444" s="2">
        <f>IF(H444="Yes",Tab_Data_Flows[[#This Row],[E4_Fraction'[%']]]*Tab_Data_Flows[[#This Row],[E1_value]],"N.A.")</f>
        <v>0</v>
      </c>
      <c r="AG444" s="2" t="str">
        <f>Tab_Data_Flows[[#This Row],[E1_UoM]]</f>
        <v>Mg</v>
      </c>
      <c r="AH444" s="2">
        <f>_xlfn.XLOOKUP(Tab_Data_Flows[[#This Row],[Flow_Name]],Tab_Def_Flows[Flow_Name],Tab_Def_Flows[Flow_E5_Fraction'[%']],"N.A.",0,1)</f>
        <v>0</v>
      </c>
      <c r="AI444" s="2">
        <f>IF(H444="Yes",Tab_Data_Flows[[#This Row],[E5_Fraction'[%']]]*Tab_Data_Flows[[#This Row],[E1_value]],"N.A.")</f>
        <v>0</v>
      </c>
      <c r="AJ444" s="2" t="str">
        <f>Tab_Data_Flows[[#This Row],[E1_UoM]]</f>
        <v>Mg</v>
      </c>
      <c r="AK444" s="19">
        <f>_xlfn.XLOOKUP(Tab_Data_Flows[[#This Row],[Flow_Name]],Tab_Def_Flows[Flow_Name],Tab_Def_Flows[Flow_E6_Fraction'[%']],"N.A.",0,1)</f>
        <v>0</v>
      </c>
      <c r="AL444" s="2">
        <f>IF(Tab_Data_Flows[[#This Row],[Use_E6]]="Yes",Tab_Data_Flows[[#This Row],[E6_Fraction'[%']]]*Tab_Data_Flows[[#This Row],[E1_value]],"N.A.")</f>
        <v>0</v>
      </c>
      <c r="AM444" s="2" t="str">
        <f>Tab_Data_Flows[[#This Row],[E1_UoM]]</f>
        <v>Mg</v>
      </c>
    </row>
    <row r="445" spans="1:39" x14ac:dyDescent="0.25">
      <c r="A445" s="4">
        <f t="shared" si="12"/>
        <v>444</v>
      </c>
      <c r="B445" s="2" t="str">
        <f>_xlfn.XLOOKUP(C445,Tab_Def_Flows[Flow_Name],Tab_Def_Flows[Flow_ID],,0,)</f>
        <v>F__</v>
      </c>
      <c r="C445" s="18" t="s">
        <v>5</v>
      </c>
      <c r="D445" s="5" t="str">
        <f>_xlfn.XLOOKUP(C445,Tab_Def_Flows[Flow_Name],Tab_Def_Flows[Use_E1],,0,)</f>
        <v>Yes</v>
      </c>
      <c r="E445" s="5" t="str">
        <f>_xlfn.XLOOKUP(C445,Tab_Def_Flows[Flow_Name],Tab_Def_Flows[Use_E2],,0,)</f>
        <v>Yes</v>
      </c>
      <c r="F445" s="5" t="str">
        <f>_xlfn.XLOOKUP(C445,Tab_Def_Flows[Flow_Name],Tab_Def_Flows[Use_E3],,0,)</f>
        <v>Yes</v>
      </c>
      <c r="G445" s="5" t="str">
        <f>_xlfn.XLOOKUP(C445,Tab_Def_Flows[Flow_Name],Tab_Def_Flows[Use_E4],,0,)</f>
        <v>Yes</v>
      </c>
      <c r="H445" s="5" t="str">
        <f>_xlfn.XLOOKUP(C445,Tab_Def_Flows[Flow_Name],Tab_Def_Flows[Use_E5],,0,)</f>
        <v>Yes</v>
      </c>
      <c r="I445" s="5" t="str">
        <f>_xlfn.XLOOKUP(C445,Tab_Def_Flows[Flow_Name],Tab_Def_Flows[Use_E6],,0,)</f>
        <v>Yes</v>
      </c>
      <c r="J445" s="3"/>
      <c r="K445" s="3"/>
      <c r="L445" s="2" t="str">
        <f>'0_Configuration'!$C$41</f>
        <v>Mg</v>
      </c>
      <c r="M445" s="9"/>
      <c r="N445" s="9"/>
      <c r="O445" s="9"/>
      <c r="P445" s="9"/>
      <c r="Q445" s="18" t="s">
        <v>3</v>
      </c>
      <c r="R445" s="3"/>
      <c r="S445" s="3"/>
      <c r="T445" s="9"/>
      <c r="U445" s="9"/>
      <c r="V445" s="2">
        <f>_xlfn.XLOOKUP(Tab_Data_Flows[[#This Row],[Flow_Name]],Tab_Def_Flows[Flow_Name],Tab_Def_Flows[Flow_E1_Fraction'[%']],"N.A.",0,1)</f>
        <v>0</v>
      </c>
      <c r="W445" s="8">
        <f t="shared" si="15"/>
        <v>0</v>
      </c>
      <c r="X445" s="2" t="str">
        <f>Tab_Data_Flows[[#This Row],[UoM_Source]]</f>
        <v>Mg</v>
      </c>
      <c r="Y445" s="19">
        <f>_xlfn.XLOOKUP(Tab_Data_Flows[[#This Row],[Flow_Name]],Tab_Def_Flows[Flow_Name],Tab_Def_Flows[Flow_E2_Fraction'[%']],"N.A.",0,1)</f>
        <v>0</v>
      </c>
      <c r="Z445" s="2">
        <f>IF(D445="Yes",W445*Tab_Data_Flows[[#This Row],[E2_Fraction'[%']]],"N.A.")</f>
        <v>0</v>
      </c>
      <c r="AA445" s="2" t="str">
        <f>Tab_Data_Flows[[#This Row],[E1_UoM]]</f>
        <v>Mg</v>
      </c>
      <c r="AB445" s="19">
        <f>_xlfn.XLOOKUP(Tab_Data_Flows[[#This Row],[Flow_Name]],Tab_Def_Flows[Flow_Name],Tab_Def_Flows[Flow_E3_Fraction'[%']],"N.A.",0,1)</f>
        <v>0</v>
      </c>
      <c r="AC445" s="2">
        <f>IF(E445="Yes",AB445*Tab_Data_Flows[[#This Row],[E1_value]],"N.A.")</f>
        <v>0</v>
      </c>
      <c r="AD445" s="2" t="str">
        <f>Tab_Data_Flows[[#This Row],[E1_UoM]]</f>
        <v>Mg</v>
      </c>
      <c r="AE445" s="19">
        <f>_xlfn.XLOOKUP(Tab_Data_Flows[[#This Row],[Flow_Name]],Tab_Def_Flows[Flow_Name],Tab_Def_Flows[Flow_E4_Fraction'[%']],"N.A.",0,1)</f>
        <v>0</v>
      </c>
      <c r="AF445" s="2">
        <f>IF(H445="Yes",Tab_Data_Flows[[#This Row],[E4_Fraction'[%']]]*Tab_Data_Flows[[#This Row],[E1_value]],"N.A.")</f>
        <v>0</v>
      </c>
      <c r="AG445" s="2" t="str">
        <f>Tab_Data_Flows[[#This Row],[E1_UoM]]</f>
        <v>Mg</v>
      </c>
      <c r="AH445" s="2">
        <f>_xlfn.XLOOKUP(Tab_Data_Flows[[#This Row],[Flow_Name]],Tab_Def_Flows[Flow_Name],Tab_Def_Flows[Flow_E5_Fraction'[%']],"N.A.",0,1)</f>
        <v>0</v>
      </c>
      <c r="AI445" s="2">
        <f>IF(H445="Yes",Tab_Data_Flows[[#This Row],[E5_Fraction'[%']]]*Tab_Data_Flows[[#This Row],[E1_value]],"N.A.")</f>
        <v>0</v>
      </c>
      <c r="AJ445" s="2" t="str">
        <f>Tab_Data_Flows[[#This Row],[E1_UoM]]</f>
        <v>Mg</v>
      </c>
      <c r="AK445" s="19">
        <f>_xlfn.XLOOKUP(Tab_Data_Flows[[#This Row],[Flow_Name]],Tab_Def_Flows[Flow_Name],Tab_Def_Flows[Flow_E6_Fraction'[%']],"N.A.",0,1)</f>
        <v>0</v>
      </c>
      <c r="AL445" s="2">
        <f>IF(Tab_Data_Flows[[#This Row],[Use_E6]]="Yes",Tab_Data_Flows[[#This Row],[E6_Fraction'[%']]]*Tab_Data_Flows[[#This Row],[E1_value]],"N.A.")</f>
        <v>0</v>
      </c>
      <c r="AM445" s="2" t="str">
        <f>Tab_Data_Flows[[#This Row],[E1_UoM]]</f>
        <v>Mg</v>
      </c>
    </row>
    <row r="446" spans="1:39" x14ac:dyDescent="0.25">
      <c r="A446" s="4">
        <f t="shared" si="12"/>
        <v>445</v>
      </c>
      <c r="B446" s="2" t="str">
        <f>_xlfn.XLOOKUP(C446,Tab_Def_Flows[Flow_Name],Tab_Def_Flows[Flow_ID],,0,)</f>
        <v>F__</v>
      </c>
      <c r="C446" s="18" t="s">
        <v>5</v>
      </c>
      <c r="D446" s="5" t="str">
        <f>_xlfn.XLOOKUP(C446,Tab_Def_Flows[Flow_Name],Tab_Def_Flows[Use_E1],,0,)</f>
        <v>Yes</v>
      </c>
      <c r="E446" s="5" t="str">
        <f>_xlfn.XLOOKUP(C446,Tab_Def_Flows[Flow_Name],Tab_Def_Flows[Use_E2],,0,)</f>
        <v>Yes</v>
      </c>
      <c r="F446" s="5" t="str">
        <f>_xlfn.XLOOKUP(C446,Tab_Def_Flows[Flow_Name],Tab_Def_Flows[Use_E3],,0,)</f>
        <v>Yes</v>
      </c>
      <c r="G446" s="5" t="str">
        <f>_xlfn.XLOOKUP(C446,Tab_Def_Flows[Flow_Name],Tab_Def_Flows[Use_E4],,0,)</f>
        <v>Yes</v>
      </c>
      <c r="H446" s="5" t="str">
        <f>_xlfn.XLOOKUP(C446,Tab_Def_Flows[Flow_Name],Tab_Def_Flows[Use_E5],,0,)</f>
        <v>Yes</v>
      </c>
      <c r="I446" s="5" t="str">
        <f>_xlfn.XLOOKUP(C446,Tab_Def_Flows[Flow_Name],Tab_Def_Flows[Use_E6],,0,)</f>
        <v>Yes</v>
      </c>
      <c r="J446" s="3"/>
      <c r="K446" s="3"/>
      <c r="L446" s="2" t="str">
        <f>'0_Configuration'!$C$41</f>
        <v>Mg</v>
      </c>
      <c r="M446" s="9"/>
      <c r="N446" s="9"/>
      <c r="O446" s="9"/>
      <c r="P446" s="9"/>
      <c r="Q446" s="18" t="s">
        <v>3</v>
      </c>
      <c r="R446" s="3"/>
      <c r="S446" s="3"/>
      <c r="T446" s="9"/>
      <c r="U446" s="9"/>
      <c r="V446" s="2">
        <f>_xlfn.XLOOKUP(Tab_Data_Flows[[#This Row],[Flow_Name]],Tab_Def_Flows[Flow_Name],Tab_Def_Flows[Flow_E1_Fraction'[%']],"N.A.",0,1)</f>
        <v>0</v>
      </c>
      <c r="W446" s="8">
        <f t="shared" si="15"/>
        <v>0</v>
      </c>
      <c r="X446" s="2" t="str">
        <f>Tab_Data_Flows[[#This Row],[UoM_Source]]</f>
        <v>Mg</v>
      </c>
      <c r="Y446" s="19">
        <f>_xlfn.XLOOKUP(Tab_Data_Flows[[#This Row],[Flow_Name]],Tab_Def_Flows[Flow_Name],Tab_Def_Flows[Flow_E2_Fraction'[%']],"N.A.",0,1)</f>
        <v>0</v>
      </c>
      <c r="Z446" s="2">
        <f>IF(D446="Yes",W446*Tab_Data_Flows[[#This Row],[E2_Fraction'[%']]],"N.A.")</f>
        <v>0</v>
      </c>
      <c r="AA446" s="2" t="str">
        <f>Tab_Data_Flows[[#This Row],[E1_UoM]]</f>
        <v>Mg</v>
      </c>
      <c r="AB446" s="19">
        <f>_xlfn.XLOOKUP(Tab_Data_Flows[[#This Row],[Flow_Name]],Tab_Def_Flows[Flow_Name],Tab_Def_Flows[Flow_E3_Fraction'[%']],"N.A.",0,1)</f>
        <v>0</v>
      </c>
      <c r="AC446" s="2">
        <f>IF(E446="Yes",AB446*Tab_Data_Flows[[#This Row],[E1_value]],"N.A.")</f>
        <v>0</v>
      </c>
      <c r="AD446" s="2" t="str">
        <f>Tab_Data_Flows[[#This Row],[E1_UoM]]</f>
        <v>Mg</v>
      </c>
      <c r="AE446" s="19">
        <f>_xlfn.XLOOKUP(Tab_Data_Flows[[#This Row],[Flow_Name]],Tab_Def_Flows[Flow_Name],Tab_Def_Flows[Flow_E4_Fraction'[%']],"N.A.",0,1)</f>
        <v>0</v>
      </c>
      <c r="AF446" s="2">
        <f>IF(H446="Yes",Tab_Data_Flows[[#This Row],[E4_Fraction'[%']]]*Tab_Data_Flows[[#This Row],[E1_value]],"N.A.")</f>
        <v>0</v>
      </c>
      <c r="AG446" s="2" t="str">
        <f>Tab_Data_Flows[[#This Row],[E1_UoM]]</f>
        <v>Mg</v>
      </c>
      <c r="AH446" s="2">
        <f>_xlfn.XLOOKUP(Tab_Data_Flows[[#This Row],[Flow_Name]],Tab_Def_Flows[Flow_Name],Tab_Def_Flows[Flow_E5_Fraction'[%']],"N.A.",0,1)</f>
        <v>0</v>
      </c>
      <c r="AI446" s="2">
        <f>IF(H446="Yes",Tab_Data_Flows[[#This Row],[E5_Fraction'[%']]]*Tab_Data_Flows[[#This Row],[E1_value]],"N.A.")</f>
        <v>0</v>
      </c>
      <c r="AJ446" s="2" t="str">
        <f>Tab_Data_Flows[[#This Row],[E1_UoM]]</f>
        <v>Mg</v>
      </c>
      <c r="AK446" s="19">
        <f>_xlfn.XLOOKUP(Tab_Data_Flows[[#This Row],[Flow_Name]],Tab_Def_Flows[Flow_Name],Tab_Def_Flows[Flow_E6_Fraction'[%']],"N.A.",0,1)</f>
        <v>0</v>
      </c>
      <c r="AL446" s="2">
        <f>IF(Tab_Data_Flows[[#This Row],[Use_E6]]="Yes",Tab_Data_Flows[[#This Row],[E6_Fraction'[%']]]*Tab_Data_Flows[[#This Row],[E1_value]],"N.A.")</f>
        <v>0</v>
      </c>
      <c r="AM446" s="2" t="str">
        <f>Tab_Data_Flows[[#This Row],[E1_UoM]]</f>
        <v>Mg</v>
      </c>
    </row>
    <row r="447" spans="1:39" x14ac:dyDescent="0.25">
      <c r="A447" s="4">
        <f t="shared" si="12"/>
        <v>446</v>
      </c>
      <c r="B447" s="2" t="str">
        <f>_xlfn.XLOOKUP(C447,Tab_Def_Flows[Flow_Name],Tab_Def_Flows[Flow_ID],,0,)</f>
        <v>F__</v>
      </c>
      <c r="C447" s="18" t="s">
        <v>5</v>
      </c>
      <c r="D447" s="5" t="str">
        <f>_xlfn.XLOOKUP(C447,Tab_Def_Flows[Flow_Name],Tab_Def_Flows[Use_E1],,0,)</f>
        <v>Yes</v>
      </c>
      <c r="E447" s="5" t="str">
        <f>_xlfn.XLOOKUP(C447,Tab_Def_Flows[Flow_Name],Tab_Def_Flows[Use_E2],,0,)</f>
        <v>Yes</v>
      </c>
      <c r="F447" s="5" t="str">
        <f>_xlfn.XLOOKUP(C447,Tab_Def_Flows[Flow_Name],Tab_Def_Flows[Use_E3],,0,)</f>
        <v>Yes</v>
      </c>
      <c r="G447" s="5" t="str">
        <f>_xlfn.XLOOKUP(C447,Tab_Def_Flows[Flow_Name],Tab_Def_Flows[Use_E4],,0,)</f>
        <v>Yes</v>
      </c>
      <c r="H447" s="5" t="str">
        <f>_xlfn.XLOOKUP(C447,Tab_Def_Flows[Flow_Name],Tab_Def_Flows[Use_E5],,0,)</f>
        <v>Yes</v>
      </c>
      <c r="I447" s="5" t="str">
        <f>_xlfn.XLOOKUP(C447,Tab_Def_Flows[Flow_Name],Tab_Def_Flows[Use_E6],,0,)</f>
        <v>Yes</v>
      </c>
      <c r="J447" s="3"/>
      <c r="K447" s="3"/>
      <c r="L447" s="2" t="str">
        <f>'0_Configuration'!$C$41</f>
        <v>Mg</v>
      </c>
      <c r="M447" s="9"/>
      <c r="N447" s="9"/>
      <c r="O447" s="9"/>
      <c r="P447" s="9"/>
      <c r="Q447" s="18" t="s">
        <v>3</v>
      </c>
      <c r="R447" s="3"/>
      <c r="S447" s="3"/>
      <c r="T447" s="9"/>
      <c r="U447" s="9"/>
      <c r="V447" s="2">
        <f>_xlfn.XLOOKUP(Tab_Data_Flows[[#This Row],[Flow_Name]],Tab_Def_Flows[Flow_Name],Tab_Def_Flows[Flow_E1_Fraction'[%']],"N.A.",0,1)</f>
        <v>0</v>
      </c>
      <c r="W447" s="8">
        <f t="shared" si="15"/>
        <v>0</v>
      </c>
      <c r="X447" s="2" t="str">
        <f>Tab_Data_Flows[[#This Row],[UoM_Source]]</f>
        <v>Mg</v>
      </c>
      <c r="Y447" s="19">
        <f>_xlfn.XLOOKUP(Tab_Data_Flows[[#This Row],[Flow_Name]],Tab_Def_Flows[Flow_Name],Tab_Def_Flows[Flow_E2_Fraction'[%']],"N.A.",0,1)</f>
        <v>0</v>
      </c>
      <c r="Z447" s="2">
        <f>IF(D447="Yes",W447*Tab_Data_Flows[[#This Row],[E2_Fraction'[%']]],"N.A.")</f>
        <v>0</v>
      </c>
      <c r="AA447" s="2" t="str">
        <f>Tab_Data_Flows[[#This Row],[E1_UoM]]</f>
        <v>Mg</v>
      </c>
      <c r="AB447" s="19">
        <f>_xlfn.XLOOKUP(Tab_Data_Flows[[#This Row],[Flow_Name]],Tab_Def_Flows[Flow_Name],Tab_Def_Flows[Flow_E3_Fraction'[%']],"N.A.",0,1)</f>
        <v>0</v>
      </c>
      <c r="AC447" s="2">
        <f>IF(E447="Yes",AB447*Tab_Data_Flows[[#This Row],[E1_value]],"N.A.")</f>
        <v>0</v>
      </c>
      <c r="AD447" s="2" t="str">
        <f>Tab_Data_Flows[[#This Row],[E1_UoM]]</f>
        <v>Mg</v>
      </c>
      <c r="AE447" s="19">
        <f>_xlfn.XLOOKUP(Tab_Data_Flows[[#This Row],[Flow_Name]],Tab_Def_Flows[Flow_Name],Tab_Def_Flows[Flow_E4_Fraction'[%']],"N.A.",0,1)</f>
        <v>0</v>
      </c>
      <c r="AF447" s="2">
        <f>IF(H447="Yes",Tab_Data_Flows[[#This Row],[E4_Fraction'[%']]]*Tab_Data_Flows[[#This Row],[E1_value]],"N.A.")</f>
        <v>0</v>
      </c>
      <c r="AG447" s="2" t="str">
        <f>Tab_Data_Flows[[#This Row],[E1_UoM]]</f>
        <v>Mg</v>
      </c>
      <c r="AH447" s="2">
        <f>_xlfn.XLOOKUP(Tab_Data_Flows[[#This Row],[Flow_Name]],Tab_Def_Flows[Flow_Name],Tab_Def_Flows[Flow_E5_Fraction'[%']],"N.A.",0,1)</f>
        <v>0</v>
      </c>
      <c r="AI447" s="2">
        <f>IF(H447="Yes",Tab_Data_Flows[[#This Row],[E5_Fraction'[%']]]*Tab_Data_Flows[[#This Row],[E1_value]],"N.A.")</f>
        <v>0</v>
      </c>
      <c r="AJ447" s="2" t="str">
        <f>Tab_Data_Flows[[#This Row],[E1_UoM]]</f>
        <v>Mg</v>
      </c>
      <c r="AK447" s="19">
        <f>_xlfn.XLOOKUP(Tab_Data_Flows[[#This Row],[Flow_Name]],Tab_Def_Flows[Flow_Name],Tab_Def_Flows[Flow_E6_Fraction'[%']],"N.A.",0,1)</f>
        <v>0</v>
      </c>
      <c r="AL447" s="2">
        <f>IF(Tab_Data_Flows[[#This Row],[Use_E6]]="Yes",Tab_Data_Flows[[#This Row],[E6_Fraction'[%']]]*Tab_Data_Flows[[#This Row],[E1_value]],"N.A.")</f>
        <v>0</v>
      </c>
      <c r="AM447" s="2" t="str">
        <f>Tab_Data_Flows[[#This Row],[E1_UoM]]</f>
        <v>Mg</v>
      </c>
    </row>
    <row r="448" spans="1:39" x14ac:dyDescent="0.25">
      <c r="A448" s="4">
        <f t="shared" si="12"/>
        <v>447</v>
      </c>
      <c r="B448" s="2" t="str">
        <f>_xlfn.XLOOKUP(C448,Tab_Def_Flows[Flow_Name],Tab_Def_Flows[Flow_ID],,0,)</f>
        <v>F__</v>
      </c>
      <c r="C448" s="18" t="s">
        <v>5</v>
      </c>
      <c r="D448" s="5" t="str">
        <f>_xlfn.XLOOKUP(C448,Tab_Def_Flows[Flow_Name],Tab_Def_Flows[Use_E1],,0,)</f>
        <v>Yes</v>
      </c>
      <c r="E448" s="5" t="str">
        <f>_xlfn.XLOOKUP(C448,Tab_Def_Flows[Flow_Name],Tab_Def_Flows[Use_E2],,0,)</f>
        <v>Yes</v>
      </c>
      <c r="F448" s="5" t="str">
        <f>_xlfn.XLOOKUP(C448,Tab_Def_Flows[Flow_Name],Tab_Def_Flows[Use_E3],,0,)</f>
        <v>Yes</v>
      </c>
      <c r="G448" s="5" t="str">
        <f>_xlfn.XLOOKUP(C448,Tab_Def_Flows[Flow_Name],Tab_Def_Flows[Use_E4],,0,)</f>
        <v>Yes</v>
      </c>
      <c r="H448" s="5" t="str">
        <f>_xlfn.XLOOKUP(C448,Tab_Def_Flows[Flow_Name],Tab_Def_Flows[Use_E5],,0,)</f>
        <v>Yes</v>
      </c>
      <c r="I448" s="5" t="str">
        <f>_xlfn.XLOOKUP(C448,Tab_Def_Flows[Flow_Name],Tab_Def_Flows[Use_E6],,0,)</f>
        <v>Yes</v>
      </c>
      <c r="J448" s="3"/>
      <c r="K448" s="3"/>
      <c r="L448" s="2" t="str">
        <f>'0_Configuration'!$C$41</f>
        <v>Mg</v>
      </c>
      <c r="M448" s="9"/>
      <c r="N448" s="9"/>
      <c r="O448" s="9"/>
      <c r="P448" s="9"/>
      <c r="Q448" s="18" t="s">
        <v>3</v>
      </c>
      <c r="R448" s="3"/>
      <c r="S448" s="3"/>
      <c r="T448" s="9"/>
      <c r="U448" s="9"/>
      <c r="V448" s="2">
        <f>_xlfn.XLOOKUP(Tab_Data_Flows[[#This Row],[Flow_Name]],Tab_Def_Flows[Flow_Name],Tab_Def_Flows[Flow_E1_Fraction'[%']],"N.A.",0,1)</f>
        <v>0</v>
      </c>
      <c r="W448" s="8">
        <f t="shared" si="15"/>
        <v>0</v>
      </c>
      <c r="X448" s="2" t="str">
        <f>Tab_Data_Flows[[#This Row],[UoM_Source]]</f>
        <v>Mg</v>
      </c>
      <c r="Y448" s="19">
        <f>_xlfn.XLOOKUP(Tab_Data_Flows[[#This Row],[Flow_Name]],Tab_Def_Flows[Flow_Name],Tab_Def_Flows[Flow_E2_Fraction'[%']],"N.A.",0,1)</f>
        <v>0</v>
      </c>
      <c r="Z448" s="2">
        <f>IF(D448="Yes",W448*Tab_Data_Flows[[#This Row],[E2_Fraction'[%']]],"N.A.")</f>
        <v>0</v>
      </c>
      <c r="AA448" s="2" t="str">
        <f>Tab_Data_Flows[[#This Row],[E1_UoM]]</f>
        <v>Mg</v>
      </c>
      <c r="AB448" s="19">
        <f>_xlfn.XLOOKUP(Tab_Data_Flows[[#This Row],[Flow_Name]],Tab_Def_Flows[Flow_Name],Tab_Def_Flows[Flow_E3_Fraction'[%']],"N.A.",0,1)</f>
        <v>0</v>
      </c>
      <c r="AC448" s="2">
        <f>IF(E448="Yes",AB448*Tab_Data_Flows[[#This Row],[E1_value]],"N.A.")</f>
        <v>0</v>
      </c>
      <c r="AD448" s="2" t="str">
        <f>Tab_Data_Flows[[#This Row],[E1_UoM]]</f>
        <v>Mg</v>
      </c>
      <c r="AE448" s="19">
        <f>_xlfn.XLOOKUP(Tab_Data_Flows[[#This Row],[Flow_Name]],Tab_Def_Flows[Flow_Name],Tab_Def_Flows[Flow_E4_Fraction'[%']],"N.A.",0,1)</f>
        <v>0</v>
      </c>
      <c r="AF448" s="2">
        <f>IF(H448="Yes",Tab_Data_Flows[[#This Row],[E4_Fraction'[%']]]*Tab_Data_Flows[[#This Row],[E1_value]],"N.A.")</f>
        <v>0</v>
      </c>
      <c r="AG448" s="2" t="str">
        <f>Tab_Data_Flows[[#This Row],[E1_UoM]]</f>
        <v>Mg</v>
      </c>
      <c r="AH448" s="2">
        <f>_xlfn.XLOOKUP(Tab_Data_Flows[[#This Row],[Flow_Name]],Tab_Def_Flows[Flow_Name],Tab_Def_Flows[Flow_E5_Fraction'[%']],"N.A.",0,1)</f>
        <v>0</v>
      </c>
      <c r="AI448" s="2">
        <f>IF(H448="Yes",Tab_Data_Flows[[#This Row],[E5_Fraction'[%']]]*Tab_Data_Flows[[#This Row],[E1_value]],"N.A.")</f>
        <v>0</v>
      </c>
      <c r="AJ448" s="2" t="str">
        <f>Tab_Data_Flows[[#This Row],[E1_UoM]]</f>
        <v>Mg</v>
      </c>
      <c r="AK448" s="19">
        <f>_xlfn.XLOOKUP(Tab_Data_Flows[[#This Row],[Flow_Name]],Tab_Def_Flows[Flow_Name],Tab_Def_Flows[Flow_E6_Fraction'[%']],"N.A.",0,1)</f>
        <v>0</v>
      </c>
      <c r="AL448" s="2">
        <f>IF(Tab_Data_Flows[[#This Row],[Use_E6]]="Yes",Tab_Data_Flows[[#This Row],[E6_Fraction'[%']]]*Tab_Data_Flows[[#This Row],[E1_value]],"N.A.")</f>
        <v>0</v>
      </c>
      <c r="AM448" s="2" t="str">
        <f>Tab_Data_Flows[[#This Row],[E1_UoM]]</f>
        <v>Mg</v>
      </c>
    </row>
    <row r="449" spans="1:39" x14ac:dyDescent="0.25">
      <c r="A449" s="4">
        <f t="shared" si="12"/>
        <v>448</v>
      </c>
      <c r="B449" s="2" t="str">
        <f>_xlfn.XLOOKUP(C449,Tab_Def_Flows[Flow_Name],Tab_Def_Flows[Flow_ID],,0,)</f>
        <v>F__</v>
      </c>
      <c r="C449" s="18" t="s">
        <v>5</v>
      </c>
      <c r="D449" s="5" t="str">
        <f>_xlfn.XLOOKUP(C449,Tab_Def_Flows[Flow_Name],Tab_Def_Flows[Use_E1],,0,)</f>
        <v>Yes</v>
      </c>
      <c r="E449" s="5" t="str">
        <f>_xlfn.XLOOKUP(C449,Tab_Def_Flows[Flow_Name],Tab_Def_Flows[Use_E2],,0,)</f>
        <v>Yes</v>
      </c>
      <c r="F449" s="5" t="str">
        <f>_xlfn.XLOOKUP(C449,Tab_Def_Flows[Flow_Name],Tab_Def_Flows[Use_E3],,0,)</f>
        <v>Yes</v>
      </c>
      <c r="G449" s="5" t="str">
        <f>_xlfn.XLOOKUP(C449,Tab_Def_Flows[Flow_Name],Tab_Def_Flows[Use_E4],,0,)</f>
        <v>Yes</v>
      </c>
      <c r="H449" s="5" t="str">
        <f>_xlfn.XLOOKUP(C449,Tab_Def_Flows[Flow_Name],Tab_Def_Flows[Use_E5],,0,)</f>
        <v>Yes</v>
      </c>
      <c r="I449" s="5" t="str">
        <f>_xlfn.XLOOKUP(C449,Tab_Def_Flows[Flow_Name],Tab_Def_Flows[Use_E6],,0,)</f>
        <v>Yes</v>
      </c>
      <c r="J449" s="3"/>
      <c r="K449" s="3"/>
      <c r="L449" s="2" t="str">
        <f>'0_Configuration'!$C$41</f>
        <v>Mg</v>
      </c>
      <c r="M449" s="9"/>
      <c r="N449" s="9"/>
      <c r="O449" s="9"/>
      <c r="P449" s="9"/>
      <c r="Q449" s="18" t="s">
        <v>3</v>
      </c>
      <c r="R449" s="3"/>
      <c r="S449" s="3"/>
      <c r="T449" s="9"/>
      <c r="U449" s="9"/>
      <c r="V449" s="2">
        <f>_xlfn.XLOOKUP(Tab_Data_Flows[[#This Row],[Flow_Name]],Tab_Def_Flows[Flow_Name],Tab_Def_Flows[Flow_E1_Fraction'[%']],"N.A.",0,1)</f>
        <v>0</v>
      </c>
      <c r="W449" s="8">
        <f t="shared" si="15"/>
        <v>0</v>
      </c>
      <c r="X449" s="2" t="str">
        <f>Tab_Data_Flows[[#This Row],[UoM_Source]]</f>
        <v>Mg</v>
      </c>
      <c r="Y449" s="19">
        <f>_xlfn.XLOOKUP(Tab_Data_Flows[[#This Row],[Flow_Name]],Tab_Def_Flows[Flow_Name],Tab_Def_Flows[Flow_E2_Fraction'[%']],"N.A.",0,1)</f>
        <v>0</v>
      </c>
      <c r="Z449" s="2">
        <f>IF(D449="Yes",W449*Tab_Data_Flows[[#This Row],[E2_Fraction'[%']]],"N.A.")</f>
        <v>0</v>
      </c>
      <c r="AA449" s="2" t="str">
        <f>Tab_Data_Flows[[#This Row],[E1_UoM]]</f>
        <v>Mg</v>
      </c>
      <c r="AB449" s="19">
        <f>_xlfn.XLOOKUP(Tab_Data_Flows[[#This Row],[Flow_Name]],Tab_Def_Flows[Flow_Name],Tab_Def_Flows[Flow_E3_Fraction'[%']],"N.A.",0,1)</f>
        <v>0</v>
      </c>
      <c r="AC449" s="2">
        <f>IF(E449="Yes",AB449*Tab_Data_Flows[[#This Row],[E1_value]],"N.A.")</f>
        <v>0</v>
      </c>
      <c r="AD449" s="2" t="str">
        <f>Tab_Data_Flows[[#This Row],[E1_UoM]]</f>
        <v>Mg</v>
      </c>
      <c r="AE449" s="19">
        <f>_xlfn.XLOOKUP(Tab_Data_Flows[[#This Row],[Flow_Name]],Tab_Def_Flows[Flow_Name],Tab_Def_Flows[Flow_E4_Fraction'[%']],"N.A.",0,1)</f>
        <v>0</v>
      </c>
      <c r="AF449" s="2">
        <f>IF(H449="Yes",Tab_Data_Flows[[#This Row],[E4_Fraction'[%']]]*Tab_Data_Flows[[#This Row],[E1_value]],"N.A.")</f>
        <v>0</v>
      </c>
      <c r="AG449" s="2" t="str">
        <f>Tab_Data_Flows[[#This Row],[E1_UoM]]</f>
        <v>Mg</v>
      </c>
      <c r="AH449" s="2">
        <f>_xlfn.XLOOKUP(Tab_Data_Flows[[#This Row],[Flow_Name]],Tab_Def_Flows[Flow_Name],Tab_Def_Flows[Flow_E5_Fraction'[%']],"N.A.",0,1)</f>
        <v>0</v>
      </c>
      <c r="AI449" s="2">
        <f>IF(H449="Yes",Tab_Data_Flows[[#This Row],[E5_Fraction'[%']]]*Tab_Data_Flows[[#This Row],[E1_value]],"N.A.")</f>
        <v>0</v>
      </c>
      <c r="AJ449" s="2" t="str">
        <f>Tab_Data_Flows[[#This Row],[E1_UoM]]</f>
        <v>Mg</v>
      </c>
      <c r="AK449" s="19">
        <f>_xlfn.XLOOKUP(Tab_Data_Flows[[#This Row],[Flow_Name]],Tab_Def_Flows[Flow_Name],Tab_Def_Flows[Flow_E6_Fraction'[%']],"N.A.",0,1)</f>
        <v>0</v>
      </c>
      <c r="AL449" s="2">
        <f>IF(Tab_Data_Flows[[#This Row],[Use_E6]]="Yes",Tab_Data_Flows[[#This Row],[E6_Fraction'[%']]]*Tab_Data_Flows[[#This Row],[E1_value]],"N.A.")</f>
        <v>0</v>
      </c>
      <c r="AM449" s="2" t="str">
        <f>Tab_Data_Flows[[#This Row],[E1_UoM]]</f>
        <v>Mg</v>
      </c>
    </row>
    <row r="450" spans="1:39" x14ac:dyDescent="0.25">
      <c r="A450" s="4">
        <f t="shared" si="12"/>
        <v>449</v>
      </c>
      <c r="B450" s="2" t="str">
        <f>_xlfn.XLOOKUP(C450,Tab_Def_Flows[Flow_Name],Tab_Def_Flows[Flow_ID],,0,)</f>
        <v>F__</v>
      </c>
      <c r="C450" s="18" t="s">
        <v>5</v>
      </c>
      <c r="D450" s="5" t="str">
        <f>_xlfn.XLOOKUP(C450,Tab_Def_Flows[Flow_Name],Tab_Def_Flows[Use_E1],,0,)</f>
        <v>Yes</v>
      </c>
      <c r="E450" s="5" t="str">
        <f>_xlfn.XLOOKUP(C450,Tab_Def_Flows[Flow_Name],Tab_Def_Flows[Use_E2],,0,)</f>
        <v>Yes</v>
      </c>
      <c r="F450" s="5" t="str">
        <f>_xlfn.XLOOKUP(C450,Tab_Def_Flows[Flow_Name],Tab_Def_Flows[Use_E3],,0,)</f>
        <v>Yes</v>
      </c>
      <c r="G450" s="5" t="str">
        <f>_xlfn.XLOOKUP(C450,Tab_Def_Flows[Flow_Name],Tab_Def_Flows[Use_E4],,0,)</f>
        <v>Yes</v>
      </c>
      <c r="H450" s="5" t="str">
        <f>_xlfn.XLOOKUP(C450,Tab_Def_Flows[Flow_Name],Tab_Def_Flows[Use_E5],,0,)</f>
        <v>Yes</v>
      </c>
      <c r="I450" s="5" t="str">
        <f>_xlfn.XLOOKUP(C450,Tab_Def_Flows[Flow_Name],Tab_Def_Flows[Use_E6],,0,)</f>
        <v>Yes</v>
      </c>
      <c r="J450" s="3"/>
      <c r="K450" s="3"/>
      <c r="L450" s="2" t="str">
        <f>'0_Configuration'!$C$41</f>
        <v>Mg</v>
      </c>
      <c r="M450" s="9"/>
      <c r="N450" s="9"/>
      <c r="O450" s="9"/>
      <c r="P450" s="9"/>
      <c r="Q450" s="18" t="s">
        <v>3</v>
      </c>
      <c r="R450" s="3"/>
      <c r="S450" s="3"/>
      <c r="T450" s="9"/>
      <c r="U450" s="9"/>
      <c r="V450" s="2">
        <f>_xlfn.XLOOKUP(Tab_Data_Flows[[#This Row],[Flow_Name]],Tab_Def_Flows[Flow_Name],Tab_Def_Flows[Flow_E1_Fraction'[%']],"N.A.",0,1)</f>
        <v>0</v>
      </c>
      <c r="W450" s="8">
        <f t="shared" si="15"/>
        <v>0</v>
      </c>
      <c r="X450" s="2" t="str">
        <f>Tab_Data_Flows[[#This Row],[UoM_Source]]</f>
        <v>Mg</v>
      </c>
      <c r="Y450" s="19">
        <f>_xlfn.XLOOKUP(Tab_Data_Flows[[#This Row],[Flow_Name]],Tab_Def_Flows[Flow_Name],Tab_Def_Flows[Flow_E2_Fraction'[%']],"N.A.",0,1)</f>
        <v>0</v>
      </c>
      <c r="Z450" s="2">
        <f>IF(D450="Yes",W450*Tab_Data_Flows[[#This Row],[E2_Fraction'[%']]],"N.A.")</f>
        <v>0</v>
      </c>
      <c r="AA450" s="2" t="str">
        <f>Tab_Data_Flows[[#This Row],[E1_UoM]]</f>
        <v>Mg</v>
      </c>
      <c r="AB450" s="19">
        <f>_xlfn.XLOOKUP(Tab_Data_Flows[[#This Row],[Flow_Name]],Tab_Def_Flows[Flow_Name],Tab_Def_Flows[Flow_E3_Fraction'[%']],"N.A.",0,1)</f>
        <v>0</v>
      </c>
      <c r="AC450" s="2">
        <f>IF(E450="Yes",AB450*Tab_Data_Flows[[#This Row],[E1_value]],"N.A.")</f>
        <v>0</v>
      </c>
      <c r="AD450" s="2" t="str">
        <f>Tab_Data_Flows[[#This Row],[E1_UoM]]</f>
        <v>Mg</v>
      </c>
      <c r="AE450" s="19">
        <f>_xlfn.XLOOKUP(Tab_Data_Flows[[#This Row],[Flow_Name]],Tab_Def_Flows[Flow_Name],Tab_Def_Flows[Flow_E4_Fraction'[%']],"N.A.",0,1)</f>
        <v>0</v>
      </c>
      <c r="AF450" s="2">
        <f>IF(H450="Yes",Tab_Data_Flows[[#This Row],[E4_Fraction'[%']]]*Tab_Data_Flows[[#This Row],[E1_value]],"N.A.")</f>
        <v>0</v>
      </c>
      <c r="AG450" s="2" t="str">
        <f>Tab_Data_Flows[[#This Row],[E1_UoM]]</f>
        <v>Mg</v>
      </c>
      <c r="AH450" s="2">
        <f>_xlfn.XLOOKUP(Tab_Data_Flows[[#This Row],[Flow_Name]],Tab_Def_Flows[Flow_Name],Tab_Def_Flows[Flow_E5_Fraction'[%']],"N.A.",0,1)</f>
        <v>0</v>
      </c>
      <c r="AI450" s="2">
        <f>IF(H450="Yes",Tab_Data_Flows[[#This Row],[E5_Fraction'[%']]]*Tab_Data_Flows[[#This Row],[E1_value]],"N.A.")</f>
        <v>0</v>
      </c>
      <c r="AJ450" s="2" t="str">
        <f>Tab_Data_Flows[[#This Row],[E1_UoM]]</f>
        <v>Mg</v>
      </c>
      <c r="AK450" s="19">
        <f>_xlfn.XLOOKUP(Tab_Data_Flows[[#This Row],[Flow_Name]],Tab_Def_Flows[Flow_Name],Tab_Def_Flows[Flow_E6_Fraction'[%']],"N.A.",0,1)</f>
        <v>0</v>
      </c>
      <c r="AL450" s="2">
        <f>IF(Tab_Data_Flows[[#This Row],[Use_E6]]="Yes",Tab_Data_Flows[[#This Row],[E6_Fraction'[%']]]*Tab_Data_Flows[[#This Row],[E1_value]],"N.A.")</f>
        <v>0</v>
      </c>
      <c r="AM450" s="2" t="str">
        <f>Tab_Data_Flows[[#This Row],[E1_UoM]]</f>
        <v>Mg</v>
      </c>
    </row>
    <row r="451" spans="1:39" x14ac:dyDescent="0.25">
      <c r="A451" s="4">
        <f t="shared" si="12"/>
        <v>450</v>
      </c>
      <c r="B451" s="2" t="str">
        <f>_xlfn.XLOOKUP(C451,Tab_Def_Flows[Flow_Name],Tab_Def_Flows[Flow_ID],,0,)</f>
        <v>F__</v>
      </c>
      <c r="C451" s="18" t="s">
        <v>5</v>
      </c>
      <c r="D451" s="5" t="str">
        <f>_xlfn.XLOOKUP(C451,Tab_Def_Flows[Flow_Name],Tab_Def_Flows[Use_E1],,0,)</f>
        <v>Yes</v>
      </c>
      <c r="E451" s="5" t="str">
        <f>_xlfn.XLOOKUP(C451,Tab_Def_Flows[Flow_Name],Tab_Def_Flows[Use_E2],,0,)</f>
        <v>Yes</v>
      </c>
      <c r="F451" s="5" t="str">
        <f>_xlfn.XLOOKUP(C451,Tab_Def_Flows[Flow_Name],Tab_Def_Flows[Use_E3],,0,)</f>
        <v>Yes</v>
      </c>
      <c r="G451" s="5" t="str">
        <f>_xlfn.XLOOKUP(C451,Tab_Def_Flows[Flow_Name],Tab_Def_Flows[Use_E4],,0,)</f>
        <v>Yes</v>
      </c>
      <c r="H451" s="5" t="str">
        <f>_xlfn.XLOOKUP(C451,Tab_Def_Flows[Flow_Name],Tab_Def_Flows[Use_E5],,0,)</f>
        <v>Yes</v>
      </c>
      <c r="I451" s="5" t="str">
        <f>_xlfn.XLOOKUP(C451,Tab_Def_Flows[Flow_Name],Tab_Def_Flows[Use_E6],,0,)</f>
        <v>Yes</v>
      </c>
      <c r="J451" s="3"/>
      <c r="K451" s="3"/>
      <c r="L451" s="2" t="str">
        <f>'0_Configuration'!$C$41</f>
        <v>Mg</v>
      </c>
      <c r="M451" s="9"/>
      <c r="N451" s="9"/>
      <c r="O451" s="9"/>
      <c r="P451" s="9"/>
      <c r="Q451" s="18" t="s">
        <v>3</v>
      </c>
      <c r="R451" s="3"/>
      <c r="S451" s="3"/>
      <c r="T451" s="9"/>
      <c r="U451" s="9"/>
      <c r="V451" s="2">
        <f>_xlfn.XLOOKUP(Tab_Data_Flows[[#This Row],[Flow_Name]],Tab_Def_Flows[Flow_Name],Tab_Def_Flows[Flow_E1_Fraction'[%']],"N.A.",0,1)</f>
        <v>0</v>
      </c>
      <c r="W451" s="8">
        <f t="shared" si="15"/>
        <v>0</v>
      </c>
      <c r="X451" s="2" t="str">
        <f>Tab_Data_Flows[[#This Row],[UoM_Source]]</f>
        <v>Mg</v>
      </c>
      <c r="Y451" s="19">
        <f>_xlfn.XLOOKUP(Tab_Data_Flows[[#This Row],[Flow_Name]],Tab_Def_Flows[Flow_Name],Tab_Def_Flows[Flow_E2_Fraction'[%']],"N.A.",0,1)</f>
        <v>0</v>
      </c>
      <c r="Z451" s="2">
        <f>IF(D451="Yes",W451*Tab_Data_Flows[[#This Row],[E2_Fraction'[%']]],"N.A.")</f>
        <v>0</v>
      </c>
      <c r="AA451" s="2" t="str">
        <f>Tab_Data_Flows[[#This Row],[E1_UoM]]</f>
        <v>Mg</v>
      </c>
      <c r="AB451" s="19">
        <f>_xlfn.XLOOKUP(Tab_Data_Flows[[#This Row],[Flow_Name]],Tab_Def_Flows[Flow_Name],Tab_Def_Flows[Flow_E3_Fraction'[%']],"N.A.",0,1)</f>
        <v>0</v>
      </c>
      <c r="AC451" s="2">
        <f>IF(E451="Yes",AB451*Tab_Data_Flows[[#This Row],[E1_value]],"N.A.")</f>
        <v>0</v>
      </c>
      <c r="AD451" s="2" t="str">
        <f>Tab_Data_Flows[[#This Row],[E1_UoM]]</f>
        <v>Mg</v>
      </c>
      <c r="AE451" s="19">
        <f>_xlfn.XLOOKUP(Tab_Data_Flows[[#This Row],[Flow_Name]],Tab_Def_Flows[Flow_Name],Tab_Def_Flows[Flow_E4_Fraction'[%']],"N.A.",0,1)</f>
        <v>0</v>
      </c>
      <c r="AF451" s="2">
        <f>IF(H451="Yes",Tab_Data_Flows[[#This Row],[E4_Fraction'[%']]]*Tab_Data_Flows[[#This Row],[E1_value]],"N.A.")</f>
        <v>0</v>
      </c>
      <c r="AG451" s="2" t="str">
        <f>Tab_Data_Flows[[#This Row],[E1_UoM]]</f>
        <v>Mg</v>
      </c>
      <c r="AH451" s="2">
        <f>_xlfn.XLOOKUP(Tab_Data_Flows[[#This Row],[Flow_Name]],Tab_Def_Flows[Flow_Name],Tab_Def_Flows[Flow_E5_Fraction'[%']],"N.A.",0,1)</f>
        <v>0</v>
      </c>
      <c r="AI451" s="2">
        <f>IF(H451="Yes",Tab_Data_Flows[[#This Row],[E5_Fraction'[%']]]*Tab_Data_Flows[[#This Row],[E1_value]],"N.A.")</f>
        <v>0</v>
      </c>
      <c r="AJ451" s="2" t="str">
        <f>Tab_Data_Flows[[#This Row],[E1_UoM]]</f>
        <v>Mg</v>
      </c>
      <c r="AK451" s="19">
        <f>_xlfn.XLOOKUP(Tab_Data_Flows[[#This Row],[Flow_Name]],Tab_Def_Flows[Flow_Name],Tab_Def_Flows[Flow_E6_Fraction'[%']],"N.A.",0,1)</f>
        <v>0</v>
      </c>
      <c r="AL451" s="2">
        <f>IF(Tab_Data_Flows[[#This Row],[Use_E6]]="Yes",Tab_Data_Flows[[#This Row],[E6_Fraction'[%']]]*Tab_Data_Flows[[#This Row],[E1_value]],"N.A.")</f>
        <v>0</v>
      </c>
      <c r="AM451" s="2" t="str">
        <f>Tab_Data_Flows[[#This Row],[E1_UoM]]</f>
        <v>Mg</v>
      </c>
    </row>
    <row r="452" spans="1:39" x14ac:dyDescent="0.25">
      <c r="A452" s="4">
        <f t="shared" si="12"/>
        <v>451</v>
      </c>
      <c r="B452" s="2" t="str">
        <f>_xlfn.XLOOKUP(C452,Tab_Def_Flows[Flow_Name],Tab_Def_Flows[Flow_ID],,0,)</f>
        <v>F__</v>
      </c>
      <c r="C452" s="18" t="s">
        <v>5</v>
      </c>
      <c r="D452" s="5" t="str">
        <f>_xlfn.XLOOKUP(C452,Tab_Def_Flows[Flow_Name],Tab_Def_Flows[Use_E1],,0,)</f>
        <v>Yes</v>
      </c>
      <c r="E452" s="5" t="str">
        <f>_xlfn.XLOOKUP(C452,Tab_Def_Flows[Flow_Name],Tab_Def_Flows[Use_E2],,0,)</f>
        <v>Yes</v>
      </c>
      <c r="F452" s="5" t="str">
        <f>_xlfn.XLOOKUP(C452,Tab_Def_Flows[Flow_Name],Tab_Def_Flows[Use_E3],,0,)</f>
        <v>Yes</v>
      </c>
      <c r="G452" s="5" t="str">
        <f>_xlfn.XLOOKUP(C452,Tab_Def_Flows[Flow_Name],Tab_Def_Flows[Use_E4],,0,)</f>
        <v>Yes</v>
      </c>
      <c r="H452" s="5" t="str">
        <f>_xlfn.XLOOKUP(C452,Tab_Def_Flows[Flow_Name],Tab_Def_Flows[Use_E5],,0,)</f>
        <v>Yes</v>
      </c>
      <c r="I452" s="5" t="str">
        <f>_xlfn.XLOOKUP(C452,Tab_Def_Flows[Flow_Name],Tab_Def_Flows[Use_E6],,0,)</f>
        <v>Yes</v>
      </c>
      <c r="J452" s="3"/>
      <c r="K452" s="3"/>
      <c r="L452" s="2" t="str">
        <f>'0_Configuration'!$C$41</f>
        <v>Mg</v>
      </c>
      <c r="M452" s="9"/>
      <c r="N452" s="9"/>
      <c r="O452" s="9"/>
      <c r="P452" s="9"/>
      <c r="Q452" s="18" t="s">
        <v>3</v>
      </c>
      <c r="R452" s="3"/>
      <c r="S452" s="3"/>
      <c r="T452" s="9"/>
      <c r="U452" s="9"/>
      <c r="V452" s="2">
        <f>_xlfn.XLOOKUP(Tab_Data_Flows[[#This Row],[Flow_Name]],Tab_Def_Flows[Flow_Name],Tab_Def_Flows[Flow_E1_Fraction'[%']],"N.A.",0,1)</f>
        <v>0</v>
      </c>
      <c r="W452" s="8">
        <f t="shared" si="15"/>
        <v>0</v>
      </c>
      <c r="X452" s="2" t="str">
        <f>Tab_Data_Flows[[#This Row],[UoM_Source]]</f>
        <v>Mg</v>
      </c>
      <c r="Y452" s="19">
        <f>_xlfn.XLOOKUP(Tab_Data_Flows[[#This Row],[Flow_Name]],Tab_Def_Flows[Flow_Name],Tab_Def_Flows[Flow_E2_Fraction'[%']],"N.A.",0,1)</f>
        <v>0</v>
      </c>
      <c r="Z452" s="2">
        <f>IF(D452="Yes",W452*Tab_Data_Flows[[#This Row],[E2_Fraction'[%']]],"N.A.")</f>
        <v>0</v>
      </c>
      <c r="AA452" s="2" t="str">
        <f>Tab_Data_Flows[[#This Row],[E1_UoM]]</f>
        <v>Mg</v>
      </c>
      <c r="AB452" s="19">
        <f>_xlfn.XLOOKUP(Tab_Data_Flows[[#This Row],[Flow_Name]],Tab_Def_Flows[Flow_Name],Tab_Def_Flows[Flow_E3_Fraction'[%']],"N.A.",0,1)</f>
        <v>0</v>
      </c>
      <c r="AC452" s="2">
        <f>IF(E452="Yes",AB452*Tab_Data_Flows[[#This Row],[E1_value]],"N.A.")</f>
        <v>0</v>
      </c>
      <c r="AD452" s="2" t="str">
        <f>Tab_Data_Flows[[#This Row],[E1_UoM]]</f>
        <v>Mg</v>
      </c>
      <c r="AE452" s="19">
        <f>_xlfn.XLOOKUP(Tab_Data_Flows[[#This Row],[Flow_Name]],Tab_Def_Flows[Flow_Name],Tab_Def_Flows[Flow_E4_Fraction'[%']],"N.A.",0,1)</f>
        <v>0</v>
      </c>
      <c r="AF452" s="2">
        <f>IF(H452="Yes",Tab_Data_Flows[[#This Row],[E4_Fraction'[%']]]*Tab_Data_Flows[[#This Row],[E1_value]],"N.A.")</f>
        <v>0</v>
      </c>
      <c r="AG452" s="2" t="str">
        <f>Tab_Data_Flows[[#This Row],[E1_UoM]]</f>
        <v>Mg</v>
      </c>
      <c r="AH452" s="2">
        <f>_xlfn.XLOOKUP(Tab_Data_Flows[[#This Row],[Flow_Name]],Tab_Def_Flows[Flow_Name],Tab_Def_Flows[Flow_E5_Fraction'[%']],"N.A.",0,1)</f>
        <v>0</v>
      </c>
      <c r="AI452" s="2">
        <f>IF(H452="Yes",Tab_Data_Flows[[#This Row],[E5_Fraction'[%']]]*Tab_Data_Flows[[#This Row],[E1_value]],"N.A.")</f>
        <v>0</v>
      </c>
      <c r="AJ452" s="2" t="str">
        <f>Tab_Data_Flows[[#This Row],[E1_UoM]]</f>
        <v>Mg</v>
      </c>
      <c r="AK452" s="19">
        <f>_xlfn.XLOOKUP(Tab_Data_Flows[[#This Row],[Flow_Name]],Tab_Def_Flows[Flow_Name],Tab_Def_Flows[Flow_E6_Fraction'[%']],"N.A.",0,1)</f>
        <v>0</v>
      </c>
      <c r="AL452" s="2">
        <f>IF(Tab_Data_Flows[[#This Row],[Use_E6]]="Yes",Tab_Data_Flows[[#This Row],[E6_Fraction'[%']]]*Tab_Data_Flows[[#This Row],[E1_value]],"N.A.")</f>
        <v>0</v>
      </c>
      <c r="AM452" s="2" t="str">
        <f>Tab_Data_Flows[[#This Row],[E1_UoM]]</f>
        <v>Mg</v>
      </c>
    </row>
    <row r="453" spans="1:39" x14ac:dyDescent="0.25">
      <c r="A453" s="4">
        <f t="shared" si="12"/>
        <v>452</v>
      </c>
      <c r="B453" s="2" t="str">
        <f>_xlfn.XLOOKUP(C453,Tab_Def_Flows[Flow_Name],Tab_Def_Flows[Flow_ID],,0,)</f>
        <v>F__</v>
      </c>
      <c r="C453" s="18" t="s">
        <v>5</v>
      </c>
      <c r="D453" s="5" t="str">
        <f>_xlfn.XLOOKUP(C453,Tab_Def_Flows[Flow_Name],Tab_Def_Flows[Use_E1],,0,)</f>
        <v>Yes</v>
      </c>
      <c r="E453" s="5" t="str">
        <f>_xlfn.XLOOKUP(C453,Tab_Def_Flows[Flow_Name],Tab_Def_Flows[Use_E2],,0,)</f>
        <v>Yes</v>
      </c>
      <c r="F453" s="5" t="str">
        <f>_xlfn.XLOOKUP(C453,Tab_Def_Flows[Flow_Name],Tab_Def_Flows[Use_E3],,0,)</f>
        <v>Yes</v>
      </c>
      <c r="G453" s="5" t="str">
        <f>_xlfn.XLOOKUP(C453,Tab_Def_Flows[Flow_Name],Tab_Def_Flows[Use_E4],,0,)</f>
        <v>Yes</v>
      </c>
      <c r="H453" s="5" t="str">
        <f>_xlfn.XLOOKUP(C453,Tab_Def_Flows[Flow_Name],Tab_Def_Flows[Use_E5],,0,)</f>
        <v>Yes</v>
      </c>
      <c r="I453" s="5" t="str">
        <f>_xlfn.XLOOKUP(C453,Tab_Def_Flows[Flow_Name],Tab_Def_Flows[Use_E6],,0,)</f>
        <v>Yes</v>
      </c>
      <c r="J453" s="3"/>
      <c r="K453" s="3"/>
      <c r="L453" s="2" t="str">
        <f>'0_Configuration'!$C$41</f>
        <v>Mg</v>
      </c>
      <c r="M453" s="9"/>
      <c r="N453" s="9"/>
      <c r="O453" s="9"/>
      <c r="P453" s="9"/>
      <c r="Q453" s="18" t="s">
        <v>3</v>
      </c>
      <c r="R453" s="3"/>
      <c r="S453" s="3"/>
      <c r="T453" s="9"/>
      <c r="U453" s="9"/>
      <c r="V453" s="2">
        <f>_xlfn.XLOOKUP(Tab_Data_Flows[[#This Row],[Flow_Name]],Tab_Def_Flows[Flow_Name],Tab_Def_Flows[Flow_E1_Fraction'[%']],"N.A.",0,1)</f>
        <v>0</v>
      </c>
      <c r="W453" s="8">
        <f t="shared" si="15"/>
        <v>0</v>
      </c>
      <c r="X453" s="2" t="str">
        <f>Tab_Data_Flows[[#This Row],[UoM_Source]]</f>
        <v>Mg</v>
      </c>
      <c r="Y453" s="19">
        <f>_xlfn.XLOOKUP(Tab_Data_Flows[[#This Row],[Flow_Name]],Tab_Def_Flows[Flow_Name],Tab_Def_Flows[Flow_E2_Fraction'[%']],"N.A.",0,1)</f>
        <v>0</v>
      </c>
      <c r="Z453" s="2">
        <f>IF(D453="Yes",W453*Tab_Data_Flows[[#This Row],[E2_Fraction'[%']]],"N.A.")</f>
        <v>0</v>
      </c>
      <c r="AA453" s="2" t="str">
        <f>Tab_Data_Flows[[#This Row],[E1_UoM]]</f>
        <v>Mg</v>
      </c>
      <c r="AB453" s="19">
        <f>_xlfn.XLOOKUP(Tab_Data_Flows[[#This Row],[Flow_Name]],Tab_Def_Flows[Flow_Name],Tab_Def_Flows[Flow_E3_Fraction'[%']],"N.A.",0,1)</f>
        <v>0</v>
      </c>
      <c r="AC453" s="2">
        <f>IF(E453="Yes",AB453*Tab_Data_Flows[[#This Row],[E1_value]],"N.A.")</f>
        <v>0</v>
      </c>
      <c r="AD453" s="2" t="str">
        <f>Tab_Data_Flows[[#This Row],[E1_UoM]]</f>
        <v>Mg</v>
      </c>
      <c r="AE453" s="19">
        <f>_xlfn.XLOOKUP(Tab_Data_Flows[[#This Row],[Flow_Name]],Tab_Def_Flows[Flow_Name],Tab_Def_Flows[Flow_E4_Fraction'[%']],"N.A.",0,1)</f>
        <v>0</v>
      </c>
      <c r="AF453" s="2">
        <f>IF(H453="Yes",Tab_Data_Flows[[#This Row],[E4_Fraction'[%']]]*Tab_Data_Flows[[#This Row],[E1_value]],"N.A.")</f>
        <v>0</v>
      </c>
      <c r="AG453" s="2" t="str">
        <f>Tab_Data_Flows[[#This Row],[E1_UoM]]</f>
        <v>Mg</v>
      </c>
      <c r="AH453" s="2">
        <f>_xlfn.XLOOKUP(Tab_Data_Flows[[#This Row],[Flow_Name]],Tab_Def_Flows[Flow_Name],Tab_Def_Flows[Flow_E5_Fraction'[%']],"N.A.",0,1)</f>
        <v>0</v>
      </c>
      <c r="AI453" s="2">
        <f>IF(H453="Yes",Tab_Data_Flows[[#This Row],[E5_Fraction'[%']]]*Tab_Data_Flows[[#This Row],[E1_value]],"N.A.")</f>
        <v>0</v>
      </c>
      <c r="AJ453" s="2" t="str">
        <f>Tab_Data_Flows[[#This Row],[E1_UoM]]</f>
        <v>Mg</v>
      </c>
      <c r="AK453" s="19">
        <f>_xlfn.XLOOKUP(Tab_Data_Flows[[#This Row],[Flow_Name]],Tab_Def_Flows[Flow_Name],Tab_Def_Flows[Flow_E6_Fraction'[%']],"N.A.",0,1)</f>
        <v>0</v>
      </c>
      <c r="AL453" s="2">
        <f>IF(Tab_Data_Flows[[#This Row],[Use_E6]]="Yes",Tab_Data_Flows[[#This Row],[E6_Fraction'[%']]]*Tab_Data_Flows[[#This Row],[E1_value]],"N.A.")</f>
        <v>0</v>
      </c>
      <c r="AM453" s="2" t="str">
        <f>Tab_Data_Flows[[#This Row],[E1_UoM]]</f>
        <v>Mg</v>
      </c>
    </row>
    <row r="454" spans="1:39" x14ac:dyDescent="0.25">
      <c r="A454" s="4">
        <f t="shared" si="12"/>
        <v>453</v>
      </c>
      <c r="B454" s="2" t="str">
        <f>_xlfn.XLOOKUP(C454,Tab_Def_Flows[Flow_Name],Tab_Def_Flows[Flow_ID],,0,)</f>
        <v>F__</v>
      </c>
      <c r="C454" s="18" t="s">
        <v>5</v>
      </c>
      <c r="D454" s="5" t="str">
        <f>_xlfn.XLOOKUP(C454,Tab_Def_Flows[Flow_Name],Tab_Def_Flows[Use_E1],,0,)</f>
        <v>Yes</v>
      </c>
      <c r="E454" s="5" t="str">
        <f>_xlfn.XLOOKUP(C454,Tab_Def_Flows[Flow_Name],Tab_Def_Flows[Use_E2],,0,)</f>
        <v>Yes</v>
      </c>
      <c r="F454" s="5" t="str">
        <f>_xlfn.XLOOKUP(C454,Tab_Def_Flows[Flow_Name],Tab_Def_Flows[Use_E3],,0,)</f>
        <v>Yes</v>
      </c>
      <c r="G454" s="5" t="str">
        <f>_xlfn.XLOOKUP(C454,Tab_Def_Flows[Flow_Name],Tab_Def_Flows[Use_E4],,0,)</f>
        <v>Yes</v>
      </c>
      <c r="H454" s="5" t="str">
        <f>_xlfn.XLOOKUP(C454,Tab_Def_Flows[Flow_Name],Tab_Def_Flows[Use_E5],,0,)</f>
        <v>Yes</v>
      </c>
      <c r="I454" s="5" t="str">
        <f>_xlfn.XLOOKUP(C454,Tab_Def_Flows[Flow_Name],Tab_Def_Flows[Use_E6],,0,)</f>
        <v>Yes</v>
      </c>
      <c r="J454" s="3"/>
      <c r="K454" s="3"/>
      <c r="L454" s="2" t="str">
        <f>'0_Configuration'!$C$41</f>
        <v>Mg</v>
      </c>
      <c r="M454" s="9"/>
      <c r="N454" s="9"/>
      <c r="O454" s="9"/>
      <c r="P454" s="9"/>
      <c r="Q454" s="18" t="s">
        <v>3</v>
      </c>
      <c r="R454" s="3"/>
      <c r="S454" s="3"/>
      <c r="T454" s="9"/>
      <c r="U454" s="9"/>
      <c r="V454" s="2">
        <f>_xlfn.XLOOKUP(Tab_Data_Flows[[#This Row],[Flow_Name]],Tab_Def_Flows[Flow_Name],Tab_Def_Flows[Flow_E1_Fraction'[%']],"N.A.",0,1)</f>
        <v>0</v>
      </c>
      <c r="W454" s="8">
        <f t="shared" si="15"/>
        <v>0</v>
      </c>
      <c r="X454" s="2" t="str">
        <f>Tab_Data_Flows[[#This Row],[UoM_Source]]</f>
        <v>Mg</v>
      </c>
      <c r="Y454" s="19">
        <f>_xlfn.XLOOKUP(Tab_Data_Flows[[#This Row],[Flow_Name]],Tab_Def_Flows[Flow_Name],Tab_Def_Flows[Flow_E2_Fraction'[%']],"N.A.",0,1)</f>
        <v>0</v>
      </c>
      <c r="Z454" s="2">
        <f>IF(D454="Yes",W454*Tab_Data_Flows[[#This Row],[E2_Fraction'[%']]],"N.A.")</f>
        <v>0</v>
      </c>
      <c r="AA454" s="2" t="str">
        <f>Tab_Data_Flows[[#This Row],[E1_UoM]]</f>
        <v>Mg</v>
      </c>
      <c r="AB454" s="19">
        <f>_xlfn.XLOOKUP(Tab_Data_Flows[[#This Row],[Flow_Name]],Tab_Def_Flows[Flow_Name],Tab_Def_Flows[Flow_E3_Fraction'[%']],"N.A.",0,1)</f>
        <v>0</v>
      </c>
      <c r="AC454" s="2">
        <f>IF(E454="Yes",AB454*Tab_Data_Flows[[#This Row],[E1_value]],"N.A.")</f>
        <v>0</v>
      </c>
      <c r="AD454" s="2" t="str">
        <f>Tab_Data_Flows[[#This Row],[E1_UoM]]</f>
        <v>Mg</v>
      </c>
      <c r="AE454" s="19">
        <f>_xlfn.XLOOKUP(Tab_Data_Flows[[#This Row],[Flow_Name]],Tab_Def_Flows[Flow_Name],Tab_Def_Flows[Flow_E4_Fraction'[%']],"N.A.",0,1)</f>
        <v>0</v>
      </c>
      <c r="AF454" s="2">
        <f>IF(H454="Yes",Tab_Data_Flows[[#This Row],[E4_Fraction'[%']]]*Tab_Data_Flows[[#This Row],[E1_value]],"N.A.")</f>
        <v>0</v>
      </c>
      <c r="AG454" s="2" t="str">
        <f>Tab_Data_Flows[[#This Row],[E1_UoM]]</f>
        <v>Mg</v>
      </c>
      <c r="AH454" s="2">
        <f>_xlfn.XLOOKUP(Tab_Data_Flows[[#This Row],[Flow_Name]],Tab_Def_Flows[Flow_Name],Tab_Def_Flows[Flow_E5_Fraction'[%']],"N.A.",0,1)</f>
        <v>0</v>
      </c>
      <c r="AI454" s="2">
        <f>IF(H454="Yes",Tab_Data_Flows[[#This Row],[E5_Fraction'[%']]]*Tab_Data_Flows[[#This Row],[E1_value]],"N.A.")</f>
        <v>0</v>
      </c>
      <c r="AJ454" s="2" t="str">
        <f>Tab_Data_Flows[[#This Row],[E1_UoM]]</f>
        <v>Mg</v>
      </c>
      <c r="AK454" s="19">
        <f>_xlfn.XLOOKUP(Tab_Data_Flows[[#This Row],[Flow_Name]],Tab_Def_Flows[Flow_Name],Tab_Def_Flows[Flow_E6_Fraction'[%']],"N.A.",0,1)</f>
        <v>0</v>
      </c>
      <c r="AL454" s="2">
        <f>IF(Tab_Data_Flows[[#This Row],[Use_E6]]="Yes",Tab_Data_Flows[[#This Row],[E6_Fraction'[%']]]*Tab_Data_Flows[[#This Row],[E1_value]],"N.A.")</f>
        <v>0</v>
      </c>
      <c r="AM454" s="2" t="str">
        <f>Tab_Data_Flows[[#This Row],[E1_UoM]]</f>
        <v>Mg</v>
      </c>
    </row>
    <row r="455" spans="1:39" x14ac:dyDescent="0.25">
      <c r="A455" s="4">
        <f t="shared" si="12"/>
        <v>454</v>
      </c>
      <c r="B455" s="2" t="str">
        <f>_xlfn.XLOOKUP(C455,Tab_Def_Flows[Flow_Name],Tab_Def_Flows[Flow_ID],,0,)</f>
        <v>F__</v>
      </c>
      <c r="C455" s="18" t="s">
        <v>5</v>
      </c>
      <c r="D455" s="5" t="str">
        <f>_xlfn.XLOOKUP(C455,Tab_Def_Flows[Flow_Name],Tab_Def_Flows[Use_E1],,0,)</f>
        <v>Yes</v>
      </c>
      <c r="E455" s="5" t="str">
        <f>_xlfn.XLOOKUP(C455,Tab_Def_Flows[Flow_Name],Tab_Def_Flows[Use_E2],,0,)</f>
        <v>Yes</v>
      </c>
      <c r="F455" s="5" t="str">
        <f>_xlfn.XLOOKUP(C455,Tab_Def_Flows[Flow_Name],Tab_Def_Flows[Use_E3],,0,)</f>
        <v>Yes</v>
      </c>
      <c r="G455" s="5" t="str">
        <f>_xlfn.XLOOKUP(C455,Tab_Def_Flows[Flow_Name],Tab_Def_Flows[Use_E4],,0,)</f>
        <v>Yes</v>
      </c>
      <c r="H455" s="5" t="str">
        <f>_xlfn.XLOOKUP(C455,Tab_Def_Flows[Flow_Name],Tab_Def_Flows[Use_E5],,0,)</f>
        <v>Yes</v>
      </c>
      <c r="I455" s="5" t="str">
        <f>_xlfn.XLOOKUP(C455,Tab_Def_Flows[Flow_Name],Tab_Def_Flows[Use_E6],,0,)</f>
        <v>Yes</v>
      </c>
      <c r="J455" s="3"/>
      <c r="K455" s="3"/>
      <c r="L455" s="2" t="str">
        <f>'0_Configuration'!$C$41</f>
        <v>Mg</v>
      </c>
      <c r="M455" s="9"/>
      <c r="N455" s="9"/>
      <c r="O455" s="9"/>
      <c r="P455" s="9"/>
      <c r="Q455" s="18" t="s">
        <v>3</v>
      </c>
      <c r="R455" s="3"/>
      <c r="S455" s="3"/>
      <c r="T455" s="9"/>
      <c r="U455" s="9"/>
      <c r="V455" s="2">
        <f>_xlfn.XLOOKUP(Tab_Data_Flows[[#This Row],[Flow_Name]],Tab_Def_Flows[Flow_Name],Tab_Def_Flows[Flow_E1_Fraction'[%']],"N.A.",0,1)</f>
        <v>0</v>
      </c>
      <c r="W455" s="8">
        <f t="shared" si="15"/>
        <v>0</v>
      </c>
      <c r="X455" s="2" t="str">
        <f>Tab_Data_Flows[[#This Row],[UoM_Source]]</f>
        <v>Mg</v>
      </c>
      <c r="Y455" s="19">
        <f>_xlfn.XLOOKUP(Tab_Data_Flows[[#This Row],[Flow_Name]],Tab_Def_Flows[Flow_Name],Tab_Def_Flows[Flow_E2_Fraction'[%']],"N.A.",0,1)</f>
        <v>0</v>
      </c>
      <c r="Z455" s="2">
        <f>IF(D455="Yes",W455*Tab_Data_Flows[[#This Row],[E2_Fraction'[%']]],"N.A.")</f>
        <v>0</v>
      </c>
      <c r="AA455" s="2" t="str">
        <f>Tab_Data_Flows[[#This Row],[E1_UoM]]</f>
        <v>Mg</v>
      </c>
      <c r="AB455" s="19">
        <f>_xlfn.XLOOKUP(Tab_Data_Flows[[#This Row],[Flow_Name]],Tab_Def_Flows[Flow_Name],Tab_Def_Flows[Flow_E3_Fraction'[%']],"N.A.",0,1)</f>
        <v>0</v>
      </c>
      <c r="AC455" s="2">
        <f>IF(E455="Yes",AB455*Tab_Data_Flows[[#This Row],[E1_value]],"N.A.")</f>
        <v>0</v>
      </c>
      <c r="AD455" s="2" t="str">
        <f>Tab_Data_Flows[[#This Row],[E1_UoM]]</f>
        <v>Mg</v>
      </c>
      <c r="AE455" s="19">
        <f>_xlfn.XLOOKUP(Tab_Data_Flows[[#This Row],[Flow_Name]],Tab_Def_Flows[Flow_Name],Tab_Def_Flows[Flow_E4_Fraction'[%']],"N.A.",0,1)</f>
        <v>0</v>
      </c>
      <c r="AF455" s="2">
        <f>IF(H455="Yes",Tab_Data_Flows[[#This Row],[E4_Fraction'[%']]]*Tab_Data_Flows[[#This Row],[E1_value]],"N.A.")</f>
        <v>0</v>
      </c>
      <c r="AG455" s="2" t="str">
        <f>Tab_Data_Flows[[#This Row],[E1_UoM]]</f>
        <v>Mg</v>
      </c>
      <c r="AH455" s="2">
        <f>_xlfn.XLOOKUP(Tab_Data_Flows[[#This Row],[Flow_Name]],Tab_Def_Flows[Flow_Name],Tab_Def_Flows[Flow_E5_Fraction'[%']],"N.A.",0,1)</f>
        <v>0</v>
      </c>
      <c r="AI455" s="2">
        <f>IF(H455="Yes",Tab_Data_Flows[[#This Row],[E5_Fraction'[%']]]*Tab_Data_Flows[[#This Row],[E1_value]],"N.A.")</f>
        <v>0</v>
      </c>
      <c r="AJ455" s="2" t="str">
        <f>Tab_Data_Flows[[#This Row],[E1_UoM]]</f>
        <v>Mg</v>
      </c>
      <c r="AK455" s="19">
        <f>_xlfn.XLOOKUP(Tab_Data_Flows[[#This Row],[Flow_Name]],Tab_Def_Flows[Flow_Name],Tab_Def_Flows[Flow_E6_Fraction'[%']],"N.A.",0,1)</f>
        <v>0</v>
      </c>
      <c r="AL455" s="2">
        <f>IF(Tab_Data_Flows[[#This Row],[Use_E6]]="Yes",Tab_Data_Flows[[#This Row],[E6_Fraction'[%']]]*Tab_Data_Flows[[#This Row],[E1_value]],"N.A.")</f>
        <v>0</v>
      </c>
      <c r="AM455" s="2" t="str">
        <f>Tab_Data_Flows[[#This Row],[E1_UoM]]</f>
        <v>Mg</v>
      </c>
    </row>
    <row r="456" spans="1:39" x14ac:dyDescent="0.25">
      <c r="A456" s="4">
        <f t="shared" si="12"/>
        <v>455</v>
      </c>
      <c r="B456" s="2" t="str">
        <f>_xlfn.XLOOKUP(C456,Tab_Def_Flows[Flow_Name],Tab_Def_Flows[Flow_ID],,0,)</f>
        <v>F__</v>
      </c>
      <c r="C456" s="18" t="s">
        <v>5</v>
      </c>
      <c r="D456" s="5" t="str">
        <f>_xlfn.XLOOKUP(C456,Tab_Def_Flows[Flow_Name],Tab_Def_Flows[Use_E1],,0,)</f>
        <v>Yes</v>
      </c>
      <c r="E456" s="5" t="str">
        <f>_xlfn.XLOOKUP(C456,Tab_Def_Flows[Flow_Name],Tab_Def_Flows[Use_E2],,0,)</f>
        <v>Yes</v>
      </c>
      <c r="F456" s="5" t="str">
        <f>_xlfn.XLOOKUP(C456,Tab_Def_Flows[Flow_Name],Tab_Def_Flows[Use_E3],,0,)</f>
        <v>Yes</v>
      </c>
      <c r="G456" s="5" t="str">
        <f>_xlfn.XLOOKUP(C456,Tab_Def_Flows[Flow_Name],Tab_Def_Flows[Use_E4],,0,)</f>
        <v>Yes</v>
      </c>
      <c r="H456" s="5" t="str">
        <f>_xlfn.XLOOKUP(C456,Tab_Def_Flows[Flow_Name],Tab_Def_Flows[Use_E5],,0,)</f>
        <v>Yes</v>
      </c>
      <c r="I456" s="5" t="str">
        <f>_xlfn.XLOOKUP(C456,Tab_Def_Flows[Flow_Name],Tab_Def_Flows[Use_E6],,0,)</f>
        <v>Yes</v>
      </c>
      <c r="J456" s="3"/>
      <c r="K456" s="3"/>
      <c r="L456" s="2" t="str">
        <f>'0_Configuration'!$C$41</f>
        <v>Mg</v>
      </c>
      <c r="M456" s="9"/>
      <c r="N456" s="9"/>
      <c r="O456" s="9"/>
      <c r="P456" s="9"/>
      <c r="Q456" s="18" t="s">
        <v>3</v>
      </c>
      <c r="R456" s="3"/>
      <c r="S456" s="3"/>
      <c r="T456" s="9"/>
      <c r="U456" s="9"/>
      <c r="V456" s="2">
        <f>_xlfn.XLOOKUP(Tab_Data_Flows[[#This Row],[Flow_Name]],Tab_Def_Flows[Flow_Name],Tab_Def_Flows[Flow_E1_Fraction'[%']],"N.A.",0,1)</f>
        <v>0</v>
      </c>
      <c r="W456" s="8">
        <f t="shared" si="15"/>
        <v>0</v>
      </c>
      <c r="X456" s="2" t="str">
        <f>Tab_Data_Flows[[#This Row],[UoM_Source]]</f>
        <v>Mg</v>
      </c>
      <c r="Y456" s="19">
        <f>_xlfn.XLOOKUP(Tab_Data_Flows[[#This Row],[Flow_Name]],Tab_Def_Flows[Flow_Name],Tab_Def_Flows[Flow_E2_Fraction'[%']],"N.A.",0,1)</f>
        <v>0</v>
      </c>
      <c r="Z456" s="2">
        <f>IF(D456="Yes",W456*Tab_Data_Flows[[#This Row],[E2_Fraction'[%']]],"N.A.")</f>
        <v>0</v>
      </c>
      <c r="AA456" s="2" t="str">
        <f>Tab_Data_Flows[[#This Row],[E1_UoM]]</f>
        <v>Mg</v>
      </c>
      <c r="AB456" s="19">
        <f>_xlfn.XLOOKUP(Tab_Data_Flows[[#This Row],[Flow_Name]],Tab_Def_Flows[Flow_Name],Tab_Def_Flows[Flow_E3_Fraction'[%']],"N.A.",0,1)</f>
        <v>0</v>
      </c>
      <c r="AC456" s="2">
        <f>IF(E456="Yes",AB456*Tab_Data_Flows[[#This Row],[E1_value]],"N.A.")</f>
        <v>0</v>
      </c>
      <c r="AD456" s="2" t="str">
        <f>Tab_Data_Flows[[#This Row],[E1_UoM]]</f>
        <v>Mg</v>
      </c>
      <c r="AE456" s="19">
        <f>_xlfn.XLOOKUP(Tab_Data_Flows[[#This Row],[Flow_Name]],Tab_Def_Flows[Flow_Name],Tab_Def_Flows[Flow_E4_Fraction'[%']],"N.A.",0,1)</f>
        <v>0</v>
      </c>
      <c r="AF456" s="2">
        <f>IF(H456="Yes",Tab_Data_Flows[[#This Row],[E4_Fraction'[%']]]*Tab_Data_Flows[[#This Row],[E1_value]],"N.A.")</f>
        <v>0</v>
      </c>
      <c r="AG456" s="2" t="str">
        <f>Tab_Data_Flows[[#This Row],[E1_UoM]]</f>
        <v>Mg</v>
      </c>
      <c r="AH456" s="2">
        <f>_xlfn.XLOOKUP(Tab_Data_Flows[[#This Row],[Flow_Name]],Tab_Def_Flows[Flow_Name],Tab_Def_Flows[Flow_E5_Fraction'[%']],"N.A.",0,1)</f>
        <v>0</v>
      </c>
      <c r="AI456" s="2">
        <f>IF(H456="Yes",Tab_Data_Flows[[#This Row],[E5_Fraction'[%']]]*Tab_Data_Flows[[#This Row],[E1_value]],"N.A.")</f>
        <v>0</v>
      </c>
      <c r="AJ456" s="2" t="str">
        <f>Tab_Data_Flows[[#This Row],[E1_UoM]]</f>
        <v>Mg</v>
      </c>
      <c r="AK456" s="19">
        <f>_xlfn.XLOOKUP(Tab_Data_Flows[[#This Row],[Flow_Name]],Tab_Def_Flows[Flow_Name],Tab_Def_Flows[Flow_E6_Fraction'[%']],"N.A.",0,1)</f>
        <v>0</v>
      </c>
      <c r="AL456" s="2">
        <f>IF(Tab_Data_Flows[[#This Row],[Use_E6]]="Yes",Tab_Data_Flows[[#This Row],[E6_Fraction'[%']]]*Tab_Data_Flows[[#This Row],[E1_value]],"N.A.")</f>
        <v>0</v>
      </c>
      <c r="AM456" s="2" t="str">
        <f>Tab_Data_Flows[[#This Row],[E1_UoM]]</f>
        <v>Mg</v>
      </c>
    </row>
    <row r="457" spans="1:39" x14ac:dyDescent="0.25">
      <c r="A457" s="4">
        <f t="shared" si="12"/>
        <v>456</v>
      </c>
      <c r="B457" s="2" t="str">
        <f>_xlfn.XLOOKUP(C457,Tab_Def_Flows[Flow_Name],Tab_Def_Flows[Flow_ID],,0,)</f>
        <v>F__</v>
      </c>
      <c r="C457" s="18" t="s">
        <v>5</v>
      </c>
      <c r="D457" s="5" t="str">
        <f>_xlfn.XLOOKUP(C457,Tab_Def_Flows[Flow_Name],Tab_Def_Flows[Use_E1],,0,)</f>
        <v>Yes</v>
      </c>
      <c r="E457" s="5" t="str">
        <f>_xlfn.XLOOKUP(C457,Tab_Def_Flows[Flow_Name],Tab_Def_Flows[Use_E2],,0,)</f>
        <v>Yes</v>
      </c>
      <c r="F457" s="5" t="str">
        <f>_xlfn.XLOOKUP(C457,Tab_Def_Flows[Flow_Name],Tab_Def_Flows[Use_E3],,0,)</f>
        <v>Yes</v>
      </c>
      <c r="G457" s="5" t="str">
        <f>_xlfn.XLOOKUP(C457,Tab_Def_Flows[Flow_Name],Tab_Def_Flows[Use_E4],,0,)</f>
        <v>Yes</v>
      </c>
      <c r="H457" s="5" t="str">
        <f>_xlfn.XLOOKUP(C457,Tab_Def_Flows[Flow_Name],Tab_Def_Flows[Use_E5],,0,)</f>
        <v>Yes</v>
      </c>
      <c r="I457" s="5" t="str">
        <f>_xlfn.XLOOKUP(C457,Tab_Def_Flows[Flow_Name],Tab_Def_Flows[Use_E6],,0,)</f>
        <v>Yes</v>
      </c>
      <c r="J457" s="3"/>
      <c r="K457" s="3"/>
      <c r="L457" s="2" t="str">
        <f>'0_Configuration'!$C$41</f>
        <v>Mg</v>
      </c>
      <c r="M457" s="9"/>
      <c r="N457" s="9"/>
      <c r="O457" s="9"/>
      <c r="P457" s="9"/>
      <c r="Q457" s="18" t="s">
        <v>3</v>
      </c>
      <c r="R457" s="3"/>
      <c r="S457" s="3"/>
      <c r="T457" s="9"/>
      <c r="U457" s="9"/>
      <c r="V457" s="2">
        <f>_xlfn.XLOOKUP(Tab_Data_Flows[[#This Row],[Flow_Name]],Tab_Def_Flows[Flow_Name],Tab_Def_Flows[Flow_E1_Fraction'[%']],"N.A.",0,1)</f>
        <v>0</v>
      </c>
      <c r="W457" s="8">
        <f t="shared" si="15"/>
        <v>0</v>
      </c>
      <c r="X457" s="2" t="str">
        <f>Tab_Data_Flows[[#This Row],[UoM_Source]]</f>
        <v>Mg</v>
      </c>
      <c r="Y457" s="19">
        <f>_xlfn.XLOOKUP(Tab_Data_Flows[[#This Row],[Flow_Name]],Tab_Def_Flows[Flow_Name],Tab_Def_Flows[Flow_E2_Fraction'[%']],"N.A.",0,1)</f>
        <v>0</v>
      </c>
      <c r="Z457" s="2">
        <f>IF(D457="Yes",W457*Tab_Data_Flows[[#This Row],[E2_Fraction'[%']]],"N.A.")</f>
        <v>0</v>
      </c>
      <c r="AA457" s="2" t="str">
        <f>Tab_Data_Flows[[#This Row],[E1_UoM]]</f>
        <v>Mg</v>
      </c>
      <c r="AB457" s="19">
        <f>_xlfn.XLOOKUP(Tab_Data_Flows[[#This Row],[Flow_Name]],Tab_Def_Flows[Flow_Name],Tab_Def_Flows[Flow_E3_Fraction'[%']],"N.A.",0,1)</f>
        <v>0</v>
      </c>
      <c r="AC457" s="2">
        <f>IF(E457="Yes",AB457*Tab_Data_Flows[[#This Row],[E1_value]],"N.A.")</f>
        <v>0</v>
      </c>
      <c r="AD457" s="2" t="str">
        <f>Tab_Data_Flows[[#This Row],[E1_UoM]]</f>
        <v>Mg</v>
      </c>
      <c r="AE457" s="19">
        <f>_xlfn.XLOOKUP(Tab_Data_Flows[[#This Row],[Flow_Name]],Tab_Def_Flows[Flow_Name],Tab_Def_Flows[Flow_E4_Fraction'[%']],"N.A.",0,1)</f>
        <v>0</v>
      </c>
      <c r="AF457" s="2">
        <f>IF(H457="Yes",Tab_Data_Flows[[#This Row],[E4_Fraction'[%']]]*Tab_Data_Flows[[#This Row],[E1_value]],"N.A.")</f>
        <v>0</v>
      </c>
      <c r="AG457" s="2" t="str">
        <f>Tab_Data_Flows[[#This Row],[E1_UoM]]</f>
        <v>Mg</v>
      </c>
      <c r="AH457" s="2">
        <f>_xlfn.XLOOKUP(Tab_Data_Flows[[#This Row],[Flow_Name]],Tab_Def_Flows[Flow_Name],Tab_Def_Flows[Flow_E5_Fraction'[%']],"N.A.",0,1)</f>
        <v>0</v>
      </c>
      <c r="AI457" s="2">
        <f>IF(H457="Yes",Tab_Data_Flows[[#This Row],[E5_Fraction'[%']]]*Tab_Data_Flows[[#This Row],[E1_value]],"N.A.")</f>
        <v>0</v>
      </c>
      <c r="AJ457" s="2" t="str">
        <f>Tab_Data_Flows[[#This Row],[E1_UoM]]</f>
        <v>Mg</v>
      </c>
      <c r="AK457" s="19">
        <f>_xlfn.XLOOKUP(Tab_Data_Flows[[#This Row],[Flow_Name]],Tab_Def_Flows[Flow_Name],Tab_Def_Flows[Flow_E6_Fraction'[%']],"N.A.",0,1)</f>
        <v>0</v>
      </c>
      <c r="AL457" s="2">
        <f>IF(Tab_Data_Flows[[#This Row],[Use_E6]]="Yes",Tab_Data_Flows[[#This Row],[E6_Fraction'[%']]]*Tab_Data_Flows[[#This Row],[E1_value]],"N.A.")</f>
        <v>0</v>
      </c>
      <c r="AM457" s="2" t="str">
        <f>Tab_Data_Flows[[#This Row],[E1_UoM]]</f>
        <v>Mg</v>
      </c>
    </row>
    <row r="458" spans="1:39" x14ac:dyDescent="0.25">
      <c r="A458" s="4">
        <f t="shared" si="12"/>
        <v>457</v>
      </c>
      <c r="B458" s="2" t="str">
        <f>_xlfn.XLOOKUP(C458,Tab_Def_Flows[Flow_Name],Tab_Def_Flows[Flow_ID],,0,)</f>
        <v>F__</v>
      </c>
      <c r="C458" s="18" t="s">
        <v>5</v>
      </c>
      <c r="D458" s="5" t="str">
        <f>_xlfn.XLOOKUP(C458,Tab_Def_Flows[Flow_Name],Tab_Def_Flows[Use_E1],,0,)</f>
        <v>Yes</v>
      </c>
      <c r="E458" s="5" t="str">
        <f>_xlfn.XLOOKUP(C458,Tab_Def_Flows[Flow_Name],Tab_Def_Flows[Use_E2],,0,)</f>
        <v>Yes</v>
      </c>
      <c r="F458" s="5" t="str">
        <f>_xlfn.XLOOKUP(C458,Tab_Def_Flows[Flow_Name],Tab_Def_Flows[Use_E3],,0,)</f>
        <v>Yes</v>
      </c>
      <c r="G458" s="5" t="str">
        <f>_xlfn.XLOOKUP(C458,Tab_Def_Flows[Flow_Name],Tab_Def_Flows[Use_E4],,0,)</f>
        <v>Yes</v>
      </c>
      <c r="H458" s="5" t="str">
        <f>_xlfn.XLOOKUP(C458,Tab_Def_Flows[Flow_Name],Tab_Def_Flows[Use_E5],,0,)</f>
        <v>Yes</v>
      </c>
      <c r="I458" s="5" t="str">
        <f>_xlfn.XLOOKUP(C458,Tab_Def_Flows[Flow_Name],Tab_Def_Flows[Use_E6],,0,)</f>
        <v>Yes</v>
      </c>
      <c r="J458" s="3"/>
      <c r="K458" s="3"/>
      <c r="L458" s="2" t="str">
        <f>'0_Configuration'!$C$41</f>
        <v>Mg</v>
      </c>
      <c r="M458" s="9"/>
      <c r="N458" s="9"/>
      <c r="O458" s="9"/>
      <c r="P458" s="9"/>
      <c r="Q458" s="18" t="s">
        <v>3</v>
      </c>
      <c r="R458" s="3"/>
      <c r="S458" s="3"/>
      <c r="T458" s="9"/>
      <c r="U458" s="9"/>
      <c r="V458" s="2">
        <f>_xlfn.XLOOKUP(Tab_Data_Flows[[#This Row],[Flow_Name]],Tab_Def_Flows[Flow_Name],Tab_Def_Flows[Flow_E1_Fraction'[%']],"N.A.",0,1)</f>
        <v>0</v>
      </c>
      <c r="W458" s="8">
        <f t="shared" si="15"/>
        <v>0</v>
      </c>
      <c r="X458" s="2" t="str">
        <f>Tab_Data_Flows[[#This Row],[UoM_Source]]</f>
        <v>Mg</v>
      </c>
      <c r="Y458" s="19">
        <f>_xlfn.XLOOKUP(Tab_Data_Flows[[#This Row],[Flow_Name]],Tab_Def_Flows[Flow_Name],Tab_Def_Flows[Flow_E2_Fraction'[%']],"N.A.",0,1)</f>
        <v>0</v>
      </c>
      <c r="Z458" s="2">
        <f>IF(D458="Yes",W458*Tab_Data_Flows[[#This Row],[E2_Fraction'[%']]],"N.A.")</f>
        <v>0</v>
      </c>
      <c r="AA458" s="2" t="str">
        <f>Tab_Data_Flows[[#This Row],[E1_UoM]]</f>
        <v>Mg</v>
      </c>
      <c r="AB458" s="19">
        <f>_xlfn.XLOOKUP(Tab_Data_Flows[[#This Row],[Flow_Name]],Tab_Def_Flows[Flow_Name],Tab_Def_Flows[Flow_E3_Fraction'[%']],"N.A.",0,1)</f>
        <v>0</v>
      </c>
      <c r="AC458" s="2">
        <f>IF(E458="Yes",AB458*Tab_Data_Flows[[#This Row],[E1_value]],"N.A.")</f>
        <v>0</v>
      </c>
      <c r="AD458" s="2" t="str">
        <f>Tab_Data_Flows[[#This Row],[E1_UoM]]</f>
        <v>Mg</v>
      </c>
      <c r="AE458" s="19">
        <f>_xlfn.XLOOKUP(Tab_Data_Flows[[#This Row],[Flow_Name]],Tab_Def_Flows[Flow_Name],Tab_Def_Flows[Flow_E4_Fraction'[%']],"N.A.",0,1)</f>
        <v>0</v>
      </c>
      <c r="AF458" s="2">
        <f>IF(H458="Yes",Tab_Data_Flows[[#This Row],[E4_Fraction'[%']]]*Tab_Data_Flows[[#This Row],[E1_value]],"N.A.")</f>
        <v>0</v>
      </c>
      <c r="AG458" s="2" t="str">
        <f>Tab_Data_Flows[[#This Row],[E1_UoM]]</f>
        <v>Mg</v>
      </c>
      <c r="AH458" s="2">
        <f>_xlfn.XLOOKUP(Tab_Data_Flows[[#This Row],[Flow_Name]],Tab_Def_Flows[Flow_Name],Tab_Def_Flows[Flow_E5_Fraction'[%']],"N.A.",0,1)</f>
        <v>0</v>
      </c>
      <c r="AI458" s="2">
        <f>IF(H458="Yes",Tab_Data_Flows[[#This Row],[E5_Fraction'[%']]]*Tab_Data_Flows[[#This Row],[E1_value]],"N.A.")</f>
        <v>0</v>
      </c>
      <c r="AJ458" s="2" t="str">
        <f>Tab_Data_Flows[[#This Row],[E1_UoM]]</f>
        <v>Mg</v>
      </c>
      <c r="AK458" s="19">
        <f>_xlfn.XLOOKUP(Tab_Data_Flows[[#This Row],[Flow_Name]],Tab_Def_Flows[Flow_Name],Tab_Def_Flows[Flow_E6_Fraction'[%']],"N.A.",0,1)</f>
        <v>0</v>
      </c>
      <c r="AL458" s="2">
        <f>IF(Tab_Data_Flows[[#This Row],[Use_E6]]="Yes",Tab_Data_Flows[[#This Row],[E6_Fraction'[%']]]*Tab_Data_Flows[[#This Row],[E1_value]],"N.A.")</f>
        <v>0</v>
      </c>
      <c r="AM458" s="2" t="str">
        <f>Tab_Data_Flows[[#This Row],[E1_UoM]]</f>
        <v>Mg</v>
      </c>
    </row>
    <row r="459" spans="1:39" x14ac:dyDescent="0.25">
      <c r="A459" s="4">
        <f t="shared" si="12"/>
        <v>458</v>
      </c>
      <c r="B459" s="2" t="str">
        <f>_xlfn.XLOOKUP(C459,Tab_Def_Flows[Flow_Name],Tab_Def_Flows[Flow_ID],,0,)</f>
        <v>F__</v>
      </c>
      <c r="C459" s="18" t="s">
        <v>5</v>
      </c>
      <c r="D459" s="5" t="str">
        <f>_xlfn.XLOOKUP(C459,Tab_Def_Flows[Flow_Name],Tab_Def_Flows[Use_E1],,0,)</f>
        <v>Yes</v>
      </c>
      <c r="E459" s="5" t="str">
        <f>_xlfn.XLOOKUP(C459,Tab_Def_Flows[Flow_Name],Tab_Def_Flows[Use_E2],,0,)</f>
        <v>Yes</v>
      </c>
      <c r="F459" s="5" t="str">
        <f>_xlfn.XLOOKUP(C459,Tab_Def_Flows[Flow_Name],Tab_Def_Flows[Use_E3],,0,)</f>
        <v>Yes</v>
      </c>
      <c r="G459" s="5" t="str">
        <f>_xlfn.XLOOKUP(C459,Tab_Def_Flows[Flow_Name],Tab_Def_Flows[Use_E4],,0,)</f>
        <v>Yes</v>
      </c>
      <c r="H459" s="5" t="str">
        <f>_xlfn.XLOOKUP(C459,Tab_Def_Flows[Flow_Name],Tab_Def_Flows[Use_E5],,0,)</f>
        <v>Yes</v>
      </c>
      <c r="I459" s="5" t="str">
        <f>_xlfn.XLOOKUP(C459,Tab_Def_Flows[Flow_Name],Tab_Def_Flows[Use_E6],,0,)</f>
        <v>Yes</v>
      </c>
      <c r="J459" s="3"/>
      <c r="K459" s="3"/>
      <c r="L459" s="2" t="str">
        <f>'0_Configuration'!$C$41</f>
        <v>Mg</v>
      </c>
      <c r="M459" s="9"/>
      <c r="N459" s="9"/>
      <c r="O459" s="9"/>
      <c r="P459" s="9"/>
      <c r="Q459" s="18" t="s">
        <v>3</v>
      </c>
      <c r="R459" s="3"/>
      <c r="S459" s="3"/>
      <c r="T459" s="9"/>
      <c r="U459" s="9"/>
      <c r="V459" s="2">
        <f>_xlfn.XLOOKUP(Tab_Data_Flows[[#This Row],[Flow_Name]],Tab_Def_Flows[Flow_Name],Tab_Def_Flows[Flow_E1_Fraction'[%']],"N.A.",0,1)</f>
        <v>0</v>
      </c>
      <c r="W459" s="8">
        <f t="shared" si="15"/>
        <v>0</v>
      </c>
      <c r="X459" s="2" t="str">
        <f>Tab_Data_Flows[[#This Row],[UoM_Source]]</f>
        <v>Mg</v>
      </c>
      <c r="Y459" s="19">
        <f>_xlfn.XLOOKUP(Tab_Data_Flows[[#This Row],[Flow_Name]],Tab_Def_Flows[Flow_Name],Tab_Def_Flows[Flow_E2_Fraction'[%']],"N.A.",0,1)</f>
        <v>0</v>
      </c>
      <c r="Z459" s="2">
        <f>IF(D459="Yes",W459*Tab_Data_Flows[[#This Row],[E2_Fraction'[%']]],"N.A.")</f>
        <v>0</v>
      </c>
      <c r="AA459" s="2" t="str">
        <f>Tab_Data_Flows[[#This Row],[E1_UoM]]</f>
        <v>Mg</v>
      </c>
      <c r="AB459" s="19">
        <f>_xlfn.XLOOKUP(Tab_Data_Flows[[#This Row],[Flow_Name]],Tab_Def_Flows[Flow_Name],Tab_Def_Flows[Flow_E3_Fraction'[%']],"N.A.",0,1)</f>
        <v>0</v>
      </c>
      <c r="AC459" s="2">
        <f>IF(E459="Yes",AB459*Tab_Data_Flows[[#This Row],[E1_value]],"N.A.")</f>
        <v>0</v>
      </c>
      <c r="AD459" s="2" t="str">
        <f>Tab_Data_Flows[[#This Row],[E1_UoM]]</f>
        <v>Mg</v>
      </c>
      <c r="AE459" s="19">
        <f>_xlfn.XLOOKUP(Tab_Data_Flows[[#This Row],[Flow_Name]],Tab_Def_Flows[Flow_Name],Tab_Def_Flows[Flow_E4_Fraction'[%']],"N.A.",0,1)</f>
        <v>0</v>
      </c>
      <c r="AF459" s="2">
        <f>IF(H459="Yes",Tab_Data_Flows[[#This Row],[E4_Fraction'[%']]]*Tab_Data_Flows[[#This Row],[E1_value]],"N.A.")</f>
        <v>0</v>
      </c>
      <c r="AG459" s="2" t="str">
        <f>Tab_Data_Flows[[#This Row],[E1_UoM]]</f>
        <v>Mg</v>
      </c>
      <c r="AH459" s="2">
        <f>_xlfn.XLOOKUP(Tab_Data_Flows[[#This Row],[Flow_Name]],Tab_Def_Flows[Flow_Name],Tab_Def_Flows[Flow_E5_Fraction'[%']],"N.A.",0,1)</f>
        <v>0</v>
      </c>
      <c r="AI459" s="2">
        <f>IF(H459="Yes",Tab_Data_Flows[[#This Row],[E5_Fraction'[%']]]*Tab_Data_Flows[[#This Row],[E1_value]],"N.A.")</f>
        <v>0</v>
      </c>
      <c r="AJ459" s="2" t="str">
        <f>Tab_Data_Flows[[#This Row],[E1_UoM]]</f>
        <v>Mg</v>
      </c>
      <c r="AK459" s="19">
        <f>_xlfn.XLOOKUP(Tab_Data_Flows[[#This Row],[Flow_Name]],Tab_Def_Flows[Flow_Name],Tab_Def_Flows[Flow_E6_Fraction'[%']],"N.A.",0,1)</f>
        <v>0</v>
      </c>
      <c r="AL459" s="2">
        <f>IF(Tab_Data_Flows[[#This Row],[Use_E6]]="Yes",Tab_Data_Flows[[#This Row],[E6_Fraction'[%']]]*Tab_Data_Flows[[#This Row],[E1_value]],"N.A.")</f>
        <v>0</v>
      </c>
      <c r="AM459" s="2" t="str">
        <f>Tab_Data_Flows[[#This Row],[E1_UoM]]</f>
        <v>Mg</v>
      </c>
    </row>
    <row r="460" spans="1:39" x14ac:dyDescent="0.25">
      <c r="A460" s="4">
        <f t="shared" si="12"/>
        <v>459</v>
      </c>
      <c r="B460" s="2" t="str">
        <f>_xlfn.XLOOKUP(C460,Tab_Def_Flows[Flow_Name],Tab_Def_Flows[Flow_ID],,0,)</f>
        <v>F__</v>
      </c>
      <c r="C460" s="18" t="s">
        <v>5</v>
      </c>
      <c r="D460" s="5" t="str">
        <f>_xlfn.XLOOKUP(C460,Tab_Def_Flows[Flow_Name],Tab_Def_Flows[Use_E1],,0,)</f>
        <v>Yes</v>
      </c>
      <c r="E460" s="5" t="str">
        <f>_xlfn.XLOOKUP(C460,Tab_Def_Flows[Flow_Name],Tab_Def_Flows[Use_E2],,0,)</f>
        <v>Yes</v>
      </c>
      <c r="F460" s="5" t="str">
        <f>_xlfn.XLOOKUP(C460,Tab_Def_Flows[Flow_Name],Tab_Def_Flows[Use_E3],,0,)</f>
        <v>Yes</v>
      </c>
      <c r="G460" s="5" t="str">
        <f>_xlfn.XLOOKUP(C460,Tab_Def_Flows[Flow_Name],Tab_Def_Flows[Use_E4],,0,)</f>
        <v>Yes</v>
      </c>
      <c r="H460" s="5" t="str">
        <f>_xlfn.XLOOKUP(C460,Tab_Def_Flows[Flow_Name],Tab_Def_Flows[Use_E5],,0,)</f>
        <v>Yes</v>
      </c>
      <c r="I460" s="5" t="str">
        <f>_xlfn.XLOOKUP(C460,Tab_Def_Flows[Flow_Name],Tab_Def_Flows[Use_E6],,0,)</f>
        <v>Yes</v>
      </c>
      <c r="J460" s="3"/>
      <c r="K460" s="3"/>
      <c r="L460" s="2" t="str">
        <f>'0_Configuration'!$C$41</f>
        <v>Mg</v>
      </c>
      <c r="M460" s="9"/>
      <c r="N460" s="9"/>
      <c r="O460" s="9"/>
      <c r="P460" s="9"/>
      <c r="Q460" s="18" t="s">
        <v>3</v>
      </c>
      <c r="R460" s="3"/>
      <c r="S460" s="3"/>
      <c r="T460" s="9"/>
      <c r="U460" s="9"/>
      <c r="V460" s="2">
        <f>_xlfn.XLOOKUP(Tab_Data_Flows[[#This Row],[Flow_Name]],Tab_Def_Flows[Flow_Name],Tab_Def_Flows[Flow_E1_Fraction'[%']],"N.A.",0,1)</f>
        <v>0</v>
      </c>
      <c r="W460" s="8">
        <f t="shared" si="15"/>
        <v>0</v>
      </c>
      <c r="X460" s="2" t="str">
        <f>Tab_Data_Flows[[#This Row],[UoM_Source]]</f>
        <v>Mg</v>
      </c>
      <c r="Y460" s="19">
        <f>_xlfn.XLOOKUP(Tab_Data_Flows[[#This Row],[Flow_Name]],Tab_Def_Flows[Flow_Name],Tab_Def_Flows[Flow_E2_Fraction'[%']],"N.A.",0,1)</f>
        <v>0</v>
      </c>
      <c r="Z460" s="2">
        <f>IF(D460="Yes",W460*Tab_Data_Flows[[#This Row],[E2_Fraction'[%']]],"N.A.")</f>
        <v>0</v>
      </c>
      <c r="AA460" s="2" t="str">
        <f>Tab_Data_Flows[[#This Row],[E1_UoM]]</f>
        <v>Mg</v>
      </c>
      <c r="AB460" s="19">
        <f>_xlfn.XLOOKUP(Tab_Data_Flows[[#This Row],[Flow_Name]],Tab_Def_Flows[Flow_Name],Tab_Def_Flows[Flow_E3_Fraction'[%']],"N.A.",0,1)</f>
        <v>0</v>
      </c>
      <c r="AC460" s="2">
        <f>IF(E460="Yes",AB460*Tab_Data_Flows[[#This Row],[E1_value]],"N.A.")</f>
        <v>0</v>
      </c>
      <c r="AD460" s="2" t="str">
        <f>Tab_Data_Flows[[#This Row],[E1_UoM]]</f>
        <v>Mg</v>
      </c>
      <c r="AE460" s="19">
        <f>_xlfn.XLOOKUP(Tab_Data_Flows[[#This Row],[Flow_Name]],Tab_Def_Flows[Flow_Name],Tab_Def_Flows[Flow_E4_Fraction'[%']],"N.A.",0,1)</f>
        <v>0</v>
      </c>
      <c r="AF460" s="2">
        <f>IF(H460="Yes",Tab_Data_Flows[[#This Row],[E4_Fraction'[%']]]*Tab_Data_Flows[[#This Row],[E1_value]],"N.A.")</f>
        <v>0</v>
      </c>
      <c r="AG460" s="2" t="str">
        <f>Tab_Data_Flows[[#This Row],[E1_UoM]]</f>
        <v>Mg</v>
      </c>
      <c r="AH460" s="2">
        <f>_xlfn.XLOOKUP(Tab_Data_Flows[[#This Row],[Flow_Name]],Tab_Def_Flows[Flow_Name],Tab_Def_Flows[Flow_E5_Fraction'[%']],"N.A.",0,1)</f>
        <v>0</v>
      </c>
      <c r="AI460" s="2">
        <f>IF(H460="Yes",Tab_Data_Flows[[#This Row],[E5_Fraction'[%']]]*Tab_Data_Flows[[#This Row],[E1_value]],"N.A.")</f>
        <v>0</v>
      </c>
      <c r="AJ460" s="2" t="str">
        <f>Tab_Data_Flows[[#This Row],[E1_UoM]]</f>
        <v>Mg</v>
      </c>
      <c r="AK460" s="19">
        <f>_xlfn.XLOOKUP(Tab_Data_Flows[[#This Row],[Flow_Name]],Tab_Def_Flows[Flow_Name],Tab_Def_Flows[Flow_E6_Fraction'[%']],"N.A.",0,1)</f>
        <v>0</v>
      </c>
      <c r="AL460" s="2">
        <f>IF(Tab_Data_Flows[[#This Row],[Use_E6]]="Yes",Tab_Data_Flows[[#This Row],[E6_Fraction'[%']]]*Tab_Data_Flows[[#This Row],[E1_value]],"N.A.")</f>
        <v>0</v>
      </c>
      <c r="AM460" s="2" t="str">
        <f>Tab_Data_Flows[[#This Row],[E1_UoM]]</f>
        <v>Mg</v>
      </c>
    </row>
    <row r="461" spans="1:39" x14ac:dyDescent="0.25">
      <c r="A461" s="4">
        <f t="shared" si="12"/>
        <v>460</v>
      </c>
      <c r="B461" s="2" t="str">
        <f>_xlfn.XLOOKUP(C461,Tab_Def_Flows[Flow_Name],Tab_Def_Flows[Flow_ID],,0,)</f>
        <v>F__</v>
      </c>
      <c r="C461" s="18" t="s">
        <v>5</v>
      </c>
      <c r="D461" s="5" t="str">
        <f>_xlfn.XLOOKUP(C461,Tab_Def_Flows[Flow_Name],Tab_Def_Flows[Use_E1],,0,)</f>
        <v>Yes</v>
      </c>
      <c r="E461" s="5" t="str">
        <f>_xlfn.XLOOKUP(C461,Tab_Def_Flows[Flow_Name],Tab_Def_Flows[Use_E2],,0,)</f>
        <v>Yes</v>
      </c>
      <c r="F461" s="5" t="str">
        <f>_xlfn.XLOOKUP(C461,Tab_Def_Flows[Flow_Name],Tab_Def_Flows[Use_E3],,0,)</f>
        <v>Yes</v>
      </c>
      <c r="G461" s="5" t="str">
        <f>_xlfn.XLOOKUP(C461,Tab_Def_Flows[Flow_Name],Tab_Def_Flows[Use_E4],,0,)</f>
        <v>Yes</v>
      </c>
      <c r="H461" s="5" t="str">
        <f>_xlfn.XLOOKUP(C461,Tab_Def_Flows[Flow_Name],Tab_Def_Flows[Use_E5],,0,)</f>
        <v>Yes</v>
      </c>
      <c r="I461" s="5" t="str">
        <f>_xlfn.XLOOKUP(C461,Tab_Def_Flows[Flow_Name],Tab_Def_Flows[Use_E6],,0,)</f>
        <v>Yes</v>
      </c>
      <c r="J461" s="3"/>
      <c r="K461" s="3"/>
      <c r="L461" s="2" t="str">
        <f>'0_Configuration'!$C$41</f>
        <v>Mg</v>
      </c>
      <c r="M461" s="9"/>
      <c r="N461" s="9"/>
      <c r="O461" s="9"/>
      <c r="P461" s="9"/>
      <c r="Q461" s="18" t="s">
        <v>3</v>
      </c>
      <c r="R461" s="3"/>
      <c r="S461" s="3"/>
      <c r="T461" s="9"/>
      <c r="U461" s="9"/>
      <c r="V461" s="2">
        <f>_xlfn.XLOOKUP(Tab_Data_Flows[[#This Row],[Flow_Name]],Tab_Def_Flows[Flow_Name],Tab_Def_Flows[Flow_E1_Fraction'[%']],"N.A.",0,1)</f>
        <v>0</v>
      </c>
      <c r="W461" s="8">
        <f t="shared" si="15"/>
        <v>0</v>
      </c>
      <c r="X461" s="2" t="str">
        <f>Tab_Data_Flows[[#This Row],[UoM_Source]]</f>
        <v>Mg</v>
      </c>
      <c r="Y461" s="19">
        <f>_xlfn.XLOOKUP(Tab_Data_Flows[[#This Row],[Flow_Name]],Tab_Def_Flows[Flow_Name],Tab_Def_Flows[Flow_E2_Fraction'[%']],"N.A.",0,1)</f>
        <v>0</v>
      </c>
      <c r="Z461" s="2">
        <f>IF(D461="Yes",W461*Tab_Data_Flows[[#This Row],[E2_Fraction'[%']]],"N.A.")</f>
        <v>0</v>
      </c>
      <c r="AA461" s="2" t="str">
        <f>Tab_Data_Flows[[#This Row],[E1_UoM]]</f>
        <v>Mg</v>
      </c>
      <c r="AB461" s="19">
        <f>_xlfn.XLOOKUP(Tab_Data_Flows[[#This Row],[Flow_Name]],Tab_Def_Flows[Flow_Name],Tab_Def_Flows[Flow_E3_Fraction'[%']],"N.A.",0,1)</f>
        <v>0</v>
      </c>
      <c r="AC461" s="2">
        <f>IF(E461="Yes",AB461*Tab_Data_Flows[[#This Row],[E1_value]],"N.A.")</f>
        <v>0</v>
      </c>
      <c r="AD461" s="2" t="str">
        <f>Tab_Data_Flows[[#This Row],[E1_UoM]]</f>
        <v>Mg</v>
      </c>
      <c r="AE461" s="19">
        <f>_xlfn.XLOOKUP(Tab_Data_Flows[[#This Row],[Flow_Name]],Tab_Def_Flows[Flow_Name],Tab_Def_Flows[Flow_E4_Fraction'[%']],"N.A.",0,1)</f>
        <v>0</v>
      </c>
      <c r="AF461" s="2">
        <f>IF(H461="Yes",Tab_Data_Flows[[#This Row],[E4_Fraction'[%']]]*Tab_Data_Flows[[#This Row],[E1_value]],"N.A.")</f>
        <v>0</v>
      </c>
      <c r="AG461" s="2" t="str">
        <f>Tab_Data_Flows[[#This Row],[E1_UoM]]</f>
        <v>Mg</v>
      </c>
      <c r="AH461" s="2">
        <f>_xlfn.XLOOKUP(Tab_Data_Flows[[#This Row],[Flow_Name]],Tab_Def_Flows[Flow_Name],Tab_Def_Flows[Flow_E5_Fraction'[%']],"N.A.",0,1)</f>
        <v>0</v>
      </c>
      <c r="AI461" s="2">
        <f>IF(H461="Yes",Tab_Data_Flows[[#This Row],[E5_Fraction'[%']]]*Tab_Data_Flows[[#This Row],[E1_value]],"N.A.")</f>
        <v>0</v>
      </c>
      <c r="AJ461" s="2" t="str">
        <f>Tab_Data_Flows[[#This Row],[E1_UoM]]</f>
        <v>Mg</v>
      </c>
      <c r="AK461" s="19">
        <f>_xlfn.XLOOKUP(Tab_Data_Flows[[#This Row],[Flow_Name]],Tab_Def_Flows[Flow_Name],Tab_Def_Flows[Flow_E6_Fraction'[%']],"N.A.",0,1)</f>
        <v>0</v>
      </c>
      <c r="AL461" s="2">
        <f>IF(Tab_Data_Flows[[#This Row],[Use_E6]]="Yes",Tab_Data_Flows[[#This Row],[E6_Fraction'[%']]]*Tab_Data_Flows[[#This Row],[E1_value]],"N.A.")</f>
        <v>0</v>
      </c>
      <c r="AM461" s="2" t="str">
        <f>Tab_Data_Flows[[#This Row],[E1_UoM]]</f>
        <v>Mg</v>
      </c>
    </row>
    <row r="462" spans="1:39" x14ac:dyDescent="0.25">
      <c r="A462" s="4">
        <f t="shared" si="12"/>
        <v>461</v>
      </c>
      <c r="B462" s="2" t="str">
        <f>_xlfn.XLOOKUP(C462,Tab_Def_Flows[Flow_Name],Tab_Def_Flows[Flow_ID],,0,)</f>
        <v>F__</v>
      </c>
      <c r="C462" s="18" t="s">
        <v>5</v>
      </c>
      <c r="D462" s="5" t="str">
        <f>_xlfn.XLOOKUP(C462,Tab_Def_Flows[Flow_Name],Tab_Def_Flows[Use_E1],,0,)</f>
        <v>Yes</v>
      </c>
      <c r="E462" s="5" t="str">
        <f>_xlfn.XLOOKUP(C462,Tab_Def_Flows[Flow_Name],Tab_Def_Flows[Use_E2],,0,)</f>
        <v>Yes</v>
      </c>
      <c r="F462" s="5" t="str">
        <f>_xlfn.XLOOKUP(C462,Tab_Def_Flows[Flow_Name],Tab_Def_Flows[Use_E3],,0,)</f>
        <v>Yes</v>
      </c>
      <c r="G462" s="5" t="str">
        <f>_xlfn.XLOOKUP(C462,Tab_Def_Flows[Flow_Name],Tab_Def_Flows[Use_E4],,0,)</f>
        <v>Yes</v>
      </c>
      <c r="H462" s="5" t="str">
        <f>_xlfn.XLOOKUP(C462,Tab_Def_Flows[Flow_Name],Tab_Def_Flows[Use_E5],,0,)</f>
        <v>Yes</v>
      </c>
      <c r="I462" s="5" t="str">
        <f>_xlfn.XLOOKUP(C462,Tab_Def_Flows[Flow_Name],Tab_Def_Flows[Use_E6],,0,)</f>
        <v>Yes</v>
      </c>
      <c r="J462" s="3"/>
      <c r="K462" s="3"/>
      <c r="L462" s="2" t="str">
        <f>'0_Configuration'!$C$41</f>
        <v>Mg</v>
      </c>
      <c r="M462" s="9"/>
      <c r="N462" s="9"/>
      <c r="O462" s="9"/>
      <c r="P462" s="9"/>
      <c r="Q462" s="18" t="s">
        <v>3</v>
      </c>
      <c r="R462" s="3"/>
      <c r="S462" s="3"/>
      <c r="T462" s="9"/>
      <c r="U462" s="9"/>
      <c r="V462" s="2">
        <f>_xlfn.XLOOKUP(Tab_Data_Flows[[#This Row],[Flow_Name]],Tab_Def_Flows[Flow_Name],Tab_Def_Flows[Flow_E1_Fraction'[%']],"N.A.",0,1)</f>
        <v>0</v>
      </c>
      <c r="W462" s="8">
        <f t="shared" si="15"/>
        <v>0</v>
      </c>
      <c r="X462" s="2" t="str">
        <f>Tab_Data_Flows[[#This Row],[UoM_Source]]</f>
        <v>Mg</v>
      </c>
      <c r="Y462" s="19">
        <f>_xlfn.XLOOKUP(Tab_Data_Flows[[#This Row],[Flow_Name]],Tab_Def_Flows[Flow_Name],Tab_Def_Flows[Flow_E2_Fraction'[%']],"N.A.",0,1)</f>
        <v>0</v>
      </c>
      <c r="Z462" s="2">
        <f>IF(D462="Yes",W462*Tab_Data_Flows[[#This Row],[E2_Fraction'[%']]],"N.A.")</f>
        <v>0</v>
      </c>
      <c r="AA462" s="2" t="str">
        <f>Tab_Data_Flows[[#This Row],[E1_UoM]]</f>
        <v>Mg</v>
      </c>
      <c r="AB462" s="19">
        <f>_xlfn.XLOOKUP(Tab_Data_Flows[[#This Row],[Flow_Name]],Tab_Def_Flows[Flow_Name],Tab_Def_Flows[Flow_E3_Fraction'[%']],"N.A.",0,1)</f>
        <v>0</v>
      </c>
      <c r="AC462" s="2">
        <f>IF(E462="Yes",AB462*Tab_Data_Flows[[#This Row],[E1_value]],"N.A.")</f>
        <v>0</v>
      </c>
      <c r="AD462" s="2" t="str">
        <f>Tab_Data_Flows[[#This Row],[E1_UoM]]</f>
        <v>Mg</v>
      </c>
      <c r="AE462" s="19">
        <f>_xlfn.XLOOKUP(Tab_Data_Flows[[#This Row],[Flow_Name]],Tab_Def_Flows[Flow_Name],Tab_Def_Flows[Flow_E4_Fraction'[%']],"N.A.",0,1)</f>
        <v>0</v>
      </c>
      <c r="AF462" s="2">
        <f>IF(H462="Yes",Tab_Data_Flows[[#This Row],[E4_Fraction'[%']]]*Tab_Data_Flows[[#This Row],[E1_value]],"N.A.")</f>
        <v>0</v>
      </c>
      <c r="AG462" s="2" t="str">
        <f>Tab_Data_Flows[[#This Row],[E1_UoM]]</f>
        <v>Mg</v>
      </c>
      <c r="AH462" s="2">
        <f>_xlfn.XLOOKUP(Tab_Data_Flows[[#This Row],[Flow_Name]],Tab_Def_Flows[Flow_Name],Tab_Def_Flows[Flow_E5_Fraction'[%']],"N.A.",0,1)</f>
        <v>0</v>
      </c>
      <c r="AI462" s="2">
        <f>IF(H462="Yes",Tab_Data_Flows[[#This Row],[E5_Fraction'[%']]]*Tab_Data_Flows[[#This Row],[E1_value]],"N.A.")</f>
        <v>0</v>
      </c>
      <c r="AJ462" s="2" t="str">
        <f>Tab_Data_Flows[[#This Row],[E1_UoM]]</f>
        <v>Mg</v>
      </c>
      <c r="AK462" s="19">
        <f>_xlfn.XLOOKUP(Tab_Data_Flows[[#This Row],[Flow_Name]],Tab_Def_Flows[Flow_Name],Tab_Def_Flows[Flow_E6_Fraction'[%']],"N.A.",0,1)</f>
        <v>0</v>
      </c>
      <c r="AL462" s="2">
        <f>IF(Tab_Data_Flows[[#This Row],[Use_E6]]="Yes",Tab_Data_Flows[[#This Row],[E6_Fraction'[%']]]*Tab_Data_Flows[[#This Row],[E1_value]],"N.A.")</f>
        <v>0</v>
      </c>
      <c r="AM462" s="2" t="str">
        <f>Tab_Data_Flows[[#This Row],[E1_UoM]]</f>
        <v>Mg</v>
      </c>
    </row>
    <row r="463" spans="1:39" x14ac:dyDescent="0.25">
      <c r="A463" s="4">
        <f t="shared" si="12"/>
        <v>462</v>
      </c>
      <c r="B463" s="2" t="str">
        <f>_xlfn.XLOOKUP(C463,Tab_Def_Flows[Flow_Name],Tab_Def_Flows[Flow_ID],,0,)</f>
        <v>F__</v>
      </c>
      <c r="C463" s="18" t="s">
        <v>5</v>
      </c>
      <c r="D463" s="5" t="str">
        <f>_xlfn.XLOOKUP(C463,Tab_Def_Flows[Flow_Name],Tab_Def_Flows[Use_E1],,0,)</f>
        <v>Yes</v>
      </c>
      <c r="E463" s="5" t="str">
        <f>_xlfn.XLOOKUP(C463,Tab_Def_Flows[Flow_Name],Tab_Def_Flows[Use_E2],,0,)</f>
        <v>Yes</v>
      </c>
      <c r="F463" s="5" t="str">
        <f>_xlfn.XLOOKUP(C463,Tab_Def_Flows[Flow_Name],Tab_Def_Flows[Use_E3],,0,)</f>
        <v>Yes</v>
      </c>
      <c r="G463" s="5" t="str">
        <f>_xlfn.XLOOKUP(C463,Tab_Def_Flows[Flow_Name],Tab_Def_Flows[Use_E4],,0,)</f>
        <v>Yes</v>
      </c>
      <c r="H463" s="5" t="str">
        <f>_xlfn.XLOOKUP(C463,Tab_Def_Flows[Flow_Name],Tab_Def_Flows[Use_E5],,0,)</f>
        <v>Yes</v>
      </c>
      <c r="I463" s="5" t="str">
        <f>_xlfn.XLOOKUP(C463,Tab_Def_Flows[Flow_Name],Tab_Def_Flows[Use_E6],,0,)</f>
        <v>Yes</v>
      </c>
      <c r="J463" s="3"/>
      <c r="K463" s="3"/>
      <c r="L463" s="2" t="str">
        <f>'0_Configuration'!$C$41</f>
        <v>Mg</v>
      </c>
      <c r="M463" s="9"/>
      <c r="N463" s="9"/>
      <c r="O463" s="9"/>
      <c r="P463" s="9"/>
      <c r="Q463" s="18" t="s">
        <v>3</v>
      </c>
      <c r="R463" s="3"/>
      <c r="S463" s="3"/>
      <c r="T463" s="9"/>
      <c r="U463" s="9"/>
      <c r="V463" s="2">
        <f>_xlfn.XLOOKUP(Tab_Data_Flows[[#This Row],[Flow_Name]],Tab_Def_Flows[Flow_Name],Tab_Def_Flows[Flow_E1_Fraction'[%']],"N.A.",0,1)</f>
        <v>0</v>
      </c>
      <c r="W463" s="8">
        <f t="shared" si="15"/>
        <v>0</v>
      </c>
      <c r="X463" s="2" t="str">
        <f>Tab_Data_Flows[[#This Row],[UoM_Source]]</f>
        <v>Mg</v>
      </c>
      <c r="Y463" s="19">
        <f>_xlfn.XLOOKUP(Tab_Data_Flows[[#This Row],[Flow_Name]],Tab_Def_Flows[Flow_Name],Tab_Def_Flows[Flow_E2_Fraction'[%']],"N.A.",0,1)</f>
        <v>0</v>
      </c>
      <c r="Z463" s="2">
        <f>IF(D463="Yes",W463*Tab_Data_Flows[[#This Row],[E2_Fraction'[%']]],"N.A.")</f>
        <v>0</v>
      </c>
      <c r="AA463" s="2" t="str">
        <f>Tab_Data_Flows[[#This Row],[E1_UoM]]</f>
        <v>Mg</v>
      </c>
      <c r="AB463" s="19">
        <f>_xlfn.XLOOKUP(Tab_Data_Flows[[#This Row],[Flow_Name]],Tab_Def_Flows[Flow_Name],Tab_Def_Flows[Flow_E3_Fraction'[%']],"N.A.",0,1)</f>
        <v>0</v>
      </c>
      <c r="AC463" s="2">
        <f>IF(E463="Yes",AB463*Tab_Data_Flows[[#This Row],[E1_value]],"N.A.")</f>
        <v>0</v>
      </c>
      <c r="AD463" s="2" t="str">
        <f>Tab_Data_Flows[[#This Row],[E1_UoM]]</f>
        <v>Mg</v>
      </c>
      <c r="AE463" s="19">
        <f>_xlfn.XLOOKUP(Tab_Data_Flows[[#This Row],[Flow_Name]],Tab_Def_Flows[Flow_Name],Tab_Def_Flows[Flow_E4_Fraction'[%']],"N.A.",0,1)</f>
        <v>0</v>
      </c>
      <c r="AF463" s="2">
        <f>IF(H463="Yes",Tab_Data_Flows[[#This Row],[E4_Fraction'[%']]]*Tab_Data_Flows[[#This Row],[E1_value]],"N.A.")</f>
        <v>0</v>
      </c>
      <c r="AG463" s="2" t="str">
        <f>Tab_Data_Flows[[#This Row],[E1_UoM]]</f>
        <v>Mg</v>
      </c>
      <c r="AH463" s="2">
        <f>_xlfn.XLOOKUP(Tab_Data_Flows[[#This Row],[Flow_Name]],Tab_Def_Flows[Flow_Name],Tab_Def_Flows[Flow_E5_Fraction'[%']],"N.A.",0,1)</f>
        <v>0</v>
      </c>
      <c r="AI463" s="2">
        <f>IF(H463="Yes",Tab_Data_Flows[[#This Row],[E5_Fraction'[%']]]*Tab_Data_Flows[[#This Row],[E1_value]],"N.A.")</f>
        <v>0</v>
      </c>
      <c r="AJ463" s="2" t="str">
        <f>Tab_Data_Flows[[#This Row],[E1_UoM]]</f>
        <v>Mg</v>
      </c>
      <c r="AK463" s="19">
        <f>_xlfn.XLOOKUP(Tab_Data_Flows[[#This Row],[Flow_Name]],Tab_Def_Flows[Flow_Name],Tab_Def_Flows[Flow_E6_Fraction'[%']],"N.A.",0,1)</f>
        <v>0</v>
      </c>
      <c r="AL463" s="2">
        <f>IF(Tab_Data_Flows[[#This Row],[Use_E6]]="Yes",Tab_Data_Flows[[#This Row],[E6_Fraction'[%']]]*Tab_Data_Flows[[#This Row],[E1_value]],"N.A.")</f>
        <v>0</v>
      </c>
      <c r="AM463" s="2" t="str">
        <f>Tab_Data_Flows[[#This Row],[E1_UoM]]</f>
        <v>Mg</v>
      </c>
    </row>
    <row r="464" spans="1:39" x14ac:dyDescent="0.25">
      <c r="A464" s="4">
        <f t="shared" si="12"/>
        <v>463</v>
      </c>
      <c r="B464" s="2" t="str">
        <f>_xlfn.XLOOKUP(C464,Tab_Def_Flows[Flow_Name],Tab_Def_Flows[Flow_ID],,0,)</f>
        <v>F__</v>
      </c>
      <c r="C464" s="18" t="s">
        <v>5</v>
      </c>
      <c r="D464" s="5" t="str">
        <f>_xlfn.XLOOKUP(C464,Tab_Def_Flows[Flow_Name],Tab_Def_Flows[Use_E1],,0,)</f>
        <v>Yes</v>
      </c>
      <c r="E464" s="5" t="str">
        <f>_xlfn.XLOOKUP(C464,Tab_Def_Flows[Flow_Name],Tab_Def_Flows[Use_E2],,0,)</f>
        <v>Yes</v>
      </c>
      <c r="F464" s="5" t="str">
        <f>_xlfn.XLOOKUP(C464,Tab_Def_Flows[Flow_Name],Tab_Def_Flows[Use_E3],,0,)</f>
        <v>Yes</v>
      </c>
      <c r="G464" s="5" t="str">
        <f>_xlfn.XLOOKUP(C464,Tab_Def_Flows[Flow_Name],Tab_Def_Flows[Use_E4],,0,)</f>
        <v>Yes</v>
      </c>
      <c r="H464" s="5" t="str">
        <f>_xlfn.XLOOKUP(C464,Tab_Def_Flows[Flow_Name],Tab_Def_Flows[Use_E5],,0,)</f>
        <v>Yes</v>
      </c>
      <c r="I464" s="5" t="str">
        <f>_xlfn.XLOOKUP(C464,Tab_Def_Flows[Flow_Name],Tab_Def_Flows[Use_E6],,0,)</f>
        <v>Yes</v>
      </c>
      <c r="J464" s="3"/>
      <c r="K464" s="3"/>
      <c r="L464" s="2" t="str">
        <f>'0_Configuration'!$C$41</f>
        <v>Mg</v>
      </c>
      <c r="M464" s="9"/>
      <c r="N464" s="9"/>
      <c r="O464" s="9"/>
      <c r="P464" s="9"/>
      <c r="Q464" s="18" t="s">
        <v>3</v>
      </c>
      <c r="R464" s="3"/>
      <c r="S464" s="3"/>
      <c r="T464" s="9"/>
      <c r="U464" s="9"/>
      <c r="V464" s="2">
        <f>_xlfn.XLOOKUP(Tab_Data_Flows[[#This Row],[Flow_Name]],Tab_Def_Flows[Flow_Name],Tab_Def_Flows[Flow_E1_Fraction'[%']],"N.A.",0,1)</f>
        <v>0</v>
      </c>
      <c r="W464" s="8">
        <f t="shared" si="15"/>
        <v>0</v>
      </c>
      <c r="X464" s="2" t="str">
        <f>Tab_Data_Flows[[#This Row],[UoM_Source]]</f>
        <v>Mg</v>
      </c>
      <c r="Y464" s="19">
        <f>_xlfn.XLOOKUP(Tab_Data_Flows[[#This Row],[Flow_Name]],Tab_Def_Flows[Flow_Name],Tab_Def_Flows[Flow_E2_Fraction'[%']],"N.A.",0,1)</f>
        <v>0</v>
      </c>
      <c r="Z464" s="2">
        <f>IF(D464="Yes",W464*Tab_Data_Flows[[#This Row],[E2_Fraction'[%']]],"N.A.")</f>
        <v>0</v>
      </c>
      <c r="AA464" s="2" t="str">
        <f>Tab_Data_Flows[[#This Row],[E1_UoM]]</f>
        <v>Mg</v>
      </c>
      <c r="AB464" s="19">
        <f>_xlfn.XLOOKUP(Tab_Data_Flows[[#This Row],[Flow_Name]],Tab_Def_Flows[Flow_Name],Tab_Def_Flows[Flow_E3_Fraction'[%']],"N.A.",0,1)</f>
        <v>0</v>
      </c>
      <c r="AC464" s="2">
        <f>IF(E464="Yes",AB464*Tab_Data_Flows[[#This Row],[E1_value]],"N.A.")</f>
        <v>0</v>
      </c>
      <c r="AD464" s="2" t="str">
        <f>Tab_Data_Flows[[#This Row],[E1_UoM]]</f>
        <v>Mg</v>
      </c>
      <c r="AE464" s="19">
        <f>_xlfn.XLOOKUP(Tab_Data_Flows[[#This Row],[Flow_Name]],Tab_Def_Flows[Flow_Name],Tab_Def_Flows[Flow_E4_Fraction'[%']],"N.A.",0,1)</f>
        <v>0</v>
      </c>
      <c r="AF464" s="2">
        <f>IF(H464="Yes",Tab_Data_Flows[[#This Row],[E4_Fraction'[%']]]*Tab_Data_Flows[[#This Row],[E1_value]],"N.A.")</f>
        <v>0</v>
      </c>
      <c r="AG464" s="2" t="str">
        <f>Tab_Data_Flows[[#This Row],[E1_UoM]]</f>
        <v>Mg</v>
      </c>
      <c r="AH464" s="2">
        <f>_xlfn.XLOOKUP(Tab_Data_Flows[[#This Row],[Flow_Name]],Tab_Def_Flows[Flow_Name],Tab_Def_Flows[Flow_E5_Fraction'[%']],"N.A.",0,1)</f>
        <v>0</v>
      </c>
      <c r="AI464" s="2">
        <f>IF(H464="Yes",Tab_Data_Flows[[#This Row],[E5_Fraction'[%']]]*Tab_Data_Flows[[#This Row],[E1_value]],"N.A.")</f>
        <v>0</v>
      </c>
      <c r="AJ464" s="2" t="str">
        <f>Tab_Data_Flows[[#This Row],[E1_UoM]]</f>
        <v>Mg</v>
      </c>
      <c r="AK464" s="19">
        <f>_xlfn.XLOOKUP(Tab_Data_Flows[[#This Row],[Flow_Name]],Tab_Def_Flows[Flow_Name],Tab_Def_Flows[Flow_E6_Fraction'[%']],"N.A.",0,1)</f>
        <v>0</v>
      </c>
      <c r="AL464" s="2">
        <f>IF(Tab_Data_Flows[[#This Row],[Use_E6]]="Yes",Tab_Data_Flows[[#This Row],[E6_Fraction'[%']]]*Tab_Data_Flows[[#This Row],[E1_value]],"N.A.")</f>
        <v>0</v>
      </c>
      <c r="AM464" s="2" t="str">
        <f>Tab_Data_Flows[[#This Row],[E1_UoM]]</f>
        <v>Mg</v>
      </c>
    </row>
    <row r="465" spans="1:39" x14ac:dyDescent="0.25">
      <c r="A465" s="4">
        <f t="shared" si="12"/>
        <v>464</v>
      </c>
      <c r="B465" s="2" t="str">
        <f>_xlfn.XLOOKUP(C465,Tab_Def_Flows[Flow_Name],Tab_Def_Flows[Flow_ID],,0,)</f>
        <v>F__</v>
      </c>
      <c r="C465" s="18" t="s">
        <v>5</v>
      </c>
      <c r="D465" s="5" t="str">
        <f>_xlfn.XLOOKUP(C465,Tab_Def_Flows[Flow_Name],Tab_Def_Flows[Use_E1],,0,)</f>
        <v>Yes</v>
      </c>
      <c r="E465" s="5" t="str">
        <f>_xlfn.XLOOKUP(C465,Tab_Def_Flows[Flow_Name],Tab_Def_Flows[Use_E2],,0,)</f>
        <v>Yes</v>
      </c>
      <c r="F465" s="5" t="str">
        <f>_xlfn.XLOOKUP(C465,Tab_Def_Flows[Flow_Name],Tab_Def_Flows[Use_E3],,0,)</f>
        <v>Yes</v>
      </c>
      <c r="G465" s="5" t="str">
        <f>_xlfn.XLOOKUP(C465,Tab_Def_Flows[Flow_Name],Tab_Def_Flows[Use_E4],,0,)</f>
        <v>Yes</v>
      </c>
      <c r="H465" s="5" t="str">
        <f>_xlfn.XLOOKUP(C465,Tab_Def_Flows[Flow_Name],Tab_Def_Flows[Use_E5],,0,)</f>
        <v>Yes</v>
      </c>
      <c r="I465" s="5" t="str">
        <f>_xlfn.XLOOKUP(C465,Tab_Def_Flows[Flow_Name],Tab_Def_Flows[Use_E6],,0,)</f>
        <v>Yes</v>
      </c>
      <c r="J465" s="3"/>
      <c r="K465" s="3"/>
      <c r="L465" s="2" t="str">
        <f>'0_Configuration'!$C$41</f>
        <v>Mg</v>
      </c>
      <c r="M465" s="9"/>
      <c r="N465" s="9"/>
      <c r="O465" s="9"/>
      <c r="P465" s="9"/>
      <c r="Q465" s="18" t="s">
        <v>3</v>
      </c>
      <c r="R465" s="3"/>
      <c r="S465" s="3"/>
      <c r="T465" s="9"/>
      <c r="U465" s="9"/>
      <c r="V465" s="2">
        <f>_xlfn.XLOOKUP(Tab_Data_Flows[[#This Row],[Flow_Name]],Tab_Def_Flows[Flow_Name],Tab_Def_Flows[Flow_E1_Fraction'[%']],"N.A.",0,1)</f>
        <v>0</v>
      </c>
      <c r="W465" s="8">
        <f t="shared" si="15"/>
        <v>0</v>
      </c>
      <c r="X465" s="2" t="str">
        <f>Tab_Data_Flows[[#This Row],[UoM_Source]]</f>
        <v>Mg</v>
      </c>
      <c r="Y465" s="19">
        <f>_xlfn.XLOOKUP(Tab_Data_Flows[[#This Row],[Flow_Name]],Tab_Def_Flows[Flow_Name],Tab_Def_Flows[Flow_E2_Fraction'[%']],"N.A.",0,1)</f>
        <v>0</v>
      </c>
      <c r="Z465" s="2">
        <f>IF(D465="Yes",W465*Tab_Data_Flows[[#This Row],[E2_Fraction'[%']]],"N.A.")</f>
        <v>0</v>
      </c>
      <c r="AA465" s="2" t="str">
        <f>Tab_Data_Flows[[#This Row],[E1_UoM]]</f>
        <v>Mg</v>
      </c>
      <c r="AB465" s="19">
        <f>_xlfn.XLOOKUP(Tab_Data_Flows[[#This Row],[Flow_Name]],Tab_Def_Flows[Flow_Name],Tab_Def_Flows[Flow_E3_Fraction'[%']],"N.A.",0,1)</f>
        <v>0</v>
      </c>
      <c r="AC465" s="2">
        <f>IF(E465="Yes",AB465*Tab_Data_Flows[[#This Row],[E1_value]],"N.A.")</f>
        <v>0</v>
      </c>
      <c r="AD465" s="2" t="str">
        <f>Tab_Data_Flows[[#This Row],[E1_UoM]]</f>
        <v>Mg</v>
      </c>
      <c r="AE465" s="19">
        <f>_xlfn.XLOOKUP(Tab_Data_Flows[[#This Row],[Flow_Name]],Tab_Def_Flows[Flow_Name],Tab_Def_Flows[Flow_E4_Fraction'[%']],"N.A.",0,1)</f>
        <v>0</v>
      </c>
      <c r="AF465" s="2">
        <f>IF(H465="Yes",Tab_Data_Flows[[#This Row],[E4_Fraction'[%']]]*Tab_Data_Flows[[#This Row],[E1_value]],"N.A.")</f>
        <v>0</v>
      </c>
      <c r="AG465" s="2" t="str">
        <f>Tab_Data_Flows[[#This Row],[E1_UoM]]</f>
        <v>Mg</v>
      </c>
      <c r="AH465" s="2">
        <f>_xlfn.XLOOKUP(Tab_Data_Flows[[#This Row],[Flow_Name]],Tab_Def_Flows[Flow_Name],Tab_Def_Flows[Flow_E5_Fraction'[%']],"N.A.",0,1)</f>
        <v>0</v>
      </c>
      <c r="AI465" s="2">
        <f>IF(H465="Yes",Tab_Data_Flows[[#This Row],[E5_Fraction'[%']]]*Tab_Data_Flows[[#This Row],[E1_value]],"N.A.")</f>
        <v>0</v>
      </c>
      <c r="AJ465" s="2" t="str">
        <f>Tab_Data_Flows[[#This Row],[E1_UoM]]</f>
        <v>Mg</v>
      </c>
      <c r="AK465" s="19">
        <f>_xlfn.XLOOKUP(Tab_Data_Flows[[#This Row],[Flow_Name]],Tab_Def_Flows[Flow_Name],Tab_Def_Flows[Flow_E6_Fraction'[%']],"N.A.",0,1)</f>
        <v>0</v>
      </c>
      <c r="AL465" s="2">
        <f>IF(Tab_Data_Flows[[#This Row],[Use_E6]]="Yes",Tab_Data_Flows[[#This Row],[E6_Fraction'[%']]]*Tab_Data_Flows[[#This Row],[E1_value]],"N.A.")</f>
        <v>0</v>
      </c>
      <c r="AM465" s="2" t="str">
        <f>Tab_Data_Flows[[#This Row],[E1_UoM]]</f>
        <v>Mg</v>
      </c>
    </row>
    <row r="466" spans="1:39" x14ac:dyDescent="0.25">
      <c r="A466" s="4">
        <f t="shared" si="12"/>
        <v>465</v>
      </c>
      <c r="B466" s="2" t="str">
        <f>_xlfn.XLOOKUP(C466,Tab_Def_Flows[Flow_Name],Tab_Def_Flows[Flow_ID],,0,)</f>
        <v>F__</v>
      </c>
      <c r="C466" s="18" t="s">
        <v>5</v>
      </c>
      <c r="D466" s="5" t="str">
        <f>_xlfn.XLOOKUP(C466,Tab_Def_Flows[Flow_Name],Tab_Def_Flows[Use_E1],,0,)</f>
        <v>Yes</v>
      </c>
      <c r="E466" s="5" t="str">
        <f>_xlfn.XLOOKUP(C466,Tab_Def_Flows[Flow_Name],Tab_Def_Flows[Use_E2],,0,)</f>
        <v>Yes</v>
      </c>
      <c r="F466" s="5" t="str">
        <f>_xlfn.XLOOKUP(C466,Tab_Def_Flows[Flow_Name],Tab_Def_Flows[Use_E3],,0,)</f>
        <v>Yes</v>
      </c>
      <c r="G466" s="5" t="str">
        <f>_xlfn.XLOOKUP(C466,Tab_Def_Flows[Flow_Name],Tab_Def_Flows[Use_E4],,0,)</f>
        <v>Yes</v>
      </c>
      <c r="H466" s="5" t="str">
        <f>_xlfn.XLOOKUP(C466,Tab_Def_Flows[Flow_Name],Tab_Def_Flows[Use_E5],,0,)</f>
        <v>Yes</v>
      </c>
      <c r="I466" s="5" t="str">
        <f>_xlfn.XLOOKUP(C466,Tab_Def_Flows[Flow_Name],Tab_Def_Flows[Use_E6],,0,)</f>
        <v>Yes</v>
      </c>
      <c r="J466" s="3"/>
      <c r="K466" s="3"/>
      <c r="L466" s="2" t="str">
        <f>'0_Configuration'!$C$41</f>
        <v>Mg</v>
      </c>
      <c r="M466" s="9"/>
      <c r="N466" s="9"/>
      <c r="O466" s="9"/>
      <c r="P466" s="9"/>
      <c r="Q466" s="18" t="s">
        <v>3</v>
      </c>
      <c r="R466" s="3"/>
      <c r="S466" s="3"/>
      <c r="T466" s="9"/>
      <c r="U466" s="9"/>
      <c r="V466" s="2">
        <f>_xlfn.XLOOKUP(Tab_Data_Flows[[#This Row],[Flow_Name]],Tab_Def_Flows[Flow_Name],Tab_Def_Flows[Flow_E1_Fraction'[%']],"N.A.",0,1)</f>
        <v>0</v>
      </c>
      <c r="W466" s="8">
        <f t="shared" si="15"/>
        <v>0</v>
      </c>
      <c r="X466" s="2" t="str">
        <f>Tab_Data_Flows[[#This Row],[UoM_Source]]</f>
        <v>Mg</v>
      </c>
      <c r="Y466" s="19">
        <f>_xlfn.XLOOKUP(Tab_Data_Flows[[#This Row],[Flow_Name]],Tab_Def_Flows[Flow_Name],Tab_Def_Flows[Flow_E2_Fraction'[%']],"N.A.",0,1)</f>
        <v>0</v>
      </c>
      <c r="Z466" s="2">
        <f>IF(D466="Yes",W466*Tab_Data_Flows[[#This Row],[E2_Fraction'[%']]],"N.A.")</f>
        <v>0</v>
      </c>
      <c r="AA466" s="2" t="str">
        <f>Tab_Data_Flows[[#This Row],[E1_UoM]]</f>
        <v>Mg</v>
      </c>
      <c r="AB466" s="19">
        <f>_xlfn.XLOOKUP(Tab_Data_Flows[[#This Row],[Flow_Name]],Tab_Def_Flows[Flow_Name],Tab_Def_Flows[Flow_E3_Fraction'[%']],"N.A.",0,1)</f>
        <v>0</v>
      </c>
      <c r="AC466" s="2">
        <f>IF(E466="Yes",AB466*Tab_Data_Flows[[#This Row],[E1_value]],"N.A.")</f>
        <v>0</v>
      </c>
      <c r="AD466" s="2" t="str">
        <f>Tab_Data_Flows[[#This Row],[E1_UoM]]</f>
        <v>Mg</v>
      </c>
      <c r="AE466" s="19">
        <f>_xlfn.XLOOKUP(Tab_Data_Flows[[#This Row],[Flow_Name]],Tab_Def_Flows[Flow_Name],Tab_Def_Flows[Flow_E4_Fraction'[%']],"N.A.",0,1)</f>
        <v>0</v>
      </c>
      <c r="AF466" s="2">
        <f>IF(H466="Yes",Tab_Data_Flows[[#This Row],[E4_Fraction'[%']]]*Tab_Data_Flows[[#This Row],[E1_value]],"N.A.")</f>
        <v>0</v>
      </c>
      <c r="AG466" s="2" t="str">
        <f>Tab_Data_Flows[[#This Row],[E1_UoM]]</f>
        <v>Mg</v>
      </c>
      <c r="AH466" s="2">
        <f>_xlfn.XLOOKUP(Tab_Data_Flows[[#This Row],[Flow_Name]],Tab_Def_Flows[Flow_Name],Tab_Def_Flows[Flow_E5_Fraction'[%']],"N.A.",0,1)</f>
        <v>0</v>
      </c>
      <c r="AI466" s="2">
        <f>IF(H466="Yes",Tab_Data_Flows[[#This Row],[E5_Fraction'[%']]]*Tab_Data_Flows[[#This Row],[E1_value]],"N.A.")</f>
        <v>0</v>
      </c>
      <c r="AJ466" s="2" t="str">
        <f>Tab_Data_Flows[[#This Row],[E1_UoM]]</f>
        <v>Mg</v>
      </c>
      <c r="AK466" s="19">
        <f>_xlfn.XLOOKUP(Tab_Data_Flows[[#This Row],[Flow_Name]],Tab_Def_Flows[Flow_Name],Tab_Def_Flows[Flow_E6_Fraction'[%']],"N.A.",0,1)</f>
        <v>0</v>
      </c>
      <c r="AL466" s="2">
        <f>IF(Tab_Data_Flows[[#This Row],[Use_E6]]="Yes",Tab_Data_Flows[[#This Row],[E6_Fraction'[%']]]*Tab_Data_Flows[[#This Row],[E1_value]],"N.A.")</f>
        <v>0</v>
      </c>
      <c r="AM466" s="2" t="str">
        <f>Tab_Data_Flows[[#This Row],[E1_UoM]]</f>
        <v>Mg</v>
      </c>
    </row>
    <row r="467" spans="1:39" x14ac:dyDescent="0.25">
      <c r="A467" s="4">
        <f t="shared" si="12"/>
        <v>466</v>
      </c>
      <c r="B467" s="2" t="str">
        <f>_xlfn.XLOOKUP(C467,Tab_Def_Flows[Flow_Name],Tab_Def_Flows[Flow_ID],,0,)</f>
        <v>F__</v>
      </c>
      <c r="C467" s="18" t="s">
        <v>5</v>
      </c>
      <c r="D467" s="5" t="str">
        <f>_xlfn.XLOOKUP(C467,Tab_Def_Flows[Flow_Name],Tab_Def_Flows[Use_E1],,0,)</f>
        <v>Yes</v>
      </c>
      <c r="E467" s="5" t="str">
        <f>_xlfn.XLOOKUP(C467,Tab_Def_Flows[Flow_Name],Tab_Def_Flows[Use_E2],,0,)</f>
        <v>Yes</v>
      </c>
      <c r="F467" s="5" t="str">
        <f>_xlfn.XLOOKUP(C467,Tab_Def_Flows[Flow_Name],Tab_Def_Flows[Use_E3],,0,)</f>
        <v>Yes</v>
      </c>
      <c r="G467" s="5" t="str">
        <f>_xlfn.XLOOKUP(C467,Tab_Def_Flows[Flow_Name],Tab_Def_Flows[Use_E4],,0,)</f>
        <v>Yes</v>
      </c>
      <c r="H467" s="5" t="str">
        <f>_xlfn.XLOOKUP(C467,Tab_Def_Flows[Flow_Name],Tab_Def_Flows[Use_E5],,0,)</f>
        <v>Yes</v>
      </c>
      <c r="I467" s="5" t="str">
        <f>_xlfn.XLOOKUP(C467,Tab_Def_Flows[Flow_Name],Tab_Def_Flows[Use_E6],,0,)</f>
        <v>Yes</v>
      </c>
      <c r="J467" s="3"/>
      <c r="K467" s="3"/>
      <c r="L467" s="2" t="str">
        <f>'0_Configuration'!$C$41</f>
        <v>Mg</v>
      </c>
      <c r="M467" s="9"/>
      <c r="N467" s="9"/>
      <c r="O467" s="9"/>
      <c r="P467" s="9"/>
      <c r="Q467" s="18" t="s">
        <v>3</v>
      </c>
      <c r="R467" s="3"/>
      <c r="S467" s="3"/>
      <c r="T467" s="9"/>
      <c r="U467" s="9"/>
      <c r="V467" s="2">
        <f>_xlfn.XLOOKUP(Tab_Data_Flows[[#This Row],[Flow_Name]],Tab_Def_Flows[Flow_Name],Tab_Def_Flows[Flow_E1_Fraction'[%']],"N.A.",0,1)</f>
        <v>0</v>
      </c>
      <c r="W467" s="8">
        <f t="shared" si="15"/>
        <v>0</v>
      </c>
      <c r="X467" s="2" t="str">
        <f>Tab_Data_Flows[[#This Row],[UoM_Source]]</f>
        <v>Mg</v>
      </c>
      <c r="Y467" s="19">
        <f>_xlfn.XLOOKUP(Tab_Data_Flows[[#This Row],[Flow_Name]],Tab_Def_Flows[Flow_Name],Tab_Def_Flows[Flow_E2_Fraction'[%']],"N.A.",0,1)</f>
        <v>0</v>
      </c>
      <c r="Z467" s="2">
        <f>IF(D467="Yes",W467*Tab_Data_Flows[[#This Row],[E2_Fraction'[%']]],"N.A.")</f>
        <v>0</v>
      </c>
      <c r="AA467" s="2" t="str">
        <f>Tab_Data_Flows[[#This Row],[E1_UoM]]</f>
        <v>Mg</v>
      </c>
      <c r="AB467" s="19">
        <f>_xlfn.XLOOKUP(Tab_Data_Flows[[#This Row],[Flow_Name]],Tab_Def_Flows[Flow_Name],Tab_Def_Flows[Flow_E3_Fraction'[%']],"N.A.",0,1)</f>
        <v>0</v>
      </c>
      <c r="AC467" s="2">
        <f>IF(E467="Yes",AB467*Tab_Data_Flows[[#This Row],[E1_value]],"N.A.")</f>
        <v>0</v>
      </c>
      <c r="AD467" s="2" t="str">
        <f>Tab_Data_Flows[[#This Row],[E1_UoM]]</f>
        <v>Mg</v>
      </c>
      <c r="AE467" s="19">
        <f>_xlfn.XLOOKUP(Tab_Data_Flows[[#This Row],[Flow_Name]],Tab_Def_Flows[Flow_Name],Tab_Def_Flows[Flow_E4_Fraction'[%']],"N.A.",0,1)</f>
        <v>0</v>
      </c>
      <c r="AF467" s="2">
        <f>IF(H467="Yes",Tab_Data_Flows[[#This Row],[E4_Fraction'[%']]]*Tab_Data_Flows[[#This Row],[E1_value]],"N.A.")</f>
        <v>0</v>
      </c>
      <c r="AG467" s="2" t="str">
        <f>Tab_Data_Flows[[#This Row],[E1_UoM]]</f>
        <v>Mg</v>
      </c>
      <c r="AH467" s="2">
        <f>_xlfn.XLOOKUP(Tab_Data_Flows[[#This Row],[Flow_Name]],Tab_Def_Flows[Flow_Name],Tab_Def_Flows[Flow_E5_Fraction'[%']],"N.A.",0,1)</f>
        <v>0</v>
      </c>
      <c r="AI467" s="2">
        <f>IF(H467="Yes",Tab_Data_Flows[[#This Row],[E5_Fraction'[%']]]*Tab_Data_Flows[[#This Row],[E1_value]],"N.A.")</f>
        <v>0</v>
      </c>
      <c r="AJ467" s="2" t="str">
        <f>Tab_Data_Flows[[#This Row],[E1_UoM]]</f>
        <v>Mg</v>
      </c>
      <c r="AK467" s="19">
        <f>_xlfn.XLOOKUP(Tab_Data_Flows[[#This Row],[Flow_Name]],Tab_Def_Flows[Flow_Name],Tab_Def_Flows[Flow_E6_Fraction'[%']],"N.A.",0,1)</f>
        <v>0</v>
      </c>
      <c r="AL467" s="2">
        <f>IF(Tab_Data_Flows[[#This Row],[Use_E6]]="Yes",Tab_Data_Flows[[#This Row],[E6_Fraction'[%']]]*Tab_Data_Flows[[#This Row],[E1_value]],"N.A.")</f>
        <v>0</v>
      </c>
      <c r="AM467" s="2" t="str">
        <f>Tab_Data_Flows[[#This Row],[E1_UoM]]</f>
        <v>Mg</v>
      </c>
    </row>
    <row r="468" spans="1:39" x14ac:dyDescent="0.25">
      <c r="A468" s="4">
        <f t="shared" si="12"/>
        <v>467</v>
      </c>
      <c r="B468" s="2" t="str">
        <f>_xlfn.XLOOKUP(C468,Tab_Def_Flows[Flow_Name],Tab_Def_Flows[Flow_ID],,0,)</f>
        <v>F__</v>
      </c>
      <c r="C468" s="18" t="s">
        <v>5</v>
      </c>
      <c r="D468" s="5" t="str">
        <f>_xlfn.XLOOKUP(C468,Tab_Def_Flows[Flow_Name],Tab_Def_Flows[Use_E1],,0,)</f>
        <v>Yes</v>
      </c>
      <c r="E468" s="5" t="str">
        <f>_xlfn.XLOOKUP(C468,Tab_Def_Flows[Flow_Name],Tab_Def_Flows[Use_E2],,0,)</f>
        <v>Yes</v>
      </c>
      <c r="F468" s="5" t="str">
        <f>_xlfn.XLOOKUP(C468,Tab_Def_Flows[Flow_Name],Tab_Def_Flows[Use_E3],,0,)</f>
        <v>Yes</v>
      </c>
      <c r="G468" s="5" t="str">
        <f>_xlfn.XLOOKUP(C468,Tab_Def_Flows[Flow_Name],Tab_Def_Flows[Use_E4],,0,)</f>
        <v>Yes</v>
      </c>
      <c r="H468" s="5" t="str">
        <f>_xlfn.XLOOKUP(C468,Tab_Def_Flows[Flow_Name],Tab_Def_Flows[Use_E5],,0,)</f>
        <v>Yes</v>
      </c>
      <c r="I468" s="5" t="str">
        <f>_xlfn.XLOOKUP(C468,Tab_Def_Flows[Flow_Name],Tab_Def_Flows[Use_E6],,0,)</f>
        <v>Yes</v>
      </c>
      <c r="J468" s="3"/>
      <c r="K468" s="3"/>
      <c r="L468" s="2" t="str">
        <f>'0_Configuration'!$C$41</f>
        <v>Mg</v>
      </c>
      <c r="M468" s="9"/>
      <c r="N468" s="9"/>
      <c r="O468" s="9"/>
      <c r="P468" s="9"/>
      <c r="Q468" s="18" t="s">
        <v>3</v>
      </c>
      <c r="R468" s="3"/>
      <c r="S468" s="3"/>
      <c r="T468" s="9"/>
      <c r="U468" s="9"/>
      <c r="V468" s="2">
        <f>_xlfn.XLOOKUP(Tab_Data_Flows[[#This Row],[Flow_Name]],Tab_Def_Flows[Flow_Name],Tab_Def_Flows[Flow_E1_Fraction'[%']],"N.A.",0,1)</f>
        <v>0</v>
      </c>
      <c r="W468" s="8">
        <f t="shared" si="15"/>
        <v>0</v>
      </c>
      <c r="X468" s="2" t="str">
        <f>Tab_Data_Flows[[#This Row],[UoM_Source]]</f>
        <v>Mg</v>
      </c>
      <c r="Y468" s="19">
        <f>_xlfn.XLOOKUP(Tab_Data_Flows[[#This Row],[Flow_Name]],Tab_Def_Flows[Flow_Name],Tab_Def_Flows[Flow_E2_Fraction'[%']],"N.A.",0,1)</f>
        <v>0</v>
      </c>
      <c r="Z468" s="2">
        <f>IF(D468="Yes",W468*Tab_Data_Flows[[#This Row],[E2_Fraction'[%']]],"N.A.")</f>
        <v>0</v>
      </c>
      <c r="AA468" s="2" t="str">
        <f>Tab_Data_Flows[[#This Row],[E1_UoM]]</f>
        <v>Mg</v>
      </c>
      <c r="AB468" s="19">
        <f>_xlfn.XLOOKUP(Tab_Data_Flows[[#This Row],[Flow_Name]],Tab_Def_Flows[Flow_Name],Tab_Def_Flows[Flow_E3_Fraction'[%']],"N.A.",0,1)</f>
        <v>0</v>
      </c>
      <c r="AC468" s="2">
        <f>IF(E468="Yes",AB468*Tab_Data_Flows[[#This Row],[E1_value]],"N.A.")</f>
        <v>0</v>
      </c>
      <c r="AD468" s="2" t="str">
        <f>Tab_Data_Flows[[#This Row],[E1_UoM]]</f>
        <v>Mg</v>
      </c>
      <c r="AE468" s="19">
        <f>_xlfn.XLOOKUP(Tab_Data_Flows[[#This Row],[Flow_Name]],Tab_Def_Flows[Flow_Name],Tab_Def_Flows[Flow_E4_Fraction'[%']],"N.A.",0,1)</f>
        <v>0</v>
      </c>
      <c r="AF468" s="2">
        <f>IF(H468="Yes",Tab_Data_Flows[[#This Row],[E4_Fraction'[%']]]*Tab_Data_Flows[[#This Row],[E1_value]],"N.A.")</f>
        <v>0</v>
      </c>
      <c r="AG468" s="2" t="str">
        <f>Tab_Data_Flows[[#This Row],[E1_UoM]]</f>
        <v>Mg</v>
      </c>
      <c r="AH468" s="2">
        <f>_xlfn.XLOOKUP(Tab_Data_Flows[[#This Row],[Flow_Name]],Tab_Def_Flows[Flow_Name],Tab_Def_Flows[Flow_E5_Fraction'[%']],"N.A.",0,1)</f>
        <v>0</v>
      </c>
      <c r="AI468" s="2">
        <f>IF(H468="Yes",Tab_Data_Flows[[#This Row],[E5_Fraction'[%']]]*Tab_Data_Flows[[#This Row],[E1_value]],"N.A.")</f>
        <v>0</v>
      </c>
      <c r="AJ468" s="2" t="str">
        <f>Tab_Data_Flows[[#This Row],[E1_UoM]]</f>
        <v>Mg</v>
      </c>
      <c r="AK468" s="19">
        <f>_xlfn.XLOOKUP(Tab_Data_Flows[[#This Row],[Flow_Name]],Tab_Def_Flows[Flow_Name],Tab_Def_Flows[Flow_E6_Fraction'[%']],"N.A.",0,1)</f>
        <v>0</v>
      </c>
      <c r="AL468" s="2">
        <f>IF(Tab_Data_Flows[[#This Row],[Use_E6]]="Yes",Tab_Data_Flows[[#This Row],[E6_Fraction'[%']]]*Tab_Data_Flows[[#This Row],[E1_value]],"N.A.")</f>
        <v>0</v>
      </c>
      <c r="AM468" s="2" t="str">
        <f>Tab_Data_Flows[[#This Row],[E1_UoM]]</f>
        <v>Mg</v>
      </c>
    </row>
    <row r="469" spans="1:39" x14ac:dyDescent="0.25">
      <c r="A469" s="4">
        <f t="shared" si="12"/>
        <v>468</v>
      </c>
      <c r="B469" s="2" t="str">
        <f>_xlfn.XLOOKUP(C469,Tab_Def_Flows[Flow_Name],Tab_Def_Flows[Flow_ID],,0,)</f>
        <v>F__</v>
      </c>
      <c r="C469" s="18" t="s">
        <v>5</v>
      </c>
      <c r="D469" s="5" t="str">
        <f>_xlfn.XLOOKUP(C469,Tab_Def_Flows[Flow_Name],Tab_Def_Flows[Use_E1],,0,)</f>
        <v>Yes</v>
      </c>
      <c r="E469" s="5" t="str">
        <f>_xlfn.XLOOKUP(C469,Tab_Def_Flows[Flow_Name],Tab_Def_Flows[Use_E2],,0,)</f>
        <v>Yes</v>
      </c>
      <c r="F469" s="5" t="str">
        <f>_xlfn.XLOOKUP(C469,Tab_Def_Flows[Flow_Name],Tab_Def_Flows[Use_E3],,0,)</f>
        <v>Yes</v>
      </c>
      <c r="G469" s="5" t="str">
        <f>_xlfn.XLOOKUP(C469,Tab_Def_Flows[Flow_Name],Tab_Def_Flows[Use_E4],,0,)</f>
        <v>Yes</v>
      </c>
      <c r="H469" s="5" t="str">
        <f>_xlfn.XLOOKUP(C469,Tab_Def_Flows[Flow_Name],Tab_Def_Flows[Use_E5],,0,)</f>
        <v>Yes</v>
      </c>
      <c r="I469" s="5" t="str">
        <f>_xlfn.XLOOKUP(C469,Tab_Def_Flows[Flow_Name],Tab_Def_Flows[Use_E6],,0,)</f>
        <v>Yes</v>
      </c>
      <c r="J469" s="3"/>
      <c r="K469" s="3"/>
      <c r="L469" s="2" t="str">
        <f>'0_Configuration'!$C$41</f>
        <v>Mg</v>
      </c>
      <c r="M469" s="9"/>
      <c r="N469" s="9"/>
      <c r="O469" s="9"/>
      <c r="P469" s="9"/>
      <c r="Q469" s="18" t="s">
        <v>3</v>
      </c>
      <c r="R469" s="3"/>
      <c r="S469" s="3"/>
      <c r="T469" s="9"/>
      <c r="U469" s="9"/>
      <c r="V469" s="2">
        <f>_xlfn.XLOOKUP(Tab_Data_Flows[[#This Row],[Flow_Name]],Tab_Def_Flows[Flow_Name],Tab_Def_Flows[Flow_E1_Fraction'[%']],"N.A.",0,1)</f>
        <v>0</v>
      </c>
      <c r="W469" s="8">
        <f t="shared" si="15"/>
        <v>0</v>
      </c>
      <c r="X469" s="2" t="str">
        <f>Tab_Data_Flows[[#This Row],[UoM_Source]]</f>
        <v>Mg</v>
      </c>
      <c r="Y469" s="19">
        <f>_xlfn.XLOOKUP(Tab_Data_Flows[[#This Row],[Flow_Name]],Tab_Def_Flows[Flow_Name],Tab_Def_Flows[Flow_E2_Fraction'[%']],"N.A.",0,1)</f>
        <v>0</v>
      </c>
      <c r="Z469" s="2">
        <f>IF(D469="Yes",W469*Tab_Data_Flows[[#This Row],[E2_Fraction'[%']]],"N.A.")</f>
        <v>0</v>
      </c>
      <c r="AA469" s="2" t="str">
        <f>Tab_Data_Flows[[#This Row],[E1_UoM]]</f>
        <v>Mg</v>
      </c>
      <c r="AB469" s="19">
        <f>_xlfn.XLOOKUP(Tab_Data_Flows[[#This Row],[Flow_Name]],Tab_Def_Flows[Flow_Name],Tab_Def_Flows[Flow_E3_Fraction'[%']],"N.A.",0,1)</f>
        <v>0</v>
      </c>
      <c r="AC469" s="2">
        <f>IF(E469="Yes",AB469*Tab_Data_Flows[[#This Row],[E1_value]],"N.A.")</f>
        <v>0</v>
      </c>
      <c r="AD469" s="2" t="str">
        <f>Tab_Data_Flows[[#This Row],[E1_UoM]]</f>
        <v>Mg</v>
      </c>
      <c r="AE469" s="19">
        <f>_xlfn.XLOOKUP(Tab_Data_Flows[[#This Row],[Flow_Name]],Tab_Def_Flows[Flow_Name],Tab_Def_Flows[Flow_E4_Fraction'[%']],"N.A.",0,1)</f>
        <v>0</v>
      </c>
      <c r="AF469" s="2">
        <f>IF(H469="Yes",Tab_Data_Flows[[#This Row],[E4_Fraction'[%']]]*Tab_Data_Flows[[#This Row],[E1_value]],"N.A.")</f>
        <v>0</v>
      </c>
      <c r="AG469" s="2" t="str">
        <f>Tab_Data_Flows[[#This Row],[E1_UoM]]</f>
        <v>Mg</v>
      </c>
      <c r="AH469" s="2">
        <f>_xlfn.XLOOKUP(Tab_Data_Flows[[#This Row],[Flow_Name]],Tab_Def_Flows[Flow_Name],Tab_Def_Flows[Flow_E5_Fraction'[%']],"N.A.",0,1)</f>
        <v>0</v>
      </c>
      <c r="AI469" s="2">
        <f>IF(H469="Yes",Tab_Data_Flows[[#This Row],[E5_Fraction'[%']]]*Tab_Data_Flows[[#This Row],[E1_value]],"N.A.")</f>
        <v>0</v>
      </c>
      <c r="AJ469" s="2" t="str">
        <f>Tab_Data_Flows[[#This Row],[E1_UoM]]</f>
        <v>Mg</v>
      </c>
      <c r="AK469" s="19">
        <f>_xlfn.XLOOKUP(Tab_Data_Flows[[#This Row],[Flow_Name]],Tab_Def_Flows[Flow_Name],Tab_Def_Flows[Flow_E6_Fraction'[%']],"N.A.",0,1)</f>
        <v>0</v>
      </c>
      <c r="AL469" s="2">
        <f>IF(Tab_Data_Flows[[#This Row],[Use_E6]]="Yes",Tab_Data_Flows[[#This Row],[E6_Fraction'[%']]]*Tab_Data_Flows[[#This Row],[E1_value]],"N.A.")</f>
        <v>0</v>
      </c>
      <c r="AM469" s="2" t="str">
        <f>Tab_Data_Flows[[#This Row],[E1_UoM]]</f>
        <v>Mg</v>
      </c>
    </row>
    <row r="470" spans="1:39" x14ac:dyDescent="0.25">
      <c r="A470" s="4">
        <f t="shared" si="12"/>
        <v>469</v>
      </c>
      <c r="B470" s="2" t="str">
        <f>_xlfn.XLOOKUP(C470,Tab_Def_Flows[Flow_Name],Tab_Def_Flows[Flow_ID],,0,)</f>
        <v>F__</v>
      </c>
      <c r="C470" s="18" t="s">
        <v>5</v>
      </c>
      <c r="D470" s="5" t="str">
        <f>_xlfn.XLOOKUP(C470,Tab_Def_Flows[Flow_Name],Tab_Def_Flows[Use_E1],,0,)</f>
        <v>Yes</v>
      </c>
      <c r="E470" s="5" t="str">
        <f>_xlfn.XLOOKUP(C470,Tab_Def_Flows[Flow_Name],Tab_Def_Flows[Use_E2],,0,)</f>
        <v>Yes</v>
      </c>
      <c r="F470" s="5" t="str">
        <f>_xlfn.XLOOKUP(C470,Tab_Def_Flows[Flow_Name],Tab_Def_Flows[Use_E3],,0,)</f>
        <v>Yes</v>
      </c>
      <c r="G470" s="5" t="str">
        <f>_xlfn.XLOOKUP(C470,Tab_Def_Flows[Flow_Name],Tab_Def_Flows[Use_E4],,0,)</f>
        <v>Yes</v>
      </c>
      <c r="H470" s="5" t="str">
        <f>_xlfn.XLOOKUP(C470,Tab_Def_Flows[Flow_Name],Tab_Def_Flows[Use_E5],,0,)</f>
        <v>Yes</v>
      </c>
      <c r="I470" s="5" t="str">
        <f>_xlfn.XLOOKUP(C470,Tab_Def_Flows[Flow_Name],Tab_Def_Flows[Use_E6],,0,)</f>
        <v>Yes</v>
      </c>
      <c r="J470" s="3"/>
      <c r="K470" s="3"/>
      <c r="L470" s="2" t="str">
        <f>'0_Configuration'!$C$41</f>
        <v>Mg</v>
      </c>
      <c r="M470" s="9"/>
      <c r="N470" s="9"/>
      <c r="O470" s="9"/>
      <c r="P470" s="9"/>
      <c r="Q470" s="18" t="s">
        <v>3</v>
      </c>
      <c r="R470" s="3"/>
      <c r="S470" s="3"/>
      <c r="T470" s="9"/>
      <c r="U470" s="9"/>
      <c r="V470" s="2">
        <f>_xlfn.XLOOKUP(Tab_Data_Flows[[#This Row],[Flow_Name]],Tab_Def_Flows[Flow_Name],Tab_Def_Flows[Flow_E1_Fraction'[%']],"N.A.",0,1)</f>
        <v>0</v>
      </c>
      <c r="W470" s="8">
        <f t="shared" si="15"/>
        <v>0</v>
      </c>
      <c r="X470" s="2" t="str">
        <f>Tab_Data_Flows[[#This Row],[UoM_Source]]</f>
        <v>Mg</v>
      </c>
      <c r="Y470" s="19">
        <f>_xlfn.XLOOKUP(Tab_Data_Flows[[#This Row],[Flow_Name]],Tab_Def_Flows[Flow_Name],Tab_Def_Flows[Flow_E2_Fraction'[%']],"N.A.",0,1)</f>
        <v>0</v>
      </c>
      <c r="Z470" s="2">
        <f>IF(D470="Yes",W470*Tab_Data_Flows[[#This Row],[E2_Fraction'[%']]],"N.A.")</f>
        <v>0</v>
      </c>
      <c r="AA470" s="2" t="str">
        <f>Tab_Data_Flows[[#This Row],[E1_UoM]]</f>
        <v>Mg</v>
      </c>
      <c r="AB470" s="19">
        <f>_xlfn.XLOOKUP(Tab_Data_Flows[[#This Row],[Flow_Name]],Tab_Def_Flows[Flow_Name],Tab_Def_Flows[Flow_E3_Fraction'[%']],"N.A.",0,1)</f>
        <v>0</v>
      </c>
      <c r="AC470" s="2">
        <f>IF(E470="Yes",AB470*Tab_Data_Flows[[#This Row],[E1_value]],"N.A.")</f>
        <v>0</v>
      </c>
      <c r="AD470" s="2" t="str">
        <f>Tab_Data_Flows[[#This Row],[E1_UoM]]</f>
        <v>Mg</v>
      </c>
      <c r="AE470" s="19">
        <f>_xlfn.XLOOKUP(Tab_Data_Flows[[#This Row],[Flow_Name]],Tab_Def_Flows[Flow_Name],Tab_Def_Flows[Flow_E4_Fraction'[%']],"N.A.",0,1)</f>
        <v>0</v>
      </c>
      <c r="AF470" s="2">
        <f>IF(H470="Yes",Tab_Data_Flows[[#This Row],[E4_Fraction'[%']]]*Tab_Data_Flows[[#This Row],[E1_value]],"N.A.")</f>
        <v>0</v>
      </c>
      <c r="AG470" s="2" t="str">
        <f>Tab_Data_Flows[[#This Row],[E1_UoM]]</f>
        <v>Mg</v>
      </c>
      <c r="AH470" s="2">
        <f>_xlfn.XLOOKUP(Tab_Data_Flows[[#This Row],[Flow_Name]],Tab_Def_Flows[Flow_Name],Tab_Def_Flows[Flow_E5_Fraction'[%']],"N.A.",0,1)</f>
        <v>0</v>
      </c>
      <c r="AI470" s="2">
        <f>IF(H470="Yes",Tab_Data_Flows[[#This Row],[E5_Fraction'[%']]]*Tab_Data_Flows[[#This Row],[E1_value]],"N.A.")</f>
        <v>0</v>
      </c>
      <c r="AJ470" s="2" t="str">
        <f>Tab_Data_Flows[[#This Row],[E1_UoM]]</f>
        <v>Mg</v>
      </c>
      <c r="AK470" s="19">
        <f>_xlfn.XLOOKUP(Tab_Data_Flows[[#This Row],[Flow_Name]],Tab_Def_Flows[Flow_Name],Tab_Def_Flows[Flow_E6_Fraction'[%']],"N.A.",0,1)</f>
        <v>0</v>
      </c>
      <c r="AL470" s="2">
        <f>IF(Tab_Data_Flows[[#This Row],[Use_E6]]="Yes",Tab_Data_Flows[[#This Row],[E6_Fraction'[%']]]*Tab_Data_Flows[[#This Row],[E1_value]],"N.A.")</f>
        <v>0</v>
      </c>
      <c r="AM470" s="2" t="str">
        <f>Tab_Data_Flows[[#This Row],[E1_UoM]]</f>
        <v>Mg</v>
      </c>
    </row>
    <row r="471" spans="1:39" x14ac:dyDescent="0.25">
      <c r="A471" s="4">
        <f t="shared" si="12"/>
        <v>470</v>
      </c>
      <c r="B471" s="2" t="str">
        <f>_xlfn.XLOOKUP(C471,Tab_Def_Flows[Flow_Name],Tab_Def_Flows[Flow_ID],,0,)</f>
        <v>F__</v>
      </c>
      <c r="C471" s="18" t="s">
        <v>5</v>
      </c>
      <c r="D471" s="5" t="str">
        <f>_xlfn.XLOOKUP(C471,Tab_Def_Flows[Flow_Name],Tab_Def_Flows[Use_E1],,0,)</f>
        <v>Yes</v>
      </c>
      <c r="E471" s="5" t="str">
        <f>_xlfn.XLOOKUP(C471,Tab_Def_Flows[Flow_Name],Tab_Def_Flows[Use_E2],,0,)</f>
        <v>Yes</v>
      </c>
      <c r="F471" s="5" t="str">
        <f>_xlfn.XLOOKUP(C471,Tab_Def_Flows[Flow_Name],Tab_Def_Flows[Use_E3],,0,)</f>
        <v>Yes</v>
      </c>
      <c r="G471" s="5" t="str">
        <f>_xlfn.XLOOKUP(C471,Tab_Def_Flows[Flow_Name],Tab_Def_Flows[Use_E4],,0,)</f>
        <v>Yes</v>
      </c>
      <c r="H471" s="5" t="str">
        <f>_xlfn.XLOOKUP(C471,Tab_Def_Flows[Flow_Name],Tab_Def_Flows[Use_E5],,0,)</f>
        <v>Yes</v>
      </c>
      <c r="I471" s="5" t="str">
        <f>_xlfn.XLOOKUP(C471,Tab_Def_Flows[Flow_Name],Tab_Def_Flows[Use_E6],,0,)</f>
        <v>Yes</v>
      </c>
      <c r="J471" s="3"/>
      <c r="K471" s="3"/>
      <c r="L471" s="2" t="str">
        <f>'0_Configuration'!$C$41</f>
        <v>Mg</v>
      </c>
      <c r="M471" s="9"/>
      <c r="N471" s="9"/>
      <c r="O471" s="9"/>
      <c r="P471" s="9"/>
      <c r="Q471" s="18" t="s">
        <v>3</v>
      </c>
      <c r="R471" s="3"/>
      <c r="S471" s="3"/>
      <c r="T471" s="9"/>
      <c r="U471" s="9"/>
      <c r="V471" s="2">
        <f>_xlfn.XLOOKUP(Tab_Data_Flows[[#This Row],[Flow_Name]],Tab_Def_Flows[Flow_Name],Tab_Def_Flows[Flow_E1_Fraction'[%']],"N.A.",0,1)</f>
        <v>0</v>
      </c>
      <c r="W471" s="8">
        <f t="shared" si="15"/>
        <v>0</v>
      </c>
      <c r="X471" s="2" t="str">
        <f>Tab_Data_Flows[[#This Row],[UoM_Source]]</f>
        <v>Mg</v>
      </c>
      <c r="Y471" s="19">
        <f>_xlfn.XLOOKUP(Tab_Data_Flows[[#This Row],[Flow_Name]],Tab_Def_Flows[Flow_Name],Tab_Def_Flows[Flow_E2_Fraction'[%']],"N.A.",0,1)</f>
        <v>0</v>
      </c>
      <c r="Z471" s="2">
        <f>IF(D471="Yes",W471*Tab_Data_Flows[[#This Row],[E2_Fraction'[%']]],"N.A.")</f>
        <v>0</v>
      </c>
      <c r="AA471" s="2" t="str">
        <f>Tab_Data_Flows[[#This Row],[E1_UoM]]</f>
        <v>Mg</v>
      </c>
      <c r="AB471" s="19">
        <f>_xlfn.XLOOKUP(Tab_Data_Flows[[#This Row],[Flow_Name]],Tab_Def_Flows[Flow_Name],Tab_Def_Flows[Flow_E3_Fraction'[%']],"N.A.",0,1)</f>
        <v>0</v>
      </c>
      <c r="AC471" s="2">
        <f>IF(E471="Yes",AB471*Tab_Data_Flows[[#This Row],[E1_value]],"N.A.")</f>
        <v>0</v>
      </c>
      <c r="AD471" s="2" t="str">
        <f>Tab_Data_Flows[[#This Row],[E1_UoM]]</f>
        <v>Mg</v>
      </c>
      <c r="AE471" s="19">
        <f>_xlfn.XLOOKUP(Tab_Data_Flows[[#This Row],[Flow_Name]],Tab_Def_Flows[Flow_Name],Tab_Def_Flows[Flow_E4_Fraction'[%']],"N.A.",0,1)</f>
        <v>0</v>
      </c>
      <c r="AF471" s="2">
        <f>IF(H471="Yes",Tab_Data_Flows[[#This Row],[E4_Fraction'[%']]]*Tab_Data_Flows[[#This Row],[E1_value]],"N.A.")</f>
        <v>0</v>
      </c>
      <c r="AG471" s="2" t="str">
        <f>Tab_Data_Flows[[#This Row],[E1_UoM]]</f>
        <v>Mg</v>
      </c>
      <c r="AH471" s="2">
        <f>_xlfn.XLOOKUP(Tab_Data_Flows[[#This Row],[Flow_Name]],Tab_Def_Flows[Flow_Name],Tab_Def_Flows[Flow_E5_Fraction'[%']],"N.A.",0,1)</f>
        <v>0</v>
      </c>
      <c r="AI471" s="2">
        <f>IF(H471="Yes",Tab_Data_Flows[[#This Row],[E5_Fraction'[%']]]*Tab_Data_Flows[[#This Row],[E1_value]],"N.A.")</f>
        <v>0</v>
      </c>
      <c r="AJ471" s="2" t="str">
        <f>Tab_Data_Flows[[#This Row],[E1_UoM]]</f>
        <v>Mg</v>
      </c>
      <c r="AK471" s="19">
        <f>_xlfn.XLOOKUP(Tab_Data_Flows[[#This Row],[Flow_Name]],Tab_Def_Flows[Flow_Name],Tab_Def_Flows[Flow_E6_Fraction'[%']],"N.A.",0,1)</f>
        <v>0</v>
      </c>
      <c r="AL471" s="2">
        <f>IF(Tab_Data_Flows[[#This Row],[Use_E6]]="Yes",Tab_Data_Flows[[#This Row],[E6_Fraction'[%']]]*Tab_Data_Flows[[#This Row],[E1_value]],"N.A.")</f>
        <v>0</v>
      </c>
      <c r="AM471" s="2" t="str">
        <f>Tab_Data_Flows[[#This Row],[E1_UoM]]</f>
        <v>Mg</v>
      </c>
    </row>
    <row r="472" spans="1:39" x14ac:dyDescent="0.25">
      <c r="A472" s="4">
        <f t="shared" si="12"/>
        <v>471</v>
      </c>
      <c r="B472" s="2" t="str">
        <f>_xlfn.XLOOKUP(C472,Tab_Def_Flows[Flow_Name],Tab_Def_Flows[Flow_ID],,0,)</f>
        <v>F__</v>
      </c>
      <c r="C472" s="18" t="s">
        <v>5</v>
      </c>
      <c r="D472" s="5" t="str">
        <f>_xlfn.XLOOKUP(C472,Tab_Def_Flows[Flow_Name],Tab_Def_Flows[Use_E1],,0,)</f>
        <v>Yes</v>
      </c>
      <c r="E472" s="5" t="str">
        <f>_xlfn.XLOOKUP(C472,Tab_Def_Flows[Flow_Name],Tab_Def_Flows[Use_E2],,0,)</f>
        <v>Yes</v>
      </c>
      <c r="F472" s="5" t="str">
        <f>_xlfn.XLOOKUP(C472,Tab_Def_Flows[Flow_Name],Tab_Def_Flows[Use_E3],,0,)</f>
        <v>Yes</v>
      </c>
      <c r="G472" s="5" t="str">
        <f>_xlfn.XLOOKUP(C472,Tab_Def_Flows[Flow_Name],Tab_Def_Flows[Use_E4],,0,)</f>
        <v>Yes</v>
      </c>
      <c r="H472" s="5" t="str">
        <f>_xlfn.XLOOKUP(C472,Tab_Def_Flows[Flow_Name],Tab_Def_Flows[Use_E5],,0,)</f>
        <v>Yes</v>
      </c>
      <c r="I472" s="5" t="str">
        <f>_xlfn.XLOOKUP(C472,Tab_Def_Flows[Flow_Name],Tab_Def_Flows[Use_E6],,0,)</f>
        <v>Yes</v>
      </c>
      <c r="J472" s="3"/>
      <c r="K472" s="3"/>
      <c r="L472" s="2" t="str">
        <f>'0_Configuration'!$C$41</f>
        <v>Mg</v>
      </c>
      <c r="M472" s="9"/>
      <c r="N472" s="9"/>
      <c r="O472" s="9"/>
      <c r="P472" s="9"/>
      <c r="Q472" s="18" t="s">
        <v>3</v>
      </c>
      <c r="R472" s="3"/>
      <c r="S472" s="3"/>
      <c r="T472" s="9"/>
      <c r="U472" s="9"/>
      <c r="V472" s="2">
        <f>_xlfn.XLOOKUP(Tab_Data_Flows[[#This Row],[Flow_Name]],Tab_Def_Flows[Flow_Name],Tab_Def_Flows[Flow_E1_Fraction'[%']],"N.A.",0,1)</f>
        <v>0</v>
      </c>
      <c r="W472" s="8">
        <f t="shared" si="15"/>
        <v>0</v>
      </c>
      <c r="X472" s="2" t="str">
        <f>Tab_Data_Flows[[#This Row],[UoM_Source]]</f>
        <v>Mg</v>
      </c>
      <c r="Y472" s="19">
        <f>_xlfn.XLOOKUP(Tab_Data_Flows[[#This Row],[Flow_Name]],Tab_Def_Flows[Flow_Name],Tab_Def_Flows[Flow_E2_Fraction'[%']],"N.A.",0,1)</f>
        <v>0</v>
      </c>
      <c r="Z472" s="2">
        <f>IF(D472="Yes",W472*Tab_Data_Flows[[#This Row],[E2_Fraction'[%']]],"N.A.")</f>
        <v>0</v>
      </c>
      <c r="AA472" s="2" t="str">
        <f>Tab_Data_Flows[[#This Row],[E1_UoM]]</f>
        <v>Mg</v>
      </c>
      <c r="AB472" s="19">
        <f>_xlfn.XLOOKUP(Tab_Data_Flows[[#This Row],[Flow_Name]],Tab_Def_Flows[Flow_Name],Tab_Def_Flows[Flow_E3_Fraction'[%']],"N.A.",0,1)</f>
        <v>0</v>
      </c>
      <c r="AC472" s="2">
        <f>IF(E472="Yes",AB472*Tab_Data_Flows[[#This Row],[E1_value]],"N.A.")</f>
        <v>0</v>
      </c>
      <c r="AD472" s="2" t="str">
        <f>Tab_Data_Flows[[#This Row],[E1_UoM]]</f>
        <v>Mg</v>
      </c>
      <c r="AE472" s="19">
        <f>_xlfn.XLOOKUP(Tab_Data_Flows[[#This Row],[Flow_Name]],Tab_Def_Flows[Flow_Name],Tab_Def_Flows[Flow_E4_Fraction'[%']],"N.A.",0,1)</f>
        <v>0</v>
      </c>
      <c r="AF472" s="2">
        <f>IF(H472="Yes",Tab_Data_Flows[[#This Row],[E4_Fraction'[%']]]*Tab_Data_Flows[[#This Row],[E1_value]],"N.A.")</f>
        <v>0</v>
      </c>
      <c r="AG472" s="2" t="str">
        <f>Tab_Data_Flows[[#This Row],[E1_UoM]]</f>
        <v>Mg</v>
      </c>
      <c r="AH472" s="2">
        <f>_xlfn.XLOOKUP(Tab_Data_Flows[[#This Row],[Flow_Name]],Tab_Def_Flows[Flow_Name],Tab_Def_Flows[Flow_E5_Fraction'[%']],"N.A.",0,1)</f>
        <v>0</v>
      </c>
      <c r="AI472" s="2">
        <f>IF(H472="Yes",Tab_Data_Flows[[#This Row],[E5_Fraction'[%']]]*Tab_Data_Flows[[#This Row],[E1_value]],"N.A.")</f>
        <v>0</v>
      </c>
      <c r="AJ472" s="2" t="str">
        <f>Tab_Data_Flows[[#This Row],[E1_UoM]]</f>
        <v>Mg</v>
      </c>
      <c r="AK472" s="19">
        <f>_xlfn.XLOOKUP(Tab_Data_Flows[[#This Row],[Flow_Name]],Tab_Def_Flows[Flow_Name],Tab_Def_Flows[Flow_E6_Fraction'[%']],"N.A.",0,1)</f>
        <v>0</v>
      </c>
      <c r="AL472" s="2">
        <f>IF(Tab_Data_Flows[[#This Row],[Use_E6]]="Yes",Tab_Data_Flows[[#This Row],[E6_Fraction'[%']]]*Tab_Data_Flows[[#This Row],[E1_value]],"N.A.")</f>
        <v>0</v>
      </c>
      <c r="AM472" s="2" t="str">
        <f>Tab_Data_Flows[[#This Row],[E1_UoM]]</f>
        <v>Mg</v>
      </c>
    </row>
    <row r="473" spans="1:39" x14ac:dyDescent="0.25">
      <c r="A473" s="4">
        <f t="shared" si="12"/>
        <v>472</v>
      </c>
      <c r="B473" s="2" t="str">
        <f>_xlfn.XLOOKUP(C473,Tab_Def_Flows[Flow_Name],Tab_Def_Flows[Flow_ID],,0,)</f>
        <v>F__</v>
      </c>
      <c r="C473" s="18" t="s">
        <v>5</v>
      </c>
      <c r="D473" s="5" t="str">
        <f>_xlfn.XLOOKUP(C473,Tab_Def_Flows[Flow_Name],Tab_Def_Flows[Use_E1],,0,)</f>
        <v>Yes</v>
      </c>
      <c r="E473" s="5" t="str">
        <f>_xlfn.XLOOKUP(C473,Tab_Def_Flows[Flow_Name],Tab_Def_Flows[Use_E2],,0,)</f>
        <v>Yes</v>
      </c>
      <c r="F473" s="5" t="str">
        <f>_xlfn.XLOOKUP(C473,Tab_Def_Flows[Flow_Name],Tab_Def_Flows[Use_E3],,0,)</f>
        <v>Yes</v>
      </c>
      <c r="G473" s="5" t="str">
        <f>_xlfn.XLOOKUP(C473,Tab_Def_Flows[Flow_Name],Tab_Def_Flows[Use_E4],,0,)</f>
        <v>Yes</v>
      </c>
      <c r="H473" s="5" t="str">
        <f>_xlfn.XLOOKUP(C473,Tab_Def_Flows[Flow_Name],Tab_Def_Flows[Use_E5],,0,)</f>
        <v>Yes</v>
      </c>
      <c r="I473" s="5" t="str">
        <f>_xlfn.XLOOKUP(C473,Tab_Def_Flows[Flow_Name],Tab_Def_Flows[Use_E6],,0,)</f>
        <v>Yes</v>
      </c>
      <c r="J473" s="3"/>
      <c r="K473" s="3"/>
      <c r="L473" s="2" t="str">
        <f>'0_Configuration'!$C$41</f>
        <v>Mg</v>
      </c>
      <c r="M473" s="9"/>
      <c r="N473" s="9"/>
      <c r="O473" s="9"/>
      <c r="P473" s="9"/>
      <c r="Q473" s="18" t="s">
        <v>3</v>
      </c>
      <c r="R473" s="3"/>
      <c r="S473" s="3"/>
      <c r="T473" s="9"/>
      <c r="U473" s="9"/>
      <c r="V473" s="2">
        <f>_xlfn.XLOOKUP(Tab_Data_Flows[[#This Row],[Flow_Name]],Tab_Def_Flows[Flow_Name],Tab_Def_Flows[Flow_E1_Fraction'[%']],"N.A.",0,1)</f>
        <v>0</v>
      </c>
      <c r="W473" s="8">
        <f t="shared" si="15"/>
        <v>0</v>
      </c>
      <c r="X473" s="2" t="str">
        <f>Tab_Data_Flows[[#This Row],[UoM_Source]]</f>
        <v>Mg</v>
      </c>
      <c r="Y473" s="19">
        <f>_xlfn.XLOOKUP(Tab_Data_Flows[[#This Row],[Flow_Name]],Tab_Def_Flows[Flow_Name],Tab_Def_Flows[Flow_E2_Fraction'[%']],"N.A.",0,1)</f>
        <v>0</v>
      </c>
      <c r="Z473" s="2">
        <f>IF(D473="Yes",W473*Tab_Data_Flows[[#This Row],[E2_Fraction'[%']]],"N.A.")</f>
        <v>0</v>
      </c>
      <c r="AA473" s="2" t="str">
        <f>Tab_Data_Flows[[#This Row],[E1_UoM]]</f>
        <v>Mg</v>
      </c>
      <c r="AB473" s="19">
        <f>_xlfn.XLOOKUP(Tab_Data_Flows[[#This Row],[Flow_Name]],Tab_Def_Flows[Flow_Name],Tab_Def_Flows[Flow_E3_Fraction'[%']],"N.A.",0,1)</f>
        <v>0</v>
      </c>
      <c r="AC473" s="2">
        <f>IF(E473="Yes",AB473*Tab_Data_Flows[[#This Row],[E1_value]],"N.A.")</f>
        <v>0</v>
      </c>
      <c r="AD473" s="2" t="str">
        <f>Tab_Data_Flows[[#This Row],[E1_UoM]]</f>
        <v>Mg</v>
      </c>
      <c r="AE473" s="19">
        <f>_xlfn.XLOOKUP(Tab_Data_Flows[[#This Row],[Flow_Name]],Tab_Def_Flows[Flow_Name],Tab_Def_Flows[Flow_E4_Fraction'[%']],"N.A.",0,1)</f>
        <v>0</v>
      </c>
      <c r="AF473" s="2">
        <f>IF(H473="Yes",Tab_Data_Flows[[#This Row],[E4_Fraction'[%']]]*Tab_Data_Flows[[#This Row],[E1_value]],"N.A.")</f>
        <v>0</v>
      </c>
      <c r="AG473" s="2" t="str">
        <f>Tab_Data_Flows[[#This Row],[E1_UoM]]</f>
        <v>Mg</v>
      </c>
      <c r="AH473" s="2">
        <f>_xlfn.XLOOKUP(Tab_Data_Flows[[#This Row],[Flow_Name]],Tab_Def_Flows[Flow_Name],Tab_Def_Flows[Flow_E5_Fraction'[%']],"N.A.",0,1)</f>
        <v>0</v>
      </c>
      <c r="AI473" s="2">
        <f>IF(H473="Yes",Tab_Data_Flows[[#This Row],[E5_Fraction'[%']]]*Tab_Data_Flows[[#This Row],[E1_value]],"N.A.")</f>
        <v>0</v>
      </c>
      <c r="AJ473" s="2" t="str">
        <f>Tab_Data_Flows[[#This Row],[E1_UoM]]</f>
        <v>Mg</v>
      </c>
      <c r="AK473" s="19">
        <f>_xlfn.XLOOKUP(Tab_Data_Flows[[#This Row],[Flow_Name]],Tab_Def_Flows[Flow_Name],Tab_Def_Flows[Flow_E6_Fraction'[%']],"N.A.",0,1)</f>
        <v>0</v>
      </c>
      <c r="AL473" s="2">
        <f>IF(Tab_Data_Flows[[#This Row],[Use_E6]]="Yes",Tab_Data_Flows[[#This Row],[E6_Fraction'[%']]]*Tab_Data_Flows[[#This Row],[E1_value]],"N.A.")</f>
        <v>0</v>
      </c>
      <c r="AM473" s="2" t="str">
        <f>Tab_Data_Flows[[#This Row],[E1_UoM]]</f>
        <v>Mg</v>
      </c>
    </row>
    <row r="474" spans="1:39" x14ac:dyDescent="0.25">
      <c r="A474" s="4">
        <f t="shared" si="12"/>
        <v>473</v>
      </c>
      <c r="B474" s="2" t="str">
        <f>_xlfn.XLOOKUP(C474,Tab_Def_Flows[Flow_Name],Tab_Def_Flows[Flow_ID],,0,)</f>
        <v>F__</v>
      </c>
      <c r="C474" s="18" t="s">
        <v>5</v>
      </c>
      <c r="D474" s="5" t="str">
        <f>_xlfn.XLOOKUP(C474,Tab_Def_Flows[Flow_Name],Tab_Def_Flows[Use_E1],,0,)</f>
        <v>Yes</v>
      </c>
      <c r="E474" s="5" t="str">
        <f>_xlfn.XLOOKUP(C474,Tab_Def_Flows[Flow_Name],Tab_Def_Flows[Use_E2],,0,)</f>
        <v>Yes</v>
      </c>
      <c r="F474" s="5" t="str">
        <f>_xlfn.XLOOKUP(C474,Tab_Def_Flows[Flow_Name],Tab_Def_Flows[Use_E3],,0,)</f>
        <v>Yes</v>
      </c>
      <c r="G474" s="5" t="str">
        <f>_xlfn.XLOOKUP(C474,Tab_Def_Flows[Flow_Name],Tab_Def_Flows[Use_E4],,0,)</f>
        <v>Yes</v>
      </c>
      <c r="H474" s="5" t="str">
        <f>_xlfn.XLOOKUP(C474,Tab_Def_Flows[Flow_Name],Tab_Def_Flows[Use_E5],,0,)</f>
        <v>Yes</v>
      </c>
      <c r="I474" s="5" t="str">
        <f>_xlfn.XLOOKUP(C474,Tab_Def_Flows[Flow_Name],Tab_Def_Flows[Use_E6],,0,)</f>
        <v>Yes</v>
      </c>
      <c r="J474" s="3"/>
      <c r="K474" s="3"/>
      <c r="L474" s="2" t="str">
        <f>'0_Configuration'!$C$41</f>
        <v>Mg</v>
      </c>
      <c r="M474" s="9"/>
      <c r="N474" s="9"/>
      <c r="O474" s="9"/>
      <c r="P474" s="9"/>
      <c r="Q474" s="18" t="s">
        <v>3</v>
      </c>
      <c r="R474" s="3"/>
      <c r="S474" s="3"/>
      <c r="T474" s="9"/>
      <c r="U474" s="9"/>
      <c r="V474" s="2">
        <f>_xlfn.XLOOKUP(Tab_Data_Flows[[#This Row],[Flow_Name]],Tab_Def_Flows[Flow_Name],Tab_Def_Flows[Flow_E1_Fraction'[%']],"N.A.",0,1)</f>
        <v>0</v>
      </c>
      <c r="W474" s="8">
        <f t="shared" si="15"/>
        <v>0</v>
      </c>
      <c r="X474" s="2" t="str">
        <f>Tab_Data_Flows[[#This Row],[UoM_Source]]</f>
        <v>Mg</v>
      </c>
      <c r="Y474" s="19">
        <f>_xlfn.XLOOKUP(Tab_Data_Flows[[#This Row],[Flow_Name]],Tab_Def_Flows[Flow_Name],Tab_Def_Flows[Flow_E2_Fraction'[%']],"N.A.",0,1)</f>
        <v>0</v>
      </c>
      <c r="Z474" s="2">
        <f>IF(D474="Yes",W474*Tab_Data_Flows[[#This Row],[E2_Fraction'[%']]],"N.A.")</f>
        <v>0</v>
      </c>
      <c r="AA474" s="2" t="str">
        <f>Tab_Data_Flows[[#This Row],[E1_UoM]]</f>
        <v>Mg</v>
      </c>
      <c r="AB474" s="19">
        <f>_xlfn.XLOOKUP(Tab_Data_Flows[[#This Row],[Flow_Name]],Tab_Def_Flows[Flow_Name],Tab_Def_Flows[Flow_E3_Fraction'[%']],"N.A.",0,1)</f>
        <v>0</v>
      </c>
      <c r="AC474" s="2">
        <f>IF(E474="Yes",AB474*Tab_Data_Flows[[#This Row],[E1_value]],"N.A.")</f>
        <v>0</v>
      </c>
      <c r="AD474" s="2" t="str">
        <f>Tab_Data_Flows[[#This Row],[E1_UoM]]</f>
        <v>Mg</v>
      </c>
      <c r="AE474" s="19">
        <f>_xlfn.XLOOKUP(Tab_Data_Flows[[#This Row],[Flow_Name]],Tab_Def_Flows[Flow_Name],Tab_Def_Flows[Flow_E4_Fraction'[%']],"N.A.",0,1)</f>
        <v>0</v>
      </c>
      <c r="AF474" s="2">
        <f>IF(H474="Yes",Tab_Data_Flows[[#This Row],[E4_Fraction'[%']]]*Tab_Data_Flows[[#This Row],[E1_value]],"N.A.")</f>
        <v>0</v>
      </c>
      <c r="AG474" s="2" t="str">
        <f>Tab_Data_Flows[[#This Row],[E1_UoM]]</f>
        <v>Mg</v>
      </c>
      <c r="AH474" s="2">
        <f>_xlfn.XLOOKUP(Tab_Data_Flows[[#This Row],[Flow_Name]],Tab_Def_Flows[Flow_Name],Tab_Def_Flows[Flow_E5_Fraction'[%']],"N.A.",0,1)</f>
        <v>0</v>
      </c>
      <c r="AI474" s="2">
        <f>IF(H474="Yes",Tab_Data_Flows[[#This Row],[E5_Fraction'[%']]]*Tab_Data_Flows[[#This Row],[E1_value]],"N.A.")</f>
        <v>0</v>
      </c>
      <c r="AJ474" s="2" t="str">
        <f>Tab_Data_Flows[[#This Row],[E1_UoM]]</f>
        <v>Mg</v>
      </c>
      <c r="AK474" s="19">
        <f>_xlfn.XLOOKUP(Tab_Data_Flows[[#This Row],[Flow_Name]],Tab_Def_Flows[Flow_Name],Tab_Def_Flows[Flow_E6_Fraction'[%']],"N.A.",0,1)</f>
        <v>0</v>
      </c>
      <c r="AL474" s="2">
        <f>IF(Tab_Data_Flows[[#This Row],[Use_E6]]="Yes",Tab_Data_Flows[[#This Row],[E6_Fraction'[%']]]*Tab_Data_Flows[[#This Row],[E1_value]],"N.A.")</f>
        <v>0</v>
      </c>
      <c r="AM474" s="2" t="str">
        <f>Tab_Data_Flows[[#This Row],[E1_UoM]]</f>
        <v>Mg</v>
      </c>
    </row>
    <row r="475" spans="1:39" x14ac:dyDescent="0.25">
      <c r="A475" s="4">
        <f t="shared" si="12"/>
        <v>474</v>
      </c>
      <c r="B475" s="2" t="str">
        <f>_xlfn.XLOOKUP(C475,Tab_Def_Flows[Flow_Name],Tab_Def_Flows[Flow_ID],,0,)</f>
        <v>F__</v>
      </c>
      <c r="C475" s="18" t="s">
        <v>5</v>
      </c>
      <c r="D475" s="5" t="str">
        <f>_xlfn.XLOOKUP(C475,Tab_Def_Flows[Flow_Name],Tab_Def_Flows[Use_E1],,0,)</f>
        <v>Yes</v>
      </c>
      <c r="E475" s="5" t="str">
        <f>_xlfn.XLOOKUP(C475,Tab_Def_Flows[Flow_Name],Tab_Def_Flows[Use_E2],,0,)</f>
        <v>Yes</v>
      </c>
      <c r="F475" s="5" t="str">
        <f>_xlfn.XLOOKUP(C475,Tab_Def_Flows[Flow_Name],Tab_Def_Flows[Use_E3],,0,)</f>
        <v>Yes</v>
      </c>
      <c r="G475" s="5" t="str">
        <f>_xlfn.XLOOKUP(C475,Tab_Def_Flows[Flow_Name],Tab_Def_Flows[Use_E4],,0,)</f>
        <v>Yes</v>
      </c>
      <c r="H475" s="5" t="str">
        <f>_xlfn.XLOOKUP(C475,Tab_Def_Flows[Flow_Name],Tab_Def_Flows[Use_E5],,0,)</f>
        <v>Yes</v>
      </c>
      <c r="I475" s="5" t="str">
        <f>_xlfn.XLOOKUP(C475,Tab_Def_Flows[Flow_Name],Tab_Def_Flows[Use_E6],,0,)</f>
        <v>Yes</v>
      </c>
      <c r="J475" s="3"/>
      <c r="K475" s="3"/>
      <c r="L475" s="2" t="str">
        <f>'0_Configuration'!$C$41</f>
        <v>Mg</v>
      </c>
      <c r="M475" s="9"/>
      <c r="N475" s="9"/>
      <c r="O475" s="9"/>
      <c r="P475" s="9"/>
      <c r="Q475" s="18" t="s">
        <v>3</v>
      </c>
      <c r="R475" s="3"/>
      <c r="S475" s="3"/>
      <c r="T475" s="9"/>
      <c r="U475" s="9"/>
      <c r="V475" s="2">
        <f>_xlfn.XLOOKUP(Tab_Data_Flows[[#This Row],[Flow_Name]],Tab_Def_Flows[Flow_Name],Tab_Def_Flows[Flow_E1_Fraction'[%']],"N.A.",0,1)</f>
        <v>0</v>
      </c>
      <c r="W475" s="8">
        <f t="shared" si="15"/>
        <v>0</v>
      </c>
      <c r="X475" s="2" t="str">
        <f>Tab_Data_Flows[[#This Row],[UoM_Source]]</f>
        <v>Mg</v>
      </c>
      <c r="Y475" s="19">
        <f>_xlfn.XLOOKUP(Tab_Data_Flows[[#This Row],[Flow_Name]],Tab_Def_Flows[Flow_Name],Tab_Def_Flows[Flow_E2_Fraction'[%']],"N.A.",0,1)</f>
        <v>0</v>
      </c>
      <c r="Z475" s="2">
        <f>IF(D475="Yes",W475*Tab_Data_Flows[[#This Row],[E2_Fraction'[%']]],"N.A.")</f>
        <v>0</v>
      </c>
      <c r="AA475" s="2" t="str">
        <f>Tab_Data_Flows[[#This Row],[E1_UoM]]</f>
        <v>Mg</v>
      </c>
      <c r="AB475" s="19">
        <f>_xlfn.XLOOKUP(Tab_Data_Flows[[#This Row],[Flow_Name]],Tab_Def_Flows[Flow_Name],Tab_Def_Flows[Flow_E3_Fraction'[%']],"N.A.",0,1)</f>
        <v>0</v>
      </c>
      <c r="AC475" s="2">
        <f>IF(E475="Yes",AB475*Tab_Data_Flows[[#This Row],[E1_value]],"N.A.")</f>
        <v>0</v>
      </c>
      <c r="AD475" s="2" t="str">
        <f>Tab_Data_Flows[[#This Row],[E1_UoM]]</f>
        <v>Mg</v>
      </c>
      <c r="AE475" s="19">
        <f>_xlfn.XLOOKUP(Tab_Data_Flows[[#This Row],[Flow_Name]],Tab_Def_Flows[Flow_Name],Tab_Def_Flows[Flow_E4_Fraction'[%']],"N.A.",0,1)</f>
        <v>0</v>
      </c>
      <c r="AF475" s="2">
        <f>IF(H475="Yes",Tab_Data_Flows[[#This Row],[E4_Fraction'[%']]]*Tab_Data_Flows[[#This Row],[E1_value]],"N.A.")</f>
        <v>0</v>
      </c>
      <c r="AG475" s="2" t="str">
        <f>Tab_Data_Flows[[#This Row],[E1_UoM]]</f>
        <v>Mg</v>
      </c>
      <c r="AH475" s="2">
        <f>_xlfn.XLOOKUP(Tab_Data_Flows[[#This Row],[Flow_Name]],Tab_Def_Flows[Flow_Name],Tab_Def_Flows[Flow_E5_Fraction'[%']],"N.A.",0,1)</f>
        <v>0</v>
      </c>
      <c r="AI475" s="2">
        <f>IF(H475="Yes",Tab_Data_Flows[[#This Row],[E5_Fraction'[%']]]*Tab_Data_Flows[[#This Row],[E1_value]],"N.A.")</f>
        <v>0</v>
      </c>
      <c r="AJ475" s="2" t="str">
        <f>Tab_Data_Flows[[#This Row],[E1_UoM]]</f>
        <v>Mg</v>
      </c>
      <c r="AK475" s="19">
        <f>_xlfn.XLOOKUP(Tab_Data_Flows[[#This Row],[Flow_Name]],Tab_Def_Flows[Flow_Name],Tab_Def_Flows[Flow_E6_Fraction'[%']],"N.A.",0,1)</f>
        <v>0</v>
      </c>
      <c r="AL475" s="2">
        <f>IF(Tab_Data_Flows[[#This Row],[Use_E6]]="Yes",Tab_Data_Flows[[#This Row],[E6_Fraction'[%']]]*Tab_Data_Flows[[#This Row],[E1_value]],"N.A.")</f>
        <v>0</v>
      </c>
      <c r="AM475" s="2" t="str">
        <f>Tab_Data_Flows[[#This Row],[E1_UoM]]</f>
        <v>Mg</v>
      </c>
    </row>
    <row r="476" spans="1:39" x14ac:dyDescent="0.25">
      <c r="A476" s="4">
        <f t="shared" si="12"/>
        <v>475</v>
      </c>
      <c r="B476" s="2" t="str">
        <f>_xlfn.XLOOKUP(C476,Tab_Def_Flows[Flow_Name],Tab_Def_Flows[Flow_ID],,0,)</f>
        <v>F__</v>
      </c>
      <c r="C476" s="18" t="s">
        <v>5</v>
      </c>
      <c r="D476" s="5" t="str">
        <f>_xlfn.XLOOKUP(C476,Tab_Def_Flows[Flow_Name],Tab_Def_Flows[Use_E1],,0,)</f>
        <v>Yes</v>
      </c>
      <c r="E476" s="5" t="str">
        <f>_xlfn.XLOOKUP(C476,Tab_Def_Flows[Flow_Name],Tab_Def_Flows[Use_E2],,0,)</f>
        <v>Yes</v>
      </c>
      <c r="F476" s="5" t="str">
        <f>_xlfn.XLOOKUP(C476,Tab_Def_Flows[Flow_Name],Tab_Def_Flows[Use_E3],,0,)</f>
        <v>Yes</v>
      </c>
      <c r="G476" s="5" t="str">
        <f>_xlfn.XLOOKUP(C476,Tab_Def_Flows[Flow_Name],Tab_Def_Flows[Use_E4],,0,)</f>
        <v>Yes</v>
      </c>
      <c r="H476" s="5" t="str">
        <f>_xlfn.XLOOKUP(C476,Tab_Def_Flows[Flow_Name],Tab_Def_Flows[Use_E5],,0,)</f>
        <v>Yes</v>
      </c>
      <c r="I476" s="5" t="str">
        <f>_xlfn.XLOOKUP(C476,Tab_Def_Flows[Flow_Name],Tab_Def_Flows[Use_E6],,0,)</f>
        <v>Yes</v>
      </c>
      <c r="J476" s="3"/>
      <c r="K476" s="3"/>
      <c r="L476" s="2" t="str">
        <f>'0_Configuration'!$C$41</f>
        <v>Mg</v>
      </c>
      <c r="M476" s="9"/>
      <c r="N476" s="9"/>
      <c r="O476" s="9"/>
      <c r="P476" s="9"/>
      <c r="Q476" s="18" t="s">
        <v>3</v>
      </c>
      <c r="R476" s="3"/>
      <c r="S476" s="3"/>
      <c r="T476" s="9"/>
      <c r="U476" s="9"/>
      <c r="V476" s="2">
        <f>_xlfn.XLOOKUP(Tab_Data_Flows[[#This Row],[Flow_Name]],Tab_Def_Flows[Flow_Name],Tab_Def_Flows[Flow_E1_Fraction'[%']],"N.A.",0,1)</f>
        <v>0</v>
      </c>
      <c r="W476" s="8">
        <f t="shared" si="15"/>
        <v>0</v>
      </c>
      <c r="X476" s="2" t="str">
        <f>Tab_Data_Flows[[#This Row],[UoM_Source]]</f>
        <v>Mg</v>
      </c>
      <c r="Y476" s="19">
        <f>_xlfn.XLOOKUP(Tab_Data_Flows[[#This Row],[Flow_Name]],Tab_Def_Flows[Flow_Name],Tab_Def_Flows[Flow_E2_Fraction'[%']],"N.A.",0,1)</f>
        <v>0</v>
      </c>
      <c r="Z476" s="2">
        <f>IF(D476="Yes",W476*Tab_Data_Flows[[#This Row],[E2_Fraction'[%']]],"N.A.")</f>
        <v>0</v>
      </c>
      <c r="AA476" s="2" t="str">
        <f>Tab_Data_Flows[[#This Row],[E1_UoM]]</f>
        <v>Mg</v>
      </c>
      <c r="AB476" s="19">
        <f>_xlfn.XLOOKUP(Tab_Data_Flows[[#This Row],[Flow_Name]],Tab_Def_Flows[Flow_Name],Tab_Def_Flows[Flow_E3_Fraction'[%']],"N.A.",0,1)</f>
        <v>0</v>
      </c>
      <c r="AC476" s="2">
        <f>IF(E476="Yes",AB476*Tab_Data_Flows[[#This Row],[E1_value]],"N.A.")</f>
        <v>0</v>
      </c>
      <c r="AD476" s="2" t="str">
        <f>Tab_Data_Flows[[#This Row],[E1_UoM]]</f>
        <v>Mg</v>
      </c>
      <c r="AE476" s="19">
        <f>_xlfn.XLOOKUP(Tab_Data_Flows[[#This Row],[Flow_Name]],Tab_Def_Flows[Flow_Name],Tab_Def_Flows[Flow_E4_Fraction'[%']],"N.A.",0,1)</f>
        <v>0</v>
      </c>
      <c r="AF476" s="2">
        <f>IF(H476="Yes",Tab_Data_Flows[[#This Row],[E4_Fraction'[%']]]*Tab_Data_Flows[[#This Row],[E1_value]],"N.A.")</f>
        <v>0</v>
      </c>
      <c r="AG476" s="2" t="str">
        <f>Tab_Data_Flows[[#This Row],[E1_UoM]]</f>
        <v>Mg</v>
      </c>
      <c r="AH476" s="2">
        <f>_xlfn.XLOOKUP(Tab_Data_Flows[[#This Row],[Flow_Name]],Tab_Def_Flows[Flow_Name],Tab_Def_Flows[Flow_E5_Fraction'[%']],"N.A.",0,1)</f>
        <v>0</v>
      </c>
      <c r="AI476" s="2">
        <f>IF(H476="Yes",Tab_Data_Flows[[#This Row],[E5_Fraction'[%']]]*Tab_Data_Flows[[#This Row],[E1_value]],"N.A.")</f>
        <v>0</v>
      </c>
      <c r="AJ476" s="2" t="str">
        <f>Tab_Data_Flows[[#This Row],[E1_UoM]]</f>
        <v>Mg</v>
      </c>
      <c r="AK476" s="19">
        <f>_xlfn.XLOOKUP(Tab_Data_Flows[[#This Row],[Flow_Name]],Tab_Def_Flows[Flow_Name],Tab_Def_Flows[Flow_E6_Fraction'[%']],"N.A.",0,1)</f>
        <v>0</v>
      </c>
      <c r="AL476" s="2">
        <f>IF(Tab_Data_Flows[[#This Row],[Use_E6]]="Yes",Tab_Data_Flows[[#This Row],[E6_Fraction'[%']]]*Tab_Data_Flows[[#This Row],[E1_value]],"N.A.")</f>
        <v>0</v>
      </c>
      <c r="AM476" s="2" t="str">
        <f>Tab_Data_Flows[[#This Row],[E1_UoM]]</f>
        <v>Mg</v>
      </c>
    </row>
    <row r="477" spans="1:39" x14ac:dyDescent="0.25">
      <c r="A477" s="4">
        <f t="shared" si="12"/>
        <v>476</v>
      </c>
      <c r="B477" s="2" t="str">
        <f>_xlfn.XLOOKUP(C477,Tab_Def_Flows[Flow_Name],Tab_Def_Flows[Flow_ID],,0,)</f>
        <v>F__</v>
      </c>
      <c r="C477" s="18" t="s">
        <v>5</v>
      </c>
      <c r="D477" s="5" t="str">
        <f>_xlfn.XLOOKUP(C477,Tab_Def_Flows[Flow_Name],Tab_Def_Flows[Use_E1],,0,)</f>
        <v>Yes</v>
      </c>
      <c r="E477" s="5" t="str">
        <f>_xlfn.XLOOKUP(C477,Tab_Def_Flows[Flow_Name],Tab_Def_Flows[Use_E2],,0,)</f>
        <v>Yes</v>
      </c>
      <c r="F477" s="5" t="str">
        <f>_xlfn.XLOOKUP(C477,Tab_Def_Flows[Flow_Name],Tab_Def_Flows[Use_E3],,0,)</f>
        <v>Yes</v>
      </c>
      <c r="G477" s="5" t="str">
        <f>_xlfn.XLOOKUP(C477,Tab_Def_Flows[Flow_Name],Tab_Def_Flows[Use_E4],,0,)</f>
        <v>Yes</v>
      </c>
      <c r="H477" s="5" t="str">
        <f>_xlfn.XLOOKUP(C477,Tab_Def_Flows[Flow_Name],Tab_Def_Flows[Use_E5],,0,)</f>
        <v>Yes</v>
      </c>
      <c r="I477" s="5" t="str">
        <f>_xlfn.XLOOKUP(C477,Tab_Def_Flows[Flow_Name],Tab_Def_Flows[Use_E6],,0,)</f>
        <v>Yes</v>
      </c>
      <c r="J477" s="3"/>
      <c r="K477" s="3"/>
      <c r="L477" s="2" t="str">
        <f>'0_Configuration'!$C$41</f>
        <v>Mg</v>
      </c>
      <c r="M477" s="9"/>
      <c r="N477" s="9"/>
      <c r="O477" s="9"/>
      <c r="P477" s="9"/>
      <c r="Q477" s="18" t="s">
        <v>3</v>
      </c>
      <c r="R477" s="3"/>
      <c r="S477" s="3"/>
      <c r="T477" s="9"/>
      <c r="U477" s="9"/>
      <c r="V477" s="2">
        <f>_xlfn.XLOOKUP(Tab_Data_Flows[[#This Row],[Flow_Name]],Tab_Def_Flows[Flow_Name],Tab_Def_Flows[Flow_E1_Fraction'[%']],"N.A.",0,1)</f>
        <v>0</v>
      </c>
      <c r="W477" s="8">
        <f t="shared" si="15"/>
        <v>0</v>
      </c>
      <c r="X477" s="2" t="str">
        <f>Tab_Data_Flows[[#This Row],[UoM_Source]]</f>
        <v>Mg</v>
      </c>
      <c r="Y477" s="19">
        <f>_xlfn.XLOOKUP(Tab_Data_Flows[[#This Row],[Flow_Name]],Tab_Def_Flows[Flow_Name],Tab_Def_Flows[Flow_E2_Fraction'[%']],"N.A.",0,1)</f>
        <v>0</v>
      </c>
      <c r="Z477" s="2">
        <f>IF(D477="Yes",W477*Tab_Data_Flows[[#This Row],[E2_Fraction'[%']]],"N.A.")</f>
        <v>0</v>
      </c>
      <c r="AA477" s="2" t="str">
        <f>Tab_Data_Flows[[#This Row],[E1_UoM]]</f>
        <v>Mg</v>
      </c>
      <c r="AB477" s="19">
        <f>_xlfn.XLOOKUP(Tab_Data_Flows[[#This Row],[Flow_Name]],Tab_Def_Flows[Flow_Name],Tab_Def_Flows[Flow_E3_Fraction'[%']],"N.A.",0,1)</f>
        <v>0</v>
      </c>
      <c r="AC477" s="2">
        <f>IF(E477="Yes",AB477*Tab_Data_Flows[[#This Row],[E1_value]],"N.A.")</f>
        <v>0</v>
      </c>
      <c r="AD477" s="2" t="str">
        <f>Tab_Data_Flows[[#This Row],[E1_UoM]]</f>
        <v>Mg</v>
      </c>
      <c r="AE477" s="19">
        <f>_xlfn.XLOOKUP(Tab_Data_Flows[[#This Row],[Flow_Name]],Tab_Def_Flows[Flow_Name],Tab_Def_Flows[Flow_E4_Fraction'[%']],"N.A.",0,1)</f>
        <v>0</v>
      </c>
      <c r="AF477" s="2">
        <f>IF(H477="Yes",Tab_Data_Flows[[#This Row],[E4_Fraction'[%']]]*Tab_Data_Flows[[#This Row],[E1_value]],"N.A.")</f>
        <v>0</v>
      </c>
      <c r="AG477" s="2" t="str">
        <f>Tab_Data_Flows[[#This Row],[E1_UoM]]</f>
        <v>Mg</v>
      </c>
      <c r="AH477" s="2">
        <f>_xlfn.XLOOKUP(Tab_Data_Flows[[#This Row],[Flow_Name]],Tab_Def_Flows[Flow_Name],Tab_Def_Flows[Flow_E5_Fraction'[%']],"N.A.",0,1)</f>
        <v>0</v>
      </c>
      <c r="AI477" s="2">
        <f>IF(H477="Yes",Tab_Data_Flows[[#This Row],[E5_Fraction'[%']]]*Tab_Data_Flows[[#This Row],[E1_value]],"N.A.")</f>
        <v>0</v>
      </c>
      <c r="AJ477" s="2" t="str">
        <f>Tab_Data_Flows[[#This Row],[E1_UoM]]</f>
        <v>Mg</v>
      </c>
      <c r="AK477" s="19">
        <f>_xlfn.XLOOKUP(Tab_Data_Flows[[#This Row],[Flow_Name]],Tab_Def_Flows[Flow_Name],Tab_Def_Flows[Flow_E6_Fraction'[%']],"N.A.",0,1)</f>
        <v>0</v>
      </c>
      <c r="AL477" s="2">
        <f>IF(Tab_Data_Flows[[#This Row],[Use_E6]]="Yes",Tab_Data_Flows[[#This Row],[E6_Fraction'[%']]]*Tab_Data_Flows[[#This Row],[E1_value]],"N.A.")</f>
        <v>0</v>
      </c>
      <c r="AM477" s="2" t="str">
        <f>Tab_Data_Flows[[#This Row],[E1_UoM]]</f>
        <v>Mg</v>
      </c>
    </row>
    <row r="478" spans="1:39" x14ac:dyDescent="0.25">
      <c r="A478" s="4">
        <f t="shared" si="12"/>
        <v>477</v>
      </c>
      <c r="B478" s="2" t="str">
        <f>_xlfn.XLOOKUP(C478,Tab_Def_Flows[Flow_Name],Tab_Def_Flows[Flow_ID],,0,)</f>
        <v>F__</v>
      </c>
      <c r="C478" s="18" t="s">
        <v>5</v>
      </c>
      <c r="D478" s="5" t="str">
        <f>_xlfn.XLOOKUP(C478,Tab_Def_Flows[Flow_Name],Tab_Def_Flows[Use_E1],,0,)</f>
        <v>Yes</v>
      </c>
      <c r="E478" s="5" t="str">
        <f>_xlfn.XLOOKUP(C478,Tab_Def_Flows[Flow_Name],Tab_Def_Flows[Use_E2],,0,)</f>
        <v>Yes</v>
      </c>
      <c r="F478" s="5" t="str">
        <f>_xlfn.XLOOKUP(C478,Tab_Def_Flows[Flow_Name],Tab_Def_Flows[Use_E3],,0,)</f>
        <v>Yes</v>
      </c>
      <c r="G478" s="5" t="str">
        <f>_xlfn.XLOOKUP(C478,Tab_Def_Flows[Flow_Name],Tab_Def_Flows[Use_E4],,0,)</f>
        <v>Yes</v>
      </c>
      <c r="H478" s="5" t="str">
        <f>_xlfn.XLOOKUP(C478,Tab_Def_Flows[Flow_Name],Tab_Def_Flows[Use_E5],,0,)</f>
        <v>Yes</v>
      </c>
      <c r="I478" s="5" t="str">
        <f>_xlfn.XLOOKUP(C478,Tab_Def_Flows[Flow_Name],Tab_Def_Flows[Use_E6],,0,)</f>
        <v>Yes</v>
      </c>
      <c r="J478" s="3"/>
      <c r="K478" s="3"/>
      <c r="L478" s="2" t="str">
        <f>'0_Configuration'!$C$41</f>
        <v>Mg</v>
      </c>
      <c r="M478" s="9"/>
      <c r="N478" s="9"/>
      <c r="O478" s="9"/>
      <c r="P478" s="9"/>
      <c r="Q478" s="18" t="s">
        <v>3</v>
      </c>
      <c r="R478" s="3"/>
      <c r="S478" s="3"/>
      <c r="T478" s="9"/>
      <c r="U478" s="9"/>
      <c r="V478" s="2">
        <f>_xlfn.XLOOKUP(Tab_Data_Flows[[#This Row],[Flow_Name]],Tab_Def_Flows[Flow_Name],Tab_Def_Flows[Flow_E1_Fraction'[%']],"N.A.",0,1)</f>
        <v>0</v>
      </c>
      <c r="W478" s="8">
        <f t="shared" si="15"/>
        <v>0</v>
      </c>
      <c r="X478" s="2" t="str">
        <f>Tab_Data_Flows[[#This Row],[UoM_Source]]</f>
        <v>Mg</v>
      </c>
      <c r="Y478" s="19">
        <f>_xlfn.XLOOKUP(Tab_Data_Flows[[#This Row],[Flow_Name]],Tab_Def_Flows[Flow_Name],Tab_Def_Flows[Flow_E2_Fraction'[%']],"N.A.",0,1)</f>
        <v>0</v>
      </c>
      <c r="Z478" s="2">
        <f>IF(D478="Yes",W478*Tab_Data_Flows[[#This Row],[E2_Fraction'[%']]],"N.A.")</f>
        <v>0</v>
      </c>
      <c r="AA478" s="2" t="str">
        <f>Tab_Data_Flows[[#This Row],[E1_UoM]]</f>
        <v>Mg</v>
      </c>
      <c r="AB478" s="19">
        <f>_xlfn.XLOOKUP(Tab_Data_Flows[[#This Row],[Flow_Name]],Tab_Def_Flows[Flow_Name],Tab_Def_Flows[Flow_E3_Fraction'[%']],"N.A.",0,1)</f>
        <v>0</v>
      </c>
      <c r="AC478" s="2">
        <f>IF(E478="Yes",AB478*Tab_Data_Flows[[#This Row],[E1_value]],"N.A.")</f>
        <v>0</v>
      </c>
      <c r="AD478" s="2" t="str">
        <f>Tab_Data_Flows[[#This Row],[E1_UoM]]</f>
        <v>Mg</v>
      </c>
      <c r="AE478" s="19">
        <f>_xlfn.XLOOKUP(Tab_Data_Flows[[#This Row],[Flow_Name]],Tab_Def_Flows[Flow_Name],Tab_Def_Flows[Flow_E4_Fraction'[%']],"N.A.",0,1)</f>
        <v>0</v>
      </c>
      <c r="AF478" s="2">
        <f>IF(H478="Yes",Tab_Data_Flows[[#This Row],[E4_Fraction'[%']]]*Tab_Data_Flows[[#This Row],[E1_value]],"N.A.")</f>
        <v>0</v>
      </c>
      <c r="AG478" s="2" t="str">
        <f>Tab_Data_Flows[[#This Row],[E1_UoM]]</f>
        <v>Mg</v>
      </c>
      <c r="AH478" s="2">
        <f>_xlfn.XLOOKUP(Tab_Data_Flows[[#This Row],[Flow_Name]],Tab_Def_Flows[Flow_Name],Tab_Def_Flows[Flow_E5_Fraction'[%']],"N.A.",0,1)</f>
        <v>0</v>
      </c>
      <c r="AI478" s="2">
        <f>IF(H478="Yes",Tab_Data_Flows[[#This Row],[E5_Fraction'[%']]]*Tab_Data_Flows[[#This Row],[E1_value]],"N.A.")</f>
        <v>0</v>
      </c>
      <c r="AJ478" s="2" t="str">
        <f>Tab_Data_Flows[[#This Row],[E1_UoM]]</f>
        <v>Mg</v>
      </c>
      <c r="AK478" s="19">
        <f>_xlfn.XLOOKUP(Tab_Data_Flows[[#This Row],[Flow_Name]],Tab_Def_Flows[Flow_Name],Tab_Def_Flows[Flow_E6_Fraction'[%']],"N.A.",0,1)</f>
        <v>0</v>
      </c>
      <c r="AL478" s="2">
        <f>IF(Tab_Data_Flows[[#This Row],[Use_E6]]="Yes",Tab_Data_Flows[[#This Row],[E6_Fraction'[%']]]*Tab_Data_Flows[[#This Row],[E1_value]],"N.A.")</f>
        <v>0</v>
      </c>
      <c r="AM478" s="2" t="str">
        <f>Tab_Data_Flows[[#This Row],[E1_UoM]]</f>
        <v>Mg</v>
      </c>
    </row>
    <row r="479" spans="1:39" x14ac:dyDescent="0.25">
      <c r="A479" s="4">
        <f t="shared" si="12"/>
        <v>478</v>
      </c>
      <c r="B479" s="2" t="str">
        <f>_xlfn.XLOOKUP(C479,Tab_Def_Flows[Flow_Name],Tab_Def_Flows[Flow_ID],,0,)</f>
        <v>F__</v>
      </c>
      <c r="C479" s="18" t="s">
        <v>5</v>
      </c>
      <c r="D479" s="5" t="str">
        <f>_xlfn.XLOOKUP(C479,Tab_Def_Flows[Flow_Name],Tab_Def_Flows[Use_E1],,0,)</f>
        <v>Yes</v>
      </c>
      <c r="E479" s="5" t="str">
        <f>_xlfn.XLOOKUP(C479,Tab_Def_Flows[Flow_Name],Tab_Def_Flows[Use_E2],,0,)</f>
        <v>Yes</v>
      </c>
      <c r="F479" s="5" t="str">
        <f>_xlfn.XLOOKUP(C479,Tab_Def_Flows[Flow_Name],Tab_Def_Flows[Use_E3],,0,)</f>
        <v>Yes</v>
      </c>
      <c r="G479" s="5" t="str">
        <f>_xlfn.XLOOKUP(C479,Tab_Def_Flows[Flow_Name],Tab_Def_Flows[Use_E4],,0,)</f>
        <v>Yes</v>
      </c>
      <c r="H479" s="5" t="str">
        <f>_xlfn.XLOOKUP(C479,Tab_Def_Flows[Flow_Name],Tab_Def_Flows[Use_E5],,0,)</f>
        <v>Yes</v>
      </c>
      <c r="I479" s="5" t="str">
        <f>_xlfn.XLOOKUP(C479,Tab_Def_Flows[Flow_Name],Tab_Def_Flows[Use_E6],,0,)</f>
        <v>Yes</v>
      </c>
      <c r="J479" s="3"/>
      <c r="K479" s="3"/>
      <c r="L479" s="2" t="str">
        <f>'0_Configuration'!$C$41</f>
        <v>Mg</v>
      </c>
      <c r="M479" s="9"/>
      <c r="N479" s="9"/>
      <c r="O479" s="9"/>
      <c r="P479" s="9"/>
      <c r="Q479" s="18" t="s">
        <v>3</v>
      </c>
      <c r="R479" s="3"/>
      <c r="S479" s="3"/>
      <c r="T479" s="9"/>
      <c r="U479" s="9"/>
      <c r="V479" s="2">
        <f>_xlfn.XLOOKUP(Tab_Data_Flows[[#This Row],[Flow_Name]],Tab_Def_Flows[Flow_Name],Tab_Def_Flows[Flow_E1_Fraction'[%']],"N.A.",0,1)</f>
        <v>0</v>
      </c>
      <c r="W479" s="8">
        <f t="shared" si="15"/>
        <v>0</v>
      </c>
      <c r="X479" s="2" t="str">
        <f>Tab_Data_Flows[[#This Row],[UoM_Source]]</f>
        <v>Mg</v>
      </c>
      <c r="Y479" s="19">
        <f>_xlfn.XLOOKUP(Tab_Data_Flows[[#This Row],[Flow_Name]],Tab_Def_Flows[Flow_Name],Tab_Def_Flows[Flow_E2_Fraction'[%']],"N.A.",0,1)</f>
        <v>0</v>
      </c>
      <c r="Z479" s="2">
        <f>IF(D479="Yes",W479*Tab_Data_Flows[[#This Row],[E2_Fraction'[%']]],"N.A.")</f>
        <v>0</v>
      </c>
      <c r="AA479" s="2" t="str">
        <f>Tab_Data_Flows[[#This Row],[E1_UoM]]</f>
        <v>Mg</v>
      </c>
      <c r="AB479" s="19">
        <f>_xlfn.XLOOKUP(Tab_Data_Flows[[#This Row],[Flow_Name]],Tab_Def_Flows[Flow_Name],Tab_Def_Flows[Flow_E3_Fraction'[%']],"N.A.",0,1)</f>
        <v>0</v>
      </c>
      <c r="AC479" s="2">
        <f>IF(E479="Yes",AB479*Tab_Data_Flows[[#This Row],[E1_value]],"N.A.")</f>
        <v>0</v>
      </c>
      <c r="AD479" s="2" t="str">
        <f>Tab_Data_Flows[[#This Row],[E1_UoM]]</f>
        <v>Mg</v>
      </c>
      <c r="AE479" s="19">
        <f>_xlfn.XLOOKUP(Tab_Data_Flows[[#This Row],[Flow_Name]],Tab_Def_Flows[Flow_Name],Tab_Def_Flows[Flow_E4_Fraction'[%']],"N.A.",0,1)</f>
        <v>0</v>
      </c>
      <c r="AF479" s="2">
        <f>IF(H479="Yes",Tab_Data_Flows[[#This Row],[E4_Fraction'[%']]]*Tab_Data_Flows[[#This Row],[E1_value]],"N.A.")</f>
        <v>0</v>
      </c>
      <c r="AG479" s="2" t="str">
        <f>Tab_Data_Flows[[#This Row],[E1_UoM]]</f>
        <v>Mg</v>
      </c>
      <c r="AH479" s="2">
        <f>_xlfn.XLOOKUP(Tab_Data_Flows[[#This Row],[Flow_Name]],Tab_Def_Flows[Flow_Name],Tab_Def_Flows[Flow_E5_Fraction'[%']],"N.A.",0,1)</f>
        <v>0</v>
      </c>
      <c r="AI479" s="2">
        <f>IF(H479="Yes",Tab_Data_Flows[[#This Row],[E5_Fraction'[%']]]*Tab_Data_Flows[[#This Row],[E1_value]],"N.A.")</f>
        <v>0</v>
      </c>
      <c r="AJ479" s="2" t="str">
        <f>Tab_Data_Flows[[#This Row],[E1_UoM]]</f>
        <v>Mg</v>
      </c>
      <c r="AK479" s="19">
        <f>_xlfn.XLOOKUP(Tab_Data_Flows[[#This Row],[Flow_Name]],Tab_Def_Flows[Flow_Name],Tab_Def_Flows[Flow_E6_Fraction'[%']],"N.A.",0,1)</f>
        <v>0</v>
      </c>
      <c r="AL479" s="2">
        <f>IF(Tab_Data_Flows[[#This Row],[Use_E6]]="Yes",Tab_Data_Flows[[#This Row],[E6_Fraction'[%']]]*Tab_Data_Flows[[#This Row],[E1_value]],"N.A.")</f>
        <v>0</v>
      </c>
      <c r="AM479" s="2" t="str">
        <f>Tab_Data_Flows[[#This Row],[E1_UoM]]</f>
        <v>Mg</v>
      </c>
    </row>
    <row r="480" spans="1:39" x14ac:dyDescent="0.25">
      <c r="A480" s="4">
        <f t="shared" si="12"/>
        <v>479</v>
      </c>
      <c r="B480" s="2" t="str">
        <f>_xlfn.XLOOKUP(C480,Tab_Def_Flows[Flow_Name],Tab_Def_Flows[Flow_ID],,0,)</f>
        <v>F__</v>
      </c>
      <c r="C480" s="18" t="s">
        <v>5</v>
      </c>
      <c r="D480" s="5" t="str">
        <f>_xlfn.XLOOKUP(C480,Tab_Def_Flows[Flow_Name],Tab_Def_Flows[Use_E1],,0,)</f>
        <v>Yes</v>
      </c>
      <c r="E480" s="5" t="str">
        <f>_xlfn.XLOOKUP(C480,Tab_Def_Flows[Flow_Name],Tab_Def_Flows[Use_E2],,0,)</f>
        <v>Yes</v>
      </c>
      <c r="F480" s="5" t="str">
        <f>_xlfn.XLOOKUP(C480,Tab_Def_Flows[Flow_Name],Tab_Def_Flows[Use_E3],,0,)</f>
        <v>Yes</v>
      </c>
      <c r="G480" s="5" t="str">
        <f>_xlfn.XLOOKUP(C480,Tab_Def_Flows[Flow_Name],Tab_Def_Flows[Use_E4],,0,)</f>
        <v>Yes</v>
      </c>
      <c r="H480" s="5" t="str">
        <f>_xlfn.XLOOKUP(C480,Tab_Def_Flows[Flow_Name],Tab_Def_Flows[Use_E5],,0,)</f>
        <v>Yes</v>
      </c>
      <c r="I480" s="5" t="str">
        <f>_xlfn.XLOOKUP(C480,Tab_Def_Flows[Flow_Name],Tab_Def_Flows[Use_E6],,0,)</f>
        <v>Yes</v>
      </c>
      <c r="J480" s="3"/>
      <c r="K480" s="3"/>
      <c r="L480" s="2" t="str">
        <f>'0_Configuration'!$C$41</f>
        <v>Mg</v>
      </c>
      <c r="M480" s="9"/>
      <c r="N480" s="9"/>
      <c r="O480" s="9"/>
      <c r="P480" s="9"/>
      <c r="Q480" s="18" t="s">
        <v>3</v>
      </c>
      <c r="R480" s="3"/>
      <c r="S480" s="3"/>
      <c r="T480" s="9"/>
      <c r="U480" s="9"/>
      <c r="V480" s="2">
        <f>_xlfn.XLOOKUP(Tab_Data_Flows[[#This Row],[Flow_Name]],Tab_Def_Flows[Flow_Name],Tab_Def_Flows[Flow_E1_Fraction'[%']],"N.A.",0,1)</f>
        <v>0</v>
      </c>
      <c r="W480" s="8">
        <f t="shared" si="15"/>
        <v>0</v>
      </c>
      <c r="X480" s="2" t="str">
        <f>Tab_Data_Flows[[#This Row],[UoM_Source]]</f>
        <v>Mg</v>
      </c>
      <c r="Y480" s="19">
        <f>_xlfn.XLOOKUP(Tab_Data_Flows[[#This Row],[Flow_Name]],Tab_Def_Flows[Flow_Name],Tab_Def_Flows[Flow_E2_Fraction'[%']],"N.A.",0,1)</f>
        <v>0</v>
      </c>
      <c r="Z480" s="2">
        <f>IF(D480="Yes",W480*Tab_Data_Flows[[#This Row],[E2_Fraction'[%']]],"N.A.")</f>
        <v>0</v>
      </c>
      <c r="AA480" s="2" t="str">
        <f>Tab_Data_Flows[[#This Row],[E1_UoM]]</f>
        <v>Mg</v>
      </c>
      <c r="AB480" s="19">
        <f>_xlfn.XLOOKUP(Tab_Data_Flows[[#This Row],[Flow_Name]],Tab_Def_Flows[Flow_Name],Tab_Def_Flows[Flow_E3_Fraction'[%']],"N.A.",0,1)</f>
        <v>0</v>
      </c>
      <c r="AC480" s="2">
        <f>IF(E480="Yes",AB480*Tab_Data_Flows[[#This Row],[E1_value]],"N.A.")</f>
        <v>0</v>
      </c>
      <c r="AD480" s="2" t="str">
        <f>Tab_Data_Flows[[#This Row],[E1_UoM]]</f>
        <v>Mg</v>
      </c>
      <c r="AE480" s="19">
        <f>_xlfn.XLOOKUP(Tab_Data_Flows[[#This Row],[Flow_Name]],Tab_Def_Flows[Flow_Name],Tab_Def_Flows[Flow_E4_Fraction'[%']],"N.A.",0,1)</f>
        <v>0</v>
      </c>
      <c r="AF480" s="2">
        <f>IF(H480="Yes",Tab_Data_Flows[[#This Row],[E4_Fraction'[%']]]*Tab_Data_Flows[[#This Row],[E1_value]],"N.A.")</f>
        <v>0</v>
      </c>
      <c r="AG480" s="2" t="str">
        <f>Tab_Data_Flows[[#This Row],[E1_UoM]]</f>
        <v>Mg</v>
      </c>
      <c r="AH480" s="2">
        <f>_xlfn.XLOOKUP(Tab_Data_Flows[[#This Row],[Flow_Name]],Tab_Def_Flows[Flow_Name],Tab_Def_Flows[Flow_E5_Fraction'[%']],"N.A.",0,1)</f>
        <v>0</v>
      </c>
      <c r="AI480" s="2">
        <f>IF(H480="Yes",Tab_Data_Flows[[#This Row],[E5_Fraction'[%']]]*Tab_Data_Flows[[#This Row],[E1_value]],"N.A.")</f>
        <v>0</v>
      </c>
      <c r="AJ480" s="2" t="str">
        <f>Tab_Data_Flows[[#This Row],[E1_UoM]]</f>
        <v>Mg</v>
      </c>
      <c r="AK480" s="19">
        <f>_xlfn.XLOOKUP(Tab_Data_Flows[[#This Row],[Flow_Name]],Tab_Def_Flows[Flow_Name],Tab_Def_Flows[Flow_E6_Fraction'[%']],"N.A.",0,1)</f>
        <v>0</v>
      </c>
      <c r="AL480" s="2">
        <f>IF(Tab_Data_Flows[[#This Row],[Use_E6]]="Yes",Tab_Data_Flows[[#This Row],[E6_Fraction'[%']]]*Tab_Data_Flows[[#This Row],[E1_value]],"N.A.")</f>
        <v>0</v>
      </c>
      <c r="AM480" s="2" t="str">
        <f>Tab_Data_Flows[[#This Row],[E1_UoM]]</f>
        <v>Mg</v>
      </c>
    </row>
    <row r="481" spans="1:39" x14ac:dyDescent="0.25">
      <c r="A481" s="4">
        <f t="shared" si="12"/>
        <v>480</v>
      </c>
      <c r="B481" s="2" t="str">
        <f>_xlfn.XLOOKUP(C481,Tab_Def_Flows[Flow_Name],Tab_Def_Flows[Flow_ID],,0,)</f>
        <v>F__</v>
      </c>
      <c r="C481" s="18" t="s">
        <v>5</v>
      </c>
      <c r="D481" s="5" t="str">
        <f>_xlfn.XLOOKUP(C481,Tab_Def_Flows[Flow_Name],Tab_Def_Flows[Use_E1],,0,)</f>
        <v>Yes</v>
      </c>
      <c r="E481" s="5" t="str">
        <f>_xlfn.XLOOKUP(C481,Tab_Def_Flows[Flow_Name],Tab_Def_Flows[Use_E2],,0,)</f>
        <v>Yes</v>
      </c>
      <c r="F481" s="5" t="str">
        <f>_xlfn.XLOOKUP(C481,Tab_Def_Flows[Flow_Name],Tab_Def_Flows[Use_E3],,0,)</f>
        <v>Yes</v>
      </c>
      <c r="G481" s="5" t="str">
        <f>_xlfn.XLOOKUP(C481,Tab_Def_Flows[Flow_Name],Tab_Def_Flows[Use_E4],,0,)</f>
        <v>Yes</v>
      </c>
      <c r="H481" s="5" t="str">
        <f>_xlfn.XLOOKUP(C481,Tab_Def_Flows[Flow_Name],Tab_Def_Flows[Use_E5],,0,)</f>
        <v>Yes</v>
      </c>
      <c r="I481" s="5" t="str">
        <f>_xlfn.XLOOKUP(C481,Tab_Def_Flows[Flow_Name],Tab_Def_Flows[Use_E6],,0,)</f>
        <v>Yes</v>
      </c>
      <c r="J481" s="3"/>
      <c r="K481" s="3"/>
      <c r="L481" s="2" t="str">
        <f>'0_Configuration'!$C$41</f>
        <v>Mg</v>
      </c>
      <c r="M481" s="9"/>
      <c r="N481" s="9"/>
      <c r="O481" s="9"/>
      <c r="P481" s="9"/>
      <c r="Q481" s="18" t="s">
        <v>3</v>
      </c>
      <c r="R481" s="3"/>
      <c r="S481" s="3"/>
      <c r="T481" s="9"/>
      <c r="U481" s="9"/>
      <c r="V481" s="2">
        <f>_xlfn.XLOOKUP(Tab_Data_Flows[[#This Row],[Flow_Name]],Tab_Def_Flows[Flow_Name],Tab_Def_Flows[Flow_E1_Fraction'[%']],"N.A.",0,1)</f>
        <v>0</v>
      </c>
      <c r="W481" s="8">
        <f t="shared" si="15"/>
        <v>0</v>
      </c>
      <c r="X481" s="2" t="str">
        <f>Tab_Data_Flows[[#This Row],[UoM_Source]]</f>
        <v>Mg</v>
      </c>
      <c r="Y481" s="19">
        <f>_xlfn.XLOOKUP(Tab_Data_Flows[[#This Row],[Flow_Name]],Tab_Def_Flows[Flow_Name],Tab_Def_Flows[Flow_E2_Fraction'[%']],"N.A.",0,1)</f>
        <v>0</v>
      </c>
      <c r="Z481" s="2">
        <f>IF(D481="Yes",W481*Tab_Data_Flows[[#This Row],[E2_Fraction'[%']]],"N.A.")</f>
        <v>0</v>
      </c>
      <c r="AA481" s="2" t="str">
        <f>Tab_Data_Flows[[#This Row],[E1_UoM]]</f>
        <v>Mg</v>
      </c>
      <c r="AB481" s="19">
        <f>_xlfn.XLOOKUP(Tab_Data_Flows[[#This Row],[Flow_Name]],Tab_Def_Flows[Flow_Name],Tab_Def_Flows[Flow_E3_Fraction'[%']],"N.A.",0,1)</f>
        <v>0</v>
      </c>
      <c r="AC481" s="2">
        <f>IF(E481="Yes",AB481*Tab_Data_Flows[[#This Row],[E1_value]],"N.A.")</f>
        <v>0</v>
      </c>
      <c r="AD481" s="2" t="str">
        <f>Tab_Data_Flows[[#This Row],[E1_UoM]]</f>
        <v>Mg</v>
      </c>
      <c r="AE481" s="19">
        <f>_xlfn.XLOOKUP(Tab_Data_Flows[[#This Row],[Flow_Name]],Tab_Def_Flows[Flow_Name],Tab_Def_Flows[Flow_E4_Fraction'[%']],"N.A.",0,1)</f>
        <v>0</v>
      </c>
      <c r="AF481" s="2">
        <f>IF(H481="Yes",Tab_Data_Flows[[#This Row],[E4_Fraction'[%']]]*Tab_Data_Flows[[#This Row],[E1_value]],"N.A.")</f>
        <v>0</v>
      </c>
      <c r="AG481" s="2" t="str">
        <f>Tab_Data_Flows[[#This Row],[E1_UoM]]</f>
        <v>Mg</v>
      </c>
      <c r="AH481" s="2">
        <f>_xlfn.XLOOKUP(Tab_Data_Flows[[#This Row],[Flow_Name]],Tab_Def_Flows[Flow_Name],Tab_Def_Flows[Flow_E5_Fraction'[%']],"N.A.",0,1)</f>
        <v>0</v>
      </c>
      <c r="AI481" s="2">
        <f>IF(H481="Yes",Tab_Data_Flows[[#This Row],[E5_Fraction'[%']]]*Tab_Data_Flows[[#This Row],[E1_value]],"N.A.")</f>
        <v>0</v>
      </c>
      <c r="AJ481" s="2" t="str">
        <f>Tab_Data_Flows[[#This Row],[E1_UoM]]</f>
        <v>Mg</v>
      </c>
      <c r="AK481" s="19">
        <f>_xlfn.XLOOKUP(Tab_Data_Flows[[#This Row],[Flow_Name]],Tab_Def_Flows[Flow_Name],Tab_Def_Flows[Flow_E6_Fraction'[%']],"N.A.",0,1)</f>
        <v>0</v>
      </c>
      <c r="AL481" s="2">
        <f>IF(Tab_Data_Flows[[#This Row],[Use_E6]]="Yes",Tab_Data_Flows[[#This Row],[E6_Fraction'[%']]]*Tab_Data_Flows[[#This Row],[E1_value]],"N.A.")</f>
        <v>0</v>
      </c>
      <c r="AM481" s="2" t="str">
        <f>Tab_Data_Flows[[#This Row],[E1_UoM]]</f>
        <v>Mg</v>
      </c>
    </row>
    <row r="482" spans="1:39" x14ac:dyDescent="0.25">
      <c r="A482" s="4">
        <f t="shared" si="12"/>
        <v>481</v>
      </c>
      <c r="B482" s="2" t="str">
        <f>_xlfn.XLOOKUP(C482,Tab_Def_Flows[Flow_Name],Tab_Def_Flows[Flow_ID],,0,)</f>
        <v>F__</v>
      </c>
      <c r="C482" s="18" t="s">
        <v>5</v>
      </c>
      <c r="D482" s="5" t="str">
        <f>_xlfn.XLOOKUP(C482,Tab_Def_Flows[Flow_Name],Tab_Def_Flows[Use_E1],,0,)</f>
        <v>Yes</v>
      </c>
      <c r="E482" s="5" t="str">
        <f>_xlfn.XLOOKUP(C482,Tab_Def_Flows[Flow_Name],Tab_Def_Flows[Use_E2],,0,)</f>
        <v>Yes</v>
      </c>
      <c r="F482" s="5" t="str">
        <f>_xlfn.XLOOKUP(C482,Tab_Def_Flows[Flow_Name],Tab_Def_Flows[Use_E3],,0,)</f>
        <v>Yes</v>
      </c>
      <c r="G482" s="5" t="str">
        <f>_xlfn.XLOOKUP(C482,Tab_Def_Flows[Flow_Name],Tab_Def_Flows[Use_E4],,0,)</f>
        <v>Yes</v>
      </c>
      <c r="H482" s="5" t="str">
        <f>_xlfn.XLOOKUP(C482,Tab_Def_Flows[Flow_Name],Tab_Def_Flows[Use_E5],,0,)</f>
        <v>Yes</v>
      </c>
      <c r="I482" s="5" t="str">
        <f>_xlfn.XLOOKUP(C482,Tab_Def_Flows[Flow_Name],Tab_Def_Flows[Use_E6],,0,)</f>
        <v>Yes</v>
      </c>
      <c r="J482" s="3"/>
      <c r="K482" s="3"/>
      <c r="L482" s="2" t="str">
        <f>'0_Configuration'!$C$41</f>
        <v>Mg</v>
      </c>
      <c r="M482" s="9"/>
      <c r="N482" s="9"/>
      <c r="O482" s="9"/>
      <c r="P482" s="9"/>
      <c r="Q482" s="18" t="s">
        <v>3</v>
      </c>
      <c r="R482" s="3"/>
      <c r="S482" s="3"/>
      <c r="T482" s="9"/>
      <c r="U482" s="9"/>
      <c r="V482" s="2">
        <f>_xlfn.XLOOKUP(Tab_Data_Flows[[#This Row],[Flow_Name]],Tab_Def_Flows[Flow_Name],Tab_Def_Flows[Flow_E1_Fraction'[%']],"N.A.",0,1)</f>
        <v>0</v>
      </c>
      <c r="W482" s="8">
        <f t="shared" si="15"/>
        <v>0</v>
      </c>
      <c r="X482" s="2" t="str">
        <f>Tab_Data_Flows[[#This Row],[UoM_Source]]</f>
        <v>Mg</v>
      </c>
      <c r="Y482" s="19">
        <f>_xlfn.XLOOKUP(Tab_Data_Flows[[#This Row],[Flow_Name]],Tab_Def_Flows[Flow_Name],Tab_Def_Flows[Flow_E2_Fraction'[%']],"N.A.",0,1)</f>
        <v>0</v>
      </c>
      <c r="Z482" s="2">
        <f>IF(D482="Yes",W482*Tab_Data_Flows[[#This Row],[E2_Fraction'[%']]],"N.A.")</f>
        <v>0</v>
      </c>
      <c r="AA482" s="2" t="str">
        <f>Tab_Data_Flows[[#This Row],[E1_UoM]]</f>
        <v>Mg</v>
      </c>
      <c r="AB482" s="19">
        <f>_xlfn.XLOOKUP(Tab_Data_Flows[[#This Row],[Flow_Name]],Tab_Def_Flows[Flow_Name],Tab_Def_Flows[Flow_E3_Fraction'[%']],"N.A.",0,1)</f>
        <v>0</v>
      </c>
      <c r="AC482" s="2">
        <f>IF(E482="Yes",AB482*Tab_Data_Flows[[#This Row],[E1_value]],"N.A.")</f>
        <v>0</v>
      </c>
      <c r="AD482" s="2" t="str">
        <f>Tab_Data_Flows[[#This Row],[E1_UoM]]</f>
        <v>Mg</v>
      </c>
      <c r="AE482" s="19">
        <f>_xlfn.XLOOKUP(Tab_Data_Flows[[#This Row],[Flow_Name]],Tab_Def_Flows[Flow_Name],Tab_Def_Flows[Flow_E4_Fraction'[%']],"N.A.",0,1)</f>
        <v>0</v>
      </c>
      <c r="AF482" s="2">
        <f>IF(H482="Yes",Tab_Data_Flows[[#This Row],[E4_Fraction'[%']]]*Tab_Data_Flows[[#This Row],[E1_value]],"N.A.")</f>
        <v>0</v>
      </c>
      <c r="AG482" s="2" t="str">
        <f>Tab_Data_Flows[[#This Row],[E1_UoM]]</f>
        <v>Mg</v>
      </c>
      <c r="AH482" s="2">
        <f>_xlfn.XLOOKUP(Tab_Data_Flows[[#This Row],[Flow_Name]],Tab_Def_Flows[Flow_Name],Tab_Def_Flows[Flow_E5_Fraction'[%']],"N.A.",0,1)</f>
        <v>0</v>
      </c>
      <c r="AI482" s="2">
        <f>IF(H482="Yes",Tab_Data_Flows[[#This Row],[E5_Fraction'[%']]]*Tab_Data_Flows[[#This Row],[E1_value]],"N.A.")</f>
        <v>0</v>
      </c>
      <c r="AJ482" s="2" t="str">
        <f>Tab_Data_Flows[[#This Row],[E1_UoM]]</f>
        <v>Mg</v>
      </c>
      <c r="AK482" s="19">
        <f>_xlfn.XLOOKUP(Tab_Data_Flows[[#This Row],[Flow_Name]],Tab_Def_Flows[Flow_Name],Tab_Def_Flows[Flow_E6_Fraction'[%']],"N.A.",0,1)</f>
        <v>0</v>
      </c>
      <c r="AL482" s="2">
        <f>IF(Tab_Data_Flows[[#This Row],[Use_E6]]="Yes",Tab_Data_Flows[[#This Row],[E6_Fraction'[%']]]*Tab_Data_Flows[[#This Row],[E1_value]],"N.A.")</f>
        <v>0</v>
      </c>
      <c r="AM482" s="2" t="str">
        <f>Tab_Data_Flows[[#This Row],[E1_UoM]]</f>
        <v>Mg</v>
      </c>
    </row>
    <row r="483" spans="1:39" x14ac:dyDescent="0.25">
      <c r="A483" s="4">
        <f t="shared" si="12"/>
        <v>482</v>
      </c>
      <c r="B483" s="2" t="str">
        <f>_xlfn.XLOOKUP(C483,Tab_Def_Flows[Flow_Name],Tab_Def_Flows[Flow_ID],,0,)</f>
        <v>F__</v>
      </c>
      <c r="C483" s="18" t="s">
        <v>5</v>
      </c>
      <c r="D483" s="5" t="str">
        <f>_xlfn.XLOOKUP(C483,Tab_Def_Flows[Flow_Name],Tab_Def_Flows[Use_E1],,0,)</f>
        <v>Yes</v>
      </c>
      <c r="E483" s="5" t="str">
        <f>_xlfn.XLOOKUP(C483,Tab_Def_Flows[Flow_Name],Tab_Def_Flows[Use_E2],,0,)</f>
        <v>Yes</v>
      </c>
      <c r="F483" s="5" t="str">
        <f>_xlfn.XLOOKUP(C483,Tab_Def_Flows[Flow_Name],Tab_Def_Flows[Use_E3],,0,)</f>
        <v>Yes</v>
      </c>
      <c r="G483" s="5" t="str">
        <f>_xlfn.XLOOKUP(C483,Tab_Def_Flows[Flow_Name],Tab_Def_Flows[Use_E4],,0,)</f>
        <v>Yes</v>
      </c>
      <c r="H483" s="5" t="str">
        <f>_xlfn.XLOOKUP(C483,Tab_Def_Flows[Flow_Name],Tab_Def_Flows[Use_E5],,0,)</f>
        <v>Yes</v>
      </c>
      <c r="I483" s="5" t="str">
        <f>_xlfn.XLOOKUP(C483,Tab_Def_Flows[Flow_Name],Tab_Def_Flows[Use_E6],,0,)</f>
        <v>Yes</v>
      </c>
      <c r="J483" s="3"/>
      <c r="K483" s="3"/>
      <c r="L483" s="2" t="str">
        <f>'0_Configuration'!$C$41</f>
        <v>Mg</v>
      </c>
      <c r="M483" s="9"/>
      <c r="N483" s="9"/>
      <c r="O483" s="9"/>
      <c r="P483" s="9"/>
      <c r="Q483" s="18" t="s">
        <v>3</v>
      </c>
      <c r="R483" s="3"/>
      <c r="S483" s="3"/>
      <c r="T483" s="9"/>
      <c r="U483" s="9"/>
      <c r="V483" s="2">
        <f>_xlfn.XLOOKUP(Tab_Data_Flows[[#This Row],[Flow_Name]],Tab_Def_Flows[Flow_Name],Tab_Def_Flows[Flow_E1_Fraction'[%']],"N.A.",0,1)</f>
        <v>0</v>
      </c>
      <c r="W483" s="8">
        <f t="shared" si="15"/>
        <v>0</v>
      </c>
      <c r="X483" s="2" t="str">
        <f>Tab_Data_Flows[[#This Row],[UoM_Source]]</f>
        <v>Mg</v>
      </c>
      <c r="Y483" s="19">
        <f>_xlfn.XLOOKUP(Tab_Data_Flows[[#This Row],[Flow_Name]],Tab_Def_Flows[Flow_Name],Tab_Def_Flows[Flow_E2_Fraction'[%']],"N.A.",0,1)</f>
        <v>0</v>
      </c>
      <c r="Z483" s="2">
        <f>IF(D483="Yes",W483*Tab_Data_Flows[[#This Row],[E2_Fraction'[%']]],"N.A.")</f>
        <v>0</v>
      </c>
      <c r="AA483" s="2" t="str">
        <f>Tab_Data_Flows[[#This Row],[E1_UoM]]</f>
        <v>Mg</v>
      </c>
      <c r="AB483" s="19">
        <f>_xlfn.XLOOKUP(Tab_Data_Flows[[#This Row],[Flow_Name]],Tab_Def_Flows[Flow_Name],Tab_Def_Flows[Flow_E3_Fraction'[%']],"N.A.",0,1)</f>
        <v>0</v>
      </c>
      <c r="AC483" s="2">
        <f>IF(E483="Yes",AB483*Tab_Data_Flows[[#This Row],[E1_value]],"N.A.")</f>
        <v>0</v>
      </c>
      <c r="AD483" s="2" t="str">
        <f>Tab_Data_Flows[[#This Row],[E1_UoM]]</f>
        <v>Mg</v>
      </c>
      <c r="AE483" s="19">
        <f>_xlfn.XLOOKUP(Tab_Data_Flows[[#This Row],[Flow_Name]],Tab_Def_Flows[Flow_Name],Tab_Def_Flows[Flow_E4_Fraction'[%']],"N.A.",0,1)</f>
        <v>0</v>
      </c>
      <c r="AF483" s="2">
        <f>IF(H483="Yes",Tab_Data_Flows[[#This Row],[E4_Fraction'[%']]]*Tab_Data_Flows[[#This Row],[E1_value]],"N.A.")</f>
        <v>0</v>
      </c>
      <c r="AG483" s="2" t="str">
        <f>Tab_Data_Flows[[#This Row],[E1_UoM]]</f>
        <v>Mg</v>
      </c>
      <c r="AH483" s="2">
        <f>_xlfn.XLOOKUP(Tab_Data_Flows[[#This Row],[Flow_Name]],Tab_Def_Flows[Flow_Name],Tab_Def_Flows[Flow_E5_Fraction'[%']],"N.A.",0,1)</f>
        <v>0</v>
      </c>
      <c r="AI483" s="2">
        <f>IF(H483="Yes",Tab_Data_Flows[[#This Row],[E5_Fraction'[%']]]*Tab_Data_Flows[[#This Row],[E1_value]],"N.A.")</f>
        <v>0</v>
      </c>
      <c r="AJ483" s="2" t="str">
        <f>Tab_Data_Flows[[#This Row],[E1_UoM]]</f>
        <v>Mg</v>
      </c>
      <c r="AK483" s="19">
        <f>_xlfn.XLOOKUP(Tab_Data_Flows[[#This Row],[Flow_Name]],Tab_Def_Flows[Flow_Name],Tab_Def_Flows[Flow_E6_Fraction'[%']],"N.A.",0,1)</f>
        <v>0</v>
      </c>
      <c r="AL483" s="2">
        <f>IF(Tab_Data_Flows[[#This Row],[Use_E6]]="Yes",Tab_Data_Flows[[#This Row],[E6_Fraction'[%']]]*Tab_Data_Flows[[#This Row],[E1_value]],"N.A.")</f>
        <v>0</v>
      </c>
      <c r="AM483" s="2" t="str">
        <f>Tab_Data_Flows[[#This Row],[E1_UoM]]</f>
        <v>Mg</v>
      </c>
    </row>
    <row r="484" spans="1:39" x14ac:dyDescent="0.25">
      <c r="A484" s="4">
        <f t="shared" si="12"/>
        <v>483</v>
      </c>
      <c r="B484" s="2" t="str">
        <f>_xlfn.XLOOKUP(C484,Tab_Def_Flows[Flow_Name],Tab_Def_Flows[Flow_ID],,0,)</f>
        <v>F__</v>
      </c>
      <c r="C484" s="18" t="s">
        <v>5</v>
      </c>
      <c r="D484" s="5" t="str">
        <f>_xlfn.XLOOKUP(C484,Tab_Def_Flows[Flow_Name],Tab_Def_Flows[Use_E1],,0,)</f>
        <v>Yes</v>
      </c>
      <c r="E484" s="5" t="str">
        <f>_xlfn.XLOOKUP(C484,Tab_Def_Flows[Flow_Name],Tab_Def_Flows[Use_E2],,0,)</f>
        <v>Yes</v>
      </c>
      <c r="F484" s="5" t="str">
        <f>_xlfn.XLOOKUP(C484,Tab_Def_Flows[Flow_Name],Tab_Def_Flows[Use_E3],,0,)</f>
        <v>Yes</v>
      </c>
      <c r="G484" s="5" t="str">
        <f>_xlfn.XLOOKUP(C484,Tab_Def_Flows[Flow_Name],Tab_Def_Flows[Use_E4],,0,)</f>
        <v>Yes</v>
      </c>
      <c r="H484" s="5" t="str">
        <f>_xlfn.XLOOKUP(C484,Tab_Def_Flows[Flow_Name],Tab_Def_Flows[Use_E5],,0,)</f>
        <v>Yes</v>
      </c>
      <c r="I484" s="5" t="str">
        <f>_xlfn.XLOOKUP(C484,Tab_Def_Flows[Flow_Name],Tab_Def_Flows[Use_E6],,0,)</f>
        <v>Yes</v>
      </c>
      <c r="J484" s="3"/>
      <c r="K484" s="3"/>
      <c r="L484" s="2" t="str">
        <f>'0_Configuration'!$C$41</f>
        <v>Mg</v>
      </c>
      <c r="M484" s="9"/>
      <c r="N484" s="9"/>
      <c r="O484" s="9"/>
      <c r="P484" s="9"/>
      <c r="Q484" s="18" t="s">
        <v>3</v>
      </c>
      <c r="R484" s="3"/>
      <c r="S484" s="3"/>
      <c r="T484" s="9"/>
      <c r="U484" s="9"/>
      <c r="V484" s="2">
        <f>_xlfn.XLOOKUP(Tab_Data_Flows[[#This Row],[Flow_Name]],Tab_Def_Flows[Flow_Name],Tab_Def_Flows[Flow_E1_Fraction'[%']],"N.A.",0,1)</f>
        <v>0</v>
      </c>
      <c r="W484" s="8">
        <f t="shared" si="15"/>
        <v>0</v>
      </c>
      <c r="X484" s="2" t="str">
        <f>Tab_Data_Flows[[#This Row],[UoM_Source]]</f>
        <v>Mg</v>
      </c>
      <c r="Y484" s="19">
        <f>_xlfn.XLOOKUP(Tab_Data_Flows[[#This Row],[Flow_Name]],Tab_Def_Flows[Flow_Name],Tab_Def_Flows[Flow_E2_Fraction'[%']],"N.A.",0,1)</f>
        <v>0</v>
      </c>
      <c r="Z484" s="2">
        <f>IF(D484="Yes",W484*Tab_Data_Flows[[#This Row],[E2_Fraction'[%']]],"N.A.")</f>
        <v>0</v>
      </c>
      <c r="AA484" s="2" t="str">
        <f>Tab_Data_Flows[[#This Row],[E1_UoM]]</f>
        <v>Mg</v>
      </c>
      <c r="AB484" s="19">
        <f>_xlfn.XLOOKUP(Tab_Data_Flows[[#This Row],[Flow_Name]],Tab_Def_Flows[Flow_Name],Tab_Def_Flows[Flow_E3_Fraction'[%']],"N.A.",0,1)</f>
        <v>0</v>
      </c>
      <c r="AC484" s="2">
        <f>IF(E484="Yes",AB484*Tab_Data_Flows[[#This Row],[E1_value]],"N.A.")</f>
        <v>0</v>
      </c>
      <c r="AD484" s="2" t="str">
        <f>Tab_Data_Flows[[#This Row],[E1_UoM]]</f>
        <v>Mg</v>
      </c>
      <c r="AE484" s="19">
        <f>_xlfn.XLOOKUP(Tab_Data_Flows[[#This Row],[Flow_Name]],Tab_Def_Flows[Flow_Name],Tab_Def_Flows[Flow_E4_Fraction'[%']],"N.A.",0,1)</f>
        <v>0</v>
      </c>
      <c r="AF484" s="2">
        <f>IF(H484="Yes",Tab_Data_Flows[[#This Row],[E4_Fraction'[%']]]*Tab_Data_Flows[[#This Row],[E1_value]],"N.A.")</f>
        <v>0</v>
      </c>
      <c r="AG484" s="2" t="str">
        <f>Tab_Data_Flows[[#This Row],[E1_UoM]]</f>
        <v>Mg</v>
      </c>
      <c r="AH484" s="2">
        <f>_xlfn.XLOOKUP(Tab_Data_Flows[[#This Row],[Flow_Name]],Tab_Def_Flows[Flow_Name],Tab_Def_Flows[Flow_E5_Fraction'[%']],"N.A.",0,1)</f>
        <v>0</v>
      </c>
      <c r="AI484" s="2">
        <f>IF(H484="Yes",Tab_Data_Flows[[#This Row],[E5_Fraction'[%']]]*Tab_Data_Flows[[#This Row],[E1_value]],"N.A.")</f>
        <v>0</v>
      </c>
      <c r="AJ484" s="2" t="str">
        <f>Tab_Data_Flows[[#This Row],[E1_UoM]]</f>
        <v>Mg</v>
      </c>
      <c r="AK484" s="19">
        <f>_xlfn.XLOOKUP(Tab_Data_Flows[[#This Row],[Flow_Name]],Tab_Def_Flows[Flow_Name],Tab_Def_Flows[Flow_E6_Fraction'[%']],"N.A.",0,1)</f>
        <v>0</v>
      </c>
      <c r="AL484" s="2">
        <f>IF(Tab_Data_Flows[[#This Row],[Use_E6]]="Yes",Tab_Data_Flows[[#This Row],[E6_Fraction'[%']]]*Tab_Data_Flows[[#This Row],[E1_value]],"N.A.")</f>
        <v>0</v>
      </c>
      <c r="AM484" s="2" t="str">
        <f>Tab_Data_Flows[[#This Row],[E1_UoM]]</f>
        <v>Mg</v>
      </c>
    </row>
    <row r="485" spans="1:39" x14ac:dyDescent="0.25">
      <c r="A485" s="4">
        <f t="shared" si="12"/>
        <v>484</v>
      </c>
      <c r="B485" s="2" t="str">
        <f>_xlfn.XLOOKUP(C485,Tab_Def_Flows[Flow_Name],Tab_Def_Flows[Flow_ID],,0,)</f>
        <v>F__</v>
      </c>
      <c r="C485" s="18" t="s">
        <v>5</v>
      </c>
      <c r="D485" s="5" t="str">
        <f>_xlfn.XLOOKUP(C485,Tab_Def_Flows[Flow_Name],Tab_Def_Flows[Use_E1],,0,)</f>
        <v>Yes</v>
      </c>
      <c r="E485" s="5" t="str">
        <f>_xlfn.XLOOKUP(C485,Tab_Def_Flows[Flow_Name],Tab_Def_Flows[Use_E2],,0,)</f>
        <v>Yes</v>
      </c>
      <c r="F485" s="5" t="str">
        <f>_xlfn.XLOOKUP(C485,Tab_Def_Flows[Flow_Name],Tab_Def_Flows[Use_E3],,0,)</f>
        <v>Yes</v>
      </c>
      <c r="G485" s="5" t="str">
        <f>_xlfn.XLOOKUP(C485,Tab_Def_Flows[Flow_Name],Tab_Def_Flows[Use_E4],,0,)</f>
        <v>Yes</v>
      </c>
      <c r="H485" s="5" t="str">
        <f>_xlfn.XLOOKUP(C485,Tab_Def_Flows[Flow_Name],Tab_Def_Flows[Use_E5],,0,)</f>
        <v>Yes</v>
      </c>
      <c r="I485" s="5" t="str">
        <f>_xlfn.XLOOKUP(C485,Tab_Def_Flows[Flow_Name],Tab_Def_Flows[Use_E6],,0,)</f>
        <v>Yes</v>
      </c>
      <c r="J485" s="3"/>
      <c r="K485" s="3"/>
      <c r="L485" s="2" t="str">
        <f>'0_Configuration'!$C$41</f>
        <v>Mg</v>
      </c>
      <c r="M485" s="9"/>
      <c r="N485" s="9"/>
      <c r="O485" s="9"/>
      <c r="P485" s="9"/>
      <c r="Q485" s="18" t="s">
        <v>3</v>
      </c>
      <c r="R485" s="3"/>
      <c r="S485" s="3"/>
      <c r="T485" s="9"/>
      <c r="U485" s="9"/>
      <c r="V485" s="2">
        <f>_xlfn.XLOOKUP(Tab_Data_Flows[[#This Row],[Flow_Name]],Tab_Def_Flows[Flow_Name],Tab_Def_Flows[Flow_E1_Fraction'[%']],"N.A.",0,1)</f>
        <v>0</v>
      </c>
      <c r="W485" s="8">
        <f t="shared" si="15"/>
        <v>0</v>
      </c>
      <c r="X485" s="2" t="str">
        <f>Tab_Data_Flows[[#This Row],[UoM_Source]]</f>
        <v>Mg</v>
      </c>
      <c r="Y485" s="19">
        <f>_xlfn.XLOOKUP(Tab_Data_Flows[[#This Row],[Flow_Name]],Tab_Def_Flows[Flow_Name],Tab_Def_Flows[Flow_E2_Fraction'[%']],"N.A.",0,1)</f>
        <v>0</v>
      </c>
      <c r="Z485" s="2">
        <f>IF(D485="Yes",W485*Tab_Data_Flows[[#This Row],[E2_Fraction'[%']]],"N.A.")</f>
        <v>0</v>
      </c>
      <c r="AA485" s="2" t="str">
        <f>Tab_Data_Flows[[#This Row],[E1_UoM]]</f>
        <v>Mg</v>
      </c>
      <c r="AB485" s="19">
        <f>_xlfn.XLOOKUP(Tab_Data_Flows[[#This Row],[Flow_Name]],Tab_Def_Flows[Flow_Name],Tab_Def_Flows[Flow_E3_Fraction'[%']],"N.A.",0,1)</f>
        <v>0</v>
      </c>
      <c r="AC485" s="2">
        <f>IF(E485="Yes",AB485*Tab_Data_Flows[[#This Row],[E1_value]],"N.A.")</f>
        <v>0</v>
      </c>
      <c r="AD485" s="2" t="str">
        <f>Tab_Data_Flows[[#This Row],[E1_UoM]]</f>
        <v>Mg</v>
      </c>
      <c r="AE485" s="19">
        <f>_xlfn.XLOOKUP(Tab_Data_Flows[[#This Row],[Flow_Name]],Tab_Def_Flows[Flow_Name],Tab_Def_Flows[Flow_E4_Fraction'[%']],"N.A.",0,1)</f>
        <v>0</v>
      </c>
      <c r="AF485" s="2">
        <f>IF(H485="Yes",Tab_Data_Flows[[#This Row],[E4_Fraction'[%']]]*Tab_Data_Flows[[#This Row],[E1_value]],"N.A.")</f>
        <v>0</v>
      </c>
      <c r="AG485" s="2" t="str">
        <f>Tab_Data_Flows[[#This Row],[E1_UoM]]</f>
        <v>Mg</v>
      </c>
      <c r="AH485" s="2">
        <f>_xlfn.XLOOKUP(Tab_Data_Flows[[#This Row],[Flow_Name]],Tab_Def_Flows[Flow_Name],Tab_Def_Flows[Flow_E5_Fraction'[%']],"N.A.",0,1)</f>
        <v>0</v>
      </c>
      <c r="AI485" s="2">
        <f>IF(H485="Yes",Tab_Data_Flows[[#This Row],[E5_Fraction'[%']]]*Tab_Data_Flows[[#This Row],[E1_value]],"N.A.")</f>
        <v>0</v>
      </c>
      <c r="AJ485" s="2" t="str">
        <f>Tab_Data_Flows[[#This Row],[E1_UoM]]</f>
        <v>Mg</v>
      </c>
      <c r="AK485" s="19">
        <f>_xlfn.XLOOKUP(Tab_Data_Flows[[#This Row],[Flow_Name]],Tab_Def_Flows[Flow_Name],Tab_Def_Flows[Flow_E6_Fraction'[%']],"N.A.",0,1)</f>
        <v>0</v>
      </c>
      <c r="AL485" s="2">
        <f>IF(Tab_Data_Flows[[#This Row],[Use_E6]]="Yes",Tab_Data_Flows[[#This Row],[E6_Fraction'[%']]]*Tab_Data_Flows[[#This Row],[E1_value]],"N.A.")</f>
        <v>0</v>
      </c>
      <c r="AM485" s="2" t="str">
        <f>Tab_Data_Flows[[#This Row],[E1_UoM]]</f>
        <v>Mg</v>
      </c>
    </row>
    <row r="486" spans="1:39" x14ac:dyDescent="0.25">
      <c r="A486" s="4">
        <f t="shared" si="12"/>
        <v>485</v>
      </c>
      <c r="B486" s="2" t="str">
        <f>_xlfn.XLOOKUP(C486,Tab_Def_Flows[Flow_Name],Tab_Def_Flows[Flow_ID],,0,)</f>
        <v>F__</v>
      </c>
      <c r="C486" s="18" t="s">
        <v>5</v>
      </c>
      <c r="D486" s="5" t="str">
        <f>_xlfn.XLOOKUP(C486,Tab_Def_Flows[Flow_Name],Tab_Def_Flows[Use_E1],,0,)</f>
        <v>Yes</v>
      </c>
      <c r="E486" s="5" t="str">
        <f>_xlfn.XLOOKUP(C486,Tab_Def_Flows[Flow_Name],Tab_Def_Flows[Use_E2],,0,)</f>
        <v>Yes</v>
      </c>
      <c r="F486" s="5" t="str">
        <f>_xlfn.XLOOKUP(C486,Tab_Def_Flows[Flow_Name],Tab_Def_Flows[Use_E3],,0,)</f>
        <v>Yes</v>
      </c>
      <c r="G486" s="5" t="str">
        <f>_xlfn.XLOOKUP(C486,Tab_Def_Flows[Flow_Name],Tab_Def_Flows[Use_E4],,0,)</f>
        <v>Yes</v>
      </c>
      <c r="H486" s="5" t="str">
        <f>_xlfn.XLOOKUP(C486,Tab_Def_Flows[Flow_Name],Tab_Def_Flows[Use_E5],,0,)</f>
        <v>Yes</v>
      </c>
      <c r="I486" s="5" t="str">
        <f>_xlfn.XLOOKUP(C486,Tab_Def_Flows[Flow_Name],Tab_Def_Flows[Use_E6],,0,)</f>
        <v>Yes</v>
      </c>
      <c r="J486" s="3"/>
      <c r="K486" s="3"/>
      <c r="L486" s="2" t="str">
        <f>'0_Configuration'!$C$41</f>
        <v>Mg</v>
      </c>
      <c r="M486" s="9"/>
      <c r="N486" s="9"/>
      <c r="O486" s="9"/>
      <c r="P486" s="9"/>
      <c r="Q486" s="18" t="s">
        <v>3</v>
      </c>
      <c r="R486" s="3"/>
      <c r="S486" s="3"/>
      <c r="T486" s="9"/>
      <c r="U486" s="9"/>
      <c r="V486" s="2">
        <f>_xlfn.XLOOKUP(Tab_Data_Flows[[#This Row],[Flow_Name]],Tab_Def_Flows[Flow_Name],Tab_Def_Flows[Flow_E1_Fraction'[%']],"N.A.",0,1)</f>
        <v>0</v>
      </c>
      <c r="W486" s="8">
        <f t="shared" si="15"/>
        <v>0</v>
      </c>
      <c r="X486" s="2" t="str">
        <f>Tab_Data_Flows[[#This Row],[UoM_Source]]</f>
        <v>Mg</v>
      </c>
      <c r="Y486" s="19">
        <f>_xlfn.XLOOKUP(Tab_Data_Flows[[#This Row],[Flow_Name]],Tab_Def_Flows[Flow_Name],Tab_Def_Flows[Flow_E2_Fraction'[%']],"N.A.",0,1)</f>
        <v>0</v>
      </c>
      <c r="Z486" s="2">
        <f>IF(D486="Yes",W486*Tab_Data_Flows[[#This Row],[E2_Fraction'[%']]],"N.A.")</f>
        <v>0</v>
      </c>
      <c r="AA486" s="2" t="str">
        <f>Tab_Data_Flows[[#This Row],[E1_UoM]]</f>
        <v>Mg</v>
      </c>
      <c r="AB486" s="19">
        <f>_xlfn.XLOOKUP(Tab_Data_Flows[[#This Row],[Flow_Name]],Tab_Def_Flows[Flow_Name],Tab_Def_Flows[Flow_E3_Fraction'[%']],"N.A.",0,1)</f>
        <v>0</v>
      </c>
      <c r="AC486" s="2">
        <f>IF(E486="Yes",AB486*Tab_Data_Flows[[#This Row],[E1_value]],"N.A.")</f>
        <v>0</v>
      </c>
      <c r="AD486" s="2" t="str">
        <f>Tab_Data_Flows[[#This Row],[E1_UoM]]</f>
        <v>Mg</v>
      </c>
      <c r="AE486" s="19">
        <f>_xlfn.XLOOKUP(Tab_Data_Flows[[#This Row],[Flow_Name]],Tab_Def_Flows[Flow_Name],Tab_Def_Flows[Flow_E4_Fraction'[%']],"N.A.",0,1)</f>
        <v>0</v>
      </c>
      <c r="AF486" s="2">
        <f>IF(H486="Yes",Tab_Data_Flows[[#This Row],[E4_Fraction'[%']]]*Tab_Data_Flows[[#This Row],[E1_value]],"N.A.")</f>
        <v>0</v>
      </c>
      <c r="AG486" s="2" t="str">
        <f>Tab_Data_Flows[[#This Row],[E1_UoM]]</f>
        <v>Mg</v>
      </c>
      <c r="AH486" s="2">
        <f>_xlfn.XLOOKUP(Tab_Data_Flows[[#This Row],[Flow_Name]],Tab_Def_Flows[Flow_Name],Tab_Def_Flows[Flow_E5_Fraction'[%']],"N.A.",0,1)</f>
        <v>0</v>
      </c>
      <c r="AI486" s="2">
        <f>IF(H486="Yes",Tab_Data_Flows[[#This Row],[E5_Fraction'[%']]]*Tab_Data_Flows[[#This Row],[E1_value]],"N.A.")</f>
        <v>0</v>
      </c>
      <c r="AJ486" s="2" t="str">
        <f>Tab_Data_Flows[[#This Row],[E1_UoM]]</f>
        <v>Mg</v>
      </c>
      <c r="AK486" s="19">
        <f>_xlfn.XLOOKUP(Tab_Data_Flows[[#This Row],[Flow_Name]],Tab_Def_Flows[Flow_Name],Tab_Def_Flows[Flow_E6_Fraction'[%']],"N.A.",0,1)</f>
        <v>0</v>
      </c>
      <c r="AL486" s="2">
        <f>IF(Tab_Data_Flows[[#This Row],[Use_E6]]="Yes",Tab_Data_Flows[[#This Row],[E6_Fraction'[%']]]*Tab_Data_Flows[[#This Row],[E1_value]],"N.A.")</f>
        <v>0</v>
      </c>
      <c r="AM486" s="2" t="str">
        <f>Tab_Data_Flows[[#This Row],[E1_UoM]]</f>
        <v>Mg</v>
      </c>
    </row>
    <row r="487" spans="1:39" x14ac:dyDescent="0.25">
      <c r="A487" s="4">
        <f t="shared" si="12"/>
        <v>486</v>
      </c>
      <c r="B487" s="2" t="str">
        <f>_xlfn.XLOOKUP(C487,Tab_Def_Flows[Flow_Name],Tab_Def_Flows[Flow_ID],,0,)</f>
        <v>F__</v>
      </c>
      <c r="C487" s="18" t="s">
        <v>5</v>
      </c>
      <c r="D487" s="5" t="str">
        <f>_xlfn.XLOOKUP(C487,Tab_Def_Flows[Flow_Name],Tab_Def_Flows[Use_E1],,0,)</f>
        <v>Yes</v>
      </c>
      <c r="E487" s="5" t="str">
        <f>_xlfn.XLOOKUP(C487,Tab_Def_Flows[Flow_Name],Tab_Def_Flows[Use_E2],,0,)</f>
        <v>Yes</v>
      </c>
      <c r="F487" s="5" t="str">
        <f>_xlfn.XLOOKUP(C487,Tab_Def_Flows[Flow_Name],Tab_Def_Flows[Use_E3],,0,)</f>
        <v>Yes</v>
      </c>
      <c r="G487" s="5" t="str">
        <f>_xlfn.XLOOKUP(C487,Tab_Def_Flows[Flow_Name],Tab_Def_Flows[Use_E4],,0,)</f>
        <v>Yes</v>
      </c>
      <c r="H487" s="5" t="str">
        <f>_xlfn.XLOOKUP(C487,Tab_Def_Flows[Flow_Name],Tab_Def_Flows[Use_E5],,0,)</f>
        <v>Yes</v>
      </c>
      <c r="I487" s="5" t="str">
        <f>_xlfn.XLOOKUP(C487,Tab_Def_Flows[Flow_Name],Tab_Def_Flows[Use_E6],,0,)</f>
        <v>Yes</v>
      </c>
      <c r="J487" s="3"/>
      <c r="K487" s="3"/>
      <c r="L487" s="2" t="str">
        <f>'0_Configuration'!$C$41</f>
        <v>Mg</v>
      </c>
      <c r="M487" s="9"/>
      <c r="N487" s="9"/>
      <c r="O487" s="9"/>
      <c r="P487" s="9"/>
      <c r="Q487" s="18" t="s">
        <v>3</v>
      </c>
      <c r="R487" s="3"/>
      <c r="S487" s="3"/>
      <c r="T487" s="9"/>
      <c r="U487" s="9"/>
      <c r="V487" s="2">
        <f>_xlfn.XLOOKUP(Tab_Data_Flows[[#This Row],[Flow_Name]],Tab_Def_Flows[Flow_Name],Tab_Def_Flows[Flow_E1_Fraction'[%']],"N.A.",0,1)</f>
        <v>0</v>
      </c>
      <c r="W487" s="8">
        <f t="shared" si="15"/>
        <v>0</v>
      </c>
      <c r="X487" s="2" t="str">
        <f>Tab_Data_Flows[[#This Row],[UoM_Source]]</f>
        <v>Mg</v>
      </c>
      <c r="Y487" s="19">
        <f>_xlfn.XLOOKUP(Tab_Data_Flows[[#This Row],[Flow_Name]],Tab_Def_Flows[Flow_Name],Tab_Def_Flows[Flow_E2_Fraction'[%']],"N.A.",0,1)</f>
        <v>0</v>
      </c>
      <c r="Z487" s="2">
        <f>IF(D487="Yes",W487*Tab_Data_Flows[[#This Row],[E2_Fraction'[%']]],"N.A.")</f>
        <v>0</v>
      </c>
      <c r="AA487" s="2" t="str">
        <f>Tab_Data_Flows[[#This Row],[E1_UoM]]</f>
        <v>Mg</v>
      </c>
      <c r="AB487" s="19">
        <f>_xlfn.XLOOKUP(Tab_Data_Flows[[#This Row],[Flow_Name]],Tab_Def_Flows[Flow_Name],Tab_Def_Flows[Flow_E3_Fraction'[%']],"N.A.",0,1)</f>
        <v>0</v>
      </c>
      <c r="AC487" s="2">
        <f>IF(E487="Yes",AB487*Tab_Data_Flows[[#This Row],[E1_value]],"N.A.")</f>
        <v>0</v>
      </c>
      <c r="AD487" s="2" t="str">
        <f>Tab_Data_Flows[[#This Row],[E1_UoM]]</f>
        <v>Mg</v>
      </c>
      <c r="AE487" s="19">
        <f>_xlfn.XLOOKUP(Tab_Data_Flows[[#This Row],[Flow_Name]],Tab_Def_Flows[Flow_Name],Tab_Def_Flows[Flow_E4_Fraction'[%']],"N.A.",0,1)</f>
        <v>0</v>
      </c>
      <c r="AF487" s="2">
        <f>IF(H487="Yes",Tab_Data_Flows[[#This Row],[E4_Fraction'[%']]]*Tab_Data_Flows[[#This Row],[E1_value]],"N.A.")</f>
        <v>0</v>
      </c>
      <c r="AG487" s="2" t="str">
        <f>Tab_Data_Flows[[#This Row],[E1_UoM]]</f>
        <v>Mg</v>
      </c>
      <c r="AH487" s="2">
        <f>_xlfn.XLOOKUP(Tab_Data_Flows[[#This Row],[Flow_Name]],Tab_Def_Flows[Flow_Name],Tab_Def_Flows[Flow_E5_Fraction'[%']],"N.A.",0,1)</f>
        <v>0</v>
      </c>
      <c r="AI487" s="2">
        <f>IF(H487="Yes",Tab_Data_Flows[[#This Row],[E5_Fraction'[%']]]*Tab_Data_Flows[[#This Row],[E1_value]],"N.A.")</f>
        <v>0</v>
      </c>
      <c r="AJ487" s="2" t="str">
        <f>Tab_Data_Flows[[#This Row],[E1_UoM]]</f>
        <v>Mg</v>
      </c>
      <c r="AK487" s="19">
        <f>_xlfn.XLOOKUP(Tab_Data_Flows[[#This Row],[Flow_Name]],Tab_Def_Flows[Flow_Name],Tab_Def_Flows[Flow_E6_Fraction'[%']],"N.A.",0,1)</f>
        <v>0</v>
      </c>
      <c r="AL487" s="2">
        <f>IF(Tab_Data_Flows[[#This Row],[Use_E6]]="Yes",Tab_Data_Flows[[#This Row],[E6_Fraction'[%']]]*Tab_Data_Flows[[#This Row],[E1_value]],"N.A.")</f>
        <v>0</v>
      </c>
      <c r="AM487" s="2" t="str">
        <f>Tab_Data_Flows[[#This Row],[E1_UoM]]</f>
        <v>Mg</v>
      </c>
    </row>
    <row r="488" spans="1:39" x14ac:dyDescent="0.25">
      <c r="A488" s="4">
        <f t="shared" si="12"/>
        <v>487</v>
      </c>
      <c r="B488" s="2" t="str">
        <f>_xlfn.XLOOKUP(C488,Tab_Def_Flows[Flow_Name],Tab_Def_Flows[Flow_ID],,0,)</f>
        <v>F__</v>
      </c>
      <c r="C488" s="18" t="s">
        <v>5</v>
      </c>
      <c r="D488" s="5" t="str">
        <f>_xlfn.XLOOKUP(C488,Tab_Def_Flows[Flow_Name],Tab_Def_Flows[Use_E1],,0,)</f>
        <v>Yes</v>
      </c>
      <c r="E488" s="5" t="str">
        <f>_xlfn.XLOOKUP(C488,Tab_Def_Flows[Flow_Name],Tab_Def_Flows[Use_E2],,0,)</f>
        <v>Yes</v>
      </c>
      <c r="F488" s="5" t="str">
        <f>_xlfn.XLOOKUP(C488,Tab_Def_Flows[Flow_Name],Tab_Def_Flows[Use_E3],,0,)</f>
        <v>Yes</v>
      </c>
      <c r="G488" s="5" t="str">
        <f>_xlfn.XLOOKUP(C488,Tab_Def_Flows[Flow_Name],Tab_Def_Flows[Use_E4],,0,)</f>
        <v>Yes</v>
      </c>
      <c r="H488" s="5" t="str">
        <f>_xlfn.XLOOKUP(C488,Tab_Def_Flows[Flow_Name],Tab_Def_Flows[Use_E5],,0,)</f>
        <v>Yes</v>
      </c>
      <c r="I488" s="5" t="str">
        <f>_xlfn.XLOOKUP(C488,Tab_Def_Flows[Flow_Name],Tab_Def_Flows[Use_E6],,0,)</f>
        <v>Yes</v>
      </c>
      <c r="J488" s="3"/>
      <c r="K488" s="3"/>
      <c r="L488" s="2" t="str">
        <f>'0_Configuration'!$C$41</f>
        <v>Mg</v>
      </c>
      <c r="M488" s="9"/>
      <c r="N488" s="9"/>
      <c r="O488" s="9"/>
      <c r="P488" s="9"/>
      <c r="Q488" s="18" t="s">
        <v>3</v>
      </c>
      <c r="R488" s="3"/>
      <c r="S488" s="3"/>
      <c r="T488" s="9"/>
      <c r="U488" s="9"/>
      <c r="V488" s="2">
        <f>_xlfn.XLOOKUP(Tab_Data_Flows[[#This Row],[Flow_Name]],Tab_Def_Flows[Flow_Name],Tab_Def_Flows[Flow_E1_Fraction'[%']],"N.A.",0,1)</f>
        <v>0</v>
      </c>
      <c r="W488" s="8">
        <f t="shared" si="15"/>
        <v>0</v>
      </c>
      <c r="X488" s="2" t="str">
        <f>Tab_Data_Flows[[#This Row],[UoM_Source]]</f>
        <v>Mg</v>
      </c>
      <c r="Y488" s="19">
        <f>_xlfn.XLOOKUP(Tab_Data_Flows[[#This Row],[Flow_Name]],Tab_Def_Flows[Flow_Name],Tab_Def_Flows[Flow_E2_Fraction'[%']],"N.A.",0,1)</f>
        <v>0</v>
      </c>
      <c r="Z488" s="2">
        <f>IF(D488="Yes",W488*Tab_Data_Flows[[#This Row],[E2_Fraction'[%']]],"N.A.")</f>
        <v>0</v>
      </c>
      <c r="AA488" s="2" t="str">
        <f>Tab_Data_Flows[[#This Row],[E1_UoM]]</f>
        <v>Mg</v>
      </c>
      <c r="AB488" s="19">
        <f>_xlfn.XLOOKUP(Tab_Data_Flows[[#This Row],[Flow_Name]],Tab_Def_Flows[Flow_Name],Tab_Def_Flows[Flow_E3_Fraction'[%']],"N.A.",0,1)</f>
        <v>0</v>
      </c>
      <c r="AC488" s="2">
        <f>IF(E488="Yes",AB488*Tab_Data_Flows[[#This Row],[E1_value]],"N.A.")</f>
        <v>0</v>
      </c>
      <c r="AD488" s="2" t="str">
        <f>Tab_Data_Flows[[#This Row],[E1_UoM]]</f>
        <v>Mg</v>
      </c>
      <c r="AE488" s="19">
        <f>_xlfn.XLOOKUP(Tab_Data_Flows[[#This Row],[Flow_Name]],Tab_Def_Flows[Flow_Name],Tab_Def_Flows[Flow_E4_Fraction'[%']],"N.A.",0,1)</f>
        <v>0</v>
      </c>
      <c r="AF488" s="2">
        <f>IF(H488="Yes",Tab_Data_Flows[[#This Row],[E4_Fraction'[%']]]*Tab_Data_Flows[[#This Row],[E1_value]],"N.A.")</f>
        <v>0</v>
      </c>
      <c r="AG488" s="2" t="str">
        <f>Tab_Data_Flows[[#This Row],[E1_UoM]]</f>
        <v>Mg</v>
      </c>
      <c r="AH488" s="2">
        <f>_xlfn.XLOOKUP(Tab_Data_Flows[[#This Row],[Flow_Name]],Tab_Def_Flows[Flow_Name],Tab_Def_Flows[Flow_E5_Fraction'[%']],"N.A.",0,1)</f>
        <v>0</v>
      </c>
      <c r="AI488" s="2">
        <f>IF(H488="Yes",Tab_Data_Flows[[#This Row],[E5_Fraction'[%']]]*Tab_Data_Flows[[#This Row],[E1_value]],"N.A.")</f>
        <v>0</v>
      </c>
      <c r="AJ488" s="2" t="str">
        <f>Tab_Data_Flows[[#This Row],[E1_UoM]]</f>
        <v>Mg</v>
      </c>
      <c r="AK488" s="19">
        <f>_xlfn.XLOOKUP(Tab_Data_Flows[[#This Row],[Flow_Name]],Tab_Def_Flows[Flow_Name],Tab_Def_Flows[Flow_E6_Fraction'[%']],"N.A.",0,1)</f>
        <v>0</v>
      </c>
      <c r="AL488" s="2">
        <f>IF(Tab_Data_Flows[[#This Row],[Use_E6]]="Yes",Tab_Data_Flows[[#This Row],[E6_Fraction'[%']]]*Tab_Data_Flows[[#This Row],[E1_value]],"N.A.")</f>
        <v>0</v>
      </c>
      <c r="AM488" s="2" t="str">
        <f>Tab_Data_Flows[[#This Row],[E1_UoM]]</f>
        <v>Mg</v>
      </c>
    </row>
    <row r="489" spans="1:39" x14ac:dyDescent="0.25">
      <c r="A489" s="4">
        <f t="shared" si="12"/>
        <v>488</v>
      </c>
      <c r="B489" s="2" t="str">
        <f>_xlfn.XLOOKUP(C489,Tab_Def_Flows[Flow_Name],Tab_Def_Flows[Flow_ID],,0,)</f>
        <v>F__</v>
      </c>
      <c r="C489" s="18" t="s">
        <v>5</v>
      </c>
      <c r="D489" s="5" t="str">
        <f>_xlfn.XLOOKUP(C489,Tab_Def_Flows[Flow_Name],Tab_Def_Flows[Use_E1],,0,)</f>
        <v>Yes</v>
      </c>
      <c r="E489" s="5" t="str">
        <f>_xlfn.XLOOKUP(C489,Tab_Def_Flows[Flow_Name],Tab_Def_Flows[Use_E2],,0,)</f>
        <v>Yes</v>
      </c>
      <c r="F489" s="5" t="str">
        <f>_xlfn.XLOOKUP(C489,Tab_Def_Flows[Flow_Name],Tab_Def_Flows[Use_E3],,0,)</f>
        <v>Yes</v>
      </c>
      <c r="G489" s="5" t="str">
        <f>_xlfn.XLOOKUP(C489,Tab_Def_Flows[Flow_Name],Tab_Def_Flows[Use_E4],,0,)</f>
        <v>Yes</v>
      </c>
      <c r="H489" s="5" t="str">
        <f>_xlfn.XLOOKUP(C489,Tab_Def_Flows[Flow_Name],Tab_Def_Flows[Use_E5],,0,)</f>
        <v>Yes</v>
      </c>
      <c r="I489" s="5" t="str">
        <f>_xlfn.XLOOKUP(C489,Tab_Def_Flows[Flow_Name],Tab_Def_Flows[Use_E6],,0,)</f>
        <v>Yes</v>
      </c>
      <c r="J489" s="3"/>
      <c r="K489" s="3"/>
      <c r="L489" s="2" t="str">
        <f>'0_Configuration'!$C$41</f>
        <v>Mg</v>
      </c>
      <c r="M489" s="9"/>
      <c r="N489" s="9"/>
      <c r="O489" s="9"/>
      <c r="P489" s="9"/>
      <c r="Q489" s="18" t="s">
        <v>3</v>
      </c>
      <c r="R489" s="3"/>
      <c r="S489" s="3"/>
      <c r="T489" s="9"/>
      <c r="U489" s="9"/>
      <c r="V489" s="2">
        <f>_xlfn.XLOOKUP(Tab_Data_Flows[[#This Row],[Flow_Name]],Tab_Def_Flows[Flow_Name],Tab_Def_Flows[Flow_E1_Fraction'[%']],"N.A.",0,1)</f>
        <v>0</v>
      </c>
      <c r="W489" s="8">
        <f t="shared" si="15"/>
        <v>0</v>
      </c>
      <c r="X489" s="2" t="str">
        <f>Tab_Data_Flows[[#This Row],[UoM_Source]]</f>
        <v>Mg</v>
      </c>
      <c r="Y489" s="19">
        <f>_xlfn.XLOOKUP(Tab_Data_Flows[[#This Row],[Flow_Name]],Tab_Def_Flows[Flow_Name],Tab_Def_Flows[Flow_E2_Fraction'[%']],"N.A.",0,1)</f>
        <v>0</v>
      </c>
      <c r="Z489" s="2">
        <f>IF(D489="Yes",W489*Tab_Data_Flows[[#This Row],[E2_Fraction'[%']]],"N.A.")</f>
        <v>0</v>
      </c>
      <c r="AA489" s="2" t="str">
        <f>Tab_Data_Flows[[#This Row],[E1_UoM]]</f>
        <v>Mg</v>
      </c>
      <c r="AB489" s="19">
        <f>_xlfn.XLOOKUP(Tab_Data_Flows[[#This Row],[Flow_Name]],Tab_Def_Flows[Flow_Name],Tab_Def_Flows[Flow_E3_Fraction'[%']],"N.A.",0,1)</f>
        <v>0</v>
      </c>
      <c r="AC489" s="2">
        <f>IF(E489="Yes",AB489*Tab_Data_Flows[[#This Row],[E1_value]],"N.A.")</f>
        <v>0</v>
      </c>
      <c r="AD489" s="2" t="str">
        <f>Tab_Data_Flows[[#This Row],[E1_UoM]]</f>
        <v>Mg</v>
      </c>
      <c r="AE489" s="19">
        <f>_xlfn.XLOOKUP(Tab_Data_Flows[[#This Row],[Flow_Name]],Tab_Def_Flows[Flow_Name],Tab_Def_Flows[Flow_E4_Fraction'[%']],"N.A.",0,1)</f>
        <v>0</v>
      </c>
      <c r="AF489" s="2">
        <f>IF(H489="Yes",Tab_Data_Flows[[#This Row],[E4_Fraction'[%']]]*Tab_Data_Flows[[#This Row],[E1_value]],"N.A.")</f>
        <v>0</v>
      </c>
      <c r="AG489" s="2" t="str">
        <f>Tab_Data_Flows[[#This Row],[E1_UoM]]</f>
        <v>Mg</v>
      </c>
      <c r="AH489" s="2">
        <f>_xlfn.XLOOKUP(Tab_Data_Flows[[#This Row],[Flow_Name]],Tab_Def_Flows[Flow_Name],Tab_Def_Flows[Flow_E5_Fraction'[%']],"N.A.",0,1)</f>
        <v>0</v>
      </c>
      <c r="AI489" s="2">
        <f>IF(H489="Yes",Tab_Data_Flows[[#This Row],[E5_Fraction'[%']]]*Tab_Data_Flows[[#This Row],[E1_value]],"N.A.")</f>
        <v>0</v>
      </c>
      <c r="AJ489" s="2" t="str">
        <f>Tab_Data_Flows[[#This Row],[E1_UoM]]</f>
        <v>Mg</v>
      </c>
      <c r="AK489" s="19">
        <f>_xlfn.XLOOKUP(Tab_Data_Flows[[#This Row],[Flow_Name]],Tab_Def_Flows[Flow_Name],Tab_Def_Flows[Flow_E6_Fraction'[%']],"N.A.",0,1)</f>
        <v>0</v>
      </c>
      <c r="AL489" s="2">
        <f>IF(Tab_Data_Flows[[#This Row],[Use_E6]]="Yes",Tab_Data_Flows[[#This Row],[E6_Fraction'[%']]]*Tab_Data_Flows[[#This Row],[E1_value]],"N.A.")</f>
        <v>0</v>
      </c>
      <c r="AM489" s="2" t="str">
        <f>Tab_Data_Flows[[#This Row],[E1_UoM]]</f>
        <v>Mg</v>
      </c>
    </row>
    <row r="490" spans="1:39" x14ac:dyDescent="0.25">
      <c r="A490" s="4">
        <f t="shared" si="12"/>
        <v>489</v>
      </c>
      <c r="B490" s="2" t="str">
        <f>_xlfn.XLOOKUP(C490,Tab_Def_Flows[Flow_Name],Tab_Def_Flows[Flow_ID],,0,)</f>
        <v>F__</v>
      </c>
      <c r="C490" s="18" t="s">
        <v>5</v>
      </c>
      <c r="D490" s="5" t="str">
        <f>_xlfn.XLOOKUP(C490,Tab_Def_Flows[Flow_Name],Tab_Def_Flows[Use_E1],,0,)</f>
        <v>Yes</v>
      </c>
      <c r="E490" s="5" t="str">
        <f>_xlfn.XLOOKUP(C490,Tab_Def_Flows[Flow_Name],Tab_Def_Flows[Use_E2],,0,)</f>
        <v>Yes</v>
      </c>
      <c r="F490" s="5" t="str">
        <f>_xlfn.XLOOKUP(C490,Tab_Def_Flows[Flow_Name],Tab_Def_Flows[Use_E3],,0,)</f>
        <v>Yes</v>
      </c>
      <c r="G490" s="5" t="str">
        <f>_xlfn.XLOOKUP(C490,Tab_Def_Flows[Flow_Name],Tab_Def_Flows[Use_E4],,0,)</f>
        <v>Yes</v>
      </c>
      <c r="H490" s="5" t="str">
        <f>_xlfn.XLOOKUP(C490,Tab_Def_Flows[Flow_Name],Tab_Def_Flows[Use_E5],,0,)</f>
        <v>Yes</v>
      </c>
      <c r="I490" s="5" t="str">
        <f>_xlfn.XLOOKUP(C490,Tab_Def_Flows[Flow_Name],Tab_Def_Flows[Use_E6],,0,)</f>
        <v>Yes</v>
      </c>
      <c r="J490" s="3"/>
      <c r="K490" s="3"/>
      <c r="L490" s="2" t="str">
        <f>'0_Configuration'!$C$41</f>
        <v>Mg</v>
      </c>
      <c r="M490" s="9"/>
      <c r="N490" s="9"/>
      <c r="O490" s="9"/>
      <c r="P490" s="9"/>
      <c r="Q490" s="18" t="s">
        <v>3</v>
      </c>
      <c r="R490" s="3"/>
      <c r="S490" s="3"/>
      <c r="T490" s="9"/>
      <c r="U490" s="9"/>
      <c r="V490" s="2">
        <f>_xlfn.XLOOKUP(Tab_Data_Flows[[#This Row],[Flow_Name]],Tab_Def_Flows[Flow_Name],Tab_Def_Flows[Flow_E1_Fraction'[%']],"N.A.",0,1)</f>
        <v>0</v>
      </c>
      <c r="W490" s="8">
        <f t="shared" si="15"/>
        <v>0</v>
      </c>
      <c r="X490" s="2" t="str">
        <f>Tab_Data_Flows[[#This Row],[UoM_Source]]</f>
        <v>Mg</v>
      </c>
      <c r="Y490" s="19">
        <f>_xlfn.XLOOKUP(Tab_Data_Flows[[#This Row],[Flow_Name]],Tab_Def_Flows[Flow_Name],Tab_Def_Flows[Flow_E2_Fraction'[%']],"N.A.",0,1)</f>
        <v>0</v>
      </c>
      <c r="Z490" s="2">
        <f>IF(D490="Yes",W490*Tab_Data_Flows[[#This Row],[E2_Fraction'[%']]],"N.A.")</f>
        <v>0</v>
      </c>
      <c r="AA490" s="2" t="str">
        <f>Tab_Data_Flows[[#This Row],[E1_UoM]]</f>
        <v>Mg</v>
      </c>
      <c r="AB490" s="19">
        <f>_xlfn.XLOOKUP(Tab_Data_Flows[[#This Row],[Flow_Name]],Tab_Def_Flows[Flow_Name],Tab_Def_Flows[Flow_E3_Fraction'[%']],"N.A.",0,1)</f>
        <v>0</v>
      </c>
      <c r="AC490" s="2">
        <f>IF(E490="Yes",AB490*Tab_Data_Flows[[#This Row],[E1_value]],"N.A.")</f>
        <v>0</v>
      </c>
      <c r="AD490" s="2" t="str">
        <f>Tab_Data_Flows[[#This Row],[E1_UoM]]</f>
        <v>Mg</v>
      </c>
      <c r="AE490" s="19">
        <f>_xlfn.XLOOKUP(Tab_Data_Flows[[#This Row],[Flow_Name]],Tab_Def_Flows[Flow_Name],Tab_Def_Flows[Flow_E4_Fraction'[%']],"N.A.",0,1)</f>
        <v>0</v>
      </c>
      <c r="AF490" s="2">
        <f>IF(H490="Yes",Tab_Data_Flows[[#This Row],[E4_Fraction'[%']]]*Tab_Data_Flows[[#This Row],[E1_value]],"N.A.")</f>
        <v>0</v>
      </c>
      <c r="AG490" s="2" t="str">
        <f>Tab_Data_Flows[[#This Row],[E1_UoM]]</f>
        <v>Mg</v>
      </c>
      <c r="AH490" s="2">
        <f>_xlfn.XLOOKUP(Tab_Data_Flows[[#This Row],[Flow_Name]],Tab_Def_Flows[Flow_Name],Tab_Def_Flows[Flow_E5_Fraction'[%']],"N.A.",0,1)</f>
        <v>0</v>
      </c>
      <c r="AI490" s="2">
        <f>IF(H490="Yes",Tab_Data_Flows[[#This Row],[E5_Fraction'[%']]]*Tab_Data_Flows[[#This Row],[E1_value]],"N.A.")</f>
        <v>0</v>
      </c>
      <c r="AJ490" s="2" t="str">
        <f>Tab_Data_Flows[[#This Row],[E1_UoM]]</f>
        <v>Mg</v>
      </c>
      <c r="AK490" s="19">
        <f>_xlfn.XLOOKUP(Tab_Data_Flows[[#This Row],[Flow_Name]],Tab_Def_Flows[Flow_Name],Tab_Def_Flows[Flow_E6_Fraction'[%']],"N.A.",0,1)</f>
        <v>0</v>
      </c>
      <c r="AL490" s="2">
        <f>IF(Tab_Data_Flows[[#This Row],[Use_E6]]="Yes",Tab_Data_Flows[[#This Row],[E6_Fraction'[%']]]*Tab_Data_Flows[[#This Row],[E1_value]],"N.A.")</f>
        <v>0</v>
      </c>
      <c r="AM490" s="2" t="str">
        <f>Tab_Data_Flows[[#This Row],[E1_UoM]]</f>
        <v>Mg</v>
      </c>
    </row>
    <row r="491" spans="1:39" x14ac:dyDescent="0.25">
      <c r="A491" s="4">
        <f t="shared" si="12"/>
        <v>490</v>
      </c>
      <c r="B491" s="2" t="str">
        <f>_xlfn.XLOOKUP(C491,Tab_Def_Flows[Flow_Name],Tab_Def_Flows[Flow_ID],,0,)</f>
        <v>F__</v>
      </c>
      <c r="C491" s="18" t="s">
        <v>5</v>
      </c>
      <c r="D491" s="5" t="str">
        <f>_xlfn.XLOOKUP(C491,Tab_Def_Flows[Flow_Name],Tab_Def_Flows[Use_E1],,0,)</f>
        <v>Yes</v>
      </c>
      <c r="E491" s="5" t="str">
        <f>_xlfn.XLOOKUP(C491,Tab_Def_Flows[Flow_Name],Tab_Def_Flows[Use_E2],,0,)</f>
        <v>Yes</v>
      </c>
      <c r="F491" s="5" t="str">
        <f>_xlfn.XLOOKUP(C491,Tab_Def_Flows[Flow_Name],Tab_Def_Flows[Use_E3],,0,)</f>
        <v>Yes</v>
      </c>
      <c r="G491" s="5" t="str">
        <f>_xlfn.XLOOKUP(C491,Tab_Def_Flows[Flow_Name],Tab_Def_Flows[Use_E4],,0,)</f>
        <v>Yes</v>
      </c>
      <c r="H491" s="5" t="str">
        <f>_xlfn.XLOOKUP(C491,Tab_Def_Flows[Flow_Name],Tab_Def_Flows[Use_E5],,0,)</f>
        <v>Yes</v>
      </c>
      <c r="I491" s="5" t="str">
        <f>_xlfn.XLOOKUP(C491,Tab_Def_Flows[Flow_Name],Tab_Def_Flows[Use_E6],,0,)</f>
        <v>Yes</v>
      </c>
      <c r="J491" s="3"/>
      <c r="K491" s="3"/>
      <c r="L491" s="2" t="str">
        <f>'0_Configuration'!$C$41</f>
        <v>Mg</v>
      </c>
      <c r="M491" s="9"/>
      <c r="N491" s="9"/>
      <c r="O491" s="9"/>
      <c r="P491" s="9"/>
      <c r="Q491" s="18" t="s">
        <v>3</v>
      </c>
      <c r="R491" s="3"/>
      <c r="S491" s="3"/>
      <c r="T491" s="9"/>
      <c r="U491" s="9"/>
      <c r="V491" s="2">
        <f>_xlfn.XLOOKUP(Tab_Data_Flows[[#This Row],[Flow_Name]],Tab_Def_Flows[Flow_Name],Tab_Def_Flows[Flow_E1_Fraction'[%']],"N.A.",0,1)</f>
        <v>0</v>
      </c>
      <c r="W491" s="8">
        <f t="shared" si="15"/>
        <v>0</v>
      </c>
      <c r="X491" s="2" t="str">
        <f>Tab_Data_Flows[[#This Row],[UoM_Source]]</f>
        <v>Mg</v>
      </c>
      <c r="Y491" s="19">
        <f>_xlfn.XLOOKUP(Tab_Data_Flows[[#This Row],[Flow_Name]],Tab_Def_Flows[Flow_Name],Tab_Def_Flows[Flow_E2_Fraction'[%']],"N.A.",0,1)</f>
        <v>0</v>
      </c>
      <c r="Z491" s="2">
        <f>IF(D491="Yes",W491*Tab_Data_Flows[[#This Row],[E2_Fraction'[%']]],"N.A.")</f>
        <v>0</v>
      </c>
      <c r="AA491" s="2" t="str">
        <f>Tab_Data_Flows[[#This Row],[E1_UoM]]</f>
        <v>Mg</v>
      </c>
      <c r="AB491" s="19">
        <f>_xlfn.XLOOKUP(Tab_Data_Flows[[#This Row],[Flow_Name]],Tab_Def_Flows[Flow_Name],Tab_Def_Flows[Flow_E3_Fraction'[%']],"N.A.",0,1)</f>
        <v>0</v>
      </c>
      <c r="AC491" s="2">
        <f>IF(E491="Yes",AB491*Tab_Data_Flows[[#This Row],[E1_value]],"N.A.")</f>
        <v>0</v>
      </c>
      <c r="AD491" s="2" t="str">
        <f>Tab_Data_Flows[[#This Row],[E1_UoM]]</f>
        <v>Mg</v>
      </c>
      <c r="AE491" s="19">
        <f>_xlfn.XLOOKUP(Tab_Data_Flows[[#This Row],[Flow_Name]],Tab_Def_Flows[Flow_Name],Tab_Def_Flows[Flow_E4_Fraction'[%']],"N.A.",0,1)</f>
        <v>0</v>
      </c>
      <c r="AF491" s="2">
        <f>IF(H491="Yes",Tab_Data_Flows[[#This Row],[E4_Fraction'[%']]]*Tab_Data_Flows[[#This Row],[E1_value]],"N.A.")</f>
        <v>0</v>
      </c>
      <c r="AG491" s="2" t="str">
        <f>Tab_Data_Flows[[#This Row],[E1_UoM]]</f>
        <v>Mg</v>
      </c>
      <c r="AH491" s="2">
        <f>_xlfn.XLOOKUP(Tab_Data_Flows[[#This Row],[Flow_Name]],Tab_Def_Flows[Flow_Name],Tab_Def_Flows[Flow_E5_Fraction'[%']],"N.A.",0,1)</f>
        <v>0</v>
      </c>
      <c r="AI491" s="2">
        <f>IF(H491="Yes",Tab_Data_Flows[[#This Row],[E5_Fraction'[%']]]*Tab_Data_Flows[[#This Row],[E1_value]],"N.A.")</f>
        <v>0</v>
      </c>
      <c r="AJ491" s="2" t="str">
        <f>Tab_Data_Flows[[#This Row],[E1_UoM]]</f>
        <v>Mg</v>
      </c>
      <c r="AK491" s="19">
        <f>_xlfn.XLOOKUP(Tab_Data_Flows[[#This Row],[Flow_Name]],Tab_Def_Flows[Flow_Name],Tab_Def_Flows[Flow_E6_Fraction'[%']],"N.A.",0,1)</f>
        <v>0</v>
      </c>
      <c r="AL491" s="2">
        <f>IF(Tab_Data_Flows[[#This Row],[Use_E6]]="Yes",Tab_Data_Flows[[#This Row],[E6_Fraction'[%']]]*Tab_Data_Flows[[#This Row],[E1_value]],"N.A.")</f>
        <v>0</v>
      </c>
      <c r="AM491" s="2" t="str">
        <f>Tab_Data_Flows[[#This Row],[E1_UoM]]</f>
        <v>Mg</v>
      </c>
    </row>
    <row r="492" spans="1:39" x14ac:dyDescent="0.25">
      <c r="A492" s="4">
        <f t="shared" si="12"/>
        <v>491</v>
      </c>
      <c r="B492" s="2" t="str">
        <f>_xlfn.XLOOKUP(C492,Tab_Def_Flows[Flow_Name],Tab_Def_Flows[Flow_ID],,0,)</f>
        <v>F__</v>
      </c>
      <c r="C492" s="18" t="s">
        <v>5</v>
      </c>
      <c r="D492" s="5" t="str">
        <f>_xlfn.XLOOKUP(C492,Tab_Def_Flows[Flow_Name],Tab_Def_Flows[Use_E1],,0,)</f>
        <v>Yes</v>
      </c>
      <c r="E492" s="5" t="str">
        <f>_xlfn.XLOOKUP(C492,Tab_Def_Flows[Flow_Name],Tab_Def_Flows[Use_E2],,0,)</f>
        <v>Yes</v>
      </c>
      <c r="F492" s="5" t="str">
        <f>_xlfn.XLOOKUP(C492,Tab_Def_Flows[Flow_Name],Tab_Def_Flows[Use_E3],,0,)</f>
        <v>Yes</v>
      </c>
      <c r="G492" s="5" t="str">
        <f>_xlfn.XLOOKUP(C492,Tab_Def_Flows[Flow_Name],Tab_Def_Flows[Use_E4],,0,)</f>
        <v>Yes</v>
      </c>
      <c r="H492" s="5" t="str">
        <f>_xlfn.XLOOKUP(C492,Tab_Def_Flows[Flow_Name],Tab_Def_Flows[Use_E5],,0,)</f>
        <v>Yes</v>
      </c>
      <c r="I492" s="5" t="str">
        <f>_xlfn.XLOOKUP(C492,Tab_Def_Flows[Flow_Name],Tab_Def_Flows[Use_E6],,0,)</f>
        <v>Yes</v>
      </c>
      <c r="J492" s="3"/>
      <c r="K492" s="3"/>
      <c r="L492" s="2" t="str">
        <f>'0_Configuration'!$C$41</f>
        <v>Mg</v>
      </c>
      <c r="M492" s="9"/>
      <c r="N492" s="9"/>
      <c r="O492" s="9"/>
      <c r="P492" s="9"/>
      <c r="Q492" s="18" t="s">
        <v>3</v>
      </c>
      <c r="R492" s="3"/>
      <c r="S492" s="3"/>
      <c r="T492" s="9"/>
      <c r="U492" s="9"/>
      <c r="V492" s="2">
        <f>_xlfn.XLOOKUP(Tab_Data_Flows[[#This Row],[Flow_Name]],Tab_Def_Flows[Flow_Name],Tab_Def_Flows[Flow_E1_Fraction'[%']],"N.A.",0,1)</f>
        <v>0</v>
      </c>
      <c r="W492" s="8">
        <f t="shared" si="15"/>
        <v>0</v>
      </c>
      <c r="X492" s="2" t="str">
        <f>Tab_Data_Flows[[#This Row],[UoM_Source]]</f>
        <v>Mg</v>
      </c>
      <c r="Y492" s="19">
        <f>_xlfn.XLOOKUP(Tab_Data_Flows[[#This Row],[Flow_Name]],Tab_Def_Flows[Flow_Name],Tab_Def_Flows[Flow_E2_Fraction'[%']],"N.A.",0,1)</f>
        <v>0</v>
      </c>
      <c r="Z492" s="2">
        <f>IF(D492="Yes",W492*Tab_Data_Flows[[#This Row],[E2_Fraction'[%']]],"N.A.")</f>
        <v>0</v>
      </c>
      <c r="AA492" s="2" t="str">
        <f>Tab_Data_Flows[[#This Row],[E1_UoM]]</f>
        <v>Mg</v>
      </c>
      <c r="AB492" s="19">
        <f>_xlfn.XLOOKUP(Tab_Data_Flows[[#This Row],[Flow_Name]],Tab_Def_Flows[Flow_Name],Tab_Def_Flows[Flow_E3_Fraction'[%']],"N.A.",0,1)</f>
        <v>0</v>
      </c>
      <c r="AC492" s="2">
        <f>IF(E492="Yes",AB492*Tab_Data_Flows[[#This Row],[E1_value]],"N.A.")</f>
        <v>0</v>
      </c>
      <c r="AD492" s="2" t="str">
        <f>Tab_Data_Flows[[#This Row],[E1_UoM]]</f>
        <v>Mg</v>
      </c>
      <c r="AE492" s="19">
        <f>_xlfn.XLOOKUP(Tab_Data_Flows[[#This Row],[Flow_Name]],Tab_Def_Flows[Flow_Name],Tab_Def_Flows[Flow_E4_Fraction'[%']],"N.A.",0,1)</f>
        <v>0</v>
      </c>
      <c r="AF492" s="2">
        <f>IF(H492="Yes",Tab_Data_Flows[[#This Row],[E4_Fraction'[%']]]*Tab_Data_Flows[[#This Row],[E1_value]],"N.A.")</f>
        <v>0</v>
      </c>
      <c r="AG492" s="2" t="str">
        <f>Tab_Data_Flows[[#This Row],[E1_UoM]]</f>
        <v>Mg</v>
      </c>
      <c r="AH492" s="2">
        <f>_xlfn.XLOOKUP(Tab_Data_Flows[[#This Row],[Flow_Name]],Tab_Def_Flows[Flow_Name],Tab_Def_Flows[Flow_E5_Fraction'[%']],"N.A.",0,1)</f>
        <v>0</v>
      </c>
      <c r="AI492" s="2">
        <f>IF(H492="Yes",Tab_Data_Flows[[#This Row],[E5_Fraction'[%']]]*Tab_Data_Flows[[#This Row],[E1_value]],"N.A.")</f>
        <v>0</v>
      </c>
      <c r="AJ492" s="2" t="str">
        <f>Tab_Data_Flows[[#This Row],[E1_UoM]]</f>
        <v>Mg</v>
      </c>
      <c r="AK492" s="19">
        <f>_xlfn.XLOOKUP(Tab_Data_Flows[[#This Row],[Flow_Name]],Tab_Def_Flows[Flow_Name],Tab_Def_Flows[Flow_E6_Fraction'[%']],"N.A.",0,1)</f>
        <v>0</v>
      </c>
      <c r="AL492" s="2">
        <f>IF(Tab_Data_Flows[[#This Row],[Use_E6]]="Yes",Tab_Data_Flows[[#This Row],[E6_Fraction'[%']]]*Tab_Data_Flows[[#This Row],[E1_value]],"N.A.")</f>
        <v>0</v>
      </c>
      <c r="AM492" s="2" t="str">
        <f>Tab_Data_Flows[[#This Row],[E1_UoM]]</f>
        <v>Mg</v>
      </c>
    </row>
    <row r="493" spans="1:39" x14ac:dyDescent="0.25">
      <c r="A493" s="4">
        <f t="shared" si="12"/>
        <v>492</v>
      </c>
      <c r="B493" s="2" t="str">
        <f>_xlfn.XLOOKUP(C493,Tab_Def_Flows[Flow_Name],Tab_Def_Flows[Flow_ID],,0,)</f>
        <v>F__</v>
      </c>
      <c r="C493" s="18" t="s">
        <v>5</v>
      </c>
      <c r="D493" s="5" t="str">
        <f>_xlfn.XLOOKUP(C493,Tab_Def_Flows[Flow_Name],Tab_Def_Flows[Use_E1],,0,)</f>
        <v>Yes</v>
      </c>
      <c r="E493" s="5" t="str">
        <f>_xlfn.XLOOKUP(C493,Tab_Def_Flows[Flow_Name],Tab_Def_Flows[Use_E2],,0,)</f>
        <v>Yes</v>
      </c>
      <c r="F493" s="5" t="str">
        <f>_xlfn.XLOOKUP(C493,Tab_Def_Flows[Flow_Name],Tab_Def_Flows[Use_E3],,0,)</f>
        <v>Yes</v>
      </c>
      <c r="G493" s="5" t="str">
        <f>_xlfn.XLOOKUP(C493,Tab_Def_Flows[Flow_Name],Tab_Def_Flows[Use_E4],,0,)</f>
        <v>Yes</v>
      </c>
      <c r="H493" s="5" t="str">
        <f>_xlfn.XLOOKUP(C493,Tab_Def_Flows[Flow_Name],Tab_Def_Flows[Use_E5],,0,)</f>
        <v>Yes</v>
      </c>
      <c r="I493" s="5" t="str">
        <f>_xlfn.XLOOKUP(C493,Tab_Def_Flows[Flow_Name],Tab_Def_Flows[Use_E6],,0,)</f>
        <v>Yes</v>
      </c>
      <c r="J493" s="3"/>
      <c r="K493" s="3"/>
      <c r="L493" s="2" t="str">
        <f>'0_Configuration'!$C$41</f>
        <v>Mg</v>
      </c>
      <c r="M493" s="9"/>
      <c r="N493" s="9"/>
      <c r="O493" s="9"/>
      <c r="P493" s="9"/>
      <c r="Q493" s="18" t="s">
        <v>3</v>
      </c>
      <c r="R493" s="3"/>
      <c r="S493" s="3"/>
      <c r="T493" s="9"/>
      <c r="U493" s="9"/>
      <c r="V493" s="2">
        <f>_xlfn.XLOOKUP(Tab_Data_Flows[[#This Row],[Flow_Name]],Tab_Def_Flows[Flow_Name],Tab_Def_Flows[Flow_E1_Fraction'[%']],"N.A.",0,1)</f>
        <v>0</v>
      </c>
      <c r="W493" s="8">
        <f t="shared" si="15"/>
        <v>0</v>
      </c>
      <c r="X493" s="2" t="str">
        <f>Tab_Data_Flows[[#This Row],[UoM_Source]]</f>
        <v>Mg</v>
      </c>
      <c r="Y493" s="19">
        <f>_xlfn.XLOOKUP(Tab_Data_Flows[[#This Row],[Flow_Name]],Tab_Def_Flows[Flow_Name],Tab_Def_Flows[Flow_E2_Fraction'[%']],"N.A.",0,1)</f>
        <v>0</v>
      </c>
      <c r="Z493" s="2">
        <f>IF(D493="Yes",W493*Tab_Data_Flows[[#This Row],[E2_Fraction'[%']]],"N.A.")</f>
        <v>0</v>
      </c>
      <c r="AA493" s="2" t="str">
        <f>Tab_Data_Flows[[#This Row],[E1_UoM]]</f>
        <v>Mg</v>
      </c>
      <c r="AB493" s="19">
        <f>_xlfn.XLOOKUP(Tab_Data_Flows[[#This Row],[Flow_Name]],Tab_Def_Flows[Flow_Name],Tab_Def_Flows[Flow_E3_Fraction'[%']],"N.A.",0,1)</f>
        <v>0</v>
      </c>
      <c r="AC493" s="2">
        <f>IF(E493="Yes",AB493*Tab_Data_Flows[[#This Row],[E1_value]],"N.A.")</f>
        <v>0</v>
      </c>
      <c r="AD493" s="2" t="str">
        <f>Tab_Data_Flows[[#This Row],[E1_UoM]]</f>
        <v>Mg</v>
      </c>
      <c r="AE493" s="19">
        <f>_xlfn.XLOOKUP(Tab_Data_Flows[[#This Row],[Flow_Name]],Tab_Def_Flows[Flow_Name],Tab_Def_Flows[Flow_E4_Fraction'[%']],"N.A.",0,1)</f>
        <v>0</v>
      </c>
      <c r="AF493" s="2">
        <f>IF(H493="Yes",Tab_Data_Flows[[#This Row],[E4_Fraction'[%']]]*Tab_Data_Flows[[#This Row],[E1_value]],"N.A.")</f>
        <v>0</v>
      </c>
      <c r="AG493" s="2" t="str">
        <f>Tab_Data_Flows[[#This Row],[E1_UoM]]</f>
        <v>Mg</v>
      </c>
      <c r="AH493" s="2">
        <f>_xlfn.XLOOKUP(Tab_Data_Flows[[#This Row],[Flow_Name]],Tab_Def_Flows[Flow_Name],Tab_Def_Flows[Flow_E5_Fraction'[%']],"N.A.",0,1)</f>
        <v>0</v>
      </c>
      <c r="AI493" s="2">
        <f>IF(H493="Yes",Tab_Data_Flows[[#This Row],[E5_Fraction'[%']]]*Tab_Data_Flows[[#This Row],[E1_value]],"N.A.")</f>
        <v>0</v>
      </c>
      <c r="AJ493" s="2" t="str">
        <f>Tab_Data_Flows[[#This Row],[E1_UoM]]</f>
        <v>Mg</v>
      </c>
      <c r="AK493" s="19">
        <f>_xlfn.XLOOKUP(Tab_Data_Flows[[#This Row],[Flow_Name]],Tab_Def_Flows[Flow_Name],Tab_Def_Flows[Flow_E6_Fraction'[%']],"N.A.",0,1)</f>
        <v>0</v>
      </c>
      <c r="AL493" s="2">
        <f>IF(Tab_Data_Flows[[#This Row],[Use_E6]]="Yes",Tab_Data_Flows[[#This Row],[E6_Fraction'[%']]]*Tab_Data_Flows[[#This Row],[E1_value]],"N.A.")</f>
        <v>0</v>
      </c>
      <c r="AM493" s="2" t="str">
        <f>Tab_Data_Flows[[#This Row],[E1_UoM]]</f>
        <v>Mg</v>
      </c>
    </row>
    <row r="494" spans="1:39" x14ac:dyDescent="0.25">
      <c r="A494" s="4">
        <f t="shared" si="12"/>
        <v>493</v>
      </c>
      <c r="B494" s="2" t="str">
        <f>_xlfn.XLOOKUP(C494,Tab_Def_Flows[Flow_Name],Tab_Def_Flows[Flow_ID],,0,)</f>
        <v>F__</v>
      </c>
      <c r="C494" s="18" t="s">
        <v>5</v>
      </c>
      <c r="D494" s="5" t="str">
        <f>_xlfn.XLOOKUP(C494,Tab_Def_Flows[Flow_Name],Tab_Def_Flows[Use_E1],,0,)</f>
        <v>Yes</v>
      </c>
      <c r="E494" s="5" t="str">
        <f>_xlfn.XLOOKUP(C494,Tab_Def_Flows[Flow_Name],Tab_Def_Flows[Use_E2],,0,)</f>
        <v>Yes</v>
      </c>
      <c r="F494" s="5" t="str">
        <f>_xlfn.XLOOKUP(C494,Tab_Def_Flows[Flow_Name],Tab_Def_Flows[Use_E3],,0,)</f>
        <v>Yes</v>
      </c>
      <c r="G494" s="5" t="str">
        <f>_xlfn.XLOOKUP(C494,Tab_Def_Flows[Flow_Name],Tab_Def_Flows[Use_E4],,0,)</f>
        <v>Yes</v>
      </c>
      <c r="H494" s="5" t="str">
        <f>_xlfn.XLOOKUP(C494,Tab_Def_Flows[Flow_Name],Tab_Def_Flows[Use_E5],,0,)</f>
        <v>Yes</v>
      </c>
      <c r="I494" s="5" t="str">
        <f>_xlfn.XLOOKUP(C494,Tab_Def_Flows[Flow_Name],Tab_Def_Flows[Use_E6],,0,)</f>
        <v>Yes</v>
      </c>
      <c r="J494" s="3"/>
      <c r="K494" s="3"/>
      <c r="L494" s="2" t="str">
        <f>'0_Configuration'!$C$41</f>
        <v>Mg</v>
      </c>
      <c r="M494" s="9"/>
      <c r="N494" s="9"/>
      <c r="O494" s="9"/>
      <c r="P494" s="9"/>
      <c r="Q494" s="18" t="s">
        <v>3</v>
      </c>
      <c r="R494" s="3"/>
      <c r="S494" s="3"/>
      <c r="T494" s="9"/>
      <c r="U494" s="9"/>
      <c r="V494" s="2">
        <f>_xlfn.XLOOKUP(Tab_Data_Flows[[#This Row],[Flow_Name]],Tab_Def_Flows[Flow_Name],Tab_Def_Flows[Flow_E1_Fraction'[%']],"N.A.",0,1)</f>
        <v>0</v>
      </c>
      <c r="W494" s="8">
        <f t="shared" si="15"/>
        <v>0</v>
      </c>
      <c r="X494" s="2" t="str">
        <f>Tab_Data_Flows[[#This Row],[UoM_Source]]</f>
        <v>Mg</v>
      </c>
      <c r="Y494" s="19">
        <f>_xlfn.XLOOKUP(Tab_Data_Flows[[#This Row],[Flow_Name]],Tab_Def_Flows[Flow_Name],Tab_Def_Flows[Flow_E2_Fraction'[%']],"N.A.",0,1)</f>
        <v>0</v>
      </c>
      <c r="Z494" s="2">
        <f>IF(D494="Yes",W494*Tab_Data_Flows[[#This Row],[E2_Fraction'[%']]],"N.A.")</f>
        <v>0</v>
      </c>
      <c r="AA494" s="2" t="str">
        <f>Tab_Data_Flows[[#This Row],[E1_UoM]]</f>
        <v>Mg</v>
      </c>
      <c r="AB494" s="19">
        <f>_xlfn.XLOOKUP(Tab_Data_Flows[[#This Row],[Flow_Name]],Tab_Def_Flows[Flow_Name],Tab_Def_Flows[Flow_E3_Fraction'[%']],"N.A.",0,1)</f>
        <v>0</v>
      </c>
      <c r="AC494" s="2">
        <f>IF(E494="Yes",AB494*Tab_Data_Flows[[#This Row],[E1_value]],"N.A.")</f>
        <v>0</v>
      </c>
      <c r="AD494" s="2" t="str">
        <f>Tab_Data_Flows[[#This Row],[E1_UoM]]</f>
        <v>Mg</v>
      </c>
      <c r="AE494" s="19">
        <f>_xlfn.XLOOKUP(Tab_Data_Flows[[#This Row],[Flow_Name]],Tab_Def_Flows[Flow_Name],Tab_Def_Flows[Flow_E4_Fraction'[%']],"N.A.",0,1)</f>
        <v>0</v>
      </c>
      <c r="AF494" s="2">
        <f>IF(H494="Yes",Tab_Data_Flows[[#This Row],[E4_Fraction'[%']]]*Tab_Data_Flows[[#This Row],[E1_value]],"N.A.")</f>
        <v>0</v>
      </c>
      <c r="AG494" s="2" t="str">
        <f>Tab_Data_Flows[[#This Row],[E1_UoM]]</f>
        <v>Mg</v>
      </c>
      <c r="AH494" s="2">
        <f>_xlfn.XLOOKUP(Tab_Data_Flows[[#This Row],[Flow_Name]],Tab_Def_Flows[Flow_Name],Tab_Def_Flows[Flow_E5_Fraction'[%']],"N.A.",0,1)</f>
        <v>0</v>
      </c>
      <c r="AI494" s="2">
        <f>IF(H494="Yes",Tab_Data_Flows[[#This Row],[E5_Fraction'[%']]]*Tab_Data_Flows[[#This Row],[E1_value]],"N.A.")</f>
        <v>0</v>
      </c>
      <c r="AJ494" s="2" t="str">
        <f>Tab_Data_Flows[[#This Row],[E1_UoM]]</f>
        <v>Mg</v>
      </c>
      <c r="AK494" s="19">
        <f>_xlfn.XLOOKUP(Tab_Data_Flows[[#This Row],[Flow_Name]],Tab_Def_Flows[Flow_Name],Tab_Def_Flows[Flow_E6_Fraction'[%']],"N.A.",0,1)</f>
        <v>0</v>
      </c>
      <c r="AL494" s="2">
        <f>IF(Tab_Data_Flows[[#This Row],[Use_E6]]="Yes",Tab_Data_Flows[[#This Row],[E6_Fraction'[%']]]*Tab_Data_Flows[[#This Row],[E1_value]],"N.A.")</f>
        <v>0</v>
      </c>
      <c r="AM494" s="2" t="str">
        <f>Tab_Data_Flows[[#This Row],[E1_UoM]]</f>
        <v>Mg</v>
      </c>
    </row>
    <row r="495" spans="1:39" x14ac:dyDescent="0.25">
      <c r="A495" s="4">
        <f t="shared" si="12"/>
        <v>494</v>
      </c>
      <c r="B495" s="2" t="str">
        <f>_xlfn.XLOOKUP(C495,Tab_Def_Flows[Flow_Name],Tab_Def_Flows[Flow_ID],,0,)</f>
        <v>F__</v>
      </c>
      <c r="C495" s="18" t="s">
        <v>5</v>
      </c>
      <c r="D495" s="5" t="str">
        <f>_xlfn.XLOOKUP(C495,Tab_Def_Flows[Flow_Name],Tab_Def_Flows[Use_E1],,0,)</f>
        <v>Yes</v>
      </c>
      <c r="E495" s="5" t="str">
        <f>_xlfn.XLOOKUP(C495,Tab_Def_Flows[Flow_Name],Tab_Def_Flows[Use_E2],,0,)</f>
        <v>Yes</v>
      </c>
      <c r="F495" s="5" t="str">
        <f>_xlfn.XLOOKUP(C495,Tab_Def_Flows[Flow_Name],Tab_Def_Flows[Use_E3],,0,)</f>
        <v>Yes</v>
      </c>
      <c r="G495" s="5" t="str">
        <f>_xlfn.XLOOKUP(C495,Tab_Def_Flows[Flow_Name],Tab_Def_Flows[Use_E4],,0,)</f>
        <v>Yes</v>
      </c>
      <c r="H495" s="5" t="str">
        <f>_xlfn.XLOOKUP(C495,Tab_Def_Flows[Flow_Name],Tab_Def_Flows[Use_E5],,0,)</f>
        <v>Yes</v>
      </c>
      <c r="I495" s="5" t="str">
        <f>_xlfn.XLOOKUP(C495,Tab_Def_Flows[Flow_Name],Tab_Def_Flows[Use_E6],,0,)</f>
        <v>Yes</v>
      </c>
      <c r="J495" s="3"/>
      <c r="K495" s="3"/>
      <c r="L495" s="2" t="str">
        <f>'0_Configuration'!$C$41</f>
        <v>Mg</v>
      </c>
      <c r="M495" s="9"/>
      <c r="N495" s="9"/>
      <c r="O495" s="9"/>
      <c r="P495" s="9"/>
      <c r="Q495" s="18" t="s">
        <v>3</v>
      </c>
      <c r="R495" s="3"/>
      <c r="S495" s="3"/>
      <c r="T495" s="9"/>
      <c r="U495" s="9"/>
      <c r="V495" s="2">
        <f>_xlfn.XLOOKUP(Tab_Data_Flows[[#This Row],[Flow_Name]],Tab_Def_Flows[Flow_Name],Tab_Def_Flows[Flow_E1_Fraction'[%']],"N.A.",0,1)</f>
        <v>0</v>
      </c>
      <c r="W495" s="8">
        <f t="shared" ref="W495:W558" si="16">IF(Q495="no",K495,K495*R495)</f>
        <v>0</v>
      </c>
      <c r="X495" s="2" t="str">
        <f>Tab_Data_Flows[[#This Row],[UoM_Source]]</f>
        <v>Mg</v>
      </c>
      <c r="Y495" s="19">
        <f>_xlfn.XLOOKUP(Tab_Data_Flows[[#This Row],[Flow_Name]],Tab_Def_Flows[Flow_Name],Tab_Def_Flows[Flow_E2_Fraction'[%']],"N.A.",0,1)</f>
        <v>0</v>
      </c>
      <c r="Z495" s="2">
        <f>IF(D495="Yes",W495*Tab_Data_Flows[[#This Row],[E2_Fraction'[%']]],"N.A.")</f>
        <v>0</v>
      </c>
      <c r="AA495" s="2" t="str">
        <f>Tab_Data_Flows[[#This Row],[E1_UoM]]</f>
        <v>Mg</v>
      </c>
      <c r="AB495" s="19">
        <f>_xlfn.XLOOKUP(Tab_Data_Flows[[#This Row],[Flow_Name]],Tab_Def_Flows[Flow_Name],Tab_Def_Flows[Flow_E3_Fraction'[%']],"N.A.",0,1)</f>
        <v>0</v>
      </c>
      <c r="AC495" s="2">
        <f>IF(E495="Yes",AB495*Tab_Data_Flows[[#This Row],[E1_value]],"N.A.")</f>
        <v>0</v>
      </c>
      <c r="AD495" s="2" t="str">
        <f>Tab_Data_Flows[[#This Row],[E1_UoM]]</f>
        <v>Mg</v>
      </c>
      <c r="AE495" s="19">
        <f>_xlfn.XLOOKUP(Tab_Data_Flows[[#This Row],[Flow_Name]],Tab_Def_Flows[Flow_Name],Tab_Def_Flows[Flow_E4_Fraction'[%']],"N.A.",0,1)</f>
        <v>0</v>
      </c>
      <c r="AF495" s="2">
        <f>IF(H495="Yes",Tab_Data_Flows[[#This Row],[E4_Fraction'[%']]]*Tab_Data_Flows[[#This Row],[E1_value]],"N.A.")</f>
        <v>0</v>
      </c>
      <c r="AG495" s="2" t="str">
        <f>Tab_Data_Flows[[#This Row],[E1_UoM]]</f>
        <v>Mg</v>
      </c>
      <c r="AH495" s="2">
        <f>_xlfn.XLOOKUP(Tab_Data_Flows[[#This Row],[Flow_Name]],Tab_Def_Flows[Flow_Name],Tab_Def_Flows[Flow_E5_Fraction'[%']],"N.A.",0,1)</f>
        <v>0</v>
      </c>
      <c r="AI495" s="2">
        <f>IF(H495="Yes",Tab_Data_Flows[[#This Row],[E5_Fraction'[%']]]*Tab_Data_Flows[[#This Row],[E1_value]],"N.A.")</f>
        <v>0</v>
      </c>
      <c r="AJ495" s="2" t="str">
        <f>Tab_Data_Flows[[#This Row],[E1_UoM]]</f>
        <v>Mg</v>
      </c>
      <c r="AK495" s="19">
        <f>_xlfn.XLOOKUP(Tab_Data_Flows[[#This Row],[Flow_Name]],Tab_Def_Flows[Flow_Name],Tab_Def_Flows[Flow_E6_Fraction'[%']],"N.A.",0,1)</f>
        <v>0</v>
      </c>
      <c r="AL495" s="2">
        <f>IF(Tab_Data_Flows[[#This Row],[Use_E6]]="Yes",Tab_Data_Flows[[#This Row],[E6_Fraction'[%']]]*Tab_Data_Flows[[#This Row],[E1_value]],"N.A.")</f>
        <v>0</v>
      </c>
      <c r="AM495" s="2" t="str">
        <f>Tab_Data_Flows[[#This Row],[E1_UoM]]</f>
        <v>Mg</v>
      </c>
    </row>
    <row r="496" spans="1:39" x14ac:dyDescent="0.25">
      <c r="A496" s="4">
        <f t="shared" si="12"/>
        <v>495</v>
      </c>
      <c r="B496" s="2" t="str">
        <f>_xlfn.XLOOKUP(C496,Tab_Def_Flows[Flow_Name],Tab_Def_Flows[Flow_ID],,0,)</f>
        <v>F__</v>
      </c>
      <c r="C496" s="18" t="s">
        <v>5</v>
      </c>
      <c r="D496" s="5" t="str">
        <f>_xlfn.XLOOKUP(C496,Tab_Def_Flows[Flow_Name],Tab_Def_Flows[Use_E1],,0,)</f>
        <v>Yes</v>
      </c>
      <c r="E496" s="5" t="str">
        <f>_xlfn.XLOOKUP(C496,Tab_Def_Flows[Flow_Name],Tab_Def_Flows[Use_E2],,0,)</f>
        <v>Yes</v>
      </c>
      <c r="F496" s="5" t="str">
        <f>_xlfn.XLOOKUP(C496,Tab_Def_Flows[Flow_Name],Tab_Def_Flows[Use_E3],,0,)</f>
        <v>Yes</v>
      </c>
      <c r="G496" s="5" t="str">
        <f>_xlfn.XLOOKUP(C496,Tab_Def_Flows[Flow_Name],Tab_Def_Flows[Use_E4],,0,)</f>
        <v>Yes</v>
      </c>
      <c r="H496" s="5" t="str">
        <f>_xlfn.XLOOKUP(C496,Tab_Def_Flows[Flow_Name],Tab_Def_Flows[Use_E5],,0,)</f>
        <v>Yes</v>
      </c>
      <c r="I496" s="5" t="str">
        <f>_xlfn.XLOOKUP(C496,Tab_Def_Flows[Flow_Name],Tab_Def_Flows[Use_E6],,0,)</f>
        <v>Yes</v>
      </c>
      <c r="J496" s="3"/>
      <c r="K496" s="3"/>
      <c r="L496" s="2" t="str">
        <f>'0_Configuration'!$C$41</f>
        <v>Mg</v>
      </c>
      <c r="M496" s="9"/>
      <c r="N496" s="9"/>
      <c r="O496" s="9"/>
      <c r="P496" s="9"/>
      <c r="Q496" s="18" t="s">
        <v>3</v>
      </c>
      <c r="R496" s="3"/>
      <c r="S496" s="3"/>
      <c r="T496" s="9"/>
      <c r="U496" s="9"/>
      <c r="V496" s="2">
        <f>_xlfn.XLOOKUP(Tab_Data_Flows[[#This Row],[Flow_Name]],Tab_Def_Flows[Flow_Name],Tab_Def_Flows[Flow_E1_Fraction'[%']],"N.A.",0,1)</f>
        <v>0</v>
      </c>
      <c r="W496" s="8">
        <f t="shared" si="16"/>
        <v>0</v>
      </c>
      <c r="X496" s="2" t="str">
        <f>Tab_Data_Flows[[#This Row],[UoM_Source]]</f>
        <v>Mg</v>
      </c>
      <c r="Y496" s="19">
        <f>_xlfn.XLOOKUP(Tab_Data_Flows[[#This Row],[Flow_Name]],Tab_Def_Flows[Flow_Name],Tab_Def_Flows[Flow_E2_Fraction'[%']],"N.A.",0,1)</f>
        <v>0</v>
      </c>
      <c r="Z496" s="2">
        <f>IF(D496="Yes",W496*Tab_Data_Flows[[#This Row],[E2_Fraction'[%']]],"N.A.")</f>
        <v>0</v>
      </c>
      <c r="AA496" s="2" t="str">
        <f>Tab_Data_Flows[[#This Row],[E1_UoM]]</f>
        <v>Mg</v>
      </c>
      <c r="AB496" s="19">
        <f>_xlfn.XLOOKUP(Tab_Data_Flows[[#This Row],[Flow_Name]],Tab_Def_Flows[Flow_Name],Tab_Def_Flows[Flow_E3_Fraction'[%']],"N.A.",0,1)</f>
        <v>0</v>
      </c>
      <c r="AC496" s="2">
        <f>IF(E496="Yes",AB496*Tab_Data_Flows[[#This Row],[E1_value]],"N.A.")</f>
        <v>0</v>
      </c>
      <c r="AD496" s="2" t="str">
        <f>Tab_Data_Flows[[#This Row],[E1_UoM]]</f>
        <v>Mg</v>
      </c>
      <c r="AE496" s="19">
        <f>_xlfn.XLOOKUP(Tab_Data_Flows[[#This Row],[Flow_Name]],Tab_Def_Flows[Flow_Name],Tab_Def_Flows[Flow_E4_Fraction'[%']],"N.A.",0,1)</f>
        <v>0</v>
      </c>
      <c r="AF496" s="2">
        <f>IF(H496="Yes",Tab_Data_Flows[[#This Row],[E4_Fraction'[%']]]*Tab_Data_Flows[[#This Row],[E1_value]],"N.A.")</f>
        <v>0</v>
      </c>
      <c r="AG496" s="2" t="str">
        <f>Tab_Data_Flows[[#This Row],[E1_UoM]]</f>
        <v>Mg</v>
      </c>
      <c r="AH496" s="2">
        <f>_xlfn.XLOOKUP(Tab_Data_Flows[[#This Row],[Flow_Name]],Tab_Def_Flows[Flow_Name],Tab_Def_Flows[Flow_E5_Fraction'[%']],"N.A.",0,1)</f>
        <v>0</v>
      </c>
      <c r="AI496" s="2">
        <f>IF(H496="Yes",Tab_Data_Flows[[#This Row],[E5_Fraction'[%']]]*Tab_Data_Flows[[#This Row],[E1_value]],"N.A.")</f>
        <v>0</v>
      </c>
      <c r="AJ496" s="2" t="str">
        <f>Tab_Data_Flows[[#This Row],[E1_UoM]]</f>
        <v>Mg</v>
      </c>
      <c r="AK496" s="19">
        <f>_xlfn.XLOOKUP(Tab_Data_Flows[[#This Row],[Flow_Name]],Tab_Def_Flows[Flow_Name],Tab_Def_Flows[Flow_E6_Fraction'[%']],"N.A.",0,1)</f>
        <v>0</v>
      </c>
      <c r="AL496" s="2">
        <f>IF(Tab_Data_Flows[[#This Row],[Use_E6]]="Yes",Tab_Data_Flows[[#This Row],[E6_Fraction'[%']]]*Tab_Data_Flows[[#This Row],[E1_value]],"N.A.")</f>
        <v>0</v>
      </c>
      <c r="AM496" s="2" t="str">
        <f>Tab_Data_Flows[[#This Row],[E1_UoM]]</f>
        <v>Mg</v>
      </c>
    </row>
    <row r="497" spans="1:39" x14ac:dyDescent="0.25">
      <c r="A497" s="4">
        <f t="shared" si="12"/>
        <v>496</v>
      </c>
      <c r="B497" s="2" t="str">
        <f>_xlfn.XLOOKUP(C497,Tab_Def_Flows[Flow_Name],Tab_Def_Flows[Flow_ID],,0,)</f>
        <v>F__</v>
      </c>
      <c r="C497" s="18" t="s">
        <v>5</v>
      </c>
      <c r="D497" s="5" t="str">
        <f>_xlfn.XLOOKUP(C497,Tab_Def_Flows[Flow_Name],Tab_Def_Flows[Use_E1],,0,)</f>
        <v>Yes</v>
      </c>
      <c r="E497" s="5" t="str">
        <f>_xlfn.XLOOKUP(C497,Tab_Def_Flows[Flow_Name],Tab_Def_Flows[Use_E2],,0,)</f>
        <v>Yes</v>
      </c>
      <c r="F497" s="5" t="str">
        <f>_xlfn.XLOOKUP(C497,Tab_Def_Flows[Flow_Name],Tab_Def_Flows[Use_E3],,0,)</f>
        <v>Yes</v>
      </c>
      <c r="G497" s="5" t="str">
        <f>_xlfn.XLOOKUP(C497,Tab_Def_Flows[Flow_Name],Tab_Def_Flows[Use_E4],,0,)</f>
        <v>Yes</v>
      </c>
      <c r="H497" s="5" t="str">
        <f>_xlfn.XLOOKUP(C497,Tab_Def_Flows[Flow_Name],Tab_Def_Flows[Use_E5],,0,)</f>
        <v>Yes</v>
      </c>
      <c r="I497" s="5" t="str">
        <f>_xlfn.XLOOKUP(C497,Tab_Def_Flows[Flow_Name],Tab_Def_Flows[Use_E6],,0,)</f>
        <v>Yes</v>
      </c>
      <c r="J497" s="3"/>
      <c r="K497" s="3"/>
      <c r="L497" s="2" t="str">
        <f>'0_Configuration'!$C$41</f>
        <v>Mg</v>
      </c>
      <c r="M497" s="9"/>
      <c r="N497" s="9"/>
      <c r="O497" s="9"/>
      <c r="P497" s="9"/>
      <c r="Q497" s="18" t="s">
        <v>3</v>
      </c>
      <c r="R497" s="3"/>
      <c r="S497" s="3"/>
      <c r="T497" s="9"/>
      <c r="U497" s="9"/>
      <c r="V497" s="2">
        <f>_xlfn.XLOOKUP(Tab_Data_Flows[[#This Row],[Flow_Name]],Tab_Def_Flows[Flow_Name],Tab_Def_Flows[Flow_E1_Fraction'[%']],"N.A.",0,1)</f>
        <v>0</v>
      </c>
      <c r="W497" s="8">
        <f t="shared" si="16"/>
        <v>0</v>
      </c>
      <c r="X497" s="2" t="str">
        <f>Tab_Data_Flows[[#This Row],[UoM_Source]]</f>
        <v>Mg</v>
      </c>
      <c r="Y497" s="19">
        <f>_xlfn.XLOOKUP(Tab_Data_Flows[[#This Row],[Flow_Name]],Tab_Def_Flows[Flow_Name],Tab_Def_Flows[Flow_E2_Fraction'[%']],"N.A.",0,1)</f>
        <v>0</v>
      </c>
      <c r="Z497" s="2">
        <f>IF(D497="Yes",W497*Tab_Data_Flows[[#This Row],[E2_Fraction'[%']]],"N.A.")</f>
        <v>0</v>
      </c>
      <c r="AA497" s="2" t="str">
        <f>Tab_Data_Flows[[#This Row],[E1_UoM]]</f>
        <v>Mg</v>
      </c>
      <c r="AB497" s="19">
        <f>_xlfn.XLOOKUP(Tab_Data_Flows[[#This Row],[Flow_Name]],Tab_Def_Flows[Flow_Name],Tab_Def_Flows[Flow_E3_Fraction'[%']],"N.A.",0,1)</f>
        <v>0</v>
      </c>
      <c r="AC497" s="2">
        <f>IF(E497="Yes",AB497*Tab_Data_Flows[[#This Row],[E1_value]],"N.A.")</f>
        <v>0</v>
      </c>
      <c r="AD497" s="2" t="str">
        <f>Tab_Data_Flows[[#This Row],[E1_UoM]]</f>
        <v>Mg</v>
      </c>
      <c r="AE497" s="19">
        <f>_xlfn.XLOOKUP(Tab_Data_Flows[[#This Row],[Flow_Name]],Tab_Def_Flows[Flow_Name],Tab_Def_Flows[Flow_E4_Fraction'[%']],"N.A.",0,1)</f>
        <v>0</v>
      </c>
      <c r="AF497" s="2">
        <f>IF(H497="Yes",Tab_Data_Flows[[#This Row],[E4_Fraction'[%']]]*Tab_Data_Flows[[#This Row],[E1_value]],"N.A.")</f>
        <v>0</v>
      </c>
      <c r="AG497" s="2" t="str">
        <f>Tab_Data_Flows[[#This Row],[E1_UoM]]</f>
        <v>Mg</v>
      </c>
      <c r="AH497" s="2">
        <f>_xlfn.XLOOKUP(Tab_Data_Flows[[#This Row],[Flow_Name]],Tab_Def_Flows[Flow_Name],Tab_Def_Flows[Flow_E5_Fraction'[%']],"N.A.",0,1)</f>
        <v>0</v>
      </c>
      <c r="AI497" s="2">
        <f>IF(H497="Yes",Tab_Data_Flows[[#This Row],[E5_Fraction'[%']]]*Tab_Data_Flows[[#This Row],[E1_value]],"N.A.")</f>
        <v>0</v>
      </c>
      <c r="AJ497" s="2" t="str">
        <f>Tab_Data_Flows[[#This Row],[E1_UoM]]</f>
        <v>Mg</v>
      </c>
      <c r="AK497" s="19">
        <f>_xlfn.XLOOKUP(Tab_Data_Flows[[#This Row],[Flow_Name]],Tab_Def_Flows[Flow_Name],Tab_Def_Flows[Flow_E6_Fraction'[%']],"N.A.",0,1)</f>
        <v>0</v>
      </c>
      <c r="AL497" s="2">
        <f>IF(Tab_Data_Flows[[#This Row],[Use_E6]]="Yes",Tab_Data_Flows[[#This Row],[E6_Fraction'[%']]]*Tab_Data_Flows[[#This Row],[E1_value]],"N.A.")</f>
        <v>0</v>
      </c>
      <c r="AM497" s="2" t="str">
        <f>Tab_Data_Flows[[#This Row],[E1_UoM]]</f>
        <v>Mg</v>
      </c>
    </row>
    <row r="498" spans="1:39" x14ac:dyDescent="0.25">
      <c r="A498" s="4">
        <f t="shared" si="12"/>
        <v>497</v>
      </c>
      <c r="B498" s="2" t="str">
        <f>_xlfn.XLOOKUP(C498,Tab_Def_Flows[Flow_Name],Tab_Def_Flows[Flow_ID],,0,)</f>
        <v>F__</v>
      </c>
      <c r="C498" s="18" t="s">
        <v>5</v>
      </c>
      <c r="D498" s="5" t="str">
        <f>_xlfn.XLOOKUP(C498,Tab_Def_Flows[Flow_Name],Tab_Def_Flows[Use_E1],,0,)</f>
        <v>Yes</v>
      </c>
      <c r="E498" s="5" t="str">
        <f>_xlfn.XLOOKUP(C498,Tab_Def_Flows[Flow_Name],Tab_Def_Flows[Use_E2],,0,)</f>
        <v>Yes</v>
      </c>
      <c r="F498" s="5" t="str">
        <f>_xlfn.XLOOKUP(C498,Tab_Def_Flows[Flow_Name],Tab_Def_Flows[Use_E3],,0,)</f>
        <v>Yes</v>
      </c>
      <c r="G498" s="5" t="str">
        <f>_xlfn.XLOOKUP(C498,Tab_Def_Flows[Flow_Name],Tab_Def_Flows[Use_E4],,0,)</f>
        <v>Yes</v>
      </c>
      <c r="H498" s="5" t="str">
        <f>_xlfn.XLOOKUP(C498,Tab_Def_Flows[Flow_Name],Tab_Def_Flows[Use_E5],,0,)</f>
        <v>Yes</v>
      </c>
      <c r="I498" s="5" t="str">
        <f>_xlfn.XLOOKUP(C498,Tab_Def_Flows[Flow_Name],Tab_Def_Flows[Use_E6],,0,)</f>
        <v>Yes</v>
      </c>
      <c r="J498" s="3"/>
      <c r="K498" s="3"/>
      <c r="L498" s="2" t="str">
        <f>'0_Configuration'!$C$41</f>
        <v>Mg</v>
      </c>
      <c r="M498" s="9"/>
      <c r="N498" s="9"/>
      <c r="O498" s="9"/>
      <c r="P498" s="9"/>
      <c r="Q498" s="18" t="s">
        <v>3</v>
      </c>
      <c r="R498" s="3"/>
      <c r="S498" s="3"/>
      <c r="T498" s="9"/>
      <c r="U498" s="9"/>
      <c r="V498" s="2">
        <f>_xlfn.XLOOKUP(Tab_Data_Flows[[#This Row],[Flow_Name]],Tab_Def_Flows[Flow_Name],Tab_Def_Flows[Flow_E1_Fraction'[%']],"N.A.",0,1)</f>
        <v>0</v>
      </c>
      <c r="W498" s="8">
        <f t="shared" si="16"/>
        <v>0</v>
      </c>
      <c r="X498" s="2" t="str">
        <f>Tab_Data_Flows[[#This Row],[UoM_Source]]</f>
        <v>Mg</v>
      </c>
      <c r="Y498" s="19">
        <f>_xlfn.XLOOKUP(Tab_Data_Flows[[#This Row],[Flow_Name]],Tab_Def_Flows[Flow_Name],Tab_Def_Flows[Flow_E2_Fraction'[%']],"N.A.",0,1)</f>
        <v>0</v>
      </c>
      <c r="Z498" s="2">
        <f>IF(D498="Yes",W498*Tab_Data_Flows[[#This Row],[E2_Fraction'[%']]],"N.A.")</f>
        <v>0</v>
      </c>
      <c r="AA498" s="2" t="str">
        <f>Tab_Data_Flows[[#This Row],[E1_UoM]]</f>
        <v>Mg</v>
      </c>
      <c r="AB498" s="19">
        <f>_xlfn.XLOOKUP(Tab_Data_Flows[[#This Row],[Flow_Name]],Tab_Def_Flows[Flow_Name],Tab_Def_Flows[Flow_E3_Fraction'[%']],"N.A.",0,1)</f>
        <v>0</v>
      </c>
      <c r="AC498" s="2">
        <f>IF(E498="Yes",AB498*Tab_Data_Flows[[#This Row],[E1_value]],"N.A.")</f>
        <v>0</v>
      </c>
      <c r="AD498" s="2" t="str">
        <f>Tab_Data_Flows[[#This Row],[E1_UoM]]</f>
        <v>Mg</v>
      </c>
      <c r="AE498" s="19">
        <f>_xlfn.XLOOKUP(Tab_Data_Flows[[#This Row],[Flow_Name]],Tab_Def_Flows[Flow_Name],Tab_Def_Flows[Flow_E4_Fraction'[%']],"N.A.",0,1)</f>
        <v>0</v>
      </c>
      <c r="AF498" s="2">
        <f>IF(H498="Yes",Tab_Data_Flows[[#This Row],[E4_Fraction'[%']]]*Tab_Data_Flows[[#This Row],[E1_value]],"N.A.")</f>
        <v>0</v>
      </c>
      <c r="AG498" s="2" t="str">
        <f>Tab_Data_Flows[[#This Row],[E1_UoM]]</f>
        <v>Mg</v>
      </c>
      <c r="AH498" s="2">
        <f>_xlfn.XLOOKUP(Tab_Data_Flows[[#This Row],[Flow_Name]],Tab_Def_Flows[Flow_Name],Tab_Def_Flows[Flow_E5_Fraction'[%']],"N.A.",0,1)</f>
        <v>0</v>
      </c>
      <c r="AI498" s="2">
        <f>IF(H498="Yes",Tab_Data_Flows[[#This Row],[E5_Fraction'[%']]]*Tab_Data_Flows[[#This Row],[E1_value]],"N.A.")</f>
        <v>0</v>
      </c>
      <c r="AJ498" s="2" t="str">
        <f>Tab_Data_Flows[[#This Row],[E1_UoM]]</f>
        <v>Mg</v>
      </c>
      <c r="AK498" s="19">
        <f>_xlfn.XLOOKUP(Tab_Data_Flows[[#This Row],[Flow_Name]],Tab_Def_Flows[Flow_Name],Tab_Def_Flows[Flow_E6_Fraction'[%']],"N.A.",0,1)</f>
        <v>0</v>
      </c>
      <c r="AL498" s="2">
        <f>IF(Tab_Data_Flows[[#This Row],[Use_E6]]="Yes",Tab_Data_Flows[[#This Row],[E6_Fraction'[%']]]*Tab_Data_Flows[[#This Row],[E1_value]],"N.A.")</f>
        <v>0</v>
      </c>
      <c r="AM498" s="2" t="str">
        <f>Tab_Data_Flows[[#This Row],[E1_UoM]]</f>
        <v>Mg</v>
      </c>
    </row>
    <row r="499" spans="1:39" x14ac:dyDescent="0.25">
      <c r="A499" s="4">
        <f t="shared" si="12"/>
        <v>498</v>
      </c>
      <c r="B499" s="2" t="str">
        <f>_xlfn.XLOOKUP(C499,Tab_Def_Flows[Flow_Name],Tab_Def_Flows[Flow_ID],,0,)</f>
        <v>F__</v>
      </c>
      <c r="C499" s="18" t="s">
        <v>5</v>
      </c>
      <c r="D499" s="5" t="str">
        <f>_xlfn.XLOOKUP(C499,Tab_Def_Flows[Flow_Name],Tab_Def_Flows[Use_E1],,0,)</f>
        <v>Yes</v>
      </c>
      <c r="E499" s="5" t="str">
        <f>_xlfn.XLOOKUP(C499,Tab_Def_Flows[Flow_Name],Tab_Def_Flows[Use_E2],,0,)</f>
        <v>Yes</v>
      </c>
      <c r="F499" s="5" t="str">
        <f>_xlfn.XLOOKUP(C499,Tab_Def_Flows[Flow_Name],Tab_Def_Flows[Use_E3],,0,)</f>
        <v>Yes</v>
      </c>
      <c r="G499" s="5" t="str">
        <f>_xlfn.XLOOKUP(C499,Tab_Def_Flows[Flow_Name],Tab_Def_Flows[Use_E4],,0,)</f>
        <v>Yes</v>
      </c>
      <c r="H499" s="5" t="str">
        <f>_xlfn.XLOOKUP(C499,Tab_Def_Flows[Flow_Name],Tab_Def_Flows[Use_E5],,0,)</f>
        <v>Yes</v>
      </c>
      <c r="I499" s="5" t="str">
        <f>_xlfn.XLOOKUP(C499,Tab_Def_Flows[Flow_Name],Tab_Def_Flows[Use_E6],,0,)</f>
        <v>Yes</v>
      </c>
      <c r="J499" s="3"/>
      <c r="K499" s="3"/>
      <c r="L499" s="2" t="str">
        <f>'0_Configuration'!$C$41</f>
        <v>Mg</v>
      </c>
      <c r="M499" s="9"/>
      <c r="N499" s="9"/>
      <c r="O499" s="9"/>
      <c r="P499" s="9"/>
      <c r="Q499" s="18" t="s">
        <v>3</v>
      </c>
      <c r="R499" s="3"/>
      <c r="S499" s="3"/>
      <c r="T499" s="9"/>
      <c r="U499" s="9"/>
      <c r="V499" s="2">
        <f>_xlfn.XLOOKUP(Tab_Data_Flows[[#This Row],[Flow_Name]],Tab_Def_Flows[Flow_Name],Tab_Def_Flows[Flow_E1_Fraction'[%']],"N.A.",0,1)</f>
        <v>0</v>
      </c>
      <c r="W499" s="8">
        <f t="shared" si="16"/>
        <v>0</v>
      </c>
      <c r="X499" s="2" t="str">
        <f>Tab_Data_Flows[[#This Row],[UoM_Source]]</f>
        <v>Mg</v>
      </c>
      <c r="Y499" s="19">
        <f>_xlfn.XLOOKUP(Tab_Data_Flows[[#This Row],[Flow_Name]],Tab_Def_Flows[Flow_Name],Tab_Def_Flows[Flow_E2_Fraction'[%']],"N.A.",0,1)</f>
        <v>0</v>
      </c>
      <c r="Z499" s="2">
        <f>IF(D499="Yes",W499*Tab_Data_Flows[[#This Row],[E2_Fraction'[%']]],"N.A.")</f>
        <v>0</v>
      </c>
      <c r="AA499" s="2" t="str">
        <f>Tab_Data_Flows[[#This Row],[E1_UoM]]</f>
        <v>Mg</v>
      </c>
      <c r="AB499" s="19">
        <f>_xlfn.XLOOKUP(Tab_Data_Flows[[#This Row],[Flow_Name]],Tab_Def_Flows[Flow_Name],Tab_Def_Flows[Flow_E3_Fraction'[%']],"N.A.",0,1)</f>
        <v>0</v>
      </c>
      <c r="AC499" s="2">
        <f>IF(E499="Yes",AB499*Tab_Data_Flows[[#This Row],[E1_value]],"N.A.")</f>
        <v>0</v>
      </c>
      <c r="AD499" s="2" t="str">
        <f>Tab_Data_Flows[[#This Row],[E1_UoM]]</f>
        <v>Mg</v>
      </c>
      <c r="AE499" s="19">
        <f>_xlfn.XLOOKUP(Tab_Data_Flows[[#This Row],[Flow_Name]],Tab_Def_Flows[Flow_Name],Tab_Def_Flows[Flow_E4_Fraction'[%']],"N.A.",0,1)</f>
        <v>0</v>
      </c>
      <c r="AF499" s="2">
        <f>IF(H499="Yes",Tab_Data_Flows[[#This Row],[E4_Fraction'[%']]]*Tab_Data_Flows[[#This Row],[E1_value]],"N.A.")</f>
        <v>0</v>
      </c>
      <c r="AG499" s="2" t="str">
        <f>Tab_Data_Flows[[#This Row],[E1_UoM]]</f>
        <v>Mg</v>
      </c>
      <c r="AH499" s="2">
        <f>_xlfn.XLOOKUP(Tab_Data_Flows[[#This Row],[Flow_Name]],Tab_Def_Flows[Flow_Name],Tab_Def_Flows[Flow_E5_Fraction'[%']],"N.A.",0,1)</f>
        <v>0</v>
      </c>
      <c r="AI499" s="2">
        <f>IF(H499="Yes",Tab_Data_Flows[[#This Row],[E5_Fraction'[%']]]*Tab_Data_Flows[[#This Row],[E1_value]],"N.A.")</f>
        <v>0</v>
      </c>
      <c r="AJ499" s="2" t="str">
        <f>Tab_Data_Flows[[#This Row],[E1_UoM]]</f>
        <v>Mg</v>
      </c>
      <c r="AK499" s="19">
        <f>_xlfn.XLOOKUP(Tab_Data_Flows[[#This Row],[Flow_Name]],Tab_Def_Flows[Flow_Name],Tab_Def_Flows[Flow_E6_Fraction'[%']],"N.A.",0,1)</f>
        <v>0</v>
      </c>
      <c r="AL499" s="2">
        <f>IF(Tab_Data_Flows[[#This Row],[Use_E6]]="Yes",Tab_Data_Flows[[#This Row],[E6_Fraction'[%']]]*Tab_Data_Flows[[#This Row],[E1_value]],"N.A.")</f>
        <v>0</v>
      </c>
      <c r="AM499" s="2" t="str">
        <f>Tab_Data_Flows[[#This Row],[E1_UoM]]</f>
        <v>Mg</v>
      </c>
    </row>
    <row r="500" spans="1:39" x14ac:dyDescent="0.25">
      <c r="A500" s="4">
        <f t="shared" si="12"/>
        <v>499</v>
      </c>
      <c r="B500" s="2" t="str">
        <f>_xlfn.XLOOKUP(C500,Tab_Def_Flows[Flow_Name],Tab_Def_Flows[Flow_ID],,0,)</f>
        <v>F__</v>
      </c>
      <c r="C500" s="18" t="s">
        <v>5</v>
      </c>
      <c r="D500" s="5" t="str">
        <f>_xlfn.XLOOKUP(C500,Tab_Def_Flows[Flow_Name],Tab_Def_Flows[Use_E1],,0,)</f>
        <v>Yes</v>
      </c>
      <c r="E500" s="5" t="str">
        <f>_xlfn.XLOOKUP(C500,Tab_Def_Flows[Flow_Name],Tab_Def_Flows[Use_E2],,0,)</f>
        <v>Yes</v>
      </c>
      <c r="F500" s="5" t="str">
        <f>_xlfn.XLOOKUP(C500,Tab_Def_Flows[Flow_Name],Tab_Def_Flows[Use_E3],,0,)</f>
        <v>Yes</v>
      </c>
      <c r="G500" s="5" t="str">
        <f>_xlfn.XLOOKUP(C500,Tab_Def_Flows[Flow_Name],Tab_Def_Flows[Use_E4],,0,)</f>
        <v>Yes</v>
      </c>
      <c r="H500" s="5" t="str">
        <f>_xlfn.XLOOKUP(C500,Tab_Def_Flows[Flow_Name],Tab_Def_Flows[Use_E5],,0,)</f>
        <v>Yes</v>
      </c>
      <c r="I500" s="5" t="str">
        <f>_xlfn.XLOOKUP(C500,Tab_Def_Flows[Flow_Name],Tab_Def_Flows[Use_E6],,0,)</f>
        <v>Yes</v>
      </c>
      <c r="J500" s="3"/>
      <c r="K500" s="3"/>
      <c r="L500" s="2" t="str">
        <f>'0_Configuration'!$C$41</f>
        <v>Mg</v>
      </c>
      <c r="M500" s="9"/>
      <c r="N500" s="9"/>
      <c r="O500" s="9"/>
      <c r="P500" s="9"/>
      <c r="Q500" s="18" t="s">
        <v>3</v>
      </c>
      <c r="R500" s="3"/>
      <c r="S500" s="3"/>
      <c r="T500" s="9"/>
      <c r="U500" s="9"/>
      <c r="V500" s="2">
        <f>_xlfn.XLOOKUP(Tab_Data_Flows[[#This Row],[Flow_Name]],Tab_Def_Flows[Flow_Name],Tab_Def_Flows[Flow_E1_Fraction'[%']],"N.A.",0,1)</f>
        <v>0</v>
      </c>
      <c r="W500" s="8">
        <f t="shared" si="16"/>
        <v>0</v>
      </c>
      <c r="X500" s="2" t="str">
        <f>Tab_Data_Flows[[#This Row],[UoM_Source]]</f>
        <v>Mg</v>
      </c>
      <c r="Y500" s="19">
        <f>_xlfn.XLOOKUP(Tab_Data_Flows[[#This Row],[Flow_Name]],Tab_Def_Flows[Flow_Name],Tab_Def_Flows[Flow_E2_Fraction'[%']],"N.A.",0,1)</f>
        <v>0</v>
      </c>
      <c r="Z500" s="2">
        <f>IF(D500="Yes",W500*Tab_Data_Flows[[#This Row],[E2_Fraction'[%']]],"N.A.")</f>
        <v>0</v>
      </c>
      <c r="AA500" s="2" t="str">
        <f>Tab_Data_Flows[[#This Row],[E1_UoM]]</f>
        <v>Mg</v>
      </c>
      <c r="AB500" s="19">
        <f>_xlfn.XLOOKUP(Tab_Data_Flows[[#This Row],[Flow_Name]],Tab_Def_Flows[Flow_Name],Tab_Def_Flows[Flow_E3_Fraction'[%']],"N.A.",0,1)</f>
        <v>0</v>
      </c>
      <c r="AC500" s="2">
        <f>IF(E500="Yes",AB500*Tab_Data_Flows[[#This Row],[E1_value]],"N.A.")</f>
        <v>0</v>
      </c>
      <c r="AD500" s="2" t="str">
        <f>Tab_Data_Flows[[#This Row],[E1_UoM]]</f>
        <v>Mg</v>
      </c>
      <c r="AE500" s="19">
        <f>_xlfn.XLOOKUP(Tab_Data_Flows[[#This Row],[Flow_Name]],Tab_Def_Flows[Flow_Name],Tab_Def_Flows[Flow_E4_Fraction'[%']],"N.A.",0,1)</f>
        <v>0</v>
      </c>
      <c r="AF500" s="2">
        <f>IF(H500="Yes",Tab_Data_Flows[[#This Row],[E4_Fraction'[%']]]*Tab_Data_Flows[[#This Row],[E1_value]],"N.A.")</f>
        <v>0</v>
      </c>
      <c r="AG500" s="2" t="str">
        <f>Tab_Data_Flows[[#This Row],[E1_UoM]]</f>
        <v>Mg</v>
      </c>
      <c r="AH500" s="2">
        <f>_xlfn.XLOOKUP(Tab_Data_Flows[[#This Row],[Flow_Name]],Tab_Def_Flows[Flow_Name],Tab_Def_Flows[Flow_E5_Fraction'[%']],"N.A.",0,1)</f>
        <v>0</v>
      </c>
      <c r="AI500" s="2">
        <f>IF(H500="Yes",Tab_Data_Flows[[#This Row],[E5_Fraction'[%']]]*Tab_Data_Flows[[#This Row],[E1_value]],"N.A.")</f>
        <v>0</v>
      </c>
      <c r="AJ500" s="2" t="str">
        <f>Tab_Data_Flows[[#This Row],[E1_UoM]]</f>
        <v>Mg</v>
      </c>
      <c r="AK500" s="19">
        <f>_xlfn.XLOOKUP(Tab_Data_Flows[[#This Row],[Flow_Name]],Tab_Def_Flows[Flow_Name],Tab_Def_Flows[Flow_E6_Fraction'[%']],"N.A.",0,1)</f>
        <v>0</v>
      </c>
      <c r="AL500" s="2">
        <f>IF(Tab_Data_Flows[[#This Row],[Use_E6]]="Yes",Tab_Data_Flows[[#This Row],[E6_Fraction'[%']]]*Tab_Data_Flows[[#This Row],[E1_value]],"N.A.")</f>
        <v>0</v>
      </c>
      <c r="AM500" s="2" t="str">
        <f>Tab_Data_Flows[[#This Row],[E1_UoM]]</f>
        <v>Mg</v>
      </c>
    </row>
    <row r="501" spans="1:39" x14ac:dyDescent="0.25">
      <c r="A501" s="4">
        <f t="shared" si="12"/>
        <v>500</v>
      </c>
      <c r="B501" s="2" t="str">
        <f>_xlfn.XLOOKUP(C501,Tab_Def_Flows[Flow_Name],Tab_Def_Flows[Flow_ID],,0,)</f>
        <v>F__</v>
      </c>
      <c r="C501" s="18" t="s">
        <v>5</v>
      </c>
      <c r="D501" s="5" t="str">
        <f>_xlfn.XLOOKUP(C501,Tab_Def_Flows[Flow_Name],Tab_Def_Flows[Use_E1],,0,)</f>
        <v>Yes</v>
      </c>
      <c r="E501" s="5" t="str">
        <f>_xlfn.XLOOKUP(C501,Tab_Def_Flows[Flow_Name],Tab_Def_Flows[Use_E2],,0,)</f>
        <v>Yes</v>
      </c>
      <c r="F501" s="5" t="str">
        <f>_xlfn.XLOOKUP(C501,Tab_Def_Flows[Flow_Name],Tab_Def_Flows[Use_E3],,0,)</f>
        <v>Yes</v>
      </c>
      <c r="G501" s="5" t="str">
        <f>_xlfn.XLOOKUP(C501,Tab_Def_Flows[Flow_Name],Tab_Def_Flows[Use_E4],,0,)</f>
        <v>Yes</v>
      </c>
      <c r="H501" s="5" t="str">
        <f>_xlfn.XLOOKUP(C501,Tab_Def_Flows[Flow_Name],Tab_Def_Flows[Use_E5],,0,)</f>
        <v>Yes</v>
      </c>
      <c r="I501" s="5" t="str">
        <f>_xlfn.XLOOKUP(C501,Tab_Def_Flows[Flow_Name],Tab_Def_Flows[Use_E6],,0,)</f>
        <v>Yes</v>
      </c>
      <c r="J501" s="3"/>
      <c r="K501" s="3"/>
      <c r="L501" s="2" t="str">
        <f>'0_Configuration'!$C$41</f>
        <v>Mg</v>
      </c>
      <c r="M501" s="9"/>
      <c r="N501" s="9"/>
      <c r="O501" s="9"/>
      <c r="P501" s="9"/>
      <c r="Q501" s="18" t="s">
        <v>3</v>
      </c>
      <c r="R501" s="3"/>
      <c r="S501" s="3"/>
      <c r="T501" s="9"/>
      <c r="U501" s="9"/>
      <c r="V501" s="2">
        <f>_xlfn.XLOOKUP(Tab_Data_Flows[[#This Row],[Flow_Name]],Tab_Def_Flows[Flow_Name],Tab_Def_Flows[Flow_E1_Fraction'[%']],"N.A.",0,1)</f>
        <v>0</v>
      </c>
      <c r="W501" s="8">
        <f t="shared" si="16"/>
        <v>0</v>
      </c>
      <c r="X501" s="2" t="str">
        <f>Tab_Data_Flows[[#This Row],[UoM_Source]]</f>
        <v>Mg</v>
      </c>
      <c r="Y501" s="19">
        <f>_xlfn.XLOOKUP(Tab_Data_Flows[[#This Row],[Flow_Name]],Tab_Def_Flows[Flow_Name],Tab_Def_Flows[Flow_E2_Fraction'[%']],"N.A.",0,1)</f>
        <v>0</v>
      </c>
      <c r="Z501" s="2">
        <f>IF(D501="Yes",W501*Tab_Data_Flows[[#This Row],[E2_Fraction'[%']]],"N.A.")</f>
        <v>0</v>
      </c>
      <c r="AA501" s="2" t="str">
        <f>Tab_Data_Flows[[#This Row],[E1_UoM]]</f>
        <v>Mg</v>
      </c>
      <c r="AB501" s="19">
        <f>_xlfn.XLOOKUP(Tab_Data_Flows[[#This Row],[Flow_Name]],Tab_Def_Flows[Flow_Name],Tab_Def_Flows[Flow_E3_Fraction'[%']],"N.A.",0,1)</f>
        <v>0</v>
      </c>
      <c r="AC501" s="2">
        <f>IF(E501="Yes",AB501*Tab_Data_Flows[[#This Row],[E1_value]],"N.A.")</f>
        <v>0</v>
      </c>
      <c r="AD501" s="2" t="str">
        <f>Tab_Data_Flows[[#This Row],[E1_UoM]]</f>
        <v>Mg</v>
      </c>
      <c r="AE501" s="19">
        <f>_xlfn.XLOOKUP(Tab_Data_Flows[[#This Row],[Flow_Name]],Tab_Def_Flows[Flow_Name],Tab_Def_Flows[Flow_E4_Fraction'[%']],"N.A.",0,1)</f>
        <v>0</v>
      </c>
      <c r="AF501" s="2">
        <f>IF(H501="Yes",Tab_Data_Flows[[#This Row],[E4_Fraction'[%']]]*Tab_Data_Flows[[#This Row],[E1_value]],"N.A.")</f>
        <v>0</v>
      </c>
      <c r="AG501" s="2" t="str">
        <f>Tab_Data_Flows[[#This Row],[E1_UoM]]</f>
        <v>Mg</v>
      </c>
      <c r="AH501" s="2">
        <f>_xlfn.XLOOKUP(Tab_Data_Flows[[#This Row],[Flow_Name]],Tab_Def_Flows[Flow_Name],Tab_Def_Flows[Flow_E5_Fraction'[%']],"N.A.",0,1)</f>
        <v>0</v>
      </c>
      <c r="AI501" s="2">
        <f>IF(H501="Yes",Tab_Data_Flows[[#This Row],[E5_Fraction'[%']]]*Tab_Data_Flows[[#This Row],[E1_value]],"N.A.")</f>
        <v>0</v>
      </c>
      <c r="AJ501" s="2" t="str">
        <f>Tab_Data_Flows[[#This Row],[E1_UoM]]</f>
        <v>Mg</v>
      </c>
      <c r="AK501" s="19">
        <f>_xlfn.XLOOKUP(Tab_Data_Flows[[#This Row],[Flow_Name]],Tab_Def_Flows[Flow_Name],Tab_Def_Flows[Flow_E6_Fraction'[%']],"N.A.",0,1)</f>
        <v>0</v>
      </c>
      <c r="AL501" s="2">
        <f>IF(Tab_Data_Flows[[#This Row],[Use_E6]]="Yes",Tab_Data_Flows[[#This Row],[E6_Fraction'[%']]]*Tab_Data_Flows[[#This Row],[E1_value]],"N.A.")</f>
        <v>0</v>
      </c>
      <c r="AM501" s="2" t="str">
        <f>Tab_Data_Flows[[#This Row],[E1_UoM]]</f>
        <v>Mg</v>
      </c>
    </row>
    <row r="502" spans="1:39" x14ac:dyDescent="0.25">
      <c r="A502" s="4">
        <f t="shared" si="12"/>
        <v>501</v>
      </c>
      <c r="B502" s="2" t="str">
        <f>_xlfn.XLOOKUP(C502,Tab_Def_Flows[Flow_Name],Tab_Def_Flows[Flow_ID],,0,)</f>
        <v>F__</v>
      </c>
      <c r="C502" s="18" t="s">
        <v>5</v>
      </c>
      <c r="D502" s="5" t="str">
        <f>_xlfn.XLOOKUP(C502,Tab_Def_Flows[Flow_Name],Tab_Def_Flows[Use_E1],,0,)</f>
        <v>Yes</v>
      </c>
      <c r="E502" s="5" t="str">
        <f>_xlfn.XLOOKUP(C502,Tab_Def_Flows[Flow_Name],Tab_Def_Flows[Use_E2],,0,)</f>
        <v>Yes</v>
      </c>
      <c r="F502" s="5" t="str">
        <f>_xlfn.XLOOKUP(C502,Tab_Def_Flows[Flow_Name],Tab_Def_Flows[Use_E3],,0,)</f>
        <v>Yes</v>
      </c>
      <c r="G502" s="5" t="str">
        <f>_xlfn.XLOOKUP(C502,Tab_Def_Flows[Flow_Name],Tab_Def_Flows[Use_E4],,0,)</f>
        <v>Yes</v>
      </c>
      <c r="H502" s="5" t="str">
        <f>_xlfn.XLOOKUP(C502,Tab_Def_Flows[Flow_Name],Tab_Def_Flows[Use_E5],,0,)</f>
        <v>Yes</v>
      </c>
      <c r="I502" s="5" t="str">
        <f>_xlfn.XLOOKUP(C502,Tab_Def_Flows[Flow_Name],Tab_Def_Flows[Use_E6],,0,)</f>
        <v>Yes</v>
      </c>
      <c r="J502" s="3"/>
      <c r="K502" s="3"/>
      <c r="L502" s="2" t="str">
        <f>'0_Configuration'!$C$41</f>
        <v>Mg</v>
      </c>
      <c r="M502" s="9"/>
      <c r="N502" s="9"/>
      <c r="O502" s="9"/>
      <c r="P502" s="9"/>
      <c r="Q502" s="18" t="s">
        <v>3</v>
      </c>
      <c r="R502" s="3"/>
      <c r="S502" s="3"/>
      <c r="T502" s="9"/>
      <c r="U502" s="9"/>
      <c r="V502" s="2">
        <f>_xlfn.XLOOKUP(Tab_Data_Flows[[#This Row],[Flow_Name]],Tab_Def_Flows[Flow_Name],Tab_Def_Flows[Flow_E1_Fraction'[%']],"N.A.",0,1)</f>
        <v>0</v>
      </c>
      <c r="W502" s="8">
        <f t="shared" si="16"/>
        <v>0</v>
      </c>
      <c r="X502" s="2" t="str">
        <f>Tab_Data_Flows[[#This Row],[UoM_Source]]</f>
        <v>Mg</v>
      </c>
      <c r="Y502" s="19">
        <f>_xlfn.XLOOKUP(Tab_Data_Flows[[#This Row],[Flow_Name]],Tab_Def_Flows[Flow_Name],Tab_Def_Flows[Flow_E2_Fraction'[%']],"N.A.",0,1)</f>
        <v>0</v>
      </c>
      <c r="Z502" s="2">
        <f>IF(D502="Yes",W502*Tab_Data_Flows[[#This Row],[E2_Fraction'[%']]],"N.A.")</f>
        <v>0</v>
      </c>
      <c r="AA502" s="2" t="str">
        <f>Tab_Data_Flows[[#This Row],[E1_UoM]]</f>
        <v>Mg</v>
      </c>
      <c r="AB502" s="19">
        <f>_xlfn.XLOOKUP(Tab_Data_Flows[[#This Row],[Flow_Name]],Tab_Def_Flows[Flow_Name],Tab_Def_Flows[Flow_E3_Fraction'[%']],"N.A.",0,1)</f>
        <v>0</v>
      </c>
      <c r="AC502" s="2">
        <f>IF(E502="Yes",AB502*Tab_Data_Flows[[#This Row],[E1_value]],"N.A.")</f>
        <v>0</v>
      </c>
      <c r="AD502" s="2" t="str">
        <f>Tab_Data_Flows[[#This Row],[E1_UoM]]</f>
        <v>Mg</v>
      </c>
      <c r="AE502" s="19">
        <f>_xlfn.XLOOKUP(Tab_Data_Flows[[#This Row],[Flow_Name]],Tab_Def_Flows[Flow_Name],Tab_Def_Flows[Flow_E4_Fraction'[%']],"N.A.",0,1)</f>
        <v>0</v>
      </c>
      <c r="AF502" s="2">
        <f>IF(H502="Yes",Tab_Data_Flows[[#This Row],[E4_Fraction'[%']]]*Tab_Data_Flows[[#This Row],[E1_value]],"N.A.")</f>
        <v>0</v>
      </c>
      <c r="AG502" s="2" t="str">
        <f>Tab_Data_Flows[[#This Row],[E1_UoM]]</f>
        <v>Mg</v>
      </c>
      <c r="AH502" s="2">
        <f>_xlfn.XLOOKUP(Tab_Data_Flows[[#This Row],[Flow_Name]],Tab_Def_Flows[Flow_Name],Tab_Def_Flows[Flow_E5_Fraction'[%']],"N.A.",0,1)</f>
        <v>0</v>
      </c>
      <c r="AI502" s="2">
        <f>IF(H502="Yes",Tab_Data_Flows[[#This Row],[E5_Fraction'[%']]]*Tab_Data_Flows[[#This Row],[E1_value]],"N.A.")</f>
        <v>0</v>
      </c>
      <c r="AJ502" s="2" t="str">
        <f>Tab_Data_Flows[[#This Row],[E1_UoM]]</f>
        <v>Mg</v>
      </c>
      <c r="AK502" s="19">
        <f>_xlfn.XLOOKUP(Tab_Data_Flows[[#This Row],[Flow_Name]],Tab_Def_Flows[Flow_Name],Tab_Def_Flows[Flow_E6_Fraction'[%']],"N.A.",0,1)</f>
        <v>0</v>
      </c>
      <c r="AL502" s="2">
        <f>IF(Tab_Data_Flows[[#This Row],[Use_E6]]="Yes",Tab_Data_Flows[[#This Row],[E6_Fraction'[%']]]*Tab_Data_Flows[[#This Row],[E1_value]],"N.A.")</f>
        <v>0</v>
      </c>
      <c r="AM502" s="2" t="str">
        <f>Tab_Data_Flows[[#This Row],[E1_UoM]]</f>
        <v>Mg</v>
      </c>
    </row>
    <row r="503" spans="1:39" x14ac:dyDescent="0.25">
      <c r="A503" s="4">
        <f t="shared" si="12"/>
        <v>502</v>
      </c>
      <c r="B503" s="2" t="str">
        <f>_xlfn.XLOOKUP(C503,Tab_Def_Flows[Flow_Name],Tab_Def_Flows[Flow_ID],,0,)</f>
        <v>F__</v>
      </c>
      <c r="C503" s="18" t="s">
        <v>5</v>
      </c>
      <c r="D503" s="5" t="str">
        <f>_xlfn.XLOOKUP(C503,Tab_Def_Flows[Flow_Name],Tab_Def_Flows[Use_E1],,0,)</f>
        <v>Yes</v>
      </c>
      <c r="E503" s="5" t="str">
        <f>_xlfn.XLOOKUP(C503,Tab_Def_Flows[Flow_Name],Tab_Def_Flows[Use_E2],,0,)</f>
        <v>Yes</v>
      </c>
      <c r="F503" s="5" t="str">
        <f>_xlfn.XLOOKUP(C503,Tab_Def_Flows[Flow_Name],Tab_Def_Flows[Use_E3],,0,)</f>
        <v>Yes</v>
      </c>
      <c r="G503" s="5" t="str">
        <f>_xlfn.XLOOKUP(C503,Tab_Def_Flows[Flow_Name],Tab_Def_Flows[Use_E4],,0,)</f>
        <v>Yes</v>
      </c>
      <c r="H503" s="5" t="str">
        <f>_xlfn.XLOOKUP(C503,Tab_Def_Flows[Flow_Name],Tab_Def_Flows[Use_E5],,0,)</f>
        <v>Yes</v>
      </c>
      <c r="I503" s="5" t="str">
        <f>_xlfn.XLOOKUP(C503,Tab_Def_Flows[Flow_Name],Tab_Def_Flows[Use_E6],,0,)</f>
        <v>Yes</v>
      </c>
      <c r="J503" s="3"/>
      <c r="K503" s="3"/>
      <c r="L503" s="2" t="str">
        <f>'0_Configuration'!$C$41</f>
        <v>Mg</v>
      </c>
      <c r="M503" s="9"/>
      <c r="N503" s="9"/>
      <c r="O503" s="9"/>
      <c r="P503" s="9"/>
      <c r="Q503" s="18" t="s">
        <v>3</v>
      </c>
      <c r="R503" s="3"/>
      <c r="S503" s="3"/>
      <c r="T503" s="9"/>
      <c r="U503" s="9"/>
      <c r="V503" s="2">
        <f>_xlfn.XLOOKUP(Tab_Data_Flows[[#This Row],[Flow_Name]],Tab_Def_Flows[Flow_Name],Tab_Def_Flows[Flow_E1_Fraction'[%']],"N.A.",0,1)</f>
        <v>0</v>
      </c>
      <c r="W503" s="8">
        <f t="shared" si="16"/>
        <v>0</v>
      </c>
      <c r="X503" s="2" t="str">
        <f>Tab_Data_Flows[[#This Row],[UoM_Source]]</f>
        <v>Mg</v>
      </c>
      <c r="Y503" s="19">
        <f>_xlfn.XLOOKUP(Tab_Data_Flows[[#This Row],[Flow_Name]],Tab_Def_Flows[Flow_Name],Tab_Def_Flows[Flow_E2_Fraction'[%']],"N.A.",0,1)</f>
        <v>0</v>
      </c>
      <c r="Z503" s="2">
        <f>IF(D503="Yes",W503*Tab_Data_Flows[[#This Row],[E2_Fraction'[%']]],"N.A.")</f>
        <v>0</v>
      </c>
      <c r="AA503" s="2" t="str">
        <f>Tab_Data_Flows[[#This Row],[E1_UoM]]</f>
        <v>Mg</v>
      </c>
      <c r="AB503" s="19">
        <f>_xlfn.XLOOKUP(Tab_Data_Flows[[#This Row],[Flow_Name]],Tab_Def_Flows[Flow_Name],Tab_Def_Flows[Flow_E3_Fraction'[%']],"N.A.",0,1)</f>
        <v>0</v>
      </c>
      <c r="AC503" s="2">
        <f>IF(E503="Yes",AB503*Tab_Data_Flows[[#This Row],[E1_value]],"N.A.")</f>
        <v>0</v>
      </c>
      <c r="AD503" s="2" t="str">
        <f>Tab_Data_Flows[[#This Row],[E1_UoM]]</f>
        <v>Mg</v>
      </c>
      <c r="AE503" s="19">
        <f>_xlfn.XLOOKUP(Tab_Data_Flows[[#This Row],[Flow_Name]],Tab_Def_Flows[Flow_Name],Tab_Def_Flows[Flow_E4_Fraction'[%']],"N.A.",0,1)</f>
        <v>0</v>
      </c>
      <c r="AF503" s="2">
        <f>IF(H503="Yes",Tab_Data_Flows[[#This Row],[E4_Fraction'[%']]]*Tab_Data_Flows[[#This Row],[E1_value]],"N.A.")</f>
        <v>0</v>
      </c>
      <c r="AG503" s="2" t="str">
        <f>Tab_Data_Flows[[#This Row],[E1_UoM]]</f>
        <v>Mg</v>
      </c>
      <c r="AH503" s="2">
        <f>_xlfn.XLOOKUP(Tab_Data_Flows[[#This Row],[Flow_Name]],Tab_Def_Flows[Flow_Name],Tab_Def_Flows[Flow_E5_Fraction'[%']],"N.A.",0,1)</f>
        <v>0</v>
      </c>
      <c r="AI503" s="2">
        <f>IF(H503="Yes",Tab_Data_Flows[[#This Row],[E5_Fraction'[%']]]*Tab_Data_Flows[[#This Row],[E1_value]],"N.A.")</f>
        <v>0</v>
      </c>
      <c r="AJ503" s="2" t="str">
        <f>Tab_Data_Flows[[#This Row],[E1_UoM]]</f>
        <v>Mg</v>
      </c>
      <c r="AK503" s="19">
        <f>_xlfn.XLOOKUP(Tab_Data_Flows[[#This Row],[Flow_Name]],Tab_Def_Flows[Flow_Name],Tab_Def_Flows[Flow_E6_Fraction'[%']],"N.A.",0,1)</f>
        <v>0</v>
      </c>
      <c r="AL503" s="2">
        <f>IF(Tab_Data_Flows[[#This Row],[Use_E6]]="Yes",Tab_Data_Flows[[#This Row],[E6_Fraction'[%']]]*Tab_Data_Flows[[#This Row],[E1_value]],"N.A.")</f>
        <v>0</v>
      </c>
      <c r="AM503" s="2" t="str">
        <f>Tab_Data_Flows[[#This Row],[E1_UoM]]</f>
        <v>Mg</v>
      </c>
    </row>
    <row r="504" spans="1:39" x14ac:dyDescent="0.25">
      <c r="A504" s="4">
        <f t="shared" si="12"/>
        <v>503</v>
      </c>
      <c r="B504" s="2" t="str">
        <f>_xlfn.XLOOKUP(C504,Tab_Def_Flows[Flow_Name],Tab_Def_Flows[Flow_ID],,0,)</f>
        <v>F__</v>
      </c>
      <c r="C504" s="18" t="s">
        <v>5</v>
      </c>
      <c r="D504" s="5" t="str">
        <f>_xlfn.XLOOKUP(C504,Tab_Def_Flows[Flow_Name],Tab_Def_Flows[Use_E1],,0,)</f>
        <v>Yes</v>
      </c>
      <c r="E504" s="5" t="str">
        <f>_xlfn.XLOOKUP(C504,Tab_Def_Flows[Flow_Name],Tab_Def_Flows[Use_E2],,0,)</f>
        <v>Yes</v>
      </c>
      <c r="F504" s="5" t="str">
        <f>_xlfn.XLOOKUP(C504,Tab_Def_Flows[Flow_Name],Tab_Def_Flows[Use_E3],,0,)</f>
        <v>Yes</v>
      </c>
      <c r="G504" s="5" t="str">
        <f>_xlfn.XLOOKUP(C504,Tab_Def_Flows[Flow_Name],Tab_Def_Flows[Use_E4],,0,)</f>
        <v>Yes</v>
      </c>
      <c r="H504" s="5" t="str">
        <f>_xlfn.XLOOKUP(C504,Tab_Def_Flows[Flow_Name],Tab_Def_Flows[Use_E5],,0,)</f>
        <v>Yes</v>
      </c>
      <c r="I504" s="5" t="str">
        <f>_xlfn.XLOOKUP(C504,Tab_Def_Flows[Flow_Name],Tab_Def_Flows[Use_E6],,0,)</f>
        <v>Yes</v>
      </c>
      <c r="J504" s="3"/>
      <c r="K504" s="3"/>
      <c r="L504" s="2" t="str">
        <f>'0_Configuration'!$C$41</f>
        <v>Mg</v>
      </c>
      <c r="M504" s="9"/>
      <c r="N504" s="9"/>
      <c r="O504" s="9"/>
      <c r="P504" s="9"/>
      <c r="Q504" s="18" t="s">
        <v>3</v>
      </c>
      <c r="R504" s="3"/>
      <c r="S504" s="3"/>
      <c r="T504" s="9"/>
      <c r="U504" s="9"/>
      <c r="V504" s="2">
        <f>_xlfn.XLOOKUP(Tab_Data_Flows[[#This Row],[Flow_Name]],Tab_Def_Flows[Flow_Name],Tab_Def_Flows[Flow_E1_Fraction'[%']],"N.A.",0,1)</f>
        <v>0</v>
      </c>
      <c r="W504" s="8">
        <f t="shared" si="16"/>
        <v>0</v>
      </c>
      <c r="X504" s="2" t="str">
        <f>Tab_Data_Flows[[#This Row],[UoM_Source]]</f>
        <v>Mg</v>
      </c>
      <c r="Y504" s="19">
        <f>_xlfn.XLOOKUP(Tab_Data_Flows[[#This Row],[Flow_Name]],Tab_Def_Flows[Flow_Name],Tab_Def_Flows[Flow_E2_Fraction'[%']],"N.A.",0,1)</f>
        <v>0</v>
      </c>
      <c r="Z504" s="2">
        <f>IF(D504="Yes",W504*Tab_Data_Flows[[#This Row],[E2_Fraction'[%']]],"N.A.")</f>
        <v>0</v>
      </c>
      <c r="AA504" s="2" t="str">
        <f>Tab_Data_Flows[[#This Row],[E1_UoM]]</f>
        <v>Mg</v>
      </c>
      <c r="AB504" s="19">
        <f>_xlfn.XLOOKUP(Tab_Data_Flows[[#This Row],[Flow_Name]],Tab_Def_Flows[Flow_Name],Tab_Def_Flows[Flow_E3_Fraction'[%']],"N.A.",0,1)</f>
        <v>0</v>
      </c>
      <c r="AC504" s="2">
        <f>IF(E504="Yes",AB504*Tab_Data_Flows[[#This Row],[E1_value]],"N.A.")</f>
        <v>0</v>
      </c>
      <c r="AD504" s="2" t="str">
        <f>Tab_Data_Flows[[#This Row],[E1_UoM]]</f>
        <v>Mg</v>
      </c>
      <c r="AE504" s="19">
        <f>_xlfn.XLOOKUP(Tab_Data_Flows[[#This Row],[Flow_Name]],Tab_Def_Flows[Flow_Name],Tab_Def_Flows[Flow_E4_Fraction'[%']],"N.A.",0,1)</f>
        <v>0</v>
      </c>
      <c r="AF504" s="2">
        <f>IF(H504="Yes",Tab_Data_Flows[[#This Row],[E4_Fraction'[%']]]*Tab_Data_Flows[[#This Row],[E1_value]],"N.A.")</f>
        <v>0</v>
      </c>
      <c r="AG504" s="2" t="str">
        <f>Tab_Data_Flows[[#This Row],[E1_UoM]]</f>
        <v>Mg</v>
      </c>
      <c r="AH504" s="2">
        <f>_xlfn.XLOOKUP(Tab_Data_Flows[[#This Row],[Flow_Name]],Tab_Def_Flows[Flow_Name],Tab_Def_Flows[Flow_E5_Fraction'[%']],"N.A.",0,1)</f>
        <v>0</v>
      </c>
      <c r="AI504" s="2">
        <f>IF(H504="Yes",Tab_Data_Flows[[#This Row],[E5_Fraction'[%']]]*Tab_Data_Flows[[#This Row],[E1_value]],"N.A.")</f>
        <v>0</v>
      </c>
      <c r="AJ504" s="2" t="str">
        <f>Tab_Data_Flows[[#This Row],[E1_UoM]]</f>
        <v>Mg</v>
      </c>
      <c r="AK504" s="19">
        <f>_xlfn.XLOOKUP(Tab_Data_Flows[[#This Row],[Flow_Name]],Tab_Def_Flows[Flow_Name],Tab_Def_Flows[Flow_E6_Fraction'[%']],"N.A.",0,1)</f>
        <v>0</v>
      </c>
      <c r="AL504" s="2">
        <f>IF(Tab_Data_Flows[[#This Row],[Use_E6]]="Yes",Tab_Data_Flows[[#This Row],[E6_Fraction'[%']]]*Tab_Data_Flows[[#This Row],[E1_value]],"N.A.")</f>
        <v>0</v>
      </c>
      <c r="AM504" s="2" t="str">
        <f>Tab_Data_Flows[[#This Row],[E1_UoM]]</f>
        <v>Mg</v>
      </c>
    </row>
    <row r="505" spans="1:39" x14ac:dyDescent="0.25">
      <c r="A505" s="4">
        <f t="shared" si="12"/>
        <v>504</v>
      </c>
      <c r="B505" s="2" t="str">
        <f>_xlfn.XLOOKUP(C505,Tab_Def_Flows[Flow_Name],Tab_Def_Flows[Flow_ID],,0,)</f>
        <v>F__</v>
      </c>
      <c r="C505" s="18" t="s">
        <v>5</v>
      </c>
      <c r="D505" s="5" t="str">
        <f>_xlfn.XLOOKUP(C505,Tab_Def_Flows[Flow_Name],Tab_Def_Flows[Use_E1],,0,)</f>
        <v>Yes</v>
      </c>
      <c r="E505" s="5" t="str">
        <f>_xlfn.XLOOKUP(C505,Tab_Def_Flows[Flow_Name],Tab_Def_Flows[Use_E2],,0,)</f>
        <v>Yes</v>
      </c>
      <c r="F505" s="5" t="str">
        <f>_xlfn.XLOOKUP(C505,Tab_Def_Flows[Flow_Name],Tab_Def_Flows[Use_E3],,0,)</f>
        <v>Yes</v>
      </c>
      <c r="G505" s="5" t="str">
        <f>_xlfn.XLOOKUP(C505,Tab_Def_Flows[Flow_Name],Tab_Def_Flows[Use_E4],,0,)</f>
        <v>Yes</v>
      </c>
      <c r="H505" s="5" t="str">
        <f>_xlfn.XLOOKUP(C505,Tab_Def_Flows[Flow_Name],Tab_Def_Flows[Use_E5],,0,)</f>
        <v>Yes</v>
      </c>
      <c r="I505" s="5" t="str">
        <f>_xlfn.XLOOKUP(C505,Tab_Def_Flows[Flow_Name],Tab_Def_Flows[Use_E6],,0,)</f>
        <v>Yes</v>
      </c>
      <c r="J505" s="3"/>
      <c r="K505" s="3"/>
      <c r="L505" s="2" t="str">
        <f>'0_Configuration'!$C$41</f>
        <v>Mg</v>
      </c>
      <c r="M505" s="9"/>
      <c r="N505" s="9"/>
      <c r="O505" s="9"/>
      <c r="P505" s="9"/>
      <c r="Q505" s="18" t="s">
        <v>3</v>
      </c>
      <c r="R505" s="3"/>
      <c r="S505" s="3"/>
      <c r="T505" s="9"/>
      <c r="U505" s="9"/>
      <c r="V505" s="2">
        <f>_xlfn.XLOOKUP(Tab_Data_Flows[[#This Row],[Flow_Name]],Tab_Def_Flows[Flow_Name],Tab_Def_Flows[Flow_E1_Fraction'[%']],"N.A.",0,1)</f>
        <v>0</v>
      </c>
      <c r="W505" s="8">
        <f t="shared" si="16"/>
        <v>0</v>
      </c>
      <c r="X505" s="2" t="str">
        <f>Tab_Data_Flows[[#This Row],[UoM_Source]]</f>
        <v>Mg</v>
      </c>
      <c r="Y505" s="19">
        <f>_xlfn.XLOOKUP(Tab_Data_Flows[[#This Row],[Flow_Name]],Tab_Def_Flows[Flow_Name],Tab_Def_Flows[Flow_E2_Fraction'[%']],"N.A.",0,1)</f>
        <v>0</v>
      </c>
      <c r="Z505" s="2">
        <f>IF(D505="Yes",W505*Tab_Data_Flows[[#This Row],[E2_Fraction'[%']]],"N.A.")</f>
        <v>0</v>
      </c>
      <c r="AA505" s="2" t="str">
        <f>Tab_Data_Flows[[#This Row],[E1_UoM]]</f>
        <v>Mg</v>
      </c>
      <c r="AB505" s="19">
        <f>_xlfn.XLOOKUP(Tab_Data_Flows[[#This Row],[Flow_Name]],Tab_Def_Flows[Flow_Name],Tab_Def_Flows[Flow_E3_Fraction'[%']],"N.A.",0,1)</f>
        <v>0</v>
      </c>
      <c r="AC505" s="2">
        <f>IF(E505="Yes",AB505*Tab_Data_Flows[[#This Row],[E1_value]],"N.A.")</f>
        <v>0</v>
      </c>
      <c r="AD505" s="2" t="str">
        <f>Tab_Data_Flows[[#This Row],[E1_UoM]]</f>
        <v>Mg</v>
      </c>
      <c r="AE505" s="19">
        <f>_xlfn.XLOOKUP(Tab_Data_Flows[[#This Row],[Flow_Name]],Tab_Def_Flows[Flow_Name],Tab_Def_Flows[Flow_E4_Fraction'[%']],"N.A.",0,1)</f>
        <v>0</v>
      </c>
      <c r="AF505" s="2">
        <f>IF(H505="Yes",Tab_Data_Flows[[#This Row],[E4_Fraction'[%']]]*Tab_Data_Flows[[#This Row],[E1_value]],"N.A.")</f>
        <v>0</v>
      </c>
      <c r="AG505" s="2" t="str">
        <f>Tab_Data_Flows[[#This Row],[E1_UoM]]</f>
        <v>Mg</v>
      </c>
      <c r="AH505" s="2">
        <f>_xlfn.XLOOKUP(Tab_Data_Flows[[#This Row],[Flow_Name]],Tab_Def_Flows[Flow_Name],Tab_Def_Flows[Flow_E5_Fraction'[%']],"N.A.",0,1)</f>
        <v>0</v>
      </c>
      <c r="AI505" s="2">
        <f>IF(H505="Yes",Tab_Data_Flows[[#This Row],[E5_Fraction'[%']]]*Tab_Data_Flows[[#This Row],[E1_value]],"N.A.")</f>
        <v>0</v>
      </c>
      <c r="AJ505" s="2" t="str">
        <f>Tab_Data_Flows[[#This Row],[E1_UoM]]</f>
        <v>Mg</v>
      </c>
      <c r="AK505" s="19">
        <f>_xlfn.XLOOKUP(Tab_Data_Flows[[#This Row],[Flow_Name]],Tab_Def_Flows[Flow_Name],Tab_Def_Flows[Flow_E6_Fraction'[%']],"N.A.",0,1)</f>
        <v>0</v>
      </c>
      <c r="AL505" s="2">
        <f>IF(Tab_Data_Flows[[#This Row],[Use_E6]]="Yes",Tab_Data_Flows[[#This Row],[E6_Fraction'[%']]]*Tab_Data_Flows[[#This Row],[E1_value]],"N.A.")</f>
        <v>0</v>
      </c>
      <c r="AM505" s="2" t="str">
        <f>Tab_Data_Flows[[#This Row],[E1_UoM]]</f>
        <v>Mg</v>
      </c>
    </row>
    <row r="506" spans="1:39" x14ac:dyDescent="0.25">
      <c r="A506" s="4">
        <f t="shared" si="12"/>
        <v>505</v>
      </c>
      <c r="B506" s="2" t="str">
        <f>_xlfn.XLOOKUP(C506,Tab_Def_Flows[Flow_Name],Tab_Def_Flows[Flow_ID],,0,)</f>
        <v>F__</v>
      </c>
      <c r="C506" s="18" t="s">
        <v>5</v>
      </c>
      <c r="D506" s="5" t="str">
        <f>_xlfn.XLOOKUP(C506,Tab_Def_Flows[Flow_Name],Tab_Def_Flows[Use_E1],,0,)</f>
        <v>Yes</v>
      </c>
      <c r="E506" s="5" t="str">
        <f>_xlfn.XLOOKUP(C506,Tab_Def_Flows[Flow_Name],Tab_Def_Flows[Use_E2],,0,)</f>
        <v>Yes</v>
      </c>
      <c r="F506" s="5" t="str">
        <f>_xlfn.XLOOKUP(C506,Tab_Def_Flows[Flow_Name],Tab_Def_Flows[Use_E3],,0,)</f>
        <v>Yes</v>
      </c>
      <c r="G506" s="5" t="str">
        <f>_xlfn.XLOOKUP(C506,Tab_Def_Flows[Flow_Name],Tab_Def_Flows[Use_E4],,0,)</f>
        <v>Yes</v>
      </c>
      <c r="H506" s="5" t="str">
        <f>_xlfn.XLOOKUP(C506,Tab_Def_Flows[Flow_Name],Tab_Def_Flows[Use_E5],,0,)</f>
        <v>Yes</v>
      </c>
      <c r="I506" s="5" t="str">
        <f>_xlfn.XLOOKUP(C506,Tab_Def_Flows[Flow_Name],Tab_Def_Flows[Use_E6],,0,)</f>
        <v>Yes</v>
      </c>
      <c r="J506" s="3"/>
      <c r="K506" s="3"/>
      <c r="L506" s="2" t="str">
        <f>'0_Configuration'!$C$41</f>
        <v>Mg</v>
      </c>
      <c r="M506" s="9"/>
      <c r="N506" s="9"/>
      <c r="O506" s="9"/>
      <c r="P506" s="9"/>
      <c r="Q506" s="18" t="s">
        <v>3</v>
      </c>
      <c r="R506" s="3"/>
      <c r="S506" s="3"/>
      <c r="T506" s="9"/>
      <c r="U506" s="9"/>
      <c r="V506" s="2">
        <f>_xlfn.XLOOKUP(Tab_Data_Flows[[#This Row],[Flow_Name]],Tab_Def_Flows[Flow_Name],Tab_Def_Flows[Flow_E1_Fraction'[%']],"N.A.",0,1)</f>
        <v>0</v>
      </c>
      <c r="W506" s="8">
        <f t="shared" si="16"/>
        <v>0</v>
      </c>
      <c r="X506" s="2" t="str">
        <f>Tab_Data_Flows[[#This Row],[UoM_Source]]</f>
        <v>Mg</v>
      </c>
      <c r="Y506" s="19">
        <f>_xlfn.XLOOKUP(Tab_Data_Flows[[#This Row],[Flow_Name]],Tab_Def_Flows[Flow_Name],Tab_Def_Flows[Flow_E2_Fraction'[%']],"N.A.",0,1)</f>
        <v>0</v>
      </c>
      <c r="Z506" s="2">
        <f>IF(D506="Yes",W506*Tab_Data_Flows[[#This Row],[E2_Fraction'[%']]],"N.A.")</f>
        <v>0</v>
      </c>
      <c r="AA506" s="2" t="str">
        <f>Tab_Data_Flows[[#This Row],[E1_UoM]]</f>
        <v>Mg</v>
      </c>
      <c r="AB506" s="19">
        <f>_xlfn.XLOOKUP(Tab_Data_Flows[[#This Row],[Flow_Name]],Tab_Def_Flows[Flow_Name],Tab_Def_Flows[Flow_E3_Fraction'[%']],"N.A.",0,1)</f>
        <v>0</v>
      </c>
      <c r="AC506" s="2">
        <f>IF(E506="Yes",AB506*Tab_Data_Flows[[#This Row],[E1_value]],"N.A.")</f>
        <v>0</v>
      </c>
      <c r="AD506" s="2" t="str">
        <f>Tab_Data_Flows[[#This Row],[E1_UoM]]</f>
        <v>Mg</v>
      </c>
      <c r="AE506" s="19">
        <f>_xlfn.XLOOKUP(Tab_Data_Flows[[#This Row],[Flow_Name]],Tab_Def_Flows[Flow_Name],Tab_Def_Flows[Flow_E4_Fraction'[%']],"N.A.",0,1)</f>
        <v>0</v>
      </c>
      <c r="AF506" s="2">
        <f>IF(H506="Yes",Tab_Data_Flows[[#This Row],[E4_Fraction'[%']]]*Tab_Data_Flows[[#This Row],[E1_value]],"N.A.")</f>
        <v>0</v>
      </c>
      <c r="AG506" s="2" t="str">
        <f>Tab_Data_Flows[[#This Row],[E1_UoM]]</f>
        <v>Mg</v>
      </c>
      <c r="AH506" s="2">
        <f>_xlfn.XLOOKUP(Tab_Data_Flows[[#This Row],[Flow_Name]],Tab_Def_Flows[Flow_Name],Tab_Def_Flows[Flow_E5_Fraction'[%']],"N.A.",0,1)</f>
        <v>0</v>
      </c>
      <c r="AI506" s="2">
        <f>IF(H506="Yes",Tab_Data_Flows[[#This Row],[E5_Fraction'[%']]]*Tab_Data_Flows[[#This Row],[E1_value]],"N.A.")</f>
        <v>0</v>
      </c>
      <c r="AJ506" s="2" t="str">
        <f>Tab_Data_Flows[[#This Row],[E1_UoM]]</f>
        <v>Mg</v>
      </c>
      <c r="AK506" s="19">
        <f>_xlfn.XLOOKUP(Tab_Data_Flows[[#This Row],[Flow_Name]],Tab_Def_Flows[Flow_Name],Tab_Def_Flows[Flow_E6_Fraction'[%']],"N.A.",0,1)</f>
        <v>0</v>
      </c>
      <c r="AL506" s="2">
        <f>IF(Tab_Data_Flows[[#This Row],[Use_E6]]="Yes",Tab_Data_Flows[[#This Row],[E6_Fraction'[%']]]*Tab_Data_Flows[[#This Row],[E1_value]],"N.A.")</f>
        <v>0</v>
      </c>
      <c r="AM506" s="2" t="str">
        <f>Tab_Data_Flows[[#This Row],[E1_UoM]]</f>
        <v>Mg</v>
      </c>
    </row>
    <row r="507" spans="1:39" x14ac:dyDescent="0.25">
      <c r="A507" s="4">
        <f t="shared" si="12"/>
        <v>506</v>
      </c>
      <c r="B507" s="2" t="str">
        <f>_xlfn.XLOOKUP(C507,Tab_Def_Flows[Flow_Name],Tab_Def_Flows[Flow_ID],,0,)</f>
        <v>F__</v>
      </c>
      <c r="C507" s="18" t="s">
        <v>5</v>
      </c>
      <c r="D507" s="5" t="str">
        <f>_xlfn.XLOOKUP(C507,Tab_Def_Flows[Flow_Name],Tab_Def_Flows[Use_E1],,0,)</f>
        <v>Yes</v>
      </c>
      <c r="E507" s="5" t="str">
        <f>_xlfn.XLOOKUP(C507,Tab_Def_Flows[Flow_Name],Tab_Def_Flows[Use_E2],,0,)</f>
        <v>Yes</v>
      </c>
      <c r="F507" s="5" t="str">
        <f>_xlfn.XLOOKUP(C507,Tab_Def_Flows[Flow_Name],Tab_Def_Flows[Use_E3],,0,)</f>
        <v>Yes</v>
      </c>
      <c r="G507" s="5" t="str">
        <f>_xlfn.XLOOKUP(C507,Tab_Def_Flows[Flow_Name],Tab_Def_Flows[Use_E4],,0,)</f>
        <v>Yes</v>
      </c>
      <c r="H507" s="5" t="str">
        <f>_xlfn.XLOOKUP(C507,Tab_Def_Flows[Flow_Name],Tab_Def_Flows[Use_E5],,0,)</f>
        <v>Yes</v>
      </c>
      <c r="I507" s="5" t="str">
        <f>_xlfn.XLOOKUP(C507,Tab_Def_Flows[Flow_Name],Tab_Def_Flows[Use_E6],,0,)</f>
        <v>Yes</v>
      </c>
      <c r="J507" s="3"/>
      <c r="K507" s="3"/>
      <c r="L507" s="2" t="str">
        <f>'0_Configuration'!$C$41</f>
        <v>Mg</v>
      </c>
      <c r="M507" s="9"/>
      <c r="N507" s="9"/>
      <c r="O507" s="9"/>
      <c r="P507" s="9"/>
      <c r="Q507" s="18" t="s">
        <v>3</v>
      </c>
      <c r="R507" s="3"/>
      <c r="S507" s="3"/>
      <c r="T507" s="9"/>
      <c r="U507" s="9"/>
      <c r="V507" s="2">
        <f>_xlfn.XLOOKUP(Tab_Data_Flows[[#This Row],[Flow_Name]],Tab_Def_Flows[Flow_Name],Tab_Def_Flows[Flow_E1_Fraction'[%']],"N.A.",0,1)</f>
        <v>0</v>
      </c>
      <c r="W507" s="8">
        <f t="shared" si="16"/>
        <v>0</v>
      </c>
      <c r="X507" s="2" t="str">
        <f>Tab_Data_Flows[[#This Row],[UoM_Source]]</f>
        <v>Mg</v>
      </c>
      <c r="Y507" s="19">
        <f>_xlfn.XLOOKUP(Tab_Data_Flows[[#This Row],[Flow_Name]],Tab_Def_Flows[Flow_Name],Tab_Def_Flows[Flow_E2_Fraction'[%']],"N.A.",0,1)</f>
        <v>0</v>
      </c>
      <c r="Z507" s="2">
        <f>IF(D507="Yes",W507*Tab_Data_Flows[[#This Row],[E2_Fraction'[%']]],"N.A.")</f>
        <v>0</v>
      </c>
      <c r="AA507" s="2" t="str">
        <f>Tab_Data_Flows[[#This Row],[E1_UoM]]</f>
        <v>Mg</v>
      </c>
      <c r="AB507" s="19">
        <f>_xlfn.XLOOKUP(Tab_Data_Flows[[#This Row],[Flow_Name]],Tab_Def_Flows[Flow_Name],Tab_Def_Flows[Flow_E3_Fraction'[%']],"N.A.",0,1)</f>
        <v>0</v>
      </c>
      <c r="AC507" s="2">
        <f>IF(E507="Yes",AB507*Tab_Data_Flows[[#This Row],[E1_value]],"N.A.")</f>
        <v>0</v>
      </c>
      <c r="AD507" s="2" t="str">
        <f>Tab_Data_Flows[[#This Row],[E1_UoM]]</f>
        <v>Mg</v>
      </c>
      <c r="AE507" s="19">
        <f>_xlfn.XLOOKUP(Tab_Data_Flows[[#This Row],[Flow_Name]],Tab_Def_Flows[Flow_Name],Tab_Def_Flows[Flow_E4_Fraction'[%']],"N.A.",0,1)</f>
        <v>0</v>
      </c>
      <c r="AF507" s="2">
        <f>IF(H507="Yes",Tab_Data_Flows[[#This Row],[E4_Fraction'[%']]]*Tab_Data_Flows[[#This Row],[E1_value]],"N.A.")</f>
        <v>0</v>
      </c>
      <c r="AG507" s="2" t="str">
        <f>Tab_Data_Flows[[#This Row],[E1_UoM]]</f>
        <v>Mg</v>
      </c>
      <c r="AH507" s="2">
        <f>_xlfn.XLOOKUP(Tab_Data_Flows[[#This Row],[Flow_Name]],Tab_Def_Flows[Flow_Name],Tab_Def_Flows[Flow_E5_Fraction'[%']],"N.A.",0,1)</f>
        <v>0</v>
      </c>
      <c r="AI507" s="2">
        <f>IF(H507="Yes",Tab_Data_Flows[[#This Row],[E5_Fraction'[%']]]*Tab_Data_Flows[[#This Row],[E1_value]],"N.A.")</f>
        <v>0</v>
      </c>
      <c r="AJ507" s="2" t="str">
        <f>Tab_Data_Flows[[#This Row],[E1_UoM]]</f>
        <v>Mg</v>
      </c>
      <c r="AK507" s="19">
        <f>_xlfn.XLOOKUP(Tab_Data_Flows[[#This Row],[Flow_Name]],Tab_Def_Flows[Flow_Name],Tab_Def_Flows[Flow_E6_Fraction'[%']],"N.A.",0,1)</f>
        <v>0</v>
      </c>
      <c r="AL507" s="2">
        <f>IF(Tab_Data_Flows[[#This Row],[Use_E6]]="Yes",Tab_Data_Flows[[#This Row],[E6_Fraction'[%']]]*Tab_Data_Flows[[#This Row],[E1_value]],"N.A.")</f>
        <v>0</v>
      </c>
      <c r="AM507" s="2" t="str">
        <f>Tab_Data_Flows[[#This Row],[E1_UoM]]</f>
        <v>Mg</v>
      </c>
    </row>
    <row r="508" spans="1:39" x14ac:dyDescent="0.25">
      <c r="A508" s="4">
        <f t="shared" si="12"/>
        <v>507</v>
      </c>
      <c r="B508" s="2" t="str">
        <f>_xlfn.XLOOKUP(C508,Tab_Def_Flows[Flow_Name],Tab_Def_Flows[Flow_ID],,0,)</f>
        <v>F__</v>
      </c>
      <c r="C508" s="18" t="s">
        <v>5</v>
      </c>
      <c r="D508" s="5" t="str">
        <f>_xlfn.XLOOKUP(C508,Tab_Def_Flows[Flow_Name],Tab_Def_Flows[Use_E1],,0,)</f>
        <v>Yes</v>
      </c>
      <c r="E508" s="5" t="str">
        <f>_xlfn.XLOOKUP(C508,Tab_Def_Flows[Flow_Name],Tab_Def_Flows[Use_E2],,0,)</f>
        <v>Yes</v>
      </c>
      <c r="F508" s="5" t="str">
        <f>_xlfn.XLOOKUP(C508,Tab_Def_Flows[Flow_Name],Tab_Def_Flows[Use_E3],,0,)</f>
        <v>Yes</v>
      </c>
      <c r="G508" s="5" t="str">
        <f>_xlfn.XLOOKUP(C508,Tab_Def_Flows[Flow_Name],Tab_Def_Flows[Use_E4],,0,)</f>
        <v>Yes</v>
      </c>
      <c r="H508" s="5" t="str">
        <f>_xlfn.XLOOKUP(C508,Tab_Def_Flows[Flow_Name],Tab_Def_Flows[Use_E5],,0,)</f>
        <v>Yes</v>
      </c>
      <c r="I508" s="5" t="str">
        <f>_xlfn.XLOOKUP(C508,Tab_Def_Flows[Flow_Name],Tab_Def_Flows[Use_E6],,0,)</f>
        <v>Yes</v>
      </c>
      <c r="J508" s="3"/>
      <c r="K508" s="3"/>
      <c r="L508" s="2" t="str">
        <f>'0_Configuration'!$C$41</f>
        <v>Mg</v>
      </c>
      <c r="M508" s="9"/>
      <c r="N508" s="9"/>
      <c r="O508" s="9"/>
      <c r="P508" s="9"/>
      <c r="Q508" s="18" t="s">
        <v>3</v>
      </c>
      <c r="R508" s="3"/>
      <c r="S508" s="3"/>
      <c r="T508" s="9"/>
      <c r="U508" s="9"/>
      <c r="V508" s="2">
        <f>_xlfn.XLOOKUP(Tab_Data_Flows[[#This Row],[Flow_Name]],Tab_Def_Flows[Flow_Name],Tab_Def_Flows[Flow_E1_Fraction'[%']],"N.A.",0,1)</f>
        <v>0</v>
      </c>
      <c r="W508" s="8">
        <f t="shared" si="16"/>
        <v>0</v>
      </c>
      <c r="X508" s="2" t="str">
        <f>Tab_Data_Flows[[#This Row],[UoM_Source]]</f>
        <v>Mg</v>
      </c>
      <c r="Y508" s="19">
        <f>_xlfn.XLOOKUP(Tab_Data_Flows[[#This Row],[Flow_Name]],Tab_Def_Flows[Flow_Name],Tab_Def_Flows[Flow_E2_Fraction'[%']],"N.A.",0,1)</f>
        <v>0</v>
      </c>
      <c r="Z508" s="2">
        <f>IF(D508="Yes",W508*Tab_Data_Flows[[#This Row],[E2_Fraction'[%']]],"N.A.")</f>
        <v>0</v>
      </c>
      <c r="AA508" s="2" t="str">
        <f>Tab_Data_Flows[[#This Row],[E1_UoM]]</f>
        <v>Mg</v>
      </c>
      <c r="AB508" s="19">
        <f>_xlfn.XLOOKUP(Tab_Data_Flows[[#This Row],[Flow_Name]],Tab_Def_Flows[Flow_Name],Tab_Def_Flows[Flow_E3_Fraction'[%']],"N.A.",0,1)</f>
        <v>0</v>
      </c>
      <c r="AC508" s="2">
        <f>IF(E508="Yes",AB508*Tab_Data_Flows[[#This Row],[E1_value]],"N.A.")</f>
        <v>0</v>
      </c>
      <c r="AD508" s="2" t="str">
        <f>Tab_Data_Flows[[#This Row],[E1_UoM]]</f>
        <v>Mg</v>
      </c>
      <c r="AE508" s="19">
        <f>_xlfn.XLOOKUP(Tab_Data_Flows[[#This Row],[Flow_Name]],Tab_Def_Flows[Flow_Name],Tab_Def_Flows[Flow_E4_Fraction'[%']],"N.A.",0,1)</f>
        <v>0</v>
      </c>
      <c r="AF508" s="2">
        <f>IF(H508="Yes",Tab_Data_Flows[[#This Row],[E4_Fraction'[%']]]*Tab_Data_Flows[[#This Row],[E1_value]],"N.A.")</f>
        <v>0</v>
      </c>
      <c r="AG508" s="2" t="str">
        <f>Tab_Data_Flows[[#This Row],[E1_UoM]]</f>
        <v>Mg</v>
      </c>
      <c r="AH508" s="2">
        <f>_xlfn.XLOOKUP(Tab_Data_Flows[[#This Row],[Flow_Name]],Tab_Def_Flows[Flow_Name],Tab_Def_Flows[Flow_E5_Fraction'[%']],"N.A.",0,1)</f>
        <v>0</v>
      </c>
      <c r="AI508" s="2">
        <f>IF(H508="Yes",Tab_Data_Flows[[#This Row],[E5_Fraction'[%']]]*Tab_Data_Flows[[#This Row],[E1_value]],"N.A.")</f>
        <v>0</v>
      </c>
      <c r="AJ508" s="2" t="str">
        <f>Tab_Data_Flows[[#This Row],[E1_UoM]]</f>
        <v>Mg</v>
      </c>
      <c r="AK508" s="19">
        <f>_xlfn.XLOOKUP(Tab_Data_Flows[[#This Row],[Flow_Name]],Tab_Def_Flows[Flow_Name],Tab_Def_Flows[Flow_E6_Fraction'[%']],"N.A.",0,1)</f>
        <v>0</v>
      </c>
      <c r="AL508" s="2">
        <f>IF(Tab_Data_Flows[[#This Row],[Use_E6]]="Yes",Tab_Data_Flows[[#This Row],[E6_Fraction'[%']]]*Tab_Data_Flows[[#This Row],[E1_value]],"N.A.")</f>
        <v>0</v>
      </c>
      <c r="AM508" s="2" t="str">
        <f>Tab_Data_Flows[[#This Row],[E1_UoM]]</f>
        <v>Mg</v>
      </c>
    </row>
    <row r="509" spans="1:39" x14ac:dyDescent="0.25">
      <c r="A509" s="4">
        <f t="shared" si="12"/>
        <v>508</v>
      </c>
      <c r="B509" s="2" t="str">
        <f>_xlfn.XLOOKUP(C509,Tab_Def_Flows[Flow_Name],Tab_Def_Flows[Flow_ID],,0,)</f>
        <v>F__</v>
      </c>
      <c r="C509" s="18" t="s">
        <v>5</v>
      </c>
      <c r="D509" s="5" t="str">
        <f>_xlfn.XLOOKUP(C509,Tab_Def_Flows[Flow_Name],Tab_Def_Flows[Use_E1],,0,)</f>
        <v>Yes</v>
      </c>
      <c r="E509" s="5" t="str">
        <f>_xlfn.XLOOKUP(C509,Tab_Def_Flows[Flow_Name],Tab_Def_Flows[Use_E2],,0,)</f>
        <v>Yes</v>
      </c>
      <c r="F509" s="5" t="str">
        <f>_xlfn.XLOOKUP(C509,Tab_Def_Flows[Flow_Name],Tab_Def_Flows[Use_E3],,0,)</f>
        <v>Yes</v>
      </c>
      <c r="G509" s="5" t="str">
        <f>_xlfn.XLOOKUP(C509,Tab_Def_Flows[Flow_Name],Tab_Def_Flows[Use_E4],,0,)</f>
        <v>Yes</v>
      </c>
      <c r="H509" s="5" t="str">
        <f>_xlfn.XLOOKUP(C509,Tab_Def_Flows[Flow_Name],Tab_Def_Flows[Use_E5],,0,)</f>
        <v>Yes</v>
      </c>
      <c r="I509" s="5" t="str">
        <f>_xlfn.XLOOKUP(C509,Tab_Def_Flows[Flow_Name],Tab_Def_Flows[Use_E6],,0,)</f>
        <v>Yes</v>
      </c>
      <c r="J509" s="3"/>
      <c r="K509" s="3"/>
      <c r="L509" s="2" t="str">
        <f>'0_Configuration'!$C$41</f>
        <v>Mg</v>
      </c>
      <c r="M509" s="9"/>
      <c r="N509" s="9"/>
      <c r="O509" s="9"/>
      <c r="P509" s="9"/>
      <c r="Q509" s="18" t="s">
        <v>3</v>
      </c>
      <c r="R509" s="3"/>
      <c r="S509" s="3"/>
      <c r="T509" s="9"/>
      <c r="U509" s="9"/>
      <c r="V509" s="2">
        <f>_xlfn.XLOOKUP(Tab_Data_Flows[[#This Row],[Flow_Name]],Tab_Def_Flows[Flow_Name],Tab_Def_Flows[Flow_E1_Fraction'[%']],"N.A.",0,1)</f>
        <v>0</v>
      </c>
      <c r="W509" s="8">
        <f t="shared" si="16"/>
        <v>0</v>
      </c>
      <c r="X509" s="2" t="str">
        <f>Tab_Data_Flows[[#This Row],[UoM_Source]]</f>
        <v>Mg</v>
      </c>
      <c r="Y509" s="19">
        <f>_xlfn.XLOOKUP(Tab_Data_Flows[[#This Row],[Flow_Name]],Tab_Def_Flows[Flow_Name],Tab_Def_Flows[Flow_E2_Fraction'[%']],"N.A.",0,1)</f>
        <v>0</v>
      </c>
      <c r="Z509" s="2">
        <f>IF(D509="Yes",W509*Tab_Data_Flows[[#This Row],[E2_Fraction'[%']]],"N.A.")</f>
        <v>0</v>
      </c>
      <c r="AA509" s="2" t="str">
        <f>Tab_Data_Flows[[#This Row],[E1_UoM]]</f>
        <v>Mg</v>
      </c>
      <c r="AB509" s="19">
        <f>_xlfn.XLOOKUP(Tab_Data_Flows[[#This Row],[Flow_Name]],Tab_Def_Flows[Flow_Name],Tab_Def_Flows[Flow_E3_Fraction'[%']],"N.A.",0,1)</f>
        <v>0</v>
      </c>
      <c r="AC509" s="2">
        <f>IF(E509="Yes",AB509*Tab_Data_Flows[[#This Row],[E1_value]],"N.A.")</f>
        <v>0</v>
      </c>
      <c r="AD509" s="2" t="str">
        <f>Tab_Data_Flows[[#This Row],[E1_UoM]]</f>
        <v>Mg</v>
      </c>
      <c r="AE509" s="19">
        <f>_xlfn.XLOOKUP(Tab_Data_Flows[[#This Row],[Flow_Name]],Tab_Def_Flows[Flow_Name],Tab_Def_Flows[Flow_E4_Fraction'[%']],"N.A.",0,1)</f>
        <v>0</v>
      </c>
      <c r="AF509" s="2">
        <f>IF(H509="Yes",Tab_Data_Flows[[#This Row],[E4_Fraction'[%']]]*Tab_Data_Flows[[#This Row],[E1_value]],"N.A.")</f>
        <v>0</v>
      </c>
      <c r="AG509" s="2" t="str">
        <f>Tab_Data_Flows[[#This Row],[E1_UoM]]</f>
        <v>Mg</v>
      </c>
      <c r="AH509" s="2">
        <f>_xlfn.XLOOKUP(Tab_Data_Flows[[#This Row],[Flow_Name]],Tab_Def_Flows[Flow_Name],Tab_Def_Flows[Flow_E5_Fraction'[%']],"N.A.",0,1)</f>
        <v>0</v>
      </c>
      <c r="AI509" s="2">
        <f>IF(H509="Yes",Tab_Data_Flows[[#This Row],[E5_Fraction'[%']]]*Tab_Data_Flows[[#This Row],[E1_value]],"N.A.")</f>
        <v>0</v>
      </c>
      <c r="AJ509" s="2" t="str">
        <f>Tab_Data_Flows[[#This Row],[E1_UoM]]</f>
        <v>Mg</v>
      </c>
      <c r="AK509" s="19">
        <f>_xlfn.XLOOKUP(Tab_Data_Flows[[#This Row],[Flow_Name]],Tab_Def_Flows[Flow_Name],Tab_Def_Flows[Flow_E6_Fraction'[%']],"N.A.",0,1)</f>
        <v>0</v>
      </c>
      <c r="AL509" s="2">
        <f>IF(Tab_Data_Flows[[#This Row],[Use_E6]]="Yes",Tab_Data_Flows[[#This Row],[E6_Fraction'[%']]]*Tab_Data_Flows[[#This Row],[E1_value]],"N.A.")</f>
        <v>0</v>
      </c>
      <c r="AM509" s="2" t="str">
        <f>Tab_Data_Flows[[#This Row],[E1_UoM]]</f>
        <v>Mg</v>
      </c>
    </row>
    <row r="510" spans="1:39" x14ac:dyDescent="0.25">
      <c r="A510" s="4">
        <f t="shared" si="12"/>
        <v>509</v>
      </c>
      <c r="B510" s="2" t="str">
        <f>_xlfn.XLOOKUP(C510,Tab_Def_Flows[Flow_Name],Tab_Def_Flows[Flow_ID],,0,)</f>
        <v>F__</v>
      </c>
      <c r="C510" s="18" t="s">
        <v>5</v>
      </c>
      <c r="D510" s="5" t="str">
        <f>_xlfn.XLOOKUP(C510,Tab_Def_Flows[Flow_Name],Tab_Def_Flows[Use_E1],,0,)</f>
        <v>Yes</v>
      </c>
      <c r="E510" s="5" t="str">
        <f>_xlfn.XLOOKUP(C510,Tab_Def_Flows[Flow_Name],Tab_Def_Flows[Use_E2],,0,)</f>
        <v>Yes</v>
      </c>
      <c r="F510" s="5" t="str">
        <f>_xlfn.XLOOKUP(C510,Tab_Def_Flows[Flow_Name],Tab_Def_Flows[Use_E3],,0,)</f>
        <v>Yes</v>
      </c>
      <c r="G510" s="5" t="str">
        <f>_xlfn.XLOOKUP(C510,Tab_Def_Flows[Flow_Name],Tab_Def_Flows[Use_E4],,0,)</f>
        <v>Yes</v>
      </c>
      <c r="H510" s="5" t="str">
        <f>_xlfn.XLOOKUP(C510,Tab_Def_Flows[Flow_Name],Tab_Def_Flows[Use_E5],,0,)</f>
        <v>Yes</v>
      </c>
      <c r="I510" s="5" t="str">
        <f>_xlfn.XLOOKUP(C510,Tab_Def_Flows[Flow_Name],Tab_Def_Flows[Use_E6],,0,)</f>
        <v>Yes</v>
      </c>
      <c r="J510" s="3"/>
      <c r="K510" s="3"/>
      <c r="L510" s="2" t="str">
        <f>'0_Configuration'!$C$41</f>
        <v>Mg</v>
      </c>
      <c r="M510" s="9"/>
      <c r="N510" s="9"/>
      <c r="O510" s="9"/>
      <c r="P510" s="9"/>
      <c r="Q510" s="18" t="s">
        <v>3</v>
      </c>
      <c r="R510" s="3"/>
      <c r="S510" s="3"/>
      <c r="T510" s="9"/>
      <c r="U510" s="9"/>
      <c r="V510" s="2">
        <f>_xlfn.XLOOKUP(Tab_Data_Flows[[#This Row],[Flow_Name]],Tab_Def_Flows[Flow_Name],Tab_Def_Flows[Flow_E1_Fraction'[%']],"N.A.",0,1)</f>
        <v>0</v>
      </c>
      <c r="W510" s="8">
        <f t="shared" si="16"/>
        <v>0</v>
      </c>
      <c r="X510" s="2" t="str">
        <f>Tab_Data_Flows[[#This Row],[UoM_Source]]</f>
        <v>Mg</v>
      </c>
      <c r="Y510" s="19">
        <f>_xlfn.XLOOKUP(Tab_Data_Flows[[#This Row],[Flow_Name]],Tab_Def_Flows[Flow_Name],Tab_Def_Flows[Flow_E2_Fraction'[%']],"N.A.",0,1)</f>
        <v>0</v>
      </c>
      <c r="Z510" s="2">
        <f>IF(D510="Yes",W510*Tab_Data_Flows[[#This Row],[E2_Fraction'[%']]],"N.A.")</f>
        <v>0</v>
      </c>
      <c r="AA510" s="2" t="str">
        <f>Tab_Data_Flows[[#This Row],[E1_UoM]]</f>
        <v>Mg</v>
      </c>
      <c r="AB510" s="19">
        <f>_xlfn.XLOOKUP(Tab_Data_Flows[[#This Row],[Flow_Name]],Tab_Def_Flows[Flow_Name],Tab_Def_Flows[Flow_E3_Fraction'[%']],"N.A.",0,1)</f>
        <v>0</v>
      </c>
      <c r="AC510" s="2">
        <f>IF(E510="Yes",AB510*Tab_Data_Flows[[#This Row],[E1_value]],"N.A.")</f>
        <v>0</v>
      </c>
      <c r="AD510" s="2" t="str">
        <f>Tab_Data_Flows[[#This Row],[E1_UoM]]</f>
        <v>Mg</v>
      </c>
      <c r="AE510" s="19">
        <f>_xlfn.XLOOKUP(Tab_Data_Flows[[#This Row],[Flow_Name]],Tab_Def_Flows[Flow_Name],Tab_Def_Flows[Flow_E4_Fraction'[%']],"N.A.",0,1)</f>
        <v>0</v>
      </c>
      <c r="AF510" s="2">
        <f>IF(H510="Yes",Tab_Data_Flows[[#This Row],[E4_Fraction'[%']]]*Tab_Data_Flows[[#This Row],[E1_value]],"N.A.")</f>
        <v>0</v>
      </c>
      <c r="AG510" s="2" t="str">
        <f>Tab_Data_Flows[[#This Row],[E1_UoM]]</f>
        <v>Mg</v>
      </c>
      <c r="AH510" s="2">
        <f>_xlfn.XLOOKUP(Tab_Data_Flows[[#This Row],[Flow_Name]],Tab_Def_Flows[Flow_Name],Tab_Def_Flows[Flow_E5_Fraction'[%']],"N.A.",0,1)</f>
        <v>0</v>
      </c>
      <c r="AI510" s="2">
        <f>IF(H510="Yes",Tab_Data_Flows[[#This Row],[E5_Fraction'[%']]]*Tab_Data_Flows[[#This Row],[E1_value]],"N.A.")</f>
        <v>0</v>
      </c>
      <c r="AJ510" s="2" t="str">
        <f>Tab_Data_Flows[[#This Row],[E1_UoM]]</f>
        <v>Mg</v>
      </c>
      <c r="AK510" s="19">
        <f>_xlfn.XLOOKUP(Tab_Data_Flows[[#This Row],[Flow_Name]],Tab_Def_Flows[Flow_Name],Tab_Def_Flows[Flow_E6_Fraction'[%']],"N.A.",0,1)</f>
        <v>0</v>
      </c>
      <c r="AL510" s="2">
        <f>IF(Tab_Data_Flows[[#This Row],[Use_E6]]="Yes",Tab_Data_Flows[[#This Row],[E6_Fraction'[%']]]*Tab_Data_Flows[[#This Row],[E1_value]],"N.A.")</f>
        <v>0</v>
      </c>
      <c r="AM510" s="2" t="str">
        <f>Tab_Data_Flows[[#This Row],[E1_UoM]]</f>
        <v>Mg</v>
      </c>
    </row>
    <row r="511" spans="1:39" x14ac:dyDescent="0.25">
      <c r="A511" s="4">
        <f t="shared" si="12"/>
        <v>510</v>
      </c>
      <c r="B511" s="2" t="str">
        <f>_xlfn.XLOOKUP(C511,Tab_Def_Flows[Flow_Name],Tab_Def_Flows[Flow_ID],,0,)</f>
        <v>F__</v>
      </c>
      <c r="C511" s="18" t="s">
        <v>5</v>
      </c>
      <c r="D511" s="5" t="str">
        <f>_xlfn.XLOOKUP(C511,Tab_Def_Flows[Flow_Name],Tab_Def_Flows[Use_E1],,0,)</f>
        <v>Yes</v>
      </c>
      <c r="E511" s="5" t="str">
        <f>_xlfn.XLOOKUP(C511,Tab_Def_Flows[Flow_Name],Tab_Def_Flows[Use_E2],,0,)</f>
        <v>Yes</v>
      </c>
      <c r="F511" s="5" t="str">
        <f>_xlfn.XLOOKUP(C511,Tab_Def_Flows[Flow_Name],Tab_Def_Flows[Use_E3],,0,)</f>
        <v>Yes</v>
      </c>
      <c r="G511" s="5" t="str">
        <f>_xlfn.XLOOKUP(C511,Tab_Def_Flows[Flow_Name],Tab_Def_Flows[Use_E4],,0,)</f>
        <v>Yes</v>
      </c>
      <c r="H511" s="5" t="str">
        <f>_xlfn.XLOOKUP(C511,Tab_Def_Flows[Flow_Name],Tab_Def_Flows[Use_E5],,0,)</f>
        <v>Yes</v>
      </c>
      <c r="I511" s="5" t="str">
        <f>_xlfn.XLOOKUP(C511,Tab_Def_Flows[Flow_Name],Tab_Def_Flows[Use_E6],,0,)</f>
        <v>Yes</v>
      </c>
      <c r="J511" s="3"/>
      <c r="K511" s="3"/>
      <c r="L511" s="2" t="str">
        <f>'0_Configuration'!$C$41</f>
        <v>Mg</v>
      </c>
      <c r="M511" s="9"/>
      <c r="N511" s="9"/>
      <c r="O511" s="9"/>
      <c r="P511" s="9"/>
      <c r="Q511" s="18" t="s">
        <v>3</v>
      </c>
      <c r="R511" s="3"/>
      <c r="S511" s="3"/>
      <c r="T511" s="9"/>
      <c r="U511" s="9"/>
      <c r="V511" s="2">
        <f>_xlfn.XLOOKUP(Tab_Data_Flows[[#This Row],[Flow_Name]],Tab_Def_Flows[Flow_Name],Tab_Def_Flows[Flow_E1_Fraction'[%']],"N.A.",0,1)</f>
        <v>0</v>
      </c>
      <c r="W511" s="8">
        <f t="shared" si="16"/>
        <v>0</v>
      </c>
      <c r="X511" s="2" t="str">
        <f>Tab_Data_Flows[[#This Row],[UoM_Source]]</f>
        <v>Mg</v>
      </c>
      <c r="Y511" s="19">
        <f>_xlfn.XLOOKUP(Tab_Data_Flows[[#This Row],[Flow_Name]],Tab_Def_Flows[Flow_Name],Tab_Def_Flows[Flow_E2_Fraction'[%']],"N.A.",0,1)</f>
        <v>0</v>
      </c>
      <c r="Z511" s="2">
        <f>IF(D511="Yes",W511*Tab_Data_Flows[[#This Row],[E2_Fraction'[%']]],"N.A.")</f>
        <v>0</v>
      </c>
      <c r="AA511" s="2" t="str">
        <f>Tab_Data_Flows[[#This Row],[E1_UoM]]</f>
        <v>Mg</v>
      </c>
      <c r="AB511" s="19">
        <f>_xlfn.XLOOKUP(Tab_Data_Flows[[#This Row],[Flow_Name]],Tab_Def_Flows[Flow_Name],Tab_Def_Flows[Flow_E3_Fraction'[%']],"N.A.",0,1)</f>
        <v>0</v>
      </c>
      <c r="AC511" s="2">
        <f>IF(E511="Yes",AB511*Tab_Data_Flows[[#This Row],[E1_value]],"N.A.")</f>
        <v>0</v>
      </c>
      <c r="AD511" s="2" t="str">
        <f>Tab_Data_Flows[[#This Row],[E1_UoM]]</f>
        <v>Mg</v>
      </c>
      <c r="AE511" s="19">
        <f>_xlfn.XLOOKUP(Tab_Data_Flows[[#This Row],[Flow_Name]],Tab_Def_Flows[Flow_Name],Tab_Def_Flows[Flow_E4_Fraction'[%']],"N.A.",0,1)</f>
        <v>0</v>
      </c>
      <c r="AF511" s="2">
        <f>IF(H511="Yes",Tab_Data_Flows[[#This Row],[E4_Fraction'[%']]]*Tab_Data_Flows[[#This Row],[E1_value]],"N.A.")</f>
        <v>0</v>
      </c>
      <c r="AG511" s="2" t="str">
        <f>Tab_Data_Flows[[#This Row],[E1_UoM]]</f>
        <v>Mg</v>
      </c>
      <c r="AH511" s="2">
        <f>_xlfn.XLOOKUP(Tab_Data_Flows[[#This Row],[Flow_Name]],Tab_Def_Flows[Flow_Name],Tab_Def_Flows[Flow_E5_Fraction'[%']],"N.A.",0,1)</f>
        <v>0</v>
      </c>
      <c r="AI511" s="2">
        <f>IF(H511="Yes",Tab_Data_Flows[[#This Row],[E5_Fraction'[%']]]*Tab_Data_Flows[[#This Row],[E1_value]],"N.A.")</f>
        <v>0</v>
      </c>
      <c r="AJ511" s="2" t="str">
        <f>Tab_Data_Flows[[#This Row],[E1_UoM]]</f>
        <v>Mg</v>
      </c>
      <c r="AK511" s="19">
        <f>_xlfn.XLOOKUP(Tab_Data_Flows[[#This Row],[Flow_Name]],Tab_Def_Flows[Flow_Name],Tab_Def_Flows[Flow_E6_Fraction'[%']],"N.A.",0,1)</f>
        <v>0</v>
      </c>
      <c r="AL511" s="2">
        <f>IF(Tab_Data_Flows[[#This Row],[Use_E6]]="Yes",Tab_Data_Flows[[#This Row],[E6_Fraction'[%']]]*Tab_Data_Flows[[#This Row],[E1_value]],"N.A.")</f>
        <v>0</v>
      </c>
      <c r="AM511" s="2" t="str">
        <f>Tab_Data_Flows[[#This Row],[E1_UoM]]</f>
        <v>Mg</v>
      </c>
    </row>
    <row r="512" spans="1:39" x14ac:dyDescent="0.25">
      <c r="A512" s="4">
        <f t="shared" si="12"/>
        <v>511</v>
      </c>
      <c r="B512" s="2" t="str">
        <f>_xlfn.XLOOKUP(C512,Tab_Def_Flows[Flow_Name],Tab_Def_Flows[Flow_ID],,0,)</f>
        <v>F__</v>
      </c>
      <c r="C512" s="18" t="s">
        <v>5</v>
      </c>
      <c r="D512" s="5" t="str">
        <f>_xlfn.XLOOKUP(C512,Tab_Def_Flows[Flow_Name],Tab_Def_Flows[Use_E1],,0,)</f>
        <v>Yes</v>
      </c>
      <c r="E512" s="5" t="str">
        <f>_xlfn.XLOOKUP(C512,Tab_Def_Flows[Flow_Name],Tab_Def_Flows[Use_E2],,0,)</f>
        <v>Yes</v>
      </c>
      <c r="F512" s="5" t="str">
        <f>_xlfn.XLOOKUP(C512,Tab_Def_Flows[Flow_Name],Tab_Def_Flows[Use_E3],,0,)</f>
        <v>Yes</v>
      </c>
      <c r="G512" s="5" t="str">
        <f>_xlfn.XLOOKUP(C512,Tab_Def_Flows[Flow_Name],Tab_Def_Flows[Use_E4],,0,)</f>
        <v>Yes</v>
      </c>
      <c r="H512" s="5" t="str">
        <f>_xlfn.XLOOKUP(C512,Tab_Def_Flows[Flow_Name],Tab_Def_Flows[Use_E5],,0,)</f>
        <v>Yes</v>
      </c>
      <c r="I512" s="5" t="str">
        <f>_xlfn.XLOOKUP(C512,Tab_Def_Flows[Flow_Name],Tab_Def_Flows[Use_E6],,0,)</f>
        <v>Yes</v>
      </c>
      <c r="J512" s="3"/>
      <c r="K512" s="3"/>
      <c r="L512" s="2" t="str">
        <f>'0_Configuration'!$C$41</f>
        <v>Mg</v>
      </c>
      <c r="M512" s="9"/>
      <c r="N512" s="9"/>
      <c r="O512" s="9"/>
      <c r="P512" s="9"/>
      <c r="Q512" s="18" t="s">
        <v>3</v>
      </c>
      <c r="R512" s="3"/>
      <c r="S512" s="3"/>
      <c r="T512" s="9"/>
      <c r="U512" s="9"/>
      <c r="V512" s="2">
        <f>_xlfn.XLOOKUP(Tab_Data_Flows[[#This Row],[Flow_Name]],Tab_Def_Flows[Flow_Name],Tab_Def_Flows[Flow_E1_Fraction'[%']],"N.A.",0,1)</f>
        <v>0</v>
      </c>
      <c r="W512" s="8">
        <f t="shared" si="16"/>
        <v>0</v>
      </c>
      <c r="X512" s="2" t="str">
        <f>Tab_Data_Flows[[#This Row],[UoM_Source]]</f>
        <v>Mg</v>
      </c>
      <c r="Y512" s="19">
        <f>_xlfn.XLOOKUP(Tab_Data_Flows[[#This Row],[Flow_Name]],Tab_Def_Flows[Flow_Name],Tab_Def_Flows[Flow_E2_Fraction'[%']],"N.A.",0,1)</f>
        <v>0</v>
      </c>
      <c r="Z512" s="2">
        <f>IF(D512="Yes",W512*Tab_Data_Flows[[#This Row],[E2_Fraction'[%']]],"N.A.")</f>
        <v>0</v>
      </c>
      <c r="AA512" s="2" t="str">
        <f>Tab_Data_Flows[[#This Row],[E1_UoM]]</f>
        <v>Mg</v>
      </c>
      <c r="AB512" s="19">
        <f>_xlfn.XLOOKUP(Tab_Data_Flows[[#This Row],[Flow_Name]],Tab_Def_Flows[Flow_Name],Tab_Def_Flows[Flow_E3_Fraction'[%']],"N.A.",0,1)</f>
        <v>0</v>
      </c>
      <c r="AC512" s="2">
        <f>IF(E512="Yes",AB512*Tab_Data_Flows[[#This Row],[E1_value]],"N.A.")</f>
        <v>0</v>
      </c>
      <c r="AD512" s="2" t="str">
        <f>Tab_Data_Flows[[#This Row],[E1_UoM]]</f>
        <v>Mg</v>
      </c>
      <c r="AE512" s="19">
        <f>_xlfn.XLOOKUP(Tab_Data_Flows[[#This Row],[Flow_Name]],Tab_Def_Flows[Flow_Name],Tab_Def_Flows[Flow_E4_Fraction'[%']],"N.A.",0,1)</f>
        <v>0</v>
      </c>
      <c r="AF512" s="2">
        <f>IF(H512="Yes",Tab_Data_Flows[[#This Row],[E4_Fraction'[%']]]*Tab_Data_Flows[[#This Row],[E1_value]],"N.A.")</f>
        <v>0</v>
      </c>
      <c r="AG512" s="2" t="str">
        <f>Tab_Data_Flows[[#This Row],[E1_UoM]]</f>
        <v>Mg</v>
      </c>
      <c r="AH512" s="2">
        <f>_xlfn.XLOOKUP(Tab_Data_Flows[[#This Row],[Flow_Name]],Tab_Def_Flows[Flow_Name],Tab_Def_Flows[Flow_E5_Fraction'[%']],"N.A.",0,1)</f>
        <v>0</v>
      </c>
      <c r="AI512" s="2">
        <f>IF(H512="Yes",Tab_Data_Flows[[#This Row],[E5_Fraction'[%']]]*Tab_Data_Flows[[#This Row],[E1_value]],"N.A.")</f>
        <v>0</v>
      </c>
      <c r="AJ512" s="2" t="str">
        <f>Tab_Data_Flows[[#This Row],[E1_UoM]]</f>
        <v>Mg</v>
      </c>
      <c r="AK512" s="19">
        <f>_xlfn.XLOOKUP(Tab_Data_Flows[[#This Row],[Flow_Name]],Tab_Def_Flows[Flow_Name],Tab_Def_Flows[Flow_E6_Fraction'[%']],"N.A.",0,1)</f>
        <v>0</v>
      </c>
      <c r="AL512" s="2">
        <f>IF(Tab_Data_Flows[[#This Row],[Use_E6]]="Yes",Tab_Data_Flows[[#This Row],[E6_Fraction'[%']]]*Tab_Data_Flows[[#This Row],[E1_value]],"N.A.")</f>
        <v>0</v>
      </c>
      <c r="AM512" s="2" t="str">
        <f>Tab_Data_Flows[[#This Row],[E1_UoM]]</f>
        <v>Mg</v>
      </c>
    </row>
    <row r="513" spans="1:39" x14ac:dyDescent="0.25">
      <c r="A513" s="4">
        <f t="shared" si="12"/>
        <v>512</v>
      </c>
      <c r="B513" s="2" t="str">
        <f>_xlfn.XLOOKUP(C513,Tab_Def_Flows[Flow_Name],Tab_Def_Flows[Flow_ID],,0,)</f>
        <v>F__</v>
      </c>
      <c r="C513" s="18" t="s">
        <v>5</v>
      </c>
      <c r="D513" s="5" t="str">
        <f>_xlfn.XLOOKUP(C513,Tab_Def_Flows[Flow_Name],Tab_Def_Flows[Use_E1],,0,)</f>
        <v>Yes</v>
      </c>
      <c r="E513" s="5" t="str">
        <f>_xlfn.XLOOKUP(C513,Tab_Def_Flows[Flow_Name],Tab_Def_Flows[Use_E2],,0,)</f>
        <v>Yes</v>
      </c>
      <c r="F513" s="5" t="str">
        <f>_xlfn.XLOOKUP(C513,Tab_Def_Flows[Flow_Name],Tab_Def_Flows[Use_E3],,0,)</f>
        <v>Yes</v>
      </c>
      <c r="G513" s="5" t="str">
        <f>_xlfn.XLOOKUP(C513,Tab_Def_Flows[Flow_Name],Tab_Def_Flows[Use_E4],,0,)</f>
        <v>Yes</v>
      </c>
      <c r="H513" s="5" t="str">
        <f>_xlfn.XLOOKUP(C513,Tab_Def_Flows[Flow_Name],Tab_Def_Flows[Use_E5],,0,)</f>
        <v>Yes</v>
      </c>
      <c r="I513" s="5" t="str">
        <f>_xlfn.XLOOKUP(C513,Tab_Def_Flows[Flow_Name],Tab_Def_Flows[Use_E6],,0,)</f>
        <v>Yes</v>
      </c>
      <c r="J513" s="3"/>
      <c r="K513" s="3"/>
      <c r="L513" s="2" t="str">
        <f>'0_Configuration'!$C$41</f>
        <v>Mg</v>
      </c>
      <c r="M513" s="9"/>
      <c r="N513" s="9"/>
      <c r="O513" s="9"/>
      <c r="P513" s="9"/>
      <c r="Q513" s="18" t="s">
        <v>3</v>
      </c>
      <c r="R513" s="3"/>
      <c r="S513" s="3"/>
      <c r="T513" s="9"/>
      <c r="U513" s="9"/>
      <c r="V513" s="2">
        <f>_xlfn.XLOOKUP(Tab_Data_Flows[[#This Row],[Flow_Name]],Tab_Def_Flows[Flow_Name],Tab_Def_Flows[Flow_E1_Fraction'[%']],"N.A.",0,1)</f>
        <v>0</v>
      </c>
      <c r="W513" s="8">
        <f t="shared" si="16"/>
        <v>0</v>
      </c>
      <c r="X513" s="2" t="str">
        <f>Tab_Data_Flows[[#This Row],[UoM_Source]]</f>
        <v>Mg</v>
      </c>
      <c r="Y513" s="19">
        <f>_xlfn.XLOOKUP(Tab_Data_Flows[[#This Row],[Flow_Name]],Tab_Def_Flows[Flow_Name],Tab_Def_Flows[Flow_E2_Fraction'[%']],"N.A.",0,1)</f>
        <v>0</v>
      </c>
      <c r="Z513" s="2">
        <f>IF(D513="Yes",W513*Tab_Data_Flows[[#This Row],[E2_Fraction'[%']]],"N.A.")</f>
        <v>0</v>
      </c>
      <c r="AA513" s="2" t="str">
        <f>Tab_Data_Flows[[#This Row],[E1_UoM]]</f>
        <v>Mg</v>
      </c>
      <c r="AB513" s="19">
        <f>_xlfn.XLOOKUP(Tab_Data_Flows[[#This Row],[Flow_Name]],Tab_Def_Flows[Flow_Name],Tab_Def_Flows[Flow_E3_Fraction'[%']],"N.A.",0,1)</f>
        <v>0</v>
      </c>
      <c r="AC513" s="2">
        <f>IF(E513="Yes",AB513*Tab_Data_Flows[[#This Row],[E1_value]],"N.A.")</f>
        <v>0</v>
      </c>
      <c r="AD513" s="2" t="str">
        <f>Tab_Data_Flows[[#This Row],[E1_UoM]]</f>
        <v>Mg</v>
      </c>
      <c r="AE513" s="19">
        <f>_xlfn.XLOOKUP(Tab_Data_Flows[[#This Row],[Flow_Name]],Tab_Def_Flows[Flow_Name],Tab_Def_Flows[Flow_E4_Fraction'[%']],"N.A.",0,1)</f>
        <v>0</v>
      </c>
      <c r="AF513" s="2">
        <f>IF(H513="Yes",Tab_Data_Flows[[#This Row],[E4_Fraction'[%']]]*Tab_Data_Flows[[#This Row],[E1_value]],"N.A.")</f>
        <v>0</v>
      </c>
      <c r="AG513" s="2" t="str">
        <f>Tab_Data_Flows[[#This Row],[E1_UoM]]</f>
        <v>Mg</v>
      </c>
      <c r="AH513" s="2">
        <f>_xlfn.XLOOKUP(Tab_Data_Flows[[#This Row],[Flow_Name]],Tab_Def_Flows[Flow_Name],Tab_Def_Flows[Flow_E5_Fraction'[%']],"N.A.",0,1)</f>
        <v>0</v>
      </c>
      <c r="AI513" s="2">
        <f>IF(H513="Yes",Tab_Data_Flows[[#This Row],[E5_Fraction'[%']]]*Tab_Data_Flows[[#This Row],[E1_value]],"N.A.")</f>
        <v>0</v>
      </c>
      <c r="AJ513" s="2" t="str">
        <f>Tab_Data_Flows[[#This Row],[E1_UoM]]</f>
        <v>Mg</v>
      </c>
      <c r="AK513" s="19">
        <f>_xlfn.XLOOKUP(Tab_Data_Flows[[#This Row],[Flow_Name]],Tab_Def_Flows[Flow_Name],Tab_Def_Flows[Flow_E6_Fraction'[%']],"N.A.",0,1)</f>
        <v>0</v>
      </c>
      <c r="AL513" s="2">
        <f>IF(Tab_Data_Flows[[#This Row],[Use_E6]]="Yes",Tab_Data_Flows[[#This Row],[E6_Fraction'[%']]]*Tab_Data_Flows[[#This Row],[E1_value]],"N.A.")</f>
        <v>0</v>
      </c>
      <c r="AM513" s="2" t="str">
        <f>Tab_Data_Flows[[#This Row],[E1_UoM]]</f>
        <v>Mg</v>
      </c>
    </row>
    <row r="514" spans="1:39" x14ac:dyDescent="0.25">
      <c r="A514" s="4">
        <f t="shared" si="12"/>
        <v>513</v>
      </c>
      <c r="B514" s="2" t="str">
        <f>_xlfn.XLOOKUP(C514,Tab_Def_Flows[Flow_Name],Tab_Def_Flows[Flow_ID],,0,)</f>
        <v>F__</v>
      </c>
      <c r="C514" s="18" t="s">
        <v>5</v>
      </c>
      <c r="D514" s="5" t="str">
        <f>_xlfn.XLOOKUP(C514,Tab_Def_Flows[Flow_Name],Tab_Def_Flows[Use_E1],,0,)</f>
        <v>Yes</v>
      </c>
      <c r="E514" s="5" t="str">
        <f>_xlfn.XLOOKUP(C514,Tab_Def_Flows[Flow_Name],Tab_Def_Flows[Use_E2],,0,)</f>
        <v>Yes</v>
      </c>
      <c r="F514" s="5" t="str">
        <f>_xlfn.XLOOKUP(C514,Tab_Def_Flows[Flow_Name],Tab_Def_Flows[Use_E3],,0,)</f>
        <v>Yes</v>
      </c>
      <c r="G514" s="5" t="str">
        <f>_xlfn.XLOOKUP(C514,Tab_Def_Flows[Flow_Name],Tab_Def_Flows[Use_E4],,0,)</f>
        <v>Yes</v>
      </c>
      <c r="H514" s="5" t="str">
        <f>_xlfn.XLOOKUP(C514,Tab_Def_Flows[Flow_Name],Tab_Def_Flows[Use_E5],,0,)</f>
        <v>Yes</v>
      </c>
      <c r="I514" s="5" t="str">
        <f>_xlfn.XLOOKUP(C514,Tab_Def_Flows[Flow_Name],Tab_Def_Flows[Use_E6],,0,)</f>
        <v>Yes</v>
      </c>
      <c r="J514" s="3"/>
      <c r="K514" s="3"/>
      <c r="L514" s="2" t="str">
        <f>'0_Configuration'!$C$41</f>
        <v>Mg</v>
      </c>
      <c r="M514" s="9"/>
      <c r="N514" s="9"/>
      <c r="O514" s="9"/>
      <c r="P514" s="9"/>
      <c r="Q514" s="18" t="s">
        <v>3</v>
      </c>
      <c r="R514" s="3"/>
      <c r="S514" s="3"/>
      <c r="T514" s="9"/>
      <c r="U514" s="9"/>
      <c r="V514" s="2">
        <f>_xlfn.XLOOKUP(Tab_Data_Flows[[#This Row],[Flow_Name]],Tab_Def_Flows[Flow_Name],Tab_Def_Flows[Flow_E1_Fraction'[%']],"N.A.",0,1)</f>
        <v>0</v>
      </c>
      <c r="W514" s="8">
        <f t="shared" si="16"/>
        <v>0</v>
      </c>
      <c r="X514" s="2" t="str">
        <f>Tab_Data_Flows[[#This Row],[UoM_Source]]</f>
        <v>Mg</v>
      </c>
      <c r="Y514" s="19">
        <f>_xlfn.XLOOKUP(Tab_Data_Flows[[#This Row],[Flow_Name]],Tab_Def_Flows[Flow_Name],Tab_Def_Flows[Flow_E2_Fraction'[%']],"N.A.",0,1)</f>
        <v>0</v>
      </c>
      <c r="Z514" s="2">
        <f>IF(D514="Yes",W514*Tab_Data_Flows[[#This Row],[E2_Fraction'[%']]],"N.A.")</f>
        <v>0</v>
      </c>
      <c r="AA514" s="2" t="str">
        <f>Tab_Data_Flows[[#This Row],[E1_UoM]]</f>
        <v>Mg</v>
      </c>
      <c r="AB514" s="19">
        <f>_xlfn.XLOOKUP(Tab_Data_Flows[[#This Row],[Flow_Name]],Tab_Def_Flows[Flow_Name],Tab_Def_Flows[Flow_E3_Fraction'[%']],"N.A.",0,1)</f>
        <v>0</v>
      </c>
      <c r="AC514" s="2">
        <f>IF(E514="Yes",AB514*Tab_Data_Flows[[#This Row],[E1_value]],"N.A.")</f>
        <v>0</v>
      </c>
      <c r="AD514" s="2" t="str">
        <f>Tab_Data_Flows[[#This Row],[E1_UoM]]</f>
        <v>Mg</v>
      </c>
      <c r="AE514" s="19">
        <f>_xlfn.XLOOKUP(Tab_Data_Flows[[#This Row],[Flow_Name]],Tab_Def_Flows[Flow_Name],Tab_Def_Flows[Flow_E4_Fraction'[%']],"N.A.",0,1)</f>
        <v>0</v>
      </c>
      <c r="AF514" s="2">
        <f>IF(H514="Yes",Tab_Data_Flows[[#This Row],[E4_Fraction'[%']]]*Tab_Data_Flows[[#This Row],[E1_value]],"N.A.")</f>
        <v>0</v>
      </c>
      <c r="AG514" s="2" t="str">
        <f>Tab_Data_Flows[[#This Row],[E1_UoM]]</f>
        <v>Mg</v>
      </c>
      <c r="AH514" s="2">
        <f>_xlfn.XLOOKUP(Tab_Data_Flows[[#This Row],[Flow_Name]],Tab_Def_Flows[Flow_Name],Tab_Def_Flows[Flow_E5_Fraction'[%']],"N.A.",0,1)</f>
        <v>0</v>
      </c>
      <c r="AI514" s="2">
        <f>IF(H514="Yes",Tab_Data_Flows[[#This Row],[E5_Fraction'[%']]]*Tab_Data_Flows[[#This Row],[E1_value]],"N.A.")</f>
        <v>0</v>
      </c>
      <c r="AJ514" s="2" t="str">
        <f>Tab_Data_Flows[[#This Row],[E1_UoM]]</f>
        <v>Mg</v>
      </c>
      <c r="AK514" s="19">
        <f>_xlfn.XLOOKUP(Tab_Data_Flows[[#This Row],[Flow_Name]],Tab_Def_Flows[Flow_Name],Tab_Def_Flows[Flow_E6_Fraction'[%']],"N.A.",0,1)</f>
        <v>0</v>
      </c>
      <c r="AL514" s="2">
        <f>IF(Tab_Data_Flows[[#This Row],[Use_E6]]="Yes",Tab_Data_Flows[[#This Row],[E6_Fraction'[%']]]*Tab_Data_Flows[[#This Row],[E1_value]],"N.A.")</f>
        <v>0</v>
      </c>
      <c r="AM514" s="2" t="str">
        <f>Tab_Data_Flows[[#This Row],[E1_UoM]]</f>
        <v>Mg</v>
      </c>
    </row>
    <row r="515" spans="1:39" x14ac:dyDescent="0.25">
      <c r="A515" s="4">
        <f t="shared" si="12"/>
        <v>514</v>
      </c>
      <c r="B515" s="2" t="str">
        <f>_xlfn.XLOOKUP(C515,Tab_Def_Flows[Flow_Name],Tab_Def_Flows[Flow_ID],,0,)</f>
        <v>F__</v>
      </c>
      <c r="C515" s="18" t="s">
        <v>5</v>
      </c>
      <c r="D515" s="5" t="str">
        <f>_xlfn.XLOOKUP(C515,Tab_Def_Flows[Flow_Name],Tab_Def_Flows[Use_E1],,0,)</f>
        <v>Yes</v>
      </c>
      <c r="E515" s="5" t="str">
        <f>_xlfn.XLOOKUP(C515,Tab_Def_Flows[Flow_Name],Tab_Def_Flows[Use_E2],,0,)</f>
        <v>Yes</v>
      </c>
      <c r="F515" s="5" t="str">
        <f>_xlfn.XLOOKUP(C515,Tab_Def_Flows[Flow_Name],Tab_Def_Flows[Use_E3],,0,)</f>
        <v>Yes</v>
      </c>
      <c r="G515" s="5" t="str">
        <f>_xlfn.XLOOKUP(C515,Tab_Def_Flows[Flow_Name],Tab_Def_Flows[Use_E4],,0,)</f>
        <v>Yes</v>
      </c>
      <c r="H515" s="5" t="str">
        <f>_xlfn.XLOOKUP(C515,Tab_Def_Flows[Flow_Name],Tab_Def_Flows[Use_E5],,0,)</f>
        <v>Yes</v>
      </c>
      <c r="I515" s="5" t="str">
        <f>_xlfn.XLOOKUP(C515,Tab_Def_Flows[Flow_Name],Tab_Def_Flows[Use_E6],,0,)</f>
        <v>Yes</v>
      </c>
      <c r="J515" s="3"/>
      <c r="K515" s="3"/>
      <c r="L515" s="2" t="str">
        <f>'0_Configuration'!$C$41</f>
        <v>Mg</v>
      </c>
      <c r="M515" s="9"/>
      <c r="N515" s="9"/>
      <c r="O515" s="9"/>
      <c r="P515" s="9"/>
      <c r="Q515" s="18" t="s">
        <v>3</v>
      </c>
      <c r="R515" s="3"/>
      <c r="S515" s="3"/>
      <c r="T515" s="9"/>
      <c r="U515" s="9"/>
      <c r="V515" s="2">
        <f>_xlfn.XLOOKUP(Tab_Data_Flows[[#This Row],[Flow_Name]],Tab_Def_Flows[Flow_Name],Tab_Def_Flows[Flow_E1_Fraction'[%']],"N.A.",0,1)</f>
        <v>0</v>
      </c>
      <c r="W515" s="8">
        <f t="shared" si="16"/>
        <v>0</v>
      </c>
      <c r="X515" s="2" t="str">
        <f>Tab_Data_Flows[[#This Row],[UoM_Source]]</f>
        <v>Mg</v>
      </c>
      <c r="Y515" s="19">
        <f>_xlfn.XLOOKUP(Tab_Data_Flows[[#This Row],[Flow_Name]],Tab_Def_Flows[Flow_Name],Tab_Def_Flows[Flow_E2_Fraction'[%']],"N.A.",0,1)</f>
        <v>0</v>
      </c>
      <c r="Z515" s="2">
        <f>IF(D515="Yes",W515*Tab_Data_Flows[[#This Row],[E2_Fraction'[%']]],"N.A.")</f>
        <v>0</v>
      </c>
      <c r="AA515" s="2" t="str">
        <f>Tab_Data_Flows[[#This Row],[E1_UoM]]</f>
        <v>Mg</v>
      </c>
      <c r="AB515" s="19">
        <f>_xlfn.XLOOKUP(Tab_Data_Flows[[#This Row],[Flow_Name]],Tab_Def_Flows[Flow_Name],Tab_Def_Flows[Flow_E3_Fraction'[%']],"N.A.",0,1)</f>
        <v>0</v>
      </c>
      <c r="AC515" s="2">
        <f>IF(E515="Yes",AB515*Tab_Data_Flows[[#This Row],[E1_value]],"N.A.")</f>
        <v>0</v>
      </c>
      <c r="AD515" s="2" t="str">
        <f>Tab_Data_Flows[[#This Row],[E1_UoM]]</f>
        <v>Mg</v>
      </c>
      <c r="AE515" s="19">
        <f>_xlfn.XLOOKUP(Tab_Data_Flows[[#This Row],[Flow_Name]],Tab_Def_Flows[Flow_Name],Tab_Def_Flows[Flow_E4_Fraction'[%']],"N.A.",0,1)</f>
        <v>0</v>
      </c>
      <c r="AF515" s="2">
        <f>IF(H515="Yes",Tab_Data_Flows[[#This Row],[E4_Fraction'[%']]]*Tab_Data_Flows[[#This Row],[E1_value]],"N.A.")</f>
        <v>0</v>
      </c>
      <c r="AG515" s="2" t="str">
        <f>Tab_Data_Flows[[#This Row],[E1_UoM]]</f>
        <v>Mg</v>
      </c>
      <c r="AH515" s="2">
        <f>_xlfn.XLOOKUP(Tab_Data_Flows[[#This Row],[Flow_Name]],Tab_Def_Flows[Flow_Name],Tab_Def_Flows[Flow_E5_Fraction'[%']],"N.A.",0,1)</f>
        <v>0</v>
      </c>
      <c r="AI515" s="2">
        <f>IF(H515="Yes",Tab_Data_Flows[[#This Row],[E5_Fraction'[%']]]*Tab_Data_Flows[[#This Row],[E1_value]],"N.A.")</f>
        <v>0</v>
      </c>
      <c r="AJ515" s="2" t="str">
        <f>Tab_Data_Flows[[#This Row],[E1_UoM]]</f>
        <v>Mg</v>
      </c>
      <c r="AK515" s="19">
        <f>_xlfn.XLOOKUP(Tab_Data_Flows[[#This Row],[Flow_Name]],Tab_Def_Flows[Flow_Name],Tab_Def_Flows[Flow_E6_Fraction'[%']],"N.A.",0,1)</f>
        <v>0</v>
      </c>
      <c r="AL515" s="2">
        <f>IF(Tab_Data_Flows[[#This Row],[Use_E6]]="Yes",Tab_Data_Flows[[#This Row],[E6_Fraction'[%']]]*Tab_Data_Flows[[#This Row],[E1_value]],"N.A.")</f>
        <v>0</v>
      </c>
      <c r="AM515" s="2" t="str">
        <f>Tab_Data_Flows[[#This Row],[E1_UoM]]</f>
        <v>Mg</v>
      </c>
    </row>
    <row r="516" spans="1:39" x14ac:dyDescent="0.25">
      <c r="A516" s="4">
        <f t="shared" si="12"/>
        <v>515</v>
      </c>
      <c r="B516" s="2" t="str">
        <f>_xlfn.XLOOKUP(C516,Tab_Def_Flows[Flow_Name],Tab_Def_Flows[Flow_ID],,0,)</f>
        <v>F__</v>
      </c>
      <c r="C516" s="18" t="s">
        <v>5</v>
      </c>
      <c r="D516" s="5" t="str">
        <f>_xlfn.XLOOKUP(C516,Tab_Def_Flows[Flow_Name],Tab_Def_Flows[Use_E1],,0,)</f>
        <v>Yes</v>
      </c>
      <c r="E516" s="5" t="str">
        <f>_xlfn.XLOOKUP(C516,Tab_Def_Flows[Flow_Name],Tab_Def_Flows[Use_E2],,0,)</f>
        <v>Yes</v>
      </c>
      <c r="F516" s="5" t="str">
        <f>_xlfn.XLOOKUP(C516,Tab_Def_Flows[Flow_Name],Tab_Def_Flows[Use_E3],,0,)</f>
        <v>Yes</v>
      </c>
      <c r="G516" s="5" t="str">
        <f>_xlfn.XLOOKUP(C516,Tab_Def_Flows[Flow_Name],Tab_Def_Flows[Use_E4],,0,)</f>
        <v>Yes</v>
      </c>
      <c r="H516" s="5" t="str">
        <f>_xlfn.XLOOKUP(C516,Tab_Def_Flows[Flow_Name],Tab_Def_Flows[Use_E5],,0,)</f>
        <v>Yes</v>
      </c>
      <c r="I516" s="5" t="str">
        <f>_xlfn.XLOOKUP(C516,Tab_Def_Flows[Flow_Name],Tab_Def_Flows[Use_E6],,0,)</f>
        <v>Yes</v>
      </c>
      <c r="J516" s="3"/>
      <c r="K516" s="3"/>
      <c r="L516" s="2" t="str">
        <f>'0_Configuration'!$C$41</f>
        <v>Mg</v>
      </c>
      <c r="M516" s="9"/>
      <c r="N516" s="9"/>
      <c r="O516" s="9"/>
      <c r="P516" s="9"/>
      <c r="Q516" s="18" t="s">
        <v>3</v>
      </c>
      <c r="R516" s="3"/>
      <c r="S516" s="3"/>
      <c r="T516" s="9"/>
      <c r="U516" s="9"/>
      <c r="V516" s="2">
        <f>_xlfn.XLOOKUP(Tab_Data_Flows[[#This Row],[Flow_Name]],Tab_Def_Flows[Flow_Name],Tab_Def_Flows[Flow_E1_Fraction'[%']],"N.A.",0,1)</f>
        <v>0</v>
      </c>
      <c r="W516" s="8">
        <f t="shared" si="16"/>
        <v>0</v>
      </c>
      <c r="X516" s="2" t="str">
        <f>Tab_Data_Flows[[#This Row],[UoM_Source]]</f>
        <v>Mg</v>
      </c>
      <c r="Y516" s="19">
        <f>_xlfn.XLOOKUP(Tab_Data_Flows[[#This Row],[Flow_Name]],Tab_Def_Flows[Flow_Name],Tab_Def_Flows[Flow_E2_Fraction'[%']],"N.A.",0,1)</f>
        <v>0</v>
      </c>
      <c r="Z516" s="2">
        <f>IF(D516="Yes",W516*Tab_Data_Flows[[#This Row],[E2_Fraction'[%']]],"N.A.")</f>
        <v>0</v>
      </c>
      <c r="AA516" s="2" t="str">
        <f>Tab_Data_Flows[[#This Row],[E1_UoM]]</f>
        <v>Mg</v>
      </c>
      <c r="AB516" s="19">
        <f>_xlfn.XLOOKUP(Tab_Data_Flows[[#This Row],[Flow_Name]],Tab_Def_Flows[Flow_Name],Tab_Def_Flows[Flow_E3_Fraction'[%']],"N.A.",0,1)</f>
        <v>0</v>
      </c>
      <c r="AC516" s="2">
        <f>IF(E516="Yes",AB516*Tab_Data_Flows[[#This Row],[E1_value]],"N.A.")</f>
        <v>0</v>
      </c>
      <c r="AD516" s="2" t="str">
        <f>Tab_Data_Flows[[#This Row],[E1_UoM]]</f>
        <v>Mg</v>
      </c>
      <c r="AE516" s="19">
        <f>_xlfn.XLOOKUP(Tab_Data_Flows[[#This Row],[Flow_Name]],Tab_Def_Flows[Flow_Name],Tab_Def_Flows[Flow_E4_Fraction'[%']],"N.A.",0,1)</f>
        <v>0</v>
      </c>
      <c r="AF516" s="2">
        <f>IF(H516="Yes",Tab_Data_Flows[[#This Row],[E4_Fraction'[%']]]*Tab_Data_Flows[[#This Row],[E1_value]],"N.A.")</f>
        <v>0</v>
      </c>
      <c r="AG516" s="2" t="str">
        <f>Tab_Data_Flows[[#This Row],[E1_UoM]]</f>
        <v>Mg</v>
      </c>
      <c r="AH516" s="2">
        <f>_xlfn.XLOOKUP(Tab_Data_Flows[[#This Row],[Flow_Name]],Tab_Def_Flows[Flow_Name],Tab_Def_Flows[Flow_E5_Fraction'[%']],"N.A.",0,1)</f>
        <v>0</v>
      </c>
      <c r="AI516" s="2">
        <f>IF(H516="Yes",Tab_Data_Flows[[#This Row],[E5_Fraction'[%']]]*Tab_Data_Flows[[#This Row],[E1_value]],"N.A.")</f>
        <v>0</v>
      </c>
      <c r="AJ516" s="2" t="str">
        <f>Tab_Data_Flows[[#This Row],[E1_UoM]]</f>
        <v>Mg</v>
      </c>
      <c r="AK516" s="19">
        <f>_xlfn.XLOOKUP(Tab_Data_Flows[[#This Row],[Flow_Name]],Tab_Def_Flows[Flow_Name],Tab_Def_Flows[Flow_E6_Fraction'[%']],"N.A.",0,1)</f>
        <v>0</v>
      </c>
      <c r="AL516" s="2">
        <f>IF(Tab_Data_Flows[[#This Row],[Use_E6]]="Yes",Tab_Data_Flows[[#This Row],[E6_Fraction'[%']]]*Tab_Data_Flows[[#This Row],[E1_value]],"N.A.")</f>
        <v>0</v>
      </c>
      <c r="AM516" s="2" t="str">
        <f>Tab_Data_Flows[[#This Row],[E1_UoM]]</f>
        <v>Mg</v>
      </c>
    </row>
    <row r="517" spans="1:39" x14ac:dyDescent="0.25">
      <c r="A517" s="4">
        <f t="shared" si="12"/>
        <v>516</v>
      </c>
      <c r="B517" s="2" t="str">
        <f>_xlfn.XLOOKUP(C517,Tab_Def_Flows[Flow_Name],Tab_Def_Flows[Flow_ID],,0,)</f>
        <v>F__</v>
      </c>
      <c r="C517" s="18" t="s">
        <v>5</v>
      </c>
      <c r="D517" s="5" t="str">
        <f>_xlfn.XLOOKUP(C517,Tab_Def_Flows[Flow_Name],Tab_Def_Flows[Use_E1],,0,)</f>
        <v>Yes</v>
      </c>
      <c r="E517" s="5" t="str">
        <f>_xlfn.XLOOKUP(C517,Tab_Def_Flows[Flow_Name],Tab_Def_Flows[Use_E2],,0,)</f>
        <v>Yes</v>
      </c>
      <c r="F517" s="5" t="str">
        <f>_xlfn.XLOOKUP(C517,Tab_Def_Flows[Flow_Name],Tab_Def_Flows[Use_E3],,0,)</f>
        <v>Yes</v>
      </c>
      <c r="G517" s="5" t="str">
        <f>_xlfn.XLOOKUP(C517,Tab_Def_Flows[Flow_Name],Tab_Def_Flows[Use_E4],,0,)</f>
        <v>Yes</v>
      </c>
      <c r="H517" s="5" t="str">
        <f>_xlfn.XLOOKUP(C517,Tab_Def_Flows[Flow_Name],Tab_Def_Flows[Use_E5],,0,)</f>
        <v>Yes</v>
      </c>
      <c r="I517" s="5" t="str">
        <f>_xlfn.XLOOKUP(C517,Tab_Def_Flows[Flow_Name],Tab_Def_Flows[Use_E6],,0,)</f>
        <v>Yes</v>
      </c>
      <c r="J517" s="3"/>
      <c r="K517" s="3"/>
      <c r="L517" s="2" t="str">
        <f>'0_Configuration'!$C$41</f>
        <v>Mg</v>
      </c>
      <c r="M517" s="9"/>
      <c r="N517" s="9"/>
      <c r="O517" s="9"/>
      <c r="P517" s="9"/>
      <c r="Q517" s="18" t="s">
        <v>3</v>
      </c>
      <c r="R517" s="3"/>
      <c r="S517" s="3"/>
      <c r="T517" s="9"/>
      <c r="U517" s="9"/>
      <c r="V517" s="2">
        <f>_xlfn.XLOOKUP(Tab_Data_Flows[[#This Row],[Flow_Name]],Tab_Def_Flows[Flow_Name],Tab_Def_Flows[Flow_E1_Fraction'[%']],"N.A.",0,1)</f>
        <v>0</v>
      </c>
      <c r="W517" s="8">
        <f t="shared" si="16"/>
        <v>0</v>
      </c>
      <c r="X517" s="2" t="str">
        <f>Tab_Data_Flows[[#This Row],[UoM_Source]]</f>
        <v>Mg</v>
      </c>
      <c r="Y517" s="19">
        <f>_xlfn.XLOOKUP(Tab_Data_Flows[[#This Row],[Flow_Name]],Tab_Def_Flows[Flow_Name],Tab_Def_Flows[Flow_E2_Fraction'[%']],"N.A.",0,1)</f>
        <v>0</v>
      </c>
      <c r="Z517" s="2">
        <f>IF(D517="Yes",W517*Tab_Data_Flows[[#This Row],[E2_Fraction'[%']]],"N.A.")</f>
        <v>0</v>
      </c>
      <c r="AA517" s="2" t="str">
        <f>Tab_Data_Flows[[#This Row],[E1_UoM]]</f>
        <v>Mg</v>
      </c>
      <c r="AB517" s="19">
        <f>_xlfn.XLOOKUP(Tab_Data_Flows[[#This Row],[Flow_Name]],Tab_Def_Flows[Flow_Name],Tab_Def_Flows[Flow_E3_Fraction'[%']],"N.A.",0,1)</f>
        <v>0</v>
      </c>
      <c r="AC517" s="2">
        <f>IF(E517="Yes",AB517*Tab_Data_Flows[[#This Row],[E1_value]],"N.A.")</f>
        <v>0</v>
      </c>
      <c r="AD517" s="2" t="str">
        <f>Tab_Data_Flows[[#This Row],[E1_UoM]]</f>
        <v>Mg</v>
      </c>
      <c r="AE517" s="19">
        <f>_xlfn.XLOOKUP(Tab_Data_Flows[[#This Row],[Flow_Name]],Tab_Def_Flows[Flow_Name],Tab_Def_Flows[Flow_E4_Fraction'[%']],"N.A.",0,1)</f>
        <v>0</v>
      </c>
      <c r="AF517" s="2">
        <f>IF(H517="Yes",Tab_Data_Flows[[#This Row],[E4_Fraction'[%']]]*Tab_Data_Flows[[#This Row],[E1_value]],"N.A.")</f>
        <v>0</v>
      </c>
      <c r="AG517" s="2" t="str">
        <f>Tab_Data_Flows[[#This Row],[E1_UoM]]</f>
        <v>Mg</v>
      </c>
      <c r="AH517" s="2">
        <f>_xlfn.XLOOKUP(Tab_Data_Flows[[#This Row],[Flow_Name]],Tab_Def_Flows[Flow_Name],Tab_Def_Flows[Flow_E5_Fraction'[%']],"N.A.",0,1)</f>
        <v>0</v>
      </c>
      <c r="AI517" s="2">
        <f>IF(H517="Yes",Tab_Data_Flows[[#This Row],[E5_Fraction'[%']]]*Tab_Data_Flows[[#This Row],[E1_value]],"N.A.")</f>
        <v>0</v>
      </c>
      <c r="AJ517" s="2" t="str">
        <f>Tab_Data_Flows[[#This Row],[E1_UoM]]</f>
        <v>Mg</v>
      </c>
      <c r="AK517" s="19">
        <f>_xlfn.XLOOKUP(Tab_Data_Flows[[#This Row],[Flow_Name]],Tab_Def_Flows[Flow_Name],Tab_Def_Flows[Flow_E6_Fraction'[%']],"N.A.",0,1)</f>
        <v>0</v>
      </c>
      <c r="AL517" s="2">
        <f>IF(Tab_Data_Flows[[#This Row],[Use_E6]]="Yes",Tab_Data_Flows[[#This Row],[E6_Fraction'[%']]]*Tab_Data_Flows[[#This Row],[E1_value]],"N.A.")</f>
        <v>0</v>
      </c>
      <c r="AM517" s="2" t="str">
        <f>Tab_Data_Flows[[#This Row],[E1_UoM]]</f>
        <v>Mg</v>
      </c>
    </row>
    <row r="518" spans="1:39" x14ac:dyDescent="0.25">
      <c r="A518" s="4">
        <f t="shared" si="12"/>
        <v>517</v>
      </c>
      <c r="B518" s="2" t="str">
        <f>_xlfn.XLOOKUP(C518,Tab_Def_Flows[Flow_Name],Tab_Def_Flows[Flow_ID],,0,)</f>
        <v>F__</v>
      </c>
      <c r="C518" s="18" t="s">
        <v>5</v>
      </c>
      <c r="D518" s="5" t="str">
        <f>_xlfn.XLOOKUP(C518,Tab_Def_Flows[Flow_Name],Tab_Def_Flows[Use_E1],,0,)</f>
        <v>Yes</v>
      </c>
      <c r="E518" s="5" t="str">
        <f>_xlfn.XLOOKUP(C518,Tab_Def_Flows[Flow_Name],Tab_Def_Flows[Use_E2],,0,)</f>
        <v>Yes</v>
      </c>
      <c r="F518" s="5" t="str">
        <f>_xlfn.XLOOKUP(C518,Tab_Def_Flows[Flow_Name],Tab_Def_Flows[Use_E3],,0,)</f>
        <v>Yes</v>
      </c>
      <c r="G518" s="5" t="str">
        <f>_xlfn.XLOOKUP(C518,Tab_Def_Flows[Flow_Name],Tab_Def_Flows[Use_E4],,0,)</f>
        <v>Yes</v>
      </c>
      <c r="H518" s="5" t="str">
        <f>_xlfn.XLOOKUP(C518,Tab_Def_Flows[Flow_Name],Tab_Def_Flows[Use_E5],,0,)</f>
        <v>Yes</v>
      </c>
      <c r="I518" s="5" t="str">
        <f>_xlfn.XLOOKUP(C518,Tab_Def_Flows[Flow_Name],Tab_Def_Flows[Use_E6],,0,)</f>
        <v>Yes</v>
      </c>
      <c r="J518" s="3"/>
      <c r="K518" s="3"/>
      <c r="L518" s="2" t="str">
        <f>'0_Configuration'!$C$41</f>
        <v>Mg</v>
      </c>
      <c r="M518" s="9"/>
      <c r="N518" s="9"/>
      <c r="O518" s="9"/>
      <c r="P518" s="9"/>
      <c r="Q518" s="18" t="s">
        <v>3</v>
      </c>
      <c r="R518" s="3"/>
      <c r="S518" s="3"/>
      <c r="T518" s="9"/>
      <c r="U518" s="9"/>
      <c r="V518" s="2">
        <f>_xlfn.XLOOKUP(Tab_Data_Flows[[#This Row],[Flow_Name]],Tab_Def_Flows[Flow_Name],Tab_Def_Flows[Flow_E1_Fraction'[%']],"N.A.",0,1)</f>
        <v>0</v>
      </c>
      <c r="W518" s="8">
        <f t="shared" si="16"/>
        <v>0</v>
      </c>
      <c r="X518" s="2" t="str">
        <f>Tab_Data_Flows[[#This Row],[UoM_Source]]</f>
        <v>Mg</v>
      </c>
      <c r="Y518" s="19">
        <f>_xlfn.XLOOKUP(Tab_Data_Flows[[#This Row],[Flow_Name]],Tab_Def_Flows[Flow_Name],Tab_Def_Flows[Flow_E2_Fraction'[%']],"N.A.",0,1)</f>
        <v>0</v>
      </c>
      <c r="Z518" s="2">
        <f>IF(D518="Yes",W518*Tab_Data_Flows[[#This Row],[E2_Fraction'[%']]],"N.A.")</f>
        <v>0</v>
      </c>
      <c r="AA518" s="2" t="str">
        <f>Tab_Data_Flows[[#This Row],[E1_UoM]]</f>
        <v>Mg</v>
      </c>
      <c r="AB518" s="19">
        <f>_xlfn.XLOOKUP(Tab_Data_Flows[[#This Row],[Flow_Name]],Tab_Def_Flows[Flow_Name],Tab_Def_Flows[Flow_E3_Fraction'[%']],"N.A.",0,1)</f>
        <v>0</v>
      </c>
      <c r="AC518" s="2">
        <f>IF(E518="Yes",AB518*Tab_Data_Flows[[#This Row],[E1_value]],"N.A.")</f>
        <v>0</v>
      </c>
      <c r="AD518" s="2" t="str">
        <f>Tab_Data_Flows[[#This Row],[E1_UoM]]</f>
        <v>Mg</v>
      </c>
      <c r="AE518" s="19">
        <f>_xlfn.XLOOKUP(Tab_Data_Flows[[#This Row],[Flow_Name]],Tab_Def_Flows[Flow_Name],Tab_Def_Flows[Flow_E4_Fraction'[%']],"N.A.",0,1)</f>
        <v>0</v>
      </c>
      <c r="AF518" s="2">
        <f>IF(H518="Yes",Tab_Data_Flows[[#This Row],[E4_Fraction'[%']]]*Tab_Data_Flows[[#This Row],[E1_value]],"N.A.")</f>
        <v>0</v>
      </c>
      <c r="AG518" s="2" t="str">
        <f>Tab_Data_Flows[[#This Row],[E1_UoM]]</f>
        <v>Mg</v>
      </c>
      <c r="AH518" s="2">
        <f>_xlfn.XLOOKUP(Tab_Data_Flows[[#This Row],[Flow_Name]],Tab_Def_Flows[Flow_Name],Tab_Def_Flows[Flow_E5_Fraction'[%']],"N.A.",0,1)</f>
        <v>0</v>
      </c>
      <c r="AI518" s="2">
        <f>IF(H518="Yes",Tab_Data_Flows[[#This Row],[E5_Fraction'[%']]]*Tab_Data_Flows[[#This Row],[E1_value]],"N.A.")</f>
        <v>0</v>
      </c>
      <c r="AJ518" s="2" t="str">
        <f>Tab_Data_Flows[[#This Row],[E1_UoM]]</f>
        <v>Mg</v>
      </c>
      <c r="AK518" s="19">
        <f>_xlfn.XLOOKUP(Tab_Data_Flows[[#This Row],[Flow_Name]],Tab_Def_Flows[Flow_Name],Tab_Def_Flows[Flow_E6_Fraction'[%']],"N.A.",0,1)</f>
        <v>0</v>
      </c>
      <c r="AL518" s="2">
        <f>IF(Tab_Data_Flows[[#This Row],[Use_E6]]="Yes",Tab_Data_Flows[[#This Row],[E6_Fraction'[%']]]*Tab_Data_Flows[[#This Row],[E1_value]],"N.A.")</f>
        <v>0</v>
      </c>
      <c r="AM518" s="2" t="str">
        <f>Tab_Data_Flows[[#This Row],[E1_UoM]]</f>
        <v>Mg</v>
      </c>
    </row>
    <row r="519" spans="1:39" x14ac:dyDescent="0.25">
      <c r="A519" s="4">
        <f t="shared" si="12"/>
        <v>518</v>
      </c>
      <c r="B519" s="2" t="str">
        <f>_xlfn.XLOOKUP(C519,Tab_Def_Flows[Flow_Name],Tab_Def_Flows[Flow_ID],,0,)</f>
        <v>F__</v>
      </c>
      <c r="C519" s="18" t="s">
        <v>5</v>
      </c>
      <c r="D519" s="5" t="str">
        <f>_xlfn.XLOOKUP(C519,Tab_Def_Flows[Flow_Name],Tab_Def_Flows[Use_E1],,0,)</f>
        <v>Yes</v>
      </c>
      <c r="E519" s="5" t="str">
        <f>_xlfn.XLOOKUP(C519,Tab_Def_Flows[Flow_Name],Tab_Def_Flows[Use_E2],,0,)</f>
        <v>Yes</v>
      </c>
      <c r="F519" s="5" t="str">
        <f>_xlfn.XLOOKUP(C519,Tab_Def_Flows[Flow_Name],Tab_Def_Flows[Use_E3],,0,)</f>
        <v>Yes</v>
      </c>
      <c r="G519" s="5" t="str">
        <f>_xlfn.XLOOKUP(C519,Tab_Def_Flows[Flow_Name],Tab_Def_Flows[Use_E4],,0,)</f>
        <v>Yes</v>
      </c>
      <c r="H519" s="5" t="str">
        <f>_xlfn.XLOOKUP(C519,Tab_Def_Flows[Flow_Name],Tab_Def_Flows[Use_E5],,0,)</f>
        <v>Yes</v>
      </c>
      <c r="I519" s="5" t="str">
        <f>_xlfn.XLOOKUP(C519,Tab_Def_Flows[Flow_Name],Tab_Def_Flows[Use_E6],,0,)</f>
        <v>Yes</v>
      </c>
      <c r="J519" s="3"/>
      <c r="K519" s="3"/>
      <c r="L519" s="2" t="str">
        <f>'0_Configuration'!$C$41</f>
        <v>Mg</v>
      </c>
      <c r="M519" s="9"/>
      <c r="N519" s="9"/>
      <c r="O519" s="9"/>
      <c r="P519" s="9"/>
      <c r="Q519" s="18" t="s">
        <v>3</v>
      </c>
      <c r="R519" s="3"/>
      <c r="S519" s="3"/>
      <c r="T519" s="9"/>
      <c r="U519" s="9"/>
      <c r="V519" s="2">
        <f>_xlfn.XLOOKUP(Tab_Data_Flows[[#This Row],[Flow_Name]],Tab_Def_Flows[Flow_Name],Tab_Def_Flows[Flow_E1_Fraction'[%']],"N.A.",0,1)</f>
        <v>0</v>
      </c>
      <c r="W519" s="8">
        <f t="shared" si="16"/>
        <v>0</v>
      </c>
      <c r="X519" s="2" t="str">
        <f>Tab_Data_Flows[[#This Row],[UoM_Source]]</f>
        <v>Mg</v>
      </c>
      <c r="Y519" s="19">
        <f>_xlfn.XLOOKUP(Tab_Data_Flows[[#This Row],[Flow_Name]],Tab_Def_Flows[Flow_Name],Tab_Def_Flows[Flow_E2_Fraction'[%']],"N.A.",0,1)</f>
        <v>0</v>
      </c>
      <c r="Z519" s="2">
        <f>IF(D519="Yes",W519*Tab_Data_Flows[[#This Row],[E2_Fraction'[%']]],"N.A.")</f>
        <v>0</v>
      </c>
      <c r="AA519" s="2" t="str">
        <f>Tab_Data_Flows[[#This Row],[E1_UoM]]</f>
        <v>Mg</v>
      </c>
      <c r="AB519" s="19">
        <f>_xlfn.XLOOKUP(Tab_Data_Flows[[#This Row],[Flow_Name]],Tab_Def_Flows[Flow_Name],Tab_Def_Flows[Flow_E3_Fraction'[%']],"N.A.",0,1)</f>
        <v>0</v>
      </c>
      <c r="AC519" s="2">
        <f>IF(E519="Yes",AB519*Tab_Data_Flows[[#This Row],[E1_value]],"N.A.")</f>
        <v>0</v>
      </c>
      <c r="AD519" s="2" t="str">
        <f>Tab_Data_Flows[[#This Row],[E1_UoM]]</f>
        <v>Mg</v>
      </c>
      <c r="AE519" s="19">
        <f>_xlfn.XLOOKUP(Tab_Data_Flows[[#This Row],[Flow_Name]],Tab_Def_Flows[Flow_Name],Tab_Def_Flows[Flow_E4_Fraction'[%']],"N.A.",0,1)</f>
        <v>0</v>
      </c>
      <c r="AF519" s="2">
        <f>IF(H519="Yes",Tab_Data_Flows[[#This Row],[E4_Fraction'[%']]]*Tab_Data_Flows[[#This Row],[E1_value]],"N.A.")</f>
        <v>0</v>
      </c>
      <c r="AG519" s="2" t="str">
        <f>Tab_Data_Flows[[#This Row],[E1_UoM]]</f>
        <v>Mg</v>
      </c>
      <c r="AH519" s="2">
        <f>_xlfn.XLOOKUP(Tab_Data_Flows[[#This Row],[Flow_Name]],Tab_Def_Flows[Flow_Name],Tab_Def_Flows[Flow_E5_Fraction'[%']],"N.A.",0,1)</f>
        <v>0</v>
      </c>
      <c r="AI519" s="2">
        <f>IF(H519="Yes",Tab_Data_Flows[[#This Row],[E5_Fraction'[%']]]*Tab_Data_Flows[[#This Row],[E1_value]],"N.A.")</f>
        <v>0</v>
      </c>
      <c r="AJ519" s="2" t="str">
        <f>Tab_Data_Flows[[#This Row],[E1_UoM]]</f>
        <v>Mg</v>
      </c>
      <c r="AK519" s="19">
        <f>_xlfn.XLOOKUP(Tab_Data_Flows[[#This Row],[Flow_Name]],Tab_Def_Flows[Flow_Name],Tab_Def_Flows[Flow_E6_Fraction'[%']],"N.A.",0,1)</f>
        <v>0</v>
      </c>
      <c r="AL519" s="2">
        <f>IF(Tab_Data_Flows[[#This Row],[Use_E6]]="Yes",Tab_Data_Flows[[#This Row],[E6_Fraction'[%']]]*Tab_Data_Flows[[#This Row],[E1_value]],"N.A.")</f>
        <v>0</v>
      </c>
      <c r="AM519" s="2" t="str">
        <f>Tab_Data_Flows[[#This Row],[E1_UoM]]</f>
        <v>Mg</v>
      </c>
    </row>
    <row r="520" spans="1:39" x14ac:dyDescent="0.25">
      <c r="A520" s="4">
        <f t="shared" si="12"/>
        <v>519</v>
      </c>
      <c r="B520" s="2" t="str">
        <f>_xlfn.XLOOKUP(C520,Tab_Def_Flows[Flow_Name],Tab_Def_Flows[Flow_ID],,0,)</f>
        <v>F__</v>
      </c>
      <c r="C520" s="18" t="s">
        <v>5</v>
      </c>
      <c r="D520" s="5" t="str">
        <f>_xlfn.XLOOKUP(C520,Tab_Def_Flows[Flow_Name],Tab_Def_Flows[Use_E1],,0,)</f>
        <v>Yes</v>
      </c>
      <c r="E520" s="5" t="str">
        <f>_xlfn.XLOOKUP(C520,Tab_Def_Flows[Flow_Name],Tab_Def_Flows[Use_E2],,0,)</f>
        <v>Yes</v>
      </c>
      <c r="F520" s="5" t="str">
        <f>_xlfn.XLOOKUP(C520,Tab_Def_Flows[Flow_Name],Tab_Def_Flows[Use_E3],,0,)</f>
        <v>Yes</v>
      </c>
      <c r="G520" s="5" t="str">
        <f>_xlfn.XLOOKUP(C520,Tab_Def_Flows[Flow_Name],Tab_Def_Flows[Use_E4],,0,)</f>
        <v>Yes</v>
      </c>
      <c r="H520" s="5" t="str">
        <f>_xlfn.XLOOKUP(C520,Tab_Def_Flows[Flow_Name],Tab_Def_Flows[Use_E5],,0,)</f>
        <v>Yes</v>
      </c>
      <c r="I520" s="5" t="str">
        <f>_xlfn.XLOOKUP(C520,Tab_Def_Flows[Flow_Name],Tab_Def_Flows[Use_E6],,0,)</f>
        <v>Yes</v>
      </c>
      <c r="J520" s="3"/>
      <c r="K520" s="3"/>
      <c r="L520" s="2" t="str">
        <f>'0_Configuration'!$C$41</f>
        <v>Mg</v>
      </c>
      <c r="M520" s="9"/>
      <c r="N520" s="9"/>
      <c r="O520" s="9"/>
      <c r="P520" s="9"/>
      <c r="Q520" s="18" t="s">
        <v>3</v>
      </c>
      <c r="R520" s="3"/>
      <c r="S520" s="3"/>
      <c r="T520" s="9"/>
      <c r="U520" s="9"/>
      <c r="V520" s="2">
        <f>_xlfn.XLOOKUP(Tab_Data_Flows[[#This Row],[Flow_Name]],Tab_Def_Flows[Flow_Name],Tab_Def_Flows[Flow_E1_Fraction'[%']],"N.A.",0,1)</f>
        <v>0</v>
      </c>
      <c r="W520" s="8">
        <f t="shared" si="16"/>
        <v>0</v>
      </c>
      <c r="X520" s="2" t="str">
        <f>Tab_Data_Flows[[#This Row],[UoM_Source]]</f>
        <v>Mg</v>
      </c>
      <c r="Y520" s="19">
        <f>_xlfn.XLOOKUP(Tab_Data_Flows[[#This Row],[Flow_Name]],Tab_Def_Flows[Flow_Name],Tab_Def_Flows[Flow_E2_Fraction'[%']],"N.A.",0,1)</f>
        <v>0</v>
      </c>
      <c r="Z520" s="2">
        <f>IF(D520="Yes",W520*Tab_Data_Flows[[#This Row],[E2_Fraction'[%']]],"N.A.")</f>
        <v>0</v>
      </c>
      <c r="AA520" s="2" t="str">
        <f>Tab_Data_Flows[[#This Row],[E1_UoM]]</f>
        <v>Mg</v>
      </c>
      <c r="AB520" s="19">
        <f>_xlfn.XLOOKUP(Tab_Data_Flows[[#This Row],[Flow_Name]],Tab_Def_Flows[Flow_Name],Tab_Def_Flows[Flow_E3_Fraction'[%']],"N.A.",0,1)</f>
        <v>0</v>
      </c>
      <c r="AC520" s="2">
        <f>IF(E520="Yes",AB520*Tab_Data_Flows[[#This Row],[E1_value]],"N.A.")</f>
        <v>0</v>
      </c>
      <c r="AD520" s="2" t="str">
        <f>Tab_Data_Flows[[#This Row],[E1_UoM]]</f>
        <v>Mg</v>
      </c>
      <c r="AE520" s="19">
        <f>_xlfn.XLOOKUP(Tab_Data_Flows[[#This Row],[Flow_Name]],Tab_Def_Flows[Flow_Name],Tab_Def_Flows[Flow_E4_Fraction'[%']],"N.A.",0,1)</f>
        <v>0</v>
      </c>
      <c r="AF520" s="2">
        <f>IF(H520="Yes",Tab_Data_Flows[[#This Row],[E4_Fraction'[%']]]*Tab_Data_Flows[[#This Row],[E1_value]],"N.A.")</f>
        <v>0</v>
      </c>
      <c r="AG520" s="2" t="str">
        <f>Tab_Data_Flows[[#This Row],[E1_UoM]]</f>
        <v>Mg</v>
      </c>
      <c r="AH520" s="2">
        <f>_xlfn.XLOOKUP(Tab_Data_Flows[[#This Row],[Flow_Name]],Tab_Def_Flows[Flow_Name],Tab_Def_Flows[Flow_E5_Fraction'[%']],"N.A.",0,1)</f>
        <v>0</v>
      </c>
      <c r="AI520" s="2">
        <f>IF(H520="Yes",Tab_Data_Flows[[#This Row],[E5_Fraction'[%']]]*Tab_Data_Flows[[#This Row],[E1_value]],"N.A.")</f>
        <v>0</v>
      </c>
      <c r="AJ520" s="2" t="str">
        <f>Tab_Data_Flows[[#This Row],[E1_UoM]]</f>
        <v>Mg</v>
      </c>
      <c r="AK520" s="19">
        <f>_xlfn.XLOOKUP(Tab_Data_Flows[[#This Row],[Flow_Name]],Tab_Def_Flows[Flow_Name],Tab_Def_Flows[Flow_E6_Fraction'[%']],"N.A.",0,1)</f>
        <v>0</v>
      </c>
      <c r="AL520" s="2">
        <f>IF(Tab_Data_Flows[[#This Row],[Use_E6]]="Yes",Tab_Data_Flows[[#This Row],[E6_Fraction'[%']]]*Tab_Data_Flows[[#This Row],[E1_value]],"N.A.")</f>
        <v>0</v>
      </c>
      <c r="AM520" s="2" t="str">
        <f>Tab_Data_Flows[[#This Row],[E1_UoM]]</f>
        <v>Mg</v>
      </c>
    </row>
    <row r="521" spans="1:39" x14ac:dyDescent="0.25">
      <c r="A521" s="4">
        <f t="shared" si="12"/>
        <v>520</v>
      </c>
      <c r="B521" s="2" t="str">
        <f>_xlfn.XLOOKUP(C521,Tab_Def_Flows[Flow_Name],Tab_Def_Flows[Flow_ID],,0,)</f>
        <v>F__</v>
      </c>
      <c r="C521" s="18" t="s">
        <v>5</v>
      </c>
      <c r="D521" s="5" t="str">
        <f>_xlfn.XLOOKUP(C521,Tab_Def_Flows[Flow_Name],Tab_Def_Flows[Use_E1],,0,)</f>
        <v>Yes</v>
      </c>
      <c r="E521" s="5" t="str">
        <f>_xlfn.XLOOKUP(C521,Tab_Def_Flows[Flow_Name],Tab_Def_Flows[Use_E2],,0,)</f>
        <v>Yes</v>
      </c>
      <c r="F521" s="5" t="str">
        <f>_xlfn.XLOOKUP(C521,Tab_Def_Flows[Flow_Name],Tab_Def_Flows[Use_E3],,0,)</f>
        <v>Yes</v>
      </c>
      <c r="G521" s="5" t="str">
        <f>_xlfn.XLOOKUP(C521,Tab_Def_Flows[Flow_Name],Tab_Def_Flows[Use_E4],,0,)</f>
        <v>Yes</v>
      </c>
      <c r="H521" s="5" t="str">
        <f>_xlfn.XLOOKUP(C521,Tab_Def_Flows[Flow_Name],Tab_Def_Flows[Use_E5],,0,)</f>
        <v>Yes</v>
      </c>
      <c r="I521" s="5" t="str">
        <f>_xlfn.XLOOKUP(C521,Tab_Def_Flows[Flow_Name],Tab_Def_Flows[Use_E6],,0,)</f>
        <v>Yes</v>
      </c>
      <c r="J521" s="3"/>
      <c r="K521" s="3"/>
      <c r="L521" s="2" t="str">
        <f>'0_Configuration'!$C$41</f>
        <v>Mg</v>
      </c>
      <c r="M521" s="9"/>
      <c r="N521" s="9"/>
      <c r="O521" s="9"/>
      <c r="P521" s="9"/>
      <c r="Q521" s="18" t="s">
        <v>3</v>
      </c>
      <c r="R521" s="3"/>
      <c r="S521" s="3"/>
      <c r="T521" s="9"/>
      <c r="U521" s="9"/>
      <c r="V521" s="2">
        <f>_xlfn.XLOOKUP(Tab_Data_Flows[[#This Row],[Flow_Name]],Tab_Def_Flows[Flow_Name],Tab_Def_Flows[Flow_E1_Fraction'[%']],"N.A.",0,1)</f>
        <v>0</v>
      </c>
      <c r="W521" s="8">
        <f t="shared" si="16"/>
        <v>0</v>
      </c>
      <c r="X521" s="2" t="str">
        <f>Tab_Data_Flows[[#This Row],[UoM_Source]]</f>
        <v>Mg</v>
      </c>
      <c r="Y521" s="19">
        <f>_xlfn.XLOOKUP(Tab_Data_Flows[[#This Row],[Flow_Name]],Tab_Def_Flows[Flow_Name],Tab_Def_Flows[Flow_E2_Fraction'[%']],"N.A.",0,1)</f>
        <v>0</v>
      </c>
      <c r="Z521" s="2">
        <f>IF(D521="Yes",W521*Tab_Data_Flows[[#This Row],[E2_Fraction'[%']]],"N.A.")</f>
        <v>0</v>
      </c>
      <c r="AA521" s="2" t="str">
        <f>Tab_Data_Flows[[#This Row],[E1_UoM]]</f>
        <v>Mg</v>
      </c>
      <c r="AB521" s="19">
        <f>_xlfn.XLOOKUP(Tab_Data_Flows[[#This Row],[Flow_Name]],Tab_Def_Flows[Flow_Name],Tab_Def_Flows[Flow_E3_Fraction'[%']],"N.A.",0,1)</f>
        <v>0</v>
      </c>
      <c r="AC521" s="2">
        <f>IF(E521="Yes",AB521*Tab_Data_Flows[[#This Row],[E1_value]],"N.A.")</f>
        <v>0</v>
      </c>
      <c r="AD521" s="2" t="str">
        <f>Tab_Data_Flows[[#This Row],[E1_UoM]]</f>
        <v>Mg</v>
      </c>
      <c r="AE521" s="19">
        <f>_xlfn.XLOOKUP(Tab_Data_Flows[[#This Row],[Flow_Name]],Tab_Def_Flows[Flow_Name],Tab_Def_Flows[Flow_E4_Fraction'[%']],"N.A.",0,1)</f>
        <v>0</v>
      </c>
      <c r="AF521" s="2">
        <f>IF(H521="Yes",Tab_Data_Flows[[#This Row],[E4_Fraction'[%']]]*Tab_Data_Flows[[#This Row],[E1_value]],"N.A.")</f>
        <v>0</v>
      </c>
      <c r="AG521" s="2" t="str">
        <f>Tab_Data_Flows[[#This Row],[E1_UoM]]</f>
        <v>Mg</v>
      </c>
      <c r="AH521" s="2">
        <f>_xlfn.XLOOKUP(Tab_Data_Flows[[#This Row],[Flow_Name]],Tab_Def_Flows[Flow_Name],Tab_Def_Flows[Flow_E5_Fraction'[%']],"N.A.",0,1)</f>
        <v>0</v>
      </c>
      <c r="AI521" s="2">
        <f>IF(H521="Yes",Tab_Data_Flows[[#This Row],[E5_Fraction'[%']]]*Tab_Data_Flows[[#This Row],[E1_value]],"N.A.")</f>
        <v>0</v>
      </c>
      <c r="AJ521" s="2" t="str">
        <f>Tab_Data_Flows[[#This Row],[E1_UoM]]</f>
        <v>Mg</v>
      </c>
      <c r="AK521" s="19">
        <f>_xlfn.XLOOKUP(Tab_Data_Flows[[#This Row],[Flow_Name]],Tab_Def_Flows[Flow_Name],Tab_Def_Flows[Flow_E6_Fraction'[%']],"N.A.",0,1)</f>
        <v>0</v>
      </c>
      <c r="AL521" s="2">
        <f>IF(Tab_Data_Flows[[#This Row],[Use_E6]]="Yes",Tab_Data_Flows[[#This Row],[E6_Fraction'[%']]]*Tab_Data_Flows[[#This Row],[E1_value]],"N.A.")</f>
        <v>0</v>
      </c>
      <c r="AM521" s="2" t="str">
        <f>Tab_Data_Flows[[#This Row],[E1_UoM]]</f>
        <v>Mg</v>
      </c>
    </row>
    <row r="522" spans="1:39" x14ac:dyDescent="0.25">
      <c r="A522" s="4">
        <f t="shared" si="12"/>
        <v>521</v>
      </c>
      <c r="B522" s="2" t="str">
        <f>_xlfn.XLOOKUP(C522,Tab_Def_Flows[Flow_Name],Tab_Def_Flows[Flow_ID],,0,)</f>
        <v>F__</v>
      </c>
      <c r="C522" s="18" t="s">
        <v>5</v>
      </c>
      <c r="D522" s="5" t="str">
        <f>_xlfn.XLOOKUP(C522,Tab_Def_Flows[Flow_Name],Tab_Def_Flows[Use_E1],,0,)</f>
        <v>Yes</v>
      </c>
      <c r="E522" s="5" t="str">
        <f>_xlfn.XLOOKUP(C522,Tab_Def_Flows[Flow_Name],Tab_Def_Flows[Use_E2],,0,)</f>
        <v>Yes</v>
      </c>
      <c r="F522" s="5" t="str">
        <f>_xlfn.XLOOKUP(C522,Tab_Def_Flows[Flow_Name],Tab_Def_Flows[Use_E3],,0,)</f>
        <v>Yes</v>
      </c>
      <c r="G522" s="5" t="str">
        <f>_xlfn.XLOOKUP(C522,Tab_Def_Flows[Flow_Name],Tab_Def_Flows[Use_E4],,0,)</f>
        <v>Yes</v>
      </c>
      <c r="H522" s="5" t="str">
        <f>_xlfn.XLOOKUP(C522,Tab_Def_Flows[Flow_Name],Tab_Def_Flows[Use_E5],,0,)</f>
        <v>Yes</v>
      </c>
      <c r="I522" s="5" t="str">
        <f>_xlfn.XLOOKUP(C522,Tab_Def_Flows[Flow_Name],Tab_Def_Flows[Use_E6],,0,)</f>
        <v>Yes</v>
      </c>
      <c r="J522" s="3"/>
      <c r="K522" s="3"/>
      <c r="L522" s="2" t="str">
        <f>'0_Configuration'!$C$41</f>
        <v>Mg</v>
      </c>
      <c r="M522" s="9"/>
      <c r="N522" s="9"/>
      <c r="O522" s="9"/>
      <c r="P522" s="9"/>
      <c r="Q522" s="18" t="s">
        <v>3</v>
      </c>
      <c r="R522" s="3"/>
      <c r="S522" s="3"/>
      <c r="T522" s="9"/>
      <c r="U522" s="9"/>
      <c r="V522" s="2">
        <f>_xlfn.XLOOKUP(Tab_Data_Flows[[#This Row],[Flow_Name]],Tab_Def_Flows[Flow_Name],Tab_Def_Flows[Flow_E1_Fraction'[%']],"N.A.",0,1)</f>
        <v>0</v>
      </c>
      <c r="W522" s="8">
        <f t="shared" si="16"/>
        <v>0</v>
      </c>
      <c r="X522" s="2" t="str">
        <f>Tab_Data_Flows[[#This Row],[UoM_Source]]</f>
        <v>Mg</v>
      </c>
      <c r="Y522" s="19">
        <f>_xlfn.XLOOKUP(Tab_Data_Flows[[#This Row],[Flow_Name]],Tab_Def_Flows[Flow_Name],Tab_Def_Flows[Flow_E2_Fraction'[%']],"N.A.",0,1)</f>
        <v>0</v>
      </c>
      <c r="Z522" s="2">
        <f>IF(D522="Yes",W522*Tab_Data_Flows[[#This Row],[E2_Fraction'[%']]],"N.A.")</f>
        <v>0</v>
      </c>
      <c r="AA522" s="2" t="str">
        <f>Tab_Data_Flows[[#This Row],[E1_UoM]]</f>
        <v>Mg</v>
      </c>
      <c r="AB522" s="19">
        <f>_xlfn.XLOOKUP(Tab_Data_Flows[[#This Row],[Flow_Name]],Tab_Def_Flows[Flow_Name],Tab_Def_Flows[Flow_E3_Fraction'[%']],"N.A.",0,1)</f>
        <v>0</v>
      </c>
      <c r="AC522" s="2">
        <f>IF(E522="Yes",AB522*Tab_Data_Flows[[#This Row],[E1_value]],"N.A.")</f>
        <v>0</v>
      </c>
      <c r="AD522" s="2" t="str">
        <f>Tab_Data_Flows[[#This Row],[E1_UoM]]</f>
        <v>Mg</v>
      </c>
      <c r="AE522" s="19">
        <f>_xlfn.XLOOKUP(Tab_Data_Flows[[#This Row],[Flow_Name]],Tab_Def_Flows[Flow_Name],Tab_Def_Flows[Flow_E4_Fraction'[%']],"N.A.",0,1)</f>
        <v>0</v>
      </c>
      <c r="AF522" s="2">
        <f>IF(H522="Yes",Tab_Data_Flows[[#This Row],[E4_Fraction'[%']]]*Tab_Data_Flows[[#This Row],[E1_value]],"N.A.")</f>
        <v>0</v>
      </c>
      <c r="AG522" s="2" t="str">
        <f>Tab_Data_Flows[[#This Row],[E1_UoM]]</f>
        <v>Mg</v>
      </c>
      <c r="AH522" s="2">
        <f>_xlfn.XLOOKUP(Tab_Data_Flows[[#This Row],[Flow_Name]],Tab_Def_Flows[Flow_Name],Tab_Def_Flows[Flow_E5_Fraction'[%']],"N.A.",0,1)</f>
        <v>0</v>
      </c>
      <c r="AI522" s="2">
        <f>IF(H522="Yes",Tab_Data_Flows[[#This Row],[E5_Fraction'[%']]]*Tab_Data_Flows[[#This Row],[E1_value]],"N.A.")</f>
        <v>0</v>
      </c>
      <c r="AJ522" s="2" t="str">
        <f>Tab_Data_Flows[[#This Row],[E1_UoM]]</f>
        <v>Mg</v>
      </c>
      <c r="AK522" s="19">
        <f>_xlfn.XLOOKUP(Tab_Data_Flows[[#This Row],[Flow_Name]],Tab_Def_Flows[Flow_Name],Tab_Def_Flows[Flow_E6_Fraction'[%']],"N.A.",0,1)</f>
        <v>0</v>
      </c>
      <c r="AL522" s="2">
        <f>IF(Tab_Data_Flows[[#This Row],[Use_E6]]="Yes",Tab_Data_Flows[[#This Row],[E6_Fraction'[%']]]*Tab_Data_Flows[[#This Row],[E1_value]],"N.A.")</f>
        <v>0</v>
      </c>
      <c r="AM522" s="2" t="str">
        <f>Tab_Data_Flows[[#This Row],[E1_UoM]]</f>
        <v>Mg</v>
      </c>
    </row>
    <row r="523" spans="1:39" x14ac:dyDescent="0.25">
      <c r="A523" s="4">
        <f t="shared" si="12"/>
        <v>522</v>
      </c>
      <c r="B523" s="2" t="str">
        <f>_xlfn.XLOOKUP(C523,Tab_Def_Flows[Flow_Name],Tab_Def_Flows[Flow_ID],,0,)</f>
        <v>F__</v>
      </c>
      <c r="C523" s="18" t="s">
        <v>5</v>
      </c>
      <c r="D523" s="5" t="str">
        <f>_xlfn.XLOOKUP(C523,Tab_Def_Flows[Flow_Name],Tab_Def_Flows[Use_E1],,0,)</f>
        <v>Yes</v>
      </c>
      <c r="E523" s="5" t="str">
        <f>_xlfn.XLOOKUP(C523,Tab_Def_Flows[Flow_Name],Tab_Def_Flows[Use_E2],,0,)</f>
        <v>Yes</v>
      </c>
      <c r="F523" s="5" t="str">
        <f>_xlfn.XLOOKUP(C523,Tab_Def_Flows[Flow_Name],Tab_Def_Flows[Use_E3],,0,)</f>
        <v>Yes</v>
      </c>
      <c r="G523" s="5" t="str">
        <f>_xlfn.XLOOKUP(C523,Tab_Def_Flows[Flow_Name],Tab_Def_Flows[Use_E4],,0,)</f>
        <v>Yes</v>
      </c>
      <c r="H523" s="5" t="str">
        <f>_xlfn.XLOOKUP(C523,Tab_Def_Flows[Flow_Name],Tab_Def_Flows[Use_E5],,0,)</f>
        <v>Yes</v>
      </c>
      <c r="I523" s="5" t="str">
        <f>_xlfn.XLOOKUP(C523,Tab_Def_Flows[Flow_Name],Tab_Def_Flows[Use_E6],,0,)</f>
        <v>Yes</v>
      </c>
      <c r="J523" s="3"/>
      <c r="K523" s="3"/>
      <c r="L523" s="2" t="str">
        <f>'0_Configuration'!$C$41</f>
        <v>Mg</v>
      </c>
      <c r="M523" s="9"/>
      <c r="N523" s="9"/>
      <c r="O523" s="9"/>
      <c r="P523" s="9"/>
      <c r="Q523" s="18" t="s">
        <v>3</v>
      </c>
      <c r="R523" s="3"/>
      <c r="S523" s="3"/>
      <c r="T523" s="9"/>
      <c r="U523" s="9"/>
      <c r="V523" s="2">
        <f>_xlfn.XLOOKUP(Tab_Data_Flows[[#This Row],[Flow_Name]],Tab_Def_Flows[Flow_Name],Tab_Def_Flows[Flow_E1_Fraction'[%']],"N.A.",0,1)</f>
        <v>0</v>
      </c>
      <c r="W523" s="8">
        <f t="shared" si="16"/>
        <v>0</v>
      </c>
      <c r="X523" s="2" t="str">
        <f>Tab_Data_Flows[[#This Row],[UoM_Source]]</f>
        <v>Mg</v>
      </c>
      <c r="Y523" s="19">
        <f>_xlfn.XLOOKUP(Tab_Data_Flows[[#This Row],[Flow_Name]],Tab_Def_Flows[Flow_Name],Tab_Def_Flows[Flow_E2_Fraction'[%']],"N.A.",0,1)</f>
        <v>0</v>
      </c>
      <c r="Z523" s="2">
        <f>IF(D523="Yes",W523*Tab_Data_Flows[[#This Row],[E2_Fraction'[%']]],"N.A.")</f>
        <v>0</v>
      </c>
      <c r="AA523" s="2" t="str">
        <f>Tab_Data_Flows[[#This Row],[E1_UoM]]</f>
        <v>Mg</v>
      </c>
      <c r="AB523" s="19">
        <f>_xlfn.XLOOKUP(Tab_Data_Flows[[#This Row],[Flow_Name]],Tab_Def_Flows[Flow_Name],Tab_Def_Flows[Flow_E3_Fraction'[%']],"N.A.",0,1)</f>
        <v>0</v>
      </c>
      <c r="AC523" s="2">
        <f>IF(E523="Yes",AB523*Tab_Data_Flows[[#This Row],[E1_value]],"N.A.")</f>
        <v>0</v>
      </c>
      <c r="AD523" s="2" t="str">
        <f>Tab_Data_Flows[[#This Row],[E1_UoM]]</f>
        <v>Mg</v>
      </c>
      <c r="AE523" s="19">
        <f>_xlfn.XLOOKUP(Tab_Data_Flows[[#This Row],[Flow_Name]],Tab_Def_Flows[Flow_Name],Tab_Def_Flows[Flow_E4_Fraction'[%']],"N.A.",0,1)</f>
        <v>0</v>
      </c>
      <c r="AF523" s="2">
        <f>IF(H523="Yes",Tab_Data_Flows[[#This Row],[E4_Fraction'[%']]]*Tab_Data_Flows[[#This Row],[E1_value]],"N.A.")</f>
        <v>0</v>
      </c>
      <c r="AG523" s="2" t="str">
        <f>Tab_Data_Flows[[#This Row],[E1_UoM]]</f>
        <v>Mg</v>
      </c>
      <c r="AH523" s="2">
        <f>_xlfn.XLOOKUP(Tab_Data_Flows[[#This Row],[Flow_Name]],Tab_Def_Flows[Flow_Name],Tab_Def_Flows[Flow_E5_Fraction'[%']],"N.A.",0,1)</f>
        <v>0</v>
      </c>
      <c r="AI523" s="2">
        <f>IF(H523="Yes",Tab_Data_Flows[[#This Row],[E5_Fraction'[%']]]*Tab_Data_Flows[[#This Row],[E1_value]],"N.A.")</f>
        <v>0</v>
      </c>
      <c r="AJ523" s="2" t="str">
        <f>Tab_Data_Flows[[#This Row],[E1_UoM]]</f>
        <v>Mg</v>
      </c>
      <c r="AK523" s="19">
        <f>_xlfn.XLOOKUP(Tab_Data_Flows[[#This Row],[Flow_Name]],Tab_Def_Flows[Flow_Name],Tab_Def_Flows[Flow_E6_Fraction'[%']],"N.A.",0,1)</f>
        <v>0</v>
      </c>
      <c r="AL523" s="2">
        <f>IF(Tab_Data_Flows[[#This Row],[Use_E6]]="Yes",Tab_Data_Flows[[#This Row],[E6_Fraction'[%']]]*Tab_Data_Flows[[#This Row],[E1_value]],"N.A.")</f>
        <v>0</v>
      </c>
      <c r="AM523" s="2" t="str">
        <f>Tab_Data_Flows[[#This Row],[E1_UoM]]</f>
        <v>Mg</v>
      </c>
    </row>
    <row r="524" spans="1:39" x14ac:dyDescent="0.25">
      <c r="A524" s="4">
        <f t="shared" si="12"/>
        <v>523</v>
      </c>
      <c r="B524" s="2" t="str">
        <f>_xlfn.XLOOKUP(C524,Tab_Def_Flows[Flow_Name],Tab_Def_Flows[Flow_ID],,0,)</f>
        <v>F__</v>
      </c>
      <c r="C524" s="18" t="s">
        <v>5</v>
      </c>
      <c r="D524" s="5" t="str">
        <f>_xlfn.XLOOKUP(C524,Tab_Def_Flows[Flow_Name],Tab_Def_Flows[Use_E1],,0,)</f>
        <v>Yes</v>
      </c>
      <c r="E524" s="5" t="str">
        <f>_xlfn.XLOOKUP(C524,Tab_Def_Flows[Flow_Name],Tab_Def_Flows[Use_E2],,0,)</f>
        <v>Yes</v>
      </c>
      <c r="F524" s="5" t="str">
        <f>_xlfn.XLOOKUP(C524,Tab_Def_Flows[Flow_Name],Tab_Def_Flows[Use_E3],,0,)</f>
        <v>Yes</v>
      </c>
      <c r="G524" s="5" t="str">
        <f>_xlfn.XLOOKUP(C524,Tab_Def_Flows[Flow_Name],Tab_Def_Flows[Use_E4],,0,)</f>
        <v>Yes</v>
      </c>
      <c r="H524" s="5" t="str">
        <f>_xlfn.XLOOKUP(C524,Tab_Def_Flows[Flow_Name],Tab_Def_Flows[Use_E5],,0,)</f>
        <v>Yes</v>
      </c>
      <c r="I524" s="5" t="str">
        <f>_xlfn.XLOOKUP(C524,Tab_Def_Flows[Flow_Name],Tab_Def_Flows[Use_E6],,0,)</f>
        <v>Yes</v>
      </c>
      <c r="J524" s="3"/>
      <c r="K524" s="3"/>
      <c r="L524" s="2" t="str">
        <f>'0_Configuration'!$C$41</f>
        <v>Mg</v>
      </c>
      <c r="M524" s="9"/>
      <c r="N524" s="9"/>
      <c r="O524" s="9"/>
      <c r="P524" s="9"/>
      <c r="Q524" s="18" t="s">
        <v>3</v>
      </c>
      <c r="R524" s="3"/>
      <c r="S524" s="3"/>
      <c r="T524" s="9"/>
      <c r="U524" s="9"/>
      <c r="V524" s="2">
        <f>_xlfn.XLOOKUP(Tab_Data_Flows[[#This Row],[Flow_Name]],Tab_Def_Flows[Flow_Name],Tab_Def_Flows[Flow_E1_Fraction'[%']],"N.A.",0,1)</f>
        <v>0</v>
      </c>
      <c r="W524" s="8">
        <f t="shared" si="16"/>
        <v>0</v>
      </c>
      <c r="X524" s="2" t="str">
        <f>Tab_Data_Flows[[#This Row],[UoM_Source]]</f>
        <v>Mg</v>
      </c>
      <c r="Y524" s="19">
        <f>_xlfn.XLOOKUP(Tab_Data_Flows[[#This Row],[Flow_Name]],Tab_Def_Flows[Flow_Name],Tab_Def_Flows[Flow_E2_Fraction'[%']],"N.A.",0,1)</f>
        <v>0</v>
      </c>
      <c r="Z524" s="2">
        <f>IF(D524="Yes",W524*Tab_Data_Flows[[#This Row],[E2_Fraction'[%']]],"N.A.")</f>
        <v>0</v>
      </c>
      <c r="AA524" s="2" t="str">
        <f>Tab_Data_Flows[[#This Row],[E1_UoM]]</f>
        <v>Mg</v>
      </c>
      <c r="AB524" s="19">
        <f>_xlfn.XLOOKUP(Tab_Data_Flows[[#This Row],[Flow_Name]],Tab_Def_Flows[Flow_Name],Tab_Def_Flows[Flow_E3_Fraction'[%']],"N.A.",0,1)</f>
        <v>0</v>
      </c>
      <c r="AC524" s="2">
        <f>IF(E524="Yes",AB524*Tab_Data_Flows[[#This Row],[E1_value]],"N.A.")</f>
        <v>0</v>
      </c>
      <c r="AD524" s="2" t="str">
        <f>Tab_Data_Flows[[#This Row],[E1_UoM]]</f>
        <v>Mg</v>
      </c>
      <c r="AE524" s="19">
        <f>_xlfn.XLOOKUP(Tab_Data_Flows[[#This Row],[Flow_Name]],Tab_Def_Flows[Flow_Name],Tab_Def_Flows[Flow_E4_Fraction'[%']],"N.A.",0,1)</f>
        <v>0</v>
      </c>
      <c r="AF524" s="2">
        <f>IF(H524="Yes",Tab_Data_Flows[[#This Row],[E4_Fraction'[%']]]*Tab_Data_Flows[[#This Row],[E1_value]],"N.A.")</f>
        <v>0</v>
      </c>
      <c r="AG524" s="2" t="str">
        <f>Tab_Data_Flows[[#This Row],[E1_UoM]]</f>
        <v>Mg</v>
      </c>
      <c r="AH524" s="2">
        <f>_xlfn.XLOOKUP(Tab_Data_Flows[[#This Row],[Flow_Name]],Tab_Def_Flows[Flow_Name],Tab_Def_Flows[Flow_E5_Fraction'[%']],"N.A.",0,1)</f>
        <v>0</v>
      </c>
      <c r="AI524" s="2">
        <f>IF(H524="Yes",Tab_Data_Flows[[#This Row],[E5_Fraction'[%']]]*Tab_Data_Flows[[#This Row],[E1_value]],"N.A.")</f>
        <v>0</v>
      </c>
      <c r="AJ524" s="2" t="str">
        <f>Tab_Data_Flows[[#This Row],[E1_UoM]]</f>
        <v>Mg</v>
      </c>
      <c r="AK524" s="19">
        <f>_xlfn.XLOOKUP(Tab_Data_Flows[[#This Row],[Flow_Name]],Tab_Def_Flows[Flow_Name],Tab_Def_Flows[Flow_E6_Fraction'[%']],"N.A.",0,1)</f>
        <v>0</v>
      </c>
      <c r="AL524" s="2">
        <f>IF(Tab_Data_Flows[[#This Row],[Use_E6]]="Yes",Tab_Data_Flows[[#This Row],[E6_Fraction'[%']]]*Tab_Data_Flows[[#This Row],[E1_value]],"N.A.")</f>
        <v>0</v>
      </c>
      <c r="AM524" s="2" t="str">
        <f>Tab_Data_Flows[[#This Row],[E1_UoM]]</f>
        <v>Mg</v>
      </c>
    </row>
    <row r="525" spans="1:39" x14ac:dyDescent="0.25">
      <c r="A525" s="4">
        <f t="shared" si="12"/>
        <v>524</v>
      </c>
      <c r="B525" s="2" t="str">
        <f>_xlfn.XLOOKUP(C525,Tab_Def_Flows[Flow_Name],Tab_Def_Flows[Flow_ID],,0,)</f>
        <v>F__</v>
      </c>
      <c r="C525" s="18" t="s">
        <v>5</v>
      </c>
      <c r="D525" s="5" t="str">
        <f>_xlfn.XLOOKUP(C525,Tab_Def_Flows[Flow_Name],Tab_Def_Flows[Use_E1],,0,)</f>
        <v>Yes</v>
      </c>
      <c r="E525" s="5" t="str">
        <f>_xlfn.XLOOKUP(C525,Tab_Def_Flows[Flow_Name],Tab_Def_Flows[Use_E2],,0,)</f>
        <v>Yes</v>
      </c>
      <c r="F525" s="5" t="str">
        <f>_xlfn.XLOOKUP(C525,Tab_Def_Flows[Flow_Name],Tab_Def_Flows[Use_E3],,0,)</f>
        <v>Yes</v>
      </c>
      <c r="G525" s="5" t="str">
        <f>_xlfn.XLOOKUP(C525,Tab_Def_Flows[Flow_Name],Tab_Def_Flows[Use_E4],,0,)</f>
        <v>Yes</v>
      </c>
      <c r="H525" s="5" t="str">
        <f>_xlfn.XLOOKUP(C525,Tab_Def_Flows[Flow_Name],Tab_Def_Flows[Use_E5],,0,)</f>
        <v>Yes</v>
      </c>
      <c r="I525" s="5" t="str">
        <f>_xlfn.XLOOKUP(C525,Tab_Def_Flows[Flow_Name],Tab_Def_Flows[Use_E6],,0,)</f>
        <v>Yes</v>
      </c>
      <c r="J525" s="3"/>
      <c r="K525" s="3"/>
      <c r="L525" s="2" t="str">
        <f>'0_Configuration'!$C$41</f>
        <v>Mg</v>
      </c>
      <c r="M525" s="9"/>
      <c r="N525" s="9"/>
      <c r="O525" s="9"/>
      <c r="P525" s="9"/>
      <c r="Q525" s="18" t="s">
        <v>3</v>
      </c>
      <c r="R525" s="3"/>
      <c r="S525" s="3"/>
      <c r="T525" s="9"/>
      <c r="U525" s="9"/>
      <c r="V525" s="2">
        <f>_xlfn.XLOOKUP(Tab_Data_Flows[[#This Row],[Flow_Name]],Tab_Def_Flows[Flow_Name],Tab_Def_Flows[Flow_E1_Fraction'[%']],"N.A.",0,1)</f>
        <v>0</v>
      </c>
      <c r="W525" s="8">
        <f t="shared" si="16"/>
        <v>0</v>
      </c>
      <c r="X525" s="2" t="str">
        <f>Tab_Data_Flows[[#This Row],[UoM_Source]]</f>
        <v>Mg</v>
      </c>
      <c r="Y525" s="19">
        <f>_xlfn.XLOOKUP(Tab_Data_Flows[[#This Row],[Flow_Name]],Tab_Def_Flows[Flow_Name],Tab_Def_Flows[Flow_E2_Fraction'[%']],"N.A.",0,1)</f>
        <v>0</v>
      </c>
      <c r="Z525" s="2">
        <f>IF(D525="Yes",W525*Tab_Data_Flows[[#This Row],[E2_Fraction'[%']]],"N.A.")</f>
        <v>0</v>
      </c>
      <c r="AA525" s="2" t="str">
        <f>Tab_Data_Flows[[#This Row],[E1_UoM]]</f>
        <v>Mg</v>
      </c>
      <c r="AB525" s="19">
        <f>_xlfn.XLOOKUP(Tab_Data_Flows[[#This Row],[Flow_Name]],Tab_Def_Flows[Flow_Name],Tab_Def_Flows[Flow_E3_Fraction'[%']],"N.A.",0,1)</f>
        <v>0</v>
      </c>
      <c r="AC525" s="2">
        <f>IF(E525="Yes",AB525*Tab_Data_Flows[[#This Row],[E1_value]],"N.A.")</f>
        <v>0</v>
      </c>
      <c r="AD525" s="2" t="str">
        <f>Tab_Data_Flows[[#This Row],[E1_UoM]]</f>
        <v>Mg</v>
      </c>
      <c r="AE525" s="19">
        <f>_xlfn.XLOOKUP(Tab_Data_Flows[[#This Row],[Flow_Name]],Tab_Def_Flows[Flow_Name],Tab_Def_Flows[Flow_E4_Fraction'[%']],"N.A.",0,1)</f>
        <v>0</v>
      </c>
      <c r="AF525" s="2">
        <f>IF(H525="Yes",Tab_Data_Flows[[#This Row],[E4_Fraction'[%']]]*Tab_Data_Flows[[#This Row],[E1_value]],"N.A.")</f>
        <v>0</v>
      </c>
      <c r="AG525" s="2" t="str">
        <f>Tab_Data_Flows[[#This Row],[E1_UoM]]</f>
        <v>Mg</v>
      </c>
      <c r="AH525" s="2">
        <f>_xlfn.XLOOKUP(Tab_Data_Flows[[#This Row],[Flow_Name]],Tab_Def_Flows[Flow_Name],Tab_Def_Flows[Flow_E5_Fraction'[%']],"N.A.",0,1)</f>
        <v>0</v>
      </c>
      <c r="AI525" s="2">
        <f>IF(H525="Yes",Tab_Data_Flows[[#This Row],[E5_Fraction'[%']]]*Tab_Data_Flows[[#This Row],[E1_value]],"N.A.")</f>
        <v>0</v>
      </c>
      <c r="AJ525" s="2" t="str">
        <f>Tab_Data_Flows[[#This Row],[E1_UoM]]</f>
        <v>Mg</v>
      </c>
      <c r="AK525" s="19">
        <f>_xlfn.XLOOKUP(Tab_Data_Flows[[#This Row],[Flow_Name]],Tab_Def_Flows[Flow_Name],Tab_Def_Flows[Flow_E6_Fraction'[%']],"N.A.",0,1)</f>
        <v>0</v>
      </c>
      <c r="AL525" s="2">
        <f>IF(Tab_Data_Flows[[#This Row],[Use_E6]]="Yes",Tab_Data_Flows[[#This Row],[E6_Fraction'[%']]]*Tab_Data_Flows[[#This Row],[E1_value]],"N.A.")</f>
        <v>0</v>
      </c>
      <c r="AM525" s="2" t="str">
        <f>Tab_Data_Flows[[#This Row],[E1_UoM]]</f>
        <v>Mg</v>
      </c>
    </row>
    <row r="526" spans="1:39" x14ac:dyDescent="0.25">
      <c r="A526" s="4">
        <f t="shared" si="12"/>
        <v>525</v>
      </c>
      <c r="B526" s="2" t="str">
        <f>_xlfn.XLOOKUP(C526,Tab_Def_Flows[Flow_Name],Tab_Def_Flows[Flow_ID],,0,)</f>
        <v>F__</v>
      </c>
      <c r="C526" s="18" t="s">
        <v>5</v>
      </c>
      <c r="D526" s="5" t="str">
        <f>_xlfn.XLOOKUP(C526,Tab_Def_Flows[Flow_Name],Tab_Def_Flows[Use_E1],,0,)</f>
        <v>Yes</v>
      </c>
      <c r="E526" s="5" t="str">
        <f>_xlfn.XLOOKUP(C526,Tab_Def_Flows[Flow_Name],Tab_Def_Flows[Use_E2],,0,)</f>
        <v>Yes</v>
      </c>
      <c r="F526" s="5" t="str">
        <f>_xlfn.XLOOKUP(C526,Tab_Def_Flows[Flow_Name],Tab_Def_Flows[Use_E3],,0,)</f>
        <v>Yes</v>
      </c>
      <c r="G526" s="5" t="str">
        <f>_xlfn.XLOOKUP(C526,Tab_Def_Flows[Flow_Name],Tab_Def_Flows[Use_E4],,0,)</f>
        <v>Yes</v>
      </c>
      <c r="H526" s="5" t="str">
        <f>_xlfn.XLOOKUP(C526,Tab_Def_Flows[Flow_Name],Tab_Def_Flows[Use_E5],,0,)</f>
        <v>Yes</v>
      </c>
      <c r="I526" s="5" t="str">
        <f>_xlfn.XLOOKUP(C526,Tab_Def_Flows[Flow_Name],Tab_Def_Flows[Use_E6],,0,)</f>
        <v>Yes</v>
      </c>
      <c r="J526" s="3"/>
      <c r="K526" s="3"/>
      <c r="L526" s="2" t="str">
        <f>'0_Configuration'!$C$41</f>
        <v>Mg</v>
      </c>
      <c r="M526" s="9"/>
      <c r="N526" s="9"/>
      <c r="O526" s="9"/>
      <c r="P526" s="9"/>
      <c r="Q526" s="18" t="s">
        <v>3</v>
      </c>
      <c r="R526" s="3"/>
      <c r="S526" s="3"/>
      <c r="T526" s="9"/>
      <c r="U526" s="9"/>
      <c r="V526" s="2">
        <f>_xlfn.XLOOKUP(Tab_Data_Flows[[#This Row],[Flow_Name]],Tab_Def_Flows[Flow_Name],Tab_Def_Flows[Flow_E1_Fraction'[%']],"N.A.",0,1)</f>
        <v>0</v>
      </c>
      <c r="W526" s="8">
        <f t="shared" si="16"/>
        <v>0</v>
      </c>
      <c r="X526" s="2" t="str">
        <f>Tab_Data_Flows[[#This Row],[UoM_Source]]</f>
        <v>Mg</v>
      </c>
      <c r="Y526" s="19">
        <f>_xlfn.XLOOKUP(Tab_Data_Flows[[#This Row],[Flow_Name]],Tab_Def_Flows[Flow_Name],Tab_Def_Flows[Flow_E2_Fraction'[%']],"N.A.",0,1)</f>
        <v>0</v>
      </c>
      <c r="Z526" s="2">
        <f>IF(D526="Yes",W526*Tab_Data_Flows[[#This Row],[E2_Fraction'[%']]],"N.A.")</f>
        <v>0</v>
      </c>
      <c r="AA526" s="2" t="str">
        <f>Tab_Data_Flows[[#This Row],[E1_UoM]]</f>
        <v>Mg</v>
      </c>
      <c r="AB526" s="19">
        <f>_xlfn.XLOOKUP(Tab_Data_Flows[[#This Row],[Flow_Name]],Tab_Def_Flows[Flow_Name],Tab_Def_Flows[Flow_E3_Fraction'[%']],"N.A.",0,1)</f>
        <v>0</v>
      </c>
      <c r="AC526" s="2">
        <f>IF(E526="Yes",AB526*Tab_Data_Flows[[#This Row],[E1_value]],"N.A.")</f>
        <v>0</v>
      </c>
      <c r="AD526" s="2" t="str">
        <f>Tab_Data_Flows[[#This Row],[E1_UoM]]</f>
        <v>Mg</v>
      </c>
      <c r="AE526" s="19">
        <f>_xlfn.XLOOKUP(Tab_Data_Flows[[#This Row],[Flow_Name]],Tab_Def_Flows[Flow_Name],Tab_Def_Flows[Flow_E4_Fraction'[%']],"N.A.",0,1)</f>
        <v>0</v>
      </c>
      <c r="AF526" s="2">
        <f>IF(H526="Yes",Tab_Data_Flows[[#This Row],[E4_Fraction'[%']]]*Tab_Data_Flows[[#This Row],[E1_value]],"N.A.")</f>
        <v>0</v>
      </c>
      <c r="AG526" s="2" t="str">
        <f>Tab_Data_Flows[[#This Row],[E1_UoM]]</f>
        <v>Mg</v>
      </c>
      <c r="AH526" s="2">
        <f>_xlfn.XLOOKUP(Tab_Data_Flows[[#This Row],[Flow_Name]],Tab_Def_Flows[Flow_Name],Tab_Def_Flows[Flow_E5_Fraction'[%']],"N.A.",0,1)</f>
        <v>0</v>
      </c>
      <c r="AI526" s="2">
        <f>IF(H526="Yes",Tab_Data_Flows[[#This Row],[E5_Fraction'[%']]]*Tab_Data_Flows[[#This Row],[E1_value]],"N.A.")</f>
        <v>0</v>
      </c>
      <c r="AJ526" s="2" t="str">
        <f>Tab_Data_Flows[[#This Row],[E1_UoM]]</f>
        <v>Mg</v>
      </c>
      <c r="AK526" s="19">
        <f>_xlfn.XLOOKUP(Tab_Data_Flows[[#This Row],[Flow_Name]],Tab_Def_Flows[Flow_Name],Tab_Def_Flows[Flow_E6_Fraction'[%']],"N.A.",0,1)</f>
        <v>0</v>
      </c>
      <c r="AL526" s="2">
        <f>IF(Tab_Data_Flows[[#This Row],[Use_E6]]="Yes",Tab_Data_Flows[[#This Row],[E6_Fraction'[%']]]*Tab_Data_Flows[[#This Row],[E1_value]],"N.A.")</f>
        <v>0</v>
      </c>
      <c r="AM526" s="2" t="str">
        <f>Tab_Data_Flows[[#This Row],[E1_UoM]]</f>
        <v>Mg</v>
      </c>
    </row>
    <row r="527" spans="1:39" x14ac:dyDescent="0.25">
      <c r="A527" s="4">
        <f t="shared" si="12"/>
        <v>526</v>
      </c>
      <c r="B527" s="2" t="str">
        <f>_xlfn.XLOOKUP(C527,Tab_Def_Flows[Flow_Name],Tab_Def_Flows[Flow_ID],,0,)</f>
        <v>F__</v>
      </c>
      <c r="C527" s="18" t="s">
        <v>5</v>
      </c>
      <c r="D527" s="5" t="str">
        <f>_xlfn.XLOOKUP(C527,Tab_Def_Flows[Flow_Name],Tab_Def_Flows[Use_E1],,0,)</f>
        <v>Yes</v>
      </c>
      <c r="E527" s="5" t="str">
        <f>_xlfn.XLOOKUP(C527,Tab_Def_Flows[Flow_Name],Tab_Def_Flows[Use_E2],,0,)</f>
        <v>Yes</v>
      </c>
      <c r="F527" s="5" t="str">
        <f>_xlfn.XLOOKUP(C527,Tab_Def_Flows[Flow_Name],Tab_Def_Flows[Use_E3],,0,)</f>
        <v>Yes</v>
      </c>
      <c r="G527" s="5" t="str">
        <f>_xlfn.XLOOKUP(C527,Tab_Def_Flows[Flow_Name],Tab_Def_Flows[Use_E4],,0,)</f>
        <v>Yes</v>
      </c>
      <c r="H527" s="5" t="str">
        <f>_xlfn.XLOOKUP(C527,Tab_Def_Flows[Flow_Name],Tab_Def_Flows[Use_E5],,0,)</f>
        <v>Yes</v>
      </c>
      <c r="I527" s="5" t="str">
        <f>_xlfn.XLOOKUP(C527,Tab_Def_Flows[Flow_Name],Tab_Def_Flows[Use_E6],,0,)</f>
        <v>Yes</v>
      </c>
      <c r="J527" s="3"/>
      <c r="K527" s="3"/>
      <c r="L527" s="2" t="str">
        <f>'0_Configuration'!$C$41</f>
        <v>Mg</v>
      </c>
      <c r="M527" s="9"/>
      <c r="N527" s="9"/>
      <c r="O527" s="9"/>
      <c r="P527" s="9"/>
      <c r="Q527" s="18" t="s">
        <v>3</v>
      </c>
      <c r="R527" s="3"/>
      <c r="S527" s="3"/>
      <c r="T527" s="9"/>
      <c r="U527" s="9"/>
      <c r="V527" s="2">
        <f>_xlfn.XLOOKUP(Tab_Data_Flows[[#This Row],[Flow_Name]],Tab_Def_Flows[Flow_Name],Tab_Def_Flows[Flow_E1_Fraction'[%']],"N.A.",0,1)</f>
        <v>0</v>
      </c>
      <c r="W527" s="8">
        <f t="shared" si="16"/>
        <v>0</v>
      </c>
      <c r="X527" s="2" t="str">
        <f>Tab_Data_Flows[[#This Row],[UoM_Source]]</f>
        <v>Mg</v>
      </c>
      <c r="Y527" s="19">
        <f>_xlfn.XLOOKUP(Tab_Data_Flows[[#This Row],[Flow_Name]],Tab_Def_Flows[Flow_Name],Tab_Def_Flows[Flow_E2_Fraction'[%']],"N.A.",0,1)</f>
        <v>0</v>
      </c>
      <c r="Z527" s="2">
        <f>IF(D527="Yes",W527*Tab_Data_Flows[[#This Row],[E2_Fraction'[%']]],"N.A.")</f>
        <v>0</v>
      </c>
      <c r="AA527" s="2" t="str">
        <f>Tab_Data_Flows[[#This Row],[E1_UoM]]</f>
        <v>Mg</v>
      </c>
      <c r="AB527" s="19">
        <f>_xlfn.XLOOKUP(Tab_Data_Flows[[#This Row],[Flow_Name]],Tab_Def_Flows[Flow_Name],Tab_Def_Flows[Flow_E3_Fraction'[%']],"N.A.",0,1)</f>
        <v>0</v>
      </c>
      <c r="AC527" s="2">
        <f>IF(E527="Yes",AB527*Tab_Data_Flows[[#This Row],[E1_value]],"N.A.")</f>
        <v>0</v>
      </c>
      <c r="AD527" s="2" t="str">
        <f>Tab_Data_Flows[[#This Row],[E1_UoM]]</f>
        <v>Mg</v>
      </c>
      <c r="AE527" s="19">
        <f>_xlfn.XLOOKUP(Tab_Data_Flows[[#This Row],[Flow_Name]],Tab_Def_Flows[Flow_Name],Tab_Def_Flows[Flow_E4_Fraction'[%']],"N.A.",0,1)</f>
        <v>0</v>
      </c>
      <c r="AF527" s="2">
        <f>IF(H527="Yes",Tab_Data_Flows[[#This Row],[E4_Fraction'[%']]]*Tab_Data_Flows[[#This Row],[E1_value]],"N.A.")</f>
        <v>0</v>
      </c>
      <c r="AG527" s="2" t="str">
        <f>Tab_Data_Flows[[#This Row],[E1_UoM]]</f>
        <v>Mg</v>
      </c>
      <c r="AH527" s="2">
        <f>_xlfn.XLOOKUP(Tab_Data_Flows[[#This Row],[Flow_Name]],Tab_Def_Flows[Flow_Name],Tab_Def_Flows[Flow_E5_Fraction'[%']],"N.A.",0,1)</f>
        <v>0</v>
      </c>
      <c r="AI527" s="2">
        <f>IF(H527="Yes",Tab_Data_Flows[[#This Row],[E5_Fraction'[%']]]*Tab_Data_Flows[[#This Row],[E1_value]],"N.A.")</f>
        <v>0</v>
      </c>
      <c r="AJ527" s="2" t="str">
        <f>Tab_Data_Flows[[#This Row],[E1_UoM]]</f>
        <v>Mg</v>
      </c>
      <c r="AK527" s="19">
        <f>_xlfn.XLOOKUP(Tab_Data_Flows[[#This Row],[Flow_Name]],Tab_Def_Flows[Flow_Name],Tab_Def_Flows[Flow_E6_Fraction'[%']],"N.A.",0,1)</f>
        <v>0</v>
      </c>
      <c r="AL527" s="2">
        <f>IF(Tab_Data_Flows[[#This Row],[Use_E6]]="Yes",Tab_Data_Flows[[#This Row],[E6_Fraction'[%']]]*Tab_Data_Flows[[#This Row],[E1_value]],"N.A.")</f>
        <v>0</v>
      </c>
      <c r="AM527" s="2" t="str">
        <f>Tab_Data_Flows[[#This Row],[E1_UoM]]</f>
        <v>Mg</v>
      </c>
    </row>
    <row r="528" spans="1:39" x14ac:dyDescent="0.25">
      <c r="A528" s="4">
        <f t="shared" si="12"/>
        <v>527</v>
      </c>
      <c r="B528" s="2" t="str">
        <f>_xlfn.XLOOKUP(C528,Tab_Def_Flows[Flow_Name],Tab_Def_Flows[Flow_ID],,0,)</f>
        <v>F__</v>
      </c>
      <c r="C528" s="18" t="s">
        <v>5</v>
      </c>
      <c r="D528" s="5" t="str">
        <f>_xlfn.XLOOKUP(C528,Tab_Def_Flows[Flow_Name],Tab_Def_Flows[Use_E1],,0,)</f>
        <v>Yes</v>
      </c>
      <c r="E528" s="5" t="str">
        <f>_xlfn.XLOOKUP(C528,Tab_Def_Flows[Flow_Name],Tab_Def_Flows[Use_E2],,0,)</f>
        <v>Yes</v>
      </c>
      <c r="F528" s="5" t="str">
        <f>_xlfn.XLOOKUP(C528,Tab_Def_Flows[Flow_Name],Tab_Def_Flows[Use_E3],,0,)</f>
        <v>Yes</v>
      </c>
      <c r="G528" s="5" t="str">
        <f>_xlfn.XLOOKUP(C528,Tab_Def_Flows[Flow_Name],Tab_Def_Flows[Use_E4],,0,)</f>
        <v>Yes</v>
      </c>
      <c r="H528" s="5" t="str">
        <f>_xlfn.XLOOKUP(C528,Tab_Def_Flows[Flow_Name],Tab_Def_Flows[Use_E5],,0,)</f>
        <v>Yes</v>
      </c>
      <c r="I528" s="5" t="str">
        <f>_xlfn.XLOOKUP(C528,Tab_Def_Flows[Flow_Name],Tab_Def_Flows[Use_E6],,0,)</f>
        <v>Yes</v>
      </c>
      <c r="J528" s="3"/>
      <c r="K528" s="3"/>
      <c r="L528" s="2" t="str">
        <f>'0_Configuration'!$C$41</f>
        <v>Mg</v>
      </c>
      <c r="M528" s="9"/>
      <c r="N528" s="9"/>
      <c r="O528" s="9"/>
      <c r="P528" s="9"/>
      <c r="Q528" s="18" t="s">
        <v>3</v>
      </c>
      <c r="R528" s="3"/>
      <c r="S528" s="3"/>
      <c r="T528" s="9"/>
      <c r="U528" s="9"/>
      <c r="V528" s="2">
        <f>_xlfn.XLOOKUP(Tab_Data_Flows[[#This Row],[Flow_Name]],Tab_Def_Flows[Flow_Name],Tab_Def_Flows[Flow_E1_Fraction'[%']],"N.A.",0,1)</f>
        <v>0</v>
      </c>
      <c r="W528" s="8">
        <f t="shared" si="16"/>
        <v>0</v>
      </c>
      <c r="X528" s="2" t="str">
        <f>Tab_Data_Flows[[#This Row],[UoM_Source]]</f>
        <v>Mg</v>
      </c>
      <c r="Y528" s="19">
        <f>_xlfn.XLOOKUP(Tab_Data_Flows[[#This Row],[Flow_Name]],Tab_Def_Flows[Flow_Name],Tab_Def_Flows[Flow_E2_Fraction'[%']],"N.A.",0,1)</f>
        <v>0</v>
      </c>
      <c r="Z528" s="2">
        <f>IF(D528="Yes",W528*Tab_Data_Flows[[#This Row],[E2_Fraction'[%']]],"N.A.")</f>
        <v>0</v>
      </c>
      <c r="AA528" s="2" t="str">
        <f>Tab_Data_Flows[[#This Row],[E1_UoM]]</f>
        <v>Mg</v>
      </c>
      <c r="AB528" s="19">
        <f>_xlfn.XLOOKUP(Tab_Data_Flows[[#This Row],[Flow_Name]],Tab_Def_Flows[Flow_Name],Tab_Def_Flows[Flow_E3_Fraction'[%']],"N.A.",0,1)</f>
        <v>0</v>
      </c>
      <c r="AC528" s="2">
        <f>IF(E528="Yes",AB528*Tab_Data_Flows[[#This Row],[E1_value]],"N.A.")</f>
        <v>0</v>
      </c>
      <c r="AD528" s="2" t="str">
        <f>Tab_Data_Flows[[#This Row],[E1_UoM]]</f>
        <v>Mg</v>
      </c>
      <c r="AE528" s="19">
        <f>_xlfn.XLOOKUP(Tab_Data_Flows[[#This Row],[Flow_Name]],Tab_Def_Flows[Flow_Name],Tab_Def_Flows[Flow_E4_Fraction'[%']],"N.A.",0,1)</f>
        <v>0</v>
      </c>
      <c r="AF528" s="2">
        <f>IF(H528="Yes",Tab_Data_Flows[[#This Row],[E4_Fraction'[%']]]*Tab_Data_Flows[[#This Row],[E1_value]],"N.A.")</f>
        <v>0</v>
      </c>
      <c r="AG528" s="2" t="str">
        <f>Tab_Data_Flows[[#This Row],[E1_UoM]]</f>
        <v>Mg</v>
      </c>
      <c r="AH528" s="2">
        <f>_xlfn.XLOOKUP(Tab_Data_Flows[[#This Row],[Flow_Name]],Tab_Def_Flows[Flow_Name],Tab_Def_Flows[Flow_E5_Fraction'[%']],"N.A.",0,1)</f>
        <v>0</v>
      </c>
      <c r="AI528" s="2">
        <f>IF(H528="Yes",Tab_Data_Flows[[#This Row],[E5_Fraction'[%']]]*Tab_Data_Flows[[#This Row],[E1_value]],"N.A.")</f>
        <v>0</v>
      </c>
      <c r="AJ528" s="2" t="str">
        <f>Tab_Data_Flows[[#This Row],[E1_UoM]]</f>
        <v>Mg</v>
      </c>
      <c r="AK528" s="19">
        <f>_xlfn.XLOOKUP(Tab_Data_Flows[[#This Row],[Flow_Name]],Tab_Def_Flows[Flow_Name],Tab_Def_Flows[Flow_E6_Fraction'[%']],"N.A.",0,1)</f>
        <v>0</v>
      </c>
      <c r="AL528" s="2">
        <f>IF(Tab_Data_Flows[[#This Row],[Use_E6]]="Yes",Tab_Data_Flows[[#This Row],[E6_Fraction'[%']]]*Tab_Data_Flows[[#This Row],[E1_value]],"N.A.")</f>
        <v>0</v>
      </c>
      <c r="AM528" s="2" t="str">
        <f>Tab_Data_Flows[[#This Row],[E1_UoM]]</f>
        <v>Mg</v>
      </c>
    </row>
    <row r="529" spans="1:39" x14ac:dyDescent="0.25">
      <c r="A529" s="4">
        <f t="shared" si="12"/>
        <v>528</v>
      </c>
      <c r="B529" s="2" t="str">
        <f>_xlfn.XLOOKUP(C529,Tab_Def_Flows[Flow_Name],Tab_Def_Flows[Flow_ID],,0,)</f>
        <v>F__</v>
      </c>
      <c r="C529" s="18" t="s">
        <v>5</v>
      </c>
      <c r="D529" s="5" t="str">
        <f>_xlfn.XLOOKUP(C529,Tab_Def_Flows[Flow_Name],Tab_Def_Flows[Use_E1],,0,)</f>
        <v>Yes</v>
      </c>
      <c r="E529" s="5" t="str">
        <f>_xlfn.XLOOKUP(C529,Tab_Def_Flows[Flow_Name],Tab_Def_Flows[Use_E2],,0,)</f>
        <v>Yes</v>
      </c>
      <c r="F529" s="5" t="str">
        <f>_xlfn.XLOOKUP(C529,Tab_Def_Flows[Flow_Name],Tab_Def_Flows[Use_E3],,0,)</f>
        <v>Yes</v>
      </c>
      <c r="G529" s="5" t="str">
        <f>_xlfn.XLOOKUP(C529,Tab_Def_Flows[Flow_Name],Tab_Def_Flows[Use_E4],,0,)</f>
        <v>Yes</v>
      </c>
      <c r="H529" s="5" t="str">
        <f>_xlfn.XLOOKUP(C529,Tab_Def_Flows[Flow_Name],Tab_Def_Flows[Use_E5],,0,)</f>
        <v>Yes</v>
      </c>
      <c r="I529" s="5" t="str">
        <f>_xlfn.XLOOKUP(C529,Tab_Def_Flows[Flow_Name],Tab_Def_Flows[Use_E6],,0,)</f>
        <v>Yes</v>
      </c>
      <c r="J529" s="3"/>
      <c r="K529" s="3"/>
      <c r="L529" s="2" t="str">
        <f>'0_Configuration'!$C$41</f>
        <v>Mg</v>
      </c>
      <c r="M529" s="9"/>
      <c r="N529" s="9"/>
      <c r="O529" s="9"/>
      <c r="P529" s="9"/>
      <c r="Q529" s="18" t="s">
        <v>3</v>
      </c>
      <c r="R529" s="3"/>
      <c r="S529" s="3"/>
      <c r="T529" s="9"/>
      <c r="U529" s="9"/>
      <c r="V529" s="2">
        <f>_xlfn.XLOOKUP(Tab_Data_Flows[[#This Row],[Flow_Name]],Tab_Def_Flows[Flow_Name],Tab_Def_Flows[Flow_E1_Fraction'[%']],"N.A.",0,1)</f>
        <v>0</v>
      </c>
      <c r="W529" s="8">
        <f t="shared" si="16"/>
        <v>0</v>
      </c>
      <c r="X529" s="2" t="str">
        <f>Tab_Data_Flows[[#This Row],[UoM_Source]]</f>
        <v>Mg</v>
      </c>
      <c r="Y529" s="19">
        <f>_xlfn.XLOOKUP(Tab_Data_Flows[[#This Row],[Flow_Name]],Tab_Def_Flows[Flow_Name],Tab_Def_Flows[Flow_E2_Fraction'[%']],"N.A.",0,1)</f>
        <v>0</v>
      </c>
      <c r="Z529" s="2">
        <f>IF(D529="Yes",W529*Tab_Data_Flows[[#This Row],[E2_Fraction'[%']]],"N.A.")</f>
        <v>0</v>
      </c>
      <c r="AA529" s="2" t="str">
        <f>Tab_Data_Flows[[#This Row],[E1_UoM]]</f>
        <v>Mg</v>
      </c>
      <c r="AB529" s="19">
        <f>_xlfn.XLOOKUP(Tab_Data_Flows[[#This Row],[Flow_Name]],Tab_Def_Flows[Flow_Name],Tab_Def_Flows[Flow_E3_Fraction'[%']],"N.A.",0,1)</f>
        <v>0</v>
      </c>
      <c r="AC529" s="2">
        <f>IF(E529="Yes",AB529*Tab_Data_Flows[[#This Row],[E1_value]],"N.A.")</f>
        <v>0</v>
      </c>
      <c r="AD529" s="2" t="str">
        <f>Tab_Data_Flows[[#This Row],[E1_UoM]]</f>
        <v>Mg</v>
      </c>
      <c r="AE529" s="19">
        <f>_xlfn.XLOOKUP(Tab_Data_Flows[[#This Row],[Flow_Name]],Tab_Def_Flows[Flow_Name],Tab_Def_Flows[Flow_E4_Fraction'[%']],"N.A.",0,1)</f>
        <v>0</v>
      </c>
      <c r="AF529" s="2">
        <f>IF(H529="Yes",Tab_Data_Flows[[#This Row],[E4_Fraction'[%']]]*Tab_Data_Flows[[#This Row],[E1_value]],"N.A.")</f>
        <v>0</v>
      </c>
      <c r="AG529" s="2" t="str">
        <f>Tab_Data_Flows[[#This Row],[E1_UoM]]</f>
        <v>Mg</v>
      </c>
      <c r="AH529" s="2">
        <f>_xlfn.XLOOKUP(Tab_Data_Flows[[#This Row],[Flow_Name]],Tab_Def_Flows[Flow_Name],Tab_Def_Flows[Flow_E5_Fraction'[%']],"N.A.",0,1)</f>
        <v>0</v>
      </c>
      <c r="AI529" s="2">
        <f>IF(H529="Yes",Tab_Data_Flows[[#This Row],[E5_Fraction'[%']]]*Tab_Data_Flows[[#This Row],[E1_value]],"N.A.")</f>
        <v>0</v>
      </c>
      <c r="AJ529" s="2" t="str">
        <f>Tab_Data_Flows[[#This Row],[E1_UoM]]</f>
        <v>Mg</v>
      </c>
      <c r="AK529" s="19">
        <f>_xlfn.XLOOKUP(Tab_Data_Flows[[#This Row],[Flow_Name]],Tab_Def_Flows[Flow_Name],Tab_Def_Flows[Flow_E6_Fraction'[%']],"N.A.",0,1)</f>
        <v>0</v>
      </c>
      <c r="AL529" s="2">
        <f>IF(Tab_Data_Flows[[#This Row],[Use_E6]]="Yes",Tab_Data_Flows[[#This Row],[E6_Fraction'[%']]]*Tab_Data_Flows[[#This Row],[E1_value]],"N.A.")</f>
        <v>0</v>
      </c>
      <c r="AM529" s="2" t="str">
        <f>Tab_Data_Flows[[#This Row],[E1_UoM]]</f>
        <v>Mg</v>
      </c>
    </row>
    <row r="530" spans="1:39" x14ac:dyDescent="0.25">
      <c r="A530" s="4">
        <f t="shared" si="12"/>
        <v>529</v>
      </c>
      <c r="B530" s="2" t="str">
        <f>_xlfn.XLOOKUP(C530,Tab_Def_Flows[Flow_Name],Tab_Def_Flows[Flow_ID],,0,)</f>
        <v>F__</v>
      </c>
      <c r="C530" s="18" t="s">
        <v>5</v>
      </c>
      <c r="D530" s="5" t="str">
        <f>_xlfn.XLOOKUP(C530,Tab_Def_Flows[Flow_Name],Tab_Def_Flows[Use_E1],,0,)</f>
        <v>Yes</v>
      </c>
      <c r="E530" s="5" t="str">
        <f>_xlfn.XLOOKUP(C530,Tab_Def_Flows[Flow_Name],Tab_Def_Flows[Use_E2],,0,)</f>
        <v>Yes</v>
      </c>
      <c r="F530" s="5" t="str">
        <f>_xlfn.XLOOKUP(C530,Tab_Def_Flows[Flow_Name],Tab_Def_Flows[Use_E3],,0,)</f>
        <v>Yes</v>
      </c>
      <c r="G530" s="5" t="str">
        <f>_xlfn.XLOOKUP(C530,Tab_Def_Flows[Flow_Name],Tab_Def_Flows[Use_E4],,0,)</f>
        <v>Yes</v>
      </c>
      <c r="H530" s="5" t="str">
        <f>_xlfn.XLOOKUP(C530,Tab_Def_Flows[Flow_Name],Tab_Def_Flows[Use_E5],,0,)</f>
        <v>Yes</v>
      </c>
      <c r="I530" s="5" t="str">
        <f>_xlfn.XLOOKUP(C530,Tab_Def_Flows[Flow_Name],Tab_Def_Flows[Use_E6],,0,)</f>
        <v>Yes</v>
      </c>
      <c r="J530" s="3"/>
      <c r="K530" s="3"/>
      <c r="L530" s="2" t="str">
        <f>'0_Configuration'!$C$41</f>
        <v>Mg</v>
      </c>
      <c r="M530" s="9"/>
      <c r="N530" s="9"/>
      <c r="O530" s="9"/>
      <c r="P530" s="9"/>
      <c r="Q530" s="18" t="s">
        <v>3</v>
      </c>
      <c r="R530" s="3"/>
      <c r="S530" s="3"/>
      <c r="T530" s="9"/>
      <c r="U530" s="9"/>
      <c r="V530" s="2">
        <f>_xlfn.XLOOKUP(Tab_Data_Flows[[#This Row],[Flow_Name]],Tab_Def_Flows[Flow_Name],Tab_Def_Flows[Flow_E1_Fraction'[%']],"N.A.",0,1)</f>
        <v>0</v>
      </c>
      <c r="W530" s="8">
        <f t="shared" si="16"/>
        <v>0</v>
      </c>
      <c r="X530" s="2" t="str">
        <f>Tab_Data_Flows[[#This Row],[UoM_Source]]</f>
        <v>Mg</v>
      </c>
      <c r="Y530" s="19">
        <f>_xlfn.XLOOKUP(Tab_Data_Flows[[#This Row],[Flow_Name]],Tab_Def_Flows[Flow_Name],Tab_Def_Flows[Flow_E2_Fraction'[%']],"N.A.",0,1)</f>
        <v>0</v>
      </c>
      <c r="Z530" s="2">
        <f>IF(D530="Yes",W530*Tab_Data_Flows[[#This Row],[E2_Fraction'[%']]],"N.A.")</f>
        <v>0</v>
      </c>
      <c r="AA530" s="2" t="str">
        <f>Tab_Data_Flows[[#This Row],[E1_UoM]]</f>
        <v>Mg</v>
      </c>
      <c r="AB530" s="19">
        <f>_xlfn.XLOOKUP(Tab_Data_Flows[[#This Row],[Flow_Name]],Tab_Def_Flows[Flow_Name],Tab_Def_Flows[Flow_E3_Fraction'[%']],"N.A.",0,1)</f>
        <v>0</v>
      </c>
      <c r="AC530" s="2">
        <f>IF(E530="Yes",AB530*Tab_Data_Flows[[#This Row],[E1_value]],"N.A.")</f>
        <v>0</v>
      </c>
      <c r="AD530" s="2" t="str">
        <f>Tab_Data_Flows[[#This Row],[E1_UoM]]</f>
        <v>Mg</v>
      </c>
      <c r="AE530" s="19">
        <f>_xlfn.XLOOKUP(Tab_Data_Flows[[#This Row],[Flow_Name]],Tab_Def_Flows[Flow_Name],Tab_Def_Flows[Flow_E4_Fraction'[%']],"N.A.",0,1)</f>
        <v>0</v>
      </c>
      <c r="AF530" s="2">
        <f>IF(H530="Yes",Tab_Data_Flows[[#This Row],[E4_Fraction'[%']]]*Tab_Data_Flows[[#This Row],[E1_value]],"N.A.")</f>
        <v>0</v>
      </c>
      <c r="AG530" s="2" t="str">
        <f>Tab_Data_Flows[[#This Row],[E1_UoM]]</f>
        <v>Mg</v>
      </c>
      <c r="AH530" s="2">
        <f>_xlfn.XLOOKUP(Tab_Data_Flows[[#This Row],[Flow_Name]],Tab_Def_Flows[Flow_Name],Tab_Def_Flows[Flow_E5_Fraction'[%']],"N.A.",0,1)</f>
        <v>0</v>
      </c>
      <c r="AI530" s="2">
        <f>IF(H530="Yes",Tab_Data_Flows[[#This Row],[E5_Fraction'[%']]]*Tab_Data_Flows[[#This Row],[E1_value]],"N.A.")</f>
        <v>0</v>
      </c>
      <c r="AJ530" s="2" t="str">
        <f>Tab_Data_Flows[[#This Row],[E1_UoM]]</f>
        <v>Mg</v>
      </c>
      <c r="AK530" s="19">
        <f>_xlfn.XLOOKUP(Tab_Data_Flows[[#This Row],[Flow_Name]],Tab_Def_Flows[Flow_Name],Tab_Def_Flows[Flow_E6_Fraction'[%']],"N.A.",0,1)</f>
        <v>0</v>
      </c>
      <c r="AL530" s="2">
        <f>IF(Tab_Data_Flows[[#This Row],[Use_E6]]="Yes",Tab_Data_Flows[[#This Row],[E6_Fraction'[%']]]*Tab_Data_Flows[[#This Row],[E1_value]],"N.A.")</f>
        <v>0</v>
      </c>
      <c r="AM530" s="2" t="str">
        <f>Tab_Data_Flows[[#This Row],[E1_UoM]]</f>
        <v>Mg</v>
      </c>
    </row>
    <row r="531" spans="1:39" x14ac:dyDescent="0.25">
      <c r="A531" s="4">
        <f t="shared" si="12"/>
        <v>530</v>
      </c>
      <c r="B531" s="2" t="str">
        <f>_xlfn.XLOOKUP(C531,Tab_Def_Flows[Flow_Name],Tab_Def_Flows[Flow_ID],,0,)</f>
        <v>F__</v>
      </c>
      <c r="C531" s="18" t="s">
        <v>5</v>
      </c>
      <c r="D531" s="5" t="str">
        <f>_xlfn.XLOOKUP(C531,Tab_Def_Flows[Flow_Name],Tab_Def_Flows[Use_E1],,0,)</f>
        <v>Yes</v>
      </c>
      <c r="E531" s="5" t="str">
        <f>_xlfn.XLOOKUP(C531,Tab_Def_Flows[Flow_Name],Tab_Def_Flows[Use_E2],,0,)</f>
        <v>Yes</v>
      </c>
      <c r="F531" s="5" t="str">
        <f>_xlfn.XLOOKUP(C531,Tab_Def_Flows[Flow_Name],Tab_Def_Flows[Use_E3],,0,)</f>
        <v>Yes</v>
      </c>
      <c r="G531" s="5" t="str">
        <f>_xlfn.XLOOKUP(C531,Tab_Def_Flows[Flow_Name],Tab_Def_Flows[Use_E4],,0,)</f>
        <v>Yes</v>
      </c>
      <c r="H531" s="5" t="str">
        <f>_xlfn.XLOOKUP(C531,Tab_Def_Flows[Flow_Name],Tab_Def_Flows[Use_E5],,0,)</f>
        <v>Yes</v>
      </c>
      <c r="I531" s="5" t="str">
        <f>_xlfn.XLOOKUP(C531,Tab_Def_Flows[Flow_Name],Tab_Def_Flows[Use_E6],,0,)</f>
        <v>Yes</v>
      </c>
      <c r="J531" s="3"/>
      <c r="K531" s="3"/>
      <c r="L531" s="2" t="str">
        <f>'0_Configuration'!$C$41</f>
        <v>Mg</v>
      </c>
      <c r="M531" s="9"/>
      <c r="N531" s="9"/>
      <c r="O531" s="9"/>
      <c r="P531" s="9"/>
      <c r="Q531" s="18" t="s">
        <v>3</v>
      </c>
      <c r="R531" s="3"/>
      <c r="S531" s="3"/>
      <c r="T531" s="9"/>
      <c r="U531" s="9"/>
      <c r="V531" s="2">
        <f>_xlfn.XLOOKUP(Tab_Data_Flows[[#This Row],[Flow_Name]],Tab_Def_Flows[Flow_Name],Tab_Def_Flows[Flow_E1_Fraction'[%']],"N.A.",0,1)</f>
        <v>0</v>
      </c>
      <c r="W531" s="8">
        <f t="shared" si="16"/>
        <v>0</v>
      </c>
      <c r="X531" s="2" t="str">
        <f>Tab_Data_Flows[[#This Row],[UoM_Source]]</f>
        <v>Mg</v>
      </c>
      <c r="Y531" s="19">
        <f>_xlfn.XLOOKUP(Tab_Data_Flows[[#This Row],[Flow_Name]],Tab_Def_Flows[Flow_Name],Tab_Def_Flows[Flow_E2_Fraction'[%']],"N.A.",0,1)</f>
        <v>0</v>
      </c>
      <c r="Z531" s="2">
        <f>IF(D531="Yes",W531*Tab_Data_Flows[[#This Row],[E2_Fraction'[%']]],"N.A.")</f>
        <v>0</v>
      </c>
      <c r="AA531" s="2" t="str">
        <f>Tab_Data_Flows[[#This Row],[E1_UoM]]</f>
        <v>Mg</v>
      </c>
      <c r="AB531" s="19">
        <f>_xlfn.XLOOKUP(Tab_Data_Flows[[#This Row],[Flow_Name]],Tab_Def_Flows[Flow_Name],Tab_Def_Flows[Flow_E3_Fraction'[%']],"N.A.",0,1)</f>
        <v>0</v>
      </c>
      <c r="AC531" s="2">
        <f>IF(E531="Yes",AB531*Tab_Data_Flows[[#This Row],[E1_value]],"N.A.")</f>
        <v>0</v>
      </c>
      <c r="AD531" s="2" t="str">
        <f>Tab_Data_Flows[[#This Row],[E1_UoM]]</f>
        <v>Mg</v>
      </c>
      <c r="AE531" s="19">
        <f>_xlfn.XLOOKUP(Tab_Data_Flows[[#This Row],[Flow_Name]],Tab_Def_Flows[Flow_Name],Tab_Def_Flows[Flow_E4_Fraction'[%']],"N.A.",0,1)</f>
        <v>0</v>
      </c>
      <c r="AF531" s="2">
        <f>IF(H531="Yes",Tab_Data_Flows[[#This Row],[E4_Fraction'[%']]]*Tab_Data_Flows[[#This Row],[E1_value]],"N.A.")</f>
        <v>0</v>
      </c>
      <c r="AG531" s="2" t="str">
        <f>Tab_Data_Flows[[#This Row],[E1_UoM]]</f>
        <v>Mg</v>
      </c>
      <c r="AH531" s="2">
        <f>_xlfn.XLOOKUP(Tab_Data_Flows[[#This Row],[Flow_Name]],Tab_Def_Flows[Flow_Name],Tab_Def_Flows[Flow_E5_Fraction'[%']],"N.A.",0,1)</f>
        <v>0</v>
      </c>
      <c r="AI531" s="2">
        <f>IF(H531="Yes",Tab_Data_Flows[[#This Row],[E5_Fraction'[%']]]*Tab_Data_Flows[[#This Row],[E1_value]],"N.A.")</f>
        <v>0</v>
      </c>
      <c r="AJ531" s="2" t="str">
        <f>Tab_Data_Flows[[#This Row],[E1_UoM]]</f>
        <v>Mg</v>
      </c>
      <c r="AK531" s="19">
        <f>_xlfn.XLOOKUP(Tab_Data_Flows[[#This Row],[Flow_Name]],Tab_Def_Flows[Flow_Name],Tab_Def_Flows[Flow_E6_Fraction'[%']],"N.A.",0,1)</f>
        <v>0</v>
      </c>
      <c r="AL531" s="2">
        <f>IF(Tab_Data_Flows[[#This Row],[Use_E6]]="Yes",Tab_Data_Flows[[#This Row],[E6_Fraction'[%']]]*Tab_Data_Flows[[#This Row],[E1_value]],"N.A.")</f>
        <v>0</v>
      </c>
      <c r="AM531" s="2" t="str">
        <f>Tab_Data_Flows[[#This Row],[E1_UoM]]</f>
        <v>Mg</v>
      </c>
    </row>
    <row r="532" spans="1:39" x14ac:dyDescent="0.25">
      <c r="A532" s="4">
        <f t="shared" si="12"/>
        <v>531</v>
      </c>
      <c r="B532" s="2" t="str">
        <f>_xlfn.XLOOKUP(C532,Tab_Def_Flows[Flow_Name],Tab_Def_Flows[Flow_ID],,0,)</f>
        <v>F__</v>
      </c>
      <c r="C532" s="18" t="s">
        <v>5</v>
      </c>
      <c r="D532" s="5" t="str">
        <f>_xlfn.XLOOKUP(C532,Tab_Def_Flows[Flow_Name],Tab_Def_Flows[Use_E1],,0,)</f>
        <v>Yes</v>
      </c>
      <c r="E532" s="5" t="str">
        <f>_xlfn.XLOOKUP(C532,Tab_Def_Flows[Flow_Name],Tab_Def_Flows[Use_E2],,0,)</f>
        <v>Yes</v>
      </c>
      <c r="F532" s="5" t="str">
        <f>_xlfn.XLOOKUP(C532,Tab_Def_Flows[Flow_Name],Tab_Def_Flows[Use_E3],,0,)</f>
        <v>Yes</v>
      </c>
      <c r="G532" s="5" t="str">
        <f>_xlfn.XLOOKUP(C532,Tab_Def_Flows[Flow_Name],Tab_Def_Flows[Use_E4],,0,)</f>
        <v>Yes</v>
      </c>
      <c r="H532" s="5" t="str">
        <f>_xlfn.XLOOKUP(C532,Tab_Def_Flows[Flow_Name],Tab_Def_Flows[Use_E5],,0,)</f>
        <v>Yes</v>
      </c>
      <c r="I532" s="5" t="str">
        <f>_xlfn.XLOOKUP(C532,Tab_Def_Flows[Flow_Name],Tab_Def_Flows[Use_E6],,0,)</f>
        <v>Yes</v>
      </c>
      <c r="J532" s="3"/>
      <c r="K532" s="3"/>
      <c r="L532" s="2" t="str">
        <f>'0_Configuration'!$C$41</f>
        <v>Mg</v>
      </c>
      <c r="M532" s="9"/>
      <c r="N532" s="9"/>
      <c r="O532" s="9"/>
      <c r="P532" s="9"/>
      <c r="Q532" s="18" t="s">
        <v>3</v>
      </c>
      <c r="R532" s="3"/>
      <c r="S532" s="3"/>
      <c r="T532" s="9"/>
      <c r="U532" s="9"/>
      <c r="V532" s="2">
        <f>_xlfn.XLOOKUP(Tab_Data_Flows[[#This Row],[Flow_Name]],Tab_Def_Flows[Flow_Name],Tab_Def_Flows[Flow_E1_Fraction'[%']],"N.A.",0,1)</f>
        <v>0</v>
      </c>
      <c r="W532" s="8">
        <f t="shared" si="16"/>
        <v>0</v>
      </c>
      <c r="X532" s="2" t="str">
        <f>Tab_Data_Flows[[#This Row],[UoM_Source]]</f>
        <v>Mg</v>
      </c>
      <c r="Y532" s="19">
        <f>_xlfn.XLOOKUP(Tab_Data_Flows[[#This Row],[Flow_Name]],Tab_Def_Flows[Flow_Name],Tab_Def_Flows[Flow_E2_Fraction'[%']],"N.A.",0,1)</f>
        <v>0</v>
      </c>
      <c r="Z532" s="2">
        <f>IF(D532="Yes",W532*Tab_Data_Flows[[#This Row],[E2_Fraction'[%']]],"N.A.")</f>
        <v>0</v>
      </c>
      <c r="AA532" s="2" t="str">
        <f>Tab_Data_Flows[[#This Row],[E1_UoM]]</f>
        <v>Mg</v>
      </c>
      <c r="AB532" s="19">
        <f>_xlfn.XLOOKUP(Tab_Data_Flows[[#This Row],[Flow_Name]],Tab_Def_Flows[Flow_Name],Tab_Def_Flows[Flow_E3_Fraction'[%']],"N.A.",0,1)</f>
        <v>0</v>
      </c>
      <c r="AC532" s="2">
        <f>IF(E532="Yes",AB532*Tab_Data_Flows[[#This Row],[E1_value]],"N.A.")</f>
        <v>0</v>
      </c>
      <c r="AD532" s="2" t="str">
        <f>Tab_Data_Flows[[#This Row],[E1_UoM]]</f>
        <v>Mg</v>
      </c>
      <c r="AE532" s="19">
        <f>_xlfn.XLOOKUP(Tab_Data_Flows[[#This Row],[Flow_Name]],Tab_Def_Flows[Flow_Name],Tab_Def_Flows[Flow_E4_Fraction'[%']],"N.A.",0,1)</f>
        <v>0</v>
      </c>
      <c r="AF532" s="2">
        <f>IF(H532="Yes",Tab_Data_Flows[[#This Row],[E4_Fraction'[%']]]*Tab_Data_Flows[[#This Row],[E1_value]],"N.A.")</f>
        <v>0</v>
      </c>
      <c r="AG532" s="2" t="str">
        <f>Tab_Data_Flows[[#This Row],[E1_UoM]]</f>
        <v>Mg</v>
      </c>
      <c r="AH532" s="2">
        <f>_xlfn.XLOOKUP(Tab_Data_Flows[[#This Row],[Flow_Name]],Tab_Def_Flows[Flow_Name],Tab_Def_Flows[Flow_E5_Fraction'[%']],"N.A.",0,1)</f>
        <v>0</v>
      </c>
      <c r="AI532" s="2">
        <f>IF(H532="Yes",Tab_Data_Flows[[#This Row],[E5_Fraction'[%']]]*Tab_Data_Flows[[#This Row],[E1_value]],"N.A.")</f>
        <v>0</v>
      </c>
      <c r="AJ532" s="2" t="str">
        <f>Tab_Data_Flows[[#This Row],[E1_UoM]]</f>
        <v>Mg</v>
      </c>
      <c r="AK532" s="19">
        <f>_xlfn.XLOOKUP(Tab_Data_Flows[[#This Row],[Flow_Name]],Tab_Def_Flows[Flow_Name],Tab_Def_Flows[Flow_E6_Fraction'[%']],"N.A.",0,1)</f>
        <v>0</v>
      </c>
      <c r="AL532" s="2">
        <f>IF(Tab_Data_Flows[[#This Row],[Use_E6]]="Yes",Tab_Data_Flows[[#This Row],[E6_Fraction'[%']]]*Tab_Data_Flows[[#This Row],[E1_value]],"N.A.")</f>
        <v>0</v>
      </c>
      <c r="AM532" s="2" t="str">
        <f>Tab_Data_Flows[[#This Row],[E1_UoM]]</f>
        <v>Mg</v>
      </c>
    </row>
    <row r="533" spans="1:39" x14ac:dyDescent="0.25">
      <c r="A533" s="4">
        <f t="shared" si="12"/>
        <v>532</v>
      </c>
      <c r="B533" s="2" t="str">
        <f>_xlfn.XLOOKUP(C533,Tab_Def_Flows[Flow_Name],Tab_Def_Flows[Flow_ID],,0,)</f>
        <v>F__</v>
      </c>
      <c r="C533" s="18" t="s">
        <v>5</v>
      </c>
      <c r="D533" s="5" t="str">
        <f>_xlfn.XLOOKUP(C533,Tab_Def_Flows[Flow_Name],Tab_Def_Flows[Use_E1],,0,)</f>
        <v>Yes</v>
      </c>
      <c r="E533" s="5" t="str">
        <f>_xlfn.XLOOKUP(C533,Tab_Def_Flows[Flow_Name],Tab_Def_Flows[Use_E2],,0,)</f>
        <v>Yes</v>
      </c>
      <c r="F533" s="5" t="str">
        <f>_xlfn.XLOOKUP(C533,Tab_Def_Flows[Flow_Name],Tab_Def_Flows[Use_E3],,0,)</f>
        <v>Yes</v>
      </c>
      <c r="G533" s="5" t="str">
        <f>_xlfn.XLOOKUP(C533,Tab_Def_Flows[Flow_Name],Tab_Def_Flows[Use_E4],,0,)</f>
        <v>Yes</v>
      </c>
      <c r="H533" s="5" t="str">
        <f>_xlfn.XLOOKUP(C533,Tab_Def_Flows[Flow_Name],Tab_Def_Flows[Use_E5],,0,)</f>
        <v>Yes</v>
      </c>
      <c r="I533" s="5" t="str">
        <f>_xlfn.XLOOKUP(C533,Tab_Def_Flows[Flow_Name],Tab_Def_Flows[Use_E6],,0,)</f>
        <v>Yes</v>
      </c>
      <c r="J533" s="3"/>
      <c r="K533" s="3"/>
      <c r="L533" s="2" t="str">
        <f>'0_Configuration'!$C$41</f>
        <v>Mg</v>
      </c>
      <c r="M533" s="9"/>
      <c r="N533" s="9"/>
      <c r="O533" s="9"/>
      <c r="P533" s="9"/>
      <c r="Q533" s="18" t="s">
        <v>3</v>
      </c>
      <c r="R533" s="3"/>
      <c r="S533" s="3"/>
      <c r="T533" s="9"/>
      <c r="U533" s="9"/>
      <c r="V533" s="2">
        <f>_xlfn.XLOOKUP(Tab_Data_Flows[[#This Row],[Flow_Name]],Tab_Def_Flows[Flow_Name],Tab_Def_Flows[Flow_E1_Fraction'[%']],"N.A.",0,1)</f>
        <v>0</v>
      </c>
      <c r="W533" s="8">
        <f t="shared" si="16"/>
        <v>0</v>
      </c>
      <c r="X533" s="2" t="str">
        <f>Tab_Data_Flows[[#This Row],[UoM_Source]]</f>
        <v>Mg</v>
      </c>
      <c r="Y533" s="19">
        <f>_xlfn.XLOOKUP(Tab_Data_Flows[[#This Row],[Flow_Name]],Tab_Def_Flows[Flow_Name],Tab_Def_Flows[Flow_E2_Fraction'[%']],"N.A.",0,1)</f>
        <v>0</v>
      </c>
      <c r="Z533" s="2">
        <f>IF(D533="Yes",W533*Tab_Data_Flows[[#This Row],[E2_Fraction'[%']]],"N.A.")</f>
        <v>0</v>
      </c>
      <c r="AA533" s="2" t="str">
        <f>Tab_Data_Flows[[#This Row],[E1_UoM]]</f>
        <v>Mg</v>
      </c>
      <c r="AB533" s="19">
        <f>_xlfn.XLOOKUP(Tab_Data_Flows[[#This Row],[Flow_Name]],Tab_Def_Flows[Flow_Name],Tab_Def_Flows[Flow_E3_Fraction'[%']],"N.A.",0,1)</f>
        <v>0</v>
      </c>
      <c r="AC533" s="2">
        <f>IF(E533="Yes",AB533*Tab_Data_Flows[[#This Row],[E1_value]],"N.A.")</f>
        <v>0</v>
      </c>
      <c r="AD533" s="2" t="str">
        <f>Tab_Data_Flows[[#This Row],[E1_UoM]]</f>
        <v>Mg</v>
      </c>
      <c r="AE533" s="19">
        <f>_xlfn.XLOOKUP(Tab_Data_Flows[[#This Row],[Flow_Name]],Tab_Def_Flows[Flow_Name],Tab_Def_Flows[Flow_E4_Fraction'[%']],"N.A.",0,1)</f>
        <v>0</v>
      </c>
      <c r="AF533" s="2">
        <f>IF(H533="Yes",Tab_Data_Flows[[#This Row],[E4_Fraction'[%']]]*Tab_Data_Flows[[#This Row],[E1_value]],"N.A.")</f>
        <v>0</v>
      </c>
      <c r="AG533" s="2" t="str">
        <f>Tab_Data_Flows[[#This Row],[E1_UoM]]</f>
        <v>Mg</v>
      </c>
      <c r="AH533" s="2">
        <f>_xlfn.XLOOKUP(Tab_Data_Flows[[#This Row],[Flow_Name]],Tab_Def_Flows[Flow_Name],Tab_Def_Flows[Flow_E5_Fraction'[%']],"N.A.",0,1)</f>
        <v>0</v>
      </c>
      <c r="AI533" s="2">
        <f>IF(H533="Yes",Tab_Data_Flows[[#This Row],[E5_Fraction'[%']]]*Tab_Data_Flows[[#This Row],[E1_value]],"N.A.")</f>
        <v>0</v>
      </c>
      <c r="AJ533" s="2" t="str">
        <f>Tab_Data_Flows[[#This Row],[E1_UoM]]</f>
        <v>Mg</v>
      </c>
      <c r="AK533" s="19">
        <f>_xlfn.XLOOKUP(Tab_Data_Flows[[#This Row],[Flow_Name]],Tab_Def_Flows[Flow_Name],Tab_Def_Flows[Flow_E6_Fraction'[%']],"N.A.",0,1)</f>
        <v>0</v>
      </c>
      <c r="AL533" s="2">
        <f>IF(Tab_Data_Flows[[#This Row],[Use_E6]]="Yes",Tab_Data_Flows[[#This Row],[E6_Fraction'[%']]]*Tab_Data_Flows[[#This Row],[E1_value]],"N.A.")</f>
        <v>0</v>
      </c>
      <c r="AM533" s="2" t="str">
        <f>Tab_Data_Flows[[#This Row],[E1_UoM]]</f>
        <v>Mg</v>
      </c>
    </row>
    <row r="534" spans="1:39" x14ac:dyDescent="0.25">
      <c r="A534" s="4">
        <f t="shared" si="12"/>
        <v>533</v>
      </c>
      <c r="B534" s="2" t="str">
        <f>_xlfn.XLOOKUP(C534,Tab_Def_Flows[Flow_Name],Tab_Def_Flows[Flow_ID],,0,)</f>
        <v>F__</v>
      </c>
      <c r="C534" s="18" t="s">
        <v>5</v>
      </c>
      <c r="D534" s="5" t="str">
        <f>_xlfn.XLOOKUP(C534,Tab_Def_Flows[Flow_Name],Tab_Def_Flows[Use_E1],,0,)</f>
        <v>Yes</v>
      </c>
      <c r="E534" s="5" t="str">
        <f>_xlfn.XLOOKUP(C534,Tab_Def_Flows[Flow_Name],Tab_Def_Flows[Use_E2],,0,)</f>
        <v>Yes</v>
      </c>
      <c r="F534" s="5" t="str">
        <f>_xlfn.XLOOKUP(C534,Tab_Def_Flows[Flow_Name],Tab_Def_Flows[Use_E3],,0,)</f>
        <v>Yes</v>
      </c>
      <c r="G534" s="5" t="str">
        <f>_xlfn.XLOOKUP(C534,Tab_Def_Flows[Flow_Name],Tab_Def_Flows[Use_E4],,0,)</f>
        <v>Yes</v>
      </c>
      <c r="H534" s="5" t="str">
        <f>_xlfn.XLOOKUP(C534,Tab_Def_Flows[Flow_Name],Tab_Def_Flows[Use_E5],,0,)</f>
        <v>Yes</v>
      </c>
      <c r="I534" s="5" t="str">
        <f>_xlfn.XLOOKUP(C534,Tab_Def_Flows[Flow_Name],Tab_Def_Flows[Use_E6],,0,)</f>
        <v>Yes</v>
      </c>
      <c r="J534" s="3"/>
      <c r="K534" s="3"/>
      <c r="L534" s="2" t="str">
        <f>'0_Configuration'!$C$41</f>
        <v>Mg</v>
      </c>
      <c r="M534" s="9"/>
      <c r="N534" s="9"/>
      <c r="O534" s="9"/>
      <c r="P534" s="9"/>
      <c r="Q534" s="18" t="s">
        <v>3</v>
      </c>
      <c r="R534" s="3"/>
      <c r="S534" s="3"/>
      <c r="T534" s="9"/>
      <c r="U534" s="9"/>
      <c r="V534" s="2">
        <f>_xlfn.XLOOKUP(Tab_Data_Flows[[#This Row],[Flow_Name]],Tab_Def_Flows[Flow_Name],Tab_Def_Flows[Flow_E1_Fraction'[%']],"N.A.",0,1)</f>
        <v>0</v>
      </c>
      <c r="W534" s="8">
        <f t="shared" si="16"/>
        <v>0</v>
      </c>
      <c r="X534" s="2" t="str">
        <f>Tab_Data_Flows[[#This Row],[UoM_Source]]</f>
        <v>Mg</v>
      </c>
      <c r="Y534" s="19">
        <f>_xlfn.XLOOKUP(Tab_Data_Flows[[#This Row],[Flow_Name]],Tab_Def_Flows[Flow_Name],Tab_Def_Flows[Flow_E2_Fraction'[%']],"N.A.",0,1)</f>
        <v>0</v>
      </c>
      <c r="Z534" s="2">
        <f>IF(D534="Yes",W534*Tab_Data_Flows[[#This Row],[E2_Fraction'[%']]],"N.A.")</f>
        <v>0</v>
      </c>
      <c r="AA534" s="2" t="str">
        <f>Tab_Data_Flows[[#This Row],[E1_UoM]]</f>
        <v>Mg</v>
      </c>
      <c r="AB534" s="19">
        <f>_xlfn.XLOOKUP(Tab_Data_Flows[[#This Row],[Flow_Name]],Tab_Def_Flows[Flow_Name],Tab_Def_Flows[Flow_E3_Fraction'[%']],"N.A.",0,1)</f>
        <v>0</v>
      </c>
      <c r="AC534" s="2">
        <f>IF(E534="Yes",AB534*Tab_Data_Flows[[#This Row],[E1_value]],"N.A.")</f>
        <v>0</v>
      </c>
      <c r="AD534" s="2" t="str">
        <f>Tab_Data_Flows[[#This Row],[E1_UoM]]</f>
        <v>Mg</v>
      </c>
      <c r="AE534" s="19">
        <f>_xlfn.XLOOKUP(Tab_Data_Flows[[#This Row],[Flow_Name]],Tab_Def_Flows[Flow_Name],Tab_Def_Flows[Flow_E4_Fraction'[%']],"N.A.",0,1)</f>
        <v>0</v>
      </c>
      <c r="AF534" s="2">
        <f>IF(H534="Yes",Tab_Data_Flows[[#This Row],[E4_Fraction'[%']]]*Tab_Data_Flows[[#This Row],[E1_value]],"N.A.")</f>
        <v>0</v>
      </c>
      <c r="AG534" s="2" t="str">
        <f>Tab_Data_Flows[[#This Row],[E1_UoM]]</f>
        <v>Mg</v>
      </c>
      <c r="AH534" s="2">
        <f>_xlfn.XLOOKUP(Tab_Data_Flows[[#This Row],[Flow_Name]],Tab_Def_Flows[Flow_Name],Tab_Def_Flows[Flow_E5_Fraction'[%']],"N.A.",0,1)</f>
        <v>0</v>
      </c>
      <c r="AI534" s="2">
        <f>IF(H534="Yes",Tab_Data_Flows[[#This Row],[E5_Fraction'[%']]]*Tab_Data_Flows[[#This Row],[E1_value]],"N.A.")</f>
        <v>0</v>
      </c>
      <c r="AJ534" s="2" t="str">
        <f>Tab_Data_Flows[[#This Row],[E1_UoM]]</f>
        <v>Mg</v>
      </c>
      <c r="AK534" s="19">
        <f>_xlfn.XLOOKUP(Tab_Data_Flows[[#This Row],[Flow_Name]],Tab_Def_Flows[Flow_Name],Tab_Def_Flows[Flow_E6_Fraction'[%']],"N.A.",0,1)</f>
        <v>0</v>
      </c>
      <c r="AL534" s="2">
        <f>IF(Tab_Data_Flows[[#This Row],[Use_E6]]="Yes",Tab_Data_Flows[[#This Row],[E6_Fraction'[%']]]*Tab_Data_Flows[[#This Row],[E1_value]],"N.A.")</f>
        <v>0</v>
      </c>
      <c r="AM534" s="2" t="str">
        <f>Tab_Data_Flows[[#This Row],[E1_UoM]]</f>
        <v>Mg</v>
      </c>
    </row>
    <row r="535" spans="1:39" x14ac:dyDescent="0.25">
      <c r="A535" s="4">
        <f t="shared" si="12"/>
        <v>534</v>
      </c>
      <c r="B535" s="2" t="str">
        <f>_xlfn.XLOOKUP(C535,Tab_Def_Flows[Flow_Name],Tab_Def_Flows[Flow_ID],,0,)</f>
        <v>F__</v>
      </c>
      <c r="C535" s="18" t="s">
        <v>5</v>
      </c>
      <c r="D535" s="5" t="str">
        <f>_xlfn.XLOOKUP(C535,Tab_Def_Flows[Flow_Name],Tab_Def_Flows[Use_E1],,0,)</f>
        <v>Yes</v>
      </c>
      <c r="E535" s="5" t="str">
        <f>_xlfn.XLOOKUP(C535,Tab_Def_Flows[Flow_Name],Tab_Def_Flows[Use_E2],,0,)</f>
        <v>Yes</v>
      </c>
      <c r="F535" s="5" t="str">
        <f>_xlfn.XLOOKUP(C535,Tab_Def_Flows[Flow_Name],Tab_Def_Flows[Use_E3],,0,)</f>
        <v>Yes</v>
      </c>
      <c r="G535" s="5" t="str">
        <f>_xlfn.XLOOKUP(C535,Tab_Def_Flows[Flow_Name],Tab_Def_Flows[Use_E4],,0,)</f>
        <v>Yes</v>
      </c>
      <c r="H535" s="5" t="str">
        <f>_xlfn.XLOOKUP(C535,Tab_Def_Flows[Flow_Name],Tab_Def_Flows[Use_E5],,0,)</f>
        <v>Yes</v>
      </c>
      <c r="I535" s="5" t="str">
        <f>_xlfn.XLOOKUP(C535,Tab_Def_Flows[Flow_Name],Tab_Def_Flows[Use_E6],,0,)</f>
        <v>Yes</v>
      </c>
      <c r="J535" s="3"/>
      <c r="K535" s="3"/>
      <c r="L535" s="2" t="str">
        <f>'0_Configuration'!$C$41</f>
        <v>Mg</v>
      </c>
      <c r="M535" s="9"/>
      <c r="N535" s="9"/>
      <c r="O535" s="9"/>
      <c r="P535" s="9"/>
      <c r="Q535" s="18" t="s">
        <v>3</v>
      </c>
      <c r="R535" s="3"/>
      <c r="S535" s="3"/>
      <c r="T535" s="9"/>
      <c r="U535" s="9"/>
      <c r="V535" s="2">
        <f>_xlfn.XLOOKUP(Tab_Data_Flows[[#This Row],[Flow_Name]],Tab_Def_Flows[Flow_Name],Tab_Def_Flows[Flow_E1_Fraction'[%']],"N.A.",0,1)</f>
        <v>0</v>
      </c>
      <c r="W535" s="8">
        <f t="shared" si="16"/>
        <v>0</v>
      </c>
      <c r="X535" s="2" t="str">
        <f>Tab_Data_Flows[[#This Row],[UoM_Source]]</f>
        <v>Mg</v>
      </c>
      <c r="Y535" s="19">
        <f>_xlfn.XLOOKUP(Tab_Data_Flows[[#This Row],[Flow_Name]],Tab_Def_Flows[Flow_Name],Tab_Def_Flows[Flow_E2_Fraction'[%']],"N.A.",0,1)</f>
        <v>0</v>
      </c>
      <c r="Z535" s="2">
        <f>IF(D535="Yes",W535*Tab_Data_Flows[[#This Row],[E2_Fraction'[%']]],"N.A.")</f>
        <v>0</v>
      </c>
      <c r="AA535" s="2" t="str">
        <f>Tab_Data_Flows[[#This Row],[E1_UoM]]</f>
        <v>Mg</v>
      </c>
      <c r="AB535" s="19">
        <f>_xlfn.XLOOKUP(Tab_Data_Flows[[#This Row],[Flow_Name]],Tab_Def_Flows[Flow_Name],Tab_Def_Flows[Flow_E3_Fraction'[%']],"N.A.",0,1)</f>
        <v>0</v>
      </c>
      <c r="AC535" s="2">
        <f>IF(E535="Yes",AB535*Tab_Data_Flows[[#This Row],[E1_value]],"N.A.")</f>
        <v>0</v>
      </c>
      <c r="AD535" s="2" t="str">
        <f>Tab_Data_Flows[[#This Row],[E1_UoM]]</f>
        <v>Mg</v>
      </c>
      <c r="AE535" s="19">
        <f>_xlfn.XLOOKUP(Tab_Data_Flows[[#This Row],[Flow_Name]],Tab_Def_Flows[Flow_Name],Tab_Def_Flows[Flow_E4_Fraction'[%']],"N.A.",0,1)</f>
        <v>0</v>
      </c>
      <c r="AF535" s="2">
        <f>IF(H535="Yes",Tab_Data_Flows[[#This Row],[E4_Fraction'[%']]]*Tab_Data_Flows[[#This Row],[E1_value]],"N.A.")</f>
        <v>0</v>
      </c>
      <c r="AG535" s="2" t="str">
        <f>Tab_Data_Flows[[#This Row],[E1_UoM]]</f>
        <v>Mg</v>
      </c>
      <c r="AH535" s="2">
        <f>_xlfn.XLOOKUP(Tab_Data_Flows[[#This Row],[Flow_Name]],Tab_Def_Flows[Flow_Name],Tab_Def_Flows[Flow_E5_Fraction'[%']],"N.A.",0,1)</f>
        <v>0</v>
      </c>
      <c r="AI535" s="2">
        <f>IF(H535="Yes",Tab_Data_Flows[[#This Row],[E5_Fraction'[%']]]*Tab_Data_Flows[[#This Row],[E1_value]],"N.A.")</f>
        <v>0</v>
      </c>
      <c r="AJ535" s="2" t="str">
        <f>Tab_Data_Flows[[#This Row],[E1_UoM]]</f>
        <v>Mg</v>
      </c>
      <c r="AK535" s="19">
        <f>_xlfn.XLOOKUP(Tab_Data_Flows[[#This Row],[Flow_Name]],Tab_Def_Flows[Flow_Name],Tab_Def_Flows[Flow_E6_Fraction'[%']],"N.A.",0,1)</f>
        <v>0</v>
      </c>
      <c r="AL535" s="2">
        <f>IF(Tab_Data_Flows[[#This Row],[Use_E6]]="Yes",Tab_Data_Flows[[#This Row],[E6_Fraction'[%']]]*Tab_Data_Flows[[#This Row],[E1_value]],"N.A.")</f>
        <v>0</v>
      </c>
      <c r="AM535" s="2" t="str">
        <f>Tab_Data_Flows[[#This Row],[E1_UoM]]</f>
        <v>Mg</v>
      </c>
    </row>
    <row r="536" spans="1:39" x14ac:dyDescent="0.25">
      <c r="A536" s="4">
        <f t="shared" si="12"/>
        <v>535</v>
      </c>
      <c r="B536" s="2" t="str">
        <f>_xlfn.XLOOKUP(C536,Tab_Def_Flows[Flow_Name],Tab_Def_Flows[Flow_ID],,0,)</f>
        <v>F__</v>
      </c>
      <c r="C536" s="18" t="s">
        <v>5</v>
      </c>
      <c r="D536" s="5" t="str">
        <f>_xlfn.XLOOKUP(C536,Tab_Def_Flows[Flow_Name],Tab_Def_Flows[Use_E1],,0,)</f>
        <v>Yes</v>
      </c>
      <c r="E536" s="5" t="str">
        <f>_xlfn.XLOOKUP(C536,Tab_Def_Flows[Flow_Name],Tab_Def_Flows[Use_E2],,0,)</f>
        <v>Yes</v>
      </c>
      <c r="F536" s="5" t="str">
        <f>_xlfn.XLOOKUP(C536,Tab_Def_Flows[Flow_Name],Tab_Def_Flows[Use_E3],,0,)</f>
        <v>Yes</v>
      </c>
      <c r="G536" s="5" t="str">
        <f>_xlfn.XLOOKUP(C536,Tab_Def_Flows[Flow_Name],Tab_Def_Flows[Use_E4],,0,)</f>
        <v>Yes</v>
      </c>
      <c r="H536" s="5" t="str">
        <f>_xlfn.XLOOKUP(C536,Tab_Def_Flows[Flow_Name],Tab_Def_Flows[Use_E5],,0,)</f>
        <v>Yes</v>
      </c>
      <c r="I536" s="5" t="str">
        <f>_xlfn.XLOOKUP(C536,Tab_Def_Flows[Flow_Name],Tab_Def_Flows[Use_E6],,0,)</f>
        <v>Yes</v>
      </c>
      <c r="J536" s="3"/>
      <c r="K536" s="3"/>
      <c r="L536" s="2" t="str">
        <f>'0_Configuration'!$C$41</f>
        <v>Mg</v>
      </c>
      <c r="M536" s="9"/>
      <c r="N536" s="9"/>
      <c r="O536" s="9"/>
      <c r="P536" s="9"/>
      <c r="Q536" s="18" t="s">
        <v>3</v>
      </c>
      <c r="R536" s="3"/>
      <c r="S536" s="3"/>
      <c r="T536" s="9"/>
      <c r="U536" s="9"/>
      <c r="V536" s="2">
        <f>_xlfn.XLOOKUP(Tab_Data_Flows[[#This Row],[Flow_Name]],Tab_Def_Flows[Flow_Name],Tab_Def_Flows[Flow_E1_Fraction'[%']],"N.A.",0,1)</f>
        <v>0</v>
      </c>
      <c r="W536" s="8">
        <f t="shared" si="16"/>
        <v>0</v>
      </c>
      <c r="X536" s="2" t="str">
        <f>Tab_Data_Flows[[#This Row],[UoM_Source]]</f>
        <v>Mg</v>
      </c>
      <c r="Y536" s="19">
        <f>_xlfn.XLOOKUP(Tab_Data_Flows[[#This Row],[Flow_Name]],Tab_Def_Flows[Flow_Name],Tab_Def_Flows[Flow_E2_Fraction'[%']],"N.A.",0,1)</f>
        <v>0</v>
      </c>
      <c r="Z536" s="2">
        <f>IF(D536="Yes",W536*Tab_Data_Flows[[#This Row],[E2_Fraction'[%']]],"N.A.")</f>
        <v>0</v>
      </c>
      <c r="AA536" s="2" t="str">
        <f>Tab_Data_Flows[[#This Row],[E1_UoM]]</f>
        <v>Mg</v>
      </c>
      <c r="AB536" s="19">
        <f>_xlfn.XLOOKUP(Tab_Data_Flows[[#This Row],[Flow_Name]],Tab_Def_Flows[Flow_Name],Tab_Def_Flows[Flow_E3_Fraction'[%']],"N.A.",0,1)</f>
        <v>0</v>
      </c>
      <c r="AC536" s="2">
        <f>IF(E536="Yes",AB536*Tab_Data_Flows[[#This Row],[E1_value]],"N.A.")</f>
        <v>0</v>
      </c>
      <c r="AD536" s="2" t="str">
        <f>Tab_Data_Flows[[#This Row],[E1_UoM]]</f>
        <v>Mg</v>
      </c>
      <c r="AE536" s="19">
        <f>_xlfn.XLOOKUP(Tab_Data_Flows[[#This Row],[Flow_Name]],Tab_Def_Flows[Flow_Name],Tab_Def_Flows[Flow_E4_Fraction'[%']],"N.A.",0,1)</f>
        <v>0</v>
      </c>
      <c r="AF536" s="2">
        <f>IF(H536="Yes",Tab_Data_Flows[[#This Row],[E4_Fraction'[%']]]*Tab_Data_Flows[[#This Row],[E1_value]],"N.A.")</f>
        <v>0</v>
      </c>
      <c r="AG536" s="2" t="str">
        <f>Tab_Data_Flows[[#This Row],[E1_UoM]]</f>
        <v>Mg</v>
      </c>
      <c r="AH536" s="2">
        <f>_xlfn.XLOOKUP(Tab_Data_Flows[[#This Row],[Flow_Name]],Tab_Def_Flows[Flow_Name],Tab_Def_Flows[Flow_E5_Fraction'[%']],"N.A.",0,1)</f>
        <v>0</v>
      </c>
      <c r="AI536" s="2">
        <f>IF(H536="Yes",Tab_Data_Flows[[#This Row],[E5_Fraction'[%']]]*Tab_Data_Flows[[#This Row],[E1_value]],"N.A.")</f>
        <v>0</v>
      </c>
      <c r="AJ536" s="2" t="str">
        <f>Tab_Data_Flows[[#This Row],[E1_UoM]]</f>
        <v>Mg</v>
      </c>
      <c r="AK536" s="19">
        <f>_xlfn.XLOOKUP(Tab_Data_Flows[[#This Row],[Flow_Name]],Tab_Def_Flows[Flow_Name],Tab_Def_Flows[Flow_E6_Fraction'[%']],"N.A.",0,1)</f>
        <v>0</v>
      </c>
      <c r="AL536" s="2">
        <f>IF(Tab_Data_Flows[[#This Row],[Use_E6]]="Yes",Tab_Data_Flows[[#This Row],[E6_Fraction'[%']]]*Tab_Data_Flows[[#This Row],[E1_value]],"N.A.")</f>
        <v>0</v>
      </c>
      <c r="AM536" s="2" t="str">
        <f>Tab_Data_Flows[[#This Row],[E1_UoM]]</f>
        <v>Mg</v>
      </c>
    </row>
    <row r="537" spans="1:39" x14ac:dyDescent="0.25">
      <c r="A537" s="4">
        <f t="shared" si="12"/>
        <v>536</v>
      </c>
      <c r="B537" s="2" t="str">
        <f>_xlfn.XLOOKUP(C537,Tab_Def_Flows[Flow_Name],Tab_Def_Flows[Flow_ID],,0,)</f>
        <v>F__</v>
      </c>
      <c r="C537" s="18" t="s">
        <v>5</v>
      </c>
      <c r="D537" s="5" t="str">
        <f>_xlfn.XLOOKUP(C537,Tab_Def_Flows[Flow_Name],Tab_Def_Flows[Use_E1],,0,)</f>
        <v>Yes</v>
      </c>
      <c r="E537" s="5" t="str">
        <f>_xlfn.XLOOKUP(C537,Tab_Def_Flows[Flow_Name],Tab_Def_Flows[Use_E2],,0,)</f>
        <v>Yes</v>
      </c>
      <c r="F537" s="5" t="str">
        <f>_xlfn.XLOOKUP(C537,Tab_Def_Flows[Flow_Name],Tab_Def_Flows[Use_E3],,0,)</f>
        <v>Yes</v>
      </c>
      <c r="G537" s="5" t="str">
        <f>_xlfn.XLOOKUP(C537,Tab_Def_Flows[Flow_Name],Tab_Def_Flows[Use_E4],,0,)</f>
        <v>Yes</v>
      </c>
      <c r="H537" s="5" t="str">
        <f>_xlfn.XLOOKUP(C537,Tab_Def_Flows[Flow_Name],Tab_Def_Flows[Use_E5],,0,)</f>
        <v>Yes</v>
      </c>
      <c r="I537" s="5" t="str">
        <f>_xlfn.XLOOKUP(C537,Tab_Def_Flows[Flow_Name],Tab_Def_Flows[Use_E6],,0,)</f>
        <v>Yes</v>
      </c>
      <c r="J537" s="3"/>
      <c r="K537" s="3"/>
      <c r="L537" s="2" t="str">
        <f>'0_Configuration'!$C$41</f>
        <v>Mg</v>
      </c>
      <c r="M537" s="9"/>
      <c r="N537" s="9"/>
      <c r="O537" s="9"/>
      <c r="P537" s="9"/>
      <c r="Q537" s="18" t="s">
        <v>3</v>
      </c>
      <c r="R537" s="3"/>
      <c r="S537" s="3"/>
      <c r="T537" s="9"/>
      <c r="U537" s="9"/>
      <c r="V537" s="2">
        <f>_xlfn.XLOOKUP(Tab_Data_Flows[[#This Row],[Flow_Name]],Tab_Def_Flows[Flow_Name],Tab_Def_Flows[Flow_E1_Fraction'[%']],"N.A.",0,1)</f>
        <v>0</v>
      </c>
      <c r="W537" s="8">
        <f t="shared" si="16"/>
        <v>0</v>
      </c>
      <c r="X537" s="2" t="str">
        <f>Tab_Data_Flows[[#This Row],[UoM_Source]]</f>
        <v>Mg</v>
      </c>
      <c r="Y537" s="19">
        <f>_xlfn.XLOOKUP(Tab_Data_Flows[[#This Row],[Flow_Name]],Tab_Def_Flows[Flow_Name],Tab_Def_Flows[Flow_E2_Fraction'[%']],"N.A.",0,1)</f>
        <v>0</v>
      </c>
      <c r="Z537" s="2">
        <f>IF(D537="Yes",W537*Tab_Data_Flows[[#This Row],[E2_Fraction'[%']]],"N.A.")</f>
        <v>0</v>
      </c>
      <c r="AA537" s="2" t="str">
        <f>Tab_Data_Flows[[#This Row],[E1_UoM]]</f>
        <v>Mg</v>
      </c>
      <c r="AB537" s="19">
        <f>_xlfn.XLOOKUP(Tab_Data_Flows[[#This Row],[Flow_Name]],Tab_Def_Flows[Flow_Name],Tab_Def_Flows[Flow_E3_Fraction'[%']],"N.A.",0,1)</f>
        <v>0</v>
      </c>
      <c r="AC537" s="2">
        <f>IF(E537="Yes",AB537*Tab_Data_Flows[[#This Row],[E1_value]],"N.A.")</f>
        <v>0</v>
      </c>
      <c r="AD537" s="2" t="str">
        <f>Tab_Data_Flows[[#This Row],[E1_UoM]]</f>
        <v>Mg</v>
      </c>
      <c r="AE537" s="19">
        <f>_xlfn.XLOOKUP(Tab_Data_Flows[[#This Row],[Flow_Name]],Tab_Def_Flows[Flow_Name],Tab_Def_Flows[Flow_E4_Fraction'[%']],"N.A.",0,1)</f>
        <v>0</v>
      </c>
      <c r="AF537" s="2">
        <f>IF(H537="Yes",Tab_Data_Flows[[#This Row],[E4_Fraction'[%']]]*Tab_Data_Flows[[#This Row],[E1_value]],"N.A.")</f>
        <v>0</v>
      </c>
      <c r="AG537" s="2" t="str">
        <f>Tab_Data_Flows[[#This Row],[E1_UoM]]</f>
        <v>Mg</v>
      </c>
      <c r="AH537" s="2">
        <f>_xlfn.XLOOKUP(Tab_Data_Flows[[#This Row],[Flow_Name]],Tab_Def_Flows[Flow_Name],Tab_Def_Flows[Flow_E5_Fraction'[%']],"N.A.",0,1)</f>
        <v>0</v>
      </c>
      <c r="AI537" s="2">
        <f>IF(H537="Yes",Tab_Data_Flows[[#This Row],[E5_Fraction'[%']]]*Tab_Data_Flows[[#This Row],[E1_value]],"N.A.")</f>
        <v>0</v>
      </c>
      <c r="AJ537" s="2" t="str">
        <f>Tab_Data_Flows[[#This Row],[E1_UoM]]</f>
        <v>Mg</v>
      </c>
      <c r="AK537" s="19">
        <f>_xlfn.XLOOKUP(Tab_Data_Flows[[#This Row],[Flow_Name]],Tab_Def_Flows[Flow_Name],Tab_Def_Flows[Flow_E6_Fraction'[%']],"N.A.",0,1)</f>
        <v>0</v>
      </c>
      <c r="AL537" s="2">
        <f>IF(Tab_Data_Flows[[#This Row],[Use_E6]]="Yes",Tab_Data_Flows[[#This Row],[E6_Fraction'[%']]]*Tab_Data_Flows[[#This Row],[E1_value]],"N.A.")</f>
        <v>0</v>
      </c>
      <c r="AM537" s="2" t="str">
        <f>Tab_Data_Flows[[#This Row],[E1_UoM]]</f>
        <v>Mg</v>
      </c>
    </row>
    <row r="538" spans="1:39" x14ac:dyDescent="0.25">
      <c r="A538" s="4">
        <f t="shared" si="12"/>
        <v>537</v>
      </c>
      <c r="B538" s="2" t="str">
        <f>_xlfn.XLOOKUP(C538,Tab_Def_Flows[Flow_Name],Tab_Def_Flows[Flow_ID],,0,)</f>
        <v>F__</v>
      </c>
      <c r="C538" s="18" t="s">
        <v>5</v>
      </c>
      <c r="D538" s="5" t="str">
        <f>_xlfn.XLOOKUP(C538,Tab_Def_Flows[Flow_Name],Tab_Def_Flows[Use_E1],,0,)</f>
        <v>Yes</v>
      </c>
      <c r="E538" s="5" t="str">
        <f>_xlfn.XLOOKUP(C538,Tab_Def_Flows[Flow_Name],Tab_Def_Flows[Use_E2],,0,)</f>
        <v>Yes</v>
      </c>
      <c r="F538" s="5" t="str">
        <f>_xlfn.XLOOKUP(C538,Tab_Def_Flows[Flow_Name],Tab_Def_Flows[Use_E3],,0,)</f>
        <v>Yes</v>
      </c>
      <c r="G538" s="5" t="str">
        <f>_xlfn.XLOOKUP(C538,Tab_Def_Flows[Flow_Name],Tab_Def_Flows[Use_E4],,0,)</f>
        <v>Yes</v>
      </c>
      <c r="H538" s="5" t="str">
        <f>_xlfn.XLOOKUP(C538,Tab_Def_Flows[Flow_Name],Tab_Def_Flows[Use_E5],,0,)</f>
        <v>Yes</v>
      </c>
      <c r="I538" s="5" t="str">
        <f>_xlfn.XLOOKUP(C538,Tab_Def_Flows[Flow_Name],Tab_Def_Flows[Use_E6],,0,)</f>
        <v>Yes</v>
      </c>
      <c r="J538" s="3"/>
      <c r="K538" s="3"/>
      <c r="L538" s="2" t="str">
        <f>'0_Configuration'!$C$41</f>
        <v>Mg</v>
      </c>
      <c r="M538" s="9"/>
      <c r="N538" s="9"/>
      <c r="O538" s="9"/>
      <c r="P538" s="9"/>
      <c r="Q538" s="18" t="s">
        <v>3</v>
      </c>
      <c r="R538" s="3"/>
      <c r="S538" s="3"/>
      <c r="T538" s="9"/>
      <c r="U538" s="9"/>
      <c r="V538" s="2">
        <f>_xlfn.XLOOKUP(Tab_Data_Flows[[#This Row],[Flow_Name]],Tab_Def_Flows[Flow_Name],Tab_Def_Flows[Flow_E1_Fraction'[%']],"N.A.",0,1)</f>
        <v>0</v>
      </c>
      <c r="W538" s="8">
        <f t="shared" si="16"/>
        <v>0</v>
      </c>
      <c r="X538" s="2" t="str">
        <f>Tab_Data_Flows[[#This Row],[UoM_Source]]</f>
        <v>Mg</v>
      </c>
      <c r="Y538" s="19">
        <f>_xlfn.XLOOKUP(Tab_Data_Flows[[#This Row],[Flow_Name]],Tab_Def_Flows[Flow_Name],Tab_Def_Flows[Flow_E2_Fraction'[%']],"N.A.",0,1)</f>
        <v>0</v>
      </c>
      <c r="Z538" s="2">
        <f>IF(D538="Yes",W538*Tab_Data_Flows[[#This Row],[E2_Fraction'[%']]],"N.A.")</f>
        <v>0</v>
      </c>
      <c r="AA538" s="2" t="str">
        <f>Tab_Data_Flows[[#This Row],[E1_UoM]]</f>
        <v>Mg</v>
      </c>
      <c r="AB538" s="19">
        <f>_xlfn.XLOOKUP(Tab_Data_Flows[[#This Row],[Flow_Name]],Tab_Def_Flows[Flow_Name],Tab_Def_Flows[Flow_E3_Fraction'[%']],"N.A.",0,1)</f>
        <v>0</v>
      </c>
      <c r="AC538" s="2">
        <f>IF(E538="Yes",AB538*Tab_Data_Flows[[#This Row],[E1_value]],"N.A.")</f>
        <v>0</v>
      </c>
      <c r="AD538" s="2" t="str">
        <f>Tab_Data_Flows[[#This Row],[E1_UoM]]</f>
        <v>Mg</v>
      </c>
      <c r="AE538" s="19">
        <f>_xlfn.XLOOKUP(Tab_Data_Flows[[#This Row],[Flow_Name]],Tab_Def_Flows[Flow_Name],Tab_Def_Flows[Flow_E4_Fraction'[%']],"N.A.",0,1)</f>
        <v>0</v>
      </c>
      <c r="AF538" s="2">
        <f>IF(H538="Yes",Tab_Data_Flows[[#This Row],[E4_Fraction'[%']]]*Tab_Data_Flows[[#This Row],[E1_value]],"N.A.")</f>
        <v>0</v>
      </c>
      <c r="AG538" s="2" t="str">
        <f>Tab_Data_Flows[[#This Row],[E1_UoM]]</f>
        <v>Mg</v>
      </c>
      <c r="AH538" s="2">
        <f>_xlfn.XLOOKUP(Tab_Data_Flows[[#This Row],[Flow_Name]],Tab_Def_Flows[Flow_Name],Tab_Def_Flows[Flow_E5_Fraction'[%']],"N.A.",0,1)</f>
        <v>0</v>
      </c>
      <c r="AI538" s="2">
        <f>IF(H538="Yes",Tab_Data_Flows[[#This Row],[E5_Fraction'[%']]]*Tab_Data_Flows[[#This Row],[E1_value]],"N.A.")</f>
        <v>0</v>
      </c>
      <c r="AJ538" s="2" t="str">
        <f>Tab_Data_Flows[[#This Row],[E1_UoM]]</f>
        <v>Mg</v>
      </c>
      <c r="AK538" s="19">
        <f>_xlfn.XLOOKUP(Tab_Data_Flows[[#This Row],[Flow_Name]],Tab_Def_Flows[Flow_Name],Tab_Def_Flows[Flow_E6_Fraction'[%']],"N.A.",0,1)</f>
        <v>0</v>
      </c>
      <c r="AL538" s="2">
        <f>IF(Tab_Data_Flows[[#This Row],[Use_E6]]="Yes",Tab_Data_Flows[[#This Row],[E6_Fraction'[%']]]*Tab_Data_Flows[[#This Row],[E1_value]],"N.A.")</f>
        <v>0</v>
      </c>
      <c r="AM538" s="2" t="str">
        <f>Tab_Data_Flows[[#This Row],[E1_UoM]]</f>
        <v>Mg</v>
      </c>
    </row>
    <row r="539" spans="1:39" x14ac:dyDescent="0.25">
      <c r="A539" s="4">
        <f t="shared" si="12"/>
        <v>538</v>
      </c>
      <c r="B539" s="2" t="str">
        <f>_xlfn.XLOOKUP(C539,Tab_Def_Flows[Flow_Name],Tab_Def_Flows[Flow_ID],,0,)</f>
        <v>F__</v>
      </c>
      <c r="C539" s="18" t="s">
        <v>5</v>
      </c>
      <c r="D539" s="5" t="str">
        <f>_xlfn.XLOOKUP(C539,Tab_Def_Flows[Flow_Name],Tab_Def_Flows[Use_E1],,0,)</f>
        <v>Yes</v>
      </c>
      <c r="E539" s="5" t="str">
        <f>_xlfn.XLOOKUP(C539,Tab_Def_Flows[Flow_Name],Tab_Def_Flows[Use_E2],,0,)</f>
        <v>Yes</v>
      </c>
      <c r="F539" s="5" t="str">
        <f>_xlfn.XLOOKUP(C539,Tab_Def_Flows[Flow_Name],Tab_Def_Flows[Use_E3],,0,)</f>
        <v>Yes</v>
      </c>
      <c r="G539" s="5" t="str">
        <f>_xlfn.XLOOKUP(C539,Tab_Def_Flows[Flow_Name],Tab_Def_Flows[Use_E4],,0,)</f>
        <v>Yes</v>
      </c>
      <c r="H539" s="5" t="str">
        <f>_xlfn.XLOOKUP(C539,Tab_Def_Flows[Flow_Name],Tab_Def_Flows[Use_E5],,0,)</f>
        <v>Yes</v>
      </c>
      <c r="I539" s="5" t="str">
        <f>_xlfn.XLOOKUP(C539,Tab_Def_Flows[Flow_Name],Tab_Def_Flows[Use_E6],,0,)</f>
        <v>Yes</v>
      </c>
      <c r="J539" s="3"/>
      <c r="K539" s="3"/>
      <c r="L539" s="2" t="str">
        <f>'0_Configuration'!$C$41</f>
        <v>Mg</v>
      </c>
      <c r="M539" s="9"/>
      <c r="N539" s="9"/>
      <c r="O539" s="9"/>
      <c r="P539" s="9"/>
      <c r="Q539" s="18" t="s">
        <v>3</v>
      </c>
      <c r="R539" s="3"/>
      <c r="S539" s="3"/>
      <c r="T539" s="9"/>
      <c r="U539" s="9"/>
      <c r="V539" s="2">
        <f>_xlfn.XLOOKUP(Tab_Data_Flows[[#This Row],[Flow_Name]],Tab_Def_Flows[Flow_Name],Tab_Def_Flows[Flow_E1_Fraction'[%']],"N.A.",0,1)</f>
        <v>0</v>
      </c>
      <c r="W539" s="8">
        <f t="shared" si="16"/>
        <v>0</v>
      </c>
      <c r="X539" s="2" t="str">
        <f>Tab_Data_Flows[[#This Row],[UoM_Source]]</f>
        <v>Mg</v>
      </c>
      <c r="Y539" s="19">
        <f>_xlfn.XLOOKUP(Tab_Data_Flows[[#This Row],[Flow_Name]],Tab_Def_Flows[Flow_Name],Tab_Def_Flows[Flow_E2_Fraction'[%']],"N.A.",0,1)</f>
        <v>0</v>
      </c>
      <c r="Z539" s="2">
        <f>IF(D539="Yes",W539*Tab_Data_Flows[[#This Row],[E2_Fraction'[%']]],"N.A.")</f>
        <v>0</v>
      </c>
      <c r="AA539" s="2" t="str">
        <f>Tab_Data_Flows[[#This Row],[E1_UoM]]</f>
        <v>Mg</v>
      </c>
      <c r="AB539" s="19">
        <f>_xlfn.XLOOKUP(Tab_Data_Flows[[#This Row],[Flow_Name]],Tab_Def_Flows[Flow_Name],Tab_Def_Flows[Flow_E3_Fraction'[%']],"N.A.",0,1)</f>
        <v>0</v>
      </c>
      <c r="AC539" s="2">
        <f>IF(E539="Yes",AB539*Tab_Data_Flows[[#This Row],[E1_value]],"N.A.")</f>
        <v>0</v>
      </c>
      <c r="AD539" s="2" t="str">
        <f>Tab_Data_Flows[[#This Row],[E1_UoM]]</f>
        <v>Mg</v>
      </c>
      <c r="AE539" s="19">
        <f>_xlfn.XLOOKUP(Tab_Data_Flows[[#This Row],[Flow_Name]],Tab_Def_Flows[Flow_Name],Tab_Def_Flows[Flow_E4_Fraction'[%']],"N.A.",0,1)</f>
        <v>0</v>
      </c>
      <c r="AF539" s="2">
        <f>IF(H539="Yes",Tab_Data_Flows[[#This Row],[E4_Fraction'[%']]]*Tab_Data_Flows[[#This Row],[E1_value]],"N.A.")</f>
        <v>0</v>
      </c>
      <c r="AG539" s="2" t="str">
        <f>Tab_Data_Flows[[#This Row],[E1_UoM]]</f>
        <v>Mg</v>
      </c>
      <c r="AH539" s="2">
        <f>_xlfn.XLOOKUP(Tab_Data_Flows[[#This Row],[Flow_Name]],Tab_Def_Flows[Flow_Name],Tab_Def_Flows[Flow_E5_Fraction'[%']],"N.A.",0,1)</f>
        <v>0</v>
      </c>
      <c r="AI539" s="2">
        <f>IF(H539="Yes",Tab_Data_Flows[[#This Row],[E5_Fraction'[%']]]*Tab_Data_Flows[[#This Row],[E1_value]],"N.A.")</f>
        <v>0</v>
      </c>
      <c r="AJ539" s="2" t="str">
        <f>Tab_Data_Flows[[#This Row],[E1_UoM]]</f>
        <v>Mg</v>
      </c>
      <c r="AK539" s="19">
        <f>_xlfn.XLOOKUP(Tab_Data_Flows[[#This Row],[Flow_Name]],Tab_Def_Flows[Flow_Name],Tab_Def_Flows[Flow_E6_Fraction'[%']],"N.A.",0,1)</f>
        <v>0</v>
      </c>
      <c r="AL539" s="2">
        <f>IF(Tab_Data_Flows[[#This Row],[Use_E6]]="Yes",Tab_Data_Flows[[#This Row],[E6_Fraction'[%']]]*Tab_Data_Flows[[#This Row],[E1_value]],"N.A.")</f>
        <v>0</v>
      </c>
      <c r="AM539" s="2" t="str">
        <f>Tab_Data_Flows[[#This Row],[E1_UoM]]</f>
        <v>Mg</v>
      </c>
    </row>
    <row r="540" spans="1:39" x14ac:dyDescent="0.25">
      <c r="A540" s="4">
        <f t="shared" si="12"/>
        <v>539</v>
      </c>
      <c r="B540" s="2" t="str">
        <f>_xlfn.XLOOKUP(C540,Tab_Def_Flows[Flow_Name],Tab_Def_Flows[Flow_ID],,0,)</f>
        <v>F__</v>
      </c>
      <c r="C540" s="18" t="s">
        <v>5</v>
      </c>
      <c r="D540" s="5" t="str">
        <f>_xlfn.XLOOKUP(C540,Tab_Def_Flows[Flow_Name],Tab_Def_Flows[Use_E1],,0,)</f>
        <v>Yes</v>
      </c>
      <c r="E540" s="5" t="str">
        <f>_xlfn.XLOOKUP(C540,Tab_Def_Flows[Flow_Name],Tab_Def_Flows[Use_E2],,0,)</f>
        <v>Yes</v>
      </c>
      <c r="F540" s="5" t="str">
        <f>_xlfn.XLOOKUP(C540,Tab_Def_Flows[Flow_Name],Tab_Def_Flows[Use_E3],,0,)</f>
        <v>Yes</v>
      </c>
      <c r="G540" s="5" t="str">
        <f>_xlfn.XLOOKUP(C540,Tab_Def_Flows[Flow_Name],Tab_Def_Flows[Use_E4],,0,)</f>
        <v>Yes</v>
      </c>
      <c r="H540" s="5" t="str">
        <f>_xlfn.XLOOKUP(C540,Tab_Def_Flows[Flow_Name],Tab_Def_Flows[Use_E5],,0,)</f>
        <v>Yes</v>
      </c>
      <c r="I540" s="5" t="str">
        <f>_xlfn.XLOOKUP(C540,Tab_Def_Flows[Flow_Name],Tab_Def_Flows[Use_E6],,0,)</f>
        <v>Yes</v>
      </c>
      <c r="J540" s="3"/>
      <c r="K540" s="3"/>
      <c r="L540" s="2" t="str">
        <f>'0_Configuration'!$C$41</f>
        <v>Mg</v>
      </c>
      <c r="M540" s="9"/>
      <c r="N540" s="9"/>
      <c r="O540" s="9"/>
      <c r="P540" s="9"/>
      <c r="Q540" s="18" t="s">
        <v>3</v>
      </c>
      <c r="R540" s="3"/>
      <c r="S540" s="3"/>
      <c r="T540" s="9"/>
      <c r="U540" s="9"/>
      <c r="V540" s="2">
        <f>_xlfn.XLOOKUP(Tab_Data_Flows[[#This Row],[Flow_Name]],Tab_Def_Flows[Flow_Name],Tab_Def_Flows[Flow_E1_Fraction'[%']],"N.A.",0,1)</f>
        <v>0</v>
      </c>
      <c r="W540" s="8">
        <f t="shared" si="16"/>
        <v>0</v>
      </c>
      <c r="X540" s="2" t="str">
        <f>Tab_Data_Flows[[#This Row],[UoM_Source]]</f>
        <v>Mg</v>
      </c>
      <c r="Y540" s="19">
        <f>_xlfn.XLOOKUP(Tab_Data_Flows[[#This Row],[Flow_Name]],Tab_Def_Flows[Flow_Name],Tab_Def_Flows[Flow_E2_Fraction'[%']],"N.A.",0,1)</f>
        <v>0</v>
      </c>
      <c r="Z540" s="2">
        <f>IF(D540="Yes",W540*Tab_Data_Flows[[#This Row],[E2_Fraction'[%']]],"N.A.")</f>
        <v>0</v>
      </c>
      <c r="AA540" s="2" t="str">
        <f>Tab_Data_Flows[[#This Row],[E1_UoM]]</f>
        <v>Mg</v>
      </c>
      <c r="AB540" s="19">
        <f>_xlfn.XLOOKUP(Tab_Data_Flows[[#This Row],[Flow_Name]],Tab_Def_Flows[Flow_Name],Tab_Def_Flows[Flow_E3_Fraction'[%']],"N.A.",0,1)</f>
        <v>0</v>
      </c>
      <c r="AC540" s="2">
        <f>IF(E540="Yes",AB540*Tab_Data_Flows[[#This Row],[E1_value]],"N.A.")</f>
        <v>0</v>
      </c>
      <c r="AD540" s="2" t="str">
        <f>Tab_Data_Flows[[#This Row],[E1_UoM]]</f>
        <v>Mg</v>
      </c>
      <c r="AE540" s="19">
        <f>_xlfn.XLOOKUP(Tab_Data_Flows[[#This Row],[Flow_Name]],Tab_Def_Flows[Flow_Name],Tab_Def_Flows[Flow_E4_Fraction'[%']],"N.A.",0,1)</f>
        <v>0</v>
      </c>
      <c r="AF540" s="2">
        <f>IF(H540="Yes",Tab_Data_Flows[[#This Row],[E4_Fraction'[%']]]*Tab_Data_Flows[[#This Row],[E1_value]],"N.A.")</f>
        <v>0</v>
      </c>
      <c r="AG540" s="2" t="str">
        <f>Tab_Data_Flows[[#This Row],[E1_UoM]]</f>
        <v>Mg</v>
      </c>
      <c r="AH540" s="2">
        <f>_xlfn.XLOOKUP(Tab_Data_Flows[[#This Row],[Flow_Name]],Tab_Def_Flows[Flow_Name],Tab_Def_Flows[Flow_E5_Fraction'[%']],"N.A.",0,1)</f>
        <v>0</v>
      </c>
      <c r="AI540" s="2">
        <f>IF(H540="Yes",Tab_Data_Flows[[#This Row],[E5_Fraction'[%']]]*Tab_Data_Flows[[#This Row],[E1_value]],"N.A.")</f>
        <v>0</v>
      </c>
      <c r="AJ540" s="2" t="str">
        <f>Tab_Data_Flows[[#This Row],[E1_UoM]]</f>
        <v>Mg</v>
      </c>
      <c r="AK540" s="19">
        <f>_xlfn.XLOOKUP(Tab_Data_Flows[[#This Row],[Flow_Name]],Tab_Def_Flows[Flow_Name],Tab_Def_Flows[Flow_E6_Fraction'[%']],"N.A.",0,1)</f>
        <v>0</v>
      </c>
      <c r="AL540" s="2">
        <f>IF(Tab_Data_Flows[[#This Row],[Use_E6]]="Yes",Tab_Data_Flows[[#This Row],[E6_Fraction'[%']]]*Tab_Data_Flows[[#This Row],[E1_value]],"N.A.")</f>
        <v>0</v>
      </c>
      <c r="AM540" s="2" t="str">
        <f>Tab_Data_Flows[[#This Row],[E1_UoM]]</f>
        <v>Mg</v>
      </c>
    </row>
    <row r="541" spans="1:39" x14ac:dyDescent="0.25">
      <c r="A541" s="4">
        <f t="shared" si="12"/>
        <v>540</v>
      </c>
      <c r="B541" s="2" t="str">
        <f>_xlfn.XLOOKUP(C541,Tab_Def_Flows[Flow_Name],Tab_Def_Flows[Flow_ID],,0,)</f>
        <v>F__</v>
      </c>
      <c r="C541" s="18" t="s">
        <v>5</v>
      </c>
      <c r="D541" s="5" t="str">
        <f>_xlfn.XLOOKUP(C541,Tab_Def_Flows[Flow_Name],Tab_Def_Flows[Use_E1],,0,)</f>
        <v>Yes</v>
      </c>
      <c r="E541" s="5" t="str">
        <f>_xlfn.XLOOKUP(C541,Tab_Def_Flows[Flow_Name],Tab_Def_Flows[Use_E2],,0,)</f>
        <v>Yes</v>
      </c>
      <c r="F541" s="5" t="str">
        <f>_xlfn.XLOOKUP(C541,Tab_Def_Flows[Flow_Name],Tab_Def_Flows[Use_E3],,0,)</f>
        <v>Yes</v>
      </c>
      <c r="G541" s="5" t="str">
        <f>_xlfn.XLOOKUP(C541,Tab_Def_Flows[Flow_Name],Tab_Def_Flows[Use_E4],,0,)</f>
        <v>Yes</v>
      </c>
      <c r="H541" s="5" t="str">
        <f>_xlfn.XLOOKUP(C541,Tab_Def_Flows[Flow_Name],Tab_Def_Flows[Use_E5],,0,)</f>
        <v>Yes</v>
      </c>
      <c r="I541" s="5" t="str">
        <f>_xlfn.XLOOKUP(C541,Tab_Def_Flows[Flow_Name],Tab_Def_Flows[Use_E6],,0,)</f>
        <v>Yes</v>
      </c>
      <c r="J541" s="3"/>
      <c r="K541" s="3"/>
      <c r="L541" s="2" t="str">
        <f>'0_Configuration'!$C$41</f>
        <v>Mg</v>
      </c>
      <c r="M541" s="9"/>
      <c r="N541" s="9"/>
      <c r="O541" s="9"/>
      <c r="P541" s="9"/>
      <c r="Q541" s="18" t="s">
        <v>3</v>
      </c>
      <c r="R541" s="3"/>
      <c r="S541" s="3"/>
      <c r="T541" s="9"/>
      <c r="U541" s="9"/>
      <c r="V541" s="2">
        <f>_xlfn.XLOOKUP(Tab_Data_Flows[[#This Row],[Flow_Name]],Tab_Def_Flows[Flow_Name],Tab_Def_Flows[Flow_E1_Fraction'[%']],"N.A.",0,1)</f>
        <v>0</v>
      </c>
      <c r="W541" s="8">
        <f t="shared" si="16"/>
        <v>0</v>
      </c>
      <c r="X541" s="2" t="str">
        <f>Tab_Data_Flows[[#This Row],[UoM_Source]]</f>
        <v>Mg</v>
      </c>
      <c r="Y541" s="19">
        <f>_xlfn.XLOOKUP(Tab_Data_Flows[[#This Row],[Flow_Name]],Tab_Def_Flows[Flow_Name],Tab_Def_Flows[Flow_E2_Fraction'[%']],"N.A.",0,1)</f>
        <v>0</v>
      </c>
      <c r="Z541" s="2">
        <f>IF(D541="Yes",W541*Tab_Data_Flows[[#This Row],[E2_Fraction'[%']]],"N.A.")</f>
        <v>0</v>
      </c>
      <c r="AA541" s="2" t="str">
        <f>Tab_Data_Flows[[#This Row],[E1_UoM]]</f>
        <v>Mg</v>
      </c>
      <c r="AB541" s="19">
        <f>_xlfn.XLOOKUP(Tab_Data_Flows[[#This Row],[Flow_Name]],Tab_Def_Flows[Flow_Name],Tab_Def_Flows[Flow_E3_Fraction'[%']],"N.A.",0,1)</f>
        <v>0</v>
      </c>
      <c r="AC541" s="2">
        <f>IF(E541="Yes",AB541*Tab_Data_Flows[[#This Row],[E1_value]],"N.A.")</f>
        <v>0</v>
      </c>
      <c r="AD541" s="2" t="str">
        <f>Tab_Data_Flows[[#This Row],[E1_UoM]]</f>
        <v>Mg</v>
      </c>
      <c r="AE541" s="19">
        <f>_xlfn.XLOOKUP(Tab_Data_Flows[[#This Row],[Flow_Name]],Tab_Def_Flows[Flow_Name],Tab_Def_Flows[Flow_E4_Fraction'[%']],"N.A.",0,1)</f>
        <v>0</v>
      </c>
      <c r="AF541" s="2">
        <f>IF(H541="Yes",Tab_Data_Flows[[#This Row],[E4_Fraction'[%']]]*Tab_Data_Flows[[#This Row],[E1_value]],"N.A.")</f>
        <v>0</v>
      </c>
      <c r="AG541" s="2" t="str">
        <f>Tab_Data_Flows[[#This Row],[E1_UoM]]</f>
        <v>Mg</v>
      </c>
      <c r="AH541" s="2">
        <f>_xlfn.XLOOKUP(Tab_Data_Flows[[#This Row],[Flow_Name]],Tab_Def_Flows[Flow_Name],Tab_Def_Flows[Flow_E5_Fraction'[%']],"N.A.",0,1)</f>
        <v>0</v>
      </c>
      <c r="AI541" s="2">
        <f>IF(H541="Yes",Tab_Data_Flows[[#This Row],[E5_Fraction'[%']]]*Tab_Data_Flows[[#This Row],[E1_value]],"N.A.")</f>
        <v>0</v>
      </c>
      <c r="AJ541" s="2" t="str">
        <f>Tab_Data_Flows[[#This Row],[E1_UoM]]</f>
        <v>Mg</v>
      </c>
      <c r="AK541" s="19">
        <f>_xlfn.XLOOKUP(Tab_Data_Flows[[#This Row],[Flow_Name]],Tab_Def_Flows[Flow_Name],Tab_Def_Flows[Flow_E6_Fraction'[%']],"N.A.",0,1)</f>
        <v>0</v>
      </c>
      <c r="AL541" s="2">
        <f>IF(Tab_Data_Flows[[#This Row],[Use_E6]]="Yes",Tab_Data_Flows[[#This Row],[E6_Fraction'[%']]]*Tab_Data_Flows[[#This Row],[E1_value]],"N.A.")</f>
        <v>0</v>
      </c>
      <c r="AM541" s="2" t="str">
        <f>Tab_Data_Flows[[#This Row],[E1_UoM]]</f>
        <v>Mg</v>
      </c>
    </row>
    <row r="542" spans="1:39" x14ac:dyDescent="0.25">
      <c r="A542" s="4">
        <f t="shared" si="12"/>
        <v>541</v>
      </c>
      <c r="B542" s="2" t="str">
        <f>_xlfn.XLOOKUP(C542,Tab_Def_Flows[Flow_Name],Tab_Def_Flows[Flow_ID],,0,)</f>
        <v>F__</v>
      </c>
      <c r="C542" s="18" t="s">
        <v>5</v>
      </c>
      <c r="D542" s="5" t="str">
        <f>_xlfn.XLOOKUP(C542,Tab_Def_Flows[Flow_Name],Tab_Def_Flows[Use_E1],,0,)</f>
        <v>Yes</v>
      </c>
      <c r="E542" s="5" t="str">
        <f>_xlfn.XLOOKUP(C542,Tab_Def_Flows[Flow_Name],Tab_Def_Flows[Use_E2],,0,)</f>
        <v>Yes</v>
      </c>
      <c r="F542" s="5" t="str">
        <f>_xlfn.XLOOKUP(C542,Tab_Def_Flows[Flow_Name],Tab_Def_Flows[Use_E3],,0,)</f>
        <v>Yes</v>
      </c>
      <c r="G542" s="5" t="str">
        <f>_xlfn.XLOOKUP(C542,Tab_Def_Flows[Flow_Name],Tab_Def_Flows[Use_E4],,0,)</f>
        <v>Yes</v>
      </c>
      <c r="H542" s="5" t="str">
        <f>_xlfn.XLOOKUP(C542,Tab_Def_Flows[Flow_Name],Tab_Def_Flows[Use_E5],,0,)</f>
        <v>Yes</v>
      </c>
      <c r="I542" s="5" t="str">
        <f>_xlfn.XLOOKUP(C542,Tab_Def_Flows[Flow_Name],Tab_Def_Flows[Use_E6],,0,)</f>
        <v>Yes</v>
      </c>
      <c r="J542" s="3"/>
      <c r="K542" s="3"/>
      <c r="L542" s="2" t="str">
        <f>'0_Configuration'!$C$41</f>
        <v>Mg</v>
      </c>
      <c r="M542" s="9"/>
      <c r="N542" s="9"/>
      <c r="O542" s="9"/>
      <c r="P542" s="9"/>
      <c r="Q542" s="18" t="s">
        <v>3</v>
      </c>
      <c r="R542" s="3"/>
      <c r="S542" s="3"/>
      <c r="T542" s="9"/>
      <c r="U542" s="9"/>
      <c r="V542" s="2">
        <f>_xlfn.XLOOKUP(Tab_Data_Flows[[#This Row],[Flow_Name]],Tab_Def_Flows[Flow_Name],Tab_Def_Flows[Flow_E1_Fraction'[%']],"N.A.",0,1)</f>
        <v>0</v>
      </c>
      <c r="W542" s="8">
        <f t="shared" si="16"/>
        <v>0</v>
      </c>
      <c r="X542" s="2" t="str">
        <f>Tab_Data_Flows[[#This Row],[UoM_Source]]</f>
        <v>Mg</v>
      </c>
      <c r="Y542" s="19">
        <f>_xlfn.XLOOKUP(Tab_Data_Flows[[#This Row],[Flow_Name]],Tab_Def_Flows[Flow_Name],Tab_Def_Flows[Flow_E2_Fraction'[%']],"N.A.",0,1)</f>
        <v>0</v>
      </c>
      <c r="Z542" s="2">
        <f>IF(D542="Yes",W542*Tab_Data_Flows[[#This Row],[E2_Fraction'[%']]],"N.A.")</f>
        <v>0</v>
      </c>
      <c r="AA542" s="2" t="str">
        <f>Tab_Data_Flows[[#This Row],[E1_UoM]]</f>
        <v>Mg</v>
      </c>
      <c r="AB542" s="19">
        <f>_xlfn.XLOOKUP(Tab_Data_Flows[[#This Row],[Flow_Name]],Tab_Def_Flows[Flow_Name],Tab_Def_Flows[Flow_E3_Fraction'[%']],"N.A.",0,1)</f>
        <v>0</v>
      </c>
      <c r="AC542" s="2">
        <f>IF(E542="Yes",AB542*Tab_Data_Flows[[#This Row],[E1_value]],"N.A.")</f>
        <v>0</v>
      </c>
      <c r="AD542" s="2" t="str">
        <f>Tab_Data_Flows[[#This Row],[E1_UoM]]</f>
        <v>Mg</v>
      </c>
      <c r="AE542" s="19">
        <f>_xlfn.XLOOKUP(Tab_Data_Flows[[#This Row],[Flow_Name]],Tab_Def_Flows[Flow_Name],Tab_Def_Flows[Flow_E4_Fraction'[%']],"N.A.",0,1)</f>
        <v>0</v>
      </c>
      <c r="AF542" s="2">
        <f>IF(H542="Yes",Tab_Data_Flows[[#This Row],[E4_Fraction'[%']]]*Tab_Data_Flows[[#This Row],[E1_value]],"N.A.")</f>
        <v>0</v>
      </c>
      <c r="AG542" s="2" t="str">
        <f>Tab_Data_Flows[[#This Row],[E1_UoM]]</f>
        <v>Mg</v>
      </c>
      <c r="AH542" s="2">
        <f>_xlfn.XLOOKUP(Tab_Data_Flows[[#This Row],[Flow_Name]],Tab_Def_Flows[Flow_Name],Tab_Def_Flows[Flow_E5_Fraction'[%']],"N.A.",0,1)</f>
        <v>0</v>
      </c>
      <c r="AI542" s="2">
        <f>IF(H542="Yes",Tab_Data_Flows[[#This Row],[E5_Fraction'[%']]]*Tab_Data_Flows[[#This Row],[E1_value]],"N.A.")</f>
        <v>0</v>
      </c>
      <c r="AJ542" s="2" t="str">
        <f>Tab_Data_Flows[[#This Row],[E1_UoM]]</f>
        <v>Mg</v>
      </c>
      <c r="AK542" s="19">
        <f>_xlfn.XLOOKUP(Tab_Data_Flows[[#This Row],[Flow_Name]],Tab_Def_Flows[Flow_Name],Tab_Def_Flows[Flow_E6_Fraction'[%']],"N.A.",0,1)</f>
        <v>0</v>
      </c>
      <c r="AL542" s="2">
        <f>IF(Tab_Data_Flows[[#This Row],[Use_E6]]="Yes",Tab_Data_Flows[[#This Row],[E6_Fraction'[%']]]*Tab_Data_Flows[[#This Row],[E1_value]],"N.A.")</f>
        <v>0</v>
      </c>
      <c r="AM542" s="2" t="str">
        <f>Tab_Data_Flows[[#This Row],[E1_UoM]]</f>
        <v>Mg</v>
      </c>
    </row>
    <row r="543" spans="1:39" x14ac:dyDescent="0.25">
      <c r="A543" s="4">
        <f t="shared" si="12"/>
        <v>542</v>
      </c>
      <c r="B543" s="2" t="str">
        <f>_xlfn.XLOOKUP(C543,Tab_Def_Flows[Flow_Name],Tab_Def_Flows[Flow_ID],,0,)</f>
        <v>F__</v>
      </c>
      <c r="C543" s="18" t="s">
        <v>5</v>
      </c>
      <c r="D543" s="5" t="str">
        <f>_xlfn.XLOOKUP(C543,Tab_Def_Flows[Flow_Name],Tab_Def_Flows[Use_E1],,0,)</f>
        <v>Yes</v>
      </c>
      <c r="E543" s="5" t="str">
        <f>_xlfn.XLOOKUP(C543,Tab_Def_Flows[Flow_Name],Tab_Def_Flows[Use_E2],,0,)</f>
        <v>Yes</v>
      </c>
      <c r="F543" s="5" t="str">
        <f>_xlfn.XLOOKUP(C543,Tab_Def_Flows[Flow_Name],Tab_Def_Flows[Use_E3],,0,)</f>
        <v>Yes</v>
      </c>
      <c r="G543" s="5" t="str">
        <f>_xlfn.XLOOKUP(C543,Tab_Def_Flows[Flow_Name],Tab_Def_Flows[Use_E4],,0,)</f>
        <v>Yes</v>
      </c>
      <c r="H543" s="5" t="str">
        <f>_xlfn.XLOOKUP(C543,Tab_Def_Flows[Flow_Name],Tab_Def_Flows[Use_E5],,0,)</f>
        <v>Yes</v>
      </c>
      <c r="I543" s="5" t="str">
        <f>_xlfn.XLOOKUP(C543,Tab_Def_Flows[Flow_Name],Tab_Def_Flows[Use_E6],,0,)</f>
        <v>Yes</v>
      </c>
      <c r="J543" s="3"/>
      <c r="K543" s="3"/>
      <c r="L543" s="2" t="str">
        <f>'0_Configuration'!$C$41</f>
        <v>Mg</v>
      </c>
      <c r="M543" s="9"/>
      <c r="N543" s="9"/>
      <c r="O543" s="9"/>
      <c r="P543" s="9"/>
      <c r="Q543" s="18" t="s">
        <v>3</v>
      </c>
      <c r="R543" s="3"/>
      <c r="S543" s="3"/>
      <c r="T543" s="9"/>
      <c r="U543" s="9"/>
      <c r="V543" s="2">
        <f>_xlfn.XLOOKUP(Tab_Data_Flows[[#This Row],[Flow_Name]],Tab_Def_Flows[Flow_Name],Tab_Def_Flows[Flow_E1_Fraction'[%']],"N.A.",0,1)</f>
        <v>0</v>
      </c>
      <c r="W543" s="8">
        <f t="shared" si="16"/>
        <v>0</v>
      </c>
      <c r="X543" s="2" t="str">
        <f>Tab_Data_Flows[[#This Row],[UoM_Source]]</f>
        <v>Mg</v>
      </c>
      <c r="Y543" s="19">
        <f>_xlfn.XLOOKUP(Tab_Data_Flows[[#This Row],[Flow_Name]],Tab_Def_Flows[Flow_Name],Tab_Def_Flows[Flow_E2_Fraction'[%']],"N.A.",0,1)</f>
        <v>0</v>
      </c>
      <c r="Z543" s="2">
        <f>IF(D543="Yes",W543*Tab_Data_Flows[[#This Row],[E2_Fraction'[%']]],"N.A.")</f>
        <v>0</v>
      </c>
      <c r="AA543" s="2" t="str">
        <f>Tab_Data_Flows[[#This Row],[E1_UoM]]</f>
        <v>Mg</v>
      </c>
      <c r="AB543" s="19">
        <f>_xlfn.XLOOKUP(Tab_Data_Flows[[#This Row],[Flow_Name]],Tab_Def_Flows[Flow_Name],Tab_Def_Flows[Flow_E3_Fraction'[%']],"N.A.",0,1)</f>
        <v>0</v>
      </c>
      <c r="AC543" s="2">
        <f>IF(E543="Yes",AB543*Tab_Data_Flows[[#This Row],[E1_value]],"N.A.")</f>
        <v>0</v>
      </c>
      <c r="AD543" s="2" t="str">
        <f>Tab_Data_Flows[[#This Row],[E1_UoM]]</f>
        <v>Mg</v>
      </c>
      <c r="AE543" s="19">
        <f>_xlfn.XLOOKUP(Tab_Data_Flows[[#This Row],[Flow_Name]],Tab_Def_Flows[Flow_Name],Tab_Def_Flows[Flow_E4_Fraction'[%']],"N.A.",0,1)</f>
        <v>0</v>
      </c>
      <c r="AF543" s="2">
        <f>IF(H543="Yes",Tab_Data_Flows[[#This Row],[E4_Fraction'[%']]]*Tab_Data_Flows[[#This Row],[E1_value]],"N.A.")</f>
        <v>0</v>
      </c>
      <c r="AG543" s="2" t="str">
        <f>Tab_Data_Flows[[#This Row],[E1_UoM]]</f>
        <v>Mg</v>
      </c>
      <c r="AH543" s="2">
        <f>_xlfn.XLOOKUP(Tab_Data_Flows[[#This Row],[Flow_Name]],Tab_Def_Flows[Flow_Name],Tab_Def_Flows[Flow_E5_Fraction'[%']],"N.A.",0,1)</f>
        <v>0</v>
      </c>
      <c r="AI543" s="2">
        <f>IF(H543="Yes",Tab_Data_Flows[[#This Row],[E5_Fraction'[%']]]*Tab_Data_Flows[[#This Row],[E1_value]],"N.A.")</f>
        <v>0</v>
      </c>
      <c r="AJ543" s="2" t="str">
        <f>Tab_Data_Flows[[#This Row],[E1_UoM]]</f>
        <v>Mg</v>
      </c>
      <c r="AK543" s="19">
        <f>_xlfn.XLOOKUP(Tab_Data_Flows[[#This Row],[Flow_Name]],Tab_Def_Flows[Flow_Name],Tab_Def_Flows[Flow_E6_Fraction'[%']],"N.A.",0,1)</f>
        <v>0</v>
      </c>
      <c r="AL543" s="2">
        <f>IF(Tab_Data_Flows[[#This Row],[Use_E6]]="Yes",Tab_Data_Flows[[#This Row],[E6_Fraction'[%']]]*Tab_Data_Flows[[#This Row],[E1_value]],"N.A.")</f>
        <v>0</v>
      </c>
      <c r="AM543" s="2" t="str">
        <f>Tab_Data_Flows[[#This Row],[E1_UoM]]</f>
        <v>Mg</v>
      </c>
    </row>
    <row r="544" spans="1:39" x14ac:dyDescent="0.25">
      <c r="A544" s="4">
        <f t="shared" si="12"/>
        <v>543</v>
      </c>
      <c r="B544" s="2" t="str">
        <f>_xlfn.XLOOKUP(C544,Tab_Def_Flows[Flow_Name],Tab_Def_Flows[Flow_ID],,0,)</f>
        <v>F__</v>
      </c>
      <c r="C544" s="18" t="s">
        <v>5</v>
      </c>
      <c r="D544" s="5" t="str">
        <f>_xlfn.XLOOKUP(C544,Tab_Def_Flows[Flow_Name],Tab_Def_Flows[Use_E1],,0,)</f>
        <v>Yes</v>
      </c>
      <c r="E544" s="5" t="str">
        <f>_xlfn.XLOOKUP(C544,Tab_Def_Flows[Flow_Name],Tab_Def_Flows[Use_E2],,0,)</f>
        <v>Yes</v>
      </c>
      <c r="F544" s="5" t="str">
        <f>_xlfn.XLOOKUP(C544,Tab_Def_Flows[Flow_Name],Tab_Def_Flows[Use_E3],,0,)</f>
        <v>Yes</v>
      </c>
      <c r="G544" s="5" t="str">
        <f>_xlfn.XLOOKUP(C544,Tab_Def_Flows[Flow_Name],Tab_Def_Flows[Use_E4],,0,)</f>
        <v>Yes</v>
      </c>
      <c r="H544" s="5" t="str">
        <f>_xlfn.XLOOKUP(C544,Tab_Def_Flows[Flow_Name],Tab_Def_Flows[Use_E5],,0,)</f>
        <v>Yes</v>
      </c>
      <c r="I544" s="5" t="str">
        <f>_xlfn.XLOOKUP(C544,Tab_Def_Flows[Flow_Name],Tab_Def_Flows[Use_E6],,0,)</f>
        <v>Yes</v>
      </c>
      <c r="J544" s="3"/>
      <c r="K544" s="3"/>
      <c r="L544" s="2" t="str">
        <f>'0_Configuration'!$C$41</f>
        <v>Mg</v>
      </c>
      <c r="M544" s="9"/>
      <c r="N544" s="9"/>
      <c r="O544" s="9"/>
      <c r="P544" s="9"/>
      <c r="Q544" s="18" t="s">
        <v>3</v>
      </c>
      <c r="R544" s="3"/>
      <c r="S544" s="3"/>
      <c r="T544" s="9"/>
      <c r="U544" s="9"/>
      <c r="V544" s="2">
        <f>_xlfn.XLOOKUP(Tab_Data_Flows[[#This Row],[Flow_Name]],Tab_Def_Flows[Flow_Name],Tab_Def_Flows[Flow_E1_Fraction'[%']],"N.A.",0,1)</f>
        <v>0</v>
      </c>
      <c r="W544" s="8">
        <f t="shared" si="16"/>
        <v>0</v>
      </c>
      <c r="X544" s="2" t="str">
        <f>Tab_Data_Flows[[#This Row],[UoM_Source]]</f>
        <v>Mg</v>
      </c>
      <c r="Y544" s="19">
        <f>_xlfn.XLOOKUP(Tab_Data_Flows[[#This Row],[Flow_Name]],Tab_Def_Flows[Flow_Name],Tab_Def_Flows[Flow_E2_Fraction'[%']],"N.A.",0,1)</f>
        <v>0</v>
      </c>
      <c r="Z544" s="2">
        <f>IF(D544="Yes",W544*Tab_Data_Flows[[#This Row],[E2_Fraction'[%']]],"N.A.")</f>
        <v>0</v>
      </c>
      <c r="AA544" s="2" t="str">
        <f>Tab_Data_Flows[[#This Row],[E1_UoM]]</f>
        <v>Mg</v>
      </c>
      <c r="AB544" s="19">
        <f>_xlfn.XLOOKUP(Tab_Data_Flows[[#This Row],[Flow_Name]],Tab_Def_Flows[Flow_Name],Tab_Def_Flows[Flow_E3_Fraction'[%']],"N.A.",0,1)</f>
        <v>0</v>
      </c>
      <c r="AC544" s="2">
        <f>IF(E544="Yes",AB544*Tab_Data_Flows[[#This Row],[E1_value]],"N.A.")</f>
        <v>0</v>
      </c>
      <c r="AD544" s="2" t="str">
        <f>Tab_Data_Flows[[#This Row],[E1_UoM]]</f>
        <v>Mg</v>
      </c>
      <c r="AE544" s="19">
        <f>_xlfn.XLOOKUP(Tab_Data_Flows[[#This Row],[Flow_Name]],Tab_Def_Flows[Flow_Name],Tab_Def_Flows[Flow_E4_Fraction'[%']],"N.A.",0,1)</f>
        <v>0</v>
      </c>
      <c r="AF544" s="2">
        <f>IF(H544="Yes",Tab_Data_Flows[[#This Row],[E4_Fraction'[%']]]*Tab_Data_Flows[[#This Row],[E1_value]],"N.A.")</f>
        <v>0</v>
      </c>
      <c r="AG544" s="2" t="str">
        <f>Tab_Data_Flows[[#This Row],[E1_UoM]]</f>
        <v>Mg</v>
      </c>
      <c r="AH544" s="2">
        <f>_xlfn.XLOOKUP(Tab_Data_Flows[[#This Row],[Flow_Name]],Tab_Def_Flows[Flow_Name],Tab_Def_Flows[Flow_E5_Fraction'[%']],"N.A.",0,1)</f>
        <v>0</v>
      </c>
      <c r="AI544" s="2">
        <f>IF(H544="Yes",Tab_Data_Flows[[#This Row],[E5_Fraction'[%']]]*Tab_Data_Flows[[#This Row],[E1_value]],"N.A.")</f>
        <v>0</v>
      </c>
      <c r="AJ544" s="2" t="str">
        <f>Tab_Data_Flows[[#This Row],[E1_UoM]]</f>
        <v>Mg</v>
      </c>
      <c r="AK544" s="19">
        <f>_xlfn.XLOOKUP(Tab_Data_Flows[[#This Row],[Flow_Name]],Tab_Def_Flows[Flow_Name],Tab_Def_Flows[Flow_E6_Fraction'[%']],"N.A.",0,1)</f>
        <v>0</v>
      </c>
      <c r="AL544" s="2">
        <f>IF(Tab_Data_Flows[[#This Row],[Use_E6]]="Yes",Tab_Data_Flows[[#This Row],[E6_Fraction'[%']]]*Tab_Data_Flows[[#This Row],[E1_value]],"N.A.")</f>
        <v>0</v>
      </c>
      <c r="AM544" s="2" t="str">
        <f>Tab_Data_Flows[[#This Row],[E1_UoM]]</f>
        <v>Mg</v>
      </c>
    </row>
    <row r="545" spans="1:39" x14ac:dyDescent="0.25">
      <c r="A545" s="4">
        <f t="shared" si="12"/>
        <v>544</v>
      </c>
      <c r="B545" s="2" t="str">
        <f>_xlfn.XLOOKUP(C545,Tab_Def_Flows[Flow_Name],Tab_Def_Flows[Flow_ID],,0,)</f>
        <v>F__</v>
      </c>
      <c r="C545" s="18" t="s">
        <v>5</v>
      </c>
      <c r="D545" s="5" t="str">
        <f>_xlfn.XLOOKUP(C545,Tab_Def_Flows[Flow_Name],Tab_Def_Flows[Use_E1],,0,)</f>
        <v>Yes</v>
      </c>
      <c r="E545" s="5" t="str">
        <f>_xlfn.XLOOKUP(C545,Tab_Def_Flows[Flow_Name],Tab_Def_Flows[Use_E2],,0,)</f>
        <v>Yes</v>
      </c>
      <c r="F545" s="5" t="str">
        <f>_xlfn.XLOOKUP(C545,Tab_Def_Flows[Flow_Name],Tab_Def_Flows[Use_E3],,0,)</f>
        <v>Yes</v>
      </c>
      <c r="G545" s="5" t="str">
        <f>_xlfn.XLOOKUP(C545,Tab_Def_Flows[Flow_Name],Tab_Def_Flows[Use_E4],,0,)</f>
        <v>Yes</v>
      </c>
      <c r="H545" s="5" t="str">
        <f>_xlfn.XLOOKUP(C545,Tab_Def_Flows[Flow_Name],Tab_Def_Flows[Use_E5],,0,)</f>
        <v>Yes</v>
      </c>
      <c r="I545" s="5" t="str">
        <f>_xlfn.XLOOKUP(C545,Tab_Def_Flows[Flow_Name],Tab_Def_Flows[Use_E6],,0,)</f>
        <v>Yes</v>
      </c>
      <c r="J545" s="3"/>
      <c r="K545" s="3"/>
      <c r="L545" s="2" t="str">
        <f>'0_Configuration'!$C$41</f>
        <v>Mg</v>
      </c>
      <c r="M545" s="9"/>
      <c r="N545" s="9"/>
      <c r="O545" s="9"/>
      <c r="P545" s="9"/>
      <c r="Q545" s="18" t="s">
        <v>3</v>
      </c>
      <c r="R545" s="3"/>
      <c r="S545" s="3"/>
      <c r="T545" s="9"/>
      <c r="U545" s="9"/>
      <c r="V545" s="2">
        <f>_xlfn.XLOOKUP(Tab_Data_Flows[[#This Row],[Flow_Name]],Tab_Def_Flows[Flow_Name],Tab_Def_Flows[Flow_E1_Fraction'[%']],"N.A.",0,1)</f>
        <v>0</v>
      </c>
      <c r="W545" s="8">
        <f t="shared" si="16"/>
        <v>0</v>
      </c>
      <c r="X545" s="2" t="str">
        <f>Tab_Data_Flows[[#This Row],[UoM_Source]]</f>
        <v>Mg</v>
      </c>
      <c r="Y545" s="19">
        <f>_xlfn.XLOOKUP(Tab_Data_Flows[[#This Row],[Flow_Name]],Tab_Def_Flows[Flow_Name],Tab_Def_Flows[Flow_E2_Fraction'[%']],"N.A.",0,1)</f>
        <v>0</v>
      </c>
      <c r="Z545" s="2">
        <f>IF(D545="Yes",W545*Tab_Data_Flows[[#This Row],[E2_Fraction'[%']]],"N.A.")</f>
        <v>0</v>
      </c>
      <c r="AA545" s="2" t="str">
        <f>Tab_Data_Flows[[#This Row],[E1_UoM]]</f>
        <v>Mg</v>
      </c>
      <c r="AB545" s="19">
        <f>_xlfn.XLOOKUP(Tab_Data_Flows[[#This Row],[Flow_Name]],Tab_Def_Flows[Flow_Name],Tab_Def_Flows[Flow_E3_Fraction'[%']],"N.A.",0,1)</f>
        <v>0</v>
      </c>
      <c r="AC545" s="2">
        <f>IF(E545="Yes",AB545*Tab_Data_Flows[[#This Row],[E1_value]],"N.A.")</f>
        <v>0</v>
      </c>
      <c r="AD545" s="2" t="str">
        <f>Tab_Data_Flows[[#This Row],[E1_UoM]]</f>
        <v>Mg</v>
      </c>
      <c r="AE545" s="19">
        <f>_xlfn.XLOOKUP(Tab_Data_Flows[[#This Row],[Flow_Name]],Tab_Def_Flows[Flow_Name],Tab_Def_Flows[Flow_E4_Fraction'[%']],"N.A.",0,1)</f>
        <v>0</v>
      </c>
      <c r="AF545" s="2">
        <f>IF(H545="Yes",Tab_Data_Flows[[#This Row],[E4_Fraction'[%']]]*Tab_Data_Flows[[#This Row],[E1_value]],"N.A.")</f>
        <v>0</v>
      </c>
      <c r="AG545" s="2" t="str">
        <f>Tab_Data_Flows[[#This Row],[E1_UoM]]</f>
        <v>Mg</v>
      </c>
      <c r="AH545" s="2">
        <f>_xlfn.XLOOKUP(Tab_Data_Flows[[#This Row],[Flow_Name]],Tab_Def_Flows[Flow_Name],Tab_Def_Flows[Flow_E5_Fraction'[%']],"N.A.",0,1)</f>
        <v>0</v>
      </c>
      <c r="AI545" s="2">
        <f>IF(H545="Yes",Tab_Data_Flows[[#This Row],[E5_Fraction'[%']]]*Tab_Data_Flows[[#This Row],[E1_value]],"N.A.")</f>
        <v>0</v>
      </c>
      <c r="AJ545" s="2" t="str">
        <f>Tab_Data_Flows[[#This Row],[E1_UoM]]</f>
        <v>Mg</v>
      </c>
      <c r="AK545" s="19">
        <f>_xlfn.XLOOKUP(Tab_Data_Flows[[#This Row],[Flow_Name]],Tab_Def_Flows[Flow_Name],Tab_Def_Flows[Flow_E6_Fraction'[%']],"N.A.",0,1)</f>
        <v>0</v>
      </c>
      <c r="AL545" s="2">
        <f>IF(Tab_Data_Flows[[#This Row],[Use_E6]]="Yes",Tab_Data_Flows[[#This Row],[E6_Fraction'[%']]]*Tab_Data_Flows[[#This Row],[E1_value]],"N.A.")</f>
        <v>0</v>
      </c>
      <c r="AM545" s="2" t="str">
        <f>Tab_Data_Flows[[#This Row],[E1_UoM]]</f>
        <v>Mg</v>
      </c>
    </row>
    <row r="546" spans="1:39" x14ac:dyDescent="0.25">
      <c r="A546" s="4">
        <f t="shared" si="12"/>
        <v>545</v>
      </c>
      <c r="B546" s="2" t="str">
        <f>_xlfn.XLOOKUP(C546,Tab_Def_Flows[Flow_Name],Tab_Def_Flows[Flow_ID],,0,)</f>
        <v>F__</v>
      </c>
      <c r="C546" s="18" t="s">
        <v>5</v>
      </c>
      <c r="D546" s="5" t="str">
        <f>_xlfn.XLOOKUP(C546,Tab_Def_Flows[Flow_Name],Tab_Def_Flows[Use_E1],,0,)</f>
        <v>Yes</v>
      </c>
      <c r="E546" s="5" t="str">
        <f>_xlfn.XLOOKUP(C546,Tab_Def_Flows[Flow_Name],Tab_Def_Flows[Use_E2],,0,)</f>
        <v>Yes</v>
      </c>
      <c r="F546" s="5" t="str">
        <f>_xlfn.XLOOKUP(C546,Tab_Def_Flows[Flow_Name],Tab_Def_Flows[Use_E3],,0,)</f>
        <v>Yes</v>
      </c>
      <c r="G546" s="5" t="str">
        <f>_xlfn.XLOOKUP(C546,Tab_Def_Flows[Flow_Name],Tab_Def_Flows[Use_E4],,0,)</f>
        <v>Yes</v>
      </c>
      <c r="H546" s="5" t="str">
        <f>_xlfn.XLOOKUP(C546,Tab_Def_Flows[Flow_Name],Tab_Def_Flows[Use_E5],,0,)</f>
        <v>Yes</v>
      </c>
      <c r="I546" s="5" t="str">
        <f>_xlfn.XLOOKUP(C546,Tab_Def_Flows[Flow_Name],Tab_Def_Flows[Use_E6],,0,)</f>
        <v>Yes</v>
      </c>
      <c r="J546" s="3"/>
      <c r="K546" s="3"/>
      <c r="L546" s="2" t="str">
        <f>'0_Configuration'!$C$41</f>
        <v>Mg</v>
      </c>
      <c r="M546" s="9"/>
      <c r="N546" s="9"/>
      <c r="O546" s="9"/>
      <c r="P546" s="9"/>
      <c r="Q546" s="18" t="s">
        <v>3</v>
      </c>
      <c r="R546" s="3"/>
      <c r="S546" s="3"/>
      <c r="T546" s="9"/>
      <c r="U546" s="9"/>
      <c r="V546" s="2">
        <f>_xlfn.XLOOKUP(Tab_Data_Flows[[#This Row],[Flow_Name]],Tab_Def_Flows[Flow_Name],Tab_Def_Flows[Flow_E1_Fraction'[%']],"N.A.",0,1)</f>
        <v>0</v>
      </c>
      <c r="W546" s="8">
        <f t="shared" si="16"/>
        <v>0</v>
      </c>
      <c r="X546" s="2" t="str">
        <f>Tab_Data_Flows[[#This Row],[UoM_Source]]</f>
        <v>Mg</v>
      </c>
      <c r="Y546" s="19">
        <f>_xlfn.XLOOKUP(Tab_Data_Flows[[#This Row],[Flow_Name]],Tab_Def_Flows[Flow_Name],Tab_Def_Flows[Flow_E2_Fraction'[%']],"N.A.",0,1)</f>
        <v>0</v>
      </c>
      <c r="Z546" s="2">
        <f>IF(D546="Yes",W546*Tab_Data_Flows[[#This Row],[E2_Fraction'[%']]],"N.A.")</f>
        <v>0</v>
      </c>
      <c r="AA546" s="2" t="str">
        <f>Tab_Data_Flows[[#This Row],[E1_UoM]]</f>
        <v>Mg</v>
      </c>
      <c r="AB546" s="19">
        <f>_xlfn.XLOOKUP(Tab_Data_Flows[[#This Row],[Flow_Name]],Tab_Def_Flows[Flow_Name],Tab_Def_Flows[Flow_E3_Fraction'[%']],"N.A.",0,1)</f>
        <v>0</v>
      </c>
      <c r="AC546" s="2">
        <f>IF(E546="Yes",AB546*Tab_Data_Flows[[#This Row],[E1_value]],"N.A.")</f>
        <v>0</v>
      </c>
      <c r="AD546" s="2" t="str">
        <f>Tab_Data_Flows[[#This Row],[E1_UoM]]</f>
        <v>Mg</v>
      </c>
      <c r="AE546" s="19">
        <f>_xlfn.XLOOKUP(Tab_Data_Flows[[#This Row],[Flow_Name]],Tab_Def_Flows[Flow_Name],Tab_Def_Flows[Flow_E4_Fraction'[%']],"N.A.",0,1)</f>
        <v>0</v>
      </c>
      <c r="AF546" s="2">
        <f>IF(H546="Yes",Tab_Data_Flows[[#This Row],[E4_Fraction'[%']]]*Tab_Data_Flows[[#This Row],[E1_value]],"N.A.")</f>
        <v>0</v>
      </c>
      <c r="AG546" s="2" t="str">
        <f>Tab_Data_Flows[[#This Row],[E1_UoM]]</f>
        <v>Mg</v>
      </c>
      <c r="AH546" s="2">
        <f>_xlfn.XLOOKUP(Tab_Data_Flows[[#This Row],[Flow_Name]],Tab_Def_Flows[Flow_Name],Tab_Def_Flows[Flow_E5_Fraction'[%']],"N.A.",0,1)</f>
        <v>0</v>
      </c>
      <c r="AI546" s="2">
        <f>IF(H546="Yes",Tab_Data_Flows[[#This Row],[E5_Fraction'[%']]]*Tab_Data_Flows[[#This Row],[E1_value]],"N.A.")</f>
        <v>0</v>
      </c>
      <c r="AJ546" s="2" t="str">
        <f>Tab_Data_Flows[[#This Row],[E1_UoM]]</f>
        <v>Mg</v>
      </c>
      <c r="AK546" s="19">
        <f>_xlfn.XLOOKUP(Tab_Data_Flows[[#This Row],[Flow_Name]],Tab_Def_Flows[Flow_Name],Tab_Def_Flows[Flow_E6_Fraction'[%']],"N.A.",0,1)</f>
        <v>0</v>
      </c>
      <c r="AL546" s="2">
        <f>IF(Tab_Data_Flows[[#This Row],[Use_E6]]="Yes",Tab_Data_Flows[[#This Row],[E6_Fraction'[%']]]*Tab_Data_Flows[[#This Row],[E1_value]],"N.A.")</f>
        <v>0</v>
      </c>
      <c r="AM546" s="2" t="str">
        <f>Tab_Data_Flows[[#This Row],[E1_UoM]]</f>
        <v>Mg</v>
      </c>
    </row>
    <row r="547" spans="1:39" x14ac:dyDescent="0.25">
      <c r="A547" s="4">
        <f t="shared" si="12"/>
        <v>546</v>
      </c>
      <c r="B547" s="2" t="str">
        <f>_xlfn.XLOOKUP(C547,Tab_Def_Flows[Flow_Name],Tab_Def_Flows[Flow_ID],,0,)</f>
        <v>F__</v>
      </c>
      <c r="C547" s="18" t="s">
        <v>5</v>
      </c>
      <c r="D547" s="5" t="str">
        <f>_xlfn.XLOOKUP(C547,Tab_Def_Flows[Flow_Name],Tab_Def_Flows[Use_E1],,0,)</f>
        <v>Yes</v>
      </c>
      <c r="E547" s="5" t="str">
        <f>_xlfn.XLOOKUP(C547,Tab_Def_Flows[Flow_Name],Tab_Def_Flows[Use_E2],,0,)</f>
        <v>Yes</v>
      </c>
      <c r="F547" s="5" t="str">
        <f>_xlfn.XLOOKUP(C547,Tab_Def_Flows[Flow_Name],Tab_Def_Flows[Use_E3],,0,)</f>
        <v>Yes</v>
      </c>
      <c r="G547" s="5" t="str">
        <f>_xlfn.XLOOKUP(C547,Tab_Def_Flows[Flow_Name],Tab_Def_Flows[Use_E4],,0,)</f>
        <v>Yes</v>
      </c>
      <c r="H547" s="5" t="str">
        <f>_xlfn.XLOOKUP(C547,Tab_Def_Flows[Flow_Name],Tab_Def_Flows[Use_E5],,0,)</f>
        <v>Yes</v>
      </c>
      <c r="I547" s="5" t="str">
        <f>_xlfn.XLOOKUP(C547,Tab_Def_Flows[Flow_Name],Tab_Def_Flows[Use_E6],,0,)</f>
        <v>Yes</v>
      </c>
      <c r="J547" s="3"/>
      <c r="K547" s="3"/>
      <c r="L547" s="2" t="str">
        <f>'0_Configuration'!$C$41</f>
        <v>Mg</v>
      </c>
      <c r="M547" s="9"/>
      <c r="N547" s="9"/>
      <c r="O547" s="9"/>
      <c r="P547" s="9"/>
      <c r="Q547" s="18" t="s">
        <v>3</v>
      </c>
      <c r="R547" s="3"/>
      <c r="S547" s="3"/>
      <c r="T547" s="9"/>
      <c r="U547" s="9"/>
      <c r="V547" s="2">
        <f>_xlfn.XLOOKUP(Tab_Data_Flows[[#This Row],[Flow_Name]],Tab_Def_Flows[Flow_Name],Tab_Def_Flows[Flow_E1_Fraction'[%']],"N.A.",0,1)</f>
        <v>0</v>
      </c>
      <c r="W547" s="8">
        <f t="shared" si="16"/>
        <v>0</v>
      </c>
      <c r="X547" s="2" t="str">
        <f>Tab_Data_Flows[[#This Row],[UoM_Source]]</f>
        <v>Mg</v>
      </c>
      <c r="Y547" s="19">
        <f>_xlfn.XLOOKUP(Tab_Data_Flows[[#This Row],[Flow_Name]],Tab_Def_Flows[Flow_Name],Tab_Def_Flows[Flow_E2_Fraction'[%']],"N.A.",0,1)</f>
        <v>0</v>
      </c>
      <c r="Z547" s="2">
        <f>IF(D547="Yes",W547*Tab_Data_Flows[[#This Row],[E2_Fraction'[%']]],"N.A.")</f>
        <v>0</v>
      </c>
      <c r="AA547" s="2" t="str">
        <f>Tab_Data_Flows[[#This Row],[E1_UoM]]</f>
        <v>Mg</v>
      </c>
      <c r="AB547" s="19">
        <f>_xlfn.XLOOKUP(Tab_Data_Flows[[#This Row],[Flow_Name]],Tab_Def_Flows[Flow_Name],Tab_Def_Flows[Flow_E3_Fraction'[%']],"N.A.",0,1)</f>
        <v>0</v>
      </c>
      <c r="AC547" s="2">
        <f>IF(E547="Yes",AB547*Tab_Data_Flows[[#This Row],[E1_value]],"N.A.")</f>
        <v>0</v>
      </c>
      <c r="AD547" s="2" t="str">
        <f>Tab_Data_Flows[[#This Row],[E1_UoM]]</f>
        <v>Mg</v>
      </c>
      <c r="AE547" s="19">
        <f>_xlfn.XLOOKUP(Tab_Data_Flows[[#This Row],[Flow_Name]],Tab_Def_Flows[Flow_Name],Tab_Def_Flows[Flow_E4_Fraction'[%']],"N.A.",0,1)</f>
        <v>0</v>
      </c>
      <c r="AF547" s="2">
        <f>IF(H547="Yes",Tab_Data_Flows[[#This Row],[E4_Fraction'[%']]]*Tab_Data_Flows[[#This Row],[E1_value]],"N.A.")</f>
        <v>0</v>
      </c>
      <c r="AG547" s="2" t="str">
        <f>Tab_Data_Flows[[#This Row],[E1_UoM]]</f>
        <v>Mg</v>
      </c>
      <c r="AH547" s="2">
        <f>_xlfn.XLOOKUP(Tab_Data_Flows[[#This Row],[Flow_Name]],Tab_Def_Flows[Flow_Name],Tab_Def_Flows[Flow_E5_Fraction'[%']],"N.A.",0,1)</f>
        <v>0</v>
      </c>
      <c r="AI547" s="2">
        <f>IF(H547="Yes",Tab_Data_Flows[[#This Row],[E5_Fraction'[%']]]*Tab_Data_Flows[[#This Row],[E1_value]],"N.A.")</f>
        <v>0</v>
      </c>
      <c r="AJ547" s="2" t="str">
        <f>Tab_Data_Flows[[#This Row],[E1_UoM]]</f>
        <v>Mg</v>
      </c>
      <c r="AK547" s="19">
        <f>_xlfn.XLOOKUP(Tab_Data_Flows[[#This Row],[Flow_Name]],Tab_Def_Flows[Flow_Name],Tab_Def_Flows[Flow_E6_Fraction'[%']],"N.A.",0,1)</f>
        <v>0</v>
      </c>
      <c r="AL547" s="2">
        <f>IF(Tab_Data_Flows[[#This Row],[Use_E6]]="Yes",Tab_Data_Flows[[#This Row],[E6_Fraction'[%']]]*Tab_Data_Flows[[#This Row],[E1_value]],"N.A.")</f>
        <v>0</v>
      </c>
      <c r="AM547" s="2" t="str">
        <f>Tab_Data_Flows[[#This Row],[E1_UoM]]</f>
        <v>Mg</v>
      </c>
    </row>
    <row r="548" spans="1:39" x14ac:dyDescent="0.25">
      <c r="A548" s="4">
        <f t="shared" si="12"/>
        <v>547</v>
      </c>
      <c r="B548" s="2" t="str">
        <f>_xlfn.XLOOKUP(C548,Tab_Def_Flows[Flow_Name],Tab_Def_Flows[Flow_ID],,0,)</f>
        <v>F__</v>
      </c>
      <c r="C548" s="18" t="s">
        <v>5</v>
      </c>
      <c r="D548" s="5" t="str">
        <f>_xlfn.XLOOKUP(C548,Tab_Def_Flows[Flow_Name],Tab_Def_Flows[Use_E1],,0,)</f>
        <v>Yes</v>
      </c>
      <c r="E548" s="5" t="str">
        <f>_xlfn.XLOOKUP(C548,Tab_Def_Flows[Flow_Name],Tab_Def_Flows[Use_E2],,0,)</f>
        <v>Yes</v>
      </c>
      <c r="F548" s="5" t="str">
        <f>_xlfn.XLOOKUP(C548,Tab_Def_Flows[Flow_Name],Tab_Def_Flows[Use_E3],,0,)</f>
        <v>Yes</v>
      </c>
      <c r="G548" s="5" t="str">
        <f>_xlfn.XLOOKUP(C548,Tab_Def_Flows[Flow_Name],Tab_Def_Flows[Use_E4],,0,)</f>
        <v>Yes</v>
      </c>
      <c r="H548" s="5" t="str">
        <f>_xlfn.XLOOKUP(C548,Tab_Def_Flows[Flow_Name],Tab_Def_Flows[Use_E5],,0,)</f>
        <v>Yes</v>
      </c>
      <c r="I548" s="5" t="str">
        <f>_xlfn.XLOOKUP(C548,Tab_Def_Flows[Flow_Name],Tab_Def_Flows[Use_E6],,0,)</f>
        <v>Yes</v>
      </c>
      <c r="J548" s="3"/>
      <c r="K548" s="3"/>
      <c r="L548" s="2" t="str">
        <f>'0_Configuration'!$C$41</f>
        <v>Mg</v>
      </c>
      <c r="M548" s="9"/>
      <c r="N548" s="9"/>
      <c r="O548" s="9"/>
      <c r="P548" s="9"/>
      <c r="Q548" s="18" t="s">
        <v>3</v>
      </c>
      <c r="R548" s="3"/>
      <c r="S548" s="3"/>
      <c r="T548" s="9"/>
      <c r="U548" s="9"/>
      <c r="V548" s="2">
        <f>_xlfn.XLOOKUP(Tab_Data_Flows[[#This Row],[Flow_Name]],Tab_Def_Flows[Flow_Name],Tab_Def_Flows[Flow_E1_Fraction'[%']],"N.A.",0,1)</f>
        <v>0</v>
      </c>
      <c r="W548" s="8">
        <f t="shared" si="16"/>
        <v>0</v>
      </c>
      <c r="X548" s="2" t="str">
        <f>Tab_Data_Flows[[#This Row],[UoM_Source]]</f>
        <v>Mg</v>
      </c>
      <c r="Y548" s="19">
        <f>_xlfn.XLOOKUP(Tab_Data_Flows[[#This Row],[Flow_Name]],Tab_Def_Flows[Flow_Name],Tab_Def_Flows[Flow_E2_Fraction'[%']],"N.A.",0,1)</f>
        <v>0</v>
      </c>
      <c r="Z548" s="2">
        <f>IF(D548="Yes",W548*Tab_Data_Flows[[#This Row],[E2_Fraction'[%']]],"N.A.")</f>
        <v>0</v>
      </c>
      <c r="AA548" s="2" t="str">
        <f>Tab_Data_Flows[[#This Row],[E1_UoM]]</f>
        <v>Mg</v>
      </c>
      <c r="AB548" s="19">
        <f>_xlfn.XLOOKUP(Tab_Data_Flows[[#This Row],[Flow_Name]],Tab_Def_Flows[Flow_Name],Tab_Def_Flows[Flow_E3_Fraction'[%']],"N.A.",0,1)</f>
        <v>0</v>
      </c>
      <c r="AC548" s="2">
        <f>IF(E548="Yes",AB548*Tab_Data_Flows[[#This Row],[E1_value]],"N.A.")</f>
        <v>0</v>
      </c>
      <c r="AD548" s="2" t="str">
        <f>Tab_Data_Flows[[#This Row],[E1_UoM]]</f>
        <v>Mg</v>
      </c>
      <c r="AE548" s="19">
        <f>_xlfn.XLOOKUP(Tab_Data_Flows[[#This Row],[Flow_Name]],Tab_Def_Flows[Flow_Name],Tab_Def_Flows[Flow_E4_Fraction'[%']],"N.A.",0,1)</f>
        <v>0</v>
      </c>
      <c r="AF548" s="2">
        <f>IF(H548="Yes",Tab_Data_Flows[[#This Row],[E4_Fraction'[%']]]*Tab_Data_Flows[[#This Row],[E1_value]],"N.A.")</f>
        <v>0</v>
      </c>
      <c r="AG548" s="2" t="str">
        <f>Tab_Data_Flows[[#This Row],[E1_UoM]]</f>
        <v>Mg</v>
      </c>
      <c r="AH548" s="2">
        <f>_xlfn.XLOOKUP(Tab_Data_Flows[[#This Row],[Flow_Name]],Tab_Def_Flows[Flow_Name],Tab_Def_Flows[Flow_E5_Fraction'[%']],"N.A.",0,1)</f>
        <v>0</v>
      </c>
      <c r="AI548" s="2">
        <f>IF(H548="Yes",Tab_Data_Flows[[#This Row],[E5_Fraction'[%']]]*Tab_Data_Flows[[#This Row],[E1_value]],"N.A.")</f>
        <v>0</v>
      </c>
      <c r="AJ548" s="2" t="str">
        <f>Tab_Data_Flows[[#This Row],[E1_UoM]]</f>
        <v>Mg</v>
      </c>
      <c r="AK548" s="19">
        <f>_xlfn.XLOOKUP(Tab_Data_Flows[[#This Row],[Flow_Name]],Tab_Def_Flows[Flow_Name],Tab_Def_Flows[Flow_E6_Fraction'[%']],"N.A.",0,1)</f>
        <v>0</v>
      </c>
      <c r="AL548" s="2">
        <f>IF(Tab_Data_Flows[[#This Row],[Use_E6]]="Yes",Tab_Data_Flows[[#This Row],[E6_Fraction'[%']]]*Tab_Data_Flows[[#This Row],[E1_value]],"N.A.")</f>
        <v>0</v>
      </c>
      <c r="AM548" s="2" t="str">
        <f>Tab_Data_Flows[[#This Row],[E1_UoM]]</f>
        <v>Mg</v>
      </c>
    </row>
    <row r="549" spans="1:39" x14ac:dyDescent="0.25">
      <c r="A549" s="4">
        <f t="shared" si="12"/>
        <v>548</v>
      </c>
      <c r="B549" s="2" t="str">
        <f>_xlfn.XLOOKUP(C549,Tab_Def_Flows[Flow_Name],Tab_Def_Flows[Flow_ID],,0,)</f>
        <v>F__</v>
      </c>
      <c r="C549" s="18" t="s">
        <v>5</v>
      </c>
      <c r="D549" s="5" t="str">
        <f>_xlfn.XLOOKUP(C549,Tab_Def_Flows[Flow_Name],Tab_Def_Flows[Use_E1],,0,)</f>
        <v>Yes</v>
      </c>
      <c r="E549" s="5" t="str">
        <f>_xlfn.XLOOKUP(C549,Tab_Def_Flows[Flow_Name],Tab_Def_Flows[Use_E2],,0,)</f>
        <v>Yes</v>
      </c>
      <c r="F549" s="5" t="str">
        <f>_xlfn.XLOOKUP(C549,Tab_Def_Flows[Flow_Name],Tab_Def_Flows[Use_E3],,0,)</f>
        <v>Yes</v>
      </c>
      <c r="G549" s="5" t="str">
        <f>_xlfn.XLOOKUP(C549,Tab_Def_Flows[Flow_Name],Tab_Def_Flows[Use_E4],,0,)</f>
        <v>Yes</v>
      </c>
      <c r="H549" s="5" t="str">
        <f>_xlfn.XLOOKUP(C549,Tab_Def_Flows[Flow_Name],Tab_Def_Flows[Use_E5],,0,)</f>
        <v>Yes</v>
      </c>
      <c r="I549" s="5" t="str">
        <f>_xlfn.XLOOKUP(C549,Tab_Def_Flows[Flow_Name],Tab_Def_Flows[Use_E6],,0,)</f>
        <v>Yes</v>
      </c>
      <c r="J549" s="3"/>
      <c r="K549" s="3"/>
      <c r="L549" s="2" t="str">
        <f>'0_Configuration'!$C$41</f>
        <v>Mg</v>
      </c>
      <c r="M549" s="9"/>
      <c r="N549" s="9"/>
      <c r="O549" s="9"/>
      <c r="P549" s="9"/>
      <c r="Q549" s="18" t="s">
        <v>3</v>
      </c>
      <c r="R549" s="3"/>
      <c r="S549" s="3"/>
      <c r="T549" s="9"/>
      <c r="U549" s="9"/>
      <c r="V549" s="2">
        <f>_xlfn.XLOOKUP(Tab_Data_Flows[[#This Row],[Flow_Name]],Tab_Def_Flows[Flow_Name],Tab_Def_Flows[Flow_E1_Fraction'[%']],"N.A.",0,1)</f>
        <v>0</v>
      </c>
      <c r="W549" s="8">
        <f t="shared" si="16"/>
        <v>0</v>
      </c>
      <c r="X549" s="2" t="str">
        <f>Tab_Data_Flows[[#This Row],[UoM_Source]]</f>
        <v>Mg</v>
      </c>
      <c r="Y549" s="19">
        <f>_xlfn.XLOOKUP(Tab_Data_Flows[[#This Row],[Flow_Name]],Tab_Def_Flows[Flow_Name],Tab_Def_Flows[Flow_E2_Fraction'[%']],"N.A.",0,1)</f>
        <v>0</v>
      </c>
      <c r="Z549" s="2">
        <f>IF(D549="Yes",W549*Tab_Data_Flows[[#This Row],[E2_Fraction'[%']]],"N.A.")</f>
        <v>0</v>
      </c>
      <c r="AA549" s="2" t="str">
        <f>Tab_Data_Flows[[#This Row],[E1_UoM]]</f>
        <v>Mg</v>
      </c>
      <c r="AB549" s="19">
        <f>_xlfn.XLOOKUP(Tab_Data_Flows[[#This Row],[Flow_Name]],Tab_Def_Flows[Flow_Name],Tab_Def_Flows[Flow_E3_Fraction'[%']],"N.A.",0,1)</f>
        <v>0</v>
      </c>
      <c r="AC549" s="2">
        <f>IF(E549="Yes",AB549*Tab_Data_Flows[[#This Row],[E1_value]],"N.A.")</f>
        <v>0</v>
      </c>
      <c r="AD549" s="2" t="str">
        <f>Tab_Data_Flows[[#This Row],[E1_UoM]]</f>
        <v>Mg</v>
      </c>
      <c r="AE549" s="19">
        <f>_xlfn.XLOOKUP(Tab_Data_Flows[[#This Row],[Flow_Name]],Tab_Def_Flows[Flow_Name],Tab_Def_Flows[Flow_E4_Fraction'[%']],"N.A.",0,1)</f>
        <v>0</v>
      </c>
      <c r="AF549" s="2">
        <f>IF(H549="Yes",Tab_Data_Flows[[#This Row],[E4_Fraction'[%']]]*Tab_Data_Flows[[#This Row],[E1_value]],"N.A.")</f>
        <v>0</v>
      </c>
      <c r="AG549" s="2" t="str">
        <f>Tab_Data_Flows[[#This Row],[E1_UoM]]</f>
        <v>Mg</v>
      </c>
      <c r="AH549" s="2">
        <f>_xlfn.XLOOKUP(Tab_Data_Flows[[#This Row],[Flow_Name]],Tab_Def_Flows[Flow_Name],Tab_Def_Flows[Flow_E5_Fraction'[%']],"N.A.",0,1)</f>
        <v>0</v>
      </c>
      <c r="AI549" s="2">
        <f>IF(H549="Yes",Tab_Data_Flows[[#This Row],[E5_Fraction'[%']]]*Tab_Data_Flows[[#This Row],[E1_value]],"N.A.")</f>
        <v>0</v>
      </c>
      <c r="AJ549" s="2" t="str">
        <f>Tab_Data_Flows[[#This Row],[E1_UoM]]</f>
        <v>Mg</v>
      </c>
      <c r="AK549" s="19">
        <f>_xlfn.XLOOKUP(Tab_Data_Flows[[#This Row],[Flow_Name]],Tab_Def_Flows[Flow_Name],Tab_Def_Flows[Flow_E6_Fraction'[%']],"N.A.",0,1)</f>
        <v>0</v>
      </c>
      <c r="AL549" s="2">
        <f>IF(Tab_Data_Flows[[#This Row],[Use_E6]]="Yes",Tab_Data_Flows[[#This Row],[E6_Fraction'[%']]]*Tab_Data_Flows[[#This Row],[E1_value]],"N.A.")</f>
        <v>0</v>
      </c>
      <c r="AM549" s="2" t="str">
        <f>Tab_Data_Flows[[#This Row],[E1_UoM]]</f>
        <v>Mg</v>
      </c>
    </row>
    <row r="550" spans="1:39" x14ac:dyDescent="0.25">
      <c r="A550" s="4">
        <f t="shared" si="12"/>
        <v>549</v>
      </c>
      <c r="B550" s="2" t="str">
        <f>_xlfn.XLOOKUP(C550,Tab_Def_Flows[Flow_Name],Tab_Def_Flows[Flow_ID],,0,)</f>
        <v>F__</v>
      </c>
      <c r="C550" s="18" t="s">
        <v>5</v>
      </c>
      <c r="D550" s="5" t="str">
        <f>_xlfn.XLOOKUP(C550,Tab_Def_Flows[Flow_Name],Tab_Def_Flows[Use_E1],,0,)</f>
        <v>Yes</v>
      </c>
      <c r="E550" s="5" t="str">
        <f>_xlfn.XLOOKUP(C550,Tab_Def_Flows[Flow_Name],Tab_Def_Flows[Use_E2],,0,)</f>
        <v>Yes</v>
      </c>
      <c r="F550" s="5" t="str">
        <f>_xlfn.XLOOKUP(C550,Tab_Def_Flows[Flow_Name],Tab_Def_Flows[Use_E3],,0,)</f>
        <v>Yes</v>
      </c>
      <c r="G550" s="5" t="str">
        <f>_xlfn.XLOOKUP(C550,Tab_Def_Flows[Flow_Name],Tab_Def_Flows[Use_E4],,0,)</f>
        <v>Yes</v>
      </c>
      <c r="H550" s="5" t="str">
        <f>_xlfn.XLOOKUP(C550,Tab_Def_Flows[Flow_Name],Tab_Def_Flows[Use_E5],,0,)</f>
        <v>Yes</v>
      </c>
      <c r="I550" s="5" t="str">
        <f>_xlfn.XLOOKUP(C550,Tab_Def_Flows[Flow_Name],Tab_Def_Flows[Use_E6],,0,)</f>
        <v>Yes</v>
      </c>
      <c r="J550" s="3"/>
      <c r="K550" s="3"/>
      <c r="L550" s="2" t="str">
        <f>'0_Configuration'!$C$41</f>
        <v>Mg</v>
      </c>
      <c r="M550" s="9"/>
      <c r="N550" s="9"/>
      <c r="O550" s="9"/>
      <c r="P550" s="9"/>
      <c r="Q550" s="18" t="s">
        <v>3</v>
      </c>
      <c r="R550" s="3"/>
      <c r="S550" s="3"/>
      <c r="T550" s="9"/>
      <c r="U550" s="9"/>
      <c r="V550" s="2">
        <f>_xlfn.XLOOKUP(Tab_Data_Flows[[#This Row],[Flow_Name]],Tab_Def_Flows[Flow_Name],Tab_Def_Flows[Flow_E1_Fraction'[%']],"N.A.",0,1)</f>
        <v>0</v>
      </c>
      <c r="W550" s="8">
        <f t="shared" si="16"/>
        <v>0</v>
      </c>
      <c r="X550" s="2" t="str">
        <f>Tab_Data_Flows[[#This Row],[UoM_Source]]</f>
        <v>Mg</v>
      </c>
      <c r="Y550" s="19">
        <f>_xlfn.XLOOKUP(Tab_Data_Flows[[#This Row],[Flow_Name]],Tab_Def_Flows[Flow_Name],Tab_Def_Flows[Flow_E2_Fraction'[%']],"N.A.",0,1)</f>
        <v>0</v>
      </c>
      <c r="Z550" s="2">
        <f>IF(D550="Yes",W550*Tab_Data_Flows[[#This Row],[E2_Fraction'[%']]],"N.A.")</f>
        <v>0</v>
      </c>
      <c r="AA550" s="2" t="str">
        <f>Tab_Data_Flows[[#This Row],[E1_UoM]]</f>
        <v>Mg</v>
      </c>
      <c r="AB550" s="19">
        <f>_xlfn.XLOOKUP(Tab_Data_Flows[[#This Row],[Flow_Name]],Tab_Def_Flows[Flow_Name],Tab_Def_Flows[Flow_E3_Fraction'[%']],"N.A.",0,1)</f>
        <v>0</v>
      </c>
      <c r="AC550" s="2">
        <f>IF(E550="Yes",AB550*Tab_Data_Flows[[#This Row],[E1_value]],"N.A.")</f>
        <v>0</v>
      </c>
      <c r="AD550" s="2" t="str">
        <f>Tab_Data_Flows[[#This Row],[E1_UoM]]</f>
        <v>Mg</v>
      </c>
      <c r="AE550" s="19">
        <f>_xlfn.XLOOKUP(Tab_Data_Flows[[#This Row],[Flow_Name]],Tab_Def_Flows[Flow_Name],Tab_Def_Flows[Flow_E4_Fraction'[%']],"N.A.",0,1)</f>
        <v>0</v>
      </c>
      <c r="AF550" s="2">
        <f>IF(H550="Yes",Tab_Data_Flows[[#This Row],[E4_Fraction'[%']]]*Tab_Data_Flows[[#This Row],[E1_value]],"N.A.")</f>
        <v>0</v>
      </c>
      <c r="AG550" s="2" t="str">
        <f>Tab_Data_Flows[[#This Row],[E1_UoM]]</f>
        <v>Mg</v>
      </c>
      <c r="AH550" s="2">
        <f>_xlfn.XLOOKUP(Tab_Data_Flows[[#This Row],[Flow_Name]],Tab_Def_Flows[Flow_Name],Tab_Def_Flows[Flow_E5_Fraction'[%']],"N.A.",0,1)</f>
        <v>0</v>
      </c>
      <c r="AI550" s="2">
        <f>IF(H550="Yes",Tab_Data_Flows[[#This Row],[E5_Fraction'[%']]]*Tab_Data_Flows[[#This Row],[E1_value]],"N.A.")</f>
        <v>0</v>
      </c>
      <c r="AJ550" s="2" t="str">
        <f>Tab_Data_Flows[[#This Row],[E1_UoM]]</f>
        <v>Mg</v>
      </c>
      <c r="AK550" s="19">
        <f>_xlfn.XLOOKUP(Tab_Data_Flows[[#This Row],[Flow_Name]],Tab_Def_Flows[Flow_Name],Tab_Def_Flows[Flow_E6_Fraction'[%']],"N.A.",0,1)</f>
        <v>0</v>
      </c>
      <c r="AL550" s="2">
        <f>IF(Tab_Data_Flows[[#This Row],[Use_E6]]="Yes",Tab_Data_Flows[[#This Row],[E6_Fraction'[%']]]*Tab_Data_Flows[[#This Row],[E1_value]],"N.A.")</f>
        <v>0</v>
      </c>
      <c r="AM550" s="2" t="str">
        <f>Tab_Data_Flows[[#This Row],[E1_UoM]]</f>
        <v>Mg</v>
      </c>
    </row>
    <row r="551" spans="1:39" x14ac:dyDescent="0.25">
      <c r="A551" s="4">
        <f t="shared" si="12"/>
        <v>550</v>
      </c>
      <c r="B551" s="2" t="str">
        <f>_xlfn.XLOOKUP(C551,Tab_Def_Flows[Flow_Name],Tab_Def_Flows[Flow_ID],,0,)</f>
        <v>F__</v>
      </c>
      <c r="C551" s="18" t="s">
        <v>5</v>
      </c>
      <c r="D551" s="5" t="str">
        <f>_xlfn.XLOOKUP(C551,Tab_Def_Flows[Flow_Name],Tab_Def_Flows[Use_E1],,0,)</f>
        <v>Yes</v>
      </c>
      <c r="E551" s="5" t="str">
        <f>_xlfn.XLOOKUP(C551,Tab_Def_Flows[Flow_Name],Tab_Def_Flows[Use_E2],,0,)</f>
        <v>Yes</v>
      </c>
      <c r="F551" s="5" t="str">
        <f>_xlfn.XLOOKUP(C551,Tab_Def_Flows[Flow_Name],Tab_Def_Flows[Use_E3],,0,)</f>
        <v>Yes</v>
      </c>
      <c r="G551" s="5" t="str">
        <f>_xlfn.XLOOKUP(C551,Tab_Def_Flows[Flow_Name],Tab_Def_Flows[Use_E4],,0,)</f>
        <v>Yes</v>
      </c>
      <c r="H551" s="5" t="str">
        <f>_xlfn.XLOOKUP(C551,Tab_Def_Flows[Flow_Name],Tab_Def_Flows[Use_E5],,0,)</f>
        <v>Yes</v>
      </c>
      <c r="I551" s="5" t="str">
        <f>_xlfn.XLOOKUP(C551,Tab_Def_Flows[Flow_Name],Tab_Def_Flows[Use_E6],,0,)</f>
        <v>Yes</v>
      </c>
      <c r="J551" s="3"/>
      <c r="K551" s="3"/>
      <c r="L551" s="2" t="str">
        <f>'0_Configuration'!$C$41</f>
        <v>Mg</v>
      </c>
      <c r="M551" s="9"/>
      <c r="N551" s="9"/>
      <c r="O551" s="9"/>
      <c r="P551" s="9"/>
      <c r="Q551" s="18" t="s">
        <v>3</v>
      </c>
      <c r="R551" s="3"/>
      <c r="S551" s="3"/>
      <c r="T551" s="9"/>
      <c r="U551" s="9"/>
      <c r="V551" s="2">
        <f>_xlfn.XLOOKUP(Tab_Data_Flows[[#This Row],[Flow_Name]],Tab_Def_Flows[Flow_Name],Tab_Def_Flows[Flow_E1_Fraction'[%']],"N.A.",0,1)</f>
        <v>0</v>
      </c>
      <c r="W551" s="8">
        <f t="shared" si="16"/>
        <v>0</v>
      </c>
      <c r="X551" s="2" t="str">
        <f>Tab_Data_Flows[[#This Row],[UoM_Source]]</f>
        <v>Mg</v>
      </c>
      <c r="Y551" s="19">
        <f>_xlfn.XLOOKUP(Tab_Data_Flows[[#This Row],[Flow_Name]],Tab_Def_Flows[Flow_Name],Tab_Def_Flows[Flow_E2_Fraction'[%']],"N.A.",0,1)</f>
        <v>0</v>
      </c>
      <c r="Z551" s="2">
        <f>IF(D551="Yes",W551*Tab_Data_Flows[[#This Row],[E2_Fraction'[%']]],"N.A.")</f>
        <v>0</v>
      </c>
      <c r="AA551" s="2" t="str">
        <f>Tab_Data_Flows[[#This Row],[E1_UoM]]</f>
        <v>Mg</v>
      </c>
      <c r="AB551" s="19">
        <f>_xlfn.XLOOKUP(Tab_Data_Flows[[#This Row],[Flow_Name]],Tab_Def_Flows[Flow_Name],Tab_Def_Flows[Flow_E3_Fraction'[%']],"N.A.",0,1)</f>
        <v>0</v>
      </c>
      <c r="AC551" s="2">
        <f>IF(E551="Yes",AB551*Tab_Data_Flows[[#This Row],[E1_value]],"N.A.")</f>
        <v>0</v>
      </c>
      <c r="AD551" s="2" t="str">
        <f>Tab_Data_Flows[[#This Row],[E1_UoM]]</f>
        <v>Mg</v>
      </c>
      <c r="AE551" s="19">
        <f>_xlfn.XLOOKUP(Tab_Data_Flows[[#This Row],[Flow_Name]],Tab_Def_Flows[Flow_Name],Tab_Def_Flows[Flow_E4_Fraction'[%']],"N.A.",0,1)</f>
        <v>0</v>
      </c>
      <c r="AF551" s="2">
        <f>IF(H551="Yes",Tab_Data_Flows[[#This Row],[E4_Fraction'[%']]]*Tab_Data_Flows[[#This Row],[E1_value]],"N.A.")</f>
        <v>0</v>
      </c>
      <c r="AG551" s="2" t="str">
        <f>Tab_Data_Flows[[#This Row],[E1_UoM]]</f>
        <v>Mg</v>
      </c>
      <c r="AH551" s="2">
        <f>_xlfn.XLOOKUP(Tab_Data_Flows[[#This Row],[Flow_Name]],Tab_Def_Flows[Flow_Name],Tab_Def_Flows[Flow_E5_Fraction'[%']],"N.A.",0,1)</f>
        <v>0</v>
      </c>
      <c r="AI551" s="2">
        <f>IF(H551="Yes",Tab_Data_Flows[[#This Row],[E5_Fraction'[%']]]*Tab_Data_Flows[[#This Row],[E1_value]],"N.A.")</f>
        <v>0</v>
      </c>
      <c r="AJ551" s="2" t="str">
        <f>Tab_Data_Flows[[#This Row],[E1_UoM]]</f>
        <v>Mg</v>
      </c>
      <c r="AK551" s="19">
        <f>_xlfn.XLOOKUP(Tab_Data_Flows[[#This Row],[Flow_Name]],Tab_Def_Flows[Flow_Name],Tab_Def_Flows[Flow_E6_Fraction'[%']],"N.A.",0,1)</f>
        <v>0</v>
      </c>
      <c r="AL551" s="2">
        <f>IF(Tab_Data_Flows[[#This Row],[Use_E6]]="Yes",Tab_Data_Flows[[#This Row],[E6_Fraction'[%']]]*Tab_Data_Flows[[#This Row],[E1_value]],"N.A.")</f>
        <v>0</v>
      </c>
      <c r="AM551" s="2" t="str">
        <f>Tab_Data_Flows[[#This Row],[E1_UoM]]</f>
        <v>Mg</v>
      </c>
    </row>
    <row r="552" spans="1:39" x14ac:dyDescent="0.25">
      <c r="A552" s="4">
        <f t="shared" si="12"/>
        <v>551</v>
      </c>
      <c r="B552" s="2" t="str">
        <f>_xlfn.XLOOKUP(C552,Tab_Def_Flows[Flow_Name],Tab_Def_Flows[Flow_ID],,0,)</f>
        <v>F__</v>
      </c>
      <c r="C552" s="18" t="s">
        <v>5</v>
      </c>
      <c r="D552" s="5" t="str">
        <f>_xlfn.XLOOKUP(C552,Tab_Def_Flows[Flow_Name],Tab_Def_Flows[Use_E1],,0,)</f>
        <v>Yes</v>
      </c>
      <c r="E552" s="5" t="str">
        <f>_xlfn.XLOOKUP(C552,Tab_Def_Flows[Flow_Name],Tab_Def_Flows[Use_E2],,0,)</f>
        <v>Yes</v>
      </c>
      <c r="F552" s="5" t="str">
        <f>_xlfn.XLOOKUP(C552,Tab_Def_Flows[Flow_Name],Tab_Def_Flows[Use_E3],,0,)</f>
        <v>Yes</v>
      </c>
      <c r="G552" s="5" t="str">
        <f>_xlfn.XLOOKUP(C552,Tab_Def_Flows[Flow_Name],Tab_Def_Flows[Use_E4],,0,)</f>
        <v>Yes</v>
      </c>
      <c r="H552" s="5" t="str">
        <f>_xlfn.XLOOKUP(C552,Tab_Def_Flows[Flow_Name],Tab_Def_Flows[Use_E5],,0,)</f>
        <v>Yes</v>
      </c>
      <c r="I552" s="5" t="str">
        <f>_xlfn.XLOOKUP(C552,Tab_Def_Flows[Flow_Name],Tab_Def_Flows[Use_E6],,0,)</f>
        <v>Yes</v>
      </c>
      <c r="J552" s="3"/>
      <c r="K552" s="3"/>
      <c r="L552" s="2" t="str">
        <f>'0_Configuration'!$C$41</f>
        <v>Mg</v>
      </c>
      <c r="M552" s="9"/>
      <c r="N552" s="9"/>
      <c r="O552" s="9"/>
      <c r="P552" s="9"/>
      <c r="Q552" s="18" t="s">
        <v>3</v>
      </c>
      <c r="R552" s="3"/>
      <c r="S552" s="3"/>
      <c r="T552" s="9"/>
      <c r="U552" s="9"/>
      <c r="V552" s="2">
        <f>_xlfn.XLOOKUP(Tab_Data_Flows[[#This Row],[Flow_Name]],Tab_Def_Flows[Flow_Name],Tab_Def_Flows[Flow_E1_Fraction'[%']],"N.A.",0,1)</f>
        <v>0</v>
      </c>
      <c r="W552" s="8">
        <f t="shared" si="16"/>
        <v>0</v>
      </c>
      <c r="X552" s="2" t="str">
        <f>Tab_Data_Flows[[#This Row],[UoM_Source]]</f>
        <v>Mg</v>
      </c>
      <c r="Y552" s="19">
        <f>_xlfn.XLOOKUP(Tab_Data_Flows[[#This Row],[Flow_Name]],Tab_Def_Flows[Flow_Name],Tab_Def_Flows[Flow_E2_Fraction'[%']],"N.A.",0,1)</f>
        <v>0</v>
      </c>
      <c r="Z552" s="2">
        <f>IF(D552="Yes",W552*Tab_Data_Flows[[#This Row],[E2_Fraction'[%']]],"N.A.")</f>
        <v>0</v>
      </c>
      <c r="AA552" s="2" t="str">
        <f>Tab_Data_Flows[[#This Row],[E1_UoM]]</f>
        <v>Mg</v>
      </c>
      <c r="AB552" s="19">
        <f>_xlfn.XLOOKUP(Tab_Data_Flows[[#This Row],[Flow_Name]],Tab_Def_Flows[Flow_Name],Tab_Def_Flows[Flow_E3_Fraction'[%']],"N.A.",0,1)</f>
        <v>0</v>
      </c>
      <c r="AC552" s="2">
        <f>IF(E552="Yes",AB552*Tab_Data_Flows[[#This Row],[E1_value]],"N.A.")</f>
        <v>0</v>
      </c>
      <c r="AD552" s="2" t="str">
        <f>Tab_Data_Flows[[#This Row],[E1_UoM]]</f>
        <v>Mg</v>
      </c>
      <c r="AE552" s="19">
        <f>_xlfn.XLOOKUP(Tab_Data_Flows[[#This Row],[Flow_Name]],Tab_Def_Flows[Flow_Name],Tab_Def_Flows[Flow_E4_Fraction'[%']],"N.A.",0,1)</f>
        <v>0</v>
      </c>
      <c r="AF552" s="2">
        <f>IF(H552="Yes",Tab_Data_Flows[[#This Row],[E4_Fraction'[%']]]*Tab_Data_Flows[[#This Row],[E1_value]],"N.A.")</f>
        <v>0</v>
      </c>
      <c r="AG552" s="2" t="str">
        <f>Tab_Data_Flows[[#This Row],[E1_UoM]]</f>
        <v>Mg</v>
      </c>
      <c r="AH552" s="2">
        <f>_xlfn.XLOOKUP(Tab_Data_Flows[[#This Row],[Flow_Name]],Tab_Def_Flows[Flow_Name],Tab_Def_Flows[Flow_E5_Fraction'[%']],"N.A.",0,1)</f>
        <v>0</v>
      </c>
      <c r="AI552" s="2">
        <f>IF(H552="Yes",Tab_Data_Flows[[#This Row],[E5_Fraction'[%']]]*Tab_Data_Flows[[#This Row],[E1_value]],"N.A.")</f>
        <v>0</v>
      </c>
      <c r="AJ552" s="2" t="str">
        <f>Tab_Data_Flows[[#This Row],[E1_UoM]]</f>
        <v>Mg</v>
      </c>
      <c r="AK552" s="19">
        <f>_xlfn.XLOOKUP(Tab_Data_Flows[[#This Row],[Flow_Name]],Tab_Def_Flows[Flow_Name],Tab_Def_Flows[Flow_E6_Fraction'[%']],"N.A.",0,1)</f>
        <v>0</v>
      </c>
      <c r="AL552" s="2">
        <f>IF(Tab_Data_Flows[[#This Row],[Use_E6]]="Yes",Tab_Data_Flows[[#This Row],[E6_Fraction'[%']]]*Tab_Data_Flows[[#This Row],[E1_value]],"N.A.")</f>
        <v>0</v>
      </c>
      <c r="AM552" s="2" t="str">
        <f>Tab_Data_Flows[[#This Row],[E1_UoM]]</f>
        <v>Mg</v>
      </c>
    </row>
    <row r="553" spans="1:39" x14ac:dyDescent="0.25">
      <c r="A553" s="4">
        <f t="shared" si="12"/>
        <v>552</v>
      </c>
      <c r="B553" s="2" t="str">
        <f>_xlfn.XLOOKUP(C553,Tab_Def_Flows[Flow_Name],Tab_Def_Flows[Flow_ID],,0,)</f>
        <v>F__</v>
      </c>
      <c r="C553" s="18" t="s">
        <v>5</v>
      </c>
      <c r="D553" s="5" t="str">
        <f>_xlfn.XLOOKUP(C553,Tab_Def_Flows[Flow_Name],Tab_Def_Flows[Use_E1],,0,)</f>
        <v>Yes</v>
      </c>
      <c r="E553" s="5" t="str">
        <f>_xlfn.XLOOKUP(C553,Tab_Def_Flows[Flow_Name],Tab_Def_Flows[Use_E2],,0,)</f>
        <v>Yes</v>
      </c>
      <c r="F553" s="5" t="str">
        <f>_xlfn.XLOOKUP(C553,Tab_Def_Flows[Flow_Name],Tab_Def_Flows[Use_E3],,0,)</f>
        <v>Yes</v>
      </c>
      <c r="G553" s="5" t="str">
        <f>_xlfn.XLOOKUP(C553,Tab_Def_Flows[Flow_Name],Tab_Def_Flows[Use_E4],,0,)</f>
        <v>Yes</v>
      </c>
      <c r="H553" s="5" t="str">
        <f>_xlfn.XLOOKUP(C553,Tab_Def_Flows[Flow_Name],Tab_Def_Flows[Use_E5],,0,)</f>
        <v>Yes</v>
      </c>
      <c r="I553" s="5" t="str">
        <f>_xlfn.XLOOKUP(C553,Tab_Def_Flows[Flow_Name],Tab_Def_Flows[Use_E6],,0,)</f>
        <v>Yes</v>
      </c>
      <c r="J553" s="3"/>
      <c r="K553" s="3"/>
      <c r="L553" s="2" t="str">
        <f>'0_Configuration'!$C$41</f>
        <v>Mg</v>
      </c>
      <c r="M553" s="9"/>
      <c r="N553" s="9"/>
      <c r="O553" s="9"/>
      <c r="P553" s="9"/>
      <c r="Q553" s="18" t="s">
        <v>3</v>
      </c>
      <c r="R553" s="3"/>
      <c r="S553" s="3"/>
      <c r="T553" s="9"/>
      <c r="U553" s="9"/>
      <c r="V553" s="2">
        <f>_xlfn.XLOOKUP(Tab_Data_Flows[[#This Row],[Flow_Name]],Tab_Def_Flows[Flow_Name],Tab_Def_Flows[Flow_E1_Fraction'[%']],"N.A.",0,1)</f>
        <v>0</v>
      </c>
      <c r="W553" s="8">
        <f t="shared" si="16"/>
        <v>0</v>
      </c>
      <c r="X553" s="2" t="str">
        <f>Tab_Data_Flows[[#This Row],[UoM_Source]]</f>
        <v>Mg</v>
      </c>
      <c r="Y553" s="19">
        <f>_xlfn.XLOOKUP(Tab_Data_Flows[[#This Row],[Flow_Name]],Tab_Def_Flows[Flow_Name],Tab_Def_Flows[Flow_E2_Fraction'[%']],"N.A.",0,1)</f>
        <v>0</v>
      </c>
      <c r="Z553" s="2">
        <f>IF(D553="Yes",W553*Tab_Data_Flows[[#This Row],[E2_Fraction'[%']]],"N.A.")</f>
        <v>0</v>
      </c>
      <c r="AA553" s="2" t="str">
        <f>Tab_Data_Flows[[#This Row],[E1_UoM]]</f>
        <v>Mg</v>
      </c>
      <c r="AB553" s="19">
        <f>_xlfn.XLOOKUP(Tab_Data_Flows[[#This Row],[Flow_Name]],Tab_Def_Flows[Flow_Name],Tab_Def_Flows[Flow_E3_Fraction'[%']],"N.A.",0,1)</f>
        <v>0</v>
      </c>
      <c r="AC553" s="2">
        <f>IF(E553="Yes",AB553*Tab_Data_Flows[[#This Row],[E1_value]],"N.A.")</f>
        <v>0</v>
      </c>
      <c r="AD553" s="2" t="str">
        <f>Tab_Data_Flows[[#This Row],[E1_UoM]]</f>
        <v>Mg</v>
      </c>
      <c r="AE553" s="19">
        <f>_xlfn.XLOOKUP(Tab_Data_Flows[[#This Row],[Flow_Name]],Tab_Def_Flows[Flow_Name],Tab_Def_Flows[Flow_E4_Fraction'[%']],"N.A.",0,1)</f>
        <v>0</v>
      </c>
      <c r="AF553" s="2">
        <f>IF(H553="Yes",Tab_Data_Flows[[#This Row],[E4_Fraction'[%']]]*Tab_Data_Flows[[#This Row],[E1_value]],"N.A.")</f>
        <v>0</v>
      </c>
      <c r="AG553" s="2" t="str">
        <f>Tab_Data_Flows[[#This Row],[E1_UoM]]</f>
        <v>Mg</v>
      </c>
      <c r="AH553" s="2">
        <f>_xlfn.XLOOKUP(Tab_Data_Flows[[#This Row],[Flow_Name]],Tab_Def_Flows[Flow_Name],Tab_Def_Flows[Flow_E5_Fraction'[%']],"N.A.",0,1)</f>
        <v>0</v>
      </c>
      <c r="AI553" s="2">
        <f>IF(H553="Yes",Tab_Data_Flows[[#This Row],[E5_Fraction'[%']]]*Tab_Data_Flows[[#This Row],[E1_value]],"N.A.")</f>
        <v>0</v>
      </c>
      <c r="AJ553" s="2" t="str">
        <f>Tab_Data_Flows[[#This Row],[E1_UoM]]</f>
        <v>Mg</v>
      </c>
      <c r="AK553" s="19">
        <f>_xlfn.XLOOKUP(Tab_Data_Flows[[#This Row],[Flow_Name]],Tab_Def_Flows[Flow_Name],Tab_Def_Flows[Flow_E6_Fraction'[%']],"N.A.",0,1)</f>
        <v>0</v>
      </c>
      <c r="AL553" s="2">
        <f>IF(Tab_Data_Flows[[#This Row],[Use_E6]]="Yes",Tab_Data_Flows[[#This Row],[E6_Fraction'[%']]]*Tab_Data_Flows[[#This Row],[E1_value]],"N.A.")</f>
        <v>0</v>
      </c>
      <c r="AM553" s="2" t="str">
        <f>Tab_Data_Flows[[#This Row],[E1_UoM]]</f>
        <v>Mg</v>
      </c>
    </row>
    <row r="554" spans="1:39" x14ac:dyDescent="0.25">
      <c r="A554" s="4">
        <f t="shared" si="12"/>
        <v>553</v>
      </c>
      <c r="B554" s="2" t="str">
        <f>_xlfn.XLOOKUP(C554,Tab_Def_Flows[Flow_Name],Tab_Def_Flows[Flow_ID],,0,)</f>
        <v>F__</v>
      </c>
      <c r="C554" s="18" t="s">
        <v>5</v>
      </c>
      <c r="D554" s="5" t="str">
        <f>_xlfn.XLOOKUP(C554,Tab_Def_Flows[Flow_Name],Tab_Def_Flows[Use_E1],,0,)</f>
        <v>Yes</v>
      </c>
      <c r="E554" s="5" t="str">
        <f>_xlfn.XLOOKUP(C554,Tab_Def_Flows[Flow_Name],Tab_Def_Flows[Use_E2],,0,)</f>
        <v>Yes</v>
      </c>
      <c r="F554" s="5" t="str">
        <f>_xlfn.XLOOKUP(C554,Tab_Def_Flows[Flow_Name],Tab_Def_Flows[Use_E3],,0,)</f>
        <v>Yes</v>
      </c>
      <c r="G554" s="5" t="str">
        <f>_xlfn.XLOOKUP(C554,Tab_Def_Flows[Flow_Name],Tab_Def_Flows[Use_E4],,0,)</f>
        <v>Yes</v>
      </c>
      <c r="H554" s="5" t="str">
        <f>_xlfn.XLOOKUP(C554,Tab_Def_Flows[Flow_Name],Tab_Def_Flows[Use_E5],,0,)</f>
        <v>Yes</v>
      </c>
      <c r="I554" s="5" t="str">
        <f>_xlfn.XLOOKUP(C554,Tab_Def_Flows[Flow_Name],Tab_Def_Flows[Use_E6],,0,)</f>
        <v>Yes</v>
      </c>
      <c r="J554" s="3"/>
      <c r="K554" s="3"/>
      <c r="L554" s="2" t="str">
        <f>'0_Configuration'!$C$41</f>
        <v>Mg</v>
      </c>
      <c r="M554" s="9"/>
      <c r="N554" s="9"/>
      <c r="O554" s="9"/>
      <c r="P554" s="9"/>
      <c r="Q554" s="18" t="s">
        <v>3</v>
      </c>
      <c r="R554" s="3"/>
      <c r="S554" s="3"/>
      <c r="T554" s="9"/>
      <c r="U554" s="9"/>
      <c r="V554" s="2">
        <f>_xlfn.XLOOKUP(Tab_Data_Flows[[#This Row],[Flow_Name]],Tab_Def_Flows[Flow_Name],Tab_Def_Flows[Flow_E1_Fraction'[%']],"N.A.",0,1)</f>
        <v>0</v>
      </c>
      <c r="W554" s="8">
        <f t="shared" si="16"/>
        <v>0</v>
      </c>
      <c r="X554" s="2" t="str">
        <f>Tab_Data_Flows[[#This Row],[UoM_Source]]</f>
        <v>Mg</v>
      </c>
      <c r="Y554" s="19">
        <f>_xlfn.XLOOKUP(Tab_Data_Flows[[#This Row],[Flow_Name]],Tab_Def_Flows[Flow_Name],Tab_Def_Flows[Flow_E2_Fraction'[%']],"N.A.",0,1)</f>
        <v>0</v>
      </c>
      <c r="Z554" s="2">
        <f>IF(D554="Yes",W554*Tab_Data_Flows[[#This Row],[E2_Fraction'[%']]],"N.A.")</f>
        <v>0</v>
      </c>
      <c r="AA554" s="2" t="str">
        <f>Tab_Data_Flows[[#This Row],[E1_UoM]]</f>
        <v>Mg</v>
      </c>
      <c r="AB554" s="19">
        <f>_xlfn.XLOOKUP(Tab_Data_Flows[[#This Row],[Flow_Name]],Tab_Def_Flows[Flow_Name],Tab_Def_Flows[Flow_E3_Fraction'[%']],"N.A.",0,1)</f>
        <v>0</v>
      </c>
      <c r="AC554" s="2">
        <f>IF(E554="Yes",AB554*Tab_Data_Flows[[#This Row],[E1_value]],"N.A.")</f>
        <v>0</v>
      </c>
      <c r="AD554" s="2" t="str">
        <f>Tab_Data_Flows[[#This Row],[E1_UoM]]</f>
        <v>Mg</v>
      </c>
      <c r="AE554" s="19">
        <f>_xlfn.XLOOKUP(Tab_Data_Flows[[#This Row],[Flow_Name]],Tab_Def_Flows[Flow_Name],Tab_Def_Flows[Flow_E4_Fraction'[%']],"N.A.",0,1)</f>
        <v>0</v>
      </c>
      <c r="AF554" s="2">
        <f>IF(H554="Yes",Tab_Data_Flows[[#This Row],[E4_Fraction'[%']]]*Tab_Data_Flows[[#This Row],[E1_value]],"N.A.")</f>
        <v>0</v>
      </c>
      <c r="AG554" s="2" t="str">
        <f>Tab_Data_Flows[[#This Row],[E1_UoM]]</f>
        <v>Mg</v>
      </c>
      <c r="AH554" s="2">
        <f>_xlfn.XLOOKUP(Tab_Data_Flows[[#This Row],[Flow_Name]],Tab_Def_Flows[Flow_Name],Tab_Def_Flows[Flow_E5_Fraction'[%']],"N.A.",0,1)</f>
        <v>0</v>
      </c>
      <c r="AI554" s="2">
        <f>IF(H554="Yes",Tab_Data_Flows[[#This Row],[E5_Fraction'[%']]]*Tab_Data_Flows[[#This Row],[E1_value]],"N.A.")</f>
        <v>0</v>
      </c>
      <c r="AJ554" s="2" t="str">
        <f>Tab_Data_Flows[[#This Row],[E1_UoM]]</f>
        <v>Mg</v>
      </c>
      <c r="AK554" s="19">
        <f>_xlfn.XLOOKUP(Tab_Data_Flows[[#This Row],[Flow_Name]],Tab_Def_Flows[Flow_Name],Tab_Def_Flows[Flow_E6_Fraction'[%']],"N.A.",0,1)</f>
        <v>0</v>
      </c>
      <c r="AL554" s="2">
        <f>IF(Tab_Data_Flows[[#This Row],[Use_E6]]="Yes",Tab_Data_Flows[[#This Row],[E6_Fraction'[%']]]*Tab_Data_Flows[[#This Row],[E1_value]],"N.A.")</f>
        <v>0</v>
      </c>
      <c r="AM554" s="2" t="str">
        <f>Tab_Data_Flows[[#This Row],[E1_UoM]]</f>
        <v>Mg</v>
      </c>
    </row>
    <row r="555" spans="1:39" x14ac:dyDescent="0.25">
      <c r="A555" s="4">
        <f t="shared" si="12"/>
        <v>554</v>
      </c>
      <c r="B555" s="2" t="str">
        <f>_xlfn.XLOOKUP(C555,Tab_Def_Flows[Flow_Name],Tab_Def_Flows[Flow_ID],,0,)</f>
        <v>F__</v>
      </c>
      <c r="C555" s="18" t="s">
        <v>5</v>
      </c>
      <c r="D555" s="5" t="str">
        <f>_xlfn.XLOOKUP(C555,Tab_Def_Flows[Flow_Name],Tab_Def_Flows[Use_E1],,0,)</f>
        <v>Yes</v>
      </c>
      <c r="E555" s="5" t="str">
        <f>_xlfn.XLOOKUP(C555,Tab_Def_Flows[Flow_Name],Tab_Def_Flows[Use_E2],,0,)</f>
        <v>Yes</v>
      </c>
      <c r="F555" s="5" t="str">
        <f>_xlfn.XLOOKUP(C555,Tab_Def_Flows[Flow_Name],Tab_Def_Flows[Use_E3],,0,)</f>
        <v>Yes</v>
      </c>
      <c r="G555" s="5" t="str">
        <f>_xlfn.XLOOKUP(C555,Tab_Def_Flows[Flow_Name],Tab_Def_Flows[Use_E4],,0,)</f>
        <v>Yes</v>
      </c>
      <c r="H555" s="5" t="str">
        <f>_xlfn.XLOOKUP(C555,Tab_Def_Flows[Flow_Name],Tab_Def_Flows[Use_E5],,0,)</f>
        <v>Yes</v>
      </c>
      <c r="I555" s="5" t="str">
        <f>_xlfn.XLOOKUP(C555,Tab_Def_Flows[Flow_Name],Tab_Def_Flows[Use_E6],,0,)</f>
        <v>Yes</v>
      </c>
      <c r="J555" s="3"/>
      <c r="K555" s="3"/>
      <c r="L555" s="2" t="str">
        <f>'0_Configuration'!$C$41</f>
        <v>Mg</v>
      </c>
      <c r="M555" s="9"/>
      <c r="N555" s="9"/>
      <c r="O555" s="9"/>
      <c r="P555" s="9"/>
      <c r="Q555" s="18" t="s">
        <v>3</v>
      </c>
      <c r="R555" s="3"/>
      <c r="S555" s="3"/>
      <c r="T555" s="9"/>
      <c r="U555" s="9"/>
      <c r="V555" s="2">
        <f>_xlfn.XLOOKUP(Tab_Data_Flows[[#This Row],[Flow_Name]],Tab_Def_Flows[Flow_Name],Tab_Def_Flows[Flow_E1_Fraction'[%']],"N.A.",0,1)</f>
        <v>0</v>
      </c>
      <c r="W555" s="8">
        <f t="shared" si="16"/>
        <v>0</v>
      </c>
      <c r="X555" s="2" t="str">
        <f>Tab_Data_Flows[[#This Row],[UoM_Source]]</f>
        <v>Mg</v>
      </c>
      <c r="Y555" s="19">
        <f>_xlfn.XLOOKUP(Tab_Data_Flows[[#This Row],[Flow_Name]],Tab_Def_Flows[Flow_Name],Tab_Def_Flows[Flow_E2_Fraction'[%']],"N.A.",0,1)</f>
        <v>0</v>
      </c>
      <c r="Z555" s="2">
        <f>IF(D555="Yes",W555*Tab_Data_Flows[[#This Row],[E2_Fraction'[%']]],"N.A.")</f>
        <v>0</v>
      </c>
      <c r="AA555" s="2" t="str">
        <f>Tab_Data_Flows[[#This Row],[E1_UoM]]</f>
        <v>Mg</v>
      </c>
      <c r="AB555" s="19">
        <f>_xlfn.XLOOKUP(Tab_Data_Flows[[#This Row],[Flow_Name]],Tab_Def_Flows[Flow_Name],Tab_Def_Flows[Flow_E3_Fraction'[%']],"N.A.",0,1)</f>
        <v>0</v>
      </c>
      <c r="AC555" s="2">
        <f>IF(E555="Yes",AB555*Tab_Data_Flows[[#This Row],[E1_value]],"N.A.")</f>
        <v>0</v>
      </c>
      <c r="AD555" s="2" t="str">
        <f>Tab_Data_Flows[[#This Row],[E1_UoM]]</f>
        <v>Mg</v>
      </c>
      <c r="AE555" s="19">
        <f>_xlfn.XLOOKUP(Tab_Data_Flows[[#This Row],[Flow_Name]],Tab_Def_Flows[Flow_Name],Tab_Def_Flows[Flow_E4_Fraction'[%']],"N.A.",0,1)</f>
        <v>0</v>
      </c>
      <c r="AF555" s="2">
        <f>IF(H555="Yes",Tab_Data_Flows[[#This Row],[E4_Fraction'[%']]]*Tab_Data_Flows[[#This Row],[E1_value]],"N.A.")</f>
        <v>0</v>
      </c>
      <c r="AG555" s="2" t="str">
        <f>Tab_Data_Flows[[#This Row],[E1_UoM]]</f>
        <v>Mg</v>
      </c>
      <c r="AH555" s="2">
        <f>_xlfn.XLOOKUP(Tab_Data_Flows[[#This Row],[Flow_Name]],Tab_Def_Flows[Flow_Name],Tab_Def_Flows[Flow_E5_Fraction'[%']],"N.A.",0,1)</f>
        <v>0</v>
      </c>
      <c r="AI555" s="2">
        <f>IF(H555="Yes",Tab_Data_Flows[[#This Row],[E5_Fraction'[%']]]*Tab_Data_Flows[[#This Row],[E1_value]],"N.A.")</f>
        <v>0</v>
      </c>
      <c r="AJ555" s="2" t="str">
        <f>Tab_Data_Flows[[#This Row],[E1_UoM]]</f>
        <v>Mg</v>
      </c>
      <c r="AK555" s="19">
        <f>_xlfn.XLOOKUP(Tab_Data_Flows[[#This Row],[Flow_Name]],Tab_Def_Flows[Flow_Name],Tab_Def_Flows[Flow_E6_Fraction'[%']],"N.A.",0,1)</f>
        <v>0</v>
      </c>
      <c r="AL555" s="2">
        <f>IF(Tab_Data_Flows[[#This Row],[Use_E6]]="Yes",Tab_Data_Flows[[#This Row],[E6_Fraction'[%']]]*Tab_Data_Flows[[#This Row],[E1_value]],"N.A.")</f>
        <v>0</v>
      </c>
      <c r="AM555" s="2" t="str">
        <f>Tab_Data_Flows[[#This Row],[E1_UoM]]</f>
        <v>Mg</v>
      </c>
    </row>
    <row r="556" spans="1:39" x14ac:dyDescent="0.25">
      <c r="A556" s="4">
        <f t="shared" si="12"/>
        <v>555</v>
      </c>
      <c r="B556" s="2" t="str">
        <f>_xlfn.XLOOKUP(C556,Tab_Def_Flows[Flow_Name],Tab_Def_Flows[Flow_ID],,0,)</f>
        <v>F__</v>
      </c>
      <c r="C556" s="18" t="s">
        <v>5</v>
      </c>
      <c r="D556" s="5" t="str">
        <f>_xlfn.XLOOKUP(C556,Tab_Def_Flows[Flow_Name],Tab_Def_Flows[Use_E1],,0,)</f>
        <v>Yes</v>
      </c>
      <c r="E556" s="5" t="str">
        <f>_xlfn.XLOOKUP(C556,Tab_Def_Flows[Flow_Name],Tab_Def_Flows[Use_E2],,0,)</f>
        <v>Yes</v>
      </c>
      <c r="F556" s="5" t="str">
        <f>_xlfn.XLOOKUP(C556,Tab_Def_Flows[Flow_Name],Tab_Def_Flows[Use_E3],,0,)</f>
        <v>Yes</v>
      </c>
      <c r="G556" s="5" t="str">
        <f>_xlfn.XLOOKUP(C556,Tab_Def_Flows[Flow_Name],Tab_Def_Flows[Use_E4],,0,)</f>
        <v>Yes</v>
      </c>
      <c r="H556" s="5" t="str">
        <f>_xlfn.XLOOKUP(C556,Tab_Def_Flows[Flow_Name],Tab_Def_Flows[Use_E5],,0,)</f>
        <v>Yes</v>
      </c>
      <c r="I556" s="5" t="str">
        <f>_xlfn.XLOOKUP(C556,Tab_Def_Flows[Flow_Name],Tab_Def_Flows[Use_E6],,0,)</f>
        <v>Yes</v>
      </c>
      <c r="J556" s="3"/>
      <c r="K556" s="3"/>
      <c r="L556" s="2" t="str">
        <f>'0_Configuration'!$C$41</f>
        <v>Mg</v>
      </c>
      <c r="M556" s="9"/>
      <c r="N556" s="9"/>
      <c r="O556" s="9"/>
      <c r="P556" s="9"/>
      <c r="Q556" s="18" t="s">
        <v>3</v>
      </c>
      <c r="R556" s="3"/>
      <c r="S556" s="3"/>
      <c r="T556" s="9"/>
      <c r="U556" s="9"/>
      <c r="V556" s="2">
        <f>_xlfn.XLOOKUP(Tab_Data_Flows[[#This Row],[Flow_Name]],Tab_Def_Flows[Flow_Name],Tab_Def_Flows[Flow_E1_Fraction'[%']],"N.A.",0,1)</f>
        <v>0</v>
      </c>
      <c r="W556" s="8">
        <f t="shared" si="16"/>
        <v>0</v>
      </c>
      <c r="X556" s="2" t="str">
        <f>Tab_Data_Flows[[#This Row],[UoM_Source]]</f>
        <v>Mg</v>
      </c>
      <c r="Y556" s="19">
        <f>_xlfn.XLOOKUP(Tab_Data_Flows[[#This Row],[Flow_Name]],Tab_Def_Flows[Flow_Name],Tab_Def_Flows[Flow_E2_Fraction'[%']],"N.A.",0,1)</f>
        <v>0</v>
      </c>
      <c r="Z556" s="2">
        <f>IF(D556="Yes",W556*Tab_Data_Flows[[#This Row],[E2_Fraction'[%']]],"N.A.")</f>
        <v>0</v>
      </c>
      <c r="AA556" s="2" t="str">
        <f>Tab_Data_Flows[[#This Row],[E1_UoM]]</f>
        <v>Mg</v>
      </c>
      <c r="AB556" s="19">
        <f>_xlfn.XLOOKUP(Tab_Data_Flows[[#This Row],[Flow_Name]],Tab_Def_Flows[Flow_Name],Tab_Def_Flows[Flow_E3_Fraction'[%']],"N.A.",0,1)</f>
        <v>0</v>
      </c>
      <c r="AC556" s="2">
        <f>IF(E556="Yes",AB556*Tab_Data_Flows[[#This Row],[E1_value]],"N.A.")</f>
        <v>0</v>
      </c>
      <c r="AD556" s="2" t="str">
        <f>Tab_Data_Flows[[#This Row],[E1_UoM]]</f>
        <v>Mg</v>
      </c>
      <c r="AE556" s="19">
        <f>_xlfn.XLOOKUP(Tab_Data_Flows[[#This Row],[Flow_Name]],Tab_Def_Flows[Flow_Name],Tab_Def_Flows[Flow_E4_Fraction'[%']],"N.A.",0,1)</f>
        <v>0</v>
      </c>
      <c r="AF556" s="2">
        <f>IF(H556="Yes",Tab_Data_Flows[[#This Row],[E4_Fraction'[%']]]*Tab_Data_Flows[[#This Row],[E1_value]],"N.A.")</f>
        <v>0</v>
      </c>
      <c r="AG556" s="2" t="str">
        <f>Tab_Data_Flows[[#This Row],[E1_UoM]]</f>
        <v>Mg</v>
      </c>
      <c r="AH556" s="2">
        <f>_xlfn.XLOOKUP(Tab_Data_Flows[[#This Row],[Flow_Name]],Tab_Def_Flows[Flow_Name],Tab_Def_Flows[Flow_E5_Fraction'[%']],"N.A.",0,1)</f>
        <v>0</v>
      </c>
      <c r="AI556" s="2">
        <f>IF(H556="Yes",Tab_Data_Flows[[#This Row],[E5_Fraction'[%']]]*Tab_Data_Flows[[#This Row],[E1_value]],"N.A.")</f>
        <v>0</v>
      </c>
      <c r="AJ556" s="2" t="str">
        <f>Tab_Data_Flows[[#This Row],[E1_UoM]]</f>
        <v>Mg</v>
      </c>
      <c r="AK556" s="19">
        <f>_xlfn.XLOOKUP(Tab_Data_Flows[[#This Row],[Flow_Name]],Tab_Def_Flows[Flow_Name],Tab_Def_Flows[Flow_E6_Fraction'[%']],"N.A.",0,1)</f>
        <v>0</v>
      </c>
      <c r="AL556" s="2">
        <f>IF(Tab_Data_Flows[[#This Row],[Use_E6]]="Yes",Tab_Data_Flows[[#This Row],[E6_Fraction'[%']]]*Tab_Data_Flows[[#This Row],[E1_value]],"N.A.")</f>
        <v>0</v>
      </c>
      <c r="AM556" s="2" t="str">
        <f>Tab_Data_Flows[[#This Row],[E1_UoM]]</f>
        <v>Mg</v>
      </c>
    </row>
    <row r="557" spans="1:39" x14ac:dyDescent="0.25">
      <c r="A557" s="4">
        <f t="shared" si="12"/>
        <v>556</v>
      </c>
      <c r="B557" s="2" t="str">
        <f>_xlfn.XLOOKUP(C557,Tab_Def_Flows[Flow_Name],Tab_Def_Flows[Flow_ID],,0,)</f>
        <v>F__</v>
      </c>
      <c r="C557" s="18" t="s">
        <v>5</v>
      </c>
      <c r="D557" s="5" t="str">
        <f>_xlfn.XLOOKUP(C557,Tab_Def_Flows[Flow_Name],Tab_Def_Flows[Use_E1],,0,)</f>
        <v>Yes</v>
      </c>
      <c r="E557" s="5" t="str">
        <f>_xlfn.XLOOKUP(C557,Tab_Def_Flows[Flow_Name],Tab_Def_Flows[Use_E2],,0,)</f>
        <v>Yes</v>
      </c>
      <c r="F557" s="5" t="str">
        <f>_xlfn.XLOOKUP(C557,Tab_Def_Flows[Flow_Name],Tab_Def_Flows[Use_E3],,0,)</f>
        <v>Yes</v>
      </c>
      <c r="G557" s="5" t="str">
        <f>_xlfn.XLOOKUP(C557,Tab_Def_Flows[Flow_Name],Tab_Def_Flows[Use_E4],,0,)</f>
        <v>Yes</v>
      </c>
      <c r="H557" s="5" t="str">
        <f>_xlfn.XLOOKUP(C557,Tab_Def_Flows[Flow_Name],Tab_Def_Flows[Use_E5],,0,)</f>
        <v>Yes</v>
      </c>
      <c r="I557" s="5" t="str">
        <f>_xlfn.XLOOKUP(C557,Tab_Def_Flows[Flow_Name],Tab_Def_Flows[Use_E6],,0,)</f>
        <v>Yes</v>
      </c>
      <c r="J557" s="3"/>
      <c r="K557" s="3"/>
      <c r="L557" s="2" t="str">
        <f>'0_Configuration'!$C$41</f>
        <v>Mg</v>
      </c>
      <c r="M557" s="9"/>
      <c r="N557" s="9"/>
      <c r="O557" s="9"/>
      <c r="P557" s="9"/>
      <c r="Q557" s="18" t="s">
        <v>3</v>
      </c>
      <c r="R557" s="3"/>
      <c r="S557" s="3"/>
      <c r="T557" s="9"/>
      <c r="U557" s="9"/>
      <c r="V557" s="2">
        <f>_xlfn.XLOOKUP(Tab_Data_Flows[[#This Row],[Flow_Name]],Tab_Def_Flows[Flow_Name],Tab_Def_Flows[Flow_E1_Fraction'[%']],"N.A.",0,1)</f>
        <v>0</v>
      </c>
      <c r="W557" s="8">
        <f t="shared" si="16"/>
        <v>0</v>
      </c>
      <c r="X557" s="2" t="str">
        <f>Tab_Data_Flows[[#This Row],[UoM_Source]]</f>
        <v>Mg</v>
      </c>
      <c r="Y557" s="19">
        <f>_xlfn.XLOOKUP(Tab_Data_Flows[[#This Row],[Flow_Name]],Tab_Def_Flows[Flow_Name],Tab_Def_Flows[Flow_E2_Fraction'[%']],"N.A.",0,1)</f>
        <v>0</v>
      </c>
      <c r="Z557" s="2">
        <f>IF(D557="Yes",W557*Tab_Data_Flows[[#This Row],[E2_Fraction'[%']]],"N.A.")</f>
        <v>0</v>
      </c>
      <c r="AA557" s="2" t="str">
        <f>Tab_Data_Flows[[#This Row],[E1_UoM]]</f>
        <v>Mg</v>
      </c>
      <c r="AB557" s="19">
        <f>_xlfn.XLOOKUP(Tab_Data_Flows[[#This Row],[Flow_Name]],Tab_Def_Flows[Flow_Name],Tab_Def_Flows[Flow_E3_Fraction'[%']],"N.A.",0,1)</f>
        <v>0</v>
      </c>
      <c r="AC557" s="2">
        <f>IF(E557="Yes",AB557*Tab_Data_Flows[[#This Row],[E1_value]],"N.A.")</f>
        <v>0</v>
      </c>
      <c r="AD557" s="2" t="str">
        <f>Tab_Data_Flows[[#This Row],[E1_UoM]]</f>
        <v>Mg</v>
      </c>
      <c r="AE557" s="19">
        <f>_xlfn.XLOOKUP(Tab_Data_Flows[[#This Row],[Flow_Name]],Tab_Def_Flows[Flow_Name],Tab_Def_Flows[Flow_E4_Fraction'[%']],"N.A.",0,1)</f>
        <v>0</v>
      </c>
      <c r="AF557" s="2">
        <f>IF(H557="Yes",Tab_Data_Flows[[#This Row],[E4_Fraction'[%']]]*Tab_Data_Flows[[#This Row],[E1_value]],"N.A.")</f>
        <v>0</v>
      </c>
      <c r="AG557" s="2" t="str">
        <f>Tab_Data_Flows[[#This Row],[E1_UoM]]</f>
        <v>Mg</v>
      </c>
      <c r="AH557" s="2">
        <f>_xlfn.XLOOKUP(Tab_Data_Flows[[#This Row],[Flow_Name]],Tab_Def_Flows[Flow_Name],Tab_Def_Flows[Flow_E5_Fraction'[%']],"N.A.",0,1)</f>
        <v>0</v>
      </c>
      <c r="AI557" s="2">
        <f>IF(H557="Yes",Tab_Data_Flows[[#This Row],[E5_Fraction'[%']]]*Tab_Data_Flows[[#This Row],[E1_value]],"N.A.")</f>
        <v>0</v>
      </c>
      <c r="AJ557" s="2" t="str">
        <f>Tab_Data_Flows[[#This Row],[E1_UoM]]</f>
        <v>Mg</v>
      </c>
      <c r="AK557" s="19">
        <f>_xlfn.XLOOKUP(Tab_Data_Flows[[#This Row],[Flow_Name]],Tab_Def_Flows[Flow_Name],Tab_Def_Flows[Flow_E6_Fraction'[%']],"N.A.",0,1)</f>
        <v>0</v>
      </c>
      <c r="AL557" s="2">
        <f>IF(Tab_Data_Flows[[#This Row],[Use_E6]]="Yes",Tab_Data_Flows[[#This Row],[E6_Fraction'[%']]]*Tab_Data_Flows[[#This Row],[E1_value]],"N.A.")</f>
        <v>0</v>
      </c>
      <c r="AM557" s="2" t="str">
        <f>Tab_Data_Flows[[#This Row],[E1_UoM]]</f>
        <v>Mg</v>
      </c>
    </row>
    <row r="558" spans="1:39" x14ac:dyDescent="0.25">
      <c r="A558" s="4">
        <f t="shared" si="12"/>
        <v>557</v>
      </c>
      <c r="B558" s="2" t="str">
        <f>_xlfn.XLOOKUP(C558,Tab_Def_Flows[Flow_Name],Tab_Def_Flows[Flow_ID],,0,)</f>
        <v>F__</v>
      </c>
      <c r="C558" s="18" t="s">
        <v>5</v>
      </c>
      <c r="D558" s="5" t="str">
        <f>_xlfn.XLOOKUP(C558,Tab_Def_Flows[Flow_Name],Tab_Def_Flows[Use_E1],,0,)</f>
        <v>Yes</v>
      </c>
      <c r="E558" s="5" t="str">
        <f>_xlfn.XLOOKUP(C558,Tab_Def_Flows[Flow_Name],Tab_Def_Flows[Use_E2],,0,)</f>
        <v>Yes</v>
      </c>
      <c r="F558" s="5" t="str">
        <f>_xlfn.XLOOKUP(C558,Tab_Def_Flows[Flow_Name],Tab_Def_Flows[Use_E3],,0,)</f>
        <v>Yes</v>
      </c>
      <c r="G558" s="5" t="str">
        <f>_xlfn.XLOOKUP(C558,Tab_Def_Flows[Flow_Name],Tab_Def_Flows[Use_E4],,0,)</f>
        <v>Yes</v>
      </c>
      <c r="H558" s="5" t="str">
        <f>_xlfn.XLOOKUP(C558,Tab_Def_Flows[Flow_Name],Tab_Def_Flows[Use_E5],,0,)</f>
        <v>Yes</v>
      </c>
      <c r="I558" s="5" t="str">
        <f>_xlfn.XLOOKUP(C558,Tab_Def_Flows[Flow_Name],Tab_Def_Flows[Use_E6],,0,)</f>
        <v>Yes</v>
      </c>
      <c r="J558" s="3"/>
      <c r="K558" s="3"/>
      <c r="L558" s="2" t="str">
        <f>'0_Configuration'!$C$41</f>
        <v>Mg</v>
      </c>
      <c r="M558" s="9"/>
      <c r="N558" s="9"/>
      <c r="O558" s="9"/>
      <c r="P558" s="9"/>
      <c r="Q558" s="18" t="s">
        <v>3</v>
      </c>
      <c r="R558" s="3"/>
      <c r="S558" s="3"/>
      <c r="T558" s="9"/>
      <c r="U558" s="9"/>
      <c r="V558" s="2">
        <f>_xlfn.XLOOKUP(Tab_Data_Flows[[#This Row],[Flow_Name]],Tab_Def_Flows[Flow_Name],Tab_Def_Flows[Flow_E1_Fraction'[%']],"N.A.",0,1)</f>
        <v>0</v>
      </c>
      <c r="W558" s="8">
        <f t="shared" si="16"/>
        <v>0</v>
      </c>
      <c r="X558" s="2" t="str">
        <f>Tab_Data_Flows[[#This Row],[UoM_Source]]</f>
        <v>Mg</v>
      </c>
      <c r="Y558" s="19">
        <f>_xlfn.XLOOKUP(Tab_Data_Flows[[#This Row],[Flow_Name]],Tab_Def_Flows[Flow_Name],Tab_Def_Flows[Flow_E2_Fraction'[%']],"N.A.",0,1)</f>
        <v>0</v>
      </c>
      <c r="Z558" s="2">
        <f>IF(D558="Yes",W558*Tab_Data_Flows[[#This Row],[E2_Fraction'[%']]],"N.A.")</f>
        <v>0</v>
      </c>
      <c r="AA558" s="2" t="str">
        <f>Tab_Data_Flows[[#This Row],[E1_UoM]]</f>
        <v>Mg</v>
      </c>
      <c r="AB558" s="19">
        <f>_xlfn.XLOOKUP(Tab_Data_Flows[[#This Row],[Flow_Name]],Tab_Def_Flows[Flow_Name],Tab_Def_Flows[Flow_E3_Fraction'[%']],"N.A.",0,1)</f>
        <v>0</v>
      </c>
      <c r="AC558" s="2">
        <f>IF(E558="Yes",AB558*Tab_Data_Flows[[#This Row],[E1_value]],"N.A.")</f>
        <v>0</v>
      </c>
      <c r="AD558" s="2" t="str">
        <f>Tab_Data_Flows[[#This Row],[E1_UoM]]</f>
        <v>Mg</v>
      </c>
      <c r="AE558" s="19">
        <f>_xlfn.XLOOKUP(Tab_Data_Flows[[#This Row],[Flow_Name]],Tab_Def_Flows[Flow_Name],Tab_Def_Flows[Flow_E4_Fraction'[%']],"N.A.",0,1)</f>
        <v>0</v>
      </c>
      <c r="AF558" s="2">
        <f>IF(H558="Yes",Tab_Data_Flows[[#This Row],[E4_Fraction'[%']]]*Tab_Data_Flows[[#This Row],[E1_value]],"N.A.")</f>
        <v>0</v>
      </c>
      <c r="AG558" s="2" t="str">
        <f>Tab_Data_Flows[[#This Row],[E1_UoM]]</f>
        <v>Mg</v>
      </c>
      <c r="AH558" s="2">
        <f>_xlfn.XLOOKUP(Tab_Data_Flows[[#This Row],[Flow_Name]],Tab_Def_Flows[Flow_Name],Tab_Def_Flows[Flow_E5_Fraction'[%']],"N.A.",0,1)</f>
        <v>0</v>
      </c>
      <c r="AI558" s="2">
        <f>IF(H558="Yes",Tab_Data_Flows[[#This Row],[E5_Fraction'[%']]]*Tab_Data_Flows[[#This Row],[E1_value]],"N.A.")</f>
        <v>0</v>
      </c>
      <c r="AJ558" s="2" t="str">
        <f>Tab_Data_Flows[[#This Row],[E1_UoM]]</f>
        <v>Mg</v>
      </c>
      <c r="AK558" s="19">
        <f>_xlfn.XLOOKUP(Tab_Data_Flows[[#This Row],[Flow_Name]],Tab_Def_Flows[Flow_Name],Tab_Def_Flows[Flow_E6_Fraction'[%']],"N.A.",0,1)</f>
        <v>0</v>
      </c>
      <c r="AL558" s="2">
        <f>IF(Tab_Data_Flows[[#This Row],[Use_E6]]="Yes",Tab_Data_Flows[[#This Row],[E6_Fraction'[%']]]*Tab_Data_Flows[[#This Row],[E1_value]],"N.A.")</f>
        <v>0</v>
      </c>
      <c r="AM558" s="2" t="str">
        <f>Tab_Data_Flows[[#This Row],[E1_UoM]]</f>
        <v>Mg</v>
      </c>
    </row>
    <row r="559" spans="1:39" x14ac:dyDescent="0.25">
      <c r="A559" s="4">
        <f t="shared" si="12"/>
        <v>558</v>
      </c>
      <c r="B559" s="2" t="str">
        <f>_xlfn.XLOOKUP(C559,Tab_Def_Flows[Flow_Name],Tab_Def_Flows[Flow_ID],,0,)</f>
        <v>F__</v>
      </c>
      <c r="C559" s="18" t="s">
        <v>5</v>
      </c>
      <c r="D559" s="5" t="str">
        <f>_xlfn.XLOOKUP(C559,Tab_Def_Flows[Flow_Name],Tab_Def_Flows[Use_E1],,0,)</f>
        <v>Yes</v>
      </c>
      <c r="E559" s="5" t="str">
        <f>_xlfn.XLOOKUP(C559,Tab_Def_Flows[Flow_Name],Tab_Def_Flows[Use_E2],,0,)</f>
        <v>Yes</v>
      </c>
      <c r="F559" s="5" t="str">
        <f>_xlfn.XLOOKUP(C559,Tab_Def_Flows[Flow_Name],Tab_Def_Flows[Use_E3],,0,)</f>
        <v>Yes</v>
      </c>
      <c r="G559" s="5" t="str">
        <f>_xlfn.XLOOKUP(C559,Tab_Def_Flows[Flow_Name],Tab_Def_Flows[Use_E4],,0,)</f>
        <v>Yes</v>
      </c>
      <c r="H559" s="5" t="str">
        <f>_xlfn.XLOOKUP(C559,Tab_Def_Flows[Flow_Name],Tab_Def_Flows[Use_E5],,0,)</f>
        <v>Yes</v>
      </c>
      <c r="I559" s="5" t="str">
        <f>_xlfn.XLOOKUP(C559,Tab_Def_Flows[Flow_Name],Tab_Def_Flows[Use_E6],,0,)</f>
        <v>Yes</v>
      </c>
      <c r="J559" s="3"/>
      <c r="K559" s="3"/>
      <c r="L559" s="2" t="str">
        <f>'0_Configuration'!$C$41</f>
        <v>Mg</v>
      </c>
      <c r="M559" s="9"/>
      <c r="N559" s="9"/>
      <c r="O559" s="9"/>
      <c r="P559" s="9"/>
      <c r="Q559" s="18" t="s">
        <v>3</v>
      </c>
      <c r="R559" s="3"/>
      <c r="S559" s="3"/>
      <c r="T559" s="9"/>
      <c r="U559" s="9"/>
      <c r="V559" s="2">
        <f>_xlfn.XLOOKUP(Tab_Data_Flows[[#This Row],[Flow_Name]],Tab_Def_Flows[Flow_Name],Tab_Def_Flows[Flow_E1_Fraction'[%']],"N.A.",0,1)</f>
        <v>0</v>
      </c>
      <c r="W559" s="8">
        <f t="shared" ref="W559:W600" si="17">IF(Q559="no",K559,K559*R559)</f>
        <v>0</v>
      </c>
      <c r="X559" s="2" t="str">
        <f>Tab_Data_Flows[[#This Row],[UoM_Source]]</f>
        <v>Mg</v>
      </c>
      <c r="Y559" s="19">
        <f>_xlfn.XLOOKUP(Tab_Data_Flows[[#This Row],[Flow_Name]],Tab_Def_Flows[Flow_Name],Tab_Def_Flows[Flow_E2_Fraction'[%']],"N.A.",0,1)</f>
        <v>0</v>
      </c>
      <c r="Z559" s="2">
        <f>IF(D559="Yes",W559*Tab_Data_Flows[[#This Row],[E2_Fraction'[%']]],"N.A.")</f>
        <v>0</v>
      </c>
      <c r="AA559" s="2" t="str">
        <f>Tab_Data_Flows[[#This Row],[E1_UoM]]</f>
        <v>Mg</v>
      </c>
      <c r="AB559" s="19">
        <f>_xlfn.XLOOKUP(Tab_Data_Flows[[#This Row],[Flow_Name]],Tab_Def_Flows[Flow_Name],Tab_Def_Flows[Flow_E3_Fraction'[%']],"N.A.",0,1)</f>
        <v>0</v>
      </c>
      <c r="AC559" s="2">
        <f>IF(E559="Yes",AB559*Tab_Data_Flows[[#This Row],[E1_value]],"N.A.")</f>
        <v>0</v>
      </c>
      <c r="AD559" s="2" t="str">
        <f>Tab_Data_Flows[[#This Row],[E1_UoM]]</f>
        <v>Mg</v>
      </c>
      <c r="AE559" s="19">
        <f>_xlfn.XLOOKUP(Tab_Data_Flows[[#This Row],[Flow_Name]],Tab_Def_Flows[Flow_Name],Tab_Def_Flows[Flow_E4_Fraction'[%']],"N.A.",0,1)</f>
        <v>0</v>
      </c>
      <c r="AF559" s="2">
        <f>IF(H559="Yes",Tab_Data_Flows[[#This Row],[E4_Fraction'[%']]]*Tab_Data_Flows[[#This Row],[E1_value]],"N.A.")</f>
        <v>0</v>
      </c>
      <c r="AG559" s="2" t="str">
        <f>Tab_Data_Flows[[#This Row],[E1_UoM]]</f>
        <v>Mg</v>
      </c>
      <c r="AH559" s="2">
        <f>_xlfn.XLOOKUP(Tab_Data_Flows[[#This Row],[Flow_Name]],Tab_Def_Flows[Flow_Name],Tab_Def_Flows[Flow_E5_Fraction'[%']],"N.A.",0,1)</f>
        <v>0</v>
      </c>
      <c r="AI559" s="2">
        <f>IF(H559="Yes",Tab_Data_Flows[[#This Row],[E5_Fraction'[%']]]*Tab_Data_Flows[[#This Row],[E1_value]],"N.A.")</f>
        <v>0</v>
      </c>
      <c r="AJ559" s="2" t="str">
        <f>Tab_Data_Flows[[#This Row],[E1_UoM]]</f>
        <v>Mg</v>
      </c>
      <c r="AK559" s="19">
        <f>_xlfn.XLOOKUP(Tab_Data_Flows[[#This Row],[Flow_Name]],Tab_Def_Flows[Flow_Name],Tab_Def_Flows[Flow_E6_Fraction'[%']],"N.A.",0,1)</f>
        <v>0</v>
      </c>
      <c r="AL559" s="2">
        <f>IF(Tab_Data_Flows[[#This Row],[Use_E6]]="Yes",Tab_Data_Flows[[#This Row],[E6_Fraction'[%']]]*Tab_Data_Flows[[#This Row],[E1_value]],"N.A.")</f>
        <v>0</v>
      </c>
      <c r="AM559" s="2" t="str">
        <f>Tab_Data_Flows[[#This Row],[E1_UoM]]</f>
        <v>Mg</v>
      </c>
    </row>
    <row r="560" spans="1:39" x14ac:dyDescent="0.25">
      <c r="A560" s="4">
        <f t="shared" si="12"/>
        <v>559</v>
      </c>
      <c r="B560" s="2" t="str">
        <f>_xlfn.XLOOKUP(C560,Tab_Def_Flows[Flow_Name],Tab_Def_Flows[Flow_ID],,0,)</f>
        <v>F__</v>
      </c>
      <c r="C560" s="18" t="s">
        <v>5</v>
      </c>
      <c r="D560" s="5" t="str">
        <f>_xlfn.XLOOKUP(C560,Tab_Def_Flows[Flow_Name],Tab_Def_Flows[Use_E1],,0,)</f>
        <v>Yes</v>
      </c>
      <c r="E560" s="5" t="str">
        <f>_xlfn.XLOOKUP(C560,Tab_Def_Flows[Flow_Name],Tab_Def_Flows[Use_E2],,0,)</f>
        <v>Yes</v>
      </c>
      <c r="F560" s="5" t="str">
        <f>_xlfn.XLOOKUP(C560,Tab_Def_Flows[Flow_Name],Tab_Def_Flows[Use_E3],,0,)</f>
        <v>Yes</v>
      </c>
      <c r="G560" s="5" t="str">
        <f>_xlfn.XLOOKUP(C560,Tab_Def_Flows[Flow_Name],Tab_Def_Flows[Use_E4],,0,)</f>
        <v>Yes</v>
      </c>
      <c r="H560" s="5" t="str">
        <f>_xlfn.XLOOKUP(C560,Tab_Def_Flows[Flow_Name],Tab_Def_Flows[Use_E5],,0,)</f>
        <v>Yes</v>
      </c>
      <c r="I560" s="5" t="str">
        <f>_xlfn.XLOOKUP(C560,Tab_Def_Flows[Flow_Name],Tab_Def_Flows[Use_E6],,0,)</f>
        <v>Yes</v>
      </c>
      <c r="J560" s="3"/>
      <c r="K560" s="3"/>
      <c r="L560" s="2" t="str">
        <f>'0_Configuration'!$C$41</f>
        <v>Mg</v>
      </c>
      <c r="M560" s="9"/>
      <c r="N560" s="9"/>
      <c r="O560" s="9"/>
      <c r="P560" s="9"/>
      <c r="Q560" s="18" t="s">
        <v>3</v>
      </c>
      <c r="R560" s="3"/>
      <c r="S560" s="3"/>
      <c r="T560" s="9"/>
      <c r="U560" s="9"/>
      <c r="V560" s="2">
        <f>_xlfn.XLOOKUP(Tab_Data_Flows[[#This Row],[Flow_Name]],Tab_Def_Flows[Flow_Name],Tab_Def_Flows[Flow_E1_Fraction'[%']],"N.A.",0,1)</f>
        <v>0</v>
      </c>
      <c r="W560" s="8">
        <f t="shared" si="17"/>
        <v>0</v>
      </c>
      <c r="X560" s="2" t="str">
        <f>Tab_Data_Flows[[#This Row],[UoM_Source]]</f>
        <v>Mg</v>
      </c>
      <c r="Y560" s="19">
        <f>_xlfn.XLOOKUP(Tab_Data_Flows[[#This Row],[Flow_Name]],Tab_Def_Flows[Flow_Name],Tab_Def_Flows[Flow_E2_Fraction'[%']],"N.A.",0,1)</f>
        <v>0</v>
      </c>
      <c r="Z560" s="2">
        <f>IF(D560="Yes",W560*Tab_Data_Flows[[#This Row],[E2_Fraction'[%']]],"N.A.")</f>
        <v>0</v>
      </c>
      <c r="AA560" s="2" t="str">
        <f>Tab_Data_Flows[[#This Row],[E1_UoM]]</f>
        <v>Mg</v>
      </c>
      <c r="AB560" s="19">
        <f>_xlfn.XLOOKUP(Tab_Data_Flows[[#This Row],[Flow_Name]],Tab_Def_Flows[Flow_Name],Tab_Def_Flows[Flow_E3_Fraction'[%']],"N.A.",0,1)</f>
        <v>0</v>
      </c>
      <c r="AC560" s="2">
        <f>IF(E560="Yes",AB560*Tab_Data_Flows[[#This Row],[E1_value]],"N.A.")</f>
        <v>0</v>
      </c>
      <c r="AD560" s="2" t="str">
        <f>Tab_Data_Flows[[#This Row],[E1_UoM]]</f>
        <v>Mg</v>
      </c>
      <c r="AE560" s="19">
        <f>_xlfn.XLOOKUP(Tab_Data_Flows[[#This Row],[Flow_Name]],Tab_Def_Flows[Flow_Name],Tab_Def_Flows[Flow_E4_Fraction'[%']],"N.A.",0,1)</f>
        <v>0</v>
      </c>
      <c r="AF560" s="2">
        <f>IF(H560="Yes",Tab_Data_Flows[[#This Row],[E4_Fraction'[%']]]*Tab_Data_Flows[[#This Row],[E1_value]],"N.A.")</f>
        <v>0</v>
      </c>
      <c r="AG560" s="2" t="str">
        <f>Tab_Data_Flows[[#This Row],[E1_UoM]]</f>
        <v>Mg</v>
      </c>
      <c r="AH560" s="2">
        <f>_xlfn.XLOOKUP(Tab_Data_Flows[[#This Row],[Flow_Name]],Tab_Def_Flows[Flow_Name],Tab_Def_Flows[Flow_E5_Fraction'[%']],"N.A.",0,1)</f>
        <v>0</v>
      </c>
      <c r="AI560" s="2">
        <f>IF(H560="Yes",Tab_Data_Flows[[#This Row],[E5_Fraction'[%']]]*Tab_Data_Flows[[#This Row],[E1_value]],"N.A.")</f>
        <v>0</v>
      </c>
      <c r="AJ560" s="2" t="str">
        <f>Tab_Data_Flows[[#This Row],[E1_UoM]]</f>
        <v>Mg</v>
      </c>
      <c r="AK560" s="19">
        <f>_xlfn.XLOOKUP(Tab_Data_Flows[[#This Row],[Flow_Name]],Tab_Def_Flows[Flow_Name],Tab_Def_Flows[Flow_E6_Fraction'[%']],"N.A.",0,1)</f>
        <v>0</v>
      </c>
      <c r="AL560" s="2">
        <f>IF(Tab_Data_Flows[[#This Row],[Use_E6]]="Yes",Tab_Data_Flows[[#This Row],[E6_Fraction'[%']]]*Tab_Data_Flows[[#This Row],[E1_value]],"N.A.")</f>
        <v>0</v>
      </c>
      <c r="AM560" s="2" t="str">
        <f>Tab_Data_Flows[[#This Row],[E1_UoM]]</f>
        <v>Mg</v>
      </c>
    </row>
    <row r="561" spans="1:39" x14ac:dyDescent="0.25">
      <c r="A561" s="4">
        <f t="shared" si="12"/>
        <v>560</v>
      </c>
      <c r="B561" s="2" t="str">
        <f>_xlfn.XLOOKUP(C561,Tab_Def_Flows[Flow_Name],Tab_Def_Flows[Flow_ID],,0,)</f>
        <v>F__</v>
      </c>
      <c r="C561" s="18" t="s">
        <v>5</v>
      </c>
      <c r="D561" s="5" t="str">
        <f>_xlfn.XLOOKUP(C561,Tab_Def_Flows[Flow_Name],Tab_Def_Flows[Use_E1],,0,)</f>
        <v>Yes</v>
      </c>
      <c r="E561" s="5" t="str">
        <f>_xlfn.XLOOKUP(C561,Tab_Def_Flows[Flow_Name],Tab_Def_Flows[Use_E2],,0,)</f>
        <v>Yes</v>
      </c>
      <c r="F561" s="5" t="str">
        <f>_xlfn.XLOOKUP(C561,Tab_Def_Flows[Flow_Name],Tab_Def_Flows[Use_E3],,0,)</f>
        <v>Yes</v>
      </c>
      <c r="G561" s="5" t="str">
        <f>_xlfn.XLOOKUP(C561,Tab_Def_Flows[Flow_Name],Tab_Def_Flows[Use_E4],,0,)</f>
        <v>Yes</v>
      </c>
      <c r="H561" s="5" t="str">
        <f>_xlfn.XLOOKUP(C561,Tab_Def_Flows[Flow_Name],Tab_Def_Flows[Use_E5],,0,)</f>
        <v>Yes</v>
      </c>
      <c r="I561" s="5" t="str">
        <f>_xlfn.XLOOKUP(C561,Tab_Def_Flows[Flow_Name],Tab_Def_Flows[Use_E6],,0,)</f>
        <v>Yes</v>
      </c>
      <c r="J561" s="3"/>
      <c r="K561" s="3"/>
      <c r="L561" s="2" t="str">
        <f>'0_Configuration'!$C$41</f>
        <v>Mg</v>
      </c>
      <c r="M561" s="9"/>
      <c r="N561" s="9"/>
      <c r="O561" s="9"/>
      <c r="P561" s="9"/>
      <c r="Q561" s="18" t="s">
        <v>3</v>
      </c>
      <c r="R561" s="3"/>
      <c r="S561" s="3"/>
      <c r="T561" s="9"/>
      <c r="U561" s="9"/>
      <c r="V561" s="2">
        <f>_xlfn.XLOOKUP(Tab_Data_Flows[[#This Row],[Flow_Name]],Tab_Def_Flows[Flow_Name],Tab_Def_Flows[Flow_E1_Fraction'[%']],"N.A.",0,1)</f>
        <v>0</v>
      </c>
      <c r="W561" s="8">
        <f t="shared" si="17"/>
        <v>0</v>
      </c>
      <c r="X561" s="2" t="str">
        <f>Tab_Data_Flows[[#This Row],[UoM_Source]]</f>
        <v>Mg</v>
      </c>
      <c r="Y561" s="19">
        <f>_xlfn.XLOOKUP(Tab_Data_Flows[[#This Row],[Flow_Name]],Tab_Def_Flows[Flow_Name],Tab_Def_Flows[Flow_E2_Fraction'[%']],"N.A.",0,1)</f>
        <v>0</v>
      </c>
      <c r="Z561" s="2">
        <f>IF(D561="Yes",W561*Tab_Data_Flows[[#This Row],[E2_Fraction'[%']]],"N.A.")</f>
        <v>0</v>
      </c>
      <c r="AA561" s="2" t="str">
        <f>Tab_Data_Flows[[#This Row],[E1_UoM]]</f>
        <v>Mg</v>
      </c>
      <c r="AB561" s="19">
        <f>_xlfn.XLOOKUP(Tab_Data_Flows[[#This Row],[Flow_Name]],Tab_Def_Flows[Flow_Name],Tab_Def_Flows[Flow_E3_Fraction'[%']],"N.A.",0,1)</f>
        <v>0</v>
      </c>
      <c r="AC561" s="2">
        <f>IF(E561="Yes",AB561*Tab_Data_Flows[[#This Row],[E1_value]],"N.A.")</f>
        <v>0</v>
      </c>
      <c r="AD561" s="2" t="str">
        <f>Tab_Data_Flows[[#This Row],[E1_UoM]]</f>
        <v>Mg</v>
      </c>
      <c r="AE561" s="19">
        <f>_xlfn.XLOOKUP(Tab_Data_Flows[[#This Row],[Flow_Name]],Tab_Def_Flows[Flow_Name],Tab_Def_Flows[Flow_E4_Fraction'[%']],"N.A.",0,1)</f>
        <v>0</v>
      </c>
      <c r="AF561" s="2">
        <f>IF(H561="Yes",Tab_Data_Flows[[#This Row],[E4_Fraction'[%']]]*Tab_Data_Flows[[#This Row],[E1_value]],"N.A.")</f>
        <v>0</v>
      </c>
      <c r="AG561" s="2" t="str">
        <f>Tab_Data_Flows[[#This Row],[E1_UoM]]</f>
        <v>Mg</v>
      </c>
      <c r="AH561" s="2">
        <f>_xlfn.XLOOKUP(Tab_Data_Flows[[#This Row],[Flow_Name]],Tab_Def_Flows[Flow_Name],Tab_Def_Flows[Flow_E5_Fraction'[%']],"N.A.",0,1)</f>
        <v>0</v>
      </c>
      <c r="AI561" s="2">
        <f>IF(H561="Yes",Tab_Data_Flows[[#This Row],[E5_Fraction'[%']]]*Tab_Data_Flows[[#This Row],[E1_value]],"N.A.")</f>
        <v>0</v>
      </c>
      <c r="AJ561" s="2" t="str">
        <f>Tab_Data_Flows[[#This Row],[E1_UoM]]</f>
        <v>Mg</v>
      </c>
      <c r="AK561" s="19">
        <f>_xlfn.XLOOKUP(Tab_Data_Flows[[#This Row],[Flow_Name]],Tab_Def_Flows[Flow_Name],Tab_Def_Flows[Flow_E6_Fraction'[%']],"N.A.",0,1)</f>
        <v>0</v>
      </c>
      <c r="AL561" s="2">
        <f>IF(Tab_Data_Flows[[#This Row],[Use_E6]]="Yes",Tab_Data_Flows[[#This Row],[E6_Fraction'[%']]]*Tab_Data_Flows[[#This Row],[E1_value]],"N.A.")</f>
        <v>0</v>
      </c>
      <c r="AM561" s="2" t="str">
        <f>Tab_Data_Flows[[#This Row],[E1_UoM]]</f>
        <v>Mg</v>
      </c>
    </row>
    <row r="562" spans="1:39" x14ac:dyDescent="0.25">
      <c r="A562" s="4">
        <f t="shared" si="12"/>
        <v>561</v>
      </c>
      <c r="B562" s="2" t="str">
        <f>_xlfn.XLOOKUP(C562,Tab_Def_Flows[Flow_Name],Tab_Def_Flows[Flow_ID],,0,)</f>
        <v>F__</v>
      </c>
      <c r="C562" s="18" t="s">
        <v>5</v>
      </c>
      <c r="D562" s="5" t="str">
        <f>_xlfn.XLOOKUP(C562,Tab_Def_Flows[Flow_Name],Tab_Def_Flows[Use_E1],,0,)</f>
        <v>Yes</v>
      </c>
      <c r="E562" s="5" t="str">
        <f>_xlfn.XLOOKUP(C562,Tab_Def_Flows[Flow_Name],Tab_Def_Flows[Use_E2],,0,)</f>
        <v>Yes</v>
      </c>
      <c r="F562" s="5" t="str">
        <f>_xlfn.XLOOKUP(C562,Tab_Def_Flows[Flow_Name],Tab_Def_Flows[Use_E3],,0,)</f>
        <v>Yes</v>
      </c>
      <c r="G562" s="5" t="str">
        <f>_xlfn.XLOOKUP(C562,Tab_Def_Flows[Flow_Name],Tab_Def_Flows[Use_E4],,0,)</f>
        <v>Yes</v>
      </c>
      <c r="H562" s="5" t="str">
        <f>_xlfn.XLOOKUP(C562,Tab_Def_Flows[Flow_Name],Tab_Def_Flows[Use_E5],,0,)</f>
        <v>Yes</v>
      </c>
      <c r="I562" s="5" t="str">
        <f>_xlfn.XLOOKUP(C562,Tab_Def_Flows[Flow_Name],Tab_Def_Flows[Use_E6],,0,)</f>
        <v>Yes</v>
      </c>
      <c r="J562" s="3"/>
      <c r="K562" s="3"/>
      <c r="L562" s="2" t="str">
        <f>'0_Configuration'!$C$41</f>
        <v>Mg</v>
      </c>
      <c r="M562" s="9"/>
      <c r="N562" s="9"/>
      <c r="O562" s="9"/>
      <c r="P562" s="9"/>
      <c r="Q562" s="18" t="s">
        <v>3</v>
      </c>
      <c r="R562" s="3"/>
      <c r="S562" s="3"/>
      <c r="T562" s="9"/>
      <c r="U562" s="9"/>
      <c r="V562" s="2">
        <f>_xlfn.XLOOKUP(Tab_Data_Flows[[#This Row],[Flow_Name]],Tab_Def_Flows[Flow_Name],Tab_Def_Flows[Flow_E1_Fraction'[%']],"N.A.",0,1)</f>
        <v>0</v>
      </c>
      <c r="W562" s="8">
        <f t="shared" si="17"/>
        <v>0</v>
      </c>
      <c r="X562" s="2" t="str">
        <f>Tab_Data_Flows[[#This Row],[UoM_Source]]</f>
        <v>Mg</v>
      </c>
      <c r="Y562" s="19">
        <f>_xlfn.XLOOKUP(Tab_Data_Flows[[#This Row],[Flow_Name]],Tab_Def_Flows[Flow_Name],Tab_Def_Flows[Flow_E2_Fraction'[%']],"N.A.",0,1)</f>
        <v>0</v>
      </c>
      <c r="Z562" s="2">
        <f>IF(D562="Yes",W562*Tab_Data_Flows[[#This Row],[E2_Fraction'[%']]],"N.A.")</f>
        <v>0</v>
      </c>
      <c r="AA562" s="2" t="str">
        <f>Tab_Data_Flows[[#This Row],[E1_UoM]]</f>
        <v>Mg</v>
      </c>
      <c r="AB562" s="19">
        <f>_xlfn.XLOOKUP(Tab_Data_Flows[[#This Row],[Flow_Name]],Tab_Def_Flows[Flow_Name],Tab_Def_Flows[Flow_E3_Fraction'[%']],"N.A.",0,1)</f>
        <v>0</v>
      </c>
      <c r="AC562" s="2">
        <f>IF(E562="Yes",AB562*Tab_Data_Flows[[#This Row],[E1_value]],"N.A.")</f>
        <v>0</v>
      </c>
      <c r="AD562" s="2" t="str">
        <f>Tab_Data_Flows[[#This Row],[E1_UoM]]</f>
        <v>Mg</v>
      </c>
      <c r="AE562" s="19">
        <f>_xlfn.XLOOKUP(Tab_Data_Flows[[#This Row],[Flow_Name]],Tab_Def_Flows[Flow_Name],Tab_Def_Flows[Flow_E4_Fraction'[%']],"N.A.",0,1)</f>
        <v>0</v>
      </c>
      <c r="AF562" s="2">
        <f>IF(H562="Yes",Tab_Data_Flows[[#This Row],[E4_Fraction'[%']]]*Tab_Data_Flows[[#This Row],[E1_value]],"N.A.")</f>
        <v>0</v>
      </c>
      <c r="AG562" s="2" t="str">
        <f>Tab_Data_Flows[[#This Row],[E1_UoM]]</f>
        <v>Mg</v>
      </c>
      <c r="AH562" s="2">
        <f>_xlfn.XLOOKUP(Tab_Data_Flows[[#This Row],[Flow_Name]],Tab_Def_Flows[Flow_Name],Tab_Def_Flows[Flow_E5_Fraction'[%']],"N.A.",0,1)</f>
        <v>0</v>
      </c>
      <c r="AI562" s="2">
        <f>IF(H562="Yes",Tab_Data_Flows[[#This Row],[E5_Fraction'[%']]]*Tab_Data_Flows[[#This Row],[E1_value]],"N.A.")</f>
        <v>0</v>
      </c>
      <c r="AJ562" s="2" t="str">
        <f>Tab_Data_Flows[[#This Row],[E1_UoM]]</f>
        <v>Mg</v>
      </c>
      <c r="AK562" s="19">
        <f>_xlfn.XLOOKUP(Tab_Data_Flows[[#This Row],[Flow_Name]],Tab_Def_Flows[Flow_Name],Tab_Def_Flows[Flow_E6_Fraction'[%']],"N.A.",0,1)</f>
        <v>0</v>
      </c>
      <c r="AL562" s="2">
        <f>IF(Tab_Data_Flows[[#This Row],[Use_E6]]="Yes",Tab_Data_Flows[[#This Row],[E6_Fraction'[%']]]*Tab_Data_Flows[[#This Row],[E1_value]],"N.A.")</f>
        <v>0</v>
      </c>
      <c r="AM562" s="2" t="str">
        <f>Tab_Data_Flows[[#This Row],[E1_UoM]]</f>
        <v>Mg</v>
      </c>
    </row>
    <row r="563" spans="1:39" x14ac:dyDescent="0.25">
      <c r="A563" s="4">
        <f t="shared" si="12"/>
        <v>562</v>
      </c>
      <c r="B563" s="2" t="str">
        <f>_xlfn.XLOOKUP(C563,Tab_Def_Flows[Flow_Name],Tab_Def_Flows[Flow_ID],,0,)</f>
        <v>F__</v>
      </c>
      <c r="C563" s="18" t="s">
        <v>5</v>
      </c>
      <c r="D563" s="5" t="str">
        <f>_xlfn.XLOOKUP(C563,Tab_Def_Flows[Flow_Name],Tab_Def_Flows[Use_E1],,0,)</f>
        <v>Yes</v>
      </c>
      <c r="E563" s="5" t="str">
        <f>_xlfn.XLOOKUP(C563,Tab_Def_Flows[Flow_Name],Tab_Def_Flows[Use_E2],,0,)</f>
        <v>Yes</v>
      </c>
      <c r="F563" s="5" t="str">
        <f>_xlfn.XLOOKUP(C563,Tab_Def_Flows[Flow_Name],Tab_Def_Flows[Use_E3],,0,)</f>
        <v>Yes</v>
      </c>
      <c r="G563" s="5" t="str">
        <f>_xlfn.XLOOKUP(C563,Tab_Def_Flows[Flow_Name],Tab_Def_Flows[Use_E4],,0,)</f>
        <v>Yes</v>
      </c>
      <c r="H563" s="5" t="str">
        <f>_xlfn.XLOOKUP(C563,Tab_Def_Flows[Flow_Name],Tab_Def_Flows[Use_E5],,0,)</f>
        <v>Yes</v>
      </c>
      <c r="I563" s="5" t="str">
        <f>_xlfn.XLOOKUP(C563,Tab_Def_Flows[Flow_Name],Tab_Def_Flows[Use_E6],,0,)</f>
        <v>Yes</v>
      </c>
      <c r="J563" s="3"/>
      <c r="K563" s="3"/>
      <c r="L563" s="2" t="str">
        <f>'0_Configuration'!$C$41</f>
        <v>Mg</v>
      </c>
      <c r="M563" s="9"/>
      <c r="N563" s="9"/>
      <c r="O563" s="9"/>
      <c r="P563" s="9"/>
      <c r="Q563" s="18" t="s">
        <v>3</v>
      </c>
      <c r="R563" s="3"/>
      <c r="S563" s="3"/>
      <c r="T563" s="9"/>
      <c r="U563" s="9"/>
      <c r="V563" s="2">
        <f>_xlfn.XLOOKUP(Tab_Data_Flows[[#This Row],[Flow_Name]],Tab_Def_Flows[Flow_Name],Tab_Def_Flows[Flow_E1_Fraction'[%']],"N.A.",0,1)</f>
        <v>0</v>
      </c>
      <c r="W563" s="8">
        <f t="shared" si="17"/>
        <v>0</v>
      </c>
      <c r="X563" s="2" t="str">
        <f>Tab_Data_Flows[[#This Row],[UoM_Source]]</f>
        <v>Mg</v>
      </c>
      <c r="Y563" s="19">
        <f>_xlfn.XLOOKUP(Tab_Data_Flows[[#This Row],[Flow_Name]],Tab_Def_Flows[Flow_Name],Tab_Def_Flows[Flow_E2_Fraction'[%']],"N.A.",0,1)</f>
        <v>0</v>
      </c>
      <c r="Z563" s="2">
        <f>IF(D563="Yes",W563*Tab_Data_Flows[[#This Row],[E2_Fraction'[%']]],"N.A.")</f>
        <v>0</v>
      </c>
      <c r="AA563" s="2" t="str">
        <f>Tab_Data_Flows[[#This Row],[E1_UoM]]</f>
        <v>Mg</v>
      </c>
      <c r="AB563" s="19">
        <f>_xlfn.XLOOKUP(Tab_Data_Flows[[#This Row],[Flow_Name]],Tab_Def_Flows[Flow_Name],Tab_Def_Flows[Flow_E3_Fraction'[%']],"N.A.",0,1)</f>
        <v>0</v>
      </c>
      <c r="AC563" s="2">
        <f>IF(E563="Yes",AB563*Tab_Data_Flows[[#This Row],[E1_value]],"N.A.")</f>
        <v>0</v>
      </c>
      <c r="AD563" s="2" t="str">
        <f>Tab_Data_Flows[[#This Row],[E1_UoM]]</f>
        <v>Mg</v>
      </c>
      <c r="AE563" s="19">
        <f>_xlfn.XLOOKUP(Tab_Data_Flows[[#This Row],[Flow_Name]],Tab_Def_Flows[Flow_Name],Tab_Def_Flows[Flow_E4_Fraction'[%']],"N.A.",0,1)</f>
        <v>0</v>
      </c>
      <c r="AF563" s="2">
        <f>IF(H563="Yes",Tab_Data_Flows[[#This Row],[E4_Fraction'[%']]]*Tab_Data_Flows[[#This Row],[E1_value]],"N.A.")</f>
        <v>0</v>
      </c>
      <c r="AG563" s="2" t="str">
        <f>Tab_Data_Flows[[#This Row],[E1_UoM]]</f>
        <v>Mg</v>
      </c>
      <c r="AH563" s="2">
        <f>_xlfn.XLOOKUP(Tab_Data_Flows[[#This Row],[Flow_Name]],Tab_Def_Flows[Flow_Name],Tab_Def_Flows[Flow_E5_Fraction'[%']],"N.A.",0,1)</f>
        <v>0</v>
      </c>
      <c r="AI563" s="2">
        <f>IF(H563="Yes",Tab_Data_Flows[[#This Row],[E5_Fraction'[%']]]*Tab_Data_Flows[[#This Row],[E1_value]],"N.A.")</f>
        <v>0</v>
      </c>
      <c r="AJ563" s="2" t="str">
        <f>Tab_Data_Flows[[#This Row],[E1_UoM]]</f>
        <v>Mg</v>
      </c>
      <c r="AK563" s="19">
        <f>_xlfn.XLOOKUP(Tab_Data_Flows[[#This Row],[Flow_Name]],Tab_Def_Flows[Flow_Name],Tab_Def_Flows[Flow_E6_Fraction'[%']],"N.A.",0,1)</f>
        <v>0</v>
      </c>
      <c r="AL563" s="2">
        <f>IF(Tab_Data_Flows[[#This Row],[Use_E6]]="Yes",Tab_Data_Flows[[#This Row],[E6_Fraction'[%']]]*Tab_Data_Flows[[#This Row],[E1_value]],"N.A.")</f>
        <v>0</v>
      </c>
      <c r="AM563" s="2" t="str">
        <f>Tab_Data_Flows[[#This Row],[E1_UoM]]</f>
        <v>Mg</v>
      </c>
    </row>
    <row r="564" spans="1:39" x14ac:dyDescent="0.25">
      <c r="A564" s="4">
        <f t="shared" si="12"/>
        <v>563</v>
      </c>
      <c r="B564" s="2" t="str">
        <f>_xlfn.XLOOKUP(C564,Tab_Def_Flows[Flow_Name],Tab_Def_Flows[Flow_ID],,0,)</f>
        <v>F__</v>
      </c>
      <c r="C564" s="18" t="s">
        <v>5</v>
      </c>
      <c r="D564" s="5" t="str">
        <f>_xlfn.XLOOKUP(C564,Tab_Def_Flows[Flow_Name],Tab_Def_Flows[Use_E1],,0,)</f>
        <v>Yes</v>
      </c>
      <c r="E564" s="5" t="str">
        <f>_xlfn.XLOOKUP(C564,Tab_Def_Flows[Flow_Name],Tab_Def_Flows[Use_E2],,0,)</f>
        <v>Yes</v>
      </c>
      <c r="F564" s="5" t="str">
        <f>_xlfn.XLOOKUP(C564,Tab_Def_Flows[Flow_Name],Tab_Def_Flows[Use_E3],,0,)</f>
        <v>Yes</v>
      </c>
      <c r="G564" s="5" t="str">
        <f>_xlfn.XLOOKUP(C564,Tab_Def_Flows[Flow_Name],Tab_Def_Flows[Use_E4],,0,)</f>
        <v>Yes</v>
      </c>
      <c r="H564" s="5" t="str">
        <f>_xlfn.XLOOKUP(C564,Tab_Def_Flows[Flow_Name],Tab_Def_Flows[Use_E5],,0,)</f>
        <v>Yes</v>
      </c>
      <c r="I564" s="5" t="str">
        <f>_xlfn.XLOOKUP(C564,Tab_Def_Flows[Flow_Name],Tab_Def_Flows[Use_E6],,0,)</f>
        <v>Yes</v>
      </c>
      <c r="J564" s="3"/>
      <c r="K564" s="3"/>
      <c r="L564" s="2" t="str">
        <f>'0_Configuration'!$C$41</f>
        <v>Mg</v>
      </c>
      <c r="M564" s="9"/>
      <c r="N564" s="9"/>
      <c r="O564" s="9"/>
      <c r="P564" s="9"/>
      <c r="Q564" s="18" t="s">
        <v>3</v>
      </c>
      <c r="R564" s="3"/>
      <c r="S564" s="3"/>
      <c r="T564" s="9"/>
      <c r="U564" s="9"/>
      <c r="V564" s="2">
        <f>_xlfn.XLOOKUP(Tab_Data_Flows[[#This Row],[Flow_Name]],Tab_Def_Flows[Flow_Name],Tab_Def_Flows[Flow_E1_Fraction'[%']],"N.A.",0,1)</f>
        <v>0</v>
      </c>
      <c r="W564" s="8">
        <f t="shared" si="17"/>
        <v>0</v>
      </c>
      <c r="X564" s="2" t="str">
        <f>Tab_Data_Flows[[#This Row],[UoM_Source]]</f>
        <v>Mg</v>
      </c>
      <c r="Y564" s="19">
        <f>_xlfn.XLOOKUP(Tab_Data_Flows[[#This Row],[Flow_Name]],Tab_Def_Flows[Flow_Name],Tab_Def_Flows[Flow_E2_Fraction'[%']],"N.A.",0,1)</f>
        <v>0</v>
      </c>
      <c r="Z564" s="2">
        <f>IF(D564="Yes",W564*Tab_Data_Flows[[#This Row],[E2_Fraction'[%']]],"N.A.")</f>
        <v>0</v>
      </c>
      <c r="AA564" s="2" t="str">
        <f>Tab_Data_Flows[[#This Row],[E1_UoM]]</f>
        <v>Mg</v>
      </c>
      <c r="AB564" s="19">
        <f>_xlfn.XLOOKUP(Tab_Data_Flows[[#This Row],[Flow_Name]],Tab_Def_Flows[Flow_Name],Tab_Def_Flows[Flow_E3_Fraction'[%']],"N.A.",0,1)</f>
        <v>0</v>
      </c>
      <c r="AC564" s="2">
        <f>IF(E564="Yes",AB564*Tab_Data_Flows[[#This Row],[E1_value]],"N.A.")</f>
        <v>0</v>
      </c>
      <c r="AD564" s="2" t="str">
        <f>Tab_Data_Flows[[#This Row],[E1_UoM]]</f>
        <v>Mg</v>
      </c>
      <c r="AE564" s="19">
        <f>_xlfn.XLOOKUP(Tab_Data_Flows[[#This Row],[Flow_Name]],Tab_Def_Flows[Flow_Name],Tab_Def_Flows[Flow_E4_Fraction'[%']],"N.A.",0,1)</f>
        <v>0</v>
      </c>
      <c r="AF564" s="2">
        <f>IF(H564="Yes",Tab_Data_Flows[[#This Row],[E4_Fraction'[%']]]*Tab_Data_Flows[[#This Row],[E1_value]],"N.A.")</f>
        <v>0</v>
      </c>
      <c r="AG564" s="2" t="str">
        <f>Tab_Data_Flows[[#This Row],[E1_UoM]]</f>
        <v>Mg</v>
      </c>
      <c r="AH564" s="2">
        <f>_xlfn.XLOOKUP(Tab_Data_Flows[[#This Row],[Flow_Name]],Tab_Def_Flows[Flow_Name],Tab_Def_Flows[Flow_E5_Fraction'[%']],"N.A.",0,1)</f>
        <v>0</v>
      </c>
      <c r="AI564" s="2">
        <f>IF(H564="Yes",Tab_Data_Flows[[#This Row],[E5_Fraction'[%']]]*Tab_Data_Flows[[#This Row],[E1_value]],"N.A.")</f>
        <v>0</v>
      </c>
      <c r="AJ564" s="2" t="str">
        <f>Tab_Data_Flows[[#This Row],[E1_UoM]]</f>
        <v>Mg</v>
      </c>
      <c r="AK564" s="19">
        <f>_xlfn.XLOOKUP(Tab_Data_Flows[[#This Row],[Flow_Name]],Tab_Def_Flows[Flow_Name],Tab_Def_Flows[Flow_E6_Fraction'[%']],"N.A.",0,1)</f>
        <v>0</v>
      </c>
      <c r="AL564" s="2">
        <f>IF(Tab_Data_Flows[[#This Row],[Use_E6]]="Yes",Tab_Data_Flows[[#This Row],[E6_Fraction'[%']]]*Tab_Data_Flows[[#This Row],[E1_value]],"N.A.")</f>
        <v>0</v>
      </c>
      <c r="AM564" s="2" t="str">
        <f>Tab_Data_Flows[[#This Row],[E1_UoM]]</f>
        <v>Mg</v>
      </c>
    </row>
    <row r="565" spans="1:39" x14ac:dyDescent="0.25">
      <c r="A565" s="4">
        <f t="shared" si="12"/>
        <v>564</v>
      </c>
      <c r="B565" s="2" t="str">
        <f>_xlfn.XLOOKUP(C565,Tab_Def_Flows[Flow_Name],Tab_Def_Flows[Flow_ID],,0,)</f>
        <v>F__</v>
      </c>
      <c r="C565" s="18" t="s">
        <v>5</v>
      </c>
      <c r="D565" s="5" t="str">
        <f>_xlfn.XLOOKUP(C565,Tab_Def_Flows[Flow_Name],Tab_Def_Flows[Use_E1],,0,)</f>
        <v>Yes</v>
      </c>
      <c r="E565" s="5" t="str">
        <f>_xlfn.XLOOKUP(C565,Tab_Def_Flows[Flow_Name],Tab_Def_Flows[Use_E2],,0,)</f>
        <v>Yes</v>
      </c>
      <c r="F565" s="5" t="str">
        <f>_xlfn.XLOOKUP(C565,Tab_Def_Flows[Flow_Name],Tab_Def_Flows[Use_E3],,0,)</f>
        <v>Yes</v>
      </c>
      <c r="G565" s="5" t="str">
        <f>_xlfn.XLOOKUP(C565,Tab_Def_Flows[Flow_Name],Tab_Def_Flows[Use_E4],,0,)</f>
        <v>Yes</v>
      </c>
      <c r="H565" s="5" t="str">
        <f>_xlfn.XLOOKUP(C565,Tab_Def_Flows[Flow_Name],Tab_Def_Flows[Use_E5],,0,)</f>
        <v>Yes</v>
      </c>
      <c r="I565" s="5" t="str">
        <f>_xlfn.XLOOKUP(C565,Tab_Def_Flows[Flow_Name],Tab_Def_Flows[Use_E6],,0,)</f>
        <v>Yes</v>
      </c>
      <c r="J565" s="3"/>
      <c r="K565" s="3"/>
      <c r="L565" s="2" t="str">
        <f>'0_Configuration'!$C$41</f>
        <v>Mg</v>
      </c>
      <c r="M565" s="9"/>
      <c r="N565" s="9"/>
      <c r="O565" s="9"/>
      <c r="P565" s="9"/>
      <c r="Q565" s="18" t="s">
        <v>3</v>
      </c>
      <c r="R565" s="3"/>
      <c r="S565" s="3"/>
      <c r="T565" s="9"/>
      <c r="U565" s="9"/>
      <c r="V565" s="2">
        <f>_xlfn.XLOOKUP(Tab_Data_Flows[[#This Row],[Flow_Name]],Tab_Def_Flows[Flow_Name],Tab_Def_Flows[Flow_E1_Fraction'[%']],"N.A.",0,1)</f>
        <v>0</v>
      </c>
      <c r="W565" s="8">
        <f t="shared" si="17"/>
        <v>0</v>
      </c>
      <c r="X565" s="2" t="str">
        <f>Tab_Data_Flows[[#This Row],[UoM_Source]]</f>
        <v>Mg</v>
      </c>
      <c r="Y565" s="19">
        <f>_xlfn.XLOOKUP(Tab_Data_Flows[[#This Row],[Flow_Name]],Tab_Def_Flows[Flow_Name],Tab_Def_Flows[Flow_E2_Fraction'[%']],"N.A.",0,1)</f>
        <v>0</v>
      </c>
      <c r="Z565" s="2">
        <f>IF(D565="Yes",W565*Tab_Data_Flows[[#This Row],[E2_Fraction'[%']]],"N.A.")</f>
        <v>0</v>
      </c>
      <c r="AA565" s="2" t="str">
        <f>Tab_Data_Flows[[#This Row],[E1_UoM]]</f>
        <v>Mg</v>
      </c>
      <c r="AB565" s="19">
        <f>_xlfn.XLOOKUP(Tab_Data_Flows[[#This Row],[Flow_Name]],Tab_Def_Flows[Flow_Name],Tab_Def_Flows[Flow_E3_Fraction'[%']],"N.A.",0,1)</f>
        <v>0</v>
      </c>
      <c r="AC565" s="2">
        <f>IF(E565="Yes",AB565*Tab_Data_Flows[[#This Row],[E1_value]],"N.A.")</f>
        <v>0</v>
      </c>
      <c r="AD565" s="2" t="str">
        <f>Tab_Data_Flows[[#This Row],[E1_UoM]]</f>
        <v>Mg</v>
      </c>
      <c r="AE565" s="19">
        <f>_xlfn.XLOOKUP(Tab_Data_Flows[[#This Row],[Flow_Name]],Tab_Def_Flows[Flow_Name],Tab_Def_Flows[Flow_E4_Fraction'[%']],"N.A.",0,1)</f>
        <v>0</v>
      </c>
      <c r="AF565" s="2">
        <f>IF(H565="Yes",Tab_Data_Flows[[#This Row],[E4_Fraction'[%']]]*Tab_Data_Flows[[#This Row],[E1_value]],"N.A.")</f>
        <v>0</v>
      </c>
      <c r="AG565" s="2" t="str">
        <f>Tab_Data_Flows[[#This Row],[E1_UoM]]</f>
        <v>Mg</v>
      </c>
      <c r="AH565" s="2">
        <f>_xlfn.XLOOKUP(Tab_Data_Flows[[#This Row],[Flow_Name]],Tab_Def_Flows[Flow_Name],Tab_Def_Flows[Flow_E5_Fraction'[%']],"N.A.",0,1)</f>
        <v>0</v>
      </c>
      <c r="AI565" s="2">
        <f>IF(H565="Yes",Tab_Data_Flows[[#This Row],[E5_Fraction'[%']]]*Tab_Data_Flows[[#This Row],[E1_value]],"N.A.")</f>
        <v>0</v>
      </c>
      <c r="AJ565" s="2" t="str">
        <f>Tab_Data_Flows[[#This Row],[E1_UoM]]</f>
        <v>Mg</v>
      </c>
      <c r="AK565" s="19">
        <f>_xlfn.XLOOKUP(Tab_Data_Flows[[#This Row],[Flow_Name]],Tab_Def_Flows[Flow_Name],Tab_Def_Flows[Flow_E6_Fraction'[%']],"N.A.",0,1)</f>
        <v>0</v>
      </c>
      <c r="AL565" s="2">
        <f>IF(Tab_Data_Flows[[#This Row],[Use_E6]]="Yes",Tab_Data_Flows[[#This Row],[E6_Fraction'[%']]]*Tab_Data_Flows[[#This Row],[E1_value]],"N.A.")</f>
        <v>0</v>
      </c>
      <c r="AM565" s="2" t="str">
        <f>Tab_Data_Flows[[#This Row],[E1_UoM]]</f>
        <v>Mg</v>
      </c>
    </row>
    <row r="566" spans="1:39" x14ac:dyDescent="0.25">
      <c r="A566" s="4">
        <f t="shared" si="12"/>
        <v>565</v>
      </c>
      <c r="B566" s="2" t="str">
        <f>_xlfn.XLOOKUP(C566,Tab_Def_Flows[Flow_Name],Tab_Def_Flows[Flow_ID],,0,)</f>
        <v>F__</v>
      </c>
      <c r="C566" s="18" t="s">
        <v>5</v>
      </c>
      <c r="D566" s="5" t="str">
        <f>_xlfn.XLOOKUP(C566,Tab_Def_Flows[Flow_Name],Tab_Def_Flows[Use_E1],,0,)</f>
        <v>Yes</v>
      </c>
      <c r="E566" s="5" t="str">
        <f>_xlfn.XLOOKUP(C566,Tab_Def_Flows[Flow_Name],Tab_Def_Flows[Use_E2],,0,)</f>
        <v>Yes</v>
      </c>
      <c r="F566" s="5" t="str">
        <f>_xlfn.XLOOKUP(C566,Tab_Def_Flows[Flow_Name],Tab_Def_Flows[Use_E3],,0,)</f>
        <v>Yes</v>
      </c>
      <c r="G566" s="5" t="str">
        <f>_xlfn.XLOOKUP(C566,Tab_Def_Flows[Flow_Name],Tab_Def_Flows[Use_E4],,0,)</f>
        <v>Yes</v>
      </c>
      <c r="H566" s="5" t="str">
        <f>_xlfn.XLOOKUP(C566,Tab_Def_Flows[Flow_Name],Tab_Def_Flows[Use_E5],,0,)</f>
        <v>Yes</v>
      </c>
      <c r="I566" s="5" t="str">
        <f>_xlfn.XLOOKUP(C566,Tab_Def_Flows[Flow_Name],Tab_Def_Flows[Use_E6],,0,)</f>
        <v>Yes</v>
      </c>
      <c r="J566" s="3"/>
      <c r="K566" s="3"/>
      <c r="L566" s="2" t="str">
        <f>'0_Configuration'!$C$41</f>
        <v>Mg</v>
      </c>
      <c r="M566" s="9"/>
      <c r="N566" s="9"/>
      <c r="O566" s="9"/>
      <c r="P566" s="9"/>
      <c r="Q566" s="18" t="s">
        <v>3</v>
      </c>
      <c r="R566" s="3"/>
      <c r="S566" s="3"/>
      <c r="T566" s="9"/>
      <c r="U566" s="9"/>
      <c r="V566" s="2">
        <f>_xlfn.XLOOKUP(Tab_Data_Flows[[#This Row],[Flow_Name]],Tab_Def_Flows[Flow_Name],Tab_Def_Flows[Flow_E1_Fraction'[%']],"N.A.",0,1)</f>
        <v>0</v>
      </c>
      <c r="W566" s="8">
        <f t="shared" si="17"/>
        <v>0</v>
      </c>
      <c r="X566" s="2" t="str">
        <f>Tab_Data_Flows[[#This Row],[UoM_Source]]</f>
        <v>Mg</v>
      </c>
      <c r="Y566" s="19">
        <f>_xlfn.XLOOKUP(Tab_Data_Flows[[#This Row],[Flow_Name]],Tab_Def_Flows[Flow_Name],Tab_Def_Flows[Flow_E2_Fraction'[%']],"N.A.",0,1)</f>
        <v>0</v>
      </c>
      <c r="Z566" s="2">
        <f>IF(D566="Yes",W566*Tab_Data_Flows[[#This Row],[E2_Fraction'[%']]],"N.A.")</f>
        <v>0</v>
      </c>
      <c r="AA566" s="2" t="str">
        <f>Tab_Data_Flows[[#This Row],[E1_UoM]]</f>
        <v>Mg</v>
      </c>
      <c r="AB566" s="19">
        <f>_xlfn.XLOOKUP(Tab_Data_Flows[[#This Row],[Flow_Name]],Tab_Def_Flows[Flow_Name],Tab_Def_Flows[Flow_E3_Fraction'[%']],"N.A.",0,1)</f>
        <v>0</v>
      </c>
      <c r="AC566" s="2">
        <f>IF(E566="Yes",AB566*Tab_Data_Flows[[#This Row],[E1_value]],"N.A.")</f>
        <v>0</v>
      </c>
      <c r="AD566" s="2" t="str">
        <f>Tab_Data_Flows[[#This Row],[E1_UoM]]</f>
        <v>Mg</v>
      </c>
      <c r="AE566" s="19">
        <f>_xlfn.XLOOKUP(Tab_Data_Flows[[#This Row],[Flow_Name]],Tab_Def_Flows[Flow_Name],Tab_Def_Flows[Flow_E4_Fraction'[%']],"N.A.",0,1)</f>
        <v>0</v>
      </c>
      <c r="AF566" s="2">
        <f>IF(H566="Yes",Tab_Data_Flows[[#This Row],[E4_Fraction'[%']]]*Tab_Data_Flows[[#This Row],[E1_value]],"N.A.")</f>
        <v>0</v>
      </c>
      <c r="AG566" s="2" t="str">
        <f>Tab_Data_Flows[[#This Row],[E1_UoM]]</f>
        <v>Mg</v>
      </c>
      <c r="AH566" s="2">
        <f>_xlfn.XLOOKUP(Tab_Data_Flows[[#This Row],[Flow_Name]],Tab_Def_Flows[Flow_Name],Tab_Def_Flows[Flow_E5_Fraction'[%']],"N.A.",0,1)</f>
        <v>0</v>
      </c>
      <c r="AI566" s="2">
        <f>IF(H566="Yes",Tab_Data_Flows[[#This Row],[E5_Fraction'[%']]]*Tab_Data_Flows[[#This Row],[E1_value]],"N.A.")</f>
        <v>0</v>
      </c>
      <c r="AJ566" s="2" t="str">
        <f>Tab_Data_Flows[[#This Row],[E1_UoM]]</f>
        <v>Mg</v>
      </c>
      <c r="AK566" s="19">
        <f>_xlfn.XLOOKUP(Tab_Data_Flows[[#This Row],[Flow_Name]],Tab_Def_Flows[Flow_Name],Tab_Def_Flows[Flow_E6_Fraction'[%']],"N.A.",0,1)</f>
        <v>0</v>
      </c>
      <c r="AL566" s="2">
        <f>IF(Tab_Data_Flows[[#This Row],[Use_E6]]="Yes",Tab_Data_Flows[[#This Row],[E6_Fraction'[%']]]*Tab_Data_Flows[[#This Row],[E1_value]],"N.A.")</f>
        <v>0</v>
      </c>
      <c r="AM566" s="2" t="str">
        <f>Tab_Data_Flows[[#This Row],[E1_UoM]]</f>
        <v>Mg</v>
      </c>
    </row>
    <row r="567" spans="1:39" x14ac:dyDescent="0.25">
      <c r="A567" s="4">
        <f t="shared" si="12"/>
        <v>566</v>
      </c>
      <c r="B567" s="2" t="str">
        <f>_xlfn.XLOOKUP(C567,Tab_Def_Flows[Flow_Name],Tab_Def_Flows[Flow_ID],,0,)</f>
        <v>F__</v>
      </c>
      <c r="C567" s="18" t="s">
        <v>5</v>
      </c>
      <c r="D567" s="5" t="str">
        <f>_xlfn.XLOOKUP(C567,Tab_Def_Flows[Flow_Name],Tab_Def_Flows[Use_E1],,0,)</f>
        <v>Yes</v>
      </c>
      <c r="E567" s="5" t="str">
        <f>_xlfn.XLOOKUP(C567,Tab_Def_Flows[Flow_Name],Tab_Def_Flows[Use_E2],,0,)</f>
        <v>Yes</v>
      </c>
      <c r="F567" s="5" t="str">
        <f>_xlfn.XLOOKUP(C567,Tab_Def_Flows[Flow_Name],Tab_Def_Flows[Use_E3],,0,)</f>
        <v>Yes</v>
      </c>
      <c r="G567" s="5" t="str">
        <f>_xlfn.XLOOKUP(C567,Tab_Def_Flows[Flow_Name],Tab_Def_Flows[Use_E4],,0,)</f>
        <v>Yes</v>
      </c>
      <c r="H567" s="5" t="str">
        <f>_xlfn.XLOOKUP(C567,Tab_Def_Flows[Flow_Name],Tab_Def_Flows[Use_E5],,0,)</f>
        <v>Yes</v>
      </c>
      <c r="I567" s="5" t="str">
        <f>_xlfn.XLOOKUP(C567,Tab_Def_Flows[Flow_Name],Tab_Def_Flows[Use_E6],,0,)</f>
        <v>Yes</v>
      </c>
      <c r="J567" s="3"/>
      <c r="K567" s="3"/>
      <c r="L567" s="2" t="str">
        <f>'0_Configuration'!$C$41</f>
        <v>Mg</v>
      </c>
      <c r="M567" s="9"/>
      <c r="N567" s="9"/>
      <c r="O567" s="9"/>
      <c r="P567" s="9"/>
      <c r="Q567" s="18" t="s">
        <v>3</v>
      </c>
      <c r="R567" s="3"/>
      <c r="S567" s="3"/>
      <c r="T567" s="9"/>
      <c r="U567" s="9"/>
      <c r="V567" s="2">
        <f>_xlfn.XLOOKUP(Tab_Data_Flows[[#This Row],[Flow_Name]],Tab_Def_Flows[Flow_Name],Tab_Def_Flows[Flow_E1_Fraction'[%']],"N.A.",0,1)</f>
        <v>0</v>
      </c>
      <c r="W567" s="8">
        <f t="shared" si="17"/>
        <v>0</v>
      </c>
      <c r="X567" s="2" t="str">
        <f>Tab_Data_Flows[[#This Row],[UoM_Source]]</f>
        <v>Mg</v>
      </c>
      <c r="Y567" s="19">
        <f>_xlfn.XLOOKUP(Tab_Data_Flows[[#This Row],[Flow_Name]],Tab_Def_Flows[Flow_Name],Tab_Def_Flows[Flow_E2_Fraction'[%']],"N.A.",0,1)</f>
        <v>0</v>
      </c>
      <c r="Z567" s="2">
        <f>IF(D567="Yes",W567*Tab_Data_Flows[[#This Row],[E2_Fraction'[%']]],"N.A.")</f>
        <v>0</v>
      </c>
      <c r="AA567" s="2" t="str">
        <f>Tab_Data_Flows[[#This Row],[E1_UoM]]</f>
        <v>Mg</v>
      </c>
      <c r="AB567" s="19">
        <f>_xlfn.XLOOKUP(Tab_Data_Flows[[#This Row],[Flow_Name]],Tab_Def_Flows[Flow_Name],Tab_Def_Flows[Flow_E3_Fraction'[%']],"N.A.",0,1)</f>
        <v>0</v>
      </c>
      <c r="AC567" s="2">
        <f>IF(E567="Yes",AB567*Tab_Data_Flows[[#This Row],[E1_value]],"N.A.")</f>
        <v>0</v>
      </c>
      <c r="AD567" s="2" t="str">
        <f>Tab_Data_Flows[[#This Row],[E1_UoM]]</f>
        <v>Mg</v>
      </c>
      <c r="AE567" s="19">
        <f>_xlfn.XLOOKUP(Tab_Data_Flows[[#This Row],[Flow_Name]],Tab_Def_Flows[Flow_Name],Tab_Def_Flows[Flow_E4_Fraction'[%']],"N.A.",0,1)</f>
        <v>0</v>
      </c>
      <c r="AF567" s="2">
        <f>IF(H567="Yes",Tab_Data_Flows[[#This Row],[E4_Fraction'[%']]]*Tab_Data_Flows[[#This Row],[E1_value]],"N.A.")</f>
        <v>0</v>
      </c>
      <c r="AG567" s="2" t="str">
        <f>Tab_Data_Flows[[#This Row],[E1_UoM]]</f>
        <v>Mg</v>
      </c>
      <c r="AH567" s="2">
        <f>_xlfn.XLOOKUP(Tab_Data_Flows[[#This Row],[Flow_Name]],Tab_Def_Flows[Flow_Name],Tab_Def_Flows[Flow_E5_Fraction'[%']],"N.A.",0,1)</f>
        <v>0</v>
      </c>
      <c r="AI567" s="2">
        <f>IF(H567="Yes",Tab_Data_Flows[[#This Row],[E5_Fraction'[%']]]*Tab_Data_Flows[[#This Row],[E1_value]],"N.A.")</f>
        <v>0</v>
      </c>
      <c r="AJ567" s="2" t="str">
        <f>Tab_Data_Flows[[#This Row],[E1_UoM]]</f>
        <v>Mg</v>
      </c>
      <c r="AK567" s="19">
        <f>_xlfn.XLOOKUP(Tab_Data_Flows[[#This Row],[Flow_Name]],Tab_Def_Flows[Flow_Name],Tab_Def_Flows[Flow_E6_Fraction'[%']],"N.A.",0,1)</f>
        <v>0</v>
      </c>
      <c r="AL567" s="2">
        <f>IF(Tab_Data_Flows[[#This Row],[Use_E6]]="Yes",Tab_Data_Flows[[#This Row],[E6_Fraction'[%']]]*Tab_Data_Flows[[#This Row],[E1_value]],"N.A.")</f>
        <v>0</v>
      </c>
      <c r="AM567" s="2" t="str">
        <f>Tab_Data_Flows[[#This Row],[E1_UoM]]</f>
        <v>Mg</v>
      </c>
    </row>
    <row r="568" spans="1:39" x14ac:dyDescent="0.25">
      <c r="A568" s="4">
        <f t="shared" si="12"/>
        <v>567</v>
      </c>
      <c r="B568" s="2" t="str">
        <f>_xlfn.XLOOKUP(C568,Tab_Def_Flows[Flow_Name],Tab_Def_Flows[Flow_ID],,0,)</f>
        <v>F__</v>
      </c>
      <c r="C568" s="18" t="s">
        <v>5</v>
      </c>
      <c r="D568" s="5" t="str">
        <f>_xlfn.XLOOKUP(C568,Tab_Def_Flows[Flow_Name],Tab_Def_Flows[Use_E1],,0,)</f>
        <v>Yes</v>
      </c>
      <c r="E568" s="5" t="str">
        <f>_xlfn.XLOOKUP(C568,Tab_Def_Flows[Flow_Name],Tab_Def_Flows[Use_E2],,0,)</f>
        <v>Yes</v>
      </c>
      <c r="F568" s="5" t="str">
        <f>_xlfn.XLOOKUP(C568,Tab_Def_Flows[Flow_Name],Tab_Def_Flows[Use_E3],,0,)</f>
        <v>Yes</v>
      </c>
      <c r="G568" s="5" t="str">
        <f>_xlfn.XLOOKUP(C568,Tab_Def_Flows[Flow_Name],Tab_Def_Flows[Use_E4],,0,)</f>
        <v>Yes</v>
      </c>
      <c r="H568" s="5" t="str">
        <f>_xlfn.XLOOKUP(C568,Tab_Def_Flows[Flow_Name],Tab_Def_Flows[Use_E5],,0,)</f>
        <v>Yes</v>
      </c>
      <c r="I568" s="5" t="str">
        <f>_xlfn.XLOOKUP(C568,Tab_Def_Flows[Flow_Name],Tab_Def_Flows[Use_E6],,0,)</f>
        <v>Yes</v>
      </c>
      <c r="J568" s="3"/>
      <c r="K568" s="3"/>
      <c r="L568" s="2" t="str">
        <f>'0_Configuration'!$C$41</f>
        <v>Mg</v>
      </c>
      <c r="M568" s="9"/>
      <c r="N568" s="9"/>
      <c r="O568" s="9"/>
      <c r="P568" s="9"/>
      <c r="Q568" s="18" t="s">
        <v>3</v>
      </c>
      <c r="R568" s="3"/>
      <c r="S568" s="3"/>
      <c r="T568" s="9"/>
      <c r="U568" s="9"/>
      <c r="V568" s="2">
        <f>_xlfn.XLOOKUP(Tab_Data_Flows[[#This Row],[Flow_Name]],Tab_Def_Flows[Flow_Name],Tab_Def_Flows[Flow_E1_Fraction'[%']],"N.A.",0,1)</f>
        <v>0</v>
      </c>
      <c r="W568" s="8">
        <f t="shared" si="17"/>
        <v>0</v>
      </c>
      <c r="X568" s="2" t="str">
        <f>Tab_Data_Flows[[#This Row],[UoM_Source]]</f>
        <v>Mg</v>
      </c>
      <c r="Y568" s="19">
        <f>_xlfn.XLOOKUP(Tab_Data_Flows[[#This Row],[Flow_Name]],Tab_Def_Flows[Flow_Name],Tab_Def_Flows[Flow_E2_Fraction'[%']],"N.A.",0,1)</f>
        <v>0</v>
      </c>
      <c r="Z568" s="2">
        <f>IF(D568="Yes",W568*Tab_Data_Flows[[#This Row],[E2_Fraction'[%']]],"N.A.")</f>
        <v>0</v>
      </c>
      <c r="AA568" s="2" t="str">
        <f>Tab_Data_Flows[[#This Row],[E1_UoM]]</f>
        <v>Mg</v>
      </c>
      <c r="AB568" s="19">
        <f>_xlfn.XLOOKUP(Tab_Data_Flows[[#This Row],[Flow_Name]],Tab_Def_Flows[Flow_Name],Tab_Def_Flows[Flow_E3_Fraction'[%']],"N.A.",0,1)</f>
        <v>0</v>
      </c>
      <c r="AC568" s="2">
        <f>IF(E568="Yes",AB568*Tab_Data_Flows[[#This Row],[E1_value]],"N.A.")</f>
        <v>0</v>
      </c>
      <c r="AD568" s="2" t="str">
        <f>Tab_Data_Flows[[#This Row],[E1_UoM]]</f>
        <v>Mg</v>
      </c>
      <c r="AE568" s="19">
        <f>_xlfn.XLOOKUP(Tab_Data_Flows[[#This Row],[Flow_Name]],Tab_Def_Flows[Flow_Name],Tab_Def_Flows[Flow_E4_Fraction'[%']],"N.A.",0,1)</f>
        <v>0</v>
      </c>
      <c r="AF568" s="2">
        <f>IF(H568="Yes",Tab_Data_Flows[[#This Row],[E4_Fraction'[%']]]*Tab_Data_Flows[[#This Row],[E1_value]],"N.A.")</f>
        <v>0</v>
      </c>
      <c r="AG568" s="2" t="str">
        <f>Tab_Data_Flows[[#This Row],[E1_UoM]]</f>
        <v>Mg</v>
      </c>
      <c r="AH568" s="2">
        <f>_xlfn.XLOOKUP(Tab_Data_Flows[[#This Row],[Flow_Name]],Tab_Def_Flows[Flow_Name],Tab_Def_Flows[Flow_E5_Fraction'[%']],"N.A.",0,1)</f>
        <v>0</v>
      </c>
      <c r="AI568" s="2">
        <f>IF(H568="Yes",Tab_Data_Flows[[#This Row],[E5_Fraction'[%']]]*Tab_Data_Flows[[#This Row],[E1_value]],"N.A.")</f>
        <v>0</v>
      </c>
      <c r="AJ568" s="2" t="str">
        <f>Tab_Data_Flows[[#This Row],[E1_UoM]]</f>
        <v>Mg</v>
      </c>
      <c r="AK568" s="19">
        <f>_xlfn.XLOOKUP(Tab_Data_Flows[[#This Row],[Flow_Name]],Tab_Def_Flows[Flow_Name],Tab_Def_Flows[Flow_E6_Fraction'[%']],"N.A.",0,1)</f>
        <v>0</v>
      </c>
      <c r="AL568" s="2">
        <f>IF(Tab_Data_Flows[[#This Row],[Use_E6]]="Yes",Tab_Data_Flows[[#This Row],[E6_Fraction'[%']]]*Tab_Data_Flows[[#This Row],[E1_value]],"N.A.")</f>
        <v>0</v>
      </c>
      <c r="AM568" s="2" t="str">
        <f>Tab_Data_Flows[[#This Row],[E1_UoM]]</f>
        <v>Mg</v>
      </c>
    </row>
    <row r="569" spans="1:39" x14ac:dyDescent="0.25">
      <c r="A569" s="4">
        <f t="shared" si="12"/>
        <v>568</v>
      </c>
      <c r="B569" s="2" t="str">
        <f>_xlfn.XLOOKUP(C569,Tab_Def_Flows[Flow_Name],Tab_Def_Flows[Flow_ID],,0,)</f>
        <v>F__</v>
      </c>
      <c r="C569" s="18" t="s">
        <v>5</v>
      </c>
      <c r="D569" s="5" t="str">
        <f>_xlfn.XLOOKUP(C569,Tab_Def_Flows[Flow_Name],Tab_Def_Flows[Use_E1],,0,)</f>
        <v>Yes</v>
      </c>
      <c r="E569" s="5" t="str">
        <f>_xlfn.XLOOKUP(C569,Tab_Def_Flows[Flow_Name],Tab_Def_Flows[Use_E2],,0,)</f>
        <v>Yes</v>
      </c>
      <c r="F569" s="5" t="str">
        <f>_xlfn.XLOOKUP(C569,Tab_Def_Flows[Flow_Name],Tab_Def_Flows[Use_E3],,0,)</f>
        <v>Yes</v>
      </c>
      <c r="G569" s="5" t="str">
        <f>_xlfn.XLOOKUP(C569,Tab_Def_Flows[Flow_Name],Tab_Def_Flows[Use_E4],,0,)</f>
        <v>Yes</v>
      </c>
      <c r="H569" s="5" t="str">
        <f>_xlfn.XLOOKUP(C569,Tab_Def_Flows[Flow_Name],Tab_Def_Flows[Use_E5],,0,)</f>
        <v>Yes</v>
      </c>
      <c r="I569" s="5" t="str">
        <f>_xlfn.XLOOKUP(C569,Tab_Def_Flows[Flow_Name],Tab_Def_Flows[Use_E6],,0,)</f>
        <v>Yes</v>
      </c>
      <c r="J569" s="3"/>
      <c r="K569" s="3"/>
      <c r="L569" s="2" t="str">
        <f>'0_Configuration'!$C$41</f>
        <v>Mg</v>
      </c>
      <c r="M569" s="9"/>
      <c r="N569" s="9"/>
      <c r="O569" s="9"/>
      <c r="P569" s="9"/>
      <c r="Q569" s="18" t="s">
        <v>3</v>
      </c>
      <c r="R569" s="3"/>
      <c r="S569" s="3"/>
      <c r="T569" s="9"/>
      <c r="U569" s="9"/>
      <c r="V569" s="2">
        <f>_xlfn.XLOOKUP(Tab_Data_Flows[[#This Row],[Flow_Name]],Tab_Def_Flows[Flow_Name],Tab_Def_Flows[Flow_E1_Fraction'[%']],"N.A.",0,1)</f>
        <v>0</v>
      </c>
      <c r="W569" s="8">
        <f t="shared" si="17"/>
        <v>0</v>
      </c>
      <c r="X569" s="2" t="str">
        <f>Tab_Data_Flows[[#This Row],[UoM_Source]]</f>
        <v>Mg</v>
      </c>
      <c r="Y569" s="19">
        <f>_xlfn.XLOOKUP(Tab_Data_Flows[[#This Row],[Flow_Name]],Tab_Def_Flows[Flow_Name],Tab_Def_Flows[Flow_E2_Fraction'[%']],"N.A.",0,1)</f>
        <v>0</v>
      </c>
      <c r="Z569" s="2">
        <f>IF(D569="Yes",W569*Tab_Data_Flows[[#This Row],[E2_Fraction'[%']]],"N.A.")</f>
        <v>0</v>
      </c>
      <c r="AA569" s="2" t="str">
        <f>Tab_Data_Flows[[#This Row],[E1_UoM]]</f>
        <v>Mg</v>
      </c>
      <c r="AB569" s="19">
        <f>_xlfn.XLOOKUP(Tab_Data_Flows[[#This Row],[Flow_Name]],Tab_Def_Flows[Flow_Name],Tab_Def_Flows[Flow_E3_Fraction'[%']],"N.A.",0,1)</f>
        <v>0</v>
      </c>
      <c r="AC569" s="2">
        <f>IF(E569="Yes",AB569*Tab_Data_Flows[[#This Row],[E1_value]],"N.A.")</f>
        <v>0</v>
      </c>
      <c r="AD569" s="2" t="str">
        <f>Tab_Data_Flows[[#This Row],[E1_UoM]]</f>
        <v>Mg</v>
      </c>
      <c r="AE569" s="19">
        <f>_xlfn.XLOOKUP(Tab_Data_Flows[[#This Row],[Flow_Name]],Tab_Def_Flows[Flow_Name],Tab_Def_Flows[Flow_E4_Fraction'[%']],"N.A.",0,1)</f>
        <v>0</v>
      </c>
      <c r="AF569" s="2">
        <f>IF(H569="Yes",Tab_Data_Flows[[#This Row],[E4_Fraction'[%']]]*Tab_Data_Flows[[#This Row],[E1_value]],"N.A.")</f>
        <v>0</v>
      </c>
      <c r="AG569" s="2" t="str">
        <f>Tab_Data_Flows[[#This Row],[E1_UoM]]</f>
        <v>Mg</v>
      </c>
      <c r="AH569" s="2">
        <f>_xlfn.XLOOKUP(Tab_Data_Flows[[#This Row],[Flow_Name]],Tab_Def_Flows[Flow_Name],Tab_Def_Flows[Flow_E5_Fraction'[%']],"N.A.",0,1)</f>
        <v>0</v>
      </c>
      <c r="AI569" s="2">
        <f>IF(H569="Yes",Tab_Data_Flows[[#This Row],[E5_Fraction'[%']]]*Tab_Data_Flows[[#This Row],[E1_value]],"N.A.")</f>
        <v>0</v>
      </c>
      <c r="AJ569" s="2" t="str">
        <f>Tab_Data_Flows[[#This Row],[E1_UoM]]</f>
        <v>Mg</v>
      </c>
      <c r="AK569" s="19">
        <f>_xlfn.XLOOKUP(Tab_Data_Flows[[#This Row],[Flow_Name]],Tab_Def_Flows[Flow_Name],Tab_Def_Flows[Flow_E6_Fraction'[%']],"N.A.",0,1)</f>
        <v>0</v>
      </c>
      <c r="AL569" s="2">
        <f>IF(Tab_Data_Flows[[#This Row],[Use_E6]]="Yes",Tab_Data_Flows[[#This Row],[E6_Fraction'[%']]]*Tab_Data_Flows[[#This Row],[E1_value]],"N.A.")</f>
        <v>0</v>
      </c>
      <c r="AM569" s="2" t="str">
        <f>Tab_Data_Flows[[#This Row],[E1_UoM]]</f>
        <v>Mg</v>
      </c>
    </row>
    <row r="570" spans="1:39" x14ac:dyDescent="0.25">
      <c r="A570" s="4">
        <f t="shared" si="12"/>
        <v>569</v>
      </c>
      <c r="B570" s="2" t="str">
        <f>_xlfn.XLOOKUP(C570,Tab_Def_Flows[Flow_Name],Tab_Def_Flows[Flow_ID],,0,)</f>
        <v>F__</v>
      </c>
      <c r="C570" s="18" t="s">
        <v>5</v>
      </c>
      <c r="D570" s="5" t="str">
        <f>_xlfn.XLOOKUP(C570,Tab_Def_Flows[Flow_Name],Tab_Def_Flows[Use_E1],,0,)</f>
        <v>Yes</v>
      </c>
      <c r="E570" s="5" t="str">
        <f>_xlfn.XLOOKUP(C570,Tab_Def_Flows[Flow_Name],Tab_Def_Flows[Use_E2],,0,)</f>
        <v>Yes</v>
      </c>
      <c r="F570" s="5" t="str">
        <f>_xlfn.XLOOKUP(C570,Tab_Def_Flows[Flow_Name],Tab_Def_Flows[Use_E3],,0,)</f>
        <v>Yes</v>
      </c>
      <c r="G570" s="5" t="str">
        <f>_xlfn.XLOOKUP(C570,Tab_Def_Flows[Flow_Name],Tab_Def_Flows[Use_E4],,0,)</f>
        <v>Yes</v>
      </c>
      <c r="H570" s="5" t="str">
        <f>_xlfn.XLOOKUP(C570,Tab_Def_Flows[Flow_Name],Tab_Def_Flows[Use_E5],,0,)</f>
        <v>Yes</v>
      </c>
      <c r="I570" s="5" t="str">
        <f>_xlfn.XLOOKUP(C570,Tab_Def_Flows[Flow_Name],Tab_Def_Flows[Use_E6],,0,)</f>
        <v>Yes</v>
      </c>
      <c r="J570" s="3"/>
      <c r="K570" s="3"/>
      <c r="L570" s="2" t="str">
        <f>'0_Configuration'!$C$41</f>
        <v>Mg</v>
      </c>
      <c r="M570" s="9"/>
      <c r="N570" s="9"/>
      <c r="O570" s="9"/>
      <c r="P570" s="9"/>
      <c r="Q570" s="18" t="s">
        <v>3</v>
      </c>
      <c r="R570" s="3"/>
      <c r="S570" s="3"/>
      <c r="T570" s="9"/>
      <c r="U570" s="9"/>
      <c r="V570" s="2">
        <f>_xlfn.XLOOKUP(Tab_Data_Flows[[#This Row],[Flow_Name]],Tab_Def_Flows[Flow_Name],Tab_Def_Flows[Flow_E1_Fraction'[%']],"N.A.",0,1)</f>
        <v>0</v>
      </c>
      <c r="W570" s="8">
        <f t="shared" si="17"/>
        <v>0</v>
      </c>
      <c r="X570" s="2" t="str">
        <f>Tab_Data_Flows[[#This Row],[UoM_Source]]</f>
        <v>Mg</v>
      </c>
      <c r="Y570" s="19">
        <f>_xlfn.XLOOKUP(Tab_Data_Flows[[#This Row],[Flow_Name]],Tab_Def_Flows[Flow_Name],Tab_Def_Flows[Flow_E2_Fraction'[%']],"N.A.",0,1)</f>
        <v>0</v>
      </c>
      <c r="Z570" s="2">
        <f>IF(D570="Yes",W570*Tab_Data_Flows[[#This Row],[E2_Fraction'[%']]],"N.A.")</f>
        <v>0</v>
      </c>
      <c r="AA570" s="2" t="str">
        <f>Tab_Data_Flows[[#This Row],[E1_UoM]]</f>
        <v>Mg</v>
      </c>
      <c r="AB570" s="19">
        <f>_xlfn.XLOOKUP(Tab_Data_Flows[[#This Row],[Flow_Name]],Tab_Def_Flows[Flow_Name],Tab_Def_Flows[Flow_E3_Fraction'[%']],"N.A.",0,1)</f>
        <v>0</v>
      </c>
      <c r="AC570" s="2">
        <f>IF(E570="Yes",AB570*Tab_Data_Flows[[#This Row],[E1_value]],"N.A.")</f>
        <v>0</v>
      </c>
      <c r="AD570" s="2" t="str">
        <f>Tab_Data_Flows[[#This Row],[E1_UoM]]</f>
        <v>Mg</v>
      </c>
      <c r="AE570" s="19">
        <f>_xlfn.XLOOKUP(Tab_Data_Flows[[#This Row],[Flow_Name]],Tab_Def_Flows[Flow_Name],Tab_Def_Flows[Flow_E4_Fraction'[%']],"N.A.",0,1)</f>
        <v>0</v>
      </c>
      <c r="AF570" s="2">
        <f>IF(H570="Yes",Tab_Data_Flows[[#This Row],[E4_Fraction'[%']]]*Tab_Data_Flows[[#This Row],[E1_value]],"N.A.")</f>
        <v>0</v>
      </c>
      <c r="AG570" s="2" t="str">
        <f>Tab_Data_Flows[[#This Row],[E1_UoM]]</f>
        <v>Mg</v>
      </c>
      <c r="AH570" s="2">
        <f>_xlfn.XLOOKUP(Tab_Data_Flows[[#This Row],[Flow_Name]],Tab_Def_Flows[Flow_Name],Tab_Def_Flows[Flow_E5_Fraction'[%']],"N.A.",0,1)</f>
        <v>0</v>
      </c>
      <c r="AI570" s="2">
        <f>IF(H570="Yes",Tab_Data_Flows[[#This Row],[E5_Fraction'[%']]]*Tab_Data_Flows[[#This Row],[E1_value]],"N.A.")</f>
        <v>0</v>
      </c>
      <c r="AJ570" s="2" t="str">
        <f>Tab_Data_Flows[[#This Row],[E1_UoM]]</f>
        <v>Mg</v>
      </c>
      <c r="AK570" s="19">
        <f>_xlfn.XLOOKUP(Tab_Data_Flows[[#This Row],[Flow_Name]],Tab_Def_Flows[Flow_Name],Tab_Def_Flows[Flow_E6_Fraction'[%']],"N.A.",0,1)</f>
        <v>0</v>
      </c>
      <c r="AL570" s="2">
        <f>IF(Tab_Data_Flows[[#This Row],[Use_E6]]="Yes",Tab_Data_Flows[[#This Row],[E6_Fraction'[%']]]*Tab_Data_Flows[[#This Row],[E1_value]],"N.A.")</f>
        <v>0</v>
      </c>
      <c r="AM570" s="2" t="str">
        <f>Tab_Data_Flows[[#This Row],[E1_UoM]]</f>
        <v>Mg</v>
      </c>
    </row>
    <row r="571" spans="1:39" x14ac:dyDescent="0.25">
      <c r="A571" s="4">
        <f t="shared" si="12"/>
        <v>570</v>
      </c>
      <c r="B571" s="2" t="str">
        <f>_xlfn.XLOOKUP(C571,Tab_Def_Flows[Flow_Name],Tab_Def_Flows[Flow_ID],,0,)</f>
        <v>F__</v>
      </c>
      <c r="C571" s="18" t="s">
        <v>5</v>
      </c>
      <c r="D571" s="5" t="str">
        <f>_xlfn.XLOOKUP(C571,Tab_Def_Flows[Flow_Name],Tab_Def_Flows[Use_E1],,0,)</f>
        <v>Yes</v>
      </c>
      <c r="E571" s="5" t="str">
        <f>_xlfn.XLOOKUP(C571,Tab_Def_Flows[Flow_Name],Tab_Def_Flows[Use_E2],,0,)</f>
        <v>Yes</v>
      </c>
      <c r="F571" s="5" t="str">
        <f>_xlfn.XLOOKUP(C571,Tab_Def_Flows[Flow_Name],Tab_Def_Flows[Use_E3],,0,)</f>
        <v>Yes</v>
      </c>
      <c r="G571" s="5" t="str">
        <f>_xlfn.XLOOKUP(C571,Tab_Def_Flows[Flow_Name],Tab_Def_Flows[Use_E4],,0,)</f>
        <v>Yes</v>
      </c>
      <c r="H571" s="5" t="str">
        <f>_xlfn.XLOOKUP(C571,Tab_Def_Flows[Flow_Name],Tab_Def_Flows[Use_E5],,0,)</f>
        <v>Yes</v>
      </c>
      <c r="I571" s="5" t="str">
        <f>_xlfn.XLOOKUP(C571,Tab_Def_Flows[Flow_Name],Tab_Def_Flows[Use_E6],,0,)</f>
        <v>Yes</v>
      </c>
      <c r="J571" s="3"/>
      <c r="K571" s="3"/>
      <c r="L571" s="2" t="str">
        <f>'0_Configuration'!$C$41</f>
        <v>Mg</v>
      </c>
      <c r="M571" s="9"/>
      <c r="N571" s="9"/>
      <c r="O571" s="9"/>
      <c r="P571" s="9"/>
      <c r="Q571" s="18" t="s">
        <v>3</v>
      </c>
      <c r="R571" s="3"/>
      <c r="S571" s="3"/>
      <c r="T571" s="9"/>
      <c r="U571" s="9"/>
      <c r="V571" s="2">
        <f>_xlfn.XLOOKUP(Tab_Data_Flows[[#This Row],[Flow_Name]],Tab_Def_Flows[Flow_Name],Tab_Def_Flows[Flow_E1_Fraction'[%']],"N.A.",0,1)</f>
        <v>0</v>
      </c>
      <c r="W571" s="8">
        <f t="shared" si="17"/>
        <v>0</v>
      </c>
      <c r="X571" s="2" t="str">
        <f>Tab_Data_Flows[[#This Row],[UoM_Source]]</f>
        <v>Mg</v>
      </c>
      <c r="Y571" s="19">
        <f>_xlfn.XLOOKUP(Tab_Data_Flows[[#This Row],[Flow_Name]],Tab_Def_Flows[Flow_Name],Tab_Def_Flows[Flow_E2_Fraction'[%']],"N.A.",0,1)</f>
        <v>0</v>
      </c>
      <c r="Z571" s="2">
        <f>IF(D571="Yes",W571*Tab_Data_Flows[[#This Row],[E2_Fraction'[%']]],"N.A.")</f>
        <v>0</v>
      </c>
      <c r="AA571" s="2" t="str">
        <f>Tab_Data_Flows[[#This Row],[E1_UoM]]</f>
        <v>Mg</v>
      </c>
      <c r="AB571" s="19">
        <f>_xlfn.XLOOKUP(Tab_Data_Flows[[#This Row],[Flow_Name]],Tab_Def_Flows[Flow_Name],Tab_Def_Flows[Flow_E3_Fraction'[%']],"N.A.",0,1)</f>
        <v>0</v>
      </c>
      <c r="AC571" s="2">
        <f>IF(E571="Yes",AB571*Tab_Data_Flows[[#This Row],[E1_value]],"N.A.")</f>
        <v>0</v>
      </c>
      <c r="AD571" s="2" t="str">
        <f>Tab_Data_Flows[[#This Row],[E1_UoM]]</f>
        <v>Mg</v>
      </c>
      <c r="AE571" s="19">
        <f>_xlfn.XLOOKUP(Tab_Data_Flows[[#This Row],[Flow_Name]],Tab_Def_Flows[Flow_Name],Tab_Def_Flows[Flow_E4_Fraction'[%']],"N.A.",0,1)</f>
        <v>0</v>
      </c>
      <c r="AF571" s="2">
        <f>IF(H571="Yes",Tab_Data_Flows[[#This Row],[E4_Fraction'[%']]]*Tab_Data_Flows[[#This Row],[E1_value]],"N.A.")</f>
        <v>0</v>
      </c>
      <c r="AG571" s="2" t="str">
        <f>Tab_Data_Flows[[#This Row],[E1_UoM]]</f>
        <v>Mg</v>
      </c>
      <c r="AH571" s="2">
        <f>_xlfn.XLOOKUP(Tab_Data_Flows[[#This Row],[Flow_Name]],Tab_Def_Flows[Flow_Name],Tab_Def_Flows[Flow_E5_Fraction'[%']],"N.A.",0,1)</f>
        <v>0</v>
      </c>
      <c r="AI571" s="2">
        <f>IF(H571="Yes",Tab_Data_Flows[[#This Row],[E5_Fraction'[%']]]*Tab_Data_Flows[[#This Row],[E1_value]],"N.A.")</f>
        <v>0</v>
      </c>
      <c r="AJ571" s="2" t="str">
        <f>Tab_Data_Flows[[#This Row],[E1_UoM]]</f>
        <v>Mg</v>
      </c>
      <c r="AK571" s="19">
        <f>_xlfn.XLOOKUP(Tab_Data_Flows[[#This Row],[Flow_Name]],Tab_Def_Flows[Flow_Name],Tab_Def_Flows[Flow_E6_Fraction'[%']],"N.A.",0,1)</f>
        <v>0</v>
      </c>
      <c r="AL571" s="2">
        <f>IF(Tab_Data_Flows[[#This Row],[Use_E6]]="Yes",Tab_Data_Flows[[#This Row],[E6_Fraction'[%']]]*Tab_Data_Flows[[#This Row],[E1_value]],"N.A.")</f>
        <v>0</v>
      </c>
      <c r="AM571" s="2" t="str">
        <f>Tab_Data_Flows[[#This Row],[E1_UoM]]</f>
        <v>Mg</v>
      </c>
    </row>
    <row r="572" spans="1:39" x14ac:dyDescent="0.25">
      <c r="A572" s="4">
        <f t="shared" si="12"/>
        <v>571</v>
      </c>
      <c r="B572" s="2" t="str">
        <f>_xlfn.XLOOKUP(C572,Tab_Def_Flows[Flow_Name],Tab_Def_Flows[Flow_ID],,0,)</f>
        <v>F__</v>
      </c>
      <c r="C572" s="18" t="s">
        <v>5</v>
      </c>
      <c r="D572" s="5" t="str">
        <f>_xlfn.XLOOKUP(C572,Tab_Def_Flows[Flow_Name],Tab_Def_Flows[Use_E1],,0,)</f>
        <v>Yes</v>
      </c>
      <c r="E572" s="5" t="str">
        <f>_xlfn.XLOOKUP(C572,Tab_Def_Flows[Flow_Name],Tab_Def_Flows[Use_E2],,0,)</f>
        <v>Yes</v>
      </c>
      <c r="F572" s="5" t="str">
        <f>_xlfn.XLOOKUP(C572,Tab_Def_Flows[Flow_Name],Tab_Def_Flows[Use_E3],,0,)</f>
        <v>Yes</v>
      </c>
      <c r="G572" s="5" t="str">
        <f>_xlfn.XLOOKUP(C572,Tab_Def_Flows[Flow_Name],Tab_Def_Flows[Use_E4],,0,)</f>
        <v>Yes</v>
      </c>
      <c r="H572" s="5" t="str">
        <f>_xlfn.XLOOKUP(C572,Tab_Def_Flows[Flow_Name],Tab_Def_Flows[Use_E5],,0,)</f>
        <v>Yes</v>
      </c>
      <c r="I572" s="5" t="str">
        <f>_xlfn.XLOOKUP(C572,Tab_Def_Flows[Flow_Name],Tab_Def_Flows[Use_E6],,0,)</f>
        <v>Yes</v>
      </c>
      <c r="J572" s="3"/>
      <c r="K572" s="3"/>
      <c r="L572" s="2" t="str">
        <f>'0_Configuration'!$C$41</f>
        <v>Mg</v>
      </c>
      <c r="M572" s="9"/>
      <c r="N572" s="9"/>
      <c r="O572" s="9"/>
      <c r="P572" s="9"/>
      <c r="Q572" s="18" t="s">
        <v>3</v>
      </c>
      <c r="R572" s="3"/>
      <c r="S572" s="3"/>
      <c r="T572" s="9"/>
      <c r="U572" s="9"/>
      <c r="V572" s="2">
        <f>_xlfn.XLOOKUP(Tab_Data_Flows[[#This Row],[Flow_Name]],Tab_Def_Flows[Flow_Name],Tab_Def_Flows[Flow_E1_Fraction'[%']],"N.A.",0,1)</f>
        <v>0</v>
      </c>
      <c r="W572" s="8">
        <f t="shared" si="17"/>
        <v>0</v>
      </c>
      <c r="X572" s="2" t="str">
        <f>Tab_Data_Flows[[#This Row],[UoM_Source]]</f>
        <v>Mg</v>
      </c>
      <c r="Y572" s="19">
        <f>_xlfn.XLOOKUP(Tab_Data_Flows[[#This Row],[Flow_Name]],Tab_Def_Flows[Flow_Name],Tab_Def_Flows[Flow_E2_Fraction'[%']],"N.A.",0,1)</f>
        <v>0</v>
      </c>
      <c r="Z572" s="2">
        <f>IF(D572="Yes",W572*Tab_Data_Flows[[#This Row],[E2_Fraction'[%']]],"N.A.")</f>
        <v>0</v>
      </c>
      <c r="AA572" s="2" t="str">
        <f>Tab_Data_Flows[[#This Row],[E1_UoM]]</f>
        <v>Mg</v>
      </c>
      <c r="AB572" s="19">
        <f>_xlfn.XLOOKUP(Tab_Data_Flows[[#This Row],[Flow_Name]],Tab_Def_Flows[Flow_Name],Tab_Def_Flows[Flow_E3_Fraction'[%']],"N.A.",0,1)</f>
        <v>0</v>
      </c>
      <c r="AC572" s="2">
        <f>IF(E572="Yes",AB572*Tab_Data_Flows[[#This Row],[E1_value]],"N.A.")</f>
        <v>0</v>
      </c>
      <c r="AD572" s="2" t="str">
        <f>Tab_Data_Flows[[#This Row],[E1_UoM]]</f>
        <v>Mg</v>
      </c>
      <c r="AE572" s="19">
        <f>_xlfn.XLOOKUP(Tab_Data_Flows[[#This Row],[Flow_Name]],Tab_Def_Flows[Flow_Name],Tab_Def_Flows[Flow_E4_Fraction'[%']],"N.A.",0,1)</f>
        <v>0</v>
      </c>
      <c r="AF572" s="2">
        <f>IF(H572="Yes",Tab_Data_Flows[[#This Row],[E4_Fraction'[%']]]*Tab_Data_Flows[[#This Row],[E1_value]],"N.A.")</f>
        <v>0</v>
      </c>
      <c r="AG572" s="2" t="str">
        <f>Tab_Data_Flows[[#This Row],[E1_UoM]]</f>
        <v>Mg</v>
      </c>
      <c r="AH572" s="2">
        <f>_xlfn.XLOOKUP(Tab_Data_Flows[[#This Row],[Flow_Name]],Tab_Def_Flows[Flow_Name],Tab_Def_Flows[Flow_E5_Fraction'[%']],"N.A.",0,1)</f>
        <v>0</v>
      </c>
      <c r="AI572" s="2">
        <f>IF(H572="Yes",Tab_Data_Flows[[#This Row],[E5_Fraction'[%']]]*Tab_Data_Flows[[#This Row],[E1_value]],"N.A.")</f>
        <v>0</v>
      </c>
      <c r="AJ572" s="2" t="str">
        <f>Tab_Data_Flows[[#This Row],[E1_UoM]]</f>
        <v>Mg</v>
      </c>
      <c r="AK572" s="19">
        <f>_xlfn.XLOOKUP(Tab_Data_Flows[[#This Row],[Flow_Name]],Tab_Def_Flows[Flow_Name],Tab_Def_Flows[Flow_E6_Fraction'[%']],"N.A.",0,1)</f>
        <v>0</v>
      </c>
      <c r="AL572" s="2">
        <f>IF(Tab_Data_Flows[[#This Row],[Use_E6]]="Yes",Tab_Data_Flows[[#This Row],[E6_Fraction'[%']]]*Tab_Data_Flows[[#This Row],[E1_value]],"N.A.")</f>
        <v>0</v>
      </c>
      <c r="AM572" s="2" t="str">
        <f>Tab_Data_Flows[[#This Row],[E1_UoM]]</f>
        <v>Mg</v>
      </c>
    </row>
    <row r="573" spans="1:39" x14ac:dyDescent="0.25">
      <c r="A573" s="4">
        <f t="shared" si="12"/>
        <v>572</v>
      </c>
      <c r="B573" s="2" t="str">
        <f>_xlfn.XLOOKUP(C573,Tab_Def_Flows[Flow_Name],Tab_Def_Flows[Flow_ID],,0,)</f>
        <v>F__</v>
      </c>
      <c r="C573" s="18" t="s">
        <v>5</v>
      </c>
      <c r="D573" s="5" t="str">
        <f>_xlfn.XLOOKUP(C573,Tab_Def_Flows[Flow_Name],Tab_Def_Flows[Use_E1],,0,)</f>
        <v>Yes</v>
      </c>
      <c r="E573" s="5" t="str">
        <f>_xlfn.XLOOKUP(C573,Tab_Def_Flows[Flow_Name],Tab_Def_Flows[Use_E2],,0,)</f>
        <v>Yes</v>
      </c>
      <c r="F573" s="5" t="str">
        <f>_xlfn.XLOOKUP(C573,Tab_Def_Flows[Flow_Name],Tab_Def_Flows[Use_E3],,0,)</f>
        <v>Yes</v>
      </c>
      <c r="G573" s="5" t="str">
        <f>_xlfn.XLOOKUP(C573,Tab_Def_Flows[Flow_Name],Tab_Def_Flows[Use_E4],,0,)</f>
        <v>Yes</v>
      </c>
      <c r="H573" s="5" t="str">
        <f>_xlfn.XLOOKUP(C573,Tab_Def_Flows[Flow_Name],Tab_Def_Flows[Use_E5],,0,)</f>
        <v>Yes</v>
      </c>
      <c r="I573" s="5" t="str">
        <f>_xlfn.XLOOKUP(C573,Tab_Def_Flows[Flow_Name],Tab_Def_Flows[Use_E6],,0,)</f>
        <v>Yes</v>
      </c>
      <c r="J573" s="3"/>
      <c r="K573" s="3"/>
      <c r="L573" s="2" t="str">
        <f>'0_Configuration'!$C$41</f>
        <v>Mg</v>
      </c>
      <c r="M573" s="9"/>
      <c r="N573" s="9"/>
      <c r="O573" s="9"/>
      <c r="P573" s="9"/>
      <c r="Q573" s="18" t="s">
        <v>3</v>
      </c>
      <c r="R573" s="3"/>
      <c r="S573" s="3"/>
      <c r="T573" s="9"/>
      <c r="U573" s="9"/>
      <c r="V573" s="2">
        <f>_xlfn.XLOOKUP(Tab_Data_Flows[[#This Row],[Flow_Name]],Tab_Def_Flows[Flow_Name],Tab_Def_Flows[Flow_E1_Fraction'[%']],"N.A.",0,1)</f>
        <v>0</v>
      </c>
      <c r="W573" s="8">
        <f t="shared" si="17"/>
        <v>0</v>
      </c>
      <c r="X573" s="2" t="str">
        <f>Tab_Data_Flows[[#This Row],[UoM_Source]]</f>
        <v>Mg</v>
      </c>
      <c r="Y573" s="19">
        <f>_xlfn.XLOOKUP(Tab_Data_Flows[[#This Row],[Flow_Name]],Tab_Def_Flows[Flow_Name],Tab_Def_Flows[Flow_E2_Fraction'[%']],"N.A.",0,1)</f>
        <v>0</v>
      </c>
      <c r="Z573" s="2">
        <f>IF(D573="Yes",W573*Tab_Data_Flows[[#This Row],[E2_Fraction'[%']]],"N.A.")</f>
        <v>0</v>
      </c>
      <c r="AA573" s="2" t="str">
        <f>Tab_Data_Flows[[#This Row],[E1_UoM]]</f>
        <v>Mg</v>
      </c>
      <c r="AB573" s="19">
        <f>_xlfn.XLOOKUP(Tab_Data_Flows[[#This Row],[Flow_Name]],Tab_Def_Flows[Flow_Name],Tab_Def_Flows[Flow_E3_Fraction'[%']],"N.A.",0,1)</f>
        <v>0</v>
      </c>
      <c r="AC573" s="2">
        <f>IF(E573="Yes",AB573*Tab_Data_Flows[[#This Row],[E1_value]],"N.A.")</f>
        <v>0</v>
      </c>
      <c r="AD573" s="2" t="str">
        <f>Tab_Data_Flows[[#This Row],[E1_UoM]]</f>
        <v>Mg</v>
      </c>
      <c r="AE573" s="19">
        <f>_xlfn.XLOOKUP(Tab_Data_Flows[[#This Row],[Flow_Name]],Tab_Def_Flows[Flow_Name],Tab_Def_Flows[Flow_E4_Fraction'[%']],"N.A.",0,1)</f>
        <v>0</v>
      </c>
      <c r="AF573" s="2">
        <f>IF(H573="Yes",Tab_Data_Flows[[#This Row],[E4_Fraction'[%']]]*Tab_Data_Flows[[#This Row],[E1_value]],"N.A.")</f>
        <v>0</v>
      </c>
      <c r="AG573" s="2" t="str">
        <f>Tab_Data_Flows[[#This Row],[E1_UoM]]</f>
        <v>Mg</v>
      </c>
      <c r="AH573" s="2">
        <f>_xlfn.XLOOKUP(Tab_Data_Flows[[#This Row],[Flow_Name]],Tab_Def_Flows[Flow_Name],Tab_Def_Flows[Flow_E5_Fraction'[%']],"N.A.",0,1)</f>
        <v>0</v>
      </c>
      <c r="AI573" s="2">
        <f>IF(H573="Yes",Tab_Data_Flows[[#This Row],[E5_Fraction'[%']]]*Tab_Data_Flows[[#This Row],[E1_value]],"N.A.")</f>
        <v>0</v>
      </c>
      <c r="AJ573" s="2" t="str">
        <f>Tab_Data_Flows[[#This Row],[E1_UoM]]</f>
        <v>Mg</v>
      </c>
      <c r="AK573" s="19">
        <f>_xlfn.XLOOKUP(Tab_Data_Flows[[#This Row],[Flow_Name]],Tab_Def_Flows[Flow_Name],Tab_Def_Flows[Flow_E6_Fraction'[%']],"N.A.",0,1)</f>
        <v>0</v>
      </c>
      <c r="AL573" s="2">
        <f>IF(Tab_Data_Flows[[#This Row],[Use_E6]]="Yes",Tab_Data_Flows[[#This Row],[E6_Fraction'[%']]]*Tab_Data_Flows[[#This Row],[E1_value]],"N.A.")</f>
        <v>0</v>
      </c>
      <c r="AM573" s="2" t="str">
        <f>Tab_Data_Flows[[#This Row],[E1_UoM]]</f>
        <v>Mg</v>
      </c>
    </row>
    <row r="574" spans="1:39" x14ac:dyDescent="0.25">
      <c r="A574" s="4">
        <f t="shared" si="12"/>
        <v>573</v>
      </c>
      <c r="B574" s="2" t="str">
        <f>_xlfn.XLOOKUP(C574,Tab_Def_Flows[Flow_Name],Tab_Def_Flows[Flow_ID],,0,)</f>
        <v>F__</v>
      </c>
      <c r="C574" s="18" t="s">
        <v>5</v>
      </c>
      <c r="D574" s="5" t="str">
        <f>_xlfn.XLOOKUP(C574,Tab_Def_Flows[Flow_Name],Tab_Def_Flows[Use_E1],,0,)</f>
        <v>Yes</v>
      </c>
      <c r="E574" s="5" t="str">
        <f>_xlfn.XLOOKUP(C574,Tab_Def_Flows[Flow_Name],Tab_Def_Flows[Use_E2],,0,)</f>
        <v>Yes</v>
      </c>
      <c r="F574" s="5" t="str">
        <f>_xlfn.XLOOKUP(C574,Tab_Def_Flows[Flow_Name],Tab_Def_Flows[Use_E3],,0,)</f>
        <v>Yes</v>
      </c>
      <c r="G574" s="5" t="str">
        <f>_xlfn.XLOOKUP(C574,Tab_Def_Flows[Flow_Name],Tab_Def_Flows[Use_E4],,0,)</f>
        <v>Yes</v>
      </c>
      <c r="H574" s="5" t="str">
        <f>_xlfn.XLOOKUP(C574,Tab_Def_Flows[Flow_Name],Tab_Def_Flows[Use_E5],,0,)</f>
        <v>Yes</v>
      </c>
      <c r="I574" s="5" t="str">
        <f>_xlfn.XLOOKUP(C574,Tab_Def_Flows[Flow_Name],Tab_Def_Flows[Use_E6],,0,)</f>
        <v>Yes</v>
      </c>
      <c r="J574" s="3"/>
      <c r="K574" s="3"/>
      <c r="L574" s="2" t="str">
        <f>'0_Configuration'!$C$41</f>
        <v>Mg</v>
      </c>
      <c r="M574" s="9"/>
      <c r="N574" s="9"/>
      <c r="O574" s="9"/>
      <c r="P574" s="9"/>
      <c r="Q574" s="18" t="s">
        <v>3</v>
      </c>
      <c r="R574" s="3"/>
      <c r="S574" s="3"/>
      <c r="T574" s="9"/>
      <c r="U574" s="9"/>
      <c r="V574" s="2">
        <f>_xlfn.XLOOKUP(Tab_Data_Flows[[#This Row],[Flow_Name]],Tab_Def_Flows[Flow_Name],Tab_Def_Flows[Flow_E1_Fraction'[%']],"N.A.",0,1)</f>
        <v>0</v>
      </c>
      <c r="W574" s="8">
        <f t="shared" si="17"/>
        <v>0</v>
      </c>
      <c r="X574" s="2" t="str">
        <f>Tab_Data_Flows[[#This Row],[UoM_Source]]</f>
        <v>Mg</v>
      </c>
      <c r="Y574" s="19">
        <f>_xlfn.XLOOKUP(Tab_Data_Flows[[#This Row],[Flow_Name]],Tab_Def_Flows[Flow_Name],Tab_Def_Flows[Flow_E2_Fraction'[%']],"N.A.",0,1)</f>
        <v>0</v>
      </c>
      <c r="Z574" s="2">
        <f>IF(D574="Yes",W574*Tab_Data_Flows[[#This Row],[E2_Fraction'[%']]],"N.A.")</f>
        <v>0</v>
      </c>
      <c r="AA574" s="2" t="str">
        <f>Tab_Data_Flows[[#This Row],[E1_UoM]]</f>
        <v>Mg</v>
      </c>
      <c r="AB574" s="19">
        <f>_xlfn.XLOOKUP(Tab_Data_Flows[[#This Row],[Flow_Name]],Tab_Def_Flows[Flow_Name],Tab_Def_Flows[Flow_E3_Fraction'[%']],"N.A.",0,1)</f>
        <v>0</v>
      </c>
      <c r="AC574" s="2">
        <f>IF(E574="Yes",AB574*Tab_Data_Flows[[#This Row],[E1_value]],"N.A.")</f>
        <v>0</v>
      </c>
      <c r="AD574" s="2" t="str">
        <f>Tab_Data_Flows[[#This Row],[E1_UoM]]</f>
        <v>Mg</v>
      </c>
      <c r="AE574" s="19">
        <f>_xlfn.XLOOKUP(Tab_Data_Flows[[#This Row],[Flow_Name]],Tab_Def_Flows[Flow_Name],Tab_Def_Flows[Flow_E4_Fraction'[%']],"N.A.",0,1)</f>
        <v>0</v>
      </c>
      <c r="AF574" s="2">
        <f>IF(H574="Yes",Tab_Data_Flows[[#This Row],[E4_Fraction'[%']]]*Tab_Data_Flows[[#This Row],[E1_value]],"N.A.")</f>
        <v>0</v>
      </c>
      <c r="AG574" s="2" t="str">
        <f>Tab_Data_Flows[[#This Row],[E1_UoM]]</f>
        <v>Mg</v>
      </c>
      <c r="AH574" s="2">
        <f>_xlfn.XLOOKUP(Tab_Data_Flows[[#This Row],[Flow_Name]],Tab_Def_Flows[Flow_Name],Tab_Def_Flows[Flow_E5_Fraction'[%']],"N.A.",0,1)</f>
        <v>0</v>
      </c>
      <c r="AI574" s="2">
        <f>IF(H574="Yes",Tab_Data_Flows[[#This Row],[E5_Fraction'[%']]]*Tab_Data_Flows[[#This Row],[E1_value]],"N.A.")</f>
        <v>0</v>
      </c>
      <c r="AJ574" s="2" t="str">
        <f>Tab_Data_Flows[[#This Row],[E1_UoM]]</f>
        <v>Mg</v>
      </c>
      <c r="AK574" s="19">
        <f>_xlfn.XLOOKUP(Tab_Data_Flows[[#This Row],[Flow_Name]],Tab_Def_Flows[Flow_Name],Tab_Def_Flows[Flow_E6_Fraction'[%']],"N.A.",0,1)</f>
        <v>0</v>
      </c>
      <c r="AL574" s="2">
        <f>IF(Tab_Data_Flows[[#This Row],[Use_E6]]="Yes",Tab_Data_Flows[[#This Row],[E6_Fraction'[%']]]*Tab_Data_Flows[[#This Row],[E1_value]],"N.A.")</f>
        <v>0</v>
      </c>
      <c r="AM574" s="2" t="str">
        <f>Tab_Data_Flows[[#This Row],[E1_UoM]]</f>
        <v>Mg</v>
      </c>
    </row>
    <row r="575" spans="1:39" x14ac:dyDescent="0.25">
      <c r="A575" s="4">
        <f t="shared" si="12"/>
        <v>574</v>
      </c>
      <c r="B575" s="2" t="str">
        <f>_xlfn.XLOOKUP(C575,Tab_Def_Flows[Flow_Name],Tab_Def_Flows[Flow_ID],,0,)</f>
        <v>F__</v>
      </c>
      <c r="C575" s="18" t="s">
        <v>5</v>
      </c>
      <c r="D575" s="5" t="str">
        <f>_xlfn.XLOOKUP(C575,Tab_Def_Flows[Flow_Name],Tab_Def_Flows[Use_E1],,0,)</f>
        <v>Yes</v>
      </c>
      <c r="E575" s="5" t="str">
        <f>_xlfn.XLOOKUP(C575,Tab_Def_Flows[Flow_Name],Tab_Def_Flows[Use_E2],,0,)</f>
        <v>Yes</v>
      </c>
      <c r="F575" s="5" t="str">
        <f>_xlfn.XLOOKUP(C575,Tab_Def_Flows[Flow_Name],Tab_Def_Flows[Use_E3],,0,)</f>
        <v>Yes</v>
      </c>
      <c r="G575" s="5" t="str">
        <f>_xlfn.XLOOKUP(C575,Tab_Def_Flows[Flow_Name],Tab_Def_Flows[Use_E4],,0,)</f>
        <v>Yes</v>
      </c>
      <c r="H575" s="5" t="str">
        <f>_xlfn.XLOOKUP(C575,Tab_Def_Flows[Flow_Name],Tab_Def_Flows[Use_E5],,0,)</f>
        <v>Yes</v>
      </c>
      <c r="I575" s="5" t="str">
        <f>_xlfn.XLOOKUP(C575,Tab_Def_Flows[Flow_Name],Tab_Def_Flows[Use_E6],,0,)</f>
        <v>Yes</v>
      </c>
      <c r="J575" s="3"/>
      <c r="K575" s="3"/>
      <c r="L575" s="2" t="str">
        <f>'0_Configuration'!$C$41</f>
        <v>Mg</v>
      </c>
      <c r="M575" s="9"/>
      <c r="N575" s="9"/>
      <c r="O575" s="9"/>
      <c r="P575" s="9"/>
      <c r="Q575" s="18" t="s">
        <v>3</v>
      </c>
      <c r="R575" s="3"/>
      <c r="S575" s="3"/>
      <c r="T575" s="9"/>
      <c r="U575" s="9"/>
      <c r="V575" s="2">
        <f>_xlfn.XLOOKUP(Tab_Data_Flows[[#This Row],[Flow_Name]],Tab_Def_Flows[Flow_Name],Tab_Def_Flows[Flow_E1_Fraction'[%']],"N.A.",0,1)</f>
        <v>0</v>
      </c>
      <c r="W575" s="8">
        <f t="shared" si="17"/>
        <v>0</v>
      </c>
      <c r="X575" s="2" t="str">
        <f>Tab_Data_Flows[[#This Row],[UoM_Source]]</f>
        <v>Mg</v>
      </c>
      <c r="Y575" s="19">
        <f>_xlfn.XLOOKUP(Tab_Data_Flows[[#This Row],[Flow_Name]],Tab_Def_Flows[Flow_Name],Tab_Def_Flows[Flow_E2_Fraction'[%']],"N.A.",0,1)</f>
        <v>0</v>
      </c>
      <c r="Z575" s="2">
        <f>IF(D575="Yes",W575*Tab_Data_Flows[[#This Row],[E2_Fraction'[%']]],"N.A.")</f>
        <v>0</v>
      </c>
      <c r="AA575" s="2" t="str">
        <f>Tab_Data_Flows[[#This Row],[E1_UoM]]</f>
        <v>Mg</v>
      </c>
      <c r="AB575" s="19">
        <f>_xlfn.XLOOKUP(Tab_Data_Flows[[#This Row],[Flow_Name]],Tab_Def_Flows[Flow_Name],Tab_Def_Flows[Flow_E3_Fraction'[%']],"N.A.",0,1)</f>
        <v>0</v>
      </c>
      <c r="AC575" s="2">
        <f>IF(E575="Yes",AB575*Tab_Data_Flows[[#This Row],[E1_value]],"N.A.")</f>
        <v>0</v>
      </c>
      <c r="AD575" s="2" t="str">
        <f>Tab_Data_Flows[[#This Row],[E1_UoM]]</f>
        <v>Mg</v>
      </c>
      <c r="AE575" s="19">
        <f>_xlfn.XLOOKUP(Tab_Data_Flows[[#This Row],[Flow_Name]],Tab_Def_Flows[Flow_Name],Tab_Def_Flows[Flow_E4_Fraction'[%']],"N.A.",0,1)</f>
        <v>0</v>
      </c>
      <c r="AF575" s="2">
        <f>IF(H575="Yes",Tab_Data_Flows[[#This Row],[E4_Fraction'[%']]]*Tab_Data_Flows[[#This Row],[E1_value]],"N.A.")</f>
        <v>0</v>
      </c>
      <c r="AG575" s="2" t="str">
        <f>Tab_Data_Flows[[#This Row],[E1_UoM]]</f>
        <v>Mg</v>
      </c>
      <c r="AH575" s="2">
        <f>_xlfn.XLOOKUP(Tab_Data_Flows[[#This Row],[Flow_Name]],Tab_Def_Flows[Flow_Name],Tab_Def_Flows[Flow_E5_Fraction'[%']],"N.A.",0,1)</f>
        <v>0</v>
      </c>
      <c r="AI575" s="2">
        <f>IF(H575="Yes",Tab_Data_Flows[[#This Row],[E5_Fraction'[%']]]*Tab_Data_Flows[[#This Row],[E1_value]],"N.A.")</f>
        <v>0</v>
      </c>
      <c r="AJ575" s="2" t="str">
        <f>Tab_Data_Flows[[#This Row],[E1_UoM]]</f>
        <v>Mg</v>
      </c>
      <c r="AK575" s="19">
        <f>_xlfn.XLOOKUP(Tab_Data_Flows[[#This Row],[Flow_Name]],Tab_Def_Flows[Flow_Name],Tab_Def_Flows[Flow_E6_Fraction'[%']],"N.A.",0,1)</f>
        <v>0</v>
      </c>
      <c r="AL575" s="2">
        <f>IF(Tab_Data_Flows[[#This Row],[Use_E6]]="Yes",Tab_Data_Flows[[#This Row],[E6_Fraction'[%']]]*Tab_Data_Flows[[#This Row],[E1_value]],"N.A.")</f>
        <v>0</v>
      </c>
      <c r="AM575" s="2" t="str">
        <f>Tab_Data_Flows[[#This Row],[E1_UoM]]</f>
        <v>Mg</v>
      </c>
    </row>
    <row r="576" spans="1:39" x14ac:dyDescent="0.25">
      <c r="A576" s="4">
        <f t="shared" si="12"/>
        <v>575</v>
      </c>
      <c r="B576" s="2" t="str">
        <f>_xlfn.XLOOKUP(C576,Tab_Def_Flows[Flow_Name],Tab_Def_Flows[Flow_ID],,0,)</f>
        <v>F__</v>
      </c>
      <c r="C576" s="18" t="s">
        <v>5</v>
      </c>
      <c r="D576" s="5" t="str">
        <f>_xlfn.XLOOKUP(C576,Tab_Def_Flows[Flow_Name],Tab_Def_Flows[Use_E1],,0,)</f>
        <v>Yes</v>
      </c>
      <c r="E576" s="5" t="str">
        <f>_xlfn.XLOOKUP(C576,Tab_Def_Flows[Flow_Name],Tab_Def_Flows[Use_E2],,0,)</f>
        <v>Yes</v>
      </c>
      <c r="F576" s="5" t="str">
        <f>_xlfn.XLOOKUP(C576,Tab_Def_Flows[Flow_Name],Tab_Def_Flows[Use_E3],,0,)</f>
        <v>Yes</v>
      </c>
      <c r="G576" s="5" t="str">
        <f>_xlfn.XLOOKUP(C576,Tab_Def_Flows[Flow_Name],Tab_Def_Flows[Use_E4],,0,)</f>
        <v>Yes</v>
      </c>
      <c r="H576" s="5" t="str">
        <f>_xlfn.XLOOKUP(C576,Tab_Def_Flows[Flow_Name],Tab_Def_Flows[Use_E5],,0,)</f>
        <v>Yes</v>
      </c>
      <c r="I576" s="5" t="str">
        <f>_xlfn.XLOOKUP(C576,Tab_Def_Flows[Flow_Name],Tab_Def_Flows[Use_E6],,0,)</f>
        <v>Yes</v>
      </c>
      <c r="J576" s="3"/>
      <c r="K576" s="3"/>
      <c r="L576" s="2" t="str">
        <f>'0_Configuration'!$C$41</f>
        <v>Mg</v>
      </c>
      <c r="M576" s="9"/>
      <c r="N576" s="9"/>
      <c r="O576" s="9"/>
      <c r="P576" s="9"/>
      <c r="Q576" s="18" t="s">
        <v>3</v>
      </c>
      <c r="R576" s="3"/>
      <c r="S576" s="3"/>
      <c r="T576" s="9"/>
      <c r="U576" s="9"/>
      <c r="V576" s="2">
        <f>_xlfn.XLOOKUP(Tab_Data_Flows[[#This Row],[Flow_Name]],Tab_Def_Flows[Flow_Name],Tab_Def_Flows[Flow_E1_Fraction'[%']],"N.A.",0,1)</f>
        <v>0</v>
      </c>
      <c r="W576" s="8">
        <f t="shared" si="17"/>
        <v>0</v>
      </c>
      <c r="X576" s="2" t="str">
        <f>Tab_Data_Flows[[#This Row],[UoM_Source]]</f>
        <v>Mg</v>
      </c>
      <c r="Y576" s="19">
        <f>_xlfn.XLOOKUP(Tab_Data_Flows[[#This Row],[Flow_Name]],Tab_Def_Flows[Flow_Name],Tab_Def_Flows[Flow_E2_Fraction'[%']],"N.A.",0,1)</f>
        <v>0</v>
      </c>
      <c r="Z576" s="2">
        <f>IF(D576="Yes",W576*Tab_Data_Flows[[#This Row],[E2_Fraction'[%']]],"N.A.")</f>
        <v>0</v>
      </c>
      <c r="AA576" s="2" t="str">
        <f>Tab_Data_Flows[[#This Row],[E1_UoM]]</f>
        <v>Mg</v>
      </c>
      <c r="AB576" s="19">
        <f>_xlfn.XLOOKUP(Tab_Data_Flows[[#This Row],[Flow_Name]],Tab_Def_Flows[Flow_Name],Tab_Def_Flows[Flow_E3_Fraction'[%']],"N.A.",0,1)</f>
        <v>0</v>
      </c>
      <c r="AC576" s="2">
        <f>IF(E576="Yes",AB576*Tab_Data_Flows[[#This Row],[E1_value]],"N.A.")</f>
        <v>0</v>
      </c>
      <c r="AD576" s="2" t="str">
        <f>Tab_Data_Flows[[#This Row],[E1_UoM]]</f>
        <v>Mg</v>
      </c>
      <c r="AE576" s="19">
        <f>_xlfn.XLOOKUP(Tab_Data_Flows[[#This Row],[Flow_Name]],Tab_Def_Flows[Flow_Name],Tab_Def_Flows[Flow_E4_Fraction'[%']],"N.A.",0,1)</f>
        <v>0</v>
      </c>
      <c r="AF576" s="2">
        <f>IF(H576="Yes",Tab_Data_Flows[[#This Row],[E4_Fraction'[%']]]*Tab_Data_Flows[[#This Row],[E1_value]],"N.A.")</f>
        <v>0</v>
      </c>
      <c r="AG576" s="2" t="str">
        <f>Tab_Data_Flows[[#This Row],[E1_UoM]]</f>
        <v>Mg</v>
      </c>
      <c r="AH576" s="2">
        <f>_xlfn.XLOOKUP(Tab_Data_Flows[[#This Row],[Flow_Name]],Tab_Def_Flows[Flow_Name],Tab_Def_Flows[Flow_E5_Fraction'[%']],"N.A.",0,1)</f>
        <v>0</v>
      </c>
      <c r="AI576" s="2">
        <f>IF(H576="Yes",Tab_Data_Flows[[#This Row],[E5_Fraction'[%']]]*Tab_Data_Flows[[#This Row],[E1_value]],"N.A.")</f>
        <v>0</v>
      </c>
      <c r="AJ576" s="2" t="str">
        <f>Tab_Data_Flows[[#This Row],[E1_UoM]]</f>
        <v>Mg</v>
      </c>
      <c r="AK576" s="19">
        <f>_xlfn.XLOOKUP(Tab_Data_Flows[[#This Row],[Flow_Name]],Tab_Def_Flows[Flow_Name],Tab_Def_Flows[Flow_E6_Fraction'[%']],"N.A.",0,1)</f>
        <v>0</v>
      </c>
      <c r="AL576" s="2">
        <f>IF(Tab_Data_Flows[[#This Row],[Use_E6]]="Yes",Tab_Data_Flows[[#This Row],[E6_Fraction'[%']]]*Tab_Data_Flows[[#This Row],[E1_value]],"N.A.")</f>
        <v>0</v>
      </c>
      <c r="AM576" s="2" t="str">
        <f>Tab_Data_Flows[[#This Row],[E1_UoM]]</f>
        <v>Mg</v>
      </c>
    </row>
    <row r="577" spans="1:39" x14ac:dyDescent="0.25">
      <c r="A577" s="4">
        <f t="shared" si="12"/>
        <v>576</v>
      </c>
      <c r="B577" s="2" t="str">
        <f>_xlfn.XLOOKUP(C577,Tab_Def_Flows[Flow_Name],Tab_Def_Flows[Flow_ID],,0,)</f>
        <v>F__</v>
      </c>
      <c r="C577" s="18" t="s">
        <v>5</v>
      </c>
      <c r="D577" s="5" t="str">
        <f>_xlfn.XLOOKUP(C577,Tab_Def_Flows[Flow_Name],Tab_Def_Flows[Use_E1],,0,)</f>
        <v>Yes</v>
      </c>
      <c r="E577" s="5" t="str">
        <f>_xlfn.XLOOKUP(C577,Tab_Def_Flows[Flow_Name],Tab_Def_Flows[Use_E2],,0,)</f>
        <v>Yes</v>
      </c>
      <c r="F577" s="5" t="str">
        <f>_xlfn.XLOOKUP(C577,Tab_Def_Flows[Flow_Name],Tab_Def_Flows[Use_E3],,0,)</f>
        <v>Yes</v>
      </c>
      <c r="G577" s="5" t="str">
        <f>_xlfn.XLOOKUP(C577,Tab_Def_Flows[Flow_Name],Tab_Def_Flows[Use_E4],,0,)</f>
        <v>Yes</v>
      </c>
      <c r="H577" s="5" t="str">
        <f>_xlfn.XLOOKUP(C577,Tab_Def_Flows[Flow_Name],Tab_Def_Flows[Use_E5],,0,)</f>
        <v>Yes</v>
      </c>
      <c r="I577" s="5" t="str">
        <f>_xlfn.XLOOKUP(C577,Tab_Def_Flows[Flow_Name],Tab_Def_Flows[Use_E6],,0,)</f>
        <v>Yes</v>
      </c>
      <c r="J577" s="3"/>
      <c r="K577" s="3"/>
      <c r="L577" s="2" t="str">
        <f>'0_Configuration'!$C$41</f>
        <v>Mg</v>
      </c>
      <c r="M577" s="9"/>
      <c r="N577" s="9"/>
      <c r="O577" s="9"/>
      <c r="P577" s="9"/>
      <c r="Q577" s="18" t="s">
        <v>3</v>
      </c>
      <c r="R577" s="3"/>
      <c r="S577" s="3"/>
      <c r="T577" s="9"/>
      <c r="U577" s="9"/>
      <c r="V577" s="2">
        <f>_xlfn.XLOOKUP(Tab_Data_Flows[[#This Row],[Flow_Name]],Tab_Def_Flows[Flow_Name],Tab_Def_Flows[Flow_E1_Fraction'[%']],"N.A.",0,1)</f>
        <v>0</v>
      </c>
      <c r="W577" s="8">
        <f t="shared" si="17"/>
        <v>0</v>
      </c>
      <c r="X577" s="2" t="str">
        <f>Tab_Data_Flows[[#This Row],[UoM_Source]]</f>
        <v>Mg</v>
      </c>
      <c r="Y577" s="19">
        <f>_xlfn.XLOOKUP(Tab_Data_Flows[[#This Row],[Flow_Name]],Tab_Def_Flows[Flow_Name],Tab_Def_Flows[Flow_E2_Fraction'[%']],"N.A.",0,1)</f>
        <v>0</v>
      </c>
      <c r="Z577" s="2">
        <f>IF(D577="Yes",W577*Tab_Data_Flows[[#This Row],[E2_Fraction'[%']]],"N.A.")</f>
        <v>0</v>
      </c>
      <c r="AA577" s="2" t="str">
        <f>Tab_Data_Flows[[#This Row],[E1_UoM]]</f>
        <v>Mg</v>
      </c>
      <c r="AB577" s="19">
        <f>_xlfn.XLOOKUP(Tab_Data_Flows[[#This Row],[Flow_Name]],Tab_Def_Flows[Flow_Name],Tab_Def_Flows[Flow_E3_Fraction'[%']],"N.A.",0,1)</f>
        <v>0</v>
      </c>
      <c r="AC577" s="2">
        <f>IF(E577="Yes",AB577*Tab_Data_Flows[[#This Row],[E1_value]],"N.A.")</f>
        <v>0</v>
      </c>
      <c r="AD577" s="2" t="str">
        <f>Tab_Data_Flows[[#This Row],[E1_UoM]]</f>
        <v>Mg</v>
      </c>
      <c r="AE577" s="19">
        <f>_xlfn.XLOOKUP(Tab_Data_Flows[[#This Row],[Flow_Name]],Tab_Def_Flows[Flow_Name],Tab_Def_Flows[Flow_E4_Fraction'[%']],"N.A.",0,1)</f>
        <v>0</v>
      </c>
      <c r="AF577" s="2">
        <f>IF(H577="Yes",Tab_Data_Flows[[#This Row],[E4_Fraction'[%']]]*Tab_Data_Flows[[#This Row],[E1_value]],"N.A.")</f>
        <v>0</v>
      </c>
      <c r="AG577" s="2" t="str">
        <f>Tab_Data_Flows[[#This Row],[E1_UoM]]</f>
        <v>Mg</v>
      </c>
      <c r="AH577" s="2">
        <f>_xlfn.XLOOKUP(Tab_Data_Flows[[#This Row],[Flow_Name]],Tab_Def_Flows[Flow_Name],Tab_Def_Flows[Flow_E5_Fraction'[%']],"N.A.",0,1)</f>
        <v>0</v>
      </c>
      <c r="AI577" s="2">
        <f>IF(H577="Yes",Tab_Data_Flows[[#This Row],[E5_Fraction'[%']]]*Tab_Data_Flows[[#This Row],[E1_value]],"N.A.")</f>
        <v>0</v>
      </c>
      <c r="AJ577" s="2" t="str">
        <f>Tab_Data_Flows[[#This Row],[E1_UoM]]</f>
        <v>Mg</v>
      </c>
      <c r="AK577" s="19">
        <f>_xlfn.XLOOKUP(Tab_Data_Flows[[#This Row],[Flow_Name]],Tab_Def_Flows[Flow_Name],Tab_Def_Flows[Flow_E6_Fraction'[%']],"N.A.",0,1)</f>
        <v>0</v>
      </c>
      <c r="AL577" s="2">
        <f>IF(Tab_Data_Flows[[#This Row],[Use_E6]]="Yes",Tab_Data_Flows[[#This Row],[E6_Fraction'[%']]]*Tab_Data_Flows[[#This Row],[E1_value]],"N.A.")</f>
        <v>0</v>
      </c>
      <c r="AM577" s="2" t="str">
        <f>Tab_Data_Flows[[#This Row],[E1_UoM]]</f>
        <v>Mg</v>
      </c>
    </row>
    <row r="578" spans="1:39" x14ac:dyDescent="0.25">
      <c r="A578" s="4">
        <f t="shared" si="12"/>
        <v>577</v>
      </c>
      <c r="B578" s="2" t="str">
        <f>_xlfn.XLOOKUP(C578,Tab_Def_Flows[Flow_Name],Tab_Def_Flows[Flow_ID],,0,)</f>
        <v>F__</v>
      </c>
      <c r="C578" s="18" t="s">
        <v>5</v>
      </c>
      <c r="D578" s="5" t="str">
        <f>_xlfn.XLOOKUP(C578,Tab_Def_Flows[Flow_Name],Tab_Def_Flows[Use_E1],,0,)</f>
        <v>Yes</v>
      </c>
      <c r="E578" s="5" t="str">
        <f>_xlfn.XLOOKUP(C578,Tab_Def_Flows[Flow_Name],Tab_Def_Flows[Use_E2],,0,)</f>
        <v>Yes</v>
      </c>
      <c r="F578" s="5" t="str">
        <f>_xlfn.XLOOKUP(C578,Tab_Def_Flows[Flow_Name],Tab_Def_Flows[Use_E3],,0,)</f>
        <v>Yes</v>
      </c>
      <c r="G578" s="5" t="str">
        <f>_xlfn.XLOOKUP(C578,Tab_Def_Flows[Flow_Name],Tab_Def_Flows[Use_E4],,0,)</f>
        <v>Yes</v>
      </c>
      <c r="H578" s="5" t="str">
        <f>_xlfn.XLOOKUP(C578,Tab_Def_Flows[Flow_Name],Tab_Def_Flows[Use_E5],,0,)</f>
        <v>Yes</v>
      </c>
      <c r="I578" s="5" t="str">
        <f>_xlfn.XLOOKUP(C578,Tab_Def_Flows[Flow_Name],Tab_Def_Flows[Use_E6],,0,)</f>
        <v>Yes</v>
      </c>
      <c r="J578" s="3"/>
      <c r="K578" s="3"/>
      <c r="L578" s="2" t="str">
        <f>'0_Configuration'!$C$41</f>
        <v>Mg</v>
      </c>
      <c r="M578" s="9"/>
      <c r="N578" s="9"/>
      <c r="O578" s="9"/>
      <c r="P578" s="9"/>
      <c r="Q578" s="18" t="s">
        <v>3</v>
      </c>
      <c r="R578" s="3"/>
      <c r="S578" s="3"/>
      <c r="T578" s="9"/>
      <c r="U578" s="9"/>
      <c r="V578" s="2">
        <f>_xlfn.XLOOKUP(Tab_Data_Flows[[#This Row],[Flow_Name]],Tab_Def_Flows[Flow_Name],Tab_Def_Flows[Flow_E1_Fraction'[%']],"N.A.",0,1)</f>
        <v>0</v>
      </c>
      <c r="W578" s="8">
        <f t="shared" si="17"/>
        <v>0</v>
      </c>
      <c r="X578" s="2" t="str">
        <f>Tab_Data_Flows[[#This Row],[UoM_Source]]</f>
        <v>Mg</v>
      </c>
      <c r="Y578" s="19">
        <f>_xlfn.XLOOKUP(Tab_Data_Flows[[#This Row],[Flow_Name]],Tab_Def_Flows[Flow_Name],Tab_Def_Flows[Flow_E2_Fraction'[%']],"N.A.",0,1)</f>
        <v>0</v>
      </c>
      <c r="Z578" s="2">
        <f>IF(D578="Yes",W578*Tab_Data_Flows[[#This Row],[E2_Fraction'[%']]],"N.A.")</f>
        <v>0</v>
      </c>
      <c r="AA578" s="2" t="str">
        <f>Tab_Data_Flows[[#This Row],[E1_UoM]]</f>
        <v>Mg</v>
      </c>
      <c r="AB578" s="19">
        <f>_xlfn.XLOOKUP(Tab_Data_Flows[[#This Row],[Flow_Name]],Tab_Def_Flows[Flow_Name],Tab_Def_Flows[Flow_E3_Fraction'[%']],"N.A.",0,1)</f>
        <v>0</v>
      </c>
      <c r="AC578" s="2">
        <f>IF(E578="Yes",AB578*Tab_Data_Flows[[#This Row],[E1_value]],"N.A.")</f>
        <v>0</v>
      </c>
      <c r="AD578" s="2" t="str">
        <f>Tab_Data_Flows[[#This Row],[E1_UoM]]</f>
        <v>Mg</v>
      </c>
      <c r="AE578" s="19">
        <f>_xlfn.XLOOKUP(Tab_Data_Flows[[#This Row],[Flow_Name]],Tab_Def_Flows[Flow_Name],Tab_Def_Flows[Flow_E4_Fraction'[%']],"N.A.",0,1)</f>
        <v>0</v>
      </c>
      <c r="AF578" s="2">
        <f>IF(H578="Yes",Tab_Data_Flows[[#This Row],[E4_Fraction'[%']]]*Tab_Data_Flows[[#This Row],[E1_value]],"N.A.")</f>
        <v>0</v>
      </c>
      <c r="AG578" s="2" t="str">
        <f>Tab_Data_Flows[[#This Row],[E1_UoM]]</f>
        <v>Mg</v>
      </c>
      <c r="AH578" s="2">
        <f>_xlfn.XLOOKUP(Tab_Data_Flows[[#This Row],[Flow_Name]],Tab_Def_Flows[Flow_Name],Tab_Def_Flows[Flow_E5_Fraction'[%']],"N.A.",0,1)</f>
        <v>0</v>
      </c>
      <c r="AI578" s="2">
        <f>IF(H578="Yes",Tab_Data_Flows[[#This Row],[E5_Fraction'[%']]]*Tab_Data_Flows[[#This Row],[E1_value]],"N.A.")</f>
        <v>0</v>
      </c>
      <c r="AJ578" s="2" t="str">
        <f>Tab_Data_Flows[[#This Row],[E1_UoM]]</f>
        <v>Mg</v>
      </c>
      <c r="AK578" s="19">
        <f>_xlfn.XLOOKUP(Tab_Data_Flows[[#This Row],[Flow_Name]],Tab_Def_Flows[Flow_Name],Tab_Def_Flows[Flow_E6_Fraction'[%']],"N.A.",0,1)</f>
        <v>0</v>
      </c>
      <c r="AL578" s="2">
        <f>IF(Tab_Data_Flows[[#This Row],[Use_E6]]="Yes",Tab_Data_Flows[[#This Row],[E6_Fraction'[%']]]*Tab_Data_Flows[[#This Row],[E1_value]],"N.A.")</f>
        <v>0</v>
      </c>
      <c r="AM578" s="2" t="str">
        <f>Tab_Data_Flows[[#This Row],[E1_UoM]]</f>
        <v>Mg</v>
      </c>
    </row>
    <row r="579" spans="1:39" x14ac:dyDescent="0.25">
      <c r="A579" s="4">
        <f t="shared" si="12"/>
        <v>578</v>
      </c>
      <c r="B579" s="2" t="str">
        <f>_xlfn.XLOOKUP(C579,Tab_Def_Flows[Flow_Name],Tab_Def_Flows[Flow_ID],,0,)</f>
        <v>F__</v>
      </c>
      <c r="C579" s="18" t="s">
        <v>5</v>
      </c>
      <c r="D579" s="5" t="str">
        <f>_xlfn.XLOOKUP(C579,Tab_Def_Flows[Flow_Name],Tab_Def_Flows[Use_E1],,0,)</f>
        <v>Yes</v>
      </c>
      <c r="E579" s="5" t="str">
        <f>_xlfn.XLOOKUP(C579,Tab_Def_Flows[Flow_Name],Tab_Def_Flows[Use_E2],,0,)</f>
        <v>Yes</v>
      </c>
      <c r="F579" s="5" t="str">
        <f>_xlfn.XLOOKUP(C579,Tab_Def_Flows[Flow_Name],Tab_Def_Flows[Use_E3],,0,)</f>
        <v>Yes</v>
      </c>
      <c r="G579" s="5" t="str">
        <f>_xlfn.XLOOKUP(C579,Tab_Def_Flows[Flow_Name],Tab_Def_Flows[Use_E4],,0,)</f>
        <v>Yes</v>
      </c>
      <c r="H579" s="5" t="str">
        <f>_xlfn.XLOOKUP(C579,Tab_Def_Flows[Flow_Name],Tab_Def_Flows[Use_E5],,0,)</f>
        <v>Yes</v>
      </c>
      <c r="I579" s="5" t="str">
        <f>_xlfn.XLOOKUP(C579,Tab_Def_Flows[Flow_Name],Tab_Def_Flows[Use_E6],,0,)</f>
        <v>Yes</v>
      </c>
      <c r="J579" s="3"/>
      <c r="K579" s="3"/>
      <c r="L579" s="2" t="str">
        <f>'0_Configuration'!$C$41</f>
        <v>Mg</v>
      </c>
      <c r="M579" s="9"/>
      <c r="N579" s="9"/>
      <c r="O579" s="9"/>
      <c r="P579" s="9"/>
      <c r="Q579" s="18" t="s">
        <v>3</v>
      </c>
      <c r="R579" s="3"/>
      <c r="S579" s="3"/>
      <c r="T579" s="9"/>
      <c r="U579" s="9"/>
      <c r="V579" s="2">
        <f>_xlfn.XLOOKUP(Tab_Data_Flows[[#This Row],[Flow_Name]],Tab_Def_Flows[Flow_Name],Tab_Def_Flows[Flow_E1_Fraction'[%']],"N.A.",0,1)</f>
        <v>0</v>
      </c>
      <c r="W579" s="8">
        <f t="shared" si="17"/>
        <v>0</v>
      </c>
      <c r="X579" s="2" t="str">
        <f>Tab_Data_Flows[[#This Row],[UoM_Source]]</f>
        <v>Mg</v>
      </c>
      <c r="Y579" s="19">
        <f>_xlfn.XLOOKUP(Tab_Data_Flows[[#This Row],[Flow_Name]],Tab_Def_Flows[Flow_Name],Tab_Def_Flows[Flow_E2_Fraction'[%']],"N.A.",0,1)</f>
        <v>0</v>
      </c>
      <c r="Z579" s="2">
        <f>IF(D579="Yes",W579*Tab_Data_Flows[[#This Row],[E2_Fraction'[%']]],"N.A.")</f>
        <v>0</v>
      </c>
      <c r="AA579" s="2" t="str">
        <f>Tab_Data_Flows[[#This Row],[E1_UoM]]</f>
        <v>Mg</v>
      </c>
      <c r="AB579" s="19">
        <f>_xlfn.XLOOKUP(Tab_Data_Flows[[#This Row],[Flow_Name]],Tab_Def_Flows[Flow_Name],Tab_Def_Flows[Flow_E3_Fraction'[%']],"N.A.",0,1)</f>
        <v>0</v>
      </c>
      <c r="AC579" s="2">
        <f>IF(E579="Yes",AB579*Tab_Data_Flows[[#This Row],[E1_value]],"N.A.")</f>
        <v>0</v>
      </c>
      <c r="AD579" s="2" t="str">
        <f>Tab_Data_Flows[[#This Row],[E1_UoM]]</f>
        <v>Mg</v>
      </c>
      <c r="AE579" s="19">
        <f>_xlfn.XLOOKUP(Tab_Data_Flows[[#This Row],[Flow_Name]],Tab_Def_Flows[Flow_Name],Tab_Def_Flows[Flow_E4_Fraction'[%']],"N.A.",0,1)</f>
        <v>0</v>
      </c>
      <c r="AF579" s="2">
        <f>IF(H579="Yes",Tab_Data_Flows[[#This Row],[E4_Fraction'[%']]]*Tab_Data_Flows[[#This Row],[E1_value]],"N.A.")</f>
        <v>0</v>
      </c>
      <c r="AG579" s="2" t="str">
        <f>Tab_Data_Flows[[#This Row],[E1_UoM]]</f>
        <v>Mg</v>
      </c>
      <c r="AH579" s="2">
        <f>_xlfn.XLOOKUP(Tab_Data_Flows[[#This Row],[Flow_Name]],Tab_Def_Flows[Flow_Name],Tab_Def_Flows[Flow_E5_Fraction'[%']],"N.A.",0,1)</f>
        <v>0</v>
      </c>
      <c r="AI579" s="2">
        <f>IF(H579="Yes",Tab_Data_Flows[[#This Row],[E5_Fraction'[%']]]*Tab_Data_Flows[[#This Row],[E1_value]],"N.A.")</f>
        <v>0</v>
      </c>
      <c r="AJ579" s="2" t="str">
        <f>Tab_Data_Flows[[#This Row],[E1_UoM]]</f>
        <v>Mg</v>
      </c>
      <c r="AK579" s="19">
        <f>_xlfn.XLOOKUP(Tab_Data_Flows[[#This Row],[Flow_Name]],Tab_Def_Flows[Flow_Name],Tab_Def_Flows[Flow_E6_Fraction'[%']],"N.A.",0,1)</f>
        <v>0</v>
      </c>
      <c r="AL579" s="2">
        <f>IF(Tab_Data_Flows[[#This Row],[Use_E6]]="Yes",Tab_Data_Flows[[#This Row],[E6_Fraction'[%']]]*Tab_Data_Flows[[#This Row],[E1_value]],"N.A.")</f>
        <v>0</v>
      </c>
      <c r="AM579" s="2" t="str">
        <f>Tab_Data_Flows[[#This Row],[E1_UoM]]</f>
        <v>Mg</v>
      </c>
    </row>
    <row r="580" spans="1:39" x14ac:dyDescent="0.25">
      <c r="A580" s="4">
        <f t="shared" si="12"/>
        <v>579</v>
      </c>
      <c r="B580" s="2" t="str">
        <f>_xlfn.XLOOKUP(C580,Tab_Def_Flows[Flow_Name],Tab_Def_Flows[Flow_ID],,0,)</f>
        <v>F__</v>
      </c>
      <c r="C580" s="18" t="s">
        <v>5</v>
      </c>
      <c r="D580" s="5" t="str">
        <f>_xlfn.XLOOKUP(C580,Tab_Def_Flows[Flow_Name],Tab_Def_Flows[Use_E1],,0,)</f>
        <v>Yes</v>
      </c>
      <c r="E580" s="5" t="str">
        <f>_xlfn.XLOOKUP(C580,Tab_Def_Flows[Flow_Name],Tab_Def_Flows[Use_E2],,0,)</f>
        <v>Yes</v>
      </c>
      <c r="F580" s="5" t="str">
        <f>_xlfn.XLOOKUP(C580,Tab_Def_Flows[Flow_Name],Tab_Def_Flows[Use_E3],,0,)</f>
        <v>Yes</v>
      </c>
      <c r="G580" s="5" t="str">
        <f>_xlfn.XLOOKUP(C580,Tab_Def_Flows[Flow_Name],Tab_Def_Flows[Use_E4],,0,)</f>
        <v>Yes</v>
      </c>
      <c r="H580" s="5" t="str">
        <f>_xlfn.XLOOKUP(C580,Tab_Def_Flows[Flow_Name],Tab_Def_Flows[Use_E5],,0,)</f>
        <v>Yes</v>
      </c>
      <c r="I580" s="5" t="str">
        <f>_xlfn.XLOOKUP(C580,Tab_Def_Flows[Flow_Name],Tab_Def_Flows[Use_E6],,0,)</f>
        <v>Yes</v>
      </c>
      <c r="J580" s="3"/>
      <c r="K580" s="3"/>
      <c r="L580" s="2" t="str">
        <f>'0_Configuration'!$C$41</f>
        <v>Mg</v>
      </c>
      <c r="M580" s="9"/>
      <c r="N580" s="9"/>
      <c r="O580" s="9"/>
      <c r="P580" s="9"/>
      <c r="Q580" s="18" t="s">
        <v>3</v>
      </c>
      <c r="R580" s="3"/>
      <c r="S580" s="3"/>
      <c r="T580" s="9"/>
      <c r="U580" s="9"/>
      <c r="V580" s="2">
        <f>_xlfn.XLOOKUP(Tab_Data_Flows[[#This Row],[Flow_Name]],Tab_Def_Flows[Flow_Name],Tab_Def_Flows[Flow_E1_Fraction'[%']],"N.A.",0,1)</f>
        <v>0</v>
      </c>
      <c r="W580" s="8">
        <f t="shared" si="17"/>
        <v>0</v>
      </c>
      <c r="X580" s="2" t="str">
        <f>Tab_Data_Flows[[#This Row],[UoM_Source]]</f>
        <v>Mg</v>
      </c>
      <c r="Y580" s="19">
        <f>_xlfn.XLOOKUP(Tab_Data_Flows[[#This Row],[Flow_Name]],Tab_Def_Flows[Flow_Name],Tab_Def_Flows[Flow_E2_Fraction'[%']],"N.A.",0,1)</f>
        <v>0</v>
      </c>
      <c r="Z580" s="2">
        <f>IF(D580="Yes",W580*Tab_Data_Flows[[#This Row],[E2_Fraction'[%']]],"N.A.")</f>
        <v>0</v>
      </c>
      <c r="AA580" s="2" t="str">
        <f>Tab_Data_Flows[[#This Row],[E1_UoM]]</f>
        <v>Mg</v>
      </c>
      <c r="AB580" s="19">
        <f>_xlfn.XLOOKUP(Tab_Data_Flows[[#This Row],[Flow_Name]],Tab_Def_Flows[Flow_Name],Tab_Def_Flows[Flow_E3_Fraction'[%']],"N.A.",0,1)</f>
        <v>0</v>
      </c>
      <c r="AC580" s="2">
        <f>IF(E580="Yes",AB580*Tab_Data_Flows[[#This Row],[E1_value]],"N.A.")</f>
        <v>0</v>
      </c>
      <c r="AD580" s="2" t="str">
        <f>Tab_Data_Flows[[#This Row],[E1_UoM]]</f>
        <v>Mg</v>
      </c>
      <c r="AE580" s="19">
        <f>_xlfn.XLOOKUP(Tab_Data_Flows[[#This Row],[Flow_Name]],Tab_Def_Flows[Flow_Name],Tab_Def_Flows[Flow_E4_Fraction'[%']],"N.A.",0,1)</f>
        <v>0</v>
      </c>
      <c r="AF580" s="2">
        <f>IF(H580="Yes",Tab_Data_Flows[[#This Row],[E4_Fraction'[%']]]*Tab_Data_Flows[[#This Row],[E1_value]],"N.A.")</f>
        <v>0</v>
      </c>
      <c r="AG580" s="2" t="str">
        <f>Tab_Data_Flows[[#This Row],[E1_UoM]]</f>
        <v>Mg</v>
      </c>
      <c r="AH580" s="2">
        <f>_xlfn.XLOOKUP(Tab_Data_Flows[[#This Row],[Flow_Name]],Tab_Def_Flows[Flow_Name],Tab_Def_Flows[Flow_E5_Fraction'[%']],"N.A.",0,1)</f>
        <v>0</v>
      </c>
      <c r="AI580" s="2">
        <f>IF(H580="Yes",Tab_Data_Flows[[#This Row],[E5_Fraction'[%']]]*Tab_Data_Flows[[#This Row],[E1_value]],"N.A.")</f>
        <v>0</v>
      </c>
      <c r="AJ580" s="2" t="str">
        <f>Tab_Data_Flows[[#This Row],[E1_UoM]]</f>
        <v>Mg</v>
      </c>
      <c r="AK580" s="19">
        <f>_xlfn.XLOOKUP(Tab_Data_Flows[[#This Row],[Flow_Name]],Tab_Def_Flows[Flow_Name],Tab_Def_Flows[Flow_E6_Fraction'[%']],"N.A.",0,1)</f>
        <v>0</v>
      </c>
      <c r="AL580" s="2">
        <f>IF(Tab_Data_Flows[[#This Row],[Use_E6]]="Yes",Tab_Data_Flows[[#This Row],[E6_Fraction'[%']]]*Tab_Data_Flows[[#This Row],[E1_value]],"N.A.")</f>
        <v>0</v>
      </c>
      <c r="AM580" s="2" t="str">
        <f>Tab_Data_Flows[[#This Row],[E1_UoM]]</f>
        <v>Mg</v>
      </c>
    </row>
    <row r="581" spans="1:39" x14ac:dyDescent="0.25">
      <c r="A581" s="4">
        <f t="shared" si="12"/>
        <v>580</v>
      </c>
      <c r="B581" s="2" t="str">
        <f>_xlfn.XLOOKUP(C581,Tab_Def_Flows[Flow_Name],Tab_Def_Flows[Flow_ID],,0,)</f>
        <v>F__</v>
      </c>
      <c r="C581" s="18" t="s">
        <v>5</v>
      </c>
      <c r="D581" s="5" t="str">
        <f>_xlfn.XLOOKUP(C581,Tab_Def_Flows[Flow_Name],Tab_Def_Flows[Use_E1],,0,)</f>
        <v>Yes</v>
      </c>
      <c r="E581" s="5" t="str">
        <f>_xlfn.XLOOKUP(C581,Tab_Def_Flows[Flow_Name],Tab_Def_Flows[Use_E2],,0,)</f>
        <v>Yes</v>
      </c>
      <c r="F581" s="5" t="str">
        <f>_xlfn.XLOOKUP(C581,Tab_Def_Flows[Flow_Name],Tab_Def_Flows[Use_E3],,0,)</f>
        <v>Yes</v>
      </c>
      <c r="G581" s="5" t="str">
        <f>_xlfn.XLOOKUP(C581,Tab_Def_Flows[Flow_Name],Tab_Def_Flows[Use_E4],,0,)</f>
        <v>Yes</v>
      </c>
      <c r="H581" s="5" t="str">
        <f>_xlfn.XLOOKUP(C581,Tab_Def_Flows[Flow_Name],Tab_Def_Flows[Use_E5],,0,)</f>
        <v>Yes</v>
      </c>
      <c r="I581" s="5" t="str">
        <f>_xlfn.XLOOKUP(C581,Tab_Def_Flows[Flow_Name],Tab_Def_Flows[Use_E6],,0,)</f>
        <v>Yes</v>
      </c>
      <c r="J581" s="3"/>
      <c r="K581" s="3"/>
      <c r="L581" s="2" t="str">
        <f>'0_Configuration'!$C$41</f>
        <v>Mg</v>
      </c>
      <c r="M581" s="9"/>
      <c r="N581" s="9"/>
      <c r="O581" s="9"/>
      <c r="P581" s="9"/>
      <c r="Q581" s="18" t="s">
        <v>3</v>
      </c>
      <c r="R581" s="3"/>
      <c r="S581" s="3"/>
      <c r="T581" s="9"/>
      <c r="U581" s="9"/>
      <c r="V581" s="2">
        <f>_xlfn.XLOOKUP(Tab_Data_Flows[[#This Row],[Flow_Name]],Tab_Def_Flows[Flow_Name],Tab_Def_Flows[Flow_E1_Fraction'[%']],"N.A.",0,1)</f>
        <v>0</v>
      </c>
      <c r="W581" s="8">
        <f t="shared" si="17"/>
        <v>0</v>
      </c>
      <c r="X581" s="2" t="str">
        <f>Tab_Data_Flows[[#This Row],[UoM_Source]]</f>
        <v>Mg</v>
      </c>
      <c r="Y581" s="19">
        <f>_xlfn.XLOOKUP(Tab_Data_Flows[[#This Row],[Flow_Name]],Tab_Def_Flows[Flow_Name],Tab_Def_Flows[Flow_E2_Fraction'[%']],"N.A.",0,1)</f>
        <v>0</v>
      </c>
      <c r="Z581" s="2">
        <f>IF(D581="Yes",W581*Tab_Data_Flows[[#This Row],[E2_Fraction'[%']]],"N.A.")</f>
        <v>0</v>
      </c>
      <c r="AA581" s="2" t="str">
        <f>Tab_Data_Flows[[#This Row],[E1_UoM]]</f>
        <v>Mg</v>
      </c>
      <c r="AB581" s="19">
        <f>_xlfn.XLOOKUP(Tab_Data_Flows[[#This Row],[Flow_Name]],Tab_Def_Flows[Flow_Name],Tab_Def_Flows[Flow_E3_Fraction'[%']],"N.A.",0,1)</f>
        <v>0</v>
      </c>
      <c r="AC581" s="2">
        <f>IF(E581="Yes",AB581*Tab_Data_Flows[[#This Row],[E1_value]],"N.A.")</f>
        <v>0</v>
      </c>
      <c r="AD581" s="2" t="str">
        <f>Tab_Data_Flows[[#This Row],[E1_UoM]]</f>
        <v>Mg</v>
      </c>
      <c r="AE581" s="19">
        <f>_xlfn.XLOOKUP(Tab_Data_Flows[[#This Row],[Flow_Name]],Tab_Def_Flows[Flow_Name],Tab_Def_Flows[Flow_E4_Fraction'[%']],"N.A.",0,1)</f>
        <v>0</v>
      </c>
      <c r="AF581" s="2">
        <f>IF(H581="Yes",Tab_Data_Flows[[#This Row],[E4_Fraction'[%']]]*Tab_Data_Flows[[#This Row],[E1_value]],"N.A.")</f>
        <v>0</v>
      </c>
      <c r="AG581" s="2" t="str">
        <f>Tab_Data_Flows[[#This Row],[E1_UoM]]</f>
        <v>Mg</v>
      </c>
      <c r="AH581" s="2">
        <f>_xlfn.XLOOKUP(Tab_Data_Flows[[#This Row],[Flow_Name]],Tab_Def_Flows[Flow_Name],Tab_Def_Flows[Flow_E5_Fraction'[%']],"N.A.",0,1)</f>
        <v>0</v>
      </c>
      <c r="AI581" s="2">
        <f>IF(H581="Yes",Tab_Data_Flows[[#This Row],[E5_Fraction'[%']]]*Tab_Data_Flows[[#This Row],[E1_value]],"N.A.")</f>
        <v>0</v>
      </c>
      <c r="AJ581" s="2" t="str">
        <f>Tab_Data_Flows[[#This Row],[E1_UoM]]</f>
        <v>Mg</v>
      </c>
      <c r="AK581" s="19">
        <f>_xlfn.XLOOKUP(Tab_Data_Flows[[#This Row],[Flow_Name]],Tab_Def_Flows[Flow_Name],Tab_Def_Flows[Flow_E6_Fraction'[%']],"N.A.",0,1)</f>
        <v>0</v>
      </c>
      <c r="AL581" s="2">
        <f>IF(Tab_Data_Flows[[#This Row],[Use_E6]]="Yes",Tab_Data_Flows[[#This Row],[E6_Fraction'[%']]]*Tab_Data_Flows[[#This Row],[E1_value]],"N.A.")</f>
        <v>0</v>
      </c>
      <c r="AM581" s="2" t="str">
        <f>Tab_Data_Flows[[#This Row],[E1_UoM]]</f>
        <v>Mg</v>
      </c>
    </row>
    <row r="582" spans="1:39" x14ac:dyDescent="0.25">
      <c r="A582" s="4">
        <f t="shared" si="12"/>
        <v>581</v>
      </c>
      <c r="B582" s="2" t="str">
        <f>_xlfn.XLOOKUP(C582,Tab_Def_Flows[Flow_Name],Tab_Def_Flows[Flow_ID],,0,)</f>
        <v>F__</v>
      </c>
      <c r="C582" s="18" t="s">
        <v>5</v>
      </c>
      <c r="D582" s="5" t="str">
        <f>_xlfn.XLOOKUP(C582,Tab_Def_Flows[Flow_Name],Tab_Def_Flows[Use_E1],,0,)</f>
        <v>Yes</v>
      </c>
      <c r="E582" s="5" t="str">
        <f>_xlfn.XLOOKUP(C582,Tab_Def_Flows[Flow_Name],Tab_Def_Flows[Use_E2],,0,)</f>
        <v>Yes</v>
      </c>
      <c r="F582" s="5" t="str">
        <f>_xlfn.XLOOKUP(C582,Tab_Def_Flows[Flow_Name],Tab_Def_Flows[Use_E3],,0,)</f>
        <v>Yes</v>
      </c>
      <c r="G582" s="5" t="str">
        <f>_xlfn.XLOOKUP(C582,Tab_Def_Flows[Flow_Name],Tab_Def_Flows[Use_E4],,0,)</f>
        <v>Yes</v>
      </c>
      <c r="H582" s="5" t="str">
        <f>_xlfn.XLOOKUP(C582,Tab_Def_Flows[Flow_Name],Tab_Def_Flows[Use_E5],,0,)</f>
        <v>Yes</v>
      </c>
      <c r="I582" s="5" t="str">
        <f>_xlfn.XLOOKUP(C582,Tab_Def_Flows[Flow_Name],Tab_Def_Flows[Use_E6],,0,)</f>
        <v>Yes</v>
      </c>
      <c r="J582" s="3"/>
      <c r="K582" s="3"/>
      <c r="L582" s="2" t="str">
        <f>'0_Configuration'!$C$41</f>
        <v>Mg</v>
      </c>
      <c r="M582" s="9"/>
      <c r="N582" s="9"/>
      <c r="O582" s="9"/>
      <c r="P582" s="9"/>
      <c r="Q582" s="18" t="s">
        <v>3</v>
      </c>
      <c r="R582" s="3"/>
      <c r="S582" s="3"/>
      <c r="T582" s="9"/>
      <c r="U582" s="9"/>
      <c r="V582" s="2">
        <f>_xlfn.XLOOKUP(Tab_Data_Flows[[#This Row],[Flow_Name]],Tab_Def_Flows[Flow_Name],Tab_Def_Flows[Flow_E1_Fraction'[%']],"N.A.",0,1)</f>
        <v>0</v>
      </c>
      <c r="W582" s="8">
        <f t="shared" si="17"/>
        <v>0</v>
      </c>
      <c r="X582" s="2" t="str">
        <f>Tab_Data_Flows[[#This Row],[UoM_Source]]</f>
        <v>Mg</v>
      </c>
      <c r="Y582" s="19">
        <f>_xlfn.XLOOKUP(Tab_Data_Flows[[#This Row],[Flow_Name]],Tab_Def_Flows[Flow_Name],Tab_Def_Flows[Flow_E2_Fraction'[%']],"N.A.",0,1)</f>
        <v>0</v>
      </c>
      <c r="Z582" s="2">
        <f>IF(D582="Yes",W582*Tab_Data_Flows[[#This Row],[E2_Fraction'[%']]],"N.A.")</f>
        <v>0</v>
      </c>
      <c r="AA582" s="2" t="str">
        <f>Tab_Data_Flows[[#This Row],[E1_UoM]]</f>
        <v>Mg</v>
      </c>
      <c r="AB582" s="19">
        <f>_xlfn.XLOOKUP(Tab_Data_Flows[[#This Row],[Flow_Name]],Tab_Def_Flows[Flow_Name],Tab_Def_Flows[Flow_E3_Fraction'[%']],"N.A.",0,1)</f>
        <v>0</v>
      </c>
      <c r="AC582" s="2">
        <f>IF(E582="Yes",AB582*Tab_Data_Flows[[#This Row],[E1_value]],"N.A.")</f>
        <v>0</v>
      </c>
      <c r="AD582" s="2" t="str">
        <f>Tab_Data_Flows[[#This Row],[E1_UoM]]</f>
        <v>Mg</v>
      </c>
      <c r="AE582" s="19">
        <f>_xlfn.XLOOKUP(Tab_Data_Flows[[#This Row],[Flow_Name]],Tab_Def_Flows[Flow_Name],Tab_Def_Flows[Flow_E4_Fraction'[%']],"N.A.",0,1)</f>
        <v>0</v>
      </c>
      <c r="AF582" s="2">
        <f>IF(H582="Yes",Tab_Data_Flows[[#This Row],[E4_Fraction'[%']]]*Tab_Data_Flows[[#This Row],[E1_value]],"N.A.")</f>
        <v>0</v>
      </c>
      <c r="AG582" s="2" t="str">
        <f>Tab_Data_Flows[[#This Row],[E1_UoM]]</f>
        <v>Mg</v>
      </c>
      <c r="AH582" s="2">
        <f>_xlfn.XLOOKUP(Tab_Data_Flows[[#This Row],[Flow_Name]],Tab_Def_Flows[Flow_Name],Tab_Def_Flows[Flow_E5_Fraction'[%']],"N.A.",0,1)</f>
        <v>0</v>
      </c>
      <c r="AI582" s="2">
        <f>IF(H582="Yes",Tab_Data_Flows[[#This Row],[E5_Fraction'[%']]]*Tab_Data_Flows[[#This Row],[E1_value]],"N.A.")</f>
        <v>0</v>
      </c>
      <c r="AJ582" s="2" t="str">
        <f>Tab_Data_Flows[[#This Row],[E1_UoM]]</f>
        <v>Mg</v>
      </c>
      <c r="AK582" s="19">
        <f>_xlfn.XLOOKUP(Tab_Data_Flows[[#This Row],[Flow_Name]],Tab_Def_Flows[Flow_Name],Tab_Def_Flows[Flow_E6_Fraction'[%']],"N.A.",0,1)</f>
        <v>0</v>
      </c>
      <c r="AL582" s="2">
        <f>IF(Tab_Data_Flows[[#This Row],[Use_E6]]="Yes",Tab_Data_Flows[[#This Row],[E6_Fraction'[%']]]*Tab_Data_Flows[[#This Row],[E1_value]],"N.A.")</f>
        <v>0</v>
      </c>
      <c r="AM582" s="2" t="str">
        <f>Tab_Data_Flows[[#This Row],[E1_UoM]]</f>
        <v>Mg</v>
      </c>
    </row>
    <row r="583" spans="1:39" x14ac:dyDescent="0.25">
      <c r="A583" s="4">
        <f t="shared" si="12"/>
        <v>582</v>
      </c>
      <c r="B583" s="2" t="str">
        <f>_xlfn.XLOOKUP(C583,Tab_Def_Flows[Flow_Name],Tab_Def_Flows[Flow_ID],,0,)</f>
        <v>F__</v>
      </c>
      <c r="C583" s="18" t="s">
        <v>5</v>
      </c>
      <c r="D583" s="5" t="str">
        <f>_xlfn.XLOOKUP(C583,Tab_Def_Flows[Flow_Name],Tab_Def_Flows[Use_E1],,0,)</f>
        <v>Yes</v>
      </c>
      <c r="E583" s="5" t="str">
        <f>_xlfn.XLOOKUP(C583,Tab_Def_Flows[Flow_Name],Tab_Def_Flows[Use_E2],,0,)</f>
        <v>Yes</v>
      </c>
      <c r="F583" s="5" t="str">
        <f>_xlfn.XLOOKUP(C583,Tab_Def_Flows[Flow_Name],Tab_Def_Flows[Use_E3],,0,)</f>
        <v>Yes</v>
      </c>
      <c r="G583" s="5" t="str">
        <f>_xlfn.XLOOKUP(C583,Tab_Def_Flows[Flow_Name],Tab_Def_Flows[Use_E4],,0,)</f>
        <v>Yes</v>
      </c>
      <c r="H583" s="5" t="str">
        <f>_xlfn.XLOOKUP(C583,Tab_Def_Flows[Flow_Name],Tab_Def_Flows[Use_E5],,0,)</f>
        <v>Yes</v>
      </c>
      <c r="I583" s="5" t="str">
        <f>_xlfn.XLOOKUP(C583,Tab_Def_Flows[Flow_Name],Tab_Def_Flows[Use_E6],,0,)</f>
        <v>Yes</v>
      </c>
      <c r="J583" s="3"/>
      <c r="K583" s="3"/>
      <c r="L583" s="2" t="str">
        <f>'0_Configuration'!$C$41</f>
        <v>Mg</v>
      </c>
      <c r="M583" s="9"/>
      <c r="N583" s="9"/>
      <c r="O583" s="9"/>
      <c r="P583" s="9"/>
      <c r="Q583" s="18" t="s">
        <v>3</v>
      </c>
      <c r="R583" s="3"/>
      <c r="S583" s="3"/>
      <c r="T583" s="9"/>
      <c r="U583" s="9"/>
      <c r="V583" s="2">
        <f>_xlfn.XLOOKUP(Tab_Data_Flows[[#This Row],[Flow_Name]],Tab_Def_Flows[Flow_Name],Tab_Def_Flows[Flow_E1_Fraction'[%']],"N.A.",0,1)</f>
        <v>0</v>
      </c>
      <c r="W583" s="8">
        <f t="shared" si="17"/>
        <v>0</v>
      </c>
      <c r="X583" s="2" t="str">
        <f>Tab_Data_Flows[[#This Row],[UoM_Source]]</f>
        <v>Mg</v>
      </c>
      <c r="Y583" s="19">
        <f>_xlfn.XLOOKUP(Tab_Data_Flows[[#This Row],[Flow_Name]],Tab_Def_Flows[Flow_Name],Tab_Def_Flows[Flow_E2_Fraction'[%']],"N.A.",0,1)</f>
        <v>0</v>
      </c>
      <c r="Z583" s="2">
        <f>IF(D583="Yes",W583*Tab_Data_Flows[[#This Row],[E2_Fraction'[%']]],"N.A.")</f>
        <v>0</v>
      </c>
      <c r="AA583" s="2" t="str">
        <f>Tab_Data_Flows[[#This Row],[E1_UoM]]</f>
        <v>Mg</v>
      </c>
      <c r="AB583" s="19">
        <f>_xlfn.XLOOKUP(Tab_Data_Flows[[#This Row],[Flow_Name]],Tab_Def_Flows[Flow_Name],Tab_Def_Flows[Flow_E3_Fraction'[%']],"N.A.",0,1)</f>
        <v>0</v>
      </c>
      <c r="AC583" s="2">
        <f>IF(E583="Yes",AB583*Tab_Data_Flows[[#This Row],[E1_value]],"N.A.")</f>
        <v>0</v>
      </c>
      <c r="AD583" s="2" t="str">
        <f>Tab_Data_Flows[[#This Row],[E1_UoM]]</f>
        <v>Mg</v>
      </c>
      <c r="AE583" s="19">
        <f>_xlfn.XLOOKUP(Tab_Data_Flows[[#This Row],[Flow_Name]],Tab_Def_Flows[Flow_Name],Tab_Def_Flows[Flow_E4_Fraction'[%']],"N.A.",0,1)</f>
        <v>0</v>
      </c>
      <c r="AF583" s="2">
        <f>IF(H583="Yes",Tab_Data_Flows[[#This Row],[E4_Fraction'[%']]]*Tab_Data_Flows[[#This Row],[E1_value]],"N.A.")</f>
        <v>0</v>
      </c>
      <c r="AG583" s="2" t="str">
        <f>Tab_Data_Flows[[#This Row],[E1_UoM]]</f>
        <v>Mg</v>
      </c>
      <c r="AH583" s="2">
        <f>_xlfn.XLOOKUP(Tab_Data_Flows[[#This Row],[Flow_Name]],Tab_Def_Flows[Flow_Name],Tab_Def_Flows[Flow_E5_Fraction'[%']],"N.A.",0,1)</f>
        <v>0</v>
      </c>
      <c r="AI583" s="2">
        <f>IF(H583="Yes",Tab_Data_Flows[[#This Row],[E5_Fraction'[%']]]*Tab_Data_Flows[[#This Row],[E1_value]],"N.A.")</f>
        <v>0</v>
      </c>
      <c r="AJ583" s="2" t="str">
        <f>Tab_Data_Flows[[#This Row],[E1_UoM]]</f>
        <v>Mg</v>
      </c>
      <c r="AK583" s="19">
        <f>_xlfn.XLOOKUP(Tab_Data_Flows[[#This Row],[Flow_Name]],Tab_Def_Flows[Flow_Name],Tab_Def_Flows[Flow_E6_Fraction'[%']],"N.A.",0,1)</f>
        <v>0</v>
      </c>
      <c r="AL583" s="2">
        <f>IF(Tab_Data_Flows[[#This Row],[Use_E6]]="Yes",Tab_Data_Flows[[#This Row],[E6_Fraction'[%']]]*Tab_Data_Flows[[#This Row],[E1_value]],"N.A.")</f>
        <v>0</v>
      </c>
      <c r="AM583" s="2" t="str">
        <f>Tab_Data_Flows[[#This Row],[E1_UoM]]</f>
        <v>Mg</v>
      </c>
    </row>
    <row r="584" spans="1:39" x14ac:dyDescent="0.25">
      <c r="A584" s="4">
        <f t="shared" si="12"/>
        <v>583</v>
      </c>
      <c r="B584" s="2" t="str">
        <f>_xlfn.XLOOKUP(C584,Tab_Def_Flows[Flow_Name],Tab_Def_Flows[Flow_ID],,0,)</f>
        <v>F__</v>
      </c>
      <c r="C584" s="18" t="s">
        <v>5</v>
      </c>
      <c r="D584" s="5" t="str">
        <f>_xlfn.XLOOKUP(C584,Tab_Def_Flows[Flow_Name],Tab_Def_Flows[Use_E1],,0,)</f>
        <v>Yes</v>
      </c>
      <c r="E584" s="5" t="str">
        <f>_xlfn.XLOOKUP(C584,Tab_Def_Flows[Flow_Name],Tab_Def_Flows[Use_E2],,0,)</f>
        <v>Yes</v>
      </c>
      <c r="F584" s="5" t="str">
        <f>_xlfn.XLOOKUP(C584,Tab_Def_Flows[Flow_Name],Tab_Def_Flows[Use_E3],,0,)</f>
        <v>Yes</v>
      </c>
      <c r="G584" s="5" t="str">
        <f>_xlfn.XLOOKUP(C584,Tab_Def_Flows[Flow_Name],Tab_Def_Flows[Use_E4],,0,)</f>
        <v>Yes</v>
      </c>
      <c r="H584" s="5" t="str">
        <f>_xlfn.XLOOKUP(C584,Tab_Def_Flows[Flow_Name],Tab_Def_Flows[Use_E5],,0,)</f>
        <v>Yes</v>
      </c>
      <c r="I584" s="5" t="str">
        <f>_xlfn.XLOOKUP(C584,Tab_Def_Flows[Flow_Name],Tab_Def_Flows[Use_E6],,0,)</f>
        <v>Yes</v>
      </c>
      <c r="J584" s="3"/>
      <c r="K584" s="3"/>
      <c r="L584" s="2" t="str">
        <f>'0_Configuration'!$C$41</f>
        <v>Mg</v>
      </c>
      <c r="M584" s="9"/>
      <c r="N584" s="9"/>
      <c r="O584" s="9"/>
      <c r="P584" s="9"/>
      <c r="Q584" s="18" t="s">
        <v>3</v>
      </c>
      <c r="R584" s="3"/>
      <c r="S584" s="3"/>
      <c r="T584" s="9"/>
      <c r="U584" s="9"/>
      <c r="V584" s="2">
        <f>_xlfn.XLOOKUP(Tab_Data_Flows[[#This Row],[Flow_Name]],Tab_Def_Flows[Flow_Name],Tab_Def_Flows[Flow_E1_Fraction'[%']],"N.A.",0,1)</f>
        <v>0</v>
      </c>
      <c r="W584" s="8">
        <f t="shared" si="17"/>
        <v>0</v>
      </c>
      <c r="X584" s="2" t="str">
        <f>Tab_Data_Flows[[#This Row],[UoM_Source]]</f>
        <v>Mg</v>
      </c>
      <c r="Y584" s="19">
        <f>_xlfn.XLOOKUP(Tab_Data_Flows[[#This Row],[Flow_Name]],Tab_Def_Flows[Flow_Name],Tab_Def_Flows[Flow_E2_Fraction'[%']],"N.A.",0,1)</f>
        <v>0</v>
      </c>
      <c r="Z584" s="2">
        <f>IF(D584="Yes",W584*Tab_Data_Flows[[#This Row],[E2_Fraction'[%']]],"N.A.")</f>
        <v>0</v>
      </c>
      <c r="AA584" s="2" t="str">
        <f>Tab_Data_Flows[[#This Row],[E1_UoM]]</f>
        <v>Mg</v>
      </c>
      <c r="AB584" s="19">
        <f>_xlfn.XLOOKUP(Tab_Data_Flows[[#This Row],[Flow_Name]],Tab_Def_Flows[Flow_Name],Tab_Def_Flows[Flow_E3_Fraction'[%']],"N.A.",0,1)</f>
        <v>0</v>
      </c>
      <c r="AC584" s="2">
        <f>IF(E584="Yes",AB584*Tab_Data_Flows[[#This Row],[E1_value]],"N.A.")</f>
        <v>0</v>
      </c>
      <c r="AD584" s="2" t="str">
        <f>Tab_Data_Flows[[#This Row],[E1_UoM]]</f>
        <v>Mg</v>
      </c>
      <c r="AE584" s="19">
        <f>_xlfn.XLOOKUP(Tab_Data_Flows[[#This Row],[Flow_Name]],Tab_Def_Flows[Flow_Name],Tab_Def_Flows[Flow_E4_Fraction'[%']],"N.A.",0,1)</f>
        <v>0</v>
      </c>
      <c r="AF584" s="2">
        <f>IF(H584="Yes",Tab_Data_Flows[[#This Row],[E4_Fraction'[%']]]*Tab_Data_Flows[[#This Row],[E1_value]],"N.A.")</f>
        <v>0</v>
      </c>
      <c r="AG584" s="2" t="str">
        <f>Tab_Data_Flows[[#This Row],[E1_UoM]]</f>
        <v>Mg</v>
      </c>
      <c r="AH584" s="2">
        <f>_xlfn.XLOOKUP(Tab_Data_Flows[[#This Row],[Flow_Name]],Tab_Def_Flows[Flow_Name],Tab_Def_Flows[Flow_E5_Fraction'[%']],"N.A.",0,1)</f>
        <v>0</v>
      </c>
      <c r="AI584" s="2">
        <f>IF(H584="Yes",Tab_Data_Flows[[#This Row],[E5_Fraction'[%']]]*Tab_Data_Flows[[#This Row],[E1_value]],"N.A.")</f>
        <v>0</v>
      </c>
      <c r="AJ584" s="2" t="str">
        <f>Tab_Data_Flows[[#This Row],[E1_UoM]]</f>
        <v>Mg</v>
      </c>
      <c r="AK584" s="19">
        <f>_xlfn.XLOOKUP(Tab_Data_Flows[[#This Row],[Flow_Name]],Tab_Def_Flows[Flow_Name],Tab_Def_Flows[Flow_E6_Fraction'[%']],"N.A.",0,1)</f>
        <v>0</v>
      </c>
      <c r="AL584" s="2">
        <f>IF(Tab_Data_Flows[[#This Row],[Use_E6]]="Yes",Tab_Data_Flows[[#This Row],[E6_Fraction'[%']]]*Tab_Data_Flows[[#This Row],[E1_value]],"N.A.")</f>
        <v>0</v>
      </c>
      <c r="AM584" s="2" t="str">
        <f>Tab_Data_Flows[[#This Row],[E1_UoM]]</f>
        <v>Mg</v>
      </c>
    </row>
    <row r="585" spans="1:39" x14ac:dyDescent="0.25">
      <c r="A585" s="4">
        <f t="shared" si="12"/>
        <v>584</v>
      </c>
      <c r="B585" s="2" t="str">
        <f>_xlfn.XLOOKUP(C585,Tab_Def_Flows[Flow_Name],Tab_Def_Flows[Flow_ID],,0,)</f>
        <v>F__</v>
      </c>
      <c r="C585" s="18" t="s">
        <v>5</v>
      </c>
      <c r="D585" s="5" t="str">
        <f>_xlfn.XLOOKUP(C585,Tab_Def_Flows[Flow_Name],Tab_Def_Flows[Use_E1],,0,)</f>
        <v>Yes</v>
      </c>
      <c r="E585" s="5" t="str">
        <f>_xlfn.XLOOKUP(C585,Tab_Def_Flows[Flow_Name],Tab_Def_Flows[Use_E2],,0,)</f>
        <v>Yes</v>
      </c>
      <c r="F585" s="5" t="str">
        <f>_xlfn.XLOOKUP(C585,Tab_Def_Flows[Flow_Name],Tab_Def_Flows[Use_E3],,0,)</f>
        <v>Yes</v>
      </c>
      <c r="G585" s="5" t="str">
        <f>_xlfn.XLOOKUP(C585,Tab_Def_Flows[Flow_Name],Tab_Def_Flows[Use_E4],,0,)</f>
        <v>Yes</v>
      </c>
      <c r="H585" s="5" t="str">
        <f>_xlfn.XLOOKUP(C585,Tab_Def_Flows[Flow_Name],Tab_Def_Flows[Use_E5],,0,)</f>
        <v>Yes</v>
      </c>
      <c r="I585" s="5" t="str">
        <f>_xlfn.XLOOKUP(C585,Tab_Def_Flows[Flow_Name],Tab_Def_Flows[Use_E6],,0,)</f>
        <v>Yes</v>
      </c>
      <c r="J585" s="3"/>
      <c r="K585" s="3"/>
      <c r="L585" s="2" t="str">
        <f>'0_Configuration'!$C$41</f>
        <v>Mg</v>
      </c>
      <c r="M585" s="9"/>
      <c r="N585" s="9"/>
      <c r="O585" s="9"/>
      <c r="P585" s="9"/>
      <c r="Q585" s="18" t="s">
        <v>3</v>
      </c>
      <c r="R585" s="3"/>
      <c r="S585" s="3"/>
      <c r="T585" s="9"/>
      <c r="U585" s="9"/>
      <c r="V585" s="2">
        <f>_xlfn.XLOOKUP(Tab_Data_Flows[[#This Row],[Flow_Name]],Tab_Def_Flows[Flow_Name],Tab_Def_Flows[Flow_E1_Fraction'[%']],"N.A.",0,1)</f>
        <v>0</v>
      </c>
      <c r="W585" s="8">
        <f t="shared" si="17"/>
        <v>0</v>
      </c>
      <c r="X585" s="2" t="str">
        <f>Tab_Data_Flows[[#This Row],[UoM_Source]]</f>
        <v>Mg</v>
      </c>
      <c r="Y585" s="19">
        <f>_xlfn.XLOOKUP(Tab_Data_Flows[[#This Row],[Flow_Name]],Tab_Def_Flows[Flow_Name],Tab_Def_Flows[Flow_E2_Fraction'[%']],"N.A.",0,1)</f>
        <v>0</v>
      </c>
      <c r="Z585" s="2">
        <f>IF(D585="Yes",W585*Tab_Data_Flows[[#This Row],[E2_Fraction'[%']]],"N.A.")</f>
        <v>0</v>
      </c>
      <c r="AA585" s="2" t="str">
        <f>Tab_Data_Flows[[#This Row],[E1_UoM]]</f>
        <v>Mg</v>
      </c>
      <c r="AB585" s="19">
        <f>_xlfn.XLOOKUP(Tab_Data_Flows[[#This Row],[Flow_Name]],Tab_Def_Flows[Flow_Name],Tab_Def_Flows[Flow_E3_Fraction'[%']],"N.A.",0,1)</f>
        <v>0</v>
      </c>
      <c r="AC585" s="2">
        <f>IF(E585="Yes",AB585*Tab_Data_Flows[[#This Row],[E1_value]],"N.A.")</f>
        <v>0</v>
      </c>
      <c r="AD585" s="2" t="str">
        <f>Tab_Data_Flows[[#This Row],[E1_UoM]]</f>
        <v>Mg</v>
      </c>
      <c r="AE585" s="19">
        <f>_xlfn.XLOOKUP(Tab_Data_Flows[[#This Row],[Flow_Name]],Tab_Def_Flows[Flow_Name],Tab_Def_Flows[Flow_E4_Fraction'[%']],"N.A.",0,1)</f>
        <v>0</v>
      </c>
      <c r="AF585" s="2">
        <f>IF(H585="Yes",Tab_Data_Flows[[#This Row],[E4_Fraction'[%']]]*Tab_Data_Flows[[#This Row],[E1_value]],"N.A.")</f>
        <v>0</v>
      </c>
      <c r="AG585" s="2" t="str">
        <f>Tab_Data_Flows[[#This Row],[E1_UoM]]</f>
        <v>Mg</v>
      </c>
      <c r="AH585" s="2">
        <f>_xlfn.XLOOKUP(Tab_Data_Flows[[#This Row],[Flow_Name]],Tab_Def_Flows[Flow_Name],Tab_Def_Flows[Flow_E5_Fraction'[%']],"N.A.",0,1)</f>
        <v>0</v>
      </c>
      <c r="AI585" s="2">
        <f>IF(H585="Yes",Tab_Data_Flows[[#This Row],[E5_Fraction'[%']]]*Tab_Data_Flows[[#This Row],[E1_value]],"N.A.")</f>
        <v>0</v>
      </c>
      <c r="AJ585" s="2" t="str">
        <f>Tab_Data_Flows[[#This Row],[E1_UoM]]</f>
        <v>Mg</v>
      </c>
      <c r="AK585" s="19">
        <f>_xlfn.XLOOKUP(Tab_Data_Flows[[#This Row],[Flow_Name]],Tab_Def_Flows[Flow_Name],Tab_Def_Flows[Flow_E6_Fraction'[%']],"N.A.",0,1)</f>
        <v>0</v>
      </c>
      <c r="AL585" s="2">
        <f>IF(Tab_Data_Flows[[#This Row],[Use_E6]]="Yes",Tab_Data_Flows[[#This Row],[E6_Fraction'[%']]]*Tab_Data_Flows[[#This Row],[E1_value]],"N.A.")</f>
        <v>0</v>
      </c>
      <c r="AM585" s="2" t="str">
        <f>Tab_Data_Flows[[#This Row],[E1_UoM]]</f>
        <v>Mg</v>
      </c>
    </row>
    <row r="586" spans="1:39" x14ac:dyDescent="0.25">
      <c r="A586" s="4">
        <f t="shared" si="12"/>
        <v>585</v>
      </c>
      <c r="B586" s="2" t="str">
        <f>_xlfn.XLOOKUP(C586,Tab_Def_Flows[Flow_Name],Tab_Def_Flows[Flow_ID],,0,)</f>
        <v>F__</v>
      </c>
      <c r="C586" s="18" t="s">
        <v>5</v>
      </c>
      <c r="D586" s="5" t="str">
        <f>_xlfn.XLOOKUP(C586,Tab_Def_Flows[Flow_Name],Tab_Def_Flows[Use_E1],,0,)</f>
        <v>Yes</v>
      </c>
      <c r="E586" s="5" t="str">
        <f>_xlfn.XLOOKUP(C586,Tab_Def_Flows[Flow_Name],Tab_Def_Flows[Use_E2],,0,)</f>
        <v>Yes</v>
      </c>
      <c r="F586" s="5" t="str">
        <f>_xlfn.XLOOKUP(C586,Tab_Def_Flows[Flow_Name],Tab_Def_Flows[Use_E3],,0,)</f>
        <v>Yes</v>
      </c>
      <c r="G586" s="5" t="str">
        <f>_xlfn.XLOOKUP(C586,Tab_Def_Flows[Flow_Name],Tab_Def_Flows[Use_E4],,0,)</f>
        <v>Yes</v>
      </c>
      <c r="H586" s="5" t="str">
        <f>_xlfn.XLOOKUP(C586,Tab_Def_Flows[Flow_Name],Tab_Def_Flows[Use_E5],,0,)</f>
        <v>Yes</v>
      </c>
      <c r="I586" s="5" t="str">
        <f>_xlfn.XLOOKUP(C586,Tab_Def_Flows[Flow_Name],Tab_Def_Flows[Use_E6],,0,)</f>
        <v>Yes</v>
      </c>
      <c r="J586" s="3"/>
      <c r="K586" s="3"/>
      <c r="L586" s="2" t="str">
        <f>'0_Configuration'!$C$41</f>
        <v>Mg</v>
      </c>
      <c r="M586" s="9"/>
      <c r="N586" s="9"/>
      <c r="O586" s="9"/>
      <c r="P586" s="9"/>
      <c r="Q586" s="18" t="s">
        <v>3</v>
      </c>
      <c r="R586" s="3"/>
      <c r="S586" s="3"/>
      <c r="T586" s="9"/>
      <c r="U586" s="9"/>
      <c r="V586" s="2">
        <f>_xlfn.XLOOKUP(Tab_Data_Flows[[#This Row],[Flow_Name]],Tab_Def_Flows[Flow_Name],Tab_Def_Flows[Flow_E1_Fraction'[%']],"N.A.",0,1)</f>
        <v>0</v>
      </c>
      <c r="W586" s="8">
        <f t="shared" si="17"/>
        <v>0</v>
      </c>
      <c r="X586" s="2" t="str">
        <f>Tab_Data_Flows[[#This Row],[UoM_Source]]</f>
        <v>Mg</v>
      </c>
      <c r="Y586" s="19">
        <f>_xlfn.XLOOKUP(Tab_Data_Flows[[#This Row],[Flow_Name]],Tab_Def_Flows[Flow_Name],Tab_Def_Flows[Flow_E2_Fraction'[%']],"N.A.",0,1)</f>
        <v>0</v>
      </c>
      <c r="Z586" s="2">
        <f>IF(D586="Yes",W586*Tab_Data_Flows[[#This Row],[E2_Fraction'[%']]],"N.A.")</f>
        <v>0</v>
      </c>
      <c r="AA586" s="2" t="str">
        <f>Tab_Data_Flows[[#This Row],[E1_UoM]]</f>
        <v>Mg</v>
      </c>
      <c r="AB586" s="19">
        <f>_xlfn.XLOOKUP(Tab_Data_Flows[[#This Row],[Flow_Name]],Tab_Def_Flows[Flow_Name],Tab_Def_Flows[Flow_E3_Fraction'[%']],"N.A.",0,1)</f>
        <v>0</v>
      </c>
      <c r="AC586" s="2">
        <f>IF(E586="Yes",AB586*Tab_Data_Flows[[#This Row],[E1_value]],"N.A.")</f>
        <v>0</v>
      </c>
      <c r="AD586" s="2" t="str">
        <f>Tab_Data_Flows[[#This Row],[E1_UoM]]</f>
        <v>Mg</v>
      </c>
      <c r="AE586" s="19">
        <f>_xlfn.XLOOKUP(Tab_Data_Flows[[#This Row],[Flow_Name]],Tab_Def_Flows[Flow_Name],Tab_Def_Flows[Flow_E4_Fraction'[%']],"N.A.",0,1)</f>
        <v>0</v>
      </c>
      <c r="AF586" s="2">
        <f>IF(H586="Yes",Tab_Data_Flows[[#This Row],[E4_Fraction'[%']]]*Tab_Data_Flows[[#This Row],[E1_value]],"N.A.")</f>
        <v>0</v>
      </c>
      <c r="AG586" s="2" t="str">
        <f>Tab_Data_Flows[[#This Row],[E1_UoM]]</f>
        <v>Mg</v>
      </c>
      <c r="AH586" s="2">
        <f>_xlfn.XLOOKUP(Tab_Data_Flows[[#This Row],[Flow_Name]],Tab_Def_Flows[Flow_Name],Tab_Def_Flows[Flow_E5_Fraction'[%']],"N.A.",0,1)</f>
        <v>0</v>
      </c>
      <c r="AI586" s="2">
        <f>IF(H586="Yes",Tab_Data_Flows[[#This Row],[E5_Fraction'[%']]]*Tab_Data_Flows[[#This Row],[E1_value]],"N.A.")</f>
        <v>0</v>
      </c>
      <c r="AJ586" s="2" t="str">
        <f>Tab_Data_Flows[[#This Row],[E1_UoM]]</f>
        <v>Mg</v>
      </c>
      <c r="AK586" s="19">
        <f>_xlfn.XLOOKUP(Tab_Data_Flows[[#This Row],[Flow_Name]],Tab_Def_Flows[Flow_Name],Tab_Def_Flows[Flow_E6_Fraction'[%']],"N.A.",0,1)</f>
        <v>0</v>
      </c>
      <c r="AL586" s="2">
        <f>IF(Tab_Data_Flows[[#This Row],[Use_E6]]="Yes",Tab_Data_Flows[[#This Row],[E6_Fraction'[%']]]*Tab_Data_Flows[[#This Row],[E1_value]],"N.A.")</f>
        <v>0</v>
      </c>
      <c r="AM586" s="2" t="str">
        <f>Tab_Data_Flows[[#This Row],[E1_UoM]]</f>
        <v>Mg</v>
      </c>
    </row>
    <row r="587" spans="1:39" x14ac:dyDescent="0.25">
      <c r="A587" s="4">
        <f t="shared" si="12"/>
        <v>586</v>
      </c>
      <c r="B587" s="2" t="str">
        <f>_xlfn.XLOOKUP(C587,Tab_Def_Flows[Flow_Name],Tab_Def_Flows[Flow_ID],,0,)</f>
        <v>F__</v>
      </c>
      <c r="C587" s="18" t="s">
        <v>5</v>
      </c>
      <c r="D587" s="5" t="str">
        <f>_xlfn.XLOOKUP(C587,Tab_Def_Flows[Flow_Name],Tab_Def_Flows[Use_E1],,0,)</f>
        <v>Yes</v>
      </c>
      <c r="E587" s="5" t="str">
        <f>_xlfn.XLOOKUP(C587,Tab_Def_Flows[Flow_Name],Tab_Def_Flows[Use_E2],,0,)</f>
        <v>Yes</v>
      </c>
      <c r="F587" s="5" t="str">
        <f>_xlfn.XLOOKUP(C587,Tab_Def_Flows[Flow_Name],Tab_Def_Flows[Use_E3],,0,)</f>
        <v>Yes</v>
      </c>
      <c r="G587" s="5" t="str">
        <f>_xlfn.XLOOKUP(C587,Tab_Def_Flows[Flow_Name],Tab_Def_Flows[Use_E4],,0,)</f>
        <v>Yes</v>
      </c>
      <c r="H587" s="5" t="str">
        <f>_xlfn.XLOOKUP(C587,Tab_Def_Flows[Flow_Name],Tab_Def_Flows[Use_E5],,0,)</f>
        <v>Yes</v>
      </c>
      <c r="I587" s="5" t="str">
        <f>_xlfn.XLOOKUP(C587,Tab_Def_Flows[Flow_Name],Tab_Def_Flows[Use_E6],,0,)</f>
        <v>Yes</v>
      </c>
      <c r="J587" s="3"/>
      <c r="K587" s="3"/>
      <c r="L587" s="2" t="str">
        <f>'0_Configuration'!$C$41</f>
        <v>Mg</v>
      </c>
      <c r="M587" s="9"/>
      <c r="N587" s="9"/>
      <c r="O587" s="9"/>
      <c r="P587" s="9"/>
      <c r="Q587" s="18" t="s">
        <v>3</v>
      </c>
      <c r="R587" s="3"/>
      <c r="S587" s="3"/>
      <c r="T587" s="9"/>
      <c r="U587" s="9"/>
      <c r="V587" s="2">
        <f>_xlfn.XLOOKUP(Tab_Data_Flows[[#This Row],[Flow_Name]],Tab_Def_Flows[Flow_Name],Tab_Def_Flows[Flow_E1_Fraction'[%']],"N.A.",0,1)</f>
        <v>0</v>
      </c>
      <c r="W587" s="8">
        <f t="shared" si="17"/>
        <v>0</v>
      </c>
      <c r="X587" s="2" t="str">
        <f>Tab_Data_Flows[[#This Row],[UoM_Source]]</f>
        <v>Mg</v>
      </c>
      <c r="Y587" s="19">
        <f>_xlfn.XLOOKUP(Tab_Data_Flows[[#This Row],[Flow_Name]],Tab_Def_Flows[Flow_Name],Tab_Def_Flows[Flow_E2_Fraction'[%']],"N.A.",0,1)</f>
        <v>0</v>
      </c>
      <c r="Z587" s="2">
        <f>IF(D587="Yes",W587*Tab_Data_Flows[[#This Row],[E2_Fraction'[%']]],"N.A.")</f>
        <v>0</v>
      </c>
      <c r="AA587" s="2" t="str">
        <f>Tab_Data_Flows[[#This Row],[E1_UoM]]</f>
        <v>Mg</v>
      </c>
      <c r="AB587" s="19">
        <f>_xlfn.XLOOKUP(Tab_Data_Flows[[#This Row],[Flow_Name]],Tab_Def_Flows[Flow_Name],Tab_Def_Flows[Flow_E3_Fraction'[%']],"N.A.",0,1)</f>
        <v>0</v>
      </c>
      <c r="AC587" s="2">
        <f>IF(E587="Yes",AB587*Tab_Data_Flows[[#This Row],[E1_value]],"N.A.")</f>
        <v>0</v>
      </c>
      <c r="AD587" s="2" t="str">
        <f>Tab_Data_Flows[[#This Row],[E1_UoM]]</f>
        <v>Mg</v>
      </c>
      <c r="AE587" s="19">
        <f>_xlfn.XLOOKUP(Tab_Data_Flows[[#This Row],[Flow_Name]],Tab_Def_Flows[Flow_Name],Tab_Def_Flows[Flow_E4_Fraction'[%']],"N.A.",0,1)</f>
        <v>0</v>
      </c>
      <c r="AF587" s="2">
        <f>IF(H587="Yes",Tab_Data_Flows[[#This Row],[E4_Fraction'[%']]]*Tab_Data_Flows[[#This Row],[E1_value]],"N.A.")</f>
        <v>0</v>
      </c>
      <c r="AG587" s="2" t="str">
        <f>Tab_Data_Flows[[#This Row],[E1_UoM]]</f>
        <v>Mg</v>
      </c>
      <c r="AH587" s="2">
        <f>_xlfn.XLOOKUP(Tab_Data_Flows[[#This Row],[Flow_Name]],Tab_Def_Flows[Flow_Name],Tab_Def_Flows[Flow_E5_Fraction'[%']],"N.A.",0,1)</f>
        <v>0</v>
      </c>
      <c r="AI587" s="2">
        <f>IF(H587="Yes",Tab_Data_Flows[[#This Row],[E5_Fraction'[%']]]*Tab_Data_Flows[[#This Row],[E1_value]],"N.A.")</f>
        <v>0</v>
      </c>
      <c r="AJ587" s="2" t="str">
        <f>Tab_Data_Flows[[#This Row],[E1_UoM]]</f>
        <v>Mg</v>
      </c>
      <c r="AK587" s="19">
        <f>_xlfn.XLOOKUP(Tab_Data_Flows[[#This Row],[Flow_Name]],Tab_Def_Flows[Flow_Name],Tab_Def_Flows[Flow_E6_Fraction'[%']],"N.A.",0,1)</f>
        <v>0</v>
      </c>
      <c r="AL587" s="2">
        <f>IF(Tab_Data_Flows[[#This Row],[Use_E6]]="Yes",Tab_Data_Flows[[#This Row],[E6_Fraction'[%']]]*Tab_Data_Flows[[#This Row],[E1_value]],"N.A.")</f>
        <v>0</v>
      </c>
      <c r="AM587" s="2" t="str">
        <f>Tab_Data_Flows[[#This Row],[E1_UoM]]</f>
        <v>Mg</v>
      </c>
    </row>
    <row r="588" spans="1:39" x14ac:dyDescent="0.25">
      <c r="A588" s="4">
        <f t="shared" si="12"/>
        <v>587</v>
      </c>
      <c r="B588" s="2" t="str">
        <f>_xlfn.XLOOKUP(C588,Tab_Def_Flows[Flow_Name],Tab_Def_Flows[Flow_ID],,0,)</f>
        <v>F__</v>
      </c>
      <c r="C588" s="18" t="s">
        <v>5</v>
      </c>
      <c r="D588" s="5" t="str">
        <f>_xlfn.XLOOKUP(C588,Tab_Def_Flows[Flow_Name],Tab_Def_Flows[Use_E1],,0,)</f>
        <v>Yes</v>
      </c>
      <c r="E588" s="5" t="str">
        <f>_xlfn.XLOOKUP(C588,Tab_Def_Flows[Flow_Name],Tab_Def_Flows[Use_E2],,0,)</f>
        <v>Yes</v>
      </c>
      <c r="F588" s="5" t="str">
        <f>_xlfn.XLOOKUP(C588,Tab_Def_Flows[Flow_Name],Tab_Def_Flows[Use_E3],,0,)</f>
        <v>Yes</v>
      </c>
      <c r="G588" s="5" t="str">
        <f>_xlfn.XLOOKUP(C588,Tab_Def_Flows[Flow_Name],Tab_Def_Flows[Use_E4],,0,)</f>
        <v>Yes</v>
      </c>
      <c r="H588" s="5" t="str">
        <f>_xlfn.XLOOKUP(C588,Tab_Def_Flows[Flow_Name],Tab_Def_Flows[Use_E5],,0,)</f>
        <v>Yes</v>
      </c>
      <c r="I588" s="5" t="str">
        <f>_xlfn.XLOOKUP(C588,Tab_Def_Flows[Flow_Name],Tab_Def_Flows[Use_E6],,0,)</f>
        <v>Yes</v>
      </c>
      <c r="J588" s="3"/>
      <c r="K588" s="3"/>
      <c r="L588" s="2" t="str">
        <f>'0_Configuration'!$C$41</f>
        <v>Mg</v>
      </c>
      <c r="M588" s="9"/>
      <c r="N588" s="9"/>
      <c r="O588" s="9"/>
      <c r="P588" s="9"/>
      <c r="Q588" s="18" t="s">
        <v>3</v>
      </c>
      <c r="R588" s="3"/>
      <c r="S588" s="3"/>
      <c r="T588" s="9"/>
      <c r="U588" s="9"/>
      <c r="V588" s="2">
        <f>_xlfn.XLOOKUP(Tab_Data_Flows[[#This Row],[Flow_Name]],Tab_Def_Flows[Flow_Name],Tab_Def_Flows[Flow_E1_Fraction'[%']],"N.A.",0,1)</f>
        <v>0</v>
      </c>
      <c r="W588" s="8">
        <f t="shared" si="17"/>
        <v>0</v>
      </c>
      <c r="X588" s="2" t="str">
        <f>Tab_Data_Flows[[#This Row],[UoM_Source]]</f>
        <v>Mg</v>
      </c>
      <c r="Y588" s="19">
        <f>_xlfn.XLOOKUP(Tab_Data_Flows[[#This Row],[Flow_Name]],Tab_Def_Flows[Flow_Name],Tab_Def_Flows[Flow_E2_Fraction'[%']],"N.A.",0,1)</f>
        <v>0</v>
      </c>
      <c r="Z588" s="2">
        <f>IF(D588="Yes",W588*Tab_Data_Flows[[#This Row],[E2_Fraction'[%']]],"N.A.")</f>
        <v>0</v>
      </c>
      <c r="AA588" s="2" t="str">
        <f>Tab_Data_Flows[[#This Row],[E1_UoM]]</f>
        <v>Mg</v>
      </c>
      <c r="AB588" s="19">
        <f>_xlfn.XLOOKUP(Tab_Data_Flows[[#This Row],[Flow_Name]],Tab_Def_Flows[Flow_Name],Tab_Def_Flows[Flow_E3_Fraction'[%']],"N.A.",0,1)</f>
        <v>0</v>
      </c>
      <c r="AC588" s="2">
        <f>IF(E588="Yes",AB588*Tab_Data_Flows[[#This Row],[E1_value]],"N.A.")</f>
        <v>0</v>
      </c>
      <c r="AD588" s="2" t="str">
        <f>Tab_Data_Flows[[#This Row],[E1_UoM]]</f>
        <v>Mg</v>
      </c>
      <c r="AE588" s="19">
        <f>_xlfn.XLOOKUP(Tab_Data_Flows[[#This Row],[Flow_Name]],Tab_Def_Flows[Flow_Name],Tab_Def_Flows[Flow_E4_Fraction'[%']],"N.A.",0,1)</f>
        <v>0</v>
      </c>
      <c r="AF588" s="2">
        <f>IF(H588="Yes",Tab_Data_Flows[[#This Row],[E4_Fraction'[%']]]*Tab_Data_Flows[[#This Row],[E1_value]],"N.A.")</f>
        <v>0</v>
      </c>
      <c r="AG588" s="2" t="str">
        <f>Tab_Data_Flows[[#This Row],[E1_UoM]]</f>
        <v>Mg</v>
      </c>
      <c r="AH588" s="2">
        <f>_xlfn.XLOOKUP(Tab_Data_Flows[[#This Row],[Flow_Name]],Tab_Def_Flows[Flow_Name],Tab_Def_Flows[Flow_E5_Fraction'[%']],"N.A.",0,1)</f>
        <v>0</v>
      </c>
      <c r="AI588" s="2">
        <f>IF(H588="Yes",Tab_Data_Flows[[#This Row],[E5_Fraction'[%']]]*Tab_Data_Flows[[#This Row],[E1_value]],"N.A.")</f>
        <v>0</v>
      </c>
      <c r="AJ588" s="2" t="str">
        <f>Tab_Data_Flows[[#This Row],[E1_UoM]]</f>
        <v>Mg</v>
      </c>
      <c r="AK588" s="19">
        <f>_xlfn.XLOOKUP(Tab_Data_Flows[[#This Row],[Flow_Name]],Tab_Def_Flows[Flow_Name],Tab_Def_Flows[Flow_E6_Fraction'[%']],"N.A.",0,1)</f>
        <v>0</v>
      </c>
      <c r="AL588" s="2">
        <f>IF(Tab_Data_Flows[[#This Row],[Use_E6]]="Yes",Tab_Data_Flows[[#This Row],[E6_Fraction'[%']]]*Tab_Data_Flows[[#This Row],[E1_value]],"N.A.")</f>
        <v>0</v>
      </c>
      <c r="AM588" s="2" t="str">
        <f>Tab_Data_Flows[[#This Row],[E1_UoM]]</f>
        <v>Mg</v>
      </c>
    </row>
    <row r="589" spans="1:39" x14ac:dyDescent="0.25">
      <c r="A589" s="4">
        <f t="shared" si="12"/>
        <v>588</v>
      </c>
      <c r="B589" s="2" t="str">
        <f>_xlfn.XLOOKUP(C589,Tab_Def_Flows[Flow_Name],Tab_Def_Flows[Flow_ID],,0,)</f>
        <v>F__</v>
      </c>
      <c r="C589" s="18" t="s">
        <v>5</v>
      </c>
      <c r="D589" s="5" t="str">
        <f>_xlfn.XLOOKUP(C589,Tab_Def_Flows[Flow_Name],Tab_Def_Flows[Use_E1],,0,)</f>
        <v>Yes</v>
      </c>
      <c r="E589" s="5" t="str">
        <f>_xlfn.XLOOKUP(C589,Tab_Def_Flows[Flow_Name],Tab_Def_Flows[Use_E2],,0,)</f>
        <v>Yes</v>
      </c>
      <c r="F589" s="5" t="str">
        <f>_xlfn.XLOOKUP(C589,Tab_Def_Flows[Flow_Name],Tab_Def_Flows[Use_E3],,0,)</f>
        <v>Yes</v>
      </c>
      <c r="G589" s="5" t="str">
        <f>_xlfn.XLOOKUP(C589,Tab_Def_Flows[Flow_Name],Tab_Def_Flows[Use_E4],,0,)</f>
        <v>Yes</v>
      </c>
      <c r="H589" s="5" t="str">
        <f>_xlfn.XLOOKUP(C589,Tab_Def_Flows[Flow_Name],Tab_Def_Flows[Use_E5],,0,)</f>
        <v>Yes</v>
      </c>
      <c r="I589" s="5" t="str">
        <f>_xlfn.XLOOKUP(C589,Tab_Def_Flows[Flow_Name],Tab_Def_Flows[Use_E6],,0,)</f>
        <v>Yes</v>
      </c>
      <c r="J589" s="3"/>
      <c r="K589" s="3"/>
      <c r="L589" s="2" t="str">
        <f>'0_Configuration'!$C$41</f>
        <v>Mg</v>
      </c>
      <c r="M589" s="9"/>
      <c r="N589" s="9"/>
      <c r="O589" s="9"/>
      <c r="P589" s="9"/>
      <c r="Q589" s="18" t="s">
        <v>3</v>
      </c>
      <c r="R589" s="3"/>
      <c r="S589" s="3"/>
      <c r="T589" s="9"/>
      <c r="U589" s="9"/>
      <c r="V589" s="2">
        <f>_xlfn.XLOOKUP(Tab_Data_Flows[[#This Row],[Flow_Name]],Tab_Def_Flows[Flow_Name],Tab_Def_Flows[Flow_E1_Fraction'[%']],"N.A.",0,1)</f>
        <v>0</v>
      </c>
      <c r="W589" s="8">
        <f t="shared" si="17"/>
        <v>0</v>
      </c>
      <c r="X589" s="2" t="str">
        <f>Tab_Data_Flows[[#This Row],[UoM_Source]]</f>
        <v>Mg</v>
      </c>
      <c r="Y589" s="19">
        <f>_xlfn.XLOOKUP(Tab_Data_Flows[[#This Row],[Flow_Name]],Tab_Def_Flows[Flow_Name],Tab_Def_Flows[Flow_E2_Fraction'[%']],"N.A.",0,1)</f>
        <v>0</v>
      </c>
      <c r="Z589" s="2">
        <f>IF(D589="Yes",W589*Tab_Data_Flows[[#This Row],[E2_Fraction'[%']]],"N.A.")</f>
        <v>0</v>
      </c>
      <c r="AA589" s="2" t="str">
        <f>Tab_Data_Flows[[#This Row],[E1_UoM]]</f>
        <v>Mg</v>
      </c>
      <c r="AB589" s="19">
        <f>_xlfn.XLOOKUP(Tab_Data_Flows[[#This Row],[Flow_Name]],Tab_Def_Flows[Flow_Name],Tab_Def_Flows[Flow_E3_Fraction'[%']],"N.A.",0,1)</f>
        <v>0</v>
      </c>
      <c r="AC589" s="2">
        <f>IF(E589="Yes",AB589*Tab_Data_Flows[[#This Row],[E1_value]],"N.A.")</f>
        <v>0</v>
      </c>
      <c r="AD589" s="2" t="str">
        <f>Tab_Data_Flows[[#This Row],[E1_UoM]]</f>
        <v>Mg</v>
      </c>
      <c r="AE589" s="19">
        <f>_xlfn.XLOOKUP(Tab_Data_Flows[[#This Row],[Flow_Name]],Tab_Def_Flows[Flow_Name],Tab_Def_Flows[Flow_E4_Fraction'[%']],"N.A.",0,1)</f>
        <v>0</v>
      </c>
      <c r="AF589" s="2">
        <f>IF(H589="Yes",Tab_Data_Flows[[#This Row],[E4_Fraction'[%']]]*Tab_Data_Flows[[#This Row],[E1_value]],"N.A.")</f>
        <v>0</v>
      </c>
      <c r="AG589" s="2" t="str">
        <f>Tab_Data_Flows[[#This Row],[E1_UoM]]</f>
        <v>Mg</v>
      </c>
      <c r="AH589" s="2">
        <f>_xlfn.XLOOKUP(Tab_Data_Flows[[#This Row],[Flow_Name]],Tab_Def_Flows[Flow_Name],Tab_Def_Flows[Flow_E5_Fraction'[%']],"N.A.",0,1)</f>
        <v>0</v>
      </c>
      <c r="AI589" s="2">
        <f>IF(H589="Yes",Tab_Data_Flows[[#This Row],[E5_Fraction'[%']]]*Tab_Data_Flows[[#This Row],[E1_value]],"N.A.")</f>
        <v>0</v>
      </c>
      <c r="AJ589" s="2" t="str">
        <f>Tab_Data_Flows[[#This Row],[E1_UoM]]</f>
        <v>Mg</v>
      </c>
      <c r="AK589" s="19">
        <f>_xlfn.XLOOKUP(Tab_Data_Flows[[#This Row],[Flow_Name]],Tab_Def_Flows[Flow_Name],Tab_Def_Flows[Flow_E6_Fraction'[%']],"N.A.",0,1)</f>
        <v>0</v>
      </c>
      <c r="AL589" s="2">
        <f>IF(Tab_Data_Flows[[#This Row],[Use_E6]]="Yes",Tab_Data_Flows[[#This Row],[E6_Fraction'[%']]]*Tab_Data_Flows[[#This Row],[E1_value]],"N.A.")</f>
        <v>0</v>
      </c>
      <c r="AM589" s="2" t="str">
        <f>Tab_Data_Flows[[#This Row],[E1_UoM]]</f>
        <v>Mg</v>
      </c>
    </row>
    <row r="590" spans="1:39" x14ac:dyDescent="0.25">
      <c r="A590" s="4">
        <f t="shared" si="12"/>
        <v>589</v>
      </c>
      <c r="B590" s="2" t="str">
        <f>_xlfn.XLOOKUP(C590,Tab_Def_Flows[Flow_Name],Tab_Def_Flows[Flow_ID],,0,)</f>
        <v>F__</v>
      </c>
      <c r="C590" s="18" t="s">
        <v>5</v>
      </c>
      <c r="D590" s="5" t="str">
        <f>_xlfn.XLOOKUP(C590,Tab_Def_Flows[Flow_Name],Tab_Def_Flows[Use_E1],,0,)</f>
        <v>Yes</v>
      </c>
      <c r="E590" s="5" t="str">
        <f>_xlfn.XLOOKUP(C590,Tab_Def_Flows[Flow_Name],Tab_Def_Flows[Use_E2],,0,)</f>
        <v>Yes</v>
      </c>
      <c r="F590" s="5" t="str">
        <f>_xlfn.XLOOKUP(C590,Tab_Def_Flows[Flow_Name],Tab_Def_Flows[Use_E3],,0,)</f>
        <v>Yes</v>
      </c>
      <c r="G590" s="5" t="str">
        <f>_xlfn.XLOOKUP(C590,Tab_Def_Flows[Flow_Name],Tab_Def_Flows[Use_E4],,0,)</f>
        <v>Yes</v>
      </c>
      <c r="H590" s="5" t="str">
        <f>_xlfn.XLOOKUP(C590,Tab_Def_Flows[Flow_Name],Tab_Def_Flows[Use_E5],,0,)</f>
        <v>Yes</v>
      </c>
      <c r="I590" s="5" t="str">
        <f>_xlfn.XLOOKUP(C590,Tab_Def_Flows[Flow_Name],Tab_Def_Flows[Use_E6],,0,)</f>
        <v>Yes</v>
      </c>
      <c r="J590" s="3"/>
      <c r="K590" s="3"/>
      <c r="L590" s="2" t="str">
        <f>'0_Configuration'!$C$41</f>
        <v>Mg</v>
      </c>
      <c r="M590" s="9"/>
      <c r="N590" s="9"/>
      <c r="O590" s="9"/>
      <c r="P590" s="9"/>
      <c r="Q590" s="18" t="s">
        <v>3</v>
      </c>
      <c r="R590" s="3"/>
      <c r="S590" s="3"/>
      <c r="T590" s="9"/>
      <c r="U590" s="9"/>
      <c r="V590" s="2">
        <f>_xlfn.XLOOKUP(Tab_Data_Flows[[#This Row],[Flow_Name]],Tab_Def_Flows[Flow_Name],Tab_Def_Flows[Flow_E1_Fraction'[%']],"N.A.",0,1)</f>
        <v>0</v>
      </c>
      <c r="W590" s="8">
        <f t="shared" si="17"/>
        <v>0</v>
      </c>
      <c r="X590" s="2" t="str">
        <f>Tab_Data_Flows[[#This Row],[UoM_Source]]</f>
        <v>Mg</v>
      </c>
      <c r="Y590" s="19">
        <f>_xlfn.XLOOKUP(Tab_Data_Flows[[#This Row],[Flow_Name]],Tab_Def_Flows[Flow_Name],Tab_Def_Flows[Flow_E2_Fraction'[%']],"N.A.",0,1)</f>
        <v>0</v>
      </c>
      <c r="Z590" s="2">
        <f>IF(D590="Yes",W590*Tab_Data_Flows[[#This Row],[E2_Fraction'[%']]],"N.A.")</f>
        <v>0</v>
      </c>
      <c r="AA590" s="2" t="str">
        <f>Tab_Data_Flows[[#This Row],[E1_UoM]]</f>
        <v>Mg</v>
      </c>
      <c r="AB590" s="19">
        <f>_xlfn.XLOOKUP(Tab_Data_Flows[[#This Row],[Flow_Name]],Tab_Def_Flows[Flow_Name],Tab_Def_Flows[Flow_E3_Fraction'[%']],"N.A.",0,1)</f>
        <v>0</v>
      </c>
      <c r="AC590" s="2">
        <f>IF(E590="Yes",AB590*Tab_Data_Flows[[#This Row],[E1_value]],"N.A.")</f>
        <v>0</v>
      </c>
      <c r="AD590" s="2" t="str">
        <f>Tab_Data_Flows[[#This Row],[E1_UoM]]</f>
        <v>Mg</v>
      </c>
      <c r="AE590" s="19">
        <f>_xlfn.XLOOKUP(Tab_Data_Flows[[#This Row],[Flow_Name]],Tab_Def_Flows[Flow_Name],Tab_Def_Flows[Flow_E4_Fraction'[%']],"N.A.",0,1)</f>
        <v>0</v>
      </c>
      <c r="AF590" s="2">
        <f>IF(H590="Yes",Tab_Data_Flows[[#This Row],[E4_Fraction'[%']]]*Tab_Data_Flows[[#This Row],[E1_value]],"N.A.")</f>
        <v>0</v>
      </c>
      <c r="AG590" s="2" t="str">
        <f>Tab_Data_Flows[[#This Row],[E1_UoM]]</f>
        <v>Mg</v>
      </c>
      <c r="AH590" s="2">
        <f>_xlfn.XLOOKUP(Tab_Data_Flows[[#This Row],[Flow_Name]],Tab_Def_Flows[Flow_Name],Tab_Def_Flows[Flow_E5_Fraction'[%']],"N.A.",0,1)</f>
        <v>0</v>
      </c>
      <c r="AI590" s="2">
        <f>IF(H590="Yes",Tab_Data_Flows[[#This Row],[E5_Fraction'[%']]]*Tab_Data_Flows[[#This Row],[E1_value]],"N.A.")</f>
        <v>0</v>
      </c>
      <c r="AJ590" s="2" t="str">
        <f>Tab_Data_Flows[[#This Row],[E1_UoM]]</f>
        <v>Mg</v>
      </c>
      <c r="AK590" s="19">
        <f>_xlfn.XLOOKUP(Tab_Data_Flows[[#This Row],[Flow_Name]],Tab_Def_Flows[Flow_Name],Tab_Def_Flows[Flow_E6_Fraction'[%']],"N.A.",0,1)</f>
        <v>0</v>
      </c>
      <c r="AL590" s="2">
        <f>IF(Tab_Data_Flows[[#This Row],[Use_E6]]="Yes",Tab_Data_Flows[[#This Row],[E6_Fraction'[%']]]*Tab_Data_Flows[[#This Row],[E1_value]],"N.A.")</f>
        <v>0</v>
      </c>
      <c r="AM590" s="2" t="str">
        <f>Tab_Data_Flows[[#This Row],[E1_UoM]]</f>
        <v>Mg</v>
      </c>
    </row>
    <row r="591" spans="1:39" x14ac:dyDescent="0.25">
      <c r="A591" s="4">
        <f t="shared" si="12"/>
        <v>590</v>
      </c>
      <c r="B591" s="2" t="str">
        <f>_xlfn.XLOOKUP(C591,Tab_Def_Flows[Flow_Name],Tab_Def_Flows[Flow_ID],,0,)</f>
        <v>F__</v>
      </c>
      <c r="C591" s="18" t="s">
        <v>5</v>
      </c>
      <c r="D591" s="5" t="str">
        <f>_xlfn.XLOOKUP(C591,Tab_Def_Flows[Flow_Name],Tab_Def_Flows[Use_E1],,0,)</f>
        <v>Yes</v>
      </c>
      <c r="E591" s="5" t="str">
        <f>_xlfn.XLOOKUP(C591,Tab_Def_Flows[Flow_Name],Tab_Def_Flows[Use_E2],,0,)</f>
        <v>Yes</v>
      </c>
      <c r="F591" s="5" t="str">
        <f>_xlfn.XLOOKUP(C591,Tab_Def_Flows[Flow_Name],Tab_Def_Flows[Use_E3],,0,)</f>
        <v>Yes</v>
      </c>
      <c r="G591" s="5" t="str">
        <f>_xlfn.XLOOKUP(C591,Tab_Def_Flows[Flow_Name],Tab_Def_Flows[Use_E4],,0,)</f>
        <v>Yes</v>
      </c>
      <c r="H591" s="5" t="str">
        <f>_xlfn.XLOOKUP(C591,Tab_Def_Flows[Flow_Name],Tab_Def_Flows[Use_E5],,0,)</f>
        <v>Yes</v>
      </c>
      <c r="I591" s="5" t="str">
        <f>_xlfn.XLOOKUP(C591,Tab_Def_Flows[Flow_Name],Tab_Def_Flows[Use_E6],,0,)</f>
        <v>Yes</v>
      </c>
      <c r="J591" s="3"/>
      <c r="K591" s="3"/>
      <c r="L591" s="2" t="str">
        <f>'0_Configuration'!$C$41</f>
        <v>Mg</v>
      </c>
      <c r="M591" s="9"/>
      <c r="N591" s="9"/>
      <c r="O591" s="9"/>
      <c r="P591" s="9"/>
      <c r="Q591" s="18" t="s">
        <v>3</v>
      </c>
      <c r="R591" s="3"/>
      <c r="S591" s="3"/>
      <c r="T591" s="9"/>
      <c r="U591" s="9"/>
      <c r="V591" s="2">
        <f>_xlfn.XLOOKUP(Tab_Data_Flows[[#This Row],[Flow_Name]],Tab_Def_Flows[Flow_Name],Tab_Def_Flows[Flow_E1_Fraction'[%']],"N.A.",0,1)</f>
        <v>0</v>
      </c>
      <c r="W591" s="8">
        <f t="shared" si="17"/>
        <v>0</v>
      </c>
      <c r="X591" s="2" t="str">
        <f>Tab_Data_Flows[[#This Row],[UoM_Source]]</f>
        <v>Mg</v>
      </c>
      <c r="Y591" s="19">
        <f>_xlfn.XLOOKUP(Tab_Data_Flows[[#This Row],[Flow_Name]],Tab_Def_Flows[Flow_Name],Tab_Def_Flows[Flow_E2_Fraction'[%']],"N.A.",0,1)</f>
        <v>0</v>
      </c>
      <c r="Z591" s="2">
        <f>IF(D591="Yes",W591*Tab_Data_Flows[[#This Row],[E2_Fraction'[%']]],"N.A.")</f>
        <v>0</v>
      </c>
      <c r="AA591" s="2" t="str">
        <f>Tab_Data_Flows[[#This Row],[E1_UoM]]</f>
        <v>Mg</v>
      </c>
      <c r="AB591" s="19">
        <f>_xlfn.XLOOKUP(Tab_Data_Flows[[#This Row],[Flow_Name]],Tab_Def_Flows[Flow_Name],Tab_Def_Flows[Flow_E3_Fraction'[%']],"N.A.",0,1)</f>
        <v>0</v>
      </c>
      <c r="AC591" s="2">
        <f>IF(E591="Yes",AB591*Tab_Data_Flows[[#This Row],[E1_value]],"N.A.")</f>
        <v>0</v>
      </c>
      <c r="AD591" s="2" t="str">
        <f>Tab_Data_Flows[[#This Row],[E1_UoM]]</f>
        <v>Mg</v>
      </c>
      <c r="AE591" s="19">
        <f>_xlfn.XLOOKUP(Tab_Data_Flows[[#This Row],[Flow_Name]],Tab_Def_Flows[Flow_Name],Tab_Def_Flows[Flow_E4_Fraction'[%']],"N.A.",0,1)</f>
        <v>0</v>
      </c>
      <c r="AF591" s="2">
        <f>IF(H591="Yes",Tab_Data_Flows[[#This Row],[E4_Fraction'[%']]]*Tab_Data_Flows[[#This Row],[E1_value]],"N.A.")</f>
        <v>0</v>
      </c>
      <c r="AG591" s="2" t="str">
        <f>Tab_Data_Flows[[#This Row],[E1_UoM]]</f>
        <v>Mg</v>
      </c>
      <c r="AH591" s="2">
        <f>_xlfn.XLOOKUP(Tab_Data_Flows[[#This Row],[Flow_Name]],Tab_Def_Flows[Flow_Name],Tab_Def_Flows[Flow_E5_Fraction'[%']],"N.A.",0,1)</f>
        <v>0</v>
      </c>
      <c r="AI591" s="2">
        <f>IF(H591="Yes",Tab_Data_Flows[[#This Row],[E5_Fraction'[%']]]*Tab_Data_Flows[[#This Row],[E1_value]],"N.A.")</f>
        <v>0</v>
      </c>
      <c r="AJ591" s="2" t="str">
        <f>Tab_Data_Flows[[#This Row],[E1_UoM]]</f>
        <v>Mg</v>
      </c>
      <c r="AK591" s="19">
        <f>_xlfn.XLOOKUP(Tab_Data_Flows[[#This Row],[Flow_Name]],Tab_Def_Flows[Flow_Name],Tab_Def_Flows[Flow_E6_Fraction'[%']],"N.A.",0,1)</f>
        <v>0</v>
      </c>
      <c r="AL591" s="2">
        <f>IF(Tab_Data_Flows[[#This Row],[Use_E6]]="Yes",Tab_Data_Flows[[#This Row],[E6_Fraction'[%']]]*Tab_Data_Flows[[#This Row],[E1_value]],"N.A.")</f>
        <v>0</v>
      </c>
      <c r="AM591" s="2" t="str">
        <f>Tab_Data_Flows[[#This Row],[E1_UoM]]</f>
        <v>Mg</v>
      </c>
    </row>
    <row r="592" spans="1:39" x14ac:dyDescent="0.25">
      <c r="A592" s="4">
        <f t="shared" si="12"/>
        <v>591</v>
      </c>
      <c r="B592" s="2" t="str">
        <f>_xlfn.XLOOKUP(C592,Tab_Def_Flows[Flow_Name],Tab_Def_Flows[Flow_ID],,0,)</f>
        <v>F__</v>
      </c>
      <c r="C592" s="18" t="s">
        <v>5</v>
      </c>
      <c r="D592" s="5" t="str">
        <f>_xlfn.XLOOKUP(C592,Tab_Def_Flows[Flow_Name],Tab_Def_Flows[Use_E1],,0,)</f>
        <v>Yes</v>
      </c>
      <c r="E592" s="5" t="str">
        <f>_xlfn.XLOOKUP(C592,Tab_Def_Flows[Flow_Name],Tab_Def_Flows[Use_E2],,0,)</f>
        <v>Yes</v>
      </c>
      <c r="F592" s="5" t="str">
        <f>_xlfn.XLOOKUP(C592,Tab_Def_Flows[Flow_Name],Tab_Def_Flows[Use_E3],,0,)</f>
        <v>Yes</v>
      </c>
      <c r="G592" s="5" t="str">
        <f>_xlfn.XLOOKUP(C592,Tab_Def_Flows[Flow_Name],Tab_Def_Flows[Use_E4],,0,)</f>
        <v>Yes</v>
      </c>
      <c r="H592" s="5" t="str">
        <f>_xlfn.XLOOKUP(C592,Tab_Def_Flows[Flow_Name],Tab_Def_Flows[Use_E5],,0,)</f>
        <v>Yes</v>
      </c>
      <c r="I592" s="5" t="str">
        <f>_xlfn.XLOOKUP(C592,Tab_Def_Flows[Flow_Name],Tab_Def_Flows[Use_E6],,0,)</f>
        <v>Yes</v>
      </c>
      <c r="J592" s="3"/>
      <c r="K592" s="3"/>
      <c r="L592" s="2" t="str">
        <f>'0_Configuration'!$C$41</f>
        <v>Mg</v>
      </c>
      <c r="M592" s="9"/>
      <c r="N592" s="9"/>
      <c r="O592" s="9"/>
      <c r="P592" s="9"/>
      <c r="Q592" s="18" t="s">
        <v>3</v>
      </c>
      <c r="R592" s="3"/>
      <c r="S592" s="3"/>
      <c r="T592" s="9"/>
      <c r="U592" s="9"/>
      <c r="V592" s="2">
        <f>_xlfn.XLOOKUP(Tab_Data_Flows[[#This Row],[Flow_Name]],Tab_Def_Flows[Flow_Name],Tab_Def_Flows[Flow_E1_Fraction'[%']],"N.A.",0,1)</f>
        <v>0</v>
      </c>
      <c r="W592" s="8">
        <f t="shared" si="17"/>
        <v>0</v>
      </c>
      <c r="X592" s="2" t="str">
        <f>Tab_Data_Flows[[#This Row],[UoM_Source]]</f>
        <v>Mg</v>
      </c>
      <c r="Y592" s="19">
        <f>_xlfn.XLOOKUP(Tab_Data_Flows[[#This Row],[Flow_Name]],Tab_Def_Flows[Flow_Name],Tab_Def_Flows[Flow_E2_Fraction'[%']],"N.A.",0,1)</f>
        <v>0</v>
      </c>
      <c r="Z592" s="2">
        <f>IF(D592="Yes",W592*Tab_Data_Flows[[#This Row],[E2_Fraction'[%']]],"N.A.")</f>
        <v>0</v>
      </c>
      <c r="AA592" s="2" t="str">
        <f>Tab_Data_Flows[[#This Row],[E1_UoM]]</f>
        <v>Mg</v>
      </c>
      <c r="AB592" s="19">
        <f>_xlfn.XLOOKUP(Tab_Data_Flows[[#This Row],[Flow_Name]],Tab_Def_Flows[Flow_Name],Tab_Def_Flows[Flow_E3_Fraction'[%']],"N.A.",0,1)</f>
        <v>0</v>
      </c>
      <c r="AC592" s="2">
        <f>IF(E592="Yes",AB592*Tab_Data_Flows[[#This Row],[E1_value]],"N.A.")</f>
        <v>0</v>
      </c>
      <c r="AD592" s="2" t="str">
        <f>Tab_Data_Flows[[#This Row],[E1_UoM]]</f>
        <v>Mg</v>
      </c>
      <c r="AE592" s="19">
        <f>_xlfn.XLOOKUP(Tab_Data_Flows[[#This Row],[Flow_Name]],Tab_Def_Flows[Flow_Name],Tab_Def_Flows[Flow_E4_Fraction'[%']],"N.A.",0,1)</f>
        <v>0</v>
      </c>
      <c r="AF592" s="2">
        <f>IF(H592="Yes",Tab_Data_Flows[[#This Row],[E4_Fraction'[%']]]*Tab_Data_Flows[[#This Row],[E1_value]],"N.A.")</f>
        <v>0</v>
      </c>
      <c r="AG592" s="2" t="str">
        <f>Tab_Data_Flows[[#This Row],[E1_UoM]]</f>
        <v>Mg</v>
      </c>
      <c r="AH592" s="2">
        <f>_xlfn.XLOOKUP(Tab_Data_Flows[[#This Row],[Flow_Name]],Tab_Def_Flows[Flow_Name],Tab_Def_Flows[Flow_E5_Fraction'[%']],"N.A.",0,1)</f>
        <v>0</v>
      </c>
      <c r="AI592" s="2">
        <f>IF(H592="Yes",Tab_Data_Flows[[#This Row],[E5_Fraction'[%']]]*Tab_Data_Flows[[#This Row],[E1_value]],"N.A.")</f>
        <v>0</v>
      </c>
      <c r="AJ592" s="2" t="str">
        <f>Tab_Data_Flows[[#This Row],[E1_UoM]]</f>
        <v>Mg</v>
      </c>
      <c r="AK592" s="19">
        <f>_xlfn.XLOOKUP(Tab_Data_Flows[[#This Row],[Flow_Name]],Tab_Def_Flows[Flow_Name],Tab_Def_Flows[Flow_E6_Fraction'[%']],"N.A.",0,1)</f>
        <v>0</v>
      </c>
      <c r="AL592" s="2">
        <f>IF(Tab_Data_Flows[[#This Row],[Use_E6]]="Yes",Tab_Data_Flows[[#This Row],[E6_Fraction'[%']]]*Tab_Data_Flows[[#This Row],[E1_value]],"N.A.")</f>
        <v>0</v>
      </c>
      <c r="AM592" s="2" t="str">
        <f>Tab_Data_Flows[[#This Row],[E1_UoM]]</f>
        <v>Mg</v>
      </c>
    </row>
    <row r="593" spans="1:39" x14ac:dyDescent="0.25">
      <c r="A593" s="4">
        <f t="shared" si="12"/>
        <v>592</v>
      </c>
      <c r="B593" s="2" t="str">
        <f>_xlfn.XLOOKUP(C593,Tab_Def_Flows[Flow_Name],Tab_Def_Flows[Flow_ID],,0,)</f>
        <v>F__</v>
      </c>
      <c r="C593" s="18" t="s">
        <v>5</v>
      </c>
      <c r="D593" s="5" t="str">
        <f>_xlfn.XLOOKUP(C593,Tab_Def_Flows[Flow_Name],Tab_Def_Flows[Use_E1],,0,)</f>
        <v>Yes</v>
      </c>
      <c r="E593" s="5" t="str">
        <f>_xlfn.XLOOKUP(C593,Tab_Def_Flows[Flow_Name],Tab_Def_Flows[Use_E2],,0,)</f>
        <v>Yes</v>
      </c>
      <c r="F593" s="5" t="str">
        <f>_xlfn.XLOOKUP(C593,Tab_Def_Flows[Flow_Name],Tab_Def_Flows[Use_E3],,0,)</f>
        <v>Yes</v>
      </c>
      <c r="G593" s="5" t="str">
        <f>_xlfn.XLOOKUP(C593,Tab_Def_Flows[Flow_Name],Tab_Def_Flows[Use_E4],,0,)</f>
        <v>Yes</v>
      </c>
      <c r="H593" s="5" t="str">
        <f>_xlfn.XLOOKUP(C593,Tab_Def_Flows[Flow_Name],Tab_Def_Flows[Use_E5],,0,)</f>
        <v>Yes</v>
      </c>
      <c r="I593" s="5" t="str">
        <f>_xlfn.XLOOKUP(C593,Tab_Def_Flows[Flow_Name],Tab_Def_Flows[Use_E6],,0,)</f>
        <v>Yes</v>
      </c>
      <c r="J593" s="3"/>
      <c r="K593" s="3"/>
      <c r="L593" s="2" t="str">
        <f>'0_Configuration'!$C$41</f>
        <v>Mg</v>
      </c>
      <c r="M593" s="9"/>
      <c r="N593" s="9"/>
      <c r="O593" s="9"/>
      <c r="P593" s="9"/>
      <c r="Q593" s="18" t="s">
        <v>3</v>
      </c>
      <c r="R593" s="3"/>
      <c r="S593" s="3"/>
      <c r="T593" s="9"/>
      <c r="U593" s="9"/>
      <c r="V593" s="2">
        <f>_xlfn.XLOOKUP(Tab_Data_Flows[[#This Row],[Flow_Name]],Tab_Def_Flows[Flow_Name],Tab_Def_Flows[Flow_E1_Fraction'[%']],"N.A.",0,1)</f>
        <v>0</v>
      </c>
      <c r="W593" s="8">
        <f t="shared" si="17"/>
        <v>0</v>
      </c>
      <c r="X593" s="2" t="str">
        <f>Tab_Data_Flows[[#This Row],[UoM_Source]]</f>
        <v>Mg</v>
      </c>
      <c r="Y593" s="19">
        <f>_xlfn.XLOOKUP(Tab_Data_Flows[[#This Row],[Flow_Name]],Tab_Def_Flows[Flow_Name],Tab_Def_Flows[Flow_E2_Fraction'[%']],"N.A.",0,1)</f>
        <v>0</v>
      </c>
      <c r="Z593" s="2">
        <f>IF(D593="Yes",W593*Tab_Data_Flows[[#This Row],[E2_Fraction'[%']]],"N.A.")</f>
        <v>0</v>
      </c>
      <c r="AA593" s="2" t="str">
        <f>Tab_Data_Flows[[#This Row],[E1_UoM]]</f>
        <v>Mg</v>
      </c>
      <c r="AB593" s="19">
        <f>_xlfn.XLOOKUP(Tab_Data_Flows[[#This Row],[Flow_Name]],Tab_Def_Flows[Flow_Name],Tab_Def_Flows[Flow_E3_Fraction'[%']],"N.A.",0,1)</f>
        <v>0</v>
      </c>
      <c r="AC593" s="2">
        <f>IF(E593="Yes",AB593*Tab_Data_Flows[[#This Row],[E1_value]],"N.A.")</f>
        <v>0</v>
      </c>
      <c r="AD593" s="2" t="str">
        <f>Tab_Data_Flows[[#This Row],[E1_UoM]]</f>
        <v>Mg</v>
      </c>
      <c r="AE593" s="19">
        <f>_xlfn.XLOOKUP(Tab_Data_Flows[[#This Row],[Flow_Name]],Tab_Def_Flows[Flow_Name],Tab_Def_Flows[Flow_E4_Fraction'[%']],"N.A.",0,1)</f>
        <v>0</v>
      </c>
      <c r="AF593" s="2">
        <f>IF(H593="Yes",Tab_Data_Flows[[#This Row],[E4_Fraction'[%']]]*Tab_Data_Flows[[#This Row],[E1_value]],"N.A.")</f>
        <v>0</v>
      </c>
      <c r="AG593" s="2" t="str">
        <f>Tab_Data_Flows[[#This Row],[E1_UoM]]</f>
        <v>Mg</v>
      </c>
      <c r="AH593" s="2">
        <f>_xlfn.XLOOKUP(Tab_Data_Flows[[#This Row],[Flow_Name]],Tab_Def_Flows[Flow_Name],Tab_Def_Flows[Flow_E5_Fraction'[%']],"N.A.",0,1)</f>
        <v>0</v>
      </c>
      <c r="AI593" s="2">
        <f>IF(H593="Yes",Tab_Data_Flows[[#This Row],[E5_Fraction'[%']]]*Tab_Data_Flows[[#This Row],[E1_value]],"N.A.")</f>
        <v>0</v>
      </c>
      <c r="AJ593" s="2" t="str">
        <f>Tab_Data_Flows[[#This Row],[E1_UoM]]</f>
        <v>Mg</v>
      </c>
      <c r="AK593" s="19">
        <f>_xlfn.XLOOKUP(Tab_Data_Flows[[#This Row],[Flow_Name]],Tab_Def_Flows[Flow_Name],Tab_Def_Flows[Flow_E6_Fraction'[%']],"N.A.",0,1)</f>
        <v>0</v>
      </c>
      <c r="AL593" s="2">
        <f>IF(Tab_Data_Flows[[#This Row],[Use_E6]]="Yes",Tab_Data_Flows[[#This Row],[E6_Fraction'[%']]]*Tab_Data_Flows[[#This Row],[E1_value]],"N.A.")</f>
        <v>0</v>
      </c>
      <c r="AM593" s="2" t="str">
        <f>Tab_Data_Flows[[#This Row],[E1_UoM]]</f>
        <v>Mg</v>
      </c>
    </row>
    <row r="594" spans="1:39" x14ac:dyDescent="0.25">
      <c r="A594" s="4">
        <f t="shared" si="12"/>
        <v>593</v>
      </c>
      <c r="B594" s="2" t="str">
        <f>_xlfn.XLOOKUP(C594,Tab_Def_Flows[Flow_Name],Tab_Def_Flows[Flow_ID],,0,)</f>
        <v>F__</v>
      </c>
      <c r="C594" s="18" t="s">
        <v>5</v>
      </c>
      <c r="D594" s="5" t="str">
        <f>_xlfn.XLOOKUP(C594,Tab_Def_Flows[Flow_Name],Tab_Def_Flows[Use_E1],,0,)</f>
        <v>Yes</v>
      </c>
      <c r="E594" s="5" t="str">
        <f>_xlfn.XLOOKUP(C594,Tab_Def_Flows[Flow_Name],Tab_Def_Flows[Use_E2],,0,)</f>
        <v>Yes</v>
      </c>
      <c r="F594" s="5" t="str">
        <f>_xlfn.XLOOKUP(C594,Tab_Def_Flows[Flow_Name],Tab_Def_Flows[Use_E3],,0,)</f>
        <v>Yes</v>
      </c>
      <c r="G594" s="5" t="str">
        <f>_xlfn.XLOOKUP(C594,Tab_Def_Flows[Flow_Name],Tab_Def_Flows[Use_E4],,0,)</f>
        <v>Yes</v>
      </c>
      <c r="H594" s="5" t="str">
        <f>_xlfn.XLOOKUP(C594,Tab_Def_Flows[Flow_Name],Tab_Def_Flows[Use_E5],,0,)</f>
        <v>Yes</v>
      </c>
      <c r="I594" s="5" t="str">
        <f>_xlfn.XLOOKUP(C594,Tab_Def_Flows[Flow_Name],Tab_Def_Flows[Use_E6],,0,)</f>
        <v>Yes</v>
      </c>
      <c r="J594" s="3"/>
      <c r="K594" s="3"/>
      <c r="L594" s="2" t="str">
        <f>'0_Configuration'!$C$41</f>
        <v>Mg</v>
      </c>
      <c r="M594" s="9"/>
      <c r="N594" s="9"/>
      <c r="O594" s="9"/>
      <c r="P594" s="9"/>
      <c r="Q594" s="18" t="s">
        <v>3</v>
      </c>
      <c r="R594" s="3"/>
      <c r="S594" s="3"/>
      <c r="T594" s="9"/>
      <c r="U594" s="9"/>
      <c r="V594" s="2">
        <f>_xlfn.XLOOKUP(Tab_Data_Flows[[#This Row],[Flow_Name]],Tab_Def_Flows[Flow_Name],Tab_Def_Flows[Flow_E1_Fraction'[%']],"N.A.",0,1)</f>
        <v>0</v>
      </c>
      <c r="W594" s="8">
        <f t="shared" si="17"/>
        <v>0</v>
      </c>
      <c r="X594" s="2" t="str">
        <f>Tab_Data_Flows[[#This Row],[UoM_Source]]</f>
        <v>Mg</v>
      </c>
      <c r="Y594" s="19">
        <f>_xlfn.XLOOKUP(Tab_Data_Flows[[#This Row],[Flow_Name]],Tab_Def_Flows[Flow_Name],Tab_Def_Flows[Flow_E2_Fraction'[%']],"N.A.",0,1)</f>
        <v>0</v>
      </c>
      <c r="Z594" s="2">
        <f>IF(D594="Yes",W594*Tab_Data_Flows[[#This Row],[E2_Fraction'[%']]],"N.A.")</f>
        <v>0</v>
      </c>
      <c r="AA594" s="2" t="str">
        <f>Tab_Data_Flows[[#This Row],[E1_UoM]]</f>
        <v>Mg</v>
      </c>
      <c r="AB594" s="19">
        <f>_xlfn.XLOOKUP(Tab_Data_Flows[[#This Row],[Flow_Name]],Tab_Def_Flows[Flow_Name],Tab_Def_Flows[Flow_E3_Fraction'[%']],"N.A.",0,1)</f>
        <v>0</v>
      </c>
      <c r="AC594" s="2">
        <f>IF(E594="Yes",AB594*Tab_Data_Flows[[#This Row],[E1_value]],"N.A.")</f>
        <v>0</v>
      </c>
      <c r="AD594" s="2" t="str">
        <f>Tab_Data_Flows[[#This Row],[E1_UoM]]</f>
        <v>Mg</v>
      </c>
      <c r="AE594" s="19">
        <f>_xlfn.XLOOKUP(Tab_Data_Flows[[#This Row],[Flow_Name]],Tab_Def_Flows[Flow_Name],Tab_Def_Flows[Flow_E4_Fraction'[%']],"N.A.",0,1)</f>
        <v>0</v>
      </c>
      <c r="AF594" s="2">
        <f>IF(H594="Yes",Tab_Data_Flows[[#This Row],[E4_Fraction'[%']]]*Tab_Data_Flows[[#This Row],[E1_value]],"N.A.")</f>
        <v>0</v>
      </c>
      <c r="AG594" s="2" t="str">
        <f>Tab_Data_Flows[[#This Row],[E1_UoM]]</f>
        <v>Mg</v>
      </c>
      <c r="AH594" s="2">
        <f>_xlfn.XLOOKUP(Tab_Data_Flows[[#This Row],[Flow_Name]],Tab_Def_Flows[Flow_Name],Tab_Def_Flows[Flow_E5_Fraction'[%']],"N.A.",0,1)</f>
        <v>0</v>
      </c>
      <c r="AI594" s="2">
        <f>IF(H594="Yes",Tab_Data_Flows[[#This Row],[E5_Fraction'[%']]]*Tab_Data_Flows[[#This Row],[E1_value]],"N.A.")</f>
        <v>0</v>
      </c>
      <c r="AJ594" s="2" t="str">
        <f>Tab_Data_Flows[[#This Row],[E1_UoM]]</f>
        <v>Mg</v>
      </c>
      <c r="AK594" s="19">
        <f>_xlfn.XLOOKUP(Tab_Data_Flows[[#This Row],[Flow_Name]],Tab_Def_Flows[Flow_Name],Tab_Def_Flows[Flow_E6_Fraction'[%']],"N.A.",0,1)</f>
        <v>0</v>
      </c>
      <c r="AL594" s="2">
        <f>IF(Tab_Data_Flows[[#This Row],[Use_E6]]="Yes",Tab_Data_Flows[[#This Row],[E6_Fraction'[%']]]*Tab_Data_Flows[[#This Row],[E1_value]],"N.A.")</f>
        <v>0</v>
      </c>
      <c r="AM594" s="2" t="str">
        <f>Tab_Data_Flows[[#This Row],[E1_UoM]]</f>
        <v>Mg</v>
      </c>
    </row>
    <row r="595" spans="1:39" x14ac:dyDescent="0.25">
      <c r="A595" s="4">
        <f t="shared" si="12"/>
        <v>594</v>
      </c>
      <c r="B595" s="2" t="str">
        <f>_xlfn.XLOOKUP(C595,Tab_Def_Flows[Flow_Name],Tab_Def_Flows[Flow_ID],,0,)</f>
        <v>F__</v>
      </c>
      <c r="C595" s="18" t="s">
        <v>5</v>
      </c>
      <c r="D595" s="5" t="str">
        <f>_xlfn.XLOOKUP(C595,Tab_Def_Flows[Flow_Name],Tab_Def_Flows[Use_E1],,0,)</f>
        <v>Yes</v>
      </c>
      <c r="E595" s="5" t="str">
        <f>_xlfn.XLOOKUP(C595,Tab_Def_Flows[Flow_Name],Tab_Def_Flows[Use_E2],,0,)</f>
        <v>Yes</v>
      </c>
      <c r="F595" s="5" t="str">
        <f>_xlfn.XLOOKUP(C595,Tab_Def_Flows[Flow_Name],Tab_Def_Flows[Use_E3],,0,)</f>
        <v>Yes</v>
      </c>
      <c r="G595" s="5" t="str">
        <f>_xlfn.XLOOKUP(C595,Tab_Def_Flows[Flow_Name],Tab_Def_Flows[Use_E4],,0,)</f>
        <v>Yes</v>
      </c>
      <c r="H595" s="5" t="str">
        <f>_xlfn.XLOOKUP(C595,Tab_Def_Flows[Flow_Name],Tab_Def_Flows[Use_E5],,0,)</f>
        <v>Yes</v>
      </c>
      <c r="I595" s="5" t="str">
        <f>_xlfn.XLOOKUP(C595,Tab_Def_Flows[Flow_Name],Tab_Def_Flows[Use_E6],,0,)</f>
        <v>Yes</v>
      </c>
      <c r="J595" s="3"/>
      <c r="K595" s="3"/>
      <c r="L595" s="2" t="str">
        <f>'0_Configuration'!$C$41</f>
        <v>Mg</v>
      </c>
      <c r="M595" s="9"/>
      <c r="N595" s="9"/>
      <c r="O595" s="9"/>
      <c r="P595" s="9"/>
      <c r="Q595" s="18" t="s">
        <v>3</v>
      </c>
      <c r="R595" s="3"/>
      <c r="S595" s="3"/>
      <c r="T595" s="9"/>
      <c r="U595" s="9"/>
      <c r="V595" s="2">
        <f>_xlfn.XLOOKUP(Tab_Data_Flows[[#This Row],[Flow_Name]],Tab_Def_Flows[Flow_Name],Tab_Def_Flows[Flow_E1_Fraction'[%']],"N.A.",0,1)</f>
        <v>0</v>
      </c>
      <c r="W595" s="8">
        <f t="shared" si="17"/>
        <v>0</v>
      </c>
      <c r="X595" s="2" t="str">
        <f>Tab_Data_Flows[[#This Row],[UoM_Source]]</f>
        <v>Mg</v>
      </c>
      <c r="Y595" s="19">
        <f>_xlfn.XLOOKUP(Tab_Data_Flows[[#This Row],[Flow_Name]],Tab_Def_Flows[Flow_Name],Tab_Def_Flows[Flow_E2_Fraction'[%']],"N.A.",0,1)</f>
        <v>0</v>
      </c>
      <c r="Z595" s="2">
        <f>IF(D595="Yes",W595*Tab_Data_Flows[[#This Row],[E2_Fraction'[%']]],"N.A.")</f>
        <v>0</v>
      </c>
      <c r="AA595" s="2" t="str">
        <f>Tab_Data_Flows[[#This Row],[E1_UoM]]</f>
        <v>Mg</v>
      </c>
      <c r="AB595" s="19">
        <f>_xlfn.XLOOKUP(Tab_Data_Flows[[#This Row],[Flow_Name]],Tab_Def_Flows[Flow_Name],Tab_Def_Flows[Flow_E3_Fraction'[%']],"N.A.",0,1)</f>
        <v>0</v>
      </c>
      <c r="AC595" s="2">
        <f>IF(E595="Yes",AB595*Tab_Data_Flows[[#This Row],[E1_value]],"N.A.")</f>
        <v>0</v>
      </c>
      <c r="AD595" s="2" t="str">
        <f>Tab_Data_Flows[[#This Row],[E1_UoM]]</f>
        <v>Mg</v>
      </c>
      <c r="AE595" s="19">
        <f>_xlfn.XLOOKUP(Tab_Data_Flows[[#This Row],[Flow_Name]],Tab_Def_Flows[Flow_Name],Tab_Def_Flows[Flow_E4_Fraction'[%']],"N.A.",0,1)</f>
        <v>0</v>
      </c>
      <c r="AF595" s="2">
        <f>IF(H595="Yes",Tab_Data_Flows[[#This Row],[E4_Fraction'[%']]]*Tab_Data_Flows[[#This Row],[E1_value]],"N.A.")</f>
        <v>0</v>
      </c>
      <c r="AG595" s="2" t="str">
        <f>Tab_Data_Flows[[#This Row],[E1_UoM]]</f>
        <v>Mg</v>
      </c>
      <c r="AH595" s="2">
        <f>_xlfn.XLOOKUP(Tab_Data_Flows[[#This Row],[Flow_Name]],Tab_Def_Flows[Flow_Name],Tab_Def_Flows[Flow_E5_Fraction'[%']],"N.A.",0,1)</f>
        <v>0</v>
      </c>
      <c r="AI595" s="2">
        <f>IF(H595="Yes",Tab_Data_Flows[[#This Row],[E5_Fraction'[%']]]*Tab_Data_Flows[[#This Row],[E1_value]],"N.A.")</f>
        <v>0</v>
      </c>
      <c r="AJ595" s="2" t="str">
        <f>Tab_Data_Flows[[#This Row],[E1_UoM]]</f>
        <v>Mg</v>
      </c>
      <c r="AK595" s="19">
        <f>_xlfn.XLOOKUP(Tab_Data_Flows[[#This Row],[Flow_Name]],Tab_Def_Flows[Flow_Name],Tab_Def_Flows[Flow_E6_Fraction'[%']],"N.A.",0,1)</f>
        <v>0</v>
      </c>
      <c r="AL595" s="2">
        <f>IF(Tab_Data_Flows[[#This Row],[Use_E6]]="Yes",Tab_Data_Flows[[#This Row],[E6_Fraction'[%']]]*Tab_Data_Flows[[#This Row],[E1_value]],"N.A.")</f>
        <v>0</v>
      </c>
      <c r="AM595" s="2" t="str">
        <f>Tab_Data_Flows[[#This Row],[E1_UoM]]</f>
        <v>Mg</v>
      </c>
    </row>
    <row r="596" spans="1:39" x14ac:dyDescent="0.25">
      <c r="A596" s="4">
        <f t="shared" si="12"/>
        <v>595</v>
      </c>
      <c r="B596" s="2" t="str">
        <f>_xlfn.XLOOKUP(C596,Tab_Def_Flows[Flow_Name],Tab_Def_Flows[Flow_ID],,0,)</f>
        <v>F__</v>
      </c>
      <c r="C596" s="18" t="s">
        <v>5</v>
      </c>
      <c r="D596" s="5" t="str">
        <f>_xlfn.XLOOKUP(C596,Tab_Def_Flows[Flow_Name],Tab_Def_Flows[Use_E1],,0,)</f>
        <v>Yes</v>
      </c>
      <c r="E596" s="5" t="str">
        <f>_xlfn.XLOOKUP(C596,Tab_Def_Flows[Flow_Name],Tab_Def_Flows[Use_E2],,0,)</f>
        <v>Yes</v>
      </c>
      <c r="F596" s="5" t="str">
        <f>_xlfn.XLOOKUP(C596,Tab_Def_Flows[Flow_Name],Tab_Def_Flows[Use_E3],,0,)</f>
        <v>Yes</v>
      </c>
      <c r="G596" s="5" t="str">
        <f>_xlfn.XLOOKUP(C596,Tab_Def_Flows[Flow_Name],Tab_Def_Flows[Use_E4],,0,)</f>
        <v>Yes</v>
      </c>
      <c r="H596" s="5" t="str">
        <f>_xlfn.XLOOKUP(C596,Tab_Def_Flows[Flow_Name],Tab_Def_Flows[Use_E5],,0,)</f>
        <v>Yes</v>
      </c>
      <c r="I596" s="5" t="str">
        <f>_xlfn.XLOOKUP(C596,Tab_Def_Flows[Flow_Name],Tab_Def_Flows[Use_E6],,0,)</f>
        <v>Yes</v>
      </c>
      <c r="J596" s="3"/>
      <c r="K596" s="3"/>
      <c r="L596" s="2" t="str">
        <f>'0_Configuration'!$C$41</f>
        <v>Mg</v>
      </c>
      <c r="M596" s="9"/>
      <c r="N596" s="9"/>
      <c r="O596" s="9"/>
      <c r="P596" s="9"/>
      <c r="Q596" s="18" t="s">
        <v>3</v>
      </c>
      <c r="R596" s="3"/>
      <c r="S596" s="3"/>
      <c r="T596" s="9"/>
      <c r="U596" s="9"/>
      <c r="V596" s="2">
        <f>_xlfn.XLOOKUP(Tab_Data_Flows[[#This Row],[Flow_Name]],Tab_Def_Flows[Flow_Name],Tab_Def_Flows[Flow_E1_Fraction'[%']],"N.A.",0,1)</f>
        <v>0</v>
      </c>
      <c r="W596" s="8">
        <f t="shared" si="17"/>
        <v>0</v>
      </c>
      <c r="X596" s="2" t="str">
        <f>Tab_Data_Flows[[#This Row],[UoM_Source]]</f>
        <v>Mg</v>
      </c>
      <c r="Y596" s="19">
        <f>_xlfn.XLOOKUP(Tab_Data_Flows[[#This Row],[Flow_Name]],Tab_Def_Flows[Flow_Name],Tab_Def_Flows[Flow_E2_Fraction'[%']],"N.A.",0,1)</f>
        <v>0</v>
      </c>
      <c r="Z596" s="2">
        <f>IF(D596="Yes",W596*Tab_Data_Flows[[#This Row],[E2_Fraction'[%']]],"N.A.")</f>
        <v>0</v>
      </c>
      <c r="AA596" s="2" t="str">
        <f>Tab_Data_Flows[[#This Row],[E1_UoM]]</f>
        <v>Mg</v>
      </c>
      <c r="AB596" s="19">
        <f>_xlfn.XLOOKUP(Tab_Data_Flows[[#This Row],[Flow_Name]],Tab_Def_Flows[Flow_Name],Tab_Def_Flows[Flow_E3_Fraction'[%']],"N.A.",0,1)</f>
        <v>0</v>
      </c>
      <c r="AC596" s="2">
        <f>IF(E596="Yes",AB596*Tab_Data_Flows[[#This Row],[E1_value]],"N.A.")</f>
        <v>0</v>
      </c>
      <c r="AD596" s="2" t="str">
        <f>Tab_Data_Flows[[#This Row],[E1_UoM]]</f>
        <v>Mg</v>
      </c>
      <c r="AE596" s="19">
        <f>_xlfn.XLOOKUP(Tab_Data_Flows[[#This Row],[Flow_Name]],Tab_Def_Flows[Flow_Name],Tab_Def_Flows[Flow_E4_Fraction'[%']],"N.A.",0,1)</f>
        <v>0</v>
      </c>
      <c r="AF596" s="2">
        <f>IF(H596="Yes",Tab_Data_Flows[[#This Row],[E4_Fraction'[%']]]*Tab_Data_Flows[[#This Row],[E1_value]],"N.A.")</f>
        <v>0</v>
      </c>
      <c r="AG596" s="2" t="str">
        <f>Tab_Data_Flows[[#This Row],[E1_UoM]]</f>
        <v>Mg</v>
      </c>
      <c r="AH596" s="2">
        <f>_xlfn.XLOOKUP(Tab_Data_Flows[[#This Row],[Flow_Name]],Tab_Def_Flows[Flow_Name],Tab_Def_Flows[Flow_E5_Fraction'[%']],"N.A.",0,1)</f>
        <v>0</v>
      </c>
      <c r="AI596" s="2">
        <f>IF(H596="Yes",Tab_Data_Flows[[#This Row],[E5_Fraction'[%']]]*Tab_Data_Flows[[#This Row],[E1_value]],"N.A.")</f>
        <v>0</v>
      </c>
      <c r="AJ596" s="2" t="str">
        <f>Tab_Data_Flows[[#This Row],[E1_UoM]]</f>
        <v>Mg</v>
      </c>
      <c r="AK596" s="19">
        <f>_xlfn.XLOOKUP(Tab_Data_Flows[[#This Row],[Flow_Name]],Tab_Def_Flows[Flow_Name],Tab_Def_Flows[Flow_E6_Fraction'[%']],"N.A.",0,1)</f>
        <v>0</v>
      </c>
      <c r="AL596" s="2">
        <f>IF(Tab_Data_Flows[[#This Row],[Use_E6]]="Yes",Tab_Data_Flows[[#This Row],[E6_Fraction'[%']]]*Tab_Data_Flows[[#This Row],[E1_value]],"N.A.")</f>
        <v>0</v>
      </c>
      <c r="AM596" s="2" t="str">
        <f>Tab_Data_Flows[[#This Row],[E1_UoM]]</f>
        <v>Mg</v>
      </c>
    </row>
    <row r="597" spans="1:39" x14ac:dyDescent="0.25">
      <c r="A597" s="4">
        <f t="shared" si="12"/>
        <v>596</v>
      </c>
      <c r="B597" s="2" t="str">
        <f>_xlfn.XLOOKUP(C597,Tab_Def_Flows[Flow_Name],Tab_Def_Flows[Flow_ID],,0,)</f>
        <v>F__</v>
      </c>
      <c r="C597" s="18" t="s">
        <v>5</v>
      </c>
      <c r="D597" s="5" t="str">
        <f>_xlfn.XLOOKUP(C597,Tab_Def_Flows[Flow_Name],Tab_Def_Flows[Use_E1],,0,)</f>
        <v>Yes</v>
      </c>
      <c r="E597" s="5" t="str">
        <f>_xlfn.XLOOKUP(C597,Tab_Def_Flows[Flow_Name],Tab_Def_Flows[Use_E2],,0,)</f>
        <v>Yes</v>
      </c>
      <c r="F597" s="5" t="str">
        <f>_xlfn.XLOOKUP(C597,Tab_Def_Flows[Flow_Name],Tab_Def_Flows[Use_E3],,0,)</f>
        <v>Yes</v>
      </c>
      <c r="G597" s="5" t="str">
        <f>_xlfn.XLOOKUP(C597,Tab_Def_Flows[Flow_Name],Tab_Def_Flows[Use_E4],,0,)</f>
        <v>Yes</v>
      </c>
      <c r="H597" s="5" t="str">
        <f>_xlfn.XLOOKUP(C597,Tab_Def_Flows[Flow_Name],Tab_Def_Flows[Use_E5],,0,)</f>
        <v>Yes</v>
      </c>
      <c r="I597" s="5" t="str">
        <f>_xlfn.XLOOKUP(C597,Tab_Def_Flows[Flow_Name],Tab_Def_Flows[Use_E6],,0,)</f>
        <v>Yes</v>
      </c>
      <c r="J597" s="3"/>
      <c r="K597" s="3"/>
      <c r="L597" s="2" t="str">
        <f>'0_Configuration'!$C$41</f>
        <v>Mg</v>
      </c>
      <c r="M597" s="9"/>
      <c r="N597" s="9"/>
      <c r="O597" s="9"/>
      <c r="P597" s="9"/>
      <c r="Q597" s="18" t="s">
        <v>3</v>
      </c>
      <c r="R597" s="3"/>
      <c r="S597" s="3"/>
      <c r="T597" s="9"/>
      <c r="U597" s="9"/>
      <c r="V597" s="2">
        <f>_xlfn.XLOOKUP(Tab_Data_Flows[[#This Row],[Flow_Name]],Tab_Def_Flows[Flow_Name],Tab_Def_Flows[Flow_E1_Fraction'[%']],"N.A.",0,1)</f>
        <v>0</v>
      </c>
      <c r="W597" s="8">
        <f t="shared" si="17"/>
        <v>0</v>
      </c>
      <c r="X597" s="2" t="str">
        <f>Tab_Data_Flows[[#This Row],[UoM_Source]]</f>
        <v>Mg</v>
      </c>
      <c r="Y597" s="19">
        <f>_xlfn.XLOOKUP(Tab_Data_Flows[[#This Row],[Flow_Name]],Tab_Def_Flows[Flow_Name],Tab_Def_Flows[Flow_E2_Fraction'[%']],"N.A.",0,1)</f>
        <v>0</v>
      </c>
      <c r="Z597" s="2">
        <f>IF(D597="Yes",W597*Tab_Data_Flows[[#This Row],[E2_Fraction'[%']]],"N.A.")</f>
        <v>0</v>
      </c>
      <c r="AA597" s="2" t="str">
        <f>Tab_Data_Flows[[#This Row],[E1_UoM]]</f>
        <v>Mg</v>
      </c>
      <c r="AB597" s="19">
        <f>_xlfn.XLOOKUP(Tab_Data_Flows[[#This Row],[Flow_Name]],Tab_Def_Flows[Flow_Name],Tab_Def_Flows[Flow_E3_Fraction'[%']],"N.A.",0,1)</f>
        <v>0</v>
      </c>
      <c r="AC597" s="2">
        <f>IF(E597="Yes",AB597*Tab_Data_Flows[[#This Row],[E1_value]],"N.A.")</f>
        <v>0</v>
      </c>
      <c r="AD597" s="2" t="str">
        <f>Tab_Data_Flows[[#This Row],[E1_UoM]]</f>
        <v>Mg</v>
      </c>
      <c r="AE597" s="19">
        <f>_xlfn.XLOOKUP(Tab_Data_Flows[[#This Row],[Flow_Name]],Tab_Def_Flows[Flow_Name],Tab_Def_Flows[Flow_E4_Fraction'[%']],"N.A.",0,1)</f>
        <v>0</v>
      </c>
      <c r="AF597" s="2">
        <f>IF(H597="Yes",Tab_Data_Flows[[#This Row],[E4_Fraction'[%']]]*Tab_Data_Flows[[#This Row],[E1_value]],"N.A.")</f>
        <v>0</v>
      </c>
      <c r="AG597" s="2" t="str">
        <f>Tab_Data_Flows[[#This Row],[E1_UoM]]</f>
        <v>Mg</v>
      </c>
      <c r="AH597" s="2">
        <f>_xlfn.XLOOKUP(Tab_Data_Flows[[#This Row],[Flow_Name]],Tab_Def_Flows[Flow_Name],Tab_Def_Flows[Flow_E5_Fraction'[%']],"N.A.",0,1)</f>
        <v>0</v>
      </c>
      <c r="AI597" s="2">
        <f>IF(H597="Yes",Tab_Data_Flows[[#This Row],[E5_Fraction'[%']]]*Tab_Data_Flows[[#This Row],[E1_value]],"N.A.")</f>
        <v>0</v>
      </c>
      <c r="AJ597" s="2" t="str">
        <f>Tab_Data_Flows[[#This Row],[E1_UoM]]</f>
        <v>Mg</v>
      </c>
      <c r="AK597" s="19">
        <f>_xlfn.XLOOKUP(Tab_Data_Flows[[#This Row],[Flow_Name]],Tab_Def_Flows[Flow_Name],Tab_Def_Flows[Flow_E6_Fraction'[%']],"N.A.",0,1)</f>
        <v>0</v>
      </c>
      <c r="AL597" s="2">
        <f>IF(Tab_Data_Flows[[#This Row],[Use_E6]]="Yes",Tab_Data_Flows[[#This Row],[E6_Fraction'[%']]]*Tab_Data_Flows[[#This Row],[E1_value]],"N.A.")</f>
        <v>0</v>
      </c>
      <c r="AM597" s="2" t="str">
        <f>Tab_Data_Flows[[#This Row],[E1_UoM]]</f>
        <v>Mg</v>
      </c>
    </row>
    <row r="598" spans="1:39" x14ac:dyDescent="0.25">
      <c r="A598" s="4">
        <f>ROW()-1</f>
        <v>597</v>
      </c>
      <c r="B598" s="2" t="str">
        <f>_xlfn.XLOOKUP(C598,Tab_Def_Flows[Flow_Name],Tab_Def_Flows[Flow_ID],,0,)</f>
        <v>F__</v>
      </c>
      <c r="C598" s="18" t="s">
        <v>5</v>
      </c>
      <c r="D598" s="5" t="str">
        <f>_xlfn.XLOOKUP(C598,Tab_Def_Flows[Flow_Name],Tab_Def_Flows[Use_E1],,0,)</f>
        <v>Yes</v>
      </c>
      <c r="E598" s="5" t="str">
        <f>_xlfn.XLOOKUP(C598,Tab_Def_Flows[Flow_Name],Tab_Def_Flows[Use_E2],,0,)</f>
        <v>Yes</v>
      </c>
      <c r="F598" s="5" t="str">
        <f>_xlfn.XLOOKUP(C598,Tab_Def_Flows[Flow_Name],Tab_Def_Flows[Use_E3],,0,)</f>
        <v>Yes</v>
      </c>
      <c r="G598" s="5" t="str">
        <f>_xlfn.XLOOKUP(C598,Tab_Def_Flows[Flow_Name],Tab_Def_Flows[Use_E4],,0,)</f>
        <v>Yes</v>
      </c>
      <c r="H598" s="5" t="str">
        <f>_xlfn.XLOOKUP(C598,Tab_Def_Flows[Flow_Name],Tab_Def_Flows[Use_E5],,0,)</f>
        <v>Yes</v>
      </c>
      <c r="I598" s="5" t="str">
        <f>_xlfn.XLOOKUP(C598,Tab_Def_Flows[Flow_Name],Tab_Def_Flows[Use_E6],,0,)</f>
        <v>Yes</v>
      </c>
      <c r="J598" s="3"/>
      <c r="K598" s="3"/>
      <c r="L598" s="2" t="str">
        <f>'0_Configuration'!$C$41</f>
        <v>Mg</v>
      </c>
      <c r="M598" s="9"/>
      <c r="N598" s="9"/>
      <c r="O598" s="9"/>
      <c r="P598" s="9"/>
      <c r="Q598" s="18" t="s">
        <v>3</v>
      </c>
      <c r="R598" s="3"/>
      <c r="S598" s="3"/>
      <c r="T598" s="9"/>
      <c r="U598" s="9"/>
      <c r="V598" s="2">
        <f>_xlfn.XLOOKUP(Tab_Data_Flows[[#This Row],[Flow_Name]],Tab_Def_Flows[Flow_Name],Tab_Def_Flows[Flow_E1_Fraction'[%']],"N.A.",0,1)</f>
        <v>0</v>
      </c>
      <c r="W598" s="8">
        <f t="shared" si="17"/>
        <v>0</v>
      </c>
      <c r="X598" s="2" t="str">
        <f>Tab_Data_Flows[[#This Row],[UoM_Source]]</f>
        <v>Mg</v>
      </c>
      <c r="Y598" s="19">
        <f>_xlfn.XLOOKUP(Tab_Data_Flows[[#This Row],[Flow_Name]],Tab_Def_Flows[Flow_Name],Tab_Def_Flows[Flow_E2_Fraction'[%']],"N.A.",0,1)</f>
        <v>0</v>
      </c>
      <c r="Z598" s="2">
        <f>IF(D598="Yes",W598*Tab_Data_Flows[[#This Row],[E2_Fraction'[%']]],"N.A.")</f>
        <v>0</v>
      </c>
      <c r="AA598" s="2" t="str">
        <f>Tab_Data_Flows[[#This Row],[E1_UoM]]</f>
        <v>Mg</v>
      </c>
      <c r="AB598" s="19">
        <f>_xlfn.XLOOKUP(Tab_Data_Flows[[#This Row],[Flow_Name]],Tab_Def_Flows[Flow_Name],Tab_Def_Flows[Flow_E3_Fraction'[%']],"N.A.",0,1)</f>
        <v>0</v>
      </c>
      <c r="AC598" s="2">
        <f>IF(E598="Yes",AB598*Tab_Data_Flows[[#This Row],[E1_value]],"N.A.")</f>
        <v>0</v>
      </c>
      <c r="AD598" s="2" t="str">
        <f>Tab_Data_Flows[[#This Row],[E1_UoM]]</f>
        <v>Mg</v>
      </c>
      <c r="AE598" s="19">
        <f>_xlfn.XLOOKUP(Tab_Data_Flows[[#This Row],[Flow_Name]],Tab_Def_Flows[Flow_Name],Tab_Def_Flows[Flow_E4_Fraction'[%']],"N.A.",0,1)</f>
        <v>0</v>
      </c>
      <c r="AF598" s="2">
        <f>IF(H598="Yes",Tab_Data_Flows[[#This Row],[E4_Fraction'[%']]]*Tab_Data_Flows[[#This Row],[E1_value]],"N.A.")</f>
        <v>0</v>
      </c>
      <c r="AG598" s="2" t="str">
        <f>Tab_Data_Flows[[#This Row],[E1_UoM]]</f>
        <v>Mg</v>
      </c>
      <c r="AH598" s="2">
        <f>_xlfn.XLOOKUP(Tab_Data_Flows[[#This Row],[Flow_Name]],Tab_Def_Flows[Flow_Name],Tab_Def_Flows[Flow_E5_Fraction'[%']],"N.A.",0,1)</f>
        <v>0</v>
      </c>
      <c r="AI598" s="2">
        <f>IF(H598="Yes",Tab_Data_Flows[[#This Row],[E5_Fraction'[%']]]*Tab_Data_Flows[[#This Row],[E1_value]],"N.A.")</f>
        <v>0</v>
      </c>
      <c r="AJ598" s="2" t="str">
        <f>Tab_Data_Flows[[#This Row],[E1_UoM]]</f>
        <v>Mg</v>
      </c>
      <c r="AK598" s="19">
        <f>_xlfn.XLOOKUP(Tab_Data_Flows[[#This Row],[Flow_Name]],Tab_Def_Flows[Flow_Name],Tab_Def_Flows[Flow_E6_Fraction'[%']],"N.A.",0,1)</f>
        <v>0</v>
      </c>
      <c r="AL598" s="2">
        <f>IF(Tab_Data_Flows[[#This Row],[Use_E6]]="Yes",Tab_Data_Flows[[#This Row],[E6_Fraction'[%']]]*Tab_Data_Flows[[#This Row],[E1_value]],"N.A.")</f>
        <v>0</v>
      </c>
      <c r="AM598" s="2" t="str">
        <f>Tab_Data_Flows[[#This Row],[E1_UoM]]</f>
        <v>Mg</v>
      </c>
    </row>
    <row r="599" spans="1:39" x14ac:dyDescent="0.25">
      <c r="A599" s="4">
        <f>ROW()-1</f>
        <v>598</v>
      </c>
      <c r="B599" s="2" t="str">
        <f>_xlfn.XLOOKUP(C599,Tab_Def_Flows[Flow_Name],Tab_Def_Flows[Flow_ID],,0,)</f>
        <v>F__</v>
      </c>
      <c r="C599" s="18" t="s">
        <v>5</v>
      </c>
      <c r="D599" s="5" t="str">
        <f>_xlfn.XLOOKUP(C599,Tab_Def_Flows[Flow_Name],Tab_Def_Flows[Use_E1],,0,)</f>
        <v>Yes</v>
      </c>
      <c r="E599" s="5" t="str">
        <f>_xlfn.XLOOKUP(C599,Tab_Def_Flows[Flow_Name],Tab_Def_Flows[Use_E2],,0,)</f>
        <v>Yes</v>
      </c>
      <c r="F599" s="5" t="str">
        <f>_xlfn.XLOOKUP(C599,Tab_Def_Flows[Flow_Name],Tab_Def_Flows[Use_E3],,0,)</f>
        <v>Yes</v>
      </c>
      <c r="G599" s="5" t="str">
        <f>_xlfn.XLOOKUP(C599,Tab_Def_Flows[Flow_Name],Tab_Def_Flows[Use_E4],,0,)</f>
        <v>Yes</v>
      </c>
      <c r="H599" s="5" t="str">
        <f>_xlfn.XLOOKUP(C599,Tab_Def_Flows[Flow_Name],Tab_Def_Flows[Use_E5],,0,)</f>
        <v>Yes</v>
      </c>
      <c r="I599" s="5" t="str">
        <f>_xlfn.XLOOKUP(C599,Tab_Def_Flows[Flow_Name],Tab_Def_Flows[Use_E6],,0,)</f>
        <v>Yes</v>
      </c>
      <c r="J599" s="3"/>
      <c r="K599" s="3"/>
      <c r="L599" s="2" t="str">
        <f>'0_Configuration'!$C$41</f>
        <v>Mg</v>
      </c>
      <c r="M599" s="9"/>
      <c r="N599" s="9"/>
      <c r="O599" s="9"/>
      <c r="P599" s="9"/>
      <c r="Q599" s="18" t="s">
        <v>3</v>
      </c>
      <c r="R599" s="3"/>
      <c r="S599" s="3"/>
      <c r="T599" s="9"/>
      <c r="U599" s="9"/>
      <c r="V599" s="2">
        <f>_xlfn.XLOOKUP(Tab_Data_Flows[[#This Row],[Flow_Name]],Tab_Def_Flows[Flow_Name],Tab_Def_Flows[Flow_E1_Fraction'[%']],"N.A.",0,1)</f>
        <v>0</v>
      </c>
      <c r="W599" s="8">
        <f t="shared" si="17"/>
        <v>0</v>
      </c>
      <c r="X599" s="2" t="str">
        <f>Tab_Data_Flows[[#This Row],[UoM_Source]]</f>
        <v>Mg</v>
      </c>
      <c r="Y599" s="19">
        <f>_xlfn.XLOOKUP(Tab_Data_Flows[[#This Row],[Flow_Name]],Tab_Def_Flows[Flow_Name],Tab_Def_Flows[Flow_E2_Fraction'[%']],"N.A.",0,1)</f>
        <v>0</v>
      </c>
      <c r="Z599" s="2">
        <f>IF(D599="Yes",W599*Tab_Data_Flows[[#This Row],[E2_Fraction'[%']]],"N.A.")</f>
        <v>0</v>
      </c>
      <c r="AA599" s="2" t="str">
        <f>Tab_Data_Flows[[#This Row],[E1_UoM]]</f>
        <v>Mg</v>
      </c>
      <c r="AB599" s="19">
        <f>_xlfn.XLOOKUP(Tab_Data_Flows[[#This Row],[Flow_Name]],Tab_Def_Flows[Flow_Name],Tab_Def_Flows[Flow_E3_Fraction'[%']],"N.A.",0,1)</f>
        <v>0</v>
      </c>
      <c r="AC599" s="2">
        <f>IF(E599="Yes",AB599*Tab_Data_Flows[[#This Row],[E1_value]],"N.A.")</f>
        <v>0</v>
      </c>
      <c r="AD599" s="2" t="str">
        <f>Tab_Data_Flows[[#This Row],[E1_UoM]]</f>
        <v>Mg</v>
      </c>
      <c r="AE599" s="19">
        <f>_xlfn.XLOOKUP(Tab_Data_Flows[[#This Row],[Flow_Name]],Tab_Def_Flows[Flow_Name],Tab_Def_Flows[Flow_E4_Fraction'[%']],"N.A.",0,1)</f>
        <v>0</v>
      </c>
      <c r="AF599" s="2">
        <f>IF(H599="Yes",Tab_Data_Flows[[#This Row],[E4_Fraction'[%']]]*Tab_Data_Flows[[#This Row],[E1_value]],"N.A.")</f>
        <v>0</v>
      </c>
      <c r="AG599" s="2" t="str">
        <f>Tab_Data_Flows[[#This Row],[E1_UoM]]</f>
        <v>Mg</v>
      </c>
      <c r="AH599" s="2">
        <f>_xlfn.XLOOKUP(Tab_Data_Flows[[#This Row],[Flow_Name]],Tab_Def_Flows[Flow_Name],Tab_Def_Flows[Flow_E5_Fraction'[%']],"N.A.",0,1)</f>
        <v>0</v>
      </c>
      <c r="AI599" s="2">
        <f>IF(H599="Yes",Tab_Data_Flows[[#This Row],[E5_Fraction'[%']]]*Tab_Data_Flows[[#This Row],[E1_value]],"N.A.")</f>
        <v>0</v>
      </c>
      <c r="AJ599" s="2" t="str">
        <f>Tab_Data_Flows[[#This Row],[E1_UoM]]</f>
        <v>Mg</v>
      </c>
      <c r="AK599" s="19">
        <f>_xlfn.XLOOKUP(Tab_Data_Flows[[#This Row],[Flow_Name]],Tab_Def_Flows[Flow_Name],Tab_Def_Flows[Flow_E6_Fraction'[%']],"N.A.",0,1)</f>
        <v>0</v>
      </c>
      <c r="AL599" s="2">
        <f>IF(Tab_Data_Flows[[#This Row],[Use_E6]]="Yes",Tab_Data_Flows[[#This Row],[E6_Fraction'[%']]]*Tab_Data_Flows[[#This Row],[E1_value]],"N.A.")</f>
        <v>0</v>
      </c>
      <c r="AM599" s="2" t="str">
        <f>Tab_Data_Flows[[#This Row],[E1_UoM]]</f>
        <v>Mg</v>
      </c>
    </row>
    <row r="600" spans="1:39" x14ac:dyDescent="0.25">
      <c r="A600" s="4">
        <f>ROW()-1</f>
        <v>599</v>
      </c>
      <c r="B600" s="2" t="str">
        <f>_xlfn.XLOOKUP(C600,Tab_Def_Flows[Flow_Name],Tab_Def_Flows[Flow_ID],,0,)</f>
        <v>F__</v>
      </c>
      <c r="C600" s="18" t="s">
        <v>5</v>
      </c>
      <c r="D600" s="5" t="str">
        <f>_xlfn.XLOOKUP(C600,Tab_Def_Flows[Flow_Name],Tab_Def_Flows[Use_E1],,0,)</f>
        <v>Yes</v>
      </c>
      <c r="E600" s="5" t="str">
        <f>_xlfn.XLOOKUP(C600,Tab_Def_Flows[Flow_Name],Tab_Def_Flows[Use_E2],,0,)</f>
        <v>Yes</v>
      </c>
      <c r="F600" s="5" t="str">
        <f>_xlfn.XLOOKUP(C600,Tab_Def_Flows[Flow_Name],Tab_Def_Flows[Use_E3],,0,)</f>
        <v>Yes</v>
      </c>
      <c r="G600" s="5" t="str">
        <f>_xlfn.XLOOKUP(C600,Tab_Def_Flows[Flow_Name],Tab_Def_Flows[Use_E4],,0,)</f>
        <v>Yes</v>
      </c>
      <c r="H600" s="5" t="str">
        <f>_xlfn.XLOOKUP(C600,Tab_Def_Flows[Flow_Name],Tab_Def_Flows[Use_E5],,0,)</f>
        <v>Yes</v>
      </c>
      <c r="I600" s="5" t="str">
        <f>_xlfn.XLOOKUP(C600,Tab_Def_Flows[Flow_Name],Tab_Def_Flows[Use_E6],,0,)</f>
        <v>Yes</v>
      </c>
      <c r="J600" s="3"/>
      <c r="K600" s="3"/>
      <c r="L600" s="2" t="str">
        <f>'0_Configuration'!$C$41</f>
        <v>Mg</v>
      </c>
      <c r="M600" s="9"/>
      <c r="N600" s="9"/>
      <c r="O600" s="9"/>
      <c r="P600" s="9"/>
      <c r="Q600" s="18" t="s">
        <v>3</v>
      </c>
      <c r="R600" s="3"/>
      <c r="S600" s="3"/>
      <c r="T600" s="9"/>
      <c r="U600" s="9"/>
      <c r="V600" s="2">
        <f>_xlfn.XLOOKUP(Tab_Data_Flows[[#This Row],[Flow_Name]],Tab_Def_Flows[Flow_Name],Tab_Def_Flows[Flow_E1_Fraction'[%']],"N.A.",0,1)</f>
        <v>0</v>
      </c>
      <c r="W600" s="8">
        <f t="shared" si="17"/>
        <v>0</v>
      </c>
      <c r="X600" s="2" t="str">
        <f>Tab_Data_Flows[[#This Row],[UoM_Source]]</f>
        <v>Mg</v>
      </c>
      <c r="Y600" s="19">
        <f>_xlfn.XLOOKUP(Tab_Data_Flows[[#This Row],[Flow_Name]],Tab_Def_Flows[Flow_Name],Tab_Def_Flows[Flow_E2_Fraction'[%']],"N.A.",0,1)</f>
        <v>0</v>
      </c>
      <c r="Z600" s="2">
        <f>IF(D600="Yes",W600*Tab_Data_Flows[[#This Row],[E2_Fraction'[%']]],"N.A.")</f>
        <v>0</v>
      </c>
      <c r="AA600" s="2" t="str">
        <f>Tab_Data_Flows[[#This Row],[E1_UoM]]</f>
        <v>Mg</v>
      </c>
      <c r="AB600" s="19">
        <f>_xlfn.XLOOKUP(Tab_Data_Flows[[#This Row],[Flow_Name]],Tab_Def_Flows[Flow_Name],Tab_Def_Flows[Flow_E3_Fraction'[%']],"N.A.",0,1)</f>
        <v>0</v>
      </c>
      <c r="AC600" s="2">
        <f>IF(E600="Yes",AB600*Tab_Data_Flows[[#This Row],[E1_value]],"N.A.")</f>
        <v>0</v>
      </c>
      <c r="AD600" s="2" t="str">
        <f>Tab_Data_Flows[[#This Row],[E1_UoM]]</f>
        <v>Mg</v>
      </c>
      <c r="AE600" s="19">
        <f>_xlfn.XLOOKUP(Tab_Data_Flows[[#This Row],[Flow_Name]],Tab_Def_Flows[Flow_Name],Tab_Def_Flows[Flow_E4_Fraction'[%']],"N.A.",0,1)</f>
        <v>0</v>
      </c>
      <c r="AF600" s="2">
        <f>IF(H600="Yes",Tab_Data_Flows[[#This Row],[E4_Fraction'[%']]]*Tab_Data_Flows[[#This Row],[E1_value]],"N.A.")</f>
        <v>0</v>
      </c>
      <c r="AG600" s="2" t="str">
        <f>Tab_Data_Flows[[#This Row],[E1_UoM]]</f>
        <v>Mg</v>
      </c>
      <c r="AH600" s="2">
        <f>_xlfn.XLOOKUP(Tab_Data_Flows[[#This Row],[Flow_Name]],Tab_Def_Flows[Flow_Name],Tab_Def_Flows[Flow_E5_Fraction'[%']],"N.A.",0,1)</f>
        <v>0</v>
      </c>
      <c r="AI600" s="2">
        <f>IF(H600="Yes",Tab_Data_Flows[[#This Row],[E5_Fraction'[%']]]*Tab_Data_Flows[[#This Row],[E1_value]],"N.A.")</f>
        <v>0</v>
      </c>
      <c r="AJ600" s="2" t="str">
        <f>Tab_Data_Flows[[#This Row],[E1_UoM]]</f>
        <v>Mg</v>
      </c>
      <c r="AK600" s="19">
        <f>_xlfn.XLOOKUP(Tab_Data_Flows[[#This Row],[Flow_Name]],Tab_Def_Flows[Flow_Name],Tab_Def_Flows[Flow_E6_Fraction'[%']],"N.A.",0,1)</f>
        <v>0</v>
      </c>
      <c r="AL600" s="2">
        <f>IF(Tab_Data_Flows[[#This Row],[Use_E6]]="Yes",Tab_Data_Flows[[#This Row],[E6_Fraction'[%']]]*Tab_Data_Flows[[#This Row],[E1_value]],"N.A.")</f>
        <v>0</v>
      </c>
      <c r="AM600" s="2" t="str">
        <f>Tab_Data_Flows[[#This Row],[E1_UoM]]</f>
        <v>Mg</v>
      </c>
    </row>
  </sheetData>
  <phoneticPr fontId="2" type="noConversion"/>
  <dataValidations count="2">
    <dataValidation type="whole" allowBlank="1" showInputMessage="1" showErrorMessage="1" promptTitle="Definition of Data Year" prompt="Enter the Data Year" sqref="J184:J600" xr:uid="{70662040-5A44-462F-BD9F-5D30A184F37B}">
      <formula1>0</formula1>
      <formula2>10000</formula2>
    </dataValidation>
    <dataValidation type="decimal" allowBlank="1" showInputMessage="1" showErrorMessage="1" promptTitle="Definition of Flow" prompt="Enter appropriate value for Flow" sqref="K184:K60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C2:C600</xm:sqref>
        </x14:dataValidation>
        <x14:dataValidation type="list" allowBlank="1" showInputMessage="1" showErrorMessage="1" xr:uid="{8FD03E4E-F506-4359-9FC1-A067004D0316}">
          <x14:formula1>
            <xm:f>'6_1_Reference_Manager'!$C$2:$C$49</xm:f>
          </x14:formula1>
          <xm:sqref>N2:P600 U2:U600</xm:sqref>
        </x14:dataValidation>
        <x14:dataValidation type="list" allowBlank="1" showInputMessage="1" showErrorMessage="1" promptTitle="Definition of CF_required?" prompt="Enter appropriate value for CF_required?" xr:uid="{3CAF3E7A-1055-45C2-A4F4-B1652BF3363B}">
          <x14:formula1>
            <xm:f>'7_2_Codelists'!$B$3:$B$4</xm:f>
          </x14:formula1>
          <xm:sqref>Q2:Q600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H1" activePane="topRight" state="frozen"/>
      <selection pane="topRight" activeCell="J20" sqref="J20"/>
    </sheetView>
  </sheetViews>
  <sheetFormatPr defaultColWidth="10.85546875" defaultRowHeight="15" outlineLevelCol="1" x14ac:dyDescent="0.25"/>
  <cols>
    <col min="1" max="1" width="13" customWidth="1"/>
    <col min="2" max="2" width="6.85546875" customWidth="1"/>
    <col min="3" max="3" width="10.85546875" customWidth="1"/>
    <col min="4" max="4" width="42" customWidth="1"/>
    <col min="5" max="6" width="42" hidden="1" customWidth="1"/>
    <col min="7" max="7" width="75.42578125" hidden="1" customWidth="1" outlineLevel="1"/>
    <col min="8" max="8" width="21.28515625" customWidth="1" collapsed="1"/>
    <col min="9" max="9" width="18.28515625" customWidth="1"/>
    <col min="10" max="10" width="21" customWidth="1"/>
    <col min="11" max="11" width="15.5703125" customWidth="1"/>
    <col min="12" max="12" width="24" customWidth="1"/>
    <col min="25" max="25" width="19.28515625" customWidth="1"/>
  </cols>
  <sheetData>
    <row r="1" spans="1:25" x14ac:dyDescent="0.25">
      <c r="A1" s="21" t="s">
        <v>13</v>
      </c>
      <c r="B1" s="21" t="s">
        <v>4</v>
      </c>
      <c r="C1" s="21" t="s">
        <v>12</v>
      </c>
      <c r="D1" s="21" t="s">
        <v>134</v>
      </c>
      <c r="E1" s="21" t="s">
        <v>354</v>
      </c>
      <c r="F1" s="21" t="s">
        <v>353</v>
      </c>
      <c r="G1" s="21" t="s">
        <v>1</v>
      </c>
      <c r="H1" s="21" t="s">
        <v>121</v>
      </c>
      <c r="I1" s="21" t="s">
        <v>159</v>
      </c>
      <c r="J1" s="21" t="s">
        <v>160</v>
      </c>
      <c r="K1" s="21" t="s">
        <v>172</v>
      </c>
      <c r="L1" s="21" t="s">
        <v>347</v>
      </c>
      <c r="M1" s="21" t="s">
        <v>338</v>
      </c>
      <c r="N1" s="21" t="s">
        <v>348</v>
      </c>
      <c r="O1" s="21" t="s">
        <v>339</v>
      </c>
      <c r="P1" s="21" t="s">
        <v>349</v>
      </c>
      <c r="Q1" s="21" t="s">
        <v>343</v>
      </c>
      <c r="R1" s="21" t="s">
        <v>346</v>
      </c>
      <c r="S1" s="21" t="s">
        <v>340</v>
      </c>
      <c r="T1" s="21" t="s">
        <v>350</v>
      </c>
      <c r="U1" s="21" t="s">
        <v>341</v>
      </c>
      <c r="V1" s="21" t="s">
        <v>351</v>
      </c>
      <c r="W1" s="21" t="s">
        <v>342</v>
      </c>
      <c r="X1" s="21" t="s">
        <v>345</v>
      </c>
      <c r="Y1" s="21" t="s">
        <v>355</v>
      </c>
    </row>
    <row r="2" spans="1:25" x14ac:dyDescent="0.25">
      <c r="A2" s="22" t="b">
        <v>0</v>
      </c>
      <c r="B2" s="12" t="s">
        <v>24</v>
      </c>
      <c r="C2" s="2" t="str">
        <f>LEFT(B2,2)</f>
        <v>00</v>
      </c>
      <c r="D2" s="3"/>
      <c r="E2" s="44"/>
      <c r="F2" s="44"/>
      <c r="G2" s="9"/>
      <c r="H2" s="18"/>
      <c r="I2" s="18"/>
      <c r="J2" s="18"/>
      <c r="K2" s="18"/>
      <c r="L2" s="49" t="b">
        <f>'0_Configuration'!$C$2</f>
        <v>1</v>
      </c>
      <c r="M2" s="2" t="s">
        <v>344</v>
      </c>
      <c r="N2" s="49" t="b">
        <f>'0_Configuration'!$C$6</f>
        <v>0</v>
      </c>
      <c r="O2" s="2" t="s">
        <v>344</v>
      </c>
      <c r="P2" s="49" t="b">
        <f>'0_Configuration'!$C$10</f>
        <v>0</v>
      </c>
      <c r="Q2" s="2" t="s">
        <v>344</v>
      </c>
      <c r="R2" s="49" t="b">
        <f>'0_Configuration'!$C$17</f>
        <v>0</v>
      </c>
      <c r="S2" s="2">
        <f>_xlfn.XLOOKUP(Tab_Def_Flows[[#This Row],[ODYM_Good_Type]],Tab_Configuration[Value],Tab_Configuration[ODYM_ID],,0,)</f>
        <v>0</v>
      </c>
      <c r="T2" s="49" t="b">
        <f>'0_Configuration'!$C$24</f>
        <v>0</v>
      </c>
      <c r="U2" s="2" t="s">
        <v>344</v>
      </c>
      <c r="V2" s="49" t="b">
        <f>'0_Configuration'!$C$29</f>
        <v>1</v>
      </c>
      <c r="W2" s="2" t="s">
        <v>344</v>
      </c>
      <c r="X2" s="2" t="str">
        <f>IF(Tab_Def_Flows[[#This Row],[ODYM_time_(t)]],"t,","")&amp;IF(Tab_Def_Flows[[#This Row],[ODYM_Region_(r)]],"r,","")&amp;IF(Tab_Def_Flows[[#This Row],[ODYM_process_(p)]],"p,","")&amp;IF(Tab_Def_Flows[[#This Row],[ODYM_Good_(g)2]],"g,","")&amp;IF(Tab_Def_Flows[[#This Row],[ODYM_material_(m)]],"m,","")&amp;IF(Tab_Def_Flows[[#This Row],[ODYM_element_(e)]],"e","")</f>
        <v>t,e</v>
      </c>
      <c r="Y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2" t="b">
        <v>0</v>
      </c>
      <c r="B3" s="12" t="s">
        <v>15</v>
      </c>
      <c r="C3" s="2" t="str">
        <f t="shared" ref="C3:C46" si="0">LEFT(B3,2)</f>
        <v>01</v>
      </c>
      <c r="D3" s="3"/>
      <c r="E3" s="44"/>
      <c r="F3" s="44"/>
      <c r="G3" s="9"/>
      <c r="H3" s="18"/>
      <c r="I3" s="18"/>
      <c r="J3" s="18"/>
      <c r="K3" s="18"/>
      <c r="L3" s="49" t="b">
        <f>'0_Configuration'!$C$2</f>
        <v>1</v>
      </c>
      <c r="M3" s="2" t="s">
        <v>344</v>
      </c>
      <c r="N3" s="49" t="b">
        <f>'0_Configuration'!$C$6</f>
        <v>0</v>
      </c>
      <c r="O3" s="2" t="s">
        <v>344</v>
      </c>
      <c r="P3" s="49" t="b">
        <f>'0_Configuration'!$C$10</f>
        <v>0</v>
      </c>
      <c r="Q3" s="2" t="s">
        <v>344</v>
      </c>
      <c r="R3" s="49" t="b">
        <f>'0_Configuration'!$C$17</f>
        <v>0</v>
      </c>
      <c r="S3" s="2">
        <f>_xlfn.XLOOKUP(Tab_Def_Flows[[#This Row],[ODYM_Good_Type]],Tab_Configuration[Value],Tab_Configuration[ODYM_ID],,0,)</f>
        <v>0</v>
      </c>
      <c r="T3" s="49" t="b">
        <f>'0_Configuration'!$C$24</f>
        <v>0</v>
      </c>
      <c r="U3" s="2" t="s">
        <v>344</v>
      </c>
      <c r="V3" s="49" t="b">
        <f>'0_Configuration'!$C$29</f>
        <v>1</v>
      </c>
      <c r="W3" s="2" t="s">
        <v>344</v>
      </c>
      <c r="X3" s="2" t="str">
        <f>IF(Tab_Def_Flows[[#This Row],[ODYM_time_(t)]],"t,","")&amp;IF(Tab_Def_Flows[[#This Row],[ODYM_Region_(r)]],"r,","")&amp;IF(Tab_Def_Flows[[#This Row],[ODYM_process_(p)]],"p,","")&amp;IF(Tab_Def_Flows[[#This Row],[ODYM_Good_(g)2]],"g,","")&amp;IF(Tab_Def_Flows[[#This Row],[ODYM_material_(m)]],"m,","")&amp;IF(Tab_Def_Flows[[#This Row],[ODYM_element_(e)]],"e","")</f>
        <v>t,e</v>
      </c>
      <c r="Y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2" t="b">
        <v>0</v>
      </c>
      <c r="B4" s="12" t="s">
        <v>16</v>
      </c>
      <c r="C4" s="2" t="str">
        <f t="shared" si="0"/>
        <v>02</v>
      </c>
      <c r="D4" s="3"/>
      <c r="E4" s="44"/>
      <c r="F4" s="44"/>
      <c r="G4" s="9"/>
      <c r="H4" s="18"/>
      <c r="I4" s="18"/>
      <c r="J4" s="18"/>
      <c r="K4" s="18"/>
      <c r="L4" s="49" t="b">
        <f>'0_Configuration'!$C$2</f>
        <v>1</v>
      </c>
      <c r="M4" s="2" t="s">
        <v>344</v>
      </c>
      <c r="N4" s="49" t="b">
        <f>'0_Configuration'!$C$6</f>
        <v>0</v>
      </c>
      <c r="O4" s="2" t="s">
        <v>344</v>
      </c>
      <c r="P4" s="49" t="b">
        <f>'0_Configuration'!$C$10</f>
        <v>0</v>
      </c>
      <c r="Q4" s="2" t="s">
        <v>344</v>
      </c>
      <c r="R4" s="49" t="b">
        <f>'0_Configuration'!$C$17</f>
        <v>0</v>
      </c>
      <c r="S4" s="2">
        <f>_xlfn.XLOOKUP(Tab_Def_Flows[[#This Row],[ODYM_Good_Type]],Tab_Configuration[Value],Tab_Configuration[ODYM_ID],,0,)</f>
        <v>0</v>
      </c>
      <c r="T4" s="49" t="b">
        <f>'0_Configuration'!$C$24</f>
        <v>0</v>
      </c>
      <c r="U4" s="2" t="s">
        <v>344</v>
      </c>
      <c r="V4" s="49" t="b">
        <f>'0_Configuration'!$C$29</f>
        <v>1</v>
      </c>
      <c r="W4" s="2" t="s">
        <v>344</v>
      </c>
      <c r="X4" s="2" t="str">
        <f>IF(Tab_Def_Flows[[#This Row],[ODYM_time_(t)]],"t,","")&amp;IF(Tab_Def_Flows[[#This Row],[ODYM_Region_(r)]],"r,","")&amp;IF(Tab_Def_Flows[[#This Row],[ODYM_process_(p)]],"p,","")&amp;IF(Tab_Def_Flows[[#This Row],[ODYM_Good_(g)2]],"g,","")&amp;IF(Tab_Def_Flows[[#This Row],[ODYM_material_(m)]],"m,","")&amp;IF(Tab_Def_Flows[[#This Row],[ODYM_element_(e)]],"e","")</f>
        <v>t,e</v>
      </c>
      <c r="Y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2" t="b">
        <v>0</v>
      </c>
      <c r="B5" s="12" t="s">
        <v>17</v>
      </c>
      <c r="C5" s="2" t="str">
        <f t="shared" si="0"/>
        <v>03</v>
      </c>
      <c r="D5" s="3"/>
      <c r="E5" s="44"/>
      <c r="F5" s="44"/>
      <c r="G5" s="9"/>
      <c r="H5" s="18"/>
      <c r="I5" s="18"/>
      <c r="J5" s="18"/>
      <c r="K5" s="18"/>
      <c r="L5" s="49" t="b">
        <f>'0_Configuration'!$C$2</f>
        <v>1</v>
      </c>
      <c r="M5" s="2" t="s">
        <v>344</v>
      </c>
      <c r="N5" s="49" t="b">
        <f>'0_Configuration'!$C$6</f>
        <v>0</v>
      </c>
      <c r="O5" s="2" t="s">
        <v>344</v>
      </c>
      <c r="P5" s="49" t="b">
        <f>'0_Configuration'!$C$10</f>
        <v>0</v>
      </c>
      <c r="Q5" s="2" t="s">
        <v>344</v>
      </c>
      <c r="R5" s="49" t="b">
        <f>'0_Configuration'!$C$17</f>
        <v>0</v>
      </c>
      <c r="S5" s="2">
        <f>_xlfn.XLOOKUP(Tab_Def_Flows[[#This Row],[ODYM_Good_Type]],Tab_Configuration[Value],Tab_Configuration[ODYM_ID],,0,)</f>
        <v>0</v>
      </c>
      <c r="T5" s="49" t="b">
        <f>'0_Configuration'!$C$24</f>
        <v>0</v>
      </c>
      <c r="U5" s="2" t="s">
        <v>344</v>
      </c>
      <c r="V5" s="49" t="b">
        <f>'0_Configuration'!$C$29</f>
        <v>1</v>
      </c>
      <c r="W5" s="2" t="s">
        <v>344</v>
      </c>
      <c r="X5" s="2" t="str">
        <f>IF(Tab_Def_Flows[[#This Row],[ODYM_time_(t)]],"t,","")&amp;IF(Tab_Def_Flows[[#This Row],[ODYM_Region_(r)]],"r,","")&amp;IF(Tab_Def_Flows[[#This Row],[ODYM_process_(p)]],"p,","")&amp;IF(Tab_Def_Flows[[#This Row],[ODYM_Good_(g)2]],"g,","")&amp;IF(Tab_Def_Flows[[#This Row],[ODYM_material_(m)]],"m,","")&amp;IF(Tab_Def_Flows[[#This Row],[ODYM_element_(e)]],"e","")</f>
        <v>t,e</v>
      </c>
      <c r="Y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2" t="b">
        <v>0</v>
      </c>
      <c r="B6" s="12" t="s">
        <v>18</v>
      </c>
      <c r="C6" s="2" t="str">
        <f t="shared" si="0"/>
        <v>04</v>
      </c>
      <c r="D6" s="3"/>
      <c r="E6" s="44"/>
      <c r="F6" s="44"/>
      <c r="G6" s="9"/>
      <c r="H6" s="18"/>
      <c r="I6" s="18"/>
      <c r="J6" s="18"/>
      <c r="K6" s="18"/>
      <c r="L6" s="49" t="b">
        <f>'0_Configuration'!$C$2</f>
        <v>1</v>
      </c>
      <c r="M6" s="2" t="s">
        <v>344</v>
      </c>
      <c r="N6" s="49" t="b">
        <f>'0_Configuration'!$C$6</f>
        <v>0</v>
      </c>
      <c r="O6" s="2" t="s">
        <v>344</v>
      </c>
      <c r="P6" s="49" t="b">
        <f>'0_Configuration'!$C$10</f>
        <v>0</v>
      </c>
      <c r="Q6" s="2" t="s">
        <v>344</v>
      </c>
      <c r="R6" s="49" t="b">
        <f>'0_Configuration'!$C$17</f>
        <v>0</v>
      </c>
      <c r="S6" s="2">
        <f>_xlfn.XLOOKUP(Tab_Def_Flows[[#This Row],[ODYM_Good_Type]],Tab_Configuration[Value],Tab_Configuration[ODYM_ID],,0,)</f>
        <v>0</v>
      </c>
      <c r="T6" s="49" t="b">
        <f>'0_Configuration'!$C$24</f>
        <v>0</v>
      </c>
      <c r="U6" s="2" t="s">
        <v>344</v>
      </c>
      <c r="V6" s="49" t="b">
        <f>'0_Configuration'!$C$29</f>
        <v>1</v>
      </c>
      <c r="W6" s="2" t="s">
        <v>344</v>
      </c>
      <c r="X6" s="2" t="str">
        <f>IF(Tab_Def_Flows[[#This Row],[ODYM_time_(t)]],"t,","")&amp;IF(Tab_Def_Flows[[#This Row],[ODYM_Region_(r)]],"r,","")&amp;IF(Tab_Def_Flows[[#This Row],[ODYM_process_(p)]],"p,","")&amp;IF(Tab_Def_Flows[[#This Row],[ODYM_Good_(g)2]],"g,","")&amp;IF(Tab_Def_Flows[[#This Row],[ODYM_material_(m)]],"m,","")&amp;IF(Tab_Def_Flows[[#This Row],[ODYM_element_(e)]],"e","")</f>
        <v>t,e</v>
      </c>
      <c r="Y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2" t="b">
        <v>0</v>
      </c>
      <c r="B7" s="12" t="s">
        <v>19</v>
      </c>
      <c r="C7" s="2" t="str">
        <f t="shared" si="0"/>
        <v>05</v>
      </c>
      <c r="D7" s="3"/>
      <c r="E7" s="44"/>
      <c r="F7" s="44"/>
      <c r="G7" s="9"/>
      <c r="H7" s="18"/>
      <c r="I7" s="18"/>
      <c r="J7" s="18"/>
      <c r="K7" s="18"/>
      <c r="L7" s="49" t="b">
        <f>'0_Configuration'!$C$2</f>
        <v>1</v>
      </c>
      <c r="M7" s="2" t="s">
        <v>344</v>
      </c>
      <c r="N7" s="49" t="b">
        <f>'0_Configuration'!$C$6</f>
        <v>0</v>
      </c>
      <c r="O7" s="2" t="s">
        <v>344</v>
      </c>
      <c r="P7" s="49" t="b">
        <f>'0_Configuration'!$C$10</f>
        <v>0</v>
      </c>
      <c r="Q7" s="2" t="s">
        <v>344</v>
      </c>
      <c r="R7" s="49" t="b">
        <f>'0_Configuration'!$C$17</f>
        <v>0</v>
      </c>
      <c r="S7" s="2">
        <f>_xlfn.XLOOKUP(Tab_Def_Flows[[#This Row],[ODYM_Good_Type]],Tab_Configuration[Value],Tab_Configuration[ODYM_ID],,0,)</f>
        <v>0</v>
      </c>
      <c r="T7" s="49" t="b">
        <f>'0_Configuration'!$C$24</f>
        <v>0</v>
      </c>
      <c r="U7" s="2" t="s">
        <v>344</v>
      </c>
      <c r="V7" s="49" t="b">
        <f>'0_Configuration'!$C$29</f>
        <v>1</v>
      </c>
      <c r="W7" s="2" t="s">
        <v>344</v>
      </c>
      <c r="X7" s="2" t="str">
        <f>IF(Tab_Def_Flows[[#This Row],[ODYM_time_(t)]],"t,","")&amp;IF(Tab_Def_Flows[[#This Row],[ODYM_Region_(r)]],"r,","")&amp;IF(Tab_Def_Flows[[#This Row],[ODYM_process_(p)]],"p,","")&amp;IF(Tab_Def_Flows[[#This Row],[ODYM_Good_(g)2]],"g,","")&amp;IF(Tab_Def_Flows[[#This Row],[ODYM_material_(m)]],"m,","")&amp;IF(Tab_Def_Flows[[#This Row],[ODYM_element_(e)]],"e","")</f>
        <v>t,e</v>
      </c>
      <c r="Y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2" t="b">
        <v>0</v>
      </c>
      <c r="B8" s="12" t="s">
        <v>20</v>
      </c>
      <c r="C8" s="2" t="str">
        <f t="shared" si="0"/>
        <v>06</v>
      </c>
      <c r="D8" s="3"/>
      <c r="E8" s="44"/>
      <c r="F8" s="44"/>
      <c r="G8" s="9"/>
      <c r="H8" s="18"/>
      <c r="I8" s="18"/>
      <c r="J8" s="18"/>
      <c r="K8" s="18"/>
      <c r="L8" s="49" t="b">
        <f>'0_Configuration'!$C$2</f>
        <v>1</v>
      </c>
      <c r="M8" s="2" t="s">
        <v>344</v>
      </c>
      <c r="N8" s="49" t="b">
        <f>'0_Configuration'!$C$6</f>
        <v>0</v>
      </c>
      <c r="O8" s="2" t="s">
        <v>344</v>
      </c>
      <c r="P8" s="49" t="b">
        <f>'0_Configuration'!$C$10</f>
        <v>0</v>
      </c>
      <c r="Q8" s="2" t="s">
        <v>344</v>
      </c>
      <c r="R8" s="49" t="b">
        <f>'0_Configuration'!$C$17</f>
        <v>0</v>
      </c>
      <c r="S8" s="2">
        <f>_xlfn.XLOOKUP(Tab_Def_Flows[[#This Row],[ODYM_Good_Type]],Tab_Configuration[Value],Tab_Configuration[ODYM_ID],,0,)</f>
        <v>0</v>
      </c>
      <c r="T8" s="49" t="b">
        <f>'0_Configuration'!$C$24</f>
        <v>0</v>
      </c>
      <c r="U8" s="2" t="s">
        <v>344</v>
      </c>
      <c r="V8" s="49" t="b">
        <f>'0_Configuration'!$C$29</f>
        <v>1</v>
      </c>
      <c r="W8" s="2" t="s">
        <v>344</v>
      </c>
      <c r="X8" s="2" t="str">
        <f>IF(Tab_Def_Flows[[#This Row],[ODYM_time_(t)]],"t,","")&amp;IF(Tab_Def_Flows[[#This Row],[ODYM_Region_(r)]],"r,","")&amp;IF(Tab_Def_Flows[[#This Row],[ODYM_process_(p)]],"p,","")&amp;IF(Tab_Def_Flows[[#This Row],[ODYM_Good_(g)2]],"g,","")&amp;IF(Tab_Def_Flows[[#This Row],[ODYM_material_(m)]],"m,","")&amp;IF(Tab_Def_Flows[[#This Row],[ODYM_element_(e)]],"e","")</f>
        <v>t,e</v>
      </c>
      <c r="Y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2" t="b">
        <v>0</v>
      </c>
      <c r="B9" s="12" t="s">
        <v>21</v>
      </c>
      <c r="C9" s="2" t="str">
        <f t="shared" si="0"/>
        <v>07</v>
      </c>
      <c r="D9" s="3"/>
      <c r="E9" s="44"/>
      <c r="F9" s="44"/>
      <c r="G9" s="9"/>
      <c r="H9" s="18"/>
      <c r="I9" s="18"/>
      <c r="J9" s="18"/>
      <c r="K9" s="18"/>
      <c r="L9" s="49" t="b">
        <f>'0_Configuration'!$C$2</f>
        <v>1</v>
      </c>
      <c r="M9" s="2" t="s">
        <v>344</v>
      </c>
      <c r="N9" s="49" t="b">
        <f>'0_Configuration'!$C$6</f>
        <v>0</v>
      </c>
      <c r="O9" s="2" t="s">
        <v>344</v>
      </c>
      <c r="P9" s="49" t="b">
        <f>'0_Configuration'!$C$10</f>
        <v>0</v>
      </c>
      <c r="Q9" s="2" t="s">
        <v>344</v>
      </c>
      <c r="R9" s="49" t="b">
        <f>'0_Configuration'!$C$17</f>
        <v>0</v>
      </c>
      <c r="S9" s="2">
        <f>_xlfn.XLOOKUP(Tab_Def_Flows[[#This Row],[ODYM_Good_Type]],Tab_Configuration[Value],Tab_Configuration[ODYM_ID],,0,)</f>
        <v>0</v>
      </c>
      <c r="T9" s="49" t="b">
        <f>'0_Configuration'!$C$24</f>
        <v>0</v>
      </c>
      <c r="U9" s="2" t="s">
        <v>344</v>
      </c>
      <c r="V9" s="49" t="b">
        <f>'0_Configuration'!$C$29</f>
        <v>1</v>
      </c>
      <c r="W9" s="2" t="s">
        <v>344</v>
      </c>
      <c r="X9" s="2" t="str">
        <f>IF(Tab_Def_Flows[[#This Row],[ODYM_time_(t)]],"t,","")&amp;IF(Tab_Def_Flows[[#This Row],[ODYM_Region_(r)]],"r,","")&amp;IF(Tab_Def_Flows[[#This Row],[ODYM_process_(p)]],"p,","")&amp;IF(Tab_Def_Flows[[#This Row],[ODYM_Good_(g)2]],"g,","")&amp;IF(Tab_Def_Flows[[#This Row],[ODYM_material_(m)]],"m,","")&amp;IF(Tab_Def_Flows[[#This Row],[ODYM_element_(e)]],"e","")</f>
        <v>t,e</v>
      </c>
      <c r="Y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2" t="b">
        <v>0</v>
      </c>
      <c r="B10" s="12" t="s">
        <v>22</v>
      </c>
      <c r="C10" s="2" t="str">
        <f t="shared" si="0"/>
        <v>08</v>
      </c>
      <c r="D10" s="3"/>
      <c r="E10" s="44"/>
      <c r="F10" s="44"/>
      <c r="G10" s="9"/>
      <c r="H10" s="18"/>
      <c r="I10" s="18"/>
      <c r="J10" s="18"/>
      <c r="K10" s="18"/>
      <c r="L10" s="49" t="b">
        <f>'0_Configuration'!$C$2</f>
        <v>1</v>
      </c>
      <c r="M10" s="2" t="s">
        <v>344</v>
      </c>
      <c r="N10" s="49" t="b">
        <f>'0_Configuration'!$C$6</f>
        <v>0</v>
      </c>
      <c r="O10" s="2" t="s">
        <v>344</v>
      </c>
      <c r="P10" s="49" t="b">
        <f>'0_Configuration'!$C$10</f>
        <v>0</v>
      </c>
      <c r="Q10" s="2" t="s">
        <v>344</v>
      </c>
      <c r="R10" s="49" t="b">
        <f>'0_Configuration'!$C$17</f>
        <v>0</v>
      </c>
      <c r="S10" s="2">
        <f>_xlfn.XLOOKUP(Tab_Def_Flows[[#This Row],[ODYM_Good_Type]],Tab_Configuration[Value],Tab_Configuration[ODYM_ID],,0,)</f>
        <v>0</v>
      </c>
      <c r="T10" s="49" t="b">
        <f>'0_Configuration'!$C$24</f>
        <v>0</v>
      </c>
      <c r="U10" s="2" t="s">
        <v>344</v>
      </c>
      <c r="V10" s="49" t="b">
        <f>'0_Configuration'!$C$29</f>
        <v>1</v>
      </c>
      <c r="W10" s="2" t="s">
        <v>344</v>
      </c>
      <c r="X10" s="2" t="str">
        <f>IF(Tab_Def_Flows[[#This Row],[ODYM_time_(t)]],"t,","")&amp;IF(Tab_Def_Flows[[#This Row],[ODYM_Region_(r)]],"r,","")&amp;IF(Tab_Def_Flows[[#This Row],[ODYM_process_(p)]],"p,","")&amp;IF(Tab_Def_Flows[[#This Row],[ODYM_Good_(g)2]],"g,","")&amp;IF(Tab_Def_Flows[[#This Row],[ODYM_material_(m)]],"m,","")&amp;IF(Tab_Def_Flows[[#This Row],[ODYM_element_(e)]],"e","")</f>
        <v>t,e</v>
      </c>
      <c r="Y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2" t="b">
        <v>0</v>
      </c>
      <c r="B11" s="12" t="s">
        <v>23</v>
      </c>
      <c r="C11" s="2" t="str">
        <f t="shared" si="0"/>
        <v>09</v>
      </c>
      <c r="D11" s="3"/>
      <c r="E11" s="44"/>
      <c r="F11" s="44"/>
      <c r="G11" s="9"/>
      <c r="H11" s="18"/>
      <c r="I11" s="18"/>
      <c r="J11" s="18"/>
      <c r="K11" s="18"/>
      <c r="L11" s="49" t="b">
        <f>'0_Configuration'!$C$2</f>
        <v>1</v>
      </c>
      <c r="M11" s="2" t="s">
        <v>344</v>
      </c>
      <c r="N11" s="49" t="b">
        <f>'0_Configuration'!$C$6</f>
        <v>0</v>
      </c>
      <c r="O11" s="2" t="s">
        <v>344</v>
      </c>
      <c r="P11" s="49" t="b">
        <f>'0_Configuration'!$C$10</f>
        <v>0</v>
      </c>
      <c r="Q11" s="2" t="s">
        <v>344</v>
      </c>
      <c r="R11" s="49" t="b">
        <f>'0_Configuration'!$C$17</f>
        <v>0</v>
      </c>
      <c r="S11" s="2">
        <f>_xlfn.XLOOKUP(Tab_Def_Flows[[#This Row],[ODYM_Good_Type]],Tab_Configuration[Value],Tab_Configuration[ODYM_ID],,0,)</f>
        <v>0</v>
      </c>
      <c r="T11" s="49" t="b">
        <f>'0_Configuration'!$C$24</f>
        <v>0</v>
      </c>
      <c r="U11" s="2" t="s">
        <v>344</v>
      </c>
      <c r="V11" s="49" t="b">
        <f>'0_Configuration'!$C$29</f>
        <v>1</v>
      </c>
      <c r="W11" s="2" t="s">
        <v>344</v>
      </c>
      <c r="X11" s="2" t="str">
        <f>IF(Tab_Def_Flows[[#This Row],[ODYM_time_(t)]],"t,","")&amp;IF(Tab_Def_Flows[[#This Row],[ODYM_Region_(r)]],"r,","")&amp;IF(Tab_Def_Flows[[#This Row],[ODYM_process_(p)]],"p,","")&amp;IF(Tab_Def_Flows[[#This Row],[ODYM_Good_(g)2]],"g,","")&amp;IF(Tab_Def_Flows[[#This Row],[ODYM_material_(m)]],"m,","")&amp;IF(Tab_Def_Flows[[#This Row],[ODYM_element_(e)]],"e","")</f>
        <v>t,e</v>
      </c>
      <c r="Y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2" t="b">
        <v>0</v>
      </c>
      <c r="B12" s="12" t="s">
        <v>25</v>
      </c>
      <c r="C12" s="2" t="str">
        <f t="shared" si="0"/>
        <v>10</v>
      </c>
      <c r="D12" s="3"/>
      <c r="E12" s="44"/>
      <c r="F12" s="44"/>
      <c r="G12" s="9"/>
      <c r="H12" s="18"/>
      <c r="I12" s="18"/>
      <c r="J12" s="18"/>
      <c r="K12" s="18"/>
      <c r="L12" s="49" t="b">
        <f>'0_Configuration'!$C$2</f>
        <v>1</v>
      </c>
      <c r="M12" s="2" t="s">
        <v>344</v>
      </c>
      <c r="N12" s="49" t="b">
        <f>'0_Configuration'!$C$6</f>
        <v>0</v>
      </c>
      <c r="O12" s="2" t="s">
        <v>344</v>
      </c>
      <c r="P12" s="49" t="b">
        <f>'0_Configuration'!$C$10</f>
        <v>0</v>
      </c>
      <c r="Q12" s="2" t="s">
        <v>344</v>
      </c>
      <c r="R12" s="49" t="b">
        <f>'0_Configuration'!$C$17</f>
        <v>0</v>
      </c>
      <c r="S12" s="2">
        <f>_xlfn.XLOOKUP(Tab_Def_Flows[[#This Row],[ODYM_Good_Type]],Tab_Configuration[Value],Tab_Configuration[ODYM_ID],,0,)</f>
        <v>0</v>
      </c>
      <c r="T12" s="49" t="b">
        <f>'0_Configuration'!$C$24</f>
        <v>0</v>
      </c>
      <c r="U12" s="2" t="s">
        <v>344</v>
      </c>
      <c r="V12" s="49" t="b">
        <f>'0_Configuration'!$C$29</f>
        <v>1</v>
      </c>
      <c r="W12" s="2" t="s">
        <v>344</v>
      </c>
      <c r="X12" s="2" t="str">
        <f>IF(Tab_Def_Flows[[#This Row],[ODYM_time_(t)]],"t,","")&amp;IF(Tab_Def_Flows[[#This Row],[ODYM_Region_(r)]],"r,","")&amp;IF(Tab_Def_Flows[[#This Row],[ODYM_process_(p)]],"p,","")&amp;IF(Tab_Def_Flows[[#This Row],[ODYM_Good_(g)2]],"g,","")&amp;IF(Tab_Def_Flows[[#This Row],[ODYM_material_(m)]],"m,","")&amp;IF(Tab_Def_Flows[[#This Row],[ODYM_element_(e)]],"e","")</f>
        <v>t,e</v>
      </c>
      <c r="Y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2" t="b">
        <v>0</v>
      </c>
      <c r="B13" s="12" t="s">
        <v>26</v>
      </c>
      <c r="C13" s="2" t="str">
        <f t="shared" si="0"/>
        <v>11</v>
      </c>
      <c r="D13" s="3"/>
      <c r="E13" s="44"/>
      <c r="F13" s="44"/>
      <c r="G13" s="9"/>
      <c r="H13" s="18"/>
      <c r="I13" s="18"/>
      <c r="J13" s="18"/>
      <c r="K13" s="18"/>
      <c r="L13" s="49" t="b">
        <f>'0_Configuration'!$C$2</f>
        <v>1</v>
      </c>
      <c r="M13" s="2" t="s">
        <v>344</v>
      </c>
      <c r="N13" s="49" t="b">
        <f>'0_Configuration'!$C$6</f>
        <v>0</v>
      </c>
      <c r="O13" s="2" t="s">
        <v>344</v>
      </c>
      <c r="P13" s="49" t="b">
        <f>'0_Configuration'!$C$10</f>
        <v>0</v>
      </c>
      <c r="Q13" s="2" t="s">
        <v>344</v>
      </c>
      <c r="R13" s="49" t="b">
        <f>'0_Configuration'!$C$17</f>
        <v>0</v>
      </c>
      <c r="S13" s="2">
        <f>_xlfn.XLOOKUP(Tab_Def_Flows[[#This Row],[ODYM_Good_Type]],Tab_Configuration[Value],Tab_Configuration[ODYM_ID],,0,)</f>
        <v>0</v>
      </c>
      <c r="T13" s="49" t="b">
        <f>'0_Configuration'!$C$24</f>
        <v>0</v>
      </c>
      <c r="U13" s="2" t="s">
        <v>344</v>
      </c>
      <c r="V13" s="49" t="b">
        <f>'0_Configuration'!$C$29</f>
        <v>1</v>
      </c>
      <c r="W13" s="2" t="s">
        <v>344</v>
      </c>
      <c r="X13" s="2" t="str">
        <f>IF(Tab_Def_Flows[[#This Row],[ODYM_time_(t)]],"t,","")&amp;IF(Tab_Def_Flows[[#This Row],[ODYM_Region_(r)]],"r,","")&amp;IF(Tab_Def_Flows[[#This Row],[ODYM_process_(p)]],"p,","")&amp;IF(Tab_Def_Flows[[#This Row],[ODYM_Good_(g)2]],"g,","")&amp;IF(Tab_Def_Flows[[#This Row],[ODYM_material_(m)]],"m,","")&amp;IF(Tab_Def_Flows[[#This Row],[ODYM_element_(e)]],"e","")</f>
        <v>t,e</v>
      </c>
      <c r="Y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2" t="b">
        <v>0</v>
      </c>
      <c r="B14" s="12" t="s">
        <v>27</v>
      </c>
      <c r="C14" s="2" t="str">
        <f t="shared" si="0"/>
        <v>12</v>
      </c>
      <c r="D14" s="3"/>
      <c r="E14" s="44"/>
      <c r="F14" s="44"/>
      <c r="G14" s="9"/>
      <c r="H14" s="18"/>
      <c r="I14" s="18"/>
      <c r="J14" s="18"/>
      <c r="K14" s="18"/>
      <c r="L14" s="49" t="b">
        <f>'0_Configuration'!$C$2</f>
        <v>1</v>
      </c>
      <c r="M14" s="2" t="s">
        <v>344</v>
      </c>
      <c r="N14" s="49" t="b">
        <f>'0_Configuration'!$C$6</f>
        <v>0</v>
      </c>
      <c r="O14" s="2" t="s">
        <v>344</v>
      </c>
      <c r="P14" s="49" t="b">
        <f>'0_Configuration'!$C$10</f>
        <v>0</v>
      </c>
      <c r="Q14" s="2" t="s">
        <v>344</v>
      </c>
      <c r="R14" s="49" t="b">
        <f>'0_Configuration'!$C$17</f>
        <v>0</v>
      </c>
      <c r="S14" s="2">
        <f>_xlfn.XLOOKUP(Tab_Def_Flows[[#This Row],[ODYM_Good_Type]],Tab_Configuration[Value],Tab_Configuration[ODYM_ID],,0,)</f>
        <v>0</v>
      </c>
      <c r="T14" s="49" t="b">
        <f>'0_Configuration'!$C$24</f>
        <v>0</v>
      </c>
      <c r="U14" s="2" t="s">
        <v>344</v>
      </c>
      <c r="V14" s="49" t="b">
        <f>'0_Configuration'!$C$29</f>
        <v>1</v>
      </c>
      <c r="W14" s="2" t="s">
        <v>344</v>
      </c>
      <c r="X14" s="2" t="str">
        <f>IF(Tab_Def_Flows[[#This Row],[ODYM_time_(t)]],"t,","")&amp;IF(Tab_Def_Flows[[#This Row],[ODYM_Region_(r)]],"r,","")&amp;IF(Tab_Def_Flows[[#This Row],[ODYM_process_(p)]],"p,","")&amp;IF(Tab_Def_Flows[[#This Row],[ODYM_Good_(g)2]],"g,","")&amp;IF(Tab_Def_Flows[[#This Row],[ODYM_material_(m)]],"m,","")&amp;IF(Tab_Def_Flows[[#This Row],[ODYM_element_(e)]],"e","")</f>
        <v>t,e</v>
      </c>
      <c r="Y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2" t="b">
        <v>0</v>
      </c>
      <c r="B15" s="12" t="s">
        <v>28</v>
      </c>
      <c r="C15" s="2" t="str">
        <f t="shared" si="0"/>
        <v>13</v>
      </c>
      <c r="D15" s="3"/>
      <c r="E15" s="44"/>
      <c r="F15" s="44"/>
      <c r="G15" s="9"/>
      <c r="H15" s="18"/>
      <c r="I15" s="18"/>
      <c r="J15" s="18"/>
      <c r="K15" s="18"/>
      <c r="L15" s="49" t="b">
        <f>'0_Configuration'!$C$2</f>
        <v>1</v>
      </c>
      <c r="M15" s="2" t="s">
        <v>344</v>
      </c>
      <c r="N15" s="49" t="b">
        <f>'0_Configuration'!$C$6</f>
        <v>0</v>
      </c>
      <c r="O15" s="2" t="s">
        <v>344</v>
      </c>
      <c r="P15" s="49" t="b">
        <f>'0_Configuration'!$C$10</f>
        <v>0</v>
      </c>
      <c r="Q15" s="2" t="s">
        <v>344</v>
      </c>
      <c r="R15" s="49" t="b">
        <f>'0_Configuration'!$C$17</f>
        <v>0</v>
      </c>
      <c r="S15" s="2">
        <f>_xlfn.XLOOKUP(Tab_Def_Flows[[#This Row],[ODYM_Good_Type]],Tab_Configuration[Value],Tab_Configuration[ODYM_ID],,0,)</f>
        <v>0</v>
      </c>
      <c r="T15" s="49" t="b">
        <f>'0_Configuration'!$C$24</f>
        <v>0</v>
      </c>
      <c r="U15" s="2" t="s">
        <v>344</v>
      </c>
      <c r="V15" s="49" t="b">
        <f>'0_Configuration'!$C$29</f>
        <v>1</v>
      </c>
      <c r="W15" s="2" t="s">
        <v>344</v>
      </c>
      <c r="X15" s="2" t="str">
        <f>IF(Tab_Def_Flows[[#This Row],[ODYM_time_(t)]],"t,","")&amp;IF(Tab_Def_Flows[[#This Row],[ODYM_Region_(r)]],"r,","")&amp;IF(Tab_Def_Flows[[#This Row],[ODYM_process_(p)]],"p,","")&amp;IF(Tab_Def_Flows[[#This Row],[ODYM_Good_(g)2]],"g,","")&amp;IF(Tab_Def_Flows[[#This Row],[ODYM_material_(m)]],"m,","")&amp;IF(Tab_Def_Flows[[#This Row],[ODYM_element_(e)]],"e","")</f>
        <v>t,e</v>
      </c>
      <c r="Y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2" t="b">
        <v>0</v>
      </c>
      <c r="B16" s="12" t="s">
        <v>29</v>
      </c>
      <c r="C16" s="2" t="str">
        <f t="shared" si="0"/>
        <v>14</v>
      </c>
      <c r="D16" s="3"/>
      <c r="E16" s="44"/>
      <c r="F16" s="44"/>
      <c r="G16" s="9"/>
      <c r="H16" s="18"/>
      <c r="I16" s="18"/>
      <c r="J16" s="18"/>
      <c r="K16" s="18"/>
      <c r="L16" s="49" t="b">
        <f>'0_Configuration'!$C$2</f>
        <v>1</v>
      </c>
      <c r="M16" s="2" t="s">
        <v>344</v>
      </c>
      <c r="N16" s="49" t="b">
        <f>'0_Configuration'!$C$6</f>
        <v>0</v>
      </c>
      <c r="O16" s="2" t="s">
        <v>344</v>
      </c>
      <c r="P16" s="49" t="b">
        <f>'0_Configuration'!$C$10</f>
        <v>0</v>
      </c>
      <c r="Q16" s="2" t="s">
        <v>344</v>
      </c>
      <c r="R16" s="49" t="b">
        <f>'0_Configuration'!$C$17</f>
        <v>0</v>
      </c>
      <c r="S16" s="2">
        <f>_xlfn.XLOOKUP(Tab_Def_Flows[[#This Row],[ODYM_Good_Type]],Tab_Configuration[Value],Tab_Configuration[ODYM_ID],,0,)</f>
        <v>0</v>
      </c>
      <c r="T16" s="49" t="b">
        <f>'0_Configuration'!$C$24</f>
        <v>0</v>
      </c>
      <c r="U16" s="2" t="s">
        <v>344</v>
      </c>
      <c r="V16" s="49" t="b">
        <f>'0_Configuration'!$C$29</f>
        <v>1</v>
      </c>
      <c r="W16" s="2" t="s">
        <v>344</v>
      </c>
      <c r="X16" s="2" t="str">
        <f>IF(Tab_Def_Flows[[#This Row],[ODYM_time_(t)]],"t,","")&amp;IF(Tab_Def_Flows[[#This Row],[ODYM_Region_(r)]],"r,","")&amp;IF(Tab_Def_Flows[[#This Row],[ODYM_process_(p)]],"p,","")&amp;IF(Tab_Def_Flows[[#This Row],[ODYM_Good_(g)2]],"g,","")&amp;IF(Tab_Def_Flows[[#This Row],[ODYM_material_(m)]],"m,","")&amp;IF(Tab_Def_Flows[[#This Row],[ODYM_element_(e)]],"e","")</f>
        <v>t,e</v>
      </c>
      <c r="Y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2" t="b">
        <v>0</v>
      </c>
      <c r="B17" s="12" t="s">
        <v>30</v>
      </c>
      <c r="C17" s="2" t="str">
        <f t="shared" si="0"/>
        <v>15</v>
      </c>
      <c r="D17" s="3"/>
      <c r="E17" s="44"/>
      <c r="F17" s="44"/>
      <c r="G17" s="9"/>
      <c r="H17" s="18"/>
      <c r="I17" s="18"/>
      <c r="J17" s="18"/>
      <c r="K17" s="18"/>
      <c r="L17" s="49" t="b">
        <f>'0_Configuration'!$C$2</f>
        <v>1</v>
      </c>
      <c r="M17" s="2" t="s">
        <v>344</v>
      </c>
      <c r="N17" s="49" t="b">
        <f>'0_Configuration'!$C$6</f>
        <v>0</v>
      </c>
      <c r="O17" s="2" t="s">
        <v>344</v>
      </c>
      <c r="P17" s="49" t="b">
        <f>'0_Configuration'!$C$10</f>
        <v>0</v>
      </c>
      <c r="Q17" s="2" t="s">
        <v>344</v>
      </c>
      <c r="R17" s="49" t="b">
        <f>'0_Configuration'!$C$17</f>
        <v>0</v>
      </c>
      <c r="S17" s="2">
        <f>_xlfn.XLOOKUP(Tab_Def_Flows[[#This Row],[ODYM_Good_Type]],Tab_Configuration[Value],Tab_Configuration[ODYM_ID],,0,)</f>
        <v>0</v>
      </c>
      <c r="T17" s="49" t="b">
        <f>'0_Configuration'!$C$24</f>
        <v>0</v>
      </c>
      <c r="U17" s="2" t="s">
        <v>344</v>
      </c>
      <c r="V17" s="49" t="b">
        <f>'0_Configuration'!$C$29</f>
        <v>1</v>
      </c>
      <c r="W17" s="2" t="s">
        <v>344</v>
      </c>
      <c r="X17" s="2" t="str">
        <f>IF(Tab_Def_Flows[[#This Row],[ODYM_time_(t)]],"t,","")&amp;IF(Tab_Def_Flows[[#This Row],[ODYM_Region_(r)]],"r,","")&amp;IF(Tab_Def_Flows[[#This Row],[ODYM_process_(p)]],"p,","")&amp;IF(Tab_Def_Flows[[#This Row],[ODYM_Good_(g)2]],"g,","")&amp;IF(Tab_Def_Flows[[#This Row],[ODYM_material_(m)]],"m,","")&amp;IF(Tab_Def_Flows[[#This Row],[ODYM_element_(e)]],"e","")</f>
        <v>t,e</v>
      </c>
      <c r="Y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2" t="b">
        <v>0</v>
      </c>
      <c r="B18" s="12" t="s">
        <v>31</v>
      </c>
      <c r="C18" s="2" t="str">
        <f t="shared" si="0"/>
        <v>16</v>
      </c>
      <c r="D18" s="3"/>
      <c r="E18" s="44"/>
      <c r="F18" s="44"/>
      <c r="G18" s="9"/>
      <c r="H18" s="18"/>
      <c r="I18" s="18"/>
      <c r="J18" s="18"/>
      <c r="K18" s="18"/>
      <c r="L18" s="49" t="b">
        <f>'0_Configuration'!$C$2</f>
        <v>1</v>
      </c>
      <c r="M18" s="2" t="s">
        <v>344</v>
      </c>
      <c r="N18" s="49" t="b">
        <f>'0_Configuration'!$C$6</f>
        <v>0</v>
      </c>
      <c r="O18" s="2" t="s">
        <v>344</v>
      </c>
      <c r="P18" s="49" t="b">
        <f>'0_Configuration'!$C$10</f>
        <v>0</v>
      </c>
      <c r="Q18" s="2" t="s">
        <v>344</v>
      </c>
      <c r="R18" s="49" t="b">
        <f>'0_Configuration'!$C$17</f>
        <v>0</v>
      </c>
      <c r="S18" s="2">
        <f>_xlfn.XLOOKUP(Tab_Def_Flows[[#This Row],[ODYM_Good_Type]],Tab_Configuration[Value],Tab_Configuration[ODYM_ID],,0,)</f>
        <v>0</v>
      </c>
      <c r="T18" s="49" t="b">
        <f>'0_Configuration'!$C$24</f>
        <v>0</v>
      </c>
      <c r="U18" s="2" t="s">
        <v>344</v>
      </c>
      <c r="V18" s="49" t="b">
        <f>'0_Configuration'!$C$29</f>
        <v>1</v>
      </c>
      <c r="W18" s="2" t="s">
        <v>344</v>
      </c>
      <c r="X18" s="2" t="str">
        <f>IF(Tab_Def_Flows[[#This Row],[ODYM_time_(t)]],"t,","")&amp;IF(Tab_Def_Flows[[#This Row],[ODYM_Region_(r)]],"r,","")&amp;IF(Tab_Def_Flows[[#This Row],[ODYM_process_(p)]],"p,","")&amp;IF(Tab_Def_Flows[[#This Row],[ODYM_Good_(g)2]],"g,","")&amp;IF(Tab_Def_Flows[[#This Row],[ODYM_material_(m)]],"m,","")&amp;IF(Tab_Def_Flows[[#This Row],[ODYM_element_(e)]],"e","")</f>
        <v>t,e</v>
      </c>
      <c r="Y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2" t="b">
        <v>0</v>
      </c>
      <c r="B19" s="12" t="s">
        <v>32</v>
      </c>
      <c r="C19" s="2" t="str">
        <f t="shared" si="0"/>
        <v>17</v>
      </c>
      <c r="D19" s="3"/>
      <c r="E19" s="44"/>
      <c r="F19" s="44"/>
      <c r="G19" s="9"/>
      <c r="H19" s="18"/>
      <c r="I19" s="18"/>
      <c r="J19" s="18"/>
      <c r="K19" s="18"/>
      <c r="L19" s="49" t="b">
        <f>'0_Configuration'!$C$2</f>
        <v>1</v>
      </c>
      <c r="M19" s="2" t="s">
        <v>344</v>
      </c>
      <c r="N19" s="49" t="b">
        <f>'0_Configuration'!$C$6</f>
        <v>0</v>
      </c>
      <c r="O19" s="2" t="s">
        <v>344</v>
      </c>
      <c r="P19" s="49" t="b">
        <f>'0_Configuration'!$C$10</f>
        <v>0</v>
      </c>
      <c r="Q19" s="2" t="s">
        <v>344</v>
      </c>
      <c r="R19" s="49" t="b">
        <f>'0_Configuration'!$C$17</f>
        <v>0</v>
      </c>
      <c r="S19" s="2">
        <f>_xlfn.XLOOKUP(Tab_Def_Flows[[#This Row],[ODYM_Good_Type]],Tab_Configuration[Value],Tab_Configuration[ODYM_ID],,0,)</f>
        <v>0</v>
      </c>
      <c r="T19" s="49" t="b">
        <f>'0_Configuration'!$C$24</f>
        <v>0</v>
      </c>
      <c r="U19" s="2" t="s">
        <v>344</v>
      </c>
      <c r="V19" s="49" t="b">
        <f>'0_Configuration'!$C$29</f>
        <v>1</v>
      </c>
      <c r="W19" s="2" t="s">
        <v>344</v>
      </c>
      <c r="X19" s="2" t="str">
        <f>IF(Tab_Def_Flows[[#This Row],[ODYM_time_(t)]],"t,","")&amp;IF(Tab_Def_Flows[[#This Row],[ODYM_Region_(r)]],"r,","")&amp;IF(Tab_Def_Flows[[#This Row],[ODYM_process_(p)]],"p,","")&amp;IF(Tab_Def_Flows[[#This Row],[ODYM_Good_(g)2]],"g,","")&amp;IF(Tab_Def_Flows[[#This Row],[ODYM_material_(m)]],"m,","")&amp;IF(Tab_Def_Flows[[#This Row],[ODYM_element_(e)]],"e","")</f>
        <v>t,e</v>
      </c>
      <c r="Y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2" t="b">
        <v>0</v>
      </c>
      <c r="B20" s="12" t="s">
        <v>33</v>
      </c>
      <c r="C20" s="2" t="str">
        <f t="shared" si="0"/>
        <v>18</v>
      </c>
      <c r="D20" s="3"/>
      <c r="E20" s="44"/>
      <c r="F20" s="44"/>
      <c r="G20" s="9"/>
      <c r="H20" s="18"/>
      <c r="I20" s="18"/>
      <c r="J20" s="18"/>
      <c r="K20" s="18"/>
      <c r="L20" s="49" t="b">
        <f>'0_Configuration'!$C$2</f>
        <v>1</v>
      </c>
      <c r="M20" s="2" t="s">
        <v>344</v>
      </c>
      <c r="N20" s="49" t="b">
        <f>'0_Configuration'!$C$6</f>
        <v>0</v>
      </c>
      <c r="O20" s="2" t="s">
        <v>344</v>
      </c>
      <c r="P20" s="49" t="b">
        <f>'0_Configuration'!$C$10</f>
        <v>0</v>
      </c>
      <c r="Q20" s="2" t="s">
        <v>344</v>
      </c>
      <c r="R20" s="49" t="b">
        <f>'0_Configuration'!$C$17</f>
        <v>0</v>
      </c>
      <c r="S20" s="2">
        <f>_xlfn.XLOOKUP(Tab_Def_Flows[[#This Row],[ODYM_Good_Type]],Tab_Configuration[Value],Tab_Configuration[ODYM_ID],,0,)</f>
        <v>0</v>
      </c>
      <c r="T20" s="49" t="b">
        <f>'0_Configuration'!$C$24</f>
        <v>0</v>
      </c>
      <c r="U20" s="2" t="s">
        <v>344</v>
      </c>
      <c r="V20" s="49" t="b">
        <f>'0_Configuration'!$C$29</f>
        <v>1</v>
      </c>
      <c r="W20" s="2" t="s">
        <v>344</v>
      </c>
      <c r="X20" s="2" t="str">
        <f>IF(Tab_Def_Flows[[#This Row],[ODYM_time_(t)]],"t,","")&amp;IF(Tab_Def_Flows[[#This Row],[ODYM_Region_(r)]],"r,","")&amp;IF(Tab_Def_Flows[[#This Row],[ODYM_process_(p)]],"p,","")&amp;IF(Tab_Def_Flows[[#This Row],[ODYM_Good_(g)2]],"g,","")&amp;IF(Tab_Def_Flows[[#This Row],[ODYM_material_(m)]],"m,","")&amp;IF(Tab_Def_Flows[[#This Row],[ODYM_element_(e)]],"e","")</f>
        <v>t,e</v>
      </c>
      <c r="Y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2" t="b">
        <v>0</v>
      </c>
      <c r="B21" s="12" t="s">
        <v>34</v>
      </c>
      <c r="C21" s="2" t="str">
        <f t="shared" si="0"/>
        <v>19</v>
      </c>
      <c r="D21" s="3"/>
      <c r="E21" s="44"/>
      <c r="F21" s="44"/>
      <c r="G21" s="9"/>
      <c r="H21" s="18"/>
      <c r="I21" s="18"/>
      <c r="J21" s="18"/>
      <c r="K21" s="18"/>
      <c r="L21" s="49" t="b">
        <f>'0_Configuration'!$C$2</f>
        <v>1</v>
      </c>
      <c r="M21" s="2" t="s">
        <v>344</v>
      </c>
      <c r="N21" s="49" t="b">
        <f>'0_Configuration'!$C$6</f>
        <v>0</v>
      </c>
      <c r="O21" s="2" t="s">
        <v>344</v>
      </c>
      <c r="P21" s="49" t="b">
        <f>'0_Configuration'!$C$10</f>
        <v>0</v>
      </c>
      <c r="Q21" s="2" t="s">
        <v>344</v>
      </c>
      <c r="R21" s="49" t="b">
        <f>'0_Configuration'!$C$17</f>
        <v>0</v>
      </c>
      <c r="S21" s="2">
        <f>_xlfn.XLOOKUP(Tab_Def_Flows[[#This Row],[ODYM_Good_Type]],Tab_Configuration[Value],Tab_Configuration[ODYM_ID],,0,)</f>
        <v>0</v>
      </c>
      <c r="T21" s="49" t="b">
        <f>'0_Configuration'!$C$24</f>
        <v>0</v>
      </c>
      <c r="U21" s="2" t="s">
        <v>344</v>
      </c>
      <c r="V21" s="49" t="b">
        <f>'0_Configuration'!$C$29</f>
        <v>1</v>
      </c>
      <c r="W21" s="2" t="s">
        <v>344</v>
      </c>
      <c r="X21" s="2" t="str">
        <f>IF(Tab_Def_Flows[[#This Row],[ODYM_time_(t)]],"t,","")&amp;IF(Tab_Def_Flows[[#This Row],[ODYM_Region_(r)]],"r,","")&amp;IF(Tab_Def_Flows[[#This Row],[ODYM_process_(p)]],"p,","")&amp;IF(Tab_Def_Flows[[#This Row],[ODYM_Good_(g)2]],"g,","")&amp;IF(Tab_Def_Flows[[#This Row],[ODYM_material_(m)]],"m,","")&amp;IF(Tab_Def_Flows[[#This Row],[ODYM_element_(e)]],"e","")</f>
        <v>t,e</v>
      </c>
      <c r="Y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2" t="b">
        <v>0</v>
      </c>
      <c r="B22" s="12" t="s">
        <v>35</v>
      </c>
      <c r="C22" s="2" t="str">
        <f t="shared" si="0"/>
        <v>20</v>
      </c>
      <c r="D22" s="3"/>
      <c r="E22" s="44"/>
      <c r="F22" s="44"/>
      <c r="G22" s="9"/>
      <c r="H22" s="18"/>
      <c r="I22" s="18"/>
      <c r="J22" s="18"/>
      <c r="K22" s="18"/>
      <c r="L22" s="49" t="b">
        <f>'0_Configuration'!$C$2</f>
        <v>1</v>
      </c>
      <c r="M22" s="2" t="s">
        <v>344</v>
      </c>
      <c r="N22" s="49" t="b">
        <f>'0_Configuration'!$C$6</f>
        <v>0</v>
      </c>
      <c r="O22" s="2" t="s">
        <v>344</v>
      </c>
      <c r="P22" s="49" t="b">
        <f>'0_Configuration'!$C$10</f>
        <v>0</v>
      </c>
      <c r="Q22" s="2" t="s">
        <v>344</v>
      </c>
      <c r="R22" s="49" t="b">
        <f>'0_Configuration'!$C$17</f>
        <v>0</v>
      </c>
      <c r="S22" s="2">
        <f>_xlfn.XLOOKUP(Tab_Def_Flows[[#This Row],[ODYM_Good_Type]],Tab_Configuration[Value],Tab_Configuration[ODYM_ID],,0,)</f>
        <v>0</v>
      </c>
      <c r="T22" s="49" t="b">
        <f>'0_Configuration'!$C$24</f>
        <v>0</v>
      </c>
      <c r="U22" s="2" t="s">
        <v>344</v>
      </c>
      <c r="V22" s="49" t="b">
        <f>'0_Configuration'!$C$29</f>
        <v>1</v>
      </c>
      <c r="W22" s="2" t="s">
        <v>344</v>
      </c>
      <c r="X22" s="2" t="str">
        <f>IF(Tab_Def_Flows[[#This Row],[ODYM_time_(t)]],"t,","")&amp;IF(Tab_Def_Flows[[#This Row],[ODYM_Region_(r)]],"r,","")&amp;IF(Tab_Def_Flows[[#This Row],[ODYM_process_(p)]],"p,","")&amp;IF(Tab_Def_Flows[[#This Row],[ODYM_Good_(g)2]],"g,","")&amp;IF(Tab_Def_Flows[[#This Row],[ODYM_material_(m)]],"m,","")&amp;IF(Tab_Def_Flows[[#This Row],[ODYM_element_(e)]],"e","")</f>
        <v>t,e</v>
      </c>
      <c r="Y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2" t="b">
        <v>0</v>
      </c>
      <c r="B23" s="12" t="s">
        <v>36</v>
      </c>
      <c r="C23" s="2" t="str">
        <f t="shared" si="0"/>
        <v>21</v>
      </c>
      <c r="D23" s="3"/>
      <c r="E23" s="44"/>
      <c r="F23" s="44"/>
      <c r="G23" s="9"/>
      <c r="H23" s="18"/>
      <c r="I23" s="18"/>
      <c r="J23" s="18"/>
      <c r="K23" s="18"/>
      <c r="L23" s="49" t="b">
        <f>'0_Configuration'!$C$2</f>
        <v>1</v>
      </c>
      <c r="M23" s="2" t="s">
        <v>344</v>
      </c>
      <c r="N23" s="49" t="b">
        <f>'0_Configuration'!$C$6</f>
        <v>0</v>
      </c>
      <c r="O23" s="2" t="s">
        <v>344</v>
      </c>
      <c r="P23" s="49" t="b">
        <f>'0_Configuration'!$C$10</f>
        <v>0</v>
      </c>
      <c r="Q23" s="2" t="s">
        <v>344</v>
      </c>
      <c r="R23" s="49" t="b">
        <f>'0_Configuration'!$C$17</f>
        <v>0</v>
      </c>
      <c r="S23" s="2">
        <f>_xlfn.XLOOKUP(Tab_Def_Flows[[#This Row],[ODYM_Good_Type]],Tab_Configuration[Value],Tab_Configuration[ODYM_ID],,0,)</f>
        <v>0</v>
      </c>
      <c r="T23" s="49" t="b">
        <f>'0_Configuration'!$C$24</f>
        <v>0</v>
      </c>
      <c r="U23" s="2" t="s">
        <v>344</v>
      </c>
      <c r="V23" s="49" t="b">
        <f>'0_Configuration'!$C$29</f>
        <v>1</v>
      </c>
      <c r="W23" s="2" t="s">
        <v>344</v>
      </c>
      <c r="X23" s="2" t="str">
        <f>IF(Tab_Def_Flows[[#This Row],[ODYM_time_(t)]],"t,","")&amp;IF(Tab_Def_Flows[[#This Row],[ODYM_Region_(r)]],"r,","")&amp;IF(Tab_Def_Flows[[#This Row],[ODYM_process_(p)]],"p,","")&amp;IF(Tab_Def_Flows[[#This Row],[ODYM_Good_(g)2]],"g,","")&amp;IF(Tab_Def_Flows[[#This Row],[ODYM_material_(m)]],"m,","")&amp;IF(Tab_Def_Flows[[#This Row],[ODYM_element_(e)]],"e","")</f>
        <v>t,e</v>
      </c>
      <c r="Y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2" t="b">
        <v>0</v>
      </c>
      <c r="B24" s="12" t="s">
        <v>37</v>
      </c>
      <c r="C24" s="2" t="str">
        <f t="shared" si="0"/>
        <v>22</v>
      </c>
      <c r="D24" s="3"/>
      <c r="E24" s="44"/>
      <c r="F24" s="44"/>
      <c r="G24" s="9"/>
      <c r="H24" s="18"/>
      <c r="I24" s="18"/>
      <c r="J24" s="18"/>
      <c r="K24" s="18"/>
      <c r="L24" s="49" t="b">
        <f>'0_Configuration'!$C$2</f>
        <v>1</v>
      </c>
      <c r="M24" s="2" t="s">
        <v>344</v>
      </c>
      <c r="N24" s="49" t="b">
        <f>'0_Configuration'!$C$6</f>
        <v>0</v>
      </c>
      <c r="O24" s="2" t="s">
        <v>344</v>
      </c>
      <c r="P24" s="49" t="b">
        <f>'0_Configuration'!$C$10</f>
        <v>0</v>
      </c>
      <c r="Q24" s="2" t="s">
        <v>344</v>
      </c>
      <c r="R24" s="49" t="b">
        <f>'0_Configuration'!$C$17</f>
        <v>0</v>
      </c>
      <c r="S24" s="2">
        <f>_xlfn.XLOOKUP(Tab_Def_Flows[[#This Row],[ODYM_Good_Type]],Tab_Configuration[Value],Tab_Configuration[ODYM_ID],,0,)</f>
        <v>0</v>
      </c>
      <c r="T24" s="49" t="b">
        <f>'0_Configuration'!$C$24</f>
        <v>0</v>
      </c>
      <c r="U24" s="2" t="s">
        <v>344</v>
      </c>
      <c r="V24" s="49" t="b">
        <f>'0_Configuration'!$C$29</f>
        <v>1</v>
      </c>
      <c r="W24" s="2" t="s">
        <v>344</v>
      </c>
      <c r="X24" s="2" t="str">
        <f>IF(Tab_Def_Flows[[#This Row],[ODYM_time_(t)]],"t,","")&amp;IF(Tab_Def_Flows[[#This Row],[ODYM_Region_(r)]],"r,","")&amp;IF(Tab_Def_Flows[[#This Row],[ODYM_process_(p)]],"p,","")&amp;IF(Tab_Def_Flows[[#This Row],[ODYM_Good_(g)2]],"g,","")&amp;IF(Tab_Def_Flows[[#This Row],[ODYM_material_(m)]],"m,","")&amp;IF(Tab_Def_Flows[[#This Row],[ODYM_element_(e)]],"e","")</f>
        <v>t,e</v>
      </c>
      <c r="Y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2" t="b">
        <v>0</v>
      </c>
      <c r="B25" s="12" t="s">
        <v>38</v>
      </c>
      <c r="C25" s="2" t="str">
        <f t="shared" si="0"/>
        <v>23</v>
      </c>
      <c r="D25" s="3"/>
      <c r="E25" s="3"/>
      <c r="F25" s="3"/>
      <c r="G25" s="9"/>
      <c r="H25" s="18"/>
      <c r="I25" s="18"/>
      <c r="J25" s="18"/>
      <c r="K25" s="18"/>
      <c r="L25" s="49" t="b">
        <f>'0_Configuration'!$C$2</f>
        <v>1</v>
      </c>
      <c r="M25" s="2" t="s">
        <v>344</v>
      </c>
      <c r="N25" s="49" t="b">
        <f>'0_Configuration'!$C$6</f>
        <v>0</v>
      </c>
      <c r="O25" s="2" t="s">
        <v>344</v>
      </c>
      <c r="P25" s="49" t="b">
        <f>'0_Configuration'!$C$10</f>
        <v>0</v>
      </c>
      <c r="Q25" s="2" t="s">
        <v>344</v>
      </c>
      <c r="R25" s="49" t="b">
        <f>'0_Configuration'!$C$17</f>
        <v>0</v>
      </c>
      <c r="S25" s="2">
        <f>_xlfn.XLOOKUP(Tab_Def_Flows[[#This Row],[ODYM_Good_Type]],Tab_Configuration[Value],Tab_Configuration[ODYM_ID],,0,)</f>
        <v>0</v>
      </c>
      <c r="T25" s="49" t="b">
        <f>'0_Configuration'!$C$24</f>
        <v>0</v>
      </c>
      <c r="U25" s="2" t="s">
        <v>344</v>
      </c>
      <c r="V25" s="49" t="b">
        <f>'0_Configuration'!$C$29</f>
        <v>1</v>
      </c>
      <c r="W25" s="2" t="s">
        <v>344</v>
      </c>
      <c r="X25" s="2" t="str">
        <f>IF(Tab_Def_Flows[[#This Row],[ODYM_time_(t)]],"t,","")&amp;IF(Tab_Def_Flows[[#This Row],[ODYM_Region_(r)]],"r,","")&amp;IF(Tab_Def_Flows[[#This Row],[ODYM_process_(p)]],"p,","")&amp;IF(Tab_Def_Flows[[#This Row],[ODYM_Good_(g)2]],"g,","")&amp;IF(Tab_Def_Flows[[#This Row],[ODYM_material_(m)]],"m,","")&amp;IF(Tab_Def_Flows[[#This Row],[ODYM_element_(e)]],"e","")</f>
        <v>t,e</v>
      </c>
      <c r="Y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2" t="b">
        <v>0</v>
      </c>
      <c r="B26" s="12" t="s">
        <v>39</v>
      </c>
      <c r="C26" s="2" t="str">
        <f t="shared" si="0"/>
        <v>24</v>
      </c>
      <c r="D26" s="3"/>
      <c r="E26" s="3"/>
      <c r="F26" s="3"/>
      <c r="G26" s="9"/>
      <c r="H26" s="18"/>
      <c r="I26" s="18"/>
      <c r="J26" s="18"/>
      <c r="K26" s="18"/>
      <c r="L26" s="49" t="b">
        <f>'0_Configuration'!$C$2</f>
        <v>1</v>
      </c>
      <c r="M26" s="2" t="s">
        <v>344</v>
      </c>
      <c r="N26" s="49" t="b">
        <f>'0_Configuration'!$C$6</f>
        <v>0</v>
      </c>
      <c r="O26" s="2" t="s">
        <v>344</v>
      </c>
      <c r="P26" s="49" t="b">
        <f>'0_Configuration'!$C$10</f>
        <v>0</v>
      </c>
      <c r="Q26" s="2" t="s">
        <v>344</v>
      </c>
      <c r="R26" s="49" t="b">
        <f>'0_Configuration'!$C$17</f>
        <v>0</v>
      </c>
      <c r="S26" s="2">
        <f>_xlfn.XLOOKUP(Tab_Def_Flows[[#This Row],[ODYM_Good_Type]],Tab_Configuration[Value],Tab_Configuration[ODYM_ID],,0,)</f>
        <v>0</v>
      </c>
      <c r="T26" s="49" t="b">
        <f>'0_Configuration'!$C$24</f>
        <v>0</v>
      </c>
      <c r="U26" s="2" t="s">
        <v>344</v>
      </c>
      <c r="V26" s="49" t="b">
        <f>'0_Configuration'!$C$29</f>
        <v>1</v>
      </c>
      <c r="W26" s="2" t="s">
        <v>344</v>
      </c>
      <c r="X26" s="2" t="str">
        <f>IF(Tab_Def_Flows[[#This Row],[ODYM_time_(t)]],"t,","")&amp;IF(Tab_Def_Flows[[#This Row],[ODYM_Region_(r)]],"r,","")&amp;IF(Tab_Def_Flows[[#This Row],[ODYM_process_(p)]],"p,","")&amp;IF(Tab_Def_Flows[[#This Row],[ODYM_Good_(g)2]],"g,","")&amp;IF(Tab_Def_Flows[[#This Row],[ODYM_material_(m)]],"m,","")&amp;IF(Tab_Def_Flows[[#This Row],[ODYM_element_(e)]],"e","")</f>
        <v>t,e</v>
      </c>
      <c r="Y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2" t="b">
        <v>0</v>
      </c>
      <c r="B27" s="12" t="s">
        <v>40</v>
      </c>
      <c r="C27" s="2" t="str">
        <f t="shared" si="0"/>
        <v>25</v>
      </c>
      <c r="D27" s="3"/>
      <c r="E27" s="3"/>
      <c r="F27" s="3"/>
      <c r="G27" s="9"/>
      <c r="H27" s="18"/>
      <c r="I27" s="18"/>
      <c r="J27" s="18"/>
      <c r="K27" s="18"/>
      <c r="L27" s="49" t="b">
        <f>'0_Configuration'!$C$2</f>
        <v>1</v>
      </c>
      <c r="M27" s="2" t="s">
        <v>344</v>
      </c>
      <c r="N27" s="49" t="b">
        <f>'0_Configuration'!$C$6</f>
        <v>0</v>
      </c>
      <c r="O27" s="2" t="s">
        <v>344</v>
      </c>
      <c r="P27" s="49" t="b">
        <f>'0_Configuration'!$C$10</f>
        <v>0</v>
      </c>
      <c r="Q27" s="2" t="s">
        <v>344</v>
      </c>
      <c r="R27" s="49" t="b">
        <f>'0_Configuration'!$C$17</f>
        <v>0</v>
      </c>
      <c r="S27" s="2">
        <f>_xlfn.XLOOKUP(Tab_Def_Flows[[#This Row],[ODYM_Good_Type]],Tab_Configuration[Value],Tab_Configuration[ODYM_ID],,0,)</f>
        <v>0</v>
      </c>
      <c r="T27" s="49" t="b">
        <f>'0_Configuration'!$C$24</f>
        <v>0</v>
      </c>
      <c r="U27" s="2" t="s">
        <v>344</v>
      </c>
      <c r="V27" s="49" t="b">
        <f>'0_Configuration'!$C$29</f>
        <v>1</v>
      </c>
      <c r="W27" s="2" t="s">
        <v>344</v>
      </c>
      <c r="X27" s="2" t="str">
        <f>IF(Tab_Def_Flows[[#This Row],[ODYM_time_(t)]],"t,","")&amp;IF(Tab_Def_Flows[[#This Row],[ODYM_Region_(r)]],"r,","")&amp;IF(Tab_Def_Flows[[#This Row],[ODYM_process_(p)]],"p,","")&amp;IF(Tab_Def_Flows[[#This Row],[ODYM_Good_(g)2]],"g,","")&amp;IF(Tab_Def_Flows[[#This Row],[ODYM_material_(m)]],"m,","")&amp;IF(Tab_Def_Flows[[#This Row],[ODYM_element_(e)]],"e","")</f>
        <v>t,e</v>
      </c>
      <c r="Y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2" t="b">
        <v>0</v>
      </c>
      <c r="B28" s="12" t="s">
        <v>41</v>
      </c>
      <c r="C28" s="2" t="str">
        <f t="shared" si="0"/>
        <v>26</v>
      </c>
      <c r="D28" s="3"/>
      <c r="E28" s="3"/>
      <c r="F28" s="3"/>
      <c r="G28" s="9"/>
      <c r="H28" s="18"/>
      <c r="I28" s="18"/>
      <c r="J28" s="18"/>
      <c r="K28" s="18"/>
      <c r="L28" s="49" t="b">
        <f>'0_Configuration'!$C$2</f>
        <v>1</v>
      </c>
      <c r="M28" s="2" t="s">
        <v>344</v>
      </c>
      <c r="N28" s="49" t="b">
        <f>'0_Configuration'!$C$6</f>
        <v>0</v>
      </c>
      <c r="O28" s="2" t="s">
        <v>344</v>
      </c>
      <c r="P28" s="49" t="b">
        <f>'0_Configuration'!$C$10</f>
        <v>0</v>
      </c>
      <c r="Q28" s="2" t="s">
        <v>344</v>
      </c>
      <c r="R28" s="49" t="b">
        <f>'0_Configuration'!$C$17</f>
        <v>0</v>
      </c>
      <c r="S28" s="2">
        <f>_xlfn.XLOOKUP(Tab_Def_Flows[[#This Row],[ODYM_Good_Type]],Tab_Configuration[Value],Tab_Configuration[ODYM_ID],,0,)</f>
        <v>0</v>
      </c>
      <c r="T28" s="49" t="b">
        <f>'0_Configuration'!$C$24</f>
        <v>0</v>
      </c>
      <c r="U28" s="2" t="s">
        <v>344</v>
      </c>
      <c r="V28" s="49" t="b">
        <f>'0_Configuration'!$C$29</f>
        <v>1</v>
      </c>
      <c r="W28" s="2" t="s">
        <v>344</v>
      </c>
      <c r="X28" s="2" t="str">
        <f>IF(Tab_Def_Flows[[#This Row],[ODYM_time_(t)]],"t,","")&amp;IF(Tab_Def_Flows[[#This Row],[ODYM_Region_(r)]],"r,","")&amp;IF(Tab_Def_Flows[[#This Row],[ODYM_process_(p)]],"p,","")&amp;IF(Tab_Def_Flows[[#This Row],[ODYM_Good_(g)2]],"g,","")&amp;IF(Tab_Def_Flows[[#This Row],[ODYM_material_(m)]],"m,","")&amp;IF(Tab_Def_Flows[[#This Row],[ODYM_element_(e)]],"e","")</f>
        <v>t,e</v>
      </c>
      <c r="Y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2" t="b">
        <v>0</v>
      </c>
      <c r="B29" s="12" t="s">
        <v>42</v>
      </c>
      <c r="C29" s="2" t="str">
        <f t="shared" si="0"/>
        <v>27</v>
      </c>
      <c r="D29" s="3"/>
      <c r="E29" s="3"/>
      <c r="F29" s="3"/>
      <c r="G29" s="9"/>
      <c r="H29" s="18"/>
      <c r="I29" s="18"/>
      <c r="J29" s="18"/>
      <c r="K29" s="18"/>
      <c r="L29" s="49" t="b">
        <f>'0_Configuration'!$C$2</f>
        <v>1</v>
      </c>
      <c r="M29" s="2" t="s">
        <v>344</v>
      </c>
      <c r="N29" s="49" t="b">
        <f>'0_Configuration'!$C$6</f>
        <v>0</v>
      </c>
      <c r="O29" s="2" t="s">
        <v>344</v>
      </c>
      <c r="P29" s="49" t="b">
        <f>'0_Configuration'!$C$10</f>
        <v>0</v>
      </c>
      <c r="Q29" s="2" t="s">
        <v>344</v>
      </c>
      <c r="R29" s="49" t="b">
        <f>'0_Configuration'!$C$17</f>
        <v>0</v>
      </c>
      <c r="S29" s="2">
        <f>_xlfn.XLOOKUP(Tab_Def_Flows[[#This Row],[ODYM_Good_Type]],Tab_Configuration[Value],Tab_Configuration[ODYM_ID],,0,)</f>
        <v>0</v>
      </c>
      <c r="T29" s="49" t="b">
        <f>'0_Configuration'!$C$24</f>
        <v>0</v>
      </c>
      <c r="U29" s="2" t="s">
        <v>344</v>
      </c>
      <c r="V29" s="49" t="b">
        <f>'0_Configuration'!$C$29</f>
        <v>1</v>
      </c>
      <c r="W29" s="2" t="s">
        <v>344</v>
      </c>
      <c r="X29" s="2" t="str">
        <f>IF(Tab_Def_Flows[[#This Row],[ODYM_time_(t)]],"t,","")&amp;IF(Tab_Def_Flows[[#This Row],[ODYM_Region_(r)]],"r,","")&amp;IF(Tab_Def_Flows[[#This Row],[ODYM_process_(p)]],"p,","")&amp;IF(Tab_Def_Flows[[#This Row],[ODYM_Good_(g)2]],"g,","")&amp;IF(Tab_Def_Flows[[#This Row],[ODYM_material_(m)]],"m,","")&amp;IF(Tab_Def_Flows[[#This Row],[ODYM_element_(e)]],"e","")</f>
        <v>t,e</v>
      </c>
      <c r="Y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2" t="b">
        <v>0</v>
      </c>
      <c r="B30" s="12" t="s">
        <v>43</v>
      </c>
      <c r="C30" s="2" t="str">
        <f t="shared" si="0"/>
        <v>28</v>
      </c>
      <c r="D30" s="3"/>
      <c r="E30" s="3"/>
      <c r="F30" s="3"/>
      <c r="G30" s="9"/>
      <c r="H30" s="18"/>
      <c r="I30" s="18"/>
      <c r="J30" s="18"/>
      <c r="K30" s="18"/>
      <c r="L30" s="49" t="b">
        <f>'0_Configuration'!$C$2</f>
        <v>1</v>
      </c>
      <c r="M30" s="2" t="s">
        <v>344</v>
      </c>
      <c r="N30" s="49" t="b">
        <f>'0_Configuration'!$C$6</f>
        <v>0</v>
      </c>
      <c r="O30" s="2" t="s">
        <v>344</v>
      </c>
      <c r="P30" s="49" t="b">
        <f>'0_Configuration'!$C$10</f>
        <v>0</v>
      </c>
      <c r="Q30" s="2" t="s">
        <v>344</v>
      </c>
      <c r="R30" s="49" t="b">
        <f>'0_Configuration'!$C$17</f>
        <v>0</v>
      </c>
      <c r="S30" s="2">
        <f>_xlfn.XLOOKUP(Tab_Def_Flows[[#This Row],[ODYM_Good_Type]],Tab_Configuration[Value],Tab_Configuration[ODYM_ID],,0,)</f>
        <v>0</v>
      </c>
      <c r="T30" s="49" t="b">
        <f>'0_Configuration'!$C$24</f>
        <v>0</v>
      </c>
      <c r="U30" s="2" t="s">
        <v>344</v>
      </c>
      <c r="V30" s="49" t="b">
        <f>'0_Configuration'!$C$29</f>
        <v>1</v>
      </c>
      <c r="W30" s="2" t="s">
        <v>344</v>
      </c>
      <c r="X30" s="2" t="str">
        <f>IF(Tab_Def_Flows[[#This Row],[ODYM_time_(t)]],"t,","")&amp;IF(Tab_Def_Flows[[#This Row],[ODYM_Region_(r)]],"r,","")&amp;IF(Tab_Def_Flows[[#This Row],[ODYM_process_(p)]],"p,","")&amp;IF(Tab_Def_Flows[[#This Row],[ODYM_Good_(g)2]],"g,","")&amp;IF(Tab_Def_Flows[[#This Row],[ODYM_material_(m)]],"m,","")&amp;IF(Tab_Def_Flows[[#This Row],[ODYM_element_(e)]],"e","")</f>
        <v>t,e</v>
      </c>
      <c r="Y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2" t="b">
        <v>0</v>
      </c>
      <c r="B31" s="12" t="s">
        <v>44</v>
      </c>
      <c r="C31" s="2" t="str">
        <f t="shared" si="0"/>
        <v>29</v>
      </c>
      <c r="D31" s="3"/>
      <c r="E31" s="3"/>
      <c r="F31" s="3"/>
      <c r="G31" s="9"/>
      <c r="H31" s="18"/>
      <c r="I31" s="18"/>
      <c r="J31" s="18"/>
      <c r="K31" s="18"/>
      <c r="L31" s="49" t="b">
        <f>'0_Configuration'!$C$2</f>
        <v>1</v>
      </c>
      <c r="M31" s="2" t="s">
        <v>344</v>
      </c>
      <c r="N31" s="49" t="b">
        <f>'0_Configuration'!$C$6</f>
        <v>0</v>
      </c>
      <c r="O31" s="2" t="s">
        <v>344</v>
      </c>
      <c r="P31" s="49" t="b">
        <f>'0_Configuration'!$C$10</f>
        <v>0</v>
      </c>
      <c r="Q31" s="2" t="s">
        <v>344</v>
      </c>
      <c r="R31" s="49" t="b">
        <f>'0_Configuration'!$C$17</f>
        <v>0</v>
      </c>
      <c r="S31" s="2">
        <f>_xlfn.XLOOKUP(Tab_Def_Flows[[#This Row],[ODYM_Good_Type]],Tab_Configuration[Value],Tab_Configuration[ODYM_ID],,0,)</f>
        <v>0</v>
      </c>
      <c r="T31" s="49" t="b">
        <f>'0_Configuration'!$C$24</f>
        <v>0</v>
      </c>
      <c r="U31" s="2" t="s">
        <v>344</v>
      </c>
      <c r="V31" s="49" t="b">
        <f>'0_Configuration'!$C$29</f>
        <v>1</v>
      </c>
      <c r="W31" s="2" t="s">
        <v>344</v>
      </c>
      <c r="X31" s="2" t="str">
        <f>IF(Tab_Def_Flows[[#This Row],[ODYM_time_(t)]],"t,","")&amp;IF(Tab_Def_Flows[[#This Row],[ODYM_Region_(r)]],"r,","")&amp;IF(Tab_Def_Flows[[#This Row],[ODYM_process_(p)]],"p,","")&amp;IF(Tab_Def_Flows[[#This Row],[ODYM_Good_(g)2]],"g,","")&amp;IF(Tab_Def_Flows[[#This Row],[ODYM_material_(m)]],"m,","")&amp;IF(Tab_Def_Flows[[#This Row],[ODYM_element_(e)]],"e","")</f>
        <v>t,e</v>
      </c>
      <c r="Y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2" t="b">
        <v>0</v>
      </c>
      <c r="B32" s="12" t="s">
        <v>45</v>
      </c>
      <c r="C32" s="2" t="str">
        <f t="shared" si="0"/>
        <v>30</v>
      </c>
      <c r="D32" s="3"/>
      <c r="E32" s="3"/>
      <c r="F32" s="3"/>
      <c r="G32" s="9"/>
      <c r="H32" s="18"/>
      <c r="I32" s="18"/>
      <c r="J32" s="18"/>
      <c r="K32" s="18"/>
      <c r="L32" s="49" t="b">
        <f>'0_Configuration'!$C$2</f>
        <v>1</v>
      </c>
      <c r="M32" s="2" t="s">
        <v>344</v>
      </c>
      <c r="N32" s="49" t="b">
        <f>'0_Configuration'!$C$6</f>
        <v>0</v>
      </c>
      <c r="O32" s="2" t="s">
        <v>344</v>
      </c>
      <c r="P32" s="49" t="b">
        <f>'0_Configuration'!$C$10</f>
        <v>0</v>
      </c>
      <c r="Q32" s="2" t="s">
        <v>344</v>
      </c>
      <c r="R32" s="49" t="b">
        <f>'0_Configuration'!$C$17</f>
        <v>0</v>
      </c>
      <c r="S32" s="2">
        <f>_xlfn.XLOOKUP(Tab_Def_Flows[[#This Row],[ODYM_Good_Type]],Tab_Configuration[Value],Tab_Configuration[ODYM_ID],,0,)</f>
        <v>0</v>
      </c>
      <c r="T32" s="49" t="b">
        <f>'0_Configuration'!$C$24</f>
        <v>0</v>
      </c>
      <c r="U32" s="2" t="s">
        <v>344</v>
      </c>
      <c r="V32" s="49" t="b">
        <f>'0_Configuration'!$C$29</f>
        <v>1</v>
      </c>
      <c r="W32" s="2" t="s">
        <v>344</v>
      </c>
      <c r="X32" s="2" t="str">
        <f>IF(Tab_Def_Flows[[#This Row],[ODYM_time_(t)]],"t,","")&amp;IF(Tab_Def_Flows[[#This Row],[ODYM_Region_(r)]],"r,","")&amp;IF(Tab_Def_Flows[[#This Row],[ODYM_process_(p)]],"p,","")&amp;IF(Tab_Def_Flows[[#This Row],[ODYM_Good_(g)2]],"g,","")&amp;IF(Tab_Def_Flows[[#This Row],[ODYM_material_(m)]],"m,","")&amp;IF(Tab_Def_Flows[[#This Row],[ODYM_element_(e)]],"e","")</f>
        <v>t,e</v>
      </c>
      <c r="Y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2" t="b">
        <v>0</v>
      </c>
      <c r="B33" s="12" t="s">
        <v>46</v>
      </c>
      <c r="C33" s="2" t="str">
        <f t="shared" si="0"/>
        <v>31</v>
      </c>
      <c r="D33" s="3"/>
      <c r="E33" s="3"/>
      <c r="F33" s="3"/>
      <c r="G33" s="9"/>
      <c r="H33" s="18"/>
      <c r="I33" s="18"/>
      <c r="J33" s="18"/>
      <c r="K33" s="18"/>
      <c r="L33" s="49" t="b">
        <f>'0_Configuration'!$C$2</f>
        <v>1</v>
      </c>
      <c r="M33" s="2" t="s">
        <v>344</v>
      </c>
      <c r="N33" s="49" t="b">
        <f>'0_Configuration'!$C$6</f>
        <v>0</v>
      </c>
      <c r="O33" s="2" t="s">
        <v>344</v>
      </c>
      <c r="P33" s="49" t="b">
        <f>'0_Configuration'!$C$10</f>
        <v>0</v>
      </c>
      <c r="Q33" s="2" t="s">
        <v>344</v>
      </c>
      <c r="R33" s="49" t="b">
        <f>'0_Configuration'!$C$17</f>
        <v>0</v>
      </c>
      <c r="S33" s="2">
        <f>_xlfn.XLOOKUP(Tab_Def_Flows[[#This Row],[ODYM_Good_Type]],Tab_Configuration[Value],Tab_Configuration[ODYM_ID],,0,)</f>
        <v>0</v>
      </c>
      <c r="T33" s="49" t="b">
        <f>'0_Configuration'!$C$24</f>
        <v>0</v>
      </c>
      <c r="U33" s="2" t="s">
        <v>344</v>
      </c>
      <c r="V33" s="49" t="b">
        <f>'0_Configuration'!$C$29</f>
        <v>1</v>
      </c>
      <c r="W33" s="2" t="s">
        <v>344</v>
      </c>
      <c r="X33" s="2" t="str">
        <f>IF(Tab_Def_Flows[[#This Row],[ODYM_time_(t)]],"t,","")&amp;IF(Tab_Def_Flows[[#This Row],[ODYM_Region_(r)]],"r,","")&amp;IF(Tab_Def_Flows[[#This Row],[ODYM_process_(p)]],"p,","")&amp;IF(Tab_Def_Flows[[#This Row],[ODYM_Good_(g)2]],"g,","")&amp;IF(Tab_Def_Flows[[#This Row],[ODYM_material_(m)]],"m,","")&amp;IF(Tab_Def_Flows[[#This Row],[ODYM_element_(e)]],"e","")</f>
        <v>t,e</v>
      </c>
      <c r="Y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2" t="b">
        <v>0</v>
      </c>
      <c r="B34" s="12" t="s">
        <v>47</v>
      </c>
      <c r="C34" s="2" t="str">
        <f t="shared" si="0"/>
        <v>32</v>
      </c>
      <c r="D34" s="3"/>
      <c r="E34" s="3"/>
      <c r="F34" s="3"/>
      <c r="G34" s="9"/>
      <c r="H34" s="18"/>
      <c r="I34" s="18"/>
      <c r="J34" s="18"/>
      <c r="K34" s="18"/>
      <c r="L34" s="49" t="b">
        <f>'0_Configuration'!$C$2</f>
        <v>1</v>
      </c>
      <c r="M34" s="2" t="s">
        <v>344</v>
      </c>
      <c r="N34" s="49" t="b">
        <f>'0_Configuration'!$C$6</f>
        <v>0</v>
      </c>
      <c r="O34" s="2" t="s">
        <v>344</v>
      </c>
      <c r="P34" s="49" t="b">
        <f>'0_Configuration'!$C$10</f>
        <v>0</v>
      </c>
      <c r="Q34" s="2" t="s">
        <v>344</v>
      </c>
      <c r="R34" s="49" t="b">
        <f>'0_Configuration'!$C$17</f>
        <v>0</v>
      </c>
      <c r="S34" s="2">
        <f>_xlfn.XLOOKUP(Tab_Def_Flows[[#This Row],[ODYM_Good_Type]],Tab_Configuration[Value],Tab_Configuration[ODYM_ID],,0,)</f>
        <v>0</v>
      </c>
      <c r="T34" s="49" t="b">
        <f>'0_Configuration'!$C$24</f>
        <v>0</v>
      </c>
      <c r="U34" s="2" t="s">
        <v>344</v>
      </c>
      <c r="V34" s="49" t="b">
        <f>'0_Configuration'!$C$29</f>
        <v>1</v>
      </c>
      <c r="W34" s="2" t="s">
        <v>344</v>
      </c>
      <c r="X34" s="2" t="str">
        <f>IF(Tab_Def_Flows[[#This Row],[ODYM_time_(t)]],"t,","")&amp;IF(Tab_Def_Flows[[#This Row],[ODYM_Region_(r)]],"r,","")&amp;IF(Tab_Def_Flows[[#This Row],[ODYM_process_(p)]],"p,","")&amp;IF(Tab_Def_Flows[[#This Row],[ODYM_Good_(g)2]],"g,","")&amp;IF(Tab_Def_Flows[[#This Row],[ODYM_material_(m)]],"m,","")&amp;IF(Tab_Def_Flows[[#This Row],[ODYM_element_(e)]],"e","")</f>
        <v>t,e</v>
      </c>
      <c r="Y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2" t="b">
        <v>0</v>
      </c>
      <c r="B35" s="12" t="s">
        <v>48</v>
      </c>
      <c r="C35" s="2" t="str">
        <f t="shared" si="0"/>
        <v>33</v>
      </c>
      <c r="D35" s="3"/>
      <c r="E35" s="3"/>
      <c r="F35" s="3"/>
      <c r="G35" s="9"/>
      <c r="H35" s="18"/>
      <c r="I35" s="18"/>
      <c r="J35" s="18"/>
      <c r="K35" s="18"/>
      <c r="L35" s="49" t="b">
        <f>'0_Configuration'!$C$2</f>
        <v>1</v>
      </c>
      <c r="M35" s="2" t="s">
        <v>344</v>
      </c>
      <c r="N35" s="49" t="b">
        <f>'0_Configuration'!$C$6</f>
        <v>0</v>
      </c>
      <c r="O35" s="2" t="s">
        <v>344</v>
      </c>
      <c r="P35" s="49" t="b">
        <f>'0_Configuration'!$C$10</f>
        <v>0</v>
      </c>
      <c r="Q35" s="2" t="s">
        <v>344</v>
      </c>
      <c r="R35" s="49" t="b">
        <f>'0_Configuration'!$C$17</f>
        <v>0</v>
      </c>
      <c r="S35" s="2">
        <f>_xlfn.XLOOKUP(Tab_Def_Flows[[#This Row],[ODYM_Good_Type]],Tab_Configuration[Value],Tab_Configuration[ODYM_ID],,0,)</f>
        <v>0</v>
      </c>
      <c r="T35" s="49" t="b">
        <f>'0_Configuration'!$C$24</f>
        <v>0</v>
      </c>
      <c r="U35" s="2" t="s">
        <v>344</v>
      </c>
      <c r="V35" s="49" t="b">
        <f>'0_Configuration'!$C$29</f>
        <v>1</v>
      </c>
      <c r="W35" s="2" t="s">
        <v>344</v>
      </c>
      <c r="X35" s="2" t="str">
        <f>IF(Tab_Def_Flows[[#This Row],[ODYM_time_(t)]],"t,","")&amp;IF(Tab_Def_Flows[[#This Row],[ODYM_Region_(r)]],"r,","")&amp;IF(Tab_Def_Flows[[#This Row],[ODYM_process_(p)]],"p,","")&amp;IF(Tab_Def_Flows[[#This Row],[ODYM_Good_(g)2]],"g,","")&amp;IF(Tab_Def_Flows[[#This Row],[ODYM_material_(m)]],"m,","")&amp;IF(Tab_Def_Flows[[#This Row],[ODYM_element_(e)]],"e","")</f>
        <v>t,e</v>
      </c>
      <c r="Y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2" t="b">
        <v>0</v>
      </c>
      <c r="B36" s="12" t="s">
        <v>49</v>
      </c>
      <c r="C36" s="2" t="str">
        <f t="shared" si="0"/>
        <v>34</v>
      </c>
      <c r="D36" s="3"/>
      <c r="E36" s="3"/>
      <c r="F36" s="3"/>
      <c r="G36" s="9"/>
      <c r="H36" s="18"/>
      <c r="I36" s="18"/>
      <c r="J36" s="18"/>
      <c r="K36" s="18"/>
      <c r="L36" s="49" t="b">
        <f>'0_Configuration'!$C$2</f>
        <v>1</v>
      </c>
      <c r="M36" s="2" t="s">
        <v>344</v>
      </c>
      <c r="N36" s="49" t="b">
        <f>'0_Configuration'!$C$6</f>
        <v>0</v>
      </c>
      <c r="O36" s="2" t="s">
        <v>344</v>
      </c>
      <c r="P36" s="49" t="b">
        <f>'0_Configuration'!$C$10</f>
        <v>0</v>
      </c>
      <c r="Q36" s="2" t="s">
        <v>344</v>
      </c>
      <c r="R36" s="49" t="b">
        <f>'0_Configuration'!$C$17</f>
        <v>0</v>
      </c>
      <c r="S36" s="2">
        <f>_xlfn.XLOOKUP(Tab_Def_Flows[[#This Row],[ODYM_Good_Type]],Tab_Configuration[Value],Tab_Configuration[ODYM_ID],,0,)</f>
        <v>0</v>
      </c>
      <c r="T36" s="49" t="b">
        <f>'0_Configuration'!$C$24</f>
        <v>0</v>
      </c>
      <c r="U36" s="2" t="s">
        <v>344</v>
      </c>
      <c r="V36" s="49" t="b">
        <f>'0_Configuration'!$C$29</f>
        <v>1</v>
      </c>
      <c r="W36" s="2" t="s">
        <v>344</v>
      </c>
      <c r="X36" s="2" t="str">
        <f>IF(Tab_Def_Flows[[#This Row],[ODYM_time_(t)]],"t,","")&amp;IF(Tab_Def_Flows[[#This Row],[ODYM_Region_(r)]],"r,","")&amp;IF(Tab_Def_Flows[[#This Row],[ODYM_process_(p)]],"p,","")&amp;IF(Tab_Def_Flows[[#This Row],[ODYM_Good_(g)2]],"g,","")&amp;IF(Tab_Def_Flows[[#This Row],[ODYM_material_(m)]],"m,","")&amp;IF(Tab_Def_Flows[[#This Row],[ODYM_element_(e)]],"e","")</f>
        <v>t,e</v>
      </c>
      <c r="Y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2" t="b">
        <v>0</v>
      </c>
      <c r="B37" s="12" t="s">
        <v>50</v>
      </c>
      <c r="C37" s="2" t="str">
        <f t="shared" si="0"/>
        <v>35</v>
      </c>
      <c r="D37" s="3"/>
      <c r="E37" s="3"/>
      <c r="F37" s="3"/>
      <c r="G37" s="9"/>
      <c r="H37" s="18"/>
      <c r="I37" s="18"/>
      <c r="J37" s="18"/>
      <c r="K37" s="18"/>
      <c r="L37" s="49" t="b">
        <f>'0_Configuration'!$C$2</f>
        <v>1</v>
      </c>
      <c r="M37" s="2" t="s">
        <v>344</v>
      </c>
      <c r="N37" s="49" t="b">
        <f>'0_Configuration'!$C$6</f>
        <v>0</v>
      </c>
      <c r="O37" s="2" t="s">
        <v>344</v>
      </c>
      <c r="P37" s="49" t="b">
        <f>'0_Configuration'!$C$10</f>
        <v>0</v>
      </c>
      <c r="Q37" s="2" t="s">
        <v>344</v>
      </c>
      <c r="R37" s="49" t="b">
        <f>'0_Configuration'!$C$17</f>
        <v>0</v>
      </c>
      <c r="S37" s="2">
        <f>_xlfn.XLOOKUP(Tab_Def_Flows[[#This Row],[ODYM_Good_Type]],Tab_Configuration[Value],Tab_Configuration[ODYM_ID],,0,)</f>
        <v>0</v>
      </c>
      <c r="T37" s="49" t="b">
        <f>'0_Configuration'!$C$24</f>
        <v>0</v>
      </c>
      <c r="U37" s="2" t="s">
        <v>344</v>
      </c>
      <c r="V37" s="49" t="b">
        <f>'0_Configuration'!$C$29</f>
        <v>1</v>
      </c>
      <c r="W37" s="2" t="s">
        <v>344</v>
      </c>
      <c r="X37" s="2" t="str">
        <f>IF(Tab_Def_Flows[[#This Row],[ODYM_time_(t)]],"t,","")&amp;IF(Tab_Def_Flows[[#This Row],[ODYM_Region_(r)]],"r,","")&amp;IF(Tab_Def_Flows[[#This Row],[ODYM_process_(p)]],"p,","")&amp;IF(Tab_Def_Flows[[#This Row],[ODYM_Good_(g)2]],"g,","")&amp;IF(Tab_Def_Flows[[#This Row],[ODYM_material_(m)]],"m,","")&amp;IF(Tab_Def_Flows[[#This Row],[ODYM_element_(e)]],"e","")</f>
        <v>t,e</v>
      </c>
      <c r="Y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2" t="b">
        <v>0</v>
      </c>
      <c r="B38" s="12" t="s">
        <v>51</v>
      </c>
      <c r="C38" s="2" t="str">
        <f t="shared" si="0"/>
        <v>36</v>
      </c>
      <c r="D38" s="3"/>
      <c r="E38" s="3"/>
      <c r="F38" s="3"/>
      <c r="G38" s="9"/>
      <c r="H38" s="18"/>
      <c r="I38" s="18"/>
      <c r="J38" s="18"/>
      <c r="K38" s="18"/>
      <c r="L38" s="49" t="b">
        <f>'0_Configuration'!$C$2</f>
        <v>1</v>
      </c>
      <c r="M38" s="2" t="s">
        <v>344</v>
      </c>
      <c r="N38" s="49" t="b">
        <f>'0_Configuration'!$C$6</f>
        <v>0</v>
      </c>
      <c r="O38" s="2" t="s">
        <v>344</v>
      </c>
      <c r="P38" s="49" t="b">
        <f>'0_Configuration'!$C$10</f>
        <v>0</v>
      </c>
      <c r="Q38" s="2" t="s">
        <v>344</v>
      </c>
      <c r="R38" s="49" t="b">
        <f>'0_Configuration'!$C$17</f>
        <v>0</v>
      </c>
      <c r="S38" s="2">
        <f>_xlfn.XLOOKUP(Tab_Def_Flows[[#This Row],[ODYM_Good_Type]],Tab_Configuration[Value],Tab_Configuration[ODYM_ID],,0,)</f>
        <v>0</v>
      </c>
      <c r="T38" s="49" t="b">
        <f>'0_Configuration'!$C$24</f>
        <v>0</v>
      </c>
      <c r="U38" s="2" t="s">
        <v>344</v>
      </c>
      <c r="V38" s="49" t="b">
        <f>'0_Configuration'!$C$29</f>
        <v>1</v>
      </c>
      <c r="W38" s="2" t="s">
        <v>344</v>
      </c>
      <c r="X38" s="2" t="str">
        <f>IF(Tab_Def_Flows[[#This Row],[ODYM_time_(t)]],"t,","")&amp;IF(Tab_Def_Flows[[#This Row],[ODYM_Region_(r)]],"r,","")&amp;IF(Tab_Def_Flows[[#This Row],[ODYM_process_(p)]],"p,","")&amp;IF(Tab_Def_Flows[[#This Row],[ODYM_Good_(g)2]],"g,","")&amp;IF(Tab_Def_Flows[[#This Row],[ODYM_material_(m)]],"m,","")&amp;IF(Tab_Def_Flows[[#This Row],[ODYM_element_(e)]],"e","")</f>
        <v>t,e</v>
      </c>
      <c r="Y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2" t="b">
        <v>0</v>
      </c>
      <c r="B39" s="12" t="s">
        <v>52</v>
      </c>
      <c r="C39" s="2" t="str">
        <f t="shared" si="0"/>
        <v>37</v>
      </c>
      <c r="D39" s="3"/>
      <c r="E39" s="3"/>
      <c r="F39" s="3"/>
      <c r="G39" s="9"/>
      <c r="H39" s="18"/>
      <c r="I39" s="18"/>
      <c r="J39" s="18"/>
      <c r="K39" s="18"/>
      <c r="L39" s="49" t="b">
        <f>'0_Configuration'!$C$2</f>
        <v>1</v>
      </c>
      <c r="M39" s="2" t="s">
        <v>344</v>
      </c>
      <c r="N39" s="49" t="b">
        <f>'0_Configuration'!$C$6</f>
        <v>0</v>
      </c>
      <c r="O39" s="2" t="s">
        <v>344</v>
      </c>
      <c r="P39" s="49" t="b">
        <f>'0_Configuration'!$C$10</f>
        <v>0</v>
      </c>
      <c r="Q39" s="2" t="s">
        <v>344</v>
      </c>
      <c r="R39" s="49" t="b">
        <f>'0_Configuration'!$C$17</f>
        <v>0</v>
      </c>
      <c r="S39" s="2">
        <f>_xlfn.XLOOKUP(Tab_Def_Flows[[#This Row],[ODYM_Good_Type]],Tab_Configuration[Value],Tab_Configuration[ODYM_ID],,0,)</f>
        <v>0</v>
      </c>
      <c r="T39" s="49" t="b">
        <f>'0_Configuration'!$C$24</f>
        <v>0</v>
      </c>
      <c r="U39" s="2" t="s">
        <v>344</v>
      </c>
      <c r="V39" s="49" t="b">
        <f>'0_Configuration'!$C$29</f>
        <v>1</v>
      </c>
      <c r="W39" s="2" t="s">
        <v>344</v>
      </c>
      <c r="X39" s="2" t="str">
        <f>IF(Tab_Def_Flows[[#This Row],[ODYM_time_(t)]],"t,","")&amp;IF(Tab_Def_Flows[[#This Row],[ODYM_Region_(r)]],"r,","")&amp;IF(Tab_Def_Flows[[#This Row],[ODYM_process_(p)]],"p,","")&amp;IF(Tab_Def_Flows[[#This Row],[ODYM_Good_(g)2]],"g,","")&amp;IF(Tab_Def_Flows[[#This Row],[ODYM_material_(m)]],"m,","")&amp;IF(Tab_Def_Flows[[#This Row],[ODYM_element_(e)]],"e","")</f>
        <v>t,e</v>
      </c>
      <c r="Y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2" t="b">
        <v>0</v>
      </c>
      <c r="B40" s="12" t="s">
        <v>53</v>
      </c>
      <c r="C40" s="2" t="str">
        <f t="shared" si="0"/>
        <v>38</v>
      </c>
      <c r="D40" s="3"/>
      <c r="E40" s="3"/>
      <c r="F40" s="3"/>
      <c r="G40" s="9"/>
      <c r="H40" s="18"/>
      <c r="I40" s="18"/>
      <c r="J40" s="18"/>
      <c r="K40" s="18"/>
      <c r="L40" s="49" t="b">
        <f>'0_Configuration'!$C$2</f>
        <v>1</v>
      </c>
      <c r="M40" s="2" t="s">
        <v>344</v>
      </c>
      <c r="N40" s="49" t="b">
        <f>'0_Configuration'!$C$6</f>
        <v>0</v>
      </c>
      <c r="O40" s="2" t="s">
        <v>344</v>
      </c>
      <c r="P40" s="49" t="b">
        <f>'0_Configuration'!$C$10</f>
        <v>0</v>
      </c>
      <c r="Q40" s="2" t="s">
        <v>344</v>
      </c>
      <c r="R40" s="49" t="b">
        <f>'0_Configuration'!$C$17</f>
        <v>0</v>
      </c>
      <c r="S40" s="2">
        <f>_xlfn.XLOOKUP(Tab_Def_Flows[[#This Row],[ODYM_Good_Type]],Tab_Configuration[Value],Tab_Configuration[ODYM_ID],,0,)</f>
        <v>0</v>
      </c>
      <c r="T40" s="49" t="b">
        <f>'0_Configuration'!$C$24</f>
        <v>0</v>
      </c>
      <c r="U40" s="2" t="s">
        <v>344</v>
      </c>
      <c r="V40" s="49" t="b">
        <f>'0_Configuration'!$C$29</f>
        <v>1</v>
      </c>
      <c r="W40" s="2" t="s">
        <v>344</v>
      </c>
      <c r="X40" s="2" t="str">
        <f>IF(Tab_Def_Flows[[#This Row],[ODYM_time_(t)]],"t,","")&amp;IF(Tab_Def_Flows[[#This Row],[ODYM_Region_(r)]],"r,","")&amp;IF(Tab_Def_Flows[[#This Row],[ODYM_process_(p)]],"p,","")&amp;IF(Tab_Def_Flows[[#This Row],[ODYM_Good_(g)2]],"g,","")&amp;IF(Tab_Def_Flows[[#This Row],[ODYM_material_(m)]],"m,","")&amp;IF(Tab_Def_Flows[[#This Row],[ODYM_element_(e)]],"e","")</f>
        <v>t,e</v>
      </c>
      <c r="Y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2" t="b">
        <v>0</v>
      </c>
      <c r="B41" s="12" t="s">
        <v>54</v>
      </c>
      <c r="C41" s="2" t="str">
        <f t="shared" si="0"/>
        <v>39</v>
      </c>
      <c r="D41" s="3"/>
      <c r="E41" s="3"/>
      <c r="F41" s="3"/>
      <c r="G41" s="9"/>
      <c r="H41" s="18"/>
      <c r="I41" s="18"/>
      <c r="J41" s="18"/>
      <c r="K41" s="18"/>
      <c r="L41" s="49" t="b">
        <f>'0_Configuration'!$C$2</f>
        <v>1</v>
      </c>
      <c r="M41" s="2" t="s">
        <v>344</v>
      </c>
      <c r="N41" s="49" t="b">
        <f>'0_Configuration'!$C$6</f>
        <v>0</v>
      </c>
      <c r="O41" s="2" t="s">
        <v>344</v>
      </c>
      <c r="P41" s="49" t="b">
        <f>'0_Configuration'!$C$10</f>
        <v>0</v>
      </c>
      <c r="Q41" s="2" t="s">
        <v>344</v>
      </c>
      <c r="R41" s="49" t="b">
        <f>'0_Configuration'!$C$17</f>
        <v>0</v>
      </c>
      <c r="S41" s="2">
        <f>_xlfn.XLOOKUP(Tab_Def_Flows[[#This Row],[ODYM_Good_Type]],Tab_Configuration[Value],Tab_Configuration[ODYM_ID],,0,)</f>
        <v>0</v>
      </c>
      <c r="T41" s="49" t="b">
        <f>'0_Configuration'!$C$24</f>
        <v>0</v>
      </c>
      <c r="U41" s="2" t="s">
        <v>344</v>
      </c>
      <c r="V41" s="49" t="b">
        <f>'0_Configuration'!$C$29</f>
        <v>1</v>
      </c>
      <c r="W41" s="2" t="s">
        <v>344</v>
      </c>
      <c r="X41" s="2" t="str">
        <f>IF(Tab_Def_Flows[[#This Row],[ODYM_time_(t)]],"t,","")&amp;IF(Tab_Def_Flows[[#This Row],[ODYM_Region_(r)]],"r,","")&amp;IF(Tab_Def_Flows[[#This Row],[ODYM_process_(p)]],"p,","")&amp;IF(Tab_Def_Flows[[#This Row],[ODYM_Good_(g)2]],"g,","")&amp;IF(Tab_Def_Flows[[#This Row],[ODYM_material_(m)]],"m,","")&amp;IF(Tab_Def_Flows[[#This Row],[ODYM_element_(e)]],"e","")</f>
        <v>t,e</v>
      </c>
      <c r="Y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2" t="b">
        <v>0</v>
      </c>
      <c r="B42" s="12" t="s">
        <v>55</v>
      </c>
      <c r="C42" s="2" t="str">
        <f t="shared" si="0"/>
        <v>40</v>
      </c>
      <c r="D42" s="3"/>
      <c r="E42" s="3"/>
      <c r="F42" s="3"/>
      <c r="G42" s="9"/>
      <c r="H42" s="18"/>
      <c r="I42" s="18"/>
      <c r="J42" s="18"/>
      <c r="K42" s="18"/>
      <c r="L42" s="49" t="b">
        <f>'0_Configuration'!$C$2</f>
        <v>1</v>
      </c>
      <c r="M42" s="2" t="s">
        <v>344</v>
      </c>
      <c r="N42" s="49" t="b">
        <f>'0_Configuration'!$C$6</f>
        <v>0</v>
      </c>
      <c r="O42" s="2" t="s">
        <v>344</v>
      </c>
      <c r="P42" s="49" t="b">
        <f>'0_Configuration'!$C$10</f>
        <v>0</v>
      </c>
      <c r="Q42" s="2" t="s">
        <v>344</v>
      </c>
      <c r="R42" s="49" t="b">
        <f>'0_Configuration'!$C$17</f>
        <v>0</v>
      </c>
      <c r="S42" s="2">
        <f>_xlfn.XLOOKUP(Tab_Def_Flows[[#This Row],[ODYM_Good_Type]],Tab_Configuration[Value],Tab_Configuration[ODYM_ID],,0,)</f>
        <v>0</v>
      </c>
      <c r="T42" s="49" t="b">
        <f>'0_Configuration'!$C$24</f>
        <v>0</v>
      </c>
      <c r="U42" s="2" t="s">
        <v>344</v>
      </c>
      <c r="V42" s="49" t="b">
        <f>'0_Configuration'!$C$29</f>
        <v>1</v>
      </c>
      <c r="W42" s="2" t="s">
        <v>344</v>
      </c>
      <c r="X42" s="2" t="str">
        <f>IF(Tab_Def_Flows[[#This Row],[ODYM_time_(t)]],"t,","")&amp;IF(Tab_Def_Flows[[#This Row],[ODYM_Region_(r)]],"r,","")&amp;IF(Tab_Def_Flows[[#This Row],[ODYM_process_(p)]],"p,","")&amp;IF(Tab_Def_Flows[[#This Row],[ODYM_Good_(g)2]],"g,","")&amp;IF(Tab_Def_Flows[[#This Row],[ODYM_material_(m)]],"m,","")&amp;IF(Tab_Def_Flows[[#This Row],[ODYM_element_(e)]],"e","")</f>
        <v>t,e</v>
      </c>
      <c r="Y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2" t="b">
        <v>0</v>
      </c>
      <c r="B43" s="12" t="s">
        <v>56</v>
      </c>
      <c r="C43" s="2" t="str">
        <f t="shared" si="0"/>
        <v>41</v>
      </c>
      <c r="D43" s="3"/>
      <c r="E43" s="3"/>
      <c r="F43" s="3"/>
      <c r="G43" s="9"/>
      <c r="H43" s="18"/>
      <c r="I43" s="18"/>
      <c r="J43" s="18"/>
      <c r="K43" s="18"/>
      <c r="L43" s="49" t="b">
        <f>'0_Configuration'!$C$2</f>
        <v>1</v>
      </c>
      <c r="M43" s="2" t="s">
        <v>344</v>
      </c>
      <c r="N43" s="49" t="b">
        <f>'0_Configuration'!$C$6</f>
        <v>0</v>
      </c>
      <c r="O43" s="2" t="s">
        <v>344</v>
      </c>
      <c r="P43" s="49" t="b">
        <f>'0_Configuration'!$C$10</f>
        <v>0</v>
      </c>
      <c r="Q43" s="2" t="s">
        <v>344</v>
      </c>
      <c r="R43" s="49" t="b">
        <f>'0_Configuration'!$C$17</f>
        <v>0</v>
      </c>
      <c r="S43" s="2">
        <f>_xlfn.XLOOKUP(Tab_Def_Flows[[#This Row],[ODYM_Good_Type]],Tab_Configuration[Value],Tab_Configuration[ODYM_ID],,0,)</f>
        <v>0</v>
      </c>
      <c r="T43" s="49" t="b">
        <f>'0_Configuration'!$C$24</f>
        <v>0</v>
      </c>
      <c r="U43" s="2" t="s">
        <v>344</v>
      </c>
      <c r="V43" s="49" t="b">
        <f>'0_Configuration'!$C$29</f>
        <v>1</v>
      </c>
      <c r="W43" s="2" t="s">
        <v>344</v>
      </c>
      <c r="X43" s="2" t="str">
        <f>IF(Tab_Def_Flows[[#This Row],[ODYM_time_(t)]],"t,","")&amp;IF(Tab_Def_Flows[[#This Row],[ODYM_Region_(r)]],"r,","")&amp;IF(Tab_Def_Flows[[#This Row],[ODYM_process_(p)]],"p,","")&amp;IF(Tab_Def_Flows[[#This Row],[ODYM_Good_(g)2]],"g,","")&amp;IF(Tab_Def_Flows[[#This Row],[ODYM_material_(m)]],"m,","")&amp;IF(Tab_Def_Flows[[#This Row],[ODYM_element_(e)]],"e","")</f>
        <v>t,e</v>
      </c>
      <c r="Y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2" t="b">
        <v>0</v>
      </c>
      <c r="B44" s="12" t="s">
        <v>57</v>
      </c>
      <c r="C44" s="2" t="str">
        <f t="shared" si="0"/>
        <v>42</v>
      </c>
      <c r="D44" s="3"/>
      <c r="E44" s="3"/>
      <c r="F44" s="3"/>
      <c r="G44" s="9"/>
      <c r="H44" s="18"/>
      <c r="I44" s="18"/>
      <c r="J44" s="18"/>
      <c r="K44" s="18"/>
      <c r="L44" s="49" t="b">
        <f>'0_Configuration'!$C$2</f>
        <v>1</v>
      </c>
      <c r="M44" s="2" t="s">
        <v>344</v>
      </c>
      <c r="N44" s="49" t="b">
        <f>'0_Configuration'!$C$6</f>
        <v>0</v>
      </c>
      <c r="O44" s="2" t="s">
        <v>344</v>
      </c>
      <c r="P44" s="49" t="b">
        <f>'0_Configuration'!$C$10</f>
        <v>0</v>
      </c>
      <c r="Q44" s="2" t="s">
        <v>344</v>
      </c>
      <c r="R44" s="49" t="b">
        <f>'0_Configuration'!$C$17</f>
        <v>0</v>
      </c>
      <c r="S44" s="2">
        <f>_xlfn.XLOOKUP(Tab_Def_Flows[[#This Row],[ODYM_Good_Type]],Tab_Configuration[Value],Tab_Configuration[ODYM_ID],,0,)</f>
        <v>0</v>
      </c>
      <c r="T44" s="49" t="b">
        <f>'0_Configuration'!$C$24</f>
        <v>0</v>
      </c>
      <c r="U44" s="2" t="s">
        <v>344</v>
      </c>
      <c r="V44" s="49" t="b">
        <f>'0_Configuration'!$C$29</f>
        <v>1</v>
      </c>
      <c r="W44" s="2" t="s">
        <v>344</v>
      </c>
      <c r="X44" s="2" t="str">
        <f>IF(Tab_Def_Flows[[#This Row],[ODYM_time_(t)]],"t,","")&amp;IF(Tab_Def_Flows[[#This Row],[ODYM_Region_(r)]],"r,","")&amp;IF(Tab_Def_Flows[[#This Row],[ODYM_process_(p)]],"p,","")&amp;IF(Tab_Def_Flows[[#This Row],[ODYM_Good_(g)2]],"g,","")&amp;IF(Tab_Def_Flows[[#This Row],[ODYM_material_(m)]],"m,","")&amp;IF(Tab_Def_Flows[[#This Row],[ODYM_element_(e)]],"e","")</f>
        <v>t,e</v>
      </c>
      <c r="Y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2" t="b">
        <v>0</v>
      </c>
      <c r="B45" s="12" t="s">
        <v>58</v>
      </c>
      <c r="C45" s="2" t="str">
        <f t="shared" si="0"/>
        <v>43</v>
      </c>
      <c r="D45" s="3"/>
      <c r="E45" s="3"/>
      <c r="F45" s="3"/>
      <c r="G45" s="9"/>
      <c r="H45" s="18"/>
      <c r="I45" s="18"/>
      <c r="J45" s="18"/>
      <c r="K45" s="18"/>
      <c r="L45" s="49" t="b">
        <f>'0_Configuration'!$C$2</f>
        <v>1</v>
      </c>
      <c r="M45" s="2" t="s">
        <v>344</v>
      </c>
      <c r="N45" s="49" t="b">
        <f>'0_Configuration'!$C$6</f>
        <v>0</v>
      </c>
      <c r="O45" s="2" t="s">
        <v>344</v>
      </c>
      <c r="P45" s="49" t="b">
        <f>'0_Configuration'!$C$10</f>
        <v>0</v>
      </c>
      <c r="Q45" s="2" t="s">
        <v>344</v>
      </c>
      <c r="R45" s="49" t="b">
        <f>'0_Configuration'!$C$17</f>
        <v>0</v>
      </c>
      <c r="S45" s="2">
        <f>_xlfn.XLOOKUP(Tab_Def_Flows[[#This Row],[ODYM_Good_Type]],Tab_Configuration[Value],Tab_Configuration[ODYM_ID],,0,)</f>
        <v>0</v>
      </c>
      <c r="T45" s="49" t="b">
        <f>'0_Configuration'!$C$24</f>
        <v>0</v>
      </c>
      <c r="U45" s="2" t="s">
        <v>344</v>
      </c>
      <c r="V45" s="49" t="b">
        <f>'0_Configuration'!$C$29</f>
        <v>1</v>
      </c>
      <c r="W45" s="2" t="s">
        <v>344</v>
      </c>
      <c r="X45" s="2" t="str">
        <f>IF(Tab_Def_Flows[[#This Row],[ODYM_time_(t)]],"t,","")&amp;IF(Tab_Def_Flows[[#This Row],[ODYM_Region_(r)]],"r,","")&amp;IF(Tab_Def_Flows[[#This Row],[ODYM_process_(p)]],"p,","")&amp;IF(Tab_Def_Flows[[#This Row],[ODYM_Good_(g)2]],"g,","")&amp;IF(Tab_Def_Flows[[#This Row],[ODYM_material_(m)]],"m,","")&amp;IF(Tab_Def_Flows[[#This Row],[ODYM_element_(e)]],"e","")</f>
        <v>t,e</v>
      </c>
      <c r="Y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2" t="b">
        <v>0</v>
      </c>
      <c r="B46" s="12" t="s">
        <v>59</v>
      </c>
      <c r="C46" s="2" t="str">
        <f t="shared" si="0"/>
        <v>44</v>
      </c>
      <c r="D46" s="3"/>
      <c r="E46" s="3"/>
      <c r="F46" s="3"/>
      <c r="G46" s="9"/>
      <c r="H46" s="18"/>
      <c r="I46" s="18"/>
      <c r="J46" s="18"/>
      <c r="K46" s="18"/>
      <c r="L46" s="49" t="b">
        <f>'0_Configuration'!$C$2</f>
        <v>1</v>
      </c>
      <c r="M46" s="2" t="s">
        <v>344</v>
      </c>
      <c r="N46" s="49" t="b">
        <f>'0_Configuration'!$C$6</f>
        <v>0</v>
      </c>
      <c r="O46" s="2" t="s">
        <v>344</v>
      </c>
      <c r="P46" s="49" t="b">
        <f>'0_Configuration'!$C$10</f>
        <v>0</v>
      </c>
      <c r="Q46" s="2" t="s">
        <v>344</v>
      </c>
      <c r="R46" s="49" t="b">
        <f>'0_Configuration'!$C$17</f>
        <v>0</v>
      </c>
      <c r="S46" s="2">
        <f>_xlfn.XLOOKUP(Tab_Def_Flows[[#This Row],[ODYM_Good_Type]],Tab_Configuration[Value],Tab_Configuration[ODYM_ID],,0,)</f>
        <v>0</v>
      </c>
      <c r="T46" s="49" t="b">
        <f>'0_Configuration'!$C$24</f>
        <v>0</v>
      </c>
      <c r="U46" s="2" t="s">
        <v>344</v>
      </c>
      <c r="V46" s="49" t="b">
        <f>'0_Configuration'!$C$29</f>
        <v>1</v>
      </c>
      <c r="W46" s="2" t="s">
        <v>344</v>
      </c>
      <c r="X46" s="2" t="str">
        <f>IF(Tab_Def_Flows[[#This Row],[ODYM_time_(t)]],"t,","")&amp;IF(Tab_Def_Flows[[#This Row],[ODYM_Region_(r)]],"r,","")&amp;IF(Tab_Def_Flows[[#This Row],[ODYM_process_(p)]],"p,","")&amp;IF(Tab_Def_Flows[[#This Row],[ODYM_Good_(g)2]],"g,","")&amp;IF(Tab_Def_Flows[[#This Row],[ODYM_material_(m)]],"m,","")&amp;IF(Tab_Def_Flows[[#This Row],[ODYM_element_(e)]],"e","")</f>
        <v>t,e</v>
      </c>
      <c r="Y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98"/>
  <sheetViews>
    <sheetView zoomScale="115" zoomScaleNormal="115" workbookViewId="0">
      <pane xSplit="4" topLeftCell="AU1" activePane="topRight" state="frozen"/>
      <selection pane="topRight" activeCell="W1" sqref="W1:Z1048576"/>
    </sheetView>
  </sheetViews>
  <sheetFormatPr defaultColWidth="10.85546875" defaultRowHeight="15" outlineLevelCol="1" x14ac:dyDescent="0.25"/>
  <cols>
    <col min="1" max="1" width="12.140625" customWidth="1"/>
    <col min="2" max="2" width="7.140625" customWidth="1"/>
    <col min="3" max="3" width="12.7109375" style="13" customWidth="1"/>
    <col min="4" max="4" width="37.42578125" customWidth="1"/>
    <col min="5" max="5" width="15.5703125" hidden="1" customWidth="1" outlineLevel="1"/>
    <col min="6" max="6" width="13.85546875" hidden="1" customWidth="1" outlineLevel="1"/>
    <col min="7" max="7" width="13.140625" hidden="1" customWidth="1" outlineLevel="1"/>
    <col min="8" max="8" width="16.140625" hidden="1" customWidth="1" outlineLevel="1"/>
    <col min="9" max="9" width="39.85546875" customWidth="1" collapsed="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53.28515625" hidden="1" customWidth="1" outlineLevel="1"/>
    <col min="24" max="24" width="16.140625" hidden="1" customWidth="1" outlineLevel="1"/>
    <col min="25" max="25" width="17.5703125" hidden="1" customWidth="1" outlineLevel="1"/>
    <col min="26" max="26" width="20" hidden="1" customWidth="1" outlineLevel="1"/>
    <col min="27" max="27" width="10.85546875" collapsed="1"/>
  </cols>
  <sheetData>
    <row r="1" spans="1:26" x14ac:dyDescent="0.25">
      <c r="A1" s="21" t="s">
        <v>13</v>
      </c>
      <c r="B1" s="21" t="s">
        <v>4</v>
      </c>
      <c r="C1" s="21" t="s">
        <v>12</v>
      </c>
      <c r="D1" s="77" t="s">
        <v>134</v>
      </c>
      <c r="E1" s="77" t="s">
        <v>121</v>
      </c>
      <c r="F1" s="21" t="s">
        <v>159</v>
      </c>
      <c r="G1" s="21" t="s">
        <v>160</v>
      </c>
      <c r="H1" s="77" t="s">
        <v>172</v>
      </c>
      <c r="I1" s="21" t="s">
        <v>66</v>
      </c>
      <c r="J1" s="21" t="s">
        <v>6</v>
      </c>
      <c r="K1" s="21" t="s">
        <v>388</v>
      </c>
      <c r="L1" s="21" t="s">
        <v>390</v>
      </c>
      <c r="M1" s="21" t="s">
        <v>389</v>
      </c>
      <c r="N1" s="21" t="s">
        <v>391</v>
      </c>
      <c r="O1" s="21" t="s">
        <v>392</v>
      </c>
      <c r="P1" s="21" t="s">
        <v>393</v>
      </c>
      <c r="Q1" s="21" t="s">
        <v>394</v>
      </c>
      <c r="R1" s="21" t="s">
        <v>395</v>
      </c>
      <c r="S1" s="21" t="s">
        <v>396</v>
      </c>
      <c r="T1" s="21" t="s">
        <v>397</v>
      </c>
      <c r="U1" s="21" t="s">
        <v>417</v>
      </c>
      <c r="V1" s="21" t="s">
        <v>418</v>
      </c>
      <c r="W1" s="21" t="s">
        <v>7</v>
      </c>
      <c r="X1" s="21" t="s">
        <v>651</v>
      </c>
      <c r="Y1" s="21" t="s">
        <v>652</v>
      </c>
      <c r="Z1" s="21" t="s">
        <v>653</v>
      </c>
    </row>
    <row r="2" spans="1:26" x14ac:dyDescent="0.25">
      <c r="A2" s="22" t="b">
        <v>0</v>
      </c>
      <c r="B2" s="2">
        <f>ROW()-1</f>
        <v>1</v>
      </c>
      <c r="C2" s="14" t="str">
        <f>_xlfn.XLOOKUP($D2,Tab_Def_Processes[Process_Name],Tab_Def_Processes[ID],,0,)</f>
        <v>00</v>
      </c>
      <c r="D2" s="18"/>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_xlfn.XLOOKUP($D2,Tab_Def_Processes[Process_Name],Tab_Def_Processes[Outflow_count],,0,)</f>
        <v>0</v>
      </c>
      <c r="I2" s="18"/>
      <c r="J2" s="15" t="str">
        <f>_xlfn.XLOOKUP($I2,Tab_Def_Flows[Flow_Name],Tab_Def_Flows[Flow_ID],,0,)</f>
        <v>F_00_00</v>
      </c>
      <c r="K2" s="11" t="str">
        <f>"TC_E1"&amp;"_"&amp;RIGHT(J2,5)</f>
        <v>TC_E1_00_00</v>
      </c>
      <c r="L2" s="20"/>
      <c r="M2" s="2" t="str">
        <f>"TC_E2"&amp;"_"&amp;RIGHT(J2,5)</f>
        <v>TC_E2_00_00</v>
      </c>
      <c r="N2" s="20"/>
      <c r="O2" s="2" t="str">
        <f>"TC_E3"&amp;"_"&amp;RIGHT(J2,5)</f>
        <v>TC_E3_00_00</v>
      </c>
      <c r="P2" s="20"/>
      <c r="Q2" s="2" t="str">
        <f>"TC_E4"&amp;"_"&amp;RIGHT(J2,5)</f>
        <v>TC_E4_00_00</v>
      </c>
      <c r="R2" s="20"/>
      <c r="S2" s="2" t="str">
        <f>"TC_E5"&amp;"_"&amp;RIGHT(J2,5)</f>
        <v>TC_E5_00_00</v>
      </c>
      <c r="T2" s="20"/>
      <c r="U2" s="2" t="str">
        <f>"TC_E6"&amp;"_"&amp;RIGHT(J2,5)</f>
        <v>TC_E6_00_00</v>
      </c>
      <c r="V2" s="20"/>
      <c r="W2" s="9"/>
      <c r="X2" s="9"/>
      <c r="Y2" s="9"/>
      <c r="Z2" s="9"/>
    </row>
    <row r="3" spans="1:26" x14ac:dyDescent="0.25">
      <c r="A3" s="22" t="b">
        <v>0</v>
      </c>
      <c r="B3" s="2">
        <f t="shared" ref="B3:B98" si="0">ROW()-1</f>
        <v>2</v>
      </c>
      <c r="C3" s="14" t="str">
        <f>_xlfn.XLOOKUP($D3,Tab_Def_Processes[Process_Name],Tab_Def_Processes[ID],,0,)</f>
        <v>00</v>
      </c>
      <c r="D3" s="18"/>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_xlfn.XLOOKUP($D3,Tab_Def_Processes[Process_Name],Tab_Def_Processes[Outflow_count],,0,)</f>
        <v>0</v>
      </c>
      <c r="I3" s="18"/>
      <c r="J3" s="15" t="str">
        <f>_xlfn.XLOOKUP($I3,Tab_Def_Flows[Flow_Name],Tab_Def_Flows[Flow_ID],,0,)</f>
        <v>F_00_00</v>
      </c>
      <c r="K3" s="11" t="str">
        <f t="shared" ref="K3:K98" si="1">"TC_E1"&amp;"_"&amp;RIGHT(J3,5)</f>
        <v>TC_E1_00_00</v>
      </c>
      <c r="L3" s="20"/>
      <c r="M3" s="2" t="str">
        <f t="shared" ref="M3:M98" si="2">"TC_E2"&amp;"_"&amp;RIGHT(J3,5)</f>
        <v>TC_E2_00_00</v>
      </c>
      <c r="N3" s="20"/>
      <c r="O3" s="2" t="str">
        <f t="shared" ref="O3:O98" si="3">"TC_E3"&amp;"_"&amp;RIGHT(J3,5)</f>
        <v>TC_E3_00_00</v>
      </c>
      <c r="P3" s="20"/>
      <c r="Q3" s="2" t="str">
        <f t="shared" ref="Q3:Q98" si="4">"TC_E4"&amp;"_"&amp;RIGHT(J3,5)</f>
        <v>TC_E4_00_00</v>
      </c>
      <c r="R3" s="20"/>
      <c r="S3" s="2" t="str">
        <f t="shared" ref="S3:S98" si="5">"TC_E5"&amp;"_"&amp;RIGHT(J3,5)</f>
        <v>TC_E5_00_00</v>
      </c>
      <c r="T3" s="20"/>
      <c r="U3" s="2" t="str">
        <f t="shared" ref="U3:U66" si="6">"TC_E6"&amp;"_"&amp;RIGHT(J3,5)</f>
        <v>TC_E6_00_00</v>
      </c>
      <c r="V3" s="20"/>
      <c r="W3" s="9"/>
      <c r="X3" s="9"/>
      <c r="Y3" s="9"/>
      <c r="Z3" s="9"/>
    </row>
    <row r="4" spans="1:26" x14ac:dyDescent="0.25">
      <c r="A4" s="22" t="b">
        <v>0</v>
      </c>
      <c r="B4" s="2">
        <f t="shared" si="0"/>
        <v>3</v>
      </c>
      <c r="C4" s="14" t="str">
        <f>_xlfn.XLOOKUP($D4,Tab_Def_Processes[Process_Name],Tab_Def_Processes[ID],,0,)</f>
        <v>00</v>
      </c>
      <c r="D4" s="18"/>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_xlfn.XLOOKUP($D4,Tab_Def_Processes[Process_Name],Tab_Def_Processes[Outflow_count],,0,)</f>
        <v>0</v>
      </c>
      <c r="I4" s="18"/>
      <c r="J4" s="15" t="str">
        <f>_xlfn.XLOOKUP($I4,Tab_Def_Flows[Flow_Name],Tab_Def_Flows[Flow_ID],,0,)</f>
        <v>F_00_00</v>
      </c>
      <c r="K4" s="11" t="str">
        <f t="shared" si="1"/>
        <v>TC_E1_00_00</v>
      </c>
      <c r="L4" s="20"/>
      <c r="M4" s="2" t="str">
        <f t="shared" si="2"/>
        <v>TC_E2_00_00</v>
      </c>
      <c r="N4" s="20"/>
      <c r="O4" s="2" t="str">
        <f t="shared" si="3"/>
        <v>TC_E3_00_00</v>
      </c>
      <c r="P4" s="20"/>
      <c r="Q4" s="2" t="str">
        <f t="shared" si="4"/>
        <v>TC_E4_00_00</v>
      </c>
      <c r="R4" s="20"/>
      <c r="S4" s="2" t="str">
        <f t="shared" si="5"/>
        <v>TC_E5_00_00</v>
      </c>
      <c r="T4" s="20"/>
      <c r="U4" s="2" t="str">
        <f t="shared" si="6"/>
        <v>TC_E6_00_00</v>
      </c>
      <c r="V4" s="20"/>
      <c r="W4" s="9"/>
      <c r="X4" s="9"/>
      <c r="Y4" s="9"/>
      <c r="Z4" s="9"/>
    </row>
    <row r="5" spans="1:26" x14ac:dyDescent="0.25">
      <c r="A5" s="22" t="b">
        <v>0</v>
      </c>
      <c r="B5" s="2">
        <f>ROW()-1</f>
        <v>4</v>
      </c>
      <c r="C5" s="14" t="str">
        <f>_xlfn.XLOOKUP($D5,Tab_Def_Processes[Process_Name],Tab_Def_Processes[ID],,0,)</f>
        <v>00</v>
      </c>
      <c r="D5" s="18"/>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_xlfn.XLOOKUP($D5,Tab_Def_Processes[Process_Name],Tab_Def_Processes[Outflow_count],,0,)</f>
        <v>0</v>
      </c>
      <c r="I5" s="18"/>
      <c r="J5" s="15" t="str">
        <f>_xlfn.XLOOKUP($I5,Tab_Def_Flows[Flow_Name],Tab_Def_Flows[Flow_ID],,0,)</f>
        <v>F_00_00</v>
      </c>
      <c r="K5" s="11" t="str">
        <f t="shared" si="1"/>
        <v>TC_E1_00_00</v>
      </c>
      <c r="L5" s="20"/>
      <c r="M5" s="2" t="str">
        <f t="shared" si="2"/>
        <v>TC_E2_00_00</v>
      </c>
      <c r="N5" s="20"/>
      <c r="O5" s="2" t="str">
        <f t="shared" si="3"/>
        <v>TC_E3_00_00</v>
      </c>
      <c r="P5" s="20"/>
      <c r="Q5" s="2" t="str">
        <f t="shared" si="4"/>
        <v>TC_E4_00_00</v>
      </c>
      <c r="R5" s="20"/>
      <c r="S5" s="2" t="str">
        <f t="shared" si="5"/>
        <v>TC_E5_00_00</v>
      </c>
      <c r="T5" s="20"/>
      <c r="U5" s="2" t="str">
        <f t="shared" si="6"/>
        <v>TC_E6_00_00</v>
      </c>
      <c r="V5" s="20"/>
      <c r="W5" s="9"/>
      <c r="X5" s="9"/>
      <c r="Y5" s="9"/>
      <c r="Z5" s="9"/>
    </row>
    <row r="6" spans="1:26" x14ac:dyDescent="0.25">
      <c r="A6" s="22" t="b">
        <v>0</v>
      </c>
      <c r="B6" s="2">
        <f t="shared" si="0"/>
        <v>5</v>
      </c>
      <c r="C6" s="14" t="str">
        <f>_xlfn.XLOOKUP($D6,Tab_Def_Processes[Process_Name],Tab_Def_Processes[ID],,0,)</f>
        <v>00</v>
      </c>
      <c r="D6" s="18"/>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_xlfn.XLOOKUP($D6,Tab_Def_Processes[Process_Name],Tab_Def_Processes[Outflow_count],,0,)</f>
        <v>0</v>
      </c>
      <c r="I6" s="18"/>
      <c r="J6" s="15" t="str">
        <f>_xlfn.XLOOKUP($I6,Tab_Def_Flows[Flow_Name],Tab_Def_Flows[Flow_ID],,0,)</f>
        <v>F_00_00</v>
      </c>
      <c r="K6" s="11" t="str">
        <f t="shared" si="1"/>
        <v>TC_E1_00_00</v>
      </c>
      <c r="L6" s="20"/>
      <c r="M6" s="2" t="str">
        <f t="shared" si="2"/>
        <v>TC_E2_00_00</v>
      </c>
      <c r="N6" s="20"/>
      <c r="O6" s="2" t="str">
        <f t="shared" si="3"/>
        <v>TC_E3_00_00</v>
      </c>
      <c r="P6" s="20"/>
      <c r="Q6" s="2" t="str">
        <f t="shared" si="4"/>
        <v>TC_E4_00_00</v>
      </c>
      <c r="R6" s="20"/>
      <c r="S6" s="2" t="str">
        <f t="shared" si="5"/>
        <v>TC_E5_00_00</v>
      </c>
      <c r="T6" s="20"/>
      <c r="U6" s="2" t="str">
        <f t="shared" si="6"/>
        <v>TC_E6_00_00</v>
      </c>
      <c r="V6" s="20"/>
      <c r="W6" s="9"/>
      <c r="X6" s="9"/>
      <c r="Y6" s="9"/>
      <c r="Z6" s="9"/>
    </row>
    <row r="7" spans="1:26" x14ac:dyDescent="0.25">
      <c r="A7" s="22" t="b">
        <v>0</v>
      </c>
      <c r="B7" s="2">
        <f t="shared" si="0"/>
        <v>6</v>
      </c>
      <c r="C7" s="14" t="str">
        <f>_xlfn.XLOOKUP($D7,Tab_Def_Processes[Process_Name],Tab_Def_Processes[ID],,0,)</f>
        <v>00</v>
      </c>
      <c r="D7" s="18"/>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_xlfn.XLOOKUP($D7,Tab_Def_Processes[Process_Name],Tab_Def_Processes[Outflow_count],,0,)</f>
        <v>0</v>
      </c>
      <c r="I7" s="18"/>
      <c r="J7" s="15" t="str">
        <f>_xlfn.XLOOKUP($I7,Tab_Def_Flows[Flow_Name],Tab_Def_Flows[Flow_ID],,0,)</f>
        <v>F_00_00</v>
      </c>
      <c r="K7" s="11" t="str">
        <f t="shared" si="1"/>
        <v>TC_E1_00_00</v>
      </c>
      <c r="L7" s="20"/>
      <c r="M7" s="2" t="str">
        <f t="shared" si="2"/>
        <v>TC_E2_00_00</v>
      </c>
      <c r="N7" s="20"/>
      <c r="O7" s="2" t="str">
        <f t="shared" si="3"/>
        <v>TC_E3_00_00</v>
      </c>
      <c r="P7" s="20"/>
      <c r="Q7" s="2" t="str">
        <f t="shared" si="4"/>
        <v>TC_E4_00_00</v>
      </c>
      <c r="R7" s="20"/>
      <c r="S7" s="2" t="str">
        <f t="shared" si="5"/>
        <v>TC_E5_00_00</v>
      </c>
      <c r="T7" s="20"/>
      <c r="U7" s="2" t="str">
        <f t="shared" si="6"/>
        <v>TC_E6_00_00</v>
      </c>
      <c r="V7" s="20"/>
      <c r="W7" s="9"/>
      <c r="X7" s="9"/>
      <c r="Y7" s="9"/>
      <c r="Z7" s="9"/>
    </row>
    <row r="8" spans="1:26" x14ac:dyDescent="0.25">
      <c r="A8" s="22" t="b">
        <v>0</v>
      </c>
      <c r="B8" s="2">
        <f t="shared" si="0"/>
        <v>7</v>
      </c>
      <c r="C8" s="14" t="str">
        <f>_xlfn.XLOOKUP($D8,Tab_Def_Processes[Process_Name],Tab_Def_Processes[ID],,0,)</f>
        <v>00</v>
      </c>
      <c r="D8" s="18"/>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_xlfn.XLOOKUP($D8,Tab_Def_Processes[Process_Name],Tab_Def_Processes[Outflow_count],,0,)</f>
        <v>0</v>
      </c>
      <c r="I8" s="18"/>
      <c r="J8" s="15" t="str">
        <f>_xlfn.XLOOKUP($I8,Tab_Def_Flows[Flow_Name],Tab_Def_Flows[Flow_ID],,0,)</f>
        <v>F_00_00</v>
      </c>
      <c r="K8" s="11" t="str">
        <f t="shared" si="1"/>
        <v>TC_E1_00_00</v>
      </c>
      <c r="L8" s="20"/>
      <c r="M8" s="2" t="str">
        <f t="shared" si="2"/>
        <v>TC_E2_00_00</v>
      </c>
      <c r="N8" s="20"/>
      <c r="O8" s="2" t="str">
        <f t="shared" si="3"/>
        <v>TC_E3_00_00</v>
      </c>
      <c r="P8" s="20"/>
      <c r="Q8" s="2" t="str">
        <f t="shared" si="4"/>
        <v>TC_E4_00_00</v>
      </c>
      <c r="R8" s="20"/>
      <c r="S8" s="2" t="str">
        <f t="shared" si="5"/>
        <v>TC_E5_00_00</v>
      </c>
      <c r="T8" s="20"/>
      <c r="U8" s="2" t="str">
        <f t="shared" si="6"/>
        <v>TC_E6_00_00</v>
      </c>
      <c r="V8" s="20"/>
      <c r="W8" s="9"/>
      <c r="X8" s="9"/>
      <c r="Y8" s="9"/>
      <c r="Z8" s="9"/>
    </row>
    <row r="9" spans="1:26" x14ac:dyDescent="0.25">
      <c r="A9" s="22" t="b">
        <v>0</v>
      </c>
      <c r="B9" s="2">
        <f t="shared" si="0"/>
        <v>8</v>
      </c>
      <c r="C9" s="14" t="str">
        <f>_xlfn.XLOOKUP($D9,Tab_Def_Processes[Process_Name],Tab_Def_Processes[ID],,0,)</f>
        <v>00</v>
      </c>
      <c r="D9" s="18"/>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_xlfn.XLOOKUP($D9,Tab_Def_Processes[Process_Name],Tab_Def_Processes[Outflow_count],,0,)</f>
        <v>0</v>
      </c>
      <c r="I9" s="18"/>
      <c r="J9" s="15" t="str">
        <f>_xlfn.XLOOKUP($I9,Tab_Def_Flows[Flow_Name],Tab_Def_Flows[Flow_ID],,0,)</f>
        <v>F_00_00</v>
      </c>
      <c r="K9" s="11" t="str">
        <f t="shared" si="1"/>
        <v>TC_E1_00_00</v>
      </c>
      <c r="L9" s="20"/>
      <c r="M9" s="2" t="str">
        <f t="shared" si="2"/>
        <v>TC_E2_00_00</v>
      </c>
      <c r="N9" s="20"/>
      <c r="O9" s="2" t="str">
        <f t="shared" si="3"/>
        <v>TC_E3_00_00</v>
      </c>
      <c r="P9" s="20"/>
      <c r="Q9" s="2" t="str">
        <f t="shared" si="4"/>
        <v>TC_E4_00_00</v>
      </c>
      <c r="R9" s="20"/>
      <c r="S9" s="2" t="str">
        <f t="shared" si="5"/>
        <v>TC_E5_00_00</v>
      </c>
      <c r="T9" s="20"/>
      <c r="U9" s="2" t="str">
        <f t="shared" si="6"/>
        <v>TC_E6_00_00</v>
      </c>
      <c r="V9" s="20"/>
      <c r="W9" s="9"/>
      <c r="X9" s="9"/>
      <c r="Y9" s="9"/>
      <c r="Z9" s="9"/>
    </row>
    <row r="10" spans="1:26" x14ac:dyDescent="0.25">
      <c r="A10" s="22" t="b">
        <v>0</v>
      </c>
      <c r="B10" s="2">
        <f t="shared" si="0"/>
        <v>9</v>
      </c>
      <c r="C10" s="14" t="str">
        <f>_xlfn.XLOOKUP($D10,Tab_Def_Processes[Process_Name],Tab_Def_Processes[ID],,0,)</f>
        <v>00</v>
      </c>
      <c r="D10" s="18"/>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_xlfn.XLOOKUP($D10,Tab_Def_Processes[Process_Name],Tab_Def_Processes[Outflow_count],,0,)</f>
        <v>0</v>
      </c>
      <c r="I10" s="18"/>
      <c r="J10" s="15" t="str">
        <f>_xlfn.XLOOKUP($I10,Tab_Def_Flows[Flow_Name],Tab_Def_Flows[Flow_ID],,0,)</f>
        <v>F_00_00</v>
      </c>
      <c r="K10" s="11" t="str">
        <f t="shared" si="1"/>
        <v>TC_E1_00_00</v>
      </c>
      <c r="L10" s="20"/>
      <c r="M10" s="2" t="str">
        <f t="shared" si="2"/>
        <v>TC_E2_00_00</v>
      </c>
      <c r="N10" s="20"/>
      <c r="O10" s="2" t="str">
        <f t="shared" si="3"/>
        <v>TC_E3_00_00</v>
      </c>
      <c r="P10" s="20"/>
      <c r="Q10" s="2" t="str">
        <f t="shared" si="4"/>
        <v>TC_E4_00_00</v>
      </c>
      <c r="R10" s="20"/>
      <c r="S10" s="2" t="str">
        <f t="shared" si="5"/>
        <v>TC_E5_00_00</v>
      </c>
      <c r="T10" s="20"/>
      <c r="U10" s="2" t="str">
        <f t="shared" si="6"/>
        <v>TC_E6_00_00</v>
      </c>
      <c r="V10" s="20"/>
      <c r="W10" s="9"/>
      <c r="X10" s="9"/>
      <c r="Y10" s="9"/>
      <c r="Z10" s="9"/>
    </row>
    <row r="11" spans="1:26" x14ac:dyDescent="0.25">
      <c r="A11" s="22" t="b">
        <v>0</v>
      </c>
      <c r="B11" s="2">
        <f t="shared" si="0"/>
        <v>10</v>
      </c>
      <c r="C11" s="14" t="str">
        <f>_xlfn.XLOOKUP($D11,Tab_Def_Processes[Process_Name],Tab_Def_Processes[ID],,0,)</f>
        <v>00</v>
      </c>
      <c r="D11" s="18"/>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_xlfn.XLOOKUP($D11,Tab_Def_Processes[Process_Name],Tab_Def_Processes[Outflow_count],,0,)</f>
        <v>0</v>
      </c>
      <c r="I11" s="18"/>
      <c r="J11" s="15" t="str">
        <f>_xlfn.XLOOKUP($I11,Tab_Def_Flows[Flow_Name],Tab_Def_Flows[Flow_ID],,0,)</f>
        <v>F_00_00</v>
      </c>
      <c r="K11" s="11" t="str">
        <f t="shared" si="1"/>
        <v>TC_E1_00_00</v>
      </c>
      <c r="L11" s="20"/>
      <c r="M11" s="2" t="str">
        <f t="shared" si="2"/>
        <v>TC_E2_00_00</v>
      </c>
      <c r="N11" s="20"/>
      <c r="O11" s="2" t="str">
        <f t="shared" si="3"/>
        <v>TC_E3_00_00</v>
      </c>
      <c r="P11" s="20"/>
      <c r="Q11" s="2" t="str">
        <f t="shared" si="4"/>
        <v>TC_E4_00_00</v>
      </c>
      <c r="R11" s="20"/>
      <c r="S11" s="2" t="str">
        <f t="shared" si="5"/>
        <v>TC_E5_00_00</v>
      </c>
      <c r="T11" s="20"/>
      <c r="U11" s="2" t="str">
        <f t="shared" si="6"/>
        <v>TC_E6_00_00</v>
      </c>
      <c r="V11" s="20"/>
      <c r="W11" s="9"/>
      <c r="X11" s="9"/>
      <c r="Y11" s="9"/>
      <c r="Z11" s="9"/>
    </row>
    <row r="12" spans="1:26" x14ac:dyDescent="0.25">
      <c r="A12" s="22" t="b">
        <v>0</v>
      </c>
      <c r="B12" s="2">
        <f t="shared" si="0"/>
        <v>11</v>
      </c>
      <c r="C12" s="14" t="str">
        <f>_xlfn.XLOOKUP($D12,Tab_Def_Processes[Process_Name],Tab_Def_Processes[ID],,0,)</f>
        <v>00</v>
      </c>
      <c r="D12" s="18"/>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_xlfn.XLOOKUP($D12,Tab_Def_Processes[Process_Name],Tab_Def_Processes[Outflow_count],,0,)</f>
        <v>0</v>
      </c>
      <c r="I12" s="18"/>
      <c r="J12" s="15" t="str">
        <f>_xlfn.XLOOKUP($I12,Tab_Def_Flows[Flow_Name],Tab_Def_Flows[Flow_ID],,0,)</f>
        <v>F_00_00</v>
      </c>
      <c r="K12" s="11" t="str">
        <f t="shared" si="1"/>
        <v>TC_E1_00_00</v>
      </c>
      <c r="L12" s="20"/>
      <c r="M12" s="2" t="str">
        <f t="shared" si="2"/>
        <v>TC_E2_00_00</v>
      </c>
      <c r="N12" s="20"/>
      <c r="O12" s="2" t="str">
        <f t="shared" si="3"/>
        <v>TC_E3_00_00</v>
      </c>
      <c r="P12" s="20"/>
      <c r="Q12" s="2" t="str">
        <f t="shared" si="4"/>
        <v>TC_E4_00_00</v>
      </c>
      <c r="R12" s="20"/>
      <c r="S12" s="2" t="str">
        <f t="shared" si="5"/>
        <v>TC_E5_00_00</v>
      </c>
      <c r="T12" s="20"/>
      <c r="U12" s="2" t="str">
        <f t="shared" si="6"/>
        <v>TC_E6_00_00</v>
      </c>
      <c r="V12" s="20"/>
      <c r="W12" s="9"/>
      <c r="X12" s="9"/>
      <c r="Y12" s="9"/>
      <c r="Z12" s="9"/>
    </row>
    <row r="13" spans="1:26" x14ac:dyDescent="0.25">
      <c r="A13" s="22" t="b">
        <v>0</v>
      </c>
      <c r="B13" s="2">
        <f>ROW()-1</f>
        <v>12</v>
      </c>
      <c r="C13" s="14" t="str">
        <f>_xlfn.XLOOKUP($D13,Tab_Def_Processes[Process_Name],Tab_Def_Processes[ID],,0,)</f>
        <v>00</v>
      </c>
      <c r="D13" s="18"/>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_xlfn.XLOOKUP($D13,Tab_Def_Processes[Process_Name],Tab_Def_Processes[Outflow_count],,0,)</f>
        <v>0</v>
      </c>
      <c r="I13" s="18"/>
      <c r="J13" s="15" t="str">
        <f>_xlfn.XLOOKUP($I13,Tab_Def_Flows[Flow_Name],Tab_Def_Flows[Flow_ID],,0,)</f>
        <v>F_00_00</v>
      </c>
      <c r="K13" s="11" t="str">
        <f t="shared" si="1"/>
        <v>TC_E1_00_00</v>
      </c>
      <c r="L13" s="20"/>
      <c r="M13" s="2" t="str">
        <f t="shared" si="2"/>
        <v>TC_E2_00_00</v>
      </c>
      <c r="N13" s="20"/>
      <c r="O13" s="2" t="str">
        <f t="shared" si="3"/>
        <v>TC_E3_00_00</v>
      </c>
      <c r="P13" s="20"/>
      <c r="Q13" s="2" t="str">
        <f t="shared" si="4"/>
        <v>TC_E4_00_00</v>
      </c>
      <c r="R13" s="20"/>
      <c r="S13" s="2" t="str">
        <f t="shared" si="5"/>
        <v>TC_E5_00_00</v>
      </c>
      <c r="T13" s="20"/>
      <c r="U13" s="2" t="str">
        <f t="shared" si="6"/>
        <v>TC_E6_00_00</v>
      </c>
      <c r="V13" s="20"/>
      <c r="W13" s="9"/>
      <c r="X13" s="9"/>
      <c r="Y13" s="9"/>
      <c r="Z13" s="9"/>
    </row>
    <row r="14" spans="1:26" x14ac:dyDescent="0.25">
      <c r="A14" s="22" t="b">
        <v>0</v>
      </c>
      <c r="B14" s="2">
        <f t="shared" si="0"/>
        <v>13</v>
      </c>
      <c r="C14" s="14" t="str">
        <f>_xlfn.XLOOKUP($D14,Tab_Def_Processes[Process_Name],Tab_Def_Processes[ID],,0,)</f>
        <v>00</v>
      </c>
      <c r="D14" s="18"/>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_xlfn.XLOOKUP($D14,Tab_Def_Processes[Process_Name],Tab_Def_Processes[Outflow_count],,0,)</f>
        <v>0</v>
      </c>
      <c r="I14" s="18"/>
      <c r="J14" s="15" t="str">
        <f>_xlfn.XLOOKUP($I14,Tab_Def_Flows[Flow_Name],Tab_Def_Flows[Flow_ID],,0,)</f>
        <v>F_00_00</v>
      </c>
      <c r="K14" s="11" t="str">
        <f t="shared" si="1"/>
        <v>TC_E1_00_00</v>
      </c>
      <c r="L14" s="20"/>
      <c r="M14" s="2" t="str">
        <f t="shared" si="2"/>
        <v>TC_E2_00_00</v>
      </c>
      <c r="N14" s="20"/>
      <c r="O14" s="2" t="str">
        <f t="shared" si="3"/>
        <v>TC_E3_00_00</v>
      </c>
      <c r="P14" s="20"/>
      <c r="Q14" s="2" t="str">
        <f t="shared" si="4"/>
        <v>TC_E4_00_00</v>
      </c>
      <c r="R14" s="20"/>
      <c r="S14" s="2" t="str">
        <f t="shared" si="5"/>
        <v>TC_E5_00_00</v>
      </c>
      <c r="T14" s="20"/>
      <c r="U14" s="2" t="str">
        <f t="shared" si="6"/>
        <v>TC_E6_00_00</v>
      </c>
      <c r="V14" s="20"/>
      <c r="W14" s="9"/>
      <c r="X14" s="9"/>
      <c r="Y14" s="9"/>
      <c r="Z14" s="9"/>
    </row>
    <row r="15" spans="1:26" x14ac:dyDescent="0.25">
      <c r="A15" s="22" t="b">
        <v>0</v>
      </c>
      <c r="B15" s="2">
        <f t="shared" si="0"/>
        <v>14</v>
      </c>
      <c r="C15" s="14" t="str">
        <f>_xlfn.XLOOKUP($D15,Tab_Def_Processes[Process_Name],Tab_Def_Processes[ID],,0,)</f>
        <v>00</v>
      </c>
      <c r="D15" s="18"/>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_xlfn.XLOOKUP($D15,Tab_Def_Processes[Process_Name],Tab_Def_Processes[Outflow_count],,0,)</f>
        <v>0</v>
      </c>
      <c r="I15" s="18"/>
      <c r="J15" s="15" t="str">
        <f>_xlfn.XLOOKUP($I15,Tab_Def_Flows[Flow_Name],Tab_Def_Flows[Flow_ID],,0,)</f>
        <v>F_00_00</v>
      </c>
      <c r="K15" s="11" t="str">
        <f t="shared" si="1"/>
        <v>TC_E1_00_00</v>
      </c>
      <c r="L15" s="20"/>
      <c r="M15" s="2" t="str">
        <f t="shared" si="2"/>
        <v>TC_E2_00_00</v>
      </c>
      <c r="N15" s="20"/>
      <c r="O15" s="2" t="str">
        <f t="shared" si="3"/>
        <v>TC_E3_00_00</v>
      </c>
      <c r="P15" s="20"/>
      <c r="Q15" s="2" t="str">
        <f t="shared" si="4"/>
        <v>TC_E4_00_00</v>
      </c>
      <c r="R15" s="20"/>
      <c r="S15" s="2" t="str">
        <f t="shared" si="5"/>
        <v>TC_E5_00_00</v>
      </c>
      <c r="T15" s="20"/>
      <c r="U15" s="2" t="str">
        <f t="shared" si="6"/>
        <v>TC_E6_00_00</v>
      </c>
      <c r="V15" s="20"/>
      <c r="W15" s="9"/>
      <c r="X15" s="9"/>
      <c r="Y15" s="9"/>
      <c r="Z15" s="9"/>
    </row>
    <row r="16" spans="1:26" x14ac:dyDescent="0.25">
      <c r="A16" s="22" t="b">
        <v>0</v>
      </c>
      <c r="B16" s="2">
        <f t="shared" si="0"/>
        <v>15</v>
      </c>
      <c r="C16" s="14" t="str">
        <f>_xlfn.XLOOKUP($D16,Tab_Def_Processes[Process_Name],Tab_Def_Processes[ID],,0,)</f>
        <v>00</v>
      </c>
      <c r="D16" s="18"/>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_xlfn.XLOOKUP($D16,Tab_Def_Processes[Process_Name],Tab_Def_Processes[Outflow_count],,0,)</f>
        <v>0</v>
      </c>
      <c r="I16" s="18"/>
      <c r="J16" s="15" t="str">
        <f>_xlfn.XLOOKUP($I16,Tab_Def_Flows[Flow_Name],Tab_Def_Flows[Flow_ID],,0,)</f>
        <v>F_00_00</v>
      </c>
      <c r="K16" s="11" t="str">
        <f t="shared" si="1"/>
        <v>TC_E1_00_00</v>
      </c>
      <c r="L16" s="20"/>
      <c r="M16" s="2" t="str">
        <f t="shared" si="2"/>
        <v>TC_E2_00_00</v>
      </c>
      <c r="N16" s="20"/>
      <c r="O16" s="2" t="str">
        <f t="shared" si="3"/>
        <v>TC_E3_00_00</v>
      </c>
      <c r="P16" s="20"/>
      <c r="Q16" s="2" t="str">
        <f t="shared" si="4"/>
        <v>TC_E4_00_00</v>
      </c>
      <c r="R16" s="20"/>
      <c r="S16" s="2" t="str">
        <f t="shared" si="5"/>
        <v>TC_E5_00_00</v>
      </c>
      <c r="T16" s="20"/>
      <c r="U16" s="2" t="str">
        <f t="shared" si="6"/>
        <v>TC_E6_00_00</v>
      </c>
      <c r="V16" s="20"/>
      <c r="W16" s="9"/>
      <c r="X16" s="9"/>
      <c r="Y16" s="9"/>
      <c r="Z16" s="9"/>
    </row>
    <row r="17" spans="1:26" x14ac:dyDescent="0.25">
      <c r="A17" s="22" t="b">
        <v>0</v>
      </c>
      <c r="B17" s="2">
        <f t="shared" si="0"/>
        <v>16</v>
      </c>
      <c r="C17" s="14" t="str">
        <f>_xlfn.XLOOKUP($D17,Tab_Def_Processes[Process_Name],Tab_Def_Processes[ID],,0,)</f>
        <v>00</v>
      </c>
      <c r="D17" s="18"/>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_xlfn.XLOOKUP($D17,Tab_Def_Processes[Process_Name],Tab_Def_Processes[Outflow_count],,0,)</f>
        <v>0</v>
      </c>
      <c r="I17" s="18"/>
      <c r="J17" s="15" t="str">
        <f>_xlfn.XLOOKUP($I17,Tab_Def_Flows[Flow_Name],Tab_Def_Flows[Flow_ID],,0,)</f>
        <v>F_00_00</v>
      </c>
      <c r="K17" s="11" t="str">
        <f t="shared" si="1"/>
        <v>TC_E1_00_00</v>
      </c>
      <c r="L17" s="20"/>
      <c r="M17" s="2" t="str">
        <f t="shared" si="2"/>
        <v>TC_E2_00_00</v>
      </c>
      <c r="N17" s="20"/>
      <c r="O17" s="2" t="str">
        <f t="shared" si="3"/>
        <v>TC_E3_00_00</v>
      </c>
      <c r="P17" s="20"/>
      <c r="Q17" s="2" t="str">
        <f t="shared" si="4"/>
        <v>TC_E4_00_00</v>
      </c>
      <c r="R17" s="20"/>
      <c r="S17" s="2" t="str">
        <f t="shared" si="5"/>
        <v>TC_E5_00_00</v>
      </c>
      <c r="T17" s="20"/>
      <c r="U17" s="2" t="str">
        <f t="shared" si="6"/>
        <v>TC_E6_00_00</v>
      </c>
      <c r="V17" s="20"/>
      <c r="W17" s="9"/>
      <c r="X17" s="9"/>
      <c r="Y17" s="9"/>
      <c r="Z17" s="9"/>
    </row>
    <row r="18" spans="1:26" x14ac:dyDescent="0.25">
      <c r="A18" s="22" t="b">
        <v>0</v>
      </c>
      <c r="B18" s="2">
        <f t="shared" si="0"/>
        <v>17</v>
      </c>
      <c r="C18" s="14" t="str">
        <f>_xlfn.XLOOKUP($D18,Tab_Def_Processes[Process_Name],Tab_Def_Processes[ID],,0,)</f>
        <v>00</v>
      </c>
      <c r="D18" s="18"/>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_xlfn.XLOOKUP($D18,Tab_Def_Processes[Process_Name],Tab_Def_Processes[Outflow_count],,0,)</f>
        <v>0</v>
      </c>
      <c r="I18" s="18"/>
      <c r="J18" s="15" t="str">
        <f>_xlfn.XLOOKUP($I18,Tab_Def_Flows[Flow_Name],Tab_Def_Flows[Flow_ID],,0,)</f>
        <v>F_00_00</v>
      </c>
      <c r="K18" s="11" t="str">
        <f t="shared" si="1"/>
        <v>TC_E1_00_00</v>
      </c>
      <c r="L18" s="20"/>
      <c r="M18" s="2" t="str">
        <f t="shared" si="2"/>
        <v>TC_E2_00_00</v>
      </c>
      <c r="N18" s="20"/>
      <c r="O18" s="2" t="str">
        <f t="shared" si="3"/>
        <v>TC_E3_00_00</v>
      </c>
      <c r="P18" s="20"/>
      <c r="Q18" s="2" t="str">
        <f t="shared" si="4"/>
        <v>TC_E4_00_00</v>
      </c>
      <c r="R18" s="20"/>
      <c r="S18" s="2" t="str">
        <f t="shared" si="5"/>
        <v>TC_E5_00_00</v>
      </c>
      <c r="T18" s="20"/>
      <c r="U18" s="2" t="str">
        <f t="shared" si="6"/>
        <v>TC_E6_00_00</v>
      </c>
      <c r="V18" s="20"/>
      <c r="W18" s="46"/>
      <c r="X18" s="9"/>
      <c r="Y18" s="9"/>
      <c r="Z18" s="9"/>
    </row>
    <row r="19" spans="1:26" x14ac:dyDescent="0.25">
      <c r="A19" s="22" t="b">
        <v>0</v>
      </c>
      <c r="B19" s="2">
        <f t="shared" si="0"/>
        <v>18</v>
      </c>
      <c r="C19" s="14" t="str">
        <f>_xlfn.XLOOKUP($D19,Tab_Def_Processes[Process_Name],Tab_Def_Processes[ID],,0,)</f>
        <v>00</v>
      </c>
      <c r="D19" s="18"/>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_xlfn.XLOOKUP($D19,Tab_Def_Processes[Process_Name],Tab_Def_Processes[Outflow_count],,0,)</f>
        <v>0</v>
      </c>
      <c r="I19" s="18"/>
      <c r="J19" s="15" t="str">
        <f>_xlfn.XLOOKUP($I19,Tab_Def_Flows[Flow_Name],Tab_Def_Flows[Flow_ID],,0,)</f>
        <v>F_00_00</v>
      </c>
      <c r="K19" s="11" t="str">
        <f t="shared" si="1"/>
        <v>TC_E1_00_00</v>
      </c>
      <c r="L19" s="20"/>
      <c r="M19" s="2" t="str">
        <f t="shared" si="2"/>
        <v>TC_E2_00_00</v>
      </c>
      <c r="N19" s="20"/>
      <c r="O19" s="2" t="str">
        <f t="shared" si="3"/>
        <v>TC_E3_00_00</v>
      </c>
      <c r="P19" s="20"/>
      <c r="Q19" s="2" t="str">
        <f t="shared" si="4"/>
        <v>TC_E4_00_00</v>
      </c>
      <c r="R19" s="20"/>
      <c r="S19" s="2" t="str">
        <f t="shared" si="5"/>
        <v>TC_E5_00_00</v>
      </c>
      <c r="T19" s="20"/>
      <c r="U19" s="2" t="str">
        <f t="shared" si="6"/>
        <v>TC_E6_00_00</v>
      </c>
      <c r="V19" s="20"/>
      <c r="W19" s="9"/>
      <c r="X19" s="9"/>
      <c r="Y19" s="9"/>
      <c r="Z19" s="9"/>
    </row>
    <row r="20" spans="1:26" x14ac:dyDescent="0.25">
      <c r="A20" s="22" t="b">
        <v>0</v>
      </c>
      <c r="B20" s="2">
        <f t="shared" si="0"/>
        <v>19</v>
      </c>
      <c r="C20" s="14" t="str">
        <f>_xlfn.XLOOKUP($D20,Tab_Def_Processes[Process_Name],Tab_Def_Processes[ID],,0,)</f>
        <v>00</v>
      </c>
      <c r="D20" s="18"/>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_xlfn.XLOOKUP($D20,Tab_Def_Processes[Process_Name],Tab_Def_Processes[Outflow_count],,0,)</f>
        <v>0</v>
      </c>
      <c r="I20" s="18"/>
      <c r="J20" s="15" t="str">
        <f>_xlfn.XLOOKUP($I20,Tab_Def_Flows[Flow_Name],Tab_Def_Flows[Flow_ID],,0,)</f>
        <v>F_00_00</v>
      </c>
      <c r="K20" s="11" t="str">
        <f t="shared" si="1"/>
        <v>TC_E1_00_00</v>
      </c>
      <c r="L20" s="20"/>
      <c r="M20" s="2" t="str">
        <f t="shared" si="2"/>
        <v>TC_E2_00_00</v>
      </c>
      <c r="N20" s="20"/>
      <c r="O20" s="2" t="str">
        <f t="shared" si="3"/>
        <v>TC_E3_00_00</v>
      </c>
      <c r="P20" s="20"/>
      <c r="Q20" s="2" t="str">
        <f t="shared" si="4"/>
        <v>TC_E4_00_00</v>
      </c>
      <c r="R20" s="20"/>
      <c r="S20" s="2" t="str">
        <f t="shared" si="5"/>
        <v>TC_E5_00_00</v>
      </c>
      <c r="T20" s="20"/>
      <c r="U20" s="2" t="str">
        <f t="shared" si="6"/>
        <v>TC_E6_00_00</v>
      </c>
      <c r="V20" s="20"/>
      <c r="W20" s="9"/>
      <c r="X20" s="9"/>
      <c r="Y20" s="9"/>
      <c r="Z20" s="9"/>
    </row>
    <row r="21" spans="1:26" x14ac:dyDescent="0.25">
      <c r="A21" s="22" t="b">
        <v>0</v>
      </c>
      <c r="B21" s="2">
        <f t="shared" si="0"/>
        <v>20</v>
      </c>
      <c r="C21" s="14" t="str">
        <f>_xlfn.XLOOKUP($D21,Tab_Def_Processes[Process_Name],Tab_Def_Processes[ID],,0,)</f>
        <v>00</v>
      </c>
      <c r="D21" s="18"/>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_xlfn.XLOOKUP($D21,Tab_Def_Processes[Process_Name],Tab_Def_Processes[Outflow_count],,0,)</f>
        <v>0</v>
      </c>
      <c r="I21" s="18"/>
      <c r="J21" s="15" t="str">
        <f>_xlfn.XLOOKUP($I21,Tab_Def_Flows[Flow_Name],Tab_Def_Flows[Flow_ID],,0,)</f>
        <v>F_00_00</v>
      </c>
      <c r="K21" s="11" t="str">
        <f t="shared" si="1"/>
        <v>TC_E1_00_00</v>
      </c>
      <c r="L21" s="20"/>
      <c r="M21" s="2" t="str">
        <f t="shared" si="2"/>
        <v>TC_E2_00_00</v>
      </c>
      <c r="N21" s="20"/>
      <c r="O21" s="2" t="str">
        <f t="shared" si="3"/>
        <v>TC_E3_00_00</v>
      </c>
      <c r="P21" s="20"/>
      <c r="Q21" s="2" t="str">
        <f t="shared" si="4"/>
        <v>TC_E4_00_00</v>
      </c>
      <c r="R21" s="20"/>
      <c r="S21" s="2" t="str">
        <f t="shared" si="5"/>
        <v>TC_E5_00_00</v>
      </c>
      <c r="T21" s="20"/>
      <c r="U21" s="2" t="str">
        <f t="shared" si="6"/>
        <v>TC_E6_00_00</v>
      </c>
      <c r="V21" s="20"/>
      <c r="W21" s="9"/>
      <c r="X21" s="9"/>
      <c r="Y21" s="9"/>
      <c r="Z21" s="9"/>
    </row>
    <row r="22" spans="1:26" x14ac:dyDescent="0.25">
      <c r="A22" s="22" t="b">
        <v>0</v>
      </c>
      <c r="B22" s="2">
        <f t="shared" si="0"/>
        <v>21</v>
      </c>
      <c r="C22" s="14" t="str">
        <f>_xlfn.XLOOKUP($D22,Tab_Def_Processes[Process_Name],Tab_Def_Processes[ID],,0,)</f>
        <v>00</v>
      </c>
      <c r="D22" s="18"/>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_xlfn.XLOOKUP($D22,Tab_Def_Processes[Process_Name],Tab_Def_Processes[Outflow_count],,0,)</f>
        <v>0</v>
      </c>
      <c r="I22" s="18"/>
      <c r="J22" s="15" t="str">
        <f>_xlfn.XLOOKUP($I22,Tab_Def_Flows[Flow_Name],Tab_Def_Flows[Flow_ID],,0,)</f>
        <v>F_00_00</v>
      </c>
      <c r="K22" s="11" t="str">
        <f t="shared" si="1"/>
        <v>TC_E1_00_00</v>
      </c>
      <c r="L22" s="20"/>
      <c r="M22" s="2" t="str">
        <f t="shared" si="2"/>
        <v>TC_E2_00_00</v>
      </c>
      <c r="N22" s="20"/>
      <c r="O22" s="2" t="str">
        <f t="shared" si="3"/>
        <v>TC_E3_00_00</v>
      </c>
      <c r="P22" s="20"/>
      <c r="Q22" s="2" t="str">
        <f t="shared" si="4"/>
        <v>TC_E4_00_00</v>
      </c>
      <c r="R22" s="20"/>
      <c r="S22" s="2" t="str">
        <f t="shared" si="5"/>
        <v>TC_E5_00_00</v>
      </c>
      <c r="T22" s="20"/>
      <c r="U22" s="2" t="str">
        <f t="shared" si="6"/>
        <v>TC_E6_00_00</v>
      </c>
      <c r="V22" s="20"/>
      <c r="W22" s="9"/>
      <c r="X22" s="9"/>
      <c r="Y22" s="9"/>
      <c r="Z22" s="9"/>
    </row>
    <row r="23" spans="1:26" x14ac:dyDescent="0.25">
      <c r="A23" s="22" t="b">
        <v>0</v>
      </c>
      <c r="B23" s="2">
        <f t="shared" si="0"/>
        <v>22</v>
      </c>
      <c r="C23" s="14" t="str">
        <f>_xlfn.XLOOKUP($D23,Tab_Def_Processes[Process_Name],Tab_Def_Processes[ID],,0,)</f>
        <v>00</v>
      </c>
      <c r="D23" s="18"/>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_xlfn.XLOOKUP($D23,Tab_Def_Processes[Process_Name],Tab_Def_Processes[Outflow_count],,0,)</f>
        <v>0</v>
      </c>
      <c r="I23" s="18"/>
      <c r="J23" s="15" t="str">
        <f>_xlfn.XLOOKUP($I23,Tab_Def_Flows[Flow_Name],Tab_Def_Flows[Flow_ID],,0,)</f>
        <v>F_00_00</v>
      </c>
      <c r="K23" s="11" t="str">
        <f t="shared" si="1"/>
        <v>TC_E1_00_00</v>
      </c>
      <c r="L23" s="20"/>
      <c r="M23" s="2" t="str">
        <f t="shared" si="2"/>
        <v>TC_E2_00_00</v>
      </c>
      <c r="N23" s="20"/>
      <c r="O23" s="2" t="str">
        <f t="shared" si="3"/>
        <v>TC_E3_00_00</v>
      </c>
      <c r="P23" s="20"/>
      <c r="Q23" s="2" t="str">
        <f t="shared" si="4"/>
        <v>TC_E4_00_00</v>
      </c>
      <c r="R23" s="20"/>
      <c r="S23" s="2" t="str">
        <f t="shared" si="5"/>
        <v>TC_E5_00_00</v>
      </c>
      <c r="T23" s="20"/>
      <c r="U23" s="2" t="str">
        <f t="shared" si="6"/>
        <v>TC_E6_00_00</v>
      </c>
      <c r="V23" s="20"/>
      <c r="W23" s="9"/>
      <c r="X23" s="9"/>
      <c r="Y23" s="9"/>
      <c r="Z23" s="9"/>
    </row>
    <row r="24" spans="1:26" x14ac:dyDescent="0.25">
      <c r="A24" s="22" t="b">
        <v>0</v>
      </c>
      <c r="B24" s="2">
        <f t="shared" si="0"/>
        <v>23</v>
      </c>
      <c r="C24" s="14" t="str">
        <f>_xlfn.XLOOKUP($D24,Tab_Def_Processes[Process_Name],Tab_Def_Processes[ID],,0,)</f>
        <v>00</v>
      </c>
      <c r="D24" s="18"/>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_xlfn.XLOOKUP($D24,Tab_Def_Processes[Process_Name],Tab_Def_Processes[Outflow_count],,0,)</f>
        <v>0</v>
      </c>
      <c r="I24" s="18"/>
      <c r="J24" s="15" t="str">
        <f>_xlfn.XLOOKUP($I24,Tab_Def_Flows[Flow_Name],Tab_Def_Flows[Flow_ID],,0,)</f>
        <v>F_00_00</v>
      </c>
      <c r="K24" s="11" t="str">
        <f t="shared" si="1"/>
        <v>TC_E1_00_00</v>
      </c>
      <c r="L24" s="20"/>
      <c r="M24" s="2" t="str">
        <f t="shared" si="2"/>
        <v>TC_E2_00_00</v>
      </c>
      <c r="N24" s="20"/>
      <c r="O24" s="2" t="str">
        <f t="shared" si="3"/>
        <v>TC_E3_00_00</v>
      </c>
      <c r="P24" s="20"/>
      <c r="Q24" s="2" t="str">
        <f t="shared" si="4"/>
        <v>TC_E4_00_00</v>
      </c>
      <c r="R24" s="20"/>
      <c r="S24" s="2" t="str">
        <f t="shared" si="5"/>
        <v>TC_E5_00_00</v>
      </c>
      <c r="T24" s="20"/>
      <c r="U24" s="2" t="str">
        <f t="shared" si="6"/>
        <v>TC_E6_00_00</v>
      </c>
      <c r="V24" s="20"/>
      <c r="W24" s="9"/>
      <c r="X24" s="9"/>
      <c r="Y24" s="9"/>
      <c r="Z24" s="9"/>
    </row>
    <row r="25" spans="1:26" x14ac:dyDescent="0.25">
      <c r="A25" s="22" t="b">
        <v>0</v>
      </c>
      <c r="B25" s="2">
        <f>ROW()-1</f>
        <v>24</v>
      </c>
      <c r="C25" s="14" t="str">
        <f>_xlfn.XLOOKUP($D25,Tab_Def_Processes[Process_Name],Tab_Def_Processes[ID],,0,)</f>
        <v>00</v>
      </c>
      <c r="D25" s="18"/>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_xlfn.XLOOKUP($D25,Tab_Def_Processes[Process_Name],Tab_Def_Processes[Outflow_count],,0,)</f>
        <v>0</v>
      </c>
      <c r="I25" s="18"/>
      <c r="J25" s="15" t="str">
        <f>_xlfn.XLOOKUP($I25,Tab_Def_Flows[Flow_Name],Tab_Def_Flows[Flow_ID],,0,)</f>
        <v>F_00_00</v>
      </c>
      <c r="K25" s="11" t="str">
        <f t="shared" si="1"/>
        <v>TC_E1_00_00</v>
      </c>
      <c r="L25" s="20"/>
      <c r="M25" s="2" t="str">
        <f t="shared" si="2"/>
        <v>TC_E2_00_00</v>
      </c>
      <c r="N25" s="20"/>
      <c r="O25" s="2" t="str">
        <f t="shared" si="3"/>
        <v>TC_E3_00_00</v>
      </c>
      <c r="P25" s="20"/>
      <c r="Q25" s="2" t="str">
        <f t="shared" si="4"/>
        <v>TC_E4_00_00</v>
      </c>
      <c r="R25" s="20"/>
      <c r="S25" s="2" t="str">
        <f t="shared" si="5"/>
        <v>TC_E5_00_00</v>
      </c>
      <c r="T25" s="20"/>
      <c r="U25" s="2" t="str">
        <f t="shared" si="6"/>
        <v>TC_E6_00_00</v>
      </c>
      <c r="V25" s="20"/>
      <c r="W25" s="9"/>
      <c r="X25" s="9"/>
      <c r="Y25" s="9"/>
      <c r="Z25" s="9"/>
    </row>
    <row r="26" spans="1:26" x14ac:dyDescent="0.25">
      <c r="A26" s="22" t="b">
        <v>0</v>
      </c>
      <c r="B26" s="2">
        <f t="shared" si="0"/>
        <v>25</v>
      </c>
      <c r="C26" s="14" t="str">
        <f>_xlfn.XLOOKUP($D26,Tab_Def_Processes[Process_Name],Tab_Def_Processes[ID],,0,)</f>
        <v>00</v>
      </c>
      <c r="D26" s="18"/>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_xlfn.XLOOKUP($D26,Tab_Def_Processes[Process_Name],Tab_Def_Processes[Outflow_count],,0,)</f>
        <v>0</v>
      </c>
      <c r="I26" s="18"/>
      <c r="J26" s="15" t="str">
        <f>_xlfn.XLOOKUP($I26,Tab_Def_Flows[Flow_Name],Tab_Def_Flows[Flow_ID],,0,)</f>
        <v>F_00_00</v>
      </c>
      <c r="K26" s="11" t="str">
        <f t="shared" si="1"/>
        <v>TC_E1_00_00</v>
      </c>
      <c r="L26" s="20"/>
      <c r="M26" s="2" t="str">
        <f t="shared" si="2"/>
        <v>TC_E2_00_00</v>
      </c>
      <c r="N26" s="20"/>
      <c r="O26" s="2" t="str">
        <f t="shared" si="3"/>
        <v>TC_E3_00_00</v>
      </c>
      <c r="P26" s="20"/>
      <c r="Q26" s="2" t="str">
        <f t="shared" si="4"/>
        <v>TC_E4_00_00</v>
      </c>
      <c r="R26" s="20"/>
      <c r="S26" s="2" t="str">
        <f t="shared" si="5"/>
        <v>TC_E5_00_00</v>
      </c>
      <c r="T26" s="20"/>
      <c r="U26" s="2" t="str">
        <f t="shared" si="6"/>
        <v>TC_E6_00_00</v>
      </c>
      <c r="V26" s="20"/>
      <c r="W26" s="9"/>
      <c r="X26" s="9"/>
      <c r="Y26" s="9"/>
      <c r="Z26" s="9"/>
    </row>
    <row r="27" spans="1:26" x14ac:dyDescent="0.25">
      <c r="A27" s="22" t="b">
        <v>0</v>
      </c>
      <c r="B27" s="2">
        <f t="shared" si="0"/>
        <v>26</v>
      </c>
      <c r="C27" s="14" t="str">
        <f>_xlfn.XLOOKUP($D27,Tab_Def_Processes[Process_Name],Tab_Def_Processes[ID],,0,)</f>
        <v>00</v>
      </c>
      <c r="D27" s="18"/>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_xlfn.XLOOKUP($D27,Tab_Def_Processes[Process_Name],Tab_Def_Processes[Outflow_count],,0,)</f>
        <v>0</v>
      </c>
      <c r="I27" s="18"/>
      <c r="J27" s="15" t="str">
        <f>_xlfn.XLOOKUP($I27,Tab_Def_Flows[Flow_Name],Tab_Def_Flows[Flow_ID],,0,)</f>
        <v>F_00_00</v>
      </c>
      <c r="K27" s="11" t="str">
        <f t="shared" si="1"/>
        <v>TC_E1_00_00</v>
      </c>
      <c r="L27" s="20"/>
      <c r="M27" s="2" t="str">
        <f t="shared" si="2"/>
        <v>TC_E2_00_00</v>
      </c>
      <c r="N27" s="20"/>
      <c r="O27" s="2" t="str">
        <f t="shared" si="3"/>
        <v>TC_E3_00_00</v>
      </c>
      <c r="P27" s="20"/>
      <c r="Q27" s="2" t="str">
        <f t="shared" si="4"/>
        <v>TC_E4_00_00</v>
      </c>
      <c r="R27" s="20"/>
      <c r="S27" s="2" t="str">
        <f t="shared" si="5"/>
        <v>TC_E5_00_00</v>
      </c>
      <c r="T27" s="20"/>
      <c r="U27" s="2" t="str">
        <f t="shared" si="6"/>
        <v>TC_E6_00_00</v>
      </c>
      <c r="V27" s="20"/>
      <c r="W27" s="9"/>
      <c r="X27" s="9"/>
      <c r="Y27" s="9"/>
      <c r="Z27" s="9"/>
    </row>
    <row r="28" spans="1:26" x14ac:dyDescent="0.25">
      <c r="A28" s="22" t="b">
        <v>0</v>
      </c>
      <c r="B28" s="2">
        <f t="shared" si="0"/>
        <v>27</v>
      </c>
      <c r="C28" s="14" t="str">
        <f>_xlfn.XLOOKUP($D28,Tab_Def_Processes[Process_Name],Tab_Def_Processes[ID],,0,)</f>
        <v>00</v>
      </c>
      <c r="D28" s="18"/>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_xlfn.XLOOKUP($D28,Tab_Def_Processes[Process_Name],Tab_Def_Processes[Outflow_count],,0,)</f>
        <v>0</v>
      </c>
      <c r="I28" s="18"/>
      <c r="J28" s="15" t="str">
        <f>_xlfn.XLOOKUP($I28,Tab_Def_Flows[Flow_Name],Tab_Def_Flows[Flow_ID],,0,)</f>
        <v>F_00_00</v>
      </c>
      <c r="K28" s="11" t="str">
        <f t="shared" si="1"/>
        <v>TC_E1_00_00</v>
      </c>
      <c r="L28" s="20"/>
      <c r="M28" s="2" t="str">
        <f t="shared" si="2"/>
        <v>TC_E2_00_00</v>
      </c>
      <c r="N28" s="20"/>
      <c r="O28" s="2" t="str">
        <f t="shared" si="3"/>
        <v>TC_E3_00_00</v>
      </c>
      <c r="P28" s="20"/>
      <c r="Q28" s="2" t="str">
        <f t="shared" si="4"/>
        <v>TC_E4_00_00</v>
      </c>
      <c r="R28" s="20"/>
      <c r="S28" s="2" t="str">
        <f t="shared" si="5"/>
        <v>TC_E5_00_00</v>
      </c>
      <c r="T28" s="20"/>
      <c r="U28" s="2" t="str">
        <f t="shared" si="6"/>
        <v>TC_E6_00_00</v>
      </c>
      <c r="V28" s="20"/>
      <c r="W28" s="9"/>
      <c r="X28" s="9"/>
      <c r="Y28" s="9"/>
      <c r="Z28" s="9"/>
    </row>
    <row r="29" spans="1:26" x14ac:dyDescent="0.25">
      <c r="A29" s="22" t="b">
        <v>0</v>
      </c>
      <c r="B29" s="2">
        <f t="shared" si="0"/>
        <v>28</v>
      </c>
      <c r="C29" s="14" t="str">
        <f>_xlfn.XLOOKUP($D29,Tab_Def_Processes[Process_Name],Tab_Def_Processes[ID],,0,)</f>
        <v>00</v>
      </c>
      <c r="D29" s="18"/>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_xlfn.XLOOKUP($D29,Tab_Def_Processes[Process_Name],Tab_Def_Processes[Outflow_count],,0,)</f>
        <v>0</v>
      </c>
      <c r="I29" s="18"/>
      <c r="J29" s="15" t="str">
        <f>_xlfn.XLOOKUP($I29,Tab_Def_Flows[Flow_Name],Tab_Def_Flows[Flow_ID],,0,)</f>
        <v>F_00_00</v>
      </c>
      <c r="K29" s="11" t="str">
        <f t="shared" si="1"/>
        <v>TC_E1_00_00</v>
      </c>
      <c r="L29" s="20"/>
      <c r="M29" s="2" t="str">
        <f t="shared" si="2"/>
        <v>TC_E2_00_00</v>
      </c>
      <c r="N29" s="20"/>
      <c r="O29" s="2" t="str">
        <f t="shared" si="3"/>
        <v>TC_E3_00_00</v>
      </c>
      <c r="P29" s="20"/>
      <c r="Q29" s="2" t="str">
        <f t="shared" si="4"/>
        <v>TC_E4_00_00</v>
      </c>
      <c r="R29" s="20"/>
      <c r="S29" s="2" t="str">
        <f t="shared" si="5"/>
        <v>TC_E5_00_00</v>
      </c>
      <c r="T29" s="20"/>
      <c r="U29" s="2" t="str">
        <f t="shared" si="6"/>
        <v>TC_E6_00_00</v>
      </c>
      <c r="V29" s="20"/>
      <c r="W29" s="9"/>
      <c r="X29" s="9"/>
      <c r="Y29" s="9"/>
      <c r="Z29" s="9"/>
    </row>
    <row r="30" spans="1:26" x14ac:dyDescent="0.25">
      <c r="A30" s="22" t="b">
        <v>0</v>
      </c>
      <c r="B30" s="2">
        <f t="shared" si="0"/>
        <v>29</v>
      </c>
      <c r="C30" s="14" t="str">
        <f>_xlfn.XLOOKUP($D30,Tab_Def_Processes[Process_Name],Tab_Def_Processes[ID],,0,)</f>
        <v>00</v>
      </c>
      <c r="D30" s="18"/>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_xlfn.XLOOKUP($D30,Tab_Def_Processes[Process_Name],Tab_Def_Processes[Outflow_count],,0,)</f>
        <v>0</v>
      </c>
      <c r="I30" s="18"/>
      <c r="J30" s="15" t="str">
        <f>_xlfn.XLOOKUP($I30,Tab_Def_Flows[Flow_Name],Tab_Def_Flows[Flow_ID],,0,)</f>
        <v>F_00_00</v>
      </c>
      <c r="K30" s="11" t="str">
        <f t="shared" si="1"/>
        <v>TC_E1_00_00</v>
      </c>
      <c r="L30" s="20"/>
      <c r="M30" s="2" t="str">
        <f t="shared" si="2"/>
        <v>TC_E2_00_00</v>
      </c>
      <c r="N30" s="20"/>
      <c r="O30" s="2" t="str">
        <f t="shared" si="3"/>
        <v>TC_E3_00_00</v>
      </c>
      <c r="P30" s="20"/>
      <c r="Q30" s="2" t="str">
        <f t="shared" si="4"/>
        <v>TC_E4_00_00</v>
      </c>
      <c r="R30" s="20"/>
      <c r="S30" s="2" t="str">
        <f t="shared" si="5"/>
        <v>TC_E5_00_00</v>
      </c>
      <c r="T30" s="20"/>
      <c r="U30" s="2" t="str">
        <f t="shared" si="6"/>
        <v>TC_E6_00_00</v>
      </c>
      <c r="V30" s="20"/>
      <c r="W30" s="9"/>
      <c r="X30" s="9"/>
      <c r="Y30" s="9"/>
      <c r="Z30" s="9"/>
    </row>
    <row r="31" spans="1:26" x14ac:dyDescent="0.25">
      <c r="A31" s="22" t="b">
        <v>0</v>
      </c>
      <c r="B31" s="2">
        <f t="shared" si="0"/>
        <v>30</v>
      </c>
      <c r="C31" s="14" t="str">
        <f>_xlfn.XLOOKUP($D31,Tab_Def_Processes[Process_Name],Tab_Def_Processes[ID],,0,)</f>
        <v>00</v>
      </c>
      <c r="D31" s="18"/>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_xlfn.XLOOKUP($D31,Tab_Def_Processes[Process_Name],Tab_Def_Processes[Outflow_count],,0,)</f>
        <v>0</v>
      </c>
      <c r="I31" s="18"/>
      <c r="J31" s="15" t="str">
        <f>_xlfn.XLOOKUP($I31,Tab_Def_Flows[Flow_Name],Tab_Def_Flows[Flow_ID],,0,)</f>
        <v>F_00_00</v>
      </c>
      <c r="K31" s="11" t="str">
        <f t="shared" si="1"/>
        <v>TC_E1_00_00</v>
      </c>
      <c r="L31" s="20"/>
      <c r="M31" s="2" t="str">
        <f t="shared" si="2"/>
        <v>TC_E2_00_00</v>
      </c>
      <c r="N31" s="20"/>
      <c r="O31" s="2" t="str">
        <f t="shared" si="3"/>
        <v>TC_E3_00_00</v>
      </c>
      <c r="P31" s="20"/>
      <c r="Q31" s="2" t="str">
        <f t="shared" si="4"/>
        <v>TC_E4_00_00</v>
      </c>
      <c r="R31" s="20"/>
      <c r="S31" s="2" t="str">
        <f t="shared" si="5"/>
        <v>TC_E5_00_00</v>
      </c>
      <c r="T31" s="20"/>
      <c r="U31" s="2" t="str">
        <f t="shared" si="6"/>
        <v>TC_E6_00_00</v>
      </c>
      <c r="V31" s="20"/>
      <c r="W31" s="9"/>
      <c r="X31" s="9"/>
      <c r="Y31" s="9"/>
      <c r="Z31" s="9"/>
    </row>
    <row r="32" spans="1:26" x14ac:dyDescent="0.25">
      <c r="A32" s="22" t="b">
        <v>0</v>
      </c>
      <c r="B32" s="2">
        <f t="shared" si="0"/>
        <v>31</v>
      </c>
      <c r="C32" s="14" t="str">
        <f>_xlfn.XLOOKUP($D32,Tab_Def_Processes[Process_Name],Tab_Def_Processes[ID],,0,)</f>
        <v>00</v>
      </c>
      <c r="D32" s="18"/>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_xlfn.XLOOKUP($D32,Tab_Def_Processes[Process_Name],Tab_Def_Processes[Outflow_count],,0,)</f>
        <v>0</v>
      </c>
      <c r="I32" s="18"/>
      <c r="J32" s="15" t="str">
        <f>_xlfn.XLOOKUP($I32,Tab_Def_Flows[Flow_Name],Tab_Def_Flows[Flow_ID],,0,)</f>
        <v>F_00_00</v>
      </c>
      <c r="K32" s="11" t="str">
        <f t="shared" si="1"/>
        <v>TC_E1_00_00</v>
      </c>
      <c r="L32" s="20"/>
      <c r="M32" s="2" t="str">
        <f t="shared" si="2"/>
        <v>TC_E2_00_00</v>
      </c>
      <c r="N32" s="20"/>
      <c r="O32" s="2" t="str">
        <f t="shared" si="3"/>
        <v>TC_E3_00_00</v>
      </c>
      <c r="P32" s="20"/>
      <c r="Q32" s="2" t="str">
        <f t="shared" si="4"/>
        <v>TC_E4_00_00</v>
      </c>
      <c r="R32" s="20"/>
      <c r="S32" s="2" t="str">
        <f t="shared" si="5"/>
        <v>TC_E5_00_00</v>
      </c>
      <c r="T32" s="20"/>
      <c r="U32" s="2" t="str">
        <f t="shared" si="6"/>
        <v>TC_E6_00_00</v>
      </c>
      <c r="V32" s="20"/>
      <c r="W32" s="9"/>
      <c r="X32" s="9"/>
      <c r="Y32" s="9"/>
      <c r="Z32" s="9"/>
    </row>
    <row r="33" spans="1:26" x14ac:dyDescent="0.25">
      <c r="A33" s="22" t="b">
        <v>0</v>
      </c>
      <c r="B33" s="2">
        <f t="shared" si="0"/>
        <v>32</v>
      </c>
      <c r="C33" s="14" t="str">
        <f>_xlfn.XLOOKUP($D33,Tab_Def_Processes[Process_Name],Tab_Def_Processes[ID],,0,)</f>
        <v>00</v>
      </c>
      <c r="D33" s="18"/>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_xlfn.XLOOKUP($D33,Tab_Def_Processes[Process_Name],Tab_Def_Processes[Outflow_count],,0,)</f>
        <v>0</v>
      </c>
      <c r="I33" s="18"/>
      <c r="J33" s="15" t="str">
        <f>_xlfn.XLOOKUP($I33,Tab_Def_Flows[Flow_Name],Tab_Def_Flows[Flow_ID],,0,)</f>
        <v>F_00_00</v>
      </c>
      <c r="K33" s="11" t="str">
        <f t="shared" si="1"/>
        <v>TC_E1_00_00</v>
      </c>
      <c r="L33" s="20"/>
      <c r="M33" s="2" t="str">
        <f t="shared" si="2"/>
        <v>TC_E2_00_00</v>
      </c>
      <c r="N33" s="20"/>
      <c r="O33" s="2" t="str">
        <f t="shared" si="3"/>
        <v>TC_E3_00_00</v>
      </c>
      <c r="P33" s="20"/>
      <c r="Q33" s="2" t="str">
        <f t="shared" si="4"/>
        <v>TC_E4_00_00</v>
      </c>
      <c r="R33" s="20"/>
      <c r="S33" s="2" t="str">
        <f t="shared" si="5"/>
        <v>TC_E5_00_00</v>
      </c>
      <c r="T33" s="20"/>
      <c r="U33" s="2" t="str">
        <f t="shared" si="6"/>
        <v>TC_E6_00_00</v>
      </c>
      <c r="V33" s="20"/>
      <c r="W33" s="9"/>
      <c r="X33" s="9"/>
      <c r="Y33" s="9"/>
      <c r="Z33" s="9"/>
    </row>
    <row r="34" spans="1:26" x14ac:dyDescent="0.25">
      <c r="A34" s="22" t="b">
        <v>0</v>
      </c>
      <c r="B34" s="2">
        <f t="shared" si="0"/>
        <v>33</v>
      </c>
      <c r="C34" s="14" t="str">
        <f>_xlfn.XLOOKUP($D34,Tab_Def_Processes[Process_Name],Tab_Def_Processes[ID],,0,)</f>
        <v>00</v>
      </c>
      <c r="D34" s="18"/>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_xlfn.XLOOKUP($D34,Tab_Def_Processes[Process_Name],Tab_Def_Processes[Outflow_count],,0,)</f>
        <v>0</v>
      </c>
      <c r="I34" s="18"/>
      <c r="J34" s="15" t="str">
        <f>_xlfn.XLOOKUP($I34,Tab_Def_Flows[Flow_Name],Tab_Def_Flows[Flow_ID],,0,)</f>
        <v>F_00_00</v>
      </c>
      <c r="K34" s="11" t="str">
        <f t="shared" si="1"/>
        <v>TC_E1_00_00</v>
      </c>
      <c r="L34" s="20"/>
      <c r="M34" s="2" t="str">
        <f t="shared" si="2"/>
        <v>TC_E2_00_00</v>
      </c>
      <c r="N34" s="20"/>
      <c r="O34" s="2" t="str">
        <f t="shared" si="3"/>
        <v>TC_E3_00_00</v>
      </c>
      <c r="P34" s="20"/>
      <c r="Q34" s="2" t="str">
        <f t="shared" si="4"/>
        <v>TC_E4_00_00</v>
      </c>
      <c r="R34" s="20"/>
      <c r="S34" s="2" t="str">
        <f t="shared" si="5"/>
        <v>TC_E5_00_00</v>
      </c>
      <c r="T34" s="20"/>
      <c r="U34" s="2" t="str">
        <f t="shared" si="6"/>
        <v>TC_E6_00_00</v>
      </c>
      <c r="V34" s="20"/>
      <c r="W34" s="9"/>
      <c r="X34" s="9"/>
      <c r="Y34" s="9"/>
      <c r="Z34" s="9"/>
    </row>
    <row r="35" spans="1:26" x14ac:dyDescent="0.25">
      <c r="A35" s="22" t="b">
        <v>0</v>
      </c>
      <c r="B35" s="2">
        <f t="shared" si="0"/>
        <v>34</v>
      </c>
      <c r="C35" s="14" t="str">
        <f>_xlfn.XLOOKUP($D35,Tab_Def_Processes[Process_Name],Tab_Def_Processes[ID],,0,)</f>
        <v>00</v>
      </c>
      <c r="D35" s="18"/>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_xlfn.XLOOKUP($D35,Tab_Def_Processes[Process_Name],Tab_Def_Processes[Outflow_count],,0,)</f>
        <v>0</v>
      </c>
      <c r="I35" s="18"/>
      <c r="J35" s="15" t="str">
        <f>_xlfn.XLOOKUP($I35,Tab_Def_Flows[Flow_Name],Tab_Def_Flows[Flow_ID],,0,)</f>
        <v>F_00_00</v>
      </c>
      <c r="K35" s="11" t="str">
        <f t="shared" si="1"/>
        <v>TC_E1_00_00</v>
      </c>
      <c r="L35" s="20"/>
      <c r="M35" s="2" t="str">
        <f t="shared" si="2"/>
        <v>TC_E2_00_00</v>
      </c>
      <c r="N35" s="20"/>
      <c r="O35" s="2" t="str">
        <f t="shared" si="3"/>
        <v>TC_E3_00_00</v>
      </c>
      <c r="P35" s="20"/>
      <c r="Q35" s="2" t="str">
        <f t="shared" si="4"/>
        <v>TC_E4_00_00</v>
      </c>
      <c r="R35" s="20"/>
      <c r="S35" s="2" t="str">
        <f t="shared" si="5"/>
        <v>TC_E5_00_00</v>
      </c>
      <c r="T35" s="20"/>
      <c r="U35" s="2" t="str">
        <f t="shared" si="6"/>
        <v>TC_E6_00_00</v>
      </c>
      <c r="V35" s="20"/>
      <c r="W35" s="9"/>
      <c r="X35" s="9"/>
      <c r="Y35" s="9"/>
      <c r="Z35" s="9"/>
    </row>
    <row r="36" spans="1:26" x14ac:dyDescent="0.25">
      <c r="A36" s="22" t="b">
        <v>0</v>
      </c>
      <c r="B36" s="2">
        <f t="shared" si="0"/>
        <v>35</v>
      </c>
      <c r="C36" s="14" t="str">
        <f>_xlfn.XLOOKUP($D36,Tab_Def_Processes[Process_Name],Tab_Def_Processes[ID],,0,)</f>
        <v>00</v>
      </c>
      <c r="D36" s="18"/>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_xlfn.XLOOKUP($D36,Tab_Def_Processes[Process_Name],Tab_Def_Processes[Outflow_count],,0,)</f>
        <v>0</v>
      </c>
      <c r="I36" s="18"/>
      <c r="J36" s="15" t="str">
        <f>_xlfn.XLOOKUP($I36,Tab_Def_Flows[Flow_Name],Tab_Def_Flows[Flow_ID],,0,)</f>
        <v>F_00_00</v>
      </c>
      <c r="K36" s="11" t="str">
        <f t="shared" si="1"/>
        <v>TC_E1_00_00</v>
      </c>
      <c r="L36" s="20"/>
      <c r="M36" s="2" t="str">
        <f t="shared" si="2"/>
        <v>TC_E2_00_00</v>
      </c>
      <c r="N36" s="20"/>
      <c r="O36" s="2" t="str">
        <f t="shared" si="3"/>
        <v>TC_E3_00_00</v>
      </c>
      <c r="P36" s="20"/>
      <c r="Q36" s="2" t="str">
        <f t="shared" si="4"/>
        <v>TC_E4_00_00</v>
      </c>
      <c r="R36" s="20"/>
      <c r="S36" s="2" t="str">
        <f t="shared" si="5"/>
        <v>TC_E5_00_00</v>
      </c>
      <c r="T36" s="20"/>
      <c r="U36" s="2" t="str">
        <f t="shared" si="6"/>
        <v>TC_E6_00_00</v>
      </c>
      <c r="V36" s="20"/>
      <c r="W36" s="9"/>
      <c r="X36" s="9"/>
      <c r="Y36" s="9"/>
      <c r="Z36" s="9"/>
    </row>
    <row r="37" spans="1:26" x14ac:dyDescent="0.25">
      <c r="A37" s="22" t="b">
        <v>0</v>
      </c>
      <c r="B37" s="2">
        <f t="shared" si="0"/>
        <v>36</v>
      </c>
      <c r="C37" s="14" t="str">
        <f>_xlfn.XLOOKUP($D37,Tab_Def_Processes[Process_Name],Tab_Def_Processes[ID],,0,)</f>
        <v>00</v>
      </c>
      <c r="D37" s="18"/>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_xlfn.XLOOKUP($D37,Tab_Def_Processes[Process_Name],Tab_Def_Processes[Outflow_count],,0,)</f>
        <v>0</v>
      </c>
      <c r="I37" s="18"/>
      <c r="J37" s="15" t="str">
        <f>_xlfn.XLOOKUP($I37,Tab_Def_Flows[Flow_Name],Tab_Def_Flows[Flow_ID],,0,)</f>
        <v>F_00_00</v>
      </c>
      <c r="K37" s="11" t="str">
        <f t="shared" si="1"/>
        <v>TC_E1_00_00</v>
      </c>
      <c r="L37" s="20"/>
      <c r="M37" s="2" t="str">
        <f t="shared" si="2"/>
        <v>TC_E2_00_00</v>
      </c>
      <c r="N37" s="20"/>
      <c r="O37" s="2" t="str">
        <f t="shared" si="3"/>
        <v>TC_E3_00_00</v>
      </c>
      <c r="P37" s="20"/>
      <c r="Q37" s="2" t="str">
        <f t="shared" si="4"/>
        <v>TC_E4_00_00</v>
      </c>
      <c r="R37" s="20"/>
      <c r="S37" s="2" t="str">
        <f t="shared" si="5"/>
        <v>TC_E5_00_00</v>
      </c>
      <c r="T37" s="20"/>
      <c r="U37" s="2" t="str">
        <f t="shared" si="6"/>
        <v>TC_E6_00_00</v>
      </c>
      <c r="V37" s="20"/>
      <c r="W37" s="9"/>
      <c r="X37" s="9"/>
      <c r="Y37" s="9"/>
      <c r="Z37" s="9"/>
    </row>
    <row r="38" spans="1:26" x14ac:dyDescent="0.25">
      <c r="A38" s="22" t="b">
        <v>0</v>
      </c>
      <c r="B38" s="2">
        <f t="shared" si="0"/>
        <v>37</v>
      </c>
      <c r="C38" s="14" t="str">
        <f>_xlfn.XLOOKUP($D38,Tab_Def_Processes[Process_Name],Tab_Def_Processes[ID],,0,)</f>
        <v>00</v>
      </c>
      <c r="D38" s="18"/>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_xlfn.XLOOKUP($D38,Tab_Def_Processes[Process_Name],Tab_Def_Processes[Outflow_count],,0,)</f>
        <v>0</v>
      </c>
      <c r="I38" s="18"/>
      <c r="J38" s="15" t="str">
        <f>_xlfn.XLOOKUP($I38,Tab_Def_Flows[Flow_Name],Tab_Def_Flows[Flow_ID],,0,)</f>
        <v>F_00_00</v>
      </c>
      <c r="K38" s="11" t="str">
        <f t="shared" si="1"/>
        <v>TC_E1_00_00</v>
      </c>
      <c r="L38" s="20"/>
      <c r="M38" s="2" t="str">
        <f t="shared" si="2"/>
        <v>TC_E2_00_00</v>
      </c>
      <c r="N38" s="20"/>
      <c r="O38" s="2" t="str">
        <f t="shared" si="3"/>
        <v>TC_E3_00_00</v>
      </c>
      <c r="P38" s="20"/>
      <c r="Q38" s="2" t="str">
        <f t="shared" si="4"/>
        <v>TC_E4_00_00</v>
      </c>
      <c r="R38" s="20"/>
      <c r="S38" s="2" t="str">
        <f t="shared" si="5"/>
        <v>TC_E5_00_00</v>
      </c>
      <c r="T38" s="20"/>
      <c r="U38" s="2" t="str">
        <f t="shared" si="6"/>
        <v>TC_E6_00_00</v>
      </c>
      <c r="V38" s="20"/>
      <c r="W38" s="9"/>
      <c r="X38" s="9"/>
      <c r="Y38" s="9"/>
      <c r="Z38" s="9"/>
    </row>
    <row r="39" spans="1:26" x14ac:dyDescent="0.25">
      <c r="A39" s="22" t="b">
        <v>0</v>
      </c>
      <c r="B39" s="2">
        <f t="shared" si="0"/>
        <v>38</v>
      </c>
      <c r="C39" s="14" t="str">
        <f>_xlfn.XLOOKUP($D39,Tab_Def_Processes[Process_Name],Tab_Def_Processes[ID],,0,)</f>
        <v>00</v>
      </c>
      <c r="D39" s="18"/>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_xlfn.XLOOKUP($D39,Tab_Def_Processes[Process_Name],Tab_Def_Processes[Outflow_count],,0,)</f>
        <v>0</v>
      </c>
      <c r="I39" s="18"/>
      <c r="J39" s="15" t="str">
        <f>_xlfn.XLOOKUP($I39,Tab_Def_Flows[Flow_Name],Tab_Def_Flows[Flow_ID],,0,)</f>
        <v>F_00_00</v>
      </c>
      <c r="K39" s="11" t="str">
        <f t="shared" si="1"/>
        <v>TC_E1_00_00</v>
      </c>
      <c r="L39" s="20"/>
      <c r="M39" s="2" t="str">
        <f t="shared" si="2"/>
        <v>TC_E2_00_00</v>
      </c>
      <c r="N39" s="20"/>
      <c r="O39" s="2" t="str">
        <f t="shared" si="3"/>
        <v>TC_E3_00_00</v>
      </c>
      <c r="P39" s="20"/>
      <c r="Q39" s="2" t="str">
        <f t="shared" si="4"/>
        <v>TC_E4_00_00</v>
      </c>
      <c r="R39" s="20"/>
      <c r="S39" s="2" t="str">
        <f t="shared" si="5"/>
        <v>TC_E5_00_00</v>
      </c>
      <c r="T39" s="20"/>
      <c r="U39" s="2" t="str">
        <f t="shared" si="6"/>
        <v>TC_E6_00_00</v>
      </c>
      <c r="V39" s="20"/>
      <c r="W39" s="9"/>
      <c r="X39" s="9"/>
      <c r="Y39" s="9"/>
      <c r="Z39" s="9"/>
    </row>
    <row r="40" spans="1:26" x14ac:dyDescent="0.25">
      <c r="A40" s="22" t="b">
        <v>0</v>
      </c>
      <c r="B40" s="2">
        <f t="shared" si="0"/>
        <v>39</v>
      </c>
      <c r="C40" s="14" t="str">
        <f>_xlfn.XLOOKUP($D40,Tab_Def_Processes[Process_Name],Tab_Def_Processes[ID],,0,)</f>
        <v>00</v>
      </c>
      <c r="D40" s="18"/>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_xlfn.XLOOKUP($D40,Tab_Def_Processes[Process_Name],Tab_Def_Processes[Outflow_count],,0,)</f>
        <v>0</v>
      </c>
      <c r="I40" s="18"/>
      <c r="J40" s="15" t="str">
        <f>_xlfn.XLOOKUP($I40,Tab_Def_Flows[Flow_Name],Tab_Def_Flows[Flow_ID],,0,)</f>
        <v>F_00_00</v>
      </c>
      <c r="K40" s="11" t="str">
        <f t="shared" si="1"/>
        <v>TC_E1_00_00</v>
      </c>
      <c r="L40" s="20"/>
      <c r="M40" s="2" t="str">
        <f t="shared" si="2"/>
        <v>TC_E2_00_00</v>
      </c>
      <c r="N40" s="20"/>
      <c r="O40" s="2" t="str">
        <f t="shared" si="3"/>
        <v>TC_E3_00_00</v>
      </c>
      <c r="P40" s="20"/>
      <c r="Q40" s="2" t="str">
        <f t="shared" si="4"/>
        <v>TC_E4_00_00</v>
      </c>
      <c r="R40" s="20"/>
      <c r="S40" s="2" t="str">
        <f t="shared" si="5"/>
        <v>TC_E5_00_00</v>
      </c>
      <c r="T40" s="20"/>
      <c r="U40" s="2" t="str">
        <f t="shared" si="6"/>
        <v>TC_E6_00_00</v>
      </c>
      <c r="V40" s="20"/>
      <c r="W40" s="9"/>
      <c r="X40" s="9"/>
      <c r="Y40" s="9"/>
      <c r="Z40" s="9"/>
    </row>
    <row r="41" spans="1:26" x14ac:dyDescent="0.25">
      <c r="A41" s="22" t="b">
        <v>0</v>
      </c>
      <c r="B41" s="2">
        <f t="shared" si="0"/>
        <v>40</v>
      </c>
      <c r="C41" s="14" t="str">
        <f>_xlfn.XLOOKUP($D41,Tab_Def_Processes[Process_Name],Tab_Def_Processes[ID],,0,)</f>
        <v>00</v>
      </c>
      <c r="D41" s="18"/>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_xlfn.XLOOKUP($D41,Tab_Def_Processes[Process_Name],Tab_Def_Processes[Outflow_count],,0,)</f>
        <v>0</v>
      </c>
      <c r="I41" s="18"/>
      <c r="J41" s="15" t="str">
        <f>_xlfn.XLOOKUP($I41,Tab_Def_Flows[Flow_Name],Tab_Def_Flows[Flow_ID],,0,)</f>
        <v>F_00_00</v>
      </c>
      <c r="K41" s="11" t="str">
        <f t="shared" si="1"/>
        <v>TC_E1_00_00</v>
      </c>
      <c r="L41" s="20"/>
      <c r="M41" s="2" t="str">
        <f t="shared" si="2"/>
        <v>TC_E2_00_00</v>
      </c>
      <c r="N41" s="20"/>
      <c r="O41" s="2" t="str">
        <f t="shared" si="3"/>
        <v>TC_E3_00_00</v>
      </c>
      <c r="P41" s="20"/>
      <c r="Q41" s="2" t="str">
        <f t="shared" si="4"/>
        <v>TC_E4_00_00</v>
      </c>
      <c r="R41" s="20"/>
      <c r="S41" s="2" t="str">
        <f t="shared" si="5"/>
        <v>TC_E5_00_00</v>
      </c>
      <c r="T41" s="20"/>
      <c r="U41" s="2" t="str">
        <f t="shared" si="6"/>
        <v>TC_E6_00_00</v>
      </c>
      <c r="V41" s="20"/>
      <c r="W41" s="9"/>
      <c r="X41" s="9"/>
      <c r="Y41" s="9"/>
      <c r="Z41" s="9"/>
    </row>
    <row r="42" spans="1:26" x14ac:dyDescent="0.25">
      <c r="A42" s="22" t="b">
        <v>0</v>
      </c>
      <c r="B42" s="2">
        <f t="shared" si="0"/>
        <v>41</v>
      </c>
      <c r="C42" s="14" t="str">
        <f>_xlfn.XLOOKUP($D42,Tab_Def_Processes[Process_Name],Tab_Def_Processes[ID],,0,)</f>
        <v>00</v>
      </c>
      <c r="D42" s="18"/>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_xlfn.XLOOKUP($D42,Tab_Def_Processes[Process_Name],Tab_Def_Processes[Outflow_count],,0,)</f>
        <v>0</v>
      </c>
      <c r="I42" s="18"/>
      <c r="J42" s="15" t="str">
        <f>_xlfn.XLOOKUP($I42,Tab_Def_Flows[Flow_Name],Tab_Def_Flows[Flow_ID],,0,)</f>
        <v>F_00_00</v>
      </c>
      <c r="K42" s="11" t="str">
        <f t="shared" si="1"/>
        <v>TC_E1_00_00</v>
      </c>
      <c r="L42" s="20"/>
      <c r="M42" s="2" t="str">
        <f t="shared" si="2"/>
        <v>TC_E2_00_00</v>
      </c>
      <c r="N42" s="20"/>
      <c r="O42" s="2" t="str">
        <f t="shared" si="3"/>
        <v>TC_E3_00_00</v>
      </c>
      <c r="P42" s="20"/>
      <c r="Q42" s="2" t="str">
        <f t="shared" si="4"/>
        <v>TC_E4_00_00</v>
      </c>
      <c r="R42" s="20"/>
      <c r="S42" s="2" t="str">
        <f t="shared" si="5"/>
        <v>TC_E5_00_00</v>
      </c>
      <c r="T42" s="20"/>
      <c r="U42" s="2" t="str">
        <f t="shared" si="6"/>
        <v>TC_E6_00_00</v>
      </c>
      <c r="V42" s="20"/>
      <c r="W42" s="9"/>
      <c r="X42" s="9"/>
      <c r="Y42" s="9"/>
      <c r="Z42" s="9"/>
    </row>
    <row r="43" spans="1:26" x14ac:dyDescent="0.25">
      <c r="A43" s="22" t="b">
        <v>0</v>
      </c>
      <c r="B43" s="2">
        <f t="shared" si="0"/>
        <v>42</v>
      </c>
      <c r="C43" s="14" t="str">
        <f>_xlfn.XLOOKUP($D43,Tab_Def_Processes[Process_Name],Tab_Def_Processes[ID],,0,)</f>
        <v>00</v>
      </c>
      <c r="D43" s="18"/>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_xlfn.XLOOKUP($D43,Tab_Def_Processes[Process_Name],Tab_Def_Processes[Outflow_count],,0,)</f>
        <v>0</v>
      </c>
      <c r="I43" s="18"/>
      <c r="J43" s="15" t="str">
        <f>_xlfn.XLOOKUP($I43,Tab_Def_Flows[Flow_Name],Tab_Def_Flows[Flow_ID],,0,)</f>
        <v>F_00_00</v>
      </c>
      <c r="K43" s="11" t="str">
        <f t="shared" si="1"/>
        <v>TC_E1_00_00</v>
      </c>
      <c r="L43" s="20"/>
      <c r="M43" s="2" t="str">
        <f t="shared" si="2"/>
        <v>TC_E2_00_00</v>
      </c>
      <c r="N43" s="20"/>
      <c r="O43" s="2" t="str">
        <f t="shared" si="3"/>
        <v>TC_E3_00_00</v>
      </c>
      <c r="P43" s="20"/>
      <c r="Q43" s="2" t="str">
        <f t="shared" si="4"/>
        <v>TC_E4_00_00</v>
      </c>
      <c r="R43" s="20"/>
      <c r="S43" s="2" t="str">
        <f t="shared" si="5"/>
        <v>TC_E5_00_00</v>
      </c>
      <c r="T43" s="20"/>
      <c r="U43" s="2" t="str">
        <f t="shared" si="6"/>
        <v>TC_E6_00_00</v>
      </c>
      <c r="V43" s="20"/>
      <c r="W43" s="9"/>
      <c r="X43" s="9"/>
      <c r="Y43" s="9"/>
      <c r="Z43" s="9"/>
    </row>
    <row r="44" spans="1:26" x14ac:dyDescent="0.25">
      <c r="A44" s="22" t="b">
        <v>0</v>
      </c>
      <c r="B44" s="2">
        <f t="shared" si="0"/>
        <v>43</v>
      </c>
      <c r="C44" s="14" t="str">
        <f>_xlfn.XLOOKUP($D44,Tab_Def_Processes[Process_Name],Tab_Def_Processes[ID],,0,)</f>
        <v>00</v>
      </c>
      <c r="D44" s="18"/>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_xlfn.XLOOKUP($D44,Tab_Def_Processes[Process_Name],Tab_Def_Processes[Outflow_count],,0,)</f>
        <v>0</v>
      </c>
      <c r="I44" s="18"/>
      <c r="J44" s="15" t="str">
        <f>_xlfn.XLOOKUP($I44,Tab_Def_Flows[Flow_Name],Tab_Def_Flows[Flow_ID],,0,)</f>
        <v>F_00_00</v>
      </c>
      <c r="K44" s="11" t="str">
        <f t="shared" si="1"/>
        <v>TC_E1_00_00</v>
      </c>
      <c r="L44" s="20"/>
      <c r="M44" s="2" t="str">
        <f t="shared" si="2"/>
        <v>TC_E2_00_00</v>
      </c>
      <c r="N44" s="20"/>
      <c r="O44" s="2" t="str">
        <f t="shared" si="3"/>
        <v>TC_E3_00_00</v>
      </c>
      <c r="P44" s="20"/>
      <c r="Q44" s="2" t="str">
        <f t="shared" si="4"/>
        <v>TC_E4_00_00</v>
      </c>
      <c r="R44" s="20"/>
      <c r="S44" s="2" t="str">
        <f t="shared" si="5"/>
        <v>TC_E5_00_00</v>
      </c>
      <c r="T44" s="20"/>
      <c r="U44" s="2" t="str">
        <f t="shared" si="6"/>
        <v>TC_E6_00_00</v>
      </c>
      <c r="V44" s="20"/>
      <c r="W44" s="9"/>
      <c r="X44" s="9"/>
      <c r="Y44" s="9"/>
      <c r="Z44" s="9"/>
    </row>
    <row r="45" spans="1:26" x14ac:dyDescent="0.25">
      <c r="A45" s="22" t="b">
        <v>0</v>
      </c>
      <c r="B45" s="2">
        <f t="shared" si="0"/>
        <v>44</v>
      </c>
      <c r="C45" s="14" t="str">
        <f>_xlfn.XLOOKUP($D45,Tab_Def_Processes[Process_Name],Tab_Def_Processes[ID],,0,)</f>
        <v>00</v>
      </c>
      <c r="D45" s="18"/>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_xlfn.XLOOKUP($D45,Tab_Def_Processes[Process_Name],Tab_Def_Processes[Outflow_count],,0,)</f>
        <v>0</v>
      </c>
      <c r="I45" s="18"/>
      <c r="J45" s="15" t="str">
        <f>_xlfn.XLOOKUP($I45,Tab_Def_Flows[Flow_Name],Tab_Def_Flows[Flow_ID],,0,)</f>
        <v>F_00_00</v>
      </c>
      <c r="K45" s="11" t="str">
        <f t="shared" si="1"/>
        <v>TC_E1_00_00</v>
      </c>
      <c r="L45" s="20"/>
      <c r="M45" s="2" t="str">
        <f t="shared" si="2"/>
        <v>TC_E2_00_00</v>
      </c>
      <c r="N45" s="20"/>
      <c r="O45" s="2" t="str">
        <f t="shared" si="3"/>
        <v>TC_E3_00_00</v>
      </c>
      <c r="P45" s="20"/>
      <c r="Q45" s="2" t="str">
        <f t="shared" si="4"/>
        <v>TC_E4_00_00</v>
      </c>
      <c r="R45" s="20"/>
      <c r="S45" s="2" t="str">
        <f t="shared" si="5"/>
        <v>TC_E5_00_00</v>
      </c>
      <c r="T45" s="20"/>
      <c r="U45" s="2" t="str">
        <f t="shared" si="6"/>
        <v>TC_E6_00_00</v>
      </c>
      <c r="V45" s="20"/>
      <c r="W45" s="9"/>
      <c r="X45" s="9"/>
      <c r="Y45" s="9"/>
      <c r="Z45" s="9"/>
    </row>
    <row r="46" spans="1:26" x14ac:dyDescent="0.25">
      <c r="A46" s="22" t="b">
        <v>0</v>
      </c>
      <c r="B46" s="2">
        <f t="shared" si="0"/>
        <v>45</v>
      </c>
      <c r="C46" s="14" t="str">
        <f>_xlfn.XLOOKUP($D46,Tab_Def_Processes[Process_Name],Tab_Def_Processes[ID],,0,)</f>
        <v>00</v>
      </c>
      <c r="D46" s="18"/>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_xlfn.XLOOKUP($D46,Tab_Def_Processes[Process_Name],Tab_Def_Processes[Outflow_count],,0,)</f>
        <v>0</v>
      </c>
      <c r="I46" s="18"/>
      <c r="J46" s="15" t="str">
        <f>_xlfn.XLOOKUP($I46,Tab_Def_Flows[Flow_Name],Tab_Def_Flows[Flow_ID],,0,)</f>
        <v>F_00_00</v>
      </c>
      <c r="K46" s="11" t="str">
        <f t="shared" si="1"/>
        <v>TC_E1_00_00</v>
      </c>
      <c r="L46" s="20"/>
      <c r="M46" s="2" t="str">
        <f t="shared" si="2"/>
        <v>TC_E2_00_00</v>
      </c>
      <c r="N46" s="20"/>
      <c r="O46" s="2" t="str">
        <f t="shared" si="3"/>
        <v>TC_E3_00_00</v>
      </c>
      <c r="P46" s="20"/>
      <c r="Q46" s="2" t="str">
        <f t="shared" si="4"/>
        <v>TC_E4_00_00</v>
      </c>
      <c r="R46" s="20"/>
      <c r="S46" s="2" t="str">
        <f t="shared" si="5"/>
        <v>TC_E5_00_00</v>
      </c>
      <c r="T46" s="20"/>
      <c r="U46" s="2" t="str">
        <f t="shared" si="6"/>
        <v>TC_E6_00_00</v>
      </c>
      <c r="V46" s="20"/>
      <c r="W46" s="9"/>
      <c r="X46" s="9"/>
      <c r="Y46" s="9"/>
      <c r="Z46" s="9"/>
    </row>
    <row r="47" spans="1:26" x14ac:dyDescent="0.25">
      <c r="A47" s="22" t="b">
        <v>0</v>
      </c>
      <c r="B47" s="2">
        <f t="shared" si="0"/>
        <v>46</v>
      </c>
      <c r="C47" s="14" t="str">
        <f>_xlfn.XLOOKUP($D47,Tab_Def_Processes[Process_Name],Tab_Def_Processes[ID],,0,)</f>
        <v>00</v>
      </c>
      <c r="D47" s="18"/>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_xlfn.XLOOKUP($D47,Tab_Def_Processes[Process_Name],Tab_Def_Processes[Outflow_count],,0,)</f>
        <v>0</v>
      </c>
      <c r="I47" s="18"/>
      <c r="J47" s="15" t="str">
        <f>_xlfn.XLOOKUP($I47,Tab_Def_Flows[Flow_Name],Tab_Def_Flows[Flow_ID],,0,)</f>
        <v>F_00_00</v>
      </c>
      <c r="K47" s="11" t="str">
        <f t="shared" si="1"/>
        <v>TC_E1_00_00</v>
      </c>
      <c r="L47" s="20"/>
      <c r="M47" s="2" t="str">
        <f t="shared" si="2"/>
        <v>TC_E2_00_00</v>
      </c>
      <c r="N47" s="20"/>
      <c r="O47" s="2" t="str">
        <f t="shared" si="3"/>
        <v>TC_E3_00_00</v>
      </c>
      <c r="P47" s="20"/>
      <c r="Q47" s="2" t="str">
        <f t="shared" si="4"/>
        <v>TC_E4_00_00</v>
      </c>
      <c r="R47" s="20"/>
      <c r="S47" s="2" t="str">
        <f t="shared" si="5"/>
        <v>TC_E5_00_00</v>
      </c>
      <c r="T47" s="20"/>
      <c r="U47" s="2" t="str">
        <f t="shared" si="6"/>
        <v>TC_E6_00_00</v>
      </c>
      <c r="V47" s="20"/>
      <c r="W47" s="9"/>
      <c r="X47" s="9"/>
      <c r="Y47" s="9"/>
      <c r="Z47" s="9"/>
    </row>
    <row r="48" spans="1:26" x14ac:dyDescent="0.25">
      <c r="A48" s="22" t="b">
        <v>0</v>
      </c>
      <c r="B48" s="2">
        <f t="shared" si="0"/>
        <v>47</v>
      </c>
      <c r="C48" s="14" t="str">
        <f>_xlfn.XLOOKUP($D48,Tab_Def_Processes[Process_Name],Tab_Def_Processes[ID],,0,)</f>
        <v>00</v>
      </c>
      <c r="D48" s="18"/>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_xlfn.XLOOKUP($D48,Tab_Def_Processes[Process_Name],Tab_Def_Processes[Outflow_count],,0,)</f>
        <v>0</v>
      </c>
      <c r="I48" s="18"/>
      <c r="J48" s="15" t="str">
        <f>_xlfn.XLOOKUP($I48,Tab_Def_Flows[Flow_Name],Tab_Def_Flows[Flow_ID],,0,)</f>
        <v>F_00_00</v>
      </c>
      <c r="K48" s="11" t="str">
        <f t="shared" si="1"/>
        <v>TC_E1_00_00</v>
      </c>
      <c r="L48" s="20"/>
      <c r="M48" s="2" t="str">
        <f t="shared" si="2"/>
        <v>TC_E2_00_00</v>
      </c>
      <c r="N48" s="20"/>
      <c r="O48" s="2" t="str">
        <f t="shared" si="3"/>
        <v>TC_E3_00_00</v>
      </c>
      <c r="P48" s="20"/>
      <c r="Q48" s="2" t="str">
        <f t="shared" si="4"/>
        <v>TC_E4_00_00</v>
      </c>
      <c r="R48" s="20"/>
      <c r="S48" s="2" t="str">
        <f t="shared" si="5"/>
        <v>TC_E5_00_00</v>
      </c>
      <c r="T48" s="20"/>
      <c r="U48" s="2" t="str">
        <f t="shared" si="6"/>
        <v>TC_E6_00_00</v>
      </c>
      <c r="V48" s="20"/>
      <c r="W48" s="9"/>
      <c r="X48" s="9"/>
      <c r="Y48" s="9"/>
      <c r="Z48" s="9"/>
    </row>
    <row r="49" spans="1:26" x14ac:dyDescent="0.25">
      <c r="A49" s="22" t="b">
        <v>0</v>
      </c>
      <c r="B49" s="2">
        <f t="shared" ref="B49:B95" si="7">ROW()-1</f>
        <v>48</v>
      </c>
      <c r="C49" s="14" t="str">
        <f>_xlfn.XLOOKUP($D49,Tab_Def_Processes[Process_Name],Tab_Def_Processes[ID],,0,)</f>
        <v>00</v>
      </c>
      <c r="D49" s="18"/>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_xlfn.XLOOKUP($D49,Tab_Def_Processes[Process_Name],Tab_Def_Processes[Outflow_count],,0,)</f>
        <v>0</v>
      </c>
      <c r="I49" s="18"/>
      <c r="J49" s="15" t="str">
        <f>_xlfn.XLOOKUP($I49,Tab_Def_Flows[Flow_Name],Tab_Def_Flows[Flow_ID],,0,)</f>
        <v>F_00_00</v>
      </c>
      <c r="K49" s="11" t="str">
        <f t="shared" ref="K49:K95" si="8">"TC_E1"&amp;"_"&amp;RIGHT(J49,5)</f>
        <v>TC_E1_00_00</v>
      </c>
      <c r="L49" s="20"/>
      <c r="M49" s="2" t="str">
        <f t="shared" ref="M49:M95" si="9">"TC_E2"&amp;"_"&amp;RIGHT(J49,5)</f>
        <v>TC_E2_00_00</v>
      </c>
      <c r="N49" s="20"/>
      <c r="O49" s="2" t="str">
        <f t="shared" ref="O49:O95" si="10">"TC_E3"&amp;"_"&amp;RIGHT(J49,5)</f>
        <v>TC_E3_00_00</v>
      </c>
      <c r="P49" s="20"/>
      <c r="Q49" s="2" t="str">
        <f t="shared" ref="Q49:Q95" si="11">"TC_E4"&amp;"_"&amp;RIGHT(J49,5)</f>
        <v>TC_E4_00_00</v>
      </c>
      <c r="R49" s="20"/>
      <c r="S49" s="2" t="str">
        <f t="shared" ref="S49:S95" si="12">"TC_E5"&amp;"_"&amp;RIGHT(J49,5)</f>
        <v>TC_E5_00_00</v>
      </c>
      <c r="T49" s="20"/>
      <c r="U49" s="2" t="str">
        <f t="shared" si="6"/>
        <v>TC_E6_00_00</v>
      </c>
      <c r="V49" s="20"/>
      <c r="W49" s="9"/>
      <c r="X49" s="9"/>
      <c r="Y49" s="9"/>
      <c r="Z49" s="9"/>
    </row>
    <row r="50" spans="1:26" x14ac:dyDescent="0.25">
      <c r="A50" s="22" t="b">
        <v>0</v>
      </c>
      <c r="B50" s="2">
        <f t="shared" si="7"/>
        <v>49</v>
      </c>
      <c r="C50" s="14" t="str">
        <f>_xlfn.XLOOKUP($D50,Tab_Def_Processes[Process_Name],Tab_Def_Processes[ID],,0,)</f>
        <v>00</v>
      </c>
      <c r="D50" s="18"/>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_xlfn.XLOOKUP($D50,Tab_Def_Processes[Process_Name],Tab_Def_Processes[Outflow_count],,0,)</f>
        <v>0</v>
      </c>
      <c r="I50" s="18"/>
      <c r="J50" s="15" t="str">
        <f>_xlfn.XLOOKUP($I50,Tab_Def_Flows[Flow_Name],Tab_Def_Flows[Flow_ID],,0,)</f>
        <v>F_00_00</v>
      </c>
      <c r="K50" s="11" t="str">
        <f t="shared" si="8"/>
        <v>TC_E1_00_00</v>
      </c>
      <c r="L50" s="20"/>
      <c r="M50" s="2" t="str">
        <f t="shared" si="9"/>
        <v>TC_E2_00_00</v>
      </c>
      <c r="N50" s="20"/>
      <c r="O50" s="2" t="str">
        <f t="shared" si="10"/>
        <v>TC_E3_00_00</v>
      </c>
      <c r="P50" s="20"/>
      <c r="Q50" s="2" t="str">
        <f t="shared" si="11"/>
        <v>TC_E4_00_00</v>
      </c>
      <c r="R50" s="20"/>
      <c r="S50" s="2" t="str">
        <f t="shared" si="12"/>
        <v>TC_E5_00_00</v>
      </c>
      <c r="T50" s="20"/>
      <c r="U50" s="2" t="str">
        <f t="shared" si="6"/>
        <v>TC_E6_00_00</v>
      </c>
      <c r="V50" s="20"/>
      <c r="W50" s="9"/>
      <c r="X50" s="9"/>
      <c r="Y50" s="9"/>
      <c r="Z50" s="9"/>
    </row>
    <row r="51" spans="1:26" x14ac:dyDescent="0.25">
      <c r="A51" s="22" t="b">
        <v>0</v>
      </c>
      <c r="B51" s="2">
        <f t="shared" si="7"/>
        <v>50</v>
      </c>
      <c r="C51" s="14" t="str">
        <f>_xlfn.XLOOKUP($D51,Tab_Def_Processes[Process_Name],Tab_Def_Processes[ID],,0,)</f>
        <v>00</v>
      </c>
      <c r="D51" s="18"/>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_xlfn.XLOOKUP($D51,Tab_Def_Processes[Process_Name],Tab_Def_Processes[Outflow_count],,0,)</f>
        <v>0</v>
      </c>
      <c r="I51" s="18"/>
      <c r="J51" s="15" t="str">
        <f>_xlfn.XLOOKUP($I51,Tab_Def_Flows[Flow_Name],Tab_Def_Flows[Flow_ID],,0,)</f>
        <v>F_00_00</v>
      </c>
      <c r="K51" s="11" t="str">
        <f t="shared" si="8"/>
        <v>TC_E1_00_00</v>
      </c>
      <c r="L51" s="20"/>
      <c r="M51" s="2" t="str">
        <f t="shared" si="9"/>
        <v>TC_E2_00_00</v>
      </c>
      <c r="N51" s="20"/>
      <c r="O51" s="2" t="str">
        <f t="shared" si="10"/>
        <v>TC_E3_00_00</v>
      </c>
      <c r="P51" s="20"/>
      <c r="Q51" s="2" t="str">
        <f t="shared" si="11"/>
        <v>TC_E4_00_00</v>
      </c>
      <c r="R51" s="20"/>
      <c r="S51" s="2" t="str">
        <f t="shared" si="12"/>
        <v>TC_E5_00_00</v>
      </c>
      <c r="T51" s="20"/>
      <c r="U51" s="2" t="str">
        <f t="shared" si="6"/>
        <v>TC_E6_00_00</v>
      </c>
      <c r="V51" s="20"/>
      <c r="W51" s="9"/>
      <c r="X51" s="9"/>
      <c r="Y51" s="9"/>
      <c r="Z51" s="9"/>
    </row>
    <row r="52" spans="1:26" x14ac:dyDescent="0.25">
      <c r="A52" s="22" t="b">
        <v>0</v>
      </c>
      <c r="B52" s="2">
        <f t="shared" si="7"/>
        <v>51</v>
      </c>
      <c r="C52" s="14" t="str">
        <f>_xlfn.XLOOKUP($D52,Tab_Def_Processes[Process_Name],Tab_Def_Processes[ID],,0,)</f>
        <v>00</v>
      </c>
      <c r="D52" s="18"/>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_xlfn.XLOOKUP($D52,Tab_Def_Processes[Process_Name],Tab_Def_Processes[Outflow_count],,0,)</f>
        <v>0</v>
      </c>
      <c r="I52" s="18"/>
      <c r="J52" s="15" t="str">
        <f>_xlfn.XLOOKUP($I52,Tab_Def_Flows[Flow_Name],Tab_Def_Flows[Flow_ID],,0,)</f>
        <v>F_00_00</v>
      </c>
      <c r="K52" s="11" t="str">
        <f t="shared" si="8"/>
        <v>TC_E1_00_00</v>
      </c>
      <c r="L52" s="20"/>
      <c r="M52" s="2" t="str">
        <f t="shared" si="9"/>
        <v>TC_E2_00_00</v>
      </c>
      <c r="N52" s="20"/>
      <c r="O52" s="2" t="str">
        <f t="shared" si="10"/>
        <v>TC_E3_00_00</v>
      </c>
      <c r="P52" s="20"/>
      <c r="Q52" s="2" t="str">
        <f t="shared" si="11"/>
        <v>TC_E4_00_00</v>
      </c>
      <c r="R52" s="20"/>
      <c r="S52" s="2" t="str">
        <f t="shared" si="12"/>
        <v>TC_E5_00_00</v>
      </c>
      <c r="T52" s="20"/>
      <c r="U52" s="2" t="str">
        <f t="shared" si="6"/>
        <v>TC_E6_00_00</v>
      </c>
      <c r="V52" s="20"/>
      <c r="W52" s="9"/>
      <c r="X52" s="9"/>
      <c r="Y52" s="9"/>
      <c r="Z52" s="9"/>
    </row>
    <row r="53" spans="1:26" x14ac:dyDescent="0.25">
      <c r="A53" s="22" t="b">
        <v>0</v>
      </c>
      <c r="B53" s="2">
        <f t="shared" si="7"/>
        <v>52</v>
      </c>
      <c r="C53" s="14" t="str">
        <f>_xlfn.XLOOKUP($D53,Tab_Def_Processes[Process_Name],Tab_Def_Processes[ID],,0,)</f>
        <v>00</v>
      </c>
      <c r="D53" s="18"/>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_xlfn.XLOOKUP($D53,Tab_Def_Processes[Process_Name],Tab_Def_Processes[Outflow_count],,0,)</f>
        <v>0</v>
      </c>
      <c r="I53" s="18"/>
      <c r="J53" s="15" t="str">
        <f>_xlfn.XLOOKUP($I53,Tab_Def_Flows[Flow_Name],Tab_Def_Flows[Flow_ID],,0,)</f>
        <v>F_00_00</v>
      </c>
      <c r="K53" s="11" t="str">
        <f t="shared" si="8"/>
        <v>TC_E1_00_00</v>
      </c>
      <c r="L53" s="20"/>
      <c r="M53" s="2" t="str">
        <f t="shared" si="9"/>
        <v>TC_E2_00_00</v>
      </c>
      <c r="N53" s="20"/>
      <c r="O53" s="2" t="str">
        <f t="shared" si="10"/>
        <v>TC_E3_00_00</v>
      </c>
      <c r="P53" s="20"/>
      <c r="Q53" s="2" t="str">
        <f t="shared" si="11"/>
        <v>TC_E4_00_00</v>
      </c>
      <c r="R53" s="20"/>
      <c r="S53" s="2" t="str">
        <f t="shared" si="12"/>
        <v>TC_E5_00_00</v>
      </c>
      <c r="T53" s="20"/>
      <c r="U53" s="2" t="str">
        <f t="shared" si="6"/>
        <v>TC_E6_00_00</v>
      </c>
      <c r="V53" s="20"/>
      <c r="W53" s="9"/>
      <c r="X53" s="9"/>
      <c r="Y53" s="9"/>
      <c r="Z53" s="9"/>
    </row>
    <row r="54" spans="1:26" x14ac:dyDescent="0.25">
      <c r="A54" s="22" t="b">
        <v>0</v>
      </c>
      <c r="B54" s="2">
        <f t="shared" si="7"/>
        <v>53</v>
      </c>
      <c r="C54" s="14" t="str">
        <f>_xlfn.XLOOKUP($D54,Tab_Def_Processes[Process_Name],Tab_Def_Processes[ID],,0,)</f>
        <v>00</v>
      </c>
      <c r="D54" s="18"/>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_xlfn.XLOOKUP($D54,Tab_Def_Processes[Process_Name],Tab_Def_Processes[Outflow_count],,0,)</f>
        <v>0</v>
      </c>
      <c r="I54" s="18"/>
      <c r="J54" s="15" t="str">
        <f>_xlfn.XLOOKUP($I54,Tab_Def_Flows[Flow_Name],Tab_Def_Flows[Flow_ID],,0,)</f>
        <v>F_00_00</v>
      </c>
      <c r="K54" s="11" t="str">
        <f t="shared" si="8"/>
        <v>TC_E1_00_00</v>
      </c>
      <c r="L54" s="20"/>
      <c r="M54" s="2" t="str">
        <f t="shared" si="9"/>
        <v>TC_E2_00_00</v>
      </c>
      <c r="N54" s="20"/>
      <c r="O54" s="2" t="str">
        <f t="shared" si="10"/>
        <v>TC_E3_00_00</v>
      </c>
      <c r="P54" s="20"/>
      <c r="Q54" s="2" t="str">
        <f t="shared" si="11"/>
        <v>TC_E4_00_00</v>
      </c>
      <c r="R54" s="20"/>
      <c r="S54" s="2" t="str">
        <f t="shared" si="12"/>
        <v>TC_E5_00_00</v>
      </c>
      <c r="T54" s="20"/>
      <c r="U54" s="2" t="str">
        <f t="shared" si="6"/>
        <v>TC_E6_00_00</v>
      </c>
      <c r="V54" s="20"/>
      <c r="W54" s="9"/>
      <c r="X54" s="9"/>
      <c r="Y54" s="9"/>
      <c r="Z54" s="9"/>
    </row>
    <row r="55" spans="1:26" x14ac:dyDescent="0.25">
      <c r="A55" s="22" t="b">
        <v>0</v>
      </c>
      <c r="B55" s="2">
        <f t="shared" si="7"/>
        <v>54</v>
      </c>
      <c r="C55" s="14" t="str">
        <f>_xlfn.XLOOKUP($D55,Tab_Def_Processes[Process_Name],Tab_Def_Processes[ID],,0,)</f>
        <v>00</v>
      </c>
      <c r="D55" s="18"/>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_xlfn.XLOOKUP($D55,Tab_Def_Processes[Process_Name],Tab_Def_Processes[Outflow_count],,0,)</f>
        <v>0</v>
      </c>
      <c r="I55" s="18"/>
      <c r="J55" s="15" t="str">
        <f>_xlfn.XLOOKUP($I55,Tab_Def_Flows[Flow_Name],Tab_Def_Flows[Flow_ID],,0,)</f>
        <v>F_00_00</v>
      </c>
      <c r="K55" s="11" t="str">
        <f t="shared" si="8"/>
        <v>TC_E1_00_00</v>
      </c>
      <c r="L55" s="20"/>
      <c r="M55" s="2" t="str">
        <f t="shared" si="9"/>
        <v>TC_E2_00_00</v>
      </c>
      <c r="N55" s="20"/>
      <c r="O55" s="2" t="str">
        <f t="shared" si="10"/>
        <v>TC_E3_00_00</v>
      </c>
      <c r="P55" s="20"/>
      <c r="Q55" s="2" t="str">
        <f t="shared" si="11"/>
        <v>TC_E4_00_00</v>
      </c>
      <c r="R55" s="20"/>
      <c r="S55" s="2" t="str">
        <f t="shared" si="12"/>
        <v>TC_E5_00_00</v>
      </c>
      <c r="T55" s="20"/>
      <c r="U55" s="2" t="str">
        <f t="shared" si="6"/>
        <v>TC_E6_00_00</v>
      </c>
      <c r="V55" s="20"/>
      <c r="W55" s="9"/>
      <c r="X55" s="9"/>
      <c r="Y55" s="9"/>
      <c r="Z55" s="9"/>
    </row>
    <row r="56" spans="1:26" x14ac:dyDescent="0.25">
      <c r="A56" s="22" t="b">
        <v>0</v>
      </c>
      <c r="B56" s="2">
        <f t="shared" si="7"/>
        <v>55</v>
      </c>
      <c r="C56" s="14" t="str">
        <f>_xlfn.XLOOKUP($D56,Tab_Def_Processes[Process_Name],Tab_Def_Processes[ID],,0,)</f>
        <v>00</v>
      </c>
      <c r="D56" s="18"/>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_xlfn.XLOOKUP($D56,Tab_Def_Processes[Process_Name],Tab_Def_Processes[Outflow_count],,0,)</f>
        <v>0</v>
      </c>
      <c r="I56" s="18"/>
      <c r="J56" s="15" t="str">
        <f>_xlfn.XLOOKUP($I56,Tab_Def_Flows[Flow_Name],Tab_Def_Flows[Flow_ID],,0,)</f>
        <v>F_00_00</v>
      </c>
      <c r="K56" s="11" t="str">
        <f t="shared" si="8"/>
        <v>TC_E1_00_00</v>
      </c>
      <c r="L56" s="20"/>
      <c r="M56" s="2" t="str">
        <f t="shared" si="9"/>
        <v>TC_E2_00_00</v>
      </c>
      <c r="N56" s="20"/>
      <c r="O56" s="2" t="str">
        <f t="shared" si="10"/>
        <v>TC_E3_00_00</v>
      </c>
      <c r="P56" s="20"/>
      <c r="Q56" s="2" t="str">
        <f t="shared" si="11"/>
        <v>TC_E4_00_00</v>
      </c>
      <c r="R56" s="20"/>
      <c r="S56" s="2" t="str">
        <f t="shared" si="12"/>
        <v>TC_E5_00_00</v>
      </c>
      <c r="T56" s="20"/>
      <c r="U56" s="2" t="str">
        <f t="shared" si="6"/>
        <v>TC_E6_00_00</v>
      </c>
      <c r="V56" s="20"/>
      <c r="W56" s="9"/>
      <c r="X56" s="9"/>
      <c r="Y56" s="9"/>
      <c r="Z56" s="9"/>
    </row>
    <row r="57" spans="1:26" x14ac:dyDescent="0.25">
      <c r="A57" s="22" t="b">
        <v>0</v>
      </c>
      <c r="B57" s="2">
        <f t="shared" si="7"/>
        <v>56</v>
      </c>
      <c r="C57" s="14" t="str">
        <f>_xlfn.XLOOKUP($D57,Tab_Def_Processes[Process_Name],Tab_Def_Processes[ID],,0,)</f>
        <v>00</v>
      </c>
      <c r="D57" s="18"/>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_xlfn.XLOOKUP($D57,Tab_Def_Processes[Process_Name],Tab_Def_Processes[Outflow_count],,0,)</f>
        <v>0</v>
      </c>
      <c r="I57" s="18"/>
      <c r="J57" s="15" t="str">
        <f>_xlfn.XLOOKUP($I57,Tab_Def_Flows[Flow_Name],Tab_Def_Flows[Flow_ID],,0,)</f>
        <v>F_00_00</v>
      </c>
      <c r="K57" s="11" t="str">
        <f t="shared" si="8"/>
        <v>TC_E1_00_00</v>
      </c>
      <c r="L57" s="20"/>
      <c r="M57" s="2" t="str">
        <f t="shared" si="9"/>
        <v>TC_E2_00_00</v>
      </c>
      <c r="N57" s="20"/>
      <c r="O57" s="2" t="str">
        <f t="shared" si="10"/>
        <v>TC_E3_00_00</v>
      </c>
      <c r="P57" s="20"/>
      <c r="Q57" s="2" t="str">
        <f t="shared" si="11"/>
        <v>TC_E4_00_00</v>
      </c>
      <c r="R57" s="20"/>
      <c r="S57" s="2" t="str">
        <f t="shared" si="12"/>
        <v>TC_E5_00_00</v>
      </c>
      <c r="T57" s="20"/>
      <c r="U57" s="2" t="str">
        <f t="shared" si="6"/>
        <v>TC_E6_00_00</v>
      </c>
      <c r="V57" s="20"/>
      <c r="W57" s="9"/>
      <c r="X57" s="9"/>
      <c r="Y57" s="9"/>
      <c r="Z57" s="9"/>
    </row>
    <row r="58" spans="1:26" x14ac:dyDescent="0.25">
      <c r="A58" s="22" t="b">
        <v>0</v>
      </c>
      <c r="B58" s="2">
        <f t="shared" si="7"/>
        <v>57</v>
      </c>
      <c r="C58" s="14" t="str">
        <f>_xlfn.XLOOKUP($D58,Tab_Def_Processes[Process_Name],Tab_Def_Processes[ID],,0,)</f>
        <v>00</v>
      </c>
      <c r="D58" s="18"/>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_xlfn.XLOOKUP($D58,Tab_Def_Processes[Process_Name],Tab_Def_Processes[Outflow_count],,0,)</f>
        <v>0</v>
      </c>
      <c r="I58" s="18"/>
      <c r="J58" s="15" t="str">
        <f>_xlfn.XLOOKUP($I58,Tab_Def_Flows[Flow_Name],Tab_Def_Flows[Flow_ID],,0,)</f>
        <v>F_00_00</v>
      </c>
      <c r="K58" s="11" t="str">
        <f t="shared" si="8"/>
        <v>TC_E1_00_00</v>
      </c>
      <c r="L58" s="20"/>
      <c r="M58" s="2" t="str">
        <f t="shared" si="9"/>
        <v>TC_E2_00_00</v>
      </c>
      <c r="N58" s="20"/>
      <c r="O58" s="2" t="str">
        <f t="shared" si="10"/>
        <v>TC_E3_00_00</v>
      </c>
      <c r="P58" s="20"/>
      <c r="Q58" s="2" t="str">
        <f t="shared" si="11"/>
        <v>TC_E4_00_00</v>
      </c>
      <c r="R58" s="20"/>
      <c r="S58" s="2" t="str">
        <f t="shared" si="12"/>
        <v>TC_E5_00_00</v>
      </c>
      <c r="T58" s="20"/>
      <c r="U58" s="2" t="str">
        <f t="shared" si="6"/>
        <v>TC_E6_00_00</v>
      </c>
      <c r="V58" s="20"/>
      <c r="W58" s="9"/>
      <c r="X58" s="9"/>
      <c r="Y58" s="9"/>
      <c r="Z58" s="9"/>
    </row>
    <row r="59" spans="1:26" x14ac:dyDescent="0.25">
      <c r="A59" s="22" t="b">
        <v>0</v>
      </c>
      <c r="B59" s="2">
        <f t="shared" si="7"/>
        <v>58</v>
      </c>
      <c r="C59" s="14" t="str">
        <f>_xlfn.XLOOKUP($D59,Tab_Def_Processes[Process_Name],Tab_Def_Processes[ID],,0,)</f>
        <v>00</v>
      </c>
      <c r="D59" s="18"/>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_xlfn.XLOOKUP($D59,Tab_Def_Processes[Process_Name],Tab_Def_Processes[Outflow_count],,0,)</f>
        <v>0</v>
      </c>
      <c r="I59" s="18"/>
      <c r="J59" s="15" t="str">
        <f>_xlfn.XLOOKUP($I59,Tab_Def_Flows[Flow_Name],Tab_Def_Flows[Flow_ID],,0,)</f>
        <v>F_00_00</v>
      </c>
      <c r="K59" s="11" t="str">
        <f t="shared" si="8"/>
        <v>TC_E1_00_00</v>
      </c>
      <c r="L59" s="20"/>
      <c r="M59" s="2" t="str">
        <f t="shared" si="9"/>
        <v>TC_E2_00_00</v>
      </c>
      <c r="N59" s="20"/>
      <c r="O59" s="2" t="str">
        <f t="shared" si="10"/>
        <v>TC_E3_00_00</v>
      </c>
      <c r="P59" s="20"/>
      <c r="Q59" s="2" t="str">
        <f t="shared" si="11"/>
        <v>TC_E4_00_00</v>
      </c>
      <c r="R59" s="20"/>
      <c r="S59" s="2" t="str">
        <f t="shared" si="12"/>
        <v>TC_E5_00_00</v>
      </c>
      <c r="T59" s="20"/>
      <c r="U59" s="2" t="str">
        <f t="shared" si="6"/>
        <v>TC_E6_00_00</v>
      </c>
      <c r="V59" s="20"/>
      <c r="W59" s="9"/>
      <c r="X59" s="9"/>
      <c r="Y59" s="9"/>
      <c r="Z59" s="9"/>
    </row>
    <row r="60" spans="1:26" x14ac:dyDescent="0.25">
      <c r="A60" s="22" t="b">
        <v>0</v>
      </c>
      <c r="B60" s="2">
        <f t="shared" si="7"/>
        <v>59</v>
      </c>
      <c r="C60" s="14" t="str">
        <f>_xlfn.XLOOKUP($D60,Tab_Def_Processes[Process_Name],Tab_Def_Processes[ID],,0,)</f>
        <v>00</v>
      </c>
      <c r="D60" s="18"/>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_xlfn.XLOOKUP($D60,Tab_Def_Processes[Process_Name],Tab_Def_Processes[Outflow_count],,0,)</f>
        <v>0</v>
      </c>
      <c r="I60" s="18"/>
      <c r="J60" s="15" t="str">
        <f>_xlfn.XLOOKUP($I60,Tab_Def_Flows[Flow_Name],Tab_Def_Flows[Flow_ID],,0,)</f>
        <v>F_00_00</v>
      </c>
      <c r="K60" s="11" t="str">
        <f t="shared" si="8"/>
        <v>TC_E1_00_00</v>
      </c>
      <c r="L60" s="20"/>
      <c r="M60" s="2" t="str">
        <f t="shared" si="9"/>
        <v>TC_E2_00_00</v>
      </c>
      <c r="N60" s="20"/>
      <c r="O60" s="2" t="str">
        <f t="shared" si="10"/>
        <v>TC_E3_00_00</v>
      </c>
      <c r="P60" s="20"/>
      <c r="Q60" s="2" t="str">
        <f t="shared" si="11"/>
        <v>TC_E4_00_00</v>
      </c>
      <c r="R60" s="20"/>
      <c r="S60" s="2" t="str">
        <f t="shared" si="12"/>
        <v>TC_E5_00_00</v>
      </c>
      <c r="T60" s="20"/>
      <c r="U60" s="2" t="str">
        <f t="shared" si="6"/>
        <v>TC_E6_00_00</v>
      </c>
      <c r="V60" s="20"/>
      <c r="W60" s="9"/>
      <c r="X60" s="9"/>
      <c r="Y60" s="9"/>
      <c r="Z60" s="9"/>
    </row>
    <row r="61" spans="1:26" x14ac:dyDescent="0.25">
      <c r="A61" s="22" t="b">
        <v>0</v>
      </c>
      <c r="B61" s="2">
        <f t="shared" si="7"/>
        <v>60</v>
      </c>
      <c r="C61" s="14" t="str">
        <f>_xlfn.XLOOKUP($D61,Tab_Def_Processes[Process_Name],Tab_Def_Processes[ID],,0,)</f>
        <v>00</v>
      </c>
      <c r="D61" s="18"/>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_xlfn.XLOOKUP($D61,Tab_Def_Processes[Process_Name],Tab_Def_Processes[Outflow_count],,0,)</f>
        <v>0</v>
      </c>
      <c r="I61" s="18"/>
      <c r="J61" s="15" t="str">
        <f>_xlfn.XLOOKUP($I61,Tab_Def_Flows[Flow_Name],Tab_Def_Flows[Flow_ID],,0,)</f>
        <v>F_00_00</v>
      </c>
      <c r="K61" s="11" t="str">
        <f t="shared" si="8"/>
        <v>TC_E1_00_00</v>
      </c>
      <c r="L61" s="20"/>
      <c r="M61" s="2" t="str">
        <f t="shared" si="9"/>
        <v>TC_E2_00_00</v>
      </c>
      <c r="N61" s="20"/>
      <c r="O61" s="2" t="str">
        <f t="shared" si="10"/>
        <v>TC_E3_00_00</v>
      </c>
      <c r="P61" s="20"/>
      <c r="Q61" s="2" t="str">
        <f t="shared" si="11"/>
        <v>TC_E4_00_00</v>
      </c>
      <c r="R61" s="20"/>
      <c r="S61" s="2" t="str">
        <f t="shared" si="12"/>
        <v>TC_E5_00_00</v>
      </c>
      <c r="T61" s="20"/>
      <c r="U61" s="2" t="str">
        <f t="shared" si="6"/>
        <v>TC_E6_00_00</v>
      </c>
      <c r="V61" s="20"/>
      <c r="W61" s="9"/>
      <c r="X61" s="9"/>
      <c r="Y61" s="9"/>
      <c r="Z61" s="9"/>
    </row>
    <row r="62" spans="1:26" x14ac:dyDescent="0.25">
      <c r="A62" s="22" t="b">
        <v>0</v>
      </c>
      <c r="B62" s="2">
        <f t="shared" si="7"/>
        <v>61</v>
      </c>
      <c r="C62" s="14" t="str">
        <f>_xlfn.XLOOKUP($D62,Tab_Def_Processes[Process_Name],Tab_Def_Processes[ID],,0,)</f>
        <v>00</v>
      </c>
      <c r="D62" s="18"/>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_xlfn.XLOOKUP($D62,Tab_Def_Processes[Process_Name],Tab_Def_Processes[Outflow_count],,0,)</f>
        <v>0</v>
      </c>
      <c r="I62" s="18"/>
      <c r="J62" s="15" t="str">
        <f>_xlfn.XLOOKUP($I62,Tab_Def_Flows[Flow_Name],Tab_Def_Flows[Flow_ID],,0,)</f>
        <v>F_00_00</v>
      </c>
      <c r="K62" s="11" t="str">
        <f t="shared" si="8"/>
        <v>TC_E1_00_00</v>
      </c>
      <c r="L62" s="20"/>
      <c r="M62" s="2" t="str">
        <f t="shared" si="9"/>
        <v>TC_E2_00_00</v>
      </c>
      <c r="N62" s="20"/>
      <c r="O62" s="2" t="str">
        <f t="shared" si="10"/>
        <v>TC_E3_00_00</v>
      </c>
      <c r="P62" s="20"/>
      <c r="Q62" s="2" t="str">
        <f t="shared" si="11"/>
        <v>TC_E4_00_00</v>
      </c>
      <c r="R62" s="20"/>
      <c r="S62" s="2" t="str">
        <f t="shared" si="12"/>
        <v>TC_E5_00_00</v>
      </c>
      <c r="T62" s="20"/>
      <c r="U62" s="2" t="str">
        <f t="shared" si="6"/>
        <v>TC_E6_00_00</v>
      </c>
      <c r="V62" s="20"/>
      <c r="W62" s="9"/>
      <c r="X62" s="9"/>
      <c r="Y62" s="9"/>
      <c r="Z62" s="9"/>
    </row>
    <row r="63" spans="1:26" x14ac:dyDescent="0.25">
      <c r="A63" s="22" t="b">
        <v>0</v>
      </c>
      <c r="B63" s="2">
        <f t="shared" si="7"/>
        <v>62</v>
      </c>
      <c r="C63" s="14" t="str">
        <f>_xlfn.XLOOKUP($D63,Tab_Def_Processes[Process_Name],Tab_Def_Processes[ID],,0,)</f>
        <v>00</v>
      </c>
      <c r="D63" s="18"/>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_xlfn.XLOOKUP($D63,Tab_Def_Processes[Process_Name],Tab_Def_Processes[Outflow_count],,0,)</f>
        <v>0</v>
      </c>
      <c r="I63" s="18"/>
      <c r="J63" s="15" t="str">
        <f>_xlfn.XLOOKUP($I63,Tab_Def_Flows[Flow_Name],Tab_Def_Flows[Flow_ID],,0,)</f>
        <v>F_00_00</v>
      </c>
      <c r="K63" s="11" t="str">
        <f t="shared" si="8"/>
        <v>TC_E1_00_00</v>
      </c>
      <c r="L63" s="20"/>
      <c r="M63" s="2" t="str">
        <f t="shared" si="9"/>
        <v>TC_E2_00_00</v>
      </c>
      <c r="N63" s="20"/>
      <c r="O63" s="2" t="str">
        <f t="shared" si="10"/>
        <v>TC_E3_00_00</v>
      </c>
      <c r="P63" s="20"/>
      <c r="Q63" s="2" t="str">
        <f t="shared" si="11"/>
        <v>TC_E4_00_00</v>
      </c>
      <c r="R63" s="20"/>
      <c r="S63" s="2" t="str">
        <f t="shared" si="12"/>
        <v>TC_E5_00_00</v>
      </c>
      <c r="T63" s="20"/>
      <c r="U63" s="2" t="str">
        <f t="shared" si="6"/>
        <v>TC_E6_00_00</v>
      </c>
      <c r="V63" s="20"/>
      <c r="W63" s="9"/>
      <c r="X63" s="9"/>
      <c r="Y63" s="9"/>
      <c r="Z63" s="9"/>
    </row>
    <row r="64" spans="1:26" x14ac:dyDescent="0.25">
      <c r="A64" s="22" t="b">
        <v>0</v>
      </c>
      <c r="B64" s="2">
        <f t="shared" si="7"/>
        <v>63</v>
      </c>
      <c r="C64" s="14" t="str">
        <f>_xlfn.XLOOKUP($D64,Tab_Def_Processes[Process_Name],Tab_Def_Processes[ID],,0,)</f>
        <v>00</v>
      </c>
      <c r="D64" s="18"/>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_xlfn.XLOOKUP($D64,Tab_Def_Processes[Process_Name],Tab_Def_Processes[Outflow_count],,0,)</f>
        <v>0</v>
      </c>
      <c r="I64" s="18"/>
      <c r="J64" s="15" t="str">
        <f>_xlfn.XLOOKUP($I64,Tab_Def_Flows[Flow_Name],Tab_Def_Flows[Flow_ID],,0,)</f>
        <v>F_00_00</v>
      </c>
      <c r="K64" s="11" t="str">
        <f t="shared" si="8"/>
        <v>TC_E1_00_00</v>
      </c>
      <c r="L64" s="20"/>
      <c r="M64" s="2" t="str">
        <f t="shared" si="9"/>
        <v>TC_E2_00_00</v>
      </c>
      <c r="N64" s="20"/>
      <c r="O64" s="2" t="str">
        <f t="shared" si="10"/>
        <v>TC_E3_00_00</v>
      </c>
      <c r="P64" s="20"/>
      <c r="Q64" s="2" t="str">
        <f t="shared" si="11"/>
        <v>TC_E4_00_00</v>
      </c>
      <c r="R64" s="20"/>
      <c r="S64" s="2" t="str">
        <f t="shared" si="12"/>
        <v>TC_E5_00_00</v>
      </c>
      <c r="T64" s="20"/>
      <c r="U64" s="2" t="str">
        <f t="shared" si="6"/>
        <v>TC_E6_00_00</v>
      </c>
      <c r="V64" s="20"/>
      <c r="W64" s="9"/>
      <c r="X64" s="9"/>
      <c r="Y64" s="9"/>
      <c r="Z64" s="9"/>
    </row>
    <row r="65" spans="1:26" x14ac:dyDescent="0.25">
      <c r="A65" s="22" t="b">
        <v>0</v>
      </c>
      <c r="B65" s="2">
        <f t="shared" si="7"/>
        <v>64</v>
      </c>
      <c r="C65" s="14" t="str">
        <f>_xlfn.XLOOKUP($D65,Tab_Def_Processes[Process_Name],Tab_Def_Processes[ID],,0,)</f>
        <v>00</v>
      </c>
      <c r="D65" s="18"/>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_xlfn.XLOOKUP($D65,Tab_Def_Processes[Process_Name],Tab_Def_Processes[Outflow_count],,0,)</f>
        <v>0</v>
      </c>
      <c r="I65" s="18"/>
      <c r="J65" s="15" t="str">
        <f>_xlfn.XLOOKUP($I65,Tab_Def_Flows[Flow_Name],Tab_Def_Flows[Flow_ID],,0,)</f>
        <v>F_00_00</v>
      </c>
      <c r="K65" s="11" t="str">
        <f t="shared" si="8"/>
        <v>TC_E1_00_00</v>
      </c>
      <c r="L65" s="20"/>
      <c r="M65" s="2" t="str">
        <f t="shared" si="9"/>
        <v>TC_E2_00_00</v>
      </c>
      <c r="N65" s="20"/>
      <c r="O65" s="2" t="str">
        <f t="shared" si="10"/>
        <v>TC_E3_00_00</v>
      </c>
      <c r="P65" s="20"/>
      <c r="Q65" s="2" t="str">
        <f t="shared" si="11"/>
        <v>TC_E4_00_00</v>
      </c>
      <c r="R65" s="20"/>
      <c r="S65" s="2" t="str">
        <f t="shared" si="12"/>
        <v>TC_E5_00_00</v>
      </c>
      <c r="T65" s="20"/>
      <c r="U65" s="2" t="str">
        <f t="shared" si="6"/>
        <v>TC_E6_00_00</v>
      </c>
      <c r="V65" s="20"/>
      <c r="W65" s="9"/>
      <c r="X65" s="9"/>
      <c r="Y65" s="9"/>
      <c r="Z65" s="9"/>
    </row>
    <row r="66" spans="1:26" x14ac:dyDescent="0.25">
      <c r="A66" s="22" t="b">
        <v>0</v>
      </c>
      <c r="B66" s="2">
        <f t="shared" si="7"/>
        <v>65</v>
      </c>
      <c r="C66" s="14" t="str">
        <f>_xlfn.XLOOKUP($D66,Tab_Def_Processes[Process_Name],Tab_Def_Processes[ID],,0,)</f>
        <v>00</v>
      </c>
      <c r="D66" s="18"/>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_xlfn.XLOOKUP($D66,Tab_Def_Processes[Process_Name],Tab_Def_Processes[Outflow_count],,0,)</f>
        <v>0</v>
      </c>
      <c r="I66" s="18"/>
      <c r="J66" s="15" t="str">
        <f>_xlfn.XLOOKUP($I66,Tab_Def_Flows[Flow_Name],Tab_Def_Flows[Flow_ID],,0,)</f>
        <v>F_00_00</v>
      </c>
      <c r="K66" s="11" t="str">
        <f t="shared" si="8"/>
        <v>TC_E1_00_00</v>
      </c>
      <c r="L66" s="20"/>
      <c r="M66" s="2" t="str">
        <f t="shared" si="9"/>
        <v>TC_E2_00_00</v>
      </c>
      <c r="N66" s="20"/>
      <c r="O66" s="2" t="str">
        <f t="shared" si="10"/>
        <v>TC_E3_00_00</v>
      </c>
      <c r="P66" s="20"/>
      <c r="Q66" s="2" t="str">
        <f t="shared" si="11"/>
        <v>TC_E4_00_00</v>
      </c>
      <c r="R66" s="20"/>
      <c r="S66" s="2" t="str">
        <f t="shared" si="12"/>
        <v>TC_E5_00_00</v>
      </c>
      <c r="T66" s="20"/>
      <c r="U66" s="2" t="str">
        <f t="shared" si="6"/>
        <v>TC_E6_00_00</v>
      </c>
      <c r="V66" s="20"/>
      <c r="W66" s="9"/>
      <c r="X66" s="9"/>
      <c r="Y66" s="9"/>
      <c r="Z66" s="9"/>
    </row>
    <row r="67" spans="1:26" x14ac:dyDescent="0.25">
      <c r="A67" s="22" t="b">
        <v>0</v>
      </c>
      <c r="B67" s="2">
        <f t="shared" si="7"/>
        <v>66</v>
      </c>
      <c r="C67" s="14" t="str">
        <f>_xlfn.XLOOKUP($D67,Tab_Def_Processes[Process_Name],Tab_Def_Processes[ID],,0,)</f>
        <v>00</v>
      </c>
      <c r="D67" s="18"/>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_xlfn.XLOOKUP($D67,Tab_Def_Processes[Process_Name],Tab_Def_Processes[Outflow_count],,0,)</f>
        <v>0</v>
      </c>
      <c r="I67" s="18"/>
      <c r="J67" s="15" t="str">
        <f>_xlfn.XLOOKUP($I67,Tab_Def_Flows[Flow_Name],Tab_Def_Flows[Flow_ID],,0,)</f>
        <v>F_00_00</v>
      </c>
      <c r="K67" s="11" t="str">
        <f t="shared" si="8"/>
        <v>TC_E1_00_00</v>
      </c>
      <c r="L67" s="20"/>
      <c r="M67" s="2" t="str">
        <f t="shared" si="9"/>
        <v>TC_E2_00_00</v>
      </c>
      <c r="N67" s="20"/>
      <c r="O67" s="2" t="str">
        <f t="shared" si="10"/>
        <v>TC_E3_00_00</v>
      </c>
      <c r="P67" s="20"/>
      <c r="Q67" s="2" t="str">
        <f t="shared" si="11"/>
        <v>TC_E4_00_00</v>
      </c>
      <c r="R67" s="20"/>
      <c r="S67" s="2" t="str">
        <f t="shared" si="12"/>
        <v>TC_E5_00_00</v>
      </c>
      <c r="T67" s="20"/>
      <c r="U67" s="2" t="str">
        <f t="shared" ref="U67:U98" si="13">"TC_E6"&amp;"_"&amp;RIGHT(J67,5)</f>
        <v>TC_E6_00_00</v>
      </c>
      <c r="V67" s="20"/>
      <c r="W67" s="9"/>
      <c r="X67" s="9"/>
      <c r="Y67" s="9"/>
      <c r="Z67" s="9"/>
    </row>
    <row r="68" spans="1:26" x14ac:dyDescent="0.25">
      <c r="A68" s="22" t="b">
        <v>0</v>
      </c>
      <c r="B68" s="2">
        <f t="shared" si="7"/>
        <v>67</v>
      </c>
      <c r="C68" s="14" t="str">
        <f>_xlfn.XLOOKUP($D68,Tab_Def_Processes[Process_Name],Tab_Def_Processes[ID],,0,)</f>
        <v>00</v>
      </c>
      <c r="D68" s="18"/>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_xlfn.XLOOKUP($D68,Tab_Def_Processes[Process_Name],Tab_Def_Processes[Outflow_count],,0,)</f>
        <v>0</v>
      </c>
      <c r="I68" s="18"/>
      <c r="J68" s="15" t="str">
        <f>_xlfn.XLOOKUP($I68,Tab_Def_Flows[Flow_Name],Tab_Def_Flows[Flow_ID],,0,)</f>
        <v>F_00_00</v>
      </c>
      <c r="K68" s="11" t="str">
        <f t="shared" si="8"/>
        <v>TC_E1_00_00</v>
      </c>
      <c r="L68" s="20"/>
      <c r="M68" s="2" t="str">
        <f t="shared" si="9"/>
        <v>TC_E2_00_00</v>
      </c>
      <c r="N68" s="20"/>
      <c r="O68" s="2" t="str">
        <f t="shared" si="10"/>
        <v>TC_E3_00_00</v>
      </c>
      <c r="P68" s="20"/>
      <c r="Q68" s="2" t="str">
        <f t="shared" si="11"/>
        <v>TC_E4_00_00</v>
      </c>
      <c r="R68" s="20"/>
      <c r="S68" s="2" t="str">
        <f t="shared" si="12"/>
        <v>TC_E5_00_00</v>
      </c>
      <c r="T68" s="20"/>
      <c r="U68" s="2" t="str">
        <f t="shared" si="13"/>
        <v>TC_E6_00_00</v>
      </c>
      <c r="V68" s="20"/>
      <c r="W68" s="9"/>
      <c r="X68" s="9"/>
      <c r="Y68" s="9"/>
      <c r="Z68" s="9"/>
    </row>
    <row r="69" spans="1:26" x14ac:dyDescent="0.25">
      <c r="A69" s="22" t="b">
        <v>0</v>
      </c>
      <c r="B69" s="2">
        <f t="shared" si="7"/>
        <v>68</v>
      </c>
      <c r="C69" s="14" t="str">
        <f>_xlfn.XLOOKUP($D69,Tab_Def_Processes[Process_Name],Tab_Def_Processes[ID],,0,)</f>
        <v>00</v>
      </c>
      <c r="D69" s="18"/>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_xlfn.XLOOKUP($D69,Tab_Def_Processes[Process_Name],Tab_Def_Processes[Outflow_count],,0,)</f>
        <v>0</v>
      </c>
      <c r="I69" s="18"/>
      <c r="J69" s="15" t="str">
        <f>_xlfn.XLOOKUP($I69,Tab_Def_Flows[Flow_Name],Tab_Def_Flows[Flow_ID],,0,)</f>
        <v>F_00_00</v>
      </c>
      <c r="K69" s="11" t="str">
        <f t="shared" si="8"/>
        <v>TC_E1_00_00</v>
      </c>
      <c r="L69" s="20"/>
      <c r="M69" s="2" t="str">
        <f t="shared" si="9"/>
        <v>TC_E2_00_00</v>
      </c>
      <c r="N69" s="20"/>
      <c r="O69" s="2" t="str">
        <f t="shared" si="10"/>
        <v>TC_E3_00_00</v>
      </c>
      <c r="P69" s="20"/>
      <c r="Q69" s="2" t="str">
        <f t="shared" si="11"/>
        <v>TC_E4_00_00</v>
      </c>
      <c r="R69" s="20"/>
      <c r="S69" s="2" t="str">
        <f t="shared" si="12"/>
        <v>TC_E5_00_00</v>
      </c>
      <c r="T69" s="20"/>
      <c r="U69" s="2" t="str">
        <f t="shared" si="13"/>
        <v>TC_E6_00_00</v>
      </c>
      <c r="V69" s="20"/>
      <c r="W69" s="9"/>
      <c r="X69" s="9"/>
      <c r="Y69" s="9"/>
      <c r="Z69" s="9"/>
    </row>
    <row r="70" spans="1:26" x14ac:dyDescent="0.25">
      <c r="A70" s="22" t="b">
        <v>0</v>
      </c>
      <c r="B70" s="2">
        <f t="shared" si="7"/>
        <v>69</v>
      </c>
      <c r="C70" s="14" t="str">
        <f>_xlfn.XLOOKUP($D70,Tab_Def_Processes[Process_Name],Tab_Def_Processes[ID],,0,)</f>
        <v>00</v>
      </c>
      <c r="D70" s="18"/>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_xlfn.XLOOKUP($D70,Tab_Def_Processes[Process_Name],Tab_Def_Processes[Outflow_count],,0,)</f>
        <v>0</v>
      </c>
      <c r="I70" s="18"/>
      <c r="J70" s="15" t="str">
        <f>_xlfn.XLOOKUP($I70,Tab_Def_Flows[Flow_Name],Tab_Def_Flows[Flow_ID],,0,)</f>
        <v>F_00_00</v>
      </c>
      <c r="K70" s="11" t="str">
        <f t="shared" si="8"/>
        <v>TC_E1_00_00</v>
      </c>
      <c r="L70" s="20"/>
      <c r="M70" s="2" t="str">
        <f t="shared" si="9"/>
        <v>TC_E2_00_00</v>
      </c>
      <c r="N70" s="20"/>
      <c r="O70" s="2" t="str">
        <f t="shared" si="10"/>
        <v>TC_E3_00_00</v>
      </c>
      <c r="P70" s="20"/>
      <c r="Q70" s="2" t="str">
        <f t="shared" si="11"/>
        <v>TC_E4_00_00</v>
      </c>
      <c r="R70" s="20"/>
      <c r="S70" s="2" t="str">
        <f t="shared" si="12"/>
        <v>TC_E5_00_00</v>
      </c>
      <c r="T70" s="20"/>
      <c r="U70" s="2" t="str">
        <f t="shared" si="13"/>
        <v>TC_E6_00_00</v>
      </c>
      <c r="V70" s="20"/>
      <c r="W70" s="9"/>
      <c r="X70" s="9"/>
      <c r="Y70" s="9"/>
      <c r="Z70" s="9"/>
    </row>
    <row r="71" spans="1:26" x14ac:dyDescent="0.25">
      <c r="A71" s="22" t="b">
        <v>0</v>
      </c>
      <c r="B71" s="2">
        <f t="shared" si="7"/>
        <v>70</v>
      </c>
      <c r="C71" s="14" t="str">
        <f>_xlfn.XLOOKUP($D71,Tab_Def_Processes[Process_Name],Tab_Def_Processes[ID],,0,)</f>
        <v>00</v>
      </c>
      <c r="D71" s="18"/>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_xlfn.XLOOKUP($D71,Tab_Def_Processes[Process_Name],Tab_Def_Processes[Outflow_count],,0,)</f>
        <v>0</v>
      </c>
      <c r="I71" s="18"/>
      <c r="J71" s="15" t="str">
        <f>_xlfn.XLOOKUP($I71,Tab_Def_Flows[Flow_Name],Tab_Def_Flows[Flow_ID],,0,)</f>
        <v>F_00_00</v>
      </c>
      <c r="K71" s="11" t="str">
        <f t="shared" si="8"/>
        <v>TC_E1_00_00</v>
      </c>
      <c r="L71" s="20"/>
      <c r="M71" s="2" t="str">
        <f t="shared" si="9"/>
        <v>TC_E2_00_00</v>
      </c>
      <c r="N71" s="20"/>
      <c r="O71" s="2" t="str">
        <f t="shared" si="10"/>
        <v>TC_E3_00_00</v>
      </c>
      <c r="P71" s="20"/>
      <c r="Q71" s="2" t="str">
        <f t="shared" si="11"/>
        <v>TC_E4_00_00</v>
      </c>
      <c r="R71" s="20"/>
      <c r="S71" s="2" t="str">
        <f t="shared" si="12"/>
        <v>TC_E5_00_00</v>
      </c>
      <c r="T71" s="20"/>
      <c r="U71" s="2" t="str">
        <f t="shared" si="13"/>
        <v>TC_E6_00_00</v>
      </c>
      <c r="V71" s="20"/>
      <c r="W71" s="9"/>
      <c r="X71" s="9"/>
      <c r="Y71" s="9"/>
      <c r="Z71" s="9"/>
    </row>
    <row r="72" spans="1:26" x14ac:dyDescent="0.25">
      <c r="A72" s="22" t="b">
        <v>0</v>
      </c>
      <c r="B72" s="2">
        <f t="shared" si="7"/>
        <v>71</v>
      </c>
      <c r="C72" s="14" t="str">
        <f>_xlfn.XLOOKUP($D72,Tab_Def_Processes[Process_Name],Tab_Def_Processes[ID],,0,)</f>
        <v>00</v>
      </c>
      <c r="D72" s="18"/>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_xlfn.XLOOKUP($D72,Tab_Def_Processes[Process_Name],Tab_Def_Processes[Outflow_count],,0,)</f>
        <v>0</v>
      </c>
      <c r="I72" s="18"/>
      <c r="J72" s="15" t="str">
        <f>_xlfn.XLOOKUP($I72,Tab_Def_Flows[Flow_Name],Tab_Def_Flows[Flow_ID],,0,)</f>
        <v>F_00_00</v>
      </c>
      <c r="K72" s="11" t="str">
        <f t="shared" si="8"/>
        <v>TC_E1_00_00</v>
      </c>
      <c r="L72" s="20"/>
      <c r="M72" s="2" t="str">
        <f t="shared" si="9"/>
        <v>TC_E2_00_00</v>
      </c>
      <c r="N72" s="20"/>
      <c r="O72" s="2" t="str">
        <f t="shared" si="10"/>
        <v>TC_E3_00_00</v>
      </c>
      <c r="P72" s="20"/>
      <c r="Q72" s="2" t="str">
        <f t="shared" si="11"/>
        <v>TC_E4_00_00</v>
      </c>
      <c r="R72" s="20"/>
      <c r="S72" s="2" t="str">
        <f t="shared" si="12"/>
        <v>TC_E5_00_00</v>
      </c>
      <c r="T72" s="20"/>
      <c r="U72" s="2" t="str">
        <f t="shared" si="13"/>
        <v>TC_E6_00_00</v>
      </c>
      <c r="V72" s="20"/>
      <c r="W72" s="9"/>
      <c r="X72" s="9"/>
      <c r="Y72" s="9"/>
      <c r="Z72" s="9"/>
    </row>
    <row r="73" spans="1:26" x14ac:dyDescent="0.25">
      <c r="A73" s="22" t="b">
        <v>0</v>
      </c>
      <c r="B73" s="2">
        <f t="shared" si="7"/>
        <v>72</v>
      </c>
      <c r="C73" s="14" t="str">
        <f>_xlfn.XLOOKUP($D73,Tab_Def_Processes[Process_Name],Tab_Def_Processes[ID],,0,)</f>
        <v>00</v>
      </c>
      <c r="D73" s="18"/>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_xlfn.XLOOKUP($D73,Tab_Def_Processes[Process_Name],Tab_Def_Processes[Outflow_count],,0,)</f>
        <v>0</v>
      </c>
      <c r="I73" s="18"/>
      <c r="J73" s="15" t="str">
        <f>_xlfn.XLOOKUP($I73,Tab_Def_Flows[Flow_Name],Tab_Def_Flows[Flow_ID],,0,)</f>
        <v>F_00_00</v>
      </c>
      <c r="K73" s="11" t="str">
        <f t="shared" si="8"/>
        <v>TC_E1_00_00</v>
      </c>
      <c r="L73" s="20"/>
      <c r="M73" s="2" t="str">
        <f t="shared" si="9"/>
        <v>TC_E2_00_00</v>
      </c>
      <c r="N73" s="20"/>
      <c r="O73" s="2" t="str">
        <f t="shared" si="10"/>
        <v>TC_E3_00_00</v>
      </c>
      <c r="P73" s="20"/>
      <c r="Q73" s="2" t="str">
        <f t="shared" si="11"/>
        <v>TC_E4_00_00</v>
      </c>
      <c r="R73" s="20"/>
      <c r="S73" s="2" t="str">
        <f t="shared" si="12"/>
        <v>TC_E5_00_00</v>
      </c>
      <c r="T73" s="20"/>
      <c r="U73" s="2" t="str">
        <f t="shared" si="13"/>
        <v>TC_E6_00_00</v>
      </c>
      <c r="V73" s="20"/>
      <c r="W73" s="9"/>
      <c r="X73" s="9"/>
      <c r="Y73" s="9"/>
      <c r="Z73" s="9"/>
    </row>
    <row r="74" spans="1:26" x14ac:dyDescent="0.25">
      <c r="A74" s="22" t="b">
        <v>0</v>
      </c>
      <c r="B74" s="2">
        <f t="shared" si="7"/>
        <v>73</v>
      </c>
      <c r="C74" s="14" t="str">
        <f>_xlfn.XLOOKUP($D74,Tab_Def_Processes[Process_Name],Tab_Def_Processes[ID],,0,)</f>
        <v>00</v>
      </c>
      <c r="D74" s="18"/>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_xlfn.XLOOKUP($D74,Tab_Def_Processes[Process_Name],Tab_Def_Processes[Outflow_count],,0,)</f>
        <v>0</v>
      </c>
      <c r="I74" s="18"/>
      <c r="J74" s="15" t="str">
        <f>_xlfn.XLOOKUP($I74,Tab_Def_Flows[Flow_Name],Tab_Def_Flows[Flow_ID],,0,)</f>
        <v>F_00_00</v>
      </c>
      <c r="K74" s="11" t="str">
        <f t="shared" si="8"/>
        <v>TC_E1_00_00</v>
      </c>
      <c r="L74" s="20"/>
      <c r="M74" s="2" t="str">
        <f t="shared" si="9"/>
        <v>TC_E2_00_00</v>
      </c>
      <c r="N74" s="20"/>
      <c r="O74" s="2" t="str">
        <f t="shared" si="10"/>
        <v>TC_E3_00_00</v>
      </c>
      <c r="P74" s="20"/>
      <c r="Q74" s="2" t="str">
        <f t="shared" si="11"/>
        <v>TC_E4_00_00</v>
      </c>
      <c r="R74" s="20"/>
      <c r="S74" s="2" t="str">
        <f t="shared" si="12"/>
        <v>TC_E5_00_00</v>
      </c>
      <c r="T74" s="20"/>
      <c r="U74" s="2" t="str">
        <f t="shared" si="13"/>
        <v>TC_E6_00_00</v>
      </c>
      <c r="V74" s="20"/>
      <c r="W74" s="9"/>
      <c r="X74" s="9"/>
      <c r="Y74" s="9"/>
      <c r="Z74" s="9"/>
    </row>
    <row r="75" spans="1:26" x14ac:dyDescent="0.25">
      <c r="A75" s="22" t="b">
        <v>0</v>
      </c>
      <c r="B75" s="2">
        <f t="shared" si="7"/>
        <v>74</v>
      </c>
      <c r="C75" s="14" t="str">
        <f>_xlfn.XLOOKUP($D75,Tab_Def_Processes[Process_Name],Tab_Def_Processes[ID],,0,)</f>
        <v>00</v>
      </c>
      <c r="D75" s="18"/>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_xlfn.XLOOKUP($D75,Tab_Def_Processes[Process_Name],Tab_Def_Processes[Outflow_count],,0,)</f>
        <v>0</v>
      </c>
      <c r="I75" s="18"/>
      <c r="J75" s="15" t="str">
        <f>_xlfn.XLOOKUP($I75,Tab_Def_Flows[Flow_Name],Tab_Def_Flows[Flow_ID],,0,)</f>
        <v>F_00_00</v>
      </c>
      <c r="K75" s="11" t="str">
        <f t="shared" si="8"/>
        <v>TC_E1_00_00</v>
      </c>
      <c r="L75" s="20"/>
      <c r="M75" s="2" t="str">
        <f t="shared" si="9"/>
        <v>TC_E2_00_00</v>
      </c>
      <c r="N75" s="20"/>
      <c r="O75" s="2" t="str">
        <f t="shared" si="10"/>
        <v>TC_E3_00_00</v>
      </c>
      <c r="P75" s="20"/>
      <c r="Q75" s="2" t="str">
        <f t="shared" si="11"/>
        <v>TC_E4_00_00</v>
      </c>
      <c r="R75" s="20"/>
      <c r="S75" s="2" t="str">
        <f t="shared" si="12"/>
        <v>TC_E5_00_00</v>
      </c>
      <c r="T75" s="20"/>
      <c r="U75" s="2" t="str">
        <f t="shared" si="13"/>
        <v>TC_E6_00_00</v>
      </c>
      <c r="V75" s="20"/>
      <c r="W75" s="9"/>
      <c r="X75" s="9"/>
      <c r="Y75" s="9"/>
      <c r="Z75" s="9"/>
    </row>
    <row r="76" spans="1:26" x14ac:dyDescent="0.25">
      <c r="A76" s="22" t="b">
        <v>0</v>
      </c>
      <c r="B76" s="2">
        <f t="shared" si="7"/>
        <v>75</v>
      </c>
      <c r="C76" s="14" t="str">
        <f>_xlfn.XLOOKUP($D76,Tab_Def_Processes[Process_Name],Tab_Def_Processes[ID],,0,)</f>
        <v>00</v>
      </c>
      <c r="D76" s="18"/>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_xlfn.XLOOKUP($D76,Tab_Def_Processes[Process_Name],Tab_Def_Processes[Outflow_count],,0,)</f>
        <v>0</v>
      </c>
      <c r="I76" s="18"/>
      <c r="J76" s="15" t="str">
        <f>_xlfn.XLOOKUP($I76,Tab_Def_Flows[Flow_Name],Tab_Def_Flows[Flow_ID],,0,)</f>
        <v>F_00_00</v>
      </c>
      <c r="K76" s="11" t="str">
        <f t="shared" si="8"/>
        <v>TC_E1_00_00</v>
      </c>
      <c r="L76" s="20"/>
      <c r="M76" s="2" t="str">
        <f t="shared" si="9"/>
        <v>TC_E2_00_00</v>
      </c>
      <c r="N76" s="20"/>
      <c r="O76" s="2" t="str">
        <f t="shared" si="10"/>
        <v>TC_E3_00_00</v>
      </c>
      <c r="P76" s="20"/>
      <c r="Q76" s="2" t="str">
        <f t="shared" si="11"/>
        <v>TC_E4_00_00</v>
      </c>
      <c r="R76" s="20"/>
      <c r="S76" s="2" t="str">
        <f t="shared" si="12"/>
        <v>TC_E5_00_00</v>
      </c>
      <c r="T76" s="20"/>
      <c r="U76" s="2" t="str">
        <f t="shared" si="13"/>
        <v>TC_E6_00_00</v>
      </c>
      <c r="V76" s="20"/>
      <c r="W76" s="9"/>
      <c r="X76" s="9"/>
      <c r="Y76" s="9"/>
      <c r="Z76" s="9"/>
    </row>
    <row r="77" spans="1:26" x14ac:dyDescent="0.25">
      <c r="A77" s="22" t="b">
        <v>0</v>
      </c>
      <c r="B77" s="2">
        <f t="shared" si="7"/>
        <v>76</v>
      </c>
      <c r="C77" s="14" t="str">
        <f>_xlfn.XLOOKUP($D77,Tab_Def_Processes[Process_Name],Tab_Def_Processes[ID],,0,)</f>
        <v>00</v>
      </c>
      <c r="D77" s="18"/>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_xlfn.XLOOKUP($D77,Tab_Def_Processes[Process_Name],Tab_Def_Processes[Outflow_count],,0,)</f>
        <v>0</v>
      </c>
      <c r="I77" s="18"/>
      <c r="J77" s="15" t="str">
        <f>_xlfn.XLOOKUP($I77,Tab_Def_Flows[Flow_Name],Tab_Def_Flows[Flow_ID],,0,)</f>
        <v>F_00_00</v>
      </c>
      <c r="K77" s="11" t="str">
        <f t="shared" si="8"/>
        <v>TC_E1_00_00</v>
      </c>
      <c r="L77" s="20"/>
      <c r="M77" s="2" t="str">
        <f t="shared" si="9"/>
        <v>TC_E2_00_00</v>
      </c>
      <c r="N77" s="20"/>
      <c r="O77" s="2" t="str">
        <f t="shared" si="10"/>
        <v>TC_E3_00_00</v>
      </c>
      <c r="P77" s="20"/>
      <c r="Q77" s="2" t="str">
        <f t="shared" si="11"/>
        <v>TC_E4_00_00</v>
      </c>
      <c r="R77" s="20"/>
      <c r="S77" s="2" t="str">
        <f t="shared" si="12"/>
        <v>TC_E5_00_00</v>
      </c>
      <c r="T77" s="20"/>
      <c r="U77" s="2" t="str">
        <f t="shared" si="13"/>
        <v>TC_E6_00_00</v>
      </c>
      <c r="V77" s="20"/>
      <c r="W77" s="9"/>
      <c r="X77" s="9"/>
      <c r="Y77" s="9"/>
      <c r="Z77" s="9"/>
    </row>
    <row r="78" spans="1:26" x14ac:dyDescent="0.25">
      <c r="A78" s="22" t="b">
        <v>0</v>
      </c>
      <c r="B78" s="2">
        <f t="shared" si="7"/>
        <v>77</v>
      </c>
      <c r="C78" s="14" t="str">
        <f>_xlfn.XLOOKUP($D78,Tab_Def_Processes[Process_Name],Tab_Def_Processes[ID],,0,)</f>
        <v>00</v>
      </c>
      <c r="D78" s="18"/>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_xlfn.XLOOKUP($D78,Tab_Def_Processes[Process_Name],Tab_Def_Processes[Outflow_count],,0,)</f>
        <v>0</v>
      </c>
      <c r="I78" s="18"/>
      <c r="J78" s="15" t="str">
        <f>_xlfn.XLOOKUP($I78,Tab_Def_Flows[Flow_Name],Tab_Def_Flows[Flow_ID],,0,)</f>
        <v>F_00_00</v>
      </c>
      <c r="K78" s="11" t="str">
        <f t="shared" si="8"/>
        <v>TC_E1_00_00</v>
      </c>
      <c r="L78" s="20"/>
      <c r="M78" s="2" t="str">
        <f t="shared" si="9"/>
        <v>TC_E2_00_00</v>
      </c>
      <c r="N78" s="20"/>
      <c r="O78" s="2" t="str">
        <f t="shared" si="10"/>
        <v>TC_E3_00_00</v>
      </c>
      <c r="P78" s="20"/>
      <c r="Q78" s="2" t="str">
        <f t="shared" si="11"/>
        <v>TC_E4_00_00</v>
      </c>
      <c r="R78" s="20"/>
      <c r="S78" s="2" t="str">
        <f t="shared" si="12"/>
        <v>TC_E5_00_00</v>
      </c>
      <c r="T78" s="20"/>
      <c r="U78" s="2" t="str">
        <f t="shared" si="13"/>
        <v>TC_E6_00_00</v>
      </c>
      <c r="V78" s="20"/>
      <c r="W78" s="9"/>
      <c r="X78" s="9"/>
      <c r="Y78" s="9"/>
      <c r="Z78" s="9"/>
    </row>
    <row r="79" spans="1:26" x14ac:dyDescent="0.25">
      <c r="A79" s="22" t="b">
        <v>0</v>
      </c>
      <c r="B79" s="2">
        <f t="shared" si="7"/>
        <v>78</v>
      </c>
      <c r="C79" s="14" t="str">
        <f>_xlfn.XLOOKUP($D79,Tab_Def_Processes[Process_Name],Tab_Def_Processes[ID],,0,)</f>
        <v>00</v>
      </c>
      <c r="D79" s="18"/>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_xlfn.XLOOKUP($D79,Tab_Def_Processes[Process_Name],Tab_Def_Processes[Outflow_count],,0,)</f>
        <v>0</v>
      </c>
      <c r="I79" s="18"/>
      <c r="J79" s="15" t="str">
        <f>_xlfn.XLOOKUP($I79,Tab_Def_Flows[Flow_Name],Tab_Def_Flows[Flow_ID],,0,)</f>
        <v>F_00_00</v>
      </c>
      <c r="K79" s="11" t="str">
        <f t="shared" si="8"/>
        <v>TC_E1_00_00</v>
      </c>
      <c r="L79" s="20"/>
      <c r="M79" s="2" t="str">
        <f t="shared" si="9"/>
        <v>TC_E2_00_00</v>
      </c>
      <c r="N79" s="20"/>
      <c r="O79" s="2" t="str">
        <f t="shared" si="10"/>
        <v>TC_E3_00_00</v>
      </c>
      <c r="P79" s="20"/>
      <c r="Q79" s="2" t="str">
        <f t="shared" si="11"/>
        <v>TC_E4_00_00</v>
      </c>
      <c r="R79" s="20"/>
      <c r="S79" s="2" t="str">
        <f t="shared" si="12"/>
        <v>TC_E5_00_00</v>
      </c>
      <c r="T79" s="20"/>
      <c r="U79" s="2" t="str">
        <f t="shared" si="13"/>
        <v>TC_E6_00_00</v>
      </c>
      <c r="V79" s="20"/>
      <c r="W79" s="9"/>
      <c r="X79" s="9"/>
      <c r="Y79" s="9"/>
      <c r="Z79" s="9"/>
    </row>
    <row r="80" spans="1:26" x14ac:dyDescent="0.25">
      <c r="A80" s="22" t="b">
        <v>0</v>
      </c>
      <c r="B80" s="2">
        <f t="shared" si="7"/>
        <v>79</v>
      </c>
      <c r="C80" s="14" t="str">
        <f>_xlfn.XLOOKUP($D80,Tab_Def_Processes[Process_Name],Tab_Def_Processes[ID],,0,)</f>
        <v>00</v>
      </c>
      <c r="D80" s="18"/>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_xlfn.XLOOKUP($D80,Tab_Def_Processes[Process_Name],Tab_Def_Processes[Outflow_count],,0,)</f>
        <v>0</v>
      </c>
      <c r="I80" s="18"/>
      <c r="J80" s="15" t="str">
        <f>_xlfn.XLOOKUP($I80,Tab_Def_Flows[Flow_Name],Tab_Def_Flows[Flow_ID],,0,)</f>
        <v>F_00_00</v>
      </c>
      <c r="K80" s="11" t="str">
        <f t="shared" si="8"/>
        <v>TC_E1_00_00</v>
      </c>
      <c r="L80" s="20"/>
      <c r="M80" s="2" t="str">
        <f t="shared" si="9"/>
        <v>TC_E2_00_00</v>
      </c>
      <c r="N80" s="20"/>
      <c r="O80" s="2" t="str">
        <f t="shared" si="10"/>
        <v>TC_E3_00_00</v>
      </c>
      <c r="P80" s="20"/>
      <c r="Q80" s="2" t="str">
        <f t="shared" si="11"/>
        <v>TC_E4_00_00</v>
      </c>
      <c r="R80" s="20"/>
      <c r="S80" s="2" t="str">
        <f t="shared" si="12"/>
        <v>TC_E5_00_00</v>
      </c>
      <c r="T80" s="20"/>
      <c r="U80" s="2" t="str">
        <f t="shared" si="13"/>
        <v>TC_E6_00_00</v>
      </c>
      <c r="V80" s="20"/>
      <c r="W80" s="9"/>
      <c r="X80" s="9"/>
      <c r="Y80" s="9"/>
      <c r="Z80" s="9"/>
    </row>
    <row r="81" spans="1:26" x14ac:dyDescent="0.25">
      <c r="A81" s="22" t="b">
        <v>0</v>
      </c>
      <c r="B81" s="2">
        <f t="shared" si="7"/>
        <v>80</v>
      </c>
      <c r="C81" s="14" t="str">
        <f>_xlfn.XLOOKUP($D81,Tab_Def_Processes[Process_Name],Tab_Def_Processes[ID],,0,)</f>
        <v>00</v>
      </c>
      <c r="D81" s="18"/>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_xlfn.XLOOKUP($D81,Tab_Def_Processes[Process_Name],Tab_Def_Processes[Outflow_count],,0,)</f>
        <v>0</v>
      </c>
      <c r="I81" s="18"/>
      <c r="J81" s="15" t="str">
        <f>_xlfn.XLOOKUP($I81,Tab_Def_Flows[Flow_Name],Tab_Def_Flows[Flow_ID],,0,)</f>
        <v>F_00_00</v>
      </c>
      <c r="K81" s="11" t="str">
        <f t="shared" si="8"/>
        <v>TC_E1_00_00</v>
      </c>
      <c r="L81" s="20"/>
      <c r="M81" s="2" t="str">
        <f t="shared" si="9"/>
        <v>TC_E2_00_00</v>
      </c>
      <c r="N81" s="20"/>
      <c r="O81" s="2" t="str">
        <f t="shared" si="10"/>
        <v>TC_E3_00_00</v>
      </c>
      <c r="P81" s="20"/>
      <c r="Q81" s="2" t="str">
        <f t="shared" si="11"/>
        <v>TC_E4_00_00</v>
      </c>
      <c r="R81" s="20"/>
      <c r="S81" s="2" t="str">
        <f t="shared" si="12"/>
        <v>TC_E5_00_00</v>
      </c>
      <c r="T81" s="20"/>
      <c r="U81" s="2" t="str">
        <f t="shared" si="13"/>
        <v>TC_E6_00_00</v>
      </c>
      <c r="V81" s="20"/>
      <c r="W81" s="9"/>
      <c r="X81" s="9"/>
      <c r="Y81" s="9"/>
      <c r="Z81" s="9"/>
    </row>
    <row r="82" spans="1:26" x14ac:dyDescent="0.25">
      <c r="A82" s="22" t="b">
        <v>0</v>
      </c>
      <c r="B82" s="2">
        <f t="shared" si="7"/>
        <v>81</v>
      </c>
      <c r="C82" s="14" t="str">
        <f>_xlfn.XLOOKUP($D82,Tab_Def_Processes[Process_Name],Tab_Def_Processes[ID],,0,)</f>
        <v>00</v>
      </c>
      <c r="D82" s="18"/>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_xlfn.XLOOKUP($D82,Tab_Def_Processes[Process_Name],Tab_Def_Processes[Outflow_count],,0,)</f>
        <v>0</v>
      </c>
      <c r="I82" s="18"/>
      <c r="J82" s="15" t="str">
        <f>_xlfn.XLOOKUP($I82,Tab_Def_Flows[Flow_Name],Tab_Def_Flows[Flow_ID],,0,)</f>
        <v>F_00_00</v>
      </c>
      <c r="K82" s="11" t="str">
        <f t="shared" si="8"/>
        <v>TC_E1_00_00</v>
      </c>
      <c r="L82" s="20"/>
      <c r="M82" s="2" t="str">
        <f t="shared" si="9"/>
        <v>TC_E2_00_00</v>
      </c>
      <c r="N82" s="20"/>
      <c r="O82" s="2" t="str">
        <f t="shared" si="10"/>
        <v>TC_E3_00_00</v>
      </c>
      <c r="P82" s="20"/>
      <c r="Q82" s="2" t="str">
        <f t="shared" si="11"/>
        <v>TC_E4_00_00</v>
      </c>
      <c r="R82" s="20"/>
      <c r="S82" s="2" t="str">
        <f t="shared" si="12"/>
        <v>TC_E5_00_00</v>
      </c>
      <c r="T82" s="20"/>
      <c r="U82" s="2" t="str">
        <f t="shared" si="13"/>
        <v>TC_E6_00_00</v>
      </c>
      <c r="V82" s="20"/>
      <c r="W82" s="9"/>
      <c r="X82" s="9"/>
      <c r="Y82" s="9"/>
      <c r="Z82" s="9"/>
    </row>
    <row r="83" spans="1:26" x14ac:dyDescent="0.25">
      <c r="A83" s="22" t="b">
        <v>0</v>
      </c>
      <c r="B83" s="2">
        <f t="shared" si="7"/>
        <v>82</v>
      </c>
      <c r="C83" s="14" t="str">
        <f>_xlfn.XLOOKUP($D83,Tab_Def_Processes[Process_Name],Tab_Def_Processes[ID],,0,)</f>
        <v>00</v>
      </c>
      <c r="D83" s="18"/>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_xlfn.XLOOKUP($D83,Tab_Def_Processes[Process_Name],Tab_Def_Processes[Outflow_count],,0,)</f>
        <v>0</v>
      </c>
      <c r="I83" s="18"/>
      <c r="J83" s="15" t="str">
        <f>_xlfn.XLOOKUP($I83,Tab_Def_Flows[Flow_Name],Tab_Def_Flows[Flow_ID],,0,)</f>
        <v>F_00_00</v>
      </c>
      <c r="K83" s="11" t="str">
        <f t="shared" si="8"/>
        <v>TC_E1_00_00</v>
      </c>
      <c r="L83" s="20"/>
      <c r="M83" s="2" t="str">
        <f t="shared" si="9"/>
        <v>TC_E2_00_00</v>
      </c>
      <c r="N83" s="20"/>
      <c r="O83" s="2" t="str">
        <f t="shared" si="10"/>
        <v>TC_E3_00_00</v>
      </c>
      <c r="P83" s="20"/>
      <c r="Q83" s="2" t="str">
        <f t="shared" si="11"/>
        <v>TC_E4_00_00</v>
      </c>
      <c r="R83" s="20"/>
      <c r="S83" s="2" t="str">
        <f t="shared" si="12"/>
        <v>TC_E5_00_00</v>
      </c>
      <c r="T83" s="20"/>
      <c r="U83" s="2" t="str">
        <f t="shared" si="13"/>
        <v>TC_E6_00_00</v>
      </c>
      <c r="V83" s="20"/>
      <c r="W83" s="9"/>
      <c r="X83" s="9"/>
      <c r="Y83" s="9"/>
      <c r="Z83" s="9"/>
    </row>
    <row r="84" spans="1:26" x14ac:dyDescent="0.25">
      <c r="A84" s="22" t="b">
        <v>0</v>
      </c>
      <c r="B84" s="2">
        <f t="shared" si="7"/>
        <v>83</v>
      </c>
      <c r="C84" s="14" t="str">
        <f>_xlfn.XLOOKUP($D84,Tab_Def_Processes[Process_Name],Tab_Def_Processes[ID],,0,)</f>
        <v>00</v>
      </c>
      <c r="D84" s="18"/>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_xlfn.XLOOKUP($D84,Tab_Def_Processes[Process_Name],Tab_Def_Processes[Outflow_count],,0,)</f>
        <v>0</v>
      </c>
      <c r="I84" s="18"/>
      <c r="J84" s="15" t="str">
        <f>_xlfn.XLOOKUP($I84,Tab_Def_Flows[Flow_Name],Tab_Def_Flows[Flow_ID],,0,)</f>
        <v>F_00_00</v>
      </c>
      <c r="K84" s="11" t="str">
        <f t="shared" si="8"/>
        <v>TC_E1_00_00</v>
      </c>
      <c r="L84" s="20"/>
      <c r="M84" s="2" t="str">
        <f t="shared" si="9"/>
        <v>TC_E2_00_00</v>
      </c>
      <c r="N84" s="20"/>
      <c r="O84" s="2" t="str">
        <f t="shared" si="10"/>
        <v>TC_E3_00_00</v>
      </c>
      <c r="P84" s="20"/>
      <c r="Q84" s="2" t="str">
        <f t="shared" si="11"/>
        <v>TC_E4_00_00</v>
      </c>
      <c r="R84" s="20"/>
      <c r="S84" s="2" t="str">
        <f t="shared" si="12"/>
        <v>TC_E5_00_00</v>
      </c>
      <c r="T84" s="20"/>
      <c r="U84" s="2" t="str">
        <f t="shared" si="13"/>
        <v>TC_E6_00_00</v>
      </c>
      <c r="V84" s="20"/>
      <c r="W84" s="9"/>
      <c r="X84" s="9"/>
      <c r="Y84" s="9"/>
      <c r="Z84" s="9"/>
    </row>
    <row r="85" spans="1:26" x14ac:dyDescent="0.25">
      <c r="A85" s="22" t="b">
        <v>0</v>
      </c>
      <c r="B85" s="2">
        <f t="shared" si="7"/>
        <v>84</v>
      </c>
      <c r="C85" s="14" t="str">
        <f>_xlfn.XLOOKUP($D85,Tab_Def_Processes[Process_Name],Tab_Def_Processes[ID],,0,)</f>
        <v>00</v>
      </c>
      <c r="D85" s="18"/>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_xlfn.XLOOKUP($D85,Tab_Def_Processes[Process_Name],Tab_Def_Processes[Outflow_count],,0,)</f>
        <v>0</v>
      </c>
      <c r="I85" s="18"/>
      <c r="J85" s="15" t="str">
        <f>_xlfn.XLOOKUP($I85,Tab_Def_Flows[Flow_Name],Tab_Def_Flows[Flow_ID],,0,)</f>
        <v>F_00_00</v>
      </c>
      <c r="K85" s="11" t="str">
        <f t="shared" si="8"/>
        <v>TC_E1_00_00</v>
      </c>
      <c r="L85" s="20"/>
      <c r="M85" s="2" t="str">
        <f t="shared" si="9"/>
        <v>TC_E2_00_00</v>
      </c>
      <c r="N85" s="20"/>
      <c r="O85" s="2" t="str">
        <f t="shared" si="10"/>
        <v>TC_E3_00_00</v>
      </c>
      <c r="P85" s="20"/>
      <c r="Q85" s="2" t="str">
        <f t="shared" si="11"/>
        <v>TC_E4_00_00</v>
      </c>
      <c r="R85" s="20"/>
      <c r="S85" s="2" t="str">
        <f t="shared" si="12"/>
        <v>TC_E5_00_00</v>
      </c>
      <c r="T85" s="20"/>
      <c r="U85" s="2" t="str">
        <f t="shared" si="13"/>
        <v>TC_E6_00_00</v>
      </c>
      <c r="V85" s="20"/>
      <c r="W85" s="9"/>
      <c r="X85" s="9"/>
      <c r="Y85" s="9"/>
      <c r="Z85" s="9"/>
    </row>
    <row r="86" spans="1:26" x14ac:dyDescent="0.25">
      <c r="A86" s="22" t="b">
        <v>0</v>
      </c>
      <c r="B86" s="2">
        <f t="shared" si="7"/>
        <v>85</v>
      </c>
      <c r="C86" s="14" t="str">
        <f>_xlfn.XLOOKUP($D86,Tab_Def_Processes[Process_Name],Tab_Def_Processes[ID],,0,)</f>
        <v>00</v>
      </c>
      <c r="D86" s="18"/>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_xlfn.XLOOKUP($D86,Tab_Def_Processes[Process_Name],Tab_Def_Processes[Outflow_count],,0,)</f>
        <v>0</v>
      </c>
      <c r="I86" s="18"/>
      <c r="J86" s="15" t="str">
        <f>_xlfn.XLOOKUP($I86,Tab_Def_Flows[Flow_Name],Tab_Def_Flows[Flow_ID],,0,)</f>
        <v>F_00_00</v>
      </c>
      <c r="K86" s="11" t="str">
        <f t="shared" si="8"/>
        <v>TC_E1_00_00</v>
      </c>
      <c r="L86" s="20"/>
      <c r="M86" s="2" t="str">
        <f t="shared" si="9"/>
        <v>TC_E2_00_00</v>
      </c>
      <c r="N86" s="20"/>
      <c r="O86" s="2" t="str">
        <f t="shared" si="10"/>
        <v>TC_E3_00_00</v>
      </c>
      <c r="P86" s="20"/>
      <c r="Q86" s="2" t="str">
        <f t="shared" si="11"/>
        <v>TC_E4_00_00</v>
      </c>
      <c r="R86" s="20"/>
      <c r="S86" s="2" t="str">
        <f t="shared" si="12"/>
        <v>TC_E5_00_00</v>
      </c>
      <c r="T86" s="20"/>
      <c r="U86" s="2" t="str">
        <f t="shared" si="13"/>
        <v>TC_E6_00_00</v>
      </c>
      <c r="V86" s="20"/>
      <c r="W86" s="9"/>
      <c r="X86" s="9"/>
      <c r="Y86" s="9"/>
      <c r="Z86" s="9"/>
    </row>
    <row r="87" spans="1:26" x14ac:dyDescent="0.25">
      <c r="A87" s="22" t="b">
        <v>0</v>
      </c>
      <c r="B87" s="2">
        <f t="shared" si="7"/>
        <v>86</v>
      </c>
      <c r="C87" s="14" t="str">
        <f>_xlfn.XLOOKUP($D87,Tab_Def_Processes[Process_Name],Tab_Def_Processes[ID],,0,)</f>
        <v>00</v>
      </c>
      <c r="D87" s="18"/>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_xlfn.XLOOKUP($D87,Tab_Def_Processes[Process_Name],Tab_Def_Processes[Outflow_count],,0,)</f>
        <v>0</v>
      </c>
      <c r="I87" s="18"/>
      <c r="J87" s="15" t="str">
        <f>_xlfn.XLOOKUP($I87,Tab_Def_Flows[Flow_Name],Tab_Def_Flows[Flow_ID],,0,)</f>
        <v>F_00_00</v>
      </c>
      <c r="K87" s="11" t="str">
        <f t="shared" si="8"/>
        <v>TC_E1_00_00</v>
      </c>
      <c r="L87" s="20"/>
      <c r="M87" s="2" t="str">
        <f t="shared" si="9"/>
        <v>TC_E2_00_00</v>
      </c>
      <c r="N87" s="20"/>
      <c r="O87" s="2" t="str">
        <f t="shared" si="10"/>
        <v>TC_E3_00_00</v>
      </c>
      <c r="P87" s="20"/>
      <c r="Q87" s="2" t="str">
        <f t="shared" si="11"/>
        <v>TC_E4_00_00</v>
      </c>
      <c r="R87" s="20"/>
      <c r="S87" s="2" t="str">
        <f t="shared" si="12"/>
        <v>TC_E5_00_00</v>
      </c>
      <c r="T87" s="20"/>
      <c r="U87" s="2" t="str">
        <f t="shared" si="13"/>
        <v>TC_E6_00_00</v>
      </c>
      <c r="V87" s="20"/>
      <c r="W87" s="9"/>
      <c r="X87" s="9"/>
      <c r="Y87" s="9"/>
      <c r="Z87" s="9"/>
    </row>
    <row r="88" spans="1:26" x14ac:dyDescent="0.25">
      <c r="A88" s="22" t="b">
        <v>0</v>
      </c>
      <c r="B88" s="2">
        <f t="shared" si="7"/>
        <v>87</v>
      </c>
      <c r="C88" s="14" t="str">
        <f>_xlfn.XLOOKUP($D88,Tab_Def_Processes[Process_Name],Tab_Def_Processes[ID],,0,)</f>
        <v>00</v>
      </c>
      <c r="D88" s="18"/>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_xlfn.XLOOKUP($D88,Tab_Def_Processes[Process_Name],Tab_Def_Processes[Outflow_count],,0,)</f>
        <v>0</v>
      </c>
      <c r="I88" s="18"/>
      <c r="J88" s="15" t="str">
        <f>_xlfn.XLOOKUP($I88,Tab_Def_Flows[Flow_Name],Tab_Def_Flows[Flow_ID],,0,)</f>
        <v>F_00_00</v>
      </c>
      <c r="K88" s="11" t="str">
        <f t="shared" si="8"/>
        <v>TC_E1_00_00</v>
      </c>
      <c r="L88" s="20"/>
      <c r="M88" s="2" t="str">
        <f t="shared" si="9"/>
        <v>TC_E2_00_00</v>
      </c>
      <c r="N88" s="20"/>
      <c r="O88" s="2" t="str">
        <f t="shared" si="10"/>
        <v>TC_E3_00_00</v>
      </c>
      <c r="P88" s="20"/>
      <c r="Q88" s="2" t="str">
        <f t="shared" si="11"/>
        <v>TC_E4_00_00</v>
      </c>
      <c r="R88" s="20"/>
      <c r="S88" s="2" t="str">
        <f t="shared" si="12"/>
        <v>TC_E5_00_00</v>
      </c>
      <c r="T88" s="20"/>
      <c r="U88" s="2" t="str">
        <f t="shared" si="13"/>
        <v>TC_E6_00_00</v>
      </c>
      <c r="V88" s="20"/>
      <c r="W88" s="9"/>
      <c r="X88" s="9"/>
      <c r="Y88" s="9"/>
      <c r="Z88" s="9"/>
    </row>
    <row r="89" spans="1:26" x14ac:dyDescent="0.25">
      <c r="A89" s="22" t="b">
        <v>0</v>
      </c>
      <c r="B89" s="2">
        <f t="shared" si="7"/>
        <v>88</v>
      </c>
      <c r="C89" s="14" t="str">
        <f>_xlfn.XLOOKUP($D89,Tab_Def_Processes[Process_Name],Tab_Def_Processes[ID],,0,)</f>
        <v>00</v>
      </c>
      <c r="D89" s="18"/>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_xlfn.XLOOKUP($D89,Tab_Def_Processes[Process_Name],Tab_Def_Processes[Outflow_count],,0,)</f>
        <v>0</v>
      </c>
      <c r="I89" s="18"/>
      <c r="J89" s="15" t="str">
        <f>_xlfn.XLOOKUP($I89,Tab_Def_Flows[Flow_Name],Tab_Def_Flows[Flow_ID],,0,)</f>
        <v>F_00_00</v>
      </c>
      <c r="K89" s="11" t="str">
        <f t="shared" si="8"/>
        <v>TC_E1_00_00</v>
      </c>
      <c r="L89" s="20"/>
      <c r="M89" s="2" t="str">
        <f t="shared" si="9"/>
        <v>TC_E2_00_00</v>
      </c>
      <c r="N89" s="20"/>
      <c r="O89" s="2" t="str">
        <f t="shared" si="10"/>
        <v>TC_E3_00_00</v>
      </c>
      <c r="P89" s="20"/>
      <c r="Q89" s="2" t="str">
        <f t="shared" si="11"/>
        <v>TC_E4_00_00</v>
      </c>
      <c r="R89" s="20"/>
      <c r="S89" s="2" t="str">
        <f t="shared" si="12"/>
        <v>TC_E5_00_00</v>
      </c>
      <c r="T89" s="20"/>
      <c r="U89" s="2" t="str">
        <f t="shared" si="13"/>
        <v>TC_E6_00_00</v>
      </c>
      <c r="V89" s="20"/>
      <c r="W89" s="9"/>
      <c r="X89" s="9"/>
      <c r="Y89" s="9"/>
      <c r="Z89" s="9"/>
    </row>
    <row r="90" spans="1:26" x14ac:dyDescent="0.25">
      <c r="A90" s="22" t="b">
        <v>0</v>
      </c>
      <c r="B90" s="2">
        <f t="shared" si="7"/>
        <v>89</v>
      </c>
      <c r="C90" s="14" t="str">
        <f>_xlfn.XLOOKUP($D90,Tab_Def_Processes[Process_Name],Tab_Def_Processes[ID],,0,)</f>
        <v>00</v>
      </c>
      <c r="D90" s="18"/>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_xlfn.XLOOKUP($D90,Tab_Def_Processes[Process_Name],Tab_Def_Processes[Outflow_count],,0,)</f>
        <v>0</v>
      </c>
      <c r="I90" s="18"/>
      <c r="J90" s="15" t="str">
        <f>_xlfn.XLOOKUP($I90,Tab_Def_Flows[Flow_Name],Tab_Def_Flows[Flow_ID],,0,)</f>
        <v>F_00_00</v>
      </c>
      <c r="K90" s="11" t="str">
        <f t="shared" si="8"/>
        <v>TC_E1_00_00</v>
      </c>
      <c r="L90" s="20"/>
      <c r="M90" s="2" t="str">
        <f t="shared" si="9"/>
        <v>TC_E2_00_00</v>
      </c>
      <c r="N90" s="20"/>
      <c r="O90" s="2" t="str">
        <f t="shared" si="10"/>
        <v>TC_E3_00_00</v>
      </c>
      <c r="P90" s="20"/>
      <c r="Q90" s="2" t="str">
        <f t="shared" si="11"/>
        <v>TC_E4_00_00</v>
      </c>
      <c r="R90" s="20"/>
      <c r="S90" s="2" t="str">
        <f t="shared" si="12"/>
        <v>TC_E5_00_00</v>
      </c>
      <c r="T90" s="20"/>
      <c r="U90" s="2" t="str">
        <f t="shared" si="13"/>
        <v>TC_E6_00_00</v>
      </c>
      <c r="V90" s="20"/>
      <c r="W90" s="9"/>
      <c r="X90" s="9"/>
      <c r="Y90" s="9"/>
      <c r="Z90" s="9"/>
    </row>
    <row r="91" spans="1:26" x14ac:dyDescent="0.25">
      <c r="A91" s="22" t="b">
        <v>0</v>
      </c>
      <c r="B91" s="2">
        <f t="shared" si="7"/>
        <v>90</v>
      </c>
      <c r="C91" s="14" t="str">
        <f>_xlfn.XLOOKUP($D91,Tab_Def_Processes[Process_Name],Tab_Def_Processes[ID],,0,)</f>
        <v>00</v>
      </c>
      <c r="D91" s="18"/>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_xlfn.XLOOKUP($D91,Tab_Def_Processes[Process_Name],Tab_Def_Processes[Outflow_count],,0,)</f>
        <v>0</v>
      </c>
      <c r="I91" s="18"/>
      <c r="J91" s="15" t="str">
        <f>_xlfn.XLOOKUP($I91,Tab_Def_Flows[Flow_Name],Tab_Def_Flows[Flow_ID],,0,)</f>
        <v>F_00_00</v>
      </c>
      <c r="K91" s="11" t="str">
        <f t="shared" si="8"/>
        <v>TC_E1_00_00</v>
      </c>
      <c r="L91" s="20"/>
      <c r="M91" s="2" t="str">
        <f t="shared" si="9"/>
        <v>TC_E2_00_00</v>
      </c>
      <c r="N91" s="20"/>
      <c r="O91" s="2" t="str">
        <f t="shared" si="10"/>
        <v>TC_E3_00_00</v>
      </c>
      <c r="P91" s="20"/>
      <c r="Q91" s="2" t="str">
        <f t="shared" si="11"/>
        <v>TC_E4_00_00</v>
      </c>
      <c r="R91" s="20"/>
      <c r="S91" s="2" t="str">
        <f t="shared" si="12"/>
        <v>TC_E5_00_00</v>
      </c>
      <c r="T91" s="20"/>
      <c r="U91" s="2" t="str">
        <f t="shared" si="13"/>
        <v>TC_E6_00_00</v>
      </c>
      <c r="V91" s="20"/>
      <c r="W91" s="9"/>
      <c r="X91" s="9"/>
      <c r="Y91" s="9"/>
      <c r="Z91" s="9"/>
    </row>
    <row r="92" spans="1:26" x14ac:dyDescent="0.25">
      <c r="A92" s="22" t="b">
        <v>0</v>
      </c>
      <c r="B92" s="2">
        <f t="shared" si="7"/>
        <v>91</v>
      </c>
      <c r="C92" s="14" t="str">
        <f>_xlfn.XLOOKUP($D92,Tab_Def_Processes[Process_Name],Tab_Def_Processes[ID],,0,)</f>
        <v>00</v>
      </c>
      <c r="D92" s="18"/>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_xlfn.XLOOKUP($D92,Tab_Def_Processes[Process_Name],Tab_Def_Processes[Outflow_count],,0,)</f>
        <v>0</v>
      </c>
      <c r="I92" s="18"/>
      <c r="J92" s="15" t="str">
        <f>_xlfn.XLOOKUP($I92,Tab_Def_Flows[Flow_Name],Tab_Def_Flows[Flow_ID],,0,)</f>
        <v>F_00_00</v>
      </c>
      <c r="K92" s="11" t="str">
        <f t="shared" si="8"/>
        <v>TC_E1_00_00</v>
      </c>
      <c r="L92" s="20"/>
      <c r="M92" s="2" t="str">
        <f t="shared" si="9"/>
        <v>TC_E2_00_00</v>
      </c>
      <c r="N92" s="20"/>
      <c r="O92" s="2" t="str">
        <f t="shared" si="10"/>
        <v>TC_E3_00_00</v>
      </c>
      <c r="P92" s="20"/>
      <c r="Q92" s="2" t="str">
        <f t="shared" si="11"/>
        <v>TC_E4_00_00</v>
      </c>
      <c r="R92" s="20"/>
      <c r="S92" s="2" t="str">
        <f t="shared" si="12"/>
        <v>TC_E5_00_00</v>
      </c>
      <c r="T92" s="20"/>
      <c r="U92" s="2" t="str">
        <f t="shared" si="13"/>
        <v>TC_E6_00_00</v>
      </c>
      <c r="V92" s="20"/>
      <c r="W92" s="9"/>
      <c r="X92" s="9"/>
      <c r="Y92" s="9"/>
      <c r="Z92" s="9"/>
    </row>
    <row r="93" spans="1:26" x14ac:dyDescent="0.25">
      <c r="A93" s="22" t="b">
        <v>0</v>
      </c>
      <c r="B93" s="2">
        <f t="shared" si="7"/>
        <v>92</v>
      </c>
      <c r="C93" s="14" t="str">
        <f>_xlfn.XLOOKUP($D93,Tab_Def_Processes[Process_Name],Tab_Def_Processes[ID],,0,)</f>
        <v>00</v>
      </c>
      <c r="D93" s="18"/>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_xlfn.XLOOKUP($D93,Tab_Def_Processes[Process_Name],Tab_Def_Processes[Outflow_count],,0,)</f>
        <v>0</v>
      </c>
      <c r="I93" s="18"/>
      <c r="J93" s="15" t="str">
        <f>_xlfn.XLOOKUP($I93,Tab_Def_Flows[Flow_Name],Tab_Def_Flows[Flow_ID],,0,)</f>
        <v>F_00_00</v>
      </c>
      <c r="K93" s="11" t="str">
        <f t="shared" si="8"/>
        <v>TC_E1_00_00</v>
      </c>
      <c r="L93" s="20"/>
      <c r="M93" s="2" t="str">
        <f t="shared" si="9"/>
        <v>TC_E2_00_00</v>
      </c>
      <c r="N93" s="20"/>
      <c r="O93" s="2" t="str">
        <f t="shared" si="10"/>
        <v>TC_E3_00_00</v>
      </c>
      <c r="P93" s="20"/>
      <c r="Q93" s="2" t="str">
        <f t="shared" si="11"/>
        <v>TC_E4_00_00</v>
      </c>
      <c r="R93" s="20"/>
      <c r="S93" s="2" t="str">
        <f t="shared" si="12"/>
        <v>TC_E5_00_00</v>
      </c>
      <c r="T93" s="20"/>
      <c r="U93" s="2" t="str">
        <f t="shared" si="13"/>
        <v>TC_E6_00_00</v>
      </c>
      <c r="V93" s="20"/>
      <c r="W93" s="9"/>
      <c r="X93" s="9"/>
      <c r="Y93" s="9"/>
      <c r="Z93" s="9"/>
    </row>
    <row r="94" spans="1:26" x14ac:dyDescent="0.25">
      <c r="A94" s="22" t="b">
        <v>0</v>
      </c>
      <c r="B94" s="2">
        <f t="shared" si="7"/>
        <v>93</v>
      </c>
      <c r="C94" s="14" t="str">
        <f>_xlfn.XLOOKUP($D94,Tab_Def_Processes[Process_Name],Tab_Def_Processes[ID],,0,)</f>
        <v>00</v>
      </c>
      <c r="D94" s="18"/>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_xlfn.XLOOKUP($D94,Tab_Def_Processes[Process_Name],Tab_Def_Processes[Outflow_count],,0,)</f>
        <v>0</v>
      </c>
      <c r="I94" s="18"/>
      <c r="J94" s="15" t="str">
        <f>_xlfn.XLOOKUP($I94,Tab_Def_Flows[Flow_Name],Tab_Def_Flows[Flow_ID],,0,)</f>
        <v>F_00_00</v>
      </c>
      <c r="K94" s="11" t="str">
        <f t="shared" si="8"/>
        <v>TC_E1_00_00</v>
      </c>
      <c r="L94" s="20"/>
      <c r="M94" s="2" t="str">
        <f t="shared" si="9"/>
        <v>TC_E2_00_00</v>
      </c>
      <c r="N94" s="20"/>
      <c r="O94" s="2" t="str">
        <f t="shared" si="10"/>
        <v>TC_E3_00_00</v>
      </c>
      <c r="P94" s="20"/>
      <c r="Q94" s="2" t="str">
        <f t="shared" si="11"/>
        <v>TC_E4_00_00</v>
      </c>
      <c r="R94" s="20"/>
      <c r="S94" s="2" t="str">
        <f t="shared" si="12"/>
        <v>TC_E5_00_00</v>
      </c>
      <c r="T94" s="20"/>
      <c r="U94" s="2" t="str">
        <f t="shared" si="13"/>
        <v>TC_E6_00_00</v>
      </c>
      <c r="V94" s="20"/>
      <c r="W94" s="9"/>
      <c r="X94" s="9"/>
      <c r="Y94" s="9"/>
      <c r="Z94" s="9"/>
    </row>
    <row r="95" spans="1:26" x14ac:dyDescent="0.25">
      <c r="A95" s="22" t="b">
        <v>0</v>
      </c>
      <c r="B95" s="2">
        <f t="shared" si="7"/>
        <v>94</v>
      </c>
      <c r="C95" s="14" t="str">
        <f>_xlfn.XLOOKUP($D95,Tab_Def_Processes[Process_Name],Tab_Def_Processes[ID],,0,)</f>
        <v>00</v>
      </c>
      <c r="D95" s="18"/>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_xlfn.XLOOKUP($D95,Tab_Def_Processes[Process_Name],Tab_Def_Processes[Outflow_count],,0,)</f>
        <v>0</v>
      </c>
      <c r="I95" s="18"/>
      <c r="J95" s="15" t="str">
        <f>_xlfn.XLOOKUP($I95,Tab_Def_Flows[Flow_Name],Tab_Def_Flows[Flow_ID],,0,)</f>
        <v>F_00_00</v>
      </c>
      <c r="K95" s="11" t="str">
        <f t="shared" si="8"/>
        <v>TC_E1_00_00</v>
      </c>
      <c r="L95" s="20"/>
      <c r="M95" s="2" t="str">
        <f t="shared" si="9"/>
        <v>TC_E2_00_00</v>
      </c>
      <c r="N95" s="20"/>
      <c r="O95" s="2" t="str">
        <f t="shared" si="10"/>
        <v>TC_E3_00_00</v>
      </c>
      <c r="P95" s="20"/>
      <c r="Q95" s="2" t="str">
        <f t="shared" si="11"/>
        <v>TC_E4_00_00</v>
      </c>
      <c r="R95" s="20"/>
      <c r="S95" s="2" t="str">
        <f t="shared" si="12"/>
        <v>TC_E5_00_00</v>
      </c>
      <c r="T95" s="20"/>
      <c r="U95" s="2" t="str">
        <f t="shared" si="13"/>
        <v>TC_E6_00_00</v>
      </c>
      <c r="V95" s="20"/>
      <c r="W95" s="9"/>
      <c r="X95" s="9"/>
      <c r="Y95" s="9"/>
      <c r="Z95" s="9"/>
    </row>
    <row r="96" spans="1:26" x14ac:dyDescent="0.25">
      <c r="A96" s="22" t="b">
        <v>0</v>
      </c>
      <c r="B96" s="2">
        <f t="shared" si="0"/>
        <v>95</v>
      </c>
      <c r="C96" s="14" t="str">
        <f>_xlfn.XLOOKUP($D96,Tab_Def_Processes[Process_Name],Tab_Def_Processes[ID],,0,)</f>
        <v>00</v>
      </c>
      <c r="D96" s="18"/>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_xlfn.XLOOKUP($D96,Tab_Def_Processes[Process_Name],Tab_Def_Processes[Outflow_count],,0,)</f>
        <v>0</v>
      </c>
      <c r="I96" s="18"/>
      <c r="J96" s="15" t="str">
        <f>_xlfn.XLOOKUP($I96,Tab_Def_Flows[Flow_Name],Tab_Def_Flows[Flow_ID],,0,)</f>
        <v>F_00_00</v>
      </c>
      <c r="K96" s="11" t="str">
        <f t="shared" si="1"/>
        <v>TC_E1_00_00</v>
      </c>
      <c r="L96" s="20"/>
      <c r="M96" s="2" t="str">
        <f t="shared" si="2"/>
        <v>TC_E2_00_00</v>
      </c>
      <c r="N96" s="20"/>
      <c r="O96" s="2" t="str">
        <f t="shared" si="3"/>
        <v>TC_E3_00_00</v>
      </c>
      <c r="P96" s="20"/>
      <c r="Q96" s="2" t="str">
        <f t="shared" si="4"/>
        <v>TC_E4_00_00</v>
      </c>
      <c r="R96" s="20"/>
      <c r="S96" s="2" t="str">
        <f t="shared" si="5"/>
        <v>TC_E5_00_00</v>
      </c>
      <c r="T96" s="20"/>
      <c r="U96" s="2" t="str">
        <f t="shared" si="13"/>
        <v>TC_E6_00_00</v>
      </c>
      <c r="V96" s="20"/>
      <c r="W96" s="9"/>
      <c r="X96" s="9"/>
      <c r="Y96" s="9"/>
      <c r="Z96" s="9"/>
    </row>
    <row r="97" spans="1:26" x14ac:dyDescent="0.25">
      <c r="A97" s="22" t="b">
        <v>0</v>
      </c>
      <c r="B97" s="2">
        <f t="shared" si="0"/>
        <v>96</v>
      </c>
      <c r="C97" s="14" t="str">
        <f>_xlfn.XLOOKUP($D97,Tab_Def_Processes[Process_Name],Tab_Def_Processes[ID],,0,)</f>
        <v>00</v>
      </c>
      <c r="D97" s="18"/>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_xlfn.XLOOKUP($D97,Tab_Def_Processes[Process_Name],Tab_Def_Processes[Outflow_count],,0,)</f>
        <v>0</v>
      </c>
      <c r="I97" s="18"/>
      <c r="J97" s="15" t="str">
        <f>_xlfn.XLOOKUP($I97,Tab_Def_Flows[Flow_Name],Tab_Def_Flows[Flow_ID],,0,)</f>
        <v>F_00_00</v>
      </c>
      <c r="K97" s="11" t="str">
        <f t="shared" si="1"/>
        <v>TC_E1_00_00</v>
      </c>
      <c r="L97" s="20"/>
      <c r="M97" s="2" t="str">
        <f t="shared" si="2"/>
        <v>TC_E2_00_00</v>
      </c>
      <c r="N97" s="20"/>
      <c r="O97" s="2" t="str">
        <f t="shared" si="3"/>
        <v>TC_E3_00_00</v>
      </c>
      <c r="P97" s="20"/>
      <c r="Q97" s="2" t="str">
        <f t="shared" si="4"/>
        <v>TC_E4_00_00</v>
      </c>
      <c r="R97" s="20"/>
      <c r="S97" s="2" t="str">
        <f t="shared" si="5"/>
        <v>TC_E5_00_00</v>
      </c>
      <c r="T97" s="20"/>
      <c r="U97" s="2" t="str">
        <f t="shared" si="13"/>
        <v>TC_E6_00_00</v>
      </c>
      <c r="V97" s="20"/>
      <c r="W97" s="9"/>
      <c r="X97" s="9"/>
      <c r="Y97" s="9"/>
      <c r="Z97" s="9"/>
    </row>
    <row r="98" spans="1:26" x14ac:dyDescent="0.25">
      <c r="A98" s="22" t="b">
        <v>0</v>
      </c>
      <c r="B98" s="2">
        <f t="shared" si="0"/>
        <v>97</v>
      </c>
      <c r="C98" s="14" t="str">
        <f>_xlfn.XLOOKUP($D98,Tab_Def_Processes[Process_Name],Tab_Def_Processes[ID],,0,)</f>
        <v>00</v>
      </c>
      <c r="D98" s="18"/>
      <c r="E98" s="2">
        <f>_xlfn.XLOOKUP($D98,Tab_Def_Processes[Process_Name],Tab_Def_Processes[Process_Logic],,0,)</f>
        <v>0</v>
      </c>
      <c r="F98" s="2">
        <f>_xlfn.XLOOKUP($D98,Tab_Def_Processes[Process_Name],Tab_Def_Processes[TC_Configuration],,0,)</f>
        <v>0</v>
      </c>
      <c r="G98" s="2">
        <f>_xlfn.XLOOKUP($D98,Tab_Def_Processes[Process_Name],Tab_Def_Processes[Stock_Configuration],,0,)</f>
        <v>0</v>
      </c>
      <c r="H98" s="2">
        <f>_xlfn.XLOOKUP($D98,Tab_Def_Processes[Process_Name],Tab_Def_Processes[Outflow_count],,0,)</f>
        <v>0</v>
      </c>
      <c r="I98" s="18"/>
      <c r="J98" s="15" t="str">
        <f>_xlfn.XLOOKUP($I98,Tab_Def_Flows[Flow_Name],Tab_Def_Flows[Flow_ID],,0,)</f>
        <v>F_00_00</v>
      </c>
      <c r="K98" s="11" t="str">
        <f t="shared" si="1"/>
        <v>TC_E1_00_00</v>
      </c>
      <c r="L98" s="20"/>
      <c r="M98" s="2" t="str">
        <f t="shared" si="2"/>
        <v>TC_E2_00_00</v>
      </c>
      <c r="N98" s="20"/>
      <c r="O98" s="2" t="str">
        <f t="shared" si="3"/>
        <v>TC_E3_00_00</v>
      </c>
      <c r="P98" s="20"/>
      <c r="Q98" s="2" t="str">
        <f t="shared" si="4"/>
        <v>TC_E4_00_00</v>
      </c>
      <c r="R98" s="20"/>
      <c r="S98" s="2" t="str">
        <f t="shared" si="5"/>
        <v>TC_E5_00_00</v>
      </c>
      <c r="T98" s="20"/>
      <c r="U98" s="2" t="str">
        <f t="shared" si="13"/>
        <v>TC_E6_00_00</v>
      </c>
      <c r="V98" s="20"/>
      <c r="W98" s="9"/>
      <c r="X98" s="9"/>
      <c r="Y98" s="9"/>
      <c r="Z98"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D99:D1048576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I2:I98</xm:sqref>
        </x14:dataValidation>
        <x14:dataValidation type="list" allowBlank="1" showInputMessage="1" showErrorMessage="1" xr:uid="{9903D9BB-5370-4BBF-B034-D090545CAD2E}">
          <x14:formula1>
            <xm:f>'6_1_Reference_Manager'!$C$2:$C$49</xm:f>
          </x14:formula1>
          <xm:sqref>X2:Z98</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D2:D98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A149"/>
  <sheetViews>
    <sheetView zoomScaleNormal="100" workbookViewId="0">
      <pane xSplit="4" topLeftCell="I1" activePane="topRight" state="frozen"/>
      <selection pane="topRight" activeCell="X2" sqref="X2"/>
    </sheetView>
  </sheetViews>
  <sheetFormatPr defaultColWidth="10.85546875" defaultRowHeight="15" outlineLevelCol="1" x14ac:dyDescent="0.25"/>
  <cols>
    <col min="2" max="2" width="3.85546875" customWidth="1"/>
    <col min="4" max="4" width="24" customWidth="1"/>
    <col min="5" max="8" width="26.42578125" hidden="1" customWidth="1" outlineLevel="1"/>
    <col min="9" max="9" width="26.42578125" customWidth="1" collapsed="1"/>
    <col min="10" max="11" width="16.5703125" customWidth="1"/>
    <col min="12" max="12" width="19.42578125" customWidth="1"/>
    <col min="13"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62.5703125" customWidth="1" outlineLevel="1"/>
    <col min="25" max="25" width="18.7109375" customWidth="1" outlineLevel="1"/>
    <col min="26" max="26" width="19.28515625" customWidth="1" outlineLevel="1"/>
    <col min="27" max="27" width="18.42578125" customWidth="1" outlineLevel="1"/>
  </cols>
  <sheetData>
    <row r="1" spans="1:27" x14ac:dyDescent="0.25">
      <c r="A1" s="21" t="s">
        <v>13</v>
      </c>
      <c r="B1" s="21" t="s">
        <v>4</v>
      </c>
      <c r="C1" s="21" t="s">
        <v>12</v>
      </c>
      <c r="D1" s="21" t="s">
        <v>134</v>
      </c>
      <c r="E1" s="21" t="s">
        <v>121</v>
      </c>
      <c r="F1" s="21" t="s">
        <v>159</v>
      </c>
      <c r="G1" s="21" t="s">
        <v>160</v>
      </c>
      <c r="H1" s="21" t="s">
        <v>172</v>
      </c>
      <c r="I1" s="21" t="s">
        <v>66</v>
      </c>
      <c r="J1" s="21" t="s">
        <v>6</v>
      </c>
      <c r="K1" s="21" t="s">
        <v>0</v>
      </c>
      <c r="L1" s="21" t="s">
        <v>388</v>
      </c>
      <c r="M1" s="21" t="s">
        <v>390</v>
      </c>
      <c r="N1" s="21" t="s">
        <v>389</v>
      </c>
      <c r="O1" s="21" t="s">
        <v>391</v>
      </c>
      <c r="P1" s="21" t="s">
        <v>392</v>
      </c>
      <c r="Q1" s="21" t="s">
        <v>393</v>
      </c>
      <c r="R1" s="21" t="s">
        <v>394</v>
      </c>
      <c r="S1" s="21" t="s">
        <v>395</v>
      </c>
      <c r="T1" s="21" t="s">
        <v>396</v>
      </c>
      <c r="U1" s="21" t="s">
        <v>397</v>
      </c>
      <c r="V1" s="21" t="s">
        <v>417</v>
      </c>
      <c r="W1" s="21" t="s">
        <v>418</v>
      </c>
      <c r="X1" s="21" t="s">
        <v>7</v>
      </c>
      <c r="Y1" s="21" t="s">
        <v>649</v>
      </c>
      <c r="Z1" s="21" t="s">
        <v>650</v>
      </c>
      <c r="AA1" s="21" t="s">
        <v>648</v>
      </c>
    </row>
    <row r="2" spans="1:27" x14ac:dyDescent="0.25">
      <c r="A2" s="22" t="b">
        <v>0</v>
      </c>
      <c r="B2" s="2">
        <f t="shared" ref="B2:B31" si="0">ROW()-1</f>
        <v>1</v>
      </c>
      <c r="C2" s="14" t="e">
        <f>_xlfn.XLOOKUP($D2,Tab_Def_Processes[Process_Name],Tab_Def_Processes[Process_ID],,0,)</f>
        <v>#N/A</v>
      </c>
      <c r="D2" s="18" t="s">
        <v>5</v>
      </c>
      <c r="E2" s="14" t="e">
        <f>_xlfn.XLOOKUP($D2,Tab_Def_Processes[Process_Name],Tab_Def_Processes[Process_Logic],,0,)</f>
        <v>#N/A</v>
      </c>
      <c r="F2" s="14" t="e">
        <f>_xlfn.XLOOKUP($D2,Tab_Def_Processes[Process_Name],Tab_Def_Processes[TC_Configuration],,0,)</f>
        <v>#N/A</v>
      </c>
      <c r="G2" s="14" t="e">
        <f>_xlfn.XLOOKUP($D2,Tab_Def_Processes[Process_Name],Tab_Def_Processes[Stock_Configuration],,0,)</f>
        <v>#N/A</v>
      </c>
      <c r="H2" s="14" t="e">
        <f>_xlfn.XLOOKUP($D2,Tab_Def_Processes[Process_Name],Tab_Def_Processes[Outflow_count],,0,)</f>
        <v>#N/A</v>
      </c>
      <c r="I2" s="18" t="s">
        <v>5</v>
      </c>
      <c r="J2" s="2" t="str">
        <f>_xlfn.XLOOKUP($I2,Tab_Def_Flows[Flow_Name],Tab_Def_Flows[Flow_ID],,0,1)</f>
        <v>F__</v>
      </c>
      <c r="K2" s="3"/>
      <c r="L2" s="11" t="str">
        <f t="shared" ref="L2:L64" si="1">"TC_E1"&amp;"_"&amp;RIGHT(J2,5)</f>
        <v>TC_E1_F__</v>
      </c>
      <c r="M2" s="20"/>
      <c r="N2" s="11" t="str">
        <f t="shared" ref="N2:N64" si="2">"TC_E2"&amp;"_"&amp;RIGHT(J2,5)</f>
        <v>TC_E2_F__</v>
      </c>
      <c r="O2" s="20"/>
      <c r="P2" s="11" t="str">
        <f t="shared" ref="P2:P64" si="3">"TC_E3"&amp;"_"&amp;RIGHT(J2,5)</f>
        <v>TC_E3_F__</v>
      </c>
      <c r="Q2" s="20"/>
      <c r="R2" s="11" t="str">
        <f t="shared" ref="R2:R64" si="4">"TC_E4"&amp;"_"&amp;RIGHT(J2,5)</f>
        <v>TC_E4_F__</v>
      </c>
      <c r="S2" s="3"/>
      <c r="T2" s="11" t="str">
        <f t="shared" ref="T2:T64" si="5">"TC_E5"&amp;"_"&amp;RIGHT(J2,5)</f>
        <v>TC_E5_F__</v>
      </c>
      <c r="U2" s="3"/>
      <c r="V2" s="11" t="str">
        <f>"TC_E6"&amp;"_"&amp;RIGHT(J2,5)</f>
        <v>TC_E6_F__</v>
      </c>
      <c r="W2" s="3"/>
      <c r="X2" s="9"/>
      <c r="Y2" s="9"/>
      <c r="Z2" s="9"/>
      <c r="AA2" s="9"/>
    </row>
    <row r="3" spans="1:27" x14ac:dyDescent="0.25">
      <c r="A3" s="22" t="b">
        <v>0</v>
      </c>
      <c r="B3" s="2">
        <f t="shared" si="0"/>
        <v>2</v>
      </c>
      <c r="C3" s="14" t="e">
        <f>_xlfn.XLOOKUP($D3,Tab_Def_Processes[Process_Name],Tab_Def_Processes[Process_ID],,0,)</f>
        <v>#N/A</v>
      </c>
      <c r="D3" s="18" t="s">
        <v>5</v>
      </c>
      <c r="E3" s="14" t="e">
        <f>_xlfn.XLOOKUP($D3,Tab_Def_Processes[Process_Name],Tab_Def_Processes[Process_Logic],,0,)</f>
        <v>#N/A</v>
      </c>
      <c r="F3" s="14" t="e">
        <f>_xlfn.XLOOKUP($D3,Tab_Def_Processes[Process_Name],Tab_Def_Processes[TC_Configuration],,0,)</f>
        <v>#N/A</v>
      </c>
      <c r="G3" s="14" t="e">
        <f>_xlfn.XLOOKUP($D3,Tab_Def_Processes[Process_Name],Tab_Def_Processes[Stock_Configuration],,0,)</f>
        <v>#N/A</v>
      </c>
      <c r="H3" s="14" t="e">
        <f>_xlfn.XLOOKUP($D3,Tab_Def_Processes[Process_Name],Tab_Def_Processes[Outflow_count],,0,)</f>
        <v>#N/A</v>
      </c>
      <c r="I3" s="18" t="s">
        <v>5</v>
      </c>
      <c r="J3" s="2" t="str">
        <f>_xlfn.XLOOKUP($I3,Tab_Def_Flows[Flow_Name],Tab_Def_Flows[Flow_ID],,0,1)</f>
        <v>F__</v>
      </c>
      <c r="K3" s="3"/>
      <c r="L3" s="11" t="str">
        <f t="shared" si="1"/>
        <v>TC_E1_F__</v>
      </c>
      <c r="M3" s="20"/>
      <c r="N3" s="11" t="str">
        <f t="shared" si="2"/>
        <v>TC_E2_F__</v>
      </c>
      <c r="O3" s="20"/>
      <c r="P3" s="11" t="str">
        <f t="shared" si="3"/>
        <v>TC_E3_F__</v>
      </c>
      <c r="Q3" s="20"/>
      <c r="R3" s="11" t="str">
        <f t="shared" si="4"/>
        <v>TC_E4_F__</v>
      </c>
      <c r="S3" s="3"/>
      <c r="T3" s="11" t="str">
        <f t="shared" si="5"/>
        <v>TC_E5_F__</v>
      </c>
      <c r="U3" s="3"/>
      <c r="V3" s="11" t="str">
        <f t="shared" ref="V3:V66" si="6">"TC_E6"&amp;"_"&amp;RIGHT(J3,5)</f>
        <v>TC_E6_F__</v>
      </c>
      <c r="W3" s="3"/>
      <c r="X3" s="9"/>
      <c r="Y3" s="9"/>
      <c r="Z3" s="9"/>
      <c r="AA3" s="9"/>
    </row>
    <row r="4" spans="1:27" x14ac:dyDescent="0.25">
      <c r="A4" s="22" t="b">
        <v>0</v>
      </c>
      <c r="B4" s="2">
        <f t="shared" si="0"/>
        <v>3</v>
      </c>
      <c r="C4" s="14" t="e">
        <f>_xlfn.XLOOKUP($D4,Tab_Def_Processes[Process_Name],Tab_Def_Processes[Process_ID],,0,)</f>
        <v>#N/A</v>
      </c>
      <c r="D4" s="18" t="s">
        <v>5</v>
      </c>
      <c r="E4" s="14" t="e">
        <f>_xlfn.XLOOKUP($D4,Tab_Def_Processes[Process_Name],Tab_Def_Processes[Process_Logic],,0,)</f>
        <v>#N/A</v>
      </c>
      <c r="F4" s="14" t="e">
        <f>_xlfn.XLOOKUP($D4,Tab_Def_Processes[Process_Name],Tab_Def_Processes[TC_Configuration],,0,)</f>
        <v>#N/A</v>
      </c>
      <c r="G4" s="14" t="e">
        <f>_xlfn.XLOOKUP($D4,Tab_Def_Processes[Process_Name],Tab_Def_Processes[Stock_Configuration],,0,)</f>
        <v>#N/A</v>
      </c>
      <c r="H4" s="14" t="e">
        <f>_xlfn.XLOOKUP($D4,Tab_Def_Processes[Process_Name],Tab_Def_Processes[Outflow_count],,0,)</f>
        <v>#N/A</v>
      </c>
      <c r="I4" s="18" t="s">
        <v>5</v>
      </c>
      <c r="J4" s="2" t="str">
        <f>_xlfn.XLOOKUP($I4,Tab_Def_Flows[Flow_Name],Tab_Def_Flows[Flow_ID],,0,1)</f>
        <v>F__</v>
      </c>
      <c r="K4" s="3"/>
      <c r="L4" s="11" t="str">
        <f t="shared" si="1"/>
        <v>TC_E1_F__</v>
      </c>
      <c r="M4" s="20"/>
      <c r="N4" s="11" t="str">
        <f t="shared" si="2"/>
        <v>TC_E2_F__</v>
      </c>
      <c r="O4" s="20"/>
      <c r="P4" s="11" t="str">
        <f t="shared" si="3"/>
        <v>TC_E3_F__</v>
      </c>
      <c r="Q4" s="20"/>
      <c r="R4" s="11" t="str">
        <f t="shared" si="4"/>
        <v>TC_E4_F__</v>
      </c>
      <c r="S4" s="3"/>
      <c r="T4" s="11" t="str">
        <f t="shared" si="5"/>
        <v>TC_E5_F__</v>
      </c>
      <c r="U4" s="3"/>
      <c r="V4" s="11" t="str">
        <f t="shared" si="6"/>
        <v>TC_E6_F__</v>
      </c>
      <c r="W4" s="3"/>
      <c r="X4" s="9"/>
      <c r="Y4" s="9"/>
      <c r="Z4" s="9"/>
      <c r="AA4" s="9"/>
    </row>
    <row r="5" spans="1:27" x14ac:dyDescent="0.25">
      <c r="A5" s="22" t="b">
        <v>0</v>
      </c>
      <c r="B5" s="2">
        <f t="shared" si="0"/>
        <v>4</v>
      </c>
      <c r="C5" s="14" t="e">
        <f>_xlfn.XLOOKUP($D5,Tab_Def_Processes[Process_Name],Tab_Def_Processes[Process_ID],,0,)</f>
        <v>#N/A</v>
      </c>
      <c r="D5" s="18" t="s">
        <v>5</v>
      </c>
      <c r="E5" s="14" t="e">
        <f>_xlfn.XLOOKUP($D5,Tab_Def_Processes[Process_Name],Tab_Def_Processes[Process_Logic],,0,)</f>
        <v>#N/A</v>
      </c>
      <c r="F5" s="14" t="e">
        <f>_xlfn.XLOOKUP($D5,Tab_Def_Processes[Process_Name],Tab_Def_Processes[TC_Configuration],,0,)</f>
        <v>#N/A</v>
      </c>
      <c r="G5" s="14" t="e">
        <f>_xlfn.XLOOKUP($D5,Tab_Def_Processes[Process_Name],Tab_Def_Processes[Stock_Configuration],,0,)</f>
        <v>#N/A</v>
      </c>
      <c r="H5" s="14" t="e">
        <f>_xlfn.XLOOKUP($D5,Tab_Def_Processes[Process_Name],Tab_Def_Processes[Outflow_count],,0,)</f>
        <v>#N/A</v>
      </c>
      <c r="I5" s="18" t="s">
        <v>5</v>
      </c>
      <c r="J5" s="2" t="str">
        <f>_xlfn.XLOOKUP($I5,Tab_Def_Flows[Flow_Name],Tab_Def_Flows[Flow_ID],,0,1)</f>
        <v>F__</v>
      </c>
      <c r="K5" s="3"/>
      <c r="L5" s="11" t="str">
        <f t="shared" si="1"/>
        <v>TC_E1_F__</v>
      </c>
      <c r="M5" s="20"/>
      <c r="N5" s="11" t="str">
        <f t="shared" si="2"/>
        <v>TC_E2_F__</v>
      </c>
      <c r="O5" s="20"/>
      <c r="P5" s="11" t="str">
        <f t="shared" si="3"/>
        <v>TC_E3_F__</v>
      </c>
      <c r="Q5" s="20"/>
      <c r="R5" s="11" t="str">
        <f t="shared" si="4"/>
        <v>TC_E4_F__</v>
      </c>
      <c r="S5" s="3"/>
      <c r="T5" s="11" t="str">
        <f t="shared" si="5"/>
        <v>TC_E5_F__</v>
      </c>
      <c r="U5" s="3"/>
      <c r="V5" s="11" t="str">
        <f t="shared" si="6"/>
        <v>TC_E6_F__</v>
      </c>
      <c r="W5" s="3"/>
      <c r="X5" s="9"/>
      <c r="Y5" s="9"/>
      <c r="Z5" s="9"/>
      <c r="AA5" s="9"/>
    </row>
    <row r="6" spans="1:27" x14ac:dyDescent="0.25">
      <c r="A6" s="22" t="b">
        <v>0</v>
      </c>
      <c r="B6" s="2">
        <f t="shared" si="0"/>
        <v>5</v>
      </c>
      <c r="C6" s="14" t="e">
        <f>_xlfn.XLOOKUP($D6,Tab_Def_Processes[Process_Name],Tab_Def_Processes[Process_ID],,0,)</f>
        <v>#N/A</v>
      </c>
      <c r="D6" s="18" t="s">
        <v>5</v>
      </c>
      <c r="E6" s="14" t="e">
        <f>_xlfn.XLOOKUP($D6,Tab_Def_Processes[Process_Name],Tab_Def_Processes[Process_Logic],,0,)</f>
        <v>#N/A</v>
      </c>
      <c r="F6" s="14" t="e">
        <f>_xlfn.XLOOKUP($D6,Tab_Def_Processes[Process_Name],Tab_Def_Processes[TC_Configuration],,0,)</f>
        <v>#N/A</v>
      </c>
      <c r="G6" s="14" t="e">
        <f>_xlfn.XLOOKUP($D6,Tab_Def_Processes[Process_Name],Tab_Def_Processes[Stock_Configuration],,0,)</f>
        <v>#N/A</v>
      </c>
      <c r="H6" s="14" t="e">
        <f>_xlfn.XLOOKUP($D6,Tab_Def_Processes[Process_Name],Tab_Def_Processes[Outflow_count],,0,)</f>
        <v>#N/A</v>
      </c>
      <c r="I6" s="18" t="s">
        <v>5</v>
      </c>
      <c r="J6" s="2" t="str">
        <f>_xlfn.XLOOKUP($I6,Tab_Def_Flows[Flow_Name],Tab_Def_Flows[Flow_ID],,0,1)</f>
        <v>F__</v>
      </c>
      <c r="K6" s="3"/>
      <c r="L6" s="11" t="str">
        <f t="shared" si="1"/>
        <v>TC_E1_F__</v>
      </c>
      <c r="M6" s="20"/>
      <c r="N6" s="11" t="str">
        <f t="shared" si="2"/>
        <v>TC_E2_F__</v>
      </c>
      <c r="O6" s="20"/>
      <c r="P6" s="11" t="str">
        <f t="shared" si="3"/>
        <v>TC_E3_F__</v>
      </c>
      <c r="Q6" s="20"/>
      <c r="R6" s="11" t="str">
        <f t="shared" si="4"/>
        <v>TC_E4_F__</v>
      </c>
      <c r="S6" s="3"/>
      <c r="T6" s="11" t="str">
        <f t="shared" si="5"/>
        <v>TC_E5_F__</v>
      </c>
      <c r="U6" s="3"/>
      <c r="V6" s="11" t="str">
        <f t="shared" si="6"/>
        <v>TC_E6_F__</v>
      </c>
      <c r="W6" s="3"/>
      <c r="X6" s="9"/>
      <c r="Y6" s="9"/>
      <c r="Z6" s="9"/>
      <c r="AA6" s="9"/>
    </row>
    <row r="7" spans="1:27" x14ac:dyDescent="0.25">
      <c r="A7" s="22" t="b">
        <v>0</v>
      </c>
      <c r="B7" s="2">
        <f t="shared" si="0"/>
        <v>6</v>
      </c>
      <c r="C7" s="14" t="e">
        <f>_xlfn.XLOOKUP($D7,Tab_Def_Processes[Process_Name],Tab_Def_Processes[Process_ID],,0,)</f>
        <v>#N/A</v>
      </c>
      <c r="D7" s="18" t="s">
        <v>5</v>
      </c>
      <c r="E7" s="14" t="e">
        <f>_xlfn.XLOOKUP($D7,Tab_Def_Processes[Process_Name],Tab_Def_Processes[Process_Logic],,0,)</f>
        <v>#N/A</v>
      </c>
      <c r="F7" s="14" t="e">
        <f>_xlfn.XLOOKUP($D7,Tab_Def_Processes[Process_Name],Tab_Def_Processes[TC_Configuration],,0,)</f>
        <v>#N/A</v>
      </c>
      <c r="G7" s="14" t="e">
        <f>_xlfn.XLOOKUP($D7,Tab_Def_Processes[Process_Name],Tab_Def_Processes[Stock_Configuration],,0,)</f>
        <v>#N/A</v>
      </c>
      <c r="H7" s="14" t="e">
        <f>_xlfn.XLOOKUP($D7,Tab_Def_Processes[Process_Name],Tab_Def_Processes[Outflow_count],,0,)</f>
        <v>#N/A</v>
      </c>
      <c r="I7" s="18" t="s">
        <v>5</v>
      </c>
      <c r="J7" s="2" t="str">
        <f>_xlfn.XLOOKUP($I7,Tab_Def_Flows[Flow_Name],Tab_Def_Flows[Flow_ID],,0,1)</f>
        <v>F__</v>
      </c>
      <c r="K7" s="3"/>
      <c r="L7" s="11" t="str">
        <f t="shared" si="1"/>
        <v>TC_E1_F__</v>
      </c>
      <c r="M7" s="20"/>
      <c r="N7" s="11" t="str">
        <f t="shared" si="2"/>
        <v>TC_E2_F__</v>
      </c>
      <c r="O7" s="20"/>
      <c r="P7" s="11" t="str">
        <f t="shared" si="3"/>
        <v>TC_E3_F__</v>
      </c>
      <c r="Q7" s="20"/>
      <c r="R7" s="11" t="str">
        <f t="shared" si="4"/>
        <v>TC_E4_F__</v>
      </c>
      <c r="S7" s="3"/>
      <c r="T7" s="11" t="str">
        <f t="shared" si="5"/>
        <v>TC_E5_F__</v>
      </c>
      <c r="U7" s="3"/>
      <c r="V7" s="11" t="str">
        <f t="shared" si="6"/>
        <v>TC_E6_F__</v>
      </c>
      <c r="W7" s="3"/>
      <c r="X7" s="9"/>
      <c r="Y7" s="9"/>
      <c r="Z7" s="9"/>
      <c r="AA7" s="9"/>
    </row>
    <row r="8" spans="1:27" x14ac:dyDescent="0.25">
      <c r="A8" s="22" t="b">
        <v>0</v>
      </c>
      <c r="B8" s="2">
        <f t="shared" si="0"/>
        <v>7</v>
      </c>
      <c r="C8" s="14" t="e">
        <f>_xlfn.XLOOKUP($D8,Tab_Def_Processes[Process_Name],Tab_Def_Processes[Process_ID],,0,)</f>
        <v>#N/A</v>
      </c>
      <c r="D8" s="18" t="s">
        <v>5</v>
      </c>
      <c r="E8" s="14" t="e">
        <f>_xlfn.XLOOKUP($D8,Tab_Def_Processes[Process_Name],Tab_Def_Processes[Process_Logic],,0,)</f>
        <v>#N/A</v>
      </c>
      <c r="F8" s="14" t="e">
        <f>_xlfn.XLOOKUP($D8,Tab_Def_Processes[Process_Name],Tab_Def_Processes[TC_Configuration],,0,)</f>
        <v>#N/A</v>
      </c>
      <c r="G8" s="14" t="e">
        <f>_xlfn.XLOOKUP($D8,Tab_Def_Processes[Process_Name],Tab_Def_Processes[Stock_Configuration],,0,)</f>
        <v>#N/A</v>
      </c>
      <c r="H8" s="14" t="e">
        <f>_xlfn.XLOOKUP($D8,Tab_Def_Processes[Process_Name],Tab_Def_Processes[Outflow_count],,0,)</f>
        <v>#N/A</v>
      </c>
      <c r="I8" s="18" t="s">
        <v>5</v>
      </c>
      <c r="J8" s="2" t="str">
        <f>_xlfn.XLOOKUP($I8,Tab_Def_Flows[Flow_Name],Tab_Def_Flows[Flow_ID],,0,1)</f>
        <v>F__</v>
      </c>
      <c r="K8" s="3"/>
      <c r="L8" s="11" t="str">
        <f t="shared" si="1"/>
        <v>TC_E1_F__</v>
      </c>
      <c r="M8" s="20"/>
      <c r="N8" s="11" t="str">
        <f t="shared" si="2"/>
        <v>TC_E2_F__</v>
      </c>
      <c r="O8" s="20"/>
      <c r="P8" s="11" t="str">
        <f t="shared" si="3"/>
        <v>TC_E3_F__</v>
      </c>
      <c r="Q8" s="20"/>
      <c r="R8" s="11" t="str">
        <f t="shared" si="4"/>
        <v>TC_E4_F__</v>
      </c>
      <c r="S8" s="3"/>
      <c r="T8" s="11" t="str">
        <f t="shared" si="5"/>
        <v>TC_E5_F__</v>
      </c>
      <c r="U8" s="3"/>
      <c r="V8" s="11" t="str">
        <f t="shared" si="6"/>
        <v>TC_E6_F__</v>
      </c>
      <c r="W8" s="3"/>
      <c r="X8" s="9"/>
      <c r="Y8" s="9"/>
      <c r="Z8" s="9"/>
      <c r="AA8" s="9"/>
    </row>
    <row r="9" spans="1:27" x14ac:dyDescent="0.25">
      <c r="A9" s="22" t="b">
        <v>0</v>
      </c>
      <c r="B9" s="2">
        <f t="shared" si="0"/>
        <v>8</v>
      </c>
      <c r="C9" s="14" t="e">
        <f>_xlfn.XLOOKUP($D9,Tab_Def_Processes[Process_Name],Tab_Def_Processes[Process_ID],,0,)</f>
        <v>#N/A</v>
      </c>
      <c r="D9" s="18" t="s">
        <v>5</v>
      </c>
      <c r="E9" s="14" t="e">
        <f>_xlfn.XLOOKUP($D9,Tab_Def_Processes[Process_Name],Tab_Def_Processes[Process_Logic],,0,)</f>
        <v>#N/A</v>
      </c>
      <c r="F9" s="14" t="e">
        <f>_xlfn.XLOOKUP($D9,Tab_Def_Processes[Process_Name],Tab_Def_Processes[TC_Configuration],,0,)</f>
        <v>#N/A</v>
      </c>
      <c r="G9" s="14" t="e">
        <f>_xlfn.XLOOKUP($D9,Tab_Def_Processes[Process_Name],Tab_Def_Processes[Stock_Configuration],,0,)</f>
        <v>#N/A</v>
      </c>
      <c r="H9" s="14" t="e">
        <f>_xlfn.XLOOKUP($D9,Tab_Def_Processes[Process_Name],Tab_Def_Processes[Outflow_count],,0,)</f>
        <v>#N/A</v>
      </c>
      <c r="I9" s="18" t="s">
        <v>5</v>
      </c>
      <c r="J9" s="2" t="str">
        <f>_xlfn.XLOOKUP($I9,Tab_Def_Flows[Flow_Name],Tab_Def_Flows[Flow_ID],,0,1)</f>
        <v>F__</v>
      </c>
      <c r="K9" s="3"/>
      <c r="L9" s="11" t="str">
        <f t="shared" si="1"/>
        <v>TC_E1_F__</v>
      </c>
      <c r="M9" s="20"/>
      <c r="N9" s="11" t="str">
        <f t="shared" si="2"/>
        <v>TC_E2_F__</v>
      </c>
      <c r="O9" s="20"/>
      <c r="P9" s="11" t="str">
        <f t="shared" si="3"/>
        <v>TC_E3_F__</v>
      </c>
      <c r="Q9" s="20"/>
      <c r="R9" s="11" t="str">
        <f t="shared" si="4"/>
        <v>TC_E4_F__</v>
      </c>
      <c r="S9" s="3"/>
      <c r="T9" s="11" t="str">
        <f t="shared" si="5"/>
        <v>TC_E5_F__</v>
      </c>
      <c r="U9" s="3"/>
      <c r="V9" s="11" t="str">
        <f t="shared" si="6"/>
        <v>TC_E6_F__</v>
      </c>
      <c r="W9" s="3"/>
      <c r="X9" s="9"/>
      <c r="Y9" s="9"/>
      <c r="Z9" s="9"/>
      <c r="AA9" s="9"/>
    </row>
    <row r="10" spans="1:27" x14ac:dyDescent="0.25">
      <c r="A10" s="22" t="b">
        <v>0</v>
      </c>
      <c r="B10" s="2">
        <f t="shared" si="0"/>
        <v>9</v>
      </c>
      <c r="C10" s="14" t="e">
        <f>_xlfn.XLOOKUP($D10,Tab_Def_Processes[Process_Name],Tab_Def_Processes[Process_ID],,0,)</f>
        <v>#N/A</v>
      </c>
      <c r="D10" s="18" t="s">
        <v>5</v>
      </c>
      <c r="E10" s="14" t="e">
        <f>_xlfn.XLOOKUP($D10,Tab_Def_Processes[Process_Name],Tab_Def_Processes[Process_Logic],,0,)</f>
        <v>#N/A</v>
      </c>
      <c r="F10" s="14" t="e">
        <f>_xlfn.XLOOKUP($D10,Tab_Def_Processes[Process_Name],Tab_Def_Processes[TC_Configuration],,0,)</f>
        <v>#N/A</v>
      </c>
      <c r="G10" s="14" t="e">
        <f>_xlfn.XLOOKUP($D10,Tab_Def_Processes[Process_Name],Tab_Def_Processes[Stock_Configuration],,0,)</f>
        <v>#N/A</v>
      </c>
      <c r="H10" s="14" t="e">
        <f>_xlfn.XLOOKUP($D10,Tab_Def_Processes[Process_Name],Tab_Def_Processes[Outflow_count],,0,)</f>
        <v>#N/A</v>
      </c>
      <c r="I10" s="18" t="s">
        <v>5</v>
      </c>
      <c r="J10" s="2" t="str">
        <f>_xlfn.XLOOKUP($I10,Tab_Def_Flows[Flow_Name],Tab_Def_Flows[Flow_ID],,0,1)</f>
        <v>F__</v>
      </c>
      <c r="K10" s="3"/>
      <c r="L10" s="11" t="str">
        <f t="shared" si="1"/>
        <v>TC_E1_F__</v>
      </c>
      <c r="M10" s="20"/>
      <c r="N10" s="11" t="str">
        <f t="shared" si="2"/>
        <v>TC_E2_F__</v>
      </c>
      <c r="O10" s="20"/>
      <c r="P10" s="11" t="str">
        <f t="shared" si="3"/>
        <v>TC_E3_F__</v>
      </c>
      <c r="Q10" s="20"/>
      <c r="R10" s="11" t="str">
        <f t="shared" si="4"/>
        <v>TC_E4_F__</v>
      </c>
      <c r="S10" s="3"/>
      <c r="T10" s="11" t="str">
        <f t="shared" si="5"/>
        <v>TC_E5_F__</v>
      </c>
      <c r="U10" s="3"/>
      <c r="V10" s="11" t="str">
        <f t="shared" si="6"/>
        <v>TC_E6_F__</v>
      </c>
      <c r="W10" s="3"/>
      <c r="X10" s="9"/>
      <c r="Y10" s="9"/>
      <c r="Z10" s="9"/>
      <c r="AA10" s="9"/>
    </row>
    <row r="11" spans="1:27" x14ac:dyDescent="0.25">
      <c r="A11" s="22" t="b">
        <v>0</v>
      </c>
      <c r="B11" s="2">
        <f t="shared" si="0"/>
        <v>10</v>
      </c>
      <c r="C11" s="14" t="e">
        <f>_xlfn.XLOOKUP($D11,Tab_Def_Processes[Process_Name],Tab_Def_Processes[Process_ID],,0,)</f>
        <v>#N/A</v>
      </c>
      <c r="D11" s="18" t="s">
        <v>5</v>
      </c>
      <c r="E11" s="14" t="e">
        <f>_xlfn.XLOOKUP($D11,Tab_Def_Processes[Process_Name],Tab_Def_Processes[Process_Logic],,0,)</f>
        <v>#N/A</v>
      </c>
      <c r="F11" s="14" t="e">
        <f>_xlfn.XLOOKUP($D11,Tab_Def_Processes[Process_Name],Tab_Def_Processes[TC_Configuration],,0,)</f>
        <v>#N/A</v>
      </c>
      <c r="G11" s="14" t="e">
        <f>_xlfn.XLOOKUP($D11,Tab_Def_Processes[Process_Name],Tab_Def_Processes[Stock_Configuration],,0,)</f>
        <v>#N/A</v>
      </c>
      <c r="H11" s="14" t="e">
        <f>_xlfn.XLOOKUP($D11,Tab_Def_Processes[Process_Name],Tab_Def_Processes[Outflow_count],,0,)</f>
        <v>#N/A</v>
      </c>
      <c r="I11" s="18" t="s">
        <v>5</v>
      </c>
      <c r="J11" s="2" t="str">
        <f>_xlfn.XLOOKUP($I11,Tab_Def_Flows[Flow_Name],Tab_Def_Flows[Flow_ID],,0,1)</f>
        <v>F__</v>
      </c>
      <c r="K11" s="3"/>
      <c r="L11" s="11" t="str">
        <f t="shared" si="1"/>
        <v>TC_E1_F__</v>
      </c>
      <c r="M11" s="20"/>
      <c r="N11" s="11" t="str">
        <f t="shared" si="2"/>
        <v>TC_E2_F__</v>
      </c>
      <c r="O11" s="20"/>
      <c r="P11" s="11" t="str">
        <f t="shared" si="3"/>
        <v>TC_E3_F__</v>
      </c>
      <c r="Q11" s="20"/>
      <c r="R11" s="11" t="str">
        <f t="shared" si="4"/>
        <v>TC_E4_F__</v>
      </c>
      <c r="S11" s="3"/>
      <c r="T11" s="11" t="str">
        <f t="shared" si="5"/>
        <v>TC_E5_F__</v>
      </c>
      <c r="U11" s="3"/>
      <c r="V11" s="11" t="str">
        <f t="shared" si="6"/>
        <v>TC_E6_F__</v>
      </c>
      <c r="W11" s="3"/>
      <c r="X11" s="9"/>
      <c r="Y11" s="9"/>
      <c r="Z11" s="9"/>
      <c r="AA11" s="9"/>
    </row>
    <row r="12" spans="1:27" x14ac:dyDescent="0.25">
      <c r="A12" s="22" t="b">
        <v>0</v>
      </c>
      <c r="B12" s="2">
        <f t="shared" si="0"/>
        <v>11</v>
      </c>
      <c r="C12" s="14" t="e">
        <f>_xlfn.XLOOKUP($D12,Tab_Def_Processes[Process_Name],Tab_Def_Processes[Process_ID],,0,)</f>
        <v>#N/A</v>
      </c>
      <c r="D12" s="18" t="s">
        <v>5</v>
      </c>
      <c r="E12" s="14" t="e">
        <f>_xlfn.XLOOKUP($D12,Tab_Def_Processes[Process_Name],Tab_Def_Processes[Process_Logic],,0,)</f>
        <v>#N/A</v>
      </c>
      <c r="F12" s="14" t="e">
        <f>_xlfn.XLOOKUP($D12,Tab_Def_Processes[Process_Name],Tab_Def_Processes[TC_Configuration],,0,)</f>
        <v>#N/A</v>
      </c>
      <c r="G12" s="14" t="e">
        <f>_xlfn.XLOOKUP($D12,Tab_Def_Processes[Process_Name],Tab_Def_Processes[Stock_Configuration],,0,)</f>
        <v>#N/A</v>
      </c>
      <c r="H12" s="14" t="e">
        <f>_xlfn.XLOOKUP($D12,Tab_Def_Processes[Process_Name],Tab_Def_Processes[Outflow_count],,0,)</f>
        <v>#N/A</v>
      </c>
      <c r="I12" s="18" t="s">
        <v>5</v>
      </c>
      <c r="J12" s="2" t="str">
        <f>_xlfn.XLOOKUP($I12,Tab_Def_Flows[Flow_Name],Tab_Def_Flows[Flow_ID],,0,1)</f>
        <v>F__</v>
      </c>
      <c r="K12" s="3"/>
      <c r="L12" s="11" t="str">
        <f t="shared" si="1"/>
        <v>TC_E1_F__</v>
      </c>
      <c r="M12" s="20"/>
      <c r="N12" s="11" t="str">
        <f t="shared" si="2"/>
        <v>TC_E2_F__</v>
      </c>
      <c r="O12" s="20"/>
      <c r="P12" s="11" t="str">
        <f t="shared" si="3"/>
        <v>TC_E3_F__</v>
      </c>
      <c r="Q12" s="20"/>
      <c r="R12" s="11" t="str">
        <f t="shared" si="4"/>
        <v>TC_E4_F__</v>
      </c>
      <c r="S12" s="3"/>
      <c r="T12" s="11" t="str">
        <f t="shared" si="5"/>
        <v>TC_E5_F__</v>
      </c>
      <c r="U12" s="3"/>
      <c r="V12" s="11" t="str">
        <f t="shared" si="6"/>
        <v>TC_E6_F__</v>
      </c>
      <c r="W12" s="3"/>
      <c r="X12" s="9"/>
      <c r="Y12" s="9"/>
      <c r="Z12" s="9"/>
      <c r="AA12" s="9"/>
    </row>
    <row r="13" spans="1:27" x14ac:dyDescent="0.25">
      <c r="A13" s="22" t="b">
        <v>0</v>
      </c>
      <c r="B13" s="2">
        <f t="shared" si="0"/>
        <v>12</v>
      </c>
      <c r="C13" s="14" t="e">
        <f>_xlfn.XLOOKUP($D13,Tab_Def_Processes[Process_Name],Tab_Def_Processes[Process_ID],,0,)</f>
        <v>#N/A</v>
      </c>
      <c r="D13" s="18" t="s">
        <v>5</v>
      </c>
      <c r="E13" s="14" t="e">
        <f>_xlfn.XLOOKUP($D13,Tab_Def_Processes[Process_Name],Tab_Def_Processes[Process_Logic],,0,)</f>
        <v>#N/A</v>
      </c>
      <c r="F13" s="14" t="e">
        <f>_xlfn.XLOOKUP($D13,Tab_Def_Processes[Process_Name],Tab_Def_Processes[TC_Configuration],,0,)</f>
        <v>#N/A</v>
      </c>
      <c r="G13" s="14" t="e">
        <f>_xlfn.XLOOKUP($D13,Tab_Def_Processes[Process_Name],Tab_Def_Processes[Stock_Configuration],,0,)</f>
        <v>#N/A</v>
      </c>
      <c r="H13" s="14" t="e">
        <f>_xlfn.XLOOKUP($D13,Tab_Def_Processes[Process_Name],Tab_Def_Processes[Outflow_count],,0,)</f>
        <v>#N/A</v>
      </c>
      <c r="I13" s="18" t="s">
        <v>5</v>
      </c>
      <c r="J13" s="2" t="str">
        <f>_xlfn.XLOOKUP($I13,Tab_Def_Flows[Flow_Name],Tab_Def_Flows[Flow_ID],,0,1)</f>
        <v>F__</v>
      </c>
      <c r="K13" s="3"/>
      <c r="L13" s="11" t="str">
        <f t="shared" si="1"/>
        <v>TC_E1_F__</v>
      </c>
      <c r="M13" s="20"/>
      <c r="N13" s="11" t="str">
        <f t="shared" si="2"/>
        <v>TC_E2_F__</v>
      </c>
      <c r="O13" s="20"/>
      <c r="P13" s="11" t="str">
        <f t="shared" si="3"/>
        <v>TC_E3_F__</v>
      </c>
      <c r="Q13" s="20"/>
      <c r="R13" s="11" t="str">
        <f t="shared" si="4"/>
        <v>TC_E4_F__</v>
      </c>
      <c r="S13" s="3"/>
      <c r="T13" s="11" t="str">
        <f t="shared" si="5"/>
        <v>TC_E5_F__</v>
      </c>
      <c r="U13" s="3"/>
      <c r="V13" s="11" t="str">
        <f t="shared" si="6"/>
        <v>TC_E6_F__</v>
      </c>
      <c r="W13" s="3"/>
      <c r="X13" s="9"/>
      <c r="Y13" s="9"/>
      <c r="Z13" s="9"/>
      <c r="AA13" s="9"/>
    </row>
    <row r="14" spans="1:27" x14ac:dyDescent="0.25">
      <c r="A14" s="22" t="b">
        <v>0</v>
      </c>
      <c r="B14" s="2">
        <f t="shared" si="0"/>
        <v>13</v>
      </c>
      <c r="C14" s="14" t="e">
        <f>_xlfn.XLOOKUP($D14,Tab_Def_Processes[Process_Name],Tab_Def_Processes[Process_ID],,0,)</f>
        <v>#N/A</v>
      </c>
      <c r="D14" s="18" t="s">
        <v>5</v>
      </c>
      <c r="E14" s="14" t="e">
        <f>_xlfn.XLOOKUP($D14,Tab_Def_Processes[Process_Name],Tab_Def_Processes[Process_Logic],,0,)</f>
        <v>#N/A</v>
      </c>
      <c r="F14" s="14" t="e">
        <f>_xlfn.XLOOKUP($D14,Tab_Def_Processes[Process_Name],Tab_Def_Processes[TC_Configuration],,0,)</f>
        <v>#N/A</v>
      </c>
      <c r="G14" s="14" t="e">
        <f>_xlfn.XLOOKUP($D14,Tab_Def_Processes[Process_Name],Tab_Def_Processes[Stock_Configuration],,0,)</f>
        <v>#N/A</v>
      </c>
      <c r="H14" s="14" t="e">
        <f>_xlfn.XLOOKUP($D14,Tab_Def_Processes[Process_Name],Tab_Def_Processes[Outflow_count],,0,)</f>
        <v>#N/A</v>
      </c>
      <c r="I14" s="18" t="s">
        <v>5</v>
      </c>
      <c r="J14" s="2" t="str">
        <f>_xlfn.XLOOKUP($I14,Tab_Def_Flows[Flow_Name],Tab_Def_Flows[Flow_ID],,0,1)</f>
        <v>F__</v>
      </c>
      <c r="K14" s="3"/>
      <c r="L14" s="11" t="str">
        <f t="shared" si="1"/>
        <v>TC_E1_F__</v>
      </c>
      <c r="M14" s="20"/>
      <c r="N14" s="11" t="str">
        <f t="shared" si="2"/>
        <v>TC_E2_F__</v>
      </c>
      <c r="O14" s="20"/>
      <c r="P14" s="11" t="str">
        <f t="shared" si="3"/>
        <v>TC_E3_F__</v>
      </c>
      <c r="Q14" s="20"/>
      <c r="R14" s="11" t="str">
        <f t="shared" si="4"/>
        <v>TC_E4_F__</v>
      </c>
      <c r="S14" s="3"/>
      <c r="T14" s="11" t="str">
        <f t="shared" si="5"/>
        <v>TC_E5_F__</v>
      </c>
      <c r="U14" s="3"/>
      <c r="V14" s="11" t="str">
        <f t="shared" si="6"/>
        <v>TC_E6_F__</v>
      </c>
      <c r="W14" s="3"/>
      <c r="X14" s="9"/>
      <c r="Y14" s="9"/>
      <c r="Z14" s="9"/>
      <c r="AA14" s="9"/>
    </row>
    <row r="15" spans="1:27" x14ac:dyDescent="0.25">
      <c r="A15" s="22" t="b">
        <v>0</v>
      </c>
      <c r="B15" s="2">
        <f>ROW()-1</f>
        <v>14</v>
      </c>
      <c r="C15" s="14" t="e">
        <f>_xlfn.XLOOKUP($D15,Tab_Def_Processes[Process_Name],Tab_Def_Processes[Process_ID],,0,)</f>
        <v>#N/A</v>
      </c>
      <c r="D15" s="18" t="s">
        <v>5</v>
      </c>
      <c r="E15" s="14" t="e">
        <f>_xlfn.XLOOKUP($D15,Tab_Def_Processes[Process_Name],Tab_Def_Processes[Process_Logic],,0,)</f>
        <v>#N/A</v>
      </c>
      <c r="F15" s="14" t="e">
        <f>_xlfn.XLOOKUP($D15,Tab_Def_Processes[Process_Name],Tab_Def_Processes[TC_Configuration],,0,)</f>
        <v>#N/A</v>
      </c>
      <c r="G15" s="14" t="e">
        <f>_xlfn.XLOOKUP($D15,Tab_Def_Processes[Process_Name],Tab_Def_Processes[Stock_Configuration],,0,)</f>
        <v>#N/A</v>
      </c>
      <c r="H15" s="14" t="e">
        <f>_xlfn.XLOOKUP($D15,Tab_Def_Processes[Process_Name],Tab_Def_Processes[Outflow_count],,0,)</f>
        <v>#N/A</v>
      </c>
      <c r="I15" s="18" t="s">
        <v>5</v>
      </c>
      <c r="J15" s="2" t="str">
        <f>_xlfn.XLOOKUP($I15,Tab_Def_Flows[Flow_Name],Tab_Def_Flows[Flow_ID],,0,1)</f>
        <v>F__</v>
      </c>
      <c r="K15" s="3"/>
      <c r="L15" s="11" t="str">
        <f t="shared" si="1"/>
        <v>TC_E1_F__</v>
      </c>
      <c r="M15" s="20"/>
      <c r="N15" s="11" t="str">
        <f t="shared" si="2"/>
        <v>TC_E2_F__</v>
      </c>
      <c r="O15" s="20"/>
      <c r="P15" s="11" t="str">
        <f t="shared" si="3"/>
        <v>TC_E3_F__</v>
      </c>
      <c r="Q15" s="20"/>
      <c r="R15" s="11" t="str">
        <f t="shared" si="4"/>
        <v>TC_E4_F__</v>
      </c>
      <c r="S15" s="3"/>
      <c r="T15" s="11" t="str">
        <f t="shared" si="5"/>
        <v>TC_E5_F__</v>
      </c>
      <c r="U15" s="3"/>
      <c r="V15" s="11" t="str">
        <f t="shared" si="6"/>
        <v>TC_E6_F__</v>
      </c>
      <c r="W15" s="3"/>
      <c r="X15" s="9"/>
      <c r="Y15" s="9"/>
      <c r="Z15" s="9"/>
      <c r="AA15" s="9"/>
    </row>
    <row r="16" spans="1:27" x14ac:dyDescent="0.25">
      <c r="A16" s="22" t="b">
        <v>0</v>
      </c>
      <c r="B16" s="2">
        <f>ROW()-1</f>
        <v>15</v>
      </c>
      <c r="C16" s="14" t="e">
        <f>_xlfn.XLOOKUP($D16,Tab_Def_Processes[Process_Name],Tab_Def_Processes[Process_ID],,0,)</f>
        <v>#N/A</v>
      </c>
      <c r="D16" s="18" t="s">
        <v>5</v>
      </c>
      <c r="E16" s="14" t="e">
        <f>_xlfn.XLOOKUP($D16,Tab_Def_Processes[Process_Name],Tab_Def_Processes[Process_Logic],,0,)</f>
        <v>#N/A</v>
      </c>
      <c r="F16" s="14" t="e">
        <f>_xlfn.XLOOKUP($D16,Tab_Def_Processes[Process_Name],Tab_Def_Processes[TC_Configuration],,0,)</f>
        <v>#N/A</v>
      </c>
      <c r="G16" s="14" t="e">
        <f>_xlfn.XLOOKUP($D16,Tab_Def_Processes[Process_Name],Tab_Def_Processes[Stock_Configuration],,0,)</f>
        <v>#N/A</v>
      </c>
      <c r="H16" s="14" t="e">
        <f>_xlfn.XLOOKUP($D16,Tab_Def_Processes[Process_Name],Tab_Def_Processes[Outflow_count],,0,)</f>
        <v>#N/A</v>
      </c>
      <c r="I16" s="18" t="s">
        <v>5</v>
      </c>
      <c r="J16" s="2" t="str">
        <f>_xlfn.XLOOKUP($I16,Tab_Def_Flows[Flow_Name],Tab_Def_Flows[Flow_ID],,0,1)</f>
        <v>F__</v>
      </c>
      <c r="K16" s="3"/>
      <c r="L16" s="11" t="str">
        <f t="shared" si="1"/>
        <v>TC_E1_F__</v>
      </c>
      <c r="M16" s="20"/>
      <c r="N16" s="11" t="str">
        <f t="shared" si="2"/>
        <v>TC_E2_F__</v>
      </c>
      <c r="O16" s="20"/>
      <c r="P16" s="11" t="str">
        <f t="shared" si="3"/>
        <v>TC_E3_F__</v>
      </c>
      <c r="Q16" s="20"/>
      <c r="R16" s="11" t="str">
        <f t="shared" si="4"/>
        <v>TC_E4_F__</v>
      </c>
      <c r="S16" s="3"/>
      <c r="T16" s="11" t="str">
        <f t="shared" si="5"/>
        <v>TC_E5_F__</v>
      </c>
      <c r="U16" s="3"/>
      <c r="V16" s="11" t="str">
        <f t="shared" si="6"/>
        <v>TC_E6_F__</v>
      </c>
      <c r="W16" s="3"/>
      <c r="X16" s="9"/>
      <c r="Y16" s="9"/>
      <c r="Z16" s="9"/>
      <c r="AA16" s="9"/>
    </row>
    <row r="17" spans="1:27" x14ac:dyDescent="0.25">
      <c r="A17" s="22" t="b">
        <v>0</v>
      </c>
      <c r="B17" s="2">
        <f t="shared" si="0"/>
        <v>16</v>
      </c>
      <c r="C17" s="14" t="e">
        <f>_xlfn.XLOOKUP($D17,Tab_Def_Processes[Process_Name],Tab_Def_Processes[Process_ID],,0,)</f>
        <v>#N/A</v>
      </c>
      <c r="D17" s="18" t="s">
        <v>5</v>
      </c>
      <c r="E17" s="14" t="e">
        <f>_xlfn.XLOOKUP($D17,Tab_Def_Processes[Process_Name],Tab_Def_Processes[Process_Logic],,0,)</f>
        <v>#N/A</v>
      </c>
      <c r="F17" s="14" t="e">
        <f>_xlfn.XLOOKUP($D17,Tab_Def_Processes[Process_Name],Tab_Def_Processes[TC_Configuration],,0,)</f>
        <v>#N/A</v>
      </c>
      <c r="G17" s="14" t="e">
        <f>_xlfn.XLOOKUP($D17,Tab_Def_Processes[Process_Name],Tab_Def_Processes[Stock_Configuration],,0,)</f>
        <v>#N/A</v>
      </c>
      <c r="H17" s="14" t="e">
        <f>_xlfn.XLOOKUP($D17,Tab_Def_Processes[Process_Name],Tab_Def_Processes[Outflow_count],,0,)</f>
        <v>#N/A</v>
      </c>
      <c r="I17" s="18" t="s">
        <v>5</v>
      </c>
      <c r="J17" s="2" t="str">
        <f>_xlfn.XLOOKUP($I17,Tab_Def_Flows[Flow_Name],Tab_Def_Flows[Flow_ID],,0,1)</f>
        <v>F__</v>
      </c>
      <c r="K17" s="3"/>
      <c r="L17" s="11" t="str">
        <f t="shared" si="1"/>
        <v>TC_E1_F__</v>
      </c>
      <c r="M17" s="20"/>
      <c r="N17" s="11" t="str">
        <f t="shared" si="2"/>
        <v>TC_E2_F__</v>
      </c>
      <c r="O17" s="20"/>
      <c r="P17" s="11" t="str">
        <f t="shared" si="3"/>
        <v>TC_E3_F__</v>
      </c>
      <c r="Q17" s="20"/>
      <c r="R17" s="11" t="str">
        <f t="shared" si="4"/>
        <v>TC_E4_F__</v>
      </c>
      <c r="S17" s="3"/>
      <c r="T17" s="11" t="str">
        <f t="shared" si="5"/>
        <v>TC_E5_F__</v>
      </c>
      <c r="U17" s="3"/>
      <c r="V17" s="11" t="str">
        <f t="shared" si="6"/>
        <v>TC_E6_F__</v>
      </c>
      <c r="W17" s="3"/>
      <c r="X17" s="9"/>
      <c r="Y17" s="9"/>
      <c r="Z17" s="9"/>
      <c r="AA17" s="9"/>
    </row>
    <row r="18" spans="1:27" ht="16.5" customHeight="1" x14ac:dyDescent="0.25">
      <c r="A18" s="22" t="b">
        <v>0</v>
      </c>
      <c r="B18" s="2">
        <f t="shared" si="0"/>
        <v>17</v>
      </c>
      <c r="C18" s="14" t="e">
        <f>_xlfn.XLOOKUP($D18,Tab_Def_Processes[Process_Name],Tab_Def_Processes[Process_ID],,0,)</f>
        <v>#N/A</v>
      </c>
      <c r="D18" s="18" t="s">
        <v>5</v>
      </c>
      <c r="E18" s="14" t="e">
        <f>_xlfn.XLOOKUP($D18,Tab_Def_Processes[Process_Name],Tab_Def_Processes[Process_Logic],,0,)</f>
        <v>#N/A</v>
      </c>
      <c r="F18" s="14" t="e">
        <f>_xlfn.XLOOKUP($D18,Tab_Def_Processes[Process_Name],Tab_Def_Processes[TC_Configuration],,0,)</f>
        <v>#N/A</v>
      </c>
      <c r="G18" s="14" t="e">
        <f>_xlfn.XLOOKUP($D18,Tab_Def_Processes[Process_Name],Tab_Def_Processes[Stock_Configuration],,0,)</f>
        <v>#N/A</v>
      </c>
      <c r="H18" s="14" t="e">
        <f>_xlfn.XLOOKUP($D18,Tab_Def_Processes[Process_Name],Tab_Def_Processes[Outflow_count],,0,)</f>
        <v>#N/A</v>
      </c>
      <c r="I18" s="18" t="s">
        <v>5</v>
      </c>
      <c r="J18" s="2" t="str">
        <f>_xlfn.XLOOKUP($I18,Tab_Def_Flows[Flow_Name],Tab_Def_Flows[Flow_ID],,0,1)</f>
        <v>F__</v>
      </c>
      <c r="K18" s="3"/>
      <c r="L18" s="11" t="str">
        <f t="shared" si="1"/>
        <v>TC_E1_F__</v>
      </c>
      <c r="M18" s="20"/>
      <c r="N18" s="11" t="str">
        <f t="shared" si="2"/>
        <v>TC_E2_F__</v>
      </c>
      <c r="O18" s="20"/>
      <c r="P18" s="11" t="str">
        <f t="shared" si="3"/>
        <v>TC_E3_F__</v>
      </c>
      <c r="Q18" s="20"/>
      <c r="R18" s="11" t="str">
        <f t="shared" si="4"/>
        <v>TC_E4_F__</v>
      </c>
      <c r="S18" s="3"/>
      <c r="T18" s="11" t="str">
        <f t="shared" si="5"/>
        <v>TC_E5_F__</v>
      </c>
      <c r="U18" s="3"/>
      <c r="V18" s="11" t="str">
        <f t="shared" si="6"/>
        <v>TC_E6_F__</v>
      </c>
      <c r="W18" s="3"/>
      <c r="X18" s="9"/>
      <c r="Y18" s="9"/>
      <c r="Z18" s="9"/>
      <c r="AA18" s="9"/>
    </row>
    <row r="19" spans="1:27" ht="16.5" customHeight="1" x14ac:dyDescent="0.25">
      <c r="A19" s="22" t="b">
        <v>0</v>
      </c>
      <c r="B19" s="2">
        <f>ROW()-1</f>
        <v>18</v>
      </c>
      <c r="C19" s="14" t="e">
        <f>_xlfn.XLOOKUP($D19,Tab_Def_Processes[Process_Name],Tab_Def_Processes[Process_ID],,0,)</f>
        <v>#N/A</v>
      </c>
      <c r="D19" s="18" t="s">
        <v>5</v>
      </c>
      <c r="E19" s="14" t="e">
        <f>_xlfn.XLOOKUP($D19,Tab_Def_Processes[Process_Name],Tab_Def_Processes[Process_Logic],,0,)</f>
        <v>#N/A</v>
      </c>
      <c r="F19" s="14" t="e">
        <f>_xlfn.XLOOKUP($D19,Tab_Def_Processes[Process_Name],Tab_Def_Processes[TC_Configuration],,0,)</f>
        <v>#N/A</v>
      </c>
      <c r="G19" s="14" t="e">
        <f>_xlfn.XLOOKUP($D19,Tab_Def_Processes[Process_Name],Tab_Def_Processes[Stock_Configuration],,0,)</f>
        <v>#N/A</v>
      </c>
      <c r="H19" s="14" t="e">
        <f>_xlfn.XLOOKUP($D19,Tab_Def_Processes[Process_Name],Tab_Def_Processes[Outflow_count],,0,)</f>
        <v>#N/A</v>
      </c>
      <c r="I19" s="18" t="s">
        <v>5</v>
      </c>
      <c r="J19" s="2" t="str">
        <f>_xlfn.XLOOKUP($I19,Tab_Def_Flows[Flow_Name],Tab_Def_Flows[Flow_ID],,0,1)</f>
        <v>F__</v>
      </c>
      <c r="K19" s="3"/>
      <c r="L19" s="11" t="str">
        <f t="shared" si="1"/>
        <v>TC_E1_F__</v>
      </c>
      <c r="M19" s="20"/>
      <c r="N19" s="11" t="str">
        <f t="shared" si="2"/>
        <v>TC_E2_F__</v>
      </c>
      <c r="O19" s="20"/>
      <c r="P19" s="11" t="str">
        <f t="shared" si="3"/>
        <v>TC_E3_F__</v>
      </c>
      <c r="Q19" s="20"/>
      <c r="R19" s="11" t="str">
        <f t="shared" si="4"/>
        <v>TC_E4_F__</v>
      </c>
      <c r="S19" s="3"/>
      <c r="T19" s="11" t="str">
        <f t="shared" si="5"/>
        <v>TC_E5_F__</v>
      </c>
      <c r="U19" s="3"/>
      <c r="V19" s="11" t="str">
        <f t="shared" si="6"/>
        <v>TC_E6_F__</v>
      </c>
      <c r="W19" s="3"/>
      <c r="X19" s="9"/>
      <c r="Y19" s="9"/>
      <c r="Z19" s="9"/>
      <c r="AA19" s="9"/>
    </row>
    <row r="20" spans="1:27" ht="16.5" customHeight="1" x14ac:dyDescent="0.25">
      <c r="A20" s="22" t="b">
        <v>0</v>
      </c>
      <c r="B20" s="2">
        <f>ROW()-1</f>
        <v>19</v>
      </c>
      <c r="C20" s="14" t="e">
        <f>_xlfn.XLOOKUP($D20,Tab_Def_Processes[Process_Name],Tab_Def_Processes[Process_ID],,0,)</f>
        <v>#N/A</v>
      </c>
      <c r="D20" s="18" t="s">
        <v>5</v>
      </c>
      <c r="E20" s="14" t="e">
        <f>_xlfn.XLOOKUP($D20,Tab_Def_Processes[Process_Name],Tab_Def_Processes[Process_Logic],,0,)</f>
        <v>#N/A</v>
      </c>
      <c r="F20" s="14" t="e">
        <f>_xlfn.XLOOKUP($D20,Tab_Def_Processes[Process_Name],Tab_Def_Processes[TC_Configuration],,0,)</f>
        <v>#N/A</v>
      </c>
      <c r="G20" s="14" t="e">
        <f>_xlfn.XLOOKUP($D20,Tab_Def_Processes[Process_Name],Tab_Def_Processes[Stock_Configuration],,0,)</f>
        <v>#N/A</v>
      </c>
      <c r="H20" s="14" t="e">
        <f>_xlfn.XLOOKUP($D20,Tab_Def_Processes[Process_Name],Tab_Def_Processes[Outflow_count],,0,)</f>
        <v>#N/A</v>
      </c>
      <c r="I20" s="18" t="s">
        <v>5</v>
      </c>
      <c r="J20" s="2" t="str">
        <f>_xlfn.XLOOKUP($I20,Tab_Def_Flows[Flow_Name],Tab_Def_Flows[Flow_ID],,0,1)</f>
        <v>F__</v>
      </c>
      <c r="K20" s="3"/>
      <c r="L20" s="11" t="str">
        <f t="shared" si="1"/>
        <v>TC_E1_F__</v>
      </c>
      <c r="M20" s="20"/>
      <c r="N20" s="11" t="str">
        <f t="shared" si="2"/>
        <v>TC_E2_F__</v>
      </c>
      <c r="O20" s="20"/>
      <c r="P20" s="11" t="str">
        <f t="shared" si="3"/>
        <v>TC_E3_F__</v>
      </c>
      <c r="Q20" s="20"/>
      <c r="R20" s="11" t="str">
        <f t="shared" si="4"/>
        <v>TC_E4_F__</v>
      </c>
      <c r="S20" s="3"/>
      <c r="T20" s="11" t="str">
        <f t="shared" si="5"/>
        <v>TC_E5_F__</v>
      </c>
      <c r="U20" s="3"/>
      <c r="V20" s="11" t="str">
        <f t="shared" si="6"/>
        <v>TC_E6_F__</v>
      </c>
      <c r="W20" s="3"/>
      <c r="X20" s="9"/>
      <c r="Y20" s="9"/>
      <c r="Z20" s="9"/>
      <c r="AA20" s="9"/>
    </row>
    <row r="21" spans="1:27" x14ac:dyDescent="0.25">
      <c r="A21" s="22" t="b">
        <v>0</v>
      </c>
      <c r="B21" s="2">
        <f t="shared" si="0"/>
        <v>20</v>
      </c>
      <c r="C21" s="14" t="e">
        <f>_xlfn.XLOOKUP($D21,Tab_Def_Processes[Process_Name],Tab_Def_Processes[Process_ID],,0,)</f>
        <v>#N/A</v>
      </c>
      <c r="D21" s="18" t="s">
        <v>5</v>
      </c>
      <c r="E21" s="14" t="e">
        <f>_xlfn.XLOOKUP($D21,Tab_Def_Processes[Process_Name],Tab_Def_Processes[Process_Logic],,0,)</f>
        <v>#N/A</v>
      </c>
      <c r="F21" s="14" t="e">
        <f>_xlfn.XLOOKUP($D21,Tab_Def_Processes[Process_Name],Tab_Def_Processes[TC_Configuration],,0,)</f>
        <v>#N/A</v>
      </c>
      <c r="G21" s="14" t="e">
        <f>_xlfn.XLOOKUP($D21,Tab_Def_Processes[Process_Name],Tab_Def_Processes[Stock_Configuration],,0,)</f>
        <v>#N/A</v>
      </c>
      <c r="H21" s="14" t="e">
        <f>_xlfn.XLOOKUP($D21,Tab_Def_Processes[Process_Name],Tab_Def_Processes[Outflow_count],,0,)</f>
        <v>#N/A</v>
      </c>
      <c r="I21" s="18" t="s">
        <v>5</v>
      </c>
      <c r="J21" s="2" t="str">
        <f>_xlfn.XLOOKUP($I21,Tab_Def_Flows[Flow_Name],Tab_Def_Flows[Flow_ID],,0,1)</f>
        <v>F__</v>
      </c>
      <c r="K21" s="3"/>
      <c r="L21" s="11" t="str">
        <f t="shared" si="1"/>
        <v>TC_E1_F__</v>
      </c>
      <c r="M21" s="20"/>
      <c r="N21" s="11" t="str">
        <f t="shared" si="2"/>
        <v>TC_E2_F__</v>
      </c>
      <c r="O21" s="20"/>
      <c r="P21" s="11" t="str">
        <f t="shared" si="3"/>
        <v>TC_E3_F__</v>
      </c>
      <c r="Q21" s="20"/>
      <c r="R21" s="11" t="str">
        <f t="shared" si="4"/>
        <v>TC_E4_F__</v>
      </c>
      <c r="S21" s="3"/>
      <c r="T21" s="11" t="str">
        <f t="shared" si="5"/>
        <v>TC_E5_F__</v>
      </c>
      <c r="U21" s="3"/>
      <c r="V21" s="11" t="str">
        <f t="shared" si="6"/>
        <v>TC_E6_F__</v>
      </c>
      <c r="W21" s="3"/>
      <c r="X21" s="9"/>
      <c r="Y21" s="9"/>
      <c r="Z21" s="9"/>
      <c r="AA21" s="9"/>
    </row>
    <row r="22" spans="1:27" x14ac:dyDescent="0.25">
      <c r="A22" s="22" t="b">
        <v>0</v>
      </c>
      <c r="B22" s="2">
        <f t="shared" si="0"/>
        <v>21</v>
      </c>
      <c r="C22" s="14" t="e">
        <f>_xlfn.XLOOKUP($D22,Tab_Def_Processes[Process_Name],Tab_Def_Processes[Process_ID],,0,)</f>
        <v>#N/A</v>
      </c>
      <c r="D22" s="18" t="s">
        <v>5</v>
      </c>
      <c r="E22" s="14" t="e">
        <f>_xlfn.XLOOKUP($D22,Tab_Def_Processes[Process_Name],Tab_Def_Processes[Process_Logic],,0,)</f>
        <v>#N/A</v>
      </c>
      <c r="F22" s="14" t="e">
        <f>_xlfn.XLOOKUP($D22,Tab_Def_Processes[Process_Name],Tab_Def_Processes[TC_Configuration],,0,)</f>
        <v>#N/A</v>
      </c>
      <c r="G22" s="14" t="e">
        <f>_xlfn.XLOOKUP($D22,Tab_Def_Processes[Process_Name],Tab_Def_Processes[Stock_Configuration],,0,)</f>
        <v>#N/A</v>
      </c>
      <c r="H22" s="14" t="e">
        <f>_xlfn.XLOOKUP($D22,Tab_Def_Processes[Process_Name],Tab_Def_Processes[Outflow_count],,0,)</f>
        <v>#N/A</v>
      </c>
      <c r="I22" s="18" t="s">
        <v>5</v>
      </c>
      <c r="J22" s="2" t="str">
        <f>_xlfn.XLOOKUP($I22,Tab_Def_Flows[Flow_Name],Tab_Def_Flows[Flow_ID],,0,1)</f>
        <v>F__</v>
      </c>
      <c r="K22" s="3"/>
      <c r="L22" s="11" t="str">
        <f t="shared" si="1"/>
        <v>TC_E1_F__</v>
      </c>
      <c r="M22" s="20"/>
      <c r="N22" s="11" t="str">
        <f t="shared" si="2"/>
        <v>TC_E2_F__</v>
      </c>
      <c r="O22" s="20"/>
      <c r="P22" s="11" t="str">
        <f t="shared" si="3"/>
        <v>TC_E3_F__</v>
      </c>
      <c r="Q22" s="20"/>
      <c r="R22" s="11" t="str">
        <f t="shared" si="4"/>
        <v>TC_E4_F__</v>
      </c>
      <c r="S22" s="3"/>
      <c r="T22" s="11" t="str">
        <f t="shared" si="5"/>
        <v>TC_E5_F__</v>
      </c>
      <c r="U22" s="3"/>
      <c r="V22" s="11" t="str">
        <f t="shared" si="6"/>
        <v>TC_E6_F__</v>
      </c>
      <c r="W22" s="3"/>
      <c r="X22" s="9"/>
      <c r="Y22" s="9"/>
      <c r="Z22" s="9"/>
      <c r="AA22" s="9"/>
    </row>
    <row r="23" spans="1:27" x14ac:dyDescent="0.25">
      <c r="A23" s="22" t="b">
        <v>0</v>
      </c>
      <c r="B23" s="2">
        <f t="shared" si="0"/>
        <v>22</v>
      </c>
      <c r="C23" s="14" t="e">
        <f>_xlfn.XLOOKUP($D23,Tab_Def_Processes[Process_Name],Tab_Def_Processes[Process_ID],,0,)</f>
        <v>#N/A</v>
      </c>
      <c r="D23" s="18" t="s">
        <v>5</v>
      </c>
      <c r="E23" s="14" t="e">
        <f>_xlfn.XLOOKUP($D23,Tab_Def_Processes[Process_Name],Tab_Def_Processes[Process_Logic],,0,)</f>
        <v>#N/A</v>
      </c>
      <c r="F23" s="14" t="e">
        <f>_xlfn.XLOOKUP($D23,Tab_Def_Processes[Process_Name],Tab_Def_Processes[TC_Configuration],,0,)</f>
        <v>#N/A</v>
      </c>
      <c r="G23" s="14" t="e">
        <f>_xlfn.XLOOKUP($D23,Tab_Def_Processes[Process_Name],Tab_Def_Processes[Stock_Configuration],,0,)</f>
        <v>#N/A</v>
      </c>
      <c r="H23" s="14" t="e">
        <f>_xlfn.XLOOKUP($D23,Tab_Def_Processes[Process_Name],Tab_Def_Processes[Outflow_count],,0,)</f>
        <v>#N/A</v>
      </c>
      <c r="I23" s="18" t="s">
        <v>5</v>
      </c>
      <c r="J23" s="2" t="str">
        <f>_xlfn.XLOOKUP($I23,Tab_Def_Flows[Flow_Name],Tab_Def_Flows[Flow_ID],,0,1)</f>
        <v>F__</v>
      </c>
      <c r="K23" s="3"/>
      <c r="L23" s="11" t="str">
        <f t="shared" si="1"/>
        <v>TC_E1_F__</v>
      </c>
      <c r="M23" s="20"/>
      <c r="N23" s="11" t="str">
        <f t="shared" si="2"/>
        <v>TC_E2_F__</v>
      </c>
      <c r="O23" s="20"/>
      <c r="P23" s="11" t="str">
        <f t="shared" si="3"/>
        <v>TC_E3_F__</v>
      </c>
      <c r="Q23" s="20"/>
      <c r="R23" s="11" t="str">
        <f t="shared" si="4"/>
        <v>TC_E4_F__</v>
      </c>
      <c r="S23" s="3"/>
      <c r="T23" s="11" t="str">
        <f t="shared" si="5"/>
        <v>TC_E5_F__</v>
      </c>
      <c r="U23" s="3"/>
      <c r="V23" s="11" t="str">
        <f t="shared" si="6"/>
        <v>TC_E6_F__</v>
      </c>
      <c r="W23" s="3"/>
      <c r="X23" s="9"/>
      <c r="Y23" s="9"/>
      <c r="Z23" s="9"/>
      <c r="AA23" s="9"/>
    </row>
    <row r="24" spans="1:27" x14ac:dyDescent="0.25">
      <c r="A24" s="22" t="b">
        <v>0</v>
      </c>
      <c r="B24" s="2">
        <f t="shared" si="0"/>
        <v>23</v>
      </c>
      <c r="C24" s="14" t="e">
        <f>_xlfn.XLOOKUP($D24,Tab_Def_Processes[Process_Name],Tab_Def_Processes[Process_ID],,0,)</f>
        <v>#N/A</v>
      </c>
      <c r="D24" s="18" t="s">
        <v>5</v>
      </c>
      <c r="E24" s="14" t="e">
        <f>_xlfn.XLOOKUP($D24,Tab_Def_Processes[Process_Name],Tab_Def_Processes[Process_Logic],,0,)</f>
        <v>#N/A</v>
      </c>
      <c r="F24" s="14" t="e">
        <f>_xlfn.XLOOKUP($D24,Tab_Def_Processes[Process_Name],Tab_Def_Processes[TC_Configuration],,0,)</f>
        <v>#N/A</v>
      </c>
      <c r="G24" s="14" t="e">
        <f>_xlfn.XLOOKUP($D24,Tab_Def_Processes[Process_Name],Tab_Def_Processes[Stock_Configuration],,0,)</f>
        <v>#N/A</v>
      </c>
      <c r="H24" s="14" t="e">
        <f>_xlfn.XLOOKUP($D24,Tab_Def_Processes[Process_Name],Tab_Def_Processes[Outflow_count],,0,)</f>
        <v>#N/A</v>
      </c>
      <c r="I24" s="18" t="s">
        <v>5</v>
      </c>
      <c r="J24" s="2" t="str">
        <f>_xlfn.XLOOKUP($I24,Tab_Def_Flows[Flow_Name],Tab_Def_Flows[Flow_ID],,0,1)</f>
        <v>F__</v>
      </c>
      <c r="K24" s="3"/>
      <c r="L24" s="11" t="str">
        <f t="shared" si="1"/>
        <v>TC_E1_F__</v>
      </c>
      <c r="M24" s="20"/>
      <c r="N24" s="11" t="str">
        <f t="shared" si="2"/>
        <v>TC_E2_F__</v>
      </c>
      <c r="O24" s="20"/>
      <c r="P24" s="11" t="str">
        <f t="shared" si="3"/>
        <v>TC_E3_F__</v>
      </c>
      <c r="Q24" s="20"/>
      <c r="R24" s="11" t="str">
        <f t="shared" si="4"/>
        <v>TC_E4_F__</v>
      </c>
      <c r="S24" s="3"/>
      <c r="T24" s="11" t="str">
        <f t="shared" si="5"/>
        <v>TC_E5_F__</v>
      </c>
      <c r="U24" s="3"/>
      <c r="V24" s="11" t="str">
        <f t="shared" si="6"/>
        <v>TC_E6_F__</v>
      </c>
      <c r="W24" s="3"/>
      <c r="X24" s="9"/>
      <c r="Y24" s="9"/>
      <c r="Z24" s="9"/>
      <c r="AA24" s="9"/>
    </row>
    <row r="25" spans="1:27" x14ac:dyDescent="0.25">
      <c r="A25" s="22" t="b">
        <v>0</v>
      </c>
      <c r="B25" s="2">
        <f t="shared" si="0"/>
        <v>24</v>
      </c>
      <c r="C25" s="14" t="e">
        <f>_xlfn.XLOOKUP($D25,Tab_Def_Processes[Process_Name],Tab_Def_Processes[Process_ID],,0,)</f>
        <v>#N/A</v>
      </c>
      <c r="D25" s="18" t="s">
        <v>5</v>
      </c>
      <c r="E25" s="14" t="e">
        <f>_xlfn.XLOOKUP($D25,Tab_Def_Processes[Process_Name],Tab_Def_Processes[Process_Logic],,0,)</f>
        <v>#N/A</v>
      </c>
      <c r="F25" s="14" t="e">
        <f>_xlfn.XLOOKUP($D25,Tab_Def_Processes[Process_Name],Tab_Def_Processes[TC_Configuration],,0,)</f>
        <v>#N/A</v>
      </c>
      <c r="G25" s="14" t="e">
        <f>_xlfn.XLOOKUP($D25,Tab_Def_Processes[Process_Name],Tab_Def_Processes[Stock_Configuration],,0,)</f>
        <v>#N/A</v>
      </c>
      <c r="H25" s="14" t="e">
        <f>_xlfn.XLOOKUP($D25,Tab_Def_Processes[Process_Name],Tab_Def_Processes[Outflow_count],,0,)</f>
        <v>#N/A</v>
      </c>
      <c r="I25" s="18" t="s">
        <v>5</v>
      </c>
      <c r="J25" s="2" t="str">
        <f>_xlfn.XLOOKUP($I25,Tab_Def_Flows[Flow_Name],Tab_Def_Flows[Flow_ID],,0,1)</f>
        <v>F__</v>
      </c>
      <c r="K25" s="3"/>
      <c r="L25" s="11" t="str">
        <f t="shared" si="1"/>
        <v>TC_E1_F__</v>
      </c>
      <c r="M25" s="20"/>
      <c r="N25" s="11" t="str">
        <f t="shared" si="2"/>
        <v>TC_E2_F__</v>
      </c>
      <c r="O25" s="20"/>
      <c r="P25" s="11" t="str">
        <f t="shared" si="3"/>
        <v>TC_E3_F__</v>
      </c>
      <c r="Q25" s="20"/>
      <c r="R25" s="11" t="str">
        <f t="shared" si="4"/>
        <v>TC_E4_F__</v>
      </c>
      <c r="S25" s="3"/>
      <c r="T25" s="11" t="str">
        <f t="shared" si="5"/>
        <v>TC_E5_F__</v>
      </c>
      <c r="U25" s="3"/>
      <c r="V25" s="11" t="str">
        <f t="shared" si="6"/>
        <v>TC_E6_F__</v>
      </c>
      <c r="W25" s="3"/>
      <c r="X25" s="9"/>
      <c r="Y25" s="9"/>
      <c r="Z25" s="9"/>
      <c r="AA25" s="9"/>
    </row>
    <row r="26" spans="1:27" x14ac:dyDescent="0.25">
      <c r="A26" s="22" t="b">
        <v>0</v>
      </c>
      <c r="B26" s="2">
        <f t="shared" si="0"/>
        <v>25</v>
      </c>
      <c r="C26" s="14" t="e">
        <f>_xlfn.XLOOKUP($D26,Tab_Def_Processes[Process_Name],Tab_Def_Processes[Process_ID],,0,)</f>
        <v>#N/A</v>
      </c>
      <c r="D26" s="18" t="s">
        <v>5</v>
      </c>
      <c r="E26" s="14" t="e">
        <f>_xlfn.XLOOKUP($D26,Tab_Def_Processes[Process_Name],Tab_Def_Processes[Process_Logic],,0,)</f>
        <v>#N/A</v>
      </c>
      <c r="F26" s="14" t="e">
        <f>_xlfn.XLOOKUP($D26,Tab_Def_Processes[Process_Name],Tab_Def_Processes[TC_Configuration],,0,)</f>
        <v>#N/A</v>
      </c>
      <c r="G26" s="14" t="e">
        <f>_xlfn.XLOOKUP($D26,Tab_Def_Processes[Process_Name],Tab_Def_Processes[Stock_Configuration],,0,)</f>
        <v>#N/A</v>
      </c>
      <c r="H26" s="14" t="e">
        <f>_xlfn.XLOOKUP($D26,Tab_Def_Processes[Process_Name],Tab_Def_Processes[Outflow_count],,0,)</f>
        <v>#N/A</v>
      </c>
      <c r="I26" s="18" t="s">
        <v>5</v>
      </c>
      <c r="J26" s="2" t="str">
        <f>_xlfn.XLOOKUP($I26,Tab_Def_Flows[Flow_Name],Tab_Def_Flows[Flow_ID],,0,1)</f>
        <v>F__</v>
      </c>
      <c r="K26" s="3"/>
      <c r="L26" s="11" t="str">
        <f t="shared" si="1"/>
        <v>TC_E1_F__</v>
      </c>
      <c r="M26" s="20"/>
      <c r="N26" s="11" t="str">
        <f t="shared" si="2"/>
        <v>TC_E2_F__</v>
      </c>
      <c r="O26" s="20"/>
      <c r="P26" s="11" t="str">
        <f t="shared" si="3"/>
        <v>TC_E3_F__</v>
      </c>
      <c r="Q26" s="20"/>
      <c r="R26" s="11" t="str">
        <f t="shared" si="4"/>
        <v>TC_E4_F__</v>
      </c>
      <c r="S26" s="3"/>
      <c r="T26" s="11" t="str">
        <f t="shared" si="5"/>
        <v>TC_E5_F__</v>
      </c>
      <c r="U26" s="3"/>
      <c r="V26" s="11" t="str">
        <f t="shared" si="6"/>
        <v>TC_E6_F__</v>
      </c>
      <c r="W26" s="3"/>
      <c r="X26" s="9"/>
      <c r="Y26" s="9"/>
      <c r="Z26" s="9"/>
      <c r="AA26" s="9"/>
    </row>
    <row r="27" spans="1:27" x14ac:dyDescent="0.25">
      <c r="A27" s="22" t="b">
        <v>0</v>
      </c>
      <c r="B27" s="2">
        <f t="shared" si="0"/>
        <v>26</v>
      </c>
      <c r="C27" s="14" t="e">
        <f>_xlfn.XLOOKUP($D27,Tab_Def_Processes[Process_Name],Tab_Def_Processes[Process_ID],,0,)</f>
        <v>#N/A</v>
      </c>
      <c r="D27" s="18" t="s">
        <v>5</v>
      </c>
      <c r="E27" s="14" t="e">
        <f>_xlfn.XLOOKUP($D27,Tab_Def_Processes[Process_Name],Tab_Def_Processes[Process_Logic],,0,)</f>
        <v>#N/A</v>
      </c>
      <c r="F27" s="14" t="e">
        <f>_xlfn.XLOOKUP($D27,Tab_Def_Processes[Process_Name],Tab_Def_Processes[TC_Configuration],,0,)</f>
        <v>#N/A</v>
      </c>
      <c r="G27" s="14" t="e">
        <f>_xlfn.XLOOKUP($D27,Tab_Def_Processes[Process_Name],Tab_Def_Processes[Stock_Configuration],,0,)</f>
        <v>#N/A</v>
      </c>
      <c r="H27" s="14" t="e">
        <f>_xlfn.XLOOKUP($D27,Tab_Def_Processes[Process_Name],Tab_Def_Processes[Outflow_count],,0,)</f>
        <v>#N/A</v>
      </c>
      <c r="I27" s="18" t="s">
        <v>5</v>
      </c>
      <c r="J27" s="2" t="str">
        <f>_xlfn.XLOOKUP($I27,Tab_Def_Flows[Flow_Name],Tab_Def_Flows[Flow_ID],,0,1)</f>
        <v>F__</v>
      </c>
      <c r="K27" s="3"/>
      <c r="L27" s="11" t="str">
        <f t="shared" si="1"/>
        <v>TC_E1_F__</v>
      </c>
      <c r="M27" s="20"/>
      <c r="N27" s="11" t="str">
        <f t="shared" si="2"/>
        <v>TC_E2_F__</v>
      </c>
      <c r="O27" s="20"/>
      <c r="P27" s="11" t="str">
        <f t="shared" si="3"/>
        <v>TC_E3_F__</v>
      </c>
      <c r="Q27" s="20"/>
      <c r="R27" s="11" t="str">
        <f t="shared" si="4"/>
        <v>TC_E4_F__</v>
      </c>
      <c r="S27" s="3"/>
      <c r="T27" s="11" t="str">
        <f t="shared" si="5"/>
        <v>TC_E5_F__</v>
      </c>
      <c r="U27" s="3"/>
      <c r="V27" s="11" t="str">
        <f t="shared" si="6"/>
        <v>TC_E6_F__</v>
      </c>
      <c r="W27" s="3"/>
      <c r="X27" s="9"/>
      <c r="Y27" s="9"/>
      <c r="Z27" s="9"/>
      <c r="AA27" s="9"/>
    </row>
    <row r="28" spans="1:27" x14ac:dyDescent="0.25">
      <c r="A28" s="22" t="b">
        <v>0</v>
      </c>
      <c r="B28" s="2">
        <f t="shared" si="0"/>
        <v>27</v>
      </c>
      <c r="C28" s="14" t="e">
        <f>_xlfn.XLOOKUP($D28,Tab_Def_Processes[Process_Name],Tab_Def_Processes[Process_ID],,0,)</f>
        <v>#N/A</v>
      </c>
      <c r="D28" s="18" t="s">
        <v>5</v>
      </c>
      <c r="E28" s="14" t="e">
        <f>_xlfn.XLOOKUP($D28,Tab_Def_Processes[Process_Name],Tab_Def_Processes[Process_Logic],,0,)</f>
        <v>#N/A</v>
      </c>
      <c r="F28" s="14" t="e">
        <f>_xlfn.XLOOKUP($D28,Tab_Def_Processes[Process_Name],Tab_Def_Processes[TC_Configuration],,0,)</f>
        <v>#N/A</v>
      </c>
      <c r="G28" s="14" t="e">
        <f>_xlfn.XLOOKUP($D28,Tab_Def_Processes[Process_Name],Tab_Def_Processes[Stock_Configuration],,0,)</f>
        <v>#N/A</v>
      </c>
      <c r="H28" s="14" t="e">
        <f>_xlfn.XLOOKUP($D28,Tab_Def_Processes[Process_Name],Tab_Def_Processes[Outflow_count],,0,)</f>
        <v>#N/A</v>
      </c>
      <c r="I28" s="18" t="s">
        <v>5</v>
      </c>
      <c r="J28" s="2" t="str">
        <f>_xlfn.XLOOKUP($I28,Tab_Def_Flows[Flow_Name],Tab_Def_Flows[Flow_ID],,0,1)</f>
        <v>F__</v>
      </c>
      <c r="K28" s="3"/>
      <c r="L28" s="11" t="str">
        <f t="shared" si="1"/>
        <v>TC_E1_F__</v>
      </c>
      <c r="M28" s="20"/>
      <c r="N28" s="11" t="str">
        <f t="shared" si="2"/>
        <v>TC_E2_F__</v>
      </c>
      <c r="O28" s="20"/>
      <c r="P28" s="11" t="str">
        <f t="shared" si="3"/>
        <v>TC_E3_F__</v>
      </c>
      <c r="Q28" s="20"/>
      <c r="R28" s="11" t="str">
        <f t="shared" si="4"/>
        <v>TC_E4_F__</v>
      </c>
      <c r="S28" s="3"/>
      <c r="T28" s="11" t="str">
        <f t="shared" si="5"/>
        <v>TC_E5_F__</v>
      </c>
      <c r="U28" s="3"/>
      <c r="V28" s="11" t="str">
        <f t="shared" si="6"/>
        <v>TC_E6_F__</v>
      </c>
      <c r="W28" s="3"/>
      <c r="X28" s="9"/>
      <c r="Y28" s="9"/>
      <c r="Z28" s="9"/>
      <c r="AA28" s="9"/>
    </row>
    <row r="29" spans="1:27" x14ac:dyDescent="0.25">
      <c r="A29" s="22" t="b">
        <v>0</v>
      </c>
      <c r="B29" s="2">
        <f t="shared" si="0"/>
        <v>28</v>
      </c>
      <c r="C29" s="14" t="e">
        <f>_xlfn.XLOOKUP($D29,Tab_Def_Processes[Process_Name],Tab_Def_Processes[Process_ID],,0,)</f>
        <v>#N/A</v>
      </c>
      <c r="D29" s="18" t="s">
        <v>5</v>
      </c>
      <c r="E29" s="14" t="e">
        <f>_xlfn.XLOOKUP($D29,Tab_Def_Processes[Process_Name],Tab_Def_Processes[Process_Logic],,0,)</f>
        <v>#N/A</v>
      </c>
      <c r="F29" s="14" t="e">
        <f>_xlfn.XLOOKUP($D29,Tab_Def_Processes[Process_Name],Tab_Def_Processes[TC_Configuration],,0,)</f>
        <v>#N/A</v>
      </c>
      <c r="G29" s="14" t="e">
        <f>_xlfn.XLOOKUP($D29,Tab_Def_Processes[Process_Name],Tab_Def_Processes[Stock_Configuration],,0,)</f>
        <v>#N/A</v>
      </c>
      <c r="H29" s="14" t="e">
        <f>_xlfn.XLOOKUP($D29,Tab_Def_Processes[Process_Name],Tab_Def_Processes[Outflow_count],,0,)</f>
        <v>#N/A</v>
      </c>
      <c r="I29" s="18" t="s">
        <v>5</v>
      </c>
      <c r="J29" s="2" t="str">
        <f>_xlfn.XLOOKUP($I29,Tab_Def_Flows[Flow_Name],Tab_Def_Flows[Flow_ID],,0,1)</f>
        <v>F__</v>
      </c>
      <c r="K29" s="3"/>
      <c r="L29" s="11" t="str">
        <f t="shared" si="1"/>
        <v>TC_E1_F__</v>
      </c>
      <c r="M29" s="20"/>
      <c r="N29" s="11" t="str">
        <f t="shared" si="2"/>
        <v>TC_E2_F__</v>
      </c>
      <c r="O29" s="20"/>
      <c r="P29" s="11" t="str">
        <f t="shared" si="3"/>
        <v>TC_E3_F__</v>
      </c>
      <c r="Q29" s="20"/>
      <c r="R29" s="11" t="str">
        <f t="shared" si="4"/>
        <v>TC_E4_F__</v>
      </c>
      <c r="S29" s="3"/>
      <c r="T29" s="11" t="str">
        <f t="shared" si="5"/>
        <v>TC_E5_F__</v>
      </c>
      <c r="U29" s="3"/>
      <c r="V29" s="11" t="str">
        <f t="shared" si="6"/>
        <v>TC_E6_F__</v>
      </c>
      <c r="W29" s="3"/>
      <c r="X29" s="9"/>
      <c r="Y29" s="9"/>
      <c r="Z29" s="9"/>
      <c r="AA29" s="9"/>
    </row>
    <row r="30" spans="1:27" x14ac:dyDescent="0.25">
      <c r="A30" s="22" t="b">
        <v>0</v>
      </c>
      <c r="B30" s="2">
        <f t="shared" si="0"/>
        <v>29</v>
      </c>
      <c r="C30" s="14" t="e">
        <f>_xlfn.XLOOKUP($D30,Tab_Def_Processes[Process_Name],Tab_Def_Processes[Process_ID],,0,)</f>
        <v>#N/A</v>
      </c>
      <c r="D30" s="18" t="s">
        <v>5</v>
      </c>
      <c r="E30" s="14" t="e">
        <f>_xlfn.XLOOKUP($D30,Tab_Def_Processes[Process_Name],Tab_Def_Processes[Process_Logic],,0,)</f>
        <v>#N/A</v>
      </c>
      <c r="F30" s="14" t="e">
        <f>_xlfn.XLOOKUP($D30,Tab_Def_Processes[Process_Name],Tab_Def_Processes[TC_Configuration],,0,)</f>
        <v>#N/A</v>
      </c>
      <c r="G30" s="14" t="e">
        <f>_xlfn.XLOOKUP($D30,Tab_Def_Processes[Process_Name],Tab_Def_Processes[Stock_Configuration],,0,)</f>
        <v>#N/A</v>
      </c>
      <c r="H30" s="14" t="e">
        <f>_xlfn.XLOOKUP($D30,Tab_Def_Processes[Process_Name],Tab_Def_Processes[Outflow_count],,0,)</f>
        <v>#N/A</v>
      </c>
      <c r="I30" s="18" t="s">
        <v>5</v>
      </c>
      <c r="J30" s="2" t="str">
        <f>_xlfn.XLOOKUP($I30,Tab_Def_Flows[Flow_Name],Tab_Def_Flows[Flow_ID],,0,1)</f>
        <v>F__</v>
      </c>
      <c r="K30" s="3"/>
      <c r="L30" s="11" t="str">
        <f t="shared" si="1"/>
        <v>TC_E1_F__</v>
      </c>
      <c r="M30" s="20"/>
      <c r="N30" s="11" t="str">
        <f t="shared" si="2"/>
        <v>TC_E2_F__</v>
      </c>
      <c r="O30" s="20"/>
      <c r="P30" s="11" t="str">
        <f t="shared" si="3"/>
        <v>TC_E3_F__</v>
      </c>
      <c r="Q30" s="20"/>
      <c r="R30" s="11" t="str">
        <f t="shared" si="4"/>
        <v>TC_E4_F__</v>
      </c>
      <c r="S30" s="3"/>
      <c r="T30" s="11" t="str">
        <f t="shared" si="5"/>
        <v>TC_E5_F__</v>
      </c>
      <c r="U30" s="3"/>
      <c r="V30" s="11" t="str">
        <f t="shared" si="6"/>
        <v>TC_E6_F__</v>
      </c>
      <c r="W30" s="3"/>
      <c r="X30" s="9"/>
      <c r="Y30" s="9"/>
      <c r="Z30" s="9"/>
      <c r="AA30" s="9"/>
    </row>
    <row r="31" spans="1:27" x14ac:dyDescent="0.25">
      <c r="A31" s="22" t="b">
        <v>0</v>
      </c>
      <c r="B31" s="2">
        <f t="shared" si="0"/>
        <v>30</v>
      </c>
      <c r="C31" s="14" t="e">
        <f>_xlfn.XLOOKUP($D31,Tab_Def_Processes[Process_Name],Tab_Def_Processes[Process_ID],,0,)</f>
        <v>#N/A</v>
      </c>
      <c r="D31" s="18" t="s">
        <v>5</v>
      </c>
      <c r="E31" s="14" t="e">
        <f>_xlfn.XLOOKUP($D31,Tab_Def_Processes[Process_Name],Tab_Def_Processes[Process_Logic],,0,)</f>
        <v>#N/A</v>
      </c>
      <c r="F31" s="14" t="e">
        <f>_xlfn.XLOOKUP($D31,Tab_Def_Processes[Process_Name],Tab_Def_Processes[TC_Configuration],,0,)</f>
        <v>#N/A</v>
      </c>
      <c r="G31" s="14" t="e">
        <f>_xlfn.XLOOKUP($D31,Tab_Def_Processes[Process_Name],Tab_Def_Processes[Stock_Configuration],,0,)</f>
        <v>#N/A</v>
      </c>
      <c r="H31" s="14" t="e">
        <f>_xlfn.XLOOKUP($D31,Tab_Def_Processes[Process_Name],Tab_Def_Processes[Outflow_count],,0,)</f>
        <v>#N/A</v>
      </c>
      <c r="I31" s="18" t="s">
        <v>5</v>
      </c>
      <c r="J31" s="2" t="str">
        <f>_xlfn.XLOOKUP($I31,Tab_Def_Flows[Flow_Name],Tab_Def_Flows[Flow_ID],,0,1)</f>
        <v>F__</v>
      </c>
      <c r="K31" s="3"/>
      <c r="L31" s="11" t="str">
        <f t="shared" si="1"/>
        <v>TC_E1_F__</v>
      </c>
      <c r="M31" s="20"/>
      <c r="N31" s="11" t="str">
        <f t="shared" si="2"/>
        <v>TC_E2_F__</v>
      </c>
      <c r="O31" s="20"/>
      <c r="P31" s="11" t="str">
        <f t="shared" si="3"/>
        <v>TC_E3_F__</v>
      </c>
      <c r="Q31" s="20"/>
      <c r="R31" s="11" t="str">
        <f t="shared" si="4"/>
        <v>TC_E4_F__</v>
      </c>
      <c r="S31" s="3"/>
      <c r="T31" s="11" t="str">
        <f t="shared" si="5"/>
        <v>TC_E5_F__</v>
      </c>
      <c r="U31" s="3"/>
      <c r="V31" s="11" t="str">
        <f t="shared" si="6"/>
        <v>TC_E6_F__</v>
      </c>
      <c r="W31" s="3"/>
      <c r="X31" s="9"/>
      <c r="Y31" s="9"/>
      <c r="Z31" s="9"/>
      <c r="AA31" s="9"/>
    </row>
    <row r="32" spans="1:27" x14ac:dyDescent="0.25">
      <c r="A32" s="22" t="b">
        <v>0</v>
      </c>
      <c r="B32" s="2">
        <f t="shared" ref="B32:B63" si="7">ROW()-1</f>
        <v>31</v>
      </c>
      <c r="C32" s="14" t="e">
        <f>_xlfn.XLOOKUP($D32,Tab_Def_Processes[Process_Name],Tab_Def_Processes[Process_ID],,0,)</f>
        <v>#N/A</v>
      </c>
      <c r="D32" s="18" t="s">
        <v>5</v>
      </c>
      <c r="E32" s="14" t="e">
        <f>_xlfn.XLOOKUP($D32,Tab_Def_Processes[Process_Name],Tab_Def_Processes[Process_Logic],,0,)</f>
        <v>#N/A</v>
      </c>
      <c r="F32" s="14" t="e">
        <f>_xlfn.XLOOKUP($D32,Tab_Def_Processes[Process_Name],Tab_Def_Processes[TC_Configuration],,0,)</f>
        <v>#N/A</v>
      </c>
      <c r="G32" s="14" t="e">
        <f>_xlfn.XLOOKUP($D32,Tab_Def_Processes[Process_Name],Tab_Def_Processes[Stock_Configuration],,0,)</f>
        <v>#N/A</v>
      </c>
      <c r="H32" s="14" t="e">
        <f>_xlfn.XLOOKUP($D32,Tab_Def_Processes[Process_Name],Tab_Def_Processes[Outflow_count],,0,)</f>
        <v>#N/A</v>
      </c>
      <c r="I32" s="18" t="s">
        <v>5</v>
      </c>
      <c r="J32" s="2" t="str">
        <f>_xlfn.XLOOKUP($I32,Tab_Def_Flows[Flow_Name],Tab_Def_Flows[Flow_ID],,0,1)</f>
        <v>F__</v>
      </c>
      <c r="K32" s="3"/>
      <c r="L32" s="11" t="str">
        <f t="shared" si="1"/>
        <v>TC_E1_F__</v>
      </c>
      <c r="M32" s="20"/>
      <c r="N32" s="11" t="str">
        <f t="shared" si="2"/>
        <v>TC_E2_F__</v>
      </c>
      <c r="O32" s="20"/>
      <c r="P32" s="11" t="str">
        <f t="shared" si="3"/>
        <v>TC_E3_F__</v>
      </c>
      <c r="Q32" s="20"/>
      <c r="R32" s="11" t="str">
        <f t="shared" si="4"/>
        <v>TC_E4_F__</v>
      </c>
      <c r="S32" s="3"/>
      <c r="T32" s="11" t="str">
        <f t="shared" si="5"/>
        <v>TC_E5_F__</v>
      </c>
      <c r="U32" s="3"/>
      <c r="V32" s="11" t="str">
        <f t="shared" si="6"/>
        <v>TC_E6_F__</v>
      </c>
      <c r="W32" s="3"/>
      <c r="X32" s="9"/>
      <c r="Y32" s="9"/>
      <c r="Z32" s="9"/>
      <c r="AA32" s="9"/>
    </row>
    <row r="33" spans="1:27" x14ac:dyDescent="0.25">
      <c r="A33" s="22" t="b">
        <v>0</v>
      </c>
      <c r="B33" s="2">
        <f t="shared" si="7"/>
        <v>32</v>
      </c>
      <c r="C33" s="14" t="e">
        <f>_xlfn.XLOOKUP($D33,Tab_Def_Processes[Process_Name],Tab_Def_Processes[Process_ID],,0,)</f>
        <v>#N/A</v>
      </c>
      <c r="D33" s="18" t="s">
        <v>5</v>
      </c>
      <c r="E33" s="14" t="e">
        <f>_xlfn.XLOOKUP($D33,Tab_Def_Processes[Process_Name],Tab_Def_Processes[Process_Logic],,0,)</f>
        <v>#N/A</v>
      </c>
      <c r="F33" s="14" t="e">
        <f>_xlfn.XLOOKUP($D33,Tab_Def_Processes[Process_Name],Tab_Def_Processes[TC_Configuration],,0,)</f>
        <v>#N/A</v>
      </c>
      <c r="G33" s="14" t="e">
        <f>_xlfn.XLOOKUP($D33,Tab_Def_Processes[Process_Name],Tab_Def_Processes[Stock_Configuration],,0,)</f>
        <v>#N/A</v>
      </c>
      <c r="H33" s="14" t="e">
        <f>_xlfn.XLOOKUP($D33,Tab_Def_Processes[Process_Name],Tab_Def_Processes[Outflow_count],,0,)</f>
        <v>#N/A</v>
      </c>
      <c r="I33" s="18" t="s">
        <v>5</v>
      </c>
      <c r="J33" s="2" t="str">
        <f>_xlfn.XLOOKUP($I33,Tab_Def_Flows[Flow_Name],Tab_Def_Flows[Flow_ID],,0,1)</f>
        <v>F__</v>
      </c>
      <c r="K33" s="3"/>
      <c r="L33" s="11" t="str">
        <f t="shared" si="1"/>
        <v>TC_E1_F__</v>
      </c>
      <c r="M33" s="20"/>
      <c r="N33" s="11" t="str">
        <f t="shared" si="2"/>
        <v>TC_E2_F__</v>
      </c>
      <c r="O33" s="20"/>
      <c r="P33" s="11" t="str">
        <f t="shared" si="3"/>
        <v>TC_E3_F__</v>
      </c>
      <c r="Q33" s="20"/>
      <c r="R33" s="11" t="str">
        <f t="shared" si="4"/>
        <v>TC_E4_F__</v>
      </c>
      <c r="S33" s="3"/>
      <c r="T33" s="11" t="str">
        <f t="shared" si="5"/>
        <v>TC_E5_F__</v>
      </c>
      <c r="U33" s="3"/>
      <c r="V33" s="11" t="str">
        <f t="shared" si="6"/>
        <v>TC_E6_F__</v>
      </c>
      <c r="W33" s="3"/>
      <c r="X33" s="9"/>
      <c r="Y33" s="9"/>
      <c r="Z33" s="9"/>
      <c r="AA33" s="9"/>
    </row>
    <row r="34" spans="1:27" x14ac:dyDescent="0.25">
      <c r="A34" s="22" t="b">
        <v>0</v>
      </c>
      <c r="B34" s="2">
        <f t="shared" si="7"/>
        <v>33</v>
      </c>
      <c r="C34" s="14" t="e">
        <f>_xlfn.XLOOKUP($D34,Tab_Def_Processes[Process_Name],Tab_Def_Processes[Process_ID],,0,)</f>
        <v>#N/A</v>
      </c>
      <c r="D34" s="18" t="s">
        <v>5</v>
      </c>
      <c r="E34" s="14" t="e">
        <f>_xlfn.XLOOKUP($D34,Tab_Def_Processes[Process_Name],Tab_Def_Processes[Process_Logic],,0,)</f>
        <v>#N/A</v>
      </c>
      <c r="F34" s="14" t="e">
        <f>_xlfn.XLOOKUP($D34,Tab_Def_Processes[Process_Name],Tab_Def_Processes[TC_Configuration],,0,)</f>
        <v>#N/A</v>
      </c>
      <c r="G34" s="14" t="e">
        <f>_xlfn.XLOOKUP($D34,Tab_Def_Processes[Process_Name],Tab_Def_Processes[Stock_Configuration],,0,)</f>
        <v>#N/A</v>
      </c>
      <c r="H34" s="14" t="e">
        <f>_xlfn.XLOOKUP($D34,Tab_Def_Processes[Process_Name],Tab_Def_Processes[Outflow_count],,0,)</f>
        <v>#N/A</v>
      </c>
      <c r="I34" s="18" t="s">
        <v>5</v>
      </c>
      <c r="J34" s="2" t="str">
        <f>_xlfn.XLOOKUP($I34,Tab_Def_Flows[Flow_Name],Tab_Def_Flows[Flow_ID],,0,1)</f>
        <v>F__</v>
      </c>
      <c r="K34" s="3"/>
      <c r="L34" s="11" t="str">
        <f t="shared" si="1"/>
        <v>TC_E1_F__</v>
      </c>
      <c r="M34" s="20"/>
      <c r="N34" s="11" t="str">
        <f t="shared" si="2"/>
        <v>TC_E2_F__</v>
      </c>
      <c r="O34" s="20"/>
      <c r="P34" s="11" t="str">
        <f t="shared" si="3"/>
        <v>TC_E3_F__</v>
      </c>
      <c r="Q34" s="20"/>
      <c r="R34" s="11" t="str">
        <f t="shared" si="4"/>
        <v>TC_E4_F__</v>
      </c>
      <c r="S34" s="3"/>
      <c r="T34" s="11" t="str">
        <f t="shared" si="5"/>
        <v>TC_E5_F__</v>
      </c>
      <c r="U34" s="3"/>
      <c r="V34" s="11" t="str">
        <f t="shared" si="6"/>
        <v>TC_E6_F__</v>
      </c>
      <c r="W34" s="3"/>
      <c r="X34" s="9"/>
      <c r="Y34" s="9"/>
      <c r="Z34" s="9"/>
      <c r="AA34" s="9"/>
    </row>
    <row r="35" spans="1:27" x14ac:dyDescent="0.25">
      <c r="A35" s="22" t="b">
        <v>0</v>
      </c>
      <c r="B35" s="2">
        <f t="shared" si="7"/>
        <v>34</v>
      </c>
      <c r="C35" s="14" t="e">
        <f>_xlfn.XLOOKUP($D35,Tab_Def_Processes[Process_Name],Tab_Def_Processes[Process_ID],,0,)</f>
        <v>#N/A</v>
      </c>
      <c r="D35" s="18" t="s">
        <v>5</v>
      </c>
      <c r="E35" s="14" t="e">
        <f>_xlfn.XLOOKUP($D35,Tab_Def_Processes[Process_Name],Tab_Def_Processes[Process_Logic],,0,)</f>
        <v>#N/A</v>
      </c>
      <c r="F35" s="14" t="e">
        <f>_xlfn.XLOOKUP($D35,Tab_Def_Processes[Process_Name],Tab_Def_Processes[TC_Configuration],,0,)</f>
        <v>#N/A</v>
      </c>
      <c r="G35" s="14" t="e">
        <f>_xlfn.XLOOKUP($D35,Tab_Def_Processes[Process_Name],Tab_Def_Processes[Stock_Configuration],,0,)</f>
        <v>#N/A</v>
      </c>
      <c r="H35" s="14" t="e">
        <f>_xlfn.XLOOKUP($D35,Tab_Def_Processes[Process_Name],Tab_Def_Processes[Outflow_count],,0,)</f>
        <v>#N/A</v>
      </c>
      <c r="I35" s="18" t="s">
        <v>5</v>
      </c>
      <c r="J35" s="2" t="str">
        <f>_xlfn.XLOOKUP($I35,Tab_Def_Flows[Flow_Name],Tab_Def_Flows[Flow_ID],,0,1)</f>
        <v>F__</v>
      </c>
      <c r="K35" s="3"/>
      <c r="L35" s="11" t="str">
        <f t="shared" si="1"/>
        <v>TC_E1_F__</v>
      </c>
      <c r="M35" s="20"/>
      <c r="N35" s="11" t="str">
        <f t="shared" si="2"/>
        <v>TC_E2_F__</v>
      </c>
      <c r="O35" s="20"/>
      <c r="P35" s="11" t="str">
        <f t="shared" si="3"/>
        <v>TC_E3_F__</v>
      </c>
      <c r="Q35" s="20"/>
      <c r="R35" s="11" t="str">
        <f t="shared" si="4"/>
        <v>TC_E4_F__</v>
      </c>
      <c r="S35" s="3"/>
      <c r="T35" s="11" t="str">
        <f t="shared" si="5"/>
        <v>TC_E5_F__</v>
      </c>
      <c r="U35" s="3"/>
      <c r="V35" s="11" t="str">
        <f t="shared" si="6"/>
        <v>TC_E6_F__</v>
      </c>
      <c r="W35" s="3"/>
      <c r="X35" s="9"/>
      <c r="Y35" s="9"/>
      <c r="Z35" s="9"/>
      <c r="AA35" s="9"/>
    </row>
    <row r="36" spans="1:27" x14ac:dyDescent="0.25">
      <c r="A36" s="22" t="b">
        <v>0</v>
      </c>
      <c r="B36" s="2">
        <f t="shared" si="7"/>
        <v>35</v>
      </c>
      <c r="C36" s="14" t="e">
        <f>_xlfn.XLOOKUP($D36,Tab_Def_Processes[Process_Name],Tab_Def_Processes[Process_ID],,0,)</f>
        <v>#N/A</v>
      </c>
      <c r="D36" s="18" t="s">
        <v>5</v>
      </c>
      <c r="E36" s="14" t="e">
        <f>_xlfn.XLOOKUP($D36,Tab_Def_Processes[Process_Name],Tab_Def_Processes[Process_Logic],,0,)</f>
        <v>#N/A</v>
      </c>
      <c r="F36" s="14" t="e">
        <f>_xlfn.XLOOKUP($D36,Tab_Def_Processes[Process_Name],Tab_Def_Processes[TC_Configuration],,0,)</f>
        <v>#N/A</v>
      </c>
      <c r="G36" s="14" t="e">
        <f>_xlfn.XLOOKUP($D36,Tab_Def_Processes[Process_Name],Tab_Def_Processes[Stock_Configuration],,0,)</f>
        <v>#N/A</v>
      </c>
      <c r="H36" s="14" t="e">
        <f>_xlfn.XLOOKUP($D36,Tab_Def_Processes[Process_Name],Tab_Def_Processes[Outflow_count],,0,)</f>
        <v>#N/A</v>
      </c>
      <c r="I36" s="18" t="s">
        <v>5</v>
      </c>
      <c r="J36" s="2" t="str">
        <f>_xlfn.XLOOKUP($I36,Tab_Def_Flows[Flow_Name],Tab_Def_Flows[Flow_ID],,0,1)</f>
        <v>F__</v>
      </c>
      <c r="K36" s="3"/>
      <c r="L36" s="11" t="str">
        <f t="shared" si="1"/>
        <v>TC_E1_F__</v>
      </c>
      <c r="M36" s="20"/>
      <c r="N36" s="11" t="str">
        <f t="shared" si="2"/>
        <v>TC_E2_F__</v>
      </c>
      <c r="O36" s="20"/>
      <c r="P36" s="11" t="str">
        <f t="shared" si="3"/>
        <v>TC_E3_F__</v>
      </c>
      <c r="Q36" s="20"/>
      <c r="R36" s="11" t="str">
        <f t="shared" si="4"/>
        <v>TC_E4_F__</v>
      </c>
      <c r="S36" s="3"/>
      <c r="T36" s="11" t="str">
        <f t="shared" si="5"/>
        <v>TC_E5_F__</v>
      </c>
      <c r="U36" s="3"/>
      <c r="V36" s="11" t="str">
        <f t="shared" si="6"/>
        <v>TC_E6_F__</v>
      </c>
      <c r="W36" s="3"/>
      <c r="X36" s="9"/>
      <c r="Y36" s="9"/>
      <c r="Z36" s="9"/>
      <c r="AA36" s="9"/>
    </row>
    <row r="37" spans="1:27" x14ac:dyDescent="0.25">
      <c r="A37" s="22" t="b">
        <v>0</v>
      </c>
      <c r="B37" s="2">
        <f t="shared" si="7"/>
        <v>36</v>
      </c>
      <c r="C37" s="14" t="e">
        <f>_xlfn.XLOOKUP($D37,Tab_Def_Processes[Process_Name],Tab_Def_Processes[Process_ID],,0,)</f>
        <v>#N/A</v>
      </c>
      <c r="D37" s="18" t="s">
        <v>5</v>
      </c>
      <c r="E37" s="14" t="e">
        <f>_xlfn.XLOOKUP($D37,Tab_Def_Processes[Process_Name],Tab_Def_Processes[Process_Logic],,0,)</f>
        <v>#N/A</v>
      </c>
      <c r="F37" s="14" t="e">
        <f>_xlfn.XLOOKUP($D37,Tab_Def_Processes[Process_Name],Tab_Def_Processes[TC_Configuration],,0,)</f>
        <v>#N/A</v>
      </c>
      <c r="G37" s="14" t="e">
        <f>_xlfn.XLOOKUP($D37,Tab_Def_Processes[Process_Name],Tab_Def_Processes[Stock_Configuration],,0,)</f>
        <v>#N/A</v>
      </c>
      <c r="H37" s="14" t="e">
        <f>_xlfn.XLOOKUP($D37,Tab_Def_Processes[Process_Name],Tab_Def_Processes[Outflow_count],,0,)</f>
        <v>#N/A</v>
      </c>
      <c r="I37" s="18" t="s">
        <v>5</v>
      </c>
      <c r="J37" s="2" t="str">
        <f>_xlfn.XLOOKUP($I37,Tab_Def_Flows[Flow_Name],Tab_Def_Flows[Flow_ID],,0,1)</f>
        <v>F__</v>
      </c>
      <c r="K37" s="3"/>
      <c r="L37" s="11" t="str">
        <f t="shared" si="1"/>
        <v>TC_E1_F__</v>
      </c>
      <c r="M37" s="20"/>
      <c r="N37" s="11" t="str">
        <f t="shared" si="2"/>
        <v>TC_E2_F__</v>
      </c>
      <c r="O37" s="20"/>
      <c r="P37" s="11" t="str">
        <f t="shared" si="3"/>
        <v>TC_E3_F__</v>
      </c>
      <c r="Q37" s="20"/>
      <c r="R37" s="11" t="str">
        <f t="shared" si="4"/>
        <v>TC_E4_F__</v>
      </c>
      <c r="S37" s="3"/>
      <c r="T37" s="11" t="str">
        <f t="shared" si="5"/>
        <v>TC_E5_F__</v>
      </c>
      <c r="U37" s="3"/>
      <c r="V37" s="11" t="str">
        <f t="shared" si="6"/>
        <v>TC_E6_F__</v>
      </c>
      <c r="W37" s="3"/>
      <c r="X37" s="9"/>
      <c r="Y37" s="9"/>
      <c r="Z37" s="9"/>
      <c r="AA37" s="9"/>
    </row>
    <row r="38" spans="1:27" x14ac:dyDescent="0.25">
      <c r="A38" s="22" t="b">
        <v>0</v>
      </c>
      <c r="B38" s="2">
        <f t="shared" si="7"/>
        <v>37</v>
      </c>
      <c r="C38" s="14" t="e">
        <f>_xlfn.XLOOKUP($D38,Tab_Def_Processes[Process_Name],Tab_Def_Processes[Process_ID],,0,)</f>
        <v>#N/A</v>
      </c>
      <c r="D38" s="18" t="s">
        <v>5</v>
      </c>
      <c r="E38" s="14" t="e">
        <f>_xlfn.XLOOKUP($D38,Tab_Def_Processes[Process_Name],Tab_Def_Processes[Process_Logic],,0,)</f>
        <v>#N/A</v>
      </c>
      <c r="F38" s="14" t="e">
        <f>_xlfn.XLOOKUP($D38,Tab_Def_Processes[Process_Name],Tab_Def_Processes[TC_Configuration],,0,)</f>
        <v>#N/A</v>
      </c>
      <c r="G38" s="14" t="e">
        <f>_xlfn.XLOOKUP($D38,Tab_Def_Processes[Process_Name],Tab_Def_Processes[Stock_Configuration],,0,)</f>
        <v>#N/A</v>
      </c>
      <c r="H38" s="14" t="e">
        <f>_xlfn.XLOOKUP($D38,Tab_Def_Processes[Process_Name],Tab_Def_Processes[Outflow_count],,0,)</f>
        <v>#N/A</v>
      </c>
      <c r="I38" s="18" t="s">
        <v>5</v>
      </c>
      <c r="J38" s="2" t="str">
        <f>_xlfn.XLOOKUP($I38,Tab_Def_Flows[Flow_Name],Tab_Def_Flows[Flow_ID],,0,1)</f>
        <v>F__</v>
      </c>
      <c r="K38" s="3"/>
      <c r="L38" s="11" t="str">
        <f t="shared" si="1"/>
        <v>TC_E1_F__</v>
      </c>
      <c r="M38" s="20"/>
      <c r="N38" s="11" t="str">
        <f t="shared" si="2"/>
        <v>TC_E2_F__</v>
      </c>
      <c r="O38" s="20"/>
      <c r="P38" s="11" t="str">
        <f t="shared" si="3"/>
        <v>TC_E3_F__</v>
      </c>
      <c r="Q38" s="20"/>
      <c r="R38" s="11" t="str">
        <f t="shared" si="4"/>
        <v>TC_E4_F__</v>
      </c>
      <c r="S38" s="3"/>
      <c r="T38" s="11" t="str">
        <f t="shared" si="5"/>
        <v>TC_E5_F__</v>
      </c>
      <c r="U38" s="3"/>
      <c r="V38" s="11" t="str">
        <f t="shared" si="6"/>
        <v>TC_E6_F__</v>
      </c>
      <c r="W38" s="3"/>
      <c r="X38" s="9"/>
      <c r="Y38" s="9"/>
      <c r="Z38" s="9"/>
      <c r="AA38" s="9"/>
    </row>
    <row r="39" spans="1:27" x14ac:dyDescent="0.25">
      <c r="A39" s="22" t="b">
        <v>0</v>
      </c>
      <c r="B39" s="2">
        <f t="shared" si="7"/>
        <v>38</v>
      </c>
      <c r="C39" s="14" t="e">
        <f>_xlfn.XLOOKUP($D39,Tab_Def_Processes[Process_Name],Tab_Def_Processes[Process_ID],,0,)</f>
        <v>#N/A</v>
      </c>
      <c r="D39" s="18" t="s">
        <v>5</v>
      </c>
      <c r="E39" s="14" t="e">
        <f>_xlfn.XLOOKUP($D39,Tab_Def_Processes[Process_Name],Tab_Def_Processes[Process_Logic],,0,)</f>
        <v>#N/A</v>
      </c>
      <c r="F39" s="14" t="e">
        <f>_xlfn.XLOOKUP($D39,Tab_Def_Processes[Process_Name],Tab_Def_Processes[TC_Configuration],,0,)</f>
        <v>#N/A</v>
      </c>
      <c r="G39" s="14" t="e">
        <f>_xlfn.XLOOKUP($D39,Tab_Def_Processes[Process_Name],Tab_Def_Processes[Stock_Configuration],,0,)</f>
        <v>#N/A</v>
      </c>
      <c r="H39" s="14" t="e">
        <f>_xlfn.XLOOKUP($D39,Tab_Def_Processes[Process_Name],Tab_Def_Processes[Outflow_count],,0,)</f>
        <v>#N/A</v>
      </c>
      <c r="I39" s="18" t="s">
        <v>5</v>
      </c>
      <c r="J39" s="2" t="str">
        <f>_xlfn.XLOOKUP($I39,Tab_Def_Flows[Flow_Name],Tab_Def_Flows[Flow_ID],,0,1)</f>
        <v>F__</v>
      </c>
      <c r="K39" s="3"/>
      <c r="L39" s="11" t="str">
        <f t="shared" si="1"/>
        <v>TC_E1_F__</v>
      </c>
      <c r="M39" s="20"/>
      <c r="N39" s="11" t="str">
        <f t="shared" si="2"/>
        <v>TC_E2_F__</v>
      </c>
      <c r="O39" s="20"/>
      <c r="P39" s="11" t="str">
        <f t="shared" si="3"/>
        <v>TC_E3_F__</v>
      </c>
      <c r="Q39" s="20"/>
      <c r="R39" s="11" t="str">
        <f t="shared" si="4"/>
        <v>TC_E4_F__</v>
      </c>
      <c r="S39" s="3"/>
      <c r="T39" s="11" t="str">
        <f t="shared" si="5"/>
        <v>TC_E5_F__</v>
      </c>
      <c r="U39" s="3"/>
      <c r="V39" s="11" t="str">
        <f t="shared" si="6"/>
        <v>TC_E6_F__</v>
      </c>
      <c r="W39" s="3"/>
      <c r="X39" s="9"/>
      <c r="Y39" s="9"/>
      <c r="Z39" s="9"/>
      <c r="AA39" s="9"/>
    </row>
    <row r="40" spans="1:27" x14ac:dyDescent="0.25">
      <c r="A40" s="22" t="b">
        <v>0</v>
      </c>
      <c r="B40" s="2">
        <f t="shared" si="7"/>
        <v>39</v>
      </c>
      <c r="C40" s="14" t="e">
        <f>_xlfn.XLOOKUP($D40,Tab_Def_Processes[Process_Name],Tab_Def_Processes[Process_ID],,0,)</f>
        <v>#N/A</v>
      </c>
      <c r="D40" s="18" t="s">
        <v>5</v>
      </c>
      <c r="E40" s="14" t="e">
        <f>_xlfn.XLOOKUP($D40,Tab_Def_Processes[Process_Name],Tab_Def_Processes[Process_Logic],,0,)</f>
        <v>#N/A</v>
      </c>
      <c r="F40" s="14" t="e">
        <f>_xlfn.XLOOKUP($D40,Tab_Def_Processes[Process_Name],Tab_Def_Processes[TC_Configuration],,0,)</f>
        <v>#N/A</v>
      </c>
      <c r="G40" s="14" t="e">
        <f>_xlfn.XLOOKUP($D40,Tab_Def_Processes[Process_Name],Tab_Def_Processes[Stock_Configuration],,0,)</f>
        <v>#N/A</v>
      </c>
      <c r="H40" s="14" t="e">
        <f>_xlfn.XLOOKUP($D40,Tab_Def_Processes[Process_Name],Tab_Def_Processes[Outflow_count],,0,)</f>
        <v>#N/A</v>
      </c>
      <c r="I40" s="18" t="s">
        <v>5</v>
      </c>
      <c r="J40" s="2" t="str">
        <f>_xlfn.XLOOKUP($I40,Tab_Def_Flows[Flow_Name],Tab_Def_Flows[Flow_ID],,0,1)</f>
        <v>F__</v>
      </c>
      <c r="K40" s="3"/>
      <c r="L40" s="11" t="str">
        <f t="shared" si="1"/>
        <v>TC_E1_F__</v>
      </c>
      <c r="M40" s="20"/>
      <c r="N40" s="11" t="str">
        <f t="shared" si="2"/>
        <v>TC_E2_F__</v>
      </c>
      <c r="O40" s="20"/>
      <c r="P40" s="11" t="str">
        <f t="shared" si="3"/>
        <v>TC_E3_F__</v>
      </c>
      <c r="Q40" s="20"/>
      <c r="R40" s="11" t="str">
        <f t="shared" si="4"/>
        <v>TC_E4_F__</v>
      </c>
      <c r="S40" s="3"/>
      <c r="T40" s="11" t="str">
        <f t="shared" si="5"/>
        <v>TC_E5_F__</v>
      </c>
      <c r="U40" s="3"/>
      <c r="V40" s="11" t="str">
        <f t="shared" si="6"/>
        <v>TC_E6_F__</v>
      </c>
      <c r="W40" s="3"/>
      <c r="X40" s="9"/>
      <c r="Y40" s="9"/>
      <c r="Z40" s="9"/>
      <c r="AA40" s="9"/>
    </row>
    <row r="41" spans="1:27" x14ac:dyDescent="0.25">
      <c r="A41" s="22" t="b">
        <v>0</v>
      </c>
      <c r="B41" s="2">
        <f t="shared" si="7"/>
        <v>40</v>
      </c>
      <c r="C41" s="14" t="e">
        <f>_xlfn.XLOOKUP($D41,Tab_Def_Processes[Process_Name],Tab_Def_Processes[Process_ID],,0,)</f>
        <v>#N/A</v>
      </c>
      <c r="D41" s="18" t="s">
        <v>5</v>
      </c>
      <c r="E41" s="14" t="e">
        <f>_xlfn.XLOOKUP($D41,Tab_Def_Processes[Process_Name],Tab_Def_Processes[Process_Logic],,0,)</f>
        <v>#N/A</v>
      </c>
      <c r="F41" s="14" t="e">
        <f>_xlfn.XLOOKUP($D41,Tab_Def_Processes[Process_Name],Tab_Def_Processes[TC_Configuration],,0,)</f>
        <v>#N/A</v>
      </c>
      <c r="G41" s="14" t="e">
        <f>_xlfn.XLOOKUP($D41,Tab_Def_Processes[Process_Name],Tab_Def_Processes[Stock_Configuration],,0,)</f>
        <v>#N/A</v>
      </c>
      <c r="H41" s="14" t="e">
        <f>_xlfn.XLOOKUP($D41,Tab_Def_Processes[Process_Name],Tab_Def_Processes[Outflow_count],,0,)</f>
        <v>#N/A</v>
      </c>
      <c r="I41" s="18" t="s">
        <v>5</v>
      </c>
      <c r="J41" s="2" t="str">
        <f>_xlfn.XLOOKUP($I41,Tab_Def_Flows[Flow_Name],Tab_Def_Flows[Flow_ID],,0,1)</f>
        <v>F__</v>
      </c>
      <c r="K41" s="3"/>
      <c r="L41" s="11" t="str">
        <f t="shared" si="1"/>
        <v>TC_E1_F__</v>
      </c>
      <c r="M41" s="20"/>
      <c r="N41" s="11" t="str">
        <f t="shared" si="2"/>
        <v>TC_E2_F__</v>
      </c>
      <c r="O41" s="20"/>
      <c r="P41" s="11" t="str">
        <f t="shared" si="3"/>
        <v>TC_E3_F__</v>
      </c>
      <c r="Q41" s="20"/>
      <c r="R41" s="11" t="str">
        <f t="shared" si="4"/>
        <v>TC_E4_F__</v>
      </c>
      <c r="S41" s="3"/>
      <c r="T41" s="11" t="str">
        <f t="shared" si="5"/>
        <v>TC_E5_F__</v>
      </c>
      <c r="U41" s="3"/>
      <c r="V41" s="11" t="str">
        <f t="shared" si="6"/>
        <v>TC_E6_F__</v>
      </c>
      <c r="W41" s="3"/>
      <c r="X41" s="9"/>
      <c r="Y41" s="9"/>
      <c r="Z41" s="9"/>
      <c r="AA41" s="9"/>
    </row>
    <row r="42" spans="1:27" x14ac:dyDescent="0.25">
      <c r="A42" s="22" t="b">
        <v>0</v>
      </c>
      <c r="B42" s="2">
        <f t="shared" si="7"/>
        <v>41</v>
      </c>
      <c r="C42" s="14" t="e">
        <f>_xlfn.XLOOKUP($D42,Tab_Def_Processes[Process_Name],Tab_Def_Processes[Process_ID],,0,)</f>
        <v>#N/A</v>
      </c>
      <c r="D42" s="18" t="s">
        <v>5</v>
      </c>
      <c r="E42" s="14" t="e">
        <f>_xlfn.XLOOKUP($D42,Tab_Def_Processes[Process_Name],Tab_Def_Processes[Process_Logic],,0,)</f>
        <v>#N/A</v>
      </c>
      <c r="F42" s="14" t="e">
        <f>_xlfn.XLOOKUP($D42,Tab_Def_Processes[Process_Name],Tab_Def_Processes[TC_Configuration],,0,)</f>
        <v>#N/A</v>
      </c>
      <c r="G42" s="14" t="e">
        <f>_xlfn.XLOOKUP($D42,Tab_Def_Processes[Process_Name],Tab_Def_Processes[Stock_Configuration],,0,)</f>
        <v>#N/A</v>
      </c>
      <c r="H42" s="14" t="e">
        <f>_xlfn.XLOOKUP($D42,Tab_Def_Processes[Process_Name],Tab_Def_Processes[Outflow_count],,0,)</f>
        <v>#N/A</v>
      </c>
      <c r="I42" s="18" t="s">
        <v>5</v>
      </c>
      <c r="J42" s="2" t="str">
        <f>_xlfn.XLOOKUP($I42,Tab_Def_Flows[Flow_Name],Tab_Def_Flows[Flow_ID],,0,1)</f>
        <v>F__</v>
      </c>
      <c r="K42" s="3"/>
      <c r="L42" s="11" t="str">
        <f t="shared" si="1"/>
        <v>TC_E1_F__</v>
      </c>
      <c r="M42" s="20"/>
      <c r="N42" s="11" t="str">
        <f t="shared" si="2"/>
        <v>TC_E2_F__</v>
      </c>
      <c r="O42" s="20"/>
      <c r="P42" s="11" t="str">
        <f t="shared" si="3"/>
        <v>TC_E3_F__</v>
      </c>
      <c r="Q42" s="20"/>
      <c r="R42" s="11" t="str">
        <f t="shared" si="4"/>
        <v>TC_E4_F__</v>
      </c>
      <c r="S42" s="3"/>
      <c r="T42" s="11" t="str">
        <f t="shared" si="5"/>
        <v>TC_E5_F__</v>
      </c>
      <c r="U42" s="3"/>
      <c r="V42" s="11" t="str">
        <f t="shared" si="6"/>
        <v>TC_E6_F__</v>
      </c>
      <c r="W42" s="3"/>
      <c r="X42" s="9"/>
      <c r="Y42" s="9"/>
      <c r="Z42" s="9"/>
      <c r="AA42" s="9"/>
    </row>
    <row r="43" spans="1:27" x14ac:dyDescent="0.25">
      <c r="A43" s="22" t="b">
        <v>0</v>
      </c>
      <c r="B43" s="2">
        <f t="shared" si="7"/>
        <v>42</v>
      </c>
      <c r="C43" s="14" t="e">
        <f>_xlfn.XLOOKUP($D43,Tab_Def_Processes[Process_Name],Tab_Def_Processes[Process_ID],,0,)</f>
        <v>#N/A</v>
      </c>
      <c r="D43" s="18" t="s">
        <v>5</v>
      </c>
      <c r="E43" s="14" t="e">
        <f>_xlfn.XLOOKUP($D43,Tab_Def_Processes[Process_Name],Tab_Def_Processes[Process_Logic],,0,)</f>
        <v>#N/A</v>
      </c>
      <c r="F43" s="14" t="e">
        <f>_xlfn.XLOOKUP($D43,Tab_Def_Processes[Process_Name],Tab_Def_Processes[TC_Configuration],,0,)</f>
        <v>#N/A</v>
      </c>
      <c r="G43" s="14" t="e">
        <f>_xlfn.XLOOKUP($D43,Tab_Def_Processes[Process_Name],Tab_Def_Processes[Stock_Configuration],,0,)</f>
        <v>#N/A</v>
      </c>
      <c r="H43" s="14" t="e">
        <f>_xlfn.XLOOKUP($D43,Tab_Def_Processes[Process_Name],Tab_Def_Processes[Outflow_count],,0,)</f>
        <v>#N/A</v>
      </c>
      <c r="I43" s="18" t="s">
        <v>5</v>
      </c>
      <c r="J43" s="2" t="str">
        <f>_xlfn.XLOOKUP($I43,Tab_Def_Flows[Flow_Name],Tab_Def_Flows[Flow_ID],,0,1)</f>
        <v>F__</v>
      </c>
      <c r="K43" s="3"/>
      <c r="L43" s="11" t="str">
        <f t="shared" si="1"/>
        <v>TC_E1_F__</v>
      </c>
      <c r="M43" s="20"/>
      <c r="N43" s="11" t="str">
        <f t="shared" si="2"/>
        <v>TC_E2_F__</v>
      </c>
      <c r="O43" s="20"/>
      <c r="P43" s="11" t="str">
        <f t="shared" si="3"/>
        <v>TC_E3_F__</v>
      </c>
      <c r="Q43" s="20"/>
      <c r="R43" s="11" t="str">
        <f t="shared" si="4"/>
        <v>TC_E4_F__</v>
      </c>
      <c r="S43" s="3"/>
      <c r="T43" s="11" t="str">
        <f t="shared" si="5"/>
        <v>TC_E5_F__</v>
      </c>
      <c r="U43" s="3"/>
      <c r="V43" s="11" t="str">
        <f t="shared" si="6"/>
        <v>TC_E6_F__</v>
      </c>
      <c r="W43" s="3"/>
      <c r="X43" s="9"/>
      <c r="Y43" s="9"/>
      <c r="Z43" s="9"/>
      <c r="AA43" s="9"/>
    </row>
    <row r="44" spans="1:27" x14ac:dyDescent="0.25">
      <c r="A44" s="22" t="b">
        <v>0</v>
      </c>
      <c r="B44" s="2">
        <f t="shared" si="7"/>
        <v>43</v>
      </c>
      <c r="C44" s="14" t="e">
        <f>_xlfn.XLOOKUP($D44,Tab_Def_Processes[Process_Name],Tab_Def_Processes[Process_ID],,0,)</f>
        <v>#N/A</v>
      </c>
      <c r="D44" s="18" t="s">
        <v>5</v>
      </c>
      <c r="E44" s="14" t="e">
        <f>_xlfn.XLOOKUP($D44,Tab_Def_Processes[Process_Name],Tab_Def_Processes[Process_Logic],,0,)</f>
        <v>#N/A</v>
      </c>
      <c r="F44" s="14" t="e">
        <f>_xlfn.XLOOKUP($D44,Tab_Def_Processes[Process_Name],Tab_Def_Processes[TC_Configuration],,0,)</f>
        <v>#N/A</v>
      </c>
      <c r="G44" s="14" t="e">
        <f>_xlfn.XLOOKUP($D44,Tab_Def_Processes[Process_Name],Tab_Def_Processes[Stock_Configuration],,0,)</f>
        <v>#N/A</v>
      </c>
      <c r="H44" s="14" t="e">
        <f>_xlfn.XLOOKUP($D44,Tab_Def_Processes[Process_Name],Tab_Def_Processes[Outflow_count],,0,)</f>
        <v>#N/A</v>
      </c>
      <c r="I44" s="18" t="s">
        <v>5</v>
      </c>
      <c r="J44" s="2" t="str">
        <f>_xlfn.XLOOKUP($I44,Tab_Def_Flows[Flow_Name],Tab_Def_Flows[Flow_ID],,0,1)</f>
        <v>F__</v>
      </c>
      <c r="K44" s="3"/>
      <c r="L44" s="11" t="str">
        <f t="shared" si="1"/>
        <v>TC_E1_F__</v>
      </c>
      <c r="M44" s="20"/>
      <c r="N44" s="11" t="str">
        <f t="shared" si="2"/>
        <v>TC_E2_F__</v>
      </c>
      <c r="O44" s="20"/>
      <c r="P44" s="11" t="str">
        <f t="shared" si="3"/>
        <v>TC_E3_F__</v>
      </c>
      <c r="Q44" s="20"/>
      <c r="R44" s="11" t="str">
        <f t="shared" si="4"/>
        <v>TC_E4_F__</v>
      </c>
      <c r="S44" s="3"/>
      <c r="T44" s="11" t="str">
        <f t="shared" si="5"/>
        <v>TC_E5_F__</v>
      </c>
      <c r="U44" s="3"/>
      <c r="V44" s="11" t="str">
        <f t="shared" si="6"/>
        <v>TC_E6_F__</v>
      </c>
      <c r="W44" s="3"/>
      <c r="X44" s="9"/>
      <c r="Y44" s="9"/>
      <c r="Z44" s="9"/>
      <c r="AA44" s="9"/>
    </row>
    <row r="45" spans="1:27" x14ac:dyDescent="0.25">
      <c r="A45" s="22" t="b">
        <v>0</v>
      </c>
      <c r="B45" s="2">
        <f t="shared" si="7"/>
        <v>44</v>
      </c>
      <c r="C45" s="14" t="e">
        <f>_xlfn.XLOOKUP($D45,Tab_Def_Processes[Process_Name],Tab_Def_Processes[Process_ID],,0,)</f>
        <v>#N/A</v>
      </c>
      <c r="D45" s="18" t="s">
        <v>5</v>
      </c>
      <c r="E45" s="14" t="e">
        <f>_xlfn.XLOOKUP($D45,Tab_Def_Processes[Process_Name],Tab_Def_Processes[Process_Logic],,0,)</f>
        <v>#N/A</v>
      </c>
      <c r="F45" s="14" t="e">
        <f>_xlfn.XLOOKUP($D45,Tab_Def_Processes[Process_Name],Tab_Def_Processes[TC_Configuration],,0,)</f>
        <v>#N/A</v>
      </c>
      <c r="G45" s="14" t="e">
        <f>_xlfn.XLOOKUP($D45,Tab_Def_Processes[Process_Name],Tab_Def_Processes[Stock_Configuration],,0,)</f>
        <v>#N/A</v>
      </c>
      <c r="H45" s="14" t="e">
        <f>_xlfn.XLOOKUP($D45,Tab_Def_Processes[Process_Name],Tab_Def_Processes[Outflow_count],,0,)</f>
        <v>#N/A</v>
      </c>
      <c r="I45" s="18" t="s">
        <v>5</v>
      </c>
      <c r="J45" s="2" t="str">
        <f>_xlfn.XLOOKUP($I45,Tab_Def_Flows[Flow_Name],Tab_Def_Flows[Flow_ID],,0,1)</f>
        <v>F__</v>
      </c>
      <c r="K45" s="3"/>
      <c r="L45" s="11" t="str">
        <f t="shared" si="1"/>
        <v>TC_E1_F__</v>
      </c>
      <c r="M45" s="20"/>
      <c r="N45" s="11" t="str">
        <f t="shared" si="2"/>
        <v>TC_E2_F__</v>
      </c>
      <c r="O45" s="20"/>
      <c r="P45" s="11" t="str">
        <f t="shared" si="3"/>
        <v>TC_E3_F__</v>
      </c>
      <c r="Q45" s="20"/>
      <c r="R45" s="11" t="str">
        <f t="shared" si="4"/>
        <v>TC_E4_F__</v>
      </c>
      <c r="S45" s="3"/>
      <c r="T45" s="11" t="str">
        <f t="shared" si="5"/>
        <v>TC_E5_F__</v>
      </c>
      <c r="U45" s="3"/>
      <c r="V45" s="11" t="str">
        <f t="shared" si="6"/>
        <v>TC_E6_F__</v>
      </c>
      <c r="W45" s="3"/>
      <c r="X45" s="9"/>
      <c r="Y45" s="9"/>
      <c r="Z45" s="9"/>
      <c r="AA45" s="9"/>
    </row>
    <row r="46" spans="1:27" x14ac:dyDescent="0.25">
      <c r="A46" s="22" t="b">
        <v>0</v>
      </c>
      <c r="B46" s="2">
        <f t="shared" si="7"/>
        <v>45</v>
      </c>
      <c r="C46" s="14" t="e">
        <f>_xlfn.XLOOKUP($D46,Tab_Def_Processes[Process_Name],Tab_Def_Processes[Process_ID],,0,)</f>
        <v>#N/A</v>
      </c>
      <c r="D46" s="18" t="s">
        <v>5</v>
      </c>
      <c r="E46" s="14" t="e">
        <f>_xlfn.XLOOKUP($D46,Tab_Def_Processes[Process_Name],Tab_Def_Processes[Process_Logic],,0,)</f>
        <v>#N/A</v>
      </c>
      <c r="F46" s="14" t="e">
        <f>_xlfn.XLOOKUP($D46,Tab_Def_Processes[Process_Name],Tab_Def_Processes[TC_Configuration],,0,)</f>
        <v>#N/A</v>
      </c>
      <c r="G46" s="14" t="e">
        <f>_xlfn.XLOOKUP($D46,Tab_Def_Processes[Process_Name],Tab_Def_Processes[Stock_Configuration],,0,)</f>
        <v>#N/A</v>
      </c>
      <c r="H46" s="14" t="e">
        <f>_xlfn.XLOOKUP($D46,Tab_Def_Processes[Process_Name],Tab_Def_Processes[Outflow_count],,0,)</f>
        <v>#N/A</v>
      </c>
      <c r="I46" s="18" t="s">
        <v>5</v>
      </c>
      <c r="J46" s="2" t="str">
        <f>_xlfn.XLOOKUP($I46,Tab_Def_Flows[Flow_Name],Tab_Def_Flows[Flow_ID],,0,1)</f>
        <v>F__</v>
      </c>
      <c r="K46" s="3"/>
      <c r="L46" s="11" t="str">
        <f t="shared" si="1"/>
        <v>TC_E1_F__</v>
      </c>
      <c r="M46" s="20"/>
      <c r="N46" s="11" t="str">
        <f t="shared" si="2"/>
        <v>TC_E2_F__</v>
      </c>
      <c r="O46" s="20"/>
      <c r="P46" s="11" t="str">
        <f t="shared" si="3"/>
        <v>TC_E3_F__</v>
      </c>
      <c r="Q46" s="20"/>
      <c r="R46" s="11" t="str">
        <f t="shared" si="4"/>
        <v>TC_E4_F__</v>
      </c>
      <c r="S46" s="3"/>
      <c r="T46" s="11" t="str">
        <f t="shared" si="5"/>
        <v>TC_E5_F__</v>
      </c>
      <c r="U46" s="3"/>
      <c r="V46" s="11" t="str">
        <f t="shared" si="6"/>
        <v>TC_E6_F__</v>
      </c>
      <c r="W46" s="3"/>
      <c r="X46" s="9"/>
      <c r="Y46" s="9"/>
      <c r="Z46" s="9"/>
      <c r="AA46" s="9"/>
    </row>
    <row r="47" spans="1:27" x14ac:dyDescent="0.25">
      <c r="A47" s="22" t="b">
        <v>0</v>
      </c>
      <c r="B47" s="2">
        <f t="shared" si="7"/>
        <v>46</v>
      </c>
      <c r="C47" s="14" t="e">
        <f>_xlfn.XLOOKUP($D47,Tab_Def_Processes[Process_Name],Tab_Def_Processes[Process_ID],,0,)</f>
        <v>#N/A</v>
      </c>
      <c r="D47" s="18" t="s">
        <v>5</v>
      </c>
      <c r="E47" s="14" t="e">
        <f>_xlfn.XLOOKUP($D47,Tab_Def_Processes[Process_Name],Tab_Def_Processes[Process_Logic],,0,)</f>
        <v>#N/A</v>
      </c>
      <c r="F47" s="14" t="e">
        <f>_xlfn.XLOOKUP($D47,Tab_Def_Processes[Process_Name],Tab_Def_Processes[TC_Configuration],,0,)</f>
        <v>#N/A</v>
      </c>
      <c r="G47" s="14" t="e">
        <f>_xlfn.XLOOKUP($D47,Tab_Def_Processes[Process_Name],Tab_Def_Processes[Stock_Configuration],,0,)</f>
        <v>#N/A</v>
      </c>
      <c r="H47" s="14" t="e">
        <f>_xlfn.XLOOKUP($D47,Tab_Def_Processes[Process_Name],Tab_Def_Processes[Outflow_count],,0,)</f>
        <v>#N/A</v>
      </c>
      <c r="I47" s="18" t="s">
        <v>5</v>
      </c>
      <c r="J47" s="2" t="str">
        <f>_xlfn.XLOOKUP($I47,Tab_Def_Flows[Flow_Name],Tab_Def_Flows[Flow_ID],,0,1)</f>
        <v>F__</v>
      </c>
      <c r="K47" s="3"/>
      <c r="L47" s="11" t="str">
        <f t="shared" si="1"/>
        <v>TC_E1_F__</v>
      </c>
      <c r="M47" s="20"/>
      <c r="N47" s="11" t="str">
        <f t="shared" si="2"/>
        <v>TC_E2_F__</v>
      </c>
      <c r="O47" s="20"/>
      <c r="P47" s="11" t="str">
        <f t="shared" si="3"/>
        <v>TC_E3_F__</v>
      </c>
      <c r="Q47" s="20"/>
      <c r="R47" s="11" t="str">
        <f t="shared" si="4"/>
        <v>TC_E4_F__</v>
      </c>
      <c r="S47" s="3"/>
      <c r="T47" s="11" t="str">
        <f t="shared" si="5"/>
        <v>TC_E5_F__</v>
      </c>
      <c r="U47" s="3"/>
      <c r="V47" s="11" t="str">
        <f t="shared" si="6"/>
        <v>TC_E6_F__</v>
      </c>
      <c r="W47" s="3"/>
      <c r="X47" s="9"/>
      <c r="Y47" s="9"/>
      <c r="Z47" s="9"/>
      <c r="AA47" s="9"/>
    </row>
    <row r="48" spans="1:27" x14ac:dyDescent="0.25">
      <c r="A48" s="22" t="b">
        <v>0</v>
      </c>
      <c r="B48" s="2">
        <f t="shared" si="7"/>
        <v>47</v>
      </c>
      <c r="C48" s="14" t="e">
        <f>_xlfn.XLOOKUP($D48,Tab_Def_Processes[Process_Name],Tab_Def_Processes[Process_ID],,0,)</f>
        <v>#N/A</v>
      </c>
      <c r="D48" s="18" t="s">
        <v>5</v>
      </c>
      <c r="E48" s="14" t="e">
        <f>_xlfn.XLOOKUP($D48,Tab_Def_Processes[Process_Name],Tab_Def_Processes[Process_Logic],,0,)</f>
        <v>#N/A</v>
      </c>
      <c r="F48" s="14" t="e">
        <f>_xlfn.XLOOKUP($D48,Tab_Def_Processes[Process_Name],Tab_Def_Processes[TC_Configuration],,0,)</f>
        <v>#N/A</v>
      </c>
      <c r="G48" s="14" t="e">
        <f>_xlfn.XLOOKUP($D48,Tab_Def_Processes[Process_Name],Tab_Def_Processes[Stock_Configuration],,0,)</f>
        <v>#N/A</v>
      </c>
      <c r="H48" s="14" t="e">
        <f>_xlfn.XLOOKUP($D48,Tab_Def_Processes[Process_Name],Tab_Def_Processes[Outflow_count],,0,)</f>
        <v>#N/A</v>
      </c>
      <c r="I48" s="18" t="s">
        <v>5</v>
      </c>
      <c r="J48" s="2" t="str">
        <f>_xlfn.XLOOKUP($I48,Tab_Def_Flows[Flow_Name],Tab_Def_Flows[Flow_ID],,0,1)</f>
        <v>F__</v>
      </c>
      <c r="K48" s="3"/>
      <c r="L48" s="11" t="str">
        <f t="shared" si="1"/>
        <v>TC_E1_F__</v>
      </c>
      <c r="M48" s="20"/>
      <c r="N48" s="11" t="str">
        <f t="shared" si="2"/>
        <v>TC_E2_F__</v>
      </c>
      <c r="O48" s="20"/>
      <c r="P48" s="11" t="str">
        <f t="shared" si="3"/>
        <v>TC_E3_F__</v>
      </c>
      <c r="Q48" s="20"/>
      <c r="R48" s="11" t="str">
        <f t="shared" si="4"/>
        <v>TC_E4_F__</v>
      </c>
      <c r="S48" s="3"/>
      <c r="T48" s="11" t="str">
        <f t="shared" si="5"/>
        <v>TC_E5_F__</v>
      </c>
      <c r="U48" s="3"/>
      <c r="V48" s="11" t="str">
        <f t="shared" si="6"/>
        <v>TC_E6_F__</v>
      </c>
      <c r="W48" s="3"/>
      <c r="X48" s="9"/>
      <c r="Y48" s="9"/>
      <c r="Z48" s="9"/>
      <c r="AA48" s="9"/>
    </row>
    <row r="49" spans="1:27" x14ac:dyDescent="0.25">
      <c r="A49" s="22" t="b">
        <v>0</v>
      </c>
      <c r="B49" s="2">
        <f t="shared" si="7"/>
        <v>48</v>
      </c>
      <c r="C49" s="14" t="e">
        <f>_xlfn.XLOOKUP($D49,Tab_Def_Processes[Process_Name],Tab_Def_Processes[Process_ID],,0,)</f>
        <v>#N/A</v>
      </c>
      <c r="D49" s="18" t="s">
        <v>5</v>
      </c>
      <c r="E49" s="14" t="e">
        <f>_xlfn.XLOOKUP($D49,Tab_Def_Processes[Process_Name],Tab_Def_Processes[Process_Logic],,0,)</f>
        <v>#N/A</v>
      </c>
      <c r="F49" s="14" t="e">
        <f>_xlfn.XLOOKUP($D49,Tab_Def_Processes[Process_Name],Tab_Def_Processes[TC_Configuration],,0,)</f>
        <v>#N/A</v>
      </c>
      <c r="G49" s="14" t="e">
        <f>_xlfn.XLOOKUP($D49,Tab_Def_Processes[Process_Name],Tab_Def_Processes[Stock_Configuration],,0,)</f>
        <v>#N/A</v>
      </c>
      <c r="H49" s="14" t="e">
        <f>_xlfn.XLOOKUP($D49,Tab_Def_Processes[Process_Name],Tab_Def_Processes[Outflow_count],,0,)</f>
        <v>#N/A</v>
      </c>
      <c r="I49" s="18" t="s">
        <v>5</v>
      </c>
      <c r="J49" s="2" t="str">
        <f>_xlfn.XLOOKUP($I49,Tab_Def_Flows[Flow_Name],Tab_Def_Flows[Flow_ID],,0,1)</f>
        <v>F__</v>
      </c>
      <c r="K49" s="3"/>
      <c r="L49" s="11" t="str">
        <f t="shared" si="1"/>
        <v>TC_E1_F__</v>
      </c>
      <c r="M49" s="20"/>
      <c r="N49" s="11" t="str">
        <f t="shared" si="2"/>
        <v>TC_E2_F__</v>
      </c>
      <c r="O49" s="20"/>
      <c r="P49" s="11" t="str">
        <f t="shared" si="3"/>
        <v>TC_E3_F__</v>
      </c>
      <c r="Q49" s="20"/>
      <c r="R49" s="11" t="str">
        <f t="shared" si="4"/>
        <v>TC_E4_F__</v>
      </c>
      <c r="S49" s="3"/>
      <c r="T49" s="11" t="str">
        <f t="shared" si="5"/>
        <v>TC_E5_F__</v>
      </c>
      <c r="U49" s="3"/>
      <c r="V49" s="11" t="str">
        <f t="shared" si="6"/>
        <v>TC_E6_F__</v>
      </c>
      <c r="W49" s="3"/>
      <c r="X49" s="9"/>
      <c r="Y49" s="9"/>
      <c r="Z49" s="9"/>
      <c r="AA49" s="9"/>
    </row>
    <row r="50" spans="1:27" x14ac:dyDescent="0.25">
      <c r="A50" s="22" t="b">
        <v>0</v>
      </c>
      <c r="B50" s="2">
        <f t="shared" si="7"/>
        <v>49</v>
      </c>
      <c r="C50" s="14" t="e">
        <f>_xlfn.XLOOKUP($D50,Tab_Def_Processes[Process_Name],Tab_Def_Processes[Process_ID],,0,)</f>
        <v>#N/A</v>
      </c>
      <c r="D50" s="18" t="s">
        <v>5</v>
      </c>
      <c r="E50" s="14" t="e">
        <f>_xlfn.XLOOKUP($D50,Tab_Def_Processes[Process_Name],Tab_Def_Processes[Process_Logic],,0,)</f>
        <v>#N/A</v>
      </c>
      <c r="F50" s="14" t="e">
        <f>_xlfn.XLOOKUP($D50,Tab_Def_Processes[Process_Name],Tab_Def_Processes[TC_Configuration],,0,)</f>
        <v>#N/A</v>
      </c>
      <c r="G50" s="14" t="e">
        <f>_xlfn.XLOOKUP($D50,Tab_Def_Processes[Process_Name],Tab_Def_Processes[Stock_Configuration],,0,)</f>
        <v>#N/A</v>
      </c>
      <c r="H50" s="14" t="e">
        <f>_xlfn.XLOOKUP($D50,Tab_Def_Processes[Process_Name],Tab_Def_Processes[Outflow_count],,0,)</f>
        <v>#N/A</v>
      </c>
      <c r="I50" s="18" t="s">
        <v>5</v>
      </c>
      <c r="J50" s="2" t="str">
        <f>_xlfn.XLOOKUP($I50,Tab_Def_Flows[Flow_Name],Tab_Def_Flows[Flow_ID],,0,1)</f>
        <v>F__</v>
      </c>
      <c r="K50" s="3"/>
      <c r="L50" s="11" t="str">
        <f t="shared" si="1"/>
        <v>TC_E1_F__</v>
      </c>
      <c r="M50" s="20"/>
      <c r="N50" s="11" t="str">
        <f t="shared" si="2"/>
        <v>TC_E2_F__</v>
      </c>
      <c r="O50" s="20"/>
      <c r="P50" s="11" t="str">
        <f t="shared" si="3"/>
        <v>TC_E3_F__</v>
      </c>
      <c r="Q50" s="20"/>
      <c r="R50" s="11" t="str">
        <f t="shared" si="4"/>
        <v>TC_E4_F__</v>
      </c>
      <c r="S50" s="3"/>
      <c r="T50" s="11" t="str">
        <f t="shared" si="5"/>
        <v>TC_E5_F__</v>
      </c>
      <c r="U50" s="3"/>
      <c r="V50" s="11" t="str">
        <f t="shared" si="6"/>
        <v>TC_E6_F__</v>
      </c>
      <c r="W50" s="3"/>
      <c r="X50" s="9"/>
      <c r="Y50" s="9"/>
      <c r="Z50" s="9"/>
      <c r="AA50" s="9"/>
    </row>
    <row r="51" spans="1:27" x14ac:dyDescent="0.25">
      <c r="A51" s="22" t="b">
        <v>0</v>
      </c>
      <c r="B51" s="2">
        <f t="shared" si="7"/>
        <v>50</v>
      </c>
      <c r="C51" s="14" t="e">
        <f>_xlfn.XLOOKUP($D51,Tab_Def_Processes[Process_Name],Tab_Def_Processes[Process_ID],,0,)</f>
        <v>#N/A</v>
      </c>
      <c r="D51" s="18" t="s">
        <v>5</v>
      </c>
      <c r="E51" s="14" t="e">
        <f>_xlfn.XLOOKUP($D51,Tab_Def_Processes[Process_Name],Tab_Def_Processes[Process_Logic],,0,)</f>
        <v>#N/A</v>
      </c>
      <c r="F51" s="14" t="e">
        <f>_xlfn.XLOOKUP($D51,Tab_Def_Processes[Process_Name],Tab_Def_Processes[TC_Configuration],,0,)</f>
        <v>#N/A</v>
      </c>
      <c r="G51" s="14" t="e">
        <f>_xlfn.XLOOKUP($D51,Tab_Def_Processes[Process_Name],Tab_Def_Processes[Stock_Configuration],,0,)</f>
        <v>#N/A</v>
      </c>
      <c r="H51" s="14" t="e">
        <f>_xlfn.XLOOKUP($D51,Tab_Def_Processes[Process_Name],Tab_Def_Processes[Outflow_count],,0,)</f>
        <v>#N/A</v>
      </c>
      <c r="I51" s="18" t="s">
        <v>5</v>
      </c>
      <c r="J51" s="2" t="str">
        <f>_xlfn.XLOOKUP($I51,Tab_Def_Flows[Flow_Name],Tab_Def_Flows[Flow_ID],,0,1)</f>
        <v>F__</v>
      </c>
      <c r="K51" s="3"/>
      <c r="L51" s="11" t="str">
        <f t="shared" si="1"/>
        <v>TC_E1_F__</v>
      </c>
      <c r="M51" s="20"/>
      <c r="N51" s="11" t="str">
        <f t="shared" si="2"/>
        <v>TC_E2_F__</v>
      </c>
      <c r="O51" s="20"/>
      <c r="P51" s="11" t="str">
        <f t="shared" si="3"/>
        <v>TC_E3_F__</v>
      </c>
      <c r="Q51" s="20"/>
      <c r="R51" s="11" t="str">
        <f t="shared" si="4"/>
        <v>TC_E4_F__</v>
      </c>
      <c r="S51" s="3"/>
      <c r="T51" s="11" t="str">
        <f t="shared" si="5"/>
        <v>TC_E5_F__</v>
      </c>
      <c r="U51" s="3"/>
      <c r="V51" s="11" t="str">
        <f t="shared" si="6"/>
        <v>TC_E6_F__</v>
      </c>
      <c r="W51" s="3"/>
      <c r="X51" s="9"/>
      <c r="Y51" s="9"/>
      <c r="Z51" s="9"/>
      <c r="AA51" s="9"/>
    </row>
    <row r="52" spans="1:27" x14ac:dyDescent="0.25">
      <c r="A52" s="22" t="b">
        <v>0</v>
      </c>
      <c r="B52" s="2">
        <f t="shared" si="7"/>
        <v>51</v>
      </c>
      <c r="C52" s="14" t="e">
        <f>_xlfn.XLOOKUP($D52,Tab_Def_Processes[Process_Name],Tab_Def_Processes[Process_ID],,0,)</f>
        <v>#N/A</v>
      </c>
      <c r="D52" s="18" t="s">
        <v>5</v>
      </c>
      <c r="E52" s="14" t="e">
        <f>_xlfn.XLOOKUP($D52,Tab_Def_Processes[Process_Name],Tab_Def_Processes[Process_Logic],,0,)</f>
        <v>#N/A</v>
      </c>
      <c r="F52" s="14" t="e">
        <f>_xlfn.XLOOKUP($D52,Tab_Def_Processes[Process_Name],Tab_Def_Processes[TC_Configuration],,0,)</f>
        <v>#N/A</v>
      </c>
      <c r="G52" s="14" t="e">
        <f>_xlfn.XLOOKUP($D52,Tab_Def_Processes[Process_Name],Tab_Def_Processes[Stock_Configuration],,0,)</f>
        <v>#N/A</v>
      </c>
      <c r="H52" s="14" t="e">
        <f>_xlfn.XLOOKUP($D52,Tab_Def_Processes[Process_Name],Tab_Def_Processes[Outflow_count],,0,)</f>
        <v>#N/A</v>
      </c>
      <c r="I52" s="18" t="s">
        <v>5</v>
      </c>
      <c r="J52" s="2" t="str">
        <f>_xlfn.XLOOKUP($I52,Tab_Def_Flows[Flow_Name],Tab_Def_Flows[Flow_ID],,0,1)</f>
        <v>F__</v>
      </c>
      <c r="K52" s="3"/>
      <c r="L52" s="11" t="str">
        <f t="shared" si="1"/>
        <v>TC_E1_F__</v>
      </c>
      <c r="M52" s="20"/>
      <c r="N52" s="11" t="str">
        <f t="shared" si="2"/>
        <v>TC_E2_F__</v>
      </c>
      <c r="O52" s="20"/>
      <c r="P52" s="11" t="str">
        <f t="shared" si="3"/>
        <v>TC_E3_F__</v>
      </c>
      <c r="Q52" s="20"/>
      <c r="R52" s="11" t="str">
        <f t="shared" si="4"/>
        <v>TC_E4_F__</v>
      </c>
      <c r="S52" s="3"/>
      <c r="T52" s="11" t="str">
        <f t="shared" si="5"/>
        <v>TC_E5_F__</v>
      </c>
      <c r="U52" s="3"/>
      <c r="V52" s="11" t="str">
        <f t="shared" si="6"/>
        <v>TC_E6_F__</v>
      </c>
      <c r="W52" s="3"/>
      <c r="X52" s="9"/>
      <c r="Y52" s="9"/>
      <c r="Z52" s="9"/>
      <c r="AA52" s="9"/>
    </row>
    <row r="53" spans="1:27" x14ac:dyDescent="0.25">
      <c r="A53" s="22" t="b">
        <v>0</v>
      </c>
      <c r="B53" s="2">
        <f t="shared" si="7"/>
        <v>52</v>
      </c>
      <c r="C53" s="14" t="e">
        <f>_xlfn.XLOOKUP($D53,Tab_Def_Processes[Process_Name],Tab_Def_Processes[Process_ID],,0,)</f>
        <v>#N/A</v>
      </c>
      <c r="D53" s="18" t="s">
        <v>5</v>
      </c>
      <c r="E53" s="14" t="e">
        <f>_xlfn.XLOOKUP($D53,Tab_Def_Processes[Process_Name],Tab_Def_Processes[Process_Logic],,0,)</f>
        <v>#N/A</v>
      </c>
      <c r="F53" s="14" t="e">
        <f>_xlfn.XLOOKUP($D53,Tab_Def_Processes[Process_Name],Tab_Def_Processes[TC_Configuration],,0,)</f>
        <v>#N/A</v>
      </c>
      <c r="G53" s="14" t="e">
        <f>_xlfn.XLOOKUP($D53,Tab_Def_Processes[Process_Name],Tab_Def_Processes[Stock_Configuration],,0,)</f>
        <v>#N/A</v>
      </c>
      <c r="H53" s="14" t="e">
        <f>_xlfn.XLOOKUP($D53,Tab_Def_Processes[Process_Name],Tab_Def_Processes[Outflow_count],,0,)</f>
        <v>#N/A</v>
      </c>
      <c r="I53" s="18" t="s">
        <v>5</v>
      </c>
      <c r="J53" s="2" t="str">
        <f>_xlfn.XLOOKUP($I53,Tab_Def_Flows[Flow_Name],Tab_Def_Flows[Flow_ID],,0,1)</f>
        <v>F__</v>
      </c>
      <c r="K53" s="3"/>
      <c r="L53" s="11" t="str">
        <f t="shared" si="1"/>
        <v>TC_E1_F__</v>
      </c>
      <c r="M53" s="20"/>
      <c r="N53" s="11" t="str">
        <f t="shared" si="2"/>
        <v>TC_E2_F__</v>
      </c>
      <c r="O53" s="20"/>
      <c r="P53" s="11" t="str">
        <f t="shared" si="3"/>
        <v>TC_E3_F__</v>
      </c>
      <c r="Q53" s="20"/>
      <c r="R53" s="11" t="str">
        <f t="shared" si="4"/>
        <v>TC_E4_F__</v>
      </c>
      <c r="S53" s="3"/>
      <c r="T53" s="11" t="str">
        <f t="shared" si="5"/>
        <v>TC_E5_F__</v>
      </c>
      <c r="U53" s="3"/>
      <c r="V53" s="11" t="str">
        <f t="shared" si="6"/>
        <v>TC_E6_F__</v>
      </c>
      <c r="W53" s="3"/>
      <c r="X53" s="9"/>
      <c r="Y53" s="9"/>
      <c r="Z53" s="9"/>
      <c r="AA53" s="9"/>
    </row>
    <row r="54" spans="1:27" x14ac:dyDescent="0.25">
      <c r="A54" s="22" t="b">
        <v>0</v>
      </c>
      <c r="B54" s="2">
        <f t="shared" si="7"/>
        <v>53</v>
      </c>
      <c r="C54" s="14" t="e">
        <f>_xlfn.XLOOKUP($D54,Tab_Def_Processes[Process_Name],Tab_Def_Processes[Process_ID],,0,)</f>
        <v>#N/A</v>
      </c>
      <c r="D54" s="18" t="s">
        <v>5</v>
      </c>
      <c r="E54" s="14" t="e">
        <f>_xlfn.XLOOKUP($D54,Tab_Def_Processes[Process_Name],Tab_Def_Processes[Process_Logic],,0,)</f>
        <v>#N/A</v>
      </c>
      <c r="F54" s="14" t="e">
        <f>_xlfn.XLOOKUP($D54,Tab_Def_Processes[Process_Name],Tab_Def_Processes[TC_Configuration],,0,)</f>
        <v>#N/A</v>
      </c>
      <c r="G54" s="14" t="e">
        <f>_xlfn.XLOOKUP($D54,Tab_Def_Processes[Process_Name],Tab_Def_Processes[Stock_Configuration],,0,)</f>
        <v>#N/A</v>
      </c>
      <c r="H54" s="14" t="e">
        <f>_xlfn.XLOOKUP($D54,Tab_Def_Processes[Process_Name],Tab_Def_Processes[Outflow_count],,0,)</f>
        <v>#N/A</v>
      </c>
      <c r="I54" s="18" t="s">
        <v>5</v>
      </c>
      <c r="J54" s="2" t="str">
        <f>_xlfn.XLOOKUP($I54,Tab_Def_Flows[Flow_Name],Tab_Def_Flows[Flow_ID],,0,1)</f>
        <v>F__</v>
      </c>
      <c r="K54" s="3"/>
      <c r="L54" s="11" t="str">
        <f t="shared" si="1"/>
        <v>TC_E1_F__</v>
      </c>
      <c r="M54" s="20"/>
      <c r="N54" s="11" t="str">
        <f t="shared" si="2"/>
        <v>TC_E2_F__</v>
      </c>
      <c r="O54" s="20"/>
      <c r="P54" s="11" t="str">
        <f t="shared" si="3"/>
        <v>TC_E3_F__</v>
      </c>
      <c r="Q54" s="20"/>
      <c r="R54" s="11" t="str">
        <f t="shared" si="4"/>
        <v>TC_E4_F__</v>
      </c>
      <c r="S54" s="3"/>
      <c r="T54" s="11" t="str">
        <f t="shared" si="5"/>
        <v>TC_E5_F__</v>
      </c>
      <c r="U54" s="3"/>
      <c r="V54" s="11" t="str">
        <f t="shared" si="6"/>
        <v>TC_E6_F__</v>
      </c>
      <c r="W54" s="3"/>
      <c r="X54" s="9"/>
      <c r="Y54" s="9"/>
      <c r="Z54" s="9"/>
      <c r="AA54" s="9"/>
    </row>
    <row r="55" spans="1:27" x14ac:dyDescent="0.25">
      <c r="A55" s="22" t="b">
        <v>0</v>
      </c>
      <c r="B55" s="2">
        <f t="shared" si="7"/>
        <v>54</v>
      </c>
      <c r="C55" s="14" t="e">
        <f>_xlfn.XLOOKUP($D55,Tab_Def_Processes[Process_Name],Tab_Def_Processes[Process_ID],,0,)</f>
        <v>#N/A</v>
      </c>
      <c r="D55" s="18" t="s">
        <v>5</v>
      </c>
      <c r="E55" s="14" t="e">
        <f>_xlfn.XLOOKUP($D55,Tab_Def_Processes[Process_Name],Tab_Def_Processes[Process_Logic],,0,)</f>
        <v>#N/A</v>
      </c>
      <c r="F55" s="14" t="e">
        <f>_xlfn.XLOOKUP($D55,Tab_Def_Processes[Process_Name],Tab_Def_Processes[TC_Configuration],,0,)</f>
        <v>#N/A</v>
      </c>
      <c r="G55" s="14" t="e">
        <f>_xlfn.XLOOKUP($D55,Tab_Def_Processes[Process_Name],Tab_Def_Processes[Stock_Configuration],,0,)</f>
        <v>#N/A</v>
      </c>
      <c r="H55" s="14" t="e">
        <f>_xlfn.XLOOKUP($D55,Tab_Def_Processes[Process_Name],Tab_Def_Processes[Outflow_count],,0,)</f>
        <v>#N/A</v>
      </c>
      <c r="I55" s="18" t="s">
        <v>5</v>
      </c>
      <c r="J55" s="2" t="str">
        <f>_xlfn.XLOOKUP($I55,Tab_Def_Flows[Flow_Name],Tab_Def_Flows[Flow_ID],,0,1)</f>
        <v>F__</v>
      </c>
      <c r="K55" s="3"/>
      <c r="L55" s="11" t="str">
        <f t="shared" si="1"/>
        <v>TC_E1_F__</v>
      </c>
      <c r="M55" s="20"/>
      <c r="N55" s="11" t="str">
        <f t="shared" si="2"/>
        <v>TC_E2_F__</v>
      </c>
      <c r="O55" s="20"/>
      <c r="P55" s="11" t="str">
        <f t="shared" si="3"/>
        <v>TC_E3_F__</v>
      </c>
      <c r="Q55" s="20"/>
      <c r="R55" s="11" t="str">
        <f t="shared" si="4"/>
        <v>TC_E4_F__</v>
      </c>
      <c r="S55" s="3"/>
      <c r="T55" s="11" t="str">
        <f t="shared" si="5"/>
        <v>TC_E5_F__</v>
      </c>
      <c r="U55" s="3"/>
      <c r="V55" s="11" t="str">
        <f t="shared" si="6"/>
        <v>TC_E6_F__</v>
      </c>
      <c r="W55" s="3"/>
      <c r="X55" s="9"/>
      <c r="Y55" s="9"/>
      <c r="Z55" s="9"/>
      <c r="AA55" s="9"/>
    </row>
    <row r="56" spans="1:27" x14ac:dyDescent="0.25">
      <c r="A56" s="22" t="b">
        <v>0</v>
      </c>
      <c r="B56" s="2">
        <f t="shared" si="7"/>
        <v>55</v>
      </c>
      <c r="C56" s="14" t="e">
        <f>_xlfn.XLOOKUP($D56,Tab_Def_Processes[Process_Name],Tab_Def_Processes[Process_ID],,0,)</f>
        <v>#N/A</v>
      </c>
      <c r="D56" s="18" t="s">
        <v>5</v>
      </c>
      <c r="E56" s="14" t="e">
        <f>_xlfn.XLOOKUP($D56,Tab_Def_Processes[Process_Name],Tab_Def_Processes[Process_Logic],,0,)</f>
        <v>#N/A</v>
      </c>
      <c r="F56" s="14" t="e">
        <f>_xlfn.XLOOKUP($D56,Tab_Def_Processes[Process_Name],Tab_Def_Processes[TC_Configuration],,0,)</f>
        <v>#N/A</v>
      </c>
      <c r="G56" s="14" t="e">
        <f>_xlfn.XLOOKUP($D56,Tab_Def_Processes[Process_Name],Tab_Def_Processes[Stock_Configuration],,0,)</f>
        <v>#N/A</v>
      </c>
      <c r="H56" s="14" t="e">
        <f>_xlfn.XLOOKUP($D56,Tab_Def_Processes[Process_Name],Tab_Def_Processes[Outflow_count],,0,)</f>
        <v>#N/A</v>
      </c>
      <c r="I56" s="18" t="s">
        <v>5</v>
      </c>
      <c r="J56" s="2" t="str">
        <f>_xlfn.XLOOKUP($I56,Tab_Def_Flows[Flow_Name],Tab_Def_Flows[Flow_ID],,0,1)</f>
        <v>F__</v>
      </c>
      <c r="K56" s="3"/>
      <c r="L56" s="11" t="str">
        <f t="shared" si="1"/>
        <v>TC_E1_F__</v>
      </c>
      <c r="M56" s="20"/>
      <c r="N56" s="11" t="str">
        <f t="shared" si="2"/>
        <v>TC_E2_F__</v>
      </c>
      <c r="O56" s="20"/>
      <c r="P56" s="11" t="str">
        <f t="shared" si="3"/>
        <v>TC_E3_F__</v>
      </c>
      <c r="Q56" s="20"/>
      <c r="R56" s="11" t="str">
        <f t="shared" si="4"/>
        <v>TC_E4_F__</v>
      </c>
      <c r="S56" s="3"/>
      <c r="T56" s="11" t="str">
        <f t="shared" si="5"/>
        <v>TC_E5_F__</v>
      </c>
      <c r="U56" s="3"/>
      <c r="V56" s="11" t="str">
        <f t="shared" si="6"/>
        <v>TC_E6_F__</v>
      </c>
      <c r="W56" s="3"/>
      <c r="X56" s="9"/>
      <c r="Y56" s="9"/>
      <c r="Z56" s="9"/>
      <c r="AA56" s="9"/>
    </row>
    <row r="57" spans="1:27" x14ac:dyDescent="0.25">
      <c r="A57" s="22" t="b">
        <v>0</v>
      </c>
      <c r="B57" s="2">
        <f t="shared" si="7"/>
        <v>56</v>
      </c>
      <c r="C57" s="14" t="e">
        <f>_xlfn.XLOOKUP($D57,Tab_Def_Processes[Process_Name],Tab_Def_Processes[Process_ID],,0,)</f>
        <v>#N/A</v>
      </c>
      <c r="D57" s="18" t="s">
        <v>5</v>
      </c>
      <c r="E57" s="14" t="e">
        <f>_xlfn.XLOOKUP($D57,Tab_Def_Processes[Process_Name],Tab_Def_Processes[Process_Logic],,0,)</f>
        <v>#N/A</v>
      </c>
      <c r="F57" s="14" t="e">
        <f>_xlfn.XLOOKUP($D57,Tab_Def_Processes[Process_Name],Tab_Def_Processes[TC_Configuration],,0,)</f>
        <v>#N/A</v>
      </c>
      <c r="G57" s="14" t="e">
        <f>_xlfn.XLOOKUP($D57,Tab_Def_Processes[Process_Name],Tab_Def_Processes[Stock_Configuration],,0,)</f>
        <v>#N/A</v>
      </c>
      <c r="H57" s="14" t="e">
        <f>_xlfn.XLOOKUP($D57,Tab_Def_Processes[Process_Name],Tab_Def_Processes[Outflow_count],,0,)</f>
        <v>#N/A</v>
      </c>
      <c r="I57" s="18" t="s">
        <v>5</v>
      </c>
      <c r="J57" s="2" t="str">
        <f>_xlfn.XLOOKUP($I57,Tab_Def_Flows[Flow_Name],Tab_Def_Flows[Flow_ID],,0,1)</f>
        <v>F__</v>
      </c>
      <c r="K57" s="3"/>
      <c r="L57" s="11" t="str">
        <f t="shared" si="1"/>
        <v>TC_E1_F__</v>
      </c>
      <c r="M57" s="20"/>
      <c r="N57" s="11" t="str">
        <f t="shared" si="2"/>
        <v>TC_E2_F__</v>
      </c>
      <c r="O57" s="20"/>
      <c r="P57" s="11" t="str">
        <f t="shared" si="3"/>
        <v>TC_E3_F__</v>
      </c>
      <c r="Q57" s="20"/>
      <c r="R57" s="11" t="str">
        <f t="shared" si="4"/>
        <v>TC_E4_F__</v>
      </c>
      <c r="S57" s="3"/>
      <c r="T57" s="11" t="str">
        <f t="shared" si="5"/>
        <v>TC_E5_F__</v>
      </c>
      <c r="U57" s="3"/>
      <c r="V57" s="11" t="str">
        <f t="shared" si="6"/>
        <v>TC_E6_F__</v>
      </c>
      <c r="W57" s="3"/>
      <c r="X57" s="9"/>
      <c r="Y57" s="9"/>
      <c r="Z57" s="9"/>
      <c r="AA57" s="9"/>
    </row>
    <row r="58" spans="1:27" x14ac:dyDescent="0.25">
      <c r="A58" s="22" t="b">
        <v>0</v>
      </c>
      <c r="B58" s="2">
        <f t="shared" si="7"/>
        <v>57</v>
      </c>
      <c r="C58" s="14" t="e">
        <f>_xlfn.XLOOKUP($D58,Tab_Def_Processes[Process_Name],Tab_Def_Processes[Process_ID],,0,)</f>
        <v>#N/A</v>
      </c>
      <c r="D58" s="18" t="s">
        <v>5</v>
      </c>
      <c r="E58" s="14" t="e">
        <f>_xlfn.XLOOKUP($D58,Tab_Def_Processes[Process_Name],Tab_Def_Processes[Process_Logic],,0,)</f>
        <v>#N/A</v>
      </c>
      <c r="F58" s="14" t="e">
        <f>_xlfn.XLOOKUP($D58,Tab_Def_Processes[Process_Name],Tab_Def_Processes[TC_Configuration],,0,)</f>
        <v>#N/A</v>
      </c>
      <c r="G58" s="14" t="e">
        <f>_xlfn.XLOOKUP($D58,Tab_Def_Processes[Process_Name],Tab_Def_Processes[Stock_Configuration],,0,)</f>
        <v>#N/A</v>
      </c>
      <c r="H58" s="14" t="e">
        <f>_xlfn.XLOOKUP($D58,Tab_Def_Processes[Process_Name],Tab_Def_Processes[Outflow_count],,0,)</f>
        <v>#N/A</v>
      </c>
      <c r="I58" s="18" t="s">
        <v>5</v>
      </c>
      <c r="J58" s="2" t="str">
        <f>_xlfn.XLOOKUP($I58,Tab_Def_Flows[Flow_Name],Tab_Def_Flows[Flow_ID],,0,1)</f>
        <v>F__</v>
      </c>
      <c r="K58" s="3"/>
      <c r="L58" s="11" t="str">
        <f t="shared" si="1"/>
        <v>TC_E1_F__</v>
      </c>
      <c r="M58" s="20"/>
      <c r="N58" s="11" t="str">
        <f t="shared" si="2"/>
        <v>TC_E2_F__</v>
      </c>
      <c r="O58" s="20"/>
      <c r="P58" s="11" t="str">
        <f t="shared" si="3"/>
        <v>TC_E3_F__</v>
      </c>
      <c r="Q58" s="20"/>
      <c r="R58" s="11" t="str">
        <f t="shared" si="4"/>
        <v>TC_E4_F__</v>
      </c>
      <c r="S58" s="3"/>
      <c r="T58" s="11" t="str">
        <f t="shared" si="5"/>
        <v>TC_E5_F__</v>
      </c>
      <c r="U58" s="3"/>
      <c r="V58" s="11" t="str">
        <f t="shared" si="6"/>
        <v>TC_E6_F__</v>
      </c>
      <c r="W58" s="3"/>
      <c r="X58" s="9"/>
      <c r="Y58" s="9"/>
      <c r="Z58" s="9"/>
      <c r="AA58" s="9"/>
    </row>
    <row r="59" spans="1:27" x14ac:dyDescent="0.25">
      <c r="A59" s="22" t="b">
        <v>0</v>
      </c>
      <c r="B59" s="2">
        <f t="shared" si="7"/>
        <v>58</v>
      </c>
      <c r="C59" s="14" t="e">
        <f>_xlfn.XLOOKUP($D59,Tab_Def_Processes[Process_Name],Tab_Def_Processes[Process_ID],,0,)</f>
        <v>#N/A</v>
      </c>
      <c r="D59" s="18" t="s">
        <v>5</v>
      </c>
      <c r="E59" s="14" t="e">
        <f>_xlfn.XLOOKUP($D59,Tab_Def_Processes[Process_Name],Tab_Def_Processes[Process_Logic],,0,)</f>
        <v>#N/A</v>
      </c>
      <c r="F59" s="14" t="e">
        <f>_xlfn.XLOOKUP($D59,Tab_Def_Processes[Process_Name],Tab_Def_Processes[TC_Configuration],,0,)</f>
        <v>#N/A</v>
      </c>
      <c r="G59" s="14" t="e">
        <f>_xlfn.XLOOKUP($D59,Tab_Def_Processes[Process_Name],Tab_Def_Processes[Stock_Configuration],,0,)</f>
        <v>#N/A</v>
      </c>
      <c r="H59" s="14" t="e">
        <f>_xlfn.XLOOKUP($D59,Tab_Def_Processes[Process_Name],Tab_Def_Processes[Outflow_count],,0,)</f>
        <v>#N/A</v>
      </c>
      <c r="I59" s="18" t="s">
        <v>5</v>
      </c>
      <c r="J59" s="2" t="str">
        <f>_xlfn.XLOOKUP($I59,Tab_Def_Flows[Flow_Name],Tab_Def_Flows[Flow_ID],,0,1)</f>
        <v>F__</v>
      </c>
      <c r="K59" s="3"/>
      <c r="L59" s="11" t="str">
        <f t="shared" si="1"/>
        <v>TC_E1_F__</v>
      </c>
      <c r="M59" s="20"/>
      <c r="N59" s="11" t="str">
        <f t="shared" si="2"/>
        <v>TC_E2_F__</v>
      </c>
      <c r="O59" s="20"/>
      <c r="P59" s="11" t="str">
        <f t="shared" si="3"/>
        <v>TC_E3_F__</v>
      </c>
      <c r="Q59" s="20"/>
      <c r="R59" s="11" t="str">
        <f t="shared" si="4"/>
        <v>TC_E4_F__</v>
      </c>
      <c r="S59" s="3"/>
      <c r="T59" s="11" t="str">
        <f t="shared" si="5"/>
        <v>TC_E5_F__</v>
      </c>
      <c r="U59" s="3"/>
      <c r="V59" s="11" t="str">
        <f t="shared" si="6"/>
        <v>TC_E6_F__</v>
      </c>
      <c r="W59" s="3"/>
      <c r="X59" s="9"/>
      <c r="Y59" s="9"/>
      <c r="Z59" s="9"/>
      <c r="AA59" s="9"/>
    </row>
    <row r="60" spans="1:27" x14ac:dyDescent="0.25">
      <c r="A60" s="22" t="b">
        <v>0</v>
      </c>
      <c r="B60" s="2">
        <f t="shared" si="7"/>
        <v>59</v>
      </c>
      <c r="C60" s="14" t="e">
        <f>_xlfn.XLOOKUP($D60,Tab_Def_Processes[Process_Name],Tab_Def_Processes[Process_ID],,0,)</f>
        <v>#N/A</v>
      </c>
      <c r="D60" s="18" t="s">
        <v>5</v>
      </c>
      <c r="E60" s="14" t="e">
        <f>_xlfn.XLOOKUP($D60,Tab_Def_Processes[Process_Name],Tab_Def_Processes[Process_Logic],,0,)</f>
        <v>#N/A</v>
      </c>
      <c r="F60" s="14" t="e">
        <f>_xlfn.XLOOKUP($D60,Tab_Def_Processes[Process_Name],Tab_Def_Processes[TC_Configuration],,0,)</f>
        <v>#N/A</v>
      </c>
      <c r="G60" s="14" t="e">
        <f>_xlfn.XLOOKUP($D60,Tab_Def_Processes[Process_Name],Tab_Def_Processes[Stock_Configuration],,0,)</f>
        <v>#N/A</v>
      </c>
      <c r="H60" s="14" t="e">
        <f>_xlfn.XLOOKUP($D60,Tab_Def_Processes[Process_Name],Tab_Def_Processes[Outflow_count],,0,)</f>
        <v>#N/A</v>
      </c>
      <c r="I60" s="18" t="s">
        <v>5</v>
      </c>
      <c r="J60" s="2" t="str">
        <f>_xlfn.XLOOKUP($I60,Tab_Def_Flows[Flow_Name],Tab_Def_Flows[Flow_ID],,0,1)</f>
        <v>F__</v>
      </c>
      <c r="K60" s="3"/>
      <c r="L60" s="11" t="str">
        <f t="shared" si="1"/>
        <v>TC_E1_F__</v>
      </c>
      <c r="M60" s="20"/>
      <c r="N60" s="11" t="str">
        <f t="shared" si="2"/>
        <v>TC_E2_F__</v>
      </c>
      <c r="O60" s="20"/>
      <c r="P60" s="11" t="str">
        <f t="shared" si="3"/>
        <v>TC_E3_F__</v>
      </c>
      <c r="Q60" s="20"/>
      <c r="R60" s="11" t="str">
        <f t="shared" si="4"/>
        <v>TC_E4_F__</v>
      </c>
      <c r="S60" s="3"/>
      <c r="T60" s="11" t="str">
        <f t="shared" si="5"/>
        <v>TC_E5_F__</v>
      </c>
      <c r="U60" s="3"/>
      <c r="V60" s="11" t="str">
        <f t="shared" si="6"/>
        <v>TC_E6_F__</v>
      </c>
      <c r="W60" s="3"/>
      <c r="X60" s="9"/>
      <c r="Y60" s="9"/>
      <c r="Z60" s="9"/>
      <c r="AA60" s="9"/>
    </row>
    <row r="61" spans="1:27" x14ac:dyDescent="0.25">
      <c r="A61" s="22" t="b">
        <v>0</v>
      </c>
      <c r="B61" s="2">
        <f t="shared" si="7"/>
        <v>60</v>
      </c>
      <c r="C61" s="14" t="e">
        <f>_xlfn.XLOOKUP($D61,Tab_Def_Processes[Process_Name],Tab_Def_Processes[Process_ID],,0,)</f>
        <v>#N/A</v>
      </c>
      <c r="D61" s="18" t="s">
        <v>5</v>
      </c>
      <c r="E61" s="14" t="e">
        <f>_xlfn.XLOOKUP($D61,Tab_Def_Processes[Process_Name],Tab_Def_Processes[Process_Logic],,0,)</f>
        <v>#N/A</v>
      </c>
      <c r="F61" s="14" t="e">
        <f>_xlfn.XLOOKUP($D61,Tab_Def_Processes[Process_Name],Tab_Def_Processes[TC_Configuration],,0,)</f>
        <v>#N/A</v>
      </c>
      <c r="G61" s="14" t="e">
        <f>_xlfn.XLOOKUP($D61,Tab_Def_Processes[Process_Name],Tab_Def_Processes[Stock_Configuration],,0,)</f>
        <v>#N/A</v>
      </c>
      <c r="H61" s="14" t="e">
        <f>_xlfn.XLOOKUP($D61,Tab_Def_Processes[Process_Name],Tab_Def_Processes[Outflow_count],,0,)</f>
        <v>#N/A</v>
      </c>
      <c r="I61" s="18" t="s">
        <v>5</v>
      </c>
      <c r="J61" s="2" t="str">
        <f>_xlfn.XLOOKUP($I61,Tab_Def_Flows[Flow_Name],Tab_Def_Flows[Flow_ID],,0,1)</f>
        <v>F__</v>
      </c>
      <c r="K61" s="3"/>
      <c r="L61" s="11" t="str">
        <f t="shared" si="1"/>
        <v>TC_E1_F__</v>
      </c>
      <c r="M61" s="20"/>
      <c r="N61" s="11" t="str">
        <f t="shared" si="2"/>
        <v>TC_E2_F__</v>
      </c>
      <c r="O61" s="20"/>
      <c r="P61" s="11" t="str">
        <f t="shared" si="3"/>
        <v>TC_E3_F__</v>
      </c>
      <c r="Q61" s="20"/>
      <c r="R61" s="11" t="str">
        <f t="shared" si="4"/>
        <v>TC_E4_F__</v>
      </c>
      <c r="S61" s="3"/>
      <c r="T61" s="11" t="str">
        <f t="shared" si="5"/>
        <v>TC_E5_F__</v>
      </c>
      <c r="U61" s="3"/>
      <c r="V61" s="11" t="str">
        <f t="shared" si="6"/>
        <v>TC_E6_F__</v>
      </c>
      <c r="W61" s="3"/>
      <c r="X61" s="9"/>
      <c r="Y61" s="9"/>
      <c r="Z61" s="9"/>
      <c r="AA61" s="9"/>
    </row>
    <row r="62" spans="1:27" x14ac:dyDescent="0.25">
      <c r="A62" s="22" t="b">
        <v>0</v>
      </c>
      <c r="B62" s="2">
        <f t="shared" si="7"/>
        <v>61</v>
      </c>
      <c r="C62" s="14" t="e">
        <f>_xlfn.XLOOKUP($D62,Tab_Def_Processes[Process_Name],Tab_Def_Processes[Process_ID],,0,)</f>
        <v>#N/A</v>
      </c>
      <c r="D62" s="18" t="s">
        <v>5</v>
      </c>
      <c r="E62" s="14" t="e">
        <f>_xlfn.XLOOKUP($D62,Tab_Def_Processes[Process_Name],Tab_Def_Processes[Process_Logic],,0,)</f>
        <v>#N/A</v>
      </c>
      <c r="F62" s="14" t="e">
        <f>_xlfn.XLOOKUP($D62,Tab_Def_Processes[Process_Name],Tab_Def_Processes[TC_Configuration],,0,)</f>
        <v>#N/A</v>
      </c>
      <c r="G62" s="14" t="e">
        <f>_xlfn.XLOOKUP($D62,Tab_Def_Processes[Process_Name],Tab_Def_Processes[Stock_Configuration],,0,)</f>
        <v>#N/A</v>
      </c>
      <c r="H62" s="14" t="e">
        <f>_xlfn.XLOOKUP($D62,Tab_Def_Processes[Process_Name],Tab_Def_Processes[Outflow_count],,0,)</f>
        <v>#N/A</v>
      </c>
      <c r="I62" s="18" t="s">
        <v>5</v>
      </c>
      <c r="J62" s="2" t="str">
        <f>_xlfn.XLOOKUP($I62,Tab_Def_Flows[Flow_Name],Tab_Def_Flows[Flow_ID],,0,1)</f>
        <v>F__</v>
      </c>
      <c r="K62" s="3"/>
      <c r="L62" s="11" t="str">
        <f t="shared" si="1"/>
        <v>TC_E1_F__</v>
      </c>
      <c r="M62" s="20"/>
      <c r="N62" s="11" t="str">
        <f t="shared" si="2"/>
        <v>TC_E2_F__</v>
      </c>
      <c r="O62" s="20"/>
      <c r="P62" s="11" t="str">
        <f t="shared" si="3"/>
        <v>TC_E3_F__</v>
      </c>
      <c r="Q62" s="20"/>
      <c r="R62" s="11" t="str">
        <f t="shared" si="4"/>
        <v>TC_E4_F__</v>
      </c>
      <c r="S62" s="3"/>
      <c r="T62" s="11" t="str">
        <f t="shared" si="5"/>
        <v>TC_E5_F__</v>
      </c>
      <c r="U62" s="3"/>
      <c r="V62" s="11" t="str">
        <f t="shared" si="6"/>
        <v>TC_E6_F__</v>
      </c>
      <c r="W62" s="3"/>
      <c r="X62" s="9"/>
      <c r="Y62" s="9"/>
      <c r="Z62" s="9"/>
      <c r="AA62" s="9"/>
    </row>
    <row r="63" spans="1:27" x14ac:dyDescent="0.25">
      <c r="A63" s="22" t="b">
        <v>0</v>
      </c>
      <c r="B63" s="2">
        <f t="shared" si="7"/>
        <v>62</v>
      </c>
      <c r="C63" s="14" t="e">
        <f>_xlfn.XLOOKUP($D63,Tab_Def_Processes[Process_Name],Tab_Def_Processes[Process_ID],,0,)</f>
        <v>#N/A</v>
      </c>
      <c r="D63" s="18" t="s">
        <v>5</v>
      </c>
      <c r="E63" s="14" t="e">
        <f>_xlfn.XLOOKUP($D63,Tab_Def_Processes[Process_Name],Tab_Def_Processes[Process_Logic],,0,)</f>
        <v>#N/A</v>
      </c>
      <c r="F63" s="14" t="e">
        <f>_xlfn.XLOOKUP($D63,Tab_Def_Processes[Process_Name],Tab_Def_Processes[TC_Configuration],,0,)</f>
        <v>#N/A</v>
      </c>
      <c r="G63" s="14" t="e">
        <f>_xlfn.XLOOKUP($D63,Tab_Def_Processes[Process_Name],Tab_Def_Processes[Stock_Configuration],,0,)</f>
        <v>#N/A</v>
      </c>
      <c r="H63" s="14" t="e">
        <f>_xlfn.XLOOKUP($D63,Tab_Def_Processes[Process_Name],Tab_Def_Processes[Outflow_count],,0,)</f>
        <v>#N/A</v>
      </c>
      <c r="I63" s="18" t="s">
        <v>5</v>
      </c>
      <c r="J63" s="2" t="str">
        <f>_xlfn.XLOOKUP($I63,Tab_Def_Flows[Flow_Name],Tab_Def_Flows[Flow_ID],,0,1)</f>
        <v>F__</v>
      </c>
      <c r="K63" s="3"/>
      <c r="L63" s="11" t="str">
        <f t="shared" si="1"/>
        <v>TC_E1_F__</v>
      </c>
      <c r="M63" s="20"/>
      <c r="N63" s="11" t="str">
        <f t="shared" si="2"/>
        <v>TC_E2_F__</v>
      </c>
      <c r="O63" s="20"/>
      <c r="P63" s="11" t="str">
        <f t="shared" si="3"/>
        <v>TC_E3_F__</v>
      </c>
      <c r="Q63" s="20"/>
      <c r="R63" s="11" t="str">
        <f t="shared" si="4"/>
        <v>TC_E4_F__</v>
      </c>
      <c r="S63" s="3"/>
      <c r="T63" s="11" t="str">
        <f t="shared" si="5"/>
        <v>TC_E5_F__</v>
      </c>
      <c r="U63" s="3"/>
      <c r="V63" s="11" t="str">
        <f t="shared" si="6"/>
        <v>TC_E6_F__</v>
      </c>
      <c r="W63" s="3"/>
      <c r="X63" s="9"/>
      <c r="Y63" s="9"/>
      <c r="Z63" s="9"/>
      <c r="AA63" s="9"/>
    </row>
    <row r="64" spans="1:27" x14ac:dyDescent="0.25">
      <c r="A64" s="22" t="b">
        <v>0</v>
      </c>
      <c r="B64" s="2">
        <f t="shared" ref="B64:B95" si="8">ROW()-1</f>
        <v>63</v>
      </c>
      <c r="C64" s="14" t="e">
        <f>_xlfn.XLOOKUP($D64,Tab_Def_Processes[Process_Name],Tab_Def_Processes[Process_ID],,0,)</f>
        <v>#N/A</v>
      </c>
      <c r="D64" s="18" t="s">
        <v>5</v>
      </c>
      <c r="E64" s="14" t="e">
        <f>_xlfn.XLOOKUP($D64,Tab_Def_Processes[Process_Name],Tab_Def_Processes[Process_Logic],,0,)</f>
        <v>#N/A</v>
      </c>
      <c r="F64" s="14" t="e">
        <f>_xlfn.XLOOKUP($D64,Tab_Def_Processes[Process_Name],Tab_Def_Processes[TC_Configuration],,0,)</f>
        <v>#N/A</v>
      </c>
      <c r="G64" s="14" t="e">
        <f>_xlfn.XLOOKUP($D64,Tab_Def_Processes[Process_Name],Tab_Def_Processes[Stock_Configuration],,0,)</f>
        <v>#N/A</v>
      </c>
      <c r="H64" s="14" t="e">
        <f>_xlfn.XLOOKUP($D64,Tab_Def_Processes[Process_Name],Tab_Def_Processes[Outflow_count],,0,)</f>
        <v>#N/A</v>
      </c>
      <c r="I64" s="18" t="s">
        <v>5</v>
      </c>
      <c r="J64" s="2" t="str">
        <f>_xlfn.XLOOKUP($I64,Tab_Def_Flows[Flow_Name],Tab_Def_Flows[Flow_ID],,0,1)</f>
        <v>F__</v>
      </c>
      <c r="K64" s="3"/>
      <c r="L64" s="11" t="str">
        <f t="shared" si="1"/>
        <v>TC_E1_F__</v>
      </c>
      <c r="M64" s="20"/>
      <c r="N64" s="11" t="str">
        <f t="shared" si="2"/>
        <v>TC_E2_F__</v>
      </c>
      <c r="O64" s="20"/>
      <c r="P64" s="11" t="str">
        <f t="shared" si="3"/>
        <v>TC_E3_F__</v>
      </c>
      <c r="Q64" s="20"/>
      <c r="R64" s="11" t="str">
        <f t="shared" si="4"/>
        <v>TC_E4_F__</v>
      </c>
      <c r="S64" s="3"/>
      <c r="T64" s="11" t="str">
        <f t="shared" si="5"/>
        <v>TC_E5_F__</v>
      </c>
      <c r="U64" s="3"/>
      <c r="V64" s="11" t="str">
        <f t="shared" si="6"/>
        <v>TC_E6_F__</v>
      </c>
      <c r="W64" s="3"/>
      <c r="X64" s="9"/>
      <c r="Y64" s="9"/>
      <c r="Z64" s="9"/>
      <c r="AA64" s="9"/>
    </row>
    <row r="65" spans="1:27" x14ac:dyDescent="0.25">
      <c r="A65" s="22" t="b">
        <v>0</v>
      </c>
      <c r="B65" s="2">
        <f t="shared" si="8"/>
        <v>64</v>
      </c>
      <c r="C65" s="14" t="e">
        <f>_xlfn.XLOOKUP($D65,Tab_Def_Processes[Process_Name],Tab_Def_Processes[Process_ID],,0,)</f>
        <v>#N/A</v>
      </c>
      <c r="D65" s="18" t="s">
        <v>5</v>
      </c>
      <c r="E65" s="14" t="e">
        <f>_xlfn.XLOOKUP($D65,Tab_Def_Processes[Process_Name],Tab_Def_Processes[Process_Logic],,0,)</f>
        <v>#N/A</v>
      </c>
      <c r="F65" s="14" t="e">
        <f>_xlfn.XLOOKUP($D65,Tab_Def_Processes[Process_Name],Tab_Def_Processes[TC_Configuration],,0,)</f>
        <v>#N/A</v>
      </c>
      <c r="G65" s="14" t="e">
        <f>_xlfn.XLOOKUP($D65,Tab_Def_Processes[Process_Name],Tab_Def_Processes[Stock_Configuration],,0,)</f>
        <v>#N/A</v>
      </c>
      <c r="H65" s="14" t="e">
        <f>_xlfn.XLOOKUP($D65,Tab_Def_Processes[Process_Name],Tab_Def_Processes[Outflow_count],,0,)</f>
        <v>#N/A</v>
      </c>
      <c r="I65" s="18" t="s">
        <v>5</v>
      </c>
      <c r="J65" s="2" t="str">
        <f>_xlfn.XLOOKUP($I65,Tab_Def_Flows[Flow_Name],Tab_Def_Flows[Flow_ID],,0,1)</f>
        <v>F__</v>
      </c>
      <c r="K65" s="3"/>
      <c r="L65" s="11" t="str">
        <f t="shared" ref="L65:L128" si="9">"TC_E1"&amp;"_"&amp;RIGHT(J65,5)</f>
        <v>TC_E1_F__</v>
      </c>
      <c r="M65" s="20"/>
      <c r="N65" s="11" t="str">
        <f t="shared" ref="N65:N128" si="10">"TC_E2"&amp;"_"&amp;RIGHT(J65,5)</f>
        <v>TC_E2_F__</v>
      </c>
      <c r="O65" s="20"/>
      <c r="P65" s="11" t="str">
        <f t="shared" ref="P65:P128" si="11">"TC_E3"&amp;"_"&amp;RIGHT(J65,5)</f>
        <v>TC_E3_F__</v>
      </c>
      <c r="Q65" s="20"/>
      <c r="R65" s="11" t="str">
        <f t="shared" ref="R65:R128" si="12">"TC_E4"&amp;"_"&amp;RIGHT(J65,5)</f>
        <v>TC_E4_F__</v>
      </c>
      <c r="S65" s="3"/>
      <c r="T65" s="11" t="str">
        <f t="shared" ref="T65:T128" si="13">"TC_E5"&amp;"_"&amp;RIGHT(J65,5)</f>
        <v>TC_E5_F__</v>
      </c>
      <c r="U65" s="3"/>
      <c r="V65" s="11" t="str">
        <f t="shared" si="6"/>
        <v>TC_E6_F__</v>
      </c>
      <c r="W65" s="3"/>
      <c r="X65" s="9"/>
      <c r="Y65" s="9"/>
      <c r="Z65" s="9"/>
      <c r="AA65" s="9"/>
    </row>
    <row r="66" spans="1:27" x14ac:dyDescent="0.25">
      <c r="A66" s="22" t="b">
        <v>0</v>
      </c>
      <c r="B66" s="2">
        <f t="shared" si="8"/>
        <v>65</v>
      </c>
      <c r="C66" s="14" t="e">
        <f>_xlfn.XLOOKUP($D66,Tab_Def_Processes[Process_Name],Tab_Def_Processes[Process_ID],,0,)</f>
        <v>#N/A</v>
      </c>
      <c r="D66" s="18" t="s">
        <v>5</v>
      </c>
      <c r="E66" s="14" t="e">
        <f>_xlfn.XLOOKUP($D66,Tab_Def_Processes[Process_Name],Tab_Def_Processes[Process_Logic],,0,)</f>
        <v>#N/A</v>
      </c>
      <c r="F66" s="14" t="e">
        <f>_xlfn.XLOOKUP($D66,Tab_Def_Processes[Process_Name],Tab_Def_Processes[TC_Configuration],,0,)</f>
        <v>#N/A</v>
      </c>
      <c r="G66" s="14" t="e">
        <f>_xlfn.XLOOKUP($D66,Tab_Def_Processes[Process_Name],Tab_Def_Processes[Stock_Configuration],,0,)</f>
        <v>#N/A</v>
      </c>
      <c r="H66" s="14" t="e">
        <f>_xlfn.XLOOKUP($D66,Tab_Def_Processes[Process_Name],Tab_Def_Processes[Outflow_count],,0,)</f>
        <v>#N/A</v>
      </c>
      <c r="I66" s="18" t="s">
        <v>5</v>
      </c>
      <c r="J66" s="2" t="str">
        <f>_xlfn.XLOOKUP($I66,Tab_Def_Flows[Flow_Name],Tab_Def_Flows[Flow_ID],,0,1)</f>
        <v>F__</v>
      </c>
      <c r="K66" s="3"/>
      <c r="L66" s="11" t="str">
        <f t="shared" si="9"/>
        <v>TC_E1_F__</v>
      </c>
      <c r="M66" s="20"/>
      <c r="N66" s="11" t="str">
        <f t="shared" si="10"/>
        <v>TC_E2_F__</v>
      </c>
      <c r="O66" s="20"/>
      <c r="P66" s="11" t="str">
        <f t="shared" si="11"/>
        <v>TC_E3_F__</v>
      </c>
      <c r="Q66" s="20"/>
      <c r="R66" s="11" t="str">
        <f t="shared" si="12"/>
        <v>TC_E4_F__</v>
      </c>
      <c r="S66" s="3"/>
      <c r="T66" s="11" t="str">
        <f t="shared" si="13"/>
        <v>TC_E5_F__</v>
      </c>
      <c r="U66" s="3"/>
      <c r="V66" s="11" t="str">
        <f t="shared" si="6"/>
        <v>TC_E6_F__</v>
      </c>
      <c r="W66" s="3"/>
      <c r="X66" s="9"/>
      <c r="Y66" s="9"/>
      <c r="Z66" s="9"/>
      <c r="AA66" s="9"/>
    </row>
    <row r="67" spans="1:27" x14ac:dyDescent="0.25">
      <c r="A67" s="22" t="b">
        <v>0</v>
      </c>
      <c r="B67" s="2">
        <f t="shared" si="8"/>
        <v>66</v>
      </c>
      <c r="C67" s="14" t="e">
        <f>_xlfn.XLOOKUP($D67,Tab_Def_Processes[Process_Name],Tab_Def_Processes[Process_ID],,0,)</f>
        <v>#N/A</v>
      </c>
      <c r="D67" s="18" t="s">
        <v>5</v>
      </c>
      <c r="E67" s="14" t="e">
        <f>_xlfn.XLOOKUP($D67,Tab_Def_Processes[Process_Name],Tab_Def_Processes[Process_Logic],,0,)</f>
        <v>#N/A</v>
      </c>
      <c r="F67" s="14" t="e">
        <f>_xlfn.XLOOKUP($D67,Tab_Def_Processes[Process_Name],Tab_Def_Processes[TC_Configuration],,0,)</f>
        <v>#N/A</v>
      </c>
      <c r="G67" s="14" t="e">
        <f>_xlfn.XLOOKUP($D67,Tab_Def_Processes[Process_Name],Tab_Def_Processes[Stock_Configuration],,0,)</f>
        <v>#N/A</v>
      </c>
      <c r="H67" s="14" t="e">
        <f>_xlfn.XLOOKUP($D67,Tab_Def_Processes[Process_Name],Tab_Def_Processes[Outflow_count],,0,)</f>
        <v>#N/A</v>
      </c>
      <c r="I67" s="18" t="s">
        <v>5</v>
      </c>
      <c r="J67" s="2" t="str">
        <f>_xlfn.XLOOKUP($I67,Tab_Def_Flows[Flow_Name],Tab_Def_Flows[Flow_ID],,0,1)</f>
        <v>F__</v>
      </c>
      <c r="K67" s="3"/>
      <c r="L67" s="11" t="str">
        <f t="shared" si="9"/>
        <v>TC_E1_F__</v>
      </c>
      <c r="M67" s="20"/>
      <c r="N67" s="11" t="str">
        <f t="shared" si="10"/>
        <v>TC_E2_F__</v>
      </c>
      <c r="O67" s="20"/>
      <c r="P67" s="11" t="str">
        <f t="shared" si="11"/>
        <v>TC_E3_F__</v>
      </c>
      <c r="Q67" s="20"/>
      <c r="R67" s="11" t="str">
        <f t="shared" si="12"/>
        <v>TC_E4_F__</v>
      </c>
      <c r="S67" s="3"/>
      <c r="T67" s="11" t="str">
        <f t="shared" si="13"/>
        <v>TC_E5_F__</v>
      </c>
      <c r="U67" s="3"/>
      <c r="V67" s="11" t="str">
        <f t="shared" ref="V67:V130" si="14">"TC_E6"&amp;"_"&amp;RIGHT(J67,5)</f>
        <v>TC_E6_F__</v>
      </c>
      <c r="W67" s="3"/>
      <c r="X67" s="9"/>
      <c r="Y67" s="9"/>
      <c r="Z67" s="9"/>
      <c r="AA67" s="9"/>
    </row>
    <row r="68" spans="1:27" x14ac:dyDescent="0.25">
      <c r="A68" s="22" t="b">
        <v>0</v>
      </c>
      <c r="B68" s="2">
        <f t="shared" si="8"/>
        <v>67</v>
      </c>
      <c r="C68" s="14" t="e">
        <f>_xlfn.XLOOKUP($D68,Tab_Def_Processes[Process_Name],Tab_Def_Processes[Process_ID],,0,)</f>
        <v>#N/A</v>
      </c>
      <c r="D68" s="18" t="s">
        <v>5</v>
      </c>
      <c r="E68" s="14" t="e">
        <f>_xlfn.XLOOKUP($D68,Tab_Def_Processes[Process_Name],Tab_Def_Processes[Process_Logic],,0,)</f>
        <v>#N/A</v>
      </c>
      <c r="F68" s="14" t="e">
        <f>_xlfn.XLOOKUP($D68,Tab_Def_Processes[Process_Name],Tab_Def_Processes[TC_Configuration],,0,)</f>
        <v>#N/A</v>
      </c>
      <c r="G68" s="14" t="e">
        <f>_xlfn.XLOOKUP($D68,Tab_Def_Processes[Process_Name],Tab_Def_Processes[Stock_Configuration],,0,)</f>
        <v>#N/A</v>
      </c>
      <c r="H68" s="14" t="e">
        <f>_xlfn.XLOOKUP($D68,Tab_Def_Processes[Process_Name],Tab_Def_Processes[Outflow_count],,0,)</f>
        <v>#N/A</v>
      </c>
      <c r="I68" s="18" t="s">
        <v>5</v>
      </c>
      <c r="J68" s="2" t="str">
        <f>_xlfn.XLOOKUP($I68,Tab_Def_Flows[Flow_Name],Tab_Def_Flows[Flow_ID],,0,1)</f>
        <v>F__</v>
      </c>
      <c r="K68" s="3"/>
      <c r="L68" s="11" t="str">
        <f t="shared" si="9"/>
        <v>TC_E1_F__</v>
      </c>
      <c r="M68" s="20"/>
      <c r="N68" s="11" t="str">
        <f t="shared" si="10"/>
        <v>TC_E2_F__</v>
      </c>
      <c r="O68" s="20"/>
      <c r="P68" s="11" t="str">
        <f t="shared" si="11"/>
        <v>TC_E3_F__</v>
      </c>
      <c r="Q68" s="20"/>
      <c r="R68" s="11" t="str">
        <f t="shared" si="12"/>
        <v>TC_E4_F__</v>
      </c>
      <c r="S68" s="3"/>
      <c r="T68" s="11" t="str">
        <f t="shared" si="13"/>
        <v>TC_E5_F__</v>
      </c>
      <c r="U68" s="3"/>
      <c r="V68" s="11" t="str">
        <f t="shared" si="14"/>
        <v>TC_E6_F__</v>
      </c>
      <c r="W68" s="3"/>
      <c r="X68" s="9"/>
      <c r="Y68" s="9"/>
      <c r="Z68" s="9"/>
      <c r="AA68" s="9"/>
    </row>
    <row r="69" spans="1:27" x14ac:dyDescent="0.25">
      <c r="A69" s="22" t="b">
        <v>0</v>
      </c>
      <c r="B69" s="2">
        <f t="shared" si="8"/>
        <v>68</v>
      </c>
      <c r="C69" s="14" t="e">
        <f>_xlfn.XLOOKUP($D69,Tab_Def_Processes[Process_Name],Tab_Def_Processes[Process_ID],,0,)</f>
        <v>#N/A</v>
      </c>
      <c r="D69" s="18" t="s">
        <v>5</v>
      </c>
      <c r="E69" s="14" t="e">
        <f>_xlfn.XLOOKUP($D69,Tab_Def_Processes[Process_Name],Tab_Def_Processes[Process_Logic],,0,)</f>
        <v>#N/A</v>
      </c>
      <c r="F69" s="14" t="e">
        <f>_xlfn.XLOOKUP($D69,Tab_Def_Processes[Process_Name],Tab_Def_Processes[TC_Configuration],,0,)</f>
        <v>#N/A</v>
      </c>
      <c r="G69" s="14" t="e">
        <f>_xlfn.XLOOKUP($D69,Tab_Def_Processes[Process_Name],Tab_Def_Processes[Stock_Configuration],,0,)</f>
        <v>#N/A</v>
      </c>
      <c r="H69" s="14" t="e">
        <f>_xlfn.XLOOKUP($D69,Tab_Def_Processes[Process_Name],Tab_Def_Processes[Outflow_count],,0,)</f>
        <v>#N/A</v>
      </c>
      <c r="I69" s="18" t="s">
        <v>5</v>
      </c>
      <c r="J69" s="2" t="str">
        <f>_xlfn.XLOOKUP($I69,Tab_Def_Flows[Flow_Name],Tab_Def_Flows[Flow_ID],,0,1)</f>
        <v>F__</v>
      </c>
      <c r="K69" s="3"/>
      <c r="L69" s="11" t="str">
        <f t="shared" si="9"/>
        <v>TC_E1_F__</v>
      </c>
      <c r="M69" s="20"/>
      <c r="N69" s="11" t="str">
        <f t="shared" si="10"/>
        <v>TC_E2_F__</v>
      </c>
      <c r="O69" s="20"/>
      <c r="P69" s="11" t="str">
        <f t="shared" si="11"/>
        <v>TC_E3_F__</v>
      </c>
      <c r="Q69" s="20"/>
      <c r="R69" s="11" t="str">
        <f t="shared" si="12"/>
        <v>TC_E4_F__</v>
      </c>
      <c r="S69" s="3"/>
      <c r="T69" s="11" t="str">
        <f t="shared" si="13"/>
        <v>TC_E5_F__</v>
      </c>
      <c r="U69" s="3"/>
      <c r="V69" s="11" t="str">
        <f t="shared" si="14"/>
        <v>TC_E6_F__</v>
      </c>
      <c r="W69" s="3"/>
      <c r="X69" s="9"/>
      <c r="Y69" s="9"/>
      <c r="Z69" s="9"/>
      <c r="AA69" s="9"/>
    </row>
    <row r="70" spans="1:27" x14ac:dyDescent="0.25">
      <c r="A70" s="22" t="b">
        <v>0</v>
      </c>
      <c r="B70" s="2">
        <f t="shared" si="8"/>
        <v>69</v>
      </c>
      <c r="C70" s="14" t="e">
        <f>_xlfn.XLOOKUP($D70,Tab_Def_Processes[Process_Name],Tab_Def_Processes[Process_ID],,0,)</f>
        <v>#N/A</v>
      </c>
      <c r="D70" s="18" t="s">
        <v>5</v>
      </c>
      <c r="E70" s="14" t="e">
        <f>_xlfn.XLOOKUP($D70,Tab_Def_Processes[Process_Name],Tab_Def_Processes[Process_Logic],,0,)</f>
        <v>#N/A</v>
      </c>
      <c r="F70" s="14" t="e">
        <f>_xlfn.XLOOKUP($D70,Tab_Def_Processes[Process_Name],Tab_Def_Processes[TC_Configuration],,0,)</f>
        <v>#N/A</v>
      </c>
      <c r="G70" s="14" t="e">
        <f>_xlfn.XLOOKUP($D70,Tab_Def_Processes[Process_Name],Tab_Def_Processes[Stock_Configuration],,0,)</f>
        <v>#N/A</v>
      </c>
      <c r="H70" s="14" t="e">
        <f>_xlfn.XLOOKUP($D70,Tab_Def_Processes[Process_Name],Tab_Def_Processes[Outflow_count],,0,)</f>
        <v>#N/A</v>
      </c>
      <c r="I70" s="18" t="s">
        <v>5</v>
      </c>
      <c r="J70" s="2" t="str">
        <f>_xlfn.XLOOKUP($I70,Tab_Def_Flows[Flow_Name],Tab_Def_Flows[Flow_ID],,0,1)</f>
        <v>F__</v>
      </c>
      <c r="K70" s="3"/>
      <c r="L70" s="11" t="str">
        <f t="shared" si="9"/>
        <v>TC_E1_F__</v>
      </c>
      <c r="M70" s="20"/>
      <c r="N70" s="11" t="str">
        <f t="shared" si="10"/>
        <v>TC_E2_F__</v>
      </c>
      <c r="O70" s="20"/>
      <c r="P70" s="11" t="str">
        <f t="shared" si="11"/>
        <v>TC_E3_F__</v>
      </c>
      <c r="Q70" s="20"/>
      <c r="R70" s="11" t="str">
        <f t="shared" si="12"/>
        <v>TC_E4_F__</v>
      </c>
      <c r="S70" s="3"/>
      <c r="T70" s="11" t="str">
        <f t="shared" si="13"/>
        <v>TC_E5_F__</v>
      </c>
      <c r="U70" s="3"/>
      <c r="V70" s="11" t="str">
        <f t="shared" si="14"/>
        <v>TC_E6_F__</v>
      </c>
      <c r="W70" s="3"/>
      <c r="X70" s="9"/>
      <c r="Y70" s="9"/>
      <c r="Z70" s="9"/>
      <c r="AA70" s="9"/>
    </row>
    <row r="71" spans="1:27" x14ac:dyDescent="0.25">
      <c r="A71" s="22" t="b">
        <v>0</v>
      </c>
      <c r="B71" s="2">
        <f t="shared" si="8"/>
        <v>70</v>
      </c>
      <c r="C71" s="14" t="e">
        <f>_xlfn.XLOOKUP($D71,Tab_Def_Processes[Process_Name],Tab_Def_Processes[Process_ID],,0,)</f>
        <v>#N/A</v>
      </c>
      <c r="D71" s="18" t="s">
        <v>5</v>
      </c>
      <c r="E71" s="14" t="e">
        <f>_xlfn.XLOOKUP($D71,Tab_Def_Processes[Process_Name],Tab_Def_Processes[Process_Logic],,0,)</f>
        <v>#N/A</v>
      </c>
      <c r="F71" s="14" t="e">
        <f>_xlfn.XLOOKUP($D71,Tab_Def_Processes[Process_Name],Tab_Def_Processes[TC_Configuration],,0,)</f>
        <v>#N/A</v>
      </c>
      <c r="G71" s="14" t="e">
        <f>_xlfn.XLOOKUP($D71,Tab_Def_Processes[Process_Name],Tab_Def_Processes[Stock_Configuration],,0,)</f>
        <v>#N/A</v>
      </c>
      <c r="H71" s="14" t="e">
        <f>_xlfn.XLOOKUP($D71,Tab_Def_Processes[Process_Name],Tab_Def_Processes[Outflow_count],,0,)</f>
        <v>#N/A</v>
      </c>
      <c r="I71" s="18" t="s">
        <v>5</v>
      </c>
      <c r="J71" s="2" t="str">
        <f>_xlfn.XLOOKUP($I71,Tab_Def_Flows[Flow_Name],Tab_Def_Flows[Flow_ID],,0,1)</f>
        <v>F__</v>
      </c>
      <c r="K71" s="3"/>
      <c r="L71" s="11" t="str">
        <f t="shared" si="9"/>
        <v>TC_E1_F__</v>
      </c>
      <c r="M71" s="20"/>
      <c r="N71" s="11" t="str">
        <f t="shared" si="10"/>
        <v>TC_E2_F__</v>
      </c>
      <c r="O71" s="20"/>
      <c r="P71" s="11" t="str">
        <f t="shared" si="11"/>
        <v>TC_E3_F__</v>
      </c>
      <c r="Q71" s="20"/>
      <c r="R71" s="11" t="str">
        <f t="shared" si="12"/>
        <v>TC_E4_F__</v>
      </c>
      <c r="S71" s="3"/>
      <c r="T71" s="11" t="str">
        <f t="shared" si="13"/>
        <v>TC_E5_F__</v>
      </c>
      <c r="U71" s="3"/>
      <c r="V71" s="11" t="str">
        <f t="shared" si="14"/>
        <v>TC_E6_F__</v>
      </c>
      <c r="W71" s="3"/>
      <c r="X71" s="9"/>
      <c r="Y71" s="9"/>
      <c r="Z71" s="9"/>
      <c r="AA71" s="9"/>
    </row>
    <row r="72" spans="1:27" x14ac:dyDescent="0.25">
      <c r="A72" s="22" t="b">
        <v>0</v>
      </c>
      <c r="B72" s="2">
        <f t="shared" si="8"/>
        <v>71</v>
      </c>
      <c r="C72" s="14" t="e">
        <f>_xlfn.XLOOKUP($D72,Tab_Def_Processes[Process_Name],Tab_Def_Processes[Process_ID],,0,)</f>
        <v>#N/A</v>
      </c>
      <c r="D72" s="18" t="s">
        <v>5</v>
      </c>
      <c r="E72" s="14" t="e">
        <f>_xlfn.XLOOKUP($D72,Tab_Def_Processes[Process_Name],Tab_Def_Processes[Process_Logic],,0,)</f>
        <v>#N/A</v>
      </c>
      <c r="F72" s="14" t="e">
        <f>_xlfn.XLOOKUP($D72,Tab_Def_Processes[Process_Name],Tab_Def_Processes[TC_Configuration],,0,)</f>
        <v>#N/A</v>
      </c>
      <c r="G72" s="14" t="e">
        <f>_xlfn.XLOOKUP($D72,Tab_Def_Processes[Process_Name],Tab_Def_Processes[Stock_Configuration],,0,)</f>
        <v>#N/A</v>
      </c>
      <c r="H72" s="14" t="e">
        <f>_xlfn.XLOOKUP($D72,Tab_Def_Processes[Process_Name],Tab_Def_Processes[Outflow_count],,0,)</f>
        <v>#N/A</v>
      </c>
      <c r="I72" s="18" t="s">
        <v>5</v>
      </c>
      <c r="J72" s="2" t="str">
        <f>_xlfn.XLOOKUP($I72,Tab_Def_Flows[Flow_Name],Tab_Def_Flows[Flow_ID],,0,1)</f>
        <v>F__</v>
      </c>
      <c r="K72" s="3"/>
      <c r="L72" s="11" t="str">
        <f t="shared" si="9"/>
        <v>TC_E1_F__</v>
      </c>
      <c r="M72" s="20"/>
      <c r="N72" s="11" t="str">
        <f t="shared" si="10"/>
        <v>TC_E2_F__</v>
      </c>
      <c r="O72" s="20"/>
      <c r="P72" s="11" t="str">
        <f t="shared" si="11"/>
        <v>TC_E3_F__</v>
      </c>
      <c r="Q72" s="20"/>
      <c r="R72" s="11" t="str">
        <f t="shared" si="12"/>
        <v>TC_E4_F__</v>
      </c>
      <c r="S72" s="3"/>
      <c r="T72" s="11" t="str">
        <f t="shared" si="13"/>
        <v>TC_E5_F__</v>
      </c>
      <c r="U72" s="3"/>
      <c r="V72" s="11" t="str">
        <f t="shared" si="14"/>
        <v>TC_E6_F__</v>
      </c>
      <c r="W72" s="3"/>
      <c r="X72" s="9"/>
      <c r="Y72" s="9"/>
      <c r="Z72" s="9"/>
      <c r="AA72" s="9"/>
    </row>
    <row r="73" spans="1:27" x14ac:dyDescent="0.25">
      <c r="A73" s="22" t="b">
        <v>0</v>
      </c>
      <c r="B73" s="2">
        <f t="shared" si="8"/>
        <v>72</v>
      </c>
      <c r="C73" s="14" t="e">
        <f>_xlfn.XLOOKUP($D73,Tab_Def_Processes[Process_Name],Tab_Def_Processes[Process_ID],,0,)</f>
        <v>#N/A</v>
      </c>
      <c r="D73" s="18" t="s">
        <v>5</v>
      </c>
      <c r="E73" s="14" t="e">
        <f>_xlfn.XLOOKUP($D73,Tab_Def_Processes[Process_Name],Tab_Def_Processes[Process_Logic],,0,)</f>
        <v>#N/A</v>
      </c>
      <c r="F73" s="14" t="e">
        <f>_xlfn.XLOOKUP($D73,Tab_Def_Processes[Process_Name],Tab_Def_Processes[TC_Configuration],,0,)</f>
        <v>#N/A</v>
      </c>
      <c r="G73" s="14" t="e">
        <f>_xlfn.XLOOKUP($D73,Tab_Def_Processes[Process_Name],Tab_Def_Processes[Stock_Configuration],,0,)</f>
        <v>#N/A</v>
      </c>
      <c r="H73" s="14" t="e">
        <f>_xlfn.XLOOKUP($D73,Tab_Def_Processes[Process_Name],Tab_Def_Processes[Outflow_count],,0,)</f>
        <v>#N/A</v>
      </c>
      <c r="I73" s="18" t="s">
        <v>5</v>
      </c>
      <c r="J73" s="2" t="str">
        <f>_xlfn.XLOOKUP($I73,Tab_Def_Flows[Flow_Name],Tab_Def_Flows[Flow_ID],,0,1)</f>
        <v>F__</v>
      </c>
      <c r="K73" s="3"/>
      <c r="L73" s="11" t="str">
        <f t="shared" si="9"/>
        <v>TC_E1_F__</v>
      </c>
      <c r="M73" s="20"/>
      <c r="N73" s="11" t="str">
        <f t="shared" si="10"/>
        <v>TC_E2_F__</v>
      </c>
      <c r="O73" s="20"/>
      <c r="P73" s="11" t="str">
        <f t="shared" si="11"/>
        <v>TC_E3_F__</v>
      </c>
      <c r="Q73" s="20"/>
      <c r="R73" s="11" t="str">
        <f t="shared" si="12"/>
        <v>TC_E4_F__</v>
      </c>
      <c r="S73" s="3"/>
      <c r="T73" s="11" t="str">
        <f t="shared" si="13"/>
        <v>TC_E5_F__</v>
      </c>
      <c r="U73" s="3"/>
      <c r="V73" s="11" t="str">
        <f t="shared" si="14"/>
        <v>TC_E6_F__</v>
      </c>
      <c r="W73" s="3"/>
      <c r="X73" s="9"/>
      <c r="Y73" s="9"/>
      <c r="Z73" s="9"/>
      <c r="AA73" s="9"/>
    </row>
    <row r="74" spans="1:27" x14ac:dyDescent="0.25">
      <c r="A74" s="22" t="b">
        <v>0</v>
      </c>
      <c r="B74" s="2">
        <f t="shared" si="8"/>
        <v>73</v>
      </c>
      <c r="C74" s="14" t="e">
        <f>_xlfn.XLOOKUP($D74,Tab_Def_Processes[Process_Name],Tab_Def_Processes[Process_ID],,0,)</f>
        <v>#N/A</v>
      </c>
      <c r="D74" s="18" t="s">
        <v>5</v>
      </c>
      <c r="E74" s="14" t="e">
        <f>_xlfn.XLOOKUP($D74,Tab_Def_Processes[Process_Name],Tab_Def_Processes[Process_Logic],,0,)</f>
        <v>#N/A</v>
      </c>
      <c r="F74" s="14" t="e">
        <f>_xlfn.XLOOKUP($D74,Tab_Def_Processes[Process_Name],Tab_Def_Processes[TC_Configuration],,0,)</f>
        <v>#N/A</v>
      </c>
      <c r="G74" s="14" t="e">
        <f>_xlfn.XLOOKUP($D74,Tab_Def_Processes[Process_Name],Tab_Def_Processes[Stock_Configuration],,0,)</f>
        <v>#N/A</v>
      </c>
      <c r="H74" s="14" t="e">
        <f>_xlfn.XLOOKUP($D74,Tab_Def_Processes[Process_Name],Tab_Def_Processes[Outflow_count],,0,)</f>
        <v>#N/A</v>
      </c>
      <c r="I74" s="18" t="s">
        <v>5</v>
      </c>
      <c r="J74" s="2" t="str">
        <f>_xlfn.XLOOKUP($I74,Tab_Def_Flows[Flow_Name],Tab_Def_Flows[Flow_ID],,0,1)</f>
        <v>F__</v>
      </c>
      <c r="K74" s="3"/>
      <c r="L74" s="11" t="str">
        <f t="shared" si="9"/>
        <v>TC_E1_F__</v>
      </c>
      <c r="M74" s="20"/>
      <c r="N74" s="11" t="str">
        <f t="shared" si="10"/>
        <v>TC_E2_F__</v>
      </c>
      <c r="O74" s="20"/>
      <c r="P74" s="11" t="str">
        <f t="shared" si="11"/>
        <v>TC_E3_F__</v>
      </c>
      <c r="Q74" s="20"/>
      <c r="R74" s="11" t="str">
        <f t="shared" si="12"/>
        <v>TC_E4_F__</v>
      </c>
      <c r="S74" s="3"/>
      <c r="T74" s="11" t="str">
        <f t="shared" si="13"/>
        <v>TC_E5_F__</v>
      </c>
      <c r="U74" s="3"/>
      <c r="V74" s="11" t="str">
        <f t="shared" si="14"/>
        <v>TC_E6_F__</v>
      </c>
      <c r="W74" s="3"/>
      <c r="X74" s="9"/>
      <c r="Y74" s="9"/>
      <c r="Z74" s="9"/>
      <c r="AA74" s="9"/>
    </row>
    <row r="75" spans="1:27" x14ac:dyDescent="0.25">
      <c r="A75" s="22" t="b">
        <v>0</v>
      </c>
      <c r="B75" s="2">
        <f t="shared" si="8"/>
        <v>74</v>
      </c>
      <c r="C75" s="14" t="e">
        <f>_xlfn.XLOOKUP($D75,Tab_Def_Processes[Process_Name],Tab_Def_Processes[Process_ID],,0,)</f>
        <v>#N/A</v>
      </c>
      <c r="D75" s="18" t="s">
        <v>5</v>
      </c>
      <c r="E75" s="14" t="e">
        <f>_xlfn.XLOOKUP($D75,Tab_Def_Processes[Process_Name],Tab_Def_Processes[Process_Logic],,0,)</f>
        <v>#N/A</v>
      </c>
      <c r="F75" s="14" t="e">
        <f>_xlfn.XLOOKUP($D75,Tab_Def_Processes[Process_Name],Tab_Def_Processes[TC_Configuration],,0,)</f>
        <v>#N/A</v>
      </c>
      <c r="G75" s="14" t="e">
        <f>_xlfn.XLOOKUP($D75,Tab_Def_Processes[Process_Name],Tab_Def_Processes[Stock_Configuration],,0,)</f>
        <v>#N/A</v>
      </c>
      <c r="H75" s="14" t="e">
        <f>_xlfn.XLOOKUP($D75,Tab_Def_Processes[Process_Name],Tab_Def_Processes[Outflow_count],,0,)</f>
        <v>#N/A</v>
      </c>
      <c r="I75" s="18" t="s">
        <v>5</v>
      </c>
      <c r="J75" s="2" t="str">
        <f>_xlfn.XLOOKUP($I75,Tab_Def_Flows[Flow_Name],Tab_Def_Flows[Flow_ID],,0,1)</f>
        <v>F__</v>
      </c>
      <c r="K75" s="3"/>
      <c r="L75" s="11" t="str">
        <f t="shared" si="9"/>
        <v>TC_E1_F__</v>
      </c>
      <c r="M75" s="20"/>
      <c r="N75" s="11" t="str">
        <f t="shared" si="10"/>
        <v>TC_E2_F__</v>
      </c>
      <c r="O75" s="20"/>
      <c r="P75" s="11" t="str">
        <f t="shared" si="11"/>
        <v>TC_E3_F__</v>
      </c>
      <c r="Q75" s="20"/>
      <c r="R75" s="11" t="str">
        <f t="shared" si="12"/>
        <v>TC_E4_F__</v>
      </c>
      <c r="S75" s="3"/>
      <c r="T75" s="11" t="str">
        <f t="shared" si="13"/>
        <v>TC_E5_F__</v>
      </c>
      <c r="U75" s="3"/>
      <c r="V75" s="11" t="str">
        <f t="shared" si="14"/>
        <v>TC_E6_F__</v>
      </c>
      <c r="W75" s="3"/>
      <c r="X75" s="9"/>
      <c r="Y75" s="9"/>
      <c r="Z75" s="9"/>
      <c r="AA75" s="9"/>
    </row>
    <row r="76" spans="1:27" x14ac:dyDescent="0.25">
      <c r="A76" s="22" t="b">
        <v>0</v>
      </c>
      <c r="B76" s="2">
        <f t="shared" si="8"/>
        <v>75</v>
      </c>
      <c r="C76" s="14" t="e">
        <f>_xlfn.XLOOKUP($D76,Tab_Def_Processes[Process_Name],Tab_Def_Processes[Process_ID],,0,)</f>
        <v>#N/A</v>
      </c>
      <c r="D76" s="18" t="s">
        <v>5</v>
      </c>
      <c r="E76" s="14" t="e">
        <f>_xlfn.XLOOKUP($D76,Tab_Def_Processes[Process_Name],Tab_Def_Processes[Process_Logic],,0,)</f>
        <v>#N/A</v>
      </c>
      <c r="F76" s="14" t="e">
        <f>_xlfn.XLOOKUP($D76,Tab_Def_Processes[Process_Name],Tab_Def_Processes[TC_Configuration],,0,)</f>
        <v>#N/A</v>
      </c>
      <c r="G76" s="14" t="e">
        <f>_xlfn.XLOOKUP($D76,Tab_Def_Processes[Process_Name],Tab_Def_Processes[Stock_Configuration],,0,)</f>
        <v>#N/A</v>
      </c>
      <c r="H76" s="14" t="e">
        <f>_xlfn.XLOOKUP($D76,Tab_Def_Processes[Process_Name],Tab_Def_Processes[Outflow_count],,0,)</f>
        <v>#N/A</v>
      </c>
      <c r="I76" s="18" t="s">
        <v>5</v>
      </c>
      <c r="J76" s="2" t="str">
        <f>_xlfn.XLOOKUP($I76,Tab_Def_Flows[Flow_Name],Tab_Def_Flows[Flow_ID],,0,1)</f>
        <v>F__</v>
      </c>
      <c r="K76" s="3"/>
      <c r="L76" s="11" t="str">
        <f t="shared" si="9"/>
        <v>TC_E1_F__</v>
      </c>
      <c r="M76" s="20"/>
      <c r="N76" s="11" t="str">
        <f t="shared" si="10"/>
        <v>TC_E2_F__</v>
      </c>
      <c r="O76" s="20"/>
      <c r="P76" s="11" t="str">
        <f t="shared" si="11"/>
        <v>TC_E3_F__</v>
      </c>
      <c r="Q76" s="20"/>
      <c r="R76" s="11" t="str">
        <f t="shared" si="12"/>
        <v>TC_E4_F__</v>
      </c>
      <c r="S76" s="3"/>
      <c r="T76" s="11" t="str">
        <f t="shared" si="13"/>
        <v>TC_E5_F__</v>
      </c>
      <c r="U76" s="3"/>
      <c r="V76" s="11" t="str">
        <f t="shared" si="14"/>
        <v>TC_E6_F__</v>
      </c>
      <c r="W76" s="3"/>
      <c r="X76" s="9"/>
      <c r="Y76" s="9"/>
      <c r="Z76" s="9"/>
      <c r="AA76" s="9"/>
    </row>
    <row r="77" spans="1:27" x14ac:dyDescent="0.25">
      <c r="A77" s="22" t="b">
        <v>0</v>
      </c>
      <c r="B77" s="2">
        <f t="shared" si="8"/>
        <v>76</v>
      </c>
      <c r="C77" s="14" t="e">
        <f>_xlfn.XLOOKUP($D77,Tab_Def_Processes[Process_Name],Tab_Def_Processes[Process_ID],,0,)</f>
        <v>#N/A</v>
      </c>
      <c r="D77" s="18" t="s">
        <v>5</v>
      </c>
      <c r="E77" s="14" t="e">
        <f>_xlfn.XLOOKUP($D77,Tab_Def_Processes[Process_Name],Tab_Def_Processes[Process_Logic],,0,)</f>
        <v>#N/A</v>
      </c>
      <c r="F77" s="14" t="e">
        <f>_xlfn.XLOOKUP($D77,Tab_Def_Processes[Process_Name],Tab_Def_Processes[TC_Configuration],,0,)</f>
        <v>#N/A</v>
      </c>
      <c r="G77" s="14" t="e">
        <f>_xlfn.XLOOKUP($D77,Tab_Def_Processes[Process_Name],Tab_Def_Processes[Stock_Configuration],,0,)</f>
        <v>#N/A</v>
      </c>
      <c r="H77" s="14" t="e">
        <f>_xlfn.XLOOKUP($D77,Tab_Def_Processes[Process_Name],Tab_Def_Processes[Outflow_count],,0,)</f>
        <v>#N/A</v>
      </c>
      <c r="I77" s="18" t="s">
        <v>5</v>
      </c>
      <c r="J77" s="2" t="str">
        <f>_xlfn.XLOOKUP($I77,Tab_Def_Flows[Flow_Name],Tab_Def_Flows[Flow_ID],,0,1)</f>
        <v>F__</v>
      </c>
      <c r="K77" s="3"/>
      <c r="L77" s="11" t="str">
        <f t="shared" si="9"/>
        <v>TC_E1_F__</v>
      </c>
      <c r="M77" s="20"/>
      <c r="N77" s="11" t="str">
        <f t="shared" si="10"/>
        <v>TC_E2_F__</v>
      </c>
      <c r="O77" s="20"/>
      <c r="P77" s="11" t="str">
        <f t="shared" si="11"/>
        <v>TC_E3_F__</v>
      </c>
      <c r="Q77" s="20"/>
      <c r="R77" s="11" t="str">
        <f t="shared" si="12"/>
        <v>TC_E4_F__</v>
      </c>
      <c r="S77" s="3"/>
      <c r="T77" s="11" t="str">
        <f t="shared" si="13"/>
        <v>TC_E5_F__</v>
      </c>
      <c r="U77" s="3"/>
      <c r="V77" s="11" t="str">
        <f t="shared" si="14"/>
        <v>TC_E6_F__</v>
      </c>
      <c r="W77" s="3"/>
      <c r="X77" s="9"/>
      <c r="Y77" s="9"/>
      <c r="Z77" s="9"/>
      <c r="AA77" s="9"/>
    </row>
    <row r="78" spans="1:27" x14ac:dyDescent="0.25">
      <c r="A78" s="22" t="b">
        <v>0</v>
      </c>
      <c r="B78" s="2">
        <f t="shared" si="8"/>
        <v>77</v>
      </c>
      <c r="C78" s="14" t="e">
        <f>_xlfn.XLOOKUP($D78,Tab_Def_Processes[Process_Name],Tab_Def_Processes[Process_ID],,0,)</f>
        <v>#N/A</v>
      </c>
      <c r="D78" s="18" t="s">
        <v>5</v>
      </c>
      <c r="E78" s="14" t="e">
        <f>_xlfn.XLOOKUP($D78,Tab_Def_Processes[Process_Name],Tab_Def_Processes[Process_Logic],,0,)</f>
        <v>#N/A</v>
      </c>
      <c r="F78" s="14" t="e">
        <f>_xlfn.XLOOKUP($D78,Tab_Def_Processes[Process_Name],Tab_Def_Processes[TC_Configuration],,0,)</f>
        <v>#N/A</v>
      </c>
      <c r="G78" s="14" t="e">
        <f>_xlfn.XLOOKUP($D78,Tab_Def_Processes[Process_Name],Tab_Def_Processes[Stock_Configuration],,0,)</f>
        <v>#N/A</v>
      </c>
      <c r="H78" s="14" t="e">
        <f>_xlfn.XLOOKUP($D78,Tab_Def_Processes[Process_Name],Tab_Def_Processes[Outflow_count],,0,)</f>
        <v>#N/A</v>
      </c>
      <c r="I78" s="18" t="s">
        <v>5</v>
      </c>
      <c r="J78" s="2" t="str">
        <f>_xlfn.XLOOKUP($I78,Tab_Def_Flows[Flow_Name],Tab_Def_Flows[Flow_ID],,0,1)</f>
        <v>F__</v>
      </c>
      <c r="K78" s="3"/>
      <c r="L78" s="11" t="str">
        <f t="shared" si="9"/>
        <v>TC_E1_F__</v>
      </c>
      <c r="M78" s="20"/>
      <c r="N78" s="11" t="str">
        <f t="shared" si="10"/>
        <v>TC_E2_F__</v>
      </c>
      <c r="O78" s="20"/>
      <c r="P78" s="11" t="str">
        <f t="shared" si="11"/>
        <v>TC_E3_F__</v>
      </c>
      <c r="Q78" s="20"/>
      <c r="R78" s="11" t="str">
        <f t="shared" si="12"/>
        <v>TC_E4_F__</v>
      </c>
      <c r="S78" s="3"/>
      <c r="T78" s="11" t="str">
        <f t="shared" si="13"/>
        <v>TC_E5_F__</v>
      </c>
      <c r="U78" s="3"/>
      <c r="V78" s="11" t="str">
        <f t="shared" si="14"/>
        <v>TC_E6_F__</v>
      </c>
      <c r="W78" s="3"/>
      <c r="X78" s="9"/>
      <c r="Y78" s="9"/>
      <c r="Z78" s="9"/>
      <c r="AA78" s="9"/>
    </row>
    <row r="79" spans="1:27" x14ac:dyDescent="0.25">
      <c r="A79" s="22" t="b">
        <v>0</v>
      </c>
      <c r="B79" s="2">
        <f t="shared" si="8"/>
        <v>78</v>
      </c>
      <c r="C79" s="14" t="e">
        <f>_xlfn.XLOOKUP($D79,Tab_Def_Processes[Process_Name],Tab_Def_Processes[Process_ID],,0,)</f>
        <v>#N/A</v>
      </c>
      <c r="D79" s="18" t="s">
        <v>5</v>
      </c>
      <c r="E79" s="14" t="e">
        <f>_xlfn.XLOOKUP($D79,Tab_Def_Processes[Process_Name],Tab_Def_Processes[Process_Logic],,0,)</f>
        <v>#N/A</v>
      </c>
      <c r="F79" s="14" t="e">
        <f>_xlfn.XLOOKUP($D79,Tab_Def_Processes[Process_Name],Tab_Def_Processes[TC_Configuration],,0,)</f>
        <v>#N/A</v>
      </c>
      <c r="G79" s="14" t="e">
        <f>_xlfn.XLOOKUP($D79,Tab_Def_Processes[Process_Name],Tab_Def_Processes[Stock_Configuration],,0,)</f>
        <v>#N/A</v>
      </c>
      <c r="H79" s="14" t="e">
        <f>_xlfn.XLOOKUP($D79,Tab_Def_Processes[Process_Name],Tab_Def_Processes[Outflow_count],,0,)</f>
        <v>#N/A</v>
      </c>
      <c r="I79" s="18" t="s">
        <v>5</v>
      </c>
      <c r="J79" s="2" t="str">
        <f>_xlfn.XLOOKUP($I79,Tab_Def_Flows[Flow_Name],Tab_Def_Flows[Flow_ID],,0,1)</f>
        <v>F__</v>
      </c>
      <c r="K79" s="3"/>
      <c r="L79" s="11" t="str">
        <f t="shared" si="9"/>
        <v>TC_E1_F__</v>
      </c>
      <c r="M79" s="20"/>
      <c r="N79" s="11" t="str">
        <f t="shared" si="10"/>
        <v>TC_E2_F__</v>
      </c>
      <c r="O79" s="20"/>
      <c r="P79" s="11" t="str">
        <f t="shared" si="11"/>
        <v>TC_E3_F__</v>
      </c>
      <c r="Q79" s="20"/>
      <c r="R79" s="11" t="str">
        <f t="shared" si="12"/>
        <v>TC_E4_F__</v>
      </c>
      <c r="S79" s="3"/>
      <c r="T79" s="11" t="str">
        <f t="shared" si="13"/>
        <v>TC_E5_F__</v>
      </c>
      <c r="U79" s="3"/>
      <c r="V79" s="11" t="str">
        <f t="shared" si="14"/>
        <v>TC_E6_F__</v>
      </c>
      <c r="W79" s="3"/>
      <c r="X79" s="9"/>
      <c r="Y79" s="9"/>
      <c r="Z79" s="9"/>
      <c r="AA79" s="9"/>
    </row>
    <row r="80" spans="1:27" x14ac:dyDescent="0.25">
      <c r="A80" s="22" t="b">
        <v>0</v>
      </c>
      <c r="B80" s="2">
        <f t="shared" si="8"/>
        <v>79</v>
      </c>
      <c r="C80" s="14" t="e">
        <f>_xlfn.XLOOKUP($D80,Tab_Def_Processes[Process_Name],Tab_Def_Processes[Process_ID],,0,)</f>
        <v>#N/A</v>
      </c>
      <c r="D80" s="18" t="s">
        <v>5</v>
      </c>
      <c r="E80" s="14" t="e">
        <f>_xlfn.XLOOKUP($D80,Tab_Def_Processes[Process_Name],Tab_Def_Processes[Process_Logic],,0,)</f>
        <v>#N/A</v>
      </c>
      <c r="F80" s="14" t="e">
        <f>_xlfn.XLOOKUP($D80,Tab_Def_Processes[Process_Name],Tab_Def_Processes[TC_Configuration],,0,)</f>
        <v>#N/A</v>
      </c>
      <c r="G80" s="14" t="e">
        <f>_xlfn.XLOOKUP($D80,Tab_Def_Processes[Process_Name],Tab_Def_Processes[Stock_Configuration],,0,)</f>
        <v>#N/A</v>
      </c>
      <c r="H80" s="14" t="e">
        <f>_xlfn.XLOOKUP($D80,Tab_Def_Processes[Process_Name],Tab_Def_Processes[Outflow_count],,0,)</f>
        <v>#N/A</v>
      </c>
      <c r="I80" s="18" t="s">
        <v>5</v>
      </c>
      <c r="J80" s="2" t="str">
        <f>_xlfn.XLOOKUP($I80,Tab_Def_Flows[Flow_Name],Tab_Def_Flows[Flow_ID],,0,1)</f>
        <v>F__</v>
      </c>
      <c r="K80" s="3"/>
      <c r="L80" s="11" t="str">
        <f t="shared" si="9"/>
        <v>TC_E1_F__</v>
      </c>
      <c r="M80" s="20"/>
      <c r="N80" s="11" t="str">
        <f t="shared" si="10"/>
        <v>TC_E2_F__</v>
      </c>
      <c r="O80" s="20"/>
      <c r="P80" s="11" t="str">
        <f t="shared" si="11"/>
        <v>TC_E3_F__</v>
      </c>
      <c r="Q80" s="20"/>
      <c r="R80" s="11" t="str">
        <f t="shared" si="12"/>
        <v>TC_E4_F__</v>
      </c>
      <c r="S80" s="3"/>
      <c r="T80" s="11" t="str">
        <f t="shared" si="13"/>
        <v>TC_E5_F__</v>
      </c>
      <c r="U80" s="3"/>
      <c r="V80" s="11" t="str">
        <f t="shared" si="14"/>
        <v>TC_E6_F__</v>
      </c>
      <c r="W80" s="3"/>
      <c r="X80" s="9"/>
      <c r="Y80" s="9"/>
      <c r="Z80" s="9"/>
      <c r="AA80" s="9"/>
    </row>
    <row r="81" spans="1:27" x14ac:dyDescent="0.25">
      <c r="A81" s="22" t="b">
        <v>0</v>
      </c>
      <c r="B81" s="2">
        <f t="shared" si="8"/>
        <v>80</v>
      </c>
      <c r="C81" s="14" t="e">
        <f>_xlfn.XLOOKUP($D81,Tab_Def_Processes[Process_Name],Tab_Def_Processes[Process_ID],,0,)</f>
        <v>#N/A</v>
      </c>
      <c r="D81" s="18" t="s">
        <v>5</v>
      </c>
      <c r="E81" s="14" t="e">
        <f>_xlfn.XLOOKUP($D81,Tab_Def_Processes[Process_Name],Tab_Def_Processes[Process_Logic],,0,)</f>
        <v>#N/A</v>
      </c>
      <c r="F81" s="14" t="e">
        <f>_xlfn.XLOOKUP($D81,Tab_Def_Processes[Process_Name],Tab_Def_Processes[TC_Configuration],,0,)</f>
        <v>#N/A</v>
      </c>
      <c r="G81" s="14" t="e">
        <f>_xlfn.XLOOKUP($D81,Tab_Def_Processes[Process_Name],Tab_Def_Processes[Stock_Configuration],,0,)</f>
        <v>#N/A</v>
      </c>
      <c r="H81" s="14" t="e">
        <f>_xlfn.XLOOKUP($D81,Tab_Def_Processes[Process_Name],Tab_Def_Processes[Outflow_count],,0,)</f>
        <v>#N/A</v>
      </c>
      <c r="I81" s="18" t="s">
        <v>5</v>
      </c>
      <c r="J81" s="2" t="str">
        <f>_xlfn.XLOOKUP($I81,Tab_Def_Flows[Flow_Name],Tab_Def_Flows[Flow_ID],,0,1)</f>
        <v>F__</v>
      </c>
      <c r="K81" s="3"/>
      <c r="L81" s="11" t="str">
        <f t="shared" si="9"/>
        <v>TC_E1_F__</v>
      </c>
      <c r="M81" s="20"/>
      <c r="N81" s="11" t="str">
        <f t="shared" si="10"/>
        <v>TC_E2_F__</v>
      </c>
      <c r="O81" s="20"/>
      <c r="P81" s="11" t="str">
        <f t="shared" si="11"/>
        <v>TC_E3_F__</v>
      </c>
      <c r="Q81" s="20"/>
      <c r="R81" s="11" t="str">
        <f t="shared" si="12"/>
        <v>TC_E4_F__</v>
      </c>
      <c r="S81" s="3"/>
      <c r="T81" s="11" t="str">
        <f t="shared" si="13"/>
        <v>TC_E5_F__</v>
      </c>
      <c r="U81" s="3"/>
      <c r="V81" s="11" t="str">
        <f t="shared" si="14"/>
        <v>TC_E6_F__</v>
      </c>
      <c r="W81" s="3"/>
      <c r="X81" s="9"/>
      <c r="Y81" s="9"/>
      <c r="Z81" s="9"/>
      <c r="AA81" s="9"/>
    </row>
    <row r="82" spans="1:27" x14ac:dyDescent="0.25">
      <c r="A82" s="22" t="b">
        <v>0</v>
      </c>
      <c r="B82" s="2">
        <f t="shared" si="8"/>
        <v>81</v>
      </c>
      <c r="C82" s="14" t="e">
        <f>_xlfn.XLOOKUP($D82,Tab_Def_Processes[Process_Name],Tab_Def_Processes[Process_ID],,0,)</f>
        <v>#N/A</v>
      </c>
      <c r="D82" s="18" t="s">
        <v>5</v>
      </c>
      <c r="E82" s="14" t="e">
        <f>_xlfn.XLOOKUP($D82,Tab_Def_Processes[Process_Name],Tab_Def_Processes[Process_Logic],,0,)</f>
        <v>#N/A</v>
      </c>
      <c r="F82" s="14" t="e">
        <f>_xlfn.XLOOKUP($D82,Tab_Def_Processes[Process_Name],Tab_Def_Processes[TC_Configuration],,0,)</f>
        <v>#N/A</v>
      </c>
      <c r="G82" s="14" t="e">
        <f>_xlfn.XLOOKUP($D82,Tab_Def_Processes[Process_Name],Tab_Def_Processes[Stock_Configuration],,0,)</f>
        <v>#N/A</v>
      </c>
      <c r="H82" s="14" t="e">
        <f>_xlfn.XLOOKUP($D82,Tab_Def_Processes[Process_Name],Tab_Def_Processes[Outflow_count],,0,)</f>
        <v>#N/A</v>
      </c>
      <c r="I82" s="18" t="s">
        <v>5</v>
      </c>
      <c r="J82" s="2" t="str">
        <f>_xlfn.XLOOKUP($I82,Tab_Def_Flows[Flow_Name],Tab_Def_Flows[Flow_ID],,0,1)</f>
        <v>F__</v>
      </c>
      <c r="K82" s="3"/>
      <c r="L82" s="11" t="str">
        <f t="shared" si="9"/>
        <v>TC_E1_F__</v>
      </c>
      <c r="M82" s="20"/>
      <c r="N82" s="11" t="str">
        <f t="shared" si="10"/>
        <v>TC_E2_F__</v>
      </c>
      <c r="O82" s="20"/>
      <c r="P82" s="11" t="str">
        <f t="shared" si="11"/>
        <v>TC_E3_F__</v>
      </c>
      <c r="Q82" s="20"/>
      <c r="R82" s="11" t="str">
        <f t="shared" si="12"/>
        <v>TC_E4_F__</v>
      </c>
      <c r="S82" s="3"/>
      <c r="T82" s="11" t="str">
        <f t="shared" si="13"/>
        <v>TC_E5_F__</v>
      </c>
      <c r="U82" s="3"/>
      <c r="V82" s="11" t="str">
        <f t="shared" si="14"/>
        <v>TC_E6_F__</v>
      </c>
      <c r="W82" s="3"/>
      <c r="X82" s="9"/>
      <c r="Y82" s="9"/>
      <c r="Z82" s="9"/>
      <c r="AA82" s="9"/>
    </row>
    <row r="83" spans="1:27" x14ac:dyDescent="0.25">
      <c r="A83" s="22" t="b">
        <v>0</v>
      </c>
      <c r="B83" s="2">
        <f t="shared" si="8"/>
        <v>82</v>
      </c>
      <c r="C83" s="14" t="e">
        <f>_xlfn.XLOOKUP($D83,Tab_Def_Processes[Process_Name],Tab_Def_Processes[Process_ID],,0,)</f>
        <v>#N/A</v>
      </c>
      <c r="D83" s="18" t="s">
        <v>5</v>
      </c>
      <c r="E83" s="14" t="e">
        <f>_xlfn.XLOOKUP($D83,Tab_Def_Processes[Process_Name],Tab_Def_Processes[Process_Logic],,0,)</f>
        <v>#N/A</v>
      </c>
      <c r="F83" s="14" t="e">
        <f>_xlfn.XLOOKUP($D83,Tab_Def_Processes[Process_Name],Tab_Def_Processes[TC_Configuration],,0,)</f>
        <v>#N/A</v>
      </c>
      <c r="G83" s="14" t="e">
        <f>_xlfn.XLOOKUP($D83,Tab_Def_Processes[Process_Name],Tab_Def_Processes[Stock_Configuration],,0,)</f>
        <v>#N/A</v>
      </c>
      <c r="H83" s="14" t="e">
        <f>_xlfn.XLOOKUP($D83,Tab_Def_Processes[Process_Name],Tab_Def_Processes[Outflow_count],,0,)</f>
        <v>#N/A</v>
      </c>
      <c r="I83" s="18" t="s">
        <v>5</v>
      </c>
      <c r="J83" s="2" t="str">
        <f>_xlfn.XLOOKUP($I83,Tab_Def_Flows[Flow_Name],Tab_Def_Flows[Flow_ID],,0,1)</f>
        <v>F__</v>
      </c>
      <c r="K83" s="3"/>
      <c r="L83" s="11" t="str">
        <f t="shared" si="9"/>
        <v>TC_E1_F__</v>
      </c>
      <c r="M83" s="20"/>
      <c r="N83" s="11" t="str">
        <f t="shared" si="10"/>
        <v>TC_E2_F__</v>
      </c>
      <c r="O83" s="20"/>
      <c r="P83" s="11" t="str">
        <f t="shared" si="11"/>
        <v>TC_E3_F__</v>
      </c>
      <c r="Q83" s="20"/>
      <c r="R83" s="11" t="str">
        <f t="shared" si="12"/>
        <v>TC_E4_F__</v>
      </c>
      <c r="S83" s="3"/>
      <c r="T83" s="11" t="str">
        <f t="shared" si="13"/>
        <v>TC_E5_F__</v>
      </c>
      <c r="U83" s="3"/>
      <c r="V83" s="11" t="str">
        <f t="shared" si="14"/>
        <v>TC_E6_F__</v>
      </c>
      <c r="W83" s="3"/>
      <c r="X83" s="9"/>
      <c r="Y83" s="9"/>
      <c r="Z83" s="9"/>
      <c r="AA83" s="9"/>
    </row>
    <row r="84" spans="1:27" x14ac:dyDescent="0.25">
      <c r="A84" s="22" t="b">
        <v>0</v>
      </c>
      <c r="B84" s="2">
        <f t="shared" si="8"/>
        <v>83</v>
      </c>
      <c r="C84" s="14" t="e">
        <f>_xlfn.XLOOKUP($D84,Tab_Def_Processes[Process_Name],Tab_Def_Processes[Process_ID],,0,)</f>
        <v>#N/A</v>
      </c>
      <c r="D84" s="18" t="s">
        <v>5</v>
      </c>
      <c r="E84" s="14" t="e">
        <f>_xlfn.XLOOKUP($D84,Tab_Def_Processes[Process_Name],Tab_Def_Processes[Process_Logic],,0,)</f>
        <v>#N/A</v>
      </c>
      <c r="F84" s="14" t="e">
        <f>_xlfn.XLOOKUP($D84,Tab_Def_Processes[Process_Name],Tab_Def_Processes[TC_Configuration],,0,)</f>
        <v>#N/A</v>
      </c>
      <c r="G84" s="14" t="e">
        <f>_xlfn.XLOOKUP($D84,Tab_Def_Processes[Process_Name],Tab_Def_Processes[Stock_Configuration],,0,)</f>
        <v>#N/A</v>
      </c>
      <c r="H84" s="14" t="e">
        <f>_xlfn.XLOOKUP($D84,Tab_Def_Processes[Process_Name],Tab_Def_Processes[Outflow_count],,0,)</f>
        <v>#N/A</v>
      </c>
      <c r="I84" s="18" t="s">
        <v>5</v>
      </c>
      <c r="J84" s="2" t="str">
        <f>_xlfn.XLOOKUP($I84,Tab_Def_Flows[Flow_Name],Tab_Def_Flows[Flow_ID],,0,1)</f>
        <v>F__</v>
      </c>
      <c r="K84" s="3"/>
      <c r="L84" s="11" t="str">
        <f t="shared" si="9"/>
        <v>TC_E1_F__</v>
      </c>
      <c r="M84" s="20"/>
      <c r="N84" s="11" t="str">
        <f t="shared" si="10"/>
        <v>TC_E2_F__</v>
      </c>
      <c r="O84" s="20"/>
      <c r="P84" s="11" t="str">
        <f t="shared" si="11"/>
        <v>TC_E3_F__</v>
      </c>
      <c r="Q84" s="20"/>
      <c r="R84" s="11" t="str">
        <f t="shared" si="12"/>
        <v>TC_E4_F__</v>
      </c>
      <c r="S84" s="3"/>
      <c r="T84" s="11" t="str">
        <f t="shared" si="13"/>
        <v>TC_E5_F__</v>
      </c>
      <c r="U84" s="3"/>
      <c r="V84" s="11" t="str">
        <f t="shared" si="14"/>
        <v>TC_E6_F__</v>
      </c>
      <c r="W84" s="3"/>
      <c r="X84" s="9"/>
      <c r="Y84" s="9"/>
      <c r="Z84" s="9"/>
      <c r="AA84" s="9"/>
    </row>
    <row r="85" spans="1:27" x14ac:dyDescent="0.25">
      <c r="A85" s="22" t="b">
        <v>0</v>
      </c>
      <c r="B85" s="2">
        <f t="shared" si="8"/>
        <v>84</v>
      </c>
      <c r="C85" s="14" t="e">
        <f>_xlfn.XLOOKUP($D85,Tab_Def_Processes[Process_Name],Tab_Def_Processes[Process_ID],,0,)</f>
        <v>#N/A</v>
      </c>
      <c r="D85" s="18" t="s">
        <v>5</v>
      </c>
      <c r="E85" s="14" t="e">
        <f>_xlfn.XLOOKUP($D85,Tab_Def_Processes[Process_Name],Tab_Def_Processes[Process_Logic],,0,)</f>
        <v>#N/A</v>
      </c>
      <c r="F85" s="14" t="e">
        <f>_xlfn.XLOOKUP($D85,Tab_Def_Processes[Process_Name],Tab_Def_Processes[TC_Configuration],,0,)</f>
        <v>#N/A</v>
      </c>
      <c r="G85" s="14" t="e">
        <f>_xlfn.XLOOKUP($D85,Tab_Def_Processes[Process_Name],Tab_Def_Processes[Stock_Configuration],,0,)</f>
        <v>#N/A</v>
      </c>
      <c r="H85" s="14" t="e">
        <f>_xlfn.XLOOKUP($D85,Tab_Def_Processes[Process_Name],Tab_Def_Processes[Outflow_count],,0,)</f>
        <v>#N/A</v>
      </c>
      <c r="I85" s="18" t="s">
        <v>5</v>
      </c>
      <c r="J85" s="2" t="str">
        <f>_xlfn.XLOOKUP($I85,Tab_Def_Flows[Flow_Name],Tab_Def_Flows[Flow_ID],,0,1)</f>
        <v>F__</v>
      </c>
      <c r="K85" s="3"/>
      <c r="L85" s="11" t="str">
        <f t="shared" si="9"/>
        <v>TC_E1_F__</v>
      </c>
      <c r="M85" s="20"/>
      <c r="N85" s="11" t="str">
        <f t="shared" si="10"/>
        <v>TC_E2_F__</v>
      </c>
      <c r="O85" s="20"/>
      <c r="P85" s="11" t="str">
        <f t="shared" si="11"/>
        <v>TC_E3_F__</v>
      </c>
      <c r="Q85" s="20"/>
      <c r="R85" s="11" t="str">
        <f t="shared" si="12"/>
        <v>TC_E4_F__</v>
      </c>
      <c r="S85" s="3"/>
      <c r="T85" s="11" t="str">
        <f t="shared" si="13"/>
        <v>TC_E5_F__</v>
      </c>
      <c r="U85" s="3"/>
      <c r="V85" s="11" t="str">
        <f t="shared" si="14"/>
        <v>TC_E6_F__</v>
      </c>
      <c r="W85" s="3"/>
      <c r="X85" s="9"/>
      <c r="Y85" s="9"/>
      <c r="Z85" s="9"/>
      <c r="AA85" s="9"/>
    </row>
    <row r="86" spans="1:27" x14ac:dyDescent="0.25">
      <c r="A86" s="22" t="b">
        <v>0</v>
      </c>
      <c r="B86" s="2">
        <f t="shared" si="8"/>
        <v>85</v>
      </c>
      <c r="C86" s="14" t="e">
        <f>_xlfn.XLOOKUP($D86,Tab_Def_Processes[Process_Name],Tab_Def_Processes[Process_ID],,0,)</f>
        <v>#N/A</v>
      </c>
      <c r="D86" s="18" t="s">
        <v>5</v>
      </c>
      <c r="E86" s="14" t="e">
        <f>_xlfn.XLOOKUP($D86,Tab_Def_Processes[Process_Name],Tab_Def_Processes[Process_Logic],,0,)</f>
        <v>#N/A</v>
      </c>
      <c r="F86" s="14" t="e">
        <f>_xlfn.XLOOKUP($D86,Tab_Def_Processes[Process_Name],Tab_Def_Processes[TC_Configuration],,0,)</f>
        <v>#N/A</v>
      </c>
      <c r="G86" s="14" t="e">
        <f>_xlfn.XLOOKUP($D86,Tab_Def_Processes[Process_Name],Tab_Def_Processes[Stock_Configuration],,0,)</f>
        <v>#N/A</v>
      </c>
      <c r="H86" s="14" t="e">
        <f>_xlfn.XLOOKUP($D86,Tab_Def_Processes[Process_Name],Tab_Def_Processes[Outflow_count],,0,)</f>
        <v>#N/A</v>
      </c>
      <c r="I86" s="18" t="s">
        <v>5</v>
      </c>
      <c r="J86" s="2" t="str">
        <f>_xlfn.XLOOKUP($I86,Tab_Def_Flows[Flow_Name],Tab_Def_Flows[Flow_ID],,0,1)</f>
        <v>F__</v>
      </c>
      <c r="K86" s="3"/>
      <c r="L86" s="11" t="str">
        <f t="shared" si="9"/>
        <v>TC_E1_F__</v>
      </c>
      <c r="M86" s="20"/>
      <c r="N86" s="11" t="str">
        <f t="shared" si="10"/>
        <v>TC_E2_F__</v>
      </c>
      <c r="O86" s="20"/>
      <c r="P86" s="11" t="str">
        <f t="shared" si="11"/>
        <v>TC_E3_F__</v>
      </c>
      <c r="Q86" s="20"/>
      <c r="R86" s="11" t="str">
        <f t="shared" si="12"/>
        <v>TC_E4_F__</v>
      </c>
      <c r="S86" s="3"/>
      <c r="T86" s="11" t="str">
        <f t="shared" si="13"/>
        <v>TC_E5_F__</v>
      </c>
      <c r="U86" s="3"/>
      <c r="V86" s="11" t="str">
        <f t="shared" si="14"/>
        <v>TC_E6_F__</v>
      </c>
      <c r="W86" s="3"/>
      <c r="X86" s="9"/>
      <c r="Y86" s="9"/>
      <c r="Z86" s="9"/>
      <c r="AA86" s="9"/>
    </row>
    <row r="87" spans="1:27" x14ac:dyDescent="0.25">
      <c r="A87" s="22" t="b">
        <v>0</v>
      </c>
      <c r="B87" s="2">
        <f t="shared" si="8"/>
        <v>86</v>
      </c>
      <c r="C87" s="14" t="e">
        <f>_xlfn.XLOOKUP($D87,Tab_Def_Processes[Process_Name],Tab_Def_Processes[Process_ID],,0,)</f>
        <v>#N/A</v>
      </c>
      <c r="D87" s="18" t="s">
        <v>5</v>
      </c>
      <c r="E87" s="14" t="e">
        <f>_xlfn.XLOOKUP($D87,Tab_Def_Processes[Process_Name],Tab_Def_Processes[Process_Logic],,0,)</f>
        <v>#N/A</v>
      </c>
      <c r="F87" s="14" t="e">
        <f>_xlfn.XLOOKUP($D87,Tab_Def_Processes[Process_Name],Tab_Def_Processes[TC_Configuration],,0,)</f>
        <v>#N/A</v>
      </c>
      <c r="G87" s="14" t="e">
        <f>_xlfn.XLOOKUP($D87,Tab_Def_Processes[Process_Name],Tab_Def_Processes[Stock_Configuration],,0,)</f>
        <v>#N/A</v>
      </c>
      <c r="H87" s="14" t="e">
        <f>_xlfn.XLOOKUP($D87,Tab_Def_Processes[Process_Name],Tab_Def_Processes[Outflow_count],,0,)</f>
        <v>#N/A</v>
      </c>
      <c r="I87" s="18" t="s">
        <v>5</v>
      </c>
      <c r="J87" s="2" t="str">
        <f>_xlfn.XLOOKUP($I87,Tab_Def_Flows[Flow_Name],Tab_Def_Flows[Flow_ID],,0,1)</f>
        <v>F__</v>
      </c>
      <c r="K87" s="3"/>
      <c r="L87" s="11" t="str">
        <f t="shared" si="9"/>
        <v>TC_E1_F__</v>
      </c>
      <c r="M87" s="20"/>
      <c r="N87" s="11" t="str">
        <f t="shared" si="10"/>
        <v>TC_E2_F__</v>
      </c>
      <c r="O87" s="20"/>
      <c r="P87" s="11" t="str">
        <f t="shared" si="11"/>
        <v>TC_E3_F__</v>
      </c>
      <c r="Q87" s="20"/>
      <c r="R87" s="11" t="str">
        <f t="shared" si="12"/>
        <v>TC_E4_F__</v>
      </c>
      <c r="S87" s="3"/>
      <c r="T87" s="11" t="str">
        <f t="shared" si="13"/>
        <v>TC_E5_F__</v>
      </c>
      <c r="U87" s="3"/>
      <c r="V87" s="11" t="str">
        <f t="shared" si="14"/>
        <v>TC_E6_F__</v>
      </c>
      <c r="W87" s="3"/>
      <c r="X87" s="9"/>
      <c r="Y87" s="9"/>
      <c r="Z87" s="9"/>
      <c r="AA87" s="9"/>
    </row>
    <row r="88" spans="1:27" x14ac:dyDescent="0.25">
      <c r="A88" s="22" t="b">
        <v>0</v>
      </c>
      <c r="B88" s="2">
        <f t="shared" si="8"/>
        <v>87</v>
      </c>
      <c r="C88" s="14" t="e">
        <f>_xlfn.XLOOKUP($D88,Tab_Def_Processes[Process_Name],Tab_Def_Processes[Process_ID],,0,)</f>
        <v>#N/A</v>
      </c>
      <c r="D88" s="18" t="s">
        <v>5</v>
      </c>
      <c r="E88" s="14" t="e">
        <f>_xlfn.XLOOKUP($D88,Tab_Def_Processes[Process_Name],Tab_Def_Processes[Process_Logic],,0,)</f>
        <v>#N/A</v>
      </c>
      <c r="F88" s="14" t="e">
        <f>_xlfn.XLOOKUP($D88,Tab_Def_Processes[Process_Name],Tab_Def_Processes[TC_Configuration],,0,)</f>
        <v>#N/A</v>
      </c>
      <c r="G88" s="14" t="e">
        <f>_xlfn.XLOOKUP($D88,Tab_Def_Processes[Process_Name],Tab_Def_Processes[Stock_Configuration],,0,)</f>
        <v>#N/A</v>
      </c>
      <c r="H88" s="14" t="e">
        <f>_xlfn.XLOOKUP($D88,Tab_Def_Processes[Process_Name],Tab_Def_Processes[Outflow_count],,0,)</f>
        <v>#N/A</v>
      </c>
      <c r="I88" s="18" t="s">
        <v>5</v>
      </c>
      <c r="J88" s="2" t="str">
        <f>_xlfn.XLOOKUP($I88,Tab_Def_Flows[Flow_Name],Tab_Def_Flows[Flow_ID],,0,1)</f>
        <v>F__</v>
      </c>
      <c r="K88" s="3"/>
      <c r="L88" s="11" t="str">
        <f t="shared" si="9"/>
        <v>TC_E1_F__</v>
      </c>
      <c r="M88" s="20"/>
      <c r="N88" s="11" t="str">
        <f t="shared" si="10"/>
        <v>TC_E2_F__</v>
      </c>
      <c r="O88" s="20"/>
      <c r="P88" s="11" t="str">
        <f t="shared" si="11"/>
        <v>TC_E3_F__</v>
      </c>
      <c r="Q88" s="20"/>
      <c r="R88" s="11" t="str">
        <f t="shared" si="12"/>
        <v>TC_E4_F__</v>
      </c>
      <c r="S88" s="3"/>
      <c r="T88" s="11" t="str">
        <f t="shared" si="13"/>
        <v>TC_E5_F__</v>
      </c>
      <c r="U88" s="3"/>
      <c r="V88" s="11" t="str">
        <f t="shared" si="14"/>
        <v>TC_E6_F__</v>
      </c>
      <c r="W88" s="3"/>
      <c r="X88" s="9"/>
      <c r="Y88" s="9"/>
      <c r="Z88" s="9"/>
      <c r="AA88" s="9"/>
    </row>
    <row r="89" spans="1:27" x14ac:dyDescent="0.25">
      <c r="A89" s="22" t="b">
        <v>0</v>
      </c>
      <c r="B89" s="2">
        <f t="shared" si="8"/>
        <v>88</v>
      </c>
      <c r="C89" s="14" t="e">
        <f>_xlfn.XLOOKUP($D89,Tab_Def_Processes[Process_Name],Tab_Def_Processes[Process_ID],,0,)</f>
        <v>#N/A</v>
      </c>
      <c r="D89" s="18" t="s">
        <v>5</v>
      </c>
      <c r="E89" s="14" t="e">
        <f>_xlfn.XLOOKUP($D89,Tab_Def_Processes[Process_Name],Tab_Def_Processes[Process_Logic],,0,)</f>
        <v>#N/A</v>
      </c>
      <c r="F89" s="14" t="e">
        <f>_xlfn.XLOOKUP($D89,Tab_Def_Processes[Process_Name],Tab_Def_Processes[TC_Configuration],,0,)</f>
        <v>#N/A</v>
      </c>
      <c r="G89" s="14" t="e">
        <f>_xlfn.XLOOKUP($D89,Tab_Def_Processes[Process_Name],Tab_Def_Processes[Stock_Configuration],,0,)</f>
        <v>#N/A</v>
      </c>
      <c r="H89" s="14" t="e">
        <f>_xlfn.XLOOKUP($D89,Tab_Def_Processes[Process_Name],Tab_Def_Processes[Outflow_count],,0,)</f>
        <v>#N/A</v>
      </c>
      <c r="I89" s="18" t="s">
        <v>5</v>
      </c>
      <c r="J89" s="2" t="str">
        <f>_xlfn.XLOOKUP($I89,Tab_Def_Flows[Flow_Name],Tab_Def_Flows[Flow_ID],,0,1)</f>
        <v>F__</v>
      </c>
      <c r="K89" s="3"/>
      <c r="L89" s="11" t="str">
        <f t="shared" si="9"/>
        <v>TC_E1_F__</v>
      </c>
      <c r="M89" s="20"/>
      <c r="N89" s="11" t="str">
        <f t="shared" si="10"/>
        <v>TC_E2_F__</v>
      </c>
      <c r="O89" s="20"/>
      <c r="P89" s="11" t="str">
        <f t="shared" si="11"/>
        <v>TC_E3_F__</v>
      </c>
      <c r="Q89" s="20"/>
      <c r="R89" s="11" t="str">
        <f t="shared" si="12"/>
        <v>TC_E4_F__</v>
      </c>
      <c r="S89" s="3"/>
      <c r="T89" s="11" t="str">
        <f t="shared" si="13"/>
        <v>TC_E5_F__</v>
      </c>
      <c r="U89" s="3"/>
      <c r="V89" s="11" t="str">
        <f t="shared" si="14"/>
        <v>TC_E6_F__</v>
      </c>
      <c r="W89" s="3"/>
      <c r="X89" s="9"/>
      <c r="Y89" s="9"/>
      <c r="Z89" s="9"/>
      <c r="AA89" s="9"/>
    </row>
    <row r="90" spans="1:27" x14ac:dyDescent="0.25">
      <c r="A90" s="22" t="b">
        <v>0</v>
      </c>
      <c r="B90" s="2">
        <f t="shared" si="8"/>
        <v>89</v>
      </c>
      <c r="C90" s="14" t="e">
        <f>_xlfn.XLOOKUP($D90,Tab_Def_Processes[Process_Name],Tab_Def_Processes[Process_ID],,0,)</f>
        <v>#N/A</v>
      </c>
      <c r="D90" s="18" t="s">
        <v>5</v>
      </c>
      <c r="E90" s="14" t="e">
        <f>_xlfn.XLOOKUP($D90,Tab_Def_Processes[Process_Name],Tab_Def_Processes[Process_Logic],,0,)</f>
        <v>#N/A</v>
      </c>
      <c r="F90" s="14" t="e">
        <f>_xlfn.XLOOKUP($D90,Tab_Def_Processes[Process_Name],Tab_Def_Processes[TC_Configuration],,0,)</f>
        <v>#N/A</v>
      </c>
      <c r="G90" s="14" t="e">
        <f>_xlfn.XLOOKUP($D90,Tab_Def_Processes[Process_Name],Tab_Def_Processes[Stock_Configuration],,0,)</f>
        <v>#N/A</v>
      </c>
      <c r="H90" s="14" t="e">
        <f>_xlfn.XLOOKUP($D90,Tab_Def_Processes[Process_Name],Tab_Def_Processes[Outflow_count],,0,)</f>
        <v>#N/A</v>
      </c>
      <c r="I90" s="18" t="s">
        <v>5</v>
      </c>
      <c r="J90" s="2" t="str">
        <f>_xlfn.XLOOKUP($I90,Tab_Def_Flows[Flow_Name],Tab_Def_Flows[Flow_ID],,0,1)</f>
        <v>F__</v>
      </c>
      <c r="K90" s="3"/>
      <c r="L90" s="11" t="str">
        <f t="shared" si="9"/>
        <v>TC_E1_F__</v>
      </c>
      <c r="M90" s="20"/>
      <c r="N90" s="11" t="str">
        <f t="shared" si="10"/>
        <v>TC_E2_F__</v>
      </c>
      <c r="O90" s="20"/>
      <c r="P90" s="11" t="str">
        <f t="shared" si="11"/>
        <v>TC_E3_F__</v>
      </c>
      <c r="Q90" s="20"/>
      <c r="R90" s="11" t="str">
        <f t="shared" si="12"/>
        <v>TC_E4_F__</v>
      </c>
      <c r="S90" s="3"/>
      <c r="T90" s="11" t="str">
        <f t="shared" si="13"/>
        <v>TC_E5_F__</v>
      </c>
      <c r="U90" s="3"/>
      <c r="V90" s="11" t="str">
        <f t="shared" si="14"/>
        <v>TC_E6_F__</v>
      </c>
      <c r="W90" s="3"/>
      <c r="X90" s="9"/>
      <c r="Y90" s="9"/>
      <c r="Z90" s="9"/>
      <c r="AA90" s="9"/>
    </row>
    <row r="91" spans="1:27" x14ac:dyDescent="0.25">
      <c r="A91" s="22" t="b">
        <v>0</v>
      </c>
      <c r="B91" s="2">
        <f t="shared" si="8"/>
        <v>90</v>
      </c>
      <c r="C91" s="14" t="e">
        <f>_xlfn.XLOOKUP($D91,Tab_Def_Processes[Process_Name],Tab_Def_Processes[Process_ID],,0,)</f>
        <v>#N/A</v>
      </c>
      <c r="D91" s="18" t="s">
        <v>5</v>
      </c>
      <c r="E91" s="14" t="e">
        <f>_xlfn.XLOOKUP($D91,Tab_Def_Processes[Process_Name],Tab_Def_Processes[Process_Logic],,0,)</f>
        <v>#N/A</v>
      </c>
      <c r="F91" s="14" t="e">
        <f>_xlfn.XLOOKUP($D91,Tab_Def_Processes[Process_Name],Tab_Def_Processes[TC_Configuration],,0,)</f>
        <v>#N/A</v>
      </c>
      <c r="G91" s="14" t="e">
        <f>_xlfn.XLOOKUP($D91,Tab_Def_Processes[Process_Name],Tab_Def_Processes[Stock_Configuration],,0,)</f>
        <v>#N/A</v>
      </c>
      <c r="H91" s="14" t="e">
        <f>_xlfn.XLOOKUP($D91,Tab_Def_Processes[Process_Name],Tab_Def_Processes[Outflow_count],,0,)</f>
        <v>#N/A</v>
      </c>
      <c r="I91" s="18" t="s">
        <v>5</v>
      </c>
      <c r="J91" s="2" t="str">
        <f>_xlfn.XLOOKUP($I91,Tab_Def_Flows[Flow_Name],Tab_Def_Flows[Flow_ID],,0,1)</f>
        <v>F__</v>
      </c>
      <c r="K91" s="3"/>
      <c r="L91" s="11" t="str">
        <f t="shared" si="9"/>
        <v>TC_E1_F__</v>
      </c>
      <c r="M91" s="20"/>
      <c r="N91" s="11" t="str">
        <f t="shared" si="10"/>
        <v>TC_E2_F__</v>
      </c>
      <c r="O91" s="20"/>
      <c r="P91" s="11" t="str">
        <f t="shared" si="11"/>
        <v>TC_E3_F__</v>
      </c>
      <c r="Q91" s="20"/>
      <c r="R91" s="11" t="str">
        <f t="shared" si="12"/>
        <v>TC_E4_F__</v>
      </c>
      <c r="S91" s="3"/>
      <c r="T91" s="11" t="str">
        <f t="shared" si="13"/>
        <v>TC_E5_F__</v>
      </c>
      <c r="U91" s="3"/>
      <c r="V91" s="11" t="str">
        <f t="shared" si="14"/>
        <v>TC_E6_F__</v>
      </c>
      <c r="W91" s="3"/>
      <c r="X91" s="9"/>
      <c r="Y91" s="9"/>
      <c r="Z91" s="9"/>
      <c r="AA91" s="9"/>
    </row>
    <row r="92" spans="1:27" x14ac:dyDescent="0.25">
      <c r="A92" s="22" t="b">
        <v>0</v>
      </c>
      <c r="B92" s="2">
        <f t="shared" si="8"/>
        <v>91</v>
      </c>
      <c r="C92" s="14" t="e">
        <f>_xlfn.XLOOKUP($D92,Tab_Def_Processes[Process_Name],Tab_Def_Processes[Process_ID],,0,)</f>
        <v>#N/A</v>
      </c>
      <c r="D92" s="18" t="s">
        <v>5</v>
      </c>
      <c r="E92" s="14" t="e">
        <f>_xlfn.XLOOKUP($D92,Tab_Def_Processes[Process_Name],Tab_Def_Processes[Process_Logic],,0,)</f>
        <v>#N/A</v>
      </c>
      <c r="F92" s="14" t="e">
        <f>_xlfn.XLOOKUP($D92,Tab_Def_Processes[Process_Name],Tab_Def_Processes[TC_Configuration],,0,)</f>
        <v>#N/A</v>
      </c>
      <c r="G92" s="14" t="e">
        <f>_xlfn.XLOOKUP($D92,Tab_Def_Processes[Process_Name],Tab_Def_Processes[Stock_Configuration],,0,)</f>
        <v>#N/A</v>
      </c>
      <c r="H92" s="14" t="e">
        <f>_xlfn.XLOOKUP($D92,Tab_Def_Processes[Process_Name],Tab_Def_Processes[Outflow_count],,0,)</f>
        <v>#N/A</v>
      </c>
      <c r="I92" s="18" t="s">
        <v>5</v>
      </c>
      <c r="J92" s="2" t="str">
        <f>_xlfn.XLOOKUP($I92,Tab_Def_Flows[Flow_Name],Tab_Def_Flows[Flow_ID],,0,1)</f>
        <v>F__</v>
      </c>
      <c r="K92" s="3"/>
      <c r="L92" s="11" t="str">
        <f t="shared" si="9"/>
        <v>TC_E1_F__</v>
      </c>
      <c r="M92" s="20"/>
      <c r="N92" s="11" t="str">
        <f t="shared" si="10"/>
        <v>TC_E2_F__</v>
      </c>
      <c r="O92" s="20"/>
      <c r="P92" s="11" t="str">
        <f t="shared" si="11"/>
        <v>TC_E3_F__</v>
      </c>
      <c r="Q92" s="20"/>
      <c r="R92" s="11" t="str">
        <f t="shared" si="12"/>
        <v>TC_E4_F__</v>
      </c>
      <c r="S92" s="3"/>
      <c r="T92" s="11" t="str">
        <f t="shared" si="13"/>
        <v>TC_E5_F__</v>
      </c>
      <c r="U92" s="3"/>
      <c r="V92" s="11" t="str">
        <f t="shared" si="14"/>
        <v>TC_E6_F__</v>
      </c>
      <c r="W92" s="3"/>
      <c r="X92" s="9"/>
      <c r="Y92" s="9"/>
      <c r="Z92" s="9"/>
      <c r="AA92" s="9"/>
    </row>
    <row r="93" spans="1:27" x14ac:dyDescent="0.25">
      <c r="A93" s="22" t="b">
        <v>0</v>
      </c>
      <c r="B93" s="2">
        <f t="shared" si="8"/>
        <v>92</v>
      </c>
      <c r="C93" s="14" t="e">
        <f>_xlfn.XLOOKUP($D93,Tab_Def_Processes[Process_Name],Tab_Def_Processes[Process_ID],,0,)</f>
        <v>#N/A</v>
      </c>
      <c r="D93" s="18" t="s">
        <v>5</v>
      </c>
      <c r="E93" s="14" t="e">
        <f>_xlfn.XLOOKUP($D93,Tab_Def_Processes[Process_Name],Tab_Def_Processes[Process_Logic],,0,)</f>
        <v>#N/A</v>
      </c>
      <c r="F93" s="14" t="e">
        <f>_xlfn.XLOOKUP($D93,Tab_Def_Processes[Process_Name],Tab_Def_Processes[TC_Configuration],,0,)</f>
        <v>#N/A</v>
      </c>
      <c r="G93" s="14" t="e">
        <f>_xlfn.XLOOKUP($D93,Tab_Def_Processes[Process_Name],Tab_Def_Processes[Stock_Configuration],,0,)</f>
        <v>#N/A</v>
      </c>
      <c r="H93" s="14" t="e">
        <f>_xlfn.XLOOKUP($D93,Tab_Def_Processes[Process_Name],Tab_Def_Processes[Outflow_count],,0,)</f>
        <v>#N/A</v>
      </c>
      <c r="I93" s="18" t="s">
        <v>5</v>
      </c>
      <c r="J93" s="2" t="str">
        <f>_xlfn.XLOOKUP($I93,Tab_Def_Flows[Flow_Name],Tab_Def_Flows[Flow_ID],,0,1)</f>
        <v>F__</v>
      </c>
      <c r="K93" s="3"/>
      <c r="L93" s="11" t="str">
        <f t="shared" si="9"/>
        <v>TC_E1_F__</v>
      </c>
      <c r="M93" s="20"/>
      <c r="N93" s="11" t="str">
        <f t="shared" si="10"/>
        <v>TC_E2_F__</v>
      </c>
      <c r="O93" s="20"/>
      <c r="P93" s="11" t="str">
        <f t="shared" si="11"/>
        <v>TC_E3_F__</v>
      </c>
      <c r="Q93" s="20"/>
      <c r="R93" s="11" t="str">
        <f t="shared" si="12"/>
        <v>TC_E4_F__</v>
      </c>
      <c r="S93" s="3"/>
      <c r="T93" s="11" t="str">
        <f t="shared" si="13"/>
        <v>TC_E5_F__</v>
      </c>
      <c r="U93" s="3"/>
      <c r="V93" s="11" t="str">
        <f t="shared" si="14"/>
        <v>TC_E6_F__</v>
      </c>
      <c r="W93" s="3"/>
      <c r="X93" s="9"/>
      <c r="Y93" s="9"/>
      <c r="Z93" s="9"/>
      <c r="AA93" s="9"/>
    </row>
    <row r="94" spans="1:27" x14ac:dyDescent="0.25">
      <c r="A94" s="22" t="b">
        <v>0</v>
      </c>
      <c r="B94" s="2">
        <f t="shared" si="8"/>
        <v>93</v>
      </c>
      <c r="C94" s="14" t="e">
        <f>_xlfn.XLOOKUP($D94,Tab_Def_Processes[Process_Name],Tab_Def_Processes[Process_ID],,0,)</f>
        <v>#N/A</v>
      </c>
      <c r="D94" s="18" t="s">
        <v>5</v>
      </c>
      <c r="E94" s="14" t="e">
        <f>_xlfn.XLOOKUP($D94,Tab_Def_Processes[Process_Name],Tab_Def_Processes[Process_Logic],,0,)</f>
        <v>#N/A</v>
      </c>
      <c r="F94" s="14" t="e">
        <f>_xlfn.XLOOKUP($D94,Tab_Def_Processes[Process_Name],Tab_Def_Processes[TC_Configuration],,0,)</f>
        <v>#N/A</v>
      </c>
      <c r="G94" s="14" t="e">
        <f>_xlfn.XLOOKUP($D94,Tab_Def_Processes[Process_Name],Tab_Def_Processes[Stock_Configuration],,0,)</f>
        <v>#N/A</v>
      </c>
      <c r="H94" s="14" t="e">
        <f>_xlfn.XLOOKUP($D94,Tab_Def_Processes[Process_Name],Tab_Def_Processes[Outflow_count],,0,)</f>
        <v>#N/A</v>
      </c>
      <c r="I94" s="18" t="s">
        <v>5</v>
      </c>
      <c r="J94" s="2" t="str">
        <f>_xlfn.XLOOKUP($I94,Tab_Def_Flows[Flow_Name],Tab_Def_Flows[Flow_ID],,0,1)</f>
        <v>F__</v>
      </c>
      <c r="K94" s="3"/>
      <c r="L94" s="11" t="str">
        <f t="shared" si="9"/>
        <v>TC_E1_F__</v>
      </c>
      <c r="M94" s="20"/>
      <c r="N94" s="11" t="str">
        <f t="shared" si="10"/>
        <v>TC_E2_F__</v>
      </c>
      <c r="O94" s="20"/>
      <c r="P94" s="11" t="str">
        <f t="shared" si="11"/>
        <v>TC_E3_F__</v>
      </c>
      <c r="Q94" s="20"/>
      <c r="R94" s="11" t="str">
        <f t="shared" si="12"/>
        <v>TC_E4_F__</v>
      </c>
      <c r="S94" s="3"/>
      <c r="T94" s="11" t="str">
        <f t="shared" si="13"/>
        <v>TC_E5_F__</v>
      </c>
      <c r="U94" s="3"/>
      <c r="V94" s="11" t="str">
        <f t="shared" si="14"/>
        <v>TC_E6_F__</v>
      </c>
      <c r="W94" s="3"/>
      <c r="X94" s="9"/>
      <c r="Y94" s="9"/>
      <c r="Z94" s="9"/>
      <c r="AA94" s="9"/>
    </row>
    <row r="95" spans="1:27" x14ac:dyDescent="0.25">
      <c r="A95" s="22" t="b">
        <v>0</v>
      </c>
      <c r="B95" s="2">
        <f t="shared" si="8"/>
        <v>94</v>
      </c>
      <c r="C95" s="14" t="e">
        <f>_xlfn.XLOOKUP($D95,Tab_Def_Processes[Process_Name],Tab_Def_Processes[Process_ID],,0,)</f>
        <v>#N/A</v>
      </c>
      <c r="D95" s="18" t="s">
        <v>5</v>
      </c>
      <c r="E95" s="14" t="e">
        <f>_xlfn.XLOOKUP($D95,Tab_Def_Processes[Process_Name],Tab_Def_Processes[Process_Logic],,0,)</f>
        <v>#N/A</v>
      </c>
      <c r="F95" s="14" t="e">
        <f>_xlfn.XLOOKUP($D95,Tab_Def_Processes[Process_Name],Tab_Def_Processes[TC_Configuration],,0,)</f>
        <v>#N/A</v>
      </c>
      <c r="G95" s="14" t="e">
        <f>_xlfn.XLOOKUP($D95,Tab_Def_Processes[Process_Name],Tab_Def_Processes[Stock_Configuration],,0,)</f>
        <v>#N/A</v>
      </c>
      <c r="H95" s="14" t="e">
        <f>_xlfn.XLOOKUP($D95,Tab_Def_Processes[Process_Name],Tab_Def_Processes[Outflow_count],,0,)</f>
        <v>#N/A</v>
      </c>
      <c r="I95" s="18" t="s">
        <v>5</v>
      </c>
      <c r="J95" s="2" t="str">
        <f>_xlfn.XLOOKUP($I95,Tab_Def_Flows[Flow_Name],Tab_Def_Flows[Flow_ID],,0,1)</f>
        <v>F__</v>
      </c>
      <c r="K95" s="3"/>
      <c r="L95" s="11" t="str">
        <f t="shared" si="9"/>
        <v>TC_E1_F__</v>
      </c>
      <c r="M95" s="20"/>
      <c r="N95" s="11" t="str">
        <f t="shared" si="10"/>
        <v>TC_E2_F__</v>
      </c>
      <c r="O95" s="20"/>
      <c r="P95" s="11" t="str">
        <f t="shared" si="11"/>
        <v>TC_E3_F__</v>
      </c>
      <c r="Q95" s="20"/>
      <c r="R95" s="11" t="str">
        <f t="shared" si="12"/>
        <v>TC_E4_F__</v>
      </c>
      <c r="S95" s="3"/>
      <c r="T95" s="11" t="str">
        <f t="shared" si="13"/>
        <v>TC_E5_F__</v>
      </c>
      <c r="U95" s="3"/>
      <c r="V95" s="11" t="str">
        <f t="shared" si="14"/>
        <v>TC_E6_F__</v>
      </c>
      <c r="W95" s="3"/>
      <c r="X95" s="9"/>
      <c r="Y95" s="9"/>
      <c r="Z95" s="9"/>
      <c r="AA95" s="9"/>
    </row>
    <row r="96" spans="1:27" x14ac:dyDescent="0.25">
      <c r="A96" s="22" t="b">
        <v>0</v>
      </c>
      <c r="B96" s="2">
        <f t="shared" ref="B96:B127" si="15">ROW()-1</f>
        <v>95</v>
      </c>
      <c r="C96" s="14" t="e">
        <f>_xlfn.XLOOKUP($D96,Tab_Def_Processes[Process_Name],Tab_Def_Processes[Process_ID],,0,)</f>
        <v>#N/A</v>
      </c>
      <c r="D96" s="18" t="s">
        <v>5</v>
      </c>
      <c r="E96" s="14" t="e">
        <f>_xlfn.XLOOKUP($D96,Tab_Def_Processes[Process_Name],Tab_Def_Processes[Process_Logic],,0,)</f>
        <v>#N/A</v>
      </c>
      <c r="F96" s="14" t="e">
        <f>_xlfn.XLOOKUP($D96,Tab_Def_Processes[Process_Name],Tab_Def_Processes[TC_Configuration],,0,)</f>
        <v>#N/A</v>
      </c>
      <c r="G96" s="14" t="e">
        <f>_xlfn.XLOOKUP($D96,Tab_Def_Processes[Process_Name],Tab_Def_Processes[Stock_Configuration],,0,)</f>
        <v>#N/A</v>
      </c>
      <c r="H96" s="14" t="e">
        <f>_xlfn.XLOOKUP($D96,Tab_Def_Processes[Process_Name],Tab_Def_Processes[Outflow_count],,0,)</f>
        <v>#N/A</v>
      </c>
      <c r="I96" s="18" t="s">
        <v>5</v>
      </c>
      <c r="J96" s="2" t="str">
        <f>_xlfn.XLOOKUP($I96,Tab_Def_Flows[Flow_Name],Tab_Def_Flows[Flow_ID],,0,1)</f>
        <v>F__</v>
      </c>
      <c r="K96" s="3"/>
      <c r="L96" s="11" t="str">
        <f t="shared" si="9"/>
        <v>TC_E1_F__</v>
      </c>
      <c r="M96" s="20"/>
      <c r="N96" s="11" t="str">
        <f t="shared" si="10"/>
        <v>TC_E2_F__</v>
      </c>
      <c r="O96" s="20"/>
      <c r="P96" s="11" t="str">
        <f t="shared" si="11"/>
        <v>TC_E3_F__</v>
      </c>
      <c r="Q96" s="20"/>
      <c r="R96" s="11" t="str">
        <f t="shared" si="12"/>
        <v>TC_E4_F__</v>
      </c>
      <c r="S96" s="3"/>
      <c r="T96" s="11" t="str">
        <f t="shared" si="13"/>
        <v>TC_E5_F__</v>
      </c>
      <c r="U96" s="3"/>
      <c r="V96" s="11" t="str">
        <f t="shared" si="14"/>
        <v>TC_E6_F__</v>
      </c>
      <c r="W96" s="3"/>
      <c r="X96" s="9"/>
      <c r="Y96" s="9"/>
      <c r="Z96" s="9"/>
      <c r="AA96" s="9"/>
    </row>
    <row r="97" spans="1:27" x14ac:dyDescent="0.25">
      <c r="A97" s="22" t="b">
        <v>0</v>
      </c>
      <c r="B97" s="2">
        <f t="shared" si="15"/>
        <v>96</v>
      </c>
      <c r="C97" s="14" t="e">
        <f>_xlfn.XLOOKUP($D97,Tab_Def_Processes[Process_Name],Tab_Def_Processes[Process_ID],,0,)</f>
        <v>#N/A</v>
      </c>
      <c r="D97" s="18" t="s">
        <v>5</v>
      </c>
      <c r="E97" s="14" t="e">
        <f>_xlfn.XLOOKUP($D97,Tab_Def_Processes[Process_Name],Tab_Def_Processes[Process_Logic],,0,)</f>
        <v>#N/A</v>
      </c>
      <c r="F97" s="14" t="e">
        <f>_xlfn.XLOOKUP($D97,Tab_Def_Processes[Process_Name],Tab_Def_Processes[TC_Configuration],,0,)</f>
        <v>#N/A</v>
      </c>
      <c r="G97" s="14" t="e">
        <f>_xlfn.XLOOKUP($D97,Tab_Def_Processes[Process_Name],Tab_Def_Processes[Stock_Configuration],,0,)</f>
        <v>#N/A</v>
      </c>
      <c r="H97" s="14" t="e">
        <f>_xlfn.XLOOKUP($D97,Tab_Def_Processes[Process_Name],Tab_Def_Processes[Outflow_count],,0,)</f>
        <v>#N/A</v>
      </c>
      <c r="I97" s="18" t="s">
        <v>5</v>
      </c>
      <c r="J97" s="2" t="str">
        <f>_xlfn.XLOOKUP($I97,Tab_Def_Flows[Flow_Name],Tab_Def_Flows[Flow_ID],,0,1)</f>
        <v>F__</v>
      </c>
      <c r="K97" s="3"/>
      <c r="L97" s="11" t="str">
        <f t="shared" si="9"/>
        <v>TC_E1_F__</v>
      </c>
      <c r="M97" s="20"/>
      <c r="N97" s="11" t="str">
        <f t="shared" si="10"/>
        <v>TC_E2_F__</v>
      </c>
      <c r="O97" s="20"/>
      <c r="P97" s="11" t="str">
        <f t="shared" si="11"/>
        <v>TC_E3_F__</v>
      </c>
      <c r="Q97" s="20"/>
      <c r="R97" s="11" t="str">
        <f t="shared" si="12"/>
        <v>TC_E4_F__</v>
      </c>
      <c r="S97" s="3"/>
      <c r="T97" s="11" t="str">
        <f t="shared" si="13"/>
        <v>TC_E5_F__</v>
      </c>
      <c r="U97" s="3"/>
      <c r="V97" s="11" t="str">
        <f t="shared" si="14"/>
        <v>TC_E6_F__</v>
      </c>
      <c r="W97" s="3"/>
      <c r="X97" s="9"/>
      <c r="Y97" s="9"/>
      <c r="Z97" s="9"/>
      <c r="AA97" s="9"/>
    </row>
    <row r="98" spans="1:27" x14ac:dyDescent="0.25">
      <c r="A98" s="22" t="b">
        <v>0</v>
      </c>
      <c r="B98" s="2">
        <f t="shared" si="15"/>
        <v>97</v>
      </c>
      <c r="C98" s="14" t="e">
        <f>_xlfn.XLOOKUP($D98,Tab_Def_Processes[Process_Name],Tab_Def_Processes[Process_ID],,0,)</f>
        <v>#N/A</v>
      </c>
      <c r="D98" s="18" t="s">
        <v>5</v>
      </c>
      <c r="E98" s="14" t="e">
        <f>_xlfn.XLOOKUP($D98,Tab_Def_Processes[Process_Name],Tab_Def_Processes[Process_Logic],,0,)</f>
        <v>#N/A</v>
      </c>
      <c r="F98" s="14" t="e">
        <f>_xlfn.XLOOKUP($D98,Tab_Def_Processes[Process_Name],Tab_Def_Processes[TC_Configuration],,0,)</f>
        <v>#N/A</v>
      </c>
      <c r="G98" s="14" t="e">
        <f>_xlfn.XLOOKUP($D98,Tab_Def_Processes[Process_Name],Tab_Def_Processes[Stock_Configuration],,0,)</f>
        <v>#N/A</v>
      </c>
      <c r="H98" s="14" t="e">
        <f>_xlfn.XLOOKUP($D98,Tab_Def_Processes[Process_Name],Tab_Def_Processes[Outflow_count],,0,)</f>
        <v>#N/A</v>
      </c>
      <c r="I98" s="18" t="s">
        <v>5</v>
      </c>
      <c r="J98" s="2" t="str">
        <f>_xlfn.XLOOKUP($I98,Tab_Def_Flows[Flow_Name],Tab_Def_Flows[Flow_ID],,0,1)</f>
        <v>F__</v>
      </c>
      <c r="K98" s="3"/>
      <c r="L98" s="11" t="str">
        <f t="shared" si="9"/>
        <v>TC_E1_F__</v>
      </c>
      <c r="M98" s="20"/>
      <c r="N98" s="11" t="str">
        <f t="shared" si="10"/>
        <v>TC_E2_F__</v>
      </c>
      <c r="O98" s="20"/>
      <c r="P98" s="11" t="str">
        <f t="shared" si="11"/>
        <v>TC_E3_F__</v>
      </c>
      <c r="Q98" s="20"/>
      <c r="R98" s="11" t="str">
        <f t="shared" si="12"/>
        <v>TC_E4_F__</v>
      </c>
      <c r="S98" s="3"/>
      <c r="T98" s="11" t="str">
        <f t="shared" si="13"/>
        <v>TC_E5_F__</v>
      </c>
      <c r="U98" s="3"/>
      <c r="V98" s="11" t="str">
        <f t="shared" si="14"/>
        <v>TC_E6_F__</v>
      </c>
      <c r="W98" s="3"/>
      <c r="X98" s="9"/>
      <c r="Y98" s="9"/>
      <c r="Z98" s="9"/>
      <c r="AA98" s="9"/>
    </row>
    <row r="99" spans="1:27" x14ac:dyDescent="0.25">
      <c r="A99" s="22" t="b">
        <v>0</v>
      </c>
      <c r="B99" s="2">
        <f t="shared" si="15"/>
        <v>98</v>
      </c>
      <c r="C99" s="14" t="e">
        <f>_xlfn.XLOOKUP($D99,Tab_Def_Processes[Process_Name],Tab_Def_Processes[Process_ID],,0,)</f>
        <v>#N/A</v>
      </c>
      <c r="D99" s="18" t="s">
        <v>5</v>
      </c>
      <c r="E99" s="14" t="e">
        <f>_xlfn.XLOOKUP($D99,Tab_Def_Processes[Process_Name],Tab_Def_Processes[Process_Logic],,0,)</f>
        <v>#N/A</v>
      </c>
      <c r="F99" s="14" t="e">
        <f>_xlfn.XLOOKUP($D99,Tab_Def_Processes[Process_Name],Tab_Def_Processes[TC_Configuration],,0,)</f>
        <v>#N/A</v>
      </c>
      <c r="G99" s="14" t="e">
        <f>_xlfn.XLOOKUP($D99,Tab_Def_Processes[Process_Name],Tab_Def_Processes[Stock_Configuration],,0,)</f>
        <v>#N/A</v>
      </c>
      <c r="H99" s="14" t="e">
        <f>_xlfn.XLOOKUP($D99,Tab_Def_Processes[Process_Name],Tab_Def_Processes[Outflow_count],,0,)</f>
        <v>#N/A</v>
      </c>
      <c r="I99" s="18" t="s">
        <v>5</v>
      </c>
      <c r="J99" s="2" t="str">
        <f>_xlfn.XLOOKUP($I99,Tab_Def_Flows[Flow_Name],Tab_Def_Flows[Flow_ID],,0,1)</f>
        <v>F__</v>
      </c>
      <c r="K99" s="3"/>
      <c r="L99" s="11" t="str">
        <f t="shared" si="9"/>
        <v>TC_E1_F__</v>
      </c>
      <c r="M99" s="20"/>
      <c r="N99" s="11" t="str">
        <f t="shared" si="10"/>
        <v>TC_E2_F__</v>
      </c>
      <c r="O99" s="20"/>
      <c r="P99" s="11" t="str">
        <f t="shared" si="11"/>
        <v>TC_E3_F__</v>
      </c>
      <c r="Q99" s="20"/>
      <c r="R99" s="11" t="str">
        <f t="shared" si="12"/>
        <v>TC_E4_F__</v>
      </c>
      <c r="S99" s="3"/>
      <c r="T99" s="11" t="str">
        <f t="shared" si="13"/>
        <v>TC_E5_F__</v>
      </c>
      <c r="U99" s="3"/>
      <c r="V99" s="11" t="str">
        <f t="shared" si="14"/>
        <v>TC_E6_F__</v>
      </c>
      <c r="W99" s="3"/>
      <c r="X99" s="9"/>
      <c r="Y99" s="9"/>
      <c r="Z99" s="9"/>
      <c r="AA99" s="9"/>
    </row>
    <row r="100" spans="1:27" x14ac:dyDescent="0.25">
      <c r="A100" s="22" t="b">
        <v>0</v>
      </c>
      <c r="B100" s="2">
        <f t="shared" si="15"/>
        <v>99</v>
      </c>
      <c r="C100" s="14" t="e">
        <f>_xlfn.XLOOKUP($D100,Tab_Def_Processes[Process_Name],Tab_Def_Processes[Process_ID],,0,)</f>
        <v>#N/A</v>
      </c>
      <c r="D100" s="18" t="s">
        <v>5</v>
      </c>
      <c r="E100" s="14" t="e">
        <f>_xlfn.XLOOKUP($D100,Tab_Def_Processes[Process_Name],Tab_Def_Processes[Process_Logic],,0,)</f>
        <v>#N/A</v>
      </c>
      <c r="F100" s="14" t="e">
        <f>_xlfn.XLOOKUP($D100,Tab_Def_Processes[Process_Name],Tab_Def_Processes[TC_Configuration],,0,)</f>
        <v>#N/A</v>
      </c>
      <c r="G100" s="14" t="e">
        <f>_xlfn.XLOOKUP($D100,Tab_Def_Processes[Process_Name],Tab_Def_Processes[Stock_Configuration],,0,)</f>
        <v>#N/A</v>
      </c>
      <c r="H100" s="14" t="e">
        <f>_xlfn.XLOOKUP($D100,Tab_Def_Processes[Process_Name],Tab_Def_Processes[Outflow_count],,0,)</f>
        <v>#N/A</v>
      </c>
      <c r="I100" s="18" t="s">
        <v>5</v>
      </c>
      <c r="J100" s="2" t="str">
        <f>_xlfn.XLOOKUP($I100,Tab_Def_Flows[Flow_Name],Tab_Def_Flows[Flow_ID],,0,1)</f>
        <v>F__</v>
      </c>
      <c r="K100" s="3"/>
      <c r="L100" s="11" t="str">
        <f t="shared" si="9"/>
        <v>TC_E1_F__</v>
      </c>
      <c r="M100" s="20"/>
      <c r="N100" s="11" t="str">
        <f t="shared" si="10"/>
        <v>TC_E2_F__</v>
      </c>
      <c r="O100" s="20"/>
      <c r="P100" s="11" t="str">
        <f t="shared" si="11"/>
        <v>TC_E3_F__</v>
      </c>
      <c r="Q100" s="20"/>
      <c r="R100" s="11" t="str">
        <f t="shared" si="12"/>
        <v>TC_E4_F__</v>
      </c>
      <c r="S100" s="3"/>
      <c r="T100" s="11" t="str">
        <f t="shared" si="13"/>
        <v>TC_E5_F__</v>
      </c>
      <c r="U100" s="3"/>
      <c r="V100" s="11" t="str">
        <f t="shared" si="14"/>
        <v>TC_E6_F__</v>
      </c>
      <c r="W100" s="3"/>
      <c r="X100" s="9"/>
      <c r="Y100" s="9"/>
      <c r="Z100" s="9"/>
      <c r="AA100" s="9"/>
    </row>
    <row r="101" spans="1:27" x14ac:dyDescent="0.25">
      <c r="A101" s="22" t="b">
        <v>0</v>
      </c>
      <c r="B101" s="2">
        <f t="shared" si="15"/>
        <v>100</v>
      </c>
      <c r="C101" s="14" t="e">
        <f>_xlfn.XLOOKUP($D101,Tab_Def_Processes[Process_Name],Tab_Def_Processes[Process_ID],,0,)</f>
        <v>#N/A</v>
      </c>
      <c r="D101" s="18" t="s">
        <v>5</v>
      </c>
      <c r="E101" s="14" t="e">
        <f>_xlfn.XLOOKUP($D101,Tab_Def_Processes[Process_Name],Tab_Def_Processes[Process_Logic],,0,)</f>
        <v>#N/A</v>
      </c>
      <c r="F101" s="14" t="e">
        <f>_xlfn.XLOOKUP($D101,Tab_Def_Processes[Process_Name],Tab_Def_Processes[TC_Configuration],,0,)</f>
        <v>#N/A</v>
      </c>
      <c r="G101" s="14" t="e">
        <f>_xlfn.XLOOKUP($D101,Tab_Def_Processes[Process_Name],Tab_Def_Processes[Stock_Configuration],,0,)</f>
        <v>#N/A</v>
      </c>
      <c r="H101" s="14" t="e">
        <f>_xlfn.XLOOKUP($D101,Tab_Def_Processes[Process_Name],Tab_Def_Processes[Outflow_count],,0,)</f>
        <v>#N/A</v>
      </c>
      <c r="I101" s="18" t="s">
        <v>5</v>
      </c>
      <c r="J101" s="2" t="str">
        <f>_xlfn.XLOOKUP($I101,Tab_Def_Flows[Flow_Name],Tab_Def_Flows[Flow_ID],,0,1)</f>
        <v>F__</v>
      </c>
      <c r="K101" s="3"/>
      <c r="L101" s="11" t="str">
        <f t="shared" si="9"/>
        <v>TC_E1_F__</v>
      </c>
      <c r="M101" s="20"/>
      <c r="N101" s="11" t="str">
        <f t="shared" si="10"/>
        <v>TC_E2_F__</v>
      </c>
      <c r="O101" s="20"/>
      <c r="P101" s="11" t="str">
        <f t="shared" si="11"/>
        <v>TC_E3_F__</v>
      </c>
      <c r="Q101" s="20"/>
      <c r="R101" s="11" t="str">
        <f t="shared" si="12"/>
        <v>TC_E4_F__</v>
      </c>
      <c r="S101" s="3"/>
      <c r="T101" s="11" t="str">
        <f t="shared" si="13"/>
        <v>TC_E5_F__</v>
      </c>
      <c r="U101" s="3"/>
      <c r="V101" s="11" t="str">
        <f t="shared" si="14"/>
        <v>TC_E6_F__</v>
      </c>
      <c r="W101" s="3"/>
      <c r="X101" s="9"/>
      <c r="Y101" s="9"/>
      <c r="Z101" s="9"/>
      <c r="AA101" s="9"/>
    </row>
    <row r="102" spans="1:27" x14ac:dyDescent="0.25">
      <c r="A102" s="22" t="b">
        <v>0</v>
      </c>
      <c r="B102" s="2">
        <f t="shared" si="15"/>
        <v>101</v>
      </c>
      <c r="C102" s="14" t="e">
        <f>_xlfn.XLOOKUP($D102,Tab_Def_Processes[Process_Name],Tab_Def_Processes[Process_ID],,0,)</f>
        <v>#N/A</v>
      </c>
      <c r="D102" s="18" t="s">
        <v>5</v>
      </c>
      <c r="E102" s="14" t="e">
        <f>_xlfn.XLOOKUP($D102,Tab_Def_Processes[Process_Name],Tab_Def_Processes[Process_Logic],,0,)</f>
        <v>#N/A</v>
      </c>
      <c r="F102" s="14" t="e">
        <f>_xlfn.XLOOKUP($D102,Tab_Def_Processes[Process_Name],Tab_Def_Processes[TC_Configuration],,0,)</f>
        <v>#N/A</v>
      </c>
      <c r="G102" s="14" t="e">
        <f>_xlfn.XLOOKUP($D102,Tab_Def_Processes[Process_Name],Tab_Def_Processes[Stock_Configuration],,0,)</f>
        <v>#N/A</v>
      </c>
      <c r="H102" s="14" t="e">
        <f>_xlfn.XLOOKUP($D102,Tab_Def_Processes[Process_Name],Tab_Def_Processes[Outflow_count],,0,)</f>
        <v>#N/A</v>
      </c>
      <c r="I102" s="18" t="s">
        <v>5</v>
      </c>
      <c r="J102" s="2" t="str">
        <f>_xlfn.XLOOKUP($I102,Tab_Def_Flows[Flow_Name],Tab_Def_Flows[Flow_ID],,0,1)</f>
        <v>F__</v>
      </c>
      <c r="K102" s="3"/>
      <c r="L102" s="11" t="str">
        <f t="shared" si="9"/>
        <v>TC_E1_F__</v>
      </c>
      <c r="M102" s="20"/>
      <c r="N102" s="11" t="str">
        <f t="shared" si="10"/>
        <v>TC_E2_F__</v>
      </c>
      <c r="O102" s="20"/>
      <c r="P102" s="11" t="str">
        <f t="shared" si="11"/>
        <v>TC_E3_F__</v>
      </c>
      <c r="Q102" s="20"/>
      <c r="R102" s="11" t="str">
        <f t="shared" si="12"/>
        <v>TC_E4_F__</v>
      </c>
      <c r="S102" s="3"/>
      <c r="T102" s="11" t="str">
        <f t="shared" si="13"/>
        <v>TC_E5_F__</v>
      </c>
      <c r="U102" s="3"/>
      <c r="V102" s="11" t="str">
        <f t="shared" si="14"/>
        <v>TC_E6_F__</v>
      </c>
      <c r="W102" s="3"/>
      <c r="X102" s="9"/>
      <c r="Y102" s="9"/>
      <c r="Z102" s="9"/>
      <c r="AA102" s="9"/>
    </row>
    <row r="103" spans="1:27" x14ac:dyDescent="0.25">
      <c r="A103" s="22" t="b">
        <v>0</v>
      </c>
      <c r="B103" s="2">
        <f t="shared" si="15"/>
        <v>102</v>
      </c>
      <c r="C103" s="14" t="e">
        <f>_xlfn.XLOOKUP($D103,Tab_Def_Processes[Process_Name],Tab_Def_Processes[Process_ID],,0,)</f>
        <v>#N/A</v>
      </c>
      <c r="D103" s="18" t="s">
        <v>5</v>
      </c>
      <c r="E103" s="14" t="e">
        <f>_xlfn.XLOOKUP($D103,Tab_Def_Processes[Process_Name],Tab_Def_Processes[Process_Logic],,0,)</f>
        <v>#N/A</v>
      </c>
      <c r="F103" s="14" t="e">
        <f>_xlfn.XLOOKUP($D103,Tab_Def_Processes[Process_Name],Tab_Def_Processes[TC_Configuration],,0,)</f>
        <v>#N/A</v>
      </c>
      <c r="G103" s="14" t="e">
        <f>_xlfn.XLOOKUP($D103,Tab_Def_Processes[Process_Name],Tab_Def_Processes[Stock_Configuration],,0,)</f>
        <v>#N/A</v>
      </c>
      <c r="H103" s="14" t="e">
        <f>_xlfn.XLOOKUP($D103,Tab_Def_Processes[Process_Name],Tab_Def_Processes[Outflow_count],,0,)</f>
        <v>#N/A</v>
      </c>
      <c r="I103" s="18" t="s">
        <v>5</v>
      </c>
      <c r="J103" s="2" t="str">
        <f>_xlfn.XLOOKUP($I103,Tab_Def_Flows[Flow_Name],Tab_Def_Flows[Flow_ID],,0,1)</f>
        <v>F__</v>
      </c>
      <c r="K103" s="3"/>
      <c r="L103" s="11" t="str">
        <f t="shared" si="9"/>
        <v>TC_E1_F__</v>
      </c>
      <c r="M103" s="20"/>
      <c r="N103" s="11" t="str">
        <f t="shared" si="10"/>
        <v>TC_E2_F__</v>
      </c>
      <c r="O103" s="20"/>
      <c r="P103" s="11" t="str">
        <f t="shared" si="11"/>
        <v>TC_E3_F__</v>
      </c>
      <c r="Q103" s="20"/>
      <c r="R103" s="11" t="str">
        <f t="shared" si="12"/>
        <v>TC_E4_F__</v>
      </c>
      <c r="S103" s="3"/>
      <c r="T103" s="11" t="str">
        <f t="shared" si="13"/>
        <v>TC_E5_F__</v>
      </c>
      <c r="U103" s="3"/>
      <c r="V103" s="11" t="str">
        <f t="shared" si="14"/>
        <v>TC_E6_F__</v>
      </c>
      <c r="W103" s="3"/>
      <c r="X103" s="9"/>
      <c r="Y103" s="9"/>
      <c r="Z103" s="9"/>
      <c r="AA103" s="9"/>
    </row>
    <row r="104" spans="1:27" x14ac:dyDescent="0.25">
      <c r="A104" s="22" t="b">
        <v>0</v>
      </c>
      <c r="B104" s="2">
        <f t="shared" si="15"/>
        <v>103</v>
      </c>
      <c r="C104" s="14" t="e">
        <f>_xlfn.XLOOKUP($D104,Tab_Def_Processes[Process_Name],Tab_Def_Processes[Process_ID],,0,)</f>
        <v>#N/A</v>
      </c>
      <c r="D104" s="18" t="s">
        <v>5</v>
      </c>
      <c r="E104" s="14" t="e">
        <f>_xlfn.XLOOKUP($D104,Tab_Def_Processes[Process_Name],Tab_Def_Processes[Process_Logic],,0,)</f>
        <v>#N/A</v>
      </c>
      <c r="F104" s="14" t="e">
        <f>_xlfn.XLOOKUP($D104,Tab_Def_Processes[Process_Name],Tab_Def_Processes[TC_Configuration],,0,)</f>
        <v>#N/A</v>
      </c>
      <c r="G104" s="14" t="e">
        <f>_xlfn.XLOOKUP($D104,Tab_Def_Processes[Process_Name],Tab_Def_Processes[Stock_Configuration],,0,)</f>
        <v>#N/A</v>
      </c>
      <c r="H104" s="14" t="e">
        <f>_xlfn.XLOOKUP($D104,Tab_Def_Processes[Process_Name],Tab_Def_Processes[Outflow_count],,0,)</f>
        <v>#N/A</v>
      </c>
      <c r="I104" s="18" t="s">
        <v>5</v>
      </c>
      <c r="J104" s="2" t="str">
        <f>_xlfn.XLOOKUP($I104,Tab_Def_Flows[Flow_Name],Tab_Def_Flows[Flow_ID],,0,1)</f>
        <v>F__</v>
      </c>
      <c r="K104" s="3"/>
      <c r="L104" s="11" t="str">
        <f t="shared" si="9"/>
        <v>TC_E1_F__</v>
      </c>
      <c r="M104" s="20"/>
      <c r="N104" s="11" t="str">
        <f t="shared" si="10"/>
        <v>TC_E2_F__</v>
      </c>
      <c r="O104" s="20"/>
      <c r="P104" s="11" t="str">
        <f t="shared" si="11"/>
        <v>TC_E3_F__</v>
      </c>
      <c r="Q104" s="20"/>
      <c r="R104" s="11" t="str">
        <f t="shared" si="12"/>
        <v>TC_E4_F__</v>
      </c>
      <c r="S104" s="3"/>
      <c r="T104" s="11" t="str">
        <f t="shared" si="13"/>
        <v>TC_E5_F__</v>
      </c>
      <c r="U104" s="3"/>
      <c r="V104" s="11" t="str">
        <f t="shared" si="14"/>
        <v>TC_E6_F__</v>
      </c>
      <c r="W104" s="3"/>
      <c r="X104" s="9"/>
      <c r="Y104" s="9"/>
      <c r="Z104" s="9"/>
      <c r="AA104" s="9"/>
    </row>
    <row r="105" spans="1:27" x14ac:dyDescent="0.25">
      <c r="A105" s="22" t="b">
        <v>0</v>
      </c>
      <c r="B105" s="2">
        <f t="shared" si="15"/>
        <v>104</v>
      </c>
      <c r="C105" s="14" t="e">
        <f>_xlfn.XLOOKUP($D105,Tab_Def_Processes[Process_Name],Tab_Def_Processes[Process_ID],,0,)</f>
        <v>#N/A</v>
      </c>
      <c r="D105" s="18" t="s">
        <v>5</v>
      </c>
      <c r="E105" s="14" t="e">
        <f>_xlfn.XLOOKUP($D105,Tab_Def_Processes[Process_Name],Tab_Def_Processes[Process_Logic],,0,)</f>
        <v>#N/A</v>
      </c>
      <c r="F105" s="14" t="e">
        <f>_xlfn.XLOOKUP($D105,Tab_Def_Processes[Process_Name],Tab_Def_Processes[TC_Configuration],,0,)</f>
        <v>#N/A</v>
      </c>
      <c r="G105" s="14" t="e">
        <f>_xlfn.XLOOKUP($D105,Tab_Def_Processes[Process_Name],Tab_Def_Processes[Stock_Configuration],,0,)</f>
        <v>#N/A</v>
      </c>
      <c r="H105" s="14" t="e">
        <f>_xlfn.XLOOKUP($D105,Tab_Def_Processes[Process_Name],Tab_Def_Processes[Outflow_count],,0,)</f>
        <v>#N/A</v>
      </c>
      <c r="I105" s="18" t="s">
        <v>5</v>
      </c>
      <c r="J105" s="2" t="str">
        <f>_xlfn.XLOOKUP($I105,Tab_Def_Flows[Flow_Name],Tab_Def_Flows[Flow_ID],,0,1)</f>
        <v>F__</v>
      </c>
      <c r="K105" s="3"/>
      <c r="L105" s="11" t="str">
        <f t="shared" si="9"/>
        <v>TC_E1_F__</v>
      </c>
      <c r="M105" s="20"/>
      <c r="N105" s="11" t="str">
        <f t="shared" si="10"/>
        <v>TC_E2_F__</v>
      </c>
      <c r="O105" s="20"/>
      <c r="P105" s="11" t="str">
        <f t="shared" si="11"/>
        <v>TC_E3_F__</v>
      </c>
      <c r="Q105" s="20"/>
      <c r="R105" s="11" t="str">
        <f t="shared" si="12"/>
        <v>TC_E4_F__</v>
      </c>
      <c r="S105" s="3"/>
      <c r="T105" s="11" t="str">
        <f t="shared" si="13"/>
        <v>TC_E5_F__</v>
      </c>
      <c r="U105" s="3"/>
      <c r="V105" s="11" t="str">
        <f t="shared" si="14"/>
        <v>TC_E6_F__</v>
      </c>
      <c r="W105" s="3"/>
      <c r="X105" s="9"/>
      <c r="Y105" s="9"/>
      <c r="Z105" s="9"/>
      <c r="AA105" s="9"/>
    </row>
    <row r="106" spans="1:27" x14ac:dyDescent="0.25">
      <c r="A106" s="22" t="b">
        <v>0</v>
      </c>
      <c r="B106" s="2">
        <f t="shared" si="15"/>
        <v>105</v>
      </c>
      <c r="C106" s="14" t="e">
        <f>_xlfn.XLOOKUP($D106,Tab_Def_Processes[Process_Name],Tab_Def_Processes[Process_ID],,0,)</f>
        <v>#N/A</v>
      </c>
      <c r="D106" s="18" t="s">
        <v>5</v>
      </c>
      <c r="E106" s="14" t="e">
        <f>_xlfn.XLOOKUP($D106,Tab_Def_Processes[Process_Name],Tab_Def_Processes[Process_Logic],,0,)</f>
        <v>#N/A</v>
      </c>
      <c r="F106" s="14" t="e">
        <f>_xlfn.XLOOKUP($D106,Tab_Def_Processes[Process_Name],Tab_Def_Processes[TC_Configuration],,0,)</f>
        <v>#N/A</v>
      </c>
      <c r="G106" s="14" t="e">
        <f>_xlfn.XLOOKUP($D106,Tab_Def_Processes[Process_Name],Tab_Def_Processes[Stock_Configuration],,0,)</f>
        <v>#N/A</v>
      </c>
      <c r="H106" s="14" t="e">
        <f>_xlfn.XLOOKUP($D106,Tab_Def_Processes[Process_Name],Tab_Def_Processes[Outflow_count],,0,)</f>
        <v>#N/A</v>
      </c>
      <c r="I106" s="18" t="s">
        <v>5</v>
      </c>
      <c r="J106" s="2" t="str">
        <f>_xlfn.XLOOKUP($I106,Tab_Def_Flows[Flow_Name],Tab_Def_Flows[Flow_ID],,0,1)</f>
        <v>F__</v>
      </c>
      <c r="K106" s="3"/>
      <c r="L106" s="11" t="str">
        <f t="shared" si="9"/>
        <v>TC_E1_F__</v>
      </c>
      <c r="M106" s="20"/>
      <c r="N106" s="11" t="str">
        <f t="shared" si="10"/>
        <v>TC_E2_F__</v>
      </c>
      <c r="O106" s="20"/>
      <c r="P106" s="11" t="str">
        <f t="shared" si="11"/>
        <v>TC_E3_F__</v>
      </c>
      <c r="Q106" s="20"/>
      <c r="R106" s="11" t="str">
        <f t="shared" si="12"/>
        <v>TC_E4_F__</v>
      </c>
      <c r="S106" s="3"/>
      <c r="T106" s="11" t="str">
        <f t="shared" si="13"/>
        <v>TC_E5_F__</v>
      </c>
      <c r="U106" s="3"/>
      <c r="V106" s="11" t="str">
        <f t="shared" si="14"/>
        <v>TC_E6_F__</v>
      </c>
      <c r="W106" s="3"/>
      <c r="X106" s="9"/>
      <c r="Y106" s="9"/>
      <c r="Z106" s="9"/>
      <c r="AA106" s="9"/>
    </row>
    <row r="107" spans="1:27" x14ac:dyDescent="0.25">
      <c r="A107" s="22" t="b">
        <v>0</v>
      </c>
      <c r="B107" s="2">
        <f t="shared" si="15"/>
        <v>106</v>
      </c>
      <c r="C107" s="14" t="e">
        <f>_xlfn.XLOOKUP($D107,Tab_Def_Processes[Process_Name],Tab_Def_Processes[Process_ID],,0,)</f>
        <v>#N/A</v>
      </c>
      <c r="D107" s="18" t="s">
        <v>5</v>
      </c>
      <c r="E107" s="14" t="e">
        <f>_xlfn.XLOOKUP($D107,Tab_Def_Processes[Process_Name],Tab_Def_Processes[Process_Logic],,0,)</f>
        <v>#N/A</v>
      </c>
      <c r="F107" s="14" t="e">
        <f>_xlfn.XLOOKUP($D107,Tab_Def_Processes[Process_Name],Tab_Def_Processes[TC_Configuration],,0,)</f>
        <v>#N/A</v>
      </c>
      <c r="G107" s="14" t="e">
        <f>_xlfn.XLOOKUP($D107,Tab_Def_Processes[Process_Name],Tab_Def_Processes[Stock_Configuration],,0,)</f>
        <v>#N/A</v>
      </c>
      <c r="H107" s="14" t="e">
        <f>_xlfn.XLOOKUP($D107,Tab_Def_Processes[Process_Name],Tab_Def_Processes[Outflow_count],,0,)</f>
        <v>#N/A</v>
      </c>
      <c r="I107" s="18" t="s">
        <v>5</v>
      </c>
      <c r="J107" s="2" t="str">
        <f>_xlfn.XLOOKUP($I107,Tab_Def_Flows[Flow_Name],Tab_Def_Flows[Flow_ID],,0,1)</f>
        <v>F__</v>
      </c>
      <c r="K107" s="3"/>
      <c r="L107" s="11" t="str">
        <f t="shared" si="9"/>
        <v>TC_E1_F__</v>
      </c>
      <c r="M107" s="20"/>
      <c r="N107" s="11" t="str">
        <f t="shared" si="10"/>
        <v>TC_E2_F__</v>
      </c>
      <c r="O107" s="20"/>
      <c r="P107" s="11" t="str">
        <f t="shared" si="11"/>
        <v>TC_E3_F__</v>
      </c>
      <c r="Q107" s="20"/>
      <c r="R107" s="11" t="str">
        <f t="shared" si="12"/>
        <v>TC_E4_F__</v>
      </c>
      <c r="S107" s="3"/>
      <c r="T107" s="11" t="str">
        <f t="shared" si="13"/>
        <v>TC_E5_F__</v>
      </c>
      <c r="U107" s="3"/>
      <c r="V107" s="11" t="str">
        <f t="shared" si="14"/>
        <v>TC_E6_F__</v>
      </c>
      <c r="W107" s="3"/>
      <c r="X107" s="9"/>
      <c r="Y107" s="9"/>
      <c r="Z107" s="9"/>
      <c r="AA107" s="9"/>
    </row>
    <row r="108" spans="1:27" x14ac:dyDescent="0.25">
      <c r="A108" s="22" t="b">
        <v>0</v>
      </c>
      <c r="B108" s="2">
        <f t="shared" si="15"/>
        <v>107</v>
      </c>
      <c r="C108" s="14" t="e">
        <f>_xlfn.XLOOKUP($D108,Tab_Def_Processes[Process_Name],Tab_Def_Processes[Process_ID],,0,)</f>
        <v>#N/A</v>
      </c>
      <c r="D108" s="18" t="s">
        <v>5</v>
      </c>
      <c r="E108" s="14" t="e">
        <f>_xlfn.XLOOKUP($D108,Tab_Def_Processes[Process_Name],Tab_Def_Processes[Process_Logic],,0,)</f>
        <v>#N/A</v>
      </c>
      <c r="F108" s="14" t="e">
        <f>_xlfn.XLOOKUP($D108,Tab_Def_Processes[Process_Name],Tab_Def_Processes[TC_Configuration],,0,)</f>
        <v>#N/A</v>
      </c>
      <c r="G108" s="14" t="e">
        <f>_xlfn.XLOOKUP($D108,Tab_Def_Processes[Process_Name],Tab_Def_Processes[Stock_Configuration],,0,)</f>
        <v>#N/A</v>
      </c>
      <c r="H108" s="14" t="e">
        <f>_xlfn.XLOOKUP($D108,Tab_Def_Processes[Process_Name],Tab_Def_Processes[Outflow_count],,0,)</f>
        <v>#N/A</v>
      </c>
      <c r="I108" s="18" t="s">
        <v>5</v>
      </c>
      <c r="J108" s="2" t="str">
        <f>_xlfn.XLOOKUP($I108,Tab_Def_Flows[Flow_Name],Tab_Def_Flows[Flow_ID],,0,1)</f>
        <v>F__</v>
      </c>
      <c r="K108" s="3"/>
      <c r="L108" s="11" t="str">
        <f t="shared" si="9"/>
        <v>TC_E1_F__</v>
      </c>
      <c r="M108" s="20"/>
      <c r="N108" s="11" t="str">
        <f t="shared" si="10"/>
        <v>TC_E2_F__</v>
      </c>
      <c r="O108" s="20"/>
      <c r="P108" s="11" t="str">
        <f t="shared" si="11"/>
        <v>TC_E3_F__</v>
      </c>
      <c r="Q108" s="20"/>
      <c r="R108" s="11" t="str">
        <f t="shared" si="12"/>
        <v>TC_E4_F__</v>
      </c>
      <c r="S108" s="3"/>
      <c r="T108" s="11" t="str">
        <f t="shared" si="13"/>
        <v>TC_E5_F__</v>
      </c>
      <c r="U108" s="3"/>
      <c r="V108" s="11" t="str">
        <f t="shared" si="14"/>
        <v>TC_E6_F__</v>
      </c>
      <c r="W108" s="3"/>
      <c r="X108" s="9"/>
      <c r="Y108" s="9"/>
      <c r="Z108" s="9"/>
      <c r="AA108" s="9"/>
    </row>
    <row r="109" spans="1:27" x14ac:dyDescent="0.25">
      <c r="A109" s="22" t="b">
        <v>0</v>
      </c>
      <c r="B109" s="2">
        <f t="shared" si="15"/>
        <v>108</v>
      </c>
      <c r="C109" s="14" t="e">
        <f>_xlfn.XLOOKUP($D109,Tab_Def_Processes[Process_Name],Tab_Def_Processes[Process_ID],,0,)</f>
        <v>#N/A</v>
      </c>
      <c r="D109" s="18" t="s">
        <v>5</v>
      </c>
      <c r="E109" s="14" t="e">
        <f>_xlfn.XLOOKUP($D109,Tab_Def_Processes[Process_Name],Tab_Def_Processes[Process_Logic],,0,)</f>
        <v>#N/A</v>
      </c>
      <c r="F109" s="14" t="e">
        <f>_xlfn.XLOOKUP($D109,Tab_Def_Processes[Process_Name],Tab_Def_Processes[TC_Configuration],,0,)</f>
        <v>#N/A</v>
      </c>
      <c r="G109" s="14" t="e">
        <f>_xlfn.XLOOKUP($D109,Tab_Def_Processes[Process_Name],Tab_Def_Processes[Stock_Configuration],,0,)</f>
        <v>#N/A</v>
      </c>
      <c r="H109" s="14" t="e">
        <f>_xlfn.XLOOKUP($D109,Tab_Def_Processes[Process_Name],Tab_Def_Processes[Outflow_count],,0,)</f>
        <v>#N/A</v>
      </c>
      <c r="I109" s="18" t="s">
        <v>5</v>
      </c>
      <c r="J109" s="2" t="str">
        <f>_xlfn.XLOOKUP($I109,Tab_Def_Flows[Flow_Name],Tab_Def_Flows[Flow_ID],,0,1)</f>
        <v>F__</v>
      </c>
      <c r="K109" s="3"/>
      <c r="L109" s="11" t="str">
        <f t="shared" si="9"/>
        <v>TC_E1_F__</v>
      </c>
      <c r="M109" s="20"/>
      <c r="N109" s="11" t="str">
        <f t="shared" si="10"/>
        <v>TC_E2_F__</v>
      </c>
      <c r="O109" s="20"/>
      <c r="P109" s="11" t="str">
        <f t="shared" si="11"/>
        <v>TC_E3_F__</v>
      </c>
      <c r="Q109" s="20"/>
      <c r="R109" s="11" t="str">
        <f t="shared" si="12"/>
        <v>TC_E4_F__</v>
      </c>
      <c r="S109" s="3"/>
      <c r="T109" s="11" t="str">
        <f t="shared" si="13"/>
        <v>TC_E5_F__</v>
      </c>
      <c r="U109" s="3"/>
      <c r="V109" s="11" t="str">
        <f t="shared" si="14"/>
        <v>TC_E6_F__</v>
      </c>
      <c r="W109" s="3"/>
      <c r="X109" s="9"/>
      <c r="Y109" s="9"/>
      <c r="Z109" s="9"/>
      <c r="AA109" s="9"/>
    </row>
    <row r="110" spans="1:27" x14ac:dyDescent="0.25">
      <c r="A110" s="22" t="b">
        <v>0</v>
      </c>
      <c r="B110" s="2">
        <f t="shared" si="15"/>
        <v>109</v>
      </c>
      <c r="C110" s="14" t="e">
        <f>_xlfn.XLOOKUP($D110,Tab_Def_Processes[Process_Name],Tab_Def_Processes[Process_ID],,0,)</f>
        <v>#N/A</v>
      </c>
      <c r="D110" s="18" t="s">
        <v>5</v>
      </c>
      <c r="E110" s="14" t="e">
        <f>_xlfn.XLOOKUP($D110,Tab_Def_Processes[Process_Name],Tab_Def_Processes[Process_Logic],,0,)</f>
        <v>#N/A</v>
      </c>
      <c r="F110" s="14" t="e">
        <f>_xlfn.XLOOKUP($D110,Tab_Def_Processes[Process_Name],Tab_Def_Processes[TC_Configuration],,0,)</f>
        <v>#N/A</v>
      </c>
      <c r="G110" s="14" t="e">
        <f>_xlfn.XLOOKUP($D110,Tab_Def_Processes[Process_Name],Tab_Def_Processes[Stock_Configuration],,0,)</f>
        <v>#N/A</v>
      </c>
      <c r="H110" s="14" t="e">
        <f>_xlfn.XLOOKUP($D110,Tab_Def_Processes[Process_Name],Tab_Def_Processes[Outflow_count],,0,)</f>
        <v>#N/A</v>
      </c>
      <c r="I110" s="18" t="s">
        <v>5</v>
      </c>
      <c r="J110" s="2" t="str">
        <f>_xlfn.XLOOKUP($I110,Tab_Def_Flows[Flow_Name],Tab_Def_Flows[Flow_ID],,0,1)</f>
        <v>F__</v>
      </c>
      <c r="K110" s="3"/>
      <c r="L110" s="11" t="str">
        <f t="shared" si="9"/>
        <v>TC_E1_F__</v>
      </c>
      <c r="M110" s="20"/>
      <c r="N110" s="11" t="str">
        <f t="shared" si="10"/>
        <v>TC_E2_F__</v>
      </c>
      <c r="O110" s="20"/>
      <c r="P110" s="11" t="str">
        <f t="shared" si="11"/>
        <v>TC_E3_F__</v>
      </c>
      <c r="Q110" s="20"/>
      <c r="R110" s="11" t="str">
        <f t="shared" si="12"/>
        <v>TC_E4_F__</v>
      </c>
      <c r="S110" s="3"/>
      <c r="T110" s="11" t="str">
        <f t="shared" si="13"/>
        <v>TC_E5_F__</v>
      </c>
      <c r="U110" s="3"/>
      <c r="V110" s="11" t="str">
        <f t="shared" si="14"/>
        <v>TC_E6_F__</v>
      </c>
      <c r="W110" s="3"/>
      <c r="X110" s="9"/>
      <c r="Y110" s="9"/>
      <c r="Z110" s="9"/>
      <c r="AA110" s="9"/>
    </row>
    <row r="111" spans="1:27" x14ac:dyDescent="0.25">
      <c r="A111" s="22" t="b">
        <v>0</v>
      </c>
      <c r="B111" s="2">
        <f t="shared" si="15"/>
        <v>110</v>
      </c>
      <c r="C111" s="14" t="e">
        <f>_xlfn.XLOOKUP($D111,Tab_Def_Processes[Process_Name],Tab_Def_Processes[Process_ID],,0,)</f>
        <v>#N/A</v>
      </c>
      <c r="D111" s="18" t="s">
        <v>5</v>
      </c>
      <c r="E111" s="14" t="e">
        <f>_xlfn.XLOOKUP($D111,Tab_Def_Processes[Process_Name],Tab_Def_Processes[Process_Logic],,0,)</f>
        <v>#N/A</v>
      </c>
      <c r="F111" s="14" t="e">
        <f>_xlfn.XLOOKUP($D111,Tab_Def_Processes[Process_Name],Tab_Def_Processes[TC_Configuration],,0,)</f>
        <v>#N/A</v>
      </c>
      <c r="G111" s="14" t="e">
        <f>_xlfn.XLOOKUP($D111,Tab_Def_Processes[Process_Name],Tab_Def_Processes[Stock_Configuration],,0,)</f>
        <v>#N/A</v>
      </c>
      <c r="H111" s="14" t="e">
        <f>_xlfn.XLOOKUP($D111,Tab_Def_Processes[Process_Name],Tab_Def_Processes[Outflow_count],,0,)</f>
        <v>#N/A</v>
      </c>
      <c r="I111" s="18" t="s">
        <v>5</v>
      </c>
      <c r="J111" s="2" t="str">
        <f>_xlfn.XLOOKUP($I111,Tab_Def_Flows[Flow_Name],Tab_Def_Flows[Flow_ID],,0,1)</f>
        <v>F__</v>
      </c>
      <c r="K111" s="3"/>
      <c r="L111" s="11" t="str">
        <f t="shared" si="9"/>
        <v>TC_E1_F__</v>
      </c>
      <c r="M111" s="20"/>
      <c r="N111" s="11" t="str">
        <f t="shared" si="10"/>
        <v>TC_E2_F__</v>
      </c>
      <c r="O111" s="20"/>
      <c r="P111" s="11" t="str">
        <f t="shared" si="11"/>
        <v>TC_E3_F__</v>
      </c>
      <c r="Q111" s="20"/>
      <c r="R111" s="11" t="str">
        <f t="shared" si="12"/>
        <v>TC_E4_F__</v>
      </c>
      <c r="S111" s="3"/>
      <c r="T111" s="11" t="str">
        <f t="shared" si="13"/>
        <v>TC_E5_F__</v>
      </c>
      <c r="U111" s="3"/>
      <c r="V111" s="11" t="str">
        <f t="shared" si="14"/>
        <v>TC_E6_F__</v>
      </c>
      <c r="W111" s="3"/>
      <c r="X111" s="9"/>
      <c r="Y111" s="9"/>
      <c r="Z111" s="9"/>
      <c r="AA111" s="9"/>
    </row>
    <row r="112" spans="1:27" x14ac:dyDescent="0.25">
      <c r="A112" s="22" t="b">
        <v>0</v>
      </c>
      <c r="B112" s="2">
        <f t="shared" si="15"/>
        <v>111</v>
      </c>
      <c r="C112" s="14" t="e">
        <f>_xlfn.XLOOKUP($D112,Tab_Def_Processes[Process_Name],Tab_Def_Processes[Process_ID],,0,)</f>
        <v>#N/A</v>
      </c>
      <c r="D112" s="18" t="s">
        <v>5</v>
      </c>
      <c r="E112" s="14" t="e">
        <f>_xlfn.XLOOKUP($D112,Tab_Def_Processes[Process_Name],Tab_Def_Processes[Process_Logic],,0,)</f>
        <v>#N/A</v>
      </c>
      <c r="F112" s="14" t="e">
        <f>_xlfn.XLOOKUP($D112,Tab_Def_Processes[Process_Name],Tab_Def_Processes[TC_Configuration],,0,)</f>
        <v>#N/A</v>
      </c>
      <c r="G112" s="14" t="e">
        <f>_xlfn.XLOOKUP($D112,Tab_Def_Processes[Process_Name],Tab_Def_Processes[Stock_Configuration],,0,)</f>
        <v>#N/A</v>
      </c>
      <c r="H112" s="14" t="e">
        <f>_xlfn.XLOOKUP($D112,Tab_Def_Processes[Process_Name],Tab_Def_Processes[Outflow_count],,0,)</f>
        <v>#N/A</v>
      </c>
      <c r="I112" s="18" t="s">
        <v>5</v>
      </c>
      <c r="J112" s="2" t="str">
        <f>_xlfn.XLOOKUP($I112,Tab_Def_Flows[Flow_Name],Tab_Def_Flows[Flow_ID],,0,1)</f>
        <v>F__</v>
      </c>
      <c r="K112" s="3"/>
      <c r="L112" s="11" t="str">
        <f t="shared" si="9"/>
        <v>TC_E1_F__</v>
      </c>
      <c r="M112" s="20"/>
      <c r="N112" s="11" t="str">
        <f t="shared" si="10"/>
        <v>TC_E2_F__</v>
      </c>
      <c r="O112" s="20"/>
      <c r="P112" s="11" t="str">
        <f t="shared" si="11"/>
        <v>TC_E3_F__</v>
      </c>
      <c r="Q112" s="20"/>
      <c r="R112" s="11" t="str">
        <f t="shared" si="12"/>
        <v>TC_E4_F__</v>
      </c>
      <c r="S112" s="3"/>
      <c r="T112" s="11" t="str">
        <f t="shared" si="13"/>
        <v>TC_E5_F__</v>
      </c>
      <c r="U112" s="3"/>
      <c r="V112" s="11" t="str">
        <f t="shared" si="14"/>
        <v>TC_E6_F__</v>
      </c>
      <c r="W112" s="3"/>
      <c r="X112" s="9"/>
      <c r="Y112" s="9"/>
      <c r="Z112" s="9"/>
      <c r="AA112" s="9"/>
    </row>
    <row r="113" spans="1:27" x14ac:dyDescent="0.25">
      <c r="A113" s="22" t="b">
        <v>0</v>
      </c>
      <c r="B113" s="2">
        <f t="shared" si="15"/>
        <v>112</v>
      </c>
      <c r="C113" s="14" t="e">
        <f>_xlfn.XLOOKUP($D113,Tab_Def_Processes[Process_Name],Tab_Def_Processes[Process_ID],,0,)</f>
        <v>#N/A</v>
      </c>
      <c r="D113" s="18" t="s">
        <v>5</v>
      </c>
      <c r="E113" s="14" t="e">
        <f>_xlfn.XLOOKUP($D113,Tab_Def_Processes[Process_Name],Tab_Def_Processes[Process_Logic],,0,)</f>
        <v>#N/A</v>
      </c>
      <c r="F113" s="14" t="e">
        <f>_xlfn.XLOOKUP($D113,Tab_Def_Processes[Process_Name],Tab_Def_Processes[TC_Configuration],,0,)</f>
        <v>#N/A</v>
      </c>
      <c r="G113" s="14" t="e">
        <f>_xlfn.XLOOKUP($D113,Tab_Def_Processes[Process_Name],Tab_Def_Processes[Stock_Configuration],,0,)</f>
        <v>#N/A</v>
      </c>
      <c r="H113" s="14" t="e">
        <f>_xlfn.XLOOKUP($D113,Tab_Def_Processes[Process_Name],Tab_Def_Processes[Outflow_count],,0,)</f>
        <v>#N/A</v>
      </c>
      <c r="I113" s="18" t="s">
        <v>5</v>
      </c>
      <c r="J113" s="2" t="str">
        <f>_xlfn.XLOOKUP($I113,Tab_Def_Flows[Flow_Name],Tab_Def_Flows[Flow_ID],,0,1)</f>
        <v>F__</v>
      </c>
      <c r="K113" s="3"/>
      <c r="L113" s="11" t="str">
        <f t="shared" si="9"/>
        <v>TC_E1_F__</v>
      </c>
      <c r="M113" s="20"/>
      <c r="N113" s="11" t="str">
        <f t="shared" si="10"/>
        <v>TC_E2_F__</v>
      </c>
      <c r="O113" s="20"/>
      <c r="P113" s="11" t="str">
        <f t="shared" si="11"/>
        <v>TC_E3_F__</v>
      </c>
      <c r="Q113" s="20"/>
      <c r="R113" s="11" t="str">
        <f t="shared" si="12"/>
        <v>TC_E4_F__</v>
      </c>
      <c r="S113" s="3"/>
      <c r="T113" s="11" t="str">
        <f t="shared" si="13"/>
        <v>TC_E5_F__</v>
      </c>
      <c r="U113" s="3"/>
      <c r="V113" s="11" t="str">
        <f t="shared" si="14"/>
        <v>TC_E6_F__</v>
      </c>
      <c r="W113" s="3"/>
      <c r="X113" s="9"/>
      <c r="Y113" s="9"/>
      <c r="Z113" s="9"/>
      <c r="AA113" s="9"/>
    </row>
    <row r="114" spans="1:27" x14ac:dyDescent="0.25">
      <c r="A114" s="22" t="b">
        <v>0</v>
      </c>
      <c r="B114" s="2">
        <f t="shared" si="15"/>
        <v>113</v>
      </c>
      <c r="C114" s="14" t="e">
        <f>_xlfn.XLOOKUP($D114,Tab_Def_Processes[Process_Name],Tab_Def_Processes[Process_ID],,0,)</f>
        <v>#N/A</v>
      </c>
      <c r="D114" s="18" t="s">
        <v>5</v>
      </c>
      <c r="E114" s="14" t="e">
        <f>_xlfn.XLOOKUP($D114,Tab_Def_Processes[Process_Name],Tab_Def_Processes[Process_Logic],,0,)</f>
        <v>#N/A</v>
      </c>
      <c r="F114" s="14" t="e">
        <f>_xlfn.XLOOKUP($D114,Tab_Def_Processes[Process_Name],Tab_Def_Processes[TC_Configuration],,0,)</f>
        <v>#N/A</v>
      </c>
      <c r="G114" s="14" t="e">
        <f>_xlfn.XLOOKUP($D114,Tab_Def_Processes[Process_Name],Tab_Def_Processes[Stock_Configuration],,0,)</f>
        <v>#N/A</v>
      </c>
      <c r="H114" s="14" t="e">
        <f>_xlfn.XLOOKUP($D114,Tab_Def_Processes[Process_Name],Tab_Def_Processes[Outflow_count],,0,)</f>
        <v>#N/A</v>
      </c>
      <c r="I114" s="18" t="s">
        <v>5</v>
      </c>
      <c r="J114" s="2" t="str">
        <f>_xlfn.XLOOKUP($I114,Tab_Def_Flows[Flow_Name],Tab_Def_Flows[Flow_ID],,0,1)</f>
        <v>F__</v>
      </c>
      <c r="K114" s="3"/>
      <c r="L114" s="11" t="str">
        <f t="shared" si="9"/>
        <v>TC_E1_F__</v>
      </c>
      <c r="M114" s="20"/>
      <c r="N114" s="11" t="str">
        <f t="shared" si="10"/>
        <v>TC_E2_F__</v>
      </c>
      <c r="O114" s="20"/>
      <c r="P114" s="11" t="str">
        <f t="shared" si="11"/>
        <v>TC_E3_F__</v>
      </c>
      <c r="Q114" s="20"/>
      <c r="R114" s="11" t="str">
        <f t="shared" si="12"/>
        <v>TC_E4_F__</v>
      </c>
      <c r="S114" s="3"/>
      <c r="T114" s="11" t="str">
        <f t="shared" si="13"/>
        <v>TC_E5_F__</v>
      </c>
      <c r="U114" s="3"/>
      <c r="V114" s="11" t="str">
        <f t="shared" si="14"/>
        <v>TC_E6_F__</v>
      </c>
      <c r="W114" s="3"/>
      <c r="X114" s="9"/>
      <c r="Y114" s="9"/>
      <c r="Z114" s="9"/>
      <c r="AA114" s="9"/>
    </row>
    <row r="115" spans="1:27" x14ac:dyDescent="0.25">
      <c r="A115" s="22" t="b">
        <v>0</v>
      </c>
      <c r="B115" s="2">
        <f t="shared" si="15"/>
        <v>114</v>
      </c>
      <c r="C115" s="14" t="e">
        <f>_xlfn.XLOOKUP($D115,Tab_Def_Processes[Process_Name],Tab_Def_Processes[Process_ID],,0,)</f>
        <v>#N/A</v>
      </c>
      <c r="D115" s="18" t="s">
        <v>5</v>
      </c>
      <c r="E115" s="14" t="e">
        <f>_xlfn.XLOOKUP($D115,Tab_Def_Processes[Process_Name],Tab_Def_Processes[Process_Logic],,0,)</f>
        <v>#N/A</v>
      </c>
      <c r="F115" s="14" t="e">
        <f>_xlfn.XLOOKUP($D115,Tab_Def_Processes[Process_Name],Tab_Def_Processes[TC_Configuration],,0,)</f>
        <v>#N/A</v>
      </c>
      <c r="G115" s="14" t="e">
        <f>_xlfn.XLOOKUP($D115,Tab_Def_Processes[Process_Name],Tab_Def_Processes[Stock_Configuration],,0,)</f>
        <v>#N/A</v>
      </c>
      <c r="H115" s="14" t="e">
        <f>_xlfn.XLOOKUP($D115,Tab_Def_Processes[Process_Name],Tab_Def_Processes[Outflow_count],,0,)</f>
        <v>#N/A</v>
      </c>
      <c r="I115" s="18" t="s">
        <v>5</v>
      </c>
      <c r="J115" s="2" t="str">
        <f>_xlfn.XLOOKUP($I115,Tab_Def_Flows[Flow_Name],Tab_Def_Flows[Flow_ID],,0,1)</f>
        <v>F__</v>
      </c>
      <c r="K115" s="3"/>
      <c r="L115" s="11" t="str">
        <f t="shared" si="9"/>
        <v>TC_E1_F__</v>
      </c>
      <c r="M115" s="20"/>
      <c r="N115" s="11" t="str">
        <f t="shared" si="10"/>
        <v>TC_E2_F__</v>
      </c>
      <c r="O115" s="20"/>
      <c r="P115" s="11" t="str">
        <f t="shared" si="11"/>
        <v>TC_E3_F__</v>
      </c>
      <c r="Q115" s="20"/>
      <c r="R115" s="11" t="str">
        <f t="shared" si="12"/>
        <v>TC_E4_F__</v>
      </c>
      <c r="S115" s="3"/>
      <c r="T115" s="11" t="str">
        <f t="shared" si="13"/>
        <v>TC_E5_F__</v>
      </c>
      <c r="U115" s="3"/>
      <c r="V115" s="11" t="str">
        <f t="shared" si="14"/>
        <v>TC_E6_F__</v>
      </c>
      <c r="W115" s="3"/>
      <c r="X115" s="9"/>
      <c r="Y115" s="9"/>
      <c r="Z115" s="9"/>
      <c r="AA115" s="9"/>
    </row>
    <row r="116" spans="1:27" x14ac:dyDescent="0.25">
      <c r="A116" s="22" t="b">
        <v>0</v>
      </c>
      <c r="B116" s="2">
        <f t="shared" si="15"/>
        <v>115</v>
      </c>
      <c r="C116" s="14" t="e">
        <f>_xlfn.XLOOKUP($D116,Tab_Def_Processes[Process_Name],Tab_Def_Processes[Process_ID],,0,)</f>
        <v>#N/A</v>
      </c>
      <c r="D116" s="18" t="s">
        <v>5</v>
      </c>
      <c r="E116" s="14" t="e">
        <f>_xlfn.XLOOKUP($D116,Tab_Def_Processes[Process_Name],Tab_Def_Processes[Process_Logic],,0,)</f>
        <v>#N/A</v>
      </c>
      <c r="F116" s="14" t="e">
        <f>_xlfn.XLOOKUP($D116,Tab_Def_Processes[Process_Name],Tab_Def_Processes[TC_Configuration],,0,)</f>
        <v>#N/A</v>
      </c>
      <c r="G116" s="14" t="e">
        <f>_xlfn.XLOOKUP($D116,Tab_Def_Processes[Process_Name],Tab_Def_Processes[Stock_Configuration],,0,)</f>
        <v>#N/A</v>
      </c>
      <c r="H116" s="14" t="e">
        <f>_xlfn.XLOOKUP($D116,Tab_Def_Processes[Process_Name],Tab_Def_Processes[Outflow_count],,0,)</f>
        <v>#N/A</v>
      </c>
      <c r="I116" s="18" t="s">
        <v>5</v>
      </c>
      <c r="J116" s="2" t="str">
        <f>_xlfn.XLOOKUP($I116,Tab_Def_Flows[Flow_Name],Tab_Def_Flows[Flow_ID],,0,1)</f>
        <v>F__</v>
      </c>
      <c r="K116" s="3"/>
      <c r="L116" s="11" t="str">
        <f t="shared" si="9"/>
        <v>TC_E1_F__</v>
      </c>
      <c r="M116" s="20"/>
      <c r="N116" s="11" t="str">
        <f t="shared" si="10"/>
        <v>TC_E2_F__</v>
      </c>
      <c r="O116" s="20"/>
      <c r="P116" s="11" t="str">
        <f t="shared" si="11"/>
        <v>TC_E3_F__</v>
      </c>
      <c r="Q116" s="20"/>
      <c r="R116" s="11" t="str">
        <f t="shared" si="12"/>
        <v>TC_E4_F__</v>
      </c>
      <c r="S116" s="3"/>
      <c r="T116" s="11" t="str">
        <f t="shared" si="13"/>
        <v>TC_E5_F__</v>
      </c>
      <c r="U116" s="3"/>
      <c r="V116" s="11" t="str">
        <f t="shared" si="14"/>
        <v>TC_E6_F__</v>
      </c>
      <c r="W116" s="3"/>
      <c r="X116" s="9"/>
      <c r="Y116" s="9"/>
      <c r="Z116" s="9"/>
      <c r="AA116" s="9"/>
    </row>
    <row r="117" spans="1:27" x14ac:dyDescent="0.25">
      <c r="A117" s="22" t="b">
        <v>0</v>
      </c>
      <c r="B117" s="2">
        <f t="shared" si="15"/>
        <v>116</v>
      </c>
      <c r="C117" s="14" t="e">
        <f>_xlfn.XLOOKUP($D117,Tab_Def_Processes[Process_Name],Tab_Def_Processes[Process_ID],,0,)</f>
        <v>#N/A</v>
      </c>
      <c r="D117" s="18" t="s">
        <v>5</v>
      </c>
      <c r="E117" s="14" t="e">
        <f>_xlfn.XLOOKUP($D117,Tab_Def_Processes[Process_Name],Tab_Def_Processes[Process_Logic],,0,)</f>
        <v>#N/A</v>
      </c>
      <c r="F117" s="14" t="e">
        <f>_xlfn.XLOOKUP($D117,Tab_Def_Processes[Process_Name],Tab_Def_Processes[TC_Configuration],,0,)</f>
        <v>#N/A</v>
      </c>
      <c r="G117" s="14" t="e">
        <f>_xlfn.XLOOKUP($D117,Tab_Def_Processes[Process_Name],Tab_Def_Processes[Stock_Configuration],,0,)</f>
        <v>#N/A</v>
      </c>
      <c r="H117" s="14" t="e">
        <f>_xlfn.XLOOKUP($D117,Tab_Def_Processes[Process_Name],Tab_Def_Processes[Outflow_count],,0,)</f>
        <v>#N/A</v>
      </c>
      <c r="I117" s="18" t="s">
        <v>5</v>
      </c>
      <c r="J117" s="2" t="str">
        <f>_xlfn.XLOOKUP($I117,Tab_Def_Flows[Flow_Name],Tab_Def_Flows[Flow_ID],,0,1)</f>
        <v>F__</v>
      </c>
      <c r="K117" s="3"/>
      <c r="L117" s="11" t="str">
        <f t="shared" si="9"/>
        <v>TC_E1_F__</v>
      </c>
      <c r="M117" s="20"/>
      <c r="N117" s="11" t="str">
        <f t="shared" si="10"/>
        <v>TC_E2_F__</v>
      </c>
      <c r="O117" s="20"/>
      <c r="P117" s="11" t="str">
        <f t="shared" si="11"/>
        <v>TC_E3_F__</v>
      </c>
      <c r="Q117" s="20"/>
      <c r="R117" s="11" t="str">
        <f t="shared" si="12"/>
        <v>TC_E4_F__</v>
      </c>
      <c r="S117" s="3"/>
      <c r="T117" s="11" t="str">
        <f t="shared" si="13"/>
        <v>TC_E5_F__</v>
      </c>
      <c r="U117" s="3"/>
      <c r="V117" s="11" t="str">
        <f t="shared" si="14"/>
        <v>TC_E6_F__</v>
      </c>
      <c r="W117" s="3"/>
      <c r="X117" s="9"/>
      <c r="Y117" s="9"/>
      <c r="Z117" s="9"/>
      <c r="AA117" s="9"/>
    </row>
    <row r="118" spans="1:27" x14ac:dyDescent="0.25">
      <c r="A118" s="22" t="b">
        <v>0</v>
      </c>
      <c r="B118" s="2">
        <f t="shared" si="15"/>
        <v>117</v>
      </c>
      <c r="C118" s="14" t="e">
        <f>_xlfn.XLOOKUP($D118,Tab_Def_Processes[Process_Name],Tab_Def_Processes[Process_ID],,0,)</f>
        <v>#N/A</v>
      </c>
      <c r="D118" s="18" t="s">
        <v>5</v>
      </c>
      <c r="E118" s="14" t="e">
        <f>_xlfn.XLOOKUP($D118,Tab_Def_Processes[Process_Name],Tab_Def_Processes[Process_Logic],,0,)</f>
        <v>#N/A</v>
      </c>
      <c r="F118" s="14" t="e">
        <f>_xlfn.XLOOKUP($D118,Tab_Def_Processes[Process_Name],Tab_Def_Processes[TC_Configuration],,0,)</f>
        <v>#N/A</v>
      </c>
      <c r="G118" s="14" t="e">
        <f>_xlfn.XLOOKUP($D118,Tab_Def_Processes[Process_Name],Tab_Def_Processes[Stock_Configuration],,0,)</f>
        <v>#N/A</v>
      </c>
      <c r="H118" s="14" t="e">
        <f>_xlfn.XLOOKUP($D118,Tab_Def_Processes[Process_Name],Tab_Def_Processes[Outflow_count],,0,)</f>
        <v>#N/A</v>
      </c>
      <c r="I118" s="18" t="s">
        <v>5</v>
      </c>
      <c r="J118" s="2" t="str">
        <f>_xlfn.XLOOKUP($I118,Tab_Def_Flows[Flow_Name],Tab_Def_Flows[Flow_ID],,0,1)</f>
        <v>F__</v>
      </c>
      <c r="K118" s="3"/>
      <c r="L118" s="11" t="str">
        <f t="shared" si="9"/>
        <v>TC_E1_F__</v>
      </c>
      <c r="M118" s="20"/>
      <c r="N118" s="11" t="str">
        <f t="shared" si="10"/>
        <v>TC_E2_F__</v>
      </c>
      <c r="O118" s="20"/>
      <c r="P118" s="11" t="str">
        <f t="shared" si="11"/>
        <v>TC_E3_F__</v>
      </c>
      <c r="Q118" s="20"/>
      <c r="R118" s="11" t="str">
        <f t="shared" si="12"/>
        <v>TC_E4_F__</v>
      </c>
      <c r="S118" s="3"/>
      <c r="T118" s="11" t="str">
        <f t="shared" si="13"/>
        <v>TC_E5_F__</v>
      </c>
      <c r="U118" s="3"/>
      <c r="V118" s="11" t="str">
        <f t="shared" si="14"/>
        <v>TC_E6_F__</v>
      </c>
      <c r="W118" s="3"/>
      <c r="X118" s="9"/>
      <c r="Y118" s="9"/>
      <c r="Z118" s="9"/>
      <c r="AA118" s="9"/>
    </row>
    <row r="119" spans="1:27" x14ac:dyDescent="0.25">
      <c r="A119" s="22" t="b">
        <v>0</v>
      </c>
      <c r="B119" s="2">
        <f t="shared" si="15"/>
        <v>118</v>
      </c>
      <c r="C119" s="14" t="e">
        <f>_xlfn.XLOOKUP($D119,Tab_Def_Processes[Process_Name],Tab_Def_Processes[Process_ID],,0,)</f>
        <v>#N/A</v>
      </c>
      <c r="D119" s="18" t="s">
        <v>5</v>
      </c>
      <c r="E119" s="14" t="e">
        <f>_xlfn.XLOOKUP($D119,Tab_Def_Processes[Process_Name],Tab_Def_Processes[Process_Logic],,0,)</f>
        <v>#N/A</v>
      </c>
      <c r="F119" s="14" t="e">
        <f>_xlfn.XLOOKUP($D119,Tab_Def_Processes[Process_Name],Tab_Def_Processes[TC_Configuration],,0,)</f>
        <v>#N/A</v>
      </c>
      <c r="G119" s="14" t="e">
        <f>_xlfn.XLOOKUP($D119,Tab_Def_Processes[Process_Name],Tab_Def_Processes[Stock_Configuration],,0,)</f>
        <v>#N/A</v>
      </c>
      <c r="H119" s="14" t="e">
        <f>_xlfn.XLOOKUP($D119,Tab_Def_Processes[Process_Name],Tab_Def_Processes[Outflow_count],,0,)</f>
        <v>#N/A</v>
      </c>
      <c r="I119" s="18" t="s">
        <v>5</v>
      </c>
      <c r="J119" s="2" t="str">
        <f>_xlfn.XLOOKUP($I119,Tab_Def_Flows[Flow_Name],Tab_Def_Flows[Flow_ID],,0,1)</f>
        <v>F__</v>
      </c>
      <c r="K119" s="3"/>
      <c r="L119" s="11" t="str">
        <f t="shared" si="9"/>
        <v>TC_E1_F__</v>
      </c>
      <c r="M119" s="20"/>
      <c r="N119" s="11" t="str">
        <f t="shared" si="10"/>
        <v>TC_E2_F__</v>
      </c>
      <c r="O119" s="20"/>
      <c r="P119" s="11" t="str">
        <f t="shared" si="11"/>
        <v>TC_E3_F__</v>
      </c>
      <c r="Q119" s="20"/>
      <c r="R119" s="11" t="str">
        <f t="shared" si="12"/>
        <v>TC_E4_F__</v>
      </c>
      <c r="S119" s="3"/>
      <c r="T119" s="11" t="str">
        <f t="shared" si="13"/>
        <v>TC_E5_F__</v>
      </c>
      <c r="U119" s="3"/>
      <c r="V119" s="11" t="str">
        <f t="shared" si="14"/>
        <v>TC_E6_F__</v>
      </c>
      <c r="W119" s="3"/>
      <c r="X119" s="9"/>
      <c r="Y119" s="9"/>
      <c r="Z119" s="9"/>
      <c r="AA119" s="9"/>
    </row>
    <row r="120" spans="1:27" x14ac:dyDescent="0.25">
      <c r="A120" s="22" t="b">
        <v>0</v>
      </c>
      <c r="B120" s="2">
        <f t="shared" si="15"/>
        <v>119</v>
      </c>
      <c r="C120" s="14" t="e">
        <f>_xlfn.XLOOKUP($D120,Tab_Def_Processes[Process_Name],Tab_Def_Processes[Process_ID],,0,)</f>
        <v>#N/A</v>
      </c>
      <c r="D120" s="18" t="s">
        <v>5</v>
      </c>
      <c r="E120" s="14" t="e">
        <f>_xlfn.XLOOKUP($D120,Tab_Def_Processes[Process_Name],Tab_Def_Processes[Process_Logic],,0,)</f>
        <v>#N/A</v>
      </c>
      <c r="F120" s="14" t="e">
        <f>_xlfn.XLOOKUP($D120,Tab_Def_Processes[Process_Name],Tab_Def_Processes[TC_Configuration],,0,)</f>
        <v>#N/A</v>
      </c>
      <c r="G120" s="14" t="e">
        <f>_xlfn.XLOOKUP($D120,Tab_Def_Processes[Process_Name],Tab_Def_Processes[Stock_Configuration],,0,)</f>
        <v>#N/A</v>
      </c>
      <c r="H120" s="14" t="e">
        <f>_xlfn.XLOOKUP($D120,Tab_Def_Processes[Process_Name],Tab_Def_Processes[Outflow_count],,0,)</f>
        <v>#N/A</v>
      </c>
      <c r="I120" s="18" t="s">
        <v>5</v>
      </c>
      <c r="J120" s="2" t="str">
        <f>_xlfn.XLOOKUP($I120,Tab_Def_Flows[Flow_Name],Tab_Def_Flows[Flow_ID],,0,1)</f>
        <v>F__</v>
      </c>
      <c r="K120" s="3"/>
      <c r="L120" s="11" t="str">
        <f t="shared" si="9"/>
        <v>TC_E1_F__</v>
      </c>
      <c r="M120" s="20"/>
      <c r="N120" s="11" t="str">
        <f t="shared" si="10"/>
        <v>TC_E2_F__</v>
      </c>
      <c r="O120" s="20"/>
      <c r="P120" s="11" t="str">
        <f t="shared" si="11"/>
        <v>TC_E3_F__</v>
      </c>
      <c r="Q120" s="20"/>
      <c r="R120" s="11" t="str">
        <f t="shared" si="12"/>
        <v>TC_E4_F__</v>
      </c>
      <c r="S120" s="3"/>
      <c r="T120" s="11" t="str">
        <f t="shared" si="13"/>
        <v>TC_E5_F__</v>
      </c>
      <c r="U120" s="3"/>
      <c r="V120" s="11" t="str">
        <f t="shared" si="14"/>
        <v>TC_E6_F__</v>
      </c>
      <c r="W120" s="3"/>
      <c r="X120" s="9"/>
      <c r="Y120" s="9"/>
      <c r="Z120" s="9"/>
      <c r="AA120" s="9"/>
    </row>
    <row r="121" spans="1:27" x14ac:dyDescent="0.25">
      <c r="A121" s="22" t="b">
        <v>0</v>
      </c>
      <c r="B121" s="2">
        <f t="shared" si="15"/>
        <v>120</v>
      </c>
      <c r="C121" s="14" t="e">
        <f>_xlfn.XLOOKUP($D121,Tab_Def_Processes[Process_Name],Tab_Def_Processes[Process_ID],,0,)</f>
        <v>#N/A</v>
      </c>
      <c r="D121" s="18" t="s">
        <v>5</v>
      </c>
      <c r="E121" s="14" t="e">
        <f>_xlfn.XLOOKUP($D121,Tab_Def_Processes[Process_Name],Tab_Def_Processes[Process_Logic],,0,)</f>
        <v>#N/A</v>
      </c>
      <c r="F121" s="14" t="e">
        <f>_xlfn.XLOOKUP($D121,Tab_Def_Processes[Process_Name],Tab_Def_Processes[TC_Configuration],,0,)</f>
        <v>#N/A</v>
      </c>
      <c r="G121" s="14" t="e">
        <f>_xlfn.XLOOKUP($D121,Tab_Def_Processes[Process_Name],Tab_Def_Processes[Stock_Configuration],,0,)</f>
        <v>#N/A</v>
      </c>
      <c r="H121" s="14" t="e">
        <f>_xlfn.XLOOKUP($D121,Tab_Def_Processes[Process_Name],Tab_Def_Processes[Outflow_count],,0,)</f>
        <v>#N/A</v>
      </c>
      <c r="I121" s="18" t="s">
        <v>5</v>
      </c>
      <c r="J121" s="2" t="str">
        <f>_xlfn.XLOOKUP($I121,Tab_Def_Flows[Flow_Name],Tab_Def_Flows[Flow_ID],,0,1)</f>
        <v>F__</v>
      </c>
      <c r="K121" s="3"/>
      <c r="L121" s="11" t="str">
        <f t="shared" si="9"/>
        <v>TC_E1_F__</v>
      </c>
      <c r="M121" s="20"/>
      <c r="N121" s="11" t="str">
        <f t="shared" si="10"/>
        <v>TC_E2_F__</v>
      </c>
      <c r="O121" s="20"/>
      <c r="P121" s="11" t="str">
        <f t="shared" si="11"/>
        <v>TC_E3_F__</v>
      </c>
      <c r="Q121" s="20"/>
      <c r="R121" s="11" t="str">
        <f t="shared" si="12"/>
        <v>TC_E4_F__</v>
      </c>
      <c r="S121" s="3"/>
      <c r="T121" s="11" t="str">
        <f t="shared" si="13"/>
        <v>TC_E5_F__</v>
      </c>
      <c r="U121" s="3"/>
      <c r="V121" s="11" t="str">
        <f t="shared" si="14"/>
        <v>TC_E6_F__</v>
      </c>
      <c r="W121" s="3"/>
      <c r="X121" s="9"/>
      <c r="Y121" s="9"/>
      <c r="Z121" s="9"/>
      <c r="AA121" s="9"/>
    </row>
    <row r="122" spans="1:27" x14ac:dyDescent="0.25">
      <c r="A122" s="22" t="b">
        <v>0</v>
      </c>
      <c r="B122" s="2">
        <f t="shared" si="15"/>
        <v>121</v>
      </c>
      <c r="C122" s="14" t="e">
        <f>_xlfn.XLOOKUP($D122,Tab_Def_Processes[Process_Name],Tab_Def_Processes[Process_ID],,0,)</f>
        <v>#N/A</v>
      </c>
      <c r="D122" s="18" t="s">
        <v>5</v>
      </c>
      <c r="E122" s="14" t="e">
        <f>_xlfn.XLOOKUP($D122,Tab_Def_Processes[Process_Name],Tab_Def_Processes[Process_Logic],,0,)</f>
        <v>#N/A</v>
      </c>
      <c r="F122" s="14" t="e">
        <f>_xlfn.XLOOKUP($D122,Tab_Def_Processes[Process_Name],Tab_Def_Processes[TC_Configuration],,0,)</f>
        <v>#N/A</v>
      </c>
      <c r="G122" s="14" t="e">
        <f>_xlfn.XLOOKUP($D122,Tab_Def_Processes[Process_Name],Tab_Def_Processes[Stock_Configuration],,0,)</f>
        <v>#N/A</v>
      </c>
      <c r="H122" s="14" t="e">
        <f>_xlfn.XLOOKUP($D122,Tab_Def_Processes[Process_Name],Tab_Def_Processes[Outflow_count],,0,)</f>
        <v>#N/A</v>
      </c>
      <c r="I122" s="18" t="s">
        <v>5</v>
      </c>
      <c r="J122" s="2" t="str">
        <f>_xlfn.XLOOKUP($I122,Tab_Def_Flows[Flow_Name],Tab_Def_Flows[Flow_ID],,0,1)</f>
        <v>F__</v>
      </c>
      <c r="K122" s="3"/>
      <c r="L122" s="11" t="str">
        <f t="shared" si="9"/>
        <v>TC_E1_F__</v>
      </c>
      <c r="M122" s="20"/>
      <c r="N122" s="11" t="str">
        <f t="shared" si="10"/>
        <v>TC_E2_F__</v>
      </c>
      <c r="O122" s="20"/>
      <c r="P122" s="11" t="str">
        <f t="shared" si="11"/>
        <v>TC_E3_F__</v>
      </c>
      <c r="Q122" s="20"/>
      <c r="R122" s="11" t="str">
        <f t="shared" si="12"/>
        <v>TC_E4_F__</v>
      </c>
      <c r="S122" s="3"/>
      <c r="T122" s="11" t="str">
        <f t="shared" si="13"/>
        <v>TC_E5_F__</v>
      </c>
      <c r="U122" s="3"/>
      <c r="V122" s="11" t="str">
        <f t="shared" si="14"/>
        <v>TC_E6_F__</v>
      </c>
      <c r="W122" s="3"/>
      <c r="X122" s="9"/>
      <c r="Y122" s="9"/>
      <c r="Z122" s="9"/>
      <c r="AA122" s="9"/>
    </row>
    <row r="123" spans="1:27" x14ac:dyDescent="0.25">
      <c r="A123" s="22" t="b">
        <v>0</v>
      </c>
      <c r="B123" s="2">
        <f t="shared" si="15"/>
        <v>122</v>
      </c>
      <c r="C123" s="14" t="e">
        <f>_xlfn.XLOOKUP($D123,Tab_Def_Processes[Process_Name],Tab_Def_Processes[Process_ID],,0,)</f>
        <v>#N/A</v>
      </c>
      <c r="D123" s="18" t="s">
        <v>5</v>
      </c>
      <c r="E123" s="14" t="e">
        <f>_xlfn.XLOOKUP($D123,Tab_Def_Processes[Process_Name],Tab_Def_Processes[Process_Logic],,0,)</f>
        <v>#N/A</v>
      </c>
      <c r="F123" s="14" t="e">
        <f>_xlfn.XLOOKUP($D123,Tab_Def_Processes[Process_Name],Tab_Def_Processes[TC_Configuration],,0,)</f>
        <v>#N/A</v>
      </c>
      <c r="G123" s="14" t="e">
        <f>_xlfn.XLOOKUP($D123,Tab_Def_Processes[Process_Name],Tab_Def_Processes[Stock_Configuration],,0,)</f>
        <v>#N/A</v>
      </c>
      <c r="H123" s="14" t="e">
        <f>_xlfn.XLOOKUP($D123,Tab_Def_Processes[Process_Name],Tab_Def_Processes[Outflow_count],,0,)</f>
        <v>#N/A</v>
      </c>
      <c r="I123" s="18" t="s">
        <v>5</v>
      </c>
      <c r="J123" s="2" t="str">
        <f>_xlfn.XLOOKUP($I123,Tab_Def_Flows[Flow_Name],Tab_Def_Flows[Flow_ID],,0,1)</f>
        <v>F__</v>
      </c>
      <c r="K123" s="3"/>
      <c r="L123" s="11" t="str">
        <f t="shared" si="9"/>
        <v>TC_E1_F__</v>
      </c>
      <c r="M123" s="20"/>
      <c r="N123" s="11" t="str">
        <f t="shared" si="10"/>
        <v>TC_E2_F__</v>
      </c>
      <c r="O123" s="20"/>
      <c r="P123" s="11" t="str">
        <f t="shared" si="11"/>
        <v>TC_E3_F__</v>
      </c>
      <c r="Q123" s="20"/>
      <c r="R123" s="11" t="str">
        <f t="shared" si="12"/>
        <v>TC_E4_F__</v>
      </c>
      <c r="S123" s="3"/>
      <c r="T123" s="11" t="str">
        <f t="shared" si="13"/>
        <v>TC_E5_F__</v>
      </c>
      <c r="U123" s="3"/>
      <c r="V123" s="11" t="str">
        <f t="shared" si="14"/>
        <v>TC_E6_F__</v>
      </c>
      <c r="W123" s="3"/>
      <c r="X123" s="9"/>
      <c r="Y123" s="9"/>
      <c r="Z123" s="9"/>
      <c r="AA123" s="9"/>
    </row>
    <row r="124" spans="1:27" x14ac:dyDescent="0.25">
      <c r="A124" s="22" t="b">
        <v>0</v>
      </c>
      <c r="B124" s="2">
        <f t="shared" si="15"/>
        <v>123</v>
      </c>
      <c r="C124" s="14" t="e">
        <f>_xlfn.XLOOKUP($D124,Tab_Def_Processes[Process_Name],Tab_Def_Processes[Process_ID],,0,)</f>
        <v>#N/A</v>
      </c>
      <c r="D124" s="18" t="s">
        <v>5</v>
      </c>
      <c r="E124" s="14" t="e">
        <f>_xlfn.XLOOKUP($D124,Tab_Def_Processes[Process_Name],Tab_Def_Processes[Process_Logic],,0,)</f>
        <v>#N/A</v>
      </c>
      <c r="F124" s="14" t="e">
        <f>_xlfn.XLOOKUP($D124,Tab_Def_Processes[Process_Name],Tab_Def_Processes[TC_Configuration],,0,)</f>
        <v>#N/A</v>
      </c>
      <c r="G124" s="14" t="e">
        <f>_xlfn.XLOOKUP($D124,Tab_Def_Processes[Process_Name],Tab_Def_Processes[Stock_Configuration],,0,)</f>
        <v>#N/A</v>
      </c>
      <c r="H124" s="14" t="e">
        <f>_xlfn.XLOOKUP($D124,Tab_Def_Processes[Process_Name],Tab_Def_Processes[Outflow_count],,0,)</f>
        <v>#N/A</v>
      </c>
      <c r="I124" s="18" t="s">
        <v>5</v>
      </c>
      <c r="J124" s="2" t="str">
        <f>_xlfn.XLOOKUP($I124,Tab_Def_Flows[Flow_Name],Tab_Def_Flows[Flow_ID],,0,1)</f>
        <v>F__</v>
      </c>
      <c r="K124" s="3"/>
      <c r="L124" s="11" t="str">
        <f t="shared" si="9"/>
        <v>TC_E1_F__</v>
      </c>
      <c r="M124" s="20"/>
      <c r="N124" s="11" t="str">
        <f t="shared" si="10"/>
        <v>TC_E2_F__</v>
      </c>
      <c r="O124" s="20"/>
      <c r="P124" s="11" t="str">
        <f t="shared" si="11"/>
        <v>TC_E3_F__</v>
      </c>
      <c r="Q124" s="20"/>
      <c r="R124" s="11" t="str">
        <f t="shared" si="12"/>
        <v>TC_E4_F__</v>
      </c>
      <c r="S124" s="3"/>
      <c r="T124" s="11" t="str">
        <f t="shared" si="13"/>
        <v>TC_E5_F__</v>
      </c>
      <c r="U124" s="3"/>
      <c r="V124" s="11" t="str">
        <f t="shared" si="14"/>
        <v>TC_E6_F__</v>
      </c>
      <c r="W124" s="3"/>
      <c r="X124" s="9"/>
      <c r="Y124" s="9"/>
      <c r="Z124" s="9"/>
      <c r="AA124" s="9"/>
    </row>
    <row r="125" spans="1:27" x14ac:dyDescent="0.25">
      <c r="A125" s="22" t="b">
        <v>0</v>
      </c>
      <c r="B125" s="2">
        <f t="shared" si="15"/>
        <v>124</v>
      </c>
      <c r="C125" s="14" t="e">
        <f>_xlfn.XLOOKUP($D125,Tab_Def_Processes[Process_Name],Tab_Def_Processes[Process_ID],,0,)</f>
        <v>#N/A</v>
      </c>
      <c r="D125" s="18" t="s">
        <v>5</v>
      </c>
      <c r="E125" s="14" t="e">
        <f>_xlfn.XLOOKUP($D125,Tab_Def_Processes[Process_Name],Tab_Def_Processes[Process_Logic],,0,)</f>
        <v>#N/A</v>
      </c>
      <c r="F125" s="14" t="e">
        <f>_xlfn.XLOOKUP($D125,Tab_Def_Processes[Process_Name],Tab_Def_Processes[TC_Configuration],,0,)</f>
        <v>#N/A</v>
      </c>
      <c r="G125" s="14" t="e">
        <f>_xlfn.XLOOKUP($D125,Tab_Def_Processes[Process_Name],Tab_Def_Processes[Stock_Configuration],,0,)</f>
        <v>#N/A</v>
      </c>
      <c r="H125" s="14" t="e">
        <f>_xlfn.XLOOKUP($D125,Tab_Def_Processes[Process_Name],Tab_Def_Processes[Outflow_count],,0,)</f>
        <v>#N/A</v>
      </c>
      <c r="I125" s="18" t="s">
        <v>5</v>
      </c>
      <c r="J125" s="2" t="str">
        <f>_xlfn.XLOOKUP($I125,Tab_Def_Flows[Flow_Name],Tab_Def_Flows[Flow_ID],,0,1)</f>
        <v>F__</v>
      </c>
      <c r="K125" s="3"/>
      <c r="L125" s="11" t="str">
        <f t="shared" si="9"/>
        <v>TC_E1_F__</v>
      </c>
      <c r="M125" s="20"/>
      <c r="N125" s="11" t="str">
        <f t="shared" si="10"/>
        <v>TC_E2_F__</v>
      </c>
      <c r="O125" s="20"/>
      <c r="P125" s="11" t="str">
        <f t="shared" si="11"/>
        <v>TC_E3_F__</v>
      </c>
      <c r="Q125" s="20"/>
      <c r="R125" s="11" t="str">
        <f t="shared" si="12"/>
        <v>TC_E4_F__</v>
      </c>
      <c r="S125" s="3"/>
      <c r="T125" s="11" t="str">
        <f t="shared" si="13"/>
        <v>TC_E5_F__</v>
      </c>
      <c r="U125" s="3"/>
      <c r="V125" s="11" t="str">
        <f t="shared" si="14"/>
        <v>TC_E6_F__</v>
      </c>
      <c r="W125" s="3"/>
      <c r="X125" s="9"/>
      <c r="Y125" s="9"/>
      <c r="Z125" s="9"/>
      <c r="AA125" s="9"/>
    </row>
    <row r="126" spans="1:27" x14ac:dyDescent="0.25">
      <c r="A126" s="22" t="b">
        <v>0</v>
      </c>
      <c r="B126" s="2">
        <f t="shared" si="15"/>
        <v>125</v>
      </c>
      <c r="C126" s="14" t="e">
        <f>_xlfn.XLOOKUP($D126,Tab_Def_Processes[Process_Name],Tab_Def_Processes[Process_ID],,0,)</f>
        <v>#N/A</v>
      </c>
      <c r="D126" s="18" t="s">
        <v>5</v>
      </c>
      <c r="E126" s="14" t="e">
        <f>_xlfn.XLOOKUP($D126,Tab_Def_Processes[Process_Name],Tab_Def_Processes[Process_Logic],,0,)</f>
        <v>#N/A</v>
      </c>
      <c r="F126" s="14" t="e">
        <f>_xlfn.XLOOKUP($D126,Tab_Def_Processes[Process_Name],Tab_Def_Processes[TC_Configuration],,0,)</f>
        <v>#N/A</v>
      </c>
      <c r="G126" s="14" t="e">
        <f>_xlfn.XLOOKUP($D126,Tab_Def_Processes[Process_Name],Tab_Def_Processes[Stock_Configuration],,0,)</f>
        <v>#N/A</v>
      </c>
      <c r="H126" s="14" t="e">
        <f>_xlfn.XLOOKUP($D126,Tab_Def_Processes[Process_Name],Tab_Def_Processes[Outflow_count],,0,)</f>
        <v>#N/A</v>
      </c>
      <c r="I126" s="18" t="s">
        <v>5</v>
      </c>
      <c r="J126" s="2" t="str">
        <f>_xlfn.XLOOKUP($I126,Tab_Def_Flows[Flow_Name],Tab_Def_Flows[Flow_ID],,0,1)</f>
        <v>F__</v>
      </c>
      <c r="K126" s="3"/>
      <c r="L126" s="11" t="str">
        <f t="shared" si="9"/>
        <v>TC_E1_F__</v>
      </c>
      <c r="M126" s="20"/>
      <c r="N126" s="11" t="str">
        <f t="shared" si="10"/>
        <v>TC_E2_F__</v>
      </c>
      <c r="O126" s="20"/>
      <c r="P126" s="11" t="str">
        <f t="shared" si="11"/>
        <v>TC_E3_F__</v>
      </c>
      <c r="Q126" s="20"/>
      <c r="R126" s="11" t="str">
        <f t="shared" si="12"/>
        <v>TC_E4_F__</v>
      </c>
      <c r="S126" s="3"/>
      <c r="T126" s="11" t="str">
        <f t="shared" si="13"/>
        <v>TC_E5_F__</v>
      </c>
      <c r="U126" s="3"/>
      <c r="V126" s="11" t="str">
        <f t="shared" si="14"/>
        <v>TC_E6_F__</v>
      </c>
      <c r="W126" s="3"/>
      <c r="X126" s="9"/>
      <c r="Y126" s="9"/>
      <c r="Z126" s="9"/>
      <c r="AA126" s="9"/>
    </row>
    <row r="127" spans="1:27" x14ac:dyDescent="0.25">
      <c r="A127" s="22" t="b">
        <v>0</v>
      </c>
      <c r="B127" s="2">
        <f t="shared" si="15"/>
        <v>126</v>
      </c>
      <c r="C127" s="14" t="e">
        <f>_xlfn.XLOOKUP($D127,Tab_Def_Processes[Process_Name],Tab_Def_Processes[Process_ID],,0,)</f>
        <v>#N/A</v>
      </c>
      <c r="D127" s="18" t="s">
        <v>5</v>
      </c>
      <c r="E127" s="14" t="e">
        <f>_xlfn.XLOOKUP($D127,Tab_Def_Processes[Process_Name],Tab_Def_Processes[Process_Logic],,0,)</f>
        <v>#N/A</v>
      </c>
      <c r="F127" s="14" t="e">
        <f>_xlfn.XLOOKUP($D127,Tab_Def_Processes[Process_Name],Tab_Def_Processes[TC_Configuration],,0,)</f>
        <v>#N/A</v>
      </c>
      <c r="G127" s="14" t="e">
        <f>_xlfn.XLOOKUP($D127,Tab_Def_Processes[Process_Name],Tab_Def_Processes[Stock_Configuration],,0,)</f>
        <v>#N/A</v>
      </c>
      <c r="H127" s="14" t="e">
        <f>_xlfn.XLOOKUP($D127,Tab_Def_Processes[Process_Name],Tab_Def_Processes[Outflow_count],,0,)</f>
        <v>#N/A</v>
      </c>
      <c r="I127" s="18" t="s">
        <v>5</v>
      </c>
      <c r="J127" s="2" t="str">
        <f>_xlfn.XLOOKUP($I127,Tab_Def_Flows[Flow_Name],Tab_Def_Flows[Flow_ID],,0,1)</f>
        <v>F__</v>
      </c>
      <c r="K127" s="3"/>
      <c r="L127" s="11" t="str">
        <f t="shared" si="9"/>
        <v>TC_E1_F__</v>
      </c>
      <c r="M127" s="20"/>
      <c r="N127" s="11" t="str">
        <f t="shared" si="10"/>
        <v>TC_E2_F__</v>
      </c>
      <c r="O127" s="20"/>
      <c r="P127" s="11" t="str">
        <f t="shared" si="11"/>
        <v>TC_E3_F__</v>
      </c>
      <c r="Q127" s="20"/>
      <c r="R127" s="11" t="str">
        <f t="shared" si="12"/>
        <v>TC_E4_F__</v>
      </c>
      <c r="S127" s="3"/>
      <c r="T127" s="11" t="str">
        <f t="shared" si="13"/>
        <v>TC_E5_F__</v>
      </c>
      <c r="U127" s="3"/>
      <c r="V127" s="11" t="str">
        <f t="shared" si="14"/>
        <v>TC_E6_F__</v>
      </c>
      <c r="W127" s="3"/>
      <c r="X127" s="9"/>
      <c r="Y127" s="9"/>
      <c r="Z127" s="9"/>
      <c r="AA127" s="9"/>
    </row>
    <row r="128" spans="1:27" x14ac:dyDescent="0.25">
      <c r="A128" s="22" t="b">
        <v>0</v>
      </c>
      <c r="B128" s="2">
        <f t="shared" ref="B128:B149" si="16">ROW()-1</f>
        <v>127</v>
      </c>
      <c r="C128" s="14" t="e">
        <f>_xlfn.XLOOKUP($D128,Tab_Def_Processes[Process_Name],Tab_Def_Processes[Process_ID],,0,)</f>
        <v>#N/A</v>
      </c>
      <c r="D128" s="18" t="s">
        <v>5</v>
      </c>
      <c r="E128" s="14" t="e">
        <f>_xlfn.XLOOKUP($D128,Tab_Def_Processes[Process_Name],Tab_Def_Processes[Process_Logic],,0,)</f>
        <v>#N/A</v>
      </c>
      <c r="F128" s="14" t="e">
        <f>_xlfn.XLOOKUP($D128,Tab_Def_Processes[Process_Name],Tab_Def_Processes[TC_Configuration],,0,)</f>
        <v>#N/A</v>
      </c>
      <c r="G128" s="14" t="e">
        <f>_xlfn.XLOOKUP($D128,Tab_Def_Processes[Process_Name],Tab_Def_Processes[Stock_Configuration],,0,)</f>
        <v>#N/A</v>
      </c>
      <c r="H128" s="14" t="e">
        <f>_xlfn.XLOOKUP($D128,Tab_Def_Processes[Process_Name],Tab_Def_Processes[Outflow_count],,0,)</f>
        <v>#N/A</v>
      </c>
      <c r="I128" s="18" t="s">
        <v>5</v>
      </c>
      <c r="J128" s="2" t="str">
        <f>_xlfn.XLOOKUP($I128,Tab_Def_Flows[Flow_Name],Tab_Def_Flows[Flow_ID],,0,1)</f>
        <v>F__</v>
      </c>
      <c r="K128" s="3"/>
      <c r="L128" s="11" t="str">
        <f t="shared" si="9"/>
        <v>TC_E1_F__</v>
      </c>
      <c r="M128" s="20"/>
      <c r="N128" s="11" t="str">
        <f t="shared" si="10"/>
        <v>TC_E2_F__</v>
      </c>
      <c r="O128" s="20"/>
      <c r="P128" s="11" t="str">
        <f t="shared" si="11"/>
        <v>TC_E3_F__</v>
      </c>
      <c r="Q128" s="20"/>
      <c r="R128" s="11" t="str">
        <f t="shared" si="12"/>
        <v>TC_E4_F__</v>
      </c>
      <c r="S128" s="3"/>
      <c r="T128" s="11" t="str">
        <f t="shared" si="13"/>
        <v>TC_E5_F__</v>
      </c>
      <c r="U128" s="3"/>
      <c r="V128" s="11" t="str">
        <f t="shared" si="14"/>
        <v>TC_E6_F__</v>
      </c>
      <c r="W128" s="3"/>
      <c r="X128" s="9"/>
      <c r="Y128" s="9"/>
      <c r="Z128" s="9"/>
      <c r="AA128" s="9"/>
    </row>
    <row r="129" spans="1:27" x14ac:dyDescent="0.25">
      <c r="A129" s="22" t="b">
        <v>0</v>
      </c>
      <c r="B129" s="2">
        <f t="shared" si="16"/>
        <v>128</v>
      </c>
      <c r="C129" s="14" t="e">
        <f>_xlfn.XLOOKUP($D129,Tab_Def_Processes[Process_Name],Tab_Def_Processes[Process_ID],,0,)</f>
        <v>#N/A</v>
      </c>
      <c r="D129" s="18" t="s">
        <v>5</v>
      </c>
      <c r="E129" s="14" t="e">
        <f>_xlfn.XLOOKUP($D129,Tab_Def_Processes[Process_Name],Tab_Def_Processes[Process_Logic],,0,)</f>
        <v>#N/A</v>
      </c>
      <c r="F129" s="14" t="e">
        <f>_xlfn.XLOOKUP($D129,Tab_Def_Processes[Process_Name],Tab_Def_Processes[TC_Configuration],,0,)</f>
        <v>#N/A</v>
      </c>
      <c r="G129" s="14" t="e">
        <f>_xlfn.XLOOKUP($D129,Tab_Def_Processes[Process_Name],Tab_Def_Processes[Stock_Configuration],,0,)</f>
        <v>#N/A</v>
      </c>
      <c r="H129" s="14" t="e">
        <f>_xlfn.XLOOKUP($D129,Tab_Def_Processes[Process_Name],Tab_Def_Processes[Outflow_count],,0,)</f>
        <v>#N/A</v>
      </c>
      <c r="I129" s="18" t="s">
        <v>5</v>
      </c>
      <c r="J129" s="2" t="str">
        <f>_xlfn.XLOOKUP($I129,Tab_Def_Flows[Flow_Name],Tab_Def_Flows[Flow_ID],,0,1)</f>
        <v>F__</v>
      </c>
      <c r="K129" s="3"/>
      <c r="L129" s="11" t="str">
        <f t="shared" ref="L129:L149" si="17">"TC_E1"&amp;"_"&amp;RIGHT(J129,5)</f>
        <v>TC_E1_F__</v>
      </c>
      <c r="M129" s="20"/>
      <c r="N129" s="11" t="str">
        <f t="shared" ref="N129:N149" si="18">"TC_E2"&amp;"_"&amp;RIGHT(J129,5)</f>
        <v>TC_E2_F__</v>
      </c>
      <c r="O129" s="20"/>
      <c r="P129" s="11" t="str">
        <f t="shared" ref="P129:P149" si="19">"TC_E3"&amp;"_"&amp;RIGHT(J129,5)</f>
        <v>TC_E3_F__</v>
      </c>
      <c r="Q129" s="20"/>
      <c r="R129" s="11" t="str">
        <f t="shared" ref="R129:R149" si="20">"TC_E4"&amp;"_"&amp;RIGHT(J129,5)</f>
        <v>TC_E4_F__</v>
      </c>
      <c r="S129" s="3"/>
      <c r="T129" s="11" t="str">
        <f t="shared" ref="T129:T149" si="21">"TC_E5"&amp;"_"&amp;RIGHT(J129,5)</f>
        <v>TC_E5_F__</v>
      </c>
      <c r="U129" s="3"/>
      <c r="V129" s="11" t="str">
        <f t="shared" si="14"/>
        <v>TC_E6_F__</v>
      </c>
      <c r="W129" s="3"/>
      <c r="X129" s="9"/>
      <c r="Y129" s="9"/>
      <c r="Z129" s="9"/>
      <c r="AA129" s="9"/>
    </row>
    <row r="130" spans="1:27" x14ac:dyDescent="0.25">
      <c r="A130" s="22" t="b">
        <v>0</v>
      </c>
      <c r="B130" s="2">
        <f t="shared" si="16"/>
        <v>129</v>
      </c>
      <c r="C130" s="14" t="e">
        <f>_xlfn.XLOOKUP($D130,Tab_Def_Processes[Process_Name],Tab_Def_Processes[Process_ID],,0,)</f>
        <v>#N/A</v>
      </c>
      <c r="D130" s="18" t="s">
        <v>5</v>
      </c>
      <c r="E130" s="14" t="e">
        <f>_xlfn.XLOOKUP($D130,Tab_Def_Processes[Process_Name],Tab_Def_Processes[Process_Logic],,0,)</f>
        <v>#N/A</v>
      </c>
      <c r="F130" s="14" t="e">
        <f>_xlfn.XLOOKUP($D130,Tab_Def_Processes[Process_Name],Tab_Def_Processes[TC_Configuration],,0,)</f>
        <v>#N/A</v>
      </c>
      <c r="G130" s="14" t="e">
        <f>_xlfn.XLOOKUP($D130,Tab_Def_Processes[Process_Name],Tab_Def_Processes[Stock_Configuration],,0,)</f>
        <v>#N/A</v>
      </c>
      <c r="H130" s="14" t="e">
        <f>_xlfn.XLOOKUP($D130,Tab_Def_Processes[Process_Name],Tab_Def_Processes[Outflow_count],,0,)</f>
        <v>#N/A</v>
      </c>
      <c r="I130" s="18" t="s">
        <v>5</v>
      </c>
      <c r="J130" s="2" t="str">
        <f>_xlfn.XLOOKUP($I130,Tab_Def_Flows[Flow_Name],Tab_Def_Flows[Flow_ID],,0,1)</f>
        <v>F__</v>
      </c>
      <c r="K130" s="3"/>
      <c r="L130" s="11" t="str">
        <f t="shared" si="17"/>
        <v>TC_E1_F__</v>
      </c>
      <c r="M130" s="20"/>
      <c r="N130" s="11" t="str">
        <f t="shared" si="18"/>
        <v>TC_E2_F__</v>
      </c>
      <c r="O130" s="20"/>
      <c r="P130" s="11" t="str">
        <f t="shared" si="19"/>
        <v>TC_E3_F__</v>
      </c>
      <c r="Q130" s="20"/>
      <c r="R130" s="11" t="str">
        <f t="shared" si="20"/>
        <v>TC_E4_F__</v>
      </c>
      <c r="S130" s="3"/>
      <c r="T130" s="11" t="str">
        <f t="shared" si="21"/>
        <v>TC_E5_F__</v>
      </c>
      <c r="U130" s="3"/>
      <c r="V130" s="11" t="str">
        <f t="shared" si="14"/>
        <v>TC_E6_F__</v>
      </c>
      <c r="W130" s="3"/>
      <c r="X130" s="9"/>
      <c r="Y130" s="9"/>
      <c r="Z130" s="9"/>
      <c r="AA130" s="9"/>
    </row>
    <row r="131" spans="1:27" x14ac:dyDescent="0.25">
      <c r="A131" s="22" t="b">
        <v>0</v>
      </c>
      <c r="B131" s="2">
        <f t="shared" si="16"/>
        <v>130</v>
      </c>
      <c r="C131" s="14" t="e">
        <f>_xlfn.XLOOKUP($D131,Tab_Def_Processes[Process_Name],Tab_Def_Processes[Process_ID],,0,)</f>
        <v>#N/A</v>
      </c>
      <c r="D131" s="18" t="s">
        <v>5</v>
      </c>
      <c r="E131" s="14" t="e">
        <f>_xlfn.XLOOKUP($D131,Tab_Def_Processes[Process_Name],Tab_Def_Processes[Process_Logic],,0,)</f>
        <v>#N/A</v>
      </c>
      <c r="F131" s="14" t="e">
        <f>_xlfn.XLOOKUP($D131,Tab_Def_Processes[Process_Name],Tab_Def_Processes[TC_Configuration],,0,)</f>
        <v>#N/A</v>
      </c>
      <c r="G131" s="14" t="e">
        <f>_xlfn.XLOOKUP($D131,Tab_Def_Processes[Process_Name],Tab_Def_Processes[Stock_Configuration],,0,)</f>
        <v>#N/A</v>
      </c>
      <c r="H131" s="14" t="e">
        <f>_xlfn.XLOOKUP($D131,Tab_Def_Processes[Process_Name],Tab_Def_Processes[Outflow_count],,0,)</f>
        <v>#N/A</v>
      </c>
      <c r="I131" s="18" t="s">
        <v>5</v>
      </c>
      <c r="J131" s="2" t="str">
        <f>_xlfn.XLOOKUP($I131,Tab_Def_Flows[Flow_Name],Tab_Def_Flows[Flow_ID],,0,1)</f>
        <v>F__</v>
      </c>
      <c r="K131" s="3"/>
      <c r="L131" s="11" t="str">
        <f t="shared" si="17"/>
        <v>TC_E1_F__</v>
      </c>
      <c r="M131" s="20"/>
      <c r="N131" s="11" t="str">
        <f t="shared" si="18"/>
        <v>TC_E2_F__</v>
      </c>
      <c r="O131" s="20"/>
      <c r="P131" s="11" t="str">
        <f t="shared" si="19"/>
        <v>TC_E3_F__</v>
      </c>
      <c r="Q131" s="20"/>
      <c r="R131" s="11" t="str">
        <f t="shared" si="20"/>
        <v>TC_E4_F__</v>
      </c>
      <c r="S131" s="3"/>
      <c r="T131" s="11" t="str">
        <f t="shared" si="21"/>
        <v>TC_E5_F__</v>
      </c>
      <c r="U131" s="3"/>
      <c r="V131" s="11" t="str">
        <f t="shared" ref="V131:V149" si="22">"TC_E6"&amp;"_"&amp;RIGHT(J131,5)</f>
        <v>TC_E6_F__</v>
      </c>
      <c r="W131" s="3"/>
      <c r="X131" s="9"/>
      <c r="Y131" s="9"/>
      <c r="Z131" s="9"/>
      <c r="AA131" s="9"/>
    </row>
    <row r="132" spans="1:27" x14ac:dyDescent="0.25">
      <c r="A132" s="22" t="b">
        <v>0</v>
      </c>
      <c r="B132" s="2">
        <f t="shared" si="16"/>
        <v>131</v>
      </c>
      <c r="C132" s="14" t="e">
        <f>_xlfn.XLOOKUP($D132,Tab_Def_Processes[Process_Name],Tab_Def_Processes[Process_ID],,0,)</f>
        <v>#N/A</v>
      </c>
      <c r="D132" s="18" t="s">
        <v>5</v>
      </c>
      <c r="E132" s="14" t="e">
        <f>_xlfn.XLOOKUP($D132,Tab_Def_Processes[Process_Name],Tab_Def_Processes[Process_Logic],,0,)</f>
        <v>#N/A</v>
      </c>
      <c r="F132" s="14" t="e">
        <f>_xlfn.XLOOKUP($D132,Tab_Def_Processes[Process_Name],Tab_Def_Processes[TC_Configuration],,0,)</f>
        <v>#N/A</v>
      </c>
      <c r="G132" s="14" t="e">
        <f>_xlfn.XLOOKUP($D132,Tab_Def_Processes[Process_Name],Tab_Def_Processes[Stock_Configuration],,0,)</f>
        <v>#N/A</v>
      </c>
      <c r="H132" s="14" t="e">
        <f>_xlfn.XLOOKUP($D132,Tab_Def_Processes[Process_Name],Tab_Def_Processes[Outflow_count],,0,)</f>
        <v>#N/A</v>
      </c>
      <c r="I132" s="18" t="s">
        <v>5</v>
      </c>
      <c r="J132" s="2" t="str">
        <f>_xlfn.XLOOKUP($I132,Tab_Def_Flows[Flow_Name],Tab_Def_Flows[Flow_ID],,0,1)</f>
        <v>F__</v>
      </c>
      <c r="K132" s="3"/>
      <c r="L132" s="11" t="str">
        <f t="shared" si="17"/>
        <v>TC_E1_F__</v>
      </c>
      <c r="M132" s="20"/>
      <c r="N132" s="11" t="str">
        <f t="shared" si="18"/>
        <v>TC_E2_F__</v>
      </c>
      <c r="O132" s="20"/>
      <c r="P132" s="11" t="str">
        <f t="shared" si="19"/>
        <v>TC_E3_F__</v>
      </c>
      <c r="Q132" s="20"/>
      <c r="R132" s="11" t="str">
        <f t="shared" si="20"/>
        <v>TC_E4_F__</v>
      </c>
      <c r="S132" s="3"/>
      <c r="T132" s="11" t="str">
        <f t="shared" si="21"/>
        <v>TC_E5_F__</v>
      </c>
      <c r="U132" s="3"/>
      <c r="V132" s="11" t="str">
        <f t="shared" si="22"/>
        <v>TC_E6_F__</v>
      </c>
      <c r="W132" s="3"/>
      <c r="X132" s="9"/>
      <c r="Y132" s="9"/>
      <c r="Z132" s="9"/>
      <c r="AA132" s="9"/>
    </row>
    <row r="133" spans="1:27" x14ac:dyDescent="0.25">
      <c r="A133" s="22" t="b">
        <v>0</v>
      </c>
      <c r="B133" s="2">
        <f t="shared" si="16"/>
        <v>132</v>
      </c>
      <c r="C133" s="14" t="e">
        <f>_xlfn.XLOOKUP($D133,Tab_Def_Processes[Process_Name],Tab_Def_Processes[Process_ID],,0,)</f>
        <v>#N/A</v>
      </c>
      <c r="D133" s="18" t="s">
        <v>5</v>
      </c>
      <c r="E133" s="14" t="e">
        <f>_xlfn.XLOOKUP($D133,Tab_Def_Processes[Process_Name],Tab_Def_Processes[Process_Logic],,0,)</f>
        <v>#N/A</v>
      </c>
      <c r="F133" s="14" t="e">
        <f>_xlfn.XLOOKUP($D133,Tab_Def_Processes[Process_Name],Tab_Def_Processes[TC_Configuration],,0,)</f>
        <v>#N/A</v>
      </c>
      <c r="G133" s="14" t="e">
        <f>_xlfn.XLOOKUP($D133,Tab_Def_Processes[Process_Name],Tab_Def_Processes[Stock_Configuration],,0,)</f>
        <v>#N/A</v>
      </c>
      <c r="H133" s="14" t="e">
        <f>_xlfn.XLOOKUP($D133,Tab_Def_Processes[Process_Name],Tab_Def_Processes[Outflow_count],,0,)</f>
        <v>#N/A</v>
      </c>
      <c r="I133" s="18" t="s">
        <v>5</v>
      </c>
      <c r="J133" s="2" t="str">
        <f>_xlfn.XLOOKUP($I133,Tab_Def_Flows[Flow_Name],Tab_Def_Flows[Flow_ID],,0,1)</f>
        <v>F__</v>
      </c>
      <c r="K133" s="3"/>
      <c r="L133" s="11" t="str">
        <f t="shared" si="17"/>
        <v>TC_E1_F__</v>
      </c>
      <c r="M133" s="20"/>
      <c r="N133" s="11" t="str">
        <f t="shared" si="18"/>
        <v>TC_E2_F__</v>
      </c>
      <c r="O133" s="20"/>
      <c r="P133" s="11" t="str">
        <f t="shared" si="19"/>
        <v>TC_E3_F__</v>
      </c>
      <c r="Q133" s="20"/>
      <c r="R133" s="11" t="str">
        <f t="shared" si="20"/>
        <v>TC_E4_F__</v>
      </c>
      <c r="S133" s="3"/>
      <c r="T133" s="11" t="str">
        <f t="shared" si="21"/>
        <v>TC_E5_F__</v>
      </c>
      <c r="U133" s="3"/>
      <c r="V133" s="11" t="str">
        <f t="shared" si="22"/>
        <v>TC_E6_F__</v>
      </c>
      <c r="W133" s="3"/>
      <c r="X133" s="9"/>
      <c r="Y133" s="9"/>
      <c r="Z133" s="9"/>
      <c r="AA133" s="9"/>
    </row>
    <row r="134" spans="1:27" x14ac:dyDescent="0.25">
      <c r="A134" s="22" t="b">
        <v>0</v>
      </c>
      <c r="B134" s="2">
        <f t="shared" si="16"/>
        <v>133</v>
      </c>
      <c r="C134" s="14" t="e">
        <f>_xlfn.XLOOKUP($D134,Tab_Def_Processes[Process_Name],Tab_Def_Processes[Process_ID],,0,)</f>
        <v>#N/A</v>
      </c>
      <c r="D134" s="18" t="s">
        <v>5</v>
      </c>
      <c r="E134" s="14" t="e">
        <f>_xlfn.XLOOKUP($D134,Tab_Def_Processes[Process_Name],Tab_Def_Processes[Process_Logic],,0,)</f>
        <v>#N/A</v>
      </c>
      <c r="F134" s="14" t="e">
        <f>_xlfn.XLOOKUP($D134,Tab_Def_Processes[Process_Name],Tab_Def_Processes[TC_Configuration],,0,)</f>
        <v>#N/A</v>
      </c>
      <c r="G134" s="14" t="e">
        <f>_xlfn.XLOOKUP($D134,Tab_Def_Processes[Process_Name],Tab_Def_Processes[Stock_Configuration],,0,)</f>
        <v>#N/A</v>
      </c>
      <c r="H134" s="14" t="e">
        <f>_xlfn.XLOOKUP($D134,Tab_Def_Processes[Process_Name],Tab_Def_Processes[Outflow_count],,0,)</f>
        <v>#N/A</v>
      </c>
      <c r="I134" s="18" t="s">
        <v>5</v>
      </c>
      <c r="J134" s="2" t="str">
        <f>_xlfn.XLOOKUP($I134,Tab_Def_Flows[Flow_Name],Tab_Def_Flows[Flow_ID],,0,1)</f>
        <v>F__</v>
      </c>
      <c r="K134" s="3"/>
      <c r="L134" s="11" t="str">
        <f t="shared" si="17"/>
        <v>TC_E1_F__</v>
      </c>
      <c r="M134" s="20"/>
      <c r="N134" s="11" t="str">
        <f t="shared" si="18"/>
        <v>TC_E2_F__</v>
      </c>
      <c r="O134" s="20"/>
      <c r="P134" s="11" t="str">
        <f t="shared" si="19"/>
        <v>TC_E3_F__</v>
      </c>
      <c r="Q134" s="20"/>
      <c r="R134" s="11" t="str">
        <f t="shared" si="20"/>
        <v>TC_E4_F__</v>
      </c>
      <c r="S134" s="3"/>
      <c r="T134" s="11" t="str">
        <f t="shared" si="21"/>
        <v>TC_E5_F__</v>
      </c>
      <c r="U134" s="3"/>
      <c r="V134" s="11" t="str">
        <f t="shared" si="22"/>
        <v>TC_E6_F__</v>
      </c>
      <c r="W134" s="3"/>
      <c r="X134" s="9"/>
      <c r="Y134" s="9"/>
      <c r="Z134" s="9"/>
      <c r="AA134" s="9"/>
    </row>
    <row r="135" spans="1:27" x14ac:dyDescent="0.25">
      <c r="A135" s="22" t="b">
        <v>0</v>
      </c>
      <c r="B135" s="2">
        <f t="shared" si="16"/>
        <v>134</v>
      </c>
      <c r="C135" s="14" t="e">
        <f>_xlfn.XLOOKUP($D135,Tab_Def_Processes[Process_Name],Tab_Def_Processes[Process_ID],,0,)</f>
        <v>#N/A</v>
      </c>
      <c r="D135" s="18" t="s">
        <v>5</v>
      </c>
      <c r="E135" s="14" t="e">
        <f>_xlfn.XLOOKUP($D135,Tab_Def_Processes[Process_Name],Tab_Def_Processes[Process_Logic],,0,)</f>
        <v>#N/A</v>
      </c>
      <c r="F135" s="14" t="e">
        <f>_xlfn.XLOOKUP($D135,Tab_Def_Processes[Process_Name],Tab_Def_Processes[TC_Configuration],,0,)</f>
        <v>#N/A</v>
      </c>
      <c r="G135" s="14" t="e">
        <f>_xlfn.XLOOKUP($D135,Tab_Def_Processes[Process_Name],Tab_Def_Processes[Stock_Configuration],,0,)</f>
        <v>#N/A</v>
      </c>
      <c r="H135" s="14" t="e">
        <f>_xlfn.XLOOKUP($D135,Tab_Def_Processes[Process_Name],Tab_Def_Processes[Outflow_count],,0,)</f>
        <v>#N/A</v>
      </c>
      <c r="I135" s="18" t="s">
        <v>5</v>
      </c>
      <c r="J135" s="2" t="str">
        <f>_xlfn.XLOOKUP($I135,Tab_Def_Flows[Flow_Name],Tab_Def_Flows[Flow_ID],,0,1)</f>
        <v>F__</v>
      </c>
      <c r="K135" s="3"/>
      <c r="L135" s="11" t="str">
        <f t="shared" si="17"/>
        <v>TC_E1_F__</v>
      </c>
      <c r="M135" s="20"/>
      <c r="N135" s="11" t="str">
        <f t="shared" si="18"/>
        <v>TC_E2_F__</v>
      </c>
      <c r="O135" s="20"/>
      <c r="P135" s="11" t="str">
        <f t="shared" si="19"/>
        <v>TC_E3_F__</v>
      </c>
      <c r="Q135" s="20"/>
      <c r="R135" s="11" t="str">
        <f t="shared" si="20"/>
        <v>TC_E4_F__</v>
      </c>
      <c r="S135" s="3"/>
      <c r="T135" s="11" t="str">
        <f t="shared" si="21"/>
        <v>TC_E5_F__</v>
      </c>
      <c r="U135" s="3"/>
      <c r="V135" s="11" t="str">
        <f t="shared" si="22"/>
        <v>TC_E6_F__</v>
      </c>
      <c r="W135" s="3"/>
      <c r="X135" s="9"/>
      <c r="Y135" s="9"/>
      <c r="Z135" s="9"/>
      <c r="AA135" s="9"/>
    </row>
    <row r="136" spans="1:27" x14ac:dyDescent="0.25">
      <c r="A136" s="22" t="b">
        <v>0</v>
      </c>
      <c r="B136" s="2">
        <f t="shared" si="16"/>
        <v>135</v>
      </c>
      <c r="C136" s="14" t="e">
        <f>_xlfn.XLOOKUP($D136,Tab_Def_Processes[Process_Name],Tab_Def_Processes[Process_ID],,0,)</f>
        <v>#N/A</v>
      </c>
      <c r="D136" s="18" t="s">
        <v>5</v>
      </c>
      <c r="E136" s="14" t="e">
        <f>_xlfn.XLOOKUP($D136,Tab_Def_Processes[Process_Name],Tab_Def_Processes[Process_Logic],,0,)</f>
        <v>#N/A</v>
      </c>
      <c r="F136" s="14" t="e">
        <f>_xlfn.XLOOKUP($D136,Tab_Def_Processes[Process_Name],Tab_Def_Processes[TC_Configuration],,0,)</f>
        <v>#N/A</v>
      </c>
      <c r="G136" s="14" t="e">
        <f>_xlfn.XLOOKUP($D136,Tab_Def_Processes[Process_Name],Tab_Def_Processes[Stock_Configuration],,0,)</f>
        <v>#N/A</v>
      </c>
      <c r="H136" s="14" t="e">
        <f>_xlfn.XLOOKUP($D136,Tab_Def_Processes[Process_Name],Tab_Def_Processes[Outflow_count],,0,)</f>
        <v>#N/A</v>
      </c>
      <c r="I136" s="18" t="s">
        <v>5</v>
      </c>
      <c r="J136" s="2" t="str">
        <f>_xlfn.XLOOKUP($I136,Tab_Def_Flows[Flow_Name],Tab_Def_Flows[Flow_ID],,0,1)</f>
        <v>F__</v>
      </c>
      <c r="K136" s="3"/>
      <c r="L136" s="11" t="str">
        <f t="shared" si="17"/>
        <v>TC_E1_F__</v>
      </c>
      <c r="M136" s="20"/>
      <c r="N136" s="11" t="str">
        <f t="shared" si="18"/>
        <v>TC_E2_F__</v>
      </c>
      <c r="O136" s="20"/>
      <c r="P136" s="11" t="str">
        <f t="shared" si="19"/>
        <v>TC_E3_F__</v>
      </c>
      <c r="Q136" s="20"/>
      <c r="R136" s="11" t="str">
        <f t="shared" si="20"/>
        <v>TC_E4_F__</v>
      </c>
      <c r="S136" s="3"/>
      <c r="T136" s="11" t="str">
        <f t="shared" si="21"/>
        <v>TC_E5_F__</v>
      </c>
      <c r="U136" s="3"/>
      <c r="V136" s="11" t="str">
        <f t="shared" si="22"/>
        <v>TC_E6_F__</v>
      </c>
      <c r="W136" s="3"/>
      <c r="X136" s="9"/>
      <c r="Y136" s="9"/>
      <c r="Z136" s="9"/>
      <c r="AA136" s="9"/>
    </row>
    <row r="137" spans="1:27" x14ac:dyDescent="0.25">
      <c r="A137" s="22" t="b">
        <v>0</v>
      </c>
      <c r="B137" s="2">
        <f t="shared" si="16"/>
        <v>136</v>
      </c>
      <c r="C137" s="14" t="e">
        <f>_xlfn.XLOOKUP($D137,Tab_Def_Processes[Process_Name],Tab_Def_Processes[Process_ID],,0,)</f>
        <v>#N/A</v>
      </c>
      <c r="D137" s="18" t="s">
        <v>5</v>
      </c>
      <c r="E137" s="14" t="e">
        <f>_xlfn.XLOOKUP($D137,Tab_Def_Processes[Process_Name],Tab_Def_Processes[Process_Logic],,0,)</f>
        <v>#N/A</v>
      </c>
      <c r="F137" s="14" t="e">
        <f>_xlfn.XLOOKUP($D137,Tab_Def_Processes[Process_Name],Tab_Def_Processes[TC_Configuration],,0,)</f>
        <v>#N/A</v>
      </c>
      <c r="G137" s="14" t="e">
        <f>_xlfn.XLOOKUP($D137,Tab_Def_Processes[Process_Name],Tab_Def_Processes[Stock_Configuration],,0,)</f>
        <v>#N/A</v>
      </c>
      <c r="H137" s="14" t="e">
        <f>_xlfn.XLOOKUP($D137,Tab_Def_Processes[Process_Name],Tab_Def_Processes[Outflow_count],,0,)</f>
        <v>#N/A</v>
      </c>
      <c r="I137" s="18" t="s">
        <v>5</v>
      </c>
      <c r="J137" s="2" t="str">
        <f>_xlfn.XLOOKUP($I137,Tab_Def_Flows[Flow_Name],Tab_Def_Flows[Flow_ID],,0,1)</f>
        <v>F__</v>
      </c>
      <c r="K137" s="3"/>
      <c r="L137" s="11" t="str">
        <f t="shared" si="17"/>
        <v>TC_E1_F__</v>
      </c>
      <c r="M137" s="20"/>
      <c r="N137" s="11" t="str">
        <f t="shared" si="18"/>
        <v>TC_E2_F__</v>
      </c>
      <c r="O137" s="20"/>
      <c r="P137" s="11" t="str">
        <f t="shared" si="19"/>
        <v>TC_E3_F__</v>
      </c>
      <c r="Q137" s="20"/>
      <c r="R137" s="11" t="str">
        <f t="shared" si="20"/>
        <v>TC_E4_F__</v>
      </c>
      <c r="S137" s="3"/>
      <c r="T137" s="11" t="str">
        <f t="shared" si="21"/>
        <v>TC_E5_F__</v>
      </c>
      <c r="U137" s="3"/>
      <c r="V137" s="11" t="str">
        <f t="shared" si="22"/>
        <v>TC_E6_F__</v>
      </c>
      <c r="W137" s="3"/>
      <c r="X137" s="9"/>
      <c r="Y137" s="9"/>
      <c r="Z137" s="9"/>
      <c r="AA137" s="9"/>
    </row>
    <row r="138" spans="1:27" x14ac:dyDescent="0.25">
      <c r="A138" s="22" t="b">
        <v>0</v>
      </c>
      <c r="B138" s="2">
        <f t="shared" si="16"/>
        <v>137</v>
      </c>
      <c r="C138" s="14" t="e">
        <f>_xlfn.XLOOKUP($D138,Tab_Def_Processes[Process_Name],Tab_Def_Processes[Process_ID],,0,)</f>
        <v>#N/A</v>
      </c>
      <c r="D138" s="18" t="s">
        <v>5</v>
      </c>
      <c r="E138" s="14" t="e">
        <f>_xlfn.XLOOKUP($D138,Tab_Def_Processes[Process_Name],Tab_Def_Processes[Process_Logic],,0,)</f>
        <v>#N/A</v>
      </c>
      <c r="F138" s="14" t="e">
        <f>_xlfn.XLOOKUP($D138,Tab_Def_Processes[Process_Name],Tab_Def_Processes[TC_Configuration],,0,)</f>
        <v>#N/A</v>
      </c>
      <c r="G138" s="14" t="e">
        <f>_xlfn.XLOOKUP($D138,Tab_Def_Processes[Process_Name],Tab_Def_Processes[Stock_Configuration],,0,)</f>
        <v>#N/A</v>
      </c>
      <c r="H138" s="14" t="e">
        <f>_xlfn.XLOOKUP($D138,Tab_Def_Processes[Process_Name],Tab_Def_Processes[Outflow_count],,0,)</f>
        <v>#N/A</v>
      </c>
      <c r="I138" s="18" t="s">
        <v>5</v>
      </c>
      <c r="J138" s="2" t="str">
        <f>_xlfn.XLOOKUP($I138,Tab_Def_Flows[Flow_Name],Tab_Def_Flows[Flow_ID],,0,1)</f>
        <v>F__</v>
      </c>
      <c r="K138" s="3"/>
      <c r="L138" s="11" t="str">
        <f t="shared" si="17"/>
        <v>TC_E1_F__</v>
      </c>
      <c r="M138" s="20"/>
      <c r="N138" s="11" t="str">
        <f t="shared" si="18"/>
        <v>TC_E2_F__</v>
      </c>
      <c r="O138" s="20"/>
      <c r="P138" s="11" t="str">
        <f t="shared" si="19"/>
        <v>TC_E3_F__</v>
      </c>
      <c r="Q138" s="20"/>
      <c r="R138" s="11" t="str">
        <f t="shared" si="20"/>
        <v>TC_E4_F__</v>
      </c>
      <c r="S138" s="3"/>
      <c r="T138" s="11" t="str">
        <f t="shared" si="21"/>
        <v>TC_E5_F__</v>
      </c>
      <c r="U138" s="3"/>
      <c r="V138" s="11" t="str">
        <f t="shared" si="22"/>
        <v>TC_E6_F__</v>
      </c>
      <c r="W138" s="3"/>
      <c r="X138" s="9"/>
      <c r="Y138" s="9"/>
      <c r="Z138" s="9"/>
      <c r="AA138" s="9"/>
    </row>
    <row r="139" spans="1:27" x14ac:dyDescent="0.25">
      <c r="A139" s="22" t="b">
        <v>0</v>
      </c>
      <c r="B139" s="2">
        <f t="shared" si="16"/>
        <v>138</v>
      </c>
      <c r="C139" s="14" t="e">
        <f>_xlfn.XLOOKUP($D139,Tab_Def_Processes[Process_Name],Tab_Def_Processes[Process_ID],,0,)</f>
        <v>#N/A</v>
      </c>
      <c r="D139" s="18" t="s">
        <v>5</v>
      </c>
      <c r="E139" s="14" t="e">
        <f>_xlfn.XLOOKUP($D139,Tab_Def_Processes[Process_Name],Tab_Def_Processes[Process_Logic],,0,)</f>
        <v>#N/A</v>
      </c>
      <c r="F139" s="14" t="e">
        <f>_xlfn.XLOOKUP($D139,Tab_Def_Processes[Process_Name],Tab_Def_Processes[TC_Configuration],,0,)</f>
        <v>#N/A</v>
      </c>
      <c r="G139" s="14" t="e">
        <f>_xlfn.XLOOKUP($D139,Tab_Def_Processes[Process_Name],Tab_Def_Processes[Stock_Configuration],,0,)</f>
        <v>#N/A</v>
      </c>
      <c r="H139" s="14" t="e">
        <f>_xlfn.XLOOKUP($D139,Tab_Def_Processes[Process_Name],Tab_Def_Processes[Outflow_count],,0,)</f>
        <v>#N/A</v>
      </c>
      <c r="I139" s="18" t="s">
        <v>5</v>
      </c>
      <c r="J139" s="2" t="str">
        <f>_xlfn.XLOOKUP($I139,Tab_Def_Flows[Flow_Name],Tab_Def_Flows[Flow_ID],,0,1)</f>
        <v>F__</v>
      </c>
      <c r="K139" s="3"/>
      <c r="L139" s="11" t="str">
        <f t="shared" si="17"/>
        <v>TC_E1_F__</v>
      </c>
      <c r="M139" s="20"/>
      <c r="N139" s="11" t="str">
        <f t="shared" si="18"/>
        <v>TC_E2_F__</v>
      </c>
      <c r="O139" s="20"/>
      <c r="P139" s="11" t="str">
        <f t="shared" si="19"/>
        <v>TC_E3_F__</v>
      </c>
      <c r="Q139" s="20"/>
      <c r="R139" s="11" t="str">
        <f t="shared" si="20"/>
        <v>TC_E4_F__</v>
      </c>
      <c r="S139" s="3"/>
      <c r="T139" s="11" t="str">
        <f t="shared" si="21"/>
        <v>TC_E5_F__</v>
      </c>
      <c r="U139" s="3"/>
      <c r="V139" s="11" t="str">
        <f t="shared" si="22"/>
        <v>TC_E6_F__</v>
      </c>
      <c r="W139" s="3"/>
      <c r="X139" s="9"/>
      <c r="Y139" s="9"/>
      <c r="Z139" s="9"/>
      <c r="AA139" s="9"/>
    </row>
    <row r="140" spans="1:27" x14ac:dyDescent="0.25">
      <c r="A140" s="22" t="b">
        <v>0</v>
      </c>
      <c r="B140" s="2">
        <f t="shared" si="16"/>
        <v>139</v>
      </c>
      <c r="C140" s="14" t="e">
        <f>_xlfn.XLOOKUP($D140,Tab_Def_Processes[Process_Name],Tab_Def_Processes[Process_ID],,0,)</f>
        <v>#N/A</v>
      </c>
      <c r="D140" s="18" t="s">
        <v>5</v>
      </c>
      <c r="E140" s="14" t="e">
        <f>_xlfn.XLOOKUP($D140,Tab_Def_Processes[Process_Name],Tab_Def_Processes[Process_Logic],,0,)</f>
        <v>#N/A</v>
      </c>
      <c r="F140" s="14" t="e">
        <f>_xlfn.XLOOKUP($D140,Tab_Def_Processes[Process_Name],Tab_Def_Processes[TC_Configuration],,0,)</f>
        <v>#N/A</v>
      </c>
      <c r="G140" s="14" t="e">
        <f>_xlfn.XLOOKUP($D140,Tab_Def_Processes[Process_Name],Tab_Def_Processes[Stock_Configuration],,0,)</f>
        <v>#N/A</v>
      </c>
      <c r="H140" s="14" t="e">
        <f>_xlfn.XLOOKUP($D140,Tab_Def_Processes[Process_Name],Tab_Def_Processes[Outflow_count],,0,)</f>
        <v>#N/A</v>
      </c>
      <c r="I140" s="18" t="s">
        <v>5</v>
      </c>
      <c r="J140" s="2" t="str">
        <f>_xlfn.XLOOKUP($I140,Tab_Def_Flows[Flow_Name],Tab_Def_Flows[Flow_ID],,0,1)</f>
        <v>F__</v>
      </c>
      <c r="K140" s="3"/>
      <c r="L140" s="11" t="str">
        <f t="shared" si="17"/>
        <v>TC_E1_F__</v>
      </c>
      <c r="M140" s="20"/>
      <c r="N140" s="11" t="str">
        <f t="shared" si="18"/>
        <v>TC_E2_F__</v>
      </c>
      <c r="O140" s="20"/>
      <c r="P140" s="11" t="str">
        <f t="shared" si="19"/>
        <v>TC_E3_F__</v>
      </c>
      <c r="Q140" s="20"/>
      <c r="R140" s="11" t="str">
        <f t="shared" si="20"/>
        <v>TC_E4_F__</v>
      </c>
      <c r="S140" s="3"/>
      <c r="T140" s="11" t="str">
        <f t="shared" si="21"/>
        <v>TC_E5_F__</v>
      </c>
      <c r="U140" s="3"/>
      <c r="V140" s="11" t="str">
        <f t="shared" si="22"/>
        <v>TC_E6_F__</v>
      </c>
      <c r="W140" s="3"/>
      <c r="X140" s="9"/>
      <c r="Y140" s="9"/>
      <c r="Z140" s="9"/>
      <c r="AA140" s="9"/>
    </row>
    <row r="141" spans="1:27" x14ac:dyDescent="0.25">
      <c r="A141" s="22" t="b">
        <v>0</v>
      </c>
      <c r="B141" s="2">
        <f t="shared" si="16"/>
        <v>140</v>
      </c>
      <c r="C141" s="14" t="e">
        <f>_xlfn.XLOOKUP($D141,Tab_Def_Processes[Process_Name],Tab_Def_Processes[Process_ID],,0,)</f>
        <v>#N/A</v>
      </c>
      <c r="D141" s="18" t="s">
        <v>5</v>
      </c>
      <c r="E141" s="14" t="e">
        <f>_xlfn.XLOOKUP($D141,Tab_Def_Processes[Process_Name],Tab_Def_Processes[Process_Logic],,0,)</f>
        <v>#N/A</v>
      </c>
      <c r="F141" s="14" t="e">
        <f>_xlfn.XLOOKUP($D141,Tab_Def_Processes[Process_Name],Tab_Def_Processes[TC_Configuration],,0,)</f>
        <v>#N/A</v>
      </c>
      <c r="G141" s="14" t="e">
        <f>_xlfn.XLOOKUP($D141,Tab_Def_Processes[Process_Name],Tab_Def_Processes[Stock_Configuration],,0,)</f>
        <v>#N/A</v>
      </c>
      <c r="H141" s="14" t="e">
        <f>_xlfn.XLOOKUP($D141,Tab_Def_Processes[Process_Name],Tab_Def_Processes[Outflow_count],,0,)</f>
        <v>#N/A</v>
      </c>
      <c r="I141" s="18" t="s">
        <v>5</v>
      </c>
      <c r="J141" s="2" t="str">
        <f>_xlfn.XLOOKUP($I141,Tab_Def_Flows[Flow_Name],Tab_Def_Flows[Flow_ID],,0,1)</f>
        <v>F__</v>
      </c>
      <c r="K141" s="3"/>
      <c r="L141" s="11" t="str">
        <f t="shared" si="17"/>
        <v>TC_E1_F__</v>
      </c>
      <c r="M141" s="20"/>
      <c r="N141" s="11" t="str">
        <f t="shared" si="18"/>
        <v>TC_E2_F__</v>
      </c>
      <c r="O141" s="20"/>
      <c r="P141" s="11" t="str">
        <f t="shared" si="19"/>
        <v>TC_E3_F__</v>
      </c>
      <c r="Q141" s="20"/>
      <c r="R141" s="11" t="str">
        <f t="shared" si="20"/>
        <v>TC_E4_F__</v>
      </c>
      <c r="S141" s="3"/>
      <c r="T141" s="11" t="str">
        <f t="shared" si="21"/>
        <v>TC_E5_F__</v>
      </c>
      <c r="U141" s="3"/>
      <c r="V141" s="11" t="str">
        <f t="shared" si="22"/>
        <v>TC_E6_F__</v>
      </c>
      <c r="W141" s="3"/>
      <c r="X141" s="9"/>
      <c r="Y141" s="9"/>
      <c r="Z141" s="9"/>
      <c r="AA141" s="9"/>
    </row>
    <row r="142" spans="1:27" x14ac:dyDescent="0.25">
      <c r="A142" s="22" t="b">
        <v>0</v>
      </c>
      <c r="B142" s="2">
        <f t="shared" si="16"/>
        <v>141</v>
      </c>
      <c r="C142" s="14" t="e">
        <f>_xlfn.XLOOKUP($D142,Tab_Def_Processes[Process_Name],Tab_Def_Processes[Process_ID],,0,)</f>
        <v>#N/A</v>
      </c>
      <c r="D142" s="18" t="s">
        <v>5</v>
      </c>
      <c r="E142" s="14" t="e">
        <f>_xlfn.XLOOKUP($D142,Tab_Def_Processes[Process_Name],Tab_Def_Processes[Process_Logic],,0,)</f>
        <v>#N/A</v>
      </c>
      <c r="F142" s="14" t="e">
        <f>_xlfn.XLOOKUP($D142,Tab_Def_Processes[Process_Name],Tab_Def_Processes[TC_Configuration],,0,)</f>
        <v>#N/A</v>
      </c>
      <c r="G142" s="14" t="e">
        <f>_xlfn.XLOOKUP($D142,Tab_Def_Processes[Process_Name],Tab_Def_Processes[Stock_Configuration],,0,)</f>
        <v>#N/A</v>
      </c>
      <c r="H142" s="14" t="e">
        <f>_xlfn.XLOOKUP($D142,Tab_Def_Processes[Process_Name],Tab_Def_Processes[Outflow_count],,0,)</f>
        <v>#N/A</v>
      </c>
      <c r="I142" s="18" t="s">
        <v>5</v>
      </c>
      <c r="J142" s="2" t="str">
        <f>_xlfn.XLOOKUP($I142,Tab_Def_Flows[Flow_Name],Tab_Def_Flows[Flow_ID],,0,1)</f>
        <v>F__</v>
      </c>
      <c r="K142" s="3"/>
      <c r="L142" s="11" t="str">
        <f t="shared" si="17"/>
        <v>TC_E1_F__</v>
      </c>
      <c r="M142" s="20"/>
      <c r="N142" s="11" t="str">
        <f t="shared" si="18"/>
        <v>TC_E2_F__</v>
      </c>
      <c r="O142" s="20"/>
      <c r="P142" s="11" t="str">
        <f t="shared" si="19"/>
        <v>TC_E3_F__</v>
      </c>
      <c r="Q142" s="20"/>
      <c r="R142" s="11" t="str">
        <f t="shared" si="20"/>
        <v>TC_E4_F__</v>
      </c>
      <c r="S142" s="3"/>
      <c r="T142" s="11" t="str">
        <f t="shared" si="21"/>
        <v>TC_E5_F__</v>
      </c>
      <c r="U142" s="3"/>
      <c r="V142" s="11" t="str">
        <f t="shared" si="22"/>
        <v>TC_E6_F__</v>
      </c>
      <c r="W142" s="3"/>
      <c r="X142" s="9"/>
      <c r="Y142" s="9"/>
      <c r="Z142" s="9"/>
      <c r="AA142" s="9"/>
    </row>
    <row r="143" spans="1:27" x14ac:dyDescent="0.25">
      <c r="A143" s="22" t="b">
        <v>0</v>
      </c>
      <c r="B143" s="2">
        <f t="shared" si="16"/>
        <v>142</v>
      </c>
      <c r="C143" s="14" t="e">
        <f>_xlfn.XLOOKUP($D143,Tab_Def_Processes[Process_Name],Tab_Def_Processes[Process_ID],,0,)</f>
        <v>#N/A</v>
      </c>
      <c r="D143" s="18" t="s">
        <v>5</v>
      </c>
      <c r="E143" s="14" t="e">
        <f>_xlfn.XLOOKUP($D143,Tab_Def_Processes[Process_Name],Tab_Def_Processes[Process_Logic],,0,)</f>
        <v>#N/A</v>
      </c>
      <c r="F143" s="14" t="e">
        <f>_xlfn.XLOOKUP($D143,Tab_Def_Processes[Process_Name],Tab_Def_Processes[TC_Configuration],,0,)</f>
        <v>#N/A</v>
      </c>
      <c r="G143" s="14" t="e">
        <f>_xlfn.XLOOKUP($D143,Tab_Def_Processes[Process_Name],Tab_Def_Processes[Stock_Configuration],,0,)</f>
        <v>#N/A</v>
      </c>
      <c r="H143" s="14" t="e">
        <f>_xlfn.XLOOKUP($D143,Tab_Def_Processes[Process_Name],Tab_Def_Processes[Outflow_count],,0,)</f>
        <v>#N/A</v>
      </c>
      <c r="I143" s="18" t="s">
        <v>5</v>
      </c>
      <c r="J143" s="2" t="str">
        <f>_xlfn.XLOOKUP($I143,Tab_Def_Flows[Flow_Name],Tab_Def_Flows[Flow_ID],,0,1)</f>
        <v>F__</v>
      </c>
      <c r="K143" s="3"/>
      <c r="L143" s="11" t="str">
        <f t="shared" si="17"/>
        <v>TC_E1_F__</v>
      </c>
      <c r="M143" s="20"/>
      <c r="N143" s="11" t="str">
        <f t="shared" si="18"/>
        <v>TC_E2_F__</v>
      </c>
      <c r="O143" s="20"/>
      <c r="P143" s="11" t="str">
        <f t="shared" si="19"/>
        <v>TC_E3_F__</v>
      </c>
      <c r="Q143" s="20"/>
      <c r="R143" s="11" t="str">
        <f t="shared" si="20"/>
        <v>TC_E4_F__</v>
      </c>
      <c r="S143" s="3"/>
      <c r="T143" s="11" t="str">
        <f t="shared" si="21"/>
        <v>TC_E5_F__</v>
      </c>
      <c r="U143" s="3"/>
      <c r="V143" s="11" t="str">
        <f t="shared" si="22"/>
        <v>TC_E6_F__</v>
      </c>
      <c r="W143" s="3"/>
      <c r="X143" s="9"/>
      <c r="Y143" s="9"/>
      <c r="Z143" s="9"/>
      <c r="AA143" s="9"/>
    </row>
    <row r="144" spans="1:27" x14ac:dyDescent="0.25">
      <c r="A144" s="22" t="b">
        <v>0</v>
      </c>
      <c r="B144" s="2">
        <f t="shared" si="16"/>
        <v>143</v>
      </c>
      <c r="C144" s="14" t="e">
        <f>_xlfn.XLOOKUP($D144,Tab_Def_Processes[Process_Name],Tab_Def_Processes[Process_ID],,0,)</f>
        <v>#N/A</v>
      </c>
      <c r="D144" s="18" t="s">
        <v>5</v>
      </c>
      <c r="E144" s="14" t="e">
        <f>_xlfn.XLOOKUP($D144,Tab_Def_Processes[Process_Name],Tab_Def_Processes[Process_Logic],,0,)</f>
        <v>#N/A</v>
      </c>
      <c r="F144" s="14" t="e">
        <f>_xlfn.XLOOKUP($D144,Tab_Def_Processes[Process_Name],Tab_Def_Processes[TC_Configuration],,0,)</f>
        <v>#N/A</v>
      </c>
      <c r="G144" s="14" t="e">
        <f>_xlfn.XLOOKUP($D144,Tab_Def_Processes[Process_Name],Tab_Def_Processes[Stock_Configuration],,0,)</f>
        <v>#N/A</v>
      </c>
      <c r="H144" s="14" t="e">
        <f>_xlfn.XLOOKUP($D144,Tab_Def_Processes[Process_Name],Tab_Def_Processes[Outflow_count],,0,)</f>
        <v>#N/A</v>
      </c>
      <c r="I144" s="18" t="s">
        <v>5</v>
      </c>
      <c r="J144" s="2" t="str">
        <f>_xlfn.XLOOKUP($I144,Tab_Def_Flows[Flow_Name],Tab_Def_Flows[Flow_ID],,0,1)</f>
        <v>F__</v>
      </c>
      <c r="K144" s="3"/>
      <c r="L144" s="11" t="str">
        <f t="shared" si="17"/>
        <v>TC_E1_F__</v>
      </c>
      <c r="M144" s="20"/>
      <c r="N144" s="11" t="str">
        <f t="shared" si="18"/>
        <v>TC_E2_F__</v>
      </c>
      <c r="O144" s="20"/>
      <c r="P144" s="11" t="str">
        <f t="shared" si="19"/>
        <v>TC_E3_F__</v>
      </c>
      <c r="Q144" s="20"/>
      <c r="R144" s="11" t="str">
        <f t="shared" si="20"/>
        <v>TC_E4_F__</v>
      </c>
      <c r="S144" s="3"/>
      <c r="T144" s="11" t="str">
        <f t="shared" si="21"/>
        <v>TC_E5_F__</v>
      </c>
      <c r="U144" s="3"/>
      <c r="V144" s="11" t="str">
        <f t="shared" si="22"/>
        <v>TC_E6_F__</v>
      </c>
      <c r="W144" s="3"/>
      <c r="X144" s="9"/>
      <c r="Y144" s="9"/>
      <c r="Z144" s="9"/>
      <c r="AA144" s="9"/>
    </row>
    <row r="145" spans="1:27" x14ac:dyDescent="0.25">
      <c r="A145" s="22" t="b">
        <v>0</v>
      </c>
      <c r="B145" s="2">
        <f t="shared" si="16"/>
        <v>144</v>
      </c>
      <c r="C145" s="14" t="e">
        <f>_xlfn.XLOOKUP($D145,Tab_Def_Processes[Process_Name],Tab_Def_Processes[Process_ID],,0,)</f>
        <v>#N/A</v>
      </c>
      <c r="D145" s="18" t="s">
        <v>5</v>
      </c>
      <c r="E145" s="14" t="e">
        <f>_xlfn.XLOOKUP($D145,Tab_Def_Processes[Process_Name],Tab_Def_Processes[Process_Logic],,0,)</f>
        <v>#N/A</v>
      </c>
      <c r="F145" s="14" t="e">
        <f>_xlfn.XLOOKUP($D145,Tab_Def_Processes[Process_Name],Tab_Def_Processes[TC_Configuration],,0,)</f>
        <v>#N/A</v>
      </c>
      <c r="G145" s="14" t="e">
        <f>_xlfn.XLOOKUP($D145,Tab_Def_Processes[Process_Name],Tab_Def_Processes[Stock_Configuration],,0,)</f>
        <v>#N/A</v>
      </c>
      <c r="H145" s="14" t="e">
        <f>_xlfn.XLOOKUP($D145,Tab_Def_Processes[Process_Name],Tab_Def_Processes[Outflow_count],,0,)</f>
        <v>#N/A</v>
      </c>
      <c r="I145" s="18" t="s">
        <v>5</v>
      </c>
      <c r="J145" s="2" t="str">
        <f>_xlfn.XLOOKUP($I145,Tab_Def_Flows[Flow_Name],Tab_Def_Flows[Flow_ID],,0,1)</f>
        <v>F__</v>
      </c>
      <c r="K145" s="3"/>
      <c r="L145" s="11" t="str">
        <f t="shared" si="17"/>
        <v>TC_E1_F__</v>
      </c>
      <c r="M145" s="20"/>
      <c r="N145" s="11" t="str">
        <f t="shared" si="18"/>
        <v>TC_E2_F__</v>
      </c>
      <c r="O145" s="20"/>
      <c r="P145" s="11" t="str">
        <f t="shared" si="19"/>
        <v>TC_E3_F__</v>
      </c>
      <c r="Q145" s="20"/>
      <c r="R145" s="11" t="str">
        <f t="shared" si="20"/>
        <v>TC_E4_F__</v>
      </c>
      <c r="S145" s="3"/>
      <c r="T145" s="11" t="str">
        <f t="shared" si="21"/>
        <v>TC_E5_F__</v>
      </c>
      <c r="U145" s="3"/>
      <c r="V145" s="11" t="str">
        <f t="shared" si="22"/>
        <v>TC_E6_F__</v>
      </c>
      <c r="W145" s="3"/>
      <c r="X145" s="9"/>
      <c r="Y145" s="9"/>
      <c r="Z145" s="9"/>
      <c r="AA145" s="9"/>
    </row>
    <row r="146" spans="1:27" x14ac:dyDescent="0.25">
      <c r="A146" s="22" t="b">
        <v>0</v>
      </c>
      <c r="B146" s="2">
        <f t="shared" si="16"/>
        <v>145</v>
      </c>
      <c r="C146" s="14" t="e">
        <f>_xlfn.XLOOKUP($D146,Tab_Def_Processes[Process_Name],Tab_Def_Processes[Process_ID],,0,)</f>
        <v>#N/A</v>
      </c>
      <c r="D146" s="18" t="s">
        <v>5</v>
      </c>
      <c r="E146" s="14" t="e">
        <f>_xlfn.XLOOKUP($D146,Tab_Def_Processes[Process_Name],Tab_Def_Processes[Process_Logic],,0,)</f>
        <v>#N/A</v>
      </c>
      <c r="F146" s="14" t="e">
        <f>_xlfn.XLOOKUP($D146,Tab_Def_Processes[Process_Name],Tab_Def_Processes[TC_Configuration],,0,)</f>
        <v>#N/A</v>
      </c>
      <c r="G146" s="14" t="e">
        <f>_xlfn.XLOOKUP($D146,Tab_Def_Processes[Process_Name],Tab_Def_Processes[Stock_Configuration],,0,)</f>
        <v>#N/A</v>
      </c>
      <c r="H146" s="14" t="e">
        <f>_xlfn.XLOOKUP($D146,Tab_Def_Processes[Process_Name],Tab_Def_Processes[Outflow_count],,0,)</f>
        <v>#N/A</v>
      </c>
      <c r="I146" s="18" t="s">
        <v>5</v>
      </c>
      <c r="J146" s="2" t="str">
        <f>_xlfn.XLOOKUP($I146,Tab_Def_Flows[Flow_Name],Tab_Def_Flows[Flow_ID],,0,1)</f>
        <v>F__</v>
      </c>
      <c r="K146" s="3"/>
      <c r="L146" s="11" t="str">
        <f t="shared" si="17"/>
        <v>TC_E1_F__</v>
      </c>
      <c r="M146" s="20"/>
      <c r="N146" s="11" t="str">
        <f t="shared" si="18"/>
        <v>TC_E2_F__</v>
      </c>
      <c r="O146" s="20"/>
      <c r="P146" s="11" t="str">
        <f t="shared" si="19"/>
        <v>TC_E3_F__</v>
      </c>
      <c r="Q146" s="20"/>
      <c r="R146" s="11" t="str">
        <f t="shared" si="20"/>
        <v>TC_E4_F__</v>
      </c>
      <c r="S146" s="3"/>
      <c r="T146" s="11" t="str">
        <f t="shared" si="21"/>
        <v>TC_E5_F__</v>
      </c>
      <c r="U146" s="3"/>
      <c r="V146" s="11" t="str">
        <f t="shared" si="22"/>
        <v>TC_E6_F__</v>
      </c>
      <c r="W146" s="3"/>
      <c r="X146" s="9"/>
      <c r="Y146" s="9"/>
      <c r="Z146" s="9"/>
      <c r="AA146" s="9"/>
    </row>
    <row r="147" spans="1:27" x14ac:dyDescent="0.25">
      <c r="A147" s="22" t="b">
        <v>0</v>
      </c>
      <c r="B147" s="2">
        <f t="shared" si="16"/>
        <v>146</v>
      </c>
      <c r="C147" s="14" t="e">
        <f>_xlfn.XLOOKUP($D147,Tab_Def_Processes[Process_Name],Tab_Def_Processes[Process_ID],,0,)</f>
        <v>#N/A</v>
      </c>
      <c r="D147" s="18" t="s">
        <v>5</v>
      </c>
      <c r="E147" s="14" t="e">
        <f>_xlfn.XLOOKUP($D147,Tab_Def_Processes[Process_Name],Tab_Def_Processes[Process_Logic],,0,)</f>
        <v>#N/A</v>
      </c>
      <c r="F147" s="14" t="e">
        <f>_xlfn.XLOOKUP($D147,Tab_Def_Processes[Process_Name],Tab_Def_Processes[TC_Configuration],,0,)</f>
        <v>#N/A</v>
      </c>
      <c r="G147" s="14" t="e">
        <f>_xlfn.XLOOKUP($D147,Tab_Def_Processes[Process_Name],Tab_Def_Processes[Stock_Configuration],,0,)</f>
        <v>#N/A</v>
      </c>
      <c r="H147" s="14" t="e">
        <f>_xlfn.XLOOKUP($D147,Tab_Def_Processes[Process_Name],Tab_Def_Processes[Outflow_count],,0,)</f>
        <v>#N/A</v>
      </c>
      <c r="I147" s="18" t="s">
        <v>5</v>
      </c>
      <c r="J147" s="2" t="str">
        <f>_xlfn.XLOOKUP($I147,Tab_Def_Flows[Flow_Name],Tab_Def_Flows[Flow_ID],,0,1)</f>
        <v>F__</v>
      </c>
      <c r="K147" s="3"/>
      <c r="L147" s="11" t="str">
        <f t="shared" si="17"/>
        <v>TC_E1_F__</v>
      </c>
      <c r="M147" s="20"/>
      <c r="N147" s="11" t="str">
        <f t="shared" si="18"/>
        <v>TC_E2_F__</v>
      </c>
      <c r="O147" s="20"/>
      <c r="P147" s="11" t="str">
        <f t="shared" si="19"/>
        <v>TC_E3_F__</v>
      </c>
      <c r="Q147" s="20"/>
      <c r="R147" s="11" t="str">
        <f t="shared" si="20"/>
        <v>TC_E4_F__</v>
      </c>
      <c r="S147" s="3"/>
      <c r="T147" s="11" t="str">
        <f t="shared" si="21"/>
        <v>TC_E5_F__</v>
      </c>
      <c r="U147" s="3"/>
      <c r="V147" s="11" t="str">
        <f t="shared" si="22"/>
        <v>TC_E6_F__</v>
      </c>
      <c r="W147" s="3"/>
      <c r="X147" s="9"/>
      <c r="Y147" s="9"/>
      <c r="Z147" s="9"/>
      <c r="AA147" s="9"/>
    </row>
    <row r="148" spans="1:27" x14ac:dyDescent="0.25">
      <c r="A148" s="22" t="b">
        <v>0</v>
      </c>
      <c r="B148" s="2">
        <f t="shared" si="16"/>
        <v>147</v>
      </c>
      <c r="C148" s="14" t="e">
        <f>_xlfn.XLOOKUP($D148,Tab_Def_Processes[Process_Name],Tab_Def_Processes[Process_ID],,0,)</f>
        <v>#N/A</v>
      </c>
      <c r="D148" s="18" t="s">
        <v>5</v>
      </c>
      <c r="E148" s="14" t="e">
        <f>_xlfn.XLOOKUP($D148,Tab_Def_Processes[Process_Name],Tab_Def_Processes[Process_Logic],,0,)</f>
        <v>#N/A</v>
      </c>
      <c r="F148" s="14" t="e">
        <f>_xlfn.XLOOKUP($D148,Tab_Def_Processes[Process_Name],Tab_Def_Processes[TC_Configuration],,0,)</f>
        <v>#N/A</v>
      </c>
      <c r="G148" s="14" t="e">
        <f>_xlfn.XLOOKUP($D148,Tab_Def_Processes[Process_Name],Tab_Def_Processes[Stock_Configuration],,0,)</f>
        <v>#N/A</v>
      </c>
      <c r="H148" s="14" t="e">
        <f>_xlfn.XLOOKUP($D148,Tab_Def_Processes[Process_Name],Tab_Def_Processes[Outflow_count],,0,)</f>
        <v>#N/A</v>
      </c>
      <c r="I148" s="18" t="s">
        <v>5</v>
      </c>
      <c r="J148" s="2" t="str">
        <f>_xlfn.XLOOKUP($I148,Tab_Def_Flows[Flow_Name],Tab_Def_Flows[Flow_ID],,0,1)</f>
        <v>F__</v>
      </c>
      <c r="K148" s="3"/>
      <c r="L148" s="11" t="str">
        <f t="shared" si="17"/>
        <v>TC_E1_F__</v>
      </c>
      <c r="M148" s="20"/>
      <c r="N148" s="11" t="str">
        <f t="shared" si="18"/>
        <v>TC_E2_F__</v>
      </c>
      <c r="O148" s="20"/>
      <c r="P148" s="11" t="str">
        <f t="shared" si="19"/>
        <v>TC_E3_F__</v>
      </c>
      <c r="Q148" s="20"/>
      <c r="R148" s="11" t="str">
        <f t="shared" si="20"/>
        <v>TC_E4_F__</v>
      </c>
      <c r="S148" s="3"/>
      <c r="T148" s="11" t="str">
        <f t="shared" si="21"/>
        <v>TC_E5_F__</v>
      </c>
      <c r="U148" s="3"/>
      <c r="V148" s="11" t="str">
        <f t="shared" si="22"/>
        <v>TC_E6_F__</v>
      </c>
      <c r="W148" s="3"/>
      <c r="X148" s="9"/>
      <c r="Y148" s="9"/>
      <c r="Z148" s="9"/>
      <c r="AA148" s="9"/>
    </row>
    <row r="149" spans="1:27" x14ac:dyDescent="0.25">
      <c r="A149" s="22" t="b">
        <v>0</v>
      </c>
      <c r="B149" s="2">
        <f t="shared" si="16"/>
        <v>148</v>
      </c>
      <c r="C149" s="14" t="e">
        <f>_xlfn.XLOOKUP($D149,Tab_Def_Processes[Process_Name],Tab_Def_Processes[Process_ID],,0,)</f>
        <v>#N/A</v>
      </c>
      <c r="D149" s="18" t="s">
        <v>5</v>
      </c>
      <c r="E149" s="14" t="e">
        <f>_xlfn.XLOOKUP($D149,Tab_Def_Processes[Process_Name],Tab_Def_Processes[Process_Logic],,0,)</f>
        <v>#N/A</v>
      </c>
      <c r="F149" s="14" t="e">
        <f>_xlfn.XLOOKUP($D149,Tab_Def_Processes[Process_Name],Tab_Def_Processes[TC_Configuration],,0,)</f>
        <v>#N/A</v>
      </c>
      <c r="G149" s="14" t="e">
        <f>_xlfn.XLOOKUP($D149,Tab_Def_Processes[Process_Name],Tab_Def_Processes[Stock_Configuration],,0,)</f>
        <v>#N/A</v>
      </c>
      <c r="H149" s="14" t="e">
        <f>_xlfn.XLOOKUP($D149,Tab_Def_Processes[Process_Name],Tab_Def_Processes[Outflow_count],,0,)</f>
        <v>#N/A</v>
      </c>
      <c r="I149" s="18" t="s">
        <v>5</v>
      </c>
      <c r="J149" s="2" t="str">
        <f>_xlfn.XLOOKUP($I149,Tab_Def_Flows[Flow_Name],Tab_Def_Flows[Flow_ID],,0,1)</f>
        <v>F__</v>
      </c>
      <c r="K149" s="3"/>
      <c r="L149" s="11" t="str">
        <f t="shared" si="17"/>
        <v>TC_E1_F__</v>
      </c>
      <c r="M149" s="20"/>
      <c r="N149" s="11" t="str">
        <f t="shared" si="18"/>
        <v>TC_E2_F__</v>
      </c>
      <c r="O149" s="20"/>
      <c r="P149" s="11" t="str">
        <f t="shared" si="19"/>
        <v>TC_E3_F__</v>
      </c>
      <c r="Q149" s="20"/>
      <c r="R149" s="11" t="str">
        <f t="shared" si="20"/>
        <v>TC_E4_F__</v>
      </c>
      <c r="S149" s="3"/>
      <c r="T149" s="11" t="str">
        <f t="shared" si="21"/>
        <v>TC_E5_F__</v>
      </c>
      <c r="U149" s="3"/>
      <c r="V149" s="11" t="str">
        <f t="shared" si="22"/>
        <v>TC_E6_F__</v>
      </c>
      <c r="W149" s="3"/>
      <c r="X149" s="9"/>
      <c r="Y149" s="9"/>
      <c r="Z149" s="9"/>
      <c r="AA149"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Y2:AA149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W51"/>
  <sheetViews>
    <sheetView zoomScale="145" zoomScaleNormal="145" workbookViewId="0">
      <selection activeCell="D1" sqref="B1:D1048576"/>
    </sheetView>
  </sheetViews>
  <sheetFormatPr defaultColWidth="10.85546875" defaultRowHeight="15" outlineLevelCol="1" x14ac:dyDescent="0.25"/>
  <cols>
    <col min="2" max="2" width="5.140625" customWidth="1" outlineLevel="1"/>
    <col min="3" max="3" width="20.42578125" customWidth="1" outlineLevel="1"/>
    <col min="4" max="4" width="20.7109375" customWidth="1" outlineLevel="1"/>
    <col min="5" max="5" width="18.42578125" customWidth="1"/>
    <col min="6" max="6" width="21.42578125" customWidth="1" outlineLevel="1"/>
    <col min="7" max="8" width="16.42578125" customWidth="1" outlineLevel="1"/>
    <col min="9" max="9" width="25.85546875" customWidth="1" outlineLevel="1"/>
    <col min="10" max="10" width="42" customWidth="1" outlineLevel="1"/>
    <col min="11" max="11" width="30.85546875" customWidth="1"/>
    <col min="12" max="12" width="25.85546875" customWidth="1"/>
    <col min="13" max="13" width="25.140625" customWidth="1" outlineLevel="1"/>
    <col min="14" max="14" width="10.28515625" customWidth="1" outlineLevel="1"/>
    <col min="15" max="15" width="10.7109375" customWidth="1" outlineLevel="1"/>
    <col min="16" max="16" width="10.85546875" customWidth="1" outlineLevel="1"/>
    <col min="19" max="19" width="53.42578125" customWidth="1"/>
    <col min="20" max="20" width="34.28515625" customWidth="1"/>
    <col min="21" max="21" width="17.140625" customWidth="1"/>
    <col min="23" max="23" width="38.85546875" customWidth="1"/>
  </cols>
  <sheetData>
    <row r="1" spans="1:23" x14ac:dyDescent="0.25">
      <c r="A1" s="21" t="s">
        <v>13</v>
      </c>
      <c r="B1" s="21" t="s">
        <v>4</v>
      </c>
      <c r="C1" s="21" t="s">
        <v>14</v>
      </c>
      <c r="D1" s="21" t="s">
        <v>12</v>
      </c>
      <c r="E1" s="21" t="s">
        <v>134</v>
      </c>
      <c r="F1" s="21" t="s">
        <v>121</v>
      </c>
      <c r="G1" s="21" t="s">
        <v>159</v>
      </c>
      <c r="H1" s="21" t="s">
        <v>160</v>
      </c>
      <c r="I1" s="21" t="s">
        <v>172</v>
      </c>
      <c r="J1" s="21" t="s">
        <v>276</v>
      </c>
      <c r="K1" s="21" t="s">
        <v>275</v>
      </c>
      <c r="L1" s="21" t="s">
        <v>278</v>
      </c>
      <c r="M1" s="21" t="s">
        <v>7</v>
      </c>
      <c r="N1" s="21" t="s">
        <v>645</v>
      </c>
      <c r="O1" s="21" t="s">
        <v>646</v>
      </c>
      <c r="P1" s="21" t="s">
        <v>647</v>
      </c>
      <c r="S1" s="77" t="s">
        <v>275</v>
      </c>
      <c r="T1" s="77" t="s">
        <v>557</v>
      </c>
      <c r="U1" s="77" t="s">
        <v>558</v>
      </c>
      <c r="V1" s="77" t="s">
        <v>201</v>
      </c>
      <c r="W1" s="77" t="s">
        <v>559</v>
      </c>
    </row>
    <row r="2" spans="1:23" x14ac:dyDescent="0.25">
      <c r="A2" s="22" t="b">
        <v>0</v>
      </c>
      <c r="B2" s="2">
        <f t="shared" ref="B2:B33" si="0">ROW()-1</f>
        <v>1</v>
      </c>
      <c r="C2" s="2" t="e">
        <f>"S"&amp;"_"&amp;LEFT(D2,2)</f>
        <v>#N/A</v>
      </c>
      <c r="D2" s="2" t="e">
        <f>_xlfn.XLOOKUP($E2,Tab_Def_Processes[Process_Name],Tab_Def_Processes[Process_ID],,0,)</f>
        <v>#N/A</v>
      </c>
      <c r="E2" s="18" t="s">
        <v>5</v>
      </c>
      <c r="F2" s="2" t="e">
        <f>_xlfn.XLOOKUP($E2,Tab_Def_Processes[Process_Name],Tab_Def_Processes[Process_Logic],,0,)</f>
        <v>#N/A</v>
      </c>
      <c r="G2" s="2" t="e">
        <f>_xlfn.XLOOKUP($E2,Tab_Def_Processes[Process_Name],Tab_Def_Processes[TC_Configuration],,0,)</f>
        <v>#N/A</v>
      </c>
      <c r="H2" s="14" t="e">
        <f>_xlfn.XLOOKUP($E2,Tab_Def_Processes[Process_Name],Tab_Def_Processes[Stock_Configuration],,0,)</f>
        <v>#N/A</v>
      </c>
      <c r="I2" s="14" t="e">
        <f>_xlfn.XLOOKUP($E2,Tab_Def_Processes[Process_Name],Tab_Def_Processes[Outflow_count],,0,)</f>
        <v>#N/A</v>
      </c>
      <c r="J2" s="14" t="e">
        <f>Tab_Initial_Stock[[#This Row],[Stock_ID]]&amp;"_"&amp;Tab_Initial_Stock[[#This Row],[IS_Parameter_type]]</f>
        <v>#N/A</v>
      </c>
      <c r="K2" s="43"/>
      <c r="L2" s="42"/>
      <c r="M2" s="76"/>
      <c r="N2" s="9"/>
      <c r="O2" s="9"/>
      <c r="P2" s="9"/>
      <c r="S2" s="85" t="s">
        <v>554</v>
      </c>
      <c r="T2" s="85"/>
      <c r="U2" s="85"/>
      <c r="V2" s="85"/>
      <c r="W2" s="85"/>
    </row>
    <row r="3" spans="1:23" x14ac:dyDescent="0.25">
      <c r="A3" s="22" t="b">
        <v>0</v>
      </c>
      <c r="B3" s="2">
        <f t="shared" si="0"/>
        <v>2</v>
      </c>
      <c r="C3" s="2" t="e">
        <f t="shared" ref="C3:C51" si="1">"S"&amp;"_"&amp;LEFT(D3,2)</f>
        <v>#N/A</v>
      </c>
      <c r="D3" s="2" t="e">
        <f>_xlfn.XLOOKUP($E3,Tab_Def_Processes[Process_Name],Tab_Def_Processes[Process_ID],,0,)</f>
        <v>#N/A</v>
      </c>
      <c r="E3" s="18" t="s">
        <v>5</v>
      </c>
      <c r="F3" s="2" t="e">
        <f>_xlfn.XLOOKUP($E3,Tab_Def_Processes[Process_Name],Tab_Def_Processes[Process_Logic],,0,)</f>
        <v>#N/A</v>
      </c>
      <c r="G3" s="2" t="e">
        <f>_xlfn.XLOOKUP($E3,Tab_Def_Processes[Process_Name],Tab_Def_Processes[TC_Configuration],,0,)</f>
        <v>#N/A</v>
      </c>
      <c r="H3" s="14" t="e">
        <f>_xlfn.XLOOKUP($E3,Tab_Def_Processes[Process_Name],Tab_Def_Processes[Stock_Configuration],,0,)</f>
        <v>#N/A</v>
      </c>
      <c r="I3" s="14" t="e">
        <f>_xlfn.XLOOKUP($E3,Tab_Def_Processes[Process_Name],Tab_Def_Processes[Outflow_count],,0,)</f>
        <v>#N/A</v>
      </c>
      <c r="J3" s="14" t="e">
        <f>Tab_Initial_Stock[[#This Row],[Stock_ID]]&amp;"_"&amp;Tab_Initial_Stock[[#This Row],[IS_Parameter_type]]</f>
        <v>#N/A</v>
      </c>
      <c r="K3" s="43"/>
      <c r="L3" s="42"/>
      <c r="M3" s="76"/>
      <c r="N3" s="9"/>
      <c r="O3" s="9"/>
      <c r="P3" s="9"/>
      <c r="S3" s="85" t="s">
        <v>528</v>
      </c>
      <c r="T3" s="85" t="s">
        <v>560</v>
      </c>
      <c r="U3" s="85" t="s">
        <v>561</v>
      </c>
      <c r="V3" s="85">
        <v>100</v>
      </c>
      <c r="W3" s="85" t="s">
        <v>562</v>
      </c>
    </row>
    <row r="4" spans="1:23" x14ac:dyDescent="0.25">
      <c r="A4" s="22" t="b">
        <v>0</v>
      </c>
      <c r="B4" s="2">
        <f t="shared" si="0"/>
        <v>3</v>
      </c>
      <c r="C4" s="2" t="e">
        <f t="shared" si="1"/>
        <v>#N/A</v>
      </c>
      <c r="D4" s="2" t="e">
        <f>_xlfn.XLOOKUP($E4,Tab_Def_Processes[Process_Name],Tab_Def_Processes[Process_ID],,0,)</f>
        <v>#N/A</v>
      </c>
      <c r="E4" s="18" t="s">
        <v>5</v>
      </c>
      <c r="F4" s="2" t="e">
        <f>_xlfn.XLOOKUP($E4,Tab_Def_Processes[Process_Name],Tab_Def_Processes[Process_Logic],,0,)</f>
        <v>#N/A</v>
      </c>
      <c r="G4" s="2" t="e">
        <f>_xlfn.XLOOKUP($E4,Tab_Def_Processes[Process_Name],Tab_Def_Processes[TC_Configuration],,0,)</f>
        <v>#N/A</v>
      </c>
      <c r="H4" s="14" t="e">
        <f>_xlfn.XLOOKUP($E4,Tab_Def_Processes[Process_Name],Tab_Def_Processes[Stock_Configuration],,0,)</f>
        <v>#N/A</v>
      </c>
      <c r="I4" s="14" t="e">
        <f>_xlfn.XLOOKUP($E4,Tab_Def_Processes[Process_Name],Tab_Def_Processes[Outflow_count],,0,)</f>
        <v>#N/A</v>
      </c>
      <c r="J4" s="14" t="e">
        <f>Tab_Initial_Stock[[#This Row],[Stock_ID]]&amp;"_"&amp;Tab_Initial_Stock[[#This Row],[IS_Parameter_type]]</f>
        <v>#N/A</v>
      </c>
      <c r="K4" s="43"/>
      <c r="L4" s="42"/>
      <c r="M4" s="76"/>
      <c r="N4" s="9"/>
      <c r="O4" s="9"/>
      <c r="P4" s="9"/>
      <c r="S4" s="85" t="s">
        <v>530</v>
      </c>
      <c r="T4" s="85" t="s">
        <v>563</v>
      </c>
      <c r="U4" s="85" t="s">
        <v>564</v>
      </c>
      <c r="V4" s="85">
        <v>0.6</v>
      </c>
      <c r="W4" s="85" t="s">
        <v>565</v>
      </c>
    </row>
    <row r="5" spans="1:23" x14ac:dyDescent="0.25">
      <c r="A5" s="22" t="b">
        <v>0</v>
      </c>
      <c r="B5" s="2">
        <f t="shared" si="0"/>
        <v>4</v>
      </c>
      <c r="C5" s="2" t="e">
        <f t="shared" si="1"/>
        <v>#N/A</v>
      </c>
      <c r="D5" s="2" t="e">
        <f>_xlfn.XLOOKUP($E5,Tab_Def_Processes[Process_Name],Tab_Def_Processes[Process_ID],,0,)</f>
        <v>#N/A</v>
      </c>
      <c r="E5" s="18" t="s">
        <v>5</v>
      </c>
      <c r="F5" s="2" t="e">
        <f>_xlfn.XLOOKUP($E5,Tab_Def_Processes[Process_Name],Tab_Def_Processes[Process_Logic],,0,)</f>
        <v>#N/A</v>
      </c>
      <c r="G5" s="2" t="e">
        <f>_xlfn.XLOOKUP($E5,Tab_Def_Processes[Process_Name],Tab_Def_Processes[TC_Configuration],,0,)</f>
        <v>#N/A</v>
      </c>
      <c r="H5" s="14" t="e">
        <f>_xlfn.XLOOKUP($E5,Tab_Def_Processes[Process_Name],Tab_Def_Processes[Stock_Configuration],,0,)</f>
        <v>#N/A</v>
      </c>
      <c r="I5" s="14" t="e">
        <f>_xlfn.XLOOKUP($E5,Tab_Def_Processes[Process_Name],Tab_Def_Processes[Outflow_count],,0,)</f>
        <v>#N/A</v>
      </c>
      <c r="J5" s="14" t="e">
        <f>Tab_Initial_Stock[[#This Row],[Stock_ID]]&amp;"_"&amp;Tab_Initial_Stock[[#This Row],[IS_Parameter_type]]</f>
        <v>#N/A</v>
      </c>
      <c r="K5" s="43"/>
      <c r="L5" s="42"/>
      <c r="M5" s="76"/>
      <c r="N5" s="9"/>
      <c r="O5" s="9"/>
      <c r="P5" s="9"/>
      <c r="S5" s="85" t="s">
        <v>531</v>
      </c>
      <c r="T5" s="85" t="s">
        <v>563</v>
      </c>
      <c r="U5" s="85" t="s">
        <v>564</v>
      </c>
      <c r="V5" s="85">
        <v>0.4</v>
      </c>
      <c r="W5" s="85" t="s">
        <v>566</v>
      </c>
    </row>
    <row r="6" spans="1:23" x14ac:dyDescent="0.25">
      <c r="A6" s="22" t="b">
        <v>0</v>
      </c>
      <c r="B6" s="2">
        <f t="shared" si="0"/>
        <v>5</v>
      </c>
      <c r="C6" s="2" t="e">
        <f t="shared" si="1"/>
        <v>#N/A</v>
      </c>
      <c r="D6" s="2" t="e">
        <f>_xlfn.XLOOKUP($E6,Tab_Def_Processes[Process_Name],Tab_Def_Processes[Process_ID],,0,)</f>
        <v>#N/A</v>
      </c>
      <c r="E6" s="18" t="s">
        <v>5</v>
      </c>
      <c r="F6" s="2" t="e">
        <f>_xlfn.XLOOKUP($E6,Tab_Def_Processes[Process_Name],Tab_Def_Processes[Process_Logic],,0,)</f>
        <v>#N/A</v>
      </c>
      <c r="G6" s="2" t="e">
        <f>_xlfn.XLOOKUP($E6,Tab_Def_Processes[Process_Name],Tab_Def_Processes[TC_Configuration],,0,)</f>
        <v>#N/A</v>
      </c>
      <c r="H6" s="14" t="e">
        <f>_xlfn.XLOOKUP($E6,Tab_Def_Processes[Process_Name],Tab_Def_Processes[Stock_Configuration],,0,)</f>
        <v>#N/A</v>
      </c>
      <c r="I6" s="14" t="e">
        <f>_xlfn.XLOOKUP($E6,Tab_Def_Processes[Process_Name],Tab_Def_Processes[Outflow_count],,0,)</f>
        <v>#N/A</v>
      </c>
      <c r="J6" s="14" t="e">
        <f>Tab_Initial_Stock[[#This Row],[Stock_ID]]&amp;"_"&amp;Tab_Initial_Stock[[#This Row],[IS_Parameter_type]]</f>
        <v>#N/A</v>
      </c>
      <c r="K6" s="43"/>
      <c r="L6" s="42"/>
      <c r="M6" s="76"/>
      <c r="N6" s="9"/>
      <c r="O6" s="9"/>
      <c r="P6" s="9"/>
      <c r="S6" s="85" t="s">
        <v>532</v>
      </c>
      <c r="T6" s="85" t="s">
        <v>563</v>
      </c>
      <c r="U6" s="85" t="s">
        <v>564</v>
      </c>
      <c r="V6" s="85">
        <v>0.18</v>
      </c>
      <c r="W6" s="85" t="s">
        <v>567</v>
      </c>
    </row>
    <row r="7" spans="1:23" x14ac:dyDescent="0.25">
      <c r="A7" s="22" t="b">
        <v>0</v>
      </c>
      <c r="B7" s="2">
        <f t="shared" si="0"/>
        <v>6</v>
      </c>
      <c r="C7" s="2" t="e">
        <f t="shared" si="1"/>
        <v>#N/A</v>
      </c>
      <c r="D7" s="2" t="e">
        <f>_xlfn.XLOOKUP($E7,Tab_Def_Processes[Process_Name],Tab_Def_Processes[Process_ID],,0,)</f>
        <v>#N/A</v>
      </c>
      <c r="E7" s="18" t="s">
        <v>5</v>
      </c>
      <c r="F7" s="2" t="e">
        <f>_xlfn.XLOOKUP($E7,Tab_Def_Processes[Process_Name],Tab_Def_Processes[Process_Logic],,0,)</f>
        <v>#N/A</v>
      </c>
      <c r="G7" s="2" t="e">
        <f>_xlfn.XLOOKUP($E7,Tab_Def_Processes[Process_Name],Tab_Def_Processes[TC_Configuration],,0,)</f>
        <v>#N/A</v>
      </c>
      <c r="H7" s="14" t="e">
        <f>_xlfn.XLOOKUP($E7,Tab_Def_Processes[Process_Name],Tab_Def_Processes[Stock_Configuration],,0,)</f>
        <v>#N/A</v>
      </c>
      <c r="I7" s="14" t="e">
        <f>_xlfn.XLOOKUP($E7,Tab_Def_Processes[Process_Name],Tab_Def_Processes[Outflow_count],,0,)</f>
        <v>#N/A</v>
      </c>
      <c r="J7" s="14" t="e">
        <f>Tab_Initial_Stock[[#This Row],[Stock_ID]]&amp;"_"&amp;Tab_Initial_Stock[[#This Row],[IS_Parameter_type]]</f>
        <v>#N/A</v>
      </c>
      <c r="K7" s="43"/>
      <c r="L7" s="42"/>
      <c r="M7" s="76"/>
      <c r="N7" s="9"/>
      <c r="O7" s="9"/>
      <c r="P7" s="9"/>
      <c r="S7" s="85" t="s">
        <v>533</v>
      </c>
      <c r="T7" s="85" t="s">
        <v>563</v>
      </c>
      <c r="U7" s="85" t="s">
        <v>564</v>
      </c>
      <c r="V7" s="85">
        <v>0.02</v>
      </c>
      <c r="W7" s="85" t="s">
        <v>568</v>
      </c>
    </row>
    <row r="8" spans="1:23" x14ac:dyDescent="0.25">
      <c r="A8" s="22" t="b">
        <v>0</v>
      </c>
      <c r="B8" s="2">
        <f t="shared" si="0"/>
        <v>7</v>
      </c>
      <c r="C8" s="2" t="e">
        <f t="shared" si="1"/>
        <v>#N/A</v>
      </c>
      <c r="D8" s="2" t="e">
        <f>_xlfn.XLOOKUP($E8,Tab_Def_Processes[Process_Name],Tab_Def_Processes[Process_ID],,0,)</f>
        <v>#N/A</v>
      </c>
      <c r="E8" s="18" t="s">
        <v>5</v>
      </c>
      <c r="F8" s="2" t="e">
        <f>_xlfn.XLOOKUP($E8,Tab_Def_Processes[Process_Name],Tab_Def_Processes[Process_Logic],,0,)</f>
        <v>#N/A</v>
      </c>
      <c r="G8" s="2" t="e">
        <f>_xlfn.XLOOKUP($E8,Tab_Def_Processes[Process_Name],Tab_Def_Processes[TC_Configuration],,0,)</f>
        <v>#N/A</v>
      </c>
      <c r="H8" s="14" t="e">
        <f>_xlfn.XLOOKUP($E8,Tab_Def_Processes[Process_Name],Tab_Def_Processes[Stock_Configuration],,0,)</f>
        <v>#N/A</v>
      </c>
      <c r="I8" s="14" t="e">
        <f>_xlfn.XLOOKUP($E8,Tab_Def_Processes[Process_Name],Tab_Def_Processes[Outflow_count],,0,)</f>
        <v>#N/A</v>
      </c>
      <c r="J8" s="14" t="e">
        <f>Tab_Initial_Stock[[#This Row],[Stock_ID]]&amp;"_"&amp;Tab_Initial_Stock[[#This Row],[IS_Parameter_type]]</f>
        <v>#N/A</v>
      </c>
      <c r="K8" s="43"/>
      <c r="L8" s="42"/>
      <c r="M8" s="76"/>
      <c r="N8" s="9"/>
      <c r="O8" s="9"/>
      <c r="P8" s="9"/>
      <c r="S8" s="85" t="s">
        <v>534</v>
      </c>
      <c r="T8" s="85" t="s">
        <v>563</v>
      </c>
      <c r="U8" s="85" t="s">
        <v>564</v>
      </c>
      <c r="V8" s="85">
        <v>0</v>
      </c>
      <c r="W8" s="85"/>
    </row>
    <row r="9" spans="1:23" x14ac:dyDescent="0.25">
      <c r="A9" s="22" t="b">
        <v>0</v>
      </c>
      <c r="B9" s="2">
        <f t="shared" si="0"/>
        <v>8</v>
      </c>
      <c r="C9" s="2" t="e">
        <f t="shared" si="1"/>
        <v>#N/A</v>
      </c>
      <c r="D9" s="2" t="e">
        <f>_xlfn.XLOOKUP($E9,Tab_Def_Processes[Process_Name],Tab_Def_Processes[Process_ID],,0,)</f>
        <v>#N/A</v>
      </c>
      <c r="E9" s="18" t="s">
        <v>5</v>
      </c>
      <c r="F9" s="2" t="e">
        <f>_xlfn.XLOOKUP($E9,Tab_Def_Processes[Process_Name],Tab_Def_Processes[Process_Logic],,0,)</f>
        <v>#N/A</v>
      </c>
      <c r="G9" s="2" t="e">
        <f>_xlfn.XLOOKUP($E9,Tab_Def_Processes[Process_Name],Tab_Def_Processes[TC_Configuration],,0,)</f>
        <v>#N/A</v>
      </c>
      <c r="H9" s="14" t="e">
        <f>_xlfn.XLOOKUP($E9,Tab_Def_Processes[Process_Name],Tab_Def_Processes[Stock_Configuration],,0,)</f>
        <v>#N/A</v>
      </c>
      <c r="I9" s="14" t="e">
        <f>_xlfn.XLOOKUP($E9,Tab_Def_Processes[Process_Name],Tab_Def_Processes[Outflow_count],,0,)</f>
        <v>#N/A</v>
      </c>
      <c r="J9" s="14" t="e">
        <f>Tab_Initial_Stock[[#This Row],[Stock_ID]]&amp;"_"&amp;Tab_Initial_Stock[[#This Row],[IS_Parameter_type]]</f>
        <v>#N/A</v>
      </c>
      <c r="K9" s="43"/>
      <c r="L9" s="42"/>
      <c r="M9" s="76"/>
      <c r="N9" s="9"/>
      <c r="O9" s="9"/>
      <c r="P9" s="9"/>
      <c r="S9" s="85" t="s">
        <v>569</v>
      </c>
      <c r="T9" s="85"/>
      <c r="U9" s="85"/>
      <c r="V9" s="85"/>
      <c r="W9" s="85"/>
    </row>
    <row r="10" spans="1:23" x14ac:dyDescent="0.25">
      <c r="A10" s="22" t="b">
        <v>0</v>
      </c>
      <c r="B10" s="2">
        <f t="shared" si="0"/>
        <v>9</v>
      </c>
      <c r="C10" s="2" t="e">
        <f t="shared" si="1"/>
        <v>#N/A</v>
      </c>
      <c r="D10" s="2" t="e">
        <f>_xlfn.XLOOKUP($E10,Tab_Def_Processes[Process_Name],Tab_Def_Processes[Process_ID],,0,)</f>
        <v>#N/A</v>
      </c>
      <c r="E10" s="18" t="s">
        <v>5</v>
      </c>
      <c r="F10" s="2" t="e">
        <f>_xlfn.XLOOKUP($E10,Tab_Def_Processes[Process_Name],Tab_Def_Processes[Process_Logic],,0,)</f>
        <v>#N/A</v>
      </c>
      <c r="G10" s="2" t="e">
        <f>_xlfn.XLOOKUP($E10,Tab_Def_Processes[Process_Name],Tab_Def_Processes[TC_Configuration],,0,)</f>
        <v>#N/A</v>
      </c>
      <c r="H10" s="14" t="e">
        <f>_xlfn.XLOOKUP($E10,Tab_Def_Processes[Process_Name],Tab_Def_Processes[Stock_Configuration],,0,)</f>
        <v>#N/A</v>
      </c>
      <c r="I10" s="14" t="e">
        <f>_xlfn.XLOOKUP($E10,Tab_Def_Processes[Process_Name],Tab_Def_Processes[Outflow_count],,0,)</f>
        <v>#N/A</v>
      </c>
      <c r="J10" s="14" t="e">
        <f>Tab_Initial_Stock[[#This Row],[Stock_ID]]&amp;"_"&amp;Tab_Initial_Stock[[#This Row],[IS_Parameter_type]]</f>
        <v>#N/A</v>
      </c>
      <c r="K10" s="43"/>
      <c r="L10" s="42"/>
      <c r="M10" s="76"/>
      <c r="N10" s="9"/>
      <c r="O10" s="9"/>
      <c r="P10" s="9"/>
      <c r="S10" s="85" t="s">
        <v>535</v>
      </c>
      <c r="T10" s="85" t="s">
        <v>563</v>
      </c>
      <c r="U10" s="85" t="s">
        <v>570</v>
      </c>
      <c r="V10" s="85">
        <v>0.1</v>
      </c>
      <c r="W10" s="85" t="s">
        <v>571</v>
      </c>
    </row>
    <row r="11" spans="1:23" x14ac:dyDescent="0.25">
      <c r="A11" s="22" t="b">
        <v>0</v>
      </c>
      <c r="B11" s="2">
        <f t="shared" si="0"/>
        <v>10</v>
      </c>
      <c r="C11" s="2" t="e">
        <f t="shared" si="1"/>
        <v>#N/A</v>
      </c>
      <c r="D11" s="2" t="e">
        <f>_xlfn.XLOOKUP($E11,Tab_Def_Processes[Process_Name],Tab_Def_Processes[Process_ID],,0,)</f>
        <v>#N/A</v>
      </c>
      <c r="E11" s="18" t="s">
        <v>5</v>
      </c>
      <c r="F11" s="2" t="e">
        <f>_xlfn.XLOOKUP($E11,Tab_Def_Processes[Process_Name],Tab_Def_Processes[Process_Logic],,0,)</f>
        <v>#N/A</v>
      </c>
      <c r="G11" s="2" t="e">
        <f>_xlfn.XLOOKUP($E11,Tab_Def_Processes[Process_Name],Tab_Def_Processes[TC_Configuration],,0,)</f>
        <v>#N/A</v>
      </c>
      <c r="H11" s="14" t="e">
        <f>_xlfn.XLOOKUP($E11,Tab_Def_Processes[Process_Name],Tab_Def_Processes[Stock_Configuration],,0,)</f>
        <v>#N/A</v>
      </c>
      <c r="I11" s="14" t="e">
        <f>_xlfn.XLOOKUP($E11,Tab_Def_Processes[Process_Name],Tab_Def_Processes[Outflow_count],,0,)</f>
        <v>#N/A</v>
      </c>
      <c r="J11" s="14" t="e">
        <f>Tab_Initial_Stock[[#This Row],[Stock_ID]]&amp;"_"&amp;Tab_Initial_Stock[[#This Row],[IS_Parameter_type]]</f>
        <v>#N/A</v>
      </c>
      <c r="K11" s="43"/>
      <c r="L11" s="42"/>
      <c r="M11" s="76"/>
      <c r="N11" s="9"/>
      <c r="O11" s="9"/>
      <c r="P11" s="9"/>
      <c r="S11" s="85" t="s">
        <v>536</v>
      </c>
      <c r="T11" s="85" t="s">
        <v>572</v>
      </c>
      <c r="U11" s="85" t="s">
        <v>570</v>
      </c>
      <c r="V11" s="85" t="s">
        <v>555</v>
      </c>
      <c r="W11" s="85" t="s">
        <v>573</v>
      </c>
    </row>
    <row r="12" spans="1:23" x14ac:dyDescent="0.25">
      <c r="A12" s="22" t="b">
        <v>0</v>
      </c>
      <c r="B12" s="2">
        <f t="shared" si="0"/>
        <v>11</v>
      </c>
      <c r="C12" s="2" t="e">
        <f t="shared" si="1"/>
        <v>#N/A</v>
      </c>
      <c r="D12" s="2" t="e">
        <f>_xlfn.XLOOKUP($E12,Tab_Def_Processes[Process_Name],Tab_Def_Processes[Process_ID],,0,)</f>
        <v>#N/A</v>
      </c>
      <c r="E12" s="18" t="s">
        <v>5</v>
      </c>
      <c r="F12" s="2" t="e">
        <f>_xlfn.XLOOKUP($E12,Tab_Def_Processes[Process_Name],Tab_Def_Processes[Process_Logic],,0,)</f>
        <v>#N/A</v>
      </c>
      <c r="G12" s="2" t="e">
        <f>_xlfn.XLOOKUP($E12,Tab_Def_Processes[Process_Name],Tab_Def_Processes[TC_Configuration],,0,)</f>
        <v>#N/A</v>
      </c>
      <c r="H12" s="14" t="e">
        <f>_xlfn.XLOOKUP($E12,Tab_Def_Processes[Process_Name],Tab_Def_Processes[Stock_Configuration],,0,)</f>
        <v>#N/A</v>
      </c>
      <c r="I12" s="14" t="e">
        <f>_xlfn.XLOOKUP($E12,Tab_Def_Processes[Process_Name],Tab_Def_Processes[Outflow_count],,0,)</f>
        <v>#N/A</v>
      </c>
      <c r="J12" s="14" t="e">
        <f>Tab_Initial_Stock[[#This Row],[Stock_ID]]&amp;"_"&amp;Tab_Initial_Stock[[#This Row],[IS_Parameter_type]]</f>
        <v>#N/A</v>
      </c>
      <c r="K12" s="43"/>
      <c r="L12" s="42"/>
      <c r="M12" s="76"/>
      <c r="N12" s="9"/>
      <c r="O12" s="9"/>
      <c r="P12" s="9"/>
      <c r="S12" s="85" t="s">
        <v>537</v>
      </c>
      <c r="T12" s="85" t="s">
        <v>563</v>
      </c>
      <c r="U12" s="85" t="s">
        <v>570</v>
      </c>
      <c r="V12" s="85">
        <v>0.7</v>
      </c>
      <c r="W12" s="85" t="s">
        <v>574</v>
      </c>
    </row>
    <row r="13" spans="1:23" x14ac:dyDescent="0.25">
      <c r="A13" s="22" t="b">
        <v>0</v>
      </c>
      <c r="B13" s="2">
        <f t="shared" si="0"/>
        <v>12</v>
      </c>
      <c r="C13" s="2" t="e">
        <f t="shared" si="1"/>
        <v>#N/A</v>
      </c>
      <c r="D13" s="2" t="e">
        <f>_xlfn.XLOOKUP($E13,Tab_Def_Processes[Process_Name],Tab_Def_Processes[Process_ID],,0,)</f>
        <v>#N/A</v>
      </c>
      <c r="E13" s="18" t="s">
        <v>5</v>
      </c>
      <c r="F13" s="2" t="e">
        <f>_xlfn.XLOOKUP($E13,Tab_Def_Processes[Process_Name],Tab_Def_Processes[Process_Logic],,0,)</f>
        <v>#N/A</v>
      </c>
      <c r="G13" s="2" t="e">
        <f>_xlfn.XLOOKUP($E13,Tab_Def_Processes[Process_Name],Tab_Def_Processes[TC_Configuration],,0,)</f>
        <v>#N/A</v>
      </c>
      <c r="H13" s="14" t="e">
        <f>_xlfn.XLOOKUP($E13,Tab_Def_Processes[Process_Name],Tab_Def_Processes[Stock_Configuration],,0,)</f>
        <v>#N/A</v>
      </c>
      <c r="I13" s="14" t="e">
        <f>_xlfn.XLOOKUP($E13,Tab_Def_Processes[Process_Name],Tab_Def_Processes[Outflow_count],,0,)</f>
        <v>#N/A</v>
      </c>
      <c r="J13" s="14" t="e">
        <f>Tab_Initial_Stock[[#This Row],[Stock_ID]]&amp;"_"&amp;Tab_Initial_Stock[[#This Row],[IS_Parameter_type]]</f>
        <v>#N/A</v>
      </c>
      <c r="K13" s="43"/>
      <c r="L13" s="42"/>
      <c r="M13" s="76"/>
      <c r="N13" s="9"/>
      <c r="O13" s="9"/>
      <c r="P13" s="9"/>
      <c r="S13" s="85" t="s">
        <v>538</v>
      </c>
      <c r="T13" s="85" t="s">
        <v>572</v>
      </c>
      <c r="U13" s="85" t="s">
        <v>564</v>
      </c>
      <c r="V13" s="85" t="s">
        <v>556</v>
      </c>
      <c r="W13" s="85" t="s">
        <v>575</v>
      </c>
    </row>
    <row r="14" spans="1:23" x14ac:dyDescent="0.25">
      <c r="A14" s="22" t="b">
        <v>0</v>
      </c>
      <c r="B14" s="2">
        <f t="shared" si="0"/>
        <v>13</v>
      </c>
      <c r="C14" s="2" t="e">
        <f t="shared" si="1"/>
        <v>#N/A</v>
      </c>
      <c r="D14" s="2" t="e">
        <f>_xlfn.XLOOKUP($E14,Tab_Def_Processes[Process_Name],Tab_Def_Processes[Process_ID],,0,)</f>
        <v>#N/A</v>
      </c>
      <c r="E14" s="18" t="s">
        <v>5</v>
      </c>
      <c r="F14" s="2" t="e">
        <f>_xlfn.XLOOKUP($E14,Tab_Def_Processes[Process_Name],Tab_Def_Processes[Process_Logic],,0,)</f>
        <v>#N/A</v>
      </c>
      <c r="G14" s="2" t="e">
        <f>_xlfn.XLOOKUP($E14,Tab_Def_Processes[Process_Name],Tab_Def_Processes[TC_Configuration],,0,)</f>
        <v>#N/A</v>
      </c>
      <c r="H14" s="14" t="e">
        <f>_xlfn.XLOOKUP($E14,Tab_Def_Processes[Process_Name],Tab_Def_Processes[Stock_Configuration],,0,)</f>
        <v>#N/A</v>
      </c>
      <c r="I14" s="14" t="e">
        <f>_xlfn.XLOOKUP($E14,Tab_Def_Processes[Process_Name],Tab_Def_Processes[Outflow_count],,0,)</f>
        <v>#N/A</v>
      </c>
      <c r="J14" s="14" t="e">
        <f>Tab_Initial_Stock[[#This Row],[Stock_ID]]&amp;"_"&amp;Tab_Initial_Stock[[#This Row],[IS_Parameter_type]]</f>
        <v>#N/A</v>
      </c>
      <c r="K14" s="43"/>
      <c r="L14" s="42"/>
      <c r="M14" s="76"/>
      <c r="N14" s="9"/>
      <c r="O14" s="9"/>
      <c r="P14" s="9"/>
      <c r="S14" s="85" t="s">
        <v>540</v>
      </c>
      <c r="T14" s="85" t="s">
        <v>563</v>
      </c>
      <c r="U14" s="85" t="s">
        <v>564</v>
      </c>
      <c r="V14" s="85">
        <v>0.3</v>
      </c>
      <c r="W14" s="85" t="s">
        <v>576</v>
      </c>
    </row>
    <row r="15" spans="1:23" x14ac:dyDescent="0.25">
      <c r="A15" s="22" t="b">
        <v>0</v>
      </c>
      <c r="B15" s="2">
        <f t="shared" si="0"/>
        <v>14</v>
      </c>
      <c r="C15" s="2" t="e">
        <f t="shared" si="1"/>
        <v>#N/A</v>
      </c>
      <c r="D15" s="2" t="e">
        <f>_xlfn.XLOOKUP($E15,Tab_Def_Processes[Process_Name],Tab_Def_Processes[Process_ID],,0,)</f>
        <v>#N/A</v>
      </c>
      <c r="E15" s="18" t="s">
        <v>5</v>
      </c>
      <c r="F15" s="2" t="e">
        <f>_xlfn.XLOOKUP($E15,Tab_Def_Processes[Process_Name],Tab_Def_Processes[Process_Logic],,0,)</f>
        <v>#N/A</v>
      </c>
      <c r="G15" s="2" t="e">
        <f>_xlfn.XLOOKUP($E15,Tab_Def_Processes[Process_Name],Tab_Def_Processes[TC_Configuration],,0,)</f>
        <v>#N/A</v>
      </c>
      <c r="H15" s="14" t="e">
        <f>_xlfn.XLOOKUP($E15,Tab_Def_Processes[Process_Name],Tab_Def_Processes[Stock_Configuration],,0,)</f>
        <v>#N/A</v>
      </c>
      <c r="I15" s="14" t="e">
        <f>_xlfn.XLOOKUP($E15,Tab_Def_Processes[Process_Name],Tab_Def_Processes[Outflow_count],,0,)</f>
        <v>#N/A</v>
      </c>
      <c r="J15" s="14" t="e">
        <f>Tab_Initial_Stock[[#This Row],[Stock_ID]]&amp;"_"&amp;Tab_Initial_Stock[[#This Row],[IS_Parameter_type]]</f>
        <v>#N/A</v>
      </c>
      <c r="K15" s="43"/>
      <c r="L15" s="42"/>
      <c r="M15" s="76"/>
      <c r="N15" s="9"/>
      <c r="O15" s="9"/>
      <c r="P15" s="9"/>
      <c r="S15" s="85" t="s">
        <v>541</v>
      </c>
      <c r="T15" s="85" t="s">
        <v>572</v>
      </c>
      <c r="U15" s="85" t="s">
        <v>564</v>
      </c>
      <c r="V15" s="85"/>
      <c r="W15" s="85"/>
    </row>
    <row r="16" spans="1:23" x14ac:dyDescent="0.25">
      <c r="A16" s="22" t="b">
        <v>0</v>
      </c>
      <c r="B16" s="2">
        <f t="shared" si="0"/>
        <v>15</v>
      </c>
      <c r="C16" s="2" t="e">
        <f t="shared" si="1"/>
        <v>#N/A</v>
      </c>
      <c r="D16" s="2" t="e">
        <f>_xlfn.XLOOKUP($E16,Tab_Def_Processes[Process_Name],Tab_Def_Processes[Process_ID],,0,)</f>
        <v>#N/A</v>
      </c>
      <c r="E16" s="18" t="s">
        <v>5</v>
      </c>
      <c r="F16" s="2" t="e">
        <f>_xlfn.XLOOKUP($E16,Tab_Def_Processes[Process_Name],Tab_Def_Processes[Process_Logic],,0,)</f>
        <v>#N/A</v>
      </c>
      <c r="G16" s="2" t="e">
        <f>_xlfn.XLOOKUP($E16,Tab_Def_Processes[Process_Name],Tab_Def_Processes[TC_Configuration],,0,)</f>
        <v>#N/A</v>
      </c>
      <c r="H16" s="14" t="e">
        <f>_xlfn.XLOOKUP($E16,Tab_Def_Processes[Process_Name],Tab_Def_Processes[Stock_Configuration],,0,)</f>
        <v>#N/A</v>
      </c>
      <c r="I16" s="14" t="e">
        <f>_xlfn.XLOOKUP($E16,Tab_Def_Processes[Process_Name],Tab_Def_Processes[Outflow_count],,0,)</f>
        <v>#N/A</v>
      </c>
      <c r="J16" s="14" t="e">
        <f>Tab_Initial_Stock[[#This Row],[Stock_ID]]&amp;"_"&amp;Tab_Initial_Stock[[#This Row],[IS_Parameter_type]]</f>
        <v>#N/A</v>
      </c>
      <c r="K16" s="43"/>
      <c r="L16" s="42"/>
      <c r="M16" s="76"/>
      <c r="N16" s="9"/>
      <c r="O16" s="9"/>
      <c r="P16" s="9"/>
      <c r="S16" s="85" t="s">
        <v>539</v>
      </c>
      <c r="T16" s="85" t="s">
        <v>563</v>
      </c>
      <c r="U16" s="85" t="s">
        <v>564</v>
      </c>
      <c r="V16" s="85"/>
      <c r="W16" s="85"/>
    </row>
    <row r="17" spans="1:23" x14ac:dyDescent="0.25">
      <c r="A17" s="22" t="b">
        <v>0</v>
      </c>
      <c r="B17" s="2">
        <f t="shared" si="0"/>
        <v>16</v>
      </c>
      <c r="C17" s="2" t="e">
        <f t="shared" si="1"/>
        <v>#N/A</v>
      </c>
      <c r="D17" s="2" t="e">
        <f>_xlfn.XLOOKUP($E17,Tab_Def_Processes[Process_Name],Tab_Def_Processes[Process_ID],,0,)</f>
        <v>#N/A</v>
      </c>
      <c r="E17" s="18" t="s">
        <v>5</v>
      </c>
      <c r="F17" s="2" t="e">
        <f>_xlfn.XLOOKUP($E17,Tab_Def_Processes[Process_Name],Tab_Def_Processes[Process_Logic],,0,)</f>
        <v>#N/A</v>
      </c>
      <c r="G17" s="2" t="e">
        <f>_xlfn.XLOOKUP($E17,Tab_Def_Processes[Process_Name],Tab_Def_Processes[TC_Configuration],,0,)</f>
        <v>#N/A</v>
      </c>
      <c r="H17" s="14" t="e">
        <f>_xlfn.XLOOKUP($E17,Tab_Def_Processes[Process_Name],Tab_Def_Processes[Stock_Configuration],,0,)</f>
        <v>#N/A</v>
      </c>
      <c r="I17" s="14" t="e">
        <f>_xlfn.XLOOKUP($E17,Tab_Def_Processes[Process_Name],Tab_Def_Processes[Outflow_count],,0,)</f>
        <v>#N/A</v>
      </c>
      <c r="J17" s="14" t="e">
        <f>Tab_Initial_Stock[[#This Row],[Stock_ID]]&amp;"_"&amp;Tab_Initial_Stock[[#This Row],[IS_Parameter_type]]</f>
        <v>#N/A</v>
      </c>
      <c r="K17" s="43"/>
      <c r="L17" s="42"/>
      <c r="M17" s="76"/>
      <c r="N17" s="9"/>
      <c r="O17" s="9"/>
      <c r="P17" s="9"/>
      <c r="S17" s="85" t="s">
        <v>542</v>
      </c>
      <c r="T17" s="85" t="s">
        <v>572</v>
      </c>
      <c r="U17" s="85" t="s">
        <v>564</v>
      </c>
      <c r="V17" s="85"/>
      <c r="W17" s="85"/>
    </row>
    <row r="18" spans="1:23" x14ac:dyDescent="0.25">
      <c r="A18" s="22" t="b">
        <v>0</v>
      </c>
      <c r="B18" s="2">
        <f t="shared" si="0"/>
        <v>17</v>
      </c>
      <c r="C18" s="2" t="e">
        <f t="shared" si="1"/>
        <v>#N/A</v>
      </c>
      <c r="D18" s="2" t="e">
        <f>_xlfn.XLOOKUP($E18,Tab_Def_Processes[Process_Name],Tab_Def_Processes[Process_ID],,0,)</f>
        <v>#N/A</v>
      </c>
      <c r="E18" s="18" t="s">
        <v>5</v>
      </c>
      <c r="F18" s="2" t="e">
        <f>_xlfn.XLOOKUP($E18,Tab_Def_Processes[Process_Name],Tab_Def_Processes[Process_Logic],,0,)</f>
        <v>#N/A</v>
      </c>
      <c r="G18" s="2" t="e">
        <f>_xlfn.XLOOKUP($E18,Tab_Def_Processes[Process_Name],Tab_Def_Processes[TC_Configuration],,0,)</f>
        <v>#N/A</v>
      </c>
      <c r="H18" s="14" t="e">
        <f>_xlfn.XLOOKUP($E18,Tab_Def_Processes[Process_Name],Tab_Def_Processes[Stock_Configuration],,0,)</f>
        <v>#N/A</v>
      </c>
      <c r="I18" s="14" t="e">
        <f>_xlfn.XLOOKUP($E18,Tab_Def_Processes[Process_Name],Tab_Def_Processes[Outflow_count],,0,)</f>
        <v>#N/A</v>
      </c>
      <c r="J18" s="14" t="e">
        <f>Tab_Initial_Stock[[#This Row],[Stock_ID]]&amp;"_"&amp;Tab_Initial_Stock[[#This Row],[IS_Parameter_type]]</f>
        <v>#N/A</v>
      </c>
      <c r="K18" s="43"/>
      <c r="L18" s="42"/>
      <c r="M18" s="76"/>
      <c r="N18" s="9"/>
      <c r="O18" s="9"/>
      <c r="P18" s="9"/>
      <c r="S18" s="85" t="s">
        <v>543</v>
      </c>
      <c r="T18" s="85" t="s">
        <v>563</v>
      </c>
      <c r="U18" s="85" t="s">
        <v>564</v>
      </c>
      <c r="V18" s="85"/>
      <c r="W18" s="85"/>
    </row>
    <row r="19" spans="1:23" x14ac:dyDescent="0.25">
      <c r="A19" s="22" t="b">
        <v>0</v>
      </c>
      <c r="B19" s="2">
        <f t="shared" si="0"/>
        <v>18</v>
      </c>
      <c r="C19" s="2" t="e">
        <f t="shared" si="1"/>
        <v>#N/A</v>
      </c>
      <c r="D19" s="2" t="e">
        <f>_xlfn.XLOOKUP($E19,Tab_Def_Processes[Process_Name],Tab_Def_Processes[Process_ID],,0,)</f>
        <v>#N/A</v>
      </c>
      <c r="E19" s="18" t="s">
        <v>5</v>
      </c>
      <c r="F19" s="2" t="e">
        <f>_xlfn.XLOOKUP($E19,Tab_Def_Processes[Process_Name],Tab_Def_Processes[Process_Logic],,0,)</f>
        <v>#N/A</v>
      </c>
      <c r="G19" s="2" t="e">
        <f>_xlfn.XLOOKUP($E19,Tab_Def_Processes[Process_Name],Tab_Def_Processes[TC_Configuration],,0,)</f>
        <v>#N/A</v>
      </c>
      <c r="H19" s="14" t="e">
        <f>_xlfn.XLOOKUP($E19,Tab_Def_Processes[Process_Name],Tab_Def_Processes[Stock_Configuration],,0,)</f>
        <v>#N/A</v>
      </c>
      <c r="I19" s="14" t="e">
        <f>_xlfn.XLOOKUP($E19,Tab_Def_Processes[Process_Name],Tab_Def_Processes[Outflow_count],,0,)</f>
        <v>#N/A</v>
      </c>
      <c r="J19" s="14" t="e">
        <f>Tab_Initial_Stock[[#This Row],[Stock_ID]]&amp;"_"&amp;Tab_Initial_Stock[[#This Row],[IS_Parameter_type]]</f>
        <v>#N/A</v>
      </c>
      <c r="K19" s="43"/>
      <c r="L19" s="42"/>
      <c r="M19" s="76"/>
      <c r="N19" s="9"/>
      <c r="O19" s="9"/>
      <c r="P19" s="9"/>
      <c r="S19" s="85" t="s">
        <v>577</v>
      </c>
      <c r="T19" s="85"/>
      <c r="U19" s="85"/>
      <c r="V19" s="85"/>
      <c r="W19" s="85"/>
    </row>
    <row r="20" spans="1:23" x14ac:dyDescent="0.25">
      <c r="A20" s="22" t="b">
        <v>0</v>
      </c>
      <c r="B20" s="2">
        <f t="shared" si="0"/>
        <v>19</v>
      </c>
      <c r="C20" s="2" t="e">
        <f t="shared" si="1"/>
        <v>#N/A</v>
      </c>
      <c r="D20" s="2" t="e">
        <f>_xlfn.XLOOKUP($E20,Tab_Def_Processes[Process_Name],Tab_Def_Processes[Process_ID],,0,)</f>
        <v>#N/A</v>
      </c>
      <c r="E20" s="18" t="s">
        <v>5</v>
      </c>
      <c r="F20" s="2" t="e">
        <f>_xlfn.XLOOKUP($E20,Tab_Def_Processes[Process_Name],Tab_Def_Processes[Process_Logic],,0,)</f>
        <v>#N/A</v>
      </c>
      <c r="G20" s="2" t="e">
        <f>_xlfn.XLOOKUP($E20,Tab_Def_Processes[Process_Name],Tab_Def_Processes[TC_Configuration],,0,)</f>
        <v>#N/A</v>
      </c>
      <c r="H20" s="14" t="e">
        <f>_xlfn.XLOOKUP($E20,Tab_Def_Processes[Process_Name],Tab_Def_Processes[Stock_Configuration],,0,)</f>
        <v>#N/A</v>
      </c>
      <c r="I20" s="14" t="e">
        <f>_xlfn.XLOOKUP($E20,Tab_Def_Processes[Process_Name],Tab_Def_Processes[Outflow_count],,0,)</f>
        <v>#N/A</v>
      </c>
      <c r="J20" s="14" t="e">
        <f>Tab_Initial_Stock[[#This Row],[Stock_ID]]&amp;"_"&amp;Tab_Initial_Stock[[#This Row],[IS_Parameter_type]]</f>
        <v>#N/A</v>
      </c>
      <c r="K20" s="43"/>
      <c r="L20" s="42"/>
      <c r="M20" s="76"/>
      <c r="N20" s="9"/>
      <c r="O20" s="9"/>
      <c r="P20" s="9"/>
      <c r="S20" s="85" t="s">
        <v>544</v>
      </c>
      <c r="T20" s="85" t="s">
        <v>578</v>
      </c>
      <c r="U20" s="85" t="s">
        <v>579</v>
      </c>
      <c r="V20" s="85" t="s">
        <v>236</v>
      </c>
      <c r="W20" s="85" t="s">
        <v>580</v>
      </c>
    </row>
    <row r="21" spans="1:23" x14ac:dyDescent="0.25">
      <c r="A21" s="22" t="b">
        <v>0</v>
      </c>
      <c r="B21" s="2">
        <f t="shared" si="0"/>
        <v>20</v>
      </c>
      <c r="C21" s="2" t="e">
        <f t="shared" si="1"/>
        <v>#N/A</v>
      </c>
      <c r="D21" s="2" t="e">
        <f>_xlfn.XLOOKUP($E21,Tab_Def_Processes[Process_Name],Tab_Def_Processes[Process_ID],,0,)</f>
        <v>#N/A</v>
      </c>
      <c r="E21" s="18" t="s">
        <v>5</v>
      </c>
      <c r="F21" s="2" t="e">
        <f>_xlfn.XLOOKUP($E21,Tab_Def_Processes[Process_Name],Tab_Def_Processes[Process_Logic],,0,)</f>
        <v>#N/A</v>
      </c>
      <c r="G21" s="2" t="e">
        <f>_xlfn.XLOOKUP($E21,Tab_Def_Processes[Process_Name],Tab_Def_Processes[TC_Configuration],,0,)</f>
        <v>#N/A</v>
      </c>
      <c r="H21" s="14" t="e">
        <f>_xlfn.XLOOKUP($E21,Tab_Def_Processes[Process_Name],Tab_Def_Processes[Stock_Configuration],,0,)</f>
        <v>#N/A</v>
      </c>
      <c r="I21" s="14" t="e">
        <f>_xlfn.XLOOKUP($E21,Tab_Def_Processes[Process_Name],Tab_Def_Processes[Outflow_count],,0,)</f>
        <v>#N/A</v>
      </c>
      <c r="J21" s="14" t="e">
        <f>Tab_Initial_Stock[[#This Row],[Stock_ID]]&amp;"_"&amp;Tab_Initial_Stock[[#This Row],[IS_Parameter_type]]</f>
        <v>#N/A</v>
      </c>
      <c r="K21" s="43"/>
      <c r="L21" s="42"/>
      <c r="M21" s="76"/>
      <c r="N21" s="9"/>
      <c r="O21" s="9"/>
      <c r="P21" s="9"/>
      <c r="S21" s="85" t="s">
        <v>545</v>
      </c>
      <c r="T21" s="85" t="s">
        <v>581</v>
      </c>
      <c r="U21" s="85" t="s">
        <v>579</v>
      </c>
      <c r="V21" s="85">
        <v>50</v>
      </c>
      <c r="W21" s="85" t="s">
        <v>582</v>
      </c>
    </row>
    <row r="22" spans="1:23" x14ac:dyDescent="0.25">
      <c r="A22" s="22" t="b">
        <v>0</v>
      </c>
      <c r="B22" s="2">
        <f t="shared" si="0"/>
        <v>21</v>
      </c>
      <c r="C22" s="2" t="e">
        <f t="shared" si="1"/>
        <v>#N/A</v>
      </c>
      <c r="D22" s="2" t="e">
        <f>_xlfn.XLOOKUP($E22,Tab_Def_Processes[Process_Name],Tab_Def_Processes[Process_ID],,0,)</f>
        <v>#N/A</v>
      </c>
      <c r="E22" s="18" t="s">
        <v>5</v>
      </c>
      <c r="F22" s="2" t="e">
        <f>_xlfn.XLOOKUP($E22,Tab_Def_Processes[Process_Name],Tab_Def_Processes[Process_Logic],,0,)</f>
        <v>#N/A</v>
      </c>
      <c r="G22" s="2" t="e">
        <f>_xlfn.XLOOKUP($E22,Tab_Def_Processes[Process_Name],Tab_Def_Processes[TC_Configuration],,0,)</f>
        <v>#N/A</v>
      </c>
      <c r="H22" s="14" t="e">
        <f>_xlfn.XLOOKUP($E22,Tab_Def_Processes[Process_Name],Tab_Def_Processes[Stock_Configuration],,0,)</f>
        <v>#N/A</v>
      </c>
      <c r="I22" s="14" t="e">
        <f>_xlfn.XLOOKUP($E22,Tab_Def_Processes[Process_Name],Tab_Def_Processes[Outflow_count],,0,)</f>
        <v>#N/A</v>
      </c>
      <c r="J22" s="14" t="e">
        <f>Tab_Initial_Stock[[#This Row],[Stock_ID]]&amp;"_"&amp;Tab_Initial_Stock[[#This Row],[IS_Parameter_type]]</f>
        <v>#N/A</v>
      </c>
      <c r="K22" s="43"/>
      <c r="L22" s="42"/>
      <c r="M22" s="76"/>
      <c r="N22" s="9"/>
      <c r="O22" s="9"/>
      <c r="P22" s="9"/>
      <c r="S22" s="86" t="s">
        <v>546</v>
      </c>
      <c r="T22" s="86" t="s">
        <v>581</v>
      </c>
      <c r="U22" s="86" t="s">
        <v>564</v>
      </c>
      <c r="V22" s="86">
        <v>15</v>
      </c>
      <c r="W22" s="86" t="s">
        <v>583</v>
      </c>
    </row>
    <row r="23" spans="1:23" x14ac:dyDescent="0.25">
      <c r="A23" s="22" t="b">
        <v>0</v>
      </c>
      <c r="B23" s="2">
        <f t="shared" si="0"/>
        <v>22</v>
      </c>
      <c r="C23" s="2" t="e">
        <f t="shared" si="1"/>
        <v>#N/A</v>
      </c>
      <c r="D23" s="2" t="e">
        <f>_xlfn.XLOOKUP($E23,Tab_Def_Processes[Process_Name],Tab_Def_Processes[Process_ID],,0,)</f>
        <v>#N/A</v>
      </c>
      <c r="E23" s="18" t="s">
        <v>5</v>
      </c>
      <c r="F23" s="2" t="e">
        <f>_xlfn.XLOOKUP($E23,Tab_Def_Processes[Process_Name],Tab_Def_Processes[Process_Logic],,0,)</f>
        <v>#N/A</v>
      </c>
      <c r="G23" s="2" t="e">
        <f>_xlfn.XLOOKUP($E23,Tab_Def_Processes[Process_Name],Tab_Def_Processes[TC_Configuration],,0,)</f>
        <v>#N/A</v>
      </c>
      <c r="H23" s="14" t="e">
        <f>_xlfn.XLOOKUP($E23,Tab_Def_Processes[Process_Name],Tab_Def_Processes[Stock_Configuration],,0,)</f>
        <v>#N/A</v>
      </c>
      <c r="I23" s="14" t="e">
        <f>_xlfn.XLOOKUP($E23,Tab_Def_Processes[Process_Name],Tab_Def_Processes[Outflow_count],,0,)</f>
        <v>#N/A</v>
      </c>
      <c r="J23" s="14" t="e">
        <f>Tab_Initial_Stock[[#This Row],[Stock_ID]]&amp;"_"&amp;Tab_Initial_Stock[[#This Row],[IS_Parameter_type]]</f>
        <v>#N/A</v>
      </c>
      <c r="K23" s="43"/>
      <c r="L23" s="42"/>
      <c r="M23" s="76"/>
      <c r="N23" s="9"/>
      <c r="O23" s="9"/>
      <c r="P23" s="9"/>
    </row>
    <row r="24" spans="1:23" x14ac:dyDescent="0.25">
      <c r="A24" s="22" t="b">
        <v>0</v>
      </c>
      <c r="B24" s="2">
        <f t="shared" si="0"/>
        <v>23</v>
      </c>
      <c r="C24" s="2" t="e">
        <f t="shared" si="1"/>
        <v>#N/A</v>
      </c>
      <c r="D24" s="2" t="e">
        <f>_xlfn.XLOOKUP($E24,Tab_Def_Processes[Process_Name],Tab_Def_Processes[Process_ID],,0,)</f>
        <v>#N/A</v>
      </c>
      <c r="E24" s="18" t="s">
        <v>5</v>
      </c>
      <c r="F24" s="2" t="e">
        <f>_xlfn.XLOOKUP($E24,Tab_Def_Processes[Process_Name],Tab_Def_Processes[Process_Logic],,0,)</f>
        <v>#N/A</v>
      </c>
      <c r="G24" s="2" t="e">
        <f>_xlfn.XLOOKUP($E24,Tab_Def_Processes[Process_Name],Tab_Def_Processes[TC_Configuration],,0,)</f>
        <v>#N/A</v>
      </c>
      <c r="H24" s="14" t="e">
        <f>_xlfn.XLOOKUP($E24,Tab_Def_Processes[Process_Name],Tab_Def_Processes[Stock_Configuration],,0,)</f>
        <v>#N/A</v>
      </c>
      <c r="I24" s="14" t="e">
        <f>_xlfn.XLOOKUP($E24,Tab_Def_Processes[Process_Name],Tab_Def_Processes[Outflow_count],,0,)</f>
        <v>#N/A</v>
      </c>
      <c r="J24" s="14" t="e">
        <f>Tab_Initial_Stock[[#This Row],[Stock_ID]]&amp;"_"&amp;Tab_Initial_Stock[[#This Row],[IS_Parameter_type]]</f>
        <v>#N/A</v>
      </c>
      <c r="K24" s="43"/>
      <c r="L24" s="42"/>
      <c r="M24" s="76"/>
      <c r="N24" s="9"/>
      <c r="O24" s="9"/>
      <c r="P24" s="9"/>
    </row>
    <row r="25" spans="1:23" x14ac:dyDescent="0.25">
      <c r="A25" s="22" t="b">
        <v>0</v>
      </c>
      <c r="B25" s="2">
        <f t="shared" si="0"/>
        <v>24</v>
      </c>
      <c r="C25" s="2" t="e">
        <f t="shared" si="1"/>
        <v>#N/A</v>
      </c>
      <c r="D25" s="2" t="e">
        <f>_xlfn.XLOOKUP($E25,Tab_Def_Processes[Process_Name],Tab_Def_Processes[Process_ID],,0,)</f>
        <v>#N/A</v>
      </c>
      <c r="E25" s="18" t="s">
        <v>5</v>
      </c>
      <c r="F25" s="2" t="e">
        <f>_xlfn.XLOOKUP($E25,Tab_Def_Processes[Process_Name],Tab_Def_Processes[Process_Logic],,0,)</f>
        <v>#N/A</v>
      </c>
      <c r="G25" s="2" t="e">
        <f>_xlfn.XLOOKUP($E25,Tab_Def_Processes[Process_Name],Tab_Def_Processes[TC_Configuration],,0,)</f>
        <v>#N/A</v>
      </c>
      <c r="H25" s="14" t="e">
        <f>_xlfn.XLOOKUP($E25,Tab_Def_Processes[Process_Name],Tab_Def_Processes[Stock_Configuration],,0,)</f>
        <v>#N/A</v>
      </c>
      <c r="I25" s="14" t="e">
        <f>_xlfn.XLOOKUP($E25,Tab_Def_Processes[Process_Name],Tab_Def_Processes[Outflow_count],,0,)</f>
        <v>#N/A</v>
      </c>
      <c r="J25" s="14" t="e">
        <f>Tab_Initial_Stock[[#This Row],[Stock_ID]]&amp;"_"&amp;Tab_Initial_Stock[[#This Row],[IS_Parameter_type]]</f>
        <v>#N/A</v>
      </c>
      <c r="K25" s="43"/>
      <c r="L25" s="42"/>
      <c r="M25" s="76"/>
      <c r="N25" s="9"/>
      <c r="O25" s="9"/>
      <c r="P25" s="9"/>
    </row>
    <row r="26" spans="1:23" x14ac:dyDescent="0.25">
      <c r="A26" s="22" t="b">
        <v>0</v>
      </c>
      <c r="B26" s="2">
        <f t="shared" si="0"/>
        <v>25</v>
      </c>
      <c r="C26" s="2" t="e">
        <f t="shared" si="1"/>
        <v>#N/A</v>
      </c>
      <c r="D26" s="2" t="e">
        <f>_xlfn.XLOOKUP($E26,Tab_Def_Processes[Process_Name],Tab_Def_Processes[Process_ID],,0,)</f>
        <v>#N/A</v>
      </c>
      <c r="E26" s="18" t="s">
        <v>5</v>
      </c>
      <c r="F26" s="2" t="e">
        <f>_xlfn.XLOOKUP($E26,Tab_Def_Processes[Process_Name],Tab_Def_Processes[Process_Logic],,0,)</f>
        <v>#N/A</v>
      </c>
      <c r="G26" s="2" t="e">
        <f>_xlfn.XLOOKUP($E26,Tab_Def_Processes[Process_Name],Tab_Def_Processes[TC_Configuration],,0,)</f>
        <v>#N/A</v>
      </c>
      <c r="H26" s="14" t="e">
        <f>_xlfn.XLOOKUP($E26,Tab_Def_Processes[Process_Name],Tab_Def_Processes[Stock_Configuration],,0,)</f>
        <v>#N/A</v>
      </c>
      <c r="I26" s="14" t="e">
        <f>_xlfn.XLOOKUP($E26,Tab_Def_Processes[Process_Name],Tab_Def_Processes[Outflow_count],,0,)</f>
        <v>#N/A</v>
      </c>
      <c r="J26" s="14" t="e">
        <f>Tab_Initial_Stock[[#This Row],[Stock_ID]]&amp;"_"&amp;Tab_Initial_Stock[[#This Row],[IS_Parameter_type]]</f>
        <v>#N/A</v>
      </c>
      <c r="K26" s="43"/>
      <c r="L26" s="42"/>
      <c r="M26" s="76"/>
      <c r="N26" s="9"/>
      <c r="O26" s="9"/>
      <c r="P26" s="9"/>
    </row>
    <row r="27" spans="1:23" x14ac:dyDescent="0.25">
      <c r="A27" s="22" t="b">
        <v>0</v>
      </c>
      <c r="B27" s="2">
        <f t="shared" si="0"/>
        <v>26</v>
      </c>
      <c r="C27" s="2" t="e">
        <f t="shared" si="1"/>
        <v>#N/A</v>
      </c>
      <c r="D27" s="2" t="e">
        <f>_xlfn.XLOOKUP($E27,Tab_Def_Processes[Process_Name],Tab_Def_Processes[Process_ID],,0,)</f>
        <v>#N/A</v>
      </c>
      <c r="E27" s="18" t="s">
        <v>5</v>
      </c>
      <c r="F27" s="2" t="e">
        <f>_xlfn.XLOOKUP($E27,Tab_Def_Processes[Process_Name],Tab_Def_Processes[Process_Logic],,0,)</f>
        <v>#N/A</v>
      </c>
      <c r="G27" s="2" t="e">
        <f>_xlfn.XLOOKUP($E27,Tab_Def_Processes[Process_Name],Tab_Def_Processes[TC_Configuration],,0,)</f>
        <v>#N/A</v>
      </c>
      <c r="H27" s="14" t="e">
        <f>_xlfn.XLOOKUP($E27,Tab_Def_Processes[Process_Name],Tab_Def_Processes[Stock_Configuration],,0,)</f>
        <v>#N/A</v>
      </c>
      <c r="I27" s="14" t="e">
        <f>_xlfn.XLOOKUP($E27,Tab_Def_Processes[Process_Name],Tab_Def_Processes[Outflow_count],,0,)</f>
        <v>#N/A</v>
      </c>
      <c r="J27" s="14" t="e">
        <f>Tab_Initial_Stock[[#This Row],[Stock_ID]]&amp;"_"&amp;Tab_Initial_Stock[[#This Row],[IS_Parameter_type]]</f>
        <v>#N/A</v>
      </c>
      <c r="K27" s="43"/>
      <c r="L27" s="42"/>
      <c r="M27" s="76"/>
      <c r="N27" s="9"/>
      <c r="O27" s="9"/>
      <c r="P27" s="9"/>
    </row>
    <row r="28" spans="1:23" x14ac:dyDescent="0.25">
      <c r="A28" s="22" t="b">
        <v>0</v>
      </c>
      <c r="B28" s="2">
        <f t="shared" si="0"/>
        <v>27</v>
      </c>
      <c r="C28" s="2" t="e">
        <f t="shared" si="1"/>
        <v>#N/A</v>
      </c>
      <c r="D28" s="2" t="e">
        <f>_xlfn.XLOOKUP($E28,Tab_Def_Processes[Process_Name],Tab_Def_Processes[Process_ID],,0,)</f>
        <v>#N/A</v>
      </c>
      <c r="E28" s="18" t="s">
        <v>5</v>
      </c>
      <c r="F28" s="2" t="e">
        <f>_xlfn.XLOOKUP($E28,Tab_Def_Processes[Process_Name],Tab_Def_Processes[Process_Logic],,0,)</f>
        <v>#N/A</v>
      </c>
      <c r="G28" s="2" t="e">
        <f>_xlfn.XLOOKUP($E28,Tab_Def_Processes[Process_Name],Tab_Def_Processes[TC_Configuration],,0,)</f>
        <v>#N/A</v>
      </c>
      <c r="H28" s="14" t="e">
        <f>_xlfn.XLOOKUP($E28,Tab_Def_Processes[Process_Name],Tab_Def_Processes[Stock_Configuration],,0,)</f>
        <v>#N/A</v>
      </c>
      <c r="I28" s="14" t="e">
        <f>_xlfn.XLOOKUP($E28,Tab_Def_Processes[Process_Name],Tab_Def_Processes[Outflow_count],,0,)</f>
        <v>#N/A</v>
      </c>
      <c r="J28" s="14" t="e">
        <f>Tab_Initial_Stock[[#This Row],[Stock_ID]]&amp;"_"&amp;Tab_Initial_Stock[[#This Row],[IS_Parameter_type]]</f>
        <v>#N/A</v>
      </c>
      <c r="K28" s="43"/>
      <c r="L28" s="42"/>
      <c r="M28" s="76"/>
      <c r="N28" s="9"/>
      <c r="O28" s="9"/>
      <c r="P28" s="9"/>
    </row>
    <row r="29" spans="1:23" x14ac:dyDescent="0.25">
      <c r="A29" s="22" t="b">
        <v>0</v>
      </c>
      <c r="B29" s="2">
        <f t="shared" si="0"/>
        <v>28</v>
      </c>
      <c r="C29" s="2" t="e">
        <f t="shared" si="1"/>
        <v>#N/A</v>
      </c>
      <c r="D29" s="2" t="e">
        <f>_xlfn.XLOOKUP($E29,Tab_Def_Processes[Process_Name],Tab_Def_Processes[Process_ID],,0,)</f>
        <v>#N/A</v>
      </c>
      <c r="E29" s="18" t="s">
        <v>5</v>
      </c>
      <c r="F29" s="2" t="e">
        <f>_xlfn.XLOOKUP($E29,Tab_Def_Processes[Process_Name],Tab_Def_Processes[Process_Logic],,0,)</f>
        <v>#N/A</v>
      </c>
      <c r="G29" s="2" t="e">
        <f>_xlfn.XLOOKUP($E29,Tab_Def_Processes[Process_Name],Tab_Def_Processes[TC_Configuration],,0,)</f>
        <v>#N/A</v>
      </c>
      <c r="H29" s="14" t="e">
        <f>_xlfn.XLOOKUP($E29,Tab_Def_Processes[Process_Name],Tab_Def_Processes[Stock_Configuration],,0,)</f>
        <v>#N/A</v>
      </c>
      <c r="I29" s="14" t="e">
        <f>_xlfn.XLOOKUP($E29,Tab_Def_Processes[Process_Name],Tab_Def_Processes[Outflow_count],,0,)</f>
        <v>#N/A</v>
      </c>
      <c r="J29" s="14" t="e">
        <f>Tab_Initial_Stock[[#This Row],[Stock_ID]]&amp;"_"&amp;Tab_Initial_Stock[[#This Row],[IS_Parameter_type]]</f>
        <v>#N/A</v>
      </c>
      <c r="K29" s="43"/>
      <c r="L29" s="42"/>
      <c r="M29" s="76"/>
      <c r="N29" s="9"/>
      <c r="O29" s="9"/>
      <c r="P29" s="9"/>
    </row>
    <row r="30" spans="1:23" x14ac:dyDescent="0.25">
      <c r="A30" s="22" t="b">
        <v>0</v>
      </c>
      <c r="B30" s="2">
        <f t="shared" si="0"/>
        <v>29</v>
      </c>
      <c r="C30" s="2" t="e">
        <f t="shared" si="1"/>
        <v>#N/A</v>
      </c>
      <c r="D30" s="2" t="e">
        <f>_xlfn.XLOOKUP($E30,Tab_Def_Processes[Process_Name],Tab_Def_Processes[Process_ID],,0,)</f>
        <v>#N/A</v>
      </c>
      <c r="E30" s="18" t="s">
        <v>5</v>
      </c>
      <c r="F30" s="2" t="e">
        <f>_xlfn.XLOOKUP($E30,Tab_Def_Processes[Process_Name],Tab_Def_Processes[Process_Logic],,0,)</f>
        <v>#N/A</v>
      </c>
      <c r="G30" s="2" t="e">
        <f>_xlfn.XLOOKUP($E30,Tab_Def_Processes[Process_Name],Tab_Def_Processes[TC_Configuration],,0,)</f>
        <v>#N/A</v>
      </c>
      <c r="H30" s="14" t="e">
        <f>_xlfn.XLOOKUP($E30,Tab_Def_Processes[Process_Name],Tab_Def_Processes[Stock_Configuration],,0,)</f>
        <v>#N/A</v>
      </c>
      <c r="I30" s="14" t="e">
        <f>_xlfn.XLOOKUP($E30,Tab_Def_Processes[Process_Name],Tab_Def_Processes[Outflow_count],,0,)</f>
        <v>#N/A</v>
      </c>
      <c r="J30" s="14" t="e">
        <f>Tab_Initial_Stock[[#This Row],[Stock_ID]]&amp;"_"&amp;Tab_Initial_Stock[[#This Row],[IS_Parameter_type]]</f>
        <v>#N/A</v>
      </c>
      <c r="K30" s="43"/>
      <c r="L30" s="42"/>
      <c r="M30" s="76"/>
      <c r="N30" s="9"/>
      <c r="O30" s="9"/>
      <c r="P30" s="9"/>
    </row>
    <row r="31" spans="1:23" x14ac:dyDescent="0.25">
      <c r="A31" s="22" t="b">
        <v>0</v>
      </c>
      <c r="B31" s="2">
        <f t="shared" si="0"/>
        <v>30</v>
      </c>
      <c r="C31" s="2" t="e">
        <f t="shared" si="1"/>
        <v>#N/A</v>
      </c>
      <c r="D31" s="2" t="e">
        <f>_xlfn.XLOOKUP($E31,Tab_Def_Processes[Process_Name],Tab_Def_Processes[Process_ID],,0,)</f>
        <v>#N/A</v>
      </c>
      <c r="E31" s="18" t="s">
        <v>5</v>
      </c>
      <c r="F31" s="2" t="e">
        <f>_xlfn.XLOOKUP($E31,Tab_Def_Processes[Process_Name],Tab_Def_Processes[Process_Logic],,0,)</f>
        <v>#N/A</v>
      </c>
      <c r="G31" s="2" t="e">
        <f>_xlfn.XLOOKUP($E31,Tab_Def_Processes[Process_Name],Tab_Def_Processes[TC_Configuration],,0,)</f>
        <v>#N/A</v>
      </c>
      <c r="H31" s="14" t="e">
        <f>_xlfn.XLOOKUP($E31,Tab_Def_Processes[Process_Name],Tab_Def_Processes[Stock_Configuration],,0,)</f>
        <v>#N/A</v>
      </c>
      <c r="I31" s="14" t="e">
        <f>_xlfn.XLOOKUP($E31,Tab_Def_Processes[Process_Name],Tab_Def_Processes[Outflow_count],,0,)</f>
        <v>#N/A</v>
      </c>
      <c r="J31" s="14" t="e">
        <f>Tab_Initial_Stock[[#This Row],[Stock_ID]]&amp;"_"&amp;Tab_Initial_Stock[[#This Row],[IS_Parameter_type]]</f>
        <v>#N/A</v>
      </c>
      <c r="K31" s="43"/>
      <c r="L31" s="42"/>
      <c r="M31" s="76"/>
      <c r="N31" s="9"/>
      <c r="O31" s="9"/>
      <c r="P31" s="9"/>
    </row>
    <row r="32" spans="1:23" x14ac:dyDescent="0.25">
      <c r="A32" s="22" t="b">
        <v>0</v>
      </c>
      <c r="B32" s="2">
        <f t="shared" si="0"/>
        <v>31</v>
      </c>
      <c r="C32" s="2" t="e">
        <f t="shared" si="1"/>
        <v>#N/A</v>
      </c>
      <c r="D32" s="2" t="e">
        <f>_xlfn.XLOOKUP($E32,Tab_Def_Processes[Process_Name],Tab_Def_Processes[Process_ID],,0,)</f>
        <v>#N/A</v>
      </c>
      <c r="E32" s="18" t="s">
        <v>5</v>
      </c>
      <c r="F32" s="2" t="e">
        <f>_xlfn.XLOOKUP($E32,Tab_Def_Processes[Process_Name],Tab_Def_Processes[Process_Logic],,0,)</f>
        <v>#N/A</v>
      </c>
      <c r="G32" s="2" t="e">
        <f>_xlfn.XLOOKUP($E32,Tab_Def_Processes[Process_Name],Tab_Def_Processes[TC_Configuration],,0,)</f>
        <v>#N/A</v>
      </c>
      <c r="H32" s="14" t="e">
        <f>_xlfn.XLOOKUP($E32,Tab_Def_Processes[Process_Name],Tab_Def_Processes[Stock_Configuration],,0,)</f>
        <v>#N/A</v>
      </c>
      <c r="I32" s="14" t="e">
        <f>_xlfn.XLOOKUP($E32,Tab_Def_Processes[Process_Name],Tab_Def_Processes[Outflow_count],,0,)</f>
        <v>#N/A</v>
      </c>
      <c r="J32" s="14" t="e">
        <f>Tab_Initial_Stock[[#This Row],[Stock_ID]]&amp;"_"&amp;Tab_Initial_Stock[[#This Row],[IS_Parameter_type]]</f>
        <v>#N/A</v>
      </c>
      <c r="K32" s="43"/>
      <c r="L32" s="42"/>
      <c r="M32" s="76"/>
      <c r="N32" s="9"/>
      <c r="O32" s="9"/>
      <c r="P32" s="9"/>
    </row>
    <row r="33" spans="1:16" x14ac:dyDescent="0.25">
      <c r="A33" s="22" t="b">
        <v>0</v>
      </c>
      <c r="B33" s="2">
        <f t="shared" si="0"/>
        <v>32</v>
      </c>
      <c r="C33" s="2" t="e">
        <f t="shared" si="1"/>
        <v>#N/A</v>
      </c>
      <c r="D33" s="2" t="e">
        <f>_xlfn.XLOOKUP($E33,Tab_Def_Processes[Process_Name],Tab_Def_Processes[Process_ID],,0,)</f>
        <v>#N/A</v>
      </c>
      <c r="E33" s="18" t="s">
        <v>5</v>
      </c>
      <c r="F33" s="2" t="e">
        <f>_xlfn.XLOOKUP($E33,Tab_Def_Processes[Process_Name],Tab_Def_Processes[Process_Logic],,0,)</f>
        <v>#N/A</v>
      </c>
      <c r="G33" s="2" t="e">
        <f>_xlfn.XLOOKUP($E33,Tab_Def_Processes[Process_Name],Tab_Def_Processes[TC_Configuration],,0,)</f>
        <v>#N/A</v>
      </c>
      <c r="H33" s="14" t="e">
        <f>_xlfn.XLOOKUP($E33,Tab_Def_Processes[Process_Name],Tab_Def_Processes[Stock_Configuration],,0,)</f>
        <v>#N/A</v>
      </c>
      <c r="I33" s="14" t="e">
        <f>_xlfn.XLOOKUP($E33,Tab_Def_Processes[Process_Name],Tab_Def_Processes[Outflow_count],,0,)</f>
        <v>#N/A</v>
      </c>
      <c r="J33" s="14" t="e">
        <f>Tab_Initial_Stock[[#This Row],[Stock_ID]]&amp;"_"&amp;Tab_Initial_Stock[[#This Row],[IS_Parameter_type]]</f>
        <v>#N/A</v>
      </c>
      <c r="K33" s="43"/>
      <c r="L33" s="42"/>
      <c r="M33" s="76"/>
      <c r="N33" s="9"/>
      <c r="O33" s="9"/>
      <c r="P33" s="9"/>
    </row>
    <row r="34" spans="1:16" x14ac:dyDescent="0.25">
      <c r="A34" s="22" t="b">
        <v>0</v>
      </c>
      <c r="B34" s="2">
        <f t="shared" ref="B34:B51" si="2">ROW()-1</f>
        <v>33</v>
      </c>
      <c r="C34" s="2" t="e">
        <f t="shared" si="1"/>
        <v>#N/A</v>
      </c>
      <c r="D34" s="2" t="e">
        <f>_xlfn.XLOOKUP($E34,Tab_Def_Processes[Process_Name],Tab_Def_Processes[Process_ID],,0,)</f>
        <v>#N/A</v>
      </c>
      <c r="E34" s="18" t="s">
        <v>5</v>
      </c>
      <c r="F34" s="2" t="e">
        <f>_xlfn.XLOOKUP($E34,Tab_Def_Processes[Process_Name],Tab_Def_Processes[Process_Logic],,0,)</f>
        <v>#N/A</v>
      </c>
      <c r="G34" s="2" t="e">
        <f>_xlfn.XLOOKUP($E34,Tab_Def_Processes[Process_Name],Tab_Def_Processes[TC_Configuration],,0,)</f>
        <v>#N/A</v>
      </c>
      <c r="H34" s="14" t="e">
        <f>_xlfn.XLOOKUP($E34,Tab_Def_Processes[Process_Name],Tab_Def_Processes[Stock_Configuration],,0,)</f>
        <v>#N/A</v>
      </c>
      <c r="I34" s="14" t="e">
        <f>_xlfn.XLOOKUP($E34,Tab_Def_Processes[Process_Name],Tab_Def_Processes[Outflow_count],,0,)</f>
        <v>#N/A</v>
      </c>
      <c r="J34" s="14" t="e">
        <f>Tab_Initial_Stock[[#This Row],[Stock_ID]]&amp;"_"&amp;Tab_Initial_Stock[[#This Row],[IS_Parameter_type]]</f>
        <v>#N/A</v>
      </c>
      <c r="K34" s="43"/>
      <c r="L34" s="42"/>
      <c r="M34" s="76"/>
      <c r="N34" s="9"/>
      <c r="O34" s="9"/>
      <c r="P34" s="9"/>
    </row>
    <row r="35" spans="1:16" x14ac:dyDescent="0.25">
      <c r="A35" s="22" t="b">
        <v>0</v>
      </c>
      <c r="B35" s="2">
        <f t="shared" si="2"/>
        <v>34</v>
      </c>
      <c r="C35" s="2" t="e">
        <f t="shared" si="1"/>
        <v>#N/A</v>
      </c>
      <c r="D35" s="2" t="e">
        <f>_xlfn.XLOOKUP($E35,Tab_Def_Processes[Process_Name],Tab_Def_Processes[Process_ID],,0,)</f>
        <v>#N/A</v>
      </c>
      <c r="E35" s="18" t="s">
        <v>5</v>
      </c>
      <c r="F35" s="2" t="e">
        <f>_xlfn.XLOOKUP($E35,Tab_Def_Processes[Process_Name],Tab_Def_Processes[Process_Logic],,0,)</f>
        <v>#N/A</v>
      </c>
      <c r="G35" s="2" t="e">
        <f>_xlfn.XLOOKUP($E35,Tab_Def_Processes[Process_Name],Tab_Def_Processes[TC_Configuration],,0,)</f>
        <v>#N/A</v>
      </c>
      <c r="H35" s="14" t="e">
        <f>_xlfn.XLOOKUP($E35,Tab_Def_Processes[Process_Name],Tab_Def_Processes[Stock_Configuration],,0,)</f>
        <v>#N/A</v>
      </c>
      <c r="I35" s="14" t="e">
        <f>_xlfn.XLOOKUP($E35,Tab_Def_Processes[Process_Name],Tab_Def_Processes[Outflow_count],,0,)</f>
        <v>#N/A</v>
      </c>
      <c r="J35" s="14" t="e">
        <f>Tab_Initial_Stock[[#This Row],[Stock_ID]]&amp;"_"&amp;Tab_Initial_Stock[[#This Row],[IS_Parameter_type]]</f>
        <v>#N/A</v>
      </c>
      <c r="K35" s="43"/>
      <c r="L35" s="42"/>
      <c r="M35" s="76"/>
      <c r="N35" s="9"/>
      <c r="O35" s="9"/>
      <c r="P35" s="9"/>
    </row>
    <row r="36" spans="1:16" x14ac:dyDescent="0.25">
      <c r="A36" s="22" t="b">
        <v>0</v>
      </c>
      <c r="B36" s="2">
        <f t="shared" si="2"/>
        <v>35</v>
      </c>
      <c r="C36" s="2" t="e">
        <f t="shared" si="1"/>
        <v>#N/A</v>
      </c>
      <c r="D36" s="2" t="e">
        <f>_xlfn.XLOOKUP($E36,Tab_Def_Processes[Process_Name],Tab_Def_Processes[Process_ID],,0,)</f>
        <v>#N/A</v>
      </c>
      <c r="E36" s="18" t="s">
        <v>5</v>
      </c>
      <c r="F36" s="2" t="e">
        <f>_xlfn.XLOOKUP($E36,Tab_Def_Processes[Process_Name],Tab_Def_Processes[Process_Logic],,0,)</f>
        <v>#N/A</v>
      </c>
      <c r="G36" s="2" t="e">
        <f>_xlfn.XLOOKUP($E36,Tab_Def_Processes[Process_Name],Tab_Def_Processes[TC_Configuration],,0,)</f>
        <v>#N/A</v>
      </c>
      <c r="H36" s="14" t="e">
        <f>_xlfn.XLOOKUP($E36,Tab_Def_Processes[Process_Name],Tab_Def_Processes[Stock_Configuration],,0,)</f>
        <v>#N/A</v>
      </c>
      <c r="I36" s="14" t="e">
        <f>_xlfn.XLOOKUP($E36,Tab_Def_Processes[Process_Name],Tab_Def_Processes[Outflow_count],,0,)</f>
        <v>#N/A</v>
      </c>
      <c r="J36" s="14" t="e">
        <f>Tab_Initial_Stock[[#This Row],[Stock_ID]]&amp;"_"&amp;Tab_Initial_Stock[[#This Row],[IS_Parameter_type]]</f>
        <v>#N/A</v>
      </c>
      <c r="K36" s="43"/>
      <c r="L36" s="42"/>
      <c r="M36" s="76"/>
      <c r="N36" s="9"/>
      <c r="O36" s="9"/>
      <c r="P36" s="9"/>
    </row>
    <row r="37" spans="1:16" x14ac:dyDescent="0.25">
      <c r="A37" s="22" t="b">
        <v>0</v>
      </c>
      <c r="B37" s="2">
        <f t="shared" si="2"/>
        <v>36</v>
      </c>
      <c r="C37" s="2" t="e">
        <f t="shared" si="1"/>
        <v>#N/A</v>
      </c>
      <c r="D37" s="2" t="e">
        <f>_xlfn.XLOOKUP($E37,Tab_Def_Processes[Process_Name],Tab_Def_Processes[Process_ID],,0,)</f>
        <v>#N/A</v>
      </c>
      <c r="E37" s="18" t="s">
        <v>5</v>
      </c>
      <c r="F37" s="2" t="e">
        <f>_xlfn.XLOOKUP($E37,Tab_Def_Processes[Process_Name],Tab_Def_Processes[Process_Logic],,0,)</f>
        <v>#N/A</v>
      </c>
      <c r="G37" s="2" t="e">
        <f>_xlfn.XLOOKUP($E37,Tab_Def_Processes[Process_Name],Tab_Def_Processes[TC_Configuration],,0,)</f>
        <v>#N/A</v>
      </c>
      <c r="H37" s="14" t="e">
        <f>_xlfn.XLOOKUP($E37,Tab_Def_Processes[Process_Name],Tab_Def_Processes[Stock_Configuration],,0,)</f>
        <v>#N/A</v>
      </c>
      <c r="I37" s="14" t="e">
        <f>_xlfn.XLOOKUP($E37,Tab_Def_Processes[Process_Name],Tab_Def_Processes[Outflow_count],,0,)</f>
        <v>#N/A</v>
      </c>
      <c r="J37" s="14" t="e">
        <f>Tab_Initial_Stock[[#This Row],[Stock_ID]]&amp;"_"&amp;Tab_Initial_Stock[[#This Row],[IS_Parameter_type]]</f>
        <v>#N/A</v>
      </c>
      <c r="K37" s="43"/>
      <c r="L37" s="42"/>
      <c r="M37" s="76"/>
      <c r="N37" s="9"/>
      <c r="O37" s="9"/>
      <c r="P37" s="9"/>
    </row>
    <row r="38" spans="1:16" x14ac:dyDescent="0.25">
      <c r="A38" s="22" t="b">
        <v>0</v>
      </c>
      <c r="B38" s="2">
        <f t="shared" si="2"/>
        <v>37</v>
      </c>
      <c r="C38" s="2" t="e">
        <f t="shared" si="1"/>
        <v>#N/A</v>
      </c>
      <c r="D38" s="2" t="e">
        <f>_xlfn.XLOOKUP($E38,Tab_Def_Processes[Process_Name],Tab_Def_Processes[Process_ID],,0,)</f>
        <v>#N/A</v>
      </c>
      <c r="E38" s="18" t="s">
        <v>5</v>
      </c>
      <c r="F38" s="2" t="e">
        <f>_xlfn.XLOOKUP($E38,Tab_Def_Processes[Process_Name],Tab_Def_Processes[Process_Logic],,0,)</f>
        <v>#N/A</v>
      </c>
      <c r="G38" s="2" t="e">
        <f>_xlfn.XLOOKUP($E38,Tab_Def_Processes[Process_Name],Tab_Def_Processes[TC_Configuration],,0,)</f>
        <v>#N/A</v>
      </c>
      <c r="H38" s="14" t="e">
        <f>_xlfn.XLOOKUP($E38,Tab_Def_Processes[Process_Name],Tab_Def_Processes[Stock_Configuration],,0,)</f>
        <v>#N/A</v>
      </c>
      <c r="I38" s="14" t="e">
        <f>_xlfn.XLOOKUP($E38,Tab_Def_Processes[Process_Name],Tab_Def_Processes[Outflow_count],,0,)</f>
        <v>#N/A</v>
      </c>
      <c r="J38" s="14" t="e">
        <f>Tab_Initial_Stock[[#This Row],[Stock_ID]]&amp;"_"&amp;Tab_Initial_Stock[[#This Row],[IS_Parameter_type]]</f>
        <v>#N/A</v>
      </c>
      <c r="K38" s="43"/>
      <c r="L38" s="42"/>
      <c r="M38" s="76"/>
      <c r="N38" s="9"/>
      <c r="O38" s="9"/>
      <c r="P38" s="9"/>
    </row>
    <row r="39" spans="1:16" x14ac:dyDescent="0.25">
      <c r="A39" s="22" t="b">
        <v>0</v>
      </c>
      <c r="B39" s="2">
        <f t="shared" si="2"/>
        <v>38</v>
      </c>
      <c r="C39" s="2" t="e">
        <f t="shared" si="1"/>
        <v>#N/A</v>
      </c>
      <c r="D39" s="2" t="e">
        <f>_xlfn.XLOOKUP($E39,Tab_Def_Processes[Process_Name],Tab_Def_Processes[Process_ID],,0,)</f>
        <v>#N/A</v>
      </c>
      <c r="E39" s="18" t="s">
        <v>5</v>
      </c>
      <c r="F39" s="2" t="e">
        <f>_xlfn.XLOOKUP($E39,Tab_Def_Processes[Process_Name],Tab_Def_Processes[Process_Logic],,0,)</f>
        <v>#N/A</v>
      </c>
      <c r="G39" s="2" t="e">
        <f>_xlfn.XLOOKUP($E39,Tab_Def_Processes[Process_Name],Tab_Def_Processes[TC_Configuration],,0,)</f>
        <v>#N/A</v>
      </c>
      <c r="H39" s="14" t="e">
        <f>_xlfn.XLOOKUP($E39,Tab_Def_Processes[Process_Name],Tab_Def_Processes[Stock_Configuration],,0,)</f>
        <v>#N/A</v>
      </c>
      <c r="I39" s="14" t="e">
        <f>_xlfn.XLOOKUP($E39,Tab_Def_Processes[Process_Name],Tab_Def_Processes[Outflow_count],,0,)</f>
        <v>#N/A</v>
      </c>
      <c r="J39" s="14" t="e">
        <f>Tab_Initial_Stock[[#This Row],[Stock_ID]]&amp;"_"&amp;Tab_Initial_Stock[[#This Row],[IS_Parameter_type]]</f>
        <v>#N/A</v>
      </c>
      <c r="K39" s="43"/>
      <c r="L39" s="42"/>
      <c r="M39" s="76"/>
      <c r="N39" s="9"/>
      <c r="O39" s="9"/>
      <c r="P39" s="9"/>
    </row>
    <row r="40" spans="1:16" x14ac:dyDescent="0.25">
      <c r="A40" s="22" t="b">
        <v>0</v>
      </c>
      <c r="B40" s="2">
        <f t="shared" si="2"/>
        <v>39</v>
      </c>
      <c r="C40" s="2" t="e">
        <f t="shared" si="1"/>
        <v>#N/A</v>
      </c>
      <c r="D40" s="2" t="e">
        <f>_xlfn.XLOOKUP($E40,Tab_Def_Processes[Process_Name],Tab_Def_Processes[Process_ID],,0,)</f>
        <v>#N/A</v>
      </c>
      <c r="E40" s="18" t="s">
        <v>5</v>
      </c>
      <c r="F40" s="2" t="e">
        <f>_xlfn.XLOOKUP($E40,Tab_Def_Processes[Process_Name],Tab_Def_Processes[Process_Logic],,0,)</f>
        <v>#N/A</v>
      </c>
      <c r="G40" s="2" t="e">
        <f>_xlfn.XLOOKUP($E40,Tab_Def_Processes[Process_Name],Tab_Def_Processes[TC_Configuration],,0,)</f>
        <v>#N/A</v>
      </c>
      <c r="H40" s="14" t="e">
        <f>_xlfn.XLOOKUP($E40,Tab_Def_Processes[Process_Name],Tab_Def_Processes[Stock_Configuration],,0,)</f>
        <v>#N/A</v>
      </c>
      <c r="I40" s="14" t="e">
        <f>_xlfn.XLOOKUP($E40,Tab_Def_Processes[Process_Name],Tab_Def_Processes[Outflow_count],,0,)</f>
        <v>#N/A</v>
      </c>
      <c r="J40" s="14" t="e">
        <f>Tab_Initial_Stock[[#This Row],[Stock_ID]]&amp;"_"&amp;Tab_Initial_Stock[[#This Row],[IS_Parameter_type]]</f>
        <v>#N/A</v>
      </c>
      <c r="K40" s="43"/>
      <c r="L40" s="42"/>
      <c r="M40" s="76"/>
      <c r="N40" s="9"/>
      <c r="O40" s="9"/>
      <c r="P40" s="9"/>
    </row>
    <row r="41" spans="1:16" x14ac:dyDescent="0.25">
      <c r="A41" s="22" t="b">
        <v>0</v>
      </c>
      <c r="B41" s="2">
        <f t="shared" si="2"/>
        <v>40</v>
      </c>
      <c r="C41" s="2" t="e">
        <f t="shared" si="1"/>
        <v>#N/A</v>
      </c>
      <c r="D41" s="2" t="e">
        <f>_xlfn.XLOOKUP($E41,Tab_Def_Processes[Process_Name],Tab_Def_Processes[Process_ID],,0,)</f>
        <v>#N/A</v>
      </c>
      <c r="E41" s="18" t="s">
        <v>5</v>
      </c>
      <c r="F41" s="2" t="e">
        <f>_xlfn.XLOOKUP($E41,Tab_Def_Processes[Process_Name],Tab_Def_Processes[Process_Logic],,0,)</f>
        <v>#N/A</v>
      </c>
      <c r="G41" s="2" t="e">
        <f>_xlfn.XLOOKUP($E41,Tab_Def_Processes[Process_Name],Tab_Def_Processes[TC_Configuration],,0,)</f>
        <v>#N/A</v>
      </c>
      <c r="H41" s="14" t="e">
        <f>_xlfn.XLOOKUP($E41,Tab_Def_Processes[Process_Name],Tab_Def_Processes[Stock_Configuration],,0,)</f>
        <v>#N/A</v>
      </c>
      <c r="I41" s="14" t="e">
        <f>_xlfn.XLOOKUP($E41,Tab_Def_Processes[Process_Name],Tab_Def_Processes[Outflow_count],,0,)</f>
        <v>#N/A</v>
      </c>
      <c r="J41" s="14" t="e">
        <f>Tab_Initial_Stock[[#This Row],[Stock_ID]]&amp;"_"&amp;Tab_Initial_Stock[[#This Row],[IS_Parameter_type]]</f>
        <v>#N/A</v>
      </c>
      <c r="K41" s="43"/>
      <c r="L41" s="42"/>
      <c r="M41" s="76"/>
      <c r="N41" s="9"/>
      <c r="O41" s="9"/>
      <c r="P41" s="9"/>
    </row>
    <row r="42" spans="1:16" x14ac:dyDescent="0.25">
      <c r="A42" s="22" t="b">
        <v>0</v>
      </c>
      <c r="B42" s="2">
        <f t="shared" si="2"/>
        <v>41</v>
      </c>
      <c r="C42" s="2" t="e">
        <f t="shared" si="1"/>
        <v>#N/A</v>
      </c>
      <c r="D42" s="2" t="e">
        <f>_xlfn.XLOOKUP($E42,Tab_Def_Processes[Process_Name],Tab_Def_Processes[Process_ID],,0,)</f>
        <v>#N/A</v>
      </c>
      <c r="E42" s="18" t="s">
        <v>5</v>
      </c>
      <c r="F42" s="2" t="e">
        <f>_xlfn.XLOOKUP($E42,Tab_Def_Processes[Process_Name],Tab_Def_Processes[Process_Logic],,0,)</f>
        <v>#N/A</v>
      </c>
      <c r="G42" s="2" t="e">
        <f>_xlfn.XLOOKUP($E42,Tab_Def_Processes[Process_Name],Tab_Def_Processes[TC_Configuration],,0,)</f>
        <v>#N/A</v>
      </c>
      <c r="H42" s="14" t="e">
        <f>_xlfn.XLOOKUP($E42,Tab_Def_Processes[Process_Name],Tab_Def_Processes[Stock_Configuration],,0,)</f>
        <v>#N/A</v>
      </c>
      <c r="I42" s="14" t="e">
        <f>_xlfn.XLOOKUP($E42,Tab_Def_Processes[Process_Name],Tab_Def_Processes[Outflow_count],,0,)</f>
        <v>#N/A</v>
      </c>
      <c r="J42" s="14" t="e">
        <f>Tab_Initial_Stock[[#This Row],[Stock_ID]]&amp;"_"&amp;Tab_Initial_Stock[[#This Row],[IS_Parameter_type]]</f>
        <v>#N/A</v>
      </c>
      <c r="K42" s="43"/>
      <c r="L42" s="42"/>
      <c r="M42" s="76"/>
      <c r="N42" s="9"/>
      <c r="O42" s="9"/>
      <c r="P42" s="9"/>
    </row>
    <row r="43" spans="1:16" x14ac:dyDescent="0.25">
      <c r="A43" s="22" t="b">
        <v>0</v>
      </c>
      <c r="B43" s="2">
        <f t="shared" si="2"/>
        <v>42</v>
      </c>
      <c r="C43" s="2" t="e">
        <f t="shared" si="1"/>
        <v>#N/A</v>
      </c>
      <c r="D43" s="2" t="e">
        <f>_xlfn.XLOOKUP($E43,Tab_Def_Processes[Process_Name],Tab_Def_Processes[Process_ID],,0,)</f>
        <v>#N/A</v>
      </c>
      <c r="E43" s="18" t="s">
        <v>5</v>
      </c>
      <c r="F43" s="2" t="e">
        <f>_xlfn.XLOOKUP($E43,Tab_Def_Processes[Process_Name],Tab_Def_Processes[Process_Logic],,0,)</f>
        <v>#N/A</v>
      </c>
      <c r="G43" s="2" t="e">
        <f>_xlfn.XLOOKUP($E43,Tab_Def_Processes[Process_Name],Tab_Def_Processes[TC_Configuration],,0,)</f>
        <v>#N/A</v>
      </c>
      <c r="H43" s="14" t="e">
        <f>_xlfn.XLOOKUP($E43,Tab_Def_Processes[Process_Name],Tab_Def_Processes[Stock_Configuration],,0,)</f>
        <v>#N/A</v>
      </c>
      <c r="I43" s="14" t="e">
        <f>_xlfn.XLOOKUP($E43,Tab_Def_Processes[Process_Name],Tab_Def_Processes[Outflow_count],,0,)</f>
        <v>#N/A</v>
      </c>
      <c r="J43" s="14" t="e">
        <f>Tab_Initial_Stock[[#This Row],[Stock_ID]]&amp;"_"&amp;Tab_Initial_Stock[[#This Row],[IS_Parameter_type]]</f>
        <v>#N/A</v>
      </c>
      <c r="K43" s="43"/>
      <c r="L43" s="42"/>
      <c r="M43" s="76"/>
      <c r="N43" s="9"/>
      <c r="O43" s="9"/>
      <c r="P43" s="9"/>
    </row>
    <row r="44" spans="1:16" x14ac:dyDescent="0.25">
      <c r="A44" s="22" t="b">
        <v>0</v>
      </c>
      <c r="B44" s="2">
        <f t="shared" si="2"/>
        <v>43</v>
      </c>
      <c r="C44" s="2" t="e">
        <f t="shared" si="1"/>
        <v>#N/A</v>
      </c>
      <c r="D44" s="2" t="e">
        <f>_xlfn.XLOOKUP($E44,Tab_Def_Processes[Process_Name],Tab_Def_Processes[Process_ID],,0,)</f>
        <v>#N/A</v>
      </c>
      <c r="E44" s="18" t="s">
        <v>5</v>
      </c>
      <c r="F44" s="2" t="e">
        <f>_xlfn.XLOOKUP($E44,Tab_Def_Processes[Process_Name],Tab_Def_Processes[Process_Logic],,0,)</f>
        <v>#N/A</v>
      </c>
      <c r="G44" s="2" t="e">
        <f>_xlfn.XLOOKUP($E44,Tab_Def_Processes[Process_Name],Tab_Def_Processes[TC_Configuration],,0,)</f>
        <v>#N/A</v>
      </c>
      <c r="H44" s="14" t="e">
        <f>_xlfn.XLOOKUP($E44,Tab_Def_Processes[Process_Name],Tab_Def_Processes[Stock_Configuration],,0,)</f>
        <v>#N/A</v>
      </c>
      <c r="I44" s="14" t="e">
        <f>_xlfn.XLOOKUP($E44,Tab_Def_Processes[Process_Name],Tab_Def_Processes[Outflow_count],,0,)</f>
        <v>#N/A</v>
      </c>
      <c r="J44" s="14" t="e">
        <f>Tab_Initial_Stock[[#This Row],[Stock_ID]]&amp;"_"&amp;Tab_Initial_Stock[[#This Row],[IS_Parameter_type]]</f>
        <v>#N/A</v>
      </c>
      <c r="K44" s="43"/>
      <c r="L44" s="42"/>
      <c r="M44" s="76"/>
      <c r="N44" s="9"/>
      <c r="O44" s="9"/>
      <c r="P44" s="9"/>
    </row>
    <row r="45" spans="1:16" x14ac:dyDescent="0.25">
      <c r="A45" s="22" t="b">
        <v>0</v>
      </c>
      <c r="B45" s="2">
        <f t="shared" si="2"/>
        <v>44</v>
      </c>
      <c r="C45" s="2" t="e">
        <f t="shared" si="1"/>
        <v>#N/A</v>
      </c>
      <c r="D45" s="2" t="e">
        <f>_xlfn.XLOOKUP($E45,Tab_Def_Processes[Process_Name],Tab_Def_Processes[Process_ID],,0,)</f>
        <v>#N/A</v>
      </c>
      <c r="E45" s="18" t="s">
        <v>5</v>
      </c>
      <c r="F45" s="2" t="e">
        <f>_xlfn.XLOOKUP($E45,Tab_Def_Processes[Process_Name],Tab_Def_Processes[Process_Logic],,0,)</f>
        <v>#N/A</v>
      </c>
      <c r="G45" s="2" t="e">
        <f>_xlfn.XLOOKUP($E45,Tab_Def_Processes[Process_Name],Tab_Def_Processes[TC_Configuration],,0,)</f>
        <v>#N/A</v>
      </c>
      <c r="H45" s="14" t="e">
        <f>_xlfn.XLOOKUP($E45,Tab_Def_Processes[Process_Name],Tab_Def_Processes[Stock_Configuration],,0,)</f>
        <v>#N/A</v>
      </c>
      <c r="I45" s="14" t="e">
        <f>_xlfn.XLOOKUP($E45,Tab_Def_Processes[Process_Name],Tab_Def_Processes[Outflow_count],,0,)</f>
        <v>#N/A</v>
      </c>
      <c r="J45" s="14" t="e">
        <f>Tab_Initial_Stock[[#This Row],[Stock_ID]]&amp;"_"&amp;Tab_Initial_Stock[[#This Row],[IS_Parameter_type]]</f>
        <v>#N/A</v>
      </c>
      <c r="K45" s="43"/>
      <c r="L45" s="42"/>
      <c r="M45" s="76"/>
      <c r="N45" s="9"/>
      <c r="O45" s="9"/>
      <c r="P45" s="9"/>
    </row>
    <row r="46" spans="1:16" x14ac:dyDescent="0.25">
      <c r="A46" s="22" t="b">
        <v>0</v>
      </c>
      <c r="B46" s="2">
        <f t="shared" si="2"/>
        <v>45</v>
      </c>
      <c r="C46" s="2" t="e">
        <f t="shared" si="1"/>
        <v>#N/A</v>
      </c>
      <c r="D46" s="2" t="e">
        <f>_xlfn.XLOOKUP($E46,Tab_Def_Processes[Process_Name],Tab_Def_Processes[Process_ID],,0,)</f>
        <v>#N/A</v>
      </c>
      <c r="E46" s="18" t="s">
        <v>5</v>
      </c>
      <c r="F46" s="2" t="e">
        <f>_xlfn.XLOOKUP($E46,Tab_Def_Processes[Process_Name],Tab_Def_Processes[Process_Logic],,0,)</f>
        <v>#N/A</v>
      </c>
      <c r="G46" s="2" t="e">
        <f>_xlfn.XLOOKUP($E46,Tab_Def_Processes[Process_Name],Tab_Def_Processes[TC_Configuration],,0,)</f>
        <v>#N/A</v>
      </c>
      <c r="H46" s="14" t="e">
        <f>_xlfn.XLOOKUP($E46,Tab_Def_Processes[Process_Name],Tab_Def_Processes[Stock_Configuration],,0,)</f>
        <v>#N/A</v>
      </c>
      <c r="I46" s="14" t="e">
        <f>_xlfn.XLOOKUP($E46,Tab_Def_Processes[Process_Name],Tab_Def_Processes[Outflow_count],,0,)</f>
        <v>#N/A</v>
      </c>
      <c r="J46" s="14" t="e">
        <f>Tab_Initial_Stock[[#This Row],[Stock_ID]]&amp;"_"&amp;Tab_Initial_Stock[[#This Row],[IS_Parameter_type]]</f>
        <v>#N/A</v>
      </c>
      <c r="K46" s="43"/>
      <c r="L46" s="42"/>
      <c r="M46" s="76"/>
      <c r="N46" s="9"/>
      <c r="O46" s="9"/>
      <c r="P46" s="9"/>
    </row>
    <row r="47" spans="1:16" x14ac:dyDescent="0.25">
      <c r="A47" s="22" t="b">
        <v>0</v>
      </c>
      <c r="B47" s="2">
        <f t="shared" si="2"/>
        <v>46</v>
      </c>
      <c r="C47" s="2" t="e">
        <f t="shared" si="1"/>
        <v>#N/A</v>
      </c>
      <c r="D47" s="2" t="e">
        <f>_xlfn.XLOOKUP($E47,Tab_Def_Processes[Process_Name],Tab_Def_Processes[Process_ID],,0,)</f>
        <v>#N/A</v>
      </c>
      <c r="E47" s="18" t="s">
        <v>5</v>
      </c>
      <c r="F47" s="2" t="e">
        <f>_xlfn.XLOOKUP($E47,Tab_Def_Processes[Process_Name],Tab_Def_Processes[Process_Logic],,0,)</f>
        <v>#N/A</v>
      </c>
      <c r="G47" s="2" t="e">
        <f>_xlfn.XLOOKUP($E47,Tab_Def_Processes[Process_Name],Tab_Def_Processes[TC_Configuration],,0,)</f>
        <v>#N/A</v>
      </c>
      <c r="H47" s="14" t="e">
        <f>_xlfn.XLOOKUP($E47,Tab_Def_Processes[Process_Name],Tab_Def_Processes[Stock_Configuration],,0,)</f>
        <v>#N/A</v>
      </c>
      <c r="I47" s="14" t="e">
        <f>_xlfn.XLOOKUP($E47,Tab_Def_Processes[Process_Name],Tab_Def_Processes[Outflow_count],,0,)</f>
        <v>#N/A</v>
      </c>
      <c r="J47" s="14" t="e">
        <f>Tab_Initial_Stock[[#This Row],[Stock_ID]]&amp;"_"&amp;Tab_Initial_Stock[[#This Row],[IS_Parameter_type]]</f>
        <v>#N/A</v>
      </c>
      <c r="K47" s="43"/>
      <c r="L47" s="42"/>
      <c r="M47" s="76"/>
      <c r="N47" s="9"/>
      <c r="O47" s="9"/>
      <c r="P47" s="9"/>
    </row>
    <row r="48" spans="1:16" x14ac:dyDescent="0.25">
      <c r="A48" s="22" t="b">
        <v>0</v>
      </c>
      <c r="B48" s="2">
        <f t="shared" si="2"/>
        <v>47</v>
      </c>
      <c r="C48" s="2" t="e">
        <f t="shared" si="1"/>
        <v>#N/A</v>
      </c>
      <c r="D48" s="2" t="e">
        <f>_xlfn.XLOOKUP($E48,Tab_Def_Processes[Process_Name],Tab_Def_Processes[Process_ID],,0,)</f>
        <v>#N/A</v>
      </c>
      <c r="E48" s="18" t="s">
        <v>5</v>
      </c>
      <c r="F48" s="2" t="e">
        <f>_xlfn.XLOOKUP($E48,Tab_Def_Processes[Process_Name],Tab_Def_Processes[Process_Logic],,0,)</f>
        <v>#N/A</v>
      </c>
      <c r="G48" s="2" t="e">
        <f>_xlfn.XLOOKUP($E48,Tab_Def_Processes[Process_Name],Tab_Def_Processes[TC_Configuration],,0,)</f>
        <v>#N/A</v>
      </c>
      <c r="H48" s="14" t="e">
        <f>_xlfn.XLOOKUP($E48,Tab_Def_Processes[Process_Name],Tab_Def_Processes[Stock_Configuration],,0,)</f>
        <v>#N/A</v>
      </c>
      <c r="I48" s="14" t="e">
        <f>_xlfn.XLOOKUP($E48,Tab_Def_Processes[Process_Name],Tab_Def_Processes[Outflow_count],,0,)</f>
        <v>#N/A</v>
      </c>
      <c r="J48" s="14" t="e">
        <f>Tab_Initial_Stock[[#This Row],[Stock_ID]]&amp;"_"&amp;Tab_Initial_Stock[[#This Row],[IS_Parameter_type]]</f>
        <v>#N/A</v>
      </c>
      <c r="K48" s="43"/>
      <c r="L48" s="42"/>
      <c r="M48" s="76"/>
      <c r="N48" s="9"/>
      <c r="O48" s="9"/>
      <c r="P48" s="9"/>
    </row>
    <row r="49" spans="1:16" x14ac:dyDescent="0.25">
      <c r="A49" s="22" t="b">
        <v>0</v>
      </c>
      <c r="B49" s="2">
        <f t="shared" si="2"/>
        <v>48</v>
      </c>
      <c r="C49" s="2" t="e">
        <f t="shared" si="1"/>
        <v>#N/A</v>
      </c>
      <c r="D49" s="2" t="e">
        <f>_xlfn.XLOOKUP($E49,Tab_Def_Processes[Process_Name],Tab_Def_Processes[Process_ID],,0,)</f>
        <v>#N/A</v>
      </c>
      <c r="E49" s="18" t="s">
        <v>5</v>
      </c>
      <c r="F49" s="2" t="e">
        <f>_xlfn.XLOOKUP($E49,Tab_Def_Processes[Process_Name],Tab_Def_Processes[Process_Logic],,0,)</f>
        <v>#N/A</v>
      </c>
      <c r="G49" s="2" t="e">
        <f>_xlfn.XLOOKUP($E49,Tab_Def_Processes[Process_Name],Tab_Def_Processes[TC_Configuration],,0,)</f>
        <v>#N/A</v>
      </c>
      <c r="H49" s="14" t="e">
        <f>_xlfn.XLOOKUP($E49,Tab_Def_Processes[Process_Name],Tab_Def_Processes[Stock_Configuration],,0,)</f>
        <v>#N/A</v>
      </c>
      <c r="I49" s="14" t="e">
        <f>_xlfn.XLOOKUP($E49,Tab_Def_Processes[Process_Name],Tab_Def_Processes[Outflow_count],,0,)</f>
        <v>#N/A</v>
      </c>
      <c r="J49" s="14" t="e">
        <f>Tab_Initial_Stock[[#This Row],[Stock_ID]]&amp;"_"&amp;Tab_Initial_Stock[[#This Row],[IS_Parameter_type]]</f>
        <v>#N/A</v>
      </c>
      <c r="K49" s="43"/>
      <c r="L49" s="42"/>
      <c r="M49" s="76"/>
      <c r="N49" s="9"/>
      <c r="O49" s="9"/>
      <c r="P49" s="9"/>
    </row>
    <row r="50" spans="1:16" x14ac:dyDescent="0.25">
      <c r="A50" s="22" t="b">
        <v>0</v>
      </c>
      <c r="B50" s="2">
        <f t="shared" si="2"/>
        <v>49</v>
      </c>
      <c r="C50" s="2" t="e">
        <f t="shared" si="1"/>
        <v>#N/A</v>
      </c>
      <c r="D50" s="2" t="e">
        <f>_xlfn.XLOOKUP($E50,Tab_Def_Processes[Process_Name],Tab_Def_Processes[Process_ID],,0,)</f>
        <v>#N/A</v>
      </c>
      <c r="E50" s="18" t="s">
        <v>5</v>
      </c>
      <c r="F50" s="2" t="e">
        <f>_xlfn.XLOOKUP($E50,Tab_Def_Processes[Process_Name],Tab_Def_Processes[Process_Logic],,0,)</f>
        <v>#N/A</v>
      </c>
      <c r="G50" s="2" t="e">
        <f>_xlfn.XLOOKUP($E50,Tab_Def_Processes[Process_Name],Tab_Def_Processes[TC_Configuration],,0,)</f>
        <v>#N/A</v>
      </c>
      <c r="H50" s="14" t="e">
        <f>_xlfn.XLOOKUP($E50,Tab_Def_Processes[Process_Name],Tab_Def_Processes[Stock_Configuration],,0,)</f>
        <v>#N/A</v>
      </c>
      <c r="I50" s="14" t="e">
        <f>_xlfn.XLOOKUP($E50,Tab_Def_Processes[Process_Name],Tab_Def_Processes[Outflow_count],,0,)</f>
        <v>#N/A</v>
      </c>
      <c r="J50" s="14" t="e">
        <f>Tab_Initial_Stock[[#This Row],[Stock_ID]]&amp;"_"&amp;Tab_Initial_Stock[[#This Row],[IS_Parameter_type]]</f>
        <v>#N/A</v>
      </c>
      <c r="K50" s="43"/>
      <c r="L50" s="42"/>
      <c r="M50" s="76"/>
      <c r="N50" s="9"/>
      <c r="O50" s="9"/>
      <c r="P50" s="9"/>
    </row>
    <row r="51" spans="1:16" x14ac:dyDescent="0.25">
      <c r="A51" s="22" t="b">
        <v>0</v>
      </c>
      <c r="B51" s="2">
        <f t="shared" si="2"/>
        <v>50</v>
      </c>
      <c r="C51" s="2" t="e">
        <f t="shared" si="1"/>
        <v>#N/A</v>
      </c>
      <c r="D51" s="2" t="e">
        <f>_xlfn.XLOOKUP($E51,Tab_Def_Processes[Process_Name],Tab_Def_Processes[Process_ID],,0,)</f>
        <v>#N/A</v>
      </c>
      <c r="E51" s="18" t="s">
        <v>5</v>
      </c>
      <c r="F51" s="2" t="e">
        <f>_xlfn.XLOOKUP($E51,Tab_Def_Processes[Process_Name],Tab_Def_Processes[Process_Logic],,0,)</f>
        <v>#N/A</v>
      </c>
      <c r="G51" s="2" t="e">
        <f>_xlfn.XLOOKUP($E51,Tab_Def_Processes[Process_Name],Tab_Def_Processes[TC_Configuration],,0,)</f>
        <v>#N/A</v>
      </c>
      <c r="H51" s="14" t="e">
        <f>_xlfn.XLOOKUP($E51,Tab_Def_Processes[Process_Name],Tab_Def_Processes[Stock_Configuration],,0,)</f>
        <v>#N/A</v>
      </c>
      <c r="I51" s="14" t="e">
        <f>_xlfn.XLOOKUP($E51,Tab_Def_Processes[Process_Name],Tab_Def_Processes[Outflow_count],,0,)</f>
        <v>#N/A</v>
      </c>
      <c r="J51" s="14" t="e">
        <f>Tab_Initial_Stock[[#This Row],[Stock_ID]]&amp;"_"&amp;Tab_Initial_Stock[[#This Row],[IS_Parameter_type]]</f>
        <v>#N/A</v>
      </c>
      <c r="K51" s="43"/>
      <c r="L51" s="42"/>
      <c r="M51" s="76"/>
      <c r="N51" s="9"/>
      <c r="O51" s="9"/>
      <c r="P51" s="9"/>
    </row>
  </sheetData>
  <sheetProtection selectLockedCells="1"/>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N2:P51</xm:sqref>
        </x14:dataValidation>
        <x14:dataValidation type="list" allowBlank="1" showInputMessage="1" showErrorMessage="1" xr:uid="{FD1286C3-5C7A-45FB-B3B6-FC7C2DEB6327}">
          <x14:formula1>
            <xm:f>'7_2_Codelists'!$B$64:$B$81</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W81"/>
  <sheetViews>
    <sheetView topLeftCell="B1" zoomScale="130" zoomScaleNormal="130" workbookViewId="0">
      <selection activeCell="K22" sqref="K22:K26"/>
    </sheetView>
  </sheetViews>
  <sheetFormatPr defaultRowHeight="15" outlineLevelCol="1" x14ac:dyDescent="0.25"/>
  <cols>
    <col min="1" max="1" width="11.7109375" customWidth="1"/>
    <col min="2" max="2" width="6.140625" customWidth="1"/>
    <col min="3" max="3" width="12.85546875" customWidth="1"/>
    <col min="4" max="4" width="41.140625" customWidth="1"/>
    <col min="5" max="5" width="13" hidden="1" customWidth="1" outlineLevel="1"/>
    <col min="6" max="6" width="15" hidden="1" customWidth="1" outlineLevel="1"/>
    <col min="7" max="8" width="17.42578125" hidden="1" customWidth="1" outlineLevel="1"/>
    <col min="9" max="9" width="36.7109375" hidden="1" customWidth="1" outlineLevel="1"/>
    <col min="10" max="10" width="20.7109375" customWidth="1" collapsed="1"/>
    <col min="11" max="11" width="33.28515625" customWidth="1"/>
    <col min="12" max="12" width="36.42578125" customWidth="1"/>
    <col min="13" max="14" width="13.140625" hidden="1" customWidth="1" outlineLevel="1"/>
    <col min="15" max="15" width="14.85546875" hidden="1" customWidth="1" outlineLevel="1"/>
    <col min="16" max="16" width="15.42578125" hidden="1" customWidth="1" outlineLevel="1"/>
    <col min="17" max="17" width="9.140625" collapsed="1"/>
    <col min="18" max="18" width="5.140625" customWidth="1"/>
    <col min="19" max="19" width="20.5703125" customWidth="1"/>
    <col min="20" max="20" width="10.140625" customWidth="1"/>
    <col min="21" max="21" width="28.5703125" customWidth="1"/>
    <col min="22" max="22" width="22.85546875" customWidth="1"/>
    <col min="23" max="23" width="33.140625" customWidth="1"/>
  </cols>
  <sheetData>
    <row r="1" spans="1:23" x14ac:dyDescent="0.25">
      <c r="A1" s="21" t="s">
        <v>13</v>
      </c>
      <c r="B1" s="21" t="s">
        <v>4</v>
      </c>
      <c r="C1" s="21" t="s">
        <v>12</v>
      </c>
      <c r="D1" s="21" t="s">
        <v>134</v>
      </c>
      <c r="E1" s="21" t="s">
        <v>121</v>
      </c>
      <c r="F1" s="21" t="s">
        <v>159</v>
      </c>
      <c r="G1" s="21" t="s">
        <v>160</v>
      </c>
      <c r="H1" s="21" t="s">
        <v>172</v>
      </c>
      <c r="I1" s="21" t="s">
        <v>191</v>
      </c>
      <c r="J1" s="21" t="s">
        <v>181</v>
      </c>
      <c r="K1" s="21" t="s">
        <v>146</v>
      </c>
      <c r="L1" s="21" t="s">
        <v>147</v>
      </c>
      <c r="M1" s="21" t="s">
        <v>7</v>
      </c>
      <c r="N1" s="21" t="s">
        <v>642</v>
      </c>
      <c r="O1" s="21" t="s">
        <v>643</v>
      </c>
      <c r="P1" s="21" t="s">
        <v>644</v>
      </c>
      <c r="R1" s="98" t="s">
        <v>618</v>
      </c>
      <c r="S1" s="99"/>
      <c r="T1" s="99"/>
      <c r="U1" s="99"/>
      <c r="V1" s="99"/>
      <c r="W1" s="100"/>
    </row>
    <row r="2" spans="1:23" x14ac:dyDescent="0.25">
      <c r="A2" s="22" t="b">
        <v>0</v>
      </c>
      <c r="B2" s="2">
        <f t="shared" ref="B2:B81" si="0">ROW()-1</f>
        <v>1</v>
      </c>
      <c r="C2" s="2" t="e">
        <f>_xlfn.XLOOKUP($D2,Tab_Def_Processes[Process_Name],Tab_Def_Processes[Process_ID],,0,)</f>
        <v>#N/A</v>
      </c>
      <c r="D2" s="18" t="s">
        <v>5</v>
      </c>
      <c r="E2" s="2" t="e">
        <f>_xlfn.XLOOKUP($D2,Tab_Def_Processes[Process_Name],Tab_Def_Processes[Process_Logic],,0,)</f>
        <v>#N/A</v>
      </c>
      <c r="F2" s="2" t="e">
        <f>_xlfn.XLOOKUP($D2,Tab_Def_Processes[Process_Name],Tab_Def_Processes[TC_Configuration],,0,)</f>
        <v>#N/A</v>
      </c>
      <c r="G2" s="2" t="e">
        <f>_xlfn.XLOOKUP($D2,Tab_Def_Processes[Process_Name],Tab_Def_Processes[Stock_Configuration],,0,)</f>
        <v>#N/A</v>
      </c>
      <c r="H2" s="2" t="e">
        <f>_xlfn.XLOOKUP(Tab_DSM[[#This Row],[Process_Name]],Tab_Def_Processes[Process_Name],Tab_Def_Processes[Outflow_count],,0,)</f>
        <v>#N/A</v>
      </c>
      <c r="I2" s="2" t="e">
        <f>"P"&amp;Tab_DSM[[#This Row],[Process_ID]]&amp;"_"&amp;Tab_DSM[[#This Row],[DSM_Parameter_type]]&amp;"_Cat_"&amp;Tab_DSM[[#This Row],[DSM_material_count]]</f>
        <v>#N/A</v>
      </c>
      <c r="J2" s="18"/>
      <c r="K2" s="18"/>
      <c r="L2" s="3"/>
      <c r="M2" s="9"/>
      <c r="N2" s="9"/>
      <c r="O2" s="9"/>
      <c r="P2" s="9"/>
      <c r="R2" s="78" t="s">
        <v>4</v>
      </c>
      <c r="S2" s="78" t="s">
        <v>615</v>
      </c>
      <c r="T2" s="78" t="s">
        <v>668</v>
      </c>
      <c r="U2" s="78" t="s">
        <v>616</v>
      </c>
      <c r="V2" s="78" t="s">
        <v>617</v>
      </c>
      <c r="W2" s="78" t="s">
        <v>1</v>
      </c>
    </row>
    <row r="3" spans="1:23" x14ac:dyDescent="0.25">
      <c r="A3" s="22" t="b">
        <v>0</v>
      </c>
      <c r="B3" s="2">
        <f t="shared" si="0"/>
        <v>2</v>
      </c>
      <c r="C3" s="2" t="e">
        <f>_xlfn.XLOOKUP($D3,Tab_Def_Processes[Process_Name],Tab_Def_Processes[Process_ID],,0,)</f>
        <v>#N/A</v>
      </c>
      <c r="D3" s="18" t="s">
        <v>5</v>
      </c>
      <c r="E3" s="2" t="e">
        <f>_xlfn.XLOOKUP($D3,Tab_Def_Processes[Process_Name],Tab_Def_Processes[Process_Logic],,0,)</f>
        <v>#N/A</v>
      </c>
      <c r="F3" s="2" t="e">
        <f>_xlfn.XLOOKUP($D3,Tab_Def_Processes[Process_Name],Tab_Def_Processes[TC_Configuration],,0,)</f>
        <v>#N/A</v>
      </c>
      <c r="G3" s="2" t="e">
        <f>_xlfn.XLOOKUP($D3,Tab_Def_Processes[Process_Name],Tab_Def_Processes[Stock_Configuration],,0,)</f>
        <v>#N/A</v>
      </c>
      <c r="H3" s="2" t="e">
        <f>_xlfn.XLOOKUP(Tab_DSM[[#This Row],[Process_Name]],Tab_Def_Processes[Process_Name],Tab_Def_Processes[Outflow_count],,0,)</f>
        <v>#N/A</v>
      </c>
      <c r="I3" s="2" t="e">
        <f>"P"&amp;Tab_DSM[[#This Row],[Process_ID]]&amp;"_"&amp;Tab_DSM[[#This Row],[DSM_Parameter_type]]&amp;"_Cat_"&amp;Tab_DSM[[#This Row],[DSM_material_count]]</f>
        <v>#N/A</v>
      </c>
      <c r="J3" s="18"/>
      <c r="K3" s="18"/>
      <c r="L3" s="3"/>
      <c r="M3" s="9"/>
      <c r="N3" s="9"/>
      <c r="O3" s="9"/>
      <c r="P3" s="9"/>
      <c r="R3" s="85">
        <v>1</v>
      </c>
      <c r="S3" s="85" t="s">
        <v>547</v>
      </c>
      <c r="T3" s="85" t="s">
        <v>606</v>
      </c>
      <c r="U3" s="85" t="s">
        <v>144</v>
      </c>
      <c r="V3" s="85">
        <v>10</v>
      </c>
      <c r="W3" s="85" t="s">
        <v>584</v>
      </c>
    </row>
    <row r="4" spans="1:23" x14ac:dyDescent="0.25">
      <c r="A4" s="22" t="b">
        <v>0</v>
      </c>
      <c r="B4" s="2">
        <f t="shared" si="0"/>
        <v>3</v>
      </c>
      <c r="C4" s="2" t="e">
        <f>_xlfn.XLOOKUP($D4,Tab_Def_Processes[Process_Name],Tab_Def_Processes[Process_ID],,0,)</f>
        <v>#N/A</v>
      </c>
      <c r="D4" s="18" t="s">
        <v>5</v>
      </c>
      <c r="E4" s="2" t="e">
        <f>_xlfn.XLOOKUP($D4,Tab_Def_Processes[Process_Name],Tab_Def_Processes[Process_Logic],,0,)</f>
        <v>#N/A</v>
      </c>
      <c r="F4" s="2" t="e">
        <f>_xlfn.XLOOKUP($D4,Tab_Def_Processes[Process_Name],Tab_Def_Processes[TC_Configuration],,0,)</f>
        <v>#N/A</v>
      </c>
      <c r="G4" s="2" t="e">
        <f>_xlfn.XLOOKUP($D4,Tab_Def_Processes[Process_Name],Tab_Def_Processes[Stock_Configuration],,0,)</f>
        <v>#N/A</v>
      </c>
      <c r="H4" s="2" t="e">
        <f>_xlfn.XLOOKUP(Tab_DSM[[#This Row],[Process_Name]],Tab_Def_Processes[Process_Name],Tab_Def_Processes[Outflow_count],,0,)</f>
        <v>#N/A</v>
      </c>
      <c r="I4" s="2" t="e">
        <f>"P"&amp;Tab_DSM[[#This Row],[Process_ID]]&amp;"_"&amp;Tab_DSM[[#This Row],[DSM_Parameter_type]]&amp;"_Cat_"&amp;Tab_DSM[[#This Row],[DSM_material_count]]</f>
        <v>#N/A</v>
      </c>
      <c r="J4" s="18"/>
      <c r="K4" s="18"/>
      <c r="L4" s="3"/>
      <c r="M4" s="9"/>
      <c r="N4" s="9"/>
      <c r="O4" s="9"/>
      <c r="P4" s="9"/>
      <c r="R4" s="85">
        <v>2</v>
      </c>
      <c r="S4" s="85" t="s">
        <v>69</v>
      </c>
      <c r="T4" s="85" t="s">
        <v>607</v>
      </c>
      <c r="U4" s="85" t="s">
        <v>144</v>
      </c>
      <c r="V4" s="85">
        <v>15</v>
      </c>
      <c r="W4" s="85" t="s">
        <v>585</v>
      </c>
    </row>
    <row r="5" spans="1:23" x14ac:dyDescent="0.25">
      <c r="A5" s="22" t="b">
        <v>0</v>
      </c>
      <c r="B5" s="2">
        <f t="shared" si="0"/>
        <v>4</v>
      </c>
      <c r="C5" s="2" t="e">
        <f>_xlfn.XLOOKUP($D5,Tab_Def_Processes[Process_Name],Tab_Def_Processes[Process_ID],,0,)</f>
        <v>#N/A</v>
      </c>
      <c r="D5" s="18" t="s">
        <v>5</v>
      </c>
      <c r="E5" s="2" t="e">
        <f>_xlfn.XLOOKUP($D5,Tab_Def_Processes[Process_Name],Tab_Def_Processes[Process_Logic],,0,)</f>
        <v>#N/A</v>
      </c>
      <c r="F5" s="2" t="e">
        <f>_xlfn.XLOOKUP($D5,Tab_Def_Processes[Process_Name],Tab_Def_Processes[TC_Configuration],,0,)</f>
        <v>#N/A</v>
      </c>
      <c r="G5" s="2" t="e">
        <f>_xlfn.XLOOKUP($D5,Tab_Def_Processes[Process_Name],Tab_Def_Processes[Stock_Configuration],,0,)</f>
        <v>#N/A</v>
      </c>
      <c r="H5" s="2" t="e">
        <f>_xlfn.XLOOKUP(Tab_DSM[[#This Row],[Process_Name]],Tab_Def_Processes[Process_Name],Tab_Def_Processes[Outflow_count],,0,)</f>
        <v>#N/A</v>
      </c>
      <c r="I5" s="2" t="e">
        <f>"P"&amp;Tab_DSM[[#This Row],[Process_ID]]&amp;"_"&amp;Tab_DSM[[#This Row],[DSM_Parameter_type]]&amp;"_Cat_"&amp;Tab_DSM[[#This Row],[DSM_material_count]]</f>
        <v>#N/A</v>
      </c>
      <c r="J5" s="18"/>
      <c r="K5" s="18"/>
      <c r="L5" s="3"/>
      <c r="M5" s="9"/>
      <c r="N5" s="9"/>
      <c r="O5" s="9"/>
      <c r="P5" s="9"/>
      <c r="R5" s="85"/>
      <c r="S5" s="85"/>
      <c r="T5" s="85" t="s">
        <v>611</v>
      </c>
      <c r="U5" s="85" t="s">
        <v>145</v>
      </c>
      <c r="V5" s="85">
        <v>3</v>
      </c>
      <c r="W5" s="85"/>
    </row>
    <row r="6" spans="1:23" x14ac:dyDescent="0.25">
      <c r="A6" s="22" t="b">
        <v>0</v>
      </c>
      <c r="B6" s="2">
        <f t="shared" si="0"/>
        <v>5</v>
      </c>
      <c r="C6" s="2" t="e">
        <f>_xlfn.XLOOKUP($D6,Tab_Def_Processes[Process_Name],Tab_Def_Processes[Process_ID],,0,)</f>
        <v>#N/A</v>
      </c>
      <c r="D6" s="18" t="s">
        <v>5</v>
      </c>
      <c r="E6" s="2" t="e">
        <f>_xlfn.XLOOKUP($D6,Tab_Def_Processes[Process_Name],Tab_Def_Processes[Process_Logic],,0,)</f>
        <v>#N/A</v>
      </c>
      <c r="F6" s="2" t="e">
        <f>_xlfn.XLOOKUP($D6,Tab_Def_Processes[Process_Name],Tab_Def_Processes[TC_Configuration],,0,)</f>
        <v>#N/A</v>
      </c>
      <c r="G6" s="2" t="e">
        <f>_xlfn.XLOOKUP($D6,Tab_Def_Processes[Process_Name],Tab_Def_Processes[Stock_Configuration],,0,)</f>
        <v>#N/A</v>
      </c>
      <c r="H6" s="2" t="e">
        <f>_xlfn.XLOOKUP(Tab_DSM[[#This Row],[Process_Name]],Tab_Def_Processes[Process_Name],Tab_Def_Processes[Outflow_count],,0,)</f>
        <v>#N/A</v>
      </c>
      <c r="I6" s="2" t="e">
        <f>"P"&amp;Tab_DSM[[#This Row],[Process_ID]]&amp;"_"&amp;Tab_DSM[[#This Row],[DSM_Parameter_type]]&amp;"_Cat_"&amp;Tab_DSM[[#This Row],[DSM_material_count]]</f>
        <v>#N/A</v>
      </c>
      <c r="J6" s="18"/>
      <c r="K6" s="18"/>
      <c r="L6" s="3"/>
      <c r="M6" s="9"/>
      <c r="N6" s="9"/>
      <c r="O6" s="9"/>
      <c r="P6" s="9"/>
      <c r="R6" s="85">
        <v>3</v>
      </c>
      <c r="S6" s="85" t="s">
        <v>548</v>
      </c>
      <c r="T6" s="85" t="s">
        <v>608</v>
      </c>
      <c r="U6" s="85" t="s">
        <v>144</v>
      </c>
      <c r="V6" s="85">
        <v>10</v>
      </c>
      <c r="W6" s="85" t="s">
        <v>586</v>
      </c>
    </row>
    <row r="7" spans="1:23" x14ac:dyDescent="0.25">
      <c r="A7" s="22" t="b">
        <v>0</v>
      </c>
      <c r="B7" s="2">
        <f t="shared" si="0"/>
        <v>6</v>
      </c>
      <c r="C7" s="2" t="e">
        <f>_xlfn.XLOOKUP($D7,Tab_Def_Processes[Process_Name],Tab_Def_Processes[Process_ID],,0,)</f>
        <v>#N/A</v>
      </c>
      <c r="D7" s="18" t="s">
        <v>5</v>
      </c>
      <c r="E7" s="2" t="e">
        <f>_xlfn.XLOOKUP($D7,Tab_Def_Processes[Process_Name],Tab_Def_Processes[Process_Logic],,0,)</f>
        <v>#N/A</v>
      </c>
      <c r="F7" s="2" t="e">
        <f>_xlfn.XLOOKUP($D7,Tab_Def_Processes[Process_Name],Tab_Def_Processes[TC_Configuration],,0,)</f>
        <v>#N/A</v>
      </c>
      <c r="G7" s="2" t="e">
        <f>_xlfn.XLOOKUP($D7,Tab_Def_Processes[Process_Name],Tab_Def_Processes[Stock_Configuration],,0,)</f>
        <v>#N/A</v>
      </c>
      <c r="H7" s="2" t="e">
        <f>_xlfn.XLOOKUP(Tab_DSM[[#This Row],[Process_Name]],Tab_Def_Processes[Process_Name],Tab_Def_Processes[Outflow_count],,0,)</f>
        <v>#N/A</v>
      </c>
      <c r="I7" s="2" t="e">
        <f>"P"&amp;Tab_DSM[[#This Row],[Process_ID]]&amp;"_"&amp;Tab_DSM[[#This Row],[DSM_Parameter_type]]&amp;"_Cat_"&amp;Tab_DSM[[#This Row],[DSM_material_count]]</f>
        <v>#N/A</v>
      </c>
      <c r="J7" s="18"/>
      <c r="K7" s="18"/>
      <c r="L7" s="3"/>
      <c r="M7" s="9"/>
      <c r="N7" s="9"/>
      <c r="O7" s="9"/>
      <c r="P7" s="9"/>
      <c r="R7" s="85"/>
      <c r="S7" s="85"/>
      <c r="T7" s="85" t="s">
        <v>612</v>
      </c>
      <c r="U7" s="85" t="s">
        <v>145</v>
      </c>
      <c r="V7" s="85">
        <v>5</v>
      </c>
      <c r="W7" s="85"/>
    </row>
    <row r="8" spans="1:23" x14ac:dyDescent="0.25">
      <c r="A8" s="22" t="b">
        <v>0</v>
      </c>
      <c r="B8" s="2">
        <f t="shared" si="0"/>
        <v>7</v>
      </c>
      <c r="C8" s="2" t="e">
        <f>_xlfn.XLOOKUP($D8,Tab_Def_Processes[Process_Name],Tab_Def_Processes[Process_ID],,0,)</f>
        <v>#N/A</v>
      </c>
      <c r="D8" s="18" t="s">
        <v>5</v>
      </c>
      <c r="E8" s="2" t="e">
        <f>_xlfn.XLOOKUP($D8,Tab_Def_Processes[Process_Name],Tab_Def_Processes[Process_Logic],,0,)</f>
        <v>#N/A</v>
      </c>
      <c r="F8" s="2" t="e">
        <f>_xlfn.XLOOKUP($D8,Tab_Def_Processes[Process_Name],Tab_Def_Processes[TC_Configuration],,0,)</f>
        <v>#N/A</v>
      </c>
      <c r="G8" s="2" t="e">
        <f>_xlfn.XLOOKUP($D8,Tab_Def_Processes[Process_Name],Tab_Def_Processes[Stock_Configuration],,0,)</f>
        <v>#N/A</v>
      </c>
      <c r="H8" s="2" t="e">
        <f>_xlfn.XLOOKUP(Tab_DSM[[#This Row],[Process_Name]],Tab_Def_Processes[Process_Name],Tab_Def_Processes[Outflow_count],,0,)</f>
        <v>#N/A</v>
      </c>
      <c r="I8" s="2" t="e">
        <f>"P"&amp;Tab_DSM[[#This Row],[Process_ID]]&amp;"_"&amp;Tab_DSM[[#This Row],[DSM_Parameter_type]]&amp;"_Cat_"&amp;Tab_DSM[[#This Row],[DSM_material_count]]</f>
        <v>#N/A</v>
      </c>
      <c r="J8" s="18"/>
      <c r="K8" s="18"/>
      <c r="L8" s="24"/>
      <c r="M8" s="9"/>
      <c r="N8" s="9"/>
      <c r="O8" s="9"/>
      <c r="P8" s="9"/>
      <c r="R8" s="85">
        <v>4</v>
      </c>
      <c r="S8" s="85" t="s">
        <v>549</v>
      </c>
      <c r="T8" s="85" t="s">
        <v>609</v>
      </c>
      <c r="U8" s="85" t="s">
        <v>144</v>
      </c>
      <c r="V8" s="85">
        <v>12</v>
      </c>
      <c r="W8" s="85" t="s">
        <v>587</v>
      </c>
    </row>
    <row r="9" spans="1:23" x14ac:dyDescent="0.25">
      <c r="A9" s="22" t="b">
        <v>0</v>
      </c>
      <c r="B9" s="2">
        <f t="shared" si="0"/>
        <v>8</v>
      </c>
      <c r="C9" s="2" t="e">
        <f>_xlfn.XLOOKUP($D9,Tab_Def_Processes[Process_Name],Tab_Def_Processes[Process_ID],,0,)</f>
        <v>#N/A</v>
      </c>
      <c r="D9" s="18" t="s">
        <v>5</v>
      </c>
      <c r="E9" s="2" t="e">
        <f>_xlfn.XLOOKUP($D9,Tab_Def_Processes[Process_Name],Tab_Def_Processes[Process_Logic],,0,)</f>
        <v>#N/A</v>
      </c>
      <c r="F9" s="2" t="e">
        <f>_xlfn.XLOOKUP($D9,Tab_Def_Processes[Process_Name],Tab_Def_Processes[TC_Configuration],,0,)</f>
        <v>#N/A</v>
      </c>
      <c r="G9" s="2" t="e">
        <f>_xlfn.XLOOKUP($D9,Tab_Def_Processes[Process_Name],Tab_Def_Processes[Stock_Configuration],,0,)</f>
        <v>#N/A</v>
      </c>
      <c r="H9" s="2" t="e">
        <f>_xlfn.XLOOKUP(Tab_DSM[[#This Row],[Process_Name]],Tab_Def_Processes[Process_Name],Tab_Def_Processes[Outflow_count],,0,)</f>
        <v>#N/A</v>
      </c>
      <c r="I9" s="2" t="e">
        <f>"P"&amp;Tab_DSM[[#This Row],[Process_ID]]&amp;"_"&amp;Tab_DSM[[#This Row],[DSM_Parameter_type]]&amp;"_Cat_"&amp;Tab_DSM[[#This Row],[DSM_material_count]]</f>
        <v>#N/A</v>
      </c>
      <c r="J9" s="18"/>
      <c r="K9" s="18"/>
      <c r="L9" s="3"/>
      <c r="M9" s="9"/>
      <c r="N9" s="9"/>
      <c r="O9" s="9"/>
      <c r="P9" s="9"/>
      <c r="R9" s="85"/>
      <c r="S9" s="85"/>
      <c r="T9" s="85" t="s">
        <v>613</v>
      </c>
      <c r="U9" s="85" t="s">
        <v>145</v>
      </c>
      <c r="V9" s="85">
        <v>2</v>
      </c>
      <c r="W9" s="85"/>
    </row>
    <row r="10" spans="1:23" x14ac:dyDescent="0.25">
      <c r="A10" s="22" t="b">
        <v>0</v>
      </c>
      <c r="B10" s="2">
        <f t="shared" si="0"/>
        <v>9</v>
      </c>
      <c r="C10" s="2" t="e">
        <f>_xlfn.XLOOKUP($D10,Tab_Def_Processes[Process_Name],Tab_Def_Processes[Process_ID],,0,)</f>
        <v>#N/A</v>
      </c>
      <c r="D10" s="18" t="s">
        <v>5</v>
      </c>
      <c r="E10" s="2" t="e">
        <f>_xlfn.XLOOKUP($D10,Tab_Def_Processes[Process_Name],Tab_Def_Processes[Process_Logic],,0,)</f>
        <v>#N/A</v>
      </c>
      <c r="F10" s="2" t="e">
        <f>_xlfn.XLOOKUP($D10,Tab_Def_Processes[Process_Name],Tab_Def_Processes[TC_Configuration],,0,)</f>
        <v>#N/A</v>
      </c>
      <c r="G10" s="2" t="e">
        <f>_xlfn.XLOOKUP($D10,Tab_Def_Processes[Process_Name],Tab_Def_Processes[Stock_Configuration],,0,)</f>
        <v>#N/A</v>
      </c>
      <c r="H10" s="2" t="e">
        <f>_xlfn.XLOOKUP(Tab_DSM[[#This Row],[Process_Name]],Tab_Def_Processes[Process_Name],Tab_Def_Processes[Outflow_count],,0,)</f>
        <v>#N/A</v>
      </c>
      <c r="I10" s="2" t="e">
        <f>"P"&amp;Tab_DSM[[#This Row],[Process_ID]]&amp;"_"&amp;Tab_DSM[[#This Row],[DSM_Parameter_type]]&amp;"_Cat_"&amp;Tab_DSM[[#This Row],[DSM_material_count]]</f>
        <v>#N/A</v>
      </c>
      <c r="J10" s="18"/>
      <c r="K10" s="18"/>
      <c r="L10" s="24"/>
      <c r="M10" s="9"/>
      <c r="N10" s="9"/>
      <c r="O10" s="9"/>
      <c r="P10" s="9"/>
      <c r="R10" s="85">
        <v>5</v>
      </c>
      <c r="S10" s="85" t="s">
        <v>550</v>
      </c>
      <c r="T10" s="85" t="s">
        <v>610</v>
      </c>
      <c r="U10" s="85" t="s">
        <v>588</v>
      </c>
      <c r="V10" s="85">
        <v>12</v>
      </c>
      <c r="W10" s="85" t="s">
        <v>589</v>
      </c>
    </row>
    <row r="11" spans="1:23" x14ac:dyDescent="0.25">
      <c r="A11" s="22" t="b">
        <v>0</v>
      </c>
      <c r="B11" s="2">
        <f t="shared" si="0"/>
        <v>10</v>
      </c>
      <c r="C11" s="2" t="e">
        <f>_xlfn.XLOOKUP($D11,Tab_Def_Processes[Process_Name],Tab_Def_Processes[Process_ID],,0,)</f>
        <v>#N/A</v>
      </c>
      <c r="D11" s="18" t="s">
        <v>5</v>
      </c>
      <c r="E11" s="2" t="e">
        <f>_xlfn.XLOOKUP($D11,Tab_Def_Processes[Process_Name],Tab_Def_Processes[Process_Logic],,0,)</f>
        <v>#N/A</v>
      </c>
      <c r="F11" s="2" t="e">
        <f>_xlfn.XLOOKUP($D11,Tab_Def_Processes[Process_Name],Tab_Def_Processes[TC_Configuration],,0,)</f>
        <v>#N/A</v>
      </c>
      <c r="G11" s="2" t="e">
        <f>_xlfn.XLOOKUP($D11,Tab_Def_Processes[Process_Name],Tab_Def_Processes[Stock_Configuration],,0,)</f>
        <v>#N/A</v>
      </c>
      <c r="H11" s="2" t="e">
        <f>_xlfn.XLOOKUP(Tab_DSM[[#This Row],[Process_Name]],Tab_Def_Processes[Process_Name],Tab_Def_Processes[Outflow_count],,0,)</f>
        <v>#N/A</v>
      </c>
      <c r="I11" s="2" t="e">
        <f>"P"&amp;Tab_DSM[[#This Row],[Process_ID]]&amp;"_"&amp;Tab_DSM[[#This Row],[DSM_Parameter_type]]&amp;"_Cat_"&amp;Tab_DSM[[#This Row],[DSM_material_count]]</f>
        <v>#N/A</v>
      </c>
      <c r="J11" s="18"/>
      <c r="K11" s="18"/>
      <c r="L11" s="3"/>
      <c r="M11" s="9"/>
      <c r="N11" s="9"/>
      <c r="O11" s="9"/>
      <c r="P11" s="9"/>
      <c r="R11" s="86"/>
      <c r="S11" s="86"/>
      <c r="T11" s="86" t="s">
        <v>614</v>
      </c>
      <c r="U11" s="86" t="s">
        <v>590</v>
      </c>
      <c r="V11" s="86">
        <v>2.5</v>
      </c>
      <c r="W11" s="86"/>
    </row>
    <row r="12" spans="1:23" x14ac:dyDescent="0.25">
      <c r="A12" s="22" t="b">
        <v>0</v>
      </c>
      <c r="B12" s="2">
        <f t="shared" si="0"/>
        <v>11</v>
      </c>
      <c r="C12" s="2" t="e">
        <f>_xlfn.XLOOKUP($D12,Tab_Def_Processes[Process_Name],Tab_Def_Processes[Process_ID],,0,)</f>
        <v>#N/A</v>
      </c>
      <c r="D12" s="18" t="s">
        <v>5</v>
      </c>
      <c r="E12" s="2" t="e">
        <f>_xlfn.XLOOKUP($D12,Tab_Def_Processes[Process_Name],Tab_Def_Processes[Process_Logic],,0,)</f>
        <v>#N/A</v>
      </c>
      <c r="F12" s="2" t="e">
        <f>_xlfn.XLOOKUP($D12,Tab_Def_Processes[Process_Name],Tab_Def_Processes[TC_Configuration],,0,)</f>
        <v>#N/A</v>
      </c>
      <c r="G12" s="2" t="e">
        <f>_xlfn.XLOOKUP($D12,Tab_Def_Processes[Process_Name],Tab_Def_Processes[Stock_Configuration],,0,)</f>
        <v>#N/A</v>
      </c>
      <c r="H12" s="2" t="e">
        <f>_xlfn.XLOOKUP(Tab_DSM[[#This Row],[Process_Name]],Tab_Def_Processes[Process_Name],Tab_Def_Processes[Outflow_count],,0,)</f>
        <v>#N/A</v>
      </c>
      <c r="I12" s="2" t="e">
        <f>"P"&amp;Tab_DSM[[#This Row],[Process_ID]]&amp;"_"&amp;Tab_DSM[[#This Row],[DSM_Parameter_type]]&amp;"_Cat_"&amp;Tab_DSM[[#This Row],[DSM_material_count]]</f>
        <v>#N/A</v>
      </c>
      <c r="J12" s="18"/>
      <c r="K12" s="18"/>
      <c r="L12" s="3"/>
      <c r="M12" s="9"/>
      <c r="N12" s="9"/>
      <c r="O12" s="9"/>
      <c r="P12" s="9"/>
    </row>
    <row r="13" spans="1:23" x14ac:dyDescent="0.25">
      <c r="A13" s="22" t="b">
        <v>0</v>
      </c>
      <c r="B13" s="2">
        <f t="shared" si="0"/>
        <v>12</v>
      </c>
      <c r="C13" s="2" t="e">
        <f>_xlfn.XLOOKUP($D13,Tab_Def_Processes[Process_Name],Tab_Def_Processes[Process_ID],,0,)</f>
        <v>#N/A</v>
      </c>
      <c r="D13" s="18" t="s">
        <v>5</v>
      </c>
      <c r="E13" s="2" t="e">
        <f>_xlfn.XLOOKUP($D13,Tab_Def_Processes[Process_Name],Tab_Def_Processes[Process_Logic],,0,)</f>
        <v>#N/A</v>
      </c>
      <c r="F13" s="2" t="e">
        <f>_xlfn.XLOOKUP($D13,Tab_Def_Processes[Process_Name],Tab_Def_Processes[TC_Configuration],,0,)</f>
        <v>#N/A</v>
      </c>
      <c r="G13" s="2" t="e">
        <f>_xlfn.XLOOKUP($D13,Tab_Def_Processes[Process_Name],Tab_Def_Processes[Stock_Configuration],,0,)</f>
        <v>#N/A</v>
      </c>
      <c r="H13" s="2" t="e">
        <f>_xlfn.XLOOKUP(Tab_DSM[[#This Row],[Process_Name]],Tab_Def_Processes[Process_Name],Tab_Def_Processes[Outflow_count],,0,)</f>
        <v>#N/A</v>
      </c>
      <c r="I13" s="2" t="e">
        <f>"P"&amp;Tab_DSM[[#This Row],[Process_ID]]&amp;"_"&amp;Tab_DSM[[#This Row],[DSM_Parameter_type]]&amp;"_Cat_"&amp;Tab_DSM[[#This Row],[DSM_material_count]]</f>
        <v>#N/A</v>
      </c>
      <c r="J13" s="18"/>
      <c r="K13" s="18"/>
      <c r="L13" s="3"/>
      <c r="M13" s="9"/>
      <c r="N13" s="9"/>
      <c r="O13" s="9"/>
      <c r="P13" s="9"/>
    </row>
    <row r="14" spans="1:23" x14ac:dyDescent="0.25">
      <c r="A14" s="22" t="b">
        <v>0</v>
      </c>
      <c r="B14" s="2">
        <f t="shared" si="0"/>
        <v>13</v>
      </c>
      <c r="C14" s="2" t="e">
        <f>_xlfn.XLOOKUP($D14,Tab_Def_Processes[Process_Name],Tab_Def_Processes[Process_ID],,0,)</f>
        <v>#N/A</v>
      </c>
      <c r="D14" s="18" t="s">
        <v>5</v>
      </c>
      <c r="E14" s="2" t="e">
        <f>_xlfn.XLOOKUP($D14,Tab_Def_Processes[Process_Name],Tab_Def_Processes[Process_Logic],,0,)</f>
        <v>#N/A</v>
      </c>
      <c r="F14" s="2" t="e">
        <f>_xlfn.XLOOKUP($D14,Tab_Def_Processes[Process_Name],Tab_Def_Processes[TC_Configuration],,0,)</f>
        <v>#N/A</v>
      </c>
      <c r="G14" s="2" t="e">
        <f>_xlfn.XLOOKUP($D14,Tab_Def_Processes[Process_Name],Tab_Def_Processes[Stock_Configuration],,0,)</f>
        <v>#N/A</v>
      </c>
      <c r="H14" s="2" t="e">
        <f>_xlfn.XLOOKUP(Tab_DSM[[#This Row],[Process_Name]],Tab_Def_Processes[Process_Name],Tab_Def_Processes[Outflow_count],,0,)</f>
        <v>#N/A</v>
      </c>
      <c r="I14" s="2" t="e">
        <f>"P"&amp;Tab_DSM[[#This Row],[Process_ID]]&amp;"_"&amp;Tab_DSM[[#This Row],[DSM_Parameter_type]]&amp;"_Cat_"&amp;Tab_DSM[[#This Row],[DSM_material_count]]</f>
        <v>#N/A</v>
      </c>
      <c r="J14" s="18"/>
      <c r="K14" s="18"/>
      <c r="L14" s="3"/>
      <c r="M14" s="9"/>
      <c r="N14" s="9"/>
      <c r="O14" s="9"/>
      <c r="P14" s="9"/>
    </row>
    <row r="15" spans="1:23" x14ac:dyDescent="0.25">
      <c r="A15" s="22" t="b">
        <v>0</v>
      </c>
      <c r="B15" s="2">
        <f t="shared" si="0"/>
        <v>14</v>
      </c>
      <c r="C15" s="2" t="e">
        <f>_xlfn.XLOOKUP($D15,Tab_Def_Processes[Process_Name],Tab_Def_Processes[Process_ID],,0,)</f>
        <v>#N/A</v>
      </c>
      <c r="D15" s="18" t="s">
        <v>5</v>
      </c>
      <c r="E15" s="2" t="e">
        <f>_xlfn.XLOOKUP($D15,Tab_Def_Processes[Process_Name],Tab_Def_Processes[Process_Logic],,0,)</f>
        <v>#N/A</v>
      </c>
      <c r="F15" s="2" t="e">
        <f>_xlfn.XLOOKUP($D15,Tab_Def_Processes[Process_Name],Tab_Def_Processes[TC_Configuration],,0,)</f>
        <v>#N/A</v>
      </c>
      <c r="G15" s="2" t="e">
        <f>_xlfn.XLOOKUP($D15,Tab_Def_Processes[Process_Name],Tab_Def_Processes[Stock_Configuration],,0,)</f>
        <v>#N/A</v>
      </c>
      <c r="H15" s="2" t="e">
        <f>_xlfn.XLOOKUP(Tab_DSM[[#This Row],[Process_Name]],Tab_Def_Processes[Process_Name],Tab_Def_Processes[Outflow_count],,0,)</f>
        <v>#N/A</v>
      </c>
      <c r="I15" s="2" t="e">
        <f>"P"&amp;Tab_DSM[[#This Row],[Process_ID]]&amp;"_"&amp;Tab_DSM[[#This Row],[DSM_Parameter_type]]&amp;"_Cat_"&amp;Tab_DSM[[#This Row],[DSM_material_count]]</f>
        <v>#N/A</v>
      </c>
      <c r="J15" s="18"/>
      <c r="K15" s="18"/>
      <c r="L15" s="3"/>
      <c r="M15" s="9"/>
      <c r="N15" s="9"/>
      <c r="O15" s="9"/>
      <c r="P15" s="9"/>
    </row>
    <row r="16" spans="1:23" x14ac:dyDescent="0.25">
      <c r="A16" s="22" t="b">
        <v>0</v>
      </c>
      <c r="B16" s="2">
        <f t="shared" si="0"/>
        <v>15</v>
      </c>
      <c r="C16" s="2" t="e">
        <f>_xlfn.XLOOKUP($D16,Tab_Def_Processes[Process_Name],Tab_Def_Processes[Process_ID],,0,)</f>
        <v>#N/A</v>
      </c>
      <c r="D16" s="18" t="s">
        <v>5</v>
      </c>
      <c r="E16" s="2" t="e">
        <f>_xlfn.XLOOKUP($D16,Tab_Def_Processes[Process_Name],Tab_Def_Processes[Process_Logic],,0,)</f>
        <v>#N/A</v>
      </c>
      <c r="F16" s="2" t="e">
        <f>_xlfn.XLOOKUP($D16,Tab_Def_Processes[Process_Name],Tab_Def_Processes[TC_Configuration],,0,)</f>
        <v>#N/A</v>
      </c>
      <c r="G16" s="2" t="e">
        <f>_xlfn.XLOOKUP($D16,Tab_Def_Processes[Process_Name],Tab_Def_Processes[Stock_Configuration],,0,)</f>
        <v>#N/A</v>
      </c>
      <c r="H16" s="2" t="e">
        <f>_xlfn.XLOOKUP(Tab_DSM[[#This Row],[Process_Name]],Tab_Def_Processes[Process_Name],Tab_Def_Processes[Outflow_count],,0,)</f>
        <v>#N/A</v>
      </c>
      <c r="I16" s="2" t="e">
        <f>"P"&amp;Tab_DSM[[#This Row],[Process_ID]]&amp;"_"&amp;Tab_DSM[[#This Row],[DSM_Parameter_type]]&amp;"_Cat_"&amp;Tab_DSM[[#This Row],[DSM_material_count]]</f>
        <v>#N/A</v>
      </c>
      <c r="J16" s="18"/>
      <c r="K16" s="18"/>
      <c r="L16" s="45"/>
      <c r="M16" s="63"/>
      <c r="N16" s="9"/>
      <c r="O16" s="9"/>
      <c r="P16" s="9"/>
    </row>
    <row r="17" spans="1:16" x14ac:dyDescent="0.25">
      <c r="A17" s="22" t="b">
        <v>0</v>
      </c>
      <c r="B17" s="2">
        <f t="shared" si="0"/>
        <v>16</v>
      </c>
      <c r="C17" s="2" t="e">
        <f>_xlfn.XLOOKUP($D17,Tab_Def_Processes[Process_Name],Tab_Def_Processes[Process_ID],,0,)</f>
        <v>#N/A</v>
      </c>
      <c r="D17" s="18" t="s">
        <v>5</v>
      </c>
      <c r="E17" s="2" t="e">
        <f>_xlfn.XLOOKUP($D17,Tab_Def_Processes[Process_Name],Tab_Def_Processes[Process_Logic],,0,)</f>
        <v>#N/A</v>
      </c>
      <c r="F17" s="2" t="e">
        <f>_xlfn.XLOOKUP($D17,Tab_Def_Processes[Process_Name],Tab_Def_Processes[TC_Configuration],,0,)</f>
        <v>#N/A</v>
      </c>
      <c r="G17" s="2" t="e">
        <f>_xlfn.XLOOKUP($D17,Tab_Def_Processes[Process_Name],Tab_Def_Processes[Stock_Configuration],,0,)</f>
        <v>#N/A</v>
      </c>
      <c r="H17" s="2" t="e">
        <f>_xlfn.XLOOKUP(Tab_DSM[[#This Row],[Process_Name]],Tab_Def_Processes[Process_Name],Tab_Def_Processes[Outflow_count],,0,)</f>
        <v>#N/A</v>
      </c>
      <c r="I17" s="2" t="e">
        <f>"P"&amp;Tab_DSM[[#This Row],[Process_ID]]&amp;"_"&amp;Tab_DSM[[#This Row],[DSM_Parameter_type]]&amp;"_Cat_"&amp;Tab_DSM[[#This Row],[DSM_material_count]]</f>
        <v>#N/A</v>
      </c>
      <c r="J17" s="18"/>
      <c r="K17" s="18"/>
      <c r="L17" s="3"/>
      <c r="M17" s="9"/>
      <c r="N17" s="9"/>
      <c r="O17" s="9"/>
      <c r="P17" s="9"/>
    </row>
    <row r="18" spans="1:16" x14ac:dyDescent="0.25">
      <c r="A18" s="22" t="b">
        <v>0</v>
      </c>
      <c r="B18" s="2">
        <f t="shared" si="0"/>
        <v>17</v>
      </c>
      <c r="C18" s="2" t="e">
        <f>_xlfn.XLOOKUP($D18,Tab_Def_Processes[Process_Name],Tab_Def_Processes[Process_ID],,0,)</f>
        <v>#N/A</v>
      </c>
      <c r="D18" s="18" t="s">
        <v>5</v>
      </c>
      <c r="E18" s="2" t="e">
        <f>_xlfn.XLOOKUP($D18,Tab_Def_Processes[Process_Name],Tab_Def_Processes[Process_Logic],,0,)</f>
        <v>#N/A</v>
      </c>
      <c r="F18" s="2" t="e">
        <f>_xlfn.XLOOKUP($D18,Tab_Def_Processes[Process_Name],Tab_Def_Processes[TC_Configuration],,0,)</f>
        <v>#N/A</v>
      </c>
      <c r="G18" s="2" t="e">
        <f>_xlfn.XLOOKUP($D18,Tab_Def_Processes[Process_Name],Tab_Def_Processes[Stock_Configuration],,0,)</f>
        <v>#N/A</v>
      </c>
      <c r="H18" s="2" t="e">
        <f>_xlfn.XLOOKUP(Tab_DSM[[#This Row],[Process_Name]],Tab_Def_Processes[Process_Name],Tab_Def_Processes[Outflow_count],,0,)</f>
        <v>#N/A</v>
      </c>
      <c r="I18" s="2" t="e">
        <f>"P"&amp;Tab_DSM[[#This Row],[Process_ID]]&amp;"_"&amp;Tab_DSM[[#This Row],[DSM_Parameter_type]]&amp;"_Cat_"&amp;Tab_DSM[[#This Row],[DSM_material_count]]</f>
        <v>#N/A</v>
      </c>
      <c r="J18" s="18"/>
      <c r="K18" s="18"/>
      <c r="L18" s="3"/>
      <c r="M18" s="9"/>
      <c r="N18" s="9"/>
      <c r="O18" s="9"/>
      <c r="P18" s="9"/>
    </row>
    <row r="19" spans="1:16" x14ac:dyDescent="0.25">
      <c r="A19" s="22" t="b">
        <v>0</v>
      </c>
      <c r="B19" s="2">
        <f t="shared" si="0"/>
        <v>18</v>
      </c>
      <c r="C19" s="2" t="e">
        <f>_xlfn.XLOOKUP($D19,Tab_Def_Processes[Process_Name],Tab_Def_Processes[Process_ID],,0,)</f>
        <v>#N/A</v>
      </c>
      <c r="D19" s="18" t="s">
        <v>5</v>
      </c>
      <c r="E19" s="2" t="e">
        <f>_xlfn.XLOOKUP($D19,Tab_Def_Processes[Process_Name],Tab_Def_Processes[Process_Logic],,0,)</f>
        <v>#N/A</v>
      </c>
      <c r="F19" s="2" t="e">
        <f>_xlfn.XLOOKUP($D19,Tab_Def_Processes[Process_Name],Tab_Def_Processes[TC_Configuration],,0,)</f>
        <v>#N/A</v>
      </c>
      <c r="G19" s="2" t="e">
        <f>_xlfn.XLOOKUP($D19,Tab_Def_Processes[Process_Name],Tab_Def_Processes[Stock_Configuration],,0,)</f>
        <v>#N/A</v>
      </c>
      <c r="H19" s="2" t="e">
        <f>_xlfn.XLOOKUP(Tab_DSM[[#This Row],[Process_Name]],Tab_Def_Processes[Process_Name],Tab_Def_Processes[Outflow_count],,0,)</f>
        <v>#N/A</v>
      </c>
      <c r="I19" s="2" t="e">
        <f>"P"&amp;Tab_DSM[[#This Row],[Process_ID]]&amp;"_"&amp;Tab_DSM[[#This Row],[DSM_Parameter_type]]&amp;"_Cat_"&amp;Tab_DSM[[#This Row],[DSM_material_count]]</f>
        <v>#N/A</v>
      </c>
      <c r="J19" s="18"/>
      <c r="K19" s="18"/>
      <c r="L19" s="3"/>
      <c r="M19" s="9"/>
      <c r="N19" s="9"/>
      <c r="O19" s="9"/>
      <c r="P19" s="9"/>
    </row>
    <row r="20" spans="1:16" x14ac:dyDescent="0.25">
      <c r="A20" s="22" t="b">
        <v>0</v>
      </c>
      <c r="B20" s="2">
        <f t="shared" si="0"/>
        <v>19</v>
      </c>
      <c r="C20" s="2" t="e">
        <f>_xlfn.XLOOKUP($D20,Tab_Def_Processes[Process_Name],Tab_Def_Processes[Process_ID],,0,)</f>
        <v>#N/A</v>
      </c>
      <c r="D20" s="18" t="s">
        <v>5</v>
      </c>
      <c r="E20" s="2" t="e">
        <f>_xlfn.XLOOKUP($D20,Tab_Def_Processes[Process_Name],Tab_Def_Processes[Process_Logic],,0,)</f>
        <v>#N/A</v>
      </c>
      <c r="F20" s="2" t="e">
        <f>_xlfn.XLOOKUP($D20,Tab_Def_Processes[Process_Name],Tab_Def_Processes[TC_Configuration],,0,)</f>
        <v>#N/A</v>
      </c>
      <c r="G20" s="2" t="e">
        <f>_xlfn.XLOOKUP($D20,Tab_Def_Processes[Process_Name],Tab_Def_Processes[Stock_Configuration],,0,)</f>
        <v>#N/A</v>
      </c>
      <c r="H20" s="2" t="e">
        <f>_xlfn.XLOOKUP(Tab_DSM[[#This Row],[Process_Name]],Tab_Def_Processes[Process_Name],Tab_Def_Processes[Outflow_count],,0,)</f>
        <v>#N/A</v>
      </c>
      <c r="I20" s="2" t="e">
        <f>"P"&amp;Tab_DSM[[#This Row],[Process_ID]]&amp;"_"&amp;Tab_DSM[[#This Row],[DSM_Parameter_type]]&amp;"_Cat_"&amp;Tab_DSM[[#This Row],[DSM_material_count]]</f>
        <v>#N/A</v>
      </c>
      <c r="J20" s="18"/>
      <c r="K20" s="18"/>
      <c r="L20" s="3"/>
      <c r="M20" s="9"/>
      <c r="N20" s="9"/>
      <c r="O20" s="9"/>
      <c r="P20" s="9"/>
    </row>
    <row r="21" spans="1:16" x14ac:dyDescent="0.25">
      <c r="A21" s="22" t="b">
        <v>0</v>
      </c>
      <c r="B21" s="2">
        <f t="shared" si="0"/>
        <v>20</v>
      </c>
      <c r="C21" s="2" t="e">
        <f>_xlfn.XLOOKUP($D21,Tab_Def_Processes[Process_Name],Tab_Def_Processes[Process_ID],,0,)</f>
        <v>#N/A</v>
      </c>
      <c r="D21" s="18" t="s">
        <v>5</v>
      </c>
      <c r="E21" s="2" t="e">
        <f>_xlfn.XLOOKUP($D21,Tab_Def_Processes[Process_Name],Tab_Def_Processes[Process_Logic],,0,)</f>
        <v>#N/A</v>
      </c>
      <c r="F21" s="2" t="e">
        <f>_xlfn.XLOOKUP($D21,Tab_Def_Processes[Process_Name],Tab_Def_Processes[TC_Configuration],,0,)</f>
        <v>#N/A</v>
      </c>
      <c r="G21" s="2" t="e">
        <f>_xlfn.XLOOKUP($D21,Tab_Def_Processes[Process_Name],Tab_Def_Processes[Stock_Configuration],,0,)</f>
        <v>#N/A</v>
      </c>
      <c r="H21" s="2" t="e">
        <f>_xlfn.XLOOKUP(Tab_DSM[[#This Row],[Process_Name]],Tab_Def_Processes[Process_Name],Tab_Def_Processes[Outflow_count],,0,)</f>
        <v>#N/A</v>
      </c>
      <c r="I21" s="2" t="e">
        <f>"P"&amp;Tab_DSM[[#This Row],[Process_ID]]&amp;"_"&amp;Tab_DSM[[#This Row],[DSM_Parameter_type]]&amp;"_Cat_"&amp;Tab_DSM[[#This Row],[DSM_material_count]]</f>
        <v>#N/A</v>
      </c>
      <c r="J21" s="18"/>
      <c r="K21" s="18"/>
      <c r="L21" s="3"/>
      <c r="M21" s="9"/>
      <c r="N21" s="9"/>
      <c r="O21" s="9"/>
      <c r="P21" s="9"/>
    </row>
    <row r="22" spans="1:16" x14ac:dyDescent="0.25">
      <c r="A22" s="22" t="b">
        <v>0</v>
      </c>
      <c r="B22" s="2">
        <f t="shared" si="0"/>
        <v>21</v>
      </c>
      <c r="C22" s="2" t="e">
        <f>_xlfn.XLOOKUP($D22,Tab_Def_Processes[Process_Name],Tab_Def_Processes[Process_ID],,0,)</f>
        <v>#N/A</v>
      </c>
      <c r="D22" s="18" t="s">
        <v>5</v>
      </c>
      <c r="E22" s="2" t="e">
        <f>_xlfn.XLOOKUP($D22,Tab_Def_Processes[Process_Name],Tab_Def_Processes[Process_Logic],,0,)</f>
        <v>#N/A</v>
      </c>
      <c r="F22" s="2" t="e">
        <f>_xlfn.XLOOKUP($D22,Tab_Def_Processes[Process_Name],Tab_Def_Processes[TC_Configuration],,0,)</f>
        <v>#N/A</v>
      </c>
      <c r="G22" s="2" t="e">
        <f>_xlfn.XLOOKUP($D22,Tab_Def_Processes[Process_Name],Tab_Def_Processes[Stock_Configuration],,0,)</f>
        <v>#N/A</v>
      </c>
      <c r="H22" s="2" t="e">
        <f>_xlfn.XLOOKUP(Tab_DSM[[#This Row],[Process_Name]],Tab_Def_Processes[Process_Name],Tab_Def_Processes[Outflow_count],,0,)</f>
        <v>#N/A</v>
      </c>
      <c r="I22" s="2" t="e">
        <f>"P"&amp;Tab_DSM[[#This Row],[Process_ID]]&amp;"_"&amp;Tab_DSM[[#This Row],[DSM_Parameter_type]]&amp;"_Cat_"&amp;Tab_DSM[[#This Row],[DSM_material_count]]</f>
        <v>#N/A</v>
      </c>
      <c r="J22" s="18"/>
      <c r="K22" s="18"/>
      <c r="L22" s="3"/>
      <c r="M22" s="9"/>
      <c r="N22" s="9"/>
      <c r="O22" s="9"/>
      <c r="P22" s="9"/>
    </row>
    <row r="23" spans="1:16" x14ac:dyDescent="0.25">
      <c r="A23" s="22" t="b">
        <v>0</v>
      </c>
      <c r="B23" s="2">
        <f t="shared" si="0"/>
        <v>22</v>
      </c>
      <c r="C23" s="2" t="e">
        <f>_xlfn.XLOOKUP($D23,Tab_Def_Processes[Process_Name],Tab_Def_Processes[Process_ID],,0,)</f>
        <v>#N/A</v>
      </c>
      <c r="D23" s="18" t="s">
        <v>5</v>
      </c>
      <c r="E23" s="2" t="e">
        <f>_xlfn.XLOOKUP($D23,Tab_Def_Processes[Process_Name],Tab_Def_Processes[Process_Logic],,0,)</f>
        <v>#N/A</v>
      </c>
      <c r="F23" s="2" t="e">
        <f>_xlfn.XLOOKUP($D23,Tab_Def_Processes[Process_Name],Tab_Def_Processes[TC_Configuration],,0,)</f>
        <v>#N/A</v>
      </c>
      <c r="G23" s="2" t="e">
        <f>_xlfn.XLOOKUP($D23,Tab_Def_Processes[Process_Name],Tab_Def_Processes[Stock_Configuration],,0,)</f>
        <v>#N/A</v>
      </c>
      <c r="H23" s="2" t="e">
        <f>_xlfn.XLOOKUP(Tab_DSM[[#This Row],[Process_Name]],Tab_Def_Processes[Process_Name],Tab_Def_Processes[Outflow_count],,0,)</f>
        <v>#N/A</v>
      </c>
      <c r="I23" s="2" t="e">
        <f>"P"&amp;Tab_DSM[[#This Row],[Process_ID]]&amp;"_"&amp;Tab_DSM[[#This Row],[DSM_Parameter_type]]&amp;"_Cat_"&amp;Tab_DSM[[#This Row],[DSM_material_count]]</f>
        <v>#N/A</v>
      </c>
      <c r="J23" s="18"/>
      <c r="K23" s="18"/>
      <c r="L23" s="3"/>
      <c r="M23" s="9"/>
      <c r="N23" s="9"/>
      <c r="O23" s="9"/>
      <c r="P23" s="9"/>
    </row>
    <row r="24" spans="1:16" x14ac:dyDescent="0.25">
      <c r="A24" s="22" t="b">
        <v>0</v>
      </c>
      <c r="B24" s="2">
        <f t="shared" si="0"/>
        <v>23</v>
      </c>
      <c r="C24" s="2" t="e">
        <f>_xlfn.XLOOKUP($D24,Tab_Def_Processes[Process_Name],Tab_Def_Processes[Process_ID],,0,)</f>
        <v>#N/A</v>
      </c>
      <c r="D24" s="18" t="s">
        <v>5</v>
      </c>
      <c r="E24" s="2" t="e">
        <f>_xlfn.XLOOKUP($D24,Tab_Def_Processes[Process_Name],Tab_Def_Processes[Process_Logic],,0,)</f>
        <v>#N/A</v>
      </c>
      <c r="F24" s="2" t="e">
        <f>_xlfn.XLOOKUP($D24,Tab_Def_Processes[Process_Name],Tab_Def_Processes[TC_Configuration],,0,)</f>
        <v>#N/A</v>
      </c>
      <c r="G24" s="2" t="e">
        <f>_xlfn.XLOOKUP($D24,Tab_Def_Processes[Process_Name],Tab_Def_Processes[Stock_Configuration],,0,)</f>
        <v>#N/A</v>
      </c>
      <c r="H24" s="2" t="e">
        <f>_xlfn.XLOOKUP(Tab_DSM[[#This Row],[Process_Name]],Tab_Def_Processes[Process_Name],Tab_Def_Processes[Outflow_count],,0,)</f>
        <v>#N/A</v>
      </c>
      <c r="I24" s="2" t="e">
        <f>"P"&amp;Tab_DSM[[#This Row],[Process_ID]]&amp;"_"&amp;Tab_DSM[[#This Row],[DSM_Parameter_type]]&amp;"_Cat_"&amp;Tab_DSM[[#This Row],[DSM_material_count]]</f>
        <v>#N/A</v>
      </c>
      <c r="J24" s="18"/>
      <c r="K24" s="18"/>
      <c r="L24" s="3"/>
      <c r="M24" s="9"/>
      <c r="N24" s="9"/>
      <c r="O24" s="9"/>
      <c r="P24" s="9"/>
    </row>
    <row r="25" spans="1:16" x14ac:dyDescent="0.25">
      <c r="A25" s="22" t="b">
        <v>0</v>
      </c>
      <c r="B25" s="2">
        <f t="shared" si="0"/>
        <v>24</v>
      </c>
      <c r="C25" s="2" t="e">
        <f>_xlfn.XLOOKUP($D25,Tab_Def_Processes[Process_Name],Tab_Def_Processes[Process_ID],,0,)</f>
        <v>#N/A</v>
      </c>
      <c r="D25" s="18" t="s">
        <v>5</v>
      </c>
      <c r="E25" s="2" t="e">
        <f>_xlfn.XLOOKUP($D25,Tab_Def_Processes[Process_Name],Tab_Def_Processes[Process_Logic],,0,)</f>
        <v>#N/A</v>
      </c>
      <c r="F25" s="2" t="e">
        <f>_xlfn.XLOOKUP($D25,Tab_Def_Processes[Process_Name],Tab_Def_Processes[TC_Configuration],,0,)</f>
        <v>#N/A</v>
      </c>
      <c r="G25" s="2" t="e">
        <f>_xlfn.XLOOKUP($D25,Tab_Def_Processes[Process_Name],Tab_Def_Processes[Stock_Configuration],,0,)</f>
        <v>#N/A</v>
      </c>
      <c r="H25" s="2" t="e">
        <f>_xlfn.XLOOKUP(Tab_DSM[[#This Row],[Process_Name]],Tab_Def_Processes[Process_Name],Tab_Def_Processes[Outflow_count],,0,)</f>
        <v>#N/A</v>
      </c>
      <c r="I25" s="2" t="e">
        <f>"P"&amp;Tab_DSM[[#This Row],[Process_ID]]&amp;"_"&amp;Tab_DSM[[#This Row],[DSM_Parameter_type]]&amp;"_Cat_"&amp;Tab_DSM[[#This Row],[DSM_material_count]]</f>
        <v>#N/A</v>
      </c>
      <c r="J25" s="18"/>
      <c r="K25" s="18"/>
      <c r="L25" s="3"/>
      <c r="M25" s="9"/>
      <c r="N25" s="9"/>
      <c r="O25" s="9"/>
      <c r="P25" s="9"/>
    </row>
    <row r="26" spans="1:16" x14ac:dyDescent="0.25">
      <c r="A26" s="22" t="b">
        <v>0</v>
      </c>
      <c r="B26" s="2">
        <f t="shared" si="0"/>
        <v>25</v>
      </c>
      <c r="C26" s="2" t="e">
        <f>_xlfn.XLOOKUP($D26,Tab_Def_Processes[Process_Name],Tab_Def_Processes[Process_ID],,0,)</f>
        <v>#N/A</v>
      </c>
      <c r="D26" s="18" t="s">
        <v>5</v>
      </c>
      <c r="E26" s="2" t="e">
        <f>_xlfn.XLOOKUP($D26,Tab_Def_Processes[Process_Name],Tab_Def_Processes[Process_Logic],,0,)</f>
        <v>#N/A</v>
      </c>
      <c r="F26" s="2" t="e">
        <f>_xlfn.XLOOKUP($D26,Tab_Def_Processes[Process_Name],Tab_Def_Processes[TC_Configuration],,0,)</f>
        <v>#N/A</v>
      </c>
      <c r="G26" s="2" t="e">
        <f>_xlfn.XLOOKUP($D26,Tab_Def_Processes[Process_Name],Tab_Def_Processes[Stock_Configuration],,0,)</f>
        <v>#N/A</v>
      </c>
      <c r="H26" s="2" t="e">
        <f>_xlfn.XLOOKUP(Tab_DSM[[#This Row],[Process_Name]],Tab_Def_Processes[Process_Name],Tab_Def_Processes[Outflow_count],,0,)</f>
        <v>#N/A</v>
      </c>
      <c r="I26" s="2" t="e">
        <f>"P"&amp;Tab_DSM[[#This Row],[Process_ID]]&amp;"_"&amp;Tab_DSM[[#This Row],[DSM_Parameter_type]]&amp;"_Cat_"&amp;Tab_DSM[[#This Row],[DSM_material_count]]</f>
        <v>#N/A</v>
      </c>
      <c r="J26" s="18"/>
      <c r="K26" s="18"/>
      <c r="L26" s="3"/>
      <c r="M26" s="9"/>
      <c r="N26" s="9"/>
      <c r="O26" s="9"/>
      <c r="P26" s="9"/>
    </row>
    <row r="27" spans="1:16" x14ac:dyDescent="0.25">
      <c r="A27" s="22" t="b">
        <v>0</v>
      </c>
      <c r="B27" s="2">
        <f t="shared" si="0"/>
        <v>26</v>
      </c>
      <c r="C27" s="2" t="e">
        <f>_xlfn.XLOOKUP($D27,Tab_Def_Processes[Process_Name],Tab_Def_Processes[Process_ID],,0,)</f>
        <v>#N/A</v>
      </c>
      <c r="D27" s="18" t="s">
        <v>5</v>
      </c>
      <c r="E27" s="2" t="e">
        <f>_xlfn.XLOOKUP($D27,Tab_Def_Processes[Process_Name],Tab_Def_Processes[Process_Logic],,0,)</f>
        <v>#N/A</v>
      </c>
      <c r="F27" s="2" t="e">
        <f>_xlfn.XLOOKUP($D27,Tab_Def_Processes[Process_Name],Tab_Def_Processes[TC_Configuration],,0,)</f>
        <v>#N/A</v>
      </c>
      <c r="G27" s="2" t="e">
        <f>_xlfn.XLOOKUP($D27,Tab_Def_Processes[Process_Name],Tab_Def_Processes[Stock_Configuration],,0,)</f>
        <v>#N/A</v>
      </c>
      <c r="H27" s="2" t="e">
        <f>_xlfn.XLOOKUP(Tab_DSM[[#This Row],[Process_Name]],Tab_Def_Processes[Process_Name],Tab_Def_Processes[Outflow_count],,0,)</f>
        <v>#N/A</v>
      </c>
      <c r="I27" s="2" t="e">
        <f>"P"&amp;Tab_DSM[[#This Row],[Process_ID]]&amp;"_"&amp;Tab_DSM[[#This Row],[DSM_Parameter_type]]&amp;"_Cat_"&amp;Tab_DSM[[#This Row],[DSM_material_count]]</f>
        <v>#N/A</v>
      </c>
      <c r="J27" s="18"/>
      <c r="K27" s="18"/>
      <c r="L27" s="3"/>
      <c r="M27" s="9"/>
      <c r="N27" s="9"/>
      <c r="O27" s="9"/>
      <c r="P27" s="9"/>
    </row>
    <row r="28" spans="1:16" x14ac:dyDescent="0.25">
      <c r="A28" s="22" t="b">
        <v>0</v>
      </c>
      <c r="B28" s="2">
        <f t="shared" si="0"/>
        <v>27</v>
      </c>
      <c r="C28" s="2" t="e">
        <f>_xlfn.XLOOKUP($D28,Tab_Def_Processes[Process_Name],Tab_Def_Processes[Process_ID],,0,)</f>
        <v>#N/A</v>
      </c>
      <c r="D28" s="18" t="s">
        <v>5</v>
      </c>
      <c r="E28" s="2" t="e">
        <f>_xlfn.XLOOKUP($D28,Tab_Def_Processes[Process_Name],Tab_Def_Processes[Process_Logic],,0,)</f>
        <v>#N/A</v>
      </c>
      <c r="F28" s="2" t="e">
        <f>_xlfn.XLOOKUP($D28,Tab_Def_Processes[Process_Name],Tab_Def_Processes[TC_Configuration],,0,)</f>
        <v>#N/A</v>
      </c>
      <c r="G28" s="2" t="e">
        <f>_xlfn.XLOOKUP($D28,Tab_Def_Processes[Process_Name],Tab_Def_Processes[Stock_Configuration],,0,)</f>
        <v>#N/A</v>
      </c>
      <c r="H28" s="2" t="e">
        <f>_xlfn.XLOOKUP(Tab_DSM[[#This Row],[Process_Name]],Tab_Def_Processes[Process_Name],Tab_Def_Processes[Outflow_count],,0,)</f>
        <v>#N/A</v>
      </c>
      <c r="I28" s="2" t="e">
        <f>"P"&amp;Tab_DSM[[#This Row],[Process_ID]]&amp;"_"&amp;Tab_DSM[[#This Row],[DSM_Parameter_type]]&amp;"_Cat_"&amp;Tab_DSM[[#This Row],[DSM_material_count]]</f>
        <v>#N/A</v>
      </c>
      <c r="J28" s="18"/>
      <c r="K28" s="18"/>
      <c r="L28" s="3"/>
      <c r="M28" s="9"/>
      <c r="N28" s="9"/>
      <c r="O28" s="9"/>
      <c r="P28" s="9"/>
    </row>
    <row r="29" spans="1:16" x14ac:dyDescent="0.25">
      <c r="A29" s="22" t="b">
        <v>0</v>
      </c>
      <c r="B29" s="2">
        <f t="shared" si="0"/>
        <v>28</v>
      </c>
      <c r="C29" s="2" t="e">
        <f>_xlfn.XLOOKUP($D29,Tab_Def_Processes[Process_Name],Tab_Def_Processes[Process_ID],,0,)</f>
        <v>#N/A</v>
      </c>
      <c r="D29" s="18" t="s">
        <v>5</v>
      </c>
      <c r="E29" s="2" t="e">
        <f>_xlfn.XLOOKUP($D29,Tab_Def_Processes[Process_Name],Tab_Def_Processes[Process_Logic],,0,)</f>
        <v>#N/A</v>
      </c>
      <c r="F29" s="2" t="e">
        <f>_xlfn.XLOOKUP($D29,Tab_Def_Processes[Process_Name],Tab_Def_Processes[TC_Configuration],,0,)</f>
        <v>#N/A</v>
      </c>
      <c r="G29" s="2" t="e">
        <f>_xlfn.XLOOKUP($D29,Tab_Def_Processes[Process_Name],Tab_Def_Processes[Stock_Configuration],,0,)</f>
        <v>#N/A</v>
      </c>
      <c r="H29" s="2" t="e">
        <f>_xlfn.XLOOKUP(Tab_DSM[[#This Row],[Process_Name]],Tab_Def_Processes[Process_Name],Tab_Def_Processes[Outflow_count],,0,)</f>
        <v>#N/A</v>
      </c>
      <c r="I29" s="2" t="e">
        <f>"P"&amp;Tab_DSM[[#This Row],[Process_ID]]&amp;"_"&amp;Tab_DSM[[#This Row],[DSM_Parameter_type]]&amp;"_Cat_"&amp;Tab_DSM[[#This Row],[DSM_material_count]]</f>
        <v>#N/A</v>
      </c>
      <c r="J29" s="18"/>
      <c r="K29" s="18"/>
      <c r="L29" s="3"/>
      <c r="M29" s="9"/>
      <c r="N29" s="9"/>
      <c r="O29" s="9"/>
      <c r="P29" s="9"/>
    </row>
    <row r="30" spans="1:16" x14ac:dyDescent="0.25">
      <c r="A30" s="22" t="b">
        <v>0</v>
      </c>
      <c r="B30" s="2">
        <f t="shared" si="0"/>
        <v>29</v>
      </c>
      <c r="C30" s="2" t="e">
        <f>_xlfn.XLOOKUP($D30,Tab_Def_Processes[Process_Name],Tab_Def_Processes[Process_ID],,0,)</f>
        <v>#N/A</v>
      </c>
      <c r="D30" s="18" t="s">
        <v>5</v>
      </c>
      <c r="E30" s="2" t="e">
        <f>_xlfn.XLOOKUP($D30,Tab_Def_Processes[Process_Name],Tab_Def_Processes[Process_Logic],,0,)</f>
        <v>#N/A</v>
      </c>
      <c r="F30" s="2" t="e">
        <f>_xlfn.XLOOKUP($D30,Tab_Def_Processes[Process_Name],Tab_Def_Processes[TC_Configuration],,0,)</f>
        <v>#N/A</v>
      </c>
      <c r="G30" s="2" t="e">
        <f>_xlfn.XLOOKUP($D30,Tab_Def_Processes[Process_Name],Tab_Def_Processes[Stock_Configuration],,0,)</f>
        <v>#N/A</v>
      </c>
      <c r="H30" s="2" t="e">
        <f>_xlfn.XLOOKUP(Tab_DSM[[#This Row],[Process_Name]],Tab_Def_Processes[Process_Name],Tab_Def_Processes[Outflow_count],,0,)</f>
        <v>#N/A</v>
      </c>
      <c r="I30" s="2" t="e">
        <f>"P"&amp;Tab_DSM[[#This Row],[Process_ID]]&amp;"_"&amp;Tab_DSM[[#This Row],[DSM_Parameter_type]]&amp;"_Cat_"&amp;Tab_DSM[[#This Row],[DSM_material_count]]</f>
        <v>#N/A</v>
      </c>
      <c r="J30" s="18"/>
      <c r="K30" s="18"/>
      <c r="L30" s="3"/>
      <c r="M30" s="9"/>
      <c r="N30" s="9"/>
      <c r="O30" s="9"/>
      <c r="P30" s="9"/>
    </row>
    <row r="31" spans="1:16" x14ac:dyDescent="0.25">
      <c r="A31" s="22" t="b">
        <v>0</v>
      </c>
      <c r="B31" s="2">
        <f t="shared" si="0"/>
        <v>30</v>
      </c>
      <c r="C31" s="2" t="e">
        <f>_xlfn.XLOOKUP($D31,Tab_Def_Processes[Process_Name],Tab_Def_Processes[Process_ID],,0,)</f>
        <v>#N/A</v>
      </c>
      <c r="D31" s="18" t="s">
        <v>5</v>
      </c>
      <c r="E31" s="2" t="e">
        <f>_xlfn.XLOOKUP($D31,Tab_Def_Processes[Process_Name],Tab_Def_Processes[Process_Logic],,0,)</f>
        <v>#N/A</v>
      </c>
      <c r="F31" s="2" t="e">
        <f>_xlfn.XLOOKUP($D31,Tab_Def_Processes[Process_Name],Tab_Def_Processes[TC_Configuration],,0,)</f>
        <v>#N/A</v>
      </c>
      <c r="G31" s="2" t="e">
        <f>_xlfn.XLOOKUP($D31,Tab_Def_Processes[Process_Name],Tab_Def_Processes[Stock_Configuration],,0,)</f>
        <v>#N/A</v>
      </c>
      <c r="H31" s="2" t="e">
        <f>_xlfn.XLOOKUP(Tab_DSM[[#This Row],[Process_Name]],Tab_Def_Processes[Process_Name],Tab_Def_Processes[Outflow_count],,0,)</f>
        <v>#N/A</v>
      </c>
      <c r="I31" s="2" t="e">
        <f>"P"&amp;Tab_DSM[[#This Row],[Process_ID]]&amp;"_"&amp;Tab_DSM[[#This Row],[DSM_Parameter_type]]&amp;"_Cat_"&amp;Tab_DSM[[#This Row],[DSM_material_count]]</f>
        <v>#N/A</v>
      </c>
      <c r="J31" s="18"/>
      <c r="K31" s="18"/>
      <c r="L31" s="3"/>
      <c r="M31" s="9"/>
      <c r="N31" s="9"/>
      <c r="O31" s="9"/>
      <c r="P31" s="9"/>
    </row>
    <row r="32" spans="1:16" x14ac:dyDescent="0.25">
      <c r="A32" s="22" t="b">
        <v>0</v>
      </c>
      <c r="B32" s="2">
        <f t="shared" si="0"/>
        <v>31</v>
      </c>
      <c r="C32" s="2" t="e">
        <f>_xlfn.XLOOKUP($D32,Tab_Def_Processes[Process_Name],Tab_Def_Processes[Process_ID],,0,)</f>
        <v>#N/A</v>
      </c>
      <c r="D32" s="18" t="s">
        <v>5</v>
      </c>
      <c r="E32" s="2" t="e">
        <f>_xlfn.XLOOKUP($D32,Tab_Def_Processes[Process_Name],Tab_Def_Processes[Process_Logic],,0,)</f>
        <v>#N/A</v>
      </c>
      <c r="F32" s="2" t="e">
        <f>_xlfn.XLOOKUP($D32,Tab_Def_Processes[Process_Name],Tab_Def_Processes[TC_Configuration],,0,)</f>
        <v>#N/A</v>
      </c>
      <c r="G32" s="2" t="e">
        <f>_xlfn.XLOOKUP($D32,Tab_Def_Processes[Process_Name],Tab_Def_Processes[Stock_Configuration],,0,)</f>
        <v>#N/A</v>
      </c>
      <c r="H32" s="2" t="e">
        <f>_xlfn.XLOOKUP(Tab_DSM[[#This Row],[Process_Name]],Tab_Def_Processes[Process_Name],Tab_Def_Processes[Outflow_count],,0,)</f>
        <v>#N/A</v>
      </c>
      <c r="I32" s="2" t="e">
        <f>"P"&amp;Tab_DSM[[#This Row],[Process_ID]]&amp;"_"&amp;Tab_DSM[[#This Row],[DSM_Parameter_type]]&amp;"_Cat_"&amp;Tab_DSM[[#This Row],[DSM_material_count]]</f>
        <v>#N/A</v>
      </c>
      <c r="J32" s="18"/>
      <c r="K32" s="18"/>
      <c r="L32" s="3"/>
      <c r="M32" s="9"/>
      <c r="N32" s="9"/>
      <c r="O32" s="9"/>
      <c r="P32" s="9"/>
    </row>
    <row r="33" spans="1:16" x14ac:dyDescent="0.25">
      <c r="A33" s="22" t="b">
        <v>0</v>
      </c>
      <c r="B33" s="2">
        <f t="shared" si="0"/>
        <v>32</v>
      </c>
      <c r="C33" s="2" t="e">
        <f>_xlfn.XLOOKUP($D33,Tab_Def_Processes[Process_Name],Tab_Def_Processes[Process_ID],,0,)</f>
        <v>#N/A</v>
      </c>
      <c r="D33" s="18" t="s">
        <v>5</v>
      </c>
      <c r="E33" s="2" t="e">
        <f>_xlfn.XLOOKUP($D33,Tab_Def_Processes[Process_Name],Tab_Def_Processes[Process_Logic],,0,)</f>
        <v>#N/A</v>
      </c>
      <c r="F33" s="2" t="e">
        <f>_xlfn.XLOOKUP($D33,Tab_Def_Processes[Process_Name],Tab_Def_Processes[TC_Configuration],,0,)</f>
        <v>#N/A</v>
      </c>
      <c r="G33" s="2" t="e">
        <f>_xlfn.XLOOKUP($D33,Tab_Def_Processes[Process_Name],Tab_Def_Processes[Stock_Configuration],,0,)</f>
        <v>#N/A</v>
      </c>
      <c r="H33" s="2" t="e">
        <f>_xlfn.XLOOKUP(Tab_DSM[[#This Row],[Process_Name]],Tab_Def_Processes[Process_Name],Tab_Def_Processes[Outflow_count],,0,)</f>
        <v>#N/A</v>
      </c>
      <c r="I33" s="2" t="e">
        <f>"P"&amp;Tab_DSM[[#This Row],[Process_ID]]&amp;"_"&amp;Tab_DSM[[#This Row],[DSM_Parameter_type]]&amp;"_Cat_"&amp;Tab_DSM[[#This Row],[DSM_material_count]]</f>
        <v>#N/A</v>
      </c>
      <c r="J33" s="18"/>
      <c r="K33" s="18"/>
      <c r="L33" s="3"/>
      <c r="M33" s="9"/>
      <c r="N33" s="9"/>
      <c r="O33" s="9"/>
      <c r="P33" s="9"/>
    </row>
    <row r="34" spans="1:16" x14ac:dyDescent="0.25">
      <c r="A34" s="22" t="b">
        <v>0</v>
      </c>
      <c r="B34" s="2">
        <f t="shared" si="0"/>
        <v>33</v>
      </c>
      <c r="C34" s="2" t="e">
        <f>_xlfn.XLOOKUP($D34,Tab_Def_Processes[Process_Name],Tab_Def_Processes[Process_ID],,0,)</f>
        <v>#N/A</v>
      </c>
      <c r="D34" s="18" t="s">
        <v>5</v>
      </c>
      <c r="E34" s="2" t="e">
        <f>_xlfn.XLOOKUP($D34,Tab_Def_Processes[Process_Name],Tab_Def_Processes[Process_Logic],,0,)</f>
        <v>#N/A</v>
      </c>
      <c r="F34" s="2" t="e">
        <f>_xlfn.XLOOKUP($D34,Tab_Def_Processes[Process_Name],Tab_Def_Processes[TC_Configuration],,0,)</f>
        <v>#N/A</v>
      </c>
      <c r="G34" s="2" t="e">
        <f>_xlfn.XLOOKUP($D34,Tab_Def_Processes[Process_Name],Tab_Def_Processes[Stock_Configuration],,0,)</f>
        <v>#N/A</v>
      </c>
      <c r="H34" s="2" t="e">
        <f>_xlfn.XLOOKUP(Tab_DSM[[#This Row],[Process_Name]],Tab_Def_Processes[Process_Name],Tab_Def_Processes[Outflow_count],,0,)</f>
        <v>#N/A</v>
      </c>
      <c r="I34" s="2" t="e">
        <f>"P"&amp;Tab_DSM[[#This Row],[Process_ID]]&amp;"_"&amp;Tab_DSM[[#This Row],[DSM_Parameter_type]]&amp;"_Cat_"&amp;Tab_DSM[[#This Row],[DSM_material_count]]</f>
        <v>#N/A</v>
      </c>
      <c r="J34" s="18"/>
      <c r="K34" s="18"/>
      <c r="L34" s="3"/>
      <c r="M34" s="9"/>
      <c r="N34" s="9"/>
      <c r="O34" s="9"/>
      <c r="P34" s="9"/>
    </row>
    <row r="35" spans="1:16" x14ac:dyDescent="0.25">
      <c r="A35" s="22" t="b">
        <v>0</v>
      </c>
      <c r="B35" s="2">
        <f t="shared" si="0"/>
        <v>34</v>
      </c>
      <c r="C35" s="2" t="e">
        <f>_xlfn.XLOOKUP($D35,Tab_Def_Processes[Process_Name],Tab_Def_Processes[Process_ID],,0,)</f>
        <v>#N/A</v>
      </c>
      <c r="D35" s="18" t="s">
        <v>5</v>
      </c>
      <c r="E35" s="2" t="e">
        <f>_xlfn.XLOOKUP($D35,Tab_Def_Processes[Process_Name],Tab_Def_Processes[Process_Logic],,0,)</f>
        <v>#N/A</v>
      </c>
      <c r="F35" s="2" t="e">
        <f>_xlfn.XLOOKUP($D35,Tab_Def_Processes[Process_Name],Tab_Def_Processes[TC_Configuration],,0,)</f>
        <v>#N/A</v>
      </c>
      <c r="G35" s="2" t="e">
        <f>_xlfn.XLOOKUP($D35,Tab_Def_Processes[Process_Name],Tab_Def_Processes[Stock_Configuration],,0,)</f>
        <v>#N/A</v>
      </c>
      <c r="H35" s="2" t="e">
        <f>_xlfn.XLOOKUP(Tab_DSM[[#This Row],[Process_Name]],Tab_Def_Processes[Process_Name],Tab_Def_Processes[Outflow_count],,0,)</f>
        <v>#N/A</v>
      </c>
      <c r="I35" s="2" t="e">
        <f>"P"&amp;Tab_DSM[[#This Row],[Process_ID]]&amp;"_"&amp;Tab_DSM[[#This Row],[DSM_Parameter_type]]&amp;"_Cat_"&amp;Tab_DSM[[#This Row],[DSM_material_count]]</f>
        <v>#N/A</v>
      </c>
      <c r="J35" s="18"/>
      <c r="K35" s="18"/>
      <c r="L35" s="3"/>
      <c r="M35" s="9"/>
      <c r="N35" s="9"/>
      <c r="O35" s="9"/>
      <c r="P35" s="9"/>
    </row>
    <row r="36" spans="1:16" x14ac:dyDescent="0.25">
      <c r="A36" s="22" t="b">
        <v>0</v>
      </c>
      <c r="B36" s="2">
        <f t="shared" si="0"/>
        <v>35</v>
      </c>
      <c r="C36" s="2" t="e">
        <f>_xlfn.XLOOKUP($D36,Tab_Def_Processes[Process_Name],Tab_Def_Processes[Process_ID],,0,)</f>
        <v>#N/A</v>
      </c>
      <c r="D36" s="18" t="s">
        <v>5</v>
      </c>
      <c r="E36" s="2" t="e">
        <f>_xlfn.XLOOKUP($D36,Tab_Def_Processes[Process_Name],Tab_Def_Processes[Process_Logic],,0,)</f>
        <v>#N/A</v>
      </c>
      <c r="F36" s="2" t="e">
        <f>_xlfn.XLOOKUP($D36,Tab_Def_Processes[Process_Name],Tab_Def_Processes[TC_Configuration],,0,)</f>
        <v>#N/A</v>
      </c>
      <c r="G36" s="2" t="e">
        <f>_xlfn.XLOOKUP($D36,Tab_Def_Processes[Process_Name],Tab_Def_Processes[Stock_Configuration],,0,)</f>
        <v>#N/A</v>
      </c>
      <c r="H36" s="2" t="e">
        <f>_xlfn.XLOOKUP(Tab_DSM[[#This Row],[Process_Name]],Tab_Def_Processes[Process_Name],Tab_Def_Processes[Outflow_count],,0,)</f>
        <v>#N/A</v>
      </c>
      <c r="I36" s="2" t="e">
        <f>"P"&amp;Tab_DSM[[#This Row],[Process_ID]]&amp;"_"&amp;Tab_DSM[[#This Row],[DSM_Parameter_type]]&amp;"_Cat_"&amp;Tab_DSM[[#This Row],[DSM_material_count]]</f>
        <v>#N/A</v>
      </c>
      <c r="J36" s="18"/>
      <c r="K36" s="18"/>
      <c r="L36" s="3"/>
      <c r="M36" s="9"/>
      <c r="N36" s="9"/>
      <c r="O36" s="9"/>
      <c r="P36" s="9"/>
    </row>
    <row r="37" spans="1:16" x14ac:dyDescent="0.25">
      <c r="A37" s="22" t="b">
        <v>0</v>
      </c>
      <c r="B37" s="2">
        <f t="shared" si="0"/>
        <v>36</v>
      </c>
      <c r="C37" s="2" t="e">
        <f>_xlfn.XLOOKUP($D37,Tab_Def_Processes[Process_Name],Tab_Def_Processes[Process_ID],,0,)</f>
        <v>#N/A</v>
      </c>
      <c r="D37" s="18" t="s">
        <v>5</v>
      </c>
      <c r="E37" s="2" t="e">
        <f>_xlfn.XLOOKUP($D37,Tab_Def_Processes[Process_Name],Tab_Def_Processes[Process_Logic],,0,)</f>
        <v>#N/A</v>
      </c>
      <c r="F37" s="2" t="e">
        <f>_xlfn.XLOOKUP($D37,Tab_Def_Processes[Process_Name],Tab_Def_Processes[TC_Configuration],,0,)</f>
        <v>#N/A</v>
      </c>
      <c r="G37" s="2" t="e">
        <f>_xlfn.XLOOKUP($D37,Tab_Def_Processes[Process_Name],Tab_Def_Processes[Stock_Configuration],,0,)</f>
        <v>#N/A</v>
      </c>
      <c r="H37" s="2" t="e">
        <f>_xlfn.XLOOKUP(Tab_DSM[[#This Row],[Process_Name]],Tab_Def_Processes[Process_Name],Tab_Def_Processes[Outflow_count],,0,)</f>
        <v>#N/A</v>
      </c>
      <c r="I37" s="2" t="e">
        <f>"P"&amp;Tab_DSM[[#This Row],[Process_ID]]&amp;"_"&amp;Tab_DSM[[#This Row],[DSM_Parameter_type]]&amp;"_Cat_"&amp;Tab_DSM[[#This Row],[DSM_material_count]]</f>
        <v>#N/A</v>
      </c>
      <c r="J37" s="18"/>
      <c r="K37" s="18"/>
      <c r="L37" s="3"/>
      <c r="M37" s="9"/>
      <c r="N37" s="9"/>
      <c r="O37" s="9"/>
      <c r="P37" s="9"/>
    </row>
    <row r="38" spans="1:16" x14ac:dyDescent="0.25">
      <c r="A38" s="22" t="b">
        <v>0</v>
      </c>
      <c r="B38" s="2">
        <f t="shared" si="0"/>
        <v>37</v>
      </c>
      <c r="C38" s="2" t="e">
        <f>_xlfn.XLOOKUP($D38,Tab_Def_Processes[Process_Name],Tab_Def_Processes[Process_ID],,0,)</f>
        <v>#N/A</v>
      </c>
      <c r="D38" s="18" t="s">
        <v>5</v>
      </c>
      <c r="E38" s="2" t="e">
        <f>_xlfn.XLOOKUP($D38,Tab_Def_Processes[Process_Name],Tab_Def_Processes[Process_Logic],,0,)</f>
        <v>#N/A</v>
      </c>
      <c r="F38" s="2" t="e">
        <f>_xlfn.XLOOKUP($D38,Tab_Def_Processes[Process_Name],Tab_Def_Processes[TC_Configuration],,0,)</f>
        <v>#N/A</v>
      </c>
      <c r="G38" s="2" t="e">
        <f>_xlfn.XLOOKUP($D38,Tab_Def_Processes[Process_Name],Tab_Def_Processes[Stock_Configuration],,0,)</f>
        <v>#N/A</v>
      </c>
      <c r="H38" s="2" t="e">
        <f>_xlfn.XLOOKUP(Tab_DSM[[#This Row],[Process_Name]],Tab_Def_Processes[Process_Name],Tab_Def_Processes[Outflow_count],,0,)</f>
        <v>#N/A</v>
      </c>
      <c r="I38" s="2" t="e">
        <f>"P"&amp;Tab_DSM[[#This Row],[Process_ID]]&amp;"_"&amp;Tab_DSM[[#This Row],[DSM_Parameter_type]]&amp;"_Cat_"&amp;Tab_DSM[[#This Row],[DSM_material_count]]</f>
        <v>#N/A</v>
      </c>
      <c r="J38" s="18"/>
      <c r="K38" s="18"/>
      <c r="L38" s="3"/>
      <c r="M38" s="9"/>
      <c r="N38" s="9"/>
      <c r="O38" s="9"/>
      <c r="P38" s="9"/>
    </row>
    <row r="39" spans="1:16" x14ac:dyDescent="0.25">
      <c r="A39" s="22" t="b">
        <v>0</v>
      </c>
      <c r="B39" s="2">
        <f t="shared" si="0"/>
        <v>38</v>
      </c>
      <c r="C39" s="2" t="e">
        <f>_xlfn.XLOOKUP($D39,Tab_Def_Processes[Process_Name],Tab_Def_Processes[Process_ID],,0,)</f>
        <v>#N/A</v>
      </c>
      <c r="D39" s="18" t="s">
        <v>5</v>
      </c>
      <c r="E39" s="2" t="e">
        <f>_xlfn.XLOOKUP($D39,Tab_Def_Processes[Process_Name],Tab_Def_Processes[Process_Logic],,0,)</f>
        <v>#N/A</v>
      </c>
      <c r="F39" s="2" t="e">
        <f>_xlfn.XLOOKUP($D39,Tab_Def_Processes[Process_Name],Tab_Def_Processes[TC_Configuration],,0,)</f>
        <v>#N/A</v>
      </c>
      <c r="G39" s="2" t="e">
        <f>_xlfn.XLOOKUP($D39,Tab_Def_Processes[Process_Name],Tab_Def_Processes[Stock_Configuration],,0,)</f>
        <v>#N/A</v>
      </c>
      <c r="H39" s="2" t="e">
        <f>_xlfn.XLOOKUP(Tab_DSM[[#This Row],[Process_Name]],Tab_Def_Processes[Process_Name],Tab_Def_Processes[Outflow_count],,0,)</f>
        <v>#N/A</v>
      </c>
      <c r="I39" s="2" t="e">
        <f>"P"&amp;Tab_DSM[[#This Row],[Process_ID]]&amp;"_"&amp;Tab_DSM[[#This Row],[DSM_Parameter_type]]&amp;"_Cat_"&amp;Tab_DSM[[#This Row],[DSM_material_count]]</f>
        <v>#N/A</v>
      </c>
      <c r="J39" s="18"/>
      <c r="K39" s="18"/>
      <c r="L39" s="3"/>
      <c r="M39" s="9"/>
      <c r="N39" s="9"/>
      <c r="O39" s="9"/>
      <c r="P39" s="9"/>
    </row>
    <row r="40" spans="1:16" x14ac:dyDescent="0.25">
      <c r="A40" s="22" t="b">
        <v>0</v>
      </c>
      <c r="B40" s="2">
        <f t="shared" si="0"/>
        <v>39</v>
      </c>
      <c r="C40" s="2" t="e">
        <f>_xlfn.XLOOKUP($D40,Tab_Def_Processes[Process_Name],Tab_Def_Processes[Process_ID],,0,)</f>
        <v>#N/A</v>
      </c>
      <c r="D40" s="18" t="s">
        <v>5</v>
      </c>
      <c r="E40" s="2" t="e">
        <f>_xlfn.XLOOKUP($D40,Tab_Def_Processes[Process_Name],Tab_Def_Processes[Process_Logic],,0,)</f>
        <v>#N/A</v>
      </c>
      <c r="F40" s="2" t="e">
        <f>_xlfn.XLOOKUP($D40,Tab_Def_Processes[Process_Name],Tab_Def_Processes[TC_Configuration],,0,)</f>
        <v>#N/A</v>
      </c>
      <c r="G40" s="2" t="e">
        <f>_xlfn.XLOOKUP($D40,Tab_Def_Processes[Process_Name],Tab_Def_Processes[Stock_Configuration],,0,)</f>
        <v>#N/A</v>
      </c>
      <c r="H40" s="2" t="e">
        <f>_xlfn.XLOOKUP(Tab_DSM[[#This Row],[Process_Name]],Tab_Def_Processes[Process_Name],Tab_Def_Processes[Outflow_count],,0,)</f>
        <v>#N/A</v>
      </c>
      <c r="I40" s="2" t="e">
        <f>"P"&amp;Tab_DSM[[#This Row],[Process_ID]]&amp;"_"&amp;Tab_DSM[[#This Row],[DSM_Parameter_type]]&amp;"_Cat_"&amp;Tab_DSM[[#This Row],[DSM_material_count]]</f>
        <v>#N/A</v>
      </c>
      <c r="J40" s="18"/>
      <c r="K40" s="18"/>
      <c r="L40" s="3"/>
      <c r="M40" s="9"/>
      <c r="N40" s="9"/>
      <c r="O40" s="9"/>
      <c r="P40" s="9"/>
    </row>
    <row r="41" spans="1:16" x14ac:dyDescent="0.25">
      <c r="A41" s="22" t="b">
        <v>0</v>
      </c>
      <c r="B41" s="2">
        <f t="shared" si="0"/>
        <v>40</v>
      </c>
      <c r="C41" s="2" t="e">
        <f>_xlfn.XLOOKUP($D41,Tab_Def_Processes[Process_Name],Tab_Def_Processes[Process_ID],,0,)</f>
        <v>#N/A</v>
      </c>
      <c r="D41" s="18" t="s">
        <v>5</v>
      </c>
      <c r="E41" s="2" t="e">
        <f>_xlfn.XLOOKUP($D41,Tab_Def_Processes[Process_Name],Tab_Def_Processes[Process_Logic],,0,)</f>
        <v>#N/A</v>
      </c>
      <c r="F41" s="2" t="e">
        <f>_xlfn.XLOOKUP($D41,Tab_Def_Processes[Process_Name],Tab_Def_Processes[TC_Configuration],,0,)</f>
        <v>#N/A</v>
      </c>
      <c r="G41" s="2" t="e">
        <f>_xlfn.XLOOKUP($D41,Tab_Def_Processes[Process_Name],Tab_Def_Processes[Stock_Configuration],,0,)</f>
        <v>#N/A</v>
      </c>
      <c r="H41" s="2" t="e">
        <f>_xlfn.XLOOKUP(Tab_DSM[[#This Row],[Process_Name]],Tab_Def_Processes[Process_Name],Tab_Def_Processes[Outflow_count],,0,)</f>
        <v>#N/A</v>
      </c>
      <c r="I41" s="2" t="e">
        <f>"P"&amp;Tab_DSM[[#This Row],[Process_ID]]&amp;"_"&amp;Tab_DSM[[#This Row],[DSM_Parameter_type]]&amp;"_Cat_"&amp;Tab_DSM[[#This Row],[DSM_material_count]]</f>
        <v>#N/A</v>
      </c>
      <c r="J41" s="18"/>
      <c r="K41" s="18"/>
      <c r="L41" s="3"/>
      <c r="M41" s="9"/>
      <c r="N41" s="9"/>
      <c r="O41" s="9"/>
      <c r="P41" s="9"/>
    </row>
    <row r="42" spans="1:16" x14ac:dyDescent="0.25">
      <c r="A42" s="22" t="b">
        <v>0</v>
      </c>
      <c r="B42" s="2">
        <f t="shared" si="0"/>
        <v>41</v>
      </c>
      <c r="C42" s="2" t="e">
        <f>_xlfn.XLOOKUP($D42,Tab_Def_Processes[Process_Name],Tab_Def_Processes[Process_ID],,0,)</f>
        <v>#N/A</v>
      </c>
      <c r="D42" s="18" t="s">
        <v>5</v>
      </c>
      <c r="E42" s="2" t="e">
        <f>_xlfn.XLOOKUP($D42,Tab_Def_Processes[Process_Name],Tab_Def_Processes[Process_Logic],,0,)</f>
        <v>#N/A</v>
      </c>
      <c r="F42" s="2" t="e">
        <f>_xlfn.XLOOKUP($D42,Tab_Def_Processes[Process_Name],Tab_Def_Processes[TC_Configuration],,0,)</f>
        <v>#N/A</v>
      </c>
      <c r="G42" s="2" t="e">
        <f>_xlfn.XLOOKUP($D42,Tab_Def_Processes[Process_Name],Tab_Def_Processes[Stock_Configuration],,0,)</f>
        <v>#N/A</v>
      </c>
      <c r="H42" s="2" t="e">
        <f>_xlfn.XLOOKUP(Tab_DSM[[#This Row],[Process_Name]],Tab_Def_Processes[Process_Name],Tab_Def_Processes[Outflow_count],,0,)</f>
        <v>#N/A</v>
      </c>
      <c r="I42" s="2" t="e">
        <f>"P"&amp;Tab_DSM[[#This Row],[Process_ID]]&amp;"_"&amp;Tab_DSM[[#This Row],[DSM_Parameter_type]]&amp;"_Cat_"&amp;Tab_DSM[[#This Row],[DSM_material_count]]</f>
        <v>#N/A</v>
      </c>
      <c r="J42" s="18"/>
      <c r="K42" s="18"/>
      <c r="L42" s="3"/>
      <c r="M42" s="9"/>
      <c r="N42" s="9"/>
      <c r="O42" s="9"/>
      <c r="P42" s="9"/>
    </row>
    <row r="43" spans="1:16" x14ac:dyDescent="0.25">
      <c r="A43" s="22" t="b">
        <v>0</v>
      </c>
      <c r="B43" s="2">
        <f t="shared" si="0"/>
        <v>42</v>
      </c>
      <c r="C43" s="2" t="e">
        <f>_xlfn.XLOOKUP($D43,Tab_Def_Processes[Process_Name],Tab_Def_Processes[Process_ID],,0,)</f>
        <v>#N/A</v>
      </c>
      <c r="D43" s="18" t="s">
        <v>5</v>
      </c>
      <c r="E43" s="2" t="e">
        <f>_xlfn.XLOOKUP($D43,Tab_Def_Processes[Process_Name],Tab_Def_Processes[Process_Logic],,0,)</f>
        <v>#N/A</v>
      </c>
      <c r="F43" s="2" t="e">
        <f>_xlfn.XLOOKUP($D43,Tab_Def_Processes[Process_Name],Tab_Def_Processes[TC_Configuration],,0,)</f>
        <v>#N/A</v>
      </c>
      <c r="G43" s="2" t="e">
        <f>_xlfn.XLOOKUP($D43,Tab_Def_Processes[Process_Name],Tab_Def_Processes[Stock_Configuration],,0,)</f>
        <v>#N/A</v>
      </c>
      <c r="H43" s="2" t="e">
        <f>_xlfn.XLOOKUP(Tab_DSM[[#This Row],[Process_Name]],Tab_Def_Processes[Process_Name],Tab_Def_Processes[Outflow_count],,0,)</f>
        <v>#N/A</v>
      </c>
      <c r="I43" s="2" t="e">
        <f>"P"&amp;Tab_DSM[[#This Row],[Process_ID]]&amp;"_"&amp;Tab_DSM[[#This Row],[DSM_Parameter_type]]&amp;"_Cat_"&amp;Tab_DSM[[#This Row],[DSM_material_count]]</f>
        <v>#N/A</v>
      </c>
      <c r="J43" s="18"/>
      <c r="K43" s="18"/>
      <c r="L43" s="3"/>
      <c r="M43" s="9"/>
      <c r="N43" s="9"/>
      <c r="O43" s="9"/>
      <c r="P43" s="9"/>
    </row>
    <row r="44" spans="1:16" x14ac:dyDescent="0.25">
      <c r="A44" s="22" t="b">
        <v>0</v>
      </c>
      <c r="B44" s="2">
        <f t="shared" si="0"/>
        <v>43</v>
      </c>
      <c r="C44" s="2" t="e">
        <f>_xlfn.XLOOKUP($D44,Tab_Def_Processes[Process_Name],Tab_Def_Processes[Process_ID],,0,)</f>
        <v>#N/A</v>
      </c>
      <c r="D44" s="18" t="s">
        <v>5</v>
      </c>
      <c r="E44" s="2" t="e">
        <f>_xlfn.XLOOKUP($D44,Tab_Def_Processes[Process_Name],Tab_Def_Processes[Process_Logic],,0,)</f>
        <v>#N/A</v>
      </c>
      <c r="F44" s="2" t="e">
        <f>_xlfn.XLOOKUP($D44,Tab_Def_Processes[Process_Name],Tab_Def_Processes[TC_Configuration],,0,)</f>
        <v>#N/A</v>
      </c>
      <c r="G44" s="2" t="e">
        <f>_xlfn.XLOOKUP($D44,Tab_Def_Processes[Process_Name],Tab_Def_Processes[Stock_Configuration],,0,)</f>
        <v>#N/A</v>
      </c>
      <c r="H44" s="2" t="e">
        <f>_xlfn.XLOOKUP(Tab_DSM[[#This Row],[Process_Name]],Tab_Def_Processes[Process_Name],Tab_Def_Processes[Outflow_count],,0,)</f>
        <v>#N/A</v>
      </c>
      <c r="I44" s="2" t="e">
        <f>"P"&amp;Tab_DSM[[#This Row],[Process_ID]]&amp;"_"&amp;Tab_DSM[[#This Row],[DSM_Parameter_type]]&amp;"_Cat_"&amp;Tab_DSM[[#This Row],[DSM_material_count]]</f>
        <v>#N/A</v>
      </c>
      <c r="J44" s="18"/>
      <c r="K44" s="18"/>
      <c r="L44" s="3"/>
      <c r="M44" s="9"/>
      <c r="N44" s="9"/>
      <c r="O44" s="9"/>
      <c r="P44" s="9"/>
    </row>
    <row r="45" spans="1:16" x14ac:dyDescent="0.25">
      <c r="A45" s="22" t="b">
        <v>0</v>
      </c>
      <c r="B45" s="2">
        <f t="shared" si="0"/>
        <v>44</v>
      </c>
      <c r="C45" s="2" t="e">
        <f>_xlfn.XLOOKUP($D45,Tab_Def_Processes[Process_Name],Tab_Def_Processes[Process_ID],,0,)</f>
        <v>#N/A</v>
      </c>
      <c r="D45" s="18" t="s">
        <v>5</v>
      </c>
      <c r="E45" s="2" t="e">
        <f>_xlfn.XLOOKUP($D45,Tab_Def_Processes[Process_Name],Tab_Def_Processes[Process_Logic],,0,)</f>
        <v>#N/A</v>
      </c>
      <c r="F45" s="2" t="e">
        <f>_xlfn.XLOOKUP($D45,Tab_Def_Processes[Process_Name],Tab_Def_Processes[TC_Configuration],,0,)</f>
        <v>#N/A</v>
      </c>
      <c r="G45" s="2" t="e">
        <f>_xlfn.XLOOKUP($D45,Tab_Def_Processes[Process_Name],Tab_Def_Processes[Stock_Configuration],,0,)</f>
        <v>#N/A</v>
      </c>
      <c r="H45" s="2" t="e">
        <f>_xlfn.XLOOKUP(Tab_DSM[[#This Row],[Process_Name]],Tab_Def_Processes[Process_Name],Tab_Def_Processes[Outflow_count],,0,)</f>
        <v>#N/A</v>
      </c>
      <c r="I45" s="2" t="e">
        <f>"P"&amp;Tab_DSM[[#This Row],[Process_ID]]&amp;"_"&amp;Tab_DSM[[#This Row],[DSM_Parameter_type]]&amp;"_Cat_"&amp;Tab_DSM[[#This Row],[DSM_material_count]]</f>
        <v>#N/A</v>
      </c>
      <c r="J45" s="18"/>
      <c r="K45" s="18"/>
      <c r="L45" s="3"/>
      <c r="M45" s="9"/>
      <c r="N45" s="9"/>
      <c r="O45" s="9"/>
      <c r="P45" s="9"/>
    </row>
    <row r="46" spans="1:16" x14ac:dyDescent="0.25">
      <c r="A46" s="22" t="b">
        <v>0</v>
      </c>
      <c r="B46" s="2">
        <f t="shared" si="0"/>
        <v>45</v>
      </c>
      <c r="C46" s="2" t="e">
        <f>_xlfn.XLOOKUP($D46,Tab_Def_Processes[Process_Name],Tab_Def_Processes[Process_ID],,0,)</f>
        <v>#N/A</v>
      </c>
      <c r="D46" s="18" t="s">
        <v>5</v>
      </c>
      <c r="E46" s="2" t="e">
        <f>_xlfn.XLOOKUP($D46,Tab_Def_Processes[Process_Name],Tab_Def_Processes[Process_Logic],,0,)</f>
        <v>#N/A</v>
      </c>
      <c r="F46" s="2" t="e">
        <f>_xlfn.XLOOKUP($D46,Tab_Def_Processes[Process_Name],Tab_Def_Processes[TC_Configuration],,0,)</f>
        <v>#N/A</v>
      </c>
      <c r="G46" s="2" t="e">
        <f>_xlfn.XLOOKUP($D46,Tab_Def_Processes[Process_Name],Tab_Def_Processes[Stock_Configuration],,0,)</f>
        <v>#N/A</v>
      </c>
      <c r="H46" s="2" t="e">
        <f>_xlfn.XLOOKUP(Tab_DSM[[#This Row],[Process_Name]],Tab_Def_Processes[Process_Name],Tab_Def_Processes[Outflow_count],,0,)</f>
        <v>#N/A</v>
      </c>
      <c r="I46" s="2" t="e">
        <f>"P"&amp;Tab_DSM[[#This Row],[Process_ID]]&amp;"_"&amp;Tab_DSM[[#This Row],[DSM_Parameter_type]]&amp;"_Cat_"&amp;Tab_DSM[[#This Row],[DSM_material_count]]</f>
        <v>#N/A</v>
      </c>
      <c r="J46" s="18"/>
      <c r="K46" s="18"/>
      <c r="L46" s="3"/>
      <c r="M46" s="9"/>
      <c r="N46" s="9"/>
      <c r="O46" s="9"/>
      <c r="P46" s="9"/>
    </row>
    <row r="47" spans="1:16" x14ac:dyDescent="0.25">
      <c r="A47" s="22" t="b">
        <v>0</v>
      </c>
      <c r="B47" s="2">
        <f t="shared" si="0"/>
        <v>46</v>
      </c>
      <c r="C47" s="2" t="e">
        <f>_xlfn.XLOOKUP($D47,Tab_Def_Processes[Process_Name],Tab_Def_Processes[Process_ID],,0,)</f>
        <v>#N/A</v>
      </c>
      <c r="D47" s="18" t="s">
        <v>5</v>
      </c>
      <c r="E47" s="2" t="e">
        <f>_xlfn.XLOOKUP($D47,Tab_Def_Processes[Process_Name],Tab_Def_Processes[Process_Logic],,0,)</f>
        <v>#N/A</v>
      </c>
      <c r="F47" s="2" t="e">
        <f>_xlfn.XLOOKUP($D47,Tab_Def_Processes[Process_Name],Tab_Def_Processes[TC_Configuration],,0,)</f>
        <v>#N/A</v>
      </c>
      <c r="G47" s="2" t="e">
        <f>_xlfn.XLOOKUP($D47,Tab_Def_Processes[Process_Name],Tab_Def_Processes[Stock_Configuration],,0,)</f>
        <v>#N/A</v>
      </c>
      <c r="H47" s="2" t="e">
        <f>_xlfn.XLOOKUP(Tab_DSM[[#This Row],[Process_Name]],Tab_Def_Processes[Process_Name],Tab_Def_Processes[Outflow_count],,0,)</f>
        <v>#N/A</v>
      </c>
      <c r="I47" s="2" t="e">
        <f>"P"&amp;Tab_DSM[[#This Row],[Process_ID]]&amp;"_"&amp;Tab_DSM[[#This Row],[DSM_Parameter_type]]&amp;"_Cat_"&amp;Tab_DSM[[#This Row],[DSM_material_count]]</f>
        <v>#N/A</v>
      </c>
      <c r="J47" s="18"/>
      <c r="K47" s="18"/>
      <c r="L47" s="3"/>
      <c r="M47" s="9"/>
      <c r="N47" s="9"/>
      <c r="O47" s="9"/>
      <c r="P47" s="9"/>
    </row>
    <row r="48" spans="1:16" x14ac:dyDescent="0.25">
      <c r="A48" s="22" t="b">
        <v>0</v>
      </c>
      <c r="B48" s="2">
        <f t="shared" si="0"/>
        <v>47</v>
      </c>
      <c r="C48" s="2" t="e">
        <f>_xlfn.XLOOKUP($D48,Tab_Def_Processes[Process_Name],Tab_Def_Processes[Process_ID],,0,)</f>
        <v>#N/A</v>
      </c>
      <c r="D48" s="18" t="s">
        <v>5</v>
      </c>
      <c r="E48" s="2" t="e">
        <f>_xlfn.XLOOKUP($D48,Tab_Def_Processes[Process_Name],Tab_Def_Processes[Process_Logic],,0,)</f>
        <v>#N/A</v>
      </c>
      <c r="F48" s="2" t="e">
        <f>_xlfn.XLOOKUP($D48,Tab_Def_Processes[Process_Name],Tab_Def_Processes[TC_Configuration],,0,)</f>
        <v>#N/A</v>
      </c>
      <c r="G48" s="2" t="e">
        <f>_xlfn.XLOOKUP($D48,Tab_Def_Processes[Process_Name],Tab_Def_Processes[Stock_Configuration],,0,)</f>
        <v>#N/A</v>
      </c>
      <c r="H48" s="2" t="e">
        <f>_xlfn.XLOOKUP(Tab_DSM[[#This Row],[Process_Name]],Tab_Def_Processes[Process_Name],Tab_Def_Processes[Outflow_count],,0,)</f>
        <v>#N/A</v>
      </c>
      <c r="I48" s="2" t="e">
        <f>"P"&amp;Tab_DSM[[#This Row],[Process_ID]]&amp;"_"&amp;Tab_DSM[[#This Row],[DSM_Parameter_type]]&amp;"_Cat_"&amp;Tab_DSM[[#This Row],[DSM_material_count]]</f>
        <v>#N/A</v>
      </c>
      <c r="J48" s="18"/>
      <c r="K48" s="18"/>
      <c r="L48" s="3"/>
      <c r="M48" s="9"/>
      <c r="N48" s="9"/>
      <c r="O48" s="9"/>
      <c r="P48" s="9"/>
    </row>
    <row r="49" spans="1:16" x14ac:dyDescent="0.25">
      <c r="A49" s="22" t="b">
        <v>0</v>
      </c>
      <c r="B49" s="2">
        <f t="shared" si="0"/>
        <v>48</v>
      </c>
      <c r="C49" s="2" t="e">
        <f>_xlfn.XLOOKUP($D49,Tab_Def_Processes[Process_Name],Tab_Def_Processes[Process_ID],,0,)</f>
        <v>#N/A</v>
      </c>
      <c r="D49" s="18" t="s">
        <v>5</v>
      </c>
      <c r="E49" s="2" t="e">
        <f>_xlfn.XLOOKUP($D49,Tab_Def_Processes[Process_Name],Tab_Def_Processes[Process_Logic],,0,)</f>
        <v>#N/A</v>
      </c>
      <c r="F49" s="2" t="e">
        <f>_xlfn.XLOOKUP($D49,Tab_Def_Processes[Process_Name],Tab_Def_Processes[TC_Configuration],,0,)</f>
        <v>#N/A</v>
      </c>
      <c r="G49" s="2" t="e">
        <f>_xlfn.XLOOKUP($D49,Tab_Def_Processes[Process_Name],Tab_Def_Processes[Stock_Configuration],,0,)</f>
        <v>#N/A</v>
      </c>
      <c r="H49" s="2" t="e">
        <f>_xlfn.XLOOKUP(Tab_DSM[[#This Row],[Process_Name]],Tab_Def_Processes[Process_Name],Tab_Def_Processes[Outflow_count],,0,)</f>
        <v>#N/A</v>
      </c>
      <c r="I49" s="2" t="e">
        <f>"P"&amp;Tab_DSM[[#This Row],[Process_ID]]&amp;"_"&amp;Tab_DSM[[#This Row],[DSM_Parameter_type]]&amp;"_Cat_"&amp;Tab_DSM[[#This Row],[DSM_material_count]]</f>
        <v>#N/A</v>
      </c>
      <c r="J49" s="18"/>
      <c r="K49" s="18"/>
      <c r="L49" s="3"/>
      <c r="M49" s="9"/>
      <c r="N49" s="9"/>
      <c r="O49" s="9"/>
      <c r="P49" s="9"/>
    </row>
    <row r="50" spans="1:16" x14ac:dyDescent="0.25">
      <c r="A50" s="22" t="b">
        <v>0</v>
      </c>
      <c r="B50" s="2">
        <f t="shared" si="0"/>
        <v>49</v>
      </c>
      <c r="C50" s="2" t="e">
        <f>_xlfn.XLOOKUP($D50,Tab_Def_Processes[Process_Name],Tab_Def_Processes[Process_ID],,0,)</f>
        <v>#N/A</v>
      </c>
      <c r="D50" s="18" t="s">
        <v>5</v>
      </c>
      <c r="E50" s="2" t="e">
        <f>_xlfn.XLOOKUP($D50,Tab_Def_Processes[Process_Name],Tab_Def_Processes[Process_Logic],,0,)</f>
        <v>#N/A</v>
      </c>
      <c r="F50" s="2" t="e">
        <f>_xlfn.XLOOKUP($D50,Tab_Def_Processes[Process_Name],Tab_Def_Processes[TC_Configuration],,0,)</f>
        <v>#N/A</v>
      </c>
      <c r="G50" s="2" t="e">
        <f>_xlfn.XLOOKUP($D50,Tab_Def_Processes[Process_Name],Tab_Def_Processes[Stock_Configuration],,0,)</f>
        <v>#N/A</v>
      </c>
      <c r="H50" s="2" t="e">
        <f>_xlfn.XLOOKUP(Tab_DSM[[#This Row],[Process_Name]],Tab_Def_Processes[Process_Name],Tab_Def_Processes[Outflow_count],,0,)</f>
        <v>#N/A</v>
      </c>
      <c r="I50" s="2" t="e">
        <f>"P"&amp;Tab_DSM[[#This Row],[Process_ID]]&amp;"_"&amp;Tab_DSM[[#This Row],[DSM_Parameter_type]]&amp;"_Cat_"&amp;Tab_DSM[[#This Row],[DSM_material_count]]</f>
        <v>#N/A</v>
      </c>
      <c r="J50" s="18"/>
      <c r="K50" s="18"/>
      <c r="L50" s="3"/>
      <c r="M50" s="9"/>
      <c r="N50" s="9"/>
      <c r="O50" s="9"/>
      <c r="P50" s="9"/>
    </row>
    <row r="51" spans="1:16" x14ac:dyDescent="0.25">
      <c r="A51" s="22" t="b">
        <v>0</v>
      </c>
      <c r="B51" s="2">
        <f t="shared" si="0"/>
        <v>50</v>
      </c>
      <c r="C51" s="2" t="e">
        <f>_xlfn.XLOOKUP($D51,Tab_Def_Processes[Process_Name],Tab_Def_Processes[Process_ID],,0,)</f>
        <v>#N/A</v>
      </c>
      <c r="D51" s="18" t="s">
        <v>5</v>
      </c>
      <c r="E51" s="2" t="e">
        <f>_xlfn.XLOOKUP($D51,Tab_Def_Processes[Process_Name],Tab_Def_Processes[Process_Logic],,0,)</f>
        <v>#N/A</v>
      </c>
      <c r="F51" s="2" t="e">
        <f>_xlfn.XLOOKUP($D51,Tab_Def_Processes[Process_Name],Tab_Def_Processes[TC_Configuration],,0,)</f>
        <v>#N/A</v>
      </c>
      <c r="G51" s="2" t="e">
        <f>_xlfn.XLOOKUP($D51,Tab_Def_Processes[Process_Name],Tab_Def_Processes[Stock_Configuration],,0,)</f>
        <v>#N/A</v>
      </c>
      <c r="H51" s="2" t="e">
        <f>_xlfn.XLOOKUP(Tab_DSM[[#This Row],[Process_Name]],Tab_Def_Processes[Process_Name],Tab_Def_Processes[Outflow_count],,0,)</f>
        <v>#N/A</v>
      </c>
      <c r="I51" s="2" t="e">
        <f>"P"&amp;Tab_DSM[[#This Row],[Process_ID]]&amp;"_"&amp;Tab_DSM[[#This Row],[DSM_Parameter_type]]&amp;"_Cat_"&amp;Tab_DSM[[#This Row],[DSM_material_count]]</f>
        <v>#N/A</v>
      </c>
      <c r="J51" s="18"/>
      <c r="K51" s="18"/>
      <c r="L51" s="3"/>
      <c r="M51" s="9"/>
      <c r="N51" s="9"/>
      <c r="O51" s="9"/>
      <c r="P51" s="9"/>
    </row>
    <row r="52" spans="1:16" x14ac:dyDescent="0.25">
      <c r="A52" s="22" t="b">
        <v>0</v>
      </c>
      <c r="B52" s="2">
        <f t="shared" si="0"/>
        <v>51</v>
      </c>
      <c r="C52" s="2" t="e">
        <f>_xlfn.XLOOKUP($D52,Tab_Def_Processes[Process_Name],Tab_Def_Processes[Process_ID],,0,)</f>
        <v>#N/A</v>
      </c>
      <c r="D52" s="18" t="s">
        <v>5</v>
      </c>
      <c r="E52" s="2" t="e">
        <f>_xlfn.XLOOKUP($D52,Tab_Def_Processes[Process_Name],Tab_Def_Processes[Process_Logic],,0,)</f>
        <v>#N/A</v>
      </c>
      <c r="F52" s="2" t="e">
        <f>_xlfn.XLOOKUP($D52,Tab_Def_Processes[Process_Name],Tab_Def_Processes[TC_Configuration],,0,)</f>
        <v>#N/A</v>
      </c>
      <c r="G52" s="2" t="e">
        <f>_xlfn.XLOOKUP($D52,Tab_Def_Processes[Process_Name],Tab_Def_Processes[Stock_Configuration],,0,)</f>
        <v>#N/A</v>
      </c>
      <c r="H52" s="2" t="e">
        <f>_xlfn.XLOOKUP(Tab_DSM[[#This Row],[Process_Name]],Tab_Def_Processes[Process_Name],Tab_Def_Processes[Outflow_count],,0,)</f>
        <v>#N/A</v>
      </c>
      <c r="I52" s="2" t="e">
        <f>"P"&amp;Tab_DSM[[#This Row],[Process_ID]]&amp;"_"&amp;Tab_DSM[[#This Row],[DSM_Parameter_type]]&amp;"_Cat_"&amp;Tab_DSM[[#This Row],[DSM_material_count]]</f>
        <v>#N/A</v>
      </c>
      <c r="J52" s="18"/>
      <c r="K52" s="18"/>
      <c r="L52" s="3"/>
      <c r="M52" s="9"/>
      <c r="N52" s="9"/>
      <c r="O52" s="9"/>
      <c r="P52" s="9"/>
    </row>
    <row r="53" spans="1:16" x14ac:dyDescent="0.25">
      <c r="A53" s="22" t="b">
        <v>0</v>
      </c>
      <c r="B53" s="2">
        <f t="shared" si="0"/>
        <v>52</v>
      </c>
      <c r="C53" s="2" t="e">
        <f>_xlfn.XLOOKUP($D53,Tab_Def_Processes[Process_Name],Tab_Def_Processes[Process_ID],,0,)</f>
        <v>#N/A</v>
      </c>
      <c r="D53" s="18" t="s">
        <v>5</v>
      </c>
      <c r="E53" s="2" t="e">
        <f>_xlfn.XLOOKUP($D53,Tab_Def_Processes[Process_Name],Tab_Def_Processes[Process_Logic],,0,)</f>
        <v>#N/A</v>
      </c>
      <c r="F53" s="2" t="e">
        <f>_xlfn.XLOOKUP($D53,Tab_Def_Processes[Process_Name],Tab_Def_Processes[TC_Configuration],,0,)</f>
        <v>#N/A</v>
      </c>
      <c r="G53" s="2" t="e">
        <f>_xlfn.XLOOKUP($D53,Tab_Def_Processes[Process_Name],Tab_Def_Processes[Stock_Configuration],,0,)</f>
        <v>#N/A</v>
      </c>
      <c r="H53" s="2" t="e">
        <f>_xlfn.XLOOKUP(Tab_DSM[[#This Row],[Process_Name]],Tab_Def_Processes[Process_Name],Tab_Def_Processes[Outflow_count],,0,)</f>
        <v>#N/A</v>
      </c>
      <c r="I53" s="2" t="e">
        <f>"P"&amp;Tab_DSM[[#This Row],[Process_ID]]&amp;"_"&amp;Tab_DSM[[#This Row],[DSM_Parameter_type]]&amp;"_Cat_"&amp;Tab_DSM[[#This Row],[DSM_material_count]]</f>
        <v>#N/A</v>
      </c>
      <c r="J53" s="18"/>
      <c r="K53" s="18"/>
      <c r="L53" s="3"/>
      <c r="M53" s="9"/>
      <c r="N53" s="9"/>
      <c r="O53" s="9"/>
      <c r="P53" s="9"/>
    </row>
    <row r="54" spans="1:16" x14ac:dyDescent="0.25">
      <c r="A54" s="22" t="b">
        <v>0</v>
      </c>
      <c r="B54" s="2">
        <f t="shared" si="0"/>
        <v>53</v>
      </c>
      <c r="C54" s="2" t="e">
        <f>_xlfn.XLOOKUP($D54,Tab_Def_Processes[Process_Name],Tab_Def_Processes[Process_ID],,0,)</f>
        <v>#N/A</v>
      </c>
      <c r="D54" s="18" t="s">
        <v>5</v>
      </c>
      <c r="E54" s="2" t="e">
        <f>_xlfn.XLOOKUP($D54,Tab_Def_Processes[Process_Name],Tab_Def_Processes[Process_Logic],,0,)</f>
        <v>#N/A</v>
      </c>
      <c r="F54" s="2" t="e">
        <f>_xlfn.XLOOKUP($D54,Tab_Def_Processes[Process_Name],Tab_Def_Processes[TC_Configuration],,0,)</f>
        <v>#N/A</v>
      </c>
      <c r="G54" s="2" t="e">
        <f>_xlfn.XLOOKUP($D54,Tab_Def_Processes[Process_Name],Tab_Def_Processes[Stock_Configuration],,0,)</f>
        <v>#N/A</v>
      </c>
      <c r="H54" s="2" t="e">
        <f>_xlfn.XLOOKUP(Tab_DSM[[#This Row],[Process_Name]],Tab_Def_Processes[Process_Name],Tab_Def_Processes[Outflow_count],,0,)</f>
        <v>#N/A</v>
      </c>
      <c r="I54" s="2" t="e">
        <f>"P"&amp;Tab_DSM[[#This Row],[Process_ID]]&amp;"_"&amp;Tab_DSM[[#This Row],[DSM_Parameter_type]]&amp;"_Cat_"&amp;Tab_DSM[[#This Row],[DSM_material_count]]</f>
        <v>#N/A</v>
      </c>
      <c r="J54" s="18"/>
      <c r="K54" s="18"/>
      <c r="L54" s="3"/>
      <c r="M54" s="9"/>
      <c r="N54" s="9"/>
      <c r="O54" s="9"/>
      <c r="P54" s="9"/>
    </row>
    <row r="55" spans="1:16" x14ac:dyDescent="0.25">
      <c r="A55" s="22" t="b">
        <v>0</v>
      </c>
      <c r="B55" s="2">
        <f t="shared" si="0"/>
        <v>54</v>
      </c>
      <c r="C55" s="2" t="e">
        <f>_xlfn.XLOOKUP($D55,Tab_Def_Processes[Process_Name],Tab_Def_Processes[Process_ID],,0,)</f>
        <v>#N/A</v>
      </c>
      <c r="D55" s="18" t="s">
        <v>5</v>
      </c>
      <c r="E55" s="2" t="e">
        <f>_xlfn.XLOOKUP($D55,Tab_Def_Processes[Process_Name],Tab_Def_Processes[Process_Logic],,0,)</f>
        <v>#N/A</v>
      </c>
      <c r="F55" s="2" t="e">
        <f>_xlfn.XLOOKUP($D55,Tab_Def_Processes[Process_Name],Tab_Def_Processes[TC_Configuration],,0,)</f>
        <v>#N/A</v>
      </c>
      <c r="G55" s="2" t="e">
        <f>_xlfn.XLOOKUP($D55,Tab_Def_Processes[Process_Name],Tab_Def_Processes[Stock_Configuration],,0,)</f>
        <v>#N/A</v>
      </c>
      <c r="H55" s="2" t="e">
        <f>_xlfn.XLOOKUP(Tab_DSM[[#This Row],[Process_Name]],Tab_Def_Processes[Process_Name],Tab_Def_Processes[Outflow_count],,0,)</f>
        <v>#N/A</v>
      </c>
      <c r="I55" s="2" t="e">
        <f>"P"&amp;Tab_DSM[[#This Row],[Process_ID]]&amp;"_"&amp;Tab_DSM[[#This Row],[DSM_Parameter_type]]&amp;"_Cat_"&amp;Tab_DSM[[#This Row],[DSM_material_count]]</f>
        <v>#N/A</v>
      </c>
      <c r="J55" s="18"/>
      <c r="K55" s="18"/>
      <c r="L55" s="3"/>
      <c r="M55" s="9"/>
      <c r="N55" s="9"/>
      <c r="O55" s="9"/>
      <c r="P55" s="9"/>
    </row>
    <row r="56" spans="1:16" x14ac:dyDescent="0.25">
      <c r="A56" s="22" t="b">
        <v>0</v>
      </c>
      <c r="B56" s="2">
        <f t="shared" si="0"/>
        <v>55</v>
      </c>
      <c r="C56" s="2" t="e">
        <f>_xlfn.XLOOKUP($D56,Tab_Def_Processes[Process_Name],Tab_Def_Processes[Process_ID],,0,)</f>
        <v>#N/A</v>
      </c>
      <c r="D56" s="18" t="s">
        <v>5</v>
      </c>
      <c r="E56" s="2" t="e">
        <f>_xlfn.XLOOKUP($D56,Tab_Def_Processes[Process_Name],Tab_Def_Processes[Process_Logic],,0,)</f>
        <v>#N/A</v>
      </c>
      <c r="F56" s="2" t="e">
        <f>_xlfn.XLOOKUP($D56,Tab_Def_Processes[Process_Name],Tab_Def_Processes[TC_Configuration],,0,)</f>
        <v>#N/A</v>
      </c>
      <c r="G56" s="2" t="e">
        <f>_xlfn.XLOOKUP($D56,Tab_Def_Processes[Process_Name],Tab_Def_Processes[Stock_Configuration],,0,)</f>
        <v>#N/A</v>
      </c>
      <c r="H56" s="2" t="e">
        <f>_xlfn.XLOOKUP(Tab_DSM[[#This Row],[Process_Name]],Tab_Def_Processes[Process_Name],Tab_Def_Processes[Outflow_count],,0,)</f>
        <v>#N/A</v>
      </c>
      <c r="I56" s="2" t="e">
        <f>"P"&amp;Tab_DSM[[#This Row],[Process_ID]]&amp;"_"&amp;Tab_DSM[[#This Row],[DSM_Parameter_type]]&amp;"_Cat_"&amp;Tab_DSM[[#This Row],[DSM_material_count]]</f>
        <v>#N/A</v>
      </c>
      <c r="J56" s="18"/>
      <c r="K56" s="18"/>
      <c r="L56" s="3"/>
      <c r="M56" s="9"/>
      <c r="N56" s="9"/>
      <c r="O56" s="9"/>
      <c r="P56" s="9"/>
    </row>
    <row r="57" spans="1:16" x14ac:dyDescent="0.25">
      <c r="A57" s="22" t="b">
        <v>0</v>
      </c>
      <c r="B57" s="2">
        <f t="shared" si="0"/>
        <v>56</v>
      </c>
      <c r="C57" s="2" t="e">
        <f>_xlfn.XLOOKUP($D57,Tab_Def_Processes[Process_Name],Tab_Def_Processes[Process_ID],,0,)</f>
        <v>#N/A</v>
      </c>
      <c r="D57" s="18" t="s">
        <v>5</v>
      </c>
      <c r="E57" s="2" t="e">
        <f>_xlfn.XLOOKUP($D57,Tab_Def_Processes[Process_Name],Tab_Def_Processes[Process_Logic],,0,)</f>
        <v>#N/A</v>
      </c>
      <c r="F57" s="2" t="e">
        <f>_xlfn.XLOOKUP($D57,Tab_Def_Processes[Process_Name],Tab_Def_Processes[TC_Configuration],,0,)</f>
        <v>#N/A</v>
      </c>
      <c r="G57" s="2" t="e">
        <f>_xlfn.XLOOKUP($D57,Tab_Def_Processes[Process_Name],Tab_Def_Processes[Stock_Configuration],,0,)</f>
        <v>#N/A</v>
      </c>
      <c r="H57" s="2" t="e">
        <f>_xlfn.XLOOKUP(Tab_DSM[[#This Row],[Process_Name]],Tab_Def_Processes[Process_Name],Tab_Def_Processes[Outflow_count],,0,)</f>
        <v>#N/A</v>
      </c>
      <c r="I57" s="2" t="e">
        <f>"P"&amp;Tab_DSM[[#This Row],[Process_ID]]&amp;"_"&amp;Tab_DSM[[#This Row],[DSM_Parameter_type]]&amp;"_Cat_"&amp;Tab_DSM[[#This Row],[DSM_material_count]]</f>
        <v>#N/A</v>
      </c>
      <c r="J57" s="18"/>
      <c r="K57" s="18"/>
      <c r="L57" s="3"/>
      <c r="M57" s="9"/>
      <c r="N57" s="9"/>
      <c r="O57" s="9"/>
      <c r="P57" s="9"/>
    </row>
    <row r="58" spans="1:16" x14ac:dyDescent="0.25">
      <c r="A58" s="22" t="b">
        <v>0</v>
      </c>
      <c r="B58" s="2">
        <f t="shared" si="0"/>
        <v>57</v>
      </c>
      <c r="C58" s="2" t="e">
        <f>_xlfn.XLOOKUP($D58,Tab_Def_Processes[Process_Name],Tab_Def_Processes[Process_ID],,0,)</f>
        <v>#N/A</v>
      </c>
      <c r="D58" s="18" t="s">
        <v>5</v>
      </c>
      <c r="E58" s="2" t="e">
        <f>_xlfn.XLOOKUP($D58,Tab_Def_Processes[Process_Name],Tab_Def_Processes[Process_Logic],,0,)</f>
        <v>#N/A</v>
      </c>
      <c r="F58" s="2" t="e">
        <f>_xlfn.XLOOKUP($D58,Tab_Def_Processes[Process_Name],Tab_Def_Processes[TC_Configuration],,0,)</f>
        <v>#N/A</v>
      </c>
      <c r="G58" s="2" t="e">
        <f>_xlfn.XLOOKUP($D58,Tab_Def_Processes[Process_Name],Tab_Def_Processes[Stock_Configuration],,0,)</f>
        <v>#N/A</v>
      </c>
      <c r="H58" s="2" t="e">
        <f>_xlfn.XLOOKUP(Tab_DSM[[#This Row],[Process_Name]],Tab_Def_Processes[Process_Name],Tab_Def_Processes[Outflow_count],,0,)</f>
        <v>#N/A</v>
      </c>
      <c r="I58" s="2" t="e">
        <f>"P"&amp;Tab_DSM[[#This Row],[Process_ID]]&amp;"_"&amp;Tab_DSM[[#This Row],[DSM_Parameter_type]]&amp;"_Cat_"&amp;Tab_DSM[[#This Row],[DSM_material_count]]</f>
        <v>#N/A</v>
      </c>
      <c r="J58" s="18"/>
      <c r="K58" s="18"/>
      <c r="L58" s="3"/>
      <c r="M58" s="9"/>
      <c r="N58" s="9"/>
      <c r="O58" s="9"/>
      <c r="P58" s="9"/>
    </row>
    <row r="59" spans="1:16" x14ac:dyDescent="0.25">
      <c r="A59" s="22" t="b">
        <v>0</v>
      </c>
      <c r="B59" s="2">
        <f t="shared" si="0"/>
        <v>58</v>
      </c>
      <c r="C59" s="2" t="e">
        <f>_xlfn.XLOOKUP($D59,Tab_Def_Processes[Process_Name],Tab_Def_Processes[Process_ID],,0,)</f>
        <v>#N/A</v>
      </c>
      <c r="D59" s="18" t="s">
        <v>5</v>
      </c>
      <c r="E59" s="2" t="e">
        <f>_xlfn.XLOOKUP($D59,Tab_Def_Processes[Process_Name],Tab_Def_Processes[Process_Logic],,0,)</f>
        <v>#N/A</v>
      </c>
      <c r="F59" s="2" t="e">
        <f>_xlfn.XLOOKUP($D59,Tab_Def_Processes[Process_Name],Tab_Def_Processes[TC_Configuration],,0,)</f>
        <v>#N/A</v>
      </c>
      <c r="G59" s="2" t="e">
        <f>_xlfn.XLOOKUP($D59,Tab_Def_Processes[Process_Name],Tab_Def_Processes[Stock_Configuration],,0,)</f>
        <v>#N/A</v>
      </c>
      <c r="H59" s="2" t="e">
        <f>_xlfn.XLOOKUP(Tab_DSM[[#This Row],[Process_Name]],Tab_Def_Processes[Process_Name],Tab_Def_Processes[Outflow_count],,0,)</f>
        <v>#N/A</v>
      </c>
      <c r="I59" s="2" t="e">
        <f>"P"&amp;Tab_DSM[[#This Row],[Process_ID]]&amp;"_"&amp;Tab_DSM[[#This Row],[DSM_Parameter_type]]&amp;"_Cat_"&amp;Tab_DSM[[#This Row],[DSM_material_count]]</f>
        <v>#N/A</v>
      </c>
      <c r="J59" s="18"/>
      <c r="K59" s="18"/>
      <c r="L59" s="3"/>
      <c r="M59" s="9"/>
      <c r="N59" s="9"/>
      <c r="O59" s="9"/>
      <c r="P59" s="9"/>
    </row>
    <row r="60" spans="1:16" x14ac:dyDescent="0.25">
      <c r="A60" s="22" t="b">
        <v>0</v>
      </c>
      <c r="B60" s="2">
        <f t="shared" si="0"/>
        <v>59</v>
      </c>
      <c r="C60" s="2" t="e">
        <f>_xlfn.XLOOKUP($D60,Tab_Def_Processes[Process_Name],Tab_Def_Processes[Process_ID],,0,)</f>
        <v>#N/A</v>
      </c>
      <c r="D60" s="18" t="s">
        <v>5</v>
      </c>
      <c r="E60" s="2" t="e">
        <f>_xlfn.XLOOKUP($D60,Tab_Def_Processes[Process_Name],Tab_Def_Processes[Process_Logic],,0,)</f>
        <v>#N/A</v>
      </c>
      <c r="F60" s="2" t="e">
        <f>_xlfn.XLOOKUP($D60,Tab_Def_Processes[Process_Name],Tab_Def_Processes[TC_Configuration],,0,)</f>
        <v>#N/A</v>
      </c>
      <c r="G60" s="2" t="e">
        <f>_xlfn.XLOOKUP($D60,Tab_Def_Processes[Process_Name],Tab_Def_Processes[Stock_Configuration],,0,)</f>
        <v>#N/A</v>
      </c>
      <c r="H60" s="2" t="e">
        <f>_xlfn.XLOOKUP(Tab_DSM[[#This Row],[Process_Name]],Tab_Def_Processes[Process_Name],Tab_Def_Processes[Outflow_count],,0,)</f>
        <v>#N/A</v>
      </c>
      <c r="I60" s="2" t="e">
        <f>"P"&amp;Tab_DSM[[#This Row],[Process_ID]]&amp;"_"&amp;Tab_DSM[[#This Row],[DSM_Parameter_type]]&amp;"_Cat_"&amp;Tab_DSM[[#This Row],[DSM_material_count]]</f>
        <v>#N/A</v>
      </c>
      <c r="J60" s="18"/>
      <c r="K60" s="18"/>
      <c r="L60" s="3"/>
      <c r="M60" s="9"/>
      <c r="N60" s="9"/>
      <c r="O60" s="9"/>
      <c r="P60" s="9"/>
    </row>
    <row r="61" spans="1:16" x14ac:dyDescent="0.25">
      <c r="A61" s="22" t="b">
        <v>0</v>
      </c>
      <c r="B61" s="2">
        <f t="shared" si="0"/>
        <v>60</v>
      </c>
      <c r="C61" s="2" t="e">
        <f>_xlfn.XLOOKUP($D61,Tab_Def_Processes[Process_Name],Tab_Def_Processes[Process_ID],,0,)</f>
        <v>#N/A</v>
      </c>
      <c r="D61" s="18" t="s">
        <v>5</v>
      </c>
      <c r="E61" s="2" t="e">
        <f>_xlfn.XLOOKUP($D61,Tab_Def_Processes[Process_Name],Tab_Def_Processes[Process_Logic],,0,)</f>
        <v>#N/A</v>
      </c>
      <c r="F61" s="2" t="e">
        <f>_xlfn.XLOOKUP($D61,Tab_Def_Processes[Process_Name],Tab_Def_Processes[TC_Configuration],,0,)</f>
        <v>#N/A</v>
      </c>
      <c r="G61" s="2" t="e">
        <f>_xlfn.XLOOKUP($D61,Tab_Def_Processes[Process_Name],Tab_Def_Processes[Stock_Configuration],,0,)</f>
        <v>#N/A</v>
      </c>
      <c r="H61" s="2" t="e">
        <f>_xlfn.XLOOKUP(Tab_DSM[[#This Row],[Process_Name]],Tab_Def_Processes[Process_Name],Tab_Def_Processes[Outflow_count],,0,)</f>
        <v>#N/A</v>
      </c>
      <c r="I61" s="2" t="e">
        <f>"P"&amp;Tab_DSM[[#This Row],[Process_ID]]&amp;"_"&amp;Tab_DSM[[#This Row],[DSM_Parameter_type]]&amp;"_Cat_"&amp;Tab_DSM[[#This Row],[DSM_material_count]]</f>
        <v>#N/A</v>
      </c>
      <c r="J61" s="18"/>
      <c r="K61" s="18"/>
      <c r="L61" s="3"/>
      <c r="M61" s="9"/>
      <c r="N61" s="9"/>
      <c r="O61" s="9"/>
      <c r="P61" s="9"/>
    </row>
    <row r="62" spans="1:16" x14ac:dyDescent="0.25">
      <c r="A62" s="22" t="b">
        <v>0</v>
      </c>
      <c r="B62" s="2">
        <f t="shared" si="0"/>
        <v>61</v>
      </c>
      <c r="C62" s="2" t="e">
        <f>_xlfn.XLOOKUP($D62,Tab_Def_Processes[Process_Name],Tab_Def_Processes[Process_ID],,0,)</f>
        <v>#N/A</v>
      </c>
      <c r="D62" s="18" t="s">
        <v>5</v>
      </c>
      <c r="E62" s="2" t="e">
        <f>_xlfn.XLOOKUP($D62,Tab_Def_Processes[Process_Name],Tab_Def_Processes[Process_Logic],,0,)</f>
        <v>#N/A</v>
      </c>
      <c r="F62" s="2" t="e">
        <f>_xlfn.XLOOKUP($D62,Tab_Def_Processes[Process_Name],Tab_Def_Processes[TC_Configuration],,0,)</f>
        <v>#N/A</v>
      </c>
      <c r="G62" s="2" t="e">
        <f>_xlfn.XLOOKUP($D62,Tab_Def_Processes[Process_Name],Tab_Def_Processes[Stock_Configuration],,0,)</f>
        <v>#N/A</v>
      </c>
      <c r="H62" s="2" t="e">
        <f>_xlfn.XLOOKUP(Tab_DSM[[#This Row],[Process_Name]],Tab_Def_Processes[Process_Name],Tab_Def_Processes[Outflow_count],,0,)</f>
        <v>#N/A</v>
      </c>
      <c r="I62" s="2" t="e">
        <f>"P"&amp;Tab_DSM[[#This Row],[Process_ID]]&amp;"_"&amp;Tab_DSM[[#This Row],[DSM_Parameter_type]]&amp;"_Cat_"&amp;Tab_DSM[[#This Row],[DSM_material_count]]</f>
        <v>#N/A</v>
      </c>
      <c r="J62" s="18"/>
      <c r="K62" s="18"/>
      <c r="L62" s="3"/>
      <c r="M62" s="9"/>
      <c r="N62" s="9"/>
      <c r="O62" s="9"/>
      <c r="P62" s="9"/>
    </row>
    <row r="63" spans="1:16" x14ac:dyDescent="0.25">
      <c r="A63" s="22" t="b">
        <v>0</v>
      </c>
      <c r="B63" s="2">
        <f t="shared" si="0"/>
        <v>62</v>
      </c>
      <c r="C63" s="2" t="e">
        <f>_xlfn.XLOOKUP($D63,Tab_Def_Processes[Process_Name],Tab_Def_Processes[Process_ID],,0,)</f>
        <v>#N/A</v>
      </c>
      <c r="D63" s="18" t="s">
        <v>5</v>
      </c>
      <c r="E63" s="2" t="e">
        <f>_xlfn.XLOOKUP($D63,Tab_Def_Processes[Process_Name],Tab_Def_Processes[Process_Logic],,0,)</f>
        <v>#N/A</v>
      </c>
      <c r="F63" s="2" t="e">
        <f>_xlfn.XLOOKUP($D63,Tab_Def_Processes[Process_Name],Tab_Def_Processes[TC_Configuration],,0,)</f>
        <v>#N/A</v>
      </c>
      <c r="G63" s="2" t="e">
        <f>_xlfn.XLOOKUP($D63,Tab_Def_Processes[Process_Name],Tab_Def_Processes[Stock_Configuration],,0,)</f>
        <v>#N/A</v>
      </c>
      <c r="H63" s="2" t="e">
        <f>_xlfn.XLOOKUP(Tab_DSM[[#This Row],[Process_Name]],Tab_Def_Processes[Process_Name],Tab_Def_Processes[Outflow_count],,0,)</f>
        <v>#N/A</v>
      </c>
      <c r="I63" s="2" t="e">
        <f>"P"&amp;Tab_DSM[[#This Row],[Process_ID]]&amp;"_"&amp;Tab_DSM[[#This Row],[DSM_Parameter_type]]&amp;"_Cat_"&amp;Tab_DSM[[#This Row],[DSM_material_count]]</f>
        <v>#N/A</v>
      </c>
      <c r="J63" s="18"/>
      <c r="K63" s="18"/>
      <c r="L63" s="3"/>
      <c r="M63" s="9"/>
      <c r="N63" s="9"/>
      <c r="O63" s="9"/>
      <c r="P63" s="9"/>
    </row>
    <row r="64" spans="1:16" x14ac:dyDescent="0.25">
      <c r="A64" s="22" t="b">
        <v>0</v>
      </c>
      <c r="B64" s="2">
        <f t="shared" si="0"/>
        <v>63</v>
      </c>
      <c r="C64" s="2" t="e">
        <f>_xlfn.XLOOKUP($D64,Tab_Def_Processes[Process_Name],Tab_Def_Processes[Process_ID],,0,)</f>
        <v>#N/A</v>
      </c>
      <c r="D64" s="18" t="s">
        <v>5</v>
      </c>
      <c r="E64" s="2" t="e">
        <f>_xlfn.XLOOKUP($D64,Tab_Def_Processes[Process_Name],Tab_Def_Processes[Process_Logic],,0,)</f>
        <v>#N/A</v>
      </c>
      <c r="F64" s="2" t="e">
        <f>_xlfn.XLOOKUP($D64,Tab_Def_Processes[Process_Name],Tab_Def_Processes[TC_Configuration],,0,)</f>
        <v>#N/A</v>
      </c>
      <c r="G64" s="2" t="e">
        <f>_xlfn.XLOOKUP($D64,Tab_Def_Processes[Process_Name],Tab_Def_Processes[Stock_Configuration],,0,)</f>
        <v>#N/A</v>
      </c>
      <c r="H64" s="2" t="e">
        <f>_xlfn.XLOOKUP(Tab_DSM[[#This Row],[Process_Name]],Tab_Def_Processes[Process_Name],Tab_Def_Processes[Outflow_count],,0,)</f>
        <v>#N/A</v>
      </c>
      <c r="I64" s="2" t="e">
        <f>"P"&amp;Tab_DSM[[#This Row],[Process_ID]]&amp;"_"&amp;Tab_DSM[[#This Row],[DSM_Parameter_type]]&amp;"_Cat_"&amp;Tab_DSM[[#This Row],[DSM_material_count]]</f>
        <v>#N/A</v>
      </c>
      <c r="J64" s="18"/>
      <c r="K64" s="18"/>
      <c r="L64" s="3"/>
      <c r="M64" s="9"/>
      <c r="N64" s="9"/>
      <c r="O64" s="9"/>
      <c r="P64" s="9"/>
    </row>
    <row r="65" spans="1:16" x14ac:dyDescent="0.25">
      <c r="A65" s="22" t="b">
        <v>0</v>
      </c>
      <c r="B65" s="2">
        <f t="shared" si="0"/>
        <v>64</v>
      </c>
      <c r="C65" s="2" t="e">
        <f>_xlfn.XLOOKUP($D65,Tab_Def_Processes[Process_Name],Tab_Def_Processes[Process_ID],,0,)</f>
        <v>#N/A</v>
      </c>
      <c r="D65" s="18" t="s">
        <v>5</v>
      </c>
      <c r="E65" s="2" t="e">
        <f>_xlfn.XLOOKUP($D65,Tab_Def_Processes[Process_Name],Tab_Def_Processes[Process_Logic],,0,)</f>
        <v>#N/A</v>
      </c>
      <c r="F65" s="2" t="e">
        <f>_xlfn.XLOOKUP($D65,Tab_Def_Processes[Process_Name],Tab_Def_Processes[TC_Configuration],,0,)</f>
        <v>#N/A</v>
      </c>
      <c r="G65" s="2" t="e">
        <f>_xlfn.XLOOKUP($D65,Tab_Def_Processes[Process_Name],Tab_Def_Processes[Stock_Configuration],,0,)</f>
        <v>#N/A</v>
      </c>
      <c r="H65" s="2" t="e">
        <f>_xlfn.XLOOKUP(Tab_DSM[[#This Row],[Process_Name]],Tab_Def_Processes[Process_Name],Tab_Def_Processes[Outflow_count],,0,)</f>
        <v>#N/A</v>
      </c>
      <c r="I65" s="2" t="e">
        <f>"P"&amp;Tab_DSM[[#This Row],[Process_ID]]&amp;"_"&amp;Tab_DSM[[#This Row],[DSM_Parameter_type]]&amp;"_Cat_"&amp;Tab_DSM[[#This Row],[DSM_material_count]]</f>
        <v>#N/A</v>
      </c>
      <c r="J65" s="18"/>
      <c r="K65" s="18"/>
      <c r="L65" s="3"/>
      <c r="M65" s="9"/>
      <c r="N65" s="9"/>
      <c r="O65" s="9"/>
      <c r="P65" s="9"/>
    </row>
    <row r="66" spans="1:16" x14ac:dyDescent="0.25">
      <c r="A66" s="22" t="b">
        <v>0</v>
      </c>
      <c r="B66" s="2">
        <f t="shared" si="0"/>
        <v>65</v>
      </c>
      <c r="C66" s="2" t="e">
        <f>_xlfn.XLOOKUP($D66,Tab_Def_Processes[Process_Name],Tab_Def_Processes[Process_ID],,0,)</f>
        <v>#N/A</v>
      </c>
      <c r="D66" s="18" t="s">
        <v>5</v>
      </c>
      <c r="E66" s="2" t="e">
        <f>_xlfn.XLOOKUP($D66,Tab_Def_Processes[Process_Name],Tab_Def_Processes[Process_Logic],,0,)</f>
        <v>#N/A</v>
      </c>
      <c r="F66" s="2" t="e">
        <f>_xlfn.XLOOKUP($D66,Tab_Def_Processes[Process_Name],Tab_Def_Processes[TC_Configuration],,0,)</f>
        <v>#N/A</v>
      </c>
      <c r="G66" s="2" t="e">
        <f>_xlfn.XLOOKUP($D66,Tab_Def_Processes[Process_Name],Tab_Def_Processes[Stock_Configuration],,0,)</f>
        <v>#N/A</v>
      </c>
      <c r="H66" s="2" t="e">
        <f>_xlfn.XLOOKUP(Tab_DSM[[#This Row],[Process_Name]],Tab_Def_Processes[Process_Name],Tab_Def_Processes[Outflow_count],,0,)</f>
        <v>#N/A</v>
      </c>
      <c r="I66" s="2" t="e">
        <f>"P"&amp;Tab_DSM[[#This Row],[Process_ID]]&amp;"_"&amp;Tab_DSM[[#This Row],[DSM_Parameter_type]]&amp;"_Cat_"&amp;Tab_DSM[[#This Row],[DSM_material_count]]</f>
        <v>#N/A</v>
      </c>
      <c r="J66" s="18"/>
      <c r="K66" s="18"/>
      <c r="L66" s="3"/>
      <c r="M66" s="9"/>
      <c r="N66" s="9"/>
      <c r="O66" s="9"/>
      <c r="P66" s="9"/>
    </row>
    <row r="67" spans="1:16" x14ac:dyDescent="0.25">
      <c r="A67" s="22" t="b">
        <v>0</v>
      </c>
      <c r="B67" s="2">
        <f t="shared" si="0"/>
        <v>66</v>
      </c>
      <c r="C67" s="2" t="e">
        <f>_xlfn.XLOOKUP($D67,Tab_Def_Processes[Process_Name],Tab_Def_Processes[Process_ID],,0,)</f>
        <v>#N/A</v>
      </c>
      <c r="D67" s="18" t="s">
        <v>5</v>
      </c>
      <c r="E67" s="2" t="e">
        <f>_xlfn.XLOOKUP($D67,Tab_Def_Processes[Process_Name],Tab_Def_Processes[Process_Logic],,0,)</f>
        <v>#N/A</v>
      </c>
      <c r="F67" s="2" t="e">
        <f>_xlfn.XLOOKUP($D67,Tab_Def_Processes[Process_Name],Tab_Def_Processes[TC_Configuration],,0,)</f>
        <v>#N/A</v>
      </c>
      <c r="G67" s="2" t="e">
        <f>_xlfn.XLOOKUP($D67,Tab_Def_Processes[Process_Name],Tab_Def_Processes[Stock_Configuration],,0,)</f>
        <v>#N/A</v>
      </c>
      <c r="H67" s="2" t="e">
        <f>_xlfn.XLOOKUP(Tab_DSM[[#This Row],[Process_Name]],Tab_Def_Processes[Process_Name],Tab_Def_Processes[Outflow_count],,0,)</f>
        <v>#N/A</v>
      </c>
      <c r="I67" s="2" t="e">
        <f>"P"&amp;Tab_DSM[[#This Row],[Process_ID]]&amp;"_"&amp;Tab_DSM[[#This Row],[DSM_Parameter_type]]&amp;"_Cat_"&amp;Tab_DSM[[#This Row],[DSM_material_count]]</f>
        <v>#N/A</v>
      </c>
      <c r="J67" s="18"/>
      <c r="K67" s="18"/>
      <c r="L67" s="3"/>
      <c r="M67" s="9"/>
      <c r="N67" s="9"/>
      <c r="O67" s="9"/>
      <c r="P67" s="9"/>
    </row>
    <row r="68" spans="1:16" x14ac:dyDescent="0.25">
      <c r="A68" s="22" t="b">
        <v>0</v>
      </c>
      <c r="B68" s="2">
        <f t="shared" si="0"/>
        <v>67</v>
      </c>
      <c r="C68" s="2" t="e">
        <f>_xlfn.XLOOKUP($D68,Tab_Def_Processes[Process_Name],Tab_Def_Processes[Process_ID],,0,)</f>
        <v>#N/A</v>
      </c>
      <c r="D68" s="18" t="s">
        <v>5</v>
      </c>
      <c r="E68" s="2" t="e">
        <f>_xlfn.XLOOKUP($D68,Tab_Def_Processes[Process_Name],Tab_Def_Processes[Process_Logic],,0,)</f>
        <v>#N/A</v>
      </c>
      <c r="F68" s="2" t="e">
        <f>_xlfn.XLOOKUP($D68,Tab_Def_Processes[Process_Name],Tab_Def_Processes[TC_Configuration],,0,)</f>
        <v>#N/A</v>
      </c>
      <c r="G68" s="2" t="e">
        <f>_xlfn.XLOOKUP($D68,Tab_Def_Processes[Process_Name],Tab_Def_Processes[Stock_Configuration],,0,)</f>
        <v>#N/A</v>
      </c>
      <c r="H68" s="2" t="e">
        <f>_xlfn.XLOOKUP(Tab_DSM[[#This Row],[Process_Name]],Tab_Def_Processes[Process_Name],Tab_Def_Processes[Outflow_count],,0,)</f>
        <v>#N/A</v>
      </c>
      <c r="I68" s="2" t="e">
        <f>"P"&amp;Tab_DSM[[#This Row],[Process_ID]]&amp;"_"&amp;Tab_DSM[[#This Row],[DSM_Parameter_type]]&amp;"_Cat_"&amp;Tab_DSM[[#This Row],[DSM_material_count]]</f>
        <v>#N/A</v>
      </c>
      <c r="J68" s="18"/>
      <c r="K68" s="18"/>
      <c r="L68" s="3"/>
      <c r="M68" s="9"/>
      <c r="N68" s="9"/>
      <c r="O68" s="9"/>
      <c r="P68" s="9"/>
    </row>
    <row r="69" spans="1:16" x14ac:dyDescent="0.25">
      <c r="A69" s="22" t="b">
        <v>0</v>
      </c>
      <c r="B69" s="2">
        <f t="shared" si="0"/>
        <v>68</v>
      </c>
      <c r="C69" s="2" t="e">
        <f>_xlfn.XLOOKUP($D69,Tab_Def_Processes[Process_Name],Tab_Def_Processes[Process_ID],,0,)</f>
        <v>#N/A</v>
      </c>
      <c r="D69" s="18" t="s">
        <v>5</v>
      </c>
      <c r="E69" s="2" t="e">
        <f>_xlfn.XLOOKUP($D69,Tab_Def_Processes[Process_Name],Tab_Def_Processes[Process_Logic],,0,)</f>
        <v>#N/A</v>
      </c>
      <c r="F69" s="2" t="e">
        <f>_xlfn.XLOOKUP($D69,Tab_Def_Processes[Process_Name],Tab_Def_Processes[TC_Configuration],,0,)</f>
        <v>#N/A</v>
      </c>
      <c r="G69" s="2" t="e">
        <f>_xlfn.XLOOKUP($D69,Tab_Def_Processes[Process_Name],Tab_Def_Processes[Stock_Configuration],,0,)</f>
        <v>#N/A</v>
      </c>
      <c r="H69" s="2" t="e">
        <f>_xlfn.XLOOKUP(Tab_DSM[[#This Row],[Process_Name]],Tab_Def_Processes[Process_Name],Tab_Def_Processes[Outflow_count],,0,)</f>
        <v>#N/A</v>
      </c>
      <c r="I69" s="2" t="e">
        <f>"P"&amp;Tab_DSM[[#This Row],[Process_ID]]&amp;"_"&amp;Tab_DSM[[#This Row],[DSM_Parameter_type]]&amp;"_Cat_"&amp;Tab_DSM[[#This Row],[DSM_material_count]]</f>
        <v>#N/A</v>
      </c>
      <c r="J69" s="18"/>
      <c r="K69" s="18"/>
      <c r="L69" s="3"/>
      <c r="M69" s="9"/>
      <c r="N69" s="9"/>
      <c r="O69" s="9"/>
      <c r="P69" s="9"/>
    </row>
    <row r="70" spans="1:16" x14ac:dyDescent="0.25">
      <c r="A70" s="22" t="b">
        <v>0</v>
      </c>
      <c r="B70" s="2">
        <f t="shared" si="0"/>
        <v>69</v>
      </c>
      <c r="C70" s="2" t="e">
        <f>_xlfn.XLOOKUP($D70,Tab_Def_Processes[Process_Name],Tab_Def_Processes[Process_ID],,0,)</f>
        <v>#N/A</v>
      </c>
      <c r="D70" s="18" t="s">
        <v>5</v>
      </c>
      <c r="E70" s="2" t="e">
        <f>_xlfn.XLOOKUP($D70,Tab_Def_Processes[Process_Name],Tab_Def_Processes[Process_Logic],,0,)</f>
        <v>#N/A</v>
      </c>
      <c r="F70" s="2" t="e">
        <f>_xlfn.XLOOKUP($D70,Tab_Def_Processes[Process_Name],Tab_Def_Processes[TC_Configuration],,0,)</f>
        <v>#N/A</v>
      </c>
      <c r="G70" s="2" t="e">
        <f>_xlfn.XLOOKUP($D70,Tab_Def_Processes[Process_Name],Tab_Def_Processes[Stock_Configuration],,0,)</f>
        <v>#N/A</v>
      </c>
      <c r="H70" s="2" t="e">
        <f>_xlfn.XLOOKUP(Tab_DSM[[#This Row],[Process_Name]],Tab_Def_Processes[Process_Name],Tab_Def_Processes[Outflow_count],,0,)</f>
        <v>#N/A</v>
      </c>
      <c r="I70" s="2" t="e">
        <f>"P"&amp;Tab_DSM[[#This Row],[Process_ID]]&amp;"_"&amp;Tab_DSM[[#This Row],[DSM_Parameter_type]]&amp;"_Cat_"&amp;Tab_DSM[[#This Row],[DSM_material_count]]</f>
        <v>#N/A</v>
      </c>
      <c r="J70" s="18"/>
      <c r="K70" s="18"/>
      <c r="L70" s="3"/>
      <c r="M70" s="9"/>
      <c r="N70" s="9"/>
      <c r="O70" s="9"/>
      <c r="P70" s="9"/>
    </row>
    <row r="71" spans="1:16" x14ac:dyDescent="0.25">
      <c r="A71" s="22" t="b">
        <v>0</v>
      </c>
      <c r="B71" s="2">
        <f t="shared" si="0"/>
        <v>70</v>
      </c>
      <c r="C71" s="2" t="e">
        <f>_xlfn.XLOOKUP($D71,Tab_Def_Processes[Process_Name],Tab_Def_Processes[Process_ID],,0,)</f>
        <v>#N/A</v>
      </c>
      <c r="D71" s="18" t="s">
        <v>5</v>
      </c>
      <c r="E71" s="2" t="e">
        <f>_xlfn.XLOOKUP($D71,Tab_Def_Processes[Process_Name],Tab_Def_Processes[Process_Logic],,0,)</f>
        <v>#N/A</v>
      </c>
      <c r="F71" s="2" t="e">
        <f>_xlfn.XLOOKUP($D71,Tab_Def_Processes[Process_Name],Tab_Def_Processes[TC_Configuration],,0,)</f>
        <v>#N/A</v>
      </c>
      <c r="G71" s="2" t="e">
        <f>_xlfn.XLOOKUP($D71,Tab_Def_Processes[Process_Name],Tab_Def_Processes[Stock_Configuration],,0,)</f>
        <v>#N/A</v>
      </c>
      <c r="H71" s="2" t="e">
        <f>_xlfn.XLOOKUP(Tab_DSM[[#This Row],[Process_Name]],Tab_Def_Processes[Process_Name],Tab_Def_Processes[Outflow_count],,0,)</f>
        <v>#N/A</v>
      </c>
      <c r="I71" s="2" t="e">
        <f>"P"&amp;Tab_DSM[[#This Row],[Process_ID]]&amp;"_"&amp;Tab_DSM[[#This Row],[DSM_Parameter_type]]&amp;"_Cat_"&amp;Tab_DSM[[#This Row],[DSM_material_count]]</f>
        <v>#N/A</v>
      </c>
      <c r="J71" s="18"/>
      <c r="K71" s="18"/>
      <c r="L71" s="3"/>
      <c r="M71" s="9"/>
      <c r="N71" s="9"/>
      <c r="O71" s="9"/>
      <c r="P71" s="9"/>
    </row>
    <row r="72" spans="1:16" x14ac:dyDescent="0.25">
      <c r="A72" s="22" t="b">
        <v>0</v>
      </c>
      <c r="B72" s="2">
        <f t="shared" si="0"/>
        <v>71</v>
      </c>
      <c r="C72" s="2" t="e">
        <f>_xlfn.XLOOKUP($D72,Tab_Def_Processes[Process_Name],Tab_Def_Processes[Process_ID],,0,)</f>
        <v>#N/A</v>
      </c>
      <c r="D72" s="18" t="s">
        <v>5</v>
      </c>
      <c r="E72" s="2" t="e">
        <f>_xlfn.XLOOKUP($D72,Tab_Def_Processes[Process_Name],Tab_Def_Processes[Process_Logic],,0,)</f>
        <v>#N/A</v>
      </c>
      <c r="F72" s="2" t="e">
        <f>_xlfn.XLOOKUP($D72,Tab_Def_Processes[Process_Name],Tab_Def_Processes[TC_Configuration],,0,)</f>
        <v>#N/A</v>
      </c>
      <c r="G72" s="2" t="e">
        <f>_xlfn.XLOOKUP($D72,Tab_Def_Processes[Process_Name],Tab_Def_Processes[Stock_Configuration],,0,)</f>
        <v>#N/A</v>
      </c>
      <c r="H72" s="2" t="e">
        <f>_xlfn.XLOOKUP(Tab_DSM[[#This Row],[Process_Name]],Tab_Def_Processes[Process_Name],Tab_Def_Processes[Outflow_count],,0,)</f>
        <v>#N/A</v>
      </c>
      <c r="I72" s="2" t="e">
        <f>"P"&amp;Tab_DSM[[#This Row],[Process_ID]]&amp;"_"&amp;Tab_DSM[[#This Row],[DSM_Parameter_type]]&amp;"_Cat_"&amp;Tab_DSM[[#This Row],[DSM_material_count]]</f>
        <v>#N/A</v>
      </c>
      <c r="J72" s="18"/>
      <c r="K72" s="18"/>
      <c r="L72" s="3"/>
      <c r="M72" s="9"/>
      <c r="N72" s="9"/>
      <c r="O72" s="9"/>
      <c r="P72" s="9"/>
    </row>
    <row r="73" spans="1:16" x14ac:dyDescent="0.25">
      <c r="A73" s="22" t="b">
        <v>0</v>
      </c>
      <c r="B73" s="2">
        <f t="shared" si="0"/>
        <v>72</v>
      </c>
      <c r="C73" s="2" t="e">
        <f>_xlfn.XLOOKUP($D73,Tab_Def_Processes[Process_Name],Tab_Def_Processes[Process_ID],,0,)</f>
        <v>#N/A</v>
      </c>
      <c r="D73" s="18" t="s">
        <v>5</v>
      </c>
      <c r="E73" s="2" t="e">
        <f>_xlfn.XLOOKUP($D73,Tab_Def_Processes[Process_Name],Tab_Def_Processes[Process_Logic],,0,)</f>
        <v>#N/A</v>
      </c>
      <c r="F73" s="2" t="e">
        <f>_xlfn.XLOOKUP($D73,Tab_Def_Processes[Process_Name],Tab_Def_Processes[TC_Configuration],,0,)</f>
        <v>#N/A</v>
      </c>
      <c r="G73" s="2" t="e">
        <f>_xlfn.XLOOKUP($D73,Tab_Def_Processes[Process_Name],Tab_Def_Processes[Stock_Configuration],,0,)</f>
        <v>#N/A</v>
      </c>
      <c r="H73" s="2" t="e">
        <f>_xlfn.XLOOKUP(Tab_DSM[[#This Row],[Process_Name]],Tab_Def_Processes[Process_Name],Tab_Def_Processes[Outflow_count],,0,)</f>
        <v>#N/A</v>
      </c>
      <c r="I73" s="2" t="e">
        <f>"P"&amp;Tab_DSM[[#This Row],[Process_ID]]&amp;"_"&amp;Tab_DSM[[#This Row],[DSM_Parameter_type]]&amp;"_Cat_"&amp;Tab_DSM[[#This Row],[DSM_material_count]]</f>
        <v>#N/A</v>
      </c>
      <c r="J73" s="18"/>
      <c r="K73" s="18"/>
      <c r="L73" s="3"/>
      <c r="M73" s="9"/>
      <c r="N73" s="9"/>
      <c r="O73" s="9"/>
      <c r="P73" s="9"/>
    </row>
    <row r="74" spans="1:16" x14ac:dyDescent="0.25">
      <c r="A74" s="22" t="b">
        <v>0</v>
      </c>
      <c r="B74" s="2">
        <f t="shared" si="0"/>
        <v>73</v>
      </c>
      <c r="C74" s="2" t="e">
        <f>_xlfn.XLOOKUP($D74,Tab_Def_Processes[Process_Name],Tab_Def_Processes[Process_ID],,0,)</f>
        <v>#N/A</v>
      </c>
      <c r="D74" s="18" t="s">
        <v>5</v>
      </c>
      <c r="E74" s="2" t="e">
        <f>_xlfn.XLOOKUP($D74,Tab_Def_Processes[Process_Name],Tab_Def_Processes[Process_Logic],,0,)</f>
        <v>#N/A</v>
      </c>
      <c r="F74" s="2" t="e">
        <f>_xlfn.XLOOKUP($D74,Tab_Def_Processes[Process_Name],Tab_Def_Processes[TC_Configuration],,0,)</f>
        <v>#N/A</v>
      </c>
      <c r="G74" s="2" t="e">
        <f>_xlfn.XLOOKUP($D74,Tab_Def_Processes[Process_Name],Tab_Def_Processes[Stock_Configuration],,0,)</f>
        <v>#N/A</v>
      </c>
      <c r="H74" s="2" t="e">
        <f>_xlfn.XLOOKUP(Tab_DSM[[#This Row],[Process_Name]],Tab_Def_Processes[Process_Name],Tab_Def_Processes[Outflow_count],,0,)</f>
        <v>#N/A</v>
      </c>
      <c r="I74" s="2" t="e">
        <f>"P"&amp;Tab_DSM[[#This Row],[Process_ID]]&amp;"_"&amp;Tab_DSM[[#This Row],[DSM_Parameter_type]]&amp;"_Cat_"&amp;Tab_DSM[[#This Row],[DSM_material_count]]</f>
        <v>#N/A</v>
      </c>
      <c r="J74" s="18"/>
      <c r="K74" s="18"/>
      <c r="L74" s="3"/>
      <c r="M74" s="9"/>
      <c r="N74" s="9"/>
      <c r="O74" s="9"/>
      <c r="P74" s="9"/>
    </row>
    <row r="75" spans="1:16" x14ac:dyDescent="0.25">
      <c r="A75" s="22" t="b">
        <v>0</v>
      </c>
      <c r="B75" s="2">
        <f t="shared" si="0"/>
        <v>74</v>
      </c>
      <c r="C75" s="2" t="e">
        <f>_xlfn.XLOOKUP($D75,Tab_Def_Processes[Process_Name],Tab_Def_Processes[Process_ID],,0,)</f>
        <v>#N/A</v>
      </c>
      <c r="D75" s="18" t="s">
        <v>5</v>
      </c>
      <c r="E75" s="2" t="e">
        <f>_xlfn.XLOOKUP($D75,Tab_Def_Processes[Process_Name],Tab_Def_Processes[Process_Logic],,0,)</f>
        <v>#N/A</v>
      </c>
      <c r="F75" s="2" t="e">
        <f>_xlfn.XLOOKUP($D75,Tab_Def_Processes[Process_Name],Tab_Def_Processes[TC_Configuration],,0,)</f>
        <v>#N/A</v>
      </c>
      <c r="G75" s="2" t="e">
        <f>_xlfn.XLOOKUP($D75,Tab_Def_Processes[Process_Name],Tab_Def_Processes[Stock_Configuration],,0,)</f>
        <v>#N/A</v>
      </c>
      <c r="H75" s="2" t="e">
        <f>_xlfn.XLOOKUP(Tab_DSM[[#This Row],[Process_Name]],Tab_Def_Processes[Process_Name],Tab_Def_Processes[Outflow_count],,0,)</f>
        <v>#N/A</v>
      </c>
      <c r="I75" s="2" t="e">
        <f>"P"&amp;Tab_DSM[[#This Row],[Process_ID]]&amp;"_"&amp;Tab_DSM[[#This Row],[DSM_Parameter_type]]&amp;"_Cat_"&amp;Tab_DSM[[#This Row],[DSM_material_count]]</f>
        <v>#N/A</v>
      </c>
      <c r="J75" s="18"/>
      <c r="K75" s="18"/>
      <c r="L75" s="3"/>
      <c r="M75" s="9"/>
      <c r="N75" s="9"/>
      <c r="O75" s="9"/>
      <c r="P75" s="9"/>
    </row>
    <row r="76" spans="1:16" x14ac:dyDescent="0.25">
      <c r="A76" s="22" t="b">
        <v>0</v>
      </c>
      <c r="B76" s="2">
        <f t="shared" si="0"/>
        <v>75</v>
      </c>
      <c r="C76" s="2" t="e">
        <f>_xlfn.XLOOKUP($D76,Tab_Def_Processes[Process_Name],Tab_Def_Processes[Process_ID],,0,)</f>
        <v>#N/A</v>
      </c>
      <c r="D76" s="18" t="s">
        <v>5</v>
      </c>
      <c r="E76" s="2" t="e">
        <f>_xlfn.XLOOKUP($D76,Tab_Def_Processes[Process_Name],Tab_Def_Processes[Process_Logic],,0,)</f>
        <v>#N/A</v>
      </c>
      <c r="F76" s="2" t="e">
        <f>_xlfn.XLOOKUP($D76,Tab_Def_Processes[Process_Name],Tab_Def_Processes[TC_Configuration],,0,)</f>
        <v>#N/A</v>
      </c>
      <c r="G76" s="2" t="e">
        <f>_xlfn.XLOOKUP($D76,Tab_Def_Processes[Process_Name],Tab_Def_Processes[Stock_Configuration],,0,)</f>
        <v>#N/A</v>
      </c>
      <c r="H76" s="2" t="e">
        <f>_xlfn.XLOOKUP(Tab_DSM[[#This Row],[Process_Name]],Tab_Def_Processes[Process_Name],Tab_Def_Processes[Outflow_count],,0,)</f>
        <v>#N/A</v>
      </c>
      <c r="I76" s="2" t="e">
        <f>"P"&amp;Tab_DSM[[#This Row],[Process_ID]]&amp;"_"&amp;Tab_DSM[[#This Row],[DSM_Parameter_type]]&amp;"_Cat_"&amp;Tab_DSM[[#This Row],[DSM_material_count]]</f>
        <v>#N/A</v>
      </c>
      <c r="J76" s="18"/>
      <c r="K76" s="18"/>
      <c r="L76" s="3"/>
      <c r="M76" s="9"/>
      <c r="N76" s="9"/>
      <c r="O76" s="9"/>
      <c r="P76" s="9"/>
    </row>
    <row r="77" spans="1:16" x14ac:dyDescent="0.25">
      <c r="A77" s="22" t="b">
        <v>0</v>
      </c>
      <c r="B77" s="2">
        <f t="shared" si="0"/>
        <v>76</v>
      </c>
      <c r="C77" s="2" t="e">
        <f>_xlfn.XLOOKUP($D77,Tab_Def_Processes[Process_Name],Tab_Def_Processes[Process_ID],,0,)</f>
        <v>#N/A</v>
      </c>
      <c r="D77" s="18" t="s">
        <v>5</v>
      </c>
      <c r="E77" s="2" t="e">
        <f>_xlfn.XLOOKUP($D77,Tab_Def_Processes[Process_Name],Tab_Def_Processes[Process_Logic],,0,)</f>
        <v>#N/A</v>
      </c>
      <c r="F77" s="2" t="e">
        <f>_xlfn.XLOOKUP($D77,Tab_Def_Processes[Process_Name],Tab_Def_Processes[TC_Configuration],,0,)</f>
        <v>#N/A</v>
      </c>
      <c r="G77" s="2" t="e">
        <f>_xlfn.XLOOKUP($D77,Tab_Def_Processes[Process_Name],Tab_Def_Processes[Stock_Configuration],,0,)</f>
        <v>#N/A</v>
      </c>
      <c r="H77" s="2" t="e">
        <f>_xlfn.XLOOKUP(Tab_DSM[[#This Row],[Process_Name]],Tab_Def_Processes[Process_Name],Tab_Def_Processes[Outflow_count],,0,)</f>
        <v>#N/A</v>
      </c>
      <c r="I77" s="2" t="e">
        <f>"P"&amp;Tab_DSM[[#This Row],[Process_ID]]&amp;"_"&amp;Tab_DSM[[#This Row],[DSM_Parameter_type]]&amp;"_Cat_"&amp;Tab_DSM[[#This Row],[DSM_material_count]]</f>
        <v>#N/A</v>
      </c>
      <c r="J77" s="18"/>
      <c r="K77" s="18"/>
      <c r="L77" s="3"/>
      <c r="M77" s="9"/>
      <c r="N77" s="9"/>
      <c r="O77" s="9"/>
      <c r="P77" s="9"/>
    </row>
    <row r="78" spans="1:16" x14ac:dyDescent="0.25">
      <c r="A78" s="22" t="b">
        <v>0</v>
      </c>
      <c r="B78" s="2">
        <f t="shared" si="0"/>
        <v>77</v>
      </c>
      <c r="C78" s="2" t="e">
        <f>_xlfn.XLOOKUP($D78,Tab_Def_Processes[Process_Name],Tab_Def_Processes[Process_ID],,0,)</f>
        <v>#N/A</v>
      </c>
      <c r="D78" s="18" t="s">
        <v>5</v>
      </c>
      <c r="E78" s="2" t="e">
        <f>_xlfn.XLOOKUP($D78,Tab_Def_Processes[Process_Name],Tab_Def_Processes[Process_Logic],,0,)</f>
        <v>#N/A</v>
      </c>
      <c r="F78" s="2" t="e">
        <f>_xlfn.XLOOKUP($D78,Tab_Def_Processes[Process_Name],Tab_Def_Processes[TC_Configuration],,0,)</f>
        <v>#N/A</v>
      </c>
      <c r="G78" s="2" t="e">
        <f>_xlfn.XLOOKUP($D78,Tab_Def_Processes[Process_Name],Tab_Def_Processes[Stock_Configuration],,0,)</f>
        <v>#N/A</v>
      </c>
      <c r="H78" s="2" t="e">
        <f>_xlfn.XLOOKUP(Tab_DSM[[#This Row],[Process_Name]],Tab_Def_Processes[Process_Name],Tab_Def_Processes[Outflow_count],,0,)</f>
        <v>#N/A</v>
      </c>
      <c r="I78" s="2" t="e">
        <f>"P"&amp;Tab_DSM[[#This Row],[Process_ID]]&amp;"_"&amp;Tab_DSM[[#This Row],[DSM_Parameter_type]]&amp;"_Cat_"&amp;Tab_DSM[[#This Row],[DSM_material_count]]</f>
        <v>#N/A</v>
      </c>
      <c r="J78" s="18"/>
      <c r="K78" s="18"/>
      <c r="L78" s="3"/>
      <c r="M78" s="9"/>
      <c r="N78" s="9"/>
      <c r="O78" s="9"/>
      <c r="P78" s="9"/>
    </row>
    <row r="79" spans="1:16" x14ac:dyDescent="0.25">
      <c r="A79" s="22" t="b">
        <v>0</v>
      </c>
      <c r="B79" s="2">
        <f t="shared" si="0"/>
        <v>78</v>
      </c>
      <c r="C79" s="2" t="e">
        <f>_xlfn.XLOOKUP($D79,Tab_Def_Processes[Process_Name],Tab_Def_Processes[Process_ID],,0,)</f>
        <v>#N/A</v>
      </c>
      <c r="D79" s="18" t="s">
        <v>5</v>
      </c>
      <c r="E79" s="2" t="e">
        <f>_xlfn.XLOOKUP($D79,Tab_Def_Processes[Process_Name],Tab_Def_Processes[Process_Logic],,0,)</f>
        <v>#N/A</v>
      </c>
      <c r="F79" s="2" t="e">
        <f>_xlfn.XLOOKUP($D79,Tab_Def_Processes[Process_Name],Tab_Def_Processes[TC_Configuration],,0,)</f>
        <v>#N/A</v>
      </c>
      <c r="G79" s="2" t="e">
        <f>_xlfn.XLOOKUP($D79,Tab_Def_Processes[Process_Name],Tab_Def_Processes[Stock_Configuration],,0,)</f>
        <v>#N/A</v>
      </c>
      <c r="H79" s="2" t="e">
        <f>_xlfn.XLOOKUP(Tab_DSM[[#This Row],[Process_Name]],Tab_Def_Processes[Process_Name],Tab_Def_Processes[Outflow_count],,0,)</f>
        <v>#N/A</v>
      </c>
      <c r="I79" s="2" t="e">
        <f>"P"&amp;Tab_DSM[[#This Row],[Process_ID]]&amp;"_"&amp;Tab_DSM[[#This Row],[DSM_Parameter_type]]&amp;"_Cat_"&amp;Tab_DSM[[#This Row],[DSM_material_count]]</f>
        <v>#N/A</v>
      </c>
      <c r="J79" s="18"/>
      <c r="K79" s="18"/>
      <c r="L79" s="3"/>
      <c r="M79" s="9"/>
      <c r="N79" s="9"/>
      <c r="O79" s="9"/>
      <c r="P79" s="9"/>
    </row>
    <row r="80" spans="1:16" x14ac:dyDescent="0.25">
      <c r="A80" s="22" t="b">
        <v>0</v>
      </c>
      <c r="B80" s="2">
        <f t="shared" si="0"/>
        <v>79</v>
      </c>
      <c r="C80" s="2" t="e">
        <f>_xlfn.XLOOKUP($D80,Tab_Def_Processes[Process_Name],Tab_Def_Processes[Process_ID],,0,)</f>
        <v>#N/A</v>
      </c>
      <c r="D80" s="18" t="s">
        <v>5</v>
      </c>
      <c r="E80" s="2" t="e">
        <f>_xlfn.XLOOKUP($D80,Tab_Def_Processes[Process_Name],Tab_Def_Processes[Process_Logic],,0,)</f>
        <v>#N/A</v>
      </c>
      <c r="F80" s="2" t="e">
        <f>_xlfn.XLOOKUP($D80,Tab_Def_Processes[Process_Name],Tab_Def_Processes[TC_Configuration],,0,)</f>
        <v>#N/A</v>
      </c>
      <c r="G80" s="2" t="e">
        <f>_xlfn.XLOOKUP($D80,Tab_Def_Processes[Process_Name],Tab_Def_Processes[Stock_Configuration],,0,)</f>
        <v>#N/A</v>
      </c>
      <c r="H80" s="2" t="e">
        <f>_xlfn.XLOOKUP(Tab_DSM[[#This Row],[Process_Name]],Tab_Def_Processes[Process_Name],Tab_Def_Processes[Outflow_count],,0,)</f>
        <v>#N/A</v>
      </c>
      <c r="I80" s="2" t="e">
        <f>"P"&amp;Tab_DSM[[#This Row],[Process_ID]]&amp;"_"&amp;Tab_DSM[[#This Row],[DSM_Parameter_type]]&amp;"_Cat_"&amp;Tab_DSM[[#This Row],[DSM_material_count]]</f>
        <v>#N/A</v>
      </c>
      <c r="J80" s="18"/>
      <c r="K80" s="18"/>
      <c r="L80" s="3"/>
      <c r="M80" s="9"/>
      <c r="N80" s="9"/>
      <c r="O80" s="9"/>
      <c r="P80" s="9"/>
    </row>
    <row r="81" spans="1:16" x14ac:dyDescent="0.25">
      <c r="A81" s="22" t="b">
        <v>0</v>
      </c>
      <c r="B81" s="2">
        <f t="shared" si="0"/>
        <v>80</v>
      </c>
      <c r="C81" s="2" t="e">
        <f>_xlfn.XLOOKUP($D81,Tab_Def_Processes[Process_Name],Tab_Def_Processes[Process_ID],,0,)</f>
        <v>#N/A</v>
      </c>
      <c r="D81" s="18" t="s">
        <v>5</v>
      </c>
      <c r="E81" s="2" t="e">
        <f>_xlfn.XLOOKUP($D81,Tab_Def_Processes[Process_Name],Tab_Def_Processes[Process_Logic],,0,)</f>
        <v>#N/A</v>
      </c>
      <c r="F81" s="2" t="e">
        <f>_xlfn.XLOOKUP($D81,Tab_Def_Processes[Process_Name],Tab_Def_Processes[TC_Configuration],,0,)</f>
        <v>#N/A</v>
      </c>
      <c r="G81" s="2" t="e">
        <f>_xlfn.XLOOKUP($D81,Tab_Def_Processes[Process_Name],Tab_Def_Processes[Stock_Configuration],,0,)</f>
        <v>#N/A</v>
      </c>
      <c r="H81" s="2" t="e">
        <f>_xlfn.XLOOKUP(Tab_DSM[[#This Row],[Process_Name]],Tab_Def_Processes[Process_Name],Tab_Def_Processes[Outflow_count],,0,)</f>
        <v>#N/A</v>
      </c>
      <c r="I81" s="2" t="e">
        <f>"P"&amp;Tab_DSM[[#This Row],[Process_ID]]&amp;"_"&amp;Tab_DSM[[#This Row],[DSM_Parameter_type]]&amp;"_Cat_"&amp;Tab_DSM[[#This Row],[DSM_material_count]]</f>
        <v>#N/A</v>
      </c>
      <c r="J81" s="18"/>
      <c r="K81" s="18"/>
      <c r="L81" s="3"/>
      <c r="M81" s="9"/>
      <c r="N81" s="9"/>
      <c r="O81" s="9"/>
      <c r="P81" s="9"/>
    </row>
  </sheetData>
  <sheetProtection selectLockedCells="1"/>
  <mergeCells count="1">
    <mergeCell ref="R1:W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'7_2_Codelists'!$B$86:$B$94</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N2:P81</xm:sqref>
        </x14:dataValidation>
        <x14:dataValidation type="list" allowBlank="1" showInputMessage="1" showErrorMessage="1" promptTitle="Definition of DSM_Parameter_type" prompt="Enter appropriate value for DSM_Parameter_type" xr:uid="{1CCB34CF-ADFC-4513-AA13-5A821DF733A1}">
          <x14:formula1>
            <xm:f>'7_2_Codelists'!$B$99:$B$105</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P97"/>
  <sheetViews>
    <sheetView zoomScale="115" zoomScaleNormal="115" workbookViewId="0">
      <selection activeCell="K13" sqref="A13:K14"/>
    </sheetView>
  </sheetViews>
  <sheetFormatPr defaultRowHeight="15" outlineLevelCol="1" x14ac:dyDescent="0.25"/>
  <cols>
    <col min="1" max="1" width="11.7109375" customWidth="1"/>
    <col min="2" max="2" width="6.140625" customWidth="1"/>
    <col min="3" max="3" width="12.85546875" customWidth="1"/>
    <col min="4" max="4" width="41.140625" customWidth="1"/>
    <col min="5" max="5" width="13" hidden="1" customWidth="1" outlineLevel="1"/>
    <col min="6" max="6" width="20.140625" hidden="1" customWidth="1" outlineLevel="1"/>
    <col min="7" max="7" width="19.140625" hidden="1" customWidth="1" outlineLevel="1"/>
    <col min="8" max="8" width="24.28515625" hidden="1" customWidth="1" outlineLevel="1"/>
    <col min="9" max="9" width="33.85546875" hidden="1" customWidth="1" outlineLevel="1"/>
    <col min="10" max="10" width="34.28515625" customWidth="1" collapsed="1"/>
    <col min="11" max="11" width="24.7109375" customWidth="1"/>
    <col min="12" max="12" width="27" hidden="1" customWidth="1" outlineLevel="1"/>
    <col min="13" max="13" width="15.85546875" hidden="1" customWidth="1" outlineLevel="1"/>
    <col min="14" max="14" width="16" hidden="1" customWidth="1" outlineLevel="1"/>
    <col min="15" max="15" width="16.28515625" hidden="1" customWidth="1" outlineLevel="1"/>
    <col min="16" max="16" width="9.140625" collapsed="1"/>
  </cols>
  <sheetData>
    <row r="1" spans="1:15" x14ac:dyDescent="0.25">
      <c r="A1" s="78" t="s">
        <v>13</v>
      </c>
      <c r="B1" s="78" t="s">
        <v>4</v>
      </c>
      <c r="C1" s="78" t="s">
        <v>12</v>
      </c>
      <c r="D1" s="78" t="s">
        <v>134</v>
      </c>
      <c r="E1" s="78" t="s">
        <v>121</v>
      </c>
      <c r="F1" s="78" t="s">
        <v>159</v>
      </c>
      <c r="G1" s="78" t="s">
        <v>160</v>
      </c>
      <c r="H1" s="78" t="s">
        <v>172</v>
      </c>
      <c r="I1" s="78" t="s">
        <v>192</v>
      </c>
      <c r="J1" s="78" t="s">
        <v>190</v>
      </c>
      <c r="K1" s="78" t="s">
        <v>189</v>
      </c>
      <c r="L1" s="78" t="s">
        <v>7</v>
      </c>
      <c r="M1" s="78" t="s">
        <v>639</v>
      </c>
      <c r="N1" s="78" t="s">
        <v>640</v>
      </c>
      <c r="O1" s="78" t="s">
        <v>641</v>
      </c>
    </row>
    <row r="2" spans="1:15" x14ac:dyDescent="0.25">
      <c r="A2" s="22" t="b">
        <v>0</v>
      </c>
      <c r="B2" s="2">
        <f t="shared" ref="B2:B97" si="0">ROW()-1</f>
        <v>1</v>
      </c>
      <c r="C2" s="2" t="str">
        <f>_xlfn.XLOOKUP($D2,Tab_Def_Processes[Process_Name],Tab_Def_Processes[Process_ID],,0,)</f>
        <v>00</v>
      </c>
      <c r="D2" s="18"/>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_xlfn.XLOOKUP(Tab_FOMP[[#This Row],[Process_Name]],Tab_Def_Processes[Process_Name],Tab_Def_Processes[Outflow_count],,0,)</f>
        <v>0</v>
      </c>
      <c r="I2" s="2" t="str">
        <f>"P"&amp;Tab_FOMP[[#This Row],[Process_ID]]&amp;"_"&amp;Tab_FOMP[[#This Row],[FOMP_Parameter_type]]</f>
        <v>P00_</v>
      </c>
      <c r="J2" s="18"/>
      <c r="K2" s="3"/>
      <c r="L2" s="9"/>
      <c r="M2" s="9"/>
      <c r="N2" s="9"/>
      <c r="O2" s="9"/>
    </row>
    <row r="3" spans="1:15" x14ac:dyDescent="0.25">
      <c r="A3" s="22" t="b">
        <v>0</v>
      </c>
      <c r="B3" s="2">
        <f t="shared" si="0"/>
        <v>2</v>
      </c>
      <c r="C3" s="2" t="str">
        <f>_xlfn.XLOOKUP($D3,Tab_Def_Processes[Process_Name],Tab_Def_Processes[Process_ID],,0,)</f>
        <v>00</v>
      </c>
      <c r="D3" s="18"/>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_xlfn.XLOOKUP(Tab_FOMP[[#This Row],[Process_Name]],Tab_Def_Processes[Process_Name],Tab_Def_Processes[Outflow_count],,0,)</f>
        <v>0</v>
      </c>
      <c r="I3" s="2" t="str">
        <f>"P"&amp;Tab_FOMP[[#This Row],[Process_ID]]&amp;"_"&amp;Tab_FOMP[[#This Row],[FOMP_Parameter_type]]</f>
        <v>P00_</v>
      </c>
      <c r="J3" s="18"/>
      <c r="K3" s="3"/>
      <c r="L3" s="9"/>
      <c r="M3" s="9"/>
      <c r="N3" s="9"/>
      <c r="O3" s="9"/>
    </row>
    <row r="4" spans="1:15" x14ac:dyDescent="0.25">
      <c r="A4" s="22" t="b">
        <v>0</v>
      </c>
      <c r="B4" s="2">
        <f t="shared" si="0"/>
        <v>3</v>
      </c>
      <c r="C4" s="2" t="str">
        <f>_xlfn.XLOOKUP($D4,Tab_Def_Processes[Process_Name],Tab_Def_Processes[Process_ID],,0,)</f>
        <v>00</v>
      </c>
      <c r="D4" s="18"/>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_xlfn.XLOOKUP(Tab_FOMP[[#This Row],[Process_Name]],Tab_Def_Processes[Process_Name],Tab_Def_Processes[Outflow_count],,0,)</f>
        <v>0</v>
      </c>
      <c r="I4" s="2" t="str">
        <f>"P"&amp;Tab_FOMP[[#This Row],[Process_ID]]&amp;"_"&amp;Tab_FOMP[[#This Row],[FOMP_Parameter_type]]</f>
        <v>P00_</v>
      </c>
      <c r="J4" s="18"/>
      <c r="K4" s="3"/>
      <c r="L4" s="9"/>
      <c r="M4" s="9"/>
      <c r="N4" s="9"/>
      <c r="O4" s="9"/>
    </row>
    <row r="5" spans="1:15" x14ac:dyDescent="0.25">
      <c r="A5" s="22" t="b">
        <v>0</v>
      </c>
      <c r="B5" s="2">
        <f t="shared" si="0"/>
        <v>4</v>
      </c>
      <c r="C5" s="2" t="str">
        <f>_xlfn.XLOOKUP($D5,Tab_Def_Processes[Process_Name],Tab_Def_Processes[Process_ID],,0,)</f>
        <v>00</v>
      </c>
      <c r="D5" s="18"/>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_xlfn.XLOOKUP(Tab_FOMP[[#This Row],[Process_Name]],Tab_Def_Processes[Process_Name],Tab_Def_Processes[Outflow_count],,0,)</f>
        <v>0</v>
      </c>
      <c r="I5" s="2" t="str">
        <f>"P"&amp;Tab_FOMP[[#This Row],[Process_ID]]&amp;"_"&amp;Tab_FOMP[[#This Row],[FOMP_Parameter_type]]</f>
        <v>P00_</v>
      </c>
      <c r="J5" s="18"/>
      <c r="K5" s="3"/>
      <c r="L5" s="9"/>
      <c r="M5" s="9"/>
      <c r="N5" s="9"/>
      <c r="O5" s="9"/>
    </row>
    <row r="6" spans="1:15" x14ac:dyDescent="0.25">
      <c r="A6" s="22" t="b">
        <v>0</v>
      </c>
      <c r="B6" s="2">
        <f t="shared" si="0"/>
        <v>5</v>
      </c>
      <c r="C6" s="2" t="str">
        <f>_xlfn.XLOOKUP($D6,Tab_Def_Processes[Process_Name],Tab_Def_Processes[Process_ID],,0,)</f>
        <v>00</v>
      </c>
      <c r="D6" s="18"/>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_xlfn.XLOOKUP(Tab_FOMP[[#This Row],[Process_Name]],Tab_Def_Processes[Process_Name],Tab_Def_Processes[Outflow_count],,0,)</f>
        <v>0</v>
      </c>
      <c r="I6" s="2" t="str">
        <f>"P"&amp;Tab_FOMP[[#This Row],[Process_ID]]&amp;"_"&amp;Tab_FOMP[[#This Row],[FOMP_Parameter_type]]</f>
        <v>P00_</v>
      </c>
      <c r="J6" s="18"/>
      <c r="K6" s="3"/>
      <c r="L6" s="9"/>
      <c r="M6" s="9"/>
      <c r="N6" s="9"/>
      <c r="O6" s="9"/>
    </row>
    <row r="7" spans="1:15" x14ac:dyDescent="0.25">
      <c r="A7" s="22" t="b">
        <v>0</v>
      </c>
      <c r="B7" s="2">
        <f t="shared" si="0"/>
        <v>6</v>
      </c>
      <c r="C7" s="2" t="str">
        <f>_xlfn.XLOOKUP($D7,Tab_Def_Processes[Process_Name],Tab_Def_Processes[Process_ID],,0,)</f>
        <v>00</v>
      </c>
      <c r="D7" s="18"/>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_xlfn.XLOOKUP(Tab_FOMP[[#This Row],[Process_Name]],Tab_Def_Processes[Process_Name],Tab_Def_Processes[Outflow_count],,0,)</f>
        <v>0</v>
      </c>
      <c r="I7" s="2" t="str">
        <f>"P"&amp;Tab_FOMP[[#This Row],[Process_ID]]&amp;"_"&amp;Tab_FOMP[[#This Row],[FOMP_Parameter_type]]</f>
        <v>P00_</v>
      </c>
      <c r="J7" s="18"/>
      <c r="K7" s="3"/>
      <c r="L7" s="9"/>
      <c r="M7" s="9"/>
      <c r="N7" s="9"/>
      <c r="O7" s="9"/>
    </row>
    <row r="8" spans="1:15" x14ac:dyDescent="0.25">
      <c r="A8" s="22" t="b">
        <v>0</v>
      </c>
      <c r="B8" s="2">
        <f t="shared" si="0"/>
        <v>7</v>
      </c>
      <c r="C8" s="2" t="str">
        <f>_xlfn.XLOOKUP($D8,Tab_Def_Processes[Process_Name],Tab_Def_Processes[Process_ID],,0,)</f>
        <v>00</v>
      </c>
      <c r="D8" s="18"/>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_xlfn.XLOOKUP(Tab_FOMP[[#This Row],[Process_Name]],Tab_Def_Processes[Process_Name],Tab_Def_Processes[Outflow_count],,0,)</f>
        <v>0</v>
      </c>
      <c r="I8" s="2" t="str">
        <f>"P"&amp;Tab_FOMP[[#This Row],[Process_ID]]&amp;"_"&amp;Tab_FOMP[[#This Row],[FOMP_Parameter_type]]</f>
        <v>P00_</v>
      </c>
      <c r="J8" s="18"/>
      <c r="K8" s="3"/>
      <c r="L8" s="9"/>
      <c r="M8" s="9"/>
      <c r="N8" s="9"/>
      <c r="O8" s="9"/>
    </row>
    <row r="9" spans="1:15" x14ac:dyDescent="0.25">
      <c r="A9" s="22" t="b">
        <v>0</v>
      </c>
      <c r="B9" s="2">
        <f t="shared" si="0"/>
        <v>8</v>
      </c>
      <c r="C9" s="2" t="str">
        <f>_xlfn.XLOOKUP($D9,Tab_Def_Processes[Process_Name],Tab_Def_Processes[Process_ID],,0,)</f>
        <v>00</v>
      </c>
      <c r="D9" s="18"/>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_xlfn.XLOOKUP(Tab_FOMP[[#This Row],[Process_Name]],Tab_Def_Processes[Process_Name],Tab_Def_Processes[Outflow_count],,0,)</f>
        <v>0</v>
      </c>
      <c r="I9" s="2" t="str">
        <f>"P"&amp;Tab_FOMP[[#This Row],[Process_ID]]&amp;"_"&amp;Tab_FOMP[[#This Row],[FOMP_Parameter_type]]</f>
        <v>P00_</v>
      </c>
      <c r="J9" s="18"/>
      <c r="K9" s="3"/>
      <c r="L9" s="9"/>
      <c r="M9" s="9"/>
      <c r="N9" s="9"/>
      <c r="O9" s="9"/>
    </row>
    <row r="10" spans="1:15" x14ac:dyDescent="0.25">
      <c r="A10" s="22" t="b">
        <v>0</v>
      </c>
      <c r="B10" s="2">
        <f t="shared" si="0"/>
        <v>9</v>
      </c>
      <c r="C10" s="2" t="str">
        <f>_xlfn.XLOOKUP($D10,Tab_Def_Processes[Process_Name],Tab_Def_Processes[Process_ID],,0,)</f>
        <v>00</v>
      </c>
      <c r="D10" s="18"/>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_xlfn.XLOOKUP(Tab_FOMP[[#This Row],[Process_Name]],Tab_Def_Processes[Process_Name],Tab_Def_Processes[Outflow_count],,0,)</f>
        <v>0</v>
      </c>
      <c r="I10" s="2" t="str">
        <f>"P"&amp;Tab_FOMP[[#This Row],[Process_ID]]&amp;"_"&amp;Tab_FOMP[[#This Row],[FOMP_Parameter_type]]</f>
        <v>P00_</v>
      </c>
      <c r="J10" s="18"/>
      <c r="K10" s="3"/>
      <c r="L10" s="9"/>
      <c r="M10" s="9"/>
      <c r="N10" s="9"/>
      <c r="O10" s="9"/>
    </row>
    <row r="11" spans="1:15" x14ac:dyDescent="0.25">
      <c r="A11" s="22" t="b">
        <v>0</v>
      </c>
      <c r="B11" s="2">
        <f t="shared" si="0"/>
        <v>10</v>
      </c>
      <c r="C11" s="2" t="str">
        <f>_xlfn.XLOOKUP($D11,Tab_Def_Processes[Process_Name],Tab_Def_Processes[Process_ID],,0,)</f>
        <v>00</v>
      </c>
      <c r="D11" s="18"/>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_xlfn.XLOOKUP(Tab_FOMP[[#This Row],[Process_Name]],Tab_Def_Processes[Process_Name],Tab_Def_Processes[Outflow_count],,0,)</f>
        <v>0</v>
      </c>
      <c r="I11" s="2" t="str">
        <f>"P"&amp;Tab_FOMP[[#This Row],[Process_ID]]&amp;"_"&amp;Tab_FOMP[[#This Row],[FOMP_Parameter_type]]</f>
        <v>P00_</v>
      </c>
      <c r="J11" s="18"/>
      <c r="K11" s="3"/>
      <c r="L11" s="9"/>
      <c r="M11" s="9"/>
      <c r="N11" s="9"/>
      <c r="O11" s="9"/>
    </row>
    <row r="12" spans="1:15" x14ac:dyDescent="0.25">
      <c r="A12" s="22" t="b">
        <v>0</v>
      </c>
      <c r="B12" s="2">
        <f t="shared" si="0"/>
        <v>11</v>
      </c>
      <c r="C12" s="2" t="str">
        <f>_xlfn.XLOOKUP($D12,Tab_Def_Processes[Process_Name],Tab_Def_Processes[Process_ID],,0,)</f>
        <v>00</v>
      </c>
      <c r="D12" s="18"/>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_xlfn.XLOOKUP(Tab_FOMP[[#This Row],[Process_Name]],Tab_Def_Processes[Process_Name],Tab_Def_Processes[Outflow_count],,0,)</f>
        <v>0</v>
      </c>
      <c r="I12" s="2" t="str">
        <f>"P"&amp;Tab_FOMP[[#This Row],[Process_ID]]&amp;"_"&amp;Tab_FOMP[[#This Row],[FOMP_Parameter_type]]</f>
        <v>P00_</v>
      </c>
      <c r="J12" s="18"/>
      <c r="K12" s="3"/>
      <c r="L12" s="9"/>
      <c r="M12" s="9"/>
      <c r="N12" s="9"/>
      <c r="O12" s="9"/>
    </row>
    <row r="13" spans="1:15" x14ac:dyDescent="0.25">
      <c r="A13" s="22" t="b">
        <v>0</v>
      </c>
      <c r="B13" s="2">
        <f t="shared" si="0"/>
        <v>12</v>
      </c>
      <c r="C13" s="2" t="str">
        <f>_xlfn.XLOOKUP($D13,Tab_Def_Processes[Process_Name],Tab_Def_Processes[Process_ID],,0,)</f>
        <v>00</v>
      </c>
      <c r="D13" s="18"/>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_xlfn.XLOOKUP(Tab_FOMP[[#This Row],[Process_Name]],Tab_Def_Processes[Process_Name],Tab_Def_Processes[Outflow_count],,0,)</f>
        <v>0</v>
      </c>
      <c r="I13" s="2" t="str">
        <f>"P"&amp;Tab_FOMP[[#This Row],[Process_ID]]&amp;"_"&amp;Tab_FOMP[[#This Row],[FOMP_Parameter_type]]</f>
        <v>P00_</v>
      </c>
      <c r="J13" s="18"/>
      <c r="K13" s="3"/>
      <c r="L13" s="9"/>
      <c r="M13" s="9"/>
      <c r="N13" s="9"/>
      <c r="O13" s="9"/>
    </row>
    <row r="14" spans="1:15" x14ac:dyDescent="0.25">
      <c r="A14" s="22" t="b">
        <v>0</v>
      </c>
      <c r="B14" s="2">
        <f t="shared" si="0"/>
        <v>13</v>
      </c>
      <c r="C14" s="2" t="str">
        <f>_xlfn.XLOOKUP($D14,Tab_Def_Processes[Process_Name],Tab_Def_Processes[Process_ID],,0,)</f>
        <v>00</v>
      </c>
      <c r="D14" s="18"/>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_xlfn.XLOOKUP(Tab_FOMP[[#This Row],[Process_Name]],Tab_Def_Processes[Process_Name],Tab_Def_Processes[Outflow_count],,0,)</f>
        <v>0</v>
      </c>
      <c r="I14" s="2" t="str">
        <f>"P"&amp;Tab_FOMP[[#This Row],[Process_ID]]&amp;"_"&amp;Tab_FOMP[[#This Row],[FOMP_Parameter_type]]</f>
        <v>P00_</v>
      </c>
      <c r="J14" s="18"/>
      <c r="K14" s="3"/>
      <c r="L14" s="9"/>
      <c r="M14" s="9"/>
      <c r="N14" s="9"/>
      <c r="O14" s="9"/>
    </row>
    <row r="15" spans="1:15" x14ac:dyDescent="0.25">
      <c r="A15" s="22" t="b">
        <v>0</v>
      </c>
      <c r="B15" s="2">
        <f t="shared" si="0"/>
        <v>14</v>
      </c>
      <c r="C15" s="2" t="str">
        <f>_xlfn.XLOOKUP($D15,Tab_Def_Processes[Process_Name],Tab_Def_Processes[Process_ID],,0,)</f>
        <v>00</v>
      </c>
      <c r="D15" s="18"/>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_xlfn.XLOOKUP(Tab_FOMP[[#This Row],[Process_Name]],Tab_Def_Processes[Process_Name],Tab_Def_Processes[Outflow_count],,0,)</f>
        <v>0</v>
      </c>
      <c r="I15" s="2" t="str">
        <f>"P"&amp;Tab_FOMP[[#This Row],[Process_ID]]&amp;"_"&amp;Tab_FOMP[[#This Row],[FOMP_Parameter_type]]</f>
        <v>P00_</v>
      </c>
      <c r="J15" s="18"/>
      <c r="K15" s="3"/>
      <c r="L15" s="9"/>
      <c r="M15" s="9"/>
      <c r="N15" s="9"/>
      <c r="O15" s="9"/>
    </row>
    <row r="16" spans="1:15" x14ac:dyDescent="0.25">
      <c r="A16" s="22" t="b">
        <v>0</v>
      </c>
      <c r="B16" s="2">
        <f t="shared" si="0"/>
        <v>15</v>
      </c>
      <c r="C16" s="2" t="str">
        <f>_xlfn.XLOOKUP($D16,Tab_Def_Processes[Process_Name],Tab_Def_Processes[Process_ID],,0,)</f>
        <v>00</v>
      </c>
      <c r="D16" s="18"/>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_xlfn.XLOOKUP(Tab_FOMP[[#This Row],[Process_Name]],Tab_Def_Processes[Process_Name],Tab_Def_Processes[Outflow_count],,0,)</f>
        <v>0</v>
      </c>
      <c r="I16" s="2" t="str">
        <f>"P"&amp;Tab_FOMP[[#This Row],[Process_ID]]&amp;"_"&amp;Tab_FOMP[[#This Row],[FOMP_Parameter_type]]</f>
        <v>P00_</v>
      </c>
      <c r="J16" s="18"/>
      <c r="K16" s="3"/>
      <c r="L16" s="9"/>
      <c r="M16" s="9"/>
      <c r="N16" s="9"/>
      <c r="O16" s="9"/>
    </row>
    <row r="17" spans="1:15" x14ac:dyDescent="0.25">
      <c r="A17" s="22" t="b">
        <v>0</v>
      </c>
      <c r="B17" s="2">
        <f t="shared" si="0"/>
        <v>16</v>
      </c>
      <c r="C17" s="2" t="str">
        <f>_xlfn.XLOOKUP($D17,Tab_Def_Processes[Process_Name],Tab_Def_Processes[Process_ID],,0,)</f>
        <v>00</v>
      </c>
      <c r="D17" s="18"/>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_xlfn.XLOOKUP(Tab_FOMP[[#This Row],[Process_Name]],Tab_Def_Processes[Process_Name],Tab_Def_Processes[Outflow_count],,0,)</f>
        <v>0</v>
      </c>
      <c r="I17" s="2" t="str">
        <f>"P"&amp;Tab_FOMP[[#This Row],[Process_ID]]&amp;"_"&amp;Tab_FOMP[[#This Row],[FOMP_Parameter_type]]</f>
        <v>P00_</v>
      </c>
      <c r="J17" s="18"/>
      <c r="K17" s="3"/>
      <c r="L17" s="9"/>
      <c r="M17" s="9"/>
      <c r="N17" s="9"/>
      <c r="O17" s="9"/>
    </row>
    <row r="18" spans="1:15" x14ac:dyDescent="0.25">
      <c r="A18" s="22" t="b">
        <v>0</v>
      </c>
      <c r="B18" s="2">
        <f t="shared" si="0"/>
        <v>17</v>
      </c>
      <c r="C18" s="2" t="str">
        <f>_xlfn.XLOOKUP($D18,Tab_Def_Processes[Process_Name],Tab_Def_Processes[Process_ID],,0,)</f>
        <v>00</v>
      </c>
      <c r="D18" s="18"/>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_xlfn.XLOOKUP(Tab_FOMP[[#This Row],[Process_Name]],Tab_Def_Processes[Process_Name],Tab_Def_Processes[Outflow_count],,0,)</f>
        <v>0</v>
      </c>
      <c r="I18" s="2" t="str">
        <f>"P"&amp;Tab_FOMP[[#This Row],[Process_ID]]&amp;"_"&amp;Tab_FOMP[[#This Row],[FOMP_Parameter_type]]</f>
        <v>P00_</v>
      </c>
      <c r="J18" s="18"/>
      <c r="K18" s="3"/>
      <c r="L18" s="9"/>
      <c r="M18" s="9"/>
      <c r="N18" s="9"/>
      <c r="O18" s="9"/>
    </row>
    <row r="19" spans="1:15" x14ac:dyDescent="0.25">
      <c r="A19" s="22" t="b">
        <v>0</v>
      </c>
      <c r="B19" s="2">
        <f t="shared" si="0"/>
        <v>18</v>
      </c>
      <c r="C19" s="2" t="str">
        <f>_xlfn.XLOOKUP($D19,Tab_Def_Processes[Process_Name],Tab_Def_Processes[Process_ID],,0,)</f>
        <v>00</v>
      </c>
      <c r="D19" s="18"/>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_xlfn.XLOOKUP(Tab_FOMP[[#This Row],[Process_Name]],Tab_Def_Processes[Process_Name],Tab_Def_Processes[Outflow_count],,0,)</f>
        <v>0</v>
      </c>
      <c r="I19" s="2" t="str">
        <f>"P"&amp;Tab_FOMP[[#This Row],[Process_ID]]&amp;"_"&amp;Tab_FOMP[[#This Row],[FOMP_Parameter_type]]</f>
        <v>P00_</v>
      </c>
      <c r="J19" s="18"/>
      <c r="K19" s="3"/>
      <c r="L19" s="9"/>
      <c r="M19" s="9"/>
      <c r="N19" s="9"/>
      <c r="O19" s="9"/>
    </row>
    <row r="20" spans="1:15" x14ac:dyDescent="0.25">
      <c r="A20" s="22" t="b">
        <v>0</v>
      </c>
      <c r="B20" s="2">
        <f t="shared" si="0"/>
        <v>19</v>
      </c>
      <c r="C20" s="2" t="str">
        <f>_xlfn.XLOOKUP($D20,Tab_Def_Processes[Process_Name],Tab_Def_Processes[Process_ID],,0,)</f>
        <v>00</v>
      </c>
      <c r="D20" s="18"/>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_xlfn.XLOOKUP(Tab_FOMP[[#This Row],[Process_Name]],Tab_Def_Processes[Process_Name],Tab_Def_Processes[Outflow_count],,0,)</f>
        <v>0</v>
      </c>
      <c r="I20" s="2" t="str">
        <f>"P"&amp;Tab_FOMP[[#This Row],[Process_ID]]&amp;"_"&amp;Tab_FOMP[[#This Row],[FOMP_Parameter_type]]</f>
        <v>P00_</v>
      </c>
      <c r="J20" s="18"/>
      <c r="K20" s="3"/>
      <c r="L20" s="9"/>
      <c r="M20" s="9"/>
      <c r="N20" s="9"/>
      <c r="O20" s="9"/>
    </row>
    <row r="21" spans="1:15" x14ac:dyDescent="0.25">
      <c r="A21" s="22" t="b">
        <v>0</v>
      </c>
      <c r="B21" s="2">
        <f t="shared" si="0"/>
        <v>20</v>
      </c>
      <c r="C21" s="2" t="str">
        <f>_xlfn.XLOOKUP($D21,Tab_Def_Processes[Process_Name],Tab_Def_Processes[Process_ID],,0,)</f>
        <v>00</v>
      </c>
      <c r="D21" s="18"/>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_xlfn.XLOOKUP(Tab_FOMP[[#This Row],[Process_Name]],Tab_Def_Processes[Process_Name],Tab_Def_Processes[Outflow_count],,0,)</f>
        <v>0</v>
      </c>
      <c r="I21" s="2" t="str">
        <f>"P"&amp;Tab_FOMP[[#This Row],[Process_ID]]&amp;"_"&amp;Tab_FOMP[[#This Row],[FOMP_Parameter_type]]</f>
        <v>P00_</v>
      </c>
      <c r="J21" s="18"/>
      <c r="K21" s="3"/>
      <c r="L21" s="9"/>
      <c r="M21" s="9"/>
      <c r="N21" s="9"/>
      <c r="O21" s="9"/>
    </row>
    <row r="22" spans="1:15" x14ac:dyDescent="0.25">
      <c r="A22" s="22" t="b">
        <v>0</v>
      </c>
      <c r="B22" s="2">
        <f t="shared" si="0"/>
        <v>21</v>
      </c>
      <c r="C22" s="2" t="str">
        <f>_xlfn.XLOOKUP($D22,Tab_Def_Processes[Process_Name],Tab_Def_Processes[Process_ID],,0,)</f>
        <v>00</v>
      </c>
      <c r="D22" s="18"/>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_xlfn.XLOOKUP(Tab_FOMP[[#This Row],[Process_Name]],Tab_Def_Processes[Process_Name],Tab_Def_Processes[Outflow_count],,0,)</f>
        <v>0</v>
      </c>
      <c r="I22" s="2" t="str">
        <f>"P"&amp;Tab_FOMP[[#This Row],[Process_ID]]&amp;"_"&amp;Tab_FOMP[[#This Row],[FOMP_Parameter_type]]</f>
        <v>P00_</v>
      </c>
      <c r="J22" s="18"/>
      <c r="K22" s="3"/>
      <c r="L22" s="9"/>
      <c r="M22" s="9"/>
      <c r="N22" s="9"/>
      <c r="O22" s="9"/>
    </row>
    <row r="23" spans="1:15" x14ac:dyDescent="0.25">
      <c r="A23" s="22" t="b">
        <v>0</v>
      </c>
      <c r="B23" s="2">
        <f t="shared" si="0"/>
        <v>22</v>
      </c>
      <c r="C23" s="2" t="str">
        <f>_xlfn.XLOOKUP($D23,Tab_Def_Processes[Process_Name],Tab_Def_Processes[Process_ID],,0,)</f>
        <v>00</v>
      </c>
      <c r="D23" s="18"/>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_xlfn.XLOOKUP(Tab_FOMP[[#This Row],[Process_Name]],Tab_Def_Processes[Process_Name],Tab_Def_Processes[Outflow_count],,0,)</f>
        <v>0</v>
      </c>
      <c r="I23" s="2" t="str">
        <f>"P"&amp;Tab_FOMP[[#This Row],[Process_ID]]&amp;"_"&amp;Tab_FOMP[[#This Row],[FOMP_Parameter_type]]</f>
        <v>P00_</v>
      </c>
      <c r="J23" s="18"/>
      <c r="K23" s="3"/>
      <c r="L23" s="9"/>
      <c r="M23" s="9"/>
      <c r="N23" s="9"/>
      <c r="O23" s="9"/>
    </row>
    <row r="24" spans="1:15" x14ac:dyDescent="0.25">
      <c r="A24" s="22" t="b">
        <v>0</v>
      </c>
      <c r="B24" s="2">
        <f t="shared" si="0"/>
        <v>23</v>
      </c>
      <c r="C24" s="2" t="str">
        <f>_xlfn.XLOOKUP($D24,Tab_Def_Processes[Process_Name],Tab_Def_Processes[Process_ID],,0,)</f>
        <v>00</v>
      </c>
      <c r="D24" s="18"/>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_xlfn.XLOOKUP(Tab_FOMP[[#This Row],[Process_Name]],Tab_Def_Processes[Process_Name],Tab_Def_Processes[Outflow_count],,0,)</f>
        <v>0</v>
      </c>
      <c r="I24" s="2" t="str">
        <f>"P"&amp;Tab_FOMP[[#This Row],[Process_ID]]&amp;"_"&amp;Tab_FOMP[[#This Row],[FOMP_Parameter_type]]</f>
        <v>P00_</v>
      </c>
      <c r="J24" s="18"/>
      <c r="K24" s="3"/>
      <c r="L24" s="9"/>
      <c r="M24" s="9"/>
      <c r="N24" s="9"/>
      <c r="O24" s="9"/>
    </row>
    <row r="25" spans="1:15" x14ac:dyDescent="0.25">
      <c r="A25" s="22" t="b">
        <v>0</v>
      </c>
      <c r="B25" s="2">
        <f t="shared" si="0"/>
        <v>24</v>
      </c>
      <c r="C25" s="2" t="str">
        <f>_xlfn.XLOOKUP($D25,Tab_Def_Processes[Process_Name],Tab_Def_Processes[Process_ID],,0,)</f>
        <v>00</v>
      </c>
      <c r="D25" s="18"/>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_xlfn.XLOOKUP(Tab_FOMP[[#This Row],[Process_Name]],Tab_Def_Processes[Process_Name],Tab_Def_Processes[Outflow_count],,0,)</f>
        <v>0</v>
      </c>
      <c r="I25" s="2" t="str">
        <f>"P"&amp;Tab_FOMP[[#This Row],[Process_ID]]&amp;"_"&amp;Tab_FOMP[[#This Row],[FOMP_Parameter_type]]</f>
        <v>P00_</v>
      </c>
      <c r="J25" s="18"/>
      <c r="K25" s="3"/>
      <c r="L25" s="9"/>
      <c r="M25" s="9"/>
      <c r="N25" s="9"/>
      <c r="O25" s="9"/>
    </row>
    <row r="26" spans="1:15" x14ac:dyDescent="0.25">
      <c r="A26" s="22" t="b">
        <v>0</v>
      </c>
      <c r="B26" s="2">
        <f t="shared" si="0"/>
        <v>25</v>
      </c>
      <c r="C26" s="2" t="str">
        <f>_xlfn.XLOOKUP($D26,Tab_Def_Processes[Process_Name],Tab_Def_Processes[Process_ID],,0,)</f>
        <v>00</v>
      </c>
      <c r="D26" s="18"/>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_xlfn.XLOOKUP(Tab_FOMP[[#This Row],[Process_Name]],Tab_Def_Processes[Process_Name],Tab_Def_Processes[Outflow_count],,0,)</f>
        <v>0</v>
      </c>
      <c r="I26" s="2" t="str">
        <f>"P"&amp;Tab_FOMP[[#This Row],[Process_ID]]&amp;"_"&amp;Tab_FOMP[[#This Row],[FOMP_Parameter_type]]</f>
        <v>P00_</v>
      </c>
      <c r="J26" s="18"/>
      <c r="K26" s="3"/>
      <c r="L26" s="9"/>
      <c r="M26" s="9"/>
      <c r="N26" s="9"/>
      <c r="O26" s="9"/>
    </row>
    <row r="27" spans="1:15" x14ac:dyDescent="0.25">
      <c r="A27" s="22" t="b">
        <v>0</v>
      </c>
      <c r="B27" s="2">
        <f t="shared" si="0"/>
        <v>26</v>
      </c>
      <c r="C27" s="2" t="str">
        <f>_xlfn.XLOOKUP($D27,Tab_Def_Processes[Process_Name],Tab_Def_Processes[Process_ID],,0,)</f>
        <v>00</v>
      </c>
      <c r="D27" s="18"/>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_xlfn.XLOOKUP(Tab_FOMP[[#This Row],[Process_Name]],Tab_Def_Processes[Process_Name],Tab_Def_Processes[Outflow_count],,0,)</f>
        <v>0</v>
      </c>
      <c r="I27" s="2" t="str">
        <f>"P"&amp;Tab_FOMP[[#This Row],[Process_ID]]&amp;"_"&amp;Tab_FOMP[[#This Row],[FOMP_Parameter_type]]</f>
        <v>P00_</v>
      </c>
      <c r="J27" s="18"/>
      <c r="K27" s="3"/>
      <c r="L27" s="9"/>
      <c r="M27" s="9"/>
      <c r="N27" s="9"/>
      <c r="O27" s="9"/>
    </row>
    <row r="28" spans="1:15" x14ac:dyDescent="0.25">
      <c r="A28" s="22" t="b">
        <v>0</v>
      </c>
      <c r="B28" s="2">
        <f t="shared" si="0"/>
        <v>27</v>
      </c>
      <c r="C28" s="2" t="str">
        <f>_xlfn.XLOOKUP($D28,Tab_Def_Processes[Process_Name],Tab_Def_Processes[Process_ID],,0,)</f>
        <v>00</v>
      </c>
      <c r="D28" s="18"/>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_xlfn.XLOOKUP(Tab_FOMP[[#This Row],[Process_Name]],Tab_Def_Processes[Process_Name],Tab_Def_Processes[Outflow_count],,0,)</f>
        <v>0</v>
      </c>
      <c r="I28" s="2" t="str">
        <f>"P"&amp;Tab_FOMP[[#This Row],[Process_ID]]&amp;"_"&amp;Tab_FOMP[[#This Row],[FOMP_Parameter_type]]</f>
        <v>P00_</v>
      </c>
      <c r="J28" s="18"/>
      <c r="K28" s="3"/>
      <c r="L28" s="9"/>
      <c r="M28" s="9"/>
      <c r="N28" s="9"/>
      <c r="O28" s="9"/>
    </row>
    <row r="29" spans="1:15" x14ac:dyDescent="0.25">
      <c r="A29" s="22" t="b">
        <v>0</v>
      </c>
      <c r="B29" s="2">
        <f t="shared" si="0"/>
        <v>28</v>
      </c>
      <c r="C29" s="2" t="str">
        <f>_xlfn.XLOOKUP($D29,Tab_Def_Processes[Process_Name],Tab_Def_Processes[Process_ID],,0,)</f>
        <v>00</v>
      </c>
      <c r="D29" s="18"/>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_xlfn.XLOOKUP(Tab_FOMP[[#This Row],[Process_Name]],Tab_Def_Processes[Process_Name],Tab_Def_Processes[Outflow_count],,0,)</f>
        <v>0</v>
      </c>
      <c r="I29" s="2" t="str">
        <f>"P"&amp;Tab_FOMP[[#This Row],[Process_ID]]&amp;"_"&amp;Tab_FOMP[[#This Row],[FOMP_Parameter_type]]</f>
        <v>P00_</v>
      </c>
      <c r="J29" s="18"/>
      <c r="K29" s="3"/>
      <c r="L29" s="9"/>
      <c r="M29" s="9"/>
      <c r="N29" s="9"/>
      <c r="O29" s="9"/>
    </row>
    <row r="30" spans="1:15" x14ac:dyDescent="0.25">
      <c r="A30" s="22" t="b">
        <v>0</v>
      </c>
      <c r="B30" s="2">
        <f t="shared" si="0"/>
        <v>29</v>
      </c>
      <c r="C30" s="2" t="str">
        <f>_xlfn.XLOOKUP($D30,Tab_Def_Processes[Process_Name],Tab_Def_Processes[Process_ID],,0,)</f>
        <v>00</v>
      </c>
      <c r="D30" s="18"/>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_xlfn.XLOOKUP(Tab_FOMP[[#This Row],[Process_Name]],Tab_Def_Processes[Process_Name],Tab_Def_Processes[Outflow_count],,0,)</f>
        <v>0</v>
      </c>
      <c r="I30" s="2" t="str">
        <f>"P"&amp;Tab_FOMP[[#This Row],[Process_ID]]&amp;"_"&amp;Tab_FOMP[[#This Row],[FOMP_Parameter_type]]</f>
        <v>P00_</v>
      </c>
      <c r="J30" s="18"/>
      <c r="K30" s="3"/>
      <c r="L30" s="9"/>
      <c r="M30" s="9"/>
      <c r="N30" s="9"/>
      <c r="O30" s="9"/>
    </row>
    <row r="31" spans="1:15" x14ac:dyDescent="0.25">
      <c r="A31" s="22" t="b">
        <v>0</v>
      </c>
      <c r="B31" s="2">
        <f t="shared" si="0"/>
        <v>30</v>
      </c>
      <c r="C31" s="2" t="str">
        <f>_xlfn.XLOOKUP($D31,Tab_Def_Processes[Process_Name],Tab_Def_Processes[Process_ID],,0,)</f>
        <v>00</v>
      </c>
      <c r="D31" s="18"/>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_xlfn.XLOOKUP(Tab_FOMP[[#This Row],[Process_Name]],Tab_Def_Processes[Process_Name],Tab_Def_Processes[Outflow_count],,0,)</f>
        <v>0</v>
      </c>
      <c r="I31" s="2" t="str">
        <f>"P"&amp;Tab_FOMP[[#This Row],[Process_ID]]&amp;"_"&amp;Tab_FOMP[[#This Row],[FOMP_Parameter_type]]</f>
        <v>P00_</v>
      </c>
      <c r="J31" s="18"/>
      <c r="K31" s="3"/>
      <c r="L31" s="9"/>
      <c r="M31" s="9"/>
      <c r="N31" s="9"/>
      <c r="O31" s="9"/>
    </row>
    <row r="32" spans="1:15" x14ac:dyDescent="0.25">
      <c r="A32" s="22" t="b">
        <v>0</v>
      </c>
      <c r="B32" s="2">
        <f t="shared" si="0"/>
        <v>31</v>
      </c>
      <c r="C32" s="2" t="str">
        <f>_xlfn.XLOOKUP($D32,Tab_Def_Processes[Process_Name],Tab_Def_Processes[Process_ID],,0,)</f>
        <v>00</v>
      </c>
      <c r="D32" s="18"/>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_xlfn.XLOOKUP(Tab_FOMP[[#This Row],[Process_Name]],Tab_Def_Processes[Process_Name],Tab_Def_Processes[Outflow_count],,0,)</f>
        <v>0</v>
      </c>
      <c r="I32" s="2" t="str">
        <f>"P"&amp;Tab_FOMP[[#This Row],[Process_ID]]&amp;"_"&amp;Tab_FOMP[[#This Row],[FOMP_Parameter_type]]</f>
        <v>P00_</v>
      </c>
      <c r="J32" s="18"/>
      <c r="K32" s="3"/>
      <c r="L32" s="9"/>
      <c r="M32" s="9"/>
      <c r="N32" s="9"/>
      <c r="O32" s="9"/>
    </row>
    <row r="33" spans="1:15" x14ac:dyDescent="0.25">
      <c r="A33" s="22" t="b">
        <v>0</v>
      </c>
      <c r="B33" s="2">
        <f t="shared" si="0"/>
        <v>32</v>
      </c>
      <c r="C33" s="2" t="str">
        <f>_xlfn.XLOOKUP($D33,Tab_Def_Processes[Process_Name],Tab_Def_Processes[Process_ID],,0,)</f>
        <v>00</v>
      </c>
      <c r="D33" s="18"/>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_xlfn.XLOOKUP(Tab_FOMP[[#This Row],[Process_Name]],Tab_Def_Processes[Process_Name],Tab_Def_Processes[Outflow_count],,0,)</f>
        <v>0</v>
      </c>
      <c r="I33" s="2" t="str">
        <f>"P"&amp;Tab_FOMP[[#This Row],[Process_ID]]&amp;"_"&amp;Tab_FOMP[[#This Row],[FOMP_Parameter_type]]</f>
        <v>P00_</v>
      </c>
      <c r="J33" s="18"/>
      <c r="K33" s="3"/>
      <c r="L33" s="9"/>
      <c r="M33" s="9"/>
      <c r="N33" s="9"/>
      <c r="O33" s="9"/>
    </row>
    <row r="34" spans="1:15" x14ac:dyDescent="0.25">
      <c r="A34" s="22" t="b">
        <v>0</v>
      </c>
      <c r="B34" s="2">
        <f t="shared" si="0"/>
        <v>33</v>
      </c>
      <c r="C34" s="2" t="str">
        <f>_xlfn.XLOOKUP($D34,Tab_Def_Processes[Process_Name],Tab_Def_Processes[Process_ID],,0,)</f>
        <v>00</v>
      </c>
      <c r="D34" s="18"/>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_xlfn.XLOOKUP(Tab_FOMP[[#This Row],[Process_Name]],Tab_Def_Processes[Process_Name],Tab_Def_Processes[Outflow_count],,0,)</f>
        <v>0</v>
      </c>
      <c r="I34" s="2" t="str">
        <f>"P"&amp;Tab_FOMP[[#This Row],[Process_ID]]&amp;"_"&amp;Tab_FOMP[[#This Row],[FOMP_Parameter_type]]</f>
        <v>P00_</v>
      </c>
      <c r="J34" s="18"/>
      <c r="K34" s="3"/>
      <c r="L34" s="9"/>
      <c r="M34" s="9"/>
      <c r="N34" s="9"/>
      <c r="O34" s="9"/>
    </row>
    <row r="35" spans="1:15" x14ac:dyDescent="0.25">
      <c r="A35" s="22" t="b">
        <v>0</v>
      </c>
      <c r="B35" s="2">
        <f t="shared" si="0"/>
        <v>34</v>
      </c>
      <c r="C35" s="2" t="str">
        <f>_xlfn.XLOOKUP($D35,Tab_Def_Processes[Process_Name],Tab_Def_Processes[Process_ID],,0,)</f>
        <v>00</v>
      </c>
      <c r="D35" s="18"/>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_xlfn.XLOOKUP(Tab_FOMP[[#This Row],[Process_Name]],Tab_Def_Processes[Process_Name],Tab_Def_Processes[Outflow_count],,0,)</f>
        <v>0</v>
      </c>
      <c r="I35" s="2" t="str">
        <f>"P"&amp;Tab_FOMP[[#This Row],[Process_ID]]&amp;"_"&amp;Tab_FOMP[[#This Row],[FOMP_Parameter_type]]</f>
        <v>P00_</v>
      </c>
      <c r="J35" s="18"/>
      <c r="K35" s="3"/>
      <c r="L35" s="9"/>
      <c r="M35" s="9"/>
      <c r="N35" s="9"/>
      <c r="O35" s="9"/>
    </row>
    <row r="36" spans="1:15" x14ac:dyDescent="0.25">
      <c r="A36" s="22" t="b">
        <v>0</v>
      </c>
      <c r="B36" s="2">
        <f t="shared" si="0"/>
        <v>35</v>
      </c>
      <c r="C36" s="2" t="str">
        <f>_xlfn.XLOOKUP($D36,Tab_Def_Processes[Process_Name],Tab_Def_Processes[Process_ID],,0,)</f>
        <v>00</v>
      </c>
      <c r="D36" s="18"/>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_xlfn.XLOOKUP(Tab_FOMP[[#This Row],[Process_Name]],Tab_Def_Processes[Process_Name],Tab_Def_Processes[Outflow_count],,0,)</f>
        <v>0</v>
      </c>
      <c r="I36" s="2" t="str">
        <f>"P"&amp;Tab_FOMP[[#This Row],[Process_ID]]&amp;"_"&amp;Tab_FOMP[[#This Row],[FOMP_Parameter_type]]</f>
        <v>P00_</v>
      </c>
      <c r="J36" s="18"/>
      <c r="K36" s="3"/>
      <c r="L36" s="9"/>
      <c r="M36" s="9"/>
      <c r="N36" s="9"/>
      <c r="O36" s="9"/>
    </row>
    <row r="37" spans="1:15" x14ac:dyDescent="0.25">
      <c r="A37" s="22" t="b">
        <v>0</v>
      </c>
      <c r="B37" s="2">
        <f t="shared" si="0"/>
        <v>36</v>
      </c>
      <c r="C37" s="2" t="str">
        <f>_xlfn.XLOOKUP($D37,Tab_Def_Processes[Process_Name],Tab_Def_Processes[Process_ID],,0,)</f>
        <v>00</v>
      </c>
      <c r="D37" s="18"/>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_xlfn.XLOOKUP(Tab_FOMP[[#This Row],[Process_Name]],Tab_Def_Processes[Process_Name],Tab_Def_Processes[Outflow_count],,0,)</f>
        <v>0</v>
      </c>
      <c r="I37" s="2" t="str">
        <f>"P"&amp;Tab_FOMP[[#This Row],[Process_ID]]&amp;"_"&amp;Tab_FOMP[[#This Row],[FOMP_Parameter_type]]</f>
        <v>P00_</v>
      </c>
      <c r="J37" s="18"/>
      <c r="K37" s="3"/>
      <c r="L37" s="9"/>
      <c r="M37" s="9"/>
      <c r="N37" s="9"/>
      <c r="O37" s="9"/>
    </row>
    <row r="38" spans="1:15" x14ac:dyDescent="0.25">
      <c r="A38" s="22" t="b">
        <v>0</v>
      </c>
      <c r="B38" s="2">
        <f t="shared" si="0"/>
        <v>37</v>
      </c>
      <c r="C38" s="2" t="str">
        <f>_xlfn.XLOOKUP($D38,Tab_Def_Processes[Process_Name],Tab_Def_Processes[Process_ID],,0,)</f>
        <v>00</v>
      </c>
      <c r="D38" s="18"/>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_xlfn.XLOOKUP(Tab_FOMP[[#This Row],[Process_Name]],Tab_Def_Processes[Process_Name],Tab_Def_Processes[Outflow_count],,0,)</f>
        <v>0</v>
      </c>
      <c r="I38" s="2" t="str">
        <f>"P"&amp;Tab_FOMP[[#This Row],[Process_ID]]&amp;"_"&amp;Tab_FOMP[[#This Row],[FOMP_Parameter_type]]</f>
        <v>P00_</v>
      </c>
      <c r="J38" s="18"/>
      <c r="K38" s="3"/>
      <c r="L38" s="9"/>
      <c r="M38" s="9"/>
      <c r="N38" s="9"/>
      <c r="O38" s="9"/>
    </row>
    <row r="39" spans="1:15" x14ac:dyDescent="0.25">
      <c r="A39" s="22" t="b">
        <v>0</v>
      </c>
      <c r="B39" s="2">
        <f t="shared" si="0"/>
        <v>38</v>
      </c>
      <c r="C39" s="2" t="str">
        <f>_xlfn.XLOOKUP($D39,Tab_Def_Processes[Process_Name],Tab_Def_Processes[Process_ID],,0,)</f>
        <v>00</v>
      </c>
      <c r="D39" s="18"/>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_xlfn.XLOOKUP(Tab_FOMP[[#This Row],[Process_Name]],Tab_Def_Processes[Process_Name],Tab_Def_Processes[Outflow_count],,0,)</f>
        <v>0</v>
      </c>
      <c r="I39" s="2" t="str">
        <f>"P"&amp;Tab_FOMP[[#This Row],[Process_ID]]&amp;"_"&amp;Tab_FOMP[[#This Row],[FOMP_Parameter_type]]</f>
        <v>P00_</v>
      </c>
      <c r="J39" s="18"/>
      <c r="K39" s="3"/>
      <c r="L39" s="9"/>
      <c r="M39" s="9"/>
      <c r="N39" s="9"/>
      <c r="O39" s="9"/>
    </row>
    <row r="40" spans="1:15" x14ac:dyDescent="0.25">
      <c r="A40" s="22" t="b">
        <v>0</v>
      </c>
      <c r="B40" s="2">
        <f t="shared" si="0"/>
        <v>39</v>
      </c>
      <c r="C40" s="2" t="str">
        <f>_xlfn.XLOOKUP($D40,Tab_Def_Processes[Process_Name],Tab_Def_Processes[Process_ID],,0,)</f>
        <v>00</v>
      </c>
      <c r="D40" s="18"/>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_xlfn.XLOOKUP(Tab_FOMP[[#This Row],[Process_Name]],Tab_Def_Processes[Process_Name],Tab_Def_Processes[Outflow_count],,0,)</f>
        <v>0</v>
      </c>
      <c r="I40" s="2" t="str">
        <f>"P"&amp;Tab_FOMP[[#This Row],[Process_ID]]&amp;"_"&amp;Tab_FOMP[[#This Row],[FOMP_Parameter_type]]</f>
        <v>P00_</v>
      </c>
      <c r="J40" s="18"/>
      <c r="K40" s="3"/>
      <c r="L40" s="9"/>
      <c r="M40" s="9"/>
      <c r="N40" s="9"/>
      <c r="O40" s="9"/>
    </row>
    <row r="41" spans="1:15" x14ac:dyDescent="0.25">
      <c r="A41" s="22" t="b">
        <v>0</v>
      </c>
      <c r="B41" s="2">
        <f t="shared" si="0"/>
        <v>40</v>
      </c>
      <c r="C41" s="2" t="str">
        <f>_xlfn.XLOOKUP($D41,Tab_Def_Processes[Process_Name],Tab_Def_Processes[Process_ID],,0,)</f>
        <v>00</v>
      </c>
      <c r="D41" s="18"/>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_xlfn.XLOOKUP(Tab_FOMP[[#This Row],[Process_Name]],Tab_Def_Processes[Process_Name],Tab_Def_Processes[Outflow_count],,0,)</f>
        <v>0</v>
      </c>
      <c r="I41" s="2" t="str">
        <f>"P"&amp;Tab_FOMP[[#This Row],[Process_ID]]&amp;"_"&amp;Tab_FOMP[[#This Row],[FOMP_Parameter_type]]</f>
        <v>P00_</v>
      </c>
      <c r="J41" s="18"/>
      <c r="K41" s="3"/>
      <c r="L41" s="9"/>
      <c r="M41" s="9"/>
      <c r="N41" s="9"/>
      <c r="O41" s="9"/>
    </row>
    <row r="42" spans="1:15" x14ac:dyDescent="0.25">
      <c r="A42" s="22" t="b">
        <v>0</v>
      </c>
      <c r="B42" s="2">
        <f t="shared" si="0"/>
        <v>41</v>
      </c>
      <c r="C42" s="2" t="str">
        <f>_xlfn.XLOOKUP($D42,Tab_Def_Processes[Process_Name],Tab_Def_Processes[Process_ID],,0,)</f>
        <v>00</v>
      </c>
      <c r="D42" s="18"/>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_xlfn.XLOOKUP(Tab_FOMP[[#This Row],[Process_Name]],Tab_Def_Processes[Process_Name],Tab_Def_Processes[Outflow_count],,0,)</f>
        <v>0</v>
      </c>
      <c r="I42" s="2" t="str">
        <f>"P"&amp;Tab_FOMP[[#This Row],[Process_ID]]&amp;"_"&amp;Tab_FOMP[[#This Row],[FOMP_Parameter_type]]</f>
        <v>P00_</v>
      </c>
      <c r="J42" s="18"/>
      <c r="K42" s="3"/>
      <c r="L42" s="9"/>
      <c r="M42" s="9"/>
      <c r="N42" s="9"/>
      <c r="O42" s="9"/>
    </row>
    <row r="43" spans="1:15" x14ac:dyDescent="0.25">
      <c r="A43" s="22" t="b">
        <v>0</v>
      </c>
      <c r="B43" s="2">
        <f t="shared" si="0"/>
        <v>42</v>
      </c>
      <c r="C43" s="2" t="str">
        <f>_xlfn.XLOOKUP($D43,Tab_Def_Processes[Process_Name],Tab_Def_Processes[Process_ID],,0,)</f>
        <v>00</v>
      </c>
      <c r="D43" s="18"/>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_xlfn.XLOOKUP(Tab_FOMP[[#This Row],[Process_Name]],Tab_Def_Processes[Process_Name],Tab_Def_Processes[Outflow_count],,0,)</f>
        <v>0</v>
      </c>
      <c r="I43" s="2" t="str">
        <f>"P"&amp;Tab_FOMP[[#This Row],[Process_ID]]&amp;"_"&amp;Tab_FOMP[[#This Row],[FOMP_Parameter_type]]</f>
        <v>P00_</v>
      </c>
      <c r="J43" s="18"/>
      <c r="K43" s="3"/>
      <c r="L43" s="9"/>
      <c r="M43" s="9"/>
      <c r="N43" s="9"/>
      <c r="O43" s="9"/>
    </row>
    <row r="44" spans="1:15" x14ac:dyDescent="0.25">
      <c r="A44" s="22" t="b">
        <v>0</v>
      </c>
      <c r="B44" s="2">
        <f t="shared" si="0"/>
        <v>43</v>
      </c>
      <c r="C44" s="2" t="str">
        <f>_xlfn.XLOOKUP($D44,Tab_Def_Processes[Process_Name],Tab_Def_Processes[Process_ID],,0,)</f>
        <v>00</v>
      </c>
      <c r="D44" s="18"/>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_xlfn.XLOOKUP(Tab_FOMP[[#This Row],[Process_Name]],Tab_Def_Processes[Process_Name],Tab_Def_Processes[Outflow_count],,0,)</f>
        <v>0</v>
      </c>
      <c r="I44" s="2" t="str">
        <f>"P"&amp;Tab_FOMP[[#This Row],[Process_ID]]&amp;"_"&amp;Tab_FOMP[[#This Row],[FOMP_Parameter_type]]</f>
        <v>P00_</v>
      </c>
      <c r="J44" s="18"/>
      <c r="K44" s="3"/>
      <c r="L44" s="9"/>
      <c r="M44" s="9"/>
      <c r="N44" s="9"/>
      <c r="O44" s="9"/>
    </row>
    <row r="45" spans="1:15" x14ac:dyDescent="0.25">
      <c r="A45" s="22" t="b">
        <v>0</v>
      </c>
      <c r="B45" s="2">
        <f t="shared" si="0"/>
        <v>44</v>
      </c>
      <c r="C45" s="2" t="str">
        <f>_xlfn.XLOOKUP($D45,Tab_Def_Processes[Process_Name],Tab_Def_Processes[Process_ID],,0,)</f>
        <v>00</v>
      </c>
      <c r="D45" s="18"/>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_xlfn.XLOOKUP(Tab_FOMP[[#This Row],[Process_Name]],Tab_Def_Processes[Process_Name],Tab_Def_Processes[Outflow_count],,0,)</f>
        <v>0</v>
      </c>
      <c r="I45" s="2" t="str">
        <f>"P"&amp;Tab_FOMP[[#This Row],[Process_ID]]&amp;"_"&amp;Tab_FOMP[[#This Row],[FOMP_Parameter_type]]</f>
        <v>P00_</v>
      </c>
      <c r="J45" s="18"/>
      <c r="K45" s="3"/>
      <c r="L45" s="9"/>
      <c r="M45" s="9"/>
      <c r="N45" s="9"/>
      <c r="O45" s="9"/>
    </row>
    <row r="46" spans="1:15" x14ac:dyDescent="0.25">
      <c r="A46" s="22" t="b">
        <v>0</v>
      </c>
      <c r="B46" s="2">
        <f t="shared" si="0"/>
        <v>45</v>
      </c>
      <c r="C46" s="2" t="str">
        <f>_xlfn.XLOOKUP($D46,Tab_Def_Processes[Process_Name],Tab_Def_Processes[Process_ID],,0,)</f>
        <v>00</v>
      </c>
      <c r="D46" s="18"/>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_xlfn.XLOOKUP(Tab_FOMP[[#This Row],[Process_Name]],Tab_Def_Processes[Process_Name],Tab_Def_Processes[Outflow_count],,0,)</f>
        <v>0</v>
      </c>
      <c r="I46" s="2" t="str">
        <f>"P"&amp;Tab_FOMP[[#This Row],[Process_ID]]&amp;"_"&amp;Tab_FOMP[[#This Row],[FOMP_Parameter_type]]</f>
        <v>P00_</v>
      </c>
      <c r="J46" s="18"/>
      <c r="K46" s="3"/>
      <c r="L46" s="9"/>
      <c r="M46" s="9"/>
      <c r="N46" s="9"/>
      <c r="O46" s="9"/>
    </row>
    <row r="47" spans="1:15" x14ac:dyDescent="0.25">
      <c r="A47" s="22" t="b">
        <v>0</v>
      </c>
      <c r="B47" s="2">
        <f t="shared" si="0"/>
        <v>46</v>
      </c>
      <c r="C47" s="2" t="str">
        <f>_xlfn.XLOOKUP($D47,Tab_Def_Processes[Process_Name],Tab_Def_Processes[Process_ID],,0,)</f>
        <v>00</v>
      </c>
      <c r="D47" s="18"/>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_xlfn.XLOOKUP(Tab_FOMP[[#This Row],[Process_Name]],Tab_Def_Processes[Process_Name],Tab_Def_Processes[Outflow_count],,0,)</f>
        <v>0</v>
      </c>
      <c r="I47" s="2" t="str">
        <f>"P"&amp;Tab_FOMP[[#This Row],[Process_ID]]&amp;"_"&amp;Tab_FOMP[[#This Row],[FOMP_Parameter_type]]</f>
        <v>P00_</v>
      </c>
      <c r="J47" s="18"/>
      <c r="K47" s="3"/>
      <c r="L47" s="9"/>
      <c r="M47" s="9"/>
      <c r="N47" s="9"/>
      <c r="O47" s="9"/>
    </row>
    <row r="48" spans="1:15" x14ac:dyDescent="0.25">
      <c r="A48" s="22" t="b">
        <v>0</v>
      </c>
      <c r="B48" s="2">
        <f t="shared" si="0"/>
        <v>47</v>
      </c>
      <c r="C48" s="2" t="str">
        <f>_xlfn.XLOOKUP($D48,Tab_Def_Processes[Process_Name],Tab_Def_Processes[Process_ID],,0,)</f>
        <v>00</v>
      </c>
      <c r="D48" s="18"/>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_xlfn.XLOOKUP(Tab_FOMP[[#This Row],[Process_Name]],Tab_Def_Processes[Process_Name],Tab_Def_Processes[Outflow_count],,0,)</f>
        <v>0</v>
      </c>
      <c r="I48" s="2" t="str">
        <f>"P"&amp;Tab_FOMP[[#This Row],[Process_ID]]&amp;"_"&amp;Tab_FOMP[[#This Row],[FOMP_Parameter_type]]</f>
        <v>P00_</v>
      </c>
      <c r="J48" s="18"/>
      <c r="K48" s="3"/>
      <c r="L48" s="9"/>
      <c r="M48" s="9"/>
      <c r="N48" s="9"/>
      <c r="O48" s="9"/>
    </row>
    <row r="49" spans="1:15" x14ac:dyDescent="0.25">
      <c r="A49" s="22" t="b">
        <v>0</v>
      </c>
      <c r="B49" s="2">
        <f t="shared" si="0"/>
        <v>48</v>
      </c>
      <c r="C49" s="2" t="str">
        <f>_xlfn.XLOOKUP($D49,Tab_Def_Processes[Process_Name],Tab_Def_Processes[Process_ID],,0,)</f>
        <v>00</v>
      </c>
      <c r="D49" s="18"/>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_xlfn.XLOOKUP(Tab_FOMP[[#This Row],[Process_Name]],Tab_Def_Processes[Process_Name],Tab_Def_Processes[Outflow_count],,0,)</f>
        <v>0</v>
      </c>
      <c r="I49" s="2" t="str">
        <f>"P"&amp;Tab_FOMP[[#This Row],[Process_ID]]&amp;"_"&amp;Tab_FOMP[[#This Row],[FOMP_Parameter_type]]</f>
        <v>P00_</v>
      </c>
      <c r="J49" s="18"/>
      <c r="K49" s="3"/>
      <c r="L49" s="9"/>
      <c r="M49" s="9"/>
      <c r="N49" s="9"/>
      <c r="O49" s="9"/>
    </row>
    <row r="50" spans="1:15" x14ac:dyDescent="0.25">
      <c r="A50" s="22" t="b">
        <v>0</v>
      </c>
      <c r="B50" s="2">
        <f t="shared" si="0"/>
        <v>49</v>
      </c>
      <c r="C50" s="2" t="str">
        <f>_xlfn.XLOOKUP($D50,Tab_Def_Processes[Process_Name],Tab_Def_Processes[Process_ID],,0,)</f>
        <v>00</v>
      </c>
      <c r="D50" s="18"/>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_xlfn.XLOOKUP(Tab_FOMP[[#This Row],[Process_Name]],Tab_Def_Processes[Process_Name],Tab_Def_Processes[Outflow_count],,0,)</f>
        <v>0</v>
      </c>
      <c r="I50" s="2" t="str">
        <f>"P"&amp;Tab_FOMP[[#This Row],[Process_ID]]&amp;"_"&amp;Tab_FOMP[[#This Row],[FOMP_Parameter_type]]</f>
        <v>P00_</v>
      </c>
      <c r="J50" s="18"/>
      <c r="K50" s="3"/>
      <c r="L50" s="9"/>
      <c r="M50" s="9"/>
      <c r="N50" s="9"/>
      <c r="O50" s="9"/>
    </row>
    <row r="51" spans="1:15" x14ac:dyDescent="0.25">
      <c r="A51" s="22" t="b">
        <v>0</v>
      </c>
      <c r="B51" s="2">
        <f t="shared" si="0"/>
        <v>50</v>
      </c>
      <c r="C51" s="2" t="str">
        <f>_xlfn.XLOOKUP($D51,Tab_Def_Processes[Process_Name],Tab_Def_Processes[Process_ID],,0,)</f>
        <v>00</v>
      </c>
      <c r="D51" s="18"/>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_xlfn.XLOOKUP(Tab_FOMP[[#This Row],[Process_Name]],Tab_Def_Processes[Process_Name],Tab_Def_Processes[Outflow_count],,0,)</f>
        <v>0</v>
      </c>
      <c r="I51" s="2" t="str">
        <f>"P"&amp;Tab_FOMP[[#This Row],[Process_ID]]&amp;"_"&amp;Tab_FOMP[[#This Row],[FOMP_Parameter_type]]</f>
        <v>P00_</v>
      </c>
      <c r="J51" s="18"/>
      <c r="K51" s="3"/>
      <c r="L51" s="9"/>
      <c r="M51" s="9"/>
      <c r="N51" s="9"/>
      <c r="O51" s="9"/>
    </row>
    <row r="52" spans="1:15" x14ac:dyDescent="0.25">
      <c r="A52" s="22" t="b">
        <v>0</v>
      </c>
      <c r="B52" s="2">
        <f t="shared" si="0"/>
        <v>51</v>
      </c>
      <c r="C52" s="2" t="str">
        <f>_xlfn.XLOOKUP($D52,Tab_Def_Processes[Process_Name],Tab_Def_Processes[Process_ID],,0,)</f>
        <v>00</v>
      </c>
      <c r="D52" s="18"/>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_xlfn.XLOOKUP(Tab_FOMP[[#This Row],[Process_Name]],Tab_Def_Processes[Process_Name],Tab_Def_Processes[Outflow_count],,0,)</f>
        <v>0</v>
      </c>
      <c r="I52" s="2" t="str">
        <f>"P"&amp;Tab_FOMP[[#This Row],[Process_ID]]&amp;"_"&amp;Tab_FOMP[[#This Row],[FOMP_Parameter_type]]</f>
        <v>P00_</v>
      </c>
      <c r="J52" s="18"/>
      <c r="K52" s="3"/>
      <c r="L52" s="9"/>
      <c r="M52" s="9"/>
      <c r="N52" s="9"/>
      <c r="O52" s="9"/>
    </row>
    <row r="53" spans="1:15" x14ac:dyDescent="0.25">
      <c r="A53" s="22" t="b">
        <v>0</v>
      </c>
      <c r="B53" s="2">
        <f t="shared" si="0"/>
        <v>52</v>
      </c>
      <c r="C53" s="2" t="str">
        <f>_xlfn.XLOOKUP($D53,Tab_Def_Processes[Process_Name],Tab_Def_Processes[Process_ID],,0,)</f>
        <v>00</v>
      </c>
      <c r="D53" s="18"/>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_xlfn.XLOOKUP(Tab_FOMP[[#This Row],[Process_Name]],Tab_Def_Processes[Process_Name],Tab_Def_Processes[Outflow_count],,0,)</f>
        <v>0</v>
      </c>
      <c r="I53" s="2" t="str">
        <f>"P"&amp;Tab_FOMP[[#This Row],[Process_ID]]&amp;"_"&amp;Tab_FOMP[[#This Row],[FOMP_Parameter_type]]</f>
        <v>P00_</v>
      </c>
      <c r="J53" s="18"/>
      <c r="K53" s="3"/>
      <c r="L53" s="9"/>
      <c r="M53" s="9"/>
      <c r="N53" s="9"/>
      <c r="O53" s="9"/>
    </row>
    <row r="54" spans="1:15" x14ac:dyDescent="0.25">
      <c r="A54" s="22" t="b">
        <v>0</v>
      </c>
      <c r="B54" s="2">
        <f t="shared" si="0"/>
        <v>53</v>
      </c>
      <c r="C54" s="2" t="str">
        <f>_xlfn.XLOOKUP($D54,Tab_Def_Processes[Process_Name],Tab_Def_Processes[Process_ID],,0,)</f>
        <v>00</v>
      </c>
      <c r="D54" s="18"/>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_xlfn.XLOOKUP(Tab_FOMP[[#This Row],[Process_Name]],Tab_Def_Processes[Process_Name],Tab_Def_Processes[Outflow_count],,0,)</f>
        <v>0</v>
      </c>
      <c r="I54" s="2" t="str">
        <f>"P"&amp;Tab_FOMP[[#This Row],[Process_ID]]&amp;"_"&amp;Tab_FOMP[[#This Row],[FOMP_Parameter_type]]</f>
        <v>P00_</v>
      </c>
      <c r="J54" s="18"/>
      <c r="K54" s="3"/>
      <c r="L54" s="9"/>
      <c r="M54" s="9"/>
      <c r="N54" s="9"/>
      <c r="O54" s="9"/>
    </row>
    <row r="55" spans="1:15" x14ac:dyDescent="0.25">
      <c r="A55" s="22" t="b">
        <v>0</v>
      </c>
      <c r="B55" s="2">
        <f t="shared" si="0"/>
        <v>54</v>
      </c>
      <c r="C55" s="2" t="str">
        <f>_xlfn.XLOOKUP($D55,Tab_Def_Processes[Process_Name],Tab_Def_Processes[Process_ID],,0,)</f>
        <v>00</v>
      </c>
      <c r="D55" s="18"/>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_xlfn.XLOOKUP(Tab_FOMP[[#This Row],[Process_Name]],Tab_Def_Processes[Process_Name],Tab_Def_Processes[Outflow_count],,0,)</f>
        <v>0</v>
      </c>
      <c r="I55" s="2" t="str">
        <f>"P"&amp;Tab_FOMP[[#This Row],[Process_ID]]&amp;"_"&amp;Tab_FOMP[[#This Row],[FOMP_Parameter_type]]</f>
        <v>P00_</v>
      </c>
      <c r="J55" s="18"/>
      <c r="K55" s="3"/>
      <c r="L55" s="9"/>
      <c r="M55" s="9"/>
      <c r="N55" s="9"/>
      <c r="O55" s="9"/>
    </row>
    <row r="56" spans="1:15" x14ac:dyDescent="0.25">
      <c r="A56" s="22" t="b">
        <v>0</v>
      </c>
      <c r="B56" s="2">
        <f t="shared" si="0"/>
        <v>55</v>
      </c>
      <c r="C56" s="2" t="str">
        <f>_xlfn.XLOOKUP($D56,Tab_Def_Processes[Process_Name],Tab_Def_Processes[Process_ID],,0,)</f>
        <v>00</v>
      </c>
      <c r="D56" s="18"/>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_xlfn.XLOOKUP(Tab_FOMP[[#This Row],[Process_Name]],Tab_Def_Processes[Process_Name],Tab_Def_Processes[Outflow_count],,0,)</f>
        <v>0</v>
      </c>
      <c r="I56" s="2" t="str">
        <f>"P"&amp;Tab_FOMP[[#This Row],[Process_ID]]&amp;"_"&amp;Tab_FOMP[[#This Row],[FOMP_Parameter_type]]</f>
        <v>P00_</v>
      </c>
      <c r="J56" s="18"/>
      <c r="K56" s="3"/>
      <c r="L56" s="9"/>
      <c r="M56" s="9"/>
      <c r="N56" s="9"/>
      <c r="O56" s="9"/>
    </row>
    <row r="57" spans="1:15" x14ac:dyDescent="0.25">
      <c r="A57" s="22" t="b">
        <v>0</v>
      </c>
      <c r="B57" s="2">
        <f t="shared" si="0"/>
        <v>56</v>
      </c>
      <c r="C57" s="2" t="str">
        <f>_xlfn.XLOOKUP($D57,Tab_Def_Processes[Process_Name],Tab_Def_Processes[Process_ID],,0,)</f>
        <v>00</v>
      </c>
      <c r="D57" s="18"/>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_xlfn.XLOOKUP(Tab_FOMP[[#This Row],[Process_Name]],Tab_Def_Processes[Process_Name],Tab_Def_Processes[Outflow_count],,0,)</f>
        <v>0</v>
      </c>
      <c r="I57" s="2" t="str">
        <f>"P"&amp;Tab_FOMP[[#This Row],[Process_ID]]&amp;"_"&amp;Tab_FOMP[[#This Row],[FOMP_Parameter_type]]</f>
        <v>P00_</v>
      </c>
      <c r="J57" s="18"/>
      <c r="K57" s="3"/>
      <c r="L57" s="9"/>
      <c r="M57" s="9"/>
      <c r="N57" s="9"/>
      <c r="O57" s="9"/>
    </row>
    <row r="58" spans="1:15" x14ac:dyDescent="0.25">
      <c r="A58" s="22" t="b">
        <v>0</v>
      </c>
      <c r="B58" s="2">
        <f t="shared" si="0"/>
        <v>57</v>
      </c>
      <c r="C58" s="2" t="str">
        <f>_xlfn.XLOOKUP($D58,Tab_Def_Processes[Process_Name],Tab_Def_Processes[Process_ID],,0,)</f>
        <v>00</v>
      </c>
      <c r="D58" s="18"/>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_xlfn.XLOOKUP(Tab_FOMP[[#This Row],[Process_Name]],Tab_Def_Processes[Process_Name],Tab_Def_Processes[Outflow_count],,0,)</f>
        <v>0</v>
      </c>
      <c r="I58" s="2" t="str">
        <f>"P"&amp;Tab_FOMP[[#This Row],[Process_ID]]&amp;"_"&amp;Tab_FOMP[[#This Row],[FOMP_Parameter_type]]</f>
        <v>P00_</v>
      </c>
      <c r="J58" s="18"/>
      <c r="K58" s="3"/>
      <c r="L58" s="9"/>
      <c r="M58" s="9"/>
      <c r="N58" s="9"/>
      <c r="O58" s="9"/>
    </row>
    <row r="59" spans="1:15" x14ac:dyDescent="0.25">
      <c r="A59" s="22" t="b">
        <v>0</v>
      </c>
      <c r="B59" s="2">
        <f t="shared" si="0"/>
        <v>58</v>
      </c>
      <c r="C59" s="2" t="str">
        <f>_xlfn.XLOOKUP($D59,Tab_Def_Processes[Process_Name],Tab_Def_Processes[Process_ID],,0,)</f>
        <v>00</v>
      </c>
      <c r="D59" s="18"/>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_xlfn.XLOOKUP(Tab_FOMP[[#This Row],[Process_Name]],Tab_Def_Processes[Process_Name],Tab_Def_Processes[Outflow_count],,0,)</f>
        <v>0</v>
      </c>
      <c r="I59" s="2" t="str">
        <f>"P"&amp;Tab_FOMP[[#This Row],[Process_ID]]&amp;"_"&amp;Tab_FOMP[[#This Row],[FOMP_Parameter_type]]</f>
        <v>P00_</v>
      </c>
      <c r="J59" s="18"/>
      <c r="K59" s="3"/>
      <c r="L59" s="9"/>
      <c r="M59" s="9"/>
      <c r="N59" s="9"/>
      <c r="O59" s="9"/>
    </row>
    <row r="60" spans="1:15" x14ac:dyDescent="0.25">
      <c r="A60" s="22" t="b">
        <v>0</v>
      </c>
      <c r="B60" s="2">
        <f t="shared" si="0"/>
        <v>59</v>
      </c>
      <c r="C60" s="2" t="str">
        <f>_xlfn.XLOOKUP($D60,Tab_Def_Processes[Process_Name],Tab_Def_Processes[Process_ID],,0,)</f>
        <v>00</v>
      </c>
      <c r="D60" s="18"/>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_xlfn.XLOOKUP(Tab_FOMP[[#This Row],[Process_Name]],Tab_Def_Processes[Process_Name],Tab_Def_Processes[Outflow_count],,0,)</f>
        <v>0</v>
      </c>
      <c r="I60" s="2" t="str">
        <f>"P"&amp;Tab_FOMP[[#This Row],[Process_ID]]&amp;"_"&amp;Tab_FOMP[[#This Row],[FOMP_Parameter_type]]</f>
        <v>P00_</v>
      </c>
      <c r="J60" s="18"/>
      <c r="K60" s="3"/>
      <c r="L60" s="9"/>
      <c r="M60" s="9"/>
      <c r="N60" s="9"/>
      <c r="O60" s="9"/>
    </row>
    <row r="61" spans="1:15" x14ac:dyDescent="0.25">
      <c r="A61" s="22" t="b">
        <v>0</v>
      </c>
      <c r="B61" s="2">
        <f t="shared" si="0"/>
        <v>60</v>
      </c>
      <c r="C61" s="2" t="str">
        <f>_xlfn.XLOOKUP($D61,Tab_Def_Processes[Process_Name],Tab_Def_Processes[Process_ID],,0,)</f>
        <v>00</v>
      </c>
      <c r="D61" s="18"/>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_xlfn.XLOOKUP(Tab_FOMP[[#This Row],[Process_Name]],Tab_Def_Processes[Process_Name],Tab_Def_Processes[Outflow_count],,0,)</f>
        <v>0</v>
      </c>
      <c r="I61" s="2" t="str">
        <f>"P"&amp;Tab_FOMP[[#This Row],[Process_ID]]&amp;"_"&amp;Tab_FOMP[[#This Row],[FOMP_Parameter_type]]</f>
        <v>P00_</v>
      </c>
      <c r="J61" s="18"/>
      <c r="K61" s="3"/>
      <c r="L61" s="9"/>
      <c r="M61" s="9"/>
      <c r="N61" s="9"/>
      <c r="O61" s="9"/>
    </row>
    <row r="62" spans="1:15" x14ac:dyDescent="0.25">
      <c r="A62" s="22" t="b">
        <v>0</v>
      </c>
      <c r="B62" s="2">
        <f t="shared" si="0"/>
        <v>61</v>
      </c>
      <c r="C62" s="2" t="str">
        <f>_xlfn.XLOOKUP($D62,Tab_Def_Processes[Process_Name],Tab_Def_Processes[Process_ID],,0,)</f>
        <v>00</v>
      </c>
      <c r="D62" s="18"/>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_xlfn.XLOOKUP(Tab_FOMP[[#This Row],[Process_Name]],Tab_Def_Processes[Process_Name],Tab_Def_Processes[Outflow_count],,0,)</f>
        <v>0</v>
      </c>
      <c r="I62" s="2" t="str">
        <f>"P"&amp;Tab_FOMP[[#This Row],[Process_ID]]&amp;"_"&amp;Tab_FOMP[[#This Row],[FOMP_Parameter_type]]</f>
        <v>P00_</v>
      </c>
      <c r="J62" s="18"/>
      <c r="K62" s="3"/>
      <c r="L62" s="9"/>
      <c r="M62" s="9"/>
      <c r="N62" s="9"/>
      <c r="O62" s="9"/>
    </row>
    <row r="63" spans="1:15" x14ac:dyDescent="0.25">
      <c r="A63" s="22" t="b">
        <v>0</v>
      </c>
      <c r="B63" s="2">
        <f t="shared" si="0"/>
        <v>62</v>
      </c>
      <c r="C63" s="2" t="str">
        <f>_xlfn.XLOOKUP($D63,Tab_Def_Processes[Process_Name],Tab_Def_Processes[Process_ID],,0,)</f>
        <v>00</v>
      </c>
      <c r="D63" s="18"/>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_xlfn.XLOOKUP(Tab_FOMP[[#This Row],[Process_Name]],Tab_Def_Processes[Process_Name],Tab_Def_Processes[Outflow_count],,0,)</f>
        <v>0</v>
      </c>
      <c r="I63" s="2" t="str">
        <f>"P"&amp;Tab_FOMP[[#This Row],[Process_ID]]&amp;"_"&amp;Tab_FOMP[[#This Row],[FOMP_Parameter_type]]</f>
        <v>P00_</v>
      </c>
      <c r="J63" s="18"/>
      <c r="K63" s="3"/>
      <c r="L63" s="9"/>
      <c r="M63" s="9"/>
      <c r="N63" s="9"/>
      <c r="O63" s="9"/>
    </row>
    <row r="64" spans="1:15" x14ac:dyDescent="0.25">
      <c r="A64" s="22" t="b">
        <v>0</v>
      </c>
      <c r="B64" s="2">
        <f t="shared" si="0"/>
        <v>63</v>
      </c>
      <c r="C64" s="2" t="str">
        <f>_xlfn.XLOOKUP($D64,Tab_Def_Processes[Process_Name],Tab_Def_Processes[Process_ID],,0,)</f>
        <v>00</v>
      </c>
      <c r="D64" s="18"/>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_xlfn.XLOOKUP(Tab_FOMP[[#This Row],[Process_Name]],Tab_Def_Processes[Process_Name],Tab_Def_Processes[Outflow_count],,0,)</f>
        <v>0</v>
      </c>
      <c r="I64" s="2" t="str">
        <f>"P"&amp;Tab_FOMP[[#This Row],[Process_ID]]&amp;"_"&amp;Tab_FOMP[[#This Row],[FOMP_Parameter_type]]</f>
        <v>P00_</v>
      </c>
      <c r="J64" s="18"/>
      <c r="K64" s="3"/>
      <c r="L64" s="9"/>
      <c r="M64" s="9"/>
      <c r="N64" s="9"/>
      <c r="O64" s="9"/>
    </row>
    <row r="65" spans="1:15" x14ac:dyDescent="0.25">
      <c r="A65" s="22" t="b">
        <v>0</v>
      </c>
      <c r="B65" s="2">
        <f t="shared" si="0"/>
        <v>64</v>
      </c>
      <c r="C65" s="2" t="str">
        <f>_xlfn.XLOOKUP($D65,Tab_Def_Processes[Process_Name],Tab_Def_Processes[Process_ID],,0,)</f>
        <v>00</v>
      </c>
      <c r="D65" s="18"/>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_xlfn.XLOOKUP(Tab_FOMP[[#This Row],[Process_Name]],Tab_Def_Processes[Process_Name],Tab_Def_Processes[Outflow_count],,0,)</f>
        <v>0</v>
      </c>
      <c r="I65" s="2" t="str">
        <f>"P"&amp;Tab_FOMP[[#This Row],[Process_ID]]&amp;"_"&amp;Tab_FOMP[[#This Row],[FOMP_Parameter_type]]</f>
        <v>P00_</v>
      </c>
      <c r="J65" s="18"/>
      <c r="K65" s="3"/>
      <c r="L65" s="9"/>
      <c r="M65" s="9"/>
      <c r="N65" s="9"/>
      <c r="O65" s="9"/>
    </row>
    <row r="66" spans="1:15" x14ac:dyDescent="0.25">
      <c r="A66" s="22" t="b">
        <v>0</v>
      </c>
      <c r="B66" s="2">
        <f t="shared" si="0"/>
        <v>65</v>
      </c>
      <c r="C66" s="2" t="str">
        <f>_xlfn.XLOOKUP($D66,Tab_Def_Processes[Process_Name],Tab_Def_Processes[Process_ID],,0,)</f>
        <v>00</v>
      </c>
      <c r="D66" s="18"/>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_xlfn.XLOOKUP(Tab_FOMP[[#This Row],[Process_Name]],Tab_Def_Processes[Process_Name],Tab_Def_Processes[Outflow_count],,0,)</f>
        <v>0</v>
      </c>
      <c r="I66" s="2" t="str">
        <f>"P"&amp;Tab_FOMP[[#This Row],[Process_ID]]&amp;"_"&amp;Tab_FOMP[[#This Row],[FOMP_Parameter_type]]</f>
        <v>P00_</v>
      </c>
      <c r="J66" s="18"/>
      <c r="K66" s="3"/>
      <c r="L66" s="9"/>
      <c r="M66" s="9"/>
      <c r="N66" s="9"/>
      <c r="O66" s="9"/>
    </row>
    <row r="67" spans="1:15" x14ac:dyDescent="0.25">
      <c r="A67" s="22" t="b">
        <v>0</v>
      </c>
      <c r="B67" s="2">
        <f t="shared" si="0"/>
        <v>66</v>
      </c>
      <c r="C67" s="2" t="str">
        <f>_xlfn.XLOOKUP($D67,Tab_Def_Processes[Process_Name],Tab_Def_Processes[Process_ID],,0,)</f>
        <v>00</v>
      </c>
      <c r="D67" s="18"/>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_xlfn.XLOOKUP(Tab_FOMP[[#This Row],[Process_Name]],Tab_Def_Processes[Process_Name],Tab_Def_Processes[Outflow_count],,0,)</f>
        <v>0</v>
      </c>
      <c r="I67" s="2" t="str">
        <f>"P"&amp;Tab_FOMP[[#This Row],[Process_ID]]&amp;"_"&amp;Tab_FOMP[[#This Row],[FOMP_Parameter_type]]</f>
        <v>P00_</v>
      </c>
      <c r="J67" s="18"/>
      <c r="K67" s="3"/>
      <c r="L67" s="9"/>
      <c r="M67" s="9"/>
      <c r="N67" s="9"/>
      <c r="O67" s="9"/>
    </row>
    <row r="68" spans="1:15" x14ac:dyDescent="0.25">
      <c r="A68" s="22" t="b">
        <v>0</v>
      </c>
      <c r="B68" s="2">
        <f t="shared" si="0"/>
        <v>67</v>
      </c>
      <c r="C68" s="2" t="str">
        <f>_xlfn.XLOOKUP($D68,Tab_Def_Processes[Process_Name],Tab_Def_Processes[Process_ID],,0,)</f>
        <v>00</v>
      </c>
      <c r="D68" s="18"/>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_xlfn.XLOOKUP(Tab_FOMP[[#This Row],[Process_Name]],Tab_Def_Processes[Process_Name],Tab_Def_Processes[Outflow_count],,0,)</f>
        <v>0</v>
      </c>
      <c r="I68" s="2" t="str">
        <f>"P"&amp;Tab_FOMP[[#This Row],[Process_ID]]&amp;"_"&amp;Tab_FOMP[[#This Row],[FOMP_Parameter_type]]</f>
        <v>P00_</v>
      </c>
      <c r="J68" s="18"/>
      <c r="K68" s="3"/>
      <c r="L68" s="9"/>
      <c r="M68" s="9"/>
      <c r="N68" s="9"/>
      <c r="O68" s="9"/>
    </row>
    <row r="69" spans="1:15" x14ac:dyDescent="0.25">
      <c r="A69" s="22" t="b">
        <v>0</v>
      </c>
      <c r="B69" s="2">
        <f t="shared" si="0"/>
        <v>68</v>
      </c>
      <c r="C69" s="2" t="str">
        <f>_xlfn.XLOOKUP($D69,Tab_Def_Processes[Process_Name],Tab_Def_Processes[Process_ID],,0,)</f>
        <v>00</v>
      </c>
      <c r="D69" s="18"/>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_xlfn.XLOOKUP(Tab_FOMP[[#This Row],[Process_Name]],Tab_Def_Processes[Process_Name],Tab_Def_Processes[Outflow_count],,0,)</f>
        <v>0</v>
      </c>
      <c r="I69" s="2" t="str">
        <f>"P"&amp;Tab_FOMP[[#This Row],[Process_ID]]&amp;"_"&amp;Tab_FOMP[[#This Row],[FOMP_Parameter_type]]</f>
        <v>P00_</v>
      </c>
      <c r="J69" s="18"/>
      <c r="K69" s="3"/>
      <c r="L69" s="9"/>
      <c r="M69" s="9"/>
      <c r="N69" s="9"/>
      <c r="O69" s="9"/>
    </row>
    <row r="70" spans="1:15" x14ac:dyDescent="0.25">
      <c r="A70" s="22" t="b">
        <v>0</v>
      </c>
      <c r="B70" s="2">
        <f t="shared" si="0"/>
        <v>69</v>
      </c>
      <c r="C70" s="2" t="str">
        <f>_xlfn.XLOOKUP($D70,Tab_Def_Processes[Process_Name],Tab_Def_Processes[Process_ID],,0,)</f>
        <v>00</v>
      </c>
      <c r="D70" s="18"/>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_xlfn.XLOOKUP(Tab_FOMP[[#This Row],[Process_Name]],Tab_Def_Processes[Process_Name],Tab_Def_Processes[Outflow_count],,0,)</f>
        <v>0</v>
      </c>
      <c r="I70" s="2" t="str">
        <f>"P"&amp;Tab_FOMP[[#This Row],[Process_ID]]&amp;"_"&amp;Tab_FOMP[[#This Row],[FOMP_Parameter_type]]</f>
        <v>P00_</v>
      </c>
      <c r="J70" s="18"/>
      <c r="K70" s="3"/>
      <c r="L70" s="9"/>
      <c r="M70" s="9"/>
      <c r="N70" s="9"/>
      <c r="O70" s="9"/>
    </row>
    <row r="71" spans="1:15" x14ac:dyDescent="0.25">
      <c r="A71" s="22" t="b">
        <v>0</v>
      </c>
      <c r="B71" s="2">
        <f t="shared" si="0"/>
        <v>70</v>
      </c>
      <c r="C71" s="2" t="str">
        <f>_xlfn.XLOOKUP($D71,Tab_Def_Processes[Process_Name],Tab_Def_Processes[Process_ID],,0,)</f>
        <v>00</v>
      </c>
      <c r="D71" s="18"/>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_xlfn.XLOOKUP(Tab_FOMP[[#This Row],[Process_Name]],Tab_Def_Processes[Process_Name],Tab_Def_Processes[Outflow_count],,0,)</f>
        <v>0</v>
      </c>
      <c r="I71" s="2" t="str">
        <f>"P"&amp;Tab_FOMP[[#This Row],[Process_ID]]&amp;"_"&amp;Tab_FOMP[[#This Row],[FOMP_Parameter_type]]</f>
        <v>P00_</v>
      </c>
      <c r="J71" s="18"/>
      <c r="K71" s="3"/>
      <c r="L71" s="9"/>
      <c r="M71" s="9"/>
      <c r="N71" s="9"/>
      <c r="O71" s="9"/>
    </row>
    <row r="72" spans="1:15" x14ac:dyDescent="0.25">
      <c r="A72" s="22" t="b">
        <v>0</v>
      </c>
      <c r="B72" s="2">
        <f t="shared" si="0"/>
        <v>71</v>
      </c>
      <c r="C72" s="2" t="str">
        <f>_xlfn.XLOOKUP($D72,Tab_Def_Processes[Process_Name],Tab_Def_Processes[Process_ID],,0,)</f>
        <v>00</v>
      </c>
      <c r="D72" s="18"/>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_xlfn.XLOOKUP(Tab_FOMP[[#This Row],[Process_Name]],Tab_Def_Processes[Process_Name],Tab_Def_Processes[Outflow_count],,0,)</f>
        <v>0</v>
      </c>
      <c r="I72" s="2" t="str">
        <f>"P"&amp;Tab_FOMP[[#This Row],[Process_ID]]&amp;"_"&amp;Tab_FOMP[[#This Row],[FOMP_Parameter_type]]</f>
        <v>P00_</v>
      </c>
      <c r="J72" s="18"/>
      <c r="K72" s="3"/>
      <c r="L72" s="9"/>
      <c r="M72" s="9"/>
      <c r="N72" s="9"/>
      <c r="O72" s="9"/>
    </row>
    <row r="73" spans="1:15" x14ac:dyDescent="0.25">
      <c r="A73" s="22" t="b">
        <v>0</v>
      </c>
      <c r="B73" s="2">
        <f t="shared" si="0"/>
        <v>72</v>
      </c>
      <c r="C73" s="2" t="str">
        <f>_xlfn.XLOOKUP($D73,Tab_Def_Processes[Process_Name],Tab_Def_Processes[Process_ID],,0,)</f>
        <v>00</v>
      </c>
      <c r="D73" s="18"/>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_xlfn.XLOOKUP(Tab_FOMP[[#This Row],[Process_Name]],Tab_Def_Processes[Process_Name],Tab_Def_Processes[Outflow_count],,0,)</f>
        <v>0</v>
      </c>
      <c r="I73" s="2" t="str">
        <f>"P"&amp;Tab_FOMP[[#This Row],[Process_ID]]&amp;"_"&amp;Tab_FOMP[[#This Row],[FOMP_Parameter_type]]</f>
        <v>P00_</v>
      </c>
      <c r="J73" s="18"/>
      <c r="K73" s="3"/>
      <c r="L73" s="9"/>
      <c r="M73" s="9"/>
      <c r="N73" s="9"/>
      <c r="O73" s="9"/>
    </row>
    <row r="74" spans="1:15" x14ac:dyDescent="0.25">
      <c r="A74" s="22" t="b">
        <v>0</v>
      </c>
      <c r="B74" s="2">
        <f t="shared" si="0"/>
        <v>73</v>
      </c>
      <c r="C74" s="2" t="str">
        <f>_xlfn.XLOOKUP($D74,Tab_Def_Processes[Process_Name],Tab_Def_Processes[Process_ID],,0,)</f>
        <v>00</v>
      </c>
      <c r="D74" s="18"/>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_xlfn.XLOOKUP(Tab_FOMP[[#This Row],[Process_Name]],Tab_Def_Processes[Process_Name],Tab_Def_Processes[Outflow_count],,0,)</f>
        <v>0</v>
      </c>
      <c r="I74" s="2" t="str">
        <f>"P"&amp;Tab_FOMP[[#This Row],[Process_ID]]&amp;"_"&amp;Tab_FOMP[[#This Row],[FOMP_Parameter_type]]</f>
        <v>P00_</v>
      </c>
      <c r="J74" s="18"/>
      <c r="K74" s="3"/>
      <c r="L74" s="9"/>
      <c r="M74" s="9"/>
      <c r="N74" s="9"/>
      <c r="O74" s="9"/>
    </row>
    <row r="75" spans="1:15" x14ac:dyDescent="0.25">
      <c r="A75" s="22" t="b">
        <v>0</v>
      </c>
      <c r="B75" s="2">
        <f t="shared" si="0"/>
        <v>74</v>
      </c>
      <c r="C75" s="2" t="str">
        <f>_xlfn.XLOOKUP($D75,Tab_Def_Processes[Process_Name],Tab_Def_Processes[Process_ID],,0,)</f>
        <v>00</v>
      </c>
      <c r="D75" s="18"/>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_xlfn.XLOOKUP(Tab_FOMP[[#This Row],[Process_Name]],Tab_Def_Processes[Process_Name],Tab_Def_Processes[Outflow_count],,0,)</f>
        <v>0</v>
      </c>
      <c r="I75" s="2" t="str">
        <f>"P"&amp;Tab_FOMP[[#This Row],[Process_ID]]&amp;"_"&amp;Tab_FOMP[[#This Row],[FOMP_Parameter_type]]</f>
        <v>P00_</v>
      </c>
      <c r="J75" s="18"/>
      <c r="K75" s="3"/>
      <c r="L75" s="9"/>
      <c r="M75" s="9"/>
      <c r="N75" s="9"/>
      <c r="O75" s="9"/>
    </row>
    <row r="76" spans="1:15" x14ac:dyDescent="0.25">
      <c r="A76" s="22" t="b">
        <v>0</v>
      </c>
      <c r="B76" s="2">
        <f t="shared" si="0"/>
        <v>75</v>
      </c>
      <c r="C76" s="2" t="str">
        <f>_xlfn.XLOOKUP($D76,Tab_Def_Processes[Process_Name],Tab_Def_Processes[Process_ID],,0,)</f>
        <v>00</v>
      </c>
      <c r="D76" s="18"/>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_xlfn.XLOOKUP(Tab_FOMP[[#This Row],[Process_Name]],Tab_Def_Processes[Process_Name],Tab_Def_Processes[Outflow_count],,0,)</f>
        <v>0</v>
      </c>
      <c r="I76" s="2" t="str">
        <f>"P"&amp;Tab_FOMP[[#This Row],[Process_ID]]&amp;"_"&amp;Tab_FOMP[[#This Row],[FOMP_Parameter_type]]</f>
        <v>P00_</v>
      </c>
      <c r="J76" s="18"/>
      <c r="K76" s="3"/>
      <c r="L76" s="9"/>
      <c r="M76" s="9"/>
      <c r="N76" s="9"/>
      <c r="O76" s="9"/>
    </row>
    <row r="77" spans="1:15" x14ac:dyDescent="0.25">
      <c r="A77" s="22" t="b">
        <v>0</v>
      </c>
      <c r="B77" s="2">
        <f t="shared" si="0"/>
        <v>76</v>
      </c>
      <c r="C77" s="2" t="str">
        <f>_xlfn.XLOOKUP($D77,Tab_Def_Processes[Process_Name],Tab_Def_Processes[Process_ID],,0,)</f>
        <v>00</v>
      </c>
      <c r="D77" s="18"/>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_xlfn.XLOOKUP(Tab_FOMP[[#This Row],[Process_Name]],Tab_Def_Processes[Process_Name],Tab_Def_Processes[Outflow_count],,0,)</f>
        <v>0</v>
      </c>
      <c r="I77" s="2" t="str">
        <f>"P"&amp;Tab_FOMP[[#This Row],[Process_ID]]&amp;"_"&amp;Tab_FOMP[[#This Row],[FOMP_Parameter_type]]</f>
        <v>P00_</v>
      </c>
      <c r="J77" s="18"/>
      <c r="K77" s="3"/>
      <c r="L77" s="9"/>
      <c r="M77" s="9"/>
      <c r="N77" s="9"/>
      <c r="O77" s="9"/>
    </row>
    <row r="78" spans="1:15" x14ac:dyDescent="0.25">
      <c r="A78" s="22" t="b">
        <v>0</v>
      </c>
      <c r="B78" s="2">
        <f t="shared" si="0"/>
        <v>77</v>
      </c>
      <c r="C78" s="2" t="str">
        <f>_xlfn.XLOOKUP($D78,Tab_Def_Processes[Process_Name],Tab_Def_Processes[Process_ID],,0,)</f>
        <v>00</v>
      </c>
      <c r="D78" s="18"/>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_xlfn.XLOOKUP(Tab_FOMP[[#This Row],[Process_Name]],Tab_Def_Processes[Process_Name],Tab_Def_Processes[Outflow_count],,0,)</f>
        <v>0</v>
      </c>
      <c r="I78" s="2" t="str">
        <f>"P"&amp;Tab_FOMP[[#This Row],[Process_ID]]&amp;"_"&amp;Tab_FOMP[[#This Row],[FOMP_Parameter_type]]</f>
        <v>P00_</v>
      </c>
      <c r="J78" s="18"/>
      <c r="K78" s="3"/>
      <c r="L78" s="9"/>
      <c r="M78" s="9"/>
      <c r="N78" s="9"/>
      <c r="O78" s="9"/>
    </row>
    <row r="79" spans="1:15" x14ac:dyDescent="0.25">
      <c r="A79" s="22" t="b">
        <v>0</v>
      </c>
      <c r="B79" s="2">
        <f t="shared" si="0"/>
        <v>78</v>
      </c>
      <c r="C79" s="2" t="str">
        <f>_xlfn.XLOOKUP($D79,Tab_Def_Processes[Process_Name],Tab_Def_Processes[Process_ID],,0,)</f>
        <v>00</v>
      </c>
      <c r="D79" s="18"/>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_xlfn.XLOOKUP(Tab_FOMP[[#This Row],[Process_Name]],Tab_Def_Processes[Process_Name],Tab_Def_Processes[Outflow_count],,0,)</f>
        <v>0</v>
      </c>
      <c r="I79" s="2" t="str">
        <f>"P"&amp;Tab_FOMP[[#This Row],[Process_ID]]&amp;"_"&amp;Tab_FOMP[[#This Row],[FOMP_Parameter_type]]</f>
        <v>P00_</v>
      </c>
      <c r="J79" s="18"/>
      <c r="K79" s="3"/>
      <c r="L79" s="9"/>
      <c r="M79" s="9"/>
      <c r="N79" s="9"/>
      <c r="O79" s="9"/>
    </row>
    <row r="80" spans="1:15" x14ac:dyDescent="0.25">
      <c r="A80" s="22" t="b">
        <v>0</v>
      </c>
      <c r="B80" s="2">
        <f t="shared" si="0"/>
        <v>79</v>
      </c>
      <c r="C80" s="2" t="str">
        <f>_xlfn.XLOOKUP($D80,Tab_Def_Processes[Process_Name],Tab_Def_Processes[Process_ID],,0,)</f>
        <v>00</v>
      </c>
      <c r="D80" s="18"/>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_xlfn.XLOOKUP(Tab_FOMP[[#This Row],[Process_Name]],Tab_Def_Processes[Process_Name],Tab_Def_Processes[Outflow_count],,0,)</f>
        <v>0</v>
      </c>
      <c r="I80" s="2" t="str">
        <f>"P"&amp;Tab_FOMP[[#This Row],[Process_ID]]&amp;"_"&amp;Tab_FOMP[[#This Row],[FOMP_Parameter_type]]</f>
        <v>P00_</v>
      </c>
      <c r="J80" s="18"/>
      <c r="K80" s="3"/>
      <c r="L80" s="9"/>
      <c r="M80" s="9"/>
      <c r="N80" s="9"/>
      <c r="O80" s="9"/>
    </row>
    <row r="81" spans="1:15" x14ac:dyDescent="0.25">
      <c r="A81" s="22" t="b">
        <v>0</v>
      </c>
      <c r="B81" s="2">
        <f t="shared" si="0"/>
        <v>80</v>
      </c>
      <c r="C81" s="2" t="str">
        <f>_xlfn.XLOOKUP($D81,Tab_Def_Processes[Process_Name],Tab_Def_Processes[Process_ID],,0,)</f>
        <v>00</v>
      </c>
      <c r="D81" s="18"/>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_xlfn.XLOOKUP(Tab_FOMP[[#This Row],[Process_Name]],Tab_Def_Processes[Process_Name],Tab_Def_Processes[Outflow_count],,0,)</f>
        <v>0</v>
      </c>
      <c r="I81" s="2" t="str">
        <f>"P"&amp;Tab_FOMP[[#This Row],[Process_ID]]&amp;"_"&amp;Tab_FOMP[[#This Row],[FOMP_Parameter_type]]</f>
        <v>P00_</v>
      </c>
      <c r="J81" s="18"/>
      <c r="K81" s="3"/>
      <c r="L81" s="9"/>
      <c r="M81" s="9"/>
      <c r="N81" s="9"/>
      <c r="O81" s="9"/>
    </row>
    <row r="82" spans="1:15" x14ac:dyDescent="0.25">
      <c r="A82" s="22" t="b">
        <v>0</v>
      </c>
      <c r="B82" s="2">
        <f t="shared" si="0"/>
        <v>81</v>
      </c>
      <c r="C82" s="2" t="str">
        <f>_xlfn.XLOOKUP($D82,Tab_Def_Processes[Process_Name],Tab_Def_Processes[Process_ID],,0,)</f>
        <v>00</v>
      </c>
      <c r="D82" s="18"/>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_xlfn.XLOOKUP(Tab_FOMP[[#This Row],[Process_Name]],Tab_Def_Processes[Process_Name],Tab_Def_Processes[Outflow_count],,0,)</f>
        <v>0</v>
      </c>
      <c r="I82" s="2" t="str">
        <f>"P"&amp;Tab_FOMP[[#This Row],[Process_ID]]&amp;"_"&amp;Tab_FOMP[[#This Row],[FOMP_Parameter_type]]</f>
        <v>P00_</v>
      </c>
      <c r="J82" s="18"/>
      <c r="K82" s="3"/>
      <c r="L82" s="9"/>
      <c r="M82" s="9"/>
      <c r="N82" s="9"/>
      <c r="O82" s="9"/>
    </row>
    <row r="83" spans="1:15" x14ac:dyDescent="0.25">
      <c r="A83" s="22" t="b">
        <v>0</v>
      </c>
      <c r="B83" s="2">
        <f t="shared" si="0"/>
        <v>82</v>
      </c>
      <c r="C83" s="2" t="str">
        <f>_xlfn.XLOOKUP($D83,Tab_Def_Processes[Process_Name],Tab_Def_Processes[Process_ID],,0,)</f>
        <v>00</v>
      </c>
      <c r="D83" s="18"/>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_xlfn.XLOOKUP(Tab_FOMP[[#This Row],[Process_Name]],Tab_Def_Processes[Process_Name],Tab_Def_Processes[Outflow_count],,0,)</f>
        <v>0</v>
      </c>
      <c r="I83" s="2" t="str">
        <f>"P"&amp;Tab_FOMP[[#This Row],[Process_ID]]&amp;"_"&amp;Tab_FOMP[[#This Row],[FOMP_Parameter_type]]</f>
        <v>P00_</v>
      </c>
      <c r="J83" s="18"/>
      <c r="K83" s="3"/>
      <c r="L83" s="9"/>
      <c r="M83" s="9"/>
      <c r="N83" s="9"/>
      <c r="O83" s="9"/>
    </row>
    <row r="84" spans="1:15" x14ac:dyDescent="0.25">
      <c r="A84" s="22" t="b">
        <v>0</v>
      </c>
      <c r="B84" s="2">
        <f t="shared" si="0"/>
        <v>83</v>
      </c>
      <c r="C84" s="2" t="str">
        <f>_xlfn.XLOOKUP($D84,Tab_Def_Processes[Process_Name],Tab_Def_Processes[Process_ID],,0,)</f>
        <v>00</v>
      </c>
      <c r="D84" s="18"/>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_xlfn.XLOOKUP(Tab_FOMP[[#This Row],[Process_Name]],Tab_Def_Processes[Process_Name],Tab_Def_Processes[Outflow_count],,0,)</f>
        <v>0</v>
      </c>
      <c r="I84" s="2" t="str">
        <f>"P"&amp;Tab_FOMP[[#This Row],[Process_ID]]&amp;"_"&amp;Tab_FOMP[[#This Row],[FOMP_Parameter_type]]</f>
        <v>P00_</v>
      </c>
      <c r="J84" s="18"/>
      <c r="K84" s="3"/>
      <c r="L84" s="9"/>
      <c r="M84" s="9"/>
      <c r="N84" s="9"/>
      <c r="O84" s="9"/>
    </row>
    <row r="85" spans="1:15" x14ac:dyDescent="0.25">
      <c r="A85" s="22" t="b">
        <v>0</v>
      </c>
      <c r="B85" s="2">
        <f t="shared" si="0"/>
        <v>84</v>
      </c>
      <c r="C85" s="2" t="str">
        <f>_xlfn.XLOOKUP($D85,Tab_Def_Processes[Process_Name],Tab_Def_Processes[Process_ID],,0,)</f>
        <v>00</v>
      </c>
      <c r="D85" s="18"/>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_xlfn.XLOOKUP(Tab_FOMP[[#This Row],[Process_Name]],Tab_Def_Processes[Process_Name],Tab_Def_Processes[Outflow_count],,0,)</f>
        <v>0</v>
      </c>
      <c r="I85" s="2" t="str">
        <f>"P"&amp;Tab_FOMP[[#This Row],[Process_ID]]&amp;"_"&amp;Tab_FOMP[[#This Row],[FOMP_Parameter_type]]</f>
        <v>P00_</v>
      </c>
      <c r="J85" s="18"/>
      <c r="K85" s="3"/>
      <c r="L85" s="9"/>
      <c r="M85" s="9"/>
      <c r="N85" s="9"/>
      <c r="O85" s="9"/>
    </row>
    <row r="86" spans="1:15" x14ac:dyDescent="0.25">
      <c r="A86" s="22" t="b">
        <v>0</v>
      </c>
      <c r="B86" s="2">
        <f t="shared" si="0"/>
        <v>85</v>
      </c>
      <c r="C86" s="2" t="str">
        <f>_xlfn.XLOOKUP($D86,Tab_Def_Processes[Process_Name],Tab_Def_Processes[Process_ID],,0,)</f>
        <v>00</v>
      </c>
      <c r="D86" s="18"/>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_xlfn.XLOOKUP(Tab_FOMP[[#This Row],[Process_Name]],Tab_Def_Processes[Process_Name],Tab_Def_Processes[Outflow_count],,0,)</f>
        <v>0</v>
      </c>
      <c r="I86" s="2" t="str">
        <f>"P"&amp;Tab_FOMP[[#This Row],[Process_ID]]&amp;"_"&amp;Tab_FOMP[[#This Row],[FOMP_Parameter_type]]</f>
        <v>P00_</v>
      </c>
      <c r="J86" s="18"/>
      <c r="K86" s="3"/>
      <c r="L86" s="9"/>
      <c r="M86" s="9"/>
      <c r="N86" s="9"/>
      <c r="O86" s="9"/>
    </row>
    <row r="87" spans="1:15" x14ac:dyDescent="0.25">
      <c r="A87" s="22" t="b">
        <v>0</v>
      </c>
      <c r="B87" s="2">
        <f t="shared" si="0"/>
        <v>86</v>
      </c>
      <c r="C87" s="2" t="str">
        <f>_xlfn.XLOOKUP($D87,Tab_Def_Processes[Process_Name],Tab_Def_Processes[Process_ID],,0,)</f>
        <v>00</v>
      </c>
      <c r="D87" s="18"/>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_xlfn.XLOOKUP(Tab_FOMP[[#This Row],[Process_Name]],Tab_Def_Processes[Process_Name],Tab_Def_Processes[Outflow_count],,0,)</f>
        <v>0</v>
      </c>
      <c r="I87" s="2" t="str">
        <f>"P"&amp;Tab_FOMP[[#This Row],[Process_ID]]&amp;"_"&amp;Tab_FOMP[[#This Row],[FOMP_Parameter_type]]</f>
        <v>P00_</v>
      </c>
      <c r="J87" s="18"/>
      <c r="K87" s="3"/>
      <c r="L87" s="9"/>
      <c r="M87" s="9"/>
      <c r="N87" s="9"/>
      <c r="O87" s="9"/>
    </row>
    <row r="88" spans="1:15" x14ac:dyDescent="0.25">
      <c r="A88" s="22" t="b">
        <v>0</v>
      </c>
      <c r="B88" s="2">
        <f t="shared" si="0"/>
        <v>87</v>
      </c>
      <c r="C88" s="2" t="str">
        <f>_xlfn.XLOOKUP($D88,Tab_Def_Processes[Process_Name],Tab_Def_Processes[Process_ID],,0,)</f>
        <v>00</v>
      </c>
      <c r="D88" s="18"/>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_xlfn.XLOOKUP(Tab_FOMP[[#This Row],[Process_Name]],Tab_Def_Processes[Process_Name],Tab_Def_Processes[Outflow_count],,0,)</f>
        <v>0</v>
      </c>
      <c r="I88" s="2" t="str">
        <f>"P"&amp;Tab_FOMP[[#This Row],[Process_ID]]&amp;"_"&amp;Tab_FOMP[[#This Row],[FOMP_Parameter_type]]</f>
        <v>P00_</v>
      </c>
      <c r="J88" s="18"/>
      <c r="K88" s="3"/>
      <c r="L88" s="9"/>
      <c r="M88" s="9"/>
      <c r="N88" s="9"/>
      <c r="O88" s="9"/>
    </row>
    <row r="89" spans="1:15" x14ac:dyDescent="0.25">
      <c r="A89" s="22" t="b">
        <v>0</v>
      </c>
      <c r="B89" s="2">
        <f t="shared" si="0"/>
        <v>88</v>
      </c>
      <c r="C89" s="2" t="str">
        <f>_xlfn.XLOOKUP($D89,Tab_Def_Processes[Process_Name],Tab_Def_Processes[Process_ID],,0,)</f>
        <v>00</v>
      </c>
      <c r="D89" s="18"/>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_xlfn.XLOOKUP(Tab_FOMP[[#This Row],[Process_Name]],Tab_Def_Processes[Process_Name],Tab_Def_Processes[Outflow_count],,0,)</f>
        <v>0</v>
      </c>
      <c r="I89" s="2" t="str">
        <f>"P"&amp;Tab_FOMP[[#This Row],[Process_ID]]&amp;"_"&amp;Tab_FOMP[[#This Row],[FOMP_Parameter_type]]</f>
        <v>P00_</v>
      </c>
      <c r="J89" s="18"/>
      <c r="K89" s="3"/>
      <c r="L89" s="9"/>
      <c r="M89" s="9"/>
      <c r="N89" s="9"/>
      <c r="O89" s="9"/>
    </row>
    <row r="90" spans="1:15" x14ac:dyDescent="0.25">
      <c r="A90" s="22" t="b">
        <v>0</v>
      </c>
      <c r="B90" s="2">
        <f t="shared" si="0"/>
        <v>89</v>
      </c>
      <c r="C90" s="2" t="str">
        <f>_xlfn.XLOOKUP($D90,Tab_Def_Processes[Process_Name],Tab_Def_Processes[Process_ID],,0,)</f>
        <v>00</v>
      </c>
      <c r="D90" s="18"/>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_xlfn.XLOOKUP(Tab_FOMP[[#This Row],[Process_Name]],Tab_Def_Processes[Process_Name],Tab_Def_Processes[Outflow_count],,0,)</f>
        <v>0</v>
      </c>
      <c r="I90" s="2" t="str">
        <f>"P"&amp;Tab_FOMP[[#This Row],[Process_ID]]&amp;"_"&amp;Tab_FOMP[[#This Row],[FOMP_Parameter_type]]</f>
        <v>P00_</v>
      </c>
      <c r="J90" s="18"/>
      <c r="K90" s="3"/>
      <c r="L90" s="9"/>
      <c r="M90" s="9"/>
      <c r="N90" s="9"/>
      <c r="O90" s="9"/>
    </row>
    <row r="91" spans="1:15" x14ac:dyDescent="0.25">
      <c r="A91" s="22" t="b">
        <v>0</v>
      </c>
      <c r="B91" s="2">
        <f t="shared" si="0"/>
        <v>90</v>
      </c>
      <c r="C91" s="2" t="str">
        <f>_xlfn.XLOOKUP($D91,Tab_Def_Processes[Process_Name],Tab_Def_Processes[Process_ID],,0,)</f>
        <v>00</v>
      </c>
      <c r="D91" s="18"/>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_xlfn.XLOOKUP(Tab_FOMP[[#This Row],[Process_Name]],Tab_Def_Processes[Process_Name],Tab_Def_Processes[Outflow_count],,0,)</f>
        <v>0</v>
      </c>
      <c r="I91" s="2" t="str">
        <f>"P"&amp;Tab_FOMP[[#This Row],[Process_ID]]&amp;"_"&amp;Tab_FOMP[[#This Row],[FOMP_Parameter_type]]</f>
        <v>P00_</v>
      </c>
      <c r="J91" s="18"/>
      <c r="K91" s="3"/>
      <c r="L91" s="9"/>
      <c r="M91" s="9"/>
      <c r="N91" s="9"/>
      <c r="O91" s="9"/>
    </row>
    <row r="92" spans="1:15" x14ac:dyDescent="0.25">
      <c r="A92" s="22" t="b">
        <v>0</v>
      </c>
      <c r="B92" s="2">
        <f t="shared" si="0"/>
        <v>91</v>
      </c>
      <c r="C92" s="2" t="str">
        <f>_xlfn.XLOOKUP($D92,Tab_Def_Processes[Process_Name],Tab_Def_Processes[Process_ID],,0,)</f>
        <v>00</v>
      </c>
      <c r="D92" s="18"/>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_xlfn.XLOOKUP(Tab_FOMP[[#This Row],[Process_Name]],Tab_Def_Processes[Process_Name],Tab_Def_Processes[Outflow_count],,0,)</f>
        <v>0</v>
      </c>
      <c r="I92" s="2" t="str">
        <f>"P"&amp;Tab_FOMP[[#This Row],[Process_ID]]&amp;"_"&amp;Tab_FOMP[[#This Row],[FOMP_Parameter_type]]</f>
        <v>P00_</v>
      </c>
      <c r="J92" s="18"/>
      <c r="K92" s="3"/>
      <c r="L92" s="9"/>
      <c r="M92" s="9"/>
      <c r="N92" s="9"/>
      <c r="O92" s="9"/>
    </row>
    <row r="93" spans="1:15" x14ac:dyDescent="0.25">
      <c r="A93" s="22" t="b">
        <v>0</v>
      </c>
      <c r="B93" s="2">
        <f t="shared" si="0"/>
        <v>92</v>
      </c>
      <c r="C93" s="2" t="str">
        <f>_xlfn.XLOOKUP($D93,Tab_Def_Processes[Process_Name],Tab_Def_Processes[Process_ID],,0,)</f>
        <v>00</v>
      </c>
      <c r="D93" s="18"/>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_xlfn.XLOOKUP(Tab_FOMP[[#This Row],[Process_Name]],Tab_Def_Processes[Process_Name],Tab_Def_Processes[Outflow_count],,0,)</f>
        <v>0</v>
      </c>
      <c r="I93" s="2" t="str">
        <f>"P"&amp;Tab_FOMP[[#This Row],[Process_ID]]&amp;"_"&amp;Tab_FOMP[[#This Row],[FOMP_Parameter_type]]</f>
        <v>P00_</v>
      </c>
      <c r="J93" s="18"/>
      <c r="K93" s="3"/>
      <c r="L93" s="9"/>
      <c r="M93" s="9"/>
      <c r="N93" s="9"/>
      <c r="O93" s="9"/>
    </row>
    <row r="94" spans="1:15" x14ac:dyDescent="0.25">
      <c r="A94" s="22" t="b">
        <v>0</v>
      </c>
      <c r="B94" s="2">
        <f t="shared" si="0"/>
        <v>93</v>
      </c>
      <c r="C94" s="2" t="str">
        <f>_xlfn.XLOOKUP($D94,Tab_Def_Processes[Process_Name],Tab_Def_Processes[Process_ID],,0,)</f>
        <v>00</v>
      </c>
      <c r="D94" s="18"/>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_xlfn.XLOOKUP(Tab_FOMP[[#This Row],[Process_Name]],Tab_Def_Processes[Process_Name],Tab_Def_Processes[Outflow_count],,0,)</f>
        <v>0</v>
      </c>
      <c r="I94" s="2" t="str">
        <f>"P"&amp;Tab_FOMP[[#This Row],[Process_ID]]&amp;"_"&amp;Tab_FOMP[[#This Row],[FOMP_Parameter_type]]</f>
        <v>P00_</v>
      </c>
      <c r="J94" s="18"/>
      <c r="K94" s="3"/>
      <c r="L94" s="9"/>
      <c r="M94" s="9"/>
      <c r="N94" s="9"/>
      <c r="O94" s="9"/>
    </row>
    <row r="95" spans="1:15" x14ac:dyDescent="0.25">
      <c r="A95" s="22" t="b">
        <v>0</v>
      </c>
      <c r="B95" s="2">
        <f t="shared" si="0"/>
        <v>94</v>
      </c>
      <c r="C95" s="2" t="str">
        <f>_xlfn.XLOOKUP($D95,Tab_Def_Processes[Process_Name],Tab_Def_Processes[Process_ID],,0,)</f>
        <v>00</v>
      </c>
      <c r="D95" s="18"/>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_xlfn.XLOOKUP(Tab_FOMP[[#This Row],[Process_Name]],Tab_Def_Processes[Process_Name],Tab_Def_Processes[Outflow_count],,0,)</f>
        <v>0</v>
      </c>
      <c r="I95" s="2" t="str">
        <f>"P"&amp;Tab_FOMP[[#This Row],[Process_ID]]&amp;"_"&amp;Tab_FOMP[[#This Row],[FOMP_Parameter_type]]</f>
        <v>P00_</v>
      </c>
      <c r="J95" s="18"/>
      <c r="K95" s="3"/>
      <c r="L95" s="9"/>
      <c r="M95" s="9"/>
      <c r="N95" s="9"/>
      <c r="O95" s="9"/>
    </row>
    <row r="96" spans="1:15" x14ac:dyDescent="0.25">
      <c r="A96" s="22" t="b">
        <v>0</v>
      </c>
      <c r="B96" s="2">
        <f t="shared" si="0"/>
        <v>95</v>
      </c>
      <c r="C96" s="2" t="str">
        <f>_xlfn.XLOOKUP($D96,Tab_Def_Processes[Process_Name],Tab_Def_Processes[Process_ID],,0,)</f>
        <v>00</v>
      </c>
      <c r="D96" s="18"/>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_xlfn.XLOOKUP(Tab_FOMP[[#This Row],[Process_Name]],Tab_Def_Processes[Process_Name],Tab_Def_Processes[Outflow_count],,0,)</f>
        <v>0</v>
      </c>
      <c r="I96" s="2" t="str">
        <f>"P"&amp;Tab_FOMP[[#This Row],[Process_ID]]&amp;"_"&amp;Tab_FOMP[[#This Row],[FOMP_Parameter_type]]</f>
        <v>P00_</v>
      </c>
      <c r="J96" s="18"/>
      <c r="K96" s="3"/>
      <c r="L96" s="9"/>
      <c r="M96" s="9"/>
      <c r="N96" s="9"/>
      <c r="O96" s="9"/>
    </row>
    <row r="97" spans="1:15" x14ac:dyDescent="0.25">
      <c r="A97" s="79" t="b">
        <v>0</v>
      </c>
      <c r="B97" s="2">
        <f t="shared" si="0"/>
        <v>96</v>
      </c>
      <c r="C97" s="2" t="str">
        <f>_xlfn.XLOOKUP($D97,Tab_Def_Processes[Process_Name],Tab_Def_Processes[Process_ID],,0,)</f>
        <v>00</v>
      </c>
      <c r="D97" s="80"/>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_xlfn.XLOOKUP(Tab_FOMP[[#This Row],[Process_Name]],Tab_Def_Processes[Process_Name],Tab_Def_Processes[Outflow_count],,0,)</f>
        <v>0</v>
      </c>
      <c r="I97" s="2" t="str">
        <f>"P"&amp;Tab_FOMP[[#This Row],[Process_ID]]&amp;"_"&amp;Tab_FOMP[[#This Row],[FOMP_Parameter_type]]</f>
        <v>P00_</v>
      </c>
      <c r="J97" s="80"/>
      <c r="K97" s="66"/>
      <c r="L97" s="9"/>
      <c r="M97" s="28"/>
      <c r="N97" s="28"/>
      <c r="O97" s="9"/>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'7_2_Codelists'!$B$110:$B$117</xm:f>
          </x14:formula1>
          <xm:sqref>J2:J97</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D2:D97</xm:sqref>
        </x14:dataValidation>
        <x14:dataValidation type="list" allowBlank="1" showInputMessage="1" showErrorMessage="1" xr:uid="{0297F061-26FC-4195-B29E-26287AB596D0}">
          <x14:formula1>
            <xm:f>'6_1_Reference_Manager'!$C$2:$C$49</xm:f>
          </x14:formula1>
          <xm:sqref>M2:O97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V26"/>
  <sheetViews>
    <sheetView topLeftCell="G1" zoomScale="130" zoomScaleNormal="130" workbookViewId="0">
      <selection activeCell="L3" sqref="L3"/>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3" width="12.28515625" customWidth="1"/>
    <col min="14" max="14" width="11.140625" customWidth="1"/>
    <col min="17" max="17" width="25" customWidth="1"/>
    <col min="18" max="18" width="27.5703125" customWidth="1"/>
    <col min="19" max="19" width="18.5703125" customWidth="1"/>
    <col min="20" max="20" width="26.28515625" customWidth="1"/>
    <col min="21" max="21" width="21.42578125" customWidth="1"/>
    <col min="22" max="22" width="25.42578125" customWidth="1"/>
  </cols>
  <sheetData>
    <row r="1" spans="1:22" x14ac:dyDescent="0.25">
      <c r="A1" s="21" t="s">
        <v>4</v>
      </c>
      <c r="B1" s="21" t="s">
        <v>234</v>
      </c>
      <c r="C1" s="21" t="s">
        <v>76</v>
      </c>
      <c r="D1" s="21" t="s">
        <v>70</v>
      </c>
      <c r="E1" s="21" t="s">
        <v>241</v>
      </c>
      <c r="F1" s="21" t="s">
        <v>71</v>
      </c>
      <c r="G1" s="21" t="s">
        <v>72</v>
      </c>
      <c r="H1" s="21" t="s">
        <v>73</v>
      </c>
      <c r="I1" s="21" t="s">
        <v>74</v>
      </c>
      <c r="J1" s="21" t="s">
        <v>75</v>
      </c>
      <c r="K1" s="21" t="s">
        <v>7</v>
      </c>
      <c r="L1" s="21" t="s">
        <v>671</v>
      </c>
      <c r="M1" s="21" t="s">
        <v>637</v>
      </c>
      <c r="N1" s="21" t="s">
        <v>638</v>
      </c>
      <c r="P1" s="21" t="s">
        <v>553</v>
      </c>
      <c r="Q1" s="21" t="s">
        <v>241</v>
      </c>
      <c r="R1" s="21" t="s">
        <v>70</v>
      </c>
      <c r="S1" s="21" t="s">
        <v>591</v>
      </c>
      <c r="T1" s="21" t="s">
        <v>592</v>
      </c>
      <c r="U1" s="21" t="s">
        <v>1</v>
      </c>
      <c r="V1" s="21" t="s">
        <v>593</v>
      </c>
    </row>
    <row r="2" spans="1:22" x14ac:dyDescent="0.25">
      <c r="A2" s="2">
        <f>ROW()-1</f>
        <v>1</v>
      </c>
      <c r="B2" s="18"/>
      <c r="C2" s="18"/>
      <c r="D2" s="18"/>
      <c r="E2" s="18"/>
      <c r="F2" s="3"/>
      <c r="G2" s="3"/>
      <c r="H2" s="3"/>
      <c r="I2" s="3"/>
      <c r="J2" s="3"/>
      <c r="K2" s="9"/>
      <c r="L2" s="9"/>
      <c r="M2" s="9"/>
      <c r="N2" s="9"/>
      <c r="P2" s="2">
        <v>1</v>
      </c>
      <c r="Q2" s="2" t="s">
        <v>236</v>
      </c>
      <c r="R2" s="2" t="s">
        <v>594</v>
      </c>
      <c r="S2" s="2" t="s">
        <v>561</v>
      </c>
      <c r="T2" s="2">
        <v>10</v>
      </c>
      <c r="U2" s="2" t="s">
        <v>595</v>
      </c>
      <c r="V2" s="2" t="s">
        <v>596</v>
      </c>
    </row>
    <row r="3" spans="1:22" x14ac:dyDescent="0.25">
      <c r="A3" s="2">
        <f t="shared" ref="A3:A26" si="0">ROW()-1</f>
        <v>2</v>
      </c>
      <c r="B3" s="18"/>
      <c r="C3" s="18"/>
      <c r="D3" s="18"/>
      <c r="E3" s="18"/>
      <c r="F3" s="3"/>
      <c r="G3" s="3"/>
      <c r="H3" s="3"/>
      <c r="I3" s="3"/>
      <c r="J3" s="3"/>
      <c r="K3" s="9"/>
      <c r="L3" s="9"/>
      <c r="M3" s="9"/>
      <c r="N3" s="9"/>
      <c r="P3" s="2"/>
      <c r="Q3" s="2"/>
      <c r="R3" s="2" t="s">
        <v>597</v>
      </c>
      <c r="S3" s="2" t="s">
        <v>561</v>
      </c>
      <c r="T3" s="2">
        <v>30</v>
      </c>
      <c r="U3" s="2"/>
      <c r="V3" s="2"/>
    </row>
    <row r="4" spans="1:22" x14ac:dyDescent="0.25">
      <c r="A4" s="2">
        <f t="shared" si="0"/>
        <v>3</v>
      </c>
      <c r="B4" s="18"/>
      <c r="C4" s="18"/>
      <c r="D4" s="18"/>
      <c r="E4" s="18"/>
      <c r="F4" s="3"/>
      <c r="G4" s="3"/>
      <c r="H4" s="3"/>
      <c r="I4" s="3"/>
      <c r="J4" s="3"/>
      <c r="K4" s="9"/>
      <c r="L4" s="9"/>
      <c r="M4" s="9"/>
      <c r="N4" s="9"/>
      <c r="P4" s="2">
        <v>2</v>
      </c>
      <c r="Q4" s="2" t="s">
        <v>238</v>
      </c>
      <c r="R4" s="2" t="s">
        <v>594</v>
      </c>
      <c r="S4" s="2" t="s">
        <v>561</v>
      </c>
      <c r="T4" s="2">
        <v>10</v>
      </c>
      <c r="U4" s="2" t="s">
        <v>598</v>
      </c>
      <c r="V4" s="2" t="s">
        <v>599</v>
      </c>
    </row>
    <row r="5" spans="1:22" x14ac:dyDescent="0.25">
      <c r="A5" s="2">
        <f t="shared" si="0"/>
        <v>4</v>
      </c>
      <c r="B5" s="18"/>
      <c r="C5" s="18"/>
      <c r="D5" s="18"/>
      <c r="E5" s="18"/>
      <c r="F5" s="3"/>
      <c r="G5" s="3"/>
      <c r="H5" s="3"/>
      <c r="I5" s="3"/>
      <c r="J5" s="3"/>
      <c r="K5" s="9"/>
      <c r="L5" s="9"/>
      <c r="M5" s="9"/>
      <c r="N5" s="9"/>
      <c r="P5" s="2"/>
      <c r="Q5" s="2"/>
      <c r="R5" s="2" t="s">
        <v>597</v>
      </c>
      <c r="S5" s="2" t="s">
        <v>561</v>
      </c>
      <c r="T5" s="2">
        <v>25</v>
      </c>
      <c r="U5" s="2"/>
      <c r="V5" s="2"/>
    </row>
    <row r="6" spans="1:22" x14ac:dyDescent="0.25">
      <c r="A6" s="2">
        <f t="shared" si="0"/>
        <v>5</v>
      </c>
      <c r="B6" s="18"/>
      <c r="C6" s="18"/>
      <c r="D6" s="18"/>
      <c r="E6" s="18"/>
      <c r="F6" s="3"/>
      <c r="G6" s="3"/>
      <c r="H6" s="3"/>
      <c r="I6" s="3"/>
      <c r="J6" s="3"/>
      <c r="K6" s="9"/>
      <c r="L6" s="9"/>
      <c r="M6" s="9"/>
      <c r="N6" s="9"/>
      <c r="P6" s="2"/>
      <c r="Q6" s="2"/>
      <c r="R6" s="2" t="s">
        <v>600</v>
      </c>
      <c r="S6" s="2" t="s">
        <v>561</v>
      </c>
      <c r="T6" s="2">
        <v>15</v>
      </c>
      <c r="U6" s="2"/>
      <c r="V6" s="2"/>
    </row>
    <row r="7" spans="1:22" x14ac:dyDescent="0.25">
      <c r="A7" s="2">
        <f t="shared" si="0"/>
        <v>6</v>
      </c>
      <c r="B7" s="18"/>
      <c r="C7" s="18"/>
      <c r="D7" s="18"/>
      <c r="E7" s="18"/>
      <c r="F7" s="3"/>
      <c r="G7" s="3"/>
      <c r="H7" s="3"/>
      <c r="I7" s="3"/>
      <c r="J7" s="3"/>
      <c r="K7" s="9"/>
      <c r="L7" s="9"/>
      <c r="M7" s="9"/>
      <c r="N7" s="9"/>
      <c r="P7" s="2">
        <v>3</v>
      </c>
      <c r="Q7" s="2" t="s">
        <v>551</v>
      </c>
      <c r="R7" s="2" t="s">
        <v>601</v>
      </c>
      <c r="S7" s="2" t="s">
        <v>561</v>
      </c>
      <c r="T7" s="2">
        <v>100</v>
      </c>
      <c r="U7" s="2" t="s">
        <v>602</v>
      </c>
      <c r="V7" s="2" t="s">
        <v>603</v>
      </c>
    </row>
    <row r="8" spans="1:22" x14ac:dyDescent="0.25">
      <c r="A8" s="2">
        <f t="shared" si="0"/>
        <v>7</v>
      </c>
      <c r="B8" s="18"/>
      <c r="C8" s="18"/>
      <c r="D8" s="18"/>
      <c r="E8" s="18"/>
      <c r="F8" s="3"/>
      <c r="G8" s="3"/>
      <c r="H8" s="3"/>
      <c r="I8" s="3"/>
      <c r="J8" s="3"/>
      <c r="K8" s="9"/>
      <c r="L8" s="9"/>
      <c r="M8" s="9"/>
      <c r="N8" s="9"/>
      <c r="P8" s="2"/>
      <c r="Q8" s="2"/>
      <c r="R8" s="2" t="s">
        <v>72</v>
      </c>
      <c r="S8" s="2" t="s">
        <v>561</v>
      </c>
      <c r="T8" s="2">
        <v>10</v>
      </c>
      <c r="U8" s="2"/>
      <c r="V8" s="2"/>
    </row>
    <row r="9" spans="1:22" x14ac:dyDescent="0.25">
      <c r="A9" s="2">
        <f t="shared" si="0"/>
        <v>8</v>
      </c>
      <c r="B9" s="18"/>
      <c r="C9" s="18"/>
      <c r="D9" s="18"/>
      <c r="E9" s="18"/>
      <c r="F9" s="3"/>
      <c r="G9" s="3"/>
      <c r="H9" s="3"/>
      <c r="I9" s="3"/>
      <c r="J9" s="3"/>
      <c r="K9" s="9"/>
      <c r="L9" s="9"/>
      <c r="M9" s="9"/>
      <c r="N9" s="9"/>
      <c r="P9" s="2">
        <v>4</v>
      </c>
      <c r="Q9" s="2" t="s">
        <v>552</v>
      </c>
      <c r="R9" s="2" t="s">
        <v>601</v>
      </c>
      <c r="S9" s="2" t="s">
        <v>561</v>
      </c>
      <c r="T9" s="2">
        <v>100</v>
      </c>
      <c r="U9" s="2" t="s">
        <v>604</v>
      </c>
      <c r="V9" s="2" t="s">
        <v>605</v>
      </c>
    </row>
    <row r="10" spans="1:22" x14ac:dyDescent="0.25">
      <c r="A10" s="2">
        <f>ROW()-1</f>
        <v>9</v>
      </c>
      <c r="B10" s="18"/>
      <c r="C10" s="18"/>
      <c r="D10" s="18"/>
      <c r="E10" s="18"/>
      <c r="F10" s="3"/>
      <c r="G10" s="3"/>
      <c r="H10" s="3"/>
      <c r="I10" s="3"/>
      <c r="J10" s="3"/>
      <c r="K10" s="9"/>
      <c r="L10" s="9"/>
      <c r="M10" s="9"/>
      <c r="N10" s="9"/>
      <c r="P10" s="2"/>
      <c r="Q10" s="2"/>
      <c r="R10" s="2" t="s">
        <v>72</v>
      </c>
      <c r="S10" s="2" t="s">
        <v>561</v>
      </c>
      <c r="T10" s="2">
        <v>20</v>
      </c>
      <c r="U10" s="2"/>
      <c r="V10" s="2"/>
    </row>
    <row r="11" spans="1:22" x14ac:dyDescent="0.25">
      <c r="A11" s="2">
        <f t="shared" si="0"/>
        <v>10</v>
      </c>
      <c r="B11" s="18"/>
      <c r="C11" s="18"/>
      <c r="D11" s="18"/>
      <c r="E11" s="18"/>
      <c r="F11" s="3"/>
      <c r="G11" s="3"/>
      <c r="H11" s="3"/>
      <c r="I11" s="3"/>
      <c r="J11" s="3"/>
      <c r="K11" s="9"/>
      <c r="L11" s="9"/>
      <c r="M11" s="9"/>
      <c r="N11" s="9"/>
    </row>
    <row r="12" spans="1:22" x14ac:dyDescent="0.25">
      <c r="A12" s="2">
        <f t="shared" si="0"/>
        <v>11</v>
      </c>
      <c r="B12" s="18"/>
      <c r="C12" s="18"/>
      <c r="D12" s="18"/>
      <c r="E12" s="18"/>
      <c r="F12" s="3"/>
      <c r="G12" s="3"/>
      <c r="H12" s="3"/>
      <c r="I12" s="3"/>
      <c r="J12" s="3"/>
      <c r="K12" s="9"/>
      <c r="L12" s="9"/>
      <c r="M12" s="9"/>
      <c r="N12" s="9"/>
    </row>
    <row r="13" spans="1:22" x14ac:dyDescent="0.25">
      <c r="A13" s="2">
        <f t="shared" ref="A13:A25" si="1">ROW()-1</f>
        <v>12</v>
      </c>
      <c r="B13" s="18"/>
      <c r="C13" s="18"/>
      <c r="D13" s="18"/>
      <c r="E13" s="18"/>
      <c r="F13" s="3"/>
      <c r="G13" s="3"/>
      <c r="H13" s="3"/>
      <c r="I13" s="3"/>
      <c r="J13" s="3"/>
      <c r="K13" s="9"/>
      <c r="L13" s="9"/>
      <c r="M13" s="9"/>
      <c r="N13" s="9"/>
    </row>
    <row r="14" spans="1:22" x14ac:dyDescent="0.25">
      <c r="A14" s="2">
        <f t="shared" si="1"/>
        <v>13</v>
      </c>
      <c r="B14" s="18"/>
      <c r="C14" s="18"/>
      <c r="D14" s="18"/>
      <c r="E14" s="18"/>
      <c r="F14" s="3"/>
      <c r="G14" s="3"/>
      <c r="H14" s="3"/>
      <c r="I14" s="3"/>
      <c r="J14" s="3"/>
      <c r="K14" s="9"/>
      <c r="L14" s="9"/>
      <c r="M14" s="9"/>
      <c r="N14" s="9"/>
    </row>
    <row r="15" spans="1:22" x14ac:dyDescent="0.25">
      <c r="A15" s="2">
        <f t="shared" si="1"/>
        <v>14</v>
      </c>
      <c r="B15" s="18"/>
      <c r="C15" s="18"/>
      <c r="D15" s="18"/>
      <c r="E15" s="18"/>
      <c r="F15" s="3"/>
      <c r="G15" s="3"/>
      <c r="H15" s="3"/>
      <c r="I15" s="3"/>
      <c r="J15" s="3"/>
      <c r="K15" s="9"/>
      <c r="L15" s="9"/>
      <c r="M15" s="9"/>
      <c r="N15" s="9"/>
    </row>
    <row r="16" spans="1:22" x14ac:dyDescent="0.25">
      <c r="A16" s="2">
        <f t="shared" si="1"/>
        <v>15</v>
      </c>
      <c r="B16" s="18"/>
      <c r="C16" s="18"/>
      <c r="D16" s="18"/>
      <c r="E16" s="18"/>
      <c r="F16" s="3"/>
      <c r="G16" s="3"/>
      <c r="H16" s="3"/>
      <c r="I16" s="3"/>
      <c r="J16" s="3"/>
      <c r="K16" s="9"/>
      <c r="L16" s="9"/>
      <c r="M16" s="9"/>
      <c r="N16" s="9"/>
    </row>
    <row r="17" spans="1:14" x14ac:dyDescent="0.25">
      <c r="A17" s="2">
        <f t="shared" si="1"/>
        <v>16</v>
      </c>
      <c r="B17" s="18"/>
      <c r="C17" s="18"/>
      <c r="D17" s="18"/>
      <c r="E17" s="18"/>
      <c r="F17" s="3"/>
      <c r="G17" s="3"/>
      <c r="H17" s="3"/>
      <c r="I17" s="3"/>
      <c r="J17" s="3"/>
      <c r="K17" s="9"/>
      <c r="L17" s="9"/>
      <c r="M17" s="9"/>
      <c r="N17" s="9"/>
    </row>
    <row r="18" spans="1:14" x14ac:dyDescent="0.25">
      <c r="A18" s="2">
        <f t="shared" si="1"/>
        <v>17</v>
      </c>
      <c r="B18" s="18"/>
      <c r="C18" s="18"/>
      <c r="D18" s="18"/>
      <c r="E18" s="18"/>
      <c r="F18" s="3"/>
      <c r="G18" s="3"/>
      <c r="H18" s="3"/>
      <c r="I18" s="3"/>
      <c r="J18" s="3"/>
      <c r="K18" s="9"/>
      <c r="L18" s="9"/>
      <c r="M18" s="9"/>
      <c r="N18" s="9"/>
    </row>
    <row r="19" spans="1:14" x14ac:dyDescent="0.25">
      <c r="A19" s="2">
        <f t="shared" si="1"/>
        <v>18</v>
      </c>
      <c r="B19" s="18"/>
      <c r="C19" s="18"/>
      <c r="D19" s="18"/>
      <c r="E19" s="18"/>
      <c r="F19" s="3"/>
      <c r="G19" s="3"/>
      <c r="H19" s="3"/>
      <c r="I19" s="3"/>
      <c r="J19" s="3"/>
      <c r="K19" s="9"/>
      <c r="L19" s="9"/>
      <c r="M19" s="9"/>
      <c r="N19" s="9"/>
    </row>
    <row r="20" spans="1:14" x14ac:dyDescent="0.25">
      <c r="A20" s="2">
        <f t="shared" si="1"/>
        <v>19</v>
      </c>
      <c r="B20" s="18"/>
      <c r="C20" s="18"/>
      <c r="D20" s="18"/>
      <c r="E20" s="18"/>
      <c r="F20" s="3"/>
      <c r="G20" s="3"/>
      <c r="H20" s="3"/>
      <c r="I20" s="3"/>
      <c r="J20" s="3"/>
      <c r="K20" s="9"/>
      <c r="L20" s="9"/>
      <c r="M20" s="9"/>
      <c r="N20" s="9"/>
    </row>
    <row r="21" spans="1:14" x14ac:dyDescent="0.25">
      <c r="A21" s="2">
        <f t="shared" si="1"/>
        <v>20</v>
      </c>
      <c r="B21" s="18"/>
      <c r="C21" s="18"/>
      <c r="D21" s="18"/>
      <c r="E21" s="18"/>
      <c r="F21" s="3"/>
      <c r="G21" s="3"/>
      <c r="H21" s="3"/>
      <c r="I21" s="3"/>
      <c r="J21" s="3"/>
      <c r="K21" s="9"/>
      <c r="L21" s="9"/>
      <c r="M21" s="9"/>
      <c r="N21" s="9"/>
    </row>
    <row r="22" spans="1:14" x14ac:dyDescent="0.25">
      <c r="A22" s="2">
        <f t="shared" si="1"/>
        <v>21</v>
      </c>
      <c r="B22" s="18"/>
      <c r="C22" s="18"/>
      <c r="D22" s="18"/>
      <c r="E22" s="18"/>
      <c r="F22" s="3"/>
      <c r="G22" s="3"/>
      <c r="H22" s="3"/>
      <c r="I22" s="3"/>
      <c r="J22" s="3"/>
      <c r="K22" s="9"/>
      <c r="L22" s="9"/>
      <c r="M22" s="9"/>
      <c r="N22" s="9"/>
    </row>
    <row r="23" spans="1:14" x14ac:dyDescent="0.25">
      <c r="A23" s="2">
        <f t="shared" si="1"/>
        <v>22</v>
      </c>
      <c r="B23" s="18"/>
      <c r="C23" s="18"/>
      <c r="D23" s="18"/>
      <c r="E23" s="18"/>
      <c r="F23" s="3"/>
      <c r="G23" s="3"/>
      <c r="H23" s="3"/>
      <c r="I23" s="3"/>
      <c r="J23" s="3"/>
      <c r="K23" s="9"/>
      <c r="L23" s="9"/>
      <c r="M23" s="9"/>
      <c r="N23" s="9"/>
    </row>
    <row r="24" spans="1:14" x14ac:dyDescent="0.25">
      <c r="A24" s="2">
        <f t="shared" si="1"/>
        <v>23</v>
      </c>
      <c r="B24" s="18"/>
      <c r="C24" s="18"/>
      <c r="D24" s="18"/>
      <c r="E24" s="18"/>
      <c r="F24" s="3"/>
      <c r="G24" s="3"/>
      <c r="H24" s="3"/>
      <c r="I24" s="3"/>
      <c r="J24" s="3"/>
      <c r="K24" s="9"/>
      <c r="L24" s="9"/>
      <c r="M24" s="9"/>
      <c r="N24" s="9"/>
    </row>
    <row r="25" spans="1:14" x14ac:dyDescent="0.25">
      <c r="A25" s="2">
        <f t="shared" si="1"/>
        <v>24</v>
      </c>
      <c r="B25" s="18"/>
      <c r="C25" s="18"/>
      <c r="D25" s="18"/>
      <c r="E25" s="18"/>
      <c r="F25" s="3"/>
      <c r="G25" s="3"/>
      <c r="H25" s="3"/>
      <c r="I25" s="3"/>
      <c r="J25" s="3"/>
      <c r="K25" s="9"/>
      <c r="L25" s="9"/>
      <c r="M25" s="9"/>
      <c r="N25" s="9"/>
    </row>
    <row r="26" spans="1:14" x14ac:dyDescent="0.25">
      <c r="A26" s="2">
        <f t="shared" si="0"/>
        <v>25</v>
      </c>
      <c r="B26" s="18"/>
      <c r="C26" s="18"/>
      <c r="D26" s="18"/>
      <c r="E26" s="18"/>
      <c r="F26" s="3"/>
      <c r="G26" s="3"/>
      <c r="H26" s="3"/>
      <c r="I26" s="3"/>
      <c r="J26" s="3"/>
      <c r="K26" s="9"/>
      <c r="L26" s="9"/>
      <c r="M26" s="9"/>
      <c r="N26" s="9"/>
    </row>
  </sheetData>
  <sheetProtection selectLockedCells="1"/>
  <dataConsolidate link="1"/>
  <phoneticPr fontId="2" type="noConversion"/>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'7_2_Codelists'!$B$130:$B$133</xm:f>
          </x14:formula1>
          <xm:sqref>E2:E26</xm:sqref>
        </x14:dataValidation>
        <x14:dataValidation type="list" allowBlank="1" showInputMessage="1" showErrorMessage="1" xr:uid="{660B42E1-B76E-4FAC-9854-B285B5571AF6}">
          <x14:formula1>
            <xm:f>'7_2_Codelists'!$B$136:$B$151</xm:f>
          </x14:formula1>
          <xm:sqref>B2:B26</xm:sqref>
        </x14:dataValidation>
        <x14:dataValidation type="list" allowBlank="1" showInputMessage="1" showErrorMessage="1" xr:uid="{0D711A73-E151-461B-932C-43BAA6A9E2E9}">
          <x14:formula1>
            <xm:f>'6_1_Reference_Manager'!$C$2:$C$49</xm:f>
          </x14:formula1>
          <xm:sqref>L2:N26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M50"/>
  <sheetViews>
    <sheetView tabSelected="1" topLeftCell="D1" zoomScaleNormal="100" workbookViewId="0">
      <selection activeCell="J3" sqref="J3"/>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2" width="17.140625" customWidth="1"/>
    <col min="13" max="13" width="17.7109375" customWidth="1"/>
  </cols>
  <sheetData>
    <row r="1" spans="1:13" x14ac:dyDescent="0.25">
      <c r="A1" s="78" t="s">
        <v>4</v>
      </c>
      <c r="B1" s="78" t="s">
        <v>97</v>
      </c>
      <c r="C1" s="78" t="s">
        <v>233</v>
      </c>
      <c r="D1" s="78" t="s">
        <v>76</v>
      </c>
      <c r="E1" s="78" t="s">
        <v>70</v>
      </c>
      <c r="F1" s="78" t="s">
        <v>93</v>
      </c>
      <c r="G1" s="78" t="s">
        <v>77</v>
      </c>
      <c r="H1" s="78" t="s">
        <v>135</v>
      </c>
      <c r="I1" s="78" t="s">
        <v>136</v>
      </c>
      <c r="J1" s="78" t="s">
        <v>7</v>
      </c>
      <c r="K1" s="78" t="s">
        <v>654</v>
      </c>
      <c r="L1" s="78" t="s">
        <v>655</v>
      </c>
      <c r="M1" s="78" t="s">
        <v>656</v>
      </c>
    </row>
    <row r="2" spans="1:13" x14ac:dyDescent="0.25">
      <c r="A2" s="2">
        <f>ROW()-1</f>
        <v>1</v>
      </c>
      <c r="B2" s="18"/>
      <c r="C2" s="18"/>
      <c r="D2" s="18"/>
      <c r="E2" s="18"/>
      <c r="F2" s="18"/>
      <c r="G2" s="89"/>
      <c r="H2" s="3"/>
      <c r="I2" s="3"/>
      <c r="J2" s="9"/>
      <c r="K2" s="9"/>
      <c r="L2" s="9"/>
      <c r="M2" s="9"/>
    </row>
    <row r="3" spans="1:13" ht="12" customHeight="1" x14ac:dyDescent="0.25">
      <c r="A3" s="2">
        <f>ROW()-1</f>
        <v>2</v>
      </c>
      <c r="B3" s="18"/>
      <c r="C3" s="18"/>
      <c r="D3" s="18"/>
      <c r="E3" s="18"/>
      <c r="F3" s="18"/>
      <c r="G3" s="89"/>
      <c r="H3" s="3"/>
      <c r="I3" s="3"/>
      <c r="J3" s="9"/>
      <c r="K3" s="9"/>
      <c r="L3" s="9"/>
      <c r="M3" s="9"/>
    </row>
    <row r="4" spans="1:13" x14ac:dyDescent="0.25">
      <c r="A4" s="2">
        <f>ROW()-1</f>
        <v>3</v>
      </c>
      <c r="B4" s="18"/>
      <c r="C4" s="18"/>
      <c r="D4" s="18"/>
      <c r="E4" s="18"/>
      <c r="F4" s="18"/>
      <c r="G4" s="24"/>
      <c r="H4" s="3"/>
      <c r="I4" s="3"/>
      <c r="J4" s="9"/>
      <c r="K4" s="9"/>
      <c r="L4" s="9"/>
      <c r="M4" s="9"/>
    </row>
    <row r="5" spans="1:13" x14ac:dyDescent="0.25">
      <c r="A5" s="2">
        <f>ROW()-1</f>
        <v>4</v>
      </c>
      <c r="B5" s="18"/>
      <c r="C5" s="18"/>
      <c r="D5" s="18"/>
      <c r="E5" s="18"/>
      <c r="F5" s="18"/>
      <c r="G5" s="24"/>
      <c r="H5" s="3"/>
      <c r="I5" s="3"/>
      <c r="J5" s="9"/>
      <c r="K5" s="9"/>
      <c r="L5" s="9"/>
      <c r="M5" s="9"/>
    </row>
    <row r="6" spans="1:13" x14ac:dyDescent="0.25">
      <c r="A6" s="2">
        <f t="shared" ref="A6:A15" si="0">ROW()-1</f>
        <v>5</v>
      </c>
      <c r="B6" s="18"/>
      <c r="C6" s="18"/>
      <c r="D6" s="18"/>
      <c r="E6" s="18"/>
      <c r="F6" s="18"/>
      <c r="G6" s="24"/>
      <c r="H6" s="3"/>
      <c r="I6" s="3"/>
      <c r="J6" s="9"/>
      <c r="K6" s="9"/>
      <c r="L6" s="9"/>
      <c r="M6" s="9"/>
    </row>
    <row r="7" spans="1:13" x14ac:dyDescent="0.25">
      <c r="A7" s="2">
        <f t="shared" si="0"/>
        <v>6</v>
      </c>
      <c r="B7" s="18"/>
      <c r="C7" s="18"/>
      <c r="D7" s="18"/>
      <c r="E7" s="18"/>
      <c r="F7" s="18"/>
      <c r="G7" s="24"/>
      <c r="H7" s="3"/>
      <c r="I7" s="3"/>
      <c r="J7" s="9"/>
      <c r="K7" s="9"/>
      <c r="L7" s="9"/>
      <c r="M7" s="9"/>
    </row>
    <row r="8" spans="1:13" x14ac:dyDescent="0.25">
      <c r="A8" s="2">
        <f t="shared" si="0"/>
        <v>7</v>
      </c>
      <c r="B8" s="18"/>
      <c r="C8" s="18"/>
      <c r="D8" s="18"/>
      <c r="E8" s="18"/>
      <c r="F8" s="18"/>
      <c r="G8" s="24"/>
      <c r="H8" s="3"/>
      <c r="I8" s="3"/>
      <c r="J8" s="9"/>
      <c r="K8" s="9"/>
      <c r="L8" s="9"/>
      <c r="M8" s="9"/>
    </row>
    <row r="9" spans="1:13" x14ac:dyDescent="0.25">
      <c r="A9" s="2">
        <f t="shared" si="0"/>
        <v>8</v>
      </c>
      <c r="B9" s="18"/>
      <c r="C9" s="18"/>
      <c r="D9" s="18"/>
      <c r="E9" s="18"/>
      <c r="F9" s="18"/>
      <c r="G9" s="24"/>
      <c r="H9" s="3"/>
      <c r="I9" s="3"/>
      <c r="J9" s="9"/>
      <c r="K9" s="9"/>
      <c r="L9" s="9"/>
      <c r="M9" s="9"/>
    </row>
    <row r="10" spans="1:13" x14ac:dyDescent="0.25">
      <c r="A10" s="2">
        <f t="shared" si="0"/>
        <v>9</v>
      </c>
      <c r="B10" s="18"/>
      <c r="C10" s="18"/>
      <c r="D10" s="18"/>
      <c r="E10" s="18"/>
      <c r="F10" s="18"/>
      <c r="G10" s="24"/>
      <c r="H10" s="3"/>
      <c r="I10" s="3"/>
      <c r="J10" s="9"/>
      <c r="K10" s="9"/>
      <c r="L10" s="9"/>
      <c r="M10" s="9"/>
    </row>
    <row r="11" spans="1:13" x14ac:dyDescent="0.25">
      <c r="A11" s="2">
        <f t="shared" si="0"/>
        <v>10</v>
      </c>
      <c r="B11" s="18"/>
      <c r="C11" s="18"/>
      <c r="D11" s="18"/>
      <c r="E11" s="18"/>
      <c r="F11" s="18"/>
      <c r="G11" s="24"/>
      <c r="H11" s="3"/>
      <c r="I11" s="3"/>
      <c r="J11" s="9"/>
      <c r="K11" s="9"/>
      <c r="L11" s="9"/>
      <c r="M11" s="9"/>
    </row>
    <row r="12" spans="1:13" x14ac:dyDescent="0.25">
      <c r="A12" s="2">
        <f t="shared" si="0"/>
        <v>11</v>
      </c>
      <c r="B12" s="18"/>
      <c r="C12" s="18"/>
      <c r="D12" s="18"/>
      <c r="E12" s="18"/>
      <c r="F12" s="18"/>
      <c r="G12" s="24"/>
      <c r="H12" s="3"/>
      <c r="I12" s="3"/>
      <c r="J12" s="9"/>
      <c r="K12" s="9"/>
      <c r="L12" s="9"/>
      <c r="M12" s="9"/>
    </row>
    <row r="13" spans="1:13" x14ac:dyDescent="0.25">
      <c r="A13" s="2">
        <f t="shared" si="0"/>
        <v>12</v>
      </c>
      <c r="B13" s="18"/>
      <c r="C13" s="18"/>
      <c r="D13" s="18"/>
      <c r="E13" s="18"/>
      <c r="F13" s="18"/>
      <c r="G13" s="24"/>
      <c r="H13" s="3"/>
      <c r="I13" s="3"/>
      <c r="J13" s="9"/>
      <c r="K13" s="9"/>
      <c r="L13" s="9"/>
      <c r="M13" s="9"/>
    </row>
    <row r="14" spans="1:13" x14ac:dyDescent="0.25">
      <c r="A14" s="2">
        <f t="shared" si="0"/>
        <v>13</v>
      </c>
      <c r="B14" s="18"/>
      <c r="C14" s="18"/>
      <c r="D14" s="18"/>
      <c r="E14" s="18"/>
      <c r="F14" s="18"/>
      <c r="G14" s="24"/>
      <c r="H14" s="3"/>
      <c r="I14" s="89"/>
      <c r="J14" s="9"/>
      <c r="K14" s="9"/>
      <c r="L14" s="9"/>
      <c r="M14" s="9"/>
    </row>
    <row r="15" spans="1:13" x14ac:dyDescent="0.25">
      <c r="A15" s="2">
        <f t="shared" si="0"/>
        <v>14</v>
      </c>
      <c r="B15" s="18"/>
      <c r="C15" s="18"/>
      <c r="D15" s="18"/>
      <c r="E15" s="18"/>
      <c r="F15" s="18"/>
      <c r="G15" s="24"/>
      <c r="H15" s="3"/>
      <c r="I15" s="89"/>
      <c r="J15" s="9"/>
      <c r="K15" s="9"/>
      <c r="L15" s="9"/>
      <c r="M15" s="9"/>
    </row>
    <row r="16" spans="1:13" x14ac:dyDescent="0.25">
      <c r="A16" s="2">
        <f t="shared" ref="A16:A47" si="1">ROW()-1</f>
        <v>15</v>
      </c>
      <c r="B16" s="18"/>
      <c r="C16" s="18"/>
      <c r="D16" s="18"/>
      <c r="E16" s="18"/>
      <c r="F16" s="18"/>
      <c r="G16" s="89"/>
      <c r="H16" s="89"/>
      <c r="I16" s="89"/>
      <c r="J16" s="9"/>
      <c r="K16" s="9"/>
      <c r="L16" s="9"/>
      <c r="M16" s="9"/>
    </row>
    <row r="17" spans="1:13" x14ac:dyDescent="0.25">
      <c r="A17" s="2">
        <f t="shared" si="1"/>
        <v>16</v>
      </c>
      <c r="B17" s="18"/>
      <c r="C17" s="18"/>
      <c r="D17" s="18"/>
      <c r="E17" s="18"/>
      <c r="F17" s="18"/>
      <c r="G17" s="89"/>
      <c r="H17" s="89"/>
      <c r="I17" s="89"/>
      <c r="J17" s="9"/>
      <c r="K17" s="9"/>
      <c r="L17" s="9"/>
      <c r="M17" s="9"/>
    </row>
    <row r="18" spans="1:13" x14ac:dyDescent="0.25">
      <c r="A18" s="2">
        <f t="shared" si="1"/>
        <v>17</v>
      </c>
      <c r="B18" s="18"/>
      <c r="C18" s="18"/>
      <c r="D18" s="18"/>
      <c r="E18" s="18"/>
      <c r="F18" s="18"/>
      <c r="G18" s="89"/>
      <c r="H18" s="89"/>
      <c r="I18" s="89"/>
      <c r="J18" s="9"/>
      <c r="K18" s="9"/>
      <c r="L18" s="9"/>
      <c r="M18" s="9"/>
    </row>
    <row r="19" spans="1:13" x14ac:dyDescent="0.25">
      <c r="A19" s="2">
        <f t="shared" si="1"/>
        <v>18</v>
      </c>
      <c r="B19" s="18"/>
      <c r="C19" s="18"/>
      <c r="D19" s="18"/>
      <c r="E19" s="18"/>
      <c r="F19" s="18"/>
      <c r="G19" s="89"/>
      <c r="H19" s="89"/>
      <c r="I19" s="89"/>
      <c r="J19" s="9"/>
      <c r="K19" s="9"/>
      <c r="L19" s="9"/>
      <c r="M19" s="9"/>
    </row>
    <row r="20" spans="1:13" x14ac:dyDescent="0.25">
      <c r="A20" s="2">
        <f t="shared" si="1"/>
        <v>19</v>
      </c>
      <c r="B20" s="18"/>
      <c r="C20" s="18"/>
      <c r="D20" s="18"/>
      <c r="E20" s="18"/>
      <c r="F20" s="18"/>
      <c r="G20" s="89"/>
      <c r="H20" s="89"/>
      <c r="I20" s="89"/>
      <c r="J20" s="9"/>
      <c r="K20" s="9"/>
      <c r="L20" s="9"/>
      <c r="M20" s="9"/>
    </row>
    <row r="21" spans="1:13" x14ac:dyDescent="0.25">
      <c r="A21" s="2">
        <f t="shared" si="1"/>
        <v>20</v>
      </c>
      <c r="B21" s="18"/>
      <c r="C21" s="18"/>
      <c r="D21" s="18"/>
      <c r="E21" s="18"/>
      <c r="F21" s="18"/>
      <c r="G21" s="89"/>
      <c r="H21" s="89"/>
      <c r="I21" s="89"/>
      <c r="J21" s="9"/>
      <c r="K21" s="9"/>
      <c r="L21" s="9"/>
      <c r="M21" s="9"/>
    </row>
    <row r="22" spans="1:13" x14ac:dyDescent="0.25">
      <c r="A22" s="2">
        <f t="shared" si="1"/>
        <v>21</v>
      </c>
      <c r="B22" s="18"/>
      <c r="C22" s="18"/>
      <c r="D22" s="18"/>
      <c r="E22" s="18"/>
      <c r="F22" s="18"/>
      <c r="G22" s="89"/>
      <c r="H22" s="89"/>
      <c r="I22" s="89"/>
      <c r="J22" s="9"/>
      <c r="K22" s="9"/>
      <c r="L22" s="9"/>
      <c r="M22" s="9"/>
    </row>
    <row r="23" spans="1:13" x14ac:dyDescent="0.25">
      <c r="A23" s="2">
        <f t="shared" si="1"/>
        <v>22</v>
      </c>
      <c r="B23" s="18"/>
      <c r="C23" s="18"/>
      <c r="D23" s="18"/>
      <c r="E23" s="18"/>
      <c r="F23" s="18"/>
      <c r="G23" s="89"/>
      <c r="H23" s="89"/>
      <c r="I23" s="89"/>
      <c r="J23" s="9"/>
      <c r="K23" s="9"/>
      <c r="L23" s="9"/>
      <c r="M23" s="9"/>
    </row>
    <row r="24" spans="1:13" x14ac:dyDescent="0.25">
      <c r="A24" s="2">
        <f t="shared" si="1"/>
        <v>23</v>
      </c>
      <c r="B24" s="18"/>
      <c r="C24" s="18"/>
      <c r="D24" s="18"/>
      <c r="E24" s="18"/>
      <c r="F24" s="18"/>
      <c r="G24" s="89"/>
      <c r="H24" s="89"/>
      <c r="I24" s="89"/>
      <c r="J24" s="9"/>
      <c r="K24" s="9"/>
      <c r="L24" s="9"/>
      <c r="M24" s="9"/>
    </row>
    <row r="25" spans="1:13" x14ac:dyDescent="0.25">
      <c r="A25" s="2">
        <f t="shared" si="1"/>
        <v>24</v>
      </c>
      <c r="B25" s="18"/>
      <c r="C25" s="18"/>
      <c r="D25" s="18"/>
      <c r="E25" s="18"/>
      <c r="F25" s="18"/>
      <c r="G25" s="89"/>
      <c r="H25" s="89"/>
      <c r="I25" s="89"/>
      <c r="J25" s="9"/>
      <c r="K25" s="9"/>
      <c r="L25" s="9"/>
      <c r="M25" s="9"/>
    </row>
    <row r="26" spans="1:13" x14ac:dyDescent="0.25">
      <c r="A26" s="2">
        <f t="shared" si="1"/>
        <v>25</v>
      </c>
      <c r="B26" s="18"/>
      <c r="C26" s="18"/>
      <c r="D26" s="18"/>
      <c r="E26" s="18"/>
      <c r="F26" s="18"/>
      <c r="G26" s="89"/>
      <c r="H26" s="89"/>
      <c r="I26" s="89"/>
      <c r="J26" s="9"/>
      <c r="K26" s="9"/>
      <c r="L26" s="9"/>
      <c r="M26" s="9"/>
    </row>
    <row r="27" spans="1:13" x14ac:dyDescent="0.25">
      <c r="A27" s="2">
        <f t="shared" si="1"/>
        <v>26</v>
      </c>
      <c r="B27" s="18"/>
      <c r="C27" s="18"/>
      <c r="D27" s="18"/>
      <c r="E27" s="18"/>
      <c r="F27" s="18"/>
      <c r="G27" s="89"/>
      <c r="H27" s="89"/>
      <c r="I27" s="89"/>
      <c r="J27" s="9"/>
      <c r="K27" s="9"/>
      <c r="L27" s="9"/>
      <c r="M27" s="9"/>
    </row>
    <row r="28" spans="1:13" x14ac:dyDescent="0.25">
      <c r="A28" s="2">
        <f t="shared" si="1"/>
        <v>27</v>
      </c>
      <c r="B28" s="18"/>
      <c r="C28" s="18"/>
      <c r="D28" s="18"/>
      <c r="E28" s="18"/>
      <c r="F28" s="18"/>
      <c r="G28" s="89"/>
      <c r="H28" s="89"/>
      <c r="I28" s="89"/>
      <c r="J28" s="9"/>
      <c r="K28" s="9"/>
      <c r="L28" s="9"/>
      <c r="M28" s="9"/>
    </row>
    <row r="29" spans="1:13" x14ac:dyDescent="0.25">
      <c r="A29" s="2">
        <f t="shared" si="1"/>
        <v>28</v>
      </c>
      <c r="B29" s="18"/>
      <c r="C29" s="18"/>
      <c r="D29" s="18"/>
      <c r="E29" s="18"/>
      <c r="F29" s="18"/>
      <c r="G29" s="89"/>
      <c r="H29" s="89"/>
      <c r="I29" s="89"/>
      <c r="J29" s="9"/>
      <c r="K29" s="9"/>
      <c r="L29" s="9"/>
      <c r="M29" s="9"/>
    </row>
    <row r="30" spans="1:13" x14ac:dyDescent="0.25">
      <c r="A30" s="2">
        <f t="shared" si="1"/>
        <v>29</v>
      </c>
      <c r="B30" s="18"/>
      <c r="C30" s="18"/>
      <c r="D30" s="18"/>
      <c r="E30" s="18"/>
      <c r="F30" s="18"/>
      <c r="G30" s="89"/>
      <c r="H30" s="89"/>
      <c r="I30" s="89"/>
      <c r="J30" s="9"/>
      <c r="K30" s="9"/>
      <c r="L30" s="9"/>
      <c r="M30" s="9"/>
    </row>
    <row r="31" spans="1:13" x14ac:dyDescent="0.25">
      <c r="A31" s="2">
        <f t="shared" si="1"/>
        <v>30</v>
      </c>
      <c r="B31" s="18"/>
      <c r="C31" s="18"/>
      <c r="D31" s="18"/>
      <c r="E31" s="18"/>
      <c r="F31" s="18"/>
      <c r="G31" s="89"/>
      <c r="H31" s="89"/>
      <c r="I31" s="89"/>
      <c r="J31" s="9"/>
      <c r="K31" s="9"/>
      <c r="L31" s="9"/>
      <c r="M31" s="9"/>
    </row>
    <row r="32" spans="1:13" x14ac:dyDescent="0.25">
      <c r="A32" s="2">
        <f t="shared" si="1"/>
        <v>31</v>
      </c>
      <c r="B32" s="18"/>
      <c r="C32" s="18"/>
      <c r="D32" s="18"/>
      <c r="E32" s="18"/>
      <c r="F32" s="18"/>
      <c r="G32" s="89"/>
      <c r="H32" s="89"/>
      <c r="I32" s="89"/>
      <c r="J32" s="9"/>
      <c r="K32" s="9"/>
      <c r="L32" s="9"/>
      <c r="M32" s="9"/>
    </row>
    <row r="33" spans="1:13" x14ac:dyDescent="0.25">
      <c r="A33" s="2">
        <f t="shared" si="1"/>
        <v>32</v>
      </c>
      <c r="B33" s="18"/>
      <c r="C33" s="18"/>
      <c r="D33" s="18"/>
      <c r="E33" s="18"/>
      <c r="F33" s="18"/>
      <c r="G33" s="89"/>
      <c r="H33" s="89"/>
      <c r="I33" s="89"/>
      <c r="J33" s="9"/>
      <c r="K33" s="9"/>
      <c r="L33" s="9"/>
      <c r="M33" s="9"/>
    </row>
    <row r="34" spans="1:13" x14ac:dyDescent="0.25">
      <c r="A34" s="2">
        <f t="shared" si="1"/>
        <v>33</v>
      </c>
      <c r="B34" s="18"/>
      <c r="C34" s="18"/>
      <c r="D34" s="18"/>
      <c r="E34" s="18"/>
      <c r="F34" s="18"/>
      <c r="G34" s="89"/>
      <c r="H34" s="89"/>
      <c r="I34" s="89"/>
      <c r="J34" s="9"/>
      <c r="K34" s="9"/>
      <c r="L34" s="9"/>
      <c r="M34" s="9"/>
    </row>
    <row r="35" spans="1:13" x14ac:dyDescent="0.25">
      <c r="A35" s="2">
        <f t="shared" si="1"/>
        <v>34</v>
      </c>
      <c r="B35" s="18"/>
      <c r="C35" s="18"/>
      <c r="D35" s="18"/>
      <c r="E35" s="18"/>
      <c r="F35" s="18"/>
      <c r="G35" s="89"/>
      <c r="H35" s="89"/>
      <c r="I35" s="89"/>
      <c r="J35" s="9"/>
      <c r="K35" s="9"/>
      <c r="L35" s="9"/>
      <c r="M35" s="9"/>
    </row>
    <row r="36" spans="1:13" x14ac:dyDescent="0.25">
      <c r="A36" s="2">
        <f t="shared" si="1"/>
        <v>35</v>
      </c>
      <c r="B36" s="18"/>
      <c r="C36" s="18"/>
      <c r="D36" s="18"/>
      <c r="E36" s="18"/>
      <c r="F36" s="18"/>
      <c r="G36" s="89"/>
      <c r="H36" s="89"/>
      <c r="I36" s="89"/>
      <c r="J36" s="9"/>
      <c r="K36" s="9"/>
      <c r="L36" s="9"/>
      <c r="M36" s="9"/>
    </row>
    <row r="37" spans="1:13" x14ac:dyDescent="0.25">
      <c r="A37" s="2">
        <f t="shared" ref="A37:A46" si="2">ROW()-1</f>
        <v>36</v>
      </c>
      <c r="B37" s="18"/>
      <c r="C37" s="18"/>
      <c r="D37" s="18"/>
      <c r="E37" s="18"/>
      <c r="F37" s="18"/>
      <c r="G37" s="89"/>
      <c r="H37" s="89"/>
      <c r="I37" s="89"/>
      <c r="J37" s="9"/>
      <c r="K37" s="9"/>
      <c r="L37" s="9"/>
      <c r="M37" s="9"/>
    </row>
    <row r="38" spans="1:13" x14ac:dyDescent="0.25">
      <c r="A38" s="2">
        <f t="shared" si="2"/>
        <v>37</v>
      </c>
      <c r="B38" s="18"/>
      <c r="C38" s="18"/>
      <c r="D38" s="18"/>
      <c r="E38" s="18"/>
      <c r="F38" s="18"/>
      <c r="G38" s="89"/>
      <c r="H38" s="89"/>
      <c r="I38" s="89"/>
      <c r="J38" s="9"/>
      <c r="K38" s="9"/>
      <c r="L38" s="9"/>
      <c r="M38" s="9"/>
    </row>
    <row r="39" spans="1:13" x14ac:dyDescent="0.25">
      <c r="A39" s="2">
        <f t="shared" ref="A39:A44" si="3">ROW()-1</f>
        <v>38</v>
      </c>
      <c r="B39" s="18"/>
      <c r="C39" s="18"/>
      <c r="D39" s="18"/>
      <c r="E39" s="18"/>
      <c r="F39" s="18"/>
      <c r="G39" s="89"/>
      <c r="H39" s="89"/>
      <c r="I39" s="89"/>
      <c r="J39" s="9"/>
      <c r="K39" s="9"/>
      <c r="L39" s="9"/>
      <c r="M39" s="9"/>
    </row>
    <row r="40" spans="1:13" x14ac:dyDescent="0.25">
      <c r="A40" s="2">
        <f t="shared" si="3"/>
        <v>39</v>
      </c>
      <c r="B40" s="18"/>
      <c r="C40" s="18"/>
      <c r="D40" s="18"/>
      <c r="E40" s="18"/>
      <c r="F40" s="18"/>
      <c r="G40" s="89"/>
      <c r="H40" s="89"/>
      <c r="I40" s="89"/>
      <c r="J40" s="9"/>
      <c r="K40" s="9"/>
      <c r="L40" s="9"/>
      <c r="M40" s="9"/>
    </row>
    <row r="41" spans="1:13" x14ac:dyDescent="0.25">
      <c r="A41" s="2">
        <f t="shared" si="3"/>
        <v>40</v>
      </c>
      <c r="B41" s="18"/>
      <c r="C41" s="18"/>
      <c r="D41" s="18"/>
      <c r="E41" s="18"/>
      <c r="F41" s="18"/>
      <c r="G41" s="89"/>
      <c r="H41" s="89"/>
      <c r="I41" s="89"/>
      <c r="J41" s="9"/>
      <c r="K41" s="9"/>
      <c r="L41" s="9"/>
      <c r="M41" s="9"/>
    </row>
    <row r="42" spans="1:13" x14ac:dyDescent="0.25">
      <c r="A42" s="2">
        <f t="shared" si="3"/>
        <v>41</v>
      </c>
      <c r="B42" s="18"/>
      <c r="C42" s="18"/>
      <c r="D42" s="18"/>
      <c r="E42" s="18"/>
      <c r="F42" s="18"/>
      <c r="G42" s="89"/>
      <c r="H42" s="89"/>
      <c r="I42" s="89"/>
      <c r="J42" s="9"/>
      <c r="K42" s="9"/>
      <c r="L42" s="9"/>
      <c r="M42" s="9"/>
    </row>
    <row r="43" spans="1:13" x14ac:dyDescent="0.25">
      <c r="A43" s="2">
        <f t="shared" si="3"/>
        <v>42</v>
      </c>
      <c r="B43" s="18"/>
      <c r="C43" s="18"/>
      <c r="D43" s="18"/>
      <c r="E43" s="18"/>
      <c r="F43" s="18"/>
      <c r="G43" s="89"/>
      <c r="H43" s="89"/>
      <c r="I43" s="89"/>
      <c r="J43" s="9"/>
      <c r="K43" s="9"/>
      <c r="L43" s="9"/>
      <c r="M43" s="9"/>
    </row>
    <row r="44" spans="1:13" x14ac:dyDescent="0.25">
      <c r="A44" s="2">
        <f t="shared" si="3"/>
        <v>43</v>
      </c>
      <c r="B44" s="18"/>
      <c r="C44" s="18"/>
      <c r="D44" s="18"/>
      <c r="E44" s="18"/>
      <c r="F44" s="18"/>
      <c r="G44" s="89"/>
      <c r="H44" s="89"/>
      <c r="I44" s="89"/>
      <c r="J44" s="9"/>
      <c r="K44" s="9"/>
      <c r="L44" s="9"/>
      <c r="M44" s="9"/>
    </row>
    <row r="45" spans="1:13" x14ac:dyDescent="0.25">
      <c r="A45" s="2">
        <f t="shared" si="2"/>
        <v>44</v>
      </c>
      <c r="B45" s="18"/>
      <c r="C45" s="18"/>
      <c r="D45" s="18"/>
      <c r="E45" s="18"/>
      <c r="F45" s="18"/>
      <c r="G45" s="89"/>
      <c r="H45" s="89"/>
      <c r="I45" s="89"/>
      <c r="J45" s="9"/>
      <c r="K45" s="9"/>
      <c r="L45" s="9"/>
      <c r="M45" s="9"/>
    </row>
    <row r="46" spans="1:13" x14ac:dyDescent="0.25">
      <c r="A46" s="2">
        <f t="shared" si="2"/>
        <v>45</v>
      </c>
      <c r="B46" s="18"/>
      <c r="C46" s="18"/>
      <c r="D46" s="18"/>
      <c r="E46" s="18"/>
      <c r="F46" s="18"/>
      <c r="G46" s="89"/>
      <c r="H46" s="89"/>
      <c r="I46" s="89"/>
      <c r="J46" s="9"/>
      <c r="K46" s="9"/>
      <c r="L46" s="9"/>
      <c r="M46" s="9"/>
    </row>
    <row r="47" spans="1:13" x14ac:dyDescent="0.25">
      <c r="A47" s="2">
        <f t="shared" si="1"/>
        <v>46</v>
      </c>
      <c r="B47" s="18"/>
      <c r="C47" s="18"/>
      <c r="D47" s="18"/>
      <c r="E47" s="18"/>
      <c r="F47" s="18"/>
      <c r="G47" s="89"/>
      <c r="H47" s="89"/>
      <c r="I47" s="89"/>
      <c r="J47" s="9"/>
      <c r="K47" s="9"/>
      <c r="L47" s="9"/>
      <c r="M47" s="9"/>
    </row>
    <row r="48" spans="1:13" x14ac:dyDescent="0.25">
      <c r="A48" s="2">
        <f>ROW()-1</f>
        <v>47</v>
      </c>
      <c r="B48" s="18"/>
      <c r="C48" s="18"/>
      <c r="D48" s="18"/>
      <c r="E48" s="18"/>
      <c r="F48" s="18"/>
      <c r="G48" s="89"/>
      <c r="H48" s="89"/>
      <c r="I48" s="89"/>
      <c r="J48" s="9"/>
      <c r="K48" s="9"/>
      <c r="L48" s="9"/>
      <c r="M48" s="9"/>
    </row>
    <row r="49" spans="1:13" x14ac:dyDescent="0.25">
      <c r="A49" s="2">
        <f>ROW()-1</f>
        <v>48</v>
      </c>
      <c r="B49" s="18"/>
      <c r="C49" s="18"/>
      <c r="D49" s="18"/>
      <c r="E49" s="18"/>
      <c r="F49" s="18"/>
      <c r="G49" s="89"/>
      <c r="H49" s="89"/>
      <c r="I49" s="89"/>
      <c r="J49" s="9"/>
      <c r="K49" s="9"/>
      <c r="L49" s="9"/>
      <c r="M49" s="9"/>
    </row>
    <row r="50" spans="1:13" x14ac:dyDescent="0.25">
      <c r="A50" s="17">
        <f>ROW()-1</f>
        <v>49</v>
      </c>
      <c r="B50" s="80"/>
      <c r="C50" s="80"/>
      <c r="D50" s="80"/>
      <c r="E50" s="80"/>
      <c r="F50" s="80"/>
      <c r="G50" s="90"/>
      <c r="H50" s="90"/>
      <c r="I50" s="90"/>
      <c r="J50" s="28"/>
      <c r="K50" s="28"/>
      <c r="L50" s="28"/>
      <c r="M50" s="28"/>
    </row>
  </sheetData>
  <sheetProtection sheet="1" objects="1" scenarios="1" insertColumns="0" insertRows="0" deleteColumns="0" deleteRows="0" selectLockedCells="1"/>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'0_Configuration'!$C$47:$C$50</xm:f>
          </x14:formula1>
          <xm:sqref>B2:B50</xm:sqref>
        </x14:dataValidation>
        <x14:dataValidation type="list" allowBlank="1" showInputMessage="1" showErrorMessage="1" xr:uid="{39A57ECD-3940-405F-A348-A630F2BDA173}">
          <x14:formula1>
            <xm:f>'7_2_Codelists'!$B$136:$B$151</xm:f>
          </x14:formula1>
          <xm:sqref>C2:C50</xm:sqref>
        </x14:dataValidation>
        <x14:dataValidation type="list" allowBlank="1" showInputMessage="1" showErrorMessage="1" promptTitle="Definition of Operation" prompt="Enter appropriate value for Operation" xr:uid="{835F8F07-04A4-41E6-95B7-30F3106D60D1}">
          <x14:formula1>
            <xm:f>'7_2_Codelists'!$B$123:$B$125</xm:f>
          </x14:formula1>
          <xm:sqref>F2:F50</xm:sqref>
        </x14:dataValidation>
        <x14:dataValidation type="list" allowBlank="1" showInputMessage="1" showErrorMessage="1" xr:uid="{9868CE1C-A63A-4ED6-8C9F-259B60864602}">
          <x14:formula1>
            <xm:f>'6_1_Reference_Manager'!$C$2:$C$49</xm:f>
          </x14:formula1>
          <xm:sqref>K2:M50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topLeftCell="G1" workbookViewId="0">
      <selection activeCell="H6" sqref="H6"/>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1" t="s">
        <v>13</v>
      </c>
      <c r="B1" s="21" t="s">
        <v>4</v>
      </c>
      <c r="C1" s="21" t="s">
        <v>430</v>
      </c>
      <c r="D1" s="21" t="s">
        <v>431</v>
      </c>
      <c r="E1" s="21" t="s">
        <v>432</v>
      </c>
      <c r="F1" s="21" t="s">
        <v>0</v>
      </c>
      <c r="G1" s="21" t="s">
        <v>433</v>
      </c>
      <c r="H1" s="21" t="s">
        <v>434</v>
      </c>
      <c r="I1" s="21" t="s">
        <v>465</v>
      </c>
    </row>
    <row r="2" spans="1:9" x14ac:dyDescent="0.25">
      <c r="A2" s="22" t="b">
        <v>0</v>
      </c>
      <c r="B2" s="2">
        <f>ROW()-1</f>
        <v>1</v>
      </c>
      <c r="C2" s="2" t="str">
        <f>IF(Tab_Reference_Manager[[#This Row],[Complete?]],"["&amp;Tab_Reference_Manager[[#This Row],[ID]]&amp;"]","not_complete")</f>
        <v>not_complete</v>
      </c>
      <c r="D2" s="18"/>
      <c r="E2" s="3"/>
      <c r="F2" s="3"/>
      <c r="G2" s="3"/>
      <c r="H2" s="3"/>
      <c r="I2" s="9"/>
    </row>
    <row r="3" spans="1:9" x14ac:dyDescent="0.25">
      <c r="A3" s="22" t="b">
        <v>0</v>
      </c>
      <c r="B3" s="2">
        <f t="shared" ref="B3:B49" si="0">ROW()-1</f>
        <v>2</v>
      </c>
      <c r="C3" s="2" t="str">
        <f>IF(Tab_Reference_Manager[[#This Row],[Complete?]],"["&amp;Tab_Reference_Manager[[#This Row],[ID]]&amp;"]","not_complete")</f>
        <v>not_complete</v>
      </c>
      <c r="D3" s="18"/>
      <c r="E3" s="3"/>
      <c r="F3" s="3"/>
      <c r="G3" s="3"/>
      <c r="H3" s="3"/>
      <c r="I3" s="9"/>
    </row>
    <row r="4" spans="1:9" x14ac:dyDescent="0.25">
      <c r="A4" s="22" t="b">
        <v>0</v>
      </c>
      <c r="B4" s="2">
        <f t="shared" si="0"/>
        <v>3</v>
      </c>
      <c r="C4" s="2" t="str">
        <f>IF(Tab_Reference_Manager[[#This Row],[Complete?]],"["&amp;Tab_Reference_Manager[[#This Row],[ID]]&amp;"]","not_complete")</f>
        <v>not_complete</v>
      </c>
      <c r="D4" s="18"/>
      <c r="E4" s="3"/>
      <c r="F4" s="3"/>
      <c r="G4" s="3"/>
      <c r="H4" s="3"/>
      <c r="I4" s="9"/>
    </row>
    <row r="5" spans="1:9" x14ac:dyDescent="0.25">
      <c r="A5" s="22" t="b">
        <v>0</v>
      </c>
      <c r="B5" s="2">
        <f t="shared" si="0"/>
        <v>4</v>
      </c>
      <c r="C5" s="2" t="str">
        <f>IF(Tab_Reference_Manager[[#This Row],[Complete?]],"["&amp;Tab_Reference_Manager[[#This Row],[ID]]&amp;"]","not_complete")</f>
        <v>not_complete</v>
      </c>
      <c r="D5" s="18"/>
      <c r="E5" s="3"/>
      <c r="F5" s="3"/>
      <c r="G5" s="3"/>
      <c r="H5" s="3"/>
      <c r="I5" s="9"/>
    </row>
    <row r="6" spans="1:9" x14ac:dyDescent="0.25">
      <c r="A6" s="22" t="b">
        <v>0</v>
      </c>
      <c r="B6" s="2">
        <f t="shared" si="0"/>
        <v>5</v>
      </c>
      <c r="C6" s="2" t="str">
        <f>IF(Tab_Reference_Manager[[#This Row],[Complete?]],"["&amp;Tab_Reference_Manager[[#This Row],[ID]]&amp;"]","not_complete")</f>
        <v>not_complete</v>
      </c>
      <c r="D6" s="18"/>
      <c r="E6" s="3"/>
      <c r="F6" s="3"/>
      <c r="G6" s="3"/>
      <c r="H6" s="3"/>
      <c r="I6" s="9"/>
    </row>
    <row r="7" spans="1:9" x14ac:dyDescent="0.25">
      <c r="A7" s="22" t="b">
        <v>0</v>
      </c>
      <c r="B7" s="2">
        <f t="shared" si="0"/>
        <v>6</v>
      </c>
      <c r="C7" s="2" t="str">
        <f>IF(Tab_Reference_Manager[[#This Row],[Complete?]],"["&amp;Tab_Reference_Manager[[#This Row],[ID]]&amp;"]","not_complete")</f>
        <v>not_complete</v>
      </c>
      <c r="D7" s="18"/>
      <c r="E7" s="3"/>
      <c r="F7" s="3"/>
      <c r="G7" s="3"/>
      <c r="H7" s="3"/>
      <c r="I7" s="9"/>
    </row>
    <row r="8" spans="1:9" x14ac:dyDescent="0.25">
      <c r="A8" s="22" t="b">
        <v>0</v>
      </c>
      <c r="B8" s="2">
        <f t="shared" si="0"/>
        <v>7</v>
      </c>
      <c r="C8" s="2" t="str">
        <f>IF(Tab_Reference_Manager[[#This Row],[Complete?]],"["&amp;Tab_Reference_Manager[[#This Row],[ID]]&amp;"]","not_complete")</f>
        <v>not_complete</v>
      </c>
      <c r="D8" s="18"/>
      <c r="E8" s="3"/>
      <c r="F8" s="3"/>
      <c r="G8" s="3"/>
      <c r="H8" s="3"/>
      <c r="I8" s="9"/>
    </row>
    <row r="9" spans="1:9" x14ac:dyDescent="0.25">
      <c r="A9" s="22" t="b">
        <v>0</v>
      </c>
      <c r="B9" s="2">
        <f t="shared" si="0"/>
        <v>8</v>
      </c>
      <c r="C9" s="2" t="str">
        <f>IF(Tab_Reference_Manager[[#This Row],[Complete?]],"["&amp;Tab_Reference_Manager[[#This Row],[ID]]&amp;"]","not_complete")</f>
        <v>not_complete</v>
      </c>
      <c r="D9" s="18"/>
      <c r="E9" s="3"/>
      <c r="F9" s="3"/>
      <c r="G9" s="3"/>
      <c r="H9" s="3"/>
      <c r="I9" s="9"/>
    </row>
    <row r="10" spans="1:9" x14ac:dyDescent="0.25">
      <c r="A10" s="22" t="b">
        <v>0</v>
      </c>
      <c r="B10" s="2">
        <f t="shared" si="0"/>
        <v>9</v>
      </c>
      <c r="C10" s="2" t="str">
        <f>IF(Tab_Reference_Manager[[#This Row],[Complete?]],"["&amp;Tab_Reference_Manager[[#This Row],[ID]]&amp;"]","not_complete")</f>
        <v>not_complete</v>
      </c>
      <c r="D10" s="18"/>
      <c r="E10" s="3"/>
      <c r="F10" s="3"/>
      <c r="G10" s="3"/>
      <c r="H10" s="3"/>
      <c r="I10" s="9"/>
    </row>
    <row r="11" spans="1:9" x14ac:dyDescent="0.25">
      <c r="A11" s="22" t="b">
        <v>0</v>
      </c>
      <c r="B11" s="2">
        <f t="shared" si="0"/>
        <v>10</v>
      </c>
      <c r="C11" s="2" t="str">
        <f>IF(Tab_Reference_Manager[[#This Row],[Complete?]],"["&amp;Tab_Reference_Manager[[#This Row],[ID]]&amp;"]","not_complete")</f>
        <v>not_complete</v>
      </c>
      <c r="D11" s="18"/>
      <c r="E11" s="3"/>
      <c r="F11" s="3"/>
      <c r="G11" s="3"/>
      <c r="H11" s="3"/>
      <c r="I11" s="9"/>
    </row>
    <row r="12" spans="1:9" x14ac:dyDescent="0.25">
      <c r="A12" s="22" t="b">
        <v>0</v>
      </c>
      <c r="B12" s="2">
        <f t="shared" si="0"/>
        <v>11</v>
      </c>
      <c r="C12" s="2" t="str">
        <f>IF(Tab_Reference_Manager[[#This Row],[Complete?]],"["&amp;Tab_Reference_Manager[[#This Row],[ID]]&amp;"]","not_complete")</f>
        <v>not_complete</v>
      </c>
      <c r="D12" s="18"/>
      <c r="E12" s="3"/>
      <c r="F12" s="3"/>
      <c r="G12" s="3"/>
      <c r="H12" s="3"/>
      <c r="I12" s="9"/>
    </row>
    <row r="13" spans="1:9" x14ac:dyDescent="0.25">
      <c r="A13" s="22" t="b">
        <v>0</v>
      </c>
      <c r="B13" s="2">
        <f t="shared" si="0"/>
        <v>12</v>
      </c>
      <c r="C13" s="2" t="str">
        <f>IF(Tab_Reference_Manager[[#This Row],[Complete?]],"["&amp;Tab_Reference_Manager[[#This Row],[ID]]&amp;"]","not_complete")</f>
        <v>not_complete</v>
      </c>
      <c r="D13" s="18"/>
      <c r="E13" s="3"/>
      <c r="F13" s="3"/>
      <c r="G13" s="3"/>
      <c r="H13" s="3"/>
      <c r="I13" s="9"/>
    </row>
    <row r="14" spans="1:9" x14ac:dyDescent="0.25">
      <c r="A14" s="22" t="b">
        <v>0</v>
      </c>
      <c r="B14" s="2">
        <f t="shared" si="0"/>
        <v>13</v>
      </c>
      <c r="C14" s="2" t="str">
        <f>IF(Tab_Reference_Manager[[#This Row],[Complete?]],"["&amp;Tab_Reference_Manager[[#This Row],[ID]]&amp;"]","not_complete")</f>
        <v>not_complete</v>
      </c>
      <c r="D14" s="18"/>
      <c r="E14" s="3"/>
      <c r="F14" s="3"/>
      <c r="G14" s="3"/>
      <c r="H14" s="3"/>
      <c r="I14" s="9"/>
    </row>
    <row r="15" spans="1:9" x14ac:dyDescent="0.25">
      <c r="A15" s="22" t="b">
        <v>0</v>
      </c>
      <c r="B15" s="2">
        <f t="shared" si="0"/>
        <v>14</v>
      </c>
      <c r="C15" s="2" t="str">
        <f>IF(Tab_Reference_Manager[[#This Row],[Complete?]],"["&amp;Tab_Reference_Manager[[#This Row],[ID]]&amp;"]","not_complete")</f>
        <v>not_complete</v>
      </c>
      <c r="D15" s="18"/>
      <c r="E15" s="3"/>
      <c r="F15" s="3"/>
      <c r="G15" s="3"/>
      <c r="H15" s="3"/>
      <c r="I15" s="9"/>
    </row>
    <row r="16" spans="1:9" x14ac:dyDescent="0.25">
      <c r="A16" s="22" t="b">
        <v>0</v>
      </c>
      <c r="B16" s="2">
        <f t="shared" si="0"/>
        <v>15</v>
      </c>
      <c r="C16" s="2" t="str">
        <f>IF(Tab_Reference_Manager[[#This Row],[Complete?]],"["&amp;Tab_Reference_Manager[[#This Row],[ID]]&amp;"]","not_complete")</f>
        <v>not_complete</v>
      </c>
      <c r="D16" s="18"/>
      <c r="E16" s="3"/>
      <c r="F16" s="3"/>
      <c r="G16" s="3"/>
      <c r="H16" s="3"/>
      <c r="I16" s="9"/>
    </row>
    <row r="17" spans="1:9" x14ac:dyDescent="0.25">
      <c r="A17" s="22" t="b">
        <v>0</v>
      </c>
      <c r="B17" s="2">
        <f t="shared" si="0"/>
        <v>16</v>
      </c>
      <c r="C17" s="2" t="str">
        <f>IF(Tab_Reference_Manager[[#This Row],[Complete?]],"["&amp;Tab_Reference_Manager[[#This Row],[ID]]&amp;"]","not_complete")</f>
        <v>not_complete</v>
      </c>
      <c r="D17" s="18"/>
      <c r="E17" s="3"/>
      <c r="F17" s="3"/>
      <c r="G17" s="3"/>
      <c r="H17" s="3"/>
      <c r="I17" s="9"/>
    </row>
    <row r="18" spans="1:9" x14ac:dyDescent="0.25">
      <c r="A18" s="22" t="b">
        <v>0</v>
      </c>
      <c r="B18" s="2">
        <f t="shared" si="0"/>
        <v>17</v>
      </c>
      <c r="C18" s="2" t="str">
        <f>IF(Tab_Reference_Manager[[#This Row],[Complete?]],"["&amp;Tab_Reference_Manager[[#This Row],[ID]]&amp;"]","not_complete")</f>
        <v>not_complete</v>
      </c>
      <c r="D18" s="18"/>
      <c r="E18" s="3"/>
      <c r="F18" s="3"/>
      <c r="G18" s="3"/>
      <c r="H18" s="3"/>
      <c r="I18" s="9"/>
    </row>
    <row r="19" spans="1:9" x14ac:dyDescent="0.25">
      <c r="A19" s="22" t="b">
        <v>0</v>
      </c>
      <c r="B19" s="2">
        <f t="shared" si="0"/>
        <v>18</v>
      </c>
      <c r="C19" s="2" t="str">
        <f>IF(Tab_Reference_Manager[[#This Row],[Complete?]],"["&amp;Tab_Reference_Manager[[#This Row],[ID]]&amp;"]","not_complete")</f>
        <v>not_complete</v>
      </c>
      <c r="D19" s="18"/>
      <c r="E19" s="3"/>
      <c r="F19" s="3"/>
      <c r="G19" s="3"/>
      <c r="H19" s="3"/>
      <c r="I19" s="9"/>
    </row>
    <row r="20" spans="1:9" x14ac:dyDescent="0.25">
      <c r="A20" s="22" t="b">
        <v>0</v>
      </c>
      <c r="B20" s="2">
        <f t="shared" si="0"/>
        <v>19</v>
      </c>
      <c r="C20" s="2" t="str">
        <f>IF(Tab_Reference_Manager[[#This Row],[Complete?]],"["&amp;Tab_Reference_Manager[[#This Row],[ID]]&amp;"]","not_complete")</f>
        <v>not_complete</v>
      </c>
      <c r="D20" s="18"/>
      <c r="E20" s="3"/>
      <c r="F20" s="3"/>
      <c r="G20" s="3"/>
      <c r="H20" s="3"/>
      <c r="I20" s="9"/>
    </row>
    <row r="21" spans="1:9" x14ac:dyDescent="0.25">
      <c r="A21" s="22" t="b">
        <v>0</v>
      </c>
      <c r="B21" s="2">
        <f t="shared" si="0"/>
        <v>20</v>
      </c>
      <c r="C21" s="2" t="str">
        <f>IF(Tab_Reference_Manager[[#This Row],[Complete?]],"["&amp;Tab_Reference_Manager[[#This Row],[ID]]&amp;"]","not_complete")</f>
        <v>not_complete</v>
      </c>
      <c r="D21" s="18"/>
      <c r="E21" s="3"/>
      <c r="F21" s="3"/>
      <c r="G21" s="3"/>
      <c r="H21" s="3"/>
      <c r="I21" s="9"/>
    </row>
    <row r="22" spans="1:9" x14ac:dyDescent="0.25">
      <c r="A22" s="22" t="b">
        <v>0</v>
      </c>
      <c r="B22" s="2">
        <f t="shared" si="0"/>
        <v>21</v>
      </c>
      <c r="C22" s="2" t="str">
        <f>IF(Tab_Reference_Manager[[#This Row],[Complete?]],"["&amp;Tab_Reference_Manager[[#This Row],[ID]]&amp;"]","not_complete")</f>
        <v>not_complete</v>
      </c>
      <c r="D22" s="18"/>
      <c r="E22" s="3"/>
      <c r="F22" s="3"/>
      <c r="G22" s="3"/>
      <c r="H22" s="3"/>
      <c r="I22" s="9"/>
    </row>
    <row r="23" spans="1:9" x14ac:dyDescent="0.25">
      <c r="A23" s="22" t="b">
        <v>0</v>
      </c>
      <c r="B23" s="2">
        <f t="shared" si="0"/>
        <v>22</v>
      </c>
      <c r="C23" s="2" t="str">
        <f>IF(Tab_Reference_Manager[[#This Row],[Complete?]],"["&amp;Tab_Reference_Manager[[#This Row],[ID]]&amp;"]","not_complete")</f>
        <v>not_complete</v>
      </c>
      <c r="D23" s="18"/>
      <c r="E23" s="3"/>
      <c r="F23" s="3"/>
      <c r="G23" s="3"/>
      <c r="H23" s="3"/>
      <c r="I23" s="9"/>
    </row>
    <row r="24" spans="1:9" x14ac:dyDescent="0.25">
      <c r="A24" s="22" t="b">
        <v>0</v>
      </c>
      <c r="B24" s="2">
        <f t="shared" si="0"/>
        <v>23</v>
      </c>
      <c r="C24" s="2" t="str">
        <f>IF(Tab_Reference_Manager[[#This Row],[Complete?]],"["&amp;Tab_Reference_Manager[[#This Row],[ID]]&amp;"]","not_complete")</f>
        <v>not_complete</v>
      </c>
      <c r="D24" s="18"/>
      <c r="E24" s="3"/>
      <c r="F24" s="3"/>
      <c r="G24" s="3"/>
      <c r="H24" s="3"/>
      <c r="I24" s="9"/>
    </row>
    <row r="25" spans="1:9" x14ac:dyDescent="0.25">
      <c r="A25" s="22" t="b">
        <v>0</v>
      </c>
      <c r="B25" s="2">
        <f t="shared" si="0"/>
        <v>24</v>
      </c>
      <c r="C25" s="2" t="str">
        <f>IF(Tab_Reference_Manager[[#This Row],[Complete?]],"["&amp;Tab_Reference_Manager[[#This Row],[ID]]&amp;"]","not_complete")</f>
        <v>not_complete</v>
      </c>
      <c r="D25" s="18"/>
      <c r="E25" s="3"/>
      <c r="F25" s="3"/>
      <c r="G25" s="3"/>
      <c r="H25" s="3"/>
      <c r="I25" s="9"/>
    </row>
    <row r="26" spans="1:9" x14ac:dyDescent="0.25">
      <c r="A26" s="22" t="b">
        <v>0</v>
      </c>
      <c r="B26" s="2">
        <f t="shared" si="0"/>
        <v>25</v>
      </c>
      <c r="C26" s="2" t="str">
        <f>IF(Tab_Reference_Manager[[#This Row],[Complete?]],"["&amp;Tab_Reference_Manager[[#This Row],[ID]]&amp;"]","not_complete")</f>
        <v>not_complete</v>
      </c>
      <c r="D26" s="18"/>
      <c r="E26" s="3"/>
      <c r="F26" s="3"/>
      <c r="G26" s="3"/>
      <c r="H26" s="3"/>
      <c r="I26" s="9"/>
    </row>
    <row r="27" spans="1:9" x14ac:dyDescent="0.25">
      <c r="A27" s="22" t="b">
        <v>0</v>
      </c>
      <c r="B27" s="2">
        <f t="shared" si="0"/>
        <v>26</v>
      </c>
      <c r="C27" s="2" t="str">
        <f>IF(Tab_Reference_Manager[[#This Row],[Complete?]],"["&amp;Tab_Reference_Manager[[#This Row],[ID]]&amp;"]","not_complete")</f>
        <v>not_complete</v>
      </c>
      <c r="D27" s="18"/>
      <c r="E27" s="3"/>
      <c r="F27" s="3"/>
      <c r="G27" s="3"/>
      <c r="H27" s="3"/>
      <c r="I27" s="9"/>
    </row>
    <row r="28" spans="1:9" x14ac:dyDescent="0.25">
      <c r="A28" s="22" t="b">
        <v>0</v>
      </c>
      <c r="B28" s="2">
        <f t="shared" si="0"/>
        <v>27</v>
      </c>
      <c r="C28" s="2" t="str">
        <f>IF(Tab_Reference_Manager[[#This Row],[Complete?]],"["&amp;Tab_Reference_Manager[[#This Row],[ID]]&amp;"]","not_complete")</f>
        <v>not_complete</v>
      </c>
      <c r="D28" s="18"/>
      <c r="E28" s="3"/>
      <c r="F28" s="3"/>
      <c r="G28" s="3"/>
      <c r="H28" s="3"/>
      <c r="I28" s="9"/>
    </row>
    <row r="29" spans="1:9" x14ac:dyDescent="0.25">
      <c r="A29" s="22" t="b">
        <v>0</v>
      </c>
      <c r="B29" s="2">
        <f t="shared" si="0"/>
        <v>28</v>
      </c>
      <c r="C29" s="2" t="str">
        <f>IF(Tab_Reference_Manager[[#This Row],[Complete?]],"["&amp;Tab_Reference_Manager[[#This Row],[ID]]&amp;"]","not_complete")</f>
        <v>not_complete</v>
      </c>
      <c r="D29" s="18"/>
      <c r="E29" s="3"/>
      <c r="F29" s="3"/>
      <c r="G29" s="3"/>
      <c r="H29" s="3"/>
      <c r="I29" s="9"/>
    </row>
    <row r="30" spans="1:9" x14ac:dyDescent="0.25">
      <c r="A30" s="22" t="b">
        <v>0</v>
      </c>
      <c r="B30" s="2">
        <f t="shared" si="0"/>
        <v>29</v>
      </c>
      <c r="C30" s="2" t="str">
        <f>IF(Tab_Reference_Manager[[#This Row],[Complete?]],"["&amp;Tab_Reference_Manager[[#This Row],[ID]]&amp;"]","not_complete")</f>
        <v>not_complete</v>
      </c>
      <c r="D30" s="18"/>
      <c r="E30" s="3"/>
      <c r="F30" s="3"/>
      <c r="G30" s="3"/>
      <c r="H30" s="3"/>
      <c r="I30" s="9"/>
    </row>
    <row r="31" spans="1:9" x14ac:dyDescent="0.25">
      <c r="A31" s="22" t="b">
        <v>0</v>
      </c>
      <c r="B31" s="2">
        <f t="shared" si="0"/>
        <v>30</v>
      </c>
      <c r="C31" s="2" t="str">
        <f>IF(Tab_Reference_Manager[[#This Row],[Complete?]],"["&amp;Tab_Reference_Manager[[#This Row],[ID]]&amp;"]","not_complete")</f>
        <v>not_complete</v>
      </c>
      <c r="D31" s="18"/>
      <c r="E31" s="3"/>
      <c r="F31" s="3"/>
      <c r="G31" s="3"/>
      <c r="H31" s="3"/>
      <c r="I31" s="9"/>
    </row>
    <row r="32" spans="1:9" x14ac:dyDescent="0.25">
      <c r="A32" s="22" t="b">
        <v>0</v>
      </c>
      <c r="B32" s="2">
        <f t="shared" si="0"/>
        <v>31</v>
      </c>
      <c r="C32" s="2" t="str">
        <f>IF(Tab_Reference_Manager[[#This Row],[Complete?]],"["&amp;Tab_Reference_Manager[[#This Row],[ID]]&amp;"]","not_complete")</f>
        <v>not_complete</v>
      </c>
      <c r="D32" s="18"/>
      <c r="E32" s="3"/>
      <c r="F32" s="3"/>
      <c r="G32" s="3"/>
      <c r="H32" s="3"/>
      <c r="I32" s="9"/>
    </row>
    <row r="33" spans="1:9" x14ac:dyDescent="0.25">
      <c r="A33" s="22" t="b">
        <v>0</v>
      </c>
      <c r="B33" s="2">
        <f t="shared" si="0"/>
        <v>32</v>
      </c>
      <c r="C33" s="2" t="str">
        <f>IF(Tab_Reference_Manager[[#This Row],[Complete?]],"["&amp;Tab_Reference_Manager[[#This Row],[ID]]&amp;"]","not_complete")</f>
        <v>not_complete</v>
      </c>
      <c r="D33" s="18"/>
      <c r="E33" s="3"/>
      <c r="F33" s="3"/>
      <c r="G33" s="3"/>
      <c r="H33" s="3"/>
      <c r="I33" s="9"/>
    </row>
    <row r="34" spans="1:9" x14ac:dyDescent="0.25">
      <c r="A34" s="22" t="b">
        <v>0</v>
      </c>
      <c r="B34" s="2">
        <f t="shared" si="0"/>
        <v>33</v>
      </c>
      <c r="C34" s="2" t="str">
        <f>IF(Tab_Reference_Manager[[#This Row],[Complete?]],"["&amp;Tab_Reference_Manager[[#This Row],[ID]]&amp;"]","not_complete")</f>
        <v>not_complete</v>
      </c>
      <c r="D34" s="18"/>
      <c r="E34" s="3"/>
      <c r="F34" s="3"/>
      <c r="G34" s="3"/>
      <c r="H34" s="3"/>
      <c r="I34" s="9"/>
    </row>
    <row r="35" spans="1:9" x14ac:dyDescent="0.25">
      <c r="A35" s="22" t="b">
        <v>0</v>
      </c>
      <c r="B35" s="2">
        <f t="shared" si="0"/>
        <v>34</v>
      </c>
      <c r="C35" s="2" t="str">
        <f>IF(Tab_Reference_Manager[[#This Row],[Complete?]],"["&amp;Tab_Reference_Manager[[#This Row],[ID]]&amp;"]","not_complete")</f>
        <v>not_complete</v>
      </c>
      <c r="D35" s="18"/>
      <c r="E35" s="3"/>
      <c r="F35" s="3"/>
      <c r="G35" s="3"/>
      <c r="H35" s="3"/>
      <c r="I35" s="9"/>
    </row>
    <row r="36" spans="1:9" x14ac:dyDescent="0.25">
      <c r="A36" s="22" t="b">
        <v>0</v>
      </c>
      <c r="B36" s="2">
        <f t="shared" si="0"/>
        <v>35</v>
      </c>
      <c r="C36" s="2" t="str">
        <f>IF(Tab_Reference_Manager[[#This Row],[Complete?]],"["&amp;Tab_Reference_Manager[[#This Row],[ID]]&amp;"]","not_complete")</f>
        <v>not_complete</v>
      </c>
      <c r="D36" s="18"/>
      <c r="E36" s="3"/>
      <c r="F36" s="3"/>
      <c r="G36" s="3"/>
      <c r="H36" s="3"/>
      <c r="I36" s="9"/>
    </row>
    <row r="37" spans="1:9" x14ac:dyDescent="0.25">
      <c r="A37" s="22" t="b">
        <v>0</v>
      </c>
      <c r="B37" s="2">
        <f t="shared" si="0"/>
        <v>36</v>
      </c>
      <c r="C37" s="2" t="str">
        <f>IF(Tab_Reference_Manager[[#This Row],[Complete?]],"["&amp;Tab_Reference_Manager[[#This Row],[ID]]&amp;"]","not_complete")</f>
        <v>not_complete</v>
      </c>
      <c r="D37" s="18"/>
      <c r="E37" s="3"/>
      <c r="F37" s="3"/>
      <c r="G37" s="3"/>
      <c r="H37" s="3"/>
      <c r="I37" s="9"/>
    </row>
    <row r="38" spans="1:9" x14ac:dyDescent="0.25">
      <c r="A38" s="22" t="b">
        <v>0</v>
      </c>
      <c r="B38" s="2">
        <f t="shared" si="0"/>
        <v>37</v>
      </c>
      <c r="C38" s="2" t="str">
        <f>IF(Tab_Reference_Manager[[#This Row],[Complete?]],"["&amp;Tab_Reference_Manager[[#This Row],[ID]]&amp;"]","not_complete")</f>
        <v>not_complete</v>
      </c>
      <c r="D38" s="18"/>
      <c r="E38" s="3"/>
      <c r="F38" s="3"/>
      <c r="G38" s="3"/>
      <c r="H38" s="3"/>
      <c r="I38" s="9"/>
    </row>
    <row r="39" spans="1:9" x14ac:dyDescent="0.25">
      <c r="A39" s="22" t="b">
        <v>0</v>
      </c>
      <c r="B39" s="2">
        <f t="shared" si="0"/>
        <v>38</v>
      </c>
      <c r="C39" s="2" t="str">
        <f>IF(Tab_Reference_Manager[[#This Row],[Complete?]],"["&amp;Tab_Reference_Manager[[#This Row],[ID]]&amp;"]","not_complete")</f>
        <v>not_complete</v>
      </c>
      <c r="D39" s="18"/>
      <c r="E39" s="3"/>
      <c r="F39" s="3"/>
      <c r="G39" s="3"/>
      <c r="H39" s="3"/>
      <c r="I39" s="9"/>
    </row>
    <row r="40" spans="1:9" x14ac:dyDescent="0.25">
      <c r="A40" s="22" t="b">
        <v>0</v>
      </c>
      <c r="B40" s="2">
        <f t="shared" si="0"/>
        <v>39</v>
      </c>
      <c r="C40" s="2" t="str">
        <f>IF(Tab_Reference_Manager[[#This Row],[Complete?]],"["&amp;Tab_Reference_Manager[[#This Row],[ID]]&amp;"]","not_complete")</f>
        <v>not_complete</v>
      </c>
      <c r="D40" s="18"/>
      <c r="E40" s="3"/>
      <c r="F40" s="3"/>
      <c r="G40" s="3"/>
      <c r="H40" s="3"/>
      <c r="I40" s="9"/>
    </row>
    <row r="41" spans="1:9" x14ac:dyDescent="0.25">
      <c r="A41" s="22" t="b">
        <v>0</v>
      </c>
      <c r="B41" s="2">
        <f t="shared" si="0"/>
        <v>40</v>
      </c>
      <c r="C41" s="2" t="str">
        <f>IF(Tab_Reference_Manager[[#This Row],[Complete?]],"["&amp;Tab_Reference_Manager[[#This Row],[ID]]&amp;"]","not_complete")</f>
        <v>not_complete</v>
      </c>
      <c r="D41" s="18"/>
      <c r="E41" s="3"/>
      <c r="F41" s="3"/>
      <c r="G41" s="3"/>
      <c r="H41" s="3"/>
      <c r="I41" s="9"/>
    </row>
    <row r="42" spans="1:9" x14ac:dyDescent="0.25">
      <c r="A42" s="22" t="b">
        <v>0</v>
      </c>
      <c r="B42" s="2">
        <f t="shared" si="0"/>
        <v>41</v>
      </c>
      <c r="C42" s="2" t="str">
        <f>IF(Tab_Reference_Manager[[#This Row],[Complete?]],"["&amp;Tab_Reference_Manager[[#This Row],[ID]]&amp;"]","not_complete")</f>
        <v>not_complete</v>
      </c>
      <c r="D42" s="18"/>
      <c r="E42" s="3"/>
      <c r="F42" s="3"/>
      <c r="G42" s="3"/>
      <c r="H42" s="3"/>
      <c r="I42" s="9"/>
    </row>
    <row r="43" spans="1:9" x14ac:dyDescent="0.25">
      <c r="A43" s="22" t="b">
        <v>0</v>
      </c>
      <c r="B43" s="2">
        <f t="shared" si="0"/>
        <v>42</v>
      </c>
      <c r="C43" s="2" t="str">
        <f>IF(Tab_Reference_Manager[[#This Row],[Complete?]],"["&amp;Tab_Reference_Manager[[#This Row],[ID]]&amp;"]","not_complete")</f>
        <v>not_complete</v>
      </c>
      <c r="D43" s="18"/>
      <c r="E43" s="3"/>
      <c r="F43" s="3"/>
      <c r="G43" s="3"/>
      <c r="H43" s="3"/>
      <c r="I43" s="9"/>
    </row>
    <row r="44" spans="1:9" x14ac:dyDescent="0.25">
      <c r="A44" s="22" t="b">
        <v>0</v>
      </c>
      <c r="B44" s="2">
        <f t="shared" si="0"/>
        <v>43</v>
      </c>
      <c r="C44" s="2" t="str">
        <f>IF(Tab_Reference_Manager[[#This Row],[Complete?]],"["&amp;Tab_Reference_Manager[[#This Row],[ID]]&amp;"]","not_complete")</f>
        <v>not_complete</v>
      </c>
      <c r="D44" s="18"/>
      <c r="E44" s="3"/>
      <c r="F44" s="3"/>
      <c r="G44" s="3"/>
      <c r="H44" s="3"/>
      <c r="I44" s="9"/>
    </row>
    <row r="45" spans="1:9" x14ac:dyDescent="0.25">
      <c r="A45" s="22" t="b">
        <v>0</v>
      </c>
      <c r="B45" s="2">
        <f t="shared" si="0"/>
        <v>44</v>
      </c>
      <c r="C45" s="2" t="str">
        <f>IF(Tab_Reference_Manager[[#This Row],[Complete?]],"["&amp;Tab_Reference_Manager[[#This Row],[ID]]&amp;"]","not_complete")</f>
        <v>not_complete</v>
      </c>
      <c r="D45" s="18"/>
      <c r="E45" s="3"/>
      <c r="F45" s="3"/>
      <c r="G45" s="3"/>
      <c r="H45" s="3"/>
      <c r="I45" s="9"/>
    </row>
    <row r="46" spans="1:9" x14ac:dyDescent="0.25">
      <c r="A46" s="22" t="b">
        <v>0</v>
      </c>
      <c r="B46" s="2">
        <f t="shared" si="0"/>
        <v>45</v>
      </c>
      <c r="C46" s="2" t="str">
        <f>IF(Tab_Reference_Manager[[#This Row],[Complete?]],"["&amp;Tab_Reference_Manager[[#This Row],[ID]]&amp;"]","not_complete")</f>
        <v>not_complete</v>
      </c>
      <c r="D46" s="18"/>
      <c r="E46" s="3"/>
      <c r="F46" s="3"/>
      <c r="G46" s="3"/>
      <c r="H46" s="3"/>
      <c r="I46" s="9"/>
    </row>
    <row r="47" spans="1:9" x14ac:dyDescent="0.25">
      <c r="A47" s="22" t="b">
        <v>0</v>
      </c>
      <c r="B47" s="2">
        <f t="shared" si="0"/>
        <v>46</v>
      </c>
      <c r="C47" s="2" t="str">
        <f>IF(Tab_Reference_Manager[[#This Row],[Complete?]],"["&amp;Tab_Reference_Manager[[#This Row],[ID]]&amp;"]","not_complete")</f>
        <v>not_complete</v>
      </c>
      <c r="D47" s="18"/>
      <c r="E47" s="3"/>
      <c r="F47" s="3"/>
      <c r="G47" s="3"/>
      <c r="H47" s="3"/>
      <c r="I47" s="9"/>
    </row>
    <row r="48" spans="1:9" x14ac:dyDescent="0.25">
      <c r="A48" s="22" t="b">
        <v>0</v>
      </c>
      <c r="B48" s="2">
        <f t="shared" si="0"/>
        <v>47</v>
      </c>
      <c r="C48" s="2" t="str">
        <f>IF(Tab_Reference_Manager[[#This Row],[Complete?]],"["&amp;Tab_Reference_Manager[[#This Row],[ID]]&amp;"]","not_complete")</f>
        <v>not_complete</v>
      </c>
      <c r="D48" s="18"/>
      <c r="E48" s="3"/>
      <c r="F48" s="3"/>
      <c r="G48" s="3"/>
      <c r="H48" s="3"/>
      <c r="I48" s="9"/>
    </row>
    <row r="49" spans="1:9" x14ac:dyDescent="0.25">
      <c r="A49" s="22" t="b">
        <v>0</v>
      </c>
      <c r="B49" s="2">
        <f t="shared" si="0"/>
        <v>48</v>
      </c>
      <c r="C49" s="2" t="s">
        <v>670</v>
      </c>
      <c r="D49" s="18"/>
      <c r="E49" s="3"/>
      <c r="F49" s="3"/>
      <c r="G49" s="3"/>
      <c r="H49" s="3"/>
      <c r="I49" s="9"/>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'7_2_Codelists'!$C$155:$C$164</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64"/>
  <sheetViews>
    <sheetView topLeftCell="A84" zoomScale="115" zoomScaleNormal="115" workbookViewId="0">
      <selection activeCell="C86" sqref="C86"/>
    </sheetView>
  </sheetViews>
  <sheetFormatPr defaultColWidth="10.85546875" defaultRowHeight="15" x14ac:dyDescent="0.25"/>
  <cols>
    <col min="1" max="1" width="33.85546875" customWidth="1"/>
    <col min="2" max="2" width="37.42578125" customWidth="1"/>
    <col min="3" max="3" width="76.42578125" customWidth="1"/>
    <col min="4" max="4" width="28.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01" t="s">
        <v>186</v>
      </c>
      <c r="B1" s="101"/>
      <c r="C1" s="101"/>
    </row>
    <row r="2" spans="1:3" x14ac:dyDescent="0.25">
      <c r="A2" s="7" t="s">
        <v>4</v>
      </c>
      <c r="B2" s="7" t="s">
        <v>185</v>
      </c>
      <c r="C2" s="7" t="s">
        <v>1</v>
      </c>
    </row>
    <row r="3" spans="1:3" x14ac:dyDescent="0.25">
      <c r="A3" s="85">
        <v>1</v>
      </c>
      <c r="B3" s="85" t="s">
        <v>2</v>
      </c>
      <c r="C3" s="85" t="s">
        <v>2</v>
      </c>
    </row>
    <row r="4" spans="1:3" x14ac:dyDescent="0.25">
      <c r="A4" s="85">
        <v>2</v>
      </c>
      <c r="B4" s="85" t="s">
        <v>3</v>
      </c>
      <c r="C4" s="85" t="s">
        <v>3</v>
      </c>
    </row>
    <row r="5" spans="1:3" x14ac:dyDescent="0.25">
      <c r="A5" t="s">
        <v>176</v>
      </c>
      <c r="C5">
        <f>SUBTOTAL(103,CL_YesNo[Description])</f>
        <v>2</v>
      </c>
    </row>
    <row r="7" spans="1:3" x14ac:dyDescent="0.25">
      <c r="A7" s="101" t="s">
        <v>622</v>
      </c>
      <c r="B7" s="101"/>
      <c r="C7" s="101"/>
    </row>
    <row r="8" spans="1:3" x14ac:dyDescent="0.25">
      <c r="A8" s="7" t="s">
        <v>4</v>
      </c>
      <c r="B8" s="7" t="s">
        <v>270</v>
      </c>
      <c r="C8" s="7" t="s">
        <v>1</v>
      </c>
    </row>
    <row r="9" spans="1:3" x14ac:dyDescent="0.25">
      <c r="A9" s="85">
        <v>1</v>
      </c>
      <c r="B9" s="85" t="s">
        <v>271</v>
      </c>
      <c r="C9" s="85" t="s">
        <v>623</v>
      </c>
    </row>
    <row r="10" spans="1:3" x14ac:dyDescent="0.25">
      <c r="A10" s="85">
        <v>2</v>
      </c>
      <c r="B10" s="85" t="s">
        <v>272</v>
      </c>
      <c r="C10" s="85" t="s">
        <v>624</v>
      </c>
    </row>
    <row r="11" spans="1:3" x14ac:dyDescent="0.25">
      <c r="A11" s="85">
        <v>3</v>
      </c>
      <c r="B11" s="85" t="s">
        <v>273</v>
      </c>
      <c r="C11" s="85" t="s">
        <v>625</v>
      </c>
    </row>
    <row r="12" spans="1:3" x14ac:dyDescent="0.25">
      <c r="A12" s="85">
        <v>4</v>
      </c>
      <c r="B12" s="85" t="s">
        <v>65</v>
      </c>
      <c r="C12" s="85" t="s">
        <v>626</v>
      </c>
    </row>
    <row r="13" spans="1:3" x14ac:dyDescent="0.25">
      <c r="A13" s="85">
        <v>5</v>
      </c>
      <c r="B13" s="85" t="s">
        <v>274</v>
      </c>
      <c r="C13" s="85" t="s">
        <v>627</v>
      </c>
    </row>
    <row r="14" spans="1:3" x14ac:dyDescent="0.25">
      <c r="A14" s="85">
        <v>6</v>
      </c>
      <c r="B14" s="85"/>
      <c r="C14" s="85"/>
    </row>
    <row r="15" spans="1:3" x14ac:dyDescent="0.25">
      <c r="A15" s="85">
        <v>7</v>
      </c>
      <c r="B15" s="85"/>
      <c r="C15" s="85"/>
    </row>
    <row r="16" spans="1:3" x14ac:dyDescent="0.25">
      <c r="A16" t="s">
        <v>176</v>
      </c>
      <c r="C16">
        <f>SUBTOTAL(103,CL_Unit_of_Measurement[Description])</f>
        <v>5</v>
      </c>
    </row>
    <row r="18" spans="1:3" x14ac:dyDescent="0.25">
      <c r="A18" s="104" t="s">
        <v>180</v>
      </c>
      <c r="B18" s="104"/>
      <c r="C18" s="104"/>
    </row>
    <row r="20" spans="1:3" x14ac:dyDescent="0.25">
      <c r="A20" s="101" t="s">
        <v>177</v>
      </c>
      <c r="B20" s="101"/>
      <c r="C20" s="101"/>
    </row>
    <row r="21" spans="1:3" x14ac:dyDescent="0.25">
      <c r="A21" s="7" t="s">
        <v>4</v>
      </c>
      <c r="B21" s="7" t="s">
        <v>121</v>
      </c>
      <c r="C21" s="7" t="s">
        <v>1</v>
      </c>
    </row>
    <row r="22" spans="1:3" ht="45" x14ac:dyDescent="0.25">
      <c r="A22" s="85">
        <v>1</v>
      </c>
      <c r="B22" s="85" t="s">
        <v>122</v>
      </c>
      <c r="C22" s="85" t="s">
        <v>621</v>
      </c>
    </row>
    <row r="23" spans="1:3" ht="45" x14ac:dyDescent="0.25">
      <c r="A23" s="85">
        <v>2</v>
      </c>
      <c r="B23" s="85" t="s">
        <v>123</v>
      </c>
      <c r="C23" s="85" t="s">
        <v>620</v>
      </c>
    </row>
    <row r="24" spans="1:3" x14ac:dyDescent="0.25">
      <c r="A24" s="85">
        <v>3</v>
      </c>
      <c r="B24" s="85" t="s">
        <v>157</v>
      </c>
      <c r="C24" s="85"/>
    </row>
    <row r="25" spans="1:3" x14ac:dyDescent="0.25">
      <c r="A25" s="85">
        <v>4</v>
      </c>
      <c r="B25" s="85" t="s">
        <v>158</v>
      </c>
      <c r="C25" s="85"/>
    </row>
    <row r="26" spans="1:3" x14ac:dyDescent="0.25">
      <c r="A26" s="85">
        <v>5</v>
      </c>
      <c r="B26" s="85" t="s">
        <v>118</v>
      </c>
      <c r="C26" s="85"/>
    </row>
    <row r="27" spans="1:3" x14ac:dyDescent="0.25">
      <c r="A27" s="85">
        <v>6</v>
      </c>
      <c r="B27" s="85" t="s">
        <v>62</v>
      </c>
      <c r="C27" s="85"/>
    </row>
    <row r="28" spans="1:3" x14ac:dyDescent="0.25">
      <c r="A28" s="85">
        <v>7</v>
      </c>
      <c r="B28" s="85" t="s">
        <v>61</v>
      </c>
      <c r="C28" s="85"/>
    </row>
    <row r="29" spans="1:3" x14ac:dyDescent="0.25">
      <c r="A29" t="s">
        <v>176</v>
      </c>
      <c r="C29">
        <f>SUBTOTAL(103,CL_Process_Logic[Description])</f>
        <v>2</v>
      </c>
    </row>
    <row r="31" spans="1:3" x14ac:dyDescent="0.25">
      <c r="A31" s="101" t="s">
        <v>178</v>
      </c>
      <c r="B31" s="101"/>
      <c r="C31" s="101"/>
    </row>
    <row r="32" spans="1:3" x14ac:dyDescent="0.25">
      <c r="A32" t="s">
        <v>4</v>
      </c>
      <c r="B32" t="s">
        <v>159</v>
      </c>
      <c r="C32" t="s">
        <v>1</v>
      </c>
    </row>
    <row r="33" spans="1:3" x14ac:dyDescent="0.25">
      <c r="A33" s="85">
        <v>1</v>
      </c>
      <c r="B33" s="85" t="s">
        <v>140</v>
      </c>
      <c r="C33" s="85"/>
    </row>
    <row r="34" spans="1:3" x14ac:dyDescent="0.25">
      <c r="A34" s="85">
        <v>2</v>
      </c>
      <c r="B34" s="85" t="s">
        <v>138</v>
      </c>
      <c r="C34" s="85"/>
    </row>
    <row r="35" spans="1:3" x14ac:dyDescent="0.25">
      <c r="A35" s="85">
        <v>3</v>
      </c>
      <c r="B35" s="85" t="s">
        <v>139</v>
      </c>
      <c r="C35" s="85"/>
    </row>
    <row r="36" spans="1:3" x14ac:dyDescent="0.25">
      <c r="A36" t="s">
        <v>176</v>
      </c>
      <c r="C36">
        <f>SUBTOTAL(103,CL_TC_Configuration[Description])</f>
        <v>0</v>
      </c>
    </row>
    <row r="38" spans="1:3" x14ac:dyDescent="0.25">
      <c r="A38" s="101" t="s">
        <v>161</v>
      </c>
      <c r="B38" s="101"/>
      <c r="C38" s="101"/>
    </row>
    <row r="39" spans="1:3" x14ac:dyDescent="0.25">
      <c r="A39" t="s">
        <v>4</v>
      </c>
      <c r="B39" t="s">
        <v>160</v>
      </c>
      <c r="C39" t="s">
        <v>1</v>
      </c>
    </row>
    <row r="40" spans="1:3" x14ac:dyDescent="0.25">
      <c r="A40" s="85">
        <v>1</v>
      </c>
      <c r="B40" s="85" t="s">
        <v>162</v>
      </c>
      <c r="C40" s="85"/>
    </row>
    <row r="41" spans="1:3" x14ac:dyDescent="0.25">
      <c r="A41" s="85">
        <v>2</v>
      </c>
      <c r="B41" s="85" t="s">
        <v>163</v>
      </c>
      <c r="C41" s="85"/>
    </row>
    <row r="42" spans="1:3" x14ac:dyDescent="0.25">
      <c r="A42" s="85">
        <v>3</v>
      </c>
      <c r="B42" s="85" t="s">
        <v>526</v>
      </c>
      <c r="C42" s="85"/>
    </row>
    <row r="43" spans="1:3" x14ac:dyDescent="0.25">
      <c r="A43" s="85">
        <v>4</v>
      </c>
      <c r="B43" s="85" t="s">
        <v>527</v>
      </c>
      <c r="C43" s="85"/>
    </row>
    <row r="44" spans="1:3" x14ac:dyDescent="0.25">
      <c r="A44" s="85">
        <v>5</v>
      </c>
      <c r="B44" s="85"/>
      <c r="C44" s="85"/>
    </row>
    <row r="45" spans="1:3" x14ac:dyDescent="0.25">
      <c r="A45" s="85">
        <v>6</v>
      </c>
      <c r="B45" s="85"/>
      <c r="C45" s="85"/>
    </row>
    <row r="46" spans="1:3" x14ac:dyDescent="0.25">
      <c r="A46" t="s">
        <v>176</v>
      </c>
      <c r="C46">
        <f>SUBTOTAL(103,CL_Stock_Configuration[Description])</f>
        <v>0</v>
      </c>
    </row>
    <row r="48" spans="1:3" x14ac:dyDescent="0.25">
      <c r="A48" s="101" t="s">
        <v>179</v>
      </c>
      <c r="B48" s="101"/>
      <c r="C48" s="101"/>
    </row>
    <row r="49" spans="1:10" x14ac:dyDescent="0.25">
      <c r="A49" t="s">
        <v>4</v>
      </c>
      <c r="B49" t="s">
        <v>172</v>
      </c>
      <c r="C49" t="s">
        <v>1</v>
      </c>
    </row>
    <row r="50" spans="1:10" x14ac:dyDescent="0.25">
      <c r="A50" s="85">
        <v>0</v>
      </c>
      <c r="B50" s="85">
        <v>0</v>
      </c>
      <c r="C50" s="85"/>
    </row>
    <row r="51" spans="1:10" x14ac:dyDescent="0.25">
      <c r="A51" s="85">
        <v>1</v>
      </c>
      <c r="B51" s="85">
        <v>1</v>
      </c>
      <c r="C51" s="85"/>
    </row>
    <row r="52" spans="1:10" x14ac:dyDescent="0.25">
      <c r="A52" s="85">
        <v>2</v>
      </c>
      <c r="B52" s="85">
        <v>2</v>
      </c>
      <c r="C52" s="85"/>
    </row>
    <row r="53" spans="1:10" x14ac:dyDescent="0.25">
      <c r="A53" s="85">
        <v>3</v>
      </c>
      <c r="B53" s="85">
        <v>3</v>
      </c>
      <c r="C53" s="85"/>
    </row>
    <row r="54" spans="1:10" x14ac:dyDescent="0.25">
      <c r="A54" s="85">
        <v>4</v>
      </c>
      <c r="B54" s="85">
        <v>4</v>
      </c>
      <c r="C54" s="85"/>
    </row>
    <row r="55" spans="1:10" x14ac:dyDescent="0.25">
      <c r="A55" s="85">
        <v>5</v>
      </c>
      <c r="B55" s="85">
        <v>5</v>
      </c>
      <c r="C55" s="85"/>
    </row>
    <row r="56" spans="1:10" x14ac:dyDescent="0.25">
      <c r="A56" s="85">
        <v>6</v>
      </c>
      <c r="B56" s="85">
        <v>6</v>
      </c>
      <c r="C56" s="85"/>
    </row>
    <row r="57" spans="1:10" x14ac:dyDescent="0.25">
      <c r="A57" s="85">
        <v>7</v>
      </c>
      <c r="B57" s="85">
        <v>7</v>
      </c>
      <c r="C57" s="85"/>
    </row>
    <row r="58" spans="1:10" x14ac:dyDescent="0.25">
      <c r="A58" s="85">
        <v>8</v>
      </c>
      <c r="B58" s="85">
        <v>8</v>
      </c>
      <c r="C58" s="85"/>
    </row>
    <row r="59" spans="1:10" x14ac:dyDescent="0.25">
      <c r="A59" s="85">
        <v>9</v>
      </c>
      <c r="B59" s="85">
        <v>9</v>
      </c>
      <c r="C59" s="85"/>
    </row>
    <row r="60" spans="1:10" x14ac:dyDescent="0.25">
      <c r="A60" t="s">
        <v>176</v>
      </c>
      <c r="C60">
        <f>SUBTOTAL(103,CL_Outflow_Count[Description])</f>
        <v>0</v>
      </c>
      <c r="E60" s="32"/>
      <c r="F60" s="32"/>
      <c r="G60" s="32"/>
      <c r="I60" s="25"/>
      <c r="J60" s="32"/>
    </row>
    <row r="61" spans="1:10" x14ac:dyDescent="0.25">
      <c r="E61" s="32"/>
      <c r="F61" s="32"/>
      <c r="G61" s="32"/>
      <c r="I61" s="25"/>
      <c r="J61" s="32"/>
    </row>
    <row r="62" spans="1:10" x14ac:dyDescent="0.25">
      <c r="A62" s="101" t="s">
        <v>277</v>
      </c>
      <c r="B62" s="101"/>
      <c r="C62" s="101"/>
      <c r="E62" s="32"/>
      <c r="F62" s="32"/>
      <c r="G62" s="32"/>
      <c r="I62" s="25"/>
      <c r="J62" s="32"/>
    </row>
    <row r="63" spans="1:10" x14ac:dyDescent="0.25">
      <c r="A63" t="s">
        <v>4</v>
      </c>
      <c r="B63" t="s">
        <v>275</v>
      </c>
      <c r="C63" t="s">
        <v>1</v>
      </c>
      <c r="E63" s="32"/>
      <c r="F63" s="32"/>
      <c r="G63" s="32"/>
      <c r="I63" s="25"/>
      <c r="J63" s="32"/>
    </row>
    <row r="64" spans="1:10" x14ac:dyDescent="0.25">
      <c r="A64" s="85">
        <v>1</v>
      </c>
      <c r="B64" s="85" t="s">
        <v>629</v>
      </c>
      <c r="C64" s="85" t="s">
        <v>529</v>
      </c>
      <c r="E64" s="32"/>
      <c r="F64" s="32"/>
      <c r="G64" s="32"/>
      <c r="I64" s="25"/>
      <c r="J64" s="32"/>
    </row>
    <row r="65" spans="1:10" x14ac:dyDescent="0.25">
      <c r="A65" s="85">
        <v>3</v>
      </c>
      <c r="B65" s="85" t="s">
        <v>630</v>
      </c>
      <c r="C65" s="85"/>
      <c r="E65" s="32"/>
      <c r="F65" s="32"/>
      <c r="G65" s="32"/>
      <c r="I65" s="25"/>
      <c r="J65" s="32"/>
    </row>
    <row r="66" spans="1:10" x14ac:dyDescent="0.25">
      <c r="A66" s="85">
        <v>4</v>
      </c>
      <c r="B66" s="85" t="s">
        <v>631</v>
      </c>
      <c r="C66" s="85"/>
      <c r="E66" s="32"/>
      <c r="F66" s="32"/>
      <c r="G66" s="32"/>
      <c r="I66" s="25"/>
      <c r="J66" s="32"/>
    </row>
    <row r="67" spans="1:10" x14ac:dyDescent="0.25">
      <c r="A67" s="85">
        <v>5</v>
      </c>
      <c r="B67" s="85" t="s">
        <v>632</v>
      </c>
      <c r="C67" s="85"/>
      <c r="E67" s="32"/>
      <c r="F67" s="32"/>
      <c r="G67" s="32"/>
      <c r="I67" s="25"/>
      <c r="J67" s="32"/>
    </row>
    <row r="68" spans="1:10" x14ac:dyDescent="0.25">
      <c r="A68" s="85">
        <v>6</v>
      </c>
      <c r="B68" s="85" t="s">
        <v>633</v>
      </c>
      <c r="C68" s="85"/>
      <c r="E68" s="32"/>
      <c r="F68" s="32"/>
      <c r="G68" s="32"/>
      <c r="I68" s="25"/>
      <c r="J68" s="32"/>
    </row>
    <row r="69" spans="1:10" x14ac:dyDescent="0.25">
      <c r="A69" s="85">
        <v>7</v>
      </c>
      <c r="B69" s="85" t="s">
        <v>634</v>
      </c>
      <c r="C69" s="85"/>
      <c r="E69" s="32"/>
      <c r="F69" s="32"/>
      <c r="G69" s="32"/>
      <c r="I69" s="25"/>
      <c r="J69" s="32"/>
    </row>
    <row r="70" spans="1:10" x14ac:dyDescent="0.25">
      <c r="A70" s="85">
        <v>8</v>
      </c>
      <c r="B70" s="85" t="s">
        <v>635</v>
      </c>
      <c r="C70" s="85"/>
      <c r="E70" s="32"/>
      <c r="F70" s="32"/>
      <c r="G70" s="32"/>
      <c r="I70" s="25"/>
      <c r="J70" s="32"/>
    </row>
    <row r="71" spans="1:10" x14ac:dyDescent="0.25">
      <c r="A71" s="85">
        <v>9</v>
      </c>
      <c r="B71" s="85" t="s">
        <v>536</v>
      </c>
      <c r="C71" s="85"/>
      <c r="E71" s="32"/>
      <c r="F71" s="32"/>
      <c r="G71" s="32"/>
      <c r="I71" s="25"/>
      <c r="J71" s="32"/>
    </row>
    <row r="72" spans="1:10" x14ac:dyDescent="0.25">
      <c r="A72" s="85">
        <v>10</v>
      </c>
      <c r="B72" s="85" t="s">
        <v>537</v>
      </c>
      <c r="C72" s="85"/>
      <c r="E72" s="32"/>
      <c r="F72" s="32"/>
      <c r="G72" s="32"/>
      <c r="I72" s="25"/>
      <c r="J72" s="32"/>
    </row>
    <row r="73" spans="1:10" x14ac:dyDescent="0.25">
      <c r="A73" s="85">
        <v>11</v>
      </c>
      <c r="B73" s="85" t="s">
        <v>538</v>
      </c>
      <c r="C73" s="85"/>
      <c r="E73" s="32"/>
      <c r="F73" s="32"/>
      <c r="G73" s="32"/>
      <c r="I73" s="25"/>
      <c r="J73" s="32"/>
    </row>
    <row r="74" spans="1:10" x14ac:dyDescent="0.25">
      <c r="A74" s="85">
        <v>12</v>
      </c>
      <c r="B74" s="85" t="s">
        <v>540</v>
      </c>
      <c r="C74" s="85"/>
      <c r="E74" s="32"/>
      <c r="F74" s="32"/>
      <c r="G74" s="32"/>
      <c r="I74" s="25"/>
      <c r="J74" s="32"/>
    </row>
    <row r="75" spans="1:10" x14ac:dyDescent="0.25">
      <c r="A75" s="85">
        <v>13</v>
      </c>
      <c r="B75" s="85" t="s">
        <v>541</v>
      </c>
      <c r="C75" s="85"/>
      <c r="E75" s="32"/>
      <c r="F75" s="32"/>
      <c r="G75" s="32"/>
      <c r="I75" s="25"/>
      <c r="J75" s="32"/>
    </row>
    <row r="76" spans="1:10" x14ac:dyDescent="0.25">
      <c r="A76" s="85">
        <v>14</v>
      </c>
      <c r="B76" s="85" t="s">
        <v>539</v>
      </c>
      <c r="C76" s="85"/>
      <c r="E76" s="32"/>
      <c r="F76" s="32"/>
      <c r="G76" s="32"/>
      <c r="I76" s="25"/>
      <c r="J76" s="32"/>
    </row>
    <row r="77" spans="1:10" x14ac:dyDescent="0.25">
      <c r="A77" s="85">
        <v>15</v>
      </c>
      <c r="B77" s="85" t="s">
        <v>542</v>
      </c>
      <c r="C77" s="85"/>
      <c r="E77" s="32"/>
      <c r="F77" s="32"/>
      <c r="G77" s="32"/>
      <c r="I77" s="25"/>
      <c r="J77" s="32"/>
    </row>
    <row r="78" spans="1:10" x14ac:dyDescent="0.25">
      <c r="A78" s="85">
        <v>16</v>
      </c>
      <c r="B78" s="85" t="s">
        <v>543</v>
      </c>
      <c r="C78" s="85"/>
      <c r="E78" s="32"/>
      <c r="F78" s="32"/>
      <c r="G78" s="32"/>
      <c r="I78" s="25"/>
      <c r="J78" s="32"/>
    </row>
    <row r="79" spans="1:10" x14ac:dyDescent="0.25">
      <c r="A79" s="85">
        <v>17</v>
      </c>
      <c r="B79" s="85" t="s">
        <v>544</v>
      </c>
      <c r="C79" s="85"/>
      <c r="E79" s="32"/>
      <c r="F79" s="32"/>
      <c r="G79" s="32"/>
      <c r="I79" s="25"/>
      <c r="J79" s="32"/>
    </row>
    <row r="80" spans="1:10" x14ac:dyDescent="0.25">
      <c r="A80" s="85">
        <v>18</v>
      </c>
      <c r="B80" s="85" t="s">
        <v>545</v>
      </c>
      <c r="C80" s="85"/>
      <c r="E80" s="32"/>
      <c r="F80" s="32"/>
      <c r="G80" s="32"/>
      <c r="I80" s="25"/>
      <c r="J80" s="32"/>
    </row>
    <row r="81" spans="1:10" x14ac:dyDescent="0.25">
      <c r="A81" s="85">
        <v>19</v>
      </c>
      <c r="B81" s="85" t="s">
        <v>546</v>
      </c>
      <c r="C81" s="85"/>
      <c r="E81" s="32"/>
      <c r="F81" s="32"/>
      <c r="G81" s="32"/>
      <c r="I81" s="25"/>
      <c r="J81" s="32"/>
    </row>
    <row r="82" spans="1:10" x14ac:dyDescent="0.25">
      <c r="A82" t="s">
        <v>176</v>
      </c>
      <c r="C82">
        <f>SUBTOTAL(103,CL_Initial_Stock[Description])</f>
        <v>1</v>
      </c>
      <c r="E82" s="32"/>
      <c r="F82" s="32"/>
      <c r="G82" s="32"/>
      <c r="I82" s="25"/>
      <c r="J82" s="32"/>
    </row>
    <row r="83" spans="1:10" x14ac:dyDescent="0.25">
      <c r="E83" s="32"/>
      <c r="F83" s="32"/>
      <c r="G83" s="32"/>
      <c r="I83" s="25"/>
      <c r="J83" s="32"/>
    </row>
    <row r="84" spans="1:10" x14ac:dyDescent="0.25">
      <c r="A84" s="101" t="s">
        <v>182</v>
      </c>
      <c r="B84" s="101"/>
      <c r="C84" s="101"/>
    </row>
    <row r="85" spans="1:10" x14ac:dyDescent="0.25">
      <c r="A85" t="s">
        <v>4</v>
      </c>
      <c r="B85" t="s">
        <v>181</v>
      </c>
      <c r="C85" t="s">
        <v>1</v>
      </c>
    </row>
    <row r="86" spans="1:10" x14ac:dyDescent="0.25">
      <c r="A86" s="85">
        <v>1</v>
      </c>
      <c r="B86" s="85">
        <v>1</v>
      </c>
      <c r="C86" s="85"/>
    </row>
    <row r="87" spans="1:10" x14ac:dyDescent="0.25">
      <c r="A87" s="85">
        <v>2</v>
      </c>
      <c r="B87" s="85">
        <v>2</v>
      </c>
      <c r="C87" s="85"/>
    </row>
    <row r="88" spans="1:10" x14ac:dyDescent="0.25">
      <c r="A88" s="85">
        <v>3</v>
      </c>
      <c r="B88" s="85">
        <v>3</v>
      </c>
      <c r="C88" s="85"/>
    </row>
    <row r="89" spans="1:10" x14ac:dyDescent="0.25">
      <c r="A89" s="85">
        <v>4</v>
      </c>
      <c r="B89" s="85">
        <v>4</v>
      </c>
      <c r="C89" s="85"/>
    </row>
    <row r="90" spans="1:10" x14ac:dyDescent="0.25">
      <c r="A90" s="85">
        <v>5</v>
      </c>
      <c r="B90" s="85">
        <v>5</v>
      </c>
      <c r="C90" s="85"/>
    </row>
    <row r="91" spans="1:10" x14ac:dyDescent="0.25">
      <c r="A91" s="85">
        <v>6</v>
      </c>
      <c r="B91" s="85">
        <v>6</v>
      </c>
      <c r="C91" s="85"/>
    </row>
    <row r="92" spans="1:10" x14ac:dyDescent="0.25">
      <c r="A92" s="85">
        <v>7</v>
      </c>
      <c r="B92" s="85">
        <v>7</v>
      </c>
      <c r="C92" s="85"/>
    </row>
    <row r="93" spans="1:10" x14ac:dyDescent="0.25">
      <c r="A93" s="85">
        <v>8</v>
      </c>
      <c r="B93" s="85">
        <v>8</v>
      </c>
      <c r="C93" s="85"/>
      <c r="E93" s="102"/>
      <c r="F93" s="102"/>
      <c r="G93" s="102"/>
    </row>
    <row r="94" spans="1:10" x14ac:dyDescent="0.25">
      <c r="A94" s="85">
        <v>9</v>
      </c>
      <c r="B94" s="85">
        <v>9</v>
      </c>
      <c r="C94" s="85"/>
      <c r="E94" s="25"/>
      <c r="F94" s="25"/>
      <c r="G94" s="25"/>
    </row>
    <row r="95" spans="1:10" x14ac:dyDescent="0.25">
      <c r="A95" t="s">
        <v>176</v>
      </c>
      <c r="C95">
        <f>SUBTOTAL(103,CL_DSM_material_count[Description])</f>
        <v>0</v>
      </c>
      <c r="E95" s="25"/>
      <c r="F95" s="25"/>
      <c r="G95" s="25"/>
    </row>
    <row r="96" spans="1:10" x14ac:dyDescent="0.25">
      <c r="E96" s="25"/>
      <c r="F96" s="25"/>
      <c r="G96" s="25"/>
    </row>
    <row r="97" spans="1:7" x14ac:dyDescent="0.25">
      <c r="A97" s="101" t="s">
        <v>183</v>
      </c>
      <c r="B97" s="101"/>
      <c r="C97" s="101"/>
      <c r="E97" s="25"/>
      <c r="F97" s="25"/>
      <c r="G97" s="25"/>
    </row>
    <row r="98" spans="1:7" x14ac:dyDescent="0.25">
      <c r="A98" t="s">
        <v>4</v>
      </c>
      <c r="B98" t="s">
        <v>146</v>
      </c>
      <c r="C98" t="s">
        <v>1</v>
      </c>
      <c r="E98" s="25"/>
      <c r="F98" s="25"/>
      <c r="G98" s="25"/>
    </row>
    <row r="99" spans="1:7" x14ac:dyDescent="0.25">
      <c r="A99">
        <v>1</v>
      </c>
      <c r="B99" t="s">
        <v>141</v>
      </c>
      <c r="E99" s="25"/>
      <c r="F99" s="25"/>
      <c r="G99" s="25"/>
    </row>
    <row r="100" spans="1:7" x14ac:dyDescent="0.25">
      <c r="A100">
        <v>2</v>
      </c>
      <c r="B100" t="s">
        <v>142</v>
      </c>
      <c r="C100" s="1"/>
      <c r="E100" s="25"/>
      <c r="F100" s="25"/>
      <c r="G100" s="25"/>
    </row>
    <row r="101" spans="1:7" x14ac:dyDescent="0.25">
      <c r="A101">
        <v>3</v>
      </c>
      <c r="B101" t="s">
        <v>143</v>
      </c>
      <c r="C101" s="1"/>
      <c r="E101" s="25"/>
      <c r="F101" s="25"/>
      <c r="G101" s="25"/>
    </row>
    <row r="102" spans="1:7" x14ac:dyDescent="0.25">
      <c r="A102">
        <v>4</v>
      </c>
      <c r="B102" t="s">
        <v>144</v>
      </c>
      <c r="E102" s="25"/>
      <c r="F102" s="25"/>
      <c r="G102" s="25"/>
    </row>
    <row r="103" spans="1:7" x14ac:dyDescent="0.25">
      <c r="A103">
        <v>5</v>
      </c>
      <c r="B103" t="s">
        <v>145</v>
      </c>
      <c r="E103" s="25"/>
      <c r="F103" s="25"/>
      <c r="G103" s="25"/>
    </row>
    <row r="104" spans="1:7" x14ac:dyDescent="0.25">
      <c r="A104">
        <v>6</v>
      </c>
      <c r="B104" t="s">
        <v>588</v>
      </c>
      <c r="E104" s="25"/>
      <c r="F104" s="25"/>
      <c r="G104" s="25"/>
    </row>
    <row r="105" spans="1:7" x14ac:dyDescent="0.25">
      <c r="A105">
        <v>7</v>
      </c>
      <c r="B105" t="s">
        <v>590</v>
      </c>
      <c r="E105" s="25"/>
      <c r="F105" s="25"/>
      <c r="G105" s="25"/>
    </row>
    <row r="106" spans="1:7" x14ac:dyDescent="0.25">
      <c r="A106" t="s">
        <v>176</v>
      </c>
      <c r="C106">
        <f>SUBTOTAL(103,CL_DSM_Parameter_type[Description])</f>
        <v>0</v>
      </c>
      <c r="E106" s="25"/>
      <c r="F106" s="25"/>
      <c r="G106" s="25"/>
    </row>
    <row r="107" spans="1:7" x14ac:dyDescent="0.25">
      <c r="E107" s="25"/>
      <c r="F107" s="25"/>
      <c r="G107" s="25"/>
    </row>
    <row r="108" spans="1:7" x14ac:dyDescent="0.25">
      <c r="A108" s="101" t="s">
        <v>184</v>
      </c>
      <c r="B108" s="101"/>
      <c r="C108" s="101"/>
      <c r="E108" s="25"/>
      <c r="F108" s="25"/>
      <c r="G108" s="25"/>
    </row>
    <row r="109" spans="1:7" x14ac:dyDescent="0.25">
      <c r="A109" t="s">
        <v>4</v>
      </c>
      <c r="B109" t="s">
        <v>190</v>
      </c>
      <c r="C109" t="s">
        <v>1</v>
      </c>
      <c r="E109" s="25"/>
      <c r="F109" s="25"/>
      <c r="G109" s="25"/>
    </row>
    <row r="110" spans="1:7" x14ac:dyDescent="0.25">
      <c r="A110">
        <v>1</v>
      </c>
      <c r="B110" t="s">
        <v>82</v>
      </c>
      <c r="E110" s="25"/>
      <c r="F110" s="25"/>
      <c r="G110" s="25"/>
    </row>
    <row r="111" spans="1:7" x14ac:dyDescent="0.25">
      <c r="A111">
        <v>2</v>
      </c>
      <c r="B111" t="s">
        <v>87</v>
      </c>
      <c r="E111" s="25"/>
      <c r="F111" s="25"/>
      <c r="G111" s="25"/>
    </row>
    <row r="112" spans="1:7" x14ac:dyDescent="0.25">
      <c r="A112">
        <v>3</v>
      </c>
      <c r="B112" t="s">
        <v>89</v>
      </c>
      <c r="E112" s="25"/>
      <c r="F112" s="25"/>
      <c r="G112" s="25"/>
    </row>
    <row r="113" spans="1:7" x14ac:dyDescent="0.25">
      <c r="A113">
        <v>4</v>
      </c>
      <c r="B113" t="s">
        <v>88</v>
      </c>
      <c r="C113" t="s">
        <v>83</v>
      </c>
      <c r="E113" s="25"/>
      <c r="F113" s="25"/>
      <c r="G113" s="25"/>
    </row>
    <row r="114" spans="1:7" x14ac:dyDescent="0.25">
      <c r="A114">
        <v>5</v>
      </c>
      <c r="B114" t="s">
        <v>90</v>
      </c>
    </row>
    <row r="115" spans="1:7" x14ac:dyDescent="0.25">
      <c r="A115">
        <v>6</v>
      </c>
      <c r="B115" t="s">
        <v>84</v>
      </c>
    </row>
    <row r="116" spans="1:7" x14ac:dyDescent="0.25">
      <c r="A116">
        <v>7</v>
      </c>
      <c r="B116" t="s">
        <v>86</v>
      </c>
    </row>
    <row r="117" spans="1:7" x14ac:dyDescent="0.25">
      <c r="A117">
        <v>8</v>
      </c>
      <c r="B117" t="s">
        <v>85</v>
      </c>
    </row>
    <row r="119" spans="1:7" x14ac:dyDescent="0.25">
      <c r="A119" s="103" t="s">
        <v>188</v>
      </c>
      <c r="B119" s="103"/>
      <c r="C119" s="103"/>
    </row>
    <row r="121" spans="1:7" x14ac:dyDescent="0.25">
      <c r="A121" s="101" t="s">
        <v>187</v>
      </c>
      <c r="B121" s="101"/>
      <c r="C121" s="101"/>
    </row>
    <row r="122" spans="1:7" x14ac:dyDescent="0.25">
      <c r="A122" t="s">
        <v>4</v>
      </c>
      <c r="B122" t="s">
        <v>93</v>
      </c>
      <c r="C122" t="s">
        <v>1</v>
      </c>
    </row>
    <row r="123" spans="1:7" x14ac:dyDescent="0.25">
      <c r="A123">
        <v>1</v>
      </c>
      <c r="B123" t="s">
        <v>91</v>
      </c>
      <c r="C123" t="s">
        <v>94</v>
      </c>
    </row>
    <row r="124" spans="1:7" ht="30" x14ac:dyDescent="0.25">
      <c r="A124">
        <v>2</v>
      </c>
      <c r="B124" t="s">
        <v>95</v>
      </c>
      <c r="C124" s="1" t="s">
        <v>619</v>
      </c>
    </row>
    <row r="125" spans="1:7" x14ac:dyDescent="0.25">
      <c r="A125">
        <v>3</v>
      </c>
      <c r="B125" t="s">
        <v>92</v>
      </c>
      <c r="C125" s="1" t="s">
        <v>96</v>
      </c>
    </row>
    <row r="126" spans="1:7" x14ac:dyDescent="0.25">
      <c r="A126" t="s">
        <v>176</v>
      </c>
      <c r="C126">
        <f>SUBTOTAL(103,CL_Operation[Description])</f>
        <v>3</v>
      </c>
    </row>
    <row r="128" spans="1:7" x14ac:dyDescent="0.25">
      <c r="A128" s="101" t="s">
        <v>240</v>
      </c>
      <c r="B128" s="101"/>
      <c r="C128" s="101"/>
    </row>
    <row r="129" spans="1:10" x14ac:dyDescent="0.25">
      <c r="A129" t="s">
        <v>4</v>
      </c>
      <c r="B129" t="s">
        <v>241</v>
      </c>
      <c r="C129" t="s">
        <v>1</v>
      </c>
    </row>
    <row r="130" spans="1:10" x14ac:dyDescent="0.25">
      <c r="A130">
        <v>1</v>
      </c>
      <c r="B130" t="s">
        <v>551</v>
      </c>
      <c r="C130" t="s">
        <v>235</v>
      </c>
    </row>
    <row r="131" spans="1:10" x14ac:dyDescent="0.25">
      <c r="A131">
        <v>2</v>
      </c>
      <c r="B131" t="s">
        <v>236</v>
      </c>
      <c r="C131" t="s">
        <v>237</v>
      </c>
    </row>
    <row r="132" spans="1:10" x14ac:dyDescent="0.25">
      <c r="A132">
        <v>3</v>
      </c>
      <c r="B132" t="s">
        <v>238</v>
      </c>
      <c r="C132" t="s">
        <v>239</v>
      </c>
    </row>
    <row r="133" spans="1:10" x14ac:dyDescent="0.25">
      <c r="A133">
        <v>4</v>
      </c>
      <c r="B133" t="s">
        <v>552</v>
      </c>
      <c r="C133" t="s">
        <v>628</v>
      </c>
    </row>
    <row r="135" spans="1:10" x14ac:dyDescent="0.25">
      <c r="A135" t="s">
        <v>68</v>
      </c>
      <c r="B135" t="s">
        <v>267</v>
      </c>
      <c r="C135" t="s">
        <v>265</v>
      </c>
      <c r="D135" t="s">
        <v>264</v>
      </c>
      <c r="E135" t="s">
        <v>78</v>
      </c>
      <c r="F135" t="s">
        <v>79</v>
      </c>
      <c r="G135" t="s">
        <v>81</v>
      </c>
      <c r="H135" t="s">
        <v>263</v>
      </c>
      <c r="I135" t="s">
        <v>80</v>
      </c>
      <c r="J135" t="s">
        <v>266</v>
      </c>
    </row>
    <row r="136" spans="1:10" x14ac:dyDescent="0.25">
      <c r="A136">
        <v>1</v>
      </c>
      <c r="B136" t="s">
        <v>265</v>
      </c>
      <c r="C136" t="s">
        <v>419</v>
      </c>
      <c r="D136" t="s">
        <v>419</v>
      </c>
      <c r="E136" t="s">
        <v>82</v>
      </c>
      <c r="G136" t="s">
        <v>370</v>
      </c>
      <c r="I136" t="s">
        <v>141</v>
      </c>
      <c r="J136" t="s">
        <v>268</v>
      </c>
    </row>
    <row r="137" spans="1:10" x14ac:dyDescent="0.25">
      <c r="A137">
        <v>2</v>
      </c>
      <c r="B137" t="s">
        <v>264</v>
      </c>
      <c r="C137" t="s">
        <v>420</v>
      </c>
      <c r="D137" t="s">
        <v>420</v>
      </c>
      <c r="E137" t="s">
        <v>87</v>
      </c>
      <c r="G137" t="s">
        <v>371</v>
      </c>
      <c r="I137" t="s">
        <v>142</v>
      </c>
    </row>
    <row r="138" spans="1:10" x14ac:dyDescent="0.25">
      <c r="A138">
        <v>3</v>
      </c>
      <c r="B138" t="s">
        <v>78</v>
      </c>
      <c r="C138" t="s">
        <v>421</v>
      </c>
      <c r="D138" t="s">
        <v>421</v>
      </c>
      <c r="E138" t="s">
        <v>89</v>
      </c>
      <c r="G138" t="s">
        <v>372</v>
      </c>
      <c r="I138" t="s">
        <v>143</v>
      </c>
    </row>
    <row r="139" spans="1:10" x14ac:dyDescent="0.25">
      <c r="A139">
        <v>4</v>
      </c>
      <c r="B139" t="s">
        <v>79</v>
      </c>
      <c r="C139" t="s">
        <v>422</v>
      </c>
      <c r="D139" t="s">
        <v>422</v>
      </c>
      <c r="E139" t="s">
        <v>88</v>
      </c>
      <c r="G139" t="s">
        <v>368</v>
      </c>
      <c r="I139" t="s">
        <v>144</v>
      </c>
    </row>
    <row r="140" spans="1:10" x14ac:dyDescent="0.25">
      <c r="A140">
        <v>5</v>
      </c>
      <c r="B140" t="s">
        <v>81</v>
      </c>
      <c r="C140" t="s">
        <v>423</v>
      </c>
      <c r="D140" t="s">
        <v>423</v>
      </c>
      <c r="E140" t="s">
        <v>90</v>
      </c>
      <c r="G140" t="s">
        <v>369</v>
      </c>
      <c r="I140" t="s">
        <v>145</v>
      </c>
    </row>
    <row r="141" spans="1:10" x14ac:dyDescent="0.25">
      <c r="A141">
        <v>6</v>
      </c>
      <c r="B141" t="s">
        <v>266</v>
      </c>
      <c r="C141" t="s">
        <v>424</v>
      </c>
      <c r="D141" t="s">
        <v>424</v>
      </c>
      <c r="E141" t="s">
        <v>84</v>
      </c>
      <c r="G141" t="s">
        <v>409</v>
      </c>
      <c r="I141" t="s">
        <v>148</v>
      </c>
    </row>
    <row r="142" spans="1:10" x14ac:dyDescent="0.25">
      <c r="A142">
        <v>7</v>
      </c>
      <c r="B142" t="s">
        <v>80</v>
      </c>
      <c r="E142" t="s">
        <v>86</v>
      </c>
      <c r="I142" t="s">
        <v>149</v>
      </c>
    </row>
    <row r="143" spans="1:10" x14ac:dyDescent="0.25">
      <c r="A143">
        <v>8</v>
      </c>
      <c r="B143" t="s">
        <v>263</v>
      </c>
      <c r="E143" t="s">
        <v>85</v>
      </c>
      <c r="I143" t="s">
        <v>150</v>
      </c>
    </row>
    <row r="144" spans="1:10" x14ac:dyDescent="0.25">
      <c r="A144">
        <v>9</v>
      </c>
      <c r="I144" t="s">
        <v>151</v>
      </c>
    </row>
    <row r="145" spans="1:9" x14ac:dyDescent="0.25">
      <c r="A145">
        <v>10</v>
      </c>
      <c r="I145" t="s">
        <v>152</v>
      </c>
    </row>
    <row r="146" spans="1:9" x14ac:dyDescent="0.25">
      <c r="A146">
        <v>11</v>
      </c>
      <c r="I146" t="s">
        <v>153</v>
      </c>
    </row>
    <row r="147" spans="1:9" x14ac:dyDescent="0.25">
      <c r="A147">
        <v>12</v>
      </c>
      <c r="I147" t="s">
        <v>154</v>
      </c>
    </row>
    <row r="148" spans="1:9" x14ac:dyDescent="0.25">
      <c r="A148">
        <v>13</v>
      </c>
      <c r="I148" t="s">
        <v>155</v>
      </c>
    </row>
    <row r="149" spans="1:9" x14ac:dyDescent="0.25">
      <c r="A149">
        <v>14</v>
      </c>
      <c r="I149" t="s">
        <v>156</v>
      </c>
    </row>
    <row r="150" spans="1:9" x14ac:dyDescent="0.25">
      <c r="A150">
        <v>15</v>
      </c>
    </row>
    <row r="151" spans="1:9" x14ac:dyDescent="0.25">
      <c r="A151">
        <v>16</v>
      </c>
    </row>
    <row r="153" spans="1:9" x14ac:dyDescent="0.25">
      <c r="A153" s="101" t="s">
        <v>636</v>
      </c>
      <c r="B153" s="101"/>
      <c r="C153" s="101"/>
      <c r="D153" s="101"/>
    </row>
    <row r="154" spans="1:9" x14ac:dyDescent="0.25">
      <c r="A154" t="s">
        <v>4</v>
      </c>
      <c r="B154" t="s">
        <v>435</v>
      </c>
      <c r="C154" t="s">
        <v>431</v>
      </c>
      <c r="D154" t="s">
        <v>1</v>
      </c>
    </row>
    <row r="155" spans="1:9" x14ac:dyDescent="0.25">
      <c r="A155">
        <v>1</v>
      </c>
      <c r="B155" t="s">
        <v>436</v>
      </c>
      <c r="C155" t="s">
        <v>437</v>
      </c>
      <c r="D155" t="s">
        <v>438</v>
      </c>
    </row>
    <row r="156" spans="1:9" x14ac:dyDescent="0.25">
      <c r="A156">
        <v>2</v>
      </c>
      <c r="B156" t="s">
        <v>439</v>
      </c>
      <c r="C156" t="s">
        <v>440</v>
      </c>
      <c r="D156" t="s">
        <v>441</v>
      </c>
    </row>
    <row r="157" spans="1:9" x14ac:dyDescent="0.25">
      <c r="A157">
        <v>3</v>
      </c>
      <c r="B157" t="s">
        <v>442</v>
      </c>
      <c r="C157" t="s">
        <v>443</v>
      </c>
      <c r="D157" t="s">
        <v>444</v>
      </c>
    </row>
    <row r="158" spans="1:9" x14ac:dyDescent="0.25">
      <c r="A158">
        <v>4</v>
      </c>
      <c r="B158" t="s">
        <v>445</v>
      </c>
      <c r="C158" t="s">
        <v>446</v>
      </c>
      <c r="D158" t="s">
        <v>447</v>
      </c>
    </row>
    <row r="159" spans="1:9" x14ac:dyDescent="0.25">
      <c r="A159">
        <v>5</v>
      </c>
      <c r="B159" t="s">
        <v>448</v>
      </c>
      <c r="C159" t="s">
        <v>449</v>
      </c>
      <c r="D159" t="s">
        <v>450</v>
      </c>
    </row>
    <row r="160" spans="1:9" x14ac:dyDescent="0.25">
      <c r="A160">
        <v>6</v>
      </c>
      <c r="B160" t="s">
        <v>451</v>
      </c>
      <c r="C160" t="s">
        <v>452</v>
      </c>
      <c r="D160" t="s">
        <v>453</v>
      </c>
    </row>
    <row r="161" spans="1:4" x14ac:dyDescent="0.25">
      <c r="A161">
        <v>7</v>
      </c>
      <c r="B161" t="s">
        <v>454</v>
      </c>
      <c r="C161" t="s">
        <v>455</v>
      </c>
      <c r="D161" t="s">
        <v>456</v>
      </c>
    </row>
    <row r="162" spans="1:4" x14ac:dyDescent="0.25">
      <c r="A162">
        <v>8</v>
      </c>
      <c r="B162" t="s">
        <v>457</v>
      </c>
      <c r="C162" t="s">
        <v>458</v>
      </c>
      <c r="D162" t="s">
        <v>459</v>
      </c>
    </row>
    <row r="163" spans="1:4" x14ac:dyDescent="0.25">
      <c r="A163">
        <v>9</v>
      </c>
      <c r="B163" t="s">
        <v>460</v>
      </c>
      <c r="C163" t="s">
        <v>60</v>
      </c>
      <c r="D163" t="s">
        <v>461</v>
      </c>
    </row>
    <row r="164" spans="1:4" x14ac:dyDescent="0.25">
      <c r="A164">
        <v>10</v>
      </c>
      <c r="B164" t="s">
        <v>462</v>
      </c>
      <c r="C164" t="s">
        <v>463</v>
      </c>
      <c r="D164" t="s">
        <v>464</v>
      </c>
    </row>
  </sheetData>
  <mergeCells count="16">
    <mergeCell ref="A1:C1"/>
    <mergeCell ref="A121:C121"/>
    <mergeCell ref="A108:C108"/>
    <mergeCell ref="E93:G93"/>
    <mergeCell ref="A84:C84"/>
    <mergeCell ref="A97:C97"/>
    <mergeCell ref="A119:C119"/>
    <mergeCell ref="A18:C18"/>
    <mergeCell ref="A7:C7"/>
    <mergeCell ref="A153:D153"/>
    <mergeCell ref="A128:C128"/>
    <mergeCell ref="A20:C20"/>
    <mergeCell ref="A38:C38"/>
    <mergeCell ref="A31:C31"/>
    <mergeCell ref="A48:C48"/>
    <mergeCell ref="A62:C62"/>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2026-02-22T17:00:08Z</dcterms:modified>
</cp:coreProperties>
</file>