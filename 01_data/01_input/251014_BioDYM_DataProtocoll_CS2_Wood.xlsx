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tables/table4.xml" ContentType="application/vnd.openxmlformats-officedocument.spreadsheetml.table+xml"/>
  <Override PartName="/xl/comments2.xml" ContentType="application/vnd.openxmlformats-officedocument.spreadsheetml.comments+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comments3.xml" ContentType="application/vnd.openxmlformats-officedocument.spreadsheetml.comments+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Johannes\Nextcloud\BioDYM\bioDYM-CERT-edit-main\data\01_input\"/>
    </mc:Choice>
  </mc:AlternateContent>
  <xr:revisionPtr revIDLastSave="0" documentId="13_ncr:1_{AD436004-CBE0-4AC4-9B98-B52724B15BAB}" xr6:coauthVersionLast="47" xr6:coauthVersionMax="47" xr10:uidLastSave="{00000000-0000-0000-0000-000000000000}"/>
  <bookViews>
    <workbookView xWindow="-120" yWindow="-120" windowWidth="38640" windowHeight="21120" tabRatio="840" firstSheet="8" activeTab="17" xr2:uid="{00000000-000D-0000-FFFF-FFFF00000000}"/>
  </bookViews>
  <sheets>
    <sheet name="0_ReadMe" sheetId="1" r:id="rId1"/>
    <sheet name="0_Configuration" sheetId="40" r:id="rId2"/>
    <sheet name="1_1_Definition_Flows" sheetId="15" r:id="rId3"/>
    <sheet name="1_2_Data_Flows" sheetId="2" r:id="rId4"/>
    <sheet name="2_1_Definition_Processes" sheetId="16" r:id="rId5"/>
    <sheet name="2_2_static_TCs" sheetId="39" r:id="rId6"/>
    <sheet name="2_3_dynamic_TCs" sheetId="33" r:id="rId7"/>
    <sheet name="2_4_Initial_Stock" sheetId="21" r:id="rId8"/>
    <sheet name="3_1_Definition_DSM" sheetId="35" r:id="rId9"/>
    <sheet name="3_2_Definition_FOMP" sheetId="37" r:id="rId10"/>
    <sheet name="4_1_Uncertainty_Parameters" sheetId="38" r:id="rId11"/>
    <sheet name="5_1_Scenario_Manager" sheetId="42" r:id="rId12"/>
    <sheet name="6_1_Visualization_Processes" sheetId="44" r:id="rId13"/>
    <sheet name="6_2_Visualization_Flows" sheetId="46" r:id="rId14"/>
    <sheet name="6_3_Layout_Configuration" sheetId="47" r:id="rId15"/>
    <sheet name="6_4_CL_Visualisation" sheetId="45" r:id="rId16"/>
    <sheet name="PX - Template" sheetId="27" r:id="rId17"/>
    <sheet name="7_1_Comments_Validation" sheetId="51" r:id="rId18"/>
    <sheet name="7_2_Codelists" sheetId="17" r:id="rId19"/>
  </sheets>
  <definedNames>
    <definedName name="Inhaltsverzeichnis">"MTRANS(ERSETZEN(Inhalt;1;FINDEN(""]"";Inhalt);""))"</definedName>
    <definedName name="List_DSM_Parameters">CL_DSM_Category_ID348[DSM Parameters]</definedName>
    <definedName name="List_Flow_Parameters">CL_Flow_Parameters[Flow_Parameters]</definedName>
    <definedName name="List_FOMP_Parameters">CL_FOMP_Parameters[FOMP Parameters]</definedName>
    <definedName name="List_Initial_Stock_Parameters">CL_Initial_Stock_Parameters[Initial Stock Parameters]</definedName>
    <definedName name="List_Transfer_Coefficients">CL_Transfer_Coefficients[Transfer Coefficients (TCs)]</definedName>
    <definedName name="List_Uncertainty_Parameters">CL_Uncertainty_Parameters[Uncertainty_Parameters]</definedName>
    <definedName name="Tab_Process_TCs_dyn" localSheetId="6">Tab_Process_TCs2527[]</definedName>
    <definedName name="Tab_Process_TCs_dy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 i="51" l="1"/>
  <c r="F5" i="51"/>
  <c r="I3" i="21"/>
  <c r="I4" i="21"/>
  <c r="I5" i="21"/>
  <c r="I6" i="21"/>
  <c r="I7" i="21"/>
  <c r="I8" i="21"/>
  <c r="I9" i="21"/>
  <c r="I10" i="21"/>
  <c r="I11" i="21"/>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H3" i="21"/>
  <c r="H4" i="21"/>
  <c r="H5" i="21"/>
  <c r="H6" i="21"/>
  <c r="H7" i="21"/>
  <c r="H8" i="21"/>
  <c r="H9" i="21"/>
  <c r="H10" i="21"/>
  <c r="H11" i="21"/>
  <c r="H12" i="21"/>
  <c r="H13" i="21"/>
  <c r="H14" i="21"/>
  <c r="H15" i="21"/>
  <c r="H16" i="21"/>
  <c r="H17" i="21"/>
  <c r="H18" i="21"/>
  <c r="H19" i="21"/>
  <c r="H20" i="21"/>
  <c r="H21" i="21"/>
  <c r="H22" i="21"/>
  <c r="H23" i="21"/>
  <c r="H24" i="2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I2" i="21"/>
  <c r="H2" i="21"/>
  <c r="I3" i="33"/>
  <c r="I4" i="33"/>
  <c r="I5" i="33"/>
  <c r="I6" i="33"/>
  <c r="I7" i="33"/>
  <c r="I8" i="33"/>
  <c r="I9" i="33"/>
  <c r="I10" i="33"/>
  <c r="I11" i="33"/>
  <c r="I12" i="33"/>
  <c r="I13" i="33"/>
  <c r="I14" i="33"/>
  <c r="I15" i="33"/>
  <c r="I16" i="33"/>
  <c r="I17" i="33"/>
  <c r="I18" i="33"/>
  <c r="I19" i="33"/>
  <c r="I20" i="33"/>
  <c r="I21" i="33"/>
  <c r="I22" i="33"/>
  <c r="I23" i="33"/>
  <c r="I24" i="33"/>
  <c r="I25" i="33"/>
  <c r="I26" i="33"/>
  <c r="I27" i="33"/>
  <c r="I28" i="33"/>
  <c r="I29" i="33"/>
  <c r="I30" i="33"/>
  <c r="I31" i="33"/>
  <c r="I32" i="33"/>
  <c r="I33" i="33"/>
  <c r="I34" i="33"/>
  <c r="I35" i="33"/>
  <c r="I36" i="33"/>
  <c r="I37" i="33"/>
  <c r="I38" i="33"/>
  <c r="I39" i="33"/>
  <c r="I40" i="33"/>
  <c r="I41" i="33"/>
  <c r="I42" i="33"/>
  <c r="I43" i="33"/>
  <c r="I44" i="33"/>
  <c r="I45" i="33"/>
  <c r="I46" i="33"/>
  <c r="I47" i="33"/>
  <c r="I48" i="33"/>
  <c r="I49" i="33"/>
  <c r="I50" i="33"/>
  <c r="I51" i="33"/>
  <c r="I52" i="33"/>
  <c r="I53" i="33"/>
  <c r="I54" i="33"/>
  <c r="I55" i="33"/>
  <c r="I56" i="33"/>
  <c r="I57" i="33"/>
  <c r="I58" i="33"/>
  <c r="I59" i="33"/>
  <c r="I60" i="33"/>
  <c r="I61" i="33"/>
  <c r="I62" i="33"/>
  <c r="I63" i="33"/>
  <c r="I64" i="33"/>
  <c r="I65" i="33"/>
  <c r="I66" i="33"/>
  <c r="I67" i="33"/>
  <c r="I68" i="33"/>
  <c r="I69" i="33"/>
  <c r="I70" i="33"/>
  <c r="I71" i="33"/>
  <c r="I72" i="33"/>
  <c r="I73" i="33"/>
  <c r="I74" i="33"/>
  <c r="I75" i="33"/>
  <c r="I76" i="33"/>
  <c r="I77" i="33"/>
  <c r="I78" i="33"/>
  <c r="I79" i="33"/>
  <c r="I80" i="33"/>
  <c r="I81" i="33"/>
  <c r="I82" i="33"/>
  <c r="I83" i="33"/>
  <c r="I84" i="33"/>
  <c r="I85" i="33"/>
  <c r="I86" i="33"/>
  <c r="I87" i="33"/>
  <c r="I88" i="33"/>
  <c r="I89" i="33"/>
  <c r="I90" i="33"/>
  <c r="I91" i="33"/>
  <c r="I92" i="33"/>
  <c r="I93" i="33"/>
  <c r="I94" i="33"/>
  <c r="I95" i="33"/>
  <c r="I96" i="33"/>
  <c r="I97" i="33"/>
  <c r="I98" i="33"/>
  <c r="I99" i="33"/>
  <c r="I100" i="33"/>
  <c r="I101" i="33"/>
  <c r="I102" i="33"/>
  <c r="I103" i="33"/>
  <c r="I104" i="33"/>
  <c r="I105" i="33"/>
  <c r="I106" i="33"/>
  <c r="I107" i="33"/>
  <c r="I108" i="33"/>
  <c r="I109" i="33"/>
  <c r="I110" i="33"/>
  <c r="I111" i="33"/>
  <c r="I112" i="33"/>
  <c r="I113" i="33"/>
  <c r="I114" i="33"/>
  <c r="I115" i="33"/>
  <c r="I116" i="33"/>
  <c r="I117" i="33"/>
  <c r="I118" i="33"/>
  <c r="I119" i="33"/>
  <c r="I120" i="33"/>
  <c r="I121" i="33"/>
  <c r="I122" i="33"/>
  <c r="I123" i="33"/>
  <c r="I124" i="33"/>
  <c r="I125" i="33"/>
  <c r="I126" i="33"/>
  <c r="I127" i="33"/>
  <c r="I128" i="33"/>
  <c r="I129" i="33"/>
  <c r="I130" i="33"/>
  <c r="I131" i="33"/>
  <c r="I132" i="33"/>
  <c r="I133" i="33"/>
  <c r="I134" i="33"/>
  <c r="I135" i="33"/>
  <c r="I136" i="33"/>
  <c r="I137" i="33"/>
  <c r="I138" i="33"/>
  <c r="I139" i="33"/>
  <c r="I140" i="33"/>
  <c r="I141" i="33"/>
  <c r="I142" i="33"/>
  <c r="I143" i="33"/>
  <c r="I144" i="33"/>
  <c r="I145" i="33"/>
  <c r="I146" i="33"/>
  <c r="I147" i="33"/>
  <c r="I148" i="33"/>
  <c r="I149" i="33"/>
  <c r="I150" i="33"/>
  <c r="I151" i="33"/>
  <c r="I2" i="33"/>
  <c r="H3" i="33"/>
  <c r="H4" i="33"/>
  <c r="H5" i="33"/>
  <c r="H6" i="33"/>
  <c r="H7" i="33"/>
  <c r="H8" i="33"/>
  <c r="H9" i="33"/>
  <c r="H10" i="33"/>
  <c r="H11" i="33"/>
  <c r="H12" i="33"/>
  <c r="H13" i="33"/>
  <c r="H14" i="33"/>
  <c r="H15" i="33"/>
  <c r="H16" i="33"/>
  <c r="H17" i="33"/>
  <c r="H18" i="33"/>
  <c r="H19" i="33"/>
  <c r="H20" i="33"/>
  <c r="H21" i="33"/>
  <c r="H22" i="33"/>
  <c r="H23" i="33"/>
  <c r="H24" i="33"/>
  <c r="H25" i="33"/>
  <c r="H26" i="33"/>
  <c r="H27" i="33"/>
  <c r="H28" i="33"/>
  <c r="H29" i="33"/>
  <c r="H30" i="33"/>
  <c r="H31" i="33"/>
  <c r="H32" i="33"/>
  <c r="H33" i="33"/>
  <c r="H34" i="33"/>
  <c r="H35" i="33"/>
  <c r="H36" i="33"/>
  <c r="H37" i="33"/>
  <c r="H38" i="33"/>
  <c r="H39" i="33"/>
  <c r="H40" i="33"/>
  <c r="H41" i="33"/>
  <c r="H42" i="33"/>
  <c r="H43" i="33"/>
  <c r="H44" i="33"/>
  <c r="H45" i="33"/>
  <c r="H46" i="33"/>
  <c r="H47" i="33"/>
  <c r="H48" i="33"/>
  <c r="H49" i="33"/>
  <c r="H50" i="33"/>
  <c r="H51" i="33"/>
  <c r="H52" i="33"/>
  <c r="H53" i="33"/>
  <c r="H54" i="33"/>
  <c r="H55" i="33"/>
  <c r="H56" i="33"/>
  <c r="H57" i="33"/>
  <c r="H58" i="33"/>
  <c r="H59" i="33"/>
  <c r="H60" i="33"/>
  <c r="H61" i="33"/>
  <c r="H62" i="33"/>
  <c r="H63" i="33"/>
  <c r="H64" i="33"/>
  <c r="H65" i="33"/>
  <c r="H66" i="33"/>
  <c r="H67" i="33"/>
  <c r="H68" i="33"/>
  <c r="H69" i="33"/>
  <c r="H70" i="33"/>
  <c r="H71" i="33"/>
  <c r="H72" i="33"/>
  <c r="H73" i="33"/>
  <c r="H74" i="33"/>
  <c r="H75" i="33"/>
  <c r="H76" i="33"/>
  <c r="H77" i="33"/>
  <c r="H78" i="33"/>
  <c r="H79" i="33"/>
  <c r="H80" i="33"/>
  <c r="H81" i="33"/>
  <c r="H82" i="33"/>
  <c r="H83" i="33"/>
  <c r="H84" i="33"/>
  <c r="H85" i="33"/>
  <c r="H86" i="33"/>
  <c r="H87" i="33"/>
  <c r="H88" i="33"/>
  <c r="H89" i="33"/>
  <c r="H90" i="33"/>
  <c r="H91" i="33"/>
  <c r="H92" i="33"/>
  <c r="H93" i="33"/>
  <c r="H94" i="33"/>
  <c r="H95" i="33"/>
  <c r="H96" i="33"/>
  <c r="H97" i="33"/>
  <c r="H98" i="33"/>
  <c r="H99" i="33"/>
  <c r="H100" i="33"/>
  <c r="H101" i="33"/>
  <c r="H102" i="33"/>
  <c r="H103" i="33"/>
  <c r="H104" i="33"/>
  <c r="H105" i="33"/>
  <c r="H106" i="33"/>
  <c r="H107" i="33"/>
  <c r="H108" i="33"/>
  <c r="H109" i="33"/>
  <c r="H110" i="33"/>
  <c r="H111" i="33"/>
  <c r="H112" i="33"/>
  <c r="H113" i="33"/>
  <c r="H114" i="33"/>
  <c r="H115" i="33"/>
  <c r="H116" i="33"/>
  <c r="H117" i="33"/>
  <c r="H118" i="33"/>
  <c r="H119" i="33"/>
  <c r="H120" i="33"/>
  <c r="H121" i="33"/>
  <c r="H122" i="33"/>
  <c r="H123" i="33"/>
  <c r="H124" i="33"/>
  <c r="H125" i="33"/>
  <c r="H126" i="33"/>
  <c r="H127" i="33"/>
  <c r="H128" i="33"/>
  <c r="H129" i="33"/>
  <c r="H130" i="33"/>
  <c r="H131" i="33"/>
  <c r="H132" i="33"/>
  <c r="H133" i="33"/>
  <c r="H134" i="33"/>
  <c r="H135" i="33"/>
  <c r="H136" i="33"/>
  <c r="H137" i="33"/>
  <c r="H138" i="33"/>
  <c r="H139" i="33"/>
  <c r="H140" i="33"/>
  <c r="H141" i="33"/>
  <c r="H142" i="33"/>
  <c r="H143" i="33"/>
  <c r="H144" i="33"/>
  <c r="H145" i="33"/>
  <c r="H146" i="33"/>
  <c r="H147" i="33"/>
  <c r="H148" i="33"/>
  <c r="H149" i="33"/>
  <c r="H150" i="33"/>
  <c r="H151" i="33"/>
  <c r="H2" i="33"/>
  <c r="G3" i="33"/>
  <c r="G4" i="33"/>
  <c r="G5" i="33"/>
  <c r="G6" i="33"/>
  <c r="G7" i="33"/>
  <c r="G8" i="33"/>
  <c r="G9" i="33"/>
  <c r="G10" i="33"/>
  <c r="G11" i="33"/>
  <c r="G12" i="33"/>
  <c r="G13" i="33"/>
  <c r="G14" i="33"/>
  <c r="G15" i="33"/>
  <c r="G16" i="33"/>
  <c r="G17" i="33"/>
  <c r="G18" i="33"/>
  <c r="G19" i="33"/>
  <c r="G20" i="33"/>
  <c r="G21" i="33"/>
  <c r="G22" i="33"/>
  <c r="G23" i="33"/>
  <c r="G24" i="33"/>
  <c r="G25" i="33"/>
  <c r="G26" i="33"/>
  <c r="G27" i="33"/>
  <c r="G28" i="33"/>
  <c r="G29" i="33"/>
  <c r="G30" i="33"/>
  <c r="G31" i="33"/>
  <c r="G32" i="33"/>
  <c r="G33" i="33"/>
  <c r="G34" i="33"/>
  <c r="G35" i="33"/>
  <c r="G36" i="33"/>
  <c r="G37" i="33"/>
  <c r="G38" i="33"/>
  <c r="G39" i="33"/>
  <c r="G40" i="33"/>
  <c r="G41" i="33"/>
  <c r="G42" i="33"/>
  <c r="G43" i="33"/>
  <c r="G44" i="33"/>
  <c r="G45" i="33"/>
  <c r="G46" i="33"/>
  <c r="G47" i="33"/>
  <c r="G48" i="33"/>
  <c r="G49" i="33"/>
  <c r="G50" i="33"/>
  <c r="G51" i="33"/>
  <c r="G52" i="33"/>
  <c r="G53" i="33"/>
  <c r="G54" i="33"/>
  <c r="G55" i="33"/>
  <c r="G56" i="33"/>
  <c r="G57" i="33"/>
  <c r="G58" i="33"/>
  <c r="G59" i="33"/>
  <c r="G60" i="33"/>
  <c r="G61" i="33"/>
  <c r="G62" i="33"/>
  <c r="G63" i="33"/>
  <c r="G64" i="33"/>
  <c r="G65" i="33"/>
  <c r="G66" i="33"/>
  <c r="G67" i="33"/>
  <c r="G68" i="33"/>
  <c r="G69" i="33"/>
  <c r="G70" i="33"/>
  <c r="G71" i="33"/>
  <c r="G72" i="33"/>
  <c r="G73" i="33"/>
  <c r="G74" i="33"/>
  <c r="G75" i="33"/>
  <c r="G76" i="33"/>
  <c r="G77" i="33"/>
  <c r="G78" i="33"/>
  <c r="G79" i="33"/>
  <c r="G80" i="33"/>
  <c r="G81" i="33"/>
  <c r="G82" i="33"/>
  <c r="G83" i="33"/>
  <c r="G84" i="33"/>
  <c r="G85" i="33"/>
  <c r="G86" i="33"/>
  <c r="G87" i="33"/>
  <c r="G88" i="33"/>
  <c r="G89" i="33"/>
  <c r="G90" i="33"/>
  <c r="G91" i="33"/>
  <c r="G92" i="33"/>
  <c r="G93" i="33"/>
  <c r="G94" i="33"/>
  <c r="G95" i="33"/>
  <c r="G96" i="33"/>
  <c r="G97" i="33"/>
  <c r="G98" i="33"/>
  <c r="G99" i="33"/>
  <c r="G100" i="33"/>
  <c r="G101" i="33"/>
  <c r="G102" i="33"/>
  <c r="G103" i="33"/>
  <c r="G104" i="33"/>
  <c r="G105" i="33"/>
  <c r="G106" i="33"/>
  <c r="G107" i="33"/>
  <c r="G108" i="33"/>
  <c r="G109" i="33"/>
  <c r="G110" i="33"/>
  <c r="G111" i="33"/>
  <c r="G112" i="33"/>
  <c r="G113" i="33"/>
  <c r="G114" i="33"/>
  <c r="G115" i="33"/>
  <c r="G116" i="33"/>
  <c r="G117" i="33"/>
  <c r="G118" i="33"/>
  <c r="G119" i="33"/>
  <c r="G120" i="33"/>
  <c r="G121" i="33"/>
  <c r="G122" i="33"/>
  <c r="G123" i="33"/>
  <c r="G124" i="33"/>
  <c r="G125" i="33"/>
  <c r="G126" i="33"/>
  <c r="G127" i="33"/>
  <c r="G128" i="33"/>
  <c r="G129" i="33"/>
  <c r="G130" i="33"/>
  <c r="G131" i="33"/>
  <c r="G132" i="33"/>
  <c r="G133" i="33"/>
  <c r="G134" i="33"/>
  <c r="G135" i="33"/>
  <c r="G136" i="33"/>
  <c r="G137" i="33"/>
  <c r="G138" i="33"/>
  <c r="G139" i="33"/>
  <c r="G140" i="33"/>
  <c r="G141" i="33"/>
  <c r="G142" i="33"/>
  <c r="G143" i="33"/>
  <c r="G144" i="33"/>
  <c r="G145" i="33"/>
  <c r="G146" i="33"/>
  <c r="G147" i="33"/>
  <c r="G148" i="33"/>
  <c r="G149" i="33"/>
  <c r="G150" i="33"/>
  <c r="G151" i="33"/>
  <c r="G2" i="33"/>
  <c r="F3" i="33"/>
  <c r="F4" i="33"/>
  <c r="F5" i="33"/>
  <c r="F6" i="33"/>
  <c r="F7" i="33"/>
  <c r="F8" i="33"/>
  <c r="F9" i="33"/>
  <c r="F10" i="33"/>
  <c r="F11" i="33"/>
  <c r="F12" i="33"/>
  <c r="F13" i="33"/>
  <c r="F14" i="33"/>
  <c r="F15" i="33"/>
  <c r="F16" i="33"/>
  <c r="F17" i="33"/>
  <c r="F18" i="33"/>
  <c r="F19" i="33"/>
  <c r="F20" i="33"/>
  <c r="F21" i="33"/>
  <c r="F22" i="33"/>
  <c r="F23" i="33"/>
  <c r="F24" i="33"/>
  <c r="F25" i="33"/>
  <c r="F26" i="33"/>
  <c r="F27" i="33"/>
  <c r="F28" i="33"/>
  <c r="F29" i="33"/>
  <c r="F30" i="33"/>
  <c r="F31" i="33"/>
  <c r="F32" i="33"/>
  <c r="F33" i="33"/>
  <c r="F34" i="33"/>
  <c r="F35" i="33"/>
  <c r="F36" i="33"/>
  <c r="F37" i="33"/>
  <c r="F38" i="33"/>
  <c r="F39" i="33"/>
  <c r="F40" i="33"/>
  <c r="F41" i="33"/>
  <c r="F42" i="33"/>
  <c r="F43" i="33"/>
  <c r="F44" i="33"/>
  <c r="F45" i="33"/>
  <c r="F46" i="33"/>
  <c r="F47" i="33"/>
  <c r="F48" i="33"/>
  <c r="F49" i="33"/>
  <c r="F50" i="33"/>
  <c r="F51" i="33"/>
  <c r="F52" i="33"/>
  <c r="F53" i="33"/>
  <c r="F54" i="33"/>
  <c r="F55" i="33"/>
  <c r="F56" i="33"/>
  <c r="F57" i="33"/>
  <c r="F58" i="33"/>
  <c r="F59" i="33"/>
  <c r="F60" i="33"/>
  <c r="F61" i="33"/>
  <c r="F62" i="33"/>
  <c r="F63" i="33"/>
  <c r="F64" i="33"/>
  <c r="F65" i="33"/>
  <c r="F66" i="33"/>
  <c r="F67" i="33"/>
  <c r="F68" i="33"/>
  <c r="F69" i="33"/>
  <c r="F70" i="33"/>
  <c r="F71" i="33"/>
  <c r="F72" i="33"/>
  <c r="F73" i="33"/>
  <c r="F74" i="33"/>
  <c r="F75" i="33"/>
  <c r="F76" i="33"/>
  <c r="F77" i="33"/>
  <c r="F78" i="33"/>
  <c r="F79" i="33"/>
  <c r="F80" i="33"/>
  <c r="F81" i="33"/>
  <c r="F82" i="33"/>
  <c r="F83" i="33"/>
  <c r="F84" i="33"/>
  <c r="F85" i="33"/>
  <c r="F86" i="33"/>
  <c r="F87" i="33"/>
  <c r="F88" i="33"/>
  <c r="F89" i="33"/>
  <c r="F90" i="33"/>
  <c r="F91" i="33"/>
  <c r="F92" i="33"/>
  <c r="F93" i="33"/>
  <c r="F94" i="33"/>
  <c r="F95" i="33"/>
  <c r="F96" i="33"/>
  <c r="F97" i="33"/>
  <c r="F98" i="33"/>
  <c r="F99" i="33"/>
  <c r="F100" i="33"/>
  <c r="F101" i="33"/>
  <c r="F102" i="33"/>
  <c r="F103" i="33"/>
  <c r="F104" i="33"/>
  <c r="F105" i="33"/>
  <c r="F106" i="33"/>
  <c r="F107" i="33"/>
  <c r="F108" i="33"/>
  <c r="F109" i="33"/>
  <c r="F110" i="33"/>
  <c r="F111" i="33"/>
  <c r="F112" i="33"/>
  <c r="F113" i="33"/>
  <c r="F114" i="33"/>
  <c r="F115" i="33"/>
  <c r="F116" i="33"/>
  <c r="F117" i="33"/>
  <c r="F118" i="33"/>
  <c r="F119" i="33"/>
  <c r="F120" i="33"/>
  <c r="F121" i="33"/>
  <c r="F122" i="33"/>
  <c r="F123" i="33"/>
  <c r="F124" i="33"/>
  <c r="F125" i="33"/>
  <c r="F126" i="33"/>
  <c r="F127" i="33"/>
  <c r="F128" i="33"/>
  <c r="F129" i="33"/>
  <c r="F130" i="33"/>
  <c r="F131" i="33"/>
  <c r="F132" i="33"/>
  <c r="F133" i="33"/>
  <c r="F134" i="33"/>
  <c r="F135" i="33"/>
  <c r="F136" i="33"/>
  <c r="F137" i="33"/>
  <c r="F138" i="33"/>
  <c r="F139" i="33"/>
  <c r="F140" i="33"/>
  <c r="F141" i="33"/>
  <c r="F142" i="33"/>
  <c r="F143" i="33"/>
  <c r="F144" i="33"/>
  <c r="F145" i="33"/>
  <c r="F146" i="33"/>
  <c r="F147" i="33"/>
  <c r="F148" i="33"/>
  <c r="F149" i="33"/>
  <c r="F150" i="33"/>
  <c r="F151" i="33"/>
  <c r="F2" i="33"/>
  <c r="J2" i="33"/>
  <c r="F7" i="51" l="1"/>
  <c r="F8" i="51"/>
  <c r="F9" i="51"/>
  <c r="F10" i="51"/>
  <c r="F11" i="51"/>
  <c r="F12" i="51"/>
  <c r="F13" i="51"/>
  <c r="F14" i="51"/>
  <c r="F15" i="51"/>
  <c r="F16" i="51"/>
  <c r="F17" i="51"/>
  <c r="F18" i="51"/>
  <c r="F19" i="51"/>
  <c r="F20" i="51"/>
  <c r="F21" i="51"/>
  <c r="F22" i="51"/>
  <c r="F23" i="51"/>
  <c r="F24" i="51"/>
  <c r="F25" i="51"/>
  <c r="F26" i="51"/>
  <c r="F27" i="51"/>
  <c r="F28" i="51"/>
  <c r="F29" i="51"/>
  <c r="F30" i="51"/>
  <c r="F31" i="51"/>
  <c r="F32" i="51"/>
  <c r="F33" i="51"/>
  <c r="F34" i="51"/>
  <c r="F35" i="51"/>
  <c r="F36" i="51"/>
  <c r="F37" i="51"/>
  <c r="F38" i="51"/>
  <c r="F39" i="51"/>
  <c r="F40" i="51"/>
  <c r="F41" i="51"/>
  <c r="F42" i="51"/>
  <c r="F43" i="51"/>
  <c r="F44" i="51"/>
  <c r="F45" i="51"/>
  <c r="F46" i="51"/>
  <c r="F47" i="51"/>
  <c r="F48" i="51"/>
  <c r="F49" i="51"/>
  <c r="F50" i="51"/>
  <c r="F51" i="51"/>
  <c r="F52" i="51"/>
  <c r="F53" i="51"/>
  <c r="F54" i="51"/>
  <c r="F55" i="51"/>
  <c r="F56" i="51"/>
  <c r="F57" i="51"/>
  <c r="F58" i="51"/>
  <c r="F59" i="51"/>
  <c r="F60" i="51"/>
  <c r="F61" i="51"/>
  <c r="F62" i="51"/>
  <c r="F63" i="51"/>
  <c r="F64" i="51"/>
  <c r="F65" i="51"/>
  <c r="F66" i="51"/>
  <c r="F67" i="51"/>
  <c r="F68" i="51"/>
  <c r="F69" i="51"/>
  <c r="F70" i="51"/>
  <c r="F71" i="51"/>
  <c r="F72" i="51"/>
  <c r="F73" i="51"/>
  <c r="F74" i="51"/>
  <c r="F75" i="51"/>
  <c r="F76" i="51"/>
  <c r="F77" i="51"/>
  <c r="F78" i="51"/>
  <c r="F79" i="51"/>
  <c r="F80" i="51"/>
  <c r="F81" i="51"/>
  <c r="F82" i="51"/>
  <c r="F83" i="51"/>
  <c r="F84" i="51"/>
  <c r="F85" i="51"/>
  <c r="F86" i="51"/>
  <c r="F87" i="51"/>
  <c r="F88" i="51"/>
  <c r="F89" i="51"/>
  <c r="F90" i="51"/>
  <c r="F91" i="51"/>
  <c r="F92" i="51"/>
  <c r="F93" i="51"/>
  <c r="F94" i="51"/>
  <c r="F95" i="51"/>
  <c r="F96" i="51"/>
  <c r="F97" i="51"/>
  <c r="F98" i="51"/>
  <c r="F99" i="51"/>
  <c r="F100" i="51"/>
  <c r="F101" i="51"/>
  <c r="F102" i="51"/>
  <c r="F103" i="51"/>
  <c r="F104" i="51"/>
  <c r="F105" i="51"/>
  <c r="F106" i="51"/>
  <c r="F107" i="51"/>
  <c r="F108" i="51"/>
  <c r="F109" i="51"/>
  <c r="F110" i="51"/>
  <c r="F111" i="51"/>
  <c r="F112" i="51"/>
  <c r="F113" i="51"/>
  <c r="F114" i="51"/>
  <c r="F115" i="51"/>
  <c r="F116" i="51"/>
  <c r="F117" i="51"/>
  <c r="F118" i="51"/>
  <c r="F119" i="51"/>
  <c r="F120" i="51"/>
  <c r="F121" i="51"/>
  <c r="F122" i="51"/>
  <c r="F123" i="51"/>
  <c r="F124" i="51"/>
  <c r="F125" i="51"/>
  <c r="F126" i="51"/>
  <c r="F127" i="51"/>
  <c r="F128" i="51"/>
  <c r="F129" i="51"/>
  <c r="F130" i="51"/>
  <c r="F131" i="51"/>
  <c r="F132" i="51"/>
  <c r="F133" i="51"/>
  <c r="F134" i="51"/>
  <c r="F135" i="51"/>
  <c r="F136" i="51"/>
  <c r="F137" i="51"/>
  <c r="F138" i="51"/>
  <c r="F139" i="51"/>
  <c r="F140" i="51"/>
  <c r="F141" i="51"/>
  <c r="F142" i="51"/>
  <c r="F143" i="51"/>
  <c r="F144" i="51"/>
  <c r="F145" i="51"/>
  <c r="F146" i="51"/>
  <c r="F147" i="51"/>
  <c r="F148" i="51"/>
  <c r="F149" i="51"/>
  <c r="F150" i="51"/>
  <c r="F151" i="51"/>
  <c r="F152" i="51"/>
  <c r="F153" i="51"/>
  <c r="F154" i="51"/>
  <c r="F155" i="51"/>
  <c r="F156" i="51"/>
  <c r="F157" i="51"/>
  <c r="F158" i="51"/>
  <c r="F159" i="51"/>
  <c r="F160" i="51"/>
  <c r="F161" i="51"/>
  <c r="F162" i="51"/>
  <c r="F163" i="51"/>
  <c r="F164" i="51"/>
  <c r="F165" i="51"/>
  <c r="F166" i="51"/>
  <c r="F167" i="51"/>
  <c r="F168" i="51"/>
  <c r="F169" i="51"/>
  <c r="F170" i="51"/>
  <c r="F171" i="51"/>
  <c r="F172" i="51"/>
  <c r="F173" i="51"/>
  <c r="F174" i="51"/>
  <c r="F175" i="51"/>
  <c r="F176" i="51"/>
  <c r="F177" i="51"/>
  <c r="F178" i="51"/>
  <c r="F179" i="51"/>
  <c r="F180" i="51"/>
  <c r="F190" i="51"/>
  <c r="F193" i="51"/>
  <c r="F189" i="51"/>
  <c r="F192" i="51"/>
  <c r="F188" i="51"/>
  <c r="F191" i="51"/>
  <c r="F181" i="51"/>
  <c r="F186" i="51"/>
  <c r="F185" i="51"/>
  <c r="F187" i="51"/>
  <c r="F183" i="51"/>
  <c r="F184" i="51"/>
  <c r="F182" i="51"/>
  <c r="F194" i="51"/>
  <c r="F195" i="51"/>
  <c r="F196" i="51"/>
  <c r="F197" i="51"/>
  <c r="F198" i="51"/>
  <c r="F199" i="51"/>
  <c r="F200" i="51"/>
  <c r="F201" i="51"/>
  <c r="F202" i="51"/>
  <c r="F203" i="51"/>
  <c r="F204" i="51"/>
  <c r="F205" i="51"/>
  <c r="F206" i="51"/>
  <c r="F207" i="51"/>
  <c r="F208" i="51"/>
  <c r="F209" i="51"/>
  <c r="F210" i="51"/>
  <c r="F211" i="51"/>
  <c r="F212" i="51"/>
  <c r="F213" i="51"/>
  <c r="F214" i="51"/>
  <c r="F215" i="51"/>
  <c r="F216" i="51"/>
  <c r="F217" i="51"/>
  <c r="F4" i="51"/>
  <c r="B48" i="35"/>
  <c r="E48" i="35"/>
  <c r="F48" i="35"/>
  <c r="G48" i="35"/>
  <c r="H48" i="35"/>
  <c r="J48" i="35"/>
  <c r="L48" i="35"/>
  <c r="B49" i="35"/>
  <c r="E49" i="35"/>
  <c r="F49" i="35"/>
  <c r="G49" i="35"/>
  <c r="H49" i="35"/>
  <c r="J49" i="35"/>
  <c r="L49" i="35"/>
  <c r="B50" i="35"/>
  <c r="E50" i="35"/>
  <c r="F50" i="35"/>
  <c r="G50" i="35"/>
  <c r="H50" i="35"/>
  <c r="J50" i="35"/>
  <c r="L50" i="35"/>
  <c r="B51" i="35"/>
  <c r="C51" i="35"/>
  <c r="E51" i="35"/>
  <c r="F51" i="35"/>
  <c r="G51" i="35"/>
  <c r="H51" i="35"/>
  <c r="J51" i="35"/>
  <c r="L51" i="35"/>
  <c r="B52" i="35"/>
  <c r="C52" i="35"/>
  <c r="E52" i="35"/>
  <c r="F52" i="35"/>
  <c r="G52" i="35"/>
  <c r="H52" i="35"/>
  <c r="J52" i="35"/>
  <c r="L52" i="35"/>
  <c r="B53" i="35"/>
  <c r="C53" i="35"/>
  <c r="E53" i="35"/>
  <c r="F53" i="35"/>
  <c r="G53" i="35"/>
  <c r="H53" i="35"/>
  <c r="J53" i="35"/>
  <c r="L53" i="35"/>
  <c r="B54" i="35"/>
  <c r="C54" i="35"/>
  <c r="E54" i="35"/>
  <c r="F54" i="35"/>
  <c r="G54" i="35"/>
  <c r="H54" i="35"/>
  <c r="J54" i="35"/>
  <c r="L54" i="35"/>
  <c r="B55" i="35"/>
  <c r="C55" i="35"/>
  <c r="E55" i="35"/>
  <c r="F55" i="35"/>
  <c r="G55" i="35"/>
  <c r="H55" i="35"/>
  <c r="J55" i="35"/>
  <c r="L55" i="35"/>
  <c r="B56" i="35"/>
  <c r="C56" i="35"/>
  <c r="E56" i="35"/>
  <c r="F56" i="35"/>
  <c r="G56" i="35"/>
  <c r="H56" i="35"/>
  <c r="J56" i="35"/>
  <c r="L56" i="35"/>
  <c r="B57" i="35"/>
  <c r="C57" i="35"/>
  <c r="E57" i="35"/>
  <c r="F57" i="35"/>
  <c r="G57" i="35"/>
  <c r="H57" i="35"/>
  <c r="J57" i="35"/>
  <c r="L57" i="35"/>
  <c r="B58" i="35"/>
  <c r="C58" i="35"/>
  <c r="E58" i="35"/>
  <c r="F58" i="35"/>
  <c r="G58" i="35"/>
  <c r="H58" i="35"/>
  <c r="J58" i="35"/>
  <c r="L58" i="35"/>
  <c r="B59" i="35"/>
  <c r="C59" i="35"/>
  <c r="E59" i="35"/>
  <c r="F59" i="35"/>
  <c r="G59" i="35"/>
  <c r="H59" i="35"/>
  <c r="J59" i="35"/>
  <c r="L59" i="35"/>
  <c r="B60" i="35"/>
  <c r="C60" i="35"/>
  <c r="E60" i="35"/>
  <c r="F60" i="35"/>
  <c r="G60" i="35"/>
  <c r="H60" i="35"/>
  <c r="J60" i="35"/>
  <c r="L60" i="35"/>
  <c r="B61" i="35"/>
  <c r="C61" i="35"/>
  <c r="E61" i="35"/>
  <c r="F61" i="35"/>
  <c r="G61" i="35"/>
  <c r="H61" i="35"/>
  <c r="J61" i="35"/>
  <c r="L61" i="35"/>
  <c r="B62" i="35"/>
  <c r="C62" i="35"/>
  <c r="E62" i="35"/>
  <c r="F62" i="35"/>
  <c r="G62" i="35"/>
  <c r="H62" i="35"/>
  <c r="J62" i="35"/>
  <c r="L62" i="35"/>
  <c r="B63" i="35"/>
  <c r="C63" i="35"/>
  <c r="E63" i="35"/>
  <c r="F63" i="35"/>
  <c r="G63" i="35"/>
  <c r="H63" i="35"/>
  <c r="J63" i="35"/>
  <c r="L63" i="35"/>
  <c r="B64" i="35"/>
  <c r="C64" i="35"/>
  <c r="E64" i="35"/>
  <c r="F64" i="35"/>
  <c r="G64" i="35"/>
  <c r="H64" i="35"/>
  <c r="J64" i="35"/>
  <c r="L64" i="35"/>
  <c r="B65" i="35"/>
  <c r="C65" i="35"/>
  <c r="E65" i="35"/>
  <c r="F65" i="35"/>
  <c r="G65" i="35"/>
  <c r="H65" i="35"/>
  <c r="J65" i="35"/>
  <c r="L65" i="35"/>
  <c r="B66" i="35"/>
  <c r="C66" i="35"/>
  <c r="E66" i="35"/>
  <c r="F66" i="35"/>
  <c r="G66" i="35"/>
  <c r="H66" i="35"/>
  <c r="J66" i="35"/>
  <c r="L66" i="35"/>
  <c r="B67" i="35"/>
  <c r="C67" i="35"/>
  <c r="E67" i="35"/>
  <c r="F67" i="35"/>
  <c r="G67" i="35"/>
  <c r="H67" i="35"/>
  <c r="J67" i="35"/>
  <c r="L67" i="35"/>
  <c r="B68" i="35"/>
  <c r="C68" i="35"/>
  <c r="E68" i="35"/>
  <c r="F68" i="35"/>
  <c r="G68" i="35"/>
  <c r="H68" i="35"/>
  <c r="J68" i="35"/>
  <c r="L68" i="35"/>
  <c r="B69" i="35"/>
  <c r="C69" i="35"/>
  <c r="E69" i="35"/>
  <c r="F69" i="35"/>
  <c r="G69" i="35"/>
  <c r="H69" i="35"/>
  <c r="J69" i="35"/>
  <c r="L69" i="35"/>
  <c r="B70" i="35"/>
  <c r="C70" i="35"/>
  <c r="E70" i="35"/>
  <c r="F70" i="35"/>
  <c r="G70" i="35"/>
  <c r="H70" i="35"/>
  <c r="J70" i="35"/>
  <c r="L70" i="35"/>
  <c r="B71" i="35"/>
  <c r="C71" i="35"/>
  <c r="E71" i="35"/>
  <c r="F71" i="35"/>
  <c r="G71" i="35"/>
  <c r="H71" i="35"/>
  <c r="J71" i="35"/>
  <c r="L71" i="35"/>
  <c r="B72" i="35"/>
  <c r="C72" i="35"/>
  <c r="E72" i="35"/>
  <c r="F72" i="35"/>
  <c r="G72" i="35"/>
  <c r="H72" i="35"/>
  <c r="J72" i="35"/>
  <c r="L72" i="35"/>
  <c r="B73" i="35"/>
  <c r="C73" i="35"/>
  <c r="E73" i="35"/>
  <c r="F73" i="35"/>
  <c r="G73" i="35"/>
  <c r="H73" i="35"/>
  <c r="J73" i="35"/>
  <c r="L73" i="35"/>
  <c r="B74" i="35"/>
  <c r="C74" i="35"/>
  <c r="E74" i="35"/>
  <c r="F74" i="35"/>
  <c r="G74" i="35"/>
  <c r="H74" i="35"/>
  <c r="J74" i="35"/>
  <c r="L74" i="35"/>
  <c r="B75" i="35"/>
  <c r="C75" i="35"/>
  <c r="E75" i="35"/>
  <c r="F75" i="35"/>
  <c r="G75" i="35"/>
  <c r="H75" i="35"/>
  <c r="J75" i="35"/>
  <c r="L75" i="35"/>
  <c r="B76" i="35"/>
  <c r="C76" i="35"/>
  <c r="E76" i="35"/>
  <c r="F76" i="35"/>
  <c r="G76" i="35"/>
  <c r="H76" i="35"/>
  <c r="J76" i="35"/>
  <c r="L76" i="35"/>
  <c r="B77" i="35"/>
  <c r="C77" i="35"/>
  <c r="E77" i="35"/>
  <c r="F77" i="35"/>
  <c r="G77" i="35"/>
  <c r="H77" i="35"/>
  <c r="J77" i="35"/>
  <c r="L77" i="35"/>
  <c r="B78" i="35"/>
  <c r="C78" i="35"/>
  <c r="E78" i="35"/>
  <c r="F78" i="35"/>
  <c r="G78" i="35"/>
  <c r="H78" i="35"/>
  <c r="J78" i="35"/>
  <c r="L78" i="35"/>
  <c r="B79" i="35"/>
  <c r="C79" i="35"/>
  <c r="E79" i="35"/>
  <c r="F79" i="35"/>
  <c r="G79" i="35"/>
  <c r="H79" i="35"/>
  <c r="J79" i="35"/>
  <c r="L79" i="35"/>
  <c r="B80" i="35"/>
  <c r="C80" i="35"/>
  <c r="E80" i="35"/>
  <c r="F80" i="35"/>
  <c r="G80" i="35"/>
  <c r="H80" i="35"/>
  <c r="J80" i="35"/>
  <c r="L80" i="35"/>
  <c r="B81" i="35"/>
  <c r="C81" i="35"/>
  <c r="E81" i="35"/>
  <c r="F81" i="35"/>
  <c r="G81" i="35"/>
  <c r="H81" i="35"/>
  <c r="J81" i="35"/>
  <c r="L81" i="35"/>
  <c r="B17" i="33"/>
  <c r="B18" i="33"/>
  <c r="C26" i="33"/>
  <c r="C27" i="33"/>
  <c r="C28" i="33"/>
  <c r="C29" i="33"/>
  <c r="C30" i="33"/>
  <c r="C31" i="33"/>
  <c r="C32" i="33"/>
  <c r="C33" i="33"/>
  <c r="C34" i="33"/>
  <c r="C35" i="33"/>
  <c r="C36" i="33"/>
  <c r="C37" i="33"/>
  <c r="C38" i="33"/>
  <c r="C39" i="33"/>
  <c r="C40" i="33"/>
  <c r="C41" i="33"/>
  <c r="C42" i="33"/>
  <c r="C43" i="33"/>
  <c r="C44" i="33"/>
  <c r="C45" i="33"/>
  <c r="C46" i="33"/>
  <c r="C47" i="33"/>
  <c r="C48" i="33"/>
  <c r="C49" i="33"/>
  <c r="C50" i="33"/>
  <c r="C51" i="33"/>
  <c r="C52" i="33"/>
  <c r="C53" i="33"/>
  <c r="C54" i="33"/>
  <c r="C55" i="33"/>
  <c r="C56" i="33"/>
  <c r="C57" i="33"/>
  <c r="C58" i="33"/>
  <c r="C59" i="33"/>
  <c r="C60" i="33"/>
  <c r="C61" i="33"/>
  <c r="C62" i="33"/>
  <c r="C63" i="33"/>
  <c r="C64" i="33"/>
  <c r="C65" i="33"/>
  <c r="C66" i="33"/>
  <c r="C67" i="33"/>
  <c r="C68" i="33"/>
  <c r="C69" i="33"/>
  <c r="C70" i="33"/>
  <c r="C71" i="33"/>
  <c r="C72" i="33"/>
  <c r="C73" i="33"/>
  <c r="C74" i="33"/>
  <c r="C75" i="33"/>
  <c r="C76" i="33"/>
  <c r="C77" i="33"/>
  <c r="C78" i="33"/>
  <c r="C79" i="33"/>
  <c r="C80" i="33"/>
  <c r="C81" i="33"/>
  <c r="C82" i="33"/>
  <c r="C83" i="33"/>
  <c r="C84" i="33"/>
  <c r="C85" i="33"/>
  <c r="C86" i="33"/>
  <c r="C87" i="33"/>
  <c r="C88" i="33"/>
  <c r="C89" i="33"/>
  <c r="C90" i="33"/>
  <c r="C91" i="33"/>
  <c r="C92" i="33"/>
  <c r="C93" i="33"/>
  <c r="C94" i="33"/>
  <c r="C95" i="33"/>
  <c r="C96" i="33"/>
  <c r="C97" i="33"/>
  <c r="C98" i="33"/>
  <c r="C99" i="33"/>
  <c r="C100" i="33"/>
  <c r="C101" i="33"/>
  <c r="C102" i="33"/>
  <c r="C103" i="33"/>
  <c r="C104" i="33"/>
  <c r="C105" i="33"/>
  <c r="C106" i="33"/>
  <c r="C107" i="33"/>
  <c r="C108" i="33"/>
  <c r="C109" i="33"/>
  <c r="C110" i="33"/>
  <c r="C111" i="33"/>
  <c r="C112" i="33"/>
  <c r="C113" i="33"/>
  <c r="C114" i="33"/>
  <c r="C115" i="33"/>
  <c r="C116" i="33"/>
  <c r="C117" i="33"/>
  <c r="C118" i="33"/>
  <c r="C119" i="33"/>
  <c r="C120" i="33"/>
  <c r="C121" i="33"/>
  <c r="C122" i="33"/>
  <c r="C123" i="33"/>
  <c r="C124" i="33"/>
  <c r="C125" i="33"/>
  <c r="C126" i="33"/>
  <c r="C127" i="33"/>
  <c r="C128" i="33"/>
  <c r="C129" i="33"/>
  <c r="C130" i="33"/>
  <c r="C131" i="33"/>
  <c r="C132" i="33"/>
  <c r="C133" i="33"/>
  <c r="C134" i="33"/>
  <c r="C135" i="33"/>
  <c r="C136" i="33"/>
  <c r="C137" i="33"/>
  <c r="C138" i="33"/>
  <c r="C139" i="33"/>
  <c r="C140" i="33"/>
  <c r="C141" i="33"/>
  <c r="C142" i="33"/>
  <c r="C143" i="33"/>
  <c r="C144" i="33"/>
  <c r="C145" i="33"/>
  <c r="C146" i="33"/>
  <c r="C147" i="33"/>
  <c r="C148" i="33"/>
  <c r="C149" i="33"/>
  <c r="C150" i="33"/>
  <c r="C151" i="33"/>
  <c r="H3" i="35" l="1"/>
  <c r="H4" i="35"/>
  <c r="H5" i="35"/>
  <c r="H6" i="35"/>
  <c r="H7" i="35"/>
  <c r="H8" i="35"/>
  <c r="H9" i="35"/>
  <c r="H10" i="35"/>
  <c r="H11" i="35"/>
  <c r="H12" i="35"/>
  <c r="H13" i="35"/>
  <c r="H14" i="35"/>
  <c r="H15" i="35"/>
  <c r="H16" i="35"/>
  <c r="H17" i="35"/>
  <c r="H18" i="35"/>
  <c r="H19" i="35"/>
  <c r="H20" i="35"/>
  <c r="H21" i="35"/>
  <c r="H22" i="35"/>
  <c r="H23" i="35"/>
  <c r="H24" i="35"/>
  <c r="H25" i="35"/>
  <c r="H26" i="35"/>
  <c r="H27" i="35"/>
  <c r="H28" i="35"/>
  <c r="H29" i="35"/>
  <c r="H30" i="35"/>
  <c r="H31" i="35"/>
  <c r="H32" i="35"/>
  <c r="H33" i="35"/>
  <c r="H34" i="35"/>
  <c r="H35" i="35"/>
  <c r="H36" i="35"/>
  <c r="H37" i="35"/>
  <c r="H38" i="35"/>
  <c r="H39" i="35"/>
  <c r="H40" i="35"/>
  <c r="H41" i="35"/>
  <c r="H42" i="35"/>
  <c r="H43" i="35"/>
  <c r="H44" i="35"/>
  <c r="H45" i="35"/>
  <c r="H46" i="35"/>
  <c r="H47" i="35"/>
  <c r="H2" i="35"/>
  <c r="F3" i="21"/>
  <c r="F4" i="21"/>
  <c r="F5" i="21"/>
  <c r="F6" i="21"/>
  <c r="F7" i="21"/>
  <c r="F8" i="21"/>
  <c r="F9" i="21"/>
  <c r="F10" i="21"/>
  <c r="F11" i="21"/>
  <c r="F12" i="21"/>
  <c r="F13" i="21"/>
  <c r="F14" i="21"/>
  <c r="F15" i="21"/>
  <c r="F16" i="21"/>
  <c r="F17" i="21"/>
  <c r="F18" i="21"/>
  <c r="F19" i="21"/>
  <c r="F20" i="21"/>
  <c r="F21" i="21"/>
  <c r="F22" i="21"/>
  <c r="F23" i="21"/>
  <c r="F24" i="21"/>
  <c r="F25" i="21"/>
  <c r="F26" i="21"/>
  <c r="F27" i="21"/>
  <c r="F28" i="21"/>
  <c r="F29" i="21"/>
  <c r="F30" i="21"/>
  <c r="F31" i="21"/>
  <c r="F32" i="21"/>
  <c r="F33" i="21"/>
  <c r="F34" i="21"/>
  <c r="F35" i="21"/>
  <c r="F36" i="21"/>
  <c r="F37" i="21"/>
  <c r="F38" i="21"/>
  <c r="F39" i="21"/>
  <c r="F40" i="21"/>
  <c r="F41" i="21"/>
  <c r="F42" i="21"/>
  <c r="F43" i="21"/>
  <c r="F44" i="21"/>
  <c r="F45" i="21"/>
  <c r="F46" i="21"/>
  <c r="F47" i="21"/>
  <c r="F48" i="21"/>
  <c r="F49" i="21"/>
  <c r="F50" i="21"/>
  <c r="F51" i="21"/>
  <c r="F2" i="21"/>
  <c r="E3" i="37"/>
  <c r="E4" i="37"/>
  <c r="E5" i="37"/>
  <c r="E6" i="37"/>
  <c r="E7" i="37"/>
  <c r="E8" i="37"/>
  <c r="E9" i="37"/>
  <c r="E10" i="37"/>
  <c r="E11" i="37"/>
  <c r="E12" i="37"/>
  <c r="E13" i="37"/>
  <c r="E14" i="37"/>
  <c r="E15" i="37"/>
  <c r="E16" i="37"/>
  <c r="E17" i="37"/>
  <c r="E18" i="37"/>
  <c r="E19" i="37"/>
  <c r="E20" i="37"/>
  <c r="E21" i="37"/>
  <c r="E22" i="37"/>
  <c r="E23" i="37"/>
  <c r="E24" i="37"/>
  <c r="E25" i="37"/>
  <c r="E26" i="37"/>
  <c r="E27" i="37"/>
  <c r="E28" i="37"/>
  <c r="E29" i="37"/>
  <c r="E30" i="37"/>
  <c r="E31" i="37"/>
  <c r="E32" i="37"/>
  <c r="E33" i="37"/>
  <c r="E34" i="37"/>
  <c r="E35" i="37"/>
  <c r="E36" i="37"/>
  <c r="E37" i="37"/>
  <c r="E38" i="37"/>
  <c r="E39" i="37"/>
  <c r="E40" i="37"/>
  <c r="E41" i="37"/>
  <c r="E2" i="37"/>
  <c r="E3" i="35"/>
  <c r="E4" i="35"/>
  <c r="E5" i="35"/>
  <c r="E6" i="35"/>
  <c r="E7" i="35"/>
  <c r="E8" i="35"/>
  <c r="E9" i="35"/>
  <c r="E10" i="35"/>
  <c r="E11" i="35"/>
  <c r="E12" i="35"/>
  <c r="E13" i="35"/>
  <c r="E14" i="35"/>
  <c r="E15" i="35"/>
  <c r="E16" i="35"/>
  <c r="E17" i="35"/>
  <c r="E18" i="35"/>
  <c r="E19" i="35"/>
  <c r="E20" i="35"/>
  <c r="E21" i="35"/>
  <c r="E22" i="35"/>
  <c r="E23" i="35"/>
  <c r="E24" i="35"/>
  <c r="E25" i="35"/>
  <c r="E26" i="35"/>
  <c r="E27" i="35"/>
  <c r="E28" i="35"/>
  <c r="E29" i="35"/>
  <c r="E30" i="35"/>
  <c r="E31" i="35"/>
  <c r="E32" i="35"/>
  <c r="E33" i="35"/>
  <c r="E34" i="35"/>
  <c r="E35" i="35"/>
  <c r="E36" i="35"/>
  <c r="E37" i="35"/>
  <c r="E38" i="35"/>
  <c r="E39" i="35"/>
  <c r="E40" i="35"/>
  <c r="E41" i="35"/>
  <c r="E42" i="35"/>
  <c r="E43" i="35"/>
  <c r="E44" i="35"/>
  <c r="E45" i="35"/>
  <c r="E46" i="35"/>
  <c r="E47" i="35"/>
  <c r="E2" i="35"/>
  <c r="L3" i="35"/>
  <c r="L4" i="35"/>
  <c r="L5" i="35"/>
  <c r="L6" i="35"/>
  <c r="L7" i="35"/>
  <c r="L8" i="35"/>
  <c r="L9" i="35"/>
  <c r="L10" i="35"/>
  <c r="L11" i="35"/>
  <c r="L12" i="35"/>
  <c r="L13" i="35"/>
  <c r="L14" i="35"/>
  <c r="L15" i="35"/>
  <c r="L16" i="35"/>
  <c r="L17" i="35"/>
  <c r="L18" i="35"/>
  <c r="L19" i="35"/>
  <c r="L20" i="35"/>
  <c r="L21" i="35"/>
  <c r="L22" i="35"/>
  <c r="L23" i="35"/>
  <c r="L24" i="35"/>
  <c r="L25" i="35"/>
  <c r="L26" i="35"/>
  <c r="L27" i="35"/>
  <c r="L28" i="35"/>
  <c r="L29" i="35"/>
  <c r="L30" i="35"/>
  <c r="L31" i="35"/>
  <c r="L32" i="35"/>
  <c r="L33" i="35"/>
  <c r="L34" i="35"/>
  <c r="L35" i="35"/>
  <c r="L36" i="35"/>
  <c r="L37" i="35"/>
  <c r="L38" i="35"/>
  <c r="L39" i="35"/>
  <c r="L40" i="35"/>
  <c r="L41" i="35"/>
  <c r="L42" i="35"/>
  <c r="L43" i="35"/>
  <c r="L44" i="35"/>
  <c r="L45" i="35"/>
  <c r="L46" i="35"/>
  <c r="L47" i="35"/>
  <c r="L2" i="35"/>
  <c r="B21" i="33"/>
  <c r="B22" i="33"/>
  <c r="A6" i="42"/>
  <c r="A7" i="42"/>
  <c r="A8" i="42"/>
  <c r="A9" i="42"/>
  <c r="A10" i="42"/>
  <c r="A11" i="42"/>
  <c r="A12" i="42"/>
  <c r="A13" i="42"/>
  <c r="A14" i="42"/>
  <c r="A15" i="42"/>
  <c r="B3" i="39"/>
  <c r="C3" i="39"/>
  <c r="E3" i="39"/>
  <c r="F3" i="39"/>
  <c r="G3" i="39"/>
  <c r="H3" i="39"/>
  <c r="B4" i="39"/>
  <c r="C4" i="39"/>
  <c r="E4" i="39"/>
  <c r="F4" i="39"/>
  <c r="G4" i="39"/>
  <c r="H4" i="39"/>
  <c r="B5" i="39"/>
  <c r="C5" i="39"/>
  <c r="E5" i="39"/>
  <c r="F5" i="39"/>
  <c r="G5" i="39"/>
  <c r="H5" i="39"/>
  <c r="B8" i="39"/>
  <c r="C8" i="39"/>
  <c r="E8" i="39"/>
  <c r="F8" i="39"/>
  <c r="G8" i="39"/>
  <c r="H8" i="39"/>
  <c r="B9" i="39"/>
  <c r="C9" i="39"/>
  <c r="E9" i="39"/>
  <c r="F9" i="39"/>
  <c r="G9" i="39"/>
  <c r="H9" i="39"/>
  <c r="B2" i="39"/>
  <c r="C2" i="39"/>
  <c r="E2" i="39"/>
  <c r="F2" i="39"/>
  <c r="G2" i="39"/>
  <c r="H2" i="39"/>
  <c r="A4" i="42"/>
  <c r="A5" i="42"/>
  <c r="A16" i="42"/>
  <c r="A17" i="42"/>
  <c r="U5" i="15"/>
  <c r="U6" i="15"/>
  <c r="AC3" i="2" l="1"/>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2" i="2"/>
  <c r="Y3"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2"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2" i="2"/>
  <c r="S12" i="2"/>
  <c r="B6" i="15"/>
  <c r="C70" i="15"/>
  <c r="B5" i="15"/>
  <c r="B304" i="2" l="1"/>
  <c r="AD304" i="2" s="1"/>
  <c r="L70" i="15"/>
  <c r="O70" i="15"/>
  <c r="R70" i="15"/>
  <c r="V304" i="2" l="1"/>
  <c r="R304" i="2"/>
  <c r="Z304" i="2"/>
  <c r="B13" i="39"/>
  <c r="C13" i="39"/>
  <c r="E13" i="39"/>
  <c r="F13" i="39"/>
  <c r="G13" i="39"/>
  <c r="H13" i="39"/>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F3" i="2"/>
  <c r="F4" i="2"/>
  <c r="F5" i="2"/>
  <c r="F6" i="2"/>
  <c r="F7" i="2"/>
  <c r="F8" i="2"/>
  <c r="F9" i="2"/>
  <c r="F10" i="2"/>
  <c r="F11" i="2"/>
  <c r="F12" i="2"/>
  <c r="AE12" i="2" s="1"/>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E3" i="2"/>
  <c r="E4" i="2"/>
  <c r="E5" i="2"/>
  <c r="E6" i="2"/>
  <c r="E7" i="2"/>
  <c r="E8" i="2"/>
  <c r="E9" i="2"/>
  <c r="E10" i="2"/>
  <c r="E11" i="2"/>
  <c r="E12" i="2"/>
  <c r="AA12" i="2" s="1"/>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F2" i="2"/>
  <c r="E2" i="2"/>
  <c r="D3" i="2"/>
  <c r="D4" i="2"/>
  <c r="D5" i="2"/>
  <c r="D6" i="2"/>
  <c r="D7" i="2"/>
  <c r="D8" i="2"/>
  <c r="D9" i="2"/>
  <c r="D10" i="2"/>
  <c r="D11" i="2"/>
  <c r="D12" i="2"/>
  <c r="W12" i="2" s="1"/>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2" i="2"/>
  <c r="D304" i="2" l="1"/>
  <c r="W304" i="2" s="1"/>
  <c r="E304" i="2"/>
  <c r="AA304" i="2" s="1"/>
  <c r="F304" i="2"/>
  <c r="AE304" i="2" s="1"/>
  <c r="D305" i="2"/>
  <c r="W305" i="2" s="1"/>
  <c r="E305" i="2"/>
  <c r="AA305" i="2" s="1"/>
  <c r="F305" i="2"/>
  <c r="AE305" i="2" s="1"/>
  <c r="D306" i="2"/>
  <c r="W306" i="2" s="1"/>
  <c r="E306" i="2"/>
  <c r="AA306" i="2" s="1"/>
  <c r="F306" i="2"/>
  <c r="AE306" i="2" s="1"/>
  <c r="D307" i="2"/>
  <c r="W307" i="2" s="1"/>
  <c r="E307" i="2"/>
  <c r="AA307" i="2" s="1"/>
  <c r="F307" i="2"/>
  <c r="AE307" i="2" s="1"/>
  <c r="D308" i="2"/>
  <c r="W308" i="2" s="1"/>
  <c r="E308" i="2"/>
  <c r="AA308" i="2" s="1"/>
  <c r="F308" i="2"/>
  <c r="AE308" i="2" s="1"/>
  <c r="D309" i="2"/>
  <c r="W309" i="2" s="1"/>
  <c r="E309" i="2"/>
  <c r="AA309" i="2" s="1"/>
  <c r="F309" i="2"/>
  <c r="AE309" i="2" s="1"/>
  <c r="D310" i="2"/>
  <c r="W310" i="2" s="1"/>
  <c r="E310" i="2"/>
  <c r="AA310" i="2" s="1"/>
  <c r="F310" i="2"/>
  <c r="AE310" i="2" s="1"/>
  <c r="D311" i="2"/>
  <c r="W311" i="2" s="1"/>
  <c r="E311" i="2"/>
  <c r="AA311" i="2" s="1"/>
  <c r="F311" i="2"/>
  <c r="AE311" i="2" s="1"/>
  <c r="D312" i="2"/>
  <c r="W312" i="2" s="1"/>
  <c r="E312" i="2"/>
  <c r="AA312" i="2" s="1"/>
  <c r="F312" i="2"/>
  <c r="AE312" i="2" s="1"/>
  <c r="D313" i="2"/>
  <c r="W313" i="2" s="1"/>
  <c r="E313" i="2"/>
  <c r="AA313" i="2" s="1"/>
  <c r="F313" i="2"/>
  <c r="AE313" i="2" s="1"/>
  <c r="D314" i="2"/>
  <c r="W314" i="2" s="1"/>
  <c r="E314" i="2"/>
  <c r="AA314" i="2" s="1"/>
  <c r="F314" i="2"/>
  <c r="AE314" i="2" s="1"/>
  <c r="D315" i="2"/>
  <c r="W315" i="2" s="1"/>
  <c r="E315" i="2"/>
  <c r="AA315" i="2" s="1"/>
  <c r="F315" i="2"/>
  <c r="AE315" i="2" s="1"/>
  <c r="D316" i="2"/>
  <c r="W316" i="2" s="1"/>
  <c r="E316" i="2"/>
  <c r="AA316" i="2" s="1"/>
  <c r="F316" i="2"/>
  <c r="AE316" i="2" s="1"/>
  <c r="D317" i="2"/>
  <c r="W317" i="2" s="1"/>
  <c r="E317" i="2"/>
  <c r="AA317" i="2" s="1"/>
  <c r="F317" i="2"/>
  <c r="AE317" i="2" s="1"/>
  <c r="D318" i="2"/>
  <c r="W318" i="2" s="1"/>
  <c r="E318" i="2"/>
  <c r="AA318" i="2" s="1"/>
  <c r="F318" i="2"/>
  <c r="AE318" i="2" s="1"/>
  <c r="D319" i="2"/>
  <c r="W319" i="2" s="1"/>
  <c r="E319" i="2"/>
  <c r="AA319" i="2" s="1"/>
  <c r="F319" i="2"/>
  <c r="AE319" i="2" s="1"/>
  <c r="D320" i="2"/>
  <c r="W320" i="2" s="1"/>
  <c r="E320" i="2"/>
  <c r="AA320" i="2" s="1"/>
  <c r="F320" i="2"/>
  <c r="AE320" i="2" s="1"/>
  <c r="D321" i="2"/>
  <c r="W321" i="2" s="1"/>
  <c r="E321" i="2"/>
  <c r="AA321" i="2" s="1"/>
  <c r="F321" i="2"/>
  <c r="AE321" i="2" s="1"/>
  <c r="D322" i="2"/>
  <c r="W322" i="2" s="1"/>
  <c r="E322" i="2"/>
  <c r="AA322" i="2" s="1"/>
  <c r="F322" i="2"/>
  <c r="AE322" i="2" s="1"/>
  <c r="D323" i="2"/>
  <c r="W323" i="2" s="1"/>
  <c r="E323" i="2"/>
  <c r="AA323" i="2" s="1"/>
  <c r="F323" i="2"/>
  <c r="AE323" i="2" s="1"/>
  <c r="D324" i="2"/>
  <c r="W324" i="2" s="1"/>
  <c r="E324" i="2"/>
  <c r="AA324" i="2" s="1"/>
  <c r="F324" i="2"/>
  <c r="AE324" i="2" s="1"/>
  <c r="D325" i="2"/>
  <c r="W325" i="2" s="1"/>
  <c r="E325" i="2"/>
  <c r="AA325" i="2" s="1"/>
  <c r="F325" i="2"/>
  <c r="AE325" i="2" s="1"/>
  <c r="D326" i="2"/>
  <c r="W326" i="2" s="1"/>
  <c r="E326" i="2"/>
  <c r="AA326" i="2" s="1"/>
  <c r="F326" i="2"/>
  <c r="AE326" i="2" s="1"/>
  <c r="D327" i="2"/>
  <c r="W327" i="2" s="1"/>
  <c r="E327" i="2"/>
  <c r="AA327" i="2" s="1"/>
  <c r="F327" i="2"/>
  <c r="AE327" i="2" s="1"/>
  <c r="D328" i="2"/>
  <c r="W328" i="2" s="1"/>
  <c r="E328" i="2"/>
  <c r="AA328" i="2" s="1"/>
  <c r="F328" i="2"/>
  <c r="AE328" i="2" s="1"/>
  <c r="D329" i="2"/>
  <c r="W329" i="2" s="1"/>
  <c r="E329" i="2"/>
  <c r="AA329" i="2" s="1"/>
  <c r="F329" i="2"/>
  <c r="AE329" i="2" s="1"/>
  <c r="D330" i="2"/>
  <c r="W330" i="2" s="1"/>
  <c r="E330" i="2"/>
  <c r="AA330" i="2" s="1"/>
  <c r="F330" i="2"/>
  <c r="AE330" i="2" s="1"/>
  <c r="D331" i="2"/>
  <c r="W331" i="2" s="1"/>
  <c r="E331" i="2"/>
  <c r="AA331" i="2" s="1"/>
  <c r="F331" i="2"/>
  <c r="AE331" i="2" s="1"/>
  <c r="D332" i="2"/>
  <c r="W332" i="2" s="1"/>
  <c r="E332" i="2"/>
  <c r="AA332" i="2" s="1"/>
  <c r="F332" i="2"/>
  <c r="AE332" i="2" s="1"/>
  <c r="D333" i="2"/>
  <c r="W333" i="2" s="1"/>
  <c r="E333" i="2"/>
  <c r="AA333" i="2" s="1"/>
  <c r="F333" i="2"/>
  <c r="AE333" i="2" s="1"/>
  <c r="D334" i="2"/>
  <c r="W334" i="2" s="1"/>
  <c r="E334" i="2"/>
  <c r="AA334" i="2" s="1"/>
  <c r="F334" i="2"/>
  <c r="AE334" i="2" s="1"/>
  <c r="D335" i="2"/>
  <c r="W335" i="2" s="1"/>
  <c r="E335" i="2"/>
  <c r="AA335" i="2" s="1"/>
  <c r="F335" i="2"/>
  <c r="AE335" i="2" s="1"/>
  <c r="D336" i="2"/>
  <c r="W336" i="2" s="1"/>
  <c r="E336" i="2"/>
  <c r="AA336" i="2" s="1"/>
  <c r="F336" i="2"/>
  <c r="AE336" i="2" s="1"/>
  <c r="D337" i="2"/>
  <c r="W337" i="2" s="1"/>
  <c r="E337" i="2"/>
  <c r="AA337" i="2" s="1"/>
  <c r="F337" i="2"/>
  <c r="AE337" i="2" s="1"/>
  <c r="D338" i="2"/>
  <c r="W338" i="2" s="1"/>
  <c r="E338" i="2"/>
  <c r="AA338" i="2" s="1"/>
  <c r="F338" i="2"/>
  <c r="AE338" i="2" s="1"/>
  <c r="D339" i="2"/>
  <c r="W339" i="2" s="1"/>
  <c r="E339" i="2"/>
  <c r="AA339" i="2" s="1"/>
  <c r="F339" i="2"/>
  <c r="AE339" i="2" s="1"/>
  <c r="D340" i="2"/>
  <c r="W340" i="2" s="1"/>
  <c r="E340" i="2"/>
  <c r="AA340" i="2" s="1"/>
  <c r="F340" i="2"/>
  <c r="AE340" i="2" s="1"/>
  <c r="D341" i="2"/>
  <c r="W341" i="2" s="1"/>
  <c r="E341" i="2"/>
  <c r="AA341" i="2" s="1"/>
  <c r="F341" i="2"/>
  <c r="AE341" i="2" s="1"/>
  <c r="D342" i="2"/>
  <c r="W342" i="2" s="1"/>
  <c r="E342" i="2"/>
  <c r="AA342" i="2" s="1"/>
  <c r="F342" i="2"/>
  <c r="AE342" i="2" s="1"/>
  <c r="D343" i="2"/>
  <c r="W343" i="2" s="1"/>
  <c r="E343" i="2"/>
  <c r="AA343" i="2" s="1"/>
  <c r="F343" i="2"/>
  <c r="AE343" i="2" s="1"/>
  <c r="D344" i="2"/>
  <c r="W344" i="2" s="1"/>
  <c r="E344" i="2"/>
  <c r="AA344" i="2" s="1"/>
  <c r="F344" i="2"/>
  <c r="AE344" i="2" s="1"/>
  <c r="D345" i="2"/>
  <c r="W345" i="2" s="1"/>
  <c r="E345" i="2"/>
  <c r="AA345" i="2" s="1"/>
  <c r="F345" i="2"/>
  <c r="AE345" i="2" s="1"/>
  <c r="D346" i="2"/>
  <c r="W346" i="2" s="1"/>
  <c r="E346" i="2"/>
  <c r="AA346" i="2" s="1"/>
  <c r="F346" i="2"/>
  <c r="AE346" i="2" s="1"/>
  <c r="D347" i="2"/>
  <c r="W347" i="2" s="1"/>
  <c r="E347" i="2"/>
  <c r="AA347" i="2" s="1"/>
  <c r="F347" i="2"/>
  <c r="AE347" i="2" s="1"/>
  <c r="D348" i="2"/>
  <c r="W348" i="2" s="1"/>
  <c r="E348" i="2"/>
  <c r="AA348" i="2" s="1"/>
  <c r="F348" i="2"/>
  <c r="AE348" i="2" s="1"/>
  <c r="D349" i="2"/>
  <c r="W349" i="2" s="1"/>
  <c r="E349" i="2"/>
  <c r="AA349" i="2" s="1"/>
  <c r="F349" i="2"/>
  <c r="AE349" i="2" s="1"/>
  <c r="D350" i="2"/>
  <c r="W350" i="2" s="1"/>
  <c r="E350" i="2"/>
  <c r="AA350" i="2" s="1"/>
  <c r="F350" i="2"/>
  <c r="AE350" i="2" s="1"/>
  <c r="X2" i="2"/>
  <c r="AB2" i="2"/>
  <c r="AF2" i="2"/>
  <c r="D12" i="44"/>
  <c r="D13" i="44"/>
  <c r="D14" i="44"/>
  <c r="D15" i="44"/>
  <c r="D16" i="44"/>
  <c r="D17" i="44"/>
  <c r="D18" i="44"/>
  <c r="D19" i="44"/>
  <c r="D20" i="44"/>
  <c r="D21" i="44"/>
  <c r="D22" i="44"/>
  <c r="D23" i="44"/>
  <c r="D24" i="44"/>
  <c r="D25" i="44"/>
  <c r="D26" i="44"/>
  <c r="D27" i="44"/>
  <c r="D28" i="44"/>
  <c r="D29" i="44"/>
  <c r="D30" i="44"/>
  <c r="D31" i="44"/>
  <c r="D32" i="44"/>
  <c r="D33" i="44"/>
  <c r="D34" i="44"/>
  <c r="D35" i="44"/>
  <c r="D36" i="44"/>
  <c r="D37" i="44"/>
  <c r="D38" i="44"/>
  <c r="D39" i="44"/>
  <c r="D40" i="44"/>
  <c r="D41" i="44"/>
  <c r="D42" i="44"/>
  <c r="D43" i="44"/>
  <c r="D44" i="44"/>
  <c r="D45" i="44"/>
  <c r="D46" i="44"/>
  <c r="D47" i="44"/>
  <c r="E6" i="39" l="1"/>
  <c r="E7" i="39"/>
  <c r="E10" i="39"/>
  <c r="E11" i="39"/>
  <c r="E12" i="39"/>
  <c r="E14" i="39"/>
  <c r="E15" i="39"/>
  <c r="E16" i="39"/>
  <c r="E17" i="39"/>
  <c r="E18" i="39"/>
  <c r="E19" i="39"/>
  <c r="E20" i="39"/>
  <c r="E21" i="39"/>
  <c r="E22" i="39"/>
  <c r="E23" i="39"/>
  <c r="E24" i="39"/>
  <c r="E25" i="39"/>
  <c r="E26" i="39"/>
  <c r="E27" i="39"/>
  <c r="E28" i="39"/>
  <c r="E29" i="39"/>
  <c r="E30" i="39"/>
  <c r="E31" i="39"/>
  <c r="E32" i="39"/>
  <c r="E33" i="39"/>
  <c r="E34" i="39"/>
  <c r="E35" i="39"/>
  <c r="E36" i="39"/>
  <c r="E37" i="39"/>
  <c r="E38" i="39"/>
  <c r="E39" i="39"/>
  <c r="E40" i="39"/>
  <c r="E41" i="39"/>
  <c r="E42" i="39"/>
  <c r="E43" i="39"/>
  <c r="E44" i="39"/>
  <c r="E45" i="39"/>
  <c r="E46" i="39"/>
  <c r="E47" i="39"/>
  <c r="E48" i="39"/>
  <c r="E49" i="39"/>
  <c r="E50" i="39"/>
  <c r="U10" i="15"/>
  <c r="U11" i="15"/>
  <c r="U12" i="15"/>
  <c r="U13" i="15"/>
  <c r="U14" i="15"/>
  <c r="U15" i="15"/>
  <c r="U16" i="15"/>
  <c r="U17" i="15"/>
  <c r="U18" i="15"/>
  <c r="U19" i="15"/>
  <c r="U20" i="15"/>
  <c r="U21" i="15"/>
  <c r="U22" i="15"/>
  <c r="U23" i="15"/>
  <c r="U24" i="15"/>
  <c r="U25" i="15"/>
  <c r="U26" i="15"/>
  <c r="U27" i="15"/>
  <c r="U28" i="15"/>
  <c r="U29" i="15"/>
  <c r="U30" i="15"/>
  <c r="U31" i="15"/>
  <c r="U32" i="15"/>
  <c r="U33" i="15"/>
  <c r="U34" i="15"/>
  <c r="U35" i="15"/>
  <c r="U36" i="15"/>
  <c r="U37" i="15"/>
  <c r="U38" i="15"/>
  <c r="U39" i="15"/>
  <c r="U40" i="15"/>
  <c r="U41" i="15"/>
  <c r="U42" i="15"/>
  <c r="U43" i="15"/>
  <c r="U44" i="15"/>
  <c r="U45" i="15"/>
  <c r="U46" i="15"/>
  <c r="U47" i="15"/>
  <c r="U48" i="15"/>
  <c r="U49" i="15"/>
  <c r="U50" i="15"/>
  <c r="U51" i="15"/>
  <c r="U52" i="15"/>
  <c r="U53" i="15"/>
  <c r="U54" i="15"/>
  <c r="U55" i="15"/>
  <c r="U56" i="15"/>
  <c r="U57" i="15"/>
  <c r="U58" i="15"/>
  <c r="U59" i="15"/>
  <c r="U60" i="15"/>
  <c r="U61" i="15"/>
  <c r="U62" i="15"/>
  <c r="U63" i="15"/>
  <c r="U64" i="15"/>
  <c r="U65" i="15"/>
  <c r="U66" i="15"/>
  <c r="U67" i="15"/>
  <c r="U68" i="15"/>
  <c r="U69" i="15"/>
  <c r="U70" i="15"/>
  <c r="C13" i="44" l="1"/>
  <c r="C14" i="44"/>
  <c r="C15" i="44"/>
  <c r="C16" i="44"/>
  <c r="C17" i="44"/>
  <c r="C18" i="44"/>
  <c r="C19" i="44"/>
  <c r="C20" i="44"/>
  <c r="C21" i="44"/>
  <c r="C22" i="44"/>
  <c r="C23" i="44"/>
  <c r="C24" i="44"/>
  <c r="C25" i="44"/>
  <c r="C26" i="44"/>
  <c r="C27" i="44"/>
  <c r="C28" i="44"/>
  <c r="C29" i="44"/>
  <c r="C30" i="44"/>
  <c r="C31" i="44"/>
  <c r="C32" i="44"/>
  <c r="C33" i="44"/>
  <c r="C34" i="44"/>
  <c r="C35" i="44"/>
  <c r="C36" i="44"/>
  <c r="C37" i="44"/>
  <c r="C38" i="44"/>
  <c r="C39" i="44"/>
  <c r="C40" i="44"/>
  <c r="C41" i="44"/>
  <c r="C42" i="44"/>
  <c r="C43" i="44"/>
  <c r="C44" i="44"/>
  <c r="C45" i="44"/>
  <c r="C46" i="44"/>
  <c r="C47" i="44"/>
  <c r="E3" i="46"/>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2" i="46"/>
  <c r="G11" i="44"/>
  <c r="G2" i="44"/>
  <c r="G6" i="44"/>
  <c r="G7" i="44"/>
  <c r="G5" i="44"/>
  <c r="G8" i="44"/>
  <c r="G10" i="44"/>
  <c r="G3" i="44"/>
  <c r="G9" i="44"/>
  <c r="G4" i="44"/>
  <c r="G12" i="44"/>
  <c r="G13" i="44"/>
  <c r="G14" i="44"/>
  <c r="G15" i="44"/>
  <c r="G16" i="44"/>
  <c r="G17" i="44"/>
  <c r="G18" i="44"/>
  <c r="G19" i="44"/>
  <c r="G20" i="44"/>
  <c r="G21" i="44"/>
  <c r="G22" i="44"/>
  <c r="G23" i="44"/>
  <c r="G24" i="44"/>
  <c r="G25" i="44"/>
  <c r="G26" i="44"/>
  <c r="G27" i="44"/>
  <c r="G28" i="44"/>
  <c r="G29" i="44"/>
  <c r="G30" i="44"/>
  <c r="G31" i="44"/>
  <c r="G32" i="44"/>
  <c r="G33" i="44"/>
  <c r="G34" i="44"/>
  <c r="G35" i="44"/>
  <c r="G36" i="44"/>
  <c r="G37" i="44"/>
  <c r="G38" i="44"/>
  <c r="G39" i="44"/>
  <c r="G40" i="44"/>
  <c r="G41" i="44"/>
  <c r="G42" i="44"/>
  <c r="G43" i="44"/>
  <c r="G44" i="44"/>
  <c r="G45" i="44"/>
  <c r="G46" i="44"/>
  <c r="G47" i="44"/>
  <c r="C3" i="46"/>
  <c r="C4" i="46"/>
  <c r="C5" i="46"/>
  <c r="C6" i="46"/>
  <c r="C7" i="46"/>
  <c r="C8" i="46"/>
  <c r="C9" i="46"/>
  <c r="C10" i="46"/>
  <c r="C11" i="46"/>
  <c r="C12" i="46"/>
  <c r="C13" i="46"/>
  <c r="C14" i="46"/>
  <c r="C15" i="46"/>
  <c r="C16" i="46"/>
  <c r="C17" i="46"/>
  <c r="C18" i="46"/>
  <c r="C19" i="46"/>
  <c r="C20" i="46"/>
  <c r="C21" i="46"/>
  <c r="C22" i="46"/>
  <c r="C23" i="46"/>
  <c r="C24" i="46"/>
  <c r="C25" i="46"/>
  <c r="C26" i="46"/>
  <c r="B26" i="46" s="1"/>
  <c r="C27" i="46"/>
  <c r="B27" i="46" s="1"/>
  <c r="C28" i="46"/>
  <c r="B28" i="46" s="1"/>
  <c r="C29" i="46"/>
  <c r="B29" i="46" s="1"/>
  <c r="C30" i="46"/>
  <c r="B30" i="46" s="1"/>
  <c r="C31" i="46"/>
  <c r="B31" i="46" s="1"/>
  <c r="C32" i="46"/>
  <c r="B32" i="46" s="1"/>
  <c r="C33" i="46"/>
  <c r="B33" i="46" s="1"/>
  <c r="C34" i="46"/>
  <c r="B34" i="46" s="1"/>
  <c r="C35" i="46"/>
  <c r="B35" i="46" s="1"/>
  <c r="C36" i="46"/>
  <c r="B36" i="46" s="1"/>
  <c r="C37" i="46"/>
  <c r="B37" i="46" s="1"/>
  <c r="C38" i="46"/>
  <c r="B38" i="46" s="1"/>
  <c r="C39" i="46"/>
  <c r="B39" i="46" s="1"/>
  <c r="C40" i="46"/>
  <c r="B40" i="46" s="1"/>
  <c r="C41" i="46"/>
  <c r="B41" i="46" s="1"/>
  <c r="C42" i="46"/>
  <c r="B42" i="46" s="1"/>
  <c r="C43" i="46"/>
  <c r="B43" i="46" s="1"/>
  <c r="C44" i="46"/>
  <c r="B44" i="46" s="1"/>
  <c r="C45" i="46"/>
  <c r="B45" i="46" s="1"/>
  <c r="C46" i="46"/>
  <c r="B46" i="46" s="1"/>
  <c r="C47" i="46"/>
  <c r="B47" i="46" s="1"/>
  <c r="C48" i="46"/>
  <c r="B48" i="46" s="1"/>
  <c r="C49" i="46"/>
  <c r="B49" i="46" s="1"/>
  <c r="C50" i="46"/>
  <c r="B50" i="46" s="1"/>
  <c r="C51" i="46"/>
  <c r="B51" i="46" s="1"/>
  <c r="C2" i="46"/>
  <c r="A51" i="46"/>
  <c r="A50" i="46"/>
  <c r="A49" i="46"/>
  <c r="A48" i="46"/>
  <c r="A47" i="46"/>
  <c r="A46" i="46"/>
  <c r="A45" i="46"/>
  <c r="A44" i="46"/>
  <c r="A43" i="46"/>
  <c r="A42" i="46"/>
  <c r="A41" i="46"/>
  <c r="A40" i="46"/>
  <c r="A39" i="46"/>
  <c r="A38" i="46"/>
  <c r="A37" i="46"/>
  <c r="A36" i="46"/>
  <c r="A35" i="46"/>
  <c r="A34" i="46"/>
  <c r="A33" i="46"/>
  <c r="A32" i="46"/>
  <c r="A31" i="46"/>
  <c r="A30" i="46"/>
  <c r="A29" i="46"/>
  <c r="A28" i="46"/>
  <c r="A27" i="46"/>
  <c r="A26" i="46"/>
  <c r="A25" i="46"/>
  <c r="A24" i="46"/>
  <c r="A23" i="46"/>
  <c r="A22" i="46"/>
  <c r="A21" i="46"/>
  <c r="A20" i="46"/>
  <c r="A19" i="46"/>
  <c r="A18" i="46"/>
  <c r="A17" i="46"/>
  <c r="A16" i="46"/>
  <c r="A15" i="46"/>
  <c r="A14" i="46"/>
  <c r="A13" i="46"/>
  <c r="A12" i="46"/>
  <c r="A11" i="46"/>
  <c r="A10" i="46"/>
  <c r="A9" i="46"/>
  <c r="A8" i="46"/>
  <c r="A7" i="46"/>
  <c r="A6" i="46"/>
  <c r="A5" i="46"/>
  <c r="A4" i="46"/>
  <c r="A3" i="46"/>
  <c r="A2" i="46"/>
  <c r="D2" i="44"/>
  <c r="C2" i="44" s="1"/>
  <c r="D6" i="44"/>
  <c r="C6" i="44" s="1"/>
  <c r="D7" i="44"/>
  <c r="C7" i="44" s="1"/>
  <c r="D5" i="44"/>
  <c r="C5" i="44" s="1"/>
  <c r="D8" i="44"/>
  <c r="C8" i="44" s="1"/>
  <c r="D10" i="44"/>
  <c r="C10" i="44" s="1"/>
  <c r="D3" i="44"/>
  <c r="C3" i="44" s="1"/>
  <c r="D9" i="44"/>
  <c r="C9" i="44" s="1"/>
  <c r="D4" i="44"/>
  <c r="C4" i="44" s="1"/>
  <c r="C12" i="44"/>
  <c r="D11" i="44"/>
  <c r="C11" i="44" s="1"/>
  <c r="B47" i="44"/>
  <c r="B46" i="44"/>
  <c r="B45" i="44"/>
  <c r="B44" i="44"/>
  <c r="B43" i="44"/>
  <c r="B42" i="44"/>
  <c r="B41" i="44"/>
  <c r="B40" i="44"/>
  <c r="B39" i="44"/>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4" i="44"/>
  <c r="B9" i="44"/>
  <c r="B3" i="44"/>
  <c r="B10" i="44"/>
  <c r="B8" i="44"/>
  <c r="B5" i="44"/>
  <c r="B7" i="44"/>
  <c r="B6" i="44"/>
  <c r="B2" i="44"/>
  <c r="B11" i="44"/>
  <c r="H2" i="37" l="1"/>
  <c r="H3" i="37"/>
  <c r="H4" i="37"/>
  <c r="H5" i="37"/>
  <c r="H6" i="37"/>
  <c r="H7" i="37"/>
  <c r="H8" i="37"/>
  <c r="H9" i="37"/>
  <c r="H10" i="37"/>
  <c r="H11" i="37"/>
  <c r="H12" i="37"/>
  <c r="H13" i="37"/>
  <c r="H14" i="37"/>
  <c r="H15" i="37"/>
  <c r="H16" i="37"/>
  <c r="H17" i="37"/>
  <c r="H18" i="37"/>
  <c r="H19" i="37"/>
  <c r="H20" i="37"/>
  <c r="H21" i="37"/>
  <c r="H22" i="37"/>
  <c r="H23" i="37"/>
  <c r="H24" i="37"/>
  <c r="H25" i="37"/>
  <c r="H26" i="37"/>
  <c r="H27" i="37"/>
  <c r="H28" i="37"/>
  <c r="H29" i="37"/>
  <c r="H30" i="37"/>
  <c r="H31" i="37"/>
  <c r="H32" i="37"/>
  <c r="H33" i="37"/>
  <c r="H34" i="37"/>
  <c r="H35" i="37"/>
  <c r="H36" i="37"/>
  <c r="H37" i="37"/>
  <c r="H38" i="37"/>
  <c r="H39" i="37"/>
  <c r="H40" i="37"/>
  <c r="H41" i="37"/>
  <c r="C44" i="27"/>
  <c r="F44" i="27"/>
  <c r="R35" i="27"/>
  <c r="F35" i="27"/>
  <c r="C25" i="27"/>
  <c r="V24" i="27"/>
  <c r="B35" i="27"/>
  <c r="V15" i="27"/>
  <c r="V14" i="27"/>
  <c r="A18" i="42" l="1"/>
  <c r="A3" i="42"/>
  <c r="A2" i="42"/>
  <c r="A10" i="38" l="1"/>
  <c r="A11" i="38"/>
  <c r="A12" i="38"/>
  <c r="A13" i="38"/>
  <c r="A3" i="38"/>
  <c r="A4" i="38"/>
  <c r="A5" i="38"/>
  <c r="A6" i="38"/>
  <c r="A7" i="38"/>
  <c r="A8" i="38"/>
  <c r="A9" i="38"/>
  <c r="A2" i="38"/>
  <c r="B3" i="15"/>
  <c r="B4"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H6" i="39"/>
  <c r="H7" i="39"/>
  <c r="H10" i="39"/>
  <c r="H11" i="39"/>
  <c r="H12" i="39"/>
  <c r="H14" i="39"/>
  <c r="H15" i="39"/>
  <c r="H16" i="39"/>
  <c r="H17" i="39"/>
  <c r="H18" i="39"/>
  <c r="H19" i="39"/>
  <c r="H20" i="39"/>
  <c r="H21" i="39"/>
  <c r="H22" i="39"/>
  <c r="H23" i="39"/>
  <c r="H24" i="39"/>
  <c r="H25" i="39"/>
  <c r="H26" i="39"/>
  <c r="H27" i="39"/>
  <c r="H28" i="39"/>
  <c r="H29" i="39"/>
  <c r="H30" i="39"/>
  <c r="H31" i="39"/>
  <c r="H32" i="39"/>
  <c r="H33" i="39"/>
  <c r="H34" i="39"/>
  <c r="H35" i="39"/>
  <c r="H36" i="39"/>
  <c r="H37" i="39"/>
  <c r="H38" i="39"/>
  <c r="H39" i="39"/>
  <c r="H40" i="39"/>
  <c r="H41" i="39"/>
  <c r="H42" i="39"/>
  <c r="H43" i="39"/>
  <c r="H44" i="39"/>
  <c r="H45" i="39"/>
  <c r="H46" i="39"/>
  <c r="H47" i="39"/>
  <c r="H48" i="39"/>
  <c r="H49" i="39"/>
  <c r="H50" i="39"/>
  <c r="G50" i="39"/>
  <c r="F50" i="39"/>
  <c r="C50" i="39"/>
  <c r="B50" i="39"/>
  <c r="G49" i="39"/>
  <c r="F49" i="39"/>
  <c r="C49" i="39"/>
  <c r="B49" i="39"/>
  <c r="G48" i="39"/>
  <c r="F48" i="39"/>
  <c r="C48" i="39"/>
  <c r="B48" i="39"/>
  <c r="G47" i="39"/>
  <c r="F47" i="39"/>
  <c r="C47" i="39"/>
  <c r="B47" i="39"/>
  <c r="G46" i="39"/>
  <c r="F46" i="39"/>
  <c r="C46" i="39"/>
  <c r="B46" i="39"/>
  <c r="G45" i="39"/>
  <c r="F45" i="39"/>
  <c r="C45" i="39"/>
  <c r="B45" i="39"/>
  <c r="G44" i="39"/>
  <c r="F44" i="39"/>
  <c r="C44" i="39"/>
  <c r="B44" i="39"/>
  <c r="G43" i="39"/>
  <c r="F43" i="39"/>
  <c r="C43" i="39"/>
  <c r="B43" i="39"/>
  <c r="G42" i="39"/>
  <c r="F42" i="39"/>
  <c r="C42" i="39"/>
  <c r="B42" i="39"/>
  <c r="G41" i="39"/>
  <c r="F41" i="39"/>
  <c r="C41" i="39"/>
  <c r="B41" i="39"/>
  <c r="G40" i="39"/>
  <c r="F40" i="39"/>
  <c r="C40" i="39"/>
  <c r="B40" i="39"/>
  <c r="G39" i="39"/>
  <c r="F39" i="39"/>
  <c r="C39" i="39"/>
  <c r="B39" i="39"/>
  <c r="G38" i="39"/>
  <c r="F38" i="39"/>
  <c r="C38" i="39"/>
  <c r="B38" i="39"/>
  <c r="G37" i="39"/>
  <c r="F37" i="39"/>
  <c r="C37" i="39"/>
  <c r="B37" i="39"/>
  <c r="G36" i="39"/>
  <c r="F36" i="39"/>
  <c r="C36" i="39"/>
  <c r="B36" i="39"/>
  <c r="G35" i="39"/>
  <c r="F35" i="39"/>
  <c r="C35" i="39"/>
  <c r="B35" i="39"/>
  <c r="G34" i="39"/>
  <c r="F34" i="39"/>
  <c r="C34" i="39"/>
  <c r="B34" i="39"/>
  <c r="G33" i="39"/>
  <c r="F33" i="39"/>
  <c r="C33" i="39"/>
  <c r="B33" i="39"/>
  <c r="G32" i="39"/>
  <c r="F32" i="39"/>
  <c r="C32" i="39"/>
  <c r="B32" i="39"/>
  <c r="G31" i="39"/>
  <c r="F31" i="39"/>
  <c r="C31" i="39"/>
  <c r="B31" i="39"/>
  <c r="G30" i="39"/>
  <c r="F30" i="39"/>
  <c r="C30" i="39"/>
  <c r="B30" i="39"/>
  <c r="G29" i="39"/>
  <c r="F29" i="39"/>
  <c r="C29" i="39"/>
  <c r="B29" i="39"/>
  <c r="G28" i="39"/>
  <c r="F28" i="39"/>
  <c r="C28" i="39"/>
  <c r="B28" i="39"/>
  <c r="G27" i="39"/>
  <c r="F27" i="39"/>
  <c r="C27" i="39"/>
  <c r="B27" i="39"/>
  <c r="G26" i="39"/>
  <c r="F26" i="39"/>
  <c r="C26" i="39"/>
  <c r="B26" i="39"/>
  <c r="G25" i="39"/>
  <c r="F25" i="39"/>
  <c r="C25" i="39"/>
  <c r="B25" i="39"/>
  <c r="G24" i="39"/>
  <c r="F24" i="39"/>
  <c r="C24" i="39"/>
  <c r="B24" i="39"/>
  <c r="G23" i="39"/>
  <c r="F23" i="39"/>
  <c r="C23" i="39"/>
  <c r="B23" i="39"/>
  <c r="G22" i="39"/>
  <c r="F22" i="39"/>
  <c r="C22" i="39"/>
  <c r="B22" i="39"/>
  <c r="G21" i="39"/>
  <c r="F21" i="39"/>
  <c r="C21" i="39"/>
  <c r="B21" i="39"/>
  <c r="G20" i="39"/>
  <c r="F20" i="39"/>
  <c r="C20" i="39"/>
  <c r="B20" i="39"/>
  <c r="G19" i="39"/>
  <c r="F19" i="39"/>
  <c r="C19" i="39"/>
  <c r="B19" i="39"/>
  <c r="G18" i="39"/>
  <c r="F18" i="39"/>
  <c r="C18" i="39"/>
  <c r="B18" i="39"/>
  <c r="G17" i="39"/>
  <c r="F17" i="39"/>
  <c r="C17" i="39"/>
  <c r="B17" i="39"/>
  <c r="G16" i="39"/>
  <c r="F16" i="39"/>
  <c r="C16" i="39"/>
  <c r="B16" i="39"/>
  <c r="G15" i="39"/>
  <c r="F15" i="39"/>
  <c r="C15" i="39"/>
  <c r="B15" i="39"/>
  <c r="G14" i="39"/>
  <c r="F14" i="39"/>
  <c r="C14" i="39"/>
  <c r="B14" i="39"/>
  <c r="G12" i="39"/>
  <c r="F12" i="39"/>
  <c r="C12" i="39"/>
  <c r="B12" i="39"/>
  <c r="G11" i="39"/>
  <c r="F11" i="39"/>
  <c r="C11" i="39"/>
  <c r="B11" i="39"/>
  <c r="G10" i="39"/>
  <c r="F10" i="39"/>
  <c r="C10" i="39"/>
  <c r="B10" i="39"/>
  <c r="G7" i="39"/>
  <c r="F7" i="39"/>
  <c r="C7" i="39"/>
  <c r="B7" i="39"/>
  <c r="G6" i="39"/>
  <c r="F6" i="39"/>
  <c r="C6" i="39"/>
  <c r="B6" i="39"/>
  <c r="G41" i="37"/>
  <c r="F41" i="37"/>
  <c r="C41" i="37"/>
  <c r="K41" i="37" s="1"/>
  <c r="B41" i="37"/>
  <c r="G40" i="37"/>
  <c r="F40" i="37"/>
  <c r="C40" i="37"/>
  <c r="K40" i="37" s="1"/>
  <c r="B40" i="37"/>
  <c r="G39" i="37"/>
  <c r="F39" i="37"/>
  <c r="C39" i="37"/>
  <c r="K39" i="37" s="1"/>
  <c r="B39" i="37"/>
  <c r="G38" i="37"/>
  <c r="F38" i="37"/>
  <c r="C38" i="37"/>
  <c r="K38" i="37" s="1"/>
  <c r="B38" i="37"/>
  <c r="G37" i="37"/>
  <c r="F37" i="37"/>
  <c r="C37" i="37"/>
  <c r="K37" i="37" s="1"/>
  <c r="B37" i="37"/>
  <c r="G36" i="37"/>
  <c r="F36" i="37"/>
  <c r="C36" i="37"/>
  <c r="K36" i="37" s="1"/>
  <c r="B36" i="37"/>
  <c r="G35" i="37"/>
  <c r="F35" i="37"/>
  <c r="C35" i="37"/>
  <c r="K35" i="37" s="1"/>
  <c r="B35" i="37"/>
  <c r="G34" i="37"/>
  <c r="F34" i="37"/>
  <c r="C34" i="37"/>
  <c r="K34" i="37" s="1"/>
  <c r="B34" i="37"/>
  <c r="G33" i="37"/>
  <c r="F33" i="37"/>
  <c r="C33" i="37"/>
  <c r="K33" i="37" s="1"/>
  <c r="B33" i="37"/>
  <c r="G32" i="37"/>
  <c r="F32" i="37"/>
  <c r="C32" i="37"/>
  <c r="K32" i="37" s="1"/>
  <c r="B32" i="37"/>
  <c r="G31" i="37"/>
  <c r="F31" i="37"/>
  <c r="C31" i="37"/>
  <c r="K31" i="37" s="1"/>
  <c r="B31" i="37"/>
  <c r="G30" i="37"/>
  <c r="F30" i="37"/>
  <c r="C30" i="37"/>
  <c r="K30" i="37" s="1"/>
  <c r="B30" i="37"/>
  <c r="G29" i="37"/>
  <c r="F29" i="37"/>
  <c r="C29" i="37"/>
  <c r="K29" i="37" s="1"/>
  <c r="B29" i="37"/>
  <c r="G28" i="37"/>
  <c r="F28" i="37"/>
  <c r="C28" i="37"/>
  <c r="K28" i="37" s="1"/>
  <c r="B28" i="37"/>
  <c r="G27" i="37"/>
  <c r="F27" i="37"/>
  <c r="C27" i="37"/>
  <c r="K27" i="37" s="1"/>
  <c r="B27" i="37"/>
  <c r="G26" i="37"/>
  <c r="F26" i="37"/>
  <c r="C26" i="37"/>
  <c r="K26" i="37" s="1"/>
  <c r="B26" i="37"/>
  <c r="G25" i="37"/>
  <c r="F25" i="37"/>
  <c r="C25" i="37"/>
  <c r="K25" i="37" s="1"/>
  <c r="B25" i="37"/>
  <c r="G24" i="37"/>
  <c r="F24" i="37"/>
  <c r="C24" i="37"/>
  <c r="K24" i="37" s="1"/>
  <c r="B24" i="37"/>
  <c r="G23" i="37"/>
  <c r="F23" i="37"/>
  <c r="C23" i="37"/>
  <c r="K23" i="37" s="1"/>
  <c r="B23" i="37"/>
  <c r="G22" i="37"/>
  <c r="F22" i="37"/>
  <c r="C22" i="37"/>
  <c r="K22" i="37" s="1"/>
  <c r="B22" i="37"/>
  <c r="G21" i="37"/>
  <c r="F21" i="37"/>
  <c r="C21" i="37"/>
  <c r="K21" i="37" s="1"/>
  <c r="B21" i="37"/>
  <c r="G20" i="37"/>
  <c r="F20" i="37"/>
  <c r="C20" i="37"/>
  <c r="K20" i="37" s="1"/>
  <c r="B20" i="37"/>
  <c r="G19" i="37"/>
  <c r="F19" i="37"/>
  <c r="B19" i="37"/>
  <c r="G18" i="37"/>
  <c r="F18" i="37"/>
  <c r="B18" i="37"/>
  <c r="G17" i="37"/>
  <c r="F17" i="37"/>
  <c r="B17" i="37"/>
  <c r="G16" i="37"/>
  <c r="F16" i="37"/>
  <c r="B16" i="37"/>
  <c r="G15" i="37"/>
  <c r="F15" i="37"/>
  <c r="B15" i="37"/>
  <c r="G14" i="37"/>
  <c r="F14" i="37"/>
  <c r="B14" i="37"/>
  <c r="G13" i="37"/>
  <c r="F13" i="37"/>
  <c r="B13" i="37"/>
  <c r="G12" i="37"/>
  <c r="F12" i="37"/>
  <c r="B12" i="37"/>
  <c r="G11" i="37"/>
  <c r="F11" i="37"/>
  <c r="B11" i="37"/>
  <c r="G10" i="37"/>
  <c r="F10" i="37"/>
  <c r="B10" i="37"/>
  <c r="G9" i="37"/>
  <c r="F9" i="37"/>
  <c r="B9" i="37"/>
  <c r="G8" i="37"/>
  <c r="F8" i="37"/>
  <c r="B8" i="37"/>
  <c r="G7" i="37"/>
  <c r="F7" i="37"/>
  <c r="B7" i="37"/>
  <c r="G6" i="37"/>
  <c r="F6" i="37"/>
  <c r="B6" i="37"/>
  <c r="G5" i="37"/>
  <c r="F5" i="37"/>
  <c r="B5" i="37"/>
  <c r="G4" i="37"/>
  <c r="F4" i="37"/>
  <c r="B4" i="37"/>
  <c r="G3" i="37"/>
  <c r="F3" i="37"/>
  <c r="B3" i="37"/>
  <c r="G2" i="37"/>
  <c r="F2" i="37"/>
  <c r="B2" i="37"/>
  <c r="J3" i="35"/>
  <c r="J4" i="35"/>
  <c r="J5" i="35"/>
  <c r="J6" i="35"/>
  <c r="J7" i="35"/>
  <c r="J8" i="35"/>
  <c r="J9" i="35"/>
  <c r="J10" i="35"/>
  <c r="J11" i="35"/>
  <c r="J12" i="35"/>
  <c r="J13" i="35"/>
  <c r="J14" i="35"/>
  <c r="J15" i="35"/>
  <c r="J16" i="35"/>
  <c r="J17" i="35"/>
  <c r="J18" i="35"/>
  <c r="J19" i="35"/>
  <c r="J20" i="35"/>
  <c r="J21" i="35"/>
  <c r="J22" i="35"/>
  <c r="J23" i="35"/>
  <c r="J24" i="35"/>
  <c r="J25" i="35"/>
  <c r="J26" i="35"/>
  <c r="J27" i="35"/>
  <c r="J28" i="35"/>
  <c r="J29" i="35"/>
  <c r="J30" i="35"/>
  <c r="J31" i="35"/>
  <c r="J32" i="35"/>
  <c r="J33" i="35"/>
  <c r="J34" i="35"/>
  <c r="J35" i="35"/>
  <c r="J36" i="35"/>
  <c r="J37" i="35"/>
  <c r="J38" i="35"/>
  <c r="J39" i="35"/>
  <c r="J40" i="35"/>
  <c r="J41" i="35"/>
  <c r="J42" i="35"/>
  <c r="J43" i="35"/>
  <c r="J44" i="35"/>
  <c r="J45" i="35"/>
  <c r="J46" i="35"/>
  <c r="J47" i="35"/>
  <c r="J2" i="35"/>
  <c r="G47" i="35"/>
  <c r="F47" i="35"/>
  <c r="B47" i="35"/>
  <c r="G46" i="35"/>
  <c r="F46" i="35"/>
  <c r="C46" i="35"/>
  <c r="B46" i="35"/>
  <c r="G45" i="35"/>
  <c r="F45" i="35"/>
  <c r="B45" i="35"/>
  <c r="G44" i="35"/>
  <c r="F44" i="35"/>
  <c r="B44" i="35"/>
  <c r="G43" i="35"/>
  <c r="F43" i="35"/>
  <c r="C43" i="35"/>
  <c r="B43" i="35"/>
  <c r="G42" i="35"/>
  <c r="F42" i="35"/>
  <c r="B42" i="35"/>
  <c r="G41" i="35"/>
  <c r="F41" i="35"/>
  <c r="B41" i="35"/>
  <c r="G40" i="35"/>
  <c r="F40" i="35"/>
  <c r="C40" i="35"/>
  <c r="B40" i="35"/>
  <c r="G39" i="35"/>
  <c r="F39" i="35"/>
  <c r="B39" i="35"/>
  <c r="G38" i="35"/>
  <c r="F38" i="35"/>
  <c r="B38" i="35"/>
  <c r="G37" i="35"/>
  <c r="F37" i="35"/>
  <c r="C37" i="35"/>
  <c r="B37" i="35"/>
  <c r="G36" i="35"/>
  <c r="F36" i="35"/>
  <c r="B36" i="35"/>
  <c r="G35" i="35"/>
  <c r="F35" i="35"/>
  <c r="B35" i="35"/>
  <c r="G34" i="35"/>
  <c r="F34" i="35"/>
  <c r="C34" i="35"/>
  <c r="B34" i="35"/>
  <c r="G33" i="35"/>
  <c r="F33" i="35"/>
  <c r="B33" i="35"/>
  <c r="G32" i="35"/>
  <c r="F32" i="35"/>
  <c r="B32" i="35"/>
  <c r="G31" i="35"/>
  <c r="F31" i="35"/>
  <c r="C31" i="35"/>
  <c r="B31" i="35"/>
  <c r="G30" i="35"/>
  <c r="F30" i="35"/>
  <c r="B30" i="35"/>
  <c r="G29" i="35"/>
  <c r="F29" i="35"/>
  <c r="B29" i="35"/>
  <c r="G28" i="35"/>
  <c r="F28" i="35"/>
  <c r="B28" i="35"/>
  <c r="G27" i="35"/>
  <c r="F27" i="35"/>
  <c r="B27" i="35"/>
  <c r="G26" i="35"/>
  <c r="F26" i="35"/>
  <c r="B26" i="35"/>
  <c r="G25" i="35"/>
  <c r="F25" i="35"/>
  <c r="B25" i="35"/>
  <c r="G24" i="35"/>
  <c r="F24" i="35"/>
  <c r="B24" i="35"/>
  <c r="G23" i="35"/>
  <c r="F23" i="35"/>
  <c r="B23" i="35"/>
  <c r="G22" i="35"/>
  <c r="F22" i="35"/>
  <c r="B22" i="35"/>
  <c r="G21" i="35"/>
  <c r="F21" i="35"/>
  <c r="B21" i="35"/>
  <c r="G20" i="35"/>
  <c r="F20" i="35"/>
  <c r="B20" i="35"/>
  <c r="G19" i="35"/>
  <c r="F19" i="35"/>
  <c r="B19" i="35"/>
  <c r="G18" i="35"/>
  <c r="F18" i="35"/>
  <c r="B18" i="35"/>
  <c r="G17" i="35"/>
  <c r="F17" i="35"/>
  <c r="B17" i="35"/>
  <c r="G16" i="35"/>
  <c r="F16" i="35"/>
  <c r="B16" i="35"/>
  <c r="G15" i="35"/>
  <c r="F15" i="35"/>
  <c r="B15" i="35"/>
  <c r="G14" i="35"/>
  <c r="F14" i="35"/>
  <c r="B14" i="35"/>
  <c r="G13" i="35"/>
  <c r="F13" i="35"/>
  <c r="B13" i="35"/>
  <c r="G12" i="35"/>
  <c r="F12" i="35"/>
  <c r="B12" i="35"/>
  <c r="G11" i="35"/>
  <c r="F11" i="35"/>
  <c r="B11" i="35"/>
  <c r="G10" i="35"/>
  <c r="F10" i="35"/>
  <c r="B10" i="35"/>
  <c r="G9" i="35"/>
  <c r="F9" i="35"/>
  <c r="B9" i="35"/>
  <c r="G8" i="35"/>
  <c r="F8" i="35"/>
  <c r="B8" i="35"/>
  <c r="G7" i="35"/>
  <c r="F7" i="35"/>
  <c r="B7" i="35"/>
  <c r="G6" i="35"/>
  <c r="F6" i="35"/>
  <c r="B6" i="35"/>
  <c r="G5" i="35"/>
  <c r="F5" i="35"/>
  <c r="B5" i="35"/>
  <c r="G4" i="35"/>
  <c r="F4" i="35"/>
  <c r="B4" i="35"/>
  <c r="G3" i="35"/>
  <c r="F3" i="35"/>
  <c r="B3" i="35"/>
  <c r="G2" i="35"/>
  <c r="F2" i="35"/>
  <c r="B2" i="35"/>
  <c r="C3" i="16"/>
  <c r="C4" i="16"/>
  <c r="C5" i="16"/>
  <c r="C6" i="16"/>
  <c r="C7" i="37"/>
  <c r="K7" i="37" s="1"/>
  <c r="C7" i="16"/>
  <c r="C8" i="16"/>
  <c r="C9" i="16"/>
  <c r="C10" i="16"/>
  <c r="C6" i="37" s="1"/>
  <c r="K6" i="37" s="1"/>
  <c r="C11" i="16"/>
  <c r="C47" i="35" s="1"/>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2" i="16"/>
  <c r="G3" i="21"/>
  <c r="G4" i="21"/>
  <c r="G5" i="21"/>
  <c r="G6" i="21"/>
  <c r="G7" i="21"/>
  <c r="G8" i="21"/>
  <c r="G9" i="21"/>
  <c r="G10" i="21"/>
  <c r="G11" i="21"/>
  <c r="G12" i="21"/>
  <c r="G13" i="21"/>
  <c r="G14" i="21"/>
  <c r="G15" i="21"/>
  <c r="G16" i="21"/>
  <c r="G17" i="21"/>
  <c r="G18" i="21"/>
  <c r="G19" i="21"/>
  <c r="G20" i="21"/>
  <c r="G21" i="21"/>
  <c r="G22" i="21"/>
  <c r="G23" i="21"/>
  <c r="G24" i="21"/>
  <c r="G25" i="21"/>
  <c r="G26" i="21"/>
  <c r="G27" i="21"/>
  <c r="G28" i="21"/>
  <c r="G29" i="21"/>
  <c r="G30" i="21"/>
  <c r="G31" i="21"/>
  <c r="G32" i="21"/>
  <c r="G33" i="21"/>
  <c r="G34" i="21"/>
  <c r="G35" i="21"/>
  <c r="G36" i="21"/>
  <c r="G37" i="21"/>
  <c r="G38" i="21"/>
  <c r="G39" i="21"/>
  <c r="G40" i="21"/>
  <c r="G41" i="21"/>
  <c r="G42" i="21"/>
  <c r="G43" i="21"/>
  <c r="G44" i="21"/>
  <c r="G45" i="21"/>
  <c r="G46" i="21"/>
  <c r="G47" i="21"/>
  <c r="G48" i="21"/>
  <c r="G49" i="21"/>
  <c r="G50" i="21"/>
  <c r="G51" i="21"/>
  <c r="G2" i="21"/>
  <c r="U4" i="15"/>
  <c r="U2" i="15"/>
  <c r="U3" i="15"/>
  <c r="U7" i="15"/>
  <c r="B2" i="15"/>
  <c r="C17" i="33" l="1"/>
  <c r="C11" i="33"/>
  <c r="C18" i="33"/>
  <c r="C12" i="33"/>
  <c r="C13" i="33"/>
  <c r="C14" i="33"/>
  <c r="C19" i="33"/>
  <c r="C15" i="33"/>
  <c r="C16" i="33"/>
  <c r="C6" i="33"/>
  <c r="C2" i="33"/>
  <c r="C7" i="33"/>
  <c r="C8" i="33"/>
  <c r="C9" i="33"/>
  <c r="C10" i="33"/>
  <c r="C5" i="33"/>
  <c r="C3" i="33"/>
  <c r="C4" i="33"/>
  <c r="C29" i="35"/>
  <c r="C32" i="35"/>
  <c r="C35" i="35"/>
  <c r="C38" i="35"/>
  <c r="C41" i="35"/>
  <c r="C44" i="35"/>
  <c r="C25" i="35"/>
  <c r="C49" i="35"/>
  <c r="C48" i="35"/>
  <c r="C50" i="35"/>
  <c r="C30" i="35"/>
  <c r="C33" i="35"/>
  <c r="C36" i="35"/>
  <c r="C39" i="35"/>
  <c r="C42" i="35"/>
  <c r="C45" i="35"/>
  <c r="C20" i="33"/>
  <c r="C21" i="33"/>
  <c r="C22" i="33"/>
  <c r="C23" i="33"/>
  <c r="C24" i="33"/>
  <c r="C25" i="33"/>
  <c r="C18" i="35"/>
  <c r="C14" i="35"/>
  <c r="C26" i="35"/>
  <c r="C3" i="35"/>
  <c r="C9" i="35"/>
  <c r="C15" i="35"/>
  <c r="C17" i="35"/>
  <c r="C21" i="35"/>
  <c r="C19" i="35"/>
  <c r="C27" i="35"/>
  <c r="C6" i="35"/>
  <c r="C16" i="35"/>
  <c r="C28" i="35"/>
  <c r="C11" i="35"/>
  <c r="C23" i="35"/>
  <c r="C13" i="35"/>
  <c r="F3" i="15"/>
  <c r="D2" i="21"/>
  <c r="C20" i="35"/>
  <c r="C10" i="35"/>
  <c r="C22" i="35"/>
  <c r="C12" i="35"/>
  <c r="C24" i="35"/>
  <c r="F14" i="15"/>
  <c r="C11" i="37"/>
  <c r="K11" i="37" s="1"/>
  <c r="H5" i="15"/>
  <c r="F4" i="15"/>
  <c r="F6" i="15"/>
  <c r="F5" i="15"/>
  <c r="C19" i="37"/>
  <c r="K19" i="37" s="1"/>
  <c r="H6" i="15"/>
  <c r="C10" i="37"/>
  <c r="K10" i="37" s="1"/>
  <c r="C14" i="37"/>
  <c r="K14" i="37" s="1"/>
  <c r="C18" i="37"/>
  <c r="K18" i="37" s="1"/>
  <c r="C9" i="37"/>
  <c r="K9" i="37" s="1"/>
  <c r="C13" i="37"/>
  <c r="K13" i="37" s="1"/>
  <c r="C17" i="37"/>
  <c r="K17" i="37" s="1"/>
  <c r="H13" i="15"/>
  <c r="C8" i="37"/>
  <c r="K8" i="37" s="1"/>
  <c r="C12" i="37"/>
  <c r="K12" i="37" s="1"/>
  <c r="C16" i="37"/>
  <c r="K16" i="37" s="1"/>
  <c r="C15" i="37"/>
  <c r="K15" i="37" s="1"/>
  <c r="F8" i="15"/>
  <c r="F9" i="15"/>
  <c r="H15" i="15"/>
  <c r="F7" i="15"/>
  <c r="F10" i="15"/>
  <c r="F18" i="15"/>
  <c r="F28" i="15"/>
  <c r="F40" i="15"/>
  <c r="F52" i="15"/>
  <c r="F64" i="15"/>
  <c r="H26" i="15"/>
  <c r="H38" i="15"/>
  <c r="H50" i="15"/>
  <c r="H62" i="15"/>
  <c r="F29" i="15"/>
  <c r="F41" i="15"/>
  <c r="F53" i="15"/>
  <c r="F65" i="15"/>
  <c r="H17" i="15"/>
  <c r="H27" i="15"/>
  <c r="H39" i="15"/>
  <c r="H51" i="15"/>
  <c r="H63" i="15"/>
  <c r="F42" i="15"/>
  <c r="F54" i="15"/>
  <c r="F66" i="15"/>
  <c r="H18" i="15"/>
  <c r="H28" i="15"/>
  <c r="H40" i="15"/>
  <c r="H64" i="15"/>
  <c r="F55" i="15"/>
  <c r="F67" i="15"/>
  <c r="H29" i="15"/>
  <c r="H53" i="15"/>
  <c r="H24" i="15"/>
  <c r="F17" i="15"/>
  <c r="F63" i="15"/>
  <c r="H37" i="15"/>
  <c r="F30" i="15"/>
  <c r="H52" i="15"/>
  <c r="H41" i="15"/>
  <c r="H36" i="15"/>
  <c r="F39" i="15"/>
  <c r="F19" i="15"/>
  <c r="F31" i="15"/>
  <c r="F43" i="15"/>
  <c r="H65" i="15"/>
  <c r="F27" i="15"/>
  <c r="H49" i="15"/>
  <c r="F20" i="15"/>
  <c r="F32" i="15"/>
  <c r="F44" i="15"/>
  <c r="F56" i="15"/>
  <c r="F68" i="15"/>
  <c r="H30" i="15"/>
  <c r="H42" i="15"/>
  <c r="H54" i="15"/>
  <c r="H66" i="15"/>
  <c r="F33" i="15"/>
  <c r="F45" i="15"/>
  <c r="F69" i="15"/>
  <c r="H31" i="15"/>
  <c r="H55" i="15"/>
  <c r="F22" i="15"/>
  <c r="F46" i="15"/>
  <c r="F58" i="15"/>
  <c r="H20" i="15"/>
  <c r="H32" i="15"/>
  <c r="H56" i="15"/>
  <c r="H23" i="15"/>
  <c r="F26" i="15"/>
  <c r="F50" i="15"/>
  <c r="H60" i="15"/>
  <c r="F51" i="15"/>
  <c r="H61" i="15"/>
  <c r="F21" i="15"/>
  <c r="F57" i="15"/>
  <c r="H19" i="15"/>
  <c r="H43" i="15"/>
  <c r="H67" i="15"/>
  <c r="F34" i="15"/>
  <c r="H44" i="15"/>
  <c r="H68" i="15"/>
  <c r="H47" i="15"/>
  <c r="F38" i="15"/>
  <c r="H25" i="15"/>
  <c r="F23" i="15"/>
  <c r="F35" i="15"/>
  <c r="F47" i="15"/>
  <c r="F59" i="15"/>
  <c r="H21" i="15"/>
  <c r="H33" i="15"/>
  <c r="H45" i="15"/>
  <c r="H57" i="15"/>
  <c r="H69" i="15"/>
  <c r="F24" i="15"/>
  <c r="F36" i="15"/>
  <c r="F48" i="15"/>
  <c r="F60" i="15"/>
  <c r="H22" i="15"/>
  <c r="H34" i="15"/>
  <c r="H46" i="15"/>
  <c r="H58" i="15"/>
  <c r="F25" i="15"/>
  <c r="F37" i="15"/>
  <c r="F49" i="15"/>
  <c r="F61" i="15"/>
  <c r="H35" i="15"/>
  <c r="H59" i="15"/>
  <c r="F62" i="15"/>
  <c r="H48" i="15"/>
  <c r="H14" i="15"/>
  <c r="F16" i="15"/>
  <c r="H12" i="15"/>
  <c r="F15" i="15"/>
  <c r="H16" i="15"/>
  <c r="F12" i="15"/>
  <c r="F13" i="15"/>
  <c r="H11" i="15"/>
  <c r="F11" i="15"/>
  <c r="H10" i="15"/>
  <c r="C5" i="37"/>
  <c r="K5" i="37" s="1"/>
  <c r="C4" i="37"/>
  <c r="K4" i="37" s="1"/>
  <c r="C8" i="35"/>
  <c r="C7" i="35"/>
  <c r="C3" i="37"/>
  <c r="K3" i="37" s="1"/>
  <c r="C2" i="37"/>
  <c r="K2" i="37" s="1"/>
  <c r="C4" i="35"/>
  <c r="C2" i="35"/>
  <c r="C5" i="35"/>
  <c r="B140" i="33"/>
  <c r="B141" i="33"/>
  <c r="B142" i="33"/>
  <c r="B143" i="33"/>
  <c r="B144" i="33"/>
  <c r="B145" i="33"/>
  <c r="B146" i="33"/>
  <c r="B147" i="33"/>
  <c r="B148" i="33"/>
  <c r="B6" i="33"/>
  <c r="B3" i="33"/>
  <c r="B4" i="33"/>
  <c r="B149" i="33"/>
  <c r="B150" i="33"/>
  <c r="B151" i="33"/>
  <c r="B2" i="33"/>
  <c r="B5" i="33"/>
  <c r="B9" i="33"/>
  <c r="B10" i="33"/>
  <c r="B11" i="33"/>
  <c r="B12" i="33"/>
  <c r="B13" i="33"/>
  <c r="B14" i="33"/>
  <c r="B15" i="33"/>
  <c r="B16" i="33"/>
  <c r="B19" i="33"/>
  <c r="B20" i="33"/>
  <c r="B23" i="33"/>
  <c r="B24" i="33"/>
  <c r="B25" i="33"/>
  <c r="B26" i="33"/>
  <c r="J26" i="33"/>
  <c r="B27" i="33"/>
  <c r="J27" i="33"/>
  <c r="B28" i="33"/>
  <c r="J28" i="33"/>
  <c r="B29" i="33"/>
  <c r="J29" i="33"/>
  <c r="B30" i="33"/>
  <c r="J30" i="33"/>
  <c r="B31" i="33"/>
  <c r="J31" i="33"/>
  <c r="B32" i="33"/>
  <c r="J32" i="33"/>
  <c r="B33" i="33"/>
  <c r="J33" i="33"/>
  <c r="B34" i="33"/>
  <c r="J34" i="33"/>
  <c r="B35" i="33"/>
  <c r="J35" i="33"/>
  <c r="B36" i="33"/>
  <c r="J36" i="33"/>
  <c r="B37" i="33"/>
  <c r="J37" i="33"/>
  <c r="B38" i="33"/>
  <c r="J38" i="33"/>
  <c r="B39" i="33"/>
  <c r="J39" i="33"/>
  <c r="B40" i="33"/>
  <c r="J40" i="33"/>
  <c r="B41" i="33"/>
  <c r="J41" i="33"/>
  <c r="B42" i="33"/>
  <c r="J42" i="33"/>
  <c r="B43" i="33"/>
  <c r="J43" i="33"/>
  <c r="B44" i="33"/>
  <c r="J44" i="33"/>
  <c r="B45" i="33"/>
  <c r="J45" i="33"/>
  <c r="B46" i="33"/>
  <c r="J46" i="33"/>
  <c r="B47" i="33"/>
  <c r="J47" i="33"/>
  <c r="B48" i="33"/>
  <c r="J48" i="33"/>
  <c r="B49" i="33"/>
  <c r="J49" i="33"/>
  <c r="B50" i="33"/>
  <c r="J50" i="33"/>
  <c r="B51" i="33"/>
  <c r="J51" i="33"/>
  <c r="B52" i="33"/>
  <c r="J52" i="33"/>
  <c r="B53" i="33"/>
  <c r="J53" i="33"/>
  <c r="B54" i="33"/>
  <c r="J54" i="33"/>
  <c r="B55" i="33"/>
  <c r="J55" i="33"/>
  <c r="B56" i="33"/>
  <c r="J56" i="33"/>
  <c r="B57" i="33"/>
  <c r="J57" i="33"/>
  <c r="B58" i="33"/>
  <c r="J58" i="33"/>
  <c r="B59" i="33"/>
  <c r="J59" i="33"/>
  <c r="B60" i="33"/>
  <c r="J60" i="33"/>
  <c r="B61" i="33"/>
  <c r="J61" i="33"/>
  <c r="B62" i="33"/>
  <c r="J62" i="33"/>
  <c r="B63" i="33"/>
  <c r="J63" i="33"/>
  <c r="B64" i="33"/>
  <c r="J64" i="33"/>
  <c r="B65" i="33"/>
  <c r="J65" i="33"/>
  <c r="B66" i="33"/>
  <c r="J66" i="33"/>
  <c r="B67" i="33"/>
  <c r="J67" i="33"/>
  <c r="B68" i="33"/>
  <c r="J68" i="33"/>
  <c r="B69" i="33"/>
  <c r="J69" i="33"/>
  <c r="B70" i="33"/>
  <c r="J70" i="33"/>
  <c r="B71" i="33"/>
  <c r="J71" i="33"/>
  <c r="B72" i="33"/>
  <c r="J72" i="33"/>
  <c r="B73" i="33"/>
  <c r="J73" i="33"/>
  <c r="B74" i="33"/>
  <c r="J74" i="33"/>
  <c r="B75" i="33"/>
  <c r="J75" i="33"/>
  <c r="B76" i="33"/>
  <c r="J76" i="33"/>
  <c r="B77" i="33"/>
  <c r="J77" i="33"/>
  <c r="B78" i="33"/>
  <c r="J78" i="33"/>
  <c r="B79" i="33"/>
  <c r="J79" i="33"/>
  <c r="B80" i="33"/>
  <c r="J80" i="33"/>
  <c r="B81" i="33"/>
  <c r="J81" i="33"/>
  <c r="B82" i="33"/>
  <c r="J82" i="33"/>
  <c r="B83" i="33"/>
  <c r="J83" i="33"/>
  <c r="B84" i="33"/>
  <c r="J84" i="33"/>
  <c r="B85" i="33"/>
  <c r="J85" i="33"/>
  <c r="B86" i="33"/>
  <c r="J86" i="33"/>
  <c r="B87" i="33"/>
  <c r="J87" i="33"/>
  <c r="B88" i="33"/>
  <c r="J88" i="33"/>
  <c r="B89" i="33"/>
  <c r="J89" i="33"/>
  <c r="B90" i="33"/>
  <c r="J90" i="33"/>
  <c r="B91" i="33"/>
  <c r="J91" i="33"/>
  <c r="B92" i="33"/>
  <c r="J92" i="33"/>
  <c r="B93" i="33"/>
  <c r="J93" i="33"/>
  <c r="B94" i="33"/>
  <c r="J94" i="33"/>
  <c r="B95" i="33"/>
  <c r="J95" i="33"/>
  <c r="B96" i="33"/>
  <c r="J96" i="33"/>
  <c r="B97" i="33"/>
  <c r="J97" i="33"/>
  <c r="B98" i="33"/>
  <c r="J98" i="33"/>
  <c r="B99" i="33"/>
  <c r="J99" i="33"/>
  <c r="B100" i="33"/>
  <c r="J100" i="33"/>
  <c r="B101" i="33"/>
  <c r="J101" i="33"/>
  <c r="B102" i="33"/>
  <c r="J102" i="33"/>
  <c r="B103" i="33"/>
  <c r="J103" i="33"/>
  <c r="B104" i="33"/>
  <c r="J104" i="33"/>
  <c r="B105" i="33"/>
  <c r="J105" i="33"/>
  <c r="B106" i="33"/>
  <c r="J106" i="33"/>
  <c r="B107" i="33"/>
  <c r="J107" i="33"/>
  <c r="B108" i="33"/>
  <c r="J108" i="33"/>
  <c r="B109" i="33"/>
  <c r="J109" i="33"/>
  <c r="B110" i="33"/>
  <c r="J110" i="33"/>
  <c r="B111" i="33"/>
  <c r="J111" i="33"/>
  <c r="B112" i="33"/>
  <c r="J112" i="33"/>
  <c r="B113" i="33"/>
  <c r="J113" i="33"/>
  <c r="B114" i="33"/>
  <c r="J114" i="33"/>
  <c r="B115" i="33"/>
  <c r="J115" i="33"/>
  <c r="B116" i="33"/>
  <c r="J116" i="33"/>
  <c r="B117" i="33"/>
  <c r="J117" i="33"/>
  <c r="B118" i="33"/>
  <c r="J118" i="33"/>
  <c r="B119" i="33"/>
  <c r="J119" i="33"/>
  <c r="B120" i="33"/>
  <c r="J120" i="33"/>
  <c r="B121" i="33"/>
  <c r="J121" i="33"/>
  <c r="B122" i="33"/>
  <c r="J122" i="33"/>
  <c r="B123" i="33"/>
  <c r="J123" i="33"/>
  <c r="B124" i="33"/>
  <c r="J124" i="33"/>
  <c r="B125" i="33"/>
  <c r="J125" i="33"/>
  <c r="B126" i="33"/>
  <c r="J126" i="33"/>
  <c r="B127" i="33"/>
  <c r="J127" i="33"/>
  <c r="B128" i="33"/>
  <c r="J128" i="33"/>
  <c r="B129" i="33"/>
  <c r="J129" i="33"/>
  <c r="B130" i="33"/>
  <c r="J130" i="33"/>
  <c r="B131" i="33"/>
  <c r="J131" i="33"/>
  <c r="B132" i="33"/>
  <c r="J132" i="33"/>
  <c r="B133" i="33"/>
  <c r="J133" i="33"/>
  <c r="B134" i="33"/>
  <c r="J134" i="33"/>
  <c r="B135" i="33"/>
  <c r="J135" i="33"/>
  <c r="B136" i="33"/>
  <c r="J136" i="33"/>
  <c r="B137" i="33"/>
  <c r="J137" i="33"/>
  <c r="B138" i="33"/>
  <c r="J138" i="33"/>
  <c r="B139" i="33"/>
  <c r="J139" i="33"/>
  <c r="B8" i="33"/>
  <c r="B7" i="33"/>
  <c r="P124" i="33" l="1"/>
  <c r="R124" i="33"/>
  <c r="R120" i="33"/>
  <c r="P120" i="33"/>
  <c r="P116" i="33"/>
  <c r="R116" i="33"/>
  <c r="R112" i="33"/>
  <c r="P112" i="33"/>
  <c r="R108" i="33"/>
  <c r="P108" i="33"/>
  <c r="R104" i="33"/>
  <c r="P104" i="33"/>
  <c r="R100" i="33"/>
  <c r="P100" i="33"/>
  <c r="R96" i="33"/>
  <c r="P96" i="33"/>
  <c r="R92" i="33"/>
  <c r="P92" i="33"/>
  <c r="R88" i="33"/>
  <c r="P88" i="33"/>
  <c r="R82" i="33"/>
  <c r="P82" i="33"/>
  <c r="R76" i="33"/>
  <c r="P76" i="33"/>
  <c r="R70" i="33"/>
  <c r="P70" i="33"/>
  <c r="P64" i="33"/>
  <c r="R64" i="33"/>
  <c r="R75" i="33"/>
  <c r="P75" i="33"/>
  <c r="P55" i="33"/>
  <c r="R55" i="33"/>
  <c r="R43" i="33"/>
  <c r="P43" i="33"/>
  <c r="P39" i="33"/>
  <c r="R39" i="33"/>
  <c r="R35" i="33"/>
  <c r="P35" i="33"/>
  <c r="P31" i="33"/>
  <c r="R31" i="33"/>
  <c r="P27" i="33"/>
  <c r="R27" i="33"/>
  <c r="R136" i="33"/>
  <c r="P136" i="33"/>
  <c r="P69" i="33"/>
  <c r="R69" i="33"/>
  <c r="R51" i="33"/>
  <c r="P51" i="33"/>
  <c r="P139" i="33"/>
  <c r="R139" i="33"/>
  <c r="R131" i="33"/>
  <c r="P131" i="33"/>
  <c r="R123" i="33"/>
  <c r="P123" i="33"/>
  <c r="R115" i="33"/>
  <c r="P115" i="33"/>
  <c r="R107" i="33"/>
  <c r="P107" i="33"/>
  <c r="P103" i="33"/>
  <c r="R103" i="33"/>
  <c r="R99" i="33"/>
  <c r="P99" i="33"/>
  <c r="R95" i="33"/>
  <c r="P95" i="33"/>
  <c r="R91" i="33"/>
  <c r="P91" i="33"/>
  <c r="P63" i="33"/>
  <c r="R63" i="33"/>
  <c r="R47" i="33"/>
  <c r="P47" i="33"/>
  <c r="R135" i="33"/>
  <c r="P135" i="33"/>
  <c r="R127" i="33"/>
  <c r="P127" i="33"/>
  <c r="R119" i="33"/>
  <c r="P119" i="33"/>
  <c r="R111" i="33"/>
  <c r="P111" i="33"/>
  <c r="R86" i="33"/>
  <c r="P86" i="33"/>
  <c r="P80" i="33"/>
  <c r="R80" i="33"/>
  <c r="R74" i="33"/>
  <c r="P74" i="33"/>
  <c r="R68" i="33"/>
  <c r="P68" i="33"/>
  <c r="R59" i="33"/>
  <c r="P59" i="33"/>
  <c r="R62" i="33"/>
  <c r="P62" i="33"/>
  <c r="R58" i="33"/>
  <c r="P58" i="33"/>
  <c r="P54" i="33"/>
  <c r="R54" i="33"/>
  <c r="R50" i="33"/>
  <c r="P50" i="33"/>
  <c r="R46" i="33"/>
  <c r="P46" i="33"/>
  <c r="R42" i="33"/>
  <c r="P42" i="33"/>
  <c r="R38" i="33"/>
  <c r="P38" i="33"/>
  <c r="R34" i="33"/>
  <c r="P34" i="33"/>
  <c r="R30" i="33"/>
  <c r="P30" i="33"/>
  <c r="R26" i="33"/>
  <c r="P26" i="33"/>
  <c r="R85" i="33"/>
  <c r="P85" i="33"/>
  <c r="P67" i="33"/>
  <c r="R67" i="33"/>
  <c r="R81" i="33"/>
  <c r="P81" i="33"/>
  <c r="R122" i="33"/>
  <c r="P122" i="33"/>
  <c r="R118" i="33"/>
  <c r="P118" i="33"/>
  <c r="R114" i="33"/>
  <c r="P114" i="33"/>
  <c r="R110" i="33"/>
  <c r="P110" i="33"/>
  <c r="R106" i="33"/>
  <c r="P106" i="33"/>
  <c r="P102" i="33"/>
  <c r="R102" i="33"/>
  <c r="R98" i="33"/>
  <c r="P98" i="33"/>
  <c r="R94" i="33"/>
  <c r="P94" i="33"/>
  <c r="R90" i="33"/>
  <c r="P90" i="33"/>
  <c r="R79" i="33"/>
  <c r="P79" i="33"/>
  <c r="R73" i="33"/>
  <c r="P73" i="33"/>
  <c r="R128" i="33"/>
  <c r="P128" i="33"/>
  <c r="R134" i="33"/>
  <c r="P134" i="33"/>
  <c r="R84" i="33"/>
  <c r="P84" i="33"/>
  <c r="R72" i="33"/>
  <c r="P72" i="33"/>
  <c r="P66" i="33"/>
  <c r="R66" i="33"/>
  <c r="R61" i="33"/>
  <c r="P61" i="33"/>
  <c r="P57" i="33"/>
  <c r="R57" i="33"/>
  <c r="R53" i="33"/>
  <c r="P53" i="33"/>
  <c r="R49" i="33"/>
  <c r="P49" i="33"/>
  <c r="R45" i="33"/>
  <c r="P45" i="33"/>
  <c r="R41" i="33"/>
  <c r="P41" i="33"/>
  <c r="R37" i="33"/>
  <c r="P37" i="33"/>
  <c r="R33" i="33"/>
  <c r="P33" i="33"/>
  <c r="R29" i="33"/>
  <c r="P29" i="33"/>
  <c r="R132" i="33"/>
  <c r="P132" i="33"/>
  <c r="R138" i="33"/>
  <c r="P138" i="33"/>
  <c r="R78" i="33"/>
  <c r="P78" i="33"/>
  <c r="R129" i="33"/>
  <c r="P129" i="33"/>
  <c r="R121" i="33"/>
  <c r="P121" i="33"/>
  <c r="R117" i="33"/>
  <c r="P117" i="33"/>
  <c r="R113" i="33"/>
  <c r="P113" i="33"/>
  <c r="R109" i="33"/>
  <c r="P109" i="33"/>
  <c r="R105" i="33"/>
  <c r="P105" i="33"/>
  <c r="R101" i="33"/>
  <c r="P101" i="33"/>
  <c r="R97" i="33"/>
  <c r="P97" i="33"/>
  <c r="P93" i="33"/>
  <c r="R93" i="33"/>
  <c r="R89" i="33"/>
  <c r="P89" i="33"/>
  <c r="R130" i="33"/>
  <c r="P130" i="33"/>
  <c r="R137" i="33"/>
  <c r="P137" i="33"/>
  <c r="R125" i="33"/>
  <c r="P125" i="33"/>
  <c r="R83" i="33"/>
  <c r="P83" i="33"/>
  <c r="R77" i="33"/>
  <c r="P77" i="33"/>
  <c r="R71" i="33"/>
  <c r="P71" i="33"/>
  <c r="R65" i="33"/>
  <c r="P65" i="33"/>
  <c r="P87" i="33"/>
  <c r="R87" i="33"/>
  <c r="R126" i="33"/>
  <c r="P126" i="33"/>
  <c r="R133" i="33"/>
  <c r="P133" i="33"/>
  <c r="R60" i="33"/>
  <c r="P60" i="33"/>
  <c r="P56" i="33"/>
  <c r="R56" i="33"/>
  <c r="R52" i="33"/>
  <c r="P52" i="33"/>
  <c r="R48" i="33"/>
  <c r="P48" i="33"/>
  <c r="R44" i="33"/>
  <c r="P44" i="33"/>
  <c r="R40" i="33"/>
  <c r="P40" i="33"/>
  <c r="R36" i="33"/>
  <c r="P36" i="33"/>
  <c r="R32" i="33"/>
  <c r="P32" i="33"/>
  <c r="P28" i="33"/>
  <c r="R28" i="33"/>
  <c r="C62" i="15"/>
  <c r="C26" i="15"/>
  <c r="C14" i="15"/>
  <c r="L120" i="33"/>
  <c r="N120" i="33"/>
  <c r="L76" i="33"/>
  <c r="N76" i="33"/>
  <c r="L136" i="33"/>
  <c r="N136" i="33"/>
  <c r="L108" i="33"/>
  <c r="N108" i="33"/>
  <c r="L88" i="33"/>
  <c r="N88" i="33"/>
  <c r="L87" i="33"/>
  <c r="N87" i="33"/>
  <c r="N69" i="33"/>
  <c r="L69" i="33"/>
  <c r="L59" i="33"/>
  <c r="N59" i="33"/>
  <c r="N55" i="33"/>
  <c r="L55" i="33"/>
  <c r="L51" i="33"/>
  <c r="N51" i="33"/>
  <c r="L47" i="33"/>
  <c r="N47" i="33"/>
  <c r="N43" i="33"/>
  <c r="L43" i="33"/>
  <c r="L39" i="33"/>
  <c r="N39" i="33"/>
  <c r="L35" i="33"/>
  <c r="N35" i="33"/>
  <c r="N31" i="33"/>
  <c r="L31" i="33"/>
  <c r="L27" i="33"/>
  <c r="N27" i="33"/>
  <c r="L132" i="33"/>
  <c r="N132" i="33"/>
  <c r="L104" i="33"/>
  <c r="N104" i="33"/>
  <c r="N82" i="33"/>
  <c r="L82" i="33"/>
  <c r="N81" i="33"/>
  <c r="L81" i="33"/>
  <c r="L63" i="33"/>
  <c r="N63" i="33"/>
  <c r="L131" i="33"/>
  <c r="N131" i="33"/>
  <c r="L123" i="33"/>
  <c r="N123" i="33"/>
  <c r="L119" i="33"/>
  <c r="N119" i="33"/>
  <c r="N115" i="33"/>
  <c r="L115" i="33"/>
  <c r="L111" i="33"/>
  <c r="N111" i="33"/>
  <c r="L107" i="33"/>
  <c r="N107" i="33"/>
  <c r="L103" i="33"/>
  <c r="N103" i="33"/>
  <c r="L99" i="33"/>
  <c r="N99" i="33"/>
  <c r="L95" i="33"/>
  <c r="N95" i="33"/>
  <c r="N91" i="33"/>
  <c r="L91" i="33"/>
  <c r="L112" i="33"/>
  <c r="N112" i="33"/>
  <c r="L92" i="33"/>
  <c r="N92" i="33"/>
  <c r="L75" i="33"/>
  <c r="N75" i="33"/>
  <c r="N139" i="33"/>
  <c r="L139" i="33"/>
  <c r="L135" i="33"/>
  <c r="N135" i="33"/>
  <c r="N127" i="33"/>
  <c r="L127" i="33"/>
  <c r="L86" i="33"/>
  <c r="N86" i="33"/>
  <c r="L80" i="33"/>
  <c r="N80" i="33"/>
  <c r="L74" i="33"/>
  <c r="N74" i="33"/>
  <c r="L68" i="33"/>
  <c r="N68" i="33"/>
  <c r="L62" i="33"/>
  <c r="N62" i="33"/>
  <c r="N58" i="33"/>
  <c r="L58" i="33"/>
  <c r="L54" i="33"/>
  <c r="N54" i="33"/>
  <c r="L50" i="33"/>
  <c r="N50" i="33"/>
  <c r="N46" i="33"/>
  <c r="L46" i="33"/>
  <c r="N42" i="33"/>
  <c r="L42" i="33"/>
  <c r="L38" i="33"/>
  <c r="N38" i="33"/>
  <c r="N34" i="33"/>
  <c r="L34" i="33"/>
  <c r="N30" i="33"/>
  <c r="L30" i="33"/>
  <c r="L26" i="33"/>
  <c r="N26" i="33"/>
  <c r="N126" i="33"/>
  <c r="L126" i="33"/>
  <c r="N118" i="33"/>
  <c r="L118" i="33"/>
  <c r="L110" i="33"/>
  <c r="N110" i="33"/>
  <c r="N102" i="33"/>
  <c r="L102" i="33"/>
  <c r="N94" i="33"/>
  <c r="L94" i="33"/>
  <c r="L85" i="33"/>
  <c r="N85" i="33"/>
  <c r="N79" i="33"/>
  <c r="L79" i="33"/>
  <c r="L78" i="33"/>
  <c r="N78" i="33"/>
  <c r="L61" i="33"/>
  <c r="N61" i="33"/>
  <c r="N57" i="33"/>
  <c r="L57" i="33"/>
  <c r="L53" i="33"/>
  <c r="N53" i="33"/>
  <c r="L49" i="33"/>
  <c r="N49" i="33"/>
  <c r="N45" i="33"/>
  <c r="L45" i="33"/>
  <c r="L41" i="33"/>
  <c r="N41" i="33"/>
  <c r="L37" i="33"/>
  <c r="N37" i="33"/>
  <c r="N33" i="33"/>
  <c r="L33" i="33"/>
  <c r="L29" i="33"/>
  <c r="N29" i="33"/>
  <c r="L124" i="33"/>
  <c r="N124" i="33"/>
  <c r="L96" i="33"/>
  <c r="N96" i="33"/>
  <c r="N70" i="33"/>
  <c r="L70" i="33"/>
  <c r="L134" i="33"/>
  <c r="N134" i="33"/>
  <c r="L73" i="33"/>
  <c r="N73" i="33"/>
  <c r="N66" i="33"/>
  <c r="L66" i="33"/>
  <c r="N129" i="33"/>
  <c r="L129" i="33"/>
  <c r="L121" i="33"/>
  <c r="N121" i="33"/>
  <c r="L113" i="33"/>
  <c r="N113" i="33"/>
  <c r="N105" i="33"/>
  <c r="L105" i="33"/>
  <c r="L101" i="33"/>
  <c r="N101" i="33"/>
  <c r="L97" i="33"/>
  <c r="N97" i="33"/>
  <c r="N93" i="33"/>
  <c r="L93" i="33"/>
  <c r="L89" i="33"/>
  <c r="N89" i="33"/>
  <c r="L128" i="33"/>
  <c r="N128" i="33"/>
  <c r="L100" i="33"/>
  <c r="N100" i="33"/>
  <c r="L64" i="33"/>
  <c r="N64" i="33"/>
  <c r="N138" i="33"/>
  <c r="L138" i="33"/>
  <c r="N130" i="33"/>
  <c r="L130" i="33"/>
  <c r="L122" i="33"/>
  <c r="N122" i="33"/>
  <c r="N114" i="33"/>
  <c r="L114" i="33"/>
  <c r="N106" i="33"/>
  <c r="L106" i="33"/>
  <c r="L98" i="33"/>
  <c r="N98" i="33"/>
  <c r="N90" i="33"/>
  <c r="L90" i="33"/>
  <c r="N67" i="33"/>
  <c r="L67" i="33"/>
  <c r="L72" i="33"/>
  <c r="N72" i="33"/>
  <c r="L133" i="33"/>
  <c r="N133" i="33"/>
  <c r="L125" i="33"/>
  <c r="N125" i="33"/>
  <c r="N117" i="33"/>
  <c r="L117" i="33"/>
  <c r="L109" i="33"/>
  <c r="N109" i="33"/>
  <c r="L83" i="33"/>
  <c r="N83" i="33"/>
  <c r="L77" i="33"/>
  <c r="N77" i="33"/>
  <c r="L71" i="33"/>
  <c r="N71" i="33"/>
  <c r="L65" i="33"/>
  <c r="N65" i="33"/>
  <c r="L84" i="33"/>
  <c r="N84" i="33"/>
  <c r="L137" i="33"/>
  <c r="N137" i="33"/>
  <c r="L60" i="33"/>
  <c r="N60" i="33"/>
  <c r="L56" i="33"/>
  <c r="N56" i="33"/>
  <c r="L52" i="33"/>
  <c r="N52" i="33"/>
  <c r="L48" i="33"/>
  <c r="N48" i="33"/>
  <c r="L44" i="33"/>
  <c r="N44" i="33"/>
  <c r="L40" i="33"/>
  <c r="N40" i="33"/>
  <c r="L36" i="33"/>
  <c r="N36" i="33"/>
  <c r="L32" i="33"/>
  <c r="N32" i="33"/>
  <c r="L28" i="33"/>
  <c r="N28" i="33"/>
  <c r="L116" i="33"/>
  <c r="N116" i="33"/>
  <c r="C34" i="15"/>
  <c r="L34" i="15" s="1"/>
  <c r="C5" i="15"/>
  <c r="C61" i="15"/>
  <c r="L61" i="15" s="1"/>
  <c r="C25" i="15"/>
  <c r="O25" i="15" s="1"/>
  <c r="C6" i="15"/>
  <c r="C37" i="15"/>
  <c r="R37" i="15" s="1"/>
  <c r="R26" i="15"/>
  <c r="L26" i="15"/>
  <c r="O26" i="15"/>
  <c r="C39" i="15"/>
  <c r="R14" i="15"/>
  <c r="L14" i="15"/>
  <c r="O14" i="15"/>
  <c r="R62" i="15"/>
  <c r="L62" i="15"/>
  <c r="O62" i="15"/>
  <c r="C36" i="15"/>
  <c r="C17" i="15"/>
  <c r="C18" i="15"/>
  <c r="C11" i="15"/>
  <c r="C31" i="15"/>
  <c r="C49" i="15"/>
  <c r="C64" i="15"/>
  <c r="C55" i="15"/>
  <c r="C50" i="15"/>
  <c r="C59" i="15"/>
  <c r="C58" i="15"/>
  <c r="C35" i="15"/>
  <c r="C21" i="15"/>
  <c r="C60" i="15"/>
  <c r="C15" i="15"/>
  <c r="C13" i="15"/>
  <c r="J22" i="33" s="1"/>
  <c r="C12" i="15"/>
  <c r="C43" i="15"/>
  <c r="C19" i="15"/>
  <c r="C67" i="15"/>
  <c r="C52" i="15"/>
  <c r="C40" i="15"/>
  <c r="C16" i="15"/>
  <c r="C47" i="15"/>
  <c r="C57" i="15"/>
  <c r="C46" i="15"/>
  <c r="C68" i="15"/>
  <c r="C28" i="15"/>
  <c r="C65" i="15"/>
  <c r="C22" i="15"/>
  <c r="C23" i="15"/>
  <c r="C44" i="15"/>
  <c r="C53" i="15"/>
  <c r="C10" i="15"/>
  <c r="C48" i="15"/>
  <c r="C51" i="15"/>
  <c r="C32" i="15"/>
  <c r="C30" i="15"/>
  <c r="C41" i="15"/>
  <c r="C56" i="15"/>
  <c r="C38" i="15"/>
  <c r="C69" i="15"/>
  <c r="C20" i="15"/>
  <c r="C66" i="15"/>
  <c r="C29" i="15"/>
  <c r="C24" i="15"/>
  <c r="C45" i="15"/>
  <c r="C63" i="15"/>
  <c r="C54" i="15"/>
  <c r="C33" i="15"/>
  <c r="C27" i="15"/>
  <c r="C42" i="15"/>
  <c r="J21" i="33" l="1"/>
  <c r="J25" i="33"/>
  <c r="R22" i="33"/>
  <c r="P22" i="33"/>
  <c r="N22" i="33"/>
  <c r="L22" i="33"/>
  <c r="O34" i="15"/>
  <c r="R34" i="15"/>
  <c r="O61" i="15"/>
  <c r="R25" i="15"/>
  <c r="R61" i="15"/>
  <c r="L25" i="15"/>
  <c r="O37" i="15"/>
  <c r="J9" i="33"/>
  <c r="J7" i="33"/>
  <c r="L37" i="15"/>
  <c r="O5" i="15"/>
  <c r="R5" i="15"/>
  <c r="L5" i="15"/>
  <c r="O6" i="15"/>
  <c r="L6" i="15"/>
  <c r="R6" i="15"/>
  <c r="O36" i="15"/>
  <c r="L36" i="15"/>
  <c r="R36" i="15"/>
  <c r="O63" i="15"/>
  <c r="R63" i="15"/>
  <c r="L63" i="15"/>
  <c r="O51" i="15"/>
  <c r="R51" i="15"/>
  <c r="L51" i="15"/>
  <c r="R47" i="15"/>
  <c r="L47" i="15"/>
  <c r="O47" i="15"/>
  <c r="R35" i="15"/>
  <c r="L35" i="15"/>
  <c r="O35" i="15"/>
  <c r="L17" i="15"/>
  <c r="R17" i="15"/>
  <c r="O17" i="15"/>
  <c r="L45" i="15"/>
  <c r="O45" i="15"/>
  <c r="R45" i="15"/>
  <c r="L48" i="15"/>
  <c r="R48" i="15"/>
  <c r="O48" i="15"/>
  <c r="L16" i="15"/>
  <c r="O16" i="15"/>
  <c r="R16" i="15"/>
  <c r="L58" i="15"/>
  <c r="R58" i="15"/>
  <c r="O58" i="15"/>
  <c r="O60" i="15"/>
  <c r="L60" i="15"/>
  <c r="R60" i="15"/>
  <c r="L24" i="15"/>
  <c r="O24" i="15"/>
  <c r="R24" i="15"/>
  <c r="L10" i="15"/>
  <c r="O10" i="15"/>
  <c r="R10" i="15"/>
  <c r="L40" i="15"/>
  <c r="R40" i="15"/>
  <c r="O40" i="15"/>
  <c r="R59" i="15"/>
  <c r="L59" i="15"/>
  <c r="O59" i="15"/>
  <c r="O54" i="15"/>
  <c r="L54" i="15"/>
  <c r="R54" i="15"/>
  <c r="R29" i="15"/>
  <c r="O29" i="15"/>
  <c r="L29" i="15"/>
  <c r="R53" i="15"/>
  <c r="O53" i="15"/>
  <c r="L53" i="15"/>
  <c r="L52" i="15"/>
  <c r="O52" i="15"/>
  <c r="R52" i="15"/>
  <c r="R50" i="15"/>
  <c r="O50" i="15"/>
  <c r="L50" i="15"/>
  <c r="O30" i="15"/>
  <c r="R30" i="15"/>
  <c r="L30" i="15"/>
  <c r="O66" i="15"/>
  <c r="R66" i="15"/>
  <c r="L66" i="15"/>
  <c r="R44" i="15"/>
  <c r="O44" i="15"/>
  <c r="L44" i="15"/>
  <c r="L67" i="15"/>
  <c r="O67" i="15"/>
  <c r="R67" i="15"/>
  <c r="L55" i="15"/>
  <c r="O55" i="15"/>
  <c r="R55" i="15"/>
  <c r="R32" i="15"/>
  <c r="L32" i="15"/>
  <c r="O32" i="15"/>
  <c r="O20" i="15"/>
  <c r="R20" i="15"/>
  <c r="L20" i="15"/>
  <c r="R23" i="15"/>
  <c r="L23" i="15"/>
  <c r="O23" i="15"/>
  <c r="L19" i="15"/>
  <c r="O19" i="15"/>
  <c r="R19" i="15"/>
  <c r="R64" i="15"/>
  <c r="L64" i="15"/>
  <c r="O64" i="15"/>
  <c r="L46" i="15"/>
  <c r="O46" i="15"/>
  <c r="R46" i="15"/>
  <c r="L69" i="15"/>
  <c r="O69" i="15"/>
  <c r="R69" i="15"/>
  <c r="L22" i="15"/>
  <c r="R22" i="15"/>
  <c r="O22" i="15"/>
  <c r="L43" i="15"/>
  <c r="O43" i="15"/>
  <c r="R43" i="15"/>
  <c r="L49" i="15"/>
  <c r="O49" i="15"/>
  <c r="R49" i="15"/>
  <c r="O39" i="15"/>
  <c r="R39" i="15"/>
  <c r="L39" i="15"/>
  <c r="L33" i="15"/>
  <c r="O33" i="15"/>
  <c r="R33" i="15"/>
  <c r="R38" i="15"/>
  <c r="O38" i="15"/>
  <c r="L38" i="15"/>
  <c r="R65" i="15"/>
  <c r="L65" i="15"/>
  <c r="O65" i="15"/>
  <c r="R12" i="15"/>
  <c r="L12" i="15"/>
  <c r="O12" i="15"/>
  <c r="L31" i="15"/>
  <c r="O31" i="15"/>
  <c r="R31" i="15"/>
  <c r="O21" i="15"/>
  <c r="L21" i="15"/>
  <c r="R21" i="15"/>
  <c r="O42" i="15"/>
  <c r="L42" i="15"/>
  <c r="R42" i="15"/>
  <c r="L56" i="15"/>
  <c r="O56" i="15"/>
  <c r="R56" i="15"/>
  <c r="O28" i="15"/>
  <c r="R28" i="15"/>
  <c r="L28" i="15"/>
  <c r="L13" i="15"/>
  <c r="R13" i="15"/>
  <c r="O13" i="15"/>
  <c r="R11" i="15"/>
  <c r="L11" i="15"/>
  <c r="O11" i="15"/>
  <c r="O57" i="15"/>
  <c r="R57" i="15"/>
  <c r="L57" i="15"/>
  <c r="O27" i="15"/>
  <c r="R27" i="15"/>
  <c r="L27" i="15"/>
  <c r="R41" i="15"/>
  <c r="L41" i="15"/>
  <c r="O41" i="15"/>
  <c r="R68" i="15"/>
  <c r="O68" i="15"/>
  <c r="L68" i="15"/>
  <c r="O15" i="15"/>
  <c r="R15" i="15"/>
  <c r="L15" i="15"/>
  <c r="O18" i="15"/>
  <c r="L18" i="15"/>
  <c r="R18" i="15"/>
  <c r="R25" i="33" l="1"/>
  <c r="P25" i="33"/>
  <c r="L25" i="33"/>
  <c r="N25" i="33"/>
  <c r="P21" i="33"/>
  <c r="R21" i="33"/>
  <c r="N21" i="33"/>
  <c r="L21" i="33"/>
  <c r="R9" i="33"/>
  <c r="L9" i="33"/>
  <c r="N9" i="33"/>
  <c r="P9" i="33"/>
  <c r="L7" i="33"/>
  <c r="N7" i="33"/>
  <c r="P7" i="33"/>
  <c r="R7" i="33"/>
  <c r="AF6" i="2" l="1"/>
  <c r="B1" i="27" l="1"/>
  <c r="F16" i="27" l="1"/>
  <c r="I16" i="27"/>
  <c r="J16" i="27" s="1"/>
  <c r="F17" i="27"/>
  <c r="I17" i="27"/>
  <c r="J17" i="27" s="1"/>
  <c r="C26" i="27" s="1"/>
  <c r="F18" i="27"/>
  <c r="C27" i="27" s="1"/>
  <c r="J18" i="27"/>
  <c r="F19" i="27"/>
  <c r="J19" i="27"/>
  <c r="F20" i="27"/>
  <c r="J20" i="27"/>
  <c r="A21" i="27"/>
  <c r="F21" i="27"/>
  <c r="J21" i="27"/>
  <c r="B22" i="27"/>
  <c r="C16" i="27" s="1"/>
  <c r="F25" i="27"/>
  <c r="G25" i="27"/>
  <c r="F26" i="27"/>
  <c r="G26" i="27"/>
  <c r="F27" i="27"/>
  <c r="G27" i="27"/>
  <c r="C28" i="27"/>
  <c r="F28" i="27"/>
  <c r="G28" i="27"/>
  <c r="C29" i="27"/>
  <c r="F29" i="27"/>
  <c r="G29" i="27"/>
  <c r="A30" i="27"/>
  <c r="C30" i="27"/>
  <c r="F30" i="27"/>
  <c r="G30" i="27"/>
  <c r="I35" i="27"/>
  <c r="F36" i="27"/>
  <c r="C45" i="27" s="1"/>
  <c r="I36" i="27"/>
  <c r="J36" i="27" s="1"/>
  <c r="F37" i="27"/>
  <c r="C46" i="27" s="1"/>
  <c r="I37" i="27"/>
  <c r="F38" i="27"/>
  <c r="C47" i="27" s="1"/>
  <c r="J38" i="27"/>
  <c r="F39" i="27"/>
  <c r="J39" i="27"/>
  <c r="A40" i="27"/>
  <c r="A49" i="27" s="1"/>
  <c r="A63" i="27" s="1"/>
  <c r="F40" i="27"/>
  <c r="J40" i="27"/>
  <c r="B41" i="27"/>
  <c r="C36" i="27" s="1"/>
  <c r="F45" i="27"/>
  <c r="G45" i="27"/>
  <c r="F46" i="27"/>
  <c r="G46" i="27"/>
  <c r="F47" i="27"/>
  <c r="G47" i="27"/>
  <c r="C48" i="27"/>
  <c r="F48" i="27"/>
  <c r="G48" i="27"/>
  <c r="C49" i="27"/>
  <c r="F49" i="27"/>
  <c r="G49" i="27"/>
  <c r="J35" i="27" l="1"/>
  <c r="G44" i="27"/>
  <c r="G50" i="27" s="1"/>
  <c r="F41" i="27"/>
  <c r="C54" i="27" s="1"/>
  <c r="F22" i="27"/>
  <c r="G19" i="27" s="1"/>
  <c r="C19" i="27"/>
  <c r="I28" i="27" s="1"/>
  <c r="K28" i="27" s="1"/>
  <c r="B53" i="27"/>
  <c r="G31" i="27"/>
  <c r="H27" i="27" s="1"/>
  <c r="G17" i="27"/>
  <c r="C21" i="27"/>
  <c r="I30" i="27" s="1"/>
  <c r="J30" i="27" s="1"/>
  <c r="G20" i="27"/>
  <c r="J28" i="27"/>
  <c r="M28" i="27"/>
  <c r="C50" i="27"/>
  <c r="J22" i="27"/>
  <c r="K21" i="27" s="1"/>
  <c r="I25" i="27"/>
  <c r="J37" i="27"/>
  <c r="J41" i="27" s="1"/>
  <c r="C39" i="27"/>
  <c r="C17" i="27"/>
  <c r="I26" i="27" s="1"/>
  <c r="C37" i="27"/>
  <c r="C35" i="27"/>
  <c r="G18" i="27"/>
  <c r="C20" i="27"/>
  <c r="I29" i="27" s="1"/>
  <c r="C18" i="27"/>
  <c r="I27" i="27" s="1"/>
  <c r="C40" i="27"/>
  <c r="C38" i="27"/>
  <c r="B54" i="27"/>
  <c r="D45" i="27" l="1"/>
  <c r="E54" i="27"/>
  <c r="C53" i="27"/>
  <c r="G16" i="27"/>
  <c r="G40" i="27"/>
  <c r="H47" i="27"/>
  <c r="F50" i="27"/>
  <c r="H46" i="27"/>
  <c r="H45" i="27"/>
  <c r="H49" i="27"/>
  <c r="G39" i="27"/>
  <c r="G37" i="27"/>
  <c r="C55" i="27"/>
  <c r="E41" i="27"/>
  <c r="G35" i="27"/>
  <c r="D46" i="27"/>
  <c r="D48" i="27"/>
  <c r="G38" i="27"/>
  <c r="G36" i="27"/>
  <c r="H44" i="27"/>
  <c r="H48" i="27"/>
  <c r="F31" i="27"/>
  <c r="E60" i="27" s="1"/>
  <c r="H28" i="27"/>
  <c r="H30" i="27"/>
  <c r="H26" i="27"/>
  <c r="H29" i="27"/>
  <c r="E22" i="27"/>
  <c r="C60" i="27" s="1"/>
  <c r="G21" i="27"/>
  <c r="H25" i="27"/>
  <c r="G22" i="27"/>
  <c r="K19" i="27"/>
  <c r="M30" i="27"/>
  <c r="K30" i="27"/>
  <c r="K18" i="27"/>
  <c r="I41" i="27"/>
  <c r="D54" i="27"/>
  <c r="K38" i="27"/>
  <c r="K36" i="27"/>
  <c r="K35" i="27"/>
  <c r="K39" i="27"/>
  <c r="B50" i="27"/>
  <c r="D49" i="27"/>
  <c r="C31" i="27"/>
  <c r="J27" i="27"/>
  <c r="K27" i="27"/>
  <c r="M27" i="27"/>
  <c r="J25" i="27"/>
  <c r="K25" i="27"/>
  <c r="M25" i="27"/>
  <c r="I31" i="27"/>
  <c r="C56" i="27"/>
  <c r="C22" i="27"/>
  <c r="C41" i="27"/>
  <c r="D47" i="27"/>
  <c r="B55" i="27"/>
  <c r="B56" i="27"/>
  <c r="K17" i="27"/>
  <c r="K40" i="27"/>
  <c r="D53" i="27"/>
  <c r="K20" i="27"/>
  <c r="I22" i="27"/>
  <c r="L30" i="27"/>
  <c r="K16" i="27"/>
  <c r="J29" i="27"/>
  <c r="K29" i="27"/>
  <c r="M29" i="27"/>
  <c r="D44" i="27"/>
  <c r="K37" i="27"/>
  <c r="J26" i="27"/>
  <c r="K26" i="27"/>
  <c r="M26" i="27"/>
  <c r="L28" i="27"/>
  <c r="C62" i="27" l="1"/>
  <c r="C59" i="27"/>
  <c r="C63" i="27"/>
  <c r="C58" i="27"/>
  <c r="E58" i="27"/>
  <c r="E59" i="27"/>
  <c r="E61" i="27"/>
  <c r="E63" i="27"/>
  <c r="E62" i="27"/>
  <c r="H31" i="27"/>
  <c r="G41" i="27"/>
  <c r="C61" i="27" s="1"/>
  <c r="H50" i="27"/>
  <c r="M31" i="27"/>
  <c r="K22" i="27"/>
  <c r="D25" i="27"/>
  <c r="B31" i="27"/>
  <c r="D30" i="27"/>
  <c r="D28" i="27"/>
  <c r="E53" i="27"/>
  <c r="D29" i="27"/>
  <c r="D27" i="27"/>
  <c r="D26" i="27"/>
  <c r="D55" i="27"/>
  <c r="D56" i="27"/>
  <c r="K41" i="27"/>
  <c r="D50" i="27"/>
  <c r="B61" i="27"/>
  <c r="I47" i="27" s="1"/>
  <c r="B58" i="27"/>
  <c r="B63" i="27"/>
  <c r="I49" i="27" s="1"/>
  <c r="B59" i="27"/>
  <c r="I45" i="27" s="1"/>
  <c r="B62" i="27"/>
  <c r="I48" i="27" s="1"/>
  <c r="B60" i="27"/>
  <c r="I46" i="27" s="1"/>
  <c r="J31" i="27"/>
  <c r="L25" i="27"/>
  <c r="D63" i="27"/>
  <c r="D61" i="27"/>
  <c r="D59" i="27"/>
  <c r="D62" i="27"/>
  <c r="D58" i="27"/>
  <c r="D60" i="27"/>
  <c r="K31" i="27"/>
  <c r="L29" i="27"/>
  <c r="L26" i="27"/>
  <c r="L27" i="27"/>
  <c r="E64" i="27" l="1"/>
  <c r="C64" i="27"/>
  <c r="L31" i="27"/>
  <c r="J48" i="27"/>
  <c r="K48" i="27"/>
  <c r="M48" i="27"/>
  <c r="K49" i="27"/>
  <c r="J49" i="27"/>
  <c r="M49" i="27"/>
  <c r="B64" i="27"/>
  <c r="I44" i="27"/>
  <c r="M45" i="27"/>
  <c r="K45" i="27"/>
  <c r="J45" i="27"/>
  <c r="D64" i="27"/>
  <c r="M47" i="27"/>
  <c r="J47" i="27"/>
  <c r="K47" i="27"/>
  <c r="J46" i="27"/>
  <c r="K46" i="27"/>
  <c r="M46" i="27"/>
  <c r="E55" i="27"/>
  <c r="E56" i="27"/>
  <c r="D31" i="27"/>
  <c r="L49" i="27" l="1"/>
  <c r="L45" i="27"/>
  <c r="M44" i="27"/>
  <c r="M50" i="27" s="1"/>
  <c r="I50" i="27"/>
  <c r="J44" i="27"/>
  <c r="K44" i="27"/>
  <c r="K50" i="27" s="1"/>
  <c r="L46" i="27"/>
  <c r="L47" i="27"/>
  <c r="L48" i="27"/>
  <c r="L44" i="27" l="1"/>
  <c r="L50" i="27" s="1"/>
  <c r="J50" i="27"/>
  <c r="S346" i="2" l="1"/>
  <c r="S347" i="2"/>
  <c r="S348" i="2"/>
  <c r="S349" i="2"/>
  <c r="S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U8" i="15"/>
  <c r="U9" i="15"/>
  <c r="S60" i="2" l="1"/>
  <c r="W60" i="2" l="1"/>
  <c r="AA60" i="2"/>
  <c r="AE60" i="2"/>
  <c r="S280" i="2"/>
  <c r="S274" i="2"/>
  <c r="S273" i="2"/>
  <c r="S269" i="2"/>
  <c r="S268" i="2"/>
  <c r="S259" i="2"/>
  <c r="S255" i="2"/>
  <c r="S254" i="2"/>
  <c r="S253" i="2"/>
  <c r="S251" i="2"/>
  <c r="S247" i="2"/>
  <c r="S243" i="2"/>
  <c r="S242" i="2"/>
  <c r="S241" i="2"/>
  <c r="S239" i="2"/>
  <c r="S235" i="2"/>
  <c r="S31" i="2"/>
  <c r="S89" i="2"/>
  <c r="S205" i="2"/>
  <c r="S234" i="2"/>
  <c r="S236" i="2"/>
  <c r="S237" i="2"/>
  <c r="S238" i="2"/>
  <c r="S240" i="2"/>
  <c r="S244" i="2"/>
  <c r="S245" i="2"/>
  <c r="S246" i="2"/>
  <c r="S248" i="2"/>
  <c r="S249" i="2"/>
  <c r="S250" i="2"/>
  <c r="S252" i="2"/>
  <c r="S256" i="2"/>
  <c r="S257" i="2"/>
  <c r="S258" i="2"/>
  <c r="S260" i="2"/>
  <c r="S261" i="2"/>
  <c r="S262" i="2"/>
  <c r="S264" i="2"/>
  <c r="S265" i="2"/>
  <c r="S266" i="2"/>
  <c r="S267" i="2"/>
  <c r="S270" i="2"/>
  <c r="S271" i="2"/>
  <c r="S272" i="2"/>
  <c r="S275" i="2"/>
  <c r="S276" i="2"/>
  <c r="S277" i="2"/>
  <c r="S278" i="2"/>
  <c r="S279" i="2"/>
  <c r="X204" i="2"/>
  <c r="AB204" i="2"/>
  <c r="AF204" i="2"/>
  <c r="X183" i="2"/>
  <c r="X184" i="2"/>
  <c r="X185" i="2"/>
  <c r="X186" i="2"/>
  <c r="X187" i="2"/>
  <c r="X188" i="2"/>
  <c r="X189" i="2"/>
  <c r="X190" i="2"/>
  <c r="X191" i="2"/>
  <c r="X192" i="2"/>
  <c r="X193" i="2"/>
  <c r="X194" i="2"/>
  <c r="X195" i="2"/>
  <c r="X196" i="2"/>
  <c r="X197" i="2"/>
  <c r="X198" i="2"/>
  <c r="X199" i="2"/>
  <c r="X200" i="2"/>
  <c r="X201" i="2"/>
  <c r="X202" i="2"/>
  <c r="X203" i="2"/>
  <c r="AB183" i="2"/>
  <c r="AB184" i="2"/>
  <c r="AB185" i="2"/>
  <c r="AB186" i="2"/>
  <c r="AB187" i="2"/>
  <c r="AB188" i="2"/>
  <c r="AB189" i="2"/>
  <c r="AB190" i="2"/>
  <c r="AB191" i="2"/>
  <c r="AB192" i="2"/>
  <c r="AB193" i="2"/>
  <c r="AB194" i="2"/>
  <c r="AB195" i="2"/>
  <c r="AB196" i="2"/>
  <c r="AB197" i="2"/>
  <c r="AB198" i="2"/>
  <c r="AB199" i="2"/>
  <c r="AB200" i="2"/>
  <c r="AB201" i="2"/>
  <c r="AB202" i="2"/>
  <c r="AB203" i="2"/>
  <c r="AF183" i="2"/>
  <c r="AF184" i="2"/>
  <c r="AF185" i="2"/>
  <c r="AF186" i="2"/>
  <c r="AF187" i="2"/>
  <c r="AF188" i="2"/>
  <c r="AF189" i="2"/>
  <c r="AF190" i="2"/>
  <c r="AF191" i="2"/>
  <c r="AF192" i="2"/>
  <c r="AF193" i="2"/>
  <c r="AF194" i="2"/>
  <c r="AF195" i="2"/>
  <c r="AF196" i="2"/>
  <c r="AF197" i="2"/>
  <c r="AF198" i="2"/>
  <c r="AF199" i="2"/>
  <c r="AF200" i="2"/>
  <c r="AF201" i="2"/>
  <c r="AF202" i="2"/>
  <c r="AF203" i="2"/>
  <c r="X172" i="2"/>
  <c r="X173" i="2"/>
  <c r="X174" i="2"/>
  <c r="X175" i="2"/>
  <c r="AB172" i="2"/>
  <c r="AB173" i="2"/>
  <c r="AB174" i="2"/>
  <c r="AB175" i="2"/>
  <c r="AF172" i="2"/>
  <c r="AF173" i="2"/>
  <c r="AF174" i="2"/>
  <c r="AF175" i="2"/>
  <c r="X154" i="2"/>
  <c r="X155" i="2"/>
  <c r="X156" i="2"/>
  <c r="X157" i="2"/>
  <c r="X158" i="2"/>
  <c r="X159" i="2"/>
  <c r="X160" i="2"/>
  <c r="X161" i="2"/>
  <c r="X162" i="2"/>
  <c r="X163" i="2"/>
  <c r="X164" i="2"/>
  <c r="X165" i="2"/>
  <c r="X166" i="2"/>
  <c r="X167" i="2"/>
  <c r="X168" i="2"/>
  <c r="X169" i="2"/>
  <c r="X170" i="2"/>
  <c r="X171" i="2"/>
  <c r="AB154" i="2"/>
  <c r="AB155" i="2"/>
  <c r="AB156" i="2"/>
  <c r="AB157" i="2"/>
  <c r="AB158" i="2"/>
  <c r="AB159" i="2"/>
  <c r="AB160" i="2"/>
  <c r="AB161" i="2"/>
  <c r="AB162" i="2"/>
  <c r="AB163" i="2"/>
  <c r="AB164" i="2"/>
  <c r="AB165" i="2"/>
  <c r="AB166" i="2"/>
  <c r="AB167" i="2"/>
  <c r="AB168" i="2"/>
  <c r="AB169" i="2"/>
  <c r="AB170" i="2"/>
  <c r="AB171" i="2"/>
  <c r="AF154" i="2"/>
  <c r="AF155" i="2"/>
  <c r="AF156" i="2"/>
  <c r="AF157" i="2"/>
  <c r="AF158" i="2"/>
  <c r="AF159" i="2"/>
  <c r="AF160" i="2"/>
  <c r="AF161" i="2"/>
  <c r="AF162" i="2"/>
  <c r="AF163" i="2"/>
  <c r="AF164" i="2"/>
  <c r="AF165" i="2"/>
  <c r="AF166" i="2"/>
  <c r="AF167" i="2"/>
  <c r="AF168" i="2"/>
  <c r="AF169" i="2"/>
  <c r="AF170" i="2"/>
  <c r="AF171" i="2"/>
  <c r="X137" i="2"/>
  <c r="X138" i="2"/>
  <c r="X139" i="2"/>
  <c r="X140" i="2"/>
  <c r="X141" i="2"/>
  <c r="X142" i="2"/>
  <c r="X143" i="2"/>
  <c r="X144" i="2"/>
  <c r="X145" i="2"/>
  <c r="X146" i="2"/>
  <c r="AB137" i="2"/>
  <c r="AB138" i="2"/>
  <c r="AB139" i="2"/>
  <c r="AB140" i="2"/>
  <c r="AB141" i="2"/>
  <c r="AB142" i="2"/>
  <c r="AB143" i="2"/>
  <c r="AB144" i="2"/>
  <c r="AB145" i="2"/>
  <c r="AB146" i="2"/>
  <c r="AF137" i="2"/>
  <c r="AF138" i="2"/>
  <c r="AF139" i="2"/>
  <c r="AF140" i="2"/>
  <c r="AF141" i="2"/>
  <c r="AF142" i="2"/>
  <c r="AF143" i="2"/>
  <c r="AF144" i="2"/>
  <c r="AF145" i="2"/>
  <c r="AF146" i="2"/>
  <c r="X125" i="2"/>
  <c r="X126" i="2"/>
  <c r="X127" i="2"/>
  <c r="X128" i="2"/>
  <c r="X129" i="2"/>
  <c r="X130" i="2"/>
  <c r="X131" i="2"/>
  <c r="X132" i="2"/>
  <c r="X133" i="2"/>
  <c r="X134" i="2"/>
  <c r="X135" i="2"/>
  <c r="X136" i="2"/>
  <c r="AB125" i="2"/>
  <c r="AB126" i="2"/>
  <c r="AB127" i="2"/>
  <c r="AB128" i="2"/>
  <c r="AB129" i="2"/>
  <c r="AB130" i="2"/>
  <c r="AB131" i="2"/>
  <c r="AB132" i="2"/>
  <c r="AB133" i="2"/>
  <c r="AB134" i="2"/>
  <c r="AB135" i="2"/>
  <c r="AB136" i="2"/>
  <c r="AF125" i="2"/>
  <c r="AF126" i="2"/>
  <c r="AF127" i="2"/>
  <c r="AF128" i="2"/>
  <c r="AF129" i="2"/>
  <c r="AF130" i="2"/>
  <c r="AF131" i="2"/>
  <c r="AF132" i="2"/>
  <c r="AF133" i="2"/>
  <c r="AF134" i="2"/>
  <c r="AF135" i="2"/>
  <c r="AF136" i="2"/>
  <c r="X111" i="2"/>
  <c r="X112" i="2"/>
  <c r="X113" i="2"/>
  <c r="X114" i="2"/>
  <c r="X115" i="2"/>
  <c r="X116" i="2"/>
  <c r="X117" i="2"/>
  <c r="AB111" i="2"/>
  <c r="AB112" i="2"/>
  <c r="AB113" i="2"/>
  <c r="AB114" i="2"/>
  <c r="AB115" i="2"/>
  <c r="AB116" i="2"/>
  <c r="AB117" i="2"/>
  <c r="AF111" i="2"/>
  <c r="AF112" i="2"/>
  <c r="AF113" i="2"/>
  <c r="AF114" i="2"/>
  <c r="AF115" i="2"/>
  <c r="AF116" i="2"/>
  <c r="AF117" i="2"/>
  <c r="X96" i="2"/>
  <c r="X97" i="2"/>
  <c r="X98" i="2"/>
  <c r="X99" i="2"/>
  <c r="X100" i="2"/>
  <c r="X101" i="2"/>
  <c r="X102" i="2"/>
  <c r="X103" i="2"/>
  <c r="X104" i="2"/>
  <c r="X105" i="2"/>
  <c r="X106" i="2"/>
  <c r="X107" i="2"/>
  <c r="X108" i="2"/>
  <c r="X109" i="2"/>
  <c r="X110" i="2"/>
  <c r="AB96" i="2"/>
  <c r="AB97" i="2"/>
  <c r="AB98" i="2"/>
  <c r="AB99" i="2"/>
  <c r="AB100" i="2"/>
  <c r="AB101" i="2"/>
  <c r="AB102" i="2"/>
  <c r="AB103" i="2"/>
  <c r="AB104" i="2"/>
  <c r="AB105" i="2"/>
  <c r="AB106" i="2"/>
  <c r="AB107" i="2"/>
  <c r="AB108" i="2"/>
  <c r="AB109" i="2"/>
  <c r="AB110" i="2"/>
  <c r="AF96" i="2"/>
  <c r="AF97" i="2"/>
  <c r="AF98" i="2"/>
  <c r="AF99" i="2"/>
  <c r="AF100" i="2"/>
  <c r="AF101" i="2"/>
  <c r="AF102" i="2"/>
  <c r="AF103" i="2"/>
  <c r="AF104" i="2"/>
  <c r="AF105" i="2"/>
  <c r="AF106" i="2"/>
  <c r="AF107" i="2"/>
  <c r="AF108" i="2"/>
  <c r="AF109" i="2"/>
  <c r="AF110" i="2"/>
  <c r="X67" i="2"/>
  <c r="X68" i="2"/>
  <c r="X69" i="2"/>
  <c r="X70" i="2"/>
  <c r="X71" i="2"/>
  <c r="X72" i="2"/>
  <c r="X73" i="2"/>
  <c r="X74" i="2"/>
  <c r="X75" i="2"/>
  <c r="X76" i="2"/>
  <c r="X77" i="2"/>
  <c r="X78" i="2"/>
  <c r="X79" i="2"/>
  <c r="X80" i="2"/>
  <c r="X81" i="2"/>
  <c r="X82" i="2"/>
  <c r="X83" i="2"/>
  <c r="X84" i="2"/>
  <c r="X85" i="2"/>
  <c r="X86" i="2"/>
  <c r="X87" i="2"/>
  <c r="X88" i="2"/>
  <c r="AB67" i="2"/>
  <c r="AB68" i="2"/>
  <c r="AB69" i="2"/>
  <c r="AB70" i="2"/>
  <c r="AB71" i="2"/>
  <c r="AB72" i="2"/>
  <c r="AB73" i="2"/>
  <c r="AB74" i="2"/>
  <c r="AB75" i="2"/>
  <c r="AB76" i="2"/>
  <c r="AB77" i="2"/>
  <c r="AB78" i="2"/>
  <c r="AB79" i="2"/>
  <c r="AB80" i="2"/>
  <c r="AB81" i="2"/>
  <c r="AB82" i="2"/>
  <c r="AB83" i="2"/>
  <c r="AB84" i="2"/>
  <c r="AB85" i="2"/>
  <c r="AB86" i="2"/>
  <c r="AB87" i="2"/>
  <c r="AB88" i="2"/>
  <c r="AF67" i="2"/>
  <c r="AF68" i="2"/>
  <c r="AF69" i="2"/>
  <c r="AF70" i="2"/>
  <c r="AF71" i="2"/>
  <c r="AF72" i="2"/>
  <c r="AF73" i="2"/>
  <c r="AF74" i="2"/>
  <c r="AF75" i="2"/>
  <c r="AF76" i="2"/>
  <c r="AF77" i="2"/>
  <c r="AF78" i="2"/>
  <c r="AF79" i="2"/>
  <c r="AF80" i="2"/>
  <c r="AF81" i="2"/>
  <c r="AF82" i="2"/>
  <c r="AF83" i="2"/>
  <c r="AF84" i="2"/>
  <c r="AF85" i="2"/>
  <c r="AF86" i="2"/>
  <c r="AF87" i="2"/>
  <c r="AF88" i="2"/>
  <c r="X38" i="2"/>
  <c r="X39" i="2"/>
  <c r="X40" i="2"/>
  <c r="X41" i="2"/>
  <c r="X42" i="2"/>
  <c r="X43" i="2"/>
  <c r="X44" i="2"/>
  <c r="X45" i="2"/>
  <c r="X46" i="2"/>
  <c r="X47" i="2"/>
  <c r="X48" i="2"/>
  <c r="X49" i="2"/>
  <c r="X50" i="2"/>
  <c r="X51" i="2"/>
  <c r="X52" i="2"/>
  <c r="X53" i="2"/>
  <c r="X54" i="2"/>
  <c r="X55" i="2"/>
  <c r="X56" i="2"/>
  <c r="X57" i="2"/>
  <c r="X58" i="2"/>
  <c r="X59" i="2"/>
  <c r="AB38" i="2"/>
  <c r="AB39" i="2"/>
  <c r="AB40" i="2"/>
  <c r="AB41" i="2"/>
  <c r="AB42" i="2"/>
  <c r="AB43" i="2"/>
  <c r="AB44" i="2"/>
  <c r="AB45" i="2"/>
  <c r="AB46" i="2"/>
  <c r="AB47" i="2"/>
  <c r="AB48" i="2"/>
  <c r="AB49" i="2"/>
  <c r="AB50" i="2"/>
  <c r="AB51" i="2"/>
  <c r="AB52" i="2"/>
  <c r="AB53" i="2"/>
  <c r="AB54" i="2"/>
  <c r="AB55" i="2"/>
  <c r="AB56" i="2"/>
  <c r="AB57" i="2"/>
  <c r="AB58" i="2"/>
  <c r="AB59" i="2"/>
  <c r="AF38" i="2"/>
  <c r="AF39" i="2"/>
  <c r="AF40" i="2"/>
  <c r="AF41" i="2"/>
  <c r="AF42" i="2"/>
  <c r="AF43" i="2"/>
  <c r="AF44" i="2"/>
  <c r="AF45" i="2"/>
  <c r="AF46" i="2"/>
  <c r="AF47" i="2"/>
  <c r="AF48" i="2"/>
  <c r="AF49" i="2"/>
  <c r="AF50" i="2"/>
  <c r="AF51" i="2"/>
  <c r="AF52" i="2"/>
  <c r="AF53" i="2"/>
  <c r="AF54" i="2"/>
  <c r="AF55" i="2"/>
  <c r="AF56" i="2"/>
  <c r="AF57" i="2"/>
  <c r="AF58" i="2"/>
  <c r="AF59" i="2"/>
  <c r="X24" i="2"/>
  <c r="X25" i="2"/>
  <c r="X26" i="2"/>
  <c r="X27" i="2"/>
  <c r="X28" i="2"/>
  <c r="X29" i="2"/>
  <c r="X30" i="2"/>
  <c r="AB24" i="2"/>
  <c r="AB25" i="2"/>
  <c r="AB26" i="2"/>
  <c r="AB27" i="2"/>
  <c r="AB28" i="2"/>
  <c r="AB29" i="2"/>
  <c r="AB30" i="2"/>
  <c r="AF24" i="2"/>
  <c r="AF25" i="2"/>
  <c r="AF26" i="2"/>
  <c r="AF27" i="2"/>
  <c r="AF28" i="2"/>
  <c r="AF29" i="2"/>
  <c r="AF30" i="2"/>
  <c r="X9" i="2"/>
  <c r="X10" i="2"/>
  <c r="X11" i="2"/>
  <c r="X12" i="2"/>
  <c r="X13" i="2"/>
  <c r="X14" i="2"/>
  <c r="X15" i="2"/>
  <c r="X16" i="2"/>
  <c r="X17" i="2"/>
  <c r="X18" i="2"/>
  <c r="X19" i="2"/>
  <c r="X20" i="2"/>
  <c r="X21" i="2"/>
  <c r="X22" i="2"/>
  <c r="X23" i="2"/>
  <c r="AB9" i="2"/>
  <c r="AB10" i="2"/>
  <c r="AB11" i="2"/>
  <c r="AB12" i="2"/>
  <c r="AB13" i="2"/>
  <c r="AB14" i="2"/>
  <c r="AB15" i="2"/>
  <c r="AB16" i="2"/>
  <c r="AB17" i="2"/>
  <c r="AB18" i="2"/>
  <c r="AB19" i="2"/>
  <c r="AB20" i="2"/>
  <c r="AB21" i="2"/>
  <c r="AB22" i="2"/>
  <c r="AB23" i="2"/>
  <c r="AF9" i="2"/>
  <c r="AF10" i="2"/>
  <c r="AF11" i="2"/>
  <c r="AF12" i="2"/>
  <c r="AF13" i="2"/>
  <c r="AF14" i="2"/>
  <c r="AF15" i="2"/>
  <c r="AF16" i="2"/>
  <c r="AF17" i="2"/>
  <c r="AF18" i="2"/>
  <c r="AF19" i="2"/>
  <c r="AF20" i="2"/>
  <c r="AF21" i="2"/>
  <c r="AF22" i="2"/>
  <c r="AF23" i="2"/>
  <c r="S33" i="2"/>
  <c r="A2" i="2"/>
  <c r="S2" i="2"/>
  <c r="W2" i="2" s="1"/>
  <c r="X3" i="2"/>
  <c r="AB3" i="2"/>
  <c r="AF3" i="2"/>
  <c r="X4" i="2"/>
  <c r="AB4" i="2"/>
  <c r="AF4" i="2"/>
  <c r="X5" i="2"/>
  <c r="AB5" i="2"/>
  <c r="AF5" i="2"/>
  <c r="X6" i="2"/>
  <c r="AB6" i="2"/>
  <c r="X7" i="2"/>
  <c r="AB7" i="2"/>
  <c r="AF7" i="2"/>
  <c r="X8" i="2"/>
  <c r="AB8" i="2"/>
  <c r="AF8" i="2"/>
  <c r="X31" i="2"/>
  <c r="AB31" i="2"/>
  <c r="AF31" i="2"/>
  <c r="X32" i="2"/>
  <c r="AB32" i="2"/>
  <c r="AF32" i="2"/>
  <c r="X33" i="2"/>
  <c r="AB33" i="2"/>
  <c r="AF33" i="2"/>
  <c r="X34" i="2"/>
  <c r="AB34" i="2"/>
  <c r="AF34" i="2"/>
  <c r="X35" i="2"/>
  <c r="AB35" i="2"/>
  <c r="AF35" i="2"/>
  <c r="X36" i="2"/>
  <c r="AB36" i="2"/>
  <c r="AF36" i="2"/>
  <c r="X37" i="2"/>
  <c r="AB37" i="2"/>
  <c r="AF37" i="2"/>
  <c r="X60" i="2"/>
  <c r="AB60" i="2"/>
  <c r="AF60" i="2"/>
  <c r="S61" i="2"/>
  <c r="X61" i="2"/>
  <c r="AB61" i="2"/>
  <c r="AF61" i="2"/>
  <c r="X62" i="2"/>
  <c r="AB62" i="2"/>
  <c r="AF62" i="2"/>
  <c r="X63" i="2"/>
  <c r="AB63" i="2"/>
  <c r="AF63" i="2"/>
  <c r="X64" i="2"/>
  <c r="AB64" i="2"/>
  <c r="AF64" i="2"/>
  <c r="X65" i="2"/>
  <c r="AB65" i="2"/>
  <c r="AF65" i="2"/>
  <c r="X66" i="2"/>
  <c r="AB66" i="2"/>
  <c r="AF66" i="2"/>
  <c r="X89" i="2"/>
  <c r="AB89" i="2"/>
  <c r="AF89" i="2"/>
  <c r="S90" i="2"/>
  <c r="X90" i="2"/>
  <c r="AB90" i="2"/>
  <c r="AF90" i="2"/>
  <c r="X91" i="2"/>
  <c r="AB91" i="2"/>
  <c r="AF91" i="2"/>
  <c r="X92" i="2"/>
  <c r="AB92" i="2"/>
  <c r="AF92" i="2"/>
  <c r="X93" i="2"/>
  <c r="AB93" i="2"/>
  <c r="AF93" i="2"/>
  <c r="X94" i="2"/>
  <c r="AB94" i="2"/>
  <c r="AF94" i="2"/>
  <c r="X95" i="2"/>
  <c r="AB95" i="2"/>
  <c r="AF95" i="2"/>
  <c r="W271" i="2" l="1"/>
  <c r="AA271" i="2"/>
  <c r="AE271" i="2"/>
  <c r="W252" i="2"/>
  <c r="AA252" i="2"/>
  <c r="AE252" i="2"/>
  <c r="W205" i="2"/>
  <c r="AE205" i="2"/>
  <c r="AA205" i="2"/>
  <c r="W255" i="2"/>
  <c r="AE255" i="2"/>
  <c r="AA255" i="2"/>
  <c r="W270" i="2"/>
  <c r="AE270" i="2"/>
  <c r="AA270" i="2"/>
  <c r="W250" i="2"/>
  <c r="AA250" i="2"/>
  <c r="AE250" i="2"/>
  <c r="W89" i="2"/>
  <c r="AA89" i="2"/>
  <c r="AE89" i="2"/>
  <c r="W259" i="2"/>
  <c r="AE259" i="2"/>
  <c r="AA259" i="2"/>
  <c r="W267" i="2"/>
  <c r="AE267" i="2"/>
  <c r="AA267" i="2"/>
  <c r="W249" i="2"/>
  <c r="AE249" i="2"/>
  <c r="AA249" i="2"/>
  <c r="W31" i="2"/>
  <c r="AE31" i="2"/>
  <c r="AA31" i="2"/>
  <c r="W268" i="2"/>
  <c r="AA268" i="2"/>
  <c r="AE268" i="2"/>
  <c r="W266" i="2"/>
  <c r="AA266" i="2"/>
  <c r="AE266" i="2"/>
  <c r="W248" i="2"/>
  <c r="AA248" i="2"/>
  <c r="AE248" i="2"/>
  <c r="W235" i="2"/>
  <c r="AA235" i="2"/>
  <c r="AE235" i="2"/>
  <c r="W269" i="2"/>
  <c r="AA269" i="2"/>
  <c r="AE269" i="2"/>
  <c r="W265" i="2"/>
  <c r="AE265" i="2"/>
  <c r="AA265" i="2"/>
  <c r="W246" i="2"/>
  <c r="AE246" i="2"/>
  <c r="AA246" i="2"/>
  <c r="W239" i="2"/>
  <c r="AA239" i="2"/>
  <c r="AE239" i="2"/>
  <c r="W273" i="2"/>
  <c r="AE273" i="2"/>
  <c r="AA273" i="2"/>
  <c r="W272" i="2"/>
  <c r="AE272" i="2"/>
  <c r="AA272" i="2"/>
  <c r="W264" i="2"/>
  <c r="AE264" i="2"/>
  <c r="AA264" i="2"/>
  <c r="W245" i="2"/>
  <c r="AA245" i="2"/>
  <c r="AE245" i="2"/>
  <c r="W241" i="2"/>
  <c r="AE241" i="2"/>
  <c r="AA241" i="2"/>
  <c r="W274" i="2"/>
  <c r="AE274" i="2"/>
  <c r="AA274" i="2"/>
  <c r="W33" i="2"/>
  <c r="AE33" i="2"/>
  <c r="AA33" i="2"/>
  <c r="W279" i="2"/>
  <c r="AE279" i="2"/>
  <c r="AA279" i="2"/>
  <c r="W262" i="2"/>
  <c r="AE262" i="2"/>
  <c r="AA262" i="2"/>
  <c r="W244" i="2"/>
  <c r="AA244" i="2"/>
  <c r="AE244" i="2"/>
  <c r="W242" i="2"/>
  <c r="AE242" i="2"/>
  <c r="AA242" i="2"/>
  <c r="W280" i="2"/>
  <c r="AA280" i="2"/>
  <c r="AE280" i="2"/>
  <c r="W256" i="2"/>
  <c r="AA256" i="2"/>
  <c r="AE256" i="2"/>
  <c r="W61" i="2"/>
  <c r="AE61" i="2"/>
  <c r="AA61" i="2"/>
  <c r="W278" i="2"/>
  <c r="AA278" i="2"/>
  <c r="AE278" i="2"/>
  <c r="W261" i="2"/>
  <c r="AA261" i="2"/>
  <c r="AE261" i="2"/>
  <c r="W240" i="2"/>
  <c r="AA240" i="2"/>
  <c r="AE240" i="2"/>
  <c r="W243" i="2"/>
  <c r="AA243" i="2"/>
  <c r="AE243" i="2"/>
  <c r="W254" i="2"/>
  <c r="AA254" i="2"/>
  <c r="AE254" i="2"/>
  <c r="W277" i="2"/>
  <c r="AA277" i="2"/>
  <c r="AE277" i="2"/>
  <c r="W260" i="2"/>
  <c r="AE260" i="2"/>
  <c r="AA260" i="2"/>
  <c r="W238" i="2"/>
  <c r="AA238" i="2"/>
  <c r="AE238" i="2"/>
  <c r="W247" i="2"/>
  <c r="AA247" i="2"/>
  <c r="AE247" i="2"/>
  <c r="W234" i="2"/>
  <c r="AE234" i="2"/>
  <c r="AA234" i="2"/>
  <c r="W90" i="2"/>
  <c r="AE90" i="2"/>
  <c r="AA90" i="2"/>
  <c r="W276" i="2"/>
  <c r="AE276" i="2"/>
  <c r="AA276" i="2"/>
  <c r="W258" i="2"/>
  <c r="AE258" i="2"/>
  <c r="AA258" i="2"/>
  <c r="W237" i="2"/>
  <c r="AA237" i="2"/>
  <c r="AE237" i="2"/>
  <c r="W251" i="2"/>
  <c r="AA251" i="2"/>
  <c r="AE251" i="2"/>
  <c r="W275" i="2"/>
  <c r="AA275" i="2"/>
  <c r="AE275" i="2"/>
  <c r="W257" i="2"/>
  <c r="AA257" i="2"/>
  <c r="AE257" i="2"/>
  <c r="W236" i="2"/>
  <c r="AA236" i="2"/>
  <c r="AE236" i="2"/>
  <c r="W253" i="2"/>
  <c r="AE253" i="2"/>
  <c r="AA253" i="2"/>
  <c r="AA2" i="2"/>
  <c r="AE2" i="2"/>
  <c r="S32" i="2"/>
  <c r="S3" i="2"/>
  <c r="S62" i="2"/>
  <c r="S34" i="2"/>
  <c r="S4" i="2"/>
  <c r="S91" i="2"/>
  <c r="W4" i="2" l="1"/>
  <c r="AA4" i="2"/>
  <c r="AE4" i="2"/>
  <c r="W34" i="2"/>
  <c r="AA34" i="2"/>
  <c r="AE34" i="2"/>
  <c r="W62" i="2"/>
  <c r="AE62" i="2"/>
  <c r="AA62" i="2"/>
  <c r="W32" i="2"/>
  <c r="AE32" i="2"/>
  <c r="AA32" i="2"/>
  <c r="W3" i="2"/>
  <c r="AE3" i="2"/>
  <c r="AA3" i="2"/>
  <c r="W91" i="2"/>
  <c r="AE91" i="2"/>
  <c r="AA91" i="2"/>
  <c r="S63" i="2"/>
  <c r="S92" i="2"/>
  <c r="S35" i="2"/>
  <c r="S5" i="2"/>
  <c r="W35" i="2" l="1"/>
  <c r="AE35" i="2"/>
  <c r="AA35" i="2"/>
  <c r="W5" i="2"/>
  <c r="AA5" i="2"/>
  <c r="AE5" i="2"/>
  <c r="W63" i="2"/>
  <c r="AA63" i="2"/>
  <c r="AE63" i="2"/>
  <c r="W92" i="2"/>
  <c r="AA92" i="2"/>
  <c r="AE92" i="2"/>
  <c r="S64" i="2"/>
  <c r="S93" i="2"/>
  <c r="S6" i="2"/>
  <c r="S36" i="2"/>
  <c r="W36" i="2" l="1"/>
  <c r="AE36" i="2"/>
  <c r="AA36" i="2"/>
  <c r="W6" i="2"/>
  <c r="AA6" i="2"/>
  <c r="AE6" i="2"/>
  <c r="W93" i="2"/>
  <c r="AE93" i="2"/>
  <c r="AA93" i="2"/>
  <c r="W64" i="2"/>
  <c r="AA64" i="2"/>
  <c r="AE64" i="2"/>
  <c r="S65" i="2"/>
  <c r="S7" i="2"/>
  <c r="S94" i="2"/>
  <c r="W94" i="2" l="1"/>
  <c r="AA94" i="2"/>
  <c r="AE94" i="2"/>
  <c r="W7" i="2"/>
  <c r="AA7" i="2"/>
  <c r="AE7" i="2"/>
  <c r="W65" i="2"/>
  <c r="AA65" i="2"/>
  <c r="AE65" i="2"/>
  <c r="S8" i="2"/>
  <c r="S37" i="2"/>
  <c r="W8" i="2" l="1"/>
  <c r="AE8" i="2"/>
  <c r="AA8" i="2"/>
  <c r="W37" i="2"/>
  <c r="AA37" i="2"/>
  <c r="AE37" i="2"/>
  <c r="S9" i="2"/>
  <c r="S38" i="2"/>
  <c r="S66" i="2"/>
  <c r="S95" i="2"/>
  <c r="W95" i="2" l="1"/>
  <c r="AE95" i="2"/>
  <c r="AA95" i="2"/>
  <c r="W66" i="2"/>
  <c r="AE66" i="2"/>
  <c r="AA66" i="2"/>
  <c r="W38" i="2"/>
  <c r="AE38" i="2"/>
  <c r="AA38" i="2"/>
  <c r="W9" i="2"/>
  <c r="AE9" i="2"/>
  <c r="AA9" i="2"/>
  <c r="S10" i="2"/>
  <c r="S39" i="2"/>
  <c r="S67" i="2"/>
  <c r="S96" i="2"/>
  <c r="X206" i="2"/>
  <c r="AB206" i="2"/>
  <c r="AF206" i="2"/>
  <c r="X207" i="2"/>
  <c r="AB207" i="2"/>
  <c r="AF207" i="2"/>
  <c r="X208" i="2"/>
  <c r="AB208" i="2"/>
  <c r="AF208" i="2"/>
  <c r="X209" i="2"/>
  <c r="AB209" i="2"/>
  <c r="AF209" i="2"/>
  <c r="X210" i="2"/>
  <c r="AB210" i="2"/>
  <c r="AF210" i="2"/>
  <c r="X211" i="2"/>
  <c r="AB211" i="2"/>
  <c r="AF211" i="2"/>
  <c r="X177" i="2"/>
  <c r="AB177" i="2"/>
  <c r="AF177" i="2"/>
  <c r="X178" i="2"/>
  <c r="AB178" i="2"/>
  <c r="AF178" i="2"/>
  <c r="X179" i="2"/>
  <c r="AB179" i="2"/>
  <c r="AF179" i="2"/>
  <c r="X180" i="2"/>
  <c r="AB180" i="2"/>
  <c r="AF180" i="2"/>
  <c r="X181" i="2"/>
  <c r="AB181" i="2"/>
  <c r="AF181" i="2"/>
  <c r="X182" i="2"/>
  <c r="AB182" i="2"/>
  <c r="AF182" i="2"/>
  <c r="X148" i="2"/>
  <c r="AB148" i="2"/>
  <c r="AF148" i="2"/>
  <c r="X149" i="2"/>
  <c r="AB149" i="2"/>
  <c r="AF149" i="2"/>
  <c r="X150" i="2"/>
  <c r="AB150" i="2"/>
  <c r="AF150" i="2"/>
  <c r="X151" i="2"/>
  <c r="AB151" i="2"/>
  <c r="AF151" i="2"/>
  <c r="X152" i="2"/>
  <c r="AB152" i="2"/>
  <c r="AF152" i="2"/>
  <c r="X153" i="2"/>
  <c r="AB153" i="2"/>
  <c r="AF153" i="2"/>
  <c r="X119" i="2"/>
  <c r="AB119" i="2"/>
  <c r="AF119" i="2"/>
  <c r="X120" i="2"/>
  <c r="AB120" i="2"/>
  <c r="AF120" i="2"/>
  <c r="X121" i="2"/>
  <c r="AB121" i="2"/>
  <c r="AF121" i="2"/>
  <c r="X122" i="2"/>
  <c r="AB122" i="2"/>
  <c r="AF122" i="2"/>
  <c r="X123" i="2"/>
  <c r="AB123" i="2"/>
  <c r="AF123" i="2"/>
  <c r="X124" i="2"/>
  <c r="AB124" i="2"/>
  <c r="AF124" i="2"/>
  <c r="W96" i="2" l="1"/>
  <c r="AA96" i="2"/>
  <c r="AE96" i="2"/>
  <c r="W67" i="2"/>
  <c r="AA67" i="2"/>
  <c r="AE67" i="2"/>
  <c r="W39" i="2"/>
  <c r="AA39" i="2"/>
  <c r="AE39" i="2"/>
  <c r="W10" i="2"/>
  <c r="AA10" i="2"/>
  <c r="AE10" i="2"/>
  <c r="S207" i="2"/>
  <c r="S206" i="2"/>
  <c r="S11" i="2"/>
  <c r="S40" i="2"/>
  <c r="S68" i="2"/>
  <c r="S97" i="2"/>
  <c r="W40" i="2" l="1"/>
  <c r="AA40" i="2"/>
  <c r="AE40" i="2"/>
  <c r="W11" i="2"/>
  <c r="AA11" i="2"/>
  <c r="AE11" i="2"/>
  <c r="W206" i="2"/>
  <c r="AE206" i="2"/>
  <c r="AA206" i="2"/>
  <c r="W97" i="2"/>
  <c r="AE97" i="2"/>
  <c r="AA97" i="2"/>
  <c r="W68" i="2"/>
  <c r="AE68" i="2"/>
  <c r="AA68" i="2"/>
  <c r="W207" i="2"/>
  <c r="AA207" i="2"/>
  <c r="AE207" i="2"/>
  <c r="S41" i="2"/>
  <c r="S69" i="2"/>
  <c r="S98" i="2"/>
  <c r="S208" i="2"/>
  <c r="H4" i="15"/>
  <c r="F2" i="15"/>
  <c r="AB118" i="2"/>
  <c r="AB147" i="2"/>
  <c r="AB176" i="2"/>
  <c r="AB205" i="2"/>
  <c r="AB212" i="2"/>
  <c r="AB213" i="2"/>
  <c r="AB214" i="2"/>
  <c r="AB215" i="2"/>
  <c r="AB216" i="2"/>
  <c r="AB217" i="2"/>
  <c r="AB218" i="2"/>
  <c r="AB219" i="2"/>
  <c r="AB220" i="2"/>
  <c r="AB221" i="2"/>
  <c r="AB222" i="2"/>
  <c r="AB223" i="2"/>
  <c r="AB224" i="2"/>
  <c r="AB225" i="2"/>
  <c r="AB226" i="2"/>
  <c r="AB227" i="2"/>
  <c r="AB228" i="2"/>
  <c r="AB229" i="2"/>
  <c r="AB230" i="2"/>
  <c r="AB231" i="2"/>
  <c r="AB232" i="2"/>
  <c r="AB233" i="2"/>
  <c r="AB234" i="2"/>
  <c r="AB235" i="2"/>
  <c r="AB236" i="2"/>
  <c r="AB237" i="2"/>
  <c r="AB238" i="2"/>
  <c r="AB239" i="2"/>
  <c r="AB240" i="2"/>
  <c r="AB241" i="2"/>
  <c r="AB242" i="2"/>
  <c r="AB243" i="2"/>
  <c r="AB244" i="2"/>
  <c r="AB245" i="2"/>
  <c r="AB246" i="2"/>
  <c r="AB247" i="2"/>
  <c r="AB248" i="2"/>
  <c r="AB249" i="2"/>
  <c r="AB250" i="2"/>
  <c r="AB251" i="2"/>
  <c r="AB252" i="2"/>
  <c r="AB253" i="2"/>
  <c r="AB254" i="2"/>
  <c r="AB255" i="2"/>
  <c r="AB256" i="2"/>
  <c r="AB257" i="2"/>
  <c r="AB258" i="2"/>
  <c r="AB259" i="2"/>
  <c r="AB260" i="2"/>
  <c r="AB261" i="2"/>
  <c r="AB262" i="2"/>
  <c r="AB263" i="2"/>
  <c r="AB264" i="2"/>
  <c r="AB265" i="2"/>
  <c r="AB266" i="2"/>
  <c r="AB267" i="2"/>
  <c r="AB268" i="2"/>
  <c r="AB269" i="2"/>
  <c r="AB270" i="2"/>
  <c r="AB271" i="2"/>
  <c r="AB272" i="2"/>
  <c r="AB273" i="2"/>
  <c r="AB274" i="2"/>
  <c r="AB275" i="2"/>
  <c r="AB276" i="2"/>
  <c r="AB277" i="2"/>
  <c r="AB278" i="2"/>
  <c r="AB279" i="2"/>
  <c r="AB280" i="2"/>
  <c r="AB281" i="2"/>
  <c r="AB282" i="2"/>
  <c r="AB283" i="2"/>
  <c r="AB284" i="2"/>
  <c r="AB285" i="2"/>
  <c r="AB286" i="2"/>
  <c r="AB287" i="2"/>
  <c r="AB288" i="2"/>
  <c r="AB289" i="2"/>
  <c r="AB290" i="2"/>
  <c r="AB291" i="2"/>
  <c r="AB292" i="2"/>
  <c r="AB293" i="2"/>
  <c r="AB294" i="2"/>
  <c r="AB295" i="2"/>
  <c r="AB296" i="2"/>
  <c r="AB297" i="2"/>
  <c r="AB298" i="2"/>
  <c r="AB299" i="2"/>
  <c r="AB300" i="2"/>
  <c r="AB301" i="2"/>
  <c r="AB302" i="2"/>
  <c r="AB303" i="2"/>
  <c r="AB304" i="2"/>
  <c r="AB305" i="2"/>
  <c r="AB306" i="2"/>
  <c r="AB307" i="2"/>
  <c r="AB308" i="2"/>
  <c r="AB309" i="2"/>
  <c r="AB310" i="2"/>
  <c r="AB311" i="2"/>
  <c r="AB312" i="2"/>
  <c r="AB313" i="2"/>
  <c r="AB314" i="2"/>
  <c r="AB315" i="2"/>
  <c r="AB316" i="2"/>
  <c r="AB317" i="2"/>
  <c r="AB318" i="2"/>
  <c r="AB319" i="2"/>
  <c r="AB320" i="2"/>
  <c r="AB321" i="2"/>
  <c r="AB322" i="2"/>
  <c r="AB323" i="2"/>
  <c r="AB324" i="2"/>
  <c r="AB325" i="2"/>
  <c r="AB326" i="2"/>
  <c r="AB327" i="2"/>
  <c r="AB328" i="2"/>
  <c r="AB329" i="2"/>
  <c r="AB330" i="2"/>
  <c r="AB331" i="2"/>
  <c r="AB332" i="2"/>
  <c r="AB333" i="2"/>
  <c r="AB334" i="2"/>
  <c r="AB335" i="2"/>
  <c r="AB336" i="2"/>
  <c r="AB337" i="2"/>
  <c r="AB338" i="2"/>
  <c r="AB339" i="2"/>
  <c r="AB340" i="2"/>
  <c r="AB341" i="2"/>
  <c r="AB342" i="2"/>
  <c r="AB343" i="2"/>
  <c r="AB344" i="2"/>
  <c r="AB345" i="2"/>
  <c r="AB346" i="2"/>
  <c r="AB347" i="2"/>
  <c r="AB348" i="2"/>
  <c r="AB349" i="2"/>
  <c r="AB350" i="2"/>
  <c r="AF118" i="2"/>
  <c r="AF147" i="2"/>
  <c r="AF176" i="2"/>
  <c r="AF205"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X118" i="2"/>
  <c r="X147" i="2"/>
  <c r="X176" i="2"/>
  <c r="X205"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W98" i="2" l="1"/>
  <c r="AA98" i="2"/>
  <c r="AE98" i="2"/>
  <c r="W69" i="2"/>
  <c r="AE69" i="2"/>
  <c r="AA69" i="2"/>
  <c r="W41" i="2"/>
  <c r="AA41" i="2"/>
  <c r="AE41" i="2"/>
  <c r="W208" i="2"/>
  <c r="AA208" i="2"/>
  <c r="AE208" i="2"/>
  <c r="C4" i="15"/>
  <c r="H7" i="15"/>
  <c r="C7" i="15" s="1"/>
  <c r="H2" i="15"/>
  <c r="C2" i="15" s="1"/>
  <c r="H3" i="15"/>
  <c r="C3" i="15" s="1"/>
  <c r="S13" i="2"/>
  <c r="S42" i="2"/>
  <c r="S70" i="2"/>
  <c r="S99" i="2"/>
  <c r="S209" i="2"/>
  <c r="J18" i="33" l="1"/>
  <c r="J17" i="33"/>
  <c r="J9" i="39"/>
  <c r="J8" i="39"/>
  <c r="W209" i="2"/>
  <c r="AA209" i="2"/>
  <c r="AE209" i="2"/>
  <c r="W42" i="2"/>
  <c r="AE42" i="2"/>
  <c r="AA42" i="2"/>
  <c r="W99" i="2"/>
  <c r="AA99" i="2"/>
  <c r="AE99" i="2"/>
  <c r="W70" i="2"/>
  <c r="AE70" i="2"/>
  <c r="AA70" i="2"/>
  <c r="W13" i="2"/>
  <c r="AE13" i="2"/>
  <c r="AA13" i="2"/>
  <c r="B2" i="46"/>
  <c r="L2" i="15"/>
  <c r="O2" i="15"/>
  <c r="R2" i="15"/>
  <c r="L7" i="15"/>
  <c r="O7" i="15"/>
  <c r="R7" i="15"/>
  <c r="R4" i="15"/>
  <c r="L4" i="15"/>
  <c r="O4" i="15"/>
  <c r="B3" i="46"/>
  <c r="O3" i="15"/>
  <c r="R3" i="15"/>
  <c r="L3" i="15"/>
  <c r="B4" i="46"/>
  <c r="F6" i="27"/>
  <c r="A36" i="27" s="1"/>
  <c r="A45" i="27" s="1"/>
  <c r="A59" i="27" s="1"/>
  <c r="F7" i="27"/>
  <c r="A37" i="27" s="1"/>
  <c r="A46" i="27" s="1"/>
  <c r="A60" i="27" s="1"/>
  <c r="F8" i="27"/>
  <c r="A38" i="27" s="1"/>
  <c r="A47" i="27" s="1"/>
  <c r="A61" i="27" s="1"/>
  <c r="F9" i="27"/>
  <c r="A39" i="27" s="1"/>
  <c r="A48" i="27" s="1"/>
  <c r="A62" i="27" s="1"/>
  <c r="A17" i="27"/>
  <c r="B7" i="27"/>
  <c r="A18" i="27" s="1"/>
  <c r="B8" i="27"/>
  <c r="A19" i="27" s="1"/>
  <c r="F5" i="27"/>
  <c r="A35" i="27" s="1"/>
  <c r="A44" i="27" s="1"/>
  <c r="A58" i="27" s="1"/>
  <c r="B9" i="27"/>
  <c r="A20" i="27" s="1"/>
  <c r="A16" i="27"/>
  <c r="J19" i="33"/>
  <c r="S14" i="2"/>
  <c r="S43" i="2"/>
  <c r="S71" i="2"/>
  <c r="S100" i="2"/>
  <c r="S21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A347" i="2"/>
  <c r="A348" i="2"/>
  <c r="A349" i="2"/>
  <c r="A350" i="2"/>
  <c r="R17" i="33" l="1"/>
  <c r="L17" i="33"/>
  <c r="N17" i="33"/>
  <c r="P17" i="33"/>
  <c r="R18" i="33"/>
  <c r="N18" i="33"/>
  <c r="L18" i="33"/>
  <c r="P18" i="33"/>
  <c r="R19" i="33"/>
  <c r="P19" i="33"/>
  <c r="K8" i="39"/>
  <c r="O8" i="39"/>
  <c r="M8" i="39"/>
  <c r="Q8" i="39"/>
  <c r="Q9" i="39"/>
  <c r="O9" i="39"/>
  <c r="M9" i="39"/>
  <c r="K9" i="39"/>
  <c r="W298" i="2"/>
  <c r="AA298" i="2"/>
  <c r="AE298" i="2"/>
  <c r="W286" i="2"/>
  <c r="AE286" i="2"/>
  <c r="AA286" i="2"/>
  <c r="W284" i="2"/>
  <c r="AA284" i="2"/>
  <c r="AE284" i="2"/>
  <c r="W295" i="2"/>
  <c r="AE295" i="2"/>
  <c r="AA295" i="2"/>
  <c r="W282" i="2"/>
  <c r="AE282" i="2"/>
  <c r="AA282" i="2"/>
  <c r="W281" i="2"/>
  <c r="AA281" i="2"/>
  <c r="AE281" i="2"/>
  <c r="W292" i="2"/>
  <c r="AA292" i="2"/>
  <c r="AE292" i="2"/>
  <c r="W210" i="2"/>
  <c r="AE210" i="2"/>
  <c r="AA210" i="2"/>
  <c r="W297" i="2"/>
  <c r="AE297" i="2"/>
  <c r="AA297" i="2"/>
  <c r="W285" i="2"/>
  <c r="AE285" i="2"/>
  <c r="AA285" i="2"/>
  <c r="W100" i="2"/>
  <c r="AA100" i="2"/>
  <c r="AE100" i="2"/>
  <c r="W302" i="2"/>
  <c r="AE302" i="2"/>
  <c r="AA302" i="2"/>
  <c r="W290" i="2"/>
  <c r="AE290" i="2"/>
  <c r="AA290" i="2"/>
  <c r="W71" i="2"/>
  <c r="AE71" i="2"/>
  <c r="AA71" i="2"/>
  <c r="W294" i="2"/>
  <c r="AA294" i="2"/>
  <c r="AE294" i="2"/>
  <c r="W291" i="2"/>
  <c r="AE291" i="2"/>
  <c r="AA291" i="2"/>
  <c r="W301" i="2"/>
  <c r="AA301" i="2"/>
  <c r="AE301" i="2"/>
  <c r="W289" i="2"/>
  <c r="AA289" i="2"/>
  <c r="AE289" i="2"/>
  <c r="W43" i="2"/>
  <c r="AE43" i="2"/>
  <c r="AA43" i="2"/>
  <c r="W296" i="2"/>
  <c r="AE296" i="2"/>
  <c r="AA296" i="2"/>
  <c r="W303" i="2"/>
  <c r="AA303" i="2"/>
  <c r="AE303" i="2"/>
  <c r="W300" i="2"/>
  <c r="AE300" i="2"/>
  <c r="AA300" i="2"/>
  <c r="W288" i="2"/>
  <c r="AA288" i="2"/>
  <c r="AE288" i="2"/>
  <c r="W14" i="2"/>
  <c r="AE14" i="2"/>
  <c r="AA14" i="2"/>
  <c r="W283" i="2"/>
  <c r="AA283" i="2"/>
  <c r="AE283" i="2"/>
  <c r="W293" i="2"/>
  <c r="AA293" i="2"/>
  <c r="AE293" i="2"/>
  <c r="W299" i="2"/>
  <c r="AE299" i="2"/>
  <c r="AA299" i="2"/>
  <c r="W287" i="2"/>
  <c r="AA287" i="2"/>
  <c r="AE287" i="2"/>
  <c r="L19" i="33"/>
  <c r="N19" i="33"/>
  <c r="B5" i="46"/>
  <c r="J11" i="33"/>
  <c r="J23" i="33"/>
  <c r="J24" i="33"/>
  <c r="J20" i="33"/>
  <c r="J16" i="33"/>
  <c r="A26" i="27"/>
  <c r="A27" i="27"/>
  <c r="A25" i="27"/>
  <c r="A29" i="27"/>
  <c r="A28" i="27"/>
  <c r="S15" i="2"/>
  <c r="S44" i="2"/>
  <c r="S72" i="2"/>
  <c r="S101" i="2"/>
  <c r="S211" i="2"/>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R23" i="33" l="1"/>
  <c r="P23" i="33"/>
  <c r="P20" i="33"/>
  <c r="R20" i="33"/>
  <c r="R24" i="33"/>
  <c r="P24" i="33"/>
  <c r="R11" i="33"/>
  <c r="P11" i="33"/>
  <c r="P16" i="33"/>
  <c r="R16" i="33"/>
  <c r="W15" i="2"/>
  <c r="AA15" i="2"/>
  <c r="AE15" i="2"/>
  <c r="W44" i="2"/>
  <c r="AA44" i="2"/>
  <c r="AE44" i="2"/>
  <c r="W211" i="2"/>
  <c r="AE211" i="2"/>
  <c r="AA211" i="2"/>
  <c r="W72" i="2"/>
  <c r="AE72" i="2"/>
  <c r="AA72" i="2"/>
  <c r="W101" i="2"/>
  <c r="AA101" i="2"/>
  <c r="AE101" i="2"/>
  <c r="N11" i="33"/>
  <c r="L11" i="33"/>
  <c r="N23" i="33"/>
  <c r="L23" i="33"/>
  <c r="N24" i="33"/>
  <c r="L24" i="33"/>
  <c r="L16" i="33"/>
  <c r="N16" i="33"/>
  <c r="N20" i="33"/>
  <c r="L20" i="33"/>
  <c r="S16" i="2"/>
  <c r="S45" i="2"/>
  <c r="S73" i="2"/>
  <c r="S102" i="2"/>
  <c r="S212" i="2"/>
  <c r="H8" i="15"/>
  <c r="C8" i="15" s="1"/>
  <c r="J4" i="39" s="1"/>
  <c r="O4" i="39" l="1"/>
  <c r="M4" i="39"/>
  <c r="K4" i="39"/>
  <c r="Q4" i="39"/>
  <c r="J2" i="39"/>
  <c r="K2" i="39" s="1"/>
  <c r="J6" i="33"/>
  <c r="J10" i="33"/>
  <c r="W73" i="2"/>
  <c r="AE73" i="2"/>
  <c r="AA73" i="2"/>
  <c r="W45" i="2"/>
  <c r="AA45" i="2"/>
  <c r="AE45" i="2"/>
  <c r="W212" i="2"/>
  <c r="AA212" i="2"/>
  <c r="AE212" i="2"/>
  <c r="W102" i="2"/>
  <c r="AA102" i="2"/>
  <c r="AE102" i="2"/>
  <c r="W16" i="2"/>
  <c r="AA16" i="2"/>
  <c r="AE16" i="2"/>
  <c r="R8" i="15"/>
  <c r="L8" i="15"/>
  <c r="O8" i="15"/>
  <c r="S17" i="2"/>
  <c r="S46" i="2"/>
  <c r="S74" i="2"/>
  <c r="S103" i="2"/>
  <c r="S213" i="2"/>
  <c r="O2" i="39" l="1"/>
  <c r="Q2" i="39"/>
  <c r="M2" i="39"/>
  <c r="R10" i="33"/>
  <c r="P10" i="33"/>
  <c r="L10" i="33"/>
  <c r="N10" i="33"/>
  <c r="L6" i="33"/>
  <c r="N6" i="33"/>
  <c r="P6" i="33"/>
  <c r="R6" i="33"/>
  <c r="W46" i="2"/>
  <c r="AE46" i="2"/>
  <c r="AA46" i="2"/>
  <c r="W213" i="2"/>
  <c r="AA213" i="2"/>
  <c r="AE213" i="2"/>
  <c r="W103" i="2"/>
  <c r="AA103" i="2"/>
  <c r="AE103" i="2"/>
  <c r="W74" i="2"/>
  <c r="AA74" i="2"/>
  <c r="AE74" i="2"/>
  <c r="W17" i="2"/>
  <c r="AA17" i="2"/>
  <c r="AE17" i="2"/>
  <c r="B6" i="46"/>
  <c r="S18" i="2"/>
  <c r="S47" i="2"/>
  <c r="S75" i="2"/>
  <c r="S104" i="2"/>
  <c r="S214" i="2"/>
  <c r="W75" i="2" l="1"/>
  <c r="AA75" i="2"/>
  <c r="AE75" i="2"/>
  <c r="W214" i="2"/>
  <c r="AE214" i="2"/>
  <c r="AA214" i="2"/>
  <c r="W18" i="2"/>
  <c r="AA18" i="2"/>
  <c r="AE18" i="2"/>
  <c r="W47" i="2"/>
  <c r="AE47" i="2"/>
  <c r="AA47" i="2"/>
  <c r="W104" i="2"/>
  <c r="AE104" i="2"/>
  <c r="AA104" i="2"/>
  <c r="S19" i="2"/>
  <c r="S48" i="2"/>
  <c r="S76" i="2"/>
  <c r="S105" i="2"/>
  <c r="S215" i="2"/>
  <c r="W105" i="2" l="1"/>
  <c r="AA105" i="2"/>
  <c r="AE105" i="2"/>
  <c r="W215" i="2"/>
  <c r="AA215" i="2"/>
  <c r="AE215" i="2"/>
  <c r="W76" i="2"/>
  <c r="AA76" i="2"/>
  <c r="AE76" i="2"/>
  <c r="W19" i="2"/>
  <c r="AE19" i="2"/>
  <c r="AA19" i="2"/>
  <c r="W48" i="2"/>
  <c r="AA48" i="2"/>
  <c r="AE48" i="2"/>
  <c r="S20" i="2"/>
  <c r="S49" i="2"/>
  <c r="S77" i="2"/>
  <c r="S106" i="2"/>
  <c r="S216" i="2"/>
  <c r="D51" i="21"/>
  <c r="C51" i="21" s="1"/>
  <c r="D50" i="21"/>
  <c r="C50" i="21" s="1"/>
  <c r="D49" i="21"/>
  <c r="C49" i="21" s="1"/>
  <c r="D48" i="21"/>
  <c r="C48" i="21" s="1"/>
  <c r="D47" i="21"/>
  <c r="C47" i="21" s="1"/>
  <c r="D46" i="21"/>
  <c r="C46" i="21" s="1"/>
  <c r="D45" i="21"/>
  <c r="C45" i="21" s="1"/>
  <c r="D44" i="21"/>
  <c r="C44" i="21" s="1"/>
  <c r="D43" i="21"/>
  <c r="C43" i="21" s="1"/>
  <c r="D42" i="21"/>
  <c r="C42" i="21" s="1"/>
  <c r="D41" i="21"/>
  <c r="C41" i="21" s="1"/>
  <c r="D40" i="21"/>
  <c r="C40" i="21" s="1"/>
  <c r="D39" i="21"/>
  <c r="C39" i="21" s="1"/>
  <c r="D38" i="21"/>
  <c r="C38" i="21" s="1"/>
  <c r="D37" i="21"/>
  <c r="C37" i="21" s="1"/>
  <c r="D36" i="21"/>
  <c r="C36" i="21" s="1"/>
  <c r="D35" i="21"/>
  <c r="C35" i="21" s="1"/>
  <c r="D34" i="21"/>
  <c r="C34" i="21" s="1"/>
  <c r="D33" i="21"/>
  <c r="C33" i="21" s="1"/>
  <c r="D32" i="21"/>
  <c r="C32" i="21" s="1"/>
  <c r="D31" i="21"/>
  <c r="C31" i="21" s="1"/>
  <c r="D30" i="21"/>
  <c r="C30" i="21" s="1"/>
  <c r="D29" i="21"/>
  <c r="C29" i="21" s="1"/>
  <c r="D28" i="21"/>
  <c r="C28" i="21" s="1"/>
  <c r="D27" i="21"/>
  <c r="C27" i="21" s="1"/>
  <c r="D26" i="21"/>
  <c r="C26" i="21" s="1"/>
  <c r="D25" i="21"/>
  <c r="C25" i="21" s="1"/>
  <c r="D24" i="21"/>
  <c r="C24" i="21" s="1"/>
  <c r="D23" i="21"/>
  <c r="C23" i="21" s="1"/>
  <c r="D22" i="21"/>
  <c r="C22" i="21" s="1"/>
  <c r="D21" i="21"/>
  <c r="C21" i="21" s="1"/>
  <c r="D20" i="21"/>
  <c r="C20" i="21" s="1"/>
  <c r="D19" i="21"/>
  <c r="C19" i="21" s="1"/>
  <c r="D18" i="21"/>
  <c r="C18" i="21" s="1"/>
  <c r="D17" i="21"/>
  <c r="C17" i="21" s="1"/>
  <c r="D16" i="21"/>
  <c r="C16" i="21" s="1"/>
  <c r="D15" i="21"/>
  <c r="C15" i="21" s="1"/>
  <c r="D14" i="21"/>
  <c r="C14" i="21" s="1"/>
  <c r="D13" i="21"/>
  <c r="C13" i="21" s="1"/>
  <c r="D12" i="21"/>
  <c r="C12" i="21" s="1"/>
  <c r="D11" i="21"/>
  <c r="C11" i="21" s="1"/>
  <c r="D10" i="21"/>
  <c r="C10" i="21" s="1"/>
  <c r="D9" i="21"/>
  <c r="C9" i="21" s="1"/>
  <c r="D8" i="21"/>
  <c r="C8" i="21" s="1"/>
  <c r="D7" i="21"/>
  <c r="C7" i="21" s="1"/>
  <c r="D6" i="21"/>
  <c r="C6" i="21" s="1"/>
  <c r="W216" i="2" l="1"/>
  <c r="AE216" i="2"/>
  <c r="AA216" i="2"/>
  <c r="W106" i="2"/>
  <c r="AA106" i="2"/>
  <c r="AE106" i="2"/>
  <c r="W77" i="2"/>
  <c r="AE77" i="2"/>
  <c r="AA77" i="2"/>
  <c r="W49" i="2"/>
  <c r="AA49" i="2"/>
  <c r="AE49" i="2"/>
  <c r="W20" i="2"/>
  <c r="AE20" i="2"/>
  <c r="AA20" i="2"/>
  <c r="J142" i="33"/>
  <c r="J145" i="33"/>
  <c r="J148" i="33"/>
  <c r="S21" i="2"/>
  <c r="S50" i="2"/>
  <c r="S78" i="2"/>
  <c r="S107" i="2"/>
  <c r="S217" i="2"/>
  <c r="C2" i="21"/>
  <c r="D4" i="21"/>
  <c r="C4" i="21" s="1"/>
  <c r="D5" i="21"/>
  <c r="C5" i="21" s="1"/>
  <c r="D3" i="21"/>
  <c r="C3" i="21" s="1"/>
  <c r="R145" i="33" l="1"/>
  <c r="P145" i="33"/>
  <c r="R148" i="33"/>
  <c r="P148" i="33"/>
  <c r="R142" i="33"/>
  <c r="P142" i="33"/>
  <c r="W50" i="2"/>
  <c r="AE50" i="2"/>
  <c r="AA50" i="2"/>
  <c r="W21" i="2"/>
  <c r="AE21" i="2"/>
  <c r="AA21" i="2"/>
  <c r="W217" i="2"/>
  <c r="AE217" i="2"/>
  <c r="AA217" i="2"/>
  <c r="W107" i="2"/>
  <c r="AE107" i="2"/>
  <c r="AA107" i="2"/>
  <c r="W78" i="2"/>
  <c r="AE78" i="2"/>
  <c r="AA78" i="2"/>
  <c r="L148" i="33"/>
  <c r="N148" i="33"/>
  <c r="L145" i="33"/>
  <c r="N145" i="33"/>
  <c r="N142" i="33"/>
  <c r="L142" i="33"/>
  <c r="S22" i="2"/>
  <c r="S51" i="2"/>
  <c r="S79" i="2"/>
  <c r="S108" i="2"/>
  <c r="S218" i="2"/>
  <c r="B15" i="46"/>
  <c r="B18" i="46"/>
  <c r="H9" i="15"/>
  <c r="C9" i="15" s="1"/>
  <c r="J5" i="39" s="1"/>
  <c r="K5" i="39" l="1"/>
  <c r="Q5" i="39"/>
  <c r="O5" i="39"/>
  <c r="M5" i="39"/>
  <c r="J3" i="39"/>
  <c r="Q3" i="39" s="1"/>
  <c r="J8" i="33"/>
  <c r="J12" i="33"/>
  <c r="W218" i="2"/>
  <c r="AA218" i="2"/>
  <c r="AE218" i="2"/>
  <c r="W22" i="2"/>
  <c r="AA22" i="2"/>
  <c r="AE22" i="2"/>
  <c r="W108" i="2"/>
  <c r="AA108" i="2"/>
  <c r="AE108" i="2"/>
  <c r="W79" i="2"/>
  <c r="AA79" i="2"/>
  <c r="AE79" i="2"/>
  <c r="W51" i="2"/>
  <c r="AA51" i="2"/>
  <c r="AE51" i="2"/>
  <c r="L9" i="15"/>
  <c r="O9" i="15"/>
  <c r="R9" i="15"/>
  <c r="B25" i="46"/>
  <c r="B24" i="46"/>
  <c r="R2" i="21"/>
  <c r="B23" i="46"/>
  <c r="B20" i="46"/>
  <c r="B22" i="46"/>
  <c r="B13" i="46"/>
  <c r="B21" i="46"/>
  <c r="B12" i="46"/>
  <c r="B19" i="46"/>
  <c r="S23" i="2"/>
  <c r="S52" i="2"/>
  <c r="S80" i="2"/>
  <c r="S109" i="2"/>
  <c r="S219" i="2"/>
  <c r="B16" i="46"/>
  <c r="B7" i="46"/>
  <c r="M3" i="39" l="1"/>
  <c r="O3" i="39"/>
  <c r="K3" i="39"/>
  <c r="P12" i="33"/>
  <c r="R12" i="33"/>
  <c r="N12" i="33"/>
  <c r="L12" i="33"/>
  <c r="L8" i="33"/>
  <c r="N8" i="33"/>
  <c r="P8" i="33"/>
  <c r="R8" i="33"/>
  <c r="W109" i="2"/>
  <c r="AE109" i="2"/>
  <c r="AA109" i="2"/>
  <c r="W219" i="2"/>
  <c r="AA219" i="2"/>
  <c r="AE219" i="2"/>
  <c r="W80" i="2"/>
  <c r="AE80" i="2"/>
  <c r="AA80" i="2"/>
  <c r="W52" i="2"/>
  <c r="AA52" i="2"/>
  <c r="AE52" i="2"/>
  <c r="W23" i="2"/>
  <c r="AA23" i="2"/>
  <c r="AE23" i="2"/>
  <c r="P2" i="33"/>
  <c r="R2" i="33"/>
  <c r="L2" i="33"/>
  <c r="N2" i="33"/>
  <c r="J13" i="39"/>
  <c r="J32" i="39"/>
  <c r="B8" i="46"/>
  <c r="B10" i="46"/>
  <c r="J16" i="39"/>
  <c r="J24" i="39"/>
  <c r="J12" i="39"/>
  <c r="J34" i="39"/>
  <c r="B14" i="46"/>
  <c r="B9" i="46"/>
  <c r="J6" i="39"/>
  <c r="B11" i="46"/>
  <c r="J39" i="39"/>
  <c r="B17" i="46"/>
  <c r="J17" i="39"/>
  <c r="J41" i="39"/>
  <c r="J33" i="39"/>
  <c r="J20" i="39"/>
  <c r="J44" i="39"/>
  <c r="J46" i="39"/>
  <c r="J49" i="39"/>
  <c r="J23" i="39"/>
  <c r="J26" i="39"/>
  <c r="J40" i="39"/>
  <c r="J43" i="39"/>
  <c r="J30" i="39"/>
  <c r="J29" i="39"/>
  <c r="J27" i="39"/>
  <c r="J47" i="39"/>
  <c r="J21" i="39"/>
  <c r="J42" i="39"/>
  <c r="J22" i="39"/>
  <c r="J37" i="39"/>
  <c r="J11" i="39"/>
  <c r="J25" i="39"/>
  <c r="J15" i="39"/>
  <c r="J50" i="39"/>
  <c r="J28" i="39"/>
  <c r="J31" i="39"/>
  <c r="J7" i="39"/>
  <c r="J35" i="39"/>
  <c r="J18" i="39"/>
  <c r="J10" i="39"/>
  <c r="J14" i="39"/>
  <c r="J45" i="39"/>
  <c r="J19" i="39"/>
  <c r="J48" i="39"/>
  <c r="J36" i="39"/>
  <c r="J38" i="39"/>
  <c r="J5" i="33"/>
  <c r="J15" i="33"/>
  <c r="J13" i="33"/>
  <c r="J14" i="33"/>
  <c r="J151" i="33"/>
  <c r="J150" i="33"/>
  <c r="J149" i="33"/>
  <c r="J3" i="33"/>
  <c r="J4" i="33"/>
  <c r="J141" i="33"/>
  <c r="J144" i="33"/>
  <c r="J147" i="33"/>
  <c r="J140" i="33"/>
  <c r="J143" i="33"/>
  <c r="J146" i="33"/>
  <c r="B118" i="2"/>
  <c r="B18" i="2"/>
  <c r="B8" i="2"/>
  <c r="B15" i="2"/>
  <c r="B9" i="2"/>
  <c r="B4" i="2"/>
  <c r="B6" i="2"/>
  <c r="B16" i="2"/>
  <c r="B20" i="2"/>
  <c r="B10" i="2"/>
  <c r="B5" i="2"/>
  <c r="B11" i="2"/>
  <c r="B13" i="2"/>
  <c r="B21" i="2"/>
  <c r="B2" i="2"/>
  <c r="B19" i="2"/>
  <c r="B22" i="2"/>
  <c r="B7" i="2"/>
  <c r="B17" i="2"/>
  <c r="B12" i="2"/>
  <c r="B3" i="2"/>
  <c r="B14" i="2"/>
  <c r="B238" i="2"/>
  <c r="B311" i="2"/>
  <c r="B308" i="2"/>
  <c r="B342" i="2"/>
  <c r="B263" i="2"/>
  <c r="B267" i="2"/>
  <c r="B254" i="2"/>
  <c r="B256" i="2"/>
  <c r="B235" i="2"/>
  <c r="B317" i="2"/>
  <c r="B339" i="2"/>
  <c r="B281" i="2"/>
  <c r="B332" i="2"/>
  <c r="B309" i="2"/>
  <c r="B237" i="2"/>
  <c r="B341" i="2"/>
  <c r="B244" i="2"/>
  <c r="B322" i="2"/>
  <c r="B296" i="2"/>
  <c r="B260" i="2"/>
  <c r="B292" i="2"/>
  <c r="B340" i="2"/>
  <c r="B333" i="2"/>
  <c r="B172" i="2"/>
  <c r="B165" i="2"/>
  <c r="B103" i="2"/>
  <c r="B116" i="2"/>
  <c r="B97" i="2"/>
  <c r="B135" i="2"/>
  <c r="B128" i="2"/>
  <c r="B79" i="2"/>
  <c r="B62" i="2"/>
  <c r="B77" i="2"/>
  <c r="B259" i="2"/>
  <c r="B282" i="2"/>
  <c r="B257" i="2"/>
  <c r="B280" i="2"/>
  <c r="B326" i="2"/>
  <c r="B335" i="2"/>
  <c r="B271" i="2"/>
  <c r="B285" i="2"/>
  <c r="B313" i="2"/>
  <c r="B241" i="2"/>
  <c r="B171" i="2"/>
  <c r="B175" i="2"/>
  <c r="B102" i="2"/>
  <c r="B93" i="2"/>
  <c r="B95" i="2"/>
  <c r="B133" i="2"/>
  <c r="B146" i="2"/>
  <c r="B68" i="2"/>
  <c r="B78" i="2"/>
  <c r="B87" i="2"/>
  <c r="B252" i="2"/>
  <c r="B320" i="2"/>
  <c r="B315" i="2"/>
  <c r="B345" i="2"/>
  <c r="B307" i="2"/>
  <c r="B277" i="2"/>
  <c r="B236" i="2"/>
  <c r="B274" i="2"/>
  <c r="B306" i="2"/>
  <c r="B325" i="2"/>
  <c r="B314" i="2"/>
  <c r="B159" i="2"/>
  <c r="B158" i="2"/>
  <c r="B111" i="2"/>
  <c r="B108" i="2"/>
  <c r="B105" i="2"/>
  <c r="B139" i="2"/>
  <c r="B85" i="2"/>
  <c r="B61" i="2"/>
  <c r="B80" i="2"/>
  <c r="B327" i="2"/>
  <c r="B262" i="2"/>
  <c r="B289" i="2"/>
  <c r="B278" i="2"/>
  <c r="B319" i="2"/>
  <c r="B270" i="2"/>
  <c r="B273" i="2"/>
  <c r="B247" i="2"/>
  <c r="B310" i="2"/>
  <c r="B312" i="2"/>
  <c r="B299" i="2"/>
  <c r="B147" i="2"/>
  <c r="B169" i="2"/>
  <c r="B164" i="2"/>
  <c r="B90" i="2"/>
  <c r="B96" i="2"/>
  <c r="B112" i="2"/>
  <c r="B134" i="2"/>
  <c r="B67" i="2"/>
  <c r="B72" i="2"/>
  <c r="B71" i="2"/>
  <c r="B338" i="2"/>
  <c r="B297" i="2"/>
  <c r="B279" i="2"/>
  <c r="B323" i="2"/>
  <c r="B295" i="2"/>
  <c r="B298" i="2"/>
  <c r="B266" i="2"/>
  <c r="B303" i="2"/>
  <c r="B334" i="2"/>
  <c r="B291" i="2"/>
  <c r="B272" i="2"/>
  <c r="B330" i="2"/>
  <c r="B246" i="2"/>
  <c r="B284" i="2"/>
  <c r="B157" i="2"/>
  <c r="B174" i="2"/>
  <c r="B104" i="2"/>
  <c r="B115" i="2"/>
  <c r="B144" i="2"/>
  <c r="B140" i="2"/>
  <c r="B88" i="2"/>
  <c r="B81" i="2"/>
  <c r="B23" i="2"/>
  <c r="B347" i="2"/>
  <c r="B276" i="2"/>
  <c r="B316" i="2"/>
  <c r="B293" i="2"/>
  <c r="B318" i="2"/>
  <c r="B286" i="2"/>
  <c r="B331" i="2"/>
  <c r="B288" i="2"/>
  <c r="B243" i="2"/>
  <c r="B148" i="2"/>
  <c r="B225" i="2"/>
  <c r="B168" i="2"/>
  <c r="B170" i="2"/>
  <c r="B91" i="2"/>
  <c r="B99" i="2"/>
  <c r="B143" i="2"/>
  <c r="B131" i="2"/>
  <c r="B75" i="2"/>
  <c r="B64" i="2"/>
  <c r="B24" i="2"/>
  <c r="B329" i="2"/>
  <c r="B153" i="2"/>
  <c r="B119" i="2"/>
  <c r="B156" i="2"/>
  <c r="B163" i="2"/>
  <c r="B110" i="2"/>
  <c r="B107" i="2"/>
  <c r="B145" i="2"/>
  <c r="B137" i="2"/>
  <c r="B84" i="2"/>
  <c r="B69" i="2"/>
  <c r="B29" i="2"/>
  <c r="B255" i="2"/>
  <c r="B250" i="2"/>
  <c r="B264" i="2"/>
  <c r="B321" i="2"/>
  <c r="B242" i="2"/>
  <c r="B337" i="2"/>
  <c r="B300" i="2"/>
  <c r="B275" i="2"/>
  <c r="B328" i="2"/>
  <c r="B305" i="2"/>
  <c r="B240" i="2"/>
  <c r="B152" i="2"/>
  <c r="B124" i="2"/>
  <c r="B167" i="2"/>
  <c r="B173" i="2"/>
  <c r="B98" i="2"/>
  <c r="B114" i="2"/>
  <c r="B127" i="2"/>
  <c r="B141" i="2"/>
  <c r="B76" i="2"/>
  <c r="B70" i="2"/>
  <c r="B25" i="2"/>
  <c r="B151" i="2"/>
  <c r="B123" i="2"/>
  <c r="B155" i="2"/>
  <c r="B117" i="2"/>
  <c r="B100" i="2"/>
  <c r="B126" i="2"/>
  <c r="B138" i="2"/>
  <c r="B74" i="2"/>
  <c r="B83" i="2"/>
  <c r="B27" i="2"/>
  <c r="B350" i="2"/>
  <c r="B248" i="2"/>
  <c r="B344" i="2"/>
  <c r="B324" i="2"/>
  <c r="B343" i="2"/>
  <c r="B294" i="2"/>
  <c r="B287" i="2"/>
  <c r="B283" i="2"/>
  <c r="B301" i="2"/>
  <c r="B150" i="2"/>
  <c r="B122" i="2"/>
  <c r="B166" i="2"/>
  <c r="B94" i="2"/>
  <c r="B106" i="2"/>
  <c r="B125" i="2"/>
  <c r="B130" i="2"/>
  <c r="B66" i="2"/>
  <c r="B60" i="2"/>
  <c r="B28" i="2"/>
  <c r="B348" i="2"/>
  <c r="B258" i="2"/>
  <c r="B349" i="2"/>
  <c r="B245" i="2"/>
  <c r="B336" i="2"/>
  <c r="B302" i="2"/>
  <c r="B269" i="2"/>
  <c r="B239" i="2"/>
  <c r="B149" i="2"/>
  <c r="B121" i="2"/>
  <c r="B162" i="2"/>
  <c r="B154" i="2"/>
  <c r="B89" i="2"/>
  <c r="B113" i="2"/>
  <c r="B136" i="2"/>
  <c r="B132" i="2"/>
  <c r="B73" i="2"/>
  <c r="B65" i="2"/>
  <c r="B30" i="2"/>
  <c r="B253" i="2"/>
  <c r="B234" i="2"/>
  <c r="B251" i="2"/>
  <c r="B261" i="2"/>
  <c r="B346" i="2"/>
  <c r="B249" i="2"/>
  <c r="B290" i="2"/>
  <c r="B265" i="2"/>
  <c r="B268" i="2"/>
  <c r="B120" i="2"/>
  <c r="B161" i="2"/>
  <c r="B160" i="2"/>
  <c r="B92" i="2"/>
  <c r="B109" i="2"/>
  <c r="B101" i="2"/>
  <c r="B142" i="2"/>
  <c r="B129" i="2"/>
  <c r="B86" i="2"/>
  <c r="B63" i="2"/>
  <c r="B82" i="2"/>
  <c r="B26" i="2"/>
  <c r="S24" i="2"/>
  <c r="S53" i="2"/>
  <c r="S81" i="2"/>
  <c r="S110" i="2"/>
  <c r="S220" i="2"/>
  <c r="B205" i="2"/>
  <c r="B231" i="2"/>
  <c r="B220" i="2"/>
  <c r="B224" i="2"/>
  <c r="B219" i="2"/>
  <c r="B233" i="2"/>
  <c r="B226" i="2"/>
  <c r="B216" i="2"/>
  <c r="B221" i="2"/>
  <c r="B228" i="2"/>
  <c r="B232" i="2"/>
  <c r="B229" i="2"/>
  <c r="B213" i="2"/>
  <c r="B218" i="2"/>
  <c r="B212" i="2"/>
  <c r="B227" i="2"/>
  <c r="B217" i="2"/>
  <c r="B230" i="2"/>
  <c r="B222" i="2"/>
  <c r="B223" i="2"/>
  <c r="B215" i="2"/>
  <c r="B214" i="2"/>
  <c r="B204" i="2"/>
  <c r="B190" i="2"/>
  <c r="B202" i="2"/>
  <c r="B199" i="2"/>
  <c r="B191" i="2"/>
  <c r="B203" i="2"/>
  <c r="B192" i="2"/>
  <c r="B197" i="2"/>
  <c r="B193" i="2"/>
  <c r="B194" i="2"/>
  <c r="B187" i="2"/>
  <c r="B183" i="2"/>
  <c r="B195" i="2"/>
  <c r="B184" i="2"/>
  <c r="B196" i="2"/>
  <c r="B185" i="2"/>
  <c r="B186" i="2"/>
  <c r="B198" i="2"/>
  <c r="B188" i="2"/>
  <c r="B189" i="2"/>
  <c r="B200" i="2"/>
  <c r="B201" i="2"/>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B176" i="2"/>
  <c r="B206" i="2"/>
  <c r="B210" i="2"/>
  <c r="B207" i="2"/>
  <c r="B211" i="2"/>
  <c r="B208" i="2"/>
  <c r="B209" i="2"/>
  <c r="B179" i="2"/>
  <c r="B180" i="2"/>
  <c r="B181" i="2"/>
  <c r="B177" i="2"/>
  <c r="B182" i="2"/>
  <c r="B178" i="2"/>
  <c r="R146" i="33" l="1"/>
  <c r="P146" i="33"/>
  <c r="R143" i="33"/>
  <c r="P143" i="33"/>
  <c r="R140" i="33"/>
  <c r="P140" i="33"/>
  <c r="R147" i="33"/>
  <c r="P147" i="33"/>
  <c r="R144" i="33"/>
  <c r="P144" i="33"/>
  <c r="R141" i="33"/>
  <c r="P141" i="33"/>
  <c r="R149" i="33"/>
  <c r="P149" i="33"/>
  <c r="R150" i="33"/>
  <c r="P150" i="33"/>
  <c r="P151" i="33"/>
  <c r="R151" i="33"/>
  <c r="P13" i="33"/>
  <c r="R13" i="33"/>
  <c r="P15" i="33"/>
  <c r="R15" i="33"/>
  <c r="P14" i="33"/>
  <c r="R14" i="33"/>
  <c r="W53" i="2"/>
  <c r="AA53" i="2"/>
  <c r="AE53" i="2"/>
  <c r="W24" i="2"/>
  <c r="AA24" i="2"/>
  <c r="AE24" i="2"/>
  <c r="W220" i="2"/>
  <c r="AA220" i="2"/>
  <c r="AE220" i="2"/>
  <c r="W110" i="2"/>
  <c r="AA110" i="2"/>
  <c r="AE110" i="2"/>
  <c r="W81" i="2"/>
  <c r="AE81" i="2"/>
  <c r="AA81" i="2"/>
  <c r="L140" i="33"/>
  <c r="N140" i="33"/>
  <c r="L147" i="33"/>
  <c r="N147" i="33"/>
  <c r="L5" i="33"/>
  <c r="N5" i="33"/>
  <c r="P5" i="33"/>
  <c r="R5" i="33"/>
  <c r="L146" i="33"/>
  <c r="N146" i="33"/>
  <c r="L144" i="33"/>
  <c r="N144" i="33"/>
  <c r="N141" i="33"/>
  <c r="L141" i="33"/>
  <c r="L143" i="33"/>
  <c r="N143" i="33"/>
  <c r="L4" i="33"/>
  <c r="N4" i="33"/>
  <c r="P4" i="33"/>
  <c r="R4" i="33"/>
  <c r="L3" i="33"/>
  <c r="N3" i="33"/>
  <c r="P3" i="33"/>
  <c r="R3" i="33"/>
  <c r="L149" i="33"/>
  <c r="N149" i="33"/>
  <c r="L13" i="33"/>
  <c r="N13" i="33"/>
  <c r="L150" i="33"/>
  <c r="N150" i="33"/>
  <c r="N151" i="33"/>
  <c r="L151" i="33"/>
  <c r="N15" i="33"/>
  <c r="L15" i="33"/>
  <c r="N14" i="33"/>
  <c r="L14" i="33"/>
  <c r="M35" i="39"/>
  <c r="O35" i="39"/>
  <c r="Q35" i="39"/>
  <c r="M38" i="39"/>
  <c r="O38" i="39"/>
  <c r="Q38" i="39"/>
  <c r="M50" i="39"/>
  <c r="O50" i="39"/>
  <c r="Q50" i="39"/>
  <c r="Q30" i="39"/>
  <c r="M30" i="39"/>
  <c r="O30" i="39"/>
  <c r="Q17" i="39"/>
  <c r="M17" i="39"/>
  <c r="O17" i="39"/>
  <c r="M12" i="39"/>
  <c r="O12" i="39"/>
  <c r="Q12" i="39"/>
  <c r="O31" i="39"/>
  <c r="Q31" i="39"/>
  <c r="M31" i="39"/>
  <c r="M16" i="39"/>
  <c r="O16" i="39"/>
  <c r="Q16" i="39"/>
  <c r="M36" i="39"/>
  <c r="O36" i="39"/>
  <c r="Q36" i="39"/>
  <c r="M15" i="39"/>
  <c r="O15" i="39"/>
  <c r="Q15" i="39"/>
  <c r="O43" i="39"/>
  <c r="Q43" i="39"/>
  <c r="M43" i="39"/>
  <c r="M34" i="39"/>
  <c r="O34" i="39"/>
  <c r="Q34" i="39"/>
  <c r="M28" i="39"/>
  <c r="O28" i="39"/>
  <c r="Q28" i="39"/>
  <c r="M48" i="39"/>
  <c r="O48" i="39"/>
  <c r="Q48" i="39"/>
  <c r="M25" i="39"/>
  <c r="O25" i="39"/>
  <c r="Q25" i="39"/>
  <c r="M40" i="39"/>
  <c r="O40" i="39"/>
  <c r="Q40" i="39"/>
  <c r="M39" i="39"/>
  <c r="O39" i="39"/>
  <c r="Q39" i="39"/>
  <c r="O32" i="39"/>
  <c r="Q32" i="39"/>
  <c r="M32" i="39"/>
  <c r="O20" i="39"/>
  <c r="Q20" i="39"/>
  <c r="M20" i="39"/>
  <c r="Q29" i="39"/>
  <c r="M29" i="39"/>
  <c r="O29" i="39"/>
  <c r="O19" i="39"/>
  <c r="Q19" i="39"/>
  <c r="M19" i="39"/>
  <c r="M26" i="39"/>
  <c r="O26" i="39"/>
  <c r="Q26" i="39"/>
  <c r="M13" i="39"/>
  <c r="O13" i="39"/>
  <c r="Q13" i="39"/>
  <c r="O7" i="39"/>
  <c r="Q7" i="39"/>
  <c r="M7" i="39"/>
  <c r="M27" i="39"/>
  <c r="O27" i="39"/>
  <c r="Q27" i="39"/>
  <c r="M45" i="39"/>
  <c r="O45" i="39"/>
  <c r="Q45" i="39"/>
  <c r="M11" i="39"/>
  <c r="O11" i="39"/>
  <c r="Q11" i="39"/>
  <c r="M23" i="39"/>
  <c r="O23" i="39"/>
  <c r="Q23" i="39"/>
  <c r="M21" i="39"/>
  <c r="O21" i="39"/>
  <c r="Q21" i="39"/>
  <c r="M33" i="39"/>
  <c r="O33" i="39"/>
  <c r="Q33" i="39"/>
  <c r="M14" i="39"/>
  <c r="O14" i="39"/>
  <c r="Q14" i="39"/>
  <c r="M37" i="39"/>
  <c r="O37" i="39"/>
  <c r="Q37" i="39"/>
  <c r="M49" i="39"/>
  <c r="O49" i="39"/>
  <c r="Q49" i="39"/>
  <c r="Q6" i="39"/>
  <c r="M6" i="39"/>
  <c r="O6" i="39"/>
  <c r="M47" i="39"/>
  <c r="O47" i="39"/>
  <c r="Q47" i="39"/>
  <c r="Q41" i="39"/>
  <c r="M41" i="39"/>
  <c r="O41" i="39"/>
  <c r="M10" i="39"/>
  <c r="O10" i="39"/>
  <c r="Q10" i="39"/>
  <c r="M22" i="39"/>
  <c r="O22" i="39"/>
  <c r="Q22" i="39"/>
  <c r="M46" i="39"/>
  <c r="O46" i="39"/>
  <c r="Q46" i="39"/>
  <c r="M24" i="39"/>
  <c r="O24" i="39"/>
  <c r="Q24" i="39"/>
  <c r="Q18" i="39"/>
  <c r="M18" i="39"/>
  <c r="O18" i="39"/>
  <c r="Q42" i="39"/>
  <c r="M42" i="39"/>
  <c r="O42" i="39"/>
  <c r="O44" i="39"/>
  <c r="Q44" i="39"/>
  <c r="M44" i="39"/>
  <c r="R248" i="2"/>
  <c r="V248" i="2"/>
  <c r="Z248" i="2"/>
  <c r="AD248" i="2"/>
  <c r="R25" i="2"/>
  <c r="AD25" i="2"/>
  <c r="Z25" i="2"/>
  <c r="V25" i="2"/>
  <c r="R305" i="2"/>
  <c r="AD305" i="2"/>
  <c r="Z305" i="2"/>
  <c r="V305" i="2"/>
  <c r="R84" i="2"/>
  <c r="V84" i="2"/>
  <c r="AD84" i="2"/>
  <c r="Z84" i="2"/>
  <c r="R75" i="2"/>
  <c r="AD75" i="2"/>
  <c r="Z75" i="2"/>
  <c r="V75" i="2"/>
  <c r="R286" i="2"/>
  <c r="AD286" i="2"/>
  <c r="Z286" i="2"/>
  <c r="V286" i="2"/>
  <c r="R104" i="2"/>
  <c r="AD104" i="2"/>
  <c r="Z104" i="2"/>
  <c r="V104" i="2"/>
  <c r="R295" i="2"/>
  <c r="V295" i="2"/>
  <c r="AD295" i="2"/>
  <c r="Z295" i="2"/>
  <c r="R164" i="2"/>
  <c r="V164" i="2"/>
  <c r="Z164" i="2"/>
  <c r="AD164" i="2"/>
  <c r="R262" i="2"/>
  <c r="Z262" i="2"/>
  <c r="AD262" i="2"/>
  <c r="V262" i="2"/>
  <c r="R325" i="2"/>
  <c r="AD325" i="2"/>
  <c r="Z325" i="2"/>
  <c r="V325" i="2"/>
  <c r="R68" i="2"/>
  <c r="Z68" i="2"/>
  <c r="AD68" i="2"/>
  <c r="V68" i="2"/>
  <c r="R335" i="2"/>
  <c r="AD335" i="2"/>
  <c r="V335" i="2"/>
  <c r="Z335" i="2"/>
  <c r="R116" i="2"/>
  <c r="Z116" i="2"/>
  <c r="V116" i="2"/>
  <c r="AD116" i="2"/>
  <c r="R237" i="2"/>
  <c r="Z237" i="2"/>
  <c r="V237" i="2"/>
  <c r="AD237" i="2"/>
  <c r="R308" i="2"/>
  <c r="V308" i="2"/>
  <c r="AD308" i="2"/>
  <c r="Z308" i="2"/>
  <c r="R13" i="2"/>
  <c r="AD13" i="2"/>
  <c r="Z13" i="2"/>
  <c r="V13" i="2"/>
  <c r="R118" i="2"/>
  <c r="Z118" i="2"/>
  <c r="AD118" i="2"/>
  <c r="V118" i="2"/>
  <c r="R183" i="2"/>
  <c r="Z183" i="2"/>
  <c r="AD183" i="2"/>
  <c r="V183" i="2"/>
  <c r="R328" i="2"/>
  <c r="Z328" i="2"/>
  <c r="AD328" i="2"/>
  <c r="V328" i="2"/>
  <c r="R137" i="2"/>
  <c r="AD137" i="2"/>
  <c r="Z137" i="2"/>
  <c r="V137" i="2"/>
  <c r="R131" i="2"/>
  <c r="Z131" i="2"/>
  <c r="AD131" i="2"/>
  <c r="V131" i="2"/>
  <c r="R318" i="2"/>
  <c r="Z318" i="2"/>
  <c r="V318" i="2"/>
  <c r="AD318" i="2"/>
  <c r="R174" i="2"/>
  <c r="AD174" i="2"/>
  <c r="Z174" i="2"/>
  <c r="V174" i="2"/>
  <c r="R323" i="2"/>
  <c r="AD323" i="2"/>
  <c r="Z323" i="2"/>
  <c r="V323" i="2"/>
  <c r="R169" i="2"/>
  <c r="AD169" i="2"/>
  <c r="Z169" i="2"/>
  <c r="V169" i="2"/>
  <c r="R327" i="2"/>
  <c r="Z327" i="2"/>
  <c r="AD327" i="2"/>
  <c r="V327" i="2"/>
  <c r="R306" i="2"/>
  <c r="AD306" i="2"/>
  <c r="Z306" i="2"/>
  <c r="V306" i="2"/>
  <c r="R146" i="2"/>
  <c r="Z146" i="2"/>
  <c r="V146" i="2"/>
  <c r="AD146" i="2"/>
  <c r="R326" i="2"/>
  <c r="Z326" i="2"/>
  <c r="AD326" i="2"/>
  <c r="V326" i="2"/>
  <c r="R103" i="2"/>
  <c r="AD103" i="2"/>
  <c r="Z103" i="2"/>
  <c r="V103" i="2"/>
  <c r="R309" i="2"/>
  <c r="AD309" i="2"/>
  <c r="V309" i="2"/>
  <c r="Z309" i="2"/>
  <c r="R311" i="2"/>
  <c r="AD311" i="2"/>
  <c r="Z311" i="2"/>
  <c r="V311" i="2"/>
  <c r="R11" i="2"/>
  <c r="Z11" i="2"/>
  <c r="AD11" i="2"/>
  <c r="V11" i="2"/>
  <c r="R215" i="2"/>
  <c r="V215" i="2"/>
  <c r="AD215" i="2"/>
  <c r="Z215" i="2"/>
  <c r="R209" i="2"/>
  <c r="AD209" i="2"/>
  <c r="Z209" i="2"/>
  <c r="V209" i="2"/>
  <c r="R194" i="2"/>
  <c r="Z194" i="2"/>
  <c r="AD194" i="2"/>
  <c r="V194" i="2"/>
  <c r="R216" i="2"/>
  <c r="V216" i="2"/>
  <c r="AD216" i="2"/>
  <c r="Z216" i="2"/>
  <c r="R120" i="2"/>
  <c r="Z120" i="2"/>
  <c r="V120" i="2"/>
  <c r="AD120" i="2"/>
  <c r="R73" i="2"/>
  <c r="AD73" i="2"/>
  <c r="V73" i="2"/>
  <c r="Z73" i="2"/>
  <c r="R336" i="2"/>
  <c r="AD336" i="2"/>
  <c r="Z336" i="2"/>
  <c r="V336" i="2"/>
  <c r="R166" i="2"/>
  <c r="V166" i="2"/>
  <c r="AD166" i="2"/>
  <c r="Z166" i="2"/>
  <c r="R27" i="2"/>
  <c r="Z27" i="2"/>
  <c r="AD27" i="2"/>
  <c r="V27" i="2"/>
  <c r="R76" i="2"/>
  <c r="AD76" i="2"/>
  <c r="Z76" i="2"/>
  <c r="V76" i="2"/>
  <c r="R275" i="2"/>
  <c r="Z275" i="2"/>
  <c r="AD275" i="2"/>
  <c r="V275" i="2"/>
  <c r="R145" i="2"/>
  <c r="Z145" i="2"/>
  <c r="AD145" i="2"/>
  <c r="V145" i="2"/>
  <c r="R143" i="2"/>
  <c r="AD143" i="2"/>
  <c r="Z143" i="2"/>
  <c r="V143" i="2"/>
  <c r="R293" i="2"/>
  <c r="AD293" i="2"/>
  <c r="Z293" i="2"/>
  <c r="V293" i="2"/>
  <c r="R157" i="2"/>
  <c r="Z157" i="2"/>
  <c r="AD157" i="2"/>
  <c r="V157" i="2"/>
  <c r="R279" i="2"/>
  <c r="AD279" i="2"/>
  <c r="V279" i="2"/>
  <c r="Z279" i="2"/>
  <c r="R147" i="2"/>
  <c r="Z147" i="2"/>
  <c r="V147" i="2"/>
  <c r="AD147" i="2"/>
  <c r="R80" i="2"/>
  <c r="Z80" i="2"/>
  <c r="V80" i="2"/>
  <c r="AD80" i="2"/>
  <c r="R274" i="2"/>
  <c r="Z274" i="2"/>
  <c r="AD274" i="2"/>
  <c r="V274" i="2"/>
  <c r="R133" i="2"/>
  <c r="Z133" i="2"/>
  <c r="AD133" i="2"/>
  <c r="V133" i="2"/>
  <c r="R280" i="2"/>
  <c r="AD280" i="2"/>
  <c r="V280" i="2"/>
  <c r="Z280" i="2"/>
  <c r="R165" i="2"/>
  <c r="V165" i="2"/>
  <c r="Z165" i="2"/>
  <c r="AD165" i="2"/>
  <c r="R332" i="2"/>
  <c r="AD332" i="2"/>
  <c r="V332" i="2"/>
  <c r="Z332" i="2"/>
  <c r="R238" i="2"/>
  <c r="Z238" i="2"/>
  <c r="V238" i="2"/>
  <c r="AD238" i="2"/>
  <c r="R5" i="2"/>
  <c r="AD5" i="2"/>
  <c r="Z5" i="2"/>
  <c r="V5" i="2"/>
  <c r="R228" i="2"/>
  <c r="AD228" i="2"/>
  <c r="V228" i="2"/>
  <c r="Z228" i="2"/>
  <c r="R221" i="2"/>
  <c r="AD221" i="2"/>
  <c r="Z221" i="2"/>
  <c r="V221" i="2"/>
  <c r="R201" i="2"/>
  <c r="AD201" i="2"/>
  <c r="Z201" i="2"/>
  <c r="V201" i="2"/>
  <c r="R223" i="2"/>
  <c r="AD223" i="2"/>
  <c r="Z223" i="2"/>
  <c r="V223" i="2"/>
  <c r="R208" i="2"/>
  <c r="V208" i="2"/>
  <c r="AD208" i="2"/>
  <c r="Z208" i="2"/>
  <c r="R57" i="2"/>
  <c r="AD57" i="2"/>
  <c r="V57" i="2"/>
  <c r="Z57" i="2"/>
  <c r="R41" i="2"/>
  <c r="AD41" i="2"/>
  <c r="Z41" i="2"/>
  <c r="V41" i="2"/>
  <c r="R200" i="2"/>
  <c r="AD200" i="2"/>
  <c r="Z200" i="2"/>
  <c r="V200" i="2"/>
  <c r="R193" i="2"/>
  <c r="Z193" i="2"/>
  <c r="AD193" i="2"/>
  <c r="V193" i="2"/>
  <c r="R222" i="2"/>
  <c r="AD222" i="2"/>
  <c r="Z222" i="2"/>
  <c r="V222" i="2"/>
  <c r="R226" i="2"/>
  <c r="Z226" i="2"/>
  <c r="AD226" i="2"/>
  <c r="V226" i="2"/>
  <c r="R26" i="2"/>
  <c r="Z26" i="2"/>
  <c r="AD26" i="2"/>
  <c r="V26" i="2"/>
  <c r="R268" i="2"/>
  <c r="V268" i="2"/>
  <c r="AD268" i="2"/>
  <c r="Z268" i="2"/>
  <c r="R132" i="2"/>
  <c r="Z132" i="2"/>
  <c r="AD132" i="2"/>
  <c r="V132" i="2"/>
  <c r="R245" i="2"/>
  <c r="AD245" i="2"/>
  <c r="Z245" i="2"/>
  <c r="V245" i="2"/>
  <c r="R122" i="2"/>
  <c r="AD122" i="2"/>
  <c r="Z122" i="2"/>
  <c r="V122" i="2"/>
  <c r="R83" i="2"/>
  <c r="AD83" i="2"/>
  <c r="V83" i="2"/>
  <c r="Z83" i="2"/>
  <c r="R141" i="2"/>
  <c r="AD141" i="2"/>
  <c r="Z141" i="2"/>
  <c r="V141" i="2"/>
  <c r="R300" i="2"/>
  <c r="V300" i="2"/>
  <c r="Z300" i="2"/>
  <c r="AD300" i="2"/>
  <c r="R107" i="2"/>
  <c r="AD107" i="2"/>
  <c r="Z107" i="2"/>
  <c r="V107" i="2"/>
  <c r="R99" i="2"/>
  <c r="V99" i="2"/>
  <c r="AD99" i="2"/>
  <c r="Z99" i="2"/>
  <c r="R316" i="2"/>
  <c r="Z316" i="2"/>
  <c r="V316" i="2"/>
  <c r="AD316" i="2"/>
  <c r="R284" i="2"/>
  <c r="AD284" i="2"/>
  <c r="V284" i="2"/>
  <c r="Z284" i="2"/>
  <c r="R297" i="2"/>
  <c r="AD297" i="2"/>
  <c r="V297" i="2"/>
  <c r="Z297" i="2"/>
  <c r="R299" i="2"/>
  <c r="AD299" i="2"/>
  <c r="Z299" i="2"/>
  <c r="V299" i="2"/>
  <c r="R61" i="2"/>
  <c r="AD61" i="2"/>
  <c r="V61" i="2"/>
  <c r="Z61" i="2"/>
  <c r="R236" i="2"/>
  <c r="Z236" i="2"/>
  <c r="AD236" i="2"/>
  <c r="V236" i="2"/>
  <c r="R95" i="2"/>
  <c r="Z95" i="2"/>
  <c r="V95" i="2"/>
  <c r="AD95" i="2"/>
  <c r="R257" i="2"/>
  <c r="AD257" i="2"/>
  <c r="Z257" i="2"/>
  <c r="V257" i="2"/>
  <c r="R172" i="2"/>
  <c r="AD172" i="2"/>
  <c r="Z172" i="2"/>
  <c r="V172" i="2"/>
  <c r="R281" i="2"/>
  <c r="AD281" i="2"/>
  <c r="Z281" i="2"/>
  <c r="V281" i="2"/>
  <c r="R14" i="2"/>
  <c r="AD14" i="2"/>
  <c r="Z14" i="2"/>
  <c r="V14" i="2"/>
  <c r="R10" i="2"/>
  <c r="AD10" i="2"/>
  <c r="Z10" i="2"/>
  <c r="V10" i="2"/>
  <c r="R180" i="2"/>
  <c r="Z180" i="2"/>
  <c r="AD180" i="2"/>
  <c r="V180" i="2"/>
  <c r="R179" i="2"/>
  <c r="V179" i="2"/>
  <c r="AD179" i="2"/>
  <c r="Z179" i="2"/>
  <c r="R94" i="2"/>
  <c r="Z94" i="2"/>
  <c r="AD94" i="2"/>
  <c r="V94" i="2"/>
  <c r="R233" i="2"/>
  <c r="AD233" i="2"/>
  <c r="Z233" i="2"/>
  <c r="V233" i="2"/>
  <c r="R74" i="2"/>
  <c r="AD74" i="2"/>
  <c r="V74" i="2"/>
  <c r="Z74" i="2"/>
  <c r="R127" i="2"/>
  <c r="AD127" i="2"/>
  <c r="V127" i="2"/>
  <c r="Z127" i="2"/>
  <c r="R337" i="2"/>
  <c r="AD337" i="2"/>
  <c r="Z337" i="2"/>
  <c r="V337" i="2"/>
  <c r="R110" i="2"/>
  <c r="V110" i="2"/>
  <c r="Z110" i="2"/>
  <c r="AD110" i="2"/>
  <c r="R91" i="2"/>
  <c r="AD91" i="2"/>
  <c r="Z91" i="2"/>
  <c r="V91" i="2"/>
  <c r="R276" i="2"/>
  <c r="Z276" i="2"/>
  <c r="AD276" i="2"/>
  <c r="V276" i="2"/>
  <c r="R246" i="2"/>
  <c r="AD246" i="2"/>
  <c r="Z246" i="2"/>
  <c r="V246" i="2"/>
  <c r="R338" i="2"/>
  <c r="AD338" i="2"/>
  <c r="Z338" i="2"/>
  <c r="V338" i="2"/>
  <c r="R312" i="2"/>
  <c r="AD312" i="2"/>
  <c r="Z312" i="2"/>
  <c r="V312" i="2"/>
  <c r="R85" i="2"/>
  <c r="V85" i="2"/>
  <c r="AD85" i="2"/>
  <c r="Z85" i="2"/>
  <c r="R277" i="2"/>
  <c r="Z277" i="2"/>
  <c r="V277" i="2"/>
  <c r="AD277" i="2"/>
  <c r="R93" i="2"/>
  <c r="Z93" i="2"/>
  <c r="AD93" i="2"/>
  <c r="V93" i="2"/>
  <c r="R282" i="2"/>
  <c r="V282" i="2"/>
  <c r="AD282" i="2"/>
  <c r="Z282" i="2"/>
  <c r="R333" i="2"/>
  <c r="V333" i="2"/>
  <c r="AD333" i="2"/>
  <c r="Z333" i="2"/>
  <c r="R339" i="2"/>
  <c r="V339" i="2"/>
  <c r="AD339" i="2"/>
  <c r="Z339" i="2"/>
  <c r="R3" i="2"/>
  <c r="AD3" i="2"/>
  <c r="Z3" i="2"/>
  <c r="V3" i="2"/>
  <c r="R20" i="2"/>
  <c r="V20" i="2"/>
  <c r="AD20" i="2"/>
  <c r="Z20" i="2"/>
  <c r="R214" i="2"/>
  <c r="AD214" i="2"/>
  <c r="V214" i="2"/>
  <c r="Z214" i="2"/>
  <c r="R34" i="2"/>
  <c r="V34" i="2"/>
  <c r="Z34" i="2"/>
  <c r="AD34" i="2"/>
  <c r="R211" i="2"/>
  <c r="AD211" i="2"/>
  <c r="Z211" i="2"/>
  <c r="V211" i="2"/>
  <c r="R138" i="2"/>
  <c r="AD138" i="2"/>
  <c r="V138" i="2"/>
  <c r="Z138" i="2"/>
  <c r="R170" i="2"/>
  <c r="Z170" i="2"/>
  <c r="AD170" i="2"/>
  <c r="V170" i="2"/>
  <c r="R347" i="2"/>
  <c r="AD347" i="2"/>
  <c r="V347" i="2"/>
  <c r="Z347" i="2"/>
  <c r="R330" i="2"/>
  <c r="Z330" i="2"/>
  <c r="V330" i="2"/>
  <c r="AD330" i="2"/>
  <c r="R71" i="2"/>
  <c r="V71" i="2"/>
  <c r="AD71" i="2"/>
  <c r="Z71" i="2"/>
  <c r="R310" i="2"/>
  <c r="AD310" i="2"/>
  <c r="Z310" i="2"/>
  <c r="V310" i="2"/>
  <c r="R139" i="2"/>
  <c r="AD139" i="2"/>
  <c r="V139" i="2"/>
  <c r="Z139" i="2"/>
  <c r="R307" i="2"/>
  <c r="AD307" i="2"/>
  <c r="Z307" i="2"/>
  <c r="V307" i="2"/>
  <c r="R102" i="2"/>
  <c r="AD102" i="2"/>
  <c r="Z102" i="2"/>
  <c r="V102" i="2"/>
  <c r="R259" i="2"/>
  <c r="AD259" i="2"/>
  <c r="Z259" i="2"/>
  <c r="V259" i="2"/>
  <c r="R340" i="2"/>
  <c r="Z340" i="2"/>
  <c r="AD340" i="2"/>
  <c r="V340" i="2"/>
  <c r="R317" i="2"/>
  <c r="AD317" i="2"/>
  <c r="Z317" i="2"/>
  <c r="V317" i="2"/>
  <c r="R12" i="2"/>
  <c r="AD12" i="2"/>
  <c r="Z12" i="2"/>
  <c r="V12" i="2"/>
  <c r="R16" i="2"/>
  <c r="AD16" i="2"/>
  <c r="Z16" i="2"/>
  <c r="V16" i="2"/>
  <c r="R30" i="2"/>
  <c r="AD30" i="2"/>
  <c r="Z30" i="2"/>
  <c r="V30" i="2"/>
  <c r="R302" i="2"/>
  <c r="Z302" i="2"/>
  <c r="V302" i="2"/>
  <c r="AD302" i="2"/>
  <c r="R56" i="2"/>
  <c r="Z56" i="2"/>
  <c r="AD56" i="2"/>
  <c r="V56" i="2"/>
  <c r="R82" i="2"/>
  <c r="Z82" i="2"/>
  <c r="V82" i="2"/>
  <c r="AD82" i="2"/>
  <c r="R188" i="2"/>
  <c r="AD188" i="2"/>
  <c r="V188" i="2"/>
  <c r="Z188" i="2"/>
  <c r="R63" i="2"/>
  <c r="AD63" i="2"/>
  <c r="Z63" i="2"/>
  <c r="V63" i="2"/>
  <c r="R114" i="2"/>
  <c r="V114" i="2"/>
  <c r="Z114" i="2"/>
  <c r="AD114" i="2"/>
  <c r="R42" i="2"/>
  <c r="AD42" i="2"/>
  <c r="Z42" i="2"/>
  <c r="V42" i="2"/>
  <c r="R227" i="2"/>
  <c r="AD227" i="2"/>
  <c r="V227" i="2"/>
  <c r="Z227" i="2"/>
  <c r="R86" i="2"/>
  <c r="V86" i="2"/>
  <c r="AD86" i="2"/>
  <c r="Z86" i="2"/>
  <c r="R89" i="2"/>
  <c r="AD89" i="2"/>
  <c r="Z89" i="2"/>
  <c r="V89" i="2"/>
  <c r="R321" i="2"/>
  <c r="V321" i="2"/>
  <c r="AD321" i="2"/>
  <c r="Z321" i="2"/>
  <c r="R156" i="2"/>
  <c r="AD156" i="2"/>
  <c r="V156" i="2"/>
  <c r="Z156" i="2"/>
  <c r="R168" i="2"/>
  <c r="Z168" i="2"/>
  <c r="AD168" i="2"/>
  <c r="V168" i="2"/>
  <c r="R23" i="2"/>
  <c r="Z23" i="2"/>
  <c r="AD23" i="2"/>
  <c r="V23" i="2"/>
  <c r="R272" i="2"/>
  <c r="AD272" i="2"/>
  <c r="Z272" i="2"/>
  <c r="V272" i="2"/>
  <c r="R72" i="2"/>
  <c r="V72" i="2"/>
  <c r="AD72" i="2"/>
  <c r="Z72" i="2"/>
  <c r="R247" i="2"/>
  <c r="AD247" i="2"/>
  <c r="Z247" i="2"/>
  <c r="V247" i="2"/>
  <c r="R105" i="2"/>
  <c r="Z105" i="2"/>
  <c r="AD105" i="2"/>
  <c r="V105" i="2"/>
  <c r="R345" i="2"/>
  <c r="V345" i="2"/>
  <c r="AD345" i="2"/>
  <c r="Z345" i="2"/>
  <c r="R175" i="2"/>
  <c r="AD175" i="2"/>
  <c r="Z175" i="2"/>
  <c r="V175" i="2"/>
  <c r="R77" i="2"/>
  <c r="AD77" i="2"/>
  <c r="Z77" i="2"/>
  <c r="V77" i="2"/>
  <c r="R292" i="2"/>
  <c r="AD292" i="2"/>
  <c r="V292" i="2"/>
  <c r="Z292" i="2"/>
  <c r="R235" i="2"/>
  <c r="AD235" i="2"/>
  <c r="V235" i="2"/>
  <c r="Z235" i="2"/>
  <c r="R17" i="2"/>
  <c r="AD17" i="2"/>
  <c r="Z17" i="2"/>
  <c r="V17" i="2"/>
  <c r="R6" i="2"/>
  <c r="AD6" i="2"/>
  <c r="V6" i="2"/>
  <c r="Z6" i="2"/>
  <c r="R59" i="2"/>
  <c r="AD59" i="2"/>
  <c r="V59" i="2"/>
  <c r="Z59" i="2"/>
  <c r="R160" i="2"/>
  <c r="AD160" i="2"/>
  <c r="Z160" i="2"/>
  <c r="V160" i="2"/>
  <c r="R50" i="2"/>
  <c r="AD50" i="2"/>
  <c r="Z50" i="2"/>
  <c r="V50" i="2"/>
  <c r="R65" i="2"/>
  <c r="AD65" i="2"/>
  <c r="Z65" i="2"/>
  <c r="V65" i="2"/>
  <c r="R58" i="2"/>
  <c r="AD58" i="2"/>
  <c r="V58" i="2"/>
  <c r="Z58" i="2"/>
  <c r="R49" i="2"/>
  <c r="Z49" i="2"/>
  <c r="AD49" i="2"/>
  <c r="V49" i="2"/>
  <c r="R265" i="2"/>
  <c r="Z265" i="2"/>
  <c r="AD265" i="2"/>
  <c r="V265" i="2"/>
  <c r="R207" i="2"/>
  <c r="Z207" i="2"/>
  <c r="V207" i="2"/>
  <c r="AD207" i="2"/>
  <c r="R55" i="2"/>
  <c r="AD55" i="2"/>
  <c r="Z55" i="2"/>
  <c r="V55" i="2"/>
  <c r="R217" i="2"/>
  <c r="V217" i="2"/>
  <c r="AD217" i="2"/>
  <c r="Z217" i="2"/>
  <c r="R290" i="2"/>
  <c r="Z290" i="2"/>
  <c r="V290" i="2"/>
  <c r="AD290" i="2"/>
  <c r="R258" i="2"/>
  <c r="AD258" i="2"/>
  <c r="Z258" i="2"/>
  <c r="V258" i="2"/>
  <c r="R163" i="2"/>
  <c r="AD163" i="2"/>
  <c r="V163" i="2"/>
  <c r="Z163" i="2"/>
  <c r="R54" i="2"/>
  <c r="Z54" i="2"/>
  <c r="AD54" i="2"/>
  <c r="V54" i="2"/>
  <c r="R203" i="2"/>
  <c r="V203" i="2"/>
  <c r="AD203" i="2"/>
  <c r="Z203" i="2"/>
  <c r="R348" i="2"/>
  <c r="AD348" i="2"/>
  <c r="V348" i="2"/>
  <c r="Z348" i="2"/>
  <c r="R98" i="2"/>
  <c r="V98" i="2"/>
  <c r="AD98" i="2"/>
  <c r="Z98" i="2"/>
  <c r="R206" i="2"/>
  <c r="Z206" i="2"/>
  <c r="V206" i="2"/>
  <c r="AD206" i="2"/>
  <c r="R53" i="2"/>
  <c r="AD53" i="2"/>
  <c r="Z53" i="2"/>
  <c r="V53" i="2"/>
  <c r="R35" i="2"/>
  <c r="V35" i="2"/>
  <c r="AD35" i="2"/>
  <c r="Z35" i="2"/>
  <c r="R186" i="2"/>
  <c r="AD186" i="2"/>
  <c r="Z186" i="2"/>
  <c r="V186" i="2"/>
  <c r="R191" i="2"/>
  <c r="V191" i="2"/>
  <c r="AD191" i="2"/>
  <c r="Z191" i="2"/>
  <c r="R212" i="2"/>
  <c r="Z212" i="2"/>
  <c r="V212" i="2"/>
  <c r="AD212" i="2"/>
  <c r="R220" i="2"/>
  <c r="Z220" i="2"/>
  <c r="V220" i="2"/>
  <c r="AD220" i="2"/>
  <c r="R129" i="2"/>
  <c r="AD129" i="2"/>
  <c r="Z129" i="2"/>
  <c r="V129" i="2"/>
  <c r="R346" i="2"/>
  <c r="V346" i="2"/>
  <c r="AD346" i="2"/>
  <c r="Z346" i="2"/>
  <c r="R154" i="2"/>
  <c r="AD154" i="2"/>
  <c r="Z154" i="2"/>
  <c r="V154" i="2"/>
  <c r="R28" i="2"/>
  <c r="AD28" i="2"/>
  <c r="Z28" i="2"/>
  <c r="V28" i="2"/>
  <c r="R287" i="2"/>
  <c r="AD287" i="2"/>
  <c r="V287" i="2"/>
  <c r="Z287" i="2"/>
  <c r="R100" i="2"/>
  <c r="AD100" i="2"/>
  <c r="V100" i="2"/>
  <c r="Z100" i="2"/>
  <c r="R173" i="2"/>
  <c r="AD173" i="2"/>
  <c r="Z173" i="2"/>
  <c r="V173" i="2"/>
  <c r="R264" i="2"/>
  <c r="Z264" i="2"/>
  <c r="V264" i="2"/>
  <c r="AD264" i="2"/>
  <c r="R119" i="2"/>
  <c r="Z119" i="2"/>
  <c r="AD119" i="2"/>
  <c r="V119" i="2"/>
  <c r="R225" i="2"/>
  <c r="Z225" i="2"/>
  <c r="AD225" i="2"/>
  <c r="V225" i="2"/>
  <c r="R81" i="2"/>
  <c r="Z81" i="2"/>
  <c r="AD81" i="2"/>
  <c r="V81" i="2"/>
  <c r="R291" i="2"/>
  <c r="Z291" i="2"/>
  <c r="AD291" i="2"/>
  <c r="V291" i="2"/>
  <c r="R67" i="2"/>
  <c r="AD67" i="2"/>
  <c r="Z67" i="2"/>
  <c r="V67" i="2"/>
  <c r="R273" i="2"/>
  <c r="AD273" i="2"/>
  <c r="Z273" i="2"/>
  <c r="V273" i="2"/>
  <c r="R108" i="2"/>
  <c r="AD108" i="2"/>
  <c r="Z108" i="2"/>
  <c r="V108" i="2"/>
  <c r="R315" i="2"/>
  <c r="Z315" i="2"/>
  <c r="V315" i="2"/>
  <c r="AD315" i="2"/>
  <c r="R171" i="2"/>
  <c r="Z171" i="2"/>
  <c r="AD171" i="2"/>
  <c r="V171" i="2"/>
  <c r="R62" i="2"/>
  <c r="Z62" i="2"/>
  <c r="V62" i="2"/>
  <c r="AD62" i="2"/>
  <c r="R260" i="2"/>
  <c r="AD260" i="2"/>
  <c r="Z260" i="2"/>
  <c r="V260" i="2"/>
  <c r="R256" i="2"/>
  <c r="AD256" i="2"/>
  <c r="V256" i="2"/>
  <c r="Z256" i="2"/>
  <c r="R7" i="2"/>
  <c r="AD7" i="2"/>
  <c r="V7" i="2"/>
  <c r="Z7" i="2"/>
  <c r="AD4" i="2"/>
  <c r="V4" i="2"/>
  <c r="Z4" i="2"/>
  <c r="R4" i="2"/>
  <c r="R45" i="2"/>
  <c r="V45" i="2"/>
  <c r="AD45" i="2"/>
  <c r="Z45" i="2"/>
  <c r="R187" i="2"/>
  <c r="AD187" i="2"/>
  <c r="Z187" i="2"/>
  <c r="V187" i="2"/>
  <c r="R161" i="2"/>
  <c r="AD161" i="2"/>
  <c r="Z161" i="2"/>
  <c r="V161" i="2"/>
  <c r="R38" i="2"/>
  <c r="AD38" i="2"/>
  <c r="Z38" i="2"/>
  <c r="V38" i="2"/>
  <c r="R197" i="2"/>
  <c r="AD197" i="2"/>
  <c r="Z197" i="2"/>
  <c r="V197" i="2"/>
  <c r="R136" i="2"/>
  <c r="AD136" i="2"/>
  <c r="V136" i="2"/>
  <c r="Z136" i="2"/>
  <c r="R46" i="2"/>
  <c r="V46" i="2"/>
  <c r="AD46" i="2"/>
  <c r="Z46" i="2"/>
  <c r="R192" i="2"/>
  <c r="V192" i="2"/>
  <c r="AD192" i="2"/>
  <c r="Z192" i="2"/>
  <c r="R219" i="2"/>
  <c r="AD219" i="2"/>
  <c r="Z219" i="2"/>
  <c r="V219" i="2"/>
  <c r="R113" i="2"/>
  <c r="AD113" i="2"/>
  <c r="Z113" i="2"/>
  <c r="V113" i="2"/>
  <c r="R301" i="2"/>
  <c r="Z301" i="2"/>
  <c r="AD301" i="2"/>
  <c r="V301" i="2"/>
  <c r="R242" i="2"/>
  <c r="AD242" i="2"/>
  <c r="V242" i="2"/>
  <c r="Z242" i="2"/>
  <c r="R210" i="2"/>
  <c r="Z210" i="2"/>
  <c r="AD210" i="2"/>
  <c r="V210" i="2"/>
  <c r="R198" i="2"/>
  <c r="Z198" i="2"/>
  <c r="AD198" i="2"/>
  <c r="V198" i="2"/>
  <c r="R224" i="2"/>
  <c r="Z224" i="2"/>
  <c r="AD224" i="2"/>
  <c r="V224" i="2"/>
  <c r="R249" i="2"/>
  <c r="Z249" i="2"/>
  <c r="AD249" i="2"/>
  <c r="V249" i="2"/>
  <c r="R283" i="2"/>
  <c r="AD283" i="2"/>
  <c r="V283" i="2"/>
  <c r="Z283" i="2"/>
  <c r="R126" i="2"/>
  <c r="V126" i="2"/>
  <c r="AD126" i="2"/>
  <c r="Z126" i="2"/>
  <c r="R178" i="2"/>
  <c r="V178" i="2"/>
  <c r="Z178" i="2"/>
  <c r="AD178" i="2"/>
  <c r="R176" i="2"/>
  <c r="V176" i="2"/>
  <c r="Z176" i="2"/>
  <c r="AD176" i="2"/>
  <c r="R36" i="2"/>
  <c r="Z36" i="2"/>
  <c r="AD36" i="2"/>
  <c r="V36" i="2"/>
  <c r="R32" i="2"/>
  <c r="V32" i="2"/>
  <c r="Z32" i="2"/>
  <c r="AD32" i="2"/>
  <c r="R185" i="2"/>
  <c r="AD185" i="2"/>
  <c r="Z185" i="2"/>
  <c r="V185" i="2"/>
  <c r="R199" i="2"/>
  <c r="AD199" i="2"/>
  <c r="Z199" i="2"/>
  <c r="V199" i="2"/>
  <c r="R218" i="2"/>
  <c r="Z218" i="2"/>
  <c r="V218" i="2"/>
  <c r="AD218" i="2"/>
  <c r="R231" i="2"/>
  <c r="AD231" i="2"/>
  <c r="V231" i="2"/>
  <c r="Z231" i="2"/>
  <c r="R142" i="2"/>
  <c r="AD142" i="2"/>
  <c r="Z142" i="2"/>
  <c r="V142" i="2"/>
  <c r="R261" i="2"/>
  <c r="V261" i="2"/>
  <c r="AD261" i="2"/>
  <c r="Z261" i="2"/>
  <c r="R162" i="2"/>
  <c r="V162" i="2"/>
  <c r="AD162" i="2"/>
  <c r="Z162" i="2"/>
  <c r="R60" i="2"/>
  <c r="AD60" i="2"/>
  <c r="V60" i="2"/>
  <c r="Z60" i="2"/>
  <c r="R294" i="2"/>
  <c r="AD294" i="2"/>
  <c r="Z294" i="2"/>
  <c r="V294" i="2"/>
  <c r="R117" i="2"/>
  <c r="Z117" i="2"/>
  <c r="V117" i="2"/>
  <c r="AD117" i="2"/>
  <c r="R167" i="2"/>
  <c r="Z167" i="2"/>
  <c r="AD167" i="2"/>
  <c r="V167" i="2"/>
  <c r="R250" i="2"/>
  <c r="Z250" i="2"/>
  <c r="V250" i="2"/>
  <c r="AD250" i="2"/>
  <c r="R153" i="2"/>
  <c r="V153" i="2"/>
  <c r="AD153" i="2"/>
  <c r="Z153" i="2"/>
  <c r="R148" i="2"/>
  <c r="AD148" i="2"/>
  <c r="Z148" i="2"/>
  <c r="V148" i="2"/>
  <c r="R88" i="2"/>
  <c r="AD88" i="2"/>
  <c r="Z88" i="2"/>
  <c r="V88" i="2"/>
  <c r="R334" i="2"/>
  <c r="V334" i="2"/>
  <c r="AD334" i="2"/>
  <c r="Z334" i="2"/>
  <c r="R134" i="2"/>
  <c r="Z134" i="2"/>
  <c r="AD134" i="2"/>
  <c r="V134" i="2"/>
  <c r="R270" i="2"/>
  <c r="AD270" i="2"/>
  <c r="V270" i="2"/>
  <c r="Z270" i="2"/>
  <c r="R111" i="2"/>
  <c r="V111" i="2"/>
  <c r="AD111" i="2"/>
  <c r="Z111" i="2"/>
  <c r="R320" i="2"/>
  <c r="AD320" i="2"/>
  <c r="Z320" i="2"/>
  <c r="V320" i="2"/>
  <c r="R241" i="2"/>
  <c r="V241" i="2"/>
  <c r="AD241" i="2"/>
  <c r="Z241" i="2"/>
  <c r="R79" i="2"/>
  <c r="AD79" i="2"/>
  <c r="Z79" i="2"/>
  <c r="V79" i="2"/>
  <c r="R296" i="2"/>
  <c r="AD296" i="2"/>
  <c r="V296" i="2"/>
  <c r="Z296" i="2"/>
  <c r="R254" i="2"/>
  <c r="AD254" i="2"/>
  <c r="Z254" i="2"/>
  <c r="V254" i="2"/>
  <c r="R22" i="2"/>
  <c r="V22" i="2"/>
  <c r="AD22" i="2"/>
  <c r="Z22" i="2"/>
  <c r="R9" i="2"/>
  <c r="AD9" i="2"/>
  <c r="V9" i="2"/>
  <c r="Z9" i="2"/>
  <c r="R350" i="2"/>
  <c r="AD350" i="2"/>
  <c r="Z350" i="2"/>
  <c r="V350" i="2"/>
  <c r="R189" i="2"/>
  <c r="V189" i="2"/>
  <c r="AD189" i="2"/>
  <c r="Z189" i="2"/>
  <c r="R150" i="2"/>
  <c r="V150" i="2"/>
  <c r="AD150" i="2"/>
  <c r="Z150" i="2"/>
  <c r="R31" i="2"/>
  <c r="AD31" i="2"/>
  <c r="V31" i="2"/>
  <c r="Z31" i="2"/>
  <c r="R202" i="2"/>
  <c r="V202" i="2"/>
  <c r="AD202" i="2"/>
  <c r="Z202" i="2"/>
  <c r="R251" i="2"/>
  <c r="Z251" i="2"/>
  <c r="V251" i="2"/>
  <c r="AD251" i="2"/>
  <c r="R66" i="2"/>
  <c r="Z66" i="2"/>
  <c r="AD66" i="2"/>
  <c r="V66" i="2"/>
  <c r="R343" i="2"/>
  <c r="Z343" i="2"/>
  <c r="AD343" i="2"/>
  <c r="V343" i="2"/>
  <c r="R155" i="2"/>
  <c r="AD155" i="2"/>
  <c r="Z155" i="2"/>
  <c r="V155" i="2"/>
  <c r="R124" i="2"/>
  <c r="AD124" i="2"/>
  <c r="V124" i="2"/>
  <c r="Z124" i="2"/>
  <c r="R255" i="2"/>
  <c r="V255" i="2"/>
  <c r="AD255" i="2"/>
  <c r="Z255" i="2"/>
  <c r="R329" i="2"/>
  <c r="AD329" i="2"/>
  <c r="Z329" i="2"/>
  <c r="V329" i="2"/>
  <c r="R243" i="2"/>
  <c r="AD243" i="2"/>
  <c r="V243" i="2"/>
  <c r="Z243" i="2"/>
  <c r="R140" i="2"/>
  <c r="AD140" i="2"/>
  <c r="V140" i="2"/>
  <c r="Z140" i="2"/>
  <c r="R303" i="2"/>
  <c r="Z303" i="2"/>
  <c r="V303" i="2"/>
  <c r="AD303" i="2"/>
  <c r="R112" i="2"/>
  <c r="AD112" i="2"/>
  <c r="V112" i="2"/>
  <c r="Z112" i="2"/>
  <c r="R319" i="2"/>
  <c r="AD319" i="2"/>
  <c r="V319" i="2"/>
  <c r="Z319" i="2"/>
  <c r="R158" i="2"/>
  <c r="Z158" i="2"/>
  <c r="V158" i="2"/>
  <c r="AD158" i="2"/>
  <c r="R252" i="2"/>
  <c r="Z252" i="2"/>
  <c r="V252" i="2"/>
  <c r="AD252" i="2"/>
  <c r="R313" i="2"/>
  <c r="V313" i="2"/>
  <c r="AD313" i="2"/>
  <c r="Z313" i="2"/>
  <c r="R128" i="2"/>
  <c r="Z128" i="2"/>
  <c r="AD128" i="2"/>
  <c r="V128" i="2"/>
  <c r="R322" i="2"/>
  <c r="AD322" i="2"/>
  <c r="V322" i="2"/>
  <c r="Z322" i="2"/>
  <c r="R267" i="2"/>
  <c r="AD267" i="2"/>
  <c r="Z267" i="2"/>
  <c r="V267" i="2"/>
  <c r="R19" i="2"/>
  <c r="AD19" i="2"/>
  <c r="V19" i="2"/>
  <c r="Z19" i="2"/>
  <c r="R15" i="2"/>
  <c r="Z15" i="2"/>
  <c r="AD15" i="2"/>
  <c r="V15" i="2"/>
  <c r="R269" i="2"/>
  <c r="AD269" i="2"/>
  <c r="Z269" i="2"/>
  <c r="V269" i="2"/>
  <c r="R70" i="2"/>
  <c r="AD70" i="2"/>
  <c r="Z70" i="2"/>
  <c r="V70" i="2"/>
  <c r="R230" i="2"/>
  <c r="AD230" i="2"/>
  <c r="V230" i="2"/>
  <c r="Z230" i="2"/>
  <c r="R182" i="2"/>
  <c r="AD182" i="2"/>
  <c r="V182" i="2"/>
  <c r="Z182" i="2"/>
  <c r="R48" i="2"/>
  <c r="V48" i="2"/>
  <c r="AD48" i="2"/>
  <c r="Z48" i="2"/>
  <c r="R205" i="2"/>
  <c r="AD205" i="2"/>
  <c r="V205" i="2"/>
  <c r="Z205" i="2"/>
  <c r="R121" i="2"/>
  <c r="AD121" i="2"/>
  <c r="Z121" i="2"/>
  <c r="V121" i="2"/>
  <c r="R37" i="2"/>
  <c r="AD37" i="2"/>
  <c r="Z37" i="2"/>
  <c r="V37" i="2"/>
  <c r="R52" i="2"/>
  <c r="AD52" i="2"/>
  <c r="Z52" i="2"/>
  <c r="V52" i="2"/>
  <c r="R43" i="2"/>
  <c r="AD43" i="2"/>
  <c r="Z43" i="2"/>
  <c r="V43" i="2"/>
  <c r="R184" i="2"/>
  <c r="AD184" i="2"/>
  <c r="Z184" i="2"/>
  <c r="V184" i="2"/>
  <c r="R190" i="2"/>
  <c r="V190" i="2"/>
  <c r="Z190" i="2"/>
  <c r="AD190" i="2"/>
  <c r="R229" i="2"/>
  <c r="AD229" i="2"/>
  <c r="V229" i="2"/>
  <c r="Z229" i="2"/>
  <c r="R109" i="2"/>
  <c r="AD109" i="2"/>
  <c r="Z109" i="2"/>
  <c r="V109" i="2"/>
  <c r="R234" i="2"/>
  <c r="AD234" i="2"/>
  <c r="Z234" i="2"/>
  <c r="V234" i="2"/>
  <c r="R149" i="2"/>
  <c r="AD149" i="2"/>
  <c r="Z149" i="2"/>
  <c r="V149" i="2"/>
  <c r="R130" i="2"/>
  <c r="Z130" i="2"/>
  <c r="V130" i="2"/>
  <c r="AD130" i="2"/>
  <c r="R324" i="2"/>
  <c r="AD324" i="2"/>
  <c r="Z324" i="2"/>
  <c r="V324" i="2"/>
  <c r="R123" i="2"/>
  <c r="V123" i="2"/>
  <c r="AD123" i="2"/>
  <c r="Z123" i="2"/>
  <c r="R152" i="2"/>
  <c r="V152" i="2"/>
  <c r="AD152" i="2"/>
  <c r="Z152" i="2"/>
  <c r="R29" i="2"/>
  <c r="AD29" i="2"/>
  <c r="Z29" i="2"/>
  <c r="V29" i="2"/>
  <c r="R24" i="2"/>
  <c r="Z24" i="2"/>
  <c r="AD24" i="2"/>
  <c r="V24" i="2"/>
  <c r="R288" i="2"/>
  <c r="Z288" i="2"/>
  <c r="AD288" i="2"/>
  <c r="V288" i="2"/>
  <c r="R144" i="2"/>
  <c r="Z144" i="2"/>
  <c r="AD144" i="2"/>
  <c r="V144" i="2"/>
  <c r="R266" i="2"/>
  <c r="AD266" i="2"/>
  <c r="V266" i="2"/>
  <c r="Z266" i="2"/>
  <c r="R96" i="2"/>
  <c r="AD96" i="2"/>
  <c r="Z96" i="2"/>
  <c r="V96" i="2"/>
  <c r="R278" i="2"/>
  <c r="Z278" i="2"/>
  <c r="V278" i="2"/>
  <c r="AD278" i="2"/>
  <c r="R159" i="2"/>
  <c r="Z159" i="2"/>
  <c r="AD159" i="2"/>
  <c r="V159" i="2"/>
  <c r="R87" i="2"/>
  <c r="V87" i="2"/>
  <c r="AD87" i="2"/>
  <c r="Z87" i="2"/>
  <c r="R285" i="2"/>
  <c r="AD285" i="2"/>
  <c r="Z285" i="2"/>
  <c r="V285" i="2"/>
  <c r="R135" i="2"/>
  <c r="AD135" i="2"/>
  <c r="V135" i="2"/>
  <c r="Z135" i="2"/>
  <c r="R244" i="2"/>
  <c r="AD244" i="2"/>
  <c r="V244" i="2"/>
  <c r="Z244" i="2"/>
  <c r="R263" i="2"/>
  <c r="Z263" i="2"/>
  <c r="V263" i="2"/>
  <c r="AD263" i="2"/>
  <c r="R2" i="2"/>
  <c r="V2" i="2"/>
  <c r="AD2" i="2"/>
  <c r="Z2" i="2"/>
  <c r="R8" i="2"/>
  <c r="AD8" i="2"/>
  <c r="V8" i="2"/>
  <c r="Z8" i="2"/>
  <c r="R51" i="2"/>
  <c r="Z51" i="2"/>
  <c r="V51" i="2"/>
  <c r="AD51" i="2"/>
  <c r="R106" i="2"/>
  <c r="AD106" i="2"/>
  <c r="Z106" i="2"/>
  <c r="V106" i="2"/>
  <c r="R47" i="2"/>
  <c r="V47" i="2"/>
  <c r="Z47" i="2"/>
  <c r="AD47" i="2"/>
  <c r="R349" i="2"/>
  <c r="AD349" i="2"/>
  <c r="V349" i="2"/>
  <c r="Z349" i="2"/>
  <c r="R33" i="2"/>
  <c r="V33" i="2"/>
  <c r="AD33" i="2"/>
  <c r="Z33" i="2"/>
  <c r="R196" i="2"/>
  <c r="Z196" i="2"/>
  <c r="AD196" i="2"/>
  <c r="V196" i="2"/>
  <c r="R213" i="2"/>
  <c r="Z213" i="2"/>
  <c r="AD213" i="2"/>
  <c r="V213" i="2"/>
  <c r="R101" i="2"/>
  <c r="AD101" i="2"/>
  <c r="Z101" i="2"/>
  <c r="V101" i="2"/>
  <c r="R177" i="2"/>
  <c r="V177" i="2"/>
  <c r="AD177" i="2"/>
  <c r="Z177" i="2"/>
  <c r="R181" i="2"/>
  <c r="AD181" i="2"/>
  <c r="Z181" i="2"/>
  <c r="V181" i="2"/>
  <c r="R44" i="2"/>
  <c r="AD44" i="2"/>
  <c r="Z44" i="2"/>
  <c r="V44" i="2"/>
  <c r="R40" i="2"/>
  <c r="AD40" i="2"/>
  <c r="Z40" i="2"/>
  <c r="V40" i="2"/>
  <c r="R39" i="2"/>
  <c r="Z39" i="2"/>
  <c r="AD39" i="2"/>
  <c r="V39" i="2"/>
  <c r="R195" i="2"/>
  <c r="AD195" i="2"/>
  <c r="Z195" i="2"/>
  <c r="V195" i="2"/>
  <c r="R204" i="2"/>
  <c r="V204" i="2"/>
  <c r="AD204" i="2"/>
  <c r="Z204" i="2"/>
  <c r="R232" i="2"/>
  <c r="Z232" i="2"/>
  <c r="AD232" i="2"/>
  <c r="V232" i="2"/>
  <c r="R92" i="2"/>
  <c r="Z92" i="2"/>
  <c r="AD92" i="2"/>
  <c r="V92" i="2"/>
  <c r="R253" i="2"/>
  <c r="AD253" i="2"/>
  <c r="Z253" i="2"/>
  <c r="V253" i="2"/>
  <c r="R239" i="2"/>
  <c r="Z239" i="2"/>
  <c r="AD239" i="2"/>
  <c r="V239" i="2"/>
  <c r="R125" i="2"/>
  <c r="AD125" i="2"/>
  <c r="Z125" i="2"/>
  <c r="V125" i="2"/>
  <c r="R344" i="2"/>
  <c r="Z344" i="2"/>
  <c r="AD344" i="2"/>
  <c r="V344" i="2"/>
  <c r="R151" i="2"/>
  <c r="AD151" i="2"/>
  <c r="V151" i="2"/>
  <c r="Z151" i="2"/>
  <c r="R240" i="2"/>
  <c r="AD240" i="2"/>
  <c r="Z240" i="2"/>
  <c r="V240" i="2"/>
  <c r="R69" i="2"/>
  <c r="Z69" i="2"/>
  <c r="V69" i="2"/>
  <c r="AD69" i="2"/>
  <c r="R64" i="2"/>
  <c r="AD64" i="2"/>
  <c r="Z64" i="2"/>
  <c r="V64" i="2"/>
  <c r="R331" i="2"/>
  <c r="Z331" i="2"/>
  <c r="V331" i="2"/>
  <c r="AD331" i="2"/>
  <c r="R115" i="2"/>
  <c r="AD115" i="2"/>
  <c r="Z115" i="2"/>
  <c r="V115" i="2"/>
  <c r="R298" i="2"/>
  <c r="AD298" i="2"/>
  <c r="Z298" i="2"/>
  <c r="V298" i="2"/>
  <c r="R90" i="2"/>
  <c r="AD90" i="2"/>
  <c r="Z90" i="2"/>
  <c r="V90" i="2"/>
  <c r="R289" i="2"/>
  <c r="Z289" i="2"/>
  <c r="V289" i="2"/>
  <c r="AD289" i="2"/>
  <c r="R314" i="2"/>
  <c r="Z314" i="2"/>
  <c r="AD314" i="2"/>
  <c r="V314" i="2"/>
  <c r="R78" i="2"/>
  <c r="AD78" i="2"/>
  <c r="Z78" i="2"/>
  <c r="V78" i="2"/>
  <c r="R271" i="2"/>
  <c r="AD271" i="2"/>
  <c r="Z271" i="2"/>
  <c r="V271" i="2"/>
  <c r="R97" i="2"/>
  <c r="V97" i="2"/>
  <c r="AD97" i="2"/>
  <c r="Z97" i="2"/>
  <c r="R341" i="2"/>
  <c r="AD341" i="2"/>
  <c r="Z341" i="2"/>
  <c r="V341" i="2"/>
  <c r="R342" i="2"/>
  <c r="Z342" i="2"/>
  <c r="V342" i="2"/>
  <c r="AD342" i="2"/>
  <c r="R21" i="2"/>
  <c r="V21" i="2"/>
  <c r="AD21" i="2"/>
  <c r="Z21" i="2"/>
  <c r="R18" i="2"/>
  <c r="AD18" i="2"/>
  <c r="Z18" i="2"/>
  <c r="V18" i="2"/>
  <c r="K13" i="39"/>
  <c r="K26" i="39"/>
  <c r="K7" i="39"/>
  <c r="K21" i="39"/>
  <c r="K20" i="39"/>
  <c r="K31" i="39"/>
  <c r="K47" i="39"/>
  <c r="K33" i="39"/>
  <c r="K34" i="39"/>
  <c r="K28" i="39"/>
  <c r="K27" i="39"/>
  <c r="K12" i="39"/>
  <c r="K39" i="39"/>
  <c r="K38" i="39"/>
  <c r="K29" i="39"/>
  <c r="K41" i="39"/>
  <c r="K24" i="39"/>
  <c r="K36" i="39"/>
  <c r="K50" i="39"/>
  <c r="K30" i="39"/>
  <c r="K16" i="39"/>
  <c r="K48" i="39"/>
  <c r="K15" i="39"/>
  <c r="K43" i="39"/>
  <c r="K17" i="39"/>
  <c r="K19" i="39"/>
  <c r="K25" i="39"/>
  <c r="K40" i="39"/>
  <c r="K11" i="39"/>
  <c r="K10" i="39"/>
  <c r="K37" i="39"/>
  <c r="K49" i="39"/>
  <c r="K32" i="39"/>
  <c r="K23" i="39"/>
  <c r="K18" i="39"/>
  <c r="K22" i="39"/>
  <c r="K46" i="39"/>
  <c r="K6" i="39"/>
  <c r="K45" i="39"/>
  <c r="K14" i="39"/>
  <c r="K35" i="39"/>
  <c r="K42" i="39"/>
  <c r="K44" i="39"/>
  <c r="S25" i="2"/>
  <c r="S54" i="2"/>
  <c r="S82" i="2"/>
  <c r="S111" i="2"/>
  <c r="S221" i="2"/>
  <c r="W221" i="2" l="1"/>
  <c r="AA221" i="2"/>
  <c r="AE221" i="2"/>
  <c r="W111" i="2"/>
  <c r="AE111" i="2"/>
  <c r="AA111" i="2"/>
  <c r="W82" i="2"/>
  <c r="AE82" i="2"/>
  <c r="AA82" i="2"/>
  <c r="W54" i="2"/>
  <c r="AE54" i="2"/>
  <c r="AA54" i="2"/>
  <c r="W25" i="2"/>
  <c r="AA25" i="2"/>
  <c r="AE25" i="2"/>
  <c r="S26" i="2"/>
  <c r="S55" i="2"/>
  <c r="S83" i="2"/>
  <c r="S112" i="2"/>
  <c r="S222" i="2"/>
  <c r="W83" i="2" l="1"/>
  <c r="AA83" i="2"/>
  <c r="AE83" i="2"/>
  <c r="W222" i="2"/>
  <c r="AE222" i="2"/>
  <c r="AA222" i="2"/>
  <c r="W55" i="2"/>
  <c r="AA55" i="2"/>
  <c r="AE55" i="2"/>
  <c r="W112" i="2"/>
  <c r="AA112" i="2"/>
  <c r="AE112" i="2"/>
  <c r="W26" i="2"/>
  <c r="AE26" i="2"/>
  <c r="AA26" i="2"/>
  <c r="S27" i="2"/>
  <c r="S56" i="2"/>
  <c r="S84" i="2"/>
  <c r="S113" i="2"/>
  <c r="S223" i="2"/>
  <c r="W223" i="2" l="1"/>
  <c r="AA223" i="2"/>
  <c r="AE223" i="2"/>
  <c r="W56" i="2"/>
  <c r="AA56" i="2"/>
  <c r="AE56" i="2"/>
  <c r="W113" i="2"/>
  <c r="AA113" i="2"/>
  <c r="AE113" i="2"/>
  <c r="W27" i="2"/>
  <c r="AA27" i="2"/>
  <c r="AE27" i="2"/>
  <c r="W84" i="2"/>
  <c r="AA84" i="2"/>
  <c r="AE84" i="2"/>
  <c r="S28" i="2"/>
  <c r="S57" i="2"/>
  <c r="S85" i="2"/>
  <c r="S114" i="2"/>
  <c r="S224" i="2"/>
  <c r="W114" i="2" l="1"/>
  <c r="AE114" i="2"/>
  <c r="AA114" i="2"/>
  <c r="W57" i="2"/>
  <c r="AE57" i="2"/>
  <c r="AA57" i="2"/>
  <c r="W224" i="2"/>
  <c r="AA224" i="2"/>
  <c r="AE224" i="2"/>
  <c r="W85" i="2"/>
  <c r="AA85" i="2"/>
  <c r="AE85" i="2"/>
  <c r="W28" i="2"/>
  <c r="AA28" i="2"/>
  <c r="AE28" i="2"/>
  <c r="S30" i="2"/>
  <c r="S29" i="2"/>
  <c r="S59" i="2"/>
  <c r="S58" i="2"/>
  <c r="S86" i="2"/>
  <c r="S115" i="2"/>
  <c r="S225" i="2"/>
  <c r="W86" i="2" l="1"/>
  <c r="AA86" i="2"/>
  <c r="AE86" i="2"/>
  <c r="W225" i="2"/>
  <c r="AA225" i="2"/>
  <c r="AE225" i="2"/>
  <c r="W29" i="2"/>
  <c r="AA29" i="2"/>
  <c r="AE29" i="2"/>
  <c r="W30" i="2"/>
  <c r="AA30" i="2"/>
  <c r="AE30" i="2"/>
  <c r="W115" i="2"/>
  <c r="AE115" i="2"/>
  <c r="AA115" i="2"/>
  <c r="W58" i="2"/>
  <c r="AA58" i="2"/>
  <c r="AE58" i="2"/>
  <c r="W59" i="2"/>
  <c r="AA59" i="2"/>
  <c r="AE59" i="2"/>
  <c r="S88" i="2"/>
  <c r="S87" i="2"/>
  <c r="S117" i="2"/>
  <c r="S116" i="2"/>
  <c r="S226" i="2"/>
  <c r="W88" i="2" l="1"/>
  <c r="AA88" i="2"/>
  <c r="AE88" i="2"/>
  <c r="W87" i="2"/>
  <c r="AA87" i="2"/>
  <c r="AE87" i="2"/>
  <c r="W226" i="2"/>
  <c r="AE226" i="2"/>
  <c r="AA226" i="2"/>
  <c r="W117" i="2"/>
  <c r="AA117" i="2"/>
  <c r="AE117" i="2"/>
  <c r="W116" i="2"/>
  <c r="AA116" i="2"/>
  <c r="AE116" i="2"/>
  <c r="S227" i="2"/>
  <c r="W227" i="2" l="1"/>
  <c r="AA227" i="2"/>
  <c r="AE227" i="2"/>
  <c r="S228" i="2"/>
  <c r="W228" i="2" l="1"/>
  <c r="AA228" i="2"/>
  <c r="AE228" i="2"/>
  <c r="S229" i="2"/>
  <c r="W229" i="2" l="1"/>
  <c r="AA229" i="2"/>
  <c r="AE229" i="2"/>
  <c r="S230" i="2"/>
  <c r="W230" i="2" l="1"/>
  <c r="AA230" i="2"/>
  <c r="AE230" i="2"/>
  <c r="S231" i="2"/>
  <c r="W231" i="2" l="1"/>
  <c r="AA231" i="2"/>
  <c r="AE231" i="2"/>
  <c r="S233" i="2"/>
  <c r="S232" i="2"/>
  <c r="W233" i="2" l="1"/>
  <c r="AE233" i="2"/>
  <c r="AA233" i="2"/>
  <c r="W232" i="2"/>
  <c r="AA232" i="2"/>
  <c r="AE232" i="2"/>
  <c r="S118" i="2"/>
  <c r="S119" i="2"/>
  <c r="W119" i="2" l="1"/>
  <c r="AE119" i="2"/>
  <c r="AA119" i="2"/>
  <c r="W118" i="2"/>
  <c r="AE118" i="2"/>
  <c r="AA118" i="2"/>
  <c r="S121" i="2"/>
  <c r="S120" i="2"/>
  <c r="W121" i="2" l="1"/>
  <c r="AE121" i="2"/>
  <c r="AA121" i="2"/>
  <c r="W120" i="2"/>
  <c r="AE120" i="2"/>
  <c r="AA120" i="2"/>
  <c r="S122" i="2"/>
  <c r="W122" i="2" l="1"/>
  <c r="AA122" i="2"/>
  <c r="AE122" i="2"/>
  <c r="S123" i="2"/>
  <c r="W123" i="2" l="1"/>
  <c r="AE123" i="2"/>
  <c r="AA123" i="2"/>
  <c r="S124" i="2"/>
  <c r="W124" i="2" l="1"/>
  <c r="AA124" i="2"/>
  <c r="AE124" i="2"/>
  <c r="S125" i="2"/>
  <c r="W125" i="2" l="1"/>
  <c r="AA125" i="2"/>
  <c r="AE125" i="2"/>
  <c r="S126" i="2"/>
  <c r="W126" i="2" l="1"/>
  <c r="AE126" i="2"/>
  <c r="AA126" i="2"/>
  <c r="S127" i="2"/>
  <c r="W127" i="2" l="1"/>
  <c r="AE127" i="2"/>
  <c r="AA127" i="2"/>
  <c r="S128" i="2"/>
  <c r="W128" i="2" l="1"/>
  <c r="AA128" i="2"/>
  <c r="AE128" i="2"/>
  <c r="S129" i="2"/>
  <c r="W129" i="2" l="1"/>
  <c r="AA129" i="2"/>
  <c r="AE129" i="2"/>
  <c r="S130" i="2"/>
  <c r="W130" i="2" l="1"/>
  <c r="AE130" i="2"/>
  <c r="AA130" i="2"/>
  <c r="S131" i="2"/>
  <c r="W131" i="2" l="1"/>
  <c r="AE131" i="2"/>
  <c r="AA131" i="2"/>
  <c r="S132" i="2"/>
  <c r="W132" i="2" l="1"/>
  <c r="AE132" i="2"/>
  <c r="AA132" i="2"/>
  <c r="S133" i="2"/>
  <c r="W133" i="2" l="1"/>
  <c r="AA133" i="2"/>
  <c r="AE133" i="2"/>
  <c r="S134" i="2"/>
  <c r="W134" i="2" l="1"/>
  <c r="AA134" i="2"/>
  <c r="AE134" i="2"/>
  <c r="S135" i="2"/>
  <c r="W135" i="2" l="1"/>
  <c r="AE135" i="2"/>
  <c r="AA135" i="2"/>
  <c r="S136" i="2"/>
  <c r="W136" i="2" l="1"/>
  <c r="AA136" i="2"/>
  <c r="AE136" i="2"/>
  <c r="S137" i="2"/>
  <c r="W137" i="2" l="1"/>
  <c r="AA137" i="2"/>
  <c r="AE137" i="2"/>
  <c r="S138" i="2"/>
  <c r="W138" i="2" l="1"/>
  <c r="AE138" i="2"/>
  <c r="AA138" i="2"/>
  <c r="S139" i="2"/>
  <c r="W139" i="2" l="1"/>
  <c r="AA139" i="2"/>
  <c r="AE139" i="2"/>
  <c r="S140" i="2"/>
  <c r="W140" i="2" l="1"/>
  <c r="AA140" i="2"/>
  <c r="AE140" i="2"/>
  <c r="S141" i="2"/>
  <c r="W141" i="2" l="1"/>
  <c r="AE141" i="2"/>
  <c r="AA141" i="2"/>
  <c r="S142" i="2"/>
  <c r="W142" i="2" l="1"/>
  <c r="AE142" i="2"/>
  <c r="AA142" i="2"/>
  <c r="S143" i="2"/>
  <c r="W143" i="2" l="1"/>
  <c r="AA143" i="2"/>
  <c r="AE143" i="2"/>
  <c r="S144" i="2"/>
  <c r="W144" i="2" l="1"/>
  <c r="AE144" i="2"/>
  <c r="AA144" i="2"/>
  <c r="S145" i="2"/>
  <c r="S146" i="2"/>
  <c r="W146" i="2" l="1"/>
  <c r="AE146" i="2"/>
  <c r="AA146" i="2"/>
  <c r="W145" i="2"/>
  <c r="AA145" i="2"/>
  <c r="AE145" i="2"/>
  <c r="S147" i="2"/>
  <c r="S149" i="2"/>
  <c r="W147" i="2" l="1"/>
  <c r="AE147" i="2"/>
  <c r="AA147" i="2"/>
  <c r="W149" i="2"/>
  <c r="AA149" i="2"/>
  <c r="AE149" i="2"/>
  <c r="S148" i="2"/>
  <c r="W148" i="2" l="1"/>
  <c r="AA148" i="2"/>
  <c r="AE148" i="2"/>
  <c r="S150" i="2"/>
  <c r="W150" i="2" l="1"/>
  <c r="AA150" i="2"/>
  <c r="AE150" i="2"/>
  <c r="S151" i="2"/>
  <c r="W151" i="2" l="1"/>
  <c r="AE151" i="2"/>
  <c r="AA151" i="2"/>
  <c r="S152" i="2"/>
  <c r="W152" i="2" l="1"/>
  <c r="AA152" i="2"/>
  <c r="AE152" i="2"/>
  <c r="S153" i="2"/>
  <c r="W153" i="2" l="1"/>
  <c r="AE153" i="2"/>
  <c r="AA153" i="2"/>
  <c r="S154" i="2"/>
  <c r="W154" i="2" l="1"/>
  <c r="AA154" i="2"/>
  <c r="AE154" i="2"/>
  <c r="S155" i="2"/>
  <c r="W155" i="2" l="1"/>
  <c r="AA155" i="2"/>
  <c r="AE155" i="2"/>
  <c r="S156" i="2"/>
  <c r="W156" i="2" l="1"/>
  <c r="AE156" i="2"/>
  <c r="AA156" i="2"/>
  <c r="S157" i="2"/>
  <c r="W157" i="2" l="1"/>
  <c r="AA157" i="2"/>
  <c r="AE157" i="2"/>
  <c r="S158" i="2"/>
  <c r="W158" i="2" l="1"/>
  <c r="AE158" i="2"/>
  <c r="AA158" i="2"/>
  <c r="S159" i="2"/>
  <c r="W159" i="2" l="1"/>
  <c r="AA159" i="2"/>
  <c r="AE159" i="2"/>
  <c r="S160" i="2"/>
  <c r="W160" i="2" l="1"/>
  <c r="AA160" i="2"/>
  <c r="AE160" i="2"/>
  <c r="S161" i="2"/>
  <c r="W161" i="2" l="1"/>
  <c r="AA161" i="2"/>
  <c r="AE161" i="2"/>
  <c r="S162" i="2"/>
  <c r="W162" i="2" l="1"/>
  <c r="AA162" i="2"/>
  <c r="AE162" i="2"/>
  <c r="S163" i="2"/>
  <c r="W163" i="2" l="1"/>
  <c r="AE163" i="2"/>
  <c r="AA163" i="2"/>
  <c r="S164" i="2"/>
  <c r="W164" i="2" l="1"/>
  <c r="AA164" i="2"/>
  <c r="AE164" i="2"/>
  <c r="S165" i="2"/>
  <c r="W165" i="2" l="1"/>
  <c r="AA165" i="2"/>
  <c r="AE165" i="2"/>
  <c r="S166" i="2"/>
  <c r="W166" i="2" l="1"/>
  <c r="AA166" i="2"/>
  <c r="AE166" i="2"/>
  <c r="S167" i="2"/>
  <c r="W167" i="2" l="1"/>
  <c r="AA167" i="2"/>
  <c r="AE167" i="2"/>
  <c r="S168" i="2"/>
  <c r="W168" i="2" l="1"/>
  <c r="AE168" i="2"/>
  <c r="AA168" i="2"/>
  <c r="S169" i="2"/>
  <c r="W169" i="2" l="1"/>
  <c r="AA169" i="2"/>
  <c r="AE169" i="2"/>
  <c r="S170" i="2"/>
  <c r="W170" i="2" l="1"/>
  <c r="AA170" i="2"/>
  <c r="AE170" i="2"/>
  <c r="S171" i="2"/>
  <c r="W171" i="2" l="1"/>
  <c r="AA171" i="2"/>
  <c r="AE171" i="2"/>
  <c r="S172" i="2"/>
  <c r="W172" i="2" l="1"/>
  <c r="AA172" i="2"/>
  <c r="AE172" i="2"/>
  <c r="S173" i="2"/>
  <c r="W173" i="2" l="1"/>
  <c r="AA173" i="2"/>
  <c r="AE173" i="2"/>
  <c r="S174" i="2"/>
  <c r="S175" i="2"/>
  <c r="W174" i="2" l="1"/>
  <c r="AA174" i="2"/>
  <c r="AE174" i="2"/>
  <c r="W175" i="2"/>
  <c r="AA175" i="2"/>
  <c r="AE175" i="2"/>
  <c r="S263" i="2"/>
  <c r="W263" i="2" l="1"/>
  <c r="AA263" i="2"/>
  <c r="AE263" i="2"/>
  <c r="S176" i="2"/>
  <c r="S177" i="2"/>
  <c r="W177" i="2" l="1"/>
  <c r="AA177" i="2"/>
  <c r="AE177" i="2"/>
  <c r="W176" i="2"/>
  <c r="AA176" i="2"/>
  <c r="AE176" i="2"/>
  <c r="S179" i="2"/>
  <c r="S178" i="2"/>
  <c r="W178" i="2" l="1"/>
  <c r="AE178" i="2"/>
  <c r="AA178" i="2"/>
  <c r="W179" i="2"/>
  <c r="AE179" i="2"/>
  <c r="AA179" i="2"/>
  <c r="S180" i="2"/>
  <c r="W180" i="2" l="1"/>
  <c r="AE180" i="2"/>
  <c r="AA180" i="2"/>
  <c r="S181" i="2"/>
  <c r="W181" i="2" l="1"/>
  <c r="AA181" i="2"/>
  <c r="AE181" i="2"/>
  <c r="S182" i="2"/>
  <c r="W182" i="2" l="1"/>
  <c r="AE182" i="2"/>
  <c r="AA182" i="2"/>
  <c r="S183" i="2"/>
  <c r="W183" i="2" l="1"/>
  <c r="AA183" i="2"/>
  <c r="AE183" i="2"/>
  <c r="S184" i="2"/>
  <c r="W184" i="2" l="1"/>
  <c r="AA184" i="2"/>
  <c r="AE184" i="2"/>
  <c r="S185" i="2"/>
  <c r="W185" i="2" l="1"/>
  <c r="AA185" i="2"/>
  <c r="AE185" i="2"/>
  <c r="S186" i="2"/>
  <c r="W186" i="2" l="1"/>
  <c r="AE186" i="2"/>
  <c r="AA186" i="2"/>
  <c r="S187" i="2"/>
  <c r="W187" i="2" l="1"/>
  <c r="AE187" i="2"/>
  <c r="AA187" i="2"/>
  <c r="S188" i="2"/>
  <c r="W188" i="2" l="1"/>
  <c r="AA188" i="2"/>
  <c r="AE188" i="2"/>
  <c r="S189" i="2"/>
  <c r="W189" i="2" l="1"/>
  <c r="AE189" i="2"/>
  <c r="AA189" i="2"/>
  <c r="S190" i="2"/>
  <c r="W190" i="2" l="1"/>
  <c r="AA190" i="2"/>
  <c r="AE190" i="2"/>
  <c r="S191" i="2"/>
  <c r="W191" i="2" l="1"/>
  <c r="AE191" i="2"/>
  <c r="AA191" i="2"/>
  <c r="S192" i="2"/>
  <c r="W192" i="2" l="1"/>
  <c r="AE192" i="2"/>
  <c r="AA192" i="2"/>
  <c r="S193" i="2"/>
  <c r="W193" i="2" l="1"/>
  <c r="AA193" i="2"/>
  <c r="AE193" i="2"/>
  <c r="S194" i="2"/>
  <c r="W194" i="2" l="1"/>
  <c r="AE194" i="2"/>
  <c r="AA194" i="2"/>
  <c r="S195" i="2"/>
  <c r="W195" i="2" l="1"/>
  <c r="AE195" i="2"/>
  <c r="AA195" i="2"/>
  <c r="S196" i="2"/>
  <c r="W196" i="2" l="1"/>
  <c r="AA196" i="2"/>
  <c r="AE196" i="2"/>
  <c r="S197" i="2"/>
  <c r="W197" i="2" l="1"/>
  <c r="AA197" i="2"/>
  <c r="AE197" i="2"/>
  <c r="S198" i="2"/>
  <c r="W198" i="2" l="1"/>
  <c r="AE198" i="2"/>
  <c r="AA198" i="2"/>
  <c r="S199" i="2"/>
  <c r="W199" i="2" l="1"/>
  <c r="AA199" i="2"/>
  <c r="AE199" i="2"/>
  <c r="S200" i="2"/>
  <c r="W200" i="2" l="1"/>
  <c r="AE200" i="2"/>
  <c r="AA200" i="2"/>
  <c r="S201" i="2"/>
  <c r="W201" i="2" l="1"/>
  <c r="AA201" i="2"/>
  <c r="AE201" i="2"/>
  <c r="S202" i="2"/>
  <c r="W202" i="2" l="1"/>
  <c r="AA202" i="2"/>
  <c r="AE202" i="2"/>
  <c r="S204" i="2"/>
  <c r="S203" i="2"/>
  <c r="W203" i="2" l="1"/>
  <c r="AA203" i="2"/>
  <c r="AE203" i="2"/>
  <c r="W204" i="2"/>
  <c r="AA204" i="2"/>
  <c r="AE20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Johannes Scholz</author>
  </authors>
  <commentList>
    <comment ref="A1" authorId="0" shapeId="0" xr:uid="{1DBEE6A8-E5CD-490B-9D09-0AD843D381AF}">
      <text>
        <r>
          <rPr>
            <sz val="9"/>
            <color indexed="81"/>
            <rFont val="Tahoma"/>
            <family val="2"/>
          </rPr>
          <t xml:space="preserve">Purpose: Flag this row as 100% complete for reporting and filtering purposes. 
Action: Click to select. 
Note:  This input is optional. Leave blank if the process is ongoing.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Johannes Scholz</author>
  </authors>
  <commentList>
    <comment ref="D1" authorId="0" shapeId="0" xr:uid="{6B83E32F-522F-4871-B9A7-FCE648D8E61E}">
      <text>
        <r>
          <rPr>
            <b/>
            <sz val="9"/>
            <color indexed="81"/>
            <rFont val="Tahoma"/>
            <family val="2"/>
          </rPr>
          <t>Johannes Scholz:</t>
        </r>
        <r>
          <rPr>
            <sz val="9"/>
            <color indexed="81"/>
            <rFont val="Tahoma"/>
            <family val="2"/>
          </rPr>
          <t xml:space="preserve">
</t>
        </r>
      </text>
    </comment>
    <comment ref="E1" authorId="0" shapeId="0" xr:uid="{9ECE33FE-C83F-45D8-8932-AA70AF24C611}">
      <text>
        <r>
          <rPr>
            <b/>
            <sz val="9"/>
            <color indexed="81"/>
            <rFont val="Tahoma"/>
            <family val="2"/>
          </rPr>
          <t>Johannes Scholz:</t>
        </r>
        <r>
          <rPr>
            <sz val="9"/>
            <color indexed="81"/>
            <rFont val="Tahoma"/>
            <family val="2"/>
          </rPr>
          <t xml:space="preserve">
Type: Comment
Content: Enter the desired process logic: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Johannes Scholz</author>
  </authors>
  <commentList>
    <comment ref="C4" authorId="0" shapeId="0" xr:uid="{1A1A9A85-B550-4BD6-9A5A-83B22AA9C594}">
      <text>
        <r>
          <rPr>
            <sz val="9"/>
            <color indexed="81"/>
            <rFont val="Tahoma"/>
            <family val="2"/>
          </rPr>
          <t xml:space="preserve">Purpose: Flag this row as 100% complete for reporting and filtering purposes. 
Action: Click to select. 
Note:  This input is optional. Leave blank if the process is ongoing.
</t>
        </r>
      </text>
    </comment>
    <comment ref="C63" authorId="0" shapeId="0" xr:uid="{E7FB863A-D8F0-49D9-863F-5434143B0642}">
      <text>
        <r>
          <rPr>
            <b/>
            <sz val="9"/>
            <color indexed="81"/>
            <rFont val="Tahoma"/>
            <family val="2"/>
          </rPr>
          <t>Johannes Scholz:</t>
        </r>
        <r>
          <rPr>
            <sz val="9"/>
            <color indexed="81"/>
            <rFont val="Tahoma"/>
            <family val="2"/>
          </rPr>
          <t xml:space="preserve">
</t>
        </r>
      </text>
    </comment>
    <comment ref="C64" authorId="0" shapeId="0" xr:uid="{9F604F35-8E9D-4F2E-8BC9-F02E271AEAF9}">
      <text>
        <r>
          <rPr>
            <b/>
            <sz val="9"/>
            <color indexed="81"/>
            <rFont val="Tahoma"/>
            <family val="2"/>
          </rPr>
          <t>Johannes Scholz:</t>
        </r>
        <r>
          <rPr>
            <sz val="9"/>
            <color indexed="81"/>
            <rFont val="Tahoma"/>
            <family val="2"/>
          </rPr>
          <t xml:space="preserve">
Type: Comment
Content: Enter the desired process logic:
</t>
        </r>
      </text>
    </comment>
  </commentList>
</comments>
</file>

<file path=xl/sharedStrings.xml><?xml version="1.0" encoding="utf-8"?>
<sst xmlns="http://schemas.openxmlformats.org/spreadsheetml/2006/main" count="4447" uniqueCount="1043">
  <si>
    <t>Year</t>
  </si>
  <si>
    <t>UoM</t>
  </si>
  <si>
    <t>Author</t>
  </si>
  <si>
    <t>URL</t>
  </si>
  <si>
    <t>Description</t>
  </si>
  <si>
    <t>Yes</t>
  </si>
  <si>
    <t>No</t>
  </si>
  <si>
    <t>Product manufacturing</t>
  </si>
  <si>
    <t>Use (Re-use)</t>
  </si>
  <si>
    <t>Biosphere</t>
  </si>
  <si>
    <t>Flüsse:</t>
  </si>
  <si>
    <t>Prozesse:</t>
  </si>
  <si>
    <t>Lager</t>
  </si>
  <si>
    <t>Transferkoeffizienten</t>
  </si>
  <si>
    <t>Umrechnungsfaktoren:</t>
  </si>
  <si>
    <t>Codelisten:</t>
  </si>
  <si>
    <t>Flüsse müssen in Mg umgerechnet werden</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</si>
  <si>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</si>
  <si>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</si>
  <si>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ID</t>
  </si>
  <si>
    <t>Short</t>
  </si>
  <si>
    <t>Raw material production (processing)</t>
  </si>
  <si>
    <t>N.A.</t>
  </si>
  <si>
    <t>Logisch</t>
  </si>
  <si>
    <t>AVV</t>
  </si>
  <si>
    <t>Titel</t>
  </si>
  <si>
    <t>Flow_ID</t>
  </si>
  <si>
    <t>Comment</t>
  </si>
  <si>
    <t>Name_Source</t>
  </si>
  <si>
    <t>Titel_Source</t>
  </si>
  <si>
    <t>Year_Source</t>
  </si>
  <si>
    <t>Author_Source</t>
  </si>
  <si>
    <t>Type_Source</t>
  </si>
  <si>
    <t>CF_required?</t>
  </si>
  <si>
    <t>CF</t>
  </si>
  <si>
    <t>Name_CF</t>
  </si>
  <si>
    <t>UoM_Source</t>
  </si>
  <si>
    <t>UoM_Flow_Py</t>
  </si>
  <si>
    <t>Process_ID</t>
  </si>
  <si>
    <t>Carbon_Stock</t>
  </si>
  <si>
    <t>Life_Phase</t>
  </si>
  <si>
    <t>Complete?</t>
  </si>
  <si>
    <t>Stock_ID</t>
  </si>
  <si>
    <t>Name(EN)</t>
  </si>
  <si>
    <t>Athmosphere</t>
  </si>
  <si>
    <t>Lithosphere</t>
  </si>
  <si>
    <t>Anthroposphere</t>
  </si>
  <si>
    <t>Hydrosphere</t>
  </si>
  <si>
    <t>Recycling/disposal</t>
  </si>
  <si>
    <t>WC?</t>
  </si>
  <si>
    <t>CC?</t>
  </si>
  <si>
    <t>DM?</t>
  </si>
  <si>
    <t>WC_[%]</t>
  </si>
  <si>
    <t>WC_source</t>
  </si>
  <si>
    <t>DM_[%]</t>
  </si>
  <si>
    <t>DM_source</t>
  </si>
  <si>
    <t>CC_[%]</t>
  </si>
  <si>
    <t>WC_Flow_Py</t>
  </si>
  <si>
    <t>UoM_CC_Flow_Py</t>
  </si>
  <si>
    <t>UoM_DM_Flow_Py</t>
  </si>
  <si>
    <t>UoM_WC_Flow_Py</t>
  </si>
  <si>
    <t>CC_Flow_Py</t>
  </si>
  <si>
    <t>Process</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</si>
  <si>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</si>
  <si>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</si>
  <si>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</si>
  <si>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</si>
  <si>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</si>
  <si>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</si>
  <si>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</si>
  <si>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</si>
  <si>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01</t>
  </si>
  <si>
    <t>02</t>
  </si>
  <si>
    <t>03</t>
  </si>
  <si>
    <t>04</t>
  </si>
  <si>
    <t>05</t>
  </si>
  <si>
    <t>06</t>
  </si>
  <si>
    <t>07</t>
  </si>
  <si>
    <t>08</t>
  </si>
  <si>
    <t>09</t>
  </si>
  <si>
    <t>CC_FM_source</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</si>
  <si>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</si>
  <si>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</si>
  <si>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</si>
  <si>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</si>
  <si>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</si>
  <si>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</si>
  <si>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</si>
  <si>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</si>
  <si>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</si>
  <si>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</si>
  <si>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</si>
  <si>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</si>
  <si>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</si>
  <si>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</si>
  <si>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</si>
  <si>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</si>
  <si>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</si>
  <si>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</si>
  <si>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</si>
  <si>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</si>
  <si>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</si>
  <si>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</si>
  <si>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</si>
  <si>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</si>
  <si>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</si>
  <si>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</si>
  <si>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</si>
  <si>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</si>
  <si>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</si>
  <si>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</si>
  <si>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</si>
  <si>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</si>
  <si>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</si>
  <si>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</si>
  <si>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</si>
  <si>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</si>
  <si>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</si>
  <si>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</si>
  <si>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WC</t>
  </si>
  <si>
    <t>DM</t>
  </si>
  <si>
    <t>CC</t>
  </si>
  <si>
    <t>Assumption</t>
  </si>
  <si>
    <t>Caclualtion</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</si>
  <si>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</si>
  <si>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</si>
  <si>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</si>
  <si>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</si>
  <si>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</si>
  <si>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</si>
  <si>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</si>
  <si>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</si>
  <si>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</si>
  <si>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</si>
  <si>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</si>
  <si>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</si>
  <si>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</si>
  <si>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</si>
  <si>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</si>
  <si>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</si>
  <si>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</si>
  <si>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</si>
  <si>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</si>
  <si>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</si>
  <si>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</si>
  <si>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</si>
  <si>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</si>
  <si>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</si>
  <si>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</si>
  <si>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</si>
  <si>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</si>
  <si>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</si>
  <si>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</si>
  <si>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</si>
  <si>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</si>
  <si>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</si>
  <si>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</si>
  <si>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</si>
  <si>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</si>
  <si>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</si>
  <si>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</si>
  <si>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</si>
  <si>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</si>
  <si>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</si>
  <si>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</si>
  <si>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</si>
  <si>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</si>
  <si>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</si>
  <si>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</si>
  <si>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</si>
  <si>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</si>
  <si>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</si>
  <si>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</si>
  <si>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</si>
  <si>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</si>
  <si>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</si>
  <si>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</si>
  <si>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</si>
  <si>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</si>
  <si>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</si>
  <si>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</si>
  <si>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</si>
  <si>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</si>
  <si>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</si>
  <si>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</si>
  <si>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</si>
  <si>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</si>
  <si>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</si>
  <si>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</si>
  <si>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</si>
  <si>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</si>
  <si>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</si>
  <si>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</si>
  <si>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Title:</t>
  </si>
  <si>
    <t>Column1</t>
  </si>
  <si>
    <t xml:space="preserve">Autoren: </t>
  </si>
  <si>
    <t>Johannes Roland Scholz</t>
  </si>
  <si>
    <t>Lukas Hoppe</t>
  </si>
  <si>
    <t>Mg</t>
  </si>
  <si>
    <t>Output_Flow</t>
  </si>
  <si>
    <t>Value</t>
  </si>
  <si>
    <t>Initial_Stock_material</t>
  </si>
  <si>
    <t>Initial_Stock_WC[%]</t>
  </si>
  <si>
    <t>Initial_Stock_DM[%]</t>
  </si>
  <si>
    <t>Initial_Stock_CC[%]</t>
  </si>
  <si>
    <t>Category ID</t>
  </si>
  <si>
    <t>DSM Material 1</t>
  </si>
  <si>
    <t>DSM Material 2</t>
  </si>
  <si>
    <t>DSM Material 3</t>
  </si>
  <si>
    <t>DSM Material 4</t>
  </si>
  <si>
    <t>DSM Material 5</t>
  </si>
  <si>
    <t>DSM Material 6</t>
  </si>
  <si>
    <t>DSM Material 7</t>
  </si>
  <si>
    <t>Normal</t>
  </si>
  <si>
    <t>uniform</t>
  </si>
  <si>
    <t>triangular</t>
  </si>
  <si>
    <t>Parameter_Name</t>
  </si>
  <si>
    <t>Distribution</t>
  </si>
  <si>
    <t>Mean</t>
  </si>
  <si>
    <t>StdDev</t>
  </si>
  <si>
    <t>Min</t>
  </si>
  <si>
    <t>Max</t>
  </si>
  <si>
    <t>Mode</t>
  </si>
  <si>
    <t>Nr. Outflows</t>
  </si>
  <si>
    <t>Nr. Outflows?</t>
  </si>
  <si>
    <t>Legend:</t>
  </si>
  <si>
    <t>01_Data Input</t>
  </si>
  <si>
    <t>02_Drop_Down</t>
  </si>
  <si>
    <t>03_Auto_Calculation</t>
  </si>
  <si>
    <t>04_Comments</t>
  </si>
  <si>
    <t>CL_1_ProcessType</t>
  </si>
  <si>
    <t>CL_2_ValueSource</t>
  </si>
  <si>
    <t>CL_3_FOMP_Parameters</t>
  </si>
  <si>
    <t>CL_4_DSM_Lifetime_Types</t>
  </si>
  <si>
    <t>Lifetime_Types</t>
  </si>
  <si>
    <t>Normal distribution</t>
  </si>
  <si>
    <t>Uniform distribution</t>
  </si>
  <si>
    <t>Triangular distribution</t>
  </si>
  <si>
    <t>CL_5_DSM_Category_ID</t>
  </si>
  <si>
    <t>DSM Material</t>
  </si>
  <si>
    <t>data/02_output/results.xlsx</t>
  </si>
  <si>
    <t>material,WC,DM,CC</t>
  </si>
  <si>
    <t>Stock_Outflow_TC</t>
  </si>
  <si>
    <t>Annual_Consumption_Rate</t>
  </si>
  <si>
    <t>Destination_Flow</t>
  </si>
  <si>
    <t>Destination_Process</t>
  </si>
  <si>
    <t>Destination_Process_Name</t>
  </si>
  <si>
    <t>Standard TCs</t>
  </si>
  <si>
    <t>Dynamic TCs</t>
  </si>
  <si>
    <t>Lifetimes</t>
  </si>
  <si>
    <t>Inflow Splits</t>
  </si>
  <si>
    <t>Decay Rates</t>
  </si>
  <si>
    <t>Initial Stocks</t>
  </si>
  <si>
    <t>Consumption Rates</t>
  </si>
  <si>
    <t>Stock Values</t>
  </si>
  <si>
    <t>Element Content</t>
  </si>
  <si>
    <t>Transfer Coefficients (TCs)</t>
  </si>
  <si>
    <t>DSM Parameters</t>
  </si>
  <si>
    <t>FOMP Parameters</t>
  </si>
  <si>
    <t>Initial Stock Parameters</t>
  </si>
  <si>
    <t>Parameter_Selection</t>
  </si>
  <si>
    <t>New_Value</t>
  </si>
  <si>
    <t>Uncertainty_Parameters</t>
  </si>
  <si>
    <t>Flow_Parameters</t>
  </si>
  <si>
    <t>List_Transfer_Coefficients</t>
  </si>
  <si>
    <t>List_FOMP_Parameters</t>
  </si>
  <si>
    <t>List_Initial_Stock_Parameters</t>
  </si>
  <si>
    <t>List_DSM_Parameters</t>
  </si>
  <si>
    <t>List_Flow_Parameters</t>
  </si>
  <si>
    <t>Atmosphere input</t>
  </si>
  <si>
    <t>Environment Input</t>
  </si>
  <si>
    <t>Atmosphere</t>
  </si>
  <si>
    <t>Environment</t>
  </si>
  <si>
    <t>Nr._Decay_Pools</t>
  </si>
  <si>
    <t>Pool_Name</t>
  </si>
  <si>
    <t>decay rate constant</t>
  </si>
  <si>
    <t>Pool_ID</t>
  </si>
  <si>
    <t>output_carbon_id</t>
  </si>
  <si>
    <t>output_elemental_id</t>
  </si>
  <si>
    <t>Outflow_1</t>
  </si>
  <si>
    <t>Outflow_2</t>
  </si>
  <si>
    <t>CL_X_FOMP_Category_ID</t>
  </si>
  <si>
    <t>Pool</t>
  </si>
  <si>
    <t>output_environmental_id</t>
  </si>
  <si>
    <t>Inflow_fraction_f (Labile pool)</t>
  </si>
  <si>
    <t>decay_k1 (Labile pool)</t>
  </si>
  <si>
    <t>Inflow_fraction_f (Recalcitrant pool)</t>
  </si>
  <si>
    <t>decay_k2 (Recalcitrant pool)</t>
  </si>
  <si>
    <t>replace</t>
  </si>
  <si>
    <t>add</t>
  </si>
  <si>
    <t>Operation</t>
  </si>
  <si>
    <t>Scenario_Operators</t>
  </si>
  <si>
    <t>This is the default. It replaces a single parameter value (like k_labile) with the New_Value.</t>
  </si>
  <si>
    <t>This is for time-series. It takes the entire series (for an inflow like F_00_01 or a dynamic TC) and multiplies every
  yearly value by the New_Value</t>
  </si>
  <si>
    <t>multiply</t>
  </si>
  <si>
    <t>This takes the entire series and adds the New_Value to every yearly value.</t>
  </si>
  <si>
    <t>Scenario_Name</t>
  </si>
  <si>
    <t>Run_Scenario_Analysis</t>
  </si>
  <si>
    <t>CORE SETTINGS</t>
  </si>
  <si>
    <t>Category</t>
  </si>
  <si>
    <t>Status</t>
  </si>
  <si>
    <t>Start_Year</t>
  </si>
  <si>
    <t>Analysis start year</t>
  </si>
  <si>
    <t>Core</t>
  </si>
  <si>
    <t>Required</t>
  </si>
  <si>
    <t>End_Year</t>
  </si>
  <si>
    <t>Analysis end year</t>
  </si>
  <si>
    <t>Elements</t>
  </si>
  <si>
    <t>Elements to track (comma-separated)</t>
  </si>
  <si>
    <t>Input_File</t>
  </si>
  <si>
    <t>data/01_input/250902_CS1_Wheat_Straw.xlsx</t>
  </si>
  <si>
    <t>Path to Excel input file</t>
  </si>
  <si>
    <t>Output_File</t>
  </si>
  <si>
    <t>Path for results output</t>
  </si>
  <si>
    <t>CALCULATION SETTINGS</t>
  </si>
  <si>
    <t>Run_DSM_Calculation</t>
  </si>
  <si>
    <t>Enable Dynamic Stock Model calculation</t>
  </si>
  <si>
    <t>Calculation</t>
  </si>
  <si>
    <t>Run_FOMP_Calculation</t>
  </si>
  <si>
    <t>Enable First-Order Material Process calculation</t>
  </si>
  <si>
    <t>Enable Monte Carlo uncertainty analysis</t>
  </si>
  <si>
    <t>Optional</t>
  </si>
  <si>
    <t>MC_Iterations</t>
  </si>
  <si>
    <t>Number of Monte Carlo iterations</t>
  </si>
  <si>
    <t>SCENARIO ANALYSIS SETTINGS</t>
  </si>
  <si>
    <t>Enable scenario comparison analysis</t>
  </si>
  <si>
    <t>Scenario</t>
  </si>
  <si>
    <t>First scenario name to analyze</t>
  </si>
  <si>
    <t>Second scenario name to analyze</t>
  </si>
  <si>
    <t>Third scenario name to analyze</t>
  </si>
  <si>
    <t>FOMP</t>
  </si>
  <si>
    <t>Category_Settings</t>
  </si>
  <si>
    <t>RUN_MONTE_CARLO</t>
  </si>
  <si>
    <t>Node_Color</t>
  </si>
  <si>
    <t>Node_Size</t>
  </si>
  <si>
    <t>Layout_Type</t>
  </si>
  <si>
    <t>Node_Color_#</t>
  </si>
  <si>
    <t>Column5</t>
  </si>
  <si>
    <t>Column6</t>
  </si>
  <si>
    <t>Column7</t>
  </si>
  <si>
    <t>Column8</t>
  </si>
  <si>
    <t>Column9</t>
  </si>
  <si>
    <t>Column10</t>
  </si>
  <si>
    <t>Column11</t>
  </si>
  <si>
    <t>Column12</t>
  </si>
  <si>
    <t>Column13</t>
  </si>
  <si>
    <t>Column14</t>
  </si>
  <si>
    <t>Column15</t>
  </si>
  <si>
    <t>Small</t>
  </si>
  <si>
    <t>Medium</t>
  </si>
  <si>
    <t>Large</t>
  </si>
  <si>
    <t>Fixed</t>
  </si>
  <si>
    <t>Auto</t>
  </si>
  <si>
    <t>Circular</t>
  </si>
  <si>
    <t>Radial</t>
  </si>
  <si>
    <t>XLarge</t>
  </si>
  <si>
    <t>Flow_Color</t>
  </si>
  <si>
    <t>Flow_Style</t>
  </si>
  <si>
    <t>solid</t>
  </si>
  <si>
    <t>Dashed</t>
  </si>
  <si>
    <t>Dotted</t>
  </si>
  <si>
    <t>Setting</t>
  </si>
  <si>
    <t>Options</t>
  </si>
  <si>
    <t>Circular_Center_X</t>
  </si>
  <si>
    <t>Center X position for circular layout</t>
  </si>
  <si>
    <t>0.0 to 1.0</t>
  </si>
  <si>
    <t>Circular_Center_Y</t>
  </si>
  <si>
    <t>Center Y position for circular layout</t>
  </si>
  <si>
    <t>Circular_Radius</t>
  </si>
  <si>
    <t>Radius for circular layout</t>
  </si>
  <si>
    <t>0.1 to 0.5</t>
  </si>
  <si>
    <t>Node_Spacing</t>
  </si>
  <si>
    <t>Minimum spacing between nodes</t>
  </si>
  <si>
    <t>0.05 to 0.2</t>
  </si>
  <si>
    <t>Background_Color</t>
  </si>
  <si>
    <t>#FFFFFF</t>
  </si>
  <si>
    <t>Background color</t>
  </si>
  <si>
    <t>Hex color code</t>
  </si>
  <si>
    <t>Grid_Color</t>
  </si>
  <si>
    <t>#E0E0E0</t>
  </si>
  <si>
    <t>Grid color</t>
  </si>
  <si>
    <t>Color_Name</t>
  </si>
  <si>
    <t>Hex_Code</t>
  </si>
  <si>
    <t>RGB_Values</t>
  </si>
  <si>
    <t>Usage</t>
  </si>
  <si>
    <t>Biomass &amp; Natural</t>
  </si>
  <si>
    <t>Forest Green</t>
  </si>
  <si>
    <t>#228B22</t>
  </si>
  <si>
    <t>(34, 139, 34)</t>
  </si>
  <si>
    <t>Primary biomass, organic matter</t>
  </si>
  <si>
    <t>Olive Green</t>
  </si>
  <si>
    <t>#6B8E23</t>
  </si>
  <si>
    <t>(107, 142, 35)</t>
  </si>
  <si>
    <t>Secondary biomass, plant material</t>
  </si>
  <si>
    <t>Sage Green</t>
  </si>
  <si>
    <t>#9CAF88</t>
  </si>
  <si>
    <t>(156, 175, 136)</t>
  </si>
  <si>
    <t>Processed biomass, compost</t>
  </si>
  <si>
    <t>Earth Brown</t>
  </si>
  <si>
    <t>#8B4513</t>
  </si>
  <si>
    <t>(139, 69, 19)</t>
  </si>
  <si>
    <t>Soil, organic matter</t>
  </si>
  <si>
    <t>Wheat Gold</t>
  </si>
  <si>
    <t>#F5DEB3</t>
  </si>
  <si>
    <t>(245, 222, 179)</t>
  </si>
  <si>
    <t>Straw, agricultural waste</t>
  </si>
  <si>
    <t>Water &amp; Liquid</t>
  </si>
  <si>
    <t>Ocean Blue</t>
  </si>
  <si>
    <t>#0066CC</t>
  </si>
  <si>
    <t>(0, 102, 204)</t>
  </si>
  <si>
    <t>Water content, liquid flows</t>
  </si>
  <si>
    <t>Aqua Blue</t>
  </si>
  <si>
    <t>#00CED1</t>
  </si>
  <si>
    <t>(0, 206, 209)</t>
  </si>
  <si>
    <t>Process water, treatment</t>
  </si>
  <si>
    <t>Deep Blue</t>
  </si>
  <si>
    <t>#191970</t>
  </si>
  <si>
    <t>(25, 25, 112)</t>
  </si>
  <si>
    <t>Deep water, storage</t>
  </si>
  <si>
    <t>Light Blue</t>
  </si>
  <si>
    <t>#87CEEB</t>
  </si>
  <si>
    <t>(135, 206, 235)</t>
  </si>
  <si>
    <t>Water vapor, evaporation</t>
  </si>
  <si>
    <t>Energy &amp; Processing</t>
  </si>
  <si>
    <t>Fire Orange</t>
  </si>
  <si>
    <t>#FF4500</t>
  </si>
  <si>
    <t>(255, 69, 0)</t>
  </si>
  <si>
    <t>Energy, heat, combustion</t>
  </si>
  <si>
    <t>Amber</t>
  </si>
  <si>
    <t>#FFBF00</t>
  </si>
  <si>
    <t>(255, 191, 0)</t>
  </si>
  <si>
    <t>Energy storage, power</t>
  </si>
  <si>
    <t>Red Orange</t>
  </si>
  <si>
    <t>#FF6347</t>
  </si>
  <si>
    <t>(255, 99, 71)</t>
  </si>
  <si>
    <t>High energy processes</t>
  </si>
  <si>
    <t>Dark Red</t>
  </si>
  <si>
    <t>#8B0000</t>
  </si>
  <si>
    <t>(139, 0, 0)</t>
  </si>
  <si>
    <t>Waste, losses, emissions</t>
  </si>
  <si>
    <t>Recycling &amp; Circular</t>
  </si>
  <si>
    <t>Teal</t>
  </si>
  <si>
    <t>#008B8B</t>
  </si>
  <si>
    <t>(0, 139, 139)</t>
  </si>
  <si>
    <t>Recycling processes</t>
  </si>
  <si>
    <t>Mint Green</t>
  </si>
  <si>
    <t>#98FB98</t>
  </si>
  <si>
    <t>(152, 251, 152)</t>
  </si>
  <si>
    <t>Circular flows, reuse</t>
  </si>
  <si>
    <t>Purple</t>
  </si>
  <si>
    <t>#9370DB</t>
  </si>
  <si>
    <t>(147, 112, 219)</t>
  </si>
  <si>
    <t>Circular economy processes</t>
  </si>
  <si>
    <t>Indigo</t>
  </si>
  <si>
    <t>#4B0082</t>
  </si>
  <si>
    <t>(75, 0, 130)</t>
  </si>
  <si>
    <t>Advanced recycling</t>
  </si>
  <si>
    <t>System &amp; Flow</t>
  </si>
  <si>
    <t>Steel Blue</t>
  </si>
  <si>
    <t>#4682B4</t>
  </si>
  <si>
    <t>(70, 130, 180)</t>
  </si>
  <si>
    <t>System processes</t>
  </si>
  <si>
    <t>Slate Gray</t>
  </si>
  <si>
    <t>#708090</t>
  </si>
  <si>
    <t>(112, 128, 144)</t>
  </si>
  <si>
    <t>Infrastructure, storage</t>
  </si>
  <si>
    <t>Dark Gray</t>
  </si>
  <si>
    <t>#2F4F4F</t>
  </si>
  <si>
    <t>(47, 79, 79)</t>
  </si>
  <si>
    <t>System boundaries</t>
  </si>
  <si>
    <t>Silver</t>
  </si>
  <si>
    <t>#C0C0C0</t>
  </si>
  <si>
    <t>(192, 192, 192)</t>
  </si>
  <si>
    <t>Neutral processes</t>
  </si>
  <si>
    <t>Color_Category</t>
  </si>
  <si>
    <t>Flow_Color_#</t>
  </si>
  <si>
    <t>Window_Width</t>
  </si>
  <si>
    <t>Sankey diagram width in pixels</t>
  </si>
  <si>
    <t>Active</t>
  </si>
  <si>
    <t>Window_Height</t>
  </si>
  <si>
    <t>Sankey diagram height in pixels</t>
  </si>
  <si>
    <t>Zoom_Factor</t>
  </si>
  <si>
    <t>Overall zoom factor for the Sankey diagram (1.0 = normal, 0.5 = half size, 2.0 = double size)</t>
  </si>
  <si>
    <t>Zoom_Scaling</t>
  </si>
  <si>
    <t>Node_Scale_Factor</t>
  </si>
  <si>
    <t>Scale factor for node sizes (1.0 = normal, 0.8 = smaller nodes, 1.2 = larger nodes)</t>
  </si>
  <si>
    <t>Auto_Fit_Frame</t>
  </si>
  <si>
    <t>Automatically adjust zoom to fit all flows within the frame</t>
  </si>
  <si>
    <t>Min_Zoom_Factor</t>
  </si>
  <si>
    <t>Minimum zoom factor to prevent diagram from becoming too small</t>
  </si>
  <si>
    <t>Max_Zoom_Factor</t>
  </si>
  <si>
    <t>Maximum zoom factor to prevent diagram from becoming too large</t>
  </si>
  <si>
    <t>Padding_Factor</t>
  </si>
  <si>
    <t>Extra padding around the diagram as fraction of frame size</t>
  </si>
  <si>
    <t>X_Position_Material</t>
  </si>
  <si>
    <t>Y_Position_Material</t>
  </si>
  <si>
    <t>X_Position_WC</t>
  </si>
  <si>
    <t>X_Position_DM</t>
  </si>
  <si>
    <t>X_Position_CC</t>
  </si>
  <si>
    <t>Y_Position_WC</t>
  </si>
  <si>
    <t>Y_Position_DM</t>
  </si>
  <si>
    <t>Y_Position_CC</t>
  </si>
  <si>
    <t>0.1</t>
  </si>
  <si>
    <t>Process_Logic</t>
  </si>
  <si>
    <t>Splitter</t>
  </si>
  <si>
    <t>Transformer</t>
  </si>
  <si>
    <t>TC_Value_WC</t>
  </si>
  <si>
    <t>TC_Value_DM</t>
  </si>
  <si>
    <t>TC_Value_CC</t>
  </si>
  <si>
    <t>What it is: A Splitter process represents a physical division or distribution of material. It separates inflows into two or more 
     outflows, but it does not change the chemical or physical composition of the material itself.</t>
  </si>
  <si>
    <t xml:space="preserve"> What it is: A Transformer process represents a fundamental change to the material. This includes chemical reactions, biological
     processes, or significant physical changes like drying.
  You are correct, we need to be very precise here. My initial suggestion was slightly simplified. Let's clarify the exact column
  structure.</t>
  </si>
  <si>
    <t>TC_Value_material</t>
  </si>
  <si>
    <t xml:space="preserve"> Selected Scenario Name 1</t>
  </si>
  <si>
    <t xml:space="preserve"> Selected Scenario Name 3</t>
  </si>
  <si>
    <t xml:space="preserve"> Selected Scenario Name 2</t>
  </si>
  <si>
    <t>My baseline scenario</t>
  </si>
  <si>
    <t>TC_material_ID</t>
  </si>
  <si>
    <t>TC_WC_ID</t>
  </si>
  <si>
    <t>TC_DM_ID</t>
  </si>
  <si>
    <t>TC_CC_ID</t>
  </si>
  <si>
    <t>Forestry</t>
  </si>
  <si>
    <t>Reduced_Wood_Yield</t>
  </si>
  <si>
    <t>Flow_Data_Year</t>
  </si>
  <si>
    <t>Flow</t>
  </si>
  <si>
    <t>Flow_Material</t>
  </si>
  <si>
    <t>Flow_material_year_ID</t>
  </si>
  <si>
    <t>Flow_WC_year_ID</t>
  </si>
  <si>
    <t>Flow_DM_year_ID</t>
  </si>
  <si>
    <t>Flow_CC_year_ID</t>
  </si>
  <si>
    <t xml:space="preserve">Flow_WC_ID </t>
  </si>
  <si>
    <t>Flow_DM_ID</t>
  </si>
  <si>
    <t>Flow_CC_ID</t>
  </si>
  <si>
    <t>DM_Flow_Py</t>
  </si>
  <si>
    <t>Flow_Name</t>
  </si>
  <si>
    <t>Flow_WC</t>
  </si>
  <si>
    <t>Flow_DM</t>
  </si>
  <si>
    <t>Flow_CC_DM[%]</t>
  </si>
  <si>
    <t>Input_Process_ID</t>
  </si>
  <si>
    <t>Flow_Output_Process</t>
  </si>
  <si>
    <t>Flow_Output_Process_ID</t>
  </si>
  <si>
    <t>Flow_Input_Process</t>
  </si>
  <si>
    <t>Process_Name</t>
  </si>
  <si>
    <t>start_year</t>
  </si>
  <si>
    <t>end_year</t>
  </si>
  <si>
    <t xml:space="preserve"> Selected Scenario Name 4</t>
  </si>
  <si>
    <t>Strong_reduced_wood_Yield</t>
  </si>
  <si>
    <t>Increased_cascading_utilization</t>
  </si>
  <si>
    <t>TC_Type</t>
  </si>
  <si>
    <t>Dynamic</t>
  </si>
  <si>
    <t>Static</t>
  </si>
  <si>
    <t>CL_TC_Type</t>
  </si>
  <si>
    <t>CL_logic</t>
  </si>
  <si>
    <t>No TC</t>
  </si>
  <si>
    <t>DSM_Category_Nr.</t>
  </si>
  <si>
    <t>DSM_Category_Name</t>
  </si>
  <si>
    <t>DSM_Inflow_Split_[%]</t>
  </si>
  <si>
    <t>DSM_Lifetime_Type</t>
  </si>
  <si>
    <t>DSM_Lifetime_Mean</t>
  </si>
  <si>
    <t>DSM_Lifetime_StdDev</t>
  </si>
  <si>
    <t>DSM_Parameter</t>
  </si>
  <si>
    <t>DSM_Parameter_type</t>
  </si>
  <si>
    <t>DSM_Parameter_typ</t>
  </si>
  <si>
    <t>DSM_Value</t>
  </si>
  <si>
    <t>DSM_Output_1_Flow_ID</t>
  </si>
  <si>
    <t>DSM_Output_1_Flow_Name</t>
  </si>
  <si>
    <t>DSM_Output_1_Split_[%]</t>
  </si>
  <si>
    <t>DSM_Output_2_Flow_ID</t>
  </si>
  <si>
    <t>DSM_Output_2_Flow_Name</t>
  </si>
  <si>
    <t>DSM_Output_2_Split_[%]</t>
  </si>
  <si>
    <t>DSM_Output_3_Flow_ID</t>
  </si>
  <si>
    <t>DSM_Output_3_Flow_Name</t>
  </si>
  <si>
    <t>DSM_Output_3_Split_[%]</t>
  </si>
  <si>
    <t>F_01_02</t>
  </si>
  <si>
    <t>0.3</t>
  </si>
  <si>
    <t>0.6</t>
  </si>
  <si>
    <t>0.2</t>
  </si>
  <si>
    <t>0.5</t>
  </si>
  <si>
    <t>Pass-through</t>
  </si>
  <si>
    <t>DSM</t>
  </si>
  <si>
    <t>TC_Configuration</t>
  </si>
  <si>
    <t>Stock_Configuration</t>
  </si>
  <si>
    <t>CL_Stock_Configuration</t>
  </si>
  <si>
    <t>With_Initial_Stock</t>
  </si>
  <si>
    <t>No_Stock</t>
  </si>
  <si>
    <t>Stock</t>
  </si>
  <si>
    <t>Setting_Name</t>
  </si>
  <si>
    <t>Year_publication</t>
  </si>
  <si>
    <t>Type_of_the_Study</t>
  </si>
  <si>
    <t>Atmosphere_Input_C</t>
  </si>
  <si>
    <t>Use-Phase_Construction_Wood</t>
  </si>
  <si>
    <t>EoL_Sorting</t>
  </si>
  <si>
    <t>Processing_Roundwood</t>
  </si>
  <si>
    <t>Processing_Industry_Wood</t>
  </si>
  <si>
    <t>Incineration_Waste_Wood</t>
  </si>
  <si>
    <t>Use-Phase_Industry_Wood</t>
  </si>
  <si>
    <t>Incineration_Energy_Wood</t>
  </si>
  <si>
    <t>Drying_Industry_Wood</t>
  </si>
  <si>
    <t>Drying_Roundwood</t>
  </si>
  <si>
    <t>Incineration_Processing_Waste_Wood</t>
  </si>
  <si>
    <t>Environment_Input_E</t>
  </si>
  <si>
    <t>Roundwood</t>
  </si>
  <si>
    <t>Energy_Wood</t>
  </si>
  <si>
    <t>Industry_wood</t>
  </si>
  <si>
    <t>Roundwood_Processing_Waste</t>
  </si>
  <si>
    <t>Construction_Wood</t>
  </si>
  <si>
    <t>Construction_Wood_EoL</t>
  </si>
  <si>
    <t>EoL_Wood_Secondary_processing</t>
  </si>
  <si>
    <t>EoL_Wood_Incineration</t>
  </si>
  <si>
    <t>Industry_wood_Processing_Waste</t>
  </si>
  <si>
    <t>Waste_Wood_Incineration_Emissions_C</t>
  </si>
  <si>
    <t>Waste_Wood_Incineration_Emissions_E</t>
  </si>
  <si>
    <t>Energy_wood_incineration_Emissions_C</t>
  </si>
  <si>
    <t>Energy_wood_incineration_Emmsions_E</t>
  </si>
  <si>
    <t>Roundwood_Processing_by-products</t>
  </si>
  <si>
    <t>Industry_wood_dry</t>
  </si>
  <si>
    <t>Industry_wood_water</t>
  </si>
  <si>
    <t>Roundwood_dry</t>
  </si>
  <si>
    <t>Roundwood_water</t>
  </si>
  <si>
    <t>Incineration_Processing_Waste_Emissions_C</t>
  </si>
  <si>
    <t>Incineration_Processing_Waste_Emissions_E</t>
  </si>
  <si>
    <t>Wood_materials</t>
  </si>
  <si>
    <t>Wood_materials_EoL</t>
  </si>
  <si>
    <t>https://holzvomfach.de/fachwissen-holz/wissenswertes/holzwissen/die-rohdichte-des-holzes/</t>
  </si>
  <si>
    <t>Doors_Windows</t>
  </si>
  <si>
    <t>Roofs</t>
  </si>
  <si>
    <t>Structural_Parts</t>
  </si>
  <si>
    <t>F_05_06</t>
  </si>
  <si>
    <t>Furniture</t>
  </si>
  <si>
    <t>Floor_Interior_Parts</t>
  </si>
  <si>
    <t>F_09_06</t>
  </si>
  <si>
    <t>Single-Use_Material</t>
  </si>
  <si>
    <t>F_00_02</t>
  </si>
  <si>
    <t>TC_material_06_07</t>
  </si>
  <si>
    <t>TC_material_06_08</t>
  </si>
  <si>
    <t>0.85</t>
  </si>
  <si>
    <t>1_1_Definition_Flows</t>
  </si>
  <si>
    <t>Purpose:</t>
  </si>
  <si>
    <t>Action:</t>
  </si>
  <si>
    <t>Note:</t>
  </si>
  <si>
    <t>Note</t>
  </si>
  <si>
    <t>Data Validation</t>
  </si>
  <si>
    <t>Titel:</t>
  </si>
  <si>
    <t>Body:</t>
  </si>
  <si>
    <t>1_2_Data_Flows</t>
  </si>
  <si>
    <t>2_1_Definition_Processes</t>
  </si>
  <si>
    <t>3_1_Definition_DSM</t>
  </si>
  <si>
    <t>3_2_Definition_FOMP</t>
  </si>
  <si>
    <t>5_1_Scenario_Manager</t>
  </si>
  <si>
    <t>4_1_Uncertainty_Parameters</t>
  </si>
  <si>
    <t>Name_Column</t>
  </si>
  <si>
    <t>Name_sheet</t>
  </si>
  <si>
    <t>Confirm Completion</t>
  </si>
  <si>
    <t>Check this box ONLY after ALL data in the row has been verified and entered.</t>
  </si>
  <si>
    <t>Combined Note:</t>
  </si>
  <si>
    <t>6_1_Visualization_Processes</t>
  </si>
  <si>
    <t>6_2_Visualization_Flows</t>
  </si>
  <si>
    <t>Flow_WC_ID</t>
  </si>
  <si>
    <t>Flow_WC[%]</t>
  </si>
  <si>
    <t>Flow_DM[%]</t>
  </si>
  <si>
    <t>Flow_CC_FM[%]</t>
  </si>
  <si>
    <t>Outflow_count</t>
  </si>
  <si>
    <t>Titel_source</t>
  </si>
  <si>
    <t>Author_source</t>
  </si>
  <si>
    <t>Type_source</t>
  </si>
  <si>
    <t>URL_source</t>
  </si>
  <si>
    <t>Definition of Row Identifier</t>
  </si>
  <si>
    <t>Auto-generated identifier</t>
  </si>
  <si>
    <t>Definition of Flow Identifier</t>
  </si>
  <si>
    <t>Definition of Flow Name</t>
  </si>
  <si>
    <t>Enter the name of the Flow Name</t>
  </si>
  <si>
    <t>Definition of Output Process Name</t>
  </si>
  <si>
    <t>Enter the name of the Output Process Name</t>
  </si>
  <si>
    <t>Definition of Output Process ID</t>
  </si>
  <si>
    <t>Definition of Input Process Name</t>
  </si>
  <si>
    <t>Enter the name of the Input Process Name</t>
  </si>
  <si>
    <t>Definition of Input Process ID</t>
  </si>
  <si>
    <t>Definition of Water Content Flag</t>
  </si>
  <si>
    <t>Select the Water Content Flag from dropdown</t>
  </si>
  <si>
    <t>Definition of Dry Matter Flag</t>
  </si>
  <si>
    <t>Select the Dry Matter Flag from dropdown</t>
  </si>
  <si>
    <t>Definition of Carbon Content Flag</t>
  </si>
  <si>
    <t>Select the Carbon Content Flag from dropdown</t>
  </si>
  <si>
    <t xml:space="preserve">Definition of Flow_WC_ID </t>
  </si>
  <si>
    <t xml:space="preserve">Enter appropriate value for Flow_WC_ID </t>
  </si>
  <si>
    <t>Definition of Flow_WC</t>
  </si>
  <si>
    <t>Enter appropriate value for Flow_WC</t>
  </si>
  <si>
    <t>Definition of WC_source</t>
  </si>
  <si>
    <t>Enter appropriate value for WC_source</t>
  </si>
  <si>
    <t>Definition of Flow_DM_ID</t>
  </si>
  <si>
    <t>Enter appropriate value for Flow_DM_ID</t>
  </si>
  <si>
    <t>Definition of Flow_DM</t>
  </si>
  <si>
    <t>Enter appropriate value for Flow_DM</t>
  </si>
  <si>
    <t>Definition of DM_source</t>
  </si>
  <si>
    <t>Enter appropriate value for DM_source</t>
  </si>
  <si>
    <t>Definition of Flow_CC_ID</t>
  </si>
  <si>
    <t>Enter appropriate value for Flow_CC_ID</t>
  </si>
  <si>
    <t>Definition of Carbon Content Percentage of DM</t>
  </si>
  <si>
    <t>Enter the carbon content percentage</t>
  </si>
  <si>
    <t>Definition of CC_DM_source</t>
  </si>
  <si>
    <t>Enter appropriate value for CC_DM_source</t>
  </si>
  <si>
    <t>Definition of CC</t>
  </si>
  <si>
    <t>Enter appropriate value for CC</t>
  </si>
  <si>
    <t>Definition of CC_FM_source</t>
  </si>
  <si>
    <t>Enter appropriate value for CC_FM_source</t>
  </si>
  <si>
    <t>Definition of Data Year</t>
  </si>
  <si>
    <t>Enter the Data Year</t>
  </si>
  <si>
    <t>Definition of Flow</t>
  </si>
  <si>
    <t>Enter appropriate value for Flow</t>
  </si>
  <si>
    <t>Definition of UoM_Source</t>
  </si>
  <si>
    <t>Enter appropriate value for UoM_Source</t>
  </si>
  <si>
    <t>Definition of Name_Source</t>
  </si>
  <si>
    <t>Enter appropriate value for Name_Source</t>
  </si>
  <si>
    <t>Definition of AVV</t>
  </si>
  <si>
    <t>Enter appropriate value for AVV</t>
  </si>
  <si>
    <t>Definition of Titel_Source</t>
  </si>
  <si>
    <t>Enter appropriate value for Titel_Source</t>
  </si>
  <si>
    <t>Definition of {field_type}</t>
  </si>
  <si>
    <t>Enter the {field_type}</t>
  </si>
  <si>
    <t>Definition of Data Source Author</t>
  </si>
  <si>
    <t>Enter the Data Source Author information</t>
  </si>
  <si>
    <t>Definition of Source Type</t>
  </si>
  <si>
    <t>Select the Source Type from dropdown</t>
  </si>
  <si>
    <t>Definition of URL</t>
  </si>
  <si>
    <t>Enter appropriate value for URL</t>
  </si>
  <si>
    <t>Definition of CF_required?</t>
  </si>
  <si>
    <t>Enter appropriate value for CF_required?</t>
  </si>
  <si>
    <t>Definition of CF</t>
  </si>
  <si>
    <t>Enter appropriate value for CF</t>
  </si>
  <si>
    <t>Definition of Name_CF</t>
  </si>
  <si>
    <t>Enter appropriate value for Name_CF</t>
  </si>
  <si>
    <t>Definition of Flow_material_year_ID</t>
  </si>
  <si>
    <t>Enter appropriate value for Flow_material_year_ID</t>
  </si>
  <si>
    <t>Definition of Material Flow Amount</t>
  </si>
  <si>
    <t>Enter the Material Flow Amount value</t>
  </si>
  <si>
    <t>Definition of UoM_Flow_Py</t>
  </si>
  <si>
    <t>Enter appropriate value for UoM_Flow_Py</t>
  </si>
  <si>
    <t>Definition of Water Content Percentage (Data)</t>
  </si>
  <si>
    <t>Enter the water content percentage</t>
  </si>
  <si>
    <t>Definition of Flow_WC_year_ID</t>
  </si>
  <si>
    <t>Enter appropriate value for Flow_WC_year_ID</t>
  </si>
  <si>
    <t>Definition of WC_Flow_Py</t>
  </si>
  <si>
    <t>Enter appropriate value for WC_Flow_Py</t>
  </si>
  <si>
    <t>Definition of UoM_WC_Flow_Py</t>
  </si>
  <si>
    <t>Enter appropriate value for UoM_WC_Flow_Py</t>
  </si>
  <si>
    <t>Definition of Dry Matter Percentage (Data)</t>
  </si>
  <si>
    <t>Enter the dry matter percentage</t>
  </si>
  <si>
    <t>Definition of Flow_DM_year_ID</t>
  </si>
  <si>
    <t>Enter appropriate value for Flow_DM_year_ID</t>
  </si>
  <si>
    <t>Definition of DM_Flow_Py</t>
  </si>
  <si>
    <t>Enter appropriate value for DM_Flow_Py</t>
  </si>
  <si>
    <t>Definition of UoM_DM_Flow_Py</t>
  </si>
  <si>
    <t>Enter appropriate value for UoM_DM_Flow_Py</t>
  </si>
  <si>
    <t>Definition of Carbon Content Percentage (Data)</t>
  </si>
  <si>
    <t>Definition of Flow_CC_year_ID</t>
  </si>
  <si>
    <t>Enter appropriate value for Flow_CC_year_ID</t>
  </si>
  <si>
    <t>Definition of CC_Flow_Py</t>
  </si>
  <si>
    <t>Enter appropriate value for CC_Flow_Py</t>
  </si>
  <si>
    <t>Definition of UoM_CC_Flow_Py</t>
  </si>
  <si>
    <t>Enter appropriate value for UoM_CC_Flow_Py</t>
  </si>
  <si>
    <t>Definition of Completion Flag</t>
  </si>
  <si>
    <t>Check this box only after all data in the row has been verified</t>
  </si>
  <si>
    <t>Definition of Process Identifier</t>
  </si>
  <si>
    <t>Definition of Process Name</t>
  </si>
  <si>
    <t>Enter the name of the Process Name</t>
  </si>
  <si>
    <t>Definition of Process Description</t>
  </si>
  <si>
    <t>Enter the name of the Process Description</t>
  </si>
  <si>
    <t>Definition of Process Logic Type</t>
  </si>
  <si>
    <t>Select the Process Logic Type from dropdown</t>
  </si>
  <si>
    <t>Definition of Transfer Coefficient Configuration</t>
  </si>
  <si>
    <t>Select the Transfer Coefficient Configuration from dropdown</t>
  </si>
  <si>
    <t>Definition of Stock Configuration</t>
  </si>
  <si>
    <t>Select the Stock Configuration from dropdown</t>
  </si>
  <si>
    <t>Enter the {field_type} value</t>
  </si>
  <si>
    <t>Definition of Output_Flow</t>
  </si>
  <si>
    <t>Enter appropriate value for Output_Flow</t>
  </si>
  <si>
    <t>Definition of Transfer Coefficient Material ID</t>
  </si>
  <si>
    <t>Definition of Transfer Coefficient Value</t>
  </si>
  <si>
    <t>Enter the Transfer Coefficient Value value</t>
  </si>
  <si>
    <t>Definition of Water Content Transfer Coefficient</t>
  </si>
  <si>
    <t>Enter the Water Content Transfer Coefficient value</t>
  </si>
  <si>
    <t>Definition of Dry Matter Transfer Coefficient</t>
  </si>
  <si>
    <t>Enter the Dry Matter Transfer Coefficient value</t>
  </si>
  <si>
    <t>Definition of Carbon Content Transfer Coefficient</t>
  </si>
  <si>
    <t>Enter the Carbon Content Transfer Coefficient value</t>
  </si>
  <si>
    <t>Definition of Titel</t>
  </si>
  <si>
    <t>Enter appropriate value for Titel</t>
  </si>
  <si>
    <t>Definition of Year_publication</t>
  </si>
  <si>
    <t>Enter appropriate value for Year_publication</t>
  </si>
  <si>
    <t>Definition of Author</t>
  </si>
  <si>
    <t>Enter appropriate value for Author</t>
  </si>
  <si>
    <t>Definition of Type_of_the_Study</t>
  </si>
  <si>
    <t>Enter appropriate value for Type_of_the_Study</t>
  </si>
  <si>
    <t>Definition of Year (Dynamic TCs)</t>
  </si>
  <si>
    <t>Enter the Year (Dynamic TCs)</t>
  </si>
  <si>
    <t>Definition of Initial Stock Material Amount</t>
  </si>
  <si>
    <t>Enter the Initial Stock Material Amount value</t>
  </si>
  <si>
    <t>Definition of UoM</t>
  </si>
  <si>
    <t>Enter appropriate value for UoM</t>
  </si>
  <si>
    <t>Definition of Initial Stock Water Content</t>
  </si>
  <si>
    <t>Definition of Initial Stock Dry Matter</t>
  </si>
  <si>
    <t>Definition of Initial Stock Carbon Content</t>
  </si>
  <si>
    <t>Enter the name of the {field_type}</t>
  </si>
  <si>
    <t>Definition of Destination_Process</t>
  </si>
  <si>
    <t>Enter appropriate value for Destination_Process</t>
  </si>
  <si>
    <t>Definition of Destination_Flow</t>
  </si>
  <si>
    <t>Enter appropriate value for Destination_Flow</t>
  </si>
  <si>
    <t>Definition of Annual_Consumption_Rate</t>
  </si>
  <si>
    <t>Enter appropriate value for Annual_Consumption_Rate</t>
  </si>
  <si>
    <t>Definition of DSM_Category_Nr.</t>
  </si>
  <si>
    <t>Enter appropriate value for DSM_Category_Nr.</t>
  </si>
  <si>
    <t>Definition of DSM_Parameter_typ</t>
  </si>
  <si>
    <t>Enter appropriate value for DSM_Parameter_typ</t>
  </si>
  <si>
    <t>Definition of DSM_Parameter_type</t>
  </si>
  <si>
    <t>Enter appropriate value for DSM_Parameter_type</t>
  </si>
  <si>
    <t>Definition of DSM_Parameter</t>
  </si>
  <si>
    <t>Enter appropriate value for DSM_Parameter</t>
  </si>
  <si>
    <t>Definition of DSM_Value</t>
  </si>
  <si>
    <t>Enter appropriate value for DSM_Value</t>
  </si>
  <si>
    <t>Definition of Nr._Decay_Pools</t>
  </si>
  <si>
    <t>Enter appropriate value for Nr._Decay_Pools</t>
  </si>
  <si>
    <t>Definition of Pool</t>
  </si>
  <si>
    <t>Enter appropriate value for Pool</t>
  </si>
  <si>
    <t>Definition of Parameter_Name</t>
  </si>
  <si>
    <t>Enter appropriate value for Parameter_Name</t>
  </si>
  <si>
    <t>Definition of Value</t>
  </si>
  <si>
    <t>Enter appropriate value for Value</t>
  </si>
  <si>
    <t>Definition of Parameter</t>
  </si>
  <si>
    <t>Enter appropriate value for Parameter</t>
  </si>
  <si>
    <t>Definition of Parameter_Selection</t>
  </si>
  <si>
    <t>Enter appropriate value for Parameter_Selection</t>
  </si>
  <si>
    <t>Definition of Distribution</t>
  </si>
  <si>
    <t>Enter appropriate value for Distribution</t>
  </si>
  <si>
    <t>Definition of Mean</t>
  </si>
  <si>
    <t>Enter appropriate value for Mean</t>
  </si>
  <si>
    <t>Definition of StdDev</t>
  </si>
  <si>
    <t>Enter appropriate value for StdDev</t>
  </si>
  <si>
    <t>Definition of Min</t>
  </si>
  <si>
    <t>Enter appropriate value for Min</t>
  </si>
  <si>
    <t>Definition of Max</t>
  </si>
  <si>
    <t>Enter appropriate value for Max</t>
  </si>
  <si>
    <t>Definition of Mode</t>
  </si>
  <si>
    <t>Enter appropriate value for Mode</t>
  </si>
  <si>
    <t>Definition of Scenario_Name</t>
  </si>
  <si>
    <t>Enter appropriate value for Scenario_Name</t>
  </si>
  <si>
    <t>Definition of Operation</t>
  </si>
  <si>
    <t>Enter appropriate value for Operation</t>
  </si>
  <si>
    <t>Definition of New_Value</t>
  </si>
  <si>
    <t>Enter appropriate value for New_Value</t>
  </si>
  <si>
    <t>Definition of start_year</t>
  </si>
  <si>
    <t>Enter appropriate value for start_year</t>
  </si>
  <si>
    <t>Definition of end_year</t>
  </si>
  <si>
    <t>Enter appropriate value for end_year</t>
  </si>
  <si>
    <t>Definition of Comment</t>
  </si>
  <si>
    <t>Enter appropriate value for Comment</t>
  </si>
  <si>
    <t>Definition of Name(EN)</t>
  </si>
  <si>
    <t>Enter appropriate value for Name(EN)</t>
  </si>
  <si>
    <t>Definition of Color_Category</t>
  </si>
  <si>
    <t>Enter appropriate value for Color_Category</t>
  </si>
  <si>
    <t>Definition of Node_Color</t>
  </si>
  <si>
    <t>Enter appropriate value for Node_Color</t>
  </si>
  <si>
    <t>Definition of Node_Color_#</t>
  </si>
  <si>
    <t>Enter appropriate value for Node_Color_#</t>
  </si>
  <si>
    <t>Definition of X_Position_Material</t>
  </si>
  <si>
    <t>Enter appropriate value for X_Position_Material</t>
  </si>
  <si>
    <t>Definition of Y_Position_Material</t>
  </si>
  <si>
    <t>Enter appropriate value for Y_Position_Material</t>
  </si>
  <si>
    <t>Definition of X_Position_WC</t>
  </si>
  <si>
    <t>Enter appropriate value for X_Position_WC</t>
  </si>
  <si>
    <t>Definition of Y_Position_WC</t>
  </si>
  <si>
    <t>Enter appropriate value for Y_Position_WC</t>
  </si>
  <si>
    <t>Definition of X_Position_DM</t>
  </si>
  <si>
    <t>Enter appropriate value for X_Position_DM</t>
  </si>
  <si>
    <t>Definition of Y_Position_DM</t>
  </si>
  <si>
    <t>Enter appropriate value for Y_Position_DM</t>
  </si>
  <si>
    <t>Definition of X_Position_CC</t>
  </si>
  <si>
    <t>Enter appropriate value for X_Position_CC</t>
  </si>
  <si>
    <t>Definition of Y_Position_CC</t>
  </si>
  <si>
    <t>Enter appropriate value for Y_Position_CC</t>
  </si>
  <si>
    <t>Definition of Flow_Color</t>
  </si>
  <si>
    <t>Enter appropriate value for Flow_Color</t>
  </si>
  <si>
    <t>Definition of Flow_Color_#</t>
  </si>
  <si>
    <t>Enter appropriate value for Flow_Color_#</t>
  </si>
  <si>
    <t>Unique identifier for data row</t>
  </si>
  <si>
    <t>Automatically assigned</t>
  </si>
  <si>
    <t>This field is generated automatically. No manual input required. Used for system identification and linking.</t>
  </si>
  <si>
    <t>Unique identifier for material flow</t>
  </si>
  <si>
    <t>Defines the Flow Name for identification and visualization</t>
  </si>
  <si>
    <t>Enter a comprehensive Flow Name name (e.g., "Biomass_Input, Wood_Chips_Output, CO2_Emission")</t>
  </si>
  <si>
    <t>Select a unique comprehensive name, which is displayed within the entire system. Use descriptive names for clarity.</t>
  </si>
  <si>
    <t>Defines the Output Process Name for identification and visualization</t>
  </si>
  <si>
    <t>Enter a comprehensive Output Process Name name (e.g., "Forestry, Biomass_Processing, Combustion")</t>
  </si>
  <si>
    <t>Unique identifier for output process</t>
  </si>
  <si>
    <t>Defines the Input Process Name for identification and visualization</t>
  </si>
  <si>
    <t>Enter a comprehensive Input Process Name name (e.g., "Sawmill, Drying, Incineration")</t>
  </si>
  <si>
    <t>Unique identifier for input process</t>
  </si>
  <si>
    <t>Defines the Water Content Flag configuration for system behavior</t>
  </si>
  <si>
    <t>Select from: Yes (water content data available), No (no water content data)</t>
  </si>
  <si>
    <t>This setting affects how the system processes this flow. Select Yes if you have water content data for this flow.</t>
  </si>
  <si>
    <t>Defines the Dry Matter Flag configuration for system behavior</t>
  </si>
  <si>
    <t>Select from: Yes (dry matter data available), No (no dry matter data)</t>
  </si>
  <si>
    <t>This setting affects how the system processes this flow. Select Yes if you have dry matter data for this flow.</t>
  </si>
  <si>
    <t>Defines the Carbon Content Flag configuration for system behavior</t>
  </si>
  <si>
    <t>Select from: Yes (carbon content data available), No (no carbon content data)</t>
  </si>
  <si>
    <t>This setting affects how the system processes this flow. Select Yes if you have carbon content data for this flow.</t>
  </si>
  <si>
    <t>Data field for Flow_WC_ID  in 1_1_Definition_Flows</t>
  </si>
  <si>
    <t>Please refer to BioDYM documentation for specific requirements.</t>
  </si>
  <si>
    <t>Data field for Flow_WC in 1_1_Definition_Flows</t>
  </si>
  <si>
    <t>Data field for WC_source in 1_1_Definition_Flows</t>
  </si>
  <si>
    <t>Data field for Flow_DM_ID in 1_1_Definition_Flows</t>
  </si>
  <si>
    <t>Data field for Flow_DM in 1_1_Definition_Flows</t>
  </si>
  <si>
    <t>Data field for DM_source in 1_1_Definition_Flows</t>
  </si>
  <si>
    <t>Data field for Flow_CC_ID in 1_1_Definition_Flows</t>
  </si>
  <si>
    <t>Defines the carbon content content percentage for element composition calculation</t>
  </si>
  <si>
    <t>Enter percentage value (0-100%)</t>
  </si>
  <si>
    <t>Used for element flow calculations. Typical values: Wood biomass: 45-50% of dry matter. Tip: Carbon content is expressed as percentage of dry matter, not total material.</t>
  </si>
  <si>
    <t>Data field for CC_DM_source in 1_1_Definition_Flows</t>
  </si>
  <si>
    <t>Data field for CC in 1_1_Definition_Flows</t>
  </si>
  <si>
    <t>Data field for CC_FM_source in 1_1_Definition_Flows</t>
  </si>
  <si>
    <t>Defines the Data Year for temporal data organization</t>
  </si>
  <si>
    <t>Enter year (e.g., 2020, 2021, 2022)</t>
  </si>
  <si>
    <t>Must be consistent with analysis time period. Used for time-series data organization.</t>
  </si>
  <si>
    <t>Data field for Flow in 1_2_Data_Flows</t>
  </si>
  <si>
    <t>Data field for UoM_Source in 1_2_Data_Flows</t>
  </si>
  <si>
    <t>Data field for Name_Source in 1_2_Data_Flows</t>
  </si>
  <si>
    <t>Data field for AVV in 1_2_Data_Flows</t>
  </si>
  <si>
    <t>Data field for Titel_Source in 1_2_Data_Flows</t>
  </si>
  <si>
    <t>Defines the {field_type} for temporal data organization</t>
  </si>
  <si>
    <t>Defines the Data Source Author for data traceability</t>
  </si>
  <si>
    <t>Enter author or organization information</t>
  </si>
  <si>
    <t>Required for data quality assessment and traceability. Include author, publication, or data source.</t>
  </si>
  <si>
    <t>Defines the Source Type configuration for system behavior</t>
  </si>
  <si>
    <t>Select from: Literature, Measurement, Estimate, Database, Expert Knowledge</t>
  </si>
  <si>
    <t>This setting affects how the system processes this data. Select appropriate source type for data quality assessment.</t>
  </si>
  <si>
    <t>Data field for URL in 1_2_Data_Flows</t>
  </si>
  <si>
    <t>Data field for CF_required? in 1_2_Data_Flows</t>
  </si>
  <si>
    <t>Data field for CF in 1_2_Data_Flows</t>
  </si>
  <si>
    <t>Data field for Name_CF in 1_2_Data_Flows</t>
  </si>
  <si>
    <t>Data field for Flow_material_year_ID in 1_2_Data_Flows</t>
  </si>
  <si>
    <t>Defines the Material Flow Amount for calculations</t>
  </si>
  <si>
    <t>Enter numerical value in specified unit</t>
  </si>
  <si>
    <t>Required for system calculations. Must be positive value. Used in MFA calculations.</t>
  </si>
  <si>
    <t>Data field for UoM_Flow_Py in 1_2_Data_Flows</t>
  </si>
  <si>
    <t>Defines the water content content percentage for element composition calculation</t>
  </si>
  <si>
    <t>Used for element flow calculations. Typical values: Fresh biomass: 40-60%, Dry biomass: 10-20%. Tip: Optional. Overrides flow definition if provided.</t>
  </si>
  <si>
    <t>Data field for Flow_WC_year_ID in 1_2_Data_Flows</t>
  </si>
  <si>
    <t>Data field for WC_Flow_Py in 1_2_Data_Flows</t>
  </si>
  <si>
    <t>Data field for UoM_WC_Flow_Py in 1_2_Data_Flows</t>
  </si>
  <si>
    <t>Defines the dry matter content percentage for element composition calculation</t>
  </si>
  <si>
    <t>Used for element flow calculations. Typical values: Fresh biomass: 40-60%, Dry biomass: 80-90%. Tip: Optional. Overrides flow definition if provided.</t>
  </si>
  <si>
    <t>Data field for Flow_DM_year_ID in 1_2_Data_Flows</t>
  </si>
  <si>
    <t>Data field for DM_Flow_Py in 1_2_Data_Flows</t>
  </si>
  <si>
    <t>Data field for UoM_DM_Flow_Py in 1_2_Data_Flows</t>
  </si>
  <si>
    <t>Used for element flow calculations. Typical values: Wood biomass: 45-50% of dry matter. Tip: Optional. Overrides flow definition if provided.</t>
  </si>
  <si>
    <t>Data field for Flow_CC_year_ID in 1_2_Data_Flows</t>
  </si>
  <si>
    <t>Data field for CC_Flow_Py in 1_2_Data_Flows</t>
  </si>
  <si>
    <t>Data field for UoM_CC_Flow_Py in 1_2_Data_Flows</t>
  </si>
  <si>
    <t>Flag this row as 100% complete for reporting and filtering purposes</t>
  </si>
  <si>
    <t>Click to select</t>
  </si>
  <si>
    <t>This input is optional. Leave blank if the process is ongoing. Used for progress tracking.</t>
  </si>
  <si>
    <t>Unique identifier for process</t>
  </si>
  <si>
    <t>Defines the Process Name for identification and visualization</t>
  </si>
  <si>
    <t>Enter a comprehensive Process Name name (e.g., "Forestry, Sawmill, Drying, Combustion")</t>
  </si>
  <si>
    <t>Defines the Process Description for identification and visualization</t>
  </si>
  <si>
    <t>Enter a comprehensive Process Description name (e.g., "Wood processing facility, Biomass combustion unit")</t>
  </si>
  <si>
    <t>Defines the Process Logic Type configuration for system behavior</t>
  </si>
  <si>
    <t>Select from: Input (receives only), Output (produces only), Pass-through (no transformation), Transformation (converts materials)</t>
  </si>
  <si>
    <t>This setting affects how the system processes this process. Splitter processes: Use Material TCs only. Transformer processes: Use elemental TCs (WC, DM, CC).</t>
  </si>
  <si>
    <t>Defines the Transfer Coefficient Configuration configuration for system behavior</t>
  </si>
  <si>
    <t>Select from: Static (constant TCs), Dynamic (time-varying TCs), None (no TCs)</t>
  </si>
  <si>
    <t>This setting affects how the system processes this process. Static: Same TC value over time. Dynamic: TC changes by year. None: Skip TC calculations.</t>
  </si>
  <si>
    <t>Defines the Stock Configuration configuration for system behavior</t>
  </si>
  <si>
    <t>Select from: Stock (maintains material stocks), None (no stocks)</t>
  </si>
  <si>
    <t>This setting affects how the system processes this process. Stock: Creates stock equations for material accumulation. None: No stock calculations.</t>
  </si>
  <si>
    <t>Defines the {field_type} for calculations</t>
  </si>
  <si>
    <t>Data field for Output_Flow in 2_3_static_TCs</t>
  </si>
  <si>
    <t>Unique identifier for transfer coefficient material</t>
  </si>
  <si>
    <t>Defines the Transfer Coefficient Value for calculations</t>
  </si>
  <si>
    <t>Unique identifier for {context}</t>
  </si>
  <si>
    <t>Defines the Water Content Transfer Coefficient for calculations</t>
  </si>
  <si>
    <t>Defines the Dry Matter Transfer Coefficient for calculations</t>
  </si>
  <si>
    <t>Defines the Carbon Content Transfer Coefficient for calculations</t>
  </si>
  <si>
    <t>Data field for Titel in 2_3_static_TCs</t>
  </si>
  <si>
    <t>Data field for Year_publication in 2_3_static_TCs</t>
  </si>
  <si>
    <t>Data field for Author in 2_3_static_TCs</t>
  </si>
  <si>
    <t>Data field for Type_of_the_Study in 2_3_static_TCs</t>
  </si>
  <si>
    <t>Data field for URL in 2_3_static_TCs</t>
  </si>
  <si>
    <t>Data field for Output_Flow in 2_4_dynamic_TCs</t>
  </si>
  <si>
    <t>Defines the Year (Dynamic TCs) for temporal data organization</t>
  </si>
  <si>
    <t>Defines the Initial Stock Material Amount for calculations</t>
  </si>
  <si>
    <t>Data field for UoM in 2_5_Initial_Stock</t>
  </si>
  <si>
    <t>Used for element flow calculations. Typical values: Fresh biomass: 40-60%, Dry biomass: 10-20%. Tip: Required for element composition calculation.</t>
  </si>
  <si>
    <t>Used for element flow calculations. Typical values: Fresh biomass: 40-60%, Dry biomass: 80-90%. Tip: Required for element composition calculation.</t>
  </si>
  <si>
    <t>Used for element flow calculations. Typical values: Wood biomass: 45-50% of dry matter. Tip: Required for element composition calculation.</t>
  </si>
  <si>
    <t>Defines the {field_type} for identification and visualization</t>
  </si>
  <si>
    <t>Enter a comprehensive {field_type} name (e.g., "{example}")</t>
  </si>
  <si>
    <t>Data field for Destination_Process in 2_5_Initial_Stock</t>
  </si>
  <si>
    <t>Data field for Destination_Flow in 2_5_Initial_Stock</t>
  </si>
  <si>
    <t>Data field for Annual_Consumption_Rate in 2_5_Initial_Stock</t>
  </si>
  <si>
    <t>Data field for DSM_Category_Nr. in 3_1_Definition_DSM</t>
  </si>
  <si>
    <t>Data field for DSM_Parameter_typ in 3_1_Definition_DSM</t>
  </si>
  <si>
    <t>Data field for DSM_Parameter_type in 3_1_Definition_DSM</t>
  </si>
  <si>
    <t>Data field for DSM_Parameter in 3_1_Definition_DSM</t>
  </si>
  <si>
    <t>Data field for DSM_Value in 3_1_Definition_DSM</t>
  </si>
  <si>
    <t>Data field for Nr._Decay_Pools in 3_2_Definition_FOMP</t>
  </si>
  <si>
    <t>Data field for Pool in 3_2_Definition_FOMP</t>
  </si>
  <si>
    <t>Data field for Parameter_Name in 3_2_Definition_FOMP</t>
  </si>
  <si>
    <t>Data field for Value in 3_2_Definition_FOMP</t>
  </si>
  <si>
    <t>Data field for Parameter in 4_1_Uncertainty_Parameters</t>
  </si>
  <si>
    <t>Data field for Parameter_Selection in 4_1_Uncertainty_Parameters</t>
  </si>
  <si>
    <t>Data field for Parameter_Name in 4_1_Uncertainty_Parameters</t>
  </si>
  <si>
    <t>Data field for Distribution in 4_1_Uncertainty_Parameters</t>
  </si>
  <si>
    <t>Data field for Mean in 4_1_Uncertainty_Parameters</t>
  </si>
  <si>
    <t>Data field for StdDev in 4_1_Uncertainty_Parameters</t>
  </si>
  <si>
    <t>Data field for Min in 4_1_Uncertainty_Parameters</t>
  </si>
  <si>
    <t>Data field for Max in 4_1_Uncertainty_Parameters</t>
  </si>
  <si>
    <t>Data field for Mode in 4_1_Uncertainty_Parameters</t>
  </si>
  <si>
    <t>Data field for Scenario_Name in 5_1_Scenario_Manager</t>
  </si>
  <si>
    <t>Data field for Parameter in 5_1_Scenario_Manager</t>
  </si>
  <si>
    <t>Data field for Parameter_Selection in 5_1_Scenario_Manager</t>
  </si>
  <si>
    <t>Data field for Parameter_Name in 5_1_Scenario_Manager</t>
  </si>
  <si>
    <t>Data field for Operation in 5_1_Scenario_Manager</t>
  </si>
  <si>
    <t>Data field for New_Value in 5_1_Scenario_Manager</t>
  </si>
  <si>
    <t>Data field for start_year in 5_1_Scenario_Manager</t>
  </si>
  <si>
    <t>Data field for end_year in 5_1_Scenario_Manager</t>
  </si>
  <si>
    <t>Data field for Comment in 5_1_Scenario_Manager</t>
  </si>
  <si>
    <t>Data field for Name(EN) in 6_1_Visualization_Processes</t>
  </si>
  <si>
    <t>Data field for Color_Category in 6_1_Visualization_Processes</t>
  </si>
  <si>
    <t>Data field for Node_Color in 6_1_Visualization_Processes</t>
  </si>
  <si>
    <t>Data field for Node_Color_# in 6_1_Visualization_Processes</t>
  </si>
  <si>
    <t>Data field for X_Position_Material in 6_1_Visualization_Processes</t>
  </si>
  <si>
    <t>Data field for Y_Position_Material in 6_1_Visualization_Processes</t>
  </si>
  <si>
    <t>Data field for X_Position_WC in 6_1_Visualization_Processes</t>
  </si>
  <si>
    <t>Data field for Y_Position_WC in 6_1_Visualization_Processes</t>
  </si>
  <si>
    <t>Data field for X_Position_DM in 6_1_Visualization_Processes</t>
  </si>
  <si>
    <t>Data field for Y_Position_DM in 6_1_Visualization_Processes</t>
  </si>
  <si>
    <t>Data field for X_Position_CC in 6_1_Visualization_Processes</t>
  </si>
  <si>
    <t>Data field for Y_Position_CC in 6_1_Visualization_Processes</t>
  </si>
  <si>
    <t>Data field for Name(EN) in 6_2_Visualization_Flows</t>
  </si>
  <si>
    <t>Data field for Flow_Color in 6_2_Visualization_Flows</t>
  </si>
  <si>
    <t>Data field for Flow_Color_# in 6_2_Visualization_Flows</t>
  </si>
  <si>
    <t>2_2_static_TCs</t>
  </si>
  <si>
    <t>2_3_dynamic_TCs</t>
  </si>
  <si>
    <t>2_4_Initial_Stock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</si>
</sst>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00000"/>
  </numFmts>
  <fonts count="18" x14ac:knownFonts="1">
    <font>
      <sz val="11"/>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
      <b/>
      <sz val="14"/>
      <name val="Calibri"/>
      <family val="2"/>
    </font>
    <font>
      <b/>
      <sz val="12"/>
      <name val="Calibri"/>
      <family val="2"/>
    </font>
    <font>
      <b/>
      <sz val="11"/>
      <name val="Calibri"/>
      <family val="2"/>
    </font>
    <font>
      <u/>
      <sz val="11"/>
      <color theme="10"/>
      <name val="Calibri"/>
      <family val="2"/>
      <scheme val="minor"/>
    </font>
    <font>
      <sz val="9"/>
      <color indexed="81"/>
      <name val="Tahoma"/>
      <family val="2"/>
    </font>
    <font>
      <b/>
      <sz val="9"/>
      <color indexed="81"/>
      <name val="Tahoma"/>
      <family val="2"/>
    </font>
  </fonts>
  <fills count="35">
    <fill>
      <patternFill patternType="none"/>
    </fill>
    <fill>
      <patternFill patternType="gray125"/>
    </fill>
    <fill>
      <patternFill patternType="solid">
        <fgColor theme="0" tint="-0.14999847407452621"/>
        <bgColor theme="0" tint="-0.14999847407452621"/>
      </patternFill>
    </fill>
    <fill>
      <patternFill patternType="gray0625">
        <bgColor theme="9"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
      <patternFill patternType="gray0625">
        <bgColor theme="5" tint="0.79998168889431442"/>
      </patternFill>
    </fill>
  </fills>
  <borders count="37">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dotted">
        <color auto="1"/>
      </top>
      <bottom/>
      <diagonal/>
    </border>
    <border>
      <left/>
      <right/>
      <top style="medium">
        <color rgb="FF000000"/>
      </top>
      <bottom style="dotted">
        <color auto="1"/>
      </bottom>
      <diagonal/>
    </border>
    <border>
      <left/>
      <right/>
      <top style="medium">
        <color indexed="64"/>
      </top>
      <bottom style="dotted">
        <color auto="1"/>
      </bottom>
      <diagonal/>
    </border>
    <border>
      <left style="thin">
        <color indexed="64"/>
      </left>
      <right style="thin">
        <color indexed="64"/>
      </right>
      <top/>
      <bottom style="thin">
        <color indexed="64"/>
      </bottom>
      <diagonal/>
    </border>
    <border>
      <left style="medium">
        <color rgb="FF000000"/>
      </left>
      <right/>
      <top style="medium">
        <color rgb="FF000000"/>
      </top>
      <bottom style="dotted">
        <color auto="1"/>
      </bottom>
      <diagonal/>
    </border>
    <border>
      <left style="medium">
        <color rgb="FF000000"/>
      </left>
      <right/>
      <top style="dotted">
        <color auto="1"/>
      </top>
      <bottom style="dotted">
        <color auto="1"/>
      </bottom>
      <diagonal/>
    </border>
  </borders>
  <cellStyleXfs count="12">
    <xf numFmtId="0" fontId="0" fillId="0" borderId="0"/>
    <xf numFmtId="9" fontId="1" fillId="0" borderId="0" applyFont="0" applyFill="0" applyBorder="0" applyAlignment="0" applyProtection="0"/>
    <xf numFmtId="0" fontId="4" fillId="3" borderId="0" applyNumberFormat="0" applyBorder="0" applyAlignment="0" applyProtection="0"/>
    <xf numFmtId="0" fontId="5" fillId="34" borderId="11" applyAlignment="0"/>
    <xf numFmtId="0" fontId="5" fillId="5" borderId="11" applyAlignment="0">
      <protection locked="0"/>
    </xf>
    <xf numFmtId="0" fontId="6" fillId="7" borderId="11" applyAlignment="0">
      <protection locked="0"/>
    </xf>
    <xf numFmtId="4" fontId="7" fillId="8" borderId="0"/>
    <xf numFmtId="0" fontId="5" fillId="6" borderId="11" applyAlignment="0">
      <protection locked="0"/>
    </xf>
    <xf numFmtId="0" fontId="5" fillId="4" borderId="11" applyAlignment="0"/>
    <xf numFmtId="9" fontId="5" fillId="5" borderId="11" applyAlignment="0">
      <protection locked="0"/>
    </xf>
    <xf numFmtId="0" fontId="5" fillId="22" borderId="11">
      <alignment horizontal="left"/>
    </xf>
    <xf numFmtId="0" fontId="15" fillId="0" borderId="0" applyNumberFormat="0" applyFill="0" applyBorder="0" applyAlignment="0" applyProtection="0"/>
  </cellStyleXfs>
  <cellXfs count="237">
    <xf numFmtId="0" fontId="0" fillId="0" borderId="0" xfId="0"/>
    <xf numFmtId="0" fontId="0" fillId="0" borderId="0" xfId="0" applyAlignment="1">
      <alignment wrapText="1"/>
    </xf>
    <xf numFmtId="0" fontId="3" fillId="0" borderId="1" xfId="0" applyFont="1" applyBorder="1"/>
    <xf numFmtId="0" fontId="0" fillId="2" borderId="0" xfId="0" applyFill="1"/>
    <xf numFmtId="0" fontId="0" fillId="0" borderId="3" xfId="0" applyBorder="1"/>
    <xf numFmtId="0" fontId="0" fillId="0" borderId="6" xfId="0" applyBorder="1"/>
    <xf numFmtId="0" fontId="0" fillId="0" borderId="8" xfId="0" applyBorder="1"/>
    <xf numFmtId="0" fontId="5" fillId="34" borderId="11" xfId="3"/>
    <xf numFmtId="0" fontId="5" fillId="5" borderId="11" xfId="4">
      <protection locked="0"/>
    </xf>
    <xf numFmtId="0" fontId="5" fillId="34" borderId="12" xfId="3" applyBorder="1"/>
    <xf numFmtId="0" fontId="5" fillId="34" borderId="13" xfId="3" applyBorder="1"/>
    <xf numFmtId="0" fontId="5" fillId="34" borderId="14" xfId="3" applyBorder="1"/>
    <xf numFmtId="0" fontId="3" fillId="0" borderId="2" xfId="0" applyFont="1" applyBorder="1"/>
    <xf numFmtId="9" fontId="5" fillId="5" borderId="11" xfId="1" applyFont="1" applyFill="1" applyBorder="1"/>
    <xf numFmtId="4" fontId="5" fillId="34" borderId="11" xfId="3" applyNumberFormat="1"/>
    <xf numFmtId="0" fontId="6" fillId="7" borderId="11" xfId="5">
      <protection locked="0"/>
    </xf>
    <xf numFmtId="0" fontId="5" fillId="5" borderId="11" xfId="1" applyNumberFormat="1" applyFont="1" applyFill="1" applyBorder="1"/>
    <xf numFmtId="0" fontId="5" fillId="34" borderId="17" xfId="3" applyBorder="1"/>
    <xf numFmtId="49" fontId="5" fillId="34" borderId="11" xfId="3" applyNumberFormat="1" applyAlignment="1">
      <alignment horizontal="right"/>
    </xf>
    <xf numFmtId="9" fontId="5" fillId="4" borderId="17" xfId="1" applyFont="1" applyFill="1" applyBorder="1"/>
    <xf numFmtId="9" fontId="5" fillId="4" borderId="11" xfId="1" applyFont="1" applyFill="1" applyBorder="1"/>
    <xf numFmtId="0" fontId="0" fillId="0" borderId="0" xfId="0" applyAlignment="1">
      <alignment horizontal="right"/>
    </xf>
    <xf numFmtId="0" fontId="5" fillId="34" borderId="11" xfId="3" applyAlignment="1">
      <alignment horizontal="right"/>
    </xf>
    <xf numFmtId="4" fontId="5" fillId="5" borderId="11" xfId="4" applyNumberFormat="1">
      <protection locked="0"/>
    </xf>
    <xf numFmtId="10" fontId="5" fillId="5" borderId="13" xfId="1"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9" fillId="10" borderId="18" xfId="1" applyFont="1" applyFill="1" applyBorder="1" applyAlignment="1">
      <alignment vertical="center" wrapText="1"/>
    </xf>
    <xf numFmtId="9" fontId="9" fillId="11" borderId="19" xfId="1" applyFont="1" applyFill="1" applyBorder="1" applyAlignment="1">
      <alignment vertical="center" wrapText="1"/>
    </xf>
    <xf numFmtId="9" fontId="9" fillId="12" borderId="19" xfId="1" applyFont="1" applyFill="1" applyBorder="1" applyAlignment="1">
      <alignment vertical="center" wrapText="1"/>
    </xf>
    <xf numFmtId="9" fontId="9" fillId="13" borderId="19" xfId="1" applyFont="1" applyFill="1" applyBorder="1" applyAlignment="1">
      <alignment vertical="center" wrapText="1"/>
    </xf>
    <xf numFmtId="0" fontId="0" fillId="0" borderId="20" xfId="0" applyBorder="1"/>
    <xf numFmtId="9" fontId="9" fillId="10" borderId="10" xfId="1" applyFont="1" applyFill="1" applyBorder="1" applyAlignment="1">
      <alignment vertical="center" wrapText="1"/>
    </xf>
    <xf numFmtId="9" fontId="9" fillId="11" borderId="9" xfId="1" applyFont="1" applyFill="1" applyBorder="1" applyAlignment="1">
      <alignment vertical="center" wrapText="1"/>
    </xf>
    <xf numFmtId="9" fontId="9" fillId="12" borderId="9" xfId="1" applyFont="1" applyFill="1" applyBorder="1" applyAlignment="1">
      <alignment vertical="center" wrapText="1"/>
    </xf>
    <xf numFmtId="9" fontId="9" fillId="13" borderId="9" xfId="1" applyFont="1" applyFill="1" applyBorder="1" applyAlignment="1">
      <alignment vertical="center" wrapText="1"/>
    </xf>
    <xf numFmtId="9" fontId="9" fillId="13" borderId="8" xfId="1" applyFont="1" applyFill="1" applyBorder="1" applyAlignment="1">
      <alignment vertical="center" wrapText="1"/>
    </xf>
    <xf numFmtId="0" fontId="9" fillId="10" borderId="7" xfId="0" applyFont="1" applyFill="1" applyBorder="1" applyAlignment="1">
      <alignment vertical="center" wrapText="1"/>
    </xf>
    <xf numFmtId="0" fontId="9" fillId="11" borderId="0" xfId="0" applyFont="1" applyFill="1" applyAlignment="1">
      <alignment vertical="center" wrapText="1"/>
    </xf>
    <xf numFmtId="0" fontId="9" fillId="12" borderId="0" xfId="0" applyFont="1" applyFill="1" applyAlignment="1">
      <alignment vertical="center" wrapText="1"/>
    </xf>
    <xf numFmtId="0" fontId="9" fillId="13" borderId="6" xfId="0" applyFont="1" applyFill="1" applyBorder="1" applyAlignment="1">
      <alignment vertical="center" wrapText="1"/>
    </xf>
    <xf numFmtId="0" fontId="9" fillId="15" borderId="5" xfId="0" applyFont="1" applyFill="1" applyBorder="1" applyAlignment="1">
      <alignment vertical="center" wrapText="1"/>
    </xf>
    <xf numFmtId="9" fontId="9" fillId="16" borderId="19" xfId="0" applyNumberFormat="1" applyFont="1" applyFill="1" applyBorder="1" applyAlignment="1">
      <alignment vertical="center" wrapText="1"/>
    </xf>
    <xf numFmtId="0" fontId="9" fillId="17" borderId="19" xfId="0" applyFont="1" applyFill="1" applyBorder="1" applyAlignment="1">
      <alignment vertical="center" wrapText="1"/>
    </xf>
    <xf numFmtId="0" fontId="9" fillId="18" borderId="20" xfId="0" applyFont="1" applyFill="1" applyBorder="1" applyAlignment="1">
      <alignment vertical="center" wrapText="1"/>
    </xf>
    <xf numFmtId="165" fontId="0" fillId="19" borderId="18" xfId="0" applyNumberFormat="1" applyFill="1" applyBorder="1" applyAlignment="1">
      <alignment wrapText="1"/>
    </xf>
    <xf numFmtId="165" fontId="0" fillId="19" borderId="19" xfId="0" applyNumberFormat="1" applyFill="1" applyBorder="1" applyAlignment="1">
      <alignment wrapText="1"/>
    </xf>
    <xf numFmtId="165" fontId="0" fillId="19" borderId="20" xfId="0" applyNumberFormat="1" applyFill="1" applyBorder="1" applyAlignment="1">
      <alignment wrapText="1"/>
    </xf>
    <xf numFmtId="9" fontId="9" fillId="20" borderId="18" xfId="1" applyFont="1" applyFill="1" applyBorder="1" applyAlignment="1">
      <alignment vertical="center" wrapText="1"/>
    </xf>
    <xf numFmtId="165" fontId="9" fillId="21" borderId="19" xfId="0" applyNumberFormat="1" applyFont="1" applyFill="1" applyBorder="1" applyAlignment="1">
      <alignment vertical="center" wrapText="1"/>
    </xf>
    <xf numFmtId="164" fontId="0" fillId="10" borderId="20" xfId="1" applyNumberFormat="1" applyFont="1" applyFill="1" applyBorder="1" applyAlignment="1">
      <alignment wrapText="1"/>
    </xf>
    <xf numFmtId="0" fontId="9" fillId="10" borderId="19" xfId="0" applyFont="1" applyFill="1" applyBorder="1" applyAlignment="1">
      <alignment vertical="center" wrapText="1"/>
    </xf>
    <xf numFmtId="9" fontId="9" fillId="20" borderId="19" xfId="1" applyFont="1" applyFill="1" applyBorder="1" applyAlignment="1">
      <alignment vertical="center" wrapText="1"/>
    </xf>
    <xf numFmtId="9" fontId="9" fillId="10" borderId="20" xfId="1" applyFont="1" applyFill="1" applyBorder="1" applyAlignment="1">
      <alignment vertical="center" wrapText="1"/>
    </xf>
    <xf numFmtId="0" fontId="9" fillId="22" borderId="20" xfId="0" applyFont="1" applyFill="1" applyBorder="1" applyAlignment="1">
      <alignment vertical="center" wrapText="1"/>
    </xf>
    <xf numFmtId="165" fontId="9" fillId="19" borderId="7" xfId="0" applyNumberFormat="1" applyFont="1" applyFill="1" applyBorder="1" applyAlignment="1">
      <alignment vertical="center" wrapText="1"/>
    </xf>
    <xf numFmtId="165" fontId="0" fillId="19" borderId="0" xfId="0" applyNumberFormat="1" applyFill="1" applyAlignment="1">
      <alignment wrapText="1"/>
    </xf>
    <xf numFmtId="165" fontId="0" fillId="19" borderId="6" xfId="0" applyNumberFormat="1" applyFill="1" applyBorder="1" applyAlignment="1">
      <alignment wrapText="1"/>
    </xf>
    <xf numFmtId="9" fontId="9" fillId="20" borderId="7" xfId="1" applyFont="1" applyFill="1" applyBorder="1" applyAlignment="1">
      <alignment vertical="center" wrapText="1"/>
    </xf>
    <xf numFmtId="165" fontId="9" fillId="21" borderId="0" xfId="0" applyNumberFormat="1" applyFont="1" applyFill="1" applyAlignment="1">
      <alignment vertical="center" wrapText="1"/>
    </xf>
    <xf numFmtId="10" fontId="0" fillId="10" borderId="6" xfId="0" applyNumberFormat="1" applyFill="1" applyBorder="1" applyAlignment="1">
      <alignment wrapText="1"/>
    </xf>
    <xf numFmtId="0" fontId="9" fillId="10" borderId="0" xfId="0" applyFont="1" applyFill="1" applyAlignment="1">
      <alignment vertical="center" wrapText="1"/>
    </xf>
    <xf numFmtId="9" fontId="9" fillId="20" borderId="0" xfId="0" applyNumberFormat="1" applyFont="1" applyFill="1" applyAlignment="1">
      <alignment vertical="center" wrapText="1"/>
    </xf>
    <xf numFmtId="10" fontId="9" fillId="10" borderId="6" xfId="0" applyNumberFormat="1" applyFont="1" applyFill="1" applyBorder="1" applyAlignment="1">
      <alignment vertical="center" wrapText="1"/>
    </xf>
    <xf numFmtId="0" fontId="9" fillId="0" borderId="6" xfId="0" applyFont="1" applyBorder="1" applyAlignment="1">
      <alignment vertical="center" wrapText="1"/>
    </xf>
    <xf numFmtId="0" fontId="9" fillId="23" borderId="7" xfId="0" applyFont="1" applyFill="1" applyBorder="1" applyAlignment="1">
      <alignment vertical="top" wrapText="1"/>
    </xf>
    <xf numFmtId="0" fontId="0" fillId="23" borderId="0" xfId="0" applyFill="1" applyAlignment="1">
      <alignment vertical="top" wrapText="1"/>
    </xf>
    <xf numFmtId="0" fontId="0" fillId="23" borderId="6" xfId="0" applyFill="1" applyBorder="1" applyAlignment="1">
      <alignment vertical="top" wrapText="1"/>
    </xf>
    <xf numFmtId="0" fontId="9" fillId="15" borderId="0" xfId="0" applyFont="1" applyFill="1" applyAlignment="1">
      <alignment vertical="center" wrapText="1"/>
    </xf>
    <xf numFmtId="0" fontId="9" fillId="15" borderId="6" xfId="0" applyFont="1" applyFill="1" applyBorder="1" applyAlignment="1">
      <alignment vertical="center" wrapText="1"/>
    </xf>
    <xf numFmtId="0" fontId="9" fillId="14" borderId="6" xfId="0" applyFont="1" applyFill="1" applyBorder="1" applyAlignment="1">
      <alignment vertical="center" wrapText="1"/>
    </xf>
    <xf numFmtId="0" fontId="9" fillId="11" borderId="18" xfId="0" applyFont="1" applyFill="1" applyBorder="1" applyAlignment="1">
      <alignment vertical="center" wrapText="1"/>
    </xf>
    <xf numFmtId="9" fontId="9" fillId="11" borderId="19" xfId="0" applyNumberFormat="1" applyFont="1" applyFill="1" applyBorder="1" applyAlignment="1">
      <alignment vertical="center" wrapText="1"/>
    </xf>
    <xf numFmtId="9" fontId="9" fillId="26" borderId="19" xfId="0" applyNumberFormat="1" applyFont="1" applyFill="1" applyBorder="1" applyAlignment="1">
      <alignment vertical="center" wrapText="1"/>
    </xf>
    <xf numFmtId="0" fontId="9" fillId="11" borderId="19" xfId="0" applyFont="1" applyFill="1" applyBorder="1" applyAlignment="1">
      <alignment vertical="center" wrapText="1"/>
    </xf>
    <xf numFmtId="9" fontId="9" fillId="11" borderId="20" xfId="1" applyFont="1" applyFill="1" applyBorder="1" applyAlignment="1">
      <alignment vertical="center" wrapText="1"/>
    </xf>
    <xf numFmtId="0" fontId="9" fillId="12" borderId="18" xfId="0" applyFont="1" applyFill="1" applyBorder="1" applyAlignment="1">
      <alignment vertical="center" wrapText="1"/>
    </xf>
    <xf numFmtId="9" fontId="9" fillId="27" borderId="19" xfId="1" applyFont="1" applyFill="1" applyBorder="1" applyAlignment="1">
      <alignment vertical="center" wrapText="1"/>
    </xf>
    <xf numFmtId="0" fontId="9" fillId="12" borderId="19" xfId="0" applyFont="1" applyFill="1" applyBorder="1" applyAlignment="1">
      <alignment vertical="center" wrapText="1"/>
    </xf>
    <xf numFmtId="9" fontId="9" fillId="12" borderId="20" xfId="1" applyFont="1" applyFill="1" applyBorder="1" applyAlignment="1">
      <alignment vertical="center" wrapText="1"/>
    </xf>
    <xf numFmtId="0" fontId="9" fillId="13" borderId="18" xfId="0" applyFont="1" applyFill="1" applyBorder="1" applyAlignment="1">
      <alignment vertical="center" wrapText="1"/>
    </xf>
    <xf numFmtId="9" fontId="9" fillId="28" borderId="19" xfId="0" applyNumberFormat="1" applyFont="1" applyFill="1" applyBorder="1" applyAlignment="1">
      <alignment vertical="center" wrapText="1"/>
    </xf>
    <xf numFmtId="0" fontId="9" fillId="13" borderId="20" xfId="0" applyFont="1" applyFill="1" applyBorder="1" applyAlignment="1">
      <alignment vertical="center" wrapText="1"/>
    </xf>
    <xf numFmtId="0" fontId="9" fillId="11" borderId="7" xfId="0" applyFont="1" applyFill="1" applyBorder="1" applyAlignment="1">
      <alignment vertical="center" wrapText="1"/>
    </xf>
    <xf numFmtId="9" fontId="9" fillId="11" borderId="0" xfId="0" applyNumberFormat="1" applyFont="1" applyFill="1" applyAlignment="1">
      <alignment vertical="center" wrapText="1"/>
    </xf>
    <xf numFmtId="9" fontId="9" fillId="26" borderId="0" xfId="0" applyNumberFormat="1" applyFont="1" applyFill="1" applyAlignment="1">
      <alignment vertical="center" wrapText="1"/>
    </xf>
    <xf numFmtId="9" fontId="9" fillId="11" borderId="6" xfId="0" applyNumberFormat="1" applyFont="1" applyFill="1" applyBorder="1" applyAlignment="1">
      <alignment vertical="center" wrapText="1"/>
    </xf>
    <xf numFmtId="9" fontId="9" fillId="12" borderId="7" xfId="0" applyNumberFormat="1" applyFont="1" applyFill="1" applyBorder="1" applyAlignment="1">
      <alignment vertical="center" wrapText="1"/>
    </xf>
    <xf numFmtId="9" fontId="9" fillId="27" borderId="0" xfId="0" applyNumberFormat="1" applyFont="1" applyFill="1" applyAlignment="1">
      <alignment vertical="center" wrapText="1"/>
    </xf>
    <xf numFmtId="9" fontId="9" fillId="12" borderId="6" xfId="0" applyNumberFormat="1" applyFont="1" applyFill="1" applyBorder="1" applyAlignment="1">
      <alignment vertical="center" wrapText="1"/>
    </xf>
    <xf numFmtId="9" fontId="9" fillId="13" borderId="7" xfId="1" applyFont="1" applyFill="1" applyBorder="1" applyAlignment="1">
      <alignment vertical="center" wrapText="1"/>
    </xf>
    <xf numFmtId="9" fontId="9" fillId="28" borderId="0" xfId="1" applyFont="1" applyFill="1" applyBorder="1" applyAlignment="1">
      <alignment vertical="center" wrapText="1"/>
    </xf>
    <xf numFmtId="9" fontId="9" fillId="16" borderId="18" xfId="0" applyNumberFormat="1" applyFont="1" applyFill="1" applyBorder="1" applyAlignment="1">
      <alignment vertical="center" wrapText="1"/>
    </xf>
    <xf numFmtId="9" fontId="9" fillId="16" borderId="20" xfId="0" applyNumberFormat="1" applyFont="1" applyFill="1" applyBorder="1" applyAlignment="1">
      <alignment vertical="center" wrapText="1"/>
    </xf>
    <xf numFmtId="0" fontId="9" fillId="17" borderId="18" xfId="0" applyFont="1" applyFill="1" applyBorder="1" applyAlignment="1">
      <alignment vertical="center" wrapText="1"/>
    </xf>
    <xf numFmtId="0" fontId="9" fillId="17" borderId="20" xfId="0" applyFont="1" applyFill="1" applyBorder="1" applyAlignment="1">
      <alignment vertical="center" wrapText="1"/>
    </xf>
    <xf numFmtId="0" fontId="9" fillId="18" borderId="18" xfId="0" applyFont="1" applyFill="1" applyBorder="1" applyAlignment="1">
      <alignment vertical="center" wrapText="1"/>
    </xf>
    <xf numFmtId="0" fontId="9" fillId="18" borderId="19" xfId="0" applyFont="1" applyFill="1" applyBorder="1" applyAlignment="1">
      <alignment vertical="center" wrapText="1"/>
    </xf>
    <xf numFmtId="9" fontId="0" fillId="10" borderId="20" xfId="1" applyFont="1" applyFill="1" applyBorder="1" applyAlignment="1">
      <alignment wrapText="1"/>
    </xf>
    <xf numFmtId="0" fontId="9" fillId="20" borderId="19" xfId="0" applyFont="1" applyFill="1" applyBorder="1" applyAlignment="1">
      <alignment vertical="center" wrapText="1"/>
    </xf>
    <xf numFmtId="165" fontId="9" fillId="19" borderId="7" xfId="0" applyNumberFormat="1" applyFont="1" applyFill="1" applyBorder="1" applyAlignment="1">
      <alignment horizontal="center" vertical="center" wrapText="1"/>
    </xf>
    <xf numFmtId="165" fontId="0" fillId="19" borderId="0" xfId="0" applyNumberFormat="1" applyFill="1" applyAlignment="1">
      <alignment horizontal="center" vertical="center" wrapText="1"/>
    </xf>
    <xf numFmtId="165" fontId="0" fillId="19" borderId="6" xfId="0" applyNumberFormat="1" applyFill="1" applyBorder="1" applyAlignment="1">
      <alignment horizontal="center" vertical="center" wrapText="1"/>
    </xf>
    <xf numFmtId="9" fontId="9" fillId="32" borderId="19" xfId="0" applyNumberFormat="1" applyFont="1" applyFill="1" applyBorder="1" applyAlignment="1">
      <alignment vertical="center" wrapText="1"/>
    </xf>
    <xf numFmtId="0" fontId="9" fillId="27" borderId="19" xfId="0" applyFont="1" applyFill="1" applyBorder="1" applyAlignment="1">
      <alignment vertical="center" wrapText="1"/>
    </xf>
    <xf numFmtId="0" fontId="9" fillId="13" borderId="19" xfId="0" applyFont="1" applyFill="1" applyBorder="1" applyAlignment="1">
      <alignment vertical="center" wrapText="1"/>
    </xf>
    <xf numFmtId="9" fontId="9" fillId="32" borderId="0" xfId="0" applyNumberFormat="1" applyFont="1" applyFill="1" applyAlignment="1">
      <alignment vertical="center" wrapText="1"/>
    </xf>
    <xf numFmtId="0" fontId="9" fillId="11" borderId="6" xfId="0" applyFont="1" applyFill="1" applyBorder="1" applyAlignment="1">
      <alignment vertical="center" wrapText="1"/>
    </xf>
    <xf numFmtId="0" fontId="0" fillId="12" borderId="7" xfId="0" applyFill="1" applyBorder="1" applyAlignment="1">
      <alignment wrapText="1"/>
    </xf>
    <xf numFmtId="0" fontId="9" fillId="33" borderId="5" xfId="0" applyFont="1" applyFill="1" applyBorder="1" applyAlignment="1">
      <alignment horizontal="center" vertical="center" wrapText="1"/>
    </xf>
    <xf numFmtId="0" fontId="9" fillId="33" borderId="4" xfId="0" applyFont="1" applyFill="1" applyBorder="1" applyAlignment="1">
      <alignment horizontal="center" vertical="center" wrapText="1"/>
    </xf>
    <xf numFmtId="0" fontId="9" fillId="33" borderId="18" xfId="0" applyFont="1" applyFill="1" applyBorder="1" applyAlignment="1">
      <alignment horizontal="center" vertical="center" wrapText="1"/>
    </xf>
    <xf numFmtId="0" fontId="9" fillId="33" borderId="20" xfId="0" applyFont="1" applyFill="1" applyBorder="1" applyAlignment="1">
      <alignment horizontal="center" vertical="center" wrapText="1"/>
    </xf>
    <xf numFmtId="0" fontId="9" fillId="0" borderId="21" xfId="0" applyFont="1" applyBorder="1" applyAlignment="1">
      <alignment horizontal="left" vertical="center" wrapText="1"/>
    </xf>
    <xf numFmtId="0" fontId="9" fillId="0" borderId="22" xfId="0" applyFont="1" applyBorder="1" applyAlignment="1">
      <alignment horizontal="left" vertical="center" wrapText="1"/>
    </xf>
    <xf numFmtId="0" fontId="9" fillId="0" borderId="23" xfId="0" applyFont="1" applyBorder="1" applyAlignment="1">
      <alignment horizontal="left" vertical="center" wrapText="1"/>
    </xf>
    <xf numFmtId="0" fontId="0" fillId="0" borderId="22" xfId="0" applyBorder="1" applyAlignment="1">
      <alignment horizontal="left" wrapText="1"/>
    </xf>
    <xf numFmtId="0" fontId="9" fillId="9" borderId="7" xfId="0" applyFont="1" applyFill="1" applyBorder="1" applyAlignment="1">
      <alignment vertical="center" wrapText="1"/>
    </xf>
    <xf numFmtId="0" fontId="8" fillId="9" borderId="27" xfId="0" applyFont="1" applyFill="1" applyBorder="1" applyAlignment="1">
      <alignment vertical="center" wrapText="1"/>
    </xf>
    <xf numFmtId="0" fontId="9" fillId="0" borderId="28" xfId="0" applyFont="1" applyBorder="1" applyAlignment="1">
      <alignment vertical="center" wrapText="1"/>
    </xf>
    <xf numFmtId="0" fontId="11" fillId="0" borderId="23" xfId="0" applyFont="1" applyBorder="1" applyAlignment="1">
      <alignment horizontal="left"/>
    </xf>
    <xf numFmtId="0" fontId="0" fillId="0" borderId="29" xfId="0" applyBorder="1" applyAlignment="1">
      <alignment horizontal="left" wrapText="1"/>
    </xf>
    <xf numFmtId="0" fontId="9" fillId="0" borderId="29" xfId="0" applyFont="1" applyBorder="1" applyAlignment="1">
      <alignment horizontal="left" vertical="center" wrapText="1"/>
    </xf>
    <xf numFmtId="0" fontId="8" fillId="9" borderId="5" xfId="0" applyFont="1" applyFill="1" applyBorder="1" applyAlignment="1">
      <alignment vertical="center" wrapText="1"/>
    </xf>
    <xf numFmtId="0" fontId="9" fillId="0" borderId="30" xfId="0" applyFont="1" applyBorder="1" applyAlignment="1">
      <alignment horizontal="left" vertical="center" wrapText="1"/>
    </xf>
    <xf numFmtId="9" fontId="9" fillId="13" borderId="4" xfId="1" applyFont="1" applyFill="1" applyBorder="1" applyAlignment="1">
      <alignment vertical="center" wrapText="1"/>
    </xf>
    <xf numFmtId="9" fontId="9" fillId="12" borderId="4" xfId="1" applyFont="1" applyFill="1" applyBorder="1" applyAlignment="1">
      <alignment vertical="center" wrapText="1"/>
    </xf>
    <xf numFmtId="9" fontId="9" fillId="11" borderId="4" xfId="1" applyFont="1" applyFill="1" applyBorder="1" applyAlignment="1">
      <alignment vertical="center" wrapText="1"/>
    </xf>
    <xf numFmtId="9" fontId="9" fillId="10" borderId="5" xfId="1" applyFont="1" applyFill="1" applyBorder="1" applyAlignment="1">
      <alignment vertical="center" wrapText="1"/>
    </xf>
    <xf numFmtId="0" fontId="9" fillId="13" borderId="3" xfId="0" applyFont="1" applyFill="1" applyBorder="1" applyAlignment="1">
      <alignment vertical="center" wrapText="1"/>
    </xf>
    <xf numFmtId="0" fontId="9" fillId="12" borderId="4" xfId="0" applyFont="1" applyFill="1" applyBorder="1" applyAlignment="1">
      <alignment vertical="center" wrapText="1"/>
    </xf>
    <xf numFmtId="0" fontId="9" fillId="11" borderId="4" xfId="0" applyFont="1" applyFill="1" applyBorder="1" applyAlignment="1">
      <alignment vertical="center" wrapText="1"/>
    </xf>
    <xf numFmtId="0" fontId="9" fillId="10" borderId="5" xfId="0" applyFont="1" applyFill="1" applyBorder="1" applyAlignment="1">
      <alignment vertical="center" wrapText="1"/>
    </xf>
    <xf numFmtId="0" fontId="0" fillId="15" borderId="7" xfId="0" applyFill="1" applyBorder="1" applyAlignment="1">
      <alignment wrapText="1"/>
    </xf>
    <xf numFmtId="0" fontId="9" fillId="14" borderId="20" xfId="0" applyFont="1" applyFill="1" applyBorder="1" applyAlignment="1">
      <alignment vertical="center" wrapText="1"/>
    </xf>
    <xf numFmtId="0" fontId="5" fillId="34" borderId="16" xfId="3" applyBorder="1"/>
    <xf numFmtId="10" fontId="5" fillId="5" borderId="11" xfId="4" applyNumberFormat="1">
      <protection locked="0"/>
    </xf>
    <xf numFmtId="0" fontId="5" fillId="34" borderId="31" xfId="3" applyBorder="1"/>
    <xf numFmtId="0" fontId="5" fillId="5" borderId="31" xfId="4" applyBorder="1">
      <protection locked="0"/>
    </xf>
    <xf numFmtId="2" fontId="5" fillId="5" borderId="11" xfId="4" applyNumberFormat="1">
      <protection locked="0"/>
    </xf>
    <xf numFmtId="2" fontId="5" fillId="5" borderId="11" xfId="4" applyNumberFormat="1" applyAlignment="1">
      <alignment wrapText="1"/>
      <protection locked="0"/>
    </xf>
    <xf numFmtId="0" fontId="5" fillId="6" borderId="11" xfId="7">
      <protection locked="0"/>
    </xf>
    <xf numFmtId="9" fontId="5" fillId="34" borderId="11" xfId="1" applyFont="1" applyFill="1" applyBorder="1"/>
    <xf numFmtId="9" fontId="5" fillId="5" borderId="11" xfId="9">
      <protection locked="0"/>
    </xf>
    <xf numFmtId="0" fontId="5" fillId="22" borderId="11" xfId="10">
      <alignment horizontal="left"/>
    </xf>
    <xf numFmtId="0" fontId="6" fillId="7" borderId="11" xfId="5">
      <protection locked="0"/>
      <extLst>
        <ext xmlns:xfpb="http://schemas.microsoft.com/office/spreadsheetml/2022/featurepropertybag" uri="{C7286773-470A-42A8-94C5-96B5CB345126}">
          <xfpb:xfComplement i="0"/>
        </ext>
      </extLst>
    </xf>
    <xf numFmtId="0" fontId="12" fillId="0" borderId="0" xfId="0" applyFont="1"/>
    <xf numFmtId="0" fontId="13" fillId="0" borderId="0" xfId="0" applyFont="1"/>
    <xf numFmtId="0" fontId="5" fillId="5" borderId="14" xfId="4" applyBorder="1">
      <protection locked="0"/>
    </xf>
    <xf numFmtId="9" fontId="5" fillId="5" borderId="11" xfId="1" applyFont="1" applyFill="1" applyBorder="1" applyProtection="1">
      <protection locked="0"/>
    </xf>
    <xf numFmtId="0" fontId="0" fillId="0" borderId="0" xfId="0" applyAlignment="1">
      <alignment horizontal="center"/>
    </xf>
    <xf numFmtId="10" fontId="0" fillId="0" borderId="0" xfId="0" applyNumberFormat="1"/>
    <xf numFmtId="10" fontId="5" fillId="5" borderId="11" xfId="4" applyNumberFormat="1" applyProtection="1"/>
    <xf numFmtId="0" fontId="5" fillId="5" borderId="11" xfId="4" applyProtection="1"/>
    <xf numFmtId="166" fontId="0" fillId="0" borderId="0" xfId="0" applyNumberFormat="1"/>
    <xf numFmtId="0" fontId="5" fillId="34" borderId="33" xfId="3" applyBorder="1"/>
    <xf numFmtId="0" fontId="5" fillId="5" borderId="33" xfId="4" applyBorder="1">
      <protection locked="0"/>
    </xf>
    <xf numFmtId="0" fontId="6" fillId="7" borderId="31" xfId="5" applyBorder="1">
      <protection locked="0"/>
    </xf>
    <xf numFmtId="0" fontId="6" fillId="7" borderId="33" xfId="5" applyBorder="1">
      <protection locked="0"/>
    </xf>
    <xf numFmtId="0" fontId="6" fillId="7" borderId="14" xfId="5" applyBorder="1">
      <protection locked="0"/>
    </xf>
    <xf numFmtId="0" fontId="6" fillId="7" borderId="11" xfId="5" applyProtection="1">
      <extLst>
        <ext xmlns:xfpb="http://schemas.microsoft.com/office/spreadsheetml/2022/featurepropertybag" uri="{C7286773-470A-42A8-94C5-96B5CB345126}">
          <xfpb:xfComplement i="0"/>
        </ext>
      </extLst>
    </xf>
    <xf numFmtId="0" fontId="5" fillId="6" borderId="0" xfId="7" applyBorder="1" applyProtection="1"/>
    <xf numFmtId="0" fontId="14" fillId="0" borderId="34" xfId="0" applyFont="1" applyBorder="1" applyAlignment="1">
      <alignment horizontal="center" vertical="top"/>
    </xf>
    <xf numFmtId="0" fontId="0" fillId="0" borderId="2" xfId="0" applyBorder="1" applyAlignment="1">
      <alignment horizontal="center"/>
    </xf>
    <xf numFmtId="0" fontId="0" fillId="2" borderId="0" xfId="0" applyFill="1" applyAlignment="1">
      <alignment wrapText="1"/>
    </xf>
    <xf numFmtId="0" fontId="15" fillId="7" borderId="11" xfId="11" applyFill="1" applyBorder="1" applyProtection="1">
      <protection locked="0"/>
    </xf>
    <xf numFmtId="0" fontId="5" fillId="34" borderId="11" xfId="3" applyAlignment="1">
      <alignment textRotation="90" wrapText="1"/>
    </xf>
    <xf numFmtId="0" fontId="5" fillId="34" borderId="14" xfId="3" applyBorder="1" applyAlignment="1">
      <alignment textRotation="90" wrapText="1"/>
    </xf>
    <xf numFmtId="0" fontId="3" fillId="0" borderId="0" xfId="0" applyFont="1"/>
    <xf numFmtId="0" fontId="5" fillId="22" borderId="35" xfId="10" applyBorder="1">
      <alignment horizontal="left"/>
    </xf>
    <xf numFmtId="0" fontId="5" fillId="22" borderId="32" xfId="10" applyBorder="1">
      <alignment horizontal="left"/>
    </xf>
    <xf numFmtId="0" fontId="5" fillId="22" borderId="0" xfId="10" applyBorder="1">
      <alignment horizontal="left"/>
    </xf>
    <xf numFmtId="0" fontId="5" fillId="22" borderId="31" xfId="10" applyBorder="1">
      <alignment horizontal="left"/>
    </xf>
    <xf numFmtId="0" fontId="5" fillId="22" borderId="36" xfId="10" applyBorder="1">
      <alignment horizontal="left"/>
    </xf>
    <xf numFmtId="0" fontId="0" fillId="0" borderId="0" xfId="0" applyAlignment="1">
      <alignment horizontal="left" wrapText="1"/>
    </xf>
    <xf numFmtId="0" fontId="0" fillId="0" borderId="0" xfId="0" applyAlignment="1">
      <alignment horizontal="center" wrapText="1"/>
    </xf>
    <xf numFmtId="0" fontId="5" fillId="34" borderId="11" xfId="3" applyAlignment="1">
      <alignment horizontal="center" vertical="center" wrapText="1"/>
    </xf>
    <xf numFmtId="0" fontId="5" fillId="5" borderId="11" xfId="4" applyAlignment="1">
      <alignment horizontal="center" vertical="center" wrapText="1"/>
      <protection locked="0"/>
    </xf>
    <xf numFmtId="0" fontId="9" fillId="33" borderId="20" xfId="0" applyFont="1" applyFill="1" applyBorder="1" applyAlignment="1">
      <alignment horizontal="center" vertical="center" wrapText="1"/>
    </xf>
    <xf numFmtId="0" fontId="9" fillId="33" borderId="19" xfId="0" applyFont="1" applyFill="1" applyBorder="1" applyAlignment="1">
      <alignment horizontal="center" vertical="center" wrapText="1"/>
    </xf>
    <xf numFmtId="0" fontId="9" fillId="33" borderId="18" xfId="0" applyFont="1" applyFill="1" applyBorder="1" applyAlignment="1">
      <alignment horizontal="center" vertical="center" wrapText="1"/>
    </xf>
    <xf numFmtId="0" fontId="9" fillId="33" borderId="20" xfId="0" applyFont="1" applyFill="1" applyBorder="1" applyAlignment="1">
      <alignment horizontal="left" vertical="center" wrapText="1"/>
    </xf>
    <xf numFmtId="0" fontId="9" fillId="33" borderId="19" xfId="0" applyFont="1" applyFill="1" applyBorder="1" applyAlignment="1">
      <alignment horizontal="left" vertical="center" wrapText="1"/>
    </xf>
    <xf numFmtId="0" fontId="9" fillId="33" borderId="18" xfId="0" applyFont="1" applyFill="1" applyBorder="1" applyAlignment="1">
      <alignment horizontal="left" vertical="center" wrapText="1"/>
    </xf>
    <xf numFmtId="0" fontId="8" fillId="9" borderId="26" xfId="0" applyFont="1" applyFill="1" applyBorder="1" applyAlignment="1">
      <alignment horizontal="center" vertical="center" wrapText="1"/>
    </xf>
    <xf numFmtId="0" fontId="8" fillId="9" borderId="25" xfId="0" applyFont="1" applyFill="1" applyBorder="1" applyAlignment="1">
      <alignment horizontal="center" vertical="center" wrapText="1"/>
    </xf>
    <xf numFmtId="0" fontId="8" fillId="9" borderId="24" xfId="0" applyFont="1" applyFill="1" applyBorder="1" applyAlignment="1">
      <alignment horizontal="center" vertical="center" wrapText="1"/>
    </xf>
    <xf numFmtId="0" fontId="8" fillId="9" borderId="3" xfId="0" applyFont="1" applyFill="1" applyBorder="1" applyAlignment="1">
      <alignment horizontal="center" vertical="center" wrapText="1"/>
    </xf>
    <xf numFmtId="0" fontId="8" fillId="9" borderId="5" xfId="0" applyFont="1" applyFill="1" applyBorder="1" applyAlignment="1">
      <alignment horizontal="center" vertical="center" wrapText="1"/>
    </xf>
    <xf numFmtId="0" fontId="8" fillId="9" borderId="20" xfId="0" applyFont="1" applyFill="1" applyBorder="1" applyAlignment="1">
      <alignment horizontal="center" vertical="center" wrapText="1"/>
    </xf>
    <xf numFmtId="0" fontId="8" fillId="9" borderId="19" xfId="0" applyFont="1" applyFill="1" applyBorder="1" applyAlignment="1">
      <alignment horizontal="center" vertical="center" wrapText="1"/>
    </xf>
    <xf numFmtId="0" fontId="8" fillId="9" borderId="18" xfId="0" applyFont="1" applyFill="1" applyBorder="1" applyAlignment="1">
      <alignment horizontal="center" vertical="center" wrapText="1"/>
    </xf>
    <xf numFmtId="0" fontId="5" fillId="34" borderId="11" xfId="3" applyAlignment="1">
      <alignment horizontal="left"/>
    </xf>
    <xf numFmtId="0" fontId="5" fillId="34" borderId="13" xfId="3" applyBorder="1" applyAlignment="1">
      <alignment horizontal="left"/>
    </xf>
    <xf numFmtId="0" fontId="5" fillId="34" borderId="11" xfId="3" applyAlignment="1">
      <alignment horizontal="left" vertical="center" wrapText="1"/>
    </xf>
    <xf numFmtId="0" fontId="5" fillId="34" borderId="13" xfId="3" applyBorder="1" applyAlignment="1">
      <alignment horizontal="left" vertical="center" wrapText="1"/>
    </xf>
    <xf numFmtId="0" fontId="5" fillId="34" borderId="14" xfId="3" applyBorder="1" applyAlignment="1">
      <alignment horizontal="left" vertical="center" wrapText="1"/>
    </xf>
    <xf numFmtId="0" fontId="5" fillId="34" borderId="15" xfId="3" applyBorder="1" applyAlignment="1">
      <alignment horizontal="left" vertical="center" wrapText="1"/>
    </xf>
    <xf numFmtId="0" fontId="9" fillId="31" borderId="6" xfId="0" applyFont="1" applyFill="1" applyBorder="1" applyAlignment="1">
      <alignment horizontal="center" vertical="center" wrapText="1"/>
    </xf>
    <xf numFmtId="0" fontId="9" fillId="31" borderId="0" xfId="0" applyFont="1" applyFill="1" applyAlignment="1">
      <alignment horizontal="center" vertical="center" wrapText="1"/>
    </xf>
    <xf numFmtId="0" fontId="9" fillId="31" borderId="7" xfId="0" applyFont="1" applyFill="1" applyBorder="1" applyAlignment="1">
      <alignment horizontal="center" vertical="center" wrapText="1"/>
    </xf>
    <xf numFmtId="0" fontId="9" fillId="30" borderId="6" xfId="0" applyFont="1" applyFill="1" applyBorder="1" applyAlignment="1">
      <alignment horizontal="center" vertical="top" wrapText="1"/>
    </xf>
    <xf numFmtId="0" fontId="9" fillId="30" borderId="0" xfId="0" applyFont="1" applyFill="1" applyAlignment="1">
      <alignment horizontal="center" vertical="top" wrapText="1"/>
    </xf>
    <xf numFmtId="0" fontId="9" fillId="30" borderId="7" xfId="0" applyFont="1" applyFill="1" applyBorder="1" applyAlignment="1">
      <alignment horizontal="center" vertical="top" wrapText="1"/>
    </xf>
    <xf numFmtId="0" fontId="10" fillId="29" borderId="6" xfId="0" applyFont="1" applyFill="1" applyBorder="1" applyAlignment="1">
      <alignment horizontal="center" vertical="center" wrapText="1"/>
    </xf>
    <xf numFmtId="0" fontId="10" fillId="29" borderId="0" xfId="0" applyFont="1" applyFill="1" applyAlignment="1">
      <alignment horizontal="center" vertical="center" wrapText="1"/>
    </xf>
    <xf numFmtId="0" fontId="10" fillId="29" borderId="7" xfId="0" applyFont="1" applyFill="1" applyBorder="1" applyAlignment="1">
      <alignment horizontal="center" vertical="center" wrapText="1"/>
    </xf>
    <xf numFmtId="0" fontId="8" fillId="9" borderId="8" xfId="0" applyFont="1" applyFill="1" applyBorder="1" applyAlignment="1">
      <alignment horizontal="center" vertical="center" wrapText="1"/>
    </xf>
    <xf numFmtId="0" fontId="8" fillId="9" borderId="9" xfId="0" applyFont="1" applyFill="1" applyBorder="1" applyAlignment="1">
      <alignment horizontal="center" vertical="center" wrapText="1"/>
    </xf>
    <xf numFmtId="0" fontId="8" fillId="9" borderId="10" xfId="0" applyFont="1" applyFill="1" applyBorder="1" applyAlignment="1">
      <alignment horizontal="center" vertical="center" wrapText="1"/>
    </xf>
    <xf numFmtId="0" fontId="9" fillId="31" borderId="3" xfId="0" applyFont="1" applyFill="1" applyBorder="1" applyAlignment="1">
      <alignment horizontal="center" vertical="center" wrapText="1"/>
    </xf>
    <xf numFmtId="0" fontId="9" fillId="31" borderId="4" xfId="0" applyFont="1" applyFill="1" applyBorder="1" applyAlignment="1">
      <alignment horizontal="center" vertical="center" wrapText="1"/>
    </xf>
    <xf numFmtId="0" fontId="9" fillId="31" borderId="5" xfId="0" applyFont="1" applyFill="1" applyBorder="1" applyAlignment="1">
      <alignment horizontal="center" vertical="center" wrapText="1"/>
    </xf>
    <xf numFmtId="0" fontId="9" fillId="30" borderId="3" xfId="0" applyFont="1" applyFill="1" applyBorder="1" applyAlignment="1">
      <alignment horizontal="center" vertical="top" wrapText="1"/>
    </xf>
    <xf numFmtId="0" fontId="9" fillId="30" borderId="4" xfId="0" applyFont="1" applyFill="1" applyBorder="1" applyAlignment="1">
      <alignment horizontal="center" vertical="top" wrapText="1"/>
    </xf>
    <xf numFmtId="0" fontId="9" fillId="30" borderId="5" xfId="0" applyFont="1" applyFill="1" applyBorder="1" applyAlignment="1">
      <alignment horizontal="center" vertical="top" wrapText="1"/>
    </xf>
    <xf numFmtId="0" fontId="10" fillId="29" borderId="3" xfId="0" applyFont="1" applyFill="1" applyBorder="1" applyAlignment="1">
      <alignment horizontal="center" vertical="center" wrapText="1"/>
    </xf>
    <xf numFmtId="0" fontId="10" fillId="29" borderId="4" xfId="0" applyFont="1" applyFill="1" applyBorder="1" applyAlignment="1">
      <alignment horizontal="center" vertical="center" wrapText="1"/>
    </xf>
    <xf numFmtId="0" fontId="10" fillId="29" borderId="5" xfId="0" applyFont="1" applyFill="1" applyBorder="1" applyAlignment="1">
      <alignment horizontal="center" vertical="center" wrapText="1"/>
    </xf>
    <xf numFmtId="0" fontId="9" fillId="25" borderId="20" xfId="0" applyFont="1" applyFill="1" applyBorder="1" applyAlignment="1">
      <alignment horizontal="center" vertical="top" wrapText="1"/>
    </xf>
    <xf numFmtId="0" fontId="9" fillId="25" borderId="19" xfId="0" applyFont="1" applyFill="1" applyBorder="1" applyAlignment="1">
      <alignment horizontal="center" vertical="top" wrapText="1"/>
    </xf>
    <xf numFmtId="0" fontId="9" fillId="25" borderId="18" xfId="0" applyFont="1" applyFill="1" applyBorder="1" applyAlignment="1">
      <alignment horizontal="center" vertical="top" wrapText="1"/>
    </xf>
    <xf numFmtId="0" fontId="9" fillId="24" borderId="20" xfId="0" applyFont="1" applyFill="1" applyBorder="1" applyAlignment="1">
      <alignment horizontal="center" vertical="top" wrapText="1"/>
    </xf>
    <xf numFmtId="0" fontId="9" fillId="24" borderId="19" xfId="0" applyFont="1" applyFill="1" applyBorder="1" applyAlignment="1">
      <alignment horizontal="center" vertical="top" wrapText="1"/>
    </xf>
    <xf numFmtId="0" fontId="9" fillId="24" borderId="18" xfId="0" applyFont="1" applyFill="1" applyBorder="1" applyAlignment="1">
      <alignment horizontal="center" vertical="top" wrapText="1"/>
    </xf>
    <xf numFmtId="0" fontId="0" fillId="14" borderId="20" xfId="0" applyFill="1" applyBorder="1" applyAlignment="1">
      <alignment horizontal="center"/>
    </xf>
    <xf numFmtId="0" fontId="0" fillId="14" borderId="19" xfId="0" applyFill="1" applyBorder="1" applyAlignment="1">
      <alignment horizontal="center"/>
    </xf>
    <xf numFmtId="0" fontId="0" fillId="14" borderId="18" xfId="0" applyFill="1" applyBorder="1" applyAlignment="1">
      <alignment horizontal="center"/>
    </xf>
    <xf numFmtId="0" fontId="0" fillId="14" borderId="3" xfId="0" applyFill="1" applyBorder="1" applyAlignment="1">
      <alignment horizontal="center"/>
    </xf>
    <xf numFmtId="0" fontId="0" fillId="14" borderId="4" xfId="0" applyFill="1" applyBorder="1" applyAlignment="1">
      <alignment horizontal="center"/>
    </xf>
    <xf numFmtId="0" fontId="0" fillId="14" borderId="5" xfId="0" applyFill="1" applyBorder="1" applyAlignment="1">
      <alignment horizontal="center"/>
    </xf>
    <xf numFmtId="0" fontId="0" fillId="0" borderId="7" xfId="0" applyBorder="1" applyAlignment="1">
      <alignment horizontal="center" wrapText="1"/>
    </xf>
    <xf numFmtId="0" fontId="0" fillId="0" borderId="4" xfId="0" applyBorder="1" applyAlignment="1">
      <alignment horizontal="center" wrapText="1"/>
    </xf>
    <xf numFmtId="0" fontId="0" fillId="0" borderId="0" xfId="0" applyAlignment="1">
      <alignment horizontal="center"/>
    </xf>
    <xf numFmtId="0" fontId="0" fillId="0" borderId="2" xfId="0" applyBorder="1" applyAlignment="1">
      <alignment horizontal="center"/>
    </xf>
    <xf numFmtId="0" fontId="5" fillId="22" borderId="11" xfId="10" applyBorder="1">
      <alignment horizontal="left"/>
    </xf>
  </cellXfs>
  <cellStyles count="12">
    <cellStyle name="01_Data_Input" xfId="4" xr:uid="{E9E98A7B-8A03-49A2-9E6D-8E4EB6C80788}"/>
    <cellStyle name="01_Data_Input [%]" xfId="9" xr:uid="{FD3D3A2B-BE3E-43F1-A78B-E2B5C9B5CA4C}"/>
    <cellStyle name="02_Data_Input (DD)" xfId="7" xr:uid="{FCD07EF5-3287-4475-9D53-7348AC1936AD}"/>
    <cellStyle name="03_Auto_Calcaulation" xfId="3" xr:uid="{E2BB7D89-37D5-475E-8A0E-D41B5DBDA562}"/>
    <cellStyle name="04_Comments" xfId="5" xr:uid="{C2C744ED-72C3-456C-92F3-EAECE13F28FE}"/>
    <cellStyle name="05_Header" xfId="10" xr:uid="{B1B9A447-6E98-4F10-A789-8A84AB5B65BF}"/>
    <cellStyle name="Automatisch" xfId="8" xr:uid="{AB3CF321-670F-4285-9BA9-23F48ED325F0}"/>
    <cellStyle name="Hyperlink" xfId="11" builtinId="8"/>
    <cellStyle name="Neutral" xfId="2" builtinId="28" customBuiltin="1"/>
    <cellStyle name="Normal" xfId="0" builtinId="0"/>
    <cellStyle name="Percent" xfId="1" builtinId="5"/>
    <cellStyle name="Result" xfId="6" xr:uid="{27C05C50-1692-41BD-902E-FB699DD63B0D}"/>
  </cellStyles>
  <dxfs count="92">
    <dxf>
      <alignment horizontal="right" vertical="bottom" textRotation="0" wrapText="0" indent="0" justifyLastLine="0" shrinkToFit="0" readingOrder="0"/>
    </dxf>
    <dxf>
      <alignment horizontal="right" vertical="bottom" textRotation="0" wrapText="0" indent="0" justifyLastLine="0" shrinkToFit="0" readingOrder="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protection locked="1" hidden="0"/>
    </dxf>
    <dxf>
      <border outline="0">
        <bottom style="thin">
          <color theme="1"/>
        </bottom>
      </border>
    </dxf>
    <dxf>
      <font>
        <b/>
        <i val="0"/>
        <strike val="0"/>
        <condense val="0"/>
        <extend val="0"/>
        <outline val="0"/>
        <shadow val="0"/>
        <u val="none"/>
        <vertAlign val="baseline"/>
        <sz val="11"/>
        <color theme="1"/>
        <name val="Calibri"/>
        <family val="2"/>
        <scheme val="minor"/>
      </font>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border outline="0">
        <top style="thin">
          <color theme="1"/>
        </top>
      </border>
    </dxf>
    <dxf>
      <fill>
        <patternFill patternType="solid">
          <fgColor theme="0" tint="-0.14999847407452621"/>
          <bgColor theme="0" tint="-0.14999847407452621"/>
        </patternFill>
      </fill>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alignment horizontal="general" vertical="bottom" textRotation="0" wrapText="1" indent="0" justifyLastLine="0" shrinkToFit="0" readingOrder="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0" tint="-4.9989318521683403E-2"/>
        </patternFill>
      </fill>
      <alignment horizontal="left" vertical="bottom" textRotation="0" wrapText="0" indent="0" justifyLastLine="0" shrinkToFit="0" readingOrder="0"/>
      <border diagonalUp="0" diagonalDown="0">
        <left/>
        <right/>
        <top style="dotted">
          <color auto="1"/>
        </top>
        <bottom style="dotted">
          <color auto="1"/>
        </bottom>
        <vertical/>
        <horizontal/>
      </border>
    </dxf>
    <dxf>
      <font>
        <b/>
        <i val="0"/>
        <strike val="0"/>
        <condense val="0"/>
        <extend val="0"/>
        <outline val="0"/>
        <shadow val="0"/>
        <u val="none"/>
        <vertAlign val="baseline"/>
        <sz val="11"/>
        <color theme="1"/>
        <name val="Calibri"/>
        <family val="2"/>
        <scheme val="minor"/>
      </font>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alignment horizontal="right" vertical="bottom" textRotation="0" wrapText="0" indent="0" justifyLastLine="0" shrinkToFit="0" readingOrder="0"/>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solid">
          <fgColor indexed="64"/>
          <bgColor theme="7" tint="0.79998168889431442"/>
        </patternFill>
      </fill>
      <border diagonalUp="0" diagonalDown="0">
        <left/>
        <right/>
        <top style="dotted">
          <color auto="1"/>
        </top>
        <bottom style="dotted">
          <color auto="1"/>
        </bottom>
        <vertical/>
        <horizontal/>
      </border>
      <protection locked="1" hidden="0"/>
      <extLst>
        <ext xmlns:xfpb="http://schemas.microsoft.com/office/spreadsheetml/2022/featurepropertybag" uri="{0417FA29-78FA-4A13-93AC-8FF0FAFDF519}">
          <xfpb:DXFComplement i="0"/>
        </ext>
      </extLst>
    </dxf>
    <dxf>
      <border outline="0">
        <left style="medium">
          <color rgb="FF000000"/>
        </left>
      </border>
    </dxf>
    <dxf>
      <numFmt numFmtId="2" formatCode="0.00"/>
    </dxf>
    <dxf>
      <numFmt numFmtId="2" formatCode="0.00"/>
    </dxf>
    <dxf>
      <numFmt numFmtId="2" formatCode="0.00"/>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none"/>
      </font>
      <fill>
        <patternFill patternType="gray0625">
          <fgColor rgb="FF000000"/>
          <bgColor rgb="FFDDEBF7"/>
        </patternFill>
      </fill>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minor"/>
      </font>
      <fill>
        <patternFill patternType="gray0625">
          <fgColor indexed="64"/>
          <bgColor theme="4" tint="0.79998168889431442"/>
        </patternFill>
      </fill>
    </dxf>
    <dxf>
      <font>
        <b/>
        <i val="0"/>
        <strike val="0"/>
        <condense val="0"/>
        <extend val="0"/>
        <outline val="0"/>
        <shadow val="0"/>
        <u val="none"/>
        <vertAlign val="baseline"/>
        <sz val="11"/>
        <color theme="1"/>
        <name val="Calibri"/>
        <family val="2"/>
        <scheme val="minor"/>
      </font>
    </dxf>
    <dxf>
      <numFmt numFmtId="2" formatCode="0.0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diagonalUp="0" diagonalDown="0">
        <left/>
        <right/>
        <top/>
        <bottom style="dotted">
          <color auto="1"/>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numFmt numFmtId="0" formatCode="General"/>
    </dxf>
    <dxf>
      <numFmt numFmtId="30" formatCode="@"/>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auto="1"/>
        <name val="Calibri"/>
        <family val="2"/>
        <scheme val="minor"/>
      </font>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gray0625">
          <fgColor indexed="64"/>
          <bgColor theme="5" tint="0.79998168889431442"/>
        </patternFill>
      </fill>
      <border diagonalUp="0" diagonalDown="0">
        <left/>
        <right/>
        <top style="dotted">
          <color auto="1"/>
        </top>
        <bottom style="dotted">
          <color auto="1"/>
        </bottom>
        <vertical/>
        <horizontal/>
      </border>
    </dxf>
    <dxf>
      <numFmt numFmtId="4" formatCode="#,##0.00"/>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style="medium">
          <color indexed="64"/>
        </left>
        <right/>
        <vertical/>
      </border>
    </dxf>
    <dxf>
      <numFmt numFmtId="14" formatCode="0.00%"/>
    </dxf>
    <dxf>
      <numFmt numFmtId="14" formatCode="0.00%"/>
    </dxf>
    <dxf>
      <border diagonalUp="0" diagonalDown="0">
        <left/>
        <right/>
        <top style="dotted">
          <color auto="1"/>
        </top>
        <bottom style="dotted">
          <color auto="1"/>
        </bottom>
        <vertical/>
        <horizontal/>
      </border>
    </dxf>
    <dxf>
      <numFmt numFmtId="14" formatCode="0.00%"/>
    </dxf>
    <dxf>
      <border diagonalUp="0" diagonalDown="0">
        <left/>
        <right style="medium">
          <color indexed="64"/>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
      <border diagonalUp="0" diagonalDown="0">
        <left style="medium">
          <color indexed="64"/>
        </left>
        <right style="medium">
          <color indexed="64"/>
        </right>
        <top style="medium">
          <color indexed="64"/>
        </top>
        <bottom style="medium">
          <color indexed="64"/>
        </bottom>
      </border>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22/11/relationships/FeaturePropertyBag" Target="featurePropertyBag/featurePropertyBag.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C80BA90-6303-48FE-B877-0863368B268A}" name="Table17" displayName="Table17" ref="A1:F15" totalsRowShown="0" tableBorderDxfId="91">
  <autoFilter ref="A1:F15" xr:uid="{1C80BA90-6303-48FE-B877-0863368B268A}"/>
  <tableColumns count="6">
    <tableColumn id="6" xr3:uid="{6622C4EF-052B-45CD-A847-ACCB06EA8E2A}" name="Category_Settings" dataCellStyle="03_Auto_Calcaulation"/>
    <tableColumn id="1" xr3:uid="{0F35CF36-2EE4-427C-B457-B780F70AB2BD}" name="Setting_Name" dataCellStyle="03_Auto_Calcaulation"/>
    <tableColumn id="2" xr3:uid="{FBD5F8A0-D04F-48FF-BB17-57D3F45C1AC7}" name="Value" dataCellStyle="01_Data_Input"/>
    <tableColumn id="3" xr3:uid="{19D96414-4EDE-44B1-AAE7-D63123776C14}" name="Description" dataCellStyle="04_Comments"/>
    <tableColumn id="4" xr3:uid="{E374AA8A-E931-44E7-8AB8-792DF9FF31B2}" name="Category" dataCellStyle="04_Comments"/>
    <tableColumn id="5" xr3:uid="{447FA278-5421-4C9E-B9BD-B77CEDE1DF37}" name="Status" dataCellStyle="04_Comment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V70" totalsRowShown="0" headerRowCellStyle="05_Header">
  <autoFilter ref="A1:V70" xr:uid="{DA5E02B4-C3D5-4EC6-A468-E6098B9805CF}"/>
  <tableColumns count="22">
    <tableColumn id="13" xr3:uid="{660990D7-F8E8-451E-A19A-9F23873E1903}" name="Complete?" dataDxfId="90" dataCellStyle="04_Comments"/>
    <tableColumn id="1" xr3:uid="{23E8F131-81B2-4705-927A-A42C393BEDCE}" name="ID" dataDxfId="89">
      <calculatedColumnFormula>ROW()-1</calculatedColumnFormula>
    </tableColumn>
    <tableColumn id="2" xr3:uid="{D694ED25-71D4-4BD1-B627-FBE0FAE9FC8B}" name="Flow_ID" dataDxfId="88">
      <calculatedColumnFormula>"F_"&amp;LEFT(F2,2)&amp;"_"&amp;LEFT(H2,2)</calculatedColumnFormula>
    </tableColumn>
    <tableColumn id="3" xr3:uid="{CA1C6FA9-65CA-47E1-94EA-BBB750256C84}" name="Flow_Name" dataDxfId="87"/>
    <tableColumn id="5" xr3:uid="{E4010E64-B53A-47D0-A7D2-47D03F95861B}" name="Flow_Output_Process" dataCellStyle="02_Data_Input (DD)"/>
    <tableColumn id="6" xr3:uid="{6B50AC7E-8239-487E-AA74-DF3B748A4DBC}" name="Flow_Output_Process_ID">
      <calculatedColumnFormula>_xlfn.XLOOKUP(E2,Tab_Def_Processes[Process_Name],Tab_Def_Processes[Process_ID],,0,)</calculatedColumnFormula>
    </tableColumn>
    <tableColumn id="7" xr3:uid="{BB5929AC-D161-4245-A509-7FD167BBC61D}" name="Flow_Input_Process" dataCellStyle="02_Data_Input (DD)"/>
    <tableColumn id="8" xr3:uid="{B9EB18D6-7F00-4BB7-ADFD-200FC95B2CA7}" name="Input_Process_ID" dataDxfId="86">
      <calculatedColumnFormula>_xlfn.XLOOKUP(G2,Tab_Def_Processes[Process_Name],Tab_Def_Processes[Process_ID],,0,)</calculatedColumnFormula>
    </tableColumn>
    <tableColumn id="9" xr3:uid="{0E9B3B6E-2DF0-49A7-BFA9-2513136E622E}" name="WC?" dataCellStyle="02_Data_Input (DD)"/>
    <tableColumn id="15" xr3:uid="{6E0C6841-1496-4DDD-9174-61F6DC51267E}" name="DM?" dataCellStyle="02_Data_Input (DD)"/>
    <tableColumn id="16" xr3:uid="{D89EDA50-0A29-4075-BBFF-DF622660740A}" name="CC?" dataCellStyle="02_Data_Input (DD)"/>
    <tableColumn id="4" xr3:uid="{7EC28FE6-0C9F-4BB6-8A7C-75CB078DE8B1}" name="Flow_WC_ID" dataCellStyle="03_Auto_Calcaulation">
      <calculatedColumnFormula>Tab_Def_Flows[[#This Row],[Flow_ID]]&amp;"_WC"</calculatedColumnFormula>
    </tableColumn>
    <tableColumn id="18" xr3:uid="{AFBC221B-4B6A-49DF-8BB0-8E40EB019E1C}" name="Flow_WC[%]" dataDxfId="85"/>
    <tableColumn id="22" xr3:uid="{ABA27704-56CF-4C30-88CB-BB6E944F7F08}" name="WC_source" dataCellStyle="04_Comments"/>
    <tableColumn id="10" xr3:uid="{D0034047-8042-40C2-8630-B9AC9A67EFA6}" name="Flow_DM_ID" dataDxfId="84" dataCellStyle="03_Auto_Calcaulation">
      <calculatedColumnFormula>Tab_Def_Flows[[#This Row],[Flow_ID]]&amp;"_DM"</calculatedColumnFormula>
    </tableColumn>
    <tableColumn id="23" xr3:uid="{5CA0D08F-32C9-451C-A223-78F9E163EE87}" name="Flow_DM[%]" dataDxfId="83"/>
    <tableColumn id="19" xr3:uid="{B3649430-F3A4-4F10-84D0-61D5F3B7C06D}" name="DM_source" dataCellStyle="04_Comments"/>
    <tableColumn id="11" xr3:uid="{91581563-959B-455B-A64C-F0988CFED587}" name="Flow_CC_ID" dataCellStyle="03_Auto_Calcaulation">
      <calculatedColumnFormula>Tab_Def_Flows[[#This Row],[Flow_ID]]&amp;"_CC"</calculatedColumnFormula>
    </tableColumn>
    <tableColumn id="20" xr3:uid="{826B197D-7E74-49DB-8367-DD0E48B963C3}" name="Flow_CC_DM[%]" dataDxfId="82"/>
    <tableColumn id="21" xr3:uid="{D903DE25-FD16-43E6-ADC2-67C346513E4D}" name="CC_DM_source" dataCellStyle="04_Comments"/>
    <tableColumn id="24" xr3:uid="{97A60092-8CFB-4931-B347-B7F41423089C}" name="Flow_CC_FM[%]" dataCellStyle="Percent"/>
    <tableColumn id="25" xr3:uid="{FA3B4865-4DDA-42CE-A93F-8C26CE150F7A}" name="CC_FM_source"/>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F350" totalsRowShown="0" headerRowCellStyle="05_Header">
  <autoFilter ref="A1:AF350" xr:uid="{323CB71B-2A7B-4CEF-9473-A7F5A1E6FAAA}"/>
  <tableColumns count="32">
    <tableColumn id="1" xr3:uid="{4E4AA63C-992A-498F-9D6C-B8B8E27D6E01}" name="ID" dataDxfId="81"/>
    <tableColumn id="21" xr3:uid="{4A94E88D-049E-45D2-A348-41DF1C22CB88}" name="Flow_ID">
      <calculatedColumnFormula>_xlfn.XLOOKUP(C2,Tab_Def_Flows[Flow_Name],Tab_Def_Flows[Flow_ID],,0,)</calculatedColumnFormula>
    </tableColumn>
    <tableColumn id="2" xr3:uid="{29C2000C-F671-4AE0-B65A-84E622203CC5}" name="Flow_Name" dataCellStyle="02_Data_Input (DD)"/>
    <tableColumn id="30" xr3:uid="{F13B49C3-7111-4C57-A913-01AB03549B56}" name="WC?" dataDxfId="80">
      <calculatedColumnFormula>_xlfn.XLOOKUP(C2,Tab_Def_Flows[Flow_Name],Tab_Def_Flows[WC?],,0,)</calculatedColumnFormula>
    </tableColumn>
    <tableColumn id="31" xr3:uid="{24B36152-385D-4D3C-A274-72EA56B6819A}" name="DM?" dataDxfId="79">
      <calculatedColumnFormula>_xlfn.XLOOKUP(C2,Tab_Def_Flows[Flow_Name],Tab_Def_Flows[DM?],,0,)</calculatedColumnFormula>
    </tableColumn>
    <tableColumn id="32" xr3:uid="{A086924B-597B-4B7A-B9B2-8397025FD97B}" name="CC?" dataDxfId="78">
      <calculatedColumnFormula>_xlfn.XLOOKUP(C2,Tab_Def_Flows[Flow_Name],Tab_Def_Flows[CC?],,0,)</calculatedColumnFormula>
    </tableColumn>
    <tableColumn id="8" xr3:uid="{99596DFE-48B5-4290-B0F6-A898E061D3F8}" name="Flow_Data_Year"/>
    <tableColumn id="9" xr3:uid="{1ACF4DEC-161A-4C25-85DA-AEB0305665A1}" name="Flow" dataDxfId="77"/>
    <tableColumn id="10" xr3:uid="{830F5101-5C33-4F82-BC56-E2BC7AF81364}" name="UoM_Source"/>
    <tableColumn id="11" xr3:uid="{4CDA8F79-829B-47EF-ADFC-3E43B62F90A4}" name="Titel_source" dataCellStyle="04_Comments"/>
    <tableColumn id="12" xr3:uid="{D0C93CBC-3976-469D-9A50-71565C7637F6}" name="Year_publication" dataCellStyle="04_Comments"/>
    <tableColumn id="13" xr3:uid="{BD736DA9-BCB8-4847-8C5E-016B40F2D1C8}" name="Author_source" dataCellStyle="04_Comments"/>
    <tableColumn id="14" xr3:uid="{909652C9-7340-4E97-BE58-FB5BB2D60A6B}" name="Type_source" dataCellStyle="04_Comments"/>
    <tableColumn id="15" xr3:uid="{84D24FD1-11DC-4ECB-A91C-88311F5AA0BB}" name="URL_source" dataCellStyle="04_Comments"/>
    <tableColumn id="23" xr3:uid="{C9D770EA-2F51-4DF1-9F28-8BE644026B42}" name="CF_required?"/>
    <tableColumn id="24" xr3:uid="{A0B3F6E9-7AAD-4DC9-BD30-F93F045797DC}" name="CF" dataDxfId="76"/>
    <tableColumn id="25" xr3:uid="{94996270-9A62-4B8C-B04B-D56A7F9FDE30}" name="Name_CF" dataDxfId="75">
      <calculatedColumnFormula>#REF!</calculatedColumnFormula>
    </tableColumn>
    <tableColumn id="3" xr3:uid="{5239D9D2-975D-4F7C-9B2C-2F802606937F}" name="Flow_material_year_ID" dataCellStyle="03_Auto_Calcaulation">
      <calculatedColumnFormula>Tab_Data_Flows[[#This Row],[Flow_ID]]&amp;"_"&amp;"material_"&amp;Tab_Data_Flows[[#This Row],[Flow_Data_Year]]</calculatedColumnFormula>
    </tableColumn>
    <tableColumn id="17" xr3:uid="{E761CF85-B508-4386-AFDF-6ABE121824EE}" name="Flow_Material" dataDxfId="74"/>
    <tableColumn id="18" xr3:uid="{9637D90E-56CA-40AA-A989-2B3406B7446B}" name="UoM_Flow_Py"/>
    <tableColumn id="35" xr3:uid="{D533411F-8317-4C7A-82C5-6CC35DCA0045}" name="WC_[%]" dataCellStyle="Percent">
      <calculatedColumnFormula>INDEX(Tab_Def_Flows[[Flow_ID]:[CC_DM_source]],MATCH(Tab_Data_Flows[[#This Row],[Flow_Name]],Tab_Def_Flows[Flow_Name],0),11)</calculatedColumnFormula>
    </tableColumn>
    <tableColumn id="4" xr3:uid="{32F50B3C-6D68-4FC0-ABC2-6896AF22BAAB}" name="Flow_WC_year_ID" dataDxfId="73" dataCellStyle="Percent">
      <calculatedColumnFormula>Tab_Data_Flows[[#This Row],[Flow_ID]]&amp;"_"&amp;"WC_"&amp;Tab_Data_Flows[[#This Row],[Flow_Data_Year]]</calculatedColumnFormula>
    </tableColumn>
    <tableColumn id="19" xr3:uid="{B38F996B-A4B1-4EAB-934E-3A03DA2EACD8}" name="WC_Flow_Py" dataCellStyle="03_Auto_Calcaulation">
      <calculatedColumnFormula>IF(D2="Yes",S2*Tab_Data_Flows[[#This Row],[WC_'[%']]],"N.A.")</calculatedColumnFormula>
    </tableColumn>
    <tableColumn id="20" xr3:uid="{9FC71200-3D77-4369-ADCB-57624AA5954C}" name="UoM_WC_Flow_Py" dataCellStyle="03_Auto_Calcaulation">
      <calculatedColumnFormula>Tab_Data_Flows[[#This Row],[UoM_Flow_Py]]</calculatedColumnFormula>
    </tableColumn>
    <tableColumn id="36" xr3:uid="{B0BEC211-F9B4-42EF-AC89-C039D617733A}" name="DM_[%]" dataCellStyle="Percent">
      <calculatedColumnFormula>INDEX(Tab_Def_Flows[[Flow_ID]:[CC_DM_source]],MATCH(Tab_Data_Flows[[#This Row],[Flow_Name]],Tab_Def_Flows[Flow_Name],0),14)</calculatedColumnFormula>
    </tableColumn>
    <tableColumn id="5" xr3:uid="{BF1D8406-E28C-4E12-A0FA-64BC09028C7A}" name="Flow_DM_year_ID" dataDxfId="72" dataCellStyle="Percent">
      <calculatedColumnFormula>Tab_Data_Flows[[#This Row],[Flow_ID]]&amp;"_"&amp;"DM_"&amp;Tab_Data_Flows[[#This Row],[Flow_Data_Year]]</calculatedColumnFormula>
    </tableColumn>
    <tableColumn id="16" xr3:uid="{5870FF88-1089-4405-BE76-38B3B4593EF0}" name="DM_Flow_Py" dataCellStyle="03_Auto_Calcaulation">
      <calculatedColumnFormula>IF(E2="Yes",Y2*Tab_Data_Flows[[#This Row],[Flow_Material]],"N.A.")</calculatedColumnFormula>
    </tableColumn>
    <tableColumn id="28" xr3:uid="{B86549E5-0BB3-4C5A-A918-3D47E08025CB}" name="UoM_DM_Flow_Py" dataCellStyle="03_Auto_Calcaulation">
      <calculatedColumnFormula>Tab_Data_Flows[[#This Row],[UoM_Flow_Py]]</calculatedColumnFormula>
    </tableColumn>
    <tableColumn id="37" xr3:uid="{7058A0AA-4684-4D9A-936D-EC68E6F28D3A}" name="CC_[%]" dataCellStyle="Percent">
      <calculatedColumnFormula>INDEX(Tab_Def_Flows[[Flow_ID]:[CC_DM_source]],MATCH(Tab_Data_Flows[[#This Row],[Flow_Name]],Tab_Def_Flows[Flow_Name],0),17)</calculatedColumnFormula>
    </tableColumn>
    <tableColumn id="6" xr3:uid="{BAD6DCCC-3040-47BA-8BCF-16CBCE520515}" name="Flow_CC_year_ID" dataDxfId="71" dataCellStyle="Percent">
      <calculatedColumnFormula>Tab_Data_Flows[[#This Row],[Flow_ID]]&amp;"_"&amp;"CC_"&amp;Tab_Data_Flows[[#This Row],[Flow_Data_Year]]</calculatedColumnFormula>
    </tableColumn>
    <tableColumn id="33" xr3:uid="{03419921-2398-41C8-A2B6-2F0431969219}" name="CC_Flow_Py" dataCellStyle="03_Auto_Calcaulation">
      <calculatedColumnFormula>IF(F2="Yes",AC2*Tab_Data_Flows[[#This Row],[Flow_Material]]*Tab_Data_Flows[[#This Row],[DM_'[%']]],"N.A.")</calculatedColumnFormula>
    </tableColumn>
    <tableColumn id="29" xr3:uid="{1891F07F-F500-4F38-84AE-0CF9BF7F81C5}" name="UoM_CC_Flow_Py" dataCellStyle="03_Auto_Calcaulation">
      <calculatedColumnFormula>Tab_Data_Flows[[#This Row],[UoM_Flow_Py]]</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I47" totalsRowShown="0" headerRowCellStyle="05_Header">
  <autoFilter ref="A1:I47" xr:uid="{CEDB6F7C-CFD3-4534-80A6-FB20E3898B22}"/>
  <tableColumns count="9">
    <tableColumn id="39" xr3:uid="{488AB972-9613-4DA9-9600-5BFBE3896251}" name="Complete?" dataDxfId="70" dataCellStyle="04_Comments"/>
    <tableColumn id="1" xr3:uid="{A63F92FA-2376-4B5A-A2DF-588878E604E1}" name="ID" dataDxfId="69">
      <calculatedColumnFormula>ROW()-1</calculatedColumnFormula>
    </tableColumn>
    <tableColumn id="2" xr3:uid="{6D346BEA-29CA-401C-8ABB-6C62791A731A}" name="Process_ID" dataDxfId="68">
      <calculatedColumnFormula>LEFT(B2,2)</calculatedColumnFormula>
    </tableColumn>
    <tableColumn id="3" xr3:uid="{23E701E0-D1E5-4551-AEF1-EE173D6FB3F0}" name="Process_Name"/>
    <tableColumn id="5" xr3:uid="{73D028F9-80A7-4DFA-A740-7F3AAFB64394}" name="Description"/>
    <tableColumn id="12" xr3:uid="{164DC887-CD3D-467E-863D-5B1701C13C87}" name="Process_Logic" dataCellStyle="02_Data_Input (DD)"/>
    <tableColumn id="4" xr3:uid="{205F98D5-C655-4D0C-945F-288EE31DD8D8}" name="TC_Configuration" dataCellStyle="02_Data_Input (DD)"/>
    <tableColumn id="37" xr3:uid="{891365CA-9AE8-450C-981B-51AB3AAC0B42}" name="Stock_Configuration" dataCellStyle="02_Data_Input (DD)"/>
    <tableColumn id="9" xr3:uid="{FC5B49D3-94C3-4B94-8066-5A87D2EBA509}" name="Outflow_count" dataCellStyle="02_Data_Input (DD)"/>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92E7818-6155-45D9-AB2E-AC294DA461E3}" name="Tab_Process_TCs" displayName="Tab_Process_TCs" ref="A1:W50" totalsRowShown="0" tableBorderDxfId="67" headerRowCellStyle="05_Header">
  <autoFilter ref="A1:W50" xr:uid="{7602A998-85E6-499A-B1A3-C584F22BB41F}"/>
  <tableColumns count="23">
    <tableColumn id="33" xr3:uid="{2E104FB0-3B3F-413B-B1B0-969D126AA7B1}" name="Complete?" dataDxfId="66" dataCellStyle="04_Comments"/>
    <tableColumn id="1" xr3:uid="{B9E05773-FB7F-407B-8FB3-BE93F6BB50D9}" name="ID" dataDxfId="65">
      <calculatedColumnFormula>ROW()-1</calculatedColumnFormula>
    </tableColumn>
    <tableColumn id="2" xr3:uid="{4324CFF4-5791-4829-80A7-8BA4CF2CD799}" name="Process_ID" dataDxfId="64">
      <calculatedColumnFormula>_xlfn.XLOOKUP($D2,Tab_Def_Processes[Process_Name],Tab_Def_Processes[ID],,0,)</calculatedColumnFormula>
    </tableColumn>
    <tableColumn id="4" xr3:uid="{946187C9-D3F8-4F19-9994-C8796BDBE53F}" name="Process_Name" dataCellStyle="02_Data_Input (DD)"/>
    <tableColumn id="3" xr3:uid="{479CFCA8-A274-4EFD-AB33-6D0AABD0F4B9}" name="Process_Logic" dataCellStyle="03_Auto_Calcaulation">
      <calculatedColumnFormula>_xlfn.XLOOKUP($D2,Tab_Def_Processes[Process_Name],Tab_Def_Processes[Process_Logic],,0,)</calculatedColumnFormula>
    </tableColumn>
    <tableColumn id="55" xr3:uid="{F3C18F15-6CF2-498C-8C52-DFE2AC10ECAC}" name="TC_Configuration">
      <calculatedColumnFormula>_xlfn.XLOOKUP($D2,Tab_Def_Processes[Process_Name],Tab_Def_Processes[TC_Configuration],,0,)</calculatedColumnFormula>
    </tableColumn>
    <tableColumn id="10" xr3:uid="{CC04B0A5-9C4F-4FFA-B2E2-F1D75167F23C}" name="Stock_Configuration">
      <calculatedColumnFormula>_xlfn.XLOOKUP($D2,Tab_Def_Processes[Process_Name],Tab_Def_Processes[Stock_Configuration],,0,)</calculatedColumnFormula>
    </tableColumn>
    <tableColumn id="63" xr3:uid="{1A77F15A-FA31-4CCE-BD64-2CB112A3FC0E}" name="Outflow_count">
      <calculatedColumnFormula>_xlfn.XLOOKUP($D2,Tab_Def_Processes[Process_Name],Tab_Def_Processes[Outflow_count],,0,)</calculatedColumnFormula>
    </tableColumn>
    <tableColumn id="60" xr3:uid="{589591CC-F0A5-4330-A587-2AC4B9EBE6E7}" name="Output_Flow" dataCellStyle="02_Data_Input (DD)"/>
    <tableColumn id="61" xr3:uid="{3DCF64AE-84DA-4DB2-B1D7-155793880457}" name="Flow_ID"/>
    <tableColumn id="62" xr3:uid="{8BA8BF53-02D1-4228-A423-652F6C420D98}" name="TC_material_ID">
      <calculatedColumnFormula>"TC_material"&amp;"_"&amp;RIGHT(J2,5)</calculatedColumnFormula>
    </tableColumn>
    <tableColumn id="6" xr3:uid="{FFED5F6C-3218-4158-B83E-E36CBDBE66D3}" name="TC_Value_material" dataCellStyle="01_Data_Input [%]"/>
    <tableColumn id="5" xr3:uid="{26CB53AE-C2DA-498F-83BC-637846312E64}" name="TC_WC_ID" dataCellStyle="01_Data_Input [%]">
      <calculatedColumnFormula>"TC_WC"&amp;"_"&amp;RIGHT(J2,5)</calculatedColumnFormula>
    </tableColumn>
    <tableColumn id="14" xr3:uid="{C58A0316-8CD5-40B7-8DAC-47E491863B51}" name="TC_Value_WC" dataCellStyle="01_Data_Input [%]"/>
    <tableColumn id="7" xr3:uid="{D1AB31D7-FE03-4FA3-A841-2C6BF096BA38}" name="TC_DM_ID" dataCellStyle="01_Data_Input [%]">
      <calculatedColumnFormula>"TC_DM"&amp;"_"&amp;RIGHT(J2,5)</calculatedColumnFormula>
    </tableColumn>
    <tableColumn id="17" xr3:uid="{60C7719A-F2C4-4AA3-A9B0-A771C56BADEA}" name="TC_Value_DM" dataCellStyle="01_Data_Input [%]"/>
    <tableColumn id="13" xr3:uid="{FA3232AA-9699-474E-89ED-66751D08AE6B}" name="TC_CC_ID" dataCellStyle="03_Auto_Calcaulation">
      <calculatedColumnFormula>"TC_CC"&amp;"_"&amp;RIGHT(J2,5)</calculatedColumnFormula>
    </tableColumn>
    <tableColumn id="19" xr3:uid="{11A00852-E330-489D-8B56-1C73C3A9C691}" name="TC_Value_CC" dataCellStyle="01_Data_Input [%]"/>
    <tableColumn id="48" xr3:uid="{9C12809D-8D40-408C-A396-D73EB8541DC7}" name="Titel_source" dataCellStyle="04_Comments"/>
    <tableColumn id="49" xr3:uid="{387957CD-8D09-40B8-A8FF-B016791D738C}" name="Year_publication" dataCellStyle="04_Comments"/>
    <tableColumn id="50" xr3:uid="{F40B4B5A-5FE9-4323-AE3E-6888574BADC6}" name="Author_source" dataCellStyle="04_Comments"/>
    <tableColumn id="51" xr3:uid="{29D2E5C8-1A18-429C-8897-2983944785D1}" name="Type_source" dataCellStyle="04_Comments"/>
    <tableColumn id="52" xr3:uid="{F17C67CF-3742-4E1A-B45D-3AEC97A7F9C5}" name="URL_source" dataCellStyle="04_Comments"/>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EC78F5E-4DC0-4281-9E19-D7D89F01D98B}" name="Tab_Process_TCs2527" displayName="Tab_Process_TCs2527" ref="A1:X151" totalsRowShown="0" headerRowDxfId="63" headerRowBorderDxfId="62" tableBorderDxfId="61">
  <autoFilter ref="A1:X151" xr:uid="{7602A998-85E6-499A-B1A3-C584F22BB41F}"/>
  <sortState xmlns:xlrd2="http://schemas.microsoft.com/office/spreadsheetml/2017/richdata2" ref="A2:X151">
    <sortCondition ref="D1:D151"/>
  </sortState>
  <tableColumns count="24">
    <tableColumn id="33" xr3:uid="{8D32234C-9537-417C-B55D-065038402726}" name="Complete?" dataDxfId="60" dataCellStyle="04_Comments"/>
    <tableColumn id="1" xr3:uid="{CE7CE076-C32F-4791-85A9-C6321A66E672}" name="ID" dataDxfId="59">
      <calculatedColumnFormula>ROW()-1</calculatedColumnFormula>
    </tableColumn>
    <tableColumn id="2" xr3:uid="{F7259AFD-9D16-4ACC-BDB2-8D0DCC203B92}" name="Process_ID" dataDxfId="58" dataCellStyle="03_Auto_Calcaulation">
      <calculatedColumnFormula>_xlfn.XLOOKUP($D2,Tab_Def_Processes[Process_Name],Tab_Def_Processes[Process_ID],,0,)</calculatedColumnFormula>
    </tableColumn>
    <tableColumn id="4" xr3:uid="{D62568B9-C7FB-4148-A9E6-4408BD54F6DD}" name="Process_Name" dataCellStyle="02_Data_Input (DD)"/>
    <tableColumn id="53" xr3:uid="{B30EC7AB-C9CF-48B9-9C18-4DC70FA64675}" name="Output_Flow" dataCellStyle="02_Data_Input (DD)"/>
    <tableColumn id="71" xr3:uid="{1A915599-95E7-42ED-96FF-6B72A882182B}" name="Process_Logic" dataCellStyle="03_Auto_Calcaulation">
      <calculatedColumnFormula>_xlfn.XLOOKUP($D2,Tab_Def_Processes[Process_Name],Tab_Def_Processes[Process_Logic],,0,)</calculatedColumnFormula>
    </tableColumn>
    <tableColumn id="6" xr3:uid="{ECCBCC07-0DFD-444C-84A1-6C630191FBD6}" name="TC_Configuration" dataDxfId="57" dataCellStyle="03_Auto_Calcaulation">
      <calculatedColumnFormula>_xlfn.XLOOKUP($D2,Tab_Def_Processes[Process_Name],Tab_Def_Processes[TC_Configuration],,0,)</calculatedColumnFormula>
    </tableColumn>
    <tableColumn id="10" xr3:uid="{1437CDCC-E7D9-4D67-98AD-AAB0084EBF1F}" name="Stock_Configuration" dataDxfId="0" dataCellStyle="03_Auto_Calcaulation">
      <calculatedColumnFormula>_xlfn.XLOOKUP($D2,Tab_Def_Processes[Process_Name],Tab_Def_Processes[Stock_Configuration],,0,)</calculatedColumnFormula>
    </tableColumn>
    <tableColumn id="8" xr3:uid="{FF6BEEBF-476A-4FA3-AABC-B42AD9B68C8F}" name="Outflow_count" dataDxfId="1" dataCellStyle="03_Auto_Calcaulation">
      <calculatedColumnFormula>_xlfn.XLOOKUP($D2,Tab_Def_Processes[Process_Name],Tab_Def_Processes[Outflow_count],,0,)</calculatedColumnFormula>
    </tableColumn>
    <tableColumn id="58" xr3:uid="{30CA6363-44CF-47BB-852F-FC99B7871DBF}" name="Flow_ID"/>
    <tableColumn id="5" xr3:uid="{14178014-57A1-4060-85AD-87A3EE5DEB58}" name="Year" dataCellStyle="01_Data_Input"/>
    <tableColumn id="47" xr3:uid="{216BDA3B-897B-4778-B689-9FC4086F4AC2}" name="TC_material_ID">
      <calculatedColumnFormula>"TC_material"&amp;"_"&amp;RIGHT(J2,5)</calculatedColumnFormula>
    </tableColumn>
    <tableColumn id="7" xr3:uid="{B6501728-CFCD-4CAF-8AE6-9FFFB31BB3EE}" name="TC_Value_material" dataCellStyle="01_Data_Input [%]"/>
    <tableColumn id="130" xr3:uid="{597A00C3-62A3-4A2E-9873-EF4CCC3D399C}" name="TC_WC_ID" dataDxfId="56" dataCellStyle="03_Auto_Calcaulation">
      <calculatedColumnFormula>"TC_WC"&amp;"_"&amp;RIGHT(J2,5)</calculatedColumnFormula>
    </tableColumn>
    <tableColumn id="3" xr3:uid="{F2AB626C-8252-40EA-BF3F-741936847253}" name="TC_Value_WC" dataCellStyle="01_Data_Input [%]"/>
    <tableColumn id="9" xr3:uid="{237AC8FD-4E0C-4FE4-8F17-1BF1C65D5D48}" name="TC_DM_ID" dataCellStyle="01_Data_Input">
      <calculatedColumnFormula>"TC_DM"&amp;"_"&amp;RIGHT(J2,5)</calculatedColumnFormula>
    </tableColumn>
    <tableColumn id="62" xr3:uid="{8B4BDA15-ED38-4949-803C-738CA8CD4711}" name="TC_Value_DM" dataCellStyle="01_Data_Input [%]"/>
    <tableColumn id="72" xr3:uid="{B8B4579E-4BDB-4E09-B029-B8A230690748}" name="TC_CC_ID" dataCellStyle="01_Data_Input">
      <calculatedColumnFormula>"TC_CC"&amp;"_"&amp;RIGHT(J2,5)</calculatedColumnFormula>
    </tableColumn>
    <tableColumn id="74" xr3:uid="{ACD058AB-4ED3-4363-A497-3E2D653AE01B}" name="TC_Value_CC" dataCellStyle="01_Data_Input"/>
    <tableColumn id="52" xr3:uid="{926766EE-597F-4E0B-80BC-39D093C2EE72}" name="Titel_source" dataCellStyle="04_Comments"/>
    <tableColumn id="56" xr3:uid="{8A9A92CB-143A-4805-9B5B-6D25EEEC49C2}" name="Year_publication" dataCellStyle="04_Comments"/>
    <tableColumn id="59" xr3:uid="{A857CB38-C9EE-481E-A97C-5F2071751D5E}" name="Author_source" dataCellStyle="04_Comments"/>
    <tableColumn id="60" xr3:uid="{7465FD7F-6423-401D-AF4C-BCEC14683B6D}" name="Type_source" dataCellStyle="04_Comments"/>
    <tableColumn id="61" xr3:uid="{BCB5EC77-CA8B-477E-B43F-230AA651D082}" name="URL_source" dataCellStyle="04_Comments"/>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T51" totalsRowShown="0" tableBorderDxfId="55" headerRowCellStyle="05_Header">
  <autoFilter ref="A1:T51" xr:uid="{7602A998-85E6-499A-B1A3-C584F22BB41F}"/>
  <tableColumns count="20">
    <tableColumn id="24" xr3:uid="{799CF049-9A74-47E4-BCE6-68EB92DFEDD4}" name="Complete?" dataDxfId="54" dataCellStyle="04_Comments"/>
    <tableColumn id="1" xr3:uid="{75AB9428-C675-46D8-B904-74A952E29611}" name="ID" dataDxfId="53">
      <calculatedColumnFormula>ROW()-1</calculatedColumnFormula>
    </tableColumn>
    <tableColumn id="22" xr3:uid="{055CB3E4-C1DF-486D-9F8E-E65039E95278}" name="Stock_ID" dataDxfId="52">
      <calculatedColumnFormula>"S"&amp;"_"&amp;LEFT(D2,2)</calculatedColumnFormula>
    </tableColumn>
    <tableColumn id="2" xr3:uid="{5ADBC512-CD1A-40CE-BE30-05251A2B7DE2}" name="Process_ID">
      <calculatedColumnFormula>_xlfn.XLOOKUP($E2,Tab_Def_Processes[Process_Name],Tab_Def_Processes[Process_ID],,0,)</calculatedColumnFormula>
    </tableColumn>
    <tableColumn id="4" xr3:uid="{84AAD184-ADAF-48DD-90FF-054A16E8C72E}" name="Process_Name" dataCellStyle="02_Data_Input (DD)"/>
    <tableColumn id="8" xr3:uid="{1C605A6E-1096-4C94-ABBC-E2EC4B185BA0}" name="Process_Logic">
      <calculatedColumnFormula>_xlfn.XLOOKUP($E2,Tab_Def_Processes[Process_Name],#REF!,,0,)</calculatedColumnFormula>
    </tableColumn>
    <tableColumn id="10" xr3:uid="{9A812DE8-1541-429A-A794-65E2E525E20C}" name="TC_Configuration">
      <calculatedColumnFormula>_xlfn.XLOOKUP($E2,Tab_Def_Processes[Process_Name],Tab_Def_Processes[TC_Configuration],,0,)</calculatedColumnFormula>
    </tableColumn>
    <tableColumn id="9" xr3:uid="{3AE1B187-589A-4305-B694-4E25D64C51F0}" name="Stock_Configuration" dataCellStyle="03_Auto_Calcaulation">
      <calculatedColumnFormula>_xlfn.XLOOKUP($E2,Tab_Def_Processes[Process_Name],Tab_Def_Processes[Stock_Configuration],,0,)</calculatedColumnFormula>
    </tableColumn>
    <tableColumn id="11" xr3:uid="{E1D6EE2E-98F5-47C3-99E3-92AF9C3806CE}" name="Outflow_count">
      <calculatedColumnFormula>_xlfn.XLOOKUP($E2,Tab_Def_Processes[Process_Name],Tab_Def_Processes[Outflow_count],,0,)</calculatedColumnFormula>
    </tableColumn>
    <tableColumn id="12" xr3:uid="{7DDD5886-F4FA-4775-8C52-92E80DC384DD}" name="Initial_Stock_material" dataDxfId="51"/>
    <tableColumn id="13" xr3:uid="{95F5ECA7-7FE5-4FC8-98E7-6C1B198DEC84}" name="UoM"/>
    <tableColumn id="29" xr3:uid="{B0823066-E333-4D78-8942-5A125F26E95B}" name="Initial_Stock_WC[%]"/>
    <tableColumn id="30" xr3:uid="{C0E1AB9C-B9AD-4A8A-A3B3-D7ADBE2BBD48}" name="Initial_Stock_DM[%]"/>
    <tableColumn id="31" xr3:uid="{56774666-9E36-4F86-85A3-2700F6690B23}" name="Initial_Stock_CC[%]"/>
    <tableColumn id="7" xr3:uid="{FFFA239D-6F75-40A5-BD1A-64ABCF0C01BC}" name="Destination_Process_Name" dataCellStyle="01_Data_Input"/>
    <tableColumn id="3" xr3:uid="{AA7A1CF0-64C4-4F39-A48B-36E7BC43F50C}" name="Destination_Process" dataCellStyle="03_Auto_Calcaulation"/>
    <tableColumn id="15" xr3:uid="{D83DD3EA-137C-4C31-A460-2AA5D8ABD317}" name="Destination_Flow" dataCellStyle="01_Data_Input"/>
    <tableColumn id="14" xr3:uid="{42823937-27A3-456E-A350-F75370072D83}" name="Flow_ID" dataCellStyle="03_Auto_Calcaulation"/>
    <tableColumn id="5" xr3:uid="{AFE73BF6-5565-4F06-8C41-E77E76AFA1B7}" name="Stock_Outflow_TC" dataCellStyle="01_Data_Input"/>
    <tableColumn id="6" xr3:uid="{0F091B4B-0AA7-4198-AA15-8C5049AE9E34}" name="Annual_Consumption_Rate" dataCellStyle="Percent"/>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58723AD-03F6-4700-9C12-0435A55E108D}" name="Tab_DSM" displayName="Tab_DSM" ref="A1:M81" totalsRowShown="0" headerRowDxfId="50" dataDxfId="49" tableBorderDxfId="48">
  <autoFilter ref="A1:M81" xr:uid="{258723AD-03F6-4700-9C12-0435A55E108D}"/>
  <tableColumns count="13">
    <tableColumn id="1" xr3:uid="{33B8EF63-7663-4BA6-9B91-D446C0C9C276}" name="Complete?" dataCellStyle="04_Comments"/>
    <tableColumn id="2" xr3:uid="{6589C290-508A-4E8E-8896-B6E09EB1B594}" name="ID" dataDxfId="47">
      <calculatedColumnFormula>ROW()-1</calculatedColumnFormula>
    </tableColumn>
    <tableColumn id="4" xr3:uid="{F4E33EB8-7313-4BD5-8A0A-D0E18A2A18E9}" name="Process_ID" dataDxfId="46">
      <calculatedColumnFormula>_xlfn.XLOOKUP($D2,Tab_Def_Processes[Process_Name],Tab_Def_Processes[Process_ID],,0,)</calculatedColumnFormula>
    </tableColumn>
    <tableColumn id="5" xr3:uid="{E9F30AE4-3733-473D-B124-CDB1D225C217}" name="Process_Name" dataCellStyle="02_Data_Input (DD)"/>
    <tableColumn id="6" xr3:uid="{8636F935-6448-4819-ADDF-71DFA45559FA}" name="Process_Logic" dataDxfId="45">
      <calculatedColumnFormula>_xlfn.XLOOKUP($D2,Tab_Def_Processes[Process_Name],Tab_Def_Processes[Process_Logic],,0,)</calculatedColumnFormula>
    </tableColumn>
    <tableColumn id="12" xr3:uid="{A2F17CD8-5CAE-47C5-88AC-65F98D1E04A7}" name="TC_Configuration" dataDxfId="44">
      <calculatedColumnFormula>_xlfn.XLOOKUP($D2,Tab_Def_Processes[Process_Name],Tab_Def_Processes[TC_Configuration],,0,)</calculatedColumnFormula>
    </tableColumn>
    <tableColumn id="13" xr3:uid="{AAC3F32E-5E29-4B43-870A-6E7FC451D4C7}" name="Stock_Configuration" dataDxfId="43">
      <calculatedColumnFormula>_xlfn.XLOOKUP($D2,Tab_Def_Processes[Process_Name],Tab_Def_Processes[Stock_Configuration],,0,)</calculatedColumnFormula>
    </tableColumn>
    <tableColumn id="25" xr3:uid="{1B327C82-353B-4CF5-B401-FCEE9C938EDD}" name="Outflow_count" dataCellStyle="03_Auto_Calcaulation">
      <calculatedColumnFormula>_xlfn.XLOOKUP(Tab_DSM[[#This Row],[Process_Name]],Tab_Def_Processes[Process_Name],Tab_Def_Processes[Outflow_count],,0,)</calculatedColumnFormula>
    </tableColumn>
    <tableColumn id="9" xr3:uid="{70C64FF4-49A3-43A9-AA21-2E029546034F}" name="DSM_Category_Nr." dataCellStyle="02_Data_Input (DD)"/>
    <tableColumn id="27" xr3:uid="{6203DBE3-7CEF-4867-82A5-4E61CE102521}" name="DSM_Parameter_typ">
      <calculatedColumnFormula>_xlfn.XLOOKUP($I2,Tab_DSM_Category_ID[Category ID],Tab_DSM_Category_ID[DSM Material],,0,)</calculatedColumnFormula>
    </tableColumn>
    <tableColumn id="22" xr3:uid="{F69D3397-C898-470A-8F69-3BB568D42273}" name="DSM_Parameter_type" dataCellStyle="02_Data_Input (DD)"/>
    <tableColumn id="24" xr3:uid="{62D1FFF9-50C9-4BAE-8D93-49672FDF1A9D}" name="DSM_Parameter" dataCellStyle="03_Auto_Calcaulation">
      <calculatedColumnFormula>Tab_DSM[[#This Row],[DSM_Parameter_type]]&amp;"_Cat_"&amp;Tab_DSM[[#This Row],[DSM_Category_Nr.]]</calculatedColumnFormula>
    </tableColumn>
    <tableColumn id="23" xr3:uid="{FE908E5D-0CE5-4674-AFB4-9BE63E440FEE}" name="DSM_Value" dataCellStyle="01_Data_Input"/>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B546CA7-EF90-43B4-97C7-E73F0C07DD2D}" name="Tab_FOMP" displayName="Tab_FOMP" ref="A1:M41" totalsRowShown="0" dataDxfId="42" tableBorderDxfId="41" headerRowCellStyle="05_Header">
  <autoFilter ref="A1:M41" xr:uid="{258723AD-03F6-4700-9C12-0435A55E108D}"/>
  <tableColumns count="13">
    <tableColumn id="1" xr3:uid="{45321D18-7A58-4FFA-814A-4BFE5587094A}" name="Complete?" dataCellStyle="04_Comments"/>
    <tableColumn id="2" xr3:uid="{EC881CBD-180B-4D64-9A86-8AA6EC24B7F6}" name="ID" dataDxfId="40">
      <calculatedColumnFormula>ROW()-1</calculatedColumnFormula>
    </tableColumn>
    <tableColumn id="4" xr3:uid="{844E5006-9125-4DE3-A7C3-7D82AE3725EE}" name="Process_ID" dataDxfId="39">
      <calculatedColumnFormula>_xlfn.XLOOKUP($D2,Tab_Def_Processes[Process_Name],Tab_Def_Processes[Process_ID],,0,)</calculatedColumnFormula>
    </tableColumn>
    <tableColumn id="5" xr3:uid="{0A9A4390-230F-4C39-9AF5-D72E04524EC5}" name="Process_Name" dataCellStyle="02_Data_Input (DD)"/>
    <tableColumn id="6" xr3:uid="{27F8000C-3015-4447-BAA8-364798FFAAFF}" name="Process_Logic" dataDxfId="38">
      <calculatedColumnFormula>_xlfn.XLOOKUP($D2,Tab_Def_Processes[Process_Name],#REF!,,0,)</calculatedColumnFormula>
    </tableColumn>
    <tableColumn id="12" xr3:uid="{E84B3ABE-4E12-4E6F-A681-7D39D8B20B42}" name="TC_Configuration" dataDxfId="37">
      <calculatedColumnFormula>_xlfn.XLOOKUP($D2,Tab_Def_Processes[Process_Name],Tab_Def_Processes[TC_Configuration],,0,)</calculatedColumnFormula>
    </tableColumn>
    <tableColumn id="13" xr3:uid="{981DEE9B-FA47-4F47-8F80-39B1E8690449}" name="Stock_Configuration" dataDxfId="36">
      <calculatedColumnFormula>_xlfn.XLOOKUP($D2,Tab_Def_Processes[Process_Name],Tab_Def_Processes[Stock_Configuration],,0,)</calculatedColumnFormula>
    </tableColumn>
    <tableColumn id="3" xr3:uid="{781F7BA1-6A07-4128-9F11-258500CE741A}" name="Outflow_count" dataCellStyle="03_Auto_Calcaulation">
      <calculatedColumnFormula>_xlfn.XLOOKUP(Tab_FOMP[[#This Row],[Process_Name]],Tab_Def_Processes[Process_Name],Tab_Def_Processes[Outflow_count],,0,)</calculatedColumnFormula>
    </tableColumn>
    <tableColumn id="10" xr3:uid="{BD55E3AF-C6C6-4F47-8431-06A6082E70FC}" name="Nr._Decay_Pools" dataCellStyle="01_Data_Input"/>
    <tableColumn id="19" xr3:uid="{8593E663-BBD1-4F4B-8715-0C07910D92E1}" name="Pool" dataCellStyle="02_Data_Input (DD)"/>
    <tableColumn id="20" xr3:uid="{6A5DD362-CBD4-4CCE-A37A-ABE89C2CE35E}" name="Pool_ID" dataCellStyle="01_Data_Input">
      <calculatedColumnFormula>"P"&amp;Tab_FOMP[[#This Row],[Process_ID]]&amp;"_"&amp;_xlfn.XLOOKUP($J2,CL_3.1_FOMP_Parameters[Category ID],CL_3.1_FOMP_Parameters[Pool_ID],,0,)</calculatedColumnFormula>
    </tableColumn>
    <tableColumn id="9" xr3:uid="{545D9E22-DCCF-4BE4-8AE0-C675DDC76185}" name="Parameter_Name" dataCellStyle="02_Data_Input (DD)"/>
    <tableColumn id="15" xr3:uid="{3D2C668B-2C1F-4776-877F-9EF8A202650F}" name="Value"/>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95CCF5-492B-4C20-9D33-0920A98FD616}" name="Table1" displayName="Table1" ref="A1:J13" totalsRowShown="0" headerRowCellStyle="05_Header">
  <autoFilter ref="A1:J13" xr:uid="{3095CCF5-492B-4C20-9D33-0920A98FD616}"/>
  <tableColumns count="10">
    <tableColumn id="9" xr3:uid="{CC7C8D04-6577-47BB-8809-698BE0932227}" name="ID" dataCellStyle="03_Auto_Calcaulation">
      <calculatedColumnFormula>ROW()-1</calculatedColumnFormula>
    </tableColumn>
    <tableColumn id="8" xr3:uid="{742D281F-FD40-4E25-B6FD-6F60D5C439F3}" name="Parameter" dataCellStyle="02_Data_Input (DD)"/>
    <tableColumn id="10" xr3:uid="{1567AED1-7A18-451C-85CB-327A25F41F16}" name="Parameter_Selection" dataCellStyle="02_Data_Input (DD)"/>
    <tableColumn id="1" xr3:uid="{CCEF4F17-5712-44C3-B4F9-161E0132EFC0}" name="Parameter_Name" dataCellStyle="02_Data_Input (DD)"/>
    <tableColumn id="2" xr3:uid="{B8DD25CA-C200-46CB-9DBD-EE2340CAFEAF}" name="Distribution" dataCellStyle="02_Data_Input (DD)"/>
    <tableColumn id="3" xr3:uid="{13169A81-F3FF-43EF-9FA3-AB9B9409BC2B}" name="Mean" dataCellStyle="01_Data_Input"/>
    <tableColumn id="4" xr3:uid="{1A8F199E-93F2-4AB5-B5EE-F288F66737BE}" name="StdDev" dataCellStyle="01_Data_Input"/>
    <tableColumn id="5" xr3:uid="{D05AC978-49AC-470D-9578-3AABF77DA32B}" name="Min" dataCellStyle="01_Data_Input"/>
    <tableColumn id="6" xr3:uid="{8A94556B-B3F9-4F1A-AA76-C905DC374408}" name="Max" dataCellStyle="01_Data_Input"/>
    <tableColumn id="7" xr3:uid="{059240DD-5B44-443F-8509-00A61B6B2964}" name="Mode" dataCellStyle="01_Data_Input"/>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703487-5593-45C1-92F6-EE39049B68DC}" name="Table16" displayName="Table16" ref="A1:J18" totalsRowShown="0" headerRowCellStyle="05_Header">
  <autoFilter ref="A1:J18" xr:uid="{3095CCF5-492B-4C20-9D33-0920A98FD616}"/>
  <tableColumns count="10">
    <tableColumn id="9" xr3:uid="{847C5683-9E78-46CF-90A3-6B93DCA20947}" name="ID" dataCellStyle="03_Auto_Calcaulation">
      <calculatedColumnFormula>ROW()-1</calculatedColumnFormula>
    </tableColumn>
    <tableColumn id="11" xr3:uid="{D79A4623-F4DA-454F-839E-130EAADAAD20}" name="Scenario_Name" dataCellStyle="02_Data_Input (DD)"/>
    <tableColumn id="8" xr3:uid="{01E8E313-886E-4871-BEFB-07692F4C3F92}" name="Parameter" dataCellStyle="02_Data_Input (DD)"/>
    <tableColumn id="10" xr3:uid="{50081389-95B1-432A-90DC-EDE157242C39}" name="Parameter_Selection" dataCellStyle="02_Data_Input (DD)"/>
    <tableColumn id="1" xr3:uid="{EB096A20-F252-430D-BE24-9A8C3F89616F}" name="Parameter_Name" dataCellStyle="02_Data_Input (DD)"/>
    <tableColumn id="2" xr3:uid="{6AF4B16C-D4A4-408D-B966-C9B1733D4F40}" name="Operation" dataCellStyle="02_Data_Input (DD)"/>
    <tableColumn id="3" xr3:uid="{EE97CA12-5E52-4F80-A451-F35FCA4D2F7B}" name="New_Value" dataDxfId="35" dataCellStyle="01_Data_Input"/>
    <tableColumn id="6" xr3:uid="{1B45FB7A-4CA2-4F7D-81DB-270B1D81AE53}" name="start_year" dataDxfId="34" dataCellStyle="01_Data_Input"/>
    <tableColumn id="5" xr3:uid="{A6D89D25-2F1B-4F9D-86FE-506D7CB5C8C3}" name="end_year" dataDxfId="33" dataCellStyle="01_Data_Input"/>
    <tableColumn id="4" xr3:uid="{B6084BCA-CF8C-4192-8E9B-085760694F2E}" name="Comment" dataCellStyle="04_Comments"/>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F9E0B7D-0B53-4192-BACF-A733D16BD97E}" name="Table19" displayName="Table19" ref="A1:P47" totalsRowShown="0" tableBorderDxfId="32" headerRowCellStyle="05_Header">
  <autoFilter ref="A1:P47" xr:uid="{FF9E0B7D-0B53-4192-BACF-A733D16BD97E}"/>
  <sortState xmlns:xlrd2="http://schemas.microsoft.com/office/spreadsheetml/2017/richdata2" ref="A2:P47">
    <sortCondition ref="I1:I47"/>
  </sortState>
  <tableColumns count="16">
    <tableColumn id="1" xr3:uid="{AEAC6F38-4A16-4B89-B940-1815E01565C6}" name="Complete?" dataDxfId="31" dataCellStyle="04_Comments"/>
    <tableColumn id="2" xr3:uid="{974E84B3-B7E5-4EAB-BE6D-E4CA3B941720}" name="ID" dataDxfId="30" dataCellStyle="03_Auto_Calcaulation">
      <calculatedColumnFormula>ROW()-1</calculatedColumnFormula>
    </tableColumn>
    <tableColumn id="3" xr3:uid="{C80F74B1-CB58-477D-916E-9E36937DCC7C}" name="Process_ID" dataDxfId="29" dataCellStyle="03_Auto_Calcaulation">
      <calculatedColumnFormula>_xlfn.XLOOKUP($D2,Tab_Def_Processes[Process_Name],Tab_Def_Processes[ID],,0,)</calculatedColumnFormula>
    </tableColumn>
    <tableColumn id="4" xr3:uid="{3B5A389D-DBD4-440A-B4C9-D7D490F921D1}" name="Name(EN)" dataCellStyle="03_Auto_Calcaulation"/>
    <tableColumn id="12" xr3:uid="{41BA6A81-81C1-4463-8311-87562C351952}" name="Color_Category" dataDxfId="28" dataCellStyle="02_Data_Input (DD)"/>
    <tableColumn id="11" xr3:uid="{A6B3115D-C460-49E4-B156-47D34854C0D6}" name="Node_Color" dataDxfId="27" dataCellStyle="02_Data_Input (DD)"/>
    <tableColumn id="5" xr3:uid="{6DABDA8E-A2A6-4F39-B422-2AD76B93EC6B}" name="Node_Color_#" dataCellStyle="03_Auto_Calcaulation">
      <calculatedColumnFormula>_xlfn.XLOOKUP($F2,Table32[Color_Name],Table32[Hex_Code],,0,)</calculatedColumnFormula>
    </tableColumn>
    <tableColumn id="17" xr3:uid="{C3EE11C3-5118-405F-AD23-F2B71601333B}" name="X_Position_Material" dataCellStyle="01_Data_Input"/>
    <tableColumn id="18" xr3:uid="{2E57A6C6-B3EF-4634-AAF9-87A6ECBCB804}" name="Y_Position_Material" dataCellStyle="01_Data_Input"/>
    <tableColumn id="15" xr3:uid="{62ECE32F-D685-470C-A01A-248F35573A19}" name="X_Position_WC" dataCellStyle="01_Data_Input"/>
    <tableColumn id="16" xr3:uid="{9BC5D25F-216C-4D47-AEBA-A7531D662034}" name="Y_Position_WC" dataCellStyle="01_Data_Input"/>
    <tableColumn id="13" xr3:uid="{933D7E13-AD29-4E2C-8093-404376884124}" name="X_Position_DM" dataCellStyle="01_Data_Input"/>
    <tableColumn id="14" xr3:uid="{82B5D442-49D5-446C-9D48-84D32D76F9B1}" name="Y_Position_DM" dataCellStyle="01_Data_Input"/>
    <tableColumn id="7" xr3:uid="{8EAF1E3F-5E3F-4E4C-A3CE-FE20E6CB89A6}" name="X_Position_CC" dataCellStyle="01_Data_Input"/>
    <tableColumn id="8" xr3:uid="{E450BC7E-840A-485B-854D-9457E679EDB3}" name="Y_Position_CC" dataCellStyle="01_Data_Input"/>
    <tableColumn id="10" xr3:uid="{68ADE31A-53B3-4C7C-A750-8379D68C63F8}" name="Description" dataCellStyle="01_Data_Input"/>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3FEF386-C709-41D8-A84A-E296EE975D12}" name="Table21" displayName="Table21" ref="A1:F51" totalsRowShown="0" headerRowCellStyle="05_Header">
  <autoFilter ref="A1:F51" xr:uid="{C3FEF386-C709-41D8-A84A-E296EE975D12}"/>
  <tableColumns count="6">
    <tableColumn id="1" xr3:uid="{B6E6225C-23E8-433A-835E-8BB33C78FBC1}" name="ID" dataDxfId="26" dataCellStyle="03_Auto_Calcaulation">
      <calculatedColumnFormula>ROW()-1</calculatedColumnFormula>
    </tableColumn>
    <tableColumn id="2" xr3:uid="{D19AA7EE-8012-4211-95D9-A412AE73FEA7}" name="Flow_ID" dataDxfId="25" dataCellStyle="03_Auto_Calcaulation">
      <calculatedColumnFormula>_xlfn.XLOOKUP(C2,Tab_Def_Flows[Flow_Name],Tab_Def_Flows[Flow_ID],,0,)</calculatedColumnFormula>
    </tableColumn>
    <tableColumn id="3" xr3:uid="{4E9E0952-540C-4328-B73C-2BE6729629B0}" name="Name(EN)" dataCellStyle="03_Auto_Calcaulation">
      <calculatedColumnFormula>Tab_Def_Flows[[#This Row],[Flow_Name]]</calculatedColumnFormula>
    </tableColumn>
    <tableColumn id="4" xr3:uid="{6F145A3E-E408-47CE-97C0-86D74F76D7D9}" name="Flow_Color" dataCellStyle="02_Data_Input (DD)"/>
    <tableColumn id="9" xr3:uid="{28C56EA6-AB36-43B2-81F7-1EB6AC6011C9}" name="Flow_Color_#" dataCellStyle="03_Auto_Calcaulation">
      <calculatedColumnFormula>_xlfn.XLOOKUP($D2,Table32[Color_Name],Table32[Hex_Code],,0,)</calculatedColumnFormula>
    </tableColumn>
    <tableColumn id="8" xr3:uid="{855EE5A7-3CCB-4A91-946F-BB539DD7DE3D}" name="Description" dataCellStyle="04_Comments"/>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5A5CA64-1244-44BD-9730-795F00507892}" name="Table22" displayName="Table22" ref="A1:E15" totalsRowShown="0" tableBorderDxfId="24" headerRowCellStyle="05_Header">
  <autoFilter ref="A1:E15" xr:uid="{45A5CA64-1244-44BD-9730-795F00507892}"/>
  <tableColumns count="5">
    <tableColumn id="1" xr3:uid="{7D8FAD0C-8A1D-42D6-90D0-94008839C750}" name="Setting" dataCellStyle="03_Auto_Calcaulation"/>
    <tableColumn id="2" xr3:uid="{189961B3-8219-419C-87EA-16005179EC72}" name="Value" dataCellStyle="01_Data_Input"/>
    <tableColumn id="3" xr3:uid="{1ECBF480-ED78-4F7E-B46C-1684E2620F70}" name="Description" dataCellStyle="04_Comments"/>
    <tableColumn id="4" xr3:uid="{2BA3B001-BE5F-490B-B41E-2CBC4A8D184C}" name="Options" dataCellStyle="04_Comments"/>
    <tableColumn id="5" xr3:uid="{813393B7-4622-4B36-87A3-727A5CD07350}" name="Column1" dataCellStyle="04_Comments"/>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42525DB-54A7-4AA9-9DCE-593B7EA1EA87}" name="Table20" displayName="Table20" ref="B2:P14" totalsRowShown="0">
  <autoFilter ref="B2:P14" xr:uid="{942525DB-54A7-4AA9-9DCE-593B7EA1EA87}"/>
  <tableColumns count="15">
    <tableColumn id="1" xr3:uid="{FAB426B6-F801-44E0-B6B3-5DA01F625370}" name="Node_Color"/>
    <tableColumn id="2" xr3:uid="{D4ACE8ED-563A-409C-A3F9-CDBDBA4565EA}" name="Node_Size"/>
    <tableColumn id="3" xr3:uid="{30CDDB29-F0D4-4650-BB54-EDE9AD7DA3AB}" name="Layout_Type"/>
    <tableColumn id="4" xr3:uid="{D4AF0C08-9ACA-48B8-BA92-098BE4C9C97C}" name="Flow_Style"/>
    <tableColumn id="5" xr3:uid="{B0936C4E-4803-49AF-95A7-71DC2959B984}" name="Column5"/>
    <tableColumn id="6" xr3:uid="{6E76A4F9-0A99-46C1-AC64-91E9235745C7}" name="Column6"/>
    <tableColumn id="7" xr3:uid="{6D527C3D-210E-455B-AD20-87F7F5A4E807}" name="Column7"/>
    <tableColumn id="8" xr3:uid="{2F420122-8682-4F3D-963E-ED44F150DCA7}" name="Column8"/>
    <tableColumn id="9" xr3:uid="{AEC6702F-5EB4-478B-9E20-8F709FF7B953}" name="Column9"/>
    <tableColumn id="10" xr3:uid="{179FEB57-C65E-4E3D-866F-603BD489345A}" name="Column10"/>
    <tableColumn id="11" xr3:uid="{D82ADC47-DB25-48D2-9E33-AF19790870AD}" name="Column11"/>
    <tableColumn id="12" xr3:uid="{FB0874A4-09D3-48A0-AE3E-63328E4E5856}" name="Column12"/>
    <tableColumn id="13" xr3:uid="{0DBACEEF-03D2-443A-9FD2-83D9D7A81961}" name="Column13"/>
    <tableColumn id="14" xr3:uid="{B4793165-F820-44D7-8299-EB2D4B96F3D9}" name="Column14"/>
    <tableColumn id="15" xr3:uid="{A327D915-62BC-4796-96B4-FF283044975E}" name="Column15"/>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810B04A8-E94B-4817-86A2-E747CFD5A9A2}" name="Table32" displayName="Table32" ref="B21:F42" totalsRowShown="0" headerRowDxfId="23" headerRowBorderDxfId="22" tableBorderDxfId="21">
  <autoFilter ref="B21:F42" xr:uid="{810B04A8-E94B-4817-86A2-E747CFD5A9A2}"/>
  <tableColumns count="5">
    <tableColumn id="1" xr3:uid="{36E1023C-39F8-439C-B7B9-BE22C4570F99}" name="Category"/>
    <tableColumn id="2" xr3:uid="{5B045EB5-09A7-4AA9-B315-8AE3B06A63FF}" name="Color_Name"/>
    <tableColumn id="3" xr3:uid="{93B67470-53FC-4EF2-8B1D-81CEFEDB7AE7}" name="Hex_Code"/>
    <tableColumn id="4" xr3:uid="{5A4E6EE7-2378-4EA0-B1EC-9478CB822677}" name="RGB_Values"/>
    <tableColumn id="5" xr3:uid="{73503762-0D34-48BF-A22D-AE55C8AEFB76}" name="Usage"/>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CE1FFC20-8421-4489-98D1-8C9A5190DE44}" name="Table39" displayName="Table39" ref="A3:I217" totalsRowShown="0" headerRowDxfId="20">
  <autoFilter ref="A3:I217" xr:uid="{CE1FFC20-8421-4489-98D1-8C9A5190DE44}"/>
  <sortState xmlns:xlrd2="http://schemas.microsoft.com/office/spreadsheetml/2017/richdata2" ref="A4:I217">
    <sortCondition ref="A3:A217"/>
  </sortState>
  <tableColumns count="9">
    <tableColumn id="1" xr3:uid="{4F85E212-7387-4534-A102-0E071D1E89AB}" name="ID"/>
    <tableColumn id="2" xr3:uid="{5BE7F364-B6BA-4035-A7B6-D6F421CD4487}" name="Name_sheet"/>
    <tableColumn id="3" xr3:uid="{74AC01AC-A089-4CB7-BEAB-4B8598366CC0}" name="Name_Column" dataDxfId="19" dataCellStyle="05_Header"/>
    <tableColumn id="4" xr3:uid="{9176C769-E5B7-4D06-B339-6723353E92E8}" name="Titel:"/>
    <tableColumn id="5" xr3:uid="{98297D7D-000D-4490-AB9F-C0088038C50A}" name="Body:"/>
    <tableColumn id="6" xr3:uid="{ADE8051E-8902-48AD-ABFE-0C9FC4FDA649}" name="Combined Note:" dataDxfId="18">
      <calculatedColumnFormula>"PURPOSE: "&amp;G4&amp;CHAR(10)&amp;CHAR(10)&amp;"ACTION: "&amp;H4&amp;CHAR(10)&amp;CHAR(10)&amp;"NOTE: "&amp;I4</calculatedColumnFormula>
    </tableColumn>
    <tableColumn id="7" xr3:uid="{47F1D876-0963-47CC-BAE6-6463623EAD65}" name="Purpose:"/>
    <tableColumn id="8" xr3:uid="{095348E4-C75F-40C5-AED7-458D8A54645B}" name="Action:"/>
    <tableColumn id="9" xr3:uid="{0192C0D2-0F47-4FEB-83CF-DB2CA1D0D799}" name="Note:"/>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41:H49" totalsRowShown="0">
  <autoFilter ref="F41:H49"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CL_logic" displayName="CL_logic" ref="A52:B54" totalsRowShown="0">
  <autoFilter ref="A52:B54"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CL_1_ProcessType" displayName="CL_1_ProcessType" ref="A2:C5" totalsRowShown="0" headerRowDxfId="17" headerRowBorderDxfId="16" tableBorderDxfId="15">
  <autoFilter ref="A2:C5"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CL_2_ValueSource" displayName="CL_2_ValueSource" ref="E2:G6" totalsRowShown="0" headerRowDxfId="14" headerRowBorderDxfId="13" tableBorderDxfId="12">
  <autoFilter ref="E2:G6"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19711B7-EA24-42C2-BAE7-ECA9AC4CF17B}" name="Tab_DSM_Category_ID" displayName="Tab_DSM_Category_ID" ref="A39:C48" totalsRowShown="0">
  <autoFilter ref="A39:C48" xr:uid="{719711B7-EA24-42C2-BAE7-ECA9AC4CF17B}"/>
  <tableColumns count="3">
    <tableColumn id="1" xr3:uid="{661E8A10-3C97-45C4-8BAA-42C3311A3D66}" name="Category ID"/>
    <tableColumn id="2" xr3:uid="{FF733463-B2F5-4B9A-9AC2-E79227110949}" name="DSM Material"/>
    <tableColumn id="3" xr3:uid="{C5525332-3C78-4400-9156-9780B353B937}" name="Description"/>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767969E-ABAB-438B-810F-24CBD29BA4ED}" name="CL_4_DSM_Lifetime_Types" displayName="CL_4_DSM_Lifetime_Types" ref="A32:C36" totalsRowShown="0">
  <autoFilter ref="A32:C36" xr:uid="{3767969E-ABAB-438B-810F-24CBD29BA4ED}"/>
  <tableColumns count="3">
    <tableColumn id="1" xr3:uid="{2D3077D1-F150-4512-B906-634EFEC1E14A}" name="ID"/>
    <tableColumn id="2" xr3:uid="{A6FF9560-D31F-47F5-AA43-50B1D5A7AB21}" name="Lifetime_Types"/>
    <tableColumn id="3" xr3:uid="{2DBF1CC4-9AA2-4B6F-A987-85467F0ECE2A}" name="Description"/>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F99C9C8-5B5B-4123-960E-EC31C6367F32}" name="CL_3_FOMP_Parameters" displayName="CL_3_FOMP_Parameters" ref="A10:C18" totalsRowShown="0">
  <autoFilter ref="A10:C18" xr:uid="{0F99C9C8-5B5B-4123-960E-EC31C6367F32}"/>
  <tableColumns count="3">
    <tableColumn id="1" xr3:uid="{BE8B36FC-CCC7-4B15-A7EB-03C7E34733F0}" name="ID"/>
    <tableColumn id="2" xr3:uid="{8C25E9E5-19AB-4AB4-932C-EAB7ADD3DB37}" name="Parameter"/>
    <tableColumn id="3" xr3:uid="{D79E1613-658A-48F9-9EA6-6CD907202A7C}" name="Description"/>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B8B0FC-66F7-4DF9-A05E-4611486F26F2}" name="Tab_DSM_Category_ID3" displayName="Tab_DSM_Category_ID3" ref="A56:C65" totalsRowShown="0">
  <autoFilter ref="A56:C65" xr:uid="{C0B8B0FC-66F7-4DF9-A05E-4611486F26F2}"/>
  <tableColumns count="3">
    <tableColumn id="1" xr3:uid="{612C7956-2BFF-460E-B3E9-3E35878D5696}" name="Category ID"/>
    <tableColumn id="2" xr3:uid="{E38D5911-38EC-48DA-AA39-EAA65ADCD603}" name="DSM Material"/>
    <tableColumn id="3" xr3:uid="{23410B3B-7A73-43A7-AD6E-535E36C4C31A}" name="Description"/>
  </tableColumns>
  <tableStyleInfo name="TableStyleLight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49303C-3F2A-47E9-AFA2-40567CFC337F}" name="CL_Transfer_Coefficients" displayName="CL_Transfer_Coefficients" ref="E68:G84" totalsRowShown="0">
  <autoFilter ref="E68:G84" xr:uid="{0C49303C-3F2A-47E9-AFA2-40567CFC337F}"/>
  <tableColumns count="3">
    <tableColumn id="1" xr3:uid="{1F44C9D4-F58A-4FDD-AC7B-647F4307F673}" name="Category ID"/>
    <tableColumn id="2" xr3:uid="{60410B87-2F7D-4C87-A6AE-FFD0649D6788}" name="Transfer Coefficients (TCs)"/>
    <tableColumn id="3" xr3:uid="{8CB33AAE-37DF-4D9B-A820-9BCEAC52766C}" name="Description"/>
  </tableColumns>
  <tableStyleInfo name="TableStyleLight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A6ECF2-7F77-4AD4-BD41-E132F6461505}" name="CL_Uncertainty_Parameters" displayName="CL_Uncertainty_Parameters" ref="A68:C84" totalsRowShown="0">
  <autoFilter ref="A68:C84" xr:uid="{EEA6ECF2-7F77-4AD4-BD41-E132F6461505}"/>
  <tableColumns count="3">
    <tableColumn id="1" xr3:uid="{BEEDA7F3-3ADD-4DFE-8DC0-E2862B506753}" name="Category ID"/>
    <tableColumn id="2" xr3:uid="{AF335B03-1C5C-447B-A2D3-C54F1AB4078E}" name="Uncertainty_Parameters"/>
    <tableColumn id="3" xr3:uid="{09F4CD29-5FF4-4DD6-BB58-B31601A5A757}" name="Description"/>
  </tableColumns>
  <tableStyleInfo name="TableStyleLight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48519BB-7CA4-4965-822C-1FA579016ADA}" name="CL_DSM_Category_ID348" displayName="CL_DSM_Category_ID348" ref="I68:K84" totalsRowShown="0">
  <autoFilter ref="I68:K84" xr:uid="{248519BB-7CA4-4965-822C-1FA579016ADA}"/>
  <tableColumns count="3">
    <tableColumn id="1" xr3:uid="{FF8DCD1D-3C96-4FA0-BF40-138FE24390E1}" name="Category ID"/>
    <tableColumn id="2" xr3:uid="{67AEED2B-AF0B-44F4-80B1-69E7EB452EB8}" name="DSM Parameters"/>
    <tableColumn id="3" xr3:uid="{AFB1F27C-98E0-4F7E-B9AB-4CC16531CC18}" name="Description"/>
  </tableColumns>
  <tableStyleInfo name="TableStyleLight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6712550-A967-46C0-90C6-61B69EF7F4A7}" name="CL_FOMP_Parameters" displayName="CL_FOMP_Parameters" ref="M68:O84" totalsRowShown="0">
  <autoFilter ref="M68:O84" xr:uid="{E6712550-A967-46C0-90C6-61B69EF7F4A7}"/>
  <tableColumns count="3">
    <tableColumn id="1" xr3:uid="{12E40DA0-9883-44F3-B1CD-61DCF5C5981C}" name="Category ID"/>
    <tableColumn id="2" xr3:uid="{46FD4305-EB3F-4225-A34C-822A7E27DF84}" name="FOMP Parameters"/>
    <tableColumn id="3" xr3:uid="{5E9C5547-DF22-4F3C-9E5E-662654646E98}" name="Description"/>
  </tableColumns>
  <tableStyleInfo name="TableStyleLight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E9E223-8514-426B-BD51-5432900B6F02}" name="CL_Initial_Stock_Parameters" displayName="CL_Initial_Stock_Parameters" ref="Q68:S84" totalsRowShown="0">
  <autoFilter ref="Q68:S84" xr:uid="{7EE9E223-8514-426B-BD51-5432900B6F02}"/>
  <tableColumns count="3">
    <tableColumn id="1" xr3:uid="{88049C8A-315D-40EF-8FB6-3CBC11520B2E}" name="Category ID"/>
    <tableColumn id="2" xr3:uid="{0CD2A176-6111-424B-B78B-03941E11A170}" name="Initial Stock Parameters"/>
    <tableColumn id="3" xr3:uid="{38D27D48-1281-4112-B288-EDF190911E7A}" name="Description"/>
  </tableColumns>
  <tableStyleInfo name="TableStyleLight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25A1B44-45B3-4BBF-94FA-A3B3DC80259E}" name="CL_Flow_Parameters" displayName="CL_Flow_Parameters" ref="U68:W84" totalsRowShown="0">
  <autoFilter ref="U68:W84" xr:uid="{C25A1B44-45B3-4BBF-94FA-A3B3DC80259E}"/>
  <tableColumns count="3">
    <tableColumn id="1" xr3:uid="{0E70D4EC-A32B-4637-9B8C-8473438126C9}" name="Category ID"/>
    <tableColumn id="2" xr3:uid="{B1046A7D-EFE8-40D9-95FD-3DB760CA9979}" name="Flow_Parameters"/>
    <tableColumn id="3" xr3:uid="{DBF41F5C-E1FC-4F18-A965-C5594792A3B5}" name="Description"/>
  </tableColumns>
  <tableStyleInfo name="TableStyleLight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4E345D6-CCD1-4572-805B-25E94CB1FE10}" name="CL_3.1_FOMP_Parameters" displayName="CL_3.1_FOMP_Parameters" ref="A21:C27" totalsRowShown="0">
  <autoFilter ref="A21:C27" xr:uid="{94E345D6-CCD1-4572-805B-25E94CB1FE10}"/>
  <tableColumns count="3">
    <tableColumn id="1" xr3:uid="{3EF03A02-FFB5-48C9-BBDA-09F4A67B01DF}" name="Category ID"/>
    <tableColumn id="2" xr3:uid="{9ED7B1E0-8DCB-4D95-A2C3-424B2090B93D}" name="Pool_ID"/>
    <tableColumn id="3" xr3:uid="{CD50E978-627C-4D83-8788-1DC8643C8C96}" name="Description"/>
  </tableColumns>
  <tableStyleInfo name="TableStyleLight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E0FDE88-329C-44B0-9EDE-290D65BA6E7D}" name="CL_Uncertainty_Parameters14" displayName="CL_Uncertainty_Parameters14" ref="A88:C96" totalsRowShown="0">
  <autoFilter ref="A88:C96" xr:uid="{6E0FDE88-329C-44B0-9EDE-290D65BA6E7D}"/>
  <tableColumns count="3">
    <tableColumn id="1" xr3:uid="{955EF888-1C16-4DEC-BDA2-8138C199A9F6}" name="Category ID"/>
    <tableColumn id="2" xr3:uid="{6A37E958-00EA-40AE-AA3D-F8BA994759BB}" name="Scenario_Operators"/>
    <tableColumn id="3" xr3:uid="{AD157463-EE62-4B4D-89E8-19D4335F20A9}" name="Description"/>
  </tableColumns>
  <tableStyleInfo name="TableStyleLight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A4BAA253-5F93-43FA-B29F-0B6F3C3B9A9C}" name="CL_CalculationLogic" displayName="CL_CalculationLogic" ref="I2:K9" totalsRowShown="0" headerRowDxfId="11" dataDxfId="9" headerRowBorderDxfId="10" tableBorderDxfId="8">
  <autoFilter ref="I2:K9" xr:uid="{A4BAA253-5F93-43FA-B29F-0B6F3C3B9A9C}"/>
  <tableColumns count="3">
    <tableColumn id="1" xr3:uid="{3A2104AE-491E-45BA-88C6-52AF33E41E9B}" name="ID" dataDxfId="7"/>
    <tableColumn id="2" xr3:uid="{AAD1EC56-358F-4A14-A0AD-C4BC8B6E13DE}" name="Short" dataDxfId="6"/>
    <tableColumn id="3" xr3:uid="{1EB10FD9-8576-45BA-8784-E6052E611FF6}" name="Description" dataDxfId="5"/>
  </tableColumns>
  <tableStyleInfo name="TableStyleLight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A2681112-0214-4BFC-BFEF-2791E79B08BA}" name="CL_TC_Type" displayName="CL_TC_Type" ref="E52:F55" totalsRowShown="0">
  <autoFilter ref="E52:F55" xr:uid="{A2681112-0214-4BFC-BFEF-2791E79B08BA}"/>
  <tableColumns count="2">
    <tableColumn id="1" xr3:uid="{2E4916F8-E8DA-41B9-8438-3C0F190A2264}" name="ID"/>
    <tableColumn id="2" xr3:uid="{96546A5B-1A46-4CAF-9B16-96FD75AEF061}" name="TC_Type"/>
  </tableColumns>
  <tableStyleInfo name="TableStyleLight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A625E6B-8894-452F-84CF-75C27E779E6E}" name="Table36" displayName="Table36" ref="M2:O8" totalsRowShown="0" headerRowDxfId="4" headerRowBorderDxfId="3">
  <autoFilter ref="M2:O8" xr:uid="{0A625E6B-8894-452F-84CF-75C27E779E6E}"/>
  <tableColumns count="3">
    <tableColumn id="1" xr3:uid="{233C18B1-6EF4-45D6-ADA3-D4A8250589C6}" name="ID"/>
    <tableColumn id="2" xr3:uid="{A09448A2-CD82-4BC4-BBFE-AF26092738FF}" name="Short"/>
    <tableColumn id="3" xr3:uid="{08630672-B775-4EF5-8790-EB9A3D02D3F5}" name="Description"/>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325E0C37-7CCF-45E2-B40B-FF504E7C3D6C}" name="CL_TC_Type38" displayName="CL_TC_Type38" ref="H52:I55" totalsRowShown="0">
  <autoFilter ref="H52:I55" xr:uid="{325E0C37-7CCF-45E2-B40B-FF504E7C3D6C}"/>
  <tableColumns count="2">
    <tableColumn id="1" xr3:uid="{A68A0BA9-7FCC-4FAD-A789-B3A51BDD69F3}" name="ID"/>
    <tableColumn id="2" xr3:uid="{90E8CBB8-9E59-4752-A56C-5F6E1664398A}" name="TC_Type"/>
  </tableColumns>
  <tableStyleInfo name="TableStyleLight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357A56F8-9C08-4E91-AAD5-843DF5BC4E7B}" name="CL_Uncertainty_Parameters1439" displayName="CL_Uncertainty_Parameters1439" ref="A120:C134" totalsRowShown="0">
  <autoFilter ref="A120:C134" xr:uid="{357A56F8-9C08-4E91-AAD5-843DF5BC4E7B}"/>
  <tableColumns count="3">
    <tableColumn id="1" xr3:uid="{CCE101C1-A936-41F4-8163-63F3E5FAE155}" name="Category ID"/>
    <tableColumn id="2" xr3:uid="{E9D08057-D839-40B6-93C9-DA0BB1526F44}" name="Scenario_Operators" dataDxfId="2" dataCellStyle="01_Data_Input"/>
    <tableColumn id="3" xr3:uid="{5062C71F-54BB-4FE5-8513-4F73539C39F4}" name="Descriptio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17.xml"/><Relationship Id="rId1" Type="http://schemas.openxmlformats.org/officeDocument/2006/relationships/vmlDrawing" Target="../drawings/vmlDrawing3.vml"/></Relationships>
</file>

<file path=xl/worksheets/_rels/sheet19.xml.rels><?xml version="1.0" encoding="UTF-8" standalone="yes"?>
<Relationships xmlns="http://schemas.openxmlformats.org/package/2006/relationships"><Relationship Id="rId8" Type="http://schemas.openxmlformats.org/officeDocument/2006/relationships/table" Target="../tables/table24.xml"/><Relationship Id="rId13" Type="http://schemas.openxmlformats.org/officeDocument/2006/relationships/table" Target="../tables/table29.xml"/><Relationship Id="rId18" Type="http://schemas.openxmlformats.org/officeDocument/2006/relationships/table" Target="../tables/table34.xml"/><Relationship Id="rId3" Type="http://schemas.openxmlformats.org/officeDocument/2006/relationships/table" Target="../tables/table19.xml"/><Relationship Id="rId21" Type="http://schemas.openxmlformats.org/officeDocument/2006/relationships/table" Target="../tables/table37.xml"/><Relationship Id="rId7" Type="http://schemas.openxmlformats.org/officeDocument/2006/relationships/table" Target="../tables/table23.xml"/><Relationship Id="rId12" Type="http://schemas.openxmlformats.org/officeDocument/2006/relationships/table" Target="../tables/table28.xml"/><Relationship Id="rId17" Type="http://schemas.openxmlformats.org/officeDocument/2006/relationships/table" Target="../tables/table33.xml"/><Relationship Id="rId2" Type="http://schemas.openxmlformats.org/officeDocument/2006/relationships/table" Target="../tables/table18.xml"/><Relationship Id="rId16" Type="http://schemas.openxmlformats.org/officeDocument/2006/relationships/table" Target="../tables/table32.xml"/><Relationship Id="rId20" Type="http://schemas.openxmlformats.org/officeDocument/2006/relationships/table" Target="../tables/table36.xml"/><Relationship Id="rId1" Type="http://schemas.openxmlformats.org/officeDocument/2006/relationships/printerSettings" Target="../printerSettings/printerSettings5.bin"/><Relationship Id="rId6" Type="http://schemas.openxmlformats.org/officeDocument/2006/relationships/table" Target="../tables/table22.xml"/><Relationship Id="rId11" Type="http://schemas.openxmlformats.org/officeDocument/2006/relationships/table" Target="../tables/table27.xml"/><Relationship Id="rId5" Type="http://schemas.openxmlformats.org/officeDocument/2006/relationships/table" Target="../tables/table21.xml"/><Relationship Id="rId15" Type="http://schemas.openxmlformats.org/officeDocument/2006/relationships/table" Target="../tables/table31.xml"/><Relationship Id="rId10" Type="http://schemas.openxmlformats.org/officeDocument/2006/relationships/table" Target="../tables/table26.xml"/><Relationship Id="rId19" Type="http://schemas.openxmlformats.org/officeDocument/2006/relationships/table" Target="../tables/table35.xml"/><Relationship Id="rId4" Type="http://schemas.openxmlformats.org/officeDocument/2006/relationships/table" Target="../tables/table20.xml"/><Relationship Id="rId9" Type="http://schemas.openxmlformats.org/officeDocument/2006/relationships/table" Target="../tables/table25.xml"/><Relationship Id="rId14" Type="http://schemas.openxmlformats.org/officeDocument/2006/relationships/table" Target="../tables/table30.xml"/><Relationship Id="rId22" Type="http://schemas.openxmlformats.org/officeDocument/2006/relationships/table" Target="../tables/table3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O71"/>
  <sheetViews>
    <sheetView zoomScaleNormal="130" zoomScalePageLayoutView="130" workbookViewId="0">
      <selection activeCell="B38" sqref="B38"/>
    </sheetView>
  </sheetViews>
  <sheetFormatPr defaultColWidth="9.140625" defaultRowHeight="15" x14ac:dyDescent="0.25"/>
  <sheetData>
    <row r="2" spans="2:15" x14ac:dyDescent="0.25">
      <c r="B2" t="s">
        <v>193</v>
      </c>
    </row>
    <row r="7" spans="2:15" x14ac:dyDescent="0.25">
      <c r="O7" t="s">
        <v>225</v>
      </c>
    </row>
    <row r="8" spans="2:15" x14ac:dyDescent="0.25">
      <c r="N8" s="8" t="s">
        <v>226</v>
      </c>
      <c r="O8" s="8"/>
    </row>
    <row r="9" spans="2:15" x14ac:dyDescent="0.25">
      <c r="N9" s="142" t="s">
        <v>227</v>
      </c>
      <c r="O9" s="142"/>
    </row>
    <row r="10" spans="2:15" x14ac:dyDescent="0.25">
      <c r="N10" s="7" t="s">
        <v>228</v>
      </c>
      <c r="O10" s="7"/>
    </row>
    <row r="11" spans="2:15" x14ac:dyDescent="0.25">
      <c r="N11" s="15" t="s">
        <v>229</v>
      </c>
      <c r="O11" s="15"/>
    </row>
    <row r="12" spans="2:15" x14ac:dyDescent="0.25">
      <c r="B12" s="175" t="s">
        <v>17</v>
      </c>
      <c r="C12" s="175"/>
      <c r="D12" s="175"/>
      <c r="E12" s="175"/>
      <c r="F12" s="175"/>
      <c r="G12" s="175"/>
      <c r="H12" s="175"/>
      <c r="I12" s="175"/>
      <c r="J12" s="175"/>
      <c r="K12" s="175"/>
      <c r="L12" s="175"/>
      <c r="M12" s="175"/>
    </row>
    <row r="13" spans="2:15" x14ac:dyDescent="0.25">
      <c r="B13" s="175"/>
      <c r="C13" s="175"/>
      <c r="D13" s="175"/>
      <c r="E13" s="175"/>
      <c r="F13" s="175"/>
      <c r="G13" s="175"/>
      <c r="H13" s="175"/>
      <c r="I13" s="175"/>
      <c r="J13" s="175"/>
      <c r="K13" s="175"/>
      <c r="L13" s="175"/>
      <c r="M13" s="175"/>
    </row>
    <row r="14" spans="2:15" x14ac:dyDescent="0.25">
      <c r="B14" s="175"/>
      <c r="C14" s="175"/>
      <c r="D14" s="175"/>
      <c r="E14" s="175"/>
      <c r="F14" s="175"/>
      <c r="G14" s="175"/>
      <c r="H14" s="175"/>
      <c r="I14" s="175"/>
      <c r="J14" s="175"/>
      <c r="K14" s="175"/>
      <c r="L14" s="175"/>
      <c r="M14" s="175"/>
    </row>
    <row r="15" spans="2:15" x14ac:dyDescent="0.25">
      <c r="B15" s="176" t="s">
        <v>18</v>
      </c>
      <c r="C15" s="176"/>
      <c r="D15" s="176"/>
      <c r="E15" s="176"/>
      <c r="F15" s="176"/>
      <c r="G15" s="176"/>
      <c r="H15" s="176"/>
      <c r="I15" s="176"/>
      <c r="J15" s="176"/>
      <c r="K15" s="176"/>
      <c r="L15" s="176"/>
    </row>
    <row r="16" spans="2:15" x14ac:dyDescent="0.25">
      <c r="B16" s="176"/>
      <c r="C16" s="176"/>
      <c r="D16" s="176"/>
      <c r="E16" s="176"/>
      <c r="F16" s="176"/>
      <c r="G16" s="176"/>
      <c r="H16" s="176"/>
      <c r="I16" s="176"/>
      <c r="J16" s="176"/>
      <c r="K16" s="176"/>
      <c r="L16" s="176"/>
    </row>
    <row r="17" spans="2:12" x14ac:dyDescent="0.25">
      <c r="B17" s="176"/>
      <c r="C17" s="176"/>
      <c r="D17" s="176"/>
      <c r="E17" s="176"/>
      <c r="F17" s="176"/>
      <c r="G17" s="176"/>
      <c r="H17" s="176"/>
      <c r="I17" s="176"/>
      <c r="J17" s="176"/>
      <c r="K17" s="176"/>
      <c r="L17" s="176"/>
    </row>
    <row r="18" spans="2:12" x14ac:dyDescent="0.25">
      <c r="B18" s="176"/>
      <c r="C18" s="176"/>
      <c r="D18" s="176"/>
      <c r="E18" s="176"/>
      <c r="F18" s="176"/>
      <c r="G18" s="176"/>
      <c r="H18" s="176"/>
      <c r="I18" s="176"/>
      <c r="J18" s="176"/>
      <c r="K18" s="176"/>
      <c r="L18" s="176"/>
    </row>
    <row r="22" spans="2:12" x14ac:dyDescent="0.25">
      <c r="B22" t="s">
        <v>10</v>
      </c>
    </row>
    <row r="24" spans="2:12" x14ac:dyDescent="0.25">
      <c r="C24" t="s">
        <v>16</v>
      </c>
    </row>
    <row r="33" spans="1:3" x14ac:dyDescent="0.25">
      <c r="B33" t="s">
        <v>11</v>
      </c>
    </row>
    <row r="34" spans="1:3" x14ac:dyDescent="0.25">
      <c r="B34" t="s">
        <v>12</v>
      </c>
    </row>
    <row r="35" spans="1:3" x14ac:dyDescent="0.25">
      <c r="B35" t="s">
        <v>13</v>
      </c>
    </row>
    <row r="36" spans="1:3" x14ac:dyDescent="0.25">
      <c r="B36" t="s">
        <v>14</v>
      </c>
    </row>
    <row r="37" spans="1:3" x14ac:dyDescent="0.25">
      <c r="B37" t="s">
        <v>15</v>
      </c>
    </row>
    <row r="40" spans="1:3" x14ac:dyDescent="0.25">
      <c r="B40" t="s">
        <v>195</v>
      </c>
      <c r="C40" t="s">
        <v>196</v>
      </c>
    </row>
    <row r="41" spans="1:3" x14ac:dyDescent="0.25">
      <c r="C41" t="s">
        <v>197</v>
      </c>
    </row>
    <row r="45" spans="1:3" ht="18.75" x14ac:dyDescent="0.3">
      <c r="A45" s="147"/>
    </row>
    <row r="47" spans="1:3" ht="15.75" x14ac:dyDescent="0.25">
      <c r="A47" s="148"/>
    </row>
    <row r="59" spans="1:1" ht="15.75" x14ac:dyDescent="0.25">
      <c r="A59" s="148"/>
    </row>
    <row r="66" spans="1:1" ht="15.75" x14ac:dyDescent="0.25">
      <c r="A66" s="148"/>
    </row>
    <row r="71" spans="1:1" ht="15.75" x14ac:dyDescent="0.25">
      <c r="A71" s="148"/>
    </row>
  </sheetData>
  <mergeCells count="2">
    <mergeCell ref="B12:M14"/>
    <mergeCell ref="B15:L1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D064-7B9C-4115-AD16-48BB41CDF23D}">
  <sheetPr>
    <tabColor theme="7" tint="0.79998168889431442"/>
  </sheetPr>
  <dimension ref="A1:F15"/>
  <sheetViews>
    <sheetView zoomScale="115" zoomScaleNormal="115" workbookViewId="0">
      <selection activeCell="C9" sqref="C9"/>
    </sheetView>
  </sheetViews>
  <sheetFormatPr defaultRowHeight="15" x14ac:dyDescent="0.25"/>
  <cols>
    <col min="1" max="1" width="27.85546875" customWidth="1"/>
    <col min="2" max="2" width="30.42578125" customWidth="1"/>
    <col min="3" max="3" width="31.28515625" customWidth="1"/>
    <col min="4" max="4" width="43.42578125" customWidth="1"/>
    <col min="5" max="5" width="17" customWidth="1"/>
    <col min="6" max="6" width="20.5703125" customWidth="1"/>
  </cols>
  <sheetData>
    <row r="1" spans="1:6" ht="15.75" thickBot="1" x14ac:dyDescent="0.3">
      <c r="A1" t="s">
        <v>331</v>
      </c>
      <c r="B1" t="s">
        <v>585</v>
      </c>
      <c r="C1" t="s">
        <v>200</v>
      </c>
      <c r="D1" t="s">
        <v>4</v>
      </c>
      <c r="E1" t="s">
        <v>299</v>
      </c>
      <c r="F1" t="s">
        <v>300</v>
      </c>
    </row>
    <row r="2" spans="1:6" x14ac:dyDescent="0.25">
      <c r="A2" s="156" t="s">
        <v>298</v>
      </c>
      <c r="B2" s="156" t="s">
        <v>301</v>
      </c>
      <c r="C2" s="157">
        <v>1950</v>
      </c>
      <c r="D2" s="159" t="s">
        <v>302</v>
      </c>
      <c r="E2" s="159" t="s">
        <v>303</v>
      </c>
      <c r="F2" s="159" t="s">
        <v>304</v>
      </c>
    </row>
    <row r="3" spans="1:6" ht="15" customHeight="1" x14ac:dyDescent="0.25">
      <c r="A3" s="167"/>
      <c r="B3" s="7" t="s">
        <v>305</v>
      </c>
      <c r="C3" s="8">
        <v>2100</v>
      </c>
      <c r="D3" s="15" t="s">
        <v>306</v>
      </c>
      <c r="E3" s="15" t="s">
        <v>303</v>
      </c>
      <c r="F3" s="15" t="s">
        <v>304</v>
      </c>
    </row>
    <row r="4" spans="1:6" x14ac:dyDescent="0.25">
      <c r="A4" s="167"/>
      <c r="B4" s="7" t="s">
        <v>307</v>
      </c>
      <c r="C4" s="8" t="s">
        <v>241</v>
      </c>
      <c r="D4" s="15" t="s">
        <v>308</v>
      </c>
      <c r="E4" s="15" t="s">
        <v>303</v>
      </c>
      <c r="F4" s="15" t="s">
        <v>304</v>
      </c>
    </row>
    <row r="5" spans="1:6" x14ac:dyDescent="0.25">
      <c r="A5" s="167"/>
      <c r="B5" s="7" t="s">
        <v>309</v>
      </c>
      <c r="C5" s="8" t="s">
        <v>310</v>
      </c>
      <c r="D5" s="15" t="s">
        <v>311</v>
      </c>
      <c r="E5" s="15" t="s">
        <v>303</v>
      </c>
      <c r="F5" s="15" t="s">
        <v>304</v>
      </c>
    </row>
    <row r="6" spans="1:6" ht="15.75" thickBot="1" x14ac:dyDescent="0.3">
      <c r="A6" s="168"/>
      <c r="B6" s="11" t="s">
        <v>312</v>
      </c>
      <c r="C6" s="149" t="s">
        <v>240</v>
      </c>
      <c r="D6" s="160" t="s">
        <v>313</v>
      </c>
      <c r="E6" s="160" t="s">
        <v>303</v>
      </c>
      <c r="F6" s="160" t="s">
        <v>304</v>
      </c>
    </row>
    <row r="7" spans="1:6" x14ac:dyDescent="0.25">
      <c r="A7" s="156" t="s">
        <v>314</v>
      </c>
      <c r="B7" s="156" t="s">
        <v>315</v>
      </c>
      <c r="C7" s="8" t="b">
        <v>1</v>
      </c>
      <c r="D7" s="159" t="s">
        <v>316</v>
      </c>
      <c r="E7" s="159" t="s">
        <v>317</v>
      </c>
      <c r="F7" s="159" t="s">
        <v>304</v>
      </c>
    </row>
    <row r="8" spans="1:6" ht="15" customHeight="1" x14ac:dyDescent="0.25">
      <c r="A8" s="7"/>
      <c r="B8" s="7" t="s">
        <v>318</v>
      </c>
      <c r="C8" s="8" t="b">
        <v>0</v>
      </c>
      <c r="D8" s="15" t="s">
        <v>319</v>
      </c>
      <c r="E8" s="15" t="s">
        <v>317</v>
      </c>
      <c r="F8" s="15" t="s">
        <v>304</v>
      </c>
    </row>
    <row r="9" spans="1:6" x14ac:dyDescent="0.25">
      <c r="A9" s="7"/>
      <c r="B9" s="7" t="s">
        <v>332</v>
      </c>
      <c r="C9" s="8" t="b">
        <v>0</v>
      </c>
      <c r="D9" s="15" t="s">
        <v>320</v>
      </c>
      <c r="E9" s="15" t="s">
        <v>317</v>
      </c>
      <c r="F9" s="15" t="s">
        <v>321</v>
      </c>
    </row>
    <row r="10" spans="1:6" ht="15.75" thickBot="1" x14ac:dyDescent="0.3">
      <c r="A10" s="11"/>
      <c r="B10" s="11" t="s">
        <v>322</v>
      </c>
      <c r="C10" s="149">
        <v>150</v>
      </c>
      <c r="D10" s="160" t="s">
        <v>323</v>
      </c>
      <c r="E10" s="160" t="s">
        <v>317</v>
      </c>
      <c r="F10" s="160" t="s">
        <v>321</v>
      </c>
    </row>
    <row r="11" spans="1:6" ht="15" customHeight="1" x14ac:dyDescent="0.25">
      <c r="A11" s="156" t="s">
        <v>324</v>
      </c>
      <c r="B11" s="156" t="s">
        <v>297</v>
      </c>
      <c r="C11" s="8" t="b">
        <v>1</v>
      </c>
      <c r="D11" s="159" t="s">
        <v>325</v>
      </c>
      <c r="E11" s="159" t="s">
        <v>326</v>
      </c>
      <c r="F11" s="159" t="s">
        <v>321</v>
      </c>
    </row>
    <row r="12" spans="1:6" x14ac:dyDescent="0.25">
      <c r="A12" s="7"/>
      <c r="B12" s="7" t="s">
        <v>512</v>
      </c>
      <c r="C12" s="8" t="s">
        <v>515</v>
      </c>
      <c r="D12" s="15" t="s">
        <v>327</v>
      </c>
      <c r="E12" s="15" t="s">
        <v>326</v>
      </c>
      <c r="F12" s="15" t="s">
        <v>321</v>
      </c>
    </row>
    <row r="13" spans="1:6" x14ac:dyDescent="0.25">
      <c r="A13" s="7"/>
      <c r="B13" s="7" t="s">
        <v>514</v>
      </c>
      <c r="C13" s="8" t="s">
        <v>521</v>
      </c>
      <c r="D13" s="15" t="s">
        <v>328</v>
      </c>
      <c r="E13" s="15" t="s">
        <v>326</v>
      </c>
      <c r="F13" s="15" t="s">
        <v>321</v>
      </c>
    </row>
    <row r="14" spans="1:6" x14ac:dyDescent="0.25">
      <c r="A14" s="7"/>
      <c r="B14" s="7" t="s">
        <v>513</v>
      </c>
      <c r="C14" s="8" t="s">
        <v>545</v>
      </c>
      <c r="D14" s="15"/>
      <c r="E14" s="15"/>
      <c r="F14" s="15"/>
    </row>
    <row r="15" spans="1:6" x14ac:dyDescent="0.25">
      <c r="A15" s="138"/>
      <c r="B15" s="138" t="s">
        <v>544</v>
      </c>
      <c r="C15" s="139" t="s">
        <v>546</v>
      </c>
      <c r="D15" s="158" t="s">
        <v>329</v>
      </c>
      <c r="E15" s="158" t="s">
        <v>326</v>
      </c>
      <c r="F15" s="158" t="s">
        <v>321</v>
      </c>
    </row>
  </sheetData>
  <sheetProtection algorithmName="SHA-512" hashValue="RSFi7bZYLpFcuha/5ihd9aGSapWmHBkhJshrGRhwse9P9wNBwtU26Jbxw+whtW1yBmE3s10MjX/ol7MkZFdYnA==" saltValue="Mw7PWr+swSip4Afpypm8cA==" spinCount="100000" sheet="1" objects="1" scenarios="1" selectLockedCells="1"/>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X70"/>
  <sheetViews>
    <sheetView zoomScaleNormal="100" workbookViewId="0">
      <selection activeCell="D1" sqref="D1"/>
    </sheetView>
  </sheetViews>
  <sheetFormatPr defaultColWidth="10.85546875" defaultRowHeight="15" x14ac:dyDescent="0.25"/>
  <cols>
    <col min="1" max="1" width="14.42578125" customWidth="1"/>
    <col min="2" max="2" width="10.28515625" style="21" customWidth="1"/>
    <col min="3" max="3" width="10.7109375" customWidth="1"/>
    <col min="4" max="4" width="38.7109375" customWidth="1"/>
    <col min="5" max="5" width="30.42578125" customWidth="1"/>
    <col min="6" max="6" width="25.85546875" customWidth="1"/>
    <col min="7" max="7" width="27.85546875" customWidth="1"/>
    <col min="8" max="8" width="18.85546875" customWidth="1"/>
    <col min="12" max="12" width="14.42578125" customWidth="1"/>
    <col min="13" max="13" width="14.85546875" customWidth="1"/>
    <col min="14" max="14" width="16.42578125" customWidth="1"/>
    <col min="15" max="15" width="14.7109375" customWidth="1"/>
    <col min="16" max="16" width="17.28515625" style="137" customWidth="1"/>
    <col min="18" max="18" width="15.42578125" customWidth="1"/>
    <col min="19" max="19" width="15.28515625" customWidth="1"/>
    <col min="20" max="20" width="15.42578125" customWidth="1"/>
    <col min="21" max="21" width="23.140625" customWidth="1"/>
    <col min="22" max="22" width="19.140625" customWidth="1"/>
  </cols>
  <sheetData>
    <row r="1" spans="1:24" x14ac:dyDescent="0.25">
      <c r="A1" s="145" t="s">
        <v>41</v>
      </c>
      <c r="B1" s="145" t="s">
        <v>19</v>
      </c>
      <c r="C1" s="145" t="s">
        <v>26</v>
      </c>
      <c r="D1" s="145" t="s">
        <v>533</v>
      </c>
      <c r="E1" s="145" t="s">
        <v>538</v>
      </c>
      <c r="F1" s="145" t="s">
        <v>539</v>
      </c>
      <c r="G1" s="145" t="s">
        <v>540</v>
      </c>
      <c r="H1" s="145" t="s">
        <v>537</v>
      </c>
      <c r="I1" s="145" t="s">
        <v>49</v>
      </c>
      <c r="J1" s="145" t="s">
        <v>51</v>
      </c>
      <c r="K1" s="145" t="s">
        <v>50</v>
      </c>
      <c r="L1" s="145" t="s">
        <v>656</v>
      </c>
      <c r="M1" s="145" t="s">
        <v>657</v>
      </c>
      <c r="N1" s="145" t="s">
        <v>53</v>
      </c>
      <c r="O1" s="145" t="s">
        <v>530</v>
      </c>
      <c r="P1" s="145" t="s">
        <v>658</v>
      </c>
      <c r="Q1" s="145" t="s">
        <v>55</v>
      </c>
      <c r="R1" s="145" t="s">
        <v>531</v>
      </c>
      <c r="S1" s="145" t="s">
        <v>536</v>
      </c>
      <c r="T1" s="145" t="s">
        <v>81</v>
      </c>
      <c r="U1" s="145" t="s">
        <v>659</v>
      </c>
      <c r="V1" s="145" t="s">
        <v>80</v>
      </c>
    </row>
    <row r="2" spans="1:24" x14ac:dyDescent="0.25">
      <c r="A2" s="146" t="b">
        <v>0</v>
      </c>
      <c r="B2" s="18">
        <f t="shared" ref="B2:B52" si="0">ROW()-1</f>
        <v>1</v>
      </c>
      <c r="C2" s="7" t="str">
        <f t="shared" ref="C2:C65" si="1">"F_"&amp;LEFT(F2,2)&amp;"_"&amp;LEFT(H2,2)</f>
        <v>F_00_02</v>
      </c>
      <c r="D2" s="8" t="s">
        <v>588</v>
      </c>
      <c r="E2" s="142" t="s">
        <v>271</v>
      </c>
      <c r="F2" s="7" t="str">
        <f>_xlfn.XLOOKUP(E2,Tab_Def_Processes[Process_Name],Tab_Def_Processes[Process_ID],,0,)</f>
        <v>00</v>
      </c>
      <c r="G2" s="142" t="s">
        <v>520</v>
      </c>
      <c r="H2" s="10" t="str">
        <f>_xlfn.XLOOKUP(G2,Tab_Def_Processes[Process_Name],Tab_Def_Processes[Process_ID],,0,)</f>
        <v>02</v>
      </c>
      <c r="I2" s="142" t="s">
        <v>5</v>
      </c>
      <c r="J2" s="142" t="s">
        <v>5</v>
      </c>
      <c r="K2" s="142" t="s">
        <v>5</v>
      </c>
      <c r="L2" s="7" t="str">
        <f>Tab_Def_Flows[[#This Row],[Flow_ID]]&amp;"_WC"</f>
        <v>F_00_02_WC</v>
      </c>
      <c r="M2" s="137">
        <v>0</v>
      </c>
      <c r="N2" s="166" t="s">
        <v>622</v>
      </c>
      <c r="O2" s="7" t="str">
        <f>Tab_Def_Flows[[#This Row],[Flow_ID]]&amp;"_DM"</f>
        <v>F_00_02_DM</v>
      </c>
      <c r="P2" s="137">
        <v>1</v>
      </c>
      <c r="Q2" s="166" t="s">
        <v>622</v>
      </c>
      <c r="R2" s="7" t="str">
        <f>Tab_Def_Flows[[#This Row],[Flow_ID]]&amp;"_CC"</f>
        <v>F_00_02_CC</v>
      </c>
      <c r="S2" s="137">
        <v>1</v>
      </c>
      <c r="T2" s="15"/>
      <c r="U2" s="143">
        <f>Tab_Def_Flows[[#This Row],[Flow_CC_DM'[%']]]*Tab_Def_Flows[[#This Row],[Flow_DM'[%']]]</f>
        <v>1</v>
      </c>
      <c r="V2" s="8"/>
    </row>
    <row r="3" spans="1:24" x14ac:dyDescent="0.25">
      <c r="A3" s="146" t="b">
        <v>0</v>
      </c>
      <c r="B3" s="18">
        <f t="shared" si="0"/>
        <v>2</v>
      </c>
      <c r="C3" s="7" t="str">
        <f t="shared" si="1"/>
        <v>F_01_02</v>
      </c>
      <c r="D3" s="8" t="s">
        <v>599</v>
      </c>
      <c r="E3" s="142" t="s">
        <v>272</v>
      </c>
      <c r="F3" s="7" t="str">
        <f>_xlfn.XLOOKUP(E3,Tab_Def_Processes[Process_Name],Tab_Def_Processes[Process_ID],,0,)</f>
        <v>01</v>
      </c>
      <c r="G3" s="142" t="s">
        <v>520</v>
      </c>
      <c r="H3" s="10" t="str">
        <f>_xlfn.XLOOKUP(G3,Tab_Def_Processes[Process_Name],Tab_Def_Processes[Process_ID],,0,)</f>
        <v>02</v>
      </c>
      <c r="I3" s="142" t="s">
        <v>5</v>
      </c>
      <c r="J3" s="142" t="s">
        <v>5</v>
      </c>
      <c r="K3" s="142" t="s">
        <v>5</v>
      </c>
      <c r="L3" s="7" t="str">
        <f>Tab_Def_Flows[[#This Row],[Flow_ID]]&amp;"_WC"</f>
        <v>F_01_02_WC</v>
      </c>
      <c r="M3" s="137">
        <v>0.6</v>
      </c>
      <c r="N3" s="166" t="s">
        <v>622</v>
      </c>
      <c r="O3" s="7" t="str">
        <f>Tab_Def_Flows[[#This Row],[Flow_ID]]&amp;"_DM"</f>
        <v>F_01_02_DM</v>
      </c>
      <c r="P3" s="137">
        <v>0.4</v>
      </c>
      <c r="Q3" s="166" t="s">
        <v>622</v>
      </c>
      <c r="R3" s="7" t="str">
        <f>Tab_Def_Flows[[#This Row],[Flow_ID]]&amp;"_CC"</f>
        <v>F_01_02_CC</v>
      </c>
      <c r="S3" s="137">
        <v>0</v>
      </c>
      <c r="T3" s="15"/>
      <c r="U3" s="143">
        <f>Tab_Def_Flows[[#This Row],[Flow_CC_DM'[%']]]*Tab_Def_Flows[[#This Row],[Flow_DM'[%']]]</f>
        <v>0</v>
      </c>
      <c r="V3" s="8"/>
    </row>
    <row r="4" spans="1:24" x14ac:dyDescent="0.25">
      <c r="A4" s="146" t="b">
        <v>0</v>
      </c>
      <c r="B4" s="18">
        <f t="shared" si="0"/>
        <v>3</v>
      </c>
      <c r="C4" s="7" t="str">
        <f t="shared" si="1"/>
        <v>F_02_12</v>
      </c>
      <c r="D4" s="8" t="s">
        <v>600</v>
      </c>
      <c r="E4" s="142" t="s">
        <v>520</v>
      </c>
      <c r="F4" s="7" t="str">
        <f>_xlfn.XLOOKUP(E4,Tab_Def_Processes[Process_Name],Tab_Def_Processes[Process_ID],,0,)</f>
        <v>02</v>
      </c>
      <c r="G4" s="142" t="s">
        <v>597</v>
      </c>
      <c r="H4" s="10" t="str">
        <f>_xlfn.XLOOKUP(G4,Tab_Def_Processes[Process_Name],Tab_Def_Processes[Process_ID],,0,)</f>
        <v>12</v>
      </c>
      <c r="I4" s="142" t="s">
        <v>5</v>
      </c>
      <c r="J4" s="142" t="s">
        <v>5</v>
      </c>
      <c r="K4" s="142" t="s">
        <v>5</v>
      </c>
      <c r="L4" s="7" t="str">
        <f>Tab_Def_Flows[[#This Row],[Flow_ID]]&amp;"_WC"</f>
        <v>F_02_12_WC</v>
      </c>
      <c r="M4" s="137"/>
      <c r="N4" s="15"/>
      <c r="O4" s="7" t="str">
        <f>Tab_Def_Flows[[#This Row],[Flow_ID]]&amp;"_DM"</f>
        <v>F_02_12_DM</v>
      </c>
      <c r="Q4" s="15"/>
      <c r="R4" s="7" t="str">
        <f>Tab_Def_Flows[[#This Row],[Flow_ID]]&amp;"_CC"</f>
        <v>F_02_12_CC</v>
      </c>
      <c r="S4" s="137"/>
      <c r="T4" s="15"/>
      <c r="U4" s="143">
        <f>Tab_Def_Flows[[#This Row],[Flow_CC_DM'[%']]]*Tab_Def_Flows[[#This Row],[Flow_DM'[%']]]</f>
        <v>0</v>
      </c>
      <c r="V4" s="8"/>
      <c r="X4" s="152"/>
    </row>
    <row r="5" spans="1:24" x14ac:dyDescent="0.25">
      <c r="A5" s="146" t="b">
        <v>0</v>
      </c>
      <c r="B5" s="18">
        <f>ROW()-1</f>
        <v>4</v>
      </c>
      <c r="C5" s="7" t="str">
        <f t="shared" si="1"/>
        <v>F_02_10</v>
      </c>
      <c r="D5" s="8" t="s">
        <v>601</v>
      </c>
      <c r="E5" s="142" t="s">
        <v>520</v>
      </c>
      <c r="F5" s="7" t="str">
        <f>_xlfn.XLOOKUP(E5,Tab_Def_Processes[Process_Name],Tab_Def_Processes[Process_ID],,0,)</f>
        <v>02</v>
      </c>
      <c r="G5" s="142" t="s">
        <v>595</v>
      </c>
      <c r="H5" s="10" t="str">
        <f>_xlfn.XLOOKUP(G5,Tab_Def_Processes[Process_Name],Tab_Def_Processes[Process_ID],,0,)</f>
        <v>10</v>
      </c>
      <c r="I5" s="142" t="s">
        <v>5</v>
      </c>
      <c r="J5" s="142" t="s">
        <v>5</v>
      </c>
      <c r="K5" s="142" t="s">
        <v>5</v>
      </c>
      <c r="L5" s="7" t="str">
        <f>Tab_Def_Flows[[#This Row],[Flow_ID]]&amp;"_WC"</f>
        <v>F_02_10_WC</v>
      </c>
      <c r="M5" s="137"/>
      <c r="N5" s="15"/>
      <c r="O5" s="7" t="str">
        <f>Tab_Def_Flows[[#This Row],[Flow_ID]]&amp;"_DM"</f>
        <v>F_02_10_DM</v>
      </c>
      <c r="Q5" s="15"/>
      <c r="R5" s="7" t="str">
        <f>Tab_Def_Flows[[#This Row],[Flow_ID]]&amp;"_CC"</f>
        <v>F_02_10_CC</v>
      </c>
      <c r="S5" s="137"/>
      <c r="T5" s="15"/>
      <c r="U5" s="143">
        <f>Tab_Def_Flows[[#This Row],[Flow_CC_DM'[%']]]*Tab_Def_Flows[[#This Row],[Flow_DM'[%']]]</f>
        <v>0</v>
      </c>
      <c r="V5" s="8"/>
      <c r="X5" s="152"/>
    </row>
    <row r="6" spans="1:24" x14ac:dyDescent="0.25">
      <c r="A6" s="146" t="b">
        <v>0</v>
      </c>
      <c r="B6" s="18">
        <f>ROW()-1</f>
        <v>5</v>
      </c>
      <c r="C6" s="7" t="str">
        <f>"F_"&amp;LEFT(F6,2)&amp;"_"&amp;LEFT(H6,2)</f>
        <v>F_02_11</v>
      </c>
      <c r="D6" s="8" t="s">
        <v>602</v>
      </c>
      <c r="E6" s="142" t="s">
        <v>520</v>
      </c>
      <c r="F6" s="7" t="str">
        <f>_xlfn.XLOOKUP(E6,Tab_Def_Processes[Process_Name],Tab_Def_Processes[Process_ID],,0,)</f>
        <v>02</v>
      </c>
      <c r="G6" s="142" t="s">
        <v>596</v>
      </c>
      <c r="H6" s="10" t="str">
        <f>_xlfn.XLOOKUP(G6,Tab_Def_Processes[Process_Name],Tab_Def_Processes[Process_ID],,0,)</f>
        <v>11</v>
      </c>
      <c r="I6" s="142" t="s">
        <v>5</v>
      </c>
      <c r="J6" s="142" t="s">
        <v>5</v>
      </c>
      <c r="K6" s="142" t="s">
        <v>5</v>
      </c>
      <c r="L6" s="7" t="str">
        <f>Tab_Def_Flows[[#This Row],[Flow_ID]]&amp;"_WC"</f>
        <v>F_02_11_WC</v>
      </c>
      <c r="M6" s="137"/>
      <c r="N6" s="15"/>
      <c r="O6" s="7" t="str">
        <f>Tab_Def_Flows[[#This Row],[Flow_ID]]&amp;"_DM"</f>
        <v>F_02_11_DM</v>
      </c>
      <c r="Q6" s="15"/>
      <c r="R6" s="7" t="str">
        <f>Tab_Def_Flows[[#This Row],[Flow_ID]]&amp;"_CC"</f>
        <v>F_02_11_CC</v>
      </c>
      <c r="S6" s="137"/>
      <c r="T6" s="15"/>
      <c r="U6" s="143">
        <f>Tab_Def_Flows[[#This Row],[Flow_CC_DM'[%']]]*Tab_Def_Flows[[#This Row],[Flow_DM'[%']]]</f>
        <v>0</v>
      </c>
      <c r="V6" s="8"/>
      <c r="X6" s="152"/>
    </row>
    <row r="7" spans="1:24" x14ac:dyDescent="0.25">
      <c r="A7" s="146" t="b">
        <v>0</v>
      </c>
      <c r="B7" s="18">
        <f t="shared" si="0"/>
        <v>6</v>
      </c>
      <c r="C7" s="7" t="str">
        <f t="shared" si="1"/>
        <v>F_03_04</v>
      </c>
      <c r="D7" s="8" t="s">
        <v>603</v>
      </c>
      <c r="E7" s="142" t="s">
        <v>591</v>
      </c>
      <c r="F7" s="7" t="str">
        <f>_xlfn.XLOOKUP(E7,Tab_Def_Processes[Process_Name],Tab_Def_Processes[Process_ID],,0,)</f>
        <v>03</v>
      </c>
      <c r="G7" s="142" t="s">
        <v>598</v>
      </c>
      <c r="H7" s="10" t="str">
        <f>_xlfn.XLOOKUP(G7,Tab_Def_Processes[Process_Name],Tab_Def_Processes[Process_ID],,0,)</f>
        <v>04</v>
      </c>
      <c r="I7" s="142" t="s">
        <v>5</v>
      </c>
      <c r="J7" s="142" t="s">
        <v>5</v>
      </c>
      <c r="K7" s="142" t="s">
        <v>5</v>
      </c>
      <c r="L7" s="7" t="str">
        <f>Tab_Def_Flows[[#This Row],[Flow_ID]]&amp;"_WC"</f>
        <v>F_03_04_WC</v>
      </c>
      <c r="M7" s="137"/>
      <c r="N7" s="15"/>
      <c r="O7" s="7" t="str">
        <f>Tab_Def_Flows[[#This Row],[Flow_ID]]&amp;"_DM"</f>
        <v>F_03_04_DM</v>
      </c>
      <c r="Q7" s="15"/>
      <c r="R7" s="7" t="str">
        <f>Tab_Def_Flows[[#This Row],[Flow_ID]]&amp;"_CC"</f>
        <v>F_03_04_CC</v>
      </c>
      <c r="S7" s="137"/>
      <c r="T7" s="15"/>
      <c r="U7" s="143">
        <f>Tab_Def_Flows[[#This Row],[Flow_CC_DM'[%']]]*Tab_Def_Flows[[#This Row],[Flow_DM'[%']]]</f>
        <v>0</v>
      </c>
      <c r="V7" s="8"/>
    </row>
    <row r="8" spans="1:24" x14ac:dyDescent="0.25">
      <c r="A8" s="146" t="b">
        <v>0</v>
      </c>
      <c r="B8" s="18">
        <f t="shared" si="0"/>
        <v>7</v>
      </c>
      <c r="C8" s="7" t="str">
        <f t="shared" si="1"/>
        <v>F_04_00</v>
      </c>
      <c r="D8" s="8" t="s">
        <v>618</v>
      </c>
      <c r="E8" s="142" t="s">
        <v>598</v>
      </c>
      <c r="F8" s="7" t="str">
        <f>_xlfn.XLOOKUP(E8,Tab_Def_Processes[Process_Name],Tab_Def_Processes[Process_ID],,0,)</f>
        <v>04</v>
      </c>
      <c r="G8" s="142" t="s">
        <v>271</v>
      </c>
      <c r="H8" s="10" t="str">
        <f>_xlfn.XLOOKUP(G8,Tab_Def_Processes[Process_Name],Tab_Def_Processes[Process_ID],,0,)</f>
        <v>00</v>
      </c>
      <c r="I8" s="142" t="s">
        <v>5</v>
      </c>
      <c r="J8" s="142" t="s">
        <v>5</v>
      </c>
      <c r="K8" s="142" t="s">
        <v>5</v>
      </c>
      <c r="L8" s="7" t="str">
        <f>Tab_Def_Flows[[#This Row],[Flow_ID]]&amp;"_WC"</f>
        <v>F_04_00_WC</v>
      </c>
      <c r="M8" s="137"/>
      <c r="N8" s="15"/>
      <c r="O8" s="7" t="str">
        <f>Tab_Def_Flows[[#This Row],[Flow_ID]]&amp;"_DM"</f>
        <v>F_04_00_DM</v>
      </c>
      <c r="Q8" s="15"/>
      <c r="R8" s="7" t="str">
        <f>Tab_Def_Flows[[#This Row],[Flow_ID]]&amp;"_CC"</f>
        <v>F_04_00_CC</v>
      </c>
      <c r="S8" s="137"/>
      <c r="T8" s="15"/>
      <c r="U8" s="143">
        <f>Tab_Def_Flows[[#This Row],[Flow_CC_DM'[%']]]*Tab_Def_Flows[[#This Row],[Flow_DM'[%']]]</f>
        <v>0</v>
      </c>
      <c r="V8" s="8"/>
    </row>
    <row r="9" spans="1:24" x14ac:dyDescent="0.25">
      <c r="A9" s="146" t="b">
        <v>0</v>
      </c>
      <c r="B9" s="18">
        <f t="shared" si="0"/>
        <v>8</v>
      </c>
      <c r="C9" s="7" t="str">
        <f t="shared" si="1"/>
        <v>F_04_01</v>
      </c>
      <c r="D9" s="8" t="s">
        <v>619</v>
      </c>
      <c r="E9" s="142" t="s">
        <v>598</v>
      </c>
      <c r="F9" s="7" t="str">
        <f>_xlfn.XLOOKUP(E9,Tab_Def_Processes[Process_Name],Tab_Def_Processes[Process_ID],,0,)</f>
        <v>04</v>
      </c>
      <c r="G9" s="142" t="s">
        <v>272</v>
      </c>
      <c r="H9" s="10" t="str">
        <f>_xlfn.XLOOKUP(G9,Tab_Def_Processes[Process_Name],Tab_Def_Processes[Process_ID],,0,)</f>
        <v>01</v>
      </c>
      <c r="I9" s="142" t="s">
        <v>5</v>
      </c>
      <c r="J9" s="142" t="s">
        <v>5</v>
      </c>
      <c r="K9" s="142" t="s">
        <v>5</v>
      </c>
      <c r="L9" s="7" t="str">
        <f>Tab_Def_Flows[[#This Row],[Flow_ID]]&amp;"_WC"</f>
        <v>F_04_01_WC</v>
      </c>
      <c r="M9" s="137"/>
      <c r="N9" s="15"/>
      <c r="O9" s="7" t="str">
        <f>Tab_Def_Flows[[#This Row],[Flow_ID]]&amp;"_DM"</f>
        <v>F_04_01_DM</v>
      </c>
      <c r="Q9" s="15"/>
      <c r="R9" s="7" t="str">
        <f>Tab_Def_Flows[[#This Row],[Flow_ID]]&amp;"_CC"</f>
        <v>F_04_01_CC</v>
      </c>
      <c r="S9" s="137"/>
      <c r="T9" s="15"/>
      <c r="U9" s="143">
        <f>Tab_Def_Flows[[#This Row],[Flow_CC_DM'[%']]]*Tab_Def_Flows[[#This Row],[Flow_DM'[%']]]</f>
        <v>0</v>
      </c>
      <c r="V9" s="8"/>
    </row>
    <row r="10" spans="1:24" x14ac:dyDescent="0.25">
      <c r="A10" s="146" t="b">
        <v>0</v>
      </c>
      <c r="B10" s="18">
        <f t="shared" si="0"/>
        <v>9</v>
      </c>
      <c r="C10" s="7" t="str">
        <f t="shared" si="1"/>
        <v>F_03_05</v>
      </c>
      <c r="D10" s="8" t="s">
        <v>604</v>
      </c>
      <c r="E10" s="142" t="s">
        <v>591</v>
      </c>
      <c r="F10" s="7" t="str">
        <f>_xlfn.XLOOKUP(E10,Tab_Def_Processes[Process_Name],Tab_Def_Processes[Process_ID],,0,)</f>
        <v>03</v>
      </c>
      <c r="G10" s="142" t="s">
        <v>589</v>
      </c>
      <c r="H10" s="10" t="str">
        <f>_xlfn.XLOOKUP(G10,Tab_Def_Processes[Process_Name],Tab_Def_Processes[Process_ID],,0,)</f>
        <v>05</v>
      </c>
      <c r="I10" s="142" t="s">
        <v>5</v>
      </c>
      <c r="J10" s="142" t="s">
        <v>5</v>
      </c>
      <c r="K10" s="142" t="s">
        <v>5</v>
      </c>
      <c r="L10" s="7" t="str">
        <f>Tab_Def_Flows[[#This Row],[Flow_ID]]&amp;"_WC"</f>
        <v>F_03_05_WC</v>
      </c>
      <c r="M10" s="137"/>
      <c r="N10" s="15"/>
      <c r="O10" s="7" t="str">
        <f>Tab_Def_Flows[[#This Row],[Flow_ID]]&amp;"_DM"</f>
        <v>F_03_05_DM</v>
      </c>
      <c r="Q10" s="15"/>
      <c r="R10" s="7" t="str">
        <f>Tab_Def_Flows[[#This Row],[Flow_ID]]&amp;"_CC"</f>
        <v>F_03_05_CC</v>
      </c>
      <c r="S10" s="137"/>
      <c r="T10" s="15"/>
      <c r="U10" s="143">
        <f>Tab_Def_Flows[[#This Row],[Flow_CC_DM'[%']]]*Tab_Def_Flows[[#This Row],[Flow_DM'[%']]]</f>
        <v>0</v>
      </c>
      <c r="V10" s="8"/>
    </row>
    <row r="11" spans="1:24" x14ac:dyDescent="0.25">
      <c r="A11" s="146" t="b">
        <v>0</v>
      </c>
      <c r="B11" s="18">
        <f t="shared" si="0"/>
        <v>10</v>
      </c>
      <c r="C11" s="7" t="str">
        <f t="shared" si="1"/>
        <v>F_05_06</v>
      </c>
      <c r="D11" s="8" t="s">
        <v>605</v>
      </c>
      <c r="E11" s="142" t="s">
        <v>589</v>
      </c>
      <c r="F11" s="7" t="str">
        <f>_xlfn.XLOOKUP(E11,Tab_Def_Processes[Process_Name],Tab_Def_Processes[Process_ID],,0,)</f>
        <v>05</v>
      </c>
      <c r="G11" s="142" t="s">
        <v>590</v>
      </c>
      <c r="H11" s="10" t="str">
        <f>_xlfn.XLOOKUP(G11,Tab_Def_Processes[Process_Name],Tab_Def_Processes[Process_ID],,0,)</f>
        <v>06</v>
      </c>
      <c r="I11" s="142" t="s">
        <v>5</v>
      </c>
      <c r="J11" s="142" t="s">
        <v>5</v>
      </c>
      <c r="K11" s="142" t="s">
        <v>5</v>
      </c>
      <c r="L11" s="7" t="str">
        <f>Tab_Def_Flows[[#This Row],[Flow_ID]]&amp;"_WC"</f>
        <v>F_05_06_WC</v>
      </c>
      <c r="M11" s="137"/>
      <c r="N11" s="15"/>
      <c r="O11" s="7" t="str">
        <f>Tab_Def_Flows[[#This Row],[Flow_ID]]&amp;"_DM"</f>
        <v>F_05_06_DM</v>
      </c>
      <c r="Q11" s="15"/>
      <c r="R11" s="7" t="str">
        <f>Tab_Def_Flows[[#This Row],[Flow_ID]]&amp;"_CC"</f>
        <v>F_05_06_CC</v>
      </c>
      <c r="S11" s="137"/>
      <c r="T11" s="15"/>
      <c r="U11" s="143">
        <f>Tab_Def_Flows[[#This Row],[Flow_CC_DM'[%']]]*Tab_Def_Flows[[#This Row],[Flow_DM'[%']]]</f>
        <v>0</v>
      </c>
      <c r="V11" s="8"/>
    </row>
    <row r="12" spans="1:24" x14ac:dyDescent="0.25">
      <c r="A12" s="146" t="b">
        <v>0</v>
      </c>
      <c r="B12" s="18">
        <f t="shared" si="0"/>
        <v>11</v>
      </c>
      <c r="C12" s="7" t="str">
        <f t="shared" si="1"/>
        <v>F_06_07</v>
      </c>
      <c r="D12" s="8" t="s">
        <v>606</v>
      </c>
      <c r="E12" s="142" t="s">
        <v>590</v>
      </c>
      <c r="F12" s="7" t="str">
        <f>_xlfn.XLOOKUP(E12,Tab_Def_Processes[Process_Name],Tab_Def_Processes[Process_ID],,0,)</f>
        <v>06</v>
      </c>
      <c r="G12" s="142" t="s">
        <v>592</v>
      </c>
      <c r="H12" s="10" t="str">
        <f>_xlfn.XLOOKUP(G12,Tab_Def_Processes[Process_Name],Tab_Def_Processes[Process_ID],,0,)</f>
        <v>07</v>
      </c>
      <c r="I12" s="142" t="s">
        <v>5</v>
      </c>
      <c r="J12" s="142" t="s">
        <v>5</v>
      </c>
      <c r="K12" s="142" t="s">
        <v>5</v>
      </c>
      <c r="L12" s="7" t="str">
        <f>Tab_Def_Flows[[#This Row],[Flow_ID]]&amp;"_WC"</f>
        <v>F_06_07_WC</v>
      </c>
      <c r="M12" s="137"/>
      <c r="N12" s="15"/>
      <c r="O12" s="7" t="str">
        <f>Tab_Def_Flows[[#This Row],[Flow_ID]]&amp;"_DM"</f>
        <v>F_06_07_DM</v>
      </c>
      <c r="Q12" s="15"/>
      <c r="R12" s="7" t="str">
        <f>Tab_Def_Flows[[#This Row],[Flow_ID]]&amp;"_CC"</f>
        <v>F_06_07_CC</v>
      </c>
      <c r="S12" s="137"/>
      <c r="T12" s="15"/>
      <c r="U12" s="143">
        <f>Tab_Def_Flows[[#This Row],[Flow_CC_DM'[%']]]*Tab_Def_Flows[[#This Row],[Flow_DM'[%']]]</f>
        <v>0</v>
      </c>
      <c r="V12" s="8"/>
    </row>
    <row r="13" spans="1:24" x14ac:dyDescent="0.25">
      <c r="A13" s="146" t="b">
        <v>0</v>
      </c>
      <c r="B13" s="18">
        <f t="shared" si="0"/>
        <v>12</v>
      </c>
      <c r="C13" s="7" t="str">
        <f t="shared" si="1"/>
        <v>F_06_08</v>
      </c>
      <c r="D13" s="8" t="s">
        <v>607</v>
      </c>
      <c r="E13" s="142" t="s">
        <v>590</v>
      </c>
      <c r="F13" s="7" t="str">
        <f>_xlfn.XLOOKUP(E13,Tab_Def_Processes[Process_Name],Tab_Def_Processes[Process_ID],,0,)</f>
        <v>06</v>
      </c>
      <c r="G13" s="142" t="s">
        <v>593</v>
      </c>
      <c r="H13" s="10" t="str">
        <f>_xlfn.XLOOKUP(G13,Tab_Def_Processes[Process_Name],Tab_Def_Processes[Process_ID],,0,)</f>
        <v>08</v>
      </c>
      <c r="I13" s="142" t="s">
        <v>5</v>
      </c>
      <c r="J13" s="142" t="s">
        <v>5</v>
      </c>
      <c r="K13" s="142" t="s">
        <v>5</v>
      </c>
      <c r="L13" s="7" t="str">
        <f>Tab_Def_Flows[[#This Row],[Flow_ID]]&amp;"_WC"</f>
        <v>F_06_08_WC</v>
      </c>
      <c r="M13" s="137"/>
      <c r="N13" s="15"/>
      <c r="O13" s="7" t="str">
        <f>Tab_Def_Flows[[#This Row],[Flow_ID]]&amp;"_DM"</f>
        <v>F_06_08_DM</v>
      </c>
      <c r="Q13" s="15"/>
      <c r="R13" s="7" t="str">
        <f>Tab_Def_Flows[[#This Row],[Flow_ID]]&amp;"_CC"</f>
        <v>F_06_08_CC</v>
      </c>
      <c r="S13" s="137"/>
      <c r="T13" s="15"/>
      <c r="U13" s="143">
        <f>Tab_Def_Flows[[#This Row],[Flow_CC_DM'[%']]]*Tab_Def_Flows[[#This Row],[Flow_DM'[%']]]</f>
        <v>0</v>
      </c>
      <c r="V13" s="8"/>
    </row>
    <row r="14" spans="1:24" x14ac:dyDescent="0.25">
      <c r="A14" s="146" t="b">
        <v>0</v>
      </c>
      <c r="B14" s="18">
        <f t="shared" si="0"/>
        <v>13</v>
      </c>
      <c r="C14" s="7" t="str">
        <f t="shared" si="1"/>
        <v>F_07_09</v>
      </c>
      <c r="D14" s="8" t="s">
        <v>620</v>
      </c>
      <c r="E14" s="142" t="s">
        <v>592</v>
      </c>
      <c r="F14" s="7" t="str">
        <f>_xlfn.XLOOKUP(E14,Tab_Def_Processes[Process_Name],Tab_Def_Processes[Process_ID],,0,)</f>
        <v>07</v>
      </c>
      <c r="G14" s="142" t="s">
        <v>594</v>
      </c>
      <c r="H14" s="10" t="str">
        <f>_xlfn.XLOOKUP(G14,Tab_Def_Processes[Process_Name],Tab_Def_Processes[Process_ID],,0,)</f>
        <v>09</v>
      </c>
      <c r="I14" s="142" t="s">
        <v>5</v>
      </c>
      <c r="J14" s="142" t="s">
        <v>5</v>
      </c>
      <c r="K14" s="142" t="s">
        <v>5</v>
      </c>
      <c r="L14" s="7" t="str">
        <f>Tab_Def_Flows[[#This Row],[Flow_ID]]&amp;"_WC"</f>
        <v>F_07_09_WC</v>
      </c>
      <c r="M14" s="137"/>
      <c r="N14" s="15"/>
      <c r="O14" s="7" t="str">
        <f>Tab_Def_Flows[[#This Row],[Flow_ID]]&amp;"_DM"</f>
        <v>F_07_09_DM</v>
      </c>
      <c r="Q14" s="15"/>
      <c r="R14" s="7" t="str">
        <f>Tab_Def_Flows[[#This Row],[Flow_ID]]&amp;"_CC"</f>
        <v>F_07_09_CC</v>
      </c>
      <c r="S14" s="137"/>
      <c r="T14" s="15"/>
      <c r="U14" s="143">
        <f>Tab_Def_Flows[[#This Row],[Flow_CC_DM'[%']]]*Tab_Def_Flows[[#This Row],[Flow_DM'[%']]]</f>
        <v>0</v>
      </c>
      <c r="V14" s="8"/>
    </row>
    <row r="15" spans="1:24" x14ac:dyDescent="0.25">
      <c r="A15" s="146" t="b">
        <v>0</v>
      </c>
      <c r="B15" s="18">
        <f t="shared" si="0"/>
        <v>14</v>
      </c>
      <c r="C15" s="7" t="str">
        <f t="shared" si="1"/>
        <v>F_07_04</v>
      </c>
      <c r="D15" s="8" t="s">
        <v>608</v>
      </c>
      <c r="E15" s="142" t="s">
        <v>592</v>
      </c>
      <c r="F15" s="7" t="str">
        <f>_xlfn.XLOOKUP(E15,Tab_Def_Processes[Process_Name],Tab_Def_Processes[Process_ID],,0,)</f>
        <v>07</v>
      </c>
      <c r="G15" s="142" t="s">
        <v>598</v>
      </c>
      <c r="H15" s="10" t="str">
        <f>_xlfn.XLOOKUP(G15,Tab_Def_Processes[Process_Name],Tab_Def_Processes[Process_ID],,0,)</f>
        <v>04</v>
      </c>
      <c r="I15" s="142" t="s">
        <v>5</v>
      </c>
      <c r="J15" s="142" t="s">
        <v>5</v>
      </c>
      <c r="K15" s="142" t="s">
        <v>5</v>
      </c>
      <c r="L15" s="7" t="str">
        <f>Tab_Def_Flows[[#This Row],[Flow_ID]]&amp;"_WC"</f>
        <v>F_07_04_WC</v>
      </c>
      <c r="M15" s="137"/>
      <c r="N15" s="15"/>
      <c r="O15" s="7" t="str">
        <f>Tab_Def_Flows[[#This Row],[Flow_ID]]&amp;"_DM"</f>
        <v>F_07_04_DM</v>
      </c>
      <c r="Q15" s="15"/>
      <c r="R15" s="7" t="str">
        <f>Tab_Def_Flows[[#This Row],[Flow_ID]]&amp;"_CC"</f>
        <v>F_07_04_CC</v>
      </c>
      <c r="S15" s="137"/>
      <c r="T15" s="15"/>
      <c r="U15" s="143">
        <f>Tab_Def_Flows[[#This Row],[Flow_CC_DM'[%']]]*Tab_Def_Flows[[#This Row],[Flow_DM'[%']]]</f>
        <v>0</v>
      </c>
      <c r="V15" s="8"/>
    </row>
    <row r="16" spans="1:24" x14ac:dyDescent="0.25">
      <c r="A16" s="146" t="b">
        <v>0</v>
      </c>
      <c r="B16" s="18">
        <f t="shared" si="0"/>
        <v>15</v>
      </c>
      <c r="C16" s="7" t="str">
        <f t="shared" si="1"/>
        <v>F_09_06</v>
      </c>
      <c r="D16" s="8" t="s">
        <v>621</v>
      </c>
      <c r="E16" s="142" t="s">
        <v>594</v>
      </c>
      <c r="F16" s="7" t="str">
        <f>_xlfn.XLOOKUP(E16,Tab_Def_Processes[Process_Name],Tab_Def_Processes[Process_ID],,0,)</f>
        <v>09</v>
      </c>
      <c r="G16" s="142" t="s">
        <v>590</v>
      </c>
      <c r="H16" s="10" t="str">
        <f>_xlfn.XLOOKUP(G16,Tab_Def_Processes[Process_Name],Tab_Def_Processes[Process_ID],,0,)</f>
        <v>06</v>
      </c>
      <c r="I16" s="142" t="s">
        <v>5</v>
      </c>
      <c r="J16" s="142" t="s">
        <v>5</v>
      </c>
      <c r="K16" s="142" t="s">
        <v>5</v>
      </c>
      <c r="L16" s="7" t="str">
        <f>Tab_Def_Flows[[#This Row],[Flow_ID]]&amp;"_WC"</f>
        <v>F_09_06_WC</v>
      </c>
      <c r="M16" s="137"/>
      <c r="N16" s="15"/>
      <c r="O16" s="7" t="str">
        <f>Tab_Def_Flows[[#This Row],[Flow_ID]]&amp;"_DM"</f>
        <v>F_09_06_DM</v>
      </c>
      <c r="Q16" s="15"/>
      <c r="R16" s="7" t="str">
        <f>Tab_Def_Flows[[#This Row],[Flow_ID]]&amp;"_CC"</f>
        <v>F_09_06_CC</v>
      </c>
      <c r="S16" s="137"/>
      <c r="T16" s="15"/>
      <c r="U16" s="143">
        <f>Tab_Def_Flows[[#This Row],[Flow_CC_DM'[%']]]*Tab_Def_Flows[[#This Row],[Flow_DM'[%']]]</f>
        <v>0</v>
      </c>
      <c r="V16" s="8"/>
    </row>
    <row r="17" spans="1:22" x14ac:dyDescent="0.25">
      <c r="A17" s="146" t="b">
        <v>0</v>
      </c>
      <c r="B17" s="18">
        <f t="shared" si="0"/>
        <v>16</v>
      </c>
      <c r="C17" s="7" t="str">
        <f t="shared" si="1"/>
        <v>F_08_00</v>
      </c>
      <c r="D17" s="8" t="s">
        <v>609</v>
      </c>
      <c r="E17" s="142" t="s">
        <v>593</v>
      </c>
      <c r="F17" s="7" t="str">
        <f>_xlfn.XLOOKUP(E17,Tab_Def_Processes[Process_Name],Tab_Def_Processes[Process_ID],,0,)</f>
        <v>08</v>
      </c>
      <c r="G17" s="142" t="s">
        <v>271</v>
      </c>
      <c r="H17" s="10" t="str">
        <f>_xlfn.XLOOKUP(G17,Tab_Def_Processes[Process_Name],Tab_Def_Processes[Process_ID],,0,)</f>
        <v>00</v>
      </c>
      <c r="I17" s="142" t="s">
        <v>5</v>
      </c>
      <c r="J17" s="142" t="s">
        <v>5</v>
      </c>
      <c r="K17" s="142" t="s">
        <v>5</v>
      </c>
      <c r="L17" s="7" t="str">
        <f>Tab_Def_Flows[[#This Row],[Flow_ID]]&amp;"_WC"</f>
        <v>F_08_00_WC</v>
      </c>
      <c r="M17" s="137"/>
      <c r="N17" s="15"/>
      <c r="O17" s="7" t="str">
        <f>Tab_Def_Flows[[#This Row],[Flow_ID]]&amp;"_DM"</f>
        <v>F_08_00_DM</v>
      </c>
      <c r="Q17" s="15"/>
      <c r="R17" s="7" t="str">
        <f>Tab_Def_Flows[[#This Row],[Flow_ID]]&amp;"_CC"</f>
        <v>F_08_00_CC</v>
      </c>
      <c r="S17" s="137"/>
      <c r="T17" s="15"/>
      <c r="U17" s="143">
        <f>Tab_Def_Flows[[#This Row],[Flow_CC_DM'[%']]]*Tab_Def_Flows[[#This Row],[Flow_DM'[%']]]</f>
        <v>0</v>
      </c>
      <c r="V17" s="8"/>
    </row>
    <row r="18" spans="1:22" x14ac:dyDescent="0.25">
      <c r="A18" s="146" t="b">
        <v>0</v>
      </c>
      <c r="B18" s="18">
        <f t="shared" si="0"/>
        <v>17</v>
      </c>
      <c r="C18" s="7" t="str">
        <f t="shared" si="1"/>
        <v>F_08_01</v>
      </c>
      <c r="D18" s="8" t="s">
        <v>610</v>
      </c>
      <c r="E18" s="142" t="s">
        <v>593</v>
      </c>
      <c r="F18" s="7" t="str">
        <f>_xlfn.XLOOKUP(E18,Tab_Def_Processes[Process_Name],Tab_Def_Processes[Process_ID],,0,)</f>
        <v>08</v>
      </c>
      <c r="G18" s="142" t="s">
        <v>272</v>
      </c>
      <c r="H18" s="10" t="str">
        <f>_xlfn.XLOOKUP(G18,Tab_Def_Processes[Process_Name],Tab_Def_Processes[Process_ID],,0,)</f>
        <v>01</v>
      </c>
      <c r="I18" s="142" t="s">
        <v>5</v>
      </c>
      <c r="J18" s="142" t="s">
        <v>5</v>
      </c>
      <c r="K18" s="142" t="s">
        <v>5</v>
      </c>
      <c r="L18" s="7" t="str">
        <f>Tab_Def_Flows[[#This Row],[Flow_ID]]&amp;"_WC"</f>
        <v>F_08_01_WC</v>
      </c>
      <c r="M18" s="137"/>
      <c r="N18" s="15"/>
      <c r="O18" s="7" t="str">
        <f>Tab_Def_Flows[[#This Row],[Flow_ID]]&amp;"_DM"</f>
        <v>F_08_01_DM</v>
      </c>
      <c r="Q18" s="15"/>
      <c r="R18" s="7" t="str">
        <f>Tab_Def_Flows[[#This Row],[Flow_ID]]&amp;"_CC"</f>
        <v>F_08_01_CC</v>
      </c>
      <c r="S18" s="137"/>
      <c r="T18" s="15"/>
      <c r="U18" s="143">
        <f>Tab_Def_Flows[[#This Row],[Flow_CC_DM'[%']]]*Tab_Def_Flows[[#This Row],[Flow_DM'[%']]]</f>
        <v>0</v>
      </c>
      <c r="V18" s="8"/>
    </row>
    <row r="19" spans="1:22" x14ac:dyDescent="0.25">
      <c r="A19" s="146" t="b">
        <v>0</v>
      </c>
      <c r="B19" s="18">
        <f t="shared" si="0"/>
        <v>18</v>
      </c>
      <c r="C19" s="7" t="str">
        <f t="shared" si="1"/>
        <v>F_10_00</v>
      </c>
      <c r="D19" s="8" t="s">
        <v>611</v>
      </c>
      <c r="E19" s="142" t="s">
        <v>595</v>
      </c>
      <c r="F19" s="7" t="str">
        <f>_xlfn.XLOOKUP(E19,Tab_Def_Processes[Process_Name],Tab_Def_Processes[Process_ID],,0,)</f>
        <v>10</v>
      </c>
      <c r="G19" s="142" t="s">
        <v>271</v>
      </c>
      <c r="H19" s="10" t="str">
        <f>_xlfn.XLOOKUP(G19,Tab_Def_Processes[Process_Name],Tab_Def_Processes[Process_ID],,0,)</f>
        <v>00</v>
      </c>
      <c r="I19" s="142" t="s">
        <v>5</v>
      </c>
      <c r="J19" s="142" t="s">
        <v>5</v>
      </c>
      <c r="K19" s="142" t="s">
        <v>5</v>
      </c>
      <c r="L19" s="7" t="str">
        <f>Tab_Def_Flows[[#This Row],[Flow_ID]]&amp;"_WC"</f>
        <v>F_10_00_WC</v>
      </c>
      <c r="M19" s="137"/>
      <c r="N19" s="15"/>
      <c r="O19" s="7" t="str">
        <f>Tab_Def_Flows[[#This Row],[Flow_ID]]&amp;"_DM"</f>
        <v>F_10_00_DM</v>
      </c>
      <c r="Q19" s="15"/>
      <c r="R19" s="7" t="str">
        <f>Tab_Def_Flows[[#This Row],[Flow_ID]]&amp;"_CC"</f>
        <v>F_10_00_CC</v>
      </c>
      <c r="S19" s="137"/>
      <c r="T19" s="15"/>
      <c r="U19" s="143">
        <f>Tab_Def_Flows[[#This Row],[Flow_CC_DM'[%']]]*Tab_Def_Flows[[#This Row],[Flow_DM'[%']]]</f>
        <v>0</v>
      </c>
      <c r="V19" s="8"/>
    </row>
    <row r="20" spans="1:22" x14ac:dyDescent="0.25">
      <c r="A20" s="146" t="b">
        <v>0</v>
      </c>
      <c r="B20" s="18">
        <f t="shared" si="0"/>
        <v>19</v>
      </c>
      <c r="C20" s="7" t="str">
        <f t="shared" si="1"/>
        <v>F_10_01</v>
      </c>
      <c r="D20" s="8" t="s">
        <v>612</v>
      </c>
      <c r="E20" s="142" t="s">
        <v>595</v>
      </c>
      <c r="F20" s="7" t="str">
        <f>_xlfn.XLOOKUP(E20,Tab_Def_Processes[Process_Name],Tab_Def_Processes[Process_ID],,0,)</f>
        <v>10</v>
      </c>
      <c r="G20" s="142" t="s">
        <v>272</v>
      </c>
      <c r="H20" s="10" t="str">
        <f>_xlfn.XLOOKUP(G20,Tab_Def_Processes[Process_Name],Tab_Def_Processes[Process_ID],,0,)</f>
        <v>01</v>
      </c>
      <c r="I20" s="142" t="s">
        <v>5</v>
      </c>
      <c r="J20" s="142" t="s">
        <v>5</v>
      </c>
      <c r="K20" s="142" t="s">
        <v>5</v>
      </c>
      <c r="L20" s="7" t="str">
        <f>Tab_Def_Flows[[#This Row],[Flow_ID]]&amp;"_WC"</f>
        <v>F_10_01_WC</v>
      </c>
      <c r="M20" s="137"/>
      <c r="N20" s="15"/>
      <c r="O20" s="7" t="str">
        <f>Tab_Def_Flows[[#This Row],[Flow_ID]]&amp;"_DM"</f>
        <v>F_10_01_DM</v>
      </c>
      <c r="Q20" s="15"/>
      <c r="R20" s="7" t="str">
        <f>Tab_Def_Flows[[#This Row],[Flow_ID]]&amp;"_CC"</f>
        <v>F_10_01_CC</v>
      </c>
      <c r="S20" s="137"/>
      <c r="T20" s="15"/>
      <c r="U20" s="143">
        <f>Tab_Def_Flows[[#This Row],[Flow_CC_DM'[%']]]*Tab_Def_Flows[[#This Row],[Flow_DM'[%']]]</f>
        <v>0</v>
      </c>
      <c r="V20" s="8"/>
    </row>
    <row r="21" spans="1:22" x14ac:dyDescent="0.25">
      <c r="A21" s="146" t="b">
        <v>0</v>
      </c>
      <c r="B21" s="18">
        <f t="shared" si="0"/>
        <v>20</v>
      </c>
      <c r="C21" s="7" t="str">
        <f t="shared" si="1"/>
        <v>F_03_07</v>
      </c>
      <c r="D21" s="8" t="s">
        <v>613</v>
      </c>
      <c r="E21" s="142" t="s">
        <v>591</v>
      </c>
      <c r="F21" s="7" t="str">
        <f>_xlfn.XLOOKUP(E21,Tab_Def_Processes[Process_Name],Tab_Def_Processes[Process_ID],,0,)</f>
        <v>03</v>
      </c>
      <c r="G21" s="142" t="s">
        <v>592</v>
      </c>
      <c r="H21" s="10" t="str">
        <f>_xlfn.XLOOKUP(G21,Tab_Def_Processes[Process_Name],Tab_Def_Processes[Process_ID],,0,)</f>
        <v>07</v>
      </c>
      <c r="I21" s="142" t="s">
        <v>5</v>
      </c>
      <c r="J21" s="142" t="s">
        <v>5</v>
      </c>
      <c r="K21" s="142" t="s">
        <v>5</v>
      </c>
      <c r="L21" s="7" t="str">
        <f>Tab_Def_Flows[[#This Row],[Flow_ID]]&amp;"_WC"</f>
        <v>F_03_07_WC</v>
      </c>
      <c r="M21" s="137"/>
      <c r="N21" s="15"/>
      <c r="O21" s="7" t="str">
        <f>Tab_Def_Flows[[#This Row],[Flow_ID]]&amp;"_DM"</f>
        <v>F_03_07_DM</v>
      </c>
      <c r="Q21" s="15"/>
      <c r="R21" s="7" t="str">
        <f>Tab_Def_Flows[[#This Row],[Flow_ID]]&amp;"_CC"</f>
        <v>F_03_07_CC</v>
      </c>
      <c r="S21" s="137"/>
      <c r="T21" s="15"/>
      <c r="U21" s="143">
        <f>Tab_Def_Flows[[#This Row],[Flow_CC_DM'[%']]]*Tab_Def_Flows[[#This Row],[Flow_DM'[%']]]</f>
        <v>0</v>
      </c>
      <c r="V21" s="8"/>
    </row>
    <row r="22" spans="1:22" x14ac:dyDescent="0.25">
      <c r="A22" s="146" t="b">
        <v>0</v>
      </c>
      <c r="B22" s="18">
        <f t="shared" si="0"/>
        <v>21</v>
      </c>
      <c r="C22" s="7" t="str">
        <f t="shared" si="1"/>
        <v>F_11_07</v>
      </c>
      <c r="D22" s="8" t="s">
        <v>614</v>
      </c>
      <c r="E22" s="142" t="s">
        <v>596</v>
      </c>
      <c r="F22" s="7" t="str">
        <f>_xlfn.XLOOKUP(E22,Tab_Def_Processes[Process_Name],Tab_Def_Processes[Process_ID],,0,)</f>
        <v>11</v>
      </c>
      <c r="G22" s="142" t="s">
        <v>592</v>
      </c>
      <c r="H22" s="10" t="str">
        <f>_xlfn.XLOOKUP(G22,Tab_Def_Processes[Process_Name],Tab_Def_Processes[Process_ID],,0,)</f>
        <v>07</v>
      </c>
      <c r="I22" s="142" t="s">
        <v>5</v>
      </c>
      <c r="J22" s="142" t="s">
        <v>5</v>
      </c>
      <c r="K22" s="142" t="s">
        <v>5</v>
      </c>
      <c r="L22" s="7" t="str">
        <f>Tab_Def_Flows[[#This Row],[Flow_ID]]&amp;"_WC"</f>
        <v>F_11_07_WC</v>
      </c>
      <c r="M22" s="137"/>
      <c r="N22" s="15"/>
      <c r="O22" s="7" t="str">
        <f>Tab_Def_Flows[[#This Row],[Flow_ID]]&amp;"_DM"</f>
        <v>F_11_07_DM</v>
      </c>
      <c r="Q22" s="15"/>
      <c r="R22" s="7" t="str">
        <f>Tab_Def_Flows[[#This Row],[Flow_ID]]&amp;"_CC"</f>
        <v>F_11_07_CC</v>
      </c>
      <c r="S22" s="137"/>
      <c r="T22" s="15"/>
      <c r="U22" s="143">
        <f>Tab_Def_Flows[[#This Row],[Flow_CC_DM'[%']]]*Tab_Def_Flows[[#This Row],[Flow_DM'[%']]]</f>
        <v>0</v>
      </c>
      <c r="V22" s="8"/>
    </row>
    <row r="23" spans="1:22" x14ac:dyDescent="0.25">
      <c r="A23" s="146" t="b">
        <v>0</v>
      </c>
      <c r="B23" s="18">
        <f t="shared" si="0"/>
        <v>22</v>
      </c>
      <c r="C23" s="7" t="str">
        <f t="shared" si="1"/>
        <v>F_11_01</v>
      </c>
      <c r="D23" s="8" t="s">
        <v>615</v>
      </c>
      <c r="E23" s="142" t="s">
        <v>596</v>
      </c>
      <c r="F23" s="7" t="str">
        <f>_xlfn.XLOOKUP(E23,Tab_Def_Processes[Process_Name],Tab_Def_Processes[Process_ID],,0,)</f>
        <v>11</v>
      </c>
      <c r="G23" s="142" t="s">
        <v>272</v>
      </c>
      <c r="H23" s="10" t="str">
        <f>_xlfn.XLOOKUP(G23,Tab_Def_Processes[Process_Name],Tab_Def_Processes[Process_ID],,0,)</f>
        <v>01</v>
      </c>
      <c r="I23" s="142" t="s">
        <v>5</v>
      </c>
      <c r="J23" s="142" t="s">
        <v>5</v>
      </c>
      <c r="K23" s="142" t="s">
        <v>5</v>
      </c>
      <c r="L23" s="7" t="str">
        <f>Tab_Def_Flows[[#This Row],[Flow_ID]]&amp;"_WC"</f>
        <v>F_11_01_WC</v>
      </c>
      <c r="M23" s="137"/>
      <c r="N23" s="15"/>
      <c r="O23" s="7" t="str">
        <f>Tab_Def_Flows[[#This Row],[Flow_ID]]&amp;"_DM"</f>
        <v>F_11_01_DM</v>
      </c>
      <c r="Q23" s="15"/>
      <c r="R23" s="7" t="str">
        <f>Tab_Def_Flows[[#This Row],[Flow_ID]]&amp;"_CC"</f>
        <v>F_11_01_CC</v>
      </c>
      <c r="S23" s="137"/>
      <c r="T23" s="15"/>
      <c r="U23" s="143">
        <f>Tab_Def_Flows[[#This Row],[Flow_CC_DM'[%']]]*Tab_Def_Flows[[#This Row],[Flow_DM'[%']]]</f>
        <v>0</v>
      </c>
      <c r="V23" s="8"/>
    </row>
    <row r="24" spans="1:22" x14ac:dyDescent="0.25">
      <c r="A24" s="146" t="b">
        <v>0</v>
      </c>
      <c r="B24" s="18">
        <f t="shared" si="0"/>
        <v>23</v>
      </c>
      <c r="C24" s="7" t="str">
        <f t="shared" si="1"/>
        <v>F_12_03</v>
      </c>
      <c r="D24" s="8" t="s">
        <v>616</v>
      </c>
      <c r="E24" s="142" t="s">
        <v>597</v>
      </c>
      <c r="F24" s="7" t="str">
        <f>_xlfn.XLOOKUP(E24,Tab_Def_Processes[Process_Name],Tab_Def_Processes[Process_ID],,0,)</f>
        <v>12</v>
      </c>
      <c r="G24" s="142" t="s">
        <v>591</v>
      </c>
      <c r="H24" s="10" t="str">
        <f>_xlfn.XLOOKUP(G24,Tab_Def_Processes[Process_Name],Tab_Def_Processes[Process_ID],,0,)</f>
        <v>03</v>
      </c>
      <c r="I24" s="142" t="s">
        <v>5</v>
      </c>
      <c r="J24" s="142" t="s">
        <v>5</v>
      </c>
      <c r="K24" s="142" t="s">
        <v>5</v>
      </c>
      <c r="L24" s="7" t="str">
        <f>Tab_Def_Flows[[#This Row],[Flow_ID]]&amp;"_WC"</f>
        <v>F_12_03_WC</v>
      </c>
      <c r="M24" s="137"/>
      <c r="N24" s="15"/>
      <c r="O24" s="7" t="str">
        <f>Tab_Def_Flows[[#This Row],[Flow_ID]]&amp;"_DM"</f>
        <v>F_12_03_DM</v>
      </c>
      <c r="Q24" s="15"/>
      <c r="R24" s="7" t="str">
        <f>Tab_Def_Flows[[#This Row],[Flow_ID]]&amp;"_CC"</f>
        <v>F_12_03_CC</v>
      </c>
      <c r="S24" s="137"/>
      <c r="T24" s="15"/>
      <c r="U24" s="143">
        <f>Tab_Def_Flows[[#This Row],[Flow_CC_DM'[%']]]*Tab_Def_Flows[[#This Row],[Flow_DM'[%']]]</f>
        <v>0</v>
      </c>
      <c r="V24" s="8"/>
    </row>
    <row r="25" spans="1:22" x14ac:dyDescent="0.25">
      <c r="A25" s="146" t="b">
        <v>0</v>
      </c>
      <c r="B25" s="18">
        <f t="shared" si="0"/>
        <v>24</v>
      </c>
      <c r="C25" s="7" t="str">
        <f t="shared" si="1"/>
        <v>F_12_01</v>
      </c>
      <c r="D25" s="8" t="s">
        <v>617</v>
      </c>
      <c r="E25" s="142" t="s">
        <v>597</v>
      </c>
      <c r="F25" s="7" t="str">
        <f>_xlfn.XLOOKUP(E25,Tab_Def_Processes[Process_Name],Tab_Def_Processes[Process_ID],,0,)</f>
        <v>12</v>
      </c>
      <c r="G25" s="142" t="s">
        <v>272</v>
      </c>
      <c r="H25" s="10" t="str">
        <f>_xlfn.XLOOKUP(G25,Tab_Def_Processes[Process_Name],Tab_Def_Processes[Process_ID],,0,)</f>
        <v>01</v>
      </c>
      <c r="I25" s="142" t="s">
        <v>5</v>
      </c>
      <c r="J25" s="142" t="s">
        <v>5</v>
      </c>
      <c r="K25" s="142" t="s">
        <v>5</v>
      </c>
      <c r="L25" s="7" t="str">
        <f>Tab_Def_Flows[[#This Row],[Flow_ID]]&amp;"_WC"</f>
        <v>F_12_01_WC</v>
      </c>
      <c r="M25" s="137"/>
      <c r="N25" s="15"/>
      <c r="O25" s="7" t="str">
        <f>Tab_Def_Flows[[#This Row],[Flow_ID]]&amp;"_DM"</f>
        <v>F_12_01_DM</v>
      </c>
      <c r="Q25" s="15"/>
      <c r="R25" s="7" t="str">
        <f>Tab_Def_Flows[[#This Row],[Flow_ID]]&amp;"_CC"</f>
        <v>F_12_01_CC</v>
      </c>
      <c r="S25" s="137"/>
      <c r="T25" s="15"/>
      <c r="U25" s="143">
        <f>Tab_Def_Flows[[#This Row],[Flow_CC_DM'[%']]]*Tab_Def_Flows[[#This Row],[Flow_DM'[%']]]</f>
        <v>0</v>
      </c>
      <c r="V25" s="8"/>
    </row>
    <row r="26" spans="1:22" x14ac:dyDescent="0.25">
      <c r="A26" s="146" t="b">
        <v>0</v>
      </c>
      <c r="B26" s="18">
        <f t="shared" si="0"/>
        <v>25</v>
      </c>
      <c r="C26" s="7" t="str">
        <f t="shared" si="1"/>
        <v>F_13_13</v>
      </c>
      <c r="D26" s="8"/>
      <c r="E26" s="142"/>
      <c r="F26" s="7" t="str">
        <f>_xlfn.XLOOKUP(E26,Tab_Def_Processes[Process_Name],Tab_Def_Processes[Process_ID],,0,)</f>
        <v>13</v>
      </c>
      <c r="G26" s="142"/>
      <c r="H26" s="10" t="str">
        <f>_xlfn.XLOOKUP(G26,Tab_Def_Processes[Process_Name],Tab_Def_Processes[Process_ID],,0,)</f>
        <v>13</v>
      </c>
      <c r="I26" s="142"/>
      <c r="J26" s="142"/>
      <c r="K26" s="142"/>
      <c r="L26" s="7" t="str">
        <f>Tab_Def_Flows[[#This Row],[Flow_ID]]&amp;"_WC"</f>
        <v>F_13_13_WC</v>
      </c>
      <c r="M26" s="137"/>
      <c r="N26" s="15"/>
      <c r="O26" s="7" t="str">
        <f>Tab_Def_Flows[[#This Row],[Flow_ID]]&amp;"_DM"</f>
        <v>F_13_13_DM</v>
      </c>
      <c r="Q26" s="15"/>
      <c r="R26" s="7" t="str">
        <f>Tab_Def_Flows[[#This Row],[Flow_ID]]&amp;"_CC"</f>
        <v>F_13_13_CC</v>
      </c>
      <c r="S26" s="137"/>
      <c r="T26" s="15"/>
      <c r="U26" s="143">
        <f>Tab_Def_Flows[[#This Row],[Flow_CC_DM'[%']]]*Tab_Def_Flows[[#This Row],[Flow_DM'[%']]]</f>
        <v>0</v>
      </c>
      <c r="V26" s="8"/>
    </row>
    <row r="27" spans="1:22" x14ac:dyDescent="0.25">
      <c r="A27" s="146" t="b">
        <v>0</v>
      </c>
      <c r="B27" s="18">
        <f t="shared" si="0"/>
        <v>26</v>
      </c>
      <c r="C27" s="7" t="str">
        <f t="shared" si="1"/>
        <v>F_13_13</v>
      </c>
      <c r="D27" s="8"/>
      <c r="E27" s="142"/>
      <c r="F27" s="7" t="str">
        <f>_xlfn.XLOOKUP(E27,Tab_Def_Processes[Process_Name],Tab_Def_Processes[Process_ID],,0,)</f>
        <v>13</v>
      </c>
      <c r="G27" s="142"/>
      <c r="H27" s="10" t="str">
        <f>_xlfn.XLOOKUP(G27,Tab_Def_Processes[Process_Name],Tab_Def_Processes[Process_ID],,0,)</f>
        <v>13</v>
      </c>
      <c r="I27" s="142"/>
      <c r="J27" s="142"/>
      <c r="K27" s="142"/>
      <c r="L27" s="7" t="str">
        <f>Tab_Def_Flows[[#This Row],[Flow_ID]]&amp;"_WC"</f>
        <v>F_13_13_WC</v>
      </c>
      <c r="M27" s="137"/>
      <c r="N27" s="15"/>
      <c r="O27" s="7" t="str">
        <f>Tab_Def_Flows[[#This Row],[Flow_ID]]&amp;"_DM"</f>
        <v>F_13_13_DM</v>
      </c>
      <c r="Q27" s="15"/>
      <c r="R27" s="7" t="str">
        <f>Tab_Def_Flows[[#This Row],[Flow_ID]]&amp;"_CC"</f>
        <v>F_13_13_CC</v>
      </c>
      <c r="S27" s="137"/>
      <c r="T27" s="15"/>
      <c r="U27" s="143">
        <f>Tab_Def_Flows[[#This Row],[Flow_CC_DM'[%']]]*Tab_Def_Flows[[#This Row],[Flow_DM'[%']]]</f>
        <v>0</v>
      </c>
      <c r="V27" s="8"/>
    </row>
    <row r="28" spans="1:22" x14ac:dyDescent="0.25">
      <c r="A28" s="146" t="b">
        <v>0</v>
      </c>
      <c r="B28" s="18">
        <f t="shared" si="0"/>
        <v>27</v>
      </c>
      <c r="C28" s="7" t="str">
        <f t="shared" si="1"/>
        <v>F_13_13</v>
      </c>
      <c r="D28" s="8"/>
      <c r="E28" s="142"/>
      <c r="F28" s="7" t="str">
        <f>_xlfn.XLOOKUP(E28,Tab_Def_Processes[Process_Name],Tab_Def_Processes[Process_ID],,0,)</f>
        <v>13</v>
      </c>
      <c r="G28" s="142"/>
      <c r="H28" s="10" t="str">
        <f>_xlfn.XLOOKUP(G28,Tab_Def_Processes[Process_Name],Tab_Def_Processes[Process_ID],,0,)</f>
        <v>13</v>
      </c>
      <c r="I28" s="142"/>
      <c r="J28" s="142"/>
      <c r="K28" s="142"/>
      <c r="L28" s="7" t="str">
        <f>Tab_Def_Flows[[#This Row],[Flow_ID]]&amp;"_WC"</f>
        <v>F_13_13_WC</v>
      </c>
      <c r="M28" s="137"/>
      <c r="N28" s="15"/>
      <c r="O28" s="7" t="str">
        <f>Tab_Def_Flows[[#This Row],[Flow_ID]]&amp;"_DM"</f>
        <v>F_13_13_DM</v>
      </c>
      <c r="Q28" s="15"/>
      <c r="R28" s="7" t="str">
        <f>Tab_Def_Flows[[#This Row],[Flow_ID]]&amp;"_CC"</f>
        <v>F_13_13_CC</v>
      </c>
      <c r="S28" s="137"/>
      <c r="T28" s="15"/>
      <c r="U28" s="143">
        <f>Tab_Def_Flows[[#This Row],[Flow_CC_DM'[%']]]*Tab_Def_Flows[[#This Row],[Flow_DM'[%']]]</f>
        <v>0</v>
      </c>
      <c r="V28" s="8"/>
    </row>
    <row r="29" spans="1:22" x14ac:dyDescent="0.25">
      <c r="A29" s="146" t="b">
        <v>0</v>
      </c>
      <c r="B29" s="18">
        <f t="shared" si="0"/>
        <v>28</v>
      </c>
      <c r="C29" s="7" t="str">
        <f t="shared" si="1"/>
        <v>F_13_13</v>
      </c>
      <c r="D29" s="8"/>
      <c r="E29" s="142"/>
      <c r="F29" s="7" t="str">
        <f>_xlfn.XLOOKUP(E29,Tab_Def_Processes[Process_Name],Tab_Def_Processes[Process_ID],,0,)</f>
        <v>13</v>
      </c>
      <c r="G29" s="142"/>
      <c r="H29" s="10" t="str">
        <f>_xlfn.XLOOKUP(G29,Tab_Def_Processes[Process_Name],Tab_Def_Processes[Process_ID],,0,)</f>
        <v>13</v>
      </c>
      <c r="I29" s="142"/>
      <c r="J29" s="142"/>
      <c r="K29" s="142"/>
      <c r="L29" s="7" t="str">
        <f>Tab_Def_Flows[[#This Row],[Flow_ID]]&amp;"_WC"</f>
        <v>F_13_13_WC</v>
      </c>
      <c r="M29" s="137"/>
      <c r="N29" s="15"/>
      <c r="O29" s="7" t="str">
        <f>Tab_Def_Flows[[#This Row],[Flow_ID]]&amp;"_DM"</f>
        <v>F_13_13_DM</v>
      </c>
      <c r="Q29" s="15"/>
      <c r="R29" s="7" t="str">
        <f>Tab_Def_Flows[[#This Row],[Flow_ID]]&amp;"_CC"</f>
        <v>F_13_13_CC</v>
      </c>
      <c r="S29" s="137"/>
      <c r="T29" s="15"/>
      <c r="U29" s="143">
        <f>Tab_Def_Flows[[#This Row],[Flow_CC_DM'[%']]]*Tab_Def_Flows[[#This Row],[Flow_DM'[%']]]</f>
        <v>0</v>
      </c>
      <c r="V29" s="8"/>
    </row>
    <row r="30" spans="1:22" x14ac:dyDescent="0.25">
      <c r="A30" s="146" t="b">
        <v>0</v>
      </c>
      <c r="B30" s="18">
        <f t="shared" si="0"/>
        <v>29</v>
      </c>
      <c r="C30" s="7" t="str">
        <f t="shared" si="1"/>
        <v>F_13_13</v>
      </c>
      <c r="D30" s="8"/>
      <c r="E30" s="142"/>
      <c r="F30" s="7" t="str">
        <f>_xlfn.XLOOKUP(E30,Tab_Def_Processes[Process_Name],Tab_Def_Processes[Process_ID],,0,)</f>
        <v>13</v>
      </c>
      <c r="G30" s="142"/>
      <c r="H30" s="10" t="str">
        <f>_xlfn.XLOOKUP(G30,Tab_Def_Processes[Process_Name],Tab_Def_Processes[Process_ID],,0,)</f>
        <v>13</v>
      </c>
      <c r="I30" s="142"/>
      <c r="J30" s="142"/>
      <c r="K30" s="142"/>
      <c r="L30" s="7" t="str">
        <f>Tab_Def_Flows[[#This Row],[Flow_ID]]&amp;"_WC"</f>
        <v>F_13_13_WC</v>
      </c>
      <c r="M30" s="137"/>
      <c r="N30" s="15"/>
      <c r="O30" s="7" t="str">
        <f>Tab_Def_Flows[[#This Row],[Flow_ID]]&amp;"_DM"</f>
        <v>F_13_13_DM</v>
      </c>
      <c r="Q30" s="15"/>
      <c r="R30" s="7" t="str">
        <f>Tab_Def_Flows[[#This Row],[Flow_ID]]&amp;"_CC"</f>
        <v>F_13_13_CC</v>
      </c>
      <c r="S30" s="137"/>
      <c r="T30" s="15"/>
      <c r="U30" s="143">
        <f>Tab_Def_Flows[[#This Row],[Flow_CC_DM'[%']]]*Tab_Def_Flows[[#This Row],[Flow_DM'[%']]]</f>
        <v>0</v>
      </c>
      <c r="V30" s="8"/>
    </row>
    <row r="31" spans="1:22" x14ac:dyDescent="0.25">
      <c r="A31" s="146" t="b">
        <v>0</v>
      </c>
      <c r="B31" s="18">
        <f t="shared" si="0"/>
        <v>30</v>
      </c>
      <c r="C31" s="7" t="str">
        <f t="shared" si="1"/>
        <v>F_13_13</v>
      </c>
      <c r="D31" s="8"/>
      <c r="E31" s="142"/>
      <c r="F31" s="7" t="str">
        <f>_xlfn.XLOOKUP(E31,Tab_Def_Processes[Process_Name],Tab_Def_Processes[Process_ID],,0,)</f>
        <v>13</v>
      </c>
      <c r="G31" s="142"/>
      <c r="H31" s="10" t="str">
        <f>_xlfn.XLOOKUP(G31,Tab_Def_Processes[Process_Name],Tab_Def_Processes[Process_ID],,0,)</f>
        <v>13</v>
      </c>
      <c r="I31" s="142"/>
      <c r="J31" s="142"/>
      <c r="K31" s="142"/>
      <c r="L31" s="7" t="str">
        <f>Tab_Def_Flows[[#This Row],[Flow_ID]]&amp;"_WC"</f>
        <v>F_13_13_WC</v>
      </c>
      <c r="M31" s="137"/>
      <c r="N31" s="15"/>
      <c r="O31" s="7" t="str">
        <f>Tab_Def_Flows[[#This Row],[Flow_ID]]&amp;"_DM"</f>
        <v>F_13_13_DM</v>
      </c>
      <c r="Q31" s="15"/>
      <c r="R31" s="7" t="str">
        <f>Tab_Def_Flows[[#This Row],[Flow_ID]]&amp;"_CC"</f>
        <v>F_13_13_CC</v>
      </c>
      <c r="S31" s="137"/>
      <c r="T31" s="15"/>
      <c r="U31" s="143">
        <f>Tab_Def_Flows[[#This Row],[Flow_CC_DM'[%']]]*Tab_Def_Flows[[#This Row],[Flow_DM'[%']]]</f>
        <v>0</v>
      </c>
      <c r="V31" s="8"/>
    </row>
    <row r="32" spans="1:22" x14ac:dyDescent="0.25">
      <c r="A32" s="146" t="b">
        <v>0</v>
      </c>
      <c r="B32" s="18">
        <f t="shared" si="0"/>
        <v>31</v>
      </c>
      <c r="C32" s="7" t="str">
        <f t="shared" si="1"/>
        <v>F_13_13</v>
      </c>
      <c r="D32" s="8"/>
      <c r="E32" s="142"/>
      <c r="F32" s="7" t="str">
        <f>_xlfn.XLOOKUP(E32,Tab_Def_Processes[Process_Name],Tab_Def_Processes[Process_ID],,0,)</f>
        <v>13</v>
      </c>
      <c r="G32" s="142"/>
      <c r="H32" s="10" t="str">
        <f>_xlfn.XLOOKUP(G32,Tab_Def_Processes[Process_Name],Tab_Def_Processes[Process_ID],,0,)</f>
        <v>13</v>
      </c>
      <c r="I32" s="142"/>
      <c r="J32" s="142"/>
      <c r="K32" s="142"/>
      <c r="L32" s="7" t="str">
        <f>Tab_Def_Flows[[#This Row],[Flow_ID]]&amp;"_WC"</f>
        <v>F_13_13_WC</v>
      </c>
      <c r="M32" s="137"/>
      <c r="N32" s="15"/>
      <c r="O32" s="7" t="str">
        <f>Tab_Def_Flows[[#This Row],[Flow_ID]]&amp;"_DM"</f>
        <v>F_13_13_DM</v>
      </c>
      <c r="Q32" s="15"/>
      <c r="R32" s="7" t="str">
        <f>Tab_Def_Flows[[#This Row],[Flow_ID]]&amp;"_CC"</f>
        <v>F_13_13_CC</v>
      </c>
      <c r="S32" s="137"/>
      <c r="T32" s="15"/>
      <c r="U32" s="143">
        <f>Tab_Def_Flows[[#This Row],[Flow_CC_DM'[%']]]*Tab_Def_Flows[[#This Row],[Flow_DM'[%']]]</f>
        <v>0</v>
      </c>
      <c r="V32" s="8"/>
    </row>
    <row r="33" spans="1:22" x14ac:dyDescent="0.25">
      <c r="A33" s="146" t="b">
        <v>0</v>
      </c>
      <c r="B33" s="18">
        <f t="shared" si="0"/>
        <v>32</v>
      </c>
      <c r="C33" s="7" t="str">
        <f t="shared" si="1"/>
        <v>F_13_13</v>
      </c>
      <c r="D33" s="8"/>
      <c r="E33" s="142"/>
      <c r="F33" s="7" t="str">
        <f>_xlfn.XLOOKUP(E33,Tab_Def_Processes[Process_Name],Tab_Def_Processes[Process_ID],,0,)</f>
        <v>13</v>
      </c>
      <c r="G33" s="142"/>
      <c r="H33" s="10" t="str">
        <f>_xlfn.XLOOKUP(G33,Tab_Def_Processes[Process_Name],Tab_Def_Processes[Process_ID],,0,)</f>
        <v>13</v>
      </c>
      <c r="I33" s="142"/>
      <c r="J33" s="142"/>
      <c r="K33" s="142"/>
      <c r="L33" s="7" t="str">
        <f>Tab_Def_Flows[[#This Row],[Flow_ID]]&amp;"_WC"</f>
        <v>F_13_13_WC</v>
      </c>
      <c r="M33" s="137"/>
      <c r="N33" s="15"/>
      <c r="O33" s="7" t="str">
        <f>Tab_Def_Flows[[#This Row],[Flow_ID]]&amp;"_DM"</f>
        <v>F_13_13_DM</v>
      </c>
      <c r="Q33" s="15"/>
      <c r="R33" s="7" t="str">
        <f>Tab_Def_Flows[[#This Row],[Flow_ID]]&amp;"_CC"</f>
        <v>F_13_13_CC</v>
      </c>
      <c r="S33" s="137"/>
      <c r="T33" s="15"/>
      <c r="U33" s="143">
        <f>Tab_Def_Flows[[#This Row],[Flow_CC_DM'[%']]]*Tab_Def_Flows[[#This Row],[Flow_DM'[%']]]</f>
        <v>0</v>
      </c>
      <c r="V33" s="8"/>
    </row>
    <row r="34" spans="1:22" x14ac:dyDescent="0.25">
      <c r="A34" s="146" t="b">
        <v>0</v>
      </c>
      <c r="B34" s="18">
        <f t="shared" si="0"/>
        <v>33</v>
      </c>
      <c r="C34" s="7" t="str">
        <f t="shared" si="1"/>
        <v>F_13_13</v>
      </c>
      <c r="D34" s="8"/>
      <c r="E34" s="142"/>
      <c r="F34" s="7" t="str">
        <f>_xlfn.XLOOKUP(E34,Tab_Def_Processes[Process_Name],Tab_Def_Processes[Process_ID],,0,)</f>
        <v>13</v>
      </c>
      <c r="G34" s="142"/>
      <c r="H34" s="10" t="str">
        <f>_xlfn.XLOOKUP(G34,Tab_Def_Processes[Process_Name],Tab_Def_Processes[Process_ID],,0,)</f>
        <v>13</v>
      </c>
      <c r="I34" s="142"/>
      <c r="J34" s="142"/>
      <c r="K34" s="142"/>
      <c r="L34" s="7" t="str">
        <f>Tab_Def_Flows[[#This Row],[Flow_ID]]&amp;"_WC"</f>
        <v>F_13_13_WC</v>
      </c>
      <c r="M34" s="137"/>
      <c r="N34" s="15"/>
      <c r="O34" s="7" t="str">
        <f>Tab_Def_Flows[[#This Row],[Flow_ID]]&amp;"_DM"</f>
        <v>F_13_13_DM</v>
      </c>
      <c r="Q34" s="15"/>
      <c r="R34" s="7" t="str">
        <f>Tab_Def_Flows[[#This Row],[Flow_ID]]&amp;"_CC"</f>
        <v>F_13_13_CC</v>
      </c>
      <c r="S34" s="137"/>
      <c r="T34" s="15"/>
      <c r="U34" s="143">
        <f>Tab_Def_Flows[[#This Row],[Flow_CC_DM'[%']]]*Tab_Def_Flows[[#This Row],[Flow_DM'[%']]]</f>
        <v>0</v>
      </c>
      <c r="V34" s="8"/>
    </row>
    <row r="35" spans="1:22" x14ac:dyDescent="0.25">
      <c r="A35" s="146" t="b">
        <v>0</v>
      </c>
      <c r="B35" s="18">
        <f t="shared" si="0"/>
        <v>34</v>
      </c>
      <c r="C35" s="7" t="str">
        <f t="shared" si="1"/>
        <v>F_13_13</v>
      </c>
      <c r="D35" s="8"/>
      <c r="E35" s="142"/>
      <c r="F35" s="7" t="str">
        <f>_xlfn.XLOOKUP(E35,Tab_Def_Processes[Process_Name],Tab_Def_Processes[Process_ID],,0,)</f>
        <v>13</v>
      </c>
      <c r="G35" s="142"/>
      <c r="H35" s="10" t="str">
        <f>_xlfn.XLOOKUP(G35,Tab_Def_Processes[Process_Name],Tab_Def_Processes[Process_ID],,0,)</f>
        <v>13</v>
      </c>
      <c r="I35" s="142"/>
      <c r="J35" s="142"/>
      <c r="K35" s="142"/>
      <c r="L35" s="7" t="str">
        <f>Tab_Def_Flows[[#This Row],[Flow_ID]]&amp;"_WC"</f>
        <v>F_13_13_WC</v>
      </c>
      <c r="M35" s="137"/>
      <c r="N35" s="15"/>
      <c r="O35" s="7" t="str">
        <f>Tab_Def_Flows[[#This Row],[Flow_ID]]&amp;"_DM"</f>
        <v>F_13_13_DM</v>
      </c>
      <c r="Q35" s="15"/>
      <c r="R35" s="7" t="str">
        <f>Tab_Def_Flows[[#This Row],[Flow_ID]]&amp;"_CC"</f>
        <v>F_13_13_CC</v>
      </c>
      <c r="S35" s="137"/>
      <c r="T35" s="15"/>
      <c r="U35" s="143">
        <f>Tab_Def_Flows[[#This Row],[Flow_CC_DM'[%']]]*Tab_Def_Flows[[#This Row],[Flow_DM'[%']]]</f>
        <v>0</v>
      </c>
      <c r="V35" s="8"/>
    </row>
    <row r="36" spans="1:22" ht="15.75" customHeight="1" x14ac:dyDescent="0.25">
      <c r="A36" s="146" t="b">
        <v>0</v>
      </c>
      <c r="B36" s="18">
        <f t="shared" si="0"/>
        <v>35</v>
      </c>
      <c r="C36" s="7" t="str">
        <f t="shared" si="1"/>
        <v>F_13_13</v>
      </c>
      <c r="D36" s="8"/>
      <c r="E36" s="142"/>
      <c r="F36" s="7" t="str">
        <f>_xlfn.XLOOKUP(E36,Tab_Def_Processes[Process_Name],Tab_Def_Processes[Process_ID],,0,)</f>
        <v>13</v>
      </c>
      <c r="G36" s="142"/>
      <c r="H36" s="10" t="str">
        <f>_xlfn.XLOOKUP(G36,Tab_Def_Processes[Process_Name],Tab_Def_Processes[Process_ID],,0,)</f>
        <v>13</v>
      </c>
      <c r="I36" s="142"/>
      <c r="J36" s="142"/>
      <c r="K36" s="142"/>
      <c r="L36" s="7" t="str">
        <f>Tab_Def_Flows[[#This Row],[Flow_ID]]&amp;"_WC"</f>
        <v>F_13_13_WC</v>
      </c>
      <c r="M36" s="137"/>
      <c r="N36" s="15"/>
      <c r="O36" s="7" t="str">
        <f>Tab_Def_Flows[[#This Row],[Flow_ID]]&amp;"_DM"</f>
        <v>F_13_13_DM</v>
      </c>
      <c r="Q36" s="15"/>
      <c r="R36" s="7" t="str">
        <f>Tab_Def_Flows[[#This Row],[Flow_ID]]&amp;"_CC"</f>
        <v>F_13_13_CC</v>
      </c>
      <c r="S36" s="137"/>
      <c r="T36" s="15"/>
      <c r="U36" s="143">
        <f>Tab_Def_Flows[[#This Row],[Flow_CC_DM'[%']]]*Tab_Def_Flows[[#This Row],[Flow_DM'[%']]]</f>
        <v>0</v>
      </c>
      <c r="V36" s="8"/>
    </row>
    <row r="37" spans="1:22" x14ac:dyDescent="0.25">
      <c r="A37" s="146" t="b">
        <v>0</v>
      </c>
      <c r="B37" s="18">
        <f t="shared" si="0"/>
        <v>36</v>
      </c>
      <c r="C37" s="7" t="str">
        <f t="shared" si="1"/>
        <v>F_13_13</v>
      </c>
      <c r="D37" s="8"/>
      <c r="E37" s="142"/>
      <c r="F37" s="7" t="str">
        <f>_xlfn.XLOOKUP(E37,Tab_Def_Processes[Process_Name],Tab_Def_Processes[Process_ID],,0,)</f>
        <v>13</v>
      </c>
      <c r="G37" s="142"/>
      <c r="H37" s="10" t="str">
        <f>_xlfn.XLOOKUP(G37,Tab_Def_Processes[Process_Name],Tab_Def_Processes[Process_ID],,0,)</f>
        <v>13</v>
      </c>
      <c r="I37" s="142"/>
      <c r="J37" s="142"/>
      <c r="K37" s="142"/>
      <c r="L37" s="7" t="str">
        <f>Tab_Def_Flows[[#This Row],[Flow_ID]]&amp;"_WC"</f>
        <v>F_13_13_WC</v>
      </c>
      <c r="M37" s="137"/>
      <c r="N37" s="15"/>
      <c r="O37" s="7" t="str">
        <f>Tab_Def_Flows[[#This Row],[Flow_ID]]&amp;"_DM"</f>
        <v>F_13_13_DM</v>
      </c>
      <c r="Q37" s="15"/>
      <c r="R37" s="7" t="str">
        <f>Tab_Def_Flows[[#This Row],[Flow_ID]]&amp;"_CC"</f>
        <v>F_13_13_CC</v>
      </c>
      <c r="S37" s="137"/>
      <c r="T37" s="15"/>
      <c r="U37" s="143">
        <f>Tab_Def_Flows[[#This Row],[Flow_CC_DM'[%']]]*Tab_Def_Flows[[#This Row],[Flow_DM'[%']]]</f>
        <v>0</v>
      </c>
      <c r="V37" s="8"/>
    </row>
    <row r="38" spans="1:22" x14ac:dyDescent="0.25">
      <c r="A38" s="146" t="b">
        <v>0</v>
      </c>
      <c r="B38" s="18">
        <f t="shared" si="0"/>
        <v>37</v>
      </c>
      <c r="C38" s="7" t="str">
        <f t="shared" si="1"/>
        <v>F_13_13</v>
      </c>
      <c r="D38" s="8"/>
      <c r="E38" s="142"/>
      <c r="F38" s="7" t="str">
        <f>_xlfn.XLOOKUP(E38,Tab_Def_Processes[Process_Name],Tab_Def_Processes[Process_ID],,0,)</f>
        <v>13</v>
      </c>
      <c r="G38" s="142"/>
      <c r="H38" s="10" t="str">
        <f>_xlfn.XLOOKUP(G38,Tab_Def_Processes[Process_Name],Tab_Def_Processes[Process_ID],,0,)</f>
        <v>13</v>
      </c>
      <c r="I38" s="142"/>
      <c r="J38" s="142"/>
      <c r="K38" s="142"/>
      <c r="L38" s="7" t="str">
        <f>Tab_Def_Flows[[#This Row],[Flow_ID]]&amp;"_WC"</f>
        <v>F_13_13_WC</v>
      </c>
      <c r="M38" s="137"/>
      <c r="N38" s="15"/>
      <c r="O38" s="7" t="str">
        <f>Tab_Def_Flows[[#This Row],[Flow_ID]]&amp;"_DM"</f>
        <v>F_13_13_DM</v>
      </c>
      <c r="Q38" s="15"/>
      <c r="R38" s="7" t="str">
        <f>Tab_Def_Flows[[#This Row],[Flow_ID]]&amp;"_CC"</f>
        <v>F_13_13_CC</v>
      </c>
      <c r="S38" s="137"/>
      <c r="T38" s="15"/>
      <c r="U38" s="143">
        <f>Tab_Def_Flows[[#This Row],[Flow_CC_DM'[%']]]*Tab_Def_Flows[[#This Row],[Flow_DM'[%']]]</f>
        <v>0</v>
      </c>
      <c r="V38" s="8"/>
    </row>
    <row r="39" spans="1:22" x14ac:dyDescent="0.25">
      <c r="A39" s="146" t="b">
        <v>0</v>
      </c>
      <c r="B39" s="18">
        <f t="shared" si="0"/>
        <v>38</v>
      </c>
      <c r="C39" s="7" t="str">
        <f t="shared" si="1"/>
        <v>F_13_13</v>
      </c>
      <c r="D39" s="8"/>
      <c r="E39" s="142"/>
      <c r="F39" s="7" t="str">
        <f>_xlfn.XLOOKUP(E39,Tab_Def_Processes[Process_Name],Tab_Def_Processes[Process_ID],,0,)</f>
        <v>13</v>
      </c>
      <c r="G39" s="142"/>
      <c r="H39" s="10" t="str">
        <f>_xlfn.XLOOKUP(G39,Tab_Def_Processes[Process_Name],Tab_Def_Processes[Process_ID],,0,)</f>
        <v>13</v>
      </c>
      <c r="I39" s="142"/>
      <c r="J39" s="142"/>
      <c r="K39" s="142"/>
      <c r="L39" s="7" t="str">
        <f>Tab_Def_Flows[[#This Row],[Flow_ID]]&amp;"_WC"</f>
        <v>F_13_13_WC</v>
      </c>
      <c r="M39" s="137"/>
      <c r="N39" s="15"/>
      <c r="O39" s="7" t="str">
        <f>Tab_Def_Flows[[#This Row],[Flow_ID]]&amp;"_DM"</f>
        <v>F_13_13_DM</v>
      </c>
      <c r="Q39" s="15"/>
      <c r="R39" s="7" t="str">
        <f>Tab_Def_Flows[[#This Row],[Flow_ID]]&amp;"_CC"</f>
        <v>F_13_13_CC</v>
      </c>
      <c r="S39" s="137"/>
      <c r="T39" s="15"/>
      <c r="U39" s="143">
        <f>Tab_Def_Flows[[#This Row],[Flow_CC_DM'[%']]]*Tab_Def_Flows[[#This Row],[Flow_DM'[%']]]</f>
        <v>0</v>
      </c>
      <c r="V39" s="8"/>
    </row>
    <row r="40" spans="1:22" x14ac:dyDescent="0.25">
      <c r="A40" s="146" t="b">
        <v>0</v>
      </c>
      <c r="B40" s="18">
        <f t="shared" si="0"/>
        <v>39</v>
      </c>
      <c r="C40" s="7" t="str">
        <f t="shared" si="1"/>
        <v>F_13_13</v>
      </c>
      <c r="D40" s="8"/>
      <c r="E40" s="142"/>
      <c r="F40" s="7" t="str">
        <f>_xlfn.XLOOKUP(E40,Tab_Def_Processes[Process_Name],Tab_Def_Processes[Process_ID],,0,)</f>
        <v>13</v>
      </c>
      <c r="G40" s="142"/>
      <c r="H40" s="10" t="str">
        <f>_xlfn.XLOOKUP(G40,Tab_Def_Processes[Process_Name],Tab_Def_Processes[Process_ID],,0,)</f>
        <v>13</v>
      </c>
      <c r="I40" s="142"/>
      <c r="J40" s="142"/>
      <c r="K40" s="142"/>
      <c r="L40" s="7" t="str">
        <f>Tab_Def_Flows[[#This Row],[Flow_ID]]&amp;"_WC"</f>
        <v>F_13_13_WC</v>
      </c>
      <c r="M40" s="137"/>
      <c r="N40" s="15"/>
      <c r="O40" s="7" t="str">
        <f>Tab_Def_Flows[[#This Row],[Flow_ID]]&amp;"_DM"</f>
        <v>F_13_13_DM</v>
      </c>
      <c r="Q40" s="15"/>
      <c r="R40" s="7" t="str">
        <f>Tab_Def_Flows[[#This Row],[Flow_ID]]&amp;"_CC"</f>
        <v>F_13_13_CC</v>
      </c>
      <c r="S40" s="137"/>
      <c r="T40" s="15"/>
      <c r="U40" s="143">
        <f>Tab_Def_Flows[[#This Row],[Flow_CC_DM'[%']]]*Tab_Def_Flows[[#This Row],[Flow_DM'[%']]]</f>
        <v>0</v>
      </c>
      <c r="V40" s="8"/>
    </row>
    <row r="41" spans="1:22" x14ac:dyDescent="0.25">
      <c r="A41" s="146" t="b">
        <v>0</v>
      </c>
      <c r="B41" s="18">
        <f t="shared" si="0"/>
        <v>40</v>
      </c>
      <c r="C41" s="7" t="str">
        <f t="shared" si="1"/>
        <v>F_13_13</v>
      </c>
      <c r="D41" s="8"/>
      <c r="E41" s="142"/>
      <c r="F41" s="7" t="str">
        <f>_xlfn.XLOOKUP(E41,Tab_Def_Processes[Process_Name],Tab_Def_Processes[Process_ID],,0,)</f>
        <v>13</v>
      </c>
      <c r="G41" s="142"/>
      <c r="H41" s="10" t="str">
        <f>_xlfn.XLOOKUP(G41,Tab_Def_Processes[Process_Name],Tab_Def_Processes[Process_ID],,0,)</f>
        <v>13</v>
      </c>
      <c r="I41" s="142"/>
      <c r="J41" s="142"/>
      <c r="K41" s="142"/>
      <c r="L41" s="7" t="str">
        <f>Tab_Def_Flows[[#This Row],[Flow_ID]]&amp;"_WC"</f>
        <v>F_13_13_WC</v>
      </c>
      <c r="M41" s="137"/>
      <c r="N41" s="15"/>
      <c r="O41" s="7" t="str">
        <f>Tab_Def_Flows[[#This Row],[Flow_ID]]&amp;"_DM"</f>
        <v>F_13_13_DM</v>
      </c>
      <c r="Q41" s="15"/>
      <c r="R41" s="7" t="str">
        <f>Tab_Def_Flows[[#This Row],[Flow_ID]]&amp;"_CC"</f>
        <v>F_13_13_CC</v>
      </c>
      <c r="S41" s="137"/>
      <c r="T41" s="15"/>
      <c r="U41" s="143">
        <f>Tab_Def_Flows[[#This Row],[Flow_CC_DM'[%']]]*Tab_Def_Flows[[#This Row],[Flow_DM'[%']]]</f>
        <v>0</v>
      </c>
      <c r="V41" s="8"/>
    </row>
    <row r="42" spans="1:22" x14ac:dyDescent="0.25">
      <c r="A42" s="146" t="b">
        <v>0</v>
      </c>
      <c r="B42" s="18">
        <f t="shared" si="0"/>
        <v>41</v>
      </c>
      <c r="C42" s="7" t="str">
        <f t="shared" si="1"/>
        <v>F_13_13</v>
      </c>
      <c r="D42" s="8"/>
      <c r="E42" s="142"/>
      <c r="F42" s="7" t="str">
        <f>_xlfn.XLOOKUP(E42,Tab_Def_Processes[Process_Name],Tab_Def_Processes[Process_ID],,0,)</f>
        <v>13</v>
      </c>
      <c r="G42" s="142"/>
      <c r="H42" s="10" t="str">
        <f>_xlfn.XLOOKUP(G42,Tab_Def_Processes[Process_Name],Tab_Def_Processes[Process_ID],,0,)</f>
        <v>13</v>
      </c>
      <c r="I42" s="142"/>
      <c r="J42" s="142"/>
      <c r="K42" s="142"/>
      <c r="L42" s="7" t="str">
        <f>Tab_Def_Flows[[#This Row],[Flow_ID]]&amp;"_WC"</f>
        <v>F_13_13_WC</v>
      </c>
      <c r="M42" s="137"/>
      <c r="N42" s="15"/>
      <c r="O42" s="7" t="str">
        <f>Tab_Def_Flows[[#This Row],[Flow_ID]]&amp;"_DM"</f>
        <v>F_13_13_DM</v>
      </c>
      <c r="Q42" s="15"/>
      <c r="R42" s="7" t="str">
        <f>Tab_Def_Flows[[#This Row],[Flow_ID]]&amp;"_CC"</f>
        <v>F_13_13_CC</v>
      </c>
      <c r="S42" s="137"/>
      <c r="T42" s="15"/>
      <c r="U42" s="143">
        <f>Tab_Def_Flows[[#This Row],[Flow_CC_DM'[%']]]*Tab_Def_Flows[[#This Row],[Flow_DM'[%']]]</f>
        <v>0</v>
      </c>
      <c r="V42" s="8"/>
    </row>
    <row r="43" spans="1:22" x14ac:dyDescent="0.25">
      <c r="A43" s="146" t="b">
        <v>0</v>
      </c>
      <c r="B43" s="18">
        <f t="shared" si="0"/>
        <v>42</v>
      </c>
      <c r="C43" s="7" t="str">
        <f t="shared" si="1"/>
        <v>F_13_13</v>
      </c>
      <c r="D43" s="8"/>
      <c r="E43" s="142"/>
      <c r="F43" s="7" t="str">
        <f>_xlfn.XLOOKUP(E43,Tab_Def_Processes[Process_Name],Tab_Def_Processes[Process_ID],,0,)</f>
        <v>13</v>
      </c>
      <c r="G43" s="142"/>
      <c r="H43" s="10" t="str">
        <f>_xlfn.XLOOKUP(G43,Tab_Def_Processes[Process_Name],Tab_Def_Processes[Process_ID],,0,)</f>
        <v>13</v>
      </c>
      <c r="I43" s="142"/>
      <c r="J43" s="142"/>
      <c r="K43" s="142"/>
      <c r="L43" s="7" t="str">
        <f>Tab_Def_Flows[[#This Row],[Flow_ID]]&amp;"_WC"</f>
        <v>F_13_13_WC</v>
      </c>
      <c r="M43" s="137"/>
      <c r="N43" s="15"/>
      <c r="O43" s="7" t="str">
        <f>Tab_Def_Flows[[#This Row],[Flow_ID]]&amp;"_DM"</f>
        <v>F_13_13_DM</v>
      </c>
      <c r="Q43" s="15"/>
      <c r="R43" s="7" t="str">
        <f>Tab_Def_Flows[[#This Row],[Flow_ID]]&amp;"_CC"</f>
        <v>F_13_13_CC</v>
      </c>
      <c r="S43" s="137"/>
      <c r="T43" s="15"/>
      <c r="U43" s="143">
        <f>Tab_Def_Flows[[#This Row],[Flow_CC_DM'[%']]]*Tab_Def_Flows[[#This Row],[Flow_DM'[%']]]</f>
        <v>0</v>
      </c>
      <c r="V43" s="8"/>
    </row>
    <row r="44" spans="1:22" x14ac:dyDescent="0.25">
      <c r="A44" s="146" t="b">
        <v>0</v>
      </c>
      <c r="B44" s="18">
        <f t="shared" si="0"/>
        <v>43</v>
      </c>
      <c r="C44" s="7" t="str">
        <f t="shared" si="1"/>
        <v>F_13_13</v>
      </c>
      <c r="D44" s="8"/>
      <c r="E44" s="142"/>
      <c r="F44" s="7" t="str">
        <f>_xlfn.XLOOKUP(E44,Tab_Def_Processes[Process_Name],Tab_Def_Processes[Process_ID],,0,)</f>
        <v>13</v>
      </c>
      <c r="G44" s="142"/>
      <c r="H44" s="10" t="str">
        <f>_xlfn.XLOOKUP(G44,Tab_Def_Processes[Process_Name],Tab_Def_Processes[Process_ID],,0,)</f>
        <v>13</v>
      </c>
      <c r="I44" s="142"/>
      <c r="J44" s="142"/>
      <c r="K44" s="142"/>
      <c r="L44" s="7" t="str">
        <f>Tab_Def_Flows[[#This Row],[Flow_ID]]&amp;"_WC"</f>
        <v>F_13_13_WC</v>
      </c>
      <c r="M44" s="137"/>
      <c r="N44" s="15"/>
      <c r="O44" s="7" t="str">
        <f>Tab_Def_Flows[[#This Row],[Flow_ID]]&amp;"_DM"</f>
        <v>F_13_13_DM</v>
      </c>
      <c r="Q44" s="15"/>
      <c r="R44" s="7" t="str">
        <f>Tab_Def_Flows[[#This Row],[Flow_ID]]&amp;"_CC"</f>
        <v>F_13_13_CC</v>
      </c>
      <c r="S44" s="137"/>
      <c r="T44" s="15"/>
      <c r="U44" s="143">
        <f>Tab_Def_Flows[[#This Row],[Flow_CC_DM'[%']]]*Tab_Def_Flows[[#This Row],[Flow_DM'[%']]]</f>
        <v>0</v>
      </c>
      <c r="V44" s="8"/>
    </row>
    <row r="45" spans="1:22" ht="15" customHeight="1" x14ac:dyDescent="0.25">
      <c r="A45" s="146" t="b">
        <v>0</v>
      </c>
      <c r="B45" s="18">
        <f t="shared" si="0"/>
        <v>44</v>
      </c>
      <c r="C45" s="7" t="str">
        <f t="shared" si="1"/>
        <v>F_13_13</v>
      </c>
      <c r="D45" s="8"/>
      <c r="E45" s="142"/>
      <c r="F45" s="7" t="str">
        <f>_xlfn.XLOOKUP(E45,Tab_Def_Processes[Process_Name],Tab_Def_Processes[Process_ID],,0,)</f>
        <v>13</v>
      </c>
      <c r="G45" s="142"/>
      <c r="H45" s="10" t="str">
        <f>_xlfn.XLOOKUP(G45,Tab_Def_Processes[Process_Name],Tab_Def_Processes[Process_ID],,0,)</f>
        <v>13</v>
      </c>
      <c r="I45" s="142"/>
      <c r="J45" s="142"/>
      <c r="K45" s="142"/>
      <c r="L45" s="7" t="str">
        <f>Tab_Def_Flows[[#This Row],[Flow_ID]]&amp;"_WC"</f>
        <v>F_13_13_WC</v>
      </c>
      <c r="M45" s="137"/>
      <c r="N45" s="15"/>
      <c r="O45" s="7" t="str">
        <f>Tab_Def_Flows[[#This Row],[Flow_ID]]&amp;"_DM"</f>
        <v>F_13_13_DM</v>
      </c>
      <c r="Q45" s="15"/>
      <c r="R45" s="7" t="str">
        <f>Tab_Def_Flows[[#This Row],[Flow_ID]]&amp;"_CC"</f>
        <v>F_13_13_CC</v>
      </c>
      <c r="S45" s="137"/>
      <c r="T45" s="15"/>
      <c r="U45" s="143">
        <f>Tab_Def_Flows[[#This Row],[Flow_CC_DM'[%']]]*Tab_Def_Flows[[#This Row],[Flow_DM'[%']]]</f>
        <v>0</v>
      </c>
      <c r="V45" s="8"/>
    </row>
    <row r="46" spans="1:22" ht="15" customHeight="1" x14ac:dyDescent="0.25">
      <c r="A46" s="146" t="b">
        <v>0</v>
      </c>
      <c r="B46" s="18">
        <f t="shared" si="0"/>
        <v>45</v>
      </c>
      <c r="C46" s="7" t="str">
        <f t="shared" si="1"/>
        <v>F_13_13</v>
      </c>
      <c r="D46" s="8"/>
      <c r="E46" s="142"/>
      <c r="F46" s="7" t="str">
        <f>_xlfn.XLOOKUP(E46,Tab_Def_Processes[Process_Name],Tab_Def_Processes[Process_ID],,0,)</f>
        <v>13</v>
      </c>
      <c r="G46" s="142"/>
      <c r="H46" s="10" t="str">
        <f>_xlfn.XLOOKUP(G46,Tab_Def_Processes[Process_Name],Tab_Def_Processes[Process_ID],,0,)</f>
        <v>13</v>
      </c>
      <c r="I46" s="142"/>
      <c r="J46" s="142"/>
      <c r="K46" s="142"/>
      <c r="L46" s="7" t="str">
        <f>Tab_Def_Flows[[#This Row],[Flow_ID]]&amp;"_WC"</f>
        <v>F_13_13_WC</v>
      </c>
      <c r="M46" s="137"/>
      <c r="N46" s="15"/>
      <c r="O46" s="7" t="str">
        <f>Tab_Def_Flows[[#This Row],[Flow_ID]]&amp;"_DM"</f>
        <v>F_13_13_DM</v>
      </c>
      <c r="Q46" s="15"/>
      <c r="R46" s="7" t="str">
        <f>Tab_Def_Flows[[#This Row],[Flow_ID]]&amp;"_CC"</f>
        <v>F_13_13_CC</v>
      </c>
      <c r="S46" s="137"/>
      <c r="T46" s="15"/>
      <c r="U46" s="143">
        <f>Tab_Def_Flows[[#This Row],[Flow_CC_DM'[%']]]*Tab_Def_Flows[[#This Row],[Flow_DM'[%']]]</f>
        <v>0</v>
      </c>
      <c r="V46" s="8"/>
    </row>
    <row r="47" spans="1:22" ht="15" customHeight="1" x14ac:dyDescent="0.25">
      <c r="A47" s="146" t="b">
        <v>0</v>
      </c>
      <c r="B47" s="18">
        <f t="shared" si="0"/>
        <v>46</v>
      </c>
      <c r="C47" s="7" t="str">
        <f t="shared" si="1"/>
        <v>F_13_13</v>
      </c>
      <c r="D47" s="8"/>
      <c r="E47" s="142"/>
      <c r="F47" s="7" t="str">
        <f>_xlfn.XLOOKUP(E47,Tab_Def_Processes[Process_Name],Tab_Def_Processes[Process_ID],,0,)</f>
        <v>13</v>
      </c>
      <c r="G47" s="142"/>
      <c r="H47" s="10" t="str">
        <f>_xlfn.XLOOKUP(G47,Tab_Def_Processes[Process_Name],Tab_Def_Processes[Process_ID],,0,)</f>
        <v>13</v>
      </c>
      <c r="I47" s="142"/>
      <c r="J47" s="142"/>
      <c r="K47" s="142"/>
      <c r="L47" s="7" t="str">
        <f>Tab_Def_Flows[[#This Row],[Flow_ID]]&amp;"_WC"</f>
        <v>F_13_13_WC</v>
      </c>
      <c r="M47" s="137"/>
      <c r="N47" s="15"/>
      <c r="O47" s="7" t="str">
        <f>Tab_Def_Flows[[#This Row],[Flow_ID]]&amp;"_DM"</f>
        <v>F_13_13_DM</v>
      </c>
      <c r="Q47" s="15"/>
      <c r="R47" s="7" t="str">
        <f>Tab_Def_Flows[[#This Row],[Flow_ID]]&amp;"_CC"</f>
        <v>F_13_13_CC</v>
      </c>
      <c r="S47" s="137"/>
      <c r="T47" s="15"/>
      <c r="U47" s="143">
        <f>Tab_Def_Flows[[#This Row],[Flow_CC_DM'[%']]]*Tab_Def_Flows[[#This Row],[Flow_DM'[%']]]</f>
        <v>0</v>
      </c>
      <c r="V47" s="8"/>
    </row>
    <row r="48" spans="1:22" ht="15" customHeight="1" x14ac:dyDescent="0.25">
      <c r="A48" s="146" t="b">
        <v>0</v>
      </c>
      <c r="B48" s="18">
        <f t="shared" si="0"/>
        <v>47</v>
      </c>
      <c r="C48" s="7" t="str">
        <f t="shared" si="1"/>
        <v>F_13_13</v>
      </c>
      <c r="D48" s="8"/>
      <c r="E48" s="142"/>
      <c r="F48" s="7" t="str">
        <f>_xlfn.XLOOKUP(E48,Tab_Def_Processes[Process_Name],Tab_Def_Processes[Process_ID],,0,)</f>
        <v>13</v>
      </c>
      <c r="G48" s="142"/>
      <c r="H48" s="10" t="str">
        <f>_xlfn.XLOOKUP(G48,Tab_Def_Processes[Process_Name],Tab_Def_Processes[Process_ID],,0,)</f>
        <v>13</v>
      </c>
      <c r="I48" s="142"/>
      <c r="J48" s="142"/>
      <c r="K48" s="142"/>
      <c r="L48" s="7" t="str">
        <f>Tab_Def_Flows[[#This Row],[Flow_ID]]&amp;"_WC"</f>
        <v>F_13_13_WC</v>
      </c>
      <c r="M48" s="137"/>
      <c r="N48" s="15"/>
      <c r="O48" s="7" t="str">
        <f>Tab_Def_Flows[[#This Row],[Flow_ID]]&amp;"_DM"</f>
        <v>F_13_13_DM</v>
      </c>
      <c r="Q48" s="15"/>
      <c r="R48" s="7" t="str">
        <f>Tab_Def_Flows[[#This Row],[Flow_ID]]&amp;"_CC"</f>
        <v>F_13_13_CC</v>
      </c>
      <c r="S48" s="137"/>
      <c r="T48" s="15"/>
      <c r="U48" s="143">
        <f>Tab_Def_Flows[[#This Row],[Flow_CC_DM'[%']]]*Tab_Def_Flows[[#This Row],[Flow_DM'[%']]]</f>
        <v>0</v>
      </c>
      <c r="V48" s="8"/>
    </row>
    <row r="49" spans="1:22" ht="15" customHeight="1" x14ac:dyDescent="0.25">
      <c r="A49" s="146" t="b">
        <v>0</v>
      </c>
      <c r="B49" s="18">
        <f t="shared" si="0"/>
        <v>48</v>
      </c>
      <c r="C49" s="7" t="str">
        <f t="shared" si="1"/>
        <v>F_13_13</v>
      </c>
      <c r="D49" s="8"/>
      <c r="E49" s="142"/>
      <c r="F49" s="7" t="str">
        <f>_xlfn.XLOOKUP(E49,Tab_Def_Processes[Process_Name],Tab_Def_Processes[Process_ID],,0,)</f>
        <v>13</v>
      </c>
      <c r="G49" s="142"/>
      <c r="H49" s="10" t="str">
        <f>_xlfn.XLOOKUP(G49,Tab_Def_Processes[Process_Name],Tab_Def_Processes[Process_ID],,0,)</f>
        <v>13</v>
      </c>
      <c r="I49" s="142"/>
      <c r="J49" s="142"/>
      <c r="K49" s="142"/>
      <c r="L49" s="7" t="str">
        <f>Tab_Def_Flows[[#This Row],[Flow_ID]]&amp;"_WC"</f>
        <v>F_13_13_WC</v>
      </c>
      <c r="M49" s="137"/>
      <c r="N49" s="15"/>
      <c r="O49" s="7" t="str">
        <f>Tab_Def_Flows[[#This Row],[Flow_ID]]&amp;"_DM"</f>
        <v>F_13_13_DM</v>
      </c>
      <c r="Q49" s="15"/>
      <c r="R49" s="7" t="str">
        <f>Tab_Def_Flows[[#This Row],[Flow_ID]]&amp;"_CC"</f>
        <v>F_13_13_CC</v>
      </c>
      <c r="S49" s="137"/>
      <c r="T49" s="15"/>
      <c r="U49" s="143">
        <f>Tab_Def_Flows[[#This Row],[Flow_CC_DM'[%']]]*Tab_Def_Flows[[#This Row],[Flow_DM'[%']]]</f>
        <v>0</v>
      </c>
      <c r="V49" s="8"/>
    </row>
    <row r="50" spans="1:22" ht="15" customHeight="1" x14ac:dyDescent="0.25">
      <c r="A50" s="146" t="b">
        <v>0</v>
      </c>
      <c r="B50" s="18">
        <f t="shared" si="0"/>
        <v>49</v>
      </c>
      <c r="C50" s="7" t="str">
        <f t="shared" si="1"/>
        <v>F_13_13</v>
      </c>
      <c r="D50" s="8"/>
      <c r="E50" s="142"/>
      <c r="F50" s="7" t="str">
        <f>_xlfn.XLOOKUP(E50,Tab_Def_Processes[Process_Name],Tab_Def_Processes[Process_ID],,0,)</f>
        <v>13</v>
      </c>
      <c r="G50" s="142"/>
      <c r="H50" s="10" t="str">
        <f>_xlfn.XLOOKUP(G50,Tab_Def_Processes[Process_Name],Tab_Def_Processes[Process_ID],,0,)</f>
        <v>13</v>
      </c>
      <c r="I50" s="142"/>
      <c r="J50" s="142"/>
      <c r="K50" s="142"/>
      <c r="L50" s="7" t="str">
        <f>Tab_Def_Flows[[#This Row],[Flow_ID]]&amp;"_WC"</f>
        <v>F_13_13_WC</v>
      </c>
      <c r="M50" s="137"/>
      <c r="N50" s="15"/>
      <c r="O50" s="7" t="str">
        <f>Tab_Def_Flows[[#This Row],[Flow_ID]]&amp;"_DM"</f>
        <v>F_13_13_DM</v>
      </c>
      <c r="Q50" s="15"/>
      <c r="R50" s="7" t="str">
        <f>Tab_Def_Flows[[#This Row],[Flow_ID]]&amp;"_CC"</f>
        <v>F_13_13_CC</v>
      </c>
      <c r="S50" s="137"/>
      <c r="T50" s="15"/>
      <c r="U50" s="143">
        <f>Tab_Def_Flows[[#This Row],[Flow_CC_DM'[%']]]*Tab_Def_Flows[[#This Row],[Flow_DM'[%']]]</f>
        <v>0</v>
      </c>
      <c r="V50" s="8"/>
    </row>
    <row r="51" spans="1:22" ht="15" customHeight="1" x14ac:dyDescent="0.25">
      <c r="A51" s="146" t="b">
        <v>0</v>
      </c>
      <c r="B51" s="18">
        <f t="shared" si="0"/>
        <v>50</v>
      </c>
      <c r="C51" s="7" t="str">
        <f t="shared" si="1"/>
        <v>F_13_13</v>
      </c>
      <c r="D51" s="8"/>
      <c r="E51" s="142"/>
      <c r="F51" s="7" t="str">
        <f>_xlfn.XLOOKUP(E51,Tab_Def_Processes[Process_Name],Tab_Def_Processes[Process_ID],,0,)</f>
        <v>13</v>
      </c>
      <c r="G51" s="142"/>
      <c r="H51" s="10" t="str">
        <f>_xlfn.XLOOKUP(G51,Tab_Def_Processes[Process_Name],Tab_Def_Processes[Process_ID],,0,)</f>
        <v>13</v>
      </c>
      <c r="I51" s="142"/>
      <c r="J51" s="142"/>
      <c r="K51" s="142"/>
      <c r="L51" s="7" t="str">
        <f>Tab_Def_Flows[[#This Row],[Flow_ID]]&amp;"_WC"</f>
        <v>F_13_13_WC</v>
      </c>
      <c r="M51" s="137"/>
      <c r="N51" s="15"/>
      <c r="O51" s="7" t="str">
        <f>Tab_Def_Flows[[#This Row],[Flow_ID]]&amp;"_DM"</f>
        <v>F_13_13_DM</v>
      </c>
      <c r="Q51" s="15"/>
      <c r="R51" s="7" t="str">
        <f>Tab_Def_Flows[[#This Row],[Flow_ID]]&amp;"_CC"</f>
        <v>F_13_13_CC</v>
      </c>
      <c r="S51" s="137"/>
      <c r="T51" s="15"/>
      <c r="U51" s="143">
        <f>Tab_Def_Flows[[#This Row],[Flow_CC_DM'[%']]]*Tab_Def_Flows[[#This Row],[Flow_DM'[%']]]</f>
        <v>0</v>
      </c>
      <c r="V51" s="8"/>
    </row>
    <row r="52" spans="1:22" ht="15" customHeight="1" x14ac:dyDescent="0.25">
      <c r="A52" s="146" t="b">
        <v>0</v>
      </c>
      <c r="B52" s="18">
        <f t="shared" si="0"/>
        <v>51</v>
      </c>
      <c r="C52" s="7" t="str">
        <f t="shared" si="1"/>
        <v>F_13_13</v>
      </c>
      <c r="D52" s="8"/>
      <c r="E52" s="142"/>
      <c r="F52" s="7" t="str">
        <f>_xlfn.XLOOKUP(E52,Tab_Def_Processes[Process_Name],Tab_Def_Processes[Process_ID],,0,)</f>
        <v>13</v>
      </c>
      <c r="G52" s="142"/>
      <c r="H52" s="10" t="str">
        <f>_xlfn.XLOOKUP(G52,Tab_Def_Processes[Process_Name],Tab_Def_Processes[Process_ID],,0,)</f>
        <v>13</v>
      </c>
      <c r="I52" s="142"/>
      <c r="J52" s="142"/>
      <c r="K52" s="142"/>
      <c r="L52" s="7" t="str">
        <f>Tab_Def_Flows[[#This Row],[Flow_ID]]&amp;"_WC"</f>
        <v>F_13_13_WC</v>
      </c>
      <c r="M52" s="137"/>
      <c r="N52" s="15"/>
      <c r="O52" s="7" t="str">
        <f>Tab_Def_Flows[[#This Row],[Flow_ID]]&amp;"_DM"</f>
        <v>F_13_13_DM</v>
      </c>
      <c r="Q52" s="15"/>
      <c r="R52" s="7" t="str">
        <f>Tab_Def_Flows[[#This Row],[Flow_ID]]&amp;"_CC"</f>
        <v>F_13_13_CC</v>
      </c>
      <c r="S52" s="137"/>
      <c r="T52" s="15"/>
      <c r="U52" s="143">
        <f>Tab_Def_Flows[[#This Row],[Flow_CC_DM'[%']]]*Tab_Def_Flows[[#This Row],[Flow_DM'[%']]]</f>
        <v>0</v>
      </c>
      <c r="V52" s="8"/>
    </row>
    <row r="53" spans="1:22" x14ac:dyDescent="0.25">
      <c r="A53" s="146" t="b">
        <v>0</v>
      </c>
      <c r="B53" s="18">
        <f t="shared" ref="B53:B70" si="2">ROW()-1</f>
        <v>52</v>
      </c>
      <c r="C53" s="7" t="str">
        <f t="shared" si="1"/>
        <v>F_13_13</v>
      </c>
      <c r="D53" s="8"/>
      <c r="E53" s="142"/>
      <c r="F53" s="7" t="str">
        <f>_xlfn.XLOOKUP(E53,Tab_Def_Processes[Process_Name],Tab_Def_Processes[Process_ID],,0,)</f>
        <v>13</v>
      </c>
      <c r="G53" s="142"/>
      <c r="H53" s="10" t="str">
        <f>_xlfn.XLOOKUP(G53,Tab_Def_Processes[Process_Name],Tab_Def_Processes[Process_ID],,0,)</f>
        <v>13</v>
      </c>
      <c r="I53" s="142"/>
      <c r="J53" s="142"/>
      <c r="K53" s="142"/>
      <c r="L53" s="7" t="str">
        <f>Tab_Def_Flows[[#This Row],[Flow_ID]]&amp;"_WC"</f>
        <v>F_13_13_WC</v>
      </c>
      <c r="M53" s="137"/>
      <c r="N53" s="15"/>
      <c r="O53" s="7" t="str">
        <f>Tab_Def_Flows[[#This Row],[Flow_ID]]&amp;"_DM"</f>
        <v>F_13_13_DM</v>
      </c>
      <c r="Q53" s="15"/>
      <c r="R53" s="7" t="str">
        <f>Tab_Def_Flows[[#This Row],[Flow_ID]]&amp;"_CC"</f>
        <v>F_13_13_CC</v>
      </c>
      <c r="S53" s="137"/>
      <c r="T53" s="15"/>
      <c r="U53" s="143">
        <f>Tab_Def_Flows[[#This Row],[Flow_CC_DM'[%']]]*Tab_Def_Flows[[#This Row],[Flow_DM'[%']]]</f>
        <v>0</v>
      </c>
      <c r="V53" s="8"/>
    </row>
    <row r="54" spans="1:22" x14ac:dyDescent="0.25">
      <c r="A54" s="146" t="b">
        <v>0</v>
      </c>
      <c r="B54" s="18">
        <f t="shared" si="2"/>
        <v>53</v>
      </c>
      <c r="C54" s="7" t="str">
        <f t="shared" si="1"/>
        <v>F_13_13</v>
      </c>
      <c r="D54" s="8"/>
      <c r="E54" s="142"/>
      <c r="F54" s="7" t="str">
        <f>_xlfn.XLOOKUP(E54,Tab_Def_Processes[Process_Name],Tab_Def_Processes[Process_ID],,0,)</f>
        <v>13</v>
      </c>
      <c r="G54" s="142"/>
      <c r="H54" s="10" t="str">
        <f>_xlfn.XLOOKUP(G54,Tab_Def_Processes[Process_Name],Tab_Def_Processes[Process_ID],,0,)</f>
        <v>13</v>
      </c>
      <c r="I54" s="142"/>
      <c r="J54" s="142"/>
      <c r="K54" s="142"/>
      <c r="L54" s="7" t="str">
        <f>Tab_Def_Flows[[#This Row],[Flow_ID]]&amp;"_WC"</f>
        <v>F_13_13_WC</v>
      </c>
      <c r="M54" s="137"/>
      <c r="N54" s="15"/>
      <c r="O54" s="7" t="str">
        <f>Tab_Def_Flows[[#This Row],[Flow_ID]]&amp;"_DM"</f>
        <v>F_13_13_DM</v>
      </c>
      <c r="Q54" s="15"/>
      <c r="R54" s="7" t="str">
        <f>Tab_Def_Flows[[#This Row],[Flow_ID]]&amp;"_CC"</f>
        <v>F_13_13_CC</v>
      </c>
      <c r="S54" s="137"/>
      <c r="T54" s="15"/>
      <c r="U54" s="143">
        <f>Tab_Def_Flows[[#This Row],[Flow_CC_DM'[%']]]*Tab_Def_Flows[[#This Row],[Flow_DM'[%']]]</f>
        <v>0</v>
      </c>
      <c r="V54" s="8"/>
    </row>
    <row r="55" spans="1:22" x14ac:dyDescent="0.25">
      <c r="A55" s="146" t="b">
        <v>0</v>
      </c>
      <c r="B55" s="18">
        <f t="shared" si="2"/>
        <v>54</v>
      </c>
      <c r="C55" s="7" t="str">
        <f t="shared" si="1"/>
        <v>F_13_13</v>
      </c>
      <c r="D55" s="8"/>
      <c r="E55" s="142"/>
      <c r="F55" s="7" t="str">
        <f>_xlfn.XLOOKUP(E55,Tab_Def_Processes[Process_Name],Tab_Def_Processes[Process_ID],,0,)</f>
        <v>13</v>
      </c>
      <c r="G55" s="142"/>
      <c r="H55" s="10" t="str">
        <f>_xlfn.XLOOKUP(G55,Tab_Def_Processes[Process_Name],Tab_Def_Processes[Process_ID],,0,)</f>
        <v>13</v>
      </c>
      <c r="I55" s="142"/>
      <c r="J55" s="142"/>
      <c r="K55" s="142"/>
      <c r="L55" s="7" t="str">
        <f>Tab_Def_Flows[[#This Row],[Flow_ID]]&amp;"_WC"</f>
        <v>F_13_13_WC</v>
      </c>
      <c r="M55" s="137"/>
      <c r="N55" s="15"/>
      <c r="O55" s="7" t="str">
        <f>Tab_Def_Flows[[#This Row],[Flow_ID]]&amp;"_DM"</f>
        <v>F_13_13_DM</v>
      </c>
      <c r="Q55" s="15"/>
      <c r="R55" s="7" t="str">
        <f>Tab_Def_Flows[[#This Row],[Flow_ID]]&amp;"_CC"</f>
        <v>F_13_13_CC</v>
      </c>
      <c r="S55" s="137"/>
      <c r="T55" s="15"/>
      <c r="U55" s="143">
        <f>Tab_Def_Flows[[#This Row],[Flow_CC_DM'[%']]]*Tab_Def_Flows[[#This Row],[Flow_DM'[%']]]</f>
        <v>0</v>
      </c>
      <c r="V55" s="8"/>
    </row>
    <row r="56" spans="1:22" x14ac:dyDescent="0.25">
      <c r="A56" s="146" t="b">
        <v>0</v>
      </c>
      <c r="B56" s="18">
        <f t="shared" si="2"/>
        <v>55</v>
      </c>
      <c r="C56" s="7" t="str">
        <f t="shared" si="1"/>
        <v>F_13_13</v>
      </c>
      <c r="D56" s="8"/>
      <c r="E56" s="142"/>
      <c r="F56" s="7" t="str">
        <f>_xlfn.XLOOKUP(E56,Tab_Def_Processes[Process_Name],Tab_Def_Processes[Process_ID],,0,)</f>
        <v>13</v>
      </c>
      <c r="G56" s="142"/>
      <c r="H56" s="10" t="str">
        <f>_xlfn.XLOOKUP(G56,Tab_Def_Processes[Process_Name],Tab_Def_Processes[Process_ID],,0,)</f>
        <v>13</v>
      </c>
      <c r="I56" s="142"/>
      <c r="J56" s="142"/>
      <c r="K56" s="142"/>
      <c r="L56" s="7" t="str">
        <f>Tab_Def_Flows[[#This Row],[Flow_ID]]&amp;"_WC"</f>
        <v>F_13_13_WC</v>
      </c>
      <c r="M56" s="137"/>
      <c r="N56" s="15"/>
      <c r="O56" s="7" t="str">
        <f>Tab_Def_Flows[[#This Row],[Flow_ID]]&amp;"_DM"</f>
        <v>F_13_13_DM</v>
      </c>
      <c r="Q56" s="15"/>
      <c r="R56" s="7" t="str">
        <f>Tab_Def_Flows[[#This Row],[Flow_ID]]&amp;"_CC"</f>
        <v>F_13_13_CC</v>
      </c>
      <c r="S56" s="137"/>
      <c r="T56" s="15"/>
      <c r="U56" s="143">
        <f>Tab_Def_Flows[[#This Row],[Flow_CC_DM'[%']]]*Tab_Def_Flows[[#This Row],[Flow_DM'[%']]]</f>
        <v>0</v>
      </c>
      <c r="V56" s="8"/>
    </row>
    <row r="57" spans="1:22" x14ac:dyDescent="0.25">
      <c r="A57" s="146" t="b">
        <v>0</v>
      </c>
      <c r="B57" s="18">
        <f t="shared" si="2"/>
        <v>56</v>
      </c>
      <c r="C57" s="7" t="str">
        <f t="shared" si="1"/>
        <v>F_13_13</v>
      </c>
      <c r="D57" s="8"/>
      <c r="E57" s="142"/>
      <c r="F57" s="7" t="str">
        <f>_xlfn.XLOOKUP(E57,Tab_Def_Processes[Process_Name],Tab_Def_Processes[Process_ID],,0,)</f>
        <v>13</v>
      </c>
      <c r="G57" s="142"/>
      <c r="H57" s="10" t="str">
        <f>_xlfn.XLOOKUP(G57,Tab_Def_Processes[Process_Name],Tab_Def_Processes[Process_ID],,0,)</f>
        <v>13</v>
      </c>
      <c r="I57" s="142"/>
      <c r="J57" s="142"/>
      <c r="K57" s="142"/>
      <c r="L57" s="7" t="str">
        <f>Tab_Def_Flows[[#This Row],[Flow_ID]]&amp;"_WC"</f>
        <v>F_13_13_WC</v>
      </c>
      <c r="M57" s="137"/>
      <c r="N57" s="15"/>
      <c r="O57" s="7" t="str">
        <f>Tab_Def_Flows[[#This Row],[Flow_ID]]&amp;"_DM"</f>
        <v>F_13_13_DM</v>
      </c>
      <c r="Q57" s="15"/>
      <c r="R57" s="7" t="str">
        <f>Tab_Def_Flows[[#This Row],[Flow_ID]]&amp;"_CC"</f>
        <v>F_13_13_CC</v>
      </c>
      <c r="S57" s="137"/>
      <c r="T57" s="15"/>
      <c r="U57" s="143">
        <f>Tab_Def_Flows[[#This Row],[Flow_CC_DM'[%']]]*Tab_Def_Flows[[#This Row],[Flow_DM'[%']]]</f>
        <v>0</v>
      </c>
      <c r="V57" s="8"/>
    </row>
    <row r="58" spans="1:22" x14ac:dyDescent="0.25">
      <c r="A58" s="146" t="b">
        <v>0</v>
      </c>
      <c r="B58" s="18">
        <f t="shared" si="2"/>
        <v>57</v>
      </c>
      <c r="C58" s="7" t="str">
        <f t="shared" si="1"/>
        <v>F_13_13</v>
      </c>
      <c r="D58" s="8"/>
      <c r="E58" s="142"/>
      <c r="F58" s="7" t="str">
        <f>_xlfn.XLOOKUP(E58,Tab_Def_Processes[Process_Name],Tab_Def_Processes[Process_ID],,0,)</f>
        <v>13</v>
      </c>
      <c r="G58" s="142"/>
      <c r="H58" s="10" t="str">
        <f>_xlfn.XLOOKUP(G58,Tab_Def_Processes[Process_Name],Tab_Def_Processes[Process_ID],,0,)</f>
        <v>13</v>
      </c>
      <c r="I58" s="142"/>
      <c r="J58" s="142"/>
      <c r="K58" s="142"/>
      <c r="L58" s="7" t="str">
        <f>Tab_Def_Flows[[#This Row],[Flow_ID]]&amp;"_WC"</f>
        <v>F_13_13_WC</v>
      </c>
      <c r="M58" s="137"/>
      <c r="N58" s="15"/>
      <c r="O58" s="7" t="str">
        <f>Tab_Def_Flows[[#This Row],[Flow_ID]]&amp;"_DM"</f>
        <v>F_13_13_DM</v>
      </c>
      <c r="Q58" s="15"/>
      <c r="R58" s="7" t="str">
        <f>Tab_Def_Flows[[#This Row],[Flow_ID]]&amp;"_CC"</f>
        <v>F_13_13_CC</v>
      </c>
      <c r="S58" s="137"/>
      <c r="T58" s="15"/>
      <c r="U58" s="143">
        <f>Tab_Def_Flows[[#This Row],[Flow_CC_DM'[%']]]*Tab_Def_Flows[[#This Row],[Flow_DM'[%']]]</f>
        <v>0</v>
      </c>
      <c r="V58" s="8"/>
    </row>
    <row r="59" spans="1:22" x14ac:dyDescent="0.25">
      <c r="A59" s="146" t="b">
        <v>0</v>
      </c>
      <c r="B59" s="18">
        <f t="shared" si="2"/>
        <v>58</v>
      </c>
      <c r="C59" s="7" t="str">
        <f t="shared" si="1"/>
        <v>F_13_13</v>
      </c>
      <c r="D59" s="8"/>
      <c r="E59" s="142"/>
      <c r="F59" s="7" t="str">
        <f>_xlfn.XLOOKUP(E59,Tab_Def_Processes[Process_Name],Tab_Def_Processes[Process_ID],,0,)</f>
        <v>13</v>
      </c>
      <c r="G59" s="142"/>
      <c r="H59" s="10" t="str">
        <f>_xlfn.XLOOKUP(G59,Tab_Def_Processes[Process_Name],Tab_Def_Processes[Process_ID],,0,)</f>
        <v>13</v>
      </c>
      <c r="I59" s="142"/>
      <c r="J59" s="142"/>
      <c r="K59" s="142"/>
      <c r="L59" s="7" t="str">
        <f>Tab_Def_Flows[[#This Row],[Flow_ID]]&amp;"_WC"</f>
        <v>F_13_13_WC</v>
      </c>
      <c r="M59" s="137"/>
      <c r="N59" s="15"/>
      <c r="O59" s="7" t="str">
        <f>Tab_Def_Flows[[#This Row],[Flow_ID]]&amp;"_DM"</f>
        <v>F_13_13_DM</v>
      </c>
      <c r="Q59" s="15"/>
      <c r="R59" s="7" t="str">
        <f>Tab_Def_Flows[[#This Row],[Flow_ID]]&amp;"_CC"</f>
        <v>F_13_13_CC</v>
      </c>
      <c r="S59" s="137"/>
      <c r="T59" s="15"/>
      <c r="U59" s="143">
        <f>Tab_Def_Flows[[#This Row],[Flow_CC_DM'[%']]]*Tab_Def_Flows[[#This Row],[Flow_DM'[%']]]</f>
        <v>0</v>
      </c>
      <c r="V59" s="8"/>
    </row>
    <row r="60" spans="1:22" x14ac:dyDescent="0.25">
      <c r="A60" s="146" t="b">
        <v>0</v>
      </c>
      <c r="B60" s="18">
        <f t="shared" si="2"/>
        <v>59</v>
      </c>
      <c r="C60" s="7" t="str">
        <f t="shared" si="1"/>
        <v>F_13_13</v>
      </c>
      <c r="D60" s="8"/>
      <c r="E60" s="142"/>
      <c r="F60" s="7" t="str">
        <f>_xlfn.XLOOKUP(E60,Tab_Def_Processes[Process_Name],Tab_Def_Processes[Process_ID],,0,)</f>
        <v>13</v>
      </c>
      <c r="G60" s="142"/>
      <c r="H60" s="10" t="str">
        <f>_xlfn.XLOOKUP(G60,Tab_Def_Processes[Process_Name],Tab_Def_Processes[Process_ID],,0,)</f>
        <v>13</v>
      </c>
      <c r="I60" s="142"/>
      <c r="J60" s="142"/>
      <c r="K60" s="142"/>
      <c r="L60" s="7" t="str">
        <f>Tab_Def_Flows[[#This Row],[Flow_ID]]&amp;"_WC"</f>
        <v>F_13_13_WC</v>
      </c>
      <c r="M60" s="137"/>
      <c r="N60" s="15"/>
      <c r="O60" s="7" t="str">
        <f>Tab_Def_Flows[[#This Row],[Flow_ID]]&amp;"_DM"</f>
        <v>F_13_13_DM</v>
      </c>
      <c r="Q60" s="15"/>
      <c r="R60" s="7" t="str">
        <f>Tab_Def_Flows[[#This Row],[Flow_ID]]&amp;"_CC"</f>
        <v>F_13_13_CC</v>
      </c>
      <c r="S60" s="137"/>
      <c r="T60" s="15"/>
      <c r="U60" s="143">
        <f>Tab_Def_Flows[[#This Row],[Flow_CC_DM'[%']]]*Tab_Def_Flows[[#This Row],[Flow_DM'[%']]]</f>
        <v>0</v>
      </c>
      <c r="V60" s="8"/>
    </row>
    <row r="61" spans="1:22" x14ac:dyDescent="0.25">
      <c r="A61" s="146" t="b">
        <v>0</v>
      </c>
      <c r="B61" s="18">
        <f t="shared" si="2"/>
        <v>60</v>
      </c>
      <c r="C61" s="7" t="str">
        <f t="shared" si="1"/>
        <v>F_13_13</v>
      </c>
      <c r="D61" s="8"/>
      <c r="E61" s="142"/>
      <c r="F61" s="7" t="str">
        <f>_xlfn.XLOOKUP(E61,Tab_Def_Processes[Process_Name],Tab_Def_Processes[Process_ID],,0,)</f>
        <v>13</v>
      </c>
      <c r="G61" s="142"/>
      <c r="H61" s="10" t="str">
        <f>_xlfn.XLOOKUP(G61,Tab_Def_Processes[Process_Name],Tab_Def_Processes[Process_ID],,0,)</f>
        <v>13</v>
      </c>
      <c r="I61" s="142"/>
      <c r="J61" s="142"/>
      <c r="K61" s="142"/>
      <c r="L61" s="7" t="str">
        <f>Tab_Def_Flows[[#This Row],[Flow_ID]]&amp;"_WC"</f>
        <v>F_13_13_WC</v>
      </c>
      <c r="M61" s="137"/>
      <c r="N61" s="15"/>
      <c r="O61" s="7" t="str">
        <f>Tab_Def_Flows[[#This Row],[Flow_ID]]&amp;"_DM"</f>
        <v>F_13_13_DM</v>
      </c>
      <c r="Q61" s="15"/>
      <c r="R61" s="7" t="str">
        <f>Tab_Def_Flows[[#This Row],[Flow_ID]]&amp;"_CC"</f>
        <v>F_13_13_CC</v>
      </c>
      <c r="S61" s="137"/>
      <c r="T61" s="15"/>
      <c r="U61" s="143">
        <f>Tab_Def_Flows[[#This Row],[Flow_CC_DM'[%']]]*Tab_Def_Flows[[#This Row],[Flow_DM'[%']]]</f>
        <v>0</v>
      </c>
      <c r="V61" s="8"/>
    </row>
    <row r="62" spans="1:22" x14ac:dyDescent="0.25">
      <c r="A62" s="146" t="b">
        <v>0</v>
      </c>
      <c r="B62" s="18">
        <f t="shared" si="2"/>
        <v>61</v>
      </c>
      <c r="C62" s="7" t="str">
        <f t="shared" si="1"/>
        <v>F_13_13</v>
      </c>
      <c r="D62" s="8"/>
      <c r="E62" s="142"/>
      <c r="F62" s="7" t="str">
        <f>_xlfn.XLOOKUP(E62,Tab_Def_Processes[Process_Name],Tab_Def_Processes[Process_ID],,0,)</f>
        <v>13</v>
      </c>
      <c r="G62" s="142"/>
      <c r="H62" s="10" t="str">
        <f>_xlfn.XLOOKUP(G62,Tab_Def_Processes[Process_Name],Tab_Def_Processes[Process_ID],,0,)</f>
        <v>13</v>
      </c>
      <c r="I62" s="142"/>
      <c r="J62" s="142"/>
      <c r="K62" s="142"/>
      <c r="L62" s="7" t="str">
        <f>Tab_Def_Flows[[#This Row],[Flow_ID]]&amp;"_WC"</f>
        <v>F_13_13_WC</v>
      </c>
      <c r="M62" s="137"/>
      <c r="N62" s="15"/>
      <c r="O62" s="7" t="str">
        <f>Tab_Def_Flows[[#This Row],[Flow_ID]]&amp;"_DM"</f>
        <v>F_13_13_DM</v>
      </c>
      <c r="Q62" s="15"/>
      <c r="R62" s="7" t="str">
        <f>Tab_Def_Flows[[#This Row],[Flow_ID]]&amp;"_CC"</f>
        <v>F_13_13_CC</v>
      </c>
      <c r="S62" s="137"/>
      <c r="T62" s="15"/>
      <c r="U62" s="143">
        <f>Tab_Def_Flows[[#This Row],[Flow_CC_DM'[%']]]*Tab_Def_Flows[[#This Row],[Flow_DM'[%']]]</f>
        <v>0</v>
      </c>
      <c r="V62" s="8"/>
    </row>
    <row r="63" spans="1:22" x14ac:dyDescent="0.25">
      <c r="A63" s="146" t="b">
        <v>0</v>
      </c>
      <c r="B63" s="18">
        <f t="shared" si="2"/>
        <v>62</v>
      </c>
      <c r="C63" s="7" t="str">
        <f t="shared" si="1"/>
        <v>F_13_13</v>
      </c>
      <c r="D63" s="8"/>
      <c r="E63" s="142"/>
      <c r="F63" s="7" t="str">
        <f>_xlfn.XLOOKUP(E63,Tab_Def_Processes[Process_Name],Tab_Def_Processes[Process_ID],,0,)</f>
        <v>13</v>
      </c>
      <c r="G63" s="142"/>
      <c r="H63" s="10" t="str">
        <f>_xlfn.XLOOKUP(G63,Tab_Def_Processes[Process_Name],Tab_Def_Processes[Process_ID],,0,)</f>
        <v>13</v>
      </c>
      <c r="I63" s="142"/>
      <c r="J63" s="142"/>
      <c r="K63" s="142"/>
      <c r="L63" s="7" t="str">
        <f>Tab_Def_Flows[[#This Row],[Flow_ID]]&amp;"_WC"</f>
        <v>F_13_13_WC</v>
      </c>
      <c r="M63" s="137"/>
      <c r="N63" s="15"/>
      <c r="O63" s="7" t="str">
        <f>Tab_Def_Flows[[#This Row],[Flow_ID]]&amp;"_DM"</f>
        <v>F_13_13_DM</v>
      </c>
      <c r="Q63" s="15"/>
      <c r="R63" s="7" t="str">
        <f>Tab_Def_Flows[[#This Row],[Flow_ID]]&amp;"_CC"</f>
        <v>F_13_13_CC</v>
      </c>
      <c r="S63" s="137"/>
      <c r="T63" s="15"/>
      <c r="U63" s="143">
        <f>Tab_Def_Flows[[#This Row],[Flow_CC_DM'[%']]]*Tab_Def_Flows[[#This Row],[Flow_DM'[%']]]</f>
        <v>0</v>
      </c>
      <c r="V63" s="8"/>
    </row>
    <row r="64" spans="1:22" x14ac:dyDescent="0.25">
      <c r="A64" s="146" t="b">
        <v>0</v>
      </c>
      <c r="B64" s="18">
        <f t="shared" si="2"/>
        <v>63</v>
      </c>
      <c r="C64" s="7" t="str">
        <f t="shared" si="1"/>
        <v>F_13_13</v>
      </c>
      <c r="D64" s="8"/>
      <c r="E64" s="142"/>
      <c r="F64" s="7" t="str">
        <f>_xlfn.XLOOKUP(E64,Tab_Def_Processes[Process_Name],Tab_Def_Processes[Process_ID],,0,)</f>
        <v>13</v>
      </c>
      <c r="G64" s="142"/>
      <c r="H64" s="10" t="str">
        <f>_xlfn.XLOOKUP(G64,Tab_Def_Processes[Process_Name],Tab_Def_Processes[Process_ID],,0,)</f>
        <v>13</v>
      </c>
      <c r="I64" s="142"/>
      <c r="J64" s="142"/>
      <c r="K64" s="142"/>
      <c r="L64" s="7" t="str">
        <f>Tab_Def_Flows[[#This Row],[Flow_ID]]&amp;"_WC"</f>
        <v>F_13_13_WC</v>
      </c>
      <c r="M64" s="137"/>
      <c r="N64" s="15"/>
      <c r="O64" s="7" t="str">
        <f>Tab_Def_Flows[[#This Row],[Flow_ID]]&amp;"_DM"</f>
        <v>F_13_13_DM</v>
      </c>
      <c r="Q64" s="15"/>
      <c r="R64" s="7" t="str">
        <f>Tab_Def_Flows[[#This Row],[Flow_ID]]&amp;"_CC"</f>
        <v>F_13_13_CC</v>
      </c>
      <c r="S64" s="137"/>
      <c r="T64" s="15"/>
      <c r="U64" s="143">
        <f>Tab_Def_Flows[[#This Row],[Flow_CC_DM'[%']]]*Tab_Def_Flows[[#This Row],[Flow_DM'[%']]]</f>
        <v>0</v>
      </c>
      <c r="V64" s="8"/>
    </row>
    <row r="65" spans="1:22" x14ac:dyDescent="0.25">
      <c r="A65" s="146" t="b">
        <v>0</v>
      </c>
      <c r="B65" s="18">
        <f t="shared" si="2"/>
        <v>64</v>
      </c>
      <c r="C65" s="7" t="str">
        <f t="shared" si="1"/>
        <v>F_13_13</v>
      </c>
      <c r="D65" s="8"/>
      <c r="E65" s="142"/>
      <c r="F65" s="7" t="str">
        <f>_xlfn.XLOOKUP(E65,Tab_Def_Processes[Process_Name],Tab_Def_Processes[Process_ID],,0,)</f>
        <v>13</v>
      </c>
      <c r="G65" s="142"/>
      <c r="H65" s="10" t="str">
        <f>_xlfn.XLOOKUP(G65,Tab_Def_Processes[Process_Name],Tab_Def_Processes[Process_ID],,0,)</f>
        <v>13</v>
      </c>
      <c r="I65" s="142"/>
      <c r="J65" s="142"/>
      <c r="K65" s="142"/>
      <c r="L65" s="7" t="str">
        <f>Tab_Def_Flows[[#This Row],[Flow_ID]]&amp;"_WC"</f>
        <v>F_13_13_WC</v>
      </c>
      <c r="M65" s="137"/>
      <c r="N65" s="15"/>
      <c r="O65" s="7" t="str">
        <f>Tab_Def_Flows[[#This Row],[Flow_ID]]&amp;"_DM"</f>
        <v>F_13_13_DM</v>
      </c>
      <c r="Q65" s="15"/>
      <c r="R65" s="7" t="str">
        <f>Tab_Def_Flows[[#This Row],[Flow_ID]]&amp;"_CC"</f>
        <v>F_13_13_CC</v>
      </c>
      <c r="S65" s="137"/>
      <c r="T65" s="15"/>
      <c r="U65" s="143">
        <f>Tab_Def_Flows[[#This Row],[Flow_CC_DM'[%']]]*Tab_Def_Flows[[#This Row],[Flow_DM'[%']]]</f>
        <v>0</v>
      </c>
      <c r="V65" s="8"/>
    </row>
    <row r="66" spans="1:22" x14ac:dyDescent="0.25">
      <c r="A66" s="146" t="b">
        <v>0</v>
      </c>
      <c r="B66" s="18">
        <f t="shared" si="2"/>
        <v>65</v>
      </c>
      <c r="C66" s="7" t="str">
        <f t="shared" ref="C66:C70" si="3">"F_"&amp;LEFT(F66,2)&amp;"_"&amp;LEFT(H66,2)</f>
        <v>F_13_13</v>
      </c>
      <c r="D66" s="8"/>
      <c r="E66" s="142"/>
      <c r="F66" s="7" t="str">
        <f>_xlfn.XLOOKUP(E66,Tab_Def_Processes[Process_Name],Tab_Def_Processes[Process_ID],,0,)</f>
        <v>13</v>
      </c>
      <c r="G66" s="142"/>
      <c r="H66" s="10" t="str">
        <f>_xlfn.XLOOKUP(G66,Tab_Def_Processes[Process_Name],Tab_Def_Processes[Process_ID],,0,)</f>
        <v>13</v>
      </c>
      <c r="I66" s="142"/>
      <c r="J66" s="142"/>
      <c r="K66" s="142"/>
      <c r="L66" s="7" t="str">
        <f>Tab_Def_Flows[[#This Row],[Flow_ID]]&amp;"_WC"</f>
        <v>F_13_13_WC</v>
      </c>
      <c r="M66" s="137"/>
      <c r="N66" s="15"/>
      <c r="O66" s="7" t="str">
        <f>Tab_Def_Flows[[#This Row],[Flow_ID]]&amp;"_DM"</f>
        <v>F_13_13_DM</v>
      </c>
      <c r="Q66" s="15"/>
      <c r="R66" s="7" t="str">
        <f>Tab_Def_Flows[[#This Row],[Flow_ID]]&amp;"_CC"</f>
        <v>F_13_13_CC</v>
      </c>
      <c r="S66" s="137"/>
      <c r="T66" s="15"/>
      <c r="U66" s="143">
        <f>Tab_Def_Flows[[#This Row],[Flow_CC_DM'[%']]]*Tab_Def_Flows[[#This Row],[Flow_DM'[%']]]</f>
        <v>0</v>
      </c>
      <c r="V66" s="8"/>
    </row>
    <row r="67" spans="1:22" x14ac:dyDescent="0.25">
      <c r="A67" s="146" t="b">
        <v>0</v>
      </c>
      <c r="B67" s="18">
        <f t="shared" si="2"/>
        <v>66</v>
      </c>
      <c r="C67" s="7" t="str">
        <f t="shared" si="3"/>
        <v>F_13_13</v>
      </c>
      <c r="D67" s="8"/>
      <c r="E67" s="142"/>
      <c r="F67" s="7" t="str">
        <f>_xlfn.XLOOKUP(E67,Tab_Def_Processes[Process_Name],Tab_Def_Processes[Process_ID],,0,)</f>
        <v>13</v>
      </c>
      <c r="G67" s="142"/>
      <c r="H67" s="10" t="str">
        <f>_xlfn.XLOOKUP(G67,Tab_Def_Processes[Process_Name],Tab_Def_Processes[Process_ID],,0,)</f>
        <v>13</v>
      </c>
      <c r="I67" s="142"/>
      <c r="J67" s="142"/>
      <c r="K67" s="142"/>
      <c r="L67" s="7" t="str">
        <f>Tab_Def_Flows[[#This Row],[Flow_ID]]&amp;"_WC"</f>
        <v>F_13_13_WC</v>
      </c>
      <c r="M67" s="137"/>
      <c r="N67" s="15"/>
      <c r="O67" s="7" t="str">
        <f>Tab_Def_Flows[[#This Row],[Flow_ID]]&amp;"_DM"</f>
        <v>F_13_13_DM</v>
      </c>
      <c r="Q67" s="15"/>
      <c r="R67" s="7" t="str">
        <f>Tab_Def_Flows[[#This Row],[Flow_ID]]&amp;"_CC"</f>
        <v>F_13_13_CC</v>
      </c>
      <c r="S67" s="137"/>
      <c r="T67" s="15"/>
      <c r="U67" s="143">
        <f>Tab_Def_Flows[[#This Row],[Flow_CC_DM'[%']]]*Tab_Def_Flows[[#This Row],[Flow_DM'[%']]]</f>
        <v>0</v>
      </c>
      <c r="V67" s="8"/>
    </row>
    <row r="68" spans="1:22" x14ac:dyDescent="0.25">
      <c r="A68" s="146" t="b">
        <v>0</v>
      </c>
      <c r="B68" s="18">
        <f t="shared" si="2"/>
        <v>67</v>
      </c>
      <c r="C68" s="7" t="str">
        <f t="shared" si="3"/>
        <v>F_13_13</v>
      </c>
      <c r="D68" s="8"/>
      <c r="E68" s="142"/>
      <c r="F68" s="7" t="str">
        <f>_xlfn.XLOOKUP(E68,Tab_Def_Processes[Process_Name],Tab_Def_Processes[Process_ID],,0,)</f>
        <v>13</v>
      </c>
      <c r="G68" s="142"/>
      <c r="H68" s="10" t="str">
        <f>_xlfn.XLOOKUP(G68,Tab_Def_Processes[Process_Name],Tab_Def_Processes[Process_ID],,0,)</f>
        <v>13</v>
      </c>
      <c r="I68" s="142"/>
      <c r="J68" s="142"/>
      <c r="K68" s="142"/>
      <c r="L68" s="7" t="str">
        <f>Tab_Def_Flows[[#This Row],[Flow_ID]]&amp;"_WC"</f>
        <v>F_13_13_WC</v>
      </c>
      <c r="M68" s="137"/>
      <c r="N68" s="15"/>
      <c r="O68" s="7" t="str">
        <f>Tab_Def_Flows[[#This Row],[Flow_ID]]&amp;"_DM"</f>
        <v>F_13_13_DM</v>
      </c>
      <c r="Q68" s="15"/>
      <c r="R68" s="7" t="str">
        <f>Tab_Def_Flows[[#This Row],[Flow_ID]]&amp;"_CC"</f>
        <v>F_13_13_CC</v>
      </c>
      <c r="S68" s="137"/>
      <c r="T68" s="15"/>
      <c r="U68" s="143">
        <f>Tab_Def_Flows[[#This Row],[Flow_CC_DM'[%']]]*Tab_Def_Flows[[#This Row],[Flow_DM'[%']]]</f>
        <v>0</v>
      </c>
      <c r="V68" s="8"/>
    </row>
    <row r="69" spans="1:22" x14ac:dyDescent="0.25">
      <c r="A69" s="146" t="b">
        <v>0</v>
      </c>
      <c r="B69" s="18">
        <f t="shared" si="2"/>
        <v>68</v>
      </c>
      <c r="C69" s="7" t="str">
        <f t="shared" si="3"/>
        <v>F_13_13</v>
      </c>
      <c r="D69" s="8"/>
      <c r="E69" s="142"/>
      <c r="F69" s="7" t="str">
        <f>_xlfn.XLOOKUP(E69,Tab_Def_Processes[Process_Name],Tab_Def_Processes[Process_ID],,0,)</f>
        <v>13</v>
      </c>
      <c r="G69" s="142"/>
      <c r="H69" s="10" t="str">
        <f>_xlfn.XLOOKUP(G69,Tab_Def_Processes[Process_Name],Tab_Def_Processes[Process_ID],,0,)</f>
        <v>13</v>
      </c>
      <c r="I69" s="142"/>
      <c r="J69" s="142"/>
      <c r="K69" s="142"/>
      <c r="L69" s="7" t="str">
        <f>Tab_Def_Flows[[#This Row],[Flow_ID]]&amp;"_WC"</f>
        <v>F_13_13_WC</v>
      </c>
      <c r="M69" s="137"/>
      <c r="N69" s="15"/>
      <c r="O69" s="7" t="str">
        <f>Tab_Def_Flows[[#This Row],[Flow_ID]]&amp;"_DM"</f>
        <v>F_13_13_DM</v>
      </c>
      <c r="Q69" s="15"/>
      <c r="R69" s="7" t="str">
        <f>Tab_Def_Flows[[#This Row],[Flow_ID]]&amp;"_CC"</f>
        <v>F_13_13_CC</v>
      </c>
      <c r="S69" s="137"/>
      <c r="T69" s="15"/>
      <c r="U69" s="143">
        <f>Tab_Def_Flows[[#This Row],[Flow_CC_DM'[%']]]*Tab_Def_Flows[[#This Row],[Flow_DM'[%']]]</f>
        <v>0</v>
      </c>
      <c r="V69" s="8"/>
    </row>
    <row r="70" spans="1:22" x14ac:dyDescent="0.25">
      <c r="A70" s="146" t="b">
        <v>0</v>
      </c>
      <c r="B70" s="18">
        <f t="shared" si="2"/>
        <v>69</v>
      </c>
      <c r="C70" s="7" t="str">
        <f t="shared" si="3"/>
        <v>F__</v>
      </c>
      <c r="D70" s="8" t="s">
        <v>22</v>
      </c>
      <c r="E70" s="142"/>
      <c r="F70" s="7"/>
      <c r="G70" s="142"/>
      <c r="H70" s="10"/>
      <c r="I70" s="142"/>
      <c r="J70" s="142"/>
      <c r="K70" s="142"/>
      <c r="L70" s="7" t="str">
        <f>Tab_Def_Flows[[#This Row],[Flow_ID]]&amp;"_WC"</f>
        <v>F___WC</v>
      </c>
      <c r="M70" s="137"/>
      <c r="N70" s="15"/>
      <c r="O70" s="7" t="str">
        <f>Tab_Def_Flows[[#This Row],[Flow_ID]]&amp;"_DM"</f>
        <v>F___DM</v>
      </c>
      <c r="Q70" s="15"/>
      <c r="R70" s="7" t="str">
        <f>Tab_Def_Flows[[#This Row],[Flow_ID]]&amp;"_CC"</f>
        <v>F___CC</v>
      </c>
      <c r="S70" s="137"/>
      <c r="T70" s="15"/>
      <c r="U70" s="143">
        <f>Tab_Def_Flows[[#This Row],[Flow_CC_DM'[%']]]*Tab_Def_Flows[[#This Row],[Flow_DM'[%']]]</f>
        <v>0</v>
      </c>
      <c r="V70" s="8"/>
    </row>
  </sheetData>
  <sheetProtection selectLockedCells="1"/>
  <phoneticPr fontId="2" type="noConversion"/>
  <dataValidations count="1">
    <dataValidation allowBlank="1" showInputMessage="1" showErrorMessage="1" promptTitle="Flow Name Definition" prompt="sdadas" sqref="D2:D70" xr:uid="{CE679EFC-3243-4952-ABEC-9CDD0C7FFE09}"/>
  </dataValidations>
  <pageMargins left="0.7" right="0.7" top="0.78740157499999996" bottom="0.78740157499999996" header="0.3" footer="0.3"/>
  <legacyDrawing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DEB85BD0-124F-4151-B691-0ABA301771C2}">
          <x14:formula1>
            <xm:f>'7_2_Codelists'!$B$53:$B$54</xm:f>
          </x14:formula1>
          <xm:sqref>T26:T70 I2:K70</xm:sqref>
        </x14:dataValidation>
        <x14:dataValidation type="list" allowBlank="1" showInputMessage="1" showErrorMessage="1" xr:uid="{4802C009-D5CD-4ED0-AC7A-55F162A86DD7}">
          <x14:formula1>
            <xm:f>'2_1_Definition_Processes'!$D$2:$D$47</xm:f>
          </x14:formula1>
          <xm:sqref>E2:E70 G2:G70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G351"/>
  <sheetViews>
    <sheetView zoomScale="130" zoomScaleNormal="130" workbookViewId="0">
      <selection activeCell="L188" sqref="L188"/>
    </sheetView>
  </sheetViews>
  <sheetFormatPr defaultColWidth="10.85546875" defaultRowHeight="15" x14ac:dyDescent="0.25"/>
  <cols>
    <col min="2" max="2" width="18.7109375" customWidth="1"/>
    <col min="3" max="3" width="28.5703125" customWidth="1"/>
    <col min="4" max="4" width="14.140625" customWidth="1"/>
    <col min="5" max="5" width="11.7109375" customWidth="1"/>
    <col min="6" max="6" width="6.5703125" customWidth="1"/>
    <col min="7" max="7" width="18.28515625" customWidth="1"/>
    <col min="8" max="8" width="18.7109375" customWidth="1"/>
    <col min="9" max="9" width="16.42578125" customWidth="1"/>
    <col min="10" max="10" width="17.5703125" customWidth="1"/>
    <col min="11" max="11" width="50.7109375" customWidth="1"/>
    <col min="12" max="12" width="22.85546875" customWidth="1"/>
    <col min="13" max="13" width="16.7109375" customWidth="1"/>
    <col min="14" max="14" width="15.85546875" customWidth="1"/>
    <col min="15" max="15" width="8.85546875" customWidth="1"/>
    <col min="16" max="16" width="14.140625" customWidth="1"/>
    <col min="17" max="17" width="6.5703125" customWidth="1"/>
    <col min="18" max="18" width="24.7109375" customWidth="1"/>
    <col min="19" max="19" width="17" style="7" customWidth="1"/>
    <col min="20" max="20" width="15.42578125" customWidth="1"/>
    <col min="21" max="21" width="15.140625" customWidth="1"/>
    <col min="22" max="22" width="18.5703125" customWidth="1"/>
    <col min="23" max="23" width="15.140625" customWidth="1"/>
    <col min="24" max="24" width="14.140625" customWidth="1"/>
    <col min="25" max="26" width="19.85546875" customWidth="1"/>
    <col min="27" max="27" width="19.85546875" style="20" customWidth="1"/>
    <col min="28" max="28" width="16.5703125" customWidth="1"/>
    <col min="29" max="31" width="19.7109375" customWidth="1"/>
    <col min="32" max="32" width="19.28515625" customWidth="1"/>
    <col min="33" max="33" width="19" style="7" customWidth="1"/>
  </cols>
  <sheetData>
    <row r="1" spans="1:33" x14ac:dyDescent="0.25">
      <c r="A1" s="145" t="s">
        <v>19</v>
      </c>
      <c r="B1" s="145" t="s">
        <v>26</v>
      </c>
      <c r="C1" s="145" t="s">
        <v>533</v>
      </c>
      <c r="D1" s="145" t="s">
        <v>49</v>
      </c>
      <c r="E1" s="145" t="s">
        <v>51</v>
      </c>
      <c r="F1" s="145" t="s">
        <v>50</v>
      </c>
      <c r="G1" s="145" t="s">
        <v>522</v>
      </c>
      <c r="H1" s="145" t="s">
        <v>523</v>
      </c>
      <c r="I1" s="145" t="s">
        <v>36</v>
      </c>
      <c r="J1" s="145" t="s">
        <v>661</v>
      </c>
      <c r="K1" s="145" t="s">
        <v>586</v>
      </c>
      <c r="L1" s="145" t="s">
        <v>662</v>
      </c>
      <c r="M1" s="145" t="s">
        <v>663</v>
      </c>
      <c r="N1" s="145" t="s">
        <v>664</v>
      </c>
      <c r="O1" s="145" t="s">
        <v>33</v>
      </c>
      <c r="P1" s="145" t="s">
        <v>34</v>
      </c>
      <c r="Q1" s="145" t="s">
        <v>35</v>
      </c>
      <c r="R1" s="145" t="s">
        <v>525</v>
      </c>
      <c r="S1" s="145" t="s">
        <v>524</v>
      </c>
      <c r="T1" s="145" t="s">
        <v>37</v>
      </c>
      <c r="U1" s="145" t="s">
        <v>52</v>
      </c>
      <c r="V1" s="145" t="s">
        <v>526</v>
      </c>
      <c r="W1" s="145" t="s">
        <v>57</v>
      </c>
      <c r="X1" s="145" t="s">
        <v>60</v>
      </c>
      <c r="Y1" s="145" t="s">
        <v>54</v>
      </c>
      <c r="Z1" s="145" t="s">
        <v>527</v>
      </c>
      <c r="AA1" s="145" t="s">
        <v>532</v>
      </c>
      <c r="AB1" s="145" t="s">
        <v>59</v>
      </c>
      <c r="AC1" s="145" t="s">
        <v>56</v>
      </c>
      <c r="AD1" s="145" t="s">
        <v>528</v>
      </c>
      <c r="AE1" s="145" t="s">
        <v>61</v>
      </c>
      <c r="AF1" s="145" t="s">
        <v>58</v>
      </c>
      <c r="AG1"/>
    </row>
    <row r="2" spans="1:33" x14ac:dyDescent="0.25">
      <c r="A2" s="9">
        <f>ROW()-1</f>
        <v>1</v>
      </c>
      <c r="B2" s="7" t="str">
        <f>_xlfn.XLOOKUP(C2,Tab_Def_Flows[Flow_Name],Tab_Def_Flows[Flow_ID],,0,)</f>
        <v>F_00_02</v>
      </c>
      <c r="C2" s="142" t="s">
        <v>588</v>
      </c>
      <c r="D2" s="10" t="str">
        <f>_xlfn.XLOOKUP(C2,Tab_Def_Flows[Flow_Name],Tab_Def_Flows[WC?],,0,)</f>
        <v>Yes</v>
      </c>
      <c r="E2" s="10" t="str">
        <f>_xlfn.XLOOKUP(C2,Tab_Def_Flows[Flow_Name],Tab_Def_Flows[DM?],,0,)</f>
        <v>Yes</v>
      </c>
      <c r="F2" s="10" t="str">
        <f>_xlfn.XLOOKUP(C2,Tab_Def_Flows[Flow_Name],Tab_Def_Flows[CC?],,0,)</f>
        <v>Yes</v>
      </c>
      <c r="G2" s="8">
        <v>1950</v>
      </c>
      <c r="H2" s="23">
        <v>80268.054794520533</v>
      </c>
      <c r="I2" s="8" t="s">
        <v>198</v>
      </c>
      <c r="J2" s="15"/>
      <c r="K2" s="15"/>
      <c r="L2" s="15"/>
      <c r="M2" s="15"/>
      <c r="N2" s="15"/>
      <c r="O2" s="8" t="s">
        <v>6</v>
      </c>
      <c r="P2" s="16"/>
      <c r="Q2" s="8"/>
      <c r="R2" s="7" t="str">
        <f>Tab_Data_Flows[[#This Row],[Flow_ID]]&amp;"_"&amp;"material_"&amp;Tab_Data_Flows[[#This Row],[Flow_Data_Year]]</f>
        <v>F_00_02_material_1950</v>
      </c>
      <c r="S2" s="14">
        <f>IF(O2="no",H2,H2*P2)</f>
        <v>80268.054794520533</v>
      </c>
      <c r="T2" s="8" t="s">
        <v>198</v>
      </c>
      <c r="U2" s="143">
        <f>INDEX(Tab_Def_Flows[[Flow_ID]:[CC_DM_source]],MATCH(Tab_Data_Flows[[#This Row],[Flow_Name]],Tab_Def_Flows[Flow_Name],0),11)</f>
        <v>0</v>
      </c>
      <c r="V2" s="7" t="str">
        <f>Tab_Data_Flows[[#This Row],[Flow_ID]]&amp;"_"&amp;"WC_"&amp;Tab_Data_Flows[[#This Row],[Flow_Data_Year]]</f>
        <v>F_00_02_WC_1950</v>
      </c>
      <c r="W2" s="7">
        <f>IF(D2="Yes",S2*Tab_Data_Flows[[#This Row],[WC_'[%']]],"N.A.")</f>
        <v>0</v>
      </c>
      <c r="X2" s="7" t="str">
        <f>Tab_Data_Flows[[#This Row],[UoM_Flow_Py]]</f>
        <v>Mg</v>
      </c>
      <c r="Y2" s="143">
        <f>INDEX(Tab_Def_Flows[[Flow_ID]:[CC_DM_source]],MATCH(Tab_Data_Flows[[#This Row],[Flow_Name]],Tab_Def_Flows[Flow_Name],0),14)</f>
        <v>1</v>
      </c>
      <c r="Z2" s="7" t="str">
        <f>Tab_Data_Flows[[#This Row],[Flow_ID]]&amp;"_"&amp;"DM_"&amp;Tab_Data_Flows[[#This Row],[Flow_Data_Year]]</f>
        <v>F_00_02_DM_1950</v>
      </c>
      <c r="AA2" s="7">
        <f>IF(E2="Yes",Y2*Tab_Data_Flows[[#This Row],[Flow_Material]],"N.A.")</f>
        <v>80268.054794520533</v>
      </c>
      <c r="AB2" s="7" t="str">
        <f>Tab_Data_Flows[[#This Row],[UoM_Flow_Py]]</f>
        <v>Mg</v>
      </c>
      <c r="AC2" s="143">
        <f>INDEX(Tab_Def_Flows[[Flow_ID]:[CC_DM_source]],MATCH(Tab_Data_Flows[[#This Row],[Flow_Name]],Tab_Def_Flows[Flow_Name],0),17)</f>
        <v>1</v>
      </c>
      <c r="AD2" s="7" t="str">
        <f>Tab_Data_Flows[[#This Row],[Flow_ID]]&amp;"_"&amp;"CC_"&amp;Tab_Data_Flows[[#This Row],[Flow_Data_Year]]</f>
        <v>F_00_02_CC_1950</v>
      </c>
      <c r="AE2" s="7">
        <f>IF(F2="Yes",AC2*Tab_Data_Flows[[#This Row],[Flow_Material]]*Tab_Data_Flows[[#This Row],[DM_'[%']]],"N.A.")</f>
        <v>80268.054794520533</v>
      </c>
      <c r="AF2" s="7" t="str">
        <f>Tab_Data_Flows[[#This Row],[UoM_Flow_Py]]</f>
        <v>Mg</v>
      </c>
      <c r="AG2"/>
    </row>
    <row r="3" spans="1:33" x14ac:dyDescent="0.25">
      <c r="A3" s="9">
        <f t="shared" ref="A3:A66" si="0">ROW()-1</f>
        <v>2</v>
      </c>
      <c r="B3" s="7" t="str">
        <f>_xlfn.XLOOKUP(C3,Tab_Def_Flows[Flow_Name],Tab_Def_Flows[Flow_ID],,0,)</f>
        <v>F_00_02</v>
      </c>
      <c r="C3" s="142" t="s">
        <v>588</v>
      </c>
      <c r="D3" s="10" t="str">
        <f>_xlfn.XLOOKUP(C3,Tab_Def_Flows[Flow_Name],Tab_Def_Flows[WC?],,0,)</f>
        <v>Yes</v>
      </c>
      <c r="E3" s="10" t="str">
        <f>_xlfn.XLOOKUP(C3,Tab_Def_Flows[Flow_Name],Tab_Def_Flows[DM?],,0,)</f>
        <v>Yes</v>
      </c>
      <c r="F3" s="10" t="str">
        <f>_xlfn.XLOOKUP(C3,Tab_Def_Flows[Flow_Name],Tab_Def_Flows[CC?],,0,)</f>
        <v>Yes</v>
      </c>
      <c r="G3" s="8">
        <v>1951</v>
      </c>
      <c r="H3" s="23">
        <v>86097.753424657552</v>
      </c>
      <c r="I3" s="8" t="s">
        <v>198</v>
      </c>
      <c r="J3" s="15"/>
      <c r="K3" s="15"/>
      <c r="L3" s="15"/>
      <c r="M3" s="15"/>
      <c r="N3" s="15"/>
      <c r="O3" s="8" t="s">
        <v>6</v>
      </c>
      <c r="P3" s="16"/>
      <c r="Q3" s="8"/>
      <c r="R3" s="7" t="str">
        <f>Tab_Data_Flows[[#This Row],[Flow_ID]]&amp;"_"&amp;"material_"&amp;Tab_Data_Flows[[#This Row],[Flow_Data_Year]]</f>
        <v>F_00_02_material_1951</v>
      </c>
      <c r="S3" s="14">
        <f>IF(O3="no",H3,H3*P3)</f>
        <v>86097.753424657552</v>
      </c>
      <c r="T3" s="8" t="s">
        <v>198</v>
      </c>
      <c r="U3" s="143">
        <f>INDEX(Tab_Def_Flows[[Flow_ID]:[CC_DM_source]],MATCH(Tab_Data_Flows[[#This Row],[Flow_Name]],Tab_Def_Flows[Flow_Name],0),11)</f>
        <v>0</v>
      </c>
      <c r="V3" s="7" t="str">
        <f>Tab_Data_Flows[[#This Row],[Flow_ID]]&amp;"_"&amp;"WC_"&amp;Tab_Data_Flows[[#This Row],[Flow_Data_Year]]</f>
        <v>F_00_02_WC_1951</v>
      </c>
      <c r="W3" s="7">
        <f>IF(D3="Yes",S3*Tab_Data_Flows[[#This Row],[WC_'[%']]],"N.A.")</f>
        <v>0</v>
      </c>
      <c r="X3" s="7" t="str">
        <f>Tab_Data_Flows[[#This Row],[UoM_Flow_Py]]</f>
        <v>Mg</v>
      </c>
      <c r="Y3" s="143">
        <f>INDEX(Tab_Def_Flows[[Flow_ID]:[CC_DM_source]],MATCH(Tab_Data_Flows[[#This Row],[Flow_Name]],Tab_Def_Flows[Flow_Name],0),14)</f>
        <v>1</v>
      </c>
      <c r="Z3" s="7" t="str">
        <f>Tab_Data_Flows[[#This Row],[Flow_ID]]&amp;"_"&amp;"DM_"&amp;Tab_Data_Flows[[#This Row],[Flow_Data_Year]]</f>
        <v>F_00_02_DM_1951</v>
      </c>
      <c r="AA3" s="7">
        <f>IF(E3="Yes",Y3*Tab_Data_Flows[[#This Row],[Flow_Material]],"N.A.")</f>
        <v>86097.753424657552</v>
      </c>
      <c r="AB3" s="7" t="str">
        <f>Tab_Data_Flows[[#This Row],[UoM_Flow_Py]]</f>
        <v>Mg</v>
      </c>
      <c r="AC3" s="143">
        <f>INDEX(Tab_Def_Flows[[Flow_ID]:[CC_DM_source]],MATCH(Tab_Data_Flows[[#This Row],[Flow_Name]],Tab_Def_Flows[Flow_Name],0),17)</f>
        <v>1</v>
      </c>
      <c r="AD3" s="7" t="str">
        <f>Tab_Data_Flows[[#This Row],[Flow_ID]]&amp;"_"&amp;"CC_"&amp;Tab_Data_Flows[[#This Row],[Flow_Data_Year]]</f>
        <v>F_00_02_CC_1951</v>
      </c>
      <c r="AE3" s="7">
        <f>IF(F3="Yes",AC3*Tab_Data_Flows[[#This Row],[Flow_Material]]*Tab_Data_Flows[[#This Row],[DM_'[%']]],"N.A.")</f>
        <v>86097.753424657552</v>
      </c>
      <c r="AF3" s="7" t="str">
        <f>Tab_Data_Flows[[#This Row],[UoM_Flow_Py]]</f>
        <v>Mg</v>
      </c>
      <c r="AG3"/>
    </row>
    <row r="4" spans="1:33" x14ac:dyDescent="0.25">
      <c r="A4" s="9">
        <f t="shared" si="0"/>
        <v>3</v>
      </c>
      <c r="B4" s="7" t="str">
        <f>_xlfn.XLOOKUP(C4,Tab_Def_Flows[Flow_Name],Tab_Def_Flows[Flow_ID],,0,)</f>
        <v>F_00_02</v>
      </c>
      <c r="C4" s="142" t="s">
        <v>588</v>
      </c>
      <c r="D4" s="10" t="str">
        <f>_xlfn.XLOOKUP(C4,Tab_Def_Flows[Flow_Name],Tab_Def_Flows[WC?],,0,)</f>
        <v>Yes</v>
      </c>
      <c r="E4" s="10" t="str">
        <f>_xlfn.XLOOKUP(C4,Tab_Def_Flows[Flow_Name],Tab_Def_Flows[DM?],,0,)</f>
        <v>Yes</v>
      </c>
      <c r="F4" s="10" t="str">
        <f>_xlfn.XLOOKUP(C4,Tab_Def_Flows[Flow_Name],Tab_Def_Flows[CC?],,0,)</f>
        <v>Yes</v>
      </c>
      <c r="G4" s="8">
        <v>1952</v>
      </c>
      <c r="H4" s="23">
        <v>76914.410958904118</v>
      </c>
      <c r="I4" s="8" t="s">
        <v>198</v>
      </c>
      <c r="J4" s="15"/>
      <c r="K4" s="15"/>
      <c r="L4" s="15"/>
      <c r="M4" s="15"/>
      <c r="N4" s="15"/>
      <c r="O4" s="8" t="s">
        <v>6</v>
      </c>
      <c r="P4" s="16"/>
      <c r="Q4" s="8"/>
      <c r="R4" s="7" t="str">
        <f>Tab_Data_Flows[[#This Row],[Flow_ID]]&amp;"_"&amp;"material_"&amp;Tab_Data_Flows[[#This Row],[Flow_Data_Year]]</f>
        <v>F_00_02_material_1952</v>
      </c>
      <c r="S4" s="14">
        <f>IF(O4="no",H4,H4*P4)</f>
        <v>76914.410958904118</v>
      </c>
      <c r="T4" s="8" t="s">
        <v>198</v>
      </c>
      <c r="U4" s="143">
        <f>INDEX(Tab_Def_Flows[[Flow_ID]:[CC_DM_source]],MATCH(Tab_Data_Flows[[#This Row],[Flow_Name]],Tab_Def_Flows[Flow_Name],0),11)</f>
        <v>0</v>
      </c>
      <c r="V4" s="7" t="str">
        <f>Tab_Data_Flows[[#This Row],[Flow_ID]]&amp;"_"&amp;"WC_"&amp;Tab_Data_Flows[[#This Row],[Flow_Data_Year]]</f>
        <v>F_00_02_WC_1952</v>
      </c>
      <c r="W4" s="7">
        <f>IF(D4="Yes",S4*Tab_Data_Flows[[#This Row],[WC_'[%']]],"N.A.")</f>
        <v>0</v>
      </c>
      <c r="X4" s="7" t="str">
        <f>Tab_Data_Flows[[#This Row],[UoM_Flow_Py]]</f>
        <v>Mg</v>
      </c>
      <c r="Y4" s="143">
        <f>INDEX(Tab_Def_Flows[[Flow_ID]:[CC_DM_source]],MATCH(Tab_Data_Flows[[#This Row],[Flow_Name]],Tab_Def_Flows[Flow_Name],0),14)</f>
        <v>1</v>
      </c>
      <c r="Z4" s="7" t="str">
        <f>Tab_Data_Flows[[#This Row],[Flow_ID]]&amp;"_"&amp;"DM_"&amp;Tab_Data_Flows[[#This Row],[Flow_Data_Year]]</f>
        <v>F_00_02_DM_1952</v>
      </c>
      <c r="AA4" s="7">
        <f>IF(E4="Yes",Y4*Tab_Data_Flows[[#This Row],[Flow_Material]],"N.A.")</f>
        <v>76914.410958904118</v>
      </c>
      <c r="AB4" s="7" t="str">
        <f>Tab_Data_Flows[[#This Row],[UoM_Flow_Py]]</f>
        <v>Mg</v>
      </c>
      <c r="AC4" s="143">
        <f>INDEX(Tab_Def_Flows[[Flow_ID]:[CC_DM_source]],MATCH(Tab_Data_Flows[[#This Row],[Flow_Name]],Tab_Def_Flows[Flow_Name],0),17)</f>
        <v>1</v>
      </c>
      <c r="AD4" s="7" t="str">
        <f>Tab_Data_Flows[[#This Row],[Flow_ID]]&amp;"_"&amp;"CC_"&amp;Tab_Data_Flows[[#This Row],[Flow_Data_Year]]</f>
        <v>F_00_02_CC_1952</v>
      </c>
      <c r="AE4" s="7">
        <f>IF(F4="Yes",AC4*Tab_Data_Flows[[#This Row],[Flow_Material]]*Tab_Data_Flows[[#This Row],[DM_'[%']]],"N.A.")</f>
        <v>76914.410958904118</v>
      </c>
      <c r="AF4" s="7" t="str">
        <f>Tab_Data_Flows[[#This Row],[UoM_Flow_Py]]</f>
        <v>Mg</v>
      </c>
      <c r="AG4"/>
    </row>
    <row r="5" spans="1:33" x14ac:dyDescent="0.25">
      <c r="A5" s="9">
        <f t="shared" si="0"/>
        <v>4</v>
      </c>
      <c r="B5" s="7" t="str">
        <f>_xlfn.XLOOKUP(C5,Tab_Def_Flows[Flow_Name],Tab_Def_Flows[Flow_ID],,0,)</f>
        <v>F_00_02</v>
      </c>
      <c r="C5" s="142" t="s">
        <v>588</v>
      </c>
      <c r="D5" s="10" t="str">
        <f>_xlfn.XLOOKUP(C5,Tab_Def_Flows[Flow_Name],Tab_Def_Flows[WC?],,0,)</f>
        <v>Yes</v>
      </c>
      <c r="E5" s="10" t="str">
        <f>_xlfn.XLOOKUP(C5,Tab_Def_Flows[Flow_Name],Tab_Def_Flows[DM?],,0,)</f>
        <v>Yes</v>
      </c>
      <c r="F5" s="10" t="str">
        <f>_xlfn.XLOOKUP(C5,Tab_Def_Flows[Flow_Name],Tab_Def_Flows[CC?],,0,)</f>
        <v>Yes</v>
      </c>
      <c r="G5" s="8">
        <v>1953</v>
      </c>
      <c r="H5" s="23">
        <v>74124.931506849302</v>
      </c>
      <c r="I5" s="8" t="s">
        <v>198</v>
      </c>
      <c r="J5" s="15"/>
      <c r="K5" s="15"/>
      <c r="L5" s="15"/>
      <c r="M5" s="15"/>
      <c r="N5" s="15"/>
      <c r="O5" s="8" t="s">
        <v>6</v>
      </c>
      <c r="P5" s="16"/>
      <c r="Q5" s="8"/>
      <c r="R5" s="7" t="str">
        <f>Tab_Data_Flows[[#This Row],[Flow_ID]]&amp;"_"&amp;"material_"&amp;Tab_Data_Flows[[#This Row],[Flow_Data_Year]]</f>
        <v>F_00_02_material_1953</v>
      </c>
      <c r="S5" s="14">
        <f>IF(O5="no",H5,H5*P5)</f>
        <v>74124.931506849302</v>
      </c>
      <c r="T5" s="8" t="s">
        <v>198</v>
      </c>
      <c r="U5" s="143">
        <f>INDEX(Tab_Def_Flows[[Flow_ID]:[CC_DM_source]],MATCH(Tab_Data_Flows[[#This Row],[Flow_Name]],Tab_Def_Flows[Flow_Name],0),11)</f>
        <v>0</v>
      </c>
      <c r="V5" s="7" t="str">
        <f>Tab_Data_Flows[[#This Row],[Flow_ID]]&amp;"_"&amp;"WC_"&amp;Tab_Data_Flows[[#This Row],[Flow_Data_Year]]</f>
        <v>F_00_02_WC_1953</v>
      </c>
      <c r="W5" s="7">
        <f>IF(D5="Yes",S5*Tab_Data_Flows[[#This Row],[WC_'[%']]],"N.A.")</f>
        <v>0</v>
      </c>
      <c r="X5" s="7" t="str">
        <f>Tab_Data_Flows[[#This Row],[UoM_Flow_Py]]</f>
        <v>Mg</v>
      </c>
      <c r="Y5" s="143">
        <f>INDEX(Tab_Def_Flows[[Flow_ID]:[CC_DM_source]],MATCH(Tab_Data_Flows[[#This Row],[Flow_Name]],Tab_Def_Flows[Flow_Name],0),14)</f>
        <v>1</v>
      </c>
      <c r="Z5" s="7" t="str">
        <f>Tab_Data_Flows[[#This Row],[Flow_ID]]&amp;"_"&amp;"DM_"&amp;Tab_Data_Flows[[#This Row],[Flow_Data_Year]]</f>
        <v>F_00_02_DM_1953</v>
      </c>
      <c r="AA5" s="7">
        <f>IF(E5="Yes",Y5*Tab_Data_Flows[[#This Row],[Flow_Material]],"N.A.")</f>
        <v>74124.931506849302</v>
      </c>
      <c r="AB5" s="7" t="str">
        <f>Tab_Data_Flows[[#This Row],[UoM_Flow_Py]]</f>
        <v>Mg</v>
      </c>
      <c r="AC5" s="143">
        <f>INDEX(Tab_Def_Flows[[Flow_ID]:[CC_DM_source]],MATCH(Tab_Data_Flows[[#This Row],[Flow_Name]],Tab_Def_Flows[Flow_Name],0),17)</f>
        <v>1</v>
      </c>
      <c r="AD5" s="7" t="str">
        <f>Tab_Data_Flows[[#This Row],[Flow_ID]]&amp;"_"&amp;"CC_"&amp;Tab_Data_Flows[[#This Row],[Flow_Data_Year]]</f>
        <v>F_00_02_CC_1953</v>
      </c>
      <c r="AE5" s="7">
        <f>IF(F5="Yes",AC5*Tab_Data_Flows[[#This Row],[Flow_Material]]*Tab_Data_Flows[[#This Row],[DM_'[%']]],"N.A.")</f>
        <v>74124.931506849302</v>
      </c>
      <c r="AF5" s="7" t="str">
        <f>Tab_Data_Flows[[#This Row],[UoM_Flow_Py]]</f>
        <v>Mg</v>
      </c>
      <c r="AG5"/>
    </row>
    <row r="6" spans="1:33" x14ac:dyDescent="0.25">
      <c r="A6" s="9">
        <f t="shared" si="0"/>
        <v>5</v>
      </c>
      <c r="B6" s="7" t="str">
        <f>_xlfn.XLOOKUP(C6,Tab_Def_Flows[Flow_Name],Tab_Def_Flows[Flow_ID],,0,)</f>
        <v>F_00_02</v>
      </c>
      <c r="C6" s="142" t="s">
        <v>588</v>
      </c>
      <c r="D6" s="10" t="str">
        <f>_xlfn.XLOOKUP(C6,Tab_Def_Flows[Flow_Name],Tab_Def_Flows[WC?],,0,)</f>
        <v>Yes</v>
      </c>
      <c r="E6" s="10" t="str">
        <f>_xlfn.XLOOKUP(C6,Tab_Def_Flows[Flow_Name],Tab_Def_Flows[DM?],,0,)</f>
        <v>Yes</v>
      </c>
      <c r="F6" s="10" t="str">
        <f>_xlfn.XLOOKUP(C6,Tab_Def_Flows[Flow_Name],Tab_Def_Flows[CC?],,0,)</f>
        <v>Yes</v>
      </c>
      <c r="G6" s="8">
        <v>1954</v>
      </c>
      <c r="H6" s="23">
        <v>71460.821917808236</v>
      </c>
      <c r="I6" s="8" t="s">
        <v>198</v>
      </c>
      <c r="J6" s="15"/>
      <c r="K6" s="15"/>
      <c r="L6" s="15"/>
      <c r="M6" s="15"/>
      <c r="N6" s="15"/>
      <c r="O6" s="8" t="s">
        <v>6</v>
      </c>
      <c r="P6" s="16"/>
      <c r="Q6" s="8"/>
      <c r="R6" s="7" t="str">
        <f>Tab_Data_Flows[[#This Row],[Flow_ID]]&amp;"_"&amp;"material_"&amp;Tab_Data_Flows[[#This Row],[Flow_Data_Year]]</f>
        <v>F_00_02_material_1954</v>
      </c>
      <c r="S6" s="14">
        <f>IF(O6="no",H6,H6*P6)</f>
        <v>71460.821917808236</v>
      </c>
      <c r="T6" s="8" t="s">
        <v>198</v>
      </c>
      <c r="U6" s="143">
        <f>INDEX(Tab_Def_Flows[[Flow_ID]:[CC_DM_source]],MATCH(Tab_Data_Flows[[#This Row],[Flow_Name]],Tab_Def_Flows[Flow_Name],0),11)</f>
        <v>0</v>
      </c>
      <c r="V6" s="7" t="str">
        <f>Tab_Data_Flows[[#This Row],[Flow_ID]]&amp;"_"&amp;"WC_"&amp;Tab_Data_Flows[[#This Row],[Flow_Data_Year]]</f>
        <v>F_00_02_WC_1954</v>
      </c>
      <c r="W6" s="7">
        <f>IF(D6="Yes",S6*Tab_Data_Flows[[#This Row],[WC_'[%']]],"N.A.")</f>
        <v>0</v>
      </c>
      <c r="X6" s="7" t="str">
        <f>Tab_Data_Flows[[#This Row],[UoM_Flow_Py]]</f>
        <v>Mg</v>
      </c>
      <c r="Y6" s="143">
        <f>INDEX(Tab_Def_Flows[[Flow_ID]:[CC_DM_source]],MATCH(Tab_Data_Flows[[#This Row],[Flow_Name]],Tab_Def_Flows[Flow_Name],0),14)</f>
        <v>1</v>
      </c>
      <c r="Z6" s="7" t="str">
        <f>Tab_Data_Flows[[#This Row],[Flow_ID]]&amp;"_"&amp;"DM_"&amp;Tab_Data_Flows[[#This Row],[Flow_Data_Year]]</f>
        <v>F_00_02_DM_1954</v>
      </c>
      <c r="AA6" s="7">
        <f>IF(E6="Yes",Y6*Tab_Data_Flows[[#This Row],[Flow_Material]],"N.A.")</f>
        <v>71460.821917808236</v>
      </c>
      <c r="AB6" s="7" t="str">
        <f>Tab_Data_Flows[[#This Row],[UoM_Flow_Py]]</f>
        <v>Mg</v>
      </c>
      <c r="AC6" s="143">
        <f>INDEX(Tab_Def_Flows[[Flow_ID]:[CC_DM_source]],MATCH(Tab_Data_Flows[[#This Row],[Flow_Name]],Tab_Def_Flows[Flow_Name],0),17)</f>
        <v>1</v>
      </c>
      <c r="AD6" s="7" t="str">
        <f>Tab_Data_Flows[[#This Row],[Flow_ID]]&amp;"_"&amp;"CC_"&amp;Tab_Data_Flows[[#This Row],[Flow_Data_Year]]</f>
        <v>F_00_02_CC_1954</v>
      </c>
      <c r="AE6" s="7">
        <f>IF(F6="Yes",AC6*Tab_Data_Flows[[#This Row],[Flow_Material]]*Tab_Data_Flows[[#This Row],[DM_'[%']]],"N.A.")</f>
        <v>71460.821917808236</v>
      </c>
      <c r="AF6" s="7" t="str">
        <f>Tab_Data_Flows[[#This Row],[UoM_Flow_Py]]</f>
        <v>Mg</v>
      </c>
      <c r="AG6"/>
    </row>
    <row r="7" spans="1:33" x14ac:dyDescent="0.25">
      <c r="A7" s="9">
        <f t="shared" si="0"/>
        <v>6</v>
      </c>
      <c r="B7" s="7" t="str">
        <f>_xlfn.XLOOKUP(C7,Tab_Def_Flows[Flow_Name],Tab_Def_Flows[Flow_ID],,0,)</f>
        <v>F_00_02</v>
      </c>
      <c r="C7" s="142" t="s">
        <v>588</v>
      </c>
      <c r="D7" s="10" t="str">
        <f>_xlfn.XLOOKUP(C7,Tab_Def_Flows[Flow_Name],Tab_Def_Flows[WC?],,0,)</f>
        <v>Yes</v>
      </c>
      <c r="E7" s="10" t="str">
        <f>_xlfn.XLOOKUP(C7,Tab_Def_Flows[Flow_Name],Tab_Def_Flows[DM?],,0,)</f>
        <v>Yes</v>
      </c>
      <c r="F7" s="10" t="str">
        <f>_xlfn.XLOOKUP(C7,Tab_Def_Flows[Flow_Name],Tab_Def_Flows[CC?],,0,)</f>
        <v>Yes</v>
      </c>
      <c r="G7" s="8">
        <v>1955</v>
      </c>
      <c r="H7" s="23">
        <v>79735.23287671234</v>
      </c>
      <c r="I7" s="8" t="s">
        <v>198</v>
      </c>
      <c r="J7" s="15"/>
      <c r="K7" s="15"/>
      <c r="L7" s="15"/>
      <c r="M7" s="15"/>
      <c r="N7" s="15"/>
      <c r="O7" s="8" t="s">
        <v>6</v>
      </c>
      <c r="P7" s="16"/>
      <c r="Q7" s="8"/>
      <c r="R7" s="7" t="str">
        <f>Tab_Data_Flows[[#This Row],[Flow_ID]]&amp;"_"&amp;"material_"&amp;Tab_Data_Flows[[#This Row],[Flow_Data_Year]]</f>
        <v>F_00_02_material_1955</v>
      </c>
      <c r="S7" s="14">
        <f>IF(O7="no",H7,H7*P7)</f>
        <v>79735.23287671234</v>
      </c>
      <c r="T7" s="8" t="s">
        <v>198</v>
      </c>
      <c r="U7" s="143">
        <f>INDEX(Tab_Def_Flows[[Flow_ID]:[CC_DM_source]],MATCH(Tab_Data_Flows[[#This Row],[Flow_Name]],Tab_Def_Flows[Flow_Name],0),11)</f>
        <v>0</v>
      </c>
      <c r="V7" s="7" t="str">
        <f>Tab_Data_Flows[[#This Row],[Flow_ID]]&amp;"_"&amp;"WC_"&amp;Tab_Data_Flows[[#This Row],[Flow_Data_Year]]</f>
        <v>F_00_02_WC_1955</v>
      </c>
      <c r="W7" s="7">
        <f>IF(D7="Yes",S7*Tab_Data_Flows[[#This Row],[WC_'[%']]],"N.A.")</f>
        <v>0</v>
      </c>
      <c r="X7" s="7" t="str">
        <f>Tab_Data_Flows[[#This Row],[UoM_Flow_Py]]</f>
        <v>Mg</v>
      </c>
      <c r="Y7" s="143">
        <f>INDEX(Tab_Def_Flows[[Flow_ID]:[CC_DM_source]],MATCH(Tab_Data_Flows[[#This Row],[Flow_Name]],Tab_Def_Flows[Flow_Name],0),14)</f>
        <v>1</v>
      </c>
      <c r="Z7" s="7" t="str">
        <f>Tab_Data_Flows[[#This Row],[Flow_ID]]&amp;"_"&amp;"DM_"&amp;Tab_Data_Flows[[#This Row],[Flow_Data_Year]]</f>
        <v>F_00_02_DM_1955</v>
      </c>
      <c r="AA7" s="7">
        <f>IF(E7="Yes",Y7*Tab_Data_Flows[[#This Row],[Flow_Material]],"N.A.")</f>
        <v>79735.23287671234</v>
      </c>
      <c r="AB7" s="7" t="str">
        <f>Tab_Data_Flows[[#This Row],[UoM_Flow_Py]]</f>
        <v>Mg</v>
      </c>
      <c r="AC7" s="143">
        <f>INDEX(Tab_Def_Flows[[Flow_ID]:[CC_DM_source]],MATCH(Tab_Data_Flows[[#This Row],[Flow_Name]],Tab_Def_Flows[Flow_Name],0),17)</f>
        <v>1</v>
      </c>
      <c r="AD7" s="7" t="str">
        <f>Tab_Data_Flows[[#This Row],[Flow_ID]]&amp;"_"&amp;"CC_"&amp;Tab_Data_Flows[[#This Row],[Flow_Data_Year]]</f>
        <v>F_00_02_CC_1955</v>
      </c>
      <c r="AE7" s="7">
        <f>IF(F7="Yes",AC7*Tab_Data_Flows[[#This Row],[Flow_Material]]*Tab_Data_Flows[[#This Row],[DM_'[%']]],"N.A.")</f>
        <v>79735.23287671234</v>
      </c>
      <c r="AF7" s="7" t="str">
        <f>Tab_Data_Flows[[#This Row],[UoM_Flow_Py]]</f>
        <v>Mg</v>
      </c>
      <c r="AG7"/>
    </row>
    <row r="8" spans="1:33" x14ac:dyDescent="0.25">
      <c r="A8" s="9">
        <f t="shared" si="0"/>
        <v>7</v>
      </c>
      <c r="B8" s="7" t="str">
        <f>_xlfn.XLOOKUP(C8,Tab_Def_Flows[Flow_Name],Tab_Def_Flows[Flow_ID],,0,)</f>
        <v>F_00_02</v>
      </c>
      <c r="C8" s="142" t="s">
        <v>588</v>
      </c>
      <c r="D8" s="10" t="str">
        <f>_xlfn.XLOOKUP(C8,Tab_Def_Flows[Flow_Name],Tab_Def_Flows[WC?],,0,)</f>
        <v>Yes</v>
      </c>
      <c r="E8" s="10" t="str">
        <f>_xlfn.XLOOKUP(C8,Tab_Def_Flows[Flow_Name],Tab_Def_Flows[DM?],,0,)</f>
        <v>Yes</v>
      </c>
      <c r="F8" s="10" t="str">
        <f>_xlfn.XLOOKUP(C8,Tab_Def_Flows[Flow_Name],Tab_Def_Flows[CC?],,0,)</f>
        <v>Yes</v>
      </c>
      <c r="G8" s="8">
        <v>1956</v>
      </c>
      <c r="H8" s="23">
        <v>67919.123287671246</v>
      </c>
      <c r="I8" s="8" t="s">
        <v>198</v>
      </c>
      <c r="J8" s="15"/>
      <c r="K8" s="15"/>
      <c r="L8" s="15"/>
      <c r="M8" s="15"/>
      <c r="N8" s="15"/>
      <c r="O8" s="8" t="s">
        <v>6</v>
      </c>
      <c r="P8" s="16"/>
      <c r="Q8" s="8"/>
      <c r="R8" s="7" t="str">
        <f>Tab_Data_Flows[[#This Row],[Flow_ID]]&amp;"_"&amp;"material_"&amp;Tab_Data_Flows[[#This Row],[Flow_Data_Year]]</f>
        <v>F_00_02_material_1956</v>
      </c>
      <c r="S8" s="14">
        <f>IF(O8="no",H8,H8*P8)</f>
        <v>67919.123287671246</v>
      </c>
      <c r="T8" s="8" t="s">
        <v>198</v>
      </c>
      <c r="U8" s="143">
        <f>INDEX(Tab_Def_Flows[[Flow_ID]:[CC_DM_source]],MATCH(Tab_Data_Flows[[#This Row],[Flow_Name]],Tab_Def_Flows[Flow_Name],0),11)</f>
        <v>0</v>
      </c>
      <c r="V8" s="7" t="str">
        <f>Tab_Data_Flows[[#This Row],[Flow_ID]]&amp;"_"&amp;"WC_"&amp;Tab_Data_Flows[[#This Row],[Flow_Data_Year]]</f>
        <v>F_00_02_WC_1956</v>
      </c>
      <c r="W8" s="7">
        <f>IF(D8="Yes",S8*Tab_Data_Flows[[#This Row],[WC_'[%']]],"N.A.")</f>
        <v>0</v>
      </c>
      <c r="X8" s="7" t="str">
        <f>Tab_Data_Flows[[#This Row],[UoM_Flow_Py]]</f>
        <v>Mg</v>
      </c>
      <c r="Y8" s="143">
        <f>INDEX(Tab_Def_Flows[[Flow_ID]:[CC_DM_source]],MATCH(Tab_Data_Flows[[#This Row],[Flow_Name]],Tab_Def_Flows[Flow_Name],0),14)</f>
        <v>1</v>
      </c>
      <c r="Z8" s="7" t="str">
        <f>Tab_Data_Flows[[#This Row],[Flow_ID]]&amp;"_"&amp;"DM_"&amp;Tab_Data_Flows[[#This Row],[Flow_Data_Year]]</f>
        <v>F_00_02_DM_1956</v>
      </c>
      <c r="AA8" s="7">
        <f>IF(E8="Yes",Y8*Tab_Data_Flows[[#This Row],[Flow_Material]],"N.A.")</f>
        <v>67919.123287671246</v>
      </c>
      <c r="AB8" s="7" t="str">
        <f>Tab_Data_Flows[[#This Row],[UoM_Flow_Py]]</f>
        <v>Mg</v>
      </c>
      <c r="AC8" s="143">
        <f>INDEX(Tab_Def_Flows[[Flow_ID]:[CC_DM_source]],MATCH(Tab_Data_Flows[[#This Row],[Flow_Name]],Tab_Def_Flows[Flow_Name],0),17)</f>
        <v>1</v>
      </c>
      <c r="AD8" s="7" t="str">
        <f>Tab_Data_Flows[[#This Row],[Flow_ID]]&amp;"_"&amp;"CC_"&amp;Tab_Data_Flows[[#This Row],[Flow_Data_Year]]</f>
        <v>F_00_02_CC_1956</v>
      </c>
      <c r="AE8" s="7">
        <f>IF(F8="Yes",AC8*Tab_Data_Flows[[#This Row],[Flow_Material]]*Tab_Data_Flows[[#This Row],[DM_'[%']]],"N.A.")</f>
        <v>67919.123287671246</v>
      </c>
      <c r="AF8" s="7" t="str">
        <f>Tab_Data_Flows[[#This Row],[UoM_Flow_Py]]</f>
        <v>Mg</v>
      </c>
      <c r="AG8"/>
    </row>
    <row r="9" spans="1:33" x14ac:dyDescent="0.25">
      <c r="A9" s="9">
        <f t="shared" si="0"/>
        <v>8</v>
      </c>
      <c r="B9" s="7" t="str">
        <f>_xlfn.XLOOKUP(C9,Tab_Def_Flows[Flow_Name],Tab_Def_Flows[Flow_ID],,0,)</f>
        <v>F_00_02</v>
      </c>
      <c r="C9" s="142" t="s">
        <v>588</v>
      </c>
      <c r="D9" s="10" t="str">
        <f>_xlfn.XLOOKUP(C9,Tab_Def_Flows[Flow_Name],Tab_Def_Flows[WC?],,0,)</f>
        <v>Yes</v>
      </c>
      <c r="E9" s="10" t="str">
        <f>_xlfn.XLOOKUP(C9,Tab_Def_Flows[Flow_Name],Tab_Def_Flows[DM?],,0,)</f>
        <v>Yes</v>
      </c>
      <c r="F9" s="10" t="str">
        <f>_xlfn.XLOOKUP(C9,Tab_Def_Flows[Flow_Name],Tab_Def_Flows[CC?],,0,)</f>
        <v>Yes</v>
      </c>
      <c r="G9" s="8">
        <v>1957</v>
      </c>
      <c r="H9" s="23">
        <v>74532.383561643859</v>
      </c>
      <c r="I9" s="8" t="s">
        <v>198</v>
      </c>
      <c r="J9" s="15"/>
      <c r="K9" s="15"/>
      <c r="L9" s="15"/>
      <c r="M9" s="15"/>
      <c r="N9" s="15"/>
      <c r="O9" s="8" t="s">
        <v>6</v>
      </c>
      <c r="P9" s="8"/>
      <c r="Q9" s="8"/>
      <c r="R9" s="7" t="str">
        <f>Tab_Data_Flows[[#This Row],[Flow_ID]]&amp;"_"&amp;"material_"&amp;Tab_Data_Flows[[#This Row],[Flow_Data_Year]]</f>
        <v>F_00_02_material_1957</v>
      </c>
      <c r="S9" s="14">
        <f>IF(O9="no",H9,H9*P9)</f>
        <v>74532.383561643859</v>
      </c>
      <c r="T9" s="8" t="s">
        <v>198</v>
      </c>
      <c r="U9" s="143">
        <f>INDEX(Tab_Def_Flows[[Flow_ID]:[CC_DM_source]],MATCH(Tab_Data_Flows[[#This Row],[Flow_Name]],Tab_Def_Flows[Flow_Name],0),11)</f>
        <v>0</v>
      </c>
      <c r="V9" s="7" t="str">
        <f>Tab_Data_Flows[[#This Row],[Flow_ID]]&amp;"_"&amp;"WC_"&amp;Tab_Data_Flows[[#This Row],[Flow_Data_Year]]</f>
        <v>F_00_02_WC_1957</v>
      </c>
      <c r="W9" s="7">
        <f>IF(D9="Yes",S9*Tab_Data_Flows[[#This Row],[WC_'[%']]],"N.A.")</f>
        <v>0</v>
      </c>
      <c r="X9" s="7" t="str">
        <f>Tab_Data_Flows[[#This Row],[UoM_Flow_Py]]</f>
        <v>Mg</v>
      </c>
      <c r="Y9" s="143">
        <f>INDEX(Tab_Def_Flows[[Flow_ID]:[CC_DM_source]],MATCH(Tab_Data_Flows[[#This Row],[Flow_Name]],Tab_Def_Flows[Flow_Name],0),14)</f>
        <v>1</v>
      </c>
      <c r="Z9" s="7" t="str">
        <f>Tab_Data_Flows[[#This Row],[Flow_ID]]&amp;"_"&amp;"DM_"&amp;Tab_Data_Flows[[#This Row],[Flow_Data_Year]]</f>
        <v>F_00_02_DM_1957</v>
      </c>
      <c r="AA9" s="7">
        <f>IF(E9="Yes",Y9*Tab_Data_Flows[[#This Row],[Flow_Material]],"N.A.")</f>
        <v>74532.383561643859</v>
      </c>
      <c r="AB9" s="7" t="str">
        <f>Tab_Data_Flows[[#This Row],[UoM_Flow_Py]]</f>
        <v>Mg</v>
      </c>
      <c r="AC9" s="143">
        <f>INDEX(Tab_Def_Flows[[Flow_ID]:[CC_DM_source]],MATCH(Tab_Data_Flows[[#This Row],[Flow_Name]],Tab_Def_Flows[Flow_Name],0),17)</f>
        <v>1</v>
      </c>
      <c r="AD9" s="7" t="str">
        <f>Tab_Data_Flows[[#This Row],[Flow_ID]]&amp;"_"&amp;"CC_"&amp;Tab_Data_Flows[[#This Row],[Flow_Data_Year]]</f>
        <v>F_00_02_CC_1957</v>
      </c>
      <c r="AE9" s="7">
        <f>IF(F9="Yes",AC9*Tab_Data_Flows[[#This Row],[Flow_Material]]*Tab_Data_Flows[[#This Row],[DM_'[%']]],"N.A.")</f>
        <v>74532.383561643859</v>
      </c>
      <c r="AF9" s="7" t="str">
        <f>Tab_Data_Flows[[#This Row],[UoM_Flow_Py]]</f>
        <v>Mg</v>
      </c>
      <c r="AG9"/>
    </row>
    <row r="10" spans="1:33" x14ac:dyDescent="0.25">
      <c r="A10" s="9">
        <f t="shared" si="0"/>
        <v>9</v>
      </c>
      <c r="B10" s="7" t="str">
        <f>_xlfn.XLOOKUP(C10,Tab_Def_Flows[Flow_Name],Tab_Def_Flows[Flow_ID],,0,)</f>
        <v>F_00_02</v>
      </c>
      <c r="C10" s="142" t="s">
        <v>588</v>
      </c>
      <c r="D10" s="10" t="str">
        <f>_xlfn.XLOOKUP(C10,Tab_Def_Flows[Flow_Name],Tab_Def_Flows[WC?],,0,)</f>
        <v>Yes</v>
      </c>
      <c r="E10" s="10" t="str">
        <f>_xlfn.XLOOKUP(C10,Tab_Def_Flows[Flow_Name],Tab_Def_Flows[DM?],,0,)</f>
        <v>Yes</v>
      </c>
      <c r="F10" s="10" t="str">
        <f>_xlfn.XLOOKUP(C10,Tab_Def_Flows[Flow_Name],Tab_Def_Flows[CC?],,0,)</f>
        <v>Yes</v>
      </c>
      <c r="G10" s="8">
        <v>1958</v>
      </c>
      <c r="H10" s="23">
        <v>75315.945205479453</v>
      </c>
      <c r="I10" s="8" t="s">
        <v>198</v>
      </c>
      <c r="J10" s="15"/>
      <c r="K10" s="15"/>
      <c r="L10" s="15"/>
      <c r="M10" s="15"/>
      <c r="N10" s="15"/>
      <c r="O10" s="8" t="s">
        <v>6</v>
      </c>
      <c r="P10" s="8"/>
      <c r="Q10" s="8"/>
      <c r="R10" s="7" t="str">
        <f>Tab_Data_Flows[[#This Row],[Flow_ID]]&amp;"_"&amp;"material_"&amp;Tab_Data_Flows[[#This Row],[Flow_Data_Year]]</f>
        <v>F_00_02_material_1958</v>
      </c>
      <c r="S10" s="14">
        <f>IF(O10="no",H10,H10*P10)</f>
        <v>75315.945205479453</v>
      </c>
      <c r="T10" s="8" t="s">
        <v>198</v>
      </c>
      <c r="U10" s="143">
        <f>INDEX(Tab_Def_Flows[[Flow_ID]:[CC_DM_source]],MATCH(Tab_Data_Flows[[#This Row],[Flow_Name]],Tab_Def_Flows[Flow_Name],0),11)</f>
        <v>0</v>
      </c>
      <c r="V10" s="7" t="str">
        <f>Tab_Data_Flows[[#This Row],[Flow_ID]]&amp;"_"&amp;"WC_"&amp;Tab_Data_Flows[[#This Row],[Flow_Data_Year]]</f>
        <v>F_00_02_WC_1958</v>
      </c>
      <c r="W10" s="7">
        <f>IF(D10="Yes",S10*Tab_Data_Flows[[#This Row],[WC_'[%']]],"N.A.")</f>
        <v>0</v>
      </c>
      <c r="X10" s="7" t="str">
        <f>Tab_Data_Flows[[#This Row],[UoM_Flow_Py]]</f>
        <v>Mg</v>
      </c>
      <c r="Y10" s="143">
        <f>INDEX(Tab_Def_Flows[[Flow_ID]:[CC_DM_source]],MATCH(Tab_Data_Flows[[#This Row],[Flow_Name]],Tab_Def_Flows[Flow_Name],0),14)</f>
        <v>1</v>
      </c>
      <c r="Z10" s="7" t="str">
        <f>Tab_Data_Flows[[#This Row],[Flow_ID]]&amp;"_"&amp;"DM_"&amp;Tab_Data_Flows[[#This Row],[Flow_Data_Year]]</f>
        <v>F_00_02_DM_1958</v>
      </c>
      <c r="AA10" s="7">
        <f>IF(E10="Yes",Y10*Tab_Data_Flows[[#This Row],[Flow_Material]],"N.A.")</f>
        <v>75315.945205479453</v>
      </c>
      <c r="AB10" s="7" t="str">
        <f>Tab_Data_Flows[[#This Row],[UoM_Flow_Py]]</f>
        <v>Mg</v>
      </c>
      <c r="AC10" s="143">
        <f>INDEX(Tab_Def_Flows[[Flow_ID]:[CC_DM_source]],MATCH(Tab_Data_Flows[[#This Row],[Flow_Name]],Tab_Def_Flows[Flow_Name],0),17)</f>
        <v>1</v>
      </c>
      <c r="AD10" s="7" t="str">
        <f>Tab_Data_Flows[[#This Row],[Flow_ID]]&amp;"_"&amp;"CC_"&amp;Tab_Data_Flows[[#This Row],[Flow_Data_Year]]</f>
        <v>F_00_02_CC_1958</v>
      </c>
      <c r="AE10" s="7">
        <f>IF(F10="Yes",AC10*Tab_Data_Flows[[#This Row],[Flow_Material]]*Tab_Data_Flows[[#This Row],[DM_'[%']]],"N.A.")</f>
        <v>75315.945205479453</v>
      </c>
      <c r="AF10" s="7" t="str">
        <f>Tab_Data_Flows[[#This Row],[UoM_Flow_Py]]</f>
        <v>Mg</v>
      </c>
      <c r="AG10"/>
    </row>
    <row r="11" spans="1:33" x14ac:dyDescent="0.25">
      <c r="A11" s="9">
        <f t="shared" si="0"/>
        <v>10</v>
      </c>
      <c r="B11" s="7" t="str">
        <f>_xlfn.XLOOKUP(C11,Tab_Def_Flows[Flow_Name],Tab_Def_Flows[Flow_ID],,0,)</f>
        <v>F_00_02</v>
      </c>
      <c r="C11" s="142" t="s">
        <v>588</v>
      </c>
      <c r="D11" s="10" t="str">
        <f>_xlfn.XLOOKUP(C11,Tab_Def_Flows[Flow_Name],Tab_Def_Flows[WC?],,0,)</f>
        <v>Yes</v>
      </c>
      <c r="E11" s="10" t="str">
        <f>_xlfn.XLOOKUP(C11,Tab_Def_Flows[Flow_Name],Tab_Def_Flows[DM?],,0,)</f>
        <v>Yes</v>
      </c>
      <c r="F11" s="10" t="str">
        <f>_xlfn.XLOOKUP(C11,Tab_Def_Flows[Flow_Name],Tab_Def_Flows[CC?],,0,)</f>
        <v>Yes</v>
      </c>
      <c r="G11" s="8">
        <v>1959</v>
      </c>
      <c r="H11" s="23">
        <v>74124.931506849302</v>
      </c>
      <c r="I11" s="8" t="s">
        <v>198</v>
      </c>
      <c r="J11" s="15"/>
      <c r="K11" s="15"/>
      <c r="L11" s="15"/>
      <c r="M11" s="15"/>
      <c r="N11" s="15"/>
      <c r="O11" s="8" t="s">
        <v>6</v>
      </c>
      <c r="P11" s="8"/>
      <c r="Q11" s="8"/>
      <c r="R11" s="7" t="str">
        <f>Tab_Data_Flows[[#This Row],[Flow_ID]]&amp;"_"&amp;"material_"&amp;Tab_Data_Flows[[#This Row],[Flow_Data_Year]]</f>
        <v>F_00_02_material_1959</v>
      </c>
      <c r="S11" s="14">
        <f>IF(O11="no",H11,H11*P11)</f>
        <v>74124.931506849302</v>
      </c>
      <c r="T11" s="8" t="s">
        <v>198</v>
      </c>
      <c r="U11" s="143">
        <f>INDEX(Tab_Def_Flows[[Flow_ID]:[CC_DM_source]],MATCH(Tab_Data_Flows[[#This Row],[Flow_Name]],Tab_Def_Flows[Flow_Name],0),11)</f>
        <v>0</v>
      </c>
      <c r="V11" s="7" t="str">
        <f>Tab_Data_Flows[[#This Row],[Flow_ID]]&amp;"_"&amp;"WC_"&amp;Tab_Data_Flows[[#This Row],[Flow_Data_Year]]</f>
        <v>F_00_02_WC_1959</v>
      </c>
      <c r="W11" s="7">
        <f>IF(D11="Yes",S11*Tab_Data_Flows[[#This Row],[WC_'[%']]],"N.A.")</f>
        <v>0</v>
      </c>
      <c r="X11" s="7" t="str">
        <f>Tab_Data_Flows[[#This Row],[UoM_Flow_Py]]</f>
        <v>Mg</v>
      </c>
      <c r="Y11" s="143">
        <f>INDEX(Tab_Def_Flows[[Flow_ID]:[CC_DM_source]],MATCH(Tab_Data_Flows[[#This Row],[Flow_Name]],Tab_Def_Flows[Flow_Name],0),14)</f>
        <v>1</v>
      </c>
      <c r="Z11" s="7" t="str">
        <f>Tab_Data_Flows[[#This Row],[Flow_ID]]&amp;"_"&amp;"DM_"&amp;Tab_Data_Flows[[#This Row],[Flow_Data_Year]]</f>
        <v>F_00_02_DM_1959</v>
      </c>
      <c r="AA11" s="7">
        <f>IF(E11="Yes",Y11*Tab_Data_Flows[[#This Row],[Flow_Material]],"N.A.")</f>
        <v>74124.931506849302</v>
      </c>
      <c r="AB11" s="7" t="str">
        <f>Tab_Data_Flows[[#This Row],[UoM_Flow_Py]]</f>
        <v>Mg</v>
      </c>
      <c r="AC11" s="143">
        <f>INDEX(Tab_Def_Flows[[Flow_ID]:[CC_DM_source]],MATCH(Tab_Data_Flows[[#This Row],[Flow_Name]],Tab_Def_Flows[Flow_Name],0),17)</f>
        <v>1</v>
      </c>
      <c r="AD11" s="7" t="str">
        <f>Tab_Data_Flows[[#This Row],[Flow_ID]]&amp;"_"&amp;"CC_"&amp;Tab_Data_Flows[[#This Row],[Flow_Data_Year]]</f>
        <v>F_00_02_CC_1959</v>
      </c>
      <c r="AE11" s="7">
        <f>IF(F11="Yes",AC11*Tab_Data_Flows[[#This Row],[Flow_Material]]*Tab_Data_Flows[[#This Row],[DM_'[%']]],"N.A.")</f>
        <v>74124.931506849302</v>
      </c>
      <c r="AF11" s="7" t="str">
        <f>Tab_Data_Flows[[#This Row],[UoM_Flow_Py]]</f>
        <v>Mg</v>
      </c>
      <c r="AG11"/>
    </row>
    <row r="12" spans="1:33" x14ac:dyDescent="0.25">
      <c r="A12" s="9">
        <f t="shared" si="0"/>
        <v>11</v>
      </c>
      <c r="B12" s="7" t="str">
        <f>_xlfn.XLOOKUP(C12,Tab_Def_Flows[Flow_Name],Tab_Def_Flows[Flow_ID],,0,)</f>
        <v>F_00_02</v>
      </c>
      <c r="C12" s="142" t="s">
        <v>588</v>
      </c>
      <c r="D12" s="10" t="str">
        <f>_xlfn.XLOOKUP(C12,Tab_Def_Flows[Flow_Name],Tab_Def_Flows[WC?],,0,)</f>
        <v>Yes</v>
      </c>
      <c r="E12" s="10" t="str">
        <f>_xlfn.XLOOKUP(C12,Tab_Def_Flows[Flow_Name],Tab_Def_Flows[DM?],,0,)</f>
        <v>Yes</v>
      </c>
      <c r="F12" s="10" t="str">
        <f>_xlfn.XLOOKUP(C12,Tab_Def_Flows[Flow_Name],Tab_Def_Flows[CC?],,0,)</f>
        <v>Yes</v>
      </c>
      <c r="G12" s="8">
        <v>1960</v>
      </c>
      <c r="H12" s="23">
        <v>77353.205479452052</v>
      </c>
      <c r="I12" s="8" t="s">
        <v>198</v>
      </c>
      <c r="J12" s="15"/>
      <c r="K12" s="15"/>
      <c r="L12" s="15"/>
      <c r="M12" s="15"/>
      <c r="N12" s="15"/>
      <c r="O12" s="8" t="s">
        <v>6</v>
      </c>
      <c r="P12" s="8"/>
      <c r="Q12" s="8"/>
      <c r="R12" s="7" t="str">
        <f>Tab_Data_Flows[[#This Row],[Flow_ID]]&amp;"_"&amp;"material_"&amp;Tab_Data_Flows[[#This Row],[Flow_Data_Year]]</f>
        <v>F_00_02_material_1960</v>
      </c>
      <c r="S12" s="14">
        <f>IF(O12="no",H12,H12*P12)</f>
        <v>77353.205479452052</v>
      </c>
      <c r="T12" s="8" t="s">
        <v>198</v>
      </c>
      <c r="U12" s="143">
        <f>INDEX(Tab_Def_Flows[[Flow_ID]:[CC_DM_source]],MATCH(Tab_Data_Flows[[#This Row],[Flow_Name]],Tab_Def_Flows[Flow_Name],0),11)</f>
        <v>0</v>
      </c>
      <c r="V12" s="7" t="str">
        <f>Tab_Data_Flows[[#This Row],[Flow_ID]]&amp;"_"&amp;"WC_"&amp;Tab_Data_Flows[[#This Row],[Flow_Data_Year]]</f>
        <v>F_00_02_WC_1960</v>
      </c>
      <c r="W12" s="7">
        <f>IF(D12="Yes",S12*Tab_Data_Flows[[#This Row],[WC_'[%']]],"N.A.")</f>
        <v>0</v>
      </c>
      <c r="X12" s="7" t="str">
        <f>Tab_Data_Flows[[#This Row],[UoM_Flow_Py]]</f>
        <v>Mg</v>
      </c>
      <c r="Y12" s="143">
        <f>INDEX(Tab_Def_Flows[[Flow_ID]:[CC_DM_source]],MATCH(Tab_Data_Flows[[#This Row],[Flow_Name]],Tab_Def_Flows[Flow_Name],0),14)</f>
        <v>1</v>
      </c>
      <c r="Z12" s="7" t="str">
        <f>Tab_Data_Flows[[#This Row],[Flow_ID]]&amp;"_"&amp;"DM_"&amp;Tab_Data_Flows[[#This Row],[Flow_Data_Year]]</f>
        <v>F_00_02_DM_1960</v>
      </c>
      <c r="AA12" s="7">
        <f>IF(E12="Yes",Y12*Tab_Data_Flows[[#This Row],[Flow_Material]],"N.A.")</f>
        <v>77353.205479452052</v>
      </c>
      <c r="AB12" s="7" t="str">
        <f>Tab_Data_Flows[[#This Row],[UoM_Flow_Py]]</f>
        <v>Mg</v>
      </c>
      <c r="AC12" s="143">
        <f>INDEX(Tab_Def_Flows[[Flow_ID]:[CC_DM_source]],MATCH(Tab_Data_Flows[[#This Row],[Flow_Name]],Tab_Def_Flows[Flow_Name],0),17)</f>
        <v>1</v>
      </c>
      <c r="AD12" s="7" t="str">
        <f>Tab_Data_Flows[[#This Row],[Flow_ID]]&amp;"_"&amp;"CC_"&amp;Tab_Data_Flows[[#This Row],[Flow_Data_Year]]</f>
        <v>F_00_02_CC_1960</v>
      </c>
      <c r="AE12" s="7">
        <f>IF(F12="Yes",AC12*Tab_Data_Flows[[#This Row],[Flow_Material]]*Tab_Data_Flows[[#This Row],[DM_'[%']]],"N.A.")</f>
        <v>77353.205479452052</v>
      </c>
      <c r="AF12" s="7" t="str">
        <f>Tab_Data_Flows[[#This Row],[UoM_Flow_Py]]</f>
        <v>Mg</v>
      </c>
      <c r="AG12"/>
    </row>
    <row r="13" spans="1:33" x14ac:dyDescent="0.25">
      <c r="A13" s="9">
        <f t="shared" si="0"/>
        <v>12</v>
      </c>
      <c r="B13" s="7" t="str">
        <f>_xlfn.XLOOKUP(C13,Tab_Def_Flows[Flow_Name],Tab_Def_Flows[Flow_ID],,0,)</f>
        <v>F_00_02</v>
      </c>
      <c r="C13" s="142" t="s">
        <v>588</v>
      </c>
      <c r="D13" s="10" t="str">
        <f>_xlfn.XLOOKUP(C13,Tab_Def_Flows[Flow_Name],Tab_Def_Flows[WC?],,0,)</f>
        <v>Yes</v>
      </c>
      <c r="E13" s="10" t="str">
        <f>_xlfn.XLOOKUP(C13,Tab_Def_Flows[Flow_Name],Tab_Def_Flows[DM?],,0,)</f>
        <v>Yes</v>
      </c>
      <c r="F13" s="10" t="str">
        <f>_xlfn.XLOOKUP(C13,Tab_Def_Flows[Flow_Name],Tab_Def_Flows[CC?],,0,)</f>
        <v>Yes</v>
      </c>
      <c r="G13" s="8">
        <v>1961</v>
      </c>
      <c r="H13" s="23">
        <v>82211.287671232858</v>
      </c>
      <c r="I13" s="8" t="s">
        <v>198</v>
      </c>
      <c r="J13" s="15"/>
      <c r="K13" s="15"/>
      <c r="L13" s="15"/>
      <c r="M13" s="15"/>
      <c r="N13" s="15"/>
      <c r="O13" s="8" t="s">
        <v>6</v>
      </c>
      <c r="P13" s="8"/>
      <c r="Q13" s="8"/>
      <c r="R13" s="7" t="str">
        <f>Tab_Data_Flows[[#This Row],[Flow_ID]]&amp;"_"&amp;"material_"&amp;Tab_Data_Flows[[#This Row],[Flow_Data_Year]]</f>
        <v>F_00_02_material_1961</v>
      </c>
      <c r="S13" s="14">
        <f>IF(O13="no",H13,H13*P13)</f>
        <v>82211.287671232858</v>
      </c>
      <c r="T13" s="8" t="s">
        <v>198</v>
      </c>
      <c r="U13" s="143">
        <f>INDEX(Tab_Def_Flows[[Flow_ID]:[CC_DM_source]],MATCH(Tab_Data_Flows[[#This Row],[Flow_Name]],Tab_Def_Flows[Flow_Name],0),11)</f>
        <v>0</v>
      </c>
      <c r="V13" s="7" t="str">
        <f>Tab_Data_Flows[[#This Row],[Flow_ID]]&amp;"_"&amp;"WC_"&amp;Tab_Data_Flows[[#This Row],[Flow_Data_Year]]</f>
        <v>F_00_02_WC_1961</v>
      </c>
      <c r="W13" s="7">
        <f>IF(D13="Yes",S13*Tab_Data_Flows[[#This Row],[WC_'[%']]],"N.A.")</f>
        <v>0</v>
      </c>
      <c r="X13" s="7" t="str">
        <f>Tab_Data_Flows[[#This Row],[UoM_Flow_Py]]</f>
        <v>Mg</v>
      </c>
      <c r="Y13" s="143">
        <f>INDEX(Tab_Def_Flows[[Flow_ID]:[CC_DM_source]],MATCH(Tab_Data_Flows[[#This Row],[Flow_Name]],Tab_Def_Flows[Flow_Name],0),14)</f>
        <v>1</v>
      </c>
      <c r="Z13" s="7" t="str">
        <f>Tab_Data_Flows[[#This Row],[Flow_ID]]&amp;"_"&amp;"DM_"&amp;Tab_Data_Flows[[#This Row],[Flow_Data_Year]]</f>
        <v>F_00_02_DM_1961</v>
      </c>
      <c r="AA13" s="7">
        <f>IF(E13="Yes",Y13*Tab_Data_Flows[[#This Row],[Flow_Material]],"N.A.")</f>
        <v>82211.287671232858</v>
      </c>
      <c r="AB13" s="7" t="str">
        <f>Tab_Data_Flows[[#This Row],[UoM_Flow_Py]]</f>
        <v>Mg</v>
      </c>
      <c r="AC13" s="143">
        <f>INDEX(Tab_Def_Flows[[Flow_ID]:[CC_DM_source]],MATCH(Tab_Data_Flows[[#This Row],[Flow_Name]],Tab_Def_Flows[Flow_Name],0),17)</f>
        <v>1</v>
      </c>
      <c r="AD13" s="7" t="str">
        <f>Tab_Data_Flows[[#This Row],[Flow_ID]]&amp;"_"&amp;"CC_"&amp;Tab_Data_Flows[[#This Row],[Flow_Data_Year]]</f>
        <v>F_00_02_CC_1961</v>
      </c>
      <c r="AE13" s="7">
        <f>IF(F13="Yes",AC13*Tab_Data_Flows[[#This Row],[Flow_Material]]*Tab_Data_Flows[[#This Row],[DM_'[%']]],"N.A.")</f>
        <v>82211.287671232858</v>
      </c>
      <c r="AF13" s="7" t="str">
        <f>Tab_Data_Flows[[#This Row],[UoM_Flow_Py]]</f>
        <v>Mg</v>
      </c>
      <c r="AG13"/>
    </row>
    <row r="14" spans="1:33" x14ac:dyDescent="0.25">
      <c r="A14" s="9">
        <f t="shared" si="0"/>
        <v>13</v>
      </c>
      <c r="B14" s="7" t="str">
        <f>_xlfn.XLOOKUP(C14,Tab_Def_Flows[Flow_Name],Tab_Def_Flows[Flow_ID],,0,)</f>
        <v>F_00_02</v>
      </c>
      <c r="C14" s="142" t="s">
        <v>588</v>
      </c>
      <c r="D14" s="10" t="str">
        <f>_xlfn.XLOOKUP(C14,Tab_Def_Flows[Flow_Name],Tab_Def_Flows[WC?],,0,)</f>
        <v>Yes</v>
      </c>
      <c r="E14" s="10" t="str">
        <f>_xlfn.XLOOKUP(C14,Tab_Def_Flows[Flow_Name],Tab_Def_Flows[DM?],,0,)</f>
        <v>Yes</v>
      </c>
      <c r="F14" s="10" t="str">
        <f>_xlfn.XLOOKUP(C14,Tab_Def_Flows[Flow_Name],Tab_Def_Flows[CC?],,0,)</f>
        <v>Yes</v>
      </c>
      <c r="G14" s="8">
        <v>1962</v>
      </c>
      <c r="H14" s="23">
        <v>84561.972602739741</v>
      </c>
      <c r="I14" s="8" t="s">
        <v>198</v>
      </c>
      <c r="J14" s="15"/>
      <c r="K14" s="15"/>
      <c r="L14" s="15"/>
      <c r="M14" s="15"/>
      <c r="N14" s="15"/>
      <c r="O14" s="8" t="s">
        <v>6</v>
      </c>
      <c r="P14" s="8"/>
      <c r="Q14" s="8"/>
      <c r="R14" s="7" t="str">
        <f>Tab_Data_Flows[[#This Row],[Flow_ID]]&amp;"_"&amp;"material_"&amp;Tab_Data_Flows[[#This Row],[Flow_Data_Year]]</f>
        <v>F_00_02_material_1962</v>
      </c>
      <c r="S14" s="14">
        <f>IF(O14="no",H14,H14*P14)</f>
        <v>84561.972602739741</v>
      </c>
      <c r="T14" s="8" t="s">
        <v>198</v>
      </c>
      <c r="U14" s="143">
        <f>INDEX(Tab_Def_Flows[[Flow_ID]:[CC_DM_source]],MATCH(Tab_Data_Flows[[#This Row],[Flow_Name]],Tab_Def_Flows[Flow_Name],0),11)</f>
        <v>0</v>
      </c>
      <c r="V14" s="7" t="str">
        <f>Tab_Data_Flows[[#This Row],[Flow_ID]]&amp;"_"&amp;"WC_"&amp;Tab_Data_Flows[[#This Row],[Flow_Data_Year]]</f>
        <v>F_00_02_WC_1962</v>
      </c>
      <c r="W14" s="7">
        <f>IF(D14="Yes",S14*Tab_Data_Flows[[#This Row],[WC_'[%']]],"N.A.")</f>
        <v>0</v>
      </c>
      <c r="X14" s="7" t="str">
        <f>Tab_Data_Flows[[#This Row],[UoM_Flow_Py]]</f>
        <v>Mg</v>
      </c>
      <c r="Y14" s="143">
        <f>INDEX(Tab_Def_Flows[[Flow_ID]:[CC_DM_source]],MATCH(Tab_Data_Flows[[#This Row],[Flow_Name]],Tab_Def_Flows[Flow_Name],0),14)</f>
        <v>1</v>
      </c>
      <c r="Z14" s="7" t="str">
        <f>Tab_Data_Flows[[#This Row],[Flow_ID]]&amp;"_"&amp;"DM_"&amp;Tab_Data_Flows[[#This Row],[Flow_Data_Year]]</f>
        <v>F_00_02_DM_1962</v>
      </c>
      <c r="AA14" s="7">
        <f>IF(E14="Yes",Y14*Tab_Data_Flows[[#This Row],[Flow_Material]],"N.A.")</f>
        <v>84561.972602739741</v>
      </c>
      <c r="AB14" s="7" t="str">
        <f>Tab_Data_Flows[[#This Row],[UoM_Flow_Py]]</f>
        <v>Mg</v>
      </c>
      <c r="AC14" s="143">
        <f>INDEX(Tab_Def_Flows[[Flow_ID]:[CC_DM_source]],MATCH(Tab_Data_Flows[[#This Row],[Flow_Name]],Tab_Def_Flows[Flow_Name],0),17)</f>
        <v>1</v>
      </c>
      <c r="AD14" s="7" t="str">
        <f>Tab_Data_Flows[[#This Row],[Flow_ID]]&amp;"_"&amp;"CC_"&amp;Tab_Data_Flows[[#This Row],[Flow_Data_Year]]</f>
        <v>F_00_02_CC_1962</v>
      </c>
      <c r="AE14" s="7">
        <f>IF(F14="Yes",AC14*Tab_Data_Flows[[#This Row],[Flow_Material]]*Tab_Data_Flows[[#This Row],[DM_'[%']]],"N.A.")</f>
        <v>84561.972602739741</v>
      </c>
      <c r="AF14" s="7" t="str">
        <f>Tab_Data_Flows[[#This Row],[UoM_Flow_Py]]</f>
        <v>Mg</v>
      </c>
      <c r="AG14"/>
    </row>
    <row r="15" spans="1:33" x14ac:dyDescent="0.25">
      <c r="A15" s="9">
        <f t="shared" si="0"/>
        <v>14</v>
      </c>
      <c r="B15" s="7" t="str">
        <f>_xlfn.XLOOKUP(C15,Tab_Def_Flows[Flow_Name],Tab_Def_Flows[Flow_ID],,0,)</f>
        <v>F_00_02</v>
      </c>
      <c r="C15" s="142" t="s">
        <v>588</v>
      </c>
      <c r="D15" s="10" t="str">
        <f>_xlfn.XLOOKUP(C15,Tab_Def_Flows[Flow_Name],Tab_Def_Flows[WC?],,0,)</f>
        <v>Yes</v>
      </c>
      <c r="E15" s="10" t="str">
        <f>_xlfn.XLOOKUP(C15,Tab_Def_Flows[Flow_Name],Tab_Def_Flows[DM?],,0,)</f>
        <v>Yes</v>
      </c>
      <c r="F15" s="10" t="str">
        <f>_xlfn.XLOOKUP(C15,Tab_Def_Flows[Flow_Name],Tab_Def_Flows[CC?],,0,)</f>
        <v>Yes</v>
      </c>
      <c r="G15" s="8">
        <v>1963</v>
      </c>
      <c r="H15" s="23">
        <v>75504</v>
      </c>
      <c r="I15" s="8" t="s">
        <v>198</v>
      </c>
      <c r="J15" s="15"/>
      <c r="K15" s="15"/>
      <c r="L15" s="15"/>
      <c r="M15" s="15"/>
      <c r="N15" s="15"/>
      <c r="O15" s="8" t="s">
        <v>6</v>
      </c>
      <c r="P15" s="8"/>
      <c r="Q15" s="8"/>
      <c r="R15" s="7" t="str">
        <f>Tab_Data_Flows[[#This Row],[Flow_ID]]&amp;"_"&amp;"material_"&amp;Tab_Data_Flows[[#This Row],[Flow_Data_Year]]</f>
        <v>F_00_02_material_1963</v>
      </c>
      <c r="S15" s="14">
        <f>IF(O15="no",H15,H15*P15)</f>
        <v>75504</v>
      </c>
      <c r="T15" s="8" t="s">
        <v>198</v>
      </c>
      <c r="U15" s="143">
        <f>INDEX(Tab_Def_Flows[[Flow_ID]:[CC_DM_source]],MATCH(Tab_Data_Flows[[#This Row],[Flow_Name]],Tab_Def_Flows[Flow_Name],0),11)</f>
        <v>0</v>
      </c>
      <c r="V15" s="7" t="str">
        <f>Tab_Data_Flows[[#This Row],[Flow_ID]]&amp;"_"&amp;"WC_"&amp;Tab_Data_Flows[[#This Row],[Flow_Data_Year]]</f>
        <v>F_00_02_WC_1963</v>
      </c>
      <c r="W15" s="7">
        <f>IF(D15="Yes",S15*Tab_Data_Flows[[#This Row],[WC_'[%']]],"N.A.")</f>
        <v>0</v>
      </c>
      <c r="X15" s="7" t="str">
        <f>Tab_Data_Flows[[#This Row],[UoM_Flow_Py]]</f>
        <v>Mg</v>
      </c>
      <c r="Y15" s="143">
        <f>INDEX(Tab_Def_Flows[[Flow_ID]:[CC_DM_source]],MATCH(Tab_Data_Flows[[#This Row],[Flow_Name]],Tab_Def_Flows[Flow_Name],0),14)</f>
        <v>1</v>
      </c>
      <c r="Z15" s="7" t="str">
        <f>Tab_Data_Flows[[#This Row],[Flow_ID]]&amp;"_"&amp;"DM_"&amp;Tab_Data_Flows[[#This Row],[Flow_Data_Year]]</f>
        <v>F_00_02_DM_1963</v>
      </c>
      <c r="AA15" s="7">
        <f>IF(E15="Yes",Y15*Tab_Data_Flows[[#This Row],[Flow_Material]],"N.A.")</f>
        <v>75504</v>
      </c>
      <c r="AB15" s="7" t="str">
        <f>Tab_Data_Flows[[#This Row],[UoM_Flow_Py]]</f>
        <v>Mg</v>
      </c>
      <c r="AC15" s="143">
        <f>INDEX(Tab_Def_Flows[[Flow_ID]:[CC_DM_source]],MATCH(Tab_Data_Flows[[#This Row],[Flow_Name]],Tab_Def_Flows[Flow_Name],0),17)</f>
        <v>1</v>
      </c>
      <c r="AD15" s="7" t="str">
        <f>Tab_Data_Flows[[#This Row],[Flow_ID]]&amp;"_"&amp;"CC_"&amp;Tab_Data_Flows[[#This Row],[Flow_Data_Year]]</f>
        <v>F_00_02_CC_1963</v>
      </c>
      <c r="AE15" s="7">
        <f>IF(F15="Yes",AC15*Tab_Data_Flows[[#This Row],[Flow_Material]]*Tab_Data_Flows[[#This Row],[DM_'[%']]],"N.A.")</f>
        <v>75504</v>
      </c>
      <c r="AF15" s="7" t="str">
        <f>Tab_Data_Flows[[#This Row],[UoM_Flow_Py]]</f>
        <v>Mg</v>
      </c>
      <c r="AG15"/>
    </row>
    <row r="16" spans="1:33" x14ac:dyDescent="0.25">
      <c r="A16" s="9">
        <f t="shared" si="0"/>
        <v>15</v>
      </c>
      <c r="B16" s="7" t="str">
        <f>_xlfn.XLOOKUP(C16,Tab_Def_Flows[Flow_Name],Tab_Def_Flows[Flow_ID],,0,)</f>
        <v>F_00_02</v>
      </c>
      <c r="C16" s="142" t="s">
        <v>588</v>
      </c>
      <c r="D16" s="10" t="str">
        <f>_xlfn.XLOOKUP(C16,Tab_Def_Flows[Flow_Name],Tab_Def_Flows[WC?],,0,)</f>
        <v>Yes</v>
      </c>
      <c r="E16" s="10" t="str">
        <f>_xlfn.XLOOKUP(C16,Tab_Def_Flows[Flow_Name],Tab_Def_Flows[DM?],,0,)</f>
        <v>Yes</v>
      </c>
      <c r="F16" s="10" t="str">
        <f>_xlfn.XLOOKUP(C16,Tab_Def_Flows[Flow_Name],Tab_Def_Flows[CC?],,0,)</f>
        <v>Yes</v>
      </c>
      <c r="G16" s="8">
        <v>1964</v>
      </c>
      <c r="H16" s="23">
        <v>84405.260273972614</v>
      </c>
      <c r="I16" s="8" t="s">
        <v>198</v>
      </c>
      <c r="J16" s="15"/>
      <c r="K16" s="15"/>
      <c r="L16" s="15"/>
      <c r="M16" s="15"/>
      <c r="N16" s="15"/>
      <c r="O16" s="8" t="s">
        <v>6</v>
      </c>
      <c r="P16" s="8"/>
      <c r="Q16" s="8"/>
      <c r="R16" s="7" t="str">
        <f>Tab_Data_Flows[[#This Row],[Flow_ID]]&amp;"_"&amp;"material_"&amp;Tab_Data_Flows[[#This Row],[Flow_Data_Year]]</f>
        <v>F_00_02_material_1964</v>
      </c>
      <c r="S16" s="14">
        <f>IF(O16="no",H16,H16*P16)</f>
        <v>84405.260273972614</v>
      </c>
      <c r="T16" s="8" t="s">
        <v>198</v>
      </c>
      <c r="U16" s="143">
        <f>INDEX(Tab_Def_Flows[[Flow_ID]:[CC_DM_source]],MATCH(Tab_Data_Flows[[#This Row],[Flow_Name]],Tab_Def_Flows[Flow_Name],0),11)</f>
        <v>0</v>
      </c>
      <c r="V16" s="7" t="str">
        <f>Tab_Data_Flows[[#This Row],[Flow_ID]]&amp;"_"&amp;"WC_"&amp;Tab_Data_Flows[[#This Row],[Flow_Data_Year]]</f>
        <v>F_00_02_WC_1964</v>
      </c>
      <c r="W16" s="7">
        <f>IF(D16="Yes",S16*Tab_Data_Flows[[#This Row],[WC_'[%']]],"N.A.")</f>
        <v>0</v>
      </c>
      <c r="X16" s="7" t="str">
        <f>Tab_Data_Flows[[#This Row],[UoM_Flow_Py]]</f>
        <v>Mg</v>
      </c>
      <c r="Y16" s="143">
        <f>INDEX(Tab_Def_Flows[[Flow_ID]:[CC_DM_source]],MATCH(Tab_Data_Flows[[#This Row],[Flow_Name]],Tab_Def_Flows[Flow_Name],0),14)</f>
        <v>1</v>
      </c>
      <c r="Z16" s="7" t="str">
        <f>Tab_Data_Flows[[#This Row],[Flow_ID]]&amp;"_"&amp;"DM_"&amp;Tab_Data_Flows[[#This Row],[Flow_Data_Year]]</f>
        <v>F_00_02_DM_1964</v>
      </c>
      <c r="AA16" s="7">
        <f>IF(E16="Yes",Y16*Tab_Data_Flows[[#This Row],[Flow_Material]],"N.A.")</f>
        <v>84405.260273972614</v>
      </c>
      <c r="AB16" s="7" t="str">
        <f>Tab_Data_Flows[[#This Row],[UoM_Flow_Py]]</f>
        <v>Mg</v>
      </c>
      <c r="AC16" s="143">
        <f>INDEX(Tab_Def_Flows[[Flow_ID]:[CC_DM_source]],MATCH(Tab_Data_Flows[[#This Row],[Flow_Name]],Tab_Def_Flows[Flow_Name],0),17)</f>
        <v>1</v>
      </c>
      <c r="AD16" s="7" t="str">
        <f>Tab_Data_Flows[[#This Row],[Flow_ID]]&amp;"_"&amp;"CC_"&amp;Tab_Data_Flows[[#This Row],[Flow_Data_Year]]</f>
        <v>F_00_02_CC_1964</v>
      </c>
      <c r="AE16" s="7">
        <f>IF(F16="Yes",AC16*Tab_Data_Flows[[#This Row],[Flow_Material]]*Tab_Data_Flows[[#This Row],[DM_'[%']]],"N.A.")</f>
        <v>84405.260273972614</v>
      </c>
      <c r="AF16" s="7" t="str">
        <f>Tab_Data_Flows[[#This Row],[UoM_Flow_Py]]</f>
        <v>Mg</v>
      </c>
      <c r="AG16"/>
    </row>
    <row r="17" spans="1:33" x14ac:dyDescent="0.25">
      <c r="A17" s="9">
        <f t="shared" si="0"/>
        <v>16</v>
      </c>
      <c r="B17" s="7" t="str">
        <f>_xlfn.XLOOKUP(C17,Tab_Def_Flows[Flow_Name],Tab_Def_Flows[Flow_ID],,0,)</f>
        <v>F_00_02</v>
      </c>
      <c r="C17" s="142" t="s">
        <v>588</v>
      </c>
      <c r="D17" s="10" t="str">
        <f>_xlfn.XLOOKUP(C17,Tab_Def_Flows[Flow_Name],Tab_Def_Flows[WC?],,0,)</f>
        <v>Yes</v>
      </c>
      <c r="E17" s="10" t="str">
        <f>_xlfn.XLOOKUP(C17,Tab_Def_Flows[Flow_Name],Tab_Def_Flows[DM?],,0,)</f>
        <v>Yes</v>
      </c>
      <c r="F17" s="10" t="str">
        <f>_xlfn.XLOOKUP(C17,Tab_Def_Flows[Flow_Name],Tab_Def_Flows[CC?],,0,)</f>
        <v>Yes</v>
      </c>
      <c r="G17" s="8">
        <v>1965</v>
      </c>
      <c r="H17" s="23">
        <v>80612.821917808207</v>
      </c>
      <c r="I17" s="8" t="s">
        <v>198</v>
      </c>
      <c r="J17" s="15"/>
      <c r="K17" s="15"/>
      <c r="L17" s="15"/>
      <c r="M17" s="15"/>
      <c r="N17" s="15"/>
      <c r="O17" s="8" t="s">
        <v>6</v>
      </c>
      <c r="P17" s="8"/>
      <c r="Q17" s="8"/>
      <c r="R17" s="7" t="str">
        <f>Tab_Data_Flows[[#This Row],[Flow_ID]]&amp;"_"&amp;"material_"&amp;Tab_Data_Flows[[#This Row],[Flow_Data_Year]]</f>
        <v>F_00_02_material_1965</v>
      </c>
      <c r="S17" s="14">
        <f>IF(O17="no",H17,H17*P17)</f>
        <v>80612.821917808207</v>
      </c>
      <c r="T17" s="8" t="s">
        <v>198</v>
      </c>
      <c r="U17" s="143">
        <f>INDEX(Tab_Def_Flows[[Flow_ID]:[CC_DM_source]],MATCH(Tab_Data_Flows[[#This Row],[Flow_Name]],Tab_Def_Flows[Flow_Name],0),11)</f>
        <v>0</v>
      </c>
      <c r="V17" s="7" t="str">
        <f>Tab_Data_Flows[[#This Row],[Flow_ID]]&amp;"_"&amp;"WC_"&amp;Tab_Data_Flows[[#This Row],[Flow_Data_Year]]</f>
        <v>F_00_02_WC_1965</v>
      </c>
      <c r="W17" s="7">
        <f>IF(D17="Yes",S17*Tab_Data_Flows[[#This Row],[WC_'[%']]],"N.A.")</f>
        <v>0</v>
      </c>
      <c r="X17" s="7" t="str">
        <f>Tab_Data_Flows[[#This Row],[UoM_Flow_Py]]</f>
        <v>Mg</v>
      </c>
      <c r="Y17" s="143">
        <f>INDEX(Tab_Def_Flows[[Flow_ID]:[CC_DM_source]],MATCH(Tab_Data_Flows[[#This Row],[Flow_Name]],Tab_Def_Flows[Flow_Name],0),14)</f>
        <v>1</v>
      </c>
      <c r="Z17" s="7" t="str">
        <f>Tab_Data_Flows[[#This Row],[Flow_ID]]&amp;"_"&amp;"DM_"&amp;Tab_Data_Flows[[#This Row],[Flow_Data_Year]]</f>
        <v>F_00_02_DM_1965</v>
      </c>
      <c r="AA17" s="7">
        <f>IF(E17="Yes",Y17*Tab_Data_Flows[[#This Row],[Flow_Material]],"N.A.")</f>
        <v>80612.821917808207</v>
      </c>
      <c r="AB17" s="7" t="str">
        <f>Tab_Data_Flows[[#This Row],[UoM_Flow_Py]]</f>
        <v>Mg</v>
      </c>
      <c r="AC17" s="143">
        <f>INDEX(Tab_Def_Flows[[Flow_ID]:[CC_DM_source]],MATCH(Tab_Data_Flows[[#This Row],[Flow_Name]],Tab_Def_Flows[Flow_Name],0),17)</f>
        <v>1</v>
      </c>
      <c r="AD17" s="7" t="str">
        <f>Tab_Data_Flows[[#This Row],[Flow_ID]]&amp;"_"&amp;"CC_"&amp;Tab_Data_Flows[[#This Row],[Flow_Data_Year]]</f>
        <v>F_00_02_CC_1965</v>
      </c>
      <c r="AE17" s="7">
        <f>IF(F17="Yes",AC17*Tab_Data_Flows[[#This Row],[Flow_Material]]*Tab_Data_Flows[[#This Row],[DM_'[%']]],"N.A.")</f>
        <v>80612.821917808207</v>
      </c>
      <c r="AF17" s="7" t="str">
        <f>Tab_Data_Flows[[#This Row],[UoM_Flow_Py]]</f>
        <v>Mg</v>
      </c>
      <c r="AG17"/>
    </row>
    <row r="18" spans="1:33" x14ac:dyDescent="0.25">
      <c r="A18" s="9">
        <f t="shared" si="0"/>
        <v>17</v>
      </c>
      <c r="B18" s="7" t="str">
        <f>_xlfn.XLOOKUP(C18,Tab_Def_Flows[Flow_Name],Tab_Def_Flows[Flow_ID],,0,)</f>
        <v>F_00_02</v>
      </c>
      <c r="C18" s="142" t="s">
        <v>588</v>
      </c>
      <c r="D18" s="10" t="str">
        <f>_xlfn.XLOOKUP(C18,Tab_Def_Flows[Flow_Name],Tab_Def_Flows[WC?],,0,)</f>
        <v>Yes</v>
      </c>
      <c r="E18" s="10" t="str">
        <f>_xlfn.XLOOKUP(C18,Tab_Def_Flows[Flow_Name],Tab_Def_Flows[DM?],,0,)</f>
        <v>Yes</v>
      </c>
      <c r="F18" s="10" t="str">
        <f>_xlfn.XLOOKUP(C18,Tab_Def_Flows[Flow_Name],Tab_Def_Flows[CC?],,0,)</f>
        <v>Yes</v>
      </c>
      <c r="G18" s="8">
        <v>1966</v>
      </c>
      <c r="H18" s="23">
        <v>85251.50684931509</v>
      </c>
      <c r="I18" s="8" t="s">
        <v>198</v>
      </c>
      <c r="J18" s="15"/>
      <c r="K18" s="15"/>
      <c r="L18" s="15"/>
      <c r="M18" s="15"/>
      <c r="N18" s="15"/>
      <c r="O18" s="8" t="s">
        <v>6</v>
      </c>
      <c r="P18" s="8"/>
      <c r="Q18" s="8"/>
      <c r="R18" s="7" t="str">
        <f>Tab_Data_Flows[[#This Row],[Flow_ID]]&amp;"_"&amp;"material_"&amp;Tab_Data_Flows[[#This Row],[Flow_Data_Year]]</f>
        <v>F_00_02_material_1966</v>
      </c>
      <c r="S18" s="14">
        <f>IF(O18="no",H18,H18*P18)</f>
        <v>85251.50684931509</v>
      </c>
      <c r="T18" s="8" t="s">
        <v>198</v>
      </c>
      <c r="U18" s="143">
        <f>INDEX(Tab_Def_Flows[[Flow_ID]:[CC_DM_source]],MATCH(Tab_Data_Flows[[#This Row],[Flow_Name]],Tab_Def_Flows[Flow_Name],0),11)</f>
        <v>0</v>
      </c>
      <c r="V18" s="7" t="str">
        <f>Tab_Data_Flows[[#This Row],[Flow_ID]]&amp;"_"&amp;"WC_"&amp;Tab_Data_Flows[[#This Row],[Flow_Data_Year]]</f>
        <v>F_00_02_WC_1966</v>
      </c>
      <c r="W18" s="7">
        <f>IF(D18="Yes",S18*Tab_Data_Flows[[#This Row],[WC_'[%']]],"N.A.")</f>
        <v>0</v>
      </c>
      <c r="X18" s="7" t="str">
        <f>Tab_Data_Flows[[#This Row],[UoM_Flow_Py]]</f>
        <v>Mg</v>
      </c>
      <c r="Y18" s="143">
        <f>INDEX(Tab_Def_Flows[[Flow_ID]:[CC_DM_source]],MATCH(Tab_Data_Flows[[#This Row],[Flow_Name]],Tab_Def_Flows[Flow_Name],0),14)</f>
        <v>1</v>
      </c>
      <c r="Z18" s="7" t="str">
        <f>Tab_Data_Flows[[#This Row],[Flow_ID]]&amp;"_"&amp;"DM_"&amp;Tab_Data_Flows[[#This Row],[Flow_Data_Year]]</f>
        <v>F_00_02_DM_1966</v>
      </c>
      <c r="AA18" s="7">
        <f>IF(E18="Yes",Y18*Tab_Data_Flows[[#This Row],[Flow_Material]],"N.A.")</f>
        <v>85251.50684931509</v>
      </c>
      <c r="AB18" s="7" t="str">
        <f>Tab_Data_Flows[[#This Row],[UoM_Flow_Py]]</f>
        <v>Mg</v>
      </c>
      <c r="AC18" s="143">
        <f>INDEX(Tab_Def_Flows[[Flow_ID]:[CC_DM_source]],MATCH(Tab_Data_Flows[[#This Row],[Flow_Name]],Tab_Def_Flows[Flow_Name],0),17)</f>
        <v>1</v>
      </c>
      <c r="AD18" s="7" t="str">
        <f>Tab_Data_Flows[[#This Row],[Flow_ID]]&amp;"_"&amp;"CC_"&amp;Tab_Data_Flows[[#This Row],[Flow_Data_Year]]</f>
        <v>F_00_02_CC_1966</v>
      </c>
      <c r="AE18" s="7">
        <f>IF(F18="Yes",AC18*Tab_Data_Flows[[#This Row],[Flow_Material]]*Tab_Data_Flows[[#This Row],[DM_'[%']]],"N.A.")</f>
        <v>85251.50684931509</v>
      </c>
      <c r="AF18" s="7" t="str">
        <f>Tab_Data_Flows[[#This Row],[UoM_Flow_Py]]</f>
        <v>Mg</v>
      </c>
      <c r="AG18"/>
    </row>
    <row r="19" spans="1:33" x14ac:dyDescent="0.25">
      <c r="A19" s="9">
        <f t="shared" si="0"/>
        <v>18</v>
      </c>
      <c r="B19" s="7" t="str">
        <f>_xlfn.XLOOKUP(C19,Tab_Def_Flows[Flow_Name],Tab_Def_Flows[Flow_ID],,0,)</f>
        <v>F_00_02</v>
      </c>
      <c r="C19" s="142" t="s">
        <v>588</v>
      </c>
      <c r="D19" s="10" t="str">
        <f>_xlfn.XLOOKUP(C19,Tab_Def_Flows[Flow_Name],Tab_Def_Flows[WC?],,0,)</f>
        <v>Yes</v>
      </c>
      <c r="E19" s="10" t="str">
        <f>_xlfn.XLOOKUP(C19,Tab_Def_Flows[Flow_Name],Tab_Def_Flows[DM?],,0,)</f>
        <v>Yes</v>
      </c>
      <c r="F19" s="10" t="str">
        <f>_xlfn.XLOOKUP(C19,Tab_Def_Flows[Flow_Name],Tab_Def_Flows[CC?],,0,)</f>
        <v>Yes</v>
      </c>
      <c r="G19" s="8">
        <v>1967</v>
      </c>
      <c r="H19" s="23">
        <v>82054.57534246576</v>
      </c>
      <c r="I19" s="8" t="s">
        <v>198</v>
      </c>
      <c r="J19" s="15"/>
      <c r="K19" s="15"/>
      <c r="L19" s="15"/>
      <c r="M19" s="15"/>
      <c r="N19" s="15"/>
      <c r="O19" s="8" t="s">
        <v>6</v>
      </c>
      <c r="P19" s="8"/>
      <c r="Q19" s="8"/>
      <c r="R19" s="7" t="str">
        <f>Tab_Data_Flows[[#This Row],[Flow_ID]]&amp;"_"&amp;"material_"&amp;Tab_Data_Flows[[#This Row],[Flow_Data_Year]]</f>
        <v>F_00_02_material_1967</v>
      </c>
      <c r="S19" s="14">
        <f>IF(O19="no",H19,H19*P19)</f>
        <v>82054.57534246576</v>
      </c>
      <c r="T19" s="8" t="s">
        <v>198</v>
      </c>
      <c r="U19" s="143">
        <f>INDEX(Tab_Def_Flows[[Flow_ID]:[CC_DM_source]],MATCH(Tab_Data_Flows[[#This Row],[Flow_Name]],Tab_Def_Flows[Flow_Name],0),11)</f>
        <v>0</v>
      </c>
      <c r="V19" s="7" t="str">
        <f>Tab_Data_Flows[[#This Row],[Flow_ID]]&amp;"_"&amp;"WC_"&amp;Tab_Data_Flows[[#This Row],[Flow_Data_Year]]</f>
        <v>F_00_02_WC_1967</v>
      </c>
      <c r="W19" s="7">
        <f>IF(D19="Yes",S19*Tab_Data_Flows[[#This Row],[WC_'[%']]],"N.A.")</f>
        <v>0</v>
      </c>
      <c r="X19" s="7" t="str">
        <f>Tab_Data_Flows[[#This Row],[UoM_Flow_Py]]</f>
        <v>Mg</v>
      </c>
      <c r="Y19" s="143">
        <f>INDEX(Tab_Def_Flows[[Flow_ID]:[CC_DM_source]],MATCH(Tab_Data_Flows[[#This Row],[Flow_Name]],Tab_Def_Flows[Flow_Name],0),14)</f>
        <v>1</v>
      </c>
      <c r="Z19" s="7" t="str">
        <f>Tab_Data_Flows[[#This Row],[Flow_ID]]&amp;"_"&amp;"DM_"&amp;Tab_Data_Flows[[#This Row],[Flow_Data_Year]]</f>
        <v>F_00_02_DM_1967</v>
      </c>
      <c r="AA19" s="7">
        <f>IF(E19="Yes",Y19*Tab_Data_Flows[[#This Row],[Flow_Material]],"N.A.")</f>
        <v>82054.57534246576</v>
      </c>
      <c r="AB19" s="7" t="str">
        <f>Tab_Data_Flows[[#This Row],[UoM_Flow_Py]]</f>
        <v>Mg</v>
      </c>
      <c r="AC19" s="143">
        <f>INDEX(Tab_Def_Flows[[Flow_ID]:[CC_DM_source]],MATCH(Tab_Data_Flows[[#This Row],[Flow_Name]],Tab_Def_Flows[Flow_Name],0),17)</f>
        <v>1</v>
      </c>
      <c r="AD19" s="7" t="str">
        <f>Tab_Data_Flows[[#This Row],[Flow_ID]]&amp;"_"&amp;"CC_"&amp;Tab_Data_Flows[[#This Row],[Flow_Data_Year]]</f>
        <v>F_00_02_CC_1967</v>
      </c>
      <c r="AE19" s="7">
        <f>IF(F19="Yes",AC19*Tab_Data_Flows[[#This Row],[Flow_Material]]*Tab_Data_Flows[[#This Row],[DM_'[%']]],"N.A.")</f>
        <v>82054.57534246576</v>
      </c>
      <c r="AF19" s="7" t="str">
        <f>Tab_Data_Flows[[#This Row],[UoM_Flow_Py]]</f>
        <v>Mg</v>
      </c>
      <c r="AG19"/>
    </row>
    <row r="20" spans="1:33" x14ac:dyDescent="0.25">
      <c r="A20" s="9">
        <f t="shared" si="0"/>
        <v>19</v>
      </c>
      <c r="B20" s="7" t="str">
        <f>_xlfn.XLOOKUP(C20,Tab_Def_Flows[Flow_Name],Tab_Def_Flows[Flow_ID],,0,)</f>
        <v>F_00_02</v>
      </c>
      <c r="C20" s="142" t="s">
        <v>588</v>
      </c>
      <c r="D20" s="10" t="str">
        <f>_xlfn.XLOOKUP(C20,Tab_Def_Flows[Flow_Name],Tab_Def_Flows[WC?],,0,)</f>
        <v>Yes</v>
      </c>
      <c r="E20" s="10" t="str">
        <f>_xlfn.XLOOKUP(C20,Tab_Def_Flows[Flow_Name],Tab_Def_Flows[DM?],,0,)</f>
        <v>Yes</v>
      </c>
      <c r="F20" s="10" t="str">
        <f>_xlfn.XLOOKUP(C20,Tab_Def_Flows[Flow_Name],Tab_Def_Flows[CC?],,0,)</f>
        <v>Yes</v>
      </c>
      <c r="G20" s="8">
        <v>1968</v>
      </c>
      <c r="H20" s="23">
        <v>78042.739726027401</v>
      </c>
      <c r="I20" s="8" t="s">
        <v>198</v>
      </c>
      <c r="J20" s="15"/>
      <c r="K20" s="15"/>
      <c r="L20" s="15"/>
      <c r="M20" s="15"/>
      <c r="N20" s="15"/>
      <c r="O20" s="8" t="s">
        <v>6</v>
      </c>
      <c r="P20" s="8"/>
      <c r="Q20" s="8"/>
      <c r="R20" s="7" t="str">
        <f>Tab_Data_Flows[[#This Row],[Flow_ID]]&amp;"_"&amp;"material_"&amp;Tab_Data_Flows[[#This Row],[Flow_Data_Year]]</f>
        <v>F_00_02_material_1968</v>
      </c>
      <c r="S20" s="14">
        <f>IF(O20="no",H20,H20*P20)</f>
        <v>78042.739726027401</v>
      </c>
      <c r="T20" s="8" t="s">
        <v>198</v>
      </c>
      <c r="U20" s="143">
        <f>INDEX(Tab_Def_Flows[[Flow_ID]:[CC_DM_source]],MATCH(Tab_Data_Flows[[#This Row],[Flow_Name]],Tab_Def_Flows[Flow_Name],0),11)</f>
        <v>0</v>
      </c>
      <c r="V20" s="7" t="str">
        <f>Tab_Data_Flows[[#This Row],[Flow_ID]]&amp;"_"&amp;"WC_"&amp;Tab_Data_Flows[[#This Row],[Flow_Data_Year]]</f>
        <v>F_00_02_WC_1968</v>
      </c>
      <c r="W20" s="7">
        <f>IF(D20="Yes",S20*Tab_Data_Flows[[#This Row],[WC_'[%']]],"N.A.")</f>
        <v>0</v>
      </c>
      <c r="X20" s="7" t="str">
        <f>Tab_Data_Flows[[#This Row],[UoM_Flow_Py]]</f>
        <v>Mg</v>
      </c>
      <c r="Y20" s="143">
        <f>INDEX(Tab_Def_Flows[[Flow_ID]:[CC_DM_source]],MATCH(Tab_Data_Flows[[#This Row],[Flow_Name]],Tab_Def_Flows[Flow_Name],0),14)</f>
        <v>1</v>
      </c>
      <c r="Z20" s="7" t="str">
        <f>Tab_Data_Flows[[#This Row],[Flow_ID]]&amp;"_"&amp;"DM_"&amp;Tab_Data_Flows[[#This Row],[Flow_Data_Year]]</f>
        <v>F_00_02_DM_1968</v>
      </c>
      <c r="AA20" s="7">
        <f>IF(E20="Yes",Y20*Tab_Data_Flows[[#This Row],[Flow_Material]],"N.A.")</f>
        <v>78042.739726027401</v>
      </c>
      <c r="AB20" s="7" t="str">
        <f>Tab_Data_Flows[[#This Row],[UoM_Flow_Py]]</f>
        <v>Mg</v>
      </c>
      <c r="AC20" s="143">
        <f>INDEX(Tab_Def_Flows[[Flow_ID]:[CC_DM_source]],MATCH(Tab_Data_Flows[[#This Row],[Flow_Name]],Tab_Def_Flows[Flow_Name],0),17)</f>
        <v>1</v>
      </c>
      <c r="AD20" s="7" t="str">
        <f>Tab_Data_Flows[[#This Row],[Flow_ID]]&amp;"_"&amp;"CC_"&amp;Tab_Data_Flows[[#This Row],[Flow_Data_Year]]</f>
        <v>F_00_02_CC_1968</v>
      </c>
      <c r="AE20" s="7">
        <f>IF(F20="Yes",AC20*Tab_Data_Flows[[#This Row],[Flow_Material]]*Tab_Data_Flows[[#This Row],[DM_'[%']]],"N.A.")</f>
        <v>78042.739726027401</v>
      </c>
      <c r="AF20" s="7" t="str">
        <f>Tab_Data_Flows[[#This Row],[UoM_Flow_Py]]</f>
        <v>Mg</v>
      </c>
      <c r="AG20"/>
    </row>
    <row r="21" spans="1:33" x14ac:dyDescent="0.25">
      <c r="A21" s="9">
        <f t="shared" si="0"/>
        <v>20</v>
      </c>
      <c r="B21" s="7" t="str">
        <f>_xlfn.XLOOKUP(C21,Tab_Def_Flows[Flow_Name],Tab_Def_Flows[Flow_ID],,0,)</f>
        <v>F_00_02</v>
      </c>
      <c r="C21" s="142" t="s">
        <v>588</v>
      </c>
      <c r="D21" s="10" t="str">
        <f>_xlfn.XLOOKUP(C21,Tab_Def_Flows[Flow_Name],Tab_Def_Flows[WC?],,0,)</f>
        <v>Yes</v>
      </c>
      <c r="E21" s="10" t="str">
        <f>_xlfn.XLOOKUP(C21,Tab_Def_Flows[Flow_Name],Tab_Def_Flows[DM?],,0,)</f>
        <v>Yes</v>
      </c>
      <c r="F21" s="10" t="str">
        <f>_xlfn.XLOOKUP(C21,Tab_Def_Flows[Flow_Name],Tab_Def_Flows[CC?],,0,)</f>
        <v>Yes</v>
      </c>
      <c r="G21" s="8">
        <v>1969</v>
      </c>
      <c r="H21" s="23">
        <v>83308.27397260275</v>
      </c>
      <c r="I21" s="8" t="s">
        <v>198</v>
      </c>
      <c r="J21" s="15"/>
      <c r="K21" s="15"/>
      <c r="L21" s="15"/>
      <c r="M21" s="15"/>
      <c r="N21" s="15"/>
      <c r="O21" s="8" t="s">
        <v>6</v>
      </c>
      <c r="P21" s="8"/>
      <c r="Q21" s="8"/>
      <c r="R21" s="7" t="str">
        <f>Tab_Data_Flows[[#This Row],[Flow_ID]]&amp;"_"&amp;"material_"&amp;Tab_Data_Flows[[#This Row],[Flow_Data_Year]]</f>
        <v>F_00_02_material_1969</v>
      </c>
      <c r="S21" s="14">
        <f>IF(O21="no",H21,H21*P21)</f>
        <v>83308.27397260275</v>
      </c>
      <c r="T21" s="8" t="s">
        <v>198</v>
      </c>
      <c r="U21" s="143">
        <f>INDEX(Tab_Def_Flows[[Flow_ID]:[CC_DM_source]],MATCH(Tab_Data_Flows[[#This Row],[Flow_Name]],Tab_Def_Flows[Flow_Name],0),11)</f>
        <v>0</v>
      </c>
      <c r="V21" s="7" t="str">
        <f>Tab_Data_Flows[[#This Row],[Flow_ID]]&amp;"_"&amp;"WC_"&amp;Tab_Data_Flows[[#This Row],[Flow_Data_Year]]</f>
        <v>F_00_02_WC_1969</v>
      </c>
      <c r="W21" s="7">
        <f>IF(D21="Yes",S21*Tab_Data_Flows[[#This Row],[WC_'[%']]],"N.A.")</f>
        <v>0</v>
      </c>
      <c r="X21" s="7" t="str">
        <f>Tab_Data_Flows[[#This Row],[UoM_Flow_Py]]</f>
        <v>Mg</v>
      </c>
      <c r="Y21" s="143">
        <f>INDEX(Tab_Def_Flows[[Flow_ID]:[CC_DM_source]],MATCH(Tab_Data_Flows[[#This Row],[Flow_Name]],Tab_Def_Flows[Flow_Name],0),14)</f>
        <v>1</v>
      </c>
      <c r="Z21" s="7" t="str">
        <f>Tab_Data_Flows[[#This Row],[Flow_ID]]&amp;"_"&amp;"DM_"&amp;Tab_Data_Flows[[#This Row],[Flow_Data_Year]]</f>
        <v>F_00_02_DM_1969</v>
      </c>
      <c r="AA21" s="7">
        <f>IF(E21="Yes",Y21*Tab_Data_Flows[[#This Row],[Flow_Material]],"N.A.")</f>
        <v>83308.27397260275</v>
      </c>
      <c r="AB21" s="7" t="str">
        <f>Tab_Data_Flows[[#This Row],[UoM_Flow_Py]]</f>
        <v>Mg</v>
      </c>
      <c r="AC21" s="143">
        <f>INDEX(Tab_Def_Flows[[Flow_ID]:[CC_DM_source]],MATCH(Tab_Data_Flows[[#This Row],[Flow_Name]],Tab_Def_Flows[Flow_Name],0),17)</f>
        <v>1</v>
      </c>
      <c r="AD21" s="7" t="str">
        <f>Tab_Data_Flows[[#This Row],[Flow_ID]]&amp;"_"&amp;"CC_"&amp;Tab_Data_Flows[[#This Row],[Flow_Data_Year]]</f>
        <v>F_00_02_CC_1969</v>
      </c>
      <c r="AE21" s="7">
        <f>IF(F21="Yes",AC21*Tab_Data_Flows[[#This Row],[Flow_Material]]*Tab_Data_Flows[[#This Row],[DM_'[%']]],"N.A.")</f>
        <v>83308.27397260275</v>
      </c>
      <c r="AF21" s="7" t="str">
        <f>Tab_Data_Flows[[#This Row],[UoM_Flow_Py]]</f>
        <v>Mg</v>
      </c>
      <c r="AG21"/>
    </row>
    <row r="22" spans="1:33" x14ac:dyDescent="0.25">
      <c r="A22" s="9">
        <f t="shared" si="0"/>
        <v>21</v>
      </c>
      <c r="B22" s="7" t="str">
        <f>_xlfn.XLOOKUP(C22,Tab_Def_Flows[Flow_Name],Tab_Def_Flows[Flow_ID],,0,)</f>
        <v>F_00_02</v>
      </c>
      <c r="C22" s="142" t="s">
        <v>588</v>
      </c>
      <c r="D22" s="10" t="str">
        <f>_xlfn.XLOOKUP(C22,Tab_Def_Flows[Flow_Name],Tab_Def_Flows[WC?],,0,)</f>
        <v>Yes</v>
      </c>
      <c r="E22" s="10" t="str">
        <f>_xlfn.XLOOKUP(C22,Tab_Def_Flows[Flow_Name],Tab_Def_Flows[DM?],,0,)</f>
        <v>Yes</v>
      </c>
      <c r="F22" s="10" t="str">
        <f>_xlfn.XLOOKUP(C22,Tab_Def_Flows[Flow_Name],Tab_Def_Flows[CC?],,0,)</f>
        <v>Yes</v>
      </c>
      <c r="G22" s="8">
        <v>1970</v>
      </c>
      <c r="H22" s="23">
        <v>87884.27397260275</v>
      </c>
      <c r="I22" s="8" t="s">
        <v>198</v>
      </c>
      <c r="J22" s="15"/>
      <c r="K22" s="15"/>
      <c r="L22" s="15"/>
      <c r="M22" s="15"/>
      <c r="N22" s="15"/>
      <c r="O22" s="8" t="s">
        <v>6</v>
      </c>
      <c r="P22" s="8"/>
      <c r="Q22" s="8"/>
      <c r="R22" s="7" t="str">
        <f>Tab_Data_Flows[[#This Row],[Flow_ID]]&amp;"_"&amp;"material_"&amp;Tab_Data_Flows[[#This Row],[Flow_Data_Year]]</f>
        <v>F_00_02_material_1970</v>
      </c>
      <c r="S22" s="14">
        <f>IF(O22="no",H22,H22*P22)</f>
        <v>87884.27397260275</v>
      </c>
      <c r="T22" s="8" t="s">
        <v>198</v>
      </c>
      <c r="U22" s="143">
        <f>INDEX(Tab_Def_Flows[[Flow_ID]:[CC_DM_source]],MATCH(Tab_Data_Flows[[#This Row],[Flow_Name]],Tab_Def_Flows[Flow_Name],0),11)</f>
        <v>0</v>
      </c>
      <c r="V22" s="7" t="str">
        <f>Tab_Data_Flows[[#This Row],[Flow_ID]]&amp;"_"&amp;"WC_"&amp;Tab_Data_Flows[[#This Row],[Flow_Data_Year]]</f>
        <v>F_00_02_WC_1970</v>
      </c>
      <c r="W22" s="7">
        <f>IF(D22="Yes",S22*Tab_Data_Flows[[#This Row],[WC_'[%']]],"N.A.")</f>
        <v>0</v>
      </c>
      <c r="X22" s="7" t="str">
        <f>Tab_Data_Flows[[#This Row],[UoM_Flow_Py]]</f>
        <v>Mg</v>
      </c>
      <c r="Y22" s="143">
        <f>INDEX(Tab_Def_Flows[[Flow_ID]:[CC_DM_source]],MATCH(Tab_Data_Flows[[#This Row],[Flow_Name]],Tab_Def_Flows[Flow_Name],0),14)</f>
        <v>1</v>
      </c>
      <c r="Z22" s="7" t="str">
        <f>Tab_Data_Flows[[#This Row],[Flow_ID]]&amp;"_"&amp;"DM_"&amp;Tab_Data_Flows[[#This Row],[Flow_Data_Year]]</f>
        <v>F_00_02_DM_1970</v>
      </c>
      <c r="AA22" s="7">
        <f>IF(E22="Yes",Y22*Tab_Data_Flows[[#This Row],[Flow_Material]],"N.A.")</f>
        <v>87884.27397260275</v>
      </c>
      <c r="AB22" s="7" t="str">
        <f>Tab_Data_Flows[[#This Row],[UoM_Flow_Py]]</f>
        <v>Mg</v>
      </c>
      <c r="AC22" s="143">
        <f>INDEX(Tab_Def_Flows[[Flow_ID]:[CC_DM_source]],MATCH(Tab_Data_Flows[[#This Row],[Flow_Name]],Tab_Def_Flows[Flow_Name],0),17)</f>
        <v>1</v>
      </c>
      <c r="AD22" s="7" t="str">
        <f>Tab_Data_Flows[[#This Row],[Flow_ID]]&amp;"_"&amp;"CC_"&amp;Tab_Data_Flows[[#This Row],[Flow_Data_Year]]</f>
        <v>F_00_02_CC_1970</v>
      </c>
      <c r="AE22" s="7">
        <f>IF(F22="Yes",AC22*Tab_Data_Flows[[#This Row],[Flow_Material]]*Tab_Data_Flows[[#This Row],[DM_'[%']]],"N.A.")</f>
        <v>87884.27397260275</v>
      </c>
      <c r="AF22" s="7" t="str">
        <f>Tab_Data_Flows[[#This Row],[UoM_Flow_Py]]</f>
        <v>Mg</v>
      </c>
      <c r="AG22"/>
    </row>
    <row r="23" spans="1:33" x14ac:dyDescent="0.25">
      <c r="A23" s="9">
        <f t="shared" si="0"/>
        <v>22</v>
      </c>
      <c r="B23" s="7" t="str">
        <f>_xlfn.XLOOKUP(C23,Tab_Def_Flows[Flow_Name],Tab_Def_Flows[Flow_ID],,0,)</f>
        <v>F_00_02</v>
      </c>
      <c r="C23" s="142" t="s">
        <v>588</v>
      </c>
      <c r="D23" s="10" t="str">
        <f>_xlfn.XLOOKUP(C23,Tab_Def_Flows[Flow_Name],Tab_Def_Flows[WC?],,0,)</f>
        <v>Yes</v>
      </c>
      <c r="E23" s="10" t="str">
        <f>_xlfn.XLOOKUP(C23,Tab_Def_Flows[Flow_Name],Tab_Def_Flows[DM?],,0,)</f>
        <v>Yes</v>
      </c>
      <c r="F23" s="10" t="str">
        <f>_xlfn.XLOOKUP(C23,Tab_Def_Flows[Flow_Name],Tab_Def_Flows[CC?],,0,)</f>
        <v>Yes</v>
      </c>
      <c r="G23" s="8">
        <v>1971</v>
      </c>
      <c r="H23" s="23">
        <v>87351.452054794514</v>
      </c>
      <c r="I23" s="8" t="s">
        <v>198</v>
      </c>
      <c r="J23" s="15"/>
      <c r="K23" s="15"/>
      <c r="L23" s="15"/>
      <c r="M23" s="15"/>
      <c r="N23" s="15"/>
      <c r="O23" s="8" t="s">
        <v>6</v>
      </c>
      <c r="P23" s="8"/>
      <c r="Q23" s="8"/>
      <c r="R23" s="7" t="str">
        <f>Tab_Data_Flows[[#This Row],[Flow_ID]]&amp;"_"&amp;"material_"&amp;Tab_Data_Flows[[#This Row],[Flow_Data_Year]]</f>
        <v>F_00_02_material_1971</v>
      </c>
      <c r="S23" s="14">
        <f>IF(O23="no",H23,H23*P23)</f>
        <v>87351.452054794514</v>
      </c>
      <c r="T23" s="8" t="s">
        <v>198</v>
      </c>
      <c r="U23" s="143">
        <f>INDEX(Tab_Def_Flows[[Flow_ID]:[CC_DM_source]],MATCH(Tab_Data_Flows[[#This Row],[Flow_Name]],Tab_Def_Flows[Flow_Name],0),11)</f>
        <v>0</v>
      </c>
      <c r="V23" s="7" t="str">
        <f>Tab_Data_Flows[[#This Row],[Flow_ID]]&amp;"_"&amp;"WC_"&amp;Tab_Data_Flows[[#This Row],[Flow_Data_Year]]</f>
        <v>F_00_02_WC_1971</v>
      </c>
      <c r="W23" s="7">
        <f>IF(D23="Yes",S23*Tab_Data_Flows[[#This Row],[WC_'[%']]],"N.A.")</f>
        <v>0</v>
      </c>
      <c r="X23" s="7" t="str">
        <f>Tab_Data_Flows[[#This Row],[UoM_Flow_Py]]</f>
        <v>Mg</v>
      </c>
      <c r="Y23" s="143">
        <f>INDEX(Tab_Def_Flows[[Flow_ID]:[CC_DM_source]],MATCH(Tab_Data_Flows[[#This Row],[Flow_Name]],Tab_Def_Flows[Flow_Name],0),14)</f>
        <v>1</v>
      </c>
      <c r="Z23" s="7" t="str">
        <f>Tab_Data_Flows[[#This Row],[Flow_ID]]&amp;"_"&amp;"DM_"&amp;Tab_Data_Flows[[#This Row],[Flow_Data_Year]]</f>
        <v>F_00_02_DM_1971</v>
      </c>
      <c r="AA23" s="7">
        <f>IF(E23="Yes",Y23*Tab_Data_Flows[[#This Row],[Flow_Material]],"N.A.")</f>
        <v>87351.452054794514</v>
      </c>
      <c r="AB23" s="7" t="str">
        <f>Tab_Data_Flows[[#This Row],[UoM_Flow_Py]]</f>
        <v>Mg</v>
      </c>
      <c r="AC23" s="143">
        <f>INDEX(Tab_Def_Flows[[Flow_ID]:[CC_DM_source]],MATCH(Tab_Data_Flows[[#This Row],[Flow_Name]],Tab_Def_Flows[Flow_Name],0),17)</f>
        <v>1</v>
      </c>
      <c r="AD23" s="7" t="str">
        <f>Tab_Data_Flows[[#This Row],[Flow_ID]]&amp;"_"&amp;"CC_"&amp;Tab_Data_Flows[[#This Row],[Flow_Data_Year]]</f>
        <v>F_00_02_CC_1971</v>
      </c>
      <c r="AE23" s="7">
        <f>IF(F23="Yes",AC23*Tab_Data_Flows[[#This Row],[Flow_Material]]*Tab_Data_Flows[[#This Row],[DM_'[%']]],"N.A.")</f>
        <v>87351.452054794514</v>
      </c>
      <c r="AF23" s="7" t="str">
        <f>Tab_Data_Flows[[#This Row],[UoM_Flow_Py]]</f>
        <v>Mg</v>
      </c>
      <c r="AG23"/>
    </row>
    <row r="24" spans="1:33" x14ac:dyDescent="0.25">
      <c r="A24" s="9">
        <f t="shared" si="0"/>
        <v>23</v>
      </c>
      <c r="B24" s="7" t="str">
        <f>_xlfn.XLOOKUP(C24,Tab_Def_Flows[Flow_Name],Tab_Def_Flows[Flow_ID],,0,)</f>
        <v>F_00_02</v>
      </c>
      <c r="C24" s="142" t="s">
        <v>588</v>
      </c>
      <c r="D24" s="10" t="str">
        <f>_xlfn.XLOOKUP(C24,Tab_Def_Flows[Flow_Name],Tab_Def_Flows[WC?],,0,)</f>
        <v>Yes</v>
      </c>
      <c r="E24" s="10" t="str">
        <f>_xlfn.XLOOKUP(C24,Tab_Def_Flows[Flow_Name],Tab_Def_Flows[DM?],,0,)</f>
        <v>Yes</v>
      </c>
      <c r="F24" s="10" t="str">
        <f>_xlfn.XLOOKUP(C24,Tab_Def_Flows[Flow_Name],Tab_Def_Flows[CC?],,0,)</f>
        <v>Yes</v>
      </c>
      <c r="G24" s="8">
        <v>1972</v>
      </c>
      <c r="H24" s="23">
        <v>74281.643835616429</v>
      </c>
      <c r="I24" s="8" t="s">
        <v>198</v>
      </c>
      <c r="J24" s="15"/>
      <c r="K24" s="15"/>
      <c r="L24" s="15"/>
      <c r="M24" s="15"/>
      <c r="N24" s="15"/>
      <c r="O24" s="8" t="s">
        <v>6</v>
      </c>
      <c r="P24" s="8"/>
      <c r="Q24" s="8"/>
      <c r="R24" s="7" t="str">
        <f>Tab_Data_Flows[[#This Row],[Flow_ID]]&amp;"_"&amp;"material_"&amp;Tab_Data_Flows[[#This Row],[Flow_Data_Year]]</f>
        <v>F_00_02_material_1972</v>
      </c>
      <c r="S24" s="14">
        <f>IF(O24="no",H24,H24*P24)</f>
        <v>74281.643835616429</v>
      </c>
      <c r="T24" s="8" t="s">
        <v>198</v>
      </c>
      <c r="U24" s="143">
        <f>INDEX(Tab_Def_Flows[[Flow_ID]:[CC_DM_source]],MATCH(Tab_Data_Flows[[#This Row],[Flow_Name]],Tab_Def_Flows[Flow_Name],0),11)</f>
        <v>0</v>
      </c>
      <c r="V24" s="7" t="str">
        <f>Tab_Data_Flows[[#This Row],[Flow_ID]]&amp;"_"&amp;"WC_"&amp;Tab_Data_Flows[[#This Row],[Flow_Data_Year]]</f>
        <v>F_00_02_WC_1972</v>
      </c>
      <c r="W24" s="7">
        <f>IF(D24="Yes",S24*Tab_Data_Flows[[#This Row],[WC_'[%']]],"N.A.")</f>
        <v>0</v>
      </c>
      <c r="X24" s="7" t="str">
        <f>Tab_Data_Flows[[#This Row],[UoM_Flow_Py]]</f>
        <v>Mg</v>
      </c>
      <c r="Y24" s="143">
        <f>INDEX(Tab_Def_Flows[[Flow_ID]:[CC_DM_source]],MATCH(Tab_Data_Flows[[#This Row],[Flow_Name]],Tab_Def_Flows[Flow_Name],0),14)</f>
        <v>1</v>
      </c>
      <c r="Z24" s="7" t="str">
        <f>Tab_Data_Flows[[#This Row],[Flow_ID]]&amp;"_"&amp;"DM_"&amp;Tab_Data_Flows[[#This Row],[Flow_Data_Year]]</f>
        <v>F_00_02_DM_1972</v>
      </c>
      <c r="AA24" s="7">
        <f>IF(E24="Yes",Y24*Tab_Data_Flows[[#This Row],[Flow_Material]],"N.A.")</f>
        <v>74281.643835616429</v>
      </c>
      <c r="AB24" s="7" t="str">
        <f>Tab_Data_Flows[[#This Row],[UoM_Flow_Py]]</f>
        <v>Mg</v>
      </c>
      <c r="AC24" s="143">
        <f>INDEX(Tab_Def_Flows[[Flow_ID]:[CC_DM_source]],MATCH(Tab_Data_Flows[[#This Row],[Flow_Name]],Tab_Def_Flows[Flow_Name],0),17)</f>
        <v>1</v>
      </c>
      <c r="AD24" s="7" t="str">
        <f>Tab_Data_Flows[[#This Row],[Flow_ID]]&amp;"_"&amp;"CC_"&amp;Tab_Data_Flows[[#This Row],[Flow_Data_Year]]</f>
        <v>F_00_02_CC_1972</v>
      </c>
      <c r="AE24" s="7">
        <f>IF(F24="Yes",AC24*Tab_Data_Flows[[#This Row],[Flow_Material]]*Tab_Data_Flows[[#This Row],[DM_'[%']]],"N.A.")</f>
        <v>74281.643835616429</v>
      </c>
      <c r="AF24" s="7" t="str">
        <f>Tab_Data_Flows[[#This Row],[UoM_Flow_Py]]</f>
        <v>Mg</v>
      </c>
      <c r="AG24"/>
    </row>
    <row r="25" spans="1:33" x14ac:dyDescent="0.25">
      <c r="A25" s="9">
        <f t="shared" si="0"/>
        <v>24</v>
      </c>
      <c r="B25" s="7" t="str">
        <f>_xlfn.XLOOKUP(C25,Tab_Def_Flows[Flow_Name],Tab_Def_Flows[Flow_ID],,0,)</f>
        <v>F_00_02</v>
      </c>
      <c r="C25" s="142" t="s">
        <v>588</v>
      </c>
      <c r="D25" s="10" t="str">
        <f>_xlfn.XLOOKUP(C25,Tab_Def_Flows[Flow_Name],Tab_Def_Flows[WC?],,0,)</f>
        <v>Yes</v>
      </c>
      <c r="E25" s="10" t="str">
        <f>_xlfn.XLOOKUP(C25,Tab_Def_Flows[Flow_Name],Tab_Def_Flows[DM?],,0,)</f>
        <v>Yes</v>
      </c>
      <c r="F25" s="10" t="str">
        <f>_xlfn.XLOOKUP(C25,Tab_Def_Flows[Flow_Name],Tab_Def_Flows[CC?],,0,)</f>
        <v>Yes</v>
      </c>
      <c r="G25" s="8">
        <v>1973</v>
      </c>
      <c r="H25" s="23">
        <v>97161.643835616444</v>
      </c>
      <c r="I25" s="8" t="s">
        <v>198</v>
      </c>
      <c r="J25" s="15"/>
      <c r="K25" s="15"/>
      <c r="L25" s="15"/>
      <c r="M25" s="15"/>
      <c r="N25" s="15"/>
      <c r="O25" s="8" t="s">
        <v>6</v>
      </c>
      <c r="P25" s="8"/>
      <c r="Q25" s="8"/>
      <c r="R25" s="7" t="str">
        <f>Tab_Data_Flows[[#This Row],[Flow_ID]]&amp;"_"&amp;"material_"&amp;Tab_Data_Flows[[#This Row],[Flow_Data_Year]]</f>
        <v>F_00_02_material_1973</v>
      </c>
      <c r="S25" s="14">
        <f>IF(O25="no",H25,H25*P25)</f>
        <v>97161.643835616444</v>
      </c>
      <c r="T25" s="8" t="s">
        <v>198</v>
      </c>
      <c r="U25" s="143">
        <f>INDEX(Tab_Def_Flows[[Flow_ID]:[CC_DM_source]],MATCH(Tab_Data_Flows[[#This Row],[Flow_Name]],Tab_Def_Flows[Flow_Name],0),11)</f>
        <v>0</v>
      </c>
      <c r="V25" s="7" t="str">
        <f>Tab_Data_Flows[[#This Row],[Flow_ID]]&amp;"_"&amp;"WC_"&amp;Tab_Data_Flows[[#This Row],[Flow_Data_Year]]</f>
        <v>F_00_02_WC_1973</v>
      </c>
      <c r="W25" s="7">
        <f>IF(D25="Yes",S25*Tab_Data_Flows[[#This Row],[WC_'[%']]],"N.A.")</f>
        <v>0</v>
      </c>
      <c r="X25" s="7" t="str">
        <f>Tab_Data_Flows[[#This Row],[UoM_Flow_Py]]</f>
        <v>Mg</v>
      </c>
      <c r="Y25" s="143">
        <f>INDEX(Tab_Def_Flows[[Flow_ID]:[CC_DM_source]],MATCH(Tab_Data_Flows[[#This Row],[Flow_Name]],Tab_Def_Flows[Flow_Name],0),14)</f>
        <v>1</v>
      </c>
      <c r="Z25" s="7" t="str">
        <f>Tab_Data_Flows[[#This Row],[Flow_ID]]&amp;"_"&amp;"DM_"&amp;Tab_Data_Flows[[#This Row],[Flow_Data_Year]]</f>
        <v>F_00_02_DM_1973</v>
      </c>
      <c r="AA25" s="7">
        <f>IF(E25="Yes",Y25*Tab_Data_Flows[[#This Row],[Flow_Material]],"N.A.")</f>
        <v>97161.643835616444</v>
      </c>
      <c r="AB25" s="7" t="str">
        <f>Tab_Data_Flows[[#This Row],[UoM_Flow_Py]]</f>
        <v>Mg</v>
      </c>
      <c r="AC25" s="143">
        <f>INDEX(Tab_Def_Flows[[Flow_ID]:[CC_DM_source]],MATCH(Tab_Data_Flows[[#This Row],[Flow_Name]],Tab_Def_Flows[Flow_Name],0),17)</f>
        <v>1</v>
      </c>
      <c r="AD25" s="7" t="str">
        <f>Tab_Data_Flows[[#This Row],[Flow_ID]]&amp;"_"&amp;"CC_"&amp;Tab_Data_Flows[[#This Row],[Flow_Data_Year]]</f>
        <v>F_00_02_CC_1973</v>
      </c>
      <c r="AE25" s="7">
        <f>IF(F25="Yes",AC25*Tab_Data_Flows[[#This Row],[Flow_Material]]*Tab_Data_Flows[[#This Row],[DM_'[%']]],"N.A.")</f>
        <v>97161.643835616444</v>
      </c>
      <c r="AF25" s="7" t="str">
        <f>Tab_Data_Flows[[#This Row],[UoM_Flow_Py]]</f>
        <v>Mg</v>
      </c>
      <c r="AG25"/>
    </row>
    <row r="26" spans="1:33" x14ac:dyDescent="0.25">
      <c r="A26" s="9">
        <f t="shared" si="0"/>
        <v>25</v>
      </c>
      <c r="B26" s="7" t="str">
        <f>_xlfn.XLOOKUP(C26,Tab_Def_Flows[Flow_Name],Tab_Def_Flows[Flow_ID],,0,)</f>
        <v>F_00_02</v>
      </c>
      <c r="C26" s="142" t="s">
        <v>588</v>
      </c>
      <c r="D26" s="10" t="str">
        <f>_xlfn.XLOOKUP(C26,Tab_Def_Flows[Flow_Name],Tab_Def_Flows[WC?],,0,)</f>
        <v>Yes</v>
      </c>
      <c r="E26" s="10" t="str">
        <f>_xlfn.XLOOKUP(C26,Tab_Def_Flows[Flow_Name],Tab_Def_Flows[DM?],,0,)</f>
        <v>Yes</v>
      </c>
      <c r="F26" s="10" t="str">
        <f>_xlfn.XLOOKUP(C26,Tab_Def_Flows[Flow_Name],Tab_Def_Flows[CC?],,0,)</f>
        <v>Yes</v>
      </c>
      <c r="G26" s="8">
        <v>1974</v>
      </c>
      <c r="H26" s="23">
        <v>99010.849315068481</v>
      </c>
      <c r="I26" s="8" t="s">
        <v>198</v>
      </c>
      <c r="J26" s="15"/>
      <c r="K26" s="15"/>
      <c r="L26" s="15"/>
      <c r="M26" s="15"/>
      <c r="N26" s="15"/>
      <c r="O26" s="8" t="s">
        <v>6</v>
      </c>
      <c r="P26" s="8"/>
      <c r="Q26" s="8"/>
      <c r="R26" s="7" t="str">
        <f>Tab_Data_Flows[[#This Row],[Flow_ID]]&amp;"_"&amp;"material_"&amp;Tab_Data_Flows[[#This Row],[Flow_Data_Year]]</f>
        <v>F_00_02_material_1974</v>
      </c>
      <c r="S26" s="14">
        <f>IF(O26="no",H26,H26*P26)</f>
        <v>99010.849315068481</v>
      </c>
      <c r="T26" s="8" t="s">
        <v>198</v>
      </c>
      <c r="U26" s="143">
        <f>INDEX(Tab_Def_Flows[[Flow_ID]:[CC_DM_source]],MATCH(Tab_Data_Flows[[#This Row],[Flow_Name]],Tab_Def_Flows[Flow_Name],0),11)</f>
        <v>0</v>
      </c>
      <c r="V26" s="7" t="str">
        <f>Tab_Data_Flows[[#This Row],[Flow_ID]]&amp;"_"&amp;"WC_"&amp;Tab_Data_Flows[[#This Row],[Flow_Data_Year]]</f>
        <v>F_00_02_WC_1974</v>
      </c>
      <c r="W26" s="7">
        <f>IF(D26="Yes",S26*Tab_Data_Flows[[#This Row],[WC_'[%']]],"N.A.")</f>
        <v>0</v>
      </c>
      <c r="X26" s="7" t="str">
        <f>Tab_Data_Flows[[#This Row],[UoM_Flow_Py]]</f>
        <v>Mg</v>
      </c>
      <c r="Y26" s="143">
        <f>INDEX(Tab_Def_Flows[[Flow_ID]:[CC_DM_source]],MATCH(Tab_Data_Flows[[#This Row],[Flow_Name]],Tab_Def_Flows[Flow_Name],0),14)</f>
        <v>1</v>
      </c>
      <c r="Z26" s="7" t="str">
        <f>Tab_Data_Flows[[#This Row],[Flow_ID]]&amp;"_"&amp;"DM_"&amp;Tab_Data_Flows[[#This Row],[Flow_Data_Year]]</f>
        <v>F_00_02_DM_1974</v>
      </c>
      <c r="AA26" s="7">
        <f>IF(E26="Yes",Y26*Tab_Data_Flows[[#This Row],[Flow_Material]],"N.A.")</f>
        <v>99010.849315068481</v>
      </c>
      <c r="AB26" s="7" t="str">
        <f>Tab_Data_Flows[[#This Row],[UoM_Flow_Py]]</f>
        <v>Mg</v>
      </c>
      <c r="AC26" s="143">
        <f>INDEX(Tab_Def_Flows[[Flow_ID]:[CC_DM_source]],MATCH(Tab_Data_Flows[[#This Row],[Flow_Name]],Tab_Def_Flows[Flow_Name],0),17)</f>
        <v>1</v>
      </c>
      <c r="AD26" s="7" t="str">
        <f>Tab_Data_Flows[[#This Row],[Flow_ID]]&amp;"_"&amp;"CC_"&amp;Tab_Data_Flows[[#This Row],[Flow_Data_Year]]</f>
        <v>F_00_02_CC_1974</v>
      </c>
      <c r="AE26" s="7">
        <f>IF(F26="Yes",AC26*Tab_Data_Flows[[#This Row],[Flow_Material]]*Tab_Data_Flows[[#This Row],[DM_'[%']]],"N.A.")</f>
        <v>99010.849315068481</v>
      </c>
      <c r="AF26" s="7" t="str">
        <f>Tab_Data_Flows[[#This Row],[UoM_Flow_Py]]</f>
        <v>Mg</v>
      </c>
      <c r="AG26"/>
    </row>
    <row r="27" spans="1:33" x14ac:dyDescent="0.25">
      <c r="A27" s="9">
        <f t="shared" si="0"/>
        <v>26</v>
      </c>
      <c r="B27" s="7" t="str">
        <f>_xlfn.XLOOKUP(C27,Tab_Def_Flows[Flow_Name],Tab_Def_Flows[Flow_ID],,0,)</f>
        <v>F_00_02</v>
      </c>
      <c r="C27" s="142" t="s">
        <v>588</v>
      </c>
      <c r="D27" s="10" t="str">
        <f>_xlfn.XLOOKUP(C27,Tab_Def_Flows[Flow_Name],Tab_Def_Flows[WC?],,0,)</f>
        <v>Yes</v>
      </c>
      <c r="E27" s="10" t="str">
        <f>_xlfn.XLOOKUP(C27,Tab_Def_Flows[Flow_Name],Tab_Def_Flows[DM?],,0,)</f>
        <v>Yes</v>
      </c>
      <c r="F27" s="10" t="str">
        <f>_xlfn.XLOOKUP(C27,Tab_Def_Flows[Flow_Name],Tab_Def_Flows[CC?],,0,)</f>
        <v>Yes</v>
      </c>
      <c r="G27" s="8">
        <v>1975</v>
      </c>
      <c r="H27" s="23">
        <v>81835.178082191778</v>
      </c>
      <c r="I27" s="8" t="s">
        <v>198</v>
      </c>
      <c r="J27" s="15"/>
      <c r="K27" s="15"/>
      <c r="L27" s="15"/>
      <c r="M27" s="15"/>
      <c r="N27" s="15"/>
      <c r="O27" s="8" t="s">
        <v>6</v>
      </c>
      <c r="P27" s="8"/>
      <c r="Q27" s="8"/>
      <c r="R27" s="7" t="str">
        <f>Tab_Data_Flows[[#This Row],[Flow_ID]]&amp;"_"&amp;"material_"&amp;Tab_Data_Flows[[#This Row],[Flow_Data_Year]]</f>
        <v>F_00_02_material_1975</v>
      </c>
      <c r="S27" s="14">
        <f>IF(O27="no",H27,H27*P27)</f>
        <v>81835.178082191778</v>
      </c>
      <c r="T27" s="8" t="s">
        <v>198</v>
      </c>
      <c r="U27" s="143">
        <f>INDEX(Tab_Def_Flows[[Flow_ID]:[CC_DM_source]],MATCH(Tab_Data_Flows[[#This Row],[Flow_Name]],Tab_Def_Flows[Flow_Name],0),11)</f>
        <v>0</v>
      </c>
      <c r="V27" s="7" t="str">
        <f>Tab_Data_Flows[[#This Row],[Flow_ID]]&amp;"_"&amp;"WC_"&amp;Tab_Data_Flows[[#This Row],[Flow_Data_Year]]</f>
        <v>F_00_02_WC_1975</v>
      </c>
      <c r="W27" s="7">
        <f>IF(D27="Yes",S27*Tab_Data_Flows[[#This Row],[WC_'[%']]],"N.A.")</f>
        <v>0</v>
      </c>
      <c r="X27" s="7" t="str">
        <f>Tab_Data_Flows[[#This Row],[UoM_Flow_Py]]</f>
        <v>Mg</v>
      </c>
      <c r="Y27" s="143">
        <f>INDEX(Tab_Def_Flows[[Flow_ID]:[CC_DM_source]],MATCH(Tab_Data_Flows[[#This Row],[Flow_Name]],Tab_Def_Flows[Flow_Name],0),14)</f>
        <v>1</v>
      </c>
      <c r="Z27" s="7" t="str">
        <f>Tab_Data_Flows[[#This Row],[Flow_ID]]&amp;"_"&amp;"DM_"&amp;Tab_Data_Flows[[#This Row],[Flow_Data_Year]]</f>
        <v>F_00_02_DM_1975</v>
      </c>
      <c r="AA27" s="7">
        <f>IF(E27="Yes",Y27*Tab_Data_Flows[[#This Row],[Flow_Material]],"N.A.")</f>
        <v>81835.178082191778</v>
      </c>
      <c r="AB27" s="7" t="str">
        <f>Tab_Data_Flows[[#This Row],[UoM_Flow_Py]]</f>
        <v>Mg</v>
      </c>
      <c r="AC27" s="143">
        <f>INDEX(Tab_Def_Flows[[Flow_ID]:[CC_DM_source]],MATCH(Tab_Data_Flows[[#This Row],[Flow_Name]],Tab_Def_Flows[Flow_Name],0),17)</f>
        <v>1</v>
      </c>
      <c r="AD27" s="7" t="str">
        <f>Tab_Data_Flows[[#This Row],[Flow_ID]]&amp;"_"&amp;"CC_"&amp;Tab_Data_Flows[[#This Row],[Flow_Data_Year]]</f>
        <v>F_00_02_CC_1975</v>
      </c>
      <c r="AE27" s="7">
        <f>IF(F27="Yes",AC27*Tab_Data_Flows[[#This Row],[Flow_Material]]*Tab_Data_Flows[[#This Row],[DM_'[%']]],"N.A.")</f>
        <v>81835.178082191778</v>
      </c>
      <c r="AF27" s="7" t="str">
        <f>Tab_Data_Flows[[#This Row],[UoM_Flow_Py]]</f>
        <v>Mg</v>
      </c>
      <c r="AG27"/>
    </row>
    <row r="28" spans="1:33" x14ac:dyDescent="0.25">
      <c r="A28" s="9">
        <f t="shared" si="0"/>
        <v>27</v>
      </c>
      <c r="B28" s="7" t="str">
        <f>_xlfn.XLOOKUP(C28,Tab_Def_Flows[Flow_Name],Tab_Def_Flows[Flow_ID],,0,)</f>
        <v>F_00_02</v>
      </c>
      <c r="C28" s="142" t="s">
        <v>588</v>
      </c>
      <c r="D28" s="10" t="str">
        <f>_xlfn.XLOOKUP(C28,Tab_Def_Flows[Flow_Name],Tab_Def_Flows[WC?],,0,)</f>
        <v>Yes</v>
      </c>
      <c r="E28" s="10" t="str">
        <f>_xlfn.XLOOKUP(C28,Tab_Def_Flows[Flow_Name],Tab_Def_Flows[DM?],,0,)</f>
        <v>Yes</v>
      </c>
      <c r="F28" s="10" t="str">
        <f>_xlfn.XLOOKUP(C28,Tab_Def_Flows[Flow_Name],Tab_Def_Flows[CC?],,0,)</f>
        <v>Yes</v>
      </c>
      <c r="G28" s="8">
        <v>1976</v>
      </c>
      <c r="H28" s="23">
        <v>90548.38356164383</v>
      </c>
      <c r="I28" s="8" t="s">
        <v>198</v>
      </c>
      <c r="J28" s="15"/>
      <c r="K28" s="15"/>
      <c r="L28" s="15"/>
      <c r="M28" s="15"/>
      <c r="N28" s="15"/>
      <c r="O28" s="8" t="s">
        <v>6</v>
      </c>
      <c r="P28" s="8"/>
      <c r="Q28" s="8"/>
      <c r="R28" s="7" t="str">
        <f>Tab_Data_Flows[[#This Row],[Flow_ID]]&amp;"_"&amp;"material_"&amp;Tab_Data_Flows[[#This Row],[Flow_Data_Year]]</f>
        <v>F_00_02_material_1976</v>
      </c>
      <c r="S28" s="14">
        <f>IF(O28="no",H28,H28*P28)</f>
        <v>90548.38356164383</v>
      </c>
      <c r="T28" s="8" t="s">
        <v>198</v>
      </c>
      <c r="U28" s="143">
        <f>INDEX(Tab_Def_Flows[[Flow_ID]:[CC_DM_source]],MATCH(Tab_Data_Flows[[#This Row],[Flow_Name]],Tab_Def_Flows[Flow_Name],0),11)</f>
        <v>0</v>
      </c>
      <c r="V28" s="7" t="str">
        <f>Tab_Data_Flows[[#This Row],[Flow_ID]]&amp;"_"&amp;"WC_"&amp;Tab_Data_Flows[[#This Row],[Flow_Data_Year]]</f>
        <v>F_00_02_WC_1976</v>
      </c>
      <c r="W28" s="7">
        <f>IF(D28="Yes",S28*Tab_Data_Flows[[#This Row],[WC_'[%']]],"N.A.")</f>
        <v>0</v>
      </c>
      <c r="X28" s="7" t="str">
        <f>Tab_Data_Flows[[#This Row],[UoM_Flow_Py]]</f>
        <v>Mg</v>
      </c>
      <c r="Y28" s="143">
        <f>INDEX(Tab_Def_Flows[[Flow_ID]:[CC_DM_source]],MATCH(Tab_Data_Flows[[#This Row],[Flow_Name]],Tab_Def_Flows[Flow_Name],0),14)</f>
        <v>1</v>
      </c>
      <c r="Z28" s="7" t="str">
        <f>Tab_Data_Flows[[#This Row],[Flow_ID]]&amp;"_"&amp;"DM_"&amp;Tab_Data_Flows[[#This Row],[Flow_Data_Year]]</f>
        <v>F_00_02_DM_1976</v>
      </c>
      <c r="AA28" s="7">
        <f>IF(E28="Yes",Y28*Tab_Data_Flows[[#This Row],[Flow_Material]],"N.A.")</f>
        <v>90548.38356164383</v>
      </c>
      <c r="AB28" s="7" t="str">
        <f>Tab_Data_Flows[[#This Row],[UoM_Flow_Py]]</f>
        <v>Mg</v>
      </c>
      <c r="AC28" s="143">
        <f>INDEX(Tab_Def_Flows[[Flow_ID]:[CC_DM_source]],MATCH(Tab_Data_Flows[[#This Row],[Flow_Name]],Tab_Def_Flows[Flow_Name],0),17)</f>
        <v>1</v>
      </c>
      <c r="AD28" s="7" t="str">
        <f>Tab_Data_Flows[[#This Row],[Flow_ID]]&amp;"_"&amp;"CC_"&amp;Tab_Data_Flows[[#This Row],[Flow_Data_Year]]</f>
        <v>F_00_02_CC_1976</v>
      </c>
      <c r="AE28" s="7">
        <f>IF(F28="Yes",AC28*Tab_Data_Flows[[#This Row],[Flow_Material]]*Tab_Data_Flows[[#This Row],[DM_'[%']]],"N.A.")</f>
        <v>90548.38356164383</v>
      </c>
      <c r="AF28" s="7" t="str">
        <f>Tab_Data_Flows[[#This Row],[UoM_Flow_Py]]</f>
        <v>Mg</v>
      </c>
      <c r="AG28"/>
    </row>
    <row r="29" spans="1:33" x14ac:dyDescent="0.25">
      <c r="A29" s="9">
        <f t="shared" si="0"/>
        <v>28</v>
      </c>
      <c r="B29" s="7" t="str">
        <f>_xlfn.XLOOKUP(C29,Tab_Def_Flows[Flow_Name],Tab_Def_Flows[Flow_ID],,0,)</f>
        <v>F_00_02</v>
      </c>
      <c r="C29" s="142" t="s">
        <v>588</v>
      </c>
      <c r="D29" s="10" t="str">
        <f>_xlfn.XLOOKUP(C29,Tab_Def_Flows[Flow_Name],Tab_Def_Flows[WC?],,0,)</f>
        <v>Yes</v>
      </c>
      <c r="E29" s="10" t="str">
        <f>_xlfn.XLOOKUP(C29,Tab_Def_Flows[Flow_Name],Tab_Def_Flows[DM?],,0,)</f>
        <v>Yes</v>
      </c>
      <c r="F29" s="10" t="str">
        <f>_xlfn.XLOOKUP(C29,Tab_Def_Flows[Flow_Name],Tab_Def_Flows[CC?],,0,)</f>
        <v>Yes</v>
      </c>
      <c r="G29" s="8">
        <v>1977</v>
      </c>
      <c r="H29" s="23">
        <v>91958.794520547948</v>
      </c>
      <c r="I29" s="8" t="s">
        <v>198</v>
      </c>
      <c r="J29" s="15"/>
      <c r="K29" s="15"/>
      <c r="L29" s="15"/>
      <c r="M29" s="15"/>
      <c r="N29" s="15"/>
      <c r="O29" s="8" t="s">
        <v>6</v>
      </c>
      <c r="P29" s="8"/>
      <c r="Q29" s="8"/>
      <c r="R29" s="7" t="str">
        <f>Tab_Data_Flows[[#This Row],[Flow_ID]]&amp;"_"&amp;"material_"&amp;Tab_Data_Flows[[#This Row],[Flow_Data_Year]]</f>
        <v>F_00_02_material_1977</v>
      </c>
      <c r="S29" s="14">
        <f>IF(O29="no",H29,H29*P29)</f>
        <v>91958.794520547948</v>
      </c>
      <c r="T29" s="8" t="s">
        <v>198</v>
      </c>
      <c r="U29" s="143">
        <f>INDEX(Tab_Def_Flows[[Flow_ID]:[CC_DM_source]],MATCH(Tab_Data_Flows[[#This Row],[Flow_Name]],Tab_Def_Flows[Flow_Name],0),11)</f>
        <v>0</v>
      </c>
      <c r="V29" s="7" t="str">
        <f>Tab_Data_Flows[[#This Row],[Flow_ID]]&amp;"_"&amp;"WC_"&amp;Tab_Data_Flows[[#This Row],[Flow_Data_Year]]</f>
        <v>F_00_02_WC_1977</v>
      </c>
      <c r="W29" s="7">
        <f>IF(D29="Yes",S29*Tab_Data_Flows[[#This Row],[WC_'[%']]],"N.A.")</f>
        <v>0</v>
      </c>
      <c r="X29" s="7" t="str">
        <f>Tab_Data_Flows[[#This Row],[UoM_Flow_Py]]</f>
        <v>Mg</v>
      </c>
      <c r="Y29" s="143">
        <f>INDEX(Tab_Def_Flows[[Flow_ID]:[CC_DM_source]],MATCH(Tab_Data_Flows[[#This Row],[Flow_Name]],Tab_Def_Flows[Flow_Name],0),14)</f>
        <v>1</v>
      </c>
      <c r="Z29" s="7" t="str">
        <f>Tab_Data_Flows[[#This Row],[Flow_ID]]&amp;"_"&amp;"DM_"&amp;Tab_Data_Flows[[#This Row],[Flow_Data_Year]]</f>
        <v>F_00_02_DM_1977</v>
      </c>
      <c r="AA29" s="7">
        <f>IF(E29="Yes",Y29*Tab_Data_Flows[[#This Row],[Flow_Material]],"N.A.")</f>
        <v>91958.794520547948</v>
      </c>
      <c r="AB29" s="7" t="str">
        <f>Tab_Data_Flows[[#This Row],[UoM_Flow_Py]]</f>
        <v>Mg</v>
      </c>
      <c r="AC29" s="143">
        <f>INDEX(Tab_Def_Flows[[Flow_ID]:[CC_DM_source]],MATCH(Tab_Data_Flows[[#This Row],[Flow_Name]],Tab_Def_Flows[Flow_Name],0),17)</f>
        <v>1</v>
      </c>
      <c r="AD29" s="7" t="str">
        <f>Tab_Data_Flows[[#This Row],[Flow_ID]]&amp;"_"&amp;"CC_"&amp;Tab_Data_Flows[[#This Row],[Flow_Data_Year]]</f>
        <v>F_00_02_CC_1977</v>
      </c>
      <c r="AE29" s="7">
        <f>IF(F29="Yes",AC29*Tab_Data_Flows[[#This Row],[Flow_Material]]*Tab_Data_Flows[[#This Row],[DM_'[%']]],"N.A.")</f>
        <v>91958.794520547948</v>
      </c>
      <c r="AF29" s="7" t="str">
        <f>Tab_Data_Flows[[#This Row],[UoM_Flow_Py]]</f>
        <v>Mg</v>
      </c>
      <c r="AG29"/>
    </row>
    <row r="30" spans="1:33" x14ac:dyDescent="0.25">
      <c r="A30" s="9">
        <f t="shared" si="0"/>
        <v>29</v>
      </c>
      <c r="B30" s="7" t="str">
        <f>_xlfn.XLOOKUP(C30,Tab_Def_Flows[Flow_Name],Tab_Def_Flows[Flow_ID],,0,)</f>
        <v>F_00_02</v>
      </c>
      <c r="C30" s="142" t="s">
        <v>588</v>
      </c>
      <c r="D30" s="10" t="str">
        <f>_xlfn.XLOOKUP(C30,Tab_Def_Flows[Flow_Name],Tab_Def_Flows[WC?],,0,)</f>
        <v>Yes</v>
      </c>
      <c r="E30" s="10" t="str">
        <f>_xlfn.XLOOKUP(C30,Tab_Def_Flows[Flow_Name],Tab_Def_Flows[DM?],,0,)</f>
        <v>Yes</v>
      </c>
      <c r="F30" s="10" t="str">
        <f>_xlfn.XLOOKUP(C30,Tab_Def_Flows[Flow_Name],Tab_Def_Flows[CC?],,0,)</f>
        <v>Yes</v>
      </c>
      <c r="G30" s="8">
        <v>1978</v>
      </c>
      <c r="H30" s="23">
        <v>89764.821917808222</v>
      </c>
      <c r="I30" s="8" t="s">
        <v>198</v>
      </c>
      <c r="J30" s="15"/>
      <c r="K30" s="15"/>
      <c r="L30" s="15"/>
      <c r="M30" s="15"/>
      <c r="N30" s="15"/>
      <c r="O30" s="8" t="s">
        <v>6</v>
      </c>
      <c r="P30" s="8"/>
      <c r="Q30" s="8"/>
      <c r="R30" s="7" t="str">
        <f>Tab_Data_Flows[[#This Row],[Flow_ID]]&amp;"_"&amp;"material_"&amp;Tab_Data_Flows[[#This Row],[Flow_Data_Year]]</f>
        <v>F_00_02_material_1978</v>
      </c>
      <c r="S30" s="14">
        <f>IF(O30="no",H30,H30*P30)</f>
        <v>89764.821917808222</v>
      </c>
      <c r="T30" s="8" t="s">
        <v>198</v>
      </c>
      <c r="U30" s="143">
        <f>INDEX(Tab_Def_Flows[[Flow_ID]:[CC_DM_source]],MATCH(Tab_Data_Flows[[#This Row],[Flow_Name]],Tab_Def_Flows[Flow_Name],0),11)</f>
        <v>0</v>
      </c>
      <c r="V30" s="7" t="str">
        <f>Tab_Data_Flows[[#This Row],[Flow_ID]]&amp;"_"&amp;"WC_"&amp;Tab_Data_Flows[[#This Row],[Flow_Data_Year]]</f>
        <v>F_00_02_WC_1978</v>
      </c>
      <c r="W30" s="7">
        <f>IF(D30="Yes",S30*Tab_Data_Flows[[#This Row],[WC_'[%']]],"N.A.")</f>
        <v>0</v>
      </c>
      <c r="X30" s="7" t="str">
        <f>Tab_Data_Flows[[#This Row],[UoM_Flow_Py]]</f>
        <v>Mg</v>
      </c>
      <c r="Y30" s="143">
        <f>INDEX(Tab_Def_Flows[[Flow_ID]:[CC_DM_source]],MATCH(Tab_Data_Flows[[#This Row],[Flow_Name]],Tab_Def_Flows[Flow_Name],0),14)</f>
        <v>1</v>
      </c>
      <c r="Z30" s="7" t="str">
        <f>Tab_Data_Flows[[#This Row],[Flow_ID]]&amp;"_"&amp;"DM_"&amp;Tab_Data_Flows[[#This Row],[Flow_Data_Year]]</f>
        <v>F_00_02_DM_1978</v>
      </c>
      <c r="AA30" s="7">
        <f>IF(E30="Yes",Y30*Tab_Data_Flows[[#This Row],[Flow_Material]],"N.A.")</f>
        <v>89764.821917808222</v>
      </c>
      <c r="AB30" s="7" t="str">
        <f>Tab_Data_Flows[[#This Row],[UoM_Flow_Py]]</f>
        <v>Mg</v>
      </c>
      <c r="AC30" s="143">
        <f>INDEX(Tab_Def_Flows[[Flow_ID]:[CC_DM_source]],MATCH(Tab_Data_Flows[[#This Row],[Flow_Name]],Tab_Def_Flows[Flow_Name],0),17)</f>
        <v>1</v>
      </c>
      <c r="AD30" s="7" t="str">
        <f>Tab_Data_Flows[[#This Row],[Flow_ID]]&amp;"_"&amp;"CC_"&amp;Tab_Data_Flows[[#This Row],[Flow_Data_Year]]</f>
        <v>F_00_02_CC_1978</v>
      </c>
      <c r="AE30" s="7">
        <f>IF(F30="Yes",AC30*Tab_Data_Flows[[#This Row],[Flow_Material]]*Tab_Data_Flows[[#This Row],[DM_'[%']]],"N.A.")</f>
        <v>89764.821917808222</v>
      </c>
      <c r="AF30" s="7" t="str">
        <f>Tab_Data_Flows[[#This Row],[UoM_Flow_Py]]</f>
        <v>Mg</v>
      </c>
      <c r="AG30"/>
    </row>
    <row r="31" spans="1:33" x14ac:dyDescent="0.25">
      <c r="A31" s="9">
        <f t="shared" si="0"/>
        <v>30</v>
      </c>
      <c r="B31" s="7" t="str">
        <f>_xlfn.XLOOKUP(C31,Tab_Def_Flows[Flow_Name],Tab_Def_Flows[Flow_ID],,0,)</f>
        <v>F_00_02</v>
      </c>
      <c r="C31" s="142" t="s">
        <v>588</v>
      </c>
      <c r="D31" s="10" t="str">
        <f>_xlfn.XLOOKUP(C31,Tab_Def_Flows[Flow_Name],Tab_Def_Flows[WC?],,0,)</f>
        <v>Yes</v>
      </c>
      <c r="E31" s="10" t="str">
        <f>_xlfn.XLOOKUP(C31,Tab_Def_Flows[Flow_Name],Tab_Def_Flows[DM?],,0,)</f>
        <v>Yes</v>
      </c>
      <c r="F31" s="10" t="str">
        <f>_xlfn.XLOOKUP(C31,Tab_Def_Flows[Flow_Name],Tab_Def_Flows[CC?],,0,)</f>
        <v>Yes</v>
      </c>
      <c r="G31" s="8">
        <v>1979</v>
      </c>
      <c r="H31" s="23">
        <v>86035.068493150698</v>
      </c>
      <c r="I31" s="8" t="s">
        <v>198</v>
      </c>
      <c r="J31" s="15"/>
      <c r="K31" s="15"/>
      <c r="L31" s="15"/>
      <c r="M31" s="15"/>
      <c r="N31" s="15"/>
      <c r="O31" s="8" t="s">
        <v>6</v>
      </c>
      <c r="P31" s="16"/>
      <c r="Q31" s="8"/>
      <c r="R31" s="7" t="str">
        <f>Tab_Data_Flows[[#This Row],[Flow_ID]]&amp;"_"&amp;"material_"&amp;Tab_Data_Flows[[#This Row],[Flow_Data_Year]]</f>
        <v>F_00_02_material_1979</v>
      </c>
      <c r="S31" s="14">
        <f>IF(O31="no",H31,H31*P31)</f>
        <v>86035.068493150698</v>
      </c>
      <c r="T31" s="8" t="s">
        <v>198</v>
      </c>
      <c r="U31" s="143">
        <f>INDEX(Tab_Def_Flows[[Flow_ID]:[CC_DM_source]],MATCH(Tab_Data_Flows[[#This Row],[Flow_Name]],Tab_Def_Flows[Flow_Name],0),11)</f>
        <v>0</v>
      </c>
      <c r="V31" s="7" t="str">
        <f>Tab_Data_Flows[[#This Row],[Flow_ID]]&amp;"_"&amp;"WC_"&amp;Tab_Data_Flows[[#This Row],[Flow_Data_Year]]</f>
        <v>F_00_02_WC_1979</v>
      </c>
      <c r="W31" s="7">
        <f>IF(D31="Yes",S31*Tab_Data_Flows[[#This Row],[WC_'[%']]],"N.A.")</f>
        <v>0</v>
      </c>
      <c r="X31" s="7" t="str">
        <f>Tab_Data_Flows[[#This Row],[UoM_Flow_Py]]</f>
        <v>Mg</v>
      </c>
      <c r="Y31" s="143">
        <f>INDEX(Tab_Def_Flows[[Flow_ID]:[CC_DM_source]],MATCH(Tab_Data_Flows[[#This Row],[Flow_Name]],Tab_Def_Flows[Flow_Name],0),14)</f>
        <v>1</v>
      </c>
      <c r="Z31" s="7" t="str">
        <f>Tab_Data_Flows[[#This Row],[Flow_ID]]&amp;"_"&amp;"DM_"&amp;Tab_Data_Flows[[#This Row],[Flow_Data_Year]]</f>
        <v>F_00_02_DM_1979</v>
      </c>
      <c r="AA31" s="7">
        <f>IF(E31="Yes",Y31*Tab_Data_Flows[[#This Row],[Flow_Material]],"N.A.")</f>
        <v>86035.068493150698</v>
      </c>
      <c r="AB31" s="7" t="str">
        <f>Tab_Data_Flows[[#This Row],[UoM_Flow_Py]]</f>
        <v>Mg</v>
      </c>
      <c r="AC31" s="143">
        <f>INDEX(Tab_Def_Flows[[Flow_ID]:[CC_DM_source]],MATCH(Tab_Data_Flows[[#This Row],[Flow_Name]],Tab_Def_Flows[Flow_Name],0),17)</f>
        <v>1</v>
      </c>
      <c r="AD31" s="7" t="str">
        <f>Tab_Data_Flows[[#This Row],[Flow_ID]]&amp;"_"&amp;"CC_"&amp;Tab_Data_Flows[[#This Row],[Flow_Data_Year]]</f>
        <v>F_00_02_CC_1979</v>
      </c>
      <c r="AE31" s="7">
        <f>IF(F31="Yes",AC31*Tab_Data_Flows[[#This Row],[Flow_Material]]*Tab_Data_Flows[[#This Row],[DM_'[%']]],"N.A.")</f>
        <v>86035.068493150698</v>
      </c>
      <c r="AF31" s="7" t="str">
        <f>Tab_Data_Flows[[#This Row],[UoM_Flow_Py]]</f>
        <v>Mg</v>
      </c>
      <c r="AG31"/>
    </row>
    <row r="32" spans="1:33" x14ac:dyDescent="0.25">
      <c r="A32" s="9">
        <f t="shared" si="0"/>
        <v>31</v>
      </c>
      <c r="B32" s="7" t="str">
        <f>_xlfn.XLOOKUP(C32,Tab_Def_Flows[Flow_Name],Tab_Def_Flows[Flow_ID],,0,)</f>
        <v>F_00_02</v>
      </c>
      <c r="C32" s="142" t="s">
        <v>588</v>
      </c>
      <c r="D32" s="10" t="str">
        <f>_xlfn.XLOOKUP(C32,Tab_Def_Flows[Flow_Name],Tab_Def_Flows[WC?],,0,)</f>
        <v>Yes</v>
      </c>
      <c r="E32" s="10" t="str">
        <f>_xlfn.XLOOKUP(C32,Tab_Def_Flows[Flow_Name],Tab_Def_Flows[DM?],,0,)</f>
        <v>Yes</v>
      </c>
      <c r="F32" s="10" t="str">
        <f>_xlfn.XLOOKUP(C32,Tab_Def_Flows[Flow_Name],Tab_Def_Flows[CC?],,0,)</f>
        <v>Yes</v>
      </c>
      <c r="G32" s="8">
        <v>1980</v>
      </c>
      <c r="H32" s="23">
        <v>94372.164383561641</v>
      </c>
      <c r="I32" s="8" t="s">
        <v>198</v>
      </c>
      <c r="J32" s="15"/>
      <c r="K32" s="15"/>
      <c r="L32" s="15"/>
      <c r="M32" s="15"/>
      <c r="N32" s="15"/>
      <c r="O32" s="8" t="s">
        <v>6</v>
      </c>
      <c r="P32" s="16"/>
      <c r="Q32" s="8"/>
      <c r="R32" s="7" t="str">
        <f>Tab_Data_Flows[[#This Row],[Flow_ID]]&amp;"_"&amp;"material_"&amp;Tab_Data_Flows[[#This Row],[Flow_Data_Year]]</f>
        <v>F_00_02_material_1980</v>
      </c>
      <c r="S32" s="14">
        <f>IF(O32="no",H32,H32*P32)</f>
        <v>94372.164383561641</v>
      </c>
      <c r="T32" s="8" t="s">
        <v>198</v>
      </c>
      <c r="U32" s="143">
        <f>INDEX(Tab_Def_Flows[[Flow_ID]:[CC_DM_source]],MATCH(Tab_Data_Flows[[#This Row],[Flow_Name]],Tab_Def_Flows[Flow_Name],0),11)</f>
        <v>0</v>
      </c>
      <c r="V32" s="7" t="str">
        <f>Tab_Data_Flows[[#This Row],[Flow_ID]]&amp;"_"&amp;"WC_"&amp;Tab_Data_Flows[[#This Row],[Flow_Data_Year]]</f>
        <v>F_00_02_WC_1980</v>
      </c>
      <c r="W32" s="7">
        <f>IF(D32="Yes",S32*Tab_Data_Flows[[#This Row],[WC_'[%']]],"N.A.")</f>
        <v>0</v>
      </c>
      <c r="X32" s="7" t="str">
        <f>Tab_Data_Flows[[#This Row],[UoM_Flow_Py]]</f>
        <v>Mg</v>
      </c>
      <c r="Y32" s="143">
        <f>INDEX(Tab_Def_Flows[[Flow_ID]:[CC_DM_source]],MATCH(Tab_Data_Flows[[#This Row],[Flow_Name]],Tab_Def_Flows[Flow_Name],0),14)</f>
        <v>1</v>
      </c>
      <c r="Z32" s="7" t="str">
        <f>Tab_Data_Flows[[#This Row],[Flow_ID]]&amp;"_"&amp;"DM_"&amp;Tab_Data_Flows[[#This Row],[Flow_Data_Year]]</f>
        <v>F_00_02_DM_1980</v>
      </c>
      <c r="AA32" s="7">
        <f>IF(E32="Yes",Y32*Tab_Data_Flows[[#This Row],[Flow_Material]],"N.A.")</f>
        <v>94372.164383561641</v>
      </c>
      <c r="AB32" s="7" t="str">
        <f>Tab_Data_Flows[[#This Row],[UoM_Flow_Py]]</f>
        <v>Mg</v>
      </c>
      <c r="AC32" s="143">
        <f>INDEX(Tab_Def_Flows[[Flow_ID]:[CC_DM_source]],MATCH(Tab_Data_Flows[[#This Row],[Flow_Name]],Tab_Def_Flows[Flow_Name],0),17)</f>
        <v>1</v>
      </c>
      <c r="AD32" s="7" t="str">
        <f>Tab_Data_Flows[[#This Row],[Flow_ID]]&amp;"_"&amp;"CC_"&amp;Tab_Data_Flows[[#This Row],[Flow_Data_Year]]</f>
        <v>F_00_02_CC_1980</v>
      </c>
      <c r="AE32" s="7">
        <f>IF(F32="Yes",AC32*Tab_Data_Flows[[#This Row],[Flow_Material]]*Tab_Data_Flows[[#This Row],[DM_'[%']]],"N.A.")</f>
        <v>94372.164383561641</v>
      </c>
      <c r="AF32" s="7" t="str">
        <f>Tab_Data_Flows[[#This Row],[UoM_Flow_Py]]</f>
        <v>Mg</v>
      </c>
      <c r="AG32"/>
    </row>
    <row r="33" spans="1:33" x14ac:dyDescent="0.25">
      <c r="A33" s="9">
        <f t="shared" si="0"/>
        <v>32</v>
      </c>
      <c r="B33" s="7" t="str">
        <f>_xlfn.XLOOKUP(C33,Tab_Def_Flows[Flow_Name],Tab_Def_Flows[Flow_ID],,0,)</f>
        <v>F_00_02</v>
      </c>
      <c r="C33" s="142" t="s">
        <v>588</v>
      </c>
      <c r="D33" s="10" t="str">
        <f>_xlfn.XLOOKUP(C33,Tab_Def_Flows[Flow_Name],Tab_Def_Flows[WC?],,0,)</f>
        <v>Yes</v>
      </c>
      <c r="E33" s="10" t="str">
        <f>_xlfn.XLOOKUP(C33,Tab_Def_Flows[Flow_Name],Tab_Def_Flows[DM?],,0,)</f>
        <v>Yes</v>
      </c>
      <c r="F33" s="10" t="str">
        <f>_xlfn.XLOOKUP(C33,Tab_Def_Flows[Flow_Name],Tab_Def_Flows[CC?],,0,)</f>
        <v>Yes</v>
      </c>
      <c r="G33" s="8">
        <v>1981</v>
      </c>
      <c r="H33" s="23">
        <v>91520</v>
      </c>
      <c r="I33" s="8" t="s">
        <v>198</v>
      </c>
      <c r="J33" s="15"/>
      <c r="K33" s="15"/>
      <c r="L33" s="15"/>
      <c r="M33" s="15"/>
      <c r="N33" s="15"/>
      <c r="O33" s="8" t="s">
        <v>6</v>
      </c>
      <c r="P33" s="16"/>
      <c r="Q33" s="8"/>
      <c r="R33" s="7" t="str">
        <f>Tab_Data_Flows[[#This Row],[Flow_ID]]&amp;"_"&amp;"material_"&amp;Tab_Data_Flows[[#This Row],[Flow_Data_Year]]</f>
        <v>F_00_02_material_1981</v>
      </c>
      <c r="S33" s="14">
        <f>IF(O33="no",H33,H33*P33)</f>
        <v>91520</v>
      </c>
      <c r="T33" s="8" t="s">
        <v>198</v>
      </c>
      <c r="U33" s="143">
        <f>INDEX(Tab_Def_Flows[[Flow_ID]:[CC_DM_source]],MATCH(Tab_Data_Flows[[#This Row],[Flow_Name]],Tab_Def_Flows[Flow_Name],0),11)</f>
        <v>0</v>
      </c>
      <c r="V33" s="7" t="str">
        <f>Tab_Data_Flows[[#This Row],[Flow_ID]]&amp;"_"&amp;"WC_"&amp;Tab_Data_Flows[[#This Row],[Flow_Data_Year]]</f>
        <v>F_00_02_WC_1981</v>
      </c>
      <c r="W33" s="7">
        <f>IF(D33="Yes",S33*Tab_Data_Flows[[#This Row],[WC_'[%']]],"N.A.")</f>
        <v>0</v>
      </c>
      <c r="X33" s="7" t="str">
        <f>Tab_Data_Flows[[#This Row],[UoM_Flow_Py]]</f>
        <v>Mg</v>
      </c>
      <c r="Y33" s="143">
        <f>INDEX(Tab_Def_Flows[[Flow_ID]:[CC_DM_source]],MATCH(Tab_Data_Flows[[#This Row],[Flow_Name]],Tab_Def_Flows[Flow_Name],0),14)</f>
        <v>1</v>
      </c>
      <c r="Z33" s="7" t="str">
        <f>Tab_Data_Flows[[#This Row],[Flow_ID]]&amp;"_"&amp;"DM_"&amp;Tab_Data_Flows[[#This Row],[Flow_Data_Year]]</f>
        <v>F_00_02_DM_1981</v>
      </c>
      <c r="AA33" s="7">
        <f>IF(E33="Yes",Y33*Tab_Data_Flows[[#This Row],[Flow_Material]],"N.A.")</f>
        <v>91520</v>
      </c>
      <c r="AB33" s="7" t="str">
        <f>Tab_Data_Flows[[#This Row],[UoM_Flow_Py]]</f>
        <v>Mg</v>
      </c>
      <c r="AC33" s="143">
        <f>INDEX(Tab_Def_Flows[[Flow_ID]:[CC_DM_source]],MATCH(Tab_Data_Flows[[#This Row],[Flow_Name]],Tab_Def_Flows[Flow_Name],0),17)</f>
        <v>1</v>
      </c>
      <c r="AD33" s="7" t="str">
        <f>Tab_Data_Flows[[#This Row],[Flow_ID]]&amp;"_"&amp;"CC_"&amp;Tab_Data_Flows[[#This Row],[Flow_Data_Year]]</f>
        <v>F_00_02_CC_1981</v>
      </c>
      <c r="AE33" s="7">
        <f>IF(F33="Yes",AC33*Tab_Data_Flows[[#This Row],[Flow_Material]]*Tab_Data_Flows[[#This Row],[DM_'[%']]],"N.A.")</f>
        <v>91520</v>
      </c>
      <c r="AF33" s="7" t="str">
        <f>Tab_Data_Flows[[#This Row],[UoM_Flow_Py]]</f>
        <v>Mg</v>
      </c>
      <c r="AG33"/>
    </row>
    <row r="34" spans="1:33" x14ac:dyDescent="0.25">
      <c r="A34" s="9">
        <f t="shared" si="0"/>
        <v>33</v>
      </c>
      <c r="B34" s="7" t="str">
        <f>_xlfn.XLOOKUP(C34,Tab_Def_Flows[Flow_Name],Tab_Def_Flows[Flow_ID],,0,)</f>
        <v>F_00_02</v>
      </c>
      <c r="C34" s="142" t="s">
        <v>588</v>
      </c>
      <c r="D34" s="10" t="str">
        <f>_xlfn.XLOOKUP(C34,Tab_Def_Flows[Flow_Name],Tab_Def_Flows[WC?],,0,)</f>
        <v>Yes</v>
      </c>
      <c r="E34" s="10" t="str">
        <f>_xlfn.XLOOKUP(C34,Tab_Def_Flows[Flow_Name],Tab_Def_Flows[DM?],,0,)</f>
        <v>Yes</v>
      </c>
      <c r="F34" s="10" t="str">
        <f>_xlfn.XLOOKUP(C34,Tab_Def_Flows[Flow_Name],Tab_Def_Flows[CC?],,0,)</f>
        <v>Yes</v>
      </c>
      <c r="G34" s="8">
        <v>1982</v>
      </c>
      <c r="H34" s="23">
        <v>90517.041095890381</v>
      </c>
      <c r="I34" s="8" t="s">
        <v>198</v>
      </c>
      <c r="J34" s="15"/>
      <c r="K34" s="15"/>
      <c r="L34" s="15"/>
      <c r="M34" s="15"/>
      <c r="N34" s="15"/>
      <c r="O34" s="8" t="s">
        <v>6</v>
      </c>
      <c r="P34" s="16"/>
      <c r="Q34" s="8"/>
      <c r="R34" s="7" t="str">
        <f>Tab_Data_Flows[[#This Row],[Flow_ID]]&amp;"_"&amp;"material_"&amp;Tab_Data_Flows[[#This Row],[Flow_Data_Year]]</f>
        <v>F_00_02_material_1982</v>
      </c>
      <c r="S34" s="14">
        <f>IF(O34="no",H34,H34*P34)</f>
        <v>90517.041095890381</v>
      </c>
      <c r="T34" s="8" t="s">
        <v>198</v>
      </c>
      <c r="U34" s="143">
        <f>INDEX(Tab_Def_Flows[[Flow_ID]:[CC_DM_source]],MATCH(Tab_Data_Flows[[#This Row],[Flow_Name]],Tab_Def_Flows[Flow_Name],0),11)</f>
        <v>0</v>
      </c>
      <c r="V34" s="7" t="str">
        <f>Tab_Data_Flows[[#This Row],[Flow_ID]]&amp;"_"&amp;"WC_"&amp;Tab_Data_Flows[[#This Row],[Flow_Data_Year]]</f>
        <v>F_00_02_WC_1982</v>
      </c>
      <c r="W34" s="7">
        <f>IF(D34="Yes",S34*Tab_Data_Flows[[#This Row],[WC_'[%']]],"N.A.")</f>
        <v>0</v>
      </c>
      <c r="X34" s="7" t="str">
        <f>Tab_Data_Flows[[#This Row],[UoM_Flow_Py]]</f>
        <v>Mg</v>
      </c>
      <c r="Y34" s="143">
        <f>INDEX(Tab_Def_Flows[[Flow_ID]:[CC_DM_source]],MATCH(Tab_Data_Flows[[#This Row],[Flow_Name]],Tab_Def_Flows[Flow_Name],0),14)</f>
        <v>1</v>
      </c>
      <c r="Z34" s="7" t="str">
        <f>Tab_Data_Flows[[#This Row],[Flow_ID]]&amp;"_"&amp;"DM_"&amp;Tab_Data_Flows[[#This Row],[Flow_Data_Year]]</f>
        <v>F_00_02_DM_1982</v>
      </c>
      <c r="AA34" s="7">
        <f>IF(E34="Yes",Y34*Tab_Data_Flows[[#This Row],[Flow_Material]],"N.A.")</f>
        <v>90517.041095890381</v>
      </c>
      <c r="AB34" s="7" t="str">
        <f>Tab_Data_Flows[[#This Row],[UoM_Flow_Py]]</f>
        <v>Mg</v>
      </c>
      <c r="AC34" s="143">
        <f>INDEX(Tab_Def_Flows[[Flow_ID]:[CC_DM_source]],MATCH(Tab_Data_Flows[[#This Row],[Flow_Name]],Tab_Def_Flows[Flow_Name],0),17)</f>
        <v>1</v>
      </c>
      <c r="AD34" s="7" t="str">
        <f>Tab_Data_Flows[[#This Row],[Flow_ID]]&amp;"_"&amp;"CC_"&amp;Tab_Data_Flows[[#This Row],[Flow_Data_Year]]</f>
        <v>F_00_02_CC_1982</v>
      </c>
      <c r="AE34" s="7">
        <f>IF(F34="Yes",AC34*Tab_Data_Flows[[#This Row],[Flow_Material]]*Tab_Data_Flows[[#This Row],[DM_'[%']]],"N.A.")</f>
        <v>90517.041095890381</v>
      </c>
      <c r="AF34" s="7" t="str">
        <f>Tab_Data_Flows[[#This Row],[UoM_Flow_Py]]</f>
        <v>Mg</v>
      </c>
      <c r="AG34"/>
    </row>
    <row r="35" spans="1:33" x14ac:dyDescent="0.25">
      <c r="A35" s="9">
        <f t="shared" si="0"/>
        <v>34</v>
      </c>
      <c r="B35" s="7" t="str">
        <f>_xlfn.XLOOKUP(C35,Tab_Def_Flows[Flow_Name],Tab_Def_Flows[Flow_ID],,0,)</f>
        <v>F_00_02</v>
      </c>
      <c r="C35" s="142" t="s">
        <v>588</v>
      </c>
      <c r="D35" s="10" t="str">
        <f>_xlfn.XLOOKUP(C35,Tab_Def_Flows[Flow_Name],Tab_Def_Flows[WC?],,0,)</f>
        <v>Yes</v>
      </c>
      <c r="E35" s="10" t="str">
        <f>_xlfn.XLOOKUP(C35,Tab_Def_Flows[Flow_Name],Tab_Def_Flows[DM?],,0,)</f>
        <v>Yes</v>
      </c>
      <c r="F35" s="10" t="str">
        <f>_xlfn.XLOOKUP(C35,Tab_Def_Flows[Flow_Name],Tab_Def_Flows[CC?],,0,)</f>
        <v>Yes</v>
      </c>
      <c r="G35" s="8">
        <v>1983</v>
      </c>
      <c r="H35" s="23">
        <v>86254.465753424651</v>
      </c>
      <c r="I35" s="8" t="s">
        <v>198</v>
      </c>
      <c r="J35" s="15"/>
      <c r="K35" s="15"/>
      <c r="L35" s="15"/>
      <c r="M35" s="15"/>
      <c r="N35" s="15"/>
      <c r="O35" s="8" t="s">
        <v>6</v>
      </c>
      <c r="P35" s="16"/>
      <c r="Q35" s="8"/>
      <c r="R35" s="7" t="str">
        <f>Tab_Data_Flows[[#This Row],[Flow_ID]]&amp;"_"&amp;"material_"&amp;Tab_Data_Flows[[#This Row],[Flow_Data_Year]]</f>
        <v>F_00_02_material_1983</v>
      </c>
      <c r="S35" s="14">
        <f>IF(O35="no",H35,H35*P35)</f>
        <v>86254.465753424651</v>
      </c>
      <c r="T35" s="8" t="s">
        <v>198</v>
      </c>
      <c r="U35" s="143">
        <f>INDEX(Tab_Def_Flows[[Flow_ID]:[CC_DM_source]],MATCH(Tab_Data_Flows[[#This Row],[Flow_Name]],Tab_Def_Flows[Flow_Name],0),11)</f>
        <v>0</v>
      </c>
      <c r="V35" s="7" t="str">
        <f>Tab_Data_Flows[[#This Row],[Flow_ID]]&amp;"_"&amp;"WC_"&amp;Tab_Data_Flows[[#This Row],[Flow_Data_Year]]</f>
        <v>F_00_02_WC_1983</v>
      </c>
      <c r="W35" s="7">
        <f>IF(D35="Yes",S35*Tab_Data_Flows[[#This Row],[WC_'[%']]],"N.A.")</f>
        <v>0</v>
      </c>
      <c r="X35" s="7" t="str">
        <f>Tab_Data_Flows[[#This Row],[UoM_Flow_Py]]</f>
        <v>Mg</v>
      </c>
      <c r="Y35" s="143">
        <f>INDEX(Tab_Def_Flows[[Flow_ID]:[CC_DM_source]],MATCH(Tab_Data_Flows[[#This Row],[Flow_Name]],Tab_Def_Flows[Flow_Name],0),14)</f>
        <v>1</v>
      </c>
      <c r="Z35" s="7" t="str">
        <f>Tab_Data_Flows[[#This Row],[Flow_ID]]&amp;"_"&amp;"DM_"&amp;Tab_Data_Flows[[#This Row],[Flow_Data_Year]]</f>
        <v>F_00_02_DM_1983</v>
      </c>
      <c r="AA35" s="7">
        <f>IF(E35="Yes",Y35*Tab_Data_Flows[[#This Row],[Flow_Material]],"N.A.")</f>
        <v>86254.465753424651</v>
      </c>
      <c r="AB35" s="7" t="str">
        <f>Tab_Data_Flows[[#This Row],[UoM_Flow_Py]]</f>
        <v>Mg</v>
      </c>
      <c r="AC35" s="143">
        <f>INDEX(Tab_Def_Flows[[Flow_ID]:[CC_DM_source]],MATCH(Tab_Data_Flows[[#This Row],[Flow_Name]],Tab_Def_Flows[Flow_Name],0),17)</f>
        <v>1</v>
      </c>
      <c r="AD35" s="7" t="str">
        <f>Tab_Data_Flows[[#This Row],[Flow_ID]]&amp;"_"&amp;"CC_"&amp;Tab_Data_Flows[[#This Row],[Flow_Data_Year]]</f>
        <v>F_00_02_CC_1983</v>
      </c>
      <c r="AE35" s="7">
        <f>IF(F35="Yes",AC35*Tab_Data_Flows[[#This Row],[Flow_Material]]*Tab_Data_Flows[[#This Row],[DM_'[%']]],"N.A.")</f>
        <v>86254.465753424651</v>
      </c>
      <c r="AF35" s="7" t="str">
        <f>Tab_Data_Flows[[#This Row],[UoM_Flow_Py]]</f>
        <v>Mg</v>
      </c>
      <c r="AG35"/>
    </row>
    <row r="36" spans="1:33" x14ac:dyDescent="0.25">
      <c r="A36" s="9">
        <f t="shared" si="0"/>
        <v>35</v>
      </c>
      <c r="B36" s="7" t="str">
        <f>_xlfn.XLOOKUP(C36,Tab_Def_Flows[Flow_Name],Tab_Def_Flows[Flow_ID],,0,)</f>
        <v>F_00_02</v>
      </c>
      <c r="C36" s="142" t="s">
        <v>588</v>
      </c>
      <c r="D36" s="10" t="str">
        <f>_xlfn.XLOOKUP(C36,Tab_Def_Flows[Flow_Name],Tab_Def_Flows[WC?],,0,)</f>
        <v>Yes</v>
      </c>
      <c r="E36" s="10" t="str">
        <f>_xlfn.XLOOKUP(C36,Tab_Def_Flows[Flow_Name],Tab_Def_Flows[DM?],,0,)</f>
        <v>Yes</v>
      </c>
      <c r="F36" s="10" t="str">
        <f>_xlfn.XLOOKUP(C36,Tab_Def_Flows[Flow_Name],Tab_Def_Flows[CC?],,0,)</f>
        <v>Yes</v>
      </c>
      <c r="G36" s="8">
        <v>1984</v>
      </c>
      <c r="H36" s="23">
        <v>89043.945205479453</v>
      </c>
      <c r="I36" s="8" t="s">
        <v>198</v>
      </c>
      <c r="J36" s="15"/>
      <c r="K36" s="15"/>
      <c r="L36" s="15"/>
      <c r="M36" s="15"/>
      <c r="N36" s="15"/>
      <c r="O36" s="8" t="s">
        <v>6</v>
      </c>
      <c r="P36" s="16"/>
      <c r="Q36" s="8"/>
      <c r="R36" s="7" t="str">
        <f>Tab_Data_Flows[[#This Row],[Flow_ID]]&amp;"_"&amp;"material_"&amp;Tab_Data_Flows[[#This Row],[Flow_Data_Year]]</f>
        <v>F_00_02_material_1984</v>
      </c>
      <c r="S36" s="14">
        <f>IF(O36="no",H36,H36*P36)</f>
        <v>89043.945205479453</v>
      </c>
      <c r="T36" s="8" t="s">
        <v>198</v>
      </c>
      <c r="U36" s="143">
        <f>INDEX(Tab_Def_Flows[[Flow_ID]:[CC_DM_source]],MATCH(Tab_Data_Flows[[#This Row],[Flow_Name]],Tab_Def_Flows[Flow_Name],0),11)</f>
        <v>0</v>
      </c>
      <c r="V36" s="7" t="str">
        <f>Tab_Data_Flows[[#This Row],[Flow_ID]]&amp;"_"&amp;"WC_"&amp;Tab_Data_Flows[[#This Row],[Flow_Data_Year]]</f>
        <v>F_00_02_WC_1984</v>
      </c>
      <c r="W36" s="7">
        <f>IF(D36="Yes",S36*Tab_Data_Flows[[#This Row],[WC_'[%']]],"N.A.")</f>
        <v>0</v>
      </c>
      <c r="X36" s="7" t="str">
        <f>Tab_Data_Flows[[#This Row],[UoM_Flow_Py]]</f>
        <v>Mg</v>
      </c>
      <c r="Y36" s="143">
        <f>INDEX(Tab_Def_Flows[[Flow_ID]:[CC_DM_source]],MATCH(Tab_Data_Flows[[#This Row],[Flow_Name]],Tab_Def_Flows[Flow_Name],0),14)</f>
        <v>1</v>
      </c>
      <c r="Z36" s="7" t="str">
        <f>Tab_Data_Flows[[#This Row],[Flow_ID]]&amp;"_"&amp;"DM_"&amp;Tab_Data_Flows[[#This Row],[Flow_Data_Year]]</f>
        <v>F_00_02_DM_1984</v>
      </c>
      <c r="AA36" s="7">
        <f>IF(E36="Yes",Y36*Tab_Data_Flows[[#This Row],[Flow_Material]],"N.A.")</f>
        <v>89043.945205479453</v>
      </c>
      <c r="AB36" s="7" t="str">
        <f>Tab_Data_Flows[[#This Row],[UoM_Flow_Py]]</f>
        <v>Mg</v>
      </c>
      <c r="AC36" s="143">
        <f>INDEX(Tab_Def_Flows[[Flow_ID]:[CC_DM_source]],MATCH(Tab_Data_Flows[[#This Row],[Flow_Name]],Tab_Def_Flows[Flow_Name],0),17)</f>
        <v>1</v>
      </c>
      <c r="AD36" s="7" t="str">
        <f>Tab_Data_Flows[[#This Row],[Flow_ID]]&amp;"_"&amp;"CC_"&amp;Tab_Data_Flows[[#This Row],[Flow_Data_Year]]</f>
        <v>F_00_02_CC_1984</v>
      </c>
      <c r="AE36" s="7">
        <f>IF(F36="Yes",AC36*Tab_Data_Flows[[#This Row],[Flow_Material]]*Tab_Data_Flows[[#This Row],[DM_'[%']]],"N.A.")</f>
        <v>89043.945205479453</v>
      </c>
      <c r="AF36" s="7" t="str">
        <f>Tab_Data_Flows[[#This Row],[UoM_Flow_Py]]</f>
        <v>Mg</v>
      </c>
      <c r="AG36"/>
    </row>
    <row r="37" spans="1:33" x14ac:dyDescent="0.25">
      <c r="A37" s="9">
        <f t="shared" si="0"/>
        <v>36</v>
      </c>
      <c r="B37" s="7" t="str">
        <f>_xlfn.XLOOKUP(C37,Tab_Def_Flows[Flow_Name],Tab_Def_Flows[Flow_ID],,0,)</f>
        <v>F_00_02</v>
      </c>
      <c r="C37" s="142" t="s">
        <v>588</v>
      </c>
      <c r="D37" s="10" t="str">
        <f>_xlfn.XLOOKUP(C37,Tab_Def_Flows[Flow_Name],Tab_Def_Flows[WC?],,0,)</f>
        <v>Yes</v>
      </c>
      <c r="E37" s="10" t="str">
        <f>_xlfn.XLOOKUP(C37,Tab_Def_Flows[Flow_Name],Tab_Def_Flows[DM?],,0,)</f>
        <v>Yes</v>
      </c>
      <c r="F37" s="10" t="str">
        <f>_xlfn.XLOOKUP(C37,Tab_Def_Flows[Flow_Name],Tab_Def_Flows[CC?],,0,)</f>
        <v>Yes</v>
      </c>
      <c r="G37" s="8">
        <v>1985</v>
      </c>
      <c r="H37" s="23">
        <v>98572.054794520562</v>
      </c>
      <c r="I37" s="8" t="s">
        <v>198</v>
      </c>
      <c r="J37" s="15"/>
      <c r="K37" s="15"/>
      <c r="L37" s="15"/>
      <c r="M37" s="15"/>
      <c r="N37" s="15"/>
      <c r="O37" s="8" t="s">
        <v>6</v>
      </c>
      <c r="P37" s="16"/>
      <c r="Q37" s="8"/>
      <c r="R37" s="7" t="str">
        <f>Tab_Data_Flows[[#This Row],[Flow_ID]]&amp;"_"&amp;"material_"&amp;Tab_Data_Flows[[#This Row],[Flow_Data_Year]]</f>
        <v>F_00_02_material_1985</v>
      </c>
      <c r="S37" s="14">
        <f>IF(O37="no",H37,H37*P37)</f>
        <v>98572.054794520562</v>
      </c>
      <c r="T37" s="8" t="s">
        <v>198</v>
      </c>
      <c r="U37" s="143">
        <f>INDEX(Tab_Def_Flows[[Flow_ID]:[CC_DM_source]],MATCH(Tab_Data_Flows[[#This Row],[Flow_Name]],Tab_Def_Flows[Flow_Name],0),11)</f>
        <v>0</v>
      </c>
      <c r="V37" s="7" t="str">
        <f>Tab_Data_Flows[[#This Row],[Flow_ID]]&amp;"_"&amp;"WC_"&amp;Tab_Data_Flows[[#This Row],[Flow_Data_Year]]</f>
        <v>F_00_02_WC_1985</v>
      </c>
      <c r="W37" s="7">
        <f>IF(D37="Yes",S37*Tab_Data_Flows[[#This Row],[WC_'[%']]],"N.A.")</f>
        <v>0</v>
      </c>
      <c r="X37" s="7" t="str">
        <f>Tab_Data_Flows[[#This Row],[UoM_Flow_Py]]</f>
        <v>Mg</v>
      </c>
      <c r="Y37" s="143">
        <f>INDEX(Tab_Def_Flows[[Flow_ID]:[CC_DM_source]],MATCH(Tab_Data_Flows[[#This Row],[Flow_Name]],Tab_Def_Flows[Flow_Name],0),14)</f>
        <v>1</v>
      </c>
      <c r="Z37" s="7" t="str">
        <f>Tab_Data_Flows[[#This Row],[Flow_ID]]&amp;"_"&amp;"DM_"&amp;Tab_Data_Flows[[#This Row],[Flow_Data_Year]]</f>
        <v>F_00_02_DM_1985</v>
      </c>
      <c r="AA37" s="7">
        <f>IF(E37="Yes",Y37*Tab_Data_Flows[[#This Row],[Flow_Material]],"N.A.")</f>
        <v>98572.054794520562</v>
      </c>
      <c r="AB37" s="7" t="str">
        <f>Tab_Data_Flows[[#This Row],[UoM_Flow_Py]]</f>
        <v>Mg</v>
      </c>
      <c r="AC37" s="143">
        <f>INDEX(Tab_Def_Flows[[Flow_ID]:[CC_DM_source]],MATCH(Tab_Data_Flows[[#This Row],[Flow_Name]],Tab_Def_Flows[Flow_Name],0),17)</f>
        <v>1</v>
      </c>
      <c r="AD37" s="7" t="str">
        <f>Tab_Data_Flows[[#This Row],[Flow_ID]]&amp;"_"&amp;"CC_"&amp;Tab_Data_Flows[[#This Row],[Flow_Data_Year]]</f>
        <v>F_00_02_CC_1985</v>
      </c>
      <c r="AE37" s="7">
        <f>IF(F37="Yes",AC37*Tab_Data_Flows[[#This Row],[Flow_Material]]*Tab_Data_Flows[[#This Row],[DM_'[%']]],"N.A.")</f>
        <v>98572.054794520562</v>
      </c>
      <c r="AF37" s="7" t="str">
        <f>Tab_Data_Flows[[#This Row],[UoM_Flow_Py]]</f>
        <v>Mg</v>
      </c>
      <c r="AG37"/>
    </row>
    <row r="38" spans="1:33" x14ac:dyDescent="0.25">
      <c r="A38" s="9">
        <f t="shared" si="0"/>
        <v>37</v>
      </c>
      <c r="B38" s="7" t="str">
        <f>_xlfn.XLOOKUP(C38,Tab_Def_Flows[Flow_Name],Tab_Def_Flows[Flow_ID],,0,)</f>
        <v>F_00_02</v>
      </c>
      <c r="C38" s="142" t="s">
        <v>588</v>
      </c>
      <c r="D38" s="10" t="str">
        <f>_xlfn.XLOOKUP(C38,Tab_Def_Flows[Flow_Name],Tab_Def_Flows[WC?],,0,)</f>
        <v>Yes</v>
      </c>
      <c r="E38" s="10" t="str">
        <f>_xlfn.XLOOKUP(C38,Tab_Def_Flows[Flow_Name],Tab_Def_Flows[DM?],,0,)</f>
        <v>Yes</v>
      </c>
      <c r="F38" s="10" t="str">
        <f>_xlfn.XLOOKUP(C38,Tab_Def_Flows[Flow_Name],Tab_Def_Flows[CC?],,0,)</f>
        <v>Yes</v>
      </c>
      <c r="G38" s="8">
        <v>1986</v>
      </c>
      <c r="H38" s="23">
        <v>92428.931506849302</v>
      </c>
      <c r="I38" s="8" t="s">
        <v>198</v>
      </c>
      <c r="J38" s="15"/>
      <c r="K38" s="15"/>
      <c r="L38" s="15"/>
      <c r="M38" s="15"/>
      <c r="N38" s="15"/>
      <c r="O38" s="8" t="s">
        <v>6</v>
      </c>
      <c r="P38" s="8"/>
      <c r="Q38" s="8"/>
      <c r="R38" s="7" t="str">
        <f>Tab_Data_Flows[[#This Row],[Flow_ID]]&amp;"_"&amp;"material_"&amp;Tab_Data_Flows[[#This Row],[Flow_Data_Year]]</f>
        <v>F_00_02_material_1986</v>
      </c>
      <c r="S38" s="14">
        <f>IF(O38="no",H38,H38*P38)</f>
        <v>92428.931506849302</v>
      </c>
      <c r="T38" s="8" t="s">
        <v>198</v>
      </c>
      <c r="U38" s="143">
        <f>INDEX(Tab_Def_Flows[[Flow_ID]:[CC_DM_source]],MATCH(Tab_Data_Flows[[#This Row],[Flow_Name]],Tab_Def_Flows[Flow_Name],0),11)</f>
        <v>0</v>
      </c>
      <c r="V38" s="7" t="str">
        <f>Tab_Data_Flows[[#This Row],[Flow_ID]]&amp;"_"&amp;"WC_"&amp;Tab_Data_Flows[[#This Row],[Flow_Data_Year]]</f>
        <v>F_00_02_WC_1986</v>
      </c>
      <c r="W38" s="7">
        <f>IF(D38="Yes",S38*Tab_Data_Flows[[#This Row],[WC_'[%']]],"N.A.")</f>
        <v>0</v>
      </c>
      <c r="X38" s="7" t="str">
        <f>Tab_Data_Flows[[#This Row],[UoM_Flow_Py]]</f>
        <v>Mg</v>
      </c>
      <c r="Y38" s="143">
        <f>INDEX(Tab_Def_Flows[[Flow_ID]:[CC_DM_source]],MATCH(Tab_Data_Flows[[#This Row],[Flow_Name]],Tab_Def_Flows[Flow_Name],0),14)</f>
        <v>1</v>
      </c>
      <c r="Z38" s="7" t="str">
        <f>Tab_Data_Flows[[#This Row],[Flow_ID]]&amp;"_"&amp;"DM_"&amp;Tab_Data_Flows[[#This Row],[Flow_Data_Year]]</f>
        <v>F_00_02_DM_1986</v>
      </c>
      <c r="AA38" s="7">
        <f>IF(E38="Yes",Y38*Tab_Data_Flows[[#This Row],[Flow_Material]],"N.A.")</f>
        <v>92428.931506849302</v>
      </c>
      <c r="AB38" s="7" t="str">
        <f>Tab_Data_Flows[[#This Row],[UoM_Flow_Py]]</f>
        <v>Mg</v>
      </c>
      <c r="AC38" s="143">
        <f>INDEX(Tab_Def_Flows[[Flow_ID]:[CC_DM_source]],MATCH(Tab_Data_Flows[[#This Row],[Flow_Name]],Tab_Def_Flows[Flow_Name],0),17)</f>
        <v>1</v>
      </c>
      <c r="AD38" s="7" t="str">
        <f>Tab_Data_Flows[[#This Row],[Flow_ID]]&amp;"_"&amp;"CC_"&amp;Tab_Data_Flows[[#This Row],[Flow_Data_Year]]</f>
        <v>F_00_02_CC_1986</v>
      </c>
      <c r="AE38" s="7">
        <f>IF(F38="Yes",AC38*Tab_Data_Flows[[#This Row],[Flow_Material]]*Tab_Data_Flows[[#This Row],[DM_'[%']]],"N.A.")</f>
        <v>92428.931506849302</v>
      </c>
      <c r="AF38" s="7" t="str">
        <f>Tab_Data_Flows[[#This Row],[UoM_Flow_Py]]</f>
        <v>Mg</v>
      </c>
      <c r="AG38"/>
    </row>
    <row r="39" spans="1:33" x14ac:dyDescent="0.25">
      <c r="A39" s="9">
        <f t="shared" si="0"/>
        <v>38</v>
      </c>
      <c r="B39" s="7" t="str">
        <f>_xlfn.XLOOKUP(C39,Tab_Def_Flows[Flow_Name],Tab_Def_Flows[Flow_ID],,0,)</f>
        <v>F_00_02</v>
      </c>
      <c r="C39" s="142" t="s">
        <v>588</v>
      </c>
      <c r="D39" s="10" t="str">
        <f>_xlfn.XLOOKUP(C39,Tab_Def_Flows[Flow_Name],Tab_Def_Flows[WC?],,0,)</f>
        <v>Yes</v>
      </c>
      <c r="E39" s="10" t="str">
        <f>_xlfn.XLOOKUP(C39,Tab_Def_Flows[Flow_Name],Tab_Def_Flows[DM?],,0,)</f>
        <v>Yes</v>
      </c>
      <c r="F39" s="10" t="str">
        <f>_xlfn.XLOOKUP(C39,Tab_Def_Flows[Flow_Name],Tab_Def_Flows[CC?],,0,)</f>
        <v>Yes</v>
      </c>
      <c r="G39" s="8">
        <v>1987</v>
      </c>
      <c r="H39" s="23">
        <v>92146.849315068481</v>
      </c>
      <c r="I39" s="8" t="s">
        <v>198</v>
      </c>
      <c r="J39" s="15"/>
      <c r="K39" s="15"/>
      <c r="L39" s="15"/>
      <c r="M39" s="15"/>
      <c r="N39" s="15"/>
      <c r="O39" s="8" t="s">
        <v>6</v>
      </c>
      <c r="P39" s="8"/>
      <c r="Q39" s="8"/>
      <c r="R39" s="7" t="str">
        <f>Tab_Data_Flows[[#This Row],[Flow_ID]]&amp;"_"&amp;"material_"&amp;Tab_Data_Flows[[#This Row],[Flow_Data_Year]]</f>
        <v>F_00_02_material_1987</v>
      </c>
      <c r="S39" s="14">
        <f>IF(O39="no",H39,H39*P39)</f>
        <v>92146.849315068481</v>
      </c>
      <c r="T39" s="8" t="s">
        <v>198</v>
      </c>
      <c r="U39" s="143">
        <f>INDEX(Tab_Def_Flows[[Flow_ID]:[CC_DM_source]],MATCH(Tab_Data_Flows[[#This Row],[Flow_Name]],Tab_Def_Flows[Flow_Name],0),11)</f>
        <v>0</v>
      </c>
      <c r="V39" s="7" t="str">
        <f>Tab_Data_Flows[[#This Row],[Flow_ID]]&amp;"_"&amp;"WC_"&amp;Tab_Data_Flows[[#This Row],[Flow_Data_Year]]</f>
        <v>F_00_02_WC_1987</v>
      </c>
      <c r="W39" s="7">
        <f>IF(D39="Yes",S39*Tab_Data_Flows[[#This Row],[WC_'[%']]],"N.A.")</f>
        <v>0</v>
      </c>
      <c r="X39" s="7" t="str">
        <f>Tab_Data_Flows[[#This Row],[UoM_Flow_Py]]</f>
        <v>Mg</v>
      </c>
      <c r="Y39" s="143">
        <f>INDEX(Tab_Def_Flows[[Flow_ID]:[CC_DM_source]],MATCH(Tab_Data_Flows[[#This Row],[Flow_Name]],Tab_Def_Flows[Flow_Name],0),14)</f>
        <v>1</v>
      </c>
      <c r="Z39" s="7" t="str">
        <f>Tab_Data_Flows[[#This Row],[Flow_ID]]&amp;"_"&amp;"DM_"&amp;Tab_Data_Flows[[#This Row],[Flow_Data_Year]]</f>
        <v>F_00_02_DM_1987</v>
      </c>
      <c r="AA39" s="7">
        <f>IF(E39="Yes",Y39*Tab_Data_Flows[[#This Row],[Flow_Material]],"N.A.")</f>
        <v>92146.849315068481</v>
      </c>
      <c r="AB39" s="7" t="str">
        <f>Tab_Data_Flows[[#This Row],[UoM_Flow_Py]]</f>
        <v>Mg</v>
      </c>
      <c r="AC39" s="143">
        <f>INDEX(Tab_Def_Flows[[Flow_ID]:[CC_DM_source]],MATCH(Tab_Data_Flows[[#This Row],[Flow_Name]],Tab_Def_Flows[Flow_Name],0),17)</f>
        <v>1</v>
      </c>
      <c r="AD39" s="7" t="str">
        <f>Tab_Data_Flows[[#This Row],[Flow_ID]]&amp;"_"&amp;"CC_"&amp;Tab_Data_Flows[[#This Row],[Flow_Data_Year]]</f>
        <v>F_00_02_CC_1987</v>
      </c>
      <c r="AE39" s="7">
        <f>IF(F39="Yes",AC39*Tab_Data_Flows[[#This Row],[Flow_Material]]*Tab_Data_Flows[[#This Row],[DM_'[%']]],"N.A.")</f>
        <v>92146.849315068481</v>
      </c>
      <c r="AF39" s="7" t="str">
        <f>Tab_Data_Flows[[#This Row],[UoM_Flow_Py]]</f>
        <v>Mg</v>
      </c>
      <c r="AG39"/>
    </row>
    <row r="40" spans="1:33" x14ac:dyDescent="0.25">
      <c r="A40" s="9">
        <f t="shared" si="0"/>
        <v>39</v>
      </c>
      <c r="B40" s="7" t="str">
        <f>_xlfn.XLOOKUP(C40,Tab_Def_Flows[Flow_Name],Tab_Def_Flows[Flow_ID],,0,)</f>
        <v>F_00_02</v>
      </c>
      <c r="C40" s="142" t="s">
        <v>588</v>
      </c>
      <c r="D40" s="10" t="str">
        <f>_xlfn.XLOOKUP(C40,Tab_Def_Flows[Flow_Name],Tab_Def_Flows[WC?],,0,)</f>
        <v>Yes</v>
      </c>
      <c r="E40" s="10" t="str">
        <f>_xlfn.XLOOKUP(C40,Tab_Def_Flows[Flow_Name],Tab_Def_Flows[DM?],,0,)</f>
        <v>Yes</v>
      </c>
      <c r="F40" s="10" t="str">
        <f>_xlfn.XLOOKUP(C40,Tab_Def_Flows[Flow_Name],Tab_Def_Flows[CC?],,0,)</f>
        <v>Yes</v>
      </c>
      <c r="G40" s="8">
        <v>1988</v>
      </c>
      <c r="H40" s="23">
        <v>91739.397260273967</v>
      </c>
      <c r="I40" s="8" t="s">
        <v>198</v>
      </c>
      <c r="J40" s="15"/>
      <c r="K40" s="15"/>
      <c r="L40" s="15"/>
      <c r="M40" s="15"/>
      <c r="N40" s="15"/>
      <c r="O40" s="8" t="s">
        <v>6</v>
      </c>
      <c r="P40" s="8"/>
      <c r="Q40" s="8"/>
      <c r="R40" s="7" t="str">
        <f>Tab_Data_Flows[[#This Row],[Flow_ID]]&amp;"_"&amp;"material_"&amp;Tab_Data_Flows[[#This Row],[Flow_Data_Year]]</f>
        <v>F_00_02_material_1988</v>
      </c>
      <c r="S40" s="14">
        <f>IF(O40="no",H40,H40*P40)</f>
        <v>91739.397260273967</v>
      </c>
      <c r="T40" s="8" t="s">
        <v>198</v>
      </c>
      <c r="U40" s="143">
        <f>INDEX(Tab_Def_Flows[[Flow_ID]:[CC_DM_source]],MATCH(Tab_Data_Flows[[#This Row],[Flow_Name]],Tab_Def_Flows[Flow_Name],0),11)</f>
        <v>0</v>
      </c>
      <c r="V40" s="7" t="str">
        <f>Tab_Data_Flows[[#This Row],[Flow_ID]]&amp;"_"&amp;"WC_"&amp;Tab_Data_Flows[[#This Row],[Flow_Data_Year]]</f>
        <v>F_00_02_WC_1988</v>
      </c>
      <c r="W40" s="7">
        <f>IF(D40="Yes",S40*Tab_Data_Flows[[#This Row],[WC_'[%']]],"N.A.")</f>
        <v>0</v>
      </c>
      <c r="X40" s="7" t="str">
        <f>Tab_Data_Flows[[#This Row],[UoM_Flow_Py]]</f>
        <v>Mg</v>
      </c>
      <c r="Y40" s="143">
        <f>INDEX(Tab_Def_Flows[[Flow_ID]:[CC_DM_source]],MATCH(Tab_Data_Flows[[#This Row],[Flow_Name]],Tab_Def_Flows[Flow_Name],0),14)</f>
        <v>1</v>
      </c>
      <c r="Z40" s="7" t="str">
        <f>Tab_Data_Flows[[#This Row],[Flow_ID]]&amp;"_"&amp;"DM_"&amp;Tab_Data_Flows[[#This Row],[Flow_Data_Year]]</f>
        <v>F_00_02_DM_1988</v>
      </c>
      <c r="AA40" s="7">
        <f>IF(E40="Yes",Y40*Tab_Data_Flows[[#This Row],[Flow_Material]],"N.A.")</f>
        <v>91739.397260273967</v>
      </c>
      <c r="AB40" s="7" t="str">
        <f>Tab_Data_Flows[[#This Row],[UoM_Flow_Py]]</f>
        <v>Mg</v>
      </c>
      <c r="AC40" s="143">
        <f>INDEX(Tab_Def_Flows[[Flow_ID]:[CC_DM_source]],MATCH(Tab_Data_Flows[[#This Row],[Flow_Name]],Tab_Def_Flows[Flow_Name],0),17)</f>
        <v>1</v>
      </c>
      <c r="AD40" s="7" t="str">
        <f>Tab_Data_Flows[[#This Row],[Flow_ID]]&amp;"_"&amp;"CC_"&amp;Tab_Data_Flows[[#This Row],[Flow_Data_Year]]</f>
        <v>F_00_02_CC_1988</v>
      </c>
      <c r="AE40" s="7">
        <f>IF(F40="Yes",AC40*Tab_Data_Flows[[#This Row],[Flow_Material]]*Tab_Data_Flows[[#This Row],[DM_'[%']]],"N.A.")</f>
        <v>91739.397260273967</v>
      </c>
      <c r="AF40" s="7" t="str">
        <f>Tab_Data_Flows[[#This Row],[UoM_Flow_Py]]</f>
        <v>Mg</v>
      </c>
      <c r="AG40"/>
    </row>
    <row r="41" spans="1:33" x14ac:dyDescent="0.25">
      <c r="A41" s="9">
        <f t="shared" si="0"/>
        <v>40</v>
      </c>
      <c r="B41" s="7" t="str">
        <f>_xlfn.XLOOKUP(C41,Tab_Def_Flows[Flow_Name],Tab_Def_Flows[Flow_ID],,0,)</f>
        <v>F_00_02</v>
      </c>
      <c r="C41" s="142" t="s">
        <v>588</v>
      </c>
      <c r="D41" s="10" t="str">
        <f>_xlfn.XLOOKUP(C41,Tab_Def_Flows[Flow_Name],Tab_Def_Flows[WC?],,0,)</f>
        <v>Yes</v>
      </c>
      <c r="E41" s="10" t="str">
        <f>_xlfn.XLOOKUP(C41,Tab_Def_Flows[Flow_Name],Tab_Def_Flows[DM?],,0,)</f>
        <v>Yes</v>
      </c>
      <c r="F41" s="10" t="str">
        <f>_xlfn.XLOOKUP(C41,Tab_Def_Flows[Flow_Name],Tab_Def_Flows[CC?],,0,)</f>
        <v>Yes</v>
      </c>
      <c r="G41" s="8">
        <v>1989</v>
      </c>
      <c r="H41" s="23">
        <v>99982.465753424651</v>
      </c>
      <c r="I41" s="8" t="s">
        <v>198</v>
      </c>
      <c r="J41" s="15"/>
      <c r="K41" s="15"/>
      <c r="L41" s="15"/>
      <c r="M41" s="15"/>
      <c r="N41" s="15"/>
      <c r="O41" s="8" t="s">
        <v>6</v>
      </c>
      <c r="P41" s="8"/>
      <c r="Q41" s="8"/>
      <c r="R41" s="7" t="str">
        <f>Tab_Data_Flows[[#This Row],[Flow_ID]]&amp;"_"&amp;"material_"&amp;Tab_Data_Flows[[#This Row],[Flow_Data_Year]]</f>
        <v>F_00_02_material_1989</v>
      </c>
      <c r="S41" s="14">
        <f>IF(O41="no",H41,H41*P41)</f>
        <v>99982.465753424651</v>
      </c>
      <c r="T41" s="8" t="s">
        <v>198</v>
      </c>
      <c r="U41" s="143">
        <f>INDEX(Tab_Def_Flows[[Flow_ID]:[CC_DM_source]],MATCH(Tab_Data_Flows[[#This Row],[Flow_Name]],Tab_Def_Flows[Flow_Name],0),11)</f>
        <v>0</v>
      </c>
      <c r="V41" s="7" t="str">
        <f>Tab_Data_Flows[[#This Row],[Flow_ID]]&amp;"_"&amp;"WC_"&amp;Tab_Data_Flows[[#This Row],[Flow_Data_Year]]</f>
        <v>F_00_02_WC_1989</v>
      </c>
      <c r="W41" s="7">
        <f>IF(D41="Yes",S41*Tab_Data_Flows[[#This Row],[WC_'[%']]],"N.A.")</f>
        <v>0</v>
      </c>
      <c r="X41" s="7" t="str">
        <f>Tab_Data_Flows[[#This Row],[UoM_Flow_Py]]</f>
        <v>Mg</v>
      </c>
      <c r="Y41" s="143">
        <f>INDEX(Tab_Def_Flows[[Flow_ID]:[CC_DM_source]],MATCH(Tab_Data_Flows[[#This Row],[Flow_Name]],Tab_Def_Flows[Flow_Name],0),14)</f>
        <v>1</v>
      </c>
      <c r="Z41" s="7" t="str">
        <f>Tab_Data_Flows[[#This Row],[Flow_ID]]&amp;"_"&amp;"DM_"&amp;Tab_Data_Flows[[#This Row],[Flow_Data_Year]]</f>
        <v>F_00_02_DM_1989</v>
      </c>
      <c r="AA41" s="7">
        <f>IF(E41="Yes",Y41*Tab_Data_Flows[[#This Row],[Flow_Material]],"N.A.")</f>
        <v>99982.465753424651</v>
      </c>
      <c r="AB41" s="7" t="str">
        <f>Tab_Data_Flows[[#This Row],[UoM_Flow_Py]]</f>
        <v>Mg</v>
      </c>
      <c r="AC41" s="143">
        <f>INDEX(Tab_Def_Flows[[Flow_ID]:[CC_DM_source]],MATCH(Tab_Data_Flows[[#This Row],[Flow_Name]],Tab_Def_Flows[Flow_Name],0),17)</f>
        <v>1</v>
      </c>
      <c r="AD41" s="7" t="str">
        <f>Tab_Data_Flows[[#This Row],[Flow_ID]]&amp;"_"&amp;"CC_"&amp;Tab_Data_Flows[[#This Row],[Flow_Data_Year]]</f>
        <v>F_00_02_CC_1989</v>
      </c>
      <c r="AE41" s="7">
        <f>IF(F41="Yes",AC41*Tab_Data_Flows[[#This Row],[Flow_Material]]*Tab_Data_Flows[[#This Row],[DM_'[%']]],"N.A.")</f>
        <v>99982.465753424651</v>
      </c>
      <c r="AF41" s="7" t="str">
        <f>Tab_Data_Flows[[#This Row],[UoM_Flow_Py]]</f>
        <v>Mg</v>
      </c>
      <c r="AG41"/>
    </row>
    <row r="42" spans="1:33" x14ac:dyDescent="0.25">
      <c r="A42" s="9">
        <f t="shared" si="0"/>
        <v>41</v>
      </c>
      <c r="B42" s="7" t="str">
        <f>_xlfn.XLOOKUP(C42,Tab_Def_Flows[Flow_Name],Tab_Def_Flows[Flow_ID],,0,)</f>
        <v>F_00_02</v>
      </c>
      <c r="C42" s="142" t="s">
        <v>588</v>
      </c>
      <c r="D42" s="10" t="str">
        <f>_xlfn.XLOOKUP(C42,Tab_Def_Flows[Flow_Name],Tab_Def_Flows[WC?],,0,)</f>
        <v>Yes</v>
      </c>
      <c r="E42" s="10" t="str">
        <f>_xlfn.XLOOKUP(C42,Tab_Def_Flows[Flow_Name],Tab_Def_Flows[DM?],,0,)</f>
        <v>Yes</v>
      </c>
      <c r="F42" s="10" t="str">
        <f>_xlfn.XLOOKUP(C42,Tab_Def_Flows[Flow_Name],Tab_Def_Flows[CC?],,0,)</f>
        <v>Yes</v>
      </c>
      <c r="G42" s="8">
        <v>1990</v>
      </c>
      <c r="H42" s="23">
        <v>138444.0701754386</v>
      </c>
      <c r="I42" s="8" t="s">
        <v>198</v>
      </c>
      <c r="J42" s="15"/>
      <c r="K42" s="15"/>
      <c r="L42" s="15"/>
      <c r="M42" s="15"/>
      <c r="N42" s="15"/>
      <c r="O42" s="8" t="s">
        <v>6</v>
      </c>
      <c r="P42" s="8"/>
      <c r="Q42" s="8"/>
      <c r="R42" s="7" t="str">
        <f>Tab_Data_Flows[[#This Row],[Flow_ID]]&amp;"_"&amp;"material_"&amp;Tab_Data_Flows[[#This Row],[Flow_Data_Year]]</f>
        <v>F_00_02_material_1990</v>
      </c>
      <c r="S42" s="14">
        <f>IF(O42="no",H42,H42*P42)</f>
        <v>138444.0701754386</v>
      </c>
      <c r="T42" s="8" t="s">
        <v>198</v>
      </c>
      <c r="U42" s="143">
        <f>INDEX(Tab_Def_Flows[[Flow_ID]:[CC_DM_source]],MATCH(Tab_Data_Flows[[#This Row],[Flow_Name]],Tab_Def_Flows[Flow_Name],0),11)</f>
        <v>0</v>
      </c>
      <c r="V42" s="7" t="str">
        <f>Tab_Data_Flows[[#This Row],[Flow_ID]]&amp;"_"&amp;"WC_"&amp;Tab_Data_Flows[[#This Row],[Flow_Data_Year]]</f>
        <v>F_00_02_WC_1990</v>
      </c>
      <c r="W42" s="7">
        <f>IF(D42="Yes",S42*Tab_Data_Flows[[#This Row],[WC_'[%']]],"N.A.")</f>
        <v>0</v>
      </c>
      <c r="X42" s="7" t="str">
        <f>Tab_Data_Flows[[#This Row],[UoM_Flow_Py]]</f>
        <v>Mg</v>
      </c>
      <c r="Y42" s="143">
        <f>INDEX(Tab_Def_Flows[[Flow_ID]:[CC_DM_source]],MATCH(Tab_Data_Flows[[#This Row],[Flow_Name]],Tab_Def_Flows[Flow_Name],0),14)</f>
        <v>1</v>
      </c>
      <c r="Z42" s="7" t="str">
        <f>Tab_Data_Flows[[#This Row],[Flow_ID]]&amp;"_"&amp;"DM_"&amp;Tab_Data_Flows[[#This Row],[Flow_Data_Year]]</f>
        <v>F_00_02_DM_1990</v>
      </c>
      <c r="AA42" s="7">
        <f>IF(E42="Yes",Y42*Tab_Data_Flows[[#This Row],[Flow_Material]],"N.A.")</f>
        <v>138444.0701754386</v>
      </c>
      <c r="AB42" s="7" t="str">
        <f>Tab_Data_Flows[[#This Row],[UoM_Flow_Py]]</f>
        <v>Mg</v>
      </c>
      <c r="AC42" s="143">
        <f>INDEX(Tab_Def_Flows[[Flow_ID]:[CC_DM_source]],MATCH(Tab_Data_Flows[[#This Row],[Flow_Name]],Tab_Def_Flows[Flow_Name],0),17)</f>
        <v>1</v>
      </c>
      <c r="AD42" s="7" t="str">
        <f>Tab_Data_Flows[[#This Row],[Flow_ID]]&amp;"_"&amp;"CC_"&amp;Tab_Data_Flows[[#This Row],[Flow_Data_Year]]</f>
        <v>F_00_02_CC_1990</v>
      </c>
      <c r="AE42" s="7">
        <f>IF(F42="Yes",AC42*Tab_Data_Flows[[#This Row],[Flow_Material]]*Tab_Data_Flows[[#This Row],[DM_'[%']]],"N.A.")</f>
        <v>138444.0701754386</v>
      </c>
      <c r="AF42" s="7" t="str">
        <f>Tab_Data_Flows[[#This Row],[UoM_Flow_Py]]</f>
        <v>Mg</v>
      </c>
      <c r="AG42"/>
    </row>
    <row r="43" spans="1:33" x14ac:dyDescent="0.25">
      <c r="A43" s="9">
        <f t="shared" si="0"/>
        <v>42</v>
      </c>
      <c r="B43" s="7" t="str">
        <f>_xlfn.XLOOKUP(C43,Tab_Def_Flows[Flow_Name],Tab_Def_Flows[Flow_ID],,0,)</f>
        <v>F_00_02</v>
      </c>
      <c r="C43" s="142" t="s">
        <v>588</v>
      </c>
      <c r="D43" s="10" t="str">
        <f>_xlfn.XLOOKUP(C43,Tab_Def_Flows[Flow_Name],Tab_Def_Flows[WC?],,0,)</f>
        <v>Yes</v>
      </c>
      <c r="E43" s="10" t="str">
        <f>_xlfn.XLOOKUP(C43,Tab_Def_Flows[Flow_Name],Tab_Def_Flows[DM?],,0,)</f>
        <v>Yes</v>
      </c>
      <c r="F43" s="10" t="str">
        <f>_xlfn.XLOOKUP(C43,Tab_Def_Flows[Flow_Name],Tab_Def_Flows[CC?],,0,)</f>
        <v>Yes</v>
      </c>
      <c r="G43" s="8">
        <v>1991</v>
      </c>
      <c r="H43" s="23">
        <v>64405.192982456159</v>
      </c>
      <c r="I43" s="8" t="s">
        <v>198</v>
      </c>
      <c r="J43" s="15"/>
      <c r="K43" s="15"/>
      <c r="L43" s="15"/>
      <c r="M43" s="15"/>
      <c r="N43" s="15"/>
      <c r="O43" s="8" t="s">
        <v>6</v>
      </c>
      <c r="P43" s="8"/>
      <c r="Q43" s="8"/>
      <c r="R43" s="7" t="str">
        <f>Tab_Data_Flows[[#This Row],[Flow_ID]]&amp;"_"&amp;"material_"&amp;Tab_Data_Flows[[#This Row],[Flow_Data_Year]]</f>
        <v>F_00_02_material_1991</v>
      </c>
      <c r="S43" s="14">
        <f>IF(O43="no",H43,H43*P43)</f>
        <v>64405.192982456159</v>
      </c>
      <c r="T43" s="8" t="s">
        <v>198</v>
      </c>
      <c r="U43" s="143">
        <f>INDEX(Tab_Def_Flows[[Flow_ID]:[CC_DM_source]],MATCH(Tab_Data_Flows[[#This Row],[Flow_Name]],Tab_Def_Flows[Flow_Name],0),11)</f>
        <v>0</v>
      </c>
      <c r="V43" s="7" t="str">
        <f>Tab_Data_Flows[[#This Row],[Flow_ID]]&amp;"_"&amp;"WC_"&amp;Tab_Data_Flows[[#This Row],[Flow_Data_Year]]</f>
        <v>F_00_02_WC_1991</v>
      </c>
      <c r="W43" s="7">
        <f>IF(D43="Yes",S43*Tab_Data_Flows[[#This Row],[WC_'[%']]],"N.A.")</f>
        <v>0</v>
      </c>
      <c r="X43" s="7" t="str">
        <f>Tab_Data_Flows[[#This Row],[UoM_Flow_Py]]</f>
        <v>Mg</v>
      </c>
      <c r="Y43" s="143">
        <f>INDEX(Tab_Def_Flows[[Flow_ID]:[CC_DM_source]],MATCH(Tab_Data_Flows[[#This Row],[Flow_Name]],Tab_Def_Flows[Flow_Name],0),14)</f>
        <v>1</v>
      </c>
      <c r="Z43" s="7" t="str">
        <f>Tab_Data_Flows[[#This Row],[Flow_ID]]&amp;"_"&amp;"DM_"&amp;Tab_Data_Flows[[#This Row],[Flow_Data_Year]]</f>
        <v>F_00_02_DM_1991</v>
      </c>
      <c r="AA43" s="7">
        <f>IF(E43="Yes",Y43*Tab_Data_Flows[[#This Row],[Flow_Material]],"N.A.")</f>
        <v>64405.192982456159</v>
      </c>
      <c r="AB43" s="7" t="str">
        <f>Tab_Data_Flows[[#This Row],[UoM_Flow_Py]]</f>
        <v>Mg</v>
      </c>
      <c r="AC43" s="143">
        <f>INDEX(Tab_Def_Flows[[Flow_ID]:[CC_DM_source]],MATCH(Tab_Data_Flows[[#This Row],[Flow_Name]],Tab_Def_Flows[Flow_Name],0),17)</f>
        <v>1</v>
      </c>
      <c r="AD43" s="7" t="str">
        <f>Tab_Data_Flows[[#This Row],[Flow_ID]]&amp;"_"&amp;"CC_"&amp;Tab_Data_Flows[[#This Row],[Flow_Data_Year]]</f>
        <v>F_00_02_CC_1991</v>
      </c>
      <c r="AE43" s="7">
        <f>IF(F43="Yes",AC43*Tab_Data_Flows[[#This Row],[Flow_Material]]*Tab_Data_Flows[[#This Row],[DM_'[%']]],"N.A.")</f>
        <v>64405.192982456159</v>
      </c>
      <c r="AF43" s="7" t="str">
        <f>Tab_Data_Flows[[#This Row],[UoM_Flow_Py]]</f>
        <v>Mg</v>
      </c>
      <c r="AG43"/>
    </row>
    <row r="44" spans="1:33" x14ac:dyDescent="0.25">
      <c r="A44" s="9">
        <f t="shared" si="0"/>
        <v>43</v>
      </c>
      <c r="B44" s="7" t="str">
        <f>_xlfn.XLOOKUP(C44,Tab_Def_Flows[Flow_Name],Tab_Def_Flows[Flow_ID],,0,)</f>
        <v>F_00_02</v>
      </c>
      <c r="C44" s="142" t="s">
        <v>588</v>
      </c>
      <c r="D44" s="10" t="str">
        <f>_xlfn.XLOOKUP(C44,Tab_Def_Flows[Flow_Name],Tab_Def_Flows[WC?],,0,)</f>
        <v>Yes</v>
      </c>
      <c r="E44" s="10" t="str">
        <f>_xlfn.XLOOKUP(C44,Tab_Def_Flows[Flow_Name],Tab_Def_Flows[DM?],,0,)</f>
        <v>Yes</v>
      </c>
      <c r="F44" s="10" t="str">
        <f>_xlfn.XLOOKUP(C44,Tab_Def_Flows[Flow_Name],Tab_Def_Flows[CC?],,0,)</f>
        <v>Yes</v>
      </c>
      <c r="G44" s="8">
        <v>1992</v>
      </c>
      <c r="H44" s="23">
        <v>55514.105263157893</v>
      </c>
      <c r="I44" s="8" t="s">
        <v>198</v>
      </c>
      <c r="J44" s="15"/>
      <c r="K44" s="15"/>
      <c r="L44" s="15"/>
      <c r="M44" s="15"/>
      <c r="N44" s="15"/>
      <c r="O44" s="8" t="s">
        <v>6</v>
      </c>
      <c r="P44" s="8"/>
      <c r="Q44" s="8"/>
      <c r="R44" s="7" t="str">
        <f>Tab_Data_Flows[[#This Row],[Flow_ID]]&amp;"_"&amp;"material_"&amp;Tab_Data_Flows[[#This Row],[Flow_Data_Year]]</f>
        <v>F_00_02_material_1992</v>
      </c>
      <c r="S44" s="14">
        <f>IF(O44="no",H44,H44*P44)</f>
        <v>55514.105263157893</v>
      </c>
      <c r="T44" s="8" t="s">
        <v>198</v>
      </c>
      <c r="U44" s="143">
        <f>INDEX(Tab_Def_Flows[[Flow_ID]:[CC_DM_source]],MATCH(Tab_Data_Flows[[#This Row],[Flow_Name]],Tab_Def_Flows[Flow_Name],0),11)</f>
        <v>0</v>
      </c>
      <c r="V44" s="7" t="str">
        <f>Tab_Data_Flows[[#This Row],[Flow_ID]]&amp;"_"&amp;"WC_"&amp;Tab_Data_Flows[[#This Row],[Flow_Data_Year]]</f>
        <v>F_00_02_WC_1992</v>
      </c>
      <c r="W44" s="7">
        <f>IF(D44="Yes",S44*Tab_Data_Flows[[#This Row],[WC_'[%']]],"N.A.")</f>
        <v>0</v>
      </c>
      <c r="X44" s="7" t="str">
        <f>Tab_Data_Flows[[#This Row],[UoM_Flow_Py]]</f>
        <v>Mg</v>
      </c>
      <c r="Y44" s="143">
        <f>INDEX(Tab_Def_Flows[[Flow_ID]:[CC_DM_source]],MATCH(Tab_Data_Flows[[#This Row],[Flow_Name]],Tab_Def_Flows[Flow_Name],0),14)</f>
        <v>1</v>
      </c>
      <c r="Z44" s="7" t="str">
        <f>Tab_Data_Flows[[#This Row],[Flow_ID]]&amp;"_"&amp;"DM_"&amp;Tab_Data_Flows[[#This Row],[Flow_Data_Year]]</f>
        <v>F_00_02_DM_1992</v>
      </c>
      <c r="AA44" s="7">
        <f>IF(E44="Yes",Y44*Tab_Data_Flows[[#This Row],[Flow_Material]],"N.A.")</f>
        <v>55514.105263157893</v>
      </c>
      <c r="AB44" s="7" t="str">
        <f>Tab_Data_Flows[[#This Row],[UoM_Flow_Py]]</f>
        <v>Mg</v>
      </c>
      <c r="AC44" s="143">
        <f>INDEX(Tab_Def_Flows[[Flow_ID]:[CC_DM_source]],MATCH(Tab_Data_Flows[[#This Row],[Flow_Name]],Tab_Def_Flows[Flow_Name],0),17)</f>
        <v>1</v>
      </c>
      <c r="AD44" s="7" t="str">
        <f>Tab_Data_Flows[[#This Row],[Flow_ID]]&amp;"_"&amp;"CC_"&amp;Tab_Data_Flows[[#This Row],[Flow_Data_Year]]</f>
        <v>F_00_02_CC_1992</v>
      </c>
      <c r="AE44" s="7">
        <f>IF(F44="Yes",AC44*Tab_Data_Flows[[#This Row],[Flow_Material]]*Tab_Data_Flows[[#This Row],[DM_'[%']]],"N.A.")</f>
        <v>55514.105263157893</v>
      </c>
      <c r="AF44" s="7" t="str">
        <f>Tab_Data_Flows[[#This Row],[UoM_Flow_Py]]</f>
        <v>Mg</v>
      </c>
      <c r="AG44"/>
    </row>
    <row r="45" spans="1:33" x14ac:dyDescent="0.25">
      <c r="A45" s="9">
        <f t="shared" si="0"/>
        <v>44</v>
      </c>
      <c r="B45" s="7" t="str">
        <f>_xlfn.XLOOKUP(C45,Tab_Def_Flows[Flow_Name],Tab_Def_Flows[Flow_ID],,0,)</f>
        <v>F_00_02</v>
      </c>
      <c r="C45" s="142" t="s">
        <v>588</v>
      </c>
      <c r="D45" s="10" t="str">
        <f>_xlfn.XLOOKUP(C45,Tab_Def_Flows[Flow_Name],Tab_Def_Flows[WC?],,0,)</f>
        <v>Yes</v>
      </c>
      <c r="E45" s="10" t="str">
        <f>_xlfn.XLOOKUP(C45,Tab_Def_Flows[Flow_Name],Tab_Def_Flows[DM?],,0,)</f>
        <v>Yes</v>
      </c>
      <c r="F45" s="10" t="str">
        <f>_xlfn.XLOOKUP(C45,Tab_Def_Flows[Flow_Name],Tab_Def_Flows[CC?],,0,)</f>
        <v>Yes</v>
      </c>
      <c r="G45" s="8">
        <v>1993</v>
      </c>
      <c r="H45" s="23">
        <v>58504.561403508764</v>
      </c>
      <c r="I45" s="8" t="s">
        <v>198</v>
      </c>
      <c r="J45" s="15"/>
      <c r="K45" s="15"/>
      <c r="L45" s="15"/>
      <c r="M45" s="15"/>
      <c r="N45" s="15"/>
      <c r="O45" s="8" t="s">
        <v>6</v>
      </c>
      <c r="P45" s="8"/>
      <c r="Q45" s="8"/>
      <c r="R45" s="7" t="str">
        <f>Tab_Data_Flows[[#This Row],[Flow_ID]]&amp;"_"&amp;"material_"&amp;Tab_Data_Flows[[#This Row],[Flow_Data_Year]]</f>
        <v>F_00_02_material_1993</v>
      </c>
      <c r="S45" s="14">
        <f>IF(O45="no",H45,H45*P45)</f>
        <v>58504.561403508764</v>
      </c>
      <c r="T45" s="8" t="s">
        <v>198</v>
      </c>
      <c r="U45" s="143">
        <f>INDEX(Tab_Def_Flows[[Flow_ID]:[CC_DM_source]],MATCH(Tab_Data_Flows[[#This Row],[Flow_Name]],Tab_Def_Flows[Flow_Name],0),11)</f>
        <v>0</v>
      </c>
      <c r="V45" s="7" t="str">
        <f>Tab_Data_Flows[[#This Row],[Flow_ID]]&amp;"_"&amp;"WC_"&amp;Tab_Data_Flows[[#This Row],[Flow_Data_Year]]</f>
        <v>F_00_02_WC_1993</v>
      </c>
      <c r="W45" s="7">
        <f>IF(D45="Yes",S45*Tab_Data_Flows[[#This Row],[WC_'[%']]],"N.A.")</f>
        <v>0</v>
      </c>
      <c r="X45" s="7" t="str">
        <f>Tab_Data_Flows[[#This Row],[UoM_Flow_Py]]</f>
        <v>Mg</v>
      </c>
      <c r="Y45" s="143">
        <f>INDEX(Tab_Def_Flows[[Flow_ID]:[CC_DM_source]],MATCH(Tab_Data_Flows[[#This Row],[Flow_Name]],Tab_Def_Flows[Flow_Name],0),14)</f>
        <v>1</v>
      </c>
      <c r="Z45" s="7" t="str">
        <f>Tab_Data_Flows[[#This Row],[Flow_ID]]&amp;"_"&amp;"DM_"&amp;Tab_Data_Flows[[#This Row],[Flow_Data_Year]]</f>
        <v>F_00_02_DM_1993</v>
      </c>
      <c r="AA45" s="7">
        <f>IF(E45="Yes",Y45*Tab_Data_Flows[[#This Row],[Flow_Material]],"N.A.")</f>
        <v>58504.561403508764</v>
      </c>
      <c r="AB45" s="7" t="str">
        <f>Tab_Data_Flows[[#This Row],[UoM_Flow_Py]]</f>
        <v>Mg</v>
      </c>
      <c r="AC45" s="143">
        <f>INDEX(Tab_Def_Flows[[Flow_ID]:[CC_DM_source]],MATCH(Tab_Data_Flows[[#This Row],[Flow_Name]],Tab_Def_Flows[Flow_Name],0),17)</f>
        <v>1</v>
      </c>
      <c r="AD45" s="7" t="str">
        <f>Tab_Data_Flows[[#This Row],[Flow_ID]]&amp;"_"&amp;"CC_"&amp;Tab_Data_Flows[[#This Row],[Flow_Data_Year]]</f>
        <v>F_00_02_CC_1993</v>
      </c>
      <c r="AE45" s="7">
        <f>IF(F45="Yes",AC45*Tab_Data_Flows[[#This Row],[Flow_Material]]*Tab_Data_Flows[[#This Row],[DM_'[%']]],"N.A.")</f>
        <v>58504.561403508764</v>
      </c>
      <c r="AF45" s="7" t="str">
        <f>Tab_Data_Flows[[#This Row],[UoM_Flow_Py]]</f>
        <v>Mg</v>
      </c>
      <c r="AG45"/>
    </row>
    <row r="46" spans="1:33" x14ac:dyDescent="0.25">
      <c r="A46" s="9">
        <f t="shared" si="0"/>
        <v>45</v>
      </c>
      <c r="B46" s="7" t="str">
        <f>_xlfn.XLOOKUP(C46,Tab_Def_Flows[Flow_Name],Tab_Def_Flows[Flow_ID],,0,)</f>
        <v>F_00_02</v>
      </c>
      <c r="C46" s="142" t="s">
        <v>588</v>
      </c>
      <c r="D46" s="10" t="str">
        <f>_xlfn.XLOOKUP(C46,Tab_Def_Flows[Flow_Name],Tab_Def_Flows[WC?],,0,)</f>
        <v>Yes</v>
      </c>
      <c r="E46" s="10" t="str">
        <f>_xlfn.XLOOKUP(C46,Tab_Def_Flows[Flow_Name],Tab_Def_Flows[DM?],,0,)</f>
        <v>Yes</v>
      </c>
      <c r="F46" s="10" t="str">
        <f>_xlfn.XLOOKUP(C46,Tab_Def_Flows[Flow_Name],Tab_Def_Flows[CC?],,0,)</f>
        <v>Yes</v>
      </c>
      <c r="G46" s="8">
        <v>1994</v>
      </c>
      <c r="H46" s="23">
        <v>74460.350877192992</v>
      </c>
      <c r="I46" s="8" t="s">
        <v>198</v>
      </c>
      <c r="J46" s="15"/>
      <c r="K46" s="15"/>
      <c r="L46" s="15"/>
      <c r="M46" s="15"/>
      <c r="N46" s="15"/>
      <c r="O46" s="8" t="s">
        <v>6</v>
      </c>
      <c r="P46" s="8"/>
      <c r="Q46" s="8"/>
      <c r="R46" s="7" t="str">
        <f>Tab_Data_Flows[[#This Row],[Flow_ID]]&amp;"_"&amp;"material_"&amp;Tab_Data_Flows[[#This Row],[Flow_Data_Year]]</f>
        <v>F_00_02_material_1994</v>
      </c>
      <c r="S46" s="14">
        <f>IF(O46="no",H46,H46*P46)</f>
        <v>74460.350877192992</v>
      </c>
      <c r="T46" s="8" t="s">
        <v>198</v>
      </c>
      <c r="U46" s="143">
        <f>INDEX(Tab_Def_Flows[[Flow_ID]:[CC_DM_source]],MATCH(Tab_Data_Flows[[#This Row],[Flow_Name]],Tab_Def_Flows[Flow_Name],0),11)</f>
        <v>0</v>
      </c>
      <c r="V46" s="7" t="str">
        <f>Tab_Data_Flows[[#This Row],[Flow_ID]]&amp;"_"&amp;"WC_"&amp;Tab_Data_Flows[[#This Row],[Flow_Data_Year]]</f>
        <v>F_00_02_WC_1994</v>
      </c>
      <c r="W46" s="7">
        <f>IF(D46="Yes",S46*Tab_Data_Flows[[#This Row],[WC_'[%']]],"N.A.")</f>
        <v>0</v>
      </c>
      <c r="X46" s="7" t="str">
        <f>Tab_Data_Flows[[#This Row],[UoM_Flow_Py]]</f>
        <v>Mg</v>
      </c>
      <c r="Y46" s="143">
        <f>INDEX(Tab_Def_Flows[[Flow_ID]:[CC_DM_source]],MATCH(Tab_Data_Flows[[#This Row],[Flow_Name]],Tab_Def_Flows[Flow_Name],0),14)</f>
        <v>1</v>
      </c>
      <c r="Z46" s="7" t="str">
        <f>Tab_Data_Flows[[#This Row],[Flow_ID]]&amp;"_"&amp;"DM_"&amp;Tab_Data_Flows[[#This Row],[Flow_Data_Year]]</f>
        <v>F_00_02_DM_1994</v>
      </c>
      <c r="AA46" s="7">
        <f>IF(E46="Yes",Y46*Tab_Data_Flows[[#This Row],[Flow_Material]],"N.A.")</f>
        <v>74460.350877192992</v>
      </c>
      <c r="AB46" s="7" t="str">
        <f>Tab_Data_Flows[[#This Row],[UoM_Flow_Py]]</f>
        <v>Mg</v>
      </c>
      <c r="AC46" s="143">
        <f>INDEX(Tab_Def_Flows[[Flow_ID]:[CC_DM_source]],MATCH(Tab_Data_Flows[[#This Row],[Flow_Name]],Tab_Def_Flows[Flow_Name],0),17)</f>
        <v>1</v>
      </c>
      <c r="AD46" s="7" t="str">
        <f>Tab_Data_Flows[[#This Row],[Flow_ID]]&amp;"_"&amp;"CC_"&amp;Tab_Data_Flows[[#This Row],[Flow_Data_Year]]</f>
        <v>F_00_02_CC_1994</v>
      </c>
      <c r="AE46" s="7">
        <f>IF(F46="Yes",AC46*Tab_Data_Flows[[#This Row],[Flow_Material]]*Tab_Data_Flows[[#This Row],[DM_'[%']]],"N.A.")</f>
        <v>74460.350877192992</v>
      </c>
      <c r="AF46" s="7" t="str">
        <f>Tab_Data_Flows[[#This Row],[UoM_Flow_Py]]</f>
        <v>Mg</v>
      </c>
      <c r="AG46"/>
    </row>
    <row r="47" spans="1:33" x14ac:dyDescent="0.25">
      <c r="A47" s="9">
        <f t="shared" si="0"/>
        <v>46</v>
      </c>
      <c r="B47" s="7" t="str">
        <f>_xlfn.XLOOKUP(C47,Tab_Def_Flows[Flow_Name],Tab_Def_Flows[Flow_ID],,0,)</f>
        <v>F_00_02</v>
      </c>
      <c r="C47" s="142" t="s">
        <v>588</v>
      </c>
      <c r="D47" s="10" t="str">
        <f>_xlfn.XLOOKUP(C47,Tab_Def_Flows[Flow_Name],Tab_Def_Flows[WC?],,0,)</f>
        <v>Yes</v>
      </c>
      <c r="E47" s="10" t="str">
        <f>_xlfn.XLOOKUP(C47,Tab_Def_Flows[Flow_Name],Tab_Def_Flows[DM?],,0,)</f>
        <v>Yes</v>
      </c>
      <c r="F47" s="10" t="str">
        <f>_xlfn.XLOOKUP(C47,Tab_Def_Flows[Flow_Name],Tab_Def_Flows[CC?],,0,)</f>
        <v>Yes</v>
      </c>
      <c r="G47" s="8">
        <v>1995</v>
      </c>
      <c r="H47" s="23">
        <v>90396.070175438581</v>
      </c>
      <c r="I47" s="8" t="s">
        <v>198</v>
      </c>
      <c r="J47" s="15"/>
      <c r="K47" s="15"/>
      <c r="L47" s="15"/>
      <c r="M47" s="15"/>
      <c r="N47" s="15"/>
      <c r="O47" s="8" t="s">
        <v>6</v>
      </c>
      <c r="P47" s="8"/>
      <c r="Q47" s="8"/>
      <c r="R47" s="7" t="str">
        <f>Tab_Data_Flows[[#This Row],[Flow_ID]]&amp;"_"&amp;"material_"&amp;Tab_Data_Flows[[#This Row],[Flow_Data_Year]]</f>
        <v>F_00_02_material_1995</v>
      </c>
      <c r="S47" s="14">
        <f>IF(O47="no",H47,H47*P47)</f>
        <v>90396.070175438581</v>
      </c>
      <c r="T47" s="8" t="s">
        <v>198</v>
      </c>
      <c r="U47" s="143">
        <f>INDEX(Tab_Def_Flows[[Flow_ID]:[CC_DM_source]],MATCH(Tab_Data_Flows[[#This Row],[Flow_Name]],Tab_Def_Flows[Flow_Name],0),11)</f>
        <v>0</v>
      </c>
      <c r="V47" s="7" t="str">
        <f>Tab_Data_Flows[[#This Row],[Flow_ID]]&amp;"_"&amp;"WC_"&amp;Tab_Data_Flows[[#This Row],[Flow_Data_Year]]</f>
        <v>F_00_02_WC_1995</v>
      </c>
      <c r="W47" s="7">
        <f>IF(D47="Yes",S47*Tab_Data_Flows[[#This Row],[WC_'[%']]],"N.A.")</f>
        <v>0</v>
      </c>
      <c r="X47" s="7" t="str">
        <f>Tab_Data_Flows[[#This Row],[UoM_Flow_Py]]</f>
        <v>Mg</v>
      </c>
      <c r="Y47" s="143">
        <f>INDEX(Tab_Def_Flows[[Flow_ID]:[CC_DM_source]],MATCH(Tab_Data_Flows[[#This Row],[Flow_Name]],Tab_Def_Flows[Flow_Name],0),14)</f>
        <v>1</v>
      </c>
      <c r="Z47" s="7" t="str">
        <f>Tab_Data_Flows[[#This Row],[Flow_ID]]&amp;"_"&amp;"DM_"&amp;Tab_Data_Flows[[#This Row],[Flow_Data_Year]]</f>
        <v>F_00_02_DM_1995</v>
      </c>
      <c r="AA47" s="7">
        <f>IF(E47="Yes",Y47*Tab_Data_Flows[[#This Row],[Flow_Material]],"N.A.")</f>
        <v>90396.070175438581</v>
      </c>
      <c r="AB47" s="7" t="str">
        <f>Tab_Data_Flows[[#This Row],[UoM_Flow_Py]]</f>
        <v>Mg</v>
      </c>
      <c r="AC47" s="143">
        <f>INDEX(Tab_Def_Flows[[Flow_ID]:[CC_DM_source]],MATCH(Tab_Data_Flows[[#This Row],[Flow_Name]],Tab_Def_Flows[Flow_Name],0),17)</f>
        <v>1</v>
      </c>
      <c r="AD47" s="7" t="str">
        <f>Tab_Data_Flows[[#This Row],[Flow_ID]]&amp;"_"&amp;"CC_"&amp;Tab_Data_Flows[[#This Row],[Flow_Data_Year]]</f>
        <v>F_00_02_CC_1995</v>
      </c>
      <c r="AE47" s="7">
        <f>IF(F47="Yes",AC47*Tab_Data_Flows[[#This Row],[Flow_Material]]*Tab_Data_Flows[[#This Row],[DM_'[%']]],"N.A.")</f>
        <v>90396.070175438581</v>
      </c>
      <c r="AF47" s="7" t="str">
        <f>Tab_Data_Flows[[#This Row],[UoM_Flow_Py]]</f>
        <v>Mg</v>
      </c>
      <c r="AG47"/>
    </row>
    <row r="48" spans="1:33" x14ac:dyDescent="0.25">
      <c r="A48" s="9">
        <f t="shared" si="0"/>
        <v>47</v>
      </c>
      <c r="B48" s="7" t="str">
        <f>_xlfn.XLOOKUP(C48,Tab_Def_Flows[Flow_Name],Tab_Def_Flows[Flow_ID],,0,)</f>
        <v>F_00_02</v>
      </c>
      <c r="C48" s="142" t="s">
        <v>588</v>
      </c>
      <c r="D48" s="10" t="str">
        <f>_xlfn.XLOOKUP(C48,Tab_Def_Flows[Flow_Name],Tab_Def_Flows[WC?],,0,)</f>
        <v>Yes</v>
      </c>
      <c r="E48" s="10" t="str">
        <f>_xlfn.XLOOKUP(C48,Tab_Def_Flows[Flow_Name],Tab_Def_Flows[DM?],,0,)</f>
        <v>Yes</v>
      </c>
      <c r="F48" s="10" t="str">
        <f>_xlfn.XLOOKUP(C48,Tab_Def_Flows[Flow_Name],Tab_Def_Flows[CC?],,0,)</f>
        <v>Yes</v>
      </c>
      <c r="G48" s="8">
        <v>1996</v>
      </c>
      <c r="H48" s="23">
        <v>101735.71929824562</v>
      </c>
      <c r="I48" s="8" t="s">
        <v>198</v>
      </c>
      <c r="J48" s="15"/>
      <c r="K48" s="15"/>
      <c r="L48" s="15"/>
      <c r="M48" s="15"/>
      <c r="N48" s="15"/>
      <c r="O48" s="8" t="s">
        <v>6</v>
      </c>
      <c r="P48" s="8"/>
      <c r="Q48" s="8"/>
      <c r="R48" s="7" t="str">
        <f>Tab_Data_Flows[[#This Row],[Flow_ID]]&amp;"_"&amp;"material_"&amp;Tab_Data_Flows[[#This Row],[Flow_Data_Year]]</f>
        <v>F_00_02_material_1996</v>
      </c>
      <c r="S48" s="14">
        <f>IF(O48="no",H48,H48*P48)</f>
        <v>101735.71929824562</v>
      </c>
      <c r="T48" s="8" t="s">
        <v>198</v>
      </c>
      <c r="U48" s="143">
        <f>INDEX(Tab_Def_Flows[[Flow_ID]:[CC_DM_source]],MATCH(Tab_Data_Flows[[#This Row],[Flow_Name]],Tab_Def_Flows[Flow_Name],0),11)</f>
        <v>0</v>
      </c>
      <c r="V48" s="7" t="str">
        <f>Tab_Data_Flows[[#This Row],[Flow_ID]]&amp;"_"&amp;"WC_"&amp;Tab_Data_Flows[[#This Row],[Flow_Data_Year]]</f>
        <v>F_00_02_WC_1996</v>
      </c>
      <c r="W48" s="7">
        <f>IF(D48="Yes",S48*Tab_Data_Flows[[#This Row],[WC_'[%']]],"N.A.")</f>
        <v>0</v>
      </c>
      <c r="X48" s="7" t="str">
        <f>Tab_Data_Flows[[#This Row],[UoM_Flow_Py]]</f>
        <v>Mg</v>
      </c>
      <c r="Y48" s="143">
        <f>INDEX(Tab_Def_Flows[[Flow_ID]:[CC_DM_source]],MATCH(Tab_Data_Flows[[#This Row],[Flow_Name]],Tab_Def_Flows[Flow_Name],0),14)</f>
        <v>1</v>
      </c>
      <c r="Z48" s="7" t="str">
        <f>Tab_Data_Flows[[#This Row],[Flow_ID]]&amp;"_"&amp;"DM_"&amp;Tab_Data_Flows[[#This Row],[Flow_Data_Year]]</f>
        <v>F_00_02_DM_1996</v>
      </c>
      <c r="AA48" s="7">
        <f>IF(E48="Yes",Y48*Tab_Data_Flows[[#This Row],[Flow_Material]],"N.A.")</f>
        <v>101735.71929824562</v>
      </c>
      <c r="AB48" s="7" t="str">
        <f>Tab_Data_Flows[[#This Row],[UoM_Flow_Py]]</f>
        <v>Mg</v>
      </c>
      <c r="AC48" s="143">
        <f>INDEX(Tab_Def_Flows[[Flow_ID]:[CC_DM_source]],MATCH(Tab_Data_Flows[[#This Row],[Flow_Name]],Tab_Def_Flows[Flow_Name],0),17)</f>
        <v>1</v>
      </c>
      <c r="AD48" s="7" t="str">
        <f>Tab_Data_Flows[[#This Row],[Flow_ID]]&amp;"_"&amp;"CC_"&amp;Tab_Data_Flows[[#This Row],[Flow_Data_Year]]</f>
        <v>F_00_02_CC_1996</v>
      </c>
      <c r="AE48" s="7">
        <f>IF(F48="Yes",AC48*Tab_Data_Flows[[#This Row],[Flow_Material]]*Tab_Data_Flows[[#This Row],[DM_'[%']]],"N.A.")</f>
        <v>101735.71929824562</v>
      </c>
      <c r="AF48" s="7" t="str">
        <f>Tab_Data_Flows[[#This Row],[UoM_Flow_Py]]</f>
        <v>Mg</v>
      </c>
      <c r="AG48"/>
    </row>
    <row r="49" spans="1:33" x14ac:dyDescent="0.25">
      <c r="A49" s="9">
        <f t="shared" si="0"/>
        <v>48</v>
      </c>
      <c r="B49" s="7" t="str">
        <f>_xlfn.XLOOKUP(C49,Tab_Def_Flows[Flow_Name],Tab_Def_Flows[Flow_ID],,0,)</f>
        <v>F_00_02</v>
      </c>
      <c r="C49" s="142" t="s">
        <v>588</v>
      </c>
      <c r="D49" s="10" t="str">
        <f>_xlfn.XLOOKUP(C49,Tab_Def_Flows[Flow_Name],Tab_Def_Flows[WC?],,0,)</f>
        <v>Yes</v>
      </c>
      <c r="E49" s="10" t="str">
        <f>_xlfn.XLOOKUP(C49,Tab_Def_Flows[Flow_Name],Tab_Def_Flows[DM?],,0,)</f>
        <v>Yes</v>
      </c>
      <c r="F49" s="10" t="str">
        <f>_xlfn.XLOOKUP(C49,Tab_Def_Flows[Flow_Name],Tab_Def_Flows[CC?],,0,)</f>
        <v>Yes</v>
      </c>
      <c r="G49" s="8">
        <v>1997</v>
      </c>
      <c r="H49" s="23">
        <v>103180.77192982455</v>
      </c>
      <c r="I49" s="8" t="s">
        <v>198</v>
      </c>
      <c r="J49" s="15"/>
      <c r="K49" s="15"/>
      <c r="L49" s="15"/>
      <c r="M49" s="15"/>
      <c r="N49" s="15"/>
      <c r="O49" s="8" t="s">
        <v>6</v>
      </c>
      <c r="P49" s="8"/>
      <c r="Q49" s="8"/>
      <c r="R49" s="7" t="str">
        <f>Tab_Data_Flows[[#This Row],[Flow_ID]]&amp;"_"&amp;"material_"&amp;Tab_Data_Flows[[#This Row],[Flow_Data_Year]]</f>
        <v>F_00_02_material_1997</v>
      </c>
      <c r="S49" s="14">
        <f>IF(O49="no",H49,H49*P49)</f>
        <v>103180.77192982455</v>
      </c>
      <c r="T49" s="8" t="s">
        <v>198</v>
      </c>
      <c r="U49" s="143">
        <f>INDEX(Tab_Def_Flows[[Flow_ID]:[CC_DM_source]],MATCH(Tab_Data_Flows[[#This Row],[Flow_Name]],Tab_Def_Flows[Flow_Name],0),11)</f>
        <v>0</v>
      </c>
      <c r="V49" s="7" t="str">
        <f>Tab_Data_Flows[[#This Row],[Flow_ID]]&amp;"_"&amp;"WC_"&amp;Tab_Data_Flows[[#This Row],[Flow_Data_Year]]</f>
        <v>F_00_02_WC_1997</v>
      </c>
      <c r="W49" s="7">
        <f>IF(D49="Yes",S49*Tab_Data_Flows[[#This Row],[WC_'[%']]],"N.A.")</f>
        <v>0</v>
      </c>
      <c r="X49" s="7" t="str">
        <f>Tab_Data_Flows[[#This Row],[UoM_Flow_Py]]</f>
        <v>Mg</v>
      </c>
      <c r="Y49" s="143">
        <f>INDEX(Tab_Def_Flows[[Flow_ID]:[CC_DM_source]],MATCH(Tab_Data_Flows[[#This Row],[Flow_Name]],Tab_Def_Flows[Flow_Name],0),14)</f>
        <v>1</v>
      </c>
      <c r="Z49" s="7" t="str">
        <f>Tab_Data_Flows[[#This Row],[Flow_ID]]&amp;"_"&amp;"DM_"&amp;Tab_Data_Flows[[#This Row],[Flow_Data_Year]]</f>
        <v>F_00_02_DM_1997</v>
      </c>
      <c r="AA49" s="7">
        <f>IF(E49="Yes",Y49*Tab_Data_Flows[[#This Row],[Flow_Material]],"N.A.")</f>
        <v>103180.77192982455</v>
      </c>
      <c r="AB49" s="7" t="str">
        <f>Tab_Data_Flows[[#This Row],[UoM_Flow_Py]]</f>
        <v>Mg</v>
      </c>
      <c r="AC49" s="143">
        <f>INDEX(Tab_Def_Flows[[Flow_ID]:[CC_DM_source]],MATCH(Tab_Data_Flows[[#This Row],[Flow_Name]],Tab_Def_Flows[Flow_Name],0),17)</f>
        <v>1</v>
      </c>
      <c r="AD49" s="7" t="str">
        <f>Tab_Data_Flows[[#This Row],[Flow_ID]]&amp;"_"&amp;"CC_"&amp;Tab_Data_Flows[[#This Row],[Flow_Data_Year]]</f>
        <v>F_00_02_CC_1997</v>
      </c>
      <c r="AE49" s="7">
        <f>IF(F49="Yes",AC49*Tab_Data_Flows[[#This Row],[Flow_Material]]*Tab_Data_Flows[[#This Row],[DM_'[%']]],"N.A.")</f>
        <v>103180.77192982455</v>
      </c>
      <c r="AF49" s="7" t="str">
        <f>Tab_Data_Flows[[#This Row],[UoM_Flow_Py]]</f>
        <v>Mg</v>
      </c>
      <c r="AG49"/>
    </row>
    <row r="50" spans="1:33" x14ac:dyDescent="0.25">
      <c r="A50" s="9">
        <f t="shared" si="0"/>
        <v>49</v>
      </c>
      <c r="B50" s="7" t="str">
        <f>_xlfn.XLOOKUP(C50,Tab_Def_Flows[Flow_Name],Tab_Def_Flows[Flow_ID],,0,)</f>
        <v>F_00_02</v>
      </c>
      <c r="C50" s="142" t="s">
        <v>588</v>
      </c>
      <c r="D50" s="10" t="str">
        <f>_xlfn.XLOOKUP(C50,Tab_Def_Flows[Flow_Name],Tab_Def_Flows[WC?],,0,)</f>
        <v>Yes</v>
      </c>
      <c r="E50" s="10" t="str">
        <f>_xlfn.XLOOKUP(C50,Tab_Def_Flows[Flow_Name],Tab_Def_Flows[DM?],,0,)</f>
        <v>Yes</v>
      </c>
      <c r="F50" s="10" t="str">
        <f>_xlfn.XLOOKUP(C50,Tab_Def_Flows[Flow_Name],Tab_Def_Flows[CC?],,0,)</f>
        <v>Yes</v>
      </c>
      <c r="G50" s="8">
        <v>1998</v>
      </c>
      <c r="H50" s="23">
        <v>102076.91228070174</v>
      </c>
      <c r="I50" s="8" t="s">
        <v>198</v>
      </c>
      <c r="J50" s="15"/>
      <c r="K50" s="15"/>
      <c r="L50" s="15"/>
      <c r="M50" s="15"/>
      <c r="N50" s="15"/>
      <c r="O50" s="8" t="s">
        <v>6</v>
      </c>
      <c r="P50" s="8"/>
      <c r="Q50" s="8"/>
      <c r="R50" s="7" t="str">
        <f>Tab_Data_Flows[[#This Row],[Flow_ID]]&amp;"_"&amp;"material_"&amp;Tab_Data_Flows[[#This Row],[Flow_Data_Year]]</f>
        <v>F_00_02_material_1998</v>
      </c>
      <c r="S50" s="14">
        <f>IF(O50="no",H50,H50*P50)</f>
        <v>102076.91228070174</v>
      </c>
      <c r="T50" s="8" t="s">
        <v>198</v>
      </c>
      <c r="U50" s="143">
        <f>INDEX(Tab_Def_Flows[[Flow_ID]:[CC_DM_source]],MATCH(Tab_Data_Flows[[#This Row],[Flow_Name]],Tab_Def_Flows[Flow_Name],0),11)</f>
        <v>0</v>
      </c>
      <c r="V50" s="7" t="str">
        <f>Tab_Data_Flows[[#This Row],[Flow_ID]]&amp;"_"&amp;"WC_"&amp;Tab_Data_Flows[[#This Row],[Flow_Data_Year]]</f>
        <v>F_00_02_WC_1998</v>
      </c>
      <c r="W50" s="7">
        <f>IF(D50="Yes",S50*Tab_Data_Flows[[#This Row],[WC_'[%']]],"N.A.")</f>
        <v>0</v>
      </c>
      <c r="X50" s="7" t="str">
        <f>Tab_Data_Flows[[#This Row],[UoM_Flow_Py]]</f>
        <v>Mg</v>
      </c>
      <c r="Y50" s="143">
        <f>INDEX(Tab_Def_Flows[[Flow_ID]:[CC_DM_source]],MATCH(Tab_Data_Flows[[#This Row],[Flow_Name]],Tab_Def_Flows[Flow_Name],0),14)</f>
        <v>1</v>
      </c>
      <c r="Z50" s="7" t="str">
        <f>Tab_Data_Flows[[#This Row],[Flow_ID]]&amp;"_"&amp;"DM_"&amp;Tab_Data_Flows[[#This Row],[Flow_Data_Year]]</f>
        <v>F_00_02_DM_1998</v>
      </c>
      <c r="AA50" s="7">
        <f>IF(E50="Yes",Y50*Tab_Data_Flows[[#This Row],[Flow_Material]],"N.A.")</f>
        <v>102076.91228070174</v>
      </c>
      <c r="AB50" s="7" t="str">
        <f>Tab_Data_Flows[[#This Row],[UoM_Flow_Py]]</f>
        <v>Mg</v>
      </c>
      <c r="AC50" s="143">
        <f>INDEX(Tab_Def_Flows[[Flow_ID]:[CC_DM_source]],MATCH(Tab_Data_Flows[[#This Row],[Flow_Name]],Tab_Def_Flows[Flow_Name],0),17)</f>
        <v>1</v>
      </c>
      <c r="AD50" s="7" t="str">
        <f>Tab_Data_Flows[[#This Row],[Flow_ID]]&amp;"_"&amp;"CC_"&amp;Tab_Data_Flows[[#This Row],[Flow_Data_Year]]</f>
        <v>F_00_02_CC_1998</v>
      </c>
      <c r="AE50" s="7">
        <f>IF(F50="Yes",AC50*Tab_Data_Flows[[#This Row],[Flow_Material]]*Tab_Data_Flows[[#This Row],[DM_'[%']]],"N.A.")</f>
        <v>102076.91228070174</v>
      </c>
      <c r="AF50" s="7" t="str">
        <f>Tab_Data_Flows[[#This Row],[UoM_Flow_Py]]</f>
        <v>Mg</v>
      </c>
      <c r="AG50"/>
    </row>
    <row r="51" spans="1:33" x14ac:dyDescent="0.25">
      <c r="A51" s="9">
        <f t="shared" si="0"/>
        <v>50</v>
      </c>
      <c r="B51" s="7" t="str">
        <f>_xlfn.XLOOKUP(C51,Tab_Def_Flows[Flow_Name],Tab_Def_Flows[Flow_ID],,0,)</f>
        <v>F_00_02</v>
      </c>
      <c r="C51" s="142" t="s">
        <v>588</v>
      </c>
      <c r="D51" s="10" t="str">
        <f>_xlfn.XLOOKUP(C51,Tab_Def_Flows[Flow_Name],Tab_Def_Flows[WC?],,0,)</f>
        <v>Yes</v>
      </c>
      <c r="E51" s="10" t="str">
        <f>_xlfn.XLOOKUP(C51,Tab_Def_Flows[Flow_Name],Tab_Def_Flows[DM?],,0,)</f>
        <v>Yes</v>
      </c>
      <c r="F51" s="10" t="str">
        <f>_xlfn.XLOOKUP(C51,Tab_Def_Flows[Flow_Name],Tab_Def_Flows[CC?],,0,)</f>
        <v>Yes</v>
      </c>
      <c r="G51" s="8">
        <v>1999</v>
      </c>
      <c r="H51" s="23">
        <v>100912.84210526319</v>
      </c>
      <c r="I51" s="8" t="s">
        <v>198</v>
      </c>
      <c r="J51" s="15"/>
      <c r="K51" s="15"/>
      <c r="L51" s="15"/>
      <c r="M51" s="15"/>
      <c r="N51" s="15"/>
      <c r="O51" s="8" t="s">
        <v>6</v>
      </c>
      <c r="P51" s="8"/>
      <c r="Q51" s="8"/>
      <c r="R51" s="7" t="str">
        <f>Tab_Data_Flows[[#This Row],[Flow_ID]]&amp;"_"&amp;"material_"&amp;Tab_Data_Flows[[#This Row],[Flow_Data_Year]]</f>
        <v>F_00_02_material_1999</v>
      </c>
      <c r="S51" s="14">
        <f>IF(O51="no",H51,H51*P51)</f>
        <v>100912.84210526319</v>
      </c>
      <c r="T51" s="8" t="s">
        <v>198</v>
      </c>
      <c r="U51" s="143">
        <f>INDEX(Tab_Def_Flows[[Flow_ID]:[CC_DM_source]],MATCH(Tab_Data_Flows[[#This Row],[Flow_Name]],Tab_Def_Flows[Flow_Name],0),11)</f>
        <v>0</v>
      </c>
      <c r="V51" s="7" t="str">
        <f>Tab_Data_Flows[[#This Row],[Flow_ID]]&amp;"_"&amp;"WC_"&amp;Tab_Data_Flows[[#This Row],[Flow_Data_Year]]</f>
        <v>F_00_02_WC_1999</v>
      </c>
      <c r="W51" s="7">
        <f>IF(D51="Yes",S51*Tab_Data_Flows[[#This Row],[WC_'[%']]],"N.A.")</f>
        <v>0</v>
      </c>
      <c r="X51" s="7" t="str">
        <f>Tab_Data_Flows[[#This Row],[UoM_Flow_Py]]</f>
        <v>Mg</v>
      </c>
      <c r="Y51" s="143">
        <f>INDEX(Tab_Def_Flows[[Flow_ID]:[CC_DM_source]],MATCH(Tab_Data_Flows[[#This Row],[Flow_Name]],Tab_Def_Flows[Flow_Name],0),14)</f>
        <v>1</v>
      </c>
      <c r="Z51" s="7" t="str">
        <f>Tab_Data_Flows[[#This Row],[Flow_ID]]&amp;"_"&amp;"DM_"&amp;Tab_Data_Flows[[#This Row],[Flow_Data_Year]]</f>
        <v>F_00_02_DM_1999</v>
      </c>
      <c r="AA51" s="7">
        <f>IF(E51="Yes",Y51*Tab_Data_Flows[[#This Row],[Flow_Material]],"N.A.")</f>
        <v>100912.84210526319</v>
      </c>
      <c r="AB51" s="7" t="str">
        <f>Tab_Data_Flows[[#This Row],[UoM_Flow_Py]]</f>
        <v>Mg</v>
      </c>
      <c r="AC51" s="143">
        <f>INDEX(Tab_Def_Flows[[Flow_ID]:[CC_DM_source]],MATCH(Tab_Data_Flows[[#This Row],[Flow_Name]],Tab_Def_Flows[Flow_Name],0),17)</f>
        <v>1</v>
      </c>
      <c r="AD51" s="7" t="str">
        <f>Tab_Data_Flows[[#This Row],[Flow_ID]]&amp;"_"&amp;"CC_"&amp;Tab_Data_Flows[[#This Row],[Flow_Data_Year]]</f>
        <v>F_00_02_CC_1999</v>
      </c>
      <c r="AE51" s="7">
        <f>IF(F51="Yes",AC51*Tab_Data_Flows[[#This Row],[Flow_Material]]*Tab_Data_Flows[[#This Row],[DM_'[%']]],"N.A.")</f>
        <v>100912.84210526319</v>
      </c>
      <c r="AF51" s="7" t="str">
        <f>Tab_Data_Flows[[#This Row],[UoM_Flow_Py]]</f>
        <v>Mg</v>
      </c>
      <c r="AG51"/>
    </row>
    <row r="52" spans="1:33" x14ac:dyDescent="0.25">
      <c r="A52" s="9">
        <f t="shared" si="0"/>
        <v>51</v>
      </c>
      <c r="B52" s="7" t="str">
        <f>_xlfn.XLOOKUP(C52,Tab_Def_Flows[Flow_Name],Tab_Def_Flows[Flow_ID],,0,)</f>
        <v>F_00_02</v>
      </c>
      <c r="C52" s="142" t="s">
        <v>588</v>
      </c>
      <c r="D52" s="10" t="str">
        <f>_xlfn.XLOOKUP(C52,Tab_Def_Flows[Flow_Name],Tab_Def_Flows[WC?],,0,)</f>
        <v>Yes</v>
      </c>
      <c r="E52" s="10" t="str">
        <f>_xlfn.XLOOKUP(C52,Tab_Def_Flows[Flow_Name],Tab_Def_Flows[DM?],,0,)</f>
        <v>Yes</v>
      </c>
      <c r="F52" s="10" t="str">
        <f>_xlfn.XLOOKUP(C52,Tab_Def_Flows[Flow_Name],Tab_Def_Flows[CC?],,0,)</f>
        <v>Yes</v>
      </c>
      <c r="G52" s="8">
        <v>2000</v>
      </c>
      <c r="H52" s="23">
        <v>125538.94736842105</v>
      </c>
      <c r="I52" s="8" t="s">
        <v>198</v>
      </c>
      <c r="J52" s="15"/>
      <c r="K52" s="15"/>
      <c r="L52" s="15"/>
      <c r="M52" s="15"/>
      <c r="N52" s="15"/>
      <c r="O52" s="8" t="s">
        <v>6</v>
      </c>
      <c r="P52" s="8"/>
      <c r="Q52" s="8"/>
      <c r="R52" s="7" t="str">
        <f>Tab_Data_Flows[[#This Row],[Flow_ID]]&amp;"_"&amp;"material_"&amp;Tab_Data_Flows[[#This Row],[Flow_Data_Year]]</f>
        <v>F_00_02_material_2000</v>
      </c>
      <c r="S52" s="14">
        <f>IF(O52="no",H52,H52*P52)</f>
        <v>125538.94736842105</v>
      </c>
      <c r="T52" s="8" t="s">
        <v>198</v>
      </c>
      <c r="U52" s="143">
        <f>INDEX(Tab_Def_Flows[[Flow_ID]:[CC_DM_source]],MATCH(Tab_Data_Flows[[#This Row],[Flow_Name]],Tab_Def_Flows[Flow_Name],0),11)</f>
        <v>0</v>
      </c>
      <c r="V52" s="7" t="str">
        <f>Tab_Data_Flows[[#This Row],[Flow_ID]]&amp;"_"&amp;"WC_"&amp;Tab_Data_Flows[[#This Row],[Flow_Data_Year]]</f>
        <v>F_00_02_WC_2000</v>
      </c>
      <c r="W52" s="7">
        <f>IF(D52="Yes",S52*Tab_Data_Flows[[#This Row],[WC_'[%']]],"N.A.")</f>
        <v>0</v>
      </c>
      <c r="X52" s="7" t="str">
        <f>Tab_Data_Flows[[#This Row],[UoM_Flow_Py]]</f>
        <v>Mg</v>
      </c>
      <c r="Y52" s="143">
        <f>INDEX(Tab_Def_Flows[[Flow_ID]:[CC_DM_source]],MATCH(Tab_Data_Flows[[#This Row],[Flow_Name]],Tab_Def_Flows[Flow_Name],0),14)</f>
        <v>1</v>
      </c>
      <c r="Z52" s="7" t="str">
        <f>Tab_Data_Flows[[#This Row],[Flow_ID]]&amp;"_"&amp;"DM_"&amp;Tab_Data_Flows[[#This Row],[Flow_Data_Year]]</f>
        <v>F_00_02_DM_2000</v>
      </c>
      <c r="AA52" s="7">
        <f>IF(E52="Yes",Y52*Tab_Data_Flows[[#This Row],[Flow_Material]],"N.A.")</f>
        <v>125538.94736842105</v>
      </c>
      <c r="AB52" s="7" t="str">
        <f>Tab_Data_Flows[[#This Row],[UoM_Flow_Py]]</f>
        <v>Mg</v>
      </c>
      <c r="AC52" s="143">
        <f>INDEX(Tab_Def_Flows[[Flow_ID]:[CC_DM_source]],MATCH(Tab_Data_Flows[[#This Row],[Flow_Name]],Tab_Def_Flows[Flow_Name],0),17)</f>
        <v>1</v>
      </c>
      <c r="AD52" s="7" t="str">
        <f>Tab_Data_Flows[[#This Row],[Flow_ID]]&amp;"_"&amp;"CC_"&amp;Tab_Data_Flows[[#This Row],[Flow_Data_Year]]</f>
        <v>F_00_02_CC_2000</v>
      </c>
      <c r="AE52" s="7">
        <f>IF(F52="Yes",AC52*Tab_Data_Flows[[#This Row],[Flow_Material]]*Tab_Data_Flows[[#This Row],[DM_'[%']]],"N.A.")</f>
        <v>125538.94736842105</v>
      </c>
      <c r="AF52" s="7" t="str">
        <f>Tab_Data_Flows[[#This Row],[UoM_Flow_Py]]</f>
        <v>Mg</v>
      </c>
      <c r="AG52"/>
    </row>
    <row r="53" spans="1:33" x14ac:dyDescent="0.25">
      <c r="A53" s="9">
        <f t="shared" si="0"/>
        <v>52</v>
      </c>
      <c r="B53" s="7" t="str">
        <f>_xlfn.XLOOKUP(C53,Tab_Def_Flows[Flow_Name],Tab_Def_Flows[Flow_ID],,0,)</f>
        <v>F_00_02</v>
      </c>
      <c r="C53" s="142" t="s">
        <v>588</v>
      </c>
      <c r="D53" s="10" t="str">
        <f>_xlfn.XLOOKUP(C53,Tab_Def_Flows[Flow_Name],Tab_Def_Flows[WC?],,0,)</f>
        <v>Yes</v>
      </c>
      <c r="E53" s="10" t="str">
        <f>_xlfn.XLOOKUP(C53,Tab_Def_Flows[Flow_Name],Tab_Def_Flows[DM?],,0,)</f>
        <v>Yes</v>
      </c>
      <c r="F53" s="10" t="str">
        <f>_xlfn.XLOOKUP(C53,Tab_Def_Flows[Flow_Name],Tab_Def_Flows[CC?],,0,)</f>
        <v>Yes</v>
      </c>
      <c r="G53" s="8">
        <v>2001</v>
      </c>
      <c r="H53" s="23">
        <v>113256</v>
      </c>
      <c r="I53" s="8" t="s">
        <v>198</v>
      </c>
      <c r="J53" s="15"/>
      <c r="K53" s="15"/>
      <c r="L53" s="15"/>
      <c r="M53" s="15"/>
      <c r="N53" s="15"/>
      <c r="O53" s="8" t="s">
        <v>6</v>
      </c>
      <c r="P53" s="8"/>
      <c r="Q53" s="8"/>
      <c r="R53" s="7" t="str">
        <f>Tab_Data_Flows[[#This Row],[Flow_ID]]&amp;"_"&amp;"material_"&amp;Tab_Data_Flows[[#This Row],[Flow_Data_Year]]</f>
        <v>F_00_02_material_2001</v>
      </c>
      <c r="S53" s="14">
        <f>IF(O53="no",H53,H53*P53)</f>
        <v>113256</v>
      </c>
      <c r="T53" s="8" t="s">
        <v>198</v>
      </c>
      <c r="U53" s="143">
        <f>INDEX(Tab_Def_Flows[[Flow_ID]:[CC_DM_source]],MATCH(Tab_Data_Flows[[#This Row],[Flow_Name]],Tab_Def_Flows[Flow_Name],0),11)</f>
        <v>0</v>
      </c>
      <c r="V53" s="7" t="str">
        <f>Tab_Data_Flows[[#This Row],[Flow_ID]]&amp;"_"&amp;"WC_"&amp;Tab_Data_Flows[[#This Row],[Flow_Data_Year]]</f>
        <v>F_00_02_WC_2001</v>
      </c>
      <c r="W53" s="7">
        <f>IF(D53="Yes",S53*Tab_Data_Flows[[#This Row],[WC_'[%']]],"N.A.")</f>
        <v>0</v>
      </c>
      <c r="X53" s="7" t="str">
        <f>Tab_Data_Flows[[#This Row],[UoM_Flow_Py]]</f>
        <v>Mg</v>
      </c>
      <c r="Y53" s="143">
        <f>INDEX(Tab_Def_Flows[[Flow_ID]:[CC_DM_source]],MATCH(Tab_Data_Flows[[#This Row],[Flow_Name]],Tab_Def_Flows[Flow_Name],0),14)</f>
        <v>1</v>
      </c>
      <c r="Z53" s="7" t="str">
        <f>Tab_Data_Flows[[#This Row],[Flow_ID]]&amp;"_"&amp;"DM_"&amp;Tab_Data_Flows[[#This Row],[Flow_Data_Year]]</f>
        <v>F_00_02_DM_2001</v>
      </c>
      <c r="AA53" s="7">
        <f>IF(E53="Yes",Y53*Tab_Data_Flows[[#This Row],[Flow_Material]],"N.A.")</f>
        <v>113256</v>
      </c>
      <c r="AB53" s="7" t="str">
        <f>Tab_Data_Flows[[#This Row],[UoM_Flow_Py]]</f>
        <v>Mg</v>
      </c>
      <c r="AC53" s="143">
        <f>INDEX(Tab_Def_Flows[[Flow_ID]:[CC_DM_source]],MATCH(Tab_Data_Flows[[#This Row],[Flow_Name]],Tab_Def_Flows[Flow_Name],0),17)</f>
        <v>1</v>
      </c>
      <c r="AD53" s="7" t="str">
        <f>Tab_Data_Flows[[#This Row],[Flow_ID]]&amp;"_"&amp;"CC_"&amp;Tab_Data_Flows[[#This Row],[Flow_Data_Year]]</f>
        <v>F_00_02_CC_2001</v>
      </c>
      <c r="AE53" s="7">
        <f>IF(F53="Yes",AC53*Tab_Data_Flows[[#This Row],[Flow_Material]]*Tab_Data_Flows[[#This Row],[DM_'[%']]],"N.A.")</f>
        <v>113256</v>
      </c>
      <c r="AF53" s="7" t="str">
        <f>Tab_Data_Flows[[#This Row],[UoM_Flow_Py]]</f>
        <v>Mg</v>
      </c>
      <c r="AG53"/>
    </row>
    <row r="54" spans="1:33" x14ac:dyDescent="0.25">
      <c r="A54" s="9">
        <f t="shared" si="0"/>
        <v>53</v>
      </c>
      <c r="B54" s="7" t="str">
        <f>_xlfn.XLOOKUP(C54,Tab_Def_Flows[Flow_Name],Tab_Def_Flows[Flow_ID],,0,)</f>
        <v>F_00_02</v>
      </c>
      <c r="C54" s="142" t="s">
        <v>588</v>
      </c>
      <c r="D54" s="10" t="str">
        <f>_xlfn.XLOOKUP(C54,Tab_Def_Flows[Flow_Name],Tab_Def_Flows[WC?],,0,)</f>
        <v>Yes</v>
      </c>
      <c r="E54" s="10" t="str">
        <f>_xlfn.XLOOKUP(C54,Tab_Def_Flows[Flow_Name],Tab_Def_Flows[DM?],,0,)</f>
        <v>Yes</v>
      </c>
      <c r="F54" s="10" t="str">
        <f>_xlfn.XLOOKUP(C54,Tab_Def_Flows[Flow_Name],Tab_Def_Flows[CC?],,0,)</f>
        <v>Yes</v>
      </c>
      <c r="G54" s="8">
        <v>2002</v>
      </c>
      <c r="H54" s="23">
        <v>120541.47368421052</v>
      </c>
      <c r="I54" s="8" t="s">
        <v>198</v>
      </c>
      <c r="J54" s="15"/>
      <c r="K54" s="15"/>
      <c r="L54" s="15"/>
      <c r="M54" s="15"/>
      <c r="N54" s="15"/>
      <c r="O54" s="8" t="s">
        <v>6</v>
      </c>
      <c r="P54" s="8"/>
      <c r="Q54" s="8"/>
      <c r="R54" s="7" t="str">
        <f>Tab_Data_Flows[[#This Row],[Flow_ID]]&amp;"_"&amp;"material_"&amp;Tab_Data_Flows[[#This Row],[Flow_Data_Year]]</f>
        <v>F_00_02_material_2002</v>
      </c>
      <c r="S54" s="14">
        <f>IF(O54="no",H54,H54*P54)</f>
        <v>120541.47368421052</v>
      </c>
      <c r="T54" s="8" t="s">
        <v>198</v>
      </c>
      <c r="U54" s="143">
        <f>INDEX(Tab_Def_Flows[[Flow_ID]:[CC_DM_source]],MATCH(Tab_Data_Flows[[#This Row],[Flow_Name]],Tab_Def_Flows[Flow_Name],0),11)</f>
        <v>0</v>
      </c>
      <c r="V54" s="7" t="str">
        <f>Tab_Data_Flows[[#This Row],[Flow_ID]]&amp;"_"&amp;"WC_"&amp;Tab_Data_Flows[[#This Row],[Flow_Data_Year]]</f>
        <v>F_00_02_WC_2002</v>
      </c>
      <c r="W54" s="7">
        <f>IF(D54="Yes",S54*Tab_Data_Flows[[#This Row],[WC_'[%']]],"N.A.")</f>
        <v>0</v>
      </c>
      <c r="X54" s="7" t="str">
        <f>Tab_Data_Flows[[#This Row],[UoM_Flow_Py]]</f>
        <v>Mg</v>
      </c>
      <c r="Y54" s="143">
        <f>INDEX(Tab_Def_Flows[[Flow_ID]:[CC_DM_source]],MATCH(Tab_Data_Flows[[#This Row],[Flow_Name]],Tab_Def_Flows[Flow_Name],0),14)</f>
        <v>1</v>
      </c>
      <c r="Z54" s="7" t="str">
        <f>Tab_Data_Flows[[#This Row],[Flow_ID]]&amp;"_"&amp;"DM_"&amp;Tab_Data_Flows[[#This Row],[Flow_Data_Year]]</f>
        <v>F_00_02_DM_2002</v>
      </c>
      <c r="AA54" s="7">
        <f>IF(E54="Yes",Y54*Tab_Data_Flows[[#This Row],[Flow_Material]],"N.A.")</f>
        <v>120541.47368421052</v>
      </c>
      <c r="AB54" s="7" t="str">
        <f>Tab_Data_Flows[[#This Row],[UoM_Flow_Py]]</f>
        <v>Mg</v>
      </c>
      <c r="AC54" s="143">
        <f>INDEX(Tab_Def_Flows[[Flow_ID]:[CC_DM_source]],MATCH(Tab_Data_Flows[[#This Row],[Flow_Name]],Tab_Def_Flows[Flow_Name],0),17)</f>
        <v>1</v>
      </c>
      <c r="AD54" s="7" t="str">
        <f>Tab_Data_Flows[[#This Row],[Flow_ID]]&amp;"_"&amp;"CC_"&amp;Tab_Data_Flows[[#This Row],[Flow_Data_Year]]</f>
        <v>F_00_02_CC_2002</v>
      </c>
      <c r="AE54" s="7">
        <f>IF(F54="Yes",AC54*Tab_Data_Flows[[#This Row],[Flow_Material]]*Tab_Data_Flows[[#This Row],[DM_'[%']]],"N.A.")</f>
        <v>120541.47368421052</v>
      </c>
      <c r="AF54" s="7" t="str">
        <f>Tab_Data_Flows[[#This Row],[UoM_Flow_Py]]</f>
        <v>Mg</v>
      </c>
      <c r="AG54"/>
    </row>
    <row r="55" spans="1:33" x14ac:dyDescent="0.25">
      <c r="A55" s="9">
        <f t="shared" si="0"/>
        <v>54</v>
      </c>
      <c r="B55" s="7" t="str">
        <f>_xlfn.XLOOKUP(C55,Tab_Def_Flows[Flow_Name],Tab_Def_Flows[Flow_ID],,0,)</f>
        <v>F_00_02</v>
      </c>
      <c r="C55" s="142" t="s">
        <v>588</v>
      </c>
      <c r="D55" s="10" t="str">
        <f>_xlfn.XLOOKUP(C55,Tab_Def_Flows[Flow_Name],Tab_Def_Flows[WC?],,0,)</f>
        <v>Yes</v>
      </c>
      <c r="E55" s="10" t="str">
        <f>_xlfn.XLOOKUP(C55,Tab_Def_Flows[Flow_Name],Tab_Def_Flows[DM?],,0,)</f>
        <v>Yes</v>
      </c>
      <c r="F55" s="10" t="str">
        <f>_xlfn.XLOOKUP(C55,Tab_Def_Flows[Flow_Name],Tab_Def_Flows[CC?],,0,)</f>
        <v>Yes</v>
      </c>
      <c r="G55" s="8">
        <v>2003</v>
      </c>
      <c r="H55" s="23">
        <v>122347.78947368421</v>
      </c>
      <c r="I55" s="8" t="s">
        <v>198</v>
      </c>
      <c r="J55" s="15"/>
      <c r="K55" s="15"/>
      <c r="L55" s="15"/>
      <c r="M55" s="15"/>
      <c r="N55" s="15"/>
      <c r="O55" s="8" t="s">
        <v>6</v>
      </c>
      <c r="P55" s="8"/>
      <c r="Q55" s="8"/>
      <c r="R55" s="7" t="str">
        <f>Tab_Data_Flows[[#This Row],[Flow_ID]]&amp;"_"&amp;"material_"&amp;Tab_Data_Flows[[#This Row],[Flow_Data_Year]]</f>
        <v>F_00_02_material_2003</v>
      </c>
      <c r="S55" s="14">
        <f>IF(O55="no",H55,H55*P55)</f>
        <v>122347.78947368421</v>
      </c>
      <c r="T55" s="8" t="s">
        <v>198</v>
      </c>
      <c r="U55" s="143">
        <f>INDEX(Tab_Def_Flows[[Flow_ID]:[CC_DM_source]],MATCH(Tab_Data_Flows[[#This Row],[Flow_Name]],Tab_Def_Flows[Flow_Name],0),11)</f>
        <v>0</v>
      </c>
      <c r="V55" s="7" t="str">
        <f>Tab_Data_Flows[[#This Row],[Flow_ID]]&amp;"_"&amp;"WC_"&amp;Tab_Data_Flows[[#This Row],[Flow_Data_Year]]</f>
        <v>F_00_02_WC_2003</v>
      </c>
      <c r="W55" s="7">
        <f>IF(D55="Yes",S55*Tab_Data_Flows[[#This Row],[WC_'[%']]],"N.A.")</f>
        <v>0</v>
      </c>
      <c r="X55" s="7" t="str">
        <f>Tab_Data_Flows[[#This Row],[UoM_Flow_Py]]</f>
        <v>Mg</v>
      </c>
      <c r="Y55" s="143">
        <f>INDEX(Tab_Def_Flows[[Flow_ID]:[CC_DM_source]],MATCH(Tab_Data_Flows[[#This Row],[Flow_Name]],Tab_Def_Flows[Flow_Name],0),14)</f>
        <v>1</v>
      </c>
      <c r="Z55" s="7" t="str">
        <f>Tab_Data_Flows[[#This Row],[Flow_ID]]&amp;"_"&amp;"DM_"&amp;Tab_Data_Flows[[#This Row],[Flow_Data_Year]]</f>
        <v>F_00_02_DM_2003</v>
      </c>
      <c r="AA55" s="7">
        <f>IF(E55="Yes",Y55*Tab_Data_Flows[[#This Row],[Flow_Material]],"N.A.")</f>
        <v>122347.78947368421</v>
      </c>
      <c r="AB55" s="7" t="str">
        <f>Tab_Data_Flows[[#This Row],[UoM_Flow_Py]]</f>
        <v>Mg</v>
      </c>
      <c r="AC55" s="143">
        <f>INDEX(Tab_Def_Flows[[Flow_ID]:[CC_DM_source]],MATCH(Tab_Data_Flows[[#This Row],[Flow_Name]],Tab_Def_Flows[Flow_Name],0),17)</f>
        <v>1</v>
      </c>
      <c r="AD55" s="7" t="str">
        <f>Tab_Data_Flows[[#This Row],[Flow_ID]]&amp;"_"&amp;"CC_"&amp;Tab_Data_Flows[[#This Row],[Flow_Data_Year]]</f>
        <v>F_00_02_CC_2003</v>
      </c>
      <c r="AE55" s="7">
        <f>IF(F55="Yes",AC55*Tab_Data_Flows[[#This Row],[Flow_Material]]*Tab_Data_Flows[[#This Row],[DM_'[%']]],"N.A.")</f>
        <v>122347.78947368421</v>
      </c>
      <c r="AF55" s="7" t="str">
        <f>Tab_Data_Flows[[#This Row],[UoM_Flow_Py]]</f>
        <v>Mg</v>
      </c>
      <c r="AG55"/>
    </row>
    <row r="56" spans="1:33" x14ac:dyDescent="0.25">
      <c r="A56" s="9">
        <f t="shared" si="0"/>
        <v>55</v>
      </c>
      <c r="B56" s="7" t="str">
        <f>_xlfn.XLOOKUP(C56,Tab_Def_Flows[Flow_Name],Tab_Def_Flows[Flow_ID],,0,)</f>
        <v>F_00_02</v>
      </c>
      <c r="C56" s="142" t="s">
        <v>588</v>
      </c>
      <c r="D56" s="10" t="str">
        <f>_xlfn.XLOOKUP(C56,Tab_Def_Flows[Flow_Name],Tab_Def_Flows[WC?],,0,)</f>
        <v>Yes</v>
      </c>
      <c r="E56" s="10" t="str">
        <f>_xlfn.XLOOKUP(C56,Tab_Def_Flows[Flow_Name],Tab_Def_Flows[DM?],,0,)</f>
        <v>Yes</v>
      </c>
      <c r="F56" s="10" t="str">
        <f>_xlfn.XLOOKUP(C56,Tab_Def_Flows[Flow_Name],Tab_Def_Flows[CC?],,0,)</f>
        <v>Yes</v>
      </c>
      <c r="G56" s="8">
        <v>2004</v>
      </c>
      <c r="H56" s="23">
        <v>134711.01754385963</v>
      </c>
      <c r="I56" s="8" t="s">
        <v>198</v>
      </c>
      <c r="J56" s="15"/>
      <c r="K56" s="15"/>
      <c r="L56" s="15"/>
      <c r="M56" s="15"/>
      <c r="N56" s="15"/>
      <c r="O56" s="8" t="s">
        <v>6</v>
      </c>
      <c r="P56" s="8"/>
      <c r="Q56" s="8"/>
      <c r="R56" s="7" t="str">
        <f>Tab_Data_Flows[[#This Row],[Flow_ID]]&amp;"_"&amp;"material_"&amp;Tab_Data_Flows[[#This Row],[Flow_Data_Year]]</f>
        <v>F_00_02_material_2004</v>
      </c>
      <c r="S56" s="14">
        <f>IF(O56="no",H56,H56*P56)</f>
        <v>134711.01754385963</v>
      </c>
      <c r="T56" s="8" t="s">
        <v>198</v>
      </c>
      <c r="U56" s="143">
        <f>INDEX(Tab_Def_Flows[[Flow_ID]:[CC_DM_source]],MATCH(Tab_Data_Flows[[#This Row],[Flow_Name]],Tab_Def_Flows[Flow_Name],0),11)</f>
        <v>0</v>
      </c>
      <c r="V56" s="7" t="str">
        <f>Tab_Data_Flows[[#This Row],[Flow_ID]]&amp;"_"&amp;"WC_"&amp;Tab_Data_Flows[[#This Row],[Flow_Data_Year]]</f>
        <v>F_00_02_WC_2004</v>
      </c>
      <c r="W56" s="7">
        <f>IF(D56="Yes",S56*Tab_Data_Flows[[#This Row],[WC_'[%']]],"N.A.")</f>
        <v>0</v>
      </c>
      <c r="X56" s="7" t="str">
        <f>Tab_Data_Flows[[#This Row],[UoM_Flow_Py]]</f>
        <v>Mg</v>
      </c>
      <c r="Y56" s="143">
        <f>INDEX(Tab_Def_Flows[[Flow_ID]:[CC_DM_source]],MATCH(Tab_Data_Flows[[#This Row],[Flow_Name]],Tab_Def_Flows[Flow_Name],0),14)</f>
        <v>1</v>
      </c>
      <c r="Z56" s="7" t="str">
        <f>Tab_Data_Flows[[#This Row],[Flow_ID]]&amp;"_"&amp;"DM_"&amp;Tab_Data_Flows[[#This Row],[Flow_Data_Year]]</f>
        <v>F_00_02_DM_2004</v>
      </c>
      <c r="AA56" s="7">
        <f>IF(E56="Yes",Y56*Tab_Data_Flows[[#This Row],[Flow_Material]],"N.A.")</f>
        <v>134711.01754385963</v>
      </c>
      <c r="AB56" s="7" t="str">
        <f>Tab_Data_Flows[[#This Row],[UoM_Flow_Py]]</f>
        <v>Mg</v>
      </c>
      <c r="AC56" s="143">
        <f>INDEX(Tab_Def_Flows[[Flow_ID]:[CC_DM_source]],MATCH(Tab_Data_Flows[[#This Row],[Flow_Name]],Tab_Def_Flows[Flow_Name],0),17)</f>
        <v>1</v>
      </c>
      <c r="AD56" s="7" t="str">
        <f>Tab_Data_Flows[[#This Row],[Flow_ID]]&amp;"_"&amp;"CC_"&amp;Tab_Data_Flows[[#This Row],[Flow_Data_Year]]</f>
        <v>F_00_02_CC_2004</v>
      </c>
      <c r="AE56" s="7">
        <f>IF(F56="Yes",AC56*Tab_Data_Flows[[#This Row],[Flow_Material]]*Tab_Data_Flows[[#This Row],[DM_'[%']]],"N.A.")</f>
        <v>134711.01754385963</v>
      </c>
      <c r="AF56" s="7" t="str">
        <f>Tab_Data_Flows[[#This Row],[UoM_Flow_Py]]</f>
        <v>Mg</v>
      </c>
      <c r="AG56"/>
    </row>
    <row r="57" spans="1:33" x14ac:dyDescent="0.25">
      <c r="A57" s="9">
        <f t="shared" si="0"/>
        <v>56</v>
      </c>
      <c r="B57" s="7" t="str">
        <f>_xlfn.XLOOKUP(C57,Tab_Def_Flows[Flow_Name],Tab_Def_Flows[Flow_ID],,0,)</f>
        <v>F_00_02</v>
      </c>
      <c r="C57" s="142" t="s">
        <v>588</v>
      </c>
      <c r="D57" s="10" t="str">
        <f>_xlfn.XLOOKUP(C57,Tab_Def_Flows[Flow_Name],Tab_Def_Flows[WC?],,0,)</f>
        <v>Yes</v>
      </c>
      <c r="E57" s="10" t="str">
        <f>_xlfn.XLOOKUP(C57,Tab_Def_Flows[Flow_Name],Tab_Def_Flows[DM?],,0,)</f>
        <v>Yes</v>
      </c>
      <c r="F57" s="10" t="str">
        <f>_xlfn.XLOOKUP(C57,Tab_Def_Flows[Flow_Name],Tab_Def_Flows[CC?],,0,)</f>
        <v>Yes</v>
      </c>
      <c r="G57" s="8">
        <v>2005</v>
      </c>
      <c r="H57" s="23">
        <v>115463.71929824563</v>
      </c>
      <c r="I57" s="8" t="s">
        <v>198</v>
      </c>
      <c r="J57" s="15"/>
      <c r="K57" s="15"/>
      <c r="L57" s="15"/>
      <c r="M57" s="15"/>
      <c r="N57" s="15"/>
      <c r="O57" s="8" t="s">
        <v>6</v>
      </c>
      <c r="P57" s="8"/>
      <c r="Q57" s="8"/>
      <c r="R57" s="7" t="str">
        <f>Tab_Data_Flows[[#This Row],[Flow_ID]]&amp;"_"&amp;"material_"&amp;Tab_Data_Flows[[#This Row],[Flow_Data_Year]]</f>
        <v>F_00_02_material_2005</v>
      </c>
      <c r="S57" s="14">
        <f>IF(O57="no",H57,H57*P57)</f>
        <v>115463.71929824563</v>
      </c>
      <c r="T57" s="8" t="s">
        <v>198</v>
      </c>
      <c r="U57" s="143">
        <f>INDEX(Tab_Def_Flows[[Flow_ID]:[CC_DM_source]],MATCH(Tab_Data_Flows[[#This Row],[Flow_Name]],Tab_Def_Flows[Flow_Name],0),11)</f>
        <v>0</v>
      </c>
      <c r="V57" s="7" t="str">
        <f>Tab_Data_Flows[[#This Row],[Flow_ID]]&amp;"_"&amp;"WC_"&amp;Tab_Data_Flows[[#This Row],[Flow_Data_Year]]</f>
        <v>F_00_02_WC_2005</v>
      </c>
      <c r="W57" s="7">
        <f>IF(D57="Yes",S57*Tab_Data_Flows[[#This Row],[WC_'[%']]],"N.A.")</f>
        <v>0</v>
      </c>
      <c r="X57" s="7" t="str">
        <f>Tab_Data_Flows[[#This Row],[UoM_Flow_Py]]</f>
        <v>Mg</v>
      </c>
      <c r="Y57" s="143">
        <f>INDEX(Tab_Def_Flows[[Flow_ID]:[CC_DM_source]],MATCH(Tab_Data_Flows[[#This Row],[Flow_Name]],Tab_Def_Flows[Flow_Name],0),14)</f>
        <v>1</v>
      </c>
      <c r="Z57" s="7" t="str">
        <f>Tab_Data_Flows[[#This Row],[Flow_ID]]&amp;"_"&amp;"DM_"&amp;Tab_Data_Flows[[#This Row],[Flow_Data_Year]]</f>
        <v>F_00_02_DM_2005</v>
      </c>
      <c r="AA57" s="7">
        <f>IF(E57="Yes",Y57*Tab_Data_Flows[[#This Row],[Flow_Material]],"N.A.")</f>
        <v>115463.71929824563</v>
      </c>
      <c r="AB57" s="7" t="str">
        <f>Tab_Data_Flows[[#This Row],[UoM_Flow_Py]]</f>
        <v>Mg</v>
      </c>
      <c r="AC57" s="143">
        <f>INDEX(Tab_Def_Flows[[Flow_ID]:[CC_DM_source]],MATCH(Tab_Data_Flows[[#This Row],[Flow_Name]],Tab_Def_Flows[Flow_Name],0),17)</f>
        <v>1</v>
      </c>
      <c r="AD57" s="7" t="str">
        <f>Tab_Data_Flows[[#This Row],[Flow_ID]]&amp;"_"&amp;"CC_"&amp;Tab_Data_Flows[[#This Row],[Flow_Data_Year]]</f>
        <v>F_00_02_CC_2005</v>
      </c>
      <c r="AE57" s="7">
        <f>IF(F57="Yes",AC57*Tab_Data_Flows[[#This Row],[Flow_Material]]*Tab_Data_Flows[[#This Row],[DM_'[%']]],"N.A.")</f>
        <v>115463.71929824563</v>
      </c>
      <c r="AF57" s="7" t="str">
        <f>Tab_Data_Flows[[#This Row],[UoM_Flow_Py]]</f>
        <v>Mg</v>
      </c>
      <c r="AG57"/>
    </row>
    <row r="58" spans="1:33" x14ac:dyDescent="0.25">
      <c r="A58" s="9">
        <f t="shared" si="0"/>
        <v>57</v>
      </c>
      <c r="B58" s="7" t="str">
        <f>_xlfn.XLOOKUP(C58,Tab_Def_Flows[Flow_Name],Tab_Def_Flows[Flow_ID],,0,)</f>
        <v>F_00_02</v>
      </c>
      <c r="C58" s="142" t="s">
        <v>588</v>
      </c>
      <c r="D58" s="10" t="str">
        <f>_xlfn.XLOOKUP(C58,Tab_Def_Flows[Flow_Name],Tab_Def_Flows[WC?],,0,)</f>
        <v>Yes</v>
      </c>
      <c r="E58" s="10" t="str">
        <f>_xlfn.XLOOKUP(C58,Tab_Def_Flows[Flow_Name],Tab_Def_Flows[DM?],,0,)</f>
        <v>Yes</v>
      </c>
      <c r="F58" s="10" t="str">
        <f>_xlfn.XLOOKUP(C58,Tab_Def_Flows[Flow_Name],Tab_Def_Flows[CC?],,0,)</f>
        <v>Yes</v>
      </c>
      <c r="G58" s="8">
        <v>2006</v>
      </c>
      <c r="H58" s="23">
        <v>158654.73684210531</v>
      </c>
      <c r="I58" s="8" t="s">
        <v>198</v>
      </c>
      <c r="J58" s="15"/>
      <c r="K58" s="15"/>
      <c r="L58" s="15"/>
      <c r="M58" s="15"/>
      <c r="N58" s="15"/>
      <c r="O58" s="8" t="s">
        <v>6</v>
      </c>
      <c r="P58" s="8"/>
      <c r="Q58" s="8"/>
      <c r="R58" s="7" t="str">
        <f>Tab_Data_Flows[[#This Row],[Flow_ID]]&amp;"_"&amp;"material_"&amp;Tab_Data_Flows[[#This Row],[Flow_Data_Year]]</f>
        <v>F_00_02_material_2006</v>
      </c>
      <c r="S58" s="14">
        <f>IF(O58="no",H58,H58*P58)</f>
        <v>158654.73684210531</v>
      </c>
      <c r="T58" s="8" t="s">
        <v>198</v>
      </c>
      <c r="U58" s="143">
        <f>INDEX(Tab_Def_Flows[[Flow_ID]:[CC_DM_source]],MATCH(Tab_Data_Flows[[#This Row],[Flow_Name]],Tab_Def_Flows[Flow_Name],0),11)</f>
        <v>0</v>
      </c>
      <c r="V58" s="7" t="str">
        <f>Tab_Data_Flows[[#This Row],[Flow_ID]]&amp;"_"&amp;"WC_"&amp;Tab_Data_Flows[[#This Row],[Flow_Data_Year]]</f>
        <v>F_00_02_WC_2006</v>
      </c>
      <c r="W58" s="7">
        <f>IF(D58="Yes",S58*Tab_Data_Flows[[#This Row],[WC_'[%']]],"N.A.")</f>
        <v>0</v>
      </c>
      <c r="X58" s="7" t="str">
        <f>Tab_Data_Flows[[#This Row],[UoM_Flow_Py]]</f>
        <v>Mg</v>
      </c>
      <c r="Y58" s="143">
        <f>INDEX(Tab_Def_Flows[[Flow_ID]:[CC_DM_source]],MATCH(Tab_Data_Flows[[#This Row],[Flow_Name]],Tab_Def_Flows[Flow_Name],0),14)</f>
        <v>1</v>
      </c>
      <c r="Z58" s="7" t="str">
        <f>Tab_Data_Flows[[#This Row],[Flow_ID]]&amp;"_"&amp;"DM_"&amp;Tab_Data_Flows[[#This Row],[Flow_Data_Year]]</f>
        <v>F_00_02_DM_2006</v>
      </c>
      <c r="AA58" s="7">
        <f>IF(E58="Yes",Y58*Tab_Data_Flows[[#This Row],[Flow_Material]],"N.A.")</f>
        <v>158654.73684210531</v>
      </c>
      <c r="AB58" s="7" t="str">
        <f>Tab_Data_Flows[[#This Row],[UoM_Flow_Py]]</f>
        <v>Mg</v>
      </c>
      <c r="AC58" s="143">
        <f>INDEX(Tab_Def_Flows[[Flow_ID]:[CC_DM_source]],MATCH(Tab_Data_Flows[[#This Row],[Flow_Name]],Tab_Def_Flows[Flow_Name],0),17)</f>
        <v>1</v>
      </c>
      <c r="AD58" s="7" t="str">
        <f>Tab_Data_Flows[[#This Row],[Flow_ID]]&amp;"_"&amp;"CC_"&amp;Tab_Data_Flows[[#This Row],[Flow_Data_Year]]</f>
        <v>F_00_02_CC_2006</v>
      </c>
      <c r="AE58" s="7">
        <f>IF(F58="Yes",AC58*Tab_Data_Flows[[#This Row],[Flow_Material]]*Tab_Data_Flows[[#This Row],[DM_'[%']]],"N.A.")</f>
        <v>158654.73684210531</v>
      </c>
      <c r="AF58" s="7" t="str">
        <f>Tab_Data_Flows[[#This Row],[UoM_Flow_Py]]</f>
        <v>Mg</v>
      </c>
      <c r="AG58"/>
    </row>
    <row r="59" spans="1:33" x14ac:dyDescent="0.25">
      <c r="A59" s="9">
        <f t="shared" si="0"/>
        <v>58</v>
      </c>
      <c r="B59" s="7" t="str">
        <f>_xlfn.XLOOKUP(C59,Tab_Def_Flows[Flow_Name],Tab_Def_Flows[Flow_ID],,0,)</f>
        <v>F_00_02</v>
      </c>
      <c r="C59" s="142" t="s">
        <v>588</v>
      </c>
      <c r="D59" s="10" t="str">
        <f>_xlfn.XLOOKUP(C59,Tab_Def_Flows[Flow_Name],Tab_Def_Flows[WC?],,0,)</f>
        <v>Yes</v>
      </c>
      <c r="E59" s="10" t="str">
        <f>_xlfn.XLOOKUP(C59,Tab_Def_Flows[Flow_Name],Tab_Def_Flows[DM?],,0,)</f>
        <v>Yes</v>
      </c>
      <c r="F59" s="10" t="str">
        <f>_xlfn.XLOOKUP(C59,Tab_Def_Flows[Flow_Name],Tab_Def_Flows[CC?],,0,)</f>
        <v>Yes</v>
      </c>
      <c r="G59" s="8">
        <v>2007</v>
      </c>
      <c r="H59" s="23">
        <v>196828.21052631576</v>
      </c>
      <c r="I59" s="8" t="s">
        <v>198</v>
      </c>
      <c r="J59" s="15"/>
      <c r="K59" s="15"/>
      <c r="L59" s="15"/>
      <c r="M59" s="15"/>
      <c r="N59" s="15"/>
      <c r="O59" s="8" t="s">
        <v>6</v>
      </c>
      <c r="P59" s="8"/>
      <c r="Q59" s="8"/>
      <c r="R59" s="7" t="str">
        <f>Tab_Data_Flows[[#This Row],[Flow_ID]]&amp;"_"&amp;"material_"&amp;Tab_Data_Flows[[#This Row],[Flow_Data_Year]]</f>
        <v>F_00_02_material_2007</v>
      </c>
      <c r="S59" s="14">
        <f>IF(O59="no",H59,H59*P59)</f>
        <v>196828.21052631576</v>
      </c>
      <c r="T59" s="8" t="s">
        <v>198</v>
      </c>
      <c r="U59" s="143">
        <f>INDEX(Tab_Def_Flows[[Flow_ID]:[CC_DM_source]],MATCH(Tab_Data_Flows[[#This Row],[Flow_Name]],Tab_Def_Flows[Flow_Name],0),11)</f>
        <v>0</v>
      </c>
      <c r="V59" s="7" t="str">
        <f>Tab_Data_Flows[[#This Row],[Flow_ID]]&amp;"_"&amp;"WC_"&amp;Tab_Data_Flows[[#This Row],[Flow_Data_Year]]</f>
        <v>F_00_02_WC_2007</v>
      </c>
      <c r="W59" s="7">
        <f>IF(D59="Yes",S59*Tab_Data_Flows[[#This Row],[WC_'[%']]],"N.A.")</f>
        <v>0</v>
      </c>
      <c r="X59" s="7" t="str">
        <f>Tab_Data_Flows[[#This Row],[UoM_Flow_Py]]</f>
        <v>Mg</v>
      </c>
      <c r="Y59" s="143">
        <f>INDEX(Tab_Def_Flows[[Flow_ID]:[CC_DM_source]],MATCH(Tab_Data_Flows[[#This Row],[Flow_Name]],Tab_Def_Flows[Flow_Name],0),14)</f>
        <v>1</v>
      </c>
      <c r="Z59" s="7" t="str">
        <f>Tab_Data_Flows[[#This Row],[Flow_ID]]&amp;"_"&amp;"DM_"&amp;Tab_Data_Flows[[#This Row],[Flow_Data_Year]]</f>
        <v>F_00_02_DM_2007</v>
      </c>
      <c r="AA59" s="7">
        <f>IF(E59="Yes",Y59*Tab_Data_Flows[[#This Row],[Flow_Material]],"N.A.")</f>
        <v>196828.21052631576</v>
      </c>
      <c r="AB59" s="7" t="str">
        <f>Tab_Data_Flows[[#This Row],[UoM_Flow_Py]]</f>
        <v>Mg</v>
      </c>
      <c r="AC59" s="143">
        <f>INDEX(Tab_Def_Flows[[Flow_ID]:[CC_DM_source]],MATCH(Tab_Data_Flows[[#This Row],[Flow_Name]],Tab_Def_Flows[Flow_Name],0),17)</f>
        <v>1</v>
      </c>
      <c r="AD59" s="7" t="str">
        <f>Tab_Data_Flows[[#This Row],[Flow_ID]]&amp;"_"&amp;"CC_"&amp;Tab_Data_Flows[[#This Row],[Flow_Data_Year]]</f>
        <v>F_00_02_CC_2007</v>
      </c>
      <c r="AE59" s="7">
        <f>IF(F59="Yes",AC59*Tab_Data_Flows[[#This Row],[Flow_Material]]*Tab_Data_Flows[[#This Row],[DM_'[%']]],"N.A.")</f>
        <v>196828.21052631576</v>
      </c>
      <c r="AF59" s="7" t="str">
        <f>Tab_Data_Flows[[#This Row],[UoM_Flow_Py]]</f>
        <v>Mg</v>
      </c>
      <c r="AG59"/>
    </row>
    <row r="60" spans="1:33" x14ac:dyDescent="0.25">
      <c r="A60" s="9">
        <f t="shared" si="0"/>
        <v>59</v>
      </c>
      <c r="B60" s="7" t="str">
        <f>_xlfn.XLOOKUP(C60,Tab_Def_Flows[Flow_Name],Tab_Def_Flows[Flow_ID],,0,)</f>
        <v>F_00_02</v>
      </c>
      <c r="C60" s="142" t="s">
        <v>588</v>
      </c>
      <c r="D60" s="10" t="str">
        <f>_xlfn.XLOOKUP(C60,Tab_Def_Flows[Flow_Name],Tab_Def_Flows[WC?],,0,)</f>
        <v>Yes</v>
      </c>
      <c r="E60" s="10" t="str">
        <f>_xlfn.XLOOKUP(C60,Tab_Def_Flows[Flow_Name],Tab_Def_Flows[DM?],,0,)</f>
        <v>Yes</v>
      </c>
      <c r="F60" s="10" t="str">
        <f>_xlfn.XLOOKUP(C60,Tab_Def_Flows[Flow_Name],Tab_Def_Flows[CC?],,0,)</f>
        <v>Yes</v>
      </c>
      <c r="G60" s="8">
        <v>2008</v>
      </c>
      <c r="H60" s="23">
        <v>152272.42105263157</v>
      </c>
      <c r="I60" s="8" t="s">
        <v>198</v>
      </c>
      <c r="J60" s="15"/>
      <c r="K60" s="15"/>
      <c r="L60" s="15"/>
      <c r="M60" s="15"/>
      <c r="N60" s="15"/>
      <c r="O60" s="8" t="s">
        <v>6</v>
      </c>
      <c r="P60" s="16"/>
      <c r="Q60" s="8"/>
      <c r="R60" s="7" t="str">
        <f>Tab_Data_Flows[[#This Row],[Flow_ID]]&amp;"_"&amp;"material_"&amp;Tab_Data_Flows[[#This Row],[Flow_Data_Year]]</f>
        <v>F_00_02_material_2008</v>
      </c>
      <c r="S60" s="14">
        <f>IF(O60="no",H60,H60*P60)</f>
        <v>152272.42105263157</v>
      </c>
      <c r="T60" s="8" t="s">
        <v>198</v>
      </c>
      <c r="U60" s="143">
        <f>INDEX(Tab_Def_Flows[[Flow_ID]:[CC_DM_source]],MATCH(Tab_Data_Flows[[#This Row],[Flow_Name]],Tab_Def_Flows[Flow_Name],0),11)</f>
        <v>0</v>
      </c>
      <c r="V60" s="7" t="str">
        <f>Tab_Data_Flows[[#This Row],[Flow_ID]]&amp;"_"&amp;"WC_"&amp;Tab_Data_Flows[[#This Row],[Flow_Data_Year]]</f>
        <v>F_00_02_WC_2008</v>
      </c>
      <c r="W60" s="7">
        <f>IF(D60="Yes",S60*Tab_Data_Flows[[#This Row],[WC_'[%']]],"N.A.")</f>
        <v>0</v>
      </c>
      <c r="X60" s="7" t="str">
        <f>Tab_Data_Flows[[#This Row],[UoM_Flow_Py]]</f>
        <v>Mg</v>
      </c>
      <c r="Y60" s="143">
        <f>INDEX(Tab_Def_Flows[[Flow_ID]:[CC_DM_source]],MATCH(Tab_Data_Flows[[#This Row],[Flow_Name]],Tab_Def_Flows[Flow_Name],0),14)</f>
        <v>1</v>
      </c>
      <c r="Z60" s="7" t="str">
        <f>Tab_Data_Flows[[#This Row],[Flow_ID]]&amp;"_"&amp;"DM_"&amp;Tab_Data_Flows[[#This Row],[Flow_Data_Year]]</f>
        <v>F_00_02_DM_2008</v>
      </c>
      <c r="AA60" s="7">
        <f>IF(E60="Yes",Y60*Tab_Data_Flows[[#This Row],[Flow_Material]],"N.A.")</f>
        <v>152272.42105263157</v>
      </c>
      <c r="AB60" s="7" t="str">
        <f>Tab_Data_Flows[[#This Row],[UoM_Flow_Py]]</f>
        <v>Mg</v>
      </c>
      <c r="AC60" s="143">
        <f>INDEX(Tab_Def_Flows[[Flow_ID]:[CC_DM_source]],MATCH(Tab_Data_Flows[[#This Row],[Flow_Name]],Tab_Def_Flows[Flow_Name],0),17)</f>
        <v>1</v>
      </c>
      <c r="AD60" s="7" t="str">
        <f>Tab_Data_Flows[[#This Row],[Flow_ID]]&amp;"_"&amp;"CC_"&amp;Tab_Data_Flows[[#This Row],[Flow_Data_Year]]</f>
        <v>F_00_02_CC_2008</v>
      </c>
      <c r="AE60" s="7">
        <f>IF(F60="Yes",AC60*Tab_Data_Flows[[#This Row],[Flow_Material]]*Tab_Data_Flows[[#This Row],[DM_'[%']]],"N.A.")</f>
        <v>152272.42105263157</v>
      </c>
      <c r="AF60" s="7" t="str">
        <f>Tab_Data_Flows[[#This Row],[UoM_Flow_Py]]</f>
        <v>Mg</v>
      </c>
      <c r="AG60"/>
    </row>
    <row r="61" spans="1:33" x14ac:dyDescent="0.25">
      <c r="A61" s="9">
        <f t="shared" si="0"/>
        <v>60</v>
      </c>
      <c r="B61" s="7" t="str">
        <f>_xlfn.XLOOKUP(C61,Tab_Def_Flows[Flow_Name],Tab_Def_Flows[Flow_ID],,0,)</f>
        <v>F_00_02</v>
      </c>
      <c r="C61" s="142" t="s">
        <v>588</v>
      </c>
      <c r="D61" s="10" t="str">
        <f>_xlfn.XLOOKUP(C61,Tab_Def_Flows[Flow_Name],Tab_Def_Flows[WC?],,0,)</f>
        <v>Yes</v>
      </c>
      <c r="E61" s="10" t="str">
        <f>_xlfn.XLOOKUP(C61,Tab_Def_Flows[Flow_Name],Tab_Def_Flows[DM?],,0,)</f>
        <v>Yes</v>
      </c>
      <c r="F61" s="10" t="str">
        <f>_xlfn.XLOOKUP(C61,Tab_Def_Flows[Flow_Name],Tab_Def_Flows[CC?],,0,)</f>
        <v>Yes</v>
      </c>
      <c r="G61" s="8">
        <v>2009</v>
      </c>
      <c r="H61" s="23">
        <v>128950.87719298244</v>
      </c>
      <c r="I61" s="8" t="s">
        <v>198</v>
      </c>
      <c r="J61" s="15"/>
      <c r="K61" s="15"/>
      <c r="L61" s="15"/>
      <c r="M61" s="15"/>
      <c r="N61" s="15"/>
      <c r="O61" s="8" t="s">
        <v>6</v>
      </c>
      <c r="P61" s="16"/>
      <c r="Q61" s="8"/>
      <c r="R61" s="7" t="str">
        <f>Tab_Data_Flows[[#This Row],[Flow_ID]]&amp;"_"&amp;"material_"&amp;Tab_Data_Flows[[#This Row],[Flow_Data_Year]]</f>
        <v>F_00_02_material_2009</v>
      </c>
      <c r="S61" s="14">
        <f>IF(O61="no",H61,H61*P61)</f>
        <v>128950.87719298244</v>
      </c>
      <c r="T61" s="8" t="s">
        <v>198</v>
      </c>
      <c r="U61" s="143">
        <f>INDEX(Tab_Def_Flows[[Flow_ID]:[CC_DM_source]],MATCH(Tab_Data_Flows[[#This Row],[Flow_Name]],Tab_Def_Flows[Flow_Name],0),11)</f>
        <v>0</v>
      </c>
      <c r="V61" s="7" t="str">
        <f>Tab_Data_Flows[[#This Row],[Flow_ID]]&amp;"_"&amp;"WC_"&amp;Tab_Data_Flows[[#This Row],[Flow_Data_Year]]</f>
        <v>F_00_02_WC_2009</v>
      </c>
      <c r="W61" s="7">
        <f>IF(D61="Yes",S61*Tab_Data_Flows[[#This Row],[WC_'[%']]],"N.A.")</f>
        <v>0</v>
      </c>
      <c r="X61" s="7" t="str">
        <f>Tab_Data_Flows[[#This Row],[UoM_Flow_Py]]</f>
        <v>Mg</v>
      </c>
      <c r="Y61" s="143">
        <f>INDEX(Tab_Def_Flows[[Flow_ID]:[CC_DM_source]],MATCH(Tab_Data_Flows[[#This Row],[Flow_Name]],Tab_Def_Flows[Flow_Name],0),14)</f>
        <v>1</v>
      </c>
      <c r="Z61" s="7" t="str">
        <f>Tab_Data_Flows[[#This Row],[Flow_ID]]&amp;"_"&amp;"DM_"&amp;Tab_Data_Flows[[#This Row],[Flow_Data_Year]]</f>
        <v>F_00_02_DM_2009</v>
      </c>
      <c r="AA61" s="7">
        <f>IF(E61="Yes",Y61*Tab_Data_Flows[[#This Row],[Flow_Material]],"N.A.")</f>
        <v>128950.87719298244</v>
      </c>
      <c r="AB61" s="7" t="str">
        <f>Tab_Data_Flows[[#This Row],[UoM_Flow_Py]]</f>
        <v>Mg</v>
      </c>
      <c r="AC61" s="143">
        <f>INDEX(Tab_Def_Flows[[Flow_ID]:[CC_DM_source]],MATCH(Tab_Data_Flows[[#This Row],[Flow_Name]],Tab_Def_Flows[Flow_Name],0),17)</f>
        <v>1</v>
      </c>
      <c r="AD61" s="7" t="str">
        <f>Tab_Data_Flows[[#This Row],[Flow_ID]]&amp;"_"&amp;"CC_"&amp;Tab_Data_Flows[[#This Row],[Flow_Data_Year]]</f>
        <v>F_00_02_CC_2009</v>
      </c>
      <c r="AE61" s="7">
        <f>IF(F61="Yes",AC61*Tab_Data_Flows[[#This Row],[Flow_Material]]*Tab_Data_Flows[[#This Row],[DM_'[%']]],"N.A.")</f>
        <v>128950.87719298244</v>
      </c>
      <c r="AF61" s="7" t="str">
        <f>Tab_Data_Flows[[#This Row],[UoM_Flow_Py]]</f>
        <v>Mg</v>
      </c>
      <c r="AG61"/>
    </row>
    <row r="62" spans="1:33" x14ac:dyDescent="0.25">
      <c r="A62" s="9">
        <f t="shared" si="0"/>
        <v>61</v>
      </c>
      <c r="B62" s="7" t="str">
        <f>_xlfn.XLOOKUP(C62,Tab_Def_Flows[Flow_Name],Tab_Def_Flows[Flow_ID],,0,)</f>
        <v>F_00_02</v>
      </c>
      <c r="C62" s="142" t="s">
        <v>588</v>
      </c>
      <c r="D62" s="10" t="str">
        <f>_xlfn.XLOOKUP(C62,Tab_Def_Flows[Flow_Name],Tab_Def_Flows[WC?],,0,)</f>
        <v>Yes</v>
      </c>
      <c r="E62" s="10" t="str">
        <f>_xlfn.XLOOKUP(C62,Tab_Def_Flows[Flow_Name],Tab_Def_Flows[DM?],,0,)</f>
        <v>Yes</v>
      </c>
      <c r="F62" s="10" t="str">
        <f>_xlfn.XLOOKUP(C62,Tab_Def_Flows[Flow_Name],Tab_Def_Flows[CC?],,0,)</f>
        <v>Yes</v>
      </c>
      <c r="G62" s="8">
        <v>2010</v>
      </c>
      <c r="H62" s="23">
        <v>160139.9298245614</v>
      </c>
      <c r="I62" s="8" t="s">
        <v>198</v>
      </c>
      <c r="J62" s="15"/>
      <c r="K62" s="15"/>
      <c r="L62" s="15"/>
      <c r="M62" s="15"/>
      <c r="N62" s="15"/>
      <c r="O62" s="8" t="s">
        <v>6</v>
      </c>
      <c r="P62" s="16"/>
      <c r="Q62" s="8"/>
      <c r="R62" s="7" t="str">
        <f>Tab_Data_Flows[[#This Row],[Flow_ID]]&amp;"_"&amp;"material_"&amp;Tab_Data_Flows[[#This Row],[Flow_Data_Year]]</f>
        <v>F_00_02_material_2010</v>
      </c>
      <c r="S62" s="14">
        <f>IF(O62="no",H62,H62*P62)</f>
        <v>160139.9298245614</v>
      </c>
      <c r="T62" s="8" t="s">
        <v>198</v>
      </c>
      <c r="U62" s="143">
        <f>INDEX(Tab_Def_Flows[[Flow_ID]:[CC_DM_source]],MATCH(Tab_Data_Flows[[#This Row],[Flow_Name]],Tab_Def_Flows[Flow_Name],0),11)</f>
        <v>0</v>
      </c>
      <c r="V62" s="7" t="str">
        <f>Tab_Data_Flows[[#This Row],[Flow_ID]]&amp;"_"&amp;"WC_"&amp;Tab_Data_Flows[[#This Row],[Flow_Data_Year]]</f>
        <v>F_00_02_WC_2010</v>
      </c>
      <c r="W62" s="7">
        <f>IF(D62="Yes",S62*Tab_Data_Flows[[#This Row],[WC_'[%']]],"N.A.")</f>
        <v>0</v>
      </c>
      <c r="X62" s="7" t="str">
        <f>Tab_Data_Flows[[#This Row],[UoM_Flow_Py]]</f>
        <v>Mg</v>
      </c>
      <c r="Y62" s="143">
        <f>INDEX(Tab_Def_Flows[[Flow_ID]:[CC_DM_source]],MATCH(Tab_Data_Flows[[#This Row],[Flow_Name]],Tab_Def_Flows[Flow_Name],0),14)</f>
        <v>1</v>
      </c>
      <c r="Z62" s="7" t="str">
        <f>Tab_Data_Flows[[#This Row],[Flow_ID]]&amp;"_"&amp;"DM_"&amp;Tab_Data_Flows[[#This Row],[Flow_Data_Year]]</f>
        <v>F_00_02_DM_2010</v>
      </c>
      <c r="AA62" s="7">
        <f>IF(E62="Yes",Y62*Tab_Data_Flows[[#This Row],[Flow_Material]],"N.A.")</f>
        <v>160139.9298245614</v>
      </c>
      <c r="AB62" s="7" t="str">
        <f>Tab_Data_Flows[[#This Row],[UoM_Flow_Py]]</f>
        <v>Mg</v>
      </c>
      <c r="AC62" s="143">
        <f>INDEX(Tab_Def_Flows[[Flow_ID]:[CC_DM_source]],MATCH(Tab_Data_Flows[[#This Row],[Flow_Name]],Tab_Def_Flows[Flow_Name],0),17)</f>
        <v>1</v>
      </c>
      <c r="AD62" s="7" t="str">
        <f>Tab_Data_Flows[[#This Row],[Flow_ID]]&amp;"_"&amp;"CC_"&amp;Tab_Data_Flows[[#This Row],[Flow_Data_Year]]</f>
        <v>F_00_02_CC_2010</v>
      </c>
      <c r="AE62" s="7">
        <f>IF(F62="Yes",AC62*Tab_Data_Flows[[#This Row],[Flow_Material]]*Tab_Data_Flows[[#This Row],[DM_'[%']]],"N.A.")</f>
        <v>160139.9298245614</v>
      </c>
      <c r="AF62" s="7" t="str">
        <f>Tab_Data_Flows[[#This Row],[UoM_Flow_Py]]</f>
        <v>Mg</v>
      </c>
      <c r="AG62"/>
    </row>
    <row r="63" spans="1:33" x14ac:dyDescent="0.25">
      <c r="A63" s="9">
        <f t="shared" si="0"/>
        <v>62</v>
      </c>
      <c r="B63" s="7" t="str">
        <f>_xlfn.XLOOKUP(C63,Tab_Def_Flows[Flow_Name],Tab_Def_Flows[Flow_ID],,0,)</f>
        <v>F_00_02</v>
      </c>
      <c r="C63" s="142" t="s">
        <v>588</v>
      </c>
      <c r="D63" s="10" t="str">
        <f>_xlfn.XLOOKUP(C63,Tab_Def_Flows[Flow_Name],Tab_Def_Flows[WC?],,0,)</f>
        <v>Yes</v>
      </c>
      <c r="E63" s="10" t="str">
        <f>_xlfn.XLOOKUP(C63,Tab_Def_Flows[Flow_Name],Tab_Def_Flows[DM?],,0,)</f>
        <v>Yes</v>
      </c>
      <c r="F63" s="10" t="str">
        <f>_xlfn.XLOOKUP(C63,Tab_Def_Flows[Flow_Name],Tab_Def_Flows[CC?],,0,)</f>
        <v>Yes</v>
      </c>
      <c r="G63" s="8">
        <v>2011</v>
      </c>
      <c r="H63" s="23">
        <v>149924.21052631579</v>
      </c>
      <c r="I63" s="8" t="s">
        <v>198</v>
      </c>
      <c r="J63" s="15"/>
      <c r="K63" s="15"/>
      <c r="L63" s="15"/>
      <c r="M63" s="15"/>
      <c r="N63" s="15"/>
      <c r="O63" s="8" t="s">
        <v>6</v>
      </c>
      <c r="P63" s="16"/>
      <c r="Q63" s="8"/>
      <c r="R63" s="7" t="str">
        <f>Tab_Data_Flows[[#This Row],[Flow_ID]]&amp;"_"&amp;"material_"&amp;Tab_Data_Flows[[#This Row],[Flow_Data_Year]]</f>
        <v>F_00_02_material_2011</v>
      </c>
      <c r="S63" s="14">
        <f>IF(O63="no",H63,H63*P63)</f>
        <v>149924.21052631579</v>
      </c>
      <c r="T63" s="8" t="s">
        <v>198</v>
      </c>
      <c r="U63" s="143">
        <f>INDEX(Tab_Def_Flows[[Flow_ID]:[CC_DM_source]],MATCH(Tab_Data_Flows[[#This Row],[Flow_Name]],Tab_Def_Flows[Flow_Name],0),11)</f>
        <v>0</v>
      </c>
      <c r="V63" s="7" t="str">
        <f>Tab_Data_Flows[[#This Row],[Flow_ID]]&amp;"_"&amp;"WC_"&amp;Tab_Data_Flows[[#This Row],[Flow_Data_Year]]</f>
        <v>F_00_02_WC_2011</v>
      </c>
      <c r="W63" s="7">
        <f>IF(D63="Yes",S63*Tab_Data_Flows[[#This Row],[WC_'[%']]],"N.A.")</f>
        <v>0</v>
      </c>
      <c r="X63" s="7" t="str">
        <f>Tab_Data_Flows[[#This Row],[UoM_Flow_Py]]</f>
        <v>Mg</v>
      </c>
      <c r="Y63" s="143">
        <f>INDEX(Tab_Def_Flows[[Flow_ID]:[CC_DM_source]],MATCH(Tab_Data_Flows[[#This Row],[Flow_Name]],Tab_Def_Flows[Flow_Name],0),14)</f>
        <v>1</v>
      </c>
      <c r="Z63" s="7" t="str">
        <f>Tab_Data_Flows[[#This Row],[Flow_ID]]&amp;"_"&amp;"DM_"&amp;Tab_Data_Flows[[#This Row],[Flow_Data_Year]]</f>
        <v>F_00_02_DM_2011</v>
      </c>
      <c r="AA63" s="7">
        <f>IF(E63="Yes",Y63*Tab_Data_Flows[[#This Row],[Flow_Material]],"N.A.")</f>
        <v>149924.21052631579</v>
      </c>
      <c r="AB63" s="7" t="str">
        <f>Tab_Data_Flows[[#This Row],[UoM_Flow_Py]]</f>
        <v>Mg</v>
      </c>
      <c r="AC63" s="143">
        <f>INDEX(Tab_Def_Flows[[Flow_ID]:[CC_DM_source]],MATCH(Tab_Data_Flows[[#This Row],[Flow_Name]],Tab_Def_Flows[Flow_Name],0),17)</f>
        <v>1</v>
      </c>
      <c r="AD63" s="7" t="str">
        <f>Tab_Data_Flows[[#This Row],[Flow_ID]]&amp;"_"&amp;"CC_"&amp;Tab_Data_Flows[[#This Row],[Flow_Data_Year]]</f>
        <v>F_00_02_CC_2011</v>
      </c>
      <c r="AE63" s="7">
        <f>IF(F63="Yes",AC63*Tab_Data_Flows[[#This Row],[Flow_Material]]*Tab_Data_Flows[[#This Row],[DM_'[%']]],"N.A.")</f>
        <v>149924.21052631579</v>
      </c>
      <c r="AF63" s="7" t="str">
        <f>Tab_Data_Flows[[#This Row],[UoM_Flow_Py]]</f>
        <v>Mg</v>
      </c>
      <c r="AG63"/>
    </row>
    <row r="64" spans="1:33" x14ac:dyDescent="0.25">
      <c r="A64" s="9">
        <f t="shared" si="0"/>
        <v>63</v>
      </c>
      <c r="B64" s="7" t="str">
        <f>_xlfn.XLOOKUP(C64,Tab_Def_Flows[Flow_Name],Tab_Def_Flows[Flow_ID],,0,)</f>
        <v>F_00_02</v>
      </c>
      <c r="C64" s="142" t="s">
        <v>588</v>
      </c>
      <c r="D64" s="10" t="str">
        <f>_xlfn.XLOOKUP(C64,Tab_Def_Flows[Flow_Name],Tab_Def_Flows[WC?],,0,)</f>
        <v>Yes</v>
      </c>
      <c r="E64" s="10" t="str">
        <f>_xlfn.XLOOKUP(C64,Tab_Def_Flows[Flow_Name],Tab_Def_Flows[DM?],,0,)</f>
        <v>Yes</v>
      </c>
      <c r="F64" s="10" t="str">
        <f>_xlfn.XLOOKUP(C64,Tab_Def_Flows[Flow_Name],Tab_Def_Flows[CC?],,0,)</f>
        <v>Yes</v>
      </c>
      <c r="G64" s="8">
        <v>2012</v>
      </c>
      <c r="H64" s="23">
        <v>149924.21052631579</v>
      </c>
      <c r="I64" s="8" t="s">
        <v>198</v>
      </c>
      <c r="J64" s="15"/>
      <c r="K64" s="15"/>
      <c r="L64" s="15"/>
      <c r="M64" s="15"/>
      <c r="N64" s="15"/>
      <c r="O64" s="8" t="s">
        <v>6</v>
      </c>
      <c r="P64" s="16"/>
      <c r="Q64" s="8"/>
      <c r="R64" s="7" t="str">
        <f>Tab_Data_Flows[[#This Row],[Flow_ID]]&amp;"_"&amp;"material_"&amp;Tab_Data_Flows[[#This Row],[Flow_Data_Year]]</f>
        <v>F_00_02_material_2012</v>
      </c>
      <c r="S64" s="14">
        <f>IF(O64="no",H64,H64*P64)</f>
        <v>149924.21052631579</v>
      </c>
      <c r="T64" s="8" t="s">
        <v>198</v>
      </c>
      <c r="U64" s="143">
        <f>INDEX(Tab_Def_Flows[[Flow_ID]:[CC_DM_source]],MATCH(Tab_Data_Flows[[#This Row],[Flow_Name]],Tab_Def_Flows[Flow_Name],0),11)</f>
        <v>0</v>
      </c>
      <c r="V64" s="7" t="str">
        <f>Tab_Data_Flows[[#This Row],[Flow_ID]]&amp;"_"&amp;"WC_"&amp;Tab_Data_Flows[[#This Row],[Flow_Data_Year]]</f>
        <v>F_00_02_WC_2012</v>
      </c>
      <c r="W64" s="7">
        <f>IF(D64="Yes",S64*Tab_Data_Flows[[#This Row],[WC_'[%']]],"N.A.")</f>
        <v>0</v>
      </c>
      <c r="X64" s="7" t="str">
        <f>Tab_Data_Flows[[#This Row],[UoM_Flow_Py]]</f>
        <v>Mg</v>
      </c>
      <c r="Y64" s="143">
        <f>INDEX(Tab_Def_Flows[[Flow_ID]:[CC_DM_source]],MATCH(Tab_Data_Flows[[#This Row],[Flow_Name]],Tab_Def_Flows[Flow_Name],0),14)</f>
        <v>1</v>
      </c>
      <c r="Z64" s="7" t="str">
        <f>Tab_Data_Flows[[#This Row],[Flow_ID]]&amp;"_"&amp;"DM_"&amp;Tab_Data_Flows[[#This Row],[Flow_Data_Year]]</f>
        <v>F_00_02_DM_2012</v>
      </c>
      <c r="AA64" s="7">
        <f>IF(E64="Yes",Y64*Tab_Data_Flows[[#This Row],[Flow_Material]],"N.A.")</f>
        <v>149924.21052631579</v>
      </c>
      <c r="AB64" s="7" t="str">
        <f>Tab_Data_Flows[[#This Row],[UoM_Flow_Py]]</f>
        <v>Mg</v>
      </c>
      <c r="AC64" s="143">
        <f>INDEX(Tab_Def_Flows[[Flow_ID]:[CC_DM_source]],MATCH(Tab_Data_Flows[[#This Row],[Flow_Name]],Tab_Def_Flows[Flow_Name],0),17)</f>
        <v>1</v>
      </c>
      <c r="AD64" s="7" t="str">
        <f>Tab_Data_Flows[[#This Row],[Flow_ID]]&amp;"_"&amp;"CC_"&amp;Tab_Data_Flows[[#This Row],[Flow_Data_Year]]</f>
        <v>F_00_02_CC_2012</v>
      </c>
      <c r="AE64" s="7">
        <f>IF(F64="Yes",AC64*Tab_Data_Flows[[#This Row],[Flow_Material]]*Tab_Data_Flows[[#This Row],[DM_'[%']]],"N.A.")</f>
        <v>149924.21052631579</v>
      </c>
      <c r="AF64" s="7" t="str">
        <f>Tab_Data_Flows[[#This Row],[UoM_Flow_Py]]</f>
        <v>Mg</v>
      </c>
      <c r="AG64"/>
    </row>
    <row r="65" spans="1:33" x14ac:dyDescent="0.25">
      <c r="A65" s="9">
        <f t="shared" si="0"/>
        <v>64</v>
      </c>
      <c r="B65" s="7" t="str">
        <f>_xlfn.XLOOKUP(C65,Tab_Def_Flows[Flow_Name],Tab_Def_Flows[Flow_ID],,0,)</f>
        <v>F_00_02</v>
      </c>
      <c r="C65" s="142" t="s">
        <v>588</v>
      </c>
      <c r="D65" s="10" t="str">
        <f>_xlfn.XLOOKUP(C65,Tab_Def_Flows[Flow_Name],Tab_Def_Flows[WC?],,0,)</f>
        <v>Yes</v>
      </c>
      <c r="E65" s="10" t="str">
        <f>_xlfn.XLOOKUP(C65,Tab_Def_Flows[Flow_Name],Tab_Def_Flows[DM?],,0,)</f>
        <v>Yes</v>
      </c>
      <c r="F65" s="10" t="str">
        <f>_xlfn.XLOOKUP(C65,Tab_Def_Flows[Flow_Name],Tab_Def_Flows[CC?],,0,)</f>
        <v>Yes</v>
      </c>
      <c r="G65" s="8">
        <v>2013</v>
      </c>
      <c r="H65" s="23">
        <v>127706.52631578947</v>
      </c>
      <c r="I65" s="8" t="s">
        <v>198</v>
      </c>
      <c r="J65" s="15"/>
      <c r="K65" s="15"/>
      <c r="L65" s="15"/>
      <c r="M65" s="15"/>
      <c r="N65" s="15"/>
      <c r="O65" s="8" t="s">
        <v>6</v>
      </c>
      <c r="P65" s="16"/>
      <c r="Q65" s="8"/>
      <c r="R65" s="7" t="str">
        <f>Tab_Data_Flows[[#This Row],[Flow_ID]]&amp;"_"&amp;"material_"&amp;Tab_Data_Flows[[#This Row],[Flow_Data_Year]]</f>
        <v>F_00_02_material_2013</v>
      </c>
      <c r="S65" s="14">
        <f>IF(O65="no",H65,H65*P65)</f>
        <v>127706.52631578947</v>
      </c>
      <c r="T65" s="8" t="s">
        <v>198</v>
      </c>
      <c r="U65" s="143">
        <f>INDEX(Tab_Def_Flows[[Flow_ID]:[CC_DM_source]],MATCH(Tab_Data_Flows[[#This Row],[Flow_Name]],Tab_Def_Flows[Flow_Name],0),11)</f>
        <v>0</v>
      </c>
      <c r="V65" s="7" t="str">
        <f>Tab_Data_Flows[[#This Row],[Flow_ID]]&amp;"_"&amp;"WC_"&amp;Tab_Data_Flows[[#This Row],[Flow_Data_Year]]</f>
        <v>F_00_02_WC_2013</v>
      </c>
      <c r="W65" s="7">
        <f>IF(D65="Yes",S65*Tab_Data_Flows[[#This Row],[WC_'[%']]],"N.A.")</f>
        <v>0</v>
      </c>
      <c r="X65" s="7" t="str">
        <f>Tab_Data_Flows[[#This Row],[UoM_Flow_Py]]</f>
        <v>Mg</v>
      </c>
      <c r="Y65" s="143">
        <f>INDEX(Tab_Def_Flows[[Flow_ID]:[CC_DM_source]],MATCH(Tab_Data_Flows[[#This Row],[Flow_Name]],Tab_Def_Flows[Flow_Name],0),14)</f>
        <v>1</v>
      </c>
      <c r="Z65" s="7" t="str">
        <f>Tab_Data_Flows[[#This Row],[Flow_ID]]&amp;"_"&amp;"DM_"&amp;Tab_Data_Flows[[#This Row],[Flow_Data_Year]]</f>
        <v>F_00_02_DM_2013</v>
      </c>
      <c r="AA65" s="7">
        <f>IF(E65="Yes",Y65*Tab_Data_Flows[[#This Row],[Flow_Material]],"N.A.")</f>
        <v>127706.52631578947</v>
      </c>
      <c r="AB65" s="7" t="str">
        <f>Tab_Data_Flows[[#This Row],[UoM_Flow_Py]]</f>
        <v>Mg</v>
      </c>
      <c r="AC65" s="143">
        <f>INDEX(Tab_Def_Flows[[Flow_ID]:[CC_DM_source]],MATCH(Tab_Data_Flows[[#This Row],[Flow_Name]],Tab_Def_Flows[Flow_Name],0),17)</f>
        <v>1</v>
      </c>
      <c r="AD65" s="7" t="str">
        <f>Tab_Data_Flows[[#This Row],[Flow_ID]]&amp;"_"&amp;"CC_"&amp;Tab_Data_Flows[[#This Row],[Flow_Data_Year]]</f>
        <v>F_00_02_CC_2013</v>
      </c>
      <c r="AE65" s="7">
        <f>IF(F65="Yes",AC65*Tab_Data_Flows[[#This Row],[Flow_Material]]*Tab_Data_Flows[[#This Row],[DM_'[%']]],"N.A.")</f>
        <v>127706.52631578947</v>
      </c>
      <c r="AF65" s="7" t="str">
        <f>Tab_Data_Flows[[#This Row],[UoM_Flow_Py]]</f>
        <v>Mg</v>
      </c>
      <c r="AG65"/>
    </row>
    <row r="66" spans="1:33" x14ac:dyDescent="0.25">
      <c r="A66" s="9">
        <f t="shared" si="0"/>
        <v>65</v>
      </c>
      <c r="B66" s="7" t="str">
        <f>_xlfn.XLOOKUP(C66,Tab_Def_Flows[Flow_Name],Tab_Def_Flows[Flow_ID],,0,)</f>
        <v>F_00_02</v>
      </c>
      <c r="C66" s="142" t="s">
        <v>588</v>
      </c>
      <c r="D66" s="10" t="str">
        <f>_xlfn.XLOOKUP(C66,Tab_Def_Flows[Flow_Name],Tab_Def_Flows[WC?],,0,)</f>
        <v>Yes</v>
      </c>
      <c r="E66" s="10" t="str">
        <f>_xlfn.XLOOKUP(C66,Tab_Def_Flows[Flow_Name],Tab_Def_Flows[DM?],,0,)</f>
        <v>Yes</v>
      </c>
      <c r="F66" s="10" t="str">
        <f>_xlfn.XLOOKUP(C66,Tab_Def_Flows[Flow_Name],Tab_Def_Flows[CC?],,0,)</f>
        <v>Yes</v>
      </c>
      <c r="G66" s="8">
        <v>2014</v>
      </c>
      <c r="H66" s="23">
        <v>138042.66666666666</v>
      </c>
      <c r="I66" s="8" t="s">
        <v>198</v>
      </c>
      <c r="J66" s="15"/>
      <c r="K66" s="15"/>
      <c r="L66" s="15"/>
      <c r="M66" s="15"/>
      <c r="N66" s="15"/>
      <c r="O66" s="8" t="s">
        <v>6</v>
      </c>
      <c r="P66" s="16"/>
      <c r="Q66" s="8"/>
      <c r="R66" s="7" t="str">
        <f>Tab_Data_Flows[[#This Row],[Flow_ID]]&amp;"_"&amp;"material_"&amp;Tab_Data_Flows[[#This Row],[Flow_Data_Year]]</f>
        <v>F_00_02_material_2014</v>
      </c>
      <c r="S66" s="14">
        <f>IF(O66="no",H66,H66*P66)</f>
        <v>138042.66666666666</v>
      </c>
      <c r="T66" s="8" t="s">
        <v>198</v>
      </c>
      <c r="U66" s="143">
        <f>INDEX(Tab_Def_Flows[[Flow_ID]:[CC_DM_source]],MATCH(Tab_Data_Flows[[#This Row],[Flow_Name]],Tab_Def_Flows[Flow_Name],0),11)</f>
        <v>0</v>
      </c>
      <c r="V66" s="7" t="str">
        <f>Tab_Data_Flows[[#This Row],[Flow_ID]]&amp;"_"&amp;"WC_"&amp;Tab_Data_Flows[[#This Row],[Flow_Data_Year]]</f>
        <v>F_00_02_WC_2014</v>
      </c>
      <c r="W66" s="7">
        <f>IF(D66="Yes",S66*Tab_Data_Flows[[#This Row],[WC_'[%']]],"N.A.")</f>
        <v>0</v>
      </c>
      <c r="X66" s="7" t="str">
        <f>Tab_Data_Flows[[#This Row],[UoM_Flow_Py]]</f>
        <v>Mg</v>
      </c>
      <c r="Y66" s="143">
        <f>INDEX(Tab_Def_Flows[[Flow_ID]:[CC_DM_source]],MATCH(Tab_Data_Flows[[#This Row],[Flow_Name]],Tab_Def_Flows[Flow_Name],0),14)</f>
        <v>1</v>
      </c>
      <c r="Z66" s="7" t="str">
        <f>Tab_Data_Flows[[#This Row],[Flow_ID]]&amp;"_"&amp;"DM_"&amp;Tab_Data_Flows[[#This Row],[Flow_Data_Year]]</f>
        <v>F_00_02_DM_2014</v>
      </c>
      <c r="AA66" s="7">
        <f>IF(E66="Yes",Y66*Tab_Data_Flows[[#This Row],[Flow_Material]],"N.A.")</f>
        <v>138042.66666666666</v>
      </c>
      <c r="AB66" s="7" t="str">
        <f>Tab_Data_Flows[[#This Row],[UoM_Flow_Py]]</f>
        <v>Mg</v>
      </c>
      <c r="AC66" s="143">
        <f>INDEX(Tab_Def_Flows[[Flow_ID]:[CC_DM_source]],MATCH(Tab_Data_Flows[[#This Row],[Flow_Name]],Tab_Def_Flows[Flow_Name],0),17)</f>
        <v>1</v>
      </c>
      <c r="AD66" s="7" t="str">
        <f>Tab_Data_Flows[[#This Row],[Flow_ID]]&amp;"_"&amp;"CC_"&amp;Tab_Data_Flows[[#This Row],[Flow_Data_Year]]</f>
        <v>F_00_02_CC_2014</v>
      </c>
      <c r="AE66" s="7">
        <f>IF(F66="Yes",AC66*Tab_Data_Flows[[#This Row],[Flow_Material]]*Tab_Data_Flows[[#This Row],[DM_'[%']]],"N.A.")</f>
        <v>138042.66666666666</v>
      </c>
      <c r="AF66" s="7" t="str">
        <f>Tab_Data_Flows[[#This Row],[UoM_Flow_Py]]</f>
        <v>Mg</v>
      </c>
      <c r="AG66"/>
    </row>
    <row r="67" spans="1:33" x14ac:dyDescent="0.25">
      <c r="A67" s="9">
        <f t="shared" ref="A67:A130" si="1">ROW()-1</f>
        <v>66</v>
      </c>
      <c r="B67" s="7" t="str">
        <f>_xlfn.XLOOKUP(C67,Tab_Def_Flows[Flow_Name],Tab_Def_Flows[Flow_ID],,0,)</f>
        <v>F_00_02</v>
      </c>
      <c r="C67" s="142" t="s">
        <v>588</v>
      </c>
      <c r="D67" s="10" t="str">
        <f>_xlfn.XLOOKUP(C67,Tab_Def_Flows[Flow_Name],Tab_Def_Flows[WC?],,0,)</f>
        <v>Yes</v>
      </c>
      <c r="E67" s="10" t="str">
        <f>_xlfn.XLOOKUP(C67,Tab_Def_Flows[Flow_Name],Tab_Def_Flows[DM?],,0,)</f>
        <v>Yes</v>
      </c>
      <c r="F67" s="10" t="str">
        <f>_xlfn.XLOOKUP(C67,Tab_Def_Flows[Flow_Name],Tab_Def_Flows[CC?],,0,)</f>
        <v>Yes</v>
      </c>
      <c r="G67" s="8">
        <v>2015</v>
      </c>
      <c r="H67" s="23">
        <v>142096.84210526317</v>
      </c>
      <c r="I67" s="8" t="s">
        <v>198</v>
      </c>
      <c r="J67" s="15"/>
      <c r="K67" s="15"/>
      <c r="L67" s="15"/>
      <c r="M67" s="15"/>
      <c r="N67" s="15"/>
      <c r="O67" s="8" t="s">
        <v>6</v>
      </c>
      <c r="P67" s="8"/>
      <c r="Q67" s="8"/>
      <c r="R67" s="7" t="str">
        <f>Tab_Data_Flows[[#This Row],[Flow_ID]]&amp;"_"&amp;"material_"&amp;Tab_Data_Flows[[#This Row],[Flow_Data_Year]]</f>
        <v>F_00_02_material_2015</v>
      </c>
      <c r="S67" s="14">
        <f>IF(O67="no",H67,H67*P67)</f>
        <v>142096.84210526317</v>
      </c>
      <c r="T67" s="8" t="s">
        <v>198</v>
      </c>
      <c r="U67" s="143">
        <f>INDEX(Tab_Def_Flows[[Flow_ID]:[CC_DM_source]],MATCH(Tab_Data_Flows[[#This Row],[Flow_Name]],Tab_Def_Flows[Flow_Name],0),11)</f>
        <v>0</v>
      </c>
      <c r="V67" s="7" t="str">
        <f>Tab_Data_Flows[[#This Row],[Flow_ID]]&amp;"_"&amp;"WC_"&amp;Tab_Data_Flows[[#This Row],[Flow_Data_Year]]</f>
        <v>F_00_02_WC_2015</v>
      </c>
      <c r="W67" s="7">
        <f>IF(D67="Yes",S67*Tab_Data_Flows[[#This Row],[WC_'[%']]],"N.A.")</f>
        <v>0</v>
      </c>
      <c r="X67" s="7" t="str">
        <f>Tab_Data_Flows[[#This Row],[UoM_Flow_Py]]</f>
        <v>Mg</v>
      </c>
      <c r="Y67" s="143">
        <f>INDEX(Tab_Def_Flows[[Flow_ID]:[CC_DM_source]],MATCH(Tab_Data_Flows[[#This Row],[Flow_Name]],Tab_Def_Flows[Flow_Name],0),14)</f>
        <v>1</v>
      </c>
      <c r="Z67" s="7" t="str">
        <f>Tab_Data_Flows[[#This Row],[Flow_ID]]&amp;"_"&amp;"DM_"&amp;Tab_Data_Flows[[#This Row],[Flow_Data_Year]]</f>
        <v>F_00_02_DM_2015</v>
      </c>
      <c r="AA67" s="7">
        <f>IF(E67="Yes",Y67*Tab_Data_Flows[[#This Row],[Flow_Material]],"N.A.")</f>
        <v>142096.84210526317</v>
      </c>
      <c r="AB67" s="7" t="str">
        <f>Tab_Data_Flows[[#This Row],[UoM_Flow_Py]]</f>
        <v>Mg</v>
      </c>
      <c r="AC67" s="143">
        <f>INDEX(Tab_Def_Flows[[Flow_ID]:[CC_DM_source]],MATCH(Tab_Data_Flows[[#This Row],[Flow_Name]],Tab_Def_Flows[Flow_Name],0),17)</f>
        <v>1</v>
      </c>
      <c r="AD67" s="7" t="str">
        <f>Tab_Data_Flows[[#This Row],[Flow_ID]]&amp;"_"&amp;"CC_"&amp;Tab_Data_Flows[[#This Row],[Flow_Data_Year]]</f>
        <v>F_00_02_CC_2015</v>
      </c>
      <c r="AE67" s="7">
        <f>IF(F67="Yes",AC67*Tab_Data_Flows[[#This Row],[Flow_Material]]*Tab_Data_Flows[[#This Row],[DM_'[%']]],"N.A.")</f>
        <v>142096.84210526317</v>
      </c>
      <c r="AF67" s="7" t="str">
        <f>Tab_Data_Flows[[#This Row],[UoM_Flow_Py]]</f>
        <v>Mg</v>
      </c>
      <c r="AG67"/>
    </row>
    <row r="68" spans="1:33" x14ac:dyDescent="0.25">
      <c r="A68" s="9">
        <f t="shared" si="1"/>
        <v>67</v>
      </c>
      <c r="B68" s="7" t="str">
        <f>_xlfn.XLOOKUP(C68,Tab_Def_Flows[Flow_Name],Tab_Def_Flows[Flow_ID],,0,)</f>
        <v>F_00_02</v>
      </c>
      <c r="C68" s="142" t="s">
        <v>588</v>
      </c>
      <c r="D68" s="10" t="str">
        <f>_xlfn.XLOOKUP(C68,Tab_Def_Flows[Flow_Name],Tab_Def_Flows[WC?],,0,)</f>
        <v>Yes</v>
      </c>
      <c r="E68" s="10" t="str">
        <f>_xlfn.XLOOKUP(C68,Tab_Def_Flows[Flow_Name],Tab_Def_Flows[DM?],,0,)</f>
        <v>Yes</v>
      </c>
      <c r="F68" s="10" t="str">
        <f>_xlfn.XLOOKUP(C68,Tab_Def_Flows[Flow_Name],Tab_Def_Flows[CC?],,0,)</f>
        <v>Yes</v>
      </c>
      <c r="G68" s="8">
        <v>2016</v>
      </c>
      <c r="H68" s="23">
        <v>146231.29824561405</v>
      </c>
      <c r="I68" s="8" t="s">
        <v>198</v>
      </c>
      <c r="J68" s="15"/>
      <c r="K68" s="15"/>
      <c r="L68" s="15"/>
      <c r="M68" s="15"/>
      <c r="N68" s="15"/>
      <c r="O68" s="8" t="s">
        <v>6</v>
      </c>
      <c r="P68" s="8"/>
      <c r="Q68" s="8"/>
      <c r="R68" s="7" t="str">
        <f>Tab_Data_Flows[[#This Row],[Flow_ID]]&amp;"_"&amp;"material_"&amp;Tab_Data_Flows[[#This Row],[Flow_Data_Year]]</f>
        <v>F_00_02_material_2016</v>
      </c>
      <c r="S68" s="14">
        <f>IF(O68="no",H68,H68*P68)</f>
        <v>146231.29824561405</v>
      </c>
      <c r="T68" s="8" t="s">
        <v>198</v>
      </c>
      <c r="U68" s="143">
        <f>INDEX(Tab_Def_Flows[[Flow_ID]:[CC_DM_source]],MATCH(Tab_Data_Flows[[#This Row],[Flow_Name]],Tab_Def_Flows[Flow_Name],0),11)</f>
        <v>0</v>
      </c>
      <c r="V68" s="7" t="str">
        <f>Tab_Data_Flows[[#This Row],[Flow_ID]]&amp;"_"&amp;"WC_"&amp;Tab_Data_Flows[[#This Row],[Flow_Data_Year]]</f>
        <v>F_00_02_WC_2016</v>
      </c>
      <c r="W68" s="7">
        <f>IF(D68="Yes",S68*Tab_Data_Flows[[#This Row],[WC_'[%']]],"N.A.")</f>
        <v>0</v>
      </c>
      <c r="X68" s="7" t="str">
        <f>Tab_Data_Flows[[#This Row],[UoM_Flow_Py]]</f>
        <v>Mg</v>
      </c>
      <c r="Y68" s="143">
        <f>INDEX(Tab_Def_Flows[[Flow_ID]:[CC_DM_source]],MATCH(Tab_Data_Flows[[#This Row],[Flow_Name]],Tab_Def_Flows[Flow_Name],0),14)</f>
        <v>1</v>
      </c>
      <c r="Z68" s="7" t="str">
        <f>Tab_Data_Flows[[#This Row],[Flow_ID]]&amp;"_"&amp;"DM_"&amp;Tab_Data_Flows[[#This Row],[Flow_Data_Year]]</f>
        <v>F_00_02_DM_2016</v>
      </c>
      <c r="AA68" s="7">
        <f>IF(E68="Yes",Y68*Tab_Data_Flows[[#This Row],[Flow_Material]],"N.A.")</f>
        <v>146231.29824561405</v>
      </c>
      <c r="AB68" s="7" t="str">
        <f>Tab_Data_Flows[[#This Row],[UoM_Flow_Py]]</f>
        <v>Mg</v>
      </c>
      <c r="AC68" s="143">
        <f>INDEX(Tab_Def_Flows[[Flow_ID]:[CC_DM_source]],MATCH(Tab_Data_Flows[[#This Row],[Flow_Name]],Tab_Def_Flows[Flow_Name],0),17)</f>
        <v>1</v>
      </c>
      <c r="AD68" s="7" t="str">
        <f>Tab_Data_Flows[[#This Row],[Flow_ID]]&amp;"_"&amp;"CC_"&amp;Tab_Data_Flows[[#This Row],[Flow_Data_Year]]</f>
        <v>F_00_02_CC_2016</v>
      </c>
      <c r="AE68" s="7">
        <f>IF(F68="Yes",AC68*Tab_Data_Flows[[#This Row],[Flow_Material]]*Tab_Data_Flows[[#This Row],[DM_'[%']]],"N.A.")</f>
        <v>146231.29824561405</v>
      </c>
      <c r="AF68" s="7" t="str">
        <f>Tab_Data_Flows[[#This Row],[UoM_Flow_Py]]</f>
        <v>Mg</v>
      </c>
      <c r="AG68"/>
    </row>
    <row r="69" spans="1:33" x14ac:dyDescent="0.25">
      <c r="A69" s="9">
        <f t="shared" si="1"/>
        <v>68</v>
      </c>
      <c r="B69" s="7" t="str">
        <f>_xlfn.XLOOKUP(C69,Tab_Def_Flows[Flow_Name],Tab_Def_Flows[Flow_ID],,0,)</f>
        <v>F_00_02</v>
      </c>
      <c r="C69" s="142" t="s">
        <v>588</v>
      </c>
      <c r="D69" s="10" t="str">
        <f>_xlfn.XLOOKUP(C69,Tab_Def_Flows[Flow_Name],Tab_Def_Flows[WC?],,0,)</f>
        <v>Yes</v>
      </c>
      <c r="E69" s="10" t="str">
        <f>_xlfn.XLOOKUP(C69,Tab_Def_Flows[Flow_Name],Tab_Def_Flows[DM?],,0,)</f>
        <v>Yes</v>
      </c>
      <c r="F69" s="10" t="str">
        <f>_xlfn.XLOOKUP(C69,Tab_Def_Flows[Flow_Name],Tab_Def_Flows[CC?],,0,)</f>
        <v>Yes</v>
      </c>
      <c r="G69" s="8">
        <v>2017</v>
      </c>
      <c r="H69" s="23">
        <v>137099.36842105261</v>
      </c>
      <c r="I69" s="8" t="s">
        <v>198</v>
      </c>
      <c r="J69" s="15"/>
      <c r="K69" s="15"/>
      <c r="L69" s="15"/>
      <c r="M69" s="15"/>
      <c r="N69" s="15"/>
      <c r="O69" s="8" t="s">
        <v>6</v>
      </c>
      <c r="P69" s="8"/>
      <c r="Q69" s="8"/>
      <c r="R69" s="7" t="str">
        <f>Tab_Data_Flows[[#This Row],[Flow_ID]]&amp;"_"&amp;"material_"&amp;Tab_Data_Flows[[#This Row],[Flow_Data_Year]]</f>
        <v>F_00_02_material_2017</v>
      </c>
      <c r="S69" s="14">
        <f>IF(O69="no",H69,H69*P69)</f>
        <v>137099.36842105261</v>
      </c>
      <c r="T69" s="8" t="s">
        <v>198</v>
      </c>
      <c r="U69" s="143">
        <f>INDEX(Tab_Def_Flows[[Flow_ID]:[CC_DM_source]],MATCH(Tab_Data_Flows[[#This Row],[Flow_Name]],Tab_Def_Flows[Flow_Name],0),11)</f>
        <v>0</v>
      </c>
      <c r="V69" s="7" t="str">
        <f>Tab_Data_Flows[[#This Row],[Flow_ID]]&amp;"_"&amp;"WC_"&amp;Tab_Data_Flows[[#This Row],[Flow_Data_Year]]</f>
        <v>F_00_02_WC_2017</v>
      </c>
      <c r="W69" s="7">
        <f>IF(D69="Yes",S69*Tab_Data_Flows[[#This Row],[WC_'[%']]],"N.A.")</f>
        <v>0</v>
      </c>
      <c r="X69" s="7" t="str">
        <f>Tab_Data_Flows[[#This Row],[UoM_Flow_Py]]</f>
        <v>Mg</v>
      </c>
      <c r="Y69" s="143">
        <f>INDEX(Tab_Def_Flows[[Flow_ID]:[CC_DM_source]],MATCH(Tab_Data_Flows[[#This Row],[Flow_Name]],Tab_Def_Flows[Flow_Name],0),14)</f>
        <v>1</v>
      </c>
      <c r="Z69" s="7" t="str">
        <f>Tab_Data_Flows[[#This Row],[Flow_ID]]&amp;"_"&amp;"DM_"&amp;Tab_Data_Flows[[#This Row],[Flow_Data_Year]]</f>
        <v>F_00_02_DM_2017</v>
      </c>
      <c r="AA69" s="7">
        <f>IF(E69="Yes",Y69*Tab_Data_Flows[[#This Row],[Flow_Material]],"N.A.")</f>
        <v>137099.36842105261</v>
      </c>
      <c r="AB69" s="7" t="str">
        <f>Tab_Data_Flows[[#This Row],[UoM_Flow_Py]]</f>
        <v>Mg</v>
      </c>
      <c r="AC69" s="143">
        <f>INDEX(Tab_Def_Flows[[Flow_ID]:[CC_DM_source]],MATCH(Tab_Data_Flows[[#This Row],[Flow_Name]],Tab_Def_Flows[Flow_Name],0),17)</f>
        <v>1</v>
      </c>
      <c r="AD69" s="7" t="str">
        <f>Tab_Data_Flows[[#This Row],[Flow_ID]]&amp;"_"&amp;"CC_"&amp;Tab_Data_Flows[[#This Row],[Flow_Data_Year]]</f>
        <v>F_00_02_CC_2017</v>
      </c>
      <c r="AE69" s="7">
        <f>IF(F69="Yes",AC69*Tab_Data_Flows[[#This Row],[Flow_Material]]*Tab_Data_Flows[[#This Row],[DM_'[%']]],"N.A.")</f>
        <v>137099.36842105261</v>
      </c>
      <c r="AF69" s="7" t="str">
        <f>Tab_Data_Flows[[#This Row],[UoM_Flow_Py]]</f>
        <v>Mg</v>
      </c>
      <c r="AG69"/>
    </row>
    <row r="70" spans="1:33" x14ac:dyDescent="0.25">
      <c r="A70" s="9">
        <f t="shared" si="1"/>
        <v>69</v>
      </c>
      <c r="B70" s="7" t="str">
        <f>_xlfn.XLOOKUP(C70,Tab_Def_Flows[Flow_Name],Tab_Def_Flows[Flow_ID],,0,)</f>
        <v>F_00_02</v>
      </c>
      <c r="C70" s="142" t="s">
        <v>588</v>
      </c>
      <c r="D70" s="10" t="str">
        <f>_xlfn.XLOOKUP(C70,Tab_Def_Flows[Flow_Name],Tab_Def_Flows[WC?],,0,)</f>
        <v>Yes</v>
      </c>
      <c r="E70" s="10" t="str">
        <f>_xlfn.XLOOKUP(C70,Tab_Def_Flows[Flow_Name],Tab_Def_Flows[DM?],,0,)</f>
        <v>Yes</v>
      </c>
      <c r="F70" s="10" t="str">
        <f>_xlfn.XLOOKUP(C70,Tab_Def_Flows[Flow_Name],Tab_Def_Flows[CC?],,0,)</f>
        <v>Yes</v>
      </c>
      <c r="G70" s="8">
        <v>2018</v>
      </c>
      <c r="H70" s="23">
        <v>150827.36842105264</v>
      </c>
      <c r="I70" s="8" t="s">
        <v>198</v>
      </c>
      <c r="J70" s="15"/>
      <c r="K70" s="15"/>
      <c r="L70" s="15"/>
      <c r="M70" s="15"/>
      <c r="N70" s="15"/>
      <c r="O70" s="8" t="s">
        <v>6</v>
      </c>
      <c r="P70" s="8"/>
      <c r="Q70" s="8"/>
      <c r="R70" s="7" t="str">
        <f>Tab_Data_Flows[[#This Row],[Flow_ID]]&amp;"_"&amp;"material_"&amp;Tab_Data_Flows[[#This Row],[Flow_Data_Year]]</f>
        <v>F_00_02_material_2018</v>
      </c>
      <c r="S70" s="14">
        <f>IF(O70="no",H70,H70*P70)</f>
        <v>150827.36842105264</v>
      </c>
      <c r="T70" s="8" t="s">
        <v>198</v>
      </c>
      <c r="U70" s="143">
        <f>INDEX(Tab_Def_Flows[[Flow_ID]:[CC_DM_source]],MATCH(Tab_Data_Flows[[#This Row],[Flow_Name]],Tab_Def_Flows[Flow_Name],0),11)</f>
        <v>0</v>
      </c>
      <c r="V70" s="7" t="str">
        <f>Tab_Data_Flows[[#This Row],[Flow_ID]]&amp;"_"&amp;"WC_"&amp;Tab_Data_Flows[[#This Row],[Flow_Data_Year]]</f>
        <v>F_00_02_WC_2018</v>
      </c>
      <c r="W70" s="7">
        <f>IF(D70="Yes",S70*Tab_Data_Flows[[#This Row],[WC_'[%']]],"N.A.")</f>
        <v>0</v>
      </c>
      <c r="X70" s="7" t="str">
        <f>Tab_Data_Flows[[#This Row],[UoM_Flow_Py]]</f>
        <v>Mg</v>
      </c>
      <c r="Y70" s="143">
        <f>INDEX(Tab_Def_Flows[[Flow_ID]:[CC_DM_source]],MATCH(Tab_Data_Flows[[#This Row],[Flow_Name]],Tab_Def_Flows[Flow_Name],0),14)</f>
        <v>1</v>
      </c>
      <c r="Z70" s="7" t="str">
        <f>Tab_Data_Flows[[#This Row],[Flow_ID]]&amp;"_"&amp;"DM_"&amp;Tab_Data_Flows[[#This Row],[Flow_Data_Year]]</f>
        <v>F_00_02_DM_2018</v>
      </c>
      <c r="AA70" s="7">
        <f>IF(E70="Yes",Y70*Tab_Data_Flows[[#This Row],[Flow_Material]],"N.A.")</f>
        <v>150827.36842105264</v>
      </c>
      <c r="AB70" s="7" t="str">
        <f>Tab_Data_Flows[[#This Row],[UoM_Flow_Py]]</f>
        <v>Mg</v>
      </c>
      <c r="AC70" s="143">
        <f>INDEX(Tab_Def_Flows[[Flow_ID]:[CC_DM_source]],MATCH(Tab_Data_Flows[[#This Row],[Flow_Name]],Tab_Def_Flows[Flow_Name],0),17)</f>
        <v>1</v>
      </c>
      <c r="AD70" s="7" t="str">
        <f>Tab_Data_Flows[[#This Row],[Flow_ID]]&amp;"_"&amp;"CC_"&amp;Tab_Data_Flows[[#This Row],[Flow_Data_Year]]</f>
        <v>F_00_02_CC_2018</v>
      </c>
      <c r="AE70" s="7">
        <f>IF(F70="Yes",AC70*Tab_Data_Flows[[#This Row],[Flow_Material]]*Tab_Data_Flows[[#This Row],[DM_'[%']]],"N.A.")</f>
        <v>150827.36842105264</v>
      </c>
      <c r="AF70" s="7" t="str">
        <f>Tab_Data_Flows[[#This Row],[UoM_Flow_Py]]</f>
        <v>Mg</v>
      </c>
      <c r="AG70"/>
    </row>
    <row r="71" spans="1:33" x14ac:dyDescent="0.25">
      <c r="A71" s="9">
        <f t="shared" si="1"/>
        <v>70</v>
      </c>
      <c r="B71" s="7" t="str">
        <f>_xlfn.XLOOKUP(C71,Tab_Def_Flows[Flow_Name],Tab_Def_Flows[Flow_ID],,0,)</f>
        <v>F_00_02</v>
      </c>
      <c r="C71" s="142" t="s">
        <v>588</v>
      </c>
      <c r="D71" s="10" t="str">
        <f>_xlfn.XLOOKUP(C71,Tab_Def_Flows[Flow_Name],Tab_Def_Flows[WC?],,0,)</f>
        <v>Yes</v>
      </c>
      <c r="E71" s="10" t="str">
        <f>_xlfn.XLOOKUP(C71,Tab_Def_Flows[Flow_Name],Tab_Def_Flows[DM?],,0,)</f>
        <v>Yes</v>
      </c>
      <c r="F71" s="10" t="str">
        <f>_xlfn.XLOOKUP(C71,Tab_Def_Flows[Flow_Name],Tab_Def_Flows[CC?],,0,)</f>
        <v>Yes</v>
      </c>
      <c r="G71" s="8">
        <v>2019</v>
      </c>
      <c r="H71" s="23">
        <v>152854.45614035084</v>
      </c>
      <c r="I71" s="8" t="s">
        <v>198</v>
      </c>
      <c r="J71" s="15"/>
      <c r="K71" s="15"/>
      <c r="L71" s="15"/>
      <c r="M71" s="15"/>
      <c r="N71" s="15"/>
      <c r="O71" s="8" t="s">
        <v>6</v>
      </c>
      <c r="P71" s="8"/>
      <c r="Q71" s="8"/>
      <c r="R71" s="7" t="str">
        <f>Tab_Data_Flows[[#This Row],[Flow_ID]]&amp;"_"&amp;"material_"&amp;Tab_Data_Flows[[#This Row],[Flow_Data_Year]]</f>
        <v>F_00_02_material_2019</v>
      </c>
      <c r="S71" s="14">
        <f>IF(O71="no",H71,H71*P71)</f>
        <v>152854.45614035084</v>
      </c>
      <c r="T71" s="8" t="s">
        <v>198</v>
      </c>
      <c r="U71" s="143">
        <f>INDEX(Tab_Def_Flows[[Flow_ID]:[CC_DM_source]],MATCH(Tab_Data_Flows[[#This Row],[Flow_Name]],Tab_Def_Flows[Flow_Name],0),11)</f>
        <v>0</v>
      </c>
      <c r="V71" s="7" t="str">
        <f>Tab_Data_Flows[[#This Row],[Flow_ID]]&amp;"_"&amp;"WC_"&amp;Tab_Data_Flows[[#This Row],[Flow_Data_Year]]</f>
        <v>F_00_02_WC_2019</v>
      </c>
      <c r="W71" s="7">
        <f>IF(D71="Yes",S71*Tab_Data_Flows[[#This Row],[WC_'[%']]],"N.A.")</f>
        <v>0</v>
      </c>
      <c r="X71" s="7" t="str">
        <f>Tab_Data_Flows[[#This Row],[UoM_Flow_Py]]</f>
        <v>Mg</v>
      </c>
      <c r="Y71" s="143">
        <f>INDEX(Tab_Def_Flows[[Flow_ID]:[CC_DM_source]],MATCH(Tab_Data_Flows[[#This Row],[Flow_Name]],Tab_Def_Flows[Flow_Name],0),14)</f>
        <v>1</v>
      </c>
      <c r="Z71" s="7" t="str">
        <f>Tab_Data_Flows[[#This Row],[Flow_ID]]&amp;"_"&amp;"DM_"&amp;Tab_Data_Flows[[#This Row],[Flow_Data_Year]]</f>
        <v>F_00_02_DM_2019</v>
      </c>
      <c r="AA71" s="7">
        <f>IF(E71="Yes",Y71*Tab_Data_Flows[[#This Row],[Flow_Material]],"N.A.")</f>
        <v>152854.45614035084</v>
      </c>
      <c r="AB71" s="7" t="str">
        <f>Tab_Data_Flows[[#This Row],[UoM_Flow_Py]]</f>
        <v>Mg</v>
      </c>
      <c r="AC71" s="143">
        <f>INDEX(Tab_Def_Flows[[Flow_ID]:[CC_DM_source]],MATCH(Tab_Data_Flows[[#This Row],[Flow_Name]],Tab_Def_Flows[Flow_Name],0),17)</f>
        <v>1</v>
      </c>
      <c r="AD71" s="7" t="str">
        <f>Tab_Data_Flows[[#This Row],[Flow_ID]]&amp;"_"&amp;"CC_"&amp;Tab_Data_Flows[[#This Row],[Flow_Data_Year]]</f>
        <v>F_00_02_CC_2019</v>
      </c>
      <c r="AE71" s="7">
        <f>IF(F71="Yes",AC71*Tab_Data_Flows[[#This Row],[Flow_Material]]*Tab_Data_Flows[[#This Row],[DM_'[%']]],"N.A.")</f>
        <v>152854.45614035084</v>
      </c>
      <c r="AF71" s="7" t="str">
        <f>Tab_Data_Flows[[#This Row],[UoM_Flow_Py]]</f>
        <v>Mg</v>
      </c>
      <c r="AG71"/>
    </row>
    <row r="72" spans="1:33" x14ac:dyDescent="0.25">
      <c r="A72" s="9">
        <f t="shared" si="1"/>
        <v>71</v>
      </c>
      <c r="B72" s="7" t="str">
        <f>_xlfn.XLOOKUP(C72,Tab_Def_Flows[Flow_Name],Tab_Def_Flows[Flow_ID],,0,)</f>
        <v>F_00_02</v>
      </c>
      <c r="C72" s="142" t="s">
        <v>588</v>
      </c>
      <c r="D72" s="10" t="str">
        <f>_xlfn.XLOOKUP(C72,Tab_Def_Flows[Flow_Name],Tab_Def_Flows[WC?],,0,)</f>
        <v>Yes</v>
      </c>
      <c r="E72" s="10" t="str">
        <f>_xlfn.XLOOKUP(C72,Tab_Def_Flows[Flow_Name],Tab_Def_Flows[DM?],,0,)</f>
        <v>Yes</v>
      </c>
      <c r="F72" s="10" t="str">
        <f>_xlfn.XLOOKUP(C72,Tab_Def_Flows[Flow_Name],Tab_Def_Flows[CC?],,0,)</f>
        <v>Yes</v>
      </c>
      <c r="G72" s="8">
        <v>2020</v>
      </c>
      <c r="H72" s="23">
        <v>161564.91228070174</v>
      </c>
      <c r="I72" s="8" t="s">
        <v>198</v>
      </c>
      <c r="J72" s="15"/>
      <c r="K72" s="15"/>
      <c r="L72" s="15"/>
      <c r="M72" s="15"/>
      <c r="N72" s="15"/>
      <c r="O72" s="8" t="s">
        <v>6</v>
      </c>
      <c r="P72" s="8"/>
      <c r="Q72" s="8"/>
      <c r="R72" s="7" t="str">
        <f>Tab_Data_Flows[[#This Row],[Flow_ID]]&amp;"_"&amp;"material_"&amp;Tab_Data_Flows[[#This Row],[Flow_Data_Year]]</f>
        <v>F_00_02_material_2020</v>
      </c>
      <c r="S72" s="14">
        <f>IF(O72="no",H72,H72*P72)</f>
        <v>161564.91228070174</v>
      </c>
      <c r="T72" s="8" t="s">
        <v>198</v>
      </c>
      <c r="U72" s="143">
        <f>INDEX(Tab_Def_Flows[[Flow_ID]:[CC_DM_source]],MATCH(Tab_Data_Flows[[#This Row],[Flow_Name]],Tab_Def_Flows[Flow_Name],0),11)</f>
        <v>0</v>
      </c>
      <c r="V72" s="7" t="str">
        <f>Tab_Data_Flows[[#This Row],[Flow_ID]]&amp;"_"&amp;"WC_"&amp;Tab_Data_Flows[[#This Row],[Flow_Data_Year]]</f>
        <v>F_00_02_WC_2020</v>
      </c>
      <c r="W72" s="7">
        <f>IF(D72="Yes",S72*Tab_Data_Flows[[#This Row],[WC_'[%']]],"N.A.")</f>
        <v>0</v>
      </c>
      <c r="X72" s="7" t="str">
        <f>Tab_Data_Flows[[#This Row],[UoM_Flow_Py]]</f>
        <v>Mg</v>
      </c>
      <c r="Y72" s="143">
        <f>INDEX(Tab_Def_Flows[[Flow_ID]:[CC_DM_source]],MATCH(Tab_Data_Flows[[#This Row],[Flow_Name]],Tab_Def_Flows[Flow_Name],0),14)</f>
        <v>1</v>
      </c>
      <c r="Z72" s="7" t="str">
        <f>Tab_Data_Flows[[#This Row],[Flow_ID]]&amp;"_"&amp;"DM_"&amp;Tab_Data_Flows[[#This Row],[Flow_Data_Year]]</f>
        <v>F_00_02_DM_2020</v>
      </c>
      <c r="AA72" s="7">
        <f>IF(E72="Yes",Y72*Tab_Data_Flows[[#This Row],[Flow_Material]],"N.A.")</f>
        <v>161564.91228070174</v>
      </c>
      <c r="AB72" s="7" t="str">
        <f>Tab_Data_Flows[[#This Row],[UoM_Flow_Py]]</f>
        <v>Mg</v>
      </c>
      <c r="AC72" s="143">
        <f>INDEX(Tab_Def_Flows[[Flow_ID]:[CC_DM_source]],MATCH(Tab_Data_Flows[[#This Row],[Flow_Name]],Tab_Def_Flows[Flow_Name],0),17)</f>
        <v>1</v>
      </c>
      <c r="AD72" s="7" t="str">
        <f>Tab_Data_Flows[[#This Row],[Flow_ID]]&amp;"_"&amp;"CC_"&amp;Tab_Data_Flows[[#This Row],[Flow_Data_Year]]</f>
        <v>F_00_02_CC_2020</v>
      </c>
      <c r="AE72" s="7">
        <f>IF(F72="Yes",AC72*Tab_Data_Flows[[#This Row],[Flow_Material]]*Tab_Data_Flows[[#This Row],[DM_'[%']]],"N.A.")</f>
        <v>161564.91228070174</v>
      </c>
      <c r="AF72" s="7" t="str">
        <f>Tab_Data_Flows[[#This Row],[UoM_Flow_Py]]</f>
        <v>Mg</v>
      </c>
      <c r="AG72"/>
    </row>
    <row r="73" spans="1:33" x14ac:dyDescent="0.25">
      <c r="A73" s="9">
        <f t="shared" si="1"/>
        <v>72</v>
      </c>
      <c r="B73" s="7" t="str">
        <f>_xlfn.XLOOKUP(C73,Tab_Def_Flows[Flow_Name],Tab_Def_Flows[Flow_ID],,0,)</f>
        <v>F_00_02</v>
      </c>
      <c r="C73" s="142" t="s">
        <v>588</v>
      </c>
      <c r="D73" s="10" t="str">
        <f>_xlfn.XLOOKUP(C73,Tab_Def_Flows[Flow_Name],Tab_Def_Flows[WC?],,0,)</f>
        <v>Yes</v>
      </c>
      <c r="E73" s="10" t="str">
        <f>_xlfn.XLOOKUP(C73,Tab_Def_Flows[Flow_Name],Tab_Def_Flows[DM?],,0,)</f>
        <v>Yes</v>
      </c>
      <c r="F73" s="10" t="str">
        <f>_xlfn.XLOOKUP(C73,Tab_Def_Flows[Flow_Name],Tab_Def_Flows[CC?],,0,)</f>
        <v>Yes</v>
      </c>
      <c r="G73" s="8">
        <v>2021</v>
      </c>
      <c r="H73" s="23">
        <v>161484.63157894739</v>
      </c>
      <c r="I73" s="8" t="s">
        <v>198</v>
      </c>
      <c r="J73" s="15"/>
      <c r="K73" s="15"/>
      <c r="L73" s="15"/>
      <c r="M73" s="15"/>
      <c r="N73" s="15"/>
      <c r="O73" s="8" t="s">
        <v>6</v>
      </c>
      <c r="P73" s="8"/>
      <c r="Q73" s="8"/>
      <c r="R73" s="7" t="str">
        <f>Tab_Data_Flows[[#This Row],[Flow_ID]]&amp;"_"&amp;"material_"&amp;Tab_Data_Flows[[#This Row],[Flow_Data_Year]]</f>
        <v>F_00_02_material_2021</v>
      </c>
      <c r="S73" s="14">
        <f>IF(O73="no",H73,H73*P73)</f>
        <v>161484.63157894739</v>
      </c>
      <c r="T73" s="8" t="s">
        <v>198</v>
      </c>
      <c r="U73" s="143">
        <f>INDEX(Tab_Def_Flows[[Flow_ID]:[CC_DM_source]],MATCH(Tab_Data_Flows[[#This Row],[Flow_Name]],Tab_Def_Flows[Flow_Name],0),11)</f>
        <v>0</v>
      </c>
      <c r="V73" s="7" t="str">
        <f>Tab_Data_Flows[[#This Row],[Flow_ID]]&amp;"_"&amp;"WC_"&amp;Tab_Data_Flows[[#This Row],[Flow_Data_Year]]</f>
        <v>F_00_02_WC_2021</v>
      </c>
      <c r="W73" s="7">
        <f>IF(D73="Yes",S73*Tab_Data_Flows[[#This Row],[WC_'[%']]],"N.A.")</f>
        <v>0</v>
      </c>
      <c r="X73" s="7" t="str">
        <f>Tab_Data_Flows[[#This Row],[UoM_Flow_Py]]</f>
        <v>Mg</v>
      </c>
      <c r="Y73" s="143">
        <f>INDEX(Tab_Def_Flows[[Flow_ID]:[CC_DM_source]],MATCH(Tab_Data_Flows[[#This Row],[Flow_Name]],Tab_Def_Flows[Flow_Name],0),14)</f>
        <v>1</v>
      </c>
      <c r="Z73" s="7" t="str">
        <f>Tab_Data_Flows[[#This Row],[Flow_ID]]&amp;"_"&amp;"DM_"&amp;Tab_Data_Flows[[#This Row],[Flow_Data_Year]]</f>
        <v>F_00_02_DM_2021</v>
      </c>
      <c r="AA73" s="7">
        <f>IF(E73="Yes",Y73*Tab_Data_Flows[[#This Row],[Flow_Material]],"N.A.")</f>
        <v>161484.63157894739</v>
      </c>
      <c r="AB73" s="7" t="str">
        <f>Tab_Data_Flows[[#This Row],[UoM_Flow_Py]]</f>
        <v>Mg</v>
      </c>
      <c r="AC73" s="143">
        <f>INDEX(Tab_Def_Flows[[Flow_ID]:[CC_DM_source]],MATCH(Tab_Data_Flows[[#This Row],[Flow_Name]],Tab_Def_Flows[Flow_Name],0),17)</f>
        <v>1</v>
      </c>
      <c r="AD73" s="7" t="str">
        <f>Tab_Data_Flows[[#This Row],[Flow_ID]]&amp;"_"&amp;"CC_"&amp;Tab_Data_Flows[[#This Row],[Flow_Data_Year]]</f>
        <v>F_00_02_CC_2021</v>
      </c>
      <c r="AE73" s="7">
        <f>IF(F73="Yes",AC73*Tab_Data_Flows[[#This Row],[Flow_Material]]*Tab_Data_Flows[[#This Row],[DM_'[%']]],"N.A.")</f>
        <v>161484.63157894739</v>
      </c>
      <c r="AF73" s="7" t="str">
        <f>Tab_Data_Flows[[#This Row],[UoM_Flow_Py]]</f>
        <v>Mg</v>
      </c>
      <c r="AG73"/>
    </row>
    <row r="74" spans="1:33" x14ac:dyDescent="0.25">
      <c r="A74" s="9">
        <f t="shared" si="1"/>
        <v>73</v>
      </c>
      <c r="B74" s="7" t="str">
        <f>_xlfn.XLOOKUP(C74,Tab_Def_Flows[Flow_Name],Tab_Def_Flows[Flow_ID],,0,)</f>
        <v>F_00_02</v>
      </c>
      <c r="C74" s="142" t="s">
        <v>588</v>
      </c>
      <c r="D74" s="10" t="str">
        <f>_xlfn.XLOOKUP(C74,Tab_Def_Flows[Flow_Name],Tab_Def_Flows[WC?],,0,)</f>
        <v>Yes</v>
      </c>
      <c r="E74" s="10" t="str">
        <f>_xlfn.XLOOKUP(C74,Tab_Def_Flows[Flow_Name],Tab_Def_Flows[DM?],,0,)</f>
        <v>Yes</v>
      </c>
      <c r="F74" s="10" t="str">
        <f>_xlfn.XLOOKUP(C74,Tab_Def_Flows[Flow_Name],Tab_Def_Flows[CC?],,0,)</f>
        <v>Yes</v>
      </c>
      <c r="G74" s="8">
        <v>2022</v>
      </c>
      <c r="H74" s="23">
        <v>161906.10526315789</v>
      </c>
      <c r="I74" s="8" t="s">
        <v>198</v>
      </c>
      <c r="J74" s="15"/>
      <c r="K74" s="15"/>
      <c r="L74" s="15"/>
      <c r="M74" s="15"/>
      <c r="N74" s="15"/>
      <c r="O74" s="8" t="s">
        <v>6</v>
      </c>
      <c r="P74" s="8"/>
      <c r="Q74" s="8"/>
      <c r="R74" s="7" t="str">
        <f>Tab_Data_Flows[[#This Row],[Flow_ID]]&amp;"_"&amp;"material_"&amp;Tab_Data_Flows[[#This Row],[Flow_Data_Year]]</f>
        <v>F_00_02_material_2022</v>
      </c>
      <c r="S74" s="14">
        <f>IF(O74="no",H74,H74*P74)</f>
        <v>161906.10526315789</v>
      </c>
      <c r="T74" s="8" t="s">
        <v>198</v>
      </c>
      <c r="U74" s="143">
        <f>INDEX(Tab_Def_Flows[[Flow_ID]:[CC_DM_source]],MATCH(Tab_Data_Flows[[#This Row],[Flow_Name]],Tab_Def_Flows[Flow_Name],0),11)</f>
        <v>0</v>
      </c>
      <c r="V74" s="7" t="str">
        <f>Tab_Data_Flows[[#This Row],[Flow_ID]]&amp;"_"&amp;"WC_"&amp;Tab_Data_Flows[[#This Row],[Flow_Data_Year]]</f>
        <v>F_00_02_WC_2022</v>
      </c>
      <c r="W74" s="7">
        <f>IF(D74="Yes",S74*Tab_Data_Flows[[#This Row],[WC_'[%']]],"N.A.")</f>
        <v>0</v>
      </c>
      <c r="X74" s="7" t="str">
        <f>Tab_Data_Flows[[#This Row],[UoM_Flow_Py]]</f>
        <v>Mg</v>
      </c>
      <c r="Y74" s="143">
        <f>INDEX(Tab_Def_Flows[[Flow_ID]:[CC_DM_source]],MATCH(Tab_Data_Flows[[#This Row],[Flow_Name]],Tab_Def_Flows[Flow_Name],0),14)</f>
        <v>1</v>
      </c>
      <c r="Z74" s="7" t="str">
        <f>Tab_Data_Flows[[#This Row],[Flow_ID]]&amp;"_"&amp;"DM_"&amp;Tab_Data_Flows[[#This Row],[Flow_Data_Year]]</f>
        <v>F_00_02_DM_2022</v>
      </c>
      <c r="AA74" s="7">
        <f>IF(E74="Yes",Y74*Tab_Data_Flows[[#This Row],[Flow_Material]],"N.A.")</f>
        <v>161906.10526315789</v>
      </c>
      <c r="AB74" s="7" t="str">
        <f>Tab_Data_Flows[[#This Row],[UoM_Flow_Py]]</f>
        <v>Mg</v>
      </c>
      <c r="AC74" s="143">
        <f>INDEX(Tab_Def_Flows[[Flow_ID]:[CC_DM_source]],MATCH(Tab_Data_Flows[[#This Row],[Flow_Name]],Tab_Def_Flows[Flow_Name],0),17)</f>
        <v>1</v>
      </c>
      <c r="AD74" s="7" t="str">
        <f>Tab_Data_Flows[[#This Row],[Flow_ID]]&amp;"_"&amp;"CC_"&amp;Tab_Data_Flows[[#This Row],[Flow_Data_Year]]</f>
        <v>F_00_02_CC_2022</v>
      </c>
      <c r="AE74" s="7">
        <f>IF(F74="Yes",AC74*Tab_Data_Flows[[#This Row],[Flow_Material]]*Tab_Data_Flows[[#This Row],[DM_'[%']]],"N.A.")</f>
        <v>161906.10526315789</v>
      </c>
      <c r="AF74" s="7" t="str">
        <f>Tab_Data_Flows[[#This Row],[UoM_Flow_Py]]</f>
        <v>Mg</v>
      </c>
      <c r="AG74"/>
    </row>
    <row r="75" spans="1:33" x14ac:dyDescent="0.25">
      <c r="A75" s="9">
        <f t="shared" si="1"/>
        <v>74</v>
      </c>
      <c r="B75" s="7" t="str">
        <f>_xlfn.XLOOKUP(C75,Tab_Def_Flows[Flow_Name],Tab_Def_Flows[Flow_ID],,0,)</f>
        <v>F_00_02</v>
      </c>
      <c r="C75" s="142" t="s">
        <v>588</v>
      </c>
      <c r="D75" s="10" t="str">
        <f>_xlfn.XLOOKUP(C75,Tab_Def_Flows[Flow_Name],Tab_Def_Flows[WC?],,0,)</f>
        <v>Yes</v>
      </c>
      <c r="E75" s="10" t="str">
        <f>_xlfn.XLOOKUP(C75,Tab_Def_Flows[Flow_Name],Tab_Def_Flows[DM?],,0,)</f>
        <v>Yes</v>
      </c>
      <c r="F75" s="10" t="str">
        <f>_xlfn.XLOOKUP(C75,Tab_Def_Flows[Flow_Name],Tab_Def_Flows[CC?],,0,)</f>
        <v>Yes</v>
      </c>
      <c r="G75" s="8">
        <v>2023</v>
      </c>
      <c r="H75" s="23">
        <v>155190.11858434152</v>
      </c>
      <c r="I75" s="8" t="s">
        <v>198</v>
      </c>
      <c r="J75" s="15"/>
      <c r="K75" s="15"/>
      <c r="L75" s="15"/>
      <c r="M75" s="15"/>
      <c r="N75" s="15"/>
      <c r="O75" s="8" t="s">
        <v>6</v>
      </c>
      <c r="P75" s="8"/>
      <c r="Q75" s="8"/>
      <c r="R75" s="7" t="str">
        <f>Tab_Data_Flows[[#This Row],[Flow_ID]]&amp;"_"&amp;"material_"&amp;Tab_Data_Flows[[#This Row],[Flow_Data_Year]]</f>
        <v>F_00_02_material_2023</v>
      </c>
      <c r="S75" s="14">
        <f>IF(O75="no",H75,H75*P75)</f>
        <v>155190.11858434152</v>
      </c>
      <c r="T75" s="8" t="s">
        <v>198</v>
      </c>
      <c r="U75" s="143">
        <f>INDEX(Tab_Def_Flows[[Flow_ID]:[CC_DM_source]],MATCH(Tab_Data_Flows[[#This Row],[Flow_Name]],Tab_Def_Flows[Flow_Name],0),11)</f>
        <v>0</v>
      </c>
      <c r="V75" s="7" t="str">
        <f>Tab_Data_Flows[[#This Row],[Flow_ID]]&amp;"_"&amp;"WC_"&amp;Tab_Data_Flows[[#This Row],[Flow_Data_Year]]</f>
        <v>F_00_02_WC_2023</v>
      </c>
      <c r="W75" s="7">
        <f>IF(D75="Yes",S75*Tab_Data_Flows[[#This Row],[WC_'[%']]],"N.A.")</f>
        <v>0</v>
      </c>
      <c r="X75" s="7" t="str">
        <f>Tab_Data_Flows[[#This Row],[UoM_Flow_Py]]</f>
        <v>Mg</v>
      </c>
      <c r="Y75" s="143">
        <f>INDEX(Tab_Def_Flows[[Flow_ID]:[CC_DM_source]],MATCH(Tab_Data_Flows[[#This Row],[Flow_Name]],Tab_Def_Flows[Flow_Name],0),14)</f>
        <v>1</v>
      </c>
      <c r="Z75" s="7" t="str">
        <f>Tab_Data_Flows[[#This Row],[Flow_ID]]&amp;"_"&amp;"DM_"&amp;Tab_Data_Flows[[#This Row],[Flow_Data_Year]]</f>
        <v>F_00_02_DM_2023</v>
      </c>
      <c r="AA75" s="7">
        <f>IF(E75="Yes",Y75*Tab_Data_Flows[[#This Row],[Flow_Material]],"N.A.")</f>
        <v>155190.11858434152</v>
      </c>
      <c r="AB75" s="7" t="str">
        <f>Tab_Data_Flows[[#This Row],[UoM_Flow_Py]]</f>
        <v>Mg</v>
      </c>
      <c r="AC75" s="143">
        <f>INDEX(Tab_Def_Flows[[Flow_ID]:[CC_DM_source]],MATCH(Tab_Data_Flows[[#This Row],[Flow_Name]],Tab_Def_Flows[Flow_Name],0),17)</f>
        <v>1</v>
      </c>
      <c r="AD75" s="7" t="str">
        <f>Tab_Data_Flows[[#This Row],[Flow_ID]]&amp;"_"&amp;"CC_"&amp;Tab_Data_Flows[[#This Row],[Flow_Data_Year]]</f>
        <v>F_00_02_CC_2023</v>
      </c>
      <c r="AE75" s="7">
        <f>IF(F75="Yes",AC75*Tab_Data_Flows[[#This Row],[Flow_Material]]*Tab_Data_Flows[[#This Row],[DM_'[%']]],"N.A.")</f>
        <v>155190.11858434152</v>
      </c>
      <c r="AF75" s="7" t="str">
        <f>Tab_Data_Flows[[#This Row],[UoM_Flow_Py]]</f>
        <v>Mg</v>
      </c>
      <c r="AG75"/>
    </row>
    <row r="76" spans="1:33" x14ac:dyDescent="0.25">
      <c r="A76" s="9">
        <f t="shared" si="1"/>
        <v>75</v>
      </c>
      <c r="B76" s="7" t="str">
        <f>_xlfn.XLOOKUP(C76,Tab_Def_Flows[Flow_Name],Tab_Def_Flows[Flow_ID],,0,)</f>
        <v>F_00_02</v>
      </c>
      <c r="C76" s="142" t="s">
        <v>588</v>
      </c>
      <c r="D76" s="10" t="str">
        <f>_xlfn.XLOOKUP(C76,Tab_Def_Flows[Flow_Name],Tab_Def_Flows[WC?],,0,)</f>
        <v>Yes</v>
      </c>
      <c r="E76" s="10" t="str">
        <f>_xlfn.XLOOKUP(C76,Tab_Def_Flows[Flow_Name],Tab_Def_Flows[DM?],,0,)</f>
        <v>Yes</v>
      </c>
      <c r="F76" s="10" t="str">
        <f>_xlfn.XLOOKUP(C76,Tab_Def_Flows[Flow_Name],Tab_Def_Flows[CC?],,0,)</f>
        <v>Yes</v>
      </c>
      <c r="G76" s="8">
        <v>2024</v>
      </c>
      <c r="H76" s="23">
        <v>112268.76199108365</v>
      </c>
      <c r="I76" s="8" t="s">
        <v>198</v>
      </c>
      <c r="J76" s="15"/>
      <c r="K76" s="15"/>
      <c r="L76" s="15"/>
      <c r="M76" s="15"/>
      <c r="N76" s="15"/>
      <c r="O76" s="8" t="s">
        <v>6</v>
      </c>
      <c r="P76" s="8"/>
      <c r="Q76" s="8"/>
      <c r="R76" s="7" t="str">
        <f>Tab_Data_Flows[[#This Row],[Flow_ID]]&amp;"_"&amp;"material_"&amp;Tab_Data_Flows[[#This Row],[Flow_Data_Year]]</f>
        <v>F_00_02_material_2024</v>
      </c>
      <c r="S76" s="14">
        <f>IF(O76="no",H76,H76*P76)</f>
        <v>112268.76199108365</v>
      </c>
      <c r="T76" s="8" t="s">
        <v>198</v>
      </c>
      <c r="U76" s="143">
        <f>INDEX(Tab_Def_Flows[[Flow_ID]:[CC_DM_source]],MATCH(Tab_Data_Flows[[#This Row],[Flow_Name]],Tab_Def_Flows[Flow_Name],0),11)</f>
        <v>0</v>
      </c>
      <c r="V76" s="7" t="str">
        <f>Tab_Data_Flows[[#This Row],[Flow_ID]]&amp;"_"&amp;"WC_"&amp;Tab_Data_Flows[[#This Row],[Flow_Data_Year]]</f>
        <v>F_00_02_WC_2024</v>
      </c>
      <c r="W76" s="7">
        <f>IF(D76="Yes",S76*Tab_Data_Flows[[#This Row],[WC_'[%']]],"N.A.")</f>
        <v>0</v>
      </c>
      <c r="X76" s="7" t="str">
        <f>Tab_Data_Flows[[#This Row],[UoM_Flow_Py]]</f>
        <v>Mg</v>
      </c>
      <c r="Y76" s="143">
        <f>INDEX(Tab_Def_Flows[[Flow_ID]:[CC_DM_source]],MATCH(Tab_Data_Flows[[#This Row],[Flow_Name]],Tab_Def_Flows[Flow_Name],0),14)</f>
        <v>1</v>
      </c>
      <c r="Z76" s="7" t="str">
        <f>Tab_Data_Flows[[#This Row],[Flow_ID]]&amp;"_"&amp;"DM_"&amp;Tab_Data_Flows[[#This Row],[Flow_Data_Year]]</f>
        <v>F_00_02_DM_2024</v>
      </c>
      <c r="AA76" s="7">
        <f>IF(E76="Yes",Y76*Tab_Data_Flows[[#This Row],[Flow_Material]],"N.A.")</f>
        <v>112268.76199108365</v>
      </c>
      <c r="AB76" s="7" t="str">
        <f>Tab_Data_Flows[[#This Row],[UoM_Flow_Py]]</f>
        <v>Mg</v>
      </c>
      <c r="AC76" s="143">
        <f>INDEX(Tab_Def_Flows[[Flow_ID]:[CC_DM_source]],MATCH(Tab_Data_Flows[[#This Row],[Flow_Name]],Tab_Def_Flows[Flow_Name],0),17)</f>
        <v>1</v>
      </c>
      <c r="AD76" s="7" t="str">
        <f>Tab_Data_Flows[[#This Row],[Flow_ID]]&amp;"_"&amp;"CC_"&amp;Tab_Data_Flows[[#This Row],[Flow_Data_Year]]</f>
        <v>F_00_02_CC_2024</v>
      </c>
      <c r="AE76" s="7">
        <f>IF(F76="Yes",AC76*Tab_Data_Flows[[#This Row],[Flow_Material]]*Tab_Data_Flows[[#This Row],[DM_'[%']]],"N.A.")</f>
        <v>112268.76199108365</v>
      </c>
      <c r="AF76" s="7" t="str">
        <f>Tab_Data_Flows[[#This Row],[UoM_Flow_Py]]</f>
        <v>Mg</v>
      </c>
      <c r="AG76"/>
    </row>
    <row r="77" spans="1:33" x14ac:dyDescent="0.25">
      <c r="A77" s="9">
        <f t="shared" si="1"/>
        <v>76</v>
      </c>
      <c r="B77" s="7" t="str">
        <f>_xlfn.XLOOKUP(C77,Tab_Def_Flows[Flow_Name],Tab_Def_Flows[Flow_ID],,0,)</f>
        <v>F_00_02</v>
      </c>
      <c r="C77" s="142" t="s">
        <v>588</v>
      </c>
      <c r="D77" s="10" t="str">
        <f>_xlfn.XLOOKUP(C77,Tab_Def_Flows[Flow_Name],Tab_Def_Flows[WC?],,0,)</f>
        <v>Yes</v>
      </c>
      <c r="E77" s="10" t="str">
        <f>_xlfn.XLOOKUP(C77,Tab_Def_Flows[Flow_Name],Tab_Def_Flows[DM?],,0,)</f>
        <v>Yes</v>
      </c>
      <c r="F77" s="10" t="str">
        <f>_xlfn.XLOOKUP(C77,Tab_Def_Flows[Flow_Name],Tab_Def_Flows[CC?],,0,)</f>
        <v>Yes</v>
      </c>
      <c r="G77" s="8">
        <v>2025</v>
      </c>
      <c r="H77" s="23">
        <v>148761.55052256523</v>
      </c>
      <c r="I77" s="8" t="s">
        <v>198</v>
      </c>
      <c r="J77" s="15"/>
      <c r="K77" s="15"/>
      <c r="L77" s="15"/>
      <c r="M77" s="15"/>
      <c r="N77" s="15"/>
      <c r="O77" s="8" t="s">
        <v>6</v>
      </c>
      <c r="P77" s="8"/>
      <c r="Q77" s="8"/>
      <c r="R77" s="7" t="str">
        <f>Tab_Data_Flows[[#This Row],[Flow_ID]]&amp;"_"&amp;"material_"&amp;Tab_Data_Flows[[#This Row],[Flow_Data_Year]]</f>
        <v>F_00_02_material_2025</v>
      </c>
      <c r="S77" s="14">
        <f>IF(O77="no",H77,H77*P77)</f>
        <v>148761.55052256523</v>
      </c>
      <c r="T77" s="8" t="s">
        <v>198</v>
      </c>
      <c r="U77" s="143">
        <f>INDEX(Tab_Def_Flows[[Flow_ID]:[CC_DM_source]],MATCH(Tab_Data_Flows[[#This Row],[Flow_Name]],Tab_Def_Flows[Flow_Name],0),11)</f>
        <v>0</v>
      </c>
      <c r="V77" s="7" t="str">
        <f>Tab_Data_Flows[[#This Row],[Flow_ID]]&amp;"_"&amp;"WC_"&amp;Tab_Data_Flows[[#This Row],[Flow_Data_Year]]</f>
        <v>F_00_02_WC_2025</v>
      </c>
      <c r="W77" s="7">
        <f>IF(D77="Yes",S77*Tab_Data_Flows[[#This Row],[WC_'[%']]],"N.A.")</f>
        <v>0</v>
      </c>
      <c r="X77" s="7" t="str">
        <f>Tab_Data_Flows[[#This Row],[UoM_Flow_Py]]</f>
        <v>Mg</v>
      </c>
      <c r="Y77" s="143">
        <f>INDEX(Tab_Def_Flows[[Flow_ID]:[CC_DM_source]],MATCH(Tab_Data_Flows[[#This Row],[Flow_Name]],Tab_Def_Flows[Flow_Name],0),14)</f>
        <v>1</v>
      </c>
      <c r="Z77" s="7" t="str">
        <f>Tab_Data_Flows[[#This Row],[Flow_ID]]&amp;"_"&amp;"DM_"&amp;Tab_Data_Flows[[#This Row],[Flow_Data_Year]]</f>
        <v>F_00_02_DM_2025</v>
      </c>
      <c r="AA77" s="7">
        <f>IF(E77="Yes",Y77*Tab_Data_Flows[[#This Row],[Flow_Material]],"N.A.")</f>
        <v>148761.55052256523</v>
      </c>
      <c r="AB77" s="7" t="str">
        <f>Tab_Data_Flows[[#This Row],[UoM_Flow_Py]]</f>
        <v>Mg</v>
      </c>
      <c r="AC77" s="143">
        <f>INDEX(Tab_Def_Flows[[Flow_ID]:[CC_DM_source]],MATCH(Tab_Data_Flows[[#This Row],[Flow_Name]],Tab_Def_Flows[Flow_Name],0),17)</f>
        <v>1</v>
      </c>
      <c r="AD77" s="7" t="str">
        <f>Tab_Data_Flows[[#This Row],[Flow_ID]]&amp;"_"&amp;"CC_"&amp;Tab_Data_Flows[[#This Row],[Flow_Data_Year]]</f>
        <v>F_00_02_CC_2025</v>
      </c>
      <c r="AE77" s="7">
        <f>IF(F77="Yes",AC77*Tab_Data_Flows[[#This Row],[Flow_Material]]*Tab_Data_Flows[[#This Row],[DM_'[%']]],"N.A.")</f>
        <v>148761.55052256523</v>
      </c>
      <c r="AF77" s="7" t="str">
        <f>Tab_Data_Flows[[#This Row],[UoM_Flow_Py]]</f>
        <v>Mg</v>
      </c>
      <c r="AG77"/>
    </row>
    <row r="78" spans="1:33" x14ac:dyDescent="0.25">
      <c r="A78" s="9">
        <f t="shared" si="1"/>
        <v>77</v>
      </c>
      <c r="B78" s="7" t="str">
        <f>_xlfn.XLOOKUP(C78,Tab_Def_Flows[Flow_Name],Tab_Def_Flows[Flow_ID],,0,)</f>
        <v>F_00_02</v>
      </c>
      <c r="C78" s="142" t="s">
        <v>588</v>
      </c>
      <c r="D78" s="10" t="str">
        <f>_xlfn.XLOOKUP(C78,Tab_Def_Flows[Flow_Name],Tab_Def_Flows[WC?],,0,)</f>
        <v>Yes</v>
      </c>
      <c r="E78" s="10" t="str">
        <f>_xlfn.XLOOKUP(C78,Tab_Def_Flows[Flow_Name],Tab_Def_Flows[DM?],,0,)</f>
        <v>Yes</v>
      </c>
      <c r="F78" s="10" t="str">
        <f>_xlfn.XLOOKUP(C78,Tab_Def_Flows[Flow_Name],Tab_Def_Flows[CC?],,0,)</f>
        <v>Yes</v>
      </c>
      <c r="G78" s="8">
        <v>2026</v>
      </c>
      <c r="H78" s="23">
        <v>160667.48903857288</v>
      </c>
      <c r="I78" s="8" t="s">
        <v>198</v>
      </c>
      <c r="J78" s="15"/>
      <c r="K78" s="15"/>
      <c r="L78" s="15"/>
      <c r="M78" s="15"/>
      <c r="N78" s="15"/>
      <c r="O78" s="8" t="s">
        <v>6</v>
      </c>
      <c r="P78" s="8"/>
      <c r="Q78" s="8"/>
      <c r="R78" s="7" t="str">
        <f>Tab_Data_Flows[[#This Row],[Flow_ID]]&amp;"_"&amp;"material_"&amp;Tab_Data_Flows[[#This Row],[Flow_Data_Year]]</f>
        <v>F_00_02_material_2026</v>
      </c>
      <c r="S78" s="14">
        <f>IF(O78="no",H78,H78*P78)</f>
        <v>160667.48903857288</v>
      </c>
      <c r="T78" s="8" t="s">
        <v>198</v>
      </c>
      <c r="U78" s="143">
        <f>INDEX(Tab_Def_Flows[[Flow_ID]:[CC_DM_source]],MATCH(Tab_Data_Flows[[#This Row],[Flow_Name]],Tab_Def_Flows[Flow_Name],0),11)</f>
        <v>0</v>
      </c>
      <c r="V78" s="7" t="str">
        <f>Tab_Data_Flows[[#This Row],[Flow_ID]]&amp;"_"&amp;"WC_"&amp;Tab_Data_Flows[[#This Row],[Flow_Data_Year]]</f>
        <v>F_00_02_WC_2026</v>
      </c>
      <c r="W78" s="7">
        <f>IF(D78="Yes",S78*Tab_Data_Flows[[#This Row],[WC_'[%']]],"N.A.")</f>
        <v>0</v>
      </c>
      <c r="X78" s="7" t="str">
        <f>Tab_Data_Flows[[#This Row],[UoM_Flow_Py]]</f>
        <v>Mg</v>
      </c>
      <c r="Y78" s="143">
        <f>INDEX(Tab_Def_Flows[[Flow_ID]:[CC_DM_source]],MATCH(Tab_Data_Flows[[#This Row],[Flow_Name]],Tab_Def_Flows[Flow_Name],0),14)</f>
        <v>1</v>
      </c>
      <c r="Z78" s="7" t="str">
        <f>Tab_Data_Flows[[#This Row],[Flow_ID]]&amp;"_"&amp;"DM_"&amp;Tab_Data_Flows[[#This Row],[Flow_Data_Year]]</f>
        <v>F_00_02_DM_2026</v>
      </c>
      <c r="AA78" s="7">
        <f>IF(E78="Yes",Y78*Tab_Data_Flows[[#This Row],[Flow_Material]],"N.A.")</f>
        <v>160667.48903857288</v>
      </c>
      <c r="AB78" s="7" t="str">
        <f>Tab_Data_Flows[[#This Row],[UoM_Flow_Py]]</f>
        <v>Mg</v>
      </c>
      <c r="AC78" s="143">
        <f>INDEX(Tab_Def_Flows[[Flow_ID]:[CC_DM_source]],MATCH(Tab_Data_Flows[[#This Row],[Flow_Name]],Tab_Def_Flows[Flow_Name],0),17)</f>
        <v>1</v>
      </c>
      <c r="AD78" s="7" t="str">
        <f>Tab_Data_Flows[[#This Row],[Flow_ID]]&amp;"_"&amp;"CC_"&amp;Tab_Data_Flows[[#This Row],[Flow_Data_Year]]</f>
        <v>F_00_02_CC_2026</v>
      </c>
      <c r="AE78" s="7">
        <f>IF(F78="Yes",AC78*Tab_Data_Flows[[#This Row],[Flow_Material]]*Tab_Data_Flows[[#This Row],[DM_'[%']]],"N.A.")</f>
        <v>160667.48903857288</v>
      </c>
      <c r="AF78" s="7" t="str">
        <f>Tab_Data_Flows[[#This Row],[UoM_Flow_Py]]</f>
        <v>Mg</v>
      </c>
      <c r="AG78"/>
    </row>
    <row r="79" spans="1:33" x14ac:dyDescent="0.25">
      <c r="A79" s="9">
        <f t="shared" si="1"/>
        <v>78</v>
      </c>
      <c r="B79" s="7" t="str">
        <f>_xlfn.XLOOKUP(C79,Tab_Def_Flows[Flow_Name],Tab_Def_Flows[Flow_ID],,0,)</f>
        <v>F_00_02</v>
      </c>
      <c r="C79" s="142" t="s">
        <v>588</v>
      </c>
      <c r="D79" s="10" t="str">
        <f>_xlfn.XLOOKUP(C79,Tab_Def_Flows[Flow_Name],Tab_Def_Flows[WC?],,0,)</f>
        <v>Yes</v>
      </c>
      <c r="E79" s="10" t="str">
        <f>_xlfn.XLOOKUP(C79,Tab_Def_Flows[Flow_Name],Tab_Def_Flows[DM?],,0,)</f>
        <v>Yes</v>
      </c>
      <c r="F79" s="10" t="str">
        <f>_xlfn.XLOOKUP(C79,Tab_Def_Flows[Flow_Name],Tab_Def_Flows[CC?],,0,)</f>
        <v>Yes</v>
      </c>
      <c r="G79" s="8">
        <v>2027</v>
      </c>
      <c r="H79" s="23">
        <v>183802.57025280842</v>
      </c>
      <c r="I79" s="8" t="s">
        <v>198</v>
      </c>
      <c r="J79" s="15"/>
      <c r="K79" s="15"/>
      <c r="L79" s="15"/>
      <c r="M79" s="15"/>
      <c r="N79" s="15"/>
      <c r="O79" s="8" t="s">
        <v>6</v>
      </c>
      <c r="P79" s="8"/>
      <c r="Q79" s="8"/>
      <c r="R79" s="7" t="str">
        <f>Tab_Data_Flows[[#This Row],[Flow_ID]]&amp;"_"&amp;"material_"&amp;Tab_Data_Flows[[#This Row],[Flow_Data_Year]]</f>
        <v>F_00_02_material_2027</v>
      </c>
      <c r="S79" s="14">
        <f>IF(O79="no",H79,H79*P79)</f>
        <v>183802.57025280842</v>
      </c>
      <c r="T79" s="8" t="s">
        <v>198</v>
      </c>
      <c r="U79" s="143">
        <f>INDEX(Tab_Def_Flows[[Flow_ID]:[CC_DM_source]],MATCH(Tab_Data_Flows[[#This Row],[Flow_Name]],Tab_Def_Flows[Flow_Name],0),11)</f>
        <v>0</v>
      </c>
      <c r="V79" s="7" t="str">
        <f>Tab_Data_Flows[[#This Row],[Flow_ID]]&amp;"_"&amp;"WC_"&amp;Tab_Data_Flows[[#This Row],[Flow_Data_Year]]</f>
        <v>F_00_02_WC_2027</v>
      </c>
      <c r="W79" s="7">
        <f>IF(D79="Yes",S79*Tab_Data_Flows[[#This Row],[WC_'[%']]],"N.A.")</f>
        <v>0</v>
      </c>
      <c r="X79" s="7" t="str">
        <f>Tab_Data_Flows[[#This Row],[UoM_Flow_Py]]</f>
        <v>Mg</v>
      </c>
      <c r="Y79" s="143">
        <f>INDEX(Tab_Def_Flows[[Flow_ID]:[CC_DM_source]],MATCH(Tab_Data_Flows[[#This Row],[Flow_Name]],Tab_Def_Flows[Flow_Name],0),14)</f>
        <v>1</v>
      </c>
      <c r="Z79" s="7" t="str">
        <f>Tab_Data_Flows[[#This Row],[Flow_ID]]&amp;"_"&amp;"DM_"&amp;Tab_Data_Flows[[#This Row],[Flow_Data_Year]]</f>
        <v>F_00_02_DM_2027</v>
      </c>
      <c r="AA79" s="7">
        <f>IF(E79="Yes",Y79*Tab_Data_Flows[[#This Row],[Flow_Material]],"N.A.")</f>
        <v>183802.57025280842</v>
      </c>
      <c r="AB79" s="7" t="str">
        <f>Tab_Data_Flows[[#This Row],[UoM_Flow_Py]]</f>
        <v>Mg</v>
      </c>
      <c r="AC79" s="143">
        <f>INDEX(Tab_Def_Flows[[Flow_ID]:[CC_DM_source]],MATCH(Tab_Data_Flows[[#This Row],[Flow_Name]],Tab_Def_Flows[Flow_Name],0),17)</f>
        <v>1</v>
      </c>
      <c r="AD79" s="7" t="str">
        <f>Tab_Data_Flows[[#This Row],[Flow_ID]]&amp;"_"&amp;"CC_"&amp;Tab_Data_Flows[[#This Row],[Flow_Data_Year]]</f>
        <v>F_00_02_CC_2027</v>
      </c>
      <c r="AE79" s="7">
        <f>IF(F79="Yes",AC79*Tab_Data_Flows[[#This Row],[Flow_Material]]*Tab_Data_Flows[[#This Row],[DM_'[%']]],"N.A.")</f>
        <v>183802.57025280842</v>
      </c>
      <c r="AF79" s="7" t="str">
        <f>Tab_Data_Flows[[#This Row],[UoM_Flow_Py]]</f>
        <v>Mg</v>
      </c>
      <c r="AG79"/>
    </row>
    <row r="80" spans="1:33" x14ac:dyDescent="0.25">
      <c r="A80" s="9">
        <f t="shared" si="1"/>
        <v>79</v>
      </c>
      <c r="B80" s="7" t="str">
        <f>_xlfn.XLOOKUP(C80,Tab_Def_Flows[Flow_Name],Tab_Def_Flows[Flow_ID],,0,)</f>
        <v>F_00_02</v>
      </c>
      <c r="C80" s="142" t="s">
        <v>588</v>
      </c>
      <c r="D80" s="10" t="str">
        <f>_xlfn.XLOOKUP(C80,Tab_Def_Flows[Flow_Name],Tab_Def_Flows[WC?],,0,)</f>
        <v>Yes</v>
      </c>
      <c r="E80" s="10" t="str">
        <f>_xlfn.XLOOKUP(C80,Tab_Def_Flows[Flow_Name],Tab_Def_Flows[DM?],,0,)</f>
        <v>Yes</v>
      </c>
      <c r="F80" s="10" t="str">
        <f>_xlfn.XLOOKUP(C80,Tab_Def_Flows[Flow_Name],Tab_Def_Flows[CC?],,0,)</f>
        <v>Yes</v>
      </c>
      <c r="G80" s="8">
        <v>2028</v>
      </c>
      <c r="H80" s="23">
        <v>142597.9077518046</v>
      </c>
      <c r="I80" s="8" t="s">
        <v>198</v>
      </c>
      <c r="J80" s="15"/>
      <c r="K80" s="15"/>
      <c r="L80" s="15"/>
      <c r="M80" s="15"/>
      <c r="N80" s="15"/>
      <c r="O80" s="8" t="s">
        <v>6</v>
      </c>
      <c r="P80" s="8"/>
      <c r="Q80" s="8"/>
      <c r="R80" s="7" t="str">
        <f>Tab_Data_Flows[[#This Row],[Flow_ID]]&amp;"_"&amp;"material_"&amp;Tab_Data_Flows[[#This Row],[Flow_Data_Year]]</f>
        <v>F_00_02_material_2028</v>
      </c>
      <c r="S80" s="14">
        <f>IF(O80="no",H80,H80*P80)</f>
        <v>142597.9077518046</v>
      </c>
      <c r="T80" s="8" t="s">
        <v>198</v>
      </c>
      <c r="U80" s="143">
        <f>INDEX(Tab_Def_Flows[[Flow_ID]:[CC_DM_source]],MATCH(Tab_Data_Flows[[#This Row],[Flow_Name]],Tab_Def_Flows[Flow_Name],0),11)</f>
        <v>0</v>
      </c>
      <c r="V80" s="7" t="str">
        <f>Tab_Data_Flows[[#This Row],[Flow_ID]]&amp;"_"&amp;"WC_"&amp;Tab_Data_Flows[[#This Row],[Flow_Data_Year]]</f>
        <v>F_00_02_WC_2028</v>
      </c>
      <c r="W80" s="7">
        <f>IF(D80="Yes",S80*Tab_Data_Flows[[#This Row],[WC_'[%']]],"N.A.")</f>
        <v>0</v>
      </c>
      <c r="X80" s="7" t="str">
        <f>Tab_Data_Flows[[#This Row],[UoM_Flow_Py]]</f>
        <v>Mg</v>
      </c>
      <c r="Y80" s="143">
        <f>INDEX(Tab_Def_Flows[[Flow_ID]:[CC_DM_source]],MATCH(Tab_Data_Flows[[#This Row],[Flow_Name]],Tab_Def_Flows[Flow_Name],0),14)</f>
        <v>1</v>
      </c>
      <c r="Z80" s="7" t="str">
        <f>Tab_Data_Flows[[#This Row],[Flow_ID]]&amp;"_"&amp;"DM_"&amp;Tab_Data_Flows[[#This Row],[Flow_Data_Year]]</f>
        <v>F_00_02_DM_2028</v>
      </c>
      <c r="AA80" s="7">
        <f>IF(E80="Yes",Y80*Tab_Data_Flows[[#This Row],[Flow_Material]],"N.A.")</f>
        <v>142597.9077518046</v>
      </c>
      <c r="AB80" s="7" t="str">
        <f>Tab_Data_Flows[[#This Row],[UoM_Flow_Py]]</f>
        <v>Mg</v>
      </c>
      <c r="AC80" s="143">
        <f>INDEX(Tab_Def_Flows[[Flow_ID]:[CC_DM_source]],MATCH(Tab_Data_Flows[[#This Row],[Flow_Name]],Tab_Def_Flows[Flow_Name],0),17)</f>
        <v>1</v>
      </c>
      <c r="AD80" s="7" t="str">
        <f>Tab_Data_Flows[[#This Row],[Flow_ID]]&amp;"_"&amp;"CC_"&amp;Tab_Data_Flows[[#This Row],[Flow_Data_Year]]</f>
        <v>F_00_02_CC_2028</v>
      </c>
      <c r="AE80" s="7">
        <f>IF(F80="Yes",AC80*Tab_Data_Flows[[#This Row],[Flow_Material]]*Tab_Data_Flows[[#This Row],[DM_'[%']]],"N.A.")</f>
        <v>142597.9077518046</v>
      </c>
      <c r="AF80" s="7" t="str">
        <f>Tab_Data_Flows[[#This Row],[UoM_Flow_Py]]</f>
        <v>Mg</v>
      </c>
      <c r="AG80"/>
    </row>
    <row r="81" spans="1:33" x14ac:dyDescent="0.25">
      <c r="A81" s="9">
        <f t="shared" si="1"/>
        <v>80</v>
      </c>
      <c r="B81" s="7" t="str">
        <f>_xlfn.XLOOKUP(C81,Tab_Def_Flows[Flow_Name],Tab_Def_Flows[Flow_ID],,0,)</f>
        <v>F_00_02</v>
      </c>
      <c r="C81" s="142" t="s">
        <v>588</v>
      </c>
      <c r="D81" s="10" t="str">
        <f>_xlfn.XLOOKUP(C81,Tab_Def_Flows[Flow_Name],Tab_Def_Flows[WC?],,0,)</f>
        <v>Yes</v>
      </c>
      <c r="E81" s="10" t="str">
        <f>_xlfn.XLOOKUP(C81,Tab_Def_Flows[Flow_Name],Tab_Def_Flows[DM?],,0,)</f>
        <v>Yes</v>
      </c>
      <c r="F81" s="10" t="str">
        <f>_xlfn.XLOOKUP(C81,Tab_Def_Flows[Flow_Name],Tab_Def_Flows[CC?],,0,)</f>
        <v>Yes</v>
      </c>
      <c r="G81" s="8">
        <v>2029</v>
      </c>
      <c r="H81" s="23">
        <v>136607.13994040014</v>
      </c>
      <c r="I81" s="8" t="s">
        <v>198</v>
      </c>
      <c r="J81" s="15"/>
      <c r="K81" s="15"/>
      <c r="L81" s="15"/>
      <c r="M81" s="15"/>
      <c r="N81" s="15"/>
      <c r="O81" s="8" t="s">
        <v>6</v>
      </c>
      <c r="P81" s="8"/>
      <c r="Q81" s="8"/>
      <c r="R81" s="7" t="str">
        <f>Tab_Data_Flows[[#This Row],[Flow_ID]]&amp;"_"&amp;"material_"&amp;Tab_Data_Flows[[#This Row],[Flow_Data_Year]]</f>
        <v>F_00_02_material_2029</v>
      </c>
      <c r="S81" s="14">
        <f>IF(O81="no",H81,H81*P81)</f>
        <v>136607.13994040014</v>
      </c>
      <c r="T81" s="8" t="s">
        <v>198</v>
      </c>
      <c r="U81" s="143">
        <f>INDEX(Tab_Def_Flows[[Flow_ID]:[CC_DM_source]],MATCH(Tab_Data_Flows[[#This Row],[Flow_Name]],Tab_Def_Flows[Flow_Name],0),11)</f>
        <v>0</v>
      </c>
      <c r="V81" s="7" t="str">
        <f>Tab_Data_Flows[[#This Row],[Flow_ID]]&amp;"_"&amp;"WC_"&amp;Tab_Data_Flows[[#This Row],[Flow_Data_Year]]</f>
        <v>F_00_02_WC_2029</v>
      </c>
      <c r="W81" s="7">
        <f>IF(D81="Yes",S81*Tab_Data_Flows[[#This Row],[WC_'[%']]],"N.A.")</f>
        <v>0</v>
      </c>
      <c r="X81" s="7" t="str">
        <f>Tab_Data_Flows[[#This Row],[UoM_Flow_Py]]</f>
        <v>Mg</v>
      </c>
      <c r="Y81" s="143">
        <f>INDEX(Tab_Def_Flows[[Flow_ID]:[CC_DM_source]],MATCH(Tab_Data_Flows[[#This Row],[Flow_Name]],Tab_Def_Flows[Flow_Name],0),14)</f>
        <v>1</v>
      </c>
      <c r="Z81" s="7" t="str">
        <f>Tab_Data_Flows[[#This Row],[Flow_ID]]&amp;"_"&amp;"DM_"&amp;Tab_Data_Flows[[#This Row],[Flow_Data_Year]]</f>
        <v>F_00_02_DM_2029</v>
      </c>
      <c r="AA81" s="7">
        <f>IF(E81="Yes",Y81*Tab_Data_Flows[[#This Row],[Flow_Material]],"N.A.")</f>
        <v>136607.13994040014</v>
      </c>
      <c r="AB81" s="7" t="str">
        <f>Tab_Data_Flows[[#This Row],[UoM_Flow_Py]]</f>
        <v>Mg</v>
      </c>
      <c r="AC81" s="143">
        <f>INDEX(Tab_Def_Flows[[Flow_ID]:[CC_DM_source]],MATCH(Tab_Data_Flows[[#This Row],[Flow_Name]],Tab_Def_Flows[Flow_Name],0),17)</f>
        <v>1</v>
      </c>
      <c r="AD81" s="7" t="str">
        <f>Tab_Data_Flows[[#This Row],[Flow_ID]]&amp;"_"&amp;"CC_"&amp;Tab_Data_Flows[[#This Row],[Flow_Data_Year]]</f>
        <v>F_00_02_CC_2029</v>
      </c>
      <c r="AE81" s="7">
        <f>IF(F81="Yes",AC81*Tab_Data_Flows[[#This Row],[Flow_Material]]*Tab_Data_Flows[[#This Row],[DM_'[%']]],"N.A.")</f>
        <v>136607.13994040014</v>
      </c>
      <c r="AF81" s="7" t="str">
        <f>Tab_Data_Flows[[#This Row],[UoM_Flow_Py]]</f>
        <v>Mg</v>
      </c>
      <c r="AG81"/>
    </row>
    <row r="82" spans="1:33" x14ac:dyDescent="0.25">
      <c r="A82" s="9">
        <f t="shared" si="1"/>
        <v>81</v>
      </c>
      <c r="B82" s="7" t="str">
        <f>_xlfn.XLOOKUP(C82,Tab_Def_Flows[Flow_Name],Tab_Def_Flows[Flow_ID],,0,)</f>
        <v>F_00_02</v>
      </c>
      <c r="C82" s="142" t="s">
        <v>588</v>
      </c>
      <c r="D82" s="10" t="str">
        <f>_xlfn.XLOOKUP(C82,Tab_Def_Flows[Flow_Name],Tab_Def_Flows[WC?],,0,)</f>
        <v>Yes</v>
      </c>
      <c r="E82" s="10" t="str">
        <f>_xlfn.XLOOKUP(C82,Tab_Def_Flows[Flow_Name],Tab_Def_Flows[DM?],,0,)</f>
        <v>Yes</v>
      </c>
      <c r="F82" s="10" t="str">
        <f>_xlfn.XLOOKUP(C82,Tab_Def_Flows[Flow_Name],Tab_Def_Flows[CC?],,0,)</f>
        <v>Yes</v>
      </c>
      <c r="G82" s="8">
        <v>2030</v>
      </c>
      <c r="H82" s="23">
        <v>142938.77137835664</v>
      </c>
      <c r="I82" s="8" t="s">
        <v>198</v>
      </c>
      <c r="J82" s="15"/>
      <c r="K82" s="15"/>
      <c r="L82" s="15"/>
      <c r="M82" s="15"/>
      <c r="N82" s="15"/>
      <c r="O82" s="8" t="s">
        <v>6</v>
      </c>
      <c r="P82" s="8"/>
      <c r="Q82" s="8"/>
      <c r="R82" s="7" t="str">
        <f>Tab_Data_Flows[[#This Row],[Flow_ID]]&amp;"_"&amp;"material_"&amp;Tab_Data_Flows[[#This Row],[Flow_Data_Year]]</f>
        <v>F_00_02_material_2030</v>
      </c>
      <c r="S82" s="14">
        <f>IF(O82="no",H82,H82*P82)</f>
        <v>142938.77137835664</v>
      </c>
      <c r="T82" s="8" t="s">
        <v>198</v>
      </c>
      <c r="U82" s="143">
        <f>INDEX(Tab_Def_Flows[[Flow_ID]:[CC_DM_source]],MATCH(Tab_Data_Flows[[#This Row],[Flow_Name]],Tab_Def_Flows[Flow_Name],0),11)</f>
        <v>0</v>
      </c>
      <c r="V82" s="7" t="str">
        <f>Tab_Data_Flows[[#This Row],[Flow_ID]]&amp;"_"&amp;"WC_"&amp;Tab_Data_Flows[[#This Row],[Flow_Data_Year]]</f>
        <v>F_00_02_WC_2030</v>
      </c>
      <c r="W82" s="7">
        <f>IF(D82="Yes",S82*Tab_Data_Flows[[#This Row],[WC_'[%']]],"N.A.")</f>
        <v>0</v>
      </c>
      <c r="X82" s="7" t="str">
        <f>Tab_Data_Flows[[#This Row],[UoM_Flow_Py]]</f>
        <v>Mg</v>
      </c>
      <c r="Y82" s="143">
        <f>INDEX(Tab_Def_Flows[[Flow_ID]:[CC_DM_source]],MATCH(Tab_Data_Flows[[#This Row],[Flow_Name]],Tab_Def_Flows[Flow_Name],0),14)</f>
        <v>1</v>
      </c>
      <c r="Z82" s="7" t="str">
        <f>Tab_Data_Flows[[#This Row],[Flow_ID]]&amp;"_"&amp;"DM_"&amp;Tab_Data_Flows[[#This Row],[Flow_Data_Year]]</f>
        <v>F_00_02_DM_2030</v>
      </c>
      <c r="AA82" s="7">
        <f>IF(E82="Yes",Y82*Tab_Data_Flows[[#This Row],[Flow_Material]],"N.A.")</f>
        <v>142938.77137835664</v>
      </c>
      <c r="AB82" s="7" t="str">
        <f>Tab_Data_Flows[[#This Row],[UoM_Flow_Py]]</f>
        <v>Mg</v>
      </c>
      <c r="AC82" s="143">
        <f>INDEX(Tab_Def_Flows[[Flow_ID]:[CC_DM_source]],MATCH(Tab_Data_Flows[[#This Row],[Flow_Name]],Tab_Def_Flows[Flow_Name],0),17)</f>
        <v>1</v>
      </c>
      <c r="AD82" s="7" t="str">
        <f>Tab_Data_Flows[[#This Row],[Flow_ID]]&amp;"_"&amp;"CC_"&amp;Tab_Data_Flows[[#This Row],[Flow_Data_Year]]</f>
        <v>F_00_02_CC_2030</v>
      </c>
      <c r="AE82" s="7">
        <f>IF(F82="Yes",AC82*Tab_Data_Flows[[#This Row],[Flow_Material]]*Tab_Data_Flows[[#This Row],[DM_'[%']]],"N.A.")</f>
        <v>142938.77137835664</v>
      </c>
      <c r="AF82" s="7" t="str">
        <f>Tab_Data_Flows[[#This Row],[UoM_Flow_Py]]</f>
        <v>Mg</v>
      </c>
      <c r="AG82"/>
    </row>
    <row r="83" spans="1:33" x14ac:dyDescent="0.25">
      <c r="A83" s="9">
        <f t="shared" si="1"/>
        <v>82</v>
      </c>
      <c r="B83" s="7" t="str">
        <f>_xlfn.XLOOKUP(C83,Tab_Def_Flows[Flow_Name],Tab_Def_Flows[Flow_ID],,0,)</f>
        <v>F_00_02</v>
      </c>
      <c r="C83" s="142" t="s">
        <v>588</v>
      </c>
      <c r="D83" s="10" t="str">
        <f>_xlfn.XLOOKUP(C83,Tab_Def_Flows[Flow_Name],Tab_Def_Flows[WC?],,0,)</f>
        <v>Yes</v>
      </c>
      <c r="E83" s="10" t="str">
        <f>_xlfn.XLOOKUP(C83,Tab_Def_Flows[Flow_Name],Tab_Def_Flows[DM?],,0,)</f>
        <v>Yes</v>
      </c>
      <c r="F83" s="10" t="str">
        <f>_xlfn.XLOOKUP(C83,Tab_Def_Flows[Flow_Name],Tab_Def_Flows[CC?],,0,)</f>
        <v>Yes</v>
      </c>
      <c r="G83" s="8">
        <v>2031</v>
      </c>
      <c r="H83" s="23">
        <v>172191.65704159267</v>
      </c>
      <c r="I83" s="8" t="s">
        <v>198</v>
      </c>
      <c r="J83" s="15"/>
      <c r="K83" s="15"/>
      <c r="L83" s="15"/>
      <c r="M83" s="15"/>
      <c r="N83" s="15"/>
      <c r="O83" s="8" t="s">
        <v>6</v>
      </c>
      <c r="P83" s="8"/>
      <c r="Q83" s="8"/>
      <c r="R83" s="7" t="str">
        <f>Tab_Data_Flows[[#This Row],[Flow_ID]]&amp;"_"&amp;"material_"&amp;Tab_Data_Flows[[#This Row],[Flow_Data_Year]]</f>
        <v>F_00_02_material_2031</v>
      </c>
      <c r="S83" s="14">
        <f>IF(O83="no",H83,H83*P83)</f>
        <v>172191.65704159267</v>
      </c>
      <c r="T83" s="8" t="s">
        <v>198</v>
      </c>
      <c r="U83" s="143">
        <f>INDEX(Tab_Def_Flows[[Flow_ID]:[CC_DM_source]],MATCH(Tab_Data_Flows[[#This Row],[Flow_Name]],Tab_Def_Flows[Flow_Name],0),11)</f>
        <v>0</v>
      </c>
      <c r="V83" s="7" t="str">
        <f>Tab_Data_Flows[[#This Row],[Flow_ID]]&amp;"_"&amp;"WC_"&amp;Tab_Data_Flows[[#This Row],[Flow_Data_Year]]</f>
        <v>F_00_02_WC_2031</v>
      </c>
      <c r="W83" s="7">
        <f>IF(D83="Yes",S83*Tab_Data_Flows[[#This Row],[WC_'[%']]],"N.A.")</f>
        <v>0</v>
      </c>
      <c r="X83" s="7" t="str">
        <f>Tab_Data_Flows[[#This Row],[UoM_Flow_Py]]</f>
        <v>Mg</v>
      </c>
      <c r="Y83" s="143">
        <f>INDEX(Tab_Def_Flows[[Flow_ID]:[CC_DM_source]],MATCH(Tab_Data_Flows[[#This Row],[Flow_Name]],Tab_Def_Flows[Flow_Name],0),14)</f>
        <v>1</v>
      </c>
      <c r="Z83" s="7" t="str">
        <f>Tab_Data_Flows[[#This Row],[Flow_ID]]&amp;"_"&amp;"DM_"&amp;Tab_Data_Flows[[#This Row],[Flow_Data_Year]]</f>
        <v>F_00_02_DM_2031</v>
      </c>
      <c r="AA83" s="7">
        <f>IF(E83="Yes",Y83*Tab_Data_Flows[[#This Row],[Flow_Material]],"N.A.")</f>
        <v>172191.65704159267</v>
      </c>
      <c r="AB83" s="7" t="str">
        <f>Tab_Data_Flows[[#This Row],[UoM_Flow_Py]]</f>
        <v>Mg</v>
      </c>
      <c r="AC83" s="143">
        <f>INDEX(Tab_Def_Flows[[Flow_ID]:[CC_DM_source]],MATCH(Tab_Data_Flows[[#This Row],[Flow_Name]],Tab_Def_Flows[Flow_Name],0),17)</f>
        <v>1</v>
      </c>
      <c r="AD83" s="7" t="str">
        <f>Tab_Data_Flows[[#This Row],[Flow_ID]]&amp;"_"&amp;"CC_"&amp;Tab_Data_Flows[[#This Row],[Flow_Data_Year]]</f>
        <v>F_00_02_CC_2031</v>
      </c>
      <c r="AE83" s="7">
        <f>IF(F83="Yes",AC83*Tab_Data_Flows[[#This Row],[Flow_Material]]*Tab_Data_Flows[[#This Row],[DM_'[%']]],"N.A.")</f>
        <v>172191.65704159267</v>
      </c>
      <c r="AF83" s="7" t="str">
        <f>Tab_Data_Flows[[#This Row],[UoM_Flow_Py]]</f>
        <v>Mg</v>
      </c>
      <c r="AG83"/>
    </row>
    <row r="84" spans="1:33" x14ac:dyDescent="0.25">
      <c r="A84" s="9">
        <f t="shared" si="1"/>
        <v>83</v>
      </c>
      <c r="B84" s="7" t="str">
        <f>_xlfn.XLOOKUP(C84,Tab_Def_Flows[Flow_Name],Tab_Def_Flows[Flow_ID],,0,)</f>
        <v>F_00_02</v>
      </c>
      <c r="C84" s="142" t="s">
        <v>588</v>
      </c>
      <c r="D84" s="10" t="str">
        <f>_xlfn.XLOOKUP(C84,Tab_Def_Flows[Flow_Name],Tab_Def_Flows[WC?],,0,)</f>
        <v>Yes</v>
      </c>
      <c r="E84" s="10" t="str">
        <f>_xlfn.XLOOKUP(C84,Tab_Def_Flows[Flow_Name],Tab_Def_Flows[DM?],,0,)</f>
        <v>Yes</v>
      </c>
      <c r="F84" s="10" t="str">
        <f>_xlfn.XLOOKUP(C84,Tab_Def_Flows[Flow_Name],Tab_Def_Flows[CC?],,0,)</f>
        <v>Yes</v>
      </c>
      <c r="G84" s="8">
        <v>2032</v>
      </c>
      <c r="H84" s="23">
        <v>160082.05401937052</v>
      </c>
      <c r="I84" s="8" t="s">
        <v>198</v>
      </c>
      <c r="J84" s="15"/>
      <c r="K84" s="15"/>
      <c r="L84" s="15"/>
      <c r="M84" s="15"/>
      <c r="N84" s="15"/>
      <c r="O84" s="8" t="s">
        <v>6</v>
      </c>
      <c r="P84" s="8"/>
      <c r="Q84" s="8"/>
      <c r="R84" s="7" t="str">
        <f>Tab_Data_Flows[[#This Row],[Flow_ID]]&amp;"_"&amp;"material_"&amp;Tab_Data_Flows[[#This Row],[Flow_Data_Year]]</f>
        <v>F_00_02_material_2032</v>
      </c>
      <c r="S84" s="14">
        <f>IF(O84="no",H84,H84*P84)</f>
        <v>160082.05401937052</v>
      </c>
      <c r="T84" s="8" t="s">
        <v>198</v>
      </c>
      <c r="U84" s="143">
        <f>INDEX(Tab_Def_Flows[[Flow_ID]:[CC_DM_source]],MATCH(Tab_Data_Flows[[#This Row],[Flow_Name]],Tab_Def_Flows[Flow_Name],0),11)</f>
        <v>0</v>
      </c>
      <c r="V84" s="7" t="str">
        <f>Tab_Data_Flows[[#This Row],[Flow_ID]]&amp;"_"&amp;"WC_"&amp;Tab_Data_Flows[[#This Row],[Flow_Data_Year]]</f>
        <v>F_00_02_WC_2032</v>
      </c>
      <c r="W84" s="7">
        <f>IF(D84="Yes",S84*Tab_Data_Flows[[#This Row],[WC_'[%']]],"N.A.")</f>
        <v>0</v>
      </c>
      <c r="X84" s="7" t="str">
        <f>Tab_Data_Flows[[#This Row],[UoM_Flow_Py]]</f>
        <v>Mg</v>
      </c>
      <c r="Y84" s="143">
        <f>INDEX(Tab_Def_Flows[[Flow_ID]:[CC_DM_source]],MATCH(Tab_Data_Flows[[#This Row],[Flow_Name]],Tab_Def_Flows[Flow_Name],0),14)</f>
        <v>1</v>
      </c>
      <c r="Z84" s="7" t="str">
        <f>Tab_Data_Flows[[#This Row],[Flow_ID]]&amp;"_"&amp;"DM_"&amp;Tab_Data_Flows[[#This Row],[Flow_Data_Year]]</f>
        <v>F_00_02_DM_2032</v>
      </c>
      <c r="AA84" s="7">
        <f>IF(E84="Yes",Y84*Tab_Data_Flows[[#This Row],[Flow_Material]],"N.A.")</f>
        <v>160082.05401937052</v>
      </c>
      <c r="AB84" s="7" t="str">
        <f>Tab_Data_Flows[[#This Row],[UoM_Flow_Py]]</f>
        <v>Mg</v>
      </c>
      <c r="AC84" s="143">
        <f>INDEX(Tab_Def_Flows[[Flow_ID]:[CC_DM_source]],MATCH(Tab_Data_Flows[[#This Row],[Flow_Name]],Tab_Def_Flows[Flow_Name],0),17)</f>
        <v>1</v>
      </c>
      <c r="AD84" s="7" t="str">
        <f>Tab_Data_Flows[[#This Row],[Flow_ID]]&amp;"_"&amp;"CC_"&amp;Tab_Data_Flows[[#This Row],[Flow_Data_Year]]</f>
        <v>F_00_02_CC_2032</v>
      </c>
      <c r="AE84" s="7">
        <f>IF(F84="Yes",AC84*Tab_Data_Flows[[#This Row],[Flow_Material]]*Tab_Data_Flows[[#This Row],[DM_'[%']]],"N.A.")</f>
        <v>160082.05401937052</v>
      </c>
      <c r="AF84" s="7" t="str">
        <f>Tab_Data_Flows[[#This Row],[UoM_Flow_Py]]</f>
        <v>Mg</v>
      </c>
      <c r="AG84"/>
    </row>
    <row r="85" spans="1:33" x14ac:dyDescent="0.25">
      <c r="A85" s="9">
        <f t="shared" si="1"/>
        <v>84</v>
      </c>
      <c r="B85" s="7" t="str">
        <f>_xlfn.XLOOKUP(C85,Tab_Def_Flows[Flow_Name],Tab_Def_Flows[Flow_ID],,0,)</f>
        <v>F_00_02</v>
      </c>
      <c r="C85" s="142" t="s">
        <v>588</v>
      </c>
      <c r="D85" s="10" t="str">
        <f>_xlfn.XLOOKUP(C85,Tab_Def_Flows[Flow_Name],Tab_Def_Flows[WC?],,0,)</f>
        <v>Yes</v>
      </c>
      <c r="E85" s="10" t="str">
        <f>_xlfn.XLOOKUP(C85,Tab_Def_Flows[Flow_Name],Tab_Def_Flows[DM?],,0,)</f>
        <v>Yes</v>
      </c>
      <c r="F85" s="10" t="str">
        <f>_xlfn.XLOOKUP(C85,Tab_Def_Flows[Flow_Name],Tab_Def_Flows[CC?],,0,)</f>
        <v>Yes</v>
      </c>
      <c r="G85" s="8">
        <v>2033</v>
      </c>
      <c r="H85" s="23">
        <v>142360.73239345933</v>
      </c>
      <c r="I85" s="8" t="s">
        <v>198</v>
      </c>
      <c r="J85" s="15"/>
      <c r="K85" s="15"/>
      <c r="L85" s="15"/>
      <c r="M85" s="15"/>
      <c r="N85" s="15"/>
      <c r="O85" s="8" t="s">
        <v>6</v>
      </c>
      <c r="P85" s="8"/>
      <c r="Q85" s="8"/>
      <c r="R85" s="7" t="str">
        <f>Tab_Data_Flows[[#This Row],[Flow_ID]]&amp;"_"&amp;"material_"&amp;Tab_Data_Flows[[#This Row],[Flow_Data_Year]]</f>
        <v>F_00_02_material_2033</v>
      </c>
      <c r="S85" s="14">
        <f>IF(O85="no",H85,H85*P85)</f>
        <v>142360.73239345933</v>
      </c>
      <c r="T85" s="8" t="s">
        <v>198</v>
      </c>
      <c r="U85" s="143">
        <f>INDEX(Tab_Def_Flows[[Flow_ID]:[CC_DM_source]],MATCH(Tab_Data_Flows[[#This Row],[Flow_Name]],Tab_Def_Flows[Flow_Name],0),11)</f>
        <v>0</v>
      </c>
      <c r="V85" s="7" t="str">
        <f>Tab_Data_Flows[[#This Row],[Flow_ID]]&amp;"_"&amp;"WC_"&amp;Tab_Data_Flows[[#This Row],[Flow_Data_Year]]</f>
        <v>F_00_02_WC_2033</v>
      </c>
      <c r="W85" s="7">
        <f>IF(D85="Yes",S85*Tab_Data_Flows[[#This Row],[WC_'[%']]],"N.A.")</f>
        <v>0</v>
      </c>
      <c r="X85" s="7" t="str">
        <f>Tab_Data_Flows[[#This Row],[UoM_Flow_Py]]</f>
        <v>Mg</v>
      </c>
      <c r="Y85" s="143">
        <f>INDEX(Tab_Def_Flows[[Flow_ID]:[CC_DM_source]],MATCH(Tab_Data_Flows[[#This Row],[Flow_Name]],Tab_Def_Flows[Flow_Name],0),14)</f>
        <v>1</v>
      </c>
      <c r="Z85" s="7" t="str">
        <f>Tab_Data_Flows[[#This Row],[Flow_ID]]&amp;"_"&amp;"DM_"&amp;Tab_Data_Flows[[#This Row],[Flow_Data_Year]]</f>
        <v>F_00_02_DM_2033</v>
      </c>
      <c r="AA85" s="7">
        <f>IF(E85="Yes",Y85*Tab_Data_Flows[[#This Row],[Flow_Material]],"N.A.")</f>
        <v>142360.73239345933</v>
      </c>
      <c r="AB85" s="7" t="str">
        <f>Tab_Data_Flows[[#This Row],[UoM_Flow_Py]]</f>
        <v>Mg</v>
      </c>
      <c r="AC85" s="143">
        <f>INDEX(Tab_Def_Flows[[Flow_ID]:[CC_DM_source]],MATCH(Tab_Data_Flows[[#This Row],[Flow_Name]],Tab_Def_Flows[Flow_Name],0),17)</f>
        <v>1</v>
      </c>
      <c r="AD85" s="7" t="str">
        <f>Tab_Data_Flows[[#This Row],[Flow_ID]]&amp;"_"&amp;"CC_"&amp;Tab_Data_Flows[[#This Row],[Flow_Data_Year]]</f>
        <v>F_00_02_CC_2033</v>
      </c>
      <c r="AE85" s="7">
        <f>IF(F85="Yes",AC85*Tab_Data_Flows[[#This Row],[Flow_Material]]*Tab_Data_Flows[[#This Row],[DM_'[%']]],"N.A.")</f>
        <v>142360.73239345933</v>
      </c>
      <c r="AF85" s="7" t="str">
        <f>Tab_Data_Flows[[#This Row],[UoM_Flow_Py]]</f>
        <v>Mg</v>
      </c>
      <c r="AG85"/>
    </row>
    <row r="86" spans="1:33" x14ac:dyDescent="0.25">
      <c r="A86" s="9">
        <f t="shared" si="1"/>
        <v>85</v>
      </c>
      <c r="B86" s="7" t="str">
        <f>_xlfn.XLOOKUP(C86,Tab_Def_Flows[Flow_Name],Tab_Def_Flows[Flow_ID],,0,)</f>
        <v>F_00_02</v>
      </c>
      <c r="C86" s="142" t="s">
        <v>588</v>
      </c>
      <c r="D86" s="10" t="str">
        <f>_xlfn.XLOOKUP(C86,Tab_Def_Flows[Flow_Name],Tab_Def_Flows[WC?],,0,)</f>
        <v>Yes</v>
      </c>
      <c r="E86" s="10" t="str">
        <f>_xlfn.XLOOKUP(C86,Tab_Def_Flows[Flow_Name],Tab_Def_Flows[DM?],,0,)</f>
        <v>Yes</v>
      </c>
      <c r="F86" s="10" t="str">
        <f>_xlfn.XLOOKUP(C86,Tab_Def_Flows[Flow_Name],Tab_Def_Flows[CC?],,0,)</f>
        <v>Yes</v>
      </c>
      <c r="G86" s="8">
        <v>2034</v>
      </c>
      <c r="H86" s="23">
        <v>163890.82515845026</v>
      </c>
      <c r="I86" s="8" t="s">
        <v>198</v>
      </c>
      <c r="J86" s="15"/>
      <c r="K86" s="15"/>
      <c r="L86" s="15"/>
      <c r="M86" s="15"/>
      <c r="N86" s="15"/>
      <c r="O86" s="8" t="s">
        <v>6</v>
      </c>
      <c r="P86" s="8"/>
      <c r="Q86" s="8"/>
      <c r="R86" s="7" t="str">
        <f>Tab_Data_Flows[[#This Row],[Flow_ID]]&amp;"_"&amp;"material_"&amp;Tab_Data_Flows[[#This Row],[Flow_Data_Year]]</f>
        <v>F_00_02_material_2034</v>
      </c>
      <c r="S86" s="14">
        <f>IF(O86="no",H86,H86*P86)</f>
        <v>163890.82515845026</v>
      </c>
      <c r="T86" s="8" t="s">
        <v>198</v>
      </c>
      <c r="U86" s="143">
        <f>INDEX(Tab_Def_Flows[[Flow_ID]:[CC_DM_source]],MATCH(Tab_Data_Flows[[#This Row],[Flow_Name]],Tab_Def_Flows[Flow_Name],0),11)</f>
        <v>0</v>
      </c>
      <c r="V86" s="7" t="str">
        <f>Tab_Data_Flows[[#This Row],[Flow_ID]]&amp;"_"&amp;"WC_"&amp;Tab_Data_Flows[[#This Row],[Flow_Data_Year]]</f>
        <v>F_00_02_WC_2034</v>
      </c>
      <c r="W86" s="7">
        <f>IF(D86="Yes",S86*Tab_Data_Flows[[#This Row],[WC_'[%']]],"N.A.")</f>
        <v>0</v>
      </c>
      <c r="X86" s="7" t="str">
        <f>Tab_Data_Flows[[#This Row],[UoM_Flow_Py]]</f>
        <v>Mg</v>
      </c>
      <c r="Y86" s="143">
        <f>INDEX(Tab_Def_Flows[[Flow_ID]:[CC_DM_source]],MATCH(Tab_Data_Flows[[#This Row],[Flow_Name]],Tab_Def_Flows[Flow_Name],0),14)</f>
        <v>1</v>
      </c>
      <c r="Z86" s="7" t="str">
        <f>Tab_Data_Flows[[#This Row],[Flow_ID]]&amp;"_"&amp;"DM_"&amp;Tab_Data_Flows[[#This Row],[Flow_Data_Year]]</f>
        <v>F_00_02_DM_2034</v>
      </c>
      <c r="AA86" s="7">
        <f>IF(E86="Yes",Y86*Tab_Data_Flows[[#This Row],[Flow_Material]],"N.A.")</f>
        <v>163890.82515845026</v>
      </c>
      <c r="AB86" s="7" t="str">
        <f>Tab_Data_Flows[[#This Row],[UoM_Flow_Py]]</f>
        <v>Mg</v>
      </c>
      <c r="AC86" s="143">
        <f>INDEX(Tab_Def_Flows[[Flow_ID]:[CC_DM_source]],MATCH(Tab_Data_Flows[[#This Row],[Flow_Name]],Tab_Def_Flows[Flow_Name],0),17)</f>
        <v>1</v>
      </c>
      <c r="AD86" s="7" t="str">
        <f>Tab_Data_Flows[[#This Row],[Flow_ID]]&amp;"_"&amp;"CC_"&amp;Tab_Data_Flows[[#This Row],[Flow_Data_Year]]</f>
        <v>F_00_02_CC_2034</v>
      </c>
      <c r="AE86" s="7">
        <f>IF(F86="Yes",AC86*Tab_Data_Flows[[#This Row],[Flow_Material]]*Tab_Data_Flows[[#This Row],[DM_'[%']]],"N.A.")</f>
        <v>163890.82515845026</v>
      </c>
      <c r="AF86" s="7" t="str">
        <f>Tab_Data_Flows[[#This Row],[UoM_Flow_Py]]</f>
        <v>Mg</v>
      </c>
      <c r="AG86"/>
    </row>
    <row r="87" spans="1:33" x14ac:dyDescent="0.25">
      <c r="A87" s="9">
        <f t="shared" si="1"/>
        <v>86</v>
      </c>
      <c r="B87" s="7" t="str">
        <f>_xlfn.XLOOKUP(C87,Tab_Def_Flows[Flow_Name],Tab_Def_Flows[Flow_ID],,0,)</f>
        <v>F_00_02</v>
      </c>
      <c r="C87" s="142" t="s">
        <v>588</v>
      </c>
      <c r="D87" s="10" t="str">
        <f>_xlfn.XLOOKUP(C87,Tab_Def_Flows[Flow_Name],Tab_Def_Flows[WC?],,0,)</f>
        <v>Yes</v>
      </c>
      <c r="E87" s="10" t="str">
        <f>_xlfn.XLOOKUP(C87,Tab_Def_Flows[Flow_Name],Tab_Def_Flows[DM?],,0,)</f>
        <v>Yes</v>
      </c>
      <c r="F87" s="10" t="str">
        <f>_xlfn.XLOOKUP(C87,Tab_Def_Flows[Flow_Name],Tab_Def_Flows[CC?],,0,)</f>
        <v>Yes</v>
      </c>
      <c r="G87" s="8">
        <v>2035</v>
      </c>
      <c r="H87" s="23">
        <v>155299.86698200306</v>
      </c>
      <c r="I87" s="8" t="s">
        <v>198</v>
      </c>
      <c r="J87" s="15"/>
      <c r="K87" s="15"/>
      <c r="L87" s="15"/>
      <c r="M87" s="15"/>
      <c r="N87" s="15"/>
      <c r="O87" s="8" t="s">
        <v>6</v>
      </c>
      <c r="P87" s="8"/>
      <c r="Q87" s="8"/>
      <c r="R87" s="7" t="str">
        <f>Tab_Data_Flows[[#This Row],[Flow_ID]]&amp;"_"&amp;"material_"&amp;Tab_Data_Flows[[#This Row],[Flow_Data_Year]]</f>
        <v>F_00_02_material_2035</v>
      </c>
      <c r="S87" s="14">
        <f>IF(O87="no",H87,H87*P87)</f>
        <v>155299.86698200306</v>
      </c>
      <c r="T87" s="8" t="s">
        <v>198</v>
      </c>
      <c r="U87" s="143">
        <f>INDEX(Tab_Def_Flows[[Flow_ID]:[CC_DM_source]],MATCH(Tab_Data_Flows[[#This Row],[Flow_Name]],Tab_Def_Flows[Flow_Name],0),11)</f>
        <v>0</v>
      </c>
      <c r="V87" s="7" t="str">
        <f>Tab_Data_Flows[[#This Row],[Flow_ID]]&amp;"_"&amp;"WC_"&amp;Tab_Data_Flows[[#This Row],[Flow_Data_Year]]</f>
        <v>F_00_02_WC_2035</v>
      </c>
      <c r="W87" s="7">
        <f>IF(D87="Yes",S87*Tab_Data_Flows[[#This Row],[WC_'[%']]],"N.A.")</f>
        <v>0</v>
      </c>
      <c r="X87" s="7" t="str">
        <f>Tab_Data_Flows[[#This Row],[UoM_Flow_Py]]</f>
        <v>Mg</v>
      </c>
      <c r="Y87" s="143">
        <f>INDEX(Tab_Def_Flows[[Flow_ID]:[CC_DM_source]],MATCH(Tab_Data_Flows[[#This Row],[Flow_Name]],Tab_Def_Flows[Flow_Name],0),14)</f>
        <v>1</v>
      </c>
      <c r="Z87" s="7" t="str">
        <f>Tab_Data_Flows[[#This Row],[Flow_ID]]&amp;"_"&amp;"DM_"&amp;Tab_Data_Flows[[#This Row],[Flow_Data_Year]]</f>
        <v>F_00_02_DM_2035</v>
      </c>
      <c r="AA87" s="7">
        <f>IF(E87="Yes",Y87*Tab_Data_Flows[[#This Row],[Flow_Material]],"N.A.")</f>
        <v>155299.86698200306</v>
      </c>
      <c r="AB87" s="7" t="str">
        <f>Tab_Data_Flows[[#This Row],[UoM_Flow_Py]]</f>
        <v>Mg</v>
      </c>
      <c r="AC87" s="143">
        <f>INDEX(Tab_Def_Flows[[Flow_ID]:[CC_DM_source]],MATCH(Tab_Data_Flows[[#This Row],[Flow_Name]],Tab_Def_Flows[Flow_Name],0),17)</f>
        <v>1</v>
      </c>
      <c r="AD87" s="7" t="str">
        <f>Tab_Data_Flows[[#This Row],[Flow_ID]]&amp;"_"&amp;"CC_"&amp;Tab_Data_Flows[[#This Row],[Flow_Data_Year]]</f>
        <v>F_00_02_CC_2035</v>
      </c>
      <c r="AE87" s="7">
        <f>IF(F87="Yes",AC87*Tab_Data_Flows[[#This Row],[Flow_Material]]*Tab_Data_Flows[[#This Row],[DM_'[%']]],"N.A.")</f>
        <v>155299.86698200306</v>
      </c>
      <c r="AF87" s="7" t="str">
        <f>Tab_Data_Flows[[#This Row],[UoM_Flow_Py]]</f>
        <v>Mg</v>
      </c>
      <c r="AG87"/>
    </row>
    <row r="88" spans="1:33" x14ac:dyDescent="0.25">
      <c r="A88" s="9">
        <f t="shared" si="1"/>
        <v>87</v>
      </c>
      <c r="B88" s="7" t="str">
        <f>_xlfn.XLOOKUP(C88,Tab_Def_Flows[Flow_Name],Tab_Def_Flows[Flow_ID],,0,)</f>
        <v>F_00_02</v>
      </c>
      <c r="C88" s="142" t="s">
        <v>588</v>
      </c>
      <c r="D88" s="10" t="str">
        <f>_xlfn.XLOOKUP(C88,Tab_Def_Flows[Flow_Name],Tab_Def_Flows[WC?],,0,)</f>
        <v>Yes</v>
      </c>
      <c r="E88" s="10" t="str">
        <f>_xlfn.XLOOKUP(C88,Tab_Def_Flows[Flow_Name],Tab_Def_Flows[DM?],,0,)</f>
        <v>Yes</v>
      </c>
      <c r="F88" s="10" t="str">
        <f>_xlfn.XLOOKUP(C88,Tab_Def_Flows[Flow_Name],Tab_Def_Flows[CC?],,0,)</f>
        <v>Yes</v>
      </c>
      <c r="G88" s="8">
        <v>2036</v>
      </c>
      <c r="H88" s="23">
        <v>173290.69214918645</v>
      </c>
      <c r="I88" s="8" t="s">
        <v>198</v>
      </c>
      <c r="J88" s="15"/>
      <c r="K88" s="15"/>
      <c r="L88" s="15"/>
      <c r="M88" s="15"/>
      <c r="N88" s="15"/>
      <c r="O88" s="8" t="s">
        <v>6</v>
      </c>
      <c r="P88" s="8"/>
      <c r="Q88" s="8"/>
      <c r="R88" s="7" t="str">
        <f>Tab_Data_Flows[[#This Row],[Flow_ID]]&amp;"_"&amp;"material_"&amp;Tab_Data_Flows[[#This Row],[Flow_Data_Year]]</f>
        <v>F_00_02_material_2036</v>
      </c>
      <c r="S88" s="14">
        <f>IF(O88="no",H88,H88*P88)</f>
        <v>173290.69214918645</v>
      </c>
      <c r="T88" s="8" t="s">
        <v>198</v>
      </c>
      <c r="U88" s="143">
        <f>INDEX(Tab_Def_Flows[[Flow_ID]:[CC_DM_source]],MATCH(Tab_Data_Flows[[#This Row],[Flow_Name]],Tab_Def_Flows[Flow_Name],0),11)</f>
        <v>0</v>
      </c>
      <c r="V88" s="7" t="str">
        <f>Tab_Data_Flows[[#This Row],[Flow_ID]]&amp;"_"&amp;"WC_"&amp;Tab_Data_Flows[[#This Row],[Flow_Data_Year]]</f>
        <v>F_00_02_WC_2036</v>
      </c>
      <c r="W88" s="7">
        <f>IF(D88="Yes",S88*Tab_Data_Flows[[#This Row],[WC_'[%']]],"N.A.")</f>
        <v>0</v>
      </c>
      <c r="X88" s="7" t="str">
        <f>Tab_Data_Flows[[#This Row],[UoM_Flow_Py]]</f>
        <v>Mg</v>
      </c>
      <c r="Y88" s="143">
        <f>INDEX(Tab_Def_Flows[[Flow_ID]:[CC_DM_source]],MATCH(Tab_Data_Flows[[#This Row],[Flow_Name]],Tab_Def_Flows[Flow_Name],0),14)</f>
        <v>1</v>
      </c>
      <c r="Z88" s="7" t="str">
        <f>Tab_Data_Flows[[#This Row],[Flow_ID]]&amp;"_"&amp;"DM_"&amp;Tab_Data_Flows[[#This Row],[Flow_Data_Year]]</f>
        <v>F_00_02_DM_2036</v>
      </c>
      <c r="AA88" s="7">
        <f>IF(E88="Yes",Y88*Tab_Data_Flows[[#This Row],[Flow_Material]],"N.A.")</f>
        <v>173290.69214918645</v>
      </c>
      <c r="AB88" s="7" t="str">
        <f>Tab_Data_Flows[[#This Row],[UoM_Flow_Py]]</f>
        <v>Mg</v>
      </c>
      <c r="AC88" s="143">
        <f>INDEX(Tab_Def_Flows[[Flow_ID]:[CC_DM_source]],MATCH(Tab_Data_Flows[[#This Row],[Flow_Name]],Tab_Def_Flows[Flow_Name],0),17)</f>
        <v>1</v>
      </c>
      <c r="AD88" s="7" t="str">
        <f>Tab_Data_Flows[[#This Row],[Flow_ID]]&amp;"_"&amp;"CC_"&amp;Tab_Data_Flows[[#This Row],[Flow_Data_Year]]</f>
        <v>F_00_02_CC_2036</v>
      </c>
      <c r="AE88" s="7">
        <f>IF(F88="Yes",AC88*Tab_Data_Flows[[#This Row],[Flow_Material]]*Tab_Data_Flows[[#This Row],[DM_'[%']]],"N.A.")</f>
        <v>173290.69214918645</v>
      </c>
      <c r="AF88" s="7" t="str">
        <f>Tab_Data_Flows[[#This Row],[UoM_Flow_Py]]</f>
        <v>Mg</v>
      </c>
      <c r="AG88"/>
    </row>
    <row r="89" spans="1:33" x14ac:dyDescent="0.25">
      <c r="A89" s="9">
        <f t="shared" si="1"/>
        <v>88</v>
      </c>
      <c r="B89" s="7" t="str">
        <f>_xlfn.XLOOKUP(C89,Tab_Def_Flows[Flow_Name],Tab_Def_Flows[Flow_ID],,0,)</f>
        <v>F_00_02</v>
      </c>
      <c r="C89" s="142" t="s">
        <v>588</v>
      </c>
      <c r="D89" s="10" t="str">
        <f>_xlfn.XLOOKUP(C89,Tab_Def_Flows[Flow_Name],Tab_Def_Flows[WC?],,0,)</f>
        <v>Yes</v>
      </c>
      <c r="E89" s="10" t="str">
        <f>_xlfn.XLOOKUP(C89,Tab_Def_Flows[Flow_Name],Tab_Def_Flows[DM?],,0,)</f>
        <v>Yes</v>
      </c>
      <c r="F89" s="10" t="str">
        <f>_xlfn.XLOOKUP(C89,Tab_Def_Flows[Flow_Name],Tab_Def_Flows[CC?],,0,)</f>
        <v>Yes</v>
      </c>
      <c r="G89" s="8">
        <v>2037</v>
      </c>
      <c r="H89" s="23">
        <v>138804.27638437587</v>
      </c>
      <c r="I89" s="8" t="s">
        <v>198</v>
      </c>
      <c r="J89" s="15"/>
      <c r="K89" s="15"/>
      <c r="L89" s="15"/>
      <c r="M89" s="15"/>
      <c r="N89" s="15"/>
      <c r="O89" s="8" t="s">
        <v>6</v>
      </c>
      <c r="P89" s="16"/>
      <c r="Q89" s="8"/>
      <c r="R89" s="7" t="str">
        <f>Tab_Data_Flows[[#This Row],[Flow_ID]]&amp;"_"&amp;"material_"&amp;Tab_Data_Flows[[#This Row],[Flow_Data_Year]]</f>
        <v>F_00_02_material_2037</v>
      </c>
      <c r="S89" s="14">
        <f>IF(O89="no",H89,H89*P89)</f>
        <v>138804.27638437587</v>
      </c>
      <c r="T89" s="8" t="s">
        <v>198</v>
      </c>
      <c r="U89" s="143">
        <f>INDEX(Tab_Def_Flows[[Flow_ID]:[CC_DM_source]],MATCH(Tab_Data_Flows[[#This Row],[Flow_Name]],Tab_Def_Flows[Flow_Name],0),11)</f>
        <v>0</v>
      </c>
      <c r="V89" s="7" t="str">
        <f>Tab_Data_Flows[[#This Row],[Flow_ID]]&amp;"_"&amp;"WC_"&amp;Tab_Data_Flows[[#This Row],[Flow_Data_Year]]</f>
        <v>F_00_02_WC_2037</v>
      </c>
      <c r="W89" s="7">
        <f>IF(D89="Yes",S89*Tab_Data_Flows[[#This Row],[WC_'[%']]],"N.A.")</f>
        <v>0</v>
      </c>
      <c r="X89" s="7" t="str">
        <f>Tab_Data_Flows[[#This Row],[UoM_Flow_Py]]</f>
        <v>Mg</v>
      </c>
      <c r="Y89" s="143">
        <f>INDEX(Tab_Def_Flows[[Flow_ID]:[CC_DM_source]],MATCH(Tab_Data_Flows[[#This Row],[Flow_Name]],Tab_Def_Flows[Flow_Name],0),14)</f>
        <v>1</v>
      </c>
      <c r="Z89" s="7" t="str">
        <f>Tab_Data_Flows[[#This Row],[Flow_ID]]&amp;"_"&amp;"DM_"&amp;Tab_Data_Flows[[#This Row],[Flow_Data_Year]]</f>
        <v>F_00_02_DM_2037</v>
      </c>
      <c r="AA89" s="7">
        <f>IF(E89="Yes",Y89*Tab_Data_Flows[[#This Row],[Flow_Material]],"N.A.")</f>
        <v>138804.27638437587</v>
      </c>
      <c r="AB89" s="7" t="str">
        <f>Tab_Data_Flows[[#This Row],[UoM_Flow_Py]]</f>
        <v>Mg</v>
      </c>
      <c r="AC89" s="143">
        <f>INDEX(Tab_Def_Flows[[Flow_ID]:[CC_DM_source]],MATCH(Tab_Data_Flows[[#This Row],[Flow_Name]],Tab_Def_Flows[Flow_Name],0),17)</f>
        <v>1</v>
      </c>
      <c r="AD89" s="7" t="str">
        <f>Tab_Data_Flows[[#This Row],[Flow_ID]]&amp;"_"&amp;"CC_"&amp;Tab_Data_Flows[[#This Row],[Flow_Data_Year]]</f>
        <v>F_00_02_CC_2037</v>
      </c>
      <c r="AE89" s="7">
        <f>IF(F89="Yes",AC89*Tab_Data_Flows[[#This Row],[Flow_Material]]*Tab_Data_Flows[[#This Row],[DM_'[%']]],"N.A.")</f>
        <v>138804.27638437587</v>
      </c>
      <c r="AF89" s="7" t="str">
        <f>Tab_Data_Flows[[#This Row],[UoM_Flow_Py]]</f>
        <v>Mg</v>
      </c>
      <c r="AG89"/>
    </row>
    <row r="90" spans="1:33" x14ac:dyDescent="0.25">
      <c r="A90" s="9">
        <f t="shared" si="1"/>
        <v>89</v>
      </c>
      <c r="B90" s="7" t="str">
        <f>_xlfn.XLOOKUP(C90,Tab_Def_Flows[Flow_Name],Tab_Def_Flows[Flow_ID],,0,)</f>
        <v>F_00_02</v>
      </c>
      <c r="C90" s="142" t="s">
        <v>588</v>
      </c>
      <c r="D90" s="10" t="str">
        <f>_xlfn.XLOOKUP(C90,Tab_Def_Flows[Flow_Name],Tab_Def_Flows[WC?],,0,)</f>
        <v>Yes</v>
      </c>
      <c r="E90" s="10" t="str">
        <f>_xlfn.XLOOKUP(C90,Tab_Def_Flows[Flow_Name],Tab_Def_Flows[DM?],,0,)</f>
        <v>Yes</v>
      </c>
      <c r="F90" s="10" t="str">
        <f>_xlfn.XLOOKUP(C90,Tab_Def_Flows[Flow_Name],Tab_Def_Flows[CC?],,0,)</f>
        <v>Yes</v>
      </c>
      <c r="G90" s="8">
        <v>2038</v>
      </c>
      <c r="H90" s="23">
        <v>146532.4242687512</v>
      </c>
      <c r="I90" s="8" t="s">
        <v>198</v>
      </c>
      <c r="J90" s="15"/>
      <c r="K90" s="15"/>
      <c r="L90" s="15"/>
      <c r="M90" s="15"/>
      <c r="N90" s="15"/>
      <c r="O90" s="8" t="s">
        <v>6</v>
      </c>
      <c r="P90" s="16"/>
      <c r="Q90" s="8"/>
      <c r="R90" s="7" t="str">
        <f>Tab_Data_Flows[[#This Row],[Flow_ID]]&amp;"_"&amp;"material_"&amp;Tab_Data_Flows[[#This Row],[Flow_Data_Year]]</f>
        <v>F_00_02_material_2038</v>
      </c>
      <c r="S90" s="14">
        <f>IF(O90="no",H90,H90*P90)</f>
        <v>146532.4242687512</v>
      </c>
      <c r="T90" s="8" t="s">
        <v>198</v>
      </c>
      <c r="U90" s="143">
        <f>INDEX(Tab_Def_Flows[[Flow_ID]:[CC_DM_source]],MATCH(Tab_Data_Flows[[#This Row],[Flow_Name]],Tab_Def_Flows[Flow_Name],0),11)</f>
        <v>0</v>
      </c>
      <c r="V90" s="7" t="str">
        <f>Tab_Data_Flows[[#This Row],[Flow_ID]]&amp;"_"&amp;"WC_"&amp;Tab_Data_Flows[[#This Row],[Flow_Data_Year]]</f>
        <v>F_00_02_WC_2038</v>
      </c>
      <c r="W90" s="7">
        <f>IF(D90="Yes",S90*Tab_Data_Flows[[#This Row],[WC_'[%']]],"N.A.")</f>
        <v>0</v>
      </c>
      <c r="X90" s="7" t="str">
        <f>Tab_Data_Flows[[#This Row],[UoM_Flow_Py]]</f>
        <v>Mg</v>
      </c>
      <c r="Y90" s="143">
        <f>INDEX(Tab_Def_Flows[[Flow_ID]:[CC_DM_source]],MATCH(Tab_Data_Flows[[#This Row],[Flow_Name]],Tab_Def_Flows[Flow_Name],0),14)</f>
        <v>1</v>
      </c>
      <c r="Z90" s="7" t="str">
        <f>Tab_Data_Flows[[#This Row],[Flow_ID]]&amp;"_"&amp;"DM_"&amp;Tab_Data_Flows[[#This Row],[Flow_Data_Year]]</f>
        <v>F_00_02_DM_2038</v>
      </c>
      <c r="AA90" s="7">
        <f>IF(E90="Yes",Y90*Tab_Data_Flows[[#This Row],[Flow_Material]],"N.A.")</f>
        <v>146532.4242687512</v>
      </c>
      <c r="AB90" s="7" t="str">
        <f>Tab_Data_Flows[[#This Row],[UoM_Flow_Py]]</f>
        <v>Mg</v>
      </c>
      <c r="AC90" s="143">
        <f>INDEX(Tab_Def_Flows[[Flow_ID]:[CC_DM_source]],MATCH(Tab_Data_Flows[[#This Row],[Flow_Name]],Tab_Def_Flows[Flow_Name],0),17)</f>
        <v>1</v>
      </c>
      <c r="AD90" s="7" t="str">
        <f>Tab_Data_Flows[[#This Row],[Flow_ID]]&amp;"_"&amp;"CC_"&amp;Tab_Data_Flows[[#This Row],[Flow_Data_Year]]</f>
        <v>F_00_02_CC_2038</v>
      </c>
      <c r="AE90" s="7">
        <f>IF(F90="Yes",AC90*Tab_Data_Flows[[#This Row],[Flow_Material]]*Tab_Data_Flows[[#This Row],[DM_'[%']]],"N.A.")</f>
        <v>146532.4242687512</v>
      </c>
      <c r="AF90" s="7" t="str">
        <f>Tab_Data_Flows[[#This Row],[UoM_Flow_Py]]</f>
        <v>Mg</v>
      </c>
      <c r="AG90"/>
    </row>
    <row r="91" spans="1:33" x14ac:dyDescent="0.25">
      <c r="A91" s="9">
        <f t="shared" si="1"/>
        <v>90</v>
      </c>
      <c r="B91" s="7" t="str">
        <f>_xlfn.XLOOKUP(C91,Tab_Def_Flows[Flow_Name],Tab_Def_Flows[Flow_ID],,0,)</f>
        <v>F_00_02</v>
      </c>
      <c r="C91" s="142" t="s">
        <v>588</v>
      </c>
      <c r="D91" s="10" t="str">
        <f>_xlfn.XLOOKUP(C91,Tab_Def_Flows[Flow_Name],Tab_Def_Flows[WC?],,0,)</f>
        <v>Yes</v>
      </c>
      <c r="E91" s="10" t="str">
        <f>_xlfn.XLOOKUP(C91,Tab_Def_Flows[Flow_Name],Tab_Def_Flows[DM?],,0,)</f>
        <v>Yes</v>
      </c>
      <c r="F91" s="10" t="str">
        <f>_xlfn.XLOOKUP(C91,Tab_Def_Flows[Flow_Name],Tab_Def_Flows[CC?],,0,)</f>
        <v>Yes</v>
      </c>
      <c r="G91" s="8">
        <v>2039</v>
      </c>
      <c r="H91" s="23">
        <v>145202.13497443436</v>
      </c>
      <c r="I91" s="8" t="s">
        <v>198</v>
      </c>
      <c r="J91" s="15"/>
      <c r="K91" s="15"/>
      <c r="L91" s="15"/>
      <c r="M91" s="15"/>
      <c r="N91" s="15"/>
      <c r="O91" s="8" t="s">
        <v>6</v>
      </c>
      <c r="P91" s="16"/>
      <c r="Q91" s="8"/>
      <c r="R91" s="7" t="str">
        <f>Tab_Data_Flows[[#This Row],[Flow_ID]]&amp;"_"&amp;"material_"&amp;Tab_Data_Flows[[#This Row],[Flow_Data_Year]]</f>
        <v>F_00_02_material_2039</v>
      </c>
      <c r="S91" s="14">
        <f>IF(O91="no",H91,H91*P91)</f>
        <v>145202.13497443436</v>
      </c>
      <c r="T91" s="8" t="s">
        <v>198</v>
      </c>
      <c r="U91" s="143">
        <f>INDEX(Tab_Def_Flows[[Flow_ID]:[CC_DM_source]],MATCH(Tab_Data_Flows[[#This Row],[Flow_Name]],Tab_Def_Flows[Flow_Name],0),11)</f>
        <v>0</v>
      </c>
      <c r="V91" s="7" t="str">
        <f>Tab_Data_Flows[[#This Row],[Flow_ID]]&amp;"_"&amp;"WC_"&amp;Tab_Data_Flows[[#This Row],[Flow_Data_Year]]</f>
        <v>F_00_02_WC_2039</v>
      </c>
      <c r="W91" s="7">
        <f>IF(D91="Yes",S91*Tab_Data_Flows[[#This Row],[WC_'[%']]],"N.A.")</f>
        <v>0</v>
      </c>
      <c r="X91" s="7" t="str">
        <f>Tab_Data_Flows[[#This Row],[UoM_Flow_Py]]</f>
        <v>Mg</v>
      </c>
      <c r="Y91" s="143">
        <f>INDEX(Tab_Def_Flows[[Flow_ID]:[CC_DM_source]],MATCH(Tab_Data_Flows[[#This Row],[Flow_Name]],Tab_Def_Flows[Flow_Name],0),14)</f>
        <v>1</v>
      </c>
      <c r="Z91" s="7" t="str">
        <f>Tab_Data_Flows[[#This Row],[Flow_ID]]&amp;"_"&amp;"DM_"&amp;Tab_Data_Flows[[#This Row],[Flow_Data_Year]]</f>
        <v>F_00_02_DM_2039</v>
      </c>
      <c r="AA91" s="7">
        <f>IF(E91="Yes",Y91*Tab_Data_Flows[[#This Row],[Flow_Material]],"N.A.")</f>
        <v>145202.13497443436</v>
      </c>
      <c r="AB91" s="7" t="str">
        <f>Tab_Data_Flows[[#This Row],[UoM_Flow_Py]]</f>
        <v>Mg</v>
      </c>
      <c r="AC91" s="143">
        <f>INDEX(Tab_Def_Flows[[Flow_ID]:[CC_DM_source]],MATCH(Tab_Data_Flows[[#This Row],[Flow_Name]],Tab_Def_Flows[Flow_Name],0),17)</f>
        <v>1</v>
      </c>
      <c r="AD91" s="7" t="str">
        <f>Tab_Data_Flows[[#This Row],[Flow_ID]]&amp;"_"&amp;"CC_"&amp;Tab_Data_Flows[[#This Row],[Flow_Data_Year]]</f>
        <v>F_00_02_CC_2039</v>
      </c>
      <c r="AE91" s="7">
        <f>IF(F91="Yes",AC91*Tab_Data_Flows[[#This Row],[Flow_Material]]*Tab_Data_Flows[[#This Row],[DM_'[%']]],"N.A.")</f>
        <v>145202.13497443436</v>
      </c>
      <c r="AF91" s="7" t="str">
        <f>Tab_Data_Flows[[#This Row],[UoM_Flow_Py]]</f>
        <v>Mg</v>
      </c>
      <c r="AG91"/>
    </row>
    <row r="92" spans="1:33" x14ac:dyDescent="0.25">
      <c r="A92" s="9">
        <f t="shared" si="1"/>
        <v>91</v>
      </c>
      <c r="B92" s="7" t="str">
        <f>_xlfn.XLOOKUP(C92,Tab_Def_Flows[Flow_Name],Tab_Def_Flows[Flow_ID],,0,)</f>
        <v>F_00_02</v>
      </c>
      <c r="C92" s="142" t="s">
        <v>588</v>
      </c>
      <c r="D92" s="10" t="str">
        <f>_xlfn.XLOOKUP(C92,Tab_Def_Flows[Flow_Name],Tab_Def_Flows[WC?],,0,)</f>
        <v>Yes</v>
      </c>
      <c r="E92" s="10" t="str">
        <f>_xlfn.XLOOKUP(C92,Tab_Def_Flows[Flow_Name],Tab_Def_Flows[DM?],,0,)</f>
        <v>Yes</v>
      </c>
      <c r="F92" s="10" t="str">
        <f>_xlfn.XLOOKUP(C92,Tab_Def_Flows[Flow_Name],Tab_Def_Flows[CC?],,0,)</f>
        <v>Yes</v>
      </c>
      <c r="G92" s="8">
        <v>2040</v>
      </c>
      <c r="H92" s="23">
        <v>123086.2419053076</v>
      </c>
      <c r="I92" s="8" t="s">
        <v>198</v>
      </c>
      <c r="J92" s="15"/>
      <c r="K92" s="15"/>
      <c r="L92" s="15"/>
      <c r="M92" s="15"/>
      <c r="N92" s="15"/>
      <c r="O92" s="8" t="s">
        <v>6</v>
      </c>
      <c r="P92" s="16"/>
      <c r="Q92" s="8"/>
      <c r="R92" s="7" t="str">
        <f>Tab_Data_Flows[[#This Row],[Flow_ID]]&amp;"_"&amp;"material_"&amp;Tab_Data_Flows[[#This Row],[Flow_Data_Year]]</f>
        <v>F_00_02_material_2040</v>
      </c>
      <c r="S92" s="14">
        <f>IF(O92="no",H92,H92*P92)</f>
        <v>123086.2419053076</v>
      </c>
      <c r="T92" s="8" t="s">
        <v>198</v>
      </c>
      <c r="U92" s="143">
        <f>INDEX(Tab_Def_Flows[[Flow_ID]:[CC_DM_source]],MATCH(Tab_Data_Flows[[#This Row],[Flow_Name]],Tab_Def_Flows[Flow_Name],0),11)</f>
        <v>0</v>
      </c>
      <c r="V92" s="7" t="str">
        <f>Tab_Data_Flows[[#This Row],[Flow_ID]]&amp;"_"&amp;"WC_"&amp;Tab_Data_Flows[[#This Row],[Flow_Data_Year]]</f>
        <v>F_00_02_WC_2040</v>
      </c>
      <c r="W92" s="7">
        <f>IF(D92="Yes",S92*Tab_Data_Flows[[#This Row],[WC_'[%']]],"N.A.")</f>
        <v>0</v>
      </c>
      <c r="X92" s="7" t="str">
        <f>Tab_Data_Flows[[#This Row],[UoM_Flow_Py]]</f>
        <v>Mg</v>
      </c>
      <c r="Y92" s="143">
        <f>INDEX(Tab_Def_Flows[[Flow_ID]:[CC_DM_source]],MATCH(Tab_Data_Flows[[#This Row],[Flow_Name]],Tab_Def_Flows[Flow_Name],0),14)</f>
        <v>1</v>
      </c>
      <c r="Z92" s="7" t="str">
        <f>Tab_Data_Flows[[#This Row],[Flow_ID]]&amp;"_"&amp;"DM_"&amp;Tab_Data_Flows[[#This Row],[Flow_Data_Year]]</f>
        <v>F_00_02_DM_2040</v>
      </c>
      <c r="AA92" s="7">
        <f>IF(E92="Yes",Y92*Tab_Data_Flows[[#This Row],[Flow_Material]],"N.A.")</f>
        <v>123086.2419053076</v>
      </c>
      <c r="AB92" s="7" t="str">
        <f>Tab_Data_Flows[[#This Row],[UoM_Flow_Py]]</f>
        <v>Mg</v>
      </c>
      <c r="AC92" s="143">
        <f>INDEX(Tab_Def_Flows[[Flow_ID]:[CC_DM_source]],MATCH(Tab_Data_Flows[[#This Row],[Flow_Name]],Tab_Def_Flows[Flow_Name],0),17)</f>
        <v>1</v>
      </c>
      <c r="AD92" s="7" t="str">
        <f>Tab_Data_Flows[[#This Row],[Flow_ID]]&amp;"_"&amp;"CC_"&amp;Tab_Data_Flows[[#This Row],[Flow_Data_Year]]</f>
        <v>F_00_02_CC_2040</v>
      </c>
      <c r="AE92" s="7">
        <f>IF(F92="Yes",AC92*Tab_Data_Flows[[#This Row],[Flow_Material]]*Tab_Data_Flows[[#This Row],[DM_'[%']]],"N.A.")</f>
        <v>123086.2419053076</v>
      </c>
      <c r="AF92" s="7" t="str">
        <f>Tab_Data_Flows[[#This Row],[UoM_Flow_Py]]</f>
        <v>Mg</v>
      </c>
      <c r="AG92"/>
    </row>
    <row r="93" spans="1:33" x14ac:dyDescent="0.25">
      <c r="A93" s="9">
        <f t="shared" si="1"/>
        <v>92</v>
      </c>
      <c r="B93" s="7" t="str">
        <f>_xlfn.XLOOKUP(C93,Tab_Def_Flows[Flow_Name],Tab_Def_Flows[Flow_ID],,0,)</f>
        <v>F_00_02</v>
      </c>
      <c r="C93" s="142" t="s">
        <v>588</v>
      </c>
      <c r="D93" s="10" t="str">
        <f>_xlfn.XLOOKUP(C93,Tab_Def_Flows[Flow_Name],Tab_Def_Flows[WC?],,0,)</f>
        <v>Yes</v>
      </c>
      <c r="E93" s="10" t="str">
        <f>_xlfn.XLOOKUP(C93,Tab_Def_Flows[Flow_Name],Tab_Def_Flows[DM?],,0,)</f>
        <v>Yes</v>
      </c>
      <c r="F93" s="10" t="str">
        <f>_xlfn.XLOOKUP(C93,Tab_Def_Flows[Flow_Name],Tab_Def_Flows[CC?],,0,)</f>
        <v>Yes</v>
      </c>
      <c r="G93" s="8">
        <v>2041</v>
      </c>
      <c r="H93" s="23">
        <v>159408.49099195848</v>
      </c>
      <c r="I93" s="8" t="s">
        <v>198</v>
      </c>
      <c r="J93" s="15"/>
      <c r="K93" s="15"/>
      <c r="L93" s="15"/>
      <c r="M93" s="15"/>
      <c r="N93" s="15"/>
      <c r="O93" s="8" t="s">
        <v>6</v>
      </c>
      <c r="P93" s="16"/>
      <c r="Q93" s="8"/>
      <c r="R93" s="7" t="str">
        <f>Tab_Data_Flows[[#This Row],[Flow_ID]]&amp;"_"&amp;"material_"&amp;Tab_Data_Flows[[#This Row],[Flow_Data_Year]]</f>
        <v>F_00_02_material_2041</v>
      </c>
      <c r="S93" s="14">
        <f>IF(O93="no",H93,H93*P93)</f>
        <v>159408.49099195848</v>
      </c>
      <c r="T93" s="8" t="s">
        <v>198</v>
      </c>
      <c r="U93" s="143">
        <f>INDEX(Tab_Def_Flows[[Flow_ID]:[CC_DM_source]],MATCH(Tab_Data_Flows[[#This Row],[Flow_Name]],Tab_Def_Flows[Flow_Name],0),11)</f>
        <v>0</v>
      </c>
      <c r="V93" s="7" t="str">
        <f>Tab_Data_Flows[[#This Row],[Flow_ID]]&amp;"_"&amp;"WC_"&amp;Tab_Data_Flows[[#This Row],[Flow_Data_Year]]</f>
        <v>F_00_02_WC_2041</v>
      </c>
      <c r="W93" s="7">
        <f>IF(D93="Yes",S93*Tab_Data_Flows[[#This Row],[WC_'[%']]],"N.A.")</f>
        <v>0</v>
      </c>
      <c r="X93" s="7" t="str">
        <f>Tab_Data_Flows[[#This Row],[UoM_Flow_Py]]</f>
        <v>Mg</v>
      </c>
      <c r="Y93" s="143">
        <f>INDEX(Tab_Def_Flows[[Flow_ID]:[CC_DM_source]],MATCH(Tab_Data_Flows[[#This Row],[Flow_Name]],Tab_Def_Flows[Flow_Name],0),14)</f>
        <v>1</v>
      </c>
      <c r="Z93" s="7" t="str">
        <f>Tab_Data_Flows[[#This Row],[Flow_ID]]&amp;"_"&amp;"DM_"&amp;Tab_Data_Flows[[#This Row],[Flow_Data_Year]]</f>
        <v>F_00_02_DM_2041</v>
      </c>
      <c r="AA93" s="7">
        <f>IF(E93="Yes",Y93*Tab_Data_Flows[[#This Row],[Flow_Material]],"N.A.")</f>
        <v>159408.49099195848</v>
      </c>
      <c r="AB93" s="7" t="str">
        <f>Tab_Data_Flows[[#This Row],[UoM_Flow_Py]]</f>
        <v>Mg</v>
      </c>
      <c r="AC93" s="143">
        <f>INDEX(Tab_Def_Flows[[Flow_ID]:[CC_DM_source]],MATCH(Tab_Data_Flows[[#This Row],[Flow_Name]],Tab_Def_Flows[Flow_Name],0),17)</f>
        <v>1</v>
      </c>
      <c r="AD93" s="7" t="str">
        <f>Tab_Data_Flows[[#This Row],[Flow_ID]]&amp;"_"&amp;"CC_"&amp;Tab_Data_Flows[[#This Row],[Flow_Data_Year]]</f>
        <v>F_00_02_CC_2041</v>
      </c>
      <c r="AE93" s="7">
        <f>IF(F93="Yes",AC93*Tab_Data_Flows[[#This Row],[Flow_Material]]*Tab_Data_Flows[[#This Row],[DM_'[%']]],"N.A.")</f>
        <v>159408.49099195848</v>
      </c>
      <c r="AF93" s="7" t="str">
        <f>Tab_Data_Flows[[#This Row],[UoM_Flow_Py]]</f>
        <v>Mg</v>
      </c>
      <c r="AG93"/>
    </row>
    <row r="94" spans="1:33" x14ac:dyDescent="0.25">
      <c r="A94" s="9">
        <f t="shared" si="1"/>
        <v>93</v>
      </c>
      <c r="B94" s="7" t="str">
        <f>_xlfn.XLOOKUP(C94,Tab_Def_Flows[Flow_Name],Tab_Def_Flows[Flow_ID],,0,)</f>
        <v>F_00_02</v>
      </c>
      <c r="C94" s="142" t="s">
        <v>588</v>
      </c>
      <c r="D94" s="10" t="str">
        <f>_xlfn.XLOOKUP(C94,Tab_Def_Flows[Flow_Name],Tab_Def_Flows[WC?],,0,)</f>
        <v>Yes</v>
      </c>
      <c r="E94" s="10" t="str">
        <f>_xlfn.XLOOKUP(C94,Tab_Def_Flows[Flow_Name],Tab_Def_Flows[DM?],,0,)</f>
        <v>Yes</v>
      </c>
      <c r="F94" s="10" t="str">
        <f>_xlfn.XLOOKUP(C94,Tab_Def_Flows[Flow_Name],Tab_Def_Flows[CC?],,0,)</f>
        <v>Yes</v>
      </c>
      <c r="G94" s="8">
        <v>2042</v>
      </c>
      <c r="H94" s="23">
        <v>158684.68197551658</v>
      </c>
      <c r="I94" s="8" t="s">
        <v>198</v>
      </c>
      <c r="J94" s="15"/>
      <c r="K94" s="15"/>
      <c r="L94" s="15"/>
      <c r="M94" s="15"/>
      <c r="N94" s="15"/>
      <c r="O94" s="8" t="s">
        <v>6</v>
      </c>
      <c r="P94" s="16"/>
      <c r="Q94" s="8"/>
      <c r="R94" s="7" t="str">
        <f>Tab_Data_Flows[[#This Row],[Flow_ID]]&amp;"_"&amp;"material_"&amp;Tab_Data_Flows[[#This Row],[Flow_Data_Year]]</f>
        <v>F_00_02_material_2042</v>
      </c>
      <c r="S94" s="14">
        <f>IF(O94="no",H94,H94*P94)</f>
        <v>158684.68197551658</v>
      </c>
      <c r="T94" s="8" t="s">
        <v>198</v>
      </c>
      <c r="U94" s="143">
        <f>INDEX(Tab_Def_Flows[[Flow_ID]:[CC_DM_source]],MATCH(Tab_Data_Flows[[#This Row],[Flow_Name]],Tab_Def_Flows[Flow_Name],0),11)</f>
        <v>0</v>
      </c>
      <c r="V94" s="7" t="str">
        <f>Tab_Data_Flows[[#This Row],[Flow_ID]]&amp;"_"&amp;"WC_"&amp;Tab_Data_Flows[[#This Row],[Flow_Data_Year]]</f>
        <v>F_00_02_WC_2042</v>
      </c>
      <c r="W94" s="7">
        <f>IF(D94="Yes",S94*Tab_Data_Flows[[#This Row],[WC_'[%']]],"N.A.")</f>
        <v>0</v>
      </c>
      <c r="X94" s="7" t="str">
        <f>Tab_Data_Flows[[#This Row],[UoM_Flow_Py]]</f>
        <v>Mg</v>
      </c>
      <c r="Y94" s="143">
        <f>INDEX(Tab_Def_Flows[[Flow_ID]:[CC_DM_source]],MATCH(Tab_Data_Flows[[#This Row],[Flow_Name]],Tab_Def_Flows[Flow_Name],0),14)</f>
        <v>1</v>
      </c>
      <c r="Z94" s="7" t="str">
        <f>Tab_Data_Flows[[#This Row],[Flow_ID]]&amp;"_"&amp;"DM_"&amp;Tab_Data_Flows[[#This Row],[Flow_Data_Year]]</f>
        <v>F_00_02_DM_2042</v>
      </c>
      <c r="AA94" s="7">
        <f>IF(E94="Yes",Y94*Tab_Data_Flows[[#This Row],[Flow_Material]],"N.A.")</f>
        <v>158684.68197551658</v>
      </c>
      <c r="AB94" s="7" t="str">
        <f>Tab_Data_Flows[[#This Row],[UoM_Flow_Py]]</f>
        <v>Mg</v>
      </c>
      <c r="AC94" s="143">
        <f>INDEX(Tab_Def_Flows[[Flow_ID]:[CC_DM_source]],MATCH(Tab_Data_Flows[[#This Row],[Flow_Name]],Tab_Def_Flows[Flow_Name],0),17)</f>
        <v>1</v>
      </c>
      <c r="AD94" s="7" t="str">
        <f>Tab_Data_Flows[[#This Row],[Flow_ID]]&amp;"_"&amp;"CC_"&amp;Tab_Data_Flows[[#This Row],[Flow_Data_Year]]</f>
        <v>F_00_02_CC_2042</v>
      </c>
      <c r="AE94" s="7">
        <f>IF(F94="Yes",AC94*Tab_Data_Flows[[#This Row],[Flow_Material]]*Tab_Data_Flows[[#This Row],[DM_'[%']]],"N.A.")</f>
        <v>158684.68197551658</v>
      </c>
      <c r="AF94" s="7" t="str">
        <f>Tab_Data_Flows[[#This Row],[UoM_Flow_Py]]</f>
        <v>Mg</v>
      </c>
      <c r="AG94"/>
    </row>
    <row r="95" spans="1:33" x14ac:dyDescent="0.25">
      <c r="A95" s="9">
        <f t="shared" si="1"/>
        <v>94</v>
      </c>
      <c r="B95" s="7" t="str">
        <f>_xlfn.XLOOKUP(C95,Tab_Def_Flows[Flow_Name],Tab_Def_Flows[Flow_ID],,0,)</f>
        <v>F_00_02</v>
      </c>
      <c r="C95" s="142" t="s">
        <v>588</v>
      </c>
      <c r="D95" s="10" t="str">
        <f>_xlfn.XLOOKUP(C95,Tab_Def_Flows[Flow_Name],Tab_Def_Flows[WC?],,0,)</f>
        <v>Yes</v>
      </c>
      <c r="E95" s="10" t="str">
        <f>_xlfn.XLOOKUP(C95,Tab_Def_Flows[Flow_Name],Tab_Def_Flows[DM?],,0,)</f>
        <v>Yes</v>
      </c>
      <c r="F95" s="10" t="str">
        <f>_xlfn.XLOOKUP(C95,Tab_Def_Flows[Flow_Name],Tab_Def_Flows[CC?],,0,)</f>
        <v>Yes</v>
      </c>
      <c r="G95" s="8">
        <v>2043</v>
      </c>
      <c r="H95" s="23">
        <v>153401.55156159739</v>
      </c>
      <c r="I95" s="8" t="s">
        <v>198</v>
      </c>
      <c r="J95" s="15"/>
      <c r="K95" s="15"/>
      <c r="L95" s="15"/>
      <c r="M95" s="15"/>
      <c r="N95" s="15"/>
      <c r="O95" s="8" t="s">
        <v>6</v>
      </c>
      <c r="P95" s="16"/>
      <c r="Q95" s="8"/>
      <c r="R95" s="7" t="str">
        <f>Tab_Data_Flows[[#This Row],[Flow_ID]]&amp;"_"&amp;"material_"&amp;Tab_Data_Flows[[#This Row],[Flow_Data_Year]]</f>
        <v>F_00_02_material_2043</v>
      </c>
      <c r="S95" s="14">
        <f>IF(O95="no",H95,H95*P95)</f>
        <v>153401.55156159739</v>
      </c>
      <c r="T95" s="8" t="s">
        <v>198</v>
      </c>
      <c r="U95" s="143">
        <f>INDEX(Tab_Def_Flows[[Flow_ID]:[CC_DM_source]],MATCH(Tab_Data_Flows[[#This Row],[Flow_Name]],Tab_Def_Flows[Flow_Name],0),11)</f>
        <v>0</v>
      </c>
      <c r="V95" s="7" t="str">
        <f>Tab_Data_Flows[[#This Row],[Flow_ID]]&amp;"_"&amp;"WC_"&amp;Tab_Data_Flows[[#This Row],[Flow_Data_Year]]</f>
        <v>F_00_02_WC_2043</v>
      </c>
      <c r="W95" s="7">
        <f>IF(D95="Yes",S95*Tab_Data_Flows[[#This Row],[WC_'[%']]],"N.A.")</f>
        <v>0</v>
      </c>
      <c r="X95" s="7" t="str">
        <f>Tab_Data_Flows[[#This Row],[UoM_Flow_Py]]</f>
        <v>Mg</v>
      </c>
      <c r="Y95" s="143">
        <f>INDEX(Tab_Def_Flows[[Flow_ID]:[CC_DM_source]],MATCH(Tab_Data_Flows[[#This Row],[Flow_Name]],Tab_Def_Flows[Flow_Name],0),14)</f>
        <v>1</v>
      </c>
      <c r="Z95" s="7" t="str">
        <f>Tab_Data_Flows[[#This Row],[Flow_ID]]&amp;"_"&amp;"DM_"&amp;Tab_Data_Flows[[#This Row],[Flow_Data_Year]]</f>
        <v>F_00_02_DM_2043</v>
      </c>
      <c r="AA95" s="7">
        <f>IF(E95="Yes",Y95*Tab_Data_Flows[[#This Row],[Flow_Material]],"N.A.")</f>
        <v>153401.55156159739</v>
      </c>
      <c r="AB95" s="7" t="str">
        <f>Tab_Data_Flows[[#This Row],[UoM_Flow_Py]]</f>
        <v>Mg</v>
      </c>
      <c r="AC95" s="143">
        <f>INDEX(Tab_Def_Flows[[Flow_ID]:[CC_DM_source]],MATCH(Tab_Data_Flows[[#This Row],[Flow_Name]],Tab_Def_Flows[Flow_Name],0),17)</f>
        <v>1</v>
      </c>
      <c r="AD95" s="7" t="str">
        <f>Tab_Data_Flows[[#This Row],[Flow_ID]]&amp;"_"&amp;"CC_"&amp;Tab_Data_Flows[[#This Row],[Flow_Data_Year]]</f>
        <v>F_00_02_CC_2043</v>
      </c>
      <c r="AE95" s="7">
        <f>IF(F95="Yes",AC95*Tab_Data_Flows[[#This Row],[Flow_Material]]*Tab_Data_Flows[[#This Row],[DM_'[%']]],"N.A.")</f>
        <v>153401.55156159739</v>
      </c>
      <c r="AF95" s="7" t="str">
        <f>Tab_Data_Flows[[#This Row],[UoM_Flow_Py]]</f>
        <v>Mg</v>
      </c>
      <c r="AG95"/>
    </row>
    <row r="96" spans="1:33" x14ac:dyDescent="0.25">
      <c r="A96" s="9">
        <f t="shared" si="1"/>
        <v>95</v>
      </c>
      <c r="B96" s="7" t="str">
        <f>_xlfn.XLOOKUP(C96,Tab_Def_Flows[Flow_Name],Tab_Def_Flows[Flow_ID],,0,)</f>
        <v>F_00_02</v>
      </c>
      <c r="C96" s="142" t="s">
        <v>588</v>
      </c>
      <c r="D96" s="10" t="str">
        <f>_xlfn.XLOOKUP(C96,Tab_Def_Flows[Flow_Name],Tab_Def_Flows[WC?],,0,)</f>
        <v>Yes</v>
      </c>
      <c r="E96" s="10" t="str">
        <f>_xlfn.XLOOKUP(C96,Tab_Def_Flows[Flow_Name],Tab_Def_Flows[DM?],,0,)</f>
        <v>Yes</v>
      </c>
      <c r="F96" s="10" t="str">
        <f>_xlfn.XLOOKUP(C96,Tab_Def_Flows[Flow_Name],Tab_Def_Flows[CC?],,0,)</f>
        <v>Yes</v>
      </c>
      <c r="G96" s="8">
        <v>2044</v>
      </c>
      <c r="H96" s="23">
        <v>148453.67122130498</v>
      </c>
      <c r="I96" s="8" t="s">
        <v>198</v>
      </c>
      <c r="J96" s="15"/>
      <c r="K96" s="15"/>
      <c r="L96" s="15"/>
      <c r="M96" s="15"/>
      <c r="N96" s="15"/>
      <c r="O96" s="8" t="s">
        <v>6</v>
      </c>
      <c r="P96" s="8"/>
      <c r="Q96" s="8"/>
      <c r="R96" s="7" t="str">
        <f>Tab_Data_Flows[[#This Row],[Flow_ID]]&amp;"_"&amp;"material_"&amp;Tab_Data_Flows[[#This Row],[Flow_Data_Year]]</f>
        <v>F_00_02_material_2044</v>
      </c>
      <c r="S96" s="14">
        <f>IF(O96="no",H96,H96*P96)</f>
        <v>148453.67122130498</v>
      </c>
      <c r="T96" s="8" t="s">
        <v>198</v>
      </c>
      <c r="U96" s="143">
        <f>INDEX(Tab_Def_Flows[[Flow_ID]:[CC_DM_source]],MATCH(Tab_Data_Flows[[#This Row],[Flow_Name]],Tab_Def_Flows[Flow_Name],0),11)</f>
        <v>0</v>
      </c>
      <c r="V96" s="7" t="str">
        <f>Tab_Data_Flows[[#This Row],[Flow_ID]]&amp;"_"&amp;"WC_"&amp;Tab_Data_Flows[[#This Row],[Flow_Data_Year]]</f>
        <v>F_00_02_WC_2044</v>
      </c>
      <c r="W96" s="7">
        <f>IF(D96="Yes",S96*Tab_Data_Flows[[#This Row],[WC_'[%']]],"N.A.")</f>
        <v>0</v>
      </c>
      <c r="X96" s="7" t="str">
        <f>Tab_Data_Flows[[#This Row],[UoM_Flow_Py]]</f>
        <v>Mg</v>
      </c>
      <c r="Y96" s="143">
        <f>INDEX(Tab_Def_Flows[[Flow_ID]:[CC_DM_source]],MATCH(Tab_Data_Flows[[#This Row],[Flow_Name]],Tab_Def_Flows[Flow_Name],0),14)</f>
        <v>1</v>
      </c>
      <c r="Z96" s="7" t="str">
        <f>Tab_Data_Flows[[#This Row],[Flow_ID]]&amp;"_"&amp;"DM_"&amp;Tab_Data_Flows[[#This Row],[Flow_Data_Year]]</f>
        <v>F_00_02_DM_2044</v>
      </c>
      <c r="AA96" s="7">
        <f>IF(E96="Yes",Y96*Tab_Data_Flows[[#This Row],[Flow_Material]],"N.A.")</f>
        <v>148453.67122130498</v>
      </c>
      <c r="AB96" s="7" t="str">
        <f>Tab_Data_Flows[[#This Row],[UoM_Flow_Py]]</f>
        <v>Mg</v>
      </c>
      <c r="AC96" s="143">
        <f>INDEX(Tab_Def_Flows[[Flow_ID]:[CC_DM_source]],MATCH(Tab_Data_Flows[[#This Row],[Flow_Name]],Tab_Def_Flows[Flow_Name],0),17)</f>
        <v>1</v>
      </c>
      <c r="AD96" s="7" t="str">
        <f>Tab_Data_Flows[[#This Row],[Flow_ID]]&amp;"_"&amp;"CC_"&amp;Tab_Data_Flows[[#This Row],[Flow_Data_Year]]</f>
        <v>F_00_02_CC_2044</v>
      </c>
      <c r="AE96" s="7">
        <f>IF(F96="Yes",AC96*Tab_Data_Flows[[#This Row],[Flow_Material]]*Tab_Data_Flows[[#This Row],[DM_'[%']]],"N.A.")</f>
        <v>148453.67122130498</v>
      </c>
      <c r="AF96" s="7" t="str">
        <f>Tab_Data_Flows[[#This Row],[UoM_Flow_Py]]</f>
        <v>Mg</v>
      </c>
      <c r="AG96"/>
    </row>
    <row r="97" spans="1:33" x14ac:dyDescent="0.25">
      <c r="A97" s="9">
        <f t="shared" si="1"/>
        <v>96</v>
      </c>
      <c r="B97" s="7" t="str">
        <f>_xlfn.XLOOKUP(C97,Tab_Def_Flows[Flow_Name],Tab_Def_Flows[Flow_ID],,0,)</f>
        <v>F_00_02</v>
      </c>
      <c r="C97" s="142" t="s">
        <v>588</v>
      </c>
      <c r="D97" s="10" t="str">
        <f>_xlfn.XLOOKUP(C97,Tab_Def_Flows[Flow_Name],Tab_Def_Flows[WC?],,0,)</f>
        <v>Yes</v>
      </c>
      <c r="E97" s="10" t="str">
        <f>_xlfn.XLOOKUP(C97,Tab_Def_Flows[Flow_Name],Tab_Def_Flows[DM?],,0,)</f>
        <v>Yes</v>
      </c>
      <c r="F97" s="10" t="str">
        <f>_xlfn.XLOOKUP(C97,Tab_Def_Flows[Flow_Name],Tab_Def_Flows[CC?],,0,)</f>
        <v>Yes</v>
      </c>
      <c r="G97" s="8">
        <v>2045</v>
      </c>
      <c r="H97" s="23">
        <v>124080.0307430954</v>
      </c>
      <c r="I97" s="8" t="s">
        <v>198</v>
      </c>
      <c r="J97" s="15"/>
      <c r="K97" s="15"/>
      <c r="L97" s="15"/>
      <c r="M97" s="15"/>
      <c r="N97" s="15"/>
      <c r="O97" s="8" t="s">
        <v>6</v>
      </c>
      <c r="P97" s="8"/>
      <c r="Q97" s="8"/>
      <c r="R97" s="7" t="str">
        <f>Tab_Data_Flows[[#This Row],[Flow_ID]]&amp;"_"&amp;"material_"&amp;Tab_Data_Flows[[#This Row],[Flow_Data_Year]]</f>
        <v>F_00_02_material_2045</v>
      </c>
      <c r="S97" s="14">
        <f>IF(O97="no",H97,H97*P97)</f>
        <v>124080.0307430954</v>
      </c>
      <c r="T97" s="8" t="s">
        <v>198</v>
      </c>
      <c r="U97" s="143">
        <f>INDEX(Tab_Def_Flows[[Flow_ID]:[CC_DM_source]],MATCH(Tab_Data_Flows[[#This Row],[Flow_Name]],Tab_Def_Flows[Flow_Name],0),11)</f>
        <v>0</v>
      </c>
      <c r="V97" s="7" t="str">
        <f>Tab_Data_Flows[[#This Row],[Flow_ID]]&amp;"_"&amp;"WC_"&amp;Tab_Data_Flows[[#This Row],[Flow_Data_Year]]</f>
        <v>F_00_02_WC_2045</v>
      </c>
      <c r="W97" s="7">
        <f>IF(D97="Yes",S97*Tab_Data_Flows[[#This Row],[WC_'[%']]],"N.A.")</f>
        <v>0</v>
      </c>
      <c r="X97" s="7" t="str">
        <f>Tab_Data_Flows[[#This Row],[UoM_Flow_Py]]</f>
        <v>Mg</v>
      </c>
      <c r="Y97" s="143">
        <f>INDEX(Tab_Def_Flows[[Flow_ID]:[CC_DM_source]],MATCH(Tab_Data_Flows[[#This Row],[Flow_Name]],Tab_Def_Flows[Flow_Name],0),14)</f>
        <v>1</v>
      </c>
      <c r="Z97" s="7" t="str">
        <f>Tab_Data_Flows[[#This Row],[Flow_ID]]&amp;"_"&amp;"DM_"&amp;Tab_Data_Flows[[#This Row],[Flow_Data_Year]]</f>
        <v>F_00_02_DM_2045</v>
      </c>
      <c r="AA97" s="7">
        <f>IF(E97="Yes",Y97*Tab_Data_Flows[[#This Row],[Flow_Material]],"N.A.")</f>
        <v>124080.0307430954</v>
      </c>
      <c r="AB97" s="7" t="str">
        <f>Tab_Data_Flows[[#This Row],[UoM_Flow_Py]]</f>
        <v>Mg</v>
      </c>
      <c r="AC97" s="143">
        <f>INDEX(Tab_Def_Flows[[Flow_ID]:[CC_DM_source]],MATCH(Tab_Data_Flows[[#This Row],[Flow_Name]],Tab_Def_Flows[Flow_Name],0),17)</f>
        <v>1</v>
      </c>
      <c r="AD97" s="7" t="str">
        <f>Tab_Data_Flows[[#This Row],[Flow_ID]]&amp;"_"&amp;"CC_"&amp;Tab_Data_Flows[[#This Row],[Flow_Data_Year]]</f>
        <v>F_00_02_CC_2045</v>
      </c>
      <c r="AE97" s="7">
        <f>IF(F97="Yes",AC97*Tab_Data_Flows[[#This Row],[Flow_Material]]*Tab_Data_Flows[[#This Row],[DM_'[%']]],"N.A.")</f>
        <v>124080.0307430954</v>
      </c>
      <c r="AF97" s="7" t="str">
        <f>Tab_Data_Flows[[#This Row],[UoM_Flow_Py]]</f>
        <v>Mg</v>
      </c>
      <c r="AG97"/>
    </row>
    <row r="98" spans="1:33" x14ac:dyDescent="0.25">
      <c r="A98" s="9">
        <f t="shared" si="1"/>
        <v>97</v>
      </c>
      <c r="B98" s="7" t="str">
        <f>_xlfn.XLOOKUP(C98,Tab_Def_Flows[Flow_Name],Tab_Def_Flows[Flow_ID],,0,)</f>
        <v>F_00_02</v>
      </c>
      <c r="C98" s="142" t="s">
        <v>588</v>
      </c>
      <c r="D98" s="10" t="str">
        <f>_xlfn.XLOOKUP(C98,Tab_Def_Flows[Flow_Name],Tab_Def_Flows[WC?],,0,)</f>
        <v>Yes</v>
      </c>
      <c r="E98" s="10" t="str">
        <f>_xlfn.XLOOKUP(C98,Tab_Def_Flows[Flow_Name],Tab_Def_Flows[DM?],,0,)</f>
        <v>Yes</v>
      </c>
      <c r="F98" s="10" t="str">
        <f>_xlfn.XLOOKUP(C98,Tab_Def_Flows[Flow_Name],Tab_Def_Flows[CC?],,0,)</f>
        <v>Yes</v>
      </c>
      <c r="G98" s="8">
        <v>2046</v>
      </c>
      <c r="H98" s="23">
        <v>144613.0730093164</v>
      </c>
      <c r="I98" s="8" t="s">
        <v>198</v>
      </c>
      <c r="J98" s="15"/>
      <c r="K98" s="15"/>
      <c r="L98" s="15"/>
      <c r="M98" s="15"/>
      <c r="N98" s="15"/>
      <c r="O98" s="8" t="s">
        <v>6</v>
      </c>
      <c r="P98" s="8"/>
      <c r="Q98" s="8"/>
      <c r="R98" s="7" t="str">
        <f>Tab_Data_Flows[[#This Row],[Flow_ID]]&amp;"_"&amp;"material_"&amp;Tab_Data_Flows[[#This Row],[Flow_Data_Year]]</f>
        <v>F_00_02_material_2046</v>
      </c>
      <c r="S98" s="14">
        <f>IF(O98="no",H98,H98*P98)</f>
        <v>144613.0730093164</v>
      </c>
      <c r="T98" s="8" t="s">
        <v>198</v>
      </c>
      <c r="U98" s="143">
        <f>INDEX(Tab_Def_Flows[[Flow_ID]:[CC_DM_source]],MATCH(Tab_Data_Flows[[#This Row],[Flow_Name]],Tab_Def_Flows[Flow_Name],0),11)</f>
        <v>0</v>
      </c>
      <c r="V98" s="7" t="str">
        <f>Tab_Data_Flows[[#This Row],[Flow_ID]]&amp;"_"&amp;"WC_"&amp;Tab_Data_Flows[[#This Row],[Flow_Data_Year]]</f>
        <v>F_00_02_WC_2046</v>
      </c>
      <c r="W98" s="7">
        <f>IF(D98="Yes",S98*Tab_Data_Flows[[#This Row],[WC_'[%']]],"N.A.")</f>
        <v>0</v>
      </c>
      <c r="X98" s="7" t="str">
        <f>Tab_Data_Flows[[#This Row],[UoM_Flow_Py]]</f>
        <v>Mg</v>
      </c>
      <c r="Y98" s="143">
        <f>INDEX(Tab_Def_Flows[[Flow_ID]:[CC_DM_source]],MATCH(Tab_Data_Flows[[#This Row],[Flow_Name]],Tab_Def_Flows[Flow_Name],0),14)</f>
        <v>1</v>
      </c>
      <c r="Z98" s="7" t="str">
        <f>Tab_Data_Flows[[#This Row],[Flow_ID]]&amp;"_"&amp;"DM_"&amp;Tab_Data_Flows[[#This Row],[Flow_Data_Year]]</f>
        <v>F_00_02_DM_2046</v>
      </c>
      <c r="AA98" s="7">
        <f>IF(E98="Yes",Y98*Tab_Data_Flows[[#This Row],[Flow_Material]],"N.A.")</f>
        <v>144613.0730093164</v>
      </c>
      <c r="AB98" s="7" t="str">
        <f>Tab_Data_Flows[[#This Row],[UoM_Flow_Py]]</f>
        <v>Mg</v>
      </c>
      <c r="AC98" s="143">
        <f>INDEX(Tab_Def_Flows[[Flow_ID]:[CC_DM_source]],MATCH(Tab_Data_Flows[[#This Row],[Flow_Name]],Tab_Def_Flows[Flow_Name],0),17)</f>
        <v>1</v>
      </c>
      <c r="AD98" s="7" t="str">
        <f>Tab_Data_Flows[[#This Row],[Flow_ID]]&amp;"_"&amp;"CC_"&amp;Tab_Data_Flows[[#This Row],[Flow_Data_Year]]</f>
        <v>F_00_02_CC_2046</v>
      </c>
      <c r="AE98" s="7">
        <f>IF(F98="Yes",AC98*Tab_Data_Flows[[#This Row],[Flow_Material]]*Tab_Data_Flows[[#This Row],[DM_'[%']]],"N.A.")</f>
        <v>144613.0730093164</v>
      </c>
      <c r="AF98" s="7" t="str">
        <f>Tab_Data_Flows[[#This Row],[UoM_Flow_Py]]</f>
        <v>Mg</v>
      </c>
      <c r="AG98"/>
    </row>
    <row r="99" spans="1:33" x14ac:dyDescent="0.25">
      <c r="A99" s="9">
        <f t="shared" si="1"/>
        <v>98</v>
      </c>
      <c r="B99" s="7" t="str">
        <f>_xlfn.XLOOKUP(C99,Tab_Def_Flows[Flow_Name],Tab_Def_Flows[Flow_ID],,0,)</f>
        <v>F_00_02</v>
      </c>
      <c r="C99" s="142" t="s">
        <v>588</v>
      </c>
      <c r="D99" s="10" t="str">
        <f>_xlfn.XLOOKUP(C99,Tab_Def_Flows[Flow_Name],Tab_Def_Flows[WC?],,0,)</f>
        <v>Yes</v>
      </c>
      <c r="E99" s="10" t="str">
        <f>_xlfn.XLOOKUP(C99,Tab_Def_Flows[Flow_Name],Tab_Def_Flows[DM?],,0,)</f>
        <v>Yes</v>
      </c>
      <c r="F99" s="10" t="str">
        <f>_xlfn.XLOOKUP(C99,Tab_Def_Flows[Flow_Name],Tab_Def_Flows[CC?],,0,)</f>
        <v>Yes</v>
      </c>
      <c r="G99" s="8">
        <v>2047</v>
      </c>
      <c r="H99" s="23">
        <v>146221.71445681024</v>
      </c>
      <c r="I99" s="8" t="s">
        <v>198</v>
      </c>
      <c r="J99" s="15"/>
      <c r="K99" s="15"/>
      <c r="L99" s="15"/>
      <c r="M99" s="15"/>
      <c r="N99" s="15"/>
      <c r="O99" s="8" t="s">
        <v>6</v>
      </c>
      <c r="P99" s="8"/>
      <c r="Q99" s="8"/>
      <c r="R99" s="7" t="str">
        <f>Tab_Data_Flows[[#This Row],[Flow_ID]]&amp;"_"&amp;"material_"&amp;Tab_Data_Flows[[#This Row],[Flow_Data_Year]]</f>
        <v>F_00_02_material_2047</v>
      </c>
      <c r="S99" s="14">
        <f>IF(O99="no",H99,H99*P99)</f>
        <v>146221.71445681024</v>
      </c>
      <c r="T99" s="8" t="s">
        <v>198</v>
      </c>
      <c r="U99" s="143">
        <f>INDEX(Tab_Def_Flows[[Flow_ID]:[CC_DM_source]],MATCH(Tab_Data_Flows[[#This Row],[Flow_Name]],Tab_Def_Flows[Flow_Name],0),11)</f>
        <v>0</v>
      </c>
      <c r="V99" s="7" t="str">
        <f>Tab_Data_Flows[[#This Row],[Flow_ID]]&amp;"_"&amp;"WC_"&amp;Tab_Data_Flows[[#This Row],[Flow_Data_Year]]</f>
        <v>F_00_02_WC_2047</v>
      </c>
      <c r="W99" s="7">
        <f>IF(D99="Yes",S99*Tab_Data_Flows[[#This Row],[WC_'[%']]],"N.A.")</f>
        <v>0</v>
      </c>
      <c r="X99" s="7" t="str">
        <f>Tab_Data_Flows[[#This Row],[UoM_Flow_Py]]</f>
        <v>Mg</v>
      </c>
      <c r="Y99" s="143">
        <f>INDEX(Tab_Def_Flows[[Flow_ID]:[CC_DM_source]],MATCH(Tab_Data_Flows[[#This Row],[Flow_Name]],Tab_Def_Flows[Flow_Name],0),14)</f>
        <v>1</v>
      </c>
      <c r="Z99" s="7" t="str">
        <f>Tab_Data_Flows[[#This Row],[Flow_ID]]&amp;"_"&amp;"DM_"&amp;Tab_Data_Flows[[#This Row],[Flow_Data_Year]]</f>
        <v>F_00_02_DM_2047</v>
      </c>
      <c r="AA99" s="7">
        <f>IF(E99="Yes",Y99*Tab_Data_Flows[[#This Row],[Flow_Material]],"N.A.")</f>
        <v>146221.71445681024</v>
      </c>
      <c r="AB99" s="7" t="str">
        <f>Tab_Data_Flows[[#This Row],[UoM_Flow_Py]]</f>
        <v>Mg</v>
      </c>
      <c r="AC99" s="143">
        <f>INDEX(Tab_Def_Flows[[Flow_ID]:[CC_DM_source]],MATCH(Tab_Data_Flows[[#This Row],[Flow_Name]],Tab_Def_Flows[Flow_Name],0),17)</f>
        <v>1</v>
      </c>
      <c r="AD99" s="7" t="str">
        <f>Tab_Data_Flows[[#This Row],[Flow_ID]]&amp;"_"&amp;"CC_"&amp;Tab_Data_Flows[[#This Row],[Flow_Data_Year]]</f>
        <v>F_00_02_CC_2047</v>
      </c>
      <c r="AE99" s="7">
        <f>IF(F99="Yes",AC99*Tab_Data_Flows[[#This Row],[Flow_Material]]*Tab_Data_Flows[[#This Row],[DM_'[%']]],"N.A.")</f>
        <v>146221.71445681024</v>
      </c>
      <c r="AF99" s="7" t="str">
        <f>Tab_Data_Flows[[#This Row],[UoM_Flow_Py]]</f>
        <v>Mg</v>
      </c>
      <c r="AG99"/>
    </row>
    <row r="100" spans="1:33" x14ac:dyDescent="0.25">
      <c r="A100" s="9">
        <f t="shared" si="1"/>
        <v>99</v>
      </c>
      <c r="B100" s="7" t="str">
        <f>_xlfn.XLOOKUP(C100,Tab_Def_Flows[Flow_Name],Tab_Def_Flows[Flow_ID],,0,)</f>
        <v>F_00_02</v>
      </c>
      <c r="C100" s="142" t="s">
        <v>588</v>
      </c>
      <c r="D100" s="10" t="str">
        <f>_xlfn.XLOOKUP(C100,Tab_Def_Flows[Flow_Name],Tab_Def_Flows[WC?],,0,)</f>
        <v>Yes</v>
      </c>
      <c r="E100" s="10" t="str">
        <f>_xlfn.XLOOKUP(C100,Tab_Def_Flows[Flow_Name],Tab_Def_Flows[DM?],,0,)</f>
        <v>Yes</v>
      </c>
      <c r="F100" s="10" t="str">
        <f>_xlfn.XLOOKUP(C100,Tab_Def_Flows[Flow_Name],Tab_Def_Flows[CC?],,0,)</f>
        <v>Yes</v>
      </c>
      <c r="G100" s="8">
        <v>2048</v>
      </c>
      <c r="H100" s="23">
        <v>136735.45700111322</v>
      </c>
      <c r="I100" s="8" t="s">
        <v>198</v>
      </c>
      <c r="J100" s="15"/>
      <c r="K100" s="15"/>
      <c r="L100" s="15"/>
      <c r="M100" s="15"/>
      <c r="N100" s="15"/>
      <c r="O100" s="8" t="s">
        <v>6</v>
      </c>
      <c r="P100" s="8"/>
      <c r="Q100" s="8"/>
      <c r="R100" s="7" t="str">
        <f>Tab_Data_Flows[[#This Row],[Flow_ID]]&amp;"_"&amp;"material_"&amp;Tab_Data_Flows[[#This Row],[Flow_Data_Year]]</f>
        <v>F_00_02_material_2048</v>
      </c>
      <c r="S100" s="14">
        <f>IF(O100="no",H100,H100*P100)</f>
        <v>136735.45700111322</v>
      </c>
      <c r="T100" s="8" t="s">
        <v>198</v>
      </c>
      <c r="U100" s="143">
        <f>INDEX(Tab_Def_Flows[[Flow_ID]:[CC_DM_source]],MATCH(Tab_Data_Flows[[#This Row],[Flow_Name]],Tab_Def_Flows[Flow_Name],0),11)</f>
        <v>0</v>
      </c>
      <c r="V100" s="7" t="str">
        <f>Tab_Data_Flows[[#This Row],[Flow_ID]]&amp;"_"&amp;"WC_"&amp;Tab_Data_Flows[[#This Row],[Flow_Data_Year]]</f>
        <v>F_00_02_WC_2048</v>
      </c>
      <c r="W100" s="7">
        <f>IF(D100="Yes",S100*Tab_Data_Flows[[#This Row],[WC_'[%']]],"N.A.")</f>
        <v>0</v>
      </c>
      <c r="X100" s="7" t="str">
        <f>Tab_Data_Flows[[#This Row],[UoM_Flow_Py]]</f>
        <v>Mg</v>
      </c>
      <c r="Y100" s="143">
        <f>INDEX(Tab_Def_Flows[[Flow_ID]:[CC_DM_source]],MATCH(Tab_Data_Flows[[#This Row],[Flow_Name]],Tab_Def_Flows[Flow_Name],0),14)</f>
        <v>1</v>
      </c>
      <c r="Z100" s="7" t="str">
        <f>Tab_Data_Flows[[#This Row],[Flow_ID]]&amp;"_"&amp;"DM_"&amp;Tab_Data_Flows[[#This Row],[Flow_Data_Year]]</f>
        <v>F_00_02_DM_2048</v>
      </c>
      <c r="AA100" s="7">
        <f>IF(E100="Yes",Y100*Tab_Data_Flows[[#This Row],[Flow_Material]],"N.A.")</f>
        <v>136735.45700111322</v>
      </c>
      <c r="AB100" s="7" t="str">
        <f>Tab_Data_Flows[[#This Row],[UoM_Flow_Py]]</f>
        <v>Mg</v>
      </c>
      <c r="AC100" s="143">
        <f>INDEX(Tab_Def_Flows[[Flow_ID]:[CC_DM_source]],MATCH(Tab_Data_Flows[[#This Row],[Flow_Name]],Tab_Def_Flows[Flow_Name],0),17)</f>
        <v>1</v>
      </c>
      <c r="AD100" s="7" t="str">
        <f>Tab_Data_Flows[[#This Row],[Flow_ID]]&amp;"_"&amp;"CC_"&amp;Tab_Data_Flows[[#This Row],[Flow_Data_Year]]</f>
        <v>F_00_02_CC_2048</v>
      </c>
      <c r="AE100" s="7">
        <f>IF(F100="Yes",AC100*Tab_Data_Flows[[#This Row],[Flow_Material]]*Tab_Data_Flows[[#This Row],[DM_'[%']]],"N.A.")</f>
        <v>136735.45700111322</v>
      </c>
      <c r="AF100" s="7" t="str">
        <f>Tab_Data_Flows[[#This Row],[UoM_Flow_Py]]</f>
        <v>Mg</v>
      </c>
      <c r="AG100"/>
    </row>
    <row r="101" spans="1:33" x14ac:dyDescent="0.25">
      <c r="A101" s="9">
        <f t="shared" si="1"/>
        <v>100</v>
      </c>
      <c r="B101" s="7" t="str">
        <f>_xlfn.XLOOKUP(C101,Tab_Def_Flows[Flow_Name],Tab_Def_Flows[Flow_ID],,0,)</f>
        <v>F_00_02</v>
      </c>
      <c r="C101" s="142" t="s">
        <v>588</v>
      </c>
      <c r="D101" s="10" t="str">
        <f>_xlfn.XLOOKUP(C101,Tab_Def_Flows[Flow_Name],Tab_Def_Flows[WC?],,0,)</f>
        <v>Yes</v>
      </c>
      <c r="E101" s="10" t="str">
        <f>_xlfn.XLOOKUP(C101,Tab_Def_Flows[Flow_Name],Tab_Def_Flows[DM?],,0,)</f>
        <v>Yes</v>
      </c>
      <c r="F101" s="10" t="str">
        <f>_xlfn.XLOOKUP(C101,Tab_Def_Flows[Flow_Name],Tab_Def_Flows[CC?],,0,)</f>
        <v>Yes</v>
      </c>
      <c r="G101" s="8">
        <v>2049</v>
      </c>
      <c r="H101" s="23">
        <v>149966.75328490557</v>
      </c>
      <c r="I101" s="8" t="s">
        <v>198</v>
      </c>
      <c r="J101" s="15"/>
      <c r="K101" s="15"/>
      <c r="L101" s="15"/>
      <c r="M101" s="15"/>
      <c r="N101" s="15"/>
      <c r="O101" s="8" t="s">
        <v>6</v>
      </c>
      <c r="P101" s="8"/>
      <c r="Q101" s="8"/>
      <c r="R101" s="7" t="str">
        <f>Tab_Data_Flows[[#This Row],[Flow_ID]]&amp;"_"&amp;"material_"&amp;Tab_Data_Flows[[#This Row],[Flow_Data_Year]]</f>
        <v>F_00_02_material_2049</v>
      </c>
      <c r="S101" s="14">
        <f>IF(O101="no",H101,H101*P101)</f>
        <v>149966.75328490557</v>
      </c>
      <c r="T101" s="8" t="s">
        <v>198</v>
      </c>
      <c r="U101" s="143">
        <f>INDEX(Tab_Def_Flows[[Flow_ID]:[CC_DM_source]],MATCH(Tab_Data_Flows[[#This Row],[Flow_Name]],Tab_Def_Flows[Flow_Name],0),11)</f>
        <v>0</v>
      </c>
      <c r="V101" s="7" t="str">
        <f>Tab_Data_Flows[[#This Row],[Flow_ID]]&amp;"_"&amp;"WC_"&amp;Tab_Data_Flows[[#This Row],[Flow_Data_Year]]</f>
        <v>F_00_02_WC_2049</v>
      </c>
      <c r="W101" s="7">
        <f>IF(D101="Yes",S101*Tab_Data_Flows[[#This Row],[WC_'[%']]],"N.A.")</f>
        <v>0</v>
      </c>
      <c r="X101" s="7" t="str">
        <f>Tab_Data_Flows[[#This Row],[UoM_Flow_Py]]</f>
        <v>Mg</v>
      </c>
      <c r="Y101" s="143">
        <f>INDEX(Tab_Def_Flows[[Flow_ID]:[CC_DM_source]],MATCH(Tab_Data_Flows[[#This Row],[Flow_Name]],Tab_Def_Flows[Flow_Name],0),14)</f>
        <v>1</v>
      </c>
      <c r="Z101" s="7" t="str">
        <f>Tab_Data_Flows[[#This Row],[Flow_ID]]&amp;"_"&amp;"DM_"&amp;Tab_Data_Flows[[#This Row],[Flow_Data_Year]]</f>
        <v>F_00_02_DM_2049</v>
      </c>
      <c r="AA101" s="7">
        <f>IF(E101="Yes",Y101*Tab_Data_Flows[[#This Row],[Flow_Material]],"N.A.")</f>
        <v>149966.75328490557</v>
      </c>
      <c r="AB101" s="7" t="str">
        <f>Tab_Data_Flows[[#This Row],[UoM_Flow_Py]]</f>
        <v>Mg</v>
      </c>
      <c r="AC101" s="143">
        <f>INDEX(Tab_Def_Flows[[Flow_ID]:[CC_DM_source]],MATCH(Tab_Data_Flows[[#This Row],[Flow_Name]],Tab_Def_Flows[Flow_Name],0),17)</f>
        <v>1</v>
      </c>
      <c r="AD101" s="7" t="str">
        <f>Tab_Data_Flows[[#This Row],[Flow_ID]]&amp;"_"&amp;"CC_"&amp;Tab_Data_Flows[[#This Row],[Flow_Data_Year]]</f>
        <v>F_00_02_CC_2049</v>
      </c>
      <c r="AE101" s="7">
        <f>IF(F101="Yes",AC101*Tab_Data_Flows[[#This Row],[Flow_Material]]*Tab_Data_Flows[[#This Row],[DM_'[%']]],"N.A.")</f>
        <v>149966.75328490557</v>
      </c>
      <c r="AF101" s="7" t="str">
        <f>Tab_Data_Flows[[#This Row],[UoM_Flow_Py]]</f>
        <v>Mg</v>
      </c>
      <c r="AG101"/>
    </row>
    <row r="102" spans="1:33" x14ac:dyDescent="0.25">
      <c r="A102" s="9">
        <f t="shared" si="1"/>
        <v>101</v>
      </c>
      <c r="B102" s="7" t="str">
        <f>_xlfn.XLOOKUP(C102,Tab_Def_Flows[Flow_Name],Tab_Def_Flows[Flow_ID],,0,)</f>
        <v>F_00_02</v>
      </c>
      <c r="C102" s="142" t="s">
        <v>588</v>
      </c>
      <c r="D102" s="10" t="str">
        <f>_xlfn.XLOOKUP(C102,Tab_Def_Flows[Flow_Name],Tab_Def_Flows[WC?],,0,)</f>
        <v>Yes</v>
      </c>
      <c r="E102" s="10" t="str">
        <f>_xlfn.XLOOKUP(C102,Tab_Def_Flows[Flow_Name],Tab_Def_Flows[DM?],,0,)</f>
        <v>Yes</v>
      </c>
      <c r="F102" s="10" t="str">
        <f>_xlfn.XLOOKUP(C102,Tab_Def_Flows[Flow_Name],Tab_Def_Flows[CC?],,0,)</f>
        <v>Yes</v>
      </c>
      <c r="G102" s="8">
        <v>2050</v>
      </c>
      <c r="H102" s="23">
        <v>161636.38535643197</v>
      </c>
      <c r="I102" s="8" t="s">
        <v>198</v>
      </c>
      <c r="J102" s="15"/>
      <c r="K102" s="15"/>
      <c r="L102" s="15"/>
      <c r="M102" s="15"/>
      <c r="N102" s="15"/>
      <c r="O102" s="8" t="s">
        <v>6</v>
      </c>
      <c r="P102" s="8"/>
      <c r="Q102" s="8"/>
      <c r="R102" s="7" t="str">
        <f>Tab_Data_Flows[[#This Row],[Flow_ID]]&amp;"_"&amp;"material_"&amp;Tab_Data_Flows[[#This Row],[Flow_Data_Year]]</f>
        <v>F_00_02_material_2050</v>
      </c>
      <c r="S102" s="14">
        <f>IF(O102="no",H102,H102*P102)</f>
        <v>161636.38535643197</v>
      </c>
      <c r="T102" s="8" t="s">
        <v>198</v>
      </c>
      <c r="U102" s="143">
        <f>INDEX(Tab_Def_Flows[[Flow_ID]:[CC_DM_source]],MATCH(Tab_Data_Flows[[#This Row],[Flow_Name]],Tab_Def_Flows[Flow_Name],0),11)</f>
        <v>0</v>
      </c>
      <c r="V102" s="7" t="str">
        <f>Tab_Data_Flows[[#This Row],[Flow_ID]]&amp;"_"&amp;"WC_"&amp;Tab_Data_Flows[[#This Row],[Flow_Data_Year]]</f>
        <v>F_00_02_WC_2050</v>
      </c>
      <c r="W102" s="7">
        <f>IF(D102="Yes",S102*Tab_Data_Flows[[#This Row],[WC_'[%']]],"N.A.")</f>
        <v>0</v>
      </c>
      <c r="X102" s="7" t="str">
        <f>Tab_Data_Flows[[#This Row],[UoM_Flow_Py]]</f>
        <v>Mg</v>
      </c>
      <c r="Y102" s="143">
        <f>INDEX(Tab_Def_Flows[[Flow_ID]:[CC_DM_source]],MATCH(Tab_Data_Flows[[#This Row],[Flow_Name]],Tab_Def_Flows[Flow_Name],0),14)</f>
        <v>1</v>
      </c>
      <c r="Z102" s="7" t="str">
        <f>Tab_Data_Flows[[#This Row],[Flow_ID]]&amp;"_"&amp;"DM_"&amp;Tab_Data_Flows[[#This Row],[Flow_Data_Year]]</f>
        <v>F_00_02_DM_2050</v>
      </c>
      <c r="AA102" s="7">
        <f>IF(E102="Yes",Y102*Tab_Data_Flows[[#This Row],[Flow_Material]],"N.A.")</f>
        <v>161636.38535643197</v>
      </c>
      <c r="AB102" s="7" t="str">
        <f>Tab_Data_Flows[[#This Row],[UoM_Flow_Py]]</f>
        <v>Mg</v>
      </c>
      <c r="AC102" s="143">
        <f>INDEX(Tab_Def_Flows[[Flow_ID]:[CC_DM_source]],MATCH(Tab_Data_Flows[[#This Row],[Flow_Name]],Tab_Def_Flows[Flow_Name],0),17)</f>
        <v>1</v>
      </c>
      <c r="AD102" s="7" t="str">
        <f>Tab_Data_Flows[[#This Row],[Flow_ID]]&amp;"_"&amp;"CC_"&amp;Tab_Data_Flows[[#This Row],[Flow_Data_Year]]</f>
        <v>F_00_02_CC_2050</v>
      </c>
      <c r="AE102" s="7">
        <f>IF(F102="Yes",AC102*Tab_Data_Flows[[#This Row],[Flow_Material]]*Tab_Data_Flows[[#This Row],[DM_'[%']]],"N.A.")</f>
        <v>161636.38535643197</v>
      </c>
      <c r="AF102" s="7" t="str">
        <f>Tab_Data_Flows[[#This Row],[UoM_Flow_Py]]</f>
        <v>Mg</v>
      </c>
      <c r="AG102"/>
    </row>
    <row r="103" spans="1:33" x14ac:dyDescent="0.25">
      <c r="A103" s="9">
        <f t="shared" si="1"/>
        <v>102</v>
      </c>
      <c r="B103" s="7" t="str">
        <f>_xlfn.XLOOKUP(C103,Tab_Def_Flows[Flow_Name],Tab_Def_Flows[Flow_ID],,0,)</f>
        <v>F_00_02</v>
      </c>
      <c r="C103" s="142" t="s">
        <v>588</v>
      </c>
      <c r="D103" s="10" t="str">
        <f>_xlfn.XLOOKUP(C103,Tab_Def_Flows[Flow_Name],Tab_Def_Flows[WC?],,0,)</f>
        <v>Yes</v>
      </c>
      <c r="E103" s="10" t="str">
        <f>_xlfn.XLOOKUP(C103,Tab_Def_Flows[Flow_Name],Tab_Def_Flows[DM?],,0,)</f>
        <v>Yes</v>
      </c>
      <c r="F103" s="10" t="str">
        <f>_xlfn.XLOOKUP(C103,Tab_Def_Flows[Flow_Name],Tab_Def_Flows[CC?],,0,)</f>
        <v>Yes</v>
      </c>
      <c r="G103" s="8">
        <v>2051</v>
      </c>
      <c r="H103" s="23">
        <v>192230.49798371692</v>
      </c>
      <c r="I103" s="8" t="s">
        <v>198</v>
      </c>
      <c r="J103" s="15"/>
      <c r="K103" s="15"/>
      <c r="L103" s="15"/>
      <c r="M103" s="15"/>
      <c r="N103" s="15"/>
      <c r="O103" s="8" t="s">
        <v>6</v>
      </c>
      <c r="P103" s="8"/>
      <c r="Q103" s="8"/>
      <c r="R103" s="7" t="str">
        <f>Tab_Data_Flows[[#This Row],[Flow_ID]]&amp;"_"&amp;"material_"&amp;Tab_Data_Flows[[#This Row],[Flow_Data_Year]]</f>
        <v>F_00_02_material_2051</v>
      </c>
      <c r="S103" s="14">
        <f>IF(O103="no",H103,H103*P103)</f>
        <v>192230.49798371692</v>
      </c>
      <c r="T103" s="8" t="s">
        <v>198</v>
      </c>
      <c r="U103" s="143">
        <f>INDEX(Tab_Def_Flows[[Flow_ID]:[CC_DM_source]],MATCH(Tab_Data_Flows[[#This Row],[Flow_Name]],Tab_Def_Flows[Flow_Name],0),11)</f>
        <v>0</v>
      </c>
      <c r="V103" s="7" t="str">
        <f>Tab_Data_Flows[[#This Row],[Flow_ID]]&amp;"_"&amp;"WC_"&amp;Tab_Data_Flows[[#This Row],[Flow_Data_Year]]</f>
        <v>F_00_02_WC_2051</v>
      </c>
      <c r="W103" s="7">
        <f>IF(D103="Yes",S103*Tab_Data_Flows[[#This Row],[WC_'[%']]],"N.A.")</f>
        <v>0</v>
      </c>
      <c r="X103" s="7" t="str">
        <f>Tab_Data_Flows[[#This Row],[UoM_Flow_Py]]</f>
        <v>Mg</v>
      </c>
      <c r="Y103" s="143">
        <f>INDEX(Tab_Def_Flows[[Flow_ID]:[CC_DM_source]],MATCH(Tab_Data_Flows[[#This Row],[Flow_Name]],Tab_Def_Flows[Flow_Name],0),14)</f>
        <v>1</v>
      </c>
      <c r="Z103" s="7" t="str">
        <f>Tab_Data_Flows[[#This Row],[Flow_ID]]&amp;"_"&amp;"DM_"&amp;Tab_Data_Flows[[#This Row],[Flow_Data_Year]]</f>
        <v>F_00_02_DM_2051</v>
      </c>
      <c r="AA103" s="7">
        <f>IF(E103="Yes",Y103*Tab_Data_Flows[[#This Row],[Flow_Material]],"N.A.")</f>
        <v>192230.49798371692</v>
      </c>
      <c r="AB103" s="7" t="str">
        <f>Tab_Data_Flows[[#This Row],[UoM_Flow_Py]]</f>
        <v>Mg</v>
      </c>
      <c r="AC103" s="143">
        <f>INDEX(Tab_Def_Flows[[Flow_ID]:[CC_DM_source]],MATCH(Tab_Data_Flows[[#This Row],[Flow_Name]],Tab_Def_Flows[Flow_Name],0),17)</f>
        <v>1</v>
      </c>
      <c r="AD103" s="7" t="str">
        <f>Tab_Data_Flows[[#This Row],[Flow_ID]]&amp;"_"&amp;"CC_"&amp;Tab_Data_Flows[[#This Row],[Flow_Data_Year]]</f>
        <v>F_00_02_CC_2051</v>
      </c>
      <c r="AE103" s="7">
        <f>IF(F103="Yes",AC103*Tab_Data_Flows[[#This Row],[Flow_Material]]*Tab_Data_Flows[[#This Row],[DM_'[%']]],"N.A.")</f>
        <v>192230.49798371692</v>
      </c>
      <c r="AF103" s="7" t="str">
        <f>Tab_Data_Flows[[#This Row],[UoM_Flow_Py]]</f>
        <v>Mg</v>
      </c>
      <c r="AG103"/>
    </row>
    <row r="104" spans="1:33" x14ac:dyDescent="0.25">
      <c r="A104" s="9">
        <f t="shared" si="1"/>
        <v>103</v>
      </c>
      <c r="B104" s="7" t="str">
        <f>_xlfn.XLOOKUP(C104,Tab_Def_Flows[Flow_Name],Tab_Def_Flows[Flow_ID],,0,)</f>
        <v>F_00_02</v>
      </c>
      <c r="C104" s="142" t="s">
        <v>588</v>
      </c>
      <c r="D104" s="10" t="str">
        <f>_xlfn.XLOOKUP(C104,Tab_Def_Flows[Flow_Name],Tab_Def_Flows[WC?],,0,)</f>
        <v>Yes</v>
      </c>
      <c r="E104" s="10" t="str">
        <f>_xlfn.XLOOKUP(C104,Tab_Def_Flows[Flow_Name],Tab_Def_Flows[DM?],,0,)</f>
        <v>Yes</v>
      </c>
      <c r="F104" s="10" t="str">
        <f>_xlfn.XLOOKUP(C104,Tab_Def_Flows[Flow_Name],Tab_Def_Flows[CC?],,0,)</f>
        <v>Yes</v>
      </c>
      <c r="G104" s="8">
        <v>2052</v>
      </c>
      <c r="H104" s="23">
        <v>156899.62120050879</v>
      </c>
      <c r="I104" s="8" t="s">
        <v>198</v>
      </c>
      <c r="J104" s="15"/>
      <c r="K104" s="15"/>
      <c r="L104" s="15"/>
      <c r="M104" s="15"/>
      <c r="N104" s="15"/>
      <c r="O104" s="8" t="s">
        <v>6</v>
      </c>
      <c r="P104" s="8"/>
      <c r="Q104" s="8"/>
      <c r="R104" s="7" t="str">
        <f>Tab_Data_Flows[[#This Row],[Flow_ID]]&amp;"_"&amp;"material_"&amp;Tab_Data_Flows[[#This Row],[Flow_Data_Year]]</f>
        <v>F_00_02_material_2052</v>
      </c>
      <c r="S104" s="14">
        <f>IF(O104="no",H104,H104*P104)</f>
        <v>156899.62120050879</v>
      </c>
      <c r="T104" s="8" t="s">
        <v>198</v>
      </c>
      <c r="U104" s="143">
        <f>INDEX(Tab_Def_Flows[[Flow_ID]:[CC_DM_source]],MATCH(Tab_Data_Flows[[#This Row],[Flow_Name]],Tab_Def_Flows[Flow_Name],0),11)</f>
        <v>0</v>
      </c>
      <c r="V104" s="7" t="str">
        <f>Tab_Data_Flows[[#This Row],[Flow_ID]]&amp;"_"&amp;"WC_"&amp;Tab_Data_Flows[[#This Row],[Flow_Data_Year]]</f>
        <v>F_00_02_WC_2052</v>
      </c>
      <c r="W104" s="7">
        <f>IF(D104="Yes",S104*Tab_Data_Flows[[#This Row],[WC_'[%']]],"N.A.")</f>
        <v>0</v>
      </c>
      <c r="X104" s="7" t="str">
        <f>Tab_Data_Flows[[#This Row],[UoM_Flow_Py]]</f>
        <v>Mg</v>
      </c>
      <c r="Y104" s="143">
        <f>INDEX(Tab_Def_Flows[[Flow_ID]:[CC_DM_source]],MATCH(Tab_Data_Flows[[#This Row],[Flow_Name]],Tab_Def_Flows[Flow_Name],0),14)</f>
        <v>1</v>
      </c>
      <c r="Z104" s="7" t="str">
        <f>Tab_Data_Flows[[#This Row],[Flow_ID]]&amp;"_"&amp;"DM_"&amp;Tab_Data_Flows[[#This Row],[Flow_Data_Year]]</f>
        <v>F_00_02_DM_2052</v>
      </c>
      <c r="AA104" s="7">
        <f>IF(E104="Yes",Y104*Tab_Data_Flows[[#This Row],[Flow_Material]],"N.A.")</f>
        <v>156899.62120050879</v>
      </c>
      <c r="AB104" s="7" t="str">
        <f>Tab_Data_Flows[[#This Row],[UoM_Flow_Py]]</f>
        <v>Mg</v>
      </c>
      <c r="AC104" s="143">
        <f>INDEX(Tab_Def_Flows[[Flow_ID]:[CC_DM_source]],MATCH(Tab_Data_Flows[[#This Row],[Flow_Name]],Tab_Def_Flows[Flow_Name],0),17)</f>
        <v>1</v>
      </c>
      <c r="AD104" s="7" t="str">
        <f>Tab_Data_Flows[[#This Row],[Flow_ID]]&amp;"_"&amp;"CC_"&amp;Tab_Data_Flows[[#This Row],[Flow_Data_Year]]</f>
        <v>F_00_02_CC_2052</v>
      </c>
      <c r="AE104" s="7">
        <f>IF(F104="Yes",AC104*Tab_Data_Flows[[#This Row],[Flow_Material]]*Tab_Data_Flows[[#This Row],[DM_'[%']]],"N.A.")</f>
        <v>156899.62120050879</v>
      </c>
      <c r="AF104" s="7" t="str">
        <f>Tab_Data_Flows[[#This Row],[UoM_Flow_Py]]</f>
        <v>Mg</v>
      </c>
      <c r="AG104"/>
    </row>
    <row r="105" spans="1:33" x14ac:dyDescent="0.25">
      <c r="A105" s="9">
        <f t="shared" si="1"/>
        <v>104</v>
      </c>
      <c r="B105" s="7" t="str">
        <f>_xlfn.XLOOKUP(C105,Tab_Def_Flows[Flow_Name],Tab_Def_Flows[Flow_ID],,0,)</f>
        <v>F_00_02</v>
      </c>
      <c r="C105" s="142" t="s">
        <v>588</v>
      </c>
      <c r="D105" s="10" t="str">
        <f>_xlfn.XLOOKUP(C105,Tab_Def_Flows[Flow_Name],Tab_Def_Flows[WC?],,0,)</f>
        <v>Yes</v>
      </c>
      <c r="E105" s="10" t="str">
        <f>_xlfn.XLOOKUP(C105,Tab_Def_Flows[Flow_Name],Tab_Def_Flows[DM?],,0,)</f>
        <v>Yes</v>
      </c>
      <c r="F105" s="10" t="str">
        <f>_xlfn.XLOOKUP(C105,Tab_Def_Flows[Flow_Name],Tab_Def_Flows[CC?],,0,)</f>
        <v>Yes</v>
      </c>
      <c r="G105" s="8">
        <v>2053</v>
      </c>
      <c r="H105" s="23">
        <v>158612.33449378738</v>
      </c>
      <c r="I105" s="8" t="s">
        <v>198</v>
      </c>
      <c r="J105" s="15"/>
      <c r="K105" s="15"/>
      <c r="L105" s="15"/>
      <c r="M105" s="15"/>
      <c r="N105" s="15"/>
      <c r="O105" s="8" t="s">
        <v>6</v>
      </c>
      <c r="P105" s="8"/>
      <c r="Q105" s="8"/>
      <c r="R105" s="7" t="str">
        <f>Tab_Data_Flows[[#This Row],[Flow_ID]]&amp;"_"&amp;"material_"&amp;Tab_Data_Flows[[#This Row],[Flow_Data_Year]]</f>
        <v>F_00_02_material_2053</v>
      </c>
      <c r="S105" s="14">
        <f>IF(O105="no",H105,H105*P105)</f>
        <v>158612.33449378738</v>
      </c>
      <c r="T105" s="8" t="s">
        <v>198</v>
      </c>
      <c r="U105" s="143">
        <f>INDEX(Tab_Def_Flows[[Flow_ID]:[CC_DM_source]],MATCH(Tab_Data_Flows[[#This Row],[Flow_Name]],Tab_Def_Flows[Flow_Name],0),11)</f>
        <v>0</v>
      </c>
      <c r="V105" s="7" t="str">
        <f>Tab_Data_Flows[[#This Row],[Flow_ID]]&amp;"_"&amp;"WC_"&amp;Tab_Data_Flows[[#This Row],[Flow_Data_Year]]</f>
        <v>F_00_02_WC_2053</v>
      </c>
      <c r="W105" s="7">
        <f>IF(D105="Yes",S105*Tab_Data_Flows[[#This Row],[WC_'[%']]],"N.A.")</f>
        <v>0</v>
      </c>
      <c r="X105" s="7" t="str">
        <f>Tab_Data_Flows[[#This Row],[UoM_Flow_Py]]</f>
        <v>Mg</v>
      </c>
      <c r="Y105" s="143">
        <f>INDEX(Tab_Def_Flows[[Flow_ID]:[CC_DM_source]],MATCH(Tab_Data_Flows[[#This Row],[Flow_Name]],Tab_Def_Flows[Flow_Name],0),14)</f>
        <v>1</v>
      </c>
      <c r="Z105" s="7" t="str">
        <f>Tab_Data_Flows[[#This Row],[Flow_ID]]&amp;"_"&amp;"DM_"&amp;Tab_Data_Flows[[#This Row],[Flow_Data_Year]]</f>
        <v>F_00_02_DM_2053</v>
      </c>
      <c r="AA105" s="7">
        <f>IF(E105="Yes",Y105*Tab_Data_Flows[[#This Row],[Flow_Material]],"N.A.")</f>
        <v>158612.33449378738</v>
      </c>
      <c r="AB105" s="7" t="str">
        <f>Tab_Data_Flows[[#This Row],[UoM_Flow_Py]]</f>
        <v>Mg</v>
      </c>
      <c r="AC105" s="143">
        <f>INDEX(Tab_Def_Flows[[Flow_ID]:[CC_DM_source]],MATCH(Tab_Data_Flows[[#This Row],[Flow_Name]],Tab_Def_Flows[Flow_Name],0),17)</f>
        <v>1</v>
      </c>
      <c r="AD105" s="7" t="str">
        <f>Tab_Data_Flows[[#This Row],[Flow_ID]]&amp;"_"&amp;"CC_"&amp;Tab_Data_Flows[[#This Row],[Flow_Data_Year]]</f>
        <v>F_00_02_CC_2053</v>
      </c>
      <c r="AE105" s="7">
        <f>IF(F105="Yes",AC105*Tab_Data_Flows[[#This Row],[Flow_Material]]*Tab_Data_Flows[[#This Row],[DM_'[%']]],"N.A.")</f>
        <v>158612.33449378738</v>
      </c>
      <c r="AF105" s="7" t="str">
        <f>Tab_Data_Flows[[#This Row],[UoM_Flow_Py]]</f>
        <v>Mg</v>
      </c>
      <c r="AG105"/>
    </row>
    <row r="106" spans="1:33" x14ac:dyDescent="0.25">
      <c r="A106" s="9">
        <f t="shared" si="1"/>
        <v>105</v>
      </c>
      <c r="B106" s="7" t="str">
        <f>_xlfn.XLOOKUP(C106,Tab_Def_Flows[Flow_Name],Tab_Def_Flows[Flow_ID],,0,)</f>
        <v>F_00_02</v>
      </c>
      <c r="C106" s="142" t="s">
        <v>588</v>
      </c>
      <c r="D106" s="10" t="str">
        <f>_xlfn.XLOOKUP(C106,Tab_Def_Flows[Flow_Name],Tab_Def_Flows[WC?],,0,)</f>
        <v>Yes</v>
      </c>
      <c r="E106" s="10" t="str">
        <f>_xlfn.XLOOKUP(C106,Tab_Def_Flows[Flow_Name],Tab_Def_Flows[DM?],,0,)</f>
        <v>Yes</v>
      </c>
      <c r="F106" s="10" t="str">
        <f>_xlfn.XLOOKUP(C106,Tab_Def_Flows[Flow_Name],Tab_Def_Flows[CC?],,0,)</f>
        <v>Yes</v>
      </c>
      <c r="G106" s="8">
        <v>2054</v>
      </c>
      <c r="H106" s="23">
        <v>151759.29338193362</v>
      </c>
      <c r="I106" s="8" t="s">
        <v>198</v>
      </c>
      <c r="J106" s="15"/>
      <c r="K106" s="15"/>
      <c r="L106" s="15"/>
      <c r="M106" s="15"/>
      <c r="N106" s="15"/>
      <c r="O106" s="8" t="s">
        <v>6</v>
      </c>
      <c r="P106" s="8"/>
      <c r="Q106" s="8"/>
      <c r="R106" s="7" t="str">
        <f>Tab_Data_Flows[[#This Row],[Flow_ID]]&amp;"_"&amp;"material_"&amp;Tab_Data_Flows[[#This Row],[Flow_Data_Year]]</f>
        <v>F_00_02_material_2054</v>
      </c>
      <c r="S106" s="14">
        <f>IF(O106="no",H106,H106*P106)</f>
        <v>151759.29338193362</v>
      </c>
      <c r="T106" s="8" t="s">
        <v>198</v>
      </c>
      <c r="U106" s="143">
        <f>INDEX(Tab_Def_Flows[[Flow_ID]:[CC_DM_source]],MATCH(Tab_Data_Flows[[#This Row],[Flow_Name]],Tab_Def_Flows[Flow_Name],0),11)</f>
        <v>0</v>
      </c>
      <c r="V106" s="7" t="str">
        <f>Tab_Data_Flows[[#This Row],[Flow_ID]]&amp;"_"&amp;"WC_"&amp;Tab_Data_Flows[[#This Row],[Flow_Data_Year]]</f>
        <v>F_00_02_WC_2054</v>
      </c>
      <c r="W106" s="7">
        <f>IF(D106="Yes",S106*Tab_Data_Flows[[#This Row],[WC_'[%']]],"N.A.")</f>
        <v>0</v>
      </c>
      <c r="X106" s="7" t="str">
        <f>Tab_Data_Flows[[#This Row],[UoM_Flow_Py]]</f>
        <v>Mg</v>
      </c>
      <c r="Y106" s="143">
        <f>INDEX(Tab_Def_Flows[[Flow_ID]:[CC_DM_source]],MATCH(Tab_Data_Flows[[#This Row],[Flow_Name]],Tab_Def_Flows[Flow_Name],0),14)</f>
        <v>1</v>
      </c>
      <c r="Z106" s="7" t="str">
        <f>Tab_Data_Flows[[#This Row],[Flow_ID]]&amp;"_"&amp;"DM_"&amp;Tab_Data_Flows[[#This Row],[Flow_Data_Year]]</f>
        <v>F_00_02_DM_2054</v>
      </c>
      <c r="AA106" s="7">
        <f>IF(E106="Yes",Y106*Tab_Data_Flows[[#This Row],[Flow_Material]],"N.A.")</f>
        <v>151759.29338193362</v>
      </c>
      <c r="AB106" s="7" t="str">
        <f>Tab_Data_Flows[[#This Row],[UoM_Flow_Py]]</f>
        <v>Mg</v>
      </c>
      <c r="AC106" s="143">
        <f>INDEX(Tab_Def_Flows[[Flow_ID]:[CC_DM_source]],MATCH(Tab_Data_Flows[[#This Row],[Flow_Name]],Tab_Def_Flows[Flow_Name],0),17)</f>
        <v>1</v>
      </c>
      <c r="AD106" s="7" t="str">
        <f>Tab_Data_Flows[[#This Row],[Flow_ID]]&amp;"_"&amp;"CC_"&amp;Tab_Data_Flows[[#This Row],[Flow_Data_Year]]</f>
        <v>F_00_02_CC_2054</v>
      </c>
      <c r="AE106" s="7">
        <f>IF(F106="Yes",AC106*Tab_Data_Flows[[#This Row],[Flow_Material]]*Tab_Data_Flows[[#This Row],[DM_'[%']]],"N.A.")</f>
        <v>151759.29338193362</v>
      </c>
      <c r="AF106" s="7" t="str">
        <f>Tab_Data_Flows[[#This Row],[UoM_Flow_Py]]</f>
        <v>Mg</v>
      </c>
      <c r="AG106"/>
    </row>
    <row r="107" spans="1:33" x14ac:dyDescent="0.25">
      <c r="A107" s="9">
        <f t="shared" si="1"/>
        <v>106</v>
      </c>
      <c r="B107" s="7" t="str">
        <f>_xlfn.XLOOKUP(C107,Tab_Def_Flows[Flow_Name],Tab_Def_Flows[Flow_ID],,0,)</f>
        <v>F_00_02</v>
      </c>
      <c r="C107" s="142" t="s">
        <v>588</v>
      </c>
      <c r="D107" s="10" t="str">
        <f>_xlfn.XLOOKUP(C107,Tab_Def_Flows[Flow_Name],Tab_Def_Flows[WC?],,0,)</f>
        <v>Yes</v>
      </c>
      <c r="E107" s="10" t="str">
        <f>_xlfn.XLOOKUP(C107,Tab_Def_Flows[Flow_Name],Tab_Def_Flows[DM?],,0,)</f>
        <v>Yes</v>
      </c>
      <c r="F107" s="10" t="str">
        <f>_xlfn.XLOOKUP(C107,Tab_Def_Flows[Flow_Name],Tab_Def_Flows[CC?],,0,)</f>
        <v>Yes</v>
      </c>
      <c r="G107" s="8">
        <v>2055</v>
      </c>
      <c r="H107" s="23">
        <v>113688.87857823086</v>
      </c>
      <c r="I107" s="8" t="s">
        <v>198</v>
      </c>
      <c r="J107" s="15"/>
      <c r="K107" s="15"/>
      <c r="L107" s="15"/>
      <c r="M107" s="15"/>
      <c r="N107" s="15"/>
      <c r="O107" s="8" t="s">
        <v>6</v>
      </c>
      <c r="P107" s="8"/>
      <c r="Q107" s="8"/>
      <c r="R107" s="7" t="str">
        <f>Tab_Data_Flows[[#This Row],[Flow_ID]]&amp;"_"&amp;"material_"&amp;Tab_Data_Flows[[#This Row],[Flow_Data_Year]]</f>
        <v>F_00_02_material_2055</v>
      </c>
      <c r="S107" s="14">
        <f>IF(O107="no",H107,H107*P107)</f>
        <v>113688.87857823086</v>
      </c>
      <c r="T107" s="8" t="s">
        <v>198</v>
      </c>
      <c r="U107" s="143">
        <f>INDEX(Tab_Def_Flows[[Flow_ID]:[CC_DM_source]],MATCH(Tab_Data_Flows[[#This Row],[Flow_Name]],Tab_Def_Flows[Flow_Name],0),11)</f>
        <v>0</v>
      </c>
      <c r="V107" s="7" t="str">
        <f>Tab_Data_Flows[[#This Row],[Flow_ID]]&amp;"_"&amp;"WC_"&amp;Tab_Data_Flows[[#This Row],[Flow_Data_Year]]</f>
        <v>F_00_02_WC_2055</v>
      </c>
      <c r="W107" s="7">
        <f>IF(D107="Yes",S107*Tab_Data_Flows[[#This Row],[WC_'[%']]],"N.A.")</f>
        <v>0</v>
      </c>
      <c r="X107" s="7" t="str">
        <f>Tab_Data_Flows[[#This Row],[UoM_Flow_Py]]</f>
        <v>Mg</v>
      </c>
      <c r="Y107" s="143">
        <f>INDEX(Tab_Def_Flows[[Flow_ID]:[CC_DM_source]],MATCH(Tab_Data_Flows[[#This Row],[Flow_Name]],Tab_Def_Flows[Flow_Name],0),14)</f>
        <v>1</v>
      </c>
      <c r="Z107" s="7" t="str">
        <f>Tab_Data_Flows[[#This Row],[Flow_ID]]&amp;"_"&amp;"DM_"&amp;Tab_Data_Flows[[#This Row],[Flow_Data_Year]]</f>
        <v>F_00_02_DM_2055</v>
      </c>
      <c r="AA107" s="7">
        <f>IF(E107="Yes",Y107*Tab_Data_Flows[[#This Row],[Flow_Material]],"N.A.")</f>
        <v>113688.87857823086</v>
      </c>
      <c r="AB107" s="7" t="str">
        <f>Tab_Data_Flows[[#This Row],[UoM_Flow_Py]]</f>
        <v>Mg</v>
      </c>
      <c r="AC107" s="143">
        <f>INDEX(Tab_Def_Flows[[Flow_ID]:[CC_DM_source]],MATCH(Tab_Data_Flows[[#This Row],[Flow_Name]],Tab_Def_Flows[Flow_Name],0),17)</f>
        <v>1</v>
      </c>
      <c r="AD107" s="7" t="str">
        <f>Tab_Data_Flows[[#This Row],[Flow_ID]]&amp;"_"&amp;"CC_"&amp;Tab_Data_Flows[[#This Row],[Flow_Data_Year]]</f>
        <v>F_00_02_CC_2055</v>
      </c>
      <c r="AE107" s="7">
        <f>IF(F107="Yes",AC107*Tab_Data_Flows[[#This Row],[Flow_Material]]*Tab_Data_Flows[[#This Row],[DM_'[%']]],"N.A.")</f>
        <v>113688.87857823086</v>
      </c>
      <c r="AF107" s="7" t="str">
        <f>Tab_Data_Flows[[#This Row],[UoM_Flow_Py]]</f>
        <v>Mg</v>
      </c>
      <c r="AG107"/>
    </row>
    <row r="108" spans="1:33" x14ac:dyDescent="0.25">
      <c r="A108" s="9">
        <f t="shared" si="1"/>
        <v>107</v>
      </c>
      <c r="B108" s="7" t="str">
        <f>_xlfn.XLOOKUP(C108,Tab_Def_Flows[Flow_Name],Tab_Def_Flows[Flow_ID],,0,)</f>
        <v>F_00_02</v>
      </c>
      <c r="C108" s="142" t="s">
        <v>588</v>
      </c>
      <c r="D108" s="10" t="str">
        <f>_xlfn.XLOOKUP(C108,Tab_Def_Flows[Flow_Name],Tab_Def_Flows[WC?],,0,)</f>
        <v>Yes</v>
      </c>
      <c r="E108" s="10" t="str">
        <f>_xlfn.XLOOKUP(C108,Tab_Def_Flows[Flow_Name],Tab_Def_Flows[DM?],,0,)</f>
        <v>Yes</v>
      </c>
      <c r="F108" s="10" t="str">
        <f>_xlfn.XLOOKUP(C108,Tab_Def_Flows[Flow_Name],Tab_Def_Flows[CC?],,0,)</f>
        <v>Yes</v>
      </c>
      <c r="G108" s="8">
        <v>2056</v>
      </c>
      <c r="H108" s="23">
        <v>152748.70271103422</v>
      </c>
      <c r="I108" s="8" t="s">
        <v>198</v>
      </c>
      <c r="J108" s="15"/>
      <c r="K108" s="15"/>
      <c r="L108" s="15"/>
      <c r="M108" s="15"/>
      <c r="N108" s="15"/>
      <c r="O108" s="8" t="s">
        <v>6</v>
      </c>
      <c r="P108" s="8"/>
      <c r="Q108" s="8"/>
      <c r="R108" s="7" t="str">
        <f>Tab_Data_Flows[[#This Row],[Flow_ID]]&amp;"_"&amp;"material_"&amp;Tab_Data_Flows[[#This Row],[Flow_Data_Year]]</f>
        <v>F_00_02_material_2056</v>
      </c>
      <c r="S108" s="14">
        <f>IF(O108="no",H108,H108*P108)</f>
        <v>152748.70271103422</v>
      </c>
      <c r="T108" s="8" t="s">
        <v>198</v>
      </c>
      <c r="U108" s="143">
        <f>INDEX(Tab_Def_Flows[[Flow_ID]:[CC_DM_source]],MATCH(Tab_Data_Flows[[#This Row],[Flow_Name]],Tab_Def_Flows[Flow_Name],0),11)</f>
        <v>0</v>
      </c>
      <c r="V108" s="7" t="str">
        <f>Tab_Data_Flows[[#This Row],[Flow_ID]]&amp;"_"&amp;"WC_"&amp;Tab_Data_Flows[[#This Row],[Flow_Data_Year]]</f>
        <v>F_00_02_WC_2056</v>
      </c>
      <c r="W108" s="7">
        <f>IF(D108="Yes",S108*Tab_Data_Flows[[#This Row],[WC_'[%']]],"N.A.")</f>
        <v>0</v>
      </c>
      <c r="X108" s="7" t="str">
        <f>Tab_Data_Flows[[#This Row],[UoM_Flow_Py]]</f>
        <v>Mg</v>
      </c>
      <c r="Y108" s="143">
        <f>INDEX(Tab_Def_Flows[[Flow_ID]:[CC_DM_source]],MATCH(Tab_Data_Flows[[#This Row],[Flow_Name]],Tab_Def_Flows[Flow_Name],0),14)</f>
        <v>1</v>
      </c>
      <c r="Z108" s="7" t="str">
        <f>Tab_Data_Flows[[#This Row],[Flow_ID]]&amp;"_"&amp;"DM_"&amp;Tab_Data_Flows[[#This Row],[Flow_Data_Year]]</f>
        <v>F_00_02_DM_2056</v>
      </c>
      <c r="AA108" s="7">
        <f>IF(E108="Yes",Y108*Tab_Data_Flows[[#This Row],[Flow_Material]],"N.A.")</f>
        <v>152748.70271103422</v>
      </c>
      <c r="AB108" s="7" t="str">
        <f>Tab_Data_Flows[[#This Row],[UoM_Flow_Py]]</f>
        <v>Mg</v>
      </c>
      <c r="AC108" s="143">
        <f>INDEX(Tab_Def_Flows[[Flow_ID]:[CC_DM_source]],MATCH(Tab_Data_Flows[[#This Row],[Flow_Name]],Tab_Def_Flows[Flow_Name],0),17)</f>
        <v>1</v>
      </c>
      <c r="AD108" s="7" t="str">
        <f>Tab_Data_Flows[[#This Row],[Flow_ID]]&amp;"_"&amp;"CC_"&amp;Tab_Data_Flows[[#This Row],[Flow_Data_Year]]</f>
        <v>F_00_02_CC_2056</v>
      </c>
      <c r="AE108" s="7">
        <f>IF(F108="Yes",AC108*Tab_Data_Flows[[#This Row],[Flow_Material]]*Tab_Data_Flows[[#This Row],[DM_'[%']]],"N.A.")</f>
        <v>152748.70271103422</v>
      </c>
      <c r="AF108" s="7" t="str">
        <f>Tab_Data_Flows[[#This Row],[UoM_Flow_Py]]</f>
        <v>Mg</v>
      </c>
      <c r="AG108"/>
    </row>
    <row r="109" spans="1:33" x14ac:dyDescent="0.25">
      <c r="A109" s="9">
        <f t="shared" si="1"/>
        <v>108</v>
      </c>
      <c r="B109" s="7" t="str">
        <f>_xlfn.XLOOKUP(C109,Tab_Def_Flows[Flow_Name],Tab_Def_Flows[Flow_ID],,0,)</f>
        <v>F_00_02</v>
      </c>
      <c r="C109" s="142" t="s">
        <v>588</v>
      </c>
      <c r="D109" s="10" t="str">
        <f>_xlfn.XLOOKUP(C109,Tab_Def_Flows[Flow_Name],Tab_Def_Flows[WC?],,0,)</f>
        <v>Yes</v>
      </c>
      <c r="E109" s="10" t="str">
        <f>_xlfn.XLOOKUP(C109,Tab_Def_Flows[Flow_Name],Tab_Def_Flows[DM?],,0,)</f>
        <v>Yes</v>
      </c>
      <c r="F109" s="10" t="str">
        <f>_xlfn.XLOOKUP(C109,Tab_Def_Flows[Flow_Name],Tab_Def_Flows[CC?],,0,)</f>
        <v>Yes</v>
      </c>
      <c r="G109" s="8">
        <v>2057</v>
      </c>
      <c r="H109" s="23">
        <v>154539.26715940499</v>
      </c>
      <c r="I109" s="8" t="s">
        <v>198</v>
      </c>
      <c r="J109" s="15"/>
      <c r="K109" s="15"/>
      <c r="L109" s="15"/>
      <c r="M109" s="15"/>
      <c r="N109" s="15"/>
      <c r="O109" s="8" t="s">
        <v>6</v>
      </c>
      <c r="P109" s="8"/>
      <c r="Q109" s="8"/>
      <c r="R109" s="7" t="str">
        <f>Tab_Data_Flows[[#This Row],[Flow_ID]]&amp;"_"&amp;"material_"&amp;Tab_Data_Flows[[#This Row],[Flow_Data_Year]]</f>
        <v>F_00_02_material_2057</v>
      </c>
      <c r="S109" s="14">
        <f>IF(O109="no",H109,H109*P109)</f>
        <v>154539.26715940499</v>
      </c>
      <c r="T109" s="8" t="s">
        <v>198</v>
      </c>
      <c r="U109" s="143">
        <f>INDEX(Tab_Def_Flows[[Flow_ID]:[CC_DM_source]],MATCH(Tab_Data_Flows[[#This Row],[Flow_Name]],Tab_Def_Flows[Flow_Name],0),11)</f>
        <v>0</v>
      </c>
      <c r="V109" s="7" t="str">
        <f>Tab_Data_Flows[[#This Row],[Flow_ID]]&amp;"_"&amp;"WC_"&amp;Tab_Data_Flows[[#This Row],[Flow_Data_Year]]</f>
        <v>F_00_02_WC_2057</v>
      </c>
      <c r="W109" s="7">
        <f>IF(D109="Yes",S109*Tab_Data_Flows[[#This Row],[WC_'[%']]],"N.A.")</f>
        <v>0</v>
      </c>
      <c r="X109" s="7" t="str">
        <f>Tab_Data_Flows[[#This Row],[UoM_Flow_Py]]</f>
        <v>Mg</v>
      </c>
      <c r="Y109" s="143">
        <f>INDEX(Tab_Def_Flows[[Flow_ID]:[CC_DM_source]],MATCH(Tab_Data_Flows[[#This Row],[Flow_Name]],Tab_Def_Flows[Flow_Name],0),14)</f>
        <v>1</v>
      </c>
      <c r="Z109" s="7" t="str">
        <f>Tab_Data_Flows[[#This Row],[Flow_ID]]&amp;"_"&amp;"DM_"&amp;Tab_Data_Flows[[#This Row],[Flow_Data_Year]]</f>
        <v>F_00_02_DM_2057</v>
      </c>
      <c r="AA109" s="7">
        <f>IF(E109="Yes",Y109*Tab_Data_Flows[[#This Row],[Flow_Material]],"N.A.")</f>
        <v>154539.26715940499</v>
      </c>
      <c r="AB109" s="7" t="str">
        <f>Tab_Data_Flows[[#This Row],[UoM_Flow_Py]]</f>
        <v>Mg</v>
      </c>
      <c r="AC109" s="143">
        <f>INDEX(Tab_Def_Flows[[Flow_ID]:[CC_DM_source]],MATCH(Tab_Data_Flows[[#This Row],[Flow_Name]],Tab_Def_Flows[Flow_Name],0),17)</f>
        <v>1</v>
      </c>
      <c r="AD109" s="7" t="str">
        <f>Tab_Data_Flows[[#This Row],[Flow_ID]]&amp;"_"&amp;"CC_"&amp;Tab_Data_Flows[[#This Row],[Flow_Data_Year]]</f>
        <v>F_00_02_CC_2057</v>
      </c>
      <c r="AE109" s="7">
        <f>IF(F109="Yes",AC109*Tab_Data_Flows[[#This Row],[Flow_Material]]*Tab_Data_Flows[[#This Row],[DM_'[%']]],"N.A.")</f>
        <v>154539.26715940499</v>
      </c>
      <c r="AF109" s="7" t="str">
        <f>Tab_Data_Flows[[#This Row],[UoM_Flow_Py]]</f>
        <v>Mg</v>
      </c>
      <c r="AG109"/>
    </row>
    <row r="110" spans="1:33" x14ac:dyDescent="0.25">
      <c r="A110" s="9">
        <f t="shared" si="1"/>
        <v>109</v>
      </c>
      <c r="B110" s="7" t="str">
        <f>_xlfn.XLOOKUP(C110,Tab_Def_Flows[Flow_Name],Tab_Def_Flows[Flow_ID],,0,)</f>
        <v>F_00_02</v>
      </c>
      <c r="C110" s="142" t="s">
        <v>588</v>
      </c>
      <c r="D110" s="10" t="str">
        <f>_xlfn.XLOOKUP(C110,Tab_Def_Flows[Flow_Name],Tab_Def_Flows[WC?],,0,)</f>
        <v>Yes</v>
      </c>
      <c r="E110" s="10" t="str">
        <f>_xlfn.XLOOKUP(C110,Tab_Def_Flows[Flow_Name],Tab_Def_Flows[DM?],,0,)</f>
        <v>Yes</v>
      </c>
      <c r="F110" s="10" t="str">
        <f>_xlfn.XLOOKUP(C110,Tab_Def_Flows[Flow_Name],Tab_Def_Flows[CC?],,0,)</f>
        <v>Yes</v>
      </c>
      <c r="G110" s="8">
        <v>2058</v>
      </c>
      <c r="H110" s="23">
        <v>204142.04598115926</v>
      </c>
      <c r="I110" s="8" t="s">
        <v>198</v>
      </c>
      <c r="J110" s="15"/>
      <c r="K110" s="15"/>
      <c r="L110" s="15"/>
      <c r="M110" s="15"/>
      <c r="N110" s="15"/>
      <c r="O110" s="8" t="s">
        <v>6</v>
      </c>
      <c r="P110" s="8"/>
      <c r="Q110" s="8"/>
      <c r="R110" s="7" t="str">
        <f>Tab_Data_Flows[[#This Row],[Flow_ID]]&amp;"_"&amp;"material_"&amp;Tab_Data_Flows[[#This Row],[Flow_Data_Year]]</f>
        <v>F_00_02_material_2058</v>
      </c>
      <c r="S110" s="14">
        <f>IF(O110="no",H110,H110*P110)</f>
        <v>204142.04598115926</v>
      </c>
      <c r="T110" s="8" t="s">
        <v>198</v>
      </c>
      <c r="U110" s="143">
        <f>INDEX(Tab_Def_Flows[[Flow_ID]:[CC_DM_source]],MATCH(Tab_Data_Flows[[#This Row],[Flow_Name]],Tab_Def_Flows[Flow_Name],0),11)</f>
        <v>0</v>
      </c>
      <c r="V110" s="7" t="str">
        <f>Tab_Data_Flows[[#This Row],[Flow_ID]]&amp;"_"&amp;"WC_"&amp;Tab_Data_Flows[[#This Row],[Flow_Data_Year]]</f>
        <v>F_00_02_WC_2058</v>
      </c>
      <c r="W110" s="7">
        <f>IF(D110="Yes",S110*Tab_Data_Flows[[#This Row],[WC_'[%']]],"N.A.")</f>
        <v>0</v>
      </c>
      <c r="X110" s="7" t="str">
        <f>Tab_Data_Flows[[#This Row],[UoM_Flow_Py]]</f>
        <v>Mg</v>
      </c>
      <c r="Y110" s="143">
        <f>INDEX(Tab_Def_Flows[[Flow_ID]:[CC_DM_source]],MATCH(Tab_Data_Flows[[#This Row],[Flow_Name]],Tab_Def_Flows[Flow_Name],0),14)</f>
        <v>1</v>
      </c>
      <c r="Z110" s="7" t="str">
        <f>Tab_Data_Flows[[#This Row],[Flow_ID]]&amp;"_"&amp;"DM_"&amp;Tab_Data_Flows[[#This Row],[Flow_Data_Year]]</f>
        <v>F_00_02_DM_2058</v>
      </c>
      <c r="AA110" s="7">
        <f>IF(E110="Yes",Y110*Tab_Data_Flows[[#This Row],[Flow_Material]],"N.A.")</f>
        <v>204142.04598115926</v>
      </c>
      <c r="AB110" s="7" t="str">
        <f>Tab_Data_Flows[[#This Row],[UoM_Flow_Py]]</f>
        <v>Mg</v>
      </c>
      <c r="AC110" s="143">
        <f>INDEX(Tab_Def_Flows[[Flow_ID]:[CC_DM_source]],MATCH(Tab_Data_Flows[[#This Row],[Flow_Name]],Tab_Def_Flows[Flow_Name],0),17)</f>
        <v>1</v>
      </c>
      <c r="AD110" s="7" t="str">
        <f>Tab_Data_Flows[[#This Row],[Flow_ID]]&amp;"_"&amp;"CC_"&amp;Tab_Data_Flows[[#This Row],[Flow_Data_Year]]</f>
        <v>F_00_02_CC_2058</v>
      </c>
      <c r="AE110" s="7">
        <f>IF(F110="Yes",AC110*Tab_Data_Flows[[#This Row],[Flow_Material]]*Tab_Data_Flows[[#This Row],[DM_'[%']]],"N.A.")</f>
        <v>204142.04598115926</v>
      </c>
      <c r="AF110" s="7" t="str">
        <f>Tab_Data_Flows[[#This Row],[UoM_Flow_Py]]</f>
        <v>Mg</v>
      </c>
      <c r="AG110"/>
    </row>
    <row r="111" spans="1:33" x14ac:dyDescent="0.25">
      <c r="A111" s="9">
        <f t="shared" si="1"/>
        <v>110</v>
      </c>
      <c r="B111" s="7" t="str">
        <f>_xlfn.XLOOKUP(C111,Tab_Def_Flows[Flow_Name],Tab_Def_Flows[Flow_ID],,0,)</f>
        <v>F_00_02</v>
      </c>
      <c r="C111" s="142" t="s">
        <v>588</v>
      </c>
      <c r="D111" s="10" t="str">
        <f>_xlfn.XLOOKUP(C111,Tab_Def_Flows[Flow_Name],Tab_Def_Flows[WC?],,0,)</f>
        <v>Yes</v>
      </c>
      <c r="E111" s="10" t="str">
        <f>_xlfn.XLOOKUP(C111,Tab_Def_Flows[Flow_Name],Tab_Def_Flows[DM?],,0,)</f>
        <v>Yes</v>
      </c>
      <c r="F111" s="10" t="str">
        <f>_xlfn.XLOOKUP(C111,Tab_Def_Flows[Flow_Name],Tab_Def_Flows[CC?],,0,)</f>
        <v>Yes</v>
      </c>
      <c r="G111" s="8">
        <v>2059</v>
      </c>
      <c r="H111" s="23">
        <v>149325.3004042657</v>
      </c>
      <c r="I111" s="8" t="s">
        <v>198</v>
      </c>
      <c r="J111" s="15"/>
      <c r="K111" s="15"/>
      <c r="L111" s="15"/>
      <c r="M111" s="15"/>
      <c r="N111" s="15"/>
      <c r="O111" s="8" t="s">
        <v>6</v>
      </c>
      <c r="P111" s="8"/>
      <c r="Q111" s="8"/>
      <c r="R111" s="7" t="str">
        <f>Tab_Data_Flows[[#This Row],[Flow_ID]]&amp;"_"&amp;"material_"&amp;Tab_Data_Flows[[#This Row],[Flow_Data_Year]]</f>
        <v>F_00_02_material_2059</v>
      </c>
      <c r="S111" s="14">
        <f>IF(O111="no",H111,H111*P111)</f>
        <v>149325.3004042657</v>
      </c>
      <c r="T111" s="8" t="s">
        <v>198</v>
      </c>
      <c r="U111" s="143">
        <f>INDEX(Tab_Def_Flows[[Flow_ID]:[CC_DM_source]],MATCH(Tab_Data_Flows[[#This Row],[Flow_Name]],Tab_Def_Flows[Flow_Name],0),11)</f>
        <v>0</v>
      </c>
      <c r="V111" s="7" t="str">
        <f>Tab_Data_Flows[[#This Row],[Flow_ID]]&amp;"_"&amp;"WC_"&amp;Tab_Data_Flows[[#This Row],[Flow_Data_Year]]</f>
        <v>F_00_02_WC_2059</v>
      </c>
      <c r="W111" s="7">
        <f>IF(D111="Yes",S111*Tab_Data_Flows[[#This Row],[WC_'[%']]],"N.A.")</f>
        <v>0</v>
      </c>
      <c r="X111" s="7" t="str">
        <f>Tab_Data_Flows[[#This Row],[UoM_Flow_Py]]</f>
        <v>Mg</v>
      </c>
      <c r="Y111" s="143">
        <f>INDEX(Tab_Def_Flows[[Flow_ID]:[CC_DM_source]],MATCH(Tab_Data_Flows[[#This Row],[Flow_Name]],Tab_Def_Flows[Flow_Name],0),14)</f>
        <v>1</v>
      </c>
      <c r="Z111" s="7" t="str">
        <f>Tab_Data_Flows[[#This Row],[Flow_ID]]&amp;"_"&amp;"DM_"&amp;Tab_Data_Flows[[#This Row],[Flow_Data_Year]]</f>
        <v>F_00_02_DM_2059</v>
      </c>
      <c r="AA111" s="7">
        <f>IF(E111="Yes",Y111*Tab_Data_Flows[[#This Row],[Flow_Material]],"N.A.")</f>
        <v>149325.3004042657</v>
      </c>
      <c r="AB111" s="7" t="str">
        <f>Tab_Data_Flows[[#This Row],[UoM_Flow_Py]]</f>
        <v>Mg</v>
      </c>
      <c r="AC111" s="143">
        <f>INDEX(Tab_Def_Flows[[Flow_ID]:[CC_DM_source]],MATCH(Tab_Data_Flows[[#This Row],[Flow_Name]],Tab_Def_Flows[Flow_Name],0),17)</f>
        <v>1</v>
      </c>
      <c r="AD111" s="7" t="str">
        <f>Tab_Data_Flows[[#This Row],[Flow_ID]]&amp;"_"&amp;"CC_"&amp;Tab_Data_Flows[[#This Row],[Flow_Data_Year]]</f>
        <v>F_00_02_CC_2059</v>
      </c>
      <c r="AE111" s="7">
        <f>IF(F111="Yes",AC111*Tab_Data_Flows[[#This Row],[Flow_Material]]*Tab_Data_Flows[[#This Row],[DM_'[%']]],"N.A.")</f>
        <v>149325.3004042657</v>
      </c>
      <c r="AF111" s="7" t="str">
        <f>Tab_Data_Flows[[#This Row],[UoM_Flow_Py]]</f>
        <v>Mg</v>
      </c>
      <c r="AG111"/>
    </row>
    <row r="112" spans="1:33" x14ac:dyDescent="0.25">
      <c r="A112" s="9">
        <f t="shared" si="1"/>
        <v>111</v>
      </c>
      <c r="B112" s="7" t="str">
        <f>_xlfn.XLOOKUP(C112,Tab_Def_Flows[Flow_Name],Tab_Def_Flows[Flow_ID],,0,)</f>
        <v>F_00_02</v>
      </c>
      <c r="C112" s="142" t="s">
        <v>588</v>
      </c>
      <c r="D112" s="10" t="str">
        <f>_xlfn.XLOOKUP(C112,Tab_Def_Flows[Flow_Name],Tab_Def_Flows[WC?],,0,)</f>
        <v>Yes</v>
      </c>
      <c r="E112" s="10" t="str">
        <f>_xlfn.XLOOKUP(C112,Tab_Def_Flows[Flow_Name],Tab_Def_Flows[DM?],,0,)</f>
        <v>Yes</v>
      </c>
      <c r="F112" s="10" t="str">
        <f>_xlfn.XLOOKUP(C112,Tab_Def_Flows[Flow_Name],Tab_Def_Flows[CC?],,0,)</f>
        <v>Yes</v>
      </c>
      <c r="G112" s="8">
        <v>2060</v>
      </c>
      <c r="H112" s="23">
        <v>159520.51603765474</v>
      </c>
      <c r="I112" s="8" t="s">
        <v>198</v>
      </c>
      <c r="J112" s="15"/>
      <c r="K112" s="15"/>
      <c r="L112" s="15"/>
      <c r="M112" s="15"/>
      <c r="N112" s="15"/>
      <c r="O112" s="8" t="s">
        <v>6</v>
      </c>
      <c r="P112" s="8"/>
      <c r="Q112" s="8"/>
      <c r="R112" s="7" t="str">
        <f>Tab_Data_Flows[[#This Row],[Flow_ID]]&amp;"_"&amp;"material_"&amp;Tab_Data_Flows[[#This Row],[Flow_Data_Year]]</f>
        <v>F_00_02_material_2060</v>
      </c>
      <c r="S112" s="14">
        <f>IF(O112="no",H112,H112*P112)</f>
        <v>159520.51603765474</v>
      </c>
      <c r="T112" s="8" t="s">
        <v>198</v>
      </c>
      <c r="U112" s="143">
        <f>INDEX(Tab_Def_Flows[[Flow_ID]:[CC_DM_source]],MATCH(Tab_Data_Flows[[#This Row],[Flow_Name]],Tab_Def_Flows[Flow_Name],0),11)</f>
        <v>0</v>
      </c>
      <c r="V112" s="7" t="str">
        <f>Tab_Data_Flows[[#This Row],[Flow_ID]]&amp;"_"&amp;"WC_"&amp;Tab_Data_Flows[[#This Row],[Flow_Data_Year]]</f>
        <v>F_00_02_WC_2060</v>
      </c>
      <c r="W112" s="7">
        <f>IF(D112="Yes",S112*Tab_Data_Flows[[#This Row],[WC_'[%']]],"N.A.")</f>
        <v>0</v>
      </c>
      <c r="X112" s="7" t="str">
        <f>Tab_Data_Flows[[#This Row],[UoM_Flow_Py]]</f>
        <v>Mg</v>
      </c>
      <c r="Y112" s="143">
        <f>INDEX(Tab_Def_Flows[[Flow_ID]:[CC_DM_source]],MATCH(Tab_Data_Flows[[#This Row],[Flow_Name]],Tab_Def_Flows[Flow_Name],0),14)</f>
        <v>1</v>
      </c>
      <c r="Z112" s="7" t="str">
        <f>Tab_Data_Flows[[#This Row],[Flow_ID]]&amp;"_"&amp;"DM_"&amp;Tab_Data_Flows[[#This Row],[Flow_Data_Year]]</f>
        <v>F_00_02_DM_2060</v>
      </c>
      <c r="AA112" s="7">
        <f>IF(E112="Yes",Y112*Tab_Data_Flows[[#This Row],[Flow_Material]],"N.A.")</f>
        <v>159520.51603765474</v>
      </c>
      <c r="AB112" s="7" t="str">
        <f>Tab_Data_Flows[[#This Row],[UoM_Flow_Py]]</f>
        <v>Mg</v>
      </c>
      <c r="AC112" s="143">
        <f>INDEX(Tab_Def_Flows[[Flow_ID]:[CC_DM_source]],MATCH(Tab_Data_Flows[[#This Row],[Flow_Name]],Tab_Def_Flows[Flow_Name],0),17)</f>
        <v>1</v>
      </c>
      <c r="AD112" s="7" t="str">
        <f>Tab_Data_Flows[[#This Row],[Flow_ID]]&amp;"_"&amp;"CC_"&amp;Tab_Data_Flows[[#This Row],[Flow_Data_Year]]</f>
        <v>F_00_02_CC_2060</v>
      </c>
      <c r="AE112" s="7">
        <f>IF(F112="Yes",AC112*Tab_Data_Flows[[#This Row],[Flow_Material]]*Tab_Data_Flows[[#This Row],[DM_'[%']]],"N.A.")</f>
        <v>159520.51603765474</v>
      </c>
      <c r="AF112" s="7" t="str">
        <f>Tab_Data_Flows[[#This Row],[UoM_Flow_Py]]</f>
        <v>Mg</v>
      </c>
      <c r="AG112"/>
    </row>
    <row r="113" spans="1:33" x14ac:dyDescent="0.25">
      <c r="A113" s="9">
        <f t="shared" si="1"/>
        <v>112</v>
      </c>
      <c r="B113" s="7" t="str">
        <f>_xlfn.XLOOKUP(C113,Tab_Def_Flows[Flow_Name],Tab_Def_Flows[Flow_ID],,0,)</f>
        <v>F_00_02</v>
      </c>
      <c r="C113" s="142" t="s">
        <v>588</v>
      </c>
      <c r="D113" s="10" t="str">
        <f>_xlfn.XLOOKUP(C113,Tab_Def_Flows[Flow_Name],Tab_Def_Flows[WC?],,0,)</f>
        <v>Yes</v>
      </c>
      <c r="E113" s="10" t="str">
        <f>_xlfn.XLOOKUP(C113,Tab_Def_Flows[Flow_Name],Tab_Def_Flows[DM?],,0,)</f>
        <v>Yes</v>
      </c>
      <c r="F113" s="10" t="str">
        <f>_xlfn.XLOOKUP(C113,Tab_Def_Flows[Flow_Name],Tab_Def_Flows[CC?],,0,)</f>
        <v>Yes</v>
      </c>
      <c r="G113" s="8">
        <v>2061</v>
      </c>
      <c r="H113" s="23">
        <v>152579.48243578075</v>
      </c>
      <c r="I113" s="8" t="s">
        <v>198</v>
      </c>
      <c r="J113" s="15"/>
      <c r="K113" s="15"/>
      <c r="L113" s="15"/>
      <c r="M113" s="15"/>
      <c r="N113" s="15"/>
      <c r="O113" s="8" t="s">
        <v>6</v>
      </c>
      <c r="P113" s="8"/>
      <c r="Q113" s="8"/>
      <c r="R113" s="7" t="str">
        <f>Tab_Data_Flows[[#This Row],[Flow_ID]]&amp;"_"&amp;"material_"&amp;Tab_Data_Flows[[#This Row],[Flow_Data_Year]]</f>
        <v>F_00_02_material_2061</v>
      </c>
      <c r="S113" s="14">
        <f>IF(O113="no",H113,H113*P113)</f>
        <v>152579.48243578075</v>
      </c>
      <c r="T113" s="8" t="s">
        <v>198</v>
      </c>
      <c r="U113" s="143">
        <f>INDEX(Tab_Def_Flows[[Flow_ID]:[CC_DM_source]],MATCH(Tab_Data_Flows[[#This Row],[Flow_Name]],Tab_Def_Flows[Flow_Name],0),11)</f>
        <v>0</v>
      </c>
      <c r="V113" s="7" t="str">
        <f>Tab_Data_Flows[[#This Row],[Flow_ID]]&amp;"_"&amp;"WC_"&amp;Tab_Data_Flows[[#This Row],[Flow_Data_Year]]</f>
        <v>F_00_02_WC_2061</v>
      </c>
      <c r="W113" s="7">
        <f>IF(D113="Yes",S113*Tab_Data_Flows[[#This Row],[WC_'[%']]],"N.A.")</f>
        <v>0</v>
      </c>
      <c r="X113" s="7" t="str">
        <f>Tab_Data_Flows[[#This Row],[UoM_Flow_Py]]</f>
        <v>Mg</v>
      </c>
      <c r="Y113" s="143">
        <f>INDEX(Tab_Def_Flows[[Flow_ID]:[CC_DM_source]],MATCH(Tab_Data_Flows[[#This Row],[Flow_Name]],Tab_Def_Flows[Flow_Name],0),14)</f>
        <v>1</v>
      </c>
      <c r="Z113" s="7" t="str">
        <f>Tab_Data_Flows[[#This Row],[Flow_ID]]&amp;"_"&amp;"DM_"&amp;Tab_Data_Flows[[#This Row],[Flow_Data_Year]]</f>
        <v>F_00_02_DM_2061</v>
      </c>
      <c r="AA113" s="7">
        <f>IF(E113="Yes",Y113*Tab_Data_Flows[[#This Row],[Flow_Material]],"N.A.")</f>
        <v>152579.48243578075</v>
      </c>
      <c r="AB113" s="7" t="str">
        <f>Tab_Data_Flows[[#This Row],[UoM_Flow_Py]]</f>
        <v>Mg</v>
      </c>
      <c r="AC113" s="143">
        <f>INDEX(Tab_Def_Flows[[Flow_ID]:[CC_DM_source]],MATCH(Tab_Data_Flows[[#This Row],[Flow_Name]],Tab_Def_Flows[Flow_Name],0),17)</f>
        <v>1</v>
      </c>
      <c r="AD113" s="7" t="str">
        <f>Tab_Data_Flows[[#This Row],[Flow_ID]]&amp;"_"&amp;"CC_"&amp;Tab_Data_Flows[[#This Row],[Flow_Data_Year]]</f>
        <v>F_00_02_CC_2061</v>
      </c>
      <c r="AE113" s="7">
        <f>IF(F113="Yes",AC113*Tab_Data_Flows[[#This Row],[Flow_Material]]*Tab_Data_Flows[[#This Row],[DM_'[%']]],"N.A.")</f>
        <v>152579.48243578075</v>
      </c>
      <c r="AF113" s="7" t="str">
        <f>Tab_Data_Flows[[#This Row],[UoM_Flow_Py]]</f>
        <v>Mg</v>
      </c>
      <c r="AG113"/>
    </row>
    <row r="114" spans="1:33" x14ac:dyDescent="0.25">
      <c r="A114" s="9">
        <f t="shared" si="1"/>
        <v>113</v>
      </c>
      <c r="B114" s="7" t="str">
        <f>_xlfn.XLOOKUP(C114,Tab_Def_Flows[Flow_Name],Tab_Def_Flows[Flow_ID],,0,)</f>
        <v>F_00_02</v>
      </c>
      <c r="C114" s="142" t="s">
        <v>588</v>
      </c>
      <c r="D114" s="10" t="str">
        <f>_xlfn.XLOOKUP(C114,Tab_Def_Flows[Flow_Name],Tab_Def_Flows[WC?],,0,)</f>
        <v>Yes</v>
      </c>
      <c r="E114" s="10" t="str">
        <f>_xlfn.XLOOKUP(C114,Tab_Def_Flows[Flow_Name],Tab_Def_Flows[DM?],,0,)</f>
        <v>Yes</v>
      </c>
      <c r="F114" s="10" t="str">
        <f>_xlfn.XLOOKUP(C114,Tab_Def_Flows[Flow_Name],Tab_Def_Flows[CC?],,0,)</f>
        <v>Yes</v>
      </c>
      <c r="G114" s="8">
        <v>2062</v>
      </c>
      <c r="H114" s="23">
        <v>129172.24174790546</v>
      </c>
      <c r="I114" s="8" t="s">
        <v>198</v>
      </c>
      <c r="J114" s="15"/>
      <c r="K114" s="15"/>
      <c r="L114" s="15"/>
      <c r="M114" s="15"/>
      <c r="N114" s="15"/>
      <c r="O114" s="8" t="s">
        <v>6</v>
      </c>
      <c r="P114" s="8"/>
      <c r="Q114" s="8"/>
      <c r="R114" s="7" t="str">
        <f>Tab_Data_Flows[[#This Row],[Flow_ID]]&amp;"_"&amp;"material_"&amp;Tab_Data_Flows[[#This Row],[Flow_Data_Year]]</f>
        <v>F_00_02_material_2062</v>
      </c>
      <c r="S114" s="14">
        <f>IF(O114="no",H114,H114*P114)</f>
        <v>129172.24174790546</v>
      </c>
      <c r="T114" s="8" t="s">
        <v>198</v>
      </c>
      <c r="U114" s="143">
        <f>INDEX(Tab_Def_Flows[[Flow_ID]:[CC_DM_source]],MATCH(Tab_Data_Flows[[#This Row],[Flow_Name]],Tab_Def_Flows[Flow_Name],0),11)</f>
        <v>0</v>
      </c>
      <c r="V114" s="7" t="str">
        <f>Tab_Data_Flows[[#This Row],[Flow_ID]]&amp;"_"&amp;"WC_"&amp;Tab_Data_Flows[[#This Row],[Flow_Data_Year]]</f>
        <v>F_00_02_WC_2062</v>
      </c>
      <c r="W114" s="7">
        <f>IF(D114="Yes",S114*Tab_Data_Flows[[#This Row],[WC_'[%']]],"N.A.")</f>
        <v>0</v>
      </c>
      <c r="X114" s="7" t="str">
        <f>Tab_Data_Flows[[#This Row],[UoM_Flow_Py]]</f>
        <v>Mg</v>
      </c>
      <c r="Y114" s="143">
        <f>INDEX(Tab_Def_Flows[[Flow_ID]:[CC_DM_source]],MATCH(Tab_Data_Flows[[#This Row],[Flow_Name]],Tab_Def_Flows[Flow_Name],0),14)</f>
        <v>1</v>
      </c>
      <c r="Z114" s="7" t="str">
        <f>Tab_Data_Flows[[#This Row],[Flow_ID]]&amp;"_"&amp;"DM_"&amp;Tab_Data_Flows[[#This Row],[Flow_Data_Year]]</f>
        <v>F_00_02_DM_2062</v>
      </c>
      <c r="AA114" s="7">
        <f>IF(E114="Yes",Y114*Tab_Data_Flows[[#This Row],[Flow_Material]],"N.A.")</f>
        <v>129172.24174790546</v>
      </c>
      <c r="AB114" s="7" t="str">
        <f>Tab_Data_Flows[[#This Row],[UoM_Flow_Py]]</f>
        <v>Mg</v>
      </c>
      <c r="AC114" s="143">
        <f>INDEX(Tab_Def_Flows[[Flow_ID]:[CC_DM_source]],MATCH(Tab_Data_Flows[[#This Row],[Flow_Name]],Tab_Def_Flows[Flow_Name],0),17)</f>
        <v>1</v>
      </c>
      <c r="AD114" s="7" t="str">
        <f>Tab_Data_Flows[[#This Row],[Flow_ID]]&amp;"_"&amp;"CC_"&amp;Tab_Data_Flows[[#This Row],[Flow_Data_Year]]</f>
        <v>F_00_02_CC_2062</v>
      </c>
      <c r="AE114" s="7">
        <f>IF(F114="Yes",AC114*Tab_Data_Flows[[#This Row],[Flow_Material]]*Tab_Data_Flows[[#This Row],[DM_'[%']]],"N.A.")</f>
        <v>129172.24174790546</v>
      </c>
      <c r="AF114" s="7" t="str">
        <f>Tab_Data_Flows[[#This Row],[UoM_Flow_Py]]</f>
        <v>Mg</v>
      </c>
      <c r="AG114"/>
    </row>
    <row r="115" spans="1:33" x14ac:dyDescent="0.25">
      <c r="A115" s="9">
        <f t="shared" si="1"/>
        <v>114</v>
      </c>
      <c r="B115" s="7" t="str">
        <f>_xlfn.XLOOKUP(C115,Tab_Def_Flows[Flow_Name],Tab_Def_Flows[Flow_ID],,0,)</f>
        <v>F_00_02</v>
      </c>
      <c r="C115" s="142" t="s">
        <v>588</v>
      </c>
      <c r="D115" s="10" t="str">
        <f>_xlfn.XLOOKUP(C115,Tab_Def_Flows[Flow_Name],Tab_Def_Flows[WC?],,0,)</f>
        <v>Yes</v>
      </c>
      <c r="E115" s="10" t="str">
        <f>_xlfn.XLOOKUP(C115,Tab_Def_Flows[Flow_Name],Tab_Def_Flows[DM?],,0,)</f>
        <v>Yes</v>
      </c>
      <c r="F115" s="10" t="str">
        <f>_xlfn.XLOOKUP(C115,Tab_Def_Flows[Flow_Name],Tab_Def_Flows[CC?],,0,)</f>
        <v>Yes</v>
      </c>
      <c r="G115" s="8">
        <v>2063</v>
      </c>
      <c r="H115" s="23">
        <v>176886.05681196338</v>
      </c>
      <c r="I115" s="8" t="s">
        <v>198</v>
      </c>
      <c r="J115" s="15"/>
      <c r="K115" s="15"/>
      <c r="L115" s="15"/>
      <c r="M115" s="15"/>
      <c r="N115" s="15"/>
      <c r="O115" s="8" t="s">
        <v>6</v>
      </c>
      <c r="P115" s="8"/>
      <c r="Q115" s="8"/>
      <c r="R115" s="7" t="str">
        <f>Tab_Data_Flows[[#This Row],[Flow_ID]]&amp;"_"&amp;"material_"&amp;Tab_Data_Flows[[#This Row],[Flow_Data_Year]]</f>
        <v>F_00_02_material_2063</v>
      </c>
      <c r="S115" s="14">
        <f>IF(O115="no",H115,H115*P115)</f>
        <v>176886.05681196338</v>
      </c>
      <c r="T115" s="8" t="s">
        <v>198</v>
      </c>
      <c r="U115" s="143">
        <f>INDEX(Tab_Def_Flows[[Flow_ID]:[CC_DM_source]],MATCH(Tab_Data_Flows[[#This Row],[Flow_Name]],Tab_Def_Flows[Flow_Name],0),11)</f>
        <v>0</v>
      </c>
      <c r="V115" s="7" t="str">
        <f>Tab_Data_Flows[[#This Row],[Flow_ID]]&amp;"_"&amp;"WC_"&amp;Tab_Data_Flows[[#This Row],[Flow_Data_Year]]</f>
        <v>F_00_02_WC_2063</v>
      </c>
      <c r="W115" s="7">
        <f>IF(D115="Yes",S115*Tab_Data_Flows[[#This Row],[WC_'[%']]],"N.A.")</f>
        <v>0</v>
      </c>
      <c r="X115" s="7" t="str">
        <f>Tab_Data_Flows[[#This Row],[UoM_Flow_Py]]</f>
        <v>Mg</v>
      </c>
      <c r="Y115" s="143">
        <f>INDEX(Tab_Def_Flows[[Flow_ID]:[CC_DM_source]],MATCH(Tab_Data_Flows[[#This Row],[Flow_Name]],Tab_Def_Flows[Flow_Name],0),14)</f>
        <v>1</v>
      </c>
      <c r="Z115" s="7" t="str">
        <f>Tab_Data_Flows[[#This Row],[Flow_ID]]&amp;"_"&amp;"DM_"&amp;Tab_Data_Flows[[#This Row],[Flow_Data_Year]]</f>
        <v>F_00_02_DM_2063</v>
      </c>
      <c r="AA115" s="7">
        <f>IF(E115="Yes",Y115*Tab_Data_Flows[[#This Row],[Flow_Material]],"N.A.")</f>
        <v>176886.05681196338</v>
      </c>
      <c r="AB115" s="7" t="str">
        <f>Tab_Data_Flows[[#This Row],[UoM_Flow_Py]]</f>
        <v>Mg</v>
      </c>
      <c r="AC115" s="143">
        <f>INDEX(Tab_Def_Flows[[Flow_ID]:[CC_DM_source]],MATCH(Tab_Data_Flows[[#This Row],[Flow_Name]],Tab_Def_Flows[Flow_Name],0),17)</f>
        <v>1</v>
      </c>
      <c r="AD115" s="7" t="str">
        <f>Tab_Data_Flows[[#This Row],[Flow_ID]]&amp;"_"&amp;"CC_"&amp;Tab_Data_Flows[[#This Row],[Flow_Data_Year]]</f>
        <v>F_00_02_CC_2063</v>
      </c>
      <c r="AE115" s="7">
        <f>IF(F115="Yes",AC115*Tab_Data_Flows[[#This Row],[Flow_Material]]*Tab_Data_Flows[[#This Row],[DM_'[%']]],"N.A.")</f>
        <v>176886.05681196338</v>
      </c>
      <c r="AF115" s="7" t="str">
        <f>Tab_Data_Flows[[#This Row],[UoM_Flow_Py]]</f>
        <v>Mg</v>
      </c>
      <c r="AG115"/>
    </row>
    <row r="116" spans="1:33" x14ac:dyDescent="0.25">
      <c r="A116" s="9">
        <f t="shared" si="1"/>
        <v>115</v>
      </c>
      <c r="B116" s="7" t="str">
        <f>_xlfn.XLOOKUP(C116,Tab_Def_Flows[Flow_Name],Tab_Def_Flows[Flow_ID],,0,)</f>
        <v>F_00_02</v>
      </c>
      <c r="C116" s="142" t="s">
        <v>588</v>
      </c>
      <c r="D116" s="10" t="str">
        <f>_xlfn.XLOOKUP(C116,Tab_Def_Flows[Flow_Name],Tab_Def_Flows[WC?],,0,)</f>
        <v>Yes</v>
      </c>
      <c r="E116" s="10" t="str">
        <f>_xlfn.XLOOKUP(C116,Tab_Def_Flows[Flow_Name],Tab_Def_Flows[DM?],,0,)</f>
        <v>Yes</v>
      </c>
      <c r="F116" s="10" t="str">
        <f>_xlfn.XLOOKUP(C116,Tab_Def_Flows[Flow_Name],Tab_Def_Flows[CC?],,0,)</f>
        <v>Yes</v>
      </c>
      <c r="G116" s="8">
        <v>2064</v>
      </c>
      <c r="H116" s="23">
        <v>168817.34130906413</v>
      </c>
      <c r="I116" s="8" t="s">
        <v>198</v>
      </c>
      <c r="J116" s="15"/>
      <c r="K116" s="15"/>
      <c r="L116" s="15"/>
      <c r="M116" s="15"/>
      <c r="N116" s="15"/>
      <c r="O116" s="8" t="s">
        <v>6</v>
      </c>
      <c r="P116" s="8"/>
      <c r="Q116" s="8"/>
      <c r="R116" s="7" t="str">
        <f>Tab_Data_Flows[[#This Row],[Flow_ID]]&amp;"_"&amp;"material_"&amp;Tab_Data_Flows[[#This Row],[Flow_Data_Year]]</f>
        <v>F_00_02_material_2064</v>
      </c>
      <c r="S116" s="14">
        <f>IF(O116="no",H116,H116*P116)</f>
        <v>168817.34130906413</v>
      </c>
      <c r="T116" s="8" t="s">
        <v>198</v>
      </c>
      <c r="U116" s="143">
        <f>INDEX(Tab_Def_Flows[[Flow_ID]:[CC_DM_source]],MATCH(Tab_Data_Flows[[#This Row],[Flow_Name]],Tab_Def_Flows[Flow_Name],0),11)</f>
        <v>0</v>
      </c>
      <c r="V116" s="7" t="str">
        <f>Tab_Data_Flows[[#This Row],[Flow_ID]]&amp;"_"&amp;"WC_"&amp;Tab_Data_Flows[[#This Row],[Flow_Data_Year]]</f>
        <v>F_00_02_WC_2064</v>
      </c>
      <c r="W116" s="7">
        <f>IF(D116="Yes",S116*Tab_Data_Flows[[#This Row],[WC_'[%']]],"N.A.")</f>
        <v>0</v>
      </c>
      <c r="X116" s="7" t="str">
        <f>Tab_Data_Flows[[#This Row],[UoM_Flow_Py]]</f>
        <v>Mg</v>
      </c>
      <c r="Y116" s="143">
        <f>INDEX(Tab_Def_Flows[[Flow_ID]:[CC_DM_source]],MATCH(Tab_Data_Flows[[#This Row],[Flow_Name]],Tab_Def_Flows[Flow_Name],0),14)</f>
        <v>1</v>
      </c>
      <c r="Z116" s="7" t="str">
        <f>Tab_Data_Flows[[#This Row],[Flow_ID]]&amp;"_"&amp;"DM_"&amp;Tab_Data_Flows[[#This Row],[Flow_Data_Year]]</f>
        <v>F_00_02_DM_2064</v>
      </c>
      <c r="AA116" s="7">
        <f>IF(E116="Yes",Y116*Tab_Data_Flows[[#This Row],[Flow_Material]],"N.A.")</f>
        <v>168817.34130906413</v>
      </c>
      <c r="AB116" s="7" t="str">
        <f>Tab_Data_Flows[[#This Row],[UoM_Flow_Py]]</f>
        <v>Mg</v>
      </c>
      <c r="AC116" s="143">
        <f>INDEX(Tab_Def_Flows[[Flow_ID]:[CC_DM_source]],MATCH(Tab_Data_Flows[[#This Row],[Flow_Name]],Tab_Def_Flows[Flow_Name],0),17)</f>
        <v>1</v>
      </c>
      <c r="AD116" s="7" t="str">
        <f>Tab_Data_Flows[[#This Row],[Flow_ID]]&amp;"_"&amp;"CC_"&amp;Tab_Data_Flows[[#This Row],[Flow_Data_Year]]</f>
        <v>F_00_02_CC_2064</v>
      </c>
      <c r="AE116" s="7">
        <f>IF(F116="Yes",AC116*Tab_Data_Flows[[#This Row],[Flow_Material]]*Tab_Data_Flows[[#This Row],[DM_'[%']]],"N.A.")</f>
        <v>168817.34130906413</v>
      </c>
      <c r="AF116" s="7" t="str">
        <f>Tab_Data_Flows[[#This Row],[UoM_Flow_Py]]</f>
        <v>Mg</v>
      </c>
      <c r="AG116"/>
    </row>
    <row r="117" spans="1:33" x14ac:dyDescent="0.25">
      <c r="A117" s="9">
        <f t="shared" si="1"/>
        <v>116</v>
      </c>
      <c r="B117" s="7" t="str">
        <f>_xlfn.XLOOKUP(C117,Tab_Def_Flows[Flow_Name],Tab_Def_Flows[Flow_ID],,0,)</f>
        <v>F_00_02</v>
      </c>
      <c r="C117" s="142" t="s">
        <v>588</v>
      </c>
      <c r="D117" s="10" t="str">
        <f>_xlfn.XLOOKUP(C117,Tab_Def_Flows[Flow_Name],Tab_Def_Flows[WC?],,0,)</f>
        <v>Yes</v>
      </c>
      <c r="E117" s="10" t="str">
        <f>_xlfn.XLOOKUP(C117,Tab_Def_Flows[Flow_Name],Tab_Def_Flows[DM?],,0,)</f>
        <v>Yes</v>
      </c>
      <c r="F117" s="10" t="str">
        <f>_xlfn.XLOOKUP(C117,Tab_Def_Flows[Flow_Name],Tab_Def_Flows[CC?],,0,)</f>
        <v>Yes</v>
      </c>
      <c r="G117" s="8">
        <v>2065</v>
      </c>
      <c r="H117" s="23">
        <v>169624.41796104889</v>
      </c>
      <c r="I117" s="8" t="s">
        <v>198</v>
      </c>
      <c r="J117" s="15"/>
      <c r="K117" s="15"/>
      <c r="L117" s="15"/>
      <c r="M117" s="15"/>
      <c r="N117" s="15"/>
      <c r="O117" s="8" t="s">
        <v>6</v>
      </c>
      <c r="P117" s="8"/>
      <c r="Q117" s="8"/>
      <c r="R117" s="7" t="str">
        <f>Tab_Data_Flows[[#This Row],[Flow_ID]]&amp;"_"&amp;"material_"&amp;Tab_Data_Flows[[#This Row],[Flow_Data_Year]]</f>
        <v>F_00_02_material_2065</v>
      </c>
      <c r="S117" s="14">
        <f>IF(O117="no",H117,H117*P117)</f>
        <v>169624.41796104889</v>
      </c>
      <c r="T117" s="8" t="s">
        <v>198</v>
      </c>
      <c r="U117" s="143">
        <f>INDEX(Tab_Def_Flows[[Flow_ID]:[CC_DM_source]],MATCH(Tab_Data_Flows[[#This Row],[Flow_Name]],Tab_Def_Flows[Flow_Name],0),11)</f>
        <v>0</v>
      </c>
      <c r="V117" s="7" t="str">
        <f>Tab_Data_Flows[[#This Row],[Flow_ID]]&amp;"_"&amp;"WC_"&amp;Tab_Data_Flows[[#This Row],[Flow_Data_Year]]</f>
        <v>F_00_02_WC_2065</v>
      </c>
      <c r="W117" s="7">
        <f>IF(D117="Yes",S117*Tab_Data_Flows[[#This Row],[WC_'[%']]],"N.A.")</f>
        <v>0</v>
      </c>
      <c r="X117" s="7" t="str">
        <f>Tab_Data_Flows[[#This Row],[UoM_Flow_Py]]</f>
        <v>Mg</v>
      </c>
      <c r="Y117" s="143">
        <f>INDEX(Tab_Def_Flows[[Flow_ID]:[CC_DM_source]],MATCH(Tab_Data_Flows[[#This Row],[Flow_Name]],Tab_Def_Flows[Flow_Name],0),14)</f>
        <v>1</v>
      </c>
      <c r="Z117" s="7" t="str">
        <f>Tab_Data_Flows[[#This Row],[Flow_ID]]&amp;"_"&amp;"DM_"&amp;Tab_Data_Flows[[#This Row],[Flow_Data_Year]]</f>
        <v>F_00_02_DM_2065</v>
      </c>
      <c r="AA117" s="7">
        <f>IF(E117="Yes",Y117*Tab_Data_Flows[[#This Row],[Flow_Material]],"N.A.")</f>
        <v>169624.41796104889</v>
      </c>
      <c r="AB117" s="7" t="str">
        <f>Tab_Data_Flows[[#This Row],[UoM_Flow_Py]]</f>
        <v>Mg</v>
      </c>
      <c r="AC117" s="143">
        <f>INDEX(Tab_Def_Flows[[Flow_ID]:[CC_DM_source]],MATCH(Tab_Data_Flows[[#This Row],[Flow_Name]],Tab_Def_Flows[Flow_Name],0),17)</f>
        <v>1</v>
      </c>
      <c r="AD117" s="7" t="str">
        <f>Tab_Data_Flows[[#This Row],[Flow_ID]]&amp;"_"&amp;"CC_"&amp;Tab_Data_Flows[[#This Row],[Flow_Data_Year]]</f>
        <v>F_00_02_CC_2065</v>
      </c>
      <c r="AE117" s="7">
        <f>IF(F117="Yes",AC117*Tab_Data_Flows[[#This Row],[Flow_Material]]*Tab_Data_Flows[[#This Row],[DM_'[%']]],"N.A.")</f>
        <v>169624.41796104889</v>
      </c>
      <c r="AF117" s="7" t="str">
        <f>Tab_Data_Flows[[#This Row],[UoM_Flow_Py]]</f>
        <v>Mg</v>
      </c>
      <c r="AG117"/>
    </row>
    <row r="118" spans="1:33" x14ac:dyDescent="0.25">
      <c r="A118" s="9">
        <f t="shared" si="1"/>
        <v>117</v>
      </c>
      <c r="B118" s="7" t="str">
        <f>_xlfn.XLOOKUP(C118,Tab_Def_Flows[Flow_Name],Tab_Def_Flows[Flow_ID],,0,)</f>
        <v>F_00_02</v>
      </c>
      <c r="C118" s="142" t="s">
        <v>588</v>
      </c>
      <c r="D118" s="10" t="str">
        <f>_xlfn.XLOOKUP(C118,Tab_Def_Flows[Flow_Name],Tab_Def_Flows[WC?],,0,)</f>
        <v>Yes</v>
      </c>
      <c r="E118" s="10" t="str">
        <f>_xlfn.XLOOKUP(C118,Tab_Def_Flows[Flow_Name],Tab_Def_Flows[DM?],,0,)</f>
        <v>Yes</v>
      </c>
      <c r="F118" s="10" t="str">
        <f>_xlfn.XLOOKUP(C118,Tab_Def_Flows[Flow_Name],Tab_Def_Flows[CC?],,0,)</f>
        <v>Yes</v>
      </c>
      <c r="G118" s="8">
        <v>2066</v>
      </c>
      <c r="H118" s="23">
        <v>134524.49714739164</v>
      </c>
      <c r="I118" s="8" t="s">
        <v>198</v>
      </c>
      <c r="J118" s="15"/>
      <c r="K118" s="15"/>
      <c r="L118" s="15"/>
      <c r="M118" s="15"/>
      <c r="N118" s="15"/>
      <c r="O118" s="8" t="s">
        <v>6</v>
      </c>
      <c r="P118" s="16"/>
      <c r="Q118" s="8"/>
      <c r="R118" s="7" t="str">
        <f>Tab_Data_Flows[[#This Row],[Flow_ID]]&amp;"_"&amp;"material_"&amp;Tab_Data_Flows[[#This Row],[Flow_Data_Year]]</f>
        <v>F_00_02_material_2066</v>
      </c>
      <c r="S118" s="14">
        <f>IF(O118="no",H118,H118*P118)</f>
        <v>134524.49714739164</v>
      </c>
      <c r="T118" s="8" t="s">
        <v>198</v>
      </c>
      <c r="U118" s="143">
        <f>INDEX(Tab_Def_Flows[[Flow_ID]:[CC_DM_source]],MATCH(Tab_Data_Flows[[#This Row],[Flow_Name]],Tab_Def_Flows[Flow_Name],0),11)</f>
        <v>0</v>
      </c>
      <c r="V118" s="7" t="str">
        <f>Tab_Data_Flows[[#This Row],[Flow_ID]]&amp;"_"&amp;"WC_"&amp;Tab_Data_Flows[[#This Row],[Flow_Data_Year]]</f>
        <v>F_00_02_WC_2066</v>
      </c>
      <c r="W118" s="7">
        <f>IF(D118="Yes",S118*Tab_Data_Flows[[#This Row],[WC_'[%']]],"N.A.")</f>
        <v>0</v>
      </c>
      <c r="X118" s="7" t="str">
        <f>Tab_Data_Flows[[#This Row],[UoM_Flow_Py]]</f>
        <v>Mg</v>
      </c>
      <c r="Y118" s="143">
        <f>INDEX(Tab_Def_Flows[[Flow_ID]:[CC_DM_source]],MATCH(Tab_Data_Flows[[#This Row],[Flow_Name]],Tab_Def_Flows[Flow_Name],0),14)</f>
        <v>1</v>
      </c>
      <c r="Z118" s="7" t="str">
        <f>Tab_Data_Flows[[#This Row],[Flow_ID]]&amp;"_"&amp;"DM_"&amp;Tab_Data_Flows[[#This Row],[Flow_Data_Year]]</f>
        <v>F_00_02_DM_2066</v>
      </c>
      <c r="AA118" s="7">
        <f>IF(E118="Yes",Y118*Tab_Data_Flows[[#This Row],[Flow_Material]],"N.A.")</f>
        <v>134524.49714739164</v>
      </c>
      <c r="AB118" s="7" t="str">
        <f>Tab_Data_Flows[[#This Row],[UoM_Flow_Py]]</f>
        <v>Mg</v>
      </c>
      <c r="AC118" s="143">
        <f>INDEX(Tab_Def_Flows[[Flow_ID]:[CC_DM_source]],MATCH(Tab_Data_Flows[[#This Row],[Flow_Name]],Tab_Def_Flows[Flow_Name],0),17)</f>
        <v>1</v>
      </c>
      <c r="AD118" s="7" t="str">
        <f>Tab_Data_Flows[[#This Row],[Flow_ID]]&amp;"_"&amp;"CC_"&amp;Tab_Data_Flows[[#This Row],[Flow_Data_Year]]</f>
        <v>F_00_02_CC_2066</v>
      </c>
      <c r="AE118" s="7">
        <f>IF(F118="Yes",AC118*Tab_Data_Flows[[#This Row],[Flow_Material]]*Tab_Data_Flows[[#This Row],[DM_'[%']]],"N.A.")</f>
        <v>134524.49714739164</v>
      </c>
      <c r="AF118" s="7" t="str">
        <f>Tab_Data_Flows[[#This Row],[UoM_Flow_Py]]</f>
        <v>Mg</v>
      </c>
      <c r="AG118"/>
    </row>
    <row r="119" spans="1:33" x14ac:dyDescent="0.25">
      <c r="A119" s="9">
        <f t="shared" si="1"/>
        <v>118</v>
      </c>
      <c r="B119" s="7" t="str">
        <f>_xlfn.XLOOKUP(C119,Tab_Def_Flows[Flow_Name],Tab_Def_Flows[Flow_ID],,0,)</f>
        <v>F_00_02</v>
      </c>
      <c r="C119" s="142" t="s">
        <v>588</v>
      </c>
      <c r="D119" s="10" t="str">
        <f>_xlfn.XLOOKUP(C119,Tab_Def_Flows[Flow_Name],Tab_Def_Flows[WC?],,0,)</f>
        <v>Yes</v>
      </c>
      <c r="E119" s="10" t="str">
        <f>_xlfn.XLOOKUP(C119,Tab_Def_Flows[Flow_Name],Tab_Def_Flows[DM?],,0,)</f>
        <v>Yes</v>
      </c>
      <c r="F119" s="10" t="str">
        <f>_xlfn.XLOOKUP(C119,Tab_Def_Flows[Flow_Name],Tab_Def_Flows[CC?],,0,)</f>
        <v>Yes</v>
      </c>
      <c r="G119" s="8">
        <v>2067</v>
      </c>
      <c r="H119" s="23">
        <v>182252.36757525255</v>
      </c>
      <c r="I119" s="8" t="s">
        <v>198</v>
      </c>
      <c r="J119" s="15"/>
      <c r="K119" s="15"/>
      <c r="L119" s="15"/>
      <c r="M119" s="15"/>
      <c r="N119" s="15"/>
      <c r="O119" s="8" t="s">
        <v>6</v>
      </c>
      <c r="P119" s="16"/>
      <c r="Q119" s="8"/>
      <c r="R119" s="7" t="str">
        <f>Tab_Data_Flows[[#This Row],[Flow_ID]]&amp;"_"&amp;"material_"&amp;Tab_Data_Flows[[#This Row],[Flow_Data_Year]]</f>
        <v>F_00_02_material_2067</v>
      </c>
      <c r="S119" s="14">
        <f>IF(O119="no",H119,H119*P119)</f>
        <v>182252.36757525255</v>
      </c>
      <c r="T119" s="8" t="s">
        <v>198</v>
      </c>
      <c r="U119" s="143">
        <f>INDEX(Tab_Def_Flows[[Flow_ID]:[CC_DM_source]],MATCH(Tab_Data_Flows[[#This Row],[Flow_Name]],Tab_Def_Flows[Flow_Name],0),11)</f>
        <v>0</v>
      </c>
      <c r="V119" s="7" t="str">
        <f>Tab_Data_Flows[[#This Row],[Flow_ID]]&amp;"_"&amp;"WC_"&amp;Tab_Data_Flows[[#This Row],[Flow_Data_Year]]</f>
        <v>F_00_02_WC_2067</v>
      </c>
      <c r="W119" s="7">
        <f>IF(D119="Yes",S119*Tab_Data_Flows[[#This Row],[WC_'[%']]],"N.A.")</f>
        <v>0</v>
      </c>
      <c r="X119" s="7" t="str">
        <f>Tab_Data_Flows[[#This Row],[UoM_Flow_Py]]</f>
        <v>Mg</v>
      </c>
      <c r="Y119" s="143">
        <f>INDEX(Tab_Def_Flows[[Flow_ID]:[CC_DM_source]],MATCH(Tab_Data_Flows[[#This Row],[Flow_Name]],Tab_Def_Flows[Flow_Name],0),14)</f>
        <v>1</v>
      </c>
      <c r="Z119" s="7" t="str">
        <f>Tab_Data_Flows[[#This Row],[Flow_ID]]&amp;"_"&amp;"DM_"&amp;Tab_Data_Flows[[#This Row],[Flow_Data_Year]]</f>
        <v>F_00_02_DM_2067</v>
      </c>
      <c r="AA119" s="7">
        <f>IF(E119="Yes",Y119*Tab_Data_Flows[[#This Row],[Flow_Material]],"N.A.")</f>
        <v>182252.36757525255</v>
      </c>
      <c r="AB119" s="7" t="str">
        <f>Tab_Data_Flows[[#This Row],[UoM_Flow_Py]]</f>
        <v>Mg</v>
      </c>
      <c r="AC119" s="143">
        <f>INDEX(Tab_Def_Flows[[Flow_ID]:[CC_DM_source]],MATCH(Tab_Data_Flows[[#This Row],[Flow_Name]],Tab_Def_Flows[Flow_Name],0),17)</f>
        <v>1</v>
      </c>
      <c r="AD119" s="7" t="str">
        <f>Tab_Data_Flows[[#This Row],[Flow_ID]]&amp;"_"&amp;"CC_"&amp;Tab_Data_Flows[[#This Row],[Flow_Data_Year]]</f>
        <v>F_00_02_CC_2067</v>
      </c>
      <c r="AE119" s="7">
        <f>IF(F119="Yes",AC119*Tab_Data_Flows[[#This Row],[Flow_Material]]*Tab_Data_Flows[[#This Row],[DM_'[%']]],"N.A.")</f>
        <v>182252.36757525255</v>
      </c>
      <c r="AF119" s="7" t="str">
        <f>Tab_Data_Flows[[#This Row],[UoM_Flow_Py]]</f>
        <v>Mg</v>
      </c>
      <c r="AG119"/>
    </row>
    <row r="120" spans="1:33" x14ac:dyDescent="0.25">
      <c r="A120" s="9">
        <f t="shared" si="1"/>
        <v>119</v>
      </c>
      <c r="B120" s="7" t="str">
        <f>_xlfn.XLOOKUP(C120,Tab_Def_Flows[Flow_Name],Tab_Def_Flows[Flow_ID],,0,)</f>
        <v>F_00_02</v>
      </c>
      <c r="C120" s="142" t="s">
        <v>588</v>
      </c>
      <c r="D120" s="10" t="str">
        <f>_xlfn.XLOOKUP(C120,Tab_Def_Flows[Flow_Name],Tab_Def_Flows[WC?],,0,)</f>
        <v>Yes</v>
      </c>
      <c r="E120" s="10" t="str">
        <f>_xlfn.XLOOKUP(C120,Tab_Def_Flows[Flow_Name],Tab_Def_Flows[DM?],,0,)</f>
        <v>Yes</v>
      </c>
      <c r="F120" s="10" t="str">
        <f>_xlfn.XLOOKUP(C120,Tab_Def_Flows[Flow_Name],Tab_Def_Flows[CC?],,0,)</f>
        <v>Yes</v>
      </c>
      <c r="G120" s="8">
        <v>2068</v>
      </c>
      <c r="H120" s="23">
        <v>124359.10287722519</v>
      </c>
      <c r="I120" s="8" t="s">
        <v>198</v>
      </c>
      <c r="J120" s="15"/>
      <c r="K120" s="15"/>
      <c r="L120" s="15"/>
      <c r="M120" s="15"/>
      <c r="N120" s="15"/>
      <c r="O120" s="8" t="s">
        <v>6</v>
      </c>
      <c r="P120" s="16"/>
      <c r="Q120" s="8"/>
      <c r="R120" s="7" t="str">
        <f>Tab_Data_Flows[[#This Row],[Flow_ID]]&amp;"_"&amp;"material_"&amp;Tab_Data_Flows[[#This Row],[Flow_Data_Year]]</f>
        <v>F_00_02_material_2068</v>
      </c>
      <c r="S120" s="14">
        <f>IF(O120="no",H120,H120*P120)</f>
        <v>124359.10287722519</v>
      </c>
      <c r="T120" s="8" t="s">
        <v>198</v>
      </c>
      <c r="U120" s="143">
        <f>INDEX(Tab_Def_Flows[[Flow_ID]:[CC_DM_source]],MATCH(Tab_Data_Flows[[#This Row],[Flow_Name]],Tab_Def_Flows[Flow_Name],0),11)</f>
        <v>0</v>
      </c>
      <c r="V120" s="7" t="str">
        <f>Tab_Data_Flows[[#This Row],[Flow_ID]]&amp;"_"&amp;"WC_"&amp;Tab_Data_Flows[[#This Row],[Flow_Data_Year]]</f>
        <v>F_00_02_WC_2068</v>
      </c>
      <c r="W120" s="7">
        <f>IF(D120="Yes",S120*Tab_Data_Flows[[#This Row],[WC_'[%']]],"N.A.")</f>
        <v>0</v>
      </c>
      <c r="X120" s="7" t="str">
        <f>Tab_Data_Flows[[#This Row],[UoM_Flow_Py]]</f>
        <v>Mg</v>
      </c>
      <c r="Y120" s="143">
        <f>INDEX(Tab_Def_Flows[[Flow_ID]:[CC_DM_source]],MATCH(Tab_Data_Flows[[#This Row],[Flow_Name]],Tab_Def_Flows[Flow_Name],0),14)</f>
        <v>1</v>
      </c>
      <c r="Z120" s="7" t="str">
        <f>Tab_Data_Flows[[#This Row],[Flow_ID]]&amp;"_"&amp;"DM_"&amp;Tab_Data_Flows[[#This Row],[Flow_Data_Year]]</f>
        <v>F_00_02_DM_2068</v>
      </c>
      <c r="AA120" s="7">
        <f>IF(E120="Yes",Y120*Tab_Data_Flows[[#This Row],[Flow_Material]],"N.A.")</f>
        <v>124359.10287722519</v>
      </c>
      <c r="AB120" s="7" t="str">
        <f>Tab_Data_Flows[[#This Row],[UoM_Flow_Py]]</f>
        <v>Mg</v>
      </c>
      <c r="AC120" s="143">
        <f>INDEX(Tab_Def_Flows[[Flow_ID]:[CC_DM_source]],MATCH(Tab_Data_Flows[[#This Row],[Flow_Name]],Tab_Def_Flows[Flow_Name],0),17)</f>
        <v>1</v>
      </c>
      <c r="AD120" s="7" t="str">
        <f>Tab_Data_Flows[[#This Row],[Flow_ID]]&amp;"_"&amp;"CC_"&amp;Tab_Data_Flows[[#This Row],[Flow_Data_Year]]</f>
        <v>F_00_02_CC_2068</v>
      </c>
      <c r="AE120" s="7">
        <f>IF(F120="Yes",AC120*Tab_Data_Flows[[#This Row],[Flow_Material]]*Tab_Data_Flows[[#This Row],[DM_'[%']]],"N.A.")</f>
        <v>124359.10287722519</v>
      </c>
      <c r="AF120" s="7" t="str">
        <f>Tab_Data_Flows[[#This Row],[UoM_Flow_Py]]</f>
        <v>Mg</v>
      </c>
      <c r="AG120"/>
    </row>
    <row r="121" spans="1:33" x14ac:dyDescent="0.25">
      <c r="A121" s="9">
        <f t="shared" si="1"/>
        <v>120</v>
      </c>
      <c r="B121" s="7" t="str">
        <f>_xlfn.XLOOKUP(C121,Tab_Def_Flows[Flow_Name],Tab_Def_Flows[Flow_ID],,0,)</f>
        <v>F_00_02</v>
      </c>
      <c r="C121" s="142" t="s">
        <v>588</v>
      </c>
      <c r="D121" s="10" t="str">
        <f>_xlfn.XLOOKUP(C121,Tab_Def_Flows[Flow_Name],Tab_Def_Flows[WC?],,0,)</f>
        <v>Yes</v>
      </c>
      <c r="E121" s="10" t="str">
        <f>_xlfn.XLOOKUP(C121,Tab_Def_Flows[Flow_Name],Tab_Def_Flows[DM?],,0,)</f>
        <v>Yes</v>
      </c>
      <c r="F121" s="10" t="str">
        <f>_xlfn.XLOOKUP(C121,Tab_Def_Flows[Flow_Name],Tab_Def_Flows[CC?],,0,)</f>
        <v>Yes</v>
      </c>
      <c r="G121" s="8">
        <v>2069</v>
      </c>
      <c r="H121" s="23">
        <v>165409.85702789549</v>
      </c>
      <c r="I121" s="8" t="s">
        <v>198</v>
      </c>
      <c r="J121" s="15"/>
      <c r="K121" s="15"/>
      <c r="L121" s="15"/>
      <c r="M121" s="15"/>
      <c r="N121" s="15"/>
      <c r="O121" s="8" t="s">
        <v>6</v>
      </c>
      <c r="P121" s="16"/>
      <c r="Q121" s="8"/>
      <c r="R121" s="7" t="str">
        <f>Tab_Data_Flows[[#This Row],[Flow_ID]]&amp;"_"&amp;"material_"&amp;Tab_Data_Flows[[#This Row],[Flow_Data_Year]]</f>
        <v>F_00_02_material_2069</v>
      </c>
      <c r="S121" s="14">
        <f>IF(O121="no",H121,H121*P121)</f>
        <v>165409.85702789549</v>
      </c>
      <c r="T121" s="8" t="s">
        <v>198</v>
      </c>
      <c r="U121" s="143">
        <f>INDEX(Tab_Def_Flows[[Flow_ID]:[CC_DM_source]],MATCH(Tab_Data_Flows[[#This Row],[Flow_Name]],Tab_Def_Flows[Flow_Name],0),11)</f>
        <v>0</v>
      </c>
      <c r="V121" s="7" t="str">
        <f>Tab_Data_Flows[[#This Row],[Flow_ID]]&amp;"_"&amp;"WC_"&amp;Tab_Data_Flows[[#This Row],[Flow_Data_Year]]</f>
        <v>F_00_02_WC_2069</v>
      </c>
      <c r="W121" s="7">
        <f>IF(D121="Yes",S121*Tab_Data_Flows[[#This Row],[WC_'[%']]],"N.A.")</f>
        <v>0</v>
      </c>
      <c r="X121" s="7" t="str">
        <f>Tab_Data_Flows[[#This Row],[UoM_Flow_Py]]</f>
        <v>Mg</v>
      </c>
      <c r="Y121" s="143">
        <f>INDEX(Tab_Def_Flows[[Flow_ID]:[CC_DM_source]],MATCH(Tab_Data_Flows[[#This Row],[Flow_Name]],Tab_Def_Flows[Flow_Name],0),14)</f>
        <v>1</v>
      </c>
      <c r="Z121" s="7" t="str">
        <f>Tab_Data_Flows[[#This Row],[Flow_ID]]&amp;"_"&amp;"DM_"&amp;Tab_Data_Flows[[#This Row],[Flow_Data_Year]]</f>
        <v>F_00_02_DM_2069</v>
      </c>
      <c r="AA121" s="7">
        <f>IF(E121="Yes",Y121*Tab_Data_Flows[[#This Row],[Flow_Material]],"N.A.")</f>
        <v>165409.85702789549</v>
      </c>
      <c r="AB121" s="7" t="str">
        <f>Tab_Data_Flows[[#This Row],[UoM_Flow_Py]]</f>
        <v>Mg</v>
      </c>
      <c r="AC121" s="143">
        <f>INDEX(Tab_Def_Flows[[Flow_ID]:[CC_DM_source]],MATCH(Tab_Data_Flows[[#This Row],[Flow_Name]],Tab_Def_Flows[Flow_Name],0),17)</f>
        <v>1</v>
      </c>
      <c r="AD121" s="7" t="str">
        <f>Tab_Data_Flows[[#This Row],[Flow_ID]]&amp;"_"&amp;"CC_"&amp;Tab_Data_Flows[[#This Row],[Flow_Data_Year]]</f>
        <v>F_00_02_CC_2069</v>
      </c>
      <c r="AE121" s="7">
        <f>IF(F121="Yes",AC121*Tab_Data_Flows[[#This Row],[Flow_Material]]*Tab_Data_Flows[[#This Row],[DM_'[%']]],"N.A.")</f>
        <v>165409.85702789549</v>
      </c>
      <c r="AF121" s="7" t="str">
        <f>Tab_Data_Flows[[#This Row],[UoM_Flow_Py]]</f>
        <v>Mg</v>
      </c>
      <c r="AG121"/>
    </row>
    <row r="122" spans="1:33" x14ac:dyDescent="0.25">
      <c r="A122" s="9">
        <f t="shared" si="1"/>
        <v>121</v>
      </c>
      <c r="B122" s="7" t="str">
        <f>_xlfn.XLOOKUP(C122,Tab_Def_Flows[Flow_Name],Tab_Def_Flows[Flow_ID],,0,)</f>
        <v>F_00_02</v>
      </c>
      <c r="C122" s="142" t="s">
        <v>588</v>
      </c>
      <c r="D122" s="10" t="str">
        <f>_xlfn.XLOOKUP(C122,Tab_Def_Flows[Flow_Name],Tab_Def_Flows[WC?],,0,)</f>
        <v>Yes</v>
      </c>
      <c r="E122" s="10" t="str">
        <f>_xlfn.XLOOKUP(C122,Tab_Def_Flows[Flow_Name],Tab_Def_Flows[DM?],,0,)</f>
        <v>Yes</v>
      </c>
      <c r="F122" s="10" t="str">
        <f>_xlfn.XLOOKUP(C122,Tab_Def_Flows[Flow_Name],Tab_Def_Flows[CC?],,0,)</f>
        <v>Yes</v>
      </c>
      <c r="G122" s="8">
        <v>2070</v>
      </c>
      <c r="H122" s="23">
        <v>198511.20921759919</v>
      </c>
      <c r="I122" s="8" t="s">
        <v>198</v>
      </c>
      <c r="J122" s="15"/>
      <c r="K122" s="15"/>
      <c r="L122" s="15"/>
      <c r="M122" s="15"/>
      <c r="N122" s="15"/>
      <c r="O122" s="8" t="s">
        <v>6</v>
      </c>
      <c r="P122" s="16"/>
      <c r="Q122" s="8"/>
      <c r="R122" s="7" t="str">
        <f>Tab_Data_Flows[[#This Row],[Flow_ID]]&amp;"_"&amp;"material_"&amp;Tab_Data_Flows[[#This Row],[Flow_Data_Year]]</f>
        <v>F_00_02_material_2070</v>
      </c>
      <c r="S122" s="14">
        <f>IF(O122="no",H122,H122*P122)</f>
        <v>198511.20921759919</v>
      </c>
      <c r="T122" s="8" t="s">
        <v>198</v>
      </c>
      <c r="U122" s="143">
        <f>INDEX(Tab_Def_Flows[[Flow_ID]:[CC_DM_source]],MATCH(Tab_Data_Flows[[#This Row],[Flow_Name]],Tab_Def_Flows[Flow_Name],0),11)</f>
        <v>0</v>
      </c>
      <c r="V122" s="7" t="str">
        <f>Tab_Data_Flows[[#This Row],[Flow_ID]]&amp;"_"&amp;"WC_"&amp;Tab_Data_Flows[[#This Row],[Flow_Data_Year]]</f>
        <v>F_00_02_WC_2070</v>
      </c>
      <c r="W122" s="7">
        <f>IF(D122="Yes",S122*Tab_Data_Flows[[#This Row],[WC_'[%']]],"N.A.")</f>
        <v>0</v>
      </c>
      <c r="X122" s="7" t="str">
        <f>Tab_Data_Flows[[#This Row],[UoM_Flow_Py]]</f>
        <v>Mg</v>
      </c>
      <c r="Y122" s="143">
        <f>INDEX(Tab_Def_Flows[[Flow_ID]:[CC_DM_source]],MATCH(Tab_Data_Flows[[#This Row],[Flow_Name]],Tab_Def_Flows[Flow_Name],0),14)</f>
        <v>1</v>
      </c>
      <c r="Z122" s="7" t="str">
        <f>Tab_Data_Flows[[#This Row],[Flow_ID]]&amp;"_"&amp;"DM_"&amp;Tab_Data_Flows[[#This Row],[Flow_Data_Year]]</f>
        <v>F_00_02_DM_2070</v>
      </c>
      <c r="AA122" s="7">
        <f>IF(E122="Yes",Y122*Tab_Data_Flows[[#This Row],[Flow_Material]],"N.A.")</f>
        <v>198511.20921759919</v>
      </c>
      <c r="AB122" s="7" t="str">
        <f>Tab_Data_Flows[[#This Row],[UoM_Flow_Py]]</f>
        <v>Mg</v>
      </c>
      <c r="AC122" s="143">
        <f>INDEX(Tab_Def_Flows[[Flow_ID]:[CC_DM_source]],MATCH(Tab_Data_Flows[[#This Row],[Flow_Name]],Tab_Def_Flows[Flow_Name],0),17)</f>
        <v>1</v>
      </c>
      <c r="AD122" s="7" t="str">
        <f>Tab_Data_Flows[[#This Row],[Flow_ID]]&amp;"_"&amp;"CC_"&amp;Tab_Data_Flows[[#This Row],[Flow_Data_Year]]</f>
        <v>F_00_02_CC_2070</v>
      </c>
      <c r="AE122" s="7">
        <f>IF(F122="Yes",AC122*Tab_Data_Flows[[#This Row],[Flow_Material]]*Tab_Data_Flows[[#This Row],[DM_'[%']]],"N.A.")</f>
        <v>198511.20921759919</v>
      </c>
      <c r="AF122" s="7" t="str">
        <f>Tab_Data_Flows[[#This Row],[UoM_Flow_Py]]</f>
        <v>Mg</v>
      </c>
      <c r="AG122"/>
    </row>
    <row r="123" spans="1:33" x14ac:dyDescent="0.25">
      <c r="A123" s="9">
        <f t="shared" si="1"/>
        <v>122</v>
      </c>
      <c r="B123" s="7" t="str">
        <f>_xlfn.XLOOKUP(C123,Tab_Def_Flows[Flow_Name],Tab_Def_Flows[Flow_ID],,0,)</f>
        <v>F_00_02</v>
      </c>
      <c r="C123" s="142" t="s">
        <v>588</v>
      </c>
      <c r="D123" s="10" t="str">
        <f>_xlfn.XLOOKUP(C123,Tab_Def_Flows[Flow_Name],Tab_Def_Flows[WC?],,0,)</f>
        <v>Yes</v>
      </c>
      <c r="E123" s="10" t="str">
        <f>_xlfn.XLOOKUP(C123,Tab_Def_Flows[Flow_Name],Tab_Def_Flows[DM?],,0,)</f>
        <v>Yes</v>
      </c>
      <c r="F123" s="10" t="str">
        <f>_xlfn.XLOOKUP(C123,Tab_Def_Flows[Flow_Name],Tab_Def_Flows[CC?],,0,)</f>
        <v>Yes</v>
      </c>
      <c r="G123" s="8">
        <v>2071</v>
      </c>
      <c r="H123" s="23">
        <v>132849.42867908836</v>
      </c>
      <c r="I123" s="8" t="s">
        <v>198</v>
      </c>
      <c r="J123" s="15"/>
      <c r="K123" s="15"/>
      <c r="L123" s="15"/>
      <c r="M123" s="15"/>
      <c r="N123" s="15"/>
      <c r="O123" s="8" t="s">
        <v>6</v>
      </c>
      <c r="P123" s="16"/>
      <c r="Q123" s="8"/>
      <c r="R123" s="7" t="str">
        <f>Tab_Data_Flows[[#This Row],[Flow_ID]]&amp;"_"&amp;"material_"&amp;Tab_Data_Flows[[#This Row],[Flow_Data_Year]]</f>
        <v>F_00_02_material_2071</v>
      </c>
      <c r="S123" s="14">
        <f>IF(O123="no",H123,H123*P123)</f>
        <v>132849.42867908836</v>
      </c>
      <c r="T123" s="8" t="s">
        <v>198</v>
      </c>
      <c r="U123" s="143">
        <f>INDEX(Tab_Def_Flows[[Flow_ID]:[CC_DM_source]],MATCH(Tab_Data_Flows[[#This Row],[Flow_Name]],Tab_Def_Flows[Flow_Name],0),11)</f>
        <v>0</v>
      </c>
      <c r="V123" s="7" t="str">
        <f>Tab_Data_Flows[[#This Row],[Flow_ID]]&amp;"_"&amp;"WC_"&amp;Tab_Data_Flows[[#This Row],[Flow_Data_Year]]</f>
        <v>F_00_02_WC_2071</v>
      </c>
      <c r="W123" s="7">
        <f>IF(D123="Yes",S123*Tab_Data_Flows[[#This Row],[WC_'[%']]],"N.A.")</f>
        <v>0</v>
      </c>
      <c r="X123" s="7" t="str">
        <f>Tab_Data_Flows[[#This Row],[UoM_Flow_Py]]</f>
        <v>Mg</v>
      </c>
      <c r="Y123" s="143">
        <f>INDEX(Tab_Def_Flows[[Flow_ID]:[CC_DM_source]],MATCH(Tab_Data_Flows[[#This Row],[Flow_Name]],Tab_Def_Flows[Flow_Name],0),14)</f>
        <v>1</v>
      </c>
      <c r="Z123" s="7" t="str">
        <f>Tab_Data_Flows[[#This Row],[Flow_ID]]&amp;"_"&amp;"DM_"&amp;Tab_Data_Flows[[#This Row],[Flow_Data_Year]]</f>
        <v>F_00_02_DM_2071</v>
      </c>
      <c r="AA123" s="7">
        <f>IF(E123="Yes",Y123*Tab_Data_Flows[[#This Row],[Flow_Material]],"N.A.")</f>
        <v>132849.42867908836</v>
      </c>
      <c r="AB123" s="7" t="str">
        <f>Tab_Data_Flows[[#This Row],[UoM_Flow_Py]]</f>
        <v>Mg</v>
      </c>
      <c r="AC123" s="143">
        <f>INDEX(Tab_Def_Flows[[Flow_ID]:[CC_DM_source]],MATCH(Tab_Data_Flows[[#This Row],[Flow_Name]],Tab_Def_Flows[Flow_Name],0),17)</f>
        <v>1</v>
      </c>
      <c r="AD123" s="7" t="str">
        <f>Tab_Data_Flows[[#This Row],[Flow_ID]]&amp;"_"&amp;"CC_"&amp;Tab_Data_Flows[[#This Row],[Flow_Data_Year]]</f>
        <v>F_00_02_CC_2071</v>
      </c>
      <c r="AE123" s="7">
        <f>IF(F123="Yes",AC123*Tab_Data_Flows[[#This Row],[Flow_Material]]*Tab_Data_Flows[[#This Row],[DM_'[%']]],"N.A.")</f>
        <v>132849.42867908836</v>
      </c>
      <c r="AF123" s="7" t="str">
        <f>Tab_Data_Flows[[#This Row],[UoM_Flow_Py]]</f>
        <v>Mg</v>
      </c>
      <c r="AG123"/>
    </row>
    <row r="124" spans="1:33" x14ac:dyDescent="0.25">
      <c r="A124" s="9">
        <f t="shared" si="1"/>
        <v>123</v>
      </c>
      <c r="B124" s="7" t="str">
        <f>_xlfn.XLOOKUP(C124,Tab_Def_Flows[Flow_Name],Tab_Def_Flows[Flow_ID],,0,)</f>
        <v>F_00_02</v>
      </c>
      <c r="C124" s="142" t="s">
        <v>588</v>
      </c>
      <c r="D124" s="10" t="str">
        <f>_xlfn.XLOOKUP(C124,Tab_Def_Flows[Flow_Name],Tab_Def_Flows[WC?],,0,)</f>
        <v>Yes</v>
      </c>
      <c r="E124" s="10" t="str">
        <f>_xlfn.XLOOKUP(C124,Tab_Def_Flows[Flow_Name],Tab_Def_Flows[DM?],,0,)</f>
        <v>Yes</v>
      </c>
      <c r="F124" s="10" t="str">
        <f>_xlfn.XLOOKUP(C124,Tab_Def_Flows[Flow_Name],Tab_Def_Flows[CC?],,0,)</f>
        <v>Yes</v>
      </c>
      <c r="G124" s="8">
        <v>2072</v>
      </c>
      <c r="H124" s="23">
        <v>141606.52771773341</v>
      </c>
      <c r="I124" s="8" t="s">
        <v>198</v>
      </c>
      <c r="J124" s="15"/>
      <c r="K124" s="15"/>
      <c r="L124" s="15"/>
      <c r="M124" s="15"/>
      <c r="N124" s="15"/>
      <c r="O124" s="8" t="s">
        <v>6</v>
      </c>
      <c r="P124" s="16"/>
      <c r="Q124" s="8"/>
      <c r="R124" s="7" t="str">
        <f>Tab_Data_Flows[[#This Row],[Flow_ID]]&amp;"_"&amp;"material_"&amp;Tab_Data_Flows[[#This Row],[Flow_Data_Year]]</f>
        <v>F_00_02_material_2072</v>
      </c>
      <c r="S124" s="14">
        <f>IF(O124="no",H124,H124*P124)</f>
        <v>141606.52771773341</v>
      </c>
      <c r="T124" s="8" t="s">
        <v>198</v>
      </c>
      <c r="U124" s="143">
        <f>INDEX(Tab_Def_Flows[[Flow_ID]:[CC_DM_source]],MATCH(Tab_Data_Flows[[#This Row],[Flow_Name]],Tab_Def_Flows[Flow_Name],0),11)</f>
        <v>0</v>
      </c>
      <c r="V124" s="7" t="str">
        <f>Tab_Data_Flows[[#This Row],[Flow_ID]]&amp;"_"&amp;"WC_"&amp;Tab_Data_Flows[[#This Row],[Flow_Data_Year]]</f>
        <v>F_00_02_WC_2072</v>
      </c>
      <c r="W124" s="7">
        <f>IF(D124="Yes",S124*Tab_Data_Flows[[#This Row],[WC_'[%']]],"N.A.")</f>
        <v>0</v>
      </c>
      <c r="X124" s="7" t="str">
        <f>Tab_Data_Flows[[#This Row],[UoM_Flow_Py]]</f>
        <v>Mg</v>
      </c>
      <c r="Y124" s="143">
        <f>INDEX(Tab_Def_Flows[[Flow_ID]:[CC_DM_source]],MATCH(Tab_Data_Flows[[#This Row],[Flow_Name]],Tab_Def_Flows[Flow_Name],0),14)</f>
        <v>1</v>
      </c>
      <c r="Z124" s="7" t="str">
        <f>Tab_Data_Flows[[#This Row],[Flow_ID]]&amp;"_"&amp;"DM_"&amp;Tab_Data_Flows[[#This Row],[Flow_Data_Year]]</f>
        <v>F_00_02_DM_2072</v>
      </c>
      <c r="AA124" s="7">
        <f>IF(E124="Yes",Y124*Tab_Data_Flows[[#This Row],[Flow_Material]],"N.A.")</f>
        <v>141606.52771773341</v>
      </c>
      <c r="AB124" s="7" t="str">
        <f>Tab_Data_Flows[[#This Row],[UoM_Flow_Py]]</f>
        <v>Mg</v>
      </c>
      <c r="AC124" s="143">
        <f>INDEX(Tab_Def_Flows[[Flow_ID]:[CC_DM_source]],MATCH(Tab_Data_Flows[[#This Row],[Flow_Name]],Tab_Def_Flows[Flow_Name],0),17)</f>
        <v>1</v>
      </c>
      <c r="AD124" s="7" t="str">
        <f>Tab_Data_Flows[[#This Row],[Flow_ID]]&amp;"_"&amp;"CC_"&amp;Tab_Data_Flows[[#This Row],[Flow_Data_Year]]</f>
        <v>F_00_02_CC_2072</v>
      </c>
      <c r="AE124" s="7">
        <f>IF(F124="Yes",AC124*Tab_Data_Flows[[#This Row],[Flow_Material]]*Tab_Data_Flows[[#This Row],[DM_'[%']]],"N.A.")</f>
        <v>141606.52771773341</v>
      </c>
      <c r="AF124" s="7" t="str">
        <f>Tab_Data_Flows[[#This Row],[UoM_Flow_Py]]</f>
        <v>Mg</v>
      </c>
      <c r="AG124"/>
    </row>
    <row r="125" spans="1:33" x14ac:dyDescent="0.25">
      <c r="A125" s="9">
        <f t="shared" si="1"/>
        <v>124</v>
      </c>
      <c r="B125" s="7" t="str">
        <f>_xlfn.XLOOKUP(C125,Tab_Def_Flows[Flow_Name],Tab_Def_Flows[Flow_ID],,0,)</f>
        <v>F_00_02</v>
      </c>
      <c r="C125" s="142" t="s">
        <v>588</v>
      </c>
      <c r="D125" s="10" t="str">
        <f>_xlfn.XLOOKUP(C125,Tab_Def_Flows[Flow_Name],Tab_Def_Flows[WC?],,0,)</f>
        <v>Yes</v>
      </c>
      <c r="E125" s="10" t="str">
        <f>_xlfn.XLOOKUP(C125,Tab_Def_Flows[Flow_Name],Tab_Def_Flows[DM?],,0,)</f>
        <v>Yes</v>
      </c>
      <c r="F125" s="10" t="str">
        <f>_xlfn.XLOOKUP(C125,Tab_Def_Flows[Flow_Name],Tab_Def_Flows[CC?],,0,)</f>
        <v>Yes</v>
      </c>
      <c r="G125" s="8">
        <v>2073</v>
      </c>
      <c r="H125" s="23">
        <v>155352.9954799203</v>
      </c>
      <c r="I125" s="8" t="s">
        <v>198</v>
      </c>
      <c r="J125" s="15"/>
      <c r="K125" s="15"/>
      <c r="L125" s="15"/>
      <c r="M125" s="15"/>
      <c r="N125" s="15"/>
      <c r="O125" s="8" t="s">
        <v>6</v>
      </c>
      <c r="P125" s="8"/>
      <c r="Q125" s="8"/>
      <c r="R125" s="7" t="str">
        <f>Tab_Data_Flows[[#This Row],[Flow_ID]]&amp;"_"&amp;"material_"&amp;Tab_Data_Flows[[#This Row],[Flow_Data_Year]]</f>
        <v>F_00_02_material_2073</v>
      </c>
      <c r="S125" s="14">
        <f>IF(O125="no",H125,H125*P125)</f>
        <v>155352.9954799203</v>
      </c>
      <c r="T125" s="8" t="s">
        <v>198</v>
      </c>
      <c r="U125" s="143">
        <f>INDEX(Tab_Def_Flows[[Flow_ID]:[CC_DM_source]],MATCH(Tab_Data_Flows[[#This Row],[Flow_Name]],Tab_Def_Flows[Flow_Name],0),11)</f>
        <v>0</v>
      </c>
      <c r="V125" s="7" t="str">
        <f>Tab_Data_Flows[[#This Row],[Flow_ID]]&amp;"_"&amp;"WC_"&amp;Tab_Data_Flows[[#This Row],[Flow_Data_Year]]</f>
        <v>F_00_02_WC_2073</v>
      </c>
      <c r="W125" s="7">
        <f>IF(D125="Yes",S125*Tab_Data_Flows[[#This Row],[WC_'[%']]],"N.A.")</f>
        <v>0</v>
      </c>
      <c r="X125" s="7" t="str">
        <f>Tab_Data_Flows[[#This Row],[UoM_Flow_Py]]</f>
        <v>Mg</v>
      </c>
      <c r="Y125" s="143">
        <f>INDEX(Tab_Def_Flows[[Flow_ID]:[CC_DM_source]],MATCH(Tab_Data_Flows[[#This Row],[Flow_Name]],Tab_Def_Flows[Flow_Name],0),14)</f>
        <v>1</v>
      </c>
      <c r="Z125" s="7" t="str">
        <f>Tab_Data_Flows[[#This Row],[Flow_ID]]&amp;"_"&amp;"DM_"&amp;Tab_Data_Flows[[#This Row],[Flow_Data_Year]]</f>
        <v>F_00_02_DM_2073</v>
      </c>
      <c r="AA125" s="7">
        <f>IF(E125="Yes",Y125*Tab_Data_Flows[[#This Row],[Flow_Material]],"N.A.")</f>
        <v>155352.9954799203</v>
      </c>
      <c r="AB125" s="7" t="str">
        <f>Tab_Data_Flows[[#This Row],[UoM_Flow_Py]]</f>
        <v>Mg</v>
      </c>
      <c r="AC125" s="143">
        <f>INDEX(Tab_Def_Flows[[Flow_ID]:[CC_DM_source]],MATCH(Tab_Data_Flows[[#This Row],[Flow_Name]],Tab_Def_Flows[Flow_Name],0),17)</f>
        <v>1</v>
      </c>
      <c r="AD125" s="7" t="str">
        <f>Tab_Data_Flows[[#This Row],[Flow_ID]]&amp;"_"&amp;"CC_"&amp;Tab_Data_Flows[[#This Row],[Flow_Data_Year]]</f>
        <v>F_00_02_CC_2073</v>
      </c>
      <c r="AE125" s="7">
        <f>IF(F125="Yes",AC125*Tab_Data_Flows[[#This Row],[Flow_Material]]*Tab_Data_Flows[[#This Row],[DM_'[%']]],"N.A.")</f>
        <v>155352.9954799203</v>
      </c>
      <c r="AF125" s="7" t="str">
        <f>Tab_Data_Flows[[#This Row],[UoM_Flow_Py]]</f>
        <v>Mg</v>
      </c>
      <c r="AG125"/>
    </row>
    <row r="126" spans="1:33" x14ac:dyDescent="0.25">
      <c r="A126" s="9">
        <f t="shared" si="1"/>
        <v>125</v>
      </c>
      <c r="B126" s="7" t="str">
        <f>_xlfn.XLOOKUP(C126,Tab_Def_Flows[Flow_Name],Tab_Def_Flows[Flow_ID],,0,)</f>
        <v>F_00_02</v>
      </c>
      <c r="C126" s="142" t="s">
        <v>588</v>
      </c>
      <c r="D126" s="10" t="str">
        <f>_xlfn.XLOOKUP(C126,Tab_Def_Flows[Flow_Name],Tab_Def_Flows[WC?],,0,)</f>
        <v>Yes</v>
      </c>
      <c r="E126" s="10" t="str">
        <f>_xlfn.XLOOKUP(C126,Tab_Def_Flows[Flow_Name],Tab_Def_Flows[DM?],,0,)</f>
        <v>Yes</v>
      </c>
      <c r="F126" s="10" t="str">
        <f>_xlfn.XLOOKUP(C126,Tab_Def_Flows[Flow_Name],Tab_Def_Flows[CC?],,0,)</f>
        <v>Yes</v>
      </c>
      <c r="G126" s="8">
        <v>2074</v>
      </c>
      <c r="H126" s="23">
        <v>142903.29595770125</v>
      </c>
      <c r="I126" s="8" t="s">
        <v>198</v>
      </c>
      <c r="J126" s="15"/>
      <c r="K126" s="15"/>
      <c r="L126" s="15"/>
      <c r="M126" s="15"/>
      <c r="N126" s="15"/>
      <c r="O126" s="8" t="s">
        <v>6</v>
      </c>
      <c r="P126" s="8"/>
      <c r="Q126" s="8"/>
      <c r="R126" s="7" t="str">
        <f>Tab_Data_Flows[[#This Row],[Flow_ID]]&amp;"_"&amp;"material_"&amp;Tab_Data_Flows[[#This Row],[Flow_Data_Year]]</f>
        <v>F_00_02_material_2074</v>
      </c>
      <c r="S126" s="14">
        <f>IF(O126="no",H126,H126*P126)</f>
        <v>142903.29595770125</v>
      </c>
      <c r="T126" s="8" t="s">
        <v>198</v>
      </c>
      <c r="U126" s="143">
        <f>INDEX(Tab_Def_Flows[[Flow_ID]:[CC_DM_source]],MATCH(Tab_Data_Flows[[#This Row],[Flow_Name]],Tab_Def_Flows[Flow_Name],0),11)</f>
        <v>0</v>
      </c>
      <c r="V126" s="7" t="str">
        <f>Tab_Data_Flows[[#This Row],[Flow_ID]]&amp;"_"&amp;"WC_"&amp;Tab_Data_Flows[[#This Row],[Flow_Data_Year]]</f>
        <v>F_00_02_WC_2074</v>
      </c>
      <c r="W126" s="7">
        <f>IF(D126="Yes",S126*Tab_Data_Flows[[#This Row],[WC_'[%']]],"N.A.")</f>
        <v>0</v>
      </c>
      <c r="X126" s="7" t="str">
        <f>Tab_Data_Flows[[#This Row],[UoM_Flow_Py]]</f>
        <v>Mg</v>
      </c>
      <c r="Y126" s="143">
        <f>INDEX(Tab_Def_Flows[[Flow_ID]:[CC_DM_source]],MATCH(Tab_Data_Flows[[#This Row],[Flow_Name]],Tab_Def_Flows[Flow_Name],0),14)</f>
        <v>1</v>
      </c>
      <c r="Z126" s="7" t="str">
        <f>Tab_Data_Flows[[#This Row],[Flow_ID]]&amp;"_"&amp;"DM_"&amp;Tab_Data_Flows[[#This Row],[Flow_Data_Year]]</f>
        <v>F_00_02_DM_2074</v>
      </c>
      <c r="AA126" s="7">
        <f>IF(E126="Yes",Y126*Tab_Data_Flows[[#This Row],[Flow_Material]],"N.A.")</f>
        <v>142903.29595770125</v>
      </c>
      <c r="AB126" s="7" t="str">
        <f>Tab_Data_Flows[[#This Row],[UoM_Flow_Py]]</f>
        <v>Mg</v>
      </c>
      <c r="AC126" s="143">
        <f>INDEX(Tab_Def_Flows[[Flow_ID]:[CC_DM_source]],MATCH(Tab_Data_Flows[[#This Row],[Flow_Name]],Tab_Def_Flows[Flow_Name],0),17)</f>
        <v>1</v>
      </c>
      <c r="AD126" s="7" t="str">
        <f>Tab_Data_Flows[[#This Row],[Flow_ID]]&amp;"_"&amp;"CC_"&amp;Tab_Data_Flows[[#This Row],[Flow_Data_Year]]</f>
        <v>F_00_02_CC_2074</v>
      </c>
      <c r="AE126" s="7">
        <f>IF(F126="Yes",AC126*Tab_Data_Flows[[#This Row],[Flow_Material]]*Tab_Data_Flows[[#This Row],[DM_'[%']]],"N.A.")</f>
        <v>142903.29595770125</v>
      </c>
      <c r="AF126" s="7" t="str">
        <f>Tab_Data_Flows[[#This Row],[UoM_Flow_Py]]</f>
        <v>Mg</v>
      </c>
      <c r="AG126"/>
    </row>
    <row r="127" spans="1:33" x14ac:dyDescent="0.25">
      <c r="A127" s="9">
        <f t="shared" si="1"/>
        <v>126</v>
      </c>
      <c r="B127" s="7" t="str">
        <f>_xlfn.XLOOKUP(C127,Tab_Def_Flows[Flow_Name],Tab_Def_Flows[Flow_ID],,0,)</f>
        <v>F_00_02</v>
      </c>
      <c r="C127" s="142" t="s">
        <v>588</v>
      </c>
      <c r="D127" s="10" t="str">
        <f>_xlfn.XLOOKUP(C127,Tab_Def_Flows[Flow_Name],Tab_Def_Flows[WC?],,0,)</f>
        <v>Yes</v>
      </c>
      <c r="E127" s="10" t="str">
        <f>_xlfn.XLOOKUP(C127,Tab_Def_Flows[Flow_Name],Tab_Def_Flows[DM?],,0,)</f>
        <v>Yes</v>
      </c>
      <c r="F127" s="10" t="str">
        <f>_xlfn.XLOOKUP(C127,Tab_Def_Flows[Flow_Name],Tab_Def_Flows[CC?],,0,)</f>
        <v>Yes</v>
      </c>
      <c r="G127" s="8">
        <v>2075</v>
      </c>
      <c r="H127" s="23">
        <v>121287.32991529607</v>
      </c>
      <c r="I127" s="8" t="s">
        <v>198</v>
      </c>
      <c r="J127" s="15"/>
      <c r="K127" s="15"/>
      <c r="L127" s="15"/>
      <c r="M127" s="15"/>
      <c r="N127" s="15"/>
      <c r="O127" s="8" t="s">
        <v>6</v>
      </c>
      <c r="P127" s="8"/>
      <c r="Q127" s="8"/>
      <c r="R127" s="7" t="str">
        <f>Tab_Data_Flows[[#This Row],[Flow_ID]]&amp;"_"&amp;"material_"&amp;Tab_Data_Flows[[#This Row],[Flow_Data_Year]]</f>
        <v>F_00_02_material_2075</v>
      </c>
      <c r="S127" s="14">
        <f>IF(O127="no",H127,H127*P127)</f>
        <v>121287.32991529607</v>
      </c>
      <c r="T127" s="8" t="s">
        <v>198</v>
      </c>
      <c r="U127" s="143">
        <f>INDEX(Tab_Def_Flows[[Flow_ID]:[CC_DM_source]],MATCH(Tab_Data_Flows[[#This Row],[Flow_Name]],Tab_Def_Flows[Flow_Name],0),11)</f>
        <v>0</v>
      </c>
      <c r="V127" s="7" t="str">
        <f>Tab_Data_Flows[[#This Row],[Flow_ID]]&amp;"_"&amp;"WC_"&amp;Tab_Data_Flows[[#This Row],[Flow_Data_Year]]</f>
        <v>F_00_02_WC_2075</v>
      </c>
      <c r="W127" s="7">
        <f>IF(D127="Yes",S127*Tab_Data_Flows[[#This Row],[WC_'[%']]],"N.A.")</f>
        <v>0</v>
      </c>
      <c r="X127" s="7" t="str">
        <f>Tab_Data_Flows[[#This Row],[UoM_Flow_Py]]</f>
        <v>Mg</v>
      </c>
      <c r="Y127" s="143">
        <f>INDEX(Tab_Def_Flows[[Flow_ID]:[CC_DM_source]],MATCH(Tab_Data_Flows[[#This Row],[Flow_Name]],Tab_Def_Flows[Flow_Name],0),14)</f>
        <v>1</v>
      </c>
      <c r="Z127" s="7" t="str">
        <f>Tab_Data_Flows[[#This Row],[Flow_ID]]&amp;"_"&amp;"DM_"&amp;Tab_Data_Flows[[#This Row],[Flow_Data_Year]]</f>
        <v>F_00_02_DM_2075</v>
      </c>
      <c r="AA127" s="7">
        <f>IF(E127="Yes",Y127*Tab_Data_Flows[[#This Row],[Flow_Material]],"N.A.")</f>
        <v>121287.32991529607</v>
      </c>
      <c r="AB127" s="7" t="str">
        <f>Tab_Data_Flows[[#This Row],[UoM_Flow_Py]]</f>
        <v>Mg</v>
      </c>
      <c r="AC127" s="143">
        <f>INDEX(Tab_Def_Flows[[Flow_ID]:[CC_DM_source]],MATCH(Tab_Data_Flows[[#This Row],[Flow_Name]],Tab_Def_Flows[Flow_Name],0),17)</f>
        <v>1</v>
      </c>
      <c r="AD127" s="7" t="str">
        <f>Tab_Data_Flows[[#This Row],[Flow_ID]]&amp;"_"&amp;"CC_"&amp;Tab_Data_Flows[[#This Row],[Flow_Data_Year]]</f>
        <v>F_00_02_CC_2075</v>
      </c>
      <c r="AE127" s="7">
        <f>IF(F127="Yes",AC127*Tab_Data_Flows[[#This Row],[Flow_Material]]*Tab_Data_Flows[[#This Row],[DM_'[%']]],"N.A.")</f>
        <v>121287.32991529607</v>
      </c>
      <c r="AF127" s="7" t="str">
        <f>Tab_Data_Flows[[#This Row],[UoM_Flow_Py]]</f>
        <v>Mg</v>
      </c>
      <c r="AG127"/>
    </row>
    <row r="128" spans="1:33" x14ac:dyDescent="0.25">
      <c r="A128" s="9">
        <f t="shared" si="1"/>
        <v>127</v>
      </c>
      <c r="B128" s="7" t="str">
        <f>_xlfn.XLOOKUP(C128,Tab_Def_Flows[Flow_Name],Tab_Def_Flows[Flow_ID],,0,)</f>
        <v>F_00_02</v>
      </c>
      <c r="C128" s="142" t="s">
        <v>588</v>
      </c>
      <c r="D128" s="10" t="str">
        <f>_xlfn.XLOOKUP(C128,Tab_Def_Flows[Flow_Name],Tab_Def_Flows[WC?],,0,)</f>
        <v>Yes</v>
      </c>
      <c r="E128" s="10" t="str">
        <f>_xlfn.XLOOKUP(C128,Tab_Def_Flows[Flow_Name],Tab_Def_Flows[DM?],,0,)</f>
        <v>Yes</v>
      </c>
      <c r="F128" s="10" t="str">
        <f>_xlfn.XLOOKUP(C128,Tab_Def_Flows[Flow_Name],Tab_Def_Flows[CC?],,0,)</f>
        <v>Yes</v>
      </c>
      <c r="G128" s="8">
        <v>2076</v>
      </c>
      <c r="H128" s="23">
        <v>154711.27142294389</v>
      </c>
      <c r="I128" s="8" t="s">
        <v>198</v>
      </c>
      <c r="J128" s="15"/>
      <c r="K128" s="15"/>
      <c r="L128" s="15"/>
      <c r="M128" s="15"/>
      <c r="N128" s="15"/>
      <c r="O128" s="8" t="s">
        <v>6</v>
      </c>
      <c r="P128" s="8"/>
      <c r="Q128" s="8"/>
      <c r="R128" s="7" t="str">
        <f>Tab_Data_Flows[[#This Row],[Flow_ID]]&amp;"_"&amp;"material_"&amp;Tab_Data_Flows[[#This Row],[Flow_Data_Year]]</f>
        <v>F_00_02_material_2076</v>
      </c>
      <c r="S128" s="14">
        <f>IF(O128="no",H128,H128*P128)</f>
        <v>154711.27142294389</v>
      </c>
      <c r="T128" s="8" t="s">
        <v>198</v>
      </c>
      <c r="U128" s="143">
        <f>INDEX(Tab_Def_Flows[[Flow_ID]:[CC_DM_source]],MATCH(Tab_Data_Flows[[#This Row],[Flow_Name]],Tab_Def_Flows[Flow_Name],0),11)</f>
        <v>0</v>
      </c>
      <c r="V128" s="7" t="str">
        <f>Tab_Data_Flows[[#This Row],[Flow_ID]]&amp;"_"&amp;"WC_"&amp;Tab_Data_Flows[[#This Row],[Flow_Data_Year]]</f>
        <v>F_00_02_WC_2076</v>
      </c>
      <c r="W128" s="7">
        <f>IF(D128="Yes",S128*Tab_Data_Flows[[#This Row],[WC_'[%']]],"N.A.")</f>
        <v>0</v>
      </c>
      <c r="X128" s="7" t="str">
        <f>Tab_Data_Flows[[#This Row],[UoM_Flow_Py]]</f>
        <v>Mg</v>
      </c>
      <c r="Y128" s="143">
        <f>INDEX(Tab_Def_Flows[[Flow_ID]:[CC_DM_source]],MATCH(Tab_Data_Flows[[#This Row],[Flow_Name]],Tab_Def_Flows[Flow_Name],0),14)</f>
        <v>1</v>
      </c>
      <c r="Z128" s="7" t="str">
        <f>Tab_Data_Flows[[#This Row],[Flow_ID]]&amp;"_"&amp;"DM_"&amp;Tab_Data_Flows[[#This Row],[Flow_Data_Year]]</f>
        <v>F_00_02_DM_2076</v>
      </c>
      <c r="AA128" s="7">
        <f>IF(E128="Yes",Y128*Tab_Data_Flows[[#This Row],[Flow_Material]],"N.A.")</f>
        <v>154711.27142294389</v>
      </c>
      <c r="AB128" s="7" t="str">
        <f>Tab_Data_Flows[[#This Row],[UoM_Flow_Py]]</f>
        <v>Mg</v>
      </c>
      <c r="AC128" s="143">
        <f>INDEX(Tab_Def_Flows[[Flow_ID]:[CC_DM_source]],MATCH(Tab_Data_Flows[[#This Row],[Flow_Name]],Tab_Def_Flows[Flow_Name],0),17)</f>
        <v>1</v>
      </c>
      <c r="AD128" s="7" t="str">
        <f>Tab_Data_Flows[[#This Row],[Flow_ID]]&amp;"_"&amp;"CC_"&amp;Tab_Data_Flows[[#This Row],[Flow_Data_Year]]</f>
        <v>F_00_02_CC_2076</v>
      </c>
      <c r="AE128" s="7">
        <f>IF(F128="Yes",AC128*Tab_Data_Flows[[#This Row],[Flow_Material]]*Tab_Data_Flows[[#This Row],[DM_'[%']]],"N.A.")</f>
        <v>154711.27142294389</v>
      </c>
      <c r="AF128" s="7" t="str">
        <f>Tab_Data_Flows[[#This Row],[UoM_Flow_Py]]</f>
        <v>Mg</v>
      </c>
      <c r="AG128"/>
    </row>
    <row r="129" spans="1:33" x14ac:dyDescent="0.25">
      <c r="A129" s="9">
        <f t="shared" si="1"/>
        <v>128</v>
      </c>
      <c r="B129" s="7" t="str">
        <f>_xlfn.XLOOKUP(C129,Tab_Def_Flows[Flow_Name],Tab_Def_Flows[Flow_ID],,0,)</f>
        <v>F_00_02</v>
      </c>
      <c r="C129" s="142" t="s">
        <v>588</v>
      </c>
      <c r="D129" s="10" t="str">
        <f>_xlfn.XLOOKUP(C129,Tab_Def_Flows[Flow_Name],Tab_Def_Flows[WC?],,0,)</f>
        <v>Yes</v>
      </c>
      <c r="E129" s="10" t="str">
        <f>_xlfn.XLOOKUP(C129,Tab_Def_Flows[Flow_Name],Tab_Def_Flows[DM?],,0,)</f>
        <v>Yes</v>
      </c>
      <c r="F129" s="10" t="str">
        <f>_xlfn.XLOOKUP(C129,Tab_Def_Flows[Flow_Name],Tab_Def_Flows[CC?],,0,)</f>
        <v>Yes</v>
      </c>
      <c r="G129" s="8">
        <v>2077</v>
      </c>
      <c r="H129" s="23">
        <v>131368.01200389658</v>
      </c>
      <c r="I129" s="8" t="s">
        <v>198</v>
      </c>
      <c r="J129" s="15"/>
      <c r="K129" s="15"/>
      <c r="L129" s="15"/>
      <c r="M129" s="15"/>
      <c r="N129" s="15"/>
      <c r="O129" s="8" t="s">
        <v>6</v>
      </c>
      <c r="P129" s="8"/>
      <c r="Q129" s="8"/>
      <c r="R129" s="7" t="str">
        <f>Tab_Data_Flows[[#This Row],[Flow_ID]]&amp;"_"&amp;"material_"&amp;Tab_Data_Flows[[#This Row],[Flow_Data_Year]]</f>
        <v>F_00_02_material_2077</v>
      </c>
      <c r="S129" s="14">
        <f>IF(O129="no",H129,H129*P129)</f>
        <v>131368.01200389658</v>
      </c>
      <c r="T129" s="8" t="s">
        <v>198</v>
      </c>
      <c r="U129" s="143">
        <f>INDEX(Tab_Def_Flows[[Flow_ID]:[CC_DM_source]],MATCH(Tab_Data_Flows[[#This Row],[Flow_Name]],Tab_Def_Flows[Flow_Name],0),11)</f>
        <v>0</v>
      </c>
      <c r="V129" s="7" t="str">
        <f>Tab_Data_Flows[[#This Row],[Flow_ID]]&amp;"_"&amp;"WC_"&amp;Tab_Data_Flows[[#This Row],[Flow_Data_Year]]</f>
        <v>F_00_02_WC_2077</v>
      </c>
      <c r="W129" s="7">
        <f>IF(D129="Yes",S129*Tab_Data_Flows[[#This Row],[WC_'[%']]],"N.A.")</f>
        <v>0</v>
      </c>
      <c r="X129" s="7" t="str">
        <f>Tab_Data_Flows[[#This Row],[UoM_Flow_Py]]</f>
        <v>Mg</v>
      </c>
      <c r="Y129" s="143">
        <f>INDEX(Tab_Def_Flows[[Flow_ID]:[CC_DM_source]],MATCH(Tab_Data_Flows[[#This Row],[Flow_Name]],Tab_Def_Flows[Flow_Name],0),14)</f>
        <v>1</v>
      </c>
      <c r="Z129" s="7" t="str">
        <f>Tab_Data_Flows[[#This Row],[Flow_ID]]&amp;"_"&amp;"DM_"&amp;Tab_Data_Flows[[#This Row],[Flow_Data_Year]]</f>
        <v>F_00_02_DM_2077</v>
      </c>
      <c r="AA129" s="7">
        <f>IF(E129="Yes",Y129*Tab_Data_Flows[[#This Row],[Flow_Material]],"N.A.")</f>
        <v>131368.01200389658</v>
      </c>
      <c r="AB129" s="7" t="str">
        <f>Tab_Data_Flows[[#This Row],[UoM_Flow_Py]]</f>
        <v>Mg</v>
      </c>
      <c r="AC129" s="143">
        <f>INDEX(Tab_Def_Flows[[Flow_ID]:[CC_DM_source]],MATCH(Tab_Data_Flows[[#This Row],[Flow_Name]],Tab_Def_Flows[Flow_Name],0),17)</f>
        <v>1</v>
      </c>
      <c r="AD129" s="7" t="str">
        <f>Tab_Data_Flows[[#This Row],[Flow_ID]]&amp;"_"&amp;"CC_"&amp;Tab_Data_Flows[[#This Row],[Flow_Data_Year]]</f>
        <v>F_00_02_CC_2077</v>
      </c>
      <c r="AE129" s="7">
        <f>IF(F129="Yes",AC129*Tab_Data_Flows[[#This Row],[Flow_Material]]*Tab_Data_Flows[[#This Row],[DM_'[%']]],"N.A.")</f>
        <v>131368.01200389658</v>
      </c>
      <c r="AF129" s="7" t="str">
        <f>Tab_Data_Flows[[#This Row],[UoM_Flow_Py]]</f>
        <v>Mg</v>
      </c>
      <c r="AG129"/>
    </row>
    <row r="130" spans="1:33" x14ac:dyDescent="0.25">
      <c r="A130" s="9">
        <f t="shared" si="1"/>
        <v>129</v>
      </c>
      <c r="B130" s="7" t="str">
        <f>_xlfn.XLOOKUP(C130,Tab_Def_Flows[Flow_Name],Tab_Def_Flows[Flow_ID],,0,)</f>
        <v>F_00_02</v>
      </c>
      <c r="C130" s="142" t="s">
        <v>588</v>
      </c>
      <c r="D130" s="10" t="str">
        <f>_xlfn.XLOOKUP(C130,Tab_Def_Flows[Flow_Name],Tab_Def_Flows[WC?],,0,)</f>
        <v>Yes</v>
      </c>
      <c r="E130" s="10" t="str">
        <f>_xlfn.XLOOKUP(C130,Tab_Def_Flows[Flow_Name],Tab_Def_Flows[DM?],,0,)</f>
        <v>Yes</v>
      </c>
      <c r="F130" s="10" t="str">
        <f>_xlfn.XLOOKUP(C130,Tab_Def_Flows[Flow_Name],Tab_Def_Flows[CC?],,0,)</f>
        <v>Yes</v>
      </c>
      <c r="G130" s="8">
        <v>2078</v>
      </c>
      <c r="H130" s="23">
        <v>163071.85694169119</v>
      </c>
      <c r="I130" s="8" t="s">
        <v>198</v>
      </c>
      <c r="J130" s="15"/>
      <c r="K130" s="15"/>
      <c r="L130" s="15"/>
      <c r="M130" s="15"/>
      <c r="N130" s="15"/>
      <c r="O130" s="8" t="s">
        <v>6</v>
      </c>
      <c r="P130" s="8"/>
      <c r="Q130" s="8"/>
      <c r="R130" s="7" t="str">
        <f>Tab_Data_Flows[[#This Row],[Flow_ID]]&amp;"_"&amp;"material_"&amp;Tab_Data_Flows[[#This Row],[Flow_Data_Year]]</f>
        <v>F_00_02_material_2078</v>
      </c>
      <c r="S130" s="14">
        <f>IF(O130="no",H130,H130*P130)</f>
        <v>163071.85694169119</v>
      </c>
      <c r="T130" s="8" t="s">
        <v>198</v>
      </c>
      <c r="U130" s="143">
        <f>INDEX(Tab_Def_Flows[[Flow_ID]:[CC_DM_source]],MATCH(Tab_Data_Flows[[#This Row],[Flow_Name]],Tab_Def_Flows[Flow_Name],0),11)</f>
        <v>0</v>
      </c>
      <c r="V130" s="7" t="str">
        <f>Tab_Data_Flows[[#This Row],[Flow_ID]]&amp;"_"&amp;"WC_"&amp;Tab_Data_Flows[[#This Row],[Flow_Data_Year]]</f>
        <v>F_00_02_WC_2078</v>
      </c>
      <c r="W130" s="7">
        <f>IF(D130="Yes",S130*Tab_Data_Flows[[#This Row],[WC_'[%']]],"N.A.")</f>
        <v>0</v>
      </c>
      <c r="X130" s="7" t="str">
        <f>Tab_Data_Flows[[#This Row],[UoM_Flow_Py]]</f>
        <v>Mg</v>
      </c>
      <c r="Y130" s="143">
        <f>INDEX(Tab_Def_Flows[[Flow_ID]:[CC_DM_source]],MATCH(Tab_Data_Flows[[#This Row],[Flow_Name]],Tab_Def_Flows[Flow_Name],0),14)</f>
        <v>1</v>
      </c>
      <c r="Z130" s="7" t="str">
        <f>Tab_Data_Flows[[#This Row],[Flow_ID]]&amp;"_"&amp;"DM_"&amp;Tab_Data_Flows[[#This Row],[Flow_Data_Year]]</f>
        <v>F_00_02_DM_2078</v>
      </c>
      <c r="AA130" s="7">
        <f>IF(E130="Yes",Y130*Tab_Data_Flows[[#This Row],[Flow_Material]],"N.A.")</f>
        <v>163071.85694169119</v>
      </c>
      <c r="AB130" s="7" t="str">
        <f>Tab_Data_Flows[[#This Row],[UoM_Flow_Py]]</f>
        <v>Mg</v>
      </c>
      <c r="AC130" s="143">
        <f>INDEX(Tab_Def_Flows[[Flow_ID]:[CC_DM_source]],MATCH(Tab_Data_Flows[[#This Row],[Flow_Name]],Tab_Def_Flows[Flow_Name],0),17)</f>
        <v>1</v>
      </c>
      <c r="AD130" s="7" t="str">
        <f>Tab_Data_Flows[[#This Row],[Flow_ID]]&amp;"_"&amp;"CC_"&amp;Tab_Data_Flows[[#This Row],[Flow_Data_Year]]</f>
        <v>F_00_02_CC_2078</v>
      </c>
      <c r="AE130" s="7">
        <f>IF(F130="Yes",AC130*Tab_Data_Flows[[#This Row],[Flow_Material]]*Tab_Data_Flows[[#This Row],[DM_'[%']]],"N.A.")</f>
        <v>163071.85694169119</v>
      </c>
      <c r="AF130" s="7" t="str">
        <f>Tab_Data_Flows[[#This Row],[UoM_Flow_Py]]</f>
        <v>Mg</v>
      </c>
      <c r="AG130"/>
    </row>
    <row r="131" spans="1:33" x14ac:dyDescent="0.25">
      <c r="A131" s="9">
        <f t="shared" ref="A131:A194" si="2">ROW()-1</f>
        <v>130</v>
      </c>
      <c r="B131" s="7" t="str">
        <f>_xlfn.XLOOKUP(C131,Tab_Def_Flows[Flow_Name],Tab_Def_Flows[Flow_ID],,0,)</f>
        <v>F_00_02</v>
      </c>
      <c r="C131" s="142" t="s">
        <v>588</v>
      </c>
      <c r="D131" s="10" t="str">
        <f>_xlfn.XLOOKUP(C131,Tab_Def_Flows[Flow_Name],Tab_Def_Flows[WC?],,0,)</f>
        <v>Yes</v>
      </c>
      <c r="E131" s="10" t="str">
        <f>_xlfn.XLOOKUP(C131,Tab_Def_Flows[Flow_Name],Tab_Def_Flows[DM?],,0,)</f>
        <v>Yes</v>
      </c>
      <c r="F131" s="10" t="str">
        <f>_xlfn.XLOOKUP(C131,Tab_Def_Flows[Flow_Name],Tab_Def_Flows[CC?],,0,)</f>
        <v>Yes</v>
      </c>
      <c r="G131" s="8">
        <v>2079</v>
      </c>
      <c r="H131" s="23">
        <v>134317.31875178256</v>
      </c>
      <c r="I131" s="8" t="s">
        <v>198</v>
      </c>
      <c r="J131" s="15"/>
      <c r="K131" s="15"/>
      <c r="L131" s="15"/>
      <c r="M131" s="15"/>
      <c r="N131" s="15"/>
      <c r="O131" s="8" t="s">
        <v>6</v>
      </c>
      <c r="P131" s="8"/>
      <c r="Q131" s="8"/>
      <c r="R131" s="7" t="str">
        <f>Tab_Data_Flows[[#This Row],[Flow_ID]]&amp;"_"&amp;"material_"&amp;Tab_Data_Flows[[#This Row],[Flow_Data_Year]]</f>
        <v>F_00_02_material_2079</v>
      </c>
      <c r="S131" s="14">
        <f>IF(O131="no",H131,H131*P131)</f>
        <v>134317.31875178256</v>
      </c>
      <c r="T131" s="8" t="s">
        <v>198</v>
      </c>
      <c r="U131" s="143">
        <f>INDEX(Tab_Def_Flows[[Flow_ID]:[CC_DM_source]],MATCH(Tab_Data_Flows[[#This Row],[Flow_Name]],Tab_Def_Flows[Flow_Name],0),11)</f>
        <v>0</v>
      </c>
      <c r="V131" s="7" t="str">
        <f>Tab_Data_Flows[[#This Row],[Flow_ID]]&amp;"_"&amp;"WC_"&amp;Tab_Data_Flows[[#This Row],[Flow_Data_Year]]</f>
        <v>F_00_02_WC_2079</v>
      </c>
      <c r="W131" s="7">
        <f>IF(D131="Yes",S131*Tab_Data_Flows[[#This Row],[WC_'[%']]],"N.A.")</f>
        <v>0</v>
      </c>
      <c r="X131" s="7" t="str">
        <f>Tab_Data_Flows[[#This Row],[UoM_Flow_Py]]</f>
        <v>Mg</v>
      </c>
      <c r="Y131" s="143">
        <f>INDEX(Tab_Def_Flows[[Flow_ID]:[CC_DM_source]],MATCH(Tab_Data_Flows[[#This Row],[Flow_Name]],Tab_Def_Flows[Flow_Name],0),14)</f>
        <v>1</v>
      </c>
      <c r="Z131" s="7" t="str">
        <f>Tab_Data_Flows[[#This Row],[Flow_ID]]&amp;"_"&amp;"DM_"&amp;Tab_Data_Flows[[#This Row],[Flow_Data_Year]]</f>
        <v>F_00_02_DM_2079</v>
      </c>
      <c r="AA131" s="7">
        <f>IF(E131="Yes",Y131*Tab_Data_Flows[[#This Row],[Flow_Material]],"N.A.")</f>
        <v>134317.31875178256</v>
      </c>
      <c r="AB131" s="7" t="str">
        <f>Tab_Data_Flows[[#This Row],[UoM_Flow_Py]]</f>
        <v>Mg</v>
      </c>
      <c r="AC131" s="143">
        <f>INDEX(Tab_Def_Flows[[Flow_ID]:[CC_DM_source]],MATCH(Tab_Data_Flows[[#This Row],[Flow_Name]],Tab_Def_Flows[Flow_Name],0),17)</f>
        <v>1</v>
      </c>
      <c r="AD131" s="7" t="str">
        <f>Tab_Data_Flows[[#This Row],[Flow_ID]]&amp;"_"&amp;"CC_"&amp;Tab_Data_Flows[[#This Row],[Flow_Data_Year]]</f>
        <v>F_00_02_CC_2079</v>
      </c>
      <c r="AE131" s="7">
        <f>IF(F131="Yes",AC131*Tab_Data_Flows[[#This Row],[Flow_Material]]*Tab_Data_Flows[[#This Row],[DM_'[%']]],"N.A.")</f>
        <v>134317.31875178256</v>
      </c>
      <c r="AF131" s="7" t="str">
        <f>Tab_Data_Flows[[#This Row],[UoM_Flow_Py]]</f>
        <v>Mg</v>
      </c>
      <c r="AG131"/>
    </row>
    <row r="132" spans="1:33" x14ac:dyDescent="0.25">
      <c r="A132" s="9">
        <f t="shared" si="2"/>
        <v>131</v>
      </c>
      <c r="B132" s="7" t="str">
        <f>_xlfn.XLOOKUP(C132,Tab_Def_Flows[Flow_Name],Tab_Def_Flows[Flow_ID],,0,)</f>
        <v>F_00_02</v>
      </c>
      <c r="C132" s="142" t="s">
        <v>588</v>
      </c>
      <c r="D132" s="10" t="str">
        <f>_xlfn.XLOOKUP(C132,Tab_Def_Flows[Flow_Name],Tab_Def_Flows[WC?],,0,)</f>
        <v>Yes</v>
      </c>
      <c r="E132" s="10" t="str">
        <f>_xlfn.XLOOKUP(C132,Tab_Def_Flows[Flow_Name],Tab_Def_Flows[DM?],,0,)</f>
        <v>Yes</v>
      </c>
      <c r="F132" s="10" t="str">
        <f>_xlfn.XLOOKUP(C132,Tab_Def_Flows[Flow_Name],Tab_Def_Flows[CC?],,0,)</f>
        <v>Yes</v>
      </c>
      <c r="G132" s="8">
        <v>2080</v>
      </c>
      <c r="H132" s="23">
        <v>185289.62158752198</v>
      </c>
      <c r="I132" s="8" t="s">
        <v>198</v>
      </c>
      <c r="J132" s="15"/>
      <c r="K132" s="15"/>
      <c r="L132" s="15"/>
      <c r="M132" s="15"/>
      <c r="N132" s="15"/>
      <c r="O132" s="8" t="s">
        <v>6</v>
      </c>
      <c r="P132" s="8"/>
      <c r="Q132" s="8"/>
      <c r="R132" s="7" t="str">
        <f>Tab_Data_Flows[[#This Row],[Flow_ID]]&amp;"_"&amp;"material_"&amp;Tab_Data_Flows[[#This Row],[Flow_Data_Year]]</f>
        <v>F_00_02_material_2080</v>
      </c>
      <c r="S132" s="14">
        <f>IF(O132="no",H132,H132*P132)</f>
        <v>185289.62158752198</v>
      </c>
      <c r="T132" s="8" t="s">
        <v>198</v>
      </c>
      <c r="U132" s="143">
        <f>INDEX(Tab_Def_Flows[[Flow_ID]:[CC_DM_source]],MATCH(Tab_Data_Flows[[#This Row],[Flow_Name]],Tab_Def_Flows[Flow_Name],0),11)</f>
        <v>0</v>
      </c>
      <c r="V132" s="7" t="str">
        <f>Tab_Data_Flows[[#This Row],[Flow_ID]]&amp;"_"&amp;"WC_"&amp;Tab_Data_Flows[[#This Row],[Flow_Data_Year]]</f>
        <v>F_00_02_WC_2080</v>
      </c>
      <c r="W132" s="7">
        <f>IF(D132="Yes",S132*Tab_Data_Flows[[#This Row],[WC_'[%']]],"N.A.")</f>
        <v>0</v>
      </c>
      <c r="X132" s="7" t="str">
        <f>Tab_Data_Flows[[#This Row],[UoM_Flow_Py]]</f>
        <v>Mg</v>
      </c>
      <c r="Y132" s="143">
        <f>INDEX(Tab_Def_Flows[[Flow_ID]:[CC_DM_source]],MATCH(Tab_Data_Flows[[#This Row],[Flow_Name]],Tab_Def_Flows[Flow_Name],0),14)</f>
        <v>1</v>
      </c>
      <c r="Z132" s="7" t="str">
        <f>Tab_Data_Flows[[#This Row],[Flow_ID]]&amp;"_"&amp;"DM_"&amp;Tab_Data_Flows[[#This Row],[Flow_Data_Year]]</f>
        <v>F_00_02_DM_2080</v>
      </c>
      <c r="AA132" s="7">
        <f>IF(E132="Yes",Y132*Tab_Data_Flows[[#This Row],[Flow_Material]],"N.A.")</f>
        <v>185289.62158752198</v>
      </c>
      <c r="AB132" s="7" t="str">
        <f>Tab_Data_Flows[[#This Row],[UoM_Flow_Py]]</f>
        <v>Mg</v>
      </c>
      <c r="AC132" s="143">
        <f>INDEX(Tab_Def_Flows[[Flow_ID]:[CC_DM_source]],MATCH(Tab_Data_Flows[[#This Row],[Flow_Name]],Tab_Def_Flows[Flow_Name],0),17)</f>
        <v>1</v>
      </c>
      <c r="AD132" s="7" t="str">
        <f>Tab_Data_Flows[[#This Row],[Flow_ID]]&amp;"_"&amp;"CC_"&amp;Tab_Data_Flows[[#This Row],[Flow_Data_Year]]</f>
        <v>F_00_02_CC_2080</v>
      </c>
      <c r="AE132" s="7">
        <f>IF(F132="Yes",AC132*Tab_Data_Flows[[#This Row],[Flow_Material]]*Tab_Data_Flows[[#This Row],[DM_'[%']]],"N.A.")</f>
        <v>185289.62158752198</v>
      </c>
      <c r="AF132" s="7" t="str">
        <f>Tab_Data_Flows[[#This Row],[UoM_Flow_Py]]</f>
        <v>Mg</v>
      </c>
      <c r="AG132"/>
    </row>
    <row r="133" spans="1:33" x14ac:dyDescent="0.25">
      <c r="A133" s="9">
        <f t="shared" si="2"/>
        <v>132</v>
      </c>
      <c r="B133" s="7" t="str">
        <f>_xlfn.XLOOKUP(C133,Tab_Def_Flows[Flow_Name],Tab_Def_Flows[Flow_ID],,0,)</f>
        <v>F_00_02</v>
      </c>
      <c r="C133" s="142" t="s">
        <v>588</v>
      </c>
      <c r="D133" s="10" t="str">
        <f>_xlfn.XLOOKUP(C133,Tab_Def_Flows[Flow_Name],Tab_Def_Flows[WC?],,0,)</f>
        <v>Yes</v>
      </c>
      <c r="E133" s="10" t="str">
        <f>_xlfn.XLOOKUP(C133,Tab_Def_Flows[Flow_Name],Tab_Def_Flows[DM?],,0,)</f>
        <v>Yes</v>
      </c>
      <c r="F133" s="10" t="str">
        <f>_xlfn.XLOOKUP(C133,Tab_Def_Flows[Flow_Name],Tab_Def_Flows[CC?],,0,)</f>
        <v>Yes</v>
      </c>
      <c r="G133" s="8">
        <v>2081</v>
      </c>
      <c r="H133" s="23">
        <v>137128.14840507865</v>
      </c>
      <c r="I133" s="8" t="s">
        <v>198</v>
      </c>
      <c r="J133" s="15"/>
      <c r="K133" s="15"/>
      <c r="L133" s="15"/>
      <c r="M133" s="15"/>
      <c r="N133" s="15"/>
      <c r="O133" s="8" t="s">
        <v>6</v>
      </c>
      <c r="P133" s="8"/>
      <c r="Q133" s="8"/>
      <c r="R133" s="7" t="str">
        <f>Tab_Data_Flows[[#This Row],[Flow_ID]]&amp;"_"&amp;"material_"&amp;Tab_Data_Flows[[#This Row],[Flow_Data_Year]]</f>
        <v>F_00_02_material_2081</v>
      </c>
      <c r="S133" s="14">
        <f>IF(O133="no",H133,H133*P133)</f>
        <v>137128.14840507865</v>
      </c>
      <c r="T133" s="8" t="s">
        <v>198</v>
      </c>
      <c r="U133" s="143">
        <f>INDEX(Tab_Def_Flows[[Flow_ID]:[CC_DM_source]],MATCH(Tab_Data_Flows[[#This Row],[Flow_Name]],Tab_Def_Flows[Flow_Name],0),11)</f>
        <v>0</v>
      </c>
      <c r="V133" s="7" t="str">
        <f>Tab_Data_Flows[[#This Row],[Flow_ID]]&amp;"_"&amp;"WC_"&amp;Tab_Data_Flows[[#This Row],[Flow_Data_Year]]</f>
        <v>F_00_02_WC_2081</v>
      </c>
      <c r="W133" s="7">
        <f>IF(D133="Yes",S133*Tab_Data_Flows[[#This Row],[WC_'[%']]],"N.A.")</f>
        <v>0</v>
      </c>
      <c r="X133" s="7" t="str">
        <f>Tab_Data_Flows[[#This Row],[UoM_Flow_Py]]</f>
        <v>Mg</v>
      </c>
      <c r="Y133" s="143">
        <f>INDEX(Tab_Def_Flows[[Flow_ID]:[CC_DM_source]],MATCH(Tab_Data_Flows[[#This Row],[Flow_Name]],Tab_Def_Flows[Flow_Name],0),14)</f>
        <v>1</v>
      </c>
      <c r="Z133" s="7" t="str">
        <f>Tab_Data_Flows[[#This Row],[Flow_ID]]&amp;"_"&amp;"DM_"&amp;Tab_Data_Flows[[#This Row],[Flow_Data_Year]]</f>
        <v>F_00_02_DM_2081</v>
      </c>
      <c r="AA133" s="7">
        <f>IF(E133="Yes",Y133*Tab_Data_Flows[[#This Row],[Flow_Material]],"N.A.")</f>
        <v>137128.14840507865</v>
      </c>
      <c r="AB133" s="7" t="str">
        <f>Tab_Data_Flows[[#This Row],[UoM_Flow_Py]]</f>
        <v>Mg</v>
      </c>
      <c r="AC133" s="143">
        <f>INDEX(Tab_Def_Flows[[Flow_ID]:[CC_DM_source]],MATCH(Tab_Data_Flows[[#This Row],[Flow_Name]],Tab_Def_Flows[Flow_Name],0),17)</f>
        <v>1</v>
      </c>
      <c r="AD133" s="7" t="str">
        <f>Tab_Data_Flows[[#This Row],[Flow_ID]]&amp;"_"&amp;"CC_"&amp;Tab_Data_Flows[[#This Row],[Flow_Data_Year]]</f>
        <v>F_00_02_CC_2081</v>
      </c>
      <c r="AE133" s="7">
        <f>IF(F133="Yes",AC133*Tab_Data_Flows[[#This Row],[Flow_Material]]*Tab_Data_Flows[[#This Row],[DM_'[%']]],"N.A.")</f>
        <v>137128.14840507865</v>
      </c>
      <c r="AF133" s="7" t="str">
        <f>Tab_Data_Flows[[#This Row],[UoM_Flow_Py]]</f>
        <v>Mg</v>
      </c>
      <c r="AG133"/>
    </row>
    <row r="134" spans="1:33" x14ac:dyDescent="0.25">
      <c r="A134" s="9">
        <f t="shared" si="2"/>
        <v>133</v>
      </c>
      <c r="B134" s="7" t="str">
        <f>_xlfn.XLOOKUP(C134,Tab_Def_Flows[Flow_Name],Tab_Def_Flows[Flow_ID],,0,)</f>
        <v>F_00_02</v>
      </c>
      <c r="C134" s="142" t="s">
        <v>588</v>
      </c>
      <c r="D134" s="10" t="str">
        <f>_xlfn.XLOOKUP(C134,Tab_Def_Flows[Flow_Name],Tab_Def_Flows[WC?],,0,)</f>
        <v>Yes</v>
      </c>
      <c r="E134" s="10" t="str">
        <f>_xlfn.XLOOKUP(C134,Tab_Def_Flows[Flow_Name],Tab_Def_Flows[DM?],,0,)</f>
        <v>Yes</v>
      </c>
      <c r="F134" s="10" t="str">
        <f>_xlfn.XLOOKUP(C134,Tab_Def_Flows[Flow_Name],Tab_Def_Flows[CC?],,0,)</f>
        <v>Yes</v>
      </c>
      <c r="G134" s="8">
        <v>2082</v>
      </c>
      <c r="H134" s="23">
        <v>146648.03203178695</v>
      </c>
      <c r="I134" s="8" t="s">
        <v>198</v>
      </c>
      <c r="J134" s="15"/>
      <c r="K134" s="15"/>
      <c r="L134" s="15"/>
      <c r="M134" s="15"/>
      <c r="N134" s="15"/>
      <c r="O134" s="8" t="s">
        <v>6</v>
      </c>
      <c r="P134" s="8"/>
      <c r="Q134" s="8"/>
      <c r="R134" s="7" t="str">
        <f>Tab_Data_Flows[[#This Row],[Flow_ID]]&amp;"_"&amp;"material_"&amp;Tab_Data_Flows[[#This Row],[Flow_Data_Year]]</f>
        <v>F_00_02_material_2082</v>
      </c>
      <c r="S134" s="14">
        <f>IF(O134="no",H134,H134*P134)</f>
        <v>146648.03203178695</v>
      </c>
      <c r="T134" s="8" t="s">
        <v>198</v>
      </c>
      <c r="U134" s="143">
        <f>INDEX(Tab_Def_Flows[[Flow_ID]:[CC_DM_source]],MATCH(Tab_Data_Flows[[#This Row],[Flow_Name]],Tab_Def_Flows[Flow_Name],0),11)</f>
        <v>0</v>
      </c>
      <c r="V134" s="7" t="str">
        <f>Tab_Data_Flows[[#This Row],[Flow_ID]]&amp;"_"&amp;"WC_"&amp;Tab_Data_Flows[[#This Row],[Flow_Data_Year]]</f>
        <v>F_00_02_WC_2082</v>
      </c>
      <c r="W134" s="7">
        <f>IF(D134="Yes",S134*Tab_Data_Flows[[#This Row],[WC_'[%']]],"N.A.")</f>
        <v>0</v>
      </c>
      <c r="X134" s="7" t="str">
        <f>Tab_Data_Flows[[#This Row],[UoM_Flow_Py]]</f>
        <v>Mg</v>
      </c>
      <c r="Y134" s="143">
        <f>INDEX(Tab_Def_Flows[[Flow_ID]:[CC_DM_source]],MATCH(Tab_Data_Flows[[#This Row],[Flow_Name]],Tab_Def_Flows[Flow_Name],0),14)</f>
        <v>1</v>
      </c>
      <c r="Z134" s="7" t="str">
        <f>Tab_Data_Flows[[#This Row],[Flow_ID]]&amp;"_"&amp;"DM_"&amp;Tab_Data_Flows[[#This Row],[Flow_Data_Year]]</f>
        <v>F_00_02_DM_2082</v>
      </c>
      <c r="AA134" s="7">
        <f>IF(E134="Yes",Y134*Tab_Data_Flows[[#This Row],[Flow_Material]],"N.A.")</f>
        <v>146648.03203178695</v>
      </c>
      <c r="AB134" s="7" t="str">
        <f>Tab_Data_Flows[[#This Row],[UoM_Flow_Py]]</f>
        <v>Mg</v>
      </c>
      <c r="AC134" s="143">
        <f>INDEX(Tab_Def_Flows[[Flow_ID]:[CC_DM_source]],MATCH(Tab_Data_Flows[[#This Row],[Flow_Name]],Tab_Def_Flows[Flow_Name],0),17)</f>
        <v>1</v>
      </c>
      <c r="AD134" s="7" t="str">
        <f>Tab_Data_Flows[[#This Row],[Flow_ID]]&amp;"_"&amp;"CC_"&amp;Tab_Data_Flows[[#This Row],[Flow_Data_Year]]</f>
        <v>F_00_02_CC_2082</v>
      </c>
      <c r="AE134" s="7">
        <f>IF(F134="Yes",AC134*Tab_Data_Flows[[#This Row],[Flow_Material]]*Tab_Data_Flows[[#This Row],[DM_'[%']]],"N.A.")</f>
        <v>146648.03203178695</v>
      </c>
      <c r="AF134" s="7" t="str">
        <f>Tab_Data_Flows[[#This Row],[UoM_Flow_Py]]</f>
        <v>Mg</v>
      </c>
      <c r="AG134"/>
    </row>
    <row r="135" spans="1:33" x14ac:dyDescent="0.25">
      <c r="A135" s="9">
        <f t="shared" si="2"/>
        <v>134</v>
      </c>
      <c r="B135" s="7" t="str">
        <f>_xlfn.XLOOKUP(C135,Tab_Def_Flows[Flow_Name],Tab_Def_Flows[Flow_ID],,0,)</f>
        <v>F_00_02</v>
      </c>
      <c r="C135" s="142" t="s">
        <v>588</v>
      </c>
      <c r="D135" s="10" t="str">
        <f>_xlfn.XLOOKUP(C135,Tab_Def_Flows[Flow_Name],Tab_Def_Flows[WC?],,0,)</f>
        <v>Yes</v>
      </c>
      <c r="E135" s="10" t="str">
        <f>_xlfn.XLOOKUP(C135,Tab_Def_Flows[Flow_Name],Tab_Def_Flows[DM?],,0,)</f>
        <v>Yes</v>
      </c>
      <c r="F135" s="10" t="str">
        <f>_xlfn.XLOOKUP(C135,Tab_Def_Flows[Flow_Name],Tab_Def_Flows[CC?],,0,)</f>
        <v>Yes</v>
      </c>
      <c r="G135" s="8">
        <v>2083</v>
      </c>
      <c r="H135" s="23">
        <v>170088.55710641804</v>
      </c>
      <c r="I135" s="8" t="s">
        <v>198</v>
      </c>
      <c r="J135" s="15"/>
      <c r="K135" s="15"/>
      <c r="L135" s="15"/>
      <c r="M135" s="15"/>
      <c r="N135" s="15"/>
      <c r="O135" s="8" t="s">
        <v>6</v>
      </c>
      <c r="P135" s="8"/>
      <c r="Q135" s="8"/>
      <c r="R135" s="7" t="str">
        <f>Tab_Data_Flows[[#This Row],[Flow_ID]]&amp;"_"&amp;"material_"&amp;Tab_Data_Flows[[#This Row],[Flow_Data_Year]]</f>
        <v>F_00_02_material_2083</v>
      </c>
      <c r="S135" s="14">
        <f>IF(O135="no",H135,H135*P135)</f>
        <v>170088.55710641804</v>
      </c>
      <c r="T135" s="8" t="s">
        <v>198</v>
      </c>
      <c r="U135" s="143">
        <f>INDEX(Tab_Def_Flows[[Flow_ID]:[CC_DM_source]],MATCH(Tab_Data_Flows[[#This Row],[Flow_Name]],Tab_Def_Flows[Flow_Name],0),11)</f>
        <v>0</v>
      </c>
      <c r="V135" s="7" t="str">
        <f>Tab_Data_Flows[[#This Row],[Flow_ID]]&amp;"_"&amp;"WC_"&amp;Tab_Data_Flows[[#This Row],[Flow_Data_Year]]</f>
        <v>F_00_02_WC_2083</v>
      </c>
      <c r="W135" s="7">
        <f>IF(D135="Yes",S135*Tab_Data_Flows[[#This Row],[WC_'[%']]],"N.A.")</f>
        <v>0</v>
      </c>
      <c r="X135" s="7" t="str">
        <f>Tab_Data_Flows[[#This Row],[UoM_Flow_Py]]</f>
        <v>Mg</v>
      </c>
      <c r="Y135" s="143">
        <f>INDEX(Tab_Def_Flows[[Flow_ID]:[CC_DM_source]],MATCH(Tab_Data_Flows[[#This Row],[Flow_Name]],Tab_Def_Flows[Flow_Name],0),14)</f>
        <v>1</v>
      </c>
      <c r="Z135" s="7" t="str">
        <f>Tab_Data_Flows[[#This Row],[Flow_ID]]&amp;"_"&amp;"DM_"&amp;Tab_Data_Flows[[#This Row],[Flow_Data_Year]]</f>
        <v>F_00_02_DM_2083</v>
      </c>
      <c r="AA135" s="7">
        <f>IF(E135="Yes",Y135*Tab_Data_Flows[[#This Row],[Flow_Material]],"N.A.")</f>
        <v>170088.55710641804</v>
      </c>
      <c r="AB135" s="7" t="str">
        <f>Tab_Data_Flows[[#This Row],[UoM_Flow_Py]]</f>
        <v>Mg</v>
      </c>
      <c r="AC135" s="143">
        <f>INDEX(Tab_Def_Flows[[Flow_ID]:[CC_DM_source]],MATCH(Tab_Data_Flows[[#This Row],[Flow_Name]],Tab_Def_Flows[Flow_Name],0),17)</f>
        <v>1</v>
      </c>
      <c r="AD135" s="7" t="str">
        <f>Tab_Data_Flows[[#This Row],[Flow_ID]]&amp;"_"&amp;"CC_"&amp;Tab_Data_Flows[[#This Row],[Flow_Data_Year]]</f>
        <v>F_00_02_CC_2083</v>
      </c>
      <c r="AE135" s="7">
        <f>IF(F135="Yes",AC135*Tab_Data_Flows[[#This Row],[Flow_Material]]*Tab_Data_Flows[[#This Row],[DM_'[%']]],"N.A.")</f>
        <v>170088.55710641804</v>
      </c>
      <c r="AF135" s="7" t="str">
        <f>Tab_Data_Flows[[#This Row],[UoM_Flow_Py]]</f>
        <v>Mg</v>
      </c>
      <c r="AG135"/>
    </row>
    <row r="136" spans="1:33" x14ac:dyDescent="0.25">
      <c r="A136" s="9">
        <f t="shared" si="2"/>
        <v>135</v>
      </c>
      <c r="B136" s="7" t="str">
        <f>_xlfn.XLOOKUP(C136,Tab_Def_Flows[Flow_Name],Tab_Def_Flows[Flow_ID],,0,)</f>
        <v>F_00_02</v>
      </c>
      <c r="C136" s="142" t="s">
        <v>588</v>
      </c>
      <c r="D136" s="10" t="str">
        <f>_xlfn.XLOOKUP(C136,Tab_Def_Flows[Flow_Name],Tab_Def_Flows[WC?],,0,)</f>
        <v>Yes</v>
      </c>
      <c r="E136" s="10" t="str">
        <f>_xlfn.XLOOKUP(C136,Tab_Def_Flows[Flow_Name],Tab_Def_Flows[DM?],,0,)</f>
        <v>Yes</v>
      </c>
      <c r="F136" s="10" t="str">
        <f>_xlfn.XLOOKUP(C136,Tab_Def_Flows[Flow_Name],Tab_Def_Flows[CC?],,0,)</f>
        <v>Yes</v>
      </c>
      <c r="G136" s="8">
        <v>2084</v>
      </c>
      <c r="H136" s="23">
        <v>127888.59757181387</v>
      </c>
      <c r="I136" s="8" t="s">
        <v>198</v>
      </c>
      <c r="J136" s="15"/>
      <c r="K136" s="15"/>
      <c r="L136" s="15"/>
      <c r="M136" s="15"/>
      <c r="N136" s="15"/>
      <c r="O136" s="8" t="s">
        <v>6</v>
      </c>
      <c r="P136" s="8"/>
      <c r="Q136" s="8"/>
      <c r="R136" s="7" t="str">
        <f>Tab_Data_Flows[[#This Row],[Flow_ID]]&amp;"_"&amp;"material_"&amp;Tab_Data_Flows[[#This Row],[Flow_Data_Year]]</f>
        <v>F_00_02_material_2084</v>
      </c>
      <c r="S136" s="14">
        <f>IF(O136="no",H136,H136*P136)</f>
        <v>127888.59757181387</v>
      </c>
      <c r="T136" s="8" t="s">
        <v>198</v>
      </c>
      <c r="U136" s="143">
        <f>INDEX(Tab_Def_Flows[[Flow_ID]:[CC_DM_source]],MATCH(Tab_Data_Flows[[#This Row],[Flow_Name]],Tab_Def_Flows[Flow_Name],0),11)</f>
        <v>0</v>
      </c>
      <c r="V136" s="7" t="str">
        <f>Tab_Data_Flows[[#This Row],[Flow_ID]]&amp;"_"&amp;"WC_"&amp;Tab_Data_Flows[[#This Row],[Flow_Data_Year]]</f>
        <v>F_00_02_WC_2084</v>
      </c>
      <c r="W136" s="7">
        <f>IF(D136="Yes",S136*Tab_Data_Flows[[#This Row],[WC_'[%']]],"N.A.")</f>
        <v>0</v>
      </c>
      <c r="X136" s="7" t="str">
        <f>Tab_Data_Flows[[#This Row],[UoM_Flow_Py]]</f>
        <v>Mg</v>
      </c>
      <c r="Y136" s="143">
        <f>INDEX(Tab_Def_Flows[[Flow_ID]:[CC_DM_source]],MATCH(Tab_Data_Flows[[#This Row],[Flow_Name]],Tab_Def_Flows[Flow_Name],0),14)</f>
        <v>1</v>
      </c>
      <c r="Z136" s="7" t="str">
        <f>Tab_Data_Flows[[#This Row],[Flow_ID]]&amp;"_"&amp;"DM_"&amp;Tab_Data_Flows[[#This Row],[Flow_Data_Year]]</f>
        <v>F_00_02_DM_2084</v>
      </c>
      <c r="AA136" s="7">
        <f>IF(E136="Yes",Y136*Tab_Data_Flows[[#This Row],[Flow_Material]],"N.A.")</f>
        <v>127888.59757181387</v>
      </c>
      <c r="AB136" s="7" t="str">
        <f>Tab_Data_Flows[[#This Row],[UoM_Flow_Py]]</f>
        <v>Mg</v>
      </c>
      <c r="AC136" s="143">
        <f>INDEX(Tab_Def_Flows[[Flow_ID]:[CC_DM_source]],MATCH(Tab_Data_Flows[[#This Row],[Flow_Name]],Tab_Def_Flows[Flow_Name],0),17)</f>
        <v>1</v>
      </c>
      <c r="AD136" s="7" t="str">
        <f>Tab_Data_Flows[[#This Row],[Flow_ID]]&amp;"_"&amp;"CC_"&amp;Tab_Data_Flows[[#This Row],[Flow_Data_Year]]</f>
        <v>F_00_02_CC_2084</v>
      </c>
      <c r="AE136" s="7">
        <f>IF(F136="Yes",AC136*Tab_Data_Flows[[#This Row],[Flow_Material]]*Tab_Data_Flows[[#This Row],[DM_'[%']]],"N.A.")</f>
        <v>127888.59757181387</v>
      </c>
      <c r="AF136" s="7" t="str">
        <f>Tab_Data_Flows[[#This Row],[UoM_Flow_Py]]</f>
        <v>Mg</v>
      </c>
      <c r="AG136"/>
    </row>
    <row r="137" spans="1:33" x14ac:dyDescent="0.25">
      <c r="A137" s="9">
        <f t="shared" si="2"/>
        <v>136</v>
      </c>
      <c r="B137" s="7" t="str">
        <f>_xlfn.XLOOKUP(C137,Tab_Def_Flows[Flow_Name],Tab_Def_Flows[Flow_ID],,0,)</f>
        <v>F_00_02</v>
      </c>
      <c r="C137" s="142" t="s">
        <v>588</v>
      </c>
      <c r="D137" s="10" t="str">
        <f>_xlfn.XLOOKUP(C137,Tab_Def_Flows[Flow_Name],Tab_Def_Flows[WC?],,0,)</f>
        <v>Yes</v>
      </c>
      <c r="E137" s="10" t="str">
        <f>_xlfn.XLOOKUP(C137,Tab_Def_Flows[Flow_Name],Tab_Def_Flows[DM?],,0,)</f>
        <v>Yes</v>
      </c>
      <c r="F137" s="10" t="str">
        <f>_xlfn.XLOOKUP(C137,Tab_Def_Flows[Flow_Name],Tab_Def_Flows[CC?],,0,)</f>
        <v>Yes</v>
      </c>
      <c r="G137" s="8">
        <v>2085</v>
      </c>
      <c r="H137" s="23">
        <v>157991.20971370701</v>
      </c>
      <c r="I137" s="8" t="s">
        <v>198</v>
      </c>
      <c r="J137" s="15"/>
      <c r="K137" s="15"/>
      <c r="L137" s="15"/>
      <c r="M137" s="15"/>
      <c r="N137" s="15"/>
      <c r="O137" s="8" t="s">
        <v>6</v>
      </c>
      <c r="P137" s="8"/>
      <c r="Q137" s="8"/>
      <c r="R137" s="7" t="str">
        <f>Tab_Data_Flows[[#This Row],[Flow_ID]]&amp;"_"&amp;"material_"&amp;Tab_Data_Flows[[#This Row],[Flow_Data_Year]]</f>
        <v>F_00_02_material_2085</v>
      </c>
      <c r="S137" s="14">
        <f>IF(O137="no",H137,H137*P137)</f>
        <v>157991.20971370701</v>
      </c>
      <c r="T137" s="8" t="s">
        <v>198</v>
      </c>
      <c r="U137" s="143">
        <f>INDEX(Tab_Def_Flows[[Flow_ID]:[CC_DM_source]],MATCH(Tab_Data_Flows[[#This Row],[Flow_Name]],Tab_Def_Flows[Flow_Name],0),11)</f>
        <v>0</v>
      </c>
      <c r="V137" s="7" t="str">
        <f>Tab_Data_Flows[[#This Row],[Flow_ID]]&amp;"_"&amp;"WC_"&amp;Tab_Data_Flows[[#This Row],[Flow_Data_Year]]</f>
        <v>F_00_02_WC_2085</v>
      </c>
      <c r="W137" s="7">
        <f>IF(D137="Yes",S137*Tab_Data_Flows[[#This Row],[WC_'[%']]],"N.A.")</f>
        <v>0</v>
      </c>
      <c r="X137" s="7" t="str">
        <f>Tab_Data_Flows[[#This Row],[UoM_Flow_Py]]</f>
        <v>Mg</v>
      </c>
      <c r="Y137" s="143">
        <f>INDEX(Tab_Def_Flows[[Flow_ID]:[CC_DM_source]],MATCH(Tab_Data_Flows[[#This Row],[Flow_Name]],Tab_Def_Flows[Flow_Name],0),14)</f>
        <v>1</v>
      </c>
      <c r="Z137" s="7" t="str">
        <f>Tab_Data_Flows[[#This Row],[Flow_ID]]&amp;"_"&amp;"DM_"&amp;Tab_Data_Flows[[#This Row],[Flow_Data_Year]]</f>
        <v>F_00_02_DM_2085</v>
      </c>
      <c r="AA137" s="7">
        <f>IF(E137="Yes",Y137*Tab_Data_Flows[[#This Row],[Flow_Material]],"N.A.")</f>
        <v>157991.20971370701</v>
      </c>
      <c r="AB137" s="7" t="str">
        <f>Tab_Data_Flows[[#This Row],[UoM_Flow_Py]]</f>
        <v>Mg</v>
      </c>
      <c r="AC137" s="143">
        <f>INDEX(Tab_Def_Flows[[Flow_ID]:[CC_DM_source]],MATCH(Tab_Data_Flows[[#This Row],[Flow_Name]],Tab_Def_Flows[Flow_Name],0),17)</f>
        <v>1</v>
      </c>
      <c r="AD137" s="7" t="str">
        <f>Tab_Data_Flows[[#This Row],[Flow_ID]]&amp;"_"&amp;"CC_"&amp;Tab_Data_Flows[[#This Row],[Flow_Data_Year]]</f>
        <v>F_00_02_CC_2085</v>
      </c>
      <c r="AE137" s="7">
        <f>IF(F137="Yes",AC137*Tab_Data_Flows[[#This Row],[Flow_Material]]*Tab_Data_Flows[[#This Row],[DM_'[%']]],"N.A.")</f>
        <v>157991.20971370701</v>
      </c>
      <c r="AF137" s="7" t="str">
        <f>Tab_Data_Flows[[#This Row],[UoM_Flow_Py]]</f>
        <v>Mg</v>
      </c>
      <c r="AG137"/>
    </row>
    <row r="138" spans="1:33" x14ac:dyDescent="0.25">
      <c r="A138" s="9">
        <f t="shared" si="2"/>
        <v>137</v>
      </c>
      <c r="B138" s="7" t="str">
        <f>_xlfn.XLOOKUP(C138,Tab_Def_Flows[Flow_Name],Tab_Def_Flows[Flow_ID],,0,)</f>
        <v>F_00_02</v>
      </c>
      <c r="C138" s="142" t="s">
        <v>588</v>
      </c>
      <c r="D138" s="10" t="str">
        <f>_xlfn.XLOOKUP(C138,Tab_Def_Flows[Flow_Name],Tab_Def_Flows[WC?],,0,)</f>
        <v>Yes</v>
      </c>
      <c r="E138" s="10" t="str">
        <f>_xlfn.XLOOKUP(C138,Tab_Def_Flows[Flow_Name],Tab_Def_Flows[DM?],,0,)</f>
        <v>Yes</v>
      </c>
      <c r="F138" s="10" t="str">
        <f>_xlfn.XLOOKUP(C138,Tab_Def_Flows[Flow_Name],Tab_Def_Flows[CC?],,0,)</f>
        <v>Yes</v>
      </c>
      <c r="G138" s="8">
        <v>2086</v>
      </c>
      <c r="H138" s="23">
        <v>180277.93581999364</v>
      </c>
      <c r="I138" s="8" t="s">
        <v>198</v>
      </c>
      <c r="J138" s="15"/>
      <c r="K138" s="15"/>
      <c r="L138" s="15"/>
      <c r="M138" s="15"/>
      <c r="N138" s="15"/>
      <c r="O138" s="8" t="s">
        <v>6</v>
      </c>
      <c r="P138" s="8"/>
      <c r="Q138" s="8"/>
      <c r="R138" s="7" t="str">
        <f>Tab_Data_Flows[[#This Row],[Flow_ID]]&amp;"_"&amp;"material_"&amp;Tab_Data_Flows[[#This Row],[Flow_Data_Year]]</f>
        <v>F_00_02_material_2086</v>
      </c>
      <c r="S138" s="14">
        <f>IF(O138="no",H138,H138*P138)</f>
        <v>180277.93581999364</v>
      </c>
      <c r="T138" s="8" t="s">
        <v>198</v>
      </c>
      <c r="U138" s="143">
        <f>INDEX(Tab_Def_Flows[[Flow_ID]:[CC_DM_source]],MATCH(Tab_Data_Flows[[#This Row],[Flow_Name]],Tab_Def_Flows[Flow_Name],0),11)</f>
        <v>0</v>
      </c>
      <c r="V138" s="7" t="str">
        <f>Tab_Data_Flows[[#This Row],[Flow_ID]]&amp;"_"&amp;"WC_"&amp;Tab_Data_Flows[[#This Row],[Flow_Data_Year]]</f>
        <v>F_00_02_WC_2086</v>
      </c>
      <c r="W138" s="7">
        <f>IF(D138="Yes",S138*Tab_Data_Flows[[#This Row],[WC_'[%']]],"N.A.")</f>
        <v>0</v>
      </c>
      <c r="X138" s="7" t="str">
        <f>Tab_Data_Flows[[#This Row],[UoM_Flow_Py]]</f>
        <v>Mg</v>
      </c>
      <c r="Y138" s="143">
        <f>INDEX(Tab_Def_Flows[[Flow_ID]:[CC_DM_source]],MATCH(Tab_Data_Flows[[#This Row],[Flow_Name]],Tab_Def_Flows[Flow_Name],0),14)</f>
        <v>1</v>
      </c>
      <c r="Z138" s="7" t="str">
        <f>Tab_Data_Flows[[#This Row],[Flow_ID]]&amp;"_"&amp;"DM_"&amp;Tab_Data_Flows[[#This Row],[Flow_Data_Year]]</f>
        <v>F_00_02_DM_2086</v>
      </c>
      <c r="AA138" s="7">
        <f>IF(E138="Yes",Y138*Tab_Data_Flows[[#This Row],[Flow_Material]],"N.A.")</f>
        <v>180277.93581999364</v>
      </c>
      <c r="AB138" s="7" t="str">
        <f>Tab_Data_Flows[[#This Row],[UoM_Flow_Py]]</f>
        <v>Mg</v>
      </c>
      <c r="AC138" s="143">
        <f>INDEX(Tab_Def_Flows[[Flow_ID]:[CC_DM_source]],MATCH(Tab_Data_Flows[[#This Row],[Flow_Name]],Tab_Def_Flows[Flow_Name],0),17)</f>
        <v>1</v>
      </c>
      <c r="AD138" s="7" t="str">
        <f>Tab_Data_Flows[[#This Row],[Flow_ID]]&amp;"_"&amp;"CC_"&amp;Tab_Data_Flows[[#This Row],[Flow_Data_Year]]</f>
        <v>F_00_02_CC_2086</v>
      </c>
      <c r="AE138" s="7">
        <f>IF(F138="Yes",AC138*Tab_Data_Flows[[#This Row],[Flow_Material]]*Tab_Data_Flows[[#This Row],[DM_'[%']]],"N.A.")</f>
        <v>180277.93581999364</v>
      </c>
      <c r="AF138" s="7" t="str">
        <f>Tab_Data_Flows[[#This Row],[UoM_Flow_Py]]</f>
        <v>Mg</v>
      </c>
      <c r="AG138"/>
    </row>
    <row r="139" spans="1:33" x14ac:dyDescent="0.25">
      <c r="A139" s="9">
        <f t="shared" si="2"/>
        <v>138</v>
      </c>
      <c r="B139" s="7" t="str">
        <f>_xlfn.XLOOKUP(C139,Tab_Def_Flows[Flow_Name],Tab_Def_Flows[Flow_ID],,0,)</f>
        <v>F_00_02</v>
      </c>
      <c r="C139" s="142" t="s">
        <v>588</v>
      </c>
      <c r="D139" s="10" t="str">
        <f>_xlfn.XLOOKUP(C139,Tab_Def_Flows[Flow_Name],Tab_Def_Flows[WC?],,0,)</f>
        <v>Yes</v>
      </c>
      <c r="E139" s="10" t="str">
        <f>_xlfn.XLOOKUP(C139,Tab_Def_Flows[Flow_Name],Tab_Def_Flows[DM?],,0,)</f>
        <v>Yes</v>
      </c>
      <c r="F139" s="10" t="str">
        <f>_xlfn.XLOOKUP(C139,Tab_Def_Flows[Flow_Name],Tab_Def_Flows[CC?],,0,)</f>
        <v>Yes</v>
      </c>
      <c r="G139" s="8">
        <v>2087</v>
      </c>
      <c r="H139" s="23">
        <v>120114.46009202189</v>
      </c>
      <c r="I139" s="8" t="s">
        <v>198</v>
      </c>
      <c r="J139" s="15"/>
      <c r="K139" s="15"/>
      <c r="L139" s="15"/>
      <c r="M139" s="15"/>
      <c r="N139" s="15"/>
      <c r="O139" s="8" t="s">
        <v>6</v>
      </c>
      <c r="P139" s="8"/>
      <c r="Q139" s="8"/>
      <c r="R139" s="7" t="str">
        <f>Tab_Data_Flows[[#This Row],[Flow_ID]]&amp;"_"&amp;"material_"&amp;Tab_Data_Flows[[#This Row],[Flow_Data_Year]]</f>
        <v>F_00_02_material_2087</v>
      </c>
      <c r="S139" s="14">
        <f>IF(O139="no",H139,H139*P139)</f>
        <v>120114.46009202189</v>
      </c>
      <c r="T139" s="8" t="s">
        <v>198</v>
      </c>
      <c r="U139" s="143">
        <f>INDEX(Tab_Def_Flows[[Flow_ID]:[CC_DM_source]],MATCH(Tab_Data_Flows[[#This Row],[Flow_Name]],Tab_Def_Flows[Flow_Name],0),11)</f>
        <v>0</v>
      </c>
      <c r="V139" s="7" t="str">
        <f>Tab_Data_Flows[[#This Row],[Flow_ID]]&amp;"_"&amp;"WC_"&amp;Tab_Data_Flows[[#This Row],[Flow_Data_Year]]</f>
        <v>F_00_02_WC_2087</v>
      </c>
      <c r="W139" s="7">
        <f>IF(D139="Yes",S139*Tab_Data_Flows[[#This Row],[WC_'[%']]],"N.A.")</f>
        <v>0</v>
      </c>
      <c r="X139" s="7" t="str">
        <f>Tab_Data_Flows[[#This Row],[UoM_Flow_Py]]</f>
        <v>Mg</v>
      </c>
      <c r="Y139" s="143">
        <f>INDEX(Tab_Def_Flows[[Flow_ID]:[CC_DM_source]],MATCH(Tab_Data_Flows[[#This Row],[Flow_Name]],Tab_Def_Flows[Flow_Name],0),14)</f>
        <v>1</v>
      </c>
      <c r="Z139" s="7" t="str">
        <f>Tab_Data_Flows[[#This Row],[Flow_ID]]&amp;"_"&amp;"DM_"&amp;Tab_Data_Flows[[#This Row],[Flow_Data_Year]]</f>
        <v>F_00_02_DM_2087</v>
      </c>
      <c r="AA139" s="7">
        <f>IF(E139="Yes",Y139*Tab_Data_Flows[[#This Row],[Flow_Material]],"N.A.")</f>
        <v>120114.46009202189</v>
      </c>
      <c r="AB139" s="7" t="str">
        <f>Tab_Data_Flows[[#This Row],[UoM_Flow_Py]]</f>
        <v>Mg</v>
      </c>
      <c r="AC139" s="143">
        <f>INDEX(Tab_Def_Flows[[Flow_ID]:[CC_DM_source]],MATCH(Tab_Data_Flows[[#This Row],[Flow_Name]],Tab_Def_Flows[Flow_Name],0),17)</f>
        <v>1</v>
      </c>
      <c r="AD139" s="7" t="str">
        <f>Tab_Data_Flows[[#This Row],[Flow_ID]]&amp;"_"&amp;"CC_"&amp;Tab_Data_Flows[[#This Row],[Flow_Data_Year]]</f>
        <v>F_00_02_CC_2087</v>
      </c>
      <c r="AE139" s="7">
        <f>IF(F139="Yes",AC139*Tab_Data_Flows[[#This Row],[Flow_Material]]*Tab_Data_Flows[[#This Row],[DM_'[%']]],"N.A.")</f>
        <v>120114.46009202189</v>
      </c>
      <c r="AF139" s="7" t="str">
        <f>Tab_Data_Flows[[#This Row],[UoM_Flow_Py]]</f>
        <v>Mg</v>
      </c>
      <c r="AG139"/>
    </row>
    <row r="140" spans="1:33" x14ac:dyDescent="0.25">
      <c r="A140" s="9">
        <f t="shared" si="2"/>
        <v>139</v>
      </c>
      <c r="B140" s="7" t="str">
        <f>_xlfn.XLOOKUP(C140,Tab_Def_Flows[Flow_Name],Tab_Def_Flows[Flow_ID],,0,)</f>
        <v>F_00_02</v>
      </c>
      <c r="C140" s="142" t="s">
        <v>588</v>
      </c>
      <c r="D140" s="10" t="str">
        <f>_xlfn.XLOOKUP(C140,Tab_Def_Flows[Flow_Name],Tab_Def_Flows[WC?],,0,)</f>
        <v>Yes</v>
      </c>
      <c r="E140" s="10" t="str">
        <f>_xlfn.XLOOKUP(C140,Tab_Def_Flows[Flow_Name],Tab_Def_Flows[DM?],,0,)</f>
        <v>Yes</v>
      </c>
      <c r="F140" s="10" t="str">
        <f>_xlfn.XLOOKUP(C140,Tab_Def_Flows[Flow_Name],Tab_Def_Flows[CC?],,0,)</f>
        <v>Yes</v>
      </c>
      <c r="G140" s="8">
        <v>2088</v>
      </c>
      <c r="H140" s="23">
        <v>157107.19728873932</v>
      </c>
      <c r="I140" s="8" t="s">
        <v>198</v>
      </c>
      <c r="J140" s="15"/>
      <c r="K140" s="15"/>
      <c r="L140" s="15"/>
      <c r="M140" s="15"/>
      <c r="N140" s="15"/>
      <c r="O140" s="8" t="s">
        <v>6</v>
      </c>
      <c r="P140" s="8"/>
      <c r="Q140" s="8"/>
      <c r="R140" s="7" t="str">
        <f>Tab_Data_Flows[[#This Row],[Flow_ID]]&amp;"_"&amp;"material_"&amp;Tab_Data_Flows[[#This Row],[Flow_Data_Year]]</f>
        <v>F_00_02_material_2088</v>
      </c>
      <c r="S140" s="14">
        <f>IF(O140="no",H140,H140*P140)</f>
        <v>157107.19728873932</v>
      </c>
      <c r="T140" s="8" t="s">
        <v>198</v>
      </c>
      <c r="U140" s="143">
        <f>INDEX(Tab_Def_Flows[[Flow_ID]:[CC_DM_source]],MATCH(Tab_Data_Flows[[#This Row],[Flow_Name]],Tab_Def_Flows[Flow_Name],0),11)</f>
        <v>0</v>
      </c>
      <c r="V140" s="7" t="str">
        <f>Tab_Data_Flows[[#This Row],[Flow_ID]]&amp;"_"&amp;"WC_"&amp;Tab_Data_Flows[[#This Row],[Flow_Data_Year]]</f>
        <v>F_00_02_WC_2088</v>
      </c>
      <c r="W140" s="7">
        <f>IF(D140="Yes",S140*Tab_Data_Flows[[#This Row],[WC_'[%']]],"N.A.")</f>
        <v>0</v>
      </c>
      <c r="X140" s="7" t="str">
        <f>Tab_Data_Flows[[#This Row],[UoM_Flow_Py]]</f>
        <v>Mg</v>
      </c>
      <c r="Y140" s="143">
        <f>INDEX(Tab_Def_Flows[[Flow_ID]:[CC_DM_source]],MATCH(Tab_Data_Flows[[#This Row],[Flow_Name]],Tab_Def_Flows[Flow_Name],0),14)</f>
        <v>1</v>
      </c>
      <c r="Z140" s="7" t="str">
        <f>Tab_Data_Flows[[#This Row],[Flow_ID]]&amp;"_"&amp;"DM_"&amp;Tab_Data_Flows[[#This Row],[Flow_Data_Year]]</f>
        <v>F_00_02_DM_2088</v>
      </c>
      <c r="AA140" s="7">
        <f>IF(E140="Yes",Y140*Tab_Data_Flows[[#This Row],[Flow_Material]],"N.A.")</f>
        <v>157107.19728873932</v>
      </c>
      <c r="AB140" s="7" t="str">
        <f>Tab_Data_Flows[[#This Row],[UoM_Flow_Py]]</f>
        <v>Mg</v>
      </c>
      <c r="AC140" s="143">
        <f>INDEX(Tab_Def_Flows[[Flow_ID]:[CC_DM_source]],MATCH(Tab_Data_Flows[[#This Row],[Flow_Name]],Tab_Def_Flows[Flow_Name],0),17)</f>
        <v>1</v>
      </c>
      <c r="AD140" s="7" t="str">
        <f>Tab_Data_Flows[[#This Row],[Flow_ID]]&amp;"_"&amp;"CC_"&amp;Tab_Data_Flows[[#This Row],[Flow_Data_Year]]</f>
        <v>F_00_02_CC_2088</v>
      </c>
      <c r="AE140" s="7">
        <f>IF(F140="Yes",AC140*Tab_Data_Flows[[#This Row],[Flow_Material]]*Tab_Data_Flows[[#This Row],[DM_'[%']]],"N.A.")</f>
        <v>157107.19728873932</v>
      </c>
      <c r="AF140" s="7" t="str">
        <f>Tab_Data_Flows[[#This Row],[UoM_Flow_Py]]</f>
        <v>Mg</v>
      </c>
      <c r="AG140"/>
    </row>
    <row r="141" spans="1:33" x14ac:dyDescent="0.25">
      <c r="A141" s="9">
        <f t="shared" si="2"/>
        <v>140</v>
      </c>
      <c r="B141" s="7" t="str">
        <f>_xlfn.XLOOKUP(C141,Tab_Def_Flows[Flow_Name],Tab_Def_Flows[Flow_ID],,0,)</f>
        <v>F_00_02</v>
      </c>
      <c r="C141" s="142" t="s">
        <v>588</v>
      </c>
      <c r="D141" s="10" t="str">
        <f>_xlfn.XLOOKUP(C141,Tab_Def_Flows[Flow_Name],Tab_Def_Flows[WC?],,0,)</f>
        <v>Yes</v>
      </c>
      <c r="E141" s="10" t="str">
        <f>_xlfn.XLOOKUP(C141,Tab_Def_Flows[Flow_Name],Tab_Def_Flows[DM?],,0,)</f>
        <v>Yes</v>
      </c>
      <c r="F141" s="10" t="str">
        <f>_xlfn.XLOOKUP(C141,Tab_Def_Flows[Flow_Name],Tab_Def_Flows[CC?],,0,)</f>
        <v>Yes</v>
      </c>
      <c r="G141" s="8">
        <v>2089</v>
      </c>
      <c r="H141" s="23">
        <v>158660.47978016068</v>
      </c>
      <c r="I141" s="8" t="s">
        <v>198</v>
      </c>
      <c r="J141" s="15"/>
      <c r="K141" s="15"/>
      <c r="L141" s="15"/>
      <c r="M141" s="15"/>
      <c r="N141" s="15"/>
      <c r="O141" s="8" t="s">
        <v>6</v>
      </c>
      <c r="P141" s="8"/>
      <c r="Q141" s="8"/>
      <c r="R141" s="7" t="str">
        <f>Tab_Data_Flows[[#This Row],[Flow_ID]]&amp;"_"&amp;"material_"&amp;Tab_Data_Flows[[#This Row],[Flow_Data_Year]]</f>
        <v>F_00_02_material_2089</v>
      </c>
      <c r="S141" s="14">
        <f>IF(O141="no",H141,H141*P141)</f>
        <v>158660.47978016068</v>
      </c>
      <c r="T141" s="8" t="s">
        <v>198</v>
      </c>
      <c r="U141" s="143">
        <f>INDEX(Tab_Def_Flows[[Flow_ID]:[CC_DM_source]],MATCH(Tab_Data_Flows[[#This Row],[Flow_Name]],Tab_Def_Flows[Flow_Name],0),11)</f>
        <v>0</v>
      </c>
      <c r="V141" s="7" t="str">
        <f>Tab_Data_Flows[[#This Row],[Flow_ID]]&amp;"_"&amp;"WC_"&amp;Tab_Data_Flows[[#This Row],[Flow_Data_Year]]</f>
        <v>F_00_02_WC_2089</v>
      </c>
      <c r="W141" s="7">
        <f>IF(D141="Yes",S141*Tab_Data_Flows[[#This Row],[WC_'[%']]],"N.A.")</f>
        <v>0</v>
      </c>
      <c r="X141" s="7" t="str">
        <f>Tab_Data_Flows[[#This Row],[UoM_Flow_Py]]</f>
        <v>Mg</v>
      </c>
      <c r="Y141" s="143">
        <f>INDEX(Tab_Def_Flows[[Flow_ID]:[CC_DM_source]],MATCH(Tab_Data_Flows[[#This Row],[Flow_Name]],Tab_Def_Flows[Flow_Name],0),14)</f>
        <v>1</v>
      </c>
      <c r="Z141" s="7" t="str">
        <f>Tab_Data_Flows[[#This Row],[Flow_ID]]&amp;"_"&amp;"DM_"&amp;Tab_Data_Flows[[#This Row],[Flow_Data_Year]]</f>
        <v>F_00_02_DM_2089</v>
      </c>
      <c r="AA141" s="7">
        <f>IF(E141="Yes",Y141*Tab_Data_Flows[[#This Row],[Flow_Material]],"N.A.")</f>
        <v>158660.47978016068</v>
      </c>
      <c r="AB141" s="7" t="str">
        <f>Tab_Data_Flows[[#This Row],[UoM_Flow_Py]]</f>
        <v>Mg</v>
      </c>
      <c r="AC141" s="143">
        <f>INDEX(Tab_Def_Flows[[Flow_ID]:[CC_DM_source]],MATCH(Tab_Data_Flows[[#This Row],[Flow_Name]],Tab_Def_Flows[Flow_Name],0),17)</f>
        <v>1</v>
      </c>
      <c r="AD141" s="7" t="str">
        <f>Tab_Data_Flows[[#This Row],[Flow_ID]]&amp;"_"&amp;"CC_"&amp;Tab_Data_Flows[[#This Row],[Flow_Data_Year]]</f>
        <v>F_00_02_CC_2089</v>
      </c>
      <c r="AE141" s="7">
        <f>IF(F141="Yes",AC141*Tab_Data_Flows[[#This Row],[Flow_Material]]*Tab_Data_Flows[[#This Row],[DM_'[%']]],"N.A.")</f>
        <v>158660.47978016068</v>
      </c>
      <c r="AF141" s="7" t="str">
        <f>Tab_Data_Flows[[#This Row],[UoM_Flow_Py]]</f>
        <v>Mg</v>
      </c>
      <c r="AG141"/>
    </row>
    <row r="142" spans="1:33" x14ac:dyDescent="0.25">
      <c r="A142" s="9">
        <f t="shared" si="2"/>
        <v>141</v>
      </c>
      <c r="B142" s="7" t="str">
        <f>_xlfn.XLOOKUP(C142,Tab_Def_Flows[Flow_Name],Tab_Def_Flows[Flow_ID],,0,)</f>
        <v>F_00_02</v>
      </c>
      <c r="C142" s="142" t="s">
        <v>588</v>
      </c>
      <c r="D142" s="10" t="str">
        <f>_xlfn.XLOOKUP(C142,Tab_Def_Flows[Flow_Name],Tab_Def_Flows[WC?],,0,)</f>
        <v>Yes</v>
      </c>
      <c r="E142" s="10" t="str">
        <f>_xlfn.XLOOKUP(C142,Tab_Def_Flows[Flow_Name],Tab_Def_Flows[DM?],,0,)</f>
        <v>Yes</v>
      </c>
      <c r="F142" s="10" t="str">
        <f>_xlfn.XLOOKUP(C142,Tab_Def_Flows[Flow_Name],Tab_Def_Flows[CC?],,0,)</f>
        <v>Yes</v>
      </c>
      <c r="G142" s="8">
        <v>2090</v>
      </c>
      <c r="H142" s="23">
        <v>169434.32496855245</v>
      </c>
      <c r="I142" s="8" t="s">
        <v>198</v>
      </c>
      <c r="J142" s="15"/>
      <c r="K142" s="15"/>
      <c r="L142" s="15"/>
      <c r="M142" s="15"/>
      <c r="N142" s="15"/>
      <c r="O142" s="8" t="s">
        <v>6</v>
      </c>
      <c r="P142" s="8"/>
      <c r="Q142" s="8"/>
      <c r="R142" s="7" t="str">
        <f>Tab_Data_Flows[[#This Row],[Flow_ID]]&amp;"_"&amp;"material_"&amp;Tab_Data_Flows[[#This Row],[Flow_Data_Year]]</f>
        <v>F_00_02_material_2090</v>
      </c>
      <c r="S142" s="14">
        <f>IF(O142="no",H142,H142*P142)</f>
        <v>169434.32496855245</v>
      </c>
      <c r="T142" s="8" t="s">
        <v>198</v>
      </c>
      <c r="U142" s="143">
        <f>INDEX(Tab_Def_Flows[[Flow_ID]:[CC_DM_source]],MATCH(Tab_Data_Flows[[#This Row],[Flow_Name]],Tab_Def_Flows[Flow_Name],0),11)</f>
        <v>0</v>
      </c>
      <c r="V142" s="7" t="str">
        <f>Tab_Data_Flows[[#This Row],[Flow_ID]]&amp;"_"&amp;"WC_"&amp;Tab_Data_Flows[[#This Row],[Flow_Data_Year]]</f>
        <v>F_00_02_WC_2090</v>
      </c>
      <c r="W142" s="7">
        <f>IF(D142="Yes",S142*Tab_Data_Flows[[#This Row],[WC_'[%']]],"N.A.")</f>
        <v>0</v>
      </c>
      <c r="X142" s="7" t="str">
        <f>Tab_Data_Flows[[#This Row],[UoM_Flow_Py]]</f>
        <v>Mg</v>
      </c>
      <c r="Y142" s="143">
        <f>INDEX(Tab_Def_Flows[[Flow_ID]:[CC_DM_source]],MATCH(Tab_Data_Flows[[#This Row],[Flow_Name]],Tab_Def_Flows[Flow_Name],0),14)</f>
        <v>1</v>
      </c>
      <c r="Z142" s="7" t="str">
        <f>Tab_Data_Flows[[#This Row],[Flow_ID]]&amp;"_"&amp;"DM_"&amp;Tab_Data_Flows[[#This Row],[Flow_Data_Year]]</f>
        <v>F_00_02_DM_2090</v>
      </c>
      <c r="AA142" s="7">
        <f>IF(E142="Yes",Y142*Tab_Data_Flows[[#This Row],[Flow_Material]],"N.A.")</f>
        <v>169434.32496855245</v>
      </c>
      <c r="AB142" s="7" t="str">
        <f>Tab_Data_Flows[[#This Row],[UoM_Flow_Py]]</f>
        <v>Mg</v>
      </c>
      <c r="AC142" s="143">
        <f>INDEX(Tab_Def_Flows[[Flow_ID]:[CC_DM_source]],MATCH(Tab_Data_Flows[[#This Row],[Flow_Name]],Tab_Def_Flows[Flow_Name],0),17)</f>
        <v>1</v>
      </c>
      <c r="AD142" s="7" t="str">
        <f>Tab_Data_Flows[[#This Row],[Flow_ID]]&amp;"_"&amp;"CC_"&amp;Tab_Data_Flows[[#This Row],[Flow_Data_Year]]</f>
        <v>F_00_02_CC_2090</v>
      </c>
      <c r="AE142" s="7">
        <f>IF(F142="Yes",AC142*Tab_Data_Flows[[#This Row],[Flow_Material]]*Tab_Data_Flows[[#This Row],[DM_'[%']]],"N.A.")</f>
        <v>169434.32496855245</v>
      </c>
      <c r="AF142" s="7" t="str">
        <f>Tab_Data_Flows[[#This Row],[UoM_Flow_Py]]</f>
        <v>Mg</v>
      </c>
      <c r="AG142"/>
    </row>
    <row r="143" spans="1:33" x14ac:dyDescent="0.25">
      <c r="A143" s="9">
        <f t="shared" si="2"/>
        <v>142</v>
      </c>
      <c r="B143" s="7" t="str">
        <f>_xlfn.XLOOKUP(C143,Tab_Def_Flows[Flow_Name],Tab_Def_Flows[Flow_ID],,0,)</f>
        <v>F_00_02</v>
      </c>
      <c r="C143" s="142" t="s">
        <v>588</v>
      </c>
      <c r="D143" s="10" t="str">
        <f>_xlfn.XLOOKUP(C143,Tab_Def_Flows[Flow_Name],Tab_Def_Flows[WC?],,0,)</f>
        <v>Yes</v>
      </c>
      <c r="E143" s="10" t="str">
        <f>_xlfn.XLOOKUP(C143,Tab_Def_Flows[Flow_Name],Tab_Def_Flows[DM?],,0,)</f>
        <v>Yes</v>
      </c>
      <c r="F143" s="10" t="str">
        <f>_xlfn.XLOOKUP(C143,Tab_Def_Flows[Flow_Name],Tab_Def_Flows[CC?],,0,)</f>
        <v>Yes</v>
      </c>
      <c r="G143" s="8">
        <v>2091</v>
      </c>
      <c r="H143" s="23">
        <v>127762.96270620447</v>
      </c>
      <c r="I143" s="8" t="s">
        <v>198</v>
      </c>
      <c r="J143" s="15"/>
      <c r="K143" s="15"/>
      <c r="L143" s="15"/>
      <c r="M143" s="15"/>
      <c r="N143" s="15"/>
      <c r="O143" s="8" t="s">
        <v>6</v>
      </c>
      <c r="P143" s="8"/>
      <c r="Q143" s="8"/>
      <c r="R143" s="7" t="str">
        <f>Tab_Data_Flows[[#This Row],[Flow_ID]]&amp;"_"&amp;"material_"&amp;Tab_Data_Flows[[#This Row],[Flow_Data_Year]]</f>
        <v>F_00_02_material_2091</v>
      </c>
      <c r="S143" s="14">
        <f>IF(O143="no",H143,H143*P143)</f>
        <v>127762.96270620447</v>
      </c>
      <c r="T143" s="8" t="s">
        <v>198</v>
      </c>
      <c r="U143" s="143">
        <f>INDEX(Tab_Def_Flows[[Flow_ID]:[CC_DM_source]],MATCH(Tab_Data_Flows[[#This Row],[Flow_Name]],Tab_Def_Flows[Flow_Name],0),11)</f>
        <v>0</v>
      </c>
      <c r="V143" s="7" t="str">
        <f>Tab_Data_Flows[[#This Row],[Flow_ID]]&amp;"_"&amp;"WC_"&amp;Tab_Data_Flows[[#This Row],[Flow_Data_Year]]</f>
        <v>F_00_02_WC_2091</v>
      </c>
      <c r="W143" s="7">
        <f>IF(D143="Yes",S143*Tab_Data_Flows[[#This Row],[WC_'[%']]],"N.A.")</f>
        <v>0</v>
      </c>
      <c r="X143" s="7" t="str">
        <f>Tab_Data_Flows[[#This Row],[UoM_Flow_Py]]</f>
        <v>Mg</v>
      </c>
      <c r="Y143" s="143">
        <f>INDEX(Tab_Def_Flows[[Flow_ID]:[CC_DM_source]],MATCH(Tab_Data_Flows[[#This Row],[Flow_Name]],Tab_Def_Flows[Flow_Name],0),14)</f>
        <v>1</v>
      </c>
      <c r="Z143" s="7" t="str">
        <f>Tab_Data_Flows[[#This Row],[Flow_ID]]&amp;"_"&amp;"DM_"&amp;Tab_Data_Flows[[#This Row],[Flow_Data_Year]]</f>
        <v>F_00_02_DM_2091</v>
      </c>
      <c r="AA143" s="7">
        <f>IF(E143="Yes",Y143*Tab_Data_Flows[[#This Row],[Flow_Material]],"N.A.")</f>
        <v>127762.96270620447</v>
      </c>
      <c r="AB143" s="7" t="str">
        <f>Tab_Data_Flows[[#This Row],[UoM_Flow_Py]]</f>
        <v>Mg</v>
      </c>
      <c r="AC143" s="143">
        <f>INDEX(Tab_Def_Flows[[Flow_ID]:[CC_DM_source]],MATCH(Tab_Data_Flows[[#This Row],[Flow_Name]],Tab_Def_Flows[Flow_Name],0),17)</f>
        <v>1</v>
      </c>
      <c r="AD143" s="7" t="str">
        <f>Tab_Data_Flows[[#This Row],[Flow_ID]]&amp;"_"&amp;"CC_"&amp;Tab_Data_Flows[[#This Row],[Flow_Data_Year]]</f>
        <v>F_00_02_CC_2091</v>
      </c>
      <c r="AE143" s="7">
        <f>IF(F143="Yes",AC143*Tab_Data_Flows[[#This Row],[Flow_Material]]*Tab_Data_Flows[[#This Row],[DM_'[%']]],"N.A.")</f>
        <v>127762.96270620447</v>
      </c>
      <c r="AF143" s="7" t="str">
        <f>Tab_Data_Flows[[#This Row],[UoM_Flow_Py]]</f>
        <v>Mg</v>
      </c>
      <c r="AG143"/>
    </row>
    <row r="144" spans="1:33" x14ac:dyDescent="0.25">
      <c r="A144" s="9">
        <f t="shared" si="2"/>
        <v>143</v>
      </c>
      <c r="B144" s="7" t="str">
        <f>_xlfn.XLOOKUP(C144,Tab_Def_Flows[Flow_Name],Tab_Def_Flows[Flow_ID],,0,)</f>
        <v>F_00_02</v>
      </c>
      <c r="C144" s="142" t="s">
        <v>588</v>
      </c>
      <c r="D144" s="10" t="str">
        <f>_xlfn.XLOOKUP(C144,Tab_Def_Flows[Flow_Name],Tab_Def_Flows[WC?],,0,)</f>
        <v>Yes</v>
      </c>
      <c r="E144" s="10" t="str">
        <f>_xlfn.XLOOKUP(C144,Tab_Def_Flows[Flow_Name],Tab_Def_Flows[DM?],,0,)</f>
        <v>Yes</v>
      </c>
      <c r="F144" s="10" t="str">
        <f>_xlfn.XLOOKUP(C144,Tab_Def_Flows[Flow_Name],Tab_Def_Flows[CC?],,0,)</f>
        <v>Yes</v>
      </c>
      <c r="G144" s="8">
        <v>2092</v>
      </c>
      <c r="H144" s="23">
        <v>126039.24057521574</v>
      </c>
      <c r="I144" s="8" t="s">
        <v>198</v>
      </c>
      <c r="J144" s="15"/>
      <c r="K144" s="15"/>
      <c r="L144" s="15"/>
      <c r="M144" s="15"/>
      <c r="N144" s="15"/>
      <c r="O144" s="8" t="s">
        <v>6</v>
      </c>
      <c r="P144" s="8"/>
      <c r="Q144" s="8"/>
      <c r="R144" s="7" t="str">
        <f>Tab_Data_Flows[[#This Row],[Flow_ID]]&amp;"_"&amp;"material_"&amp;Tab_Data_Flows[[#This Row],[Flow_Data_Year]]</f>
        <v>F_00_02_material_2092</v>
      </c>
      <c r="S144" s="14">
        <f>IF(O144="no",H144,H144*P144)</f>
        <v>126039.24057521574</v>
      </c>
      <c r="T144" s="8" t="s">
        <v>198</v>
      </c>
      <c r="U144" s="143">
        <f>INDEX(Tab_Def_Flows[[Flow_ID]:[CC_DM_source]],MATCH(Tab_Data_Flows[[#This Row],[Flow_Name]],Tab_Def_Flows[Flow_Name],0),11)</f>
        <v>0</v>
      </c>
      <c r="V144" s="7" t="str">
        <f>Tab_Data_Flows[[#This Row],[Flow_ID]]&amp;"_"&amp;"WC_"&amp;Tab_Data_Flows[[#This Row],[Flow_Data_Year]]</f>
        <v>F_00_02_WC_2092</v>
      </c>
      <c r="W144" s="7">
        <f>IF(D144="Yes",S144*Tab_Data_Flows[[#This Row],[WC_'[%']]],"N.A.")</f>
        <v>0</v>
      </c>
      <c r="X144" s="7" t="str">
        <f>Tab_Data_Flows[[#This Row],[UoM_Flow_Py]]</f>
        <v>Mg</v>
      </c>
      <c r="Y144" s="143">
        <f>INDEX(Tab_Def_Flows[[Flow_ID]:[CC_DM_source]],MATCH(Tab_Data_Flows[[#This Row],[Flow_Name]],Tab_Def_Flows[Flow_Name],0),14)</f>
        <v>1</v>
      </c>
      <c r="Z144" s="7" t="str">
        <f>Tab_Data_Flows[[#This Row],[Flow_ID]]&amp;"_"&amp;"DM_"&amp;Tab_Data_Flows[[#This Row],[Flow_Data_Year]]</f>
        <v>F_00_02_DM_2092</v>
      </c>
      <c r="AA144" s="7">
        <f>IF(E144="Yes",Y144*Tab_Data_Flows[[#This Row],[Flow_Material]],"N.A.")</f>
        <v>126039.24057521574</v>
      </c>
      <c r="AB144" s="7" t="str">
        <f>Tab_Data_Flows[[#This Row],[UoM_Flow_Py]]</f>
        <v>Mg</v>
      </c>
      <c r="AC144" s="143">
        <f>INDEX(Tab_Def_Flows[[Flow_ID]:[CC_DM_source]],MATCH(Tab_Data_Flows[[#This Row],[Flow_Name]],Tab_Def_Flows[Flow_Name],0),17)</f>
        <v>1</v>
      </c>
      <c r="AD144" s="7" t="str">
        <f>Tab_Data_Flows[[#This Row],[Flow_ID]]&amp;"_"&amp;"CC_"&amp;Tab_Data_Flows[[#This Row],[Flow_Data_Year]]</f>
        <v>F_00_02_CC_2092</v>
      </c>
      <c r="AE144" s="7">
        <f>IF(F144="Yes",AC144*Tab_Data_Flows[[#This Row],[Flow_Material]]*Tab_Data_Flows[[#This Row],[DM_'[%']]],"N.A.")</f>
        <v>126039.24057521574</v>
      </c>
      <c r="AF144" s="7" t="str">
        <f>Tab_Data_Flows[[#This Row],[UoM_Flow_Py]]</f>
        <v>Mg</v>
      </c>
      <c r="AG144"/>
    </row>
    <row r="145" spans="1:33" x14ac:dyDescent="0.25">
      <c r="A145" s="9">
        <f t="shared" si="2"/>
        <v>144</v>
      </c>
      <c r="B145" s="7" t="str">
        <f>_xlfn.XLOOKUP(C145,Tab_Def_Flows[Flow_Name],Tab_Def_Flows[Flow_ID],,0,)</f>
        <v>F_00_02</v>
      </c>
      <c r="C145" s="142" t="s">
        <v>588</v>
      </c>
      <c r="D145" s="10" t="str">
        <f>_xlfn.XLOOKUP(C145,Tab_Def_Flows[Flow_Name],Tab_Def_Flows[WC?],,0,)</f>
        <v>Yes</v>
      </c>
      <c r="E145" s="10" t="str">
        <f>_xlfn.XLOOKUP(C145,Tab_Def_Flows[Flow_Name],Tab_Def_Flows[DM?],,0,)</f>
        <v>Yes</v>
      </c>
      <c r="F145" s="10" t="str">
        <f>_xlfn.XLOOKUP(C145,Tab_Def_Flows[Flow_Name],Tab_Def_Flows[CC?],,0,)</f>
        <v>Yes</v>
      </c>
      <c r="G145" s="8">
        <v>2093</v>
      </c>
      <c r="H145" s="23">
        <v>164069.87590538507</v>
      </c>
      <c r="I145" s="8" t="s">
        <v>198</v>
      </c>
      <c r="J145" s="15"/>
      <c r="K145" s="15"/>
      <c r="L145" s="15"/>
      <c r="M145" s="15"/>
      <c r="N145" s="15"/>
      <c r="O145" s="8" t="s">
        <v>6</v>
      </c>
      <c r="P145" s="8"/>
      <c r="Q145" s="8"/>
      <c r="R145" s="7" t="str">
        <f>Tab_Data_Flows[[#This Row],[Flow_ID]]&amp;"_"&amp;"material_"&amp;Tab_Data_Flows[[#This Row],[Flow_Data_Year]]</f>
        <v>F_00_02_material_2093</v>
      </c>
      <c r="S145" s="14">
        <f>IF(O145="no",H145,H145*P145)</f>
        <v>164069.87590538507</v>
      </c>
      <c r="T145" s="8" t="s">
        <v>198</v>
      </c>
      <c r="U145" s="143">
        <f>INDEX(Tab_Def_Flows[[Flow_ID]:[CC_DM_source]],MATCH(Tab_Data_Flows[[#This Row],[Flow_Name]],Tab_Def_Flows[Flow_Name],0),11)</f>
        <v>0</v>
      </c>
      <c r="V145" s="7" t="str">
        <f>Tab_Data_Flows[[#This Row],[Flow_ID]]&amp;"_"&amp;"WC_"&amp;Tab_Data_Flows[[#This Row],[Flow_Data_Year]]</f>
        <v>F_00_02_WC_2093</v>
      </c>
      <c r="W145" s="7">
        <f>IF(D145="Yes",S145*Tab_Data_Flows[[#This Row],[WC_'[%']]],"N.A.")</f>
        <v>0</v>
      </c>
      <c r="X145" s="7" t="str">
        <f>Tab_Data_Flows[[#This Row],[UoM_Flow_Py]]</f>
        <v>Mg</v>
      </c>
      <c r="Y145" s="143">
        <f>INDEX(Tab_Def_Flows[[Flow_ID]:[CC_DM_source]],MATCH(Tab_Data_Flows[[#This Row],[Flow_Name]],Tab_Def_Flows[Flow_Name],0),14)</f>
        <v>1</v>
      </c>
      <c r="Z145" s="7" t="str">
        <f>Tab_Data_Flows[[#This Row],[Flow_ID]]&amp;"_"&amp;"DM_"&amp;Tab_Data_Flows[[#This Row],[Flow_Data_Year]]</f>
        <v>F_00_02_DM_2093</v>
      </c>
      <c r="AA145" s="7">
        <f>IF(E145="Yes",Y145*Tab_Data_Flows[[#This Row],[Flow_Material]],"N.A.")</f>
        <v>164069.87590538507</v>
      </c>
      <c r="AB145" s="7" t="str">
        <f>Tab_Data_Flows[[#This Row],[UoM_Flow_Py]]</f>
        <v>Mg</v>
      </c>
      <c r="AC145" s="143">
        <f>INDEX(Tab_Def_Flows[[Flow_ID]:[CC_DM_source]],MATCH(Tab_Data_Flows[[#This Row],[Flow_Name]],Tab_Def_Flows[Flow_Name],0),17)</f>
        <v>1</v>
      </c>
      <c r="AD145" s="7" t="str">
        <f>Tab_Data_Flows[[#This Row],[Flow_ID]]&amp;"_"&amp;"CC_"&amp;Tab_Data_Flows[[#This Row],[Flow_Data_Year]]</f>
        <v>F_00_02_CC_2093</v>
      </c>
      <c r="AE145" s="7">
        <f>IF(F145="Yes",AC145*Tab_Data_Flows[[#This Row],[Flow_Material]]*Tab_Data_Flows[[#This Row],[DM_'[%']]],"N.A.")</f>
        <v>164069.87590538507</v>
      </c>
      <c r="AF145" s="7" t="str">
        <f>Tab_Data_Flows[[#This Row],[UoM_Flow_Py]]</f>
        <v>Mg</v>
      </c>
      <c r="AG145"/>
    </row>
    <row r="146" spans="1:33" x14ac:dyDescent="0.25">
      <c r="A146" s="9">
        <f t="shared" si="2"/>
        <v>145</v>
      </c>
      <c r="B146" s="7" t="str">
        <f>_xlfn.XLOOKUP(C146,Tab_Def_Flows[Flow_Name],Tab_Def_Flows[Flow_ID],,0,)</f>
        <v>F_00_02</v>
      </c>
      <c r="C146" s="142" t="s">
        <v>588</v>
      </c>
      <c r="D146" s="10" t="str">
        <f>_xlfn.XLOOKUP(C146,Tab_Def_Flows[Flow_Name],Tab_Def_Flows[WC?],,0,)</f>
        <v>Yes</v>
      </c>
      <c r="E146" s="10" t="str">
        <f>_xlfn.XLOOKUP(C146,Tab_Def_Flows[Flow_Name],Tab_Def_Flows[DM?],,0,)</f>
        <v>Yes</v>
      </c>
      <c r="F146" s="10" t="str">
        <f>_xlfn.XLOOKUP(C146,Tab_Def_Flows[Flow_Name],Tab_Def_Flows[CC?],,0,)</f>
        <v>Yes</v>
      </c>
      <c r="G146" s="8">
        <v>2094</v>
      </c>
      <c r="H146" s="23">
        <v>159426.33378829274</v>
      </c>
      <c r="I146" s="8" t="s">
        <v>198</v>
      </c>
      <c r="J146" s="15"/>
      <c r="K146" s="15"/>
      <c r="L146" s="15"/>
      <c r="M146" s="15"/>
      <c r="N146" s="15"/>
      <c r="O146" s="8" t="s">
        <v>6</v>
      </c>
      <c r="P146" s="8"/>
      <c r="Q146" s="8"/>
      <c r="R146" s="7" t="str">
        <f>Tab_Data_Flows[[#This Row],[Flow_ID]]&amp;"_"&amp;"material_"&amp;Tab_Data_Flows[[#This Row],[Flow_Data_Year]]</f>
        <v>F_00_02_material_2094</v>
      </c>
      <c r="S146" s="14">
        <f>IF(O146="no",H146,H146*P146)</f>
        <v>159426.33378829274</v>
      </c>
      <c r="T146" s="8" t="s">
        <v>198</v>
      </c>
      <c r="U146" s="143">
        <f>INDEX(Tab_Def_Flows[[Flow_ID]:[CC_DM_source]],MATCH(Tab_Data_Flows[[#This Row],[Flow_Name]],Tab_Def_Flows[Flow_Name],0),11)</f>
        <v>0</v>
      </c>
      <c r="V146" s="7" t="str">
        <f>Tab_Data_Flows[[#This Row],[Flow_ID]]&amp;"_"&amp;"WC_"&amp;Tab_Data_Flows[[#This Row],[Flow_Data_Year]]</f>
        <v>F_00_02_WC_2094</v>
      </c>
      <c r="W146" s="7">
        <f>IF(D146="Yes",S146*Tab_Data_Flows[[#This Row],[WC_'[%']]],"N.A.")</f>
        <v>0</v>
      </c>
      <c r="X146" s="7" t="str">
        <f>Tab_Data_Flows[[#This Row],[UoM_Flow_Py]]</f>
        <v>Mg</v>
      </c>
      <c r="Y146" s="143">
        <f>INDEX(Tab_Def_Flows[[Flow_ID]:[CC_DM_source]],MATCH(Tab_Data_Flows[[#This Row],[Flow_Name]],Tab_Def_Flows[Flow_Name],0),14)</f>
        <v>1</v>
      </c>
      <c r="Z146" s="7" t="str">
        <f>Tab_Data_Flows[[#This Row],[Flow_ID]]&amp;"_"&amp;"DM_"&amp;Tab_Data_Flows[[#This Row],[Flow_Data_Year]]</f>
        <v>F_00_02_DM_2094</v>
      </c>
      <c r="AA146" s="7">
        <f>IF(E146="Yes",Y146*Tab_Data_Flows[[#This Row],[Flow_Material]],"N.A.")</f>
        <v>159426.33378829274</v>
      </c>
      <c r="AB146" s="7" t="str">
        <f>Tab_Data_Flows[[#This Row],[UoM_Flow_Py]]</f>
        <v>Mg</v>
      </c>
      <c r="AC146" s="143">
        <f>INDEX(Tab_Def_Flows[[Flow_ID]:[CC_DM_source]],MATCH(Tab_Data_Flows[[#This Row],[Flow_Name]],Tab_Def_Flows[Flow_Name],0),17)</f>
        <v>1</v>
      </c>
      <c r="AD146" s="7" t="str">
        <f>Tab_Data_Flows[[#This Row],[Flow_ID]]&amp;"_"&amp;"CC_"&amp;Tab_Data_Flows[[#This Row],[Flow_Data_Year]]</f>
        <v>F_00_02_CC_2094</v>
      </c>
      <c r="AE146" s="7">
        <f>IF(F146="Yes",AC146*Tab_Data_Flows[[#This Row],[Flow_Material]]*Tab_Data_Flows[[#This Row],[DM_'[%']]],"N.A.")</f>
        <v>159426.33378829274</v>
      </c>
      <c r="AF146" s="7" t="str">
        <f>Tab_Data_Flows[[#This Row],[UoM_Flow_Py]]</f>
        <v>Mg</v>
      </c>
      <c r="AG146"/>
    </row>
    <row r="147" spans="1:33" x14ac:dyDescent="0.25">
      <c r="A147" s="9">
        <f t="shared" si="2"/>
        <v>146</v>
      </c>
      <c r="B147" s="7" t="str">
        <f>_xlfn.XLOOKUP(C147,Tab_Def_Flows[Flow_Name],Tab_Def_Flows[Flow_ID],,0,)</f>
        <v>F_00_02</v>
      </c>
      <c r="C147" s="142" t="s">
        <v>588</v>
      </c>
      <c r="D147" s="10" t="str">
        <f>_xlfn.XLOOKUP(C147,Tab_Def_Flows[Flow_Name],Tab_Def_Flows[WC?],,0,)</f>
        <v>Yes</v>
      </c>
      <c r="E147" s="10" t="str">
        <f>_xlfn.XLOOKUP(C147,Tab_Def_Flows[Flow_Name],Tab_Def_Flows[DM?],,0,)</f>
        <v>Yes</v>
      </c>
      <c r="F147" s="10" t="str">
        <f>_xlfn.XLOOKUP(C147,Tab_Def_Flows[Flow_Name],Tab_Def_Flows[CC?],,0,)</f>
        <v>Yes</v>
      </c>
      <c r="G147" s="8">
        <v>2095</v>
      </c>
      <c r="H147" s="23">
        <v>158466.65331178004</v>
      </c>
      <c r="I147" s="8" t="s">
        <v>198</v>
      </c>
      <c r="J147" s="15"/>
      <c r="K147" s="15"/>
      <c r="L147" s="15"/>
      <c r="M147" s="15"/>
      <c r="N147" s="15"/>
      <c r="O147" s="8" t="s">
        <v>6</v>
      </c>
      <c r="P147" s="16"/>
      <c r="Q147" s="8"/>
      <c r="R147" s="7" t="str">
        <f>Tab_Data_Flows[[#This Row],[Flow_ID]]&amp;"_"&amp;"material_"&amp;Tab_Data_Flows[[#This Row],[Flow_Data_Year]]</f>
        <v>F_00_02_material_2095</v>
      </c>
      <c r="S147" s="14">
        <f>IF(O147="no",H147,H147*P147)</f>
        <v>158466.65331178004</v>
      </c>
      <c r="T147" s="8" t="s">
        <v>198</v>
      </c>
      <c r="U147" s="143">
        <f>INDEX(Tab_Def_Flows[[Flow_ID]:[CC_DM_source]],MATCH(Tab_Data_Flows[[#This Row],[Flow_Name]],Tab_Def_Flows[Flow_Name],0),11)</f>
        <v>0</v>
      </c>
      <c r="V147" s="7" t="str">
        <f>Tab_Data_Flows[[#This Row],[Flow_ID]]&amp;"_"&amp;"WC_"&amp;Tab_Data_Flows[[#This Row],[Flow_Data_Year]]</f>
        <v>F_00_02_WC_2095</v>
      </c>
      <c r="W147" s="7">
        <f>IF(D147="Yes",S147*Tab_Data_Flows[[#This Row],[WC_'[%']]],"N.A.")</f>
        <v>0</v>
      </c>
      <c r="X147" s="7" t="str">
        <f>Tab_Data_Flows[[#This Row],[UoM_Flow_Py]]</f>
        <v>Mg</v>
      </c>
      <c r="Y147" s="143">
        <f>INDEX(Tab_Def_Flows[[Flow_ID]:[CC_DM_source]],MATCH(Tab_Data_Flows[[#This Row],[Flow_Name]],Tab_Def_Flows[Flow_Name],0),14)</f>
        <v>1</v>
      </c>
      <c r="Z147" s="7" t="str">
        <f>Tab_Data_Flows[[#This Row],[Flow_ID]]&amp;"_"&amp;"DM_"&amp;Tab_Data_Flows[[#This Row],[Flow_Data_Year]]</f>
        <v>F_00_02_DM_2095</v>
      </c>
      <c r="AA147" s="7">
        <f>IF(E147="Yes",Y147*Tab_Data_Flows[[#This Row],[Flow_Material]],"N.A.")</f>
        <v>158466.65331178004</v>
      </c>
      <c r="AB147" s="7" t="str">
        <f>Tab_Data_Flows[[#This Row],[UoM_Flow_Py]]</f>
        <v>Mg</v>
      </c>
      <c r="AC147" s="143">
        <f>INDEX(Tab_Def_Flows[[Flow_ID]:[CC_DM_source]],MATCH(Tab_Data_Flows[[#This Row],[Flow_Name]],Tab_Def_Flows[Flow_Name],0),17)</f>
        <v>1</v>
      </c>
      <c r="AD147" s="7" t="str">
        <f>Tab_Data_Flows[[#This Row],[Flow_ID]]&amp;"_"&amp;"CC_"&amp;Tab_Data_Flows[[#This Row],[Flow_Data_Year]]</f>
        <v>F_00_02_CC_2095</v>
      </c>
      <c r="AE147" s="7">
        <f>IF(F147="Yes",AC147*Tab_Data_Flows[[#This Row],[Flow_Material]]*Tab_Data_Flows[[#This Row],[DM_'[%']]],"N.A.")</f>
        <v>158466.65331178004</v>
      </c>
      <c r="AF147" s="7" t="str">
        <f>Tab_Data_Flows[[#This Row],[UoM_Flow_Py]]</f>
        <v>Mg</v>
      </c>
      <c r="AG147"/>
    </row>
    <row r="148" spans="1:33" x14ac:dyDescent="0.25">
      <c r="A148" s="9">
        <f t="shared" si="2"/>
        <v>147</v>
      </c>
      <c r="B148" s="7" t="str">
        <f>_xlfn.XLOOKUP(C148,Tab_Def_Flows[Flow_Name],Tab_Def_Flows[Flow_ID],,0,)</f>
        <v>F_00_02</v>
      </c>
      <c r="C148" s="142" t="s">
        <v>588</v>
      </c>
      <c r="D148" s="10" t="str">
        <f>_xlfn.XLOOKUP(C148,Tab_Def_Flows[Flow_Name],Tab_Def_Flows[WC?],,0,)</f>
        <v>Yes</v>
      </c>
      <c r="E148" s="10" t="str">
        <f>_xlfn.XLOOKUP(C148,Tab_Def_Flows[Flow_Name],Tab_Def_Flows[DM?],,0,)</f>
        <v>Yes</v>
      </c>
      <c r="F148" s="10" t="str">
        <f>_xlfn.XLOOKUP(C148,Tab_Def_Flows[Flow_Name],Tab_Def_Flows[CC?],,0,)</f>
        <v>Yes</v>
      </c>
      <c r="G148" s="8">
        <v>2096</v>
      </c>
      <c r="H148" s="23">
        <v>160447.35613380707</v>
      </c>
      <c r="I148" s="8" t="s">
        <v>198</v>
      </c>
      <c r="J148" s="15"/>
      <c r="K148" s="15"/>
      <c r="L148" s="15"/>
      <c r="M148" s="15"/>
      <c r="N148" s="15"/>
      <c r="O148" s="8" t="s">
        <v>6</v>
      </c>
      <c r="P148" s="16"/>
      <c r="Q148" s="8"/>
      <c r="R148" s="7" t="str">
        <f>Tab_Data_Flows[[#This Row],[Flow_ID]]&amp;"_"&amp;"material_"&amp;Tab_Data_Flows[[#This Row],[Flow_Data_Year]]</f>
        <v>F_00_02_material_2096</v>
      </c>
      <c r="S148" s="14">
        <f>IF(O148="no",H148,H148*P148)</f>
        <v>160447.35613380707</v>
      </c>
      <c r="T148" s="8" t="s">
        <v>198</v>
      </c>
      <c r="U148" s="143">
        <f>INDEX(Tab_Def_Flows[[Flow_ID]:[CC_DM_source]],MATCH(Tab_Data_Flows[[#This Row],[Flow_Name]],Tab_Def_Flows[Flow_Name],0),11)</f>
        <v>0</v>
      </c>
      <c r="V148" s="7" t="str">
        <f>Tab_Data_Flows[[#This Row],[Flow_ID]]&amp;"_"&amp;"WC_"&amp;Tab_Data_Flows[[#This Row],[Flow_Data_Year]]</f>
        <v>F_00_02_WC_2096</v>
      </c>
      <c r="W148" s="7">
        <f>IF(D148="Yes",S148*Tab_Data_Flows[[#This Row],[WC_'[%']]],"N.A.")</f>
        <v>0</v>
      </c>
      <c r="X148" s="7" t="str">
        <f>Tab_Data_Flows[[#This Row],[UoM_Flow_Py]]</f>
        <v>Mg</v>
      </c>
      <c r="Y148" s="143">
        <f>INDEX(Tab_Def_Flows[[Flow_ID]:[CC_DM_source]],MATCH(Tab_Data_Flows[[#This Row],[Flow_Name]],Tab_Def_Flows[Flow_Name],0),14)</f>
        <v>1</v>
      </c>
      <c r="Z148" s="7" t="str">
        <f>Tab_Data_Flows[[#This Row],[Flow_ID]]&amp;"_"&amp;"DM_"&amp;Tab_Data_Flows[[#This Row],[Flow_Data_Year]]</f>
        <v>F_00_02_DM_2096</v>
      </c>
      <c r="AA148" s="7">
        <f>IF(E148="Yes",Y148*Tab_Data_Flows[[#This Row],[Flow_Material]],"N.A.")</f>
        <v>160447.35613380707</v>
      </c>
      <c r="AB148" s="7" t="str">
        <f>Tab_Data_Flows[[#This Row],[UoM_Flow_Py]]</f>
        <v>Mg</v>
      </c>
      <c r="AC148" s="143">
        <f>INDEX(Tab_Def_Flows[[Flow_ID]:[CC_DM_source]],MATCH(Tab_Data_Flows[[#This Row],[Flow_Name]],Tab_Def_Flows[Flow_Name],0),17)</f>
        <v>1</v>
      </c>
      <c r="AD148" s="7" t="str">
        <f>Tab_Data_Flows[[#This Row],[Flow_ID]]&amp;"_"&amp;"CC_"&amp;Tab_Data_Flows[[#This Row],[Flow_Data_Year]]</f>
        <v>F_00_02_CC_2096</v>
      </c>
      <c r="AE148" s="7">
        <f>IF(F148="Yes",AC148*Tab_Data_Flows[[#This Row],[Flow_Material]]*Tab_Data_Flows[[#This Row],[DM_'[%']]],"N.A.")</f>
        <v>160447.35613380707</v>
      </c>
      <c r="AF148" s="7" t="str">
        <f>Tab_Data_Flows[[#This Row],[UoM_Flow_Py]]</f>
        <v>Mg</v>
      </c>
      <c r="AG148"/>
    </row>
    <row r="149" spans="1:33" x14ac:dyDescent="0.25">
      <c r="A149" s="9">
        <f t="shared" si="2"/>
        <v>148</v>
      </c>
      <c r="B149" s="7" t="str">
        <f>_xlfn.XLOOKUP(C149,Tab_Def_Flows[Flow_Name],Tab_Def_Flows[Flow_ID],,0,)</f>
        <v>F_00_02</v>
      </c>
      <c r="C149" s="142" t="s">
        <v>588</v>
      </c>
      <c r="D149" s="10" t="str">
        <f>_xlfn.XLOOKUP(C149,Tab_Def_Flows[Flow_Name],Tab_Def_Flows[WC?],,0,)</f>
        <v>Yes</v>
      </c>
      <c r="E149" s="10" t="str">
        <f>_xlfn.XLOOKUP(C149,Tab_Def_Flows[Flow_Name],Tab_Def_Flows[DM?],,0,)</f>
        <v>Yes</v>
      </c>
      <c r="F149" s="10" t="str">
        <f>_xlfn.XLOOKUP(C149,Tab_Def_Flows[Flow_Name],Tab_Def_Flows[CC?],,0,)</f>
        <v>Yes</v>
      </c>
      <c r="G149" s="8">
        <v>2097</v>
      </c>
      <c r="H149" s="23">
        <v>139258.98427732752</v>
      </c>
      <c r="I149" s="8" t="s">
        <v>198</v>
      </c>
      <c r="J149" s="15"/>
      <c r="K149" s="15"/>
      <c r="L149" s="15"/>
      <c r="M149" s="15"/>
      <c r="N149" s="15"/>
      <c r="O149" s="8" t="s">
        <v>6</v>
      </c>
      <c r="P149" s="16"/>
      <c r="Q149" s="8"/>
      <c r="R149" s="7" t="str">
        <f>Tab_Data_Flows[[#This Row],[Flow_ID]]&amp;"_"&amp;"material_"&amp;Tab_Data_Flows[[#This Row],[Flow_Data_Year]]</f>
        <v>F_00_02_material_2097</v>
      </c>
      <c r="S149" s="14">
        <f>IF(O149="no",H149,H149*P149)</f>
        <v>139258.98427732752</v>
      </c>
      <c r="T149" s="8" t="s">
        <v>198</v>
      </c>
      <c r="U149" s="143">
        <f>INDEX(Tab_Def_Flows[[Flow_ID]:[CC_DM_source]],MATCH(Tab_Data_Flows[[#This Row],[Flow_Name]],Tab_Def_Flows[Flow_Name],0),11)</f>
        <v>0</v>
      </c>
      <c r="V149" s="7" t="str">
        <f>Tab_Data_Flows[[#This Row],[Flow_ID]]&amp;"_"&amp;"WC_"&amp;Tab_Data_Flows[[#This Row],[Flow_Data_Year]]</f>
        <v>F_00_02_WC_2097</v>
      </c>
      <c r="W149" s="7">
        <f>IF(D149="Yes",S149*Tab_Data_Flows[[#This Row],[WC_'[%']]],"N.A.")</f>
        <v>0</v>
      </c>
      <c r="X149" s="7" t="str">
        <f>Tab_Data_Flows[[#This Row],[UoM_Flow_Py]]</f>
        <v>Mg</v>
      </c>
      <c r="Y149" s="143">
        <f>INDEX(Tab_Def_Flows[[Flow_ID]:[CC_DM_source]],MATCH(Tab_Data_Flows[[#This Row],[Flow_Name]],Tab_Def_Flows[Flow_Name],0),14)</f>
        <v>1</v>
      </c>
      <c r="Z149" s="7" t="str">
        <f>Tab_Data_Flows[[#This Row],[Flow_ID]]&amp;"_"&amp;"DM_"&amp;Tab_Data_Flows[[#This Row],[Flow_Data_Year]]</f>
        <v>F_00_02_DM_2097</v>
      </c>
      <c r="AA149" s="7">
        <f>IF(E149="Yes",Y149*Tab_Data_Flows[[#This Row],[Flow_Material]],"N.A.")</f>
        <v>139258.98427732752</v>
      </c>
      <c r="AB149" s="7" t="str">
        <f>Tab_Data_Flows[[#This Row],[UoM_Flow_Py]]</f>
        <v>Mg</v>
      </c>
      <c r="AC149" s="143">
        <f>INDEX(Tab_Def_Flows[[Flow_ID]:[CC_DM_source]],MATCH(Tab_Data_Flows[[#This Row],[Flow_Name]],Tab_Def_Flows[Flow_Name],0),17)</f>
        <v>1</v>
      </c>
      <c r="AD149" s="7" t="str">
        <f>Tab_Data_Flows[[#This Row],[Flow_ID]]&amp;"_"&amp;"CC_"&amp;Tab_Data_Flows[[#This Row],[Flow_Data_Year]]</f>
        <v>F_00_02_CC_2097</v>
      </c>
      <c r="AE149" s="7">
        <f>IF(F149="Yes",AC149*Tab_Data_Flows[[#This Row],[Flow_Material]]*Tab_Data_Flows[[#This Row],[DM_'[%']]],"N.A.")</f>
        <v>139258.98427732752</v>
      </c>
      <c r="AF149" s="7" t="str">
        <f>Tab_Data_Flows[[#This Row],[UoM_Flow_Py]]</f>
        <v>Mg</v>
      </c>
      <c r="AG149"/>
    </row>
    <row r="150" spans="1:33" x14ac:dyDescent="0.25">
      <c r="A150" s="9">
        <f t="shared" si="2"/>
        <v>149</v>
      </c>
      <c r="B150" s="7" t="str">
        <f>_xlfn.XLOOKUP(C150,Tab_Def_Flows[Flow_Name],Tab_Def_Flows[Flow_ID],,0,)</f>
        <v>F_00_02</v>
      </c>
      <c r="C150" s="142" t="s">
        <v>588</v>
      </c>
      <c r="D150" s="10" t="str">
        <f>_xlfn.XLOOKUP(C150,Tab_Def_Flows[Flow_Name],Tab_Def_Flows[WC?],,0,)</f>
        <v>Yes</v>
      </c>
      <c r="E150" s="10" t="str">
        <f>_xlfn.XLOOKUP(C150,Tab_Def_Flows[Flow_Name],Tab_Def_Flows[DM?],,0,)</f>
        <v>Yes</v>
      </c>
      <c r="F150" s="10" t="str">
        <f>_xlfn.XLOOKUP(C150,Tab_Def_Flows[Flow_Name],Tab_Def_Flows[CC?],,0,)</f>
        <v>Yes</v>
      </c>
      <c r="G150" s="8">
        <v>2098</v>
      </c>
      <c r="H150" s="23">
        <v>158090.16217564899</v>
      </c>
      <c r="I150" s="8" t="s">
        <v>198</v>
      </c>
      <c r="J150" s="15"/>
      <c r="K150" s="15"/>
      <c r="L150" s="15"/>
      <c r="M150" s="15"/>
      <c r="N150" s="15"/>
      <c r="O150" s="8" t="s">
        <v>6</v>
      </c>
      <c r="P150" s="16"/>
      <c r="Q150" s="8"/>
      <c r="R150" s="7" t="str">
        <f>Tab_Data_Flows[[#This Row],[Flow_ID]]&amp;"_"&amp;"material_"&amp;Tab_Data_Flows[[#This Row],[Flow_Data_Year]]</f>
        <v>F_00_02_material_2098</v>
      </c>
      <c r="S150" s="14">
        <f>IF(O150="no",H150,H150*P150)</f>
        <v>158090.16217564899</v>
      </c>
      <c r="T150" s="8" t="s">
        <v>198</v>
      </c>
      <c r="U150" s="143">
        <f>INDEX(Tab_Def_Flows[[Flow_ID]:[CC_DM_source]],MATCH(Tab_Data_Flows[[#This Row],[Flow_Name]],Tab_Def_Flows[Flow_Name],0),11)</f>
        <v>0</v>
      </c>
      <c r="V150" s="7" t="str">
        <f>Tab_Data_Flows[[#This Row],[Flow_ID]]&amp;"_"&amp;"WC_"&amp;Tab_Data_Flows[[#This Row],[Flow_Data_Year]]</f>
        <v>F_00_02_WC_2098</v>
      </c>
      <c r="W150" s="7">
        <f>IF(D150="Yes",S150*Tab_Data_Flows[[#This Row],[WC_'[%']]],"N.A.")</f>
        <v>0</v>
      </c>
      <c r="X150" s="7" t="str">
        <f>Tab_Data_Flows[[#This Row],[UoM_Flow_Py]]</f>
        <v>Mg</v>
      </c>
      <c r="Y150" s="143">
        <f>INDEX(Tab_Def_Flows[[Flow_ID]:[CC_DM_source]],MATCH(Tab_Data_Flows[[#This Row],[Flow_Name]],Tab_Def_Flows[Flow_Name],0),14)</f>
        <v>1</v>
      </c>
      <c r="Z150" s="7" t="str">
        <f>Tab_Data_Flows[[#This Row],[Flow_ID]]&amp;"_"&amp;"DM_"&amp;Tab_Data_Flows[[#This Row],[Flow_Data_Year]]</f>
        <v>F_00_02_DM_2098</v>
      </c>
      <c r="AA150" s="7">
        <f>IF(E150="Yes",Y150*Tab_Data_Flows[[#This Row],[Flow_Material]],"N.A.")</f>
        <v>158090.16217564899</v>
      </c>
      <c r="AB150" s="7" t="str">
        <f>Tab_Data_Flows[[#This Row],[UoM_Flow_Py]]</f>
        <v>Mg</v>
      </c>
      <c r="AC150" s="143">
        <f>INDEX(Tab_Def_Flows[[Flow_ID]:[CC_DM_source]],MATCH(Tab_Data_Flows[[#This Row],[Flow_Name]],Tab_Def_Flows[Flow_Name],0),17)</f>
        <v>1</v>
      </c>
      <c r="AD150" s="7" t="str">
        <f>Tab_Data_Flows[[#This Row],[Flow_ID]]&amp;"_"&amp;"CC_"&amp;Tab_Data_Flows[[#This Row],[Flow_Data_Year]]</f>
        <v>F_00_02_CC_2098</v>
      </c>
      <c r="AE150" s="7">
        <f>IF(F150="Yes",AC150*Tab_Data_Flows[[#This Row],[Flow_Material]]*Tab_Data_Flows[[#This Row],[DM_'[%']]],"N.A.")</f>
        <v>158090.16217564899</v>
      </c>
      <c r="AF150" s="7" t="str">
        <f>Tab_Data_Flows[[#This Row],[UoM_Flow_Py]]</f>
        <v>Mg</v>
      </c>
      <c r="AG150"/>
    </row>
    <row r="151" spans="1:33" x14ac:dyDescent="0.25">
      <c r="A151" s="9">
        <f t="shared" si="2"/>
        <v>150</v>
      </c>
      <c r="B151" s="7" t="str">
        <f>_xlfn.XLOOKUP(C151,Tab_Def_Flows[Flow_Name],Tab_Def_Flows[Flow_ID],,0,)</f>
        <v>F_00_02</v>
      </c>
      <c r="C151" s="142" t="s">
        <v>588</v>
      </c>
      <c r="D151" s="10" t="str">
        <f>_xlfn.XLOOKUP(C151,Tab_Def_Flows[Flow_Name],Tab_Def_Flows[WC?],,0,)</f>
        <v>Yes</v>
      </c>
      <c r="E151" s="10" t="str">
        <f>_xlfn.XLOOKUP(C151,Tab_Def_Flows[Flow_Name],Tab_Def_Flows[DM?],,0,)</f>
        <v>Yes</v>
      </c>
      <c r="F151" s="10" t="str">
        <f>_xlfn.XLOOKUP(C151,Tab_Def_Flows[Flow_Name],Tab_Def_Flows[CC?],,0,)</f>
        <v>Yes</v>
      </c>
      <c r="G151" s="8">
        <v>2099</v>
      </c>
      <c r="H151" s="23">
        <v>159345.57847124571</v>
      </c>
      <c r="I151" s="8" t="s">
        <v>198</v>
      </c>
      <c r="J151" s="15"/>
      <c r="K151" s="15"/>
      <c r="L151" s="15"/>
      <c r="M151" s="15"/>
      <c r="N151" s="15"/>
      <c r="O151" s="8" t="s">
        <v>6</v>
      </c>
      <c r="P151" s="16"/>
      <c r="Q151" s="8"/>
      <c r="R151" s="7" t="str">
        <f>Tab_Data_Flows[[#This Row],[Flow_ID]]&amp;"_"&amp;"material_"&amp;Tab_Data_Flows[[#This Row],[Flow_Data_Year]]</f>
        <v>F_00_02_material_2099</v>
      </c>
      <c r="S151" s="14">
        <f>IF(O151="no",H151,H151*P151)</f>
        <v>159345.57847124571</v>
      </c>
      <c r="T151" s="8" t="s">
        <v>198</v>
      </c>
      <c r="U151" s="143">
        <f>INDEX(Tab_Def_Flows[[Flow_ID]:[CC_DM_source]],MATCH(Tab_Data_Flows[[#This Row],[Flow_Name]],Tab_Def_Flows[Flow_Name],0),11)</f>
        <v>0</v>
      </c>
      <c r="V151" s="7" t="str">
        <f>Tab_Data_Flows[[#This Row],[Flow_ID]]&amp;"_"&amp;"WC_"&amp;Tab_Data_Flows[[#This Row],[Flow_Data_Year]]</f>
        <v>F_00_02_WC_2099</v>
      </c>
      <c r="W151" s="7">
        <f>IF(D151="Yes",S151*Tab_Data_Flows[[#This Row],[WC_'[%']]],"N.A.")</f>
        <v>0</v>
      </c>
      <c r="X151" s="7" t="str">
        <f>Tab_Data_Flows[[#This Row],[UoM_Flow_Py]]</f>
        <v>Mg</v>
      </c>
      <c r="Y151" s="143">
        <f>INDEX(Tab_Def_Flows[[Flow_ID]:[CC_DM_source]],MATCH(Tab_Data_Flows[[#This Row],[Flow_Name]],Tab_Def_Flows[Flow_Name],0),14)</f>
        <v>1</v>
      </c>
      <c r="Z151" s="7" t="str">
        <f>Tab_Data_Flows[[#This Row],[Flow_ID]]&amp;"_"&amp;"DM_"&amp;Tab_Data_Flows[[#This Row],[Flow_Data_Year]]</f>
        <v>F_00_02_DM_2099</v>
      </c>
      <c r="AA151" s="7">
        <f>IF(E151="Yes",Y151*Tab_Data_Flows[[#This Row],[Flow_Material]],"N.A.")</f>
        <v>159345.57847124571</v>
      </c>
      <c r="AB151" s="7" t="str">
        <f>Tab_Data_Flows[[#This Row],[UoM_Flow_Py]]</f>
        <v>Mg</v>
      </c>
      <c r="AC151" s="143">
        <f>INDEX(Tab_Def_Flows[[Flow_ID]:[CC_DM_source]],MATCH(Tab_Data_Flows[[#This Row],[Flow_Name]],Tab_Def_Flows[Flow_Name],0),17)</f>
        <v>1</v>
      </c>
      <c r="AD151" s="7" t="str">
        <f>Tab_Data_Flows[[#This Row],[Flow_ID]]&amp;"_"&amp;"CC_"&amp;Tab_Data_Flows[[#This Row],[Flow_Data_Year]]</f>
        <v>F_00_02_CC_2099</v>
      </c>
      <c r="AE151" s="7">
        <f>IF(F151="Yes",AC151*Tab_Data_Flows[[#This Row],[Flow_Material]]*Tab_Data_Flows[[#This Row],[DM_'[%']]],"N.A.")</f>
        <v>159345.57847124571</v>
      </c>
      <c r="AF151" s="7" t="str">
        <f>Tab_Data_Flows[[#This Row],[UoM_Flow_Py]]</f>
        <v>Mg</v>
      </c>
      <c r="AG151"/>
    </row>
    <row r="152" spans="1:33" x14ac:dyDescent="0.25">
      <c r="A152" s="9">
        <f t="shared" si="2"/>
        <v>151</v>
      </c>
      <c r="B152" s="7" t="str">
        <f>_xlfn.XLOOKUP(C152,Tab_Def_Flows[Flow_Name],Tab_Def_Flows[Flow_ID],,0,)</f>
        <v>F_00_02</v>
      </c>
      <c r="C152" s="142" t="s">
        <v>588</v>
      </c>
      <c r="D152" s="10" t="str">
        <f>_xlfn.XLOOKUP(C152,Tab_Def_Flows[Flow_Name],Tab_Def_Flows[WC?],,0,)</f>
        <v>Yes</v>
      </c>
      <c r="E152" s="10" t="str">
        <f>_xlfn.XLOOKUP(C152,Tab_Def_Flows[Flow_Name],Tab_Def_Flows[DM?],,0,)</f>
        <v>Yes</v>
      </c>
      <c r="F152" s="10" t="str">
        <f>_xlfn.XLOOKUP(C152,Tab_Def_Flows[Flow_Name],Tab_Def_Flows[CC?],,0,)</f>
        <v>Yes</v>
      </c>
      <c r="G152" s="8">
        <v>2100</v>
      </c>
      <c r="H152" s="23">
        <v>138550.41536438008</v>
      </c>
      <c r="I152" s="8" t="s">
        <v>198</v>
      </c>
      <c r="J152" s="15"/>
      <c r="K152" s="15"/>
      <c r="L152" s="15"/>
      <c r="M152" s="15"/>
      <c r="N152" s="15"/>
      <c r="O152" s="8" t="s">
        <v>6</v>
      </c>
      <c r="P152" s="16"/>
      <c r="Q152" s="8"/>
      <c r="R152" s="7" t="str">
        <f>Tab_Data_Flows[[#This Row],[Flow_ID]]&amp;"_"&amp;"material_"&amp;Tab_Data_Flows[[#This Row],[Flow_Data_Year]]</f>
        <v>F_00_02_material_2100</v>
      </c>
      <c r="S152" s="14">
        <f>IF(O152="no",H152,H152*P152)</f>
        <v>138550.41536438008</v>
      </c>
      <c r="T152" s="8" t="s">
        <v>198</v>
      </c>
      <c r="U152" s="143">
        <f>INDEX(Tab_Def_Flows[[Flow_ID]:[CC_DM_source]],MATCH(Tab_Data_Flows[[#This Row],[Flow_Name]],Tab_Def_Flows[Flow_Name],0),11)</f>
        <v>0</v>
      </c>
      <c r="V152" s="7" t="str">
        <f>Tab_Data_Flows[[#This Row],[Flow_ID]]&amp;"_"&amp;"WC_"&amp;Tab_Data_Flows[[#This Row],[Flow_Data_Year]]</f>
        <v>F_00_02_WC_2100</v>
      </c>
      <c r="W152" s="7">
        <f>IF(D152="Yes",S152*Tab_Data_Flows[[#This Row],[WC_'[%']]],"N.A.")</f>
        <v>0</v>
      </c>
      <c r="X152" s="7" t="str">
        <f>Tab_Data_Flows[[#This Row],[UoM_Flow_Py]]</f>
        <v>Mg</v>
      </c>
      <c r="Y152" s="143">
        <f>INDEX(Tab_Def_Flows[[Flow_ID]:[CC_DM_source]],MATCH(Tab_Data_Flows[[#This Row],[Flow_Name]],Tab_Def_Flows[Flow_Name],0),14)</f>
        <v>1</v>
      </c>
      <c r="Z152" s="7" t="str">
        <f>Tab_Data_Flows[[#This Row],[Flow_ID]]&amp;"_"&amp;"DM_"&amp;Tab_Data_Flows[[#This Row],[Flow_Data_Year]]</f>
        <v>F_00_02_DM_2100</v>
      </c>
      <c r="AA152" s="7">
        <f>IF(E152="Yes",Y152*Tab_Data_Flows[[#This Row],[Flow_Material]],"N.A.")</f>
        <v>138550.41536438008</v>
      </c>
      <c r="AB152" s="7" t="str">
        <f>Tab_Data_Flows[[#This Row],[UoM_Flow_Py]]</f>
        <v>Mg</v>
      </c>
      <c r="AC152" s="143">
        <f>INDEX(Tab_Def_Flows[[Flow_ID]:[CC_DM_source]],MATCH(Tab_Data_Flows[[#This Row],[Flow_Name]],Tab_Def_Flows[Flow_Name],0),17)</f>
        <v>1</v>
      </c>
      <c r="AD152" s="7" t="str">
        <f>Tab_Data_Flows[[#This Row],[Flow_ID]]&amp;"_"&amp;"CC_"&amp;Tab_Data_Flows[[#This Row],[Flow_Data_Year]]</f>
        <v>F_00_02_CC_2100</v>
      </c>
      <c r="AE152" s="7">
        <f>IF(F152="Yes",AC152*Tab_Data_Flows[[#This Row],[Flow_Material]]*Tab_Data_Flows[[#This Row],[DM_'[%']]],"N.A.")</f>
        <v>138550.41536438008</v>
      </c>
      <c r="AF152" s="7" t="str">
        <f>Tab_Data_Flows[[#This Row],[UoM_Flow_Py]]</f>
        <v>Mg</v>
      </c>
      <c r="AG152"/>
    </row>
    <row r="153" spans="1:33" x14ac:dyDescent="0.25">
      <c r="A153" s="9">
        <f t="shared" si="2"/>
        <v>152</v>
      </c>
      <c r="B153" s="7" t="str">
        <f>_xlfn.XLOOKUP(C153,Tab_Def_Flows[Flow_Name],Tab_Def_Flows[Flow_ID],,0,)</f>
        <v>F_01_02</v>
      </c>
      <c r="C153" s="142" t="s">
        <v>599</v>
      </c>
      <c r="D153" s="10" t="str">
        <f>_xlfn.XLOOKUP(C153,Tab_Def_Flows[Flow_Name],Tab_Def_Flows[WC?],,0,)</f>
        <v>Yes</v>
      </c>
      <c r="E153" s="10" t="str">
        <f>_xlfn.XLOOKUP(C153,Tab_Def_Flows[Flow_Name],Tab_Def_Flows[DM?],,0,)</f>
        <v>Yes</v>
      </c>
      <c r="F153" s="10" t="str">
        <f>_xlfn.XLOOKUP(C153,Tab_Def_Flows[Flow_Name],Tab_Def_Flows[CC?],,0,)</f>
        <v>Yes</v>
      </c>
      <c r="G153" s="8">
        <v>1950</v>
      </c>
      <c r="H153" s="23">
        <v>200389.47945205477</v>
      </c>
      <c r="I153" s="8" t="s">
        <v>198</v>
      </c>
      <c r="J153" s="15"/>
      <c r="K153" s="15"/>
      <c r="L153" s="15"/>
      <c r="M153" s="15"/>
      <c r="N153" s="15"/>
      <c r="O153" s="8" t="s">
        <v>6</v>
      </c>
      <c r="P153" s="16"/>
      <c r="Q153" s="8"/>
      <c r="R153" s="7" t="str">
        <f>Tab_Data_Flows[[#This Row],[Flow_ID]]&amp;"_"&amp;"material_"&amp;Tab_Data_Flows[[#This Row],[Flow_Data_Year]]</f>
        <v>F_01_02_material_1950</v>
      </c>
      <c r="S153" s="14">
        <f>IF(O153="no",H153,H153*P153)</f>
        <v>200389.47945205477</v>
      </c>
      <c r="T153" s="8" t="s">
        <v>198</v>
      </c>
      <c r="U153" s="143">
        <f>INDEX(Tab_Def_Flows[[Flow_ID]:[CC_DM_source]],MATCH(Tab_Data_Flows[[#This Row],[Flow_Name]],Tab_Def_Flows[Flow_Name],0),11)</f>
        <v>0.6</v>
      </c>
      <c r="V153" s="7" t="str">
        <f>Tab_Data_Flows[[#This Row],[Flow_ID]]&amp;"_"&amp;"WC_"&amp;Tab_Data_Flows[[#This Row],[Flow_Data_Year]]</f>
        <v>F_01_02_WC_1950</v>
      </c>
      <c r="W153" s="7">
        <f>IF(D153="Yes",S153*Tab_Data_Flows[[#This Row],[WC_'[%']]],"N.A.")</f>
        <v>120233.68767123285</v>
      </c>
      <c r="X153" s="7" t="str">
        <f>Tab_Data_Flows[[#This Row],[UoM_Flow_Py]]</f>
        <v>Mg</v>
      </c>
      <c r="Y153" s="143">
        <f>INDEX(Tab_Def_Flows[[Flow_ID]:[CC_DM_source]],MATCH(Tab_Data_Flows[[#This Row],[Flow_Name]],Tab_Def_Flows[Flow_Name],0),14)</f>
        <v>0.4</v>
      </c>
      <c r="Z153" s="7" t="str">
        <f>Tab_Data_Flows[[#This Row],[Flow_ID]]&amp;"_"&amp;"DM_"&amp;Tab_Data_Flows[[#This Row],[Flow_Data_Year]]</f>
        <v>F_01_02_DM_1950</v>
      </c>
      <c r="AA153" s="7">
        <f>IF(E153="Yes",Y153*Tab_Data_Flows[[#This Row],[Flow_Material]],"N.A.")</f>
        <v>80155.791780821921</v>
      </c>
      <c r="AB153" s="7" t="str">
        <f>Tab_Data_Flows[[#This Row],[UoM_Flow_Py]]</f>
        <v>Mg</v>
      </c>
      <c r="AC153" s="143">
        <f>INDEX(Tab_Def_Flows[[Flow_ID]:[CC_DM_source]],MATCH(Tab_Data_Flows[[#This Row],[Flow_Name]],Tab_Def_Flows[Flow_Name],0),17)</f>
        <v>0</v>
      </c>
      <c r="AD153" s="7" t="str">
        <f>Tab_Data_Flows[[#This Row],[Flow_ID]]&amp;"_"&amp;"CC_"&amp;Tab_Data_Flows[[#This Row],[Flow_Data_Year]]</f>
        <v>F_01_02_CC_1950</v>
      </c>
      <c r="AE153" s="7">
        <f>IF(F153="Yes",AC153*Tab_Data_Flows[[#This Row],[Flow_Material]]*Tab_Data_Flows[[#This Row],[DM_'[%']]],"N.A.")</f>
        <v>0</v>
      </c>
      <c r="AF153" s="7" t="str">
        <f>Tab_Data_Flows[[#This Row],[UoM_Flow_Py]]</f>
        <v>Mg</v>
      </c>
      <c r="AG153"/>
    </row>
    <row r="154" spans="1:33" x14ac:dyDescent="0.25">
      <c r="A154" s="9">
        <f t="shared" si="2"/>
        <v>153</v>
      </c>
      <c r="B154" s="7" t="str">
        <f>_xlfn.XLOOKUP(C154,Tab_Def_Flows[Flow_Name],Tab_Def_Flows[Flow_ID],,0,)</f>
        <v>F_01_02</v>
      </c>
      <c r="C154" s="142" t="s">
        <v>599</v>
      </c>
      <c r="D154" s="10" t="str">
        <f>_xlfn.XLOOKUP(C154,Tab_Def_Flows[Flow_Name],Tab_Def_Flows[WC?],,0,)</f>
        <v>Yes</v>
      </c>
      <c r="E154" s="10" t="str">
        <f>_xlfn.XLOOKUP(C154,Tab_Def_Flows[Flow_Name],Tab_Def_Flows[DM?],,0,)</f>
        <v>Yes</v>
      </c>
      <c r="F154" s="10" t="str">
        <f>_xlfn.XLOOKUP(C154,Tab_Def_Flows[Flow_Name],Tab_Def_Flows[CC?],,0,)</f>
        <v>Yes</v>
      </c>
      <c r="G154" s="8">
        <v>1951</v>
      </c>
      <c r="H154" s="23">
        <v>214943.34246575343</v>
      </c>
      <c r="I154" s="8" t="s">
        <v>198</v>
      </c>
      <c r="J154" s="15"/>
      <c r="K154" s="15"/>
      <c r="L154" s="15"/>
      <c r="M154" s="15"/>
      <c r="N154" s="15"/>
      <c r="O154" s="8" t="s">
        <v>6</v>
      </c>
      <c r="P154" s="8"/>
      <c r="Q154" s="8"/>
      <c r="R154" s="7" t="str">
        <f>Tab_Data_Flows[[#This Row],[Flow_ID]]&amp;"_"&amp;"material_"&amp;Tab_Data_Flows[[#This Row],[Flow_Data_Year]]</f>
        <v>F_01_02_material_1951</v>
      </c>
      <c r="S154" s="14">
        <f>IF(O154="no",H154,H154*P154)</f>
        <v>214943.34246575343</v>
      </c>
      <c r="T154" s="8" t="s">
        <v>198</v>
      </c>
      <c r="U154" s="143">
        <f>INDEX(Tab_Def_Flows[[Flow_ID]:[CC_DM_source]],MATCH(Tab_Data_Flows[[#This Row],[Flow_Name]],Tab_Def_Flows[Flow_Name],0),11)</f>
        <v>0.6</v>
      </c>
      <c r="V154" s="7" t="str">
        <f>Tab_Data_Flows[[#This Row],[Flow_ID]]&amp;"_"&amp;"WC_"&amp;Tab_Data_Flows[[#This Row],[Flow_Data_Year]]</f>
        <v>F_01_02_WC_1951</v>
      </c>
      <c r="W154" s="7">
        <f>IF(D154="Yes",S154*Tab_Data_Flows[[#This Row],[WC_'[%']]],"N.A.")</f>
        <v>128966.00547945205</v>
      </c>
      <c r="X154" s="7" t="str">
        <f>Tab_Data_Flows[[#This Row],[UoM_Flow_Py]]</f>
        <v>Mg</v>
      </c>
      <c r="Y154" s="143">
        <f>INDEX(Tab_Def_Flows[[Flow_ID]:[CC_DM_source]],MATCH(Tab_Data_Flows[[#This Row],[Flow_Name]],Tab_Def_Flows[Flow_Name],0),14)</f>
        <v>0.4</v>
      </c>
      <c r="Z154" s="7" t="str">
        <f>Tab_Data_Flows[[#This Row],[Flow_ID]]&amp;"_"&amp;"DM_"&amp;Tab_Data_Flows[[#This Row],[Flow_Data_Year]]</f>
        <v>F_01_02_DM_1951</v>
      </c>
      <c r="AA154" s="7">
        <f>IF(E154="Yes",Y154*Tab_Data_Flows[[#This Row],[Flow_Material]],"N.A.")</f>
        <v>85977.33698630138</v>
      </c>
      <c r="AB154" s="7" t="str">
        <f>Tab_Data_Flows[[#This Row],[UoM_Flow_Py]]</f>
        <v>Mg</v>
      </c>
      <c r="AC154" s="143">
        <f>INDEX(Tab_Def_Flows[[Flow_ID]:[CC_DM_source]],MATCH(Tab_Data_Flows[[#This Row],[Flow_Name]],Tab_Def_Flows[Flow_Name],0),17)</f>
        <v>0</v>
      </c>
      <c r="AD154" s="7" t="str">
        <f>Tab_Data_Flows[[#This Row],[Flow_ID]]&amp;"_"&amp;"CC_"&amp;Tab_Data_Flows[[#This Row],[Flow_Data_Year]]</f>
        <v>F_01_02_CC_1951</v>
      </c>
      <c r="AE154" s="7">
        <f>IF(F154="Yes",AC154*Tab_Data_Flows[[#This Row],[Flow_Material]]*Tab_Data_Flows[[#This Row],[DM_'[%']]],"N.A.")</f>
        <v>0</v>
      </c>
      <c r="AF154" s="7" t="str">
        <f>Tab_Data_Flows[[#This Row],[UoM_Flow_Py]]</f>
        <v>Mg</v>
      </c>
      <c r="AG154"/>
    </row>
    <row r="155" spans="1:33" x14ac:dyDescent="0.25">
      <c r="A155" s="9">
        <f t="shared" si="2"/>
        <v>154</v>
      </c>
      <c r="B155" s="7" t="str">
        <f>_xlfn.XLOOKUP(C155,Tab_Def_Flows[Flow_Name],Tab_Def_Flows[Flow_ID],,0,)</f>
        <v>F_01_02</v>
      </c>
      <c r="C155" s="142" t="s">
        <v>599</v>
      </c>
      <c r="D155" s="10" t="str">
        <f>_xlfn.XLOOKUP(C155,Tab_Def_Flows[Flow_Name],Tab_Def_Flows[WC?],,0,)</f>
        <v>Yes</v>
      </c>
      <c r="E155" s="10" t="str">
        <f>_xlfn.XLOOKUP(C155,Tab_Def_Flows[Flow_Name],Tab_Def_Flows[DM?],,0,)</f>
        <v>Yes</v>
      </c>
      <c r="F155" s="10" t="str">
        <f>_xlfn.XLOOKUP(C155,Tab_Def_Flows[Flow_Name],Tab_Def_Flows[CC?],,0,)</f>
        <v>Yes</v>
      </c>
      <c r="G155" s="8">
        <v>1952</v>
      </c>
      <c r="H155" s="23">
        <v>192017.09589041094</v>
      </c>
      <c r="I155" s="8" t="s">
        <v>198</v>
      </c>
      <c r="J155" s="15"/>
      <c r="K155" s="15"/>
      <c r="L155" s="15"/>
      <c r="M155" s="15"/>
      <c r="N155" s="15"/>
      <c r="O155" s="8" t="s">
        <v>6</v>
      </c>
      <c r="P155" s="8"/>
      <c r="Q155" s="8"/>
      <c r="R155" s="7" t="str">
        <f>Tab_Data_Flows[[#This Row],[Flow_ID]]&amp;"_"&amp;"material_"&amp;Tab_Data_Flows[[#This Row],[Flow_Data_Year]]</f>
        <v>F_01_02_material_1952</v>
      </c>
      <c r="S155" s="14">
        <f>IF(O155="no",H155,H155*P155)</f>
        <v>192017.09589041094</v>
      </c>
      <c r="T155" s="8" t="s">
        <v>198</v>
      </c>
      <c r="U155" s="143">
        <f>INDEX(Tab_Def_Flows[[Flow_ID]:[CC_DM_source]],MATCH(Tab_Data_Flows[[#This Row],[Flow_Name]],Tab_Def_Flows[Flow_Name],0),11)</f>
        <v>0.6</v>
      </c>
      <c r="V155" s="7" t="str">
        <f>Tab_Data_Flows[[#This Row],[Flow_ID]]&amp;"_"&amp;"WC_"&amp;Tab_Data_Flows[[#This Row],[Flow_Data_Year]]</f>
        <v>F_01_02_WC_1952</v>
      </c>
      <c r="W155" s="7">
        <f>IF(D155="Yes",S155*Tab_Data_Flows[[#This Row],[WC_'[%']]],"N.A.")</f>
        <v>115210.25753424656</v>
      </c>
      <c r="X155" s="7" t="str">
        <f>Tab_Data_Flows[[#This Row],[UoM_Flow_Py]]</f>
        <v>Mg</v>
      </c>
      <c r="Y155" s="143">
        <f>INDEX(Tab_Def_Flows[[Flow_ID]:[CC_DM_source]],MATCH(Tab_Data_Flows[[#This Row],[Flow_Name]],Tab_Def_Flows[Flow_Name],0),14)</f>
        <v>0.4</v>
      </c>
      <c r="Z155" s="7" t="str">
        <f>Tab_Data_Flows[[#This Row],[Flow_ID]]&amp;"_"&amp;"DM_"&amp;Tab_Data_Flows[[#This Row],[Flow_Data_Year]]</f>
        <v>F_01_02_DM_1952</v>
      </c>
      <c r="AA155" s="7">
        <f>IF(E155="Yes",Y155*Tab_Data_Flows[[#This Row],[Flow_Material]],"N.A.")</f>
        <v>76806.838356164386</v>
      </c>
      <c r="AB155" s="7" t="str">
        <f>Tab_Data_Flows[[#This Row],[UoM_Flow_Py]]</f>
        <v>Mg</v>
      </c>
      <c r="AC155" s="143">
        <f>INDEX(Tab_Def_Flows[[Flow_ID]:[CC_DM_source]],MATCH(Tab_Data_Flows[[#This Row],[Flow_Name]],Tab_Def_Flows[Flow_Name],0),17)</f>
        <v>0</v>
      </c>
      <c r="AD155" s="7" t="str">
        <f>Tab_Data_Flows[[#This Row],[Flow_ID]]&amp;"_"&amp;"CC_"&amp;Tab_Data_Flows[[#This Row],[Flow_Data_Year]]</f>
        <v>F_01_02_CC_1952</v>
      </c>
      <c r="AE155" s="7">
        <f>IF(F155="Yes",AC155*Tab_Data_Flows[[#This Row],[Flow_Material]]*Tab_Data_Flows[[#This Row],[DM_'[%']]],"N.A.")</f>
        <v>0</v>
      </c>
      <c r="AF155" s="7" t="str">
        <f>Tab_Data_Flows[[#This Row],[UoM_Flow_Py]]</f>
        <v>Mg</v>
      </c>
      <c r="AG155"/>
    </row>
    <row r="156" spans="1:33" x14ac:dyDescent="0.25">
      <c r="A156" s="9">
        <f t="shared" si="2"/>
        <v>155</v>
      </c>
      <c r="B156" s="7" t="str">
        <f>_xlfn.XLOOKUP(C156,Tab_Def_Flows[Flow_Name],Tab_Def_Flows[Flow_ID],,0,)</f>
        <v>F_01_02</v>
      </c>
      <c r="C156" s="142" t="s">
        <v>599</v>
      </c>
      <c r="D156" s="10" t="str">
        <f>_xlfn.XLOOKUP(C156,Tab_Def_Flows[Flow_Name],Tab_Def_Flows[WC?],,0,)</f>
        <v>Yes</v>
      </c>
      <c r="E156" s="10" t="str">
        <f>_xlfn.XLOOKUP(C156,Tab_Def_Flows[Flow_Name],Tab_Def_Flows[DM?],,0,)</f>
        <v>Yes</v>
      </c>
      <c r="F156" s="10" t="str">
        <f>_xlfn.XLOOKUP(C156,Tab_Def_Flows[Flow_Name],Tab_Def_Flows[CC?],,0,)</f>
        <v>Yes</v>
      </c>
      <c r="G156" s="8">
        <v>1953</v>
      </c>
      <c r="H156" s="23">
        <v>185053.15068493149</v>
      </c>
      <c r="I156" s="8" t="s">
        <v>198</v>
      </c>
      <c r="J156" s="15"/>
      <c r="K156" s="15"/>
      <c r="L156" s="15"/>
      <c r="M156" s="15"/>
      <c r="N156" s="15"/>
      <c r="O156" s="8" t="s">
        <v>6</v>
      </c>
      <c r="P156" s="8"/>
      <c r="Q156" s="8"/>
      <c r="R156" s="7" t="str">
        <f>Tab_Data_Flows[[#This Row],[Flow_ID]]&amp;"_"&amp;"material_"&amp;Tab_Data_Flows[[#This Row],[Flow_Data_Year]]</f>
        <v>F_01_02_material_1953</v>
      </c>
      <c r="S156" s="14">
        <f>IF(O156="no",H156,H156*P156)</f>
        <v>185053.15068493149</v>
      </c>
      <c r="T156" s="8" t="s">
        <v>198</v>
      </c>
      <c r="U156" s="143">
        <f>INDEX(Tab_Def_Flows[[Flow_ID]:[CC_DM_source]],MATCH(Tab_Data_Flows[[#This Row],[Flow_Name]],Tab_Def_Flows[Flow_Name],0),11)</f>
        <v>0.6</v>
      </c>
      <c r="V156" s="7" t="str">
        <f>Tab_Data_Flows[[#This Row],[Flow_ID]]&amp;"_"&amp;"WC_"&amp;Tab_Data_Flows[[#This Row],[Flow_Data_Year]]</f>
        <v>F_01_02_WC_1953</v>
      </c>
      <c r="W156" s="7">
        <f>IF(D156="Yes",S156*Tab_Data_Flows[[#This Row],[WC_'[%']]],"N.A.")</f>
        <v>111031.89041095889</v>
      </c>
      <c r="X156" s="7" t="str">
        <f>Tab_Data_Flows[[#This Row],[UoM_Flow_Py]]</f>
        <v>Mg</v>
      </c>
      <c r="Y156" s="143">
        <f>INDEX(Tab_Def_Flows[[Flow_ID]:[CC_DM_source]],MATCH(Tab_Data_Flows[[#This Row],[Flow_Name]],Tab_Def_Flows[Flow_Name],0),14)</f>
        <v>0.4</v>
      </c>
      <c r="Z156" s="7" t="str">
        <f>Tab_Data_Flows[[#This Row],[Flow_ID]]&amp;"_"&amp;"DM_"&amp;Tab_Data_Flows[[#This Row],[Flow_Data_Year]]</f>
        <v>F_01_02_DM_1953</v>
      </c>
      <c r="AA156" s="7">
        <f>IF(E156="Yes",Y156*Tab_Data_Flows[[#This Row],[Flow_Material]],"N.A.")</f>
        <v>74021.260273972599</v>
      </c>
      <c r="AB156" s="7" t="str">
        <f>Tab_Data_Flows[[#This Row],[UoM_Flow_Py]]</f>
        <v>Mg</v>
      </c>
      <c r="AC156" s="143">
        <f>INDEX(Tab_Def_Flows[[Flow_ID]:[CC_DM_source]],MATCH(Tab_Data_Flows[[#This Row],[Flow_Name]],Tab_Def_Flows[Flow_Name],0),17)</f>
        <v>0</v>
      </c>
      <c r="AD156" s="7" t="str">
        <f>Tab_Data_Flows[[#This Row],[Flow_ID]]&amp;"_"&amp;"CC_"&amp;Tab_Data_Flows[[#This Row],[Flow_Data_Year]]</f>
        <v>F_01_02_CC_1953</v>
      </c>
      <c r="AE156" s="7">
        <f>IF(F156="Yes",AC156*Tab_Data_Flows[[#This Row],[Flow_Material]]*Tab_Data_Flows[[#This Row],[DM_'[%']]],"N.A.")</f>
        <v>0</v>
      </c>
      <c r="AF156" s="7" t="str">
        <f>Tab_Data_Flows[[#This Row],[UoM_Flow_Py]]</f>
        <v>Mg</v>
      </c>
      <c r="AG156"/>
    </row>
    <row r="157" spans="1:33" x14ac:dyDescent="0.25">
      <c r="A157" s="9">
        <f t="shared" si="2"/>
        <v>156</v>
      </c>
      <c r="B157" s="7" t="str">
        <f>_xlfn.XLOOKUP(C157,Tab_Def_Flows[Flow_Name],Tab_Def_Flows[Flow_ID],,0,)</f>
        <v>F_01_02</v>
      </c>
      <c r="C157" s="142" t="s">
        <v>599</v>
      </c>
      <c r="D157" s="10" t="str">
        <f>_xlfn.XLOOKUP(C157,Tab_Def_Flows[Flow_Name],Tab_Def_Flows[WC?],,0,)</f>
        <v>Yes</v>
      </c>
      <c r="E157" s="10" t="str">
        <f>_xlfn.XLOOKUP(C157,Tab_Def_Flows[Flow_Name],Tab_Def_Flows[DM?],,0,)</f>
        <v>Yes</v>
      </c>
      <c r="F157" s="10" t="str">
        <f>_xlfn.XLOOKUP(C157,Tab_Def_Flows[Flow_Name],Tab_Def_Flows[CC?],,0,)</f>
        <v>Yes</v>
      </c>
      <c r="G157" s="8">
        <v>1954</v>
      </c>
      <c r="H157" s="23">
        <v>178402.19178082194</v>
      </c>
      <c r="I157" s="8" t="s">
        <v>198</v>
      </c>
      <c r="J157" s="15"/>
      <c r="K157" s="15"/>
      <c r="L157" s="15"/>
      <c r="M157" s="15"/>
      <c r="N157" s="15"/>
      <c r="O157" s="8" t="s">
        <v>6</v>
      </c>
      <c r="P157" s="8"/>
      <c r="Q157" s="8"/>
      <c r="R157" s="7" t="str">
        <f>Tab_Data_Flows[[#This Row],[Flow_ID]]&amp;"_"&amp;"material_"&amp;Tab_Data_Flows[[#This Row],[Flow_Data_Year]]</f>
        <v>F_01_02_material_1954</v>
      </c>
      <c r="S157" s="14">
        <f>IF(O157="no",H157,H157*P157)</f>
        <v>178402.19178082194</v>
      </c>
      <c r="T157" s="8" t="s">
        <v>198</v>
      </c>
      <c r="U157" s="143">
        <f>INDEX(Tab_Def_Flows[[Flow_ID]:[CC_DM_source]],MATCH(Tab_Data_Flows[[#This Row],[Flow_Name]],Tab_Def_Flows[Flow_Name],0),11)</f>
        <v>0.6</v>
      </c>
      <c r="V157" s="7" t="str">
        <f>Tab_Data_Flows[[#This Row],[Flow_ID]]&amp;"_"&amp;"WC_"&amp;Tab_Data_Flows[[#This Row],[Flow_Data_Year]]</f>
        <v>F_01_02_WC_1954</v>
      </c>
      <c r="W157" s="7">
        <f>IF(D157="Yes",S157*Tab_Data_Flows[[#This Row],[WC_'[%']]],"N.A.")</f>
        <v>107041.31506849316</v>
      </c>
      <c r="X157" s="7" t="str">
        <f>Tab_Data_Flows[[#This Row],[UoM_Flow_Py]]</f>
        <v>Mg</v>
      </c>
      <c r="Y157" s="143">
        <f>INDEX(Tab_Def_Flows[[Flow_ID]:[CC_DM_source]],MATCH(Tab_Data_Flows[[#This Row],[Flow_Name]],Tab_Def_Flows[Flow_Name],0),14)</f>
        <v>0.4</v>
      </c>
      <c r="Z157" s="7" t="str">
        <f>Tab_Data_Flows[[#This Row],[Flow_ID]]&amp;"_"&amp;"DM_"&amp;Tab_Data_Flows[[#This Row],[Flow_Data_Year]]</f>
        <v>F_01_02_DM_1954</v>
      </c>
      <c r="AA157" s="7">
        <f>IF(E157="Yes",Y157*Tab_Data_Flows[[#This Row],[Flow_Material]],"N.A.")</f>
        <v>71360.876712328783</v>
      </c>
      <c r="AB157" s="7" t="str">
        <f>Tab_Data_Flows[[#This Row],[UoM_Flow_Py]]</f>
        <v>Mg</v>
      </c>
      <c r="AC157" s="143">
        <f>INDEX(Tab_Def_Flows[[Flow_ID]:[CC_DM_source]],MATCH(Tab_Data_Flows[[#This Row],[Flow_Name]],Tab_Def_Flows[Flow_Name],0),17)</f>
        <v>0</v>
      </c>
      <c r="AD157" s="7" t="str">
        <f>Tab_Data_Flows[[#This Row],[Flow_ID]]&amp;"_"&amp;"CC_"&amp;Tab_Data_Flows[[#This Row],[Flow_Data_Year]]</f>
        <v>F_01_02_CC_1954</v>
      </c>
      <c r="AE157" s="7">
        <f>IF(F157="Yes",AC157*Tab_Data_Flows[[#This Row],[Flow_Material]]*Tab_Data_Flows[[#This Row],[DM_'[%']]],"N.A.")</f>
        <v>0</v>
      </c>
      <c r="AF157" s="7" t="str">
        <f>Tab_Data_Flows[[#This Row],[UoM_Flow_Py]]</f>
        <v>Mg</v>
      </c>
      <c r="AG157"/>
    </row>
    <row r="158" spans="1:33" x14ac:dyDescent="0.25">
      <c r="A158" s="9">
        <f t="shared" si="2"/>
        <v>157</v>
      </c>
      <c r="B158" s="7" t="str">
        <f>_xlfn.XLOOKUP(C158,Tab_Def_Flows[Flow_Name],Tab_Def_Flows[Flow_ID],,0,)</f>
        <v>F_01_02</v>
      </c>
      <c r="C158" s="142" t="s">
        <v>599</v>
      </c>
      <c r="D158" s="10" t="str">
        <f>_xlfn.XLOOKUP(C158,Tab_Def_Flows[Flow_Name],Tab_Def_Flows[WC?],,0,)</f>
        <v>Yes</v>
      </c>
      <c r="E158" s="10" t="str">
        <f>_xlfn.XLOOKUP(C158,Tab_Def_Flows[Flow_Name],Tab_Def_Flows[DM?],,0,)</f>
        <v>Yes</v>
      </c>
      <c r="F158" s="10" t="str">
        <f>_xlfn.XLOOKUP(C158,Tab_Def_Flows[Flow_Name],Tab_Def_Flows[CC?],,0,)</f>
        <v>Yes</v>
      </c>
      <c r="G158" s="8">
        <v>1955</v>
      </c>
      <c r="H158" s="23">
        <v>199059.28767123289</v>
      </c>
      <c r="I158" s="8" t="s">
        <v>198</v>
      </c>
      <c r="J158" s="15"/>
      <c r="K158" s="15"/>
      <c r="L158" s="15"/>
      <c r="M158" s="15"/>
      <c r="N158" s="15"/>
      <c r="O158" s="8" t="s">
        <v>6</v>
      </c>
      <c r="P158" s="8"/>
      <c r="Q158" s="8"/>
      <c r="R158" s="7" t="str">
        <f>Tab_Data_Flows[[#This Row],[Flow_ID]]&amp;"_"&amp;"material_"&amp;Tab_Data_Flows[[#This Row],[Flow_Data_Year]]</f>
        <v>F_01_02_material_1955</v>
      </c>
      <c r="S158" s="14">
        <f>IF(O158="no",H158,H158*P158)</f>
        <v>199059.28767123289</v>
      </c>
      <c r="T158" s="8" t="s">
        <v>198</v>
      </c>
      <c r="U158" s="143">
        <f>INDEX(Tab_Def_Flows[[Flow_ID]:[CC_DM_source]],MATCH(Tab_Data_Flows[[#This Row],[Flow_Name]],Tab_Def_Flows[Flow_Name],0),11)</f>
        <v>0.6</v>
      </c>
      <c r="V158" s="7" t="str">
        <f>Tab_Data_Flows[[#This Row],[Flow_ID]]&amp;"_"&amp;"WC_"&amp;Tab_Data_Flows[[#This Row],[Flow_Data_Year]]</f>
        <v>F_01_02_WC_1955</v>
      </c>
      <c r="W158" s="7">
        <f>IF(D158="Yes",S158*Tab_Data_Flows[[#This Row],[WC_'[%']]],"N.A.")</f>
        <v>119435.57260273973</v>
      </c>
      <c r="X158" s="7" t="str">
        <f>Tab_Data_Flows[[#This Row],[UoM_Flow_Py]]</f>
        <v>Mg</v>
      </c>
      <c r="Y158" s="143">
        <f>INDEX(Tab_Def_Flows[[Flow_ID]:[CC_DM_source]],MATCH(Tab_Data_Flows[[#This Row],[Flow_Name]],Tab_Def_Flows[Flow_Name],0),14)</f>
        <v>0.4</v>
      </c>
      <c r="Z158" s="7" t="str">
        <f>Tab_Data_Flows[[#This Row],[Flow_ID]]&amp;"_"&amp;"DM_"&amp;Tab_Data_Flows[[#This Row],[Flow_Data_Year]]</f>
        <v>F_01_02_DM_1955</v>
      </c>
      <c r="AA158" s="7">
        <f>IF(E158="Yes",Y158*Tab_Data_Flows[[#This Row],[Flow_Material]],"N.A.")</f>
        <v>79623.715068493155</v>
      </c>
      <c r="AB158" s="7" t="str">
        <f>Tab_Data_Flows[[#This Row],[UoM_Flow_Py]]</f>
        <v>Mg</v>
      </c>
      <c r="AC158" s="143">
        <f>INDEX(Tab_Def_Flows[[Flow_ID]:[CC_DM_source]],MATCH(Tab_Data_Flows[[#This Row],[Flow_Name]],Tab_Def_Flows[Flow_Name],0),17)</f>
        <v>0</v>
      </c>
      <c r="AD158" s="7" t="str">
        <f>Tab_Data_Flows[[#This Row],[Flow_ID]]&amp;"_"&amp;"CC_"&amp;Tab_Data_Flows[[#This Row],[Flow_Data_Year]]</f>
        <v>F_01_02_CC_1955</v>
      </c>
      <c r="AE158" s="7">
        <f>IF(F158="Yes",AC158*Tab_Data_Flows[[#This Row],[Flow_Material]]*Tab_Data_Flows[[#This Row],[DM_'[%']]],"N.A.")</f>
        <v>0</v>
      </c>
      <c r="AF158" s="7" t="str">
        <f>Tab_Data_Flows[[#This Row],[UoM_Flow_Py]]</f>
        <v>Mg</v>
      </c>
      <c r="AG158"/>
    </row>
    <row r="159" spans="1:33" x14ac:dyDescent="0.25">
      <c r="A159" s="9">
        <f t="shared" si="2"/>
        <v>158</v>
      </c>
      <c r="B159" s="7" t="str">
        <f>_xlfn.XLOOKUP(C159,Tab_Def_Flows[Flow_Name],Tab_Def_Flows[Flow_ID],,0,)</f>
        <v>F_01_02</v>
      </c>
      <c r="C159" s="142" t="s">
        <v>599</v>
      </c>
      <c r="D159" s="10" t="str">
        <f>_xlfn.XLOOKUP(C159,Tab_Def_Flows[Flow_Name],Tab_Def_Flows[WC?],,0,)</f>
        <v>Yes</v>
      </c>
      <c r="E159" s="10" t="str">
        <f>_xlfn.XLOOKUP(C159,Tab_Def_Flows[Flow_Name],Tab_Def_Flows[DM?],,0,)</f>
        <v>Yes</v>
      </c>
      <c r="F159" s="10" t="str">
        <f>_xlfn.XLOOKUP(C159,Tab_Def_Flows[Flow_Name],Tab_Def_Flows[CC?],,0,)</f>
        <v>Yes</v>
      </c>
      <c r="G159" s="8">
        <v>1956</v>
      </c>
      <c r="H159" s="23">
        <v>169560.32876712331</v>
      </c>
      <c r="I159" s="8" t="s">
        <v>198</v>
      </c>
      <c r="J159" s="15"/>
      <c r="K159" s="15"/>
      <c r="L159" s="15"/>
      <c r="M159" s="15"/>
      <c r="N159" s="15"/>
      <c r="O159" s="8" t="s">
        <v>6</v>
      </c>
      <c r="P159" s="8"/>
      <c r="Q159" s="8"/>
      <c r="R159" s="7" t="str">
        <f>Tab_Data_Flows[[#This Row],[Flow_ID]]&amp;"_"&amp;"material_"&amp;Tab_Data_Flows[[#This Row],[Flow_Data_Year]]</f>
        <v>F_01_02_material_1956</v>
      </c>
      <c r="S159" s="14">
        <f>IF(O159="no",H159,H159*P159)</f>
        <v>169560.32876712331</v>
      </c>
      <c r="T159" s="8" t="s">
        <v>198</v>
      </c>
      <c r="U159" s="143">
        <f>INDEX(Tab_Def_Flows[[Flow_ID]:[CC_DM_source]],MATCH(Tab_Data_Flows[[#This Row],[Flow_Name]],Tab_Def_Flows[Flow_Name],0),11)</f>
        <v>0.6</v>
      </c>
      <c r="V159" s="7" t="str">
        <f>Tab_Data_Flows[[#This Row],[Flow_ID]]&amp;"_"&amp;"WC_"&amp;Tab_Data_Flows[[#This Row],[Flow_Data_Year]]</f>
        <v>F_01_02_WC_1956</v>
      </c>
      <c r="W159" s="7">
        <f>IF(D159="Yes",S159*Tab_Data_Flows[[#This Row],[WC_'[%']]],"N.A.")</f>
        <v>101736.19726027398</v>
      </c>
      <c r="X159" s="7" t="str">
        <f>Tab_Data_Flows[[#This Row],[UoM_Flow_Py]]</f>
        <v>Mg</v>
      </c>
      <c r="Y159" s="143">
        <f>INDEX(Tab_Def_Flows[[Flow_ID]:[CC_DM_source]],MATCH(Tab_Data_Flows[[#This Row],[Flow_Name]],Tab_Def_Flows[Flow_Name],0),14)</f>
        <v>0.4</v>
      </c>
      <c r="Z159" s="7" t="str">
        <f>Tab_Data_Flows[[#This Row],[Flow_ID]]&amp;"_"&amp;"DM_"&amp;Tab_Data_Flows[[#This Row],[Flow_Data_Year]]</f>
        <v>F_01_02_DM_1956</v>
      </c>
      <c r="AA159" s="7">
        <f>IF(E159="Yes",Y159*Tab_Data_Flows[[#This Row],[Flow_Material]],"N.A.")</f>
        <v>67824.131506849328</v>
      </c>
      <c r="AB159" s="7" t="str">
        <f>Tab_Data_Flows[[#This Row],[UoM_Flow_Py]]</f>
        <v>Mg</v>
      </c>
      <c r="AC159" s="143">
        <f>INDEX(Tab_Def_Flows[[Flow_ID]:[CC_DM_source]],MATCH(Tab_Data_Flows[[#This Row],[Flow_Name]],Tab_Def_Flows[Flow_Name],0),17)</f>
        <v>0</v>
      </c>
      <c r="AD159" s="7" t="str">
        <f>Tab_Data_Flows[[#This Row],[Flow_ID]]&amp;"_"&amp;"CC_"&amp;Tab_Data_Flows[[#This Row],[Flow_Data_Year]]</f>
        <v>F_01_02_CC_1956</v>
      </c>
      <c r="AE159" s="7">
        <f>IF(F159="Yes",AC159*Tab_Data_Flows[[#This Row],[Flow_Material]]*Tab_Data_Flows[[#This Row],[DM_'[%']]],"N.A.")</f>
        <v>0</v>
      </c>
      <c r="AF159" s="7" t="str">
        <f>Tab_Data_Flows[[#This Row],[UoM_Flow_Py]]</f>
        <v>Mg</v>
      </c>
      <c r="AG159"/>
    </row>
    <row r="160" spans="1:33" x14ac:dyDescent="0.25">
      <c r="A160" s="9">
        <f t="shared" si="2"/>
        <v>159</v>
      </c>
      <c r="B160" s="7" t="str">
        <f>_xlfn.XLOOKUP(C160,Tab_Def_Flows[Flow_Name],Tab_Def_Flows[Flow_ID],,0,)</f>
        <v>F_01_02</v>
      </c>
      <c r="C160" s="142" t="s">
        <v>599</v>
      </c>
      <c r="D160" s="10" t="str">
        <f>_xlfn.XLOOKUP(C160,Tab_Def_Flows[Flow_Name],Tab_Def_Flows[WC?],,0,)</f>
        <v>Yes</v>
      </c>
      <c r="E160" s="10" t="str">
        <f>_xlfn.XLOOKUP(C160,Tab_Def_Flows[Flow_Name],Tab_Def_Flows[DM?],,0,)</f>
        <v>Yes</v>
      </c>
      <c r="F160" s="10" t="str">
        <f>_xlfn.XLOOKUP(C160,Tab_Def_Flows[Flow_Name],Tab_Def_Flows[CC?],,0,)</f>
        <v>Yes</v>
      </c>
      <c r="G160" s="8">
        <v>1957</v>
      </c>
      <c r="H160" s="23">
        <v>186070.35616438364</v>
      </c>
      <c r="I160" s="8" t="s">
        <v>198</v>
      </c>
      <c r="J160" s="15"/>
      <c r="K160" s="15"/>
      <c r="L160" s="15"/>
      <c r="M160" s="15"/>
      <c r="N160" s="15"/>
      <c r="O160" s="8" t="s">
        <v>6</v>
      </c>
      <c r="P160" s="8"/>
      <c r="Q160" s="8"/>
      <c r="R160" s="7" t="str">
        <f>Tab_Data_Flows[[#This Row],[Flow_ID]]&amp;"_"&amp;"material_"&amp;Tab_Data_Flows[[#This Row],[Flow_Data_Year]]</f>
        <v>F_01_02_material_1957</v>
      </c>
      <c r="S160" s="14">
        <f>IF(O160="no",H160,H160*P160)</f>
        <v>186070.35616438364</v>
      </c>
      <c r="T160" s="8" t="s">
        <v>198</v>
      </c>
      <c r="U160" s="143">
        <f>INDEX(Tab_Def_Flows[[Flow_ID]:[CC_DM_source]],MATCH(Tab_Data_Flows[[#This Row],[Flow_Name]],Tab_Def_Flows[Flow_Name],0),11)</f>
        <v>0.6</v>
      </c>
      <c r="V160" s="7" t="str">
        <f>Tab_Data_Flows[[#This Row],[Flow_ID]]&amp;"_"&amp;"WC_"&amp;Tab_Data_Flows[[#This Row],[Flow_Data_Year]]</f>
        <v>F_01_02_WC_1957</v>
      </c>
      <c r="W160" s="7">
        <f>IF(D160="Yes",S160*Tab_Data_Flows[[#This Row],[WC_'[%']]],"N.A.")</f>
        <v>111642.21369863018</v>
      </c>
      <c r="X160" s="7" t="str">
        <f>Tab_Data_Flows[[#This Row],[UoM_Flow_Py]]</f>
        <v>Mg</v>
      </c>
      <c r="Y160" s="143">
        <f>INDEX(Tab_Def_Flows[[Flow_ID]:[CC_DM_source]],MATCH(Tab_Data_Flows[[#This Row],[Flow_Name]],Tab_Def_Flows[Flow_Name],0),14)</f>
        <v>0.4</v>
      </c>
      <c r="Z160" s="7" t="str">
        <f>Tab_Data_Flows[[#This Row],[Flow_ID]]&amp;"_"&amp;"DM_"&amp;Tab_Data_Flows[[#This Row],[Flow_Data_Year]]</f>
        <v>F_01_02_DM_1957</v>
      </c>
      <c r="AA160" s="7">
        <f>IF(E160="Yes",Y160*Tab_Data_Flows[[#This Row],[Flow_Material]],"N.A.")</f>
        <v>74428.142465753466</v>
      </c>
      <c r="AB160" s="7" t="str">
        <f>Tab_Data_Flows[[#This Row],[UoM_Flow_Py]]</f>
        <v>Mg</v>
      </c>
      <c r="AC160" s="143">
        <f>INDEX(Tab_Def_Flows[[Flow_ID]:[CC_DM_source]],MATCH(Tab_Data_Flows[[#This Row],[Flow_Name]],Tab_Def_Flows[Flow_Name],0),17)</f>
        <v>0</v>
      </c>
      <c r="AD160" s="7" t="str">
        <f>Tab_Data_Flows[[#This Row],[Flow_ID]]&amp;"_"&amp;"CC_"&amp;Tab_Data_Flows[[#This Row],[Flow_Data_Year]]</f>
        <v>F_01_02_CC_1957</v>
      </c>
      <c r="AE160" s="7">
        <f>IF(F160="Yes",AC160*Tab_Data_Flows[[#This Row],[Flow_Material]]*Tab_Data_Flows[[#This Row],[DM_'[%']]],"N.A.")</f>
        <v>0</v>
      </c>
      <c r="AF160" s="7" t="str">
        <f>Tab_Data_Flows[[#This Row],[UoM_Flow_Py]]</f>
        <v>Mg</v>
      </c>
      <c r="AG160"/>
    </row>
    <row r="161" spans="1:33" x14ac:dyDescent="0.25">
      <c r="A161" s="9">
        <f t="shared" si="2"/>
        <v>160</v>
      </c>
      <c r="B161" s="7" t="str">
        <f>_xlfn.XLOOKUP(C161,Tab_Def_Flows[Flow_Name],Tab_Def_Flows[Flow_ID],,0,)</f>
        <v>F_01_02</v>
      </c>
      <c r="C161" s="142" t="s">
        <v>599</v>
      </c>
      <c r="D161" s="10" t="str">
        <f>_xlfn.XLOOKUP(C161,Tab_Def_Flows[Flow_Name],Tab_Def_Flows[WC?],,0,)</f>
        <v>Yes</v>
      </c>
      <c r="E161" s="10" t="str">
        <f>_xlfn.XLOOKUP(C161,Tab_Def_Flows[Flow_Name],Tab_Def_Flows[DM?],,0,)</f>
        <v>Yes</v>
      </c>
      <c r="F161" s="10" t="str">
        <f>_xlfn.XLOOKUP(C161,Tab_Def_Flows[Flow_Name],Tab_Def_Flows[CC?],,0,)</f>
        <v>Yes</v>
      </c>
      <c r="G161" s="8">
        <v>1958</v>
      </c>
      <c r="H161" s="23">
        <v>188026.52054794517</v>
      </c>
      <c r="I161" s="8" t="s">
        <v>198</v>
      </c>
      <c r="J161" s="15"/>
      <c r="K161" s="15"/>
      <c r="L161" s="15"/>
      <c r="M161" s="15"/>
      <c r="N161" s="15"/>
      <c r="O161" s="8" t="s">
        <v>6</v>
      </c>
      <c r="P161" s="8"/>
      <c r="Q161" s="8"/>
      <c r="R161" s="7" t="str">
        <f>Tab_Data_Flows[[#This Row],[Flow_ID]]&amp;"_"&amp;"material_"&amp;Tab_Data_Flows[[#This Row],[Flow_Data_Year]]</f>
        <v>F_01_02_material_1958</v>
      </c>
      <c r="S161" s="14">
        <f>IF(O161="no",H161,H161*P161)</f>
        <v>188026.52054794517</v>
      </c>
      <c r="T161" s="8" t="s">
        <v>198</v>
      </c>
      <c r="U161" s="143">
        <f>INDEX(Tab_Def_Flows[[Flow_ID]:[CC_DM_source]],MATCH(Tab_Data_Flows[[#This Row],[Flow_Name]],Tab_Def_Flows[Flow_Name],0),11)</f>
        <v>0.6</v>
      </c>
      <c r="V161" s="7" t="str">
        <f>Tab_Data_Flows[[#This Row],[Flow_ID]]&amp;"_"&amp;"WC_"&amp;Tab_Data_Flows[[#This Row],[Flow_Data_Year]]</f>
        <v>F_01_02_WC_1958</v>
      </c>
      <c r="W161" s="7">
        <f>IF(D161="Yes",S161*Tab_Data_Flows[[#This Row],[WC_'[%']]],"N.A.")</f>
        <v>112815.9123287671</v>
      </c>
      <c r="X161" s="7" t="str">
        <f>Tab_Data_Flows[[#This Row],[UoM_Flow_Py]]</f>
        <v>Mg</v>
      </c>
      <c r="Y161" s="143">
        <f>INDEX(Tab_Def_Flows[[Flow_ID]:[CC_DM_source]],MATCH(Tab_Data_Flows[[#This Row],[Flow_Name]],Tab_Def_Flows[Flow_Name],0),14)</f>
        <v>0.4</v>
      </c>
      <c r="Z161" s="7" t="str">
        <f>Tab_Data_Flows[[#This Row],[Flow_ID]]&amp;"_"&amp;"DM_"&amp;Tab_Data_Flows[[#This Row],[Flow_Data_Year]]</f>
        <v>F_01_02_DM_1958</v>
      </c>
      <c r="AA161" s="7">
        <f>IF(E161="Yes",Y161*Tab_Data_Flows[[#This Row],[Flow_Material]],"N.A.")</f>
        <v>75210.608219178073</v>
      </c>
      <c r="AB161" s="7" t="str">
        <f>Tab_Data_Flows[[#This Row],[UoM_Flow_Py]]</f>
        <v>Mg</v>
      </c>
      <c r="AC161" s="143">
        <f>INDEX(Tab_Def_Flows[[Flow_ID]:[CC_DM_source]],MATCH(Tab_Data_Flows[[#This Row],[Flow_Name]],Tab_Def_Flows[Flow_Name],0),17)</f>
        <v>0</v>
      </c>
      <c r="AD161" s="7" t="str">
        <f>Tab_Data_Flows[[#This Row],[Flow_ID]]&amp;"_"&amp;"CC_"&amp;Tab_Data_Flows[[#This Row],[Flow_Data_Year]]</f>
        <v>F_01_02_CC_1958</v>
      </c>
      <c r="AE161" s="7">
        <f>IF(F161="Yes",AC161*Tab_Data_Flows[[#This Row],[Flow_Material]]*Tab_Data_Flows[[#This Row],[DM_'[%']]],"N.A.")</f>
        <v>0</v>
      </c>
      <c r="AF161" s="7" t="str">
        <f>Tab_Data_Flows[[#This Row],[UoM_Flow_Py]]</f>
        <v>Mg</v>
      </c>
      <c r="AG161"/>
    </row>
    <row r="162" spans="1:33" x14ac:dyDescent="0.25">
      <c r="A162" s="9">
        <f t="shared" si="2"/>
        <v>161</v>
      </c>
      <c r="B162" s="7" t="str">
        <f>_xlfn.XLOOKUP(C162,Tab_Def_Flows[Flow_Name],Tab_Def_Flows[Flow_ID],,0,)</f>
        <v>F_01_02</v>
      </c>
      <c r="C162" s="142" t="s">
        <v>599</v>
      </c>
      <c r="D162" s="10" t="str">
        <f>_xlfn.XLOOKUP(C162,Tab_Def_Flows[Flow_Name],Tab_Def_Flows[WC?],,0,)</f>
        <v>Yes</v>
      </c>
      <c r="E162" s="10" t="str">
        <f>_xlfn.XLOOKUP(C162,Tab_Def_Flows[Flow_Name],Tab_Def_Flows[DM?],,0,)</f>
        <v>Yes</v>
      </c>
      <c r="F162" s="10" t="str">
        <f>_xlfn.XLOOKUP(C162,Tab_Def_Flows[Flow_Name],Tab_Def_Flows[CC?],,0,)</f>
        <v>Yes</v>
      </c>
      <c r="G162" s="8">
        <v>1959</v>
      </c>
      <c r="H162" s="23">
        <v>185053.15068493149</v>
      </c>
      <c r="I162" s="8" t="s">
        <v>198</v>
      </c>
      <c r="J162" s="15"/>
      <c r="K162" s="15"/>
      <c r="L162" s="15"/>
      <c r="M162" s="15"/>
      <c r="N162" s="15"/>
      <c r="O162" s="8" t="s">
        <v>6</v>
      </c>
      <c r="P162" s="8"/>
      <c r="Q162" s="8"/>
      <c r="R162" s="7" t="str">
        <f>Tab_Data_Flows[[#This Row],[Flow_ID]]&amp;"_"&amp;"material_"&amp;Tab_Data_Flows[[#This Row],[Flow_Data_Year]]</f>
        <v>F_01_02_material_1959</v>
      </c>
      <c r="S162" s="14">
        <f>IF(O162="no",H162,H162*P162)</f>
        <v>185053.15068493149</v>
      </c>
      <c r="T162" s="8" t="s">
        <v>198</v>
      </c>
      <c r="U162" s="143">
        <f>INDEX(Tab_Def_Flows[[Flow_ID]:[CC_DM_source]],MATCH(Tab_Data_Flows[[#This Row],[Flow_Name]],Tab_Def_Flows[Flow_Name],0),11)</f>
        <v>0.6</v>
      </c>
      <c r="V162" s="7" t="str">
        <f>Tab_Data_Flows[[#This Row],[Flow_ID]]&amp;"_"&amp;"WC_"&amp;Tab_Data_Flows[[#This Row],[Flow_Data_Year]]</f>
        <v>F_01_02_WC_1959</v>
      </c>
      <c r="W162" s="7">
        <f>IF(D162="Yes",S162*Tab_Data_Flows[[#This Row],[WC_'[%']]],"N.A.")</f>
        <v>111031.89041095889</v>
      </c>
      <c r="X162" s="7" t="str">
        <f>Tab_Data_Flows[[#This Row],[UoM_Flow_Py]]</f>
        <v>Mg</v>
      </c>
      <c r="Y162" s="143">
        <f>INDEX(Tab_Def_Flows[[Flow_ID]:[CC_DM_source]],MATCH(Tab_Data_Flows[[#This Row],[Flow_Name]],Tab_Def_Flows[Flow_Name],0),14)</f>
        <v>0.4</v>
      </c>
      <c r="Z162" s="7" t="str">
        <f>Tab_Data_Flows[[#This Row],[Flow_ID]]&amp;"_"&amp;"DM_"&amp;Tab_Data_Flows[[#This Row],[Flow_Data_Year]]</f>
        <v>F_01_02_DM_1959</v>
      </c>
      <c r="AA162" s="7">
        <f>IF(E162="Yes",Y162*Tab_Data_Flows[[#This Row],[Flow_Material]],"N.A.")</f>
        <v>74021.260273972599</v>
      </c>
      <c r="AB162" s="7" t="str">
        <f>Tab_Data_Flows[[#This Row],[UoM_Flow_Py]]</f>
        <v>Mg</v>
      </c>
      <c r="AC162" s="143">
        <f>INDEX(Tab_Def_Flows[[Flow_ID]:[CC_DM_source]],MATCH(Tab_Data_Flows[[#This Row],[Flow_Name]],Tab_Def_Flows[Flow_Name],0),17)</f>
        <v>0</v>
      </c>
      <c r="AD162" s="7" t="str">
        <f>Tab_Data_Flows[[#This Row],[Flow_ID]]&amp;"_"&amp;"CC_"&amp;Tab_Data_Flows[[#This Row],[Flow_Data_Year]]</f>
        <v>F_01_02_CC_1959</v>
      </c>
      <c r="AE162" s="7">
        <f>IF(F162="Yes",AC162*Tab_Data_Flows[[#This Row],[Flow_Material]]*Tab_Data_Flows[[#This Row],[DM_'[%']]],"N.A.")</f>
        <v>0</v>
      </c>
      <c r="AF162" s="7" t="str">
        <f>Tab_Data_Flows[[#This Row],[UoM_Flow_Py]]</f>
        <v>Mg</v>
      </c>
      <c r="AG162"/>
    </row>
    <row r="163" spans="1:33" x14ac:dyDescent="0.25">
      <c r="A163" s="9">
        <f t="shared" si="2"/>
        <v>162</v>
      </c>
      <c r="B163" s="7" t="str">
        <f>_xlfn.XLOOKUP(C163,Tab_Def_Flows[Flow_Name],Tab_Def_Flows[Flow_ID],,0,)</f>
        <v>F_01_02</v>
      </c>
      <c r="C163" s="142" t="s">
        <v>599</v>
      </c>
      <c r="D163" s="10" t="str">
        <f>_xlfn.XLOOKUP(C163,Tab_Def_Flows[Flow_Name],Tab_Def_Flows[WC?],,0,)</f>
        <v>Yes</v>
      </c>
      <c r="E163" s="10" t="str">
        <f>_xlfn.XLOOKUP(C163,Tab_Def_Flows[Flow_Name],Tab_Def_Flows[DM?],,0,)</f>
        <v>Yes</v>
      </c>
      <c r="F163" s="10" t="str">
        <f>_xlfn.XLOOKUP(C163,Tab_Def_Flows[Flow_Name],Tab_Def_Flows[CC?],,0,)</f>
        <v>Yes</v>
      </c>
      <c r="G163" s="8">
        <v>1960</v>
      </c>
      <c r="H163" s="23">
        <v>193112.54794520547</v>
      </c>
      <c r="I163" s="8" t="s">
        <v>198</v>
      </c>
      <c r="J163" s="15"/>
      <c r="K163" s="15"/>
      <c r="L163" s="15"/>
      <c r="M163" s="15"/>
      <c r="N163" s="15"/>
      <c r="O163" s="8" t="s">
        <v>6</v>
      </c>
      <c r="P163" s="8"/>
      <c r="Q163" s="8"/>
      <c r="R163" s="7" t="str">
        <f>Tab_Data_Flows[[#This Row],[Flow_ID]]&amp;"_"&amp;"material_"&amp;Tab_Data_Flows[[#This Row],[Flow_Data_Year]]</f>
        <v>F_01_02_material_1960</v>
      </c>
      <c r="S163" s="14">
        <f>IF(O163="no",H163,H163*P163)</f>
        <v>193112.54794520547</v>
      </c>
      <c r="T163" s="8" t="s">
        <v>198</v>
      </c>
      <c r="U163" s="143">
        <f>INDEX(Tab_Def_Flows[[Flow_ID]:[CC_DM_source]],MATCH(Tab_Data_Flows[[#This Row],[Flow_Name]],Tab_Def_Flows[Flow_Name],0),11)</f>
        <v>0.6</v>
      </c>
      <c r="V163" s="7" t="str">
        <f>Tab_Data_Flows[[#This Row],[Flow_ID]]&amp;"_"&amp;"WC_"&amp;Tab_Data_Flows[[#This Row],[Flow_Data_Year]]</f>
        <v>F_01_02_WC_1960</v>
      </c>
      <c r="W163" s="7">
        <f>IF(D163="Yes",S163*Tab_Data_Flows[[#This Row],[WC_'[%']]],"N.A.")</f>
        <v>115867.52876712328</v>
      </c>
      <c r="X163" s="7" t="str">
        <f>Tab_Data_Flows[[#This Row],[UoM_Flow_Py]]</f>
        <v>Mg</v>
      </c>
      <c r="Y163" s="143">
        <f>INDEX(Tab_Def_Flows[[Flow_ID]:[CC_DM_source]],MATCH(Tab_Data_Flows[[#This Row],[Flow_Name]],Tab_Def_Flows[Flow_Name],0),14)</f>
        <v>0.4</v>
      </c>
      <c r="Z163" s="7" t="str">
        <f>Tab_Data_Flows[[#This Row],[Flow_ID]]&amp;"_"&amp;"DM_"&amp;Tab_Data_Flows[[#This Row],[Flow_Data_Year]]</f>
        <v>F_01_02_DM_1960</v>
      </c>
      <c r="AA163" s="7">
        <f>IF(E163="Yes",Y163*Tab_Data_Flows[[#This Row],[Flow_Material]],"N.A.")</f>
        <v>77245.019178082192</v>
      </c>
      <c r="AB163" s="7" t="str">
        <f>Tab_Data_Flows[[#This Row],[UoM_Flow_Py]]</f>
        <v>Mg</v>
      </c>
      <c r="AC163" s="143">
        <f>INDEX(Tab_Def_Flows[[Flow_ID]:[CC_DM_source]],MATCH(Tab_Data_Flows[[#This Row],[Flow_Name]],Tab_Def_Flows[Flow_Name],0),17)</f>
        <v>0</v>
      </c>
      <c r="AD163" s="7" t="str">
        <f>Tab_Data_Flows[[#This Row],[Flow_ID]]&amp;"_"&amp;"CC_"&amp;Tab_Data_Flows[[#This Row],[Flow_Data_Year]]</f>
        <v>F_01_02_CC_1960</v>
      </c>
      <c r="AE163" s="7">
        <f>IF(F163="Yes",AC163*Tab_Data_Flows[[#This Row],[Flow_Material]]*Tab_Data_Flows[[#This Row],[DM_'[%']]],"N.A.")</f>
        <v>0</v>
      </c>
      <c r="AF163" s="7" t="str">
        <f>Tab_Data_Flows[[#This Row],[UoM_Flow_Py]]</f>
        <v>Mg</v>
      </c>
      <c r="AG163"/>
    </row>
    <row r="164" spans="1:33" x14ac:dyDescent="0.25">
      <c r="A164" s="9">
        <f t="shared" si="2"/>
        <v>163</v>
      </c>
      <c r="B164" s="7" t="str">
        <f>_xlfn.XLOOKUP(C164,Tab_Def_Flows[Flow_Name],Tab_Def_Flows[Flow_ID],,0,)</f>
        <v>F_01_02</v>
      </c>
      <c r="C164" s="142" t="s">
        <v>599</v>
      </c>
      <c r="D164" s="10" t="str">
        <f>_xlfn.XLOOKUP(C164,Tab_Def_Flows[Flow_Name],Tab_Def_Flows[WC?],,0,)</f>
        <v>Yes</v>
      </c>
      <c r="E164" s="10" t="str">
        <f>_xlfn.XLOOKUP(C164,Tab_Def_Flows[Flow_Name],Tab_Def_Flows[DM?],,0,)</f>
        <v>Yes</v>
      </c>
      <c r="F164" s="10" t="str">
        <f>_xlfn.XLOOKUP(C164,Tab_Def_Flows[Flow_Name],Tab_Def_Flows[CC?],,0,)</f>
        <v>Yes</v>
      </c>
      <c r="G164" s="8">
        <v>1961</v>
      </c>
      <c r="H164" s="23">
        <v>205240.76712328757</v>
      </c>
      <c r="I164" s="8" t="s">
        <v>198</v>
      </c>
      <c r="J164" s="15"/>
      <c r="K164" s="15"/>
      <c r="L164" s="15"/>
      <c r="M164" s="15"/>
      <c r="N164" s="15"/>
      <c r="O164" s="8" t="s">
        <v>6</v>
      </c>
      <c r="P164" s="8"/>
      <c r="Q164" s="8"/>
      <c r="R164" s="7" t="str">
        <f>Tab_Data_Flows[[#This Row],[Flow_ID]]&amp;"_"&amp;"material_"&amp;Tab_Data_Flows[[#This Row],[Flow_Data_Year]]</f>
        <v>F_01_02_material_1961</v>
      </c>
      <c r="S164" s="14">
        <f>IF(O164="no",H164,H164*P164)</f>
        <v>205240.76712328757</v>
      </c>
      <c r="T164" s="8" t="s">
        <v>198</v>
      </c>
      <c r="U164" s="143">
        <f>INDEX(Tab_Def_Flows[[Flow_ID]:[CC_DM_source]],MATCH(Tab_Data_Flows[[#This Row],[Flow_Name]],Tab_Def_Flows[Flow_Name],0),11)</f>
        <v>0.6</v>
      </c>
      <c r="V164" s="7" t="str">
        <f>Tab_Data_Flows[[#This Row],[Flow_ID]]&amp;"_"&amp;"WC_"&amp;Tab_Data_Flows[[#This Row],[Flow_Data_Year]]</f>
        <v>F_01_02_WC_1961</v>
      </c>
      <c r="W164" s="7">
        <f>IF(D164="Yes",S164*Tab_Data_Flows[[#This Row],[WC_'[%']]],"N.A.")</f>
        <v>123144.46027397254</v>
      </c>
      <c r="X164" s="7" t="str">
        <f>Tab_Data_Flows[[#This Row],[UoM_Flow_Py]]</f>
        <v>Mg</v>
      </c>
      <c r="Y164" s="143">
        <f>INDEX(Tab_Def_Flows[[Flow_ID]:[CC_DM_source]],MATCH(Tab_Data_Flows[[#This Row],[Flow_Name]],Tab_Def_Flows[Flow_Name],0),14)</f>
        <v>0.4</v>
      </c>
      <c r="Z164" s="7" t="str">
        <f>Tab_Data_Flows[[#This Row],[Flow_ID]]&amp;"_"&amp;"DM_"&amp;Tab_Data_Flows[[#This Row],[Flow_Data_Year]]</f>
        <v>F_01_02_DM_1961</v>
      </c>
      <c r="AA164" s="7">
        <f>IF(E164="Yes",Y164*Tab_Data_Flows[[#This Row],[Flow_Material]],"N.A.")</f>
        <v>82096.306849315035</v>
      </c>
      <c r="AB164" s="7" t="str">
        <f>Tab_Data_Flows[[#This Row],[UoM_Flow_Py]]</f>
        <v>Mg</v>
      </c>
      <c r="AC164" s="143">
        <f>INDEX(Tab_Def_Flows[[Flow_ID]:[CC_DM_source]],MATCH(Tab_Data_Flows[[#This Row],[Flow_Name]],Tab_Def_Flows[Flow_Name],0),17)</f>
        <v>0</v>
      </c>
      <c r="AD164" s="7" t="str">
        <f>Tab_Data_Flows[[#This Row],[Flow_ID]]&amp;"_"&amp;"CC_"&amp;Tab_Data_Flows[[#This Row],[Flow_Data_Year]]</f>
        <v>F_01_02_CC_1961</v>
      </c>
      <c r="AE164" s="7">
        <f>IF(F164="Yes",AC164*Tab_Data_Flows[[#This Row],[Flow_Material]]*Tab_Data_Flows[[#This Row],[DM_'[%']]],"N.A.")</f>
        <v>0</v>
      </c>
      <c r="AF164" s="7" t="str">
        <f>Tab_Data_Flows[[#This Row],[UoM_Flow_Py]]</f>
        <v>Mg</v>
      </c>
      <c r="AG164"/>
    </row>
    <row r="165" spans="1:33" x14ac:dyDescent="0.25">
      <c r="A165" s="9">
        <f t="shared" si="2"/>
        <v>164</v>
      </c>
      <c r="B165" s="7" t="str">
        <f>_xlfn.XLOOKUP(C165,Tab_Def_Flows[Flow_Name],Tab_Def_Flows[Flow_ID],,0,)</f>
        <v>F_01_02</v>
      </c>
      <c r="C165" s="142" t="s">
        <v>599</v>
      </c>
      <c r="D165" s="10" t="str">
        <f>_xlfn.XLOOKUP(C165,Tab_Def_Flows[Flow_Name],Tab_Def_Flows[WC?],,0,)</f>
        <v>Yes</v>
      </c>
      <c r="E165" s="10" t="str">
        <f>_xlfn.XLOOKUP(C165,Tab_Def_Flows[Flow_Name],Tab_Def_Flows[DM?],,0,)</f>
        <v>Yes</v>
      </c>
      <c r="F165" s="10" t="str">
        <f>_xlfn.XLOOKUP(C165,Tab_Def_Flows[Flow_Name],Tab_Def_Flows[CC?],,0,)</f>
        <v>Yes</v>
      </c>
      <c r="G165" s="8">
        <v>1962</v>
      </c>
      <c r="H165" s="23">
        <v>211109.26027397258</v>
      </c>
      <c r="I165" s="8" t="s">
        <v>198</v>
      </c>
      <c r="J165" s="15"/>
      <c r="K165" s="15"/>
      <c r="L165" s="15"/>
      <c r="M165" s="15"/>
      <c r="N165" s="15"/>
      <c r="O165" s="8" t="s">
        <v>6</v>
      </c>
      <c r="P165" s="8"/>
      <c r="Q165" s="8"/>
      <c r="R165" s="7" t="str">
        <f>Tab_Data_Flows[[#This Row],[Flow_ID]]&amp;"_"&amp;"material_"&amp;Tab_Data_Flows[[#This Row],[Flow_Data_Year]]</f>
        <v>F_01_02_material_1962</v>
      </c>
      <c r="S165" s="14">
        <f>IF(O165="no",H165,H165*P165)</f>
        <v>211109.26027397258</v>
      </c>
      <c r="T165" s="8" t="s">
        <v>198</v>
      </c>
      <c r="U165" s="143">
        <f>INDEX(Tab_Def_Flows[[Flow_ID]:[CC_DM_source]],MATCH(Tab_Data_Flows[[#This Row],[Flow_Name]],Tab_Def_Flows[Flow_Name],0),11)</f>
        <v>0.6</v>
      </c>
      <c r="V165" s="7" t="str">
        <f>Tab_Data_Flows[[#This Row],[Flow_ID]]&amp;"_"&amp;"WC_"&amp;Tab_Data_Flows[[#This Row],[Flow_Data_Year]]</f>
        <v>F_01_02_WC_1962</v>
      </c>
      <c r="W165" s="7">
        <f>IF(D165="Yes",S165*Tab_Data_Flows[[#This Row],[WC_'[%']]],"N.A.")</f>
        <v>126665.55616438354</v>
      </c>
      <c r="X165" s="7" t="str">
        <f>Tab_Data_Flows[[#This Row],[UoM_Flow_Py]]</f>
        <v>Mg</v>
      </c>
      <c r="Y165" s="143">
        <f>INDEX(Tab_Def_Flows[[Flow_ID]:[CC_DM_source]],MATCH(Tab_Data_Flows[[#This Row],[Flow_Name]],Tab_Def_Flows[Flow_Name],0),14)</f>
        <v>0.4</v>
      </c>
      <c r="Z165" s="7" t="str">
        <f>Tab_Data_Flows[[#This Row],[Flow_ID]]&amp;"_"&amp;"DM_"&amp;Tab_Data_Flows[[#This Row],[Flow_Data_Year]]</f>
        <v>F_01_02_DM_1962</v>
      </c>
      <c r="AA165" s="7">
        <f>IF(E165="Yes",Y165*Tab_Data_Flows[[#This Row],[Flow_Material]],"N.A.")</f>
        <v>84443.704109589045</v>
      </c>
      <c r="AB165" s="7" t="str">
        <f>Tab_Data_Flows[[#This Row],[UoM_Flow_Py]]</f>
        <v>Mg</v>
      </c>
      <c r="AC165" s="143">
        <f>INDEX(Tab_Def_Flows[[Flow_ID]:[CC_DM_source]],MATCH(Tab_Data_Flows[[#This Row],[Flow_Name]],Tab_Def_Flows[Flow_Name],0),17)</f>
        <v>0</v>
      </c>
      <c r="AD165" s="7" t="str">
        <f>Tab_Data_Flows[[#This Row],[Flow_ID]]&amp;"_"&amp;"CC_"&amp;Tab_Data_Flows[[#This Row],[Flow_Data_Year]]</f>
        <v>F_01_02_CC_1962</v>
      </c>
      <c r="AE165" s="7">
        <f>IF(F165="Yes",AC165*Tab_Data_Flows[[#This Row],[Flow_Material]]*Tab_Data_Flows[[#This Row],[DM_'[%']]],"N.A.")</f>
        <v>0</v>
      </c>
      <c r="AF165" s="7" t="str">
        <f>Tab_Data_Flows[[#This Row],[UoM_Flow_Py]]</f>
        <v>Mg</v>
      </c>
      <c r="AG165"/>
    </row>
    <row r="166" spans="1:33" x14ac:dyDescent="0.25">
      <c r="A166" s="9">
        <f t="shared" si="2"/>
        <v>165</v>
      </c>
      <c r="B166" s="7" t="str">
        <f>_xlfn.XLOOKUP(C166,Tab_Def_Flows[Flow_Name],Tab_Def_Flows[Flow_ID],,0,)</f>
        <v>F_01_02</v>
      </c>
      <c r="C166" s="142" t="s">
        <v>599</v>
      </c>
      <c r="D166" s="10" t="str">
        <f>_xlfn.XLOOKUP(C166,Tab_Def_Flows[Flow_Name],Tab_Def_Flows[WC?],,0,)</f>
        <v>Yes</v>
      </c>
      <c r="E166" s="10" t="str">
        <f>_xlfn.XLOOKUP(C166,Tab_Def_Flows[Flow_Name],Tab_Def_Flows[DM?],,0,)</f>
        <v>Yes</v>
      </c>
      <c r="F166" s="10" t="str">
        <f>_xlfn.XLOOKUP(C166,Tab_Def_Flows[Flow_Name],Tab_Def_Flows[CC?],,0,)</f>
        <v>Yes</v>
      </c>
      <c r="G166" s="8">
        <v>1963</v>
      </c>
      <c r="H166" s="23">
        <v>188496</v>
      </c>
      <c r="I166" s="8" t="s">
        <v>198</v>
      </c>
      <c r="J166" s="15"/>
      <c r="K166" s="15"/>
      <c r="L166" s="15"/>
      <c r="M166" s="15"/>
      <c r="N166" s="15"/>
      <c r="O166" s="8" t="s">
        <v>6</v>
      </c>
      <c r="P166" s="8"/>
      <c r="Q166" s="8"/>
      <c r="R166" s="7" t="str">
        <f>Tab_Data_Flows[[#This Row],[Flow_ID]]&amp;"_"&amp;"material_"&amp;Tab_Data_Flows[[#This Row],[Flow_Data_Year]]</f>
        <v>F_01_02_material_1963</v>
      </c>
      <c r="S166" s="14">
        <f>IF(O166="no",H166,H166*P166)</f>
        <v>188496</v>
      </c>
      <c r="T166" s="8" t="s">
        <v>198</v>
      </c>
      <c r="U166" s="143">
        <f>INDEX(Tab_Def_Flows[[Flow_ID]:[CC_DM_source]],MATCH(Tab_Data_Flows[[#This Row],[Flow_Name]],Tab_Def_Flows[Flow_Name],0),11)</f>
        <v>0.6</v>
      </c>
      <c r="V166" s="7" t="str">
        <f>Tab_Data_Flows[[#This Row],[Flow_ID]]&amp;"_"&amp;"WC_"&amp;Tab_Data_Flows[[#This Row],[Flow_Data_Year]]</f>
        <v>F_01_02_WC_1963</v>
      </c>
      <c r="W166" s="7">
        <f>IF(D166="Yes",S166*Tab_Data_Flows[[#This Row],[WC_'[%']]],"N.A.")</f>
        <v>113097.59999999999</v>
      </c>
      <c r="X166" s="7" t="str">
        <f>Tab_Data_Flows[[#This Row],[UoM_Flow_Py]]</f>
        <v>Mg</v>
      </c>
      <c r="Y166" s="143">
        <f>INDEX(Tab_Def_Flows[[Flow_ID]:[CC_DM_source]],MATCH(Tab_Data_Flows[[#This Row],[Flow_Name]],Tab_Def_Flows[Flow_Name],0),14)</f>
        <v>0.4</v>
      </c>
      <c r="Z166" s="7" t="str">
        <f>Tab_Data_Flows[[#This Row],[Flow_ID]]&amp;"_"&amp;"DM_"&amp;Tab_Data_Flows[[#This Row],[Flow_Data_Year]]</f>
        <v>F_01_02_DM_1963</v>
      </c>
      <c r="AA166" s="7">
        <f>IF(E166="Yes",Y166*Tab_Data_Flows[[#This Row],[Flow_Material]],"N.A.")</f>
        <v>75398.400000000009</v>
      </c>
      <c r="AB166" s="7" t="str">
        <f>Tab_Data_Flows[[#This Row],[UoM_Flow_Py]]</f>
        <v>Mg</v>
      </c>
      <c r="AC166" s="143">
        <f>INDEX(Tab_Def_Flows[[Flow_ID]:[CC_DM_source]],MATCH(Tab_Data_Flows[[#This Row],[Flow_Name]],Tab_Def_Flows[Flow_Name],0),17)</f>
        <v>0</v>
      </c>
      <c r="AD166" s="7" t="str">
        <f>Tab_Data_Flows[[#This Row],[Flow_ID]]&amp;"_"&amp;"CC_"&amp;Tab_Data_Flows[[#This Row],[Flow_Data_Year]]</f>
        <v>F_01_02_CC_1963</v>
      </c>
      <c r="AE166" s="7">
        <f>IF(F166="Yes",AC166*Tab_Data_Flows[[#This Row],[Flow_Material]]*Tab_Data_Flows[[#This Row],[DM_'[%']]],"N.A.")</f>
        <v>0</v>
      </c>
      <c r="AF166" s="7" t="str">
        <f>Tab_Data_Flows[[#This Row],[UoM_Flow_Py]]</f>
        <v>Mg</v>
      </c>
      <c r="AG166"/>
    </row>
    <row r="167" spans="1:33" x14ac:dyDescent="0.25">
      <c r="A167" s="9">
        <f t="shared" si="2"/>
        <v>166</v>
      </c>
      <c r="B167" s="7" t="str">
        <f>_xlfn.XLOOKUP(C167,Tab_Def_Flows[Flow_Name],Tab_Def_Flows[Flow_ID],,0,)</f>
        <v>F_01_02</v>
      </c>
      <c r="C167" s="142" t="s">
        <v>599</v>
      </c>
      <c r="D167" s="10" t="str">
        <f>_xlfn.XLOOKUP(C167,Tab_Def_Flows[Flow_Name],Tab_Def_Flows[WC?],,0,)</f>
        <v>Yes</v>
      </c>
      <c r="E167" s="10" t="str">
        <f>_xlfn.XLOOKUP(C167,Tab_Def_Flows[Flow_Name],Tab_Def_Flows[DM?],,0,)</f>
        <v>Yes</v>
      </c>
      <c r="F167" s="10" t="str">
        <f>_xlfn.XLOOKUP(C167,Tab_Def_Flows[Flow_Name],Tab_Def_Flows[CC?],,0,)</f>
        <v>Yes</v>
      </c>
      <c r="G167" s="8">
        <v>1964</v>
      </c>
      <c r="H167" s="23">
        <v>210718.02739726027</v>
      </c>
      <c r="I167" s="8" t="s">
        <v>198</v>
      </c>
      <c r="J167" s="15"/>
      <c r="K167" s="15"/>
      <c r="L167" s="15"/>
      <c r="M167" s="15"/>
      <c r="N167" s="15"/>
      <c r="O167" s="8" t="s">
        <v>6</v>
      </c>
      <c r="P167" s="8"/>
      <c r="Q167" s="8"/>
      <c r="R167" s="7" t="str">
        <f>Tab_Data_Flows[[#This Row],[Flow_ID]]&amp;"_"&amp;"material_"&amp;Tab_Data_Flows[[#This Row],[Flow_Data_Year]]</f>
        <v>F_01_02_material_1964</v>
      </c>
      <c r="S167" s="14">
        <f>IF(O167="no",H167,H167*P167)</f>
        <v>210718.02739726027</v>
      </c>
      <c r="T167" s="8" t="s">
        <v>198</v>
      </c>
      <c r="U167" s="143">
        <f>INDEX(Tab_Def_Flows[[Flow_ID]:[CC_DM_source]],MATCH(Tab_Data_Flows[[#This Row],[Flow_Name]],Tab_Def_Flows[Flow_Name],0),11)</f>
        <v>0.6</v>
      </c>
      <c r="V167" s="7" t="str">
        <f>Tab_Data_Flows[[#This Row],[Flow_ID]]&amp;"_"&amp;"WC_"&amp;Tab_Data_Flows[[#This Row],[Flow_Data_Year]]</f>
        <v>F_01_02_WC_1964</v>
      </c>
      <c r="W167" s="7">
        <f>IF(D167="Yes",S167*Tab_Data_Flows[[#This Row],[WC_'[%']]],"N.A.")</f>
        <v>126430.81643835615</v>
      </c>
      <c r="X167" s="7" t="str">
        <f>Tab_Data_Flows[[#This Row],[UoM_Flow_Py]]</f>
        <v>Mg</v>
      </c>
      <c r="Y167" s="143">
        <f>INDEX(Tab_Def_Flows[[Flow_ID]:[CC_DM_source]],MATCH(Tab_Data_Flows[[#This Row],[Flow_Name]],Tab_Def_Flows[Flow_Name],0),14)</f>
        <v>0.4</v>
      </c>
      <c r="Z167" s="7" t="str">
        <f>Tab_Data_Flows[[#This Row],[Flow_ID]]&amp;"_"&amp;"DM_"&amp;Tab_Data_Flows[[#This Row],[Flow_Data_Year]]</f>
        <v>F_01_02_DM_1964</v>
      </c>
      <c r="AA167" s="7">
        <f>IF(E167="Yes",Y167*Tab_Data_Flows[[#This Row],[Flow_Material]],"N.A.")</f>
        <v>84287.210958904121</v>
      </c>
      <c r="AB167" s="7" t="str">
        <f>Tab_Data_Flows[[#This Row],[UoM_Flow_Py]]</f>
        <v>Mg</v>
      </c>
      <c r="AC167" s="143">
        <f>INDEX(Tab_Def_Flows[[Flow_ID]:[CC_DM_source]],MATCH(Tab_Data_Flows[[#This Row],[Flow_Name]],Tab_Def_Flows[Flow_Name],0),17)</f>
        <v>0</v>
      </c>
      <c r="AD167" s="7" t="str">
        <f>Tab_Data_Flows[[#This Row],[Flow_ID]]&amp;"_"&amp;"CC_"&amp;Tab_Data_Flows[[#This Row],[Flow_Data_Year]]</f>
        <v>F_01_02_CC_1964</v>
      </c>
      <c r="AE167" s="7">
        <f>IF(F167="Yes",AC167*Tab_Data_Flows[[#This Row],[Flow_Material]]*Tab_Data_Flows[[#This Row],[DM_'[%']]],"N.A.")</f>
        <v>0</v>
      </c>
      <c r="AF167" s="7" t="str">
        <f>Tab_Data_Flows[[#This Row],[UoM_Flow_Py]]</f>
        <v>Mg</v>
      </c>
      <c r="AG167"/>
    </row>
    <row r="168" spans="1:33" x14ac:dyDescent="0.25">
      <c r="A168" s="9">
        <f t="shared" si="2"/>
        <v>167</v>
      </c>
      <c r="B168" s="7" t="str">
        <f>_xlfn.XLOOKUP(C168,Tab_Def_Flows[Flow_Name],Tab_Def_Flows[Flow_ID],,0,)</f>
        <v>F_01_02</v>
      </c>
      <c r="C168" s="142" t="s">
        <v>599</v>
      </c>
      <c r="D168" s="10" t="str">
        <f>_xlfn.XLOOKUP(C168,Tab_Def_Flows[Flow_Name],Tab_Def_Flows[WC?],,0,)</f>
        <v>Yes</v>
      </c>
      <c r="E168" s="10" t="str">
        <f>_xlfn.XLOOKUP(C168,Tab_Def_Flows[Flow_Name],Tab_Def_Flows[DM?],,0,)</f>
        <v>Yes</v>
      </c>
      <c r="F168" s="10" t="str">
        <f>_xlfn.XLOOKUP(C168,Tab_Def_Flows[Flow_Name],Tab_Def_Flows[CC?],,0,)</f>
        <v>Yes</v>
      </c>
      <c r="G168" s="8">
        <v>1965</v>
      </c>
      <c r="H168" s="23">
        <v>201250.19178082189</v>
      </c>
      <c r="I168" s="8" t="s">
        <v>198</v>
      </c>
      <c r="J168" s="15"/>
      <c r="K168" s="15"/>
      <c r="L168" s="15"/>
      <c r="M168" s="15"/>
      <c r="N168" s="15"/>
      <c r="O168" s="8" t="s">
        <v>6</v>
      </c>
      <c r="P168" s="8"/>
      <c r="Q168" s="8"/>
      <c r="R168" s="7" t="str">
        <f>Tab_Data_Flows[[#This Row],[Flow_ID]]&amp;"_"&amp;"material_"&amp;Tab_Data_Flows[[#This Row],[Flow_Data_Year]]</f>
        <v>F_01_02_material_1965</v>
      </c>
      <c r="S168" s="14">
        <f>IF(O168="no",H168,H168*P168)</f>
        <v>201250.19178082189</v>
      </c>
      <c r="T168" s="8" t="s">
        <v>198</v>
      </c>
      <c r="U168" s="143">
        <f>INDEX(Tab_Def_Flows[[Flow_ID]:[CC_DM_source]],MATCH(Tab_Data_Flows[[#This Row],[Flow_Name]],Tab_Def_Flows[Flow_Name],0),11)</f>
        <v>0.6</v>
      </c>
      <c r="V168" s="7" t="str">
        <f>Tab_Data_Flows[[#This Row],[Flow_ID]]&amp;"_"&amp;"WC_"&amp;Tab_Data_Flows[[#This Row],[Flow_Data_Year]]</f>
        <v>F_01_02_WC_1965</v>
      </c>
      <c r="W168" s="7">
        <f>IF(D168="Yes",S168*Tab_Data_Flows[[#This Row],[WC_'[%']]],"N.A.")</f>
        <v>120750.11506849312</v>
      </c>
      <c r="X168" s="7" t="str">
        <f>Tab_Data_Flows[[#This Row],[UoM_Flow_Py]]</f>
        <v>Mg</v>
      </c>
      <c r="Y168" s="143">
        <f>INDEX(Tab_Def_Flows[[Flow_ID]:[CC_DM_source]],MATCH(Tab_Data_Flows[[#This Row],[Flow_Name]],Tab_Def_Flows[Flow_Name],0),14)</f>
        <v>0.4</v>
      </c>
      <c r="Z168" s="7" t="str">
        <f>Tab_Data_Flows[[#This Row],[Flow_ID]]&amp;"_"&amp;"DM_"&amp;Tab_Data_Flows[[#This Row],[Flow_Data_Year]]</f>
        <v>F_01_02_DM_1965</v>
      </c>
      <c r="AA168" s="7">
        <f>IF(E168="Yes",Y168*Tab_Data_Flows[[#This Row],[Flow_Material]],"N.A.")</f>
        <v>80500.076712328766</v>
      </c>
      <c r="AB168" s="7" t="str">
        <f>Tab_Data_Flows[[#This Row],[UoM_Flow_Py]]</f>
        <v>Mg</v>
      </c>
      <c r="AC168" s="143">
        <f>INDEX(Tab_Def_Flows[[Flow_ID]:[CC_DM_source]],MATCH(Tab_Data_Flows[[#This Row],[Flow_Name]],Tab_Def_Flows[Flow_Name],0),17)</f>
        <v>0</v>
      </c>
      <c r="AD168" s="7" t="str">
        <f>Tab_Data_Flows[[#This Row],[Flow_ID]]&amp;"_"&amp;"CC_"&amp;Tab_Data_Flows[[#This Row],[Flow_Data_Year]]</f>
        <v>F_01_02_CC_1965</v>
      </c>
      <c r="AE168" s="7">
        <f>IF(F168="Yes",AC168*Tab_Data_Flows[[#This Row],[Flow_Material]]*Tab_Data_Flows[[#This Row],[DM_'[%']]],"N.A.")</f>
        <v>0</v>
      </c>
      <c r="AF168" s="7" t="str">
        <f>Tab_Data_Flows[[#This Row],[UoM_Flow_Py]]</f>
        <v>Mg</v>
      </c>
      <c r="AG168"/>
    </row>
    <row r="169" spans="1:33" x14ac:dyDescent="0.25">
      <c r="A169" s="9">
        <f t="shared" si="2"/>
        <v>168</v>
      </c>
      <c r="B169" s="7" t="str">
        <f>_xlfn.XLOOKUP(C169,Tab_Def_Flows[Flow_Name],Tab_Def_Flows[Flow_ID],,0,)</f>
        <v>F_01_02</v>
      </c>
      <c r="C169" s="142" t="s">
        <v>599</v>
      </c>
      <c r="D169" s="10" t="str">
        <f>_xlfn.XLOOKUP(C169,Tab_Def_Flows[Flow_Name],Tab_Def_Flows[WC?],,0,)</f>
        <v>Yes</v>
      </c>
      <c r="E169" s="10" t="str">
        <f>_xlfn.XLOOKUP(C169,Tab_Def_Flows[Flow_Name],Tab_Def_Flows[DM?],,0,)</f>
        <v>Yes</v>
      </c>
      <c r="F169" s="10" t="str">
        <f>_xlfn.XLOOKUP(C169,Tab_Def_Flows[Flow_Name],Tab_Def_Flows[CC?],,0,)</f>
        <v>Yes</v>
      </c>
      <c r="G169" s="8">
        <v>1966</v>
      </c>
      <c r="H169" s="23">
        <v>212830.68493150687</v>
      </c>
      <c r="I169" s="8" t="s">
        <v>198</v>
      </c>
      <c r="J169" s="15"/>
      <c r="K169" s="15"/>
      <c r="L169" s="15"/>
      <c r="M169" s="15"/>
      <c r="N169" s="15"/>
      <c r="O169" s="8" t="s">
        <v>6</v>
      </c>
      <c r="P169" s="8"/>
      <c r="Q169" s="8"/>
      <c r="R169" s="7" t="str">
        <f>Tab_Data_Flows[[#This Row],[Flow_ID]]&amp;"_"&amp;"material_"&amp;Tab_Data_Flows[[#This Row],[Flow_Data_Year]]</f>
        <v>F_01_02_material_1966</v>
      </c>
      <c r="S169" s="14">
        <f>IF(O169="no",H169,H169*P169)</f>
        <v>212830.68493150687</v>
      </c>
      <c r="T169" s="8" t="s">
        <v>198</v>
      </c>
      <c r="U169" s="143">
        <f>INDEX(Tab_Def_Flows[[Flow_ID]:[CC_DM_source]],MATCH(Tab_Data_Flows[[#This Row],[Flow_Name]],Tab_Def_Flows[Flow_Name],0),11)</f>
        <v>0.6</v>
      </c>
      <c r="V169" s="7" t="str">
        <f>Tab_Data_Flows[[#This Row],[Flow_ID]]&amp;"_"&amp;"WC_"&amp;Tab_Data_Flows[[#This Row],[Flow_Data_Year]]</f>
        <v>F_01_02_WC_1966</v>
      </c>
      <c r="W169" s="7">
        <f>IF(D169="Yes",S169*Tab_Data_Flows[[#This Row],[WC_'[%']]],"N.A.")</f>
        <v>127698.41095890412</v>
      </c>
      <c r="X169" s="7" t="str">
        <f>Tab_Data_Flows[[#This Row],[UoM_Flow_Py]]</f>
        <v>Mg</v>
      </c>
      <c r="Y169" s="143">
        <f>INDEX(Tab_Def_Flows[[Flow_ID]:[CC_DM_source]],MATCH(Tab_Data_Flows[[#This Row],[Flow_Name]],Tab_Def_Flows[Flow_Name],0),14)</f>
        <v>0.4</v>
      </c>
      <c r="Z169" s="7" t="str">
        <f>Tab_Data_Flows[[#This Row],[Flow_ID]]&amp;"_"&amp;"DM_"&amp;Tab_Data_Flows[[#This Row],[Flow_Data_Year]]</f>
        <v>F_01_02_DM_1966</v>
      </c>
      <c r="AA169" s="7">
        <f>IF(E169="Yes",Y169*Tab_Data_Flows[[#This Row],[Flow_Material]],"N.A.")</f>
        <v>85132.27397260275</v>
      </c>
      <c r="AB169" s="7" t="str">
        <f>Tab_Data_Flows[[#This Row],[UoM_Flow_Py]]</f>
        <v>Mg</v>
      </c>
      <c r="AC169" s="143">
        <f>INDEX(Tab_Def_Flows[[Flow_ID]:[CC_DM_source]],MATCH(Tab_Data_Flows[[#This Row],[Flow_Name]],Tab_Def_Flows[Flow_Name],0),17)</f>
        <v>0</v>
      </c>
      <c r="AD169" s="7" t="str">
        <f>Tab_Data_Flows[[#This Row],[Flow_ID]]&amp;"_"&amp;"CC_"&amp;Tab_Data_Flows[[#This Row],[Flow_Data_Year]]</f>
        <v>F_01_02_CC_1966</v>
      </c>
      <c r="AE169" s="7">
        <f>IF(F169="Yes",AC169*Tab_Data_Flows[[#This Row],[Flow_Material]]*Tab_Data_Flows[[#This Row],[DM_'[%']]],"N.A.")</f>
        <v>0</v>
      </c>
      <c r="AF169" s="7" t="str">
        <f>Tab_Data_Flows[[#This Row],[UoM_Flow_Py]]</f>
        <v>Mg</v>
      </c>
      <c r="AG169"/>
    </row>
    <row r="170" spans="1:33" x14ac:dyDescent="0.25">
      <c r="A170" s="9">
        <f t="shared" si="2"/>
        <v>169</v>
      </c>
      <c r="B170" s="7" t="str">
        <f>_xlfn.XLOOKUP(C170,Tab_Def_Flows[Flow_Name],Tab_Def_Flows[Flow_ID],,0,)</f>
        <v>F_01_02</v>
      </c>
      <c r="C170" s="142" t="s">
        <v>599</v>
      </c>
      <c r="D170" s="10" t="str">
        <f>_xlfn.XLOOKUP(C170,Tab_Def_Flows[Flow_Name],Tab_Def_Flows[WC?],,0,)</f>
        <v>Yes</v>
      </c>
      <c r="E170" s="10" t="str">
        <f>_xlfn.XLOOKUP(C170,Tab_Def_Flows[Flow_Name],Tab_Def_Flows[DM?],,0,)</f>
        <v>Yes</v>
      </c>
      <c r="F170" s="10" t="str">
        <f>_xlfn.XLOOKUP(C170,Tab_Def_Flows[Flow_Name],Tab_Def_Flows[CC?],,0,)</f>
        <v>Yes</v>
      </c>
      <c r="G170" s="8">
        <v>1967</v>
      </c>
      <c r="H170" s="23">
        <v>204849.53424657532</v>
      </c>
      <c r="I170" s="8" t="s">
        <v>198</v>
      </c>
      <c r="J170" s="15"/>
      <c r="K170" s="15"/>
      <c r="L170" s="15"/>
      <c r="M170" s="15"/>
      <c r="N170" s="15"/>
      <c r="O170" s="8" t="s">
        <v>6</v>
      </c>
      <c r="P170" s="8"/>
      <c r="Q170" s="8"/>
      <c r="R170" s="7" t="str">
        <f>Tab_Data_Flows[[#This Row],[Flow_ID]]&amp;"_"&amp;"material_"&amp;Tab_Data_Flows[[#This Row],[Flow_Data_Year]]</f>
        <v>F_01_02_material_1967</v>
      </c>
      <c r="S170" s="14">
        <f>IF(O170="no",H170,H170*P170)</f>
        <v>204849.53424657532</v>
      </c>
      <c r="T170" s="8" t="s">
        <v>198</v>
      </c>
      <c r="U170" s="143">
        <f>INDEX(Tab_Def_Flows[[Flow_ID]:[CC_DM_source]],MATCH(Tab_Data_Flows[[#This Row],[Flow_Name]],Tab_Def_Flows[Flow_Name],0),11)</f>
        <v>0.6</v>
      </c>
      <c r="V170" s="7" t="str">
        <f>Tab_Data_Flows[[#This Row],[Flow_ID]]&amp;"_"&amp;"WC_"&amp;Tab_Data_Flows[[#This Row],[Flow_Data_Year]]</f>
        <v>F_01_02_WC_1967</v>
      </c>
      <c r="W170" s="7">
        <f>IF(D170="Yes",S170*Tab_Data_Flows[[#This Row],[WC_'[%']]],"N.A.")</f>
        <v>122909.72054794518</v>
      </c>
      <c r="X170" s="7" t="str">
        <f>Tab_Data_Flows[[#This Row],[UoM_Flow_Py]]</f>
        <v>Mg</v>
      </c>
      <c r="Y170" s="143">
        <f>INDEX(Tab_Def_Flows[[Flow_ID]:[CC_DM_source]],MATCH(Tab_Data_Flows[[#This Row],[Flow_Name]],Tab_Def_Flows[Flow_Name],0),14)</f>
        <v>0.4</v>
      </c>
      <c r="Z170" s="7" t="str">
        <f>Tab_Data_Flows[[#This Row],[Flow_ID]]&amp;"_"&amp;"DM_"&amp;Tab_Data_Flows[[#This Row],[Flow_Data_Year]]</f>
        <v>F_01_02_DM_1967</v>
      </c>
      <c r="AA170" s="7">
        <f>IF(E170="Yes",Y170*Tab_Data_Flows[[#This Row],[Flow_Material]],"N.A.")</f>
        <v>81939.81369863014</v>
      </c>
      <c r="AB170" s="7" t="str">
        <f>Tab_Data_Flows[[#This Row],[UoM_Flow_Py]]</f>
        <v>Mg</v>
      </c>
      <c r="AC170" s="143">
        <f>INDEX(Tab_Def_Flows[[Flow_ID]:[CC_DM_source]],MATCH(Tab_Data_Flows[[#This Row],[Flow_Name]],Tab_Def_Flows[Flow_Name],0),17)</f>
        <v>0</v>
      </c>
      <c r="AD170" s="7" t="str">
        <f>Tab_Data_Flows[[#This Row],[Flow_ID]]&amp;"_"&amp;"CC_"&amp;Tab_Data_Flows[[#This Row],[Flow_Data_Year]]</f>
        <v>F_01_02_CC_1967</v>
      </c>
      <c r="AE170" s="7">
        <f>IF(F170="Yes",AC170*Tab_Data_Flows[[#This Row],[Flow_Material]]*Tab_Data_Flows[[#This Row],[DM_'[%']]],"N.A.")</f>
        <v>0</v>
      </c>
      <c r="AF170" s="7" t="str">
        <f>Tab_Data_Flows[[#This Row],[UoM_Flow_Py]]</f>
        <v>Mg</v>
      </c>
      <c r="AG170"/>
    </row>
    <row r="171" spans="1:33" x14ac:dyDescent="0.25">
      <c r="A171" s="9">
        <f t="shared" si="2"/>
        <v>170</v>
      </c>
      <c r="B171" s="7" t="str">
        <f>_xlfn.XLOOKUP(C171,Tab_Def_Flows[Flow_Name],Tab_Def_Flows[Flow_ID],,0,)</f>
        <v>F_01_02</v>
      </c>
      <c r="C171" s="142" t="s">
        <v>599</v>
      </c>
      <c r="D171" s="10" t="str">
        <f>_xlfn.XLOOKUP(C171,Tab_Def_Flows[Flow_Name],Tab_Def_Flows[WC?],,0,)</f>
        <v>Yes</v>
      </c>
      <c r="E171" s="10" t="str">
        <f>_xlfn.XLOOKUP(C171,Tab_Def_Flows[Flow_Name],Tab_Def_Flows[DM?],,0,)</f>
        <v>Yes</v>
      </c>
      <c r="F171" s="10" t="str">
        <f>_xlfn.XLOOKUP(C171,Tab_Def_Flows[Flow_Name],Tab_Def_Flows[CC?],,0,)</f>
        <v>Yes</v>
      </c>
      <c r="G171" s="8">
        <v>1968</v>
      </c>
      <c r="H171" s="23">
        <v>194833.9726027397</v>
      </c>
      <c r="I171" s="8" t="s">
        <v>198</v>
      </c>
      <c r="J171" s="15"/>
      <c r="K171" s="15"/>
      <c r="L171" s="15"/>
      <c r="M171" s="15"/>
      <c r="N171" s="15"/>
      <c r="O171" s="8" t="s">
        <v>6</v>
      </c>
      <c r="P171" s="8"/>
      <c r="Q171" s="8"/>
      <c r="R171" s="7" t="str">
        <f>Tab_Data_Flows[[#This Row],[Flow_ID]]&amp;"_"&amp;"material_"&amp;Tab_Data_Flows[[#This Row],[Flow_Data_Year]]</f>
        <v>F_01_02_material_1968</v>
      </c>
      <c r="S171" s="14">
        <f>IF(O171="no",H171,H171*P171)</f>
        <v>194833.9726027397</v>
      </c>
      <c r="T171" s="8" t="s">
        <v>198</v>
      </c>
      <c r="U171" s="143">
        <f>INDEX(Tab_Def_Flows[[Flow_ID]:[CC_DM_source]],MATCH(Tab_Data_Flows[[#This Row],[Flow_Name]],Tab_Def_Flows[Flow_Name],0),11)</f>
        <v>0.6</v>
      </c>
      <c r="V171" s="7" t="str">
        <f>Tab_Data_Flows[[#This Row],[Flow_ID]]&amp;"_"&amp;"WC_"&amp;Tab_Data_Flows[[#This Row],[Flow_Data_Year]]</f>
        <v>F_01_02_WC_1968</v>
      </c>
      <c r="W171" s="7">
        <f>IF(D171="Yes",S171*Tab_Data_Flows[[#This Row],[WC_'[%']]],"N.A.")</f>
        <v>116900.38356164382</v>
      </c>
      <c r="X171" s="7" t="str">
        <f>Tab_Data_Flows[[#This Row],[UoM_Flow_Py]]</f>
        <v>Mg</v>
      </c>
      <c r="Y171" s="143">
        <f>INDEX(Tab_Def_Flows[[Flow_ID]:[CC_DM_source]],MATCH(Tab_Data_Flows[[#This Row],[Flow_Name]],Tab_Def_Flows[Flow_Name],0),14)</f>
        <v>0.4</v>
      </c>
      <c r="Z171" s="7" t="str">
        <f>Tab_Data_Flows[[#This Row],[Flow_ID]]&amp;"_"&amp;"DM_"&amp;Tab_Data_Flows[[#This Row],[Flow_Data_Year]]</f>
        <v>F_01_02_DM_1968</v>
      </c>
      <c r="AA171" s="7">
        <f>IF(E171="Yes",Y171*Tab_Data_Flows[[#This Row],[Flow_Material]],"N.A.")</f>
        <v>77933.589041095882</v>
      </c>
      <c r="AB171" s="7" t="str">
        <f>Tab_Data_Flows[[#This Row],[UoM_Flow_Py]]</f>
        <v>Mg</v>
      </c>
      <c r="AC171" s="143">
        <f>INDEX(Tab_Def_Flows[[Flow_ID]:[CC_DM_source]],MATCH(Tab_Data_Flows[[#This Row],[Flow_Name]],Tab_Def_Flows[Flow_Name],0),17)</f>
        <v>0</v>
      </c>
      <c r="AD171" s="7" t="str">
        <f>Tab_Data_Flows[[#This Row],[Flow_ID]]&amp;"_"&amp;"CC_"&amp;Tab_Data_Flows[[#This Row],[Flow_Data_Year]]</f>
        <v>F_01_02_CC_1968</v>
      </c>
      <c r="AE171" s="7">
        <f>IF(F171="Yes",AC171*Tab_Data_Flows[[#This Row],[Flow_Material]]*Tab_Data_Flows[[#This Row],[DM_'[%']]],"N.A.")</f>
        <v>0</v>
      </c>
      <c r="AF171" s="7" t="str">
        <f>Tab_Data_Flows[[#This Row],[UoM_Flow_Py]]</f>
        <v>Mg</v>
      </c>
      <c r="AG171"/>
    </row>
    <row r="172" spans="1:33" x14ac:dyDescent="0.25">
      <c r="A172" s="9">
        <f t="shared" si="2"/>
        <v>171</v>
      </c>
      <c r="B172" s="7" t="str">
        <f>_xlfn.XLOOKUP(C172,Tab_Def_Flows[Flow_Name],Tab_Def_Flows[Flow_ID],,0,)</f>
        <v>F_01_02</v>
      </c>
      <c r="C172" s="142" t="s">
        <v>599</v>
      </c>
      <c r="D172" s="10" t="str">
        <f>_xlfn.XLOOKUP(C172,Tab_Def_Flows[Flow_Name],Tab_Def_Flows[WC?],,0,)</f>
        <v>Yes</v>
      </c>
      <c r="E172" s="10" t="str">
        <f>_xlfn.XLOOKUP(C172,Tab_Def_Flows[Flow_Name],Tab_Def_Flows[DM?],,0,)</f>
        <v>Yes</v>
      </c>
      <c r="F172" s="10" t="str">
        <f>_xlfn.XLOOKUP(C172,Tab_Def_Flows[Flow_Name],Tab_Def_Flows[CC?],,0,)</f>
        <v>Yes</v>
      </c>
      <c r="G172" s="8">
        <v>1969</v>
      </c>
      <c r="H172" s="23">
        <v>207979.39726027398</v>
      </c>
      <c r="I172" s="8" t="s">
        <v>198</v>
      </c>
      <c r="J172" s="15"/>
      <c r="K172" s="15"/>
      <c r="L172" s="15"/>
      <c r="M172" s="15"/>
      <c r="N172" s="15"/>
      <c r="O172" s="8" t="s">
        <v>6</v>
      </c>
      <c r="P172" s="8"/>
      <c r="Q172" s="8"/>
      <c r="R172" s="7" t="str">
        <f>Tab_Data_Flows[[#This Row],[Flow_ID]]&amp;"_"&amp;"material_"&amp;Tab_Data_Flows[[#This Row],[Flow_Data_Year]]</f>
        <v>F_01_02_material_1969</v>
      </c>
      <c r="S172" s="14">
        <f>IF(O172="no",H172,H172*P172)</f>
        <v>207979.39726027398</v>
      </c>
      <c r="T172" s="8" t="s">
        <v>198</v>
      </c>
      <c r="U172" s="143">
        <f>INDEX(Tab_Def_Flows[[Flow_ID]:[CC_DM_source]],MATCH(Tab_Data_Flows[[#This Row],[Flow_Name]],Tab_Def_Flows[Flow_Name],0),11)</f>
        <v>0.6</v>
      </c>
      <c r="V172" s="7" t="str">
        <f>Tab_Data_Flows[[#This Row],[Flow_ID]]&amp;"_"&amp;"WC_"&amp;Tab_Data_Flows[[#This Row],[Flow_Data_Year]]</f>
        <v>F_01_02_WC_1969</v>
      </c>
      <c r="W172" s="7">
        <f>IF(D172="Yes",S172*Tab_Data_Flows[[#This Row],[WC_'[%']]],"N.A.")</f>
        <v>124787.63835616439</v>
      </c>
      <c r="X172" s="7" t="str">
        <f>Tab_Data_Flows[[#This Row],[UoM_Flow_Py]]</f>
        <v>Mg</v>
      </c>
      <c r="Y172" s="143">
        <f>INDEX(Tab_Def_Flows[[Flow_ID]:[CC_DM_source]],MATCH(Tab_Data_Flows[[#This Row],[Flow_Name]],Tab_Def_Flows[Flow_Name],0),14)</f>
        <v>0.4</v>
      </c>
      <c r="Z172" s="7" t="str">
        <f>Tab_Data_Flows[[#This Row],[Flow_ID]]&amp;"_"&amp;"DM_"&amp;Tab_Data_Flows[[#This Row],[Flow_Data_Year]]</f>
        <v>F_01_02_DM_1969</v>
      </c>
      <c r="AA172" s="7">
        <f>IF(E172="Yes",Y172*Tab_Data_Flows[[#This Row],[Flow_Material]],"N.A.")</f>
        <v>83191.758904109593</v>
      </c>
      <c r="AB172" s="7" t="str">
        <f>Tab_Data_Flows[[#This Row],[UoM_Flow_Py]]</f>
        <v>Mg</v>
      </c>
      <c r="AC172" s="143">
        <f>INDEX(Tab_Def_Flows[[Flow_ID]:[CC_DM_source]],MATCH(Tab_Data_Flows[[#This Row],[Flow_Name]],Tab_Def_Flows[Flow_Name],0),17)</f>
        <v>0</v>
      </c>
      <c r="AD172" s="7" t="str">
        <f>Tab_Data_Flows[[#This Row],[Flow_ID]]&amp;"_"&amp;"CC_"&amp;Tab_Data_Flows[[#This Row],[Flow_Data_Year]]</f>
        <v>F_01_02_CC_1969</v>
      </c>
      <c r="AE172" s="7">
        <f>IF(F172="Yes",AC172*Tab_Data_Flows[[#This Row],[Flow_Material]]*Tab_Data_Flows[[#This Row],[DM_'[%']]],"N.A.")</f>
        <v>0</v>
      </c>
      <c r="AF172" s="7" t="str">
        <f>Tab_Data_Flows[[#This Row],[UoM_Flow_Py]]</f>
        <v>Mg</v>
      </c>
      <c r="AG172"/>
    </row>
    <row r="173" spans="1:33" x14ac:dyDescent="0.25">
      <c r="A173" s="9">
        <f t="shared" si="2"/>
        <v>172</v>
      </c>
      <c r="B173" s="7" t="str">
        <f>_xlfn.XLOOKUP(C173,Tab_Def_Flows[Flow_Name],Tab_Def_Flows[Flow_ID],,0,)</f>
        <v>F_01_02</v>
      </c>
      <c r="C173" s="142" t="s">
        <v>599</v>
      </c>
      <c r="D173" s="10" t="str">
        <f>_xlfn.XLOOKUP(C173,Tab_Def_Flows[Flow_Name],Tab_Def_Flows[WC?],,0,)</f>
        <v>Yes</v>
      </c>
      <c r="E173" s="10" t="str">
        <f>_xlfn.XLOOKUP(C173,Tab_Def_Flows[Flow_Name],Tab_Def_Flows[DM?],,0,)</f>
        <v>Yes</v>
      </c>
      <c r="F173" s="10" t="str">
        <f>_xlfn.XLOOKUP(C173,Tab_Def_Flows[Flow_Name],Tab_Def_Flows[CC?],,0,)</f>
        <v>Yes</v>
      </c>
      <c r="G173" s="8">
        <v>1970</v>
      </c>
      <c r="H173" s="23">
        <v>219403.39726027398</v>
      </c>
      <c r="I173" s="8" t="s">
        <v>198</v>
      </c>
      <c r="J173" s="15"/>
      <c r="K173" s="15"/>
      <c r="L173" s="15"/>
      <c r="M173" s="15"/>
      <c r="N173" s="15"/>
      <c r="O173" s="8" t="s">
        <v>6</v>
      </c>
      <c r="P173" s="8"/>
      <c r="Q173" s="8"/>
      <c r="R173" s="7" t="str">
        <f>Tab_Data_Flows[[#This Row],[Flow_ID]]&amp;"_"&amp;"material_"&amp;Tab_Data_Flows[[#This Row],[Flow_Data_Year]]</f>
        <v>F_01_02_material_1970</v>
      </c>
      <c r="S173" s="14">
        <f>IF(O173="no",H173,H173*P173)</f>
        <v>219403.39726027398</v>
      </c>
      <c r="T173" s="8" t="s">
        <v>198</v>
      </c>
      <c r="U173" s="143">
        <f>INDEX(Tab_Def_Flows[[Flow_ID]:[CC_DM_source]],MATCH(Tab_Data_Flows[[#This Row],[Flow_Name]],Tab_Def_Flows[Flow_Name],0),11)</f>
        <v>0.6</v>
      </c>
      <c r="V173" s="7" t="str">
        <f>Tab_Data_Flows[[#This Row],[Flow_ID]]&amp;"_"&amp;"WC_"&amp;Tab_Data_Flows[[#This Row],[Flow_Data_Year]]</f>
        <v>F_01_02_WC_1970</v>
      </c>
      <c r="W173" s="7">
        <f>IF(D173="Yes",S173*Tab_Data_Flows[[#This Row],[WC_'[%']]],"N.A.")</f>
        <v>131642.03835616438</v>
      </c>
      <c r="X173" s="7" t="str">
        <f>Tab_Data_Flows[[#This Row],[UoM_Flow_Py]]</f>
        <v>Mg</v>
      </c>
      <c r="Y173" s="143">
        <f>INDEX(Tab_Def_Flows[[Flow_ID]:[CC_DM_source]],MATCH(Tab_Data_Flows[[#This Row],[Flow_Name]],Tab_Def_Flows[Flow_Name],0),14)</f>
        <v>0.4</v>
      </c>
      <c r="Z173" s="7" t="str">
        <f>Tab_Data_Flows[[#This Row],[Flow_ID]]&amp;"_"&amp;"DM_"&amp;Tab_Data_Flows[[#This Row],[Flow_Data_Year]]</f>
        <v>F_01_02_DM_1970</v>
      </c>
      <c r="AA173" s="7">
        <f>IF(E173="Yes",Y173*Tab_Data_Flows[[#This Row],[Flow_Material]],"N.A.")</f>
        <v>87761.358904109598</v>
      </c>
      <c r="AB173" s="7" t="str">
        <f>Tab_Data_Flows[[#This Row],[UoM_Flow_Py]]</f>
        <v>Mg</v>
      </c>
      <c r="AC173" s="143">
        <f>INDEX(Tab_Def_Flows[[Flow_ID]:[CC_DM_source]],MATCH(Tab_Data_Flows[[#This Row],[Flow_Name]],Tab_Def_Flows[Flow_Name],0),17)</f>
        <v>0</v>
      </c>
      <c r="AD173" s="7" t="str">
        <f>Tab_Data_Flows[[#This Row],[Flow_ID]]&amp;"_"&amp;"CC_"&amp;Tab_Data_Flows[[#This Row],[Flow_Data_Year]]</f>
        <v>F_01_02_CC_1970</v>
      </c>
      <c r="AE173" s="7">
        <f>IF(F173="Yes",AC173*Tab_Data_Flows[[#This Row],[Flow_Material]]*Tab_Data_Flows[[#This Row],[DM_'[%']]],"N.A.")</f>
        <v>0</v>
      </c>
      <c r="AF173" s="7" t="str">
        <f>Tab_Data_Flows[[#This Row],[UoM_Flow_Py]]</f>
        <v>Mg</v>
      </c>
      <c r="AG173"/>
    </row>
    <row r="174" spans="1:33" x14ac:dyDescent="0.25">
      <c r="A174" s="9">
        <f t="shared" si="2"/>
        <v>173</v>
      </c>
      <c r="B174" s="7" t="str">
        <f>_xlfn.XLOOKUP(C174,Tab_Def_Flows[Flow_Name],Tab_Def_Flows[Flow_ID],,0,)</f>
        <v>F_01_02</v>
      </c>
      <c r="C174" s="142" t="s">
        <v>599</v>
      </c>
      <c r="D174" s="10" t="str">
        <f>_xlfn.XLOOKUP(C174,Tab_Def_Flows[Flow_Name],Tab_Def_Flows[WC?],,0,)</f>
        <v>Yes</v>
      </c>
      <c r="E174" s="10" t="str">
        <f>_xlfn.XLOOKUP(C174,Tab_Def_Flows[Flow_Name],Tab_Def_Flows[DM?],,0,)</f>
        <v>Yes</v>
      </c>
      <c r="F174" s="10" t="str">
        <f>_xlfn.XLOOKUP(C174,Tab_Def_Flows[Flow_Name],Tab_Def_Flows[CC?],,0,)</f>
        <v>Yes</v>
      </c>
      <c r="G174" s="8">
        <v>1971</v>
      </c>
      <c r="H174" s="23">
        <v>218073.20547945204</v>
      </c>
      <c r="I174" s="8" t="s">
        <v>198</v>
      </c>
      <c r="J174" s="15"/>
      <c r="K174" s="15"/>
      <c r="L174" s="15"/>
      <c r="M174" s="15"/>
      <c r="N174" s="15"/>
      <c r="O174" s="8" t="s">
        <v>6</v>
      </c>
      <c r="P174" s="8"/>
      <c r="Q174" s="8"/>
      <c r="R174" s="7" t="str">
        <f>Tab_Data_Flows[[#This Row],[Flow_ID]]&amp;"_"&amp;"material_"&amp;Tab_Data_Flows[[#This Row],[Flow_Data_Year]]</f>
        <v>F_01_02_material_1971</v>
      </c>
      <c r="S174" s="14">
        <f>IF(O174="no",H174,H174*P174)</f>
        <v>218073.20547945204</v>
      </c>
      <c r="T174" s="8" t="s">
        <v>198</v>
      </c>
      <c r="U174" s="143">
        <f>INDEX(Tab_Def_Flows[[Flow_ID]:[CC_DM_source]],MATCH(Tab_Data_Flows[[#This Row],[Flow_Name]],Tab_Def_Flows[Flow_Name],0),11)</f>
        <v>0.6</v>
      </c>
      <c r="V174" s="7" t="str">
        <f>Tab_Data_Flows[[#This Row],[Flow_ID]]&amp;"_"&amp;"WC_"&amp;Tab_Data_Flows[[#This Row],[Flow_Data_Year]]</f>
        <v>F_01_02_WC_1971</v>
      </c>
      <c r="W174" s="7">
        <f>IF(D174="Yes",S174*Tab_Data_Flows[[#This Row],[WC_'[%']]],"N.A.")</f>
        <v>130843.92328767122</v>
      </c>
      <c r="X174" s="7" t="str">
        <f>Tab_Data_Flows[[#This Row],[UoM_Flow_Py]]</f>
        <v>Mg</v>
      </c>
      <c r="Y174" s="143">
        <f>INDEX(Tab_Def_Flows[[Flow_ID]:[CC_DM_source]],MATCH(Tab_Data_Flows[[#This Row],[Flow_Name]],Tab_Def_Flows[Flow_Name],0),14)</f>
        <v>0.4</v>
      </c>
      <c r="Z174" s="7" t="str">
        <f>Tab_Data_Flows[[#This Row],[Flow_ID]]&amp;"_"&amp;"DM_"&amp;Tab_Data_Flows[[#This Row],[Flow_Data_Year]]</f>
        <v>F_01_02_DM_1971</v>
      </c>
      <c r="AA174" s="7">
        <f>IF(E174="Yes",Y174*Tab_Data_Flows[[#This Row],[Flow_Material]],"N.A.")</f>
        <v>87229.282191780818</v>
      </c>
      <c r="AB174" s="7" t="str">
        <f>Tab_Data_Flows[[#This Row],[UoM_Flow_Py]]</f>
        <v>Mg</v>
      </c>
      <c r="AC174" s="143">
        <f>INDEX(Tab_Def_Flows[[Flow_ID]:[CC_DM_source]],MATCH(Tab_Data_Flows[[#This Row],[Flow_Name]],Tab_Def_Flows[Flow_Name],0),17)</f>
        <v>0</v>
      </c>
      <c r="AD174" s="7" t="str">
        <f>Tab_Data_Flows[[#This Row],[Flow_ID]]&amp;"_"&amp;"CC_"&amp;Tab_Data_Flows[[#This Row],[Flow_Data_Year]]</f>
        <v>F_01_02_CC_1971</v>
      </c>
      <c r="AE174" s="7">
        <f>IF(F174="Yes",AC174*Tab_Data_Flows[[#This Row],[Flow_Material]]*Tab_Data_Flows[[#This Row],[DM_'[%']]],"N.A.")</f>
        <v>0</v>
      </c>
      <c r="AF174" s="7" t="str">
        <f>Tab_Data_Flows[[#This Row],[UoM_Flow_Py]]</f>
        <v>Mg</v>
      </c>
      <c r="AG174"/>
    </row>
    <row r="175" spans="1:33" x14ac:dyDescent="0.25">
      <c r="A175" s="9">
        <f t="shared" si="2"/>
        <v>174</v>
      </c>
      <c r="B175" s="7" t="str">
        <f>_xlfn.XLOOKUP(C175,Tab_Def_Flows[Flow_Name],Tab_Def_Flows[Flow_ID],,0,)</f>
        <v>F_01_02</v>
      </c>
      <c r="C175" s="142" t="s">
        <v>599</v>
      </c>
      <c r="D175" s="10" t="str">
        <f>_xlfn.XLOOKUP(C175,Tab_Def_Flows[Flow_Name],Tab_Def_Flows[WC?],,0,)</f>
        <v>Yes</v>
      </c>
      <c r="E175" s="10" t="str">
        <f>_xlfn.XLOOKUP(C175,Tab_Def_Flows[Flow_Name],Tab_Def_Flows[DM?],,0,)</f>
        <v>Yes</v>
      </c>
      <c r="F175" s="10" t="str">
        <f>_xlfn.XLOOKUP(C175,Tab_Def_Flows[Flow_Name],Tab_Def_Flows[CC?],,0,)</f>
        <v>Yes</v>
      </c>
      <c r="G175" s="8">
        <v>1972</v>
      </c>
      <c r="H175" s="23">
        <v>185444.38356164377</v>
      </c>
      <c r="I175" s="8" t="s">
        <v>198</v>
      </c>
      <c r="J175" s="15"/>
      <c r="K175" s="15"/>
      <c r="L175" s="15"/>
      <c r="M175" s="15"/>
      <c r="N175" s="15"/>
      <c r="O175" s="8" t="s">
        <v>6</v>
      </c>
      <c r="P175" s="8"/>
      <c r="Q175" s="8"/>
      <c r="R175" s="7" t="str">
        <f>Tab_Data_Flows[[#This Row],[Flow_ID]]&amp;"_"&amp;"material_"&amp;Tab_Data_Flows[[#This Row],[Flow_Data_Year]]</f>
        <v>F_01_02_material_1972</v>
      </c>
      <c r="S175" s="14">
        <f>IF(O175="no",H175,H175*P175)</f>
        <v>185444.38356164377</v>
      </c>
      <c r="T175" s="8" t="s">
        <v>198</v>
      </c>
      <c r="U175" s="143">
        <f>INDEX(Tab_Def_Flows[[Flow_ID]:[CC_DM_source]],MATCH(Tab_Data_Flows[[#This Row],[Flow_Name]],Tab_Def_Flows[Flow_Name],0),11)</f>
        <v>0.6</v>
      </c>
      <c r="V175" s="7" t="str">
        <f>Tab_Data_Flows[[#This Row],[Flow_ID]]&amp;"_"&amp;"WC_"&amp;Tab_Data_Flows[[#This Row],[Flow_Data_Year]]</f>
        <v>F_01_02_WC_1972</v>
      </c>
      <c r="W175" s="7">
        <f>IF(D175="Yes",S175*Tab_Data_Flows[[#This Row],[WC_'[%']]],"N.A.")</f>
        <v>111266.63013698626</v>
      </c>
      <c r="X175" s="7" t="str">
        <f>Tab_Data_Flows[[#This Row],[UoM_Flow_Py]]</f>
        <v>Mg</v>
      </c>
      <c r="Y175" s="143">
        <f>INDEX(Tab_Def_Flows[[Flow_ID]:[CC_DM_source]],MATCH(Tab_Data_Flows[[#This Row],[Flow_Name]],Tab_Def_Flows[Flow_Name],0),14)</f>
        <v>0.4</v>
      </c>
      <c r="Z175" s="7" t="str">
        <f>Tab_Data_Flows[[#This Row],[Flow_ID]]&amp;"_"&amp;"DM_"&amp;Tab_Data_Flows[[#This Row],[Flow_Data_Year]]</f>
        <v>F_01_02_DM_1972</v>
      </c>
      <c r="AA175" s="7">
        <f>IF(E175="Yes",Y175*Tab_Data_Flows[[#This Row],[Flow_Material]],"N.A.")</f>
        <v>74177.753424657509</v>
      </c>
      <c r="AB175" s="7" t="str">
        <f>Tab_Data_Flows[[#This Row],[UoM_Flow_Py]]</f>
        <v>Mg</v>
      </c>
      <c r="AC175" s="143">
        <f>INDEX(Tab_Def_Flows[[Flow_ID]:[CC_DM_source]],MATCH(Tab_Data_Flows[[#This Row],[Flow_Name]],Tab_Def_Flows[Flow_Name],0),17)</f>
        <v>0</v>
      </c>
      <c r="AD175" s="7" t="str">
        <f>Tab_Data_Flows[[#This Row],[Flow_ID]]&amp;"_"&amp;"CC_"&amp;Tab_Data_Flows[[#This Row],[Flow_Data_Year]]</f>
        <v>F_01_02_CC_1972</v>
      </c>
      <c r="AE175" s="7">
        <f>IF(F175="Yes",AC175*Tab_Data_Flows[[#This Row],[Flow_Material]]*Tab_Data_Flows[[#This Row],[DM_'[%']]],"N.A.")</f>
        <v>0</v>
      </c>
      <c r="AF175" s="7" t="str">
        <f>Tab_Data_Flows[[#This Row],[UoM_Flow_Py]]</f>
        <v>Mg</v>
      </c>
      <c r="AG175"/>
    </row>
    <row r="176" spans="1:33" x14ac:dyDescent="0.25">
      <c r="A176" s="9">
        <f t="shared" si="2"/>
        <v>175</v>
      </c>
      <c r="B176" s="7" t="str">
        <f>_xlfn.XLOOKUP(C176,Tab_Def_Flows[Flow_Name],Tab_Def_Flows[Flow_ID],,0,)</f>
        <v>F_01_02</v>
      </c>
      <c r="C176" s="142" t="s">
        <v>599</v>
      </c>
      <c r="D176" s="10" t="str">
        <f>_xlfn.XLOOKUP(C176,Tab_Def_Flows[Flow_Name],Tab_Def_Flows[WC?],,0,)</f>
        <v>Yes</v>
      </c>
      <c r="E176" s="10" t="str">
        <f>_xlfn.XLOOKUP(C176,Tab_Def_Flows[Flow_Name],Tab_Def_Flows[DM?],,0,)</f>
        <v>Yes</v>
      </c>
      <c r="F176" s="10" t="str">
        <f>_xlfn.XLOOKUP(C176,Tab_Def_Flows[Flow_Name],Tab_Def_Flows[CC?],,0,)</f>
        <v>Yes</v>
      </c>
      <c r="G176" s="8">
        <v>1973</v>
      </c>
      <c r="H176" s="23">
        <v>242564.3835616438</v>
      </c>
      <c r="I176" s="8" t="s">
        <v>198</v>
      </c>
      <c r="J176" s="15"/>
      <c r="K176" s="15"/>
      <c r="L176" s="15"/>
      <c r="M176" s="15"/>
      <c r="N176" s="15"/>
      <c r="O176" s="8" t="s">
        <v>6</v>
      </c>
      <c r="P176" s="16"/>
      <c r="Q176" s="8"/>
      <c r="R176" s="7" t="str">
        <f>Tab_Data_Flows[[#This Row],[Flow_ID]]&amp;"_"&amp;"material_"&amp;Tab_Data_Flows[[#This Row],[Flow_Data_Year]]</f>
        <v>F_01_02_material_1973</v>
      </c>
      <c r="S176" s="14">
        <f>IF(O176="no",H176,H176*P176)</f>
        <v>242564.3835616438</v>
      </c>
      <c r="T176" s="8" t="s">
        <v>198</v>
      </c>
      <c r="U176" s="143">
        <f>INDEX(Tab_Def_Flows[[Flow_ID]:[CC_DM_source]],MATCH(Tab_Data_Flows[[#This Row],[Flow_Name]],Tab_Def_Flows[Flow_Name],0),11)</f>
        <v>0.6</v>
      </c>
      <c r="V176" s="7" t="str">
        <f>Tab_Data_Flows[[#This Row],[Flow_ID]]&amp;"_"&amp;"WC_"&amp;Tab_Data_Flows[[#This Row],[Flow_Data_Year]]</f>
        <v>F_01_02_WC_1973</v>
      </c>
      <c r="W176" s="7">
        <f>IF(D176="Yes",S176*Tab_Data_Flows[[#This Row],[WC_'[%']]],"N.A.")</f>
        <v>145538.63013698626</v>
      </c>
      <c r="X176" s="7" t="str">
        <f>Tab_Data_Flows[[#This Row],[UoM_Flow_Py]]</f>
        <v>Mg</v>
      </c>
      <c r="Y176" s="143">
        <f>INDEX(Tab_Def_Flows[[Flow_ID]:[CC_DM_source]],MATCH(Tab_Data_Flows[[#This Row],[Flow_Name]],Tab_Def_Flows[Flow_Name],0),14)</f>
        <v>0.4</v>
      </c>
      <c r="Z176" s="7" t="str">
        <f>Tab_Data_Flows[[#This Row],[Flow_ID]]&amp;"_"&amp;"DM_"&amp;Tab_Data_Flows[[#This Row],[Flow_Data_Year]]</f>
        <v>F_01_02_DM_1973</v>
      </c>
      <c r="AA176" s="7">
        <f>IF(E176="Yes",Y176*Tab_Data_Flows[[#This Row],[Flow_Material]],"N.A.")</f>
        <v>97025.753424657523</v>
      </c>
      <c r="AB176" s="7" t="str">
        <f>Tab_Data_Flows[[#This Row],[UoM_Flow_Py]]</f>
        <v>Mg</v>
      </c>
      <c r="AC176" s="143">
        <f>INDEX(Tab_Def_Flows[[Flow_ID]:[CC_DM_source]],MATCH(Tab_Data_Flows[[#This Row],[Flow_Name]],Tab_Def_Flows[Flow_Name],0),17)</f>
        <v>0</v>
      </c>
      <c r="AD176" s="7" t="str">
        <f>Tab_Data_Flows[[#This Row],[Flow_ID]]&amp;"_"&amp;"CC_"&amp;Tab_Data_Flows[[#This Row],[Flow_Data_Year]]</f>
        <v>F_01_02_CC_1973</v>
      </c>
      <c r="AE176" s="7">
        <f>IF(F176="Yes",AC176*Tab_Data_Flows[[#This Row],[Flow_Material]]*Tab_Data_Flows[[#This Row],[DM_'[%']]],"N.A.")</f>
        <v>0</v>
      </c>
      <c r="AF176" s="7" t="str">
        <f>Tab_Data_Flows[[#This Row],[UoM_Flow_Py]]</f>
        <v>Mg</v>
      </c>
      <c r="AG176"/>
    </row>
    <row r="177" spans="1:33" x14ac:dyDescent="0.25">
      <c r="A177" s="9">
        <f t="shared" si="2"/>
        <v>176</v>
      </c>
      <c r="B177" s="7" t="str">
        <f>_xlfn.XLOOKUP(C177,Tab_Def_Flows[Flow_Name],Tab_Def_Flows[Flow_ID],,0,)</f>
        <v>F_01_02</v>
      </c>
      <c r="C177" s="142" t="s">
        <v>599</v>
      </c>
      <c r="D177" s="10" t="str">
        <f>_xlfn.XLOOKUP(C177,Tab_Def_Flows[Flow_Name],Tab_Def_Flows[WC?],,0,)</f>
        <v>Yes</v>
      </c>
      <c r="E177" s="10" t="str">
        <f>_xlfn.XLOOKUP(C177,Tab_Def_Flows[Flow_Name],Tab_Def_Flows[DM?],,0,)</f>
        <v>Yes</v>
      </c>
      <c r="F177" s="10" t="str">
        <f>_xlfn.XLOOKUP(C177,Tab_Def_Flows[Flow_Name],Tab_Def_Flows[CC?],,0,)</f>
        <v>Yes</v>
      </c>
      <c r="G177" s="8">
        <v>1974</v>
      </c>
      <c r="H177" s="23">
        <v>247180.93150684927</v>
      </c>
      <c r="I177" s="8" t="s">
        <v>198</v>
      </c>
      <c r="J177" s="15"/>
      <c r="K177" s="15"/>
      <c r="L177" s="15"/>
      <c r="M177" s="15"/>
      <c r="N177" s="15"/>
      <c r="O177" s="8" t="s">
        <v>6</v>
      </c>
      <c r="P177" s="16"/>
      <c r="Q177" s="8"/>
      <c r="R177" s="7" t="str">
        <f>Tab_Data_Flows[[#This Row],[Flow_ID]]&amp;"_"&amp;"material_"&amp;Tab_Data_Flows[[#This Row],[Flow_Data_Year]]</f>
        <v>F_01_02_material_1974</v>
      </c>
      <c r="S177" s="14">
        <f>IF(O177="no",H177,H177*P177)</f>
        <v>247180.93150684927</v>
      </c>
      <c r="T177" s="8" t="s">
        <v>198</v>
      </c>
      <c r="U177" s="143">
        <f>INDEX(Tab_Def_Flows[[Flow_ID]:[CC_DM_source]],MATCH(Tab_Data_Flows[[#This Row],[Flow_Name]],Tab_Def_Flows[Flow_Name],0),11)</f>
        <v>0.6</v>
      </c>
      <c r="V177" s="7" t="str">
        <f>Tab_Data_Flows[[#This Row],[Flow_ID]]&amp;"_"&amp;"WC_"&amp;Tab_Data_Flows[[#This Row],[Flow_Data_Year]]</f>
        <v>F_01_02_WC_1974</v>
      </c>
      <c r="W177" s="7">
        <f>IF(D177="Yes",S177*Tab_Data_Flows[[#This Row],[WC_'[%']]],"N.A.")</f>
        <v>148308.55890410955</v>
      </c>
      <c r="X177" s="7" t="str">
        <f>Tab_Data_Flows[[#This Row],[UoM_Flow_Py]]</f>
        <v>Mg</v>
      </c>
      <c r="Y177" s="143">
        <f>INDEX(Tab_Def_Flows[[Flow_ID]:[CC_DM_source]],MATCH(Tab_Data_Flows[[#This Row],[Flow_Name]],Tab_Def_Flows[Flow_Name],0),14)</f>
        <v>0.4</v>
      </c>
      <c r="Z177" s="7" t="str">
        <f>Tab_Data_Flows[[#This Row],[Flow_ID]]&amp;"_"&amp;"DM_"&amp;Tab_Data_Flows[[#This Row],[Flow_Data_Year]]</f>
        <v>F_01_02_DM_1974</v>
      </c>
      <c r="AA177" s="7">
        <f>IF(E177="Yes",Y177*Tab_Data_Flows[[#This Row],[Flow_Material]],"N.A.")</f>
        <v>98872.372602739721</v>
      </c>
      <c r="AB177" s="7" t="str">
        <f>Tab_Data_Flows[[#This Row],[UoM_Flow_Py]]</f>
        <v>Mg</v>
      </c>
      <c r="AC177" s="143">
        <f>INDEX(Tab_Def_Flows[[Flow_ID]:[CC_DM_source]],MATCH(Tab_Data_Flows[[#This Row],[Flow_Name]],Tab_Def_Flows[Flow_Name],0),17)</f>
        <v>0</v>
      </c>
      <c r="AD177" s="7" t="str">
        <f>Tab_Data_Flows[[#This Row],[Flow_ID]]&amp;"_"&amp;"CC_"&amp;Tab_Data_Flows[[#This Row],[Flow_Data_Year]]</f>
        <v>F_01_02_CC_1974</v>
      </c>
      <c r="AE177" s="7">
        <f>IF(F177="Yes",AC177*Tab_Data_Flows[[#This Row],[Flow_Material]]*Tab_Data_Flows[[#This Row],[DM_'[%']]],"N.A.")</f>
        <v>0</v>
      </c>
      <c r="AF177" s="7" t="str">
        <f>Tab_Data_Flows[[#This Row],[UoM_Flow_Py]]</f>
        <v>Mg</v>
      </c>
      <c r="AG177"/>
    </row>
    <row r="178" spans="1:33" x14ac:dyDescent="0.25">
      <c r="A178" s="9">
        <f t="shared" si="2"/>
        <v>177</v>
      </c>
      <c r="B178" s="7" t="str">
        <f>_xlfn.XLOOKUP(C178,Tab_Def_Flows[Flow_Name],Tab_Def_Flows[Flow_ID],,0,)</f>
        <v>F_01_02</v>
      </c>
      <c r="C178" s="142" t="s">
        <v>599</v>
      </c>
      <c r="D178" s="10" t="str">
        <f>_xlfn.XLOOKUP(C178,Tab_Def_Flows[Flow_Name],Tab_Def_Flows[WC?],,0,)</f>
        <v>Yes</v>
      </c>
      <c r="E178" s="10" t="str">
        <f>_xlfn.XLOOKUP(C178,Tab_Def_Flows[Flow_Name],Tab_Def_Flows[DM?],,0,)</f>
        <v>Yes</v>
      </c>
      <c r="F178" s="10" t="str">
        <f>_xlfn.XLOOKUP(C178,Tab_Def_Flows[Flow_Name],Tab_Def_Flows[CC?],,0,)</f>
        <v>Yes</v>
      </c>
      <c r="G178" s="8">
        <v>1975</v>
      </c>
      <c r="H178" s="23">
        <v>204301.80821917806</v>
      </c>
      <c r="I178" s="8" t="s">
        <v>198</v>
      </c>
      <c r="J178" s="15"/>
      <c r="K178" s="15"/>
      <c r="L178" s="15"/>
      <c r="M178" s="15"/>
      <c r="N178" s="15"/>
      <c r="O178" s="8" t="s">
        <v>6</v>
      </c>
      <c r="P178" s="16"/>
      <c r="Q178" s="8"/>
      <c r="R178" s="7" t="str">
        <f>Tab_Data_Flows[[#This Row],[Flow_ID]]&amp;"_"&amp;"material_"&amp;Tab_Data_Flows[[#This Row],[Flow_Data_Year]]</f>
        <v>F_01_02_material_1975</v>
      </c>
      <c r="S178" s="14">
        <f>IF(O178="no",H178,H178*P178)</f>
        <v>204301.80821917806</v>
      </c>
      <c r="T178" s="8" t="s">
        <v>198</v>
      </c>
      <c r="U178" s="143">
        <f>INDEX(Tab_Def_Flows[[Flow_ID]:[CC_DM_source]],MATCH(Tab_Data_Flows[[#This Row],[Flow_Name]],Tab_Def_Flows[Flow_Name],0),11)</f>
        <v>0.6</v>
      </c>
      <c r="V178" s="7" t="str">
        <f>Tab_Data_Flows[[#This Row],[Flow_ID]]&amp;"_"&amp;"WC_"&amp;Tab_Data_Flows[[#This Row],[Flow_Data_Year]]</f>
        <v>F_01_02_WC_1975</v>
      </c>
      <c r="W178" s="7">
        <f>IF(D178="Yes",S178*Tab_Data_Flows[[#This Row],[WC_'[%']]],"N.A.")</f>
        <v>122581.08493150683</v>
      </c>
      <c r="X178" s="7" t="str">
        <f>Tab_Data_Flows[[#This Row],[UoM_Flow_Py]]</f>
        <v>Mg</v>
      </c>
      <c r="Y178" s="143">
        <f>INDEX(Tab_Def_Flows[[Flow_ID]:[CC_DM_source]],MATCH(Tab_Data_Flows[[#This Row],[Flow_Name]],Tab_Def_Flows[Flow_Name],0),14)</f>
        <v>0.4</v>
      </c>
      <c r="Z178" s="7" t="str">
        <f>Tab_Data_Flows[[#This Row],[Flow_ID]]&amp;"_"&amp;"DM_"&amp;Tab_Data_Flows[[#This Row],[Flow_Data_Year]]</f>
        <v>F_01_02_DM_1975</v>
      </c>
      <c r="AA178" s="7">
        <f>IF(E178="Yes",Y178*Tab_Data_Flows[[#This Row],[Flow_Material]],"N.A.")</f>
        <v>81720.723287671222</v>
      </c>
      <c r="AB178" s="7" t="str">
        <f>Tab_Data_Flows[[#This Row],[UoM_Flow_Py]]</f>
        <v>Mg</v>
      </c>
      <c r="AC178" s="143">
        <f>INDEX(Tab_Def_Flows[[Flow_ID]:[CC_DM_source]],MATCH(Tab_Data_Flows[[#This Row],[Flow_Name]],Tab_Def_Flows[Flow_Name],0),17)</f>
        <v>0</v>
      </c>
      <c r="AD178" s="7" t="str">
        <f>Tab_Data_Flows[[#This Row],[Flow_ID]]&amp;"_"&amp;"CC_"&amp;Tab_Data_Flows[[#This Row],[Flow_Data_Year]]</f>
        <v>F_01_02_CC_1975</v>
      </c>
      <c r="AE178" s="7">
        <f>IF(F178="Yes",AC178*Tab_Data_Flows[[#This Row],[Flow_Material]]*Tab_Data_Flows[[#This Row],[DM_'[%']]],"N.A.")</f>
        <v>0</v>
      </c>
      <c r="AF178" s="7" t="str">
        <f>Tab_Data_Flows[[#This Row],[UoM_Flow_Py]]</f>
        <v>Mg</v>
      </c>
      <c r="AG178"/>
    </row>
    <row r="179" spans="1:33" x14ac:dyDescent="0.25">
      <c r="A179" s="9">
        <f t="shared" si="2"/>
        <v>178</v>
      </c>
      <c r="B179" s="7" t="str">
        <f>_xlfn.XLOOKUP(C179,Tab_Def_Flows[Flow_Name],Tab_Def_Flows[Flow_ID],,0,)</f>
        <v>F_01_02</v>
      </c>
      <c r="C179" s="142" t="s">
        <v>599</v>
      </c>
      <c r="D179" s="10" t="str">
        <f>_xlfn.XLOOKUP(C179,Tab_Def_Flows[Flow_Name],Tab_Def_Flows[WC?],,0,)</f>
        <v>Yes</v>
      </c>
      <c r="E179" s="10" t="str">
        <f>_xlfn.XLOOKUP(C179,Tab_Def_Flows[Flow_Name],Tab_Def_Flows[DM?],,0,)</f>
        <v>Yes</v>
      </c>
      <c r="F179" s="10" t="str">
        <f>_xlfn.XLOOKUP(C179,Tab_Def_Flows[Flow_Name],Tab_Def_Flows[CC?],,0,)</f>
        <v>Yes</v>
      </c>
      <c r="G179" s="8">
        <v>1976</v>
      </c>
      <c r="H179" s="23">
        <v>226054.35616438353</v>
      </c>
      <c r="I179" s="8" t="s">
        <v>198</v>
      </c>
      <c r="J179" s="15"/>
      <c r="K179" s="15"/>
      <c r="L179" s="15"/>
      <c r="M179" s="15"/>
      <c r="N179" s="15"/>
      <c r="O179" s="8" t="s">
        <v>6</v>
      </c>
      <c r="P179" s="16"/>
      <c r="Q179" s="8"/>
      <c r="R179" s="7" t="str">
        <f>Tab_Data_Flows[[#This Row],[Flow_ID]]&amp;"_"&amp;"material_"&amp;Tab_Data_Flows[[#This Row],[Flow_Data_Year]]</f>
        <v>F_01_02_material_1976</v>
      </c>
      <c r="S179" s="14">
        <f>IF(O179="no",H179,H179*P179)</f>
        <v>226054.35616438353</v>
      </c>
      <c r="T179" s="8" t="s">
        <v>198</v>
      </c>
      <c r="U179" s="143">
        <f>INDEX(Tab_Def_Flows[[Flow_ID]:[CC_DM_source]],MATCH(Tab_Data_Flows[[#This Row],[Flow_Name]],Tab_Def_Flows[Flow_Name],0),11)</f>
        <v>0.6</v>
      </c>
      <c r="V179" s="7" t="str">
        <f>Tab_Data_Flows[[#This Row],[Flow_ID]]&amp;"_"&amp;"WC_"&amp;Tab_Data_Flows[[#This Row],[Flow_Data_Year]]</f>
        <v>F_01_02_WC_1976</v>
      </c>
      <c r="W179" s="7">
        <f>IF(D179="Yes",S179*Tab_Data_Flows[[#This Row],[WC_'[%']]],"N.A.")</f>
        <v>135632.6136986301</v>
      </c>
      <c r="X179" s="7" t="str">
        <f>Tab_Data_Flows[[#This Row],[UoM_Flow_Py]]</f>
        <v>Mg</v>
      </c>
      <c r="Y179" s="143">
        <f>INDEX(Tab_Def_Flows[[Flow_ID]:[CC_DM_source]],MATCH(Tab_Data_Flows[[#This Row],[Flow_Name]],Tab_Def_Flows[Flow_Name],0),14)</f>
        <v>0.4</v>
      </c>
      <c r="Z179" s="7" t="str">
        <f>Tab_Data_Flows[[#This Row],[Flow_ID]]&amp;"_"&amp;"DM_"&amp;Tab_Data_Flows[[#This Row],[Flow_Data_Year]]</f>
        <v>F_01_02_DM_1976</v>
      </c>
      <c r="AA179" s="7">
        <f>IF(E179="Yes",Y179*Tab_Data_Flows[[#This Row],[Flow_Material]],"N.A.")</f>
        <v>90421.742465753414</v>
      </c>
      <c r="AB179" s="7" t="str">
        <f>Tab_Data_Flows[[#This Row],[UoM_Flow_Py]]</f>
        <v>Mg</v>
      </c>
      <c r="AC179" s="143">
        <f>INDEX(Tab_Def_Flows[[Flow_ID]:[CC_DM_source]],MATCH(Tab_Data_Flows[[#This Row],[Flow_Name]],Tab_Def_Flows[Flow_Name],0),17)</f>
        <v>0</v>
      </c>
      <c r="AD179" s="7" t="str">
        <f>Tab_Data_Flows[[#This Row],[Flow_ID]]&amp;"_"&amp;"CC_"&amp;Tab_Data_Flows[[#This Row],[Flow_Data_Year]]</f>
        <v>F_01_02_CC_1976</v>
      </c>
      <c r="AE179" s="7">
        <f>IF(F179="Yes",AC179*Tab_Data_Flows[[#This Row],[Flow_Material]]*Tab_Data_Flows[[#This Row],[DM_'[%']]],"N.A.")</f>
        <v>0</v>
      </c>
      <c r="AF179" s="7" t="str">
        <f>Tab_Data_Flows[[#This Row],[UoM_Flow_Py]]</f>
        <v>Mg</v>
      </c>
      <c r="AG179"/>
    </row>
    <row r="180" spans="1:33" x14ac:dyDescent="0.25">
      <c r="A180" s="9">
        <f t="shared" si="2"/>
        <v>179</v>
      </c>
      <c r="B180" s="7" t="str">
        <f>_xlfn.XLOOKUP(C180,Tab_Def_Flows[Flow_Name],Tab_Def_Flows[Flow_ID],,0,)</f>
        <v>F_01_02</v>
      </c>
      <c r="C180" s="142" t="s">
        <v>599</v>
      </c>
      <c r="D180" s="10" t="str">
        <f>_xlfn.XLOOKUP(C180,Tab_Def_Flows[Flow_Name],Tab_Def_Flows[WC?],,0,)</f>
        <v>Yes</v>
      </c>
      <c r="E180" s="10" t="str">
        <f>_xlfn.XLOOKUP(C180,Tab_Def_Flows[Flow_Name],Tab_Def_Flows[DM?],,0,)</f>
        <v>Yes</v>
      </c>
      <c r="F180" s="10" t="str">
        <f>_xlfn.XLOOKUP(C180,Tab_Def_Flows[Flow_Name],Tab_Def_Flows[CC?],,0,)</f>
        <v>Yes</v>
      </c>
      <c r="G180" s="8">
        <v>1977</v>
      </c>
      <c r="H180" s="23">
        <v>229575.45205479453</v>
      </c>
      <c r="I180" s="8" t="s">
        <v>198</v>
      </c>
      <c r="J180" s="15"/>
      <c r="K180" s="15"/>
      <c r="L180" s="15"/>
      <c r="M180" s="15"/>
      <c r="N180" s="15"/>
      <c r="O180" s="8" t="s">
        <v>6</v>
      </c>
      <c r="P180" s="16"/>
      <c r="Q180" s="8"/>
      <c r="R180" s="7" t="str">
        <f>Tab_Data_Flows[[#This Row],[Flow_ID]]&amp;"_"&amp;"material_"&amp;Tab_Data_Flows[[#This Row],[Flow_Data_Year]]</f>
        <v>F_01_02_material_1977</v>
      </c>
      <c r="S180" s="14">
        <f>IF(O180="no",H180,H180*P180)</f>
        <v>229575.45205479453</v>
      </c>
      <c r="T180" s="8" t="s">
        <v>198</v>
      </c>
      <c r="U180" s="143">
        <f>INDEX(Tab_Def_Flows[[Flow_ID]:[CC_DM_source]],MATCH(Tab_Data_Flows[[#This Row],[Flow_Name]],Tab_Def_Flows[Flow_Name],0),11)</f>
        <v>0.6</v>
      </c>
      <c r="V180" s="7" t="str">
        <f>Tab_Data_Flows[[#This Row],[Flow_ID]]&amp;"_"&amp;"WC_"&amp;Tab_Data_Flows[[#This Row],[Flow_Data_Year]]</f>
        <v>F_01_02_WC_1977</v>
      </c>
      <c r="W180" s="7">
        <f>IF(D180="Yes",S180*Tab_Data_Flows[[#This Row],[WC_'[%']]],"N.A.")</f>
        <v>137745.27123287672</v>
      </c>
      <c r="X180" s="7" t="str">
        <f>Tab_Data_Flows[[#This Row],[UoM_Flow_Py]]</f>
        <v>Mg</v>
      </c>
      <c r="Y180" s="143">
        <f>INDEX(Tab_Def_Flows[[Flow_ID]:[CC_DM_source]],MATCH(Tab_Data_Flows[[#This Row],[Flow_Name]],Tab_Def_Flows[Flow_Name],0),14)</f>
        <v>0.4</v>
      </c>
      <c r="Z180" s="7" t="str">
        <f>Tab_Data_Flows[[#This Row],[Flow_ID]]&amp;"_"&amp;"DM_"&amp;Tab_Data_Flows[[#This Row],[Flow_Data_Year]]</f>
        <v>F_01_02_DM_1977</v>
      </c>
      <c r="AA180" s="7">
        <f>IF(E180="Yes",Y180*Tab_Data_Flows[[#This Row],[Flow_Material]],"N.A.")</f>
        <v>91830.18082191782</v>
      </c>
      <c r="AB180" s="7" t="str">
        <f>Tab_Data_Flows[[#This Row],[UoM_Flow_Py]]</f>
        <v>Mg</v>
      </c>
      <c r="AC180" s="143">
        <f>INDEX(Tab_Def_Flows[[Flow_ID]:[CC_DM_source]],MATCH(Tab_Data_Flows[[#This Row],[Flow_Name]],Tab_Def_Flows[Flow_Name],0),17)</f>
        <v>0</v>
      </c>
      <c r="AD180" s="7" t="str">
        <f>Tab_Data_Flows[[#This Row],[Flow_ID]]&amp;"_"&amp;"CC_"&amp;Tab_Data_Flows[[#This Row],[Flow_Data_Year]]</f>
        <v>F_01_02_CC_1977</v>
      </c>
      <c r="AE180" s="7">
        <f>IF(F180="Yes",AC180*Tab_Data_Flows[[#This Row],[Flow_Material]]*Tab_Data_Flows[[#This Row],[DM_'[%']]],"N.A.")</f>
        <v>0</v>
      </c>
      <c r="AF180" s="7" t="str">
        <f>Tab_Data_Flows[[#This Row],[UoM_Flow_Py]]</f>
        <v>Mg</v>
      </c>
      <c r="AG180"/>
    </row>
    <row r="181" spans="1:33" x14ac:dyDescent="0.25">
      <c r="A181" s="9">
        <f t="shared" si="2"/>
        <v>180</v>
      </c>
      <c r="B181" s="7" t="str">
        <f>_xlfn.XLOOKUP(C181,Tab_Def_Flows[Flow_Name],Tab_Def_Flows[Flow_ID],,0,)</f>
        <v>F_01_02</v>
      </c>
      <c r="C181" s="142" t="s">
        <v>599</v>
      </c>
      <c r="D181" s="10" t="str">
        <f>_xlfn.XLOOKUP(C181,Tab_Def_Flows[Flow_Name],Tab_Def_Flows[WC?],,0,)</f>
        <v>Yes</v>
      </c>
      <c r="E181" s="10" t="str">
        <f>_xlfn.XLOOKUP(C181,Tab_Def_Flows[Flow_Name],Tab_Def_Flows[DM?],,0,)</f>
        <v>Yes</v>
      </c>
      <c r="F181" s="10" t="str">
        <f>_xlfn.XLOOKUP(C181,Tab_Def_Flows[Flow_Name],Tab_Def_Flows[CC?],,0,)</f>
        <v>Yes</v>
      </c>
      <c r="G181" s="8">
        <v>1978</v>
      </c>
      <c r="H181" s="23">
        <v>224098.19178082194</v>
      </c>
      <c r="I181" s="8" t="s">
        <v>198</v>
      </c>
      <c r="J181" s="15"/>
      <c r="K181" s="15"/>
      <c r="L181" s="15"/>
      <c r="M181" s="15"/>
      <c r="N181" s="15"/>
      <c r="O181" s="8" t="s">
        <v>6</v>
      </c>
      <c r="P181" s="16"/>
      <c r="Q181" s="8"/>
      <c r="R181" s="7" t="str">
        <f>Tab_Data_Flows[[#This Row],[Flow_ID]]&amp;"_"&amp;"material_"&amp;Tab_Data_Flows[[#This Row],[Flow_Data_Year]]</f>
        <v>F_01_02_material_1978</v>
      </c>
      <c r="S181" s="14">
        <f>IF(O181="no",H181,H181*P181)</f>
        <v>224098.19178082194</v>
      </c>
      <c r="T181" s="8" t="s">
        <v>198</v>
      </c>
      <c r="U181" s="143">
        <f>INDEX(Tab_Def_Flows[[Flow_ID]:[CC_DM_source]],MATCH(Tab_Data_Flows[[#This Row],[Flow_Name]],Tab_Def_Flows[Flow_Name],0),11)</f>
        <v>0.6</v>
      </c>
      <c r="V181" s="7" t="str">
        <f>Tab_Data_Flows[[#This Row],[Flow_ID]]&amp;"_"&amp;"WC_"&amp;Tab_Data_Flows[[#This Row],[Flow_Data_Year]]</f>
        <v>F_01_02_WC_1978</v>
      </c>
      <c r="W181" s="7">
        <f>IF(D181="Yes",S181*Tab_Data_Flows[[#This Row],[WC_'[%']]],"N.A.")</f>
        <v>134458.91506849317</v>
      </c>
      <c r="X181" s="7" t="str">
        <f>Tab_Data_Flows[[#This Row],[UoM_Flow_Py]]</f>
        <v>Mg</v>
      </c>
      <c r="Y181" s="143">
        <f>INDEX(Tab_Def_Flows[[Flow_ID]:[CC_DM_source]],MATCH(Tab_Data_Flows[[#This Row],[Flow_Name]],Tab_Def_Flows[Flow_Name],0),14)</f>
        <v>0.4</v>
      </c>
      <c r="Z181" s="7" t="str">
        <f>Tab_Data_Flows[[#This Row],[Flow_ID]]&amp;"_"&amp;"DM_"&amp;Tab_Data_Flows[[#This Row],[Flow_Data_Year]]</f>
        <v>F_01_02_DM_1978</v>
      </c>
      <c r="AA181" s="7">
        <f>IF(E181="Yes",Y181*Tab_Data_Flows[[#This Row],[Flow_Material]],"N.A.")</f>
        <v>89639.276712328778</v>
      </c>
      <c r="AB181" s="7" t="str">
        <f>Tab_Data_Flows[[#This Row],[UoM_Flow_Py]]</f>
        <v>Mg</v>
      </c>
      <c r="AC181" s="143">
        <f>INDEX(Tab_Def_Flows[[Flow_ID]:[CC_DM_source]],MATCH(Tab_Data_Flows[[#This Row],[Flow_Name]],Tab_Def_Flows[Flow_Name],0),17)</f>
        <v>0</v>
      </c>
      <c r="AD181" s="7" t="str">
        <f>Tab_Data_Flows[[#This Row],[Flow_ID]]&amp;"_"&amp;"CC_"&amp;Tab_Data_Flows[[#This Row],[Flow_Data_Year]]</f>
        <v>F_01_02_CC_1978</v>
      </c>
      <c r="AE181" s="7">
        <f>IF(F181="Yes",AC181*Tab_Data_Flows[[#This Row],[Flow_Material]]*Tab_Data_Flows[[#This Row],[DM_'[%']]],"N.A.")</f>
        <v>0</v>
      </c>
      <c r="AF181" s="7" t="str">
        <f>Tab_Data_Flows[[#This Row],[UoM_Flow_Py]]</f>
        <v>Mg</v>
      </c>
      <c r="AG181"/>
    </row>
    <row r="182" spans="1:33" x14ac:dyDescent="0.25">
      <c r="A182" s="9">
        <f t="shared" si="2"/>
        <v>181</v>
      </c>
      <c r="B182" s="7" t="str">
        <f>_xlfn.XLOOKUP(C182,Tab_Def_Flows[Flow_Name],Tab_Def_Flows[Flow_ID],,0,)</f>
        <v>F_01_02</v>
      </c>
      <c r="C182" s="142" t="s">
        <v>599</v>
      </c>
      <c r="D182" s="10" t="str">
        <f>_xlfn.XLOOKUP(C182,Tab_Def_Flows[Flow_Name],Tab_Def_Flows[WC?],,0,)</f>
        <v>Yes</v>
      </c>
      <c r="E182" s="10" t="str">
        <f>_xlfn.XLOOKUP(C182,Tab_Def_Flows[Flow_Name],Tab_Def_Flows[DM?],,0,)</f>
        <v>Yes</v>
      </c>
      <c r="F182" s="10" t="str">
        <f>_xlfn.XLOOKUP(C182,Tab_Def_Flows[Flow_Name],Tab_Def_Flows[CC?],,0,)</f>
        <v>Yes</v>
      </c>
      <c r="G182" s="8">
        <v>1979</v>
      </c>
      <c r="H182" s="23">
        <v>214786.84931506851</v>
      </c>
      <c r="I182" s="8" t="s">
        <v>198</v>
      </c>
      <c r="J182" s="15"/>
      <c r="K182" s="15"/>
      <c r="L182" s="15"/>
      <c r="M182" s="15"/>
      <c r="N182" s="15"/>
      <c r="O182" s="8" t="s">
        <v>6</v>
      </c>
      <c r="P182" s="16"/>
      <c r="Q182" s="8"/>
      <c r="R182" s="7" t="str">
        <f>Tab_Data_Flows[[#This Row],[Flow_ID]]&amp;"_"&amp;"material_"&amp;Tab_Data_Flows[[#This Row],[Flow_Data_Year]]</f>
        <v>F_01_02_material_1979</v>
      </c>
      <c r="S182" s="14">
        <f>IF(O182="no",H182,H182*P182)</f>
        <v>214786.84931506851</v>
      </c>
      <c r="T182" s="8" t="s">
        <v>198</v>
      </c>
      <c r="U182" s="143">
        <f>INDEX(Tab_Def_Flows[[Flow_ID]:[CC_DM_source]],MATCH(Tab_Data_Flows[[#This Row],[Flow_Name]],Tab_Def_Flows[Flow_Name],0),11)</f>
        <v>0.6</v>
      </c>
      <c r="V182" s="7" t="str">
        <f>Tab_Data_Flows[[#This Row],[Flow_ID]]&amp;"_"&amp;"WC_"&amp;Tab_Data_Flows[[#This Row],[Flow_Data_Year]]</f>
        <v>F_01_02_WC_1979</v>
      </c>
      <c r="W182" s="7">
        <f>IF(D182="Yes",S182*Tab_Data_Flows[[#This Row],[WC_'[%']]],"N.A.")</f>
        <v>128872.10958904109</v>
      </c>
      <c r="X182" s="7" t="str">
        <f>Tab_Data_Flows[[#This Row],[UoM_Flow_Py]]</f>
        <v>Mg</v>
      </c>
      <c r="Y182" s="143">
        <f>INDEX(Tab_Def_Flows[[Flow_ID]:[CC_DM_source]],MATCH(Tab_Data_Flows[[#This Row],[Flow_Name]],Tab_Def_Flows[Flow_Name],0),14)</f>
        <v>0.4</v>
      </c>
      <c r="Z182" s="7" t="str">
        <f>Tab_Data_Flows[[#This Row],[Flow_ID]]&amp;"_"&amp;"DM_"&amp;Tab_Data_Flows[[#This Row],[Flow_Data_Year]]</f>
        <v>F_01_02_DM_1979</v>
      </c>
      <c r="AA182" s="7">
        <f>IF(E182="Yes",Y182*Tab_Data_Flows[[#This Row],[Flow_Material]],"N.A.")</f>
        <v>85914.739726027416</v>
      </c>
      <c r="AB182" s="7" t="str">
        <f>Tab_Data_Flows[[#This Row],[UoM_Flow_Py]]</f>
        <v>Mg</v>
      </c>
      <c r="AC182" s="143">
        <f>INDEX(Tab_Def_Flows[[Flow_ID]:[CC_DM_source]],MATCH(Tab_Data_Flows[[#This Row],[Flow_Name]],Tab_Def_Flows[Flow_Name],0),17)</f>
        <v>0</v>
      </c>
      <c r="AD182" s="7" t="str">
        <f>Tab_Data_Flows[[#This Row],[Flow_ID]]&amp;"_"&amp;"CC_"&amp;Tab_Data_Flows[[#This Row],[Flow_Data_Year]]</f>
        <v>F_01_02_CC_1979</v>
      </c>
      <c r="AE182" s="7">
        <f>IF(F182="Yes",AC182*Tab_Data_Flows[[#This Row],[Flow_Material]]*Tab_Data_Flows[[#This Row],[DM_'[%']]],"N.A.")</f>
        <v>0</v>
      </c>
      <c r="AF182" s="7" t="str">
        <f>Tab_Data_Flows[[#This Row],[UoM_Flow_Py]]</f>
        <v>Mg</v>
      </c>
      <c r="AG182"/>
    </row>
    <row r="183" spans="1:33" x14ac:dyDescent="0.25">
      <c r="A183" s="9">
        <f t="shared" si="2"/>
        <v>182</v>
      </c>
      <c r="B183" s="7" t="str">
        <f>_xlfn.XLOOKUP(C183,Tab_Def_Flows[Flow_Name],Tab_Def_Flows[Flow_ID],,0,)</f>
        <v>F_01_02</v>
      </c>
      <c r="C183" s="142" t="s">
        <v>599</v>
      </c>
      <c r="D183" s="10" t="str">
        <f>_xlfn.XLOOKUP(C183,Tab_Def_Flows[Flow_Name],Tab_Def_Flows[WC?],,0,)</f>
        <v>Yes</v>
      </c>
      <c r="E183" s="10" t="str">
        <f>_xlfn.XLOOKUP(C183,Tab_Def_Flows[Flow_Name],Tab_Def_Flows[DM?],,0,)</f>
        <v>Yes</v>
      </c>
      <c r="F183" s="10" t="str">
        <f>_xlfn.XLOOKUP(C183,Tab_Def_Flows[Flow_Name],Tab_Def_Flows[CC?],,0,)</f>
        <v>Yes</v>
      </c>
      <c r="G183" s="8">
        <v>1980</v>
      </c>
      <c r="H183" s="23">
        <v>235600.43835616438</v>
      </c>
      <c r="I183" s="8" t="s">
        <v>198</v>
      </c>
      <c r="J183" s="15"/>
      <c r="K183" s="15"/>
      <c r="L183" s="15"/>
      <c r="M183" s="15"/>
      <c r="N183" s="15"/>
      <c r="O183" s="8" t="s">
        <v>6</v>
      </c>
      <c r="P183" s="8"/>
      <c r="Q183" s="8"/>
      <c r="R183" s="7" t="str">
        <f>Tab_Data_Flows[[#This Row],[Flow_ID]]&amp;"_"&amp;"material_"&amp;Tab_Data_Flows[[#This Row],[Flow_Data_Year]]</f>
        <v>F_01_02_material_1980</v>
      </c>
      <c r="S183" s="14">
        <f>IF(O183="no",H183,H183*P183)</f>
        <v>235600.43835616438</v>
      </c>
      <c r="T183" s="8" t="s">
        <v>198</v>
      </c>
      <c r="U183" s="143">
        <f>INDEX(Tab_Def_Flows[[Flow_ID]:[CC_DM_source]],MATCH(Tab_Data_Flows[[#This Row],[Flow_Name]],Tab_Def_Flows[Flow_Name],0),11)</f>
        <v>0.6</v>
      </c>
      <c r="V183" s="7" t="str">
        <f>Tab_Data_Flows[[#This Row],[Flow_ID]]&amp;"_"&amp;"WC_"&amp;Tab_Data_Flows[[#This Row],[Flow_Data_Year]]</f>
        <v>F_01_02_WC_1980</v>
      </c>
      <c r="W183" s="7">
        <f>IF(D183="Yes",S183*Tab_Data_Flows[[#This Row],[WC_'[%']]],"N.A.")</f>
        <v>141360.26301369863</v>
      </c>
      <c r="X183" s="7" t="str">
        <f>Tab_Data_Flows[[#This Row],[UoM_Flow_Py]]</f>
        <v>Mg</v>
      </c>
      <c r="Y183" s="143">
        <f>INDEX(Tab_Def_Flows[[Flow_ID]:[CC_DM_source]],MATCH(Tab_Data_Flows[[#This Row],[Flow_Name]],Tab_Def_Flows[Flow_Name],0),14)</f>
        <v>0.4</v>
      </c>
      <c r="Z183" s="7" t="str">
        <f>Tab_Data_Flows[[#This Row],[Flow_ID]]&amp;"_"&amp;"DM_"&amp;Tab_Data_Flows[[#This Row],[Flow_Data_Year]]</f>
        <v>F_01_02_DM_1980</v>
      </c>
      <c r="AA183" s="7">
        <f>IF(E183="Yes",Y183*Tab_Data_Flows[[#This Row],[Flow_Material]],"N.A.")</f>
        <v>94240.175342465751</v>
      </c>
      <c r="AB183" s="7" t="str">
        <f>Tab_Data_Flows[[#This Row],[UoM_Flow_Py]]</f>
        <v>Mg</v>
      </c>
      <c r="AC183" s="143">
        <f>INDEX(Tab_Def_Flows[[Flow_ID]:[CC_DM_source]],MATCH(Tab_Data_Flows[[#This Row],[Flow_Name]],Tab_Def_Flows[Flow_Name],0),17)</f>
        <v>0</v>
      </c>
      <c r="AD183" s="7" t="str">
        <f>Tab_Data_Flows[[#This Row],[Flow_ID]]&amp;"_"&amp;"CC_"&amp;Tab_Data_Flows[[#This Row],[Flow_Data_Year]]</f>
        <v>F_01_02_CC_1980</v>
      </c>
      <c r="AE183" s="7">
        <f>IF(F183="Yes",AC183*Tab_Data_Flows[[#This Row],[Flow_Material]]*Tab_Data_Flows[[#This Row],[DM_'[%']]],"N.A.")</f>
        <v>0</v>
      </c>
      <c r="AF183" s="7" t="str">
        <f>Tab_Data_Flows[[#This Row],[UoM_Flow_Py]]</f>
        <v>Mg</v>
      </c>
      <c r="AG183"/>
    </row>
    <row r="184" spans="1:33" x14ac:dyDescent="0.25">
      <c r="A184" s="9">
        <f t="shared" si="2"/>
        <v>183</v>
      </c>
      <c r="B184" s="7" t="str">
        <f>_xlfn.XLOOKUP(C184,Tab_Def_Flows[Flow_Name],Tab_Def_Flows[Flow_ID],,0,)</f>
        <v>F_01_02</v>
      </c>
      <c r="C184" s="142" t="s">
        <v>599</v>
      </c>
      <c r="D184" s="10" t="str">
        <f>_xlfn.XLOOKUP(C184,Tab_Def_Flows[Flow_Name],Tab_Def_Flows[WC?],,0,)</f>
        <v>Yes</v>
      </c>
      <c r="E184" s="10" t="str">
        <f>_xlfn.XLOOKUP(C184,Tab_Def_Flows[Flow_Name],Tab_Def_Flows[DM?],,0,)</f>
        <v>Yes</v>
      </c>
      <c r="F184" s="10" t="str">
        <f>_xlfn.XLOOKUP(C184,Tab_Def_Flows[Flow_Name],Tab_Def_Flows[CC?],,0,)</f>
        <v>Yes</v>
      </c>
      <c r="G184" s="8">
        <v>1981</v>
      </c>
      <c r="H184" s="23">
        <v>228480</v>
      </c>
      <c r="I184" s="8" t="s">
        <v>198</v>
      </c>
      <c r="J184" s="15"/>
      <c r="K184" s="15"/>
      <c r="L184" s="15"/>
      <c r="M184" s="15"/>
      <c r="N184" s="15"/>
      <c r="O184" s="8" t="s">
        <v>6</v>
      </c>
      <c r="P184" s="8"/>
      <c r="Q184" s="8"/>
      <c r="R184" s="7" t="str">
        <f>Tab_Data_Flows[[#This Row],[Flow_ID]]&amp;"_"&amp;"material_"&amp;Tab_Data_Flows[[#This Row],[Flow_Data_Year]]</f>
        <v>F_01_02_material_1981</v>
      </c>
      <c r="S184" s="14">
        <f>IF(O184="no",H184,H184*P184)</f>
        <v>228480</v>
      </c>
      <c r="T184" s="8" t="s">
        <v>198</v>
      </c>
      <c r="U184" s="143">
        <f>INDEX(Tab_Def_Flows[[Flow_ID]:[CC_DM_source]],MATCH(Tab_Data_Flows[[#This Row],[Flow_Name]],Tab_Def_Flows[Flow_Name],0),11)</f>
        <v>0.6</v>
      </c>
      <c r="V184" s="7" t="str">
        <f>Tab_Data_Flows[[#This Row],[Flow_ID]]&amp;"_"&amp;"WC_"&amp;Tab_Data_Flows[[#This Row],[Flow_Data_Year]]</f>
        <v>F_01_02_WC_1981</v>
      </c>
      <c r="W184" s="7">
        <f>IF(D184="Yes",S184*Tab_Data_Flows[[#This Row],[WC_'[%']]],"N.A.")</f>
        <v>137088</v>
      </c>
      <c r="X184" s="7" t="str">
        <f>Tab_Data_Flows[[#This Row],[UoM_Flow_Py]]</f>
        <v>Mg</v>
      </c>
      <c r="Y184" s="143">
        <f>INDEX(Tab_Def_Flows[[Flow_ID]:[CC_DM_source]],MATCH(Tab_Data_Flows[[#This Row],[Flow_Name]],Tab_Def_Flows[Flow_Name],0),14)</f>
        <v>0.4</v>
      </c>
      <c r="Z184" s="7" t="str">
        <f>Tab_Data_Flows[[#This Row],[Flow_ID]]&amp;"_"&amp;"DM_"&amp;Tab_Data_Flows[[#This Row],[Flow_Data_Year]]</f>
        <v>F_01_02_DM_1981</v>
      </c>
      <c r="AA184" s="7">
        <f>IF(E184="Yes",Y184*Tab_Data_Flows[[#This Row],[Flow_Material]],"N.A.")</f>
        <v>91392</v>
      </c>
      <c r="AB184" s="7" t="str">
        <f>Tab_Data_Flows[[#This Row],[UoM_Flow_Py]]</f>
        <v>Mg</v>
      </c>
      <c r="AC184" s="143">
        <f>INDEX(Tab_Def_Flows[[Flow_ID]:[CC_DM_source]],MATCH(Tab_Data_Flows[[#This Row],[Flow_Name]],Tab_Def_Flows[Flow_Name],0),17)</f>
        <v>0</v>
      </c>
      <c r="AD184" s="7" t="str">
        <f>Tab_Data_Flows[[#This Row],[Flow_ID]]&amp;"_"&amp;"CC_"&amp;Tab_Data_Flows[[#This Row],[Flow_Data_Year]]</f>
        <v>F_01_02_CC_1981</v>
      </c>
      <c r="AE184" s="7">
        <f>IF(F184="Yes",AC184*Tab_Data_Flows[[#This Row],[Flow_Material]]*Tab_Data_Flows[[#This Row],[DM_'[%']]],"N.A.")</f>
        <v>0</v>
      </c>
      <c r="AF184" s="7" t="str">
        <f>Tab_Data_Flows[[#This Row],[UoM_Flow_Py]]</f>
        <v>Mg</v>
      </c>
      <c r="AG184"/>
    </row>
    <row r="185" spans="1:33" x14ac:dyDescent="0.25">
      <c r="A185" s="9">
        <f t="shared" si="2"/>
        <v>184</v>
      </c>
      <c r="B185" s="7" t="str">
        <f>_xlfn.XLOOKUP(C185,Tab_Def_Flows[Flow_Name],Tab_Def_Flows[Flow_ID],,0,)</f>
        <v>F_01_02</v>
      </c>
      <c r="C185" s="142" t="s">
        <v>599</v>
      </c>
      <c r="D185" s="10" t="str">
        <f>_xlfn.XLOOKUP(C185,Tab_Def_Flows[Flow_Name],Tab_Def_Flows[WC?],,0,)</f>
        <v>Yes</v>
      </c>
      <c r="E185" s="10" t="str">
        <f>_xlfn.XLOOKUP(C185,Tab_Def_Flows[Flow_Name],Tab_Def_Flows[DM?],,0,)</f>
        <v>Yes</v>
      </c>
      <c r="F185" s="10" t="str">
        <f>_xlfn.XLOOKUP(C185,Tab_Def_Flows[Flow_Name],Tab_Def_Flows[CC?],,0,)</f>
        <v>Yes</v>
      </c>
      <c r="G185" s="8">
        <v>1982</v>
      </c>
      <c r="H185" s="23">
        <v>225976.10958904098</v>
      </c>
      <c r="I185" s="8" t="s">
        <v>198</v>
      </c>
      <c r="J185" s="15"/>
      <c r="K185" s="15"/>
      <c r="L185" s="15"/>
      <c r="M185" s="15"/>
      <c r="N185" s="15"/>
      <c r="O185" s="8" t="s">
        <v>6</v>
      </c>
      <c r="P185" s="8"/>
      <c r="Q185" s="8"/>
      <c r="R185" s="7" t="str">
        <f>Tab_Data_Flows[[#This Row],[Flow_ID]]&amp;"_"&amp;"material_"&amp;Tab_Data_Flows[[#This Row],[Flow_Data_Year]]</f>
        <v>F_01_02_material_1982</v>
      </c>
      <c r="S185" s="14">
        <f>IF(O185="no",H185,H185*P185)</f>
        <v>225976.10958904098</v>
      </c>
      <c r="T185" s="8" t="s">
        <v>198</v>
      </c>
      <c r="U185" s="143">
        <f>INDEX(Tab_Def_Flows[[Flow_ID]:[CC_DM_source]],MATCH(Tab_Data_Flows[[#This Row],[Flow_Name]],Tab_Def_Flows[Flow_Name],0),11)</f>
        <v>0.6</v>
      </c>
      <c r="V185" s="7" t="str">
        <f>Tab_Data_Flows[[#This Row],[Flow_ID]]&amp;"_"&amp;"WC_"&amp;Tab_Data_Flows[[#This Row],[Flow_Data_Year]]</f>
        <v>F_01_02_WC_1982</v>
      </c>
      <c r="W185" s="7">
        <f>IF(D185="Yes",S185*Tab_Data_Flows[[#This Row],[WC_'[%']]],"N.A.")</f>
        <v>135585.66575342458</v>
      </c>
      <c r="X185" s="7" t="str">
        <f>Tab_Data_Flows[[#This Row],[UoM_Flow_Py]]</f>
        <v>Mg</v>
      </c>
      <c r="Y185" s="143">
        <f>INDEX(Tab_Def_Flows[[Flow_ID]:[CC_DM_source]],MATCH(Tab_Data_Flows[[#This Row],[Flow_Name]],Tab_Def_Flows[Flow_Name],0),14)</f>
        <v>0.4</v>
      </c>
      <c r="Z185" s="7" t="str">
        <f>Tab_Data_Flows[[#This Row],[Flow_ID]]&amp;"_"&amp;"DM_"&amp;Tab_Data_Flows[[#This Row],[Flow_Data_Year]]</f>
        <v>F_01_02_DM_1982</v>
      </c>
      <c r="AA185" s="7">
        <f>IF(E185="Yes",Y185*Tab_Data_Flows[[#This Row],[Flow_Material]],"N.A.")</f>
        <v>90390.443835616403</v>
      </c>
      <c r="AB185" s="7" t="str">
        <f>Tab_Data_Flows[[#This Row],[UoM_Flow_Py]]</f>
        <v>Mg</v>
      </c>
      <c r="AC185" s="143">
        <f>INDEX(Tab_Def_Flows[[Flow_ID]:[CC_DM_source]],MATCH(Tab_Data_Flows[[#This Row],[Flow_Name]],Tab_Def_Flows[Flow_Name],0),17)</f>
        <v>0</v>
      </c>
      <c r="AD185" s="7" t="str">
        <f>Tab_Data_Flows[[#This Row],[Flow_ID]]&amp;"_"&amp;"CC_"&amp;Tab_Data_Flows[[#This Row],[Flow_Data_Year]]</f>
        <v>F_01_02_CC_1982</v>
      </c>
      <c r="AE185" s="7">
        <f>IF(F185="Yes",AC185*Tab_Data_Flows[[#This Row],[Flow_Material]]*Tab_Data_Flows[[#This Row],[DM_'[%']]],"N.A.")</f>
        <v>0</v>
      </c>
      <c r="AF185" s="7" t="str">
        <f>Tab_Data_Flows[[#This Row],[UoM_Flow_Py]]</f>
        <v>Mg</v>
      </c>
      <c r="AG185"/>
    </row>
    <row r="186" spans="1:33" x14ac:dyDescent="0.25">
      <c r="A186" s="9">
        <f t="shared" si="2"/>
        <v>185</v>
      </c>
      <c r="B186" s="7" t="str">
        <f>_xlfn.XLOOKUP(C186,Tab_Def_Flows[Flow_Name],Tab_Def_Flows[Flow_ID],,0,)</f>
        <v>F_01_02</v>
      </c>
      <c r="C186" s="142" t="s">
        <v>599</v>
      </c>
      <c r="D186" s="10" t="str">
        <f>_xlfn.XLOOKUP(C186,Tab_Def_Flows[Flow_Name],Tab_Def_Flows[WC?],,0,)</f>
        <v>Yes</v>
      </c>
      <c r="E186" s="10" t="str">
        <f>_xlfn.XLOOKUP(C186,Tab_Def_Flows[Flow_Name],Tab_Def_Flows[DM?],,0,)</f>
        <v>Yes</v>
      </c>
      <c r="F186" s="10" t="str">
        <f>_xlfn.XLOOKUP(C186,Tab_Def_Flows[Flow_Name],Tab_Def_Flows[CC?],,0,)</f>
        <v>Yes</v>
      </c>
      <c r="G186" s="8">
        <v>1983</v>
      </c>
      <c r="H186" s="23">
        <v>215334.57534246575</v>
      </c>
      <c r="I186" s="8" t="s">
        <v>198</v>
      </c>
      <c r="J186" s="15"/>
      <c r="K186" s="15"/>
      <c r="L186" s="15"/>
      <c r="M186" s="15"/>
      <c r="N186" s="15"/>
      <c r="O186" s="8" t="s">
        <v>6</v>
      </c>
      <c r="P186" s="8"/>
      <c r="Q186" s="8"/>
      <c r="R186" s="7" t="str">
        <f>Tab_Data_Flows[[#This Row],[Flow_ID]]&amp;"_"&amp;"material_"&amp;Tab_Data_Flows[[#This Row],[Flow_Data_Year]]</f>
        <v>F_01_02_material_1983</v>
      </c>
      <c r="S186" s="14">
        <f>IF(O186="no",H186,H186*P186)</f>
        <v>215334.57534246575</v>
      </c>
      <c r="T186" s="8" t="s">
        <v>198</v>
      </c>
      <c r="U186" s="143">
        <f>INDEX(Tab_Def_Flows[[Flow_ID]:[CC_DM_source]],MATCH(Tab_Data_Flows[[#This Row],[Flow_Name]],Tab_Def_Flows[Flow_Name],0),11)</f>
        <v>0.6</v>
      </c>
      <c r="V186" s="7" t="str">
        <f>Tab_Data_Flows[[#This Row],[Flow_ID]]&amp;"_"&amp;"WC_"&amp;Tab_Data_Flows[[#This Row],[Flow_Data_Year]]</f>
        <v>F_01_02_WC_1983</v>
      </c>
      <c r="W186" s="7">
        <f>IF(D186="Yes",S186*Tab_Data_Flows[[#This Row],[WC_'[%']]],"N.A.")</f>
        <v>129200.74520547944</v>
      </c>
      <c r="X186" s="7" t="str">
        <f>Tab_Data_Flows[[#This Row],[UoM_Flow_Py]]</f>
        <v>Mg</v>
      </c>
      <c r="Y186" s="143">
        <f>INDEX(Tab_Def_Flows[[Flow_ID]:[CC_DM_source]],MATCH(Tab_Data_Flows[[#This Row],[Flow_Name]],Tab_Def_Flows[Flow_Name],0),14)</f>
        <v>0.4</v>
      </c>
      <c r="Z186" s="7" t="str">
        <f>Tab_Data_Flows[[#This Row],[Flow_ID]]&amp;"_"&amp;"DM_"&amp;Tab_Data_Flows[[#This Row],[Flow_Data_Year]]</f>
        <v>F_01_02_DM_1983</v>
      </c>
      <c r="AA186" s="7">
        <f>IF(E186="Yes",Y186*Tab_Data_Flows[[#This Row],[Flow_Material]],"N.A.")</f>
        <v>86133.830136986304</v>
      </c>
      <c r="AB186" s="7" t="str">
        <f>Tab_Data_Flows[[#This Row],[UoM_Flow_Py]]</f>
        <v>Mg</v>
      </c>
      <c r="AC186" s="143">
        <f>INDEX(Tab_Def_Flows[[Flow_ID]:[CC_DM_source]],MATCH(Tab_Data_Flows[[#This Row],[Flow_Name]],Tab_Def_Flows[Flow_Name],0),17)</f>
        <v>0</v>
      </c>
      <c r="AD186" s="7" t="str">
        <f>Tab_Data_Flows[[#This Row],[Flow_ID]]&amp;"_"&amp;"CC_"&amp;Tab_Data_Flows[[#This Row],[Flow_Data_Year]]</f>
        <v>F_01_02_CC_1983</v>
      </c>
      <c r="AE186" s="7">
        <f>IF(F186="Yes",AC186*Tab_Data_Flows[[#This Row],[Flow_Material]]*Tab_Data_Flows[[#This Row],[DM_'[%']]],"N.A.")</f>
        <v>0</v>
      </c>
      <c r="AF186" s="7" t="str">
        <f>Tab_Data_Flows[[#This Row],[UoM_Flow_Py]]</f>
        <v>Mg</v>
      </c>
      <c r="AG186"/>
    </row>
    <row r="187" spans="1:33" x14ac:dyDescent="0.25">
      <c r="A187" s="9">
        <f t="shared" si="2"/>
        <v>186</v>
      </c>
      <c r="B187" s="7" t="str">
        <f>_xlfn.XLOOKUP(C187,Tab_Def_Flows[Flow_Name],Tab_Def_Flows[Flow_ID],,0,)</f>
        <v>F_01_02</v>
      </c>
      <c r="C187" s="142" t="s">
        <v>599</v>
      </c>
      <c r="D187" s="10" t="str">
        <f>_xlfn.XLOOKUP(C187,Tab_Def_Flows[Flow_Name],Tab_Def_Flows[WC?],,0,)</f>
        <v>Yes</v>
      </c>
      <c r="E187" s="10" t="str">
        <f>_xlfn.XLOOKUP(C187,Tab_Def_Flows[Flow_Name],Tab_Def_Flows[DM?],,0,)</f>
        <v>Yes</v>
      </c>
      <c r="F187" s="10" t="str">
        <f>_xlfn.XLOOKUP(C187,Tab_Def_Flows[Flow_Name],Tab_Def_Flows[CC?],,0,)</f>
        <v>Yes</v>
      </c>
      <c r="G187" s="8">
        <v>1984</v>
      </c>
      <c r="H187" s="23">
        <v>222298.52054794517</v>
      </c>
      <c r="I187" s="8" t="s">
        <v>198</v>
      </c>
      <c r="J187" s="15"/>
      <c r="K187" s="15"/>
      <c r="L187" s="15"/>
      <c r="M187" s="15"/>
      <c r="N187" s="15"/>
      <c r="O187" s="8" t="s">
        <v>6</v>
      </c>
      <c r="P187" s="8"/>
      <c r="Q187" s="8"/>
      <c r="R187" s="7" t="str">
        <f>Tab_Data_Flows[[#This Row],[Flow_ID]]&amp;"_"&amp;"material_"&amp;Tab_Data_Flows[[#This Row],[Flow_Data_Year]]</f>
        <v>F_01_02_material_1984</v>
      </c>
      <c r="S187" s="14">
        <f>IF(O187="no",H187,H187*P187)</f>
        <v>222298.52054794517</v>
      </c>
      <c r="T187" s="8" t="s">
        <v>198</v>
      </c>
      <c r="U187" s="143">
        <f>INDEX(Tab_Def_Flows[[Flow_ID]:[CC_DM_source]],MATCH(Tab_Data_Flows[[#This Row],[Flow_Name]],Tab_Def_Flows[Flow_Name],0),11)</f>
        <v>0.6</v>
      </c>
      <c r="V187" s="7" t="str">
        <f>Tab_Data_Flows[[#This Row],[Flow_ID]]&amp;"_"&amp;"WC_"&amp;Tab_Data_Flows[[#This Row],[Flow_Data_Year]]</f>
        <v>F_01_02_WC_1984</v>
      </c>
      <c r="W187" s="7">
        <f>IF(D187="Yes",S187*Tab_Data_Flows[[#This Row],[WC_'[%']]],"N.A.")</f>
        <v>133379.11232876711</v>
      </c>
      <c r="X187" s="7" t="str">
        <f>Tab_Data_Flows[[#This Row],[UoM_Flow_Py]]</f>
        <v>Mg</v>
      </c>
      <c r="Y187" s="143">
        <f>INDEX(Tab_Def_Flows[[Flow_ID]:[CC_DM_source]],MATCH(Tab_Data_Flows[[#This Row],[Flow_Name]],Tab_Def_Flows[Flow_Name],0),14)</f>
        <v>0.4</v>
      </c>
      <c r="Z187" s="7" t="str">
        <f>Tab_Data_Flows[[#This Row],[Flow_ID]]&amp;"_"&amp;"DM_"&amp;Tab_Data_Flows[[#This Row],[Flow_Data_Year]]</f>
        <v>F_01_02_DM_1984</v>
      </c>
      <c r="AA187" s="7">
        <f>IF(E187="Yes",Y187*Tab_Data_Flows[[#This Row],[Flow_Material]],"N.A.")</f>
        <v>88919.408219178076</v>
      </c>
      <c r="AB187" s="7" t="str">
        <f>Tab_Data_Flows[[#This Row],[UoM_Flow_Py]]</f>
        <v>Mg</v>
      </c>
      <c r="AC187" s="143">
        <f>INDEX(Tab_Def_Flows[[Flow_ID]:[CC_DM_source]],MATCH(Tab_Data_Flows[[#This Row],[Flow_Name]],Tab_Def_Flows[Flow_Name],0),17)</f>
        <v>0</v>
      </c>
      <c r="AD187" s="7" t="str">
        <f>Tab_Data_Flows[[#This Row],[Flow_ID]]&amp;"_"&amp;"CC_"&amp;Tab_Data_Flows[[#This Row],[Flow_Data_Year]]</f>
        <v>F_01_02_CC_1984</v>
      </c>
      <c r="AE187" s="7">
        <f>IF(F187="Yes",AC187*Tab_Data_Flows[[#This Row],[Flow_Material]]*Tab_Data_Flows[[#This Row],[DM_'[%']]],"N.A.")</f>
        <v>0</v>
      </c>
      <c r="AF187" s="7" t="str">
        <f>Tab_Data_Flows[[#This Row],[UoM_Flow_Py]]</f>
        <v>Mg</v>
      </c>
      <c r="AG187"/>
    </row>
    <row r="188" spans="1:33" x14ac:dyDescent="0.25">
      <c r="A188" s="9">
        <f t="shared" si="2"/>
        <v>187</v>
      </c>
      <c r="B188" s="7" t="str">
        <f>_xlfn.XLOOKUP(C188,Tab_Def_Flows[Flow_Name],Tab_Def_Flows[Flow_ID],,0,)</f>
        <v>F_01_02</v>
      </c>
      <c r="C188" s="142" t="s">
        <v>599</v>
      </c>
      <c r="D188" s="10" t="str">
        <f>_xlfn.XLOOKUP(C188,Tab_Def_Flows[Flow_Name],Tab_Def_Flows[WC?],,0,)</f>
        <v>Yes</v>
      </c>
      <c r="E188" s="10" t="str">
        <f>_xlfn.XLOOKUP(C188,Tab_Def_Flows[Flow_Name],Tab_Def_Flows[DM?],,0,)</f>
        <v>Yes</v>
      </c>
      <c r="F188" s="10" t="str">
        <f>_xlfn.XLOOKUP(C188,Tab_Def_Flows[Flow_Name],Tab_Def_Flows[CC?],,0,)</f>
        <v>Yes</v>
      </c>
      <c r="G188" s="8">
        <v>1985</v>
      </c>
      <c r="H188" s="23">
        <v>246085.47945205483</v>
      </c>
      <c r="I188" s="8" t="s">
        <v>198</v>
      </c>
      <c r="J188" s="15"/>
      <c r="K188" s="15"/>
      <c r="L188" s="15"/>
      <c r="M188" s="15"/>
      <c r="N188" s="15"/>
      <c r="O188" s="8" t="s">
        <v>6</v>
      </c>
      <c r="P188" s="8"/>
      <c r="Q188" s="8"/>
      <c r="R188" s="7" t="str">
        <f>Tab_Data_Flows[[#This Row],[Flow_ID]]&amp;"_"&amp;"material_"&amp;Tab_Data_Flows[[#This Row],[Flow_Data_Year]]</f>
        <v>F_01_02_material_1985</v>
      </c>
      <c r="S188" s="14">
        <f>IF(O188="no",H188,H188*P188)</f>
        <v>246085.47945205483</v>
      </c>
      <c r="T188" s="8" t="s">
        <v>198</v>
      </c>
      <c r="U188" s="143">
        <f>INDEX(Tab_Def_Flows[[Flow_ID]:[CC_DM_source]],MATCH(Tab_Data_Flows[[#This Row],[Flow_Name]],Tab_Def_Flows[Flow_Name],0),11)</f>
        <v>0.6</v>
      </c>
      <c r="V188" s="7" t="str">
        <f>Tab_Data_Flows[[#This Row],[Flow_ID]]&amp;"_"&amp;"WC_"&amp;Tab_Data_Flows[[#This Row],[Flow_Data_Year]]</f>
        <v>F_01_02_WC_1985</v>
      </c>
      <c r="W188" s="7">
        <f>IF(D188="Yes",S188*Tab_Data_Flows[[#This Row],[WC_'[%']]],"N.A.")</f>
        <v>147651.28767123289</v>
      </c>
      <c r="X188" s="7" t="str">
        <f>Tab_Data_Flows[[#This Row],[UoM_Flow_Py]]</f>
        <v>Mg</v>
      </c>
      <c r="Y188" s="143">
        <f>INDEX(Tab_Def_Flows[[Flow_ID]:[CC_DM_source]],MATCH(Tab_Data_Flows[[#This Row],[Flow_Name]],Tab_Def_Flows[Flow_Name],0),14)</f>
        <v>0.4</v>
      </c>
      <c r="Z188" s="7" t="str">
        <f>Tab_Data_Flows[[#This Row],[Flow_ID]]&amp;"_"&amp;"DM_"&amp;Tab_Data_Flows[[#This Row],[Flow_Data_Year]]</f>
        <v>F_01_02_DM_1985</v>
      </c>
      <c r="AA188" s="7">
        <f>IF(E188="Yes",Y188*Tab_Data_Flows[[#This Row],[Flow_Material]],"N.A.")</f>
        <v>98434.191780821944</v>
      </c>
      <c r="AB188" s="7" t="str">
        <f>Tab_Data_Flows[[#This Row],[UoM_Flow_Py]]</f>
        <v>Mg</v>
      </c>
      <c r="AC188" s="143">
        <f>INDEX(Tab_Def_Flows[[Flow_ID]:[CC_DM_source]],MATCH(Tab_Data_Flows[[#This Row],[Flow_Name]],Tab_Def_Flows[Flow_Name],0),17)</f>
        <v>0</v>
      </c>
      <c r="AD188" s="7" t="str">
        <f>Tab_Data_Flows[[#This Row],[Flow_ID]]&amp;"_"&amp;"CC_"&amp;Tab_Data_Flows[[#This Row],[Flow_Data_Year]]</f>
        <v>F_01_02_CC_1985</v>
      </c>
      <c r="AE188" s="7">
        <f>IF(F188="Yes",AC188*Tab_Data_Flows[[#This Row],[Flow_Material]]*Tab_Data_Flows[[#This Row],[DM_'[%']]],"N.A.")</f>
        <v>0</v>
      </c>
      <c r="AF188" s="7" t="str">
        <f>Tab_Data_Flows[[#This Row],[UoM_Flow_Py]]</f>
        <v>Mg</v>
      </c>
      <c r="AG188"/>
    </row>
    <row r="189" spans="1:33" x14ac:dyDescent="0.25">
      <c r="A189" s="9">
        <f t="shared" si="2"/>
        <v>188</v>
      </c>
      <c r="B189" s="7" t="str">
        <f>_xlfn.XLOOKUP(C189,Tab_Def_Flows[Flow_Name],Tab_Def_Flows[Flow_ID],,0,)</f>
        <v>F_01_02</v>
      </c>
      <c r="C189" s="142" t="s">
        <v>599</v>
      </c>
      <c r="D189" s="10" t="str">
        <f>_xlfn.XLOOKUP(C189,Tab_Def_Flows[Flow_Name],Tab_Def_Flows[WC?],,0,)</f>
        <v>Yes</v>
      </c>
      <c r="E189" s="10" t="str">
        <f>_xlfn.XLOOKUP(C189,Tab_Def_Flows[Flow_Name],Tab_Def_Flows[DM?],,0,)</f>
        <v>Yes</v>
      </c>
      <c r="F189" s="10" t="str">
        <f>_xlfn.XLOOKUP(C189,Tab_Def_Flows[Flow_Name],Tab_Def_Flows[CC?],,0,)</f>
        <v>Yes</v>
      </c>
      <c r="G189" s="8">
        <v>1986</v>
      </c>
      <c r="H189" s="23">
        <v>230749.15068493149</v>
      </c>
      <c r="I189" s="8" t="s">
        <v>198</v>
      </c>
      <c r="J189" s="15"/>
      <c r="K189" s="15"/>
      <c r="L189" s="15"/>
      <c r="M189" s="15"/>
      <c r="N189" s="15"/>
      <c r="O189" s="8" t="s">
        <v>6</v>
      </c>
      <c r="P189" s="8"/>
      <c r="Q189" s="8"/>
      <c r="R189" s="7" t="str">
        <f>Tab_Data_Flows[[#This Row],[Flow_ID]]&amp;"_"&amp;"material_"&amp;Tab_Data_Flows[[#This Row],[Flow_Data_Year]]</f>
        <v>F_01_02_material_1986</v>
      </c>
      <c r="S189" s="14">
        <f>IF(O189="no",H189,H189*P189)</f>
        <v>230749.15068493149</v>
      </c>
      <c r="T189" s="8" t="s">
        <v>198</v>
      </c>
      <c r="U189" s="143">
        <f>INDEX(Tab_Def_Flows[[Flow_ID]:[CC_DM_source]],MATCH(Tab_Data_Flows[[#This Row],[Flow_Name]],Tab_Def_Flows[Flow_Name],0),11)</f>
        <v>0.6</v>
      </c>
      <c r="V189" s="7" t="str">
        <f>Tab_Data_Flows[[#This Row],[Flow_ID]]&amp;"_"&amp;"WC_"&amp;Tab_Data_Flows[[#This Row],[Flow_Data_Year]]</f>
        <v>F_01_02_WC_1986</v>
      </c>
      <c r="W189" s="7">
        <f>IF(D189="Yes",S189*Tab_Data_Flows[[#This Row],[WC_'[%']]],"N.A.")</f>
        <v>138449.49041095888</v>
      </c>
      <c r="X189" s="7" t="str">
        <f>Tab_Data_Flows[[#This Row],[UoM_Flow_Py]]</f>
        <v>Mg</v>
      </c>
      <c r="Y189" s="143">
        <f>INDEX(Tab_Def_Flows[[Flow_ID]:[CC_DM_source]],MATCH(Tab_Data_Flows[[#This Row],[Flow_Name]],Tab_Def_Flows[Flow_Name],0),14)</f>
        <v>0.4</v>
      </c>
      <c r="Z189" s="7" t="str">
        <f>Tab_Data_Flows[[#This Row],[Flow_ID]]&amp;"_"&amp;"DM_"&amp;Tab_Data_Flows[[#This Row],[Flow_Data_Year]]</f>
        <v>F_01_02_DM_1986</v>
      </c>
      <c r="AA189" s="7">
        <f>IF(E189="Yes",Y189*Tab_Data_Flows[[#This Row],[Flow_Material]],"N.A.")</f>
        <v>92299.660273972608</v>
      </c>
      <c r="AB189" s="7" t="str">
        <f>Tab_Data_Flows[[#This Row],[UoM_Flow_Py]]</f>
        <v>Mg</v>
      </c>
      <c r="AC189" s="143">
        <f>INDEX(Tab_Def_Flows[[Flow_ID]:[CC_DM_source]],MATCH(Tab_Data_Flows[[#This Row],[Flow_Name]],Tab_Def_Flows[Flow_Name],0),17)</f>
        <v>0</v>
      </c>
      <c r="AD189" s="7" t="str">
        <f>Tab_Data_Flows[[#This Row],[Flow_ID]]&amp;"_"&amp;"CC_"&amp;Tab_Data_Flows[[#This Row],[Flow_Data_Year]]</f>
        <v>F_01_02_CC_1986</v>
      </c>
      <c r="AE189" s="7">
        <f>IF(F189="Yes",AC189*Tab_Data_Flows[[#This Row],[Flow_Material]]*Tab_Data_Flows[[#This Row],[DM_'[%']]],"N.A.")</f>
        <v>0</v>
      </c>
      <c r="AF189" s="7" t="str">
        <f>Tab_Data_Flows[[#This Row],[UoM_Flow_Py]]</f>
        <v>Mg</v>
      </c>
      <c r="AG189"/>
    </row>
    <row r="190" spans="1:33" x14ac:dyDescent="0.25">
      <c r="A190" s="9">
        <f t="shared" si="2"/>
        <v>189</v>
      </c>
      <c r="B190" s="7" t="str">
        <f>_xlfn.XLOOKUP(C190,Tab_Def_Flows[Flow_Name],Tab_Def_Flows[Flow_ID],,0,)</f>
        <v>F_01_02</v>
      </c>
      <c r="C190" s="142" t="s">
        <v>599</v>
      </c>
      <c r="D190" s="10" t="str">
        <f>_xlfn.XLOOKUP(C190,Tab_Def_Flows[Flow_Name],Tab_Def_Flows[WC?],,0,)</f>
        <v>Yes</v>
      </c>
      <c r="E190" s="10" t="str">
        <f>_xlfn.XLOOKUP(C190,Tab_Def_Flows[Flow_Name],Tab_Def_Flows[DM?],,0,)</f>
        <v>Yes</v>
      </c>
      <c r="F190" s="10" t="str">
        <f>_xlfn.XLOOKUP(C190,Tab_Def_Flows[Flow_Name],Tab_Def_Flows[CC?],,0,)</f>
        <v>Yes</v>
      </c>
      <c r="G190" s="8">
        <v>1987</v>
      </c>
      <c r="H190" s="23">
        <v>230044.93150684927</v>
      </c>
      <c r="I190" s="8" t="s">
        <v>198</v>
      </c>
      <c r="J190" s="15"/>
      <c r="K190" s="15"/>
      <c r="L190" s="15"/>
      <c r="M190" s="15"/>
      <c r="N190" s="15"/>
      <c r="O190" s="8" t="s">
        <v>6</v>
      </c>
      <c r="P190" s="8"/>
      <c r="Q190" s="8"/>
      <c r="R190" s="7" t="str">
        <f>Tab_Data_Flows[[#This Row],[Flow_ID]]&amp;"_"&amp;"material_"&amp;Tab_Data_Flows[[#This Row],[Flow_Data_Year]]</f>
        <v>F_01_02_material_1987</v>
      </c>
      <c r="S190" s="14">
        <f>IF(O190="no",H190,H190*P190)</f>
        <v>230044.93150684927</v>
      </c>
      <c r="T190" s="8" t="s">
        <v>198</v>
      </c>
      <c r="U190" s="143">
        <f>INDEX(Tab_Def_Flows[[Flow_ID]:[CC_DM_source]],MATCH(Tab_Data_Flows[[#This Row],[Flow_Name]],Tab_Def_Flows[Flow_Name],0),11)</f>
        <v>0.6</v>
      </c>
      <c r="V190" s="7" t="str">
        <f>Tab_Data_Flows[[#This Row],[Flow_ID]]&amp;"_"&amp;"WC_"&amp;Tab_Data_Flows[[#This Row],[Flow_Data_Year]]</f>
        <v>F_01_02_WC_1987</v>
      </c>
      <c r="W190" s="7">
        <f>IF(D190="Yes",S190*Tab_Data_Flows[[#This Row],[WC_'[%']]],"N.A.")</f>
        <v>138026.95890410955</v>
      </c>
      <c r="X190" s="7" t="str">
        <f>Tab_Data_Flows[[#This Row],[UoM_Flow_Py]]</f>
        <v>Mg</v>
      </c>
      <c r="Y190" s="143">
        <f>INDEX(Tab_Def_Flows[[Flow_ID]:[CC_DM_source]],MATCH(Tab_Data_Flows[[#This Row],[Flow_Name]],Tab_Def_Flows[Flow_Name],0),14)</f>
        <v>0.4</v>
      </c>
      <c r="Z190" s="7" t="str">
        <f>Tab_Data_Flows[[#This Row],[Flow_ID]]&amp;"_"&amp;"DM_"&amp;Tab_Data_Flows[[#This Row],[Flow_Data_Year]]</f>
        <v>F_01_02_DM_1987</v>
      </c>
      <c r="AA190" s="7">
        <f>IF(E190="Yes",Y190*Tab_Data_Flows[[#This Row],[Flow_Material]],"N.A.")</f>
        <v>92017.972602739712</v>
      </c>
      <c r="AB190" s="7" t="str">
        <f>Tab_Data_Flows[[#This Row],[UoM_Flow_Py]]</f>
        <v>Mg</v>
      </c>
      <c r="AC190" s="143">
        <f>INDEX(Tab_Def_Flows[[Flow_ID]:[CC_DM_source]],MATCH(Tab_Data_Flows[[#This Row],[Flow_Name]],Tab_Def_Flows[Flow_Name],0),17)</f>
        <v>0</v>
      </c>
      <c r="AD190" s="7" t="str">
        <f>Tab_Data_Flows[[#This Row],[Flow_ID]]&amp;"_"&amp;"CC_"&amp;Tab_Data_Flows[[#This Row],[Flow_Data_Year]]</f>
        <v>F_01_02_CC_1987</v>
      </c>
      <c r="AE190" s="7">
        <f>IF(F190="Yes",AC190*Tab_Data_Flows[[#This Row],[Flow_Material]]*Tab_Data_Flows[[#This Row],[DM_'[%']]],"N.A.")</f>
        <v>0</v>
      </c>
      <c r="AF190" s="7" t="str">
        <f>Tab_Data_Flows[[#This Row],[UoM_Flow_Py]]</f>
        <v>Mg</v>
      </c>
      <c r="AG190"/>
    </row>
    <row r="191" spans="1:33" x14ac:dyDescent="0.25">
      <c r="A191" s="9">
        <f t="shared" si="2"/>
        <v>190</v>
      </c>
      <c r="B191" s="7" t="str">
        <f>_xlfn.XLOOKUP(C191,Tab_Def_Flows[Flow_Name],Tab_Def_Flows[Flow_ID],,0,)</f>
        <v>F_01_02</v>
      </c>
      <c r="C191" s="142" t="s">
        <v>599</v>
      </c>
      <c r="D191" s="10" t="str">
        <f>_xlfn.XLOOKUP(C191,Tab_Def_Flows[Flow_Name],Tab_Def_Flows[WC?],,0,)</f>
        <v>Yes</v>
      </c>
      <c r="E191" s="10" t="str">
        <f>_xlfn.XLOOKUP(C191,Tab_Def_Flows[Flow_Name],Tab_Def_Flows[DM?],,0,)</f>
        <v>Yes</v>
      </c>
      <c r="F191" s="10" t="str">
        <f>_xlfn.XLOOKUP(C191,Tab_Def_Flows[Flow_Name],Tab_Def_Flows[CC?],,0,)</f>
        <v>Yes</v>
      </c>
      <c r="G191" s="8">
        <v>1988</v>
      </c>
      <c r="H191" s="23">
        <v>229027.72602739721</v>
      </c>
      <c r="I191" s="8" t="s">
        <v>198</v>
      </c>
      <c r="J191" s="15"/>
      <c r="K191" s="15"/>
      <c r="L191" s="15"/>
      <c r="M191" s="15"/>
      <c r="N191" s="15"/>
      <c r="O191" s="8" t="s">
        <v>6</v>
      </c>
      <c r="P191" s="8"/>
      <c r="Q191" s="8"/>
      <c r="R191" s="7" t="str">
        <f>Tab_Data_Flows[[#This Row],[Flow_ID]]&amp;"_"&amp;"material_"&amp;Tab_Data_Flows[[#This Row],[Flow_Data_Year]]</f>
        <v>F_01_02_material_1988</v>
      </c>
      <c r="S191" s="14">
        <f>IF(O191="no",H191,H191*P191)</f>
        <v>229027.72602739721</v>
      </c>
      <c r="T191" s="8" t="s">
        <v>198</v>
      </c>
      <c r="U191" s="143">
        <f>INDEX(Tab_Def_Flows[[Flow_ID]:[CC_DM_source]],MATCH(Tab_Data_Flows[[#This Row],[Flow_Name]],Tab_Def_Flows[Flow_Name],0),11)</f>
        <v>0.6</v>
      </c>
      <c r="V191" s="7" t="str">
        <f>Tab_Data_Flows[[#This Row],[Flow_ID]]&amp;"_"&amp;"WC_"&amp;Tab_Data_Flows[[#This Row],[Flow_Data_Year]]</f>
        <v>F_01_02_WC_1988</v>
      </c>
      <c r="W191" s="7">
        <f>IF(D191="Yes",S191*Tab_Data_Flows[[#This Row],[WC_'[%']]],"N.A.")</f>
        <v>137416.63561643832</v>
      </c>
      <c r="X191" s="7" t="str">
        <f>Tab_Data_Flows[[#This Row],[UoM_Flow_Py]]</f>
        <v>Mg</v>
      </c>
      <c r="Y191" s="143">
        <f>INDEX(Tab_Def_Flows[[Flow_ID]:[CC_DM_source]],MATCH(Tab_Data_Flows[[#This Row],[Flow_Name]],Tab_Def_Flows[Flow_Name],0),14)</f>
        <v>0.4</v>
      </c>
      <c r="Z191" s="7" t="str">
        <f>Tab_Data_Flows[[#This Row],[Flow_ID]]&amp;"_"&amp;"DM_"&amp;Tab_Data_Flows[[#This Row],[Flow_Data_Year]]</f>
        <v>F_01_02_DM_1988</v>
      </c>
      <c r="AA191" s="7">
        <f>IF(E191="Yes",Y191*Tab_Data_Flows[[#This Row],[Flow_Material]],"N.A.")</f>
        <v>91611.090410958888</v>
      </c>
      <c r="AB191" s="7" t="str">
        <f>Tab_Data_Flows[[#This Row],[UoM_Flow_Py]]</f>
        <v>Mg</v>
      </c>
      <c r="AC191" s="143">
        <f>INDEX(Tab_Def_Flows[[Flow_ID]:[CC_DM_source]],MATCH(Tab_Data_Flows[[#This Row],[Flow_Name]],Tab_Def_Flows[Flow_Name],0),17)</f>
        <v>0</v>
      </c>
      <c r="AD191" s="7" t="str">
        <f>Tab_Data_Flows[[#This Row],[Flow_ID]]&amp;"_"&amp;"CC_"&amp;Tab_Data_Flows[[#This Row],[Flow_Data_Year]]</f>
        <v>F_01_02_CC_1988</v>
      </c>
      <c r="AE191" s="7">
        <f>IF(F191="Yes",AC191*Tab_Data_Flows[[#This Row],[Flow_Material]]*Tab_Data_Flows[[#This Row],[DM_'[%']]],"N.A.")</f>
        <v>0</v>
      </c>
      <c r="AF191" s="7" t="str">
        <f>Tab_Data_Flows[[#This Row],[UoM_Flow_Py]]</f>
        <v>Mg</v>
      </c>
      <c r="AG191"/>
    </row>
    <row r="192" spans="1:33" x14ac:dyDescent="0.25">
      <c r="A192" s="9">
        <f t="shared" si="2"/>
        <v>191</v>
      </c>
      <c r="B192" s="7" t="str">
        <f>_xlfn.XLOOKUP(C192,Tab_Def_Flows[Flow_Name],Tab_Def_Flows[Flow_ID],,0,)</f>
        <v>F_01_02</v>
      </c>
      <c r="C192" s="142" t="s">
        <v>599</v>
      </c>
      <c r="D192" s="10" t="str">
        <f>_xlfn.XLOOKUP(C192,Tab_Def_Flows[Flow_Name],Tab_Def_Flows[WC?],,0,)</f>
        <v>Yes</v>
      </c>
      <c r="E192" s="10" t="str">
        <f>_xlfn.XLOOKUP(C192,Tab_Def_Flows[Flow_Name],Tab_Def_Flows[DM?],,0,)</f>
        <v>Yes</v>
      </c>
      <c r="F192" s="10" t="str">
        <f>_xlfn.XLOOKUP(C192,Tab_Def_Flows[Flow_Name],Tab_Def_Flows[CC?],,0,)</f>
        <v>Yes</v>
      </c>
      <c r="G192" s="8">
        <v>1989</v>
      </c>
      <c r="H192" s="23">
        <v>249606.57534246575</v>
      </c>
      <c r="I192" s="8" t="s">
        <v>198</v>
      </c>
      <c r="J192" s="15"/>
      <c r="K192" s="15"/>
      <c r="L192" s="15"/>
      <c r="M192" s="15"/>
      <c r="N192" s="15"/>
      <c r="O192" s="8" t="s">
        <v>6</v>
      </c>
      <c r="P192" s="8"/>
      <c r="Q192" s="8"/>
      <c r="R192" s="7" t="str">
        <f>Tab_Data_Flows[[#This Row],[Flow_ID]]&amp;"_"&amp;"material_"&amp;Tab_Data_Flows[[#This Row],[Flow_Data_Year]]</f>
        <v>F_01_02_material_1989</v>
      </c>
      <c r="S192" s="14">
        <f>IF(O192="no",H192,H192*P192)</f>
        <v>249606.57534246575</v>
      </c>
      <c r="T192" s="8" t="s">
        <v>198</v>
      </c>
      <c r="U192" s="143">
        <f>INDEX(Tab_Def_Flows[[Flow_ID]:[CC_DM_source]],MATCH(Tab_Data_Flows[[#This Row],[Flow_Name]],Tab_Def_Flows[Flow_Name],0),11)</f>
        <v>0.6</v>
      </c>
      <c r="V192" s="7" t="str">
        <f>Tab_Data_Flows[[#This Row],[Flow_ID]]&amp;"_"&amp;"WC_"&amp;Tab_Data_Flows[[#This Row],[Flow_Data_Year]]</f>
        <v>F_01_02_WC_1989</v>
      </c>
      <c r="W192" s="7">
        <f>IF(D192="Yes",S192*Tab_Data_Flows[[#This Row],[WC_'[%']]],"N.A.")</f>
        <v>149763.94520547945</v>
      </c>
      <c r="X192" s="7" t="str">
        <f>Tab_Data_Flows[[#This Row],[UoM_Flow_Py]]</f>
        <v>Mg</v>
      </c>
      <c r="Y192" s="143">
        <f>INDEX(Tab_Def_Flows[[Flow_ID]:[CC_DM_source]],MATCH(Tab_Data_Flows[[#This Row],[Flow_Name]],Tab_Def_Flows[Flow_Name],0),14)</f>
        <v>0.4</v>
      </c>
      <c r="Z192" s="7" t="str">
        <f>Tab_Data_Flows[[#This Row],[Flow_ID]]&amp;"_"&amp;"DM_"&amp;Tab_Data_Flows[[#This Row],[Flow_Data_Year]]</f>
        <v>F_01_02_DM_1989</v>
      </c>
      <c r="AA192" s="7">
        <f>IF(E192="Yes",Y192*Tab_Data_Flows[[#This Row],[Flow_Material]],"N.A.")</f>
        <v>99842.630136986307</v>
      </c>
      <c r="AB192" s="7" t="str">
        <f>Tab_Data_Flows[[#This Row],[UoM_Flow_Py]]</f>
        <v>Mg</v>
      </c>
      <c r="AC192" s="143">
        <f>INDEX(Tab_Def_Flows[[Flow_ID]:[CC_DM_source]],MATCH(Tab_Data_Flows[[#This Row],[Flow_Name]],Tab_Def_Flows[Flow_Name],0),17)</f>
        <v>0</v>
      </c>
      <c r="AD192" s="7" t="str">
        <f>Tab_Data_Flows[[#This Row],[Flow_ID]]&amp;"_"&amp;"CC_"&amp;Tab_Data_Flows[[#This Row],[Flow_Data_Year]]</f>
        <v>F_01_02_CC_1989</v>
      </c>
      <c r="AE192" s="7">
        <f>IF(F192="Yes",AC192*Tab_Data_Flows[[#This Row],[Flow_Material]]*Tab_Data_Flows[[#This Row],[DM_'[%']]],"N.A.")</f>
        <v>0</v>
      </c>
      <c r="AF192" s="7" t="str">
        <f>Tab_Data_Flows[[#This Row],[UoM_Flow_Py]]</f>
        <v>Mg</v>
      </c>
      <c r="AG192"/>
    </row>
    <row r="193" spans="1:33" x14ac:dyDescent="0.25">
      <c r="A193" s="9">
        <f t="shared" si="2"/>
        <v>192</v>
      </c>
      <c r="B193" s="7" t="str">
        <f>_xlfn.XLOOKUP(C193,Tab_Def_Flows[Flow_Name],Tab_Def_Flows[Flow_ID],,0,)</f>
        <v>F_01_02</v>
      </c>
      <c r="C193" s="142" t="s">
        <v>599</v>
      </c>
      <c r="D193" s="10" t="str">
        <f>_xlfn.XLOOKUP(C193,Tab_Def_Flows[Flow_Name],Tab_Def_Flows[WC?],,0,)</f>
        <v>Yes</v>
      </c>
      <c r="E193" s="10" t="str">
        <f>_xlfn.XLOOKUP(C193,Tab_Def_Flows[Flow_Name],Tab_Def_Flows[DM?],,0,)</f>
        <v>Yes</v>
      </c>
      <c r="F193" s="10" t="str">
        <f>_xlfn.XLOOKUP(C193,Tab_Def_Flows[Flow_Name],Tab_Def_Flows[CC?],,0,)</f>
        <v>Yes</v>
      </c>
      <c r="G193" s="8">
        <v>1990</v>
      </c>
      <c r="H193" s="23">
        <v>345626.10526315786</v>
      </c>
      <c r="I193" s="8" t="s">
        <v>198</v>
      </c>
      <c r="J193" s="15"/>
      <c r="K193" s="15"/>
      <c r="L193" s="15"/>
      <c r="M193" s="15"/>
      <c r="N193" s="15"/>
      <c r="O193" s="8" t="s">
        <v>6</v>
      </c>
      <c r="P193" s="8"/>
      <c r="Q193" s="8"/>
      <c r="R193" s="7" t="str">
        <f>Tab_Data_Flows[[#This Row],[Flow_ID]]&amp;"_"&amp;"material_"&amp;Tab_Data_Flows[[#This Row],[Flow_Data_Year]]</f>
        <v>F_01_02_material_1990</v>
      </c>
      <c r="S193" s="14">
        <f>IF(O193="no",H193,H193*P193)</f>
        <v>345626.10526315786</v>
      </c>
      <c r="T193" s="8" t="s">
        <v>198</v>
      </c>
      <c r="U193" s="143">
        <f>INDEX(Tab_Def_Flows[[Flow_ID]:[CC_DM_source]],MATCH(Tab_Data_Flows[[#This Row],[Flow_Name]],Tab_Def_Flows[Flow_Name],0),11)</f>
        <v>0.6</v>
      </c>
      <c r="V193" s="7" t="str">
        <f>Tab_Data_Flows[[#This Row],[Flow_ID]]&amp;"_"&amp;"WC_"&amp;Tab_Data_Flows[[#This Row],[Flow_Data_Year]]</f>
        <v>F_01_02_WC_1990</v>
      </c>
      <c r="W193" s="7">
        <f>IF(D193="Yes",S193*Tab_Data_Flows[[#This Row],[WC_'[%']]],"N.A.")</f>
        <v>207375.66315789471</v>
      </c>
      <c r="X193" s="7" t="str">
        <f>Tab_Data_Flows[[#This Row],[UoM_Flow_Py]]</f>
        <v>Mg</v>
      </c>
      <c r="Y193" s="143">
        <f>INDEX(Tab_Def_Flows[[Flow_ID]:[CC_DM_source]],MATCH(Tab_Data_Flows[[#This Row],[Flow_Name]],Tab_Def_Flows[Flow_Name],0),14)</f>
        <v>0.4</v>
      </c>
      <c r="Z193" s="7" t="str">
        <f>Tab_Data_Flows[[#This Row],[Flow_ID]]&amp;"_"&amp;"DM_"&amp;Tab_Data_Flows[[#This Row],[Flow_Data_Year]]</f>
        <v>F_01_02_DM_1990</v>
      </c>
      <c r="AA193" s="7">
        <f>IF(E193="Yes",Y193*Tab_Data_Flows[[#This Row],[Flow_Material]],"N.A.")</f>
        <v>138250.44210526315</v>
      </c>
      <c r="AB193" s="7" t="str">
        <f>Tab_Data_Flows[[#This Row],[UoM_Flow_Py]]</f>
        <v>Mg</v>
      </c>
      <c r="AC193" s="143">
        <f>INDEX(Tab_Def_Flows[[Flow_ID]:[CC_DM_source]],MATCH(Tab_Data_Flows[[#This Row],[Flow_Name]],Tab_Def_Flows[Flow_Name],0),17)</f>
        <v>0</v>
      </c>
      <c r="AD193" s="7" t="str">
        <f>Tab_Data_Flows[[#This Row],[Flow_ID]]&amp;"_"&amp;"CC_"&amp;Tab_Data_Flows[[#This Row],[Flow_Data_Year]]</f>
        <v>F_01_02_CC_1990</v>
      </c>
      <c r="AE193" s="7">
        <f>IF(F193="Yes",AC193*Tab_Data_Flows[[#This Row],[Flow_Material]]*Tab_Data_Flows[[#This Row],[DM_'[%']]],"N.A.")</f>
        <v>0</v>
      </c>
      <c r="AF193" s="7" t="str">
        <f>Tab_Data_Flows[[#This Row],[UoM_Flow_Py]]</f>
        <v>Mg</v>
      </c>
      <c r="AG193"/>
    </row>
    <row r="194" spans="1:33" x14ac:dyDescent="0.25">
      <c r="A194" s="9">
        <f t="shared" si="2"/>
        <v>193</v>
      </c>
      <c r="B194" s="7" t="str">
        <f>_xlfn.XLOOKUP(C194,Tab_Def_Flows[Flow_Name],Tab_Def_Flows[Flow_ID],,0,)</f>
        <v>F_01_02</v>
      </c>
      <c r="C194" s="142" t="s">
        <v>599</v>
      </c>
      <c r="D194" s="10" t="str">
        <f>_xlfn.XLOOKUP(C194,Tab_Def_Flows[Flow_Name],Tab_Def_Flows[WC?],,0,)</f>
        <v>Yes</v>
      </c>
      <c r="E194" s="10" t="str">
        <f>_xlfn.XLOOKUP(C194,Tab_Def_Flows[Flow_Name],Tab_Def_Flows[DM?],,0,)</f>
        <v>Yes</v>
      </c>
      <c r="F194" s="10" t="str">
        <f>_xlfn.XLOOKUP(C194,Tab_Def_Flows[Flow_Name],Tab_Def_Flows[CC?],,0,)</f>
        <v>Yes</v>
      </c>
      <c r="G194" s="8">
        <v>1991</v>
      </c>
      <c r="H194" s="23">
        <v>160787.78947368424</v>
      </c>
      <c r="I194" s="8" t="s">
        <v>198</v>
      </c>
      <c r="J194" s="15"/>
      <c r="K194" s="15"/>
      <c r="L194" s="15"/>
      <c r="M194" s="15"/>
      <c r="N194" s="15"/>
      <c r="O194" s="8" t="s">
        <v>6</v>
      </c>
      <c r="P194" s="8"/>
      <c r="Q194" s="8"/>
      <c r="R194" s="7" t="str">
        <f>Tab_Data_Flows[[#This Row],[Flow_ID]]&amp;"_"&amp;"material_"&amp;Tab_Data_Flows[[#This Row],[Flow_Data_Year]]</f>
        <v>F_01_02_material_1991</v>
      </c>
      <c r="S194" s="14">
        <f>IF(O194="no",H194,H194*P194)</f>
        <v>160787.78947368424</v>
      </c>
      <c r="T194" s="8" t="s">
        <v>198</v>
      </c>
      <c r="U194" s="143">
        <f>INDEX(Tab_Def_Flows[[Flow_ID]:[CC_DM_source]],MATCH(Tab_Data_Flows[[#This Row],[Flow_Name]],Tab_Def_Flows[Flow_Name],0),11)</f>
        <v>0.6</v>
      </c>
      <c r="V194" s="7" t="str">
        <f>Tab_Data_Flows[[#This Row],[Flow_ID]]&amp;"_"&amp;"WC_"&amp;Tab_Data_Flows[[#This Row],[Flow_Data_Year]]</f>
        <v>F_01_02_WC_1991</v>
      </c>
      <c r="W194" s="7">
        <f>IF(D194="Yes",S194*Tab_Data_Flows[[#This Row],[WC_'[%']]],"N.A.")</f>
        <v>96472.673684210546</v>
      </c>
      <c r="X194" s="7" t="str">
        <f>Tab_Data_Flows[[#This Row],[UoM_Flow_Py]]</f>
        <v>Mg</v>
      </c>
      <c r="Y194" s="143">
        <f>INDEX(Tab_Def_Flows[[Flow_ID]:[CC_DM_source]],MATCH(Tab_Data_Flows[[#This Row],[Flow_Name]],Tab_Def_Flows[Flow_Name],0),14)</f>
        <v>0.4</v>
      </c>
      <c r="Z194" s="7" t="str">
        <f>Tab_Data_Flows[[#This Row],[Flow_ID]]&amp;"_"&amp;"DM_"&amp;Tab_Data_Flows[[#This Row],[Flow_Data_Year]]</f>
        <v>F_01_02_DM_1991</v>
      </c>
      <c r="AA194" s="7">
        <f>IF(E194="Yes",Y194*Tab_Data_Flows[[#This Row],[Flow_Material]],"N.A.")</f>
        <v>64315.115789473697</v>
      </c>
      <c r="AB194" s="7" t="str">
        <f>Tab_Data_Flows[[#This Row],[UoM_Flow_Py]]</f>
        <v>Mg</v>
      </c>
      <c r="AC194" s="143">
        <f>INDEX(Tab_Def_Flows[[Flow_ID]:[CC_DM_source]],MATCH(Tab_Data_Flows[[#This Row],[Flow_Name]],Tab_Def_Flows[Flow_Name],0),17)</f>
        <v>0</v>
      </c>
      <c r="AD194" s="7" t="str">
        <f>Tab_Data_Flows[[#This Row],[Flow_ID]]&amp;"_"&amp;"CC_"&amp;Tab_Data_Flows[[#This Row],[Flow_Data_Year]]</f>
        <v>F_01_02_CC_1991</v>
      </c>
      <c r="AE194" s="7">
        <f>IF(F194="Yes",AC194*Tab_Data_Flows[[#This Row],[Flow_Material]]*Tab_Data_Flows[[#This Row],[DM_'[%']]],"N.A.")</f>
        <v>0</v>
      </c>
      <c r="AF194" s="7" t="str">
        <f>Tab_Data_Flows[[#This Row],[UoM_Flow_Py]]</f>
        <v>Mg</v>
      </c>
      <c r="AG194"/>
    </row>
    <row r="195" spans="1:33" x14ac:dyDescent="0.25">
      <c r="A195" s="9">
        <f t="shared" ref="A195:A258" si="3">ROW()-1</f>
        <v>194</v>
      </c>
      <c r="B195" s="7" t="str">
        <f>_xlfn.XLOOKUP(C195,Tab_Def_Flows[Flow_Name],Tab_Def_Flows[Flow_ID],,0,)</f>
        <v>F_01_02</v>
      </c>
      <c r="C195" s="142" t="s">
        <v>599</v>
      </c>
      <c r="D195" s="10" t="str">
        <f>_xlfn.XLOOKUP(C195,Tab_Def_Flows[Flow_Name],Tab_Def_Flows[WC?],,0,)</f>
        <v>Yes</v>
      </c>
      <c r="E195" s="10" t="str">
        <f>_xlfn.XLOOKUP(C195,Tab_Def_Flows[Flow_Name],Tab_Def_Flows[DM?],,0,)</f>
        <v>Yes</v>
      </c>
      <c r="F195" s="10" t="str">
        <f>_xlfn.XLOOKUP(C195,Tab_Def_Flows[Flow_Name],Tab_Def_Flows[CC?],,0,)</f>
        <v>Yes</v>
      </c>
      <c r="G195" s="8">
        <v>1992</v>
      </c>
      <c r="H195" s="23">
        <v>138591.15789473683</v>
      </c>
      <c r="I195" s="8" t="s">
        <v>198</v>
      </c>
      <c r="J195" s="15"/>
      <c r="K195" s="15"/>
      <c r="L195" s="15"/>
      <c r="M195" s="15"/>
      <c r="N195" s="15"/>
      <c r="O195" s="8" t="s">
        <v>6</v>
      </c>
      <c r="P195" s="8"/>
      <c r="Q195" s="8"/>
      <c r="R195" s="7" t="str">
        <f>Tab_Data_Flows[[#This Row],[Flow_ID]]&amp;"_"&amp;"material_"&amp;Tab_Data_Flows[[#This Row],[Flow_Data_Year]]</f>
        <v>F_01_02_material_1992</v>
      </c>
      <c r="S195" s="14">
        <f>IF(O195="no",H195,H195*P195)</f>
        <v>138591.15789473683</v>
      </c>
      <c r="T195" s="8" t="s">
        <v>198</v>
      </c>
      <c r="U195" s="143">
        <f>INDEX(Tab_Def_Flows[[Flow_ID]:[CC_DM_source]],MATCH(Tab_Data_Flows[[#This Row],[Flow_Name]],Tab_Def_Flows[Flow_Name],0),11)</f>
        <v>0.6</v>
      </c>
      <c r="V195" s="7" t="str">
        <f>Tab_Data_Flows[[#This Row],[Flow_ID]]&amp;"_"&amp;"WC_"&amp;Tab_Data_Flows[[#This Row],[Flow_Data_Year]]</f>
        <v>F_01_02_WC_1992</v>
      </c>
      <c r="W195" s="7">
        <f>IF(D195="Yes",S195*Tab_Data_Flows[[#This Row],[WC_'[%']]],"N.A.")</f>
        <v>83154.694736842095</v>
      </c>
      <c r="X195" s="7" t="str">
        <f>Tab_Data_Flows[[#This Row],[UoM_Flow_Py]]</f>
        <v>Mg</v>
      </c>
      <c r="Y195" s="143">
        <f>INDEX(Tab_Def_Flows[[Flow_ID]:[CC_DM_source]],MATCH(Tab_Data_Flows[[#This Row],[Flow_Name]],Tab_Def_Flows[Flow_Name],0),14)</f>
        <v>0.4</v>
      </c>
      <c r="Z195" s="7" t="str">
        <f>Tab_Data_Flows[[#This Row],[Flow_ID]]&amp;"_"&amp;"DM_"&amp;Tab_Data_Flows[[#This Row],[Flow_Data_Year]]</f>
        <v>F_01_02_DM_1992</v>
      </c>
      <c r="AA195" s="7">
        <f>IF(E195="Yes",Y195*Tab_Data_Flows[[#This Row],[Flow_Material]],"N.A.")</f>
        <v>55436.46315789473</v>
      </c>
      <c r="AB195" s="7" t="str">
        <f>Tab_Data_Flows[[#This Row],[UoM_Flow_Py]]</f>
        <v>Mg</v>
      </c>
      <c r="AC195" s="143">
        <f>INDEX(Tab_Def_Flows[[Flow_ID]:[CC_DM_source]],MATCH(Tab_Data_Flows[[#This Row],[Flow_Name]],Tab_Def_Flows[Flow_Name],0),17)</f>
        <v>0</v>
      </c>
      <c r="AD195" s="7" t="str">
        <f>Tab_Data_Flows[[#This Row],[Flow_ID]]&amp;"_"&amp;"CC_"&amp;Tab_Data_Flows[[#This Row],[Flow_Data_Year]]</f>
        <v>F_01_02_CC_1992</v>
      </c>
      <c r="AE195" s="7">
        <f>IF(F195="Yes",AC195*Tab_Data_Flows[[#This Row],[Flow_Material]]*Tab_Data_Flows[[#This Row],[DM_'[%']]],"N.A.")</f>
        <v>0</v>
      </c>
      <c r="AF195" s="7" t="str">
        <f>Tab_Data_Flows[[#This Row],[UoM_Flow_Py]]</f>
        <v>Mg</v>
      </c>
      <c r="AG195"/>
    </row>
    <row r="196" spans="1:33" x14ac:dyDescent="0.25">
      <c r="A196" s="9">
        <f t="shared" si="3"/>
        <v>195</v>
      </c>
      <c r="B196" s="7" t="str">
        <f>_xlfn.XLOOKUP(C196,Tab_Def_Flows[Flow_Name],Tab_Def_Flows[Flow_ID],,0,)</f>
        <v>F_01_02</v>
      </c>
      <c r="C196" s="142" t="s">
        <v>599</v>
      </c>
      <c r="D196" s="10" t="str">
        <f>_xlfn.XLOOKUP(C196,Tab_Def_Flows[Flow_Name],Tab_Def_Flows[WC?],,0,)</f>
        <v>Yes</v>
      </c>
      <c r="E196" s="10" t="str">
        <f>_xlfn.XLOOKUP(C196,Tab_Def_Flows[Flow_Name],Tab_Def_Flows[DM?],,0,)</f>
        <v>Yes</v>
      </c>
      <c r="F196" s="10" t="str">
        <f>_xlfn.XLOOKUP(C196,Tab_Def_Flows[Flow_Name],Tab_Def_Flows[CC?],,0,)</f>
        <v>Yes</v>
      </c>
      <c r="G196" s="8">
        <v>1993</v>
      </c>
      <c r="H196" s="23">
        <v>146056.84210526315</v>
      </c>
      <c r="I196" s="8" t="s">
        <v>198</v>
      </c>
      <c r="J196" s="15"/>
      <c r="K196" s="15"/>
      <c r="L196" s="15"/>
      <c r="M196" s="15"/>
      <c r="N196" s="15"/>
      <c r="O196" s="8" t="s">
        <v>6</v>
      </c>
      <c r="P196" s="8"/>
      <c r="Q196" s="8"/>
      <c r="R196" s="7" t="str">
        <f>Tab_Data_Flows[[#This Row],[Flow_ID]]&amp;"_"&amp;"material_"&amp;Tab_Data_Flows[[#This Row],[Flow_Data_Year]]</f>
        <v>F_01_02_material_1993</v>
      </c>
      <c r="S196" s="14">
        <f>IF(O196="no",H196,H196*P196)</f>
        <v>146056.84210526315</v>
      </c>
      <c r="T196" s="8" t="s">
        <v>198</v>
      </c>
      <c r="U196" s="143">
        <f>INDEX(Tab_Def_Flows[[Flow_ID]:[CC_DM_source]],MATCH(Tab_Data_Flows[[#This Row],[Flow_Name]],Tab_Def_Flows[Flow_Name],0),11)</f>
        <v>0.6</v>
      </c>
      <c r="V196" s="7" t="str">
        <f>Tab_Data_Flows[[#This Row],[Flow_ID]]&amp;"_"&amp;"WC_"&amp;Tab_Data_Flows[[#This Row],[Flow_Data_Year]]</f>
        <v>F_01_02_WC_1993</v>
      </c>
      <c r="W196" s="7">
        <f>IF(D196="Yes",S196*Tab_Data_Flows[[#This Row],[WC_'[%']]],"N.A.")</f>
        <v>87634.105263157879</v>
      </c>
      <c r="X196" s="7" t="str">
        <f>Tab_Data_Flows[[#This Row],[UoM_Flow_Py]]</f>
        <v>Mg</v>
      </c>
      <c r="Y196" s="143">
        <f>INDEX(Tab_Def_Flows[[Flow_ID]:[CC_DM_source]],MATCH(Tab_Data_Flows[[#This Row],[Flow_Name]],Tab_Def_Flows[Flow_Name],0),14)</f>
        <v>0.4</v>
      </c>
      <c r="Z196" s="7" t="str">
        <f>Tab_Data_Flows[[#This Row],[Flow_ID]]&amp;"_"&amp;"DM_"&amp;Tab_Data_Flows[[#This Row],[Flow_Data_Year]]</f>
        <v>F_01_02_DM_1993</v>
      </c>
      <c r="AA196" s="7">
        <f>IF(E196="Yes",Y196*Tab_Data_Flows[[#This Row],[Flow_Material]],"N.A.")</f>
        <v>58422.73684210526</v>
      </c>
      <c r="AB196" s="7" t="str">
        <f>Tab_Data_Flows[[#This Row],[UoM_Flow_Py]]</f>
        <v>Mg</v>
      </c>
      <c r="AC196" s="143">
        <f>INDEX(Tab_Def_Flows[[Flow_ID]:[CC_DM_source]],MATCH(Tab_Data_Flows[[#This Row],[Flow_Name]],Tab_Def_Flows[Flow_Name],0),17)</f>
        <v>0</v>
      </c>
      <c r="AD196" s="7" t="str">
        <f>Tab_Data_Flows[[#This Row],[Flow_ID]]&amp;"_"&amp;"CC_"&amp;Tab_Data_Flows[[#This Row],[Flow_Data_Year]]</f>
        <v>F_01_02_CC_1993</v>
      </c>
      <c r="AE196" s="7">
        <f>IF(F196="Yes",AC196*Tab_Data_Flows[[#This Row],[Flow_Material]]*Tab_Data_Flows[[#This Row],[DM_'[%']]],"N.A.")</f>
        <v>0</v>
      </c>
      <c r="AF196" s="7" t="str">
        <f>Tab_Data_Flows[[#This Row],[UoM_Flow_Py]]</f>
        <v>Mg</v>
      </c>
      <c r="AG196"/>
    </row>
    <row r="197" spans="1:33" x14ac:dyDescent="0.25">
      <c r="A197" s="9">
        <f t="shared" si="3"/>
        <v>196</v>
      </c>
      <c r="B197" s="7" t="str">
        <f>_xlfn.XLOOKUP(C197,Tab_Def_Flows[Flow_Name],Tab_Def_Flows[Flow_ID],,0,)</f>
        <v>F_01_02</v>
      </c>
      <c r="C197" s="142" t="s">
        <v>599</v>
      </c>
      <c r="D197" s="10" t="str">
        <f>_xlfn.XLOOKUP(C197,Tab_Def_Flows[Flow_Name],Tab_Def_Flows[WC?],,0,)</f>
        <v>Yes</v>
      </c>
      <c r="E197" s="10" t="str">
        <f>_xlfn.XLOOKUP(C197,Tab_Def_Flows[Flow_Name],Tab_Def_Flows[DM?],,0,)</f>
        <v>Yes</v>
      </c>
      <c r="F197" s="10" t="str">
        <f>_xlfn.XLOOKUP(C197,Tab_Def_Flows[Flow_Name],Tab_Def_Flows[CC?],,0,)</f>
        <v>Yes</v>
      </c>
      <c r="G197" s="8">
        <v>1994</v>
      </c>
      <c r="H197" s="23">
        <v>185890.5263157895</v>
      </c>
      <c r="I197" s="8" t="s">
        <v>198</v>
      </c>
      <c r="J197" s="15"/>
      <c r="K197" s="15"/>
      <c r="L197" s="15"/>
      <c r="M197" s="15"/>
      <c r="N197" s="15"/>
      <c r="O197" s="8" t="s">
        <v>6</v>
      </c>
      <c r="P197" s="8"/>
      <c r="Q197" s="8"/>
      <c r="R197" s="7" t="str">
        <f>Tab_Data_Flows[[#This Row],[Flow_ID]]&amp;"_"&amp;"material_"&amp;Tab_Data_Flows[[#This Row],[Flow_Data_Year]]</f>
        <v>F_01_02_material_1994</v>
      </c>
      <c r="S197" s="14">
        <f>IF(O197="no",H197,H197*P197)</f>
        <v>185890.5263157895</v>
      </c>
      <c r="T197" s="8" t="s">
        <v>198</v>
      </c>
      <c r="U197" s="143">
        <f>INDEX(Tab_Def_Flows[[Flow_ID]:[CC_DM_source]],MATCH(Tab_Data_Flows[[#This Row],[Flow_Name]],Tab_Def_Flows[Flow_Name],0),11)</f>
        <v>0.6</v>
      </c>
      <c r="V197" s="7" t="str">
        <f>Tab_Data_Flows[[#This Row],[Flow_ID]]&amp;"_"&amp;"WC_"&amp;Tab_Data_Flows[[#This Row],[Flow_Data_Year]]</f>
        <v>F_01_02_WC_1994</v>
      </c>
      <c r="W197" s="7">
        <f>IF(D197="Yes",S197*Tab_Data_Flows[[#This Row],[WC_'[%']]],"N.A.")</f>
        <v>111534.31578947369</v>
      </c>
      <c r="X197" s="7" t="str">
        <f>Tab_Data_Flows[[#This Row],[UoM_Flow_Py]]</f>
        <v>Mg</v>
      </c>
      <c r="Y197" s="143">
        <f>INDEX(Tab_Def_Flows[[Flow_ID]:[CC_DM_source]],MATCH(Tab_Data_Flows[[#This Row],[Flow_Name]],Tab_Def_Flows[Flow_Name],0),14)</f>
        <v>0.4</v>
      </c>
      <c r="Z197" s="7" t="str">
        <f>Tab_Data_Flows[[#This Row],[Flow_ID]]&amp;"_"&amp;"DM_"&amp;Tab_Data_Flows[[#This Row],[Flow_Data_Year]]</f>
        <v>F_01_02_DM_1994</v>
      </c>
      <c r="AA197" s="7">
        <f>IF(E197="Yes",Y197*Tab_Data_Flows[[#This Row],[Flow_Material]],"N.A.")</f>
        <v>74356.210526315801</v>
      </c>
      <c r="AB197" s="7" t="str">
        <f>Tab_Data_Flows[[#This Row],[UoM_Flow_Py]]</f>
        <v>Mg</v>
      </c>
      <c r="AC197" s="143">
        <f>INDEX(Tab_Def_Flows[[Flow_ID]:[CC_DM_source]],MATCH(Tab_Data_Flows[[#This Row],[Flow_Name]],Tab_Def_Flows[Flow_Name],0),17)</f>
        <v>0</v>
      </c>
      <c r="AD197" s="7" t="str">
        <f>Tab_Data_Flows[[#This Row],[Flow_ID]]&amp;"_"&amp;"CC_"&amp;Tab_Data_Flows[[#This Row],[Flow_Data_Year]]</f>
        <v>F_01_02_CC_1994</v>
      </c>
      <c r="AE197" s="7">
        <f>IF(F197="Yes",AC197*Tab_Data_Flows[[#This Row],[Flow_Material]]*Tab_Data_Flows[[#This Row],[DM_'[%']]],"N.A.")</f>
        <v>0</v>
      </c>
      <c r="AF197" s="7" t="str">
        <f>Tab_Data_Flows[[#This Row],[UoM_Flow_Py]]</f>
        <v>Mg</v>
      </c>
      <c r="AG197"/>
    </row>
    <row r="198" spans="1:33" x14ac:dyDescent="0.25">
      <c r="A198" s="9">
        <f t="shared" si="3"/>
        <v>197</v>
      </c>
      <c r="B198" s="7" t="str">
        <f>_xlfn.XLOOKUP(C198,Tab_Def_Flows[Flow_Name],Tab_Def_Flows[Flow_ID],,0,)</f>
        <v>F_01_02</v>
      </c>
      <c r="C198" s="142" t="s">
        <v>599</v>
      </c>
      <c r="D198" s="10" t="str">
        <f>_xlfn.XLOOKUP(C198,Tab_Def_Flows[Flow_Name],Tab_Def_Flows[WC?],,0,)</f>
        <v>Yes</v>
      </c>
      <c r="E198" s="10" t="str">
        <f>_xlfn.XLOOKUP(C198,Tab_Def_Flows[Flow_Name],Tab_Def_Flows[DM?],,0,)</f>
        <v>Yes</v>
      </c>
      <c r="F198" s="10" t="str">
        <f>_xlfn.XLOOKUP(C198,Tab_Def_Flows[Flow_Name],Tab_Def_Flows[CC?],,0,)</f>
        <v>Yes</v>
      </c>
      <c r="G198" s="8">
        <v>1995</v>
      </c>
      <c r="H198" s="23">
        <v>225674.10526315786</v>
      </c>
      <c r="I198" s="8" t="s">
        <v>198</v>
      </c>
      <c r="J198" s="15"/>
      <c r="K198" s="15"/>
      <c r="L198" s="15"/>
      <c r="M198" s="15"/>
      <c r="N198" s="15"/>
      <c r="O198" s="8" t="s">
        <v>6</v>
      </c>
      <c r="P198" s="8"/>
      <c r="Q198" s="8"/>
      <c r="R198" s="7" t="str">
        <f>Tab_Data_Flows[[#This Row],[Flow_ID]]&amp;"_"&amp;"material_"&amp;Tab_Data_Flows[[#This Row],[Flow_Data_Year]]</f>
        <v>F_01_02_material_1995</v>
      </c>
      <c r="S198" s="14">
        <f>IF(O198="no",H198,H198*P198)</f>
        <v>225674.10526315786</v>
      </c>
      <c r="T198" s="8" t="s">
        <v>198</v>
      </c>
      <c r="U198" s="143">
        <f>INDEX(Tab_Def_Flows[[Flow_ID]:[CC_DM_source]],MATCH(Tab_Data_Flows[[#This Row],[Flow_Name]],Tab_Def_Flows[Flow_Name],0),11)</f>
        <v>0.6</v>
      </c>
      <c r="V198" s="7" t="str">
        <f>Tab_Data_Flows[[#This Row],[Flow_ID]]&amp;"_"&amp;"WC_"&amp;Tab_Data_Flows[[#This Row],[Flow_Data_Year]]</f>
        <v>F_01_02_WC_1995</v>
      </c>
      <c r="W198" s="7">
        <f>IF(D198="Yes",S198*Tab_Data_Flows[[#This Row],[WC_'[%']]],"N.A.")</f>
        <v>135404.4631578947</v>
      </c>
      <c r="X198" s="7" t="str">
        <f>Tab_Data_Flows[[#This Row],[UoM_Flow_Py]]</f>
        <v>Mg</v>
      </c>
      <c r="Y198" s="143">
        <f>INDEX(Tab_Def_Flows[[Flow_ID]:[CC_DM_source]],MATCH(Tab_Data_Flows[[#This Row],[Flow_Name]],Tab_Def_Flows[Flow_Name],0),14)</f>
        <v>0.4</v>
      </c>
      <c r="Z198" s="7" t="str">
        <f>Tab_Data_Flows[[#This Row],[Flow_ID]]&amp;"_"&amp;"DM_"&amp;Tab_Data_Flows[[#This Row],[Flow_Data_Year]]</f>
        <v>F_01_02_DM_1995</v>
      </c>
      <c r="AA198" s="7">
        <f>IF(E198="Yes",Y198*Tab_Data_Flows[[#This Row],[Flow_Material]],"N.A.")</f>
        <v>90269.642105263149</v>
      </c>
      <c r="AB198" s="7" t="str">
        <f>Tab_Data_Flows[[#This Row],[UoM_Flow_Py]]</f>
        <v>Mg</v>
      </c>
      <c r="AC198" s="143">
        <f>INDEX(Tab_Def_Flows[[Flow_ID]:[CC_DM_source]],MATCH(Tab_Data_Flows[[#This Row],[Flow_Name]],Tab_Def_Flows[Flow_Name],0),17)</f>
        <v>0</v>
      </c>
      <c r="AD198" s="7" t="str">
        <f>Tab_Data_Flows[[#This Row],[Flow_ID]]&amp;"_"&amp;"CC_"&amp;Tab_Data_Flows[[#This Row],[Flow_Data_Year]]</f>
        <v>F_01_02_CC_1995</v>
      </c>
      <c r="AE198" s="7">
        <f>IF(F198="Yes",AC198*Tab_Data_Flows[[#This Row],[Flow_Material]]*Tab_Data_Flows[[#This Row],[DM_'[%']]],"N.A.")</f>
        <v>0</v>
      </c>
      <c r="AF198" s="7" t="str">
        <f>Tab_Data_Flows[[#This Row],[UoM_Flow_Py]]</f>
        <v>Mg</v>
      </c>
      <c r="AG198"/>
    </row>
    <row r="199" spans="1:33" x14ac:dyDescent="0.25">
      <c r="A199" s="9">
        <f t="shared" si="3"/>
        <v>198</v>
      </c>
      <c r="B199" s="7" t="str">
        <f>_xlfn.XLOOKUP(C199,Tab_Def_Flows[Flow_Name],Tab_Def_Flows[Flow_ID],,0,)</f>
        <v>F_01_02</v>
      </c>
      <c r="C199" s="142" t="s">
        <v>599</v>
      </c>
      <c r="D199" s="10" t="str">
        <f>_xlfn.XLOOKUP(C199,Tab_Def_Flows[Flow_Name],Tab_Def_Flows[WC?],,0,)</f>
        <v>Yes</v>
      </c>
      <c r="E199" s="10" t="str">
        <f>_xlfn.XLOOKUP(C199,Tab_Def_Flows[Flow_Name],Tab_Def_Flows[DM?],,0,)</f>
        <v>Yes</v>
      </c>
      <c r="F199" s="10" t="str">
        <f>_xlfn.XLOOKUP(C199,Tab_Def_Flows[Flow_Name],Tab_Def_Flows[CC?],,0,)</f>
        <v>Yes</v>
      </c>
      <c r="G199" s="8">
        <v>1996</v>
      </c>
      <c r="H199" s="23">
        <v>253983.57894736843</v>
      </c>
      <c r="I199" s="8" t="s">
        <v>198</v>
      </c>
      <c r="J199" s="15"/>
      <c r="K199" s="15"/>
      <c r="L199" s="15"/>
      <c r="M199" s="15"/>
      <c r="N199" s="15"/>
      <c r="O199" s="8" t="s">
        <v>6</v>
      </c>
      <c r="P199" s="8"/>
      <c r="Q199" s="8"/>
      <c r="R199" s="7" t="str">
        <f>Tab_Data_Flows[[#This Row],[Flow_ID]]&amp;"_"&amp;"material_"&amp;Tab_Data_Flows[[#This Row],[Flow_Data_Year]]</f>
        <v>F_01_02_material_1996</v>
      </c>
      <c r="S199" s="14">
        <f>IF(O199="no",H199,H199*P199)</f>
        <v>253983.57894736843</v>
      </c>
      <c r="T199" s="8" t="s">
        <v>198</v>
      </c>
      <c r="U199" s="143">
        <f>INDEX(Tab_Def_Flows[[Flow_ID]:[CC_DM_source]],MATCH(Tab_Data_Flows[[#This Row],[Flow_Name]],Tab_Def_Flows[Flow_Name],0),11)</f>
        <v>0.6</v>
      </c>
      <c r="V199" s="7" t="str">
        <f>Tab_Data_Flows[[#This Row],[Flow_ID]]&amp;"_"&amp;"WC_"&amp;Tab_Data_Flows[[#This Row],[Flow_Data_Year]]</f>
        <v>F_01_02_WC_1996</v>
      </c>
      <c r="W199" s="7">
        <f>IF(D199="Yes",S199*Tab_Data_Flows[[#This Row],[WC_'[%']]],"N.A.")</f>
        <v>152390.14736842105</v>
      </c>
      <c r="X199" s="7" t="str">
        <f>Tab_Data_Flows[[#This Row],[UoM_Flow_Py]]</f>
        <v>Mg</v>
      </c>
      <c r="Y199" s="143">
        <f>INDEX(Tab_Def_Flows[[Flow_ID]:[CC_DM_source]],MATCH(Tab_Data_Flows[[#This Row],[Flow_Name]],Tab_Def_Flows[Flow_Name],0),14)</f>
        <v>0.4</v>
      </c>
      <c r="Z199" s="7" t="str">
        <f>Tab_Data_Flows[[#This Row],[Flow_ID]]&amp;"_"&amp;"DM_"&amp;Tab_Data_Flows[[#This Row],[Flow_Data_Year]]</f>
        <v>F_01_02_DM_1996</v>
      </c>
      <c r="AA199" s="7">
        <f>IF(E199="Yes",Y199*Tab_Data_Flows[[#This Row],[Flow_Material]],"N.A.")</f>
        <v>101593.43157894738</v>
      </c>
      <c r="AB199" s="7" t="str">
        <f>Tab_Data_Flows[[#This Row],[UoM_Flow_Py]]</f>
        <v>Mg</v>
      </c>
      <c r="AC199" s="143">
        <f>INDEX(Tab_Def_Flows[[Flow_ID]:[CC_DM_source]],MATCH(Tab_Data_Flows[[#This Row],[Flow_Name]],Tab_Def_Flows[Flow_Name],0),17)</f>
        <v>0</v>
      </c>
      <c r="AD199" s="7" t="str">
        <f>Tab_Data_Flows[[#This Row],[Flow_ID]]&amp;"_"&amp;"CC_"&amp;Tab_Data_Flows[[#This Row],[Flow_Data_Year]]</f>
        <v>F_01_02_CC_1996</v>
      </c>
      <c r="AE199" s="7">
        <f>IF(F199="Yes",AC199*Tab_Data_Flows[[#This Row],[Flow_Material]]*Tab_Data_Flows[[#This Row],[DM_'[%']]],"N.A.")</f>
        <v>0</v>
      </c>
      <c r="AF199" s="7" t="str">
        <f>Tab_Data_Flows[[#This Row],[UoM_Flow_Py]]</f>
        <v>Mg</v>
      </c>
      <c r="AG199"/>
    </row>
    <row r="200" spans="1:33" x14ac:dyDescent="0.25">
      <c r="A200" s="9">
        <f t="shared" si="3"/>
        <v>199</v>
      </c>
      <c r="B200" s="7" t="str">
        <f>_xlfn.XLOOKUP(C200,Tab_Def_Flows[Flow_Name],Tab_Def_Flows[Flow_ID],,0,)</f>
        <v>F_01_02</v>
      </c>
      <c r="C200" s="142" t="s">
        <v>599</v>
      </c>
      <c r="D200" s="10" t="str">
        <f>_xlfn.XLOOKUP(C200,Tab_Def_Flows[Flow_Name],Tab_Def_Flows[WC?],,0,)</f>
        <v>Yes</v>
      </c>
      <c r="E200" s="10" t="str">
        <f>_xlfn.XLOOKUP(C200,Tab_Def_Flows[Flow_Name],Tab_Def_Flows[DM?],,0,)</f>
        <v>Yes</v>
      </c>
      <c r="F200" s="10" t="str">
        <f>_xlfn.XLOOKUP(C200,Tab_Def_Flows[Flow_Name],Tab_Def_Flows[CC?],,0,)</f>
        <v>Yes</v>
      </c>
      <c r="G200" s="8">
        <v>1997</v>
      </c>
      <c r="H200" s="23">
        <v>257591.1578947368</v>
      </c>
      <c r="I200" s="8" t="s">
        <v>198</v>
      </c>
      <c r="J200" s="15"/>
      <c r="K200" s="15"/>
      <c r="L200" s="15"/>
      <c r="M200" s="15"/>
      <c r="N200" s="15"/>
      <c r="O200" s="8" t="s">
        <v>6</v>
      </c>
      <c r="P200" s="8"/>
      <c r="Q200" s="8"/>
      <c r="R200" s="7" t="str">
        <f>Tab_Data_Flows[[#This Row],[Flow_ID]]&amp;"_"&amp;"material_"&amp;Tab_Data_Flows[[#This Row],[Flow_Data_Year]]</f>
        <v>F_01_02_material_1997</v>
      </c>
      <c r="S200" s="14">
        <f>IF(O200="no",H200,H200*P200)</f>
        <v>257591.1578947368</v>
      </c>
      <c r="T200" s="8" t="s">
        <v>198</v>
      </c>
      <c r="U200" s="143">
        <f>INDEX(Tab_Def_Flows[[Flow_ID]:[CC_DM_source]],MATCH(Tab_Data_Flows[[#This Row],[Flow_Name]],Tab_Def_Flows[Flow_Name],0),11)</f>
        <v>0.6</v>
      </c>
      <c r="V200" s="7" t="str">
        <f>Tab_Data_Flows[[#This Row],[Flow_ID]]&amp;"_"&amp;"WC_"&amp;Tab_Data_Flows[[#This Row],[Flow_Data_Year]]</f>
        <v>F_01_02_WC_1997</v>
      </c>
      <c r="W200" s="7">
        <f>IF(D200="Yes",S200*Tab_Data_Flows[[#This Row],[WC_'[%']]],"N.A.")</f>
        <v>154554.69473684207</v>
      </c>
      <c r="X200" s="7" t="str">
        <f>Tab_Data_Flows[[#This Row],[UoM_Flow_Py]]</f>
        <v>Mg</v>
      </c>
      <c r="Y200" s="143">
        <f>INDEX(Tab_Def_Flows[[Flow_ID]:[CC_DM_source]],MATCH(Tab_Data_Flows[[#This Row],[Flow_Name]],Tab_Def_Flows[Flow_Name],0),14)</f>
        <v>0.4</v>
      </c>
      <c r="Z200" s="7" t="str">
        <f>Tab_Data_Flows[[#This Row],[Flow_ID]]&amp;"_"&amp;"DM_"&amp;Tab_Data_Flows[[#This Row],[Flow_Data_Year]]</f>
        <v>F_01_02_DM_1997</v>
      </c>
      <c r="AA200" s="7">
        <f>IF(E200="Yes",Y200*Tab_Data_Flows[[#This Row],[Flow_Material]],"N.A.")</f>
        <v>103036.46315789473</v>
      </c>
      <c r="AB200" s="7" t="str">
        <f>Tab_Data_Flows[[#This Row],[UoM_Flow_Py]]</f>
        <v>Mg</v>
      </c>
      <c r="AC200" s="143">
        <f>INDEX(Tab_Def_Flows[[Flow_ID]:[CC_DM_source]],MATCH(Tab_Data_Flows[[#This Row],[Flow_Name]],Tab_Def_Flows[Flow_Name],0),17)</f>
        <v>0</v>
      </c>
      <c r="AD200" s="7" t="str">
        <f>Tab_Data_Flows[[#This Row],[Flow_ID]]&amp;"_"&amp;"CC_"&amp;Tab_Data_Flows[[#This Row],[Flow_Data_Year]]</f>
        <v>F_01_02_CC_1997</v>
      </c>
      <c r="AE200" s="7">
        <f>IF(F200="Yes",AC200*Tab_Data_Flows[[#This Row],[Flow_Material]]*Tab_Data_Flows[[#This Row],[DM_'[%']]],"N.A.")</f>
        <v>0</v>
      </c>
      <c r="AF200" s="7" t="str">
        <f>Tab_Data_Flows[[#This Row],[UoM_Flow_Py]]</f>
        <v>Mg</v>
      </c>
      <c r="AG200"/>
    </row>
    <row r="201" spans="1:33" x14ac:dyDescent="0.25">
      <c r="A201" s="9">
        <f t="shared" si="3"/>
        <v>200</v>
      </c>
      <c r="B201" s="7" t="str">
        <f>_xlfn.XLOOKUP(C201,Tab_Def_Flows[Flow_Name],Tab_Def_Flows[Flow_ID],,0,)</f>
        <v>F_01_02</v>
      </c>
      <c r="C201" s="142" t="s">
        <v>599</v>
      </c>
      <c r="D201" s="10" t="str">
        <f>_xlfn.XLOOKUP(C201,Tab_Def_Flows[Flow_Name],Tab_Def_Flows[WC?],,0,)</f>
        <v>Yes</v>
      </c>
      <c r="E201" s="10" t="str">
        <f>_xlfn.XLOOKUP(C201,Tab_Def_Flows[Flow_Name],Tab_Def_Flows[DM?],,0,)</f>
        <v>Yes</v>
      </c>
      <c r="F201" s="10" t="str">
        <f>_xlfn.XLOOKUP(C201,Tab_Def_Flows[Flow_Name],Tab_Def_Flows[CC?],,0,)</f>
        <v>Yes</v>
      </c>
      <c r="G201" s="8">
        <v>1998</v>
      </c>
      <c r="H201" s="23">
        <v>254835.36842105258</v>
      </c>
      <c r="I201" s="8" t="s">
        <v>198</v>
      </c>
      <c r="J201" s="15"/>
      <c r="K201" s="15"/>
      <c r="L201" s="15"/>
      <c r="M201" s="15"/>
      <c r="N201" s="15"/>
      <c r="O201" s="8" t="s">
        <v>6</v>
      </c>
      <c r="P201" s="8"/>
      <c r="Q201" s="8"/>
      <c r="R201" s="7" t="str">
        <f>Tab_Data_Flows[[#This Row],[Flow_ID]]&amp;"_"&amp;"material_"&amp;Tab_Data_Flows[[#This Row],[Flow_Data_Year]]</f>
        <v>F_01_02_material_1998</v>
      </c>
      <c r="S201" s="14">
        <f>IF(O201="no",H201,H201*P201)</f>
        <v>254835.36842105258</v>
      </c>
      <c r="T201" s="8" t="s">
        <v>198</v>
      </c>
      <c r="U201" s="143">
        <f>INDEX(Tab_Def_Flows[[Flow_ID]:[CC_DM_source]],MATCH(Tab_Data_Flows[[#This Row],[Flow_Name]],Tab_Def_Flows[Flow_Name],0),11)</f>
        <v>0.6</v>
      </c>
      <c r="V201" s="7" t="str">
        <f>Tab_Data_Flows[[#This Row],[Flow_ID]]&amp;"_"&amp;"WC_"&amp;Tab_Data_Flows[[#This Row],[Flow_Data_Year]]</f>
        <v>F_01_02_WC_1998</v>
      </c>
      <c r="W201" s="7">
        <f>IF(D201="Yes",S201*Tab_Data_Flows[[#This Row],[WC_'[%']]],"N.A.")</f>
        <v>152901.22105263153</v>
      </c>
      <c r="X201" s="7" t="str">
        <f>Tab_Data_Flows[[#This Row],[UoM_Flow_Py]]</f>
        <v>Mg</v>
      </c>
      <c r="Y201" s="143">
        <f>INDEX(Tab_Def_Flows[[Flow_ID]:[CC_DM_source]],MATCH(Tab_Data_Flows[[#This Row],[Flow_Name]],Tab_Def_Flows[Flow_Name],0),14)</f>
        <v>0.4</v>
      </c>
      <c r="Z201" s="7" t="str">
        <f>Tab_Data_Flows[[#This Row],[Flow_ID]]&amp;"_"&amp;"DM_"&amp;Tab_Data_Flows[[#This Row],[Flow_Data_Year]]</f>
        <v>F_01_02_DM_1998</v>
      </c>
      <c r="AA201" s="7">
        <f>IF(E201="Yes",Y201*Tab_Data_Flows[[#This Row],[Flow_Material]],"N.A.")</f>
        <v>101934.14736842104</v>
      </c>
      <c r="AB201" s="7" t="str">
        <f>Tab_Data_Flows[[#This Row],[UoM_Flow_Py]]</f>
        <v>Mg</v>
      </c>
      <c r="AC201" s="143">
        <f>INDEX(Tab_Def_Flows[[Flow_ID]:[CC_DM_source]],MATCH(Tab_Data_Flows[[#This Row],[Flow_Name]],Tab_Def_Flows[Flow_Name],0),17)</f>
        <v>0</v>
      </c>
      <c r="AD201" s="7" t="str">
        <f>Tab_Data_Flows[[#This Row],[Flow_ID]]&amp;"_"&amp;"CC_"&amp;Tab_Data_Flows[[#This Row],[Flow_Data_Year]]</f>
        <v>F_01_02_CC_1998</v>
      </c>
      <c r="AE201" s="7">
        <f>IF(F201="Yes",AC201*Tab_Data_Flows[[#This Row],[Flow_Material]]*Tab_Data_Flows[[#This Row],[DM_'[%']]],"N.A.")</f>
        <v>0</v>
      </c>
      <c r="AF201" s="7" t="str">
        <f>Tab_Data_Flows[[#This Row],[UoM_Flow_Py]]</f>
        <v>Mg</v>
      </c>
      <c r="AG201"/>
    </row>
    <row r="202" spans="1:33" x14ac:dyDescent="0.25">
      <c r="A202" s="9">
        <f t="shared" si="3"/>
        <v>201</v>
      </c>
      <c r="B202" s="7" t="str">
        <f>_xlfn.XLOOKUP(C202,Tab_Def_Flows[Flow_Name],Tab_Def_Flows[Flow_ID],,0,)</f>
        <v>F_01_02</v>
      </c>
      <c r="C202" s="142" t="s">
        <v>599</v>
      </c>
      <c r="D202" s="10" t="str">
        <f>_xlfn.XLOOKUP(C202,Tab_Def_Flows[Flow_Name],Tab_Def_Flows[WC?],,0,)</f>
        <v>Yes</v>
      </c>
      <c r="E202" s="10" t="str">
        <f>_xlfn.XLOOKUP(C202,Tab_Def_Flows[Flow_Name],Tab_Def_Flows[DM?],,0,)</f>
        <v>Yes</v>
      </c>
      <c r="F202" s="10" t="str">
        <f>_xlfn.XLOOKUP(C202,Tab_Def_Flows[Flow_Name],Tab_Def_Flows[CC?],,0,)</f>
        <v>Yes</v>
      </c>
      <c r="G202" s="8">
        <v>1999</v>
      </c>
      <c r="H202" s="23">
        <v>251929.26315789478</v>
      </c>
      <c r="I202" s="8" t="s">
        <v>198</v>
      </c>
      <c r="J202" s="15"/>
      <c r="K202" s="15"/>
      <c r="L202" s="15"/>
      <c r="M202" s="15"/>
      <c r="N202" s="15"/>
      <c r="O202" s="8" t="s">
        <v>6</v>
      </c>
      <c r="P202" s="8"/>
      <c r="Q202" s="8"/>
      <c r="R202" s="7" t="str">
        <f>Tab_Data_Flows[[#This Row],[Flow_ID]]&amp;"_"&amp;"material_"&amp;Tab_Data_Flows[[#This Row],[Flow_Data_Year]]</f>
        <v>F_01_02_material_1999</v>
      </c>
      <c r="S202" s="14">
        <f>IF(O202="no",H202,H202*P202)</f>
        <v>251929.26315789478</v>
      </c>
      <c r="T202" s="8" t="s">
        <v>198</v>
      </c>
      <c r="U202" s="143">
        <f>INDEX(Tab_Def_Flows[[Flow_ID]:[CC_DM_source]],MATCH(Tab_Data_Flows[[#This Row],[Flow_Name]],Tab_Def_Flows[Flow_Name],0),11)</f>
        <v>0.6</v>
      </c>
      <c r="V202" s="7" t="str">
        <f>Tab_Data_Flows[[#This Row],[Flow_ID]]&amp;"_"&amp;"WC_"&amp;Tab_Data_Flows[[#This Row],[Flow_Data_Year]]</f>
        <v>F_01_02_WC_1999</v>
      </c>
      <c r="W202" s="7">
        <f>IF(D202="Yes",S202*Tab_Data_Flows[[#This Row],[WC_'[%']]],"N.A.")</f>
        <v>151157.55789473685</v>
      </c>
      <c r="X202" s="7" t="str">
        <f>Tab_Data_Flows[[#This Row],[UoM_Flow_Py]]</f>
        <v>Mg</v>
      </c>
      <c r="Y202" s="143">
        <f>INDEX(Tab_Def_Flows[[Flow_ID]:[CC_DM_source]],MATCH(Tab_Data_Flows[[#This Row],[Flow_Name]],Tab_Def_Flows[Flow_Name],0),14)</f>
        <v>0.4</v>
      </c>
      <c r="Z202" s="7" t="str">
        <f>Tab_Data_Flows[[#This Row],[Flow_ID]]&amp;"_"&amp;"DM_"&amp;Tab_Data_Flows[[#This Row],[Flow_Data_Year]]</f>
        <v>F_01_02_DM_1999</v>
      </c>
      <c r="AA202" s="7">
        <f>IF(E202="Yes",Y202*Tab_Data_Flows[[#This Row],[Flow_Material]],"N.A.")</f>
        <v>100771.70526315791</v>
      </c>
      <c r="AB202" s="7" t="str">
        <f>Tab_Data_Flows[[#This Row],[UoM_Flow_Py]]</f>
        <v>Mg</v>
      </c>
      <c r="AC202" s="143">
        <f>INDEX(Tab_Def_Flows[[Flow_ID]:[CC_DM_source]],MATCH(Tab_Data_Flows[[#This Row],[Flow_Name]],Tab_Def_Flows[Flow_Name],0),17)</f>
        <v>0</v>
      </c>
      <c r="AD202" s="7" t="str">
        <f>Tab_Data_Flows[[#This Row],[Flow_ID]]&amp;"_"&amp;"CC_"&amp;Tab_Data_Flows[[#This Row],[Flow_Data_Year]]</f>
        <v>F_01_02_CC_1999</v>
      </c>
      <c r="AE202" s="7">
        <f>IF(F202="Yes",AC202*Tab_Data_Flows[[#This Row],[Flow_Material]]*Tab_Data_Flows[[#This Row],[DM_'[%']]],"N.A.")</f>
        <v>0</v>
      </c>
      <c r="AF202" s="7" t="str">
        <f>Tab_Data_Flows[[#This Row],[UoM_Flow_Py]]</f>
        <v>Mg</v>
      </c>
      <c r="AG202"/>
    </row>
    <row r="203" spans="1:33" x14ac:dyDescent="0.25">
      <c r="A203" s="9">
        <f t="shared" si="3"/>
        <v>202</v>
      </c>
      <c r="B203" s="7" t="str">
        <f>_xlfn.XLOOKUP(C203,Tab_Def_Flows[Flow_Name],Tab_Def_Flows[Flow_ID],,0,)</f>
        <v>F_01_02</v>
      </c>
      <c r="C203" s="142" t="s">
        <v>599</v>
      </c>
      <c r="D203" s="10" t="str">
        <f>_xlfn.XLOOKUP(C203,Tab_Def_Flows[Flow_Name],Tab_Def_Flows[WC?],,0,)</f>
        <v>Yes</v>
      </c>
      <c r="E203" s="10" t="str">
        <f>_xlfn.XLOOKUP(C203,Tab_Def_Flows[Flow_Name],Tab_Def_Flows[DM?],,0,)</f>
        <v>Yes</v>
      </c>
      <c r="F203" s="10" t="str">
        <f>_xlfn.XLOOKUP(C203,Tab_Def_Flows[Flow_Name],Tab_Def_Flows[CC?],,0,)</f>
        <v>Yes</v>
      </c>
      <c r="G203" s="8">
        <v>2000</v>
      </c>
      <c r="H203" s="23">
        <v>313408.42105263151</v>
      </c>
      <c r="I203" s="8" t="s">
        <v>198</v>
      </c>
      <c r="J203" s="15"/>
      <c r="K203" s="15"/>
      <c r="L203" s="15"/>
      <c r="M203" s="15"/>
      <c r="N203" s="15"/>
      <c r="O203" s="8" t="s">
        <v>6</v>
      </c>
      <c r="P203" s="8"/>
      <c r="Q203" s="8"/>
      <c r="R203" s="7" t="str">
        <f>Tab_Data_Flows[[#This Row],[Flow_ID]]&amp;"_"&amp;"material_"&amp;Tab_Data_Flows[[#This Row],[Flow_Data_Year]]</f>
        <v>F_01_02_material_2000</v>
      </c>
      <c r="S203" s="14">
        <f>IF(O203="no",H203,H203*P203)</f>
        <v>313408.42105263151</v>
      </c>
      <c r="T203" s="8" t="s">
        <v>198</v>
      </c>
      <c r="U203" s="143">
        <f>INDEX(Tab_Def_Flows[[Flow_ID]:[CC_DM_source]],MATCH(Tab_Data_Flows[[#This Row],[Flow_Name]],Tab_Def_Flows[Flow_Name],0),11)</f>
        <v>0.6</v>
      </c>
      <c r="V203" s="7" t="str">
        <f>Tab_Data_Flows[[#This Row],[Flow_ID]]&amp;"_"&amp;"WC_"&amp;Tab_Data_Flows[[#This Row],[Flow_Data_Year]]</f>
        <v>F_01_02_WC_2000</v>
      </c>
      <c r="W203" s="7">
        <f>IF(D203="Yes",S203*Tab_Data_Flows[[#This Row],[WC_'[%']]],"N.A.")</f>
        <v>188045.0526315789</v>
      </c>
      <c r="X203" s="7" t="str">
        <f>Tab_Data_Flows[[#This Row],[UoM_Flow_Py]]</f>
        <v>Mg</v>
      </c>
      <c r="Y203" s="143">
        <f>INDEX(Tab_Def_Flows[[Flow_ID]:[CC_DM_source]],MATCH(Tab_Data_Flows[[#This Row],[Flow_Name]],Tab_Def_Flows[Flow_Name],0),14)</f>
        <v>0.4</v>
      </c>
      <c r="Z203" s="7" t="str">
        <f>Tab_Data_Flows[[#This Row],[Flow_ID]]&amp;"_"&amp;"DM_"&amp;Tab_Data_Flows[[#This Row],[Flow_Data_Year]]</f>
        <v>F_01_02_DM_2000</v>
      </c>
      <c r="AA203" s="7">
        <f>IF(E203="Yes",Y203*Tab_Data_Flows[[#This Row],[Flow_Material]],"N.A.")</f>
        <v>125363.36842105261</v>
      </c>
      <c r="AB203" s="7" t="str">
        <f>Tab_Data_Flows[[#This Row],[UoM_Flow_Py]]</f>
        <v>Mg</v>
      </c>
      <c r="AC203" s="143">
        <f>INDEX(Tab_Def_Flows[[Flow_ID]:[CC_DM_source]],MATCH(Tab_Data_Flows[[#This Row],[Flow_Name]],Tab_Def_Flows[Flow_Name],0),17)</f>
        <v>0</v>
      </c>
      <c r="AD203" s="7" t="str">
        <f>Tab_Data_Flows[[#This Row],[Flow_ID]]&amp;"_"&amp;"CC_"&amp;Tab_Data_Flows[[#This Row],[Flow_Data_Year]]</f>
        <v>F_01_02_CC_2000</v>
      </c>
      <c r="AE203" s="7">
        <f>IF(F203="Yes",AC203*Tab_Data_Flows[[#This Row],[Flow_Material]]*Tab_Data_Flows[[#This Row],[DM_'[%']]],"N.A.")</f>
        <v>0</v>
      </c>
      <c r="AF203" s="7" t="str">
        <f>Tab_Data_Flows[[#This Row],[UoM_Flow_Py]]</f>
        <v>Mg</v>
      </c>
      <c r="AG203"/>
    </row>
    <row r="204" spans="1:33" x14ac:dyDescent="0.25">
      <c r="A204" s="9">
        <f t="shared" si="3"/>
        <v>203</v>
      </c>
      <c r="B204" s="7" t="str">
        <f>_xlfn.XLOOKUP(C204,Tab_Def_Flows[Flow_Name],Tab_Def_Flows[Flow_ID],,0,)</f>
        <v>F_01_02</v>
      </c>
      <c r="C204" s="142" t="s">
        <v>599</v>
      </c>
      <c r="D204" s="10" t="str">
        <f>_xlfn.XLOOKUP(C204,Tab_Def_Flows[Flow_Name],Tab_Def_Flows[WC?],,0,)</f>
        <v>Yes</v>
      </c>
      <c r="E204" s="10" t="str">
        <f>_xlfn.XLOOKUP(C204,Tab_Def_Flows[Flow_Name],Tab_Def_Flows[DM?],,0,)</f>
        <v>Yes</v>
      </c>
      <c r="F204" s="10" t="str">
        <f>_xlfn.XLOOKUP(C204,Tab_Def_Flows[Flow_Name],Tab_Def_Flows[CC?],,0,)</f>
        <v>Yes</v>
      </c>
      <c r="G204" s="8">
        <v>2001</v>
      </c>
      <c r="H204" s="23">
        <v>282744</v>
      </c>
      <c r="I204" s="8" t="s">
        <v>198</v>
      </c>
      <c r="J204" s="15"/>
      <c r="K204" s="15"/>
      <c r="L204" s="15"/>
      <c r="M204" s="15"/>
      <c r="N204" s="15"/>
      <c r="O204" s="8" t="s">
        <v>6</v>
      </c>
      <c r="P204" s="8"/>
      <c r="Q204" s="8"/>
      <c r="R204" s="7" t="str">
        <f>Tab_Data_Flows[[#This Row],[Flow_ID]]&amp;"_"&amp;"material_"&amp;Tab_Data_Flows[[#This Row],[Flow_Data_Year]]</f>
        <v>F_01_02_material_2001</v>
      </c>
      <c r="S204" s="14">
        <f>IF(O204="no",H204,H204*P204)</f>
        <v>282744</v>
      </c>
      <c r="T204" s="8" t="s">
        <v>198</v>
      </c>
      <c r="U204" s="143">
        <f>INDEX(Tab_Def_Flows[[Flow_ID]:[CC_DM_source]],MATCH(Tab_Data_Flows[[#This Row],[Flow_Name]],Tab_Def_Flows[Flow_Name],0),11)</f>
        <v>0.6</v>
      </c>
      <c r="V204" s="7" t="str">
        <f>Tab_Data_Flows[[#This Row],[Flow_ID]]&amp;"_"&amp;"WC_"&amp;Tab_Data_Flows[[#This Row],[Flow_Data_Year]]</f>
        <v>F_01_02_WC_2001</v>
      </c>
      <c r="W204" s="7">
        <f>IF(D204="Yes",S204*Tab_Data_Flows[[#This Row],[WC_'[%']]],"N.A.")</f>
        <v>169646.4</v>
      </c>
      <c r="X204" s="7" t="str">
        <f>Tab_Data_Flows[[#This Row],[UoM_Flow_Py]]</f>
        <v>Mg</v>
      </c>
      <c r="Y204" s="143">
        <f>INDEX(Tab_Def_Flows[[Flow_ID]:[CC_DM_source]],MATCH(Tab_Data_Flows[[#This Row],[Flow_Name]],Tab_Def_Flows[Flow_Name],0),14)</f>
        <v>0.4</v>
      </c>
      <c r="Z204" s="7" t="str">
        <f>Tab_Data_Flows[[#This Row],[Flow_ID]]&amp;"_"&amp;"DM_"&amp;Tab_Data_Flows[[#This Row],[Flow_Data_Year]]</f>
        <v>F_01_02_DM_2001</v>
      </c>
      <c r="AA204" s="7">
        <f>IF(E204="Yes",Y204*Tab_Data_Flows[[#This Row],[Flow_Material]],"N.A.")</f>
        <v>113097.60000000001</v>
      </c>
      <c r="AB204" s="7" t="str">
        <f>Tab_Data_Flows[[#This Row],[UoM_Flow_Py]]</f>
        <v>Mg</v>
      </c>
      <c r="AC204" s="143">
        <f>INDEX(Tab_Def_Flows[[Flow_ID]:[CC_DM_source]],MATCH(Tab_Data_Flows[[#This Row],[Flow_Name]],Tab_Def_Flows[Flow_Name],0),17)</f>
        <v>0</v>
      </c>
      <c r="AD204" s="7" t="str">
        <f>Tab_Data_Flows[[#This Row],[Flow_ID]]&amp;"_"&amp;"CC_"&amp;Tab_Data_Flows[[#This Row],[Flow_Data_Year]]</f>
        <v>F_01_02_CC_2001</v>
      </c>
      <c r="AE204" s="7">
        <f>IF(F204="Yes",AC204*Tab_Data_Flows[[#This Row],[Flow_Material]]*Tab_Data_Flows[[#This Row],[DM_'[%']]],"N.A.")</f>
        <v>0</v>
      </c>
      <c r="AF204" s="7" t="str">
        <f>Tab_Data_Flows[[#This Row],[UoM_Flow_Py]]</f>
        <v>Mg</v>
      </c>
      <c r="AG204"/>
    </row>
    <row r="205" spans="1:33" x14ac:dyDescent="0.25">
      <c r="A205" s="9">
        <f t="shared" si="3"/>
        <v>204</v>
      </c>
      <c r="B205" s="7" t="str">
        <f>_xlfn.XLOOKUP(C205,Tab_Def_Flows[Flow_Name],Tab_Def_Flows[Flow_ID],,0,)</f>
        <v>F_01_02</v>
      </c>
      <c r="C205" s="142" t="s">
        <v>599</v>
      </c>
      <c r="D205" s="10" t="str">
        <f>_xlfn.XLOOKUP(C205,Tab_Def_Flows[Flow_Name],Tab_Def_Flows[WC?],,0,)</f>
        <v>Yes</v>
      </c>
      <c r="E205" s="10" t="str">
        <f>_xlfn.XLOOKUP(C205,Tab_Def_Flows[Flow_Name],Tab_Def_Flows[DM?],,0,)</f>
        <v>Yes</v>
      </c>
      <c r="F205" s="10" t="str">
        <f>_xlfn.XLOOKUP(C205,Tab_Def_Flows[Flow_Name],Tab_Def_Flows[CC?],,0,)</f>
        <v>Yes</v>
      </c>
      <c r="G205" s="8">
        <v>2002</v>
      </c>
      <c r="H205" s="23">
        <v>300932.21052631579</v>
      </c>
      <c r="I205" s="8" t="s">
        <v>198</v>
      </c>
      <c r="J205" s="15"/>
      <c r="K205" s="15"/>
      <c r="L205" s="15"/>
      <c r="M205" s="15"/>
      <c r="N205" s="15"/>
      <c r="O205" s="8" t="s">
        <v>6</v>
      </c>
      <c r="P205" s="16"/>
      <c r="Q205" s="8"/>
      <c r="R205" s="7" t="str">
        <f>Tab_Data_Flows[[#This Row],[Flow_ID]]&amp;"_"&amp;"material_"&amp;Tab_Data_Flows[[#This Row],[Flow_Data_Year]]</f>
        <v>F_01_02_material_2002</v>
      </c>
      <c r="S205" s="14">
        <f>IF(O205="no",H205,H205*P205)</f>
        <v>300932.21052631579</v>
      </c>
      <c r="T205" s="8" t="s">
        <v>198</v>
      </c>
      <c r="U205" s="143">
        <f>INDEX(Tab_Def_Flows[[Flow_ID]:[CC_DM_source]],MATCH(Tab_Data_Flows[[#This Row],[Flow_Name]],Tab_Def_Flows[Flow_Name],0),11)</f>
        <v>0.6</v>
      </c>
      <c r="V205" s="7" t="str">
        <f>Tab_Data_Flows[[#This Row],[Flow_ID]]&amp;"_"&amp;"WC_"&amp;Tab_Data_Flows[[#This Row],[Flow_Data_Year]]</f>
        <v>F_01_02_WC_2002</v>
      </c>
      <c r="W205" s="7">
        <f>IF(D205="Yes",S205*Tab_Data_Flows[[#This Row],[WC_'[%']]],"N.A.")</f>
        <v>180559.32631578945</v>
      </c>
      <c r="X205" s="7" t="str">
        <f>Tab_Data_Flows[[#This Row],[UoM_Flow_Py]]</f>
        <v>Mg</v>
      </c>
      <c r="Y205" s="143">
        <f>INDEX(Tab_Def_Flows[[Flow_ID]:[CC_DM_source]],MATCH(Tab_Data_Flows[[#This Row],[Flow_Name]],Tab_Def_Flows[Flow_Name],0),14)</f>
        <v>0.4</v>
      </c>
      <c r="Z205" s="7" t="str">
        <f>Tab_Data_Flows[[#This Row],[Flow_ID]]&amp;"_"&amp;"DM_"&amp;Tab_Data_Flows[[#This Row],[Flow_Data_Year]]</f>
        <v>F_01_02_DM_2002</v>
      </c>
      <c r="AA205" s="7">
        <f>IF(E205="Yes",Y205*Tab_Data_Flows[[#This Row],[Flow_Material]],"N.A.")</f>
        <v>120372.88421052632</v>
      </c>
      <c r="AB205" s="7" t="str">
        <f>Tab_Data_Flows[[#This Row],[UoM_Flow_Py]]</f>
        <v>Mg</v>
      </c>
      <c r="AC205" s="143">
        <f>INDEX(Tab_Def_Flows[[Flow_ID]:[CC_DM_source]],MATCH(Tab_Data_Flows[[#This Row],[Flow_Name]],Tab_Def_Flows[Flow_Name],0),17)</f>
        <v>0</v>
      </c>
      <c r="AD205" s="7" t="str">
        <f>Tab_Data_Flows[[#This Row],[Flow_ID]]&amp;"_"&amp;"CC_"&amp;Tab_Data_Flows[[#This Row],[Flow_Data_Year]]</f>
        <v>F_01_02_CC_2002</v>
      </c>
      <c r="AE205" s="7">
        <f>IF(F205="Yes",AC205*Tab_Data_Flows[[#This Row],[Flow_Material]]*Tab_Data_Flows[[#This Row],[DM_'[%']]],"N.A.")</f>
        <v>0</v>
      </c>
      <c r="AF205" s="7" t="str">
        <f>Tab_Data_Flows[[#This Row],[UoM_Flow_Py]]</f>
        <v>Mg</v>
      </c>
      <c r="AG205"/>
    </row>
    <row r="206" spans="1:33" x14ac:dyDescent="0.25">
      <c r="A206" s="9">
        <f t="shared" si="3"/>
        <v>205</v>
      </c>
      <c r="B206" s="7" t="str">
        <f>_xlfn.XLOOKUP(C206,Tab_Def_Flows[Flow_Name],Tab_Def_Flows[Flow_ID],,0,)</f>
        <v>F_01_02</v>
      </c>
      <c r="C206" s="142" t="s">
        <v>599</v>
      </c>
      <c r="D206" s="10" t="str">
        <f>_xlfn.XLOOKUP(C206,Tab_Def_Flows[Flow_Name],Tab_Def_Flows[WC?],,0,)</f>
        <v>Yes</v>
      </c>
      <c r="E206" s="10" t="str">
        <f>_xlfn.XLOOKUP(C206,Tab_Def_Flows[Flow_Name],Tab_Def_Flows[DM?],,0,)</f>
        <v>Yes</v>
      </c>
      <c r="F206" s="10" t="str">
        <f>_xlfn.XLOOKUP(C206,Tab_Def_Flows[Flow_Name],Tab_Def_Flows[CC?],,0,)</f>
        <v>Yes</v>
      </c>
      <c r="G206" s="8">
        <v>2003</v>
      </c>
      <c r="H206" s="23">
        <v>305441.68421052635</v>
      </c>
      <c r="I206" s="8" t="s">
        <v>198</v>
      </c>
      <c r="J206" s="15"/>
      <c r="K206" s="15"/>
      <c r="L206" s="15"/>
      <c r="M206" s="15"/>
      <c r="N206" s="15"/>
      <c r="O206" s="8" t="s">
        <v>6</v>
      </c>
      <c r="P206" s="16"/>
      <c r="Q206" s="8"/>
      <c r="R206" s="7" t="str">
        <f>Tab_Data_Flows[[#This Row],[Flow_ID]]&amp;"_"&amp;"material_"&amp;Tab_Data_Flows[[#This Row],[Flow_Data_Year]]</f>
        <v>F_01_02_material_2003</v>
      </c>
      <c r="S206" s="14">
        <f>IF(O206="no",H206,H206*P206)</f>
        <v>305441.68421052635</v>
      </c>
      <c r="T206" s="8" t="s">
        <v>198</v>
      </c>
      <c r="U206" s="143">
        <f>INDEX(Tab_Def_Flows[[Flow_ID]:[CC_DM_source]],MATCH(Tab_Data_Flows[[#This Row],[Flow_Name]],Tab_Def_Flows[Flow_Name],0),11)</f>
        <v>0.6</v>
      </c>
      <c r="V206" s="7" t="str">
        <f>Tab_Data_Flows[[#This Row],[Flow_ID]]&amp;"_"&amp;"WC_"&amp;Tab_Data_Flows[[#This Row],[Flow_Data_Year]]</f>
        <v>F_01_02_WC_2003</v>
      </c>
      <c r="W206" s="7">
        <f>IF(D206="Yes",S206*Tab_Data_Flows[[#This Row],[WC_'[%']]],"N.A.")</f>
        <v>183265.0105263158</v>
      </c>
      <c r="X206" s="7" t="str">
        <f>Tab_Data_Flows[[#This Row],[UoM_Flow_Py]]</f>
        <v>Mg</v>
      </c>
      <c r="Y206" s="143">
        <f>INDEX(Tab_Def_Flows[[Flow_ID]:[CC_DM_source]],MATCH(Tab_Data_Flows[[#This Row],[Flow_Name]],Tab_Def_Flows[Flow_Name],0),14)</f>
        <v>0.4</v>
      </c>
      <c r="Z206" s="7" t="str">
        <f>Tab_Data_Flows[[#This Row],[Flow_ID]]&amp;"_"&amp;"DM_"&amp;Tab_Data_Flows[[#This Row],[Flow_Data_Year]]</f>
        <v>F_01_02_DM_2003</v>
      </c>
      <c r="AA206" s="7">
        <f>IF(E206="Yes",Y206*Tab_Data_Flows[[#This Row],[Flow_Material]],"N.A.")</f>
        <v>122176.67368421055</v>
      </c>
      <c r="AB206" s="7" t="str">
        <f>Tab_Data_Flows[[#This Row],[UoM_Flow_Py]]</f>
        <v>Mg</v>
      </c>
      <c r="AC206" s="143">
        <f>INDEX(Tab_Def_Flows[[Flow_ID]:[CC_DM_source]],MATCH(Tab_Data_Flows[[#This Row],[Flow_Name]],Tab_Def_Flows[Flow_Name],0),17)</f>
        <v>0</v>
      </c>
      <c r="AD206" s="7" t="str">
        <f>Tab_Data_Flows[[#This Row],[Flow_ID]]&amp;"_"&amp;"CC_"&amp;Tab_Data_Flows[[#This Row],[Flow_Data_Year]]</f>
        <v>F_01_02_CC_2003</v>
      </c>
      <c r="AE206" s="7">
        <f>IF(F206="Yes",AC206*Tab_Data_Flows[[#This Row],[Flow_Material]]*Tab_Data_Flows[[#This Row],[DM_'[%']]],"N.A.")</f>
        <v>0</v>
      </c>
      <c r="AF206" s="7" t="str">
        <f>Tab_Data_Flows[[#This Row],[UoM_Flow_Py]]</f>
        <v>Mg</v>
      </c>
      <c r="AG206"/>
    </row>
    <row r="207" spans="1:33" x14ac:dyDescent="0.25">
      <c r="A207" s="9">
        <f t="shared" si="3"/>
        <v>206</v>
      </c>
      <c r="B207" s="7" t="str">
        <f>_xlfn.XLOOKUP(C207,Tab_Def_Flows[Flow_Name],Tab_Def_Flows[Flow_ID],,0,)</f>
        <v>F_01_02</v>
      </c>
      <c r="C207" s="142" t="s">
        <v>599</v>
      </c>
      <c r="D207" s="10" t="str">
        <f>_xlfn.XLOOKUP(C207,Tab_Def_Flows[Flow_Name],Tab_Def_Flows[WC?],,0,)</f>
        <v>Yes</v>
      </c>
      <c r="E207" s="10" t="str">
        <f>_xlfn.XLOOKUP(C207,Tab_Def_Flows[Flow_Name],Tab_Def_Flows[DM?],,0,)</f>
        <v>Yes</v>
      </c>
      <c r="F207" s="10" t="str">
        <f>_xlfn.XLOOKUP(C207,Tab_Def_Flows[Flow_Name],Tab_Def_Flows[CC?],,0,)</f>
        <v>Yes</v>
      </c>
      <c r="G207" s="8">
        <v>2004</v>
      </c>
      <c r="H207" s="23">
        <v>336306.52631578944</v>
      </c>
      <c r="I207" s="8" t="s">
        <v>198</v>
      </c>
      <c r="J207" s="15"/>
      <c r="K207" s="15"/>
      <c r="L207" s="15"/>
      <c r="M207" s="15"/>
      <c r="N207" s="15"/>
      <c r="O207" s="8" t="s">
        <v>6</v>
      </c>
      <c r="P207" s="16"/>
      <c r="Q207" s="8"/>
      <c r="R207" s="7" t="str">
        <f>Tab_Data_Flows[[#This Row],[Flow_ID]]&amp;"_"&amp;"material_"&amp;Tab_Data_Flows[[#This Row],[Flow_Data_Year]]</f>
        <v>F_01_02_material_2004</v>
      </c>
      <c r="S207" s="14">
        <f>IF(O207="no",H207,H207*P207)</f>
        <v>336306.52631578944</v>
      </c>
      <c r="T207" s="8" t="s">
        <v>198</v>
      </c>
      <c r="U207" s="143">
        <f>INDEX(Tab_Def_Flows[[Flow_ID]:[CC_DM_source]],MATCH(Tab_Data_Flows[[#This Row],[Flow_Name]],Tab_Def_Flows[Flow_Name],0),11)</f>
        <v>0.6</v>
      </c>
      <c r="V207" s="7" t="str">
        <f>Tab_Data_Flows[[#This Row],[Flow_ID]]&amp;"_"&amp;"WC_"&amp;Tab_Data_Flows[[#This Row],[Flow_Data_Year]]</f>
        <v>F_01_02_WC_2004</v>
      </c>
      <c r="W207" s="7">
        <f>IF(D207="Yes",S207*Tab_Data_Flows[[#This Row],[WC_'[%']]],"N.A.")</f>
        <v>201783.91578947366</v>
      </c>
      <c r="X207" s="7" t="str">
        <f>Tab_Data_Flows[[#This Row],[UoM_Flow_Py]]</f>
        <v>Mg</v>
      </c>
      <c r="Y207" s="143">
        <f>INDEX(Tab_Def_Flows[[Flow_ID]:[CC_DM_source]],MATCH(Tab_Data_Flows[[#This Row],[Flow_Name]],Tab_Def_Flows[Flow_Name],0),14)</f>
        <v>0.4</v>
      </c>
      <c r="Z207" s="7" t="str">
        <f>Tab_Data_Flows[[#This Row],[Flow_ID]]&amp;"_"&amp;"DM_"&amp;Tab_Data_Flows[[#This Row],[Flow_Data_Year]]</f>
        <v>F_01_02_DM_2004</v>
      </c>
      <c r="AA207" s="7">
        <f>IF(E207="Yes",Y207*Tab_Data_Flows[[#This Row],[Flow_Material]],"N.A.")</f>
        <v>134522.61052631578</v>
      </c>
      <c r="AB207" s="7" t="str">
        <f>Tab_Data_Flows[[#This Row],[UoM_Flow_Py]]</f>
        <v>Mg</v>
      </c>
      <c r="AC207" s="143">
        <f>INDEX(Tab_Def_Flows[[Flow_ID]:[CC_DM_source]],MATCH(Tab_Data_Flows[[#This Row],[Flow_Name]],Tab_Def_Flows[Flow_Name],0),17)</f>
        <v>0</v>
      </c>
      <c r="AD207" s="7" t="str">
        <f>Tab_Data_Flows[[#This Row],[Flow_ID]]&amp;"_"&amp;"CC_"&amp;Tab_Data_Flows[[#This Row],[Flow_Data_Year]]</f>
        <v>F_01_02_CC_2004</v>
      </c>
      <c r="AE207" s="7">
        <f>IF(F207="Yes",AC207*Tab_Data_Flows[[#This Row],[Flow_Material]]*Tab_Data_Flows[[#This Row],[DM_'[%']]],"N.A.")</f>
        <v>0</v>
      </c>
      <c r="AF207" s="7" t="str">
        <f>Tab_Data_Flows[[#This Row],[UoM_Flow_Py]]</f>
        <v>Mg</v>
      </c>
      <c r="AG207"/>
    </row>
    <row r="208" spans="1:33" x14ac:dyDescent="0.25">
      <c r="A208" s="9">
        <f t="shared" si="3"/>
        <v>207</v>
      </c>
      <c r="B208" s="7" t="str">
        <f>_xlfn.XLOOKUP(C208,Tab_Def_Flows[Flow_Name],Tab_Def_Flows[Flow_ID],,0,)</f>
        <v>F_01_02</v>
      </c>
      <c r="C208" s="142" t="s">
        <v>599</v>
      </c>
      <c r="D208" s="10" t="str">
        <f>_xlfn.XLOOKUP(C208,Tab_Def_Flows[Flow_Name],Tab_Def_Flows[WC?],,0,)</f>
        <v>Yes</v>
      </c>
      <c r="E208" s="10" t="str">
        <f>_xlfn.XLOOKUP(C208,Tab_Def_Flows[Flow_Name],Tab_Def_Flows[DM?],,0,)</f>
        <v>Yes</v>
      </c>
      <c r="F208" s="10" t="str">
        <f>_xlfn.XLOOKUP(C208,Tab_Def_Flows[Flow_Name],Tab_Def_Flows[CC?],,0,)</f>
        <v>Yes</v>
      </c>
      <c r="G208" s="8">
        <v>2005</v>
      </c>
      <c r="H208" s="23">
        <v>288255.57894736843</v>
      </c>
      <c r="I208" s="8" t="s">
        <v>198</v>
      </c>
      <c r="J208" s="15"/>
      <c r="K208" s="15"/>
      <c r="L208" s="15"/>
      <c r="M208" s="15"/>
      <c r="N208" s="15"/>
      <c r="O208" s="8" t="s">
        <v>6</v>
      </c>
      <c r="P208" s="16"/>
      <c r="Q208" s="8"/>
      <c r="R208" s="7" t="str">
        <f>Tab_Data_Flows[[#This Row],[Flow_ID]]&amp;"_"&amp;"material_"&amp;Tab_Data_Flows[[#This Row],[Flow_Data_Year]]</f>
        <v>F_01_02_material_2005</v>
      </c>
      <c r="S208" s="14">
        <f>IF(O208="no",H208,H208*P208)</f>
        <v>288255.57894736843</v>
      </c>
      <c r="T208" s="8" t="s">
        <v>198</v>
      </c>
      <c r="U208" s="143">
        <f>INDEX(Tab_Def_Flows[[Flow_ID]:[CC_DM_source]],MATCH(Tab_Data_Flows[[#This Row],[Flow_Name]],Tab_Def_Flows[Flow_Name],0),11)</f>
        <v>0.6</v>
      </c>
      <c r="V208" s="7" t="str">
        <f>Tab_Data_Flows[[#This Row],[Flow_ID]]&amp;"_"&amp;"WC_"&amp;Tab_Data_Flows[[#This Row],[Flow_Data_Year]]</f>
        <v>F_01_02_WC_2005</v>
      </c>
      <c r="W208" s="7">
        <f>IF(D208="Yes",S208*Tab_Data_Flows[[#This Row],[WC_'[%']]],"N.A.")</f>
        <v>172953.34736842106</v>
      </c>
      <c r="X208" s="7" t="str">
        <f>Tab_Data_Flows[[#This Row],[UoM_Flow_Py]]</f>
        <v>Mg</v>
      </c>
      <c r="Y208" s="143">
        <f>INDEX(Tab_Def_Flows[[Flow_ID]:[CC_DM_source]],MATCH(Tab_Data_Flows[[#This Row],[Flow_Name]],Tab_Def_Flows[Flow_Name],0),14)</f>
        <v>0.4</v>
      </c>
      <c r="Z208" s="7" t="str">
        <f>Tab_Data_Flows[[#This Row],[Flow_ID]]&amp;"_"&amp;"DM_"&amp;Tab_Data_Flows[[#This Row],[Flow_Data_Year]]</f>
        <v>F_01_02_DM_2005</v>
      </c>
      <c r="AA208" s="7">
        <f>IF(E208="Yes",Y208*Tab_Data_Flows[[#This Row],[Flow_Material]],"N.A.")</f>
        <v>115302.23157894738</v>
      </c>
      <c r="AB208" s="7" t="str">
        <f>Tab_Data_Flows[[#This Row],[UoM_Flow_Py]]</f>
        <v>Mg</v>
      </c>
      <c r="AC208" s="143">
        <f>INDEX(Tab_Def_Flows[[Flow_ID]:[CC_DM_source]],MATCH(Tab_Data_Flows[[#This Row],[Flow_Name]],Tab_Def_Flows[Flow_Name],0),17)</f>
        <v>0</v>
      </c>
      <c r="AD208" s="7" t="str">
        <f>Tab_Data_Flows[[#This Row],[Flow_ID]]&amp;"_"&amp;"CC_"&amp;Tab_Data_Flows[[#This Row],[Flow_Data_Year]]</f>
        <v>F_01_02_CC_2005</v>
      </c>
      <c r="AE208" s="7">
        <f>IF(F208="Yes",AC208*Tab_Data_Flows[[#This Row],[Flow_Material]]*Tab_Data_Flows[[#This Row],[DM_'[%']]],"N.A.")</f>
        <v>0</v>
      </c>
      <c r="AF208" s="7" t="str">
        <f>Tab_Data_Flows[[#This Row],[UoM_Flow_Py]]</f>
        <v>Mg</v>
      </c>
      <c r="AG208"/>
    </row>
    <row r="209" spans="1:33" x14ac:dyDescent="0.25">
      <c r="A209" s="9">
        <f t="shared" si="3"/>
        <v>208</v>
      </c>
      <c r="B209" s="7" t="str">
        <f>_xlfn.XLOOKUP(C209,Tab_Def_Flows[Flow_Name],Tab_Def_Flows[Flow_ID],,0,)</f>
        <v>F_01_02</v>
      </c>
      <c r="C209" s="142" t="s">
        <v>599</v>
      </c>
      <c r="D209" s="10" t="str">
        <f>_xlfn.XLOOKUP(C209,Tab_Def_Flows[Flow_Name],Tab_Def_Flows[WC?],,0,)</f>
        <v>Yes</v>
      </c>
      <c r="E209" s="10" t="str">
        <f>_xlfn.XLOOKUP(C209,Tab_Def_Flows[Flow_Name],Tab_Def_Flows[DM?],,0,)</f>
        <v>Yes</v>
      </c>
      <c r="F209" s="10" t="str">
        <f>_xlfn.XLOOKUP(C209,Tab_Def_Flows[Flow_Name],Tab_Def_Flows[CC?],,0,)</f>
        <v>Yes</v>
      </c>
      <c r="G209" s="8">
        <v>2006</v>
      </c>
      <c r="H209" s="23">
        <v>396082.10526315798</v>
      </c>
      <c r="I209" s="8" t="s">
        <v>198</v>
      </c>
      <c r="J209" s="15"/>
      <c r="K209" s="15"/>
      <c r="L209" s="15"/>
      <c r="M209" s="15"/>
      <c r="N209" s="15"/>
      <c r="O209" s="8" t="s">
        <v>6</v>
      </c>
      <c r="P209" s="16"/>
      <c r="Q209" s="8"/>
      <c r="R209" s="7" t="str">
        <f>Tab_Data_Flows[[#This Row],[Flow_ID]]&amp;"_"&amp;"material_"&amp;Tab_Data_Flows[[#This Row],[Flow_Data_Year]]</f>
        <v>F_01_02_material_2006</v>
      </c>
      <c r="S209" s="14">
        <f>IF(O209="no",H209,H209*P209)</f>
        <v>396082.10526315798</v>
      </c>
      <c r="T209" s="8" t="s">
        <v>198</v>
      </c>
      <c r="U209" s="143">
        <f>INDEX(Tab_Def_Flows[[Flow_ID]:[CC_DM_source]],MATCH(Tab_Data_Flows[[#This Row],[Flow_Name]],Tab_Def_Flows[Flow_Name],0),11)</f>
        <v>0.6</v>
      </c>
      <c r="V209" s="7" t="str">
        <f>Tab_Data_Flows[[#This Row],[Flow_ID]]&amp;"_"&amp;"WC_"&amp;Tab_Data_Flows[[#This Row],[Flow_Data_Year]]</f>
        <v>F_01_02_WC_2006</v>
      </c>
      <c r="W209" s="7">
        <f>IF(D209="Yes",S209*Tab_Data_Flows[[#This Row],[WC_'[%']]],"N.A.")</f>
        <v>237649.26315789478</v>
      </c>
      <c r="X209" s="7" t="str">
        <f>Tab_Data_Flows[[#This Row],[UoM_Flow_Py]]</f>
        <v>Mg</v>
      </c>
      <c r="Y209" s="143">
        <f>INDEX(Tab_Def_Flows[[Flow_ID]:[CC_DM_source]],MATCH(Tab_Data_Flows[[#This Row],[Flow_Name]],Tab_Def_Flows[Flow_Name],0),14)</f>
        <v>0.4</v>
      </c>
      <c r="Z209" s="7" t="str">
        <f>Tab_Data_Flows[[#This Row],[Flow_ID]]&amp;"_"&amp;"DM_"&amp;Tab_Data_Flows[[#This Row],[Flow_Data_Year]]</f>
        <v>F_01_02_DM_2006</v>
      </c>
      <c r="AA209" s="7">
        <f>IF(E209="Yes",Y209*Tab_Data_Flows[[#This Row],[Flow_Material]],"N.A.")</f>
        <v>158432.8421052632</v>
      </c>
      <c r="AB209" s="7" t="str">
        <f>Tab_Data_Flows[[#This Row],[UoM_Flow_Py]]</f>
        <v>Mg</v>
      </c>
      <c r="AC209" s="143">
        <f>INDEX(Tab_Def_Flows[[Flow_ID]:[CC_DM_source]],MATCH(Tab_Data_Flows[[#This Row],[Flow_Name]],Tab_Def_Flows[Flow_Name],0),17)</f>
        <v>0</v>
      </c>
      <c r="AD209" s="7" t="str">
        <f>Tab_Data_Flows[[#This Row],[Flow_ID]]&amp;"_"&amp;"CC_"&amp;Tab_Data_Flows[[#This Row],[Flow_Data_Year]]</f>
        <v>F_01_02_CC_2006</v>
      </c>
      <c r="AE209" s="7">
        <f>IF(F209="Yes",AC209*Tab_Data_Flows[[#This Row],[Flow_Material]]*Tab_Data_Flows[[#This Row],[DM_'[%']]],"N.A.")</f>
        <v>0</v>
      </c>
      <c r="AF209" s="7" t="str">
        <f>Tab_Data_Flows[[#This Row],[UoM_Flow_Py]]</f>
        <v>Mg</v>
      </c>
      <c r="AG209"/>
    </row>
    <row r="210" spans="1:33" x14ac:dyDescent="0.25">
      <c r="A210" s="9">
        <f t="shared" si="3"/>
        <v>209</v>
      </c>
      <c r="B210" s="7" t="str">
        <f>_xlfn.XLOOKUP(C210,Tab_Def_Flows[Flow_Name],Tab_Def_Flows[Flow_ID],,0,)</f>
        <v>F_01_02</v>
      </c>
      <c r="C210" s="142" t="s">
        <v>599</v>
      </c>
      <c r="D210" s="10" t="str">
        <f>_xlfn.XLOOKUP(C210,Tab_Def_Flows[Flow_Name],Tab_Def_Flows[WC?],,0,)</f>
        <v>Yes</v>
      </c>
      <c r="E210" s="10" t="str">
        <f>_xlfn.XLOOKUP(C210,Tab_Def_Flows[Flow_Name],Tab_Def_Flows[DM?],,0,)</f>
        <v>Yes</v>
      </c>
      <c r="F210" s="10" t="str">
        <f>_xlfn.XLOOKUP(C210,Tab_Def_Flows[Flow_Name],Tab_Def_Flows[CC?],,0,)</f>
        <v>Yes</v>
      </c>
      <c r="G210" s="8">
        <v>2007</v>
      </c>
      <c r="H210" s="23">
        <v>491382.31578947359</v>
      </c>
      <c r="I210" s="8" t="s">
        <v>198</v>
      </c>
      <c r="J210" s="15"/>
      <c r="K210" s="15"/>
      <c r="L210" s="15"/>
      <c r="M210" s="15"/>
      <c r="N210" s="15"/>
      <c r="O210" s="8" t="s">
        <v>6</v>
      </c>
      <c r="P210" s="16"/>
      <c r="Q210" s="8"/>
      <c r="R210" s="7" t="str">
        <f>Tab_Data_Flows[[#This Row],[Flow_ID]]&amp;"_"&amp;"material_"&amp;Tab_Data_Flows[[#This Row],[Flow_Data_Year]]</f>
        <v>F_01_02_material_2007</v>
      </c>
      <c r="S210" s="14">
        <f>IF(O210="no",H210,H210*P210)</f>
        <v>491382.31578947359</v>
      </c>
      <c r="T210" s="8" t="s">
        <v>198</v>
      </c>
      <c r="U210" s="143">
        <f>INDEX(Tab_Def_Flows[[Flow_ID]:[CC_DM_source]],MATCH(Tab_Data_Flows[[#This Row],[Flow_Name]],Tab_Def_Flows[Flow_Name],0),11)</f>
        <v>0.6</v>
      </c>
      <c r="V210" s="7" t="str">
        <f>Tab_Data_Flows[[#This Row],[Flow_ID]]&amp;"_"&amp;"WC_"&amp;Tab_Data_Flows[[#This Row],[Flow_Data_Year]]</f>
        <v>F_01_02_WC_2007</v>
      </c>
      <c r="W210" s="7">
        <f>IF(D210="Yes",S210*Tab_Data_Flows[[#This Row],[WC_'[%']]],"N.A.")</f>
        <v>294829.38947368413</v>
      </c>
      <c r="X210" s="7" t="str">
        <f>Tab_Data_Flows[[#This Row],[UoM_Flow_Py]]</f>
        <v>Mg</v>
      </c>
      <c r="Y210" s="143">
        <f>INDEX(Tab_Def_Flows[[Flow_ID]:[CC_DM_source]],MATCH(Tab_Data_Flows[[#This Row],[Flow_Name]],Tab_Def_Flows[Flow_Name],0),14)</f>
        <v>0.4</v>
      </c>
      <c r="Z210" s="7" t="str">
        <f>Tab_Data_Flows[[#This Row],[Flow_ID]]&amp;"_"&amp;"DM_"&amp;Tab_Data_Flows[[#This Row],[Flow_Data_Year]]</f>
        <v>F_01_02_DM_2007</v>
      </c>
      <c r="AA210" s="7">
        <f>IF(E210="Yes",Y210*Tab_Data_Flows[[#This Row],[Flow_Material]],"N.A.")</f>
        <v>196552.92631578946</v>
      </c>
      <c r="AB210" s="7" t="str">
        <f>Tab_Data_Flows[[#This Row],[UoM_Flow_Py]]</f>
        <v>Mg</v>
      </c>
      <c r="AC210" s="143">
        <f>INDEX(Tab_Def_Flows[[Flow_ID]:[CC_DM_source]],MATCH(Tab_Data_Flows[[#This Row],[Flow_Name]],Tab_Def_Flows[Flow_Name],0),17)</f>
        <v>0</v>
      </c>
      <c r="AD210" s="7" t="str">
        <f>Tab_Data_Flows[[#This Row],[Flow_ID]]&amp;"_"&amp;"CC_"&amp;Tab_Data_Flows[[#This Row],[Flow_Data_Year]]</f>
        <v>F_01_02_CC_2007</v>
      </c>
      <c r="AE210" s="7">
        <f>IF(F210="Yes",AC210*Tab_Data_Flows[[#This Row],[Flow_Material]]*Tab_Data_Flows[[#This Row],[DM_'[%']]],"N.A.")</f>
        <v>0</v>
      </c>
      <c r="AF210" s="7" t="str">
        <f>Tab_Data_Flows[[#This Row],[UoM_Flow_Py]]</f>
        <v>Mg</v>
      </c>
      <c r="AG210"/>
    </row>
    <row r="211" spans="1:33" x14ac:dyDescent="0.25">
      <c r="A211" s="9">
        <f t="shared" si="3"/>
        <v>210</v>
      </c>
      <c r="B211" s="7" t="str">
        <f>_xlfn.XLOOKUP(C211,Tab_Def_Flows[Flow_Name],Tab_Def_Flows[Flow_ID],,0,)</f>
        <v>F_01_02</v>
      </c>
      <c r="C211" s="142" t="s">
        <v>599</v>
      </c>
      <c r="D211" s="10" t="str">
        <f>_xlfn.XLOOKUP(C211,Tab_Def_Flows[Flow_Name],Tab_Def_Flows[WC?],,0,)</f>
        <v>Yes</v>
      </c>
      <c r="E211" s="10" t="str">
        <f>_xlfn.XLOOKUP(C211,Tab_Def_Flows[Flow_Name],Tab_Def_Flows[DM?],,0,)</f>
        <v>Yes</v>
      </c>
      <c r="F211" s="10" t="str">
        <f>_xlfn.XLOOKUP(C211,Tab_Def_Flows[Flow_Name],Tab_Def_Flows[CC?],,0,)</f>
        <v>Yes</v>
      </c>
      <c r="G211" s="8">
        <v>2008</v>
      </c>
      <c r="H211" s="23">
        <v>380148.6315789473</v>
      </c>
      <c r="I211" s="8" t="s">
        <v>198</v>
      </c>
      <c r="J211" s="15"/>
      <c r="K211" s="15"/>
      <c r="L211" s="15"/>
      <c r="M211" s="15"/>
      <c r="N211" s="15"/>
      <c r="O211" s="8" t="s">
        <v>6</v>
      </c>
      <c r="P211" s="16"/>
      <c r="Q211" s="8"/>
      <c r="R211" s="7" t="str">
        <f>Tab_Data_Flows[[#This Row],[Flow_ID]]&amp;"_"&amp;"material_"&amp;Tab_Data_Flows[[#This Row],[Flow_Data_Year]]</f>
        <v>F_01_02_material_2008</v>
      </c>
      <c r="S211" s="14">
        <f>IF(O211="no",H211,H211*P211)</f>
        <v>380148.6315789473</v>
      </c>
      <c r="T211" s="8" t="s">
        <v>198</v>
      </c>
      <c r="U211" s="143">
        <f>INDEX(Tab_Def_Flows[[Flow_ID]:[CC_DM_source]],MATCH(Tab_Data_Flows[[#This Row],[Flow_Name]],Tab_Def_Flows[Flow_Name],0),11)</f>
        <v>0.6</v>
      </c>
      <c r="V211" s="7" t="str">
        <f>Tab_Data_Flows[[#This Row],[Flow_ID]]&amp;"_"&amp;"WC_"&amp;Tab_Data_Flows[[#This Row],[Flow_Data_Year]]</f>
        <v>F_01_02_WC_2008</v>
      </c>
      <c r="W211" s="7">
        <f>IF(D211="Yes",S211*Tab_Data_Flows[[#This Row],[WC_'[%']]],"N.A.")</f>
        <v>228089.17894736837</v>
      </c>
      <c r="X211" s="7" t="str">
        <f>Tab_Data_Flows[[#This Row],[UoM_Flow_Py]]</f>
        <v>Mg</v>
      </c>
      <c r="Y211" s="143">
        <f>INDEX(Tab_Def_Flows[[Flow_ID]:[CC_DM_source]],MATCH(Tab_Data_Flows[[#This Row],[Flow_Name]],Tab_Def_Flows[Flow_Name],0),14)</f>
        <v>0.4</v>
      </c>
      <c r="Z211" s="7" t="str">
        <f>Tab_Data_Flows[[#This Row],[Flow_ID]]&amp;"_"&amp;"DM_"&amp;Tab_Data_Flows[[#This Row],[Flow_Data_Year]]</f>
        <v>F_01_02_DM_2008</v>
      </c>
      <c r="AA211" s="7">
        <f>IF(E211="Yes",Y211*Tab_Data_Flows[[#This Row],[Flow_Material]],"N.A.")</f>
        <v>152059.45263157893</v>
      </c>
      <c r="AB211" s="7" t="str">
        <f>Tab_Data_Flows[[#This Row],[UoM_Flow_Py]]</f>
        <v>Mg</v>
      </c>
      <c r="AC211" s="143">
        <f>INDEX(Tab_Def_Flows[[Flow_ID]:[CC_DM_source]],MATCH(Tab_Data_Flows[[#This Row],[Flow_Name]],Tab_Def_Flows[Flow_Name],0),17)</f>
        <v>0</v>
      </c>
      <c r="AD211" s="7" t="str">
        <f>Tab_Data_Flows[[#This Row],[Flow_ID]]&amp;"_"&amp;"CC_"&amp;Tab_Data_Flows[[#This Row],[Flow_Data_Year]]</f>
        <v>F_01_02_CC_2008</v>
      </c>
      <c r="AE211" s="7">
        <f>IF(F211="Yes",AC211*Tab_Data_Flows[[#This Row],[Flow_Material]]*Tab_Data_Flows[[#This Row],[DM_'[%']]],"N.A.")</f>
        <v>0</v>
      </c>
      <c r="AF211" s="7" t="str">
        <f>Tab_Data_Flows[[#This Row],[UoM_Flow_Py]]</f>
        <v>Mg</v>
      </c>
      <c r="AG211"/>
    </row>
    <row r="212" spans="1:33" x14ac:dyDescent="0.25">
      <c r="A212" s="9">
        <f t="shared" si="3"/>
        <v>211</v>
      </c>
      <c r="B212" s="7" t="str">
        <f>_xlfn.XLOOKUP(C212,Tab_Def_Flows[Flow_Name],Tab_Def_Flows[Flow_ID],,0,)</f>
        <v>F_01_02</v>
      </c>
      <c r="C212" s="142" t="s">
        <v>599</v>
      </c>
      <c r="D212" s="10" t="str">
        <f>_xlfn.XLOOKUP(C212,Tab_Def_Flows[Flow_Name],Tab_Def_Flows[WC?],,0,)</f>
        <v>Yes</v>
      </c>
      <c r="E212" s="10" t="str">
        <f>_xlfn.XLOOKUP(C212,Tab_Def_Flows[Flow_Name],Tab_Def_Flows[DM?],,0,)</f>
        <v>Yes</v>
      </c>
      <c r="F212" s="10" t="str">
        <f>_xlfn.XLOOKUP(C212,Tab_Def_Flows[Flow_Name],Tab_Def_Flows[CC?],,0,)</f>
        <v>Yes</v>
      </c>
      <c r="G212" s="8">
        <v>2009</v>
      </c>
      <c r="H212" s="23">
        <v>321926.31578947359</v>
      </c>
      <c r="I212" s="8" t="s">
        <v>198</v>
      </c>
      <c r="J212" s="15"/>
      <c r="K212" s="15"/>
      <c r="L212" s="15"/>
      <c r="M212" s="15"/>
      <c r="N212" s="15"/>
      <c r="O212" s="8" t="s">
        <v>6</v>
      </c>
      <c r="P212" s="16"/>
      <c r="Q212" s="8"/>
      <c r="R212" s="7" t="str">
        <f>Tab_Data_Flows[[#This Row],[Flow_ID]]&amp;"_"&amp;"material_"&amp;Tab_Data_Flows[[#This Row],[Flow_Data_Year]]</f>
        <v>F_01_02_material_2009</v>
      </c>
      <c r="S212" s="14">
        <f>IF(O212="no",H212,H212*P212)</f>
        <v>321926.31578947359</v>
      </c>
      <c r="T212" s="8" t="s">
        <v>198</v>
      </c>
      <c r="U212" s="143">
        <f>INDEX(Tab_Def_Flows[[Flow_ID]:[CC_DM_source]],MATCH(Tab_Data_Flows[[#This Row],[Flow_Name]],Tab_Def_Flows[Flow_Name],0),11)</f>
        <v>0.6</v>
      </c>
      <c r="V212" s="7" t="str">
        <f>Tab_Data_Flows[[#This Row],[Flow_ID]]&amp;"_"&amp;"WC_"&amp;Tab_Data_Flows[[#This Row],[Flow_Data_Year]]</f>
        <v>F_01_02_WC_2009</v>
      </c>
      <c r="W212" s="7">
        <f>IF(D212="Yes",S212*Tab_Data_Flows[[#This Row],[WC_'[%']]],"N.A.")</f>
        <v>193155.78947368416</v>
      </c>
      <c r="X212" s="7" t="str">
        <f>Tab_Data_Flows[[#This Row],[UoM_Flow_Py]]</f>
        <v>Mg</v>
      </c>
      <c r="Y212" s="143">
        <f>INDEX(Tab_Def_Flows[[Flow_ID]:[CC_DM_source]],MATCH(Tab_Data_Flows[[#This Row],[Flow_Name]],Tab_Def_Flows[Flow_Name],0),14)</f>
        <v>0.4</v>
      </c>
      <c r="Z212" s="7" t="str">
        <f>Tab_Data_Flows[[#This Row],[Flow_ID]]&amp;"_"&amp;"DM_"&amp;Tab_Data_Flows[[#This Row],[Flow_Data_Year]]</f>
        <v>F_01_02_DM_2009</v>
      </c>
      <c r="AA212" s="7">
        <f>IF(E212="Yes",Y212*Tab_Data_Flows[[#This Row],[Flow_Material]],"N.A.")</f>
        <v>128770.52631578944</v>
      </c>
      <c r="AB212" s="7" t="str">
        <f>Tab_Data_Flows[[#This Row],[UoM_Flow_Py]]</f>
        <v>Mg</v>
      </c>
      <c r="AC212" s="143">
        <f>INDEX(Tab_Def_Flows[[Flow_ID]:[CC_DM_source]],MATCH(Tab_Data_Flows[[#This Row],[Flow_Name]],Tab_Def_Flows[Flow_Name],0),17)</f>
        <v>0</v>
      </c>
      <c r="AD212" s="7" t="str">
        <f>Tab_Data_Flows[[#This Row],[Flow_ID]]&amp;"_"&amp;"CC_"&amp;Tab_Data_Flows[[#This Row],[Flow_Data_Year]]</f>
        <v>F_01_02_CC_2009</v>
      </c>
      <c r="AE212" s="7">
        <f>IF(F212="Yes",AC212*Tab_Data_Flows[[#This Row],[Flow_Material]]*Tab_Data_Flows[[#This Row],[DM_'[%']]],"N.A.")</f>
        <v>0</v>
      </c>
      <c r="AF212" s="7" t="str">
        <f>Tab_Data_Flows[[#This Row],[UoM_Flow_Py]]</f>
        <v>Mg</v>
      </c>
      <c r="AG212"/>
    </row>
    <row r="213" spans="1:33" x14ac:dyDescent="0.25">
      <c r="A213" s="9">
        <f t="shared" si="3"/>
        <v>212</v>
      </c>
      <c r="B213" s="7" t="str">
        <f>_xlfn.XLOOKUP(C213,Tab_Def_Flows[Flow_Name],Tab_Def_Flows[Flow_ID],,0,)</f>
        <v>F_01_02</v>
      </c>
      <c r="C213" s="142" t="s">
        <v>599</v>
      </c>
      <c r="D213" s="10" t="str">
        <f>_xlfn.XLOOKUP(C213,Tab_Def_Flows[Flow_Name],Tab_Def_Flows[WC?],,0,)</f>
        <v>Yes</v>
      </c>
      <c r="E213" s="10" t="str">
        <f>_xlfn.XLOOKUP(C213,Tab_Def_Flows[Flow_Name],Tab_Def_Flows[DM?],,0,)</f>
        <v>Yes</v>
      </c>
      <c r="F213" s="10" t="str">
        <f>_xlfn.XLOOKUP(C213,Tab_Def_Flows[Flow_Name],Tab_Def_Flows[CC?],,0,)</f>
        <v>Yes</v>
      </c>
      <c r="G213" s="8">
        <v>2010</v>
      </c>
      <c r="H213" s="23">
        <v>399789.89473684208</v>
      </c>
      <c r="I213" s="8" t="s">
        <v>198</v>
      </c>
      <c r="J213" s="15"/>
      <c r="K213" s="15"/>
      <c r="L213" s="15"/>
      <c r="M213" s="15"/>
      <c r="N213" s="15"/>
      <c r="O213" s="8" t="s">
        <v>6</v>
      </c>
      <c r="P213" s="16"/>
      <c r="Q213" s="8"/>
      <c r="R213" s="7" t="str">
        <f>Tab_Data_Flows[[#This Row],[Flow_ID]]&amp;"_"&amp;"material_"&amp;Tab_Data_Flows[[#This Row],[Flow_Data_Year]]</f>
        <v>F_01_02_material_2010</v>
      </c>
      <c r="S213" s="14">
        <f>IF(O213="no",H213,H213*P213)</f>
        <v>399789.89473684208</v>
      </c>
      <c r="T213" s="8" t="s">
        <v>198</v>
      </c>
      <c r="U213" s="143">
        <f>INDEX(Tab_Def_Flows[[Flow_ID]:[CC_DM_source]],MATCH(Tab_Data_Flows[[#This Row],[Flow_Name]],Tab_Def_Flows[Flow_Name],0),11)</f>
        <v>0.6</v>
      </c>
      <c r="V213" s="7" t="str">
        <f>Tab_Data_Flows[[#This Row],[Flow_ID]]&amp;"_"&amp;"WC_"&amp;Tab_Data_Flows[[#This Row],[Flow_Data_Year]]</f>
        <v>F_01_02_WC_2010</v>
      </c>
      <c r="W213" s="7">
        <f>IF(D213="Yes",S213*Tab_Data_Flows[[#This Row],[WC_'[%']]],"N.A.")</f>
        <v>239873.93684210523</v>
      </c>
      <c r="X213" s="7" t="str">
        <f>Tab_Data_Flows[[#This Row],[UoM_Flow_Py]]</f>
        <v>Mg</v>
      </c>
      <c r="Y213" s="143">
        <f>INDEX(Tab_Def_Flows[[Flow_ID]:[CC_DM_source]],MATCH(Tab_Data_Flows[[#This Row],[Flow_Name]],Tab_Def_Flows[Flow_Name],0),14)</f>
        <v>0.4</v>
      </c>
      <c r="Z213" s="7" t="str">
        <f>Tab_Data_Flows[[#This Row],[Flow_ID]]&amp;"_"&amp;"DM_"&amp;Tab_Data_Flows[[#This Row],[Flow_Data_Year]]</f>
        <v>F_01_02_DM_2010</v>
      </c>
      <c r="AA213" s="7">
        <f>IF(E213="Yes",Y213*Tab_Data_Flows[[#This Row],[Flow_Material]],"N.A.")</f>
        <v>159915.95789473684</v>
      </c>
      <c r="AB213" s="7" t="str">
        <f>Tab_Data_Flows[[#This Row],[UoM_Flow_Py]]</f>
        <v>Mg</v>
      </c>
      <c r="AC213" s="143">
        <f>INDEX(Tab_Def_Flows[[Flow_ID]:[CC_DM_source]],MATCH(Tab_Data_Flows[[#This Row],[Flow_Name]],Tab_Def_Flows[Flow_Name],0),17)</f>
        <v>0</v>
      </c>
      <c r="AD213" s="7" t="str">
        <f>Tab_Data_Flows[[#This Row],[Flow_ID]]&amp;"_"&amp;"CC_"&amp;Tab_Data_Flows[[#This Row],[Flow_Data_Year]]</f>
        <v>F_01_02_CC_2010</v>
      </c>
      <c r="AE213" s="7">
        <f>IF(F213="Yes",AC213*Tab_Data_Flows[[#This Row],[Flow_Material]]*Tab_Data_Flows[[#This Row],[DM_'[%']]],"N.A.")</f>
        <v>0</v>
      </c>
      <c r="AF213" s="7" t="str">
        <f>Tab_Data_Flows[[#This Row],[UoM_Flow_Py]]</f>
        <v>Mg</v>
      </c>
      <c r="AG213"/>
    </row>
    <row r="214" spans="1:33" x14ac:dyDescent="0.25">
      <c r="A214" s="9">
        <f t="shared" si="3"/>
        <v>213</v>
      </c>
      <c r="B214" s="7" t="str">
        <f>_xlfn.XLOOKUP(C214,Tab_Def_Flows[Flow_Name],Tab_Def_Flows[Flow_ID],,0,)</f>
        <v>F_01_02</v>
      </c>
      <c r="C214" s="142" t="s">
        <v>599</v>
      </c>
      <c r="D214" s="10" t="str">
        <f>_xlfn.XLOOKUP(C214,Tab_Def_Flows[Flow_Name],Tab_Def_Flows[WC?],,0,)</f>
        <v>Yes</v>
      </c>
      <c r="E214" s="10" t="str">
        <f>_xlfn.XLOOKUP(C214,Tab_Def_Flows[Flow_Name],Tab_Def_Flows[DM?],,0,)</f>
        <v>Yes</v>
      </c>
      <c r="F214" s="10" t="str">
        <f>_xlfn.XLOOKUP(C214,Tab_Def_Flows[Flow_Name],Tab_Def_Flows[CC?],,0,)</f>
        <v>Yes</v>
      </c>
      <c r="G214" s="8">
        <v>2011</v>
      </c>
      <c r="H214" s="23">
        <v>374286.31578947365</v>
      </c>
      <c r="I214" s="8" t="s">
        <v>198</v>
      </c>
      <c r="J214" s="15"/>
      <c r="K214" s="15"/>
      <c r="L214" s="15"/>
      <c r="M214" s="15"/>
      <c r="N214" s="15"/>
      <c r="O214" s="8" t="s">
        <v>6</v>
      </c>
      <c r="P214" s="16"/>
      <c r="Q214" s="8"/>
      <c r="R214" s="7" t="str">
        <f>Tab_Data_Flows[[#This Row],[Flow_ID]]&amp;"_"&amp;"material_"&amp;Tab_Data_Flows[[#This Row],[Flow_Data_Year]]</f>
        <v>F_01_02_material_2011</v>
      </c>
      <c r="S214" s="14">
        <f>IF(O214="no",H214,H214*P214)</f>
        <v>374286.31578947365</v>
      </c>
      <c r="T214" s="8" t="s">
        <v>198</v>
      </c>
      <c r="U214" s="143">
        <f>INDEX(Tab_Def_Flows[[Flow_ID]:[CC_DM_source]],MATCH(Tab_Data_Flows[[#This Row],[Flow_Name]],Tab_Def_Flows[Flow_Name],0),11)</f>
        <v>0.6</v>
      </c>
      <c r="V214" s="7" t="str">
        <f>Tab_Data_Flows[[#This Row],[Flow_ID]]&amp;"_"&amp;"WC_"&amp;Tab_Data_Flows[[#This Row],[Flow_Data_Year]]</f>
        <v>F_01_02_WC_2011</v>
      </c>
      <c r="W214" s="7">
        <f>IF(D214="Yes",S214*Tab_Data_Flows[[#This Row],[WC_'[%']]],"N.A.")</f>
        <v>224571.78947368418</v>
      </c>
      <c r="X214" s="7" t="str">
        <f>Tab_Data_Flows[[#This Row],[UoM_Flow_Py]]</f>
        <v>Mg</v>
      </c>
      <c r="Y214" s="143">
        <f>INDEX(Tab_Def_Flows[[Flow_ID]:[CC_DM_source]],MATCH(Tab_Data_Flows[[#This Row],[Flow_Name]],Tab_Def_Flows[Flow_Name],0),14)</f>
        <v>0.4</v>
      </c>
      <c r="Z214" s="7" t="str">
        <f>Tab_Data_Flows[[#This Row],[Flow_ID]]&amp;"_"&amp;"DM_"&amp;Tab_Data_Flows[[#This Row],[Flow_Data_Year]]</f>
        <v>F_01_02_DM_2011</v>
      </c>
      <c r="AA214" s="7">
        <f>IF(E214="Yes",Y214*Tab_Data_Flows[[#This Row],[Flow_Material]],"N.A.")</f>
        <v>149714.52631578947</v>
      </c>
      <c r="AB214" s="7" t="str">
        <f>Tab_Data_Flows[[#This Row],[UoM_Flow_Py]]</f>
        <v>Mg</v>
      </c>
      <c r="AC214" s="143">
        <f>INDEX(Tab_Def_Flows[[Flow_ID]:[CC_DM_source]],MATCH(Tab_Data_Flows[[#This Row],[Flow_Name]],Tab_Def_Flows[Flow_Name],0),17)</f>
        <v>0</v>
      </c>
      <c r="AD214" s="7" t="str">
        <f>Tab_Data_Flows[[#This Row],[Flow_ID]]&amp;"_"&amp;"CC_"&amp;Tab_Data_Flows[[#This Row],[Flow_Data_Year]]</f>
        <v>F_01_02_CC_2011</v>
      </c>
      <c r="AE214" s="7">
        <f>IF(F214="Yes",AC214*Tab_Data_Flows[[#This Row],[Flow_Material]]*Tab_Data_Flows[[#This Row],[DM_'[%']]],"N.A.")</f>
        <v>0</v>
      </c>
      <c r="AF214" s="7" t="str">
        <f>Tab_Data_Flows[[#This Row],[UoM_Flow_Py]]</f>
        <v>Mg</v>
      </c>
      <c r="AG214"/>
    </row>
    <row r="215" spans="1:33" x14ac:dyDescent="0.25">
      <c r="A215" s="9">
        <f t="shared" si="3"/>
        <v>214</v>
      </c>
      <c r="B215" s="7" t="str">
        <f>_xlfn.XLOOKUP(C215,Tab_Def_Flows[Flow_Name],Tab_Def_Flows[Flow_ID],,0,)</f>
        <v>F_01_02</v>
      </c>
      <c r="C215" s="142" t="s">
        <v>599</v>
      </c>
      <c r="D215" s="10" t="str">
        <f>_xlfn.XLOOKUP(C215,Tab_Def_Flows[Flow_Name],Tab_Def_Flows[WC?],,0,)</f>
        <v>Yes</v>
      </c>
      <c r="E215" s="10" t="str">
        <f>_xlfn.XLOOKUP(C215,Tab_Def_Flows[Flow_Name],Tab_Def_Flows[DM?],,0,)</f>
        <v>Yes</v>
      </c>
      <c r="F215" s="10" t="str">
        <f>_xlfn.XLOOKUP(C215,Tab_Def_Flows[Flow_Name],Tab_Def_Flows[CC?],,0,)</f>
        <v>Yes</v>
      </c>
      <c r="G215" s="8">
        <v>2012</v>
      </c>
      <c r="H215" s="23">
        <v>374286.31578947365</v>
      </c>
      <c r="I215" s="8" t="s">
        <v>198</v>
      </c>
      <c r="J215" s="15"/>
      <c r="K215" s="15"/>
      <c r="L215" s="15"/>
      <c r="M215" s="15"/>
      <c r="N215" s="15"/>
      <c r="O215" s="8" t="s">
        <v>6</v>
      </c>
      <c r="P215" s="16"/>
      <c r="Q215" s="8"/>
      <c r="R215" s="7" t="str">
        <f>Tab_Data_Flows[[#This Row],[Flow_ID]]&amp;"_"&amp;"material_"&amp;Tab_Data_Flows[[#This Row],[Flow_Data_Year]]</f>
        <v>F_01_02_material_2012</v>
      </c>
      <c r="S215" s="14">
        <f>IF(O215="no",H215,H215*P215)</f>
        <v>374286.31578947365</v>
      </c>
      <c r="T215" s="8" t="s">
        <v>198</v>
      </c>
      <c r="U215" s="143">
        <f>INDEX(Tab_Def_Flows[[Flow_ID]:[CC_DM_source]],MATCH(Tab_Data_Flows[[#This Row],[Flow_Name]],Tab_Def_Flows[Flow_Name],0),11)</f>
        <v>0.6</v>
      </c>
      <c r="V215" s="7" t="str">
        <f>Tab_Data_Flows[[#This Row],[Flow_ID]]&amp;"_"&amp;"WC_"&amp;Tab_Data_Flows[[#This Row],[Flow_Data_Year]]</f>
        <v>F_01_02_WC_2012</v>
      </c>
      <c r="W215" s="7">
        <f>IF(D215="Yes",S215*Tab_Data_Flows[[#This Row],[WC_'[%']]],"N.A.")</f>
        <v>224571.78947368418</v>
      </c>
      <c r="X215" s="7" t="str">
        <f>Tab_Data_Flows[[#This Row],[UoM_Flow_Py]]</f>
        <v>Mg</v>
      </c>
      <c r="Y215" s="143">
        <f>INDEX(Tab_Def_Flows[[Flow_ID]:[CC_DM_source]],MATCH(Tab_Data_Flows[[#This Row],[Flow_Name]],Tab_Def_Flows[Flow_Name],0),14)</f>
        <v>0.4</v>
      </c>
      <c r="Z215" s="7" t="str">
        <f>Tab_Data_Flows[[#This Row],[Flow_ID]]&amp;"_"&amp;"DM_"&amp;Tab_Data_Flows[[#This Row],[Flow_Data_Year]]</f>
        <v>F_01_02_DM_2012</v>
      </c>
      <c r="AA215" s="7">
        <f>IF(E215="Yes",Y215*Tab_Data_Flows[[#This Row],[Flow_Material]],"N.A.")</f>
        <v>149714.52631578947</v>
      </c>
      <c r="AB215" s="7" t="str">
        <f>Tab_Data_Flows[[#This Row],[UoM_Flow_Py]]</f>
        <v>Mg</v>
      </c>
      <c r="AC215" s="143">
        <f>INDEX(Tab_Def_Flows[[Flow_ID]:[CC_DM_source]],MATCH(Tab_Data_Flows[[#This Row],[Flow_Name]],Tab_Def_Flows[Flow_Name],0),17)</f>
        <v>0</v>
      </c>
      <c r="AD215" s="7" t="str">
        <f>Tab_Data_Flows[[#This Row],[Flow_ID]]&amp;"_"&amp;"CC_"&amp;Tab_Data_Flows[[#This Row],[Flow_Data_Year]]</f>
        <v>F_01_02_CC_2012</v>
      </c>
      <c r="AE215" s="7">
        <f>IF(F215="Yes",AC215*Tab_Data_Flows[[#This Row],[Flow_Material]]*Tab_Data_Flows[[#This Row],[DM_'[%']]],"N.A.")</f>
        <v>0</v>
      </c>
      <c r="AF215" s="7" t="str">
        <f>Tab_Data_Flows[[#This Row],[UoM_Flow_Py]]</f>
        <v>Mg</v>
      </c>
      <c r="AG215"/>
    </row>
    <row r="216" spans="1:33" x14ac:dyDescent="0.25">
      <c r="A216" s="9">
        <f t="shared" si="3"/>
        <v>215</v>
      </c>
      <c r="B216" s="7" t="str">
        <f>_xlfn.XLOOKUP(C216,Tab_Def_Flows[Flow_Name],Tab_Def_Flows[Flow_ID],,0,)</f>
        <v>F_01_02</v>
      </c>
      <c r="C216" s="142" t="s">
        <v>599</v>
      </c>
      <c r="D216" s="10" t="str">
        <f>_xlfn.XLOOKUP(C216,Tab_Def_Flows[Flow_Name],Tab_Def_Flows[WC?],,0,)</f>
        <v>Yes</v>
      </c>
      <c r="E216" s="10" t="str">
        <f>_xlfn.XLOOKUP(C216,Tab_Def_Flows[Flow_Name],Tab_Def_Flows[DM?],,0,)</f>
        <v>Yes</v>
      </c>
      <c r="F216" s="10" t="str">
        <f>_xlfn.XLOOKUP(C216,Tab_Def_Flows[Flow_Name],Tab_Def_Flows[CC?],,0,)</f>
        <v>Yes</v>
      </c>
      <c r="G216" s="8">
        <v>2013</v>
      </c>
      <c r="H216" s="23">
        <v>318819.78947368416</v>
      </c>
      <c r="I216" s="8" t="s">
        <v>198</v>
      </c>
      <c r="J216" s="15"/>
      <c r="K216" s="15"/>
      <c r="L216" s="15"/>
      <c r="M216" s="15"/>
      <c r="N216" s="15"/>
      <c r="O216" s="8" t="s">
        <v>6</v>
      </c>
      <c r="P216" s="16"/>
      <c r="Q216" s="8"/>
      <c r="R216" s="7" t="str">
        <f>Tab_Data_Flows[[#This Row],[Flow_ID]]&amp;"_"&amp;"material_"&amp;Tab_Data_Flows[[#This Row],[Flow_Data_Year]]</f>
        <v>F_01_02_material_2013</v>
      </c>
      <c r="S216" s="14">
        <f>IF(O216="no",H216,H216*P216)</f>
        <v>318819.78947368416</v>
      </c>
      <c r="T216" s="8" t="s">
        <v>198</v>
      </c>
      <c r="U216" s="143">
        <f>INDEX(Tab_Def_Flows[[Flow_ID]:[CC_DM_source]],MATCH(Tab_Data_Flows[[#This Row],[Flow_Name]],Tab_Def_Flows[Flow_Name],0),11)</f>
        <v>0.6</v>
      </c>
      <c r="V216" s="7" t="str">
        <f>Tab_Data_Flows[[#This Row],[Flow_ID]]&amp;"_"&amp;"WC_"&amp;Tab_Data_Flows[[#This Row],[Flow_Data_Year]]</f>
        <v>F_01_02_WC_2013</v>
      </c>
      <c r="W216" s="7">
        <f>IF(D216="Yes",S216*Tab_Data_Flows[[#This Row],[WC_'[%']]],"N.A.")</f>
        <v>191291.8736842105</v>
      </c>
      <c r="X216" s="7" t="str">
        <f>Tab_Data_Flows[[#This Row],[UoM_Flow_Py]]</f>
        <v>Mg</v>
      </c>
      <c r="Y216" s="143">
        <f>INDEX(Tab_Def_Flows[[Flow_ID]:[CC_DM_source]],MATCH(Tab_Data_Flows[[#This Row],[Flow_Name]],Tab_Def_Flows[Flow_Name],0),14)</f>
        <v>0.4</v>
      </c>
      <c r="Z216" s="7" t="str">
        <f>Tab_Data_Flows[[#This Row],[Flow_ID]]&amp;"_"&amp;"DM_"&amp;Tab_Data_Flows[[#This Row],[Flow_Data_Year]]</f>
        <v>F_01_02_DM_2013</v>
      </c>
      <c r="AA216" s="7">
        <f>IF(E216="Yes",Y216*Tab_Data_Flows[[#This Row],[Flow_Material]],"N.A.")</f>
        <v>127527.91578947367</v>
      </c>
      <c r="AB216" s="7" t="str">
        <f>Tab_Data_Flows[[#This Row],[UoM_Flow_Py]]</f>
        <v>Mg</v>
      </c>
      <c r="AC216" s="143">
        <f>INDEX(Tab_Def_Flows[[Flow_ID]:[CC_DM_source]],MATCH(Tab_Data_Flows[[#This Row],[Flow_Name]],Tab_Def_Flows[Flow_Name],0),17)</f>
        <v>0</v>
      </c>
      <c r="AD216" s="7" t="str">
        <f>Tab_Data_Flows[[#This Row],[Flow_ID]]&amp;"_"&amp;"CC_"&amp;Tab_Data_Flows[[#This Row],[Flow_Data_Year]]</f>
        <v>F_01_02_CC_2013</v>
      </c>
      <c r="AE216" s="7">
        <f>IF(F216="Yes",AC216*Tab_Data_Flows[[#This Row],[Flow_Material]]*Tab_Data_Flows[[#This Row],[DM_'[%']]],"N.A.")</f>
        <v>0</v>
      </c>
      <c r="AF216" s="7" t="str">
        <f>Tab_Data_Flows[[#This Row],[UoM_Flow_Py]]</f>
        <v>Mg</v>
      </c>
      <c r="AG216"/>
    </row>
    <row r="217" spans="1:33" x14ac:dyDescent="0.25">
      <c r="A217" s="9">
        <f t="shared" si="3"/>
        <v>216</v>
      </c>
      <c r="B217" s="7" t="str">
        <f>_xlfn.XLOOKUP(C217,Tab_Def_Flows[Flow_Name],Tab_Def_Flows[Flow_ID],,0,)</f>
        <v>F_01_02</v>
      </c>
      <c r="C217" s="142" t="s">
        <v>599</v>
      </c>
      <c r="D217" s="10" t="str">
        <f>_xlfn.XLOOKUP(C217,Tab_Def_Flows[Flow_Name],Tab_Def_Flows[WC?],,0,)</f>
        <v>Yes</v>
      </c>
      <c r="E217" s="10" t="str">
        <f>_xlfn.XLOOKUP(C217,Tab_Def_Flows[Flow_Name],Tab_Def_Flows[DM?],,0,)</f>
        <v>Yes</v>
      </c>
      <c r="F217" s="10" t="str">
        <f>_xlfn.XLOOKUP(C217,Tab_Def_Flows[Flow_Name],Tab_Def_Flows[CC?],,0,)</f>
        <v>Yes</v>
      </c>
      <c r="G217" s="8">
        <v>2014</v>
      </c>
      <c r="H217" s="23">
        <v>344624</v>
      </c>
      <c r="I217" s="8" t="s">
        <v>198</v>
      </c>
      <c r="J217" s="15"/>
      <c r="K217" s="15"/>
      <c r="L217" s="15"/>
      <c r="M217" s="15"/>
      <c r="N217" s="15"/>
      <c r="O217" s="8" t="s">
        <v>6</v>
      </c>
      <c r="P217" s="16"/>
      <c r="Q217" s="8"/>
      <c r="R217" s="7" t="str">
        <f>Tab_Data_Flows[[#This Row],[Flow_ID]]&amp;"_"&amp;"material_"&amp;Tab_Data_Flows[[#This Row],[Flow_Data_Year]]</f>
        <v>F_01_02_material_2014</v>
      </c>
      <c r="S217" s="14">
        <f>IF(O217="no",H217,H217*P217)</f>
        <v>344624</v>
      </c>
      <c r="T217" s="8" t="s">
        <v>198</v>
      </c>
      <c r="U217" s="143">
        <f>INDEX(Tab_Def_Flows[[Flow_ID]:[CC_DM_source]],MATCH(Tab_Data_Flows[[#This Row],[Flow_Name]],Tab_Def_Flows[Flow_Name],0),11)</f>
        <v>0.6</v>
      </c>
      <c r="V217" s="7" t="str">
        <f>Tab_Data_Flows[[#This Row],[Flow_ID]]&amp;"_"&amp;"WC_"&amp;Tab_Data_Flows[[#This Row],[Flow_Data_Year]]</f>
        <v>F_01_02_WC_2014</v>
      </c>
      <c r="W217" s="7">
        <f>IF(D217="Yes",S217*Tab_Data_Flows[[#This Row],[WC_'[%']]],"N.A.")</f>
        <v>206774.39999999999</v>
      </c>
      <c r="X217" s="7" t="str">
        <f>Tab_Data_Flows[[#This Row],[UoM_Flow_Py]]</f>
        <v>Mg</v>
      </c>
      <c r="Y217" s="143">
        <f>INDEX(Tab_Def_Flows[[Flow_ID]:[CC_DM_source]],MATCH(Tab_Data_Flows[[#This Row],[Flow_Name]],Tab_Def_Flows[Flow_Name],0),14)</f>
        <v>0.4</v>
      </c>
      <c r="Z217" s="7" t="str">
        <f>Tab_Data_Flows[[#This Row],[Flow_ID]]&amp;"_"&amp;"DM_"&amp;Tab_Data_Flows[[#This Row],[Flow_Data_Year]]</f>
        <v>F_01_02_DM_2014</v>
      </c>
      <c r="AA217" s="7">
        <f>IF(E217="Yes",Y217*Tab_Data_Flows[[#This Row],[Flow_Material]],"N.A.")</f>
        <v>137849.60000000001</v>
      </c>
      <c r="AB217" s="7" t="str">
        <f>Tab_Data_Flows[[#This Row],[UoM_Flow_Py]]</f>
        <v>Mg</v>
      </c>
      <c r="AC217" s="143">
        <f>INDEX(Tab_Def_Flows[[Flow_ID]:[CC_DM_source]],MATCH(Tab_Data_Flows[[#This Row],[Flow_Name]],Tab_Def_Flows[Flow_Name],0),17)</f>
        <v>0</v>
      </c>
      <c r="AD217" s="7" t="str">
        <f>Tab_Data_Flows[[#This Row],[Flow_ID]]&amp;"_"&amp;"CC_"&amp;Tab_Data_Flows[[#This Row],[Flow_Data_Year]]</f>
        <v>F_01_02_CC_2014</v>
      </c>
      <c r="AE217" s="7">
        <f>IF(F217="Yes",AC217*Tab_Data_Flows[[#This Row],[Flow_Material]]*Tab_Data_Flows[[#This Row],[DM_'[%']]],"N.A.")</f>
        <v>0</v>
      </c>
      <c r="AF217" s="7" t="str">
        <f>Tab_Data_Flows[[#This Row],[UoM_Flow_Py]]</f>
        <v>Mg</v>
      </c>
      <c r="AG217"/>
    </row>
    <row r="218" spans="1:33" x14ac:dyDescent="0.25">
      <c r="A218" s="9">
        <f t="shared" si="3"/>
        <v>217</v>
      </c>
      <c r="B218" s="7" t="str">
        <f>_xlfn.XLOOKUP(C218,Tab_Def_Flows[Flow_Name],Tab_Def_Flows[Flow_ID],,0,)</f>
        <v>F_01_02</v>
      </c>
      <c r="C218" s="142" t="s">
        <v>599</v>
      </c>
      <c r="D218" s="10" t="str">
        <f>_xlfn.XLOOKUP(C218,Tab_Def_Flows[Flow_Name],Tab_Def_Flows[WC?],,0,)</f>
        <v>Yes</v>
      </c>
      <c r="E218" s="10" t="str">
        <f>_xlfn.XLOOKUP(C218,Tab_Def_Flows[Flow_Name],Tab_Def_Flows[DM?],,0,)</f>
        <v>Yes</v>
      </c>
      <c r="F218" s="10" t="str">
        <f>_xlfn.XLOOKUP(C218,Tab_Def_Flows[Flow_Name],Tab_Def_Flows[CC?],,0,)</f>
        <v>Yes</v>
      </c>
      <c r="G218" s="8">
        <v>2015</v>
      </c>
      <c r="H218" s="23">
        <v>354745.26315789472</v>
      </c>
      <c r="I218" s="8" t="s">
        <v>198</v>
      </c>
      <c r="J218" s="15"/>
      <c r="K218" s="15"/>
      <c r="L218" s="15"/>
      <c r="M218" s="15"/>
      <c r="N218" s="15"/>
      <c r="O218" s="8" t="s">
        <v>6</v>
      </c>
      <c r="P218" s="16"/>
      <c r="Q218" s="8"/>
      <c r="R218" s="7" t="str">
        <f>Tab_Data_Flows[[#This Row],[Flow_ID]]&amp;"_"&amp;"material_"&amp;Tab_Data_Flows[[#This Row],[Flow_Data_Year]]</f>
        <v>F_01_02_material_2015</v>
      </c>
      <c r="S218" s="14">
        <f>IF(O218="no",H218,H218*P218)</f>
        <v>354745.26315789472</v>
      </c>
      <c r="T218" s="8" t="s">
        <v>198</v>
      </c>
      <c r="U218" s="143">
        <f>INDEX(Tab_Def_Flows[[Flow_ID]:[CC_DM_source]],MATCH(Tab_Data_Flows[[#This Row],[Flow_Name]],Tab_Def_Flows[Flow_Name],0),11)</f>
        <v>0.6</v>
      </c>
      <c r="V218" s="7" t="str">
        <f>Tab_Data_Flows[[#This Row],[Flow_ID]]&amp;"_"&amp;"WC_"&amp;Tab_Data_Flows[[#This Row],[Flow_Data_Year]]</f>
        <v>F_01_02_WC_2015</v>
      </c>
      <c r="W218" s="7">
        <f>IF(D218="Yes",S218*Tab_Data_Flows[[#This Row],[WC_'[%']]],"N.A.")</f>
        <v>212847.15789473683</v>
      </c>
      <c r="X218" s="7" t="str">
        <f>Tab_Data_Flows[[#This Row],[UoM_Flow_Py]]</f>
        <v>Mg</v>
      </c>
      <c r="Y218" s="143">
        <f>INDEX(Tab_Def_Flows[[Flow_ID]:[CC_DM_source]],MATCH(Tab_Data_Flows[[#This Row],[Flow_Name]],Tab_Def_Flows[Flow_Name],0),14)</f>
        <v>0.4</v>
      </c>
      <c r="Z218" s="7" t="str">
        <f>Tab_Data_Flows[[#This Row],[Flow_ID]]&amp;"_"&amp;"DM_"&amp;Tab_Data_Flows[[#This Row],[Flow_Data_Year]]</f>
        <v>F_01_02_DM_2015</v>
      </c>
      <c r="AA218" s="7">
        <f>IF(E218="Yes",Y218*Tab_Data_Flows[[#This Row],[Flow_Material]],"N.A.")</f>
        <v>141898.10526315789</v>
      </c>
      <c r="AB218" s="7" t="str">
        <f>Tab_Data_Flows[[#This Row],[UoM_Flow_Py]]</f>
        <v>Mg</v>
      </c>
      <c r="AC218" s="143">
        <f>INDEX(Tab_Def_Flows[[Flow_ID]:[CC_DM_source]],MATCH(Tab_Data_Flows[[#This Row],[Flow_Name]],Tab_Def_Flows[Flow_Name],0),17)</f>
        <v>0</v>
      </c>
      <c r="AD218" s="7" t="str">
        <f>Tab_Data_Flows[[#This Row],[Flow_ID]]&amp;"_"&amp;"CC_"&amp;Tab_Data_Flows[[#This Row],[Flow_Data_Year]]</f>
        <v>F_01_02_CC_2015</v>
      </c>
      <c r="AE218" s="7">
        <f>IF(F218="Yes",AC218*Tab_Data_Flows[[#This Row],[Flow_Material]]*Tab_Data_Flows[[#This Row],[DM_'[%']]],"N.A.")</f>
        <v>0</v>
      </c>
      <c r="AF218" s="7" t="str">
        <f>Tab_Data_Flows[[#This Row],[UoM_Flow_Py]]</f>
        <v>Mg</v>
      </c>
      <c r="AG218"/>
    </row>
    <row r="219" spans="1:33" x14ac:dyDescent="0.25">
      <c r="A219" s="9">
        <f t="shared" si="3"/>
        <v>218</v>
      </c>
      <c r="B219" s="7" t="str">
        <f>_xlfn.XLOOKUP(C219,Tab_Def_Flows[Flow_Name],Tab_Def_Flows[Flow_ID],,0,)</f>
        <v>F_01_02</v>
      </c>
      <c r="C219" s="142" t="s">
        <v>599</v>
      </c>
      <c r="D219" s="10" t="str">
        <f>_xlfn.XLOOKUP(C219,Tab_Def_Flows[Flow_Name],Tab_Def_Flows[WC?],,0,)</f>
        <v>Yes</v>
      </c>
      <c r="E219" s="10" t="str">
        <f>_xlfn.XLOOKUP(C219,Tab_Def_Flows[Flow_Name],Tab_Def_Flows[DM?],,0,)</f>
        <v>Yes</v>
      </c>
      <c r="F219" s="10" t="str">
        <f>_xlfn.XLOOKUP(C219,Tab_Def_Flows[Flow_Name],Tab_Def_Flows[CC?],,0,)</f>
        <v>Yes</v>
      </c>
      <c r="G219" s="8">
        <v>2016</v>
      </c>
      <c r="H219" s="23">
        <v>365066.94736842101</v>
      </c>
      <c r="I219" s="8" t="s">
        <v>198</v>
      </c>
      <c r="J219" s="15"/>
      <c r="K219" s="15"/>
      <c r="L219" s="15"/>
      <c r="M219" s="15"/>
      <c r="N219" s="15"/>
      <c r="O219" s="8" t="s">
        <v>6</v>
      </c>
      <c r="P219" s="16"/>
      <c r="Q219" s="8"/>
      <c r="R219" s="7" t="str">
        <f>Tab_Data_Flows[[#This Row],[Flow_ID]]&amp;"_"&amp;"material_"&amp;Tab_Data_Flows[[#This Row],[Flow_Data_Year]]</f>
        <v>F_01_02_material_2016</v>
      </c>
      <c r="S219" s="14">
        <f>IF(O219="no",H219,H219*P219)</f>
        <v>365066.94736842101</v>
      </c>
      <c r="T219" s="8" t="s">
        <v>198</v>
      </c>
      <c r="U219" s="143">
        <f>INDEX(Tab_Def_Flows[[Flow_ID]:[CC_DM_source]],MATCH(Tab_Data_Flows[[#This Row],[Flow_Name]],Tab_Def_Flows[Flow_Name],0),11)</f>
        <v>0.6</v>
      </c>
      <c r="V219" s="7" t="str">
        <f>Tab_Data_Flows[[#This Row],[Flow_ID]]&amp;"_"&amp;"WC_"&amp;Tab_Data_Flows[[#This Row],[Flow_Data_Year]]</f>
        <v>F_01_02_WC_2016</v>
      </c>
      <c r="W219" s="7">
        <f>IF(D219="Yes",S219*Tab_Data_Flows[[#This Row],[WC_'[%']]],"N.A.")</f>
        <v>219040.1684210526</v>
      </c>
      <c r="X219" s="7" t="str">
        <f>Tab_Data_Flows[[#This Row],[UoM_Flow_Py]]</f>
        <v>Mg</v>
      </c>
      <c r="Y219" s="143">
        <f>INDEX(Tab_Def_Flows[[Flow_ID]:[CC_DM_source]],MATCH(Tab_Data_Flows[[#This Row],[Flow_Name]],Tab_Def_Flows[Flow_Name],0),14)</f>
        <v>0.4</v>
      </c>
      <c r="Z219" s="7" t="str">
        <f>Tab_Data_Flows[[#This Row],[Flow_ID]]&amp;"_"&amp;"DM_"&amp;Tab_Data_Flows[[#This Row],[Flow_Data_Year]]</f>
        <v>F_01_02_DM_2016</v>
      </c>
      <c r="AA219" s="7">
        <f>IF(E219="Yes",Y219*Tab_Data_Flows[[#This Row],[Flow_Material]],"N.A.")</f>
        <v>146026.77894736841</v>
      </c>
      <c r="AB219" s="7" t="str">
        <f>Tab_Data_Flows[[#This Row],[UoM_Flow_Py]]</f>
        <v>Mg</v>
      </c>
      <c r="AC219" s="143">
        <f>INDEX(Tab_Def_Flows[[Flow_ID]:[CC_DM_source]],MATCH(Tab_Data_Flows[[#This Row],[Flow_Name]],Tab_Def_Flows[Flow_Name],0),17)</f>
        <v>0</v>
      </c>
      <c r="AD219" s="7" t="str">
        <f>Tab_Data_Flows[[#This Row],[Flow_ID]]&amp;"_"&amp;"CC_"&amp;Tab_Data_Flows[[#This Row],[Flow_Data_Year]]</f>
        <v>F_01_02_CC_2016</v>
      </c>
      <c r="AE219" s="7">
        <f>IF(F219="Yes",AC219*Tab_Data_Flows[[#This Row],[Flow_Material]]*Tab_Data_Flows[[#This Row],[DM_'[%']]],"N.A.")</f>
        <v>0</v>
      </c>
      <c r="AF219" s="7" t="str">
        <f>Tab_Data_Flows[[#This Row],[UoM_Flow_Py]]</f>
        <v>Mg</v>
      </c>
      <c r="AG219"/>
    </row>
    <row r="220" spans="1:33" x14ac:dyDescent="0.25">
      <c r="A220" s="9">
        <f t="shared" si="3"/>
        <v>219</v>
      </c>
      <c r="B220" s="7" t="str">
        <f>_xlfn.XLOOKUP(C220,Tab_Def_Flows[Flow_Name],Tab_Def_Flows[Flow_ID],,0,)</f>
        <v>F_01_02</v>
      </c>
      <c r="C220" s="142" t="s">
        <v>599</v>
      </c>
      <c r="D220" s="10" t="str">
        <f>_xlfn.XLOOKUP(C220,Tab_Def_Flows[Flow_Name],Tab_Def_Flows[WC?],,0,)</f>
        <v>Yes</v>
      </c>
      <c r="E220" s="10" t="str">
        <f>_xlfn.XLOOKUP(C220,Tab_Def_Flows[Flow_Name],Tab_Def_Flows[DM?],,0,)</f>
        <v>Yes</v>
      </c>
      <c r="F220" s="10" t="str">
        <f>_xlfn.XLOOKUP(C220,Tab_Def_Flows[Flow_Name],Tab_Def_Flows[CC?],,0,)</f>
        <v>Yes</v>
      </c>
      <c r="G220" s="8">
        <v>2017</v>
      </c>
      <c r="H220" s="23">
        <v>342269.05263157899</v>
      </c>
      <c r="I220" s="8" t="s">
        <v>198</v>
      </c>
      <c r="J220" s="15"/>
      <c r="K220" s="15"/>
      <c r="L220" s="15"/>
      <c r="M220" s="15"/>
      <c r="N220" s="15"/>
      <c r="O220" s="8" t="s">
        <v>6</v>
      </c>
      <c r="P220" s="16"/>
      <c r="Q220" s="8"/>
      <c r="R220" s="7" t="str">
        <f>Tab_Data_Flows[[#This Row],[Flow_ID]]&amp;"_"&amp;"material_"&amp;Tab_Data_Flows[[#This Row],[Flow_Data_Year]]</f>
        <v>F_01_02_material_2017</v>
      </c>
      <c r="S220" s="14">
        <f>IF(O220="no",H220,H220*P220)</f>
        <v>342269.05263157899</v>
      </c>
      <c r="T220" s="8" t="s">
        <v>198</v>
      </c>
      <c r="U220" s="143">
        <f>INDEX(Tab_Def_Flows[[Flow_ID]:[CC_DM_source]],MATCH(Tab_Data_Flows[[#This Row],[Flow_Name]],Tab_Def_Flows[Flow_Name],0),11)</f>
        <v>0.6</v>
      </c>
      <c r="V220" s="7" t="str">
        <f>Tab_Data_Flows[[#This Row],[Flow_ID]]&amp;"_"&amp;"WC_"&amp;Tab_Data_Flows[[#This Row],[Flow_Data_Year]]</f>
        <v>F_01_02_WC_2017</v>
      </c>
      <c r="W220" s="7">
        <f>IF(D220="Yes",S220*Tab_Data_Flows[[#This Row],[WC_'[%']]],"N.A.")</f>
        <v>205361.43157894738</v>
      </c>
      <c r="X220" s="7" t="str">
        <f>Tab_Data_Flows[[#This Row],[UoM_Flow_Py]]</f>
        <v>Mg</v>
      </c>
      <c r="Y220" s="143">
        <f>INDEX(Tab_Def_Flows[[Flow_ID]:[CC_DM_source]],MATCH(Tab_Data_Flows[[#This Row],[Flow_Name]],Tab_Def_Flows[Flow_Name],0),14)</f>
        <v>0.4</v>
      </c>
      <c r="Z220" s="7" t="str">
        <f>Tab_Data_Flows[[#This Row],[Flow_ID]]&amp;"_"&amp;"DM_"&amp;Tab_Data_Flows[[#This Row],[Flow_Data_Year]]</f>
        <v>F_01_02_DM_2017</v>
      </c>
      <c r="AA220" s="7">
        <f>IF(E220="Yes",Y220*Tab_Data_Flows[[#This Row],[Flow_Material]],"N.A.")</f>
        <v>136907.62105263161</v>
      </c>
      <c r="AB220" s="7" t="str">
        <f>Tab_Data_Flows[[#This Row],[UoM_Flow_Py]]</f>
        <v>Mg</v>
      </c>
      <c r="AC220" s="143">
        <f>INDEX(Tab_Def_Flows[[Flow_ID]:[CC_DM_source]],MATCH(Tab_Data_Flows[[#This Row],[Flow_Name]],Tab_Def_Flows[Flow_Name],0),17)</f>
        <v>0</v>
      </c>
      <c r="AD220" s="7" t="str">
        <f>Tab_Data_Flows[[#This Row],[Flow_ID]]&amp;"_"&amp;"CC_"&amp;Tab_Data_Flows[[#This Row],[Flow_Data_Year]]</f>
        <v>F_01_02_CC_2017</v>
      </c>
      <c r="AE220" s="7">
        <f>IF(F220="Yes",AC220*Tab_Data_Flows[[#This Row],[Flow_Material]]*Tab_Data_Flows[[#This Row],[DM_'[%']]],"N.A.")</f>
        <v>0</v>
      </c>
      <c r="AF220" s="7" t="str">
        <f>Tab_Data_Flows[[#This Row],[UoM_Flow_Py]]</f>
        <v>Mg</v>
      </c>
      <c r="AG220"/>
    </row>
    <row r="221" spans="1:33" x14ac:dyDescent="0.25">
      <c r="A221" s="9">
        <f t="shared" si="3"/>
        <v>220</v>
      </c>
      <c r="B221" s="7" t="str">
        <f>_xlfn.XLOOKUP(C221,Tab_Def_Flows[Flow_Name],Tab_Def_Flows[Flow_ID],,0,)</f>
        <v>F_01_02</v>
      </c>
      <c r="C221" s="142" t="s">
        <v>599</v>
      </c>
      <c r="D221" s="10" t="str">
        <f>_xlfn.XLOOKUP(C221,Tab_Def_Flows[Flow_Name],Tab_Def_Flows[WC?],,0,)</f>
        <v>Yes</v>
      </c>
      <c r="E221" s="10" t="str">
        <f>_xlfn.XLOOKUP(C221,Tab_Def_Flows[Flow_Name],Tab_Def_Flows[DM?],,0,)</f>
        <v>Yes</v>
      </c>
      <c r="F221" s="10" t="str">
        <f>_xlfn.XLOOKUP(C221,Tab_Def_Flows[Flow_Name],Tab_Def_Flows[CC?],,0,)</f>
        <v>Yes</v>
      </c>
      <c r="G221" s="8">
        <v>2018</v>
      </c>
      <c r="H221" s="23">
        <v>376541.05263157893</v>
      </c>
      <c r="I221" s="8" t="s">
        <v>198</v>
      </c>
      <c r="J221" s="15"/>
      <c r="K221" s="15"/>
      <c r="L221" s="15"/>
      <c r="M221" s="15"/>
      <c r="N221" s="15"/>
      <c r="O221" s="8" t="s">
        <v>6</v>
      </c>
      <c r="P221" s="16"/>
      <c r="Q221" s="8"/>
      <c r="R221" s="7" t="str">
        <f>Tab_Data_Flows[[#This Row],[Flow_ID]]&amp;"_"&amp;"material_"&amp;Tab_Data_Flows[[#This Row],[Flow_Data_Year]]</f>
        <v>F_01_02_material_2018</v>
      </c>
      <c r="S221" s="14">
        <f>IF(O221="no",H221,H221*P221)</f>
        <v>376541.05263157893</v>
      </c>
      <c r="T221" s="8" t="s">
        <v>198</v>
      </c>
      <c r="U221" s="143">
        <f>INDEX(Tab_Def_Flows[[Flow_ID]:[CC_DM_source]],MATCH(Tab_Data_Flows[[#This Row],[Flow_Name]],Tab_Def_Flows[Flow_Name],0),11)</f>
        <v>0.6</v>
      </c>
      <c r="V221" s="7" t="str">
        <f>Tab_Data_Flows[[#This Row],[Flow_ID]]&amp;"_"&amp;"WC_"&amp;Tab_Data_Flows[[#This Row],[Flow_Data_Year]]</f>
        <v>F_01_02_WC_2018</v>
      </c>
      <c r="W221" s="7">
        <f>IF(D221="Yes",S221*Tab_Data_Flows[[#This Row],[WC_'[%']]],"N.A.")</f>
        <v>225924.63157894736</v>
      </c>
      <c r="X221" s="7" t="str">
        <f>Tab_Data_Flows[[#This Row],[UoM_Flow_Py]]</f>
        <v>Mg</v>
      </c>
      <c r="Y221" s="143">
        <f>INDEX(Tab_Def_Flows[[Flow_ID]:[CC_DM_source]],MATCH(Tab_Data_Flows[[#This Row],[Flow_Name]],Tab_Def_Flows[Flow_Name],0),14)</f>
        <v>0.4</v>
      </c>
      <c r="Z221" s="7" t="str">
        <f>Tab_Data_Flows[[#This Row],[Flow_ID]]&amp;"_"&amp;"DM_"&amp;Tab_Data_Flows[[#This Row],[Flow_Data_Year]]</f>
        <v>F_01_02_DM_2018</v>
      </c>
      <c r="AA221" s="7">
        <f>IF(E221="Yes",Y221*Tab_Data_Flows[[#This Row],[Flow_Material]],"N.A.")</f>
        <v>150616.42105263157</v>
      </c>
      <c r="AB221" s="7" t="str">
        <f>Tab_Data_Flows[[#This Row],[UoM_Flow_Py]]</f>
        <v>Mg</v>
      </c>
      <c r="AC221" s="143">
        <f>INDEX(Tab_Def_Flows[[Flow_ID]:[CC_DM_source]],MATCH(Tab_Data_Flows[[#This Row],[Flow_Name]],Tab_Def_Flows[Flow_Name],0),17)</f>
        <v>0</v>
      </c>
      <c r="AD221" s="7" t="str">
        <f>Tab_Data_Flows[[#This Row],[Flow_ID]]&amp;"_"&amp;"CC_"&amp;Tab_Data_Flows[[#This Row],[Flow_Data_Year]]</f>
        <v>F_01_02_CC_2018</v>
      </c>
      <c r="AE221" s="7">
        <f>IF(F221="Yes",AC221*Tab_Data_Flows[[#This Row],[Flow_Material]]*Tab_Data_Flows[[#This Row],[DM_'[%']]],"N.A.")</f>
        <v>0</v>
      </c>
      <c r="AF221" s="7" t="str">
        <f>Tab_Data_Flows[[#This Row],[UoM_Flow_Py]]</f>
        <v>Mg</v>
      </c>
      <c r="AG221"/>
    </row>
    <row r="222" spans="1:33" x14ac:dyDescent="0.25">
      <c r="A222" s="9">
        <f t="shared" si="3"/>
        <v>221</v>
      </c>
      <c r="B222" s="7" t="str">
        <f>_xlfn.XLOOKUP(C222,Tab_Def_Flows[Flow_Name],Tab_Def_Flows[Flow_ID],,0,)</f>
        <v>F_01_02</v>
      </c>
      <c r="C222" s="142" t="s">
        <v>599</v>
      </c>
      <c r="D222" s="10" t="str">
        <f>_xlfn.XLOOKUP(C222,Tab_Def_Flows[Flow_Name],Tab_Def_Flows[WC?],,0,)</f>
        <v>Yes</v>
      </c>
      <c r="E222" s="10" t="str">
        <f>_xlfn.XLOOKUP(C222,Tab_Def_Flows[Flow_Name],Tab_Def_Flows[DM?],,0,)</f>
        <v>Yes</v>
      </c>
      <c r="F222" s="10" t="str">
        <f>_xlfn.XLOOKUP(C222,Tab_Def_Flows[Flow_Name],Tab_Def_Flows[CC?],,0,)</f>
        <v>Yes</v>
      </c>
      <c r="G222" s="8">
        <v>2019</v>
      </c>
      <c r="H222" s="23">
        <v>381601.68421052623</v>
      </c>
      <c r="I222" s="8" t="s">
        <v>198</v>
      </c>
      <c r="J222" s="15"/>
      <c r="K222" s="15"/>
      <c r="L222" s="15"/>
      <c r="M222" s="15"/>
      <c r="N222" s="15"/>
      <c r="O222" s="8" t="s">
        <v>6</v>
      </c>
      <c r="P222" s="16"/>
      <c r="Q222" s="8"/>
      <c r="R222" s="7" t="str">
        <f>Tab_Data_Flows[[#This Row],[Flow_ID]]&amp;"_"&amp;"material_"&amp;Tab_Data_Flows[[#This Row],[Flow_Data_Year]]</f>
        <v>F_01_02_material_2019</v>
      </c>
      <c r="S222" s="14">
        <f>IF(O222="no",H222,H222*P222)</f>
        <v>381601.68421052623</v>
      </c>
      <c r="T222" s="8" t="s">
        <v>198</v>
      </c>
      <c r="U222" s="143">
        <f>INDEX(Tab_Def_Flows[[Flow_ID]:[CC_DM_source]],MATCH(Tab_Data_Flows[[#This Row],[Flow_Name]],Tab_Def_Flows[Flow_Name],0),11)</f>
        <v>0.6</v>
      </c>
      <c r="V222" s="7" t="str">
        <f>Tab_Data_Flows[[#This Row],[Flow_ID]]&amp;"_"&amp;"WC_"&amp;Tab_Data_Flows[[#This Row],[Flow_Data_Year]]</f>
        <v>F_01_02_WC_2019</v>
      </c>
      <c r="W222" s="7">
        <f>IF(D222="Yes",S222*Tab_Data_Flows[[#This Row],[WC_'[%']]],"N.A.")</f>
        <v>228961.01052631575</v>
      </c>
      <c r="X222" s="7" t="str">
        <f>Tab_Data_Flows[[#This Row],[UoM_Flow_Py]]</f>
        <v>Mg</v>
      </c>
      <c r="Y222" s="143">
        <f>INDEX(Tab_Def_Flows[[Flow_ID]:[CC_DM_source]],MATCH(Tab_Data_Flows[[#This Row],[Flow_Name]],Tab_Def_Flows[Flow_Name],0),14)</f>
        <v>0.4</v>
      </c>
      <c r="Z222" s="7" t="str">
        <f>Tab_Data_Flows[[#This Row],[Flow_ID]]&amp;"_"&amp;"DM_"&amp;Tab_Data_Flows[[#This Row],[Flow_Data_Year]]</f>
        <v>F_01_02_DM_2019</v>
      </c>
      <c r="AA222" s="7">
        <f>IF(E222="Yes",Y222*Tab_Data_Flows[[#This Row],[Flow_Material]],"N.A.")</f>
        <v>152640.67368421049</v>
      </c>
      <c r="AB222" s="7" t="str">
        <f>Tab_Data_Flows[[#This Row],[UoM_Flow_Py]]</f>
        <v>Mg</v>
      </c>
      <c r="AC222" s="143">
        <f>INDEX(Tab_Def_Flows[[Flow_ID]:[CC_DM_source]],MATCH(Tab_Data_Flows[[#This Row],[Flow_Name]],Tab_Def_Flows[Flow_Name],0),17)</f>
        <v>0</v>
      </c>
      <c r="AD222" s="7" t="str">
        <f>Tab_Data_Flows[[#This Row],[Flow_ID]]&amp;"_"&amp;"CC_"&amp;Tab_Data_Flows[[#This Row],[Flow_Data_Year]]</f>
        <v>F_01_02_CC_2019</v>
      </c>
      <c r="AE222" s="7">
        <f>IF(F222="Yes",AC222*Tab_Data_Flows[[#This Row],[Flow_Material]]*Tab_Data_Flows[[#This Row],[DM_'[%']]],"N.A.")</f>
        <v>0</v>
      </c>
      <c r="AF222" s="7" t="str">
        <f>Tab_Data_Flows[[#This Row],[UoM_Flow_Py]]</f>
        <v>Mg</v>
      </c>
      <c r="AG222"/>
    </row>
    <row r="223" spans="1:33" x14ac:dyDescent="0.25">
      <c r="A223" s="9">
        <f t="shared" si="3"/>
        <v>222</v>
      </c>
      <c r="B223" s="7" t="str">
        <f>_xlfn.XLOOKUP(C223,Tab_Def_Flows[Flow_Name],Tab_Def_Flows[Flow_ID],,0,)</f>
        <v>F_01_02</v>
      </c>
      <c r="C223" s="142" t="s">
        <v>599</v>
      </c>
      <c r="D223" s="10" t="str">
        <f>_xlfn.XLOOKUP(C223,Tab_Def_Flows[Flow_Name],Tab_Def_Flows[WC?],,0,)</f>
        <v>Yes</v>
      </c>
      <c r="E223" s="10" t="str">
        <f>_xlfn.XLOOKUP(C223,Tab_Def_Flows[Flow_Name],Tab_Def_Flows[DM?],,0,)</f>
        <v>Yes</v>
      </c>
      <c r="F223" s="10" t="str">
        <f>_xlfn.XLOOKUP(C223,Tab_Def_Flows[Flow_Name],Tab_Def_Flows[CC?],,0,)</f>
        <v>Yes</v>
      </c>
      <c r="G223" s="8">
        <v>2020</v>
      </c>
      <c r="H223" s="23">
        <v>403347.36842105264</v>
      </c>
      <c r="I223" s="8" t="s">
        <v>198</v>
      </c>
      <c r="J223" s="15"/>
      <c r="K223" s="15"/>
      <c r="L223" s="15"/>
      <c r="M223" s="15"/>
      <c r="N223" s="15"/>
      <c r="O223" s="8" t="s">
        <v>6</v>
      </c>
      <c r="P223" s="16"/>
      <c r="Q223" s="8"/>
      <c r="R223" s="7" t="str">
        <f>Tab_Data_Flows[[#This Row],[Flow_ID]]&amp;"_"&amp;"material_"&amp;Tab_Data_Flows[[#This Row],[Flow_Data_Year]]</f>
        <v>F_01_02_material_2020</v>
      </c>
      <c r="S223" s="14">
        <f>IF(O223="no",H223,H223*P223)</f>
        <v>403347.36842105264</v>
      </c>
      <c r="T223" s="8" t="s">
        <v>198</v>
      </c>
      <c r="U223" s="143">
        <f>INDEX(Tab_Def_Flows[[Flow_ID]:[CC_DM_source]],MATCH(Tab_Data_Flows[[#This Row],[Flow_Name]],Tab_Def_Flows[Flow_Name],0),11)</f>
        <v>0.6</v>
      </c>
      <c r="V223" s="7" t="str">
        <f>Tab_Data_Flows[[#This Row],[Flow_ID]]&amp;"_"&amp;"WC_"&amp;Tab_Data_Flows[[#This Row],[Flow_Data_Year]]</f>
        <v>F_01_02_WC_2020</v>
      </c>
      <c r="W223" s="7">
        <f>IF(D223="Yes",S223*Tab_Data_Flows[[#This Row],[WC_'[%']]],"N.A.")</f>
        <v>242008.42105263157</v>
      </c>
      <c r="X223" s="7" t="str">
        <f>Tab_Data_Flows[[#This Row],[UoM_Flow_Py]]</f>
        <v>Mg</v>
      </c>
      <c r="Y223" s="143">
        <f>INDEX(Tab_Def_Flows[[Flow_ID]:[CC_DM_source]],MATCH(Tab_Data_Flows[[#This Row],[Flow_Name]],Tab_Def_Flows[Flow_Name],0),14)</f>
        <v>0.4</v>
      </c>
      <c r="Z223" s="7" t="str">
        <f>Tab_Data_Flows[[#This Row],[Flow_ID]]&amp;"_"&amp;"DM_"&amp;Tab_Data_Flows[[#This Row],[Flow_Data_Year]]</f>
        <v>F_01_02_DM_2020</v>
      </c>
      <c r="AA223" s="7">
        <f>IF(E223="Yes",Y223*Tab_Data_Flows[[#This Row],[Flow_Material]],"N.A.")</f>
        <v>161338.94736842107</v>
      </c>
      <c r="AB223" s="7" t="str">
        <f>Tab_Data_Flows[[#This Row],[UoM_Flow_Py]]</f>
        <v>Mg</v>
      </c>
      <c r="AC223" s="143">
        <f>INDEX(Tab_Def_Flows[[Flow_ID]:[CC_DM_source]],MATCH(Tab_Data_Flows[[#This Row],[Flow_Name]],Tab_Def_Flows[Flow_Name],0),17)</f>
        <v>0</v>
      </c>
      <c r="AD223" s="7" t="str">
        <f>Tab_Data_Flows[[#This Row],[Flow_ID]]&amp;"_"&amp;"CC_"&amp;Tab_Data_Flows[[#This Row],[Flow_Data_Year]]</f>
        <v>F_01_02_CC_2020</v>
      </c>
      <c r="AE223" s="7">
        <f>IF(F223="Yes",AC223*Tab_Data_Flows[[#This Row],[Flow_Material]]*Tab_Data_Flows[[#This Row],[DM_'[%']]],"N.A.")</f>
        <v>0</v>
      </c>
      <c r="AF223" s="7" t="str">
        <f>Tab_Data_Flows[[#This Row],[UoM_Flow_Py]]</f>
        <v>Mg</v>
      </c>
      <c r="AG223"/>
    </row>
    <row r="224" spans="1:33" x14ac:dyDescent="0.25">
      <c r="A224" s="9">
        <f t="shared" si="3"/>
        <v>223</v>
      </c>
      <c r="B224" s="7" t="str">
        <f>_xlfn.XLOOKUP(C224,Tab_Def_Flows[Flow_Name],Tab_Def_Flows[Flow_ID],,0,)</f>
        <v>F_01_02</v>
      </c>
      <c r="C224" s="142" t="s">
        <v>599</v>
      </c>
      <c r="D224" s="10" t="str">
        <f>_xlfn.XLOOKUP(C224,Tab_Def_Flows[Flow_Name],Tab_Def_Flows[WC?],,0,)</f>
        <v>Yes</v>
      </c>
      <c r="E224" s="10" t="str">
        <f>_xlfn.XLOOKUP(C224,Tab_Def_Flows[Flow_Name],Tab_Def_Flows[DM?],,0,)</f>
        <v>Yes</v>
      </c>
      <c r="F224" s="10" t="str">
        <f>_xlfn.XLOOKUP(C224,Tab_Def_Flows[Flow_Name],Tab_Def_Flows[CC?],,0,)</f>
        <v>Yes</v>
      </c>
      <c r="G224" s="8">
        <v>2021</v>
      </c>
      <c r="H224" s="23">
        <v>403146.94736842101</v>
      </c>
      <c r="I224" s="8" t="s">
        <v>198</v>
      </c>
      <c r="J224" s="15"/>
      <c r="K224" s="15"/>
      <c r="L224" s="15"/>
      <c r="M224" s="15"/>
      <c r="N224" s="15"/>
      <c r="O224" s="8" t="s">
        <v>6</v>
      </c>
      <c r="P224" s="16"/>
      <c r="Q224" s="8"/>
      <c r="R224" s="7" t="str">
        <f>Tab_Data_Flows[[#This Row],[Flow_ID]]&amp;"_"&amp;"material_"&amp;Tab_Data_Flows[[#This Row],[Flow_Data_Year]]</f>
        <v>F_01_02_material_2021</v>
      </c>
      <c r="S224" s="14">
        <f>IF(O224="no",H224,H224*P224)</f>
        <v>403146.94736842101</v>
      </c>
      <c r="T224" s="8" t="s">
        <v>198</v>
      </c>
      <c r="U224" s="143">
        <f>INDEX(Tab_Def_Flows[[Flow_ID]:[CC_DM_source]],MATCH(Tab_Data_Flows[[#This Row],[Flow_Name]],Tab_Def_Flows[Flow_Name],0),11)</f>
        <v>0.6</v>
      </c>
      <c r="V224" s="7" t="str">
        <f>Tab_Data_Flows[[#This Row],[Flow_ID]]&amp;"_"&amp;"WC_"&amp;Tab_Data_Flows[[#This Row],[Flow_Data_Year]]</f>
        <v>F_01_02_WC_2021</v>
      </c>
      <c r="W224" s="7">
        <f>IF(D224="Yes",S224*Tab_Data_Flows[[#This Row],[WC_'[%']]],"N.A.")</f>
        <v>241888.1684210526</v>
      </c>
      <c r="X224" s="7" t="str">
        <f>Tab_Data_Flows[[#This Row],[UoM_Flow_Py]]</f>
        <v>Mg</v>
      </c>
      <c r="Y224" s="143">
        <f>INDEX(Tab_Def_Flows[[Flow_ID]:[CC_DM_source]],MATCH(Tab_Data_Flows[[#This Row],[Flow_Name]],Tab_Def_Flows[Flow_Name],0),14)</f>
        <v>0.4</v>
      </c>
      <c r="Z224" s="7" t="str">
        <f>Tab_Data_Flows[[#This Row],[Flow_ID]]&amp;"_"&amp;"DM_"&amp;Tab_Data_Flows[[#This Row],[Flow_Data_Year]]</f>
        <v>F_01_02_DM_2021</v>
      </c>
      <c r="AA224" s="7">
        <f>IF(E224="Yes",Y224*Tab_Data_Flows[[#This Row],[Flow_Material]],"N.A.")</f>
        <v>161258.77894736841</v>
      </c>
      <c r="AB224" s="7" t="str">
        <f>Tab_Data_Flows[[#This Row],[UoM_Flow_Py]]</f>
        <v>Mg</v>
      </c>
      <c r="AC224" s="143">
        <f>INDEX(Tab_Def_Flows[[Flow_ID]:[CC_DM_source]],MATCH(Tab_Data_Flows[[#This Row],[Flow_Name]],Tab_Def_Flows[Flow_Name],0),17)</f>
        <v>0</v>
      </c>
      <c r="AD224" s="7" t="str">
        <f>Tab_Data_Flows[[#This Row],[Flow_ID]]&amp;"_"&amp;"CC_"&amp;Tab_Data_Flows[[#This Row],[Flow_Data_Year]]</f>
        <v>F_01_02_CC_2021</v>
      </c>
      <c r="AE224" s="7">
        <f>IF(F224="Yes",AC224*Tab_Data_Flows[[#This Row],[Flow_Material]]*Tab_Data_Flows[[#This Row],[DM_'[%']]],"N.A.")</f>
        <v>0</v>
      </c>
      <c r="AF224" s="7" t="str">
        <f>Tab_Data_Flows[[#This Row],[UoM_Flow_Py]]</f>
        <v>Mg</v>
      </c>
      <c r="AG224"/>
    </row>
    <row r="225" spans="1:33" x14ac:dyDescent="0.25">
      <c r="A225" s="9">
        <f t="shared" si="3"/>
        <v>224</v>
      </c>
      <c r="B225" s="7" t="str">
        <f>_xlfn.XLOOKUP(C225,Tab_Def_Flows[Flow_Name],Tab_Def_Flows[Flow_ID],,0,)</f>
        <v>F_01_02</v>
      </c>
      <c r="C225" s="142" t="s">
        <v>599</v>
      </c>
      <c r="D225" s="10" t="str">
        <f>_xlfn.XLOOKUP(C225,Tab_Def_Flows[Flow_Name],Tab_Def_Flows[WC?],,0,)</f>
        <v>Yes</v>
      </c>
      <c r="E225" s="10" t="str">
        <f>_xlfn.XLOOKUP(C225,Tab_Def_Flows[Flow_Name],Tab_Def_Flows[DM?],,0,)</f>
        <v>Yes</v>
      </c>
      <c r="F225" s="10" t="str">
        <f>_xlfn.XLOOKUP(C225,Tab_Def_Flows[Flow_Name],Tab_Def_Flows[CC?],,0,)</f>
        <v>Yes</v>
      </c>
      <c r="G225" s="8">
        <v>2022</v>
      </c>
      <c r="H225" s="23">
        <v>404199.15789473685</v>
      </c>
      <c r="I225" s="8" t="s">
        <v>198</v>
      </c>
      <c r="J225" s="15"/>
      <c r="K225" s="15"/>
      <c r="L225" s="15"/>
      <c r="M225" s="15"/>
      <c r="N225" s="15"/>
      <c r="O225" s="8" t="s">
        <v>6</v>
      </c>
      <c r="P225" s="16"/>
      <c r="Q225" s="8"/>
      <c r="R225" s="7" t="str">
        <f>Tab_Data_Flows[[#This Row],[Flow_ID]]&amp;"_"&amp;"material_"&amp;Tab_Data_Flows[[#This Row],[Flow_Data_Year]]</f>
        <v>F_01_02_material_2022</v>
      </c>
      <c r="S225" s="14">
        <f>IF(O225="no",H225,H225*P225)</f>
        <v>404199.15789473685</v>
      </c>
      <c r="T225" s="8" t="s">
        <v>198</v>
      </c>
      <c r="U225" s="143">
        <f>INDEX(Tab_Def_Flows[[Flow_ID]:[CC_DM_source]],MATCH(Tab_Data_Flows[[#This Row],[Flow_Name]],Tab_Def_Flows[Flow_Name],0),11)</f>
        <v>0.6</v>
      </c>
      <c r="V225" s="7" t="str">
        <f>Tab_Data_Flows[[#This Row],[Flow_ID]]&amp;"_"&amp;"WC_"&amp;Tab_Data_Flows[[#This Row],[Flow_Data_Year]]</f>
        <v>F_01_02_WC_2022</v>
      </c>
      <c r="W225" s="7">
        <f>IF(D225="Yes",S225*Tab_Data_Flows[[#This Row],[WC_'[%']]],"N.A.")</f>
        <v>242519.49473684211</v>
      </c>
      <c r="X225" s="7" t="str">
        <f>Tab_Data_Flows[[#This Row],[UoM_Flow_Py]]</f>
        <v>Mg</v>
      </c>
      <c r="Y225" s="143">
        <f>INDEX(Tab_Def_Flows[[Flow_ID]:[CC_DM_source]],MATCH(Tab_Data_Flows[[#This Row],[Flow_Name]],Tab_Def_Flows[Flow_Name],0),14)</f>
        <v>0.4</v>
      </c>
      <c r="Z225" s="7" t="str">
        <f>Tab_Data_Flows[[#This Row],[Flow_ID]]&amp;"_"&amp;"DM_"&amp;Tab_Data_Flows[[#This Row],[Flow_Data_Year]]</f>
        <v>F_01_02_DM_2022</v>
      </c>
      <c r="AA225" s="7">
        <f>IF(E225="Yes",Y225*Tab_Data_Flows[[#This Row],[Flow_Material]],"N.A.")</f>
        <v>161679.66315789474</v>
      </c>
      <c r="AB225" s="7" t="str">
        <f>Tab_Data_Flows[[#This Row],[UoM_Flow_Py]]</f>
        <v>Mg</v>
      </c>
      <c r="AC225" s="143">
        <f>INDEX(Tab_Def_Flows[[Flow_ID]:[CC_DM_source]],MATCH(Tab_Data_Flows[[#This Row],[Flow_Name]],Tab_Def_Flows[Flow_Name],0),17)</f>
        <v>0</v>
      </c>
      <c r="AD225" s="7" t="str">
        <f>Tab_Data_Flows[[#This Row],[Flow_ID]]&amp;"_"&amp;"CC_"&amp;Tab_Data_Flows[[#This Row],[Flow_Data_Year]]</f>
        <v>F_01_02_CC_2022</v>
      </c>
      <c r="AE225" s="7">
        <f>IF(F225="Yes",AC225*Tab_Data_Flows[[#This Row],[Flow_Material]]*Tab_Data_Flows[[#This Row],[DM_'[%']]],"N.A.")</f>
        <v>0</v>
      </c>
      <c r="AF225" s="7" t="str">
        <f>Tab_Data_Flows[[#This Row],[UoM_Flow_Py]]</f>
        <v>Mg</v>
      </c>
      <c r="AG225"/>
    </row>
    <row r="226" spans="1:33" x14ac:dyDescent="0.25">
      <c r="A226" s="9">
        <f t="shared" si="3"/>
        <v>225</v>
      </c>
      <c r="B226" s="7" t="str">
        <f>_xlfn.XLOOKUP(C226,Tab_Def_Flows[Flow_Name],Tab_Def_Flows[Flow_ID],,0,)</f>
        <v>F_01_02</v>
      </c>
      <c r="C226" s="142" t="s">
        <v>599</v>
      </c>
      <c r="D226" s="10" t="str">
        <f>_xlfn.XLOOKUP(C226,Tab_Def_Flows[Flow_Name],Tab_Def_Flows[WC?],,0,)</f>
        <v>Yes</v>
      </c>
      <c r="E226" s="10" t="str">
        <f>_xlfn.XLOOKUP(C226,Tab_Def_Flows[Flow_Name],Tab_Def_Flows[DM?],,0,)</f>
        <v>Yes</v>
      </c>
      <c r="F226" s="10" t="str">
        <f>_xlfn.XLOOKUP(C226,Tab_Def_Flows[Flow_Name],Tab_Def_Flows[CC?],,0,)</f>
        <v>Yes</v>
      </c>
      <c r="G226" s="8">
        <v>2023</v>
      </c>
      <c r="H226" s="23">
        <v>387432.67366860085</v>
      </c>
      <c r="I226" s="8" t="s">
        <v>198</v>
      </c>
      <c r="J226" s="15"/>
      <c r="K226" s="15"/>
      <c r="L226" s="15"/>
      <c r="M226" s="15"/>
      <c r="N226" s="15"/>
      <c r="O226" s="8" t="s">
        <v>6</v>
      </c>
      <c r="P226" s="16"/>
      <c r="Q226" s="8"/>
      <c r="R226" s="7" t="str">
        <f>Tab_Data_Flows[[#This Row],[Flow_ID]]&amp;"_"&amp;"material_"&amp;Tab_Data_Flows[[#This Row],[Flow_Data_Year]]</f>
        <v>F_01_02_material_2023</v>
      </c>
      <c r="S226" s="14">
        <f>IF(O226="no",H226,H226*P226)</f>
        <v>387432.67366860085</v>
      </c>
      <c r="T226" s="8" t="s">
        <v>198</v>
      </c>
      <c r="U226" s="143">
        <f>INDEX(Tab_Def_Flows[[Flow_ID]:[CC_DM_source]],MATCH(Tab_Data_Flows[[#This Row],[Flow_Name]],Tab_Def_Flows[Flow_Name],0),11)</f>
        <v>0.6</v>
      </c>
      <c r="V226" s="7" t="str">
        <f>Tab_Data_Flows[[#This Row],[Flow_ID]]&amp;"_"&amp;"WC_"&amp;Tab_Data_Flows[[#This Row],[Flow_Data_Year]]</f>
        <v>F_01_02_WC_2023</v>
      </c>
      <c r="W226" s="7">
        <f>IF(D226="Yes",S226*Tab_Data_Flows[[#This Row],[WC_'[%']]],"N.A.")</f>
        <v>232459.60420116052</v>
      </c>
      <c r="X226" s="7" t="str">
        <f>Tab_Data_Flows[[#This Row],[UoM_Flow_Py]]</f>
        <v>Mg</v>
      </c>
      <c r="Y226" s="143">
        <f>INDEX(Tab_Def_Flows[[Flow_ID]:[CC_DM_source]],MATCH(Tab_Data_Flows[[#This Row],[Flow_Name]],Tab_Def_Flows[Flow_Name],0),14)</f>
        <v>0.4</v>
      </c>
      <c r="Z226" s="7" t="str">
        <f>Tab_Data_Flows[[#This Row],[Flow_ID]]&amp;"_"&amp;"DM_"&amp;Tab_Data_Flows[[#This Row],[Flow_Data_Year]]</f>
        <v>F_01_02_DM_2023</v>
      </c>
      <c r="AA226" s="7">
        <f>IF(E226="Yes",Y226*Tab_Data_Flows[[#This Row],[Flow_Material]],"N.A.")</f>
        <v>154973.06946744033</v>
      </c>
      <c r="AB226" s="7" t="str">
        <f>Tab_Data_Flows[[#This Row],[UoM_Flow_Py]]</f>
        <v>Mg</v>
      </c>
      <c r="AC226" s="143">
        <f>INDEX(Tab_Def_Flows[[Flow_ID]:[CC_DM_source]],MATCH(Tab_Data_Flows[[#This Row],[Flow_Name]],Tab_Def_Flows[Flow_Name],0),17)</f>
        <v>0</v>
      </c>
      <c r="AD226" s="7" t="str">
        <f>Tab_Data_Flows[[#This Row],[Flow_ID]]&amp;"_"&amp;"CC_"&amp;Tab_Data_Flows[[#This Row],[Flow_Data_Year]]</f>
        <v>F_01_02_CC_2023</v>
      </c>
      <c r="AE226" s="7">
        <f>IF(F226="Yes",AC226*Tab_Data_Flows[[#This Row],[Flow_Material]]*Tab_Data_Flows[[#This Row],[DM_'[%']]],"N.A.")</f>
        <v>0</v>
      </c>
      <c r="AF226" s="7" t="str">
        <f>Tab_Data_Flows[[#This Row],[UoM_Flow_Py]]</f>
        <v>Mg</v>
      </c>
      <c r="AG226"/>
    </row>
    <row r="227" spans="1:33" x14ac:dyDescent="0.25">
      <c r="A227" s="9">
        <f t="shared" si="3"/>
        <v>226</v>
      </c>
      <c r="B227" s="7" t="str">
        <f>_xlfn.XLOOKUP(C227,Tab_Def_Flows[Flow_Name],Tab_Def_Flows[Flow_ID],,0,)</f>
        <v>F_01_02</v>
      </c>
      <c r="C227" s="142" t="s">
        <v>599</v>
      </c>
      <c r="D227" s="10" t="str">
        <f>_xlfn.XLOOKUP(C227,Tab_Def_Flows[Flow_Name],Tab_Def_Flows[WC?],,0,)</f>
        <v>Yes</v>
      </c>
      <c r="E227" s="10" t="str">
        <f>_xlfn.XLOOKUP(C227,Tab_Def_Flows[Flow_Name],Tab_Def_Flows[DM?],,0,)</f>
        <v>Yes</v>
      </c>
      <c r="F227" s="10" t="str">
        <f>_xlfn.XLOOKUP(C227,Tab_Def_Flows[Flow_Name],Tab_Def_Flows[CC?],,0,)</f>
        <v>Yes</v>
      </c>
      <c r="G227" s="8">
        <v>2024</v>
      </c>
      <c r="H227" s="23">
        <v>280279.35685885919</v>
      </c>
      <c r="I227" s="8" t="s">
        <v>198</v>
      </c>
      <c r="J227" s="15"/>
      <c r="K227" s="15"/>
      <c r="L227" s="15"/>
      <c r="M227" s="15"/>
      <c r="N227" s="15"/>
      <c r="O227" s="8" t="s">
        <v>6</v>
      </c>
      <c r="P227" s="16"/>
      <c r="Q227" s="8"/>
      <c r="R227" s="7" t="str">
        <f>Tab_Data_Flows[[#This Row],[Flow_ID]]&amp;"_"&amp;"material_"&amp;Tab_Data_Flows[[#This Row],[Flow_Data_Year]]</f>
        <v>F_01_02_material_2024</v>
      </c>
      <c r="S227" s="14">
        <f>IF(O227="no",H227,H227*P227)</f>
        <v>280279.35685885919</v>
      </c>
      <c r="T227" s="8" t="s">
        <v>198</v>
      </c>
      <c r="U227" s="143">
        <f>INDEX(Tab_Def_Flows[[Flow_ID]:[CC_DM_source]],MATCH(Tab_Data_Flows[[#This Row],[Flow_Name]],Tab_Def_Flows[Flow_Name],0),11)</f>
        <v>0.6</v>
      </c>
      <c r="V227" s="7" t="str">
        <f>Tab_Data_Flows[[#This Row],[Flow_ID]]&amp;"_"&amp;"WC_"&amp;Tab_Data_Flows[[#This Row],[Flow_Data_Year]]</f>
        <v>F_01_02_WC_2024</v>
      </c>
      <c r="W227" s="7">
        <f>IF(D227="Yes",S227*Tab_Data_Flows[[#This Row],[WC_'[%']]],"N.A.")</f>
        <v>168167.61411531552</v>
      </c>
      <c r="X227" s="7" t="str">
        <f>Tab_Data_Flows[[#This Row],[UoM_Flow_Py]]</f>
        <v>Mg</v>
      </c>
      <c r="Y227" s="143">
        <f>INDEX(Tab_Def_Flows[[Flow_ID]:[CC_DM_source]],MATCH(Tab_Data_Flows[[#This Row],[Flow_Name]],Tab_Def_Flows[Flow_Name],0),14)</f>
        <v>0.4</v>
      </c>
      <c r="Z227" s="7" t="str">
        <f>Tab_Data_Flows[[#This Row],[Flow_ID]]&amp;"_"&amp;"DM_"&amp;Tab_Data_Flows[[#This Row],[Flow_Data_Year]]</f>
        <v>F_01_02_DM_2024</v>
      </c>
      <c r="AA227" s="7">
        <f>IF(E227="Yes",Y227*Tab_Data_Flows[[#This Row],[Flow_Material]],"N.A.")</f>
        <v>112111.74274354368</v>
      </c>
      <c r="AB227" s="7" t="str">
        <f>Tab_Data_Flows[[#This Row],[UoM_Flow_Py]]</f>
        <v>Mg</v>
      </c>
      <c r="AC227" s="143">
        <f>INDEX(Tab_Def_Flows[[Flow_ID]:[CC_DM_source]],MATCH(Tab_Data_Flows[[#This Row],[Flow_Name]],Tab_Def_Flows[Flow_Name],0),17)</f>
        <v>0</v>
      </c>
      <c r="AD227" s="7" t="str">
        <f>Tab_Data_Flows[[#This Row],[Flow_ID]]&amp;"_"&amp;"CC_"&amp;Tab_Data_Flows[[#This Row],[Flow_Data_Year]]</f>
        <v>F_01_02_CC_2024</v>
      </c>
      <c r="AE227" s="7">
        <f>IF(F227="Yes",AC227*Tab_Data_Flows[[#This Row],[Flow_Material]]*Tab_Data_Flows[[#This Row],[DM_'[%']]],"N.A.")</f>
        <v>0</v>
      </c>
      <c r="AF227" s="7" t="str">
        <f>Tab_Data_Flows[[#This Row],[UoM_Flow_Py]]</f>
        <v>Mg</v>
      </c>
      <c r="AG227"/>
    </row>
    <row r="228" spans="1:33" x14ac:dyDescent="0.25">
      <c r="A228" s="9">
        <f t="shared" si="3"/>
        <v>227</v>
      </c>
      <c r="B228" s="7" t="str">
        <f>_xlfn.XLOOKUP(C228,Tab_Def_Flows[Flow_Name],Tab_Def_Flows[Flow_ID],,0,)</f>
        <v>F_01_02</v>
      </c>
      <c r="C228" s="142" t="s">
        <v>599</v>
      </c>
      <c r="D228" s="10" t="str">
        <f>_xlfn.XLOOKUP(C228,Tab_Def_Flows[Flow_Name],Tab_Def_Flows[WC?],,0,)</f>
        <v>Yes</v>
      </c>
      <c r="E228" s="10" t="str">
        <f>_xlfn.XLOOKUP(C228,Tab_Def_Flows[Flow_Name],Tab_Def_Flows[DM?],,0,)</f>
        <v>Yes</v>
      </c>
      <c r="F228" s="10" t="str">
        <f>_xlfn.XLOOKUP(C228,Tab_Def_Flows[Flow_Name],Tab_Def_Flows[CC?],,0,)</f>
        <v>Yes</v>
      </c>
      <c r="G228" s="8">
        <v>2025</v>
      </c>
      <c r="H228" s="23">
        <v>371383.73102486564</v>
      </c>
      <c r="I228" s="8" t="s">
        <v>198</v>
      </c>
      <c r="J228" s="15"/>
      <c r="K228" s="15"/>
      <c r="L228" s="15"/>
      <c r="M228" s="15"/>
      <c r="N228" s="15"/>
      <c r="O228" s="8" t="s">
        <v>6</v>
      </c>
      <c r="P228" s="16"/>
      <c r="Q228" s="8"/>
      <c r="R228" s="7" t="str">
        <f>Tab_Data_Flows[[#This Row],[Flow_ID]]&amp;"_"&amp;"material_"&amp;Tab_Data_Flows[[#This Row],[Flow_Data_Year]]</f>
        <v>F_01_02_material_2025</v>
      </c>
      <c r="S228" s="14">
        <f>IF(O228="no",H228,H228*P228)</f>
        <v>371383.73102486564</v>
      </c>
      <c r="T228" s="8" t="s">
        <v>198</v>
      </c>
      <c r="U228" s="143">
        <f>INDEX(Tab_Def_Flows[[Flow_ID]:[CC_DM_source]],MATCH(Tab_Data_Flows[[#This Row],[Flow_Name]],Tab_Def_Flows[Flow_Name],0),11)</f>
        <v>0.6</v>
      </c>
      <c r="V228" s="7" t="str">
        <f>Tab_Data_Flows[[#This Row],[Flow_ID]]&amp;"_"&amp;"WC_"&amp;Tab_Data_Flows[[#This Row],[Flow_Data_Year]]</f>
        <v>F_01_02_WC_2025</v>
      </c>
      <c r="W228" s="7">
        <f>IF(D228="Yes",S228*Tab_Data_Flows[[#This Row],[WC_'[%']]],"N.A.")</f>
        <v>222830.23861491939</v>
      </c>
      <c r="X228" s="7" t="str">
        <f>Tab_Data_Flows[[#This Row],[UoM_Flow_Py]]</f>
        <v>Mg</v>
      </c>
      <c r="Y228" s="143">
        <f>INDEX(Tab_Def_Flows[[Flow_ID]:[CC_DM_source]],MATCH(Tab_Data_Flows[[#This Row],[Flow_Name]],Tab_Def_Flows[Flow_Name],0),14)</f>
        <v>0.4</v>
      </c>
      <c r="Z228" s="7" t="str">
        <f>Tab_Data_Flows[[#This Row],[Flow_ID]]&amp;"_"&amp;"DM_"&amp;Tab_Data_Flows[[#This Row],[Flow_Data_Year]]</f>
        <v>F_01_02_DM_2025</v>
      </c>
      <c r="AA228" s="7">
        <f>IF(E228="Yes",Y228*Tab_Data_Flows[[#This Row],[Flow_Material]],"N.A.")</f>
        <v>148553.49240994625</v>
      </c>
      <c r="AB228" s="7" t="str">
        <f>Tab_Data_Flows[[#This Row],[UoM_Flow_Py]]</f>
        <v>Mg</v>
      </c>
      <c r="AC228" s="143">
        <f>INDEX(Tab_Def_Flows[[Flow_ID]:[CC_DM_source]],MATCH(Tab_Data_Flows[[#This Row],[Flow_Name]],Tab_Def_Flows[Flow_Name],0),17)</f>
        <v>0</v>
      </c>
      <c r="AD228" s="7" t="str">
        <f>Tab_Data_Flows[[#This Row],[Flow_ID]]&amp;"_"&amp;"CC_"&amp;Tab_Data_Flows[[#This Row],[Flow_Data_Year]]</f>
        <v>F_01_02_CC_2025</v>
      </c>
      <c r="AE228" s="7">
        <f>IF(F228="Yes",AC228*Tab_Data_Flows[[#This Row],[Flow_Material]]*Tab_Data_Flows[[#This Row],[DM_'[%']]],"N.A.")</f>
        <v>0</v>
      </c>
      <c r="AF228" s="7" t="str">
        <f>Tab_Data_Flows[[#This Row],[UoM_Flow_Py]]</f>
        <v>Mg</v>
      </c>
      <c r="AG228"/>
    </row>
    <row r="229" spans="1:33" x14ac:dyDescent="0.25">
      <c r="A229" s="9">
        <f t="shared" si="3"/>
        <v>228</v>
      </c>
      <c r="B229" s="7" t="str">
        <f>_xlfn.XLOOKUP(C229,Tab_Def_Flows[Flow_Name],Tab_Def_Flows[Flow_ID],,0,)</f>
        <v>F_01_02</v>
      </c>
      <c r="C229" s="142" t="s">
        <v>599</v>
      </c>
      <c r="D229" s="10" t="str">
        <f>_xlfn.XLOOKUP(C229,Tab_Def_Flows[Flow_Name],Tab_Def_Flows[WC?],,0,)</f>
        <v>Yes</v>
      </c>
      <c r="E229" s="10" t="str">
        <f>_xlfn.XLOOKUP(C229,Tab_Def_Flows[Flow_Name],Tab_Def_Flows[DM?],,0,)</f>
        <v>Yes</v>
      </c>
      <c r="F229" s="10" t="str">
        <f>_xlfn.XLOOKUP(C229,Tab_Def_Flows[Flow_Name],Tab_Def_Flows[CC?],,0,)</f>
        <v>Yes</v>
      </c>
      <c r="G229" s="8">
        <v>2026</v>
      </c>
      <c r="H229" s="23">
        <v>401106.94815923437</v>
      </c>
      <c r="I229" s="8" t="s">
        <v>198</v>
      </c>
      <c r="J229" s="15"/>
      <c r="K229" s="15"/>
      <c r="L229" s="15"/>
      <c r="M229" s="15"/>
      <c r="N229" s="15"/>
      <c r="O229" s="8" t="s">
        <v>6</v>
      </c>
      <c r="P229" s="16"/>
      <c r="Q229" s="8"/>
      <c r="R229" s="7" t="str">
        <f>Tab_Data_Flows[[#This Row],[Flow_ID]]&amp;"_"&amp;"material_"&amp;Tab_Data_Flows[[#This Row],[Flow_Data_Year]]</f>
        <v>F_01_02_material_2026</v>
      </c>
      <c r="S229" s="14">
        <f>IF(O229="no",H229,H229*P229)</f>
        <v>401106.94815923437</v>
      </c>
      <c r="T229" s="8" t="s">
        <v>198</v>
      </c>
      <c r="U229" s="143">
        <f>INDEX(Tab_Def_Flows[[Flow_ID]:[CC_DM_source]],MATCH(Tab_Data_Flows[[#This Row],[Flow_Name]],Tab_Def_Flows[Flow_Name],0),11)</f>
        <v>0.6</v>
      </c>
      <c r="V229" s="7" t="str">
        <f>Tab_Data_Flows[[#This Row],[Flow_ID]]&amp;"_"&amp;"WC_"&amp;Tab_Data_Flows[[#This Row],[Flow_Data_Year]]</f>
        <v>F_01_02_WC_2026</v>
      </c>
      <c r="W229" s="7">
        <f>IF(D229="Yes",S229*Tab_Data_Flows[[#This Row],[WC_'[%']]],"N.A.")</f>
        <v>240664.16889554061</v>
      </c>
      <c r="X229" s="7" t="str">
        <f>Tab_Data_Flows[[#This Row],[UoM_Flow_Py]]</f>
        <v>Mg</v>
      </c>
      <c r="Y229" s="143">
        <f>INDEX(Tab_Def_Flows[[Flow_ID]:[CC_DM_source]],MATCH(Tab_Data_Flows[[#This Row],[Flow_Name]],Tab_Def_Flows[Flow_Name],0),14)</f>
        <v>0.4</v>
      </c>
      <c r="Z229" s="7" t="str">
        <f>Tab_Data_Flows[[#This Row],[Flow_ID]]&amp;"_"&amp;"DM_"&amp;Tab_Data_Flows[[#This Row],[Flow_Data_Year]]</f>
        <v>F_01_02_DM_2026</v>
      </c>
      <c r="AA229" s="7">
        <f>IF(E229="Yes",Y229*Tab_Data_Flows[[#This Row],[Flow_Material]],"N.A.")</f>
        <v>160442.77926369375</v>
      </c>
      <c r="AB229" s="7" t="str">
        <f>Tab_Data_Flows[[#This Row],[UoM_Flow_Py]]</f>
        <v>Mg</v>
      </c>
      <c r="AC229" s="143">
        <f>INDEX(Tab_Def_Flows[[Flow_ID]:[CC_DM_source]],MATCH(Tab_Data_Flows[[#This Row],[Flow_Name]],Tab_Def_Flows[Flow_Name],0),17)</f>
        <v>0</v>
      </c>
      <c r="AD229" s="7" t="str">
        <f>Tab_Data_Flows[[#This Row],[Flow_ID]]&amp;"_"&amp;"CC_"&amp;Tab_Data_Flows[[#This Row],[Flow_Data_Year]]</f>
        <v>F_01_02_CC_2026</v>
      </c>
      <c r="AE229" s="7">
        <f>IF(F229="Yes",AC229*Tab_Data_Flows[[#This Row],[Flow_Material]]*Tab_Data_Flows[[#This Row],[DM_'[%']]],"N.A.")</f>
        <v>0</v>
      </c>
      <c r="AF229" s="7" t="str">
        <f>Tab_Data_Flows[[#This Row],[UoM_Flow_Py]]</f>
        <v>Mg</v>
      </c>
      <c r="AG229"/>
    </row>
    <row r="230" spans="1:33" x14ac:dyDescent="0.25">
      <c r="A230" s="9">
        <f t="shared" si="3"/>
        <v>229</v>
      </c>
      <c r="B230" s="7" t="str">
        <f>_xlfn.XLOOKUP(C230,Tab_Def_Flows[Flow_Name],Tab_Def_Flows[Flow_ID],,0,)</f>
        <v>F_01_02</v>
      </c>
      <c r="C230" s="142" t="s">
        <v>599</v>
      </c>
      <c r="D230" s="10" t="str">
        <f>_xlfn.XLOOKUP(C230,Tab_Def_Flows[Flow_Name],Tab_Def_Flows[WC?],,0,)</f>
        <v>Yes</v>
      </c>
      <c r="E230" s="10" t="str">
        <f>_xlfn.XLOOKUP(C230,Tab_Def_Flows[Flow_Name],Tab_Def_Flows[DM?],,0,)</f>
        <v>Yes</v>
      </c>
      <c r="F230" s="10" t="str">
        <f>_xlfn.XLOOKUP(C230,Tab_Def_Flows[Flow_Name],Tab_Def_Flows[CC?],,0,)</f>
        <v>Yes</v>
      </c>
      <c r="G230" s="8">
        <v>2027</v>
      </c>
      <c r="H230" s="23">
        <v>458863.75930246571</v>
      </c>
      <c r="I230" s="8" t="s">
        <v>198</v>
      </c>
      <c r="J230" s="15"/>
      <c r="K230" s="15"/>
      <c r="L230" s="15"/>
      <c r="M230" s="15"/>
      <c r="N230" s="15"/>
      <c r="O230" s="8" t="s">
        <v>6</v>
      </c>
      <c r="P230" s="16"/>
      <c r="Q230" s="8"/>
      <c r="R230" s="7" t="str">
        <f>Tab_Data_Flows[[#This Row],[Flow_ID]]&amp;"_"&amp;"material_"&amp;Tab_Data_Flows[[#This Row],[Flow_Data_Year]]</f>
        <v>F_01_02_material_2027</v>
      </c>
      <c r="S230" s="14">
        <f>IF(O230="no",H230,H230*P230)</f>
        <v>458863.75930246571</v>
      </c>
      <c r="T230" s="8" t="s">
        <v>198</v>
      </c>
      <c r="U230" s="143">
        <f>INDEX(Tab_Def_Flows[[Flow_ID]:[CC_DM_source]],MATCH(Tab_Data_Flows[[#This Row],[Flow_Name]],Tab_Def_Flows[Flow_Name],0),11)</f>
        <v>0.6</v>
      </c>
      <c r="V230" s="7" t="str">
        <f>Tab_Data_Flows[[#This Row],[Flow_ID]]&amp;"_"&amp;"WC_"&amp;Tab_Data_Flows[[#This Row],[Flow_Data_Year]]</f>
        <v>F_01_02_WC_2027</v>
      </c>
      <c r="W230" s="7">
        <f>IF(D230="Yes",S230*Tab_Data_Flows[[#This Row],[WC_'[%']]],"N.A.")</f>
        <v>275318.2555814794</v>
      </c>
      <c r="X230" s="7" t="str">
        <f>Tab_Data_Flows[[#This Row],[UoM_Flow_Py]]</f>
        <v>Mg</v>
      </c>
      <c r="Y230" s="143">
        <f>INDEX(Tab_Def_Flows[[Flow_ID]:[CC_DM_source]],MATCH(Tab_Data_Flows[[#This Row],[Flow_Name]],Tab_Def_Flows[Flow_Name],0),14)</f>
        <v>0.4</v>
      </c>
      <c r="Z230" s="7" t="str">
        <f>Tab_Data_Flows[[#This Row],[Flow_ID]]&amp;"_"&amp;"DM_"&amp;Tab_Data_Flows[[#This Row],[Flow_Data_Year]]</f>
        <v>F_01_02_DM_2027</v>
      </c>
      <c r="AA230" s="7">
        <f>IF(E230="Yes",Y230*Tab_Data_Flows[[#This Row],[Flow_Material]],"N.A.")</f>
        <v>183545.50372098631</v>
      </c>
      <c r="AB230" s="7" t="str">
        <f>Tab_Data_Flows[[#This Row],[UoM_Flow_Py]]</f>
        <v>Mg</v>
      </c>
      <c r="AC230" s="143">
        <f>INDEX(Tab_Def_Flows[[Flow_ID]:[CC_DM_source]],MATCH(Tab_Data_Flows[[#This Row],[Flow_Name]],Tab_Def_Flows[Flow_Name],0),17)</f>
        <v>0</v>
      </c>
      <c r="AD230" s="7" t="str">
        <f>Tab_Data_Flows[[#This Row],[Flow_ID]]&amp;"_"&amp;"CC_"&amp;Tab_Data_Flows[[#This Row],[Flow_Data_Year]]</f>
        <v>F_01_02_CC_2027</v>
      </c>
      <c r="AE230" s="7">
        <f>IF(F230="Yes",AC230*Tab_Data_Flows[[#This Row],[Flow_Material]]*Tab_Data_Flows[[#This Row],[DM_'[%']]],"N.A.")</f>
        <v>0</v>
      </c>
      <c r="AF230" s="7" t="str">
        <f>Tab_Data_Flows[[#This Row],[UoM_Flow_Py]]</f>
        <v>Mg</v>
      </c>
      <c r="AG230"/>
    </row>
    <row r="231" spans="1:33" x14ac:dyDescent="0.25">
      <c r="A231" s="9">
        <f t="shared" si="3"/>
        <v>230</v>
      </c>
      <c r="B231" s="7" t="str">
        <f>_xlfn.XLOOKUP(C231,Tab_Def_Flows[Flow_Name],Tab_Def_Flows[Flow_ID],,0,)</f>
        <v>F_01_02</v>
      </c>
      <c r="C231" s="142" t="s">
        <v>599</v>
      </c>
      <c r="D231" s="10" t="str">
        <f>_xlfn.XLOOKUP(C231,Tab_Def_Flows[Flow_Name],Tab_Def_Flows[WC?],,0,)</f>
        <v>Yes</v>
      </c>
      <c r="E231" s="10" t="str">
        <f>_xlfn.XLOOKUP(C231,Tab_Def_Flows[Flow_Name],Tab_Def_Flows[DM?],,0,)</f>
        <v>Yes</v>
      </c>
      <c r="F231" s="10" t="str">
        <f>_xlfn.XLOOKUP(C231,Tab_Def_Flows[Flow_Name],Tab_Def_Flows[CC?],,0,)</f>
        <v>Yes</v>
      </c>
      <c r="G231" s="8">
        <v>2028</v>
      </c>
      <c r="H231" s="23">
        <v>355996.17529646319</v>
      </c>
      <c r="I231" s="8" t="s">
        <v>198</v>
      </c>
      <c r="J231" s="15"/>
      <c r="K231" s="15"/>
      <c r="L231" s="15"/>
      <c r="M231" s="15"/>
      <c r="N231" s="15"/>
      <c r="O231" s="8" t="s">
        <v>6</v>
      </c>
      <c r="P231" s="16"/>
      <c r="Q231" s="8"/>
      <c r="R231" s="7" t="str">
        <f>Tab_Data_Flows[[#This Row],[Flow_ID]]&amp;"_"&amp;"material_"&amp;Tab_Data_Flows[[#This Row],[Flow_Data_Year]]</f>
        <v>F_01_02_material_2028</v>
      </c>
      <c r="S231" s="14">
        <f>IF(O231="no",H231,H231*P231)</f>
        <v>355996.17529646319</v>
      </c>
      <c r="T231" s="8" t="s">
        <v>198</v>
      </c>
      <c r="U231" s="143">
        <f>INDEX(Tab_Def_Flows[[Flow_ID]:[CC_DM_source]],MATCH(Tab_Data_Flows[[#This Row],[Flow_Name]],Tab_Def_Flows[Flow_Name],0),11)</f>
        <v>0.6</v>
      </c>
      <c r="V231" s="7" t="str">
        <f>Tab_Data_Flows[[#This Row],[Flow_ID]]&amp;"_"&amp;"WC_"&amp;Tab_Data_Flows[[#This Row],[Flow_Data_Year]]</f>
        <v>F_01_02_WC_2028</v>
      </c>
      <c r="W231" s="7">
        <f>IF(D231="Yes",S231*Tab_Data_Flows[[#This Row],[WC_'[%']]],"N.A.")</f>
        <v>213597.70517787791</v>
      </c>
      <c r="X231" s="7" t="str">
        <f>Tab_Data_Flows[[#This Row],[UoM_Flow_Py]]</f>
        <v>Mg</v>
      </c>
      <c r="Y231" s="143">
        <f>INDEX(Tab_Def_Flows[[Flow_ID]:[CC_DM_source]],MATCH(Tab_Data_Flows[[#This Row],[Flow_Name]],Tab_Def_Flows[Flow_Name],0),14)</f>
        <v>0.4</v>
      </c>
      <c r="Z231" s="7" t="str">
        <f>Tab_Data_Flows[[#This Row],[Flow_ID]]&amp;"_"&amp;"DM_"&amp;Tab_Data_Flows[[#This Row],[Flow_Data_Year]]</f>
        <v>F_01_02_DM_2028</v>
      </c>
      <c r="AA231" s="7">
        <f>IF(E231="Yes",Y231*Tab_Data_Flows[[#This Row],[Flow_Material]],"N.A.")</f>
        <v>142398.47011858528</v>
      </c>
      <c r="AB231" s="7" t="str">
        <f>Tab_Data_Flows[[#This Row],[UoM_Flow_Py]]</f>
        <v>Mg</v>
      </c>
      <c r="AC231" s="143">
        <f>INDEX(Tab_Def_Flows[[Flow_ID]:[CC_DM_source]],MATCH(Tab_Data_Flows[[#This Row],[Flow_Name]],Tab_Def_Flows[Flow_Name],0),17)</f>
        <v>0</v>
      </c>
      <c r="AD231" s="7" t="str">
        <f>Tab_Data_Flows[[#This Row],[Flow_ID]]&amp;"_"&amp;"CC_"&amp;Tab_Data_Flows[[#This Row],[Flow_Data_Year]]</f>
        <v>F_01_02_CC_2028</v>
      </c>
      <c r="AE231" s="7">
        <f>IF(F231="Yes",AC231*Tab_Data_Flows[[#This Row],[Flow_Material]]*Tab_Data_Flows[[#This Row],[DM_'[%']]],"N.A.")</f>
        <v>0</v>
      </c>
      <c r="AF231" s="7" t="str">
        <f>Tab_Data_Flows[[#This Row],[UoM_Flow_Py]]</f>
        <v>Mg</v>
      </c>
      <c r="AG231"/>
    </row>
    <row r="232" spans="1:33" x14ac:dyDescent="0.25">
      <c r="A232" s="9">
        <f t="shared" si="3"/>
        <v>231</v>
      </c>
      <c r="B232" s="7" t="str">
        <f>_xlfn.XLOOKUP(C232,Tab_Def_Flows[Flow_Name],Tab_Def_Flows[Flow_ID],,0,)</f>
        <v>F_01_02</v>
      </c>
      <c r="C232" s="142" t="s">
        <v>599</v>
      </c>
      <c r="D232" s="10" t="str">
        <f>_xlfn.XLOOKUP(C232,Tab_Def_Flows[Flow_Name],Tab_Def_Flows[WC?],,0,)</f>
        <v>Yes</v>
      </c>
      <c r="E232" s="10" t="str">
        <f>_xlfn.XLOOKUP(C232,Tab_Def_Flows[Flow_Name],Tab_Def_Flows[DM?],,0,)</f>
        <v>Yes</v>
      </c>
      <c r="F232" s="10" t="str">
        <f>_xlfn.XLOOKUP(C232,Tab_Def_Flows[Flow_Name],Tab_Def_Flows[CC?],,0,)</f>
        <v>Yes</v>
      </c>
      <c r="G232" s="8">
        <v>2029</v>
      </c>
      <c r="H232" s="23">
        <v>341040.20250855136</v>
      </c>
      <c r="I232" s="8" t="s">
        <v>198</v>
      </c>
      <c r="J232" s="15"/>
      <c r="K232" s="15"/>
      <c r="L232" s="15"/>
      <c r="M232" s="15"/>
      <c r="N232" s="15"/>
      <c r="O232" s="8" t="s">
        <v>6</v>
      </c>
      <c r="P232" s="16"/>
      <c r="Q232" s="8"/>
      <c r="R232" s="7" t="str">
        <f>Tab_Data_Flows[[#This Row],[Flow_ID]]&amp;"_"&amp;"material_"&amp;Tab_Data_Flows[[#This Row],[Flow_Data_Year]]</f>
        <v>F_01_02_material_2029</v>
      </c>
      <c r="S232" s="14">
        <f>IF(O232="no",H232,H232*P232)</f>
        <v>341040.20250855136</v>
      </c>
      <c r="T232" s="8" t="s">
        <v>198</v>
      </c>
      <c r="U232" s="143">
        <f>INDEX(Tab_Def_Flows[[Flow_ID]:[CC_DM_source]],MATCH(Tab_Data_Flows[[#This Row],[Flow_Name]],Tab_Def_Flows[Flow_Name],0),11)</f>
        <v>0.6</v>
      </c>
      <c r="V232" s="7" t="str">
        <f>Tab_Data_Flows[[#This Row],[Flow_ID]]&amp;"_"&amp;"WC_"&amp;Tab_Data_Flows[[#This Row],[Flow_Data_Year]]</f>
        <v>F_01_02_WC_2029</v>
      </c>
      <c r="W232" s="7">
        <f>IF(D232="Yes",S232*Tab_Data_Flows[[#This Row],[WC_'[%']]],"N.A.")</f>
        <v>204624.12150513081</v>
      </c>
      <c r="X232" s="7" t="str">
        <f>Tab_Data_Flows[[#This Row],[UoM_Flow_Py]]</f>
        <v>Mg</v>
      </c>
      <c r="Y232" s="143">
        <f>INDEX(Tab_Def_Flows[[Flow_ID]:[CC_DM_source]],MATCH(Tab_Data_Flows[[#This Row],[Flow_Name]],Tab_Def_Flows[Flow_Name],0),14)</f>
        <v>0.4</v>
      </c>
      <c r="Z232" s="7" t="str">
        <f>Tab_Data_Flows[[#This Row],[Flow_ID]]&amp;"_"&amp;"DM_"&amp;Tab_Data_Flows[[#This Row],[Flow_Data_Year]]</f>
        <v>F_01_02_DM_2029</v>
      </c>
      <c r="AA232" s="7">
        <f>IF(E232="Yes",Y232*Tab_Data_Flows[[#This Row],[Flow_Material]],"N.A.")</f>
        <v>136416.08100342055</v>
      </c>
      <c r="AB232" s="7" t="str">
        <f>Tab_Data_Flows[[#This Row],[UoM_Flow_Py]]</f>
        <v>Mg</v>
      </c>
      <c r="AC232" s="143">
        <f>INDEX(Tab_Def_Flows[[Flow_ID]:[CC_DM_source]],MATCH(Tab_Data_Flows[[#This Row],[Flow_Name]],Tab_Def_Flows[Flow_Name],0),17)</f>
        <v>0</v>
      </c>
      <c r="AD232" s="7" t="str">
        <f>Tab_Data_Flows[[#This Row],[Flow_ID]]&amp;"_"&amp;"CC_"&amp;Tab_Data_Flows[[#This Row],[Flow_Data_Year]]</f>
        <v>F_01_02_CC_2029</v>
      </c>
      <c r="AE232" s="7">
        <f>IF(F232="Yes",AC232*Tab_Data_Flows[[#This Row],[Flow_Material]]*Tab_Data_Flows[[#This Row],[DM_'[%']]],"N.A.")</f>
        <v>0</v>
      </c>
      <c r="AF232" s="7" t="str">
        <f>Tab_Data_Flows[[#This Row],[UoM_Flow_Py]]</f>
        <v>Mg</v>
      </c>
      <c r="AG232"/>
    </row>
    <row r="233" spans="1:33" x14ac:dyDescent="0.25">
      <c r="A233" s="9">
        <f t="shared" si="3"/>
        <v>232</v>
      </c>
      <c r="B233" s="7" t="str">
        <f>_xlfn.XLOOKUP(C233,Tab_Def_Flows[Flow_Name],Tab_Def_Flows[Flow_ID],,0,)</f>
        <v>F_01_02</v>
      </c>
      <c r="C233" s="142" t="s">
        <v>599</v>
      </c>
      <c r="D233" s="10" t="str">
        <f>_xlfn.XLOOKUP(C233,Tab_Def_Flows[Flow_Name],Tab_Def_Flows[WC?],,0,)</f>
        <v>Yes</v>
      </c>
      <c r="E233" s="10" t="str">
        <f>_xlfn.XLOOKUP(C233,Tab_Def_Flows[Flow_Name],Tab_Def_Flows[DM?],,0,)</f>
        <v>Yes</v>
      </c>
      <c r="F233" s="10" t="str">
        <f>_xlfn.XLOOKUP(C233,Tab_Def_Flows[Flow_Name],Tab_Def_Flows[CC?],,0,)</f>
        <v>Yes</v>
      </c>
      <c r="G233" s="8">
        <v>2030</v>
      </c>
      <c r="H233" s="23">
        <v>356847.14253198123</v>
      </c>
      <c r="I233" s="8" t="s">
        <v>198</v>
      </c>
      <c r="J233" s="15"/>
      <c r="K233" s="15"/>
      <c r="L233" s="15"/>
      <c r="M233" s="15"/>
      <c r="N233" s="15"/>
      <c r="O233" s="8" t="s">
        <v>6</v>
      </c>
      <c r="P233" s="16"/>
      <c r="Q233" s="8"/>
      <c r="R233" s="7" t="str">
        <f>Tab_Data_Flows[[#This Row],[Flow_ID]]&amp;"_"&amp;"material_"&amp;Tab_Data_Flows[[#This Row],[Flow_Data_Year]]</f>
        <v>F_01_02_material_2030</v>
      </c>
      <c r="S233" s="14">
        <f>IF(O233="no",H233,H233*P233)</f>
        <v>356847.14253198123</v>
      </c>
      <c r="T233" s="8" t="s">
        <v>198</v>
      </c>
      <c r="U233" s="143">
        <f>INDEX(Tab_Def_Flows[[Flow_ID]:[CC_DM_source]],MATCH(Tab_Data_Flows[[#This Row],[Flow_Name]],Tab_Def_Flows[Flow_Name],0),11)</f>
        <v>0.6</v>
      </c>
      <c r="V233" s="7" t="str">
        <f>Tab_Data_Flows[[#This Row],[Flow_ID]]&amp;"_"&amp;"WC_"&amp;Tab_Data_Flows[[#This Row],[Flow_Data_Year]]</f>
        <v>F_01_02_WC_2030</v>
      </c>
      <c r="W233" s="7">
        <f>IF(D233="Yes",S233*Tab_Data_Flows[[#This Row],[WC_'[%']]],"N.A.")</f>
        <v>214108.28551918874</v>
      </c>
      <c r="X233" s="7" t="str">
        <f>Tab_Data_Flows[[#This Row],[UoM_Flow_Py]]</f>
        <v>Mg</v>
      </c>
      <c r="Y233" s="143">
        <f>INDEX(Tab_Def_Flows[[Flow_ID]:[CC_DM_source]],MATCH(Tab_Data_Flows[[#This Row],[Flow_Name]],Tab_Def_Flows[Flow_Name],0),14)</f>
        <v>0.4</v>
      </c>
      <c r="Z233" s="7" t="str">
        <f>Tab_Data_Flows[[#This Row],[Flow_ID]]&amp;"_"&amp;"DM_"&amp;Tab_Data_Flows[[#This Row],[Flow_Data_Year]]</f>
        <v>F_01_02_DM_2030</v>
      </c>
      <c r="AA233" s="7">
        <f>IF(E233="Yes",Y233*Tab_Data_Flows[[#This Row],[Flow_Material]],"N.A.")</f>
        <v>142738.85701279249</v>
      </c>
      <c r="AB233" s="7" t="str">
        <f>Tab_Data_Flows[[#This Row],[UoM_Flow_Py]]</f>
        <v>Mg</v>
      </c>
      <c r="AC233" s="143">
        <f>INDEX(Tab_Def_Flows[[Flow_ID]:[CC_DM_source]],MATCH(Tab_Data_Flows[[#This Row],[Flow_Name]],Tab_Def_Flows[Flow_Name],0),17)</f>
        <v>0</v>
      </c>
      <c r="AD233" s="7" t="str">
        <f>Tab_Data_Flows[[#This Row],[Flow_ID]]&amp;"_"&amp;"CC_"&amp;Tab_Data_Flows[[#This Row],[Flow_Data_Year]]</f>
        <v>F_01_02_CC_2030</v>
      </c>
      <c r="AE233" s="7">
        <f>IF(F233="Yes",AC233*Tab_Data_Flows[[#This Row],[Flow_Material]]*Tab_Data_Flows[[#This Row],[DM_'[%']]],"N.A.")</f>
        <v>0</v>
      </c>
      <c r="AF233" s="7" t="str">
        <f>Tab_Data_Flows[[#This Row],[UoM_Flow_Py]]</f>
        <v>Mg</v>
      </c>
      <c r="AG233"/>
    </row>
    <row r="234" spans="1:33" x14ac:dyDescent="0.25">
      <c r="A234" s="9">
        <f t="shared" si="3"/>
        <v>233</v>
      </c>
      <c r="B234" s="7" t="str">
        <f>_xlfn.XLOOKUP(C234,Tab_Def_Flows[Flow_Name],Tab_Def_Flows[Flow_ID],,0,)</f>
        <v>F_01_02</v>
      </c>
      <c r="C234" s="142" t="s">
        <v>599</v>
      </c>
      <c r="D234" s="10" t="str">
        <f>_xlfn.XLOOKUP(C234,Tab_Def_Flows[Flow_Name],Tab_Def_Flows[WC?],,0,)</f>
        <v>Yes</v>
      </c>
      <c r="E234" s="10" t="str">
        <f>_xlfn.XLOOKUP(C234,Tab_Def_Flows[Flow_Name],Tab_Def_Flows[DM?],,0,)</f>
        <v>Yes</v>
      </c>
      <c r="F234" s="10" t="str">
        <f>_xlfn.XLOOKUP(C234,Tab_Def_Flows[Flow_Name],Tab_Def_Flows[CC?],,0,)</f>
        <v>Yes</v>
      </c>
      <c r="G234" s="8">
        <v>2031</v>
      </c>
      <c r="H234" s="23">
        <v>429877.07387306704</v>
      </c>
      <c r="I234" s="8" t="s">
        <v>198</v>
      </c>
      <c r="J234" s="15"/>
      <c r="K234" s="15"/>
      <c r="L234" s="15"/>
      <c r="M234" s="15"/>
      <c r="N234" s="15"/>
      <c r="O234" s="8" t="s">
        <v>6</v>
      </c>
      <c r="P234" s="16"/>
      <c r="Q234" s="8"/>
      <c r="R234" s="7" t="str">
        <f>Tab_Data_Flows[[#This Row],[Flow_ID]]&amp;"_"&amp;"material_"&amp;Tab_Data_Flows[[#This Row],[Flow_Data_Year]]</f>
        <v>F_01_02_material_2031</v>
      </c>
      <c r="S234" s="14">
        <f>IF(O234="no",H234,H234*P234)</f>
        <v>429877.07387306704</v>
      </c>
      <c r="T234" s="8" t="s">
        <v>198</v>
      </c>
      <c r="U234" s="143">
        <f>INDEX(Tab_Def_Flows[[Flow_ID]:[CC_DM_source]],MATCH(Tab_Data_Flows[[#This Row],[Flow_Name]],Tab_Def_Flows[Flow_Name],0),11)</f>
        <v>0.6</v>
      </c>
      <c r="V234" s="7" t="str">
        <f>Tab_Data_Flows[[#This Row],[Flow_ID]]&amp;"_"&amp;"WC_"&amp;Tab_Data_Flows[[#This Row],[Flow_Data_Year]]</f>
        <v>F_01_02_WC_2031</v>
      </c>
      <c r="W234" s="7">
        <f>IF(D234="Yes",S234*Tab_Data_Flows[[#This Row],[WC_'[%']]],"N.A.")</f>
        <v>257926.24432384022</v>
      </c>
      <c r="X234" s="7" t="str">
        <f>Tab_Data_Flows[[#This Row],[UoM_Flow_Py]]</f>
        <v>Mg</v>
      </c>
      <c r="Y234" s="143">
        <f>INDEX(Tab_Def_Flows[[Flow_ID]:[CC_DM_source]],MATCH(Tab_Data_Flows[[#This Row],[Flow_Name]],Tab_Def_Flows[Flow_Name],0),14)</f>
        <v>0.4</v>
      </c>
      <c r="Z234" s="7" t="str">
        <f>Tab_Data_Flows[[#This Row],[Flow_ID]]&amp;"_"&amp;"DM_"&amp;Tab_Data_Flows[[#This Row],[Flow_Data_Year]]</f>
        <v>F_01_02_DM_2031</v>
      </c>
      <c r="AA234" s="7">
        <f>IF(E234="Yes",Y234*Tab_Data_Flows[[#This Row],[Flow_Material]],"N.A.")</f>
        <v>171950.82954922682</v>
      </c>
      <c r="AB234" s="7" t="str">
        <f>Tab_Data_Flows[[#This Row],[UoM_Flow_Py]]</f>
        <v>Mg</v>
      </c>
      <c r="AC234" s="143">
        <f>INDEX(Tab_Def_Flows[[Flow_ID]:[CC_DM_source]],MATCH(Tab_Data_Flows[[#This Row],[Flow_Name]],Tab_Def_Flows[Flow_Name],0),17)</f>
        <v>0</v>
      </c>
      <c r="AD234" s="7" t="str">
        <f>Tab_Data_Flows[[#This Row],[Flow_ID]]&amp;"_"&amp;"CC_"&amp;Tab_Data_Flows[[#This Row],[Flow_Data_Year]]</f>
        <v>F_01_02_CC_2031</v>
      </c>
      <c r="AE234" s="7">
        <f>IF(F234="Yes",AC234*Tab_Data_Flows[[#This Row],[Flow_Material]]*Tab_Data_Flows[[#This Row],[DM_'[%']]],"N.A.")</f>
        <v>0</v>
      </c>
      <c r="AF234" s="7" t="str">
        <f>Tab_Data_Flows[[#This Row],[UoM_Flow_Py]]</f>
        <v>Mg</v>
      </c>
      <c r="AG234"/>
    </row>
    <row r="235" spans="1:33" x14ac:dyDescent="0.25">
      <c r="A235" s="9">
        <f t="shared" si="3"/>
        <v>234</v>
      </c>
      <c r="B235" s="7" t="str">
        <f>_xlfn.XLOOKUP(C235,Tab_Def_Flows[Flow_Name],Tab_Def_Flows[Flow_ID],,0,)</f>
        <v>F_01_02</v>
      </c>
      <c r="C235" s="142" t="s">
        <v>599</v>
      </c>
      <c r="D235" s="10" t="str">
        <f>_xlfn.XLOOKUP(C235,Tab_Def_Flows[Flow_Name],Tab_Def_Flows[WC?],,0,)</f>
        <v>Yes</v>
      </c>
      <c r="E235" s="10" t="str">
        <f>_xlfn.XLOOKUP(C235,Tab_Def_Flows[Flow_Name],Tab_Def_Flows[DM?],,0,)</f>
        <v>Yes</v>
      </c>
      <c r="F235" s="10" t="str">
        <f>_xlfn.XLOOKUP(C235,Tab_Def_Flows[Flow_Name],Tab_Def_Flows[CC?],,0,)</f>
        <v>Yes</v>
      </c>
      <c r="G235" s="8">
        <v>2032</v>
      </c>
      <c r="H235" s="23">
        <v>399645.40758682013</v>
      </c>
      <c r="I235" s="8" t="s">
        <v>198</v>
      </c>
      <c r="J235" s="15"/>
      <c r="K235" s="15"/>
      <c r="L235" s="15"/>
      <c r="M235" s="15"/>
      <c r="N235" s="15"/>
      <c r="O235" s="8" t="s">
        <v>6</v>
      </c>
      <c r="P235" s="16"/>
      <c r="Q235" s="8"/>
      <c r="R235" s="7" t="str">
        <f>Tab_Data_Flows[[#This Row],[Flow_ID]]&amp;"_"&amp;"material_"&amp;Tab_Data_Flows[[#This Row],[Flow_Data_Year]]</f>
        <v>F_01_02_material_2032</v>
      </c>
      <c r="S235" s="14">
        <f>IF(O235="no",H235,H235*P235)</f>
        <v>399645.40758682013</v>
      </c>
      <c r="T235" s="8" t="s">
        <v>198</v>
      </c>
      <c r="U235" s="143">
        <f>INDEX(Tab_Def_Flows[[Flow_ID]:[CC_DM_source]],MATCH(Tab_Data_Flows[[#This Row],[Flow_Name]],Tab_Def_Flows[Flow_Name],0),11)</f>
        <v>0.6</v>
      </c>
      <c r="V235" s="7" t="str">
        <f>Tab_Data_Flows[[#This Row],[Flow_ID]]&amp;"_"&amp;"WC_"&amp;Tab_Data_Flows[[#This Row],[Flow_Data_Year]]</f>
        <v>F_01_02_WC_2032</v>
      </c>
      <c r="W235" s="7">
        <f>IF(D235="Yes",S235*Tab_Data_Flows[[#This Row],[WC_'[%']]],"N.A.")</f>
        <v>239787.24455209207</v>
      </c>
      <c r="X235" s="7" t="str">
        <f>Tab_Data_Flows[[#This Row],[UoM_Flow_Py]]</f>
        <v>Mg</v>
      </c>
      <c r="Y235" s="143">
        <f>INDEX(Tab_Def_Flows[[Flow_ID]:[CC_DM_source]],MATCH(Tab_Data_Flows[[#This Row],[Flow_Name]],Tab_Def_Flows[Flow_Name],0),14)</f>
        <v>0.4</v>
      </c>
      <c r="Z235" s="7" t="str">
        <f>Tab_Data_Flows[[#This Row],[Flow_ID]]&amp;"_"&amp;"DM_"&amp;Tab_Data_Flows[[#This Row],[Flow_Data_Year]]</f>
        <v>F_01_02_DM_2032</v>
      </c>
      <c r="AA235" s="7">
        <f>IF(E235="Yes",Y235*Tab_Data_Flows[[#This Row],[Flow_Material]],"N.A.")</f>
        <v>159858.16303472806</v>
      </c>
      <c r="AB235" s="7" t="str">
        <f>Tab_Data_Flows[[#This Row],[UoM_Flow_Py]]</f>
        <v>Mg</v>
      </c>
      <c r="AC235" s="143">
        <f>INDEX(Tab_Def_Flows[[Flow_ID]:[CC_DM_source]],MATCH(Tab_Data_Flows[[#This Row],[Flow_Name]],Tab_Def_Flows[Flow_Name],0),17)</f>
        <v>0</v>
      </c>
      <c r="AD235" s="7" t="str">
        <f>Tab_Data_Flows[[#This Row],[Flow_ID]]&amp;"_"&amp;"CC_"&amp;Tab_Data_Flows[[#This Row],[Flow_Data_Year]]</f>
        <v>F_01_02_CC_2032</v>
      </c>
      <c r="AE235" s="7">
        <f>IF(F235="Yes",AC235*Tab_Data_Flows[[#This Row],[Flow_Material]]*Tab_Data_Flows[[#This Row],[DM_'[%']]],"N.A.")</f>
        <v>0</v>
      </c>
      <c r="AF235" s="7" t="str">
        <f>Tab_Data_Flows[[#This Row],[UoM_Flow_Py]]</f>
        <v>Mg</v>
      </c>
      <c r="AG235"/>
    </row>
    <row r="236" spans="1:33" x14ac:dyDescent="0.25">
      <c r="A236" s="9">
        <f t="shared" si="3"/>
        <v>235</v>
      </c>
      <c r="B236" s="7" t="str">
        <f>_xlfn.XLOOKUP(C236,Tab_Def_Flows[Flow_Name],Tab_Def_Flows[Flow_ID],,0,)</f>
        <v>F_01_02</v>
      </c>
      <c r="C236" s="142" t="s">
        <v>599</v>
      </c>
      <c r="D236" s="10" t="str">
        <f>_xlfn.XLOOKUP(C236,Tab_Def_Flows[Flow_Name],Tab_Def_Flows[WC?],,0,)</f>
        <v>Yes</v>
      </c>
      <c r="E236" s="10" t="str">
        <f>_xlfn.XLOOKUP(C236,Tab_Def_Flows[Flow_Name],Tab_Def_Flows[DM?],,0,)</f>
        <v>Yes</v>
      </c>
      <c r="F236" s="10" t="str">
        <f>_xlfn.XLOOKUP(C236,Tab_Def_Flows[Flow_Name],Tab_Def_Flows[CC?],,0,)</f>
        <v>Yes</v>
      </c>
      <c r="G236" s="8">
        <v>2033</v>
      </c>
      <c r="H236" s="23">
        <v>355404.06618506985</v>
      </c>
      <c r="I236" s="8" t="s">
        <v>198</v>
      </c>
      <c r="J236" s="15"/>
      <c r="K236" s="15"/>
      <c r="L236" s="15"/>
      <c r="M236" s="15"/>
      <c r="N236" s="15"/>
      <c r="O236" s="8" t="s">
        <v>6</v>
      </c>
      <c r="P236" s="16"/>
      <c r="Q236" s="8"/>
      <c r="R236" s="7" t="str">
        <f>Tab_Data_Flows[[#This Row],[Flow_ID]]&amp;"_"&amp;"material_"&amp;Tab_Data_Flows[[#This Row],[Flow_Data_Year]]</f>
        <v>F_01_02_material_2033</v>
      </c>
      <c r="S236" s="14">
        <f>IF(O236="no",H236,H236*P236)</f>
        <v>355404.06618506985</v>
      </c>
      <c r="T236" s="8" t="s">
        <v>198</v>
      </c>
      <c r="U236" s="143">
        <f>INDEX(Tab_Def_Flows[[Flow_ID]:[CC_DM_source]],MATCH(Tab_Data_Flows[[#This Row],[Flow_Name]],Tab_Def_Flows[Flow_Name],0),11)</f>
        <v>0.6</v>
      </c>
      <c r="V236" s="7" t="str">
        <f>Tab_Data_Flows[[#This Row],[Flow_ID]]&amp;"_"&amp;"WC_"&amp;Tab_Data_Flows[[#This Row],[Flow_Data_Year]]</f>
        <v>F_01_02_WC_2033</v>
      </c>
      <c r="W236" s="7">
        <f>IF(D236="Yes",S236*Tab_Data_Flows[[#This Row],[WC_'[%']]],"N.A.")</f>
        <v>213242.43971104189</v>
      </c>
      <c r="X236" s="7" t="str">
        <f>Tab_Data_Flows[[#This Row],[UoM_Flow_Py]]</f>
        <v>Mg</v>
      </c>
      <c r="Y236" s="143">
        <f>INDEX(Tab_Def_Flows[[Flow_ID]:[CC_DM_source]],MATCH(Tab_Data_Flows[[#This Row],[Flow_Name]],Tab_Def_Flows[Flow_Name],0),14)</f>
        <v>0.4</v>
      </c>
      <c r="Z236" s="7" t="str">
        <f>Tab_Data_Flows[[#This Row],[Flow_ID]]&amp;"_"&amp;"DM_"&amp;Tab_Data_Flows[[#This Row],[Flow_Data_Year]]</f>
        <v>F_01_02_DM_2033</v>
      </c>
      <c r="AA236" s="7">
        <f>IF(E236="Yes",Y236*Tab_Data_Flows[[#This Row],[Flow_Material]],"N.A.")</f>
        <v>142161.62647402796</v>
      </c>
      <c r="AB236" s="7" t="str">
        <f>Tab_Data_Flows[[#This Row],[UoM_Flow_Py]]</f>
        <v>Mg</v>
      </c>
      <c r="AC236" s="143">
        <f>INDEX(Tab_Def_Flows[[Flow_ID]:[CC_DM_source]],MATCH(Tab_Data_Flows[[#This Row],[Flow_Name]],Tab_Def_Flows[Flow_Name],0),17)</f>
        <v>0</v>
      </c>
      <c r="AD236" s="7" t="str">
        <f>Tab_Data_Flows[[#This Row],[Flow_ID]]&amp;"_"&amp;"CC_"&amp;Tab_Data_Flows[[#This Row],[Flow_Data_Year]]</f>
        <v>F_01_02_CC_2033</v>
      </c>
      <c r="AE236" s="7">
        <f>IF(F236="Yes",AC236*Tab_Data_Flows[[#This Row],[Flow_Material]]*Tab_Data_Flows[[#This Row],[DM_'[%']]],"N.A.")</f>
        <v>0</v>
      </c>
      <c r="AF236" s="7" t="str">
        <f>Tab_Data_Flows[[#This Row],[UoM_Flow_Py]]</f>
        <v>Mg</v>
      </c>
      <c r="AG236"/>
    </row>
    <row r="237" spans="1:33" x14ac:dyDescent="0.25">
      <c r="A237" s="9">
        <f t="shared" si="3"/>
        <v>236</v>
      </c>
      <c r="B237" s="7" t="str">
        <f>_xlfn.XLOOKUP(C237,Tab_Def_Flows[Flow_Name],Tab_Def_Flows[Flow_ID],,0,)</f>
        <v>F_01_02</v>
      </c>
      <c r="C237" s="142" t="s">
        <v>599</v>
      </c>
      <c r="D237" s="10" t="str">
        <f>_xlfn.XLOOKUP(C237,Tab_Def_Flows[Flow_Name],Tab_Def_Flows[WC?],,0,)</f>
        <v>Yes</v>
      </c>
      <c r="E237" s="10" t="str">
        <f>_xlfn.XLOOKUP(C237,Tab_Def_Flows[Flow_Name],Tab_Def_Flows[DM?],,0,)</f>
        <v>Yes</v>
      </c>
      <c r="F237" s="10" t="str">
        <f>_xlfn.XLOOKUP(C237,Tab_Def_Flows[Flow_Name],Tab_Def_Flows[CC?],,0,)</f>
        <v>Yes</v>
      </c>
      <c r="G237" s="8">
        <v>2034</v>
      </c>
      <c r="H237" s="23">
        <v>409154.0180529143</v>
      </c>
      <c r="I237" s="8" t="s">
        <v>198</v>
      </c>
      <c r="J237" s="15"/>
      <c r="K237" s="15"/>
      <c r="L237" s="15"/>
      <c r="M237" s="15"/>
      <c r="N237" s="15"/>
      <c r="O237" s="8" t="s">
        <v>6</v>
      </c>
      <c r="P237" s="16"/>
      <c r="Q237" s="8"/>
      <c r="R237" s="7" t="str">
        <f>Tab_Data_Flows[[#This Row],[Flow_ID]]&amp;"_"&amp;"material_"&amp;Tab_Data_Flows[[#This Row],[Flow_Data_Year]]</f>
        <v>F_01_02_material_2034</v>
      </c>
      <c r="S237" s="14">
        <f>IF(O237="no",H237,H237*P237)</f>
        <v>409154.0180529143</v>
      </c>
      <c r="T237" s="8" t="s">
        <v>198</v>
      </c>
      <c r="U237" s="143">
        <f>INDEX(Tab_Def_Flows[[Flow_ID]:[CC_DM_source]],MATCH(Tab_Data_Flows[[#This Row],[Flow_Name]],Tab_Def_Flows[Flow_Name],0),11)</f>
        <v>0.6</v>
      </c>
      <c r="V237" s="7" t="str">
        <f>Tab_Data_Flows[[#This Row],[Flow_ID]]&amp;"_"&amp;"WC_"&amp;Tab_Data_Flows[[#This Row],[Flow_Data_Year]]</f>
        <v>F_01_02_WC_2034</v>
      </c>
      <c r="W237" s="7">
        <f>IF(D237="Yes",S237*Tab_Data_Flows[[#This Row],[WC_'[%']]],"N.A.")</f>
        <v>245492.41083174857</v>
      </c>
      <c r="X237" s="7" t="str">
        <f>Tab_Data_Flows[[#This Row],[UoM_Flow_Py]]</f>
        <v>Mg</v>
      </c>
      <c r="Y237" s="143">
        <f>INDEX(Tab_Def_Flows[[Flow_ID]:[CC_DM_source]],MATCH(Tab_Data_Flows[[#This Row],[Flow_Name]],Tab_Def_Flows[Flow_Name],0),14)</f>
        <v>0.4</v>
      </c>
      <c r="Z237" s="7" t="str">
        <f>Tab_Data_Flows[[#This Row],[Flow_ID]]&amp;"_"&amp;"DM_"&amp;Tab_Data_Flows[[#This Row],[Flow_Data_Year]]</f>
        <v>F_01_02_DM_2034</v>
      </c>
      <c r="AA237" s="7">
        <f>IF(E237="Yes",Y237*Tab_Data_Flows[[#This Row],[Flow_Material]],"N.A.")</f>
        <v>163661.60722116573</v>
      </c>
      <c r="AB237" s="7" t="str">
        <f>Tab_Data_Flows[[#This Row],[UoM_Flow_Py]]</f>
        <v>Mg</v>
      </c>
      <c r="AC237" s="143">
        <f>INDEX(Tab_Def_Flows[[Flow_ID]:[CC_DM_source]],MATCH(Tab_Data_Flows[[#This Row],[Flow_Name]],Tab_Def_Flows[Flow_Name],0),17)</f>
        <v>0</v>
      </c>
      <c r="AD237" s="7" t="str">
        <f>Tab_Data_Flows[[#This Row],[Flow_ID]]&amp;"_"&amp;"CC_"&amp;Tab_Data_Flows[[#This Row],[Flow_Data_Year]]</f>
        <v>F_01_02_CC_2034</v>
      </c>
      <c r="AE237" s="7">
        <f>IF(F237="Yes",AC237*Tab_Data_Flows[[#This Row],[Flow_Material]]*Tab_Data_Flows[[#This Row],[DM_'[%']]],"N.A.")</f>
        <v>0</v>
      </c>
      <c r="AF237" s="7" t="str">
        <f>Tab_Data_Flows[[#This Row],[UoM_Flow_Py]]</f>
        <v>Mg</v>
      </c>
      <c r="AG237"/>
    </row>
    <row r="238" spans="1:33" x14ac:dyDescent="0.25">
      <c r="A238" s="9">
        <f t="shared" si="3"/>
        <v>237</v>
      </c>
      <c r="B238" s="7" t="str">
        <f>_xlfn.XLOOKUP(C238,Tab_Def_Flows[Flow_Name],Tab_Def_Flows[Flow_ID],,0,)</f>
        <v>F_01_02</v>
      </c>
      <c r="C238" s="142" t="s">
        <v>599</v>
      </c>
      <c r="D238" s="10" t="str">
        <f>_xlfn.XLOOKUP(C238,Tab_Def_Flows[Flow_Name],Tab_Def_Flows[WC?],,0,)</f>
        <v>Yes</v>
      </c>
      <c r="E238" s="10" t="str">
        <f>_xlfn.XLOOKUP(C238,Tab_Def_Flows[Flow_Name],Tab_Def_Flows[DM?],,0,)</f>
        <v>Yes</v>
      </c>
      <c r="F238" s="10" t="str">
        <f>_xlfn.XLOOKUP(C238,Tab_Def_Flows[Flow_Name],Tab_Def_Flows[CC?],,0,)</f>
        <v>Yes</v>
      </c>
      <c r="G238" s="8">
        <v>2035</v>
      </c>
      <c r="H238" s="23">
        <v>387706.66092709848</v>
      </c>
      <c r="I238" s="8" t="s">
        <v>198</v>
      </c>
      <c r="J238" s="15"/>
      <c r="K238" s="15"/>
      <c r="L238" s="15"/>
      <c r="M238" s="15"/>
      <c r="N238" s="15"/>
      <c r="O238" s="8" t="s">
        <v>6</v>
      </c>
      <c r="P238" s="16"/>
      <c r="Q238" s="8"/>
      <c r="R238" s="7" t="str">
        <f>Tab_Data_Flows[[#This Row],[Flow_ID]]&amp;"_"&amp;"material_"&amp;Tab_Data_Flows[[#This Row],[Flow_Data_Year]]</f>
        <v>F_01_02_material_2035</v>
      </c>
      <c r="S238" s="14">
        <f>IF(O238="no",H238,H238*P238)</f>
        <v>387706.66092709848</v>
      </c>
      <c r="T238" s="8" t="s">
        <v>198</v>
      </c>
      <c r="U238" s="143">
        <f>INDEX(Tab_Def_Flows[[Flow_ID]:[CC_DM_source]],MATCH(Tab_Data_Flows[[#This Row],[Flow_Name]],Tab_Def_Flows[Flow_Name],0),11)</f>
        <v>0.6</v>
      </c>
      <c r="V238" s="7" t="str">
        <f>Tab_Data_Flows[[#This Row],[Flow_ID]]&amp;"_"&amp;"WC_"&amp;Tab_Data_Flows[[#This Row],[Flow_Data_Year]]</f>
        <v>F_01_02_WC_2035</v>
      </c>
      <c r="W238" s="7">
        <f>IF(D238="Yes",S238*Tab_Data_Flows[[#This Row],[WC_'[%']]],"N.A.")</f>
        <v>232623.99655625908</v>
      </c>
      <c r="X238" s="7" t="str">
        <f>Tab_Data_Flows[[#This Row],[UoM_Flow_Py]]</f>
        <v>Mg</v>
      </c>
      <c r="Y238" s="143">
        <f>INDEX(Tab_Def_Flows[[Flow_ID]:[CC_DM_source]],MATCH(Tab_Data_Flows[[#This Row],[Flow_Name]],Tab_Def_Flows[Flow_Name],0),14)</f>
        <v>0.4</v>
      </c>
      <c r="Z238" s="7" t="str">
        <f>Tab_Data_Flows[[#This Row],[Flow_ID]]&amp;"_"&amp;"DM_"&amp;Tab_Data_Flows[[#This Row],[Flow_Data_Year]]</f>
        <v>F_01_02_DM_2035</v>
      </c>
      <c r="AA238" s="7">
        <f>IF(E238="Yes",Y238*Tab_Data_Flows[[#This Row],[Flow_Material]],"N.A.")</f>
        <v>155082.6643708394</v>
      </c>
      <c r="AB238" s="7" t="str">
        <f>Tab_Data_Flows[[#This Row],[UoM_Flow_Py]]</f>
        <v>Mg</v>
      </c>
      <c r="AC238" s="143">
        <f>INDEX(Tab_Def_Flows[[Flow_ID]:[CC_DM_source]],MATCH(Tab_Data_Flows[[#This Row],[Flow_Name]],Tab_Def_Flows[Flow_Name],0),17)</f>
        <v>0</v>
      </c>
      <c r="AD238" s="7" t="str">
        <f>Tab_Data_Flows[[#This Row],[Flow_ID]]&amp;"_"&amp;"CC_"&amp;Tab_Data_Flows[[#This Row],[Flow_Data_Year]]</f>
        <v>F_01_02_CC_2035</v>
      </c>
      <c r="AE238" s="7">
        <f>IF(F238="Yes",AC238*Tab_Data_Flows[[#This Row],[Flow_Material]]*Tab_Data_Flows[[#This Row],[DM_'[%']]],"N.A.")</f>
        <v>0</v>
      </c>
      <c r="AF238" s="7" t="str">
        <f>Tab_Data_Flows[[#This Row],[UoM_Flow_Py]]</f>
        <v>Mg</v>
      </c>
      <c r="AG238"/>
    </row>
    <row r="239" spans="1:33" x14ac:dyDescent="0.25">
      <c r="A239" s="9">
        <f t="shared" si="3"/>
        <v>238</v>
      </c>
      <c r="B239" s="7" t="str">
        <f>_xlfn.XLOOKUP(C239,Tab_Def_Flows[Flow_Name],Tab_Def_Flows[Flow_ID],,0,)</f>
        <v>F_01_02</v>
      </c>
      <c r="C239" s="142" t="s">
        <v>599</v>
      </c>
      <c r="D239" s="10" t="str">
        <f>_xlfn.XLOOKUP(C239,Tab_Def_Flows[Flow_Name],Tab_Def_Flows[WC?],,0,)</f>
        <v>Yes</v>
      </c>
      <c r="E239" s="10" t="str">
        <f>_xlfn.XLOOKUP(C239,Tab_Def_Flows[Flow_Name],Tab_Def_Flows[DM?],,0,)</f>
        <v>Yes</v>
      </c>
      <c r="F239" s="10" t="str">
        <f>_xlfn.XLOOKUP(C239,Tab_Def_Flows[Flow_Name],Tab_Def_Flows[CC?],,0,)</f>
        <v>Yes</v>
      </c>
      <c r="G239" s="8">
        <v>2036</v>
      </c>
      <c r="H239" s="23">
        <v>432620.8188619549</v>
      </c>
      <c r="I239" s="8" t="s">
        <v>198</v>
      </c>
      <c r="J239" s="15"/>
      <c r="K239" s="15"/>
      <c r="L239" s="15"/>
      <c r="M239" s="15"/>
      <c r="N239" s="15"/>
      <c r="O239" s="8" t="s">
        <v>6</v>
      </c>
      <c r="P239" s="16"/>
      <c r="Q239" s="8"/>
      <c r="R239" s="7" t="str">
        <f>Tab_Data_Flows[[#This Row],[Flow_ID]]&amp;"_"&amp;"material_"&amp;Tab_Data_Flows[[#This Row],[Flow_Data_Year]]</f>
        <v>F_01_02_material_2036</v>
      </c>
      <c r="S239" s="14">
        <f>IF(O239="no",H239,H239*P239)</f>
        <v>432620.8188619549</v>
      </c>
      <c r="T239" s="8" t="s">
        <v>198</v>
      </c>
      <c r="U239" s="143">
        <f>INDEX(Tab_Def_Flows[[Flow_ID]:[CC_DM_source]],MATCH(Tab_Data_Flows[[#This Row],[Flow_Name]],Tab_Def_Flows[Flow_Name],0),11)</f>
        <v>0.6</v>
      </c>
      <c r="V239" s="7" t="str">
        <f>Tab_Data_Flows[[#This Row],[Flow_ID]]&amp;"_"&amp;"WC_"&amp;Tab_Data_Flows[[#This Row],[Flow_Data_Year]]</f>
        <v>F_01_02_WC_2036</v>
      </c>
      <c r="W239" s="7">
        <f>IF(D239="Yes",S239*Tab_Data_Flows[[#This Row],[WC_'[%']]],"N.A.")</f>
        <v>259572.49131717294</v>
      </c>
      <c r="X239" s="7" t="str">
        <f>Tab_Data_Flows[[#This Row],[UoM_Flow_Py]]</f>
        <v>Mg</v>
      </c>
      <c r="Y239" s="143">
        <f>INDEX(Tab_Def_Flows[[Flow_ID]:[CC_DM_source]],MATCH(Tab_Data_Flows[[#This Row],[Flow_Name]],Tab_Def_Flows[Flow_Name],0),14)</f>
        <v>0.4</v>
      </c>
      <c r="Z239" s="7" t="str">
        <f>Tab_Data_Flows[[#This Row],[Flow_ID]]&amp;"_"&amp;"DM_"&amp;Tab_Data_Flows[[#This Row],[Flow_Data_Year]]</f>
        <v>F_01_02_DM_2036</v>
      </c>
      <c r="AA239" s="7">
        <f>IF(E239="Yes",Y239*Tab_Data_Flows[[#This Row],[Flow_Material]],"N.A.")</f>
        <v>173048.32754478196</v>
      </c>
      <c r="AB239" s="7" t="str">
        <f>Tab_Data_Flows[[#This Row],[UoM_Flow_Py]]</f>
        <v>Mg</v>
      </c>
      <c r="AC239" s="143">
        <f>INDEX(Tab_Def_Flows[[Flow_ID]:[CC_DM_source]],MATCH(Tab_Data_Flows[[#This Row],[Flow_Name]],Tab_Def_Flows[Flow_Name],0),17)</f>
        <v>0</v>
      </c>
      <c r="AD239" s="7" t="str">
        <f>Tab_Data_Flows[[#This Row],[Flow_ID]]&amp;"_"&amp;"CC_"&amp;Tab_Data_Flows[[#This Row],[Flow_Data_Year]]</f>
        <v>F_01_02_CC_2036</v>
      </c>
      <c r="AE239" s="7">
        <f>IF(F239="Yes",AC239*Tab_Data_Flows[[#This Row],[Flow_Material]]*Tab_Data_Flows[[#This Row],[DM_'[%']]],"N.A.")</f>
        <v>0</v>
      </c>
      <c r="AF239" s="7" t="str">
        <f>Tab_Data_Flows[[#This Row],[UoM_Flow_Py]]</f>
        <v>Mg</v>
      </c>
      <c r="AG239"/>
    </row>
    <row r="240" spans="1:33" x14ac:dyDescent="0.25">
      <c r="A240" s="9">
        <f t="shared" si="3"/>
        <v>239</v>
      </c>
      <c r="B240" s="7" t="str">
        <f>_xlfn.XLOOKUP(C240,Tab_Def_Flows[Flow_Name],Tab_Def_Flows[Flow_ID],,0,)</f>
        <v>F_01_02</v>
      </c>
      <c r="C240" s="142" t="s">
        <v>599</v>
      </c>
      <c r="D240" s="10" t="str">
        <f>_xlfn.XLOOKUP(C240,Tab_Def_Flows[Flow_Name],Tab_Def_Flows[WC?],,0,)</f>
        <v>Yes</v>
      </c>
      <c r="E240" s="10" t="str">
        <f>_xlfn.XLOOKUP(C240,Tab_Def_Flows[Flow_Name],Tab_Def_Flows[DM?],,0,)</f>
        <v>Yes</v>
      </c>
      <c r="F240" s="10" t="str">
        <f>_xlfn.XLOOKUP(C240,Tab_Def_Flows[Flow_Name],Tab_Def_Flows[CC?],,0,)</f>
        <v>Yes</v>
      </c>
      <c r="G240" s="8">
        <v>2037</v>
      </c>
      <c r="H240" s="23">
        <v>346525.36132323206</v>
      </c>
      <c r="I240" s="8" t="s">
        <v>198</v>
      </c>
      <c r="J240" s="15"/>
      <c r="K240" s="15"/>
      <c r="L240" s="15"/>
      <c r="M240" s="15"/>
      <c r="N240" s="15"/>
      <c r="O240" s="8" t="s">
        <v>6</v>
      </c>
      <c r="P240" s="16"/>
      <c r="Q240" s="8"/>
      <c r="R240" s="7" t="str">
        <f>Tab_Data_Flows[[#This Row],[Flow_ID]]&amp;"_"&amp;"material_"&amp;Tab_Data_Flows[[#This Row],[Flow_Data_Year]]</f>
        <v>F_01_02_material_2037</v>
      </c>
      <c r="S240" s="14">
        <f>IF(O240="no",H240,H240*P240)</f>
        <v>346525.36132323206</v>
      </c>
      <c r="T240" s="8" t="s">
        <v>198</v>
      </c>
      <c r="U240" s="143">
        <f>INDEX(Tab_Def_Flows[[Flow_ID]:[CC_DM_source]],MATCH(Tab_Data_Flows[[#This Row],[Flow_Name]],Tab_Def_Flows[Flow_Name],0),11)</f>
        <v>0.6</v>
      </c>
      <c r="V240" s="7" t="str">
        <f>Tab_Data_Flows[[#This Row],[Flow_ID]]&amp;"_"&amp;"WC_"&amp;Tab_Data_Flows[[#This Row],[Flow_Data_Year]]</f>
        <v>F_01_02_WC_2037</v>
      </c>
      <c r="W240" s="7">
        <f>IF(D240="Yes",S240*Tab_Data_Flows[[#This Row],[WC_'[%']]],"N.A.")</f>
        <v>207915.21679393924</v>
      </c>
      <c r="X240" s="7" t="str">
        <f>Tab_Data_Flows[[#This Row],[UoM_Flow_Py]]</f>
        <v>Mg</v>
      </c>
      <c r="Y240" s="143">
        <f>INDEX(Tab_Def_Flows[[Flow_ID]:[CC_DM_source]],MATCH(Tab_Data_Flows[[#This Row],[Flow_Name]],Tab_Def_Flows[Flow_Name],0),14)</f>
        <v>0.4</v>
      </c>
      <c r="Z240" s="7" t="str">
        <f>Tab_Data_Flows[[#This Row],[Flow_ID]]&amp;"_"&amp;"DM_"&amp;Tab_Data_Flows[[#This Row],[Flow_Data_Year]]</f>
        <v>F_01_02_DM_2037</v>
      </c>
      <c r="AA240" s="7">
        <f>IF(E240="Yes",Y240*Tab_Data_Flows[[#This Row],[Flow_Material]],"N.A.")</f>
        <v>138610.14452929283</v>
      </c>
      <c r="AB240" s="7" t="str">
        <f>Tab_Data_Flows[[#This Row],[UoM_Flow_Py]]</f>
        <v>Mg</v>
      </c>
      <c r="AC240" s="143">
        <f>INDEX(Tab_Def_Flows[[Flow_ID]:[CC_DM_source]],MATCH(Tab_Data_Flows[[#This Row],[Flow_Name]],Tab_Def_Flows[Flow_Name],0),17)</f>
        <v>0</v>
      </c>
      <c r="AD240" s="7" t="str">
        <f>Tab_Data_Flows[[#This Row],[Flow_ID]]&amp;"_"&amp;"CC_"&amp;Tab_Data_Flows[[#This Row],[Flow_Data_Year]]</f>
        <v>F_01_02_CC_2037</v>
      </c>
      <c r="AE240" s="7">
        <f>IF(F240="Yes",AC240*Tab_Data_Flows[[#This Row],[Flow_Material]]*Tab_Data_Flows[[#This Row],[DM_'[%']]],"N.A.")</f>
        <v>0</v>
      </c>
      <c r="AF240" s="7" t="str">
        <f>Tab_Data_Flows[[#This Row],[UoM_Flow_Py]]</f>
        <v>Mg</v>
      </c>
      <c r="AG240"/>
    </row>
    <row r="241" spans="1:33" x14ac:dyDescent="0.25">
      <c r="A241" s="9">
        <f t="shared" si="3"/>
        <v>240</v>
      </c>
      <c r="B241" s="7" t="str">
        <f>_xlfn.XLOOKUP(C241,Tab_Def_Flows[Flow_Name],Tab_Def_Flows[Flow_ID],,0,)</f>
        <v>F_01_02</v>
      </c>
      <c r="C241" s="142" t="s">
        <v>599</v>
      </c>
      <c r="D241" s="10" t="str">
        <f>_xlfn.XLOOKUP(C241,Tab_Def_Flows[Flow_Name],Tab_Def_Flows[WC?],,0,)</f>
        <v>Yes</v>
      </c>
      <c r="E241" s="10" t="str">
        <f>_xlfn.XLOOKUP(C241,Tab_Def_Flows[Flow_Name],Tab_Def_Flows[DM?],,0,)</f>
        <v>Yes</v>
      </c>
      <c r="F241" s="10" t="str">
        <f>_xlfn.XLOOKUP(C241,Tab_Def_Flows[Flow_Name],Tab_Def_Flows[CC?],,0,)</f>
        <v>Yes</v>
      </c>
      <c r="G241" s="8">
        <v>2038</v>
      </c>
      <c r="H241" s="23">
        <v>365818.70953807118</v>
      </c>
      <c r="I241" s="8" t="s">
        <v>198</v>
      </c>
      <c r="J241" s="15"/>
      <c r="K241" s="15"/>
      <c r="L241" s="15"/>
      <c r="M241" s="15"/>
      <c r="N241" s="15"/>
      <c r="O241" s="8" t="s">
        <v>6</v>
      </c>
      <c r="P241" s="16"/>
      <c r="Q241" s="8"/>
      <c r="R241" s="7" t="str">
        <f>Tab_Data_Flows[[#This Row],[Flow_ID]]&amp;"_"&amp;"material_"&amp;Tab_Data_Flows[[#This Row],[Flow_Data_Year]]</f>
        <v>F_01_02_material_2038</v>
      </c>
      <c r="S241" s="14">
        <f>IF(O241="no",H241,H241*P241)</f>
        <v>365818.70953807118</v>
      </c>
      <c r="T241" s="8" t="s">
        <v>198</v>
      </c>
      <c r="U241" s="143">
        <f>INDEX(Tab_Def_Flows[[Flow_ID]:[CC_DM_source]],MATCH(Tab_Data_Flows[[#This Row],[Flow_Name]],Tab_Def_Flows[Flow_Name],0),11)</f>
        <v>0.6</v>
      </c>
      <c r="V241" s="7" t="str">
        <f>Tab_Data_Flows[[#This Row],[Flow_ID]]&amp;"_"&amp;"WC_"&amp;Tab_Data_Flows[[#This Row],[Flow_Data_Year]]</f>
        <v>F_01_02_WC_2038</v>
      </c>
      <c r="W241" s="7">
        <f>IF(D241="Yes",S241*Tab_Data_Flows[[#This Row],[WC_'[%']]],"N.A.")</f>
        <v>219491.2257228427</v>
      </c>
      <c r="X241" s="7" t="str">
        <f>Tab_Data_Flows[[#This Row],[UoM_Flow_Py]]</f>
        <v>Mg</v>
      </c>
      <c r="Y241" s="143">
        <f>INDEX(Tab_Def_Flows[[Flow_ID]:[CC_DM_source]],MATCH(Tab_Data_Flows[[#This Row],[Flow_Name]],Tab_Def_Flows[Flow_Name],0),14)</f>
        <v>0.4</v>
      </c>
      <c r="Z241" s="7" t="str">
        <f>Tab_Data_Flows[[#This Row],[Flow_ID]]&amp;"_"&amp;"DM_"&amp;Tab_Data_Flows[[#This Row],[Flow_Data_Year]]</f>
        <v>F_01_02_DM_2038</v>
      </c>
      <c r="AA241" s="7">
        <f>IF(E241="Yes",Y241*Tab_Data_Flows[[#This Row],[Flow_Material]],"N.A.")</f>
        <v>146327.48381522848</v>
      </c>
      <c r="AB241" s="7" t="str">
        <f>Tab_Data_Flows[[#This Row],[UoM_Flow_Py]]</f>
        <v>Mg</v>
      </c>
      <c r="AC241" s="143">
        <f>INDEX(Tab_Def_Flows[[Flow_ID]:[CC_DM_source]],MATCH(Tab_Data_Flows[[#This Row],[Flow_Name]],Tab_Def_Flows[Flow_Name],0),17)</f>
        <v>0</v>
      </c>
      <c r="AD241" s="7" t="str">
        <f>Tab_Data_Flows[[#This Row],[Flow_ID]]&amp;"_"&amp;"CC_"&amp;Tab_Data_Flows[[#This Row],[Flow_Data_Year]]</f>
        <v>F_01_02_CC_2038</v>
      </c>
      <c r="AE241" s="7">
        <f>IF(F241="Yes",AC241*Tab_Data_Flows[[#This Row],[Flow_Material]]*Tab_Data_Flows[[#This Row],[DM_'[%']]],"N.A.")</f>
        <v>0</v>
      </c>
      <c r="AF241" s="7" t="str">
        <f>Tab_Data_Flows[[#This Row],[UoM_Flow_Py]]</f>
        <v>Mg</v>
      </c>
      <c r="AG241"/>
    </row>
    <row r="242" spans="1:33" x14ac:dyDescent="0.25">
      <c r="A242" s="9">
        <f t="shared" si="3"/>
        <v>241</v>
      </c>
      <c r="B242" s="7" t="str">
        <f>_xlfn.XLOOKUP(C242,Tab_Def_Flows[Flow_Name],Tab_Def_Flows[Flow_ID],,0,)</f>
        <v>F_01_02</v>
      </c>
      <c r="C242" s="142" t="s">
        <v>599</v>
      </c>
      <c r="D242" s="10" t="str">
        <f>_xlfn.XLOOKUP(C242,Tab_Def_Flows[Flow_Name],Tab_Def_Flows[WC?],,0,)</f>
        <v>Yes</v>
      </c>
      <c r="E242" s="10" t="str">
        <f>_xlfn.XLOOKUP(C242,Tab_Def_Flows[Flow_Name],Tab_Def_Flows[DM?],,0,)</f>
        <v>Yes</v>
      </c>
      <c r="F242" s="10" t="str">
        <f>_xlfn.XLOOKUP(C242,Tab_Def_Flows[Flow_Name],Tab_Def_Flows[CC?],,0,)</f>
        <v>Yes</v>
      </c>
      <c r="G242" s="8">
        <v>2039</v>
      </c>
      <c r="H242" s="23">
        <v>362497.637663448</v>
      </c>
      <c r="I242" s="8" t="s">
        <v>198</v>
      </c>
      <c r="J242" s="15"/>
      <c r="K242" s="15"/>
      <c r="L242" s="15"/>
      <c r="M242" s="15"/>
      <c r="N242" s="15"/>
      <c r="O242" s="8" t="s">
        <v>6</v>
      </c>
      <c r="P242" s="16"/>
      <c r="Q242" s="8"/>
      <c r="R242" s="7" t="str">
        <f>Tab_Data_Flows[[#This Row],[Flow_ID]]&amp;"_"&amp;"material_"&amp;Tab_Data_Flows[[#This Row],[Flow_Data_Year]]</f>
        <v>F_01_02_material_2039</v>
      </c>
      <c r="S242" s="14">
        <f>IF(O242="no",H242,H242*P242)</f>
        <v>362497.637663448</v>
      </c>
      <c r="T242" s="8" t="s">
        <v>198</v>
      </c>
      <c r="U242" s="143">
        <f>INDEX(Tab_Def_Flows[[Flow_ID]:[CC_DM_source]],MATCH(Tab_Data_Flows[[#This Row],[Flow_Name]],Tab_Def_Flows[Flow_Name],0),11)</f>
        <v>0.6</v>
      </c>
      <c r="V242" s="7" t="str">
        <f>Tab_Data_Flows[[#This Row],[Flow_ID]]&amp;"_"&amp;"WC_"&amp;Tab_Data_Flows[[#This Row],[Flow_Data_Year]]</f>
        <v>F_01_02_WC_2039</v>
      </c>
      <c r="W242" s="7">
        <f>IF(D242="Yes",S242*Tab_Data_Flows[[#This Row],[WC_'[%']]],"N.A.")</f>
        <v>217498.58259806878</v>
      </c>
      <c r="X242" s="7" t="str">
        <f>Tab_Data_Flows[[#This Row],[UoM_Flow_Py]]</f>
        <v>Mg</v>
      </c>
      <c r="Y242" s="143">
        <f>INDEX(Tab_Def_Flows[[Flow_ID]:[CC_DM_source]],MATCH(Tab_Data_Flows[[#This Row],[Flow_Name]],Tab_Def_Flows[Flow_Name],0),14)</f>
        <v>0.4</v>
      </c>
      <c r="Z242" s="7" t="str">
        <f>Tab_Data_Flows[[#This Row],[Flow_ID]]&amp;"_"&amp;"DM_"&amp;Tab_Data_Flows[[#This Row],[Flow_Data_Year]]</f>
        <v>F_01_02_DM_2039</v>
      </c>
      <c r="AA242" s="7">
        <f>IF(E242="Yes",Y242*Tab_Data_Flows[[#This Row],[Flow_Material]],"N.A.")</f>
        <v>144999.05506537922</v>
      </c>
      <c r="AB242" s="7" t="str">
        <f>Tab_Data_Flows[[#This Row],[UoM_Flow_Py]]</f>
        <v>Mg</v>
      </c>
      <c r="AC242" s="143">
        <f>INDEX(Tab_Def_Flows[[Flow_ID]:[CC_DM_source]],MATCH(Tab_Data_Flows[[#This Row],[Flow_Name]],Tab_Def_Flows[Flow_Name],0),17)</f>
        <v>0</v>
      </c>
      <c r="AD242" s="7" t="str">
        <f>Tab_Data_Flows[[#This Row],[Flow_ID]]&amp;"_"&amp;"CC_"&amp;Tab_Data_Flows[[#This Row],[Flow_Data_Year]]</f>
        <v>F_01_02_CC_2039</v>
      </c>
      <c r="AE242" s="7">
        <f>IF(F242="Yes",AC242*Tab_Data_Flows[[#This Row],[Flow_Material]]*Tab_Data_Flows[[#This Row],[DM_'[%']]],"N.A.")</f>
        <v>0</v>
      </c>
      <c r="AF242" s="7" t="str">
        <f>Tab_Data_Flows[[#This Row],[UoM_Flow_Py]]</f>
        <v>Mg</v>
      </c>
      <c r="AG242"/>
    </row>
    <row r="243" spans="1:33" x14ac:dyDescent="0.25">
      <c r="A243" s="9">
        <f t="shared" si="3"/>
        <v>242</v>
      </c>
      <c r="B243" s="7" t="str">
        <f>_xlfn.XLOOKUP(C243,Tab_Def_Flows[Flow_Name],Tab_Def_Flows[Flow_ID],,0,)</f>
        <v>F_01_02</v>
      </c>
      <c r="C243" s="142" t="s">
        <v>599</v>
      </c>
      <c r="D243" s="10" t="str">
        <f>_xlfn.XLOOKUP(C243,Tab_Def_Flows[Flow_Name],Tab_Def_Flows[WC?],,0,)</f>
        <v>Yes</v>
      </c>
      <c r="E243" s="10" t="str">
        <f>_xlfn.XLOOKUP(C243,Tab_Def_Flows[Flow_Name],Tab_Def_Flows[DM?],,0,)</f>
        <v>Yes</v>
      </c>
      <c r="F243" s="10" t="str">
        <f>_xlfn.XLOOKUP(C243,Tab_Def_Flows[Flow_Name],Tab_Def_Flows[CC?],,0,)</f>
        <v>Yes</v>
      </c>
      <c r="G243" s="8">
        <v>2040</v>
      </c>
      <c r="H243" s="23">
        <v>307285.23328807554</v>
      </c>
      <c r="I243" s="8" t="s">
        <v>198</v>
      </c>
      <c r="J243" s="15"/>
      <c r="K243" s="15"/>
      <c r="L243" s="15"/>
      <c r="M243" s="15"/>
      <c r="N243" s="15"/>
      <c r="O243" s="8" t="s">
        <v>6</v>
      </c>
      <c r="P243" s="16"/>
      <c r="Q243" s="8"/>
      <c r="R243" s="7" t="str">
        <f>Tab_Data_Flows[[#This Row],[Flow_ID]]&amp;"_"&amp;"material_"&amp;Tab_Data_Flows[[#This Row],[Flow_Data_Year]]</f>
        <v>F_01_02_material_2040</v>
      </c>
      <c r="S243" s="14">
        <f>IF(O243="no",H243,H243*P243)</f>
        <v>307285.23328807554</v>
      </c>
      <c r="T243" s="8" t="s">
        <v>198</v>
      </c>
      <c r="U243" s="143">
        <f>INDEX(Tab_Def_Flows[[Flow_ID]:[CC_DM_source]],MATCH(Tab_Data_Flows[[#This Row],[Flow_Name]],Tab_Def_Flows[Flow_Name],0),11)</f>
        <v>0.6</v>
      </c>
      <c r="V243" s="7" t="str">
        <f>Tab_Data_Flows[[#This Row],[Flow_ID]]&amp;"_"&amp;"WC_"&amp;Tab_Data_Flows[[#This Row],[Flow_Data_Year]]</f>
        <v>F_01_02_WC_2040</v>
      </c>
      <c r="W243" s="7">
        <f>IF(D243="Yes",S243*Tab_Data_Flows[[#This Row],[WC_'[%']]],"N.A.")</f>
        <v>184371.13997284533</v>
      </c>
      <c r="X243" s="7" t="str">
        <f>Tab_Data_Flows[[#This Row],[UoM_Flow_Py]]</f>
        <v>Mg</v>
      </c>
      <c r="Y243" s="143">
        <f>INDEX(Tab_Def_Flows[[Flow_ID]:[CC_DM_source]],MATCH(Tab_Data_Flows[[#This Row],[Flow_Name]],Tab_Def_Flows[Flow_Name],0),14)</f>
        <v>0.4</v>
      </c>
      <c r="Z243" s="7" t="str">
        <f>Tab_Data_Flows[[#This Row],[Flow_ID]]&amp;"_"&amp;"DM_"&amp;Tab_Data_Flows[[#This Row],[Flow_Data_Year]]</f>
        <v>F_01_02_DM_2040</v>
      </c>
      <c r="AA243" s="7">
        <f>IF(E243="Yes",Y243*Tab_Data_Flows[[#This Row],[Flow_Material]],"N.A.")</f>
        <v>122914.09331523022</v>
      </c>
      <c r="AB243" s="7" t="str">
        <f>Tab_Data_Flows[[#This Row],[UoM_Flow_Py]]</f>
        <v>Mg</v>
      </c>
      <c r="AC243" s="143">
        <f>INDEX(Tab_Def_Flows[[Flow_ID]:[CC_DM_source]],MATCH(Tab_Data_Flows[[#This Row],[Flow_Name]],Tab_Def_Flows[Flow_Name],0),17)</f>
        <v>0</v>
      </c>
      <c r="AD243" s="7" t="str">
        <f>Tab_Data_Flows[[#This Row],[Flow_ID]]&amp;"_"&amp;"CC_"&amp;Tab_Data_Flows[[#This Row],[Flow_Data_Year]]</f>
        <v>F_01_02_CC_2040</v>
      </c>
      <c r="AE243" s="7">
        <f>IF(F243="Yes",AC243*Tab_Data_Flows[[#This Row],[Flow_Material]]*Tab_Data_Flows[[#This Row],[DM_'[%']]],"N.A.")</f>
        <v>0</v>
      </c>
      <c r="AF243" s="7" t="str">
        <f>Tab_Data_Flows[[#This Row],[UoM_Flow_Py]]</f>
        <v>Mg</v>
      </c>
      <c r="AG243"/>
    </row>
    <row r="244" spans="1:33" x14ac:dyDescent="0.25">
      <c r="A244" s="9">
        <f t="shared" si="3"/>
        <v>243</v>
      </c>
      <c r="B244" s="7" t="str">
        <f>_xlfn.XLOOKUP(C244,Tab_Def_Flows[Flow_Name],Tab_Def_Flows[Flow_ID],,0,)</f>
        <v>F_01_02</v>
      </c>
      <c r="C244" s="142" t="s">
        <v>599</v>
      </c>
      <c r="D244" s="10" t="str">
        <f>_xlfn.XLOOKUP(C244,Tab_Def_Flows[Flow_Name],Tab_Def_Flows[WC?],,0,)</f>
        <v>Yes</v>
      </c>
      <c r="E244" s="10" t="str">
        <f>_xlfn.XLOOKUP(C244,Tab_Def_Flows[Flow_Name],Tab_Def_Flows[DM?],,0,)</f>
        <v>Yes</v>
      </c>
      <c r="F244" s="10" t="str">
        <f>_xlfn.XLOOKUP(C244,Tab_Def_Flows[Flow_Name],Tab_Def_Flows[CC?],,0,)</f>
        <v>Yes</v>
      </c>
      <c r="G244" s="8">
        <v>2041</v>
      </c>
      <c r="H244" s="23">
        <v>397963.85513377044</v>
      </c>
      <c r="I244" s="8" t="s">
        <v>198</v>
      </c>
      <c r="J244" s="15"/>
      <c r="K244" s="15"/>
      <c r="L244" s="15"/>
      <c r="M244" s="15"/>
      <c r="N244" s="15"/>
      <c r="O244" s="8" t="s">
        <v>6</v>
      </c>
      <c r="P244" s="16"/>
      <c r="Q244" s="8"/>
      <c r="R244" s="7" t="str">
        <f>Tab_Data_Flows[[#This Row],[Flow_ID]]&amp;"_"&amp;"material_"&amp;Tab_Data_Flows[[#This Row],[Flow_Data_Year]]</f>
        <v>F_01_02_material_2041</v>
      </c>
      <c r="S244" s="14">
        <f>IF(O244="no",H244,H244*P244)</f>
        <v>397963.85513377044</v>
      </c>
      <c r="T244" s="8" t="s">
        <v>198</v>
      </c>
      <c r="U244" s="143">
        <f>INDEX(Tab_Def_Flows[[Flow_ID]:[CC_DM_source]],MATCH(Tab_Data_Flows[[#This Row],[Flow_Name]],Tab_Def_Flows[Flow_Name],0),11)</f>
        <v>0.6</v>
      </c>
      <c r="V244" s="7" t="str">
        <f>Tab_Data_Flows[[#This Row],[Flow_ID]]&amp;"_"&amp;"WC_"&amp;Tab_Data_Flows[[#This Row],[Flow_Data_Year]]</f>
        <v>F_01_02_WC_2041</v>
      </c>
      <c r="W244" s="7">
        <f>IF(D244="Yes",S244*Tab_Data_Flows[[#This Row],[WC_'[%']]],"N.A.")</f>
        <v>238778.31308026225</v>
      </c>
      <c r="X244" s="7" t="str">
        <f>Tab_Data_Flows[[#This Row],[UoM_Flow_Py]]</f>
        <v>Mg</v>
      </c>
      <c r="Y244" s="143">
        <f>INDEX(Tab_Def_Flows[[Flow_ID]:[CC_DM_source]],MATCH(Tab_Data_Flows[[#This Row],[Flow_Name]],Tab_Def_Flows[Flow_Name],0),14)</f>
        <v>0.4</v>
      </c>
      <c r="Z244" s="7" t="str">
        <f>Tab_Data_Flows[[#This Row],[Flow_ID]]&amp;"_"&amp;"DM_"&amp;Tab_Data_Flows[[#This Row],[Flow_Data_Year]]</f>
        <v>F_01_02_DM_2041</v>
      </c>
      <c r="AA244" s="7">
        <f>IF(E244="Yes",Y244*Tab_Data_Flows[[#This Row],[Flow_Material]],"N.A.")</f>
        <v>159185.54205350819</v>
      </c>
      <c r="AB244" s="7" t="str">
        <f>Tab_Data_Flows[[#This Row],[UoM_Flow_Py]]</f>
        <v>Mg</v>
      </c>
      <c r="AC244" s="143">
        <f>INDEX(Tab_Def_Flows[[Flow_ID]:[CC_DM_source]],MATCH(Tab_Data_Flows[[#This Row],[Flow_Name]],Tab_Def_Flows[Flow_Name],0),17)</f>
        <v>0</v>
      </c>
      <c r="AD244" s="7" t="str">
        <f>Tab_Data_Flows[[#This Row],[Flow_ID]]&amp;"_"&amp;"CC_"&amp;Tab_Data_Flows[[#This Row],[Flow_Data_Year]]</f>
        <v>F_01_02_CC_2041</v>
      </c>
      <c r="AE244" s="7">
        <f>IF(F244="Yes",AC244*Tab_Data_Flows[[#This Row],[Flow_Material]]*Tab_Data_Flows[[#This Row],[DM_'[%']]],"N.A.")</f>
        <v>0</v>
      </c>
      <c r="AF244" s="7" t="str">
        <f>Tab_Data_Flows[[#This Row],[UoM_Flow_Py]]</f>
        <v>Mg</v>
      </c>
      <c r="AG244"/>
    </row>
    <row r="245" spans="1:33" x14ac:dyDescent="0.25">
      <c r="A245" s="9">
        <f t="shared" si="3"/>
        <v>244</v>
      </c>
      <c r="B245" s="7" t="str">
        <f>_xlfn.XLOOKUP(C245,Tab_Def_Flows[Flow_Name],Tab_Def_Flows[Flow_ID],,0,)</f>
        <v>F_01_02</v>
      </c>
      <c r="C245" s="142" t="s">
        <v>599</v>
      </c>
      <c r="D245" s="10" t="str">
        <f>_xlfn.XLOOKUP(C245,Tab_Def_Flows[Flow_Name],Tab_Def_Flows[WC?],,0,)</f>
        <v>Yes</v>
      </c>
      <c r="E245" s="10" t="str">
        <f>_xlfn.XLOOKUP(C245,Tab_Def_Flows[Flow_Name],Tab_Def_Flows[DM?],,0,)</f>
        <v>Yes</v>
      </c>
      <c r="F245" s="10" t="str">
        <f>_xlfn.XLOOKUP(C245,Tab_Def_Flows[Flow_Name],Tab_Def_Flows[CC?],,0,)</f>
        <v>Yes</v>
      </c>
      <c r="G245" s="8">
        <v>2042</v>
      </c>
      <c r="H245" s="23">
        <v>396156.86339342245</v>
      </c>
      <c r="I245" s="8" t="s">
        <v>198</v>
      </c>
      <c r="J245" s="15"/>
      <c r="K245" s="15"/>
      <c r="L245" s="15"/>
      <c r="M245" s="15"/>
      <c r="N245" s="15"/>
      <c r="O245" s="8" t="s">
        <v>6</v>
      </c>
      <c r="P245" s="16"/>
      <c r="Q245" s="8"/>
      <c r="R245" s="7" t="str">
        <f>Tab_Data_Flows[[#This Row],[Flow_ID]]&amp;"_"&amp;"material_"&amp;Tab_Data_Flows[[#This Row],[Flow_Data_Year]]</f>
        <v>F_01_02_material_2042</v>
      </c>
      <c r="S245" s="14">
        <f>IF(O245="no",H245,H245*P245)</f>
        <v>396156.86339342245</v>
      </c>
      <c r="T245" s="8" t="s">
        <v>198</v>
      </c>
      <c r="U245" s="143">
        <f>INDEX(Tab_Def_Flows[[Flow_ID]:[CC_DM_source]],MATCH(Tab_Data_Flows[[#This Row],[Flow_Name]],Tab_Def_Flows[Flow_Name],0),11)</f>
        <v>0.6</v>
      </c>
      <c r="V245" s="7" t="str">
        <f>Tab_Data_Flows[[#This Row],[Flow_ID]]&amp;"_"&amp;"WC_"&amp;Tab_Data_Flows[[#This Row],[Flow_Data_Year]]</f>
        <v>F_01_02_WC_2042</v>
      </c>
      <c r="W245" s="7">
        <f>IF(D245="Yes",S245*Tab_Data_Flows[[#This Row],[WC_'[%']]],"N.A.")</f>
        <v>237694.11803605346</v>
      </c>
      <c r="X245" s="7" t="str">
        <f>Tab_Data_Flows[[#This Row],[UoM_Flow_Py]]</f>
        <v>Mg</v>
      </c>
      <c r="Y245" s="143">
        <f>INDEX(Tab_Def_Flows[[Flow_ID]:[CC_DM_source]],MATCH(Tab_Data_Flows[[#This Row],[Flow_Name]],Tab_Def_Flows[Flow_Name],0),14)</f>
        <v>0.4</v>
      </c>
      <c r="Z245" s="7" t="str">
        <f>Tab_Data_Flows[[#This Row],[Flow_ID]]&amp;"_"&amp;"DM_"&amp;Tab_Data_Flows[[#This Row],[Flow_Data_Year]]</f>
        <v>F_01_02_DM_2042</v>
      </c>
      <c r="AA245" s="7">
        <f>IF(E245="Yes",Y245*Tab_Data_Flows[[#This Row],[Flow_Material]],"N.A.")</f>
        <v>158462.74535736899</v>
      </c>
      <c r="AB245" s="7" t="str">
        <f>Tab_Data_Flows[[#This Row],[UoM_Flow_Py]]</f>
        <v>Mg</v>
      </c>
      <c r="AC245" s="143">
        <f>INDEX(Tab_Def_Flows[[Flow_ID]:[CC_DM_source]],MATCH(Tab_Data_Flows[[#This Row],[Flow_Name]],Tab_Def_Flows[Flow_Name],0),17)</f>
        <v>0</v>
      </c>
      <c r="AD245" s="7" t="str">
        <f>Tab_Data_Flows[[#This Row],[Flow_ID]]&amp;"_"&amp;"CC_"&amp;Tab_Data_Flows[[#This Row],[Flow_Data_Year]]</f>
        <v>F_01_02_CC_2042</v>
      </c>
      <c r="AE245" s="7">
        <f>IF(F245="Yes",AC245*Tab_Data_Flows[[#This Row],[Flow_Material]]*Tab_Data_Flows[[#This Row],[DM_'[%']]],"N.A.")</f>
        <v>0</v>
      </c>
      <c r="AF245" s="7" t="str">
        <f>Tab_Data_Flows[[#This Row],[UoM_Flow_Py]]</f>
        <v>Mg</v>
      </c>
      <c r="AG245"/>
    </row>
    <row r="246" spans="1:33" x14ac:dyDescent="0.25">
      <c r="A246" s="9">
        <f t="shared" si="3"/>
        <v>245</v>
      </c>
      <c r="B246" s="7" t="str">
        <f>_xlfn.XLOOKUP(C246,Tab_Def_Flows[Flow_Name],Tab_Def_Flows[Flow_ID],,0,)</f>
        <v>F_01_02</v>
      </c>
      <c r="C246" s="142" t="s">
        <v>599</v>
      </c>
      <c r="D246" s="10" t="str">
        <f>_xlfn.XLOOKUP(C246,Tab_Def_Flows[Flow_Name],Tab_Def_Flows[WC?],,0,)</f>
        <v>Yes</v>
      </c>
      <c r="E246" s="10" t="str">
        <f>_xlfn.XLOOKUP(C246,Tab_Def_Flows[Flow_Name],Tab_Def_Flows[DM?],,0,)</f>
        <v>Yes</v>
      </c>
      <c r="F246" s="10" t="str">
        <f>_xlfn.XLOOKUP(C246,Tab_Def_Flows[Flow_Name],Tab_Def_Flows[CC?],,0,)</f>
        <v>Yes</v>
      </c>
      <c r="G246" s="8">
        <v>2043</v>
      </c>
      <c r="H246" s="23">
        <v>382967.50984258926</v>
      </c>
      <c r="I246" s="8" t="s">
        <v>198</v>
      </c>
      <c r="J246" s="15"/>
      <c r="K246" s="15"/>
      <c r="L246" s="15"/>
      <c r="M246" s="15"/>
      <c r="N246" s="15"/>
      <c r="O246" s="8" t="s">
        <v>6</v>
      </c>
      <c r="P246" s="16"/>
      <c r="Q246" s="8"/>
      <c r="R246" s="7" t="str">
        <f>Tab_Data_Flows[[#This Row],[Flow_ID]]&amp;"_"&amp;"material_"&amp;Tab_Data_Flows[[#This Row],[Flow_Data_Year]]</f>
        <v>F_01_02_material_2043</v>
      </c>
      <c r="S246" s="14">
        <f>IF(O246="no",H246,H246*P246)</f>
        <v>382967.50984258926</v>
      </c>
      <c r="T246" s="8" t="s">
        <v>198</v>
      </c>
      <c r="U246" s="143">
        <f>INDEX(Tab_Def_Flows[[Flow_ID]:[CC_DM_source]],MATCH(Tab_Data_Flows[[#This Row],[Flow_Name]],Tab_Def_Flows[Flow_Name],0),11)</f>
        <v>0.6</v>
      </c>
      <c r="V246" s="7" t="str">
        <f>Tab_Data_Flows[[#This Row],[Flow_ID]]&amp;"_"&amp;"WC_"&amp;Tab_Data_Flows[[#This Row],[Flow_Data_Year]]</f>
        <v>F_01_02_WC_2043</v>
      </c>
      <c r="W246" s="7">
        <f>IF(D246="Yes",S246*Tab_Data_Flows[[#This Row],[WC_'[%']]],"N.A.")</f>
        <v>229780.50590555355</v>
      </c>
      <c r="X246" s="7" t="str">
        <f>Tab_Data_Flows[[#This Row],[UoM_Flow_Py]]</f>
        <v>Mg</v>
      </c>
      <c r="Y246" s="143">
        <f>INDEX(Tab_Def_Flows[[Flow_ID]:[CC_DM_source]],MATCH(Tab_Data_Flows[[#This Row],[Flow_Name]],Tab_Def_Flows[Flow_Name],0),14)</f>
        <v>0.4</v>
      </c>
      <c r="Z246" s="7" t="str">
        <f>Tab_Data_Flows[[#This Row],[Flow_ID]]&amp;"_"&amp;"DM_"&amp;Tab_Data_Flows[[#This Row],[Flow_Data_Year]]</f>
        <v>F_01_02_DM_2043</v>
      </c>
      <c r="AA246" s="7">
        <f>IF(E246="Yes",Y246*Tab_Data_Flows[[#This Row],[Flow_Material]],"N.A.")</f>
        <v>153187.00393703571</v>
      </c>
      <c r="AB246" s="7" t="str">
        <f>Tab_Data_Flows[[#This Row],[UoM_Flow_Py]]</f>
        <v>Mg</v>
      </c>
      <c r="AC246" s="143">
        <f>INDEX(Tab_Def_Flows[[Flow_ID]:[CC_DM_source]],MATCH(Tab_Data_Flows[[#This Row],[Flow_Name]],Tab_Def_Flows[Flow_Name],0),17)</f>
        <v>0</v>
      </c>
      <c r="AD246" s="7" t="str">
        <f>Tab_Data_Flows[[#This Row],[Flow_ID]]&amp;"_"&amp;"CC_"&amp;Tab_Data_Flows[[#This Row],[Flow_Data_Year]]</f>
        <v>F_01_02_CC_2043</v>
      </c>
      <c r="AE246" s="7">
        <f>IF(F246="Yes",AC246*Tab_Data_Flows[[#This Row],[Flow_Material]]*Tab_Data_Flows[[#This Row],[DM_'[%']]],"N.A.")</f>
        <v>0</v>
      </c>
      <c r="AF246" s="7" t="str">
        <f>Tab_Data_Flows[[#This Row],[UoM_Flow_Py]]</f>
        <v>Mg</v>
      </c>
      <c r="AG246"/>
    </row>
    <row r="247" spans="1:33" x14ac:dyDescent="0.25">
      <c r="A247" s="9">
        <f t="shared" si="3"/>
        <v>246</v>
      </c>
      <c r="B247" s="7" t="str">
        <f>_xlfn.XLOOKUP(C247,Tab_Def_Flows[Flow_Name],Tab_Def_Flows[Flow_ID],,0,)</f>
        <v>F_01_02</v>
      </c>
      <c r="C247" s="142" t="s">
        <v>599</v>
      </c>
      <c r="D247" s="10" t="str">
        <f>_xlfn.XLOOKUP(C247,Tab_Def_Flows[Flow_Name],Tab_Def_Flows[WC?],,0,)</f>
        <v>Yes</v>
      </c>
      <c r="E247" s="10" t="str">
        <f>_xlfn.XLOOKUP(C247,Tab_Def_Flows[Flow_Name],Tab_Def_Flows[DM?],,0,)</f>
        <v>Yes</v>
      </c>
      <c r="F247" s="10" t="str">
        <f>_xlfn.XLOOKUP(C247,Tab_Def_Flows[Flow_Name],Tab_Def_Flows[CC?],,0,)</f>
        <v>Yes</v>
      </c>
      <c r="G247" s="8">
        <v>2044</v>
      </c>
      <c r="H247" s="23">
        <v>370615.10927276837</v>
      </c>
      <c r="I247" s="8" t="s">
        <v>198</v>
      </c>
      <c r="J247" s="15"/>
      <c r="K247" s="15"/>
      <c r="L247" s="15"/>
      <c r="M247" s="15"/>
      <c r="N247" s="15"/>
      <c r="O247" s="8" t="s">
        <v>6</v>
      </c>
      <c r="P247" s="16"/>
      <c r="Q247" s="8"/>
      <c r="R247" s="7" t="str">
        <f>Tab_Data_Flows[[#This Row],[Flow_ID]]&amp;"_"&amp;"material_"&amp;Tab_Data_Flows[[#This Row],[Flow_Data_Year]]</f>
        <v>F_01_02_material_2044</v>
      </c>
      <c r="S247" s="14">
        <f>IF(O247="no",H247,H247*P247)</f>
        <v>370615.10927276837</v>
      </c>
      <c r="T247" s="8" t="s">
        <v>198</v>
      </c>
      <c r="U247" s="143">
        <f>INDEX(Tab_Def_Flows[[Flow_ID]:[CC_DM_source]],MATCH(Tab_Data_Flows[[#This Row],[Flow_Name]],Tab_Def_Flows[Flow_Name],0),11)</f>
        <v>0.6</v>
      </c>
      <c r="V247" s="7" t="str">
        <f>Tab_Data_Flows[[#This Row],[Flow_ID]]&amp;"_"&amp;"WC_"&amp;Tab_Data_Flows[[#This Row],[Flow_Data_Year]]</f>
        <v>F_01_02_WC_2044</v>
      </c>
      <c r="W247" s="7">
        <f>IF(D247="Yes",S247*Tab_Data_Flows[[#This Row],[WC_'[%']]],"N.A.")</f>
        <v>222369.06556366102</v>
      </c>
      <c r="X247" s="7" t="str">
        <f>Tab_Data_Flows[[#This Row],[UoM_Flow_Py]]</f>
        <v>Mg</v>
      </c>
      <c r="Y247" s="143">
        <f>INDEX(Tab_Def_Flows[[Flow_ID]:[CC_DM_source]],MATCH(Tab_Data_Flows[[#This Row],[Flow_Name]],Tab_Def_Flows[Flow_Name],0),14)</f>
        <v>0.4</v>
      </c>
      <c r="Z247" s="7" t="str">
        <f>Tab_Data_Flows[[#This Row],[Flow_ID]]&amp;"_"&amp;"DM_"&amp;Tab_Data_Flows[[#This Row],[Flow_Data_Year]]</f>
        <v>F_01_02_DM_2044</v>
      </c>
      <c r="AA247" s="7">
        <f>IF(E247="Yes",Y247*Tab_Data_Flows[[#This Row],[Flow_Material]],"N.A.")</f>
        <v>148246.04370910735</v>
      </c>
      <c r="AB247" s="7" t="str">
        <f>Tab_Data_Flows[[#This Row],[UoM_Flow_Py]]</f>
        <v>Mg</v>
      </c>
      <c r="AC247" s="143">
        <f>INDEX(Tab_Def_Flows[[Flow_ID]:[CC_DM_source]],MATCH(Tab_Data_Flows[[#This Row],[Flow_Name]],Tab_Def_Flows[Flow_Name],0),17)</f>
        <v>0</v>
      </c>
      <c r="AD247" s="7" t="str">
        <f>Tab_Data_Flows[[#This Row],[Flow_ID]]&amp;"_"&amp;"CC_"&amp;Tab_Data_Flows[[#This Row],[Flow_Data_Year]]</f>
        <v>F_01_02_CC_2044</v>
      </c>
      <c r="AE247" s="7">
        <f>IF(F247="Yes",AC247*Tab_Data_Flows[[#This Row],[Flow_Material]]*Tab_Data_Flows[[#This Row],[DM_'[%']]],"N.A.")</f>
        <v>0</v>
      </c>
      <c r="AF247" s="7" t="str">
        <f>Tab_Data_Flows[[#This Row],[UoM_Flow_Py]]</f>
        <v>Mg</v>
      </c>
      <c r="AG247"/>
    </row>
    <row r="248" spans="1:33" x14ac:dyDescent="0.25">
      <c r="A248" s="9">
        <f t="shared" si="3"/>
        <v>247</v>
      </c>
      <c r="B248" s="7" t="str">
        <f>_xlfn.XLOOKUP(C248,Tab_Def_Flows[Flow_Name],Tab_Def_Flows[Flow_ID],,0,)</f>
        <v>F_01_02</v>
      </c>
      <c r="C248" s="142" t="s">
        <v>599</v>
      </c>
      <c r="D248" s="10" t="str">
        <f>_xlfn.XLOOKUP(C248,Tab_Def_Flows[Flow_Name],Tab_Def_Flows[WC?],,0,)</f>
        <v>Yes</v>
      </c>
      <c r="E248" s="10" t="str">
        <f>_xlfn.XLOOKUP(C248,Tab_Def_Flows[Flow_Name],Tab_Def_Flows[DM?],,0,)</f>
        <v>Yes</v>
      </c>
      <c r="F248" s="10" t="str">
        <f>_xlfn.XLOOKUP(C248,Tab_Def_Flows[Flow_Name],Tab_Def_Flows[CC?],,0,)</f>
        <v>Yes</v>
      </c>
      <c r="G248" s="8">
        <v>2045</v>
      </c>
      <c r="H248" s="23">
        <v>309766.23059639905</v>
      </c>
      <c r="I248" s="8" t="s">
        <v>198</v>
      </c>
      <c r="J248" s="15"/>
      <c r="K248" s="15"/>
      <c r="L248" s="15"/>
      <c r="M248" s="15"/>
      <c r="N248" s="15"/>
      <c r="O248" s="8" t="s">
        <v>6</v>
      </c>
      <c r="P248" s="16"/>
      <c r="Q248" s="8"/>
      <c r="R248" s="7" t="str">
        <f>Tab_Data_Flows[[#This Row],[Flow_ID]]&amp;"_"&amp;"material_"&amp;Tab_Data_Flows[[#This Row],[Flow_Data_Year]]</f>
        <v>F_01_02_material_2045</v>
      </c>
      <c r="S248" s="14">
        <f>IF(O248="no",H248,H248*P248)</f>
        <v>309766.23059639905</v>
      </c>
      <c r="T248" s="8" t="s">
        <v>198</v>
      </c>
      <c r="U248" s="143">
        <f>INDEX(Tab_Def_Flows[[Flow_ID]:[CC_DM_source]],MATCH(Tab_Data_Flows[[#This Row],[Flow_Name]],Tab_Def_Flows[Flow_Name],0),11)</f>
        <v>0.6</v>
      </c>
      <c r="V248" s="7" t="str">
        <f>Tab_Data_Flows[[#This Row],[Flow_ID]]&amp;"_"&amp;"WC_"&amp;Tab_Data_Flows[[#This Row],[Flow_Data_Year]]</f>
        <v>F_01_02_WC_2045</v>
      </c>
      <c r="W248" s="7">
        <f>IF(D248="Yes",S248*Tab_Data_Flows[[#This Row],[WC_'[%']]],"N.A.")</f>
        <v>185859.73835783944</v>
      </c>
      <c r="X248" s="7" t="str">
        <f>Tab_Data_Flows[[#This Row],[UoM_Flow_Py]]</f>
        <v>Mg</v>
      </c>
      <c r="Y248" s="143">
        <f>INDEX(Tab_Def_Flows[[Flow_ID]:[CC_DM_source]],MATCH(Tab_Data_Flows[[#This Row],[Flow_Name]],Tab_Def_Flows[Flow_Name],0),14)</f>
        <v>0.4</v>
      </c>
      <c r="Z248" s="7" t="str">
        <f>Tab_Data_Flows[[#This Row],[Flow_ID]]&amp;"_"&amp;"DM_"&amp;Tab_Data_Flows[[#This Row],[Flow_Data_Year]]</f>
        <v>F_01_02_DM_2045</v>
      </c>
      <c r="AA248" s="7">
        <f>IF(E248="Yes",Y248*Tab_Data_Flows[[#This Row],[Flow_Material]],"N.A.")</f>
        <v>123906.49223855963</v>
      </c>
      <c r="AB248" s="7" t="str">
        <f>Tab_Data_Flows[[#This Row],[UoM_Flow_Py]]</f>
        <v>Mg</v>
      </c>
      <c r="AC248" s="143">
        <f>INDEX(Tab_Def_Flows[[Flow_ID]:[CC_DM_source]],MATCH(Tab_Data_Flows[[#This Row],[Flow_Name]],Tab_Def_Flows[Flow_Name],0),17)</f>
        <v>0</v>
      </c>
      <c r="AD248" s="7" t="str">
        <f>Tab_Data_Flows[[#This Row],[Flow_ID]]&amp;"_"&amp;"CC_"&amp;Tab_Data_Flows[[#This Row],[Flow_Data_Year]]</f>
        <v>F_01_02_CC_2045</v>
      </c>
      <c r="AE248" s="7">
        <f>IF(F248="Yes",AC248*Tab_Data_Flows[[#This Row],[Flow_Material]]*Tab_Data_Flows[[#This Row],[DM_'[%']]],"N.A.")</f>
        <v>0</v>
      </c>
      <c r="AF248" s="7" t="str">
        <f>Tab_Data_Flows[[#This Row],[UoM_Flow_Py]]</f>
        <v>Mg</v>
      </c>
      <c r="AG248"/>
    </row>
    <row r="249" spans="1:33" x14ac:dyDescent="0.25">
      <c r="A249" s="9">
        <f t="shared" si="3"/>
        <v>248</v>
      </c>
      <c r="B249" s="7" t="str">
        <f>_xlfn.XLOOKUP(C249,Tab_Def_Flows[Flow_Name],Tab_Def_Flows[Flow_ID],,0,)</f>
        <v>F_01_02</v>
      </c>
      <c r="C249" s="142" t="s">
        <v>599</v>
      </c>
      <c r="D249" s="10" t="str">
        <f>_xlfn.XLOOKUP(C249,Tab_Def_Flows[Flow_Name],Tab_Def_Flows[WC?],,0,)</f>
        <v>Yes</v>
      </c>
      <c r="E249" s="10" t="str">
        <f>_xlfn.XLOOKUP(C249,Tab_Def_Flows[Flow_Name],Tab_Def_Flows[DM?],,0,)</f>
        <v>Yes</v>
      </c>
      <c r="F249" s="10" t="str">
        <f>_xlfn.XLOOKUP(C249,Tab_Def_Flows[Flow_Name],Tab_Def_Flows[CC?],,0,)</f>
        <v>Yes</v>
      </c>
      <c r="G249" s="8">
        <v>2046</v>
      </c>
      <c r="H249" s="23">
        <v>361027.04240787379</v>
      </c>
      <c r="I249" s="8" t="s">
        <v>198</v>
      </c>
      <c r="J249" s="15"/>
      <c r="K249" s="15"/>
      <c r="L249" s="15"/>
      <c r="M249" s="15"/>
      <c r="N249" s="15"/>
      <c r="O249" s="8" t="s">
        <v>6</v>
      </c>
      <c r="P249" s="16"/>
      <c r="Q249" s="8"/>
      <c r="R249" s="7" t="str">
        <f>Tab_Data_Flows[[#This Row],[Flow_ID]]&amp;"_"&amp;"material_"&amp;Tab_Data_Flows[[#This Row],[Flow_Data_Year]]</f>
        <v>F_01_02_material_2046</v>
      </c>
      <c r="S249" s="14">
        <f>IF(O249="no",H249,H249*P249)</f>
        <v>361027.04240787379</v>
      </c>
      <c r="T249" s="8" t="s">
        <v>198</v>
      </c>
      <c r="U249" s="143">
        <f>INDEX(Tab_Def_Flows[[Flow_ID]:[CC_DM_source]],MATCH(Tab_Data_Flows[[#This Row],[Flow_Name]],Tab_Def_Flows[Flow_Name],0),11)</f>
        <v>0.6</v>
      </c>
      <c r="V249" s="7" t="str">
        <f>Tab_Data_Flows[[#This Row],[Flow_ID]]&amp;"_"&amp;"WC_"&amp;Tab_Data_Flows[[#This Row],[Flow_Data_Year]]</f>
        <v>F_01_02_WC_2046</v>
      </c>
      <c r="W249" s="7">
        <f>IF(D249="Yes",S249*Tab_Data_Flows[[#This Row],[WC_'[%']]],"N.A.")</f>
        <v>216616.22544472426</v>
      </c>
      <c r="X249" s="7" t="str">
        <f>Tab_Data_Flows[[#This Row],[UoM_Flow_Py]]</f>
        <v>Mg</v>
      </c>
      <c r="Y249" s="143">
        <f>INDEX(Tab_Def_Flows[[Flow_ID]:[CC_DM_source]],MATCH(Tab_Data_Flows[[#This Row],[Flow_Name]],Tab_Def_Flows[Flow_Name],0),14)</f>
        <v>0.4</v>
      </c>
      <c r="Z249" s="7" t="str">
        <f>Tab_Data_Flows[[#This Row],[Flow_ID]]&amp;"_"&amp;"DM_"&amp;Tab_Data_Flows[[#This Row],[Flow_Data_Year]]</f>
        <v>F_01_02_DM_2046</v>
      </c>
      <c r="AA249" s="7">
        <f>IF(E249="Yes",Y249*Tab_Data_Flows[[#This Row],[Flow_Material]],"N.A.")</f>
        <v>144410.81696314953</v>
      </c>
      <c r="AB249" s="7" t="str">
        <f>Tab_Data_Flows[[#This Row],[UoM_Flow_Py]]</f>
        <v>Mg</v>
      </c>
      <c r="AC249" s="143">
        <f>INDEX(Tab_Def_Flows[[Flow_ID]:[CC_DM_source]],MATCH(Tab_Data_Flows[[#This Row],[Flow_Name]],Tab_Def_Flows[Flow_Name],0),17)</f>
        <v>0</v>
      </c>
      <c r="AD249" s="7" t="str">
        <f>Tab_Data_Flows[[#This Row],[Flow_ID]]&amp;"_"&amp;"CC_"&amp;Tab_Data_Flows[[#This Row],[Flow_Data_Year]]</f>
        <v>F_01_02_CC_2046</v>
      </c>
      <c r="AE249" s="7">
        <f>IF(F249="Yes",AC249*Tab_Data_Flows[[#This Row],[Flow_Material]]*Tab_Data_Flows[[#This Row],[DM_'[%']]],"N.A.")</f>
        <v>0</v>
      </c>
      <c r="AF249" s="7" t="str">
        <f>Tab_Data_Flows[[#This Row],[UoM_Flow_Py]]</f>
        <v>Mg</v>
      </c>
      <c r="AG249"/>
    </row>
    <row r="250" spans="1:33" x14ac:dyDescent="0.25">
      <c r="A250" s="9">
        <f t="shared" si="3"/>
        <v>249</v>
      </c>
      <c r="B250" s="7" t="str">
        <f>_xlfn.XLOOKUP(C250,Tab_Def_Flows[Flow_Name],Tab_Def_Flows[Flow_ID],,0,)</f>
        <v>F_01_02</v>
      </c>
      <c r="C250" s="142" t="s">
        <v>599</v>
      </c>
      <c r="D250" s="10" t="str">
        <f>_xlfn.XLOOKUP(C250,Tab_Def_Flows[Flow_Name],Tab_Def_Flows[WC?],,0,)</f>
        <v>Yes</v>
      </c>
      <c r="E250" s="10" t="str">
        <f>_xlfn.XLOOKUP(C250,Tab_Def_Flows[Flow_Name],Tab_Def_Flows[DM?],,0,)</f>
        <v>Yes</v>
      </c>
      <c r="F250" s="10" t="str">
        <f>_xlfn.XLOOKUP(C250,Tab_Def_Flows[Flow_Name],Tab_Def_Flows[CC?],,0,)</f>
        <v>Yes</v>
      </c>
      <c r="G250" s="8">
        <v>2047</v>
      </c>
      <c r="H250" s="23">
        <v>365043.02140616265</v>
      </c>
      <c r="I250" s="8" t="s">
        <v>198</v>
      </c>
      <c r="J250" s="15"/>
      <c r="K250" s="15"/>
      <c r="L250" s="15"/>
      <c r="M250" s="15"/>
      <c r="N250" s="15"/>
      <c r="O250" s="8" t="s">
        <v>6</v>
      </c>
      <c r="P250" s="16"/>
      <c r="Q250" s="8"/>
      <c r="R250" s="7" t="str">
        <f>Tab_Data_Flows[[#This Row],[Flow_ID]]&amp;"_"&amp;"material_"&amp;Tab_Data_Flows[[#This Row],[Flow_Data_Year]]</f>
        <v>F_01_02_material_2047</v>
      </c>
      <c r="S250" s="14">
        <f>IF(O250="no",H250,H250*P250)</f>
        <v>365043.02140616265</v>
      </c>
      <c r="T250" s="8" t="s">
        <v>198</v>
      </c>
      <c r="U250" s="143">
        <f>INDEX(Tab_Def_Flows[[Flow_ID]:[CC_DM_source]],MATCH(Tab_Data_Flows[[#This Row],[Flow_Name]],Tab_Def_Flows[Flow_Name],0),11)</f>
        <v>0.6</v>
      </c>
      <c r="V250" s="7" t="str">
        <f>Tab_Data_Flows[[#This Row],[Flow_ID]]&amp;"_"&amp;"WC_"&amp;Tab_Data_Flows[[#This Row],[Flow_Data_Year]]</f>
        <v>F_01_02_WC_2047</v>
      </c>
      <c r="W250" s="7">
        <f>IF(D250="Yes",S250*Tab_Data_Flows[[#This Row],[WC_'[%']]],"N.A.")</f>
        <v>219025.81284369758</v>
      </c>
      <c r="X250" s="7" t="str">
        <f>Tab_Data_Flows[[#This Row],[UoM_Flow_Py]]</f>
        <v>Mg</v>
      </c>
      <c r="Y250" s="143">
        <f>INDEX(Tab_Def_Flows[[Flow_ID]:[CC_DM_source]],MATCH(Tab_Data_Flows[[#This Row],[Flow_Name]],Tab_Def_Flows[Flow_Name],0),14)</f>
        <v>0.4</v>
      </c>
      <c r="Z250" s="7" t="str">
        <f>Tab_Data_Flows[[#This Row],[Flow_ID]]&amp;"_"&amp;"DM_"&amp;Tab_Data_Flows[[#This Row],[Flow_Data_Year]]</f>
        <v>F_01_02_DM_2047</v>
      </c>
      <c r="AA250" s="7">
        <f>IF(E250="Yes",Y250*Tab_Data_Flows[[#This Row],[Flow_Material]],"N.A.")</f>
        <v>146017.20856246506</v>
      </c>
      <c r="AB250" s="7" t="str">
        <f>Tab_Data_Flows[[#This Row],[UoM_Flow_Py]]</f>
        <v>Mg</v>
      </c>
      <c r="AC250" s="143">
        <f>INDEX(Tab_Def_Flows[[Flow_ID]:[CC_DM_source]],MATCH(Tab_Data_Flows[[#This Row],[Flow_Name]],Tab_Def_Flows[Flow_Name],0),17)</f>
        <v>0</v>
      </c>
      <c r="AD250" s="7" t="str">
        <f>Tab_Data_Flows[[#This Row],[Flow_ID]]&amp;"_"&amp;"CC_"&amp;Tab_Data_Flows[[#This Row],[Flow_Data_Year]]</f>
        <v>F_01_02_CC_2047</v>
      </c>
      <c r="AE250" s="7">
        <f>IF(F250="Yes",AC250*Tab_Data_Flows[[#This Row],[Flow_Material]]*Tab_Data_Flows[[#This Row],[DM_'[%']]],"N.A.")</f>
        <v>0</v>
      </c>
      <c r="AF250" s="7" t="str">
        <f>Tab_Data_Flows[[#This Row],[UoM_Flow_Py]]</f>
        <v>Mg</v>
      </c>
      <c r="AG250"/>
    </row>
    <row r="251" spans="1:33" x14ac:dyDescent="0.25">
      <c r="A251" s="9">
        <f t="shared" si="3"/>
        <v>250</v>
      </c>
      <c r="B251" s="7" t="str">
        <f>_xlfn.XLOOKUP(C251,Tab_Def_Flows[Flow_Name],Tab_Def_Flows[Flow_ID],,0,)</f>
        <v>F_01_02</v>
      </c>
      <c r="C251" s="142" t="s">
        <v>599</v>
      </c>
      <c r="D251" s="10" t="str">
        <f>_xlfn.XLOOKUP(C251,Tab_Def_Flows[Flow_Name],Tab_Def_Flows[WC?],,0,)</f>
        <v>Yes</v>
      </c>
      <c r="E251" s="10" t="str">
        <f>_xlfn.XLOOKUP(C251,Tab_Def_Flows[Flow_Name],Tab_Def_Flows[DM?],,0,)</f>
        <v>Yes</v>
      </c>
      <c r="F251" s="10" t="str">
        <f>_xlfn.XLOOKUP(C251,Tab_Def_Flows[Flow_Name],Tab_Def_Flows[CC?],,0,)</f>
        <v>Yes</v>
      </c>
      <c r="G251" s="8">
        <v>2048</v>
      </c>
      <c r="H251" s="23">
        <v>341360.5464992827</v>
      </c>
      <c r="I251" s="8" t="s">
        <v>198</v>
      </c>
      <c r="J251" s="15"/>
      <c r="K251" s="15"/>
      <c r="L251" s="15"/>
      <c r="M251" s="15"/>
      <c r="N251" s="15"/>
      <c r="O251" s="8" t="s">
        <v>6</v>
      </c>
      <c r="P251" s="16"/>
      <c r="Q251" s="8"/>
      <c r="R251" s="7" t="str">
        <f>Tab_Data_Flows[[#This Row],[Flow_ID]]&amp;"_"&amp;"material_"&amp;Tab_Data_Flows[[#This Row],[Flow_Data_Year]]</f>
        <v>F_01_02_material_2048</v>
      </c>
      <c r="S251" s="14">
        <f>IF(O251="no",H251,H251*P251)</f>
        <v>341360.5464992827</v>
      </c>
      <c r="T251" s="8" t="s">
        <v>198</v>
      </c>
      <c r="U251" s="143">
        <f>INDEX(Tab_Def_Flows[[Flow_ID]:[CC_DM_source]],MATCH(Tab_Data_Flows[[#This Row],[Flow_Name]],Tab_Def_Flows[Flow_Name],0),11)</f>
        <v>0.6</v>
      </c>
      <c r="V251" s="7" t="str">
        <f>Tab_Data_Flows[[#This Row],[Flow_ID]]&amp;"_"&amp;"WC_"&amp;Tab_Data_Flows[[#This Row],[Flow_Data_Year]]</f>
        <v>F_01_02_WC_2048</v>
      </c>
      <c r="W251" s="7">
        <f>IF(D251="Yes",S251*Tab_Data_Flows[[#This Row],[WC_'[%']]],"N.A.")</f>
        <v>204816.32789956962</v>
      </c>
      <c r="X251" s="7" t="str">
        <f>Tab_Data_Flows[[#This Row],[UoM_Flow_Py]]</f>
        <v>Mg</v>
      </c>
      <c r="Y251" s="143">
        <f>INDEX(Tab_Def_Flows[[Flow_ID]:[CC_DM_source]],MATCH(Tab_Data_Flows[[#This Row],[Flow_Name]],Tab_Def_Flows[Flow_Name],0),14)</f>
        <v>0.4</v>
      </c>
      <c r="Z251" s="7" t="str">
        <f>Tab_Data_Flows[[#This Row],[Flow_ID]]&amp;"_"&amp;"DM_"&amp;Tab_Data_Flows[[#This Row],[Flow_Data_Year]]</f>
        <v>F_01_02_DM_2048</v>
      </c>
      <c r="AA251" s="7">
        <f>IF(E251="Yes",Y251*Tab_Data_Flows[[#This Row],[Flow_Material]],"N.A.")</f>
        <v>136544.21859971309</v>
      </c>
      <c r="AB251" s="7" t="str">
        <f>Tab_Data_Flows[[#This Row],[UoM_Flow_Py]]</f>
        <v>Mg</v>
      </c>
      <c r="AC251" s="143">
        <f>INDEX(Tab_Def_Flows[[Flow_ID]:[CC_DM_source]],MATCH(Tab_Data_Flows[[#This Row],[Flow_Name]],Tab_Def_Flows[Flow_Name],0),17)</f>
        <v>0</v>
      </c>
      <c r="AD251" s="7" t="str">
        <f>Tab_Data_Flows[[#This Row],[Flow_ID]]&amp;"_"&amp;"CC_"&amp;Tab_Data_Flows[[#This Row],[Flow_Data_Year]]</f>
        <v>F_01_02_CC_2048</v>
      </c>
      <c r="AE251" s="7">
        <f>IF(F251="Yes",AC251*Tab_Data_Flows[[#This Row],[Flow_Material]]*Tab_Data_Flows[[#This Row],[DM_'[%']]],"N.A.")</f>
        <v>0</v>
      </c>
      <c r="AF251" s="7" t="str">
        <f>Tab_Data_Flows[[#This Row],[UoM_Flow_Py]]</f>
        <v>Mg</v>
      </c>
      <c r="AG251"/>
    </row>
    <row r="252" spans="1:33" x14ac:dyDescent="0.25">
      <c r="A252" s="9">
        <f t="shared" si="3"/>
        <v>251</v>
      </c>
      <c r="B252" s="7" t="str">
        <f>_xlfn.XLOOKUP(C252,Tab_Def_Flows[Flow_Name],Tab_Def_Flows[Flow_ID],,0,)</f>
        <v>F_01_02</v>
      </c>
      <c r="C252" s="142" t="s">
        <v>599</v>
      </c>
      <c r="D252" s="10" t="str">
        <f>_xlfn.XLOOKUP(C252,Tab_Def_Flows[Flow_Name],Tab_Def_Flows[WC?],,0,)</f>
        <v>Yes</v>
      </c>
      <c r="E252" s="10" t="str">
        <f>_xlfn.XLOOKUP(C252,Tab_Def_Flows[Flow_Name],Tab_Def_Flows[DM?],,0,)</f>
        <v>Yes</v>
      </c>
      <c r="F252" s="10" t="str">
        <f>_xlfn.XLOOKUP(C252,Tab_Def_Flows[Flow_Name],Tab_Def_Flows[CC?],,0,)</f>
        <v>Yes</v>
      </c>
      <c r="G252" s="8">
        <v>2049</v>
      </c>
      <c r="H252" s="23">
        <v>374392.52393504395</v>
      </c>
      <c r="I252" s="8" t="s">
        <v>198</v>
      </c>
      <c r="J252" s="15"/>
      <c r="K252" s="15"/>
      <c r="L252" s="15"/>
      <c r="M252" s="15"/>
      <c r="N252" s="15"/>
      <c r="O252" s="8" t="s">
        <v>6</v>
      </c>
      <c r="P252" s="16"/>
      <c r="Q252" s="8"/>
      <c r="R252" s="7" t="str">
        <f>Tab_Data_Flows[[#This Row],[Flow_ID]]&amp;"_"&amp;"material_"&amp;Tab_Data_Flows[[#This Row],[Flow_Data_Year]]</f>
        <v>F_01_02_material_2049</v>
      </c>
      <c r="S252" s="14">
        <f>IF(O252="no",H252,H252*P252)</f>
        <v>374392.52393504395</v>
      </c>
      <c r="T252" s="8" t="s">
        <v>198</v>
      </c>
      <c r="U252" s="143">
        <f>INDEX(Tab_Def_Flows[[Flow_ID]:[CC_DM_source]],MATCH(Tab_Data_Flows[[#This Row],[Flow_Name]],Tab_Def_Flows[Flow_Name],0),11)</f>
        <v>0.6</v>
      </c>
      <c r="V252" s="7" t="str">
        <f>Tab_Data_Flows[[#This Row],[Flow_ID]]&amp;"_"&amp;"WC_"&amp;Tab_Data_Flows[[#This Row],[Flow_Data_Year]]</f>
        <v>F_01_02_WC_2049</v>
      </c>
      <c r="W252" s="7">
        <f>IF(D252="Yes",S252*Tab_Data_Flows[[#This Row],[WC_'[%']]],"N.A.")</f>
        <v>224635.51436102638</v>
      </c>
      <c r="X252" s="7" t="str">
        <f>Tab_Data_Flows[[#This Row],[UoM_Flow_Py]]</f>
        <v>Mg</v>
      </c>
      <c r="Y252" s="143">
        <f>INDEX(Tab_Def_Flows[[Flow_ID]:[CC_DM_source]],MATCH(Tab_Data_Flows[[#This Row],[Flow_Name]],Tab_Def_Flows[Flow_Name],0),14)</f>
        <v>0.4</v>
      </c>
      <c r="Z252" s="7" t="str">
        <f>Tab_Data_Flows[[#This Row],[Flow_ID]]&amp;"_"&amp;"DM_"&amp;Tab_Data_Flows[[#This Row],[Flow_Data_Year]]</f>
        <v>F_01_02_DM_2049</v>
      </c>
      <c r="AA252" s="7">
        <f>IF(E252="Yes",Y252*Tab_Data_Flows[[#This Row],[Flow_Material]],"N.A.")</f>
        <v>149757.00957401757</v>
      </c>
      <c r="AB252" s="7" t="str">
        <f>Tab_Data_Flows[[#This Row],[UoM_Flow_Py]]</f>
        <v>Mg</v>
      </c>
      <c r="AC252" s="143">
        <f>INDEX(Tab_Def_Flows[[Flow_ID]:[CC_DM_source]],MATCH(Tab_Data_Flows[[#This Row],[Flow_Name]],Tab_Def_Flows[Flow_Name],0),17)</f>
        <v>0</v>
      </c>
      <c r="AD252" s="7" t="str">
        <f>Tab_Data_Flows[[#This Row],[Flow_ID]]&amp;"_"&amp;"CC_"&amp;Tab_Data_Flows[[#This Row],[Flow_Data_Year]]</f>
        <v>F_01_02_CC_2049</v>
      </c>
      <c r="AE252" s="7">
        <f>IF(F252="Yes",AC252*Tab_Data_Flows[[#This Row],[Flow_Material]]*Tab_Data_Flows[[#This Row],[DM_'[%']]],"N.A.")</f>
        <v>0</v>
      </c>
      <c r="AF252" s="7" t="str">
        <f>Tab_Data_Flows[[#This Row],[UoM_Flow_Py]]</f>
        <v>Mg</v>
      </c>
      <c r="AG252"/>
    </row>
    <row r="253" spans="1:33" x14ac:dyDescent="0.25">
      <c r="A253" s="9">
        <f t="shared" si="3"/>
        <v>252</v>
      </c>
      <c r="B253" s="7" t="str">
        <f>_xlfn.XLOOKUP(C253,Tab_Def_Flows[Flow_Name],Tab_Def_Flows[Flow_ID],,0,)</f>
        <v>F_01_02</v>
      </c>
      <c r="C253" s="142" t="s">
        <v>599</v>
      </c>
      <c r="D253" s="10" t="str">
        <f>_xlfn.XLOOKUP(C253,Tab_Def_Flows[Flow_Name],Tab_Def_Flows[WC?],,0,)</f>
        <v>Yes</v>
      </c>
      <c r="E253" s="10" t="str">
        <f>_xlfn.XLOOKUP(C253,Tab_Def_Flows[Flow_Name],Tab_Def_Flows[DM?],,0,)</f>
        <v>Yes</v>
      </c>
      <c r="F253" s="10" t="str">
        <f>_xlfn.XLOOKUP(C253,Tab_Def_Flows[Flow_Name],Tab_Def_Flows[CC?],,0,)</f>
        <v>Yes</v>
      </c>
      <c r="G253" s="8">
        <v>2050</v>
      </c>
      <c r="H253" s="23">
        <v>403525.801204519</v>
      </c>
      <c r="I253" s="8" t="s">
        <v>198</v>
      </c>
      <c r="J253" s="15"/>
      <c r="K253" s="15"/>
      <c r="L253" s="15"/>
      <c r="M253" s="15"/>
      <c r="N253" s="15"/>
      <c r="O253" s="8" t="s">
        <v>6</v>
      </c>
      <c r="P253" s="16"/>
      <c r="Q253" s="8"/>
      <c r="R253" s="7" t="str">
        <f>Tab_Data_Flows[[#This Row],[Flow_ID]]&amp;"_"&amp;"material_"&amp;Tab_Data_Flows[[#This Row],[Flow_Data_Year]]</f>
        <v>F_01_02_material_2050</v>
      </c>
      <c r="S253" s="14">
        <f>IF(O253="no",H253,H253*P253)</f>
        <v>403525.801204519</v>
      </c>
      <c r="T253" s="8" t="s">
        <v>198</v>
      </c>
      <c r="U253" s="143">
        <f>INDEX(Tab_Def_Flows[[Flow_ID]:[CC_DM_source]],MATCH(Tab_Data_Flows[[#This Row],[Flow_Name]],Tab_Def_Flows[Flow_Name],0),11)</f>
        <v>0.6</v>
      </c>
      <c r="V253" s="7" t="str">
        <f>Tab_Data_Flows[[#This Row],[Flow_ID]]&amp;"_"&amp;"WC_"&amp;Tab_Data_Flows[[#This Row],[Flow_Data_Year]]</f>
        <v>F_01_02_WC_2050</v>
      </c>
      <c r="W253" s="7">
        <f>IF(D253="Yes",S253*Tab_Data_Flows[[#This Row],[WC_'[%']]],"N.A.")</f>
        <v>242115.48072271139</v>
      </c>
      <c r="X253" s="7" t="str">
        <f>Tab_Data_Flows[[#This Row],[UoM_Flow_Py]]</f>
        <v>Mg</v>
      </c>
      <c r="Y253" s="143">
        <f>INDEX(Tab_Def_Flows[[Flow_ID]:[CC_DM_source]],MATCH(Tab_Data_Flows[[#This Row],[Flow_Name]],Tab_Def_Flows[Flow_Name],0),14)</f>
        <v>0.4</v>
      </c>
      <c r="Z253" s="7" t="str">
        <f>Tab_Data_Flows[[#This Row],[Flow_ID]]&amp;"_"&amp;"DM_"&amp;Tab_Data_Flows[[#This Row],[Flow_Data_Year]]</f>
        <v>F_01_02_DM_2050</v>
      </c>
      <c r="AA253" s="7">
        <f>IF(E253="Yes",Y253*Tab_Data_Flows[[#This Row],[Flow_Material]],"N.A.")</f>
        <v>161410.3204818076</v>
      </c>
      <c r="AB253" s="7" t="str">
        <f>Tab_Data_Flows[[#This Row],[UoM_Flow_Py]]</f>
        <v>Mg</v>
      </c>
      <c r="AC253" s="143">
        <f>INDEX(Tab_Def_Flows[[Flow_ID]:[CC_DM_source]],MATCH(Tab_Data_Flows[[#This Row],[Flow_Name]],Tab_Def_Flows[Flow_Name],0),17)</f>
        <v>0</v>
      </c>
      <c r="AD253" s="7" t="str">
        <f>Tab_Data_Flows[[#This Row],[Flow_ID]]&amp;"_"&amp;"CC_"&amp;Tab_Data_Flows[[#This Row],[Flow_Data_Year]]</f>
        <v>F_01_02_CC_2050</v>
      </c>
      <c r="AE253" s="7">
        <f>IF(F253="Yes",AC253*Tab_Data_Flows[[#This Row],[Flow_Material]]*Tab_Data_Flows[[#This Row],[DM_'[%']]],"N.A.")</f>
        <v>0</v>
      </c>
      <c r="AF253" s="7" t="str">
        <f>Tab_Data_Flows[[#This Row],[UoM_Flow_Py]]</f>
        <v>Mg</v>
      </c>
      <c r="AG253"/>
    </row>
    <row r="254" spans="1:33" x14ac:dyDescent="0.25">
      <c r="A254" s="9">
        <f t="shared" si="3"/>
        <v>253</v>
      </c>
      <c r="B254" s="7" t="str">
        <f>_xlfn.XLOOKUP(C254,Tab_Def_Flows[Flow_Name],Tab_Def_Flows[Flow_ID],,0,)</f>
        <v>F_01_02</v>
      </c>
      <c r="C254" s="142" t="s">
        <v>599</v>
      </c>
      <c r="D254" s="10" t="str">
        <f>_xlfn.XLOOKUP(C254,Tab_Def_Flows[Flow_Name],Tab_Def_Flows[WC?],,0,)</f>
        <v>Yes</v>
      </c>
      <c r="E254" s="10" t="str">
        <f>_xlfn.XLOOKUP(C254,Tab_Def_Flows[Flow_Name],Tab_Def_Flows[DM?],,0,)</f>
        <v>Yes</v>
      </c>
      <c r="F254" s="10" t="str">
        <f>_xlfn.XLOOKUP(C254,Tab_Def_Flows[Flow_Name],Tab_Def_Flows[CC?],,0,)</f>
        <v>Yes</v>
      </c>
      <c r="G254" s="8">
        <v>2051</v>
      </c>
      <c r="H254" s="23">
        <v>479904.11035095761</v>
      </c>
      <c r="I254" s="8" t="s">
        <v>198</v>
      </c>
      <c r="J254" s="15"/>
      <c r="K254" s="15"/>
      <c r="L254" s="15"/>
      <c r="M254" s="15"/>
      <c r="N254" s="15"/>
      <c r="O254" s="8" t="s">
        <v>6</v>
      </c>
      <c r="P254" s="16"/>
      <c r="Q254" s="8"/>
      <c r="R254" s="7" t="str">
        <f>Tab_Data_Flows[[#This Row],[Flow_ID]]&amp;"_"&amp;"material_"&amp;Tab_Data_Flows[[#This Row],[Flow_Data_Year]]</f>
        <v>F_01_02_material_2051</v>
      </c>
      <c r="S254" s="14">
        <f>IF(O254="no",H254,H254*P254)</f>
        <v>479904.11035095761</v>
      </c>
      <c r="T254" s="8" t="s">
        <v>198</v>
      </c>
      <c r="U254" s="143">
        <f>INDEX(Tab_Def_Flows[[Flow_ID]:[CC_DM_source]],MATCH(Tab_Data_Flows[[#This Row],[Flow_Name]],Tab_Def_Flows[Flow_Name],0),11)</f>
        <v>0.6</v>
      </c>
      <c r="V254" s="7" t="str">
        <f>Tab_Data_Flows[[#This Row],[Flow_ID]]&amp;"_"&amp;"WC_"&amp;Tab_Data_Flows[[#This Row],[Flow_Data_Year]]</f>
        <v>F_01_02_WC_2051</v>
      </c>
      <c r="W254" s="7">
        <f>IF(D254="Yes",S254*Tab_Data_Flows[[#This Row],[WC_'[%']]],"N.A.")</f>
        <v>287942.46621057455</v>
      </c>
      <c r="X254" s="7" t="str">
        <f>Tab_Data_Flows[[#This Row],[UoM_Flow_Py]]</f>
        <v>Mg</v>
      </c>
      <c r="Y254" s="143">
        <f>INDEX(Tab_Def_Flows[[Flow_ID]:[CC_DM_source]],MATCH(Tab_Data_Flows[[#This Row],[Flow_Name]],Tab_Def_Flows[Flow_Name],0),14)</f>
        <v>0.4</v>
      </c>
      <c r="Z254" s="7" t="str">
        <f>Tab_Data_Flows[[#This Row],[Flow_ID]]&amp;"_"&amp;"DM_"&amp;Tab_Data_Flows[[#This Row],[Flow_Data_Year]]</f>
        <v>F_01_02_DM_2051</v>
      </c>
      <c r="AA254" s="7">
        <f>IF(E254="Yes",Y254*Tab_Data_Flows[[#This Row],[Flow_Material]],"N.A.")</f>
        <v>191961.64414038305</v>
      </c>
      <c r="AB254" s="7" t="str">
        <f>Tab_Data_Flows[[#This Row],[UoM_Flow_Py]]</f>
        <v>Mg</v>
      </c>
      <c r="AC254" s="143">
        <f>INDEX(Tab_Def_Flows[[Flow_ID]:[CC_DM_source]],MATCH(Tab_Data_Flows[[#This Row],[Flow_Name]],Tab_Def_Flows[Flow_Name],0),17)</f>
        <v>0</v>
      </c>
      <c r="AD254" s="7" t="str">
        <f>Tab_Data_Flows[[#This Row],[Flow_ID]]&amp;"_"&amp;"CC_"&amp;Tab_Data_Flows[[#This Row],[Flow_Data_Year]]</f>
        <v>F_01_02_CC_2051</v>
      </c>
      <c r="AE254" s="7">
        <f>IF(F254="Yes",AC254*Tab_Data_Flows[[#This Row],[Flow_Material]]*Tab_Data_Flows[[#This Row],[DM_'[%']]],"N.A.")</f>
        <v>0</v>
      </c>
      <c r="AF254" s="7" t="str">
        <f>Tab_Data_Flows[[#This Row],[UoM_Flow_Py]]</f>
        <v>Mg</v>
      </c>
      <c r="AG254"/>
    </row>
    <row r="255" spans="1:33" x14ac:dyDescent="0.25">
      <c r="A255" s="9">
        <f t="shared" si="3"/>
        <v>254</v>
      </c>
      <c r="B255" s="7" t="str">
        <f>_xlfn.XLOOKUP(C255,Tab_Def_Flows[Flow_Name],Tab_Def_Flows[Flow_ID],,0,)</f>
        <v>F_01_02</v>
      </c>
      <c r="C255" s="142" t="s">
        <v>599</v>
      </c>
      <c r="D255" s="10" t="str">
        <f>_xlfn.XLOOKUP(C255,Tab_Def_Flows[Flow_Name],Tab_Def_Flows[WC?],,0,)</f>
        <v>Yes</v>
      </c>
      <c r="E255" s="10" t="str">
        <f>_xlfn.XLOOKUP(C255,Tab_Def_Flows[Flow_Name],Tab_Def_Flows[DM?],,0,)</f>
        <v>Yes</v>
      </c>
      <c r="F255" s="10" t="str">
        <f>_xlfn.XLOOKUP(C255,Tab_Def_Flows[Flow_Name],Tab_Def_Flows[CC?],,0,)</f>
        <v>Yes</v>
      </c>
      <c r="G255" s="8">
        <v>2052</v>
      </c>
      <c r="H255" s="23">
        <v>391700.45292714424</v>
      </c>
      <c r="I255" s="8" t="s">
        <v>198</v>
      </c>
      <c r="J255" s="15"/>
      <c r="K255" s="15"/>
      <c r="L255" s="15"/>
      <c r="M255" s="15"/>
      <c r="N255" s="15"/>
      <c r="O255" s="8" t="s">
        <v>6</v>
      </c>
      <c r="P255" s="16"/>
      <c r="Q255" s="8"/>
      <c r="R255" s="7" t="str">
        <f>Tab_Data_Flows[[#This Row],[Flow_ID]]&amp;"_"&amp;"material_"&amp;Tab_Data_Flows[[#This Row],[Flow_Data_Year]]</f>
        <v>F_01_02_material_2052</v>
      </c>
      <c r="S255" s="14">
        <f>IF(O255="no",H255,H255*P255)</f>
        <v>391700.45292714424</v>
      </c>
      <c r="T255" s="8" t="s">
        <v>198</v>
      </c>
      <c r="U255" s="143">
        <f>INDEX(Tab_Def_Flows[[Flow_ID]:[CC_DM_source]],MATCH(Tab_Data_Flows[[#This Row],[Flow_Name]],Tab_Def_Flows[Flow_Name],0),11)</f>
        <v>0.6</v>
      </c>
      <c r="V255" s="7" t="str">
        <f>Tab_Data_Flows[[#This Row],[Flow_ID]]&amp;"_"&amp;"WC_"&amp;Tab_Data_Flows[[#This Row],[Flow_Data_Year]]</f>
        <v>F_01_02_WC_2052</v>
      </c>
      <c r="W255" s="7">
        <f>IF(D255="Yes",S255*Tab_Data_Flows[[#This Row],[WC_'[%']]],"N.A.")</f>
        <v>235020.27175628653</v>
      </c>
      <c r="X255" s="7" t="str">
        <f>Tab_Data_Flows[[#This Row],[UoM_Flow_Py]]</f>
        <v>Mg</v>
      </c>
      <c r="Y255" s="143">
        <f>INDEX(Tab_Def_Flows[[Flow_ID]:[CC_DM_source]],MATCH(Tab_Data_Flows[[#This Row],[Flow_Name]],Tab_Def_Flows[Flow_Name],0),14)</f>
        <v>0.4</v>
      </c>
      <c r="Z255" s="7" t="str">
        <f>Tab_Data_Flows[[#This Row],[Flow_ID]]&amp;"_"&amp;"DM_"&amp;Tab_Data_Flows[[#This Row],[Flow_Data_Year]]</f>
        <v>F_01_02_DM_2052</v>
      </c>
      <c r="AA255" s="7">
        <f>IF(E255="Yes",Y255*Tab_Data_Flows[[#This Row],[Flow_Material]],"N.A.")</f>
        <v>156680.18117085772</v>
      </c>
      <c r="AB255" s="7" t="str">
        <f>Tab_Data_Flows[[#This Row],[UoM_Flow_Py]]</f>
        <v>Mg</v>
      </c>
      <c r="AC255" s="143">
        <f>INDEX(Tab_Def_Flows[[Flow_ID]:[CC_DM_source]],MATCH(Tab_Data_Flows[[#This Row],[Flow_Name]],Tab_Def_Flows[Flow_Name],0),17)</f>
        <v>0</v>
      </c>
      <c r="AD255" s="7" t="str">
        <f>Tab_Data_Flows[[#This Row],[Flow_ID]]&amp;"_"&amp;"CC_"&amp;Tab_Data_Flows[[#This Row],[Flow_Data_Year]]</f>
        <v>F_01_02_CC_2052</v>
      </c>
      <c r="AE255" s="7">
        <f>IF(F255="Yes",AC255*Tab_Data_Flows[[#This Row],[Flow_Material]]*Tab_Data_Flows[[#This Row],[DM_'[%']]],"N.A.")</f>
        <v>0</v>
      </c>
      <c r="AF255" s="7" t="str">
        <f>Tab_Data_Flows[[#This Row],[UoM_Flow_Py]]</f>
        <v>Mg</v>
      </c>
      <c r="AG255"/>
    </row>
    <row r="256" spans="1:33" x14ac:dyDescent="0.25">
      <c r="A256" s="9">
        <f t="shared" si="3"/>
        <v>255</v>
      </c>
      <c r="B256" s="7" t="str">
        <f>_xlfn.XLOOKUP(C256,Tab_Def_Flows[Flow_Name],Tab_Def_Flows[Flow_ID],,0,)</f>
        <v>F_01_02</v>
      </c>
      <c r="C256" s="142" t="s">
        <v>599</v>
      </c>
      <c r="D256" s="10" t="str">
        <f>_xlfn.XLOOKUP(C256,Tab_Def_Flows[Flow_Name],Tab_Def_Flows[WC?],,0,)</f>
        <v>Yes</v>
      </c>
      <c r="E256" s="10" t="str">
        <f>_xlfn.XLOOKUP(C256,Tab_Def_Flows[Flow_Name],Tab_Def_Flows[DM?],,0,)</f>
        <v>Yes</v>
      </c>
      <c r="F256" s="10" t="str">
        <f>_xlfn.XLOOKUP(C256,Tab_Def_Flows[Flow_Name],Tab_Def_Flows[CC?],,0,)</f>
        <v>Yes</v>
      </c>
      <c r="G256" s="8">
        <v>2053</v>
      </c>
      <c r="H256" s="23">
        <v>395976.24765232229</v>
      </c>
      <c r="I256" s="8" t="s">
        <v>198</v>
      </c>
      <c r="J256" s="15"/>
      <c r="K256" s="15"/>
      <c r="L256" s="15"/>
      <c r="M256" s="15"/>
      <c r="N256" s="15"/>
      <c r="O256" s="8" t="s">
        <v>6</v>
      </c>
      <c r="P256" s="16"/>
      <c r="Q256" s="8"/>
      <c r="R256" s="7" t="str">
        <f>Tab_Data_Flows[[#This Row],[Flow_ID]]&amp;"_"&amp;"material_"&amp;Tab_Data_Flows[[#This Row],[Flow_Data_Year]]</f>
        <v>F_01_02_material_2053</v>
      </c>
      <c r="S256" s="14">
        <f>IF(O256="no",H256,H256*P256)</f>
        <v>395976.24765232229</v>
      </c>
      <c r="T256" s="8" t="s">
        <v>198</v>
      </c>
      <c r="U256" s="143">
        <f>INDEX(Tab_Def_Flows[[Flow_ID]:[CC_DM_source]],MATCH(Tab_Data_Flows[[#This Row],[Flow_Name]],Tab_Def_Flows[Flow_Name],0),11)</f>
        <v>0.6</v>
      </c>
      <c r="V256" s="7" t="str">
        <f>Tab_Data_Flows[[#This Row],[Flow_ID]]&amp;"_"&amp;"WC_"&amp;Tab_Data_Flows[[#This Row],[Flow_Data_Year]]</f>
        <v>F_01_02_WC_2053</v>
      </c>
      <c r="W256" s="7">
        <f>IF(D256="Yes",S256*Tab_Data_Flows[[#This Row],[WC_'[%']]],"N.A.")</f>
        <v>237585.74859139335</v>
      </c>
      <c r="X256" s="7" t="str">
        <f>Tab_Data_Flows[[#This Row],[UoM_Flow_Py]]</f>
        <v>Mg</v>
      </c>
      <c r="Y256" s="143">
        <f>INDEX(Tab_Def_Flows[[Flow_ID]:[CC_DM_source]],MATCH(Tab_Data_Flows[[#This Row],[Flow_Name]],Tab_Def_Flows[Flow_Name],0),14)</f>
        <v>0.4</v>
      </c>
      <c r="Z256" s="7" t="str">
        <f>Tab_Data_Flows[[#This Row],[Flow_ID]]&amp;"_"&amp;"DM_"&amp;Tab_Data_Flows[[#This Row],[Flow_Data_Year]]</f>
        <v>F_01_02_DM_2053</v>
      </c>
      <c r="AA256" s="7">
        <f>IF(E256="Yes",Y256*Tab_Data_Flows[[#This Row],[Flow_Material]],"N.A.")</f>
        <v>158390.49906092894</v>
      </c>
      <c r="AB256" s="7" t="str">
        <f>Tab_Data_Flows[[#This Row],[UoM_Flow_Py]]</f>
        <v>Mg</v>
      </c>
      <c r="AC256" s="143">
        <f>INDEX(Tab_Def_Flows[[Flow_ID]:[CC_DM_source]],MATCH(Tab_Data_Flows[[#This Row],[Flow_Name]],Tab_Def_Flows[Flow_Name],0),17)</f>
        <v>0</v>
      </c>
      <c r="AD256" s="7" t="str">
        <f>Tab_Data_Flows[[#This Row],[Flow_ID]]&amp;"_"&amp;"CC_"&amp;Tab_Data_Flows[[#This Row],[Flow_Data_Year]]</f>
        <v>F_01_02_CC_2053</v>
      </c>
      <c r="AE256" s="7">
        <f>IF(F256="Yes",AC256*Tab_Data_Flows[[#This Row],[Flow_Material]]*Tab_Data_Flows[[#This Row],[DM_'[%']]],"N.A.")</f>
        <v>0</v>
      </c>
      <c r="AF256" s="7" t="str">
        <f>Tab_Data_Flows[[#This Row],[UoM_Flow_Py]]</f>
        <v>Mg</v>
      </c>
      <c r="AG256"/>
    </row>
    <row r="257" spans="1:33" x14ac:dyDescent="0.25">
      <c r="A257" s="9">
        <f t="shared" si="3"/>
        <v>256</v>
      </c>
      <c r="B257" s="7" t="str">
        <f>_xlfn.XLOOKUP(C257,Tab_Def_Flows[Flow_Name],Tab_Def_Flows[Flow_ID],,0,)</f>
        <v>F_01_02</v>
      </c>
      <c r="C257" s="142" t="s">
        <v>599</v>
      </c>
      <c r="D257" s="10" t="str">
        <f>_xlfn.XLOOKUP(C257,Tab_Def_Flows[Flow_Name],Tab_Def_Flows[WC?],,0,)</f>
        <v>Yes</v>
      </c>
      <c r="E257" s="10" t="str">
        <f>_xlfn.XLOOKUP(C257,Tab_Def_Flows[Flow_Name],Tab_Def_Flows[DM?],,0,)</f>
        <v>Yes</v>
      </c>
      <c r="F257" s="10" t="str">
        <f>_xlfn.XLOOKUP(C257,Tab_Def_Flows[Flow_Name],Tab_Def_Flows[CC?],,0,)</f>
        <v>Yes</v>
      </c>
      <c r="G257" s="8">
        <v>2054</v>
      </c>
      <c r="H257" s="23">
        <v>378867.60655489715</v>
      </c>
      <c r="I257" s="8" t="s">
        <v>198</v>
      </c>
      <c r="J257" s="15"/>
      <c r="K257" s="15"/>
      <c r="L257" s="15"/>
      <c r="M257" s="15"/>
      <c r="N257" s="15"/>
      <c r="O257" s="8" t="s">
        <v>6</v>
      </c>
      <c r="P257" s="16"/>
      <c r="Q257" s="8"/>
      <c r="R257" s="7" t="str">
        <f>Tab_Data_Flows[[#This Row],[Flow_ID]]&amp;"_"&amp;"material_"&amp;Tab_Data_Flows[[#This Row],[Flow_Data_Year]]</f>
        <v>F_01_02_material_2054</v>
      </c>
      <c r="S257" s="14">
        <f>IF(O257="no",H257,H257*P257)</f>
        <v>378867.60655489715</v>
      </c>
      <c r="T257" s="8" t="s">
        <v>198</v>
      </c>
      <c r="U257" s="143">
        <f>INDEX(Tab_Def_Flows[[Flow_ID]:[CC_DM_source]],MATCH(Tab_Data_Flows[[#This Row],[Flow_Name]],Tab_Def_Flows[Flow_Name],0),11)</f>
        <v>0.6</v>
      </c>
      <c r="V257" s="7" t="str">
        <f>Tab_Data_Flows[[#This Row],[Flow_ID]]&amp;"_"&amp;"WC_"&amp;Tab_Data_Flows[[#This Row],[Flow_Data_Year]]</f>
        <v>F_01_02_WC_2054</v>
      </c>
      <c r="W257" s="7">
        <f>IF(D257="Yes",S257*Tab_Data_Flows[[#This Row],[WC_'[%']]],"N.A.")</f>
        <v>227320.5639329383</v>
      </c>
      <c r="X257" s="7" t="str">
        <f>Tab_Data_Flows[[#This Row],[UoM_Flow_Py]]</f>
        <v>Mg</v>
      </c>
      <c r="Y257" s="143">
        <f>INDEX(Tab_Def_Flows[[Flow_ID]:[CC_DM_source]],MATCH(Tab_Data_Flows[[#This Row],[Flow_Name]],Tab_Def_Flows[Flow_Name],0),14)</f>
        <v>0.4</v>
      </c>
      <c r="Z257" s="7" t="str">
        <f>Tab_Data_Flows[[#This Row],[Flow_ID]]&amp;"_"&amp;"DM_"&amp;Tab_Data_Flows[[#This Row],[Flow_Data_Year]]</f>
        <v>F_01_02_DM_2054</v>
      </c>
      <c r="AA257" s="7">
        <f>IF(E257="Yes",Y257*Tab_Data_Flows[[#This Row],[Flow_Material]],"N.A.")</f>
        <v>151547.04262195886</v>
      </c>
      <c r="AB257" s="7" t="str">
        <f>Tab_Data_Flows[[#This Row],[UoM_Flow_Py]]</f>
        <v>Mg</v>
      </c>
      <c r="AC257" s="143">
        <f>INDEX(Tab_Def_Flows[[Flow_ID]:[CC_DM_source]],MATCH(Tab_Data_Flows[[#This Row],[Flow_Name]],Tab_Def_Flows[Flow_Name],0),17)</f>
        <v>0</v>
      </c>
      <c r="AD257" s="7" t="str">
        <f>Tab_Data_Flows[[#This Row],[Flow_ID]]&amp;"_"&amp;"CC_"&amp;Tab_Data_Flows[[#This Row],[Flow_Data_Year]]</f>
        <v>F_01_02_CC_2054</v>
      </c>
      <c r="AE257" s="7">
        <f>IF(F257="Yes",AC257*Tab_Data_Flows[[#This Row],[Flow_Material]]*Tab_Data_Flows[[#This Row],[DM_'[%']]],"N.A.")</f>
        <v>0</v>
      </c>
      <c r="AF257" s="7" t="str">
        <f>Tab_Data_Flows[[#This Row],[UoM_Flow_Py]]</f>
        <v>Mg</v>
      </c>
      <c r="AG257"/>
    </row>
    <row r="258" spans="1:33" x14ac:dyDescent="0.25">
      <c r="A258" s="9">
        <f t="shared" si="3"/>
        <v>257</v>
      </c>
      <c r="B258" s="7" t="str">
        <f>_xlfn.XLOOKUP(C258,Tab_Def_Flows[Flow_Name],Tab_Def_Flows[Flow_ID],,0,)</f>
        <v>F_01_02</v>
      </c>
      <c r="C258" s="142" t="s">
        <v>599</v>
      </c>
      <c r="D258" s="10" t="str">
        <f>_xlfn.XLOOKUP(C258,Tab_Def_Flows[Flow_Name],Tab_Def_Flows[WC?],,0,)</f>
        <v>Yes</v>
      </c>
      <c r="E258" s="10" t="str">
        <f>_xlfn.XLOOKUP(C258,Tab_Def_Flows[Flow_Name],Tab_Def_Flows[DM?],,0,)</f>
        <v>Yes</v>
      </c>
      <c r="F258" s="10" t="str">
        <f>_xlfn.XLOOKUP(C258,Tab_Def_Flows[Flow_Name],Tab_Def_Flows[CC?],,0,)</f>
        <v>Yes</v>
      </c>
      <c r="G258" s="8">
        <v>2055</v>
      </c>
      <c r="H258" s="23">
        <v>283824.68288411479</v>
      </c>
      <c r="I258" s="8" t="s">
        <v>198</v>
      </c>
      <c r="J258" s="15"/>
      <c r="K258" s="15"/>
      <c r="L258" s="15"/>
      <c r="M258" s="15"/>
      <c r="N258" s="15"/>
      <c r="O258" s="8" t="s">
        <v>6</v>
      </c>
      <c r="P258" s="16"/>
      <c r="Q258" s="8"/>
      <c r="R258" s="7" t="str">
        <f>Tab_Data_Flows[[#This Row],[Flow_ID]]&amp;"_"&amp;"material_"&amp;Tab_Data_Flows[[#This Row],[Flow_Data_Year]]</f>
        <v>F_01_02_material_2055</v>
      </c>
      <c r="S258" s="14">
        <f>IF(O258="no",H258,H258*P258)</f>
        <v>283824.68288411479</v>
      </c>
      <c r="T258" s="8" t="s">
        <v>198</v>
      </c>
      <c r="U258" s="143">
        <f>INDEX(Tab_Def_Flows[[Flow_ID]:[CC_DM_source]],MATCH(Tab_Data_Flows[[#This Row],[Flow_Name]],Tab_Def_Flows[Flow_Name],0),11)</f>
        <v>0.6</v>
      </c>
      <c r="V258" s="7" t="str">
        <f>Tab_Data_Flows[[#This Row],[Flow_ID]]&amp;"_"&amp;"WC_"&amp;Tab_Data_Flows[[#This Row],[Flow_Data_Year]]</f>
        <v>F_01_02_WC_2055</v>
      </c>
      <c r="W258" s="7">
        <f>IF(D258="Yes",S258*Tab_Data_Flows[[#This Row],[WC_'[%']]],"N.A.")</f>
        <v>170294.80973046887</v>
      </c>
      <c r="X258" s="7" t="str">
        <f>Tab_Data_Flows[[#This Row],[UoM_Flow_Py]]</f>
        <v>Mg</v>
      </c>
      <c r="Y258" s="143">
        <f>INDEX(Tab_Def_Flows[[Flow_ID]:[CC_DM_source]],MATCH(Tab_Data_Flows[[#This Row],[Flow_Name]],Tab_Def_Flows[Flow_Name],0),14)</f>
        <v>0.4</v>
      </c>
      <c r="Z258" s="7" t="str">
        <f>Tab_Data_Flows[[#This Row],[Flow_ID]]&amp;"_"&amp;"DM_"&amp;Tab_Data_Flows[[#This Row],[Flow_Data_Year]]</f>
        <v>F_01_02_DM_2055</v>
      </c>
      <c r="AA258" s="7">
        <f>IF(E258="Yes",Y258*Tab_Data_Flows[[#This Row],[Flow_Material]],"N.A.")</f>
        <v>113529.87315364592</v>
      </c>
      <c r="AB258" s="7" t="str">
        <f>Tab_Data_Flows[[#This Row],[UoM_Flow_Py]]</f>
        <v>Mg</v>
      </c>
      <c r="AC258" s="143">
        <f>INDEX(Tab_Def_Flows[[Flow_ID]:[CC_DM_source]],MATCH(Tab_Data_Flows[[#This Row],[Flow_Name]],Tab_Def_Flows[Flow_Name],0),17)</f>
        <v>0</v>
      </c>
      <c r="AD258" s="7" t="str">
        <f>Tab_Data_Flows[[#This Row],[Flow_ID]]&amp;"_"&amp;"CC_"&amp;Tab_Data_Flows[[#This Row],[Flow_Data_Year]]</f>
        <v>F_01_02_CC_2055</v>
      </c>
      <c r="AE258" s="7">
        <f>IF(F258="Yes",AC258*Tab_Data_Flows[[#This Row],[Flow_Material]]*Tab_Data_Flows[[#This Row],[DM_'[%']]],"N.A.")</f>
        <v>0</v>
      </c>
      <c r="AF258" s="7" t="str">
        <f>Tab_Data_Flows[[#This Row],[UoM_Flow_Py]]</f>
        <v>Mg</v>
      </c>
      <c r="AG258"/>
    </row>
    <row r="259" spans="1:33" x14ac:dyDescent="0.25">
      <c r="A259" s="9">
        <f t="shared" ref="A259:A322" si="4">ROW()-1</f>
        <v>258</v>
      </c>
      <c r="B259" s="7" t="str">
        <f>_xlfn.XLOOKUP(C259,Tab_Def_Flows[Flow_Name],Tab_Def_Flows[Flow_ID],,0,)</f>
        <v>F_01_02</v>
      </c>
      <c r="C259" s="142" t="s">
        <v>599</v>
      </c>
      <c r="D259" s="10" t="str">
        <f>_xlfn.XLOOKUP(C259,Tab_Def_Flows[Flow_Name],Tab_Def_Flows[WC?],,0,)</f>
        <v>Yes</v>
      </c>
      <c r="E259" s="10" t="str">
        <f>_xlfn.XLOOKUP(C259,Tab_Def_Flows[Flow_Name],Tab_Def_Flows[DM?],,0,)</f>
        <v>Yes</v>
      </c>
      <c r="F259" s="10" t="str">
        <f>_xlfn.XLOOKUP(C259,Tab_Def_Flows[Flow_Name],Tab_Def_Flows[CC?],,0,)</f>
        <v>Yes</v>
      </c>
      <c r="G259" s="8">
        <v>2056</v>
      </c>
      <c r="H259" s="23">
        <v>381337.67040446994</v>
      </c>
      <c r="I259" s="8" t="s">
        <v>198</v>
      </c>
      <c r="J259" s="15"/>
      <c r="K259" s="15"/>
      <c r="L259" s="15"/>
      <c r="M259" s="15"/>
      <c r="N259" s="15"/>
      <c r="O259" s="8" t="s">
        <v>6</v>
      </c>
      <c r="P259" s="16"/>
      <c r="Q259" s="8"/>
      <c r="R259" s="7" t="str">
        <f>Tab_Data_Flows[[#This Row],[Flow_ID]]&amp;"_"&amp;"material_"&amp;Tab_Data_Flows[[#This Row],[Flow_Data_Year]]</f>
        <v>F_01_02_material_2056</v>
      </c>
      <c r="S259" s="14">
        <f>IF(O259="no",H259,H259*P259)</f>
        <v>381337.67040446994</v>
      </c>
      <c r="T259" s="8" t="s">
        <v>198</v>
      </c>
      <c r="U259" s="143">
        <f>INDEX(Tab_Def_Flows[[Flow_ID]:[CC_DM_source]],MATCH(Tab_Data_Flows[[#This Row],[Flow_Name]],Tab_Def_Flows[Flow_Name],0),11)</f>
        <v>0.6</v>
      </c>
      <c r="V259" s="7" t="str">
        <f>Tab_Data_Flows[[#This Row],[Flow_ID]]&amp;"_"&amp;"WC_"&amp;Tab_Data_Flows[[#This Row],[Flow_Data_Year]]</f>
        <v>F_01_02_WC_2056</v>
      </c>
      <c r="W259" s="7">
        <f>IF(D259="Yes",S259*Tab_Data_Flows[[#This Row],[WC_'[%']]],"N.A.")</f>
        <v>228802.60224268195</v>
      </c>
      <c r="X259" s="7" t="str">
        <f>Tab_Data_Flows[[#This Row],[UoM_Flow_Py]]</f>
        <v>Mg</v>
      </c>
      <c r="Y259" s="143">
        <f>INDEX(Tab_Def_Flows[[Flow_ID]:[CC_DM_source]],MATCH(Tab_Data_Flows[[#This Row],[Flow_Name]],Tab_Def_Flows[Flow_Name],0),14)</f>
        <v>0.4</v>
      </c>
      <c r="Z259" s="7" t="str">
        <f>Tab_Data_Flows[[#This Row],[Flow_ID]]&amp;"_"&amp;"DM_"&amp;Tab_Data_Flows[[#This Row],[Flow_Data_Year]]</f>
        <v>F_01_02_DM_2056</v>
      </c>
      <c r="AA259" s="7">
        <f>IF(E259="Yes",Y259*Tab_Data_Flows[[#This Row],[Flow_Material]],"N.A.")</f>
        <v>152535.06816178799</v>
      </c>
      <c r="AB259" s="7" t="str">
        <f>Tab_Data_Flows[[#This Row],[UoM_Flow_Py]]</f>
        <v>Mg</v>
      </c>
      <c r="AC259" s="143">
        <f>INDEX(Tab_Def_Flows[[Flow_ID]:[CC_DM_source]],MATCH(Tab_Data_Flows[[#This Row],[Flow_Name]],Tab_Def_Flows[Flow_Name],0),17)</f>
        <v>0</v>
      </c>
      <c r="AD259" s="7" t="str">
        <f>Tab_Data_Flows[[#This Row],[Flow_ID]]&amp;"_"&amp;"CC_"&amp;Tab_Data_Flows[[#This Row],[Flow_Data_Year]]</f>
        <v>F_01_02_CC_2056</v>
      </c>
      <c r="AE259" s="7">
        <f>IF(F259="Yes",AC259*Tab_Data_Flows[[#This Row],[Flow_Material]]*Tab_Data_Flows[[#This Row],[DM_'[%']]],"N.A.")</f>
        <v>0</v>
      </c>
      <c r="AF259" s="7" t="str">
        <f>Tab_Data_Flows[[#This Row],[UoM_Flow_Py]]</f>
        <v>Mg</v>
      </c>
      <c r="AG259"/>
    </row>
    <row r="260" spans="1:33" x14ac:dyDescent="0.25">
      <c r="A260" s="9">
        <f t="shared" si="4"/>
        <v>259</v>
      </c>
      <c r="B260" s="7" t="str">
        <f>_xlfn.XLOOKUP(C260,Tab_Def_Flows[Flow_Name],Tab_Def_Flows[Flow_ID],,0,)</f>
        <v>F_01_02</v>
      </c>
      <c r="C260" s="142" t="s">
        <v>599</v>
      </c>
      <c r="D260" s="10" t="str">
        <f>_xlfn.XLOOKUP(C260,Tab_Def_Flows[Flow_Name],Tab_Def_Flows[WC?],,0,)</f>
        <v>Yes</v>
      </c>
      <c r="E260" s="10" t="str">
        <f>_xlfn.XLOOKUP(C260,Tab_Def_Flows[Flow_Name],Tab_Def_Flows[DM?],,0,)</f>
        <v>Yes</v>
      </c>
      <c r="F260" s="10" t="str">
        <f>_xlfn.XLOOKUP(C260,Tab_Def_Flows[Flow_Name],Tab_Def_Flows[CC?],,0,)</f>
        <v>Yes</v>
      </c>
      <c r="G260" s="8">
        <v>2057</v>
      </c>
      <c r="H260" s="23">
        <v>385807.8208105425</v>
      </c>
      <c r="I260" s="8" t="s">
        <v>198</v>
      </c>
      <c r="J260" s="15"/>
      <c r="K260" s="15"/>
      <c r="L260" s="15"/>
      <c r="M260" s="15"/>
      <c r="N260" s="15"/>
      <c r="O260" s="8" t="s">
        <v>6</v>
      </c>
      <c r="P260" s="16"/>
      <c r="Q260" s="8"/>
      <c r="R260" s="7" t="str">
        <f>Tab_Data_Flows[[#This Row],[Flow_ID]]&amp;"_"&amp;"material_"&amp;Tab_Data_Flows[[#This Row],[Flow_Data_Year]]</f>
        <v>F_01_02_material_2057</v>
      </c>
      <c r="S260" s="14">
        <f>IF(O260="no",H260,H260*P260)</f>
        <v>385807.8208105425</v>
      </c>
      <c r="T260" s="8" t="s">
        <v>198</v>
      </c>
      <c r="U260" s="143">
        <f>INDEX(Tab_Def_Flows[[Flow_ID]:[CC_DM_source]],MATCH(Tab_Data_Flows[[#This Row],[Flow_Name]],Tab_Def_Flows[Flow_Name],0),11)</f>
        <v>0.6</v>
      </c>
      <c r="V260" s="7" t="str">
        <f>Tab_Data_Flows[[#This Row],[Flow_ID]]&amp;"_"&amp;"WC_"&amp;Tab_Data_Flows[[#This Row],[Flow_Data_Year]]</f>
        <v>F_01_02_WC_2057</v>
      </c>
      <c r="W260" s="7">
        <f>IF(D260="Yes",S260*Tab_Data_Flows[[#This Row],[WC_'[%']]],"N.A.")</f>
        <v>231484.69248632548</v>
      </c>
      <c r="X260" s="7" t="str">
        <f>Tab_Data_Flows[[#This Row],[UoM_Flow_Py]]</f>
        <v>Mg</v>
      </c>
      <c r="Y260" s="143">
        <f>INDEX(Tab_Def_Flows[[Flow_ID]:[CC_DM_source]],MATCH(Tab_Data_Flows[[#This Row],[Flow_Name]],Tab_Def_Flows[Flow_Name],0),14)</f>
        <v>0.4</v>
      </c>
      <c r="Z260" s="7" t="str">
        <f>Tab_Data_Flows[[#This Row],[Flow_ID]]&amp;"_"&amp;"DM_"&amp;Tab_Data_Flows[[#This Row],[Flow_Data_Year]]</f>
        <v>F_01_02_DM_2057</v>
      </c>
      <c r="AA260" s="7">
        <f>IF(E260="Yes",Y260*Tab_Data_Flows[[#This Row],[Flow_Material]],"N.A.")</f>
        <v>154323.12832421702</v>
      </c>
      <c r="AB260" s="7" t="str">
        <f>Tab_Data_Flows[[#This Row],[UoM_Flow_Py]]</f>
        <v>Mg</v>
      </c>
      <c r="AC260" s="143">
        <f>INDEX(Tab_Def_Flows[[Flow_ID]:[CC_DM_source]],MATCH(Tab_Data_Flows[[#This Row],[Flow_Name]],Tab_Def_Flows[Flow_Name],0),17)</f>
        <v>0</v>
      </c>
      <c r="AD260" s="7" t="str">
        <f>Tab_Data_Flows[[#This Row],[Flow_ID]]&amp;"_"&amp;"CC_"&amp;Tab_Data_Flows[[#This Row],[Flow_Data_Year]]</f>
        <v>F_01_02_CC_2057</v>
      </c>
      <c r="AE260" s="7">
        <f>IF(F260="Yes",AC260*Tab_Data_Flows[[#This Row],[Flow_Material]]*Tab_Data_Flows[[#This Row],[DM_'[%']]],"N.A.")</f>
        <v>0</v>
      </c>
      <c r="AF260" s="7" t="str">
        <f>Tab_Data_Flows[[#This Row],[UoM_Flow_Py]]</f>
        <v>Mg</v>
      </c>
      <c r="AG260"/>
    </row>
    <row r="261" spans="1:33" x14ac:dyDescent="0.25">
      <c r="A261" s="9">
        <f t="shared" si="4"/>
        <v>260</v>
      </c>
      <c r="B261" s="7" t="str">
        <f>_xlfn.XLOOKUP(C261,Tab_Def_Flows[Flow_Name],Tab_Def_Flows[Flow_ID],,0,)</f>
        <v>F_01_02</v>
      </c>
      <c r="C261" s="142" t="s">
        <v>599</v>
      </c>
      <c r="D261" s="10" t="str">
        <f>_xlfn.XLOOKUP(C261,Tab_Def_Flows[Flow_Name],Tab_Def_Flows[WC?],,0,)</f>
        <v>Yes</v>
      </c>
      <c r="E261" s="10" t="str">
        <f>_xlfn.XLOOKUP(C261,Tab_Def_Flows[Flow_Name],Tab_Def_Flows[DM?],,0,)</f>
        <v>Yes</v>
      </c>
      <c r="F261" s="10" t="str">
        <f>_xlfn.XLOOKUP(C261,Tab_Def_Flows[Flow_Name],Tab_Def_Flows[CC?],,0,)</f>
        <v>Yes</v>
      </c>
      <c r="G261" s="8">
        <v>2058</v>
      </c>
      <c r="H261" s="23">
        <v>509641.3315753417</v>
      </c>
      <c r="I261" s="8" t="s">
        <v>198</v>
      </c>
      <c r="J261" s="15"/>
      <c r="K261" s="15"/>
      <c r="L261" s="15"/>
      <c r="M261" s="15"/>
      <c r="N261" s="15"/>
      <c r="O261" s="8" t="s">
        <v>6</v>
      </c>
      <c r="P261" s="16"/>
      <c r="Q261" s="8"/>
      <c r="R261" s="7" t="str">
        <f>Tab_Data_Flows[[#This Row],[Flow_ID]]&amp;"_"&amp;"material_"&amp;Tab_Data_Flows[[#This Row],[Flow_Data_Year]]</f>
        <v>F_01_02_material_2058</v>
      </c>
      <c r="S261" s="14">
        <f>IF(O261="no",H261,H261*P261)</f>
        <v>509641.3315753417</v>
      </c>
      <c r="T261" s="8" t="s">
        <v>198</v>
      </c>
      <c r="U261" s="143">
        <f>INDEX(Tab_Def_Flows[[Flow_ID]:[CC_DM_source]],MATCH(Tab_Data_Flows[[#This Row],[Flow_Name]],Tab_Def_Flows[Flow_Name],0),11)</f>
        <v>0.6</v>
      </c>
      <c r="V261" s="7" t="str">
        <f>Tab_Data_Flows[[#This Row],[Flow_ID]]&amp;"_"&amp;"WC_"&amp;Tab_Data_Flows[[#This Row],[Flow_Data_Year]]</f>
        <v>F_01_02_WC_2058</v>
      </c>
      <c r="W261" s="7">
        <f>IF(D261="Yes",S261*Tab_Data_Flows[[#This Row],[WC_'[%']]],"N.A.")</f>
        <v>305784.798945205</v>
      </c>
      <c r="X261" s="7" t="str">
        <f>Tab_Data_Flows[[#This Row],[UoM_Flow_Py]]</f>
        <v>Mg</v>
      </c>
      <c r="Y261" s="143">
        <f>INDEX(Tab_Def_Flows[[Flow_ID]:[CC_DM_source]],MATCH(Tab_Data_Flows[[#This Row],[Flow_Name]],Tab_Def_Flows[Flow_Name],0),14)</f>
        <v>0.4</v>
      </c>
      <c r="Z261" s="7" t="str">
        <f>Tab_Data_Flows[[#This Row],[Flow_ID]]&amp;"_"&amp;"DM_"&amp;Tab_Data_Flows[[#This Row],[Flow_Data_Year]]</f>
        <v>F_01_02_DM_2058</v>
      </c>
      <c r="AA261" s="7">
        <f>IF(E261="Yes",Y261*Tab_Data_Flows[[#This Row],[Flow_Material]],"N.A.")</f>
        <v>203856.5326301367</v>
      </c>
      <c r="AB261" s="7" t="str">
        <f>Tab_Data_Flows[[#This Row],[UoM_Flow_Py]]</f>
        <v>Mg</v>
      </c>
      <c r="AC261" s="143">
        <f>INDEX(Tab_Def_Flows[[Flow_ID]:[CC_DM_source]],MATCH(Tab_Data_Flows[[#This Row],[Flow_Name]],Tab_Def_Flows[Flow_Name],0),17)</f>
        <v>0</v>
      </c>
      <c r="AD261" s="7" t="str">
        <f>Tab_Data_Flows[[#This Row],[Flow_ID]]&amp;"_"&amp;"CC_"&amp;Tab_Data_Flows[[#This Row],[Flow_Data_Year]]</f>
        <v>F_01_02_CC_2058</v>
      </c>
      <c r="AE261" s="7">
        <f>IF(F261="Yes",AC261*Tab_Data_Flows[[#This Row],[Flow_Material]]*Tab_Data_Flows[[#This Row],[DM_'[%']]],"N.A.")</f>
        <v>0</v>
      </c>
      <c r="AF261" s="7" t="str">
        <f>Tab_Data_Flows[[#This Row],[UoM_Flow_Py]]</f>
        <v>Mg</v>
      </c>
      <c r="AG261"/>
    </row>
    <row r="262" spans="1:33" x14ac:dyDescent="0.25">
      <c r="A262" s="9">
        <f t="shared" si="4"/>
        <v>261</v>
      </c>
      <c r="B262" s="7" t="str">
        <f>_xlfn.XLOOKUP(C262,Tab_Def_Flows[Flow_Name],Tab_Def_Flows[Flow_ID],,0,)</f>
        <v>F_01_02</v>
      </c>
      <c r="C262" s="142" t="s">
        <v>599</v>
      </c>
      <c r="D262" s="10" t="str">
        <f>_xlfn.XLOOKUP(C262,Tab_Def_Flows[Flow_Name],Tab_Def_Flows[WC?],,0,)</f>
        <v>Yes</v>
      </c>
      <c r="E262" s="10" t="str">
        <f>_xlfn.XLOOKUP(C262,Tab_Def_Flows[Flow_Name],Tab_Def_Flows[DM?],,0,)</f>
        <v>Yes</v>
      </c>
      <c r="F262" s="10" t="str">
        <f>_xlfn.XLOOKUP(C262,Tab_Def_Flows[Flow_Name],Tab_Def_Flows[CC?],,0,)</f>
        <v>Yes</v>
      </c>
      <c r="G262" s="8">
        <v>2059</v>
      </c>
      <c r="H262" s="23">
        <v>372791.13457568432</v>
      </c>
      <c r="I262" s="8" t="s">
        <v>198</v>
      </c>
      <c r="J262" s="15"/>
      <c r="K262" s="15"/>
      <c r="L262" s="15"/>
      <c r="M262" s="15"/>
      <c r="N262" s="15"/>
      <c r="O262" s="8" t="s">
        <v>6</v>
      </c>
      <c r="P262" s="16"/>
      <c r="Q262" s="8"/>
      <c r="R262" s="7" t="str">
        <f>Tab_Data_Flows[[#This Row],[Flow_ID]]&amp;"_"&amp;"material_"&amp;Tab_Data_Flows[[#This Row],[Flow_Data_Year]]</f>
        <v>F_01_02_material_2059</v>
      </c>
      <c r="S262" s="14">
        <f>IF(O262="no",H262,H262*P262)</f>
        <v>372791.13457568432</v>
      </c>
      <c r="T262" s="8" t="s">
        <v>198</v>
      </c>
      <c r="U262" s="143">
        <f>INDEX(Tab_Def_Flows[[Flow_ID]:[CC_DM_source]],MATCH(Tab_Data_Flows[[#This Row],[Flow_Name]],Tab_Def_Flows[Flow_Name],0),11)</f>
        <v>0.6</v>
      </c>
      <c r="V262" s="7" t="str">
        <f>Tab_Data_Flows[[#This Row],[Flow_ID]]&amp;"_"&amp;"WC_"&amp;Tab_Data_Flows[[#This Row],[Flow_Data_Year]]</f>
        <v>F_01_02_WC_2059</v>
      </c>
      <c r="W262" s="7">
        <f>IF(D262="Yes",S262*Tab_Data_Flows[[#This Row],[WC_'[%']]],"N.A.")</f>
        <v>223674.68074541059</v>
      </c>
      <c r="X262" s="7" t="str">
        <f>Tab_Data_Flows[[#This Row],[UoM_Flow_Py]]</f>
        <v>Mg</v>
      </c>
      <c r="Y262" s="143">
        <f>INDEX(Tab_Def_Flows[[Flow_ID]:[CC_DM_source]],MATCH(Tab_Data_Flows[[#This Row],[Flow_Name]],Tab_Def_Flows[Flow_Name],0),14)</f>
        <v>0.4</v>
      </c>
      <c r="Z262" s="7" t="str">
        <f>Tab_Data_Flows[[#This Row],[Flow_ID]]&amp;"_"&amp;"DM_"&amp;Tab_Data_Flows[[#This Row],[Flow_Data_Year]]</f>
        <v>F_01_02_DM_2059</v>
      </c>
      <c r="AA262" s="7">
        <f>IF(E262="Yes",Y262*Tab_Data_Flows[[#This Row],[Flow_Material]],"N.A.")</f>
        <v>149116.45383027373</v>
      </c>
      <c r="AB262" s="7" t="str">
        <f>Tab_Data_Flows[[#This Row],[UoM_Flow_Py]]</f>
        <v>Mg</v>
      </c>
      <c r="AC262" s="143">
        <f>INDEX(Tab_Def_Flows[[Flow_ID]:[CC_DM_source]],MATCH(Tab_Data_Flows[[#This Row],[Flow_Name]],Tab_Def_Flows[Flow_Name],0),17)</f>
        <v>0</v>
      </c>
      <c r="AD262" s="7" t="str">
        <f>Tab_Data_Flows[[#This Row],[Flow_ID]]&amp;"_"&amp;"CC_"&amp;Tab_Data_Flows[[#This Row],[Flow_Data_Year]]</f>
        <v>F_01_02_CC_2059</v>
      </c>
      <c r="AE262" s="7">
        <f>IF(F262="Yes",AC262*Tab_Data_Flows[[#This Row],[Flow_Material]]*Tab_Data_Flows[[#This Row],[DM_'[%']]],"N.A.")</f>
        <v>0</v>
      </c>
      <c r="AF262" s="7" t="str">
        <f>Tab_Data_Flows[[#This Row],[UoM_Flow_Py]]</f>
        <v>Mg</v>
      </c>
      <c r="AG262"/>
    </row>
    <row r="263" spans="1:33" x14ac:dyDescent="0.25">
      <c r="A263" s="9">
        <f t="shared" si="4"/>
        <v>262</v>
      </c>
      <c r="B263" s="7" t="str">
        <f>_xlfn.XLOOKUP(C263,Tab_Def_Flows[Flow_Name],Tab_Def_Flows[Flow_ID],,0,)</f>
        <v>F_01_02</v>
      </c>
      <c r="C263" s="142" t="s">
        <v>599</v>
      </c>
      <c r="D263" s="10" t="str">
        <f>_xlfn.XLOOKUP(C263,Tab_Def_Flows[Flow_Name],Tab_Def_Flows[WC?],,0,)</f>
        <v>Yes</v>
      </c>
      <c r="E263" s="10" t="str">
        <f>_xlfn.XLOOKUP(C263,Tab_Def_Flows[Flow_Name],Tab_Def_Flows[DM?],,0,)</f>
        <v>Yes</v>
      </c>
      <c r="F263" s="10" t="str">
        <f>_xlfn.XLOOKUP(C263,Tab_Def_Flows[Flow_Name],Tab_Def_Flows[CC?],,0,)</f>
        <v>Yes</v>
      </c>
      <c r="G263" s="8">
        <v>2060</v>
      </c>
      <c r="H263" s="23">
        <v>398243.52605204715</v>
      </c>
      <c r="I263" s="8" t="s">
        <v>198</v>
      </c>
      <c r="J263" s="15"/>
      <c r="K263" s="15"/>
      <c r="L263" s="15"/>
      <c r="M263" s="15"/>
      <c r="N263" s="15"/>
      <c r="O263" s="8" t="s">
        <v>6</v>
      </c>
      <c r="P263" s="16"/>
      <c r="Q263" s="8"/>
      <c r="R263" s="7" t="str">
        <f>Tab_Data_Flows[[#This Row],[Flow_ID]]&amp;"_"&amp;"material_"&amp;Tab_Data_Flows[[#This Row],[Flow_Data_Year]]</f>
        <v>F_01_02_material_2060</v>
      </c>
      <c r="S263" s="14">
        <f>IF(O263="no",H263,H263*P263)</f>
        <v>398243.52605204715</v>
      </c>
      <c r="T263" s="8" t="s">
        <v>198</v>
      </c>
      <c r="U263" s="143">
        <f>INDEX(Tab_Def_Flows[[Flow_ID]:[CC_DM_source]],MATCH(Tab_Data_Flows[[#This Row],[Flow_Name]],Tab_Def_Flows[Flow_Name],0),11)</f>
        <v>0.6</v>
      </c>
      <c r="V263" s="7" t="str">
        <f>Tab_Data_Flows[[#This Row],[Flow_ID]]&amp;"_"&amp;"WC_"&amp;Tab_Data_Flows[[#This Row],[Flow_Data_Year]]</f>
        <v>F_01_02_WC_2060</v>
      </c>
      <c r="W263" s="7">
        <f>IF(D263="Yes",S263*Tab_Data_Flows[[#This Row],[WC_'[%']]],"N.A.")</f>
        <v>238946.11563122828</v>
      </c>
      <c r="X263" s="7" t="str">
        <f>Tab_Data_Flows[[#This Row],[UoM_Flow_Py]]</f>
        <v>Mg</v>
      </c>
      <c r="Y263" s="143">
        <f>INDEX(Tab_Def_Flows[[Flow_ID]:[CC_DM_source]],MATCH(Tab_Data_Flows[[#This Row],[Flow_Name]],Tab_Def_Flows[Flow_Name],0),14)</f>
        <v>0.4</v>
      </c>
      <c r="Z263" s="7" t="str">
        <f>Tab_Data_Flows[[#This Row],[Flow_ID]]&amp;"_"&amp;"DM_"&amp;Tab_Data_Flows[[#This Row],[Flow_Data_Year]]</f>
        <v>F_01_02_DM_2060</v>
      </c>
      <c r="AA263" s="7">
        <f>IF(E263="Yes",Y263*Tab_Data_Flows[[#This Row],[Flow_Material]],"N.A.")</f>
        <v>159297.41042081887</v>
      </c>
      <c r="AB263" s="7" t="str">
        <f>Tab_Data_Flows[[#This Row],[UoM_Flow_Py]]</f>
        <v>Mg</v>
      </c>
      <c r="AC263" s="143">
        <f>INDEX(Tab_Def_Flows[[Flow_ID]:[CC_DM_source]],MATCH(Tab_Data_Flows[[#This Row],[Flow_Name]],Tab_Def_Flows[Flow_Name],0),17)</f>
        <v>0</v>
      </c>
      <c r="AD263" s="7" t="str">
        <f>Tab_Data_Flows[[#This Row],[Flow_ID]]&amp;"_"&amp;"CC_"&amp;Tab_Data_Flows[[#This Row],[Flow_Data_Year]]</f>
        <v>F_01_02_CC_2060</v>
      </c>
      <c r="AE263" s="7">
        <f>IF(F263="Yes",AC263*Tab_Data_Flows[[#This Row],[Flow_Material]]*Tab_Data_Flows[[#This Row],[DM_'[%']]],"N.A.")</f>
        <v>0</v>
      </c>
      <c r="AF263" s="7" t="str">
        <f>Tab_Data_Flows[[#This Row],[UoM_Flow_Py]]</f>
        <v>Mg</v>
      </c>
      <c r="AG263"/>
    </row>
    <row r="264" spans="1:33" x14ac:dyDescent="0.25">
      <c r="A264" s="9">
        <f t="shared" si="4"/>
        <v>263</v>
      </c>
      <c r="B264" s="7" t="str">
        <f>_xlfn.XLOOKUP(C264,Tab_Def_Flows[Flow_Name],Tab_Def_Flows[Flow_ID],,0,)</f>
        <v>F_01_02</v>
      </c>
      <c r="C264" s="142" t="s">
        <v>599</v>
      </c>
      <c r="D264" s="10" t="str">
        <f>_xlfn.XLOOKUP(C264,Tab_Def_Flows[Flow_Name],Tab_Def_Flows[WC?],,0,)</f>
        <v>Yes</v>
      </c>
      <c r="E264" s="10" t="str">
        <f>_xlfn.XLOOKUP(C264,Tab_Def_Flows[Flow_Name],Tab_Def_Flows[DM?],,0,)</f>
        <v>Yes</v>
      </c>
      <c r="F264" s="10" t="str">
        <f>_xlfn.XLOOKUP(C264,Tab_Def_Flows[Flow_Name],Tab_Def_Flows[CC?],,0,)</f>
        <v>Yes</v>
      </c>
      <c r="G264" s="8">
        <v>2061</v>
      </c>
      <c r="H264" s="23">
        <v>380915.21139562043</v>
      </c>
      <c r="I264" s="8" t="s">
        <v>198</v>
      </c>
      <c r="J264" s="15"/>
      <c r="K264" s="15"/>
      <c r="L264" s="15"/>
      <c r="M264" s="15"/>
      <c r="N264" s="15"/>
      <c r="O264" s="8" t="s">
        <v>6</v>
      </c>
      <c r="P264" s="16"/>
      <c r="Q264" s="8"/>
      <c r="R264" s="7" t="str">
        <f>Tab_Data_Flows[[#This Row],[Flow_ID]]&amp;"_"&amp;"material_"&amp;Tab_Data_Flows[[#This Row],[Flow_Data_Year]]</f>
        <v>F_01_02_material_2061</v>
      </c>
      <c r="S264" s="14">
        <f>IF(O264="no",H264,H264*P264)</f>
        <v>380915.21139562043</v>
      </c>
      <c r="T264" s="8" t="s">
        <v>198</v>
      </c>
      <c r="U264" s="143">
        <f>INDEX(Tab_Def_Flows[[Flow_ID]:[CC_DM_source]],MATCH(Tab_Data_Flows[[#This Row],[Flow_Name]],Tab_Def_Flows[Flow_Name],0),11)</f>
        <v>0.6</v>
      </c>
      <c r="V264" s="7" t="str">
        <f>Tab_Data_Flows[[#This Row],[Flow_ID]]&amp;"_"&amp;"WC_"&amp;Tab_Data_Flows[[#This Row],[Flow_Data_Year]]</f>
        <v>F_01_02_WC_2061</v>
      </c>
      <c r="W264" s="7">
        <f>IF(D264="Yes",S264*Tab_Data_Flows[[#This Row],[WC_'[%']]],"N.A.")</f>
        <v>228549.12683737226</v>
      </c>
      <c r="X264" s="7" t="str">
        <f>Tab_Data_Flows[[#This Row],[UoM_Flow_Py]]</f>
        <v>Mg</v>
      </c>
      <c r="Y264" s="143">
        <f>INDEX(Tab_Def_Flows[[Flow_ID]:[CC_DM_source]],MATCH(Tab_Data_Flows[[#This Row],[Flow_Name]],Tab_Def_Flows[Flow_Name],0),14)</f>
        <v>0.4</v>
      </c>
      <c r="Z264" s="7" t="str">
        <f>Tab_Data_Flows[[#This Row],[Flow_ID]]&amp;"_"&amp;"DM_"&amp;Tab_Data_Flows[[#This Row],[Flow_Data_Year]]</f>
        <v>F_01_02_DM_2061</v>
      </c>
      <c r="AA264" s="7">
        <f>IF(E264="Yes",Y264*Tab_Data_Flows[[#This Row],[Flow_Material]],"N.A.")</f>
        <v>152366.08455824817</v>
      </c>
      <c r="AB264" s="7" t="str">
        <f>Tab_Data_Flows[[#This Row],[UoM_Flow_Py]]</f>
        <v>Mg</v>
      </c>
      <c r="AC264" s="143">
        <f>INDEX(Tab_Def_Flows[[Flow_ID]:[CC_DM_source]],MATCH(Tab_Data_Flows[[#This Row],[Flow_Name]],Tab_Def_Flows[Flow_Name],0),17)</f>
        <v>0</v>
      </c>
      <c r="AD264" s="7" t="str">
        <f>Tab_Data_Flows[[#This Row],[Flow_ID]]&amp;"_"&amp;"CC_"&amp;Tab_Data_Flows[[#This Row],[Flow_Data_Year]]</f>
        <v>F_01_02_CC_2061</v>
      </c>
      <c r="AE264" s="7">
        <f>IF(F264="Yes",AC264*Tab_Data_Flows[[#This Row],[Flow_Material]]*Tab_Data_Flows[[#This Row],[DM_'[%']]],"N.A.")</f>
        <v>0</v>
      </c>
      <c r="AF264" s="7" t="str">
        <f>Tab_Data_Flows[[#This Row],[UoM_Flow_Py]]</f>
        <v>Mg</v>
      </c>
      <c r="AG264"/>
    </row>
    <row r="265" spans="1:33" x14ac:dyDescent="0.25">
      <c r="A265" s="9">
        <f t="shared" si="4"/>
        <v>264</v>
      </c>
      <c r="B265" s="7" t="str">
        <f>_xlfn.XLOOKUP(C265,Tab_Def_Flows[Flow_Name],Tab_Def_Flows[Flow_ID],,0,)</f>
        <v>F_01_02</v>
      </c>
      <c r="C265" s="142" t="s">
        <v>599</v>
      </c>
      <c r="D265" s="10" t="str">
        <f>_xlfn.XLOOKUP(C265,Tab_Def_Flows[Flow_Name],Tab_Def_Flows[WC?],,0,)</f>
        <v>Yes</v>
      </c>
      <c r="E265" s="10" t="str">
        <f>_xlfn.XLOOKUP(C265,Tab_Def_Flows[Flow_Name],Tab_Def_Flows[DM?],,0,)</f>
        <v>Yes</v>
      </c>
      <c r="F265" s="10" t="str">
        <f>_xlfn.XLOOKUP(C265,Tab_Def_Flows[Flow_Name],Tab_Def_Flows[CC?],,0,)</f>
        <v>Yes</v>
      </c>
      <c r="G265" s="8">
        <v>2062</v>
      </c>
      <c r="H265" s="23">
        <v>322478.95317484095</v>
      </c>
      <c r="I265" s="8" t="s">
        <v>198</v>
      </c>
      <c r="J265" s="15"/>
      <c r="K265" s="15"/>
      <c r="L265" s="15"/>
      <c r="M265" s="15"/>
      <c r="N265" s="15"/>
      <c r="O265" s="8" t="s">
        <v>6</v>
      </c>
      <c r="P265" s="16"/>
      <c r="Q265" s="8"/>
      <c r="R265" s="7" t="str">
        <f>Tab_Data_Flows[[#This Row],[Flow_ID]]&amp;"_"&amp;"material_"&amp;Tab_Data_Flows[[#This Row],[Flow_Data_Year]]</f>
        <v>F_01_02_material_2062</v>
      </c>
      <c r="S265" s="14">
        <f>IF(O265="no",H265,H265*P265)</f>
        <v>322478.95317484095</v>
      </c>
      <c r="T265" s="8" t="s">
        <v>198</v>
      </c>
      <c r="U265" s="143">
        <f>INDEX(Tab_Def_Flows[[Flow_ID]:[CC_DM_source]],MATCH(Tab_Data_Flows[[#This Row],[Flow_Name]],Tab_Def_Flows[Flow_Name],0),11)</f>
        <v>0.6</v>
      </c>
      <c r="V265" s="7" t="str">
        <f>Tab_Data_Flows[[#This Row],[Flow_ID]]&amp;"_"&amp;"WC_"&amp;Tab_Data_Flows[[#This Row],[Flow_Data_Year]]</f>
        <v>F_01_02_WC_2062</v>
      </c>
      <c r="W265" s="7">
        <f>IF(D265="Yes",S265*Tab_Data_Flows[[#This Row],[WC_'[%']]],"N.A.")</f>
        <v>193487.37190490458</v>
      </c>
      <c r="X265" s="7" t="str">
        <f>Tab_Data_Flows[[#This Row],[UoM_Flow_Py]]</f>
        <v>Mg</v>
      </c>
      <c r="Y265" s="143">
        <f>INDEX(Tab_Def_Flows[[Flow_ID]:[CC_DM_source]],MATCH(Tab_Data_Flows[[#This Row],[Flow_Name]],Tab_Def_Flows[Flow_Name],0),14)</f>
        <v>0.4</v>
      </c>
      <c r="Z265" s="7" t="str">
        <f>Tab_Data_Flows[[#This Row],[Flow_ID]]&amp;"_"&amp;"DM_"&amp;Tab_Data_Flows[[#This Row],[Flow_Data_Year]]</f>
        <v>F_01_02_DM_2062</v>
      </c>
      <c r="AA265" s="7">
        <f>IF(E265="Yes",Y265*Tab_Data_Flows[[#This Row],[Flow_Material]],"N.A.")</f>
        <v>128991.58126993639</v>
      </c>
      <c r="AB265" s="7" t="str">
        <f>Tab_Data_Flows[[#This Row],[UoM_Flow_Py]]</f>
        <v>Mg</v>
      </c>
      <c r="AC265" s="143">
        <f>INDEX(Tab_Def_Flows[[Flow_ID]:[CC_DM_source]],MATCH(Tab_Data_Flows[[#This Row],[Flow_Name]],Tab_Def_Flows[Flow_Name],0),17)</f>
        <v>0</v>
      </c>
      <c r="AD265" s="7" t="str">
        <f>Tab_Data_Flows[[#This Row],[Flow_ID]]&amp;"_"&amp;"CC_"&amp;Tab_Data_Flows[[#This Row],[Flow_Data_Year]]</f>
        <v>F_01_02_CC_2062</v>
      </c>
      <c r="AE265" s="7">
        <f>IF(F265="Yes",AC265*Tab_Data_Flows[[#This Row],[Flow_Material]]*Tab_Data_Flows[[#This Row],[DM_'[%']]],"N.A.")</f>
        <v>0</v>
      </c>
      <c r="AF265" s="7" t="str">
        <f>Tab_Data_Flows[[#This Row],[UoM_Flow_Py]]</f>
        <v>Mg</v>
      </c>
      <c r="AG265"/>
    </row>
    <row r="266" spans="1:33" x14ac:dyDescent="0.25">
      <c r="A266" s="9">
        <f t="shared" si="4"/>
        <v>265</v>
      </c>
      <c r="B266" s="7" t="str">
        <f>_xlfn.XLOOKUP(C266,Tab_Def_Flows[Flow_Name],Tab_Def_Flows[Flow_ID],,0,)</f>
        <v>F_01_02</v>
      </c>
      <c r="C266" s="142" t="s">
        <v>599</v>
      </c>
      <c r="D266" s="10" t="str">
        <f>_xlfn.XLOOKUP(C266,Tab_Def_Flows[Flow_Name],Tab_Def_Flows[WC?],,0,)</f>
        <v>Yes</v>
      </c>
      <c r="E266" s="10" t="str">
        <f>_xlfn.XLOOKUP(C266,Tab_Def_Flows[Flow_Name],Tab_Def_Flows[DM?],,0,)</f>
        <v>Yes</v>
      </c>
      <c r="F266" s="10" t="str">
        <f>_xlfn.XLOOKUP(C266,Tab_Def_Flows[Flow_Name],Tab_Def_Flows[CC?],,0,)</f>
        <v>Yes</v>
      </c>
      <c r="G266" s="8">
        <v>2063</v>
      </c>
      <c r="H266" s="23">
        <v>441596.65931378264</v>
      </c>
      <c r="I266" s="8" t="s">
        <v>198</v>
      </c>
      <c r="J266" s="15"/>
      <c r="K266" s="15"/>
      <c r="L266" s="15"/>
      <c r="M266" s="15"/>
      <c r="N266" s="15"/>
      <c r="O266" s="8" t="s">
        <v>6</v>
      </c>
      <c r="P266" s="16"/>
      <c r="Q266" s="8"/>
      <c r="R266" s="7" t="str">
        <f>Tab_Data_Flows[[#This Row],[Flow_ID]]&amp;"_"&amp;"material_"&amp;Tab_Data_Flows[[#This Row],[Flow_Data_Year]]</f>
        <v>F_01_02_material_2063</v>
      </c>
      <c r="S266" s="14">
        <f>IF(O266="no",H266,H266*P266)</f>
        <v>441596.65931378264</v>
      </c>
      <c r="T266" s="8" t="s">
        <v>198</v>
      </c>
      <c r="U266" s="143">
        <f>INDEX(Tab_Def_Flows[[Flow_ID]:[CC_DM_source]],MATCH(Tab_Data_Flows[[#This Row],[Flow_Name]],Tab_Def_Flows[Flow_Name],0),11)</f>
        <v>0.6</v>
      </c>
      <c r="V266" s="7" t="str">
        <f>Tab_Data_Flows[[#This Row],[Flow_ID]]&amp;"_"&amp;"WC_"&amp;Tab_Data_Flows[[#This Row],[Flow_Data_Year]]</f>
        <v>F_01_02_WC_2063</v>
      </c>
      <c r="W266" s="7">
        <f>IF(D266="Yes",S266*Tab_Data_Flows[[#This Row],[WC_'[%']]],"N.A.")</f>
        <v>264957.99558826955</v>
      </c>
      <c r="X266" s="7" t="str">
        <f>Tab_Data_Flows[[#This Row],[UoM_Flow_Py]]</f>
        <v>Mg</v>
      </c>
      <c r="Y266" s="143">
        <f>INDEX(Tab_Def_Flows[[Flow_ID]:[CC_DM_source]],MATCH(Tab_Data_Flows[[#This Row],[Flow_Name]],Tab_Def_Flows[Flow_Name],0),14)</f>
        <v>0.4</v>
      </c>
      <c r="Z266" s="7" t="str">
        <f>Tab_Data_Flows[[#This Row],[Flow_ID]]&amp;"_"&amp;"DM_"&amp;Tab_Data_Flows[[#This Row],[Flow_Data_Year]]</f>
        <v>F_01_02_DM_2063</v>
      </c>
      <c r="AA266" s="7">
        <f>IF(E266="Yes",Y266*Tab_Data_Flows[[#This Row],[Flow_Material]],"N.A.")</f>
        <v>176638.66372551306</v>
      </c>
      <c r="AB266" s="7" t="str">
        <f>Tab_Data_Flows[[#This Row],[UoM_Flow_Py]]</f>
        <v>Mg</v>
      </c>
      <c r="AC266" s="143">
        <f>INDEX(Tab_Def_Flows[[Flow_ID]:[CC_DM_source]],MATCH(Tab_Data_Flows[[#This Row],[Flow_Name]],Tab_Def_Flows[Flow_Name],0),17)</f>
        <v>0</v>
      </c>
      <c r="AD266" s="7" t="str">
        <f>Tab_Data_Flows[[#This Row],[Flow_ID]]&amp;"_"&amp;"CC_"&amp;Tab_Data_Flows[[#This Row],[Flow_Data_Year]]</f>
        <v>F_01_02_CC_2063</v>
      </c>
      <c r="AE266" s="7">
        <f>IF(F266="Yes",AC266*Tab_Data_Flows[[#This Row],[Flow_Material]]*Tab_Data_Flows[[#This Row],[DM_'[%']]],"N.A.")</f>
        <v>0</v>
      </c>
      <c r="AF266" s="7" t="str">
        <f>Tab_Data_Flows[[#This Row],[UoM_Flow_Py]]</f>
        <v>Mg</v>
      </c>
      <c r="AG266"/>
    </row>
    <row r="267" spans="1:33" x14ac:dyDescent="0.25">
      <c r="A267" s="9">
        <f t="shared" si="4"/>
        <v>266</v>
      </c>
      <c r="B267" s="7" t="str">
        <f>_xlfn.XLOOKUP(C267,Tab_Def_Flows[Flow_Name],Tab_Def_Flows[Flow_ID],,0,)</f>
        <v>F_01_02</v>
      </c>
      <c r="C267" s="142" t="s">
        <v>599</v>
      </c>
      <c r="D267" s="10" t="str">
        <f>_xlfn.XLOOKUP(C267,Tab_Def_Flows[Flow_Name],Tab_Def_Flows[WC?],,0,)</f>
        <v>Yes</v>
      </c>
      <c r="E267" s="10" t="str">
        <f>_xlfn.XLOOKUP(C267,Tab_Def_Flows[Flow_Name],Tab_Def_Flows[DM?],,0,)</f>
        <v>Yes</v>
      </c>
      <c r="F267" s="10" t="str">
        <f>_xlfn.XLOOKUP(C267,Tab_Def_Flows[Flow_Name],Tab_Def_Flows[CC?],,0,)</f>
        <v>Yes</v>
      </c>
      <c r="G267" s="8">
        <v>2064</v>
      </c>
      <c r="H267" s="23">
        <v>421453.08284850273</v>
      </c>
      <c r="I267" s="8" t="s">
        <v>198</v>
      </c>
      <c r="J267" s="15"/>
      <c r="K267" s="15"/>
      <c r="L267" s="15"/>
      <c r="M267" s="15"/>
      <c r="N267" s="15"/>
      <c r="O267" s="8" t="s">
        <v>6</v>
      </c>
      <c r="P267" s="16"/>
      <c r="Q267" s="8"/>
      <c r="R267" s="7" t="str">
        <f>Tab_Data_Flows[[#This Row],[Flow_ID]]&amp;"_"&amp;"material_"&amp;Tab_Data_Flows[[#This Row],[Flow_Data_Year]]</f>
        <v>F_01_02_material_2064</v>
      </c>
      <c r="S267" s="14">
        <f>IF(O267="no",H267,H267*P267)</f>
        <v>421453.08284850273</v>
      </c>
      <c r="T267" s="8" t="s">
        <v>198</v>
      </c>
      <c r="U267" s="143">
        <f>INDEX(Tab_Def_Flows[[Flow_ID]:[CC_DM_source]],MATCH(Tab_Data_Flows[[#This Row],[Flow_Name]],Tab_Def_Flows[Flow_Name],0),11)</f>
        <v>0.6</v>
      </c>
      <c r="V267" s="7" t="str">
        <f>Tab_Data_Flows[[#This Row],[Flow_ID]]&amp;"_"&amp;"WC_"&amp;Tab_Data_Flows[[#This Row],[Flow_Data_Year]]</f>
        <v>F_01_02_WC_2064</v>
      </c>
      <c r="W267" s="7">
        <f>IF(D267="Yes",S267*Tab_Data_Flows[[#This Row],[WC_'[%']]],"N.A.")</f>
        <v>252871.84970910163</v>
      </c>
      <c r="X267" s="7" t="str">
        <f>Tab_Data_Flows[[#This Row],[UoM_Flow_Py]]</f>
        <v>Mg</v>
      </c>
      <c r="Y267" s="143">
        <f>INDEX(Tab_Def_Flows[[Flow_ID]:[CC_DM_source]],MATCH(Tab_Data_Flows[[#This Row],[Flow_Name]],Tab_Def_Flows[Flow_Name],0),14)</f>
        <v>0.4</v>
      </c>
      <c r="Z267" s="7" t="str">
        <f>Tab_Data_Flows[[#This Row],[Flow_ID]]&amp;"_"&amp;"DM_"&amp;Tab_Data_Flows[[#This Row],[Flow_Data_Year]]</f>
        <v>F_01_02_DM_2064</v>
      </c>
      <c r="AA267" s="7">
        <f>IF(E267="Yes",Y267*Tab_Data_Flows[[#This Row],[Flow_Material]],"N.A.")</f>
        <v>168581.2331394011</v>
      </c>
      <c r="AB267" s="7" t="str">
        <f>Tab_Data_Flows[[#This Row],[UoM_Flow_Py]]</f>
        <v>Mg</v>
      </c>
      <c r="AC267" s="143">
        <f>INDEX(Tab_Def_Flows[[Flow_ID]:[CC_DM_source]],MATCH(Tab_Data_Flows[[#This Row],[Flow_Name]],Tab_Def_Flows[Flow_Name],0),17)</f>
        <v>0</v>
      </c>
      <c r="AD267" s="7" t="str">
        <f>Tab_Data_Flows[[#This Row],[Flow_ID]]&amp;"_"&amp;"CC_"&amp;Tab_Data_Flows[[#This Row],[Flow_Data_Year]]</f>
        <v>F_01_02_CC_2064</v>
      </c>
      <c r="AE267" s="7">
        <f>IF(F267="Yes",AC267*Tab_Data_Flows[[#This Row],[Flow_Material]]*Tab_Data_Flows[[#This Row],[DM_'[%']]],"N.A.")</f>
        <v>0</v>
      </c>
      <c r="AF267" s="7" t="str">
        <f>Tab_Data_Flows[[#This Row],[UoM_Flow_Py]]</f>
        <v>Mg</v>
      </c>
      <c r="AG267"/>
    </row>
    <row r="268" spans="1:33" x14ac:dyDescent="0.25">
      <c r="A268" s="9">
        <f t="shared" si="4"/>
        <v>267</v>
      </c>
      <c r="B268" s="7" t="str">
        <f>_xlfn.XLOOKUP(C268,Tab_Def_Flows[Flow_Name],Tab_Def_Flows[Flow_ID],,0,)</f>
        <v>F_01_02</v>
      </c>
      <c r="C268" s="142" t="s">
        <v>599</v>
      </c>
      <c r="D268" s="10" t="str">
        <f>_xlfn.XLOOKUP(C268,Tab_Def_Flows[Flow_Name],Tab_Def_Flows[WC?],,0,)</f>
        <v>Yes</v>
      </c>
      <c r="E268" s="10" t="str">
        <f>_xlfn.XLOOKUP(C268,Tab_Def_Flows[Flow_Name],Tab_Def_Flows[DM?],,0,)</f>
        <v>Yes</v>
      </c>
      <c r="F268" s="10" t="str">
        <f>_xlfn.XLOOKUP(C268,Tab_Def_Flows[Flow_Name],Tab_Def_Flows[CC?],,0,)</f>
        <v>Yes</v>
      </c>
      <c r="G268" s="8">
        <v>2065</v>
      </c>
      <c r="H268" s="23">
        <v>423467.95253212901</v>
      </c>
      <c r="I268" s="8" t="s">
        <v>198</v>
      </c>
      <c r="J268" s="15"/>
      <c r="K268" s="15"/>
      <c r="L268" s="15"/>
      <c r="M268" s="15"/>
      <c r="N268" s="15"/>
      <c r="O268" s="8" t="s">
        <v>6</v>
      </c>
      <c r="P268" s="16"/>
      <c r="Q268" s="8"/>
      <c r="R268" s="7" t="str">
        <f>Tab_Data_Flows[[#This Row],[Flow_ID]]&amp;"_"&amp;"material_"&amp;Tab_Data_Flows[[#This Row],[Flow_Data_Year]]</f>
        <v>F_01_02_material_2065</v>
      </c>
      <c r="S268" s="14">
        <f>IF(O268="no",H268,H268*P268)</f>
        <v>423467.95253212901</v>
      </c>
      <c r="T268" s="8" t="s">
        <v>198</v>
      </c>
      <c r="U268" s="143">
        <f>INDEX(Tab_Def_Flows[[Flow_ID]:[CC_DM_source]],MATCH(Tab_Data_Flows[[#This Row],[Flow_Name]],Tab_Def_Flows[Flow_Name],0),11)</f>
        <v>0.6</v>
      </c>
      <c r="V268" s="7" t="str">
        <f>Tab_Data_Flows[[#This Row],[Flow_ID]]&amp;"_"&amp;"WC_"&amp;Tab_Data_Flows[[#This Row],[Flow_Data_Year]]</f>
        <v>F_01_02_WC_2065</v>
      </c>
      <c r="W268" s="7">
        <f>IF(D268="Yes",S268*Tab_Data_Flows[[#This Row],[WC_'[%']]],"N.A.")</f>
        <v>254080.77151927739</v>
      </c>
      <c r="X268" s="7" t="str">
        <f>Tab_Data_Flows[[#This Row],[UoM_Flow_Py]]</f>
        <v>Mg</v>
      </c>
      <c r="Y268" s="143">
        <f>INDEX(Tab_Def_Flows[[Flow_ID]:[CC_DM_source]],MATCH(Tab_Data_Flows[[#This Row],[Flow_Name]],Tab_Def_Flows[Flow_Name],0),14)</f>
        <v>0.4</v>
      </c>
      <c r="Z268" s="7" t="str">
        <f>Tab_Data_Flows[[#This Row],[Flow_ID]]&amp;"_"&amp;"DM_"&amp;Tab_Data_Flows[[#This Row],[Flow_Data_Year]]</f>
        <v>F_01_02_DM_2065</v>
      </c>
      <c r="AA268" s="7">
        <f>IF(E268="Yes",Y268*Tab_Data_Flows[[#This Row],[Flow_Material]],"N.A.")</f>
        <v>169387.18101285162</v>
      </c>
      <c r="AB268" s="7" t="str">
        <f>Tab_Data_Flows[[#This Row],[UoM_Flow_Py]]</f>
        <v>Mg</v>
      </c>
      <c r="AC268" s="143">
        <f>INDEX(Tab_Def_Flows[[Flow_ID]:[CC_DM_source]],MATCH(Tab_Data_Flows[[#This Row],[Flow_Name]],Tab_Def_Flows[Flow_Name],0),17)</f>
        <v>0</v>
      </c>
      <c r="AD268" s="7" t="str">
        <f>Tab_Data_Flows[[#This Row],[Flow_ID]]&amp;"_"&amp;"CC_"&amp;Tab_Data_Flows[[#This Row],[Flow_Data_Year]]</f>
        <v>F_01_02_CC_2065</v>
      </c>
      <c r="AE268" s="7">
        <f>IF(F268="Yes",AC268*Tab_Data_Flows[[#This Row],[Flow_Material]]*Tab_Data_Flows[[#This Row],[DM_'[%']]],"N.A.")</f>
        <v>0</v>
      </c>
      <c r="AF268" s="7" t="str">
        <f>Tab_Data_Flows[[#This Row],[UoM_Flow_Py]]</f>
        <v>Mg</v>
      </c>
      <c r="AG268"/>
    </row>
    <row r="269" spans="1:33" x14ac:dyDescent="0.25">
      <c r="A269" s="9">
        <f t="shared" si="4"/>
        <v>268</v>
      </c>
      <c r="B269" s="7" t="str">
        <f>_xlfn.XLOOKUP(C269,Tab_Def_Flows[Flow_Name],Tab_Def_Flows[Flow_ID],,0,)</f>
        <v>F_01_02</v>
      </c>
      <c r="C269" s="142" t="s">
        <v>599</v>
      </c>
      <c r="D269" s="10" t="str">
        <f>_xlfn.XLOOKUP(C269,Tab_Def_Flows[Flow_Name],Tab_Def_Flows[WC?],,0,)</f>
        <v>Yes</v>
      </c>
      <c r="E269" s="10" t="str">
        <f>_xlfn.XLOOKUP(C269,Tab_Def_Flows[Flow_Name],Tab_Def_Flows[DM?],,0,)</f>
        <v>Yes</v>
      </c>
      <c r="F269" s="10" t="str">
        <f>_xlfn.XLOOKUP(C269,Tab_Def_Flows[Flow_Name],Tab_Def_Flows[CC?],,0,)</f>
        <v>Yes</v>
      </c>
      <c r="G269" s="8">
        <v>2066</v>
      </c>
      <c r="H269" s="23">
        <v>335840.87749383785</v>
      </c>
      <c r="I269" s="8" t="s">
        <v>198</v>
      </c>
      <c r="J269" s="15"/>
      <c r="K269" s="15"/>
      <c r="L269" s="15"/>
      <c r="M269" s="15"/>
      <c r="N269" s="15"/>
      <c r="O269" s="8" t="s">
        <v>6</v>
      </c>
      <c r="P269" s="16"/>
      <c r="Q269" s="8"/>
      <c r="R269" s="7" t="str">
        <f>Tab_Data_Flows[[#This Row],[Flow_ID]]&amp;"_"&amp;"material_"&amp;Tab_Data_Flows[[#This Row],[Flow_Data_Year]]</f>
        <v>F_01_02_material_2066</v>
      </c>
      <c r="S269" s="14">
        <f>IF(O269="no",H269,H269*P269)</f>
        <v>335840.87749383785</v>
      </c>
      <c r="T269" s="8" t="s">
        <v>198</v>
      </c>
      <c r="U269" s="143">
        <f>INDEX(Tab_Def_Flows[[Flow_ID]:[CC_DM_source]],MATCH(Tab_Data_Flows[[#This Row],[Flow_Name]],Tab_Def_Flows[Flow_Name],0),11)</f>
        <v>0.6</v>
      </c>
      <c r="V269" s="7" t="str">
        <f>Tab_Data_Flows[[#This Row],[Flow_ID]]&amp;"_"&amp;"WC_"&amp;Tab_Data_Flows[[#This Row],[Flow_Data_Year]]</f>
        <v>F_01_02_WC_2066</v>
      </c>
      <c r="W269" s="7">
        <f>IF(D269="Yes",S269*Tab_Data_Flows[[#This Row],[WC_'[%']]],"N.A.")</f>
        <v>201504.52649630271</v>
      </c>
      <c r="X269" s="7" t="str">
        <f>Tab_Data_Flows[[#This Row],[UoM_Flow_Py]]</f>
        <v>Mg</v>
      </c>
      <c r="Y269" s="143">
        <f>INDEX(Tab_Def_Flows[[Flow_ID]:[CC_DM_source]],MATCH(Tab_Data_Flows[[#This Row],[Flow_Name]],Tab_Def_Flows[Flow_Name],0),14)</f>
        <v>0.4</v>
      </c>
      <c r="Z269" s="7" t="str">
        <f>Tab_Data_Flows[[#This Row],[Flow_ID]]&amp;"_"&amp;"DM_"&amp;Tab_Data_Flows[[#This Row],[Flow_Data_Year]]</f>
        <v>F_01_02_DM_2066</v>
      </c>
      <c r="AA269" s="7">
        <f>IF(E269="Yes",Y269*Tab_Data_Flows[[#This Row],[Flow_Material]],"N.A.")</f>
        <v>134336.35099753513</v>
      </c>
      <c r="AB269" s="7" t="str">
        <f>Tab_Data_Flows[[#This Row],[UoM_Flow_Py]]</f>
        <v>Mg</v>
      </c>
      <c r="AC269" s="143">
        <f>INDEX(Tab_Def_Flows[[Flow_ID]:[CC_DM_source]],MATCH(Tab_Data_Flows[[#This Row],[Flow_Name]],Tab_Def_Flows[Flow_Name],0),17)</f>
        <v>0</v>
      </c>
      <c r="AD269" s="7" t="str">
        <f>Tab_Data_Flows[[#This Row],[Flow_ID]]&amp;"_"&amp;"CC_"&amp;Tab_Data_Flows[[#This Row],[Flow_Data_Year]]</f>
        <v>F_01_02_CC_2066</v>
      </c>
      <c r="AE269" s="7">
        <f>IF(F269="Yes",AC269*Tab_Data_Flows[[#This Row],[Flow_Material]]*Tab_Data_Flows[[#This Row],[DM_'[%']]],"N.A.")</f>
        <v>0</v>
      </c>
      <c r="AF269" s="7" t="str">
        <f>Tab_Data_Flows[[#This Row],[UoM_Flow_Py]]</f>
        <v>Mg</v>
      </c>
      <c r="AG269"/>
    </row>
    <row r="270" spans="1:33" x14ac:dyDescent="0.25">
      <c r="A270" s="9">
        <f t="shared" si="4"/>
        <v>269</v>
      </c>
      <c r="B270" s="7" t="str">
        <f>_xlfn.XLOOKUP(C270,Tab_Def_Flows[Flow_Name],Tab_Def_Flows[Flow_ID],,0,)</f>
        <v>F_01_02</v>
      </c>
      <c r="C270" s="142" t="s">
        <v>599</v>
      </c>
      <c r="D270" s="10" t="str">
        <f>_xlfn.XLOOKUP(C270,Tab_Def_Flows[Flow_Name],Tab_Def_Flows[WC?],,0,)</f>
        <v>Yes</v>
      </c>
      <c r="E270" s="10" t="str">
        <f>_xlfn.XLOOKUP(C270,Tab_Def_Flows[Flow_Name],Tab_Def_Flows[DM?],,0,)</f>
        <v>Yes</v>
      </c>
      <c r="F270" s="10" t="str">
        <f>_xlfn.XLOOKUP(C270,Tab_Def_Flows[Flow_Name],Tab_Def_Flows[CC?],,0,)</f>
        <v>Yes</v>
      </c>
      <c r="G270" s="8">
        <v>2067</v>
      </c>
      <c r="H270" s="23">
        <v>454993.67289765843</v>
      </c>
      <c r="I270" s="8" t="s">
        <v>198</v>
      </c>
      <c r="J270" s="15"/>
      <c r="K270" s="15"/>
      <c r="L270" s="15"/>
      <c r="M270" s="15"/>
      <c r="N270" s="15"/>
      <c r="O270" s="8" t="s">
        <v>6</v>
      </c>
      <c r="P270" s="16"/>
      <c r="Q270" s="8"/>
      <c r="R270" s="7" t="str">
        <f>Tab_Data_Flows[[#This Row],[Flow_ID]]&amp;"_"&amp;"material_"&amp;Tab_Data_Flows[[#This Row],[Flow_Data_Year]]</f>
        <v>F_01_02_material_2067</v>
      </c>
      <c r="S270" s="14">
        <f>IF(O270="no",H270,H270*P270)</f>
        <v>454993.67289765843</v>
      </c>
      <c r="T270" s="8" t="s">
        <v>198</v>
      </c>
      <c r="U270" s="143">
        <f>INDEX(Tab_Def_Flows[[Flow_ID]:[CC_DM_source]],MATCH(Tab_Data_Flows[[#This Row],[Flow_Name]],Tab_Def_Flows[Flow_Name],0),11)</f>
        <v>0.6</v>
      </c>
      <c r="V270" s="7" t="str">
        <f>Tab_Data_Flows[[#This Row],[Flow_ID]]&amp;"_"&amp;"WC_"&amp;Tab_Data_Flows[[#This Row],[Flow_Data_Year]]</f>
        <v>F_01_02_WC_2067</v>
      </c>
      <c r="W270" s="7">
        <f>IF(D270="Yes",S270*Tab_Data_Flows[[#This Row],[WC_'[%']]],"N.A.")</f>
        <v>272996.20373859507</v>
      </c>
      <c r="X270" s="7" t="str">
        <f>Tab_Data_Flows[[#This Row],[UoM_Flow_Py]]</f>
        <v>Mg</v>
      </c>
      <c r="Y270" s="143">
        <f>INDEX(Tab_Def_Flows[[Flow_ID]:[CC_DM_source]],MATCH(Tab_Data_Flows[[#This Row],[Flow_Name]],Tab_Def_Flows[Flow_Name],0),14)</f>
        <v>0.4</v>
      </c>
      <c r="Z270" s="7" t="str">
        <f>Tab_Data_Flows[[#This Row],[Flow_ID]]&amp;"_"&amp;"DM_"&amp;Tab_Data_Flows[[#This Row],[Flow_Data_Year]]</f>
        <v>F_01_02_DM_2067</v>
      </c>
      <c r="AA270" s="7">
        <f>IF(E270="Yes",Y270*Tab_Data_Flows[[#This Row],[Flow_Material]],"N.A.")</f>
        <v>181997.46915906339</v>
      </c>
      <c r="AB270" s="7" t="str">
        <f>Tab_Data_Flows[[#This Row],[UoM_Flow_Py]]</f>
        <v>Mg</v>
      </c>
      <c r="AC270" s="143">
        <f>INDEX(Tab_Def_Flows[[Flow_ID]:[CC_DM_source]],MATCH(Tab_Data_Flows[[#This Row],[Flow_Name]],Tab_Def_Flows[Flow_Name],0),17)</f>
        <v>0</v>
      </c>
      <c r="AD270" s="7" t="str">
        <f>Tab_Data_Flows[[#This Row],[Flow_ID]]&amp;"_"&amp;"CC_"&amp;Tab_Data_Flows[[#This Row],[Flow_Data_Year]]</f>
        <v>F_01_02_CC_2067</v>
      </c>
      <c r="AE270" s="7">
        <f>IF(F270="Yes",AC270*Tab_Data_Flows[[#This Row],[Flow_Material]]*Tab_Data_Flows[[#This Row],[DM_'[%']]],"N.A.")</f>
        <v>0</v>
      </c>
      <c r="AF270" s="7" t="str">
        <f>Tab_Data_Flows[[#This Row],[UoM_Flow_Py]]</f>
        <v>Mg</v>
      </c>
      <c r="AG270"/>
    </row>
    <row r="271" spans="1:33" x14ac:dyDescent="0.25">
      <c r="A271" s="9">
        <f t="shared" si="4"/>
        <v>270</v>
      </c>
      <c r="B271" s="7" t="str">
        <f>_xlfn.XLOOKUP(C271,Tab_Def_Flows[Flow_Name],Tab_Def_Flows[Flow_ID],,0,)</f>
        <v>F_01_02</v>
      </c>
      <c r="C271" s="142" t="s">
        <v>599</v>
      </c>
      <c r="D271" s="10" t="str">
        <f>_xlfn.XLOOKUP(C271,Tab_Def_Flows[Flow_Name],Tab_Def_Flows[WC?],,0,)</f>
        <v>Yes</v>
      </c>
      <c r="E271" s="10" t="str">
        <f>_xlfn.XLOOKUP(C271,Tab_Def_Flows[Flow_Name],Tab_Def_Flows[DM?],,0,)</f>
        <v>Yes</v>
      </c>
      <c r="F271" s="10" t="str">
        <f>_xlfn.XLOOKUP(C271,Tab_Def_Flows[Flow_Name],Tab_Def_Flows[CC?],,0,)</f>
        <v>Yes</v>
      </c>
      <c r="G271" s="8">
        <v>2068</v>
      </c>
      <c r="H271" s="23">
        <v>310462.93515503069</v>
      </c>
      <c r="I271" s="8" t="s">
        <v>198</v>
      </c>
      <c r="J271" s="15"/>
      <c r="K271" s="15"/>
      <c r="L271" s="15"/>
      <c r="M271" s="15"/>
      <c r="N271" s="15"/>
      <c r="O271" s="8" t="s">
        <v>6</v>
      </c>
      <c r="P271" s="16"/>
      <c r="Q271" s="8"/>
      <c r="R271" s="7" t="str">
        <f>Tab_Data_Flows[[#This Row],[Flow_ID]]&amp;"_"&amp;"material_"&amp;Tab_Data_Flows[[#This Row],[Flow_Data_Year]]</f>
        <v>F_01_02_material_2068</v>
      </c>
      <c r="S271" s="14">
        <f>IF(O271="no",H271,H271*P271)</f>
        <v>310462.93515503069</v>
      </c>
      <c r="T271" s="8" t="s">
        <v>198</v>
      </c>
      <c r="U271" s="143">
        <f>INDEX(Tab_Def_Flows[[Flow_ID]:[CC_DM_source]],MATCH(Tab_Data_Flows[[#This Row],[Flow_Name]],Tab_Def_Flows[Flow_Name],0),11)</f>
        <v>0.6</v>
      </c>
      <c r="V271" s="7" t="str">
        <f>Tab_Data_Flows[[#This Row],[Flow_ID]]&amp;"_"&amp;"WC_"&amp;Tab_Data_Flows[[#This Row],[Flow_Data_Year]]</f>
        <v>F_01_02_WC_2068</v>
      </c>
      <c r="W271" s="7">
        <f>IF(D271="Yes",S271*Tab_Data_Flows[[#This Row],[WC_'[%']]],"N.A.")</f>
        <v>186277.7610930184</v>
      </c>
      <c r="X271" s="7" t="str">
        <f>Tab_Data_Flows[[#This Row],[UoM_Flow_Py]]</f>
        <v>Mg</v>
      </c>
      <c r="Y271" s="143">
        <f>INDEX(Tab_Def_Flows[[Flow_ID]:[CC_DM_source]],MATCH(Tab_Data_Flows[[#This Row],[Flow_Name]],Tab_Def_Flows[Flow_Name],0),14)</f>
        <v>0.4</v>
      </c>
      <c r="Z271" s="7" t="str">
        <f>Tab_Data_Flows[[#This Row],[Flow_ID]]&amp;"_"&amp;"DM_"&amp;Tab_Data_Flows[[#This Row],[Flow_Data_Year]]</f>
        <v>F_01_02_DM_2068</v>
      </c>
      <c r="AA271" s="7">
        <f>IF(E271="Yes",Y271*Tab_Data_Flows[[#This Row],[Flow_Material]],"N.A.")</f>
        <v>124185.17406201229</v>
      </c>
      <c r="AB271" s="7" t="str">
        <f>Tab_Data_Flows[[#This Row],[UoM_Flow_Py]]</f>
        <v>Mg</v>
      </c>
      <c r="AC271" s="143">
        <f>INDEX(Tab_Def_Flows[[Flow_ID]:[CC_DM_source]],MATCH(Tab_Data_Flows[[#This Row],[Flow_Name]],Tab_Def_Flows[Flow_Name],0),17)</f>
        <v>0</v>
      </c>
      <c r="AD271" s="7" t="str">
        <f>Tab_Data_Flows[[#This Row],[Flow_ID]]&amp;"_"&amp;"CC_"&amp;Tab_Data_Flows[[#This Row],[Flow_Data_Year]]</f>
        <v>F_01_02_CC_2068</v>
      </c>
      <c r="AE271" s="7">
        <f>IF(F271="Yes",AC271*Tab_Data_Flows[[#This Row],[Flow_Material]]*Tab_Data_Flows[[#This Row],[DM_'[%']]],"N.A.")</f>
        <v>0</v>
      </c>
      <c r="AF271" s="7" t="str">
        <f>Tab_Data_Flows[[#This Row],[UoM_Flow_Py]]</f>
        <v>Mg</v>
      </c>
      <c r="AG271"/>
    </row>
    <row r="272" spans="1:33" x14ac:dyDescent="0.25">
      <c r="A272" s="9">
        <f t="shared" si="4"/>
        <v>271</v>
      </c>
      <c r="B272" s="7" t="str">
        <f>_xlfn.XLOOKUP(C272,Tab_Def_Flows[Flow_Name],Tab_Def_Flows[Flow_ID],,0,)</f>
        <v>F_01_02</v>
      </c>
      <c r="C272" s="142" t="s">
        <v>599</v>
      </c>
      <c r="D272" s="10" t="str">
        <f>_xlfn.XLOOKUP(C272,Tab_Def_Flows[Flow_Name],Tab_Def_Flows[WC?],,0,)</f>
        <v>Yes</v>
      </c>
      <c r="E272" s="10" t="str">
        <f>_xlfn.XLOOKUP(C272,Tab_Def_Flows[Flow_Name],Tab_Def_Flows[DM?],,0,)</f>
        <v>Yes</v>
      </c>
      <c r="F272" s="10" t="str">
        <f>_xlfn.XLOOKUP(C272,Tab_Def_Flows[Flow_Name],Tab_Def_Flows[CC?],,0,)</f>
        <v>Yes</v>
      </c>
      <c r="G272" s="8">
        <v>2069</v>
      </c>
      <c r="H272" s="23">
        <v>412946.28642628447</v>
      </c>
      <c r="I272" s="8" t="s">
        <v>198</v>
      </c>
      <c r="J272" s="15"/>
      <c r="K272" s="15"/>
      <c r="L272" s="15"/>
      <c r="M272" s="15"/>
      <c r="N272" s="15"/>
      <c r="O272" s="8" t="s">
        <v>6</v>
      </c>
      <c r="P272" s="16"/>
      <c r="Q272" s="8"/>
      <c r="R272" s="7" t="str">
        <f>Tab_Data_Flows[[#This Row],[Flow_ID]]&amp;"_"&amp;"material_"&amp;Tab_Data_Flows[[#This Row],[Flow_Data_Year]]</f>
        <v>F_01_02_material_2069</v>
      </c>
      <c r="S272" s="14">
        <f>IF(O272="no",H272,H272*P272)</f>
        <v>412946.28642628447</v>
      </c>
      <c r="T272" s="8" t="s">
        <v>198</v>
      </c>
      <c r="U272" s="143">
        <f>INDEX(Tab_Def_Flows[[Flow_ID]:[CC_DM_source]],MATCH(Tab_Data_Flows[[#This Row],[Flow_Name]],Tab_Def_Flows[Flow_Name],0),11)</f>
        <v>0.6</v>
      </c>
      <c r="V272" s="7" t="str">
        <f>Tab_Data_Flows[[#This Row],[Flow_ID]]&amp;"_"&amp;"WC_"&amp;Tab_Data_Flows[[#This Row],[Flow_Data_Year]]</f>
        <v>F_01_02_WC_2069</v>
      </c>
      <c r="W272" s="7">
        <f>IF(D272="Yes",S272*Tab_Data_Flows[[#This Row],[WC_'[%']]],"N.A.")</f>
        <v>247767.77185577067</v>
      </c>
      <c r="X272" s="7" t="str">
        <f>Tab_Data_Flows[[#This Row],[UoM_Flow_Py]]</f>
        <v>Mg</v>
      </c>
      <c r="Y272" s="143">
        <f>INDEX(Tab_Def_Flows[[Flow_ID]:[CC_DM_source]],MATCH(Tab_Data_Flows[[#This Row],[Flow_Name]],Tab_Def_Flows[Flow_Name],0),14)</f>
        <v>0.4</v>
      </c>
      <c r="Z272" s="7" t="str">
        <f>Tab_Data_Flows[[#This Row],[Flow_ID]]&amp;"_"&amp;"DM_"&amp;Tab_Data_Flows[[#This Row],[Flow_Data_Year]]</f>
        <v>F_01_02_DM_2069</v>
      </c>
      <c r="AA272" s="7">
        <f>IF(E272="Yes",Y272*Tab_Data_Flows[[#This Row],[Flow_Material]],"N.A.")</f>
        <v>165178.5145705138</v>
      </c>
      <c r="AB272" s="7" t="str">
        <f>Tab_Data_Flows[[#This Row],[UoM_Flow_Py]]</f>
        <v>Mg</v>
      </c>
      <c r="AC272" s="143">
        <f>INDEX(Tab_Def_Flows[[Flow_ID]:[CC_DM_source]],MATCH(Tab_Data_Flows[[#This Row],[Flow_Name]],Tab_Def_Flows[Flow_Name],0),17)</f>
        <v>0</v>
      </c>
      <c r="AD272" s="7" t="str">
        <f>Tab_Data_Flows[[#This Row],[Flow_ID]]&amp;"_"&amp;"CC_"&amp;Tab_Data_Flows[[#This Row],[Flow_Data_Year]]</f>
        <v>F_01_02_CC_2069</v>
      </c>
      <c r="AE272" s="7">
        <f>IF(F272="Yes",AC272*Tab_Data_Flows[[#This Row],[Flow_Material]]*Tab_Data_Flows[[#This Row],[DM_'[%']]],"N.A.")</f>
        <v>0</v>
      </c>
      <c r="AF272" s="7" t="str">
        <f>Tab_Data_Flows[[#This Row],[UoM_Flow_Py]]</f>
        <v>Mg</v>
      </c>
      <c r="AG272"/>
    </row>
    <row r="273" spans="1:33" x14ac:dyDescent="0.25">
      <c r="A273" s="9">
        <f t="shared" si="4"/>
        <v>272</v>
      </c>
      <c r="B273" s="7" t="str">
        <f>_xlfn.XLOOKUP(C273,Tab_Def_Flows[Flow_Name],Tab_Def_Flows[Flow_ID],,0,)</f>
        <v>F_01_02</v>
      </c>
      <c r="C273" s="142" t="s">
        <v>599</v>
      </c>
      <c r="D273" s="10" t="str">
        <f>_xlfn.XLOOKUP(C273,Tab_Def_Flows[Flow_Name],Tab_Def_Flows[WC?],,0,)</f>
        <v>Yes</v>
      </c>
      <c r="E273" s="10" t="str">
        <f>_xlfn.XLOOKUP(C273,Tab_Def_Flows[Flow_Name],Tab_Def_Flows[DM?],,0,)</f>
        <v>Yes</v>
      </c>
      <c r="F273" s="10" t="str">
        <f>_xlfn.XLOOKUP(C273,Tab_Def_Flows[Flow_Name],Tab_Def_Flows[CC?],,0,)</f>
        <v>Yes</v>
      </c>
      <c r="G273" s="8">
        <v>2070</v>
      </c>
      <c r="H273" s="23">
        <v>495583.92790687346</v>
      </c>
      <c r="I273" s="8" t="s">
        <v>198</v>
      </c>
      <c r="J273" s="15"/>
      <c r="K273" s="15"/>
      <c r="L273" s="15"/>
      <c r="M273" s="15"/>
      <c r="N273" s="15"/>
      <c r="O273" s="8" t="s">
        <v>6</v>
      </c>
      <c r="P273" s="16"/>
      <c r="Q273" s="8"/>
      <c r="R273" s="7" t="str">
        <f>Tab_Data_Flows[[#This Row],[Flow_ID]]&amp;"_"&amp;"material_"&amp;Tab_Data_Flows[[#This Row],[Flow_Data_Year]]</f>
        <v>F_01_02_material_2070</v>
      </c>
      <c r="S273" s="14">
        <f>IF(O273="no",H273,H273*P273)</f>
        <v>495583.92790687346</v>
      </c>
      <c r="T273" s="8" t="s">
        <v>198</v>
      </c>
      <c r="U273" s="143">
        <f>INDEX(Tab_Def_Flows[[Flow_ID]:[CC_DM_source]],MATCH(Tab_Data_Flows[[#This Row],[Flow_Name]],Tab_Def_Flows[Flow_Name],0),11)</f>
        <v>0.6</v>
      </c>
      <c r="V273" s="7" t="str">
        <f>Tab_Data_Flows[[#This Row],[Flow_ID]]&amp;"_"&amp;"WC_"&amp;Tab_Data_Flows[[#This Row],[Flow_Data_Year]]</f>
        <v>F_01_02_WC_2070</v>
      </c>
      <c r="W273" s="7">
        <f>IF(D273="Yes",S273*Tab_Data_Flows[[#This Row],[WC_'[%']]],"N.A.")</f>
        <v>297350.35674412409</v>
      </c>
      <c r="X273" s="7" t="str">
        <f>Tab_Data_Flows[[#This Row],[UoM_Flow_Py]]</f>
        <v>Mg</v>
      </c>
      <c r="Y273" s="143">
        <f>INDEX(Tab_Def_Flows[[Flow_ID]:[CC_DM_source]],MATCH(Tab_Data_Flows[[#This Row],[Flow_Name]],Tab_Def_Flows[Flow_Name],0),14)</f>
        <v>0.4</v>
      </c>
      <c r="Z273" s="7" t="str">
        <f>Tab_Data_Flows[[#This Row],[Flow_ID]]&amp;"_"&amp;"DM_"&amp;Tab_Data_Flows[[#This Row],[Flow_Data_Year]]</f>
        <v>F_01_02_DM_2070</v>
      </c>
      <c r="AA273" s="7">
        <f>IF(E273="Yes",Y273*Tab_Data_Flows[[#This Row],[Flow_Material]],"N.A.")</f>
        <v>198233.5711627494</v>
      </c>
      <c r="AB273" s="7" t="str">
        <f>Tab_Data_Flows[[#This Row],[UoM_Flow_Py]]</f>
        <v>Mg</v>
      </c>
      <c r="AC273" s="143">
        <f>INDEX(Tab_Def_Flows[[Flow_ID]:[CC_DM_source]],MATCH(Tab_Data_Flows[[#This Row],[Flow_Name]],Tab_Def_Flows[Flow_Name],0),17)</f>
        <v>0</v>
      </c>
      <c r="AD273" s="7" t="str">
        <f>Tab_Data_Flows[[#This Row],[Flow_ID]]&amp;"_"&amp;"CC_"&amp;Tab_Data_Flows[[#This Row],[Flow_Data_Year]]</f>
        <v>F_01_02_CC_2070</v>
      </c>
      <c r="AE273" s="7">
        <f>IF(F273="Yes",AC273*Tab_Data_Flows[[#This Row],[Flow_Material]]*Tab_Data_Flows[[#This Row],[DM_'[%']]],"N.A.")</f>
        <v>0</v>
      </c>
      <c r="AF273" s="7" t="str">
        <f>Tab_Data_Flows[[#This Row],[UoM_Flow_Py]]</f>
        <v>Mg</v>
      </c>
      <c r="AG273"/>
    </row>
    <row r="274" spans="1:33" x14ac:dyDescent="0.25">
      <c r="A274" s="9">
        <f t="shared" si="4"/>
        <v>273</v>
      </c>
      <c r="B274" s="7" t="str">
        <f>_xlfn.XLOOKUP(C274,Tab_Def_Flows[Flow_Name],Tab_Def_Flows[Flow_ID],,0,)</f>
        <v>F_01_02</v>
      </c>
      <c r="C274" s="142" t="s">
        <v>599</v>
      </c>
      <c r="D274" s="10" t="str">
        <f>_xlfn.XLOOKUP(C274,Tab_Def_Flows[Flow_Name],Tab_Def_Flows[WC?],,0,)</f>
        <v>Yes</v>
      </c>
      <c r="E274" s="10" t="str">
        <f>_xlfn.XLOOKUP(C274,Tab_Def_Flows[Flow_Name],Tab_Def_Flows[DM?],,0,)</f>
        <v>Yes</v>
      </c>
      <c r="F274" s="10" t="str">
        <f>_xlfn.XLOOKUP(C274,Tab_Def_Flows[Flow_Name],Tab_Def_Flows[CC?],,0,)</f>
        <v>Yes</v>
      </c>
      <c r="G274" s="8">
        <v>2071</v>
      </c>
      <c r="H274" s="23">
        <v>331659.06320583599</v>
      </c>
      <c r="I274" s="8" t="s">
        <v>198</v>
      </c>
      <c r="J274" s="15"/>
      <c r="K274" s="15"/>
      <c r="L274" s="15"/>
      <c r="M274" s="15"/>
      <c r="N274" s="15"/>
      <c r="O274" s="8" t="s">
        <v>6</v>
      </c>
      <c r="P274" s="16"/>
      <c r="Q274" s="8"/>
      <c r="R274" s="7" t="str">
        <f>Tab_Data_Flows[[#This Row],[Flow_ID]]&amp;"_"&amp;"material_"&amp;Tab_Data_Flows[[#This Row],[Flow_Data_Year]]</f>
        <v>F_01_02_material_2071</v>
      </c>
      <c r="S274" s="14">
        <f>IF(O274="no",H274,H274*P274)</f>
        <v>331659.06320583599</v>
      </c>
      <c r="T274" s="8" t="s">
        <v>198</v>
      </c>
      <c r="U274" s="143">
        <f>INDEX(Tab_Def_Flows[[Flow_ID]:[CC_DM_source]],MATCH(Tab_Data_Flows[[#This Row],[Flow_Name]],Tab_Def_Flows[Flow_Name],0),11)</f>
        <v>0.6</v>
      </c>
      <c r="V274" s="7" t="str">
        <f>Tab_Data_Flows[[#This Row],[Flow_ID]]&amp;"_"&amp;"WC_"&amp;Tab_Data_Flows[[#This Row],[Flow_Data_Year]]</f>
        <v>F_01_02_WC_2071</v>
      </c>
      <c r="W274" s="7">
        <f>IF(D274="Yes",S274*Tab_Data_Flows[[#This Row],[WC_'[%']]],"N.A.")</f>
        <v>198995.43792350159</v>
      </c>
      <c r="X274" s="7" t="str">
        <f>Tab_Data_Flows[[#This Row],[UoM_Flow_Py]]</f>
        <v>Mg</v>
      </c>
      <c r="Y274" s="143">
        <f>INDEX(Tab_Def_Flows[[Flow_ID]:[CC_DM_source]],MATCH(Tab_Data_Flows[[#This Row],[Flow_Name]],Tab_Def_Flows[Flow_Name],0),14)</f>
        <v>0.4</v>
      </c>
      <c r="Z274" s="7" t="str">
        <f>Tab_Data_Flows[[#This Row],[Flow_ID]]&amp;"_"&amp;"DM_"&amp;Tab_Data_Flows[[#This Row],[Flow_Data_Year]]</f>
        <v>F_01_02_DM_2071</v>
      </c>
      <c r="AA274" s="7">
        <f>IF(E274="Yes",Y274*Tab_Data_Flows[[#This Row],[Flow_Material]],"N.A.")</f>
        <v>132663.6252823344</v>
      </c>
      <c r="AB274" s="7" t="str">
        <f>Tab_Data_Flows[[#This Row],[UoM_Flow_Py]]</f>
        <v>Mg</v>
      </c>
      <c r="AC274" s="143">
        <f>INDEX(Tab_Def_Flows[[Flow_ID]:[CC_DM_source]],MATCH(Tab_Data_Flows[[#This Row],[Flow_Name]],Tab_Def_Flows[Flow_Name],0),17)</f>
        <v>0</v>
      </c>
      <c r="AD274" s="7" t="str">
        <f>Tab_Data_Flows[[#This Row],[Flow_ID]]&amp;"_"&amp;"CC_"&amp;Tab_Data_Flows[[#This Row],[Flow_Data_Year]]</f>
        <v>F_01_02_CC_2071</v>
      </c>
      <c r="AE274" s="7">
        <f>IF(F274="Yes",AC274*Tab_Data_Flows[[#This Row],[Flow_Material]]*Tab_Data_Flows[[#This Row],[DM_'[%']]],"N.A.")</f>
        <v>0</v>
      </c>
      <c r="AF274" s="7" t="str">
        <f>Tab_Data_Flows[[#This Row],[UoM_Flow_Py]]</f>
        <v>Mg</v>
      </c>
      <c r="AG274"/>
    </row>
    <row r="275" spans="1:33" x14ac:dyDescent="0.25">
      <c r="A275" s="9">
        <f t="shared" si="4"/>
        <v>274</v>
      </c>
      <c r="B275" s="7" t="str">
        <f>_xlfn.XLOOKUP(C275,Tab_Def_Flows[Flow_Name],Tab_Def_Flows[Flow_ID],,0,)</f>
        <v>F_01_02</v>
      </c>
      <c r="C275" s="142" t="s">
        <v>599</v>
      </c>
      <c r="D275" s="10" t="str">
        <f>_xlfn.XLOOKUP(C275,Tab_Def_Flows[Flow_Name],Tab_Def_Flows[WC?],,0,)</f>
        <v>Yes</v>
      </c>
      <c r="E275" s="10" t="str">
        <f>_xlfn.XLOOKUP(C275,Tab_Def_Flows[Flow_Name],Tab_Def_Flows[DM?],,0,)</f>
        <v>Yes</v>
      </c>
      <c r="F275" s="10" t="str">
        <f>_xlfn.XLOOKUP(C275,Tab_Def_Flows[Flow_Name],Tab_Def_Flows[CC?],,0,)</f>
        <v>Yes</v>
      </c>
      <c r="G275" s="8">
        <v>2072</v>
      </c>
      <c r="H275" s="23">
        <v>353521.19157504069</v>
      </c>
      <c r="I275" s="8" t="s">
        <v>198</v>
      </c>
      <c r="J275" s="15"/>
      <c r="K275" s="15"/>
      <c r="L275" s="15"/>
      <c r="M275" s="15"/>
      <c r="N275" s="15"/>
      <c r="O275" s="8" t="s">
        <v>6</v>
      </c>
      <c r="P275" s="16"/>
      <c r="Q275" s="8"/>
      <c r="R275" s="7" t="str">
        <f>Tab_Data_Flows[[#This Row],[Flow_ID]]&amp;"_"&amp;"material_"&amp;Tab_Data_Flows[[#This Row],[Flow_Data_Year]]</f>
        <v>F_01_02_material_2072</v>
      </c>
      <c r="S275" s="14">
        <f>IF(O275="no",H275,H275*P275)</f>
        <v>353521.19157504069</v>
      </c>
      <c r="T275" s="8" t="s">
        <v>198</v>
      </c>
      <c r="U275" s="143">
        <f>INDEX(Tab_Def_Flows[[Flow_ID]:[CC_DM_source]],MATCH(Tab_Data_Flows[[#This Row],[Flow_Name]],Tab_Def_Flows[Flow_Name],0),11)</f>
        <v>0.6</v>
      </c>
      <c r="V275" s="7" t="str">
        <f>Tab_Data_Flows[[#This Row],[Flow_ID]]&amp;"_"&amp;"WC_"&amp;Tab_Data_Flows[[#This Row],[Flow_Data_Year]]</f>
        <v>F_01_02_WC_2072</v>
      </c>
      <c r="W275" s="7">
        <f>IF(D275="Yes",S275*Tab_Data_Flows[[#This Row],[WC_'[%']]],"N.A.")</f>
        <v>212112.7149450244</v>
      </c>
      <c r="X275" s="7" t="str">
        <f>Tab_Data_Flows[[#This Row],[UoM_Flow_Py]]</f>
        <v>Mg</v>
      </c>
      <c r="Y275" s="143">
        <f>INDEX(Tab_Def_Flows[[Flow_ID]:[CC_DM_source]],MATCH(Tab_Data_Flows[[#This Row],[Flow_Name]],Tab_Def_Flows[Flow_Name],0),14)</f>
        <v>0.4</v>
      </c>
      <c r="Z275" s="7" t="str">
        <f>Tab_Data_Flows[[#This Row],[Flow_ID]]&amp;"_"&amp;"DM_"&amp;Tab_Data_Flows[[#This Row],[Flow_Data_Year]]</f>
        <v>F_01_02_DM_2072</v>
      </c>
      <c r="AA275" s="7">
        <f>IF(E275="Yes",Y275*Tab_Data_Flows[[#This Row],[Flow_Material]],"N.A.")</f>
        <v>141408.47663001629</v>
      </c>
      <c r="AB275" s="7" t="str">
        <f>Tab_Data_Flows[[#This Row],[UoM_Flow_Py]]</f>
        <v>Mg</v>
      </c>
      <c r="AC275" s="143">
        <f>INDEX(Tab_Def_Flows[[Flow_ID]:[CC_DM_source]],MATCH(Tab_Data_Flows[[#This Row],[Flow_Name]],Tab_Def_Flows[Flow_Name],0),17)</f>
        <v>0</v>
      </c>
      <c r="AD275" s="7" t="str">
        <f>Tab_Data_Flows[[#This Row],[Flow_ID]]&amp;"_"&amp;"CC_"&amp;Tab_Data_Flows[[#This Row],[Flow_Data_Year]]</f>
        <v>F_01_02_CC_2072</v>
      </c>
      <c r="AE275" s="7">
        <f>IF(F275="Yes",AC275*Tab_Data_Flows[[#This Row],[Flow_Material]]*Tab_Data_Flows[[#This Row],[DM_'[%']]],"N.A.")</f>
        <v>0</v>
      </c>
      <c r="AF275" s="7" t="str">
        <f>Tab_Data_Flows[[#This Row],[UoM_Flow_Py]]</f>
        <v>Mg</v>
      </c>
      <c r="AG275"/>
    </row>
    <row r="276" spans="1:33" x14ac:dyDescent="0.25">
      <c r="A276" s="9">
        <f t="shared" si="4"/>
        <v>275</v>
      </c>
      <c r="B276" s="7" t="str">
        <f>_xlfn.XLOOKUP(C276,Tab_Def_Flows[Flow_Name],Tab_Def_Flows[Flow_ID],,0,)</f>
        <v>F_01_02</v>
      </c>
      <c r="C276" s="142" t="s">
        <v>599</v>
      </c>
      <c r="D276" s="10" t="str">
        <f>_xlfn.XLOOKUP(C276,Tab_Def_Flows[Flow_Name],Tab_Def_Flows[WC?],,0,)</f>
        <v>Yes</v>
      </c>
      <c r="E276" s="10" t="str">
        <f>_xlfn.XLOOKUP(C276,Tab_Def_Flows[Flow_Name],Tab_Def_Flows[DM?],,0,)</f>
        <v>Yes</v>
      </c>
      <c r="F276" s="10" t="str">
        <f>_xlfn.XLOOKUP(C276,Tab_Def_Flows[Flow_Name],Tab_Def_Flows[CC?],,0,)</f>
        <v>Yes</v>
      </c>
      <c r="G276" s="8">
        <v>2073</v>
      </c>
      <c r="H276" s="23">
        <v>387839.29640791286</v>
      </c>
      <c r="I276" s="8" t="s">
        <v>198</v>
      </c>
      <c r="J276" s="15"/>
      <c r="K276" s="15"/>
      <c r="L276" s="15"/>
      <c r="M276" s="15"/>
      <c r="N276" s="15"/>
      <c r="O276" s="8" t="s">
        <v>6</v>
      </c>
      <c r="P276" s="16"/>
      <c r="Q276" s="8"/>
      <c r="R276" s="7" t="str">
        <f>Tab_Data_Flows[[#This Row],[Flow_ID]]&amp;"_"&amp;"material_"&amp;Tab_Data_Flows[[#This Row],[Flow_Data_Year]]</f>
        <v>F_01_02_material_2073</v>
      </c>
      <c r="S276" s="14">
        <f>IF(O276="no",H276,H276*P276)</f>
        <v>387839.29640791286</v>
      </c>
      <c r="T276" s="8" t="s">
        <v>198</v>
      </c>
      <c r="U276" s="143">
        <f>INDEX(Tab_Def_Flows[[Flow_ID]:[CC_DM_source]],MATCH(Tab_Data_Flows[[#This Row],[Flow_Name]],Tab_Def_Flows[Flow_Name],0),11)</f>
        <v>0.6</v>
      </c>
      <c r="V276" s="7" t="str">
        <f>Tab_Data_Flows[[#This Row],[Flow_ID]]&amp;"_"&amp;"WC_"&amp;Tab_Data_Flows[[#This Row],[Flow_Data_Year]]</f>
        <v>F_01_02_WC_2073</v>
      </c>
      <c r="W276" s="7">
        <f>IF(D276="Yes",S276*Tab_Data_Flows[[#This Row],[WC_'[%']]],"N.A.")</f>
        <v>232703.57784474772</v>
      </c>
      <c r="X276" s="7" t="str">
        <f>Tab_Data_Flows[[#This Row],[UoM_Flow_Py]]</f>
        <v>Mg</v>
      </c>
      <c r="Y276" s="143">
        <f>INDEX(Tab_Def_Flows[[Flow_ID]:[CC_DM_source]],MATCH(Tab_Data_Flows[[#This Row],[Flow_Name]],Tab_Def_Flows[Flow_Name],0),14)</f>
        <v>0.4</v>
      </c>
      <c r="Z276" s="7" t="str">
        <f>Tab_Data_Flows[[#This Row],[Flow_ID]]&amp;"_"&amp;"DM_"&amp;Tab_Data_Flows[[#This Row],[Flow_Data_Year]]</f>
        <v>F_01_02_DM_2073</v>
      </c>
      <c r="AA276" s="7">
        <f>IF(E276="Yes",Y276*Tab_Data_Flows[[#This Row],[Flow_Material]],"N.A.")</f>
        <v>155135.71856316514</v>
      </c>
      <c r="AB276" s="7" t="str">
        <f>Tab_Data_Flows[[#This Row],[UoM_Flow_Py]]</f>
        <v>Mg</v>
      </c>
      <c r="AC276" s="143">
        <f>INDEX(Tab_Def_Flows[[Flow_ID]:[CC_DM_source]],MATCH(Tab_Data_Flows[[#This Row],[Flow_Name]],Tab_Def_Flows[Flow_Name],0),17)</f>
        <v>0</v>
      </c>
      <c r="AD276" s="7" t="str">
        <f>Tab_Data_Flows[[#This Row],[Flow_ID]]&amp;"_"&amp;"CC_"&amp;Tab_Data_Flows[[#This Row],[Flow_Data_Year]]</f>
        <v>F_01_02_CC_2073</v>
      </c>
      <c r="AE276" s="7">
        <f>IF(F276="Yes",AC276*Tab_Data_Flows[[#This Row],[Flow_Material]]*Tab_Data_Flows[[#This Row],[DM_'[%']]],"N.A.")</f>
        <v>0</v>
      </c>
      <c r="AF276" s="7" t="str">
        <f>Tab_Data_Flows[[#This Row],[UoM_Flow_Py]]</f>
        <v>Mg</v>
      </c>
      <c r="AG276"/>
    </row>
    <row r="277" spans="1:33" x14ac:dyDescent="0.25">
      <c r="A277" s="9">
        <f t="shared" si="4"/>
        <v>276</v>
      </c>
      <c r="B277" s="7" t="str">
        <f>_xlfn.XLOOKUP(C277,Tab_Def_Flows[Flow_Name],Tab_Def_Flows[Flow_ID],,0,)</f>
        <v>F_01_02</v>
      </c>
      <c r="C277" s="142" t="s">
        <v>599</v>
      </c>
      <c r="D277" s="10" t="str">
        <f>_xlfn.XLOOKUP(C277,Tab_Def_Flows[Flow_Name],Tab_Def_Flows[WC?],,0,)</f>
        <v>Yes</v>
      </c>
      <c r="E277" s="10" t="str">
        <f>_xlfn.XLOOKUP(C277,Tab_Def_Flows[Flow_Name],Tab_Def_Flows[DM?],,0,)</f>
        <v>Yes</v>
      </c>
      <c r="F277" s="10" t="str">
        <f>_xlfn.XLOOKUP(C277,Tab_Def_Flows[Flow_Name],Tab_Def_Flows[CC?],,0,)</f>
        <v>Yes</v>
      </c>
      <c r="G277" s="8">
        <v>2074</v>
      </c>
      <c r="H277" s="23">
        <v>356758.5780202751</v>
      </c>
      <c r="I277" s="8" t="s">
        <v>198</v>
      </c>
      <c r="J277" s="15"/>
      <c r="K277" s="15"/>
      <c r="L277" s="15"/>
      <c r="M277" s="15"/>
      <c r="N277" s="15"/>
      <c r="O277" s="8" t="s">
        <v>6</v>
      </c>
      <c r="P277" s="16"/>
      <c r="Q277" s="8"/>
      <c r="R277" s="7" t="str">
        <f>Tab_Data_Flows[[#This Row],[Flow_ID]]&amp;"_"&amp;"material_"&amp;Tab_Data_Flows[[#This Row],[Flow_Data_Year]]</f>
        <v>F_01_02_material_2074</v>
      </c>
      <c r="S277" s="14">
        <f>IF(O277="no",H277,H277*P277)</f>
        <v>356758.5780202751</v>
      </c>
      <c r="T277" s="8" t="s">
        <v>198</v>
      </c>
      <c r="U277" s="143">
        <f>INDEX(Tab_Def_Flows[[Flow_ID]:[CC_DM_source]],MATCH(Tab_Data_Flows[[#This Row],[Flow_Name]],Tab_Def_Flows[Flow_Name],0),11)</f>
        <v>0.6</v>
      </c>
      <c r="V277" s="7" t="str">
        <f>Tab_Data_Flows[[#This Row],[Flow_ID]]&amp;"_"&amp;"WC_"&amp;Tab_Data_Flows[[#This Row],[Flow_Data_Year]]</f>
        <v>F_01_02_WC_2074</v>
      </c>
      <c r="W277" s="7">
        <f>IF(D277="Yes",S277*Tab_Data_Flows[[#This Row],[WC_'[%']]],"N.A.")</f>
        <v>214055.14681216507</v>
      </c>
      <c r="X277" s="7" t="str">
        <f>Tab_Data_Flows[[#This Row],[UoM_Flow_Py]]</f>
        <v>Mg</v>
      </c>
      <c r="Y277" s="143">
        <f>INDEX(Tab_Def_Flows[[Flow_ID]:[CC_DM_source]],MATCH(Tab_Data_Flows[[#This Row],[Flow_Name]],Tab_Def_Flows[Flow_Name],0),14)</f>
        <v>0.4</v>
      </c>
      <c r="Z277" s="7" t="str">
        <f>Tab_Data_Flows[[#This Row],[Flow_ID]]&amp;"_"&amp;"DM_"&amp;Tab_Data_Flows[[#This Row],[Flow_Data_Year]]</f>
        <v>F_01_02_DM_2074</v>
      </c>
      <c r="AA277" s="7">
        <f>IF(E277="Yes",Y277*Tab_Data_Flows[[#This Row],[Flow_Material]],"N.A.")</f>
        <v>142703.43120811004</v>
      </c>
      <c r="AB277" s="7" t="str">
        <f>Tab_Data_Flows[[#This Row],[UoM_Flow_Py]]</f>
        <v>Mg</v>
      </c>
      <c r="AC277" s="143">
        <f>INDEX(Tab_Def_Flows[[Flow_ID]:[CC_DM_source]],MATCH(Tab_Data_Flows[[#This Row],[Flow_Name]],Tab_Def_Flows[Flow_Name],0),17)</f>
        <v>0</v>
      </c>
      <c r="AD277" s="7" t="str">
        <f>Tab_Data_Flows[[#This Row],[Flow_ID]]&amp;"_"&amp;"CC_"&amp;Tab_Data_Flows[[#This Row],[Flow_Data_Year]]</f>
        <v>F_01_02_CC_2074</v>
      </c>
      <c r="AE277" s="7">
        <f>IF(F277="Yes",AC277*Tab_Data_Flows[[#This Row],[Flow_Material]]*Tab_Data_Flows[[#This Row],[DM_'[%']]],"N.A.")</f>
        <v>0</v>
      </c>
      <c r="AF277" s="7" t="str">
        <f>Tab_Data_Flows[[#This Row],[UoM_Flow_Py]]</f>
        <v>Mg</v>
      </c>
      <c r="AG277"/>
    </row>
    <row r="278" spans="1:33" x14ac:dyDescent="0.25">
      <c r="A278" s="9">
        <f t="shared" si="4"/>
        <v>277</v>
      </c>
      <c r="B278" s="7" t="str">
        <f>_xlfn.XLOOKUP(C278,Tab_Def_Flows[Flow_Name],Tab_Def_Flows[Flow_ID],,0,)</f>
        <v>F_01_02</v>
      </c>
      <c r="C278" s="142" t="s">
        <v>599</v>
      </c>
      <c r="D278" s="10" t="str">
        <f>_xlfn.XLOOKUP(C278,Tab_Def_Flows[Flow_Name],Tab_Def_Flows[WC?],,0,)</f>
        <v>Yes</v>
      </c>
      <c r="E278" s="10" t="str">
        <f>_xlfn.XLOOKUP(C278,Tab_Def_Flows[Flow_Name],Tab_Def_Flows[DM?],,0,)</f>
        <v>Yes</v>
      </c>
      <c r="F278" s="10" t="str">
        <f>_xlfn.XLOOKUP(C278,Tab_Def_Flows[Flow_Name],Tab_Def_Flows[CC?],,0,)</f>
        <v>Yes</v>
      </c>
      <c r="G278" s="8">
        <v>2075</v>
      </c>
      <c r="H278" s="23">
        <v>302794.24321510975</v>
      </c>
      <c r="I278" s="8" t="s">
        <v>198</v>
      </c>
      <c r="J278" s="15"/>
      <c r="K278" s="15"/>
      <c r="L278" s="15"/>
      <c r="M278" s="15"/>
      <c r="N278" s="15"/>
      <c r="O278" s="8" t="s">
        <v>6</v>
      </c>
      <c r="P278" s="16"/>
      <c r="Q278" s="8"/>
      <c r="R278" s="7" t="str">
        <f>Tab_Data_Flows[[#This Row],[Flow_ID]]&amp;"_"&amp;"material_"&amp;Tab_Data_Flows[[#This Row],[Flow_Data_Year]]</f>
        <v>F_01_02_material_2075</v>
      </c>
      <c r="S278" s="14">
        <f>IF(O278="no",H278,H278*P278)</f>
        <v>302794.24321510975</v>
      </c>
      <c r="T278" s="8" t="s">
        <v>198</v>
      </c>
      <c r="U278" s="143">
        <f>INDEX(Tab_Def_Flows[[Flow_ID]:[CC_DM_source]],MATCH(Tab_Data_Flows[[#This Row],[Flow_Name]],Tab_Def_Flows[Flow_Name],0),11)</f>
        <v>0.6</v>
      </c>
      <c r="V278" s="7" t="str">
        <f>Tab_Data_Flows[[#This Row],[Flow_ID]]&amp;"_"&amp;"WC_"&amp;Tab_Data_Flows[[#This Row],[Flow_Data_Year]]</f>
        <v>F_01_02_WC_2075</v>
      </c>
      <c r="W278" s="7">
        <f>IF(D278="Yes",S278*Tab_Data_Flows[[#This Row],[WC_'[%']]],"N.A.")</f>
        <v>181676.54592906585</v>
      </c>
      <c r="X278" s="7" t="str">
        <f>Tab_Data_Flows[[#This Row],[UoM_Flow_Py]]</f>
        <v>Mg</v>
      </c>
      <c r="Y278" s="143">
        <f>INDEX(Tab_Def_Flows[[Flow_ID]:[CC_DM_source]],MATCH(Tab_Data_Flows[[#This Row],[Flow_Name]],Tab_Def_Flows[Flow_Name],0),14)</f>
        <v>0.4</v>
      </c>
      <c r="Z278" s="7" t="str">
        <f>Tab_Data_Flows[[#This Row],[Flow_ID]]&amp;"_"&amp;"DM_"&amp;Tab_Data_Flows[[#This Row],[Flow_Data_Year]]</f>
        <v>F_01_02_DM_2075</v>
      </c>
      <c r="AA278" s="7">
        <f>IF(E278="Yes",Y278*Tab_Data_Flows[[#This Row],[Flow_Material]],"N.A.")</f>
        <v>121117.6972860439</v>
      </c>
      <c r="AB278" s="7" t="str">
        <f>Tab_Data_Flows[[#This Row],[UoM_Flow_Py]]</f>
        <v>Mg</v>
      </c>
      <c r="AC278" s="143">
        <f>INDEX(Tab_Def_Flows[[Flow_ID]:[CC_DM_source]],MATCH(Tab_Data_Flows[[#This Row],[Flow_Name]],Tab_Def_Flows[Flow_Name],0),17)</f>
        <v>0</v>
      </c>
      <c r="AD278" s="7" t="str">
        <f>Tab_Data_Flows[[#This Row],[Flow_ID]]&amp;"_"&amp;"CC_"&amp;Tab_Data_Flows[[#This Row],[Flow_Data_Year]]</f>
        <v>F_01_02_CC_2075</v>
      </c>
      <c r="AE278" s="7">
        <f>IF(F278="Yes",AC278*Tab_Data_Flows[[#This Row],[Flow_Material]]*Tab_Data_Flows[[#This Row],[DM_'[%']]],"N.A.")</f>
        <v>0</v>
      </c>
      <c r="AF278" s="7" t="str">
        <f>Tab_Data_Flows[[#This Row],[UoM_Flow_Py]]</f>
        <v>Mg</v>
      </c>
      <c r="AG278"/>
    </row>
    <row r="279" spans="1:33" x14ac:dyDescent="0.25">
      <c r="A279" s="9">
        <f t="shared" si="4"/>
        <v>278</v>
      </c>
      <c r="B279" s="7" t="str">
        <f>_xlfn.XLOOKUP(C279,Tab_Def_Flows[Flow_Name],Tab_Def_Flows[Flow_ID],,0,)</f>
        <v>F_01_02</v>
      </c>
      <c r="C279" s="142" t="s">
        <v>599</v>
      </c>
      <c r="D279" s="10" t="str">
        <f>_xlfn.XLOOKUP(C279,Tab_Def_Flows[Flow_Name],Tab_Def_Flows[WC?],,0,)</f>
        <v>Yes</v>
      </c>
      <c r="E279" s="10" t="str">
        <f>_xlfn.XLOOKUP(C279,Tab_Def_Flows[Flow_Name],Tab_Def_Flows[DM?],,0,)</f>
        <v>Yes</v>
      </c>
      <c r="F279" s="10" t="str">
        <f>_xlfn.XLOOKUP(C279,Tab_Def_Flows[Flow_Name],Tab_Def_Flows[CC?],,0,)</f>
        <v>Yes</v>
      </c>
      <c r="G279" s="8">
        <v>2076</v>
      </c>
      <c r="H279" s="23">
        <v>386237.23005588085</v>
      </c>
      <c r="I279" s="8" t="s">
        <v>198</v>
      </c>
      <c r="J279" s="15"/>
      <c r="K279" s="15"/>
      <c r="L279" s="15"/>
      <c r="M279" s="15"/>
      <c r="N279" s="15"/>
      <c r="O279" s="8" t="s">
        <v>6</v>
      </c>
      <c r="P279" s="16"/>
      <c r="Q279" s="8"/>
      <c r="R279" s="7" t="str">
        <f>Tab_Data_Flows[[#This Row],[Flow_ID]]&amp;"_"&amp;"material_"&amp;Tab_Data_Flows[[#This Row],[Flow_Data_Year]]</f>
        <v>F_01_02_material_2076</v>
      </c>
      <c r="S279" s="14">
        <f>IF(O279="no",H279,H279*P279)</f>
        <v>386237.23005588085</v>
      </c>
      <c r="T279" s="8" t="s">
        <v>198</v>
      </c>
      <c r="U279" s="143">
        <f>INDEX(Tab_Def_Flows[[Flow_ID]:[CC_DM_source]],MATCH(Tab_Data_Flows[[#This Row],[Flow_Name]],Tab_Def_Flows[Flow_Name],0),11)</f>
        <v>0.6</v>
      </c>
      <c r="V279" s="7" t="str">
        <f>Tab_Data_Flows[[#This Row],[Flow_ID]]&amp;"_"&amp;"WC_"&amp;Tab_Data_Flows[[#This Row],[Flow_Data_Year]]</f>
        <v>F_01_02_WC_2076</v>
      </c>
      <c r="W279" s="7">
        <f>IF(D279="Yes",S279*Tab_Data_Flows[[#This Row],[WC_'[%']]],"N.A.")</f>
        <v>231742.3380335285</v>
      </c>
      <c r="X279" s="7" t="str">
        <f>Tab_Data_Flows[[#This Row],[UoM_Flow_Py]]</f>
        <v>Mg</v>
      </c>
      <c r="Y279" s="143">
        <f>INDEX(Tab_Def_Flows[[Flow_ID]:[CC_DM_source]],MATCH(Tab_Data_Flows[[#This Row],[Flow_Name]],Tab_Def_Flows[Flow_Name],0),14)</f>
        <v>0.4</v>
      </c>
      <c r="Z279" s="7" t="str">
        <f>Tab_Data_Flows[[#This Row],[Flow_ID]]&amp;"_"&amp;"DM_"&amp;Tab_Data_Flows[[#This Row],[Flow_Data_Year]]</f>
        <v>F_01_02_DM_2076</v>
      </c>
      <c r="AA279" s="7">
        <f>IF(E279="Yes",Y279*Tab_Data_Flows[[#This Row],[Flow_Material]],"N.A.")</f>
        <v>154494.89202235235</v>
      </c>
      <c r="AB279" s="7" t="str">
        <f>Tab_Data_Flows[[#This Row],[UoM_Flow_Py]]</f>
        <v>Mg</v>
      </c>
      <c r="AC279" s="143">
        <f>INDEX(Tab_Def_Flows[[Flow_ID]:[CC_DM_source]],MATCH(Tab_Data_Flows[[#This Row],[Flow_Name]],Tab_Def_Flows[Flow_Name],0),17)</f>
        <v>0</v>
      </c>
      <c r="AD279" s="7" t="str">
        <f>Tab_Data_Flows[[#This Row],[Flow_ID]]&amp;"_"&amp;"CC_"&amp;Tab_Data_Flows[[#This Row],[Flow_Data_Year]]</f>
        <v>F_01_02_CC_2076</v>
      </c>
      <c r="AE279" s="7">
        <f>IF(F279="Yes",AC279*Tab_Data_Flows[[#This Row],[Flow_Material]]*Tab_Data_Flows[[#This Row],[DM_'[%']]],"N.A.")</f>
        <v>0</v>
      </c>
      <c r="AF279" s="7" t="str">
        <f>Tab_Data_Flows[[#This Row],[UoM_Flow_Py]]</f>
        <v>Mg</v>
      </c>
      <c r="AG279"/>
    </row>
    <row r="280" spans="1:33" x14ac:dyDescent="0.25">
      <c r="A280" s="9">
        <f t="shared" si="4"/>
        <v>279</v>
      </c>
      <c r="B280" s="7" t="str">
        <f>_xlfn.XLOOKUP(C280,Tab_Def_Flows[Flow_Name],Tab_Def_Flows[Flow_ID],,0,)</f>
        <v>F_01_02</v>
      </c>
      <c r="C280" s="142" t="s">
        <v>599</v>
      </c>
      <c r="D280" s="10" t="str">
        <f>_xlfn.XLOOKUP(C280,Tab_Def_Flows[Flow_Name],Tab_Def_Flows[WC?],,0,)</f>
        <v>Yes</v>
      </c>
      <c r="E280" s="10" t="str">
        <f>_xlfn.XLOOKUP(C280,Tab_Def_Flows[Flow_Name],Tab_Def_Flows[DM?],,0,)</f>
        <v>Yes</v>
      </c>
      <c r="F280" s="10" t="str">
        <f>_xlfn.XLOOKUP(C280,Tab_Def_Flows[Flow_Name],Tab_Def_Flows[CC?],,0,)</f>
        <v>Yes</v>
      </c>
      <c r="G280" s="8">
        <v>2077</v>
      </c>
      <c r="H280" s="23">
        <v>327960.70129644114</v>
      </c>
      <c r="I280" s="8" t="s">
        <v>198</v>
      </c>
      <c r="J280" s="15"/>
      <c r="K280" s="15"/>
      <c r="L280" s="15"/>
      <c r="M280" s="15"/>
      <c r="N280" s="15"/>
      <c r="O280" s="8" t="s">
        <v>6</v>
      </c>
      <c r="P280" s="16"/>
      <c r="Q280" s="8"/>
      <c r="R280" s="7" t="str">
        <f>Tab_Data_Flows[[#This Row],[Flow_ID]]&amp;"_"&amp;"material_"&amp;Tab_Data_Flows[[#This Row],[Flow_Data_Year]]</f>
        <v>F_01_02_material_2077</v>
      </c>
      <c r="S280" s="14">
        <f>IF(O280="no",H280,H280*P280)</f>
        <v>327960.70129644114</v>
      </c>
      <c r="T280" s="8" t="s">
        <v>198</v>
      </c>
      <c r="U280" s="143">
        <f>INDEX(Tab_Def_Flows[[Flow_ID]:[CC_DM_source]],MATCH(Tab_Data_Flows[[#This Row],[Flow_Name]],Tab_Def_Flows[Flow_Name],0),11)</f>
        <v>0.6</v>
      </c>
      <c r="V280" s="7" t="str">
        <f>Tab_Data_Flows[[#This Row],[Flow_ID]]&amp;"_"&amp;"WC_"&amp;Tab_Data_Flows[[#This Row],[Flow_Data_Year]]</f>
        <v>F_01_02_WC_2077</v>
      </c>
      <c r="W280" s="7">
        <f>IF(D280="Yes",S280*Tab_Data_Flows[[#This Row],[WC_'[%']]],"N.A.")</f>
        <v>196776.42077786467</v>
      </c>
      <c r="X280" s="7" t="str">
        <f>Tab_Data_Flows[[#This Row],[UoM_Flow_Py]]</f>
        <v>Mg</v>
      </c>
      <c r="Y280" s="143">
        <f>INDEX(Tab_Def_Flows[[Flow_ID]:[CC_DM_source]],MATCH(Tab_Data_Flows[[#This Row],[Flow_Name]],Tab_Def_Flows[Flow_Name],0),14)</f>
        <v>0.4</v>
      </c>
      <c r="Z280" s="7" t="str">
        <f>Tab_Data_Flows[[#This Row],[Flow_ID]]&amp;"_"&amp;"DM_"&amp;Tab_Data_Flows[[#This Row],[Flow_Data_Year]]</f>
        <v>F_01_02_DM_2077</v>
      </c>
      <c r="AA280" s="7">
        <f>IF(E280="Yes",Y280*Tab_Data_Flows[[#This Row],[Flow_Material]],"N.A.")</f>
        <v>131184.28051857647</v>
      </c>
      <c r="AB280" s="7" t="str">
        <f>Tab_Data_Flows[[#This Row],[UoM_Flow_Py]]</f>
        <v>Mg</v>
      </c>
      <c r="AC280" s="143">
        <f>INDEX(Tab_Def_Flows[[Flow_ID]:[CC_DM_source]],MATCH(Tab_Data_Flows[[#This Row],[Flow_Name]],Tab_Def_Flows[Flow_Name],0),17)</f>
        <v>0</v>
      </c>
      <c r="AD280" s="7" t="str">
        <f>Tab_Data_Flows[[#This Row],[Flow_ID]]&amp;"_"&amp;"CC_"&amp;Tab_Data_Flows[[#This Row],[Flow_Data_Year]]</f>
        <v>F_01_02_CC_2077</v>
      </c>
      <c r="AE280" s="7">
        <f>IF(F280="Yes",AC280*Tab_Data_Flows[[#This Row],[Flow_Material]]*Tab_Data_Flows[[#This Row],[DM_'[%']]],"N.A.")</f>
        <v>0</v>
      </c>
      <c r="AF280" s="7" t="str">
        <f>Tab_Data_Flows[[#This Row],[UoM_Flow_Py]]</f>
        <v>Mg</v>
      </c>
      <c r="AG280"/>
    </row>
    <row r="281" spans="1:33" x14ac:dyDescent="0.25">
      <c r="A281" s="9">
        <f t="shared" si="4"/>
        <v>280</v>
      </c>
      <c r="B281" s="7" t="str">
        <f>_xlfn.XLOOKUP(C281,Tab_Def_Flows[Flow_Name],Tab_Def_Flows[Flow_ID],,0,)</f>
        <v>F_01_02</v>
      </c>
      <c r="C281" s="142" t="s">
        <v>599</v>
      </c>
      <c r="D281" s="10" t="str">
        <f>_xlfn.XLOOKUP(C281,Tab_Def_Flows[Flow_Name],Tab_Def_Flows[WC?],,0,)</f>
        <v>Yes</v>
      </c>
      <c r="E281" s="10" t="str">
        <f>_xlfn.XLOOKUP(C281,Tab_Def_Flows[Flow_Name],Tab_Def_Flows[DM?],,0,)</f>
        <v>Yes</v>
      </c>
      <c r="F281" s="10" t="str">
        <f>_xlfn.XLOOKUP(C281,Tab_Def_Flows[Flow_Name],Tab_Def_Flows[CC?],,0,)</f>
        <v>Yes</v>
      </c>
      <c r="G281" s="8">
        <v>2078</v>
      </c>
      <c r="H281" s="23">
        <v>407109.46103625005</v>
      </c>
      <c r="I281" s="8" t="s">
        <v>198</v>
      </c>
      <c r="J281" s="15"/>
      <c r="K281" s="15"/>
      <c r="L281" s="15"/>
      <c r="M281" s="15"/>
      <c r="N281" s="15"/>
      <c r="O281" s="8" t="s">
        <v>6</v>
      </c>
      <c r="P281" s="16"/>
      <c r="Q281" s="8"/>
      <c r="R281" s="7" t="str">
        <f>Tab_Data_Flows[[#This Row],[Flow_ID]]&amp;"_"&amp;"material_"&amp;Tab_Data_Flows[[#This Row],[Flow_Data_Year]]</f>
        <v>F_01_02_material_2078</v>
      </c>
      <c r="S281" s="14">
        <f>IF(O281="no",H281,H281*P281)</f>
        <v>407109.46103625005</v>
      </c>
      <c r="T281" s="8" t="s">
        <v>198</v>
      </c>
      <c r="U281" s="143">
        <f>INDEX(Tab_Def_Flows[[Flow_ID]:[CC_DM_source]],MATCH(Tab_Data_Flows[[#This Row],[Flow_Name]],Tab_Def_Flows[Flow_Name],0),11)</f>
        <v>0.6</v>
      </c>
      <c r="V281" s="7" t="str">
        <f>Tab_Data_Flows[[#This Row],[Flow_ID]]&amp;"_"&amp;"WC_"&amp;Tab_Data_Flows[[#This Row],[Flow_Data_Year]]</f>
        <v>F_01_02_WC_2078</v>
      </c>
      <c r="W281" s="7">
        <f>IF(D281="Yes",S281*Tab_Data_Flows[[#This Row],[WC_'[%']]],"N.A.")</f>
        <v>244265.67662175003</v>
      </c>
      <c r="X281" s="7" t="str">
        <f>Tab_Data_Flows[[#This Row],[UoM_Flow_Py]]</f>
        <v>Mg</v>
      </c>
      <c r="Y281" s="143">
        <f>INDEX(Tab_Def_Flows[[Flow_ID]:[CC_DM_source]],MATCH(Tab_Data_Flows[[#This Row],[Flow_Name]],Tab_Def_Flows[Flow_Name],0),14)</f>
        <v>0.4</v>
      </c>
      <c r="Z281" s="7" t="str">
        <f>Tab_Data_Flows[[#This Row],[Flow_ID]]&amp;"_"&amp;"DM_"&amp;Tab_Data_Flows[[#This Row],[Flow_Data_Year]]</f>
        <v>F_01_02_DM_2078</v>
      </c>
      <c r="AA281" s="7">
        <f>IF(E281="Yes",Y281*Tab_Data_Flows[[#This Row],[Flow_Material]],"N.A.")</f>
        <v>162843.78441450003</v>
      </c>
      <c r="AB281" s="7" t="str">
        <f>Tab_Data_Flows[[#This Row],[UoM_Flow_Py]]</f>
        <v>Mg</v>
      </c>
      <c r="AC281" s="143">
        <f>INDEX(Tab_Def_Flows[[Flow_ID]:[CC_DM_source]],MATCH(Tab_Data_Flows[[#This Row],[Flow_Name]],Tab_Def_Flows[Flow_Name],0),17)</f>
        <v>0</v>
      </c>
      <c r="AD281" s="7" t="str">
        <f>Tab_Data_Flows[[#This Row],[Flow_ID]]&amp;"_"&amp;"CC_"&amp;Tab_Data_Flows[[#This Row],[Flow_Data_Year]]</f>
        <v>F_01_02_CC_2078</v>
      </c>
      <c r="AE281" s="7">
        <f>IF(F281="Yes",AC281*Tab_Data_Flows[[#This Row],[Flow_Material]]*Tab_Data_Flows[[#This Row],[DM_'[%']]],"N.A.")</f>
        <v>0</v>
      </c>
      <c r="AF281" s="7" t="str">
        <f>Tab_Data_Flows[[#This Row],[UoM_Flow_Py]]</f>
        <v>Mg</v>
      </c>
      <c r="AG281"/>
    </row>
    <row r="282" spans="1:33" x14ac:dyDescent="0.25">
      <c r="A282" s="9">
        <f t="shared" si="4"/>
        <v>281</v>
      </c>
      <c r="B282" s="7" t="str">
        <f>_xlfn.XLOOKUP(C282,Tab_Def_Flows[Flow_Name],Tab_Def_Flows[Flow_ID],,0,)</f>
        <v>F_01_02</v>
      </c>
      <c r="C282" s="142" t="s">
        <v>599</v>
      </c>
      <c r="D282" s="10" t="str">
        <f>_xlfn.XLOOKUP(C282,Tab_Def_Flows[Flow_Name],Tab_Def_Flows[WC?],,0,)</f>
        <v>Yes</v>
      </c>
      <c r="E282" s="10" t="str">
        <f>_xlfn.XLOOKUP(C282,Tab_Def_Flows[Flow_Name],Tab_Def_Flows[DM?],,0,)</f>
        <v>Yes</v>
      </c>
      <c r="F282" s="10" t="str">
        <f>_xlfn.XLOOKUP(C282,Tab_Def_Flows[Flow_Name],Tab_Def_Flows[CC?],,0,)</f>
        <v>Yes</v>
      </c>
      <c r="G282" s="8">
        <v>2079</v>
      </c>
      <c r="H282" s="23">
        <v>335323.65590479982</v>
      </c>
      <c r="I282" s="8" t="s">
        <v>198</v>
      </c>
      <c r="J282" s="15"/>
      <c r="K282" s="15"/>
      <c r="L282" s="15"/>
      <c r="M282" s="15"/>
      <c r="N282" s="15"/>
      <c r="O282" s="8" t="s">
        <v>6</v>
      </c>
      <c r="P282" s="16"/>
      <c r="Q282" s="8"/>
      <c r="R282" s="7" t="str">
        <f>Tab_Data_Flows[[#This Row],[Flow_ID]]&amp;"_"&amp;"material_"&amp;Tab_Data_Flows[[#This Row],[Flow_Data_Year]]</f>
        <v>F_01_02_material_2079</v>
      </c>
      <c r="S282" s="14">
        <f>IF(O282="no",H282,H282*P282)</f>
        <v>335323.65590479982</v>
      </c>
      <c r="T282" s="8" t="s">
        <v>198</v>
      </c>
      <c r="U282" s="143">
        <f>INDEX(Tab_Def_Flows[[Flow_ID]:[CC_DM_source]],MATCH(Tab_Data_Flows[[#This Row],[Flow_Name]],Tab_Def_Flows[Flow_Name],0),11)</f>
        <v>0.6</v>
      </c>
      <c r="V282" s="7" t="str">
        <f>Tab_Data_Flows[[#This Row],[Flow_ID]]&amp;"_"&amp;"WC_"&amp;Tab_Data_Flows[[#This Row],[Flow_Data_Year]]</f>
        <v>F_01_02_WC_2079</v>
      </c>
      <c r="W282" s="7">
        <f>IF(D282="Yes",S282*Tab_Data_Flows[[#This Row],[WC_'[%']]],"N.A.")</f>
        <v>201194.19354287989</v>
      </c>
      <c r="X282" s="7" t="str">
        <f>Tab_Data_Flows[[#This Row],[UoM_Flow_Py]]</f>
        <v>Mg</v>
      </c>
      <c r="Y282" s="143">
        <f>INDEX(Tab_Def_Flows[[Flow_ID]:[CC_DM_source]],MATCH(Tab_Data_Flows[[#This Row],[Flow_Name]],Tab_Def_Flows[Flow_Name],0),14)</f>
        <v>0.4</v>
      </c>
      <c r="Z282" s="7" t="str">
        <f>Tab_Data_Flows[[#This Row],[Flow_ID]]&amp;"_"&amp;"DM_"&amp;Tab_Data_Flows[[#This Row],[Flow_Data_Year]]</f>
        <v>F_01_02_DM_2079</v>
      </c>
      <c r="AA282" s="7">
        <f>IF(E282="Yes",Y282*Tab_Data_Flows[[#This Row],[Flow_Material]],"N.A.")</f>
        <v>134129.46236191993</v>
      </c>
      <c r="AB282" s="7" t="str">
        <f>Tab_Data_Flows[[#This Row],[UoM_Flow_Py]]</f>
        <v>Mg</v>
      </c>
      <c r="AC282" s="143">
        <f>INDEX(Tab_Def_Flows[[Flow_ID]:[CC_DM_source]],MATCH(Tab_Data_Flows[[#This Row],[Flow_Name]],Tab_Def_Flows[Flow_Name],0),17)</f>
        <v>0</v>
      </c>
      <c r="AD282" s="7" t="str">
        <f>Tab_Data_Flows[[#This Row],[Flow_ID]]&amp;"_"&amp;"CC_"&amp;Tab_Data_Flows[[#This Row],[Flow_Data_Year]]</f>
        <v>F_01_02_CC_2079</v>
      </c>
      <c r="AE282" s="7">
        <f>IF(F282="Yes",AC282*Tab_Data_Flows[[#This Row],[Flow_Material]]*Tab_Data_Flows[[#This Row],[DM_'[%']]],"N.A.")</f>
        <v>0</v>
      </c>
      <c r="AF282" s="7" t="str">
        <f>Tab_Data_Flows[[#This Row],[UoM_Flow_Py]]</f>
        <v>Mg</v>
      </c>
      <c r="AG282"/>
    </row>
    <row r="283" spans="1:33" x14ac:dyDescent="0.25">
      <c r="A283" s="9">
        <f t="shared" si="4"/>
        <v>282</v>
      </c>
      <c r="B283" s="7" t="str">
        <f>_xlfn.XLOOKUP(C283,Tab_Def_Flows[Flow_Name],Tab_Def_Flows[Flow_ID],,0,)</f>
        <v>F_01_02</v>
      </c>
      <c r="C283" s="142" t="s">
        <v>599</v>
      </c>
      <c r="D283" s="10" t="str">
        <f>_xlfn.XLOOKUP(C283,Tab_Def_Flows[Flow_Name],Tab_Def_Flows[WC?],,0,)</f>
        <v>Yes</v>
      </c>
      <c r="E283" s="10" t="str">
        <f>_xlfn.XLOOKUP(C283,Tab_Def_Flows[Flow_Name],Tab_Def_Flows[DM?],,0,)</f>
        <v>Yes</v>
      </c>
      <c r="F283" s="10" t="str">
        <f>_xlfn.XLOOKUP(C283,Tab_Def_Flows[Flow_Name],Tab_Def_Flows[CC?],,0,)</f>
        <v>Yes</v>
      </c>
      <c r="G283" s="8">
        <v>2080</v>
      </c>
      <c r="H283" s="23">
        <v>462576.18815905834</v>
      </c>
      <c r="I283" s="8" t="s">
        <v>198</v>
      </c>
      <c r="J283" s="15"/>
      <c r="K283" s="15"/>
      <c r="L283" s="15"/>
      <c r="M283" s="15"/>
      <c r="N283" s="15"/>
      <c r="O283" s="8" t="s">
        <v>6</v>
      </c>
      <c r="P283" s="16"/>
      <c r="Q283" s="8"/>
      <c r="R283" s="7" t="str">
        <f>Tab_Data_Flows[[#This Row],[Flow_ID]]&amp;"_"&amp;"material_"&amp;Tab_Data_Flows[[#This Row],[Flow_Data_Year]]</f>
        <v>F_01_02_material_2080</v>
      </c>
      <c r="S283" s="14">
        <f>IF(O283="no",H283,H283*P283)</f>
        <v>462576.18815905834</v>
      </c>
      <c r="T283" s="8" t="s">
        <v>198</v>
      </c>
      <c r="U283" s="143">
        <f>INDEX(Tab_Def_Flows[[Flow_ID]:[CC_DM_source]],MATCH(Tab_Data_Flows[[#This Row],[Flow_Name]],Tab_Def_Flows[Flow_Name],0),11)</f>
        <v>0.6</v>
      </c>
      <c r="V283" s="7" t="str">
        <f>Tab_Data_Flows[[#This Row],[Flow_ID]]&amp;"_"&amp;"WC_"&amp;Tab_Data_Flows[[#This Row],[Flow_Data_Year]]</f>
        <v>F_01_02_WC_2080</v>
      </c>
      <c r="W283" s="7">
        <f>IF(D283="Yes",S283*Tab_Data_Flows[[#This Row],[WC_'[%']]],"N.A.")</f>
        <v>277545.71289543499</v>
      </c>
      <c r="X283" s="7" t="str">
        <f>Tab_Data_Flows[[#This Row],[UoM_Flow_Py]]</f>
        <v>Mg</v>
      </c>
      <c r="Y283" s="143">
        <f>INDEX(Tab_Def_Flows[[Flow_ID]:[CC_DM_source]],MATCH(Tab_Data_Flows[[#This Row],[Flow_Name]],Tab_Def_Flows[Flow_Name],0),14)</f>
        <v>0.4</v>
      </c>
      <c r="Z283" s="7" t="str">
        <f>Tab_Data_Flows[[#This Row],[Flow_ID]]&amp;"_"&amp;"DM_"&amp;Tab_Data_Flows[[#This Row],[Flow_Data_Year]]</f>
        <v>F_01_02_DM_2080</v>
      </c>
      <c r="AA283" s="7">
        <f>IF(E283="Yes",Y283*Tab_Data_Flows[[#This Row],[Flow_Material]],"N.A.")</f>
        <v>185030.47526362335</v>
      </c>
      <c r="AB283" s="7" t="str">
        <f>Tab_Data_Flows[[#This Row],[UoM_Flow_Py]]</f>
        <v>Mg</v>
      </c>
      <c r="AC283" s="143">
        <f>INDEX(Tab_Def_Flows[[Flow_ID]:[CC_DM_source]],MATCH(Tab_Data_Flows[[#This Row],[Flow_Name]],Tab_Def_Flows[Flow_Name],0),17)</f>
        <v>0</v>
      </c>
      <c r="AD283" s="7" t="str">
        <f>Tab_Data_Flows[[#This Row],[Flow_ID]]&amp;"_"&amp;"CC_"&amp;Tab_Data_Flows[[#This Row],[Flow_Data_Year]]</f>
        <v>F_01_02_CC_2080</v>
      </c>
      <c r="AE283" s="7">
        <f>IF(F283="Yes",AC283*Tab_Data_Flows[[#This Row],[Flow_Material]]*Tab_Data_Flows[[#This Row],[DM_'[%']]],"N.A.")</f>
        <v>0</v>
      </c>
      <c r="AF283" s="7" t="str">
        <f>Tab_Data_Flows[[#This Row],[UoM_Flow_Py]]</f>
        <v>Mg</v>
      </c>
      <c r="AG283"/>
    </row>
    <row r="284" spans="1:33" x14ac:dyDescent="0.25">
      <c r="A284" s="9">
        <f t="shared" si="4"/>
        <v>283</v>
      </c>
      <c r="B284" s="7" t="str">
        <f>_xlfn.XLOOKUP(C284,Tab_Def_Flows[Flow_Name],Tab_Def_Flows[Flow_ID],,0,)</f>
        <v>F_01_02</v>
      </c>
      <c r="C284" s="142" t="s">
        <v>599</v>
      </c>
      <c r="D284" s="10" t="str">
        <f>_xlfn.XLOOKUP(C284,Tab_Def_Flows[Flow_Name],Tab_Def_Flows[WC?],,0,)</f>
        <v>Yes</v>
      </c>
      <c r="E284" s="10" t="str">
        <f>_xlfn.XLOOKUP(C284,Tab_Def_Flows[Flow_Name],Tab_Def_Flows[DM?],,0,)</f>
        <v>Yes</v>
      </c>
      <c r="F284" s="10" t="str">
        <f>_xlfn.XLOOKUP(C284,Tab_Def_Flows[Flow_Name],Tab_Def_Flows[CC?],,0,)</f>
        <v>Yes</v>
      </c>
      <c r="G284" s="8">
        <v>2081</v>
      </c>
      <c r="H284" s="23">
        <v>342340.90196232917</v>
      </c>
      <c r="I284" s="8" t="s">
        <v>198</v>
      </c>
      <c r="J284" s="15"/>
      <c r="K284" s="15"/>
      <c r="L284" s="15"/>
      <c r="M284" s="15"/>
      <c r="N284" s="15"/>
      <c r="O284" s="8" t="s">
        <v>6</v>
      </c>
      <c r="P284" s="16"/>
      <c r="Q284" s="8"/>
      <c r="R284" s="7" t="str">
        <f>Tab_Data_Flows[[#This Row],[Flow_ID]]&amp;"_"&amp;"material_"&amp;Tab_Data_Flows[[#This Row],[Flow_Data_Year]]</f>
        <v>F_01_02_material_2081</v>
      </c>
      <c r="S284" s="14">
        <f>IF(O284="no",H284,H284*P284)</f>
        <v>342340.90196232917</v>
      </c>
      <c r="T284" s="8" t="s">
        <v>198</v>
      </c>
      <c r="U284" s="143">
        <f>INDEX(Tab_Def_Flows[[Flow_ID]:[CC_DM_source]],MATCH(Tab_Data_Flows[[#This Row],[Flow_Name]],Tab_Def_Flows[Flow_Name],0),11)</f>
        <v>0.6</v>
      </c>
      <c r="V284" s="7" t="str">
        <f>Tab_Data_Flows[[#This Row],[Flow_ID]]&amp;"_"&amp;"WC_"&amp;Tab_Data_Flows[[#This Row],[Flow_Data_Year]]</f>
        <v>F_01_02_WC_2081</v>
      </c>
      <c r="W284" s="7">
        <f>IF(D284="Yes",S284*Tab_Data_Flows[[#This Row],[WC_'[%']]],"N.A.")</f>
        <v>205404.54117739751</v>
      </c>
      <c r="X284" s="7" t="str">
        <f>Tab_Data_Flows[[#This Row],[UoM_Flow_Py]]</f>
        <v>Mg</v>
      </c>
      <c r="Y284" s="143">
        <f>INDEX(Tab_Def_Flows[[Flow_ID]:[CC_DM_source]],MATCH(Tab_Data_Flows[[#This Row],[Flow_Name]],Tab_Def_Flows[Flow_Name],0),14)</f>
        <v>0.4</v>
      </c>
      <c r="Z284" s="7" t="str">
        <f>Tab_Data_Flows[[#This Row],[Flow_ID]]&amp;"_"&amp;"DM_"&amp;Tab_Data_Flows[[#This Row],[Flow_Data_Year]]</f>
        <v>F_01_02_DM_2081</v>
      </c>
      <c r="AA284" s="7">
        <f>IF(E284="Yes",Y284*Tab_Data_Flows[[#This Row],[Flow_Material]],"N.A.")</f>
        <v>136936.36078493166</v>
      </c>
      <c r="AB284" s="7" t="str">
        <f>Tab_Data_Flows[[#This Row],[UoM_Flow_Py]]</f>
        <v>Mg</v>
      </c>
      <c r="AC284" s="143">
        <f>INDEX(Tab_Def_Flows[[Flow_ID]:[CC_DM_source]],MATCH(Tab_Data_Flows[[#This Row],[Flow_Name]],Tab_Def_Flows[Flow_Name],0),17)</f>
        <v>0</v>
      </c>
      <c r="AD284" s="7" t="str">
        <f>Tab_Data_Flows[[#This Row],[Flow_ID]]&amp;"_"&amp;"CC_"&amp;Tab_Data_Flows[[#This Row],[Flow_Data_Year]]</f>
        <v>F_01_02_CC_2081</v>
      </c>
      <c r="AE284" s="7">
        <f>IF(F284="Yes",AC284*Tab_Data_Flows[[#This Row],[Flow_Material]]*Tab_Data_Flows[[#This Row],[DM_'[%']]],"N.A.")</f>
        <v>0</v>
      </c>
      <c r="AF284" s="7" t="str">
        <f>Tab_Data_Flows[[#This Row],[UoM_Flow_Py]]</f>
        <v>Mg</v>
      </c>
      <c r="AG284"/>
    </row>
    <row r="285" spans="1:33" x14ac:dyDescent="0.25">
      <c r="A285" s="9">
        <f t="shared" si="4"/>
        <v>284</v>
      </c>
      <c r="B285" s="7" t="str">
        <f>_xlfn.XLOOKUP(C285,Tab_Def_Flows[Flow_Name],Tab_Def_Flows[Flow_ID],,0,)</f>
        <v>F_01_02</v>
      </c>
      <c r="C285" s="142" t="s">
        <v>599</v>
      </c>
      <c r="D285" s="10" t="str">
        <f>_xlfn.XLOOKUP(C285,Tab_Def_Flows[Flow_Name],Tab_Def_Flows[WC?],,0,)</f>
        <v>Yes</v>
      </c>
      <c r="E285" s="10" t="str">
        <f>_xlfn.XLOOKUP(C285,Tab_Def_Flows[Flow_Name],Tab_Def_Flows[DM?],,0,)</f>
        <v>Yes</v>
      </c>
      <c r="F285" s="10" t="str">
        <f>_xlfn.XLOOKUP(C285,Tab_Def_Flows[Flow_Name],Tab_Def_Flows[CC?],,0,)</f>
        <v>Yes</v>
      </c>
      <c r="G285" s="8">
        <v>2082</v>
      </c>
      <c r="H285" s="23">
        <v>366107.32472271286</v>
      </c>
      <c r="I285" s="8" t="s">
        <v>198</v>
      </c>
      <c r="J285" s="15"/>
      <c r="K285" s="15"/>
      <c r="L285" s="15"/>
      <c r="M285" s="15"/>
      <c r="N285" s="15"/>
      <c r="O285" s="8" t="s">
        <v>6</v>
      </c>
      <c r="P285" s="16"/>
      <c r="Q285" s="8"/>
      <c r="R285" s="7" t="str">
        <f>Tab_Data_Flows[[#This Row],[Flow_ID]]&amp;"_"&amp;"material_"&amp;Tab_Data_Flows[[#This Row],[Flow_Data_Year]]</f>
        <v>F_01_02_material_2082</v>
      </c>
      <c r="S285" s="14">
        <f>IF(O285="no",H285,H285*P285)</f>
        <v>366107.32472271286</v>
      </c>
      <c r="T285" s="8" t="s">
        <v>198</v>
      </c>
      <c r="U285" s="143">
        <f>INDEX(Tab_Def_Flows[[Flow_ID]:[CC_DM_source]],MATCH(Tab_Data_Flows[[#This Row],[Flow_Name]],Tab_Def_Flows[Flow_Name],0),11)</f>
        <v>0.6</v>
      </c>
      <c r="V285" s="7" t="str">
        <f>Tab_Data_Flows[[#This Row],[Flow_ID]]&amp;"_"&amp;"WC_"&amp;Tab_Data_Flows[[#This Row],[Flow_Data_Year]]</f>
        <v>F_01_02_WC_2082</v>
      </c>
      <c r="W285" s="7">
        <f>IF(D285="Yes",S285*Tab_Data_Flows[[#This Row],[WC_'[%']]],"N.A.")</f>
        <v>219664.39483362771</v>
      </c>
      <c r="X285" s="7" t="str">
        <f>Tab_Data_Flows[[#This Row],[UoM_Flow_Py]]</f>
        <v>Mg</v>
      </c>
      <c r="Y285" s="143">
        <f>INDEX(Tab_Def_Flows[[Flow_ID]:[CC_DM_source]],MATCH(Tab_Data_Flows[[#This Row],[Flow_Name]],Tab_Def_Flows[Flow_Name],0),14)</f>
        <v>0.4</v>
      </c>
      <c r="Z285" s="7" t="str">
        <f>Tab_Data_Flows[[#This Row],[Flow_ID]]&amp;"_"&amp;"DM_"&amp;Tab_Data_Flows[[#This Row],[Flow_Data_Year]]</f>
        <v>F_01_02_DM_2082</v>
      </c>
      <c r="AA285" s="7">
        <f>IF(E285="Yes",Y285*Tab_Data_Flows[[#This Row],[Flow_Material]],"N.A.")</f>
        <v>146442.92988908515</v>
      </c>
      <c r="AB285" s="7" t="str">
        <f>Tab_Data_Flows[[#This Row],[UoM_Flow_Py]]</f>
        <v>Mg</v>
      </c>
      <c r="AC285" s="143">
        <f>INDEX(Tab_Def_Flows[[Flow_ID]:[CC_DM_source]],MATCH(Tab_Data_Flows[[#This Row],[Flow_Name]],Tab_Def_Flows[Flow_Name],0),17)</f>
        <v>0</v>
      </c>
      <c r="AD285" s="7" t="str">
        <f>Tab_Data_Flows[[#This Row],[Flow_ID]]&amp;"_"&amp;"CC_"&amp;Tab_Data_Flows[[#This Row],[Flow_Data_Year]]</f>
        <v>F_01_02_CC_2082</v>
      </c>
      <c r="AE285" s="7">
        <f>IF(F285="Yes",AC285*Tab_Data_Flows[[#This Row],[Flow_Material]]*Tab_Data_Flows[[#This Row],[DM_'[%']]],"N.A.")</f>
        <v>0</v>
      </c>
      <c r="AF285" s="7" t="str">
        <f>Tab_Data_Flows[[#This Row],[UoM_Flow_Py]]</f>
        <v>Mg</v>
      </c>
      <c r="AG285"/>
    </row>
    <row r="286" spans="1:33" x14ac:dyDescent="0.25">
      <c r="A286" s="9">
        <f t="shared" si="4"/>
        <v>285</v>
      </c>
      <c r="B286" s="7" t="str">
        <f>_xlfn.XLOOKUP(C286,Tab_Def_Flows[Flow_Name],Tab_Def_Flows[Flow_ID],,0,)</f>
        <v>F_01_02</v>
      </c>
      <c r="C286" s="142" t="s">
        <v>599</v>
      </c>
      <c r="D286" s="10" t="str">
        <f>_xlfn.XLOOKUP(C286,Tab_Def_Flows[Flow_Name],Tab_Def_Flows[WC?],,0,)</f>
        <v>Yes</v>
      </c>
      <c r="E286" s="10" t="str">
        <f>_xlfn.XLOOKUP(C286,Tab_Def_Flows[Flow_Name],Tab_Def_Flows[DM?],,0,)</f>
        <v>Yes</v>
      </c>
      <c r="F286" s="10" t="str">
        <f>_xlfn.XLOOKUP(C286,Tab_Def_Flows[Flow_Name],Tab_Def_Flows[CC?],,0,)</f>
        <v>Yes</v>
      </c>
      <c r="G286" s="8">
        <v>2083</v>
      </c>
      <c r="H286" s="23">
        <v>424626.67753140721</v>
      </c>
      <c r="I286" s="8" t="s">
        <v>198</v>
      </c>
      <c r="J286" s="15"/>
      <c r="K286" s="15"/>
      <c r="L286" s="15"/>
      <c r="M286" s="15"/>
      <c r="N286" s="15"/>
      <c r="O286" s="8" t="s">
        <v>6</v>
      </c>
      <c r="P286" s="16"/>
      <c r="Q286" s="8"/>
      <c r="R286" s="7" t="str">
        <f>Tab_Data_Flows[[#This Row],[Flow_ID]]&amp;"_"&amp;"material_"&amp;Tab_Data_Flows[[#This Row],[Flow_Data_Year]]</f>
        <v>F_01_02_material_2083</v>
      </c>
      <c r="S286" s="14">
        <f>IF(O286="no",H286,H286*P286)</f>
        <v>424626.67753140721</v>
      </c>
      <c r="T286" s="8" t="s">
        <v>198</v>
      </c>
      <c r="U286" s="143">
        <f>INDEX(Tab_Def_Flows[[Flow_ID]:[CC_DM_source]],MATCH(Tab_Data_Flows[[#This Row],[Flow_Name]],Tab_Def_Flows[Flow_Name],0),11)</f>
        <v>0.6</v>
      </c>
      <c r="V286" s="7" t="str">
        <f>Tab_Data_Flows[[#This Row],[Flow_ID]]&amp;"_"&amp;"WC_"&amp;Tab_Data_Flows[[#This Row],[Flow_Data_Year]]</f>
        <v>F_01_02_WC_2083</v>
      </c>
      <c r="W286" s="7">
        <f>IF(D286="Yes",S286*Tab_Data_Flows[[#This Row],[WC_'[%']]],"N.A.")</f>
        <v>254776.00651884431</v>
      </c>
      <c r="X286" s="7" t="str">
        <f>Tab_Data_Flows[[#This Row],[UoM_Flow_Py]]</f>
        <v>Mg</v>
      </c>
      <c r="Y286" s="143">
        <f>INDEX(Tab_Def_Flows[[Flow_ID]:[CC_DM_source]],MATCH(Tab_Data_Flows[[#This Row],[Flow_Name]],Tab_Def_Flows[Flow_Name],0),14)</f>
        <v>0.4</v>
      </c>
      <c r="Z286" s="7" t="str">
        <f>Tab_Data_Flows[[#This Row],[Flow_ID]]&amp;"_"&amp;"DM_"&amp;Tab_Data_Flows[[#This Row],[Flow_Data_Year]]</f>
        <v>F_01_02_DM_2083</v>
      </c>
      <c r="AA286" s="7">
        <f>IF(E286="Yes",Y286*Tab_Data_Flows[[#This Row],[Flow_Material]],"N.A.")</f>
        <v>169850.6710125629</v>
      </c>
      <c r="AB286" s="7" t="str">
        <f>Tab_Data_Flows[[#This Row],[UoM_Flow_Py]]</f>
        <v>Mg</v>
      </c>
      <c r="AC286" s="143">
        <f>INDEX(Tab_Def_Flows[[Flow_ID]:[CC_DM_source]],MATCH(Tab_Data_Flows[[#This Row],[Flow_Name]],Tab_Def_Flows[Flow_Name],0),17)</f>
        <v>0</v>
      </c>
      <c r="AD286" s="7" t="str">
        <f>Tab_Data_Flows[[#This Row],[Flow_ID]]&amp;"_"&amp;"CC_"&amp;Tab_Data_Flows[[#This Row],[Flow_Data_Year]]</f>
        <v>F_01_02_CC_2083</v>
      </c>
      <c r="AE286" s="7">
        <f>IF(F286="Yes",AC286*Tab_Data_Flows[[#This Row],[Flow_Material]]*Tab_Data_Flows[[#This Row],[DM_'[%']]],"N.A.")</f>
        <v>0</v>
      </c>
      <c r="AF286" s="7" t="str">
        <f>Tab_Data_Flows[[#This Row],[UoM_Flow_Py]]</f>
        <v>Mg</v>
      </c>
      <c r="AG286"/>
    </row>
    <row r="287" spans="1:33" x14ac:dyDescent="0.25">
      <c r="A287" s="9">
        <f t="shared" si="4"/>
        <v>286</v>
      </c>
      <c r="B287" s="7" t="str">
        <f>_xlfn.XLOOKUP(C287,Tab_Def_Flows[Flow_Name],Tab_Def_Flows[Flow_ID],,0,)</f>
        <v>F_01_02</v>
      </c>
      <c r="C287" s="142" t="s">
        <v>599</v>
      </c>
      <c r="D287" s="10" t="str">
        <f>_xlfn.XLOOKUP(C287,Tab_Def_Flows[Flow_Name],Tab_Def_Flows[WC?],,0,)</f>
        <v>Yes</v>
      </c>
      <c r="E287" s="10" t="str">
        <f>_xlfn.XLOOKUP(C287,Tab_Def_Flows[Flow_Name],Tab_Def_Flows[DM?],,0,)</f>
        <v>Yes</v>
      </c>
      <c r="F287" s="10" t="str">
        <f>_xlfn.XLOOKUP(C287,Tab_Def_Flows[Flow_Name],Tab_Def_Flows[CC?],,0,)</f>
        <v>Yes</v>
      </c>
      <c r="G287" s="8">
        <v>2084</v>
      </c>
      <c r="H287" s="23">
        <v>319274.33100096189</v>
      </c>
      <c r="I287" s="8" t="s">
        <v>198</v>
      </c>
      <c r="J287" s="15"/>
      <c r="K287" s="15"/>
      <c r="L287" s="15"/>
      <c r="M287" s="15"/>
      <c r="N287" s="15"/>
      <c r="O287" s="8" t="s">
        <v>6</v>
      </c>
      <c r="P287" s="16"/>
      <c r="Q287" s="8"/>
      <c r="R287" s="7" t="str">
        <f>Tab_Data_Flows[[#This Row],[Flow_ID]]&amp;"_"&amp;"material_"&amp;Tab_Data_Flows[[#This Row],[Flow_Data_Year]]</f>
        <v>F_01_02_material_2084</v>
      </c>
      <c r="S287" s="14">
        <f>IF(O287="no",H287,H287*P287)</f>
        <v>319274.33100096189</v>
      </c>
      <c r="T287" s="8" t="s">
        <v>198</v>
      </c>
      <c r="U287" s="143">
        <f>INDEX(Tab_Def_Flows[[Flow_ID]:[CC_DM_source]],MATCH(Tab_Data_Flows[[#This Row],[Flow_Name]],Tab_Def_Flows[Flow_Name],0),11)</f>
        <v>0.6</v>
      </c>
      <c r="V287" s="7" t="str">
        <f>Tab_Data_Flows[[#This Row],[Flow_ID]]&amp;"_"&amp;"WC_"&amp;Tab_Data_Flows[[#This Row],[Flow_Data_Year]]</f>
        <v>F_01_02_WC_2084</v>
      </c>
      <c r="W287" s="7">
        <f>IF(D287="Yes",S287*Tab_Data_Flows[[#This Row],[WC_'[%']]],"N.A.")</f>
        <v>191564.59860057713</v>
      </c>
      <c r="X287" s="7" t="str">
        <f>Tab_Data_Flows[[#This Row],[UoM_Flow_Py]]</f>
        <v>Mg</v>
      </c>
      <c r="Y287" s="143">
        <f>INDEX(Tab_Def_Flows[[Flow_ID]:[CC_DM_source]],MATCH(Tab_Data_Flows[[#This Row],[Flow_Name]],Tab_Def_Flows[Flow_Name],0),14)</f>
        <v>0.4</v>
      </c>
      <c r="Z287" s="7" t="str">
        <f>Tab_Data_Flows[[#This Row],[Flow_ID]]&amp;"_"&amp;"DM_"&amp;Tab_Data_Flows[[#This Row],[Flow_Data_Year]]</f>
        <v>F_01_02_DM_2084</v>
      </c>
      <c r="AA287" s="7">
        <f>IF(E287="Yes",Y287*Tab_Data_Flows[[#This Row],[Flow_Material]],"N.A.")</f>
        <v>127709.73240038476</v>
      </c>
      <c r="AB287" s="7" t="str">
        <f>Tab_Data_Flows[[#This Row],[UoM_Flow_Py]]</f>
        <v>Mg</v>
      </c>
      <c r="AC287" s="143">
        <f>INDEX(Tab_Def_Flows[[Flow_ID]:[CC_DM_source]],MATCH(Tab_Data_Flows[[#This Row],[Flow_Name]],Tab_Def_Flows[Flow_Name],0),17)</f>
        <v>0</v>
      </c>
      <c r="AD287" s="7" t="str">
        <f>Tab_Data_Flows[[#This Row],[Flow_ID]]&amp;"_"&amp;"CC_"&amp;Tab_Data_Flows[[#This Row],[Flow_Data_Year]]</f>
        <v>F_01_02_CC_2084</v>
      </c>
      <c r="AE287" s="7">
        <f>IF(F287="Yes",AC287*Tab_Data_Flows[[#This Row],[Flow_Material]]*Tab_Data_Flows[[#This Row],[DM_'[%']]],"N.A.")</f>
        <v>0</v>
      </c>
      <c r="AF287" s="7" t="str">
        <f>Tab_Data_Flows[[#This Row],[UoM_Flow_Py]]</f>
        <v>Mg</v>
      </c>
      <c r="AG287"/>
    </row>
    <row r="288" spans="1:33" x14ac:dyDescent="0.25">
      <c r="A288" s="9">
        <f t="shared" si="4"/>
        <v>287</v>
      </c>
      <c r="B288" s="7" t="str">
        <f>_xlfn.XLOOKUP(C288,Tab_Def_Flows[Flow_Name],Tab_Def_Flows[Flow_ID],,0,)</f>
        <v>F_01_02</v>
      </c>
      <c r="C288" s="142" t="s">
        <v>599</v>
      </c>
      <c r="D288" s="10" t="str">
        <f>_xlfn.XLOOKUP(C288,Tab_Def_Flows[Flow_Name],Tab_Def_Flows[WC?],,0,)</f>
        <v>Yes</v>
      </c>
      <c r="E288" s="10" t="str">
        <f>_xlfn.XLOOKUP(C288,Tab_Def_Flows[Flow_Name],Tab_Def_Flows[DM?],,0,)</f>
        <v>Yes</v>
      </c>
      <c r="F288" s="10" t="str">
        <f>_xlfn.XLOOKUP(C288,Tab_Def_Flows[Flow_Name],Tab_Def_Flows[CC?],,0,)</f>
        <v>Yes</v>
      </c>
      <c r="G288" s="8">
        <v>2085</v>
      </c>
      <c r="H288" s="23">
        <v>394425.60746708675</v>
      </c>
      <c r="I288" s="8" t="s">
        <v>198</v>
      </c>
      <c r="J288" s="15"/>
      <c r="K288" s="15"/>
      <c r="L288" s="15"/>
      <c r="M288" s="15"/>
      <c r="N288" s="15"/>
      <c r="O288" s="8" t="s">
        <v>6</v>
      </c>
      <c r="P288" s="16"/>
      <c r="Q288" s="8"/>
      <c r="R288" s="7" t="str">
        <f>Tab_Data_Flows[[#This Row],[Flow_ID]]&amp;"_"&amp;"material_"&amp;Tab_Data_Flows[[#This Row],[Flow_Data_Year]]</f>
        <v>F_01_02_material_2085</v>
      </c>
      <c r="S288" s="14">
        <f>IF(O288="no",H288,H288*P288)</f>
        <v>394425.60746708675</v>
      </c>
      <c r="T288" s="8" t="s">
        <v>198</v>
      </c>
      <c r="U288" s="143">
        <f>INDEX(Tab_Def_Flows[[Flow_ID]:[CC_DM_source]],MATCH(Tab_Data_Flows[[#This Row],[Flow_Name]],Tab_Def_Flows[Flow_Name],0),11)</f>
        <v>0.6</v>
      </c>
      <c r="V288" s="7" t="str">
        <f>Tab_Data_Flows[[#This Row],[Flow_ID]]&amp;"_"&amp;"WC_"&amp;Tab_Data_Flows[[#This Row],[Flow_Data_Year]]</f>
        <v>F_01_02_WC_2085</v>
      </c>
      <c r="W288" s="7">
        <f>IF(D288="Yes",S288*Tab_Data_Flows[[#This Row],[WC_'[%']]],"N.A.")</f>
        <v>236655.36448025203</v>
      </c>
      <c r="X288" s="7" t="str">
        <f>Tab_Data_Flows[[#This Row],[UoM_Flow_Py]]</f>
        <v>Mg</v>
      </c>
      <c r="Y288" s="143">
        <f>INDEX(Tab_Def_Flows[[Flow_ID]:[CC_DM_source]],MATCH(Tab_Data_Flows[[#This Row],[Flow_Name]],Tab_Def_Flows[Flow_Name],0),14)</f>
        <v>0.4</v>
      </c>
      <c r="Z288" s="7" t="str">
        <f>Tab_Data_Flows[[#This Row],[Flow_ID]]&amp;"_"&amp;"DM_"&amp;Tab_Data_Flows[[#This Row],[Flow_Data_Year]]</f>
        <v>F_01_02_DM_2085</v>
      </c>
      <c r="AA288" s="7">
        <f>IF(E288="Yes",Y288*Tab_Data_Flows[[#This Row],[Flow_Material]],"N.A.")</f>
        <v>157770.24298683472</v>
      </c>
      <c r="AB288" s="7" t="str">
        <f>Tab_Data_Flows[[#This Row],[UoM_Flow_Py]]</f>
        <v>Mg</v>
      </c>
      <c r="AC288" s="143">
        <f>INDEX(Tab_Def_Flows[[Flow_ID]:[CC_DM_source]],MATCH(Tab_Data_Flows[[#This Row],[Flow_Name]],Tab_Def_Flows[Flow_Name],0),17)</f>
        <v>0</v>
      </c>
      <c r="AD288" s="7" t="str">
        <f>Tab_Data_Flows[[#This Row],[Flow_ID]]&amp;"_"&amp;"CC_"&amp;Tab_Data_Flows[[#This Row],[Flow_Data_Year]]</f>
        <v>F_01_02_CC_2085</v>
      </c>
      <c r="AE288" s="7">
        <f>IF(F288="Yes",AC288*Tab_Data_Flows[[#This Row],[Flow_Material]]*Tab_Data_Flows[[#This Row],[DM_'[%']]],"N.A.")</f>
        <v>0</v>
      </c>
      <c r="AF288" s="7" t="str">
        <f>Tab_Data_Flows[[#This Row],[UoM_Flow_Py]]</f>
        <v>Mg</v>
      </c>
      <c r="AG288"/>
    </row>
    <row r="289" spans="1:33" x14ac:dyDescent="0.25">
      <c r="A289" s="9">
        <f t="shared" si="4"/>
        <v>288</v>
      </c>
      <c r="B289" s="7" t="str">
        <f>_xlfn.XLOOKUP(C289,Tab_Def_Flows[Flow_Name],Tab_Def_Flows[Flow_ID],,0,)</f>
        <v>F_01_02</v>
      </c>
      <c r="C289" s="142" t="s">
        <v>599</v>
      </c>
      <c r="D289" s="10" t="str">
        <f>_xlfn.XLOOKUP(C289,Tab_Def_Flows[Flow_Name],Tab_Def_Flows[WC?],,0,)</f>
        <v>Yes</v>
      </c>
      <c r="E289" s="10" t="str">
        <f>_xlfn.XLOOKUP(C289,Tab_Def_Flows[Flow_Name],Tab_Def_Flows[DM?],,0,)</f>
        <v>Yes</v>
      </c>
      <c r="F289" s="10" t="str">
        <f>_xlfn.XLOOKUP(C289,Tab_Def_Flows[Flow_Name],Tab_Def_Flows[CC?],,0,)</f>
        <v>Yes</v>
      </c>
      <c r="G289" s="8">
        <v>2086</v>
      </c>
      <c r="H289" s="23">
        <v>450064.49711704708</v>
      </c>
      <c r="I289" s="8" t="s">
        <v>198</v>
      </c>
      <c r="J289" s="15"/>
      <c r="K289" s="15"/>
      <c r="L289" s="15"/>
      <c r="M289" s="15"/>
      <c r="N289" s="15"/>
      <c r="O289" s="8" t="s">
        <v>6</v>
      </c>
      <c r="P289" s="16"/>
      <c r="Q289" s="8"/>
      <c r="R289" s="7" t="str">
        <f>Tab_Data_Flows[[#This Row],[Flow_ID]]&amp;"_"&amp;"material_"&amp;Tab_Data_Flows[[#This Row],[Flow_Data_Year]]</f>
        <v>F_01_02_material_2086</v>
      </c>
      <c r="S289" s="14">
        <f>IF(O289="no",H289,H289*P289)</f>
        <v>450064.49711704708</v>
      </c>
      <c r="T289" s="8" t="s">
        <v>198</v>
      </c>
      <c r="U289" s="143">
        <f>INDEX(Tab_Def_Flows[[Flow_ID]:[CC_DM_source]],MATCH(Tab_Data_Flows[[#This Row],[Flow_Name]],Tab_Def_Flows[Flow_Name],0),11)</f>
        <v>0.6</v>
      </c>
      <c r="V289" s="7" t="str">
        <f>Tab_Data_Flows[[#This Row],[Flow_ID]]&amp;"_"&amp;"WC_"&amp;Tab_Data_Flows[[#This Row],[Flow_Data_Year]]</f>
        <v>F_01_02_WC_2086</v>
      </c>
      <c r="W289" s="7">
        <f>IF(D289="Yes",S289*Tab_Data_Flows[[#This Row],[WC_'[%']]],"N.A.")</f>
        <v>270038.69827022823</v>
      </c>
      <c r="X289" s="7" t="str">
        <f>Tab_Data_Flows[[#This Row],[UoM_Flow_Py]]</f>
        <v>Mg</v>
      </c>
      <c r="Y289" s="143">
        <f>INDEX(Tab_Def_Flows[[Flow_ID]:[CC_DM_source]],MATCH(Tab_Data_Flows[[#This Row],[Flow_Name]],Tab_Def_Flows[Flow_Name],0),14)</f>
        <v>0.4</v>
      </c>
      <c r="Z289" s="7" t="str">
        <f>Tab_Data_Flows[[#This Row],[Flow_ID]]&amp;"_"&amp;"DM_"&amp;Tab_Data_Flows[[#This Row],[Flow_Data_Year]]</f>
        <v>F_01_02_DM_2086</v>
      </c>
      <c r="AA289" s="7">
        <f>IF(E289="Yes",Y289*Tab_Data_Flows[[#This Row],[Flow_Material]],"N.A.")</f>
        <v>180025.79884681886</v>
      </c>
      <c r="AB289" s="7" t="str">
        <f>Tab_Data_Flows[[#This Row],[UoM_Flow_Py]]</f>
        <v>Mg</v>
      </c>
      <c r="AC289" s="143">
        <f>INDEX(Tab_Def_Flows[[Flow_ID]:[CC_DM_source]],MATCH(Tab_Data_Flows[[#This Row],[Flow_Name]],Tab_Def_Flows[Flow_Name],0),17)</f>
        <v>0</v>
      </c>
      <c r="AD289" s="7" t="str">
        <f>Tab_Data_Flows[[#This Row],[Flow_ID]]&amp;"_"&amp;"CC_"&amp;Tab_Data_Flows[[#This Row],[Flow_Data_Year]]</f>
        <v>F_01_02_CC_2086</v>
      </c>
      <c r="AE289" s="7">
        <f>IF(F289="Yes",AC289*Tab_Data_Flows[[#This Row],[Flow_Material]]*Tab_Data_Flows[[#This Row],[DM_'[%']]],"N.A.")</f>
        <v>0</v>
      </c>
      <c r="AF289" s="7" t="str">
        <f>Tab_Data_Flows[[#This Row],[UoM_Flow_Py]]</f>
        <v>Mg</v>
      </c>
      <c r="AG289"/>
    </row>
    <row r="290" spans="1:33" x14ac:dyDescent="0.25">
      <c r="A290" s="9">
        <f t="shared" si="4"/>
        <v>289</v>
      </c>
      <c r="B290" s="7" t="str">
        <f>_xlfn.XLOOKUP(C290,Tab_Def_Flows[Flow_Name],Tab_Def_Flows[Flow_ID],,0,)</f>
        <v>F_01_02</v>
      </c>
      <c r="C290" s="142" t="s">
        <v>599</v>
      </c>
      <c r="D290" s="10" t="str">
        <f>_xlfn.XLOOKUP(C290,Tab_Def_Flows[Flow_Name],Tab_Def_Flows[WC?],,0,)</f>
        <v>Yes</v>
      </c>
      <c r="E290" s="10" t="str">
        <f>_xlfn.XLOOKUP(C290,Tab_Def_Flows[Flow_Name],Tab_Def_Flows[DM?],,0,)</f>
        <v>Yes</v>
      </c>
      <c r="F290" s="10" t="str">
        <f>_xlfn.XLOOKUP(C290,Tab_Def_Flows[Flow_Name],Tab_Def_Flows[CC?],,0,)</f>
        <v>Yes</v>
      </c>
      <c r="G290" s="8">
        <v>2087</v>
      </c>
      <c r="H290" s="23">
        <v>299866.16960036237</v>
      </c>
      <c r="I290" s="8" t="s">
        <v>198</v>
      </c>
      <c r="J290" s="15"/>
      <c r="K290" s="15"/>
      <c r="L290" s="15"/>
      <c r="M290" s="15"/>
      <c r="N290" s="15"/>
      <c r="O290" s="8" t="s">
        <v>6</v>
      </c>
      <c r="P290" s="16"/>
      <c r="Q290" s="8"/>
      <c r="R290" s="7" t="str">
        <f>Tab_Data_Flows[[#This Row],[Flow_ID]]&amp;"_"&amp;"material_"&amp;Tab_Data_Flows[[#This Row],[Flow_Data_Year]]</f>
        <v>F_01_02_material_2087</v>
      </c>
      <c r="S290" s="14">
        <f>IF(O290="no",H290,H290*P290)</f>
        <v>299866.16960036237</v>
      </c>
      <c r="T290" s="8" t="s">
        <v>198</v>
      </c>
      <c r="U290" s="143">
        <f>INDEX(Tab_Def_Flows[[Flow_ID]:[CC_DM_source]],MATCH(Tab_Data_Flows[[#This Row],[Flow_Name]],Tab_Def_Flows[Flow_Name],0),11)</f>
        <v>0.6</v>
      </c>
      <c r="V290" s="7" t="str">
        <f>Tab_Data_Flows[[#This Row],[Flow_ID]]&amp;"_"&amp;"WC_"&amp;Tab_Data_Flows[[#This Row],[Flow_Data_Year]]</f>
        <v>F_01_02_WC_2087</v>
      </c>
      <c r="W290" s="7">
        <f>IF(D290="Yes",S290*Tab_Data_Flows[[#This Row],[WC_'[%']]],"N.A.")</f>
        <v>179919.7017602174</v>
      </c>
      <c r="X290" s="7" t="str">
        <f>Tab_Data_Flows[[#This Row],[UoM_Flow_Py]]</f>
        <v>Mg</v>
      </c>
      <c r="Y290" s="143">
        <f>INDEX(Tab_Def_Flows[[Flow_ID]:[CC_DM_source]],MATCH(Tab_Data_Flows[[#This Row],[Flow_Name]],Tab_Def_Flows[Flow_Name],0),14)</f>
        <v>0.4</v>
      </c>
      <c r="Z290" s="7" t="str">
        <f>Tab_Data_Flows[[#This Row],[Flow_ID]]&amp;"_"&amp;"DM_"&amp;Tab_Data_Flows[[#This Row],[Flow_Data_Year]]</f>
        <v>F_01_02_DM_2087</v>
      </c>
      <c r="AA290" s="7">
        <f>IF(E290="Yes",Y290*Tab_Data_Flows[[#This Row],[Flow_Material]],"N.A.")</f>
        <v>119946.46784014495</v>
      </c>
      <c r="AB290" s="7" t="str">
        <f>Tab_Data_Flows[[#This Row],[UoM_Flow_Py]]</f>
        <v>Mg</v>
      </c>
      <c r="AC290" s="143">
        <f>INDEX(Tab_Def_Flows[[Flow_ID]:[CC_DM_source]],MATCH(Tab_Data_Flows[[#This Row],[Flow_Name]],Tab_Def_Flows[Flow_Name],0),17)</f>
        <v>0</v>
      </c>
      <c r="AD290" s="7" t="str">
        <f>Tab_Data_Flows[[#This Row],[Flow_ID]]&amp;"_"&amp;"CC_"&amp;Tab_Data_Flows[[#This Row],[Flow_Data_Year]]</f>
        <v>F_01_02_CC_2087</v>
      </c>
      <c r="AE290" s="7">
        <f>IF(F290="Yes",AC290*Tab_Data_Flows[[#This Row],[Flow_Material]]*Tab_Data_Flows[[#This Row],[DM_'[%']]],"N.A.")</f>
        <v>0</v>
      </c>
      <c r="AF290" s="7" t="str">
        <f>Tab_Data_Flows[[#This Row],[UoM_Flow_Py]]</f>
        <v>Mg</v>
      </c>
      <c r="AG290"/>
    </row>
    <row r="291" spans="1:33" x14ac:dyDescent="0.25">
      <c r="A291" s="9">
        <f t="shared" si="4"/>
        <v>290</v>
      </c>
      <c r="B291" s="7" t="str">
        <f>_xlfn.XLOOKUP(C291,Tab_Def_Flows[Flow_Name],Tab_Def_Flows[Flow_ID],,0,)</f>
        <v>F_01_02</v>
      </c>
      <c r="C291" s="142" t="s">
        <v>599</v>
      </c>
      <c r="D291" s="10" t="str">
        <f>_xlfn.XLOOKUP(C291,Tab_Def_Flows[Flow_Name],Tab_Def_Flows[WC?],,0,)</f>
        <v>Yes</v>
      </c>
      <c r="E291" s="10" t="str">
        <f>_xlfn.XLOOKUP(C291,Tab_Def_Flows[Flow_Name],Tab_Def_Flows[DM?],,0,)</f>
        <v>Yes</v>
      </c>
      <c r="F291" s="10" t="str">
        <f>_xlfn.XLOOKUP(C291,Tab_Def_Flows[Flow_Name],Tab_Def_Flows[CC?],,0,)</f>
        <v>Yes</v>
      </c>
      <c r="G291" s="8">
        <v>2088</v>
      </c>
      <c r="H291" s="23">
        <v>392218.66735720233</v>
      </c>
      <c r="I291" s="8" t="s">
        <v>198</v>
      </c>
      <c r="J291" s="15"/>
      <c r="K291" s="15"/>
      <c r="L291" s="15"/>
      <c r="M291" s="15"/>
      <c r="N291" s="15"/>
      <c r="O291" s="8" t="s">
        <v>6</v>
      </c>
      <c r="P291" s="16"/>
      <c r="Q291" s="8"/>
      <c r="R291" s="7" t="str">
        <f>Tab_Data_Flows[[#This Row],[Flow_ID]]&amp;"_"&amp;"material_"&amp;Tab_Data_Flows[[#This Row],[Flow_Data_Year]]</f>
        <v>F_01_02_material_2088</v>
      </c>
      <c r="S291" s="14">
        <f>IF(O291="no",H291,H291*P291)</f>
        <v>392218.66735720233</v>
      </c>
      <c r="T291" s="8" t="s">
        <v>198</v>
      </c>
      <c r="U291" s="143">
        <f>INDEX(Tab_Def_Flows[[Flow_ID]:[CC_DM_source]],MATCH(Tab_Data_Flows[[#This Row],[Flow_Name]],Tab_Def_Flows[Flow_Name],0),11)</f>
        <v>0.6</v>
      </c>
      <c r="V291" s="7" t="str">
        <f>Tab_Data_Flows[[#This Row],[Flow_ID]]&amp;"_"&amp;"WC_"&amp;Tab_Data_Flows[[#This Row],[Flow_Data_Year]]</f>
        <v>F_01_02_WC_2088</v>
      </c>
      <c r="W291" s="7">
        <f>IF(D291="Yes",S291*Tab_Data_Flows[[#This Row],[WC_'[%']]],"N.A.")</f>
        <v>235331.20041432139</v>
      </c>
      <c r="X291" s="7" t="str">
        <f>Tab_Data_Flows[[#This Row],[UoM_Flow_Py]]</f>
        <v>Mg</v>
      </c>
      <c r="Y291" s="143">
        <f>INDEX(Tab_Def_Flows[[Flow_ID]:[CC_DM_source]],MATCH(Tab_Data_Flows[[#This Row],[Flow_Name]],Tab_Def_Flows[Flow_Name],0),14)</f>
        <v>0.4</v>
      </c>
      <c r="Z291" s="7" t="str">
        <f>Tab_Data_Flows[[#This Row],[Flow_ID]]&amp;"_"&amp;"DM_"&amp;Tab_Data_Flows[[#This Row],[Flow_Data_Year]]</f>
        <v>F_01_02_DM_2088</v>
      </c>
      <c r="AA291" s="7">
        <f>IF(E291="Yes",Y291*Tab_Data_Flows[[#This Row],[Flow_Material]],"N.A.")</f>
        <v>156887.46694288094</v>
      </c>
      <c r="AB291" s="7" t="str">
        <f>Tab_Data_Flows[[#This Row],[UoM_Flow_Py]]</f>
        <v>Mg</v>
      </c>
      <c r="AC291" s="143">
        <f>INDEX(Tab_Def_Flows[[Flow_ID]:[CC_DM_source]],MATCH(Tab_Data_Flows[[#This Row],[Flow_Name]],Tab_Def_Flows[Flow_Name],0),17)</f>
        <v>0</v>
      </c>
      <c r="AD291" s="7" t="str">
        <f>Tab_Data_Flows[[#This Row],[Flow_ID]]&amp;"_"&amp;"CC_"&amp;Tab_Data_Flows[[#This Row],[Flow_Data_Year]]</f>
        <v>F_01_02_CC_2088</v>
      </c>
      <c r="AE291" s="7">
        <f>IF(F291="Yes",AC291*Tab_Data_Flows[[#This Row],[Flow_Material]]*Tab_Data_Flows[[#This Row],[DM_'[%']]],"N.A.")</f>
        <v>0</v>
      </c>
      <c r="AF291" s="7" t="str">
        <f>Tab_Data_Flows[[#This Row],[UoM_Flow_Py]]</f>
        <v>Mg</v>
      </c>
      <c r="AG291"/>
    </row>
    <row r="292" spans="1:33" x14ac:dyDescent="0.25">
      <c r="A292" s="9">
        <f t="shared" si="4"/>
        <v>291</v>
      </c>
      <c r="B292" s="7" t="str">
        <f>_xlfn.XLOOKUP(C292,Tab_Def_Flows[Flow_Name],Tab_Def_Flows[Flow_ID],,0,)</f>
        <v>F_01_02</v>
      </c>
      <c r="C292" s="142" t="s">
        <v>599</v>
      </c>
      <c r="D292" s="10" t="str">
        <f>_xlfn.XLOOKUP(C292,Tab_Def_Flows[Flow_Name],Tab_Def_Flows[WC?],,0,)</f>
        <v>Yes</v>
      </c>
      <c r="E292" s="10" t="str">
        <f>_xlfn.XLOOKUP(C292,Tab_Def_Flows[Flow_Name],Tab_Def_Flows[DM?],,0,)</f>
        <v>Yes</v>
      </c>
      <c r="F292" s="10" t="str">
        <f>_xlfn.XLOOKUP(C292,Tab_Def_Flows[Flow_Name],Tab_Def_Flows[CC?],,0,)</f>
        <v>Yes</v>
      </c>
      <c r="G292" s="8">
        <v>2089</v>
      </c>
      <c r="H292" s="23">
        <v>396096.44252809335</v>
      </c>
      <c r="I292" s="8" t="s">
        <v>198</v>
      </c>
      <c r="J292" s="15"/>
      <c r="K292" s="15"/>
      <c r="L292" s="15"/>
      <c r="M292" s="15"/>
      <c r="N292" s="15"/>
      <c r="O292" s="8" t="s">
        <v>6</v>
      </c>
      <c r="P292" s="16"/>
      <c r="Q292" s="8"/>
      <c r="R292" s="7" t="str">
        <f>Tab_Data_Flows[[#This Row],[Flow_ID]]&amp;"_"&amp;"material_"&amp;Tab_Data_Flows[[#This Row],[Flow_Data_Year]]</f>
        <v>F_01_02_material_2089</v>
      </c>
      <c r="S292" s="14">
        <f>IF(O292="no",H292,H292*P292)</f>
        <v>396096.44252809335</v>
      </c>
      <c r="T292" s="8" t="s">
        <v>198</v>
      </c>
      <c r="U292" s="143">
        <f>INDEX(Tab_Def_Flows[[Flow_ID]:[CC_DM_source]],MATCH(Tab_Data_Flows[[#This Row],[Flow_Name]],Tab_Def_Flows[Flow_Name],0),11)</f>
        <v>0.6</v>
      </c>
      <c r="V292" s="7" t="str">
        <f>Tab_Data_Flows[[#This Row],[Flow_ID]]&amp;"_"&amp;"WC_"&amp;Tab_Data_Flows[[#This Row],[Flow_Data_Year]]</f>
        <v>F_01_02_WC_2089</v>
      </c>
      <c r="W292" s="7">
        <f>IF(D292="Yes",S292*Tab_Data_Flows[[#This Row],[WC_'[%']]],"N.A.")</f>
        <v>237657.86551685599</v>
      </c>
      <c r="X292" s="7" t="str">
        <f>Tab_Data_Flows[[#This Row],[UoM_Flow_Py]]</f>
        <v>Mg</v>
      </c>
      <c r="Y292" s="143">
        <f>INDEX(Tab_Def_Flows[[Flow_ID]:[CC_DM_source]],MATCH(Tab_Data_Flows[[#This Row],[Flow_Name]],Tab_Def_Flows[Flow_Name],0),14)</f>
        <v>0.4</v>
      </c>
      <c r="Z292" s="7" t="str">
        <f>Tab_Data_Flows[[#This Row],[Flow_ID]]&amp;"_"&amp;"DM_"&amp;Tab_Data_Flows[[#This Row],[Flow_Data_Year]]</f>
        <v>F_01_02_DM_2089</v>
      </c>
      <c r="AA292" s="7">
        <f>IF(E292="Yes",Y292*Tab_Data_Flows[[#This Row],[Flow_Material]],"N.A.")</f>
        <v>158438.57701123736</v>
      </c>
      <c r="AB292" s="7" t="str">
        <f>Tab_Data_Flows[[#This Row],[UoM_Flow_Py]]</f>
        <v>Mg</v>
      </c>
      <c r="AC292" s="143">
        <f>INDEX(Tab_Def_Flows[[Flow_ID]:[CC_DM_source]],MATCH(Tab_Data_Flows[[#This Row],[Flow_Name]],Tab_Def_Flows[Flow_Name],0),17)</f>
        <v>0</v>
      </c>
      <c r="AD292" s="7" t="str">
        <f>Tab_Data_Flows[[#This Row],[Flow_ID]]&amp;"_"&amp;"CC_"&amp;Tab_Data_Flows[[#This Row],[Flow_Data_Year]]</f>
        <v>F_01_02_CC_2089</v>
      </c>
      <c r="AE292" s="7">
        <f>IF(F292="Yes",AC292*Tab_Data_Flows[[#This Row],[Flow_Material]]*Tab_Data_Flows[[#This Row],[DM_'[%']]],"N.A.")</f>
        <v>0</v>
      </c>
      <c r="AF292" s="7" t="str">
        <f>Tab_Data_Flows[[#This Row],[UoM_Flow_Py]]</f>
        <v>Mg</v>
      </c>
      <c r="AG292"/>
    </row>
    <row r="293" spans="1:33" x14ac:dyDescent="0.25">
      <c r="A293" s="9">
        <f t="shared" si="4"/>
        <v>292</v>
      </c>
      <c r="B293" s="7" t="str">
        <f>_xlfn.XLOOKUP(C293,Tab_Def_Flows[Flow_Name],Tab_Def_Flows[Flow_ID],,0,)</f>
        <v>F_01_02</v>
      </c>
      <c r="C293" s="142" t="s">
        <v>599</v>
      </c>
      <c r="D293" s="10" t="str">
        <f>_xlfn.XLOOKUP(C293,Tab_Def_Flows[Flow_Name],Tab_Def_Flows[WC?],,0,)</f>
        <v>Yes</v>
      </c>
      <c r="E293" s="10" t="str">
        <f>_xlfn.XLOOKUP(C293,Tab_Def_Flows[Flow_Name],Tab_Def_Flows[DM?],,0,)</f>
        <v>Yes</v>
      </c>
      <c r="F293" s="10" t="str">
        <f>_xlfn.XLOOKUP(C293,Tab_Def_Flows[Flow_Name],Tab_Def_Flows[CC?],,0,)</f>
        <v>Yes</v>
      </c>
      <c r="G293" s="8">
        <v>2090</v>
      </c>
      <c r="H293" s="23">
        <v>422993.38471170084</v>
      </c>
      <c r="I293" s="8" t="s">
        <v>198</v>
      </c>
      <c r="J293" s="15"/>
      <c r="K293" s="15"/>
      <c r="L293" s="15"/>
      <c r="M293" s="15"/>
      <c r="N293" s="15"/>
      <c r="O293" s="8" t="s">
        <v>6</v>
      </c>
      <c r="P293" s="16"/>
      <c r="Q293" s="8"/>
      <c r="R293" s="7" t="str">
        <f>Tab_Data_Flows[[#This Row],[Flow_ID]]&amp;"_"&amp;"material_"&amp;Tab_Data_Flows[[#This Row],[Flow_Data_Year]]</f>
        <v>F_01_02_material_2090</v>
      </c>
      <c r="S293" s="14">
        <f>IF(O293="no",H293,H293*P293)</f>
        <v>422993.38471170084</v>
      </c>
      <c r="T293" s="8" t="s">
        <v>198</v>
      </c>
      <c r="U293" s="143">
        <f>INDEX(Tab_Def_Flows[[Flow_ID]:[CC_DM_source]],MATCH(Tab_Data_Flows[[#This Row],[Flow_Name]],Tab_Def_Flows[Flow_Name],0),11)</f>
        <v>0.6</v>
      </c>
      <c r="V293" s="7" t="str">
        <f>Tab_Data_Flows[[#This Row],[Flow_ID]]&amp;"_"&amp;"WC_"&amp;Tab_Data_Flows[[#This Row],[Flow_Data_Year]]</f>
        <v>F_01_02_WC_2090</v>
      </c>
      <c r="W293" s="7">
        <f>IF(D293="Yes",S293*Tab_Data_Flows[[#This Row],[WC_'[%']]],"N.A.")</f>
        <v>253796.0308270205</v>
      </c>
      <c r="X293" s="7" t="str">
        <f>Tab_Data_Flows[[#This Row],[UoM_Flow_Py]]</f>
        <v>Mg</v>
      </c>
      <c r="Y293" s="143">
        <f>INDEX(Tab_Def_Flows[[Flow_ID]:[CC_DM_source]],MATCH(Tab_Data_Flows[[#This Row],[Flow_Name]],Tab_Def_Flows[Flow_Name],0),14)</f>
        <v>0.4</v>
      </c>
      <c r="Z293" s="7" t="str">
        <f>Tab_Data_Flows[[#This Row],[Flow_ID]]&amp;"_"&amp;"DM_"&amp;Tab_Data_Flows[[#This Row],[Flow_Data_Year]]</f>
        <v>F_01_02_DM_2090</v>
      </c>
      <c r="AA293" s="7">
        <f>IF(E293="Yes",Y293*Tab_Data_Flows[[#This Row],[Flow_Material]],"N.A.")</f>
        <v>169197.35388468034</v>
      </c>
      <c r="AB293" s="7" t="str">
        <f>Tab_Data_Flows[[#This Row],[UoM_Flow_Py]]</f>
        <v>Mg</v>
      </c>
      <c r="AC293" s="143">
        <f>INDEX(Tab_Def_Flows[[Flow_ID]:[CC_DM_source]],MATCH(Tab_Data_Flows[[#This Row],[Flow_Name]],Tab_Def_Flows[Flow_Name],0),17)</f>
        <v>0</v>
      </c>
      <c r="AD293" s="7" t="str">
        <f>Tab_Data_Flows[[#This Row],[Flow_ID]]&amp;"_"&amp;"CC_"&amp;Tab_Data_Flows[[#This Row],[Flow_Data_Year]]</f>
        <v>F_01_02_CC_2090</v>
      </c>
      <c r="AE293" s="7">
        <f>IF(F293="Yes",AC293*Tab_Data_Flows[[#This Row],[Flow_Material]]*Tab_Data_Flows[[#This Row],[DM_'[%']]],"N.A.")</f>
        <v>0</v>
      </c>
      <c r="AF293" s="7" t="str">
        <f>Tab_Data_Flows[[#This Row],[UoM_Flow_Py]]</f>
        <v>Mg</v>
      </c>
      <c r="AG293"/>
    </row>
    <row r="294" spans="1:33" x14ac:dyDescent="0.25">
      <c r="A294" s="9">
        <f t="shared" si="4"/>
        <v>293</v>
      </c>
      <c r="B294" s="7" t="str">
        <f>_xlfn.XLOOKUP(C294,Tab_Def_Flows[Flow_Name],Tab_Def_Flows[Flow_ID],,0,)</f>
        <v>F_01_02</v>
      </c>
      <c r="C294" s="142" t="s">
        <v>599</v>
      </c>
      <c r="D294" s="10" t="str">
        <f>_xlfn.XLOOKUP(C294,Tab_Def_Flows[Flow_Name],Tab_Def_Flows[WC?],,0,)</f>
        <v>Yes</v>
      </c>
      <c r="E294" s="10" t="str">
        <f>_xlfn.XLOOKUP(C294,Tab_Def_Flows[Flow_Name],Tab_Def_Flows[DM?],,0,)</f>
        <v>Yes</v>
      </c>
      <c r="F294" s="10" t="str">
        <f>_xlfn.XLOOKUP(C294,Tab_Def_Flows[Flow_Name],Tab_Def_Flows[CC?],,0,)</f>
        <v>Yes</v>
      </c>
      <c r="G294" s="8">
        <v>2091</v>
      </c>
      <c r="H294" s="23">
        <v>318960.68311968527</v>
      </c>
      <c r="I294" s="8" t="s">
        <v>198</v>
      </c>
      <c r="J294" s="15"/>
      <c r="K294" s="15"/>
      <c r="L294" s="15"/>
      <c r="M294" s="15"/>
      <c r="N294" s="15"/>
      <c r="O294" s="8" t="s">
        <v>6</v>
      </c>
      <c r="P294" s="16"/>
      <c r="Q294" s="8"/>
      <c r="R294" s="7" t="str">
        <f>Tab_Data_Flows[[#This Row],[Flow_ID]]&amp;"_"&amp;"material_"&amp;Tab_Data_Flows[[#This Row],[Flow_Data_Year]]</f>
        <v>F_01_02_material_2091</v>
      </c>
      <c r="S294" s="14">
        <f>IF(O294="no",H294,H294*P294)</f>
        <v>318960.68311968527</v>
      </c>
      <c r="T294" s="8" t="s">
        <v>198</v>
      </c>
      <c r="U294" s="143">
        <f>INDEX(Tab_Def_Flows[[Flow_ID]:[CC_DM_source]],MATCH(Tab_Data_Flows[[#This Row],[Flow_Name]],Tab_Def_Flows[Flow_Name],0),11)</f>
        <v>0.6</v>
      </c>
      <c r="V294" s="7" t="str">
        <f>Tab_Data_Flows[[#This Row],[Flow_ID]]&amp;"_"&amp;"WC_"&amp;Tab_Data_Flows[[#This Row],[Flow_Data_Year]]</f>
        <v>F_01_02_WC_2091</v>
      </c>
      <c r="W294" s="7">
        <f>IF(D294="Yes",S294*Tab_Data_Flows[[#This Row],[WC_'[%']]],"N.A.")</f>
        <v>191376.40987181116</v>
      </c>
      <c r="X294" s="7" t="str">
        <f>Tab_Data_Flows[[#This Row],[UoM_Flow_Py]]</f>
        <v>Mg</v>
      </c>
      <c r="Y294" s="143">
        <f>INDEX(Tab_Def_Flows[[Flow_ID]:[CC_DM_source]],MATCH(Tab_Data_Flows[[#This Row],[Flow_Name]],Tab_Def_Flows[Flow_Name],0),14)</f>
        <v>0.4</v>
      </c>
      <c r="Z294" s="7" t="str">
        <f>Tab_Data_Flows[[#This Row],[Flow_ID]]&amp;"_"&amp;"DM_"&amp;Tab_Data_Flows[[#This Row],[Flow_Data_Year]]</f>
        <v>F_01_02_DM_2091</v>
      </c>
      <c r="AA294" s="7">
        <f>IF(E294="Yes",Y294*Tab_Data_Flows[[#This Row],[Flow_Material]],"N.A.")</f>
        <v>127584.27324787411</v>
      </c>
      <c r="AB294" s="7" t="str">
        <f>Tab_Data_Flows[[#This Row],[UoM_Flow_Py]]</f>
        <v>Mg</v>
      </c>
      <c r="AC294" s="143">
        <f>INDEX(Tab_Def_Flows[[Flow_ID]:[CC_DM_source]],MATCH(Tab_Data_Flows[[#This Row],[Flow_Name]],Tab_Def_Flows[Flow_Name],0),17)</f>
        <v>0</v>
      </c>
      <c r="AD294" s="7" t="str">
        <f>Tab_Data_Flows[[#This Row],[Flow_ID]]&amp;"_"&amp;"CC_"&amp;Tab_Data_Flows[[#This Row],[Flow_Data_Year]]</f>
        <v>F_01_02_CC_2091</v>
      </c>
      <c r="AE294" s="7">
        <f>IF(F294="Yes",AC294*Tab_Data_Flows[[#This Row],[Flow_Material]]*Tab_Data_Flows[[#This Row],[DM_'[%']]],"N.A.")</f>
        <v>0</v>
      </c>
      <c r="AF294" s="7" t="str">
        <f>Tab_Data_Flows[[#This Row],[UoM_Flow_Py]]</f>
        <v>Mg</v>
      </c>
      <c r="AG294"/>
    </row>
    <row r="295" spans="1:33" x14ac:dyDescent="0.25">
      <c r="A295" s="9">
        <f t="shared" si="4"/>
        <v>294</v>
      </c>
      <c r="B295" s="7" t="str">
        <f>_xlfn.XLOOKUP(C295,Tab_Def_Flows[Flow_Name],Tab_Def_Flows[Flow_ID],,0,)</f>
        <v>F_01_02</v>
      </c>
      <c r="C295" s="142" t="s">
        <v>599</v>
      </c>
      <c r="D295" s="10" t="str">
        <f>_xlfn.XLOOKUP(C295,Tab_Def_Flows[Flow_Name],Tab_Def_Flows[WC?],,0,)</f>
        <v>Yes</v>
      </c>
      <c r="E295" s="10" t="str">
        <f>_xlfn.XLOOKUP(C295,Tab_Def_Flows[Flow_Name],Tab_Def_Flows[DM?],,0,)</f>
        <v>Yes</v>
      </c>
      <c r="F295" s="10" t="str">
        <f>_xlfn.XLOOKUP(C295,Tab_Def_Flows[Flow_Name],Tab_Def_Flows[CC?],,0,)</f>
        <v>Yes</v>
      </c>
      <c r="G295" s="8">
        <v>2092</v>
      </c>
      <c r="H295" s="23">
        <v>314657.40479267144</v>
      </c>
      <c r="I295" s="8" t="s">
        <v>198</v>
      </c>
      <c r="J295" s="15"/>
      <c r="K295" s="15"/>
      <c r="L295" s="15"/>
      <c r="M295" s="15"/>
      <c r="N295" s="15"/>
      <c r="O295" s="8" t="s">
        <v>6</v>
      </c>
      <c r="P295" s="16"/>
      <c r="Q295" s="8"/>
      <c r="R295" s="7" t="str">
        <f>Tab_Data_Flows[[#This Row],[Flow_ID]]&amp;"_"&amp;"material_"&amp;Tab_Data_Flows[[#This Row],[Flow_Data_Year]]</f>
        <v>F_01_02_material_2092</v>
      </c>
      <c r="S295" s="14">
        <f>IF(O295="no",H295,H295*P295)</f>
        <v>314657.40479267144</v>
      </c>
      <c r="T295" s="8" t="s">
        <v>198</v>
      </c>
      <c r="U295" s="143">
        <f>INDEX(Tab_Def_Flows[[Flow_ID]:[CC_DM_source]],MATCH(Tab_Data_Flows[[#This Row],[Flow_Name]],Tab_Def_Flows[Flow_Name],0),11)</f>
        <v>0.6</v>
      </c>
      <c r="V295" s="7" t="str">
        <f>Tab_Data_Flows[[#This Row],[Flow_ID]]&amp;"_"&amp;"WC_"&amp;Tab_Data_Flows[[#This Row],[Flow_Data_Year]]</f>
        <v>F_01_02_WC_2092</v>
      </c>
      <c r="W295" s="7">
        <f>IF(D295="Yes",S295*Tab_Data_Flows[[#This Row],[WC_'[%']]],"N.A.")</f>
        <v>188794.44287560286</v>
      </c>
      <c r="X295" s="7" t="str">
        <f>Tab_Data_Flows[[#This Row],[UoM_Flow_Py]]</f>
        <v>Mg</v>
      </c>
      <c r="Y295" s="143">
        <f>INDEX(Tab_Def_Flows[[Flow_ID]:[CC_DM_source]],MATCH(Tab_Data_Flows[[#This Row],[Flow_Name]],Tab_Def_Flows[Flow_Name],0),14)</f>
        <v>0.4</v>
      </c>
      <c r="Z295" s="7" t="str">
        <f>Tab_Data_Flows[[#This Row],[Flow_ID]]&amp;"_"&amp;"DM_"&amp;Tab_Data_Flows[[#This Row],[Flow_Data_Year]]</f>
        <v>F_01_02_DM_2092</v>
      </c>
      <c r="AA295" s="7">
        <f>IF(E295="Yes",Y295*Tab_Data_Flows[[#This Row],[Flow_Material]],"N.A.")</f>
        <v>125862.96191706858</v>
      </c>
      <c r="AB295" s="7" t="str">
        <f>Tab_Data_Flows[[#This Row],[UoM_Flow_Py]]</f>
        <v>Mg</v>
      </c>
      <c r="AC295" s="143">
        <f>INDEX(Tab_Def_Flows[[Flow_ID]:[CC_DM_source]],MATCH(Tab_Data_Flows[[#This Row],[Flow_Name]],Tab_Def_Flows[Flow_Name],0),17)</f>
        <v>0</v>
      </c>
      <c r="AD295" s="7" t="str">
        <f>Tab_Data_Flows[[#This Row],[Flow_ID]]&amp;"_"&amp;"CC_"&amp;Tab_Data_Flows[[#This Row],[Flow_Data_Year]]</f>
        <v>F_01_02_CC_2092</v>
      </c>
      <c r="AE295" s="7">
        <f>IF(F295="Yes",AC295*Tab_Data_Flows[[#This Row],[Flow_Material]]*Tab_Data_Flows[[#This Row],[DM_'[%']]],"N.A.")</f>
        <v>0</v>
      </c>
      <c r="AF295" s="7" t="str">
        <f>Tab_Data_Flows[[#This Row],[UoM_Flow_Py]]</f>
        <v>Mg</v>
      </c>
      <c r="AG295"/>
    </row>
    <row r="296" spans="1:33" x14ac:dyDescent="0.25">
      <c r="A296" s="9">
        <f t="shared" si="4"/>
        <v>295</v>
      </c>
      <c r="B296" s="7" t="str">
        <f>_xlfn.XLOOKUP(C296,Tab_Def_Flows[Flow_Name],Tab_Def_Flows[Flow_ID],,0,)</f>
        <v>F_01_02</v>
      </c>
      <c r="C296" s="142" t="s">
        <v>599</v>
      </c>
      <c r="D296" s="10" t="str">
        <f>_xlfn.XLOOKUP(C296,Tab_Def_Flows[Flow_Name],Tab_Def_Flows[WC?],,0,)</f>
        <v>Yes</v>
      </c>
      <c r="E296" s="10" t="str">
        <f>_xlfn.XLOOKUP(C296,Tab_Def_Flows[Flow_Name],Tab_Def_Flows[DM?],,0,)</f>
        <v>Yes</v>
      </c>
      <c r="F296" s="10" t="str">
        <f>_xlfn.XLOOKUP(C296,Tab_Def_Flows[Flow_Name],Tab_Def_Flows[CC?],,0,)</f>
        <v>Yes</v>
      </c>
      <c r="G296" s="8">
        <v>2093</v>
      </c>
      <c r="H296" s="23">
        <v>409601.01886868855</v>
      </c>
      <c r="I296" s="8" t="s">
        <v>198</v>
      </c>
      <c r="J296" s="15"/>
      <c r="K296" s="15"/>
      <c r="L296" s="15"/>
      <c r="M296" s="15"/>
      <c r="N296" s="15"/>
      <c r="O296" s="8" t="s">
        <v>6</v>
      </c>
      <c r="P296" s="16"/>
      <c r="Q296" s="8"/>
      <c r="R296" s="7" t="str">
        <f>Tab_Data_Flows[[#This Row],[Flow_ID]]&amp;"_"&amp;"material_"&amp;Tab_Data_Flows[[#This Row],[Flow_Data_Year]]</f>
        <v>F_01_02_material_2093</v>
      </c>
      <c r="S296" s="14">
        <f>IF(O296="no",H296,H296*P296)</f>
        <v>409601.01886868855</v>
      </c>
      <c r="T296" s="8" t="s">
        <v>198</v>
      </c>
      <c r="U296" s="143">
        <f>INDEX(Tab_Def_Flows[[Flow_ID]:[CC_DM_source]],MATCH(Tab_Data_Flows[[#This Row],[Flow_Name]],Tab_Def_Flows[Flow_Name],0),11)</f>
        <v>0.6</v>
      </c>
      <c r="V296" s="7" t="str">
        <f>Tab_Data_Flows[[#This Row],[Flow_ID]]&amp;"_"&amp;"WC_"&amp;Tab_Data_Flows[[#This Row],[Flow_Data_Year]]</f>
        <v>F_01_02_WC_2093</v>
      </c>
      <c r="W296" s="7">
        <f>IF(D296="Yes",S296*Tab_Data_Flows[[#This Row],[WC_'[%']]],"N.A.")</f>
        <v>245760.61132121313</v>
      </c>
      <c r="X296" s="7" t="str">
        <f>Tab_Data_Flows[[#This Row],[UoM_Flow_Py]]</f>
        <v>Mg</v>
      </c>
      <c r="Y296" s="143">
        <f>INDEX(Tab_Def_Flows[[Flow_ID]:[CC_DM_source]],MATCH(Tab_Data_Flows[[#This Row],[Flow_Name]],Tab_Def_Flows[Flow_Name],0),14)</f>
        <v>0.4</v>
      </c>
      <c r="Z296" s="7" t="str">
        <f>Tab_Data_Flows[[#This Row],[Flow_ID]]&amp;"_"&amp;"DM_"&amp;Tab_Data_Flows[[#This Row],[Flow_Data_Year]]</f>
        <v>F_01_02_DM_2093</v>
      </c>
      <c r="AA296" s="7">
        <f>IF(E296="Yes",Y296*Tab_Data_Flows[[#This Row],[Flow_Material]],"N.A.")</f>
        <v>163840.40754747542</v>
      </c>
      <c r="AB296" s="7" t="str">
        <f>Tab_Data_Flows[[#This Row],[UoM_Flow_Py]]</f>
        <v>Mg</v>
      </c>
      <c r="AC296" s="143">
        <f>INDEX(Tab_Def_Flows[[Flow_ID]:[CC_DM_source]],MATCH(Tab_Data_Flows[[#This Row],[Flow_Name]],Tab_Def_Flows[Flow_Name],0),17)</f>
        <v>0</v>
      </c>
      <c r="AD296" s="7" t="str">
        <f>Tab_Data_Flows[[#This Row],[Flow_ID]]&amp;"_"&amp;"CC_"&amp;Tab_Data_Flows[[#This Row],[Flow_Data_Year]]</f>
        <v>F_01_02_CC_2093</v>
      </c>
      <c r="AE296" s="7">
        <f>IF(F296="Yes",AC296*Tab_Data_Flows[[#This Row],[Flow_Material]]*Tab_Data_Flows[[#This Row],[DM_'[%']]],"N.A.")</f>
        <v>0</v>
      </c>
      <c r="AF296" s="7" t="str">
        <f>Tab_Data_Flows[[#This Row],[UoM_Flow_Py]]</f>
        <v>Mg</v>
      </c>
      <c r="AG296"/>
    </row>
    <row r="297" spans="1:33" x14ac:dyDescent="0.25">
      <c r="A297" s="9">
        <f t="shared" si="4"/>
        <v>296</v>
      </c>
      <c r="B297" s="7" t="str">
        <f>_xlfn.XLOOKUP(C297,Tab_Def_Flows[Flow_Name],Tab_Def_Flows[Flow_ID],,0,)</f>
        <v>F_01_02</v>
      </c>
      <c r="C297" s="142" t="s">
        <v>599</v>
      </c>
      <c r="D297" s="10" t="str">
        <f>_xlfn.XLOOKUP(C297,Tab_Def_Flows[Flow_Name],Tab_Def_Flows[WC?],,0,)</f>
        <v>Yes</v>
      </c>
      <c r="E297" s="10" t="str">
        <f>_xlfn.XLOOKUP(C297,Tab_Def_Flows[Flow_Name],Tab_Def_Flows[DM?],,0,)</f>
        <v>Yes</v>
      </c>
      <c r="F297" s="10" t="str">
        <f>_xlfn.XLOOKUP(C297,Tab_Def_Flows[Flow_Name],Tab_Def_Flows[CC?],,0,)</f>
        <v>Yes</v>
      </c>
      <c r="G297" s="8">
        <v>2094</v>
      </c>
      <c r="H297" s="23">
        <v>398008.3997372064</v>
      </c>
      <c r="I297" s="8" t="s">
        <v>198</v>
      </c>
      <c r="J297" s="15"/>
      <c r="K297" s="15"/>
      <c r="L297" s="15"/>
      <c r="M297" s="15"/>
      <c r="N297" s="15"/>
      <c r="O297" s="8" t="s">
        <v>6</v>
      </c>
      <c r="P297" s="16"/>
      <c r="Q297" s="8"/>
      <c r="R297" s="7" t="str">
        <f>Tab_Data_Flows[[#This Row],[Flow_ID]]&amp;"_"&amp;"material_"&amp;Tab_Data_Flows[[#This Row],[Flow_Data_Year]]</f>
        <v>F_01_02_material_2094</v>
      </c>
      <c r="S297" s="14">
        <f>IF(O297="no",H297,H297*P297)</f>
        <v>398008.3997372064</v>
      </c>
      <c r="T297" s="8" t="s">
        <v>198</v>
      </c>
      <c r="U297" s="143">
        <f>INDEX(Tab_Def_Flows[[Flow_ID]:[CC_DM_source]],MATCH(Tab_Data_Flows[[#This Row],[Flow_Name]],Tab_Def_Flows[Flow_Name],0),11)</f>
        <v>0.6</v>
      </c>
      <c r="V297" s="7" t="str">
        <f>Tab_Data_Flows[[#This Row],[Flow_ID]]&amp;"_"&amp;"WC_"&amp;Tab_Data_Flows[[#This Row],[Flow_Data_Year]]</f>
        <v>F_01_02_WC_2094</v>
      </c>
      <c r="W297" s="7">
        <f>IF(D297="Yes",S297*Tab_Data_Flows[[#This Row],[WC_'[%']]],"N.A.")</f>
        <v>238805.03984232384</v>
      </c>
      <c r="X297" s="7" t="str">
        <f>Tab_Data_Flows[[#This Row],[UoM_Flow_Py]]</f>
        <v>Mg</v>
      </c>
      <c r="Y297" s="143">
        <f>INDEX(Tab_Def_Flows[[Flow_ID]:[CC_DM_source]],MATCH(Tab_Data_Flows[[#This Row],[Flow_Name]],Tab_Def_Flows[Flow_Name],0),14)</f>
        <v>0.4</v>
      </c>
      <c r="Z297" s="7" t="str">
        <f>Tab_Data_Flows[[#This Row],[Flow_ID]]&amp;"_"&amp;"DM_"&amp;Tab_Data_Flows[[#This Row],[Flow_Data_Year]]</f>
        <v>F_01_02_DM_2094</v>
      </c>
      <c r="AA297" s="7">
        <f>IF(E297="Yes",Y297*Tab_Data_Flows[[#This Row],[Flow_Material]],"N.A.")</f>
        <v>159203.35989488257</v>
      </c>
      <c r="AB297" s="7" t="str">
        <f>Tab_Data_Flows[[#This Row],[UoM_Flow_Py]]</f>
        <v>Mg</v>
      </c>
      <c r="AC297" s="143">
        <f>INDEX(Tab_Def_Flows[[Flow_ID]:[CC_DM_source]],MATCH(Tab_Data_Flows[[#This Row],[Flow_Name]],Tab_Def_Flows[Flow_Name],0),17)</f>
        <v>0</v>
      </c>
      <c r="AD297" s="7" t="str">
        <f>Tab_Data_Flows[[#This Row],[Flow_ID]]&amp;"_"&amp;"CC_"&amp;Tab_Data_Flows[[#This Row],[Flow_Data_Year]]</f>
        <v>F_01_02_CC_2094</v>
      </c>
      <c r="AE297" s="7">
        <f>IF(F297="Yes",AC297*Tab_Data_Flows[[#This Row],[Flow_Material]]*Tab_Data_Flows[[#This Row],[DM_'[%']]],"N.A.")</f>
        <v>0</v>
      </c>
      <c r="AF297" s="7" t="str">
        <f>Tab_Data_Flows[[#This Row],[UoM_Flow_Py]]</f>
        <v>Mg</v>
      </c>
      <c r="AG297"/>
    </row>
    <row r="298" spans="1:33" x14ac:dyDescent="0.25">
      <c r="A298" s="9">
        <f t="shared" si="4"/>
        <v>297</v>
      </c>
      <c r="B298" s="7" t="str">
        <f>_xlfn.XLOOKUP(C298,Tab_Def_Flows[Flow_Name],Tab_Def_Flows[Flow_ID],,0,)</f>
        <v>F_01_02</v>
      </c>
      <c r="C298" s="142" t="s">
        <v>599</v>
      </c>
      <c r="D298" s="10" t="str">
        <f>_xlfn.XLOOKUP(C298,Tab_Def_Flows[Flow_Name],Tab_Def_Flows[WC?],,0,)</f>
        <v>Yes</v>
      </c>
      <c r="E298" s="10" t="str">
        <f>_xlfn.XLOOKUP(C298,Tab_Def_Flows[Flow_Name],Tab_Def_Flows[DM?],,0,)</f>
        <v>Yes</v>
      </c>
      <c r="F298" s="10" t="str">
        <f>_xlfn.XLOOKUP(C298,Tab_Def_Flows[Flow_Name],Tab_Def_Flows[CC?],,0,)</f>
        <v>Yes</v>
      </c>
      <c r="G298" s="8">
        <v>2095</v>
      </c>
      <c r="H298" s="23">
        <v>395612.55407206621</v>
      </c>
      <c r="I298" s="8" t="s">
        <v>198</v>
      </c>
      <c r="J298" s="15"/>
      <c r="K298" s="15"/>
      <c r="L298" s="15"/>
      <c r="M298" s="15"/>
      <c r="N298" s="15"/>
      <c r="O298" s="8" t="s">
        <v>6</v>
      </c>
      <c r="P298" s="16"/>
      <c r="Q298" s="8"/>
      <c r="R298" s="7" t="str">
        <f>Tab_Data_Flows[[#This Row],[Flow_ID]]&amp;"_"&amp;"material_"&amp;Tab_Data_Flows[[#This Row],[Flow_Data_Year]]</f>
        <v>F_01_02_material_2095</v>
      </c>
      <c r="S298" s="14">
        <f>IF(O298="no",H298,H298*P298)</f>
        <v>395612.55407206621</v>
      </c>
      <c r="T298" s="8" t="s">
        <v>198</v>
      </c>
      <c r="U298" s="143">
        <f>INDEX(Tab_Def_Flows[[Flow_ID]:[CC_DM_source]],MATCH(Tab_Data_Flows[[#This Row],[Flow_Name]],Tab_Def_Flows[Flow_Name],0),11)</f>
        <v>0.6</v>
      </c>
      <c r="V298" s="7" t="str">
        <f>Tab_Data_Flows[[#This Row],[Flow_ID]]&amp;"_"&amp;"WC_"&amp;Tab_Data_Flows[[#This Row],[Flow_Data_Year]]</f>
        <v>F_01_02_WC_2095</v>
      </c>
      <c r="W298" s="7">
        <f>IF(D298="Yes",S298*Tab_Data_Flows[[#This Row],[WC_'[%']]],"N.A.")</f>
        <v>237367.5324432397</v>
      </c>
      <c r="X298" s="7" t="str">
        <f>Tab_Data_Flows[[#This Row],[UoM_Flow_Py]]</f>
        <v>Mg</v>
      </c>
      <c r="Y298" s="143">
        <f>INDEX(Tab_Def_Flows[[Flow_ID]:[CC_DM_source]],MATCH(Tab_Data_Flows[[#This Row],[Flow_Name]],Tab_Def_Flows[Flow_Name],0),14)</f>
        <v>0.4</v>
      </c>
      <c r="Z298" s="7" t="str">
        <f>Tab_Data_Flows[[#This Row],[Flow_ID]]&amp;"_"&amp;"DM_"&amp;Tab_Data_Flows[[#This Row],[Flow_Data_Year]]</f>
        <v>F_01_02_DM_2095</v>
      </c>
      <c r="AA298" s="7">
        <f>IF(E298="Yes",Y298*Tab_Data_Flows[[#This Row],[Flow_Material]],"N.A.")</f>
        <v>158245.02162882651</v>
      </c>
      <c r="AB298" s="7" t="str">
        <f>Tab_Data_Flows[[#This Row],[UoM_Flow_Py]]</f>
        <v>Mg</v>
      </c>
      <c r="AC298" s="143">
        <f>INDEX(Tab_Def_Flows[[Flow_ID]:[CC_DM_source]],MATCH(Tab_Data_Flows[[#This Row],[Flow_Name]],Tab_Def_Flows[Flow_Name],0),17)</f>
        <v>0</v>
      </c>
      <c r="AD298" s="7" t="str">
        <f>Tab_Data_Flows[[#This Row],[Flow_ID]]&amp;"_"&amp;"CC_"&amp;Tab_Data_Flows[[#This Row],[Flow_Data_Year]]</f>
        <v>F_01_02_CC_2095</v>
      </c>
      <c r="AE298" s="7">
        <f>IF(F298="Yes",AC298*Tab_Data_Flows[[#This Row],[Flow_Material]]*Tab_Data_Flows[[#This Row],[DM_'[%']]],"N.A.")</f>
        <v>0</v>
      </c>
      <c r="AF298" s="7" t="str">
        <f>Tab_Data_Flows[[#This Row],[UoM_Flow_Py]]</f>
        <v>Mg</v>
      </c>
      <c r="AG298"/>
    </row>
    <row r="299" spans="1:33" x14ac:dyDescent="0.25">
      <c r="A299" s="9">
        <f t="shared" si="4"/>
        <v>298</v>
      </c>
      <c r="B299" s="7" t="str">
        <f>_xlfn.XLOOKUP(C299,Tab_Def_Flows[Flow_Name],Tab_Def_Flows[Flow_ID],,0,)</f>
        <v>F_01_02</v>
      </c>
      <c r="C299" s="142" t="s">
        <v>599</v>
      </c>
      <c r="D299" s="10" t="str">
        <f>_xlfn.XLOOKUP(C299,Tab_Def_Flows[Flow_Name],Tab_Def_Flows[WC?],,0,)</f>
        <v>Yes</v>
      </c>
      <c r="E299" s="10" t="str">
        <f>_xlfn.XLOOKUP(C299,Tab_Def_Flows[Flow_Name],Tab_Def_Flows[DM?],,0,)</f>
        <v>Yes</v>
      </c>
      <c r="F299" s="10" t="str">
        <f>_xlfn.XLOOKUP(C299,Tab_Def_Flows[Flow_Name],Tab_Def_Flows[CC?],,0,)</f>
        <v>Yes</v>
      </c>
      <c r="G299" s="8">
        <v>2096</v>
      </c>
      <c r="H299" s="23">
        <v>400557.38559279102</v>
      </c>
      <c r="I299" s="8" t="s">
        <v>198</v>
      </c>
      <c r="J299" s="15"/>
      <c r="K299" s="15"/>
      <c r="L299" s="15"/>
      <c r="M299" s="15"/>
      <c r="N299" s="15"/>
      <c r="O299" s="8" t="s">
        <v>6</v>
      </c>
      <c r="P299" s="16"/>
      <c r="Q299" s="8"/>
      <c r="R299" s="7" t="str">
        <f>Tab_Data_Flows[[#This Row],[Flow_ID]]&amp;"_"&amp;"material_"&amp;Tab_Data_Flows[[#This Row],[Flow_Data_Year]]</f>
        <v>F_01_02_material_2096</v>
      </c>
      <c r="S299" s="14">
        <f>IF(O299="no",H299,H299*P299)</f>
        <v>400557.38559279102</v>
      </c>
      <c r="T299" s="8" t="s">
        <v>198</v>
      </c>
      <c r="U299" s="143">
        <f>INDEX(Tab_Def_Flows[[Flow_ID]:[CC_DM_source]],MATCH(Tab_Data_Flows[[#This Row],[Flow_Name]],Tab_Def_Flows[Flow_Name],0),11)</f>
        <v>0.6</v>
      </c>
      <c r="V299" s="7" t="str">
        <f>Tab_Data_Flows[[#This Row],[Flow_ID]]&amp;"_"&amp;"WC_"&amp;Tab_Data_Flows[[#This Row],[Flow_Data_Year]]</f>
        <v>F_01_02_WC_2096</v>
      </c>
      <c r="W299" s="7">
        <f>IF(D299="Yes",S299*Tab_Data_Flows[[#This Row],[WC_'[%']]],"N.A.")</f>
        <v>240334.43135567461</v>
      </c>
      <c r="X299" s="7" t="str">
        <f>Tab_Data_Flows[[#This Row],[UoM_Flow_Py]]</f>
        <v>Mg</v>
      </c>
      <c r="Y299" s="143">
        <f>INDEX(Tab_Def_Flows[[Flow_ID]:[CC_DM_source]],MATCH(Tab_Data_Flows[[#This Row],[Flow_Name]],Tab_Def_Flows[Flow_Name],0),14)</f>
        <v>0.4</v>
      </c>
      <c r="Z299" s="7" t="str">
        <f>Tab_Data_Flows[[#This Row],[Flow_ID]]&amp;"_"&amp;"DM_"&amp;Tab_Data_Flows[[#This Row],[Flow_Data_Year]]</f>
        <v>F_01_02_DM_2096</v>
      </c>
      <c r="AA299" s="7">
        <f>IF(E299="Yes",Y299*Tab_Data_Flows[[#This Row],[Flow_Material]],"N.A.")</f>
        <v>160222.95423711641</v>
      </c>
      <c r="AB299" s="7" t="str">
        <f>Tab_Data_Flows[[#This Row],[UoM_Flow_Py]]</f>
        <v>Mg</v>
      </c>
      <c r="AC299" s="143">
        <f>INDEX(Tab_Def_Flows[[Flow_ID]:[CC_DM_source]],MATCH(Tab_Data_Flows[[#This Row],[Flow_Name]],Tab_Def_Flows[Flow_Name],0),17)</f>
        <v>0</v>
      </c>
      <c r="AD299" s="7" t="str">
        <f>Tab_Data_Flows[[#This Row],[Flow_ID]]&amp;"_"&amp;"CC_"&amp;Tab_Data_Flows[[#This Row],[Flow_Data_Year]]</f>
        <v>F_01_02_CC_2096</v>
      </c>
      <c r="AE299" s="7">
        <f>IF(F299="Yes",AC299*Tab_Data_Flows[[#This Row],[Flow_Material]]*Tab_Data_Flows[[#This Row],[DM_'[%']]],"N.A.")</f>
        <v>0</v>
      </c>
      <c r="AF299" s="7" t="str">
        <f>Tab_Data_Flows[[#This Row],[UoM_Flow_Py]]</f>
        <v>Mg</v>
      </c>
      <c r="AG299"/>
    </row>
    <row r="300" spans="1:33" x14ac:dyDescent="0.25">
      <c r="A300" s="9">
        <f t="shared" si="4"/>
        <v>299</v>
      </c>
      <c r="B300" s="7" t="str">
        <f>_xlfn.XLOOKUP(C300,Tab_Def_Flows[Flow_Name],Tab_Def_Flows[Flow_ID],,0,)</f>
        <v>F_01_02</v>
      </c>
      <c r="C300" s="142" t="s">
        <v>599</v>
      </c>
      <c r="D300" s="10" t="str">
        <f>_xlfn.XLOOKUP(C300,Tab_Def_Flows[Flow_Name],Tab_Def_Flows[WC?],,0,)</f>
        <v>Yes</v>
      </c>
      <c r="E300" s="10" t="str">
        <f>_xlfn.XLOOKUP(C300,Tab_Def_Flows[Flow_Name],Tab_Def_Flows[DM?],,0,)</f>
        <v>Yes</v>
      </c>
      <c r="F300" s="10" t="str">
        <f>_xlfn.XLOOKUP(C300,Tab_Def_Flows[Flow_Name],Tab_Def_Flows[CC?],,0,)</f>
        <v>Yes</v>
      </c>
      <c r="G300" s="8">
        <v>2097</v>
      </c>
      <c r="H300" s="23">
        <v>347660.54116787354</v>
      </c>
      <c r="I300" s="8" t="s">
        <v>198</v>
      </c>
      <c r="J300" s="15"/>
      <c r="K300" s="15"/>
      <c r="L300" s="15"/>
      <c r="M300" s="15"/>
      <c r="N300" s="15"/>
      <c r="O300" s="8" t="s">
        <v>6</v>
      </c>
      <c r="P300" s="16"/>
      <c r="Q300" s="8"/>
      <c r="R300" s="7" t="str">
        <f>Tab_Data_Flows[[#This Row],[Flow_ID]]&amp;"_"&amp;"material_"&amp;Tab_Data_Flows[[#This Row],[Flow_Data_Year]]</f>
        <v>F_01_02_material_2097</v>
      </c>
      <c r="S300" s="14">
        <f>IF(O300="no",H300,H300*P300)</f>
        <v>347660.54116787354</v>
      </c>
      <c r="T300" s="8" t="s">
        <v>198</v>
      </c>
      <c r="U300" s="143">
        <f>INDEX(Tab_Def_Flows[[Flow_ID]:[CC_DM_source]],MATCH(Tab_Data_Flows[[#This Row],[Flow_Name]],Tab_Def_Flows[Flow_Name],0),11)</f>
        <v>0.6</v>
      </c>
      <c r="V300" s="7" t="str">
        <f>Tab_Data_Flows[[#This Row],[Flow_ID]]&amp;"_"&amp;"WC_"&amp;Tab_Data_Flows[[#This Row],[Flow_Data_Year]]</f>
        <v>F_01_02_WC_2097</v>
      </c>
      <c r="W300" s="7">
        <f>IF(D300="Yes",S300*Tab_Data_Flows[[#This Row],[WC_'[%']]],"N.A.")</f>
        <v>208596.32470072413</v>
      </c>
      <c r="X300" s="7" t="str">
        <f>Tab_Data_Flows[[#This Row],[UoM_Flow_Py]]</f>
        <v>Mg</v>
      </c>
      <c r="Y300" s="143">
        <f>INDEX(Tab_Def_Flows[[Flow_ID]:[CC_DM_source]],MATCH(Tab_Data_Flows[[#This Row],[Flow_Name]],Tab_Def_Flows[Flow_Name],0),14)</f>
        <v>0.4</v>
      </c>
      <c r="Z300" s="7" t="str">
        <f>Tab_Data_Flows[[#This Row],[Flow_ID]]&amp;"_"&amp;"DM_"&amp;Tab_Data_Flows[[#This Row],[Flow_Data_Year]]</f>
        <v>F_01_02_DM_2097</v>
      </c>
      <c r="AA300" s="7">
        <f>IF(E300="Yes",Y300*Tab_Data_Flows[[#This Row],[Flow_Material]],"N.A.")</f>
        <v>139064.21646714941</v>
      </c>
      <c r="AB300" s="7" t="str">
        <f>Tab_Data_Flows[[#This Row],[UoM_Flow_Py]]</f>
        <v>Mg</v>
      </c>
      <c r="AC300" s="143">
        <f>INDEX(Tab_Def_Flows[[Flow_ID]:[CC_DM_source]],MATCH(Tab_Data_Flows[[#This Row],[Flow_Name]],Tab_Def_Flows[Flow_Name],0),17)</f>
        <v>0</v>
      </c>
      <c r="AD300" s="7" t="str">
        <f>Tab_Data_Flows[[#This Row],[Flow_ID]]&amp;"_"&amp;"CC_"&amp;Tab_Data_Flows[[#This Row],[Flow_Data_Year]]</f>
        <v>F_01_02_CC_2097</v>
      </c>
      <c r="AE300" s="7">
        <f>IF(F300="Yes",AC300*Tab_Data_Flows[[#This Row],[Flow_Material]]*Tab_Data_Flows[[#This Row],[DM_'[%']]],"N.A.")</f>
        <v>0</v>
      </c>
      <c r="AF300" s="7" t="str">
        <f>Tab_Data_Flows[[#This Row],[UoM_Flow_Py]]</f>
        <v>Mg</v>
      </c>
      <c r="AG300"/>
    </row>
    <row r="301" spans="1:33" x14ac:dyDescent="0.25">
      <c r="A301" s="9">
        <f t="shared" si="4"/>
        <v>300</v>
      </c>
      <c r="B301" s="7" t="str">
        <f>_xlfn.XLOOKUP(C301,Tab_Def_Flows[Flow_Name],Tab_Def_Flows[Flow_ID],,0,)</f>
        <v>F_01_02</v>
      </c>
      <c r="C301" s="142" t="s">
        <v>599</v>
      </c>
      <c r="D301" s="10" t="str">
        <f>_xlfn.XLOOKUP(C301,Tab_Def_Flows[Flow_Name],Tab_Def_Flows[WC?],,0,)</f>
        <v>Yes</v>
      </c>
      <c r="E301" s="10" t="str">
        <f>_xlfn.XLOOKUP(C301,Tab_Def_Flows[Flow_Name],Tab_Def_Flows[DM?],,0,)</f>
        <v>Yes</v>
      </c>
      <c r="F301" s="10" t="str">
        <f>_xlfn.XLOOKUP(C301,Tab_Def_Flows[Flow_Name],Tab_Def_Flows[CC?],,0,)</f>
        <v>Yes</v>
      </c>
      <c r="G301" s="8">
        <v>2098</v>
      </c>
      <c r="H301" s="23">
        <v>394672.64263431251</v>
      </c>
      <c r="I301" s="8" t="s">
        <v>198</v>
      </c>
      <c r="J301" s="15"/>
      <c r="K301" s="15"/>
      <c r="L301" s="15"/>
      <c r="M301" s="15"/>
      <c r="N301" s="15"/>
      <c r="O301" s="8" t="s">
        <v>6</v>
      </c>
      <c r="P301" s="16"/>
      <c r="Q301" s="8"/>
      <c r="R301" s="7" t="str">
        <f>Tab_Data_Flows[[#This Row],[Flow_ID]]&amp;"_"&amp;"material_"&amp;Tab_Data_Flows[[#This Row],[Flow_Data_Year]]</f>
        <v>F_01_02_material_2098</v>
      </c>
      <c r="S301" s="14">
        <f>IF(O301="no",H301,H301*P301)</f>
        <v>394672.64263431251</v>
      </c>
      <c r="T301" s="8" t="s">
        <v>198</v>
      </c>
      <c r="U301" s="143">
        <f>INDEX(Tab_Def_Flows[[Flow_ID]:[CC_DM_source]],MATCH(Tab_Data_Flows[[#This Row],[Flow_Name]],Tab_Def_Flows[Flow_Name],0),11)</f>
        <v>0.6</v>
      </c>
      <c r="V301" s="7" t="str">
        <f>Tab_Data_Flows[[#This Row],[Flow_ID]]&amp;"_"&amp;"WC_"&amp;Tab_Data_Flows[[#This Row],[Flow_Data_Year]]</f>
        <v>F_01_02_WC_2098</v>
      </c>
      <c r="W301" s="7">
        <f>IF(D301="Yes",S301*Tab_Data_Flows[[#This Row],[WC_'[%']]],"N.A.")</f>
        <v>236803.5855805875</v>
      </c>
      <c r="X301" s="7" t="str">
        <f>Tab_Data_Flows[[#This Row],[UoM_Flow_Py]]</f>
        <v>Mg</v>
      </c>
      <c r="Y301" s="143">
        <f>INDEX(Tab_Def_Flows[[Flow_ID]:[CC_DM_source]],MATCH(Tab_Data_Flows[[#This Row],[Flow_Name]],Tab_Def_Flows[Flow_Name],0),14)</f>
        <v>0.4</v>
      </c>
      <c r="Z301" s="7" t="str">
        <f>Tab_Data_Flows[[#This Row],[Flow_ID]]&amp;"_"&amp;"DM_"&amp;Tab_Data_Flows[[#This Row],[Flow_Data_Year]]</f>
        <v>F_01_02_DM_2098</v>
      </c>
      <c r="AA301" s="7">
        <f>IF(E301="Yes",Y301*Tab_Data_Flows[[#This Row],[Flow_Material]],"N.A.")</f>
        <v>157869.057053725</v>
      </c>
      <c r="AB301" s="7" t="str">
        <f>Tab_Data_Flows[[#This Row],[UoM_Flow_Py]]</f>
        <v>Mg</v>
      </c>
      <c r="AC301" s="143">
        <f>INDEX(Tab_Def_Flows[[Flow_ID]:[CC_DM_source]],MATCH(Tab_Data_Flows[[#This Row],[Flow_Name]],Tab_Def_Flows[Flow_Name],0),17)</f>
        <v>0</v>
      </c>
      <c r="AD301" s="7" t="str">
        <f>Tab_Data_Flows[[#This Row],[Flow_ID]]&amp;"_"&amp;"CC_"&amp;Tab_Data_Flows[[#This Row],[Flow_Data_Year]]</f>
        <v>F_01_02_CC_2098</v>
      </c>
      <c r="AE301" s="7">
        <f>IF(F301="Yes",AC301*Tab_Data_Flows[[#This Row],[Flow_Material]]*Tab_Data_Flows[[#This Row],[DM_'[%']]],"N.A.")</f>
        <v>0</v>
      </c>
      <c r="AF301" s="7" t="str">
        <f>Tab_Data_Flows[[#This Row],[UoM_Flow_Py]]</f>
        <v>Mg</v>
      </c>
      <c r="AG301"/>
    </row>
    <row r="302" spans="1:33" x14ac:dyDescent="0.25">
      <c r="A302" s="9">
        <f t="shared" si="4"/>
        <v>301</v>
      </c>
      <c r="B302" s="7" t="str">
        <f>_xlfn.XLOOKUP(C302,Tab_Def_Flows[Flow_Name],Tab_Def_Flows[Flow_ID],,0,)</f>
        <v>F_01_02</v>
      </c>
      <c r="C302" s="142" t="s">
        <v>599</v>
      </c>
      <c r="D302" s="10" t="str">
        <f>_xlfn.XLOOKUP(C302,Tab_Def_Flows[Flow_Name],Tab_Def_Flows[WC?],,0,)</f>
        <v>Yes</v>
      </c>
      <c r="E302" s="10" t="str">
        <f>_xlfn.XLOOKUP(C302,Tab_Def_Flows[Flow_Name],Tab_Def_Flows[DM?],,0,)</f>
        <v>Yes</v>
      </c>
      <c r="F302" s="10" t="str">
        <f>_xlfn.XLOOKUP(C302,Tab_Def_Flows[Flow_Name],Tab_Def_Flows[CC?],,0,)</f>
        <v>Yes</v>
      </c>
      <c r="G302" s="8">
        <v>2099</v>
      </c>
      <c r="H302" s="23">
        <v>397806.79380583717</v>
      </c>
      <c r="I302" s="8" t="s">
        <v>198</v>
      </c>
      <c r="J302" s="15"/>
      <c r="K302" s="15"/>
      <c r="L302" s="15"/>
      <c r="M302" s="15"/>
      <c r="N302" s="15"/>
      <c r="O302" s="8" t="s">
        <v>6</v>
      </c>
      <c r="P302" s="16"/>
      <c r="Q302" s="8"/>
      <c r="R302" s="7" t="str">
        <f>Tab_Data_Flows[[#This Row],[Flow_ID]]&amp;"_"&amp;"material_"&amp;Tab_Data_Flows[[#This Row],[Flow_Data_Year]]</f>
        <v>F_01_02_material_2099</v>
      </c>
      <c r="S302" s="14">
        <f>IF(O302="no",H302,H302*P302)</f>
        <v>397806.79380583717</v>
      </c>
      <c r="T302" s="8" t="s">
        <v>198</v>
      </c>
      <c r="U302" s="143">
        <f>INDEX(Tab_Def_Flows[[Flow_ID]:[CC_DM_source]],MATCH(Tab_Data_Flows[[#This Row],[Flow_Name]],Tab_Def_Flows[Flow_Name],0),11)</f>
        <v>0.6</v>
      </c>
      <c r="V302" s="7" t="str">
        <f>Tab_Data_Flows[[#This Row],[Flow_ID]]&amp;"_"&amp;"WC_"&amp;Tab_Data_Flows[[#This Row],[Flow_Data_Year]]</f>
        <v>F_01_02_WC_2099</v>
      </c>
      <c r="W302" s="7">
        <f>IF(D302="Yes",S302*Tab_Data_Flows[[#This Row],[WC_'[%']]],"N.A.")</f>
        <v>238684.07628350228</v>
      </c>
      <c r="X302" s="7" t="str">
        <f>Tab_Data_Flows[[#This Row],[UoM_Flow_Py]]</f>
        <v>Mg</v>
      </c>
      <c r="Y302" s="143">
        <f>INDEX(Tab_Def_Flows[[Flow_ID]:[CC_DM_source]],MATCH(Tab_Data_Flows[[#This Row],[Flow_Name]],Tab_Def_Flows[Flow_Name],0),14)</f>
        <v>0.4</v>
      </c>
      <c r="Z302" s="7" t="str">
        <f>Tab_Data_Flows[[#This Row],[Flow_ID]]&amp;"_"&amp;"DM_"&amp;Tab_Data_Flows[[#This Row],[Flow_Data_Year]]</f>
        <v>F_01_02_DM_2099</v>
      </c>
      <c r="AA302" s="7">
        <f>IF(E302="Yes",Y302*Tab_Data_Flows[[#This Row],[Flow_Material]],"N.A.")</f>
        <v>159122.71752233489</v>
      </c>
      <c r="AB302" s="7" t="str">
        <f>Tab_Data_Flows[[#This Row],[UoM_Flow_Py]]</f>
        <v>Mg</v>
      </c>
      <c r="AC302" s="143">
        <f>INDEX(Tab_Def_Flows[[Flow_ID]:[CC_DM_source]],MATCH(Tab_Data_Flows[[#This Row],[Flow_Name]],Tab_Def_Flows[Flow_Name],0),17)</f>
        <v>0</v>
      </c>
      <c r="AD302" s="7" t="str">
        <f>Tab_Data_Flows[[#This Row],[Flow_ID]]&amp;"_"&amp;"CC_"&amp;Tab_Data_Flows[[#This Row],[Flow_Data_Year]]</f>
        <v>F_01_02_CC_2099</v>
      </c>
      <c r="AE302" s="7">
        <f>IF(F302="Yes",AC302*Tab_Data_Flows[[#This Row],[Flow_Material]]*Tab_Data_Flows[[#This Row],[DM_'[%']]],"N.A.")</f>
        <v>0</v>
      </c>
      <c r="AF302" s="7" t="str">
        <f>Tab_Data_Flows[[#This Row],[UoM_Flow_Py]]</f>
        <v>Mg</v>
      </c>
      <c r="AG302"/>
    </row>
    <row r="303" spans="1:33" x14ac:dyDescent="0.25">
      <c r="A303" s="9">
        <f t="shared" si="4"/>
        <v>302</v>
      </c>
      <c r="B303" s="7" t="str">
        <f>_xlfn.XLOOKUP(C303,Tab_Def_Flows[Flow_Name],Tab_Def_Flows[Flow_ID],,0,)</f>
        <v>F_01_02</v>
      </c>
      <c r="C303" s="142" t="s">
        <v>599</v>
      </c>
      <c r="D303" s="10" t="str">
        <f>_xlfn.XLOOKUP(C303,Tab_Def_Flows[Flow_Name],Tab_Def_Flows[WC?],,0,)</f>
        <v>Yes</v>
      </c>
      <c r="E303" s="10" t="str">
        <f>_xlfn.XLOOKUP(C303,Tab_Def_Flows[Flow_Name],Tab_Def_Flows[DM?],,0,)</f>
        <v>Yes</v>
      </c>
      <c r="F303" s="10" t="str">
        <f>_xlfn.XLOOKUP(C303,Tab_Def_Flows[Flow_Name],Tab_Def_Flows[CC?],,0,)</f>
        <v>Yes</v>
      </c>
      <c r="G303" s="8">
        <v>2100</v>
      </c>
      <c r="H303" s="23">
        <v>345891.59639918664</v>
      </c>
      <c r="I303" s="8" t="s">
        <v>198</v>
      </c>
      <c r="J303" s="15"/>
      <c r="K303" s="15"/>
      <c r="L303" s="15"/>
      <c r="M303" s="15"/>
      <c r="N303" s="15"/>
      <c r="O303" s="8" t="s">
        <v>6</v>
      </c>
      <c r="P303" s="16"/>
      <c r="Q303" s="8"/>
      <c r="R303" s="7" t="str">
        <f>Tab_Data_Flows[[#This Row],[Flow_ID]]&amp;"_"&amp;"material_"&amp;Tab_Data_Flows[[#This Row],[Flow_Data_Year]]</f>
        <v>F_01_02_material_2100</v>
      </c>
      <c r="S303" s="14">
        <f>IF(O303="no",H303,H303*P303)</f>
        <v>345891.59639918664</v>
      </c>
      <c r="T303" s="8" t="s">
        <v>198</v>
      </c>
      <c r="U303" s="143">
        <f>INDEX(Tab_Def_Flows[[Flow_ID]:[CC_DM_source]],MATCH(Tab_Data_Flows[[#This Row],[Flow_Name]],Tab_Def_Flows[Flow_Name],0),11)</f>
        <v>0.6</v>
      </c>
      <c r="V303" s="7" t="str">
        <f>Tab_Data_Flows[[#This Row],[Flow_ID]]&amp;"_"&amp;"WC_"&amp;Tab_Data_Flows[[#This Row],[Flow_Data_Year]]</f>
        <v>F_01_02_WC_2100</v>
      </c>
      <c r="W303" s="7">
        <f>IF(D303="Yes",S303*Tab_Data_Flows[[#This Row],[WC_'[%']]],"N.A.")</f>
        <v>207534.95783951198</v>
      </c>
      <c r="X303" s="7" t="str">
        <f>Tab_Data_Flows[[#This Row],[UoM_Flow_Py]]</f>
        <v>Mg</v>
      </c>
      <c r="Y303" s="143">
        <f>INDEX(Tab_Def_Flows[[Flow_ID]:[CC_DM_source]],MATCH(Tab_Data_Flows[[#This Row],[Flow_Name]],Tab_Def_Flows[Flow_Name],0),14)</f>
        <v>0.4</v>
      </c>
      <c r="Z303" s="7" t="str">
        <f>Tab_Data_Flows[[#This Row],[Flow_ID]]&amp;"_"&amp;"DM_"&amp;Tab_Data_Flows[[#This Row],[Flow_Data_Year]]</f>
        <v>F_01_02_DM_2100</v>
      </c>
      <c r="AA303" s="7">
        <f>IF(E303="Yes",Y303*Tab_Data_Flows[[#This Row],[Flow_Material]],"N.A.")</f>
        <v>138356.63855967467</v>
      </c>
      <c r="AB303" s="7" t="str">
        <f>Tab_Data_Flows[[#This Row],[UoM_Flow_Py]]</f>
        <v>Mg</v>
      </c>
      <c r="AC303" s="143">
        <f>INDEX(Tab_Def_Flows[[Flow_ID]:[CC_DM_source]],MATCH(Tab_Data_Flows[[#This Row],[Flow_Name]],Tab_Def_Flows[Flow_Name],0),17)</f>
        <v>0</v>
      </c>
      <c r="AD303" s="7" t="str">
        <f>Tab_Data_Flows[[#This Row],[Flow_ID]]&amp;"_"&amp;"CC_"&amp;Tab_Data_Flows[[#This Row],[Flow_Data_Year]]</f>
        <v>F_01_02_CC_2100</v>
      </c>
      <c r="AE303" s="7">
        <f>IF(F303="Yes",AC303*Tab_Data_Flows[[#This Row],[Flow_Material]]*Tab_Data_Flows[[#This Row],[DM_'[%']]],"N.A.")</f>
        <v>0</v>
      </c>
      <c r="AF303" s="7" t="str">
        <f>Tab_Data_Flows[[#This Row],[UoM_Flow_Py]]</f>
        <v>Mg</v>
      </c>
      <c r="AG303"/>
    </row>
    <row r="304" spans="1:33" x14ac:dyDescent="0.25">
      <c r="A304" s="9">
        <f t="shared" si="4"/>
        <v>303</v>
      </c>
      <c r="B304" s="7" t="str">
        <f>_xlfn.XLOOKUP(C304,Tab_Def_Flows[Flow_Name],Tab_Def_Flows[Flow_ID],,0,)</f>
        <v>F__</v>
      </c>
      <c r="C304" s="142" t="s">
        <v>22</v>
      </c>
      <c r="D304" s="10">
        <f>_xlfn.XLOOKUP(C304,Tab_Def_Flows[Flow_Name],Tab_Def_Flows[WC?],,0,)</f>
        <v>0</v>
      </c>
      <c r="E304" s="10">
        <f>_xlfn.XLOOKUP(C304,Tab_Def_Flows[Flow_Name],Tab_Def_Flows[DM?],,0,)</f>
        <v>0</v>
      </c>
      <c r="F304" s="10">
        <f>_xlfn.XLOOKUP(C304,Tab_Def_Flows[Flow_Name],Tab_Def_Flows[CC?],,0,)</f>
        <v>0</v>
      </c>
      <c r="G304" s="8"/>
      <c r="H304" s="23"/>
      <c r="I304" s="8"/>
      <c r="J304" s="15"/>
      <c r="K304" s="15"/>
      <c r="L304" s="15"/>
      <c r="M304" s="15"/>
      <c r="N304" s="15"/>
      <c r="O304" s="8" t="s">
        <v>6</v>
      </c>
      <c r="P304" s="16"/>
      <c r="Q304" s="8"/>
      <c r="R304" s="7" t="str">
        <f>Tab_Data_Flows[[#This Row],[Flow_ID]]&amp;"_"&amp;"material_"&amp;Tab_Data_Flows[[#This Row],[Flow_Data_Year]]</f>
        <v>F___material_</v>
      </c>
      <c r="S304" s="14">
        <f>IF(O304="no",H304,H304*P304)</f>
        <v>0</v>
      </c>
      <c r="T304" s="8" t="s">
        <v>198</v>
      </c>
      <c r="U304" s="143">
        <f>INDEX(Tab_Def_Flows[[Flow_ID]:[CC_DM_source]],MATCH(Tab_Data_Flows[[#This Row],[Flow_Name]],Tab_Def_Flows[Flow_Name],0),11)</f>
        <v>0</v>
      </c>
      <c r="V304" s="7" t="str">
        <f>Tab_Data_Flows[[#This Row],[Flow_ID]]&amp;"_"&amp;"WC_"&amp;Tab_Data_Flows[[#This Row],[Flow_Data_Year]]</f>
        <v>F___WC_</v>
      </c>
      <c r="W304" s="7" t="str">
        <f>IF(D304="Yes",S304*Tab_Data_Flows[[#This Row],[WC_'[%']]],"N.A.")</f>
        <v>N.A.</v>
      </c>
      <c r="X304" s="7" t="str">
        <f>Tab_Data_Flows[[#This Row],[UoM_Flow_Py]]</f>
        <v>Mg</v>
      </c>
      <c r="Y304" s="143">
        <f>INDEX(Tab_Def_Flows[[Flow_ID]:[CC_DM_source]],MATCH(Tab_Data_Flows[[#This Row],[Flow_Name]],Tab_Def_Flows[Flow_Name],0),14)</f>
        <v>0</v>
      </c>
      <c r="Z304" s="7" t="str">
        <f>Tab_Data_Flows[[#This Row],[Flow_ID]]&amp;"_"&amp;"DM_"&amp;Tab_Data_Flows[[#This Row],[Flow_Data_Year]]</f>
        <v>F___DM_</v>
      </c>
      <c r="AA304" s="7" t="str">
        <f>IF(E304="Yes",Y304*Tab_Data_Flows[[#This Row],[Flow_Material]],"N.A.")</f>
        <v>N.A.</v>
      </c>
      <c r="AB304" s="7" t="str">
        <f>Tab_Data_Flows[[#This Row],[UoM_Flow_Py]]</f>
        <v>Mg</v>
      </c>
      <c r="AC304" s="143">
        <f>INDEX(Tab_Def_Flows[[Flow_ID]:[CC_DM_source]],MATCH(Tab_Data_Flows[[#This Row],[Flow_Name]],Tab_Def_Flows[Flow_Name],0),17)</f>
        <v>0</v>
      </c>
      <c r="AD304" s="7" t="str">
        <f>Tab_Data_Flows[[#This Row],[Flow_ID]]&amp;"_"&amp;"CC_"&amp;Tab_Data_Flows[[#This Row],[Flow_Data_Year]]</f>
        <v>F___CC_</v>
      </c>
      <c r="AE304" s="7" t="str">
        <f>IF(F304="Yes",AC304*Tab_Data_Flows[[#This Row],[Flow_Material]]*Tab_Data_Flows[[#This Row],[DM_'[%']]],"N.A.")</f>
        <v>N.A.</v>
      </c>
      <c r="AF304" s="7" t="str">
        <f>Tab_Data_Flows[[#This Row],[UoM_Flow_Py]]</f>
        <v>Mg</v>
      </c>
      <c r="AG304"/>
    </row>
    <row r="305" spans="1:33" x14ac:dyDescent="0.25">
      <c r="A305" s="9">
        <f t="shared" si="4"/>
        <v>304</v>
      </c>
      <c r="B305" s="7" t="str">
        <f>_xlfn.XLOOKUP(C305,Tab_Def_Flows[Flow_Name],Tab_Def_Flows[Flow_ID],,0,)</f>
        <v>F__</v>
      </c>
      <c r="C305" s="142" t="s">
        <v>22</v>
      </c>
      <c r="D305" s="10">
        <f>_xlfn.XLOOKUP(C305,Tab_Def_Flows[Flow_Name],Tab_Def_Flows[WC?],,0,)</f>
        <v>0</v>
      </c>
      <c r="E305" s="10">
        <f>_xlfn.XLOOKUP(C305,Tab_Def_Flows[Flow_Name],Tab_Def_Flows[DM?],,0,)</f>
        <v>0</v>
      </c>
      <c r="F305" s="10">
        <f>_xlfn.XLOOKUP(C305,Tab_Def_Flows[Flow_Name],Tab_Def_Flows[CC?],,0,)</f>
        <v>0</v>
      </c>
      <c r="G305" s="8"/>
      <c r="H305" s="23"/>
      <c r="I305" s="8"/>
      <c r="J305" s="15"/>
      <c r="K305" s="15"/>
      <c r="L305" s="15"/>
      <c r="M305" s="15"/>
      <c r="N305" s="15"/>
      <c r="O305" s="8" t="s">
        <v>6</v>
      </c>
      <c r="P305" s="16"/>
      <c r="Q305" s="8"/>
      <c r="R305" s="7" t="str">
        <f>Tab_Data_Flows[[#This Row],[Flow_ID]]&amp;"_"&amp;"material_"&amp;Tab_Data_Flows[[#This Row],[Flow_Data_Year]]</f>
        <v>F___material_</v>
      </c>
      <c r="S305" s="14">
        <f>IF(O305="no",H305,H305*P305)</f>
        <v>0</v>
      </c>
      <c r="T305" s="8" t="s">
        <v>198</v>
      </c>
      <c r="U305" s="143">
        <f>INDEX(Tab_Def_Flows[[Flow_ID]:[CC_DM_source]],MATCH(Tab_Data_Flows[[#This Row],[Flow_Name]],Tab_Def_Flows[Flow_Name],0),11)</f>
        <v>0</v>
      </c>
      <c r="V305" s="7" t="str">
        <f>Tab_Data_Flows[[#This Row],[Flow_ID]]&amp;"_"&amp;"WC_"&amp;Tab_Data_Flows[[#This Row],[Flow_Data_Year]]</f>
        <v>F___WC_</v>
      </c>
      <c r="W305" s="7" t="str">
        <f>IF(D305="Yes",S305*Tab_Data_Flows[[#This Row],[WC_'[%']]],"N.A.")</f>
        <v>N.A.</v>
      </c>
      <c r="X305" s="7" t="str">
        <f>Tab_Data_Flows[[#This Row],[UoM_Flow_Py]]</f>
        <v>Mg</v>
      </c>
      <c r="Y305" s="143">
        <f>INDEX(Tab_Def_Flows[[Flow_ID]:[CC_DM_source]],MATCH(Tab_Data_Flows[[#This Row],[Flow_Name]],Tab_Def_Flows[Flow_Name],0),14)</f>
        <v>0</v>
      </c>
      <c r="Z305" s="7" t="str">
        <f>Tab_Data_Flows[[#This Row],[Flow_ID]]&amp;"_"&amp;"DM_"&amp;Tab_Data_Flows[[#This Row],[Flow_Data_Year]]</f>
        <v>F___DM_</v>
      </c>
      <c r="AA305" s="7" t="str">
        <f>IF(E305="Yes",Y305*Tab_Data_Flows[[#This Row],[Flow_Material]],"N.A.")</f>
        <v>N.A.</v>
      </c>
      <c r="AB305" s="7" t="str">
        <f>Tab_Data_Flows[[#This Row],[UoM_Flow_Py]]</f>
        <v>Mg</v>
      </c>
      <c r="AC305" s="143">
        <f>INDEX(Tab_Def_Flows[[Flow_ID]:[CC_DM_source]],MATCH(Tab_Data_Flows[[#This Row],[Flow_Name]],Tab_Def_Flows[Flow_Name],0),17)</f>
        <v>0</v>
      </c>
      <c r="AD305" s="7" t="str">
        <f>Tab_Data_Flows[[#This Row],[Flow_ID]]&amp;"_"&amp;"CC_"&amp;Tab_Data_Flows[[#This Row],[Flow_Data_Year]]</f>
        <v>F___CC_</v>
      </c>
      <c r="AE305" s="7" t="str">
        <f>IF(F305="Yes",AC305*Tab_Data_Flows[[#This Row],[Flow_Material]]*Tab_Data_Flows[[#This Row],[DM_'[%']]],"N.A.")</f>
        <v>N.A.</v>
      </c>
      <c r="AF305" s="7" t="str">
        <f>Tab_Data_Flows[[#This Row],[UoM_Flow_Py]]</f>
        <v>Mg</v>
      </c>
      <c r="AG305"/>
    </row>
    <row r="306" spans="1:33" x14ac:dyDescent="0.25">
      <c r="A306" s="9">
        <f t="shared" si="4"/>
        <v>305</v>
      </c>
      <c r="B306" s="7" t="str">
        <f>_xlfn.XLOOKUP(C306,Tab_Def_Flows[Flow_Name],Tab_Def_Flows[Flow_ID],,0,)</f>
        <v>F__</v>
      </c>
      <c r="C306" s="142" t="s">
        <v>22</v>
      </c>
      <c r="D306" s="10">
        <f>_xlfn.XLOOKUP(C306,Tab_Def_Flows[Flow_Name],Tab_Def_Flows[WC?],,0,)</f>
        <v>0</v>
      </c>
      <c r="E306" s="10">
        <f>_xlfn.XLOOKUP(C306,Tab_Def_Flows[Flow_Name],Tab_Def_Flows[DM?],,0,)</f>
        <v>0</v>
      </c>
      <c r="F306" s="10">
        <f>_xlfn.XLOOKUP(C306,Tab_Def_Flows[Flow_Name],Tab_Def_Flows[CC?],,0,)</f>
        <v>0</v>
      </c>
      <c r="G306" s="8"/>
      <c r="H306" s="23"/>
      <c r="I306" s="8"/>
      <c r="J306" s="15"/>
      <c r="K306" s="15"/>
      <c r="L306" s="15"/>
      <c r="M306" s="15"/>
      <c r="N306" s="15"/>
      <c r="O306" s="8" t="s">
        <v>6</v>
      </c>
      <c r="P306" s="16"/>
      <c r="Q306" s="8"/>
      <c r="R306" s="7" t="str">
        <f>Tab_Data_Flows[[#This Row],[Flow_ID]]&amp;"_"&amp;"material_"&amp;Tab_Data_Flows[[#This Row],[Flow_Data_Year]]</f>
        <v>F___material_</v>
      </c>
      <c r="S306" s="14">
        <f>IF(O306="no",H306,H306*P306)</f>
        <v>0</v>
      </c>
      <c r="T306" s="8" t="s">
        <v>198</v>
      </c>
      <c r="U306" s="143">
        <f>INDEX(Tab_Def_Flows[[Flow_ID]:[CC_DM_source]],MATCH(Tab_Data_Flows[[#This Row],[Flow_Name]],Tab_Def_Flows[Flow_Name],0),11)</f>
        <v>0</v>
      </c>
      <c r="V306" s="7" t="str">
        <f>Tab_Data_Flows[[#This Row],[Flow_ID]]&amp;"_"&amp;"WC_"&amp;Tab_Data_Flows[[#This Row],[Flow_Data_Year]]</f>
        <v>F___WC_</v>
      </c>
      <c r="W306" s="7" t="str">
        <f>IF(D306="Yes",S306*Tab_Data_Flows[[#This Row],[WC_'[%']]],"N.A.")</f>
        <v>N.A.</v>
      </c>
      <c r="X306" s="7" t="str">
        <f>Tab_Data_Flows[[#This Row],[UoM_Flow_Py]]</f>
        <v>Mg</v>
      </c>
      <c r="Y306" s="143">
        <f>INDEX(Tab_Def_Flows[[Flow_ID]:[CC_DM_source]],MATCH(Tab_Data_Flows[[#This Row],[Flow_Name]],Tab_Def_Flows[Flow_Name],0),14)</f>
        <v>0</v>
      </c>
      <c r="Z306" s="7" t="str">
        <f>Tab_Data_Flows[[#This Row],[Flow_ID]]&amp;"_"&amp;"DM_"&amp;Tab_Data_Flows[[#This Row],[Flow_Data_Year]]</f>
        <v>F___DM_</v>
      </c>
      <c r="AA306" s="7" t="str">
        <f>IF(E306="Yes",Y306*Tab_Data_Flows[[#This Row],[Flow_Material]],"N.A.")</f>
        <v>N.A.</v>
      </c>
      <c r="AB306" s="7" t="str">
        <f>Tab_Data_Flows[[#This Row],[UoM_Flow_Py]]</f>
        <v>Mg</v>
      </c>
      <c r="AC306" s="143">
        <f>INDEX(Tab_Def_Flows[[Flow_ID]:[CC_DM_source]],MATCH(Tab_Data_Flows[[#This Row],[Flow_Name]],Tab_Def_Flows[Flow_Name],0),17)</f>
        <v>0</v>
      </c>
      <c r="AD306" s="7" t="str">
        <f>Tab_Data_Flows[[#This Row],[Flow_ID]]&amp;"_"&amp;"CC_"&amp;Tab_Data_Flows[[#This Row],[Flow_Data_Year]]</f>
        <v>F___CC_</v>
      </c>
      <c r="AE306" s="7" t="str">
        <f>IF(F306="Yes",AC306*Tab_Data_Flows[[#This Row],[Flow_Material]]*Tab_Data_Flows[[#This Row],[DM_'[%']]],"N.A.")</f>
        <v>N.A.</v>
      </c>
      <c r="AF306" s="7" t="str">
        <f>Tab_Data_Flows[[#This Row],[UoM_Flow_Py]]</f>
        <v>Mg</v>
      </c>
      <c r="AG306"/>
    </row>
    <row r="307" spans="1:33" x14ac:dyDescent="0.25">
      <c r="A307" s="9">
        <f t="shared" si="4"/>
        <v>306</v>
      </c>
      <c r="B307" s="7" t="str">
        <f>_xlfn.XLOOKUP(C307,Tab_Def_Flows[Flow_Name],Tab_Def_Flows[Flow_ID],,0,)</f>
        <v>F__</v>
      </c>
      <c r="C307" s="142" t="s">
        <v>22</v>
      </c>
      <c r="D307" s="10">
        <f>_xlfn.XLOOKUP(C307,Tab_Def_Flows[Flow_Name],Tab_Def_Flows[WC?],,0,)</f>
        <v>0</v>
      </c>
      <c r="E307" s="10">
        <f>_xlfn.XLOOKUP(C307,Tab_Def_Flows[Flow_Name],Tab_Def_Flows[DM?],,0,)</f>
        <v>0</v>
      </c>
      <c r="F307" s="10">
        <f>_xlfn.XLOOKUP(C307,Tab_Def_Flows[Flow_Name],Tab_Def_Flows[CC?],,0,)</f>
        <v>0</v>
      </c>
      <c r="G307" s="8"/>
      <c r="H307" s="23"/>
      <c r="I307" s="8"/>
      <c r="J307" s="15"/>
      <c r="K307" s="15"/>
      <c r="L307" s="15"/>
      <c r="M307" s="15"/>
      <c r="N307" s="15"/>
      <c r="O307" s="8" t="s">
        <v>6</v>
      </c>
      <c r="P307" s="16"/>
      <c r="Q307" s="8"/>
      <c r="R307" s="7" t="str">
        <f>Tab_Data_Flows[[#This Row],[Flow_ID]]&amp;"_"&amp;"material_"&amp;Tab_Data_Flows[[#This Row],[Flow_Data_Year]]</f>
        <v>F___material_</v>
      </c>
      <c r="S307" s="14">
        <f>IF(O307="no",H307,H307*P307)</f>
        <v>0</v>
      </c>
      <c r="T307" s="8" t="s">
        <v>198</v>
      </c>
      <c r="U307" s="143">
        <f>INDEX(Tab_Def_Flows[[Flow_ID]:[CC_DM_source]],MATCH(Tab_Data_Flows[[#This Row],[Flow_Name]],Tab_Def_Flows[Flow_Name],0),11)</f>
        <v>0</v>
      </c>
      <c r="V307" s="7" t="str">
        <f>Tab_Data_Flows[[#This Row],[Flow_ID]]&amp;"_"&amp;"WC_"&amp;Tab_Data_Flows[[#This Row],[Flow_Data_Year]]</f>
        <v>F___WC_</v>
      </c>
      <c r="W307" s="7" t="str">
        <f>IF(D307="Yes",S307*Tab_Data_Flows[[#This Row],[WC_'[%']]],"N.A.")</f>
        <v>N.A.</v>
      </c>
      <c r="X307" s="7" t="str">
        <f>Tab_Data_Flows[[#This Row],[UoM_Flow_Py]]</f>
        <v>Mg</v>
      </c>
      <c r="Y307" s="143">
        <f>INDEX(Tab_Def_Flows[[Flow_ID]:[CC_DM_source]],MATCH(Tab_Data_Flows[[#This Row],[Flow_Name]],Tab_Def_Flows[Flow_Name],0),14)</f>
        <v>0</v>
      </c>
      <c r="Z307" s="7" t="str">
        <f>Tab_Data_Flows[[#This Row],[Flow_ID]]&amp;"_"&amp;"DM_"&amp;Tab_Data_Flows[[#This Row],[Flow_Data_Year]]</f>
        <v>F___DM_</v>
      </c>
      <c r="AA307" s="7" t="str">
        <f>IF(E307="Yes",Y307*Tab_Data_Flows[[#This Row],[Flow_Material]],"N.A.")</f>
        <v>N.A.</v>
      </c>
      <c r="AB307" s="7" t="str">
        <f>Tab_Data_Flows[[#This Row],[UoM_Flow_Py]]</f>
        <v>Mg</v>
      </c>
      <c r="AC307" s="143">
        <f>INDEX(Tab_Def_Flows[[Flow_ID]:[CC_DM_source]],MATCH(Tab_Data_Flows[[#This Row],[Flow_Name]],Tab_Def_Flows[Flow_Name],0),17)</f>
        <v>0</v>
      </c>
      <c r="AD307" s="7" t="str">
        <f>Tab_Data_Flows[[#This Row],[Flow_ID]]&amp;"_"&amp;"CC_"&amp;Tab_Data_Flows[[#This Row],[Flow_Data_Year]]</f>
        <v>F___CC_</v>
      </c>
      <c r="AE307" s="7" t="str">
        <f>IF(F307="Yes",AC307*Tab_Data_Flows[[#This Row],[Flow_Material]]*Tab_Data_Flows[[#This Row],[DM_'[%']]],"N.A.")</f>
        <v>N.A.</v>
      </c>
      <c r="AF307" s="7" t="str">
        <f>Tab_Data_Flows[[#This Row],[UoM_Flow_Py]]</f>
        <v>Mg</v>
      </c>
      <c r="AG307"/>
    </row>
    <row r="308" spans="1:33" x14ac:dyDescent="0.25">
      <c r="A308" s="9">
        <f t="shared" si="4"/>
        <v>307</v>
      </c>
      <c r="B308" s="7" t="str">
        <f>_xlfn.XLOOKUP(C308,Tab_Def_Flows[Flow_Name],Tab_Def_Flows[Flow_ID],,0,)</f>
        <v>F__</v>
      </c>
      <c r="C308" s="142" t="s">
        <v>22</v>
      </c>
      <c r="D308" s="10">
        <f>_xlfn.XLOOKUP(C308,Tab_Def_Flows[Flow_Name],Tab_Def_Flows[WC?],,0,)</f>
        <v>0</v>
      </c>
      <c r="E308" s="10">
        <f>_xlfn.XLOOKUP(C308,Tab_Def_Flows[Flow_Name],Tab_Def_Flows[DM?],,0,)</f>
        <v>0</v>
      </c>
      <c r="F308" s="10">
        <f>_xlfn.XLOOKUP(C308,Tab_Def_Flows[Flow_Name],Tab_Def_Flows[CC?],,0,)</f>
        <v>0</v>
      </c>
      <c r="G308" s="8"/>
      <c r="H308" s="23"/>
      <c r="I308" s="8"/>
      <c r="J308" s="15"/>
      <c r="K308" s="15"/>
      <c r="L308" s="15"/>
      <c r="M308" s="15"/>
      <c r="N308" s="15"/>
      <c r="O308" s="8" t="s">
        <v>6</v>
      </c>
      <c r="P308" s="16"/>
      <c r="Q308" s="8"/>
      <c r="R308" s="7" t="str">
        <f>Tab_Data_Flows[[#This Row],[Flow_ID]]&amp;"_"&amp;"material_"&amp;Tab_Data_Flows[[#This Row],[Flow_Data_Year]]</f>
        <v>F___material_</v>
      </c>
      <c r="S308" s="14">
        <f>IF(O308="no",H308,H308*P308)</f>
        <v>0</v>
      </c>
      <c r="T308" s="8" t="s">
        <v>198</v>
      </c>
      <c r="U308" s="143">
        <f>INDEX(Tab_Def_Flows[[Flow_ID]:[CC_DM_source]],MATCH(Tab_Data_Flows[[#This Row],[Flow_Name]],Tab_Def_Flows[Flow_Name],0),11)</f>
        <v>0</v>
      </c>
      <c r="V308" s="7" t="str">
        <f>Tab_Data_Flows[[#This Row],[Flow_ID]]&amp;"_"&amp;"WC_"&amp;Tab_Data_Flows[[#This Row],[Flow_Data_Year]]</f>
        <v>F___WC_</v>
      </c>
      <c r="W308" s="7" t="str">
        <f>IF(D308="Yes",S308*Tab_Data_Flows[[#This Row],[WC_'[%']]],"N.A.")</f>
        <v>N.A.</v>
      </c>
      <c r="X308" s="7" t="str">
        <f>Tab_Data_Flows[[#This Row],[UoM_Flow_Py]]</f>
        <v>Mg</v>
      </c>
      <c r="Y308" s="143">
        <f>INDEX(Tab_Def_Flows[[Flow_ID]:[CC_DM_source]],MATCH(Tab_Data_Flows[[#This Row],[Flow_Name]],Tab_Def_Flows[Flow_Name],0),14)</f>
        <v>0</v>
      </c>
      <c r="Z308" s="7" t="str">
        <f>Tab_Data_Flows[[#This Row],[Flow_ID]]&amp;"_"&amp;"DM_"&amp;Tab_Data_Flows[[#This Row],[Flow_Data_Year]]</f>
        <v>F___DM_</v>
      </c>
      <c r="AA308" s="7" t="str">
        <f>IF(E308="Yes",Y308*Tab_Data_Flows[[#This Row],[Flow_Material]],"N.A.")</f>
        <v>N.A.</v>
      </c>
      <c r="AB308" s="7" t="str">
        <f>Tab_Data_Flows[[#This Row],[UoM_Flow_Py]]</f>
        <v>Mg</v>
      </c>
      <c r="AC308" s="143">
        <f>INDEX(Tab_Def_Flows[[Flow_ID]:[CC_DM_source]],MATCH(Tab_Data_Flows[[#This Row],[Flow_Name]],Tab_Def_Flows[Flow_Name],0),17)</f>
        <v>0</v>
      </c>
      <c r="AD308" s="7" t="str">
        <f>Tab_Data_Flows[[#This Row],[Flow_ID]]&amp;"_"&amp;"CC_"&amp;Tab_Data_Flows[[#This Row],[Flow_Data_Year]]</f>
        <v>F___CC_</v>
      </c>
      <c r="AE308" s="7" t="str">
        <f>IF(F308="Yes",AC308*Tab_Data_Flows[[#This Row],[Flow_Material]]*Tab_Data_Flows[[#This Row],[DM_'[%']]],"N.A.")</f>
        <v>N.A.</v>
      </c>
      <c r="AF308" s="7" t="str">
        <f>Tab_Data_Flows[[#This Row],[UoM_Flow_Py]]</f>
        <v>Mg</v>
      </c>
      <c r="AG308"/>
    </row>
    <row r="309" spans="1:33" x14ac:dyDescent="0.25">
      <c r="A309" s="9">
        <f t="shared" si="4"/>
        <v>308</v>
      </c>
      <c r="B309" s="7" t="str">
        <f>_xlfn.XLOOKUP(C309,Tab_Def_Flows[Flow_Name],Tab_Def_Flows[Flow_ID],,0,)</f>
        <v>F__</v>
      </c>
      <c r="C309" s="142" t="s">
        <v>22</v>
      </c>
      <c r="D309" s="10">
        <f>_xlfn.XLOOKUP(C309,Tab_Def_Flows[Flow_Name],Tab_Def_Flows[WC?],,0,)</f>
        <v>0</v>
      </c>
      <c r="E309" s="10">
        <f>_xlfn.XLOOKUP(C309,Tab_Def_Flows[Flow_Name],Tab_Def_Flows[DM?],,0,)</f>
        <v>0</v>
      </c>
      <c r="F309" s="10">
        <f>_xlfn.XLOOKUP(C309,Tab_Def_Flows[Flow_Name],Tab_Def_Flows[CC?],,0,)</f>
        <v>0</v>
      </c>
      <c r="G309" s="8"/>
      <c r="H309" s="23"/>
      <c r="I309" s="8"/>
      <c r="J309" s="15"/>
      <c r="K309" s="15"/>
      <c r="L309" s="15"/>
      <c r="M309" s="15"/>
      <c r="N309" s="15"/>
      <c r="O309" s="8" t="s">
        <v>6</v>
      </c>
      <c r="P309" s="16"/>
      <c r="Q309" s="8"/>
      <c r="R309" s="7" t="str">
        <f>Tab_Data_Flows[[#This Row],[Flow_ID]]&amp;"_"&amp;"material_"&amp;Tab_Data_Flows[[#This Row],[Flow_Data_Year]]</f>
        <v>F___material_</v>
      </c>
      <c r="S309" s="14">
        <f>IF(O309="no",H309,H309*P309)</f>
        <v>0</v>
      </c>
      <c r="T309" s="8" t="s">
        <v>198</v>
      </c>
      <c r="U309" s="143">
        <f>INDEX(Tab_Def_Flows[[Flow_ID]:[CC_DM_source]],MATCH(Tab_Data_Flows[[#This Row],[Flow_Name]],Tab_Def_Flows[Flow_Name],0),11)</f>
        <v>0</v>
      </c>
      <c r="V309" s="7" t="str">
        <f>Tab_Data_Flows[[#This Row],[Flow_ID]]&amp;"_"&amp;"WC_"&amp;Tab_Data_Flows[[#This Row],[Flow_Data_Year]]</f>
        <v>F___WC_</v>
      </c>
      <c r="W309" s="7" t="str">
        <f>IF(D309="Yes",S309*Tab_Data_Flows[[#This Row],[WC_'[%']]],"N.A.")</f>
        <v>N.A.</v>
      </c>
      <c r="X309" s="7" t="str">
        <f>Tab_Data_Flows[[#This Row],[UoM_Flow_Py]]</f>
        <v>Mg</v>
      </c>
      <c r="Y309" s="143">
        <f>INDEX(Tab_Def_Flows[[Flow_ID]:[CC_DM_source]],MATCH(Tab_Data_Flows[[#This Row],[Flow_Name]],Tab_Def_Flows[Flow_Name],0),14)</f>
        <v>0</v>
      </c>
      <c r="Z309" s="7" t="str">
        <f>Tab_Data_Flows[[#This Row],[Flow_ID]]&amp;"_"&amp;"DM_"&amp;Tab_Data_Flows[[#This Row],[Flow_Data_Year]]</f>
        <v>F___DM_</v>
      </c>
      <c r="AA309" s="7" t="str">
        <f>IF(E309="Yes",Y309*Tab_Data_Flows[[#This Row],[Flow_Material]],"N.A.")</f>
        <v>N.A.</v>
      </c>
      <c r="AB309" s="7" t="str">
        <f>Tab_Data_Flows[[#This Row],[UoM_Flow_Py]]</f>
        <v>Mg</v>
      </c>
      <c r="AC309" s="143">
        <f>INDEX(Tab_Def_Flows[[Flow_ID]:[CC_DM_source]],MATCH(Tab_Data_Flows[[#This Row],[Flow_Name]],Tab_Def_Flows[Flow_Name],0),17)</f>
        <v>0</v>
      </c>
      <c r="AD309" s="7" t="str">
        <f>Tab_Data_Flows[[#This Row],[Flow_ID]]&amp;"_"&amp;"CC_"&amp;Tab_Data_Flows[[#This Row],[Flow_Data_Year]]</f>
        <v>F___CC_</v>
      </c>
      <c r="AE309" s="7" t="str">
        <f>IF(F309="Yes",AC309*Tab_Data_Flows[[#This Row],[Flow_Material]]*Tab_Data_Flows[[#This Row],[DM_'[%']]],"N.A.")</f>
        <v>N.A.</v>
      </c>
      <c r="AF309" s="7" t="str">
        <f>Tab_Data_Flows[[#This Row],[UoM_Flow_Py]]</f>
        <v>Mg</v>
      </c>
      <c r="AG309"/>
    </row>
    <row r="310" spans="1:33" x14ac:dyDescent="0.25">
      <c r="A310" s="9">
        <f t="shared" si="4"/>
        <v>309</v>
      </c>
      <c r="B310" s="7" t="str">
        <f>_xlfn.XLOOKUP(C310,Tab_Def_Flows[Flow_Name],Tab_Def_Flows[Flow_ID],,0,)</f>
        <v>F__</v>
      </c>
      <c r="C310" s="142" t="s">
        <v>22</v>
      </c>
      <c r="D310" s="10">
        <f>_xlfn.XLOOKUP(C310,Tab_Def_Flows[Flow_Name],Tab_Def_Flows[WC?],,0,)</f>
        <v>0</v>
      </c>
      <c r="E310" s="10">
        <f>_xlfn.XLOOKUP(C310,Tab_Def_Flows[Flow_Name],Tab_Def_Flows[DM?],,0,)</f>
        <v>0</v>
      </c>
      <c r="F310" s="10">
        <f>_xlfn.XLOOKUP(C310,Tab_Def_Flows[Flow_Name],Tab_Def_Flows[CC?],,0,)</f>
        <v>0</v>
      </c>
      <c r="G310" s="8"/>
      <c r="H310" s="23"/>
      <c r="I310" s="8"/>
      <c r="J310" s="15"/>
      <c r="K310" s="15"/>
      <c r="L310" s="15"/>
      <c r="M310" s="15"/>
      <c r="N310" s="15"/>
      <c r="O310" s="8" t="s">
        <v>6</v>
      </c>
      <c r="P310" s="16"/>
      <c r="Q310" s="8"/>
      <c r="R310" s="7" t="str">
        <f>Tab_Data_Flows[[#This Row],[Flow_ID]]&amp;"_"&amp;"material_"&amp;Tab_Data_Flows[[#This Row],[Flow_Data_Year]]</f>
        <v>F___material_</v>
      </c>
      <c r="S310" s="14">
        <f>IF(O310="no",H310,H310*P310)</f>
        <v>0</v>
      </c>
      <c r="T310" s="8" t="s">
        <v>198</v>
      </c>
      <c r="U310" s="143">
        <f>INDEX(Tab_Def_Flows[[Flow_ID]:[CC_DM_source]],MATCH(Tab_Data_Flows[[#This Row],[Flow_Name]],Tab_Def_Flows[Flow_Name],0),11)</f>
        <v>0</v>
      </c>
      <c r="V310" s="7" t="str">
        <f>Tab_Data_Flows[[#This Row],[Flow_ID]]&amp;"_"&amp;"WC_"&amp;Tab_Data_Flows[[#This Row],[Flow_Data_Year]]</f>
        <v>F___WC_</v>
      </c>
      <c r="W310" s="7" t="str">
        <f>IF(D310="Yes",S310*Tab_Data_Flows[[#This Row],[WC_'[%']]],"N.A.")</f>
        <v>N.A.</v>
      </c>
      <c r="X310" s="7" t="str">
        <f>Tab_Data_Flows[[#This Row],[UoM_Flow_Py]]</f>
        <v>Mg</v>
      </c>
      <c r="Y310" s="143">
        <f>INDEX(Tab_Def_Flows[[Flow_ID]:[CC_DM_source]],MATCH(Tab_Data_Flows[[#This Row],[Flow_Name]],Tab_Def_Flows[Flow_Name],0),14)</f>
        <v>0</v>
      </c>
      <c r="Z310" s="7" t="str">
        <f>Tab_Data_Flows[[#This Row],[Flow_ID]]&amp;"_"&amp;"DM_"&amp;Tab_Data_Flows[[#This Row],[Flow_Data_Year]]</f>
        <v>F___DM_</v>
      </c>
      <c r="AA310" s="7" t="str">
        <f>IF(E310="Yes",Y310*Tab_Data_Flows[[#This Row],[Flow_Material]],"N.A.")</f>
        <v>N.A.</v>
      </c>
      <c r="AB310" s="7" t="str">
        <f>Tab_Data_Flows[[#This Row],[UoM_Flow_Py]]</f>
        <v>Mg</v>
      </c>
      <c r="AC310" s="143">
        <f>INDEX(Tab_Def_Flows[[Flow_ID]:[CC_DM_source]],MATCH(Tab_Data_Flows[[#This Row],[Flow_Name]],Tab_Def_Flows[Flow_Name],0),17)</f>
        <v>0</v>
      </c>
      <c r="AD310" s="7" t="str">
        <f>Tab_Data_Flows[[#This Row],[Flow_ID]]&amp;"_"&amp;"CC_"&amp;Tab_Data_Flows[[#This Row],[Flow_Data_Year]]</f>
        <v>F___CC_</v>
      </c>
      <c r="AE310" s="7" t="str">
        <f>IF(F310="Yes",AC310*Tab_Data_Flows[[#This Row],[Flow_Material]]*Tab_Data_Flows[[#This Row],[DM_'[%']]],"N.A.")</f>
        <v>N.A.</v>
      </c>
      <c r="AF310" s="7" t="str">
        <f>Tab_Data_Flows[[#This Row],[UoM_Flow_Py]]</f>
        <v>Mg</v>
      </c>
      <c r="AG310"/>
    </row>
    <row r="311" spans="1:33" x14ac:dyDescent="0.25">
      <c r="A311" s="9">
        <f t="shared" si="4"/>
        <v>310</v>
      </c>
      <c r="B311" s="7" t="str">
        <f>_xlfn.XLOOKUP(C311,Tab_Def_Flows[Flow_Name],Tab_Def_Flows[Flow_ID],,0,)</f>
        <v>F__</v>
      </c>
      <c r="C311" s="142" t="s">
        <v>22</v>
      </c>
      <c r="D311" s="10">
        <f>_xlfn.XLOOKUP(C311,Tab_Def_Flows[Flow_Name],Tab_Def_Flows[WC?],,0,)</f>
        <v>0</v>
      </c>
      <c r="E311" s="10">
        <f>_xlfn.XLOOKUP(C311,Tab_Def_Flows[Flow_Name],Tab_Def_Flows[DM?],,0,)</f>
        <v>0</v>
      </c>
      <c r="F311" s="10">
        <f>_xlfn.XLOOKUP(C311,Tab_Def_Flows[Flow_Name],Tab_Def_Flows[CC?],,0,)</f>
        <v>0</v>
      </c>
      <c r="G311" s="8"/>
      <c r="H311" s="23"/>
      <c r="I311" s="8"/>
      <c r="J311" s="15"/>
      <c r="K311" s="15"/>
      <c r="L311" s="15"/>
      <c r="M311" s="15"/>
      <c r="N311" s="15"/>
      <c r="O311" s="8" t="s">
        <v>6</v>
      </c>
      <c r="P311" s="16"/>
      <c r="Q311" s="8"/>
      <c r="R311" s="7" t="str">
        <f>Tab_Data_Flows[[#This Row],[Flow_ID]]&amp;"_"&amp;"material_"&amp;Tab_Data_Flows[[#This Row],[Flow_Data_Year]]</f>
        <v>F___material_</v>
      </c>
      <c r="S311" s="14">
        <f>IF(O311="no",H311,H311*P311)</f>
        <v>0</v>
      </c>
      <c r="T311" s="8" t="s">
        <v>198</v>
      </c>
      <c r="U311" s="143">
        <f>INDEX(Tab_Def_Flows[[Flow_ID]:[CC_DM_source]],MATCH(Tab_Data_Flows[[#This Row],[Flow_Name]],Tab_Def_Flows[Flow_Name],0),11)</f>
        <v>0</v>
      </c>
      <c r="V311" s="7" t="str">
        <f>Tab_Data_Flows[[#This Row],[Flow_ID]]&amp;"_"&amp;"WC_"&amp;Tab_Data_Flows[[#This Row],[Flow_Data_Year]]</f>
        <v>F___WC_</v>
      </c>
      <c r="W311" s="7" t="str">
        <f>IF(D311="Yes",S311*Tab_Data_Flows[[#This Row],[WC_'[%']]],"N.A.")</f>
        <v>N.A.</v>
      </c>
      <c r="X311" s="7" t="str">
        <f>Tab_Data_Flows[[#This Row],[UoM_Flow_Py]]</f>
        <v>Mg</v>
      </c>
      <c r="Y311" s="143">
        <f>INDEX(Tab_Def_Flows[[Flow_ID]:[CC_DM_source]],MATCH(Tab_Data_Flows[[#This Row],[Flow_Name]],Tab_Def_Flows[Flow_Name],0),14)</f>
        <v>0</v>
      </c>
      <c r="Z311" s="7" t="str">
        <f>Tab_Data_Flows[[#This Row],[Flow_ID]]&amp;"_"&amp;"DM_"&amp;Tab_Data_Flows[[#This Row],[Flow_Data_Year]]</f>
        <v>F___DM_</v>
      </c>
      <c r="AA311" s="7" t="str">
        <f>IF(E311="Yes",Y311*Tab_Data_Flows[[#This Row],[Flow_Material]],"N.A.")</f>
        <v>N.A.</v>
      </c>
      <c r="AB311" s="7" t="str">
        <f>Tab_Data_Flows[[#This Row],[UoM_Flow_Py]]</f>
        <v>Mg</v>
      </c>
      <c r="AC311" s="143">
        <f>INDEX(Tab_Def_Flows[[Flow_ID]:[CC_DM_source]],MATCH(Tab_Data_Flows[[#This Row],[Flow_Name]],Tab_Def_Flows[Flow_Name],0),17)</f>
        <v>0</v>
      </c>
      <c r="AD311" s="7" t="str">
        <f>Tab_Data_Flows[[#This Row],[Flow_ID]]&amp;"_"&amp;"CC_"&amp;Tab_Data_Flows[[#This Row],[Flow_Data_Year]]</f>
        <v>F___CC_</v>
      </c>
      <c r="AE311" s="7" t="str">
        <f>IF(F311="Yes",AC311*Tab_Data_Flows[[#This Row],[Flow_Material]]*Tab_Data_Flows[[#This Row],[DM_'[%']]],"N.A.")</f>
        <v>N.A.</v>
      </c>
      <c r="AF311" s="7" t="str">
        <f>Tab_Data_Flows[[#This Row],[UoM_Flow_Py]]</f>
        <v>Mg</v>
      </c>
      <c r="AG311"/>
    </row>
    <row r="312" spans="1:33" x14ac:dyDescent="0.25">
      <c r="A312" s="9">
        <f t="shared" si="4"/>
        <v>311</v>
      </c>
      <c r="B312" s="7" t="str">
        <f>_xlfn.XLOOKUP(C312,Tab_Def_Flows[Flow_Name],Tab_Def_Flows[Flow_ID],,0,)</f>
        <v>F__</v>
      </c>
      <c r="C312" s="142" t="s">
        <v>22</v>
      </c>
      <c r="D312" s="10">
        <f>_xlfn.XLOOKUP(C312,Tab_Def_Flows[Flow_Name],Tab_Def_Flows[WC?],,0,)</f>
        <v>0</v>
      </c>
      <c r="E312" s="10">
        <f>_xlfn.XLOOKUP(C312,Tab_Def_Flows[Flow_Name],Tab_Def_Flows[DM?],,0,)</f>
        <v>0</v>
      </c>
      <c r="F312" s="10">
        <f>_xlfn.XLOOKUP(C312,Tab_Def_Flows[Flow_Name],Tab_Def_Flows[CC?],,0,)</f>
        <v>0</v>
      </c>
      <c r="G312" s="8"/>
      <c r="H312" s="23"/>
      <c r="I312" s="8"/>
      <c r="J312" s="15"/>
      <c r="K312" s="15"/>
      <c r="L312" s="15"/>
      <c r="M312" s="15"/>
      <c r="N312" s="15"/>
      <c r="O312" s="8" t="s">
        <v>6</v>
      </c>
      <c r="P312" s="16"/>
      <c r="Q312" s="8"/>
      <c r="R312" s="7" t="str">
        <f>Tab_Data_Flows[[#This Row],[Flow_ID]]&amp;"_"&amp;"material_"&amp;Tab_Data_Flows[[#This Row],[Flow_Data_Year]]</f>
        <v>F___material_</v>
      </c>
      <c r="S312" s="14">
        <f>IF(O312="no",H312,H312*P312)</f>
        <v>0</v>
      </c>
      <c r="T312" s="8" t="s">
        <v>198</v>
      </c>
      <c r="U312" s="143">
        <f>INDEX(Tab_Def_Flows[[Flow_ID]:[CC_DM_source]],MATCH(Tab_Data_Flows[[#This Row],[Flow_Name]],Tab_Def_Flows[Flow_Name],0),11)</f>
        <v>0</v>
      </c>
      <c r="V312" s="7" t="str">
        <f>Tab_Data_Flows[[#This Row],[Flow_ID]]&amp;"_"&amp;"WC_"&amp;Tab_Data_Flows[[#This Row],[Flow_Data_Year]]</f>
        <v>F___WC_</v>
      </c>
      <c r="W312" s="7" t="str">
        <f>IF(D312="Yes",S312*Tab_Data_Flows[[#This Row],[WC_'[%']]],"N.A.")</f>
        <v>N.A.</v>
      </c>
      <c r="X312" s="7" t="str">
        <f>Tab_Data_Flows[[#This Row],[UoM_Flow_Py]]</f>
        <v>Mg</v>
      </c>
      <c r="Y312" s="143">
        <f>INDEX(Tab_Def_Flows[[Flow_ID]:[CC_DM_source]],MATCH(Tab_Data_Flows[[#This Row],[Flow_Name]],Tab_Def_Flows[Flow_Name],0),14)</f>
        <v>0</v>
      </c>
      <c r="Z312" s="7" t="str">
        <f>Tab_Data_Flows[[#This Row],[Flow_ID]]&amp;"_"&amp;"DM_"&amp;Tab_Data_Flows[[#This Row],[Flow_Data_Year]]</f>
        <v>F___DM_</v>
      </c>
      <c r="AA312" s="7" t="str">
        <f>IF(E312="Yes",Y312*Tab_Data_Flows[[#This Row],[Flow_Material]],"N.A.")</f>
        <v>N.A.</v>
      </c>
      <c r="AB312" s="7" t="str">
        <f>Tab_Data_Flows[[#This Row],[UoM_Flow_Py]]</f>
        <v>Mg</v>
      </c>
      <c r="AC312" s="143">
        <f>INDEX(Tab_Def_Flows[[Flow_ID]:[CC_DM_source]],MATCH(Tab_Data_Flows[[#This Row],[Flow_Name]],Tab_Def_Flows[Flow_Name],0),17)</f>
        <v>0</v>
      </c>
      <c r="AD312" s="7" t="str">
        <f>Tab_Data_Flows[[#This Row],[Flow_ID]]&amp;"_"&amp;"CC_"&amp;Tab_Data_Flows[[#This Row],[Flow_Data_Year]]</f>
        <v>F___CC_</v>
      </c>
      <c r="AE312" s="7" t="str">
        <f>IF(F312="Yes",AC312*Tab_Data_Flows[[#This Row],[Flow_Material]]*Tab_Data_Flows[[#This Row],[DM_'[%']]],"N.A.")</f>
        <v>N.A.</v>
      </c>
      <c r="AF312" s="7" t="str">
        <f>Tab_Data_Flows[[#This Row],[UoM_Flow_Py]]</f>
        <v>Mg</v>
      </c>
      <c r="AG312"/>
    </row>
    <row r="313" spans="1:33" x14ac:dyDescent="0.25">
      <c r="A313" s="9">
        <f t="shared" si="4"/>
        <v>312</v>
      </c>
      <c r="B313" s="7" t="str">
        <f>_xlfn.XLOOKUP(C313,Tab_Def_Flows[Flow_Name],Tab_Def_Flows[Flow_ID],,0,)</f>
        <v>F__</v>
      </c>
      <c r="C313" s="142" t="s">
        <v>22</v>
      </c>
      <c r="D313" s="10">
        <f>_xlfn.XLOOKUP(C313,Tab_Def_Flows[Flow_Name],Tab_Def_Flows[WC?],,0,)</f>
        <v>0</v>
      </c>
      <c r="E313" s="10">
        <f>_xlfn.XLOOKUP(C313,Tab_Def_Flows[Flow_Name],Tab_Def_Flows[DM?],,0,)</f>
        <v>0</v>
      </c>
      <c r="F313" s="10">
        <f>_xlfn.XLOOKUP(C313,Tab_Def_Flows[Flow_Name],Tab_Def_Flows[CC?],,0,)</f>
        <v>0</v>
      </c>
      <c r="G313" s="8"/>
      <c r="H313" s="23"/>
      <c r="I313" s="8"/>
      <c r="J313" s="15"/>
      <c r="K313" s="15"/>
      <c r="L313" s="15"/>
      <c r="M313" s="15"/>
      <c r="N313" s="15"/>
      <c r="O313" s="8" t="s">
        <v>6</v>
      </c>
      <c r="P313" s="16"/>
      <c r="Q313" s="8"/>
      <c r="R313" s="7" t="str">
        <f>Tab_Data_Flows[[#This Row],[Flow_ID]]&amp;"_"&amp;"material_"&amp;Tab_Data_Flows[[#This Row],[Flow_Data_Year]]</f>
        <v>F___material_</v>
      </c>
      <c r="S313" s="14">
        <f>IF(O313="no",H313,H313*P313)</f>
        <v>0</v>
      </c>
      <c r="T313" s="8" t="s">
        <v>198</v>
      </c>
      <c r="U313" s="143">
        <f>INDEX(Tab_Def_Flows[[Flow_ID]:[CC_DM_source]],MATCH(Tab_Data_Flows[[#This Row],[Flow_Name]],Tab_Def_Flows[Flow_Name],0),11)</f>
        <v>0</v>
      </c>
      <c r="V313" s="7" t="str">
        <f>Tab_Data_Flows[[#This Row],[Flow_ID]]&amp;"_"&amp;"WC_"&amp;Tab_Data_Flows[[#This Row],[Flow_Data_Year]]</f>
        <v>F___WC_</v>
      </c>
      <c r="W313" s="7" t="str">
        <f>IF(D313="Yes",S313*Tab_Data_Flows[[#This Row],[WC_'[%']]],"N.A.")</f>
        <v>N.A.</v>
      </c>
      <c r="X313" s="7" t="str">
        <f>Tab_Data_Flows[[#This Row],[UoM_Flow_Py]]</f>
        <v>Mg</v>
      </c>
      <c r="Y313" s="143">
        <f>INDEX(Tab_Def_Flows[[Flow_ID]:[CC_DM_source]],MATCH(Tab_Data_Flows[[#This Row],[Flow_Name]],Tab_Def_Flows[Flow_Name],0),14)</f>
        <v>0</v>
      </c>
      <c r="Z313" s="7" t="str">
        <f>Tab_Data_Flows[[#This Row],[Flow_ID]]&amp;"_"&amp;"DM_"&amp;Tab_Data_Flows[[#This Row],[Flow_Data_Year]]</f>
        <v>F___DM_</v>
      </c>
      <c r="AA313" s="7" t="str">
        <f>IF(E313="Yes",Y313*Tab_Data_Flows[[#This Row],[Flow_Material]],"N.A.")</f>
        <v>N.A.</v>
      </c>
      <c r="AB313" s="7" t="str">
        <f>Tab_Data_Flows[[#This Row],[UoM_Flow_Py]]</f>
        <v>Mg</v>
      </c>
      <c r="AC313" s="143">
        <f>INDEX(Tab_Def_Flows[[Flow_ID]:[CC_DM_source]],MATCH(Tab_Data_Flows[[#This Row],[Flow_Name]],Tab_Def_Flows[Flow_Name],0),17)</f>
        <v>0</v>
      </c>
      <c r="AD313" s="7" t="str">
        <f>Tab_Data_Flows[[#This Row],[Flow_ID]]&amp;"_"&amp;"CC_"&amp;Tab_Data_Flows[[#This Row],[Flow_Data_Year]]</f>
        <v>F___CC_</v>
      </c>
      <c r="AE313" s="7" t="str">
        <f>IF(F313="Yes",AC313*Tab_Data_Flows[[#This Row],[Flow_Material]]*Tab_Data_Flows[[#This Row],[DM_'[%']]],"N.A.")</f>
        <v>N.A.</v>
      </c>
      <c r="AF313" s="7" t="str">
        <f>Tab_Data_Flows[[#This Row],[UoM_Flow_Py]]</f>
        <v>Mg</v>
      </c>
      <c r="AG313"/>
    </row>
    <row r="314" spans="1:33" x14ac:dyDescent="0.25">
      <c r="A314" s="9">
        <f t="shared" si="4"/>
        <v>313</v>
      </c>
      <c r="B314" s="7" t="str">
        <f>_xlfn.XLOOKUP(C314,Tab_Def_Flows[Flow_Name],Tab_Def_Flows[Flow_ID],,0,)</f>
        <v>F__</v>
      </c>
      <c r="C314" s="142" t="s">
        <v>22</v>
      </c>
      <c r="D314" s="10">
        <f>_xlfn.XLOOKUP(C314,Tab_Def_Flows[Flow_Name],Tab_Def_Flows[WC?],,0,)</f>
        <v>0</v>
      </c>
      <c r="E314" s="10">
        <f>_xlfn.XLOOKUP(C314,Tab_Def_Flows[Flow_Name],Tab_Def_Flows[DM?],,0,)</f>
        <v>0</v>
      </c>
      <c r="F314" s="10">
        <f>_xlfn.XLOOKUP(C314,Tab_Def_Flows[Flow_Name],Tab_Def_Flows[CC?],,0,)</f>
        <v>0</v>
      </c>
      <c r="G314" s="8"/>
      <c r="H314" s="23"/>
      <c r="I314" s="8"/>
      <c r="J314" s="15"/>
      <c r="K314" s="15"/>
      <c r="L314" s="15"/>
      <c r="M314" s="15"/>
      <c r="N314" s="15"/>
      <c r="O314" s="8" t="s">
        <v>6</v>
      </c>
      <c r="P314" s="16"/>
      <c r="Q314" s="8"/>
      <c r="R314" s="7" t="str">
        <f>Tab_Data_Flows[[#This Row],[Flow_ID]]&amp;"_"&amp;"material_"&amp;Tab_Data_Flows[[#This Row],[Flow_Data_Year]]</f>
        <v>F___material_</v>
      </c>
      <c r="S314" s="14">
        <f>IF(O314="no",H314,H314*P314)</f>
        <v>0</v>
      </c>
      <c r="T314" s="8" t="s">
        <v>198</v>
      </c>
      <c r="U314" s="143">
        <f>INDEX(Tab_Def_Flows[[Flow_ID]:[CC_DM_source]],MATCH(Tab_Data_Flows[[#This Row],[Flow_Name]],Tab_Def_Flows[Flow_Name],0),11)</f>
        <v>0</v>
      </c>
      <c r="V314" s="7" t="str">
        <f>Tab_Data_Flows[[#This Row],[Flow_ID]]&amp;"_"&amp;"WC_"&amp;Tab_Data_Flows[[#This Row],[Flow_Data_Year]]</f>
        <v>F___WC_</v>
      </c>
      <c r="W314" s="7" t="str">
        <f>IF(D314="Yes",S314*Tab_Data_Flows[[#This Row],[WC_'[%']]],"N.A.")</f>
        <v>N.A.</v>
      </c>
      <c r="X314" s="7" t="str">
        <f>Tab_Data_Flows[[#This Row],[UoM_Flow_Py]]</f>
        <v>Mg</v>
      </c>
      <c r="Y314" s="143">
        <f>INDEX(Tab_Def_Flows[[Flow_ID]:[CC_DM_source]],MATCH(Tab_Data_Flows[[#This Row],[Flow_Name]],Tab_Def_Flows[Flow_Name],0),14)</f>
        <v>0</v>
      </c>
      <c r="Z314" s="7" t="str">
        <f>Tab_Data_Flows[[#This Row],[Flow_ID]]&amp;"_"&amp;"DM_"&amp;Tab_Data_Flows[[#This Row],[Flow_Data_Year]]</f>
        <v>F___DM_</v>
      </c>
      <c r="AA314" s="7" t="str">
        <f>IF(E314="Yes",Y314*Tab_Data_Flows[[#This Row],[Flow_Material]],"N.A.")</f>
        <v>N.A.</v>
      </c>
      <c r="AB314" s="7" t="str">
        <f>Tab_Data_Flows[[#This Row],[UoM_Flow_Py]]</f>
        <v>Mg</v>
      </c>
      <c r="AC314" s="143">
        <f>INDEX(Tab_Def_Flows[[Flow_ID]:[CC_DM_source]],MATCH(Tab_Data_Flows[[#This Row],[Flow_Name]],Tab_Def_Flows[Flow_Name],0),17)</f>
        <v>0</v>
      </c>
      <c r="AD314" s="7" t="str">
        <f>Tab_Data_Flows[[#This Row],[Flow_ID]]&amp;"_"&amp;"CC_"&amp;Tab_Data_Flows[[#This Row],[Flow_Data_Year]]</f>
        <v>F___CC_</v>
      </c>
      <c r="AE314" s="7" t="str">
        <f>IF(F314="Yes",AC314*Tab_Data_Flows[[#This Row],[Flow_Material]]*Tab_Data_Flows[[#This Row],[DM_'[%']]],"N.A.")</f>
        <v>N.A.</v>
      </c>
      <c r="AF314" s="7" t="str">
        <f>Tab_Data_Flows[[#This Row],[UoM_Flow_Py]]</f>
        <v>Mg</v>
      </c>
      <c r="AG314"/>
    </row>
    <row r="315" spans="1:33" x14ac:dyDescent="0.25">
      <c r="A315" s="9">
        <f t="shared" si="4"/>
        <v>314</v>
      </c>
      <c r="B315" s="7" t="str">
        <f>_xlfn.XLOOKUP(C315,Tab_Def_Flows[Flow_Name],Tab_Def_Flows[Flow_ID],,0,)</f>
        <v>F__</v>
      </c>
      <c r="C315" s="142" t="s">
        <v>22</v>
      </c>
      <c r="D315" s="10">
        <f>_xlfn.XLOOKUP(C315,Tab_Def_Flows[Flow_Name],Tab_Def_Flows[WC?],,0,)</f>
        <v>0</v>
      </c>
      <c r="E315" s="10">
        <f>_xlfn.XLOOKUP(C315,Tab_Def_Flows[Flow_Name],Tab_Def_Flows[DM?],,0,)</f>
        <v>0</v>
      </c>
      <c r="F315" s="10">
        <f>_xlfn.XLOOKUP(C315,Tab_Def_Flows[Flow_Name],Tab_Def_Flows[CC?],,0,)</f>
        <v>0</v>
      </c>
      <c r="G315" s="8"/>
      <c r="H315" s="23"/>
      <c r="I315" s="8"/>
      <c r="J315" s="15"/>
      <c r="K315" s="15"/>
      <c r="L315" s="15"/>
      <c r="M315" s="15"/>
      <c r="N315" s="15"/>
      <c r="O315" s="8" t="s">
        <v>6</v>
      </c>
      <c r="P315" s="16"/>
      <c r="Q315" s="8"/>
      <c r="R315" s="7" t="str">
        <f>Tab_Data_Flows[[#This Row],[Flow_ID]]&amp;"_"&amp;"material_"&amp;Tab_Data_Flows[[#This Row],[Flow_Data_Year]]</f>
        <v>F___material_</v>
      </c>
      <c r="S315" s="14">
        <f>IF(O315="no",H315,H315*P315)</f>
        <v>0</v>
      </c>
      <c r="T315" s="8" t="s">
        <v>198</v>
      </c>
      <c r="U315" s="143">
        <f>INDEX(Tab_Def_Flows[[Flow_ID]:[CC_DM_source]],MATCH(Tab_Data_Flows[[#This Row],[Flow_Name]],Tab_Def_Flows[Flow_Name],0),11)</f>
        <v>0</v>
      </c>
      <c r="V315" s="7" t="str">
        <f>Tab_Data_Flows[[#This Row],[Flow_ID]]&amp;"_"&amp;"WC_"&amp;Tab_Data_Flows[[#This Row],[Flow_Data_Year]]</f>
        <v>F___WC_</v>
      </c>
      <c r="W315" s="7" t="str">
        <f>IF(D315="Yes",S315*Tab_Data_Flows[[#This Row],[WC_'[%']]],"N.A.")</f>
        <v>N.A.</v>
      </c>
      <c r="X315" s="7" t="str">
        <f>Tab_Data_Flows[[#This Row],[UoM_Flow_Py]]</f>
        <v>Mg</v>
      </c>
      <c r="Y315" s="143">
        <f>INDEX(Tab_Def_Flows[[Flow_ID]:[CC_DM_source]],MATCH(Tab_Data_Flows[[#This Row],[Flow_Name]],Tab_Def_Flows[Flow_Name],0),14)</f>
        <v>0</v>
      </c>
      <c r="Z315" s="7" t="str">
        <f>Tab_Data_Flows[[#This Row],[Flow_ID]]&amp;"_"&amp;"DM_"&amp;Tab_Data_Flows[[#This Row],[Flow_Data_Year]]</f>
        <v>F___DM_</v>
      </c>
      <c r="AA315" s="7" t="str">
        <f>IF(E315="Yes",Y315*Tab_Data_Flows[[#This Row],[Flow_Material]],"N.A.")</f>
        <v>N.A.</v>
      </c>
      <c r="AB315" s="7" t="str">
        <f>Tab_Data_Flows[[#This Row],[UoM_Flow_Py]]</f>
        <v>Mg</v>
      </c>
      <c r="AC315" s="143">
        <f>INDEX(Tab_Def_Flows[[Flow_ID]:[CC_DM_source]],MATCH(Tab_Data_Flows[[#This Row],[Flow_Name]],Tab_Def_Flows[Flow_Name],0),17)</f>
        <v>0</v>
      </c>
      <c r="AD315" s="7" t="str">
        <f>Tab_Data_Flows[[#This Row],[Flow_ID]]&amp;"_"&amp;"CC_"&amp;Tab_Data_Flows[[#This Row],[Flow_Data_Year]]</f>
        <v>F___CC_</v>
      </c>
      <c r="AE315" s="7" t="str">
        <f>IF(F315="Yes",AC315*Tab_Data_Flows[[#This Row],[Flow_Material]]*Tab_Data_Flows[[#This Row],[DM_'[%']]],"N.A.")</f>
        <v>N.A.</v>
      </c>
      <c r="AF315" s="7" t="str">
        <f>Tab_Data_Flows[[#This Row],[UoM_Flow_Py]]</f>
        <v>Mg</v>
      </c>
      <c r="AG315"/>
    </row>
    <row r="316" spans="1:33" x14ac:dyDescent="0.25">
      <c r="A316" s="9">
        <f t="shared" si="4"/>
        <v>315</v>
      </c>
      <c r="B316" s="7" t="str">
        <f>_xlfn.XLOOKUP(C316,Tab_Def_Flows[Flow_Name],Tab_Def_Flows[Flow_ID],,0,)</f>
        <v>F__</v>
      </c>
      <c r="C316" s="142" t="s">
        <v>22</v>
      </c>
      <c r="D316" s="10">
        <f>_xlfn.XLOOKUP(C316,Tab_Def_Flows[Flow_Name],Tab_Def_Flows[WC?],,0,)</f>
        <v>0</v>
      </c>
      <c r="E316" s="10">
        <f>_xlfn.XLOOKUP(C316,Tab_Def_Flows[Flow_Name],Tab_Def_Flows[DM?],,0,)</f>
        <v>0</v>
      </c>
      <c r="F316" s="10">
        <f>_xlfn.XLOOKUP(C316,Tab_Def_Flows[Flow_Name],Tab_Def_Flows[CC?],,0,)</f>
        <v>0</v>
      </c>
      <c r="G316" s="8"/>
      <c r="H316" s="23"/>
      <c r="I316" s="8"/>
      <c r="J316" s="15"/>
      <c r="K316" s="15"/>
      <c r="L316" s="15"/>
      <c r="M316" s="15"/>
      <c r="N316" s="15"/>
      <c r="O316" s="8" t="s">
        <v>6</v>
      </c>
      <c r="P316" s="16"/>
      <c r="Q316" s="8"/>
      <c r="R316" s="7" t="str">
        <f>Tab_Data_Flows[[#This Row],[Flow_ID]]&amp;"_"&amp;"material_"&amp;Tab_Data_Flows[[#This Row],[Flow_Data_Year]]</f>
        <v>F___material_</v>
      </c>
      <c r="S316" s="14">
        <f>IF(O316="no",H316,H316*P316)</f>
        <v>0</v>
      </c>
      <c r="T316" s="8" t="s">
        <v>198</v>
      </c>
      <c r="U316" s="143">
        <f>INDEX(Tab_Def_Flows[[Flow_ID]:[CC_DM_source]],MATCH(Tab_Data_Flows[[#This Row],[Flow_Name]],Tab_Def_Flows[Flow_Name],0),11)</f>
        <v>0</v>
      </c>
      <c r="V316" s="7" t="str">
        <f>Tab_Data_Flows[[#This Row],[Flow_ID]]&amp;"_"&amp;"WC_"&amp;Tab_Data_Flows[[#This Row],[Flow_Data_Year]]</f>
        <v>F___WC_</v>
      </c>
      <c r="W316" s="7" t="str">
        <f>IF(D316="Yes",S316*Tab_Data_Flows[[#This Row],[WC_'[%']]],"N.A.")</f>
        <v>N.A.</v>
      </c>
      <c r="X316" s="7" t="str">
        <f>Tab_Data_Flows[[#This Row],[UoM_Flow_Py]]</f>
        <v>Mg</v>
      </c>
      <c r="Y316" s="143">
        <f>INDEX(Tab_Def_Flows[[Flow_ID]:[CC_DM_source]],MATCH(Tab_Data_Flows[[#This Row],[Flow_Name]],Tab_Def_Flows[Flow_Name],0),14)</f>
        <v>0</v>
      </c>
      <c r="Z316" s="7" t="str">
        <f>Tab_Data_Flows[[#This Row],[Flow_ID]]&amp;"_"&amp;"DM_"&amp;Tab_Data_Flows[[#This Row],[Flow_Data_Year]]</f>
        <v>F___DM_</v>
      </c>
      <c r="AA316" s="7" t="str">
        <f>IF(E316="Yes",Y316*Tab_Data_Flows[[#This Row],[Flow_Material]],"N.A.")</f>
        <v>N.A.</v>
      </c>
      <c r="AB316" s="7" t="str">
        <f>Tab_Data_Flows[[#This Row],[UoM_Flow_Py]]</f>
        <v>Mg</v>
      </c>
      <c r="AC316" s="143">
        <f>INDEX(Tab_Def_Flows[[Flow_ID]:[CC_DM_source]],MATCH(Tab_Data_Flows[[#This Row],[Flow_Name]],Tab_Def_Flows[Flow_Name],0),17)</f>
        <v>0</v>
      </c>
      <c r="AD316" s="7" t="str">
        <f>Tab_Data_Flows[[#This Row],[Flow_ID]]&amp;"_"&amp;"CC_"&amp;Tab_Data_Flows[[#This Row],[Flow_Data_Year]]</f>
        <v>F___CC_</v>
      </c>
      <c r="AE316" s="7" t="str">
        <f>IF(F316="Yes",AC316*Tab_Data_Flows[[#This Row],[Flow_Material]]*Tab_Data_Flows[[#This Row],[DM_'[%']]],"N.A.")</f>
        <v>N.A.</v>
      </c>
      <c r="AF316" s="7" t="str">
        <f>Tab_Data_Flows[[#This Row],[UoM_Flow_Py]]</f>
        <v>Mg</v>
      </c>
      <c r="AG316"/>
    </row>
    <row r="317" spans="1:33" x14ac:dyDescent="0.25">
      <c r="A317" s="9">
        <f t="shared" si="4"/>
        <v>316</v>
      </c>
      <c r="B317" s="7" t="str">
        <f>_xlfn.XLOOKUP(C317,Tab_Def_Flows[Flow_Name],Tab_Def_Flows[Flow_ID],,0,)</f>
        <v>F__</v>
      </c>
      <c r="C317" s="142" t="s">
        <v>22</v>
      </c>
      <c r="D317" s="10">
        <f>_xlfn.XLOOKUP(C317,Tab_Def_Flows[Flow_Name],Tab_Def_Flows[WC?],,0,)</f>
        <v>0</v>
      </c>
      <c r="E317" s="10">
        <f>_xlfn.XLOOKUP(C317,Tab_Def_Flows[Flow_Name],Tab_Def_Flows[DM?],,0,)</f>
        <v>0</v>
      </c>
      <c r="F317" s="10">
        <f>_xlfn.XLOOKUP(C317,Tab_Def_Flows[Flow_Name],Tab_Def_Flows[CC?],,0,)</f>
        <v>0</v>
      </c>
      <c r="G317" s="8"/>
      <c r="H317" s="23"/>
      <c r="I317" s="8"/>
      <c r="J317" s="15"/>
      <c r="K317" s="15"/>
      <c r="L317" s="15"/>
      <c r="M317" s="15"/>
      <c r="N317" s="15"/>
      <c r="O317" s="8" t="s">
        <v>6</v>
      </c>
      <c r="P317" s="16"/>
      <c r="Q317" s="8"/>
      <c r="R317" s="7" t="str">
        <f>Tab_Data_Flows[[#This Row],[Flow_ID]]&amp;"_"&amp;"material_"&amp;Tab_Data_Flows[[#This Row],[Flow_Data_Year]]</f>
        <v>F___material_</v>
      </c>
      <c r="S317" s="14">
        <f>IF(O317="no",H317,H317*P317)</f>
        <v>0</v>
      </c>
      <c r="T317" s="8" t="s">
        <v>198</v>
      </c>
      <c r="U317" s="143">
        <f>INDEX(Tab_Def_Flows[[Flow_ID]:[CC_DM_source]],MATCH(Tab_Data_Flows[[#This Row],[Flow_Name]],Tab_Def_Flows[Flow_Name],0),11)</f>
        <v>0</v>
      </c>
      <c r="V317" s="7" t="str">
        <f>Tab_Data_Flows[[#This Row],[Flow_ID]]&amp;"_"&amp;"WC_"&amp;Tab_Data_Flows[[#This Row],[Flow_Data_Year]]</f>
        <v>F___WC_</v>
      </c>
      <c r="W317" s="7" t="str">
        <f>IF(D317="Yes",S317*Tab_Data_Flows[[#This Row],[WC_'[%']]],"N.A.")</f>
        <v>N.A.</v>
      </c>
      <c r="X317" s="7" t="str">
        <f>Tab_Data_Flows[[#This Row],[UoM_Flow_Py]]</f>
        <v>Mg</v>
      </c>
      <c r="Y317" s="143">
        <f>INDEX(Tab_Def_Flows[[Flow_ID]:[CC_DM_source]],MATCH(Tab_Data_Flows[[#This Row],[Flow_Name]],Tab_Def_Flows[Flow_Name],0),14)</f>
        <v>0</v>
      </c>
      <c r="Z317" s="7" t="str">
        <f>Tab_Data_Flows[[#This Row],[Flow_ID]]&amp;"_"&amp;"DM_"&amp;Tab_Data_Flows[[#This Row],[Flow_Data_Year]]</f>
        <v>F___DM_</v>
      </c>
      <c r="AA317" s="7" t="str">
        <f>IF(E317="Yes",Y317*Tab_Data_Flows[[#This Row],[Flow_Material]],"N.A.")</f>
        <v>N.A.</v>
      </c>
      <c r="AB317" s="7" t="str">
        <f>Tab_Data_Flows[[#This Row],[UoM_Flow_Py]]</f>
        <v>Mg</v>
      </c>
      <c r="AC317" s="143">
        <f>INDEX(Tab_Def_Flows[[Flow_ID]:[CC_DM_source]],MATCH(Tab_Data_Flows[[#This Row],[Flow_Name]],Tab_Def_Flows[Flow_Name],0),17)</f>
        <v>0</v>
      </c>
      <c r="AD317" s="7" t="str">
        <f>Tab_Data_Flows[[#This Row],[Flow_ID]]&amp;"_"&amp;"CC_"&amp;Tab_Data_Flows[[#This Row],[Flow_Data_Year]]</f>
        <v>F___CC_</v>
      </c>
      <c r="AE317" s="7" t="str">
        <f>IF(F317="Yes",AC317*Tab_Data_Flows[[#This Row],[Flow_Material]]*Tab_Data_Flows[[#This Row],[DM_'[%']]],"N.A.")</f>
        <v>N.A.</v>
      </c>
      <c r="AF317" s="7" t="str">
        <f>Tab_Data_Flows[[#This Row],[UoM_Flow_Py]]</f>
        <v>Mg</v>
      </c>
      <c r="AG317"/>
    </row>
    <row r="318" spans="1:33" x14ac:dyDescent="0.25">
      <c r="A318" s="9">
        <f t="shared" si="4"/>
        <v>317</v>
      </c>
      <c r="B318" s="7" t="str">
        <f>_xlfn.XLOOKUP(C318,Tab_Def_Flows[Flow_Name],Tab_Def_Flows[Flow_ID],,0,)</f>
        <v>F__</v>
      </c>
      <c r="C318" s="142" t="s">
        <v>22</v>
      </c>
      <c r="D318" s="10">
        <f>_xlfn.XLOOKUP(C318,Tab_Def_Flows[Flow_Name],Tab_Def_Flows[WC?],,0,)</f>
        <v>0</v>
      </c>
      <c r="E318" s="10">
        <f>_xlfn.XLOOKUP(C318,Tab_Def_Flows[Flow_Name],Tab_Def_Flows[DM?],,0,)</f>
        <v>0</v>
      </c>
      <c r="F318" s="10">
        <f>_xlfn.XLOOKUP(C318,Tab_Def_Flows[Flow_Name],Tab_Def_Flows[CC?],,0,)</f>
        <v>0</v>
      </c>
      <c r="G318" s="8"/>
      <c r="H318" s="23"/>
      <c r="I318" s="8"/>
      <c r="J318" s="15"/>
      <c r="K318" s="15"/>
      <c r="L318" s="15"/>
      <c r="M318" s="15"/>
      <c r="N318" s="15"/>
      <c r="O318" s="8" t="s">
        <v>6</v>
      </c>
      <c r="P318" s="16"/>
      <c r="Q318" s="8"/>
      <c r="R318" s="7" t="str">
        <f>Tab_Data_Flows[[#This Row],[Flow_ID]]&amp;"_"&amp;"material_"&amp;Tab_Data_Flows[[#This Row],[Flow_Data_Year]]</f>
        <v>F___material_</v>
      </c>
      <c r="S318" s="14">
        <f>IF(O318="no",H318,H318*P318)</f>
        <v>0</v>
      </c>
      <c r="T318" s="8" t="s">
        <v>198</v>
      </c>
      <c r="U318" s="143">
        <f>INDEX(Tab_Def_Flows[[Flow_ID]:[CC_DM_source]],MATCH(Tab_Data_Flows[[#This Row],[Flow_Name]],Tab_Def_Flows[Flow_Name],0),11)</f>
        <v>0</v>
      </c>
      <c r="V318" s="7" t="str">
        <f>Tab_Data_Flows[[#This Row],[Flow_ID]]&amp;"_"&amp;"WC_"&amp;Tab_Data_Flows[[#This Row],[Flow_Data_Year]]</f>
        <v>F___WC_</v>
      </c>
      <c r="W318" s="7" t="str">
        <f>IF(D318="Yes",S318*Tab_Data_Flows[[#This Row],[WC_'[%']]],"N.A.")</f>
        <v>N.A.</v>
      </c>
      <c r="X318" s="7" t="str">
        <f>Tab_Data_Flows[[#This Row],[UoM_Flow_Py]]</f>
        <v>Mg</v>
      </c>
      <c r="Y318" s="143">
        <f>INDEX(Tab_Def_Flows[[Flow_ID]:[CC_DM_source]],MATCH(Tab_Data_Flows[[#This Row],[Flow_Name]],Tab_Def_Flows[Flow_Name],0),14)</f>
        <v>0</v>
      </c>
      <c r="Z318" s="7" t="str">
        <f>Tab_Data_Flows[[#This Row],[Flow_ID]]&amp;"_"&amp;"DM_"&amp;Tab_Data_Flows[[#This Row],[Flow_Data_Year]]</f>
        <v>F___DM_</v>
      </c>
      <c r="AA318" s="7" t="str">
        <f>IF(E318="Yes",Y318*Tab_Data_Flows[[#This Row],[Flow_Material]],"N.A.")</f>
        <v>N.A.</v>
      </c>
      <c r="AB318" s="7" t="str">
        <f>Tab_Data_Flows[[#This Row],[UoM_Flow_Py]]</f>
        <v>Mg</v>
      </c>
      <c r="AC318" s="143">
        <f>INDEX(Tab_Def_Flows[[Flow_ID]:[CC_DM_source]],MATCH(Tab_Data_Flows[[#This Row],[Flow_Name]],Tab_Def_Flows[Flow_Name],0),17)</f>
        <v>0</v>
      </c>
      <c r="AD318" s="7" t="str">
        <f>Tab_Data_Flows[[#This Row],[Flow_ID]]&amp;"_"&amp;"CC_"&amp;Tab_Data_Flows[[#This Row],[Flow_Data_Year]]</f>
        <v>F___CC_</v>
      </c>
      <c r="AE318" s="7" t="str">
        <f>IF(F318="Yes",AC318*Tab_Data_Flows[[#This Row],[Flow_Material]]*Tab_Data_Flows[[#This Row],[DM_'[%']]],"N.A.")</f>
        <v>N.A.</v>
      </c>
      <c r="AF318" s="7" t="str">
        <f>Tab_Data_Flows[[#This Row],[UoM_Flow_Py]]</f>
        <v>Mg</v>
      </c>
      <c r="AG318"/>
    </row>
    <row r="319" spans="1:33" x14ac:dyDescent="0.25">
      <c r="A319" s="9">
        <f t="shared" si="4"/>
        <v>318</v>
      </c>
      <c r="B319" s="7" t="str">
        <f>_xlfn.XLOOKUP(C319,Tab_Def_Flows[Flow_Name],Tab_Def_Flows[Flow_ID],,0,)</f>
        <v>F__</v>
      </c>
      <c r="C319" s="142" t="s">
        <v>22</v>
      </c>
      <c r="D319" s="10">
        <f>_xlfn.XLOOKUP(C319,Tab_Def_Flows[Flow_Name],Tab_Def_Flows[WC?],,0,)</f>
        <v>0</v>
      </c>
      <c r="E319" s="10">
        <f>_xlfn.XLOOKUP(C319,Tab_Def_Flows[Flow_Name],Tab_Def_Flows[DM?],,0,)</f>
        <v>0</v>
      </c>
      <c r="F319" s="10">
        <f>_xlfn.XLOOKUP(C319,Tab_Def_Flows[Flow_Name],Tab_Def_Flows[CC?],,0,)</f>
        <v>0</v>
      </c>
      <c r="G319" s="8"/>
      <c r="H319" s="23"/>
      <c r="I319" s="8"/>
      <c r="J319" s="15"/>
      <c r="K319" s="15"/>
      <c r="L319" s="15"/>
      <c r="M319" s="15"/>
      <c r="N319" s="15"/>
      <c r="O319" s="8" t="s">
        <v>6</v>
      </c>
      <c r="P319" s="16"/>
      <c r="Q319" s="8"/>
      <c r="R319" s="7" t="str">
        <f>Tab_Data_Flows[[#This Row],[Flow_ID]]&amp;"_"&amp;"material_"&amp;Tab_Data_Flows[[#This Row],[Flow_Data_Year]]</f>
        <v>F___material_</v>
      </c>
      <c r="S319" s="14">
        <f>IF(O319="no",H319,H319*P319)</f>
        <v>0</v>
      </c>
      <c r="T319" s="8" t="s">
        <v>198</v>
      </c>
      <c r="U319" s="143">
        <f>INDEX(Tab_Def_Flows[[Flow_ID]:[CC_DM_source]],MATCH(Tab_Data_Flows[[#This Row],[Flow_Name]],Tab_Def_Flows[Flow_Name],0),11)</f>
        <v>0</v>
      </c>
      <c r="V319" s="7" t="str">
        <f>Tab_Data_Flows[[#This Row],[Flow_ID]]&amp;"_"&amp;"WC_"&amp;Tab_Data_Flows[[#This Row],[Flow_Data_Year]]</f>
        <v>F___WC_</v>
      </c>
      <c r="W319" s="7" t="str">
        <f>IF(D319="Yes",S319*Tab_Data_Flows[[#This Row],[WC_'[%']]],"N.A.")</f>
        <v>N.A.</v>
      </c>
      <c r="X319" s="7" t="str">
        <f>Tab_Data_Flows[[#This Row],[UoM_Flow_Py]]</f>
        <v>Mg</v>
      </c>
      <c r="Y319" s="143">
        <f>INDEX(Tab_Def_Flows[[Flow_ID]:[CC_DM_source]],MATCH(Tab_Data_Flows[[#This Row],[Flow_Name]],Tab_Def_Flows[Flow_Name],0),14)</f>
        <v>0</v>
      </c>
      <c r="Z319" s="7" t="str">
        <f>Tab_Data_Flows[[#This Row],[Flow_ID]]&amp;"_"&amp;"DM_"&amp;Tab_Data_Flows[[#This Row],[Flow_Data_Year]]</f>
        <v>F___DM_</v>
      </c>
      <c r="AA319" s="7" t="str">
        <f>IF(E319="Yes",Y319*Tab_Data_Flows[[#This Row],[Flow_Material]],"N.A.")</f>
        <v>N.A.</v>
      </c>
      <c r="AB319" s="7" t="str">
        <f>Tab_Data_Flows[[#This Row],[UoM_Flow_Py]]</f>
        <v>Mg</v>
      </c>
      <c r="AC319" s="143">
        <f>INDEX(Tab_Def_Flows[[Flow_ID]:[CC_DM_source]],MATCH(Tab_Data_Flows[[#This Row],[Flow_Name]],Tab_Def_Flows[Flow_Name],0),17)</f>
        <v>0</v>
      </c>
      <c r="AD319" s="7" t="str">
        <f>Tab_Data_Flows[[#This Row],[Flow_ID]]&amp;"_"&amp;"CC_"&amp;Tab_Data_Flows[[#This Row],[Flow_Data_Year]]</f>
        <v>F___CC_</v>
      </c>
      <c r="AE319" s="7" t="str">
        <f>IF(F319="Yes",AC319*Tab_Data_Flows[[#This Row],[Flow_Material]]*Tab_Data_Flows[[#This Row],[DM_'[%']]],"N.A.")</f>
        <v>N.A.</v>
      </c>
      <c r="AF319" s="7" t="str">
        <f>Tab_Data_Flows[[#This Row],[UoM_Flow_Py]]</f>
        <v>Mg</v>
      </c>
      <c r="AG319"/>
    </row>
    <row r="320" spans="1:33" x14ac:dyDescent="0.25">
      <c r="A320" s="9">
        <f t="shared" si="4"/>
        <v>319</v>
      </c>
      <c r="B320" s="7" t="str">
        <f>_xlfn.XLOOKUP(C320,Tab_Def_Flows[Flow_Name],Tab_Def_Flows[Flow_ID],,0,)</f>
        <v>F__</v>
      </c>
      <c r="C320" s="142" t="s">
        <v>22</v>
      </c>
      <c r="D320" s="10">
        <f>_xlfn.XLOOKUP(C320,Tab_Def_Flows[Flow_Name],Tab_Def_Flows[WC?],,0,)</f>
        <v>0</v>
      </c>
      <c r="E320" s="10">
        <f>_xlfn.XLOOKUP(C320,Tab_Def_Flows[Flow_Name],Tab_Def_Flows[DM?],,0,)</f>
        <v>0</v>
      </c>
      <c r="F320" s="10">
        <f>_xlfn.XLOOKUP(C320,Tab_Def_Flows[Flow_Name],Tab_Def_Flows[CC?],,0,)</f>
        <v>0</v>
      </c>
      <c r="G320" s="8"/>
      <c r="H320" s="23"/>
      <c r="I320" s="8"/>
      <c r="J320" s="15"/>
      <c r="K320" s="15"/>
      <c r="L320" s="15"/>
      <c r="M320" s="15"/>
      <c r="N320" s="15"/>
      <c r="O320" s="8" t="s">
        <v>6</v>
      </c>
      <c r="P320" s="16"/>
      <c r="Q320" s="8"/>
      <c r="R320" s="7" t="str">
        <f>Tab_Data_Flows[[#This Row],[Flow_ID]]&amp;"_"&amp;"material_"&amp;Tab_Data_Flows[[#This Row],[Flow_Data_Year]]</f>
        <v>F___material_</v>
      </c>
      <c r="S320" s="14">
        <f>IF(O320="no",H320,H320*P320)</f>
        <v>0</v>
      </c>
      <c r="T320" s="8" t="s">
        <v>198</v>
      </c>
      <c r="U320" s="143">
        <f>INDEX(Tab_Def_Flows[[Flow_ID]:[CC_DM_source]],MATCH(Tab_Data_Flows[[#This Row],[Flow_Name]],Tab_Def_Flows[Flow_Name],0),11)</f>
        <v>0</v>
      </c>
      <c r="V320" s="7" t="str">
        <f>Tab_Data_Flows[[#This Row],[Flow_ID]]&amp;"_"&amp;"WC_"&amp;Tab_Data_Flows[[#This Row],[Flow_Data_Year]]</f>
        <v>F___WC_</v>
      </c>
      <c r="W320" s="7" t="str">
        <f>IF(D320="Yes",S320*Tab_Data_Flows[[#This Row],[WC_'[%']]],"N.A.")</f>
        <v>N.A.</v>
      </c>
      <c r="X320" s="7" t="str">
        <f>Tab_Data_Flows[[#This Row],[UoM_Flow_Py]]</f>
        <v>Mg</v>
      </c>
      <c r="Y320" s="143">
        <f>INDEX(Tab_Def_Flows[[Flow_ID]:[CC_DM_source]],MATCH(Tab_Data_Flows[[#This Row],[Flow_Name]],Tab_Def_Flows[Flow_Name],0),14)</f>
        <v>0</v>
      </c>
      <c r="Z320" s="7" t="str">
        <f>Tab_Data_Flows[[#This Row],[Flow_ID]]&amp;"_"&amp;"DM_"&amp;Tab_Data_Flows[[#This Row],[Flow_Data_Year]]</f>
        <v>F___DM_</v>
      </c>
      <c r="AA320" s="7" t="str">
        <f>IF(E320="Yes",Y320*Tab_Data_Flows[[#This Row],[Flow_Material]],"N.A.")</f>
        <v>N.A.</v>
      </c>
      <c r="AB320" s="7" t="str">
        <f>Tab_Data_Flows[[#This Row],[UoM_Flow_Py]]</f>
        <v>Mg</v>
      </c>
      <c r="AC320" s="143">
        <f>INDEX(Tab_Def_Flows[[Flow_ID]:[CC_DM_source]],MATCH(Tab_Data_Flows[[#This Row],[Flow_Name]],Tab_Def_Flows[Flow_Name],0),17)</f>
        <v>0</v>
      </c>
      <c r="AD320" s="7" t="str">
        <f>Tab_Data_Flows[[#This Row],[Flow_ID]]&amp;"_"&amp;"CC_"&amp;Tab_Data_Flows[[#This Row],[Flow_Data_Year]]</f>
        <v>F___CC_</v>
      </c>
      <c r="AE320" s="7" t="str">
        <f>IF(F320="Yes",AC320*Tab_Data_Flows[[#This Row],[Flow_Material]]*Tab_Data_Flows[[#This Row],[DM_'[%']]],"N.A.")</f>
        <v>N.A.</v>
      </c>
      <c r="AF320" s="7" t="str">
        <f>Tab_Data_Flows[[#This Row],[UoM_Flow_Py]]</f>
        <v>Mg</v>
      </c>
      <c r="AG320"/>
    </row>
    <row r="321" spans="1:33" x14ac:dyDescent="0.25">
      <c r="A321" s="9">
        <f t="shared" si="4"/>
        <v>320</v>
      </c>
      <c r="B321" s="7" t="str">
        <f>_xlfn.XLOOKUP(C321,Tab_Def_Flows[Flow_Name],Tab_Def_Flows[Flow_ID],,0,)</f>
        <v>F__</v>
      </c>
      <c r="C321" s="142" t="s">
        <v>22</v>
      </c>
      <c r="D321" s="10">
        <f>_xlfn.XLOOKUP(C321,Tab_Def_Flows[Flow_Name],Tab_Def_Flows[WC?],,0,)</f>
        <v>0</v>
      </c>
      <c r="E321" s="10">
        <f>_xlfn.XLOOKUP(C321,Tab_Def_Flows[Flow_Name],Tab_Def_Flows[DM?],,0,)</f>
        <v>0</v>
      </c>
      <c r="F321" s="10">
        <f>_xlfn.XLOOKUP(C321,Tab_Def_Flows[Flow_Name],Tab_Def_Flows[CC?],,0,)</f>
        <v>0</v>
      </c>
      <c r="G321" s="8"/>
      <c r="H321" s="23"/>
      <c r="I321" s="8"/>
      <c r="J321" s="15"/>
      <c r="K321" s="15"/>
      <c r="L321" s="15"/>
      <c r="M321" s="15"/>
      <c r="N321" s="15"/>
      <c r="O321" s="8" t="s">
        <v>6</v>
      </c>
      <c r="P321" s="16"/>
      <c r="Q321" s="8"/>
      <c r="R321" s="7" t="str">
        <f>Tab_Data_Flows[[#This Row],[Flow_ID]]&amp;"_"&amp;"material_"&amp;Tab_Data_Flows[[#This Row],[Flow_Data_Year]]</f>
        <v>F___material_</v>
      </c>
      <c r="S321" s="14">
        <f>IF(O321="no",H321,H321*P321)</f>
        <v>0</v>
      </c>
      <c r="T321" s="8" t="s">
        <v>198</v>
      </c>
      <c r="U321" s="143">
        <f>INDEX(Tab_Def_Flows[[Flow_ID]:[CC_DM_source]],MATCH(Tab_Data_Flows[[#This Row],[Flow_Name]],Tab_Def_Flows[Flow_Name],0),11)</f>
        <v>0</v>
      </c>
      <c r="V321" s="7" t="str">
        <f>Tab_Data_Flows[[#This Row],[Flow_ID]]&amp;"_"&amp;"WC_"&amp;Tab_Data_Flows[[#This Row],[Flow_Data_Year]]</f>
        <v>F___WC_</v>
      </c>
      <c r="W321" s="7" t="str">
        <f>IF(D321="Yes",S321*Tab_Data_Flows[[#This Row],[WC_'[%']]],"N.A.")</f>
        <v>N.A.</v>
      </c>
      <c r="X321" s="7" t="str">
        <f>Tab_Data_Flows[[#This Row],[UoM_Flow_Py]]</f>
        <v>Mg</v>
      </c>
      <c r="Y321" s="143">
        <f>INDEX(Tab_Def_Flows[[Flow_ID]:[CC_DM_source]],MATCH(Tab_Data_Flows[[#This Row],[Flow_Name]],Tab_Def_Flows[Flow_Name],0),14)</f>
        <v>0</v>
      </c>
      <c r="Z321" s="7" t="str">
        <f>Tab_Data_Flows[[#This Row],[Flow_ID]]&amp;"_"&amp;"DM_"&amp;Tab_Data_Flows[[#This Row],[Flow_Data_Year]]</f>
        <v>F___DM_</v>
      </c>
      <c r="AA321" s="7" t="str">
        <f>IF(E321="Yes",Y321*Tab_Data_Flows[[#This Row],[Flow_Material]],"N.A.")</f>
        <v>N.A.</v>
      </c>
      <c r="AB321" s="7" t="str">
        <f>Tab_Data_Flows[[#This Row],[UoM_Flow_Py]]</f>
        <v>Mg</v>
      </c>
      <c r="AC321" s="143">
        <f>INDEX(Tab_Def_Flows[[Flow_ID]:[CC_DM_source]],MATCH(Tab_Data_Flows[[#This Row],[Flow_Name]],Tab_Def_Flows[Flow_Name],0),17)</f>
        <v>0</v>
      </c>
      <c r="AD321" s="7" t="str">
        <f>Tab_Data_Flows[[#This Row],[Flow_ID]]&amp;"_"&amp;"CC_"&amp;Tab_Data_Flows[[#This Row],[Flow_Data_Year]]</f>
        <v>F___CC_</v>
      </c>
      <c r="AE321" s="7" t="str">
        <f>IF(F321="Yes",AC321*Tab_Data_Flows[[#This Row],[Flow_Material]]*Tab_Data_Flows[[#This Row],[DM_'[%']]],"N.A.")</f>
        <v>N.A.</v>
      </c>
      <c r="AF321" s="7" t="str">
        <f>Tab_Data_Flows[[#This Row],[UoM_Flow_Py]]</f>
        <v>Mg</v>
      </c>
      <c r="AG321"/>
    </row>
    <row r="322" spans="1:33" x14ac:dyDescent="0.25">
      <c r="A322" s="9">
        <f t="shared" si="4"/>
        <v>321</v>
      </c>
      <c r="B322" s="7" t="str">
        <f>_xlfn.XLOOKUP(C322,Tab_Def_Flows[Flow_Name],Tab_Def_Flows[Flow_ID],,0,)</f>
        <v>F__</v>
      </c>
      <c r="C322" s="142" t="s">
        <v>22</v>
      </c>
      <c r="D322" s="10">
        <f>_xlfn.XLOOKUP(C322,Tab_Def_Flows[Flow_Name],Tab_Def_Flows[WC?],,0,)</f>
        <v>0</v>
      </c>
      <c r="E322" s="10">
        <f>_xlfn.XLOOKUP(C322,Tab_Def_Flows[Flow_Name],Tab_Def_Flows[DM?],,0,)</f>
        <v>0</v>
      </c>
      <c r="F322" s="10">
        <f>_xlfn.XLOOKUP(C322,Tab_Def_Flows[Flow_Name],Tab_Def_Flows[CC?],,0,)</f>
        <v>0</v>
      </c>
      <c r="G322" s="8"/>
      <c r="H322" s="23"/>
      <c r="I322" s="8"/>
      <c r="J322" s="15"/>
      <c r="K322" s="15"/>
      <c r="L322" s="15"/>
      <c r="M322" s="15"/>
      <c r="N322" s="15"/>
      <c r="O322" s="8" t="s">
        <v>6</v>
      </c>
      <c r="P322" s="16"/>
      <c r="Q322" s="8"/>
      <c r="R322" s="7" t="str">
        <f>Tab_Data_Flows[[#This Row],[Flow_ID]]&amp;"_"&amp;"material_"&amp;Tab_Data_Flows[[#This Row],[Flow_Data_Year]]</f>
        <v>F___material_</v>
      </c>
      <c r="S322" s="14">
        <f>IF(O322="no",H322,H322*P322)</f>
        <v>0</v>
      </c>
      <c r="T322" s="8" t="s">
        <v>198</v>
      </c>
      <c r="U322" s="143">
        <f>INDEX(Tab_Def_Flows[[Flow_ID]:[CC_DM_source]],MATCH(Tab_Data_Flows[[#This Row],[Flow_Name]],Tab_Def_Flows[Flow_Name],0),11)</f>
        <v>0</v>
      </c>
      <c r="V322" s="7" t="str">
        <f>Tab_Data_Flows[[#This Row],[Flow_ID]]&amp;"_"&amp;"WC_"&amp;Tab_Data_Flows[[#This Row],[Flow_Data_Year]]</f>
        <v>F___WC_</v>
      </c>
      <c r="W322" s="7" t="str">
        <f>IF(D322="Yes",S322*Tab_Data_Flows[[#This Row],[WC_'[%']]],"N.A.")</f>
        <v>N.A.</v>
      </c>
      <c r="X322" s="7" t="str">
        <f>Tab_Data_Flows[[#This Row],[UoM_Flow_Py]]</f>
        <v>Mg</v>
      </c>
      <c r="Y322" s="143">
        <f>INDEX(Tab_Def_Flows[[Flow_ID]:[CC_DM_source]],MATCH(Tab_Data_Flows[[#This Row],[Flow_Name]],Tab_Def_Flows[Flow_Name],0),14)</f>
        <v>0</v>
      </c>
      <c r="Z322" s="7" t="str">
        <f>Tab_Data_Flows[[#This Row],[Flow_ID]]&amp;"_"&amp;"DM_"&amp;Tab_Data_Flows[[#This Row],[Flow_Data_Year]]</f>
        <v>F___DM_</v>
      </c>
      <c r="AA322" s="7" t="str">
        <f>IF(E322="Yes",Y322*Tab_Data_Flows[[#This Row],[Flow_Material]],"N.A.")</f>
        <v>N.A.</v>
      </c>
      <c r="AB322" s="7" t="str">
        <f>Tab_Data_Flows[[#This Row],[UoM_Flow_Py]]</f>
        <v>Mg</v>
      </c>
      <c r="AC322" s="143">
        <f>INDEX(Tab_Def_Flows[[Flow_ID]:[CC_DM_source]],MATCH(Tab_Data_Flows[[#This Row],[Flow_Name]],Tab_Def_Flows[Flow_Name],0),17)</f>
        <v>0</v>
      </c>
      <c r="AD322" s="7" t="str">
        <f>Tab_Data_Flows[[#This Row],[Flow_ID]]&amp;"_"&amp;"CC_"&amp;Tab_Data_Flows[[#This Row],[Flow_Data_Year]]</f>
        <v>F___CC_</v>
      </c>
      <c r="AE322" s="7" t="str">
        <f>IF(F322="Yes",AC322*Tab_Data_Flows[[#This Row],[Flow_Material]]*Tab_Data_Flows[[#This Row],[DM_'[%']]],"N.A.")</f>
        <v>N.A.</v>
      </c>
      <c r="AF322" s="7" t="str">
        <f>Tab_Data_Flows[[#This Row],[UoM_Flow_Py]]</f>
        <v>Mg</v>
      </c>
      <c r="AG322"/>
    </row>
    <row r="323" spans="1:33" x14ac:dyDescent="0.25">
      <c r="A323" s="9">
        <f t="shared" ref="A323:A346" si="5">ROW()-1</f>
        <v>322</v>
      </c>
      <c r="B323" s="7" t="str">
        <f>_xlfn.XLOOKUP(C323,Tab_Def_Flows[Flow_Name],Tab_Def_Flows[Flow_ID],,0,)</f>
        <v>F__</v>
      </c>
      <c r="C323" s="142" t="s">
        <v>22</v>
      </c>
      <c r="D323" s="10">
        <f>_xlfn.XLOOKUP(C323,Tab_Def_Flows[Flow_Name],Tab_Def_Flows[WC?],,0,)</f>
        <v>0</v>
      </c>
      <c r="E323" s="10">
        <f>_xlfn.XLOOKUP(C323,Tab_Def_Flows[Flow_Name],Tab_Def_Flows[DM?],,0,)</f>
        <v>0</v>
      </c>
      <c r="F323" s="10">
        <f>_xlfn.XLOOKUP(C323,Tab_Def_Flows[Flow_Name],Tab_Def_Flows[CC?],,0,)</f>
        <v>0</v>
      </c>
      <c r="G323" s="8"/>
      <c r="H323" s="23"/>
      <c r="I323" s="8"/>
      <c r="J323" s="15"/>
      <c r="K323" s="15"/>
      <c r="L323" s="15"/>
      <c r="M323" s="15"/>
      <c r="N323" s="15"/>
      <c r="O323" s="8" t="s">
        <v>6</v>
      </c>
      <c r="P323" s="16"/>
      <c r="Q323" s="8"/>
      <c r="R323" s="7" t="str">
        <f>Tab_Data_Flows[[#This Row],[Flow_ID]]&amp;"_"&amp;"material_"&amp;Tab_Data_Flows[[#This Row],[Flow_Data_Year]]</f>
        <v>F___material_</v>
      </c>
      <c r="S323" s="14">
        <f>IF(O323="no",H323,H323*P323)</f>
        <v>0</v>
      </c>
      <c r="T323" s="8" t="s">
        <v>198</v>
      </c>
      <c r="U323" s="143">
        <f>INDEX(Tab_Def_Flows[[Flow_ID]:[CC_DM_source]],MATCH(Tab_Data_Flows[[#This Row],[Flow_Name]],Tab_Def_Flows[Flow_Name],0),11)</f>
        <v>0</v>
      </c>
      <c r="V323" s="7" t="str">
        <f>Tab_Data_Flows[[#This Row],[Flow_ID]]&amp;"_"&amp;"WC_"&amp;Tab_Data_Flows[[#This Row],[Flow_Data_Year]]</f>
        <v>F___WC_</v>
      </c>
      <c r="W323" s="7" t="str">
        <f>IF(D323="Yes",S323*Tab_Data_Flows[[#This Row],[WC_'[%']]],"N.A.")</f>
        <v>N.A.</v>
      </c>
      <c r="X323" s="7" t="str">
        <f>Tab_Data_Flows[[#This Row],[UoM_Flow_Py]]</f>
        <v>Mg</v>
      </c>
      <c r="Y323" s="143">
        <f>INDEX(Tab_Def_Flows[[Flow_ID]:[CC_DM_source]],MATCH(Tab_Data_Flows[[#This Row],[Flow_Name]],Tab_Def_Flows[Flow_Name],0),14)</f>
        <v>0</v>
      </c>
      <c r="Z323" s="7" t="str">
        <f>Tab_Data_Flows[[#This Row],[Flow_ID]]&amp;"_"&amp;"DM_"&amp;Tab_Data_Flows[[#This Row],[Flow_Data_Year]]</f>
        <v>F___DM_</v>
      </c>
      <c r="AA323" s="7" t="str">
        <f>IF(E323="Yes",Y323*Tab_Data_Flows[[#This Row],[Flow_Material]],"N.A.")</f>
        <v>N.A.</v>
      </c>
      <c r="AB323" s="7" t="str">
        <f>Tab_Data_Flows[[#This Row],[UoM_Flow_Py]]</f>
        <v>Mg</v>
      </c>
      <c r="AC323" s="143">
        <f>INDEX(Tab_Def_Flows[[Flow_ID]:[CC_DM_source]],MATCH(Tab_Data_Flows[[#This Row],[Flow_Name]],Tab_Def_Flows[Flow_Name],0),17)</f>
        <v>0</v>
      </c>
      <c r="AD323" s="7" t="str">
        <f>Tab_Data_Flows[[#This Row],[Flow_ID]]&amp;"_"&amp;"CC_"&amp;Tab_Data_Flows[[#This Row],[Flow_Data_Year]]</f>
        <v>F___CC_</v>
      </c>
      <c r="AE323" s="7" t="str">
        <f>IF(F323="Yes",AC323*Tab_Data_Flows[[#This Row],[Flow_Material]]*Tab_Data_Flows[[#This Row],[DM_'[%']]],"N.A.")</f>
        <v>N.A.</v>
      </c>
      <c r="AF323" s="7" t="str">
        <f>Tab_Data_Flows[[#This Row],[UoM_Flow_Py]]</f>
        <v>Mg</v>
      </c>
      <c r="AG323"/>
    </row>
    <row r="324" spans="1:33" x14ac:dyDescent="0.25">
      <c r="A324" s="9">
        <f t="shared" si="5"/>
        <v>323</v>
      </c>
      <c r="B324" s="7" t="str">
        <f>_xlfn.XLOOKUP(C324,Tab_Def_Flows[Flow_Name],Tab_Def_Flows[Flow_ID],,0,)</f>
        <v>F__</v>
      </c>
      <c r="C324" s="142" t="s">
        <v>22</v>
      </c>
      <c r="D324" s="10">
        <f>_xlfn.XLOOKUP(C324,Tab_Def_Flows[Flow_Name],Tab_Def_Flows[WC?],,0,)</f>
        <v>0</v>
      </c>
      <c r="E324" s="10">
        <f>_xlfn.XLOOKUP(C324,Tab_Def_Flows[Flow_Name],Tab_Def_Flows[DM?],,0,)</f>
        <v>0</v>
      </c>
      <c r="F324" s="10">
        <f>_xlfn.XLOOKUP(C324,Tab_Def_Flows[Flow_Name],Tab_Def_Flows[CC?],,0,)</f>
        <v>0</v>
      </c>
      <c r="G324" s="8"/>
      <c r="H324" s="23"/>
      <c r="I324" s="8"/>
      <c r="J324" s="15"/>
      <c r="K324" s="15"/>
      <c r="L324" s="15"/>
      <c r="M324" s="15"/>
      <c r="N324" s="15"/>
      <c r="O324" s="8" t="s">
        <v>6</v>
      </c>
      <c r="P324" s="16"/>
      <c r="Q324" s="8"/>
      <c r="R324" s="7" t="str">
        <f>Tab_Data_Flows[[#This Row],[Flow_ID]]&amp;"_"&amp;"material_"&amp;Tab_Data_Flows[[#This Row],[Flow_Data_Year]]</f>
        <v>F___material_</v>
      </c>
      <c r="S324" s="14">
        <f>IF(O324="no",H324,H324*P324)</f>
        <v>0</v>
      </c>
      <c r="T324" s="8" t="s">
        <v>198</v>
      </c>
      <c r="U324" s="143">
        <f>INDEX(Tab_Def_Flows[[Flow_ID]:[CC_DM_source]],MATCH(Tab_Data_Flows[[#This Row],[Flow_Name]],Tab_Def_Flows[Flow_Name],0),11)</f>
        <v>0</v>
      </c>
      <c r="V324" s="7" t="str">
        <f>Tab_Data_Flows[[#This Row],[Flow_ID]]&amp;"_"&amp;"WC_"&amp;Tab_Data_Flows[[#This Row],[Flow_Data_Year]]</f>
        <v>F___WC_</v>
      </c>
      <c r="W324" s="7" t="str">
        <f>IF(D324="Yes",S324*Tab_Data_Flows[[#This Row],[WC_'[%']]],"N.A.")</f>
        <v>N.A.</v>
      </c>
      <c r="X324" s="7" t="str">
        <f>Tab_Data_Flows[[#This Row],[UoM_Flow_Py]]</f>
        <v>Mg</v>
      </c>
      <c r="Y324" s="143">
        <f>INDEX(Tab_Def_Flows[[Flow_ID]:[CC_DM_source]],MATCH(Tab_Data_Flows[[#This Row],[Flow_Name]],Tab_Def_Flows[Flow_Name],0),14)</f>
        <v>0</v>
      </c>
      <c r="Z324" s="7" t="str">
        <f>Tab_Data_Flows[[#This Row],[Flow_ID]]&amp;"_"&amp;"DM_"&amp;Tab_Data_Flows[[#This Row],[Flow_Data_Year]]</f>
        <v>F___DM_</v>
      </c>
      <c r="AA324" s="7" t="str">
        <f>IF(E324="Yes",Y324*Tab_Data_Flows[[#This Row],[Flow_Material]],"N.A.")</f>
        <v>N.A.</v>
      </c>
      <c r="AB324" s="7" t="str">
        <f>Tab_Data_Flows[[#This Row],[UoM_Flow_Py]]</f>
        <v>Mg</v>
      </c>
      <c r="AC324" s="143">
        <f>INDEX(Tab_Def_Flows[[Flow_ID]:[CC_DM_source]],MATCH(Tab_Data_Flows[[#This Row],[Flow_Name]],Tab_Def_Flows[Flow_Name],0),17)</f>
        <v>0</v>
      </c>
      <c r="AD324" s="7" t="str">
        <f>Tab_Data_Flows[[#This Row],[Flow_ID]]&amp;"_"&amp;"CC_"&amp;Tab_Data_Flows[[#This Row],[Flow_Data_Year]]</f>
        <v>F___CC_</v>
      </c>
      <c r="AE324" s="7" t="str">
        <f>IF(F324="Yes",AC324*Tab_Data_Flows[[#This Row],[Flow_Material]]*Tab_Data_Flows[[#This Row],[DM_'[%']]],"N.A.")</f>
        <v>N.A.</v>
      </c>
      <c r="AF324" s="7" t="str">
        <f>Tab_Data_Flows[[#This Row],[UoM_Flow_Py]]</f>
        <v>Mg</v>
      </c>
      <c r="AG324"/>
    </row>
    <row r="325" spans="1:33" x14ac:dyDescent="0.25">
      <c r="A325" s="9">
        <f t="shared" si="5"/>
        <v>324</v>
      </c>
      <c r="B325" s="7" t="str">
        <f>_xlfn.XLOOKUP(C325,Tab_Def_Flows[Flow_Name],Tab_Def_Flows[Flow_ID],,0,)</f>
        <v>F__</v>
      </c>
      <c r="C325" s="142" t="s">
        <v>22</v>
      </c>
      <c r="D325" s="10">
        <f>_xlfn.XLOOKUP(C325,Tab_Def_Flows[Flow_Name],Tab_Def_Flows[WC?],,0,)</f>
        <v>0</v>
      </c>
      <c r="E325" s="10">
        <f>_xlfn.XLOOKUP(C325,Tab_Def_Flows[Flow_Name],Tab_Def_Flows[DM?],,0,)</f>
        <v>0</v>
      </c>
      <c r="F325" s="10">
        <f>_xlfn.XLOOKUP(C325,Tab_Def_Flows[Flow_Name],Tab_Def_Flows[CC?],,0,)</f>
        <v>0</v>
      </c>
      <c r="G325" s="8"/>
      <c r="H325" s="23"/>
      <c r="I325" s="8"/>
      <c r="J325" s="15"/>
      <c r="K325" s="15"/>
      <c r="L325" s="15"/>
      <c r="M325" s="15"/>
      <c r="N325" s="15"/>
      <c r="O325" s="8" t="s">
        <v>6</v>
      </c>
      <c r="P325" s="16"/>
      <c r="Q325" s="8"/>
      <c r="R325" s="7" t="str">
        <f>Tab_Data_Flows[[#This Row],[Flow_ID]]&amp;"_"&amp;"material_"&amp;Tab_Data_Flows[[#This Row],[Flow_Data_Year]]</f>
        <v>F___material_</v>
      </c>
      <c r="S325" s="14">
        <f>IF(O325="no",H325,H325*P325)</f>
        <v>0</v>
      </c>
      <c r="T325" s="8" t="s">
        <v>198</v>
      </c>
      <c r="U325" s="143">
        <f>INDEX(Tab_Def_Flows[[Flow_ID]:[CC_DM_source]],MATCH(Tab_Data_Flows[[#This Row],[Flow_Name]],Tab_Def_Flows[Flow_Name],0),11)</f>
        <v>0</v>
      </c>
      <c r="V325" s="7" t="str">
        <f>Tab_Data_Flows[[#This Row],[Flow_ID]]&amp;"_"&amp;"WC_"&amp;Tab_Data_Flows[[#This Row],[Flow_Data_Year]]</f>
        <v>F___WC_</v>
      </c>
      <c r="W325" s="7" t="str">
        <f>IF(D325="Yes",S325*Tab_Data_Flows[[#This Row],[WC_'[%']]],"N.A.")</f>
        <v>N.A.</v>
      </c>
      <c r="X325" s="7" t="str">
        <f>Tab_Data_Flows[[#This Row],[UoM_Flow_Py]]</f>
        <v>Mg</v>
      </c>
      <c r="Y325" s="143">
        <f>INDEX(Tab_Def_Flows[[Flow_ID]:[CC_DM_source]],MATCH(Tab_Data_Flows[[#This Row],[Flow_Name]],Tab_Def_Flows[Flow_Name],0),14)</f>
        <v>0</v>
      </c>
      <c r="Z325" s="7" t="str">
        <f>Tab_Data_Flows[[#This Row],[Flow_ID]]&amp;"_"&amp;"DM_"&amp;Tab_Data_Flows[[#This Row],[Flow_Data_Year]]</f>
        <v>F___DM_</v>
      </c>
      <c r="AA325" s="7" t="str">
        <f>IF(E325="Yes",Y325*Tab_Data_Flows[[#This Row],[Flow_Material]],"N.A.")</f>
        <v>N.A.</v>
      </c>
      <c r="AB325" s="7" t="str">
        <f>Tab_Data_Flows[[#This Row],[UoM_Flow_Py]]</f>
        <v>Mg</v>
      </c>
      <c r="AC325" s="143">
        <f>INDEX(Tab_Def_Flows[[Flow_ID]:[CC_DM_source]],MATCH(Tab_Data_Flows[[#This Row],[Flow_Name]],Tab_Def_Flows[Flow_Name],0),17)</f>
        <v>0</v>
      </c>
      <c r="AD325" s="7" t="str">
        <f>Tab_Data_Flows[[#This Row],[Flow_ID]]&amp;"_"&amp;"CC_"&amp;Tab_Data_Flows[[#This Row],[Flow_Data_Year]]</f>
        <v>F___CC_</v>
      </c>
      <c r="AE325" s="7" t="str">
        <f>IF(F325="Yes",AC325*Tab_Data_Flows[[#This Row],[Flow_Material]]*Tab_Data_Flows[[#This Row],[DM_'[%']]],"N.A.")</f>
        <v>N.A.</v>
      </c>
      <c r="AF325" s="7" t="str">
        <f>Tab_Data_Flows[[#This Row],[UoM_Flow_Py]]</f>
        <v>Mg</v>
      </c>
      <c r="AG325"/>
    </row>
    <row r="326" spans="1:33" x14ac:dyDescent="0.25">
      <c r="A326" s="9">
        <f t="shared" si="5"/>
        <v>325</v>
      </c>
      <c r="B326" s="7" t="str">
        <f>_xlfn.XLOOKUP(C326,Tab_Def_Flows[Flow_Name],Tab_Def_Flows[Flow_ID],,0,)</f>
        <v>F__</v>
      </c>
      <c r="C326" s="142" t="s">
        <v>22</v>
      </c>
      <c r="D326" s="10">
        <f>_xlfn.XLOOKUP(C326,Tab_Def_Flows[Flow_Name],Tab_Def_Flows[WC?],,0,)</f>
        <v>0</v>
      </c>
      <c r="E326" s="10">
        <f>_xlfn.XLOOKUP(C326,Tab_Def_Flows[Flow_Name],Tab_Def_Flows[DM?],,0,)</f>
        <v>0</v>
      </c>
      <c r="F326" s="10">
        <f>_xlfn.XLOOKUP(C326,Tab_Def_Flows[Flow_Name],Tab_Def_Flows[CC?],,0,)</f>
        <v>0</v>
      </c>
      <c r="G326" s="8"/>
      <c r="H326" s="23"/>
      <c r="I326" s="8"/>
      <c r="J326" s="15"/>
      <c r="K326" s="15"/>
      <c r="L326" s="15"/>
      <c r="M326" s="15"/>
      <c r="N326" s="15"/>
      <c r="O326" s="8" t="s">
        <v>6</v>
      </c>
      <c r="P326" s="16"/>
      <c r="Q326" s="8"/>
      <c r="R326" s="7" t="str">
        <f>Tab_Data_Flows[[#This Row],[Flow_ID]]&amp;"_"&amp;"material_"&amp;Tab_Data_Flows[[#This Row],[Flow_Data_Year]]</f>
        <v>F___material_</v>
      </c>
      <c r="S326" s="14">
        <f>IF(O326="no",H326,H326*P326)</f>
        <v>0</v>
      </c>
      <c r="T326" s="8" t="s">
        <v>198</v>
      </c>
      <c r="U326" s="143">
        <f>INDEX(Tab_Def_Flows[[Flow_ID]:[CC_DM_source]],MATCH(Tab_Data_Flows[[#This Row],[Flow_Name]],Tab_Def_Flows[Flow_Name],0),11)</f>
        <v>0</v>
      </c>
      <c r="V326" s="7" t="str">
        <f>Tab_Data_Flows[[#This Row],[Flow_ID]]&amp;"_"&amp;"WC_"&amp;Tab_Data_Flows[[#This Row],[Flow_Data_Year]]</f>
        <v>F___WC_</v>
      </c>
      <c r="W326" s="7" t="str">
        <f>IF(D326="Yes",S326*Tab_Data_Flows[[#This Row],[WC_'[%']]],"N.A.")</f>
        <v>N.A.</v>
      </c>
      <c r="X326" s="7" t="str">
        <f>Tab_Data_Flows[[#This Row],[UoM_Flow_Py]]</f>
        <v>Mg</v>
      </c>
      <c r="Y326" s="143">
        <f>INDEX(Tab_Def_Flows[[Flow_ID]:[CC_DM_source]],MATCH(Tab_Data_Flows[[#This Row],[Flow_Name]],Tab_Def_Flows[Flow_Name],0),14)</f>
        <v>0</v>
      </c>
      <c r="Z326" s="7" t="str">
        <f>Tab_Data_Flows[[#This Row],[Flow_ID]]&amp;"_"&amp;"DM_"&amp;Tab_Data_Flows[[#This Row],[Flow_Data_Year]]</f>
        <v>F___DM_</v>
      </c>
      <c r="AA326" s="7" t="str">
        <f>IF(E326="Yes",Y326*Tab_Data_Flows[[#This Row],[Flow_Material]],"N.A.")</f>
        <v>N.A.</v>
      </c>
      <c r="AB326" s="7" t="str">
        <f>Tab_Data_Flows[[#This Row],[UoM_Flow_Py]]</f>
        <v>Mg</v>
      </c>
      <c r="AC326" s="143">
        <f>INDEX(Tab_Def_Flows[[Flow_ID]:[CC_DM_source]],MATCH(Tab_Data_Flows[[#This Row],[Flow_Name]],Tab_Def_Flows[Flow_Name],0),17)</f>
        <v>0</v>
      </c>
      <c r="AD326" s="7" t="str">
        <f>Tab_Data_Flows[[#This Row],[Flow_ID]]&amp;"_"&amp;"CC_"&amp;Tab_Data_Flows[[#This Row],[Flow_Data_Year]]</f>
        <v>F___CC_</v>
      </c>
      <c r="AE326" s="7" t="str">
        <f>IF(F326="Yes",AC326*Tab_Data_Flows[[#This Row],[Flow_Material]]*Tab_Data_Flows[[#This Row],[DM_'[%']]],"N.A.")</f>
        <v>N.A.</v>
      </c>
      <c r="AF326" s="7" t="str">
        <f>Tab_Data_Flows[[#This Row],[UoM_Flow_Py]]</f>
        <v>Mg</v>
      </c>
      <c r="AG326"/>
    </row>
    <row r="327" spans="1:33" x14ac:dyDescent="0.25">
      <c r="A327" s="9">
        <f t="shared" si="5"/>
        <v>326</v>
      </c>
      <c r="B327" s="7" t="str">
        <f>_xlfn.XLOOKUP(C327,Tab_Def_Flows[Flow_Name],Tab_Def_Flows[Flow_ID],,0,)</f>
        <v>F__</v>
      </c>
      <c r="C327" s="142" t="s">
        <v>22</v>
      </c>
      <c r="D327" s="10">
        <f>_xlfn.XLOOKUP(C327,Tab_Def_Flows[Flow_Name],Tab_Def_Flows[WC?],,0,)</f>
        <v>0</v>
      </c>
      <c r="E327" s="10">
        <f>_xlfn.XLOOKUP(C327,Tab_Def_Flows[Flow_Name],Tab_Def_Flows[DM?],,0,)</f>
        <v>0</v>
      </c>
      <c r="F327" s="10">
        <f>_xlfn.XLOOKUP(C327,Tab_Def_Flows[Flow_Name],Tab_Def_Flows[CC?],,0,)</f>
        <v>0</v>
      </c>
      <c r="G327" s="8"/>
      <c r="H327" s="23"/>
      <c r="I327" s="8"/>
      <c r="J327" s="15"/>
      <c r="K327" s="15"/>
      <c r="L327" s="15"/>
      <c r="M327" s="15"/>
      <c r="N327" s="15"/>
      <c r="O327" s="8" t="s">
        <v>6</v>
      </c>
      <c r="P327" s="16"/>
      <c r="Q327" s="8"/>
      <c r="R327" s="7" t="str">
        <f>Tab_Data_Flows[[#This Row],[Flow_ID]]&amp;"_"&amp;"material_"&amp;Tab_Data_Flows[[#This Row],[Flow_Data_Year]]</f>
        <v>F___material_</v>
      </c>
      <c r="S327" s="14">
        <f>IF(O327="no",H327,H327*P327)</f>
        <v>0</v>
      </c>
      <c r="T327" s="8" t="s">
        <v>198</v>
      </c>
      <c r="U327" s="143">
        <f>INDEX(Tab_Def_Flows[[Flow_ID]:[CC_DM_source]],MATCH(Tab_Data_Flows[[#This Row],[Flow_Name]],Tab_Def_Flows[Flow_Name],0),11)</f>
        <v>0</v>
      </c>
      <c r="V327" s="7" t="str">
        <f>Tab_Data_Flows[[#This Row],[Flow_ID]]&amp;"_"&amp;"WC_"&amp;Tab_Data_Flows[[#This Row],[Flow_Data_Year]]</f>
        <v>F___WC_</v>
      </c>
      <c r="W327" s="7" t="str">
        <f>IF(D327="Yes",S327*Tab_Data_Flows[[#This Row],[WC_'[%']]],"N.A.")</f>
        <v>N.A.</v>
      </c>
      <c r="X327" s="7" t="str">
        <f>Tab_Data_Flows[[#This Row],[UoM_Flow_Py]]</f>
        <v>Mg</v>
      </c>
      <c r="Y327" s="143">
        <f>INDEX(Tab_Def_Flows[[Flow_ID]:[CC_DM_source]],MATCH(Tab_Data_Flows[[#This Row],[Flow_Name]],Tab_Def_Flows[Flow_Name],0),14)</f>
        <v>0</v>
      </c>
      <c r="Z327" s="7" t="str">
        <f>Tab_Data_Flows[[#This Row],[Flow_ID]]&amp;"_"&amp;"DM_"&amp;Tab_Data_Flows[[#This Row],[Flow_Data_Year]]</f>
        <v>F___DM_</v>
      </c>
      <c r="AA327" s="7" t="str">
        <f>IF(E327="Yes",Y327*Tab_Data_Flows[[#This Row],[Flow_Material]],"N.A.")</f>
        <v>N.A.</v>
      </c>
      <c r="AB327" s="7" t="str">
        <f>Tab_Data_Flows[[#This Row],[UoM_Flow_Py]]</f>
        <v>Mg</v>
      </c>
      <c r="AC327" s="143">
        <f>INDEX(Tab_Def_Flows[[Flow_ID]:[CC_DM_source]],MATCH(Tab_Data_Flows[[#This Row],[Flow_Name]],Tab_Def_Flows[Flow_Name],0),17)</f>
        <v>0</v>
      </c>
      <c r="AD327" s="7" t="str">
        <f>Tab_Data_Flows[[#This Row],[Flow_ID]]&amp;"_"&amp;"CC_"&amp;Tab_Data_Flows[[#This Row],[Flow_Data_Year]]</f>
        <v>F___CC_</v>
      </c>
      <c r="AE327" s="7" t="str">
        <f>IF(F327="Yes",AC327*Tab_Data_Flows[[#This Row],[Flow_Material]]*Tab_Data_Flows[[#This Row],[DM_'[%']]],"N.A.")</f>
        <v>N.A.</v>
      </c>
      <c r="AF327" s="7" t="str">
        <f>Tab_Data_Flows[[#This Row],[UoM_Flow_Py]]</f>
        <v>Mg</v>
      </c>
      <c r="AG327"/>
    </row>
    <row r="328" spans="1:33" x14ac:dyDescent="0.25">
      <c r="A328" s="9">
        <f t="shared" si="5"/>
        <v>327</v>
      </c>
      <c r="B328" s="7" t="str">
        <f>_xlfn.XLOOKUP(C328,Tab_Def_Flows[Flow_Name],Tab_Def_Flows[Flow_ID],,0,)</f>
        <v>F__</v>
      </c>
      <c r="C328" s="142" t="s">
        <v>22</v>
      </c>
      <c r="D328" s="10">
        <f>_xlfn.XLOOKUP(C328,Tab_Def_Flows[Flow_Name],Tab_Def_Flows[WC?],,0,)</f>
        <v>0</v>
      </c>
      <c r="E328" s="10">
        <f>_xlfn.XLOOKUP(C328,Tab_Def_Flows[Flow_Name],Tab_Def_Flows[DM?],,0,)</f>
        <v>0</v>
      </c>
      <c r="F328" s="10">
        <f>_xlfn.XLOOKUP(C328,Tab_Def_Flows[Flow_Name],Tab_Def_Flows[CC?],,0,)</f>
        <v>0</v>
      </c>
      <c r="G328" s="8"/>
      <c r="H328" s="23"/>
      <c r="I328" s="8"/>
      <c r="J328" s="15"/>
      <c r="K328" s="15"/>
      <c r="L328" s="15"/>
      <c r="M328" s="15"/>
      <c r="N328" s="15"/>
      <c r="O328" s="8" t="s">
        <v>6</v>
      </c>
      <c r="P328" s="16"/>
      <c r="Q328" s="8"/>
      <c r="R328" s="7" t="str">
        <f>Tab_Data_Flows[[#This Row],[Flow_ID]]&amp;"_"&amp;"material_"&amp;Tab_Data_Flows[[#This Row],[Flow_Data_Year]]</f>
        <v>F___material_</v>
      </c>
      <c r="S328" s="14">
        <f>IF(O328="no",H328,H328*P328)</f>
        <v>0</v>
      </c>
      <c r="T328" s="8" t="s">
        <v>198</v>
      </c>
      <c r="U328" s="143">
        <f>INDEX(Tab_Def_Flows[[Flow_ID]:[CC_DM_source]],MATCH(Tab_Data_Flows[[#This Row],[Flow_Name]],Tab_Def_Flows[Flow_Name],0),11)</f>
        <v>0</v>
      </c>
      <c r="V328" s="7" t="str">
        <f>Tab_Data_Flows[[#This Row],[Flow_ID]]&amp;"_"&amp;"WC_"&amp;Tab_Data_Flows[[#This Row],[Flow_Data_Year]]</f>
        <v>F___WC_</v>
      </c>
      <c r="W328" s="7" t="str">
        <f>IF(D328="Yes",S328*Tab_Data_Flows[[#This Row],[WC_'[%']]],"N.A.")</f>
        <v>N.A.</v>
      </c>
      <c r="X328" s="7" t="str">
        <f>Tab_Data_Flows[[#This Row],[UoM_Flow_Py]]</f>
        <v>Mg</v>
      </c>
      <c r="Y328" s="143">
        <f>INDEX(Tab_Def_Flows[[Flow_ID]:[CC_DM_source]],MATCH(Tab_Data_Flows[[#This Row],[Flow_Name]],Tab_Def_Flows[Flow_Name],0),14)</f>
        <v>0</v>
      </c>
      <c r="Z328" s="7" t="str">
        <f>Tab_Data_Flows[[#This Row],[Flow_ID]]&amp;"_"&amp;"DM_"&amp;Tab_Data_Flows[[#This Row],[Flow_Data_Year]]</f>
        <v>F___DM_</v>
      </c>
      <c r="AA328" s="7" t="str">
        <f>IF(E328="Yes",Y328*Tab_Data_Flows[[#This Row],[Flow_Material]],"N.A.")</f>
        <v>N.A.</v>
      </c>
      <c r="AB328" s="7" t="str">
        <f>Tab_Data_Flows[[#This Row],[UoM_Flow_Py]]</f>
        <v>Mg</v>
      </c>
      <c r="AC328" s="143">
        <f>INDEX(Tab_Def_Flows[[Flow_ID]:[CC_DM_source]],MATCH(Tab_Data_Flows[[#This Row],[Flow_Name]],Tab_Def_Flows[Flow_Name],0),17)</f>
        <v>0</v>
      </c>
      <c r="AD328" s="7" t="str">
        <f>Tab_Data_Flows[[#This Row],[Flow_ID]]&amp;"_"&amp;"CC_"&amp;Tab_Data_Flows[[#This Row],[Flow_Data_Year]]</f>
        <v>F___CC_</v>
      </c>
      <c r="AE328" s="7" t="str">
        <f>IF(F328="Yes",AC328*Tab_Data_Flows[[#This Row],[Flow_Material]]*Tab_Data_Flows[[#This Row],[DM_'[%']]],"N.A.")</f>
        <v>N.A.</v>
      </c>
      <c r="AF328" s="7" t="str">
        <f>Tab_Data_Flows[[#This Row],[UoM_Flow_Py]]</f>
        <v>Mg</v>
      </c>
      <c r="AG328"/>
    </row>
    <row r="329" spans="1:33" x14ac:dyDescent="0.25">
      <c r="A329" s="9">
        <f t="shared" si="5"/>
        <v>328</v>
      </c>
      <c r="B329" s="7" t="str">
        <f>_xlfn.XLOOKUP(C329,Tab_Def_Flows[Flow_Name],Tab_Def_Flows[Flow_ID],,0,)</f>
        <v>F__</v>
      </c>
      <c r="C329" s="142" t="s">
        <v>22</v>
      </c>
      <c r="D329" s="10">
        <f>_xlfn.XLOOKUP(C329,Tab_Def_Flows[Flow_Name],Tab_Def_Flows[WC?],,0,)</f>
        <v>0</v>
      </c>
      <c r="E329" s="10">
        <f>_xlfn.XLOOKUP(C329,Tab_Def_Flows[Flow_Name],Tab_Def_Flows[DM?],,0,)</f>
        <v>0</v>
      </c>
      <c r="F329" s="10">
        <f>_xlfn.XLOOKUP(C329,Tab_Def_Flows[Flow_Name],Tab_Def_Flows[CC?],,0,)</f>
        <v>0</v>
      </c>
      <c r="G329" s="8"/>
      <c r="H329" s="23"/>
      <c r="I329" s="8"/>
      <c r="J329" s="15"/>
      <c r="K329" s="15"/>
      <c r="L329" s="15"/>
      <c r="M329" s="15"/>
      <c r="N329" s="15"/>
      <c r="O329" s="8" t="s">
        <v>6</v>
      </c>
      <c r="P329" s="16"/>
      <c r="Q329" s="8"/>
      <c r="R329" s="7" t="str">
        <f>Tab_Data_Flows[[#This Row],[Flow_ID]]&amp;"_"&amp;"material_"&amp;Tab_Data_Flows[[#This Row],[Flow_Data_Year]]</f>
        <v>F___material_</v>
      </c>
      <c r="S329" s="14">
        <f>IF(O329="no",H329,H329*P329)</f>
        <v>0</v>
      </c>
      <c r="T329" s="8" t="s">
        <v>198</v>
      </c>
      <c r="U329" s="143">
        <f>INDEX(Tab_Def_Flows[[Flow_ID]:[CC_DM_source]],MATCH(Tab_Data_Flows[[#This Row],[Flow_Name]],Tab_Def_Flows[Flow_Name],0),11)</f>
        <v>0</v>
      </c>
      <c r="V329" s="7" t="str">
        <f>Tab_Data_Flows[[#This Row],[Flow_ID]]&amp;"_"&amp;"WC_"&amp;Tab_Data_Flows[[#This Row],[Flow_Data_Year]]</f>
        <v>F___WC_</v>
      </c>
      <c r="W329" s="7" t="str">
        <f>IF(D329="Yes",S329*Tab_Data_Flows[[#This Row],[WC_'[%']]],"N.A.")</f>
        <v>N.A.</v>
      </c>
      <c r="X329" s="7" t="str">
        <f>Tab_Data_Flows[[#This Row],[UoM_Flow_Py]]</f>
        <v>Mg</v>
      </c>
      <c r="Y329" s="143">
        <f>INDEX(Tab_Def_Flows[[Flow_ID]:[CC_DM_source]],MATCH(Tab_Data_Flows[[#This Row],[Flow_Name]],Tab_Def_Flows[Flow_Name],0),14)</f>
        <v>0</v>
      </c>
      <c r="Z329" s="7" t="str">
        <f>Tab_Data_Flows[[#This Row],[Flow_ID]]&amp;"_"&amp;"DM_"&amp;Tab_Data_Flows[[#This Row],[Flow_Data_Year]]</f>
        <v>F___DM_</v>
      </c>
      <c r="AA329" s="7" t="str">
        <f>IF(E329="Yes",Y329*Tab_Data_Flows[[#This Row],[Flow_Material]],"N.A.")</f>
        <v>N.A.</v>
      </c>
      <c r="AB329" s="7" t="str">
        <f>Tab_Data_Flows[[#This Row],[UoM_Flow_Py]]</f>
        <v>Mg</v>
      </c>
      <c r="AC329" s="143">
        <f>INDEX(Tab_Def_Flows[[Flow_ID]:[CC_DM_source]],MATCH(Tab_Data_Flows[[#This Row],[Flow_Name]],Tab_Def_Flows[Flow_Name],0),17)</f>
        <v>0</v>
      </c>
      <c r="AD329" s="7" t="str">
        <f>Tab_Data_Flows[[#This Row],[Flow_ID]]&amp;"_"&amp;"CC_"&amp;Tab_Data_Flows[[#This Row],[Flow_Data_Year]]</f>
        <v>F___CC_</v>
      </c>
      <c r="AE329" s="7" t="str">
        <f>IF(F329="Yes",AC329*Tab_Data_Flows[[#This Row],[Flow_Material]]*Tab_Data_Flows[[#This Row],[DM_'[%']]],"N.A.")</f>
        <v>N.A.</v>
      </c>
      <c r="AF329" s="7" t="str">
        <f>Tab_Data_Flows[[#This Row],[UoM_Flow_Py]]</f>
        <v>Mg</v>
      </c>
      <c r="AG329"/>
    </row>
    <row r="330" spans="1:33" x14ac:dyDescent="0.25">
      <c r="A330" s="9">
        <f t="shared" si="5"/>
        <v>329</v>
      </c>
      <c r="B330" s="7" t="str">
        <f>_xlfn.XLOOKUP(C330,Tab_Def_Flows[Flow_Name],Tab_Def_Flows[Flow_ID],,0,)</f>
        <v>F__</v>
      </c>
      <c r="C330" s="142" t="s">
        <v>22</v>
      </c>
      <c r="D330" s="10">
        <f>_xlfn.XLOOKUP(C330,Tab_Def_Flows[Flow_Name],Tab_Def_Flows[WC?],,0,)</f>
        <v>0</v>
      </c>
      <c r="E330" s="10">
        <f>_xlfn.XLOOKUP(C330,Tab_Def_Flows[Flow_Name],Tab_Def_Flows[DM?],,0,)</f>
        <v>0</v>
      </c>
      <c r="F330" s="10">
        <f>_xlfn.XLOOKUP(C330,Tab_Def_Flows[Flow_Name],Tab_Def_Flows[CC?],,0,)</f>
        <v>0</v>
      </c>
      <c r="G330" s="8"/>
      <c r="H330" s="23"/>
      <c r="I330" s="8"/>
      <c r="J330" s="15"/>
      <c r="K330" s="15"/>
      <c r="L330" s="15"/>
      <c r="M330" s="15"/>
      <c r="N330" s="15"/>
      <c r="O330" s="8" t="s">
        <v>6</v>
      </c>
      <c r="P330" s="16"/>
      <c r="Q330" s="8"/>
      <c r="R330" s="7" t="str">
        <f>Tab_Data_Flows[[#This Row],[Flow_ID]]&amp;"_"&amp;"material_"&amp;Tab_Data_Flows[[#This Row],[Flow_Data_Year]]</f>
        <v>F___material_</v>
      </c>
      <c r="S330" s="14">
        <f>IF(O330="no",H330,H330*P330)</f>
        <v>0</v>
      </c>
      <c r="T330" s="8" t="s">
        <v>198</v>
      </c>
      <c r="U330" s="143">
        <f>INDEX(Tab_Def_Flows[[Flow_ID]:[CC_DM_source]],MATCH(Tab_Data_Flows[[#This Row],[Flow_Name]],Tab_Def_Flows[Flow_Name],0),11)</f>
        <v>0</v>
      </c>
      <c r="V330" s="7" t="str">
        <f>Tab_Data_Flows[[#This Row],[Flow_ID]]&amp;"_"&amp;"WC_"&amp;Tab_Data_Flows[[#This Row],[Flow_Data_Year]]</f>
        <v>F___WC_</v>
      </c>
      <c r="W330" s="7" t="str">
        <f>IF(D330="Yes",S330*Tab_Data_Flows[[#This Row],[WC_'[%']]],"N.A.")</f>
        <v>N.A.</v>
      </c>
      <c r="X330" s="7" t="str">
        <f>Tab_Data_Flows[[#This Row],[UoM_Flow_Py]]</f>
        <v>Mg</v>
      </c>
      <c r="Y330" s="143">
        <f>INDEX(Tab_Def_Flows[[Flow_ID]:[CC_DM_source]],MATCH(Tab_Data_Flows[[#This Row],[Flow_Name]],Tab_Def_Flows[Flow_Name],0),14)</f>
        <v>0</v>
      </c>
      <c r="Z330" s="7" t="str">
        <f>Tab_Data_Flows[[#This Row],[Flow_ID]]&amp;"_"&amp;"DM_"&amp;Tab_Data_Flows[[#This Row],[Flow_Data_Year]]</f>
        <v>F___DM_</v>
      </c>
      <c r="AA330" s="7" t="str">
        <f>IF(E330="Yes",Y330*Tab_Data_Flows[[#This Row],[Flow_Material]],"N.A.")</f>
        <v>N.A.</v>
      </c>
      <c r="AB330" s="7" t="str">
        <f>Tab_Data_Flows[[#This Row],[UoM_Flow_Py]]</f>
        <v>Mg</v>
      </c>
      <c r="AC330" s="143">
        <f>INDEX(Tab_Def_Flows[[Flow_ID]:[CC_DM_source]],MATCH(Tab_Data_Flows[[#This Row],[Flow_Name]],Tab_Def_Flows[Flow_Name],0),17)</f>
        <v>0</v>
      </c>
      <c r="AD330" s="7" t="str">
        <f>Tab_Data_Flows[[#This Row],[Flow_ID]]&amp;"_"&amp;"CC_"&amp;Tab_Data_Flows[[#This Row],[Flow_Data_Year]]</f>
        <v>F___CC_</v>
      </c>
      <c r="AE330" s="7" t="str">
        <f>IF(F330="Yes",AC330*Tab_Data_Flows[[#This Row],[Flow_Material]]*Tab_Data_Flows[[#This Row],[DM_'[%']]],"N.A.")</f>
        <v>N.A.</v>
      </c>
      <c r="AF330" s="7" t="str">
        <f>Tab_Data_Flows[[#This Row],[UoM_Flow_Py]]</f>
        <v>Mg</v>
      </c>
      <c r="AG330"/>
    </row>
    <row r="331" spans="1:33" x14ac:dyDescent="0.25">
      <c r="A331" s="9">
        <f t="shared" si="5"/>
        <v>330</v>
      </c>
      <c r="B331" s="7" t="str">
        <f>_xlfn.XLOOKUP(C331,Tab_Def_Flows[Flow_Name],Tab_Def_Flows[Flow_ID],,0,)</f>
        <v>F__</v>
      </c>
      <c r="C331" s="142" t="s">
        <v>22</v>
      </c>
      <c r="D331" s="10">
        <f>_xlfn.XLOOKUP(C331,Tab_Def_Flows[Flow_Name],Tab_Def_Flows[WC?],,0,)</f>
        <v>0</v>
      </c>
      <c r="E331" s="10">
        <f>_xlfn.XLOOKUP(C331,Tab_Def_Flows[Flow_Name],Tab_Def_Flows[DM?],,0,)</f>
        <v>0</v>
      </c>
      <c r="F331" s="10">
        <f>_xlfn.XLOOKUP(C331,Tab_Def_Flows[Flow_Name],Tab_Def_Flows[CC?],,0,)</f>
        <v>0</v>
      </c>
      <c r="G331" s="8"/>
      <c r="H331" s="23"/>
      <c r="I331" s="8"/>
      <c r="J331" s="15"/>
      <c r="K331" s="15"/>
      <c r="L331" s="15"/>
      <c r="M331" s="15"/>
      <c r="N331" s="15"/>
      <c r="O331" s="8" t="s">
        <v>6</v>
      </c>
      <c r="P331" s="16"/>
      <c r="Q331" s="8"/>
      <c r="R331" s="7" t="str">
        <f>Tab_Data_Flows[[#This Row],[Flow_ID]]&amp;"_"&amp;"material_"&amp;Tab_Data_Flows[[#This Row],[Flow_Data_Year]]</f>
        <v>F___material_</v>
      </c>
      <c r="S331" s="14">
        <f>IF(O331="no",H331,H331*P331)</f>
        <v>0</v>
      </c>
      <c r="T331" s="8" t="s">
        <v>198</v>
      </c>
      <c r="U331" s="143">
        <f>INDEX(Tab_Def_Flows[[Flow_ID]:[CC_DM_source]],MATCH(Tab_Data_Flows[[#This Row],[Flow_Name]],Tab_Def_Flows[Flow_Name],0),11)</f>
        <v>0</v>
      </c>
      <c r="V331" s="7" t="str">
        <f>Tab_Data_Flows[[#This Row],[Flow_ID]]&amp;"_"&amp;"WC_"&amp;Tab_Data_Flows[[#This Row],[Flow_Data_Year]]</f>
        <v>F___WC_</v>
      </c>
      <c r="W331" s="7" t="str">
        <f>IF(D331="Yes",S331*Tab_Data_Flows[[#This Row],[WC_'[%']]],"N.A.")</f>
        <v>N.A.</v>
      </c>
      <c r="X331" s="7" t="str">
        <f>Tab_Data_Flows[[#This Row],[UoM_Flow_Py]]</f>
        <v>Mg</v>
      </c>
      <c r="Y331" s="143">
        <f>INDEX(Tab_Def_Flows[[Flow_ID]:[CC_DM_source]],MATCH(Tab_Data_Flows[[#This Row],[Flow_Name]],Tab_Def_Flows[Flow_Name],0),14)</f>
        <v>0</v>
      </c>
      <c r="Z331" s="7" t="str">
        <f>Tab_Data_Flows[[#This Row],[Flow_ID]]&amp;"_"&amp;"DM_"&amp;Tab_Data_Flows[[#This Row],[Flow_Data_Year]]</f>
        <v>F___DM_</v>
      </c>
      <c r="AA331" s="7" t="str">
        <f>IF(E331="Yes",Y331*Tab_Data_Flows[[#This Row],[Flow_Material]],"N.A.")</f>
        <v>N.A.</v>
      </c>
      <c r="AB331" s="7" t="str">
        <f>Tab_Data_Flows[[#This Row],[UoM_Flow_Py]]</f>
        <v>Mg</v>
      </c>
      <c r="AC331" s="143">
        <f>INDEX(Tab_Def_Flows[[Flow_ID]:[CC_DM_source]],MATCH(Tab_Data_Flows[[#This Row],[Flow_Name]],Tab_Def_Flows[Flow_Name],0),17)</f>
        <v>0</v>
      </c>
      <c r="AD331" s="7" t="str">
        <f>Tab_Data_Flows[[#This Row],[Flow_ID]]&amp;"_"&amp;"CC_"&amp;Tab_Data_Flows[[#This Row],[Flow_Data_Year]]</f>
        <v>F___CC_</v>
      </c>
      <c r="AE331" s="7" t="str">
        <f>IF(F331="Yes",AC331*Tab_Data_Flows[[#This Row],[Flow_Material]]*Tab_Data_Flows[[#This Row],[DM_'[%']]],"N.A.")</f>
        <v>N.A.</v>
      </c>
      <c r="AF331" s="7" t="str">
        <f>Tab_Data_Flows[[#This Row],[UoM_Flow_Py]]</f>
        <v>Mg</v>
      </c>
      <c r="AG331"/>
    </row>
    <row r="332" spans="1:33" x14ac:dyDescent="0.25">
      <c r="A332" s="9">
        <f t="shared" si="5"/>
        <v>331</v>
      </c>
      <c r="B332" s="7" t="str">
        <f>_xlfn.XLOOKUP(C332,Tab_Def_Flows[Flow_Name],Tab_Def_Flows[Flow_ID],,0,)</f>
        <v>F__</v>
      </c>
      <c r="C332" s="142" t="s">
        <v>22</v>
      </c>
      <c r="D332" s="10">
        <f>_xlfn.XLOOKUP(C332,Tab_Def_Flows[Flow_Name],Tab_Def_Flows[WC?],,0,)</f>
        <v>0</v>
      </c>
      <c r="E332" s="10">
        <f>_xlfn.XLOOKUP(C332,Tab_Def_Flows[Flow_Name],Tab_Def_Flows[DM?],,0,)</f>
        <v>0</v>
      </c>
      <c r="F332" s="10">
        <f>_xlfn.XLOOKUP(C332,Tab_Def_Flows[Flow_Name],Tab_Def_Flows[CC?],,0,)</f>
        <v>0</v>
      </c>
      <c r="G332" s="8"/>
      <c r="H332" s="23"/>
      <c r="I332" s="8"/>
      <c r="J332" s="15"/>
      <c r="K332" s="15"/>
      <c r="L332" s="15"/>
      <c r="M332" s="15"/>
      <c r="N332" s="15"/>
      <c r="O332" s="8" t="s">
        <v>6</v>
      </c>
      <c r="P332" s="16"/>
      <c r="Q332" s="8"/>
      <c r="R332" s="7" t="str">
        <f>Tab_Data_Flows[[#This Row],[Flow_ID]]&amp;"_"&amp;"material_"&amp;Tab_Data_Flows[[#This Row],[Flow_Data_Year]]</f>
        <v>F___material_</v>
      </c>
      <c r="S332" s="14">
        <f>IF(O332="no",H332,H332*P332)</f>
        <v>0</v>
      </c>
      <c r="T332" s="8" t="s">
        <v>198</v>
      </c>
      <c r="U332" s="143">
        <f>INDEX(Tab_Def_Flows[[Flow_ID]:[CC_DM_source]],MATCH(Tab_Data_Flows[[#This Row],[Flow_Name]],Tab_Def_Flows[Flow_Name],0),11)</f>
        <v>0</v>
      </c>
      <c r="V332" s="7" t="str">
        <f>Tab_Data_Flows[[#This Row],[Flow_ID]]&amp;"_"&amp;"WC_"&amp;Tab_Data_Flows[[#This Row],[Flow_Data_Year]]</f>
        <v>F___WC_</v>
      </c>
      <c r="W332" s="7" t="str">
        <f>IF(D332="Yes",S332*Tab_Data_Flows[[#This Row],[WC_'[%']]],"N.A.")</f>
        <v>N.A.</v>
      </c>
      <c r="X332" s="7" t="str">
        <f>Tab_Data_Flows[[#This Row],[UoM_Flow_Py]]</f>
        <v>Mg</v>
      </c>
      <c r="Y332" s="143">
        <f>INDEX(Tab_Def_Flows[[Flow_ID]:[CC_DM_source]],MATCH(Tab_Data_Flows[[#This Row],[Flow_Name]],Tab_Def_Flows[Flow_Name],0),14)</f>
        <v>0</v>
      </c>
      <c r="Z332" s="7" t="str">
        <f>Tab_Data_Flows[[#This Row],[Flow_ID]]&amp;"_"&amp;"DM_"&amp;Tab_Data_Flows[[#This Row],[Flow_Data_Year]]</f>
        <v>F___DM_</v>
      </c>
      <c r="AA332" s="7" t="str">
        <f>IF(E332="Yes",Y332*Tab_Data_Flows[[#This Row],[Flow_Material]],"N.A.")</f>
        <v>N.A.</v>
      </c>
      <c r="AB332" s="7" t="str">
        <f>Tab_Data_Flows[[#This Row],[UoM_Flow_Py]]</f>
        <v>Mg</v>
      </c>
      <c r="AC332" s="143">
        <f>INDEX(Tab_Def_Flows[[Flow_ID]:[CC_DM_source]],MATCH(Tab_Data_Flows[[#This Row],[Flow_Name]],Tab_Def_Flows[Flow_Name],0),17)</f>
        <v>0</v>
      </c>
      <c r="AD332" s="7" t="str">
        <f>Tab_Data_Flows[[#This Row],[Flow_ID]]&amp;"_"&amp;"CC_"&amp;Tab_Data_Flows[[#This Row],[Flow_Data_Year]]</f>
        <v>F___CC_</v>
      </c>
      <c r="AE332" s="7" t="str">
        <f>IF(F332="Yes",AC332*Tab_Data_Flows[[#This Row],[Flow_Material]]*Tab_Data_Flows[[#This Row],[DM_'[%']]],"N.A.")</f>
        <v>N.A.</v>
      </c>
      <c r="AF332" s="7" t="str">
        <f>Tab_Data_Flows[[#This Row],[UoM_Flow_Py]]</f>
        <v>Mg</v>
      </c>
      <c r="AG332"/>
    </row>
    <row r="333" spans="1:33" x14ac:dyDescent="0.25">
      <c r="A333" s="9">
        <f t="shared" si="5"/>
        <v>332</v>
      </c>
      <c r="B333" s="7" t="str">
        <f>_xlfn.XLOOKUP(C333,Tab_Def_Flows[Flow_Name],Tab_Def_Flows[Flow_ID],,0,)</f>
        <v>F__</v>
      </c>
      <c r="C333" s="142" t="s">
        <v>22</v>
      </c>
      <c r="D333" s="10">
        <f>_xlfn.XLOOKUP(C333,Tab_Def_Flows[Flow_Name],Tab_Def_Flows[WC?],,0,)</f>
        <v>0</v>
      </c>
      <c r="E333" s="10">
        <f>_xlfn.XLOOKUP(C333,Tab_Def_Flows[Flow_Name],Tab_Def_Flows[DM?],,0,)</f>
        <v>0</v>
      </c>
      <c r="F333" s="10">
        <f>_xlfn.XLOOKUP(C333,Tab_Def_Flows[Flow_Name],Tab_Def_Flows[CC?],,0,)</f>
        <v>0</v>
      </c>
      <c r="G333" s="8"/>
      <c r="H333" s="23"/>
      <c r="I333" s="8"/>
      <c r="J333" s="15"/>
      <c r="K333" s="15"/>
      <c r="L333" s="15"/>
      <c r="M333" s="15"/>
      <c r="N333" s="15"/>
      <c r="O333" s="8" t="s">
        <v>6</v>
      </c>
      <c r="P333" s="16"/>
      <c r="Q333" s="8"/>
      <c r="R333" s="7" t="str">
        <f>Tab_Data_Flows[[#This Row],[Flow_ID]]&amp;"_"&amp;"material_"&amp;Tab_Data_Flows[[#This Row],[Flow_Data_Year]]</f>
        <v>F___material_</v>
      </c>
      <c r="S333" s="14">
        <f>IF(O333="no",H333,H333*P333)</f>
        <v>0</v>
      </c>
      <c r="T333" s="8" t="s">
        <v>198</v>
      </c>
      <c r="U333" s="143">
        <f>INDEX(Tab_Def_Flows[[Flow_ID]:[CC_DM_source]],MATCH(Tab_Data_Flows[[#This Row],[Flow_Name]],Tab_Def_Flows[Flow_Name],0),11)</f>
        <v>0</v>
      </c>
      <c r="V333" s="7" t="str">
        <f>Tab_Data_Flows[[#This Row],[Flow_ID]]&amp;"_"&amp;"WC_"&amp;Tab_Data_Flows[[#This Row],[Flow_Data_Year]]</f>
        <v>F___WC_</v>
      </c>
      <c r="W333" s="7" t="str">
        <f>IF(D333="Yes",S333*Tab_Data_Flows[[#This Row],[WC_'[%']]],"N.A.")</f>
        <v>N.A.</v>
      </c>
      <c r="X333" s="7" t="str">
        <f>Tab_Data_Flows[[#This Row],[UoM_Flow_Py]]</f>
        <v>Mg</v>
      </c>
      <c r="Y333" s="143">
        <f>INDEX(Tab_Def_Flows[[Flow_ID]:[CC_DM_source]],MATCH(Tab_Data_Flows[[#This Row],[Flow_Name]],Tab_Def_Flows[Flow_Name],0),14)</f>
        <v>0</v>
      </c>
      <c r="Z333" s="7" t="str">
        <f>Tab_Data_Flows[[#This Row],[Flow_ID]]&amp;"_"&amp;"DM_"&amp;Tab_Data_Flows[[#This Row],[Flow_Data_Year]]</f>
        <v>F___DM_</v>
      </c>
      <c r="AA333" s="7" t="str">
        <f>IF(E333="Yes",Y333*Tab_Data_Flows[[#This Row],[Flow_Material]],"N.A.")</f>
        <v>N.A.</v>
      </c>
      <c r="AB333" s="7" t="str">
        <f>Tab_Data_Flows[[#This Row],[UoM_Flow_Py]]</f>
        <v>Mg</v>
      </c>
      <c r="AC333" s="143">
        <f>INDEX(Tab_Def_Flows[[Flow_ID]:[CC_DM_source]],MATCH(Tab_Data_Flows[[#This Row],[Flow_Name]],Tab_Def_Flows[Flow_Name],0),17)</f>
        <v>0</v>
      </c>
      <c r="AD333" s="7" t="str">
        <f>Tab_Data_Flows[[#This Row],[Flow_ID]]&amp;"_"&amp;"CC_"&amp;Tab_Data_Flows[[#This Row],[Flow_Data_Year]]</f>
        <v>F___CC_</v>
      </c>
      <c r="AE333" s="7" t="str">
        <f>IF(F333="Yes",AC333*Tab_Data_Flows[[#This Row],[Flow_Material]]*Tab_Data_Flows[[#This Row],[DM_'[%']]],"N.A.")</f>
        <v>N.A.</v>
      </c>
      <c r="AF333" s="7" t="str">
        <f>Tab_Data_Flows[[#This Row],[UoM_Flow_Py]]</f>
        <v>Mg</v>
      </c>
      <c r="AG333"/>
    </row>
    <row r="334" spans="1:33" x14ac:dyDescent="0.25">
      <c r="A334" s="9">
        <f t="shared" si="5"/>
        <v>333</v>
      </c>
      <c r="B334" s="7" t="str">
        <f>_xlfn.XLOOKUP(C334,Tab_Def_Flows[Flow_Name],Tab_Def_Flows[Flow_ID],,0,)</f>
        <v>F__</v>
      </c>
      <c r="C334" s="142" t="s">
        <v>22</v>
      </c>
      <c r="D334" s="10">
        <f>_xlfn.XLOOKUP(C334,Tab_Def_Flows[Flow_Name],Tab_Def_Flows[WC?],,0,)</f>
        <v>0</v>
      </c>
      <c r="E334" s="10">
        <f>_xlfn.XLOOKUP(C334,Tab_Def_Flows[Flow_Name],Tab_Def_Flows[DM?],,0,)</f>
        <v>0</v>
      </c>
      <c r="F334" s="10">
        <f>_xlfn.XLOOKUP(C334,Tab_Def_Flows[Flow_Name],Tab_Def_Flows[CC?],,0,)</f>
        <v>0</v>
      </c>
      <c r="G334" s="8"/>
      <c r="H334" s="23"/>
      <c r="I334" s="8"/>
      <c r="J334" s="15"/>
      <c r="K334" s="15"/>
      <c r="L334" s="15"/>
      <c r="M334" s="15"/>
      <c r="N334" s="15"/>
      <c r="O334" s="8" t="s">
        <v>6</v>
      </c>
      <c r="P334" s="8"/>
      <c r="Q334" s="8"/>
      <c r="R334" s="7" t="str">
        <f>Tab_Data_Flows[[#This Row],[Flow_ID]]&amp;"_"&amp;"material_"&amp;Tab_Data_Flows[[#This Row],[Flow_Data_Year]]</f>
        <v>F___material_</v>
      </c>
      <c r="S334" s="14">
        <f>IF(O334="no",H334,H334*P334)</f>
        <v>0</v>
      </c>
      <c r="T334" s="8" t="s">
        <v>198</v>
      </c>
      <c r="U334" s="143">
        <f>INDEX(Tab_Def_Flows[[Flow_ID]:[CC_DM_source]],MATCH(Tab_Data_Flows[[#This Row],[Flow_Name]],Tab_Def_Flows[Flow_Name],0),11)</f>
        <v>0</v>
      </c>
      <c r="V334" s="7" t="str">
        <f>Tab_Data_Flows[[#This Row],[Flow_ID]]&amp;"_"&amp;"WC_"&amp;Tab_Data_Flows[[#This Row],[Flow_Data_Year]]</f>
        <v>F___WC_</v>
      </c>
      <c r="W334" s="7" t="str">
        <f>IF(D334="Yes",S334*Tab_Data_Flows[[#This Row],[WC_'[%']]],"N.A.")</f>
        <v>N.A.</v>
      </c>
      <c r="X334" s="7" t="str">
        <f>Tab_Data_Flows[[#This Row],[UoM_Flow_Py]]</f>
        <v>Mg</v>
      </c>
      <c r="Y334" s="143">
        <f>INDEX(Tab_Def_Flows[[Flow_ID]:[CC_DM_source]],MATCH(Tab_Data_Flows[[#This Row],[Flow_Name]],Tab_Def_Flows[Flow_Name],0),14)</f>
        <v>0</v>
      </c>
      <c r="Z334" s="7" t="str">
        <f>Tab_Data_Flows[[#This Row],[Flow_ID]]&amp;"_"&amp;"DM_"&amp;Tab_Data_Flows[[#This Row],[Flow_Data_Year]]</f>
        <v>F___DM_</v>
      </c>
      <c r="AA334" s="7" t="str">
        <f>IF(E334="Yes",Y334*Tab_Data_Flows[[#This Row],[Flow_Material]],"N.A.")</f>
        <v>N.A.</v>
      </c>
      <c r="AB334" s="7" t="str">
        <f>Tab_Data_Flows[[#This Row],[UoM_Flow_Py]]</f>
        <v>Mg</v>
      </c>
      <c r="AC334" s="143">
        <f>INDEX(Tab_Def_Flows[[Flow_ID]:[CC_DM_source]],MATCH(Tab_Data_Flows[[#This Row],[Flow_Name]],Tab_Def_Flows[Flow_Name],0),17)</f>
        <v>0</v>
      </c>
      <c r="AD334" s="7" t="str">
        <f>Tab_Data_Flows[[#This Row],[Flow_ID]]&amp;"_"&amp;"CC_"&amp;Tab_Data_Flows[[#This Row],[Flow_Data_Year]]</f>
        <v>F___CC_</v>
      </c>
      <c r="AE334" s="7" t="str">
        <f>IF(F334="Yes",AC334*Tab_Data_Flows[[#This Row],[Flow_Material]]*Tab_Data_Flows[[#This Row],[DM_'[%']]],"N.A.")</f>
        <v>N.A.</v>
      </c>
      <c r="AF334" s="7" t="str">
        <f>Tab_Data_Flows[[#This Row],[UoM_Flow_Py]]</f>
        <v>Mg</v>
      </c>
      <c r="AG334"/>
    </row>
    <row r="335" spans="1:33" x14ac:dyDescent="0.25">
      <c r="A335" s="9">
        <f t="shared" si="5"/>
        <v>334</v>
      </c>
      <c r="B335" s="7" t="str">
        <f>_xlfn.XLOOKUP(C335,Tab_Def_Flows[Flow_Name],Tab_Def_Flows[Flow_ID],,0,)</f>
        <v>F__</v>
      </c>
      <c r="C335" s="142" t="s">
        <v>22</v>
      </c>
      <c r="D335" s="10">
        <f>_xlfn.XLOOKUP(C335,Tab_Def_Flows[Flow_Name],Tab_Def_Flows[WC?],,0,)</f>
        <v>0</v>
      </c>
      <c r="E335" s="10">
        <f>_xlfn.XLOOKUP(C335,Tab_Def_Flows[Flow_Name],Tab_Def_Flows[DM?],,0,)</f>
        <v>0</v>
      </c>
      <c r="F335" s="10">
        <f>_xlfn.XLOOKUP(C335,Tab_Def_Flows[Flow_Name],Tab_Def_Flows[CC?],,0,)</f>
        <v>0</v>
      </c>
      <c r="G335" s="8"/>
      <c r="H335" s="23"/>
      <c r="I335" s="8"/>
      <c r="J335" s="15"/>
      <c r="K335" s="15"/>
      <c r="L335" s="15"/>
      <c r="M335" s="15"/>
      <c r="N335" s="15"/>
      <c r="O335" s="8" t="s">
        <v>6</v>
      </c>
      <c r="P335" s="8"/>
      <c r="Q335" s="8"/>
      <c r="R335" s="7" t="str">
        <f>Tab_Data_Flows[[#This Row],[Flow_ID]]&amp;"_"&amp;"material_"&amp;Tab_Data_Flows[[#This Row],[Flow_Data_Year]]</f>
        <v>F___material_</v>
      </c>
      <c r="S335" s="14">
        <f>IF(O335="no",H335,H335*P335)</f>
        <v>0</v>
      </c>
      <c r="T335" s="8" t="s">
        <v>198</v>
      </c>
      <c r="U335" s="143">
        <f>INDEX(Tab_Def_Flows[[Flow_ID]:[CC_DM_source]],MATCH(Tab_Data_Flows[[#This Row],[Flow_Name]],Tab_Def_Flows[Flow_Name],0),11)</f>
        <v>0</v>
      </c>
      <c r="V335" s="7" t="str">
        <f>Tab_Data_Flows[[#This Row],[Flow_ID]]&amp;"_"&amp;"WC_"&amp;Tab_Data_Flows[[#This Row],[Flow_Data_Year]]</f>
        <v>F___WC_</v>
      </c>
      <c r="W335" s="7" t="str">
        <f>IF(D335="Yes",S335*Tab_Data_Flows[[#This Row],[WC_'[%']]],"N.A.")</f>
        <v>N.A.</v>
      </c>
      <c r="X335" s="7" t="str">
        <f>Tab_Data_Flows[[#This Row],[UoM_Flow_Py]]</f>
        <v>Mg</v>
      </c>
      <c r="Y335" s="143">
        <f>INDEX(Tab_Def_Flows[[Flow_ID]:[CC_DM_source]],MATCH(Tab_Data_Flows[[#This Row],[Flow_Name]],Tab_Def_Flows[Flow_Name],0),14)</f>
        <v>0</v>
      </c>
      <c r="Z335" s="7" t="str">
        <f>Tab_Data_Flows[[#This Row],[Flow_ID]]&amp;"_"&amp;"DM_"&amp;Tab_Data_Flows[[#This Row],[Flow_Data_Year]]</f>
        <v>F___DM_</v>
      </c>
      <c r="AA335" s="7" t="str">
        <f>IF(E335="Yes",Y335*Tab_Data_Flows[[#This Row],[Flow_Material]],"N.A.")</f>
        <v>N.A.</v>
      </c>
      <c r="AB335" s="7" t="str">
        <f>Tab_Data_Flows[[#This Row],[UoM_Flow_Py]]</f>
        <v>Mg</v>
      </c>
      <c r="AC335" s="143">
        <f>INDEX(Tab_Def_Flows[[Flow_ID]:[CC_DM_source]],MATCH(Tab_Data_Flows[[#This Row],[Flow_Name]],Tab_Def_Flows[Flow_Name],0),17)</f>
        <v>0</v>
      </c>
      <c r="AD335" s="7" t="str">
        <f>Tab_Data_Flows[[#This Row],[Flow_ID]]&amp;"_"&amp;"CC_"&amp;Tab_Data_Flows[[#This Row],[Flow_Data_Year]]</f>
        <v>F___CC_</v>
      </c>
      <c r="AE335" s="7" t="str">
        <f>IF(F335="Yes",AC335*Tab_Data_Flows[[#This Row],[Flow_Material]]*Tab_Data_Flows[[#This Row],[DM_'[%']]],"N.A.")</f>
        <v>N.A.</v>
      </c>
      <c r="AF335" s="7" t="str">
        <f>Tab_Data_Flows[[#This Row],[UoM_Flow_Py]]</f>
        <v>Mg</v>
      </c>
      <c r="AG335"/>
    </row>
    <row r="336" spans="1:33" x14ac:dyDescent="0.25">
      <c r="A336" s="9">
        <f t="shared" si="5"/>
        <v>335</v>
      </c>
      <c r="B336" s="7" t="str">
        <f>_xlfn.XLOOKUP(C336,Tab_Def_Flows[Flow_Name],Tab_Def_Flows[Flow_ID],,0,)</f>
        <v>F__</v>
      </c>
      <c r="C336" s="142" t="s">
        <v>22</v>
      </c>
      <c r="D336" s="10">
        <f>_xlfn.XLOOKUP(C336,Tab_Def_Flows[Flow_Name],Tab_Def_Flows[WC?],,0,)</f>
        <v>0</v>
      </c>
      <c r="E336" s="10">
        <f>_xlfn.XLOOKUP(C336,Tab_Def_Flows[Flow_Name],Tab_Def_Flows[DM?],,0,)</f>
        <v>0</v>
      </c>
      <c r="F336" s="10">
        <f>_xlfn.XLOOKUP(C336,Tab_Def_Flows[Flow_Name],Tab_Def_Flows[CC?],,0,)</f>
        <v>0</v>
      </c>
      <c r="G336" s="8"/>
      <c r="H336" s="23"/>
      <c r="I336" s="8"/>
      <c r="J336" s="15"/>
      <c r="K336" s="15"/>
      <c r="L336" s="15"/>
      <c r="M336" s="15"/>
      <c r="N336" s="15"/>
      <c r="O336" s="8" t="s">
        <v>6</v>
      </c>
      <c r="P336" s="8"/>
      <c r="Q336" s="8"/>
      <c r="R336" s="7" t="str">
        <f>Tab_Data_Flows[[#This Row],[Flow_ID]]&amp;"_"&amp;"material_"&amp;Tab_Data_Flows[[#This Row],[Flow_Data_Year]]</f>
        <v>F___material_</v>
      </c>
      <c r="S336" s="14">
        <f>IF(O336="no",H336,H336*P336)</f>
        <v>0</v>
      </c>
      <c r="T336" s="8" t="s">
        <v>198</v>
      </c>
      <c r="U336" s="143">
        <f>INDEX(Tab_Def_Flows[[Flow_ID]:[CC_DM_source]],MATCH(Tab_Data_Flows[[#This Row],[Flow_Name]],Tab_Def_Flows[Flow_Name],0),11)</f>
        <v>0</v>
      </c>
      <c r="V336" s="7" t="str">
        <f>Tab_Data_Flows[[#This Row],[Flow_ID]]&amp;"_"&amp;"WC_"&amp;Tab_Data_Flows[[#This Row],[Flow_Data_Year]]</f>
        <v>F___WC_</v>
      </c>
      <c r="W336" s="7" t="str">
        <f>IF(D336="Yes",S336*Tab_Data_Flows[[#This Row],[WC_'[%']]],"N.A.")</f>
        <v>N.A.</v>
      </c>
      <c r="X336" s="7" t="str">
        <f>Tab_Data_Flows[[#This Row],[UoM_Flow_Py]]</f>
        <v>Mg</v>
      </c>
      <c r="Y336" s="143">
        <f>INDEX(Tab_Def_Flows[[Flow_ID]:[CC_DM_source]],MATCH(Tab_Data_Flows[[#This Row],[Flow_Name]],Tab_Def_Flows[Flow_Name],0),14)</f>
        <v>0</v>
      </c>
      <c r="Z336" s="7" t="str">
        <f>Tab_Data_Flows[[#This Row],[Flow_ID]]&amp;"_"&amp;"DM_"&amp;Tab_Data_Flows[[#This Row],[Flow_Data_Year]]</f>
        <v>F___DM_</v>
      </c>
      <c r="AA336" s="7" t="str">
        <f>IF(E336="Yes",Y336*Tab_Data_Flows[[#This Row],[Flow_Material]],"N.A.")</f>
        <v>N.A.</v>
      </c>
      <c r="AB336" s="7" t="str">
        <f>Tab_Data_Flows[[#This Row],[UoM_Flow_Py]]</f>
        <v>Mg</v>
      </c>
      <c r="AC336" s="143">
        <f>INDEX(Tab_Def_Flows[[Flow_ID]:[CC_DM_source]],MATCH(Tab_Data_Flows[[#This Row],[Flow_Name]],Tab_Def_Flows[Flow_Name],0),17)</f>
        <v>0</v>
      </c>
      <c r="AD336" s="7" t="str">
        <f>Tab_Data_Flows[[#This Row],[Flow_ID]]&amp;"_"&amp;"CC_"&amp;Tab_Data_Flows[[#This Row],[Flow_Data_Year]]</f>
        <v>F___CC_</v>
      </c>
      <c r="AE336" s="7" t="str">
        <f>IF(F336="Yes",AC336*Tab_Data_Flows[[#This Row],[Flow_Material]]*Tab_Data_Flows[[#This Row],[DM_'[%']]],"N.A.")</f>
        <v>N.A.</v>
      </c>
      <c r="AF336" s="7" t="str">
        <f>Tab_Data_Flows[[#This Row],[UoM_Flow_Py]]</f>
        <v>Mg</v>
      </c>
      <c r="AG336"/>
    </row>
    <row r="337" spans="1:33" x14ac:dyDescent="0.25">
      <c r="A337" s="9">
        <f t="shared" si="5"/>
        <v>336</v>
      </c>
      <c r="B337" s="7" t="str">
        <f>_xlfn.XLOOKUP(C337,Tab_Def_Flows[Flow_Name],Tab_Def_Flows[Flow_ID],,0,)</f>
        <v>F__</v>
      </c>
      <c r="C337" s="142" t="s">
        <v>22</v>
      </c>
      <c r="D337" s="10">
        <f>_xlfn.XLOOKUP(C337,Tab_Def_Flows[Flow_Name],Tab_Def_Flows[WC?],,0,)</f>
        <v>0</v>
      </c>
      <c r="E337" s="10">
        <f>_xlfn.XLOOKUP(C337,Tab_Def_Flows[Flow_Name],Tab_Def_Flows[DM?],,0,)</f>
        <v>0</v>
      </c>
      <c r="F337" s="10">
        <f>_xlfn.XLOOKUP(C337,Tab_Def_Flows[Flow_Name],Tab_Def_Flows[CC?],,0,)</f>
        <v>0</v>
      </c>
      <c r="G337" s="8"/>
      <c r="H337" s="23"/>
      <c r="I337" s="8"/>
      <c r="J337" s="15"/>
      <c r="K337" s="15"/>
      <c r="L337" s="15"/>
      <c r="M337" s="15"/>
      <c r="N337" s="15"/>
      <c r="O337" s="8" t="s">
        <v>6</v>
      </c>
      <c r="P337" s="8"/>
      <c r="Q337" s="8"/>
      <c r="R337" s="7" t="str">
        <f>Tab_Data_Flows[[#This Row],[Flow_ID]]&amp;"_"&amp;"material_"&amp;Tab_Data_Flows[[#This Row],[Flow_Data_Year]]</f>
        <v>F___material_</v>
      </c>
      <c r="S337" s="14">
        <f>IF(O337="no",H337,H337*P337)</f>
        <v>0</v>
      </c>
      <c r="T337" s="8" t="s">
        <v>198</v>
      </c>
      <c r="U337" s="143">
        <f>INDEX(Tab_Def_Flows[[Flow_ID]:[CC_DM_source]],MATCH(Tab_Data_Flows[[#This Row],[Flow_Name]],Tab_Def_Flows[Flow_Name],0),11)</f>
        <v>0</v>
      </c>
      <c r="V337" s="7" t="str">
        <f>Tab_Data_Flows[[#This Row],[Flow_ID]]&amp;"_"&amp;"WC_"&amp;Tab_Data_Flows[[#This Row],[Flow_Data_Year]]</f>
        <v>F___WC_</v>
      </c>
      <c r="W337" s="7" t="str">
        <f>IF(D337="Yes",S337*Tab_Data_Flows[[#This Row],[WC_'[%']]],"N.A.")</f>
        <v>N.A.</v>
      </c>
      <c r="X337" s="7" t="str">
        <f>Tab_Data_Flows[[#This Row],[UoM_Flow_Py]]</f>
        <v>Mg</v>
      </c>
      <c r="Y337" s="143">
        <f>INDEX(Tab_Def_Flows[[Flow_ID]:[CC_DM_source]],MATCH(Tab_Data_Flows[[#This Row],[Flow_Name]],Tab_Def_Flows[Flow_Name],0),14)</f>
        <v>0</v>
      </c>
      <c r="Z337" s="7" t="str">
        <f>Tab_Data_Flows[[#This Row],[Flow_ID]]&amp;"_"&amp;"DM_"&amp;Tab_Data_Flows[[#This Row],[Flow_Data_Year]]</f>
        <v>F___DM_</v>
      </c>
      <c r="AA337" s="7" t="str">
        <f>IF(E337="Yes",Y337*Tab_Data_Flows[[#This Row],[Flow_Material]],"N.A.")</f>
        <v>N.A.</v>
      </c>
      <c r="AB337" s="7" t="str">
        <f>Tab_Data_Flows[[#This Row],[UoM_Flow_Py]]</f>
        <v>Mg</v>
      </c>
      <c r="AC337" s="143">
        <f>INDEX(Tab_Def_Flows[[Flow_ID]:[CC_DM_source]],MATCH(Tab_Data_Flows[[#This Row],[Flow_Name]],Tab_Def_Flows[Flow_Name],0),17)</f>
        <v>0</v>
      </c>
      <c r="AD337" s="7" t="str">
        <f>Tab_Data_Flows[[#This Row],[Flow_ID]]&amp;"_"&amp;"CC_"&amp;Tab_Data_Flows[[#This Row],[Flow_Data_Year]]</f>
        <v>F___CC_</v>
      </c>
      <c r="AE337" s="7" t="str">
        <f>IF(F337="Yes",AC337*Tab_Data_Flows[[#This Row],[Flow_Material]]*Tab_Data_Flows[[#This Row],[DM_'[%']]],"N.A.")</f>
        <v>N.A.</v>
      </c>
      <c r="AF337" s="7" t="str">
        <f>Tab_Data_Flows[[#This Row],[UoM_Flow_Py]]</f>
        <v>Mg</v>
      </c>
      <c r="AG337"/>
    </row>
    <row r="338" spans="1:33" x14ac:dyDescent="0.25">
      <c r="A338" s="9">
        <f t="shared" si="5"/>
        <v>337</v>
      </c>
      <c r="B338" s="7" t="str">
        <f>_xlfn.XLOOKUP(C338,Tab_Def_Flows[Flow_Name],Tab_Def_Flows[Flow_ID],,0,)</f>
        <v>F__</v>
      </c>
      <c r="C338" s="142" t="s">
        <v>22</v>
      </c>
      <c r="D338" s="10">
        <f>_xlfn.XLOOKUP(C338,Tab_Def_Flows[Flow_Name],Tab_Def_Flows[WC?],,0,)</f>
        <v>0</v>
      </c>
      <c r="E338" s="10">
        <f>_xlfn.XLOOKUP(C338,Tab_Def_Flows[Flow_Name],Tab_Def_Flows[DM?],,0,)</f>
        <v>0</v>
      </c>
      <c r="F338" s="10">
        <f>_xlfn.XLOOKUP(C338,Tab_Def_Flows[Flow_Name],Tab_Def_Flows[CC?],,0,)</f>
        <v>0</v>
      </c>
      <c r="G338" s="8"/>
      <c r="H338" s="23"/>
      <c r="I338" s="8"/>
      <c r="J338" s="15"/>
      <c r="K338" s="15"/>
      <c r="L338" s="15"/>
      <c r="M338" s="15"/>
      <c r="N338" s="15"/>
      <c r="O338" s="8" t="s">
        <v>6</v>
      </c>
      <c r="P338" s="8"/>
      <c r="Q338" s="8"/>
      <c r="R338" s="7" t="str">
        <f>Tab_Data_Flows[[#This Row],[Flow_ID]]&amp;"_"&amp;"material_"&amp;Tab_Data_Flows[[#This Row],[Flow_Data_Year]]</f>
        <v>F___material_</v>
      </c>
      <c r="S338" s="14">
        <f>IF(O338="no",H338,H338*P338)</f>
        <v>0</v>
      </c>
      <c r="T338" s="8" t="s">
        <v>198</v>
      </c>
      <c r="U338" s="143">
        <f>INDEX(Tab_Def_Flows[[Flow_ID]:[CC_DM_source]],MATCH(Tab_Data_Flows[[#This Row],[Flow_Name]],Tab_Def_Flows[Flow_Name],0),11)</f>
        <v>0</v>
      </c>
      <c r="V338" s="7" t="str">
        <f>Tab_Data_Flows[[#This Row],[Flow_ID]]&amp;"_"&amp;"WC_"&amp;Tab_Data_Flows[[#This Row],[Flow_Data_Year]]</f>
        <v>F___WC_</v>
      </c>
      <c r="W338" s="7" t="str">
        <f>IF(D338="Yes",S338*Tab_Data_Flows[[#This Row],[WC_'[%']]],"N.A.")</f>
        <v>N.A.</v>
      </c>
      <c r="X338" s="7" t="str">
        <f>Tab_Data_Flows[[#This Row],[UoM_Flow_Py]]</f>
        <v>Mg</v>
      </c>
      <c r="Y338" s="143">
        <f>INDEX(Tab_Def_Flows[[Flow_ID]:[CC_DM_source]],MATCH(Tab_Data_Flows[[#This Row],[Flow_Name]],Tab_Def_Flows[Flow_Name],0),14)</f>
        <v>0</v>
      </c>
      <c r="Z338" s="7" t="str">
        <f>Tab_Data_Flows[[#This Row],[Flow_ID]]&amp;"_"&amp;"DM_"&amp;Tab_Data_Flows[[#This Row],[Flow_Data_Year]]</f>
        <v>F___DM_</v>
      </c>
      <c r="AA338" s="7" t="str">
        <f>IF(E338="Yes",Y338*Tab_Data_Flows[[#This Row],[Flow_Material]],"N.A.")</f>
        <v>N.A.</v>
      </c>
      <c r="AB338" s="7" t="str">
        <f>Tab_Data_Flows[[#This Row],[UoM_Flow_Py]]</f>
        <v>Mg</v>
      </c>
      <c r="AC338" s="143">
        <f>INDEX(Tab_Def_Flows[[Flow_ID]:[CC_DM_source]],MATCH(Tab_Data_Flows[[#This Row],[Flow_Name]],Tab_Def_Flows[Flow_Name],0),17)</f>
        <v>0</v>
      </c>
      <c r="AD338" s="7" t="str">
        <f>Tab_Data_Flows[[#This Row],[Flow_ID]]&amp;"_"&amp;"CC_"&amp;Tab_Data_Flows[[#This Row],[Flow_Data_Year]]</f>
        <v>F___CC_</v>
      </c>
      <c r="AE338" s="7" t="str">
        <f>IF(F338="Yes",AC338*Tab_Data_Flows[[#This Row],[Flow_Material]]*Tab_Data_Flows[[#This Row],[DM_'[%']]],"N.A.")</f>
        <v>N.A.</v>
      </c>
      <c r="AF338" s="7" t="str">
        <f>Tab_Data_Flows[[#This Row],[UoM_Flow_Py]]</f>
        <v>Mg</v>
      </c>
      <c r="AG338"/>
    </row>
    <row r="339" spans="1:33" x14ac:dyDescent="0.25">
      <c r="A339" s="9">
        <f t="shared" si="5"/>
        <v>338</v>
      </c>
      <c r="B339" s="7" t="str">
        <f>_xlfn.XLOOKUP(C339,Tab_Def_Flows[Flow_Name],Tab_Def_Flows[Flow_ID],,0,)</f>
        <v>F__</v>
      </c>
      <c r="C339" s="142" t="s">
        <v>22</v>
      </c>
      <c r="D339" s="10">
        <f>_xlfn.XLOOKUP(C339,Tab_Def_Flows[Flow_Name],Tab_Def_Flows[WC?],,0,)</f>
        <v>0</v>
      </c>
      <c r="E339" s="10">
        <f>_xlfn.XLOOKUP(C339,Tab_Def_Flows[Flow_Name],Tab_Def_Flows[DM?],,0,)</f>
        <v>0</v>
      </c>
      <c r="F339" s="10">
        <f>_xlfn.XLOOKUP(C339,Tab_Def_Flows[Flow_Name],Tab_Def_Flows[CC?],,0,)</f>
        <v>0</v>
      </c>
      <c r="G339" s="8"/>
      <c r="H339" s="23"/>
      <c r="I339" s="8"/>
      <c r="J339" s="15"/>
      <c r="K339" s="15"/>
      <c r="L339" s="15"/>
      <c r="M339" s="15"/>
      <c r="N339" s="15"/>
      <c r="O339" s="8" t="s">
        <v>6</v>
      </c>
      <c r="P339" s="8"/>
      <c r="Q339" s="8"/>
      <c r="R339" s="7" t="str">
        <f>Tab_Data_Flows[[#This Row],[Flow_ID]]&amp;"_"&amp;"material_"&amp;Tab_Data_Flows[[#This Row],[Flow_Data_Year]]</f>
        <v>F___material_</v>
      </c>
      <c r="S339" s="14">
        <f>IF(O339="no",H339,H339*P339)</f>
        <v>0</v>
      </c>
      <c r="T339" s="8" t="s">
        <v>198</v>
      </c>
      <c r="U339" s="143">
        <f>INDEX(Tab_Def_Flows[[Flow_ID]:[CC_DM_source]],MATCH(Tab_Data_Flows[[#This Row],[Flow_Name]],Tab_Def_Flows[Flow_Name],0),11)</f>
        <v>0</v>
      </c>
      <c r="V339" s="7" t="str">
        <f>Tab_Data_Flows[[#This Row],[Flow_ID]]&amp;"_"&amp;"WC_"&amp;Tab_Data_Flows[[#This Row],[Flow_Data_Year]]</f>
        <v>F___WC_</v>
      </c>
      <c r="W339" s="7" t="str">
        <f>IF(D339="Yes",S339*Tab_Data_Flows[[#This Row],[WC_'[%']]],"N.A.")</f>
        <v>N.A.</v>
      </c>
      <c r="X339" s="7" t="str">
        <f>Tab_Data_Flows[[#This Row],[UoM_Flow_Py]]</f>
        <v>Mg</v>
      </c>
      <c r="Y339" s="143">
        <f>INDEX(Tab_Def_Flows[[Flow_ID]:[CC_DM_source]],MATCH(Tab_Data_Flows[[#This Row],[Flow_Name]],Tab_Def_Flows[Flow_Name],0),14)</f>
        <v>0</v>
      </c>
      <c r="Z339" s="7" t="str">
        <f>Tab_Data_Flows[[#This Row],[Flow_ID]]&amp;"_"&amp;"DM_"&amp;Tab_Data_Flows[[#This Row],[Flow_Data_Year]]</f>
        <v>F___DM_</v>
      </c>
      <c r="AA339" s="7" t="str">
        <f>IF(E339="Yes",Y339*Tab_Data_Flows[[#This Row],[Flow_Material]],"N.A.")</f>
        <v>N.A.</v>
      </c>
      <c r="AB339" s="7" t="str">
        <f>Tab_Data_Flows[[#This Row],[UoM_Flow_Py]]</f>
        <v>Mg</v>
      </c>
      <c r="AC339" s="143">
        <f>INDEX(Tab_Def_Flows[[Flow_ID]:[CC_DM_source]],MATCH(Tab_Data_Flows[[#This Row],[Flow_Name]],Tab_Def_Flows[Flow_Name],0),17)</f>
        <v>0</v>
      </c>
      <c r="AD339" s="7" t="str">
        <f>Tab_Data_Flows[[#This Row],[Flow_ID]]&amp;"_"&amp;"CC_"&amp;Tab_Data_Flows[[#This Row],[Flow_Data_Year]]</f>
        <v>F___CC_</v>
      </c>
      <c r="AE339" s="7" t="str">
        <f>IF(F339="Yes",AC339*Tab_Data_Flows[[#This Row],[Flow_Material]]*Tab_Data_Flows[[#This Row],[DM_'[%']]],"N.A.")</f>
        <v>N.A.</v>
      </c>
      <c r="AF339" s="7" t="str">
        <f>Tab_Data_Flows[[#This Row],[UoM_Flow_Py]]</f>
        <v>Mg</v>
      </c>
      <c r="AG339"/>
    </row>
    <row r="340" spans="1:33" x14ac:dyDescent="0.25">
      <c r="A340" s="9">
        <f t="shared" si="5"/>
        <v>339</v>
      </c>
      <c r="B340" s="7" t="str">
        <f>_xlfn.XLOOKUP(C340,Tab_Def_Flows[Flow_Name],Tab_Def_Flows[Flow_ID],,0,)</f>
        <v>F__</v>
      </c>
      <c r="C340" s="142" t="s">
        <v>22</v>
      </c>
      <c r="D340" s="10">
        <f>_xlfn.XLOOKUP(C340,Tab_Def_Flows[Flow_Name],Tab_Def_Flows[WC?],,0,)</f>
        <v>0</v>
      </c>
      <c r="E340" s="10">
        <f>_xlfn.XLOOKUP(C340,Tab_Def_Flows[Flow_Name],Tab_Def_Flows[DM?],,0,)</f>
        <v>0</v>
      </c>
      <c r="F340" s="10">
        <f>_xlfn.XLOOKUP(C340,Tab_Def_Flows[Flow_Name],Tab_Def_Flows[CC?],,0,)</f>
        <v>0</v>
      </c>
      <c r="G340" s="8"/>
      <c r="H340" s="23"/>
      <c r="I340" s="8"/>
      <c r="J340" s="15"/>
      <c r="K340" s="15"/>
      <c r="L340" s="15"/>
      <c r="M340" s="15"/>
      <c r="N340" s="15"/>
      <c r="O340" s="8" t="s">
        <v>6</v>
      </c>
      <c r="P340" s="8"/>
      <c r="Q340" s="8"/>
      <c r="R340" s="7" t="str">
        <f>Tab_Data_Flows[[#This Row],[Flow_ID]]&amp;"_"&amp;"material_"&amp;Tab_Data_Flows[[#This Row],[Flow_Data_Year]]</f>
        <v>F___material_</v>
      </c>
      <c r="S340" s="14">
        <f>IF(O340="no",H340,H340*P340)</f>
        <v>0</v>
      </c>
      <c r="T340" s="8" t="s">
        <v>198</v>
      </c>
      <c r="U340" s="143">
        <f>INDEX(Tab_Def_Flows[[Flow_ID]:[CC_DM_source]],MATCH(Tab_Data_Flows[[#This Row],[Flow_Name]],Tab_Def_Flows[Flow_Name],0),11)</f>
        <v>0</v>
      </c>
      <c r="V340" s="7" t="str">
        <f>Tab_Data_Flows[[#This Row],[Flow_ID]]&amp;"_"&amp;"WC_"&amp;Tab_Data_Flows[[#This Row],[Flow_Data_Year]]</f>
        <v>F___WC_</v>
      </c>
      <c r="W340" s="7" t="str">
        <f>IF(D340="Yes",S340*Tab_Data_Flows[[#This Row],[WC_'[%']]],"N.A.")</f>
        <v>N.A.</v>
      </c>
      <c r="X340" s="7" t="str">
        <f>Tab_Data_Flows[[#This Row],[UoM_Flow_Py]]</f>
        <v>Mg</v>
      </c>
      <c r="Y340" s="143">
        <f>INDEX(Tab_Def_Flows[[Flow_ID]:[CC_DM_source]],MATCH(Tab_Data_Flows[[#This Row],[Flow_Name]],Tab_Def_Flows[Flow_Name],0),14)</f>
        <v>0</v>
      </c>
      <c r="Z340" s="7" t="str">
        <f>Tab_Data_Flows[[#This Row],[Flow_ID]]&amp;"_"&amp;"DM_"&amp;Tab_Data_Flows[[#This Row],[Flow_Data_Year]]</f>
        <v>F___DM_</v>
      </c>
      <c r="AA340" s="7" t="str">
        <f>IF(E340="Yes",Y340*Tab_Data_Flows[[#This Row],[Flow_Material]],"N.A.")</f>
        <v>N.A.</v>
      </c>
      <c r="AB340" s="7" t="str">
        <f>Tab_Data_Flows[[#This Row],[UoM_Flow_Py]]</f>
        <v>Mg</v>
      </c>
      <c r="AC340" s="143">
        <f>INDEX(Tab_Def_Flows[[Flow_ID]:[CC_DM_source]],MATCH(Tab_Data_Flows[[#This Row],[Flow_Name]],Tab_Def_Flows[Flow_Name],0),17)</f>
        <v>0</v>
      </c>
      <c r="AD340" s="7" t="str">
        <f>Tab_Data_Flows[[#This Row],[Flow_ID]]&amp;"_"&amp;"CC_"&amp;Tab_Data_Flows[[#This Row],[Flow_Data_Year]]</f>
        <v>F___CC_</v>
      </c>
      <c r="AE340" s="7" t="str">
        <f>IF(F340="Yes",AC340*Tab_Data_Flows[[#This Row],[Flow_Material]]*Tab_Data_Flows[[#This Row],[DM_'[%']]],"N.A.")</f>
        <v>N.A.</v>
      </c>
      <c r="AF340" s="7" t="str">
        <f>Tab_Data_Flows[[#This Row],[UoM_Flow_Py]]</f>
        <v>Mg</v>
      </c>
      <c r="AG340"/>
    </row>
    <row r="341" spans="1:33" x14ac:dyDescent="0.25">
      <c r="A341" s="9">
        <f t="shared" si="5"/>
        <v>340</v>
      </c>
      <c r="B341" s="7" t="str">
        <f>_xlfn.XLOOKUP(C341,Tab_Def_Flows[Flow_Name],Tab_Def_Flows[Flow_ID],,0,)</f>
        <v>F__</v>
      </c>
      <c r="C341" s="142" t="s">
        <v>22</v>
      </c>
      <c r="D341" s="10">
        <f>_xlfn.XLOOKUP(C341,Tab_Def_Flows[Flow_Name],Tab_Def_Flows[WC?],,0,)</f>
        <v>0</v>
      </c>
      <c r="E341" s="10">
        <f>_xlfn.XLOOKUP(C341,Tab_Def_Flows[Flow_Name],Tab_Def_Flows[DM?],,0,)</f>
        <v>0</v>
      </c>
      <c r="F341" s="10">
        <f>_xlfn.XLOOKUP(C341,Tab_Def_Flows[Flow_Name],Tab_Def_Flows[CC?],,0,)</f>
        <v>0</v>
      </c>
      <c r="G341" s="8"/>
      <c r="H341" s="23"/>
      <c r="I341" s="8"/>
      <c r="J341" s="15"/>
      <c r="K341" s="15"/>
      <c r="L341" s="15"/>
      <c r="M341" s="15"/>
      <c r="N341" s="15"/>
      <c r="O341" s="8" t="s">
        <v>6</v>
      </c>
      <c r="P341" s="8"/>
      <c r="Q341" s="8"/>
      <c r="R341" s="7" t="str">
        <f>Tab_Data_Flows[[#This Row],[Flow_ID]]&amp;"_"&amp;"material_"&amp;Tab_Data_Flows[[#This Row],[Flow_Data_Year]]</f>
        <v>F___material_</v>
      </c>
      <c r="S341" s="14">
        <f>IF(O341="no",H341,H341*P341)</f>
        <v>0</v>
      </c>
      <c r="T341" s="8" t="s">
        <v>198</v>
      </c>
      <c r="U341" s="143">
        <f>INDEX(Tab_Def_Flows[[Flow_ID]:[CC_DM_source]],MATCH(Tab_Data_Flows[[#This Row],[Flow_Name]],Tab_Def_Flows[Flow_Name],0),11)</f>
        <v>0</v>
      </c>
      <c r="V341" s="7" t="str">
        <f>Tab_Data_Flows[[#This Row],[Flow_ID]]&amp;"_"&amp;"WC_"&amp;Tab_Data_Flows[[#This Row],[Flow_Data_Year]]</f>
        <v>F___WC_</v>
      </c>
      <c r="W341" s="7" t="str">
        <f>IF(D341="Yes",S341*Tab_Data_Flows[[#This Row],[WC_'[%']]],"N.A.")</f>
        <v>N.A.</v>
      </c>
      <c r="X341" s="7" t="str">
        <f>Tab_Data_Flows[[#This Row],[UoM_Flow_Py]]</f>
        <v>Mg</v>
      </c>
      <c r="Y341" s="143">
        <f>INDEX(Tab_Def_Flows[[Flow_ID]:[CC_DM_source]],MATCH(Tab_Data_Flows[[#This Row],[Flow_Name]],Tab_Def_Flows[Flow_Name],0),14)</f>
        <v>0</v>
      </c>
      <c r="Z341" s="7" t="str">
        <f>Tab_Data_Flows[[#This Row],[Flow_ID]]&amp;"_"&amp;"DM_"&amp;Tab_Data_Flows[[#This Row],[Flow_Data_Year]]</f>
        <v>F___DM_</v>
      </c>
      <c r="AA341" s="7" t="str">
        <f>IF(E341="Yes",Y341*Tab_Data_Flows[[#This Row],[Flow_Material]],"N.A.")</f>
        <v>N.A.</v>
      </c>
      <c r="AB341" s="7" t="str">
        <f>Tab_Data_Flows[[#This Row],[UoM_Flow_Py]]</f>
        <v>Mg</v>
      </c>
      <c r="AC341" s="143">
        <f>INDEX(Tab_Def_Flows[[Flow_ID]:[CC_DM_source]],MATCH(Tab_Data_Flows[[#This Row],[Flow_Name]],Tab_Def_Flows[Flow_Name],0),17)</f>
        <v>0</v>
      </c>
      <c r="AD341" s="7" t="str">
        <f>Tab_Data_Flows[[#This Row],[Flow_ID]]&amp;"_"&amp;"CC_"&amp;Tab_Data_Flows[[#This Row],[Flow_Data_Year]]</f>
        <v>F___CC_</v>
      </c>
      <c r="AE341" s="7" t="str">
        <f>IF(F341="Yes",AC341*Tab_Data_Flows[[#This Row],[Flow_Material]]*Tab_Data_Flows[[#This Row],[DM_'[%']]],"N.A.")</f>
        <v>N.A.</v>
      </c>
      <c r="AF341" s="7" t="str">
        <f>Tab_Data_Flows[[#This Row],[UoM_Flow_Py]]</f>
        <v>Mg</v>
      </c>
      <c r="AG341"/>
    </row>
    <row r="342" spans="1:33" x14ac:dyDescent="0.25">
      <c r="A342" s="9">
        <f t="shared" si="5"/>
        <v>341</v>
      </c>
      <c r="B342" s="7" t="str">
        <f>_xlfn.XLOOKUP(C342,Tab_Def_Flows[Flow_Name],Tab_Def_Flows[Flow_ID],,0,)</f>
        <v>F__</v>
      </c>
      <c r="C342" s="142" t="s">
        <v>22</v>
      </c>
      <c r="D342" s="10">
        <f>_xlfn.XLOOKUP(C342,Tab_Def_Flows[Flow_Name],Tab_Def_Flows[WC?],,0,)</f>
        <v>0</v>
      </c>
      <c r="E342" s="10">
        <f>_xlfn.XLOOKUP(C342,Tab_Def_Flows[Flow_Name],Tab_Def_Flows[DM?],,0,)</f>
        <v>0</v>
      </c>
      <c r="F342" s="10">
        <f>_xlfn.XLOOKUP(C342,Tab_Def_Flows[Flow_Name],Tab_Def_Flows[CC?],,0,)</f>
        <v>0</v>
      </c>
      <c r="G342" s="8"/>
      <c r="H342" s="23"/>
      <c r="I342" s="8"/>
      <c r="J342" s="15"/>
      <c r="K342" s="15"/>
      <c r="L342" s="15"/>
      <c r="M342" s="15"/>
      <c r="N342" s="15"/>
      <c r="O342" s="8" t="s">
        <v>6</v>
      </c>
      <c r="P342" s="8"/>
      <c r="Q342" s="8"/>
      <c r="R342" s="7" t="str">
        <f>Tab_Data_Flows[[#This Row],[Flow_ID]]&amp;"_"&amp;"material_"&amp;Tab_Data_Flows[[#This Row],[Flow_Data_Year]]</f>
        <v>F___material_</v>
      </c>
      <c r="S342" s="14">
        <f>IF(O342="no",H342,H342*P342)</f>
        <v>0</v>
      </c>
      <c r="T342" s="8" t="s">
        <v>198</v>
      </c>
      <c r="U342" s="143">
        <f>INDEX(Tab_Def_Flows[[Flow_ID]:[CC_DM_source]],MATCH(Tab_Data_Flows[[#This Row],[Flow_Name]],Tab_Def_Flows[Flow_Name],0),11)</f>
        <v>0</v>
      </c>
      <c r="V342" s="7" t="str">
        <f>Tab_Data_Flows[[#This Row],[Flow_ID]]&amp;"_"&amp;"WC_"&amp;Tab_Data_Flows[[#This Row],[Flow_Data_Year]]</f>
        <v>F___WC_</v>
      </c>
      <c r="W342" s="7" t="str">
        <f>IF(D342="Yes",S342*Tab_Data_Flows[[#This Row],[WC_'[%']]],"N.A.")</f>
        <v>N.A.</v>
      </c>
      <c r="X342" s="7" t="str">
        <f>Tab_Data_Flows[[#This Row],[UoM_Flow_Py]]</f>
        <v>Mg</v>
      </c>
      <c r="Y342" s="143">
        <f>INDEX(Tab_Def_Flows[[Flow_ID]:[CC_DM_source]],MATCH(Tab_Data_Flows[[#This Row],[Flow_Name]],Tab_Def_Flows[Flow_Name],0),14)</f>
        <v>0</v>
      </c>
      <c r="Z342" s="7" t="str">
        <f>Tab_Data_Flows[[#This Row],[Flow_ID]]&amp;"_"&amp;"DM_"&amp;Tab_Data_Flows[[#This Row],[Flow_Data_Year]]</f>
        <v>F___DM_</v>
      </c>
      <c r="AA342" s="7" t="str">
        <f>IF(E342="Yes",Y342*Tab_Data_Flows[[#This Row],[Flow_Material]],"N.A.")</f>
        <v>N.A.</v>
      </c>
      <c r="AB342" s="7" t="str">
        <f>Tab_Data_Flows[[#This Row],[UoM_Flow_Py]]</f>
        <v>Mg</v>
      </c>
      <c r="AC342" s="143">
        <f>INDEX(Tab_Def_Flows[[Flow_ID]:[CC_DM_source]],MATCH(Tab_Data_Flows[[#This Row],[Flow_Name]],Tab_Def_Flows[Flow_Name],0),17)</f>
        <v>0</v>
      </c>
      <c r="AD342" s="7" t="str">
        <f>Tab_Data_Flows[[#This Row],[Flow_ID]]&amp;"_"&amp;"CC_"&amp;Tab_Data_Flows[[#This Row],[Flow_Data_Year]]</f>
        <v>F___CC_</v>
      </c>
      <c r="AE342" s="7" t="str">
        <f>IF(F342="Yes",AC342*Tab_Data_Flows[[#This Row],[Flow_Material]]*Tab_Data_Flows[[#This Row],[DM_'[%']]],"N.A.")</f>
        <v>N.A.</v>
      </c>
      <c r="AF342" s="7" t="str">
        <f>Tab_Data_Flows[[#This Row],[UoM_Flow_Py]]</f>
        <v>Mg</v>
      </c>
      <c r="AG342"/>
    </row>
    <row r="343" spans="1:33" x14ac:dyDescent="0.25">
      <c r="A343" s="9">
        <f t="shared" si="5"/>
        <v>342</v>
      </c>
      <c r="B343" s="7" t="str">
        <f>_xlfn.XLOOKUP(C343,Tab_Def_Flows[Flow_Name],Tab_Def_Flows[Flow_ID],,0,)</f>
        <v>F__</v>
      </c>
      <c r="C343" s="142" t="s">
        <v>22</v>
      </c>
      <c r="D343" s="10">
        <f>_xlfn.XLOOKUP(C343,Tab_Def_Flows[Flow_Name],Tab_Def_Flows[WC?],,0,)</f>
        <v>0</v>
      </c>
      <c r="E343" s="10">
        <f>_xlfn.XLOOKUP(C343,Tab_Def_Flows[Flow_Name],Tab_Def_Flows[DM?],,0,)</f>
        <v>0</v>
      </c>
      <c r="F343" s="10">
        <f>_xlfn.XLOOKUP(C343,Tab_Def_Flows[Flow_Name],Tab_Def_Flows[CC?],,0,)</f>
        <v>0</v>
      </c>
      <c r="G343" s="8"/>
      <c r="H343" s="23"/>
      <c r="I343" s="8"/>
      <c r="J343" s="15"/>
      <c r="K343" s="15"/>
      <c r="L343" s="15"/>
      <c r="M343" s="15"/>
      <c r="N343" s="15"/>
      <c r="O343" s="8" t="s">
        <v>6</v>
      </c>
      <c r="P343" s="8"/>
      <c r="Q343" s="8"/>
      <c r="R343" s="7" t="str">
        <f>Tab_Data_Flows[[#This Row],[Flow_ID]]&amp;"_"&amp;"material_"&amp;Tab_Data_Flows[[#This Row],[Flow_Data_Year]]</f>
        <v>F___material_</v>
      </c>
      <c r="S343" s="14">
        <f>IF(O343="no",H343,H343*P343)</f>
        <v>0</v>
      </c>
      <c r="T343" s="8" t="s">
        <v>198</v>
      </c>
      <c r="U343" s="143">
        <f>INDEX(Tab_Def_Flows[[Flow_ID]:[CC_DM_source]],MATCH(Tab_Data_Flows[[#This Row],[Flow_Name]],Tab_Def_Flows[Flow_Name],0),11)</f>
        <v>0</v>
      </c>
      <c r="V343" s="7" t="str">
        <f>Tab_Data_Flows[[#This Row],[Flow_ID]]&amp;"_"&amp;"WC_"&amp;Tab_Data_Flows[[#This Row],[Flow_Data_Year]]</f>
        <v>F___WC_</v>
      </c>
      <c r="W343" s="7" t="str">
        <f>IF(D343="Yes",S343*Tab_Data_Flows[[#This Row],[WC_'[%']]],"N.A.")</f>
        <v>N.A.</v>
      </c>
      <c r="X343" s="7" t="str">
        <f>Tab_Data_Flows[[#This Row],[UoM_Flow_Py]]</f>
        <v>Mg</v>
      </c>
      <c r="Y343" s="143">
        <f>INDEX(Tab_Def_Flows[[Flow_ID]:[CC_DM_source]],MATCH(Tab_Data_Flows[[#This Row],[Flow_Name]],Tab_Def_Flows[Flow_Name],0),14)</f>
        <v>0</v>
      </c>
      <c r="Z343" s="7" t="str">
        <f>Tab_Data_Flows[[#This Row],[Flow_ID]]&amp;"_"&amp;"DM_"&amp;Tab_Data_Flows[[#This Row],[Flow_Data_Year]]</f>
        <v>F___DM_</v>
      </c>
      <c r="AA343" s="7" t="str">
        <f>IF(E343="Yes",Y343*Tab_Data_Flows[[#This Row],[Flow_Material]],"N.A.")</f>
        <v>N.A.</v>
      </c>
      <c r="AB343" s="7" t="str">
        <f>Tab_Data_Flows[[#This Row],[UoM_Flow_Py]]</f>
        <v>Mg</v>
      </c>
      <c r="AC343" s="143">
        <f>INDEX(Tab_Def_Flows[[Flow_ID]:[CC_DM_source]],MATCH(Tab_Data_Flows[[#This Row],[Flow_Name]],Tab_Def_Flows[Flow_Name],0),17)</f>
        <v>0</v>
      </c>
      <c r="AD343" s="7" t="str">
        <f>Tab_Data_Flows[[#This Row],[Flow_ID]]&amp;"_"&amp;"CC_"&amp;Tab_Data_Flows[[#This Row],[Flow_Data_Year]]</f>
        <v>F___CC_</v>
      </c>
      <c r="AE343" s="7" t="str">
        <f>IF(F343="Yes",AC343*Tab_Data_Flows[[#This Row],[Flow_Material]]*Tab_Data_Flows[[#This Row],[DM_'[%']]],"N.A.")</f>
        <v>N.A.</v>
      </c>
      <c r="AF343" s="7" t="str">
        <f>Tab_Data_Flows[[#This Row],[UoM_Flow_Py]]</f>
        <v>Mg</v>
      </c>
      <c r="AG343"/>
    </row>
    <row r="344" spans="1:33" x14ac:dyDescent="0.25">
      <c r="A344" s="9">
        <f t="shared" si="5"/>
        <v>343</v>
      </c>
      <c r="B344" s="7" t="str">
        <f>_xlfn.XLOOKUP(C344,Tab_Def_Flows[Flow_Name],Tab_Def_Flows[Flow_ID],,0,)</f>
        <v>F__</v>
      </c>
      <c r="C344" s="142" t="s">
        <v>22</v>
      </c>
      <c r="D344" s="10">
        <f>_xlfn.XLOOKUP(C344,Tab_Def_Flows[Flow_Name],Tab_Def_Flows[WC?],,0,)</f>
        <v>0</v>
      </c>
      <c r="E344" s="10">
        <f>_xlfn.XLOOKUP(C344,Tab_Def_Flows[Flow_Name],Tab_Def_Flows[DM?],,0,)</f>
        <v>0</v>
      </c>
      <c r="F344" s="10">
        <f>_xlfn.XLOOKUP(C344,Tab_Def_Flows[Flow_Name],Tab_Def_Flows[CC?],,0,)</f>
        <v>0</v>
      </c>
      <c r="G344" s="8"/>
      <c r="H344" s="23"/>
      <c r="I344" s="8"/>
      <c r="J344" s="15"/>
      <c r="K344" s="15"/>
      <c r="L344" s="15"/>
      <c r="M344" s="15"/>
      <c r="N344" s="15"/>
      <c r="O344" s="8" t="s">
        <v>6</v>
      </c>
      <c r="P344" s="8"/>
      <c r="Q344" s="8"/>
      <c r="R344" s="7" t="str">
        <f>Tab_Data_Flows[[#This Row],[Flow_ID]]&amp;"_"&amp;"material_"&amp;Tab_Data_Flows[[#This Row],[Flow_Data_Year]]</f>
        <v>F___material_</v>
      </c>
      <c r="S344" s="14">
        <f>IF(O344="no",H344,H344*P344)</f>
        <v>0</v>
      </c>
      <c r="T344" s="8" t="s">
        <v>198</v>
      </c>
      <c r="U344" s="143">
        <f>INDEX(Tab_Def_Flows[[Flow_ID]:[CC_DM_source]],MATCH(Tab_Data_Flows[[#This Row],[Flow_Name]],Tab_Def_Flows[Flow_Name],0),11)</f>
        <v>0</v>
      </c>
      <c r="V344" s="7" t="str">
        <f>Tab_Data_Flows[[#This Row],[Flow_ID]]&amp;"_"&amp;"WC_"&amp;Tab_Data_Flows[[#This Row],[Flow_Data_Year]]</f>
        <v>F___WC_</v>
      </c>
      <c r="W344" s="7" t="str">
        <f>IF(D344="Yes",S344*Tab_Data_Flows[[#This Row],[WC_'[%']]],"N.A.")</f>
        <v>N.A.</v>
      </c>
      <c r="X344" s="7" t="str">
        <f>Tab_Data_Flows[[#This Row],[UoM_Flow_Py]]</f>
        <v>Mg</v>
      </c>
      <c r="Y344" s="143">
        <f>INDEX(Tab_Def_Flows[[Flow_ID]:[CC_DM_source]],MATCH(Tab_Data_Flows[[#This Row],[Flow_Name]],Tab_Def_Flows[Flow_Name],0),14)</f>
        <v>0</v>
      </c>
      <c r="Z344" s="7" t="str">
        <f>Tab_Data_Flows[[#This Row],[Flow_ID]]&amp;"_"&amp;"DM_"&amp;Tab_Data_Flows[[#This Row],[Flow_Data_Year]]</f>
        <v>F___DM_</v>
      </c>
      <c r="AA344" s="7" t="str">
        <f>IF(E344="Yes",Y344*Tab_Data_Flows[[#This Row],[Flow_Material]],"N.A.")</f>
        <v>N.A.</v>
      </c>
      <c r="AB344" s="7" t="str">
        <f>Tab_Data_Flows[[#This Row],[UoM_Flow_Py]]</f>
        <v>Mg</v>
      </c>
      <c r="AC344" s="143">
        <f>INDEX(Tab_Def_Flows[[Flow_ID]:[CC_DM_source]],MATCH(Tab_Data_Flows[[#This Row],[Flow_Name]],Tab_Def_Flows[Flow_Name],0),17)</f>
        <v>0</v>
      </c>
      <c r="AD344" s="7" t="str">
        <f>Tab_Data_Flows[[#This Row],[Flow_ID]]&amp;"_"&amp;"CC_"&amp;Tab_Data_Flows[[#This Row],[Flow_Data_Year]]</f>
        <v>F___CC_</v>
      </c>
      <c r="AE344" s="7" t="str">
        <f>IF(F344="Yes",AC344*Tab_Data_Flows[[#This Row],[Flow_Material]]*Tab_Data_Flows[[#This Row],[DM_'[%']]],"N.A.")</f>
        <v>N.A.</v>
      </c>
      <c r="AF344" s="7" t="str">
        <f>Tab_Data_Flows[[#This Row],[UoM_Flow_Py]]</f>
        <v>Mg</v>
      </c>
      <c r="AG344"/>
    </row>
    <row r="345" spans="1:33" x14ac:dyDescent="0.25">
      <c r="A345" s="9">
        <f t="shared" si="5"/>
        <v>344</v>
      </c>
      <c r="B345" s="7" t="str">
        <f>_xlfn.XLOOKUP(C345,Tab_Def_Flows[Flow_Name],Tab_Def_Flows[Flow_ID],,0,)</f>
        <v>F__</v>
      </c>
      <c r="C345" s="142" t="s">
        <v>22</v>
      </c>
      <c r="D345" s="10">
        <f>_xlfn.XLOOKUP(C345,Tab_Def_Flows[Flow_Name],Tab_Def_Flows[WC?],,0,)</f>
        <v>0</v>
      </c>
      <c r="E345" s="10">
        <f>_xlfn.XLOOKUP(C345,Tab_Def_Flows[Flow_Name],Tab_Def_Flows[DM?],,0,)</f>
        <v>0</v>
      </c>
      <c r="F345" s="10">
        <f>_xlfn.XLOOKUP(C345,Tab_Def_Flows[Flow_Name],Tab_Def_Flows[CC?],,0,)</f>
        <v>0</v>
      </c>
      <c r="G345" s="8"/>
      <c r="H345" s="23"/>
      <c r="I345" s="8"/>
      <c r="J345" s="15"/>
      <c r="K345" s="15"/>
      <c r="L345" s="15"/>
      <c r="M345" s="15"/>
      <c r="N345" s="15"/>
      <c r="O345" s="8" t="s">
        <v>6</v>
      </c>
      <c r="P345" s="8"/>
      <c r="Q345" s="8"/>
      <c r="R345" s="7" t="str">
        <f>Tab_Data_Flows[[#This Row],[Flow_ID]]&amp;"_"&amp;"material_"&amp;Tab_Data_Flows[[#This Row],[Flow_Data_Year]]</f>
        <v>F___material_</v>
      </c>
      <c r="S345" s="14">
        <f>IF(O345="no",H345,H345*P345)</f>
        <v>0</v>
      </c>
      <c r="T345" s="8" t="s">
        <v>198</v>
      </c>
      <c r="U345" s="143">
        <f>INDEX(Tab_Def_Flows[[Flow_ID]:[CC_DM_source]],MATCH(Tab_Data_Flows[[#This Row],[Flow_Name]],Tab_Def_Flows[Flow_Name],0),11)</f>
        <v>0</v>
      </c>
      <c r="V345" s="7" t="str">
        <f>Tab_Data_Flows[[#This Row],[Flow_ID]]&amp;"_"&amp;"WC_"&amp;Tab_Data_Flows[[#This Row],[Flow_Data_Year]]</f>
        <v>F___WC_</v>
      </c>
      <c r="W345" s="7" t="str">
        <f>IF(D345="Yes",S345*Tab_Data_Flows[[#This Row],[WC_'[%']]],"N.A.")</f>
        <v>N.A.</v>
      </c>
      <c r="X345" s="7" t="str">
        <f>Tab_Data_Flows[[#This Row],[UoM_Flow_Py]]</f>
        <v>Mg</v>
      </c>
      <c r="Y345" s="143">
        <f>INDEX(Tab_Def_Flows[[Flow_ID]:[CC_DM_source]],MATCH(Tab_Data_Flows[[#This Row],[Flow_Name]],Tab_Def_Flows[Flow_Name],0),14)</f>
        <v>0</v>
      </c>
      <c r="Z345" s="7" t="str">
        <f>Tab_Data_Flows[[#This Row],[Flow_ID]]&amp;"_"&amp;"DM_"&amp;Tab_Data_Flows[[#This Row],[Flow_Data_Year]]</f>
        <v>F___DM_</v>
      </c>
      <c r="AA345" s="7" t="str">
        <f>IF(E345="Yes",Y345*Tab_Data_Flows[[#This Row],[Flow_Material]],"N.A.")</f>
        <v>N.A.</v>
      </c>
      <c r="AB345" s="7" t="str">
        <f>Tab_Data_Flows[[#This Row],[UoM_Flow_Py]]</f>
        <v>Mg</v>
      </c>
      <c r="AC345" s="143">
        <f>INDEX(Tab_Def_Flows[[Flow_ID]:[CC_DM_source]],MATCH(Tab_Data_Flows[[#This Row],[Flow_Name]],Tab_Def_Flows[Flow_Name],0),17)</f>
        <v>0</v>
      </c>
      <c r="AD345" s="7" t="str">
        <f>Tab_Data_Flows[[#This Row],[Flow_ID]]&amp;"_"&amp;"CC_"&amp;Tab_Data_Flows[[#This Row],[Flow_Data_Year]]</f>
        <v>F___CC_</v>
      </c>
      <c r="AE345" s="7" t="str">
        <f>IF(F345="Yes",AC345*Tab_Data_Flows[[#This Row],[Flow_Material]]*Tab_Data_Flows[[#This Row],[DM_'[%']]],"N.A.")</f>
        <v>N.A.</v>
      </c>
      <c r="AF345" s="7" t="str">
        <f>Tab_Data_Flows[[#This Row],[UoM_Flow_Py]]</f>
        <v>Mg</v>
      </c>
      <c r="AG345"/>
    </row>
    <row r="346" spans="1:33" x14ac:dyDescent="0.25">
      <c r="A346" s="9">
        <f t="shared" si="5"/>
        <v>345</v>
      </c>
      <c r="B346" s="7" t="str">
        <f>_xlfn.XLOOKUP(C346,Tab_Def_Flows[Flow_Name],Tab_Def_Flows[Flow_ID],,0,)</f>
        <v>F__</v>
      </c>
      <c r="C346" s="142" t="s">
        <v>22</v>
      </c>
      <c r="D346" s="10">
        <f>_xlfn.XLOOKUP(C346,Tab_Def_Flows[Flow_Name],Tab_Def_Flows[WC?],,0,)</f>
        <v>0</v>
      </c>
      <c r="E346" s="10">
        <f>_xlfn.XLOOKUP(C346,Tab_Def_Flows[Flow_Name],Tab_Def_Flows[DM?],,0,)</f>
        <v>0</v>
      </c>
      <c r="F346" s="10">
        <f>_xlfn.XLOOKUP(C346,Tab_Def_Flows[Flow_Name],Tab_Def_Flows[CC?],,0,)</f>
        <v>0</v>
      </c>
      <c r="G346" s="8"/>
      <c r="H346" s="23"/>
      <c r="I346" s="8"/>
      <c r="J346" s="15"/>
      <c r="K346" s="15"/>
      <c r="L346" s="15"/>
      <c r="M346" s="15"/>
      <c r="N346" s="15"/>
      <c r="O346" s="8" t="s">
        <v>6</v>
      </c>
      <c r="P346" s="8"/>
      <c r="Q346" s="8"/>
      <c r="R346" s="7" t="str">
        <f>Tab_Data_Flows[[#This Row],[Flow_ID]]&amp;"_"&amp;"material_"&amp;Tab_Data_Flows[[#This Row],[Flow_Data_Year]]</f>
        <v>F___material_</v>
      </c>
      <c r="S346" s="14">
        <f>IF(O346="no",H346,H346*P346)</f>
        <v>0</v>
      </c>
      <c r="T346" s="8" t="s">
        <v>198</v>
      </c>
      <c r="U346" s="143">
        <f>INDEX(Tab_Def_Flows[[Flow_ID]:[CC_DM_source]],MATCH(Tab_Data_Flows[[#This Row],[Flow_Name]],Tab_Def_Flows[Flow_Name],0),11)</f>
        <v>0</v>
      </c>
      <c r="V346" s="7" t="str">
        <f>Tab_Data_Flows[[#This Row],[Flow_ID]]&amp;"_"&amp;"WC_"&amp;Tab_Data_Flows[[#This Row],[Flow_Data_Year]]</f>
        <v>F___WC_</v>
      </c>
      <c r="W346" s="7" t="str">
        <f>IF(D346="Yes",S346*Tab_Data_Flows[[#This Row],[WC_'[%']]],"N.A.")</f>
        <v>N.A.</v>
      </c>
      <c r="X346" s="7" t="str">
        <f>Tab_Data_Flows[[#This Row],[UoM_Flow_Py]]</f>
        <v>Mg</v>
      </c>
      <c r="Y346" s="143">
        <f>INDEX(Tab_Def_Flows[[Flow_ID]:[CC_DM_source]],MATCH(Tab_Data_Flows[[#This Row],[Flow_Name]],Tab_Def_Flows[Flow_Name],0),14)</f>
        <v>0</v>
      </c>
      <c r="Z346" s="7" t="str">
        <f>Tab_Data_Flows[[#This Row],[Flow_ID]]&amp;"_"&amp;"DM_"&amp;Tab_Data_Flows[[#This Row],[Flow_Data_Year]]</f>
        <v>F___DM_</v>
      </c>
      <c r="AA346" s="7" t="str">
        <f>IF(E346="Yes",Y346*Tab_Data_Flows[[#This Row],[Flow_Material]],"N.A.")</f>
        <v>N.A.</v>
      </c>
      <c r="AB346" s="7" t="str">
        <f>Tab_Data_Flows[[#This Row],[UoM_Flow_Py]]</f>
        <v>Mg</v>
      </c>
      <c r="AC346" s="143">
        <f>INDEX(Tab_Def_Flows[[Flow_ID]:[CC_DM_source]],MATCH(Tab_Data_Flows[[#This Row],[Flow_Name]],Tab_Def_Flows[Flow_Name],0),17)</f>
        <v>0</v>
      </c>
      <c r="AD346" s="7" t="str">
        <f>Tab_Data_Flows[[#This Row],[Flow_ID]]&amp;"_"&amp;"CC_"&amp;Tab_Data_Flows[[#This Row],[Flow_Data_Year]]</f>
        <v>F___CC_</v>
      </c>
      <c r="AE346" s="7" t="str">
        <f>IF(F346="Yes",AC346*Tab_Data_Flows[[#This Row],[Flow_Material]]*Tab_Data_Flows[[#This Row],[DM_'[%']]],"N.A.")</f>
        <v>N.A.</v>
      </c>
      <c r="AF346" s="7" t="str">
        <f>Tab_Data_Flows[[#This Row],[UoM_Flow_Py]]</f>
        <v>Mg</v>
      </c>
      <c r="AG346"/>
    </row>
    <row r="347" spans="1:33" x14ac:dyDescent="0.25">
      <c r="A347" s="9">
        <f t="shared" ref="A347:A350" si="6">ROW()-1</f>
        <v>346</v>
      </c>
      <c r="B347" s="7" t="str">
        <f>_xlfn.XLOOKUP(C347,Tab_Def_Flows[Flow_Name],Tab_Def_Flows[Flow_ID],,0,)</f>
        <v>F__</v>
      </c>
      <c r="C347" s="142" t="s">
        <v>22</v>
      </c>
      <c r="D347" s="10">
        <f>_xlfn.XLOOKUP(C347,Tab_Def_Flows[Flow_Name],Tab_Def_Flows[WC?],,0,)</f>
        <v>0</v>
      </c>
      <c r="E347" s="10">
        <f>_xlfn.XLOOKUP(C347,Tab_Def_Flows[Flow_Name],Tab_Def_Flows[DM?],,0,)</f>
        <v>0</v>
      </c>
      <c r="F347" s="10">
        <f>_xlfn.XLOOKUP(C347,Tab_Def_Flows[Flow_Name],Tab_Def_Flows[CC?],,0,)</f>
        <v>0</v>
      </c>
      <c r="G347" s="8"/>
      <c r="H347" s="23"/>
      <c r="I347" s="8"/>
      <c r="J347" s="15"/>
      <c r="K347" s="15"/>
      <c r="L347" s="15"/>
      <c r="M347" s="15"/>
      <c r="N347" s="15"/>
      <c r="O347" s="8" t="s">
        <v>6</v>
      </c>
      <c r="P347" s="8"/>
      <c r="Q347" s="8"/>
      <c r="R347" s="7" t="str">
        <f>Tab_Data_Flows[[#This Row],[Flow_ID]]&amp;"_"&amp;"material_"&amp;Tab_Data_Flows[[#This Row],[Flow_Data_Year]]</f>
        <v>F___material_</v>
      </c>
      <c r="S347" s="14">
        <f>IF(O347="no",H347,H347*P347)</f>
        <v>0</v>
      </c>
      <c r="T347" s="8" t="s">
        <v>198</v>
      </c>
      <c r="U347" s="143">
        <f>INDEX(Tab_Def_Flows[[Flow_ID]:[CC_DM_source]],MATCH(Tab_Data_Flows[[#This Row],[Flow_Name]],Tab_Def_Flows[Flow_Name],0),11)</f>
        <v>0</v>
      </c>
      <c r="V347" s="7" t="str">
        <f>Tab_Data_Flows[[#This Row],[Flow_ID]]&amp;"_"&amp;"WC_"&amp;Tab_Data_Flows[[#This Row],[Flow_Data_Year]]</f>
        <v>F___WC_</v>
      </c>
      <c r="W347" s="7" t="str">
        <f>IF(D347="Yes",S347*Tab_Data_Flows[[#This Row],[WC_'[%']]],"N.A.")</f>
        <v>N.A.</v>
      </c>
      <c r="X347" s="7" t="str">
        <f>Tab_Data_Flows[[#This Row],[UoM_Flow_Py]]</f>
        <v>Mg</v>
      </c>
      <c r="Y347" s="143">
        <f>INDEX(Tab_Def_Flows[[Flow_ID]:[CC_DM_source]],MATCH(Tab_Data_Flows[[#This Row],[Flow_Name]],Tab_Def_Flows[Flow_Name],0),14)</f>
        <v>0</v>
      </c>
      <c r="Z347" s="7" t="str">
        <f>Tab_Data_Flows[[#This Row],[Flow_ID]]&amp;"_"&amp;"DM_"&amp;Tab_Data_Flows[[#This Row],[Flow_Data_Year]]</f>
        <v>F___DM_</v>
      </c>
      <c r="AA347" s="7" t="str">
        <f>IF(E347="Yes",Y347*Tab_Data_Flows[[#This Row],[Flow_Material]],"N.A.")</f>
        <v>N.A.</v>
      </c>
      <c r="AB347" s="7" t="str">
        <f>Tab_Data_Flows[[#This Row],[UoM_Flow_Py]]</f>
        <v>Mg</v>
      </c>
      <c r="AC347" s="143">
        <f>INDEX(Tab_Def_Flows[[Flow_ID]:[CC_DM_source]],MATCH(Tab_Data_Flows[[#This Row],[Flow_Name]],Tab_Def_Flows[Flow_Name],0),17)</f>
        <v>0</v>
      </c>
      <c r="AD347" s="7" t="str">
        <f>Tab_Data_Flows[[#This Row],[Flow_ID]]&amp;"_"&amp;"CC_"&amp;Tab_Data_Flows[[#This Row],[Flow_Data_Year]]</f>
        <v>F___CC_</v>
      </c>
      <c r="AE347" s="7" t="str">
        <f>IF(F347="Yes",AC347*Tab_Data_Flows[[#This Row],[Flow_Material]]*Tab_Data_Flows[[#This Row],[DM_'[%']]],"N.A.")</f>
        <v>N.A.</v>
      </c>
      <c r="AF347" s="7" t="str">
        <f>Tab_Data_Flows[[#This Row],[UoM_Flow_Py]]</f>
        <v>Mg</v>
      </c>
      <c r="AG347"/>
    </row>
    <row r="348" spans="1:33" x14ac:dyDescent="0.25">
      <c r="A348" s="9">
        <f t="shared" si="6"/>
        <v>347</v>
      </c>
      <c r="B348" s="7" t="str">
        <f>_xlfn.XLOOKUP(C348,Tab_Def_Flows[Flow_Name],Tab_Def_Flows[Flow_ID],,0,)</f>
        <v>F__</v>
      </c>
      <c r="C348" s="142" t="s">
        <v>22</v>
      </c>
      <c r="D348" s="10">
        <f>_xlfn.XLOOKUP(C348,Tab_Def_Flows[Flow_Name],Tab_Def_Flows[WC?],,0,)</f>
        <v>0</v>
      </c>
      <c r="E348" s="10">
        <f>_xlfn.XLOOKUP(C348,Tab_Def_Flows[Flow_Name],Tab_Def_Flows[DM?],,0,)</f>
        <v>0</v>
      </c>
      <c r="F348" s="10">
        <f>_xlfn.XLOOKUP(C348,Tab_Def_Flows[Flow_Name],Tab_Def_Flows[CC?],,0,)</f>
        <v>0</v>
      </c>
      <c r="G348" s="8"/>
      <c r="H348" s="23"/>
      <c r="I348" s="8"/>
      <c r="J348" s="15"/>
      <c r="K348" s="15"/>
      <c r="L348" s="15"/>
      <c r="M348" s="15"/>
      <c r="N348" s="15"/>
      <c r="O348" s="8" t="s">
        <v>6</v>
      </c>
      <c r="P348" s="8"/>
      <c r="Q348" s="8"/>
      <c r="R348" s="7" t="str">
        <f>Tab_Data_Flows[[#This Row],[Flow_ID]]&amp;"_"&amp;"material_"&amp;Tab_Data_Flows[[#This Row],[Flow_Data_Year]]</f>
        <v>F___material_</v>
      </c>
      <c r="S348" s="14">
        <f>IF(O348="no",H348,H348*P348)</f>
        <v>0</v>
      </c>
      <c r="T348" s="8" t="s">
        <v>198</v>
      </c>
      <c r="U348" s="143">
        <f>INDEX(Tab_Def_Flows[[Flow_ID]:[CC_DM_source]],MATCH(Tab_Data_Flows[[#This Row],[Flow_Name]],Tab_Def_Flows[Flow_Name],0),11)</f>
        <v>0</v>
      </c>
      <c r="V348" s="7" t="str">
        <f>Tab_Data_Flows[[#This Row],[Flow_ID]]&amp;"_"&amp;"WC_"&amp;Tab_Data_Flows[[#This Row],[Flow_Data_Year]]</f>
        <v>F___WC_</v>
      </c>
      <c r="W348" s="7" t="str">
        <f>IF(D348="Yes",S348*Tab_Data_Flows[[#This Row],[WC_'[%']]],"N.A.")</f>
        <v>N.A.</v>
      </c>
      <c r="X348" s="7" t="str">
        <f>Tab_Data_Flows[[#This Row],[UoM_Flow_Py]]</f>
        <v>Mg</v>
      </c>
      <c r="Y348" s="143">
        <f>INDEX(Tab_Def_Flows[[Flow_ID]:[CC_DM_source]],MATCH(Tab_Data_Flows[[#This Row],[Flow_Name]],Tab_Def_Flows[Flow_Name],0),14)</f>
        <v>0</v>
      </c>
      <c r="Z348" s="7" t="str">
        <f>Tab_Data_Flows[[#This Row],[Flow_ID]]&amp;"_"&amp;"DM_"&amp;Tab_Data_Flows[[#This Row],[Flow_Data_Year]]</f>
        <v>F___DM_</v>
      </c>
      <c r="AA348" s="7" t="str">
        <f>IF(E348="Yes",Y348*Tab_Data_Flows[[#This Row],[Flow_Material]],"N.A.")</f>
        <v>N.A.</v>
      </c>
      <c r="AB348" s="7" t="str">
        <f>Tab_Data_Flows[[#This Row],[UoM_Flow_Py]]</f>
        <v>Mg</v>
      </c>
      <c r="AC348" s="143">
        <f>INDEX(Tab_Def_Flows[[Flow_ID]:[CC_DM_source]],MATCH(Tab_Data_Flows[[#This Row],[Flow_Name]],Tab_Def_Flows[Flow_Name],0),17)</f>
        <v>0</v>
      </c>
      <c r="AD348" s="7" t="str">
        <f>Tab_Data_Flows[[#This Row],[Flow_ID]]&amp;"_"&amp;"CC_"&amp;Tab_Data_Flows[[#This Row],[Flow_Data_Year]]</f>
        <v>F___CC_</v>
      </c>
      <c r="AE348" s="7" t="str">
        <f>IF(F348="Yes",AC348*Tab_Data_Flows[[#This Row],[Flow_Material]]*Tab_Data_Flows[[#This Row],[DM_'[%']]],"N.A.")</f>
        <v>N.A.</v>
      </c>
      <c r="AF348" s="7" t="str">
        <f>Tab_Data_Flows[[#This Row],[UoM_Flow_Py]]</f>
        <v>Mg</v>
      </c>
      <c r="AG348"/>
    </row>
    <row r="349" spans="1:33" x14ac:dyDescent="0.25">
      <c r="A349" s="9">
        <f t="shared" si="6"/>
        <v>348</v>
      </c>
      <c r="B349" s="7" t="str">
        <f>_xlfn.XLOOKUP(C349,Tab_Def_Flows[Flow_Name],Tab_Def_Flows[Flow_ID],,0,)</f>
        <v>F__</v>
      </c>
      <c r="C349" s="142" t="s">
        <v>22</v>
      </c>
      <c r="D349" s="10">
        <f>_xlfn.XLOOKUP(C349,Tab_Def_Flows[Flow_Name],Tab_Def_Flows[WC?],,0,)</f>
        <v>0</v>
      </c>
      <c r="E349" s="10">
        <f>_xlfn.XLOOKUP(C349,Tab_Def_Flows[Flow_Name],Tab_Def_Flows[DM?],,0,)</f>
        <v>0</v>
      </c>
      <c r="F349" s="10">
        <f>_xlfn.XLOOKUP(C349,Tab_Def_Flows[Flow_Name],Tab_Def_Flows[CC?],,0,)</f>
        <v>0</v>
      </c>
      <c r="G349" s="8"/>
      <c r="H349" s="23"/>
      <c r="I349" s="8"/>
      <c r="J349" s="15"/>
      <c r="K349" s="15"/>
      <c r="L349" s="15"/>
      <c r="M349" s="15"/>
      <c r="N349" s="15"/>
      <c r="O349" s="8" t="s">
        <v>6</v>
      </c>
      <c r="P349" s="8"/>
      <c r="Q349" s="8"/>
      <c r="R349" s="7" t="str">
        <f>Tab_Data_Flows[[#This Row],[Flow_ID]]&amp;"_"&amp;"material_"&amp;Tab_Data_Flows[[#This Row],[Flow_Data_Year]]</f>
        <v>F___material_</v>
      </c>
      <c r="S349" s="14">
        <f>IF(O349="no",H349,H349*P349)</f>
        <v>0</v>
      </c>
      <c r="T349" s="8" t="s">
        <v>198</v>
      </c>
      <c r="U349" s="143">
        <f>INDEX(Tab_Def_Flows[[Flow_ID]:[CC_DM_source]],MATCH(Tab_Data_Flows[[#This Row],[Flow_Name]],Tab_Def_Flows[Flow_Name],0),11)</f>
        <v>0</v>
      </c>
      <c r="V349" s="7" t="str">
        <f>Tab_Data_Flows[[#This Row],[Flow_ID]]&amp;"_"&amp;"WC_"&amp;Tab_Data_Flows[[#This Row],[Flow_Data_Year]]</f>
        <v>F___WC_</v>
      </c>
      <c r="W349" s="7" t="str">
        <f>IF(D349="Yes",S349*Tab_Data_Flows[[#This Row],[WC_'[%']]],"N.A.")</f>
        <v>N.A.</v>
      </c>
      <c r="X349" s="7" t="str">
        <f>Tab_Data_Flows[[#This Row],[UoM_Flow_Py]]</f>
        <v>Mg</v>
      </c>
      <c r="Y349" s="143">
        <f>INDEX(Tab_Def_Flows[[Flow_ID]:[CC_DM_source]],MATCH(Tab_Data_Flows[[#This Row],[Flow_Name]],Tab_Def_Flows[Flow_Name],0),14)</f>
        <v>0</v>
      </c>
      <c r="Z349" s="7" t="str">
        <f>Tab_Data_Flows[[#This Row],[Flow_ID]]&amp;"_"&amp;"DM_"&amp;Tab_Data_Flows[[#This Row],[Flow_Data_Year]]</f>
        <v>F___DM_</v>
      </c>
      <c r="AA349" s="7" t="str">
        <f>IF(E349="Yes",Y349*Tab_Data_Flows[[#This Row],[Flow_Material]],"N.A.")</f>
        <v>N.A.</v>
      </c>
      <c r="AB349" s="7" t="str">
        <f>Tab_Data_Flows[[#This Row],[UoM_Flow_Py]]</f>
        <v>Mg</v>
      </c>
      <c r="AC349" s="143">
        <f>INDEX(Tab_Def_Flows[[Flow_ID]:[CC_DM_source]],MATCH(Tab_Data_Flows[[#This Row],[Flow_Name]],Tab_Def_Flows[Flow_Name],0),17)</f>
        <v>0</v>
      </c>
      <c r="AD349" s="7" t="str">
        <f>Tab_Data_Flows[[#This Row],[Flow_ID]]&amp;"_"&amp;"CC_"&amp;Tab_Data_Flows[[#This Row],[Flow_Data_Year]]</f>
        <v>F___CC_</v>
      </c>
      <c r="AE349" s="7" t="str">
        <f>IF(F349="Yes",AC349*Tab_Data_Flows[[#This Row],[Flow_Material]]*Tab_Data_Flows[[#This Row],[DM_'[%']]],"N.A.")</f>
        <v>N.A.</v>
      </c>
      <c r="AF349" s="7" t="str">
        <f>Tab_Data_Flows[[#This Row],[UoM_Flow_Py]]</f>
        <v>Mg</v>
      </c>
      <c r="AG349"/>
    </row>
    <row r="350" spans="1:33" x14ac:dyDescent="0.25">
      <c r="A350" s="9">
        <f t="shared" si="6"/>
        <v>349</v>
      </c>
      <c r="B350" s="7" t="str">
        <f>_xlfn.XLOOKUP(C350,Tab_Def_Flows[Flow_Name],Tab_Def_Flows[Flow_ID],,0,)</f>
        <v>F__</v>
      </c>
      <c r="C350" s="142" t="s">
        <v>22</v>
      </c>
      <c r="D350" s="10">
        <f>_xlfn.XLOOKUP(C350,Tab_Def_Flows[Flow_Name],Tab_Def_Flows[WC?],,0,)</f>
        <v>0</v>
      </c>
      <c r="E350" s="10">
        <f>_xlfn.XLOOKUP(C350,Tab_Def_Flows[Flow_Name],Tab_Def_Flows[DM?],,0,)</f>
        <v>0</v>
      </c>
      <c r="F350" s="10">
        <f>_xlfn.XLOOKUP(C350,Tab_Def_Flows[Flow_Name],Tab_Def_Flows[CC?],,0,)</f>
        <v>0</v>
      </c>
      <c r="G350" s="8"/>
      <c r="H350" s="23"/>
      <c r="I350" s="8"/>
      <c r="J350" s="15"/>
      <c r="K350" s="15"/>
      <c r="L350" s="15"/>
      <c r="M350" s="15"/>
      <c r="N350" s="15"/>
      <c r="O350" s="8" t="s">
        <v>6</v>
      </c>
      <c r="P350" s="8"/>
      <c r="Q350" s="8"/>
      <c r="R350" s="7" t="str">
        <f>Tab_Data_Flows[[#This Row],[Flow_ID]]&amp;"_"&amp;"material_"&amp;Tab_Data_Flows[[#This Row],[Flow_Data_Year]]</f>
        <v>F___material_</v>
      </c>
      <c r="S350" s="14">
        <f>IF(O350="no",H350,H350*P350)</f>
        <v>0</v>
      </c>
      <c r="T350" s="8" t="s">
        <v>198</v>
      </c>
      <c r="U350" s="143">
        <f>INDEX(Tab_Def_Flows[[Flow_ID]:[CC_DM_source]],MATCH(Tab_Data_Flows[[#This Row],[Flow_Name]],Tab_Def_Flows[Flow_Name],0),11)</f>
        <v>0</v>
      </c>
      <c r="V350" s="7" t="str">
        <f>Tab_Data_Flows[[#This Row],[Flow_ID]]&amp;"_"&amp;"WC_"&amp;Tab_Data_Flows[[#This Row],[Flow_Data_Year]]</f>
        <v>F___WC_</v>
      </c>
      <c r="W350" s="7" t="str">
        <f>IF(D350="Yes",S350*Tab_Data_Flows[[#This Row],[WC_'[%']]],"N.A.")</f>
        <v>N.A.</v>
      </c>
      <c r="X350" s="7" t="str">
        <f>Tab_Data_Flows[[#This Row],[UoM_Flow_Py]]</f>
        <v>Mg</v>
      </c>
      <c r="Y350" s="143">
        <f>INDEX(Tab_Def_Flows[[Flow_ID]:[CC_DM_source]],MATCH(Tab_Data_Flows[[#This Row],[Flow_Name]],Tab_Def_Flows[Flow_Name],0),14)</f>
        <v>0</v>
      </c>
      <c r="Z350" s="7" t="str">
        <f>Tab_Data_Flows[[#This Row],[Flow_ID]]&amp;"_"&amp;"DM_"&amp;Tab_Data_Flows[[#This Row],[Flow_Data_Year]]</f>
        <v>F___DM_</v>
      </c>
      <c r="AA350" s="7" t="str">
        <f>IF(E350="Yes",Y350*Tab_Data_Flows[[#This Row],[Flow_Material]],"N.A.")</f>
        <v>N.A.</v>
      </c>
      <c r="AB350" s="7" t="str">
        <f>Tab_Data_Flows[[#This Row],[UoM_Flow_Py]]</f>
        <v>Mg</v>
      </c>
      <c r="AC350" s="143">
        <f>INDEX(Tab_Def_Flows[[Flow_ID]:[CC_DM_source]],MATCH(Tab_Data_Flows[[#This Row],[Flow_Name]],Tab_Def_Flows[Flow_Name],0),17)</f>
        <v>0</v>
      </c>
      <c r="AD350" s="7" t="str">
        <f>Tab_Data_Flows[[#This Row],[Flow_ID]]&amp;"_"&amp;"CC_"&amp;Tab_Data_Flows[[#This Row],[Flow_Data_Year]]</f>
        <v>F___CC_</v>
      </c>
      <c r="AE350" s="7" t="str">
        <f>IF(F350="Yes",AC350*Tab_Data_Flows[[#This Row],[Flow_Material]]*Tab_Data_Flows[[#This Row],[DM_'[%']]],"N.A.")</f>
        <v>N.A.</v>
      </c>
      <c r="AF350" s="7" t="str">
        <f>Tab_Data_Flows[[#This Row],[UoM_Flow_Py]]</f>
        <v>Mg</v>
      </c>
      <c r="AG350"/>
    </row>
    <row r="351" spans="1:33" x14ac:dyDescent="0.25">
      <c r="AA351" s="19"/>
      <c r="AG351" s="17"/>
    </row>
  </sheetData>
  <phoneticPr fontId="2"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'7_2_Codelists'!$B$53:$B$54</xm:f>
          </x14:formula1>
          <xm:sqref>O2:O350</xm:sqref>
        </x14:dataValidation>
        <x14:dataValidation type="list" allowBlank="1" showInputMessage="1" showErrorMessage="1" xr:uid="{A030A264-E9C5-4840-932B-125C397F8D0A}">
          <x14:formula1>
            <xm:f>'1_1_Definition_Flows'!$D$2:$D$70</xm:f>
          </x14:formula1>
          <xm:sqref>C2:C350</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I47"/>
  <sheetViews>
    <sheetView zoomScale="145" zoomScaleNormal="145" workbookViewId="0">
      <pane xSplit="4" topLeftCell="E1" activePane="topRight" state="frozen"/>
      <selection pane="topRight" activeCell="F24" sqref="F24"/>
    </sheetView>
  </sheetViews>
  <sheetFormatPr defaultColWidth="10.85546875" defaultRowHeight="15" x14ac:dyDescent="0.25"/>
  <cols>
    <col min="1" max="1" width="13" customWidth="1"/>
    <col min="2" max="2" width="6.85546875" customWidth="1"/>
    <col min="3" max="3" width="10.85546875" customWidth="1"/>
    <col min="4" max="4" width="42" customWidth="1"/>
    <col min="5" max="5" width="16.42578125" customWidth="1"/>
    <col min="6" max="6" width="21.28515625" customWidth="1"/>
    <col min="7" max="7" width="18.28515625" customWidth="1"/>
    <col min="8" max="8" width="21" customWidth="1"/>
    <col min="9" max="9" width="15.5703125" customWidth="1"/>
    <col min="10" max="10" width="10.7109375" customWidth="1"/>
  </cols>
  <sheetData>
    <row r="1" spans="1:9" x14ac:dyDescent="0.25">
      <c r="A1" s="145" t="s">
        <v>41</v>
      </c>
      <c r="B1" s="145" t="s">
        <v>19</v>
      </c>
      <c r="C1" s="145" t="s">
        <v>38</v>
      </c>
      <c r="D1" s="145" t="s">
        <v>541</v>
      </c>
      <c r="E1" s="145" t="s">
        <v>4</v>
      </c>
      <c r="F1" s="145" t="s">
        <v>503</v>
      </c>
      <c r="G1" s="145" t="s">
        <v>579</v>
      </c>
      <c r="H1" s="145" t="s">
        <v>580</v>
      </c>
      <c r="I1" s="145" t="s">
        <v>660</v>
      </c>
    </row>
    <row r="2" spans="1:9" x14ac:dyDescent="0.25">
      <c r="A2" s="146" t="b">
        <v>1</v>
      </c>
      <c r="B2" s="18" t="s">
        <v>82</v>
      </c>
      <c r="C2" s="7" t="str">
        <f>LEFT(B2,2)</f>
        <v>00</v>
      </c>
      <c r="D2" s="8" t="s">
        <v>271</v>
      </c>
      <c r="E2" s="15"/>
      <c r="F2" s="142" t="s">
        <v>577</v>
      </c>
      <c r="G2" s="142" t="s">
        <v>552</v>
      </c>
      <c r="H2" s="142" t="s">
        <v>584</v>
      </c>
      <c r="I2" s="142">
        <v>1</v>
      </c>
    </row>
    <row r="3" spans="1:9" x14ac:dyDescent="0.25">
      <c r="A3" s="146" t="b">
        <v>1</v>
      </c>
      <c r="B3" s="18" t="s">
        <v>71</v>
      </c>
      <c r="C3" s="7" t="str">
        <f t="shared" ref="C3:C47" si="0">LEFT(B3,2)</f>
        <v>01</v>
      </c>
      <c r="D3" s="8" t="s">
        <v>272</v>
      </c>
      <c r="E3" s="15"/>
      <c r="F3" s="142" t="s">
        <v>577</v>
      </c>
      <c r="G3" s="142" t="s">
        <v>552</v>
      </c>
      <c r="H3" s="142" t="s">
        <v>584</v>
      </c>
      <c r="I3" s="142">
        <v>1</v>
      </c>
    </row>
    <row r="4" spans="1:9" x14ac:dyDescent="0.25">
      <c r="A4" s="146" t="b">
        <v>1</v>
      </c>
      <c r="B4" s="18" t="s">
        <v>72</v>
      </c>
      <c r="C4" s="7" t="str">
        <f t="shared" si="0"/>
        <v>02</v>
      </c>
      <c r="D4" s="8" t="s">
        <v>520</v>
      </c>
      <c r="E4" s="15"/>
      <c r="F4" s="142" t="s">
        <v>504</v>
      </c>
      <c r="G4" s="142" t="s">
        <v>548</v>
      </c>
      <c r="H4" s="142" t="s">
        <v>583</v>
      </c>
      <c r="I4" s="142">
        <v>3</v>
      </c>
    </row>
    <row r="5" spans="1:9" x14ac:dyDescent="0.25">
      <c r="A5" s="146" t="b">
        <v>1</v>
      </c>
      <c r="B5" s="18" t="s">
        <v>73</v>
      </c>
      <c r="C5" s="7" t="str">
        <f t="shared" si="0"/>
        <v>03</v>
      </c>
      <c r="D5" s="8" t="s">
        <v>591</v>
      </c>
      <c r="E5" s="15"/>
      <c r="F5" s="142" t="s">
        <v>504</v>
      </c>
      <c r="G5" s="142" t="s">
        <v>548</v>
      </c>
      <c r="H5" s="142" t="s">
        <v>583</v>
      </c>
      <c r="I5" s="142">
        <v>3</v>
      </c>
    </row>
    <row r="6" spans="1:9" x14ac:dyDescent="0.25">
      <c r="A6" s="146" t="b">
        <v>1</v>
      </c>
      <c r="B6" s="18" t="s">
        <v>74</v>
      </c>
      <c r="C6" s="7" t="str">
        <f t="shared" si="0"/>
        <v>04</v>
      </c>
      <c r="D6" s="8" t="s">
        <v>598</v>
      </c>
      <c r="E6" s="15"/>
      <c r="F6" s="142" t="s">
        <v>505</v>
      </c>
      <c r="G6" s="142" t="s">
        <v>549</v>
      </c>
      <c r="H6" s="142" t="s">
        <v>583</v>
      </c>
      <c r="I6" s="142">
        <v>2</v>
      </c>
    </row>
    <row r="7" spans="1:9" x14ac:dyDescent="0.25">
      <c r="A7" s="146" t="b">
        <v>1</v>
      </c>
      <c r="B7" s="18" t="s">
        <v>75</v>
      </c>
      <c r="C7" s="7" t="str">
        <f t="shared" si="0"/>
        <v>05</v>
      </c>
      <c r="D7" s="8" t="s">
        <v>589</v>
      </c>
      <c r="E7" s="15"/>
      <c r="F7" s="142" t="s">
        <v>578</v>
      </c>
      <c r="G7" s="142" t="s">
        <v>552</v>
      </c>
      <c r="H7" s="142" t="s">
        <v>584</v>
      </c>
      <c r="I7" s="142">
        <v>1</v>
      </c>
    </row>
    <row r="8" spans="1:9" x14ac:dyDescent="0.25">
      <c r="A8" s="146" t="b">
        <v>1</v>
      </c>
      <c r="B8" s="18" t="s">
        <v>76</v>
      </c>
      <c r="C8" s="7" t="str">
        <f t="shared" si="0"/>
        <v>06</v>
      </c>
      <c r="D8" s="8" t="s">
        <v>590</v>
      </c>
      <c r="E8" s="15"/>
      <c r="F8" s="142" t="s">
        <v>504</v>
      </c>
      <c r="G8" s="142" t="s">
        <v>548</v>
      </c>
      <c r="H8" s="142" t="s">
        <v>583</v>
      </c>
      <c r="I8" s="142">
        <v>2</v>
      </c>
    </row>
    <row r="9" spans="1:9" x14ac:dyDescent="0.25">
      <c r="A9" s="146" t="b">
        <v>1</v>
      </c>
      <c r="B9" s="18" t="s">
        <v>77</v>
      </c>
      <c r="C9" s="7" t="str">
        <f t="shared" si="0"/>
        <v>07</v>
      </c>
      <c r="D9" s="8" t="s">
        <v>592</v>
      </c>
      <c r="E9" s="15"/>
      <c r="F9" s="142" t="s">
        <v>504</v>
      </c>
      <c r="G9" s="142" t="s">
        <v>549</v>
      </c>
      <c r="H9" s="142" t="s">
        <v>583</v>
      </c>
      <c r="I9" s="142">
        <v>2</v>
      </c>
    </row>
    <row r="10" spans="1:9" x14ac:dyDescent="0.25">
      <c r="A10" s="146" t="b">
        <v>1</v>
      </c>
      <c r="B10" s="18" t="s">
        <v>78</v>
      </c>
      <c r="C10" s="7" t="str">
        <f t="shared" si="0"/>
        <v>08</v>
      </c>
      <c r="D10" s="8" t="s">
        <v>593</v>
      </c>
      <c r="E10" s="15"/>
      <c r="F10" s="142" t="s">
        <v>505</v>
      </c>
      <c r="G10" s="142" t="s">
        <v>549</v>
      </c>
      <c r="H10" s="142" t="s">
        <v>583</v>
      </c>
      <c r="I10" s="142">
        <v>2</v>
      </c>
    </row>
    <row r="11" spans="1:9" x14ac:dyDescent="0.25">
      <c r="A11" s="146" t="b">
        <v>1</v>
      </c>
      <c r="B11" s="18" t="s">
        <v>79</v>
      </c>
      <c r="C11" s="7" t="str">
        <f t="shared" si="0"/>
        <v>09</v>
      </c>
      <c r="D11" s="8" t="s">
        <v>594</v>
      </c>
      <c r="E11" s="15"/>
      <c r="F11" s="142" t="s">
        <v>578</v>
      </c>
      <c r="G11" s="142" t="s">
        <v>552</v>
      </c>
      <c r="H11" s="142" t="s">
        <v>584</v>
      </c>
      <c r="I11" s="142">
        <v>1</v>
      </c>
    </row>
    <row r="12" spans="1:9" x14ac:dyDescent="0.25">
      <c r="A12" s="146" t="b">
        <v>1</v>
      </c>
      <c r="B12" s="18" t="s">
        <v>83</v>
      </c>
      <c r="C12" s="7" t="str">
        <f t="shared" si="0"/>
        <v>10</v>
      </c>
      <c r="D12" s="8" t="s">
        <v>595</v>
      </c>
      <c r="E12" s="15"/>
      <c r="F12" s="142" t="s">
        <v>505</v>
      </c>
      <c r="G12" s="142" t="s">
        <v>549</v>
      </c>
      <c r="H12" s="142" t="s">
        <v>583</v>
      </c>
      <c r="I12" s="142">
        <v>2</v>
      </c>
    </row>
    <row r="13" spans="1:9" x14ac:dyDescent="0.25">
      <c r="A13" s="146" t="b">
        <v>1</v>
      </c>
      <c r="B13" s="18" t="s">
        <v>84</v>
      </c>
      <c r="C13" s="7" t="str">
        <f t="shared" si="0"/>
        <v>11</v>
      </c>
      <c r="D13" s="8" t="s">
        <v>596</v>
      </c>
      <c r="E13" s="15"/>
      <c r="F13" s="142" t="s">
        <v>505</v>
      </c>
      <c r="G13" s="142" t="s">
        <v>549</v>
      </c>
      <c r="H13" s="142" t="s">
        <v>583</v>
      </c>
      <c r="I13" s="142">
        <v>2</v>
      </c>
    </row>
    <row r="14" spans="1:9" x14ac:dyDescent="0.25">
      <c r="A14" s="146" t="b">
        <v>1</v>
      </c>
      <c r="B14" s="18" t="s">
        <v>85</v>
      </c>
      <c r="C14" s="7" t="str">
        <f t="shared" si="0"/>
        <v>12</v>
      </c>
      <c r="D14" s="8" t="s">
        <v>597</v>
      </c>
      <c r="E14" s="15"/>
      <c r="F14" s="142" t="s">
        <v>505</v>
      </c>
      <c r="G14" s="142" t="s">
        <v>549</v>
      </c>
      <c r="H14" s="142" t="s">
        <v>583</v>
      </c>
      <c r="I14" s="142">
        <v>2</v>
      </c>
    </row>
    <row r="15" spans="1:9" x14ac:dyDescent="0.25">
      <c r="A15" s="146" t="b">
        <v>0</v>
      </c>
      <c r="B15" s="18" t="s">
        <v>86</v>
      </c>
      <c r="C15" s="7" t="str">
        <f t="shared" si="0"/>
        <v>13</v>
      </c>
      <c r="D15" s="8"/>
      <c r="E15" s="15"/>
      <c r="F15" s="142"/>
      <c r="G15" s="142"/>
      <c r="H15" s="142"/>
      <c r="I15" s="142"/>
    </row>
    <row r="16" spans="1:9" x14ac:dyDescent="0.25">
      <c r="A16" s="146" t="b">
        <v>0</v>
      </c>
      <c r="B16" s="18" t="s">
        <v>87</v>
      </c>
      <c r="C16" s="7" t="str">
        <f t="shared" si="0"/>
        <v>14</v>
      </c>
      <c r="D16" s="8"/>
      <c r="E16" s="15"/>
      <c r="F16" s="142"/>
      <c r="G16" s="142"/>
      <c r="H16" s="142"/>
      <c r="I16" s="142"/>
    </row>
    <row r="17" spans="1:9" x14ac:dyDescent="0.25">
      <c r="A17" s="146" t="b">
        <v>0</v>
      </c>
      <c r="B17" s="18" t="s">
        <v>88</v>
      </c>
      <c r="C17" s="7" t="str">
        <f t="shared" si="0"/>
        <v>15</v>
      </c>
      <c r="D17" s="8"/>
      <c r="E17" s="15"/>
      <c r="F17" s="142"/>
      <c r="G17" s="142"/>
      <c r="H17" s="142"/>
      <c r="I17" s="142"/>
    </row>
    <row r="18" spans="1:9" x14ac:dyDescent="0.25">
      <c r="A18" s="146" t="b">
        <v>0</v>
      </c>
      <c r="B18" s="18" t="s">
        <v>89</v>
      </c>
      <c r="C18" s="7" t="str">
        <f t="shared" si="0"/>
        <v>16</v>
      </c>
      <c r="D18" s="8"/>
      <c r="E18" s="15"/>
      <c r="F18" s="142"/>
      <c r="G18" s="142"/>
      <c r="H18" s="142"/>
      <c r="I18" s="142"/>
    </row>
    <row r="19" spans="1:9" x14ac:dyDescent="0.25">
      <c r="A19" s="146" t="b">
        <v>0</v>
      </c>
      <c r="B19" s="18" t="s">
        <v>90</v>
      </c>
      <c r="C19" s="7" t="str">
        <f t="shared" si="0"/>
        <v>17</v>
      </c>
      <c r="D19" s="8"/>
      <c r="E19" s="15"/>
      <c r="F19" s="142"/>
      <c r="G19" s="142"/>
      <c r="H19" s="142"/>
      <c r="I19" s="142"/>
    </row>
    <row r="20" spans="1:9" x14ac:dyDescent="0.25">
      <c r="A20" s="146" t="b">
        <v>0</v>
      </c>
      <c r="B20" s="18" t="s">
        <v>91</v>
      </c>
      <c r="C20" s="7" t="str">
        <f t="shared" si="0"/>
        <v>18</v>
      </c>
      <c r="D20" s="8"/>
      <c r="E20" s="15"/>
      <c r="F20" s="142"/>
      <c r="G20" s="142"/>
      <c r="H20" s="142"/>
      <c r="I20" s="142"/>
    </row>
    <row r="21" spans="1:9" x14ac:dyDescent="0.25">
      <c r="A21" s="146" t="b">
        <v>0</v>
      </c>
      <c r="B21" s="18" t="s">
        <v>92</v>
      </c>
      <c r="C21" s="7" t="str">
        <f t="shared" si="0"/>
        <v>19</v>
      </c>
      <c r="D21" s="8"/>
      <c r="E21" s="15"/>
      <c r="F21" s="142"/>
      <c r="G21" s="142"/>
      <c r="H21" s="142"/>
      <c r="I21" s="142"/>
    </row>
    <row r="22" spans="1:9" x14ac:dyDescent="0.25">
      <c r="A22" s="146" t="b">
        <v>0</v>
      </c>
      <c r="B22" s="18" t="s">
        <v>93</v>
      </c>
      <c r="C22" s="7" t="str">
        <f t="shared" si="0"/>
        <v>20</v>
      </c>
      <c r="D22" s="8"/>
      <c r="E22" s="15"/>
      <c r="F22" s="142"/>
      <c r="G22" s="142"/>
      <c r="H22" s="142"/>
      <c r="I22" s="142"/>
    </row>
    <row r="23" spans="1:9" x14ac:dyDescent="0.25">
      <c r="A23" s="146" t="b">
        <v>0</v>
      </c>
      <c r="B23" s="18" t="s">
        <v>94</v>
      </c>
      <c r="C23" s="7" t="str">
        <f t="shared" si="0"/>
        <v>21</v>
      </c>
      <c r="D23" s="8"/>
      <c r="E23" s="15"/>
      <c r="F23" s="142"/>
      <c r="G23" s="142"/>
      <c r="H23" s="142"/>
      <c r="I23" s="142"/>
    </row>
    <row r="24" spans="1:9" x14ac:dyDescent="0.25">
      <c r="A24" s="146" t="b">
        <v>0</v>
      </c>
      <c r="B24" s="18" t="s">
        <v>95</v>
      </c>
      <c r="C24" s="7" t="str">
        <f t="shared" si="0"/>
        <v>22</v>
      </c>
      <c r="D24" s="8"/>
      <c r="E24" s="15"/>
      <c r="F24" s="142"/>
      <c r="G24" s="142"/>
      <c r="H24" s="142"/>
      <c r="I24" s="142"/>
    </row>
    <row r="25" spans="1:9" x14ac:dyDescent="0.25">
      <c r="A25" s="146" t="b">
        <v>0</v>
      </c>
      <c r="B25" s="18" t="s">
        <v>96</v>
      </c>
      <c r="C25" s="7" t="str">
        <f t="shared" si="0"/>
        <v>23</v>
      </c>
      <c r="D25" s="8"/>
      <c r="E25" s="15"/>
      <c r="F25" s="142"/>
      <c r="G25" s="142"/>
      <c r="H25" s="142"/>
      <c r="I25" s="142"/>
    </row>
    <row r="26" spans="1:9" x14ac:dyDescent="0.25">
      <c r="A26" s="146" t="b">
        <v>0</v>
      </c>
      <c r="B26" s="18" t="s">
        <v>97</v>
      </c>
      <c r="C26" s="7" t="str">
        <f t="shared" si="0"/>
        <v>24</v>
      </c>
      <c r="D26" s="8"/>
      <c r="E26" s="15"/>
      <c r="F26" s="142"/>
      <c r="G26" s="142"/>
      <c r="H26" s="142"/>
      <c r="I26" s="142"/>
    </row>
    <row r="27" spans="1:9" x14ac:dyDescent="0.25">
      <c r="A27" s="146" t="b">
        <v>0</v>
      </c>
      <c r="B27" s="18" t="s">
        <v>98</v>
      </c>
      <c r="C27" s="7" t="str">
        <f t="shared" si="0"/>
        <v>25</v>
      </c>
      <c r="D27" s="8"/>
      <c r="E27" s="15"/>
      <c r="F27" s="142"/>
      <c r="G27" s="142"/>
      <c r="H27" s="142"/>
      <c r="I27" s="142"/>
    </row>
    <row r="28" spans="1:9" x14ac:dyDescent="0.25">
      <c r="A28" s="146" t="b">
        <v>0</v>
      </c>
      <c r="B28" s="18" t="s">
        <v>99</v>
      </c>
      <c r="C28" s="7" t="str">
        <f t="shared" si="0"/>
        <v>26</v>
      </c>
      <c r="D28" s="8"/>
      <c r="E28" s="15"/>
      <c r="F28" s="142"/>
      <c r="G28" s="142"/>
      <c r="H28" s="142"/>
      <c r="I28" s="142"/>
    </row>
    <row r="29" spans="1:9" x14ac:dyDescent="0.25">
      <c r="A29" s="146" t="b">
        <v>0</v>
      </c>
      <c r="B29" s="18" t="s">
        <v>100</v>
      </c>
      <c r="C29" s="7" t="str">
        <f t="shared" si="0"/>
        <v>27</v>
      </c>
      <c r="D29" s="8"/>
      <c r="E29" s="15"/>
      <c r="F29" s="142"/>
      <c r="G29" s="142"/>
      <c r="H29" s="142"/>
      <c r="I29" s="142"/>
    </row>
    <row r="30" spans="1:9" x14ac:dyDescent="0.25">
      <c r="A30" s="146" t="b">
        <v>0</v>
      </c>
      <c r="B30" s="18" t="s">
        <v>101</v>
      </c>
      <c r="C30" s="7" t="str">
        <f t="shared" si="0"/>
        <v>28</v>
      </c>
      <c r="D30" s="8"/>
      <c r="E30" s="15"/>
      <c r="F30" s="142"/>
      <c r="G30" s="142"/>
      <c r="H30" s="142"/>
      <c r="I30" s="142"/>
    </row>
    <row r="31" spans="1:9" x14ac:dyDescent="0.25">
      <c r="A31" s="146" t="b">
        <v>0</v>
      </c>
      <c r="B31" s="18" t="s">
        <v>102</v>
      </c>
      <c r="C31" s="7" t="str">
        <f t="shared" si="0"/>
        <v>29</v>
      </c>
      <c r="D31" s="8"/>
      <c r="E31" s="15"/>
      <c r="F31" s="142"/>
      <c r="G31" s="142"/>
      <c r="H31" s="142"/>
      <c r="I31" s="142"/>
    </row>
    <row r="32" spans="1:9" x14ac:dyDescent="0.25">
      <c r="A32" s="146" t="b">
        <v>0</v>
      </c>
      <c r="B32" s="18" t="s">
        <v>103</v>
      </c>
      <c r="C32" s="7" t="str">
        <f t="shared" si="0"/>
        <v>30</v>
      </c>
      <c r="D32" s="8"/>
      <c r="E32" s="15"/>
      <c r="F32" s="142"/>
      <c r="G32" s="142"/>
      <c r="H32" s="142"/>
      <c r="I32" s="142"/>
    </row>
    <row r="33" spans="1:9" x14ac:dyDescent="0.25">
      <c r="A33" s="146" t="b">
        <v>0</v>
      </c>
      <c r="B33" s="18" t="s">
        <v>104</v>
      </c>
      <c r="C33" s="7" t="str">
        <f t="shared" si="0"/>
        <v>31</v>
      </c>
      <c r="D33" s="8"/>
      <c r="E33" s="15"/>
      <c r="F33" s="142"/>
      <c r="G33" s="142"/>
      <c r="H33" s="142"/>
      <c r="I33" s="142"/>
    </row>
    <row r="34" spans="1:9" x14ac:dyDescent="0.25">
      <c r="A34" s="146" t="b">
        <v>0</v>
      </c>
      <c r="B34" s="18" t="s">
        <v>105</v>
      </c>
      <c r="C34" s="7" t="str">
        <f t="shared" si="0"/>
        <v>32</v>
      </c>
      <c r="D34" s="8"/>
      <c r="E34" s="15"/>
      <c r="F34" s="142"/>
      <c r="G34" s="142"/>
      <c r="H34" s="142"/>
      <c r="I34" s="142"/>
    </row>
    <row r="35" spans="1:9" x14ac:dyDescent="0.25">
      <c r="A35" s="146" t="b">
        <v>0</v>
      </c>
      <c r="B35" s="18" t="s">
        <v>106</v>
      </c>
      <c r="C35" s="7" t="str">
        <f t="shared" si="0"/>
        <v>33</v>
      </c>
      <c r="D35" s="8"/>
      <c r="E35" s="15"/>
      <c r="F35" s="142"/>
      <c r="G35" s="142"/>
      <c r="H35" s="142"/>
      <c r="I35" s="142"/>
    </row>
    <row r="36" spans="1:9" x14ac:dyDescent="0.25">
      <c r="A36" s="146" t="b">
        <v>0</v>
      </c>
      <c r="B36" s="18" t="s">
        <v>107</v>
      </c>
      <c r="C36" s="7" t="str">
        <f t="shared" si="0"/>
        <v>34</v>
      </c>
      <c r="D36" s="8"/>
      <c r="E36" s="15"/>
      <c r="F36" s="142"/>
      <c r="G36" s="142"/>
      <c r="H36" s="142"/>
      <c r="I36" s="142"/>
    </row>
    <row r="37" spans="1:9" x14ac:dyDescent="0.25">
      <c r="A37" s="146" t="b">
        <v>0</v>
      </c>
      <c r="B37" s="18" t="s">
        <v>108</v>
      </c>
      <c r="C37" s="7" t="str">
        <f t="shared" si="0"/>
        <v>35</v>
      </c>
      <c r="D37" s="8"/>
      <c r="E37" s="15"/>
      <c r="F37" s="142"/>
      <c r="G37" s="142"/>
      <c r="H37" s="142"/>
      <c r="I37" s="142"/>
    </row>
    <row r="38" spans="1:9" x14ac:dyDescent="0.25">
      <c r="A38" s="146" t="b">
        <v>0</v>
      </c>
      <c r="B38" s="18" t="s">
        <v>109</v>
      </c>
      <c r="C38" s="7" t="str">
        <f t="shared" si="0"/>
        <v>36</v>
      </c>
      <c r="D38" s="8"/>
      <c r="E38" s="15"/>
      <c r="F38" s="142"/>
      <c r="G38" s="142"/>
      <c r="H38" s="142"/>
      <c r="I38" s="142"/>
    </row>
    <row r="39" spans="1:9" x14ac:dyDescent="0.25">
      <c r="A39" s="146" t="b">
        <v>0</v>
      </c>
      <c r="B39" s="18" t="s">
        <v>110</v>
      </c>
      <c r="C39" s="7" t="str">
        <f t="shared" si="0"/>
        <v>37</v>
      </c>
      <c r="D39" s="8"/>
      <c r="E39" s="15"/>
      <c r="F39" s="142"/>
      <c r="G39" s="142"/>
      <c r="H39" s="142"/>
      <c r="I39" s="142"/>
    </row>
    <row r="40" spans="1:9" x14ac:dyDescent="0.25">
      <c r="A40" s="146" t="b">
        <v>0</v>
      </c>
      <c r="B40" s="18" t="s">
        <v>111</v>
      </c>
      <c r="C40" s="7" t="str">
        <f t="shared" si="0"/>
        <v>38</v>
      </c>
      <c r="D40" s="8"/>
      <c r="E40" s="15"/>
      <c r="F40" s="142"/>
      <c r="G40" s="142"/>
      <c r="H40" s="142"/>
      <c r="I40" s="142"/>
    </row>
    <row r="41" spans="1:9" x14ac:dyDescent="0.25">
      <c r="A41" s="146" t="b">
        <v>0</v>
      </c>
      <c r="B41" s="18" t="s">
        <v>112</v>
      </c>
      <c r="C41" s="7" t="str">
        <f t="shared" si="0"/>
        <v>39</v>
      </c>
      <c r="D41" s="8"/>
      <c r="E41" s="15"/>
      <c r="F41" s="142"/>
      <c r="G41" s="142"/>
      <c r="H41" s="142"/>
      <c r="I41" s="142"/>
    </row>
    <row r="42" spans="1:9" x14ac:dyDescent="0.25">
      <c r="A42" s="146" t="b">
        <v>0</v>
      </c>
      <c r="B42" s="18" t="s">
        <v>113</v>
      </c>
      <c r="C42" s="7" t="str">
        <f t="shared" si="0"/>
        <v>40</v>
      </c>
      <c r="D42" s="8"/>
      <c r="E42" s="15"/>
      <c r="F42" s="142"/>
      <c r="G42" s="142"/>
      <c r="H42" s="142"/>
      <c r="I42" s="142"/>
    </row>
    <row r="43" spans="1:9" x14ac:dyDescent="0.25">
      <c r="A43" s="146" t="b">
        <v>0</v>
      </c>
      <c r="B43" s="18" t="s">
        <v>114</v>
      </c>
      <c r="C43" s="7" t="str">
        <f t="shared" si="0"/>
        <v>41</v>
      </c>
      <c r="D43" s="8"/>
      <c r="E43" s="15"/>
      <c r="F43" s="142"/>
      <c r="G43" s="142"/>
      <c r="H43" s="142"/>
      <c r="I43" s="142"/>
    </row>
    <row r="44" spans="1:9" x14ac:dyDescent="0.25">
      <c r="A44" s="146" t="b">
        <v>0</v>
      </c>
      <c r="B44" s="18" t="s">
        <v>115</v>
      </c>
      <c r="C44" s="7" t="str">
        <f t="shared" si="0"/>
        <v>42</v>
      </c>
      <c r="D44" s="8"/>
      <c r="E44" s="15"/>
      <c r="F44" s="142"/>
      <c r="G44" s="142"/>
      <c r="H44" s="142"/>
      <c r="I44" s="142"/>
    </row>
    <row r="45" spans="1:9" x14ac:dyDescent="0.25">
      <c r="A45" s="146" t="b">
        <v>0</v>
      </c>
      <c r="B45" s="18" t="s">
        <v>116</v>
      </c>
      <c r="C45" s="7" t="str">
        <f t="shared" si="0"/>
        <v>43</v>
      </c>
      <c r="D45" s="8"/>
      <c r="E45" s="15"/>
      <c r="F45" s="142"/>
      <c r="G45" s="142"/>
      <c r="H45" s="142"/>
      <c r="I45" s="142"/>
    </row>
    <row r="46" spans="1:9" x14ac:dyDescent="0.25">
      <c r="A46" s="146" t="b">
        <v>0</v>
      </c>
      <c r="B46" s="18" t="s">
        <v>117</v>
      </c>
      <c r="C46" s="7" t="str">
        <f t="shared" si="0"/>
        <v>44</v>
      </c>
      <c r="D46" s="8"/>
      <c r="E46" s="15"/>
      <c r="F46" s="142"/>
      <c r="G46" s="142"/>
      <c r="H46" s="142"/>
      <c r="I46" s="142"/>
    </row>
    <row r="47" spans="1:9" x14ac:dyDescent="0.25">
      <c r="A47" s="146" t="b">
        <v>0</v>
      </c>
      <c r="B47" s="18" t="s">
        <v>118</v>
      </c>
      <c r="C47" s="7" t="str">
        <f t="shared" si="0"/>
        <v>45</v>
      </c>
      <c r="D47" s="8"/>
      <c r="E47" s="15"/>
      <c r="F47" s="142"/>
      <c r="G47" s="142"/>
      <c r="H47" s="142"/>
      <c r="I47" s="142"/>
    </row>
  </sheetData>
  <sheetProtection selectLockedCells="1"/>
  <phoneticPr fontId="2" type="noConversion"/>
  <dataValidations count="1">
    <dataValidation type="whole" allowBlank="1" showInputMessage="1" showErrorMessage="1" sqref="I48:I1048576" xr:uid="{648CAA53-4982-473E-A219-345B8AD253DB}">
      <formula1>0</formula1>
      <formula2>1000</formula2>
    </dataValidation>
  </dataValidations>
  <pageMargins left="0.7" right="0.7" top="0.78740157499999996" bottom="0.78740157499999996" header="0.3" footer="0.3"/>
  <pageSetup orientation="portrait" r:id="rId1"/>
  <legacyDrawing r:id="rId2"/>
  <tableParts count="1">
    <tablePart r:id="rId3"/>
  </tableParts>
  <extLst>
    <ext xmlns:x14="http://schemas.microsoft.com/office/spreadsheetml/2009/9/main" uri="{CCE6A557-97BC-4b89-ADB6-D9C93CAAB3DF}">
      <x14:dataValidations xmlns:xm="http://schemas.microsoft.com/office/excel/2006/main" count="4">
        <x14:dataValidation type="list" allowBlank="1" showInputMessage="1" showErrorMessage="1" xr:uid="{6C6330C8-2140-4296-9AE7-1688402013BD}">
          <x14:formula1>
            <xm:f>'7_2_Codelists'!$J$3:$J$9</xm:f>
          </x14:formula1>
          <xm:sqref>F2:F47</xm:sqref>
        </x14:dataValidation>
        <x14:dataValidation type="list" allowBlank="1" showInputMessage="1" showErrorMessage="1" promptTitle="TC_Configuration:" prompt="The TC Conifiguration is required to enter a comprehensive TC to the System" xr:uid="{93B21763-529F-49FC-8136-BFBE6C94B9ED}">
          <x14:formula1>
            <xm:f>'7_2_Codelists'!$F$53:$F$55</xm:f>
          </x14:formula1>
          <xm:sqref>G2:G47</xm:sqref>
        </x14:dataValidation>
        <x14:dataValidation type="list" allowBlank="1" showInputMessage="1" showErrorMessage="1" xr:uid="{75774535-DE14-48E8-A63F-86074C92D69E}">
          <x14:formula1>
            <xm:f>'7_2_Codelists'!$I$53:$I$55</xm:f>
          </x14:formula1>
          <xm:sqref>H2:H47</xm:sqref>
        </x14:dataValidation>
        <x14:dataValidation type="list" allowBlank="1" showInputMessage="1" showErrorMessage="1" xr:uid="{3298ED40-1549-49BC-8574-81AC06C1DA25}">
          <x14:formula1>
            <xm:f>'7_2_Codelists'!$A$57:$A$65</xm:f>
          </x14:formula1>
          <xm:sqref>I2:I47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AB932-188E-46DB-81BA-9B7C0ED5D8E7}">
  <sheetPr>
    <tabColor theme="9" tint="0.79998168889431442"/>
  </sheetPr>
  <dimension ref="A1:W50"/>
  <sheetViews>
    <sheetView zoomScale="115" zoomScaleNormal="115" workbookViewId="0">
      <pane xSplit="4" topLeftCell="E1" activePane="topRight" state="frozen"/>
      <selection pane="topRight" activeCell="I24" sqref="I24"/>
    </sheetView>
  </sheetViews>
  <sheetFormatPr defaultColWidth="10.85546875" defaultRowHeight="15" x14ac:dyDescent="0.25"/>
  <cols>
    <col min="2" max="2" width="7.140625" customWidth="1"/>
    <col min="3" max="3" width="12.7109375" style="21" customWidth="1"/>
    <col min="4" max="4" width="37.42578125" customWidth="1"/>
    <col min="5" max="5" width="15.5703125" customWidth="1"/>
    <col min="6" max="6" width="13.85546875" customWidth="1"/>
    <col min="7" max="7" width="13.140625" customWidth="1"/>
    <col min="8" max="8" width="16.140625" customWidth="1"/>
    <col min="9" max="9" width="39.85546875" style="5" customWidth="1"/>
    <col min="10" max="10" width="17" customWidth="1"/>
    <col min="11" max="11" width="19.5703125" customWidth="1"/>
    <col min="12" max="13" width="21.42578125" customWidth="1"/>
    <col min="14" max="15" width="16.42578125" customWidth="1"/>
    <col min="16" max="16" width="17.5703125" customWidth="1"/>
    <col min="17" max="17" width="16.140625" customWidth="1"/>
    <col min="18" max="18" width="16.42578125" customWidth="1"/>
    <col min="19" max="19" width="16.140625" customWidth="1"/>
    <col min="20" max="20" width="20" customWidth="1"/>
    <col min="21" max="21" width="17" customWidth="1"/>
    <col min="22" max="22" width="23.28515625" customWidth="1"/>
    <col min="23" max="23" width="16.7109375" customWidth="1"/>
  </cols>
  <sheetData>
    <row r="1" spans="1:23" x14ac:dyDescent="0.25">
      <c r="A1" s="145" t="s">
        <v>41</v>
      </c>
      <c r="B1" s="145" t="s">
        <v>19</v>
      </c>
      <c r="C1" s="145" t="s">
        <v>38</v>
      </c>
      <c r="D1" s="145" t="s">
        <v>541</v>
      </c>
      <c r="E1" s="145" t="s">
        <v>503</v>
      </c>
      <c r="F1" s="145" t="s">
        <v>579</v>
      </c>
      <c r="G1" s="145" t="s">
        <v>580</v>
      </c>
      <c r="H1" s="145" t="s">
        <v>660</v>
      </c>
      <c r="I1" s="145" t="s">
        <v>199</v>
      </c>
      <c r="J1" s="145" t="s">
        <v>26</v>
      </c>
      <c r="K1" s="145" t="s">
        <v>516</v>
      </c>
      <c r="L1" s="145" t="s">
        <v>511</v>
      </c>
      <c r="M1" s="145" t="s">
        <v>517</v>
      </c>
      <c r="N1" s="145" t="s">
        <v>506</v>
      </c>
      <c r="O1" s="145" t="s">
        <v>518</v>
      </c>
      <c r="P1" t="s">
        <v>507</v>
      </c>
      <c r="Q1" t="s">
        <v>519</v>
      </c>
      <c r="R1" t="s">
        <v>508</v>
      </c>
      <c r="S1" s="145" t="s">
        <v>661</v>
      </c>
      <c r="T1" s="145" t="s">
        <v>586</v>
      </c>
      <c r="U1" s="145" t="s">
        <v>662</v>
      </c>
      <c r="V1" s="145" t="s">
        <v>663</v>
      </c>
      <c r="W1" s="145" t="s">
        <v>664</v>
      </c>
    </row>
    <row r="2" spans="1:23" x14ac:dyDescent="0.25">
      <c r="A2" s="146" t="b">
        <v>0</v>
      </c>
      <c r="B2" s="7">
        <f t="shared" ref="B2" si="0">ROW()-1</f>
        <v>1</v>
      </c>
      <c r="C2" s="22" t="str">
        <f>_xlfn.XLOOKUP($D2,Tab_Def_Processes[Process_Name],Tab_Def_Processes[ID],,0,)</f>
        <v>07</v>
      </c>
      <c r="D2" s="142" t="s">
        <v>592</v>
      </c>
      <c r="E2" s="7" t="str">
        <f>_xlfn.XLOOKUP($D2,Tab_Def_Processes[Process_Name],Tab_Def_Processes[Process_Logic],,0,)</f>
        <v>Splitter</v>
      </c>
      <c r="F2" s="7" t="str">
        <f>_xlfn.XLOOKUP($D2,Tab_Def_Processes[Process_Name],Tab_Def_Processes[TC_Configuration],,0,)</f>
        <v>Static</v>
      </c>
      <c r="G2" s="7" t="str">
        <f>_xlfn.XLOOKUP($D2,Tab_Def_Processes[Process_Name],Tab_Def_Processes[Stock_Configuration],,0,)</f>
        <v>No_Stock</v>
      </c>
      <c r="H2" s="7">
        <f>_xlfn.XLOOKUP($D2,Tab_Def_Processes[Process_Name],Tab_Def_Processes[Outflow_count],,0,)</f>
        <v>2</v>
      </c>
      <c r="I2" s="142" t="s">
        <v>620</v>
      </c>
      <c r="J2" s="136" t="str">
        <f>_xlfn.XLOOKUP($I2,Tab_Def_Flows[Flow_Name],Tab_Def_Flows[Flow_ID],,0,)</f>
        <v>F_07_09</v>
      </c>
      <c r="K2" s="17" t="str">
        <f t="shared" ref="K2" si="1">"TC_material"&amp;"_"&amp;RIGHT(J2,5)</f>
        <v>TC_material_07_09</v>
      </c>
      <c r="L2" s="144">
        <v>0.78</v>
      </c>
      <c r="M2" s="17" t="str">
        <f t="shared" ref="M2:M50" si="2">"TC_WC"&amp;"_"&amp;RIGHT(J2,5)</f>
        <v>TC_WC_07_09</v>
      </c>
      <c r="N2" s="144"/>
      <c r="O2" s="17" t="str">
        <f t="shared" ref="O2:O50" si="3">"TC_DM"&amp;"_"&amp;RIGHT(J2,5)</f>
        <v>TC_DM_07_09</v>
      </c>
      <c r="P2" s="144"/>
      <c r="Q2" s="7" t="str">
        <f t="shared" ref="Q2:Q50" si="4">"TC_CC"&amp;"_"&amp;RIGHT(J2,5)</f>
        <v>TC_CC_07_09</v>
      </c>
      <c r="R2" s="144"/>
      <c r="S2" s="15"/>
      <c r="T2" s="15"/>
      <c r="U2" s="15"/>
      <c r="V2" s="15"/>
      <c r="W2" s="15"/>
    </row>
    <row r="3" spans="1:23" x14ac:dyDescent="0.25">
      <c r="A3" s="146" t="b">
        <v>0</v>
      </c>
      <c r="B3" s="7">
        <f t="shared" ref="B3:B50" si="5">ROW()-1</f>
        <v>2</v>
      </c>
      <c r="C3" s="22" t="str">
        <f>_xlfn.XLOOKUP($D3,Tab_Def_Processes[Process_Name],Tab_Def_Processes[ID],,0,)</f>
        <v>07</v>
      </c>
      <c r="D3" s="142" t="s">
        <v>592</v>
      </c>
      <c r="E3" s="7" t="str">
        <f>_xlfn.XLOOKUP($D3,Tab_Def_Processes[Process_Name],Tab_Def_Processes[Process_Logic],,0,)</f>
        <v>Splitter</v>
      </c>
      <c r="F3" s="7" t="str">
        <f>_xlfn.XLOOKUP($D3,Tab_Def_Processes[Process_Name],Tab_Def_Processes[TC_Configuration],,0,)</f>
        <v>Static</v>
      </c>
      <c r="G3" s="7" t="str">
        <f>_xlfn.XLOOKUP($D3,Tab_Def_Processes[Process_Name],Tab_Def_Processes[Stock_Configuration],,0,)</f>
        <v>No_Stock</v>
      </c>
      <c r="H3" s="7">
        <f>_xlfn.XLOOKUP($D3,Tab_Def_Processes[Process_Name],Tab_Def_Processes[Outflow_count],,0,)</f>
        <v>2</v>
      </c>
      <c r="I3" s="142" t="s">
        <v>608</v>
      </c>
      <c r="J3" s="136" t="str">
        <f>_xlfn.XLOOKUP($I3,Tab_Def_Flows[Flow_Name],Tab_Def_Flows[Flow_ID],,0,)</f>
        <v>F_07_04</v>
      </c>
      <c r="K3" s="17" t="str">
        <f t="shared" ref="K3:K50" si="6">"TC_material"&amp;"_"&amp;RIGHT(J3,5)</f>
        <v>TC_material_07_04</v>
      </c>
      <c r="L3" s="144">
        <v>0.22</v>
      </c>
      <c r="M3" s="17" t="str">
        <f t="shared" si="2"/>
        <v>TC_WC_07_04</v>
      </c>
      <c r="N3" s="144"/>
      <c r="O3" s="17" t="str">
        <f t="shared" si="3"/>
        <v>TC_DM_07_04</v>
      </c>
      <c r="P3" s="144"/>
      <c r="Q3" s="7" t="str">
        <f t="shared" si="4"/>
        <v>TC_CC_07_04</v>
      </c>
      <c r="R3" s="144"/>
      <c r="S3" s="15"/>
      <c r="T3" s="15"/>
      <c r="U3" s="15"/>
      <c r="V3" s="15"/>
      <c r="W3" s="15"/>
    </row>
    <row r="4" spans="1:23" x14ac:dyDescent="0.25">
      <c r="A4" s="146" t="b">
        <v>0</v>
      </c>
      <c r="B4" s="7">
        <f t="shared" si="5"/>
        <v>3</v>
      </c>
      <c r="C4" s="22" t="str">
        <f>_xlfn.XLOOKUP($D4,Tab_Def_Processes[Process_Name],Tab_Def_Processes[ID],,0,)</f>
        <v>04</v>
      </c>
      <c r="D4" s="142" t="s">
        <v>598</v>
      </c>
      <c r="E4" s="7" t="str">
        <f>_xlfn.XLOOKUP($D4,Tab_Def_Processes[Process_Name],Tab_Def_Processes[Process_Logic],,0,)</f>
        <v>Transformer</v>
      </c>
      <c r="F4" s="7" t="str">
        <f>_xlfn.XLOOKUP($D4,Tab_Def_Processes[Process_Name],Tab_Def_Processes[TC_Configuration],,0,)</f>
        <v>Static</v>
      </c>
      <c r="G4" s="7" t="str">
        <f>_xlfn.XLOOKUP($D4,Tab_Def_Processes[Process_Name],Tab_Def_Processes[Stock_Configuration],,0,)</f>
        <v>No_Stock</v>
      </c>
      <c r="H4" s="7">
        <f>_xlfn.XLOOKUP($D4,Tab_Def_Processes[Process_Name],Tab_Def_Processes[Outflow_count],,0,)</f>
        <v>2</v>
      </c>
      <c r="I4" s="142" t="s">
        <v>618</v>
      </c>
      <c r="J4" s="136" t="str">
        <f>_xlfn.XLOOKUP($I4,Tab_Def_Flows[Flow_Name],Tab_Def_Flows[Flow_ID],,0,)</f>
        <v>F_04_00</v>
      </c>
      <c r="K4" s="17" t="str">
        <f t="shared" si="6"/>
        <v>TC_material_04_00</v>
      </c>
      <c r="L4" s="144"/>
      <c r="M4" s="17" t="str">
        <f t="shared" si="2"/>
        <v>TC_WC_04_00</v>
      </c>
      <c r="N4" s="144">
        <v>0</v>
      </c>
      <c r="O4" s="17" t="str">
        <f t="shared" si="3"/>
        <v>TC_DM_04_00</v>
      </c>
      <c r="P4" s="144">
        <v>0.5</v>
      </c>
      <c r="Q4" s="7" t="str">
        <f t="shared" si="4"/>
        <v>TC_CC_04_00</v>
      </c>
      <c r="R4" s="144">
        <v>1</v>
      </c>
      <c r="S4" s="15"/>
      <c r="T4" s="15"/>
      <c r="U4" s="15"/>
      <c r="V4" s="15"/>
      <c r="W4" s="15"/>
    </row>
    <row r="5" spans="1:23" x14ac:dyDescent="0.25">
      <c r="A5" s="146" t="b">
        <v>0</v>
      </c>
      <c r="B5" s="7">
        <f>ROW()-1</f>
        <v>4</v>
      </c>
      <c r="C5" s="22" t="str">
        <f>_xlfn.XLOOKUP($D5,Tab_Def_Processes[Process_Name],Tab_Def_Processes[ID],,0,)</f>
        <v>04</v>
      </c>
      <c r="D5" s="142" t="s">
        <v>598</v>
      </c>
      <c r="E5" s="7" t="str">
        <f>_xlfn.XLOOKUP($D5,Tab_Def_Processes[Process_Name],Tab_Def_Processes[Process_Logic],,0,)</f>
        <v>Transformer</v>
      </c>
      <c r="F5" s="7" t="str">
        <f>_xlfn.XLOOKUP($D5,Tab_Def_Processes[Process_Name],Tab_Def_Processes[TC_Configuration],,0,)</f>
        <v>Static</v>
      </c>
      <c r="G5" s="7" t="str">
        <f>_xlfn.XLOOKUP($D5,Tab_Def_Processes[Process_Name],Tab_Def_Processes[Stock_Configuration],,0,)</f>
        <v>No_Stock</v>
      </c>
      <c r="H5" s="7">
        <f>_xlfn.XLOOKUP($D5,Tab_Def_Processes[Process_Name],Tab_Def_Processes[Outflow_count],,0,)</f>
        <v>2</v>
      </c>
      <c r="I5" s="142" t="s">
        <v>619</v>
      </c>
      <c r="J5" s="136" t="str">
        <f>_xlfn.XLOOKUP($I5,Tab_Def_Flows[Flow_Name],Tab_Def_Flows[Flow_ID],,0,)</f>
        <v>F_04_01</v>
      </c>
      <c r="K5" s="17" t="str">
        <f>"TC_material"&amp;"_"&amp;RIGHT(J5,5)</f>
        <v>TC_material_04_01</v>
      </c>
      <c r="L5" s="144"/>
      <c r="M5" s="17" t="str">
        <f t="shared" si="2"/>
        <v>TC_WC_04_01</v>
      </c>
      <c r="N5" s="144">
        <v>1</v>
      </c>
      <c r="O5" s="17" t="str">
        <f t="shared" si="3"/>
        <v>TC_DM_04_01</v>
      </c>
      <c r="P5" s="144">
        <v>0.5</v>
      </c>
      <c r="Q5" s="7" t="str">
        <f t="shared" si="4"/>
        <v>TC_CC_04_01</v>
      </c>
      <c r="R5" s="144">
        <v>0</v>
      </c>
      <c r="S5" s="15"/>
      <c r="T5" s="15"/>
      <c r="U5" s="15"/>
      <c r="V5" s="15"/>
      <c r="W5" s="15"/>
    </row>
    <row r="6" spans="1:23" x14ac:dyDescent="0.25">
      <c r="A6" s="146" t="b">
        <v>0</v>
      </c>
      <c r="B6" s="7">
        <f t="shared" si="5"/>
        <v>5</v>
      </c>
      <c r="C6" s="22" t="str">
        <f>_xlfn.XLOOKUP($D6,Tab_Def_Processes[Process_Name],Tab_Def_Processes[ID],,0,)</f>
        <v>08</v>
      </c>
      <c r="D6" s="142" t="s">
        <v>593</v>
      </c>
      <c r="E6" s="7" t="str">
        <f>_xlfn.XLOOKUP($D6,Tab_Def_Processes[Process_Name],Tab_Def_Processes[Process_Logic],,0,)</f>
        <v>Transformer</v>
      </c>
      <c r="F6" s="7" t="str">
        <f>_xlfn.XLOOKUP($D6,Tab_Def_Processes[Process_Name],Tab_Def_Processes[TC_Configuration],,0,)</f>
        <v>Static</v>
      </c>
      <c r="G6" s="7" t="str">
        <f>_xlfn.XLOOKUP($D6,Tab_Def_Processes[Process_Name],Tab_Def_Processes[Stock_Configuration],,0,)</f>
        <v>No_Stock</v>
      </c>
      <c r="H6" s="7">
        <f>_xlfn.XLOOKUP($D6,Tab_Def_Processes[Process_Name],Tab_Def_Processes[Outflow_count],,0,)</f>
        <v>2</v>
      </c>
      <c r="I6" s="142" t="s">
        <v>609</v>
      </c>
      <c r="J6" s="136" t="str">
        <f>_xlfn.XLOOKUP($I6,Tab_Def_Flows[Flow_Name],Tab_Def_Flows[Flow_ID],,0,)</f>
        <v>F_08_00</v>
      </c>
      <c r="K6" s="17" t="str">
        <f t="shared" si="6"/>
        <v>TC_material_08_00</v>
      </c>
      <c r="L6" s="144"/>
      <c r="M6" s="17" t="str">
        <f t="shared" si="2"/>
        <v>TC_WC_08_00</v>
      </c>
      <c r="N6" s="144">
        <v>0</v>
      </c>
      <c r="O6" s="17" t="str">
        <f t="shared" si="3"/>
        <v>TC_DM_08_00</v>
      </c>
      <c r="P6" s="144">
        <v>0.5</v>
      </c>
      <c r="Q6" s="7" t="str">
        <f t="shared" si="4"/>
        <v>TC_CC_08_00</v>
      </c>
      <c r="R6" s="144">
        <v>1</v>
      </c>
      <c r="S6" s="15"/>
      <c r="T6" s="15"/>
      <c r="U6" s="15"/>
      <c r="V6" s="15"/>
      <c r="W6" s="15"/>
    </row>
    <row r="7" spans="1:23" x14ac:dyDescent="0.25">
      <c r="A7" s="146" t="b">
        <v>0</v>
      </c>
      <c r="B7" s="7">
        <f t="shared" si="5"/>
        <v>6</v>
      </c>
      <c r="C7" s="22" t="str">
        <f>_xlfn.XLOOKUP($D7,Tab_Def_Processes[Process_Name],Tab_Def_Processes[ID],,0,)</f>
        <v>08</v>
      </c>
      <c r="D7" s="142" t="s">
        <v>593</v>
      </c>
      <c r="E7" s="7" t="str">
        <f>_xlfn.XLOOKUP($D7,Tab_Def_Processes[Process_Name],Tab_Def_Processes[Process_Logic],,0,)</f>
        <v>Transformer</v>
      </c>
      <c r="F7" s="7" t="str">
        <f>_xlfn.XLOOKUP($D7,Tab_Def_Processes[Process_Name],Tab_Def_Processes[TC_Configuration],,0,)</f>
        <v>Static</v>
      </c>
      <c r="G7" s="7" t="str">
        <f>_xlfn.XLOOKUP($D7,Tab_Def_Processes[Process_Name],Tab_Def_Processes[Stock_Configuration],,0,)</f>
        <v>No_Stock</v>
      </c>
      <c r="H7" s="7">
        <f>_xlfn.XLOOKUP($D7,Tab_Def_Processes[Process_Name],Tab_Def_Processes[Outflow_count],,0,)</f>
        <v>2</v>
      </c>
      <c r="I7" s="142" t="s">
        <v>610</v>
      </c>
      <c r="J7" s="136" t="str">
        <f>_xlfn.XLOOKUP($I7,Tab_Def_Flows[Flow_Name],Tab_Def_Flows[Flow_ID],,0,)</f>
        <v>F_08_01</v>
      </c>
      <c r="K7" s="17" t="str">
        <f t="shared" si="6"/>
        <v>TC_material_08_01</v>
      </c>
      <c r="L7" s="144"/>
      <c r="M7" s="17" t="str">
        <f t="shared" si="2"/>
        <v>TC_WC_08_01</v>
      </c>
      <c r="N7" s="144">
        <v>1</v>
      </c>
      <c r="O7" s="17" t="str">
        <f t="shared" si="3"/>
        <v>TC_DM_08_01</v>
      </c>
      <c r="P7" s="144">
        <v>0.5</v>
      </c>
      <c r="Q7" s="7" t="str">
        <f t="shared" si="4"/>
        <v>TC_CC_08_01</v>
      </c>
      <c r="R7" s="144">
        <v>0</v>
      </c>
      <c r="S7" s="15"/>
      <c r="T7" s="15"/>
      <c r="U7" s="15"/>
      <c r="V7" s="15"/>
      <c r="W7" s="15"/>
    </row>
    <row r="8" spans="1:23" x14ac:dyDescent="0.25">
      <c r="A8" s="146" t="b">
        <v>0</v>
      </c>
      <c r="B8" s="7">
        <f t="shared" si="5"/>
        <v>7</v>
      </c>
      <c r="C8" s="22" t="str">
        <f>_xlfn.XLOOKUP($D8,Tab_Def_Processes[Process_Name],Tab_Def_Processes[ID],,0,)</f>
        <v>10</v>
      </c>
      <c r="D8" s="142" t="s">
        <v>595</v>
      </c>
      <c r="E8" s="7" t="str">
        <f>_xlfn.XLOOKUP($D8,Tab_Def_Processes[Process_Name],Tab_Def_Processes[Process_Logic],,0,)</f>
        <v>Transformer</v>
      </c>
      <c r="F8" s="7" t="str">
        <f>_xlfn.XLOOKUP($D8,Tab_Def_Processes[Process_Name],Tab_Def_Processes[TC_Configuration],,0,)</f>
        <v>Static</v>
      </c>
      <c r="G8" s="7" t="str">
        <f>_xlfn.XLOOKUP($D8,Tab_Def_Processes[Process_Name],Tab_Def_Processes[Stock_Configuration],,0,)</f>
        <v>No_Stock</v>
      </c>
      <c r="H8" s="7">
        <f>_xlfn.XLOOKUP($D8,Tab_Def_Processes[Process_Name],Tab_Def_Processes[Outflow_count],,0,)</f>
        <v>2</v>
      </c>
      <c r="I8" s="142" t="s">
        <v>611</v>
      </c>
      <c r="J8" s="136" t="str">
        <f>_xlfn.XLOOKUP($I8,Tab_Def_Flows[Flow_Name],Tab_Def_Flows[Flow_ID],,0,)</f>
        <v>F_10_00</v>
      </c>
      <c r="K8" s="17" t="str">
        <f t="shared" si="6"/>
        <v>TC_material_10_00</v>
      </c>
      <c r="L8" s="144"/>
      <c r="M8" s="17" t="str">
        <f t="shared" si="2"/>
        <v>TC_WC_10_00</v>
      </c>
      <c r="N8" s="144">
        <v>0</v>
      </c>
      <c r="O8" s="17" t="str">
        <f t="shared" si="3"/>
        <v>TC_DM_10_00</v>
      </c>
      <c r="P8" s="144">
        <v>0.5</v>
      </c>
      <c r="Q8" s="7" t="str">
        <f t="shared" si="4"/>
        <v>TC_CC_10_00</v>
      </c>
      <c r="R8" s="144">
        <v>1</v>
      </c>
      <c r="S8" s="15"/>
      <c r="T8" s="15"/>
      <c r="U8" s="15"/>
      <c r="V8" s="15"/>
      <c r="W8" s="15"/>
    </row>
    <row r="9" spans="1:23" x14ac:dyDescent="0.25">
      <c r="A9" s="146" t="b">
        <v>0</v>
      </c>
      <c r="B9" s="7">
        <f t="shared" si="5"/>
        <v>8</v>
      </c>
      <c r="C9" s="22" t="str">
        <f>_xlfn.XLOOKUP($D9,Tab_Def_Processes[Process_Name],Tab_Def_Processes[ID],,0,)</f>
        <v>10</v>
      </c>
      <c r="D9" s="142" t="s">
        <v>595</v>
      </c>
      <c r="E9" s="7" t="str">
        <f>_xlfn.XLOOKUP($D9,Tab_Def_Processes[Process_Name],Tab_Def_Processes[Process_Logic],,0,)</f>
        <v>Transformer</v>
      </c>
      <c r="F9" s="7" t="str">
        <f>_xlfn.XLOOKUP($D9,Tab_Def_Processes[Process_Name],Tab_Def_Processes[TC_Configuration],,0,)</f>
        <v>Static</v>
      </c>
      <c r="G9" s="7" t="str">
        <f>_xlfn.XLOOKUP($D9,Tab_Def_Processes[Process_Name],Tab_Def_Processes[Stock_Configuration],,0,)</f>
        <v>No_Stock</v>
      </c>
      <c r="H9" s="7">
        <f>_xlfn.XLOOKUP($D9,Tab_Def_Processes[Process_Name],Tab_Def_Processes[Outflow_count],,0,)</f>
        <v>2</v>
      </c>
      <c r="I9" s="142" t="s">
        <v>612</v>
      </c>
      <c r="J9" s="136" t="str">
        <f>_xlfn.XLOOKUP($I9,Tab_Def_Flows[Flow_Name],Tab_Def_Flows[Flow_ID],,0,)</f>
        <v>F_10_01</v>
      </c>
      <c r="K9" s="17" t="str">
        <f t="shared" si="6"/>
        <v>TC_material_10_01</v>
      </c>
      <c r="L9" s="144"/>
      <c r="M9" s="17" t="str">
        <f t="shared" si="2"/>
        <v>TC_WC_10_01</v>
      </c>
      <c r="N9" s="144">
        <v>1</v>
      </c>
      <c r="O9" s="17" t="str">
        <f t="shared" si="3"/>
        <v>TC_DM_10_01</v>
      </c>
      <c r="P9" s="144">
        <v>0.5</v>
      </c>
      <c r="Q9" s="7" t="str">
        <f t="shared" si="4"/>
        <v>TC_CC_10_01</v>
      </c>
      <c r="R9" s="144">
        <v>0</v>
      </c>
      <c r="S9" s="15"/>
      <c r="T9" s="15"/>
      <c r="U9" s="15"/>
      <c r="V9" s="15"/>
      <c r="W9" s="15"/>
    </row>
    <row r="10" spans="1:23" x14ac:dyDescent="0.25">
      <c r="A10" s="146" t="b">
        <v>0</v>
      </c>
      <c r="B10" s="7">
        <f t="shared" si="5"/>
        <v>9</v>
      </c>
      <c r="C10" s="22" t="str">
        <f>_xlfn.XLOOKUP($D10,Tab_Def_Processes[Process_Name],Tab_Def_Processes[ID],,0,)</f>
        <v>11</v>
      </c>
      <c r="D10" s="142" t="s">
        <v>596</v>
      </c>
      <c r="E10" s="7" t="str">
        <f>_xlfn.XLOOKUP($D10,Tab_Def_Processes[Process_Name],Tab_Def_Processes[Process_Logic],,0,)</f>
        <v>Transformer</v>
      </c>
      <c r="F10" s="7" t="str">
        <f>_xlfn.XLOOKUP($D10,Tab_Def_Processes[Process_Name],Tab_Def_Processes[TC_Configuration],,0,)</f>
        <v>Static</v>
      </c>
      <c r="G10" s="7" t="str">
        <f>_xlfn.XLOOKUP($D10,Tab_Def_Processes[Process_Name],Tab_Def_Processes[Stock_Configuration],,0,)</f>
        <v>No_Stock</v>
      </c>
      <c r="H10" s="7">
        <f>_xlfn.XLOOKUP($D10,Tab_Def_Processes[Process_Name],Tab_Def_Processes[Outflow_count],,0,)</f>
        <v>2</v>
      </c>
      <c r="I10" s="142" t="s">
        <v>615</v>
      </c>
      <c r="J10" s="136" t="str">
        <f>_xlfn.XLOOKUP($I10,Tab_Def_Flows[Flow_Name],Tab_Def_Flows[Flow_ID],,0,)</f>
        <v>F_11_01</v>
      </c>
      <c r="K10" s="17" t="str">
        <f t="shared" si="6"/>
        <v>TC_material_11_01</v>
      </c>
      <c r="L10" s="144"/>
      <c r="M10" s="17" t="str">
        <f t="shared" si="2"/>
        <v>TC_WC_11_01</v>
      </c>
      <c r="N10" s="144">
        <v>0.92</v>
      </c>
      <c r="O10" s="17" t="str">
        <f t="shared" si="3"/>
        <v>TC_DM_11_01</v>
      </c>
      <c r="P10" s="144">
        <v>0</v>
      </c>
      <c r="Q10" s="7" t="str">
        <f t="shared" si="4"/>
        <v>TC_CC_11_01</v>
      </c>
      <c r="R10" s="144">
        <v>0</v>
      </c>
      <c r="S10" s="15"/>
      <c r="T10" s="15"/>
      <c r="U10" s="15"/>
      <c r="V10" s="15"/>
      <c r="W10" s="15"/>
    </row>
    <row r="11" spans="1:23" x14ac:dyDescent="0.25">
      <c r="A11" s="146" t="b">
        <v>0</v>
      </c>
      <c r="B11" s="7">
        <f t="shared" si="5"/>
        <v>10</v>
      </c>
      <c r="C11" s="22" t="str">
        <f>_xlfn.XLOOKUP($D11,Tab_Def_Processes[Process_Name],Tab_Def_Processes[ID],,0,)</f>
        <v>11</v>
      </c>
      <c r="D11" s="142" t="s">
        <v>596</v>
      </c>
      <c r="E11" s="7" t="str">
        <f>_xlfn.XLOOKUP($D11,Tab_Def_Processes[Process_Name],Tab_Def_Processes[Process_Logic],,0,)</f>
        <v>Transformer</v>
      </c>
      <c r="F11" s="7" t="str">
        <f>_xlfn.XLOOKUP($D11,Tab_Def_Processes[Process_Name],Tab_Def_Processes[TC_Configuration],,0,)</f>
        <v>Static</v>
      </c>
      <c r="G11" s="7" t="str">
        <f>_xlfn.XLOOKUP($D11,Tab_Def_Processes[Process_Name],Tab_Def_Processes[Stock_Configuration],,0,)</f>
        <v>No_Stock</v>
      </c>
      <c r="H11" s="7">
        <f>_xlfn.XLOOKUP($D11,Tab_Def_Processes[Process_Name],Tab_Def_Processes[Outflow_count],,0,)</f>
        <v>2</v>
      </c>
      <c r="I11" s="142" t="s">
        <v>614</v>
      </c>
      <c r="J11" s="136" t="str">
        <f>_xlfn.XLOOKUP($I11,Tab_Def_Flows[Flow_Name],Tab_Def_Flows[Flow_ID],,0,)</f>
        <v>F_11_07</v>
      </c>
      <c r="K11" s="17" t="str">
        <f t="shared" si="6"/>
        <v>TC_material_11_07</v>
      </c>
      <c r="L11" s="144"/>
      <c r="M11" s="17" t="str">
        <f t="shared" si="2"/>
        <v>TC_WC_11_07</v>
      </c>
      <c r="N11" s="144">
        <v>0.08</v>
      </c>
      <c r="O11" s="17" t="str">
        <f t="shared" si="3"/>
        <v>TC_DM_11_07</v>
      </c>
      <c r="P11" s="144">
        <v>1</v>
      </c>
      <c r="Q11" s="7" t="str">
        <f t="shared" si="4"/>
        <v>TC_CC_11_07</v>
      </c>
      <c r="R11" s="144">
        <v>1</v>
      </c>
      <c r="S11" s="15"/>
      <c r="T11" s="15"/>
      <c r="U11" s="15"/>
      <c r="V11" s="15"/>
      <c r="W11" s="15"/>
    </row>
    <row r="12" spans="1:23" x14ac:dyDescent="0.25">
      <c r="A12" s="146" t="b">
        <v>0</v>
      </c>
      <c r="B12" s="7">
        <f t="shared" si="5"/>
        <v>11</v>
      </c>
      <c r="C12" s="22" t="str">
        <f>_xlfn.XLOOKUP($D12,Tab_Def_Processes[Process_Name],Tab_Def_Processes[ID],,0,)</f>
        <v>12</v>
      </c>
      <c r="D12" s="142" t="s">
        <v>597</v>
      </c>
      <c r="E12" s="7" t="str">
        <f>_xlfn.XLOOKUP($D12,Tab_Def_Processes[Process_Name],Tab_Def_Processes[Process_Logic],,0,)</f>
        <v>Transformer</v>
      </c>
      <c r="F12" s="7" t="str">
        <f>_xlfn.XLOOKUP($D12,Tab_Def_Processes[Process_Name],Tab_Def_Processes[TC_Configuration],,0,)</f>
        <v>Static</v>
      </c>
      <c r="G12" s="7" t="str">
        <f>_xlfn.XLOOKUP($D12,Tab_Def_Processes[Process_Name],Tab_Def_Processes[Stock_Configuration],,0,)</f>
        <v>No_Stock</v>
      </c>
      <c r="H12" s="7">
        <f>_xlfn.XLOOKUP($D12,Tab_Def_Processes[Process_Name],Tab_Def_Processes[Outflow_count],,0,)</f>
        <v>2</v>
      </c>
      <c r="I12" s="142" t="s">
        <v>617</v>
      </c>
      <c r="J12" s="136" t="str">
        <f>_xlfn.XLOOKUP($I12,Tab_Def_Flows[Flow_Name],Tab_Def_Flows[Flow_ID],,0,)</f>
        <v>F_12_01</v>
      </c>
      <c r="K12" s="17" t="str">
        <f t="shared" si="6"/>
        <v>TC_material_12_01</v>
      </c>
      <c r="L12" s="144"/>
      <c r="M12" s="17" t="str">
        <f t="shared" si="2"/>
        <v>TC_WC_12_01</v>
      </c>
      <c r="N12" s="144">
        <v>0.88</v>
      </c>
      <c r="O12" s="17" t="str">
        <f t="shared" si="3"/>
        <v>TC_DM_12_01</v>
      </c>
      <c r="P12" s="144">
        <v>0</v>
      </c>
      <c r="Q12" s="7" t="str">
        <f t="shared" si="4"/>
        <v>TC_CC_12_01</v>
      </c>
      <c r="R12" s="144">
        <v>0</v>
      </c>
      <c r="S12" s="15"/>
      <c r="T12" s="15"/>
      <c r="U12" s="15"/>
      <c r="V12" s="15"/>
      <c r="W12" s="15"/>
    </row>
    <row r="13" spans="1:23" x14ac:dyDescent="0.25">
      <c r="A13" s="146" t="b">
        <v>0</v>
      </c>
      <c r="B13" s="7">
        <f>ROW()-1</f>
        <v>12</v>
      </c>
      <c r="C13" s="22" t="str">
        <f>_xlfn.XLOOKUP($D13,Tab_Def_Processes[Process_Name],Tab_Def_Processes[ID],,0,)</f>
        <v>12</v>
      </c>
      <c r="D13" s="142" t="s">
        <v>597</v>
      </c>
      <c r="E13" s="7" t="str">
        <f>_xlfn.XLOOKUP($D13,Tab_Def_Processes[Process_Name],Tab_Def_Processes[Process_Logic],,0,)</f>
        <v>Transformer</v>
      </c>
      <c r="F13" s="7" t="str">
        <f>_xlfn.XLOOKUP($D13,Tab_Def_Processes[Process_Name],Tab_Def_Processes[TC_Configuration],,0,)</f>
        <v>Static</v>
      </c>
      <c r="G13" s="7" t="str">
        <f>_xlfn.XLOOKUP($D13,Tab_Def_Processes[Process_Name],Tab_Def_Processes[Stock_Configuration],,0,)</f>
        <v>No_Stock</v>
      </c>
      <c r="H13" s="7">
        <f>_xlfn.XLOOKUP($D13,Tab_Def_Processes[Process_Name],Tab_Def_Processes[Outflow_count],,0,)</f>
        <v>2</v>
      </c>
      <c r="I13" s="142" t="s">
        <v>616</v>
      </c>
      <c r="J13" s="136" t="str">
        <f>_xlfn.XLOOKUP($I13,Tab_Def_Flows[Flow_Name],Tab_Def_Flows[Flow_ID],,0,)</f>
        <v>F_12_03</v>
      </c>
      <c r="K13" s="17" t="str">
        <f>"TC_material"&amp;"_"&amp;RIGHT(J13,5)</f>
        <v>TC_material_12_03</v>
      </c>
      <c r="L13" s="144"/>
      <c r="M13" s="17" t="str">
        <f t="shared" si="2"/>
        <v>TC_WC_12_03</v>
      </c>
      <c r="N13" s="144">
        <v>0.12</v>
      </c>
      <c r="O13" s="17" t="str">
        <f t="shared" si="3"/>
        <v>TC_DM_12_03</v>
      </c>
      <c r="P13" s="144">
        <v>1</v>
      </c>
      <c r="Q13" s="7" t="str">
        <f t="shared" si="4"/>
        <v>TC_CC_12_03</v>
      </c>
      <c r="R13" s="144">
        <v>1</v>
      </c>
      <c r="S13" s="15"/>
      <c r="T13" s="15"/>
      <c r="U13" s="15"/>
      <c r="V13" s="15"/>
      <c r="W13" s="15"/>
    </row>
    <row r="14" spans="1:23" x14ac:dyDescent="0.25">
      <c r="A14" s="146" t="b">
        <v>0</v>
      </c>
      <c r="B14" s="7">
        <f t="shared" si="5"/>
        <v>13</v>
      </c>
      <c r="C14" s="22" t="str">
        <f>_xlfn.XLOOKUP($D14,Tab_Def_Processes[Process_Name],Tab_Def_Processes[ID],,0,)</f>
        <v>13</v>
      </c>
      <c r="D14" s="142"/>
      <c r="E14" s="7">
        <f>_xlfn.XLOOKUP($D14,Tab_Def_Processes[Process_Name],Tab_Def_Processes[Process_Logic],,0,)</f>
        <v>0</v>
      </c>
      <c r="F14" s="7">
        <f>_xlfn.XLOOKUP($D14,Tab_Def_Processes[Process_Name],Tab_Def_Processes[TC_Configuration],,0,)</f>
        <v>0</v>
      </c>
      <c r="G14" s="7">
        <f>_xlfn.XLOOKUP($D14,Tab_Def_Processes[Process_Name],Tab_Def_Processes[Stock_Configuration],,0,)</f>
        <v>0</v>
      </c>
      <c r="H14" s="7">
        <f>_xlfn.XLOOKUP($D14,Tab_Def_Processes[Process_Name],Tab_Def_Processes[Outflow_count],,0,)</f>
        <v>0</v>
      </c>
      <c r="I14" s="142"/>
      <c r="J14" s="136" t="str">
        <f>_xlfn.XLOOKUP($I14,Tab_Def_Flows[Flow_Name],Tab_Def_Flows[Flow_ID],,0,)</f>
        <v>F_13_13</v>
      </c>
      <c r="K14" s="17" t="str">
        <f t="shared" si="6"/>
        <v>TC_material_13_13</v>
      </c>
      <c r="L14" s="144"/>
      <c r="M14" s="17" t="str">
        <f t="shared" si="2"/>
        <v>TC_WC_13_13</v>
      </c>
      <c r="N14" s="144"/>
      <c r="O14" s="17" t="str">
        <f t="shared" si="3"/>
        <v>TC_DM_13_13</v>
      </c>
      <c r="P14" s="144"/>
      <c r="Q14" s="7" t="str">
        <f t="shared" si="4"/>
        <v>TC_CC_13_13</v>
      </c>
      <c r="R14" s="144"/>
      <c r="S14" s="15"/>
      <c r="T14" s="15"/>
      <c r="U14" s="15"/>
      <c r="V14" s="15"/>
      <c r="W14" s="15"/>
    </row>
    <row r="15" spans="1:23" x14ac:dyDescent="0.25">
      <c r="A15" s="146" t="b">
        <v>0</v>
      </c>
      <c r="B15" s="7">
        <f t="shared" si="5"/>
        <v>14</v>
      </c>
      <c r="C15" s="22" t="str">
        <f>_xlfn.XLOOKUP($D15,Tab_Def_Processes[Process_Name],Tab_Def_Processes[ID],,0,)</f>
        <v>13</v>
      </c>
      <c r="D15" s="142"/>
      <c r="E15" s="7">
        <f>_xlfn.XLOOKUP($D15,Tab_Def_Processes[Process_Name],Tab_Def_Processes[Process_Logic],,0,)</f>
        <v>0</v>
      </c>
      <c r="F15" s="7">
        <f>_xlfn.XLOOKUP($D15,Tab_Def_Processes[Process_Name],Tab_Def_Processes[TC_Configuration],,0,)</f>
        <v>0</v>
      </c>
      <c r="G15" s="7">
        <f>_xlfn.XLOOKUP($D15,Tab_Def_Processes[Process_Name],Tab_Def_Processes[Stock_Configuration],,0,)</f>
        <v>0</v>
      </c>
      <c r="H15" s="7">
        <f>_xlfn.XLOOKUP($D15,Tab_Def_Processes[Process_Name],Tab_Def_Processes[Outflow_count],,0,)</f>
        <v>0</v>
      </c>
      <c r="I15" s="142"/>
      <c r="J15" s="136" t="str">
        <f>_xlfn.XLOOKUP($I15,Tab_Def_Flows[Flow_Name],Tab_Def_Flows[Flow_ID],,0,)</f>
        <v>F_13_13</v>
      </c>
      <c r="K15" s="17" t="str">
        <f t="shared" si="6"/>
        <v>TC_material_13_13</v>
      </c>
      <c r="L15" s="144"/>
      <c r="M15" s="17" t="str">
        <f t="shared" si="2"/>
        <v>TC_WC_13_13</v>
      </c>
      <c r="N15" s="144"/>
      <c r="O15" s="17" t="str">
        <f t="shared" si="3"/>
        <v>TC_DM_13_13</v>
      </c>
      <c r="P15" s="144"/>
      <c r="Q15" s="7" t="str">
        <f t="shared" si="4"/>
        <v>TC_CC_13_13</v>
      </c>
      <c r="R15" s="144"/>
      <c r="S15" s="15"/>
      <c r="T15" s="15"/>
      <c r="U15" s="15"/>
      <c r="V15" s="15"/>
      <c r="W15" s="15"/>
    </row>
    <row r="16" spans="1:23" x14ac:dyDescent="0.25">
      <c r="A16" s="146" t="b">
        <v>0</v>
      </c>
      <c r="B16" s="7">
        <f t="shared" si="5"/>
        <v>15</v>
      </c>
      <c r="C16" s="22" t="str">
        <f>_xlfn.XLOOKUP($D16,Tab_Def_Processes[Process_Name],Tab_Def_Processes[ID],,0,)</f>
        <v>13</v>
      </c>
      <c r="D16" s="142"/>
      <c r="E16" s="7">
        <f>_xlfn.XLOOKUP($D16,Tab_Def_Processes[Process_Name],Tab_Def_Processes[Process_Logic],,0,)</f>
        <v>0</v>
      </c>
      <c r="F16" s="7">
        <f>_xlfn.XLOOKUP($D16,Tab_Def_Processes[Process_Name],Tab_Def_Processes[TC_Configuration],,0,)</f>
        <v>0</v>
      </c>
      <c r="G16" s="7">
        <f>_xlfn.XLOOKUP($D16,Tab_Def_Processes[Process_Name],Tab_Def_Processes[Stock_Configuration],,0,)</f>
        <v>0</v>
      </c>
      <c r="H16" s="7">
        <f>_xlfn.XLOOKUP($D16,Tab_Def_Processes[Process_Name],Tab_Def_Processes[Outflow_count],,0,)</f>
        <v>0</v>
      </c>
      <c r="I16" s="142"/>
      <c r="J16" s="136" t="str">
        <f>_xlfn.XLOOKUP($I16,Tab_Def_Flows[Flow_Name],Tab_Def_Flows[Flow_ID],,0,)</f>
        <v>F_13_13</v>
      </c>
      <c r="K16" s="17" t="str">
        <f t="shared" si="6"/>
        <v>TC_material_13_13</v>
      </c>
      <c r="L16" s="144"/>
      <c r="M16" s="17" t="str">
        <f t="shared" si="2"/>
        <v>TC_WC_13_13</v>
      </c>
      <c r="N16" s="144"/>
      <c r="O16" s="17" t="str">
        <f t="shared" si="3"/>
        <v>TC_DM_13_13</v>
      </c>
      <c r="P16" s="144"/>
      <c r="Q16" s="7" t="str">
        <f t="shared" si="4"/>
        <v>TC_CC_13_13</v>
      </c>
      <c r="R16" s="144"/>
      <c r="S16" s="15"/>
      <c r="T16" s="15"/>
      <c r="U16" s="15"/>
      <c r="V16" s="15"/>
      <c r="W16" s="15"/>
    </row>
    <row r="17" spans="1:23" x14ac:dyDescent="0.25">
      <c r="A17" s="146" t="b">
        <v>0</v>
      </c>
      <c r="B17" s="7">
        <f t="shared" si="5"/>
        <v>16</v>
      </c>
      <c r="C17" s="22" t="str">
        <f>_xlfn.XLOOKUP($D17,Tab_Def_Processes[Process_Name],Tab_Def_Processes[ID],,0,)</f>
        <v>13</v>
      </c>
      <c r="D17" s="142"/>
      <c r="E17" s="7">
        <f>_xlfn.XLOOKUP($D17,Tab_Def_Processes[Process_Name],Tab_Def_Processes[Process_Logic],,0,)</f>
        <v>0</v>
      </c>
      <c r="F17" s="7">
        <f>_xlfn.XLOOKUP($D17,Tab_Def_Processes[Process_Name],Tab_Def_Processes[TC_Configuration],,0,)</f>
        <v>0</v>
      </c>
      <c r="G17" s="7">
        <f>_xlfn.XLOOKUP($D17,Tab_Def_Processes[Process_Name],Tab_Def_Processes[Stock_Configuration],,0,)</f>
        <v>0</v>
      </c>
      <c r="H17" s="7">
        <f>_xlfn.XLOOKUP($D17,Tab_Def_Processes[Process_Name],Tab_Def_Processes[Outflow_count],,0,)</f>
        <v>0</v>
      </c>
      <c r="I17" s="142"/>
      <c r="J17" s="136" t="str">
        <f>_xlfn.XLOOKUP($I17,Tab_Def_Flows[Flow_Name],Tab_Def_Flows[Flow_ID],,0,)</f>
        <v>F_13_13</v>
      </c>
      <c r="K17" s="17" t="str">
        <f t="shared" si="6"/>
        <v>TC_material_13_13</v>
      </c>
      <c r="L17" s="144"/>
      <c r="M17" s="17" t="str">
        <f t="shared" si="2"/>
        <v>TC_WC_13_13</v>
      </c>
      <c r="N17" s="144"/>
      <c r="O17" s="17" t="str">
        <f t="shared" si="3"/>
        <v>TC_DM_13_13</v>
      </c>
      <c r="P17" s="144"/>
      <c r="Q17" s="7" t="str">
        <f t="shared" si="4"/>
        <v>TC_CC_13_13</v>
      </c>
      <c r="R17" s="144"/>
      <c r="S17" s="15"/>
      <c r="T17" s="15"/>
      <c r="U17" s="15"/>
      <c r="V17" s="15"/>
      <c r="W17" s="15"/>
    </row>
    <row r="18" spans="1:23" x14ac:dyDescent="0.25">
      <c r="A18" s="146" t="b">
        <v>0</v>
      </c>
      <c r="B18" s="7">
        <f t="shared" si="5"/>
        <v>17</v>
      </c>
      <c r="C18" s="22" t="str">
        <f>_xlfn.XLOOKUP($D18,Tab_Def_Processes[Process_Name],Tab_Def_Processes[ID],,0,)</f>
        <v>13</v>
      </c>
      <c r="D18" s="142"/>
      <c r="E18" s="7">
        <f>_xlfn.XLOOKUP($D18,Tab_Def_Processes[Process_Name],Tab_Def_Processes[Process_Logic],,0,)</f>
        <v>0</v>
      </c>
      <c r="F18" s="7">
        <f>_xlfn.XLOOKUP($D18,Tab_Def_Processes[Process_Name],Tab_Def_Processes[TC_Configuration],,0,)</f>
        <v>0</v>
      </c>
      <c r="G18" s="7">
        <f>_xlfn.XLOOKUP($D18,Tab_Def_Processes[Process_Name],Tab_Def_Processes[Stock_Configuration],,0,)</f>
        <v>0</v>
      </c>
      <c r="H18" s="7">
        <f>_xlfn.XLOOKUP($D18,Tab_Def_Processes[Process_Name],Tab_Def_Processes[Outflow_count],,0,)</f>
        <v>0</v>
      </c>
      <c r="I18" s="142"/>
      <c r="J18" s="136" t="str">
        <f>_xlfn.XLOOKUP($I18,Tab_Def_Flows[Flow_Name],Tab_Def_Flows[Flow_ID],,0,)</f>
        <v>F_13_13</v>
      </c>
      <c r="K18" s="17" t="str">
        <f t="shared" si="6"/>
        <v>TC_material_13_13</v>
      </c>
      <c r="L18" s="144"/>
      <c r="M18" s="17" t="str">
        <f t="shared" si="2"/>
        <v>TC_WC_13_13</v>
      </c>
      <c r="N18" s="144"/>
      <c r="O18" s="17" t="str">
        <f t="shared" si="3"/>
        <v>TC_DM_13_13</v>
      </c>
      <c r="P18" s="144"/>
      <c r="Q18" s="7" t="str">
        <f t="shared" si="4"/>
        <v>TC_CC_13_13</v>
      </c>
      <c r="R18" s="144"/>
      <c r="S18" s="15"/>
      <c r="T18" s="15"/>
      <c r="U18" s="15"/>
      <c r="V18" s="15"/>
      <c r="W18" s="15"/>
    </row>
    <row r="19" spans="1:23" x14ac:dyDescent="0.25">
      <c r="A19" s="146" t="b">
        <v>0</v>
      </c>
      <c r="B19" s="7">
        <f t="shared" si="5"/>
        <v>18</v>
      </c>
      <c r="C19" s="22" t="str">
        <f>_xlfn.XLOOKUP($D19,Tab_Def_Processes[Process_Name],Tab_Def_Processes[ID],,0,)</f>
        <v>13</v>
      </c>
      <c r="D19" s="142"/>
      <c r="E19" s="7">
        <f>_xlfn.XLOOKUP($D19,Tab_Def_Processes[Process_Name],Tab_Def_Processes[Process_Logic],,0,)</f>
        <v>0</v>
      </c>
      <c r="F19" s="7">
        <f>_xlfn.XLOOKUP($D19,Tab_Def_Processes[Process_Name],Tab_Def_Processes[TC_Configuration],,0,)</f>
        <v>0</v>
      </c>
      <c r="G19" s="7">
        <f>_xlfn.XLOOKUP($D19,Tab_Def_Processes[Process_Name],Tab_Def_Processes[Stock_Configuration],,0,)</f>
        <v>0</v>
      </c>
      <c r="H19" s="7">
        <f>_xlfn.XLOOKUP($D19,Tab_Def_Processes[Process_Name],Tab_Def_Processes[Outflow_count],,0,)</f>
        <v>0</v>
      </c>
      <c r="I19" s="142"/>
      <c r="J19" s="136" t="str">
        <f>_xlfn.XLOOKUP($I19,Tab_Def_Flows[Flow_Name],Tab_Def_Flows[Flow_ID],,0,)</f>
        <v>F_13_13</v>
      </c>
      <c r="K19" s="17" t="str">
        <f t="shared" si="6"/>
        <v>TC_material_13_13</v>
      </c>
      <c r="L19" s="144"/>
      <c r="M19" s="17" t="str">
        <f t="shared" si="2"/>
        <v>TC_WC_13_13</v>
      </c>
      <c r="N19" s="144"/>
      <c r="O19" s="17" t="str">
        <f t="shared" si="3"/>
        <v>TC_DM_13_13</v>
      </c>
      <c r="P19" s="144"/>
      <c r="Q19" s="7" t="str">
        <f t="shared" si="4"/>
        <v>TC_CC_13_13</v>
      </c>
      <c r="R19" s="144"/>
      <c r="S19" s="15"/>
      <c r="T19" s="15"/>
      <c r="U19" s="15"/>
      <c r="V19" s="15"/>
      <c r="W19" s="15"/>
    </row>
    <row r="20" spans="1:23" x14ac:dyDescent="0.25">
      <c r="A20" s="146" t="b">
        <v>0</v>
      </c>
      <c r="B20" s="7">
        <f t="shared" si="5"/>
        <v>19</v>
      </c>
      <c r="C20" s="22" t="str">
        <f>_xlfn.XLOOKUP($D20,Tab_Def_Processes[Process_Name],Tab_Def_Processes[ID],,0,)</f>
        <v>13</v>
      </c>
      <c r="D20" s="142"/>
      <c r="E20" s="7">
        <f>_xlfn.XLOOKUP($D20,Tab_Def_Processes[Process_Name],Tab_Def_Processes[Process_Logic],,0,)</f>
        <v>0</v>
      </c>
      <c r="F20" s="7">
        <f>_xlfn.XLOOKUP($D20,Tab_Def_Processes[Process_Name],Tab_Def_Processes[TC_Configuration],,0,)</f>
        <v>0</v>
      </c>
      <c r="G20" s="7">
        <f>_xlfn.XLOOKUP($D20,Tab_Def_Processes[Process_Name],Tab_Def_Processes[Stock_Configuration],,0,)</f>
        <v>0</v>
      </c>
      <c r="H20" s="7">
        <f>_xlfn.XLOOKUP($D20,Tab_Def_Processes[Process_Name],Tab_Def_Processes[Outflow_count],,0,)</f>
        <v>0</v>
      </c>
      <c r="I20" s="142"/>
      <c r="J20" s="136" t="str">
        <f>_xlfn.XLOOKUP($I20,Tab_Def_Flows[Flow_Name],Tab_Def_Flows[Flow_ID],,0,)</f>
        <v>F_13_13</v>
      </c>
      <c r="K20" s="17" t="str">
        <f t="shared" si="6"/>
        <v>TC_material_13_13</v>
      </c>
      <c r="L20" s="144"/>
      <c r="M20" s="17" t="str">
        <f t="shared" si="2"/>
        <v>TC_WC_13_13</v>
      </c>
      <c r="N20" s="144"/>
      <c r="O20" s="17" t="str">
        <f t="shared" si="3"/>
        <v>TC_DM_13_13</v>
      </c>
      <c r="P20" s="144"/>
      <c r="Q20" s="7" t="str">
        <f t="shared" si="4"/>
        <v>TC_CC_13_13</v>
      </c>
      <c r="R20" s="144"/>
      <c r="S20" s="15"/>
      <c r="T20" s="15"/>
      <c r="U20" s="15"/>
      <c r="V20" s="15"/>
      <c r="W20" s="15"/>
    </row>
    <row r="21" spans="1:23" x14ac:dyDescent="0.25">
      <c r="A21" s="146" t="b">
        <v>0</v>
      </c>
      <c r="B21" s="7">
        <f t="shared" si="5"/>
        <v>20</v>
      </c>
      <c r="C21" s="22" t="str">
        <f>_xlfn.XLOOKUP($D21,Tab_Def_Processes[Process_Name],Tab_Def_Processes[ID],,0,)</f>
        <v>13</v>
      </c>
      <c r="D21" s="142"/>
      <c r="E21" s="7">
        <f>_xlfn.XLOOKUP($D21,Tab_Def_Processes[Process_Name],Tab_Def_Processes[Process_Logic],,0,)</f>
        <v>0</v>
      </c>
      <c r="F21" s="7">
        <f>_xlfn.XLOOKUP($D21,Tab_Def_Processes[Process_Name],Tab_Def_Processes[TC_Configuration],,0,)</f>
        <v>0</v>
      </c>
      <c r="G21" s="7">
        <f>_xlfn.XLOOKUP($D21,Tab_Def_Processes[Process_Name],Tab_Def_Processes[Stock_Configuration],,0,)</f>
        <v>0</v>
      </c>
      <c r="H21" s="7">
        <f>_xlfn.XLOOKUP($D21,Tab_Def_Processes[Process_Name],Tab_Def_Processes[Outflow_count],,0,)</f>
        <v>0</v>
      </c>
      <c r="I21" s="142"/>
      <c r="J21" s="136" t="str">
        <f>_xlfn.XLOOKUP($I21,Tab_Def_Flows[Flow_Name],Tab_Def_Flows[Flow_ID],,0,)</f>
        <v>F_13_13</v>
      </c>
      <c r="K21" s="17" t="str">
        <f t="shared" si="6"/>
        <v>TC_material_13_13</v>
      </c>
      <c r="L21" s="144"/>
      <c r="M21" s="17" t="str">
        <f t="shared" si="2"/>
        <v>TC_WC_13_13</v>
      </c>
      <c r="N21" s="144"/>
      <c r="O21" s="17" t="str">
        <f t="shared" si="3"/>
        <v>TC_DM_13_13</v>
      </c>
      <c r="P21" s="144"/>
      <c r="Q21" s="7" t="str">
        <f t="shared" si="4"/>
        <v>TC_CC_13_13</v>
      </c>
      <c r="R21" s="144"/>
      <c r="S21" s="15"/>
      <c r="T21" s="15"/>
      <c r="U21" s="15"/>
      <c r="V21" s="15"/>
      <c r="W21" s="15"/>
    </row>
    <row r="22" spans="1:23" x14ac:dyDescent="0.25">
      <c r="A22" s="146" t="b">
        <v>0</v>
      </c>
      <c r="B22" s="7">
        <f t="shared" si="5"/>
        <v>21</v>
      </c>
      <c r="C22" s="22" t="str">
        <f>_xlfn.XLOOKUP($D22,Tab_Def_Processes[Process_Name],Tab_Def_Processes[ID],,0,)</f>
        <v>13</v>
      </c>
      <c r="D22" s="142"/>
      <c r="E22" s="7">
        <f>_xlfn.XLOOKUP($D22,Tab_Def_Processes[Process_Name],Tab_Def_Processes[Process_Logic],,0,)</f>
        <v>0</v>
      </c>
      <c r="F22" s="7">
        <f>_xlfn.XLOOKUP($D22,Tab_Def_Processes[Process_Name],Tab_Def_Processes[TC_Configuration],,0,)</f>
        <v>0</v>
      </c>
      <c r="G22" s="7">
        <f>_xlfn.XLOOKUP($D22,Tab_Def_Processes[Process_Name],Tab_Def_Processes[Stock_Configuration],,0,)</f>
        <v>0</v>
      </c>
      <c r="H22" s="7">
        <f>_xlfn.XLOOKUP($D22,Tab_Def_Processes[Process_Name],Tab_Def_Processes[Outflow_count],,0,)</f>
        <v>0</v>
      </c>
      <c r="I22" s="142"/>
      <c r="J22" s="136" t="str">
        <f>_xlfn.XLOOKUP($I22,Tab_Def_Flows[Flow_Name],Tab_Def_Flows[Flow_ID],,0,)</f>
        <v>F_13_13</v>
      </c>
      <c r="K22" s="17" t="str">
        <f t="shared" si="6"/>
        <v>TC_material_13_13</v>
      </c>
      <c r="L22" s="144"/>
      <c r="M22" s="17" t="str">
        <f t="shared" si="2"/>
        <v>TC_WC_13_13</v>
      </c>
      <c r="N22" s="144"/>
      <c r="O22" s="17" t="str">
        <f t="shared" si="3"/>
        <v>TC_DM_13_13</v>
      </c>
      <c r="P22" s="144"/>
      <c r="Q22" s="7" t="str">
        <f t="shared" si="4"/>
        <v>TC_CC_13_13</v>
      </c>
      <c r="R22" s="144"/>
      <c r="S22" s="15"/>
      <c r="T22" s="15"/>
      <c r="U22" s="15"/>
      <c r="V22" s="15"/>
      <c r="W22" s="15"/>
    </row>
    <row r="23" spans="1:23" x14ac:dyDescent="0.25">
      <c r="A23" s="146" t="b">
        <v>0</v>
      </c>
      <c r="B23" s="7">
        <f t="shared" si="5"/>
        <v>22</v>
      </c>
      <c r="C23" s="22" t="str">
        <f>_xlfn.XLOOKUP($D23,Tab_Def_Processes[Process_Name],Tab_Def_Processes[ID],,0,)</f>
        <v>13</v>
      </c>
      <c r="D23" s="142"/>
      <c r="E23" s="7">
        <f>_xlfn.XLOOKUP($D23,Tab_Def_Processes[Process_Name],Tab_Def_Processes[Process_Logic],,0,)</f>
        <v>0</v>
      </c>
      <c r="F23" s="7">
        <f>_xlfn.XLOOKUP($D23,Tab_Def_Processes[Process_Name],Tab_Def_Processes[TC_Configuration],,0,)</f>
        <v>0</v>
      </c>
      <c r="G23" s="7">
        <f>_xlfn.XLOOKUP($D23,Tab_Def_Processes[Process_Name],Tab_Def_Processes[Stock_Configuration],,0,)</f>
        <v>0</v>
      </c>
      <c r="H23" s="7">
        <f>_xlfn.XLOOKUP($D23,Tab_Def_Processes[Process_Name],Tab_Def_Processes[Outflow_count],,0,)</f>
        <v>0</v>
      </c>
      <c r="I23" s="142"/>
      <c r="J23" s="136" t="str">
        <f>_xlfn.XLOOKUP($I23,Tab_Def_Flows[Flow_Name],Tab_Def_Flows[Flow_ID],,0,)</f>
        <v>F_13_13</v>
      </c>
      <c r="K23" s="17" t="str">
        <f t="shared" si="6"/>
        <v>TC_material_13_13</v>
      </c>
      <c r="L23" s="144"/>
      <c r="M23" s="17" t="str">
        <f t="shared" si="2"/>
        <v>TC_WC_13_13</v>
      </c>
      <c r="N23" s="144"/>
      <c r="O23" s="17" t="str">
        <f t="shared" si="3"/>
        <v>TC_DM_13_13</v>
      </c>
      <c r="P23" s="144"/>
      <c r="Q23" s="7" t="str">
        <f t="shared" si="4"/>
        <v>TC_CC_13_13</v>
      </c>
      <c r="R23" s="144"/>
      <c r="S23" s="15"/>
      <c r="T23" s="15"/>
      <c r="U23" s="15"/>
      <c r="V23" s="15"/>
      <c r="W23" s="15"/>
    </row>
    <row r="24" spans="1:23" x14ac:dyDescent="0.25">
      <c r="A24" s="146" t="b">
        <v>0</v>
      </c>
      <c r="B24" s="7">
        <f t="shared" si="5"/>
        <v>23</v>
      </c>
      <c r="C24" s="22" t="str">
        <f>_xlfn.XLOOKUP($D24,Tab_Def_Processes[Process_Name],Tab_Def_Processes[ID],,0,)</f>
        <v>13</v>
      </c>
      <c r="D24" s="142"/>
      <c r="E24" s="7">
        <f>_xlfn.XLOOKUP($D24,Tab_Def_Processes[Process_Name],Tab_Def_Processes[Process_Logic],,0,)</f>
        <v>0</v>
      </c>
      <c r="F24" s="7">
        <f>_xlfn.XLOOKUP($D24,Tab_Def_Processes[Process_Name],Tab_Def_Processes[TC_Configuration],,0,)</f>
        <v>0</v>
      </c>
      <c r="G24" s="7">
        <f>_xlfn.XLOOKUP($D24,Tab_Def_Processes[Process_Name],Tab_Def_Processes[Stock_Configuration],,0,)</f>
        <v>0</v>
      </c>
      <c r="H24" s="7">
        <f>_xlfn.XLOOKUP($D24,Tab_Def_Processes[Process_Name],Tab_Def_Processes[Outflow_count],,0,)</f>
        <v>0</v>
      </c>
      <c r="I24" s="142"/>
      <c r="J24" s="136" t="str">
        <f>_xlfn.XLOOKUP($I24,Tab_Def_Flows[Flow_Name],Tab_Def_Flows[Flow_ID],,0,)</f>
        <v>F_13_13</v>
      </c>
      <c r="K24" s="17" t="str">
        <f t="shared" si="6"/>
        <v>TC_material_13_13</v>
      </c>
      <c r="L24" s="144"/>
      <c r="M24" s="17" t="str">
        <f t="shared" si="2"/>
        <v>TC_WC_13_13</v>
      </c>
      <c r="N24" s="144"/>
      <c r="O24" s="17" t="str">
        <f t="shared" si="3"/>
        <v>TC_DM_13_13</v>
      </c>
      <c r="P24" s="144"/>
      <c r="Q24" s="7" t="str">
        <f t="shared" si="4"/>
        <v>TC_CC_13_13</v>
      </c>
      <c r="R24" s="144"/>
      <c r="S24" s="15"/>
      <c r="T24" s="15"/>
      <c r="U24" s="15"/>
      <c r="V24" s="15"/>
      <c r="W24" s="15"/>
    </row>
    <row r="25" spans="1:23" x14ac:dyDescent="0.25">
      <c r="A25" s="146" t="b">
        <v>0</v>
      </c>
      <c r="B25" s="7">
        <f t="shared" si="5"/>
        <v>24</v>
      </c>
      <c r="C25" s="22" t="str">
        <f>_xlfn.XLOOKUP($D25,Tab_Def_Processes[Process_Name],Tab_Def_Processes[ID],,0,)</f>
        <v>13</v>
      </c>
      <c r="D25" s="142"/>
      <c r="E25" s="7">
        <f>_xlfn.XLOOKUP($D25,Tab_Def_Processes[Process_Name],Tab_Def_Processes[Process_Logic],,0,)</f>
        <v>0</v>
      </c>
      <c r="F25" s="7">
        <f>_xlfn.XLOOKUP($D25,Tab_Def_Processes[Process_Name],Tab_Def_Processes[TC_Configuration],,0,)</f>
        <v>0</v>
      </c>
      <c r="G25" s="7">
        <f>_xlfn.XLOOKUP($D25,Tab_Def_Processes[Process_Name],Tab_Def_Processes[Stock_Configuration],,0,)</f>
        <v>0</v>
      </c>
      <c r="H25" s="7">
        <f>_xlfn.XLOOKUP($D25,Tab_Def_Processes[Process_Name],Tab_Def_Processes[Outflow_count],,0,)</f>
        <v>0</v>
      </c>
      <c r="I25" s="142"/>
      <c r="J25" s="136" t="str">
        <f>_xlfn.XLOOKUP($I25,Tab_Def_Flows[Flow_Name],Tab_Def_Flows[Flow_ID],,0,)</f>
        <v>F_13_13</v>
      </c>
      <c r="K25" s="17" t="str">
        <f t="shared" si="6"/>
        <v>TC_material_13_13</v>
      </c>
      <c r="L25" s="144"/>
      <c r="M25" s="17" t="str">
        <f t="shared" si="2"/>
        <v>TC_WC_13_13</v>
      </c>
      <c r="N25" s="144"/>
      <c r="O25" s="17" t="str">
        <f t="shared" si="3"/>
        <v>TC_DM_13_13</v>
      </c>
      <c r="P25" s="144"/>
      <c r="Q25" s="7" t="str">
        <f t="shared" si="4"/>
        <v>TC_CC_13_13</v>
      </c>
      <c r="R25" s="144"/>
      <c r="S25" s="15"/>
      <c r="T25" s="15"/>
      <c r="U25" s="15"/>
      <c r="V25" s="15"/>
      <c r="W25" s="15"/>
    </row>
    <row r="26" spans="1:23" x14ac:dyDescent="0.25">
      <c r="A26" s="146" t="b">
        <v>0</v>
      </c>
      <c r="B26" s="7">
        <f t="shared" si="5"/>
        <v>25</v>
      </c>
      <c r="C26" s="22" t="str">
        <f>_xlfn.XLOOKUP($D26,Tab_Def_Processes[Process_Name],Tab_Def_Processes[ID],,0,)</f>
        <v>13</v>
      </c>
      <c r="D26" s="142"/>
      <c r="E26" s="7">
        <f>_xlfn.XLOOKUP($D26,Tab_Def_Processes[Process_Name],Tab_Def_Processes[Process_Logic],,0,)</f>
        <v>0</v>
      </c>
      <c r="F26" s="7">
        <f>_xlfn.XLOOKUP($D26,Tab_Def_Processes[Process_Name],Tab_Def_Processes[TC_Configuration],,0,)</f>
        <v>0</v>
      </c>
      <c r="G26" s="7">
        <f>_xlfn.XLOOKUP($D26,Tab_Def_Processes[Process_Name],Tab_Def_Processes[Stock_Configuration],,0,)</f>
        <v>0</v>
      </c>
      <c r="H26" s="7">
        <f>_xlfn.XLOOKUP($D26,Tab_Def_Processes[Process_Name],Tab_Def_Processes[Outflow_count],,0,)</f>
        <v>0</v>
      </c>
      <c r="I26" s="142"/>
      <c r="J26" s="136" t="str">
        <f>_xlfn.XLOOKUP($I26,Tab_Def_Flows[Flow_Name],Tab_Def_Flows[Flow_ID],,0,)</f>
        <v>F_13_13</v>
      </c>
      <c r="K26" s="17" t="str">
        <f t="shared" si="6"/>
        <v>TC_material_13_13</v>
      </c>
      <c r="L26" s="144"/>
      <c r="M26" s="17" t="str">
        <f t="shared" si="2"/>
        <v>TC_WC_13_13</v>
      </c>
      <c r="N26" s="144"/>
      <c r="O26" s="17" t="str">
        <f t="shared" si="3"/>
        <v>TC_DM_13_13</v>
      </c>
      <c r="P26" s="144"/>
      <c r="Q26" s="7" t="str">
        <f t="shared" si="4"/>
        <v>TC_CC_13_13</v>
      </c>
      <c r="R26" s="144"/>
      <c r="S26" s="15"/>
      <c r="T26" s="15"/>
      <c r="U26" s="15"/>
      <c r="V26" s="15"/>
      <c r="W26" s="15"/>
    </row>
    <row r="27" spans="1:23" x14ac:dyDescent="0.25">
      <c r="A27" s="146" t="b">
        <v>0</v>
      </c>
      <c r="B27" s="7">
        <f t="shared" si="5"/>
        <v>26</v>
      </c>
      <c r="C27" s="22" t="str">
        <f>_xlfn.XLOOKUP($D27,Tab_Def_Processes[Process_Name],Tab_Def_Processes[ID],,0,)</f>
        <v>13</v>
      </c>
      <c r="D27" s="142"/>
      <c r="E27" s="7">
        <f>_xlfn.XLOOKUP($D27,Tab_Def_Processes[Process_Name],Tab_Def_Processes[Process_Logic],,0,)</f>
        <v>0</v>
      </c>
      <c r="F27" s="7">
        <f>_xlfn.XLOOKUP($D27,Tab_Def_Processes[Process_Name],Tab_Def_Processes[TC_Configuration],,0,)</f>
        <v>0</v>
      </c>
      <c r="G27" s="7">
        <f>_xlfn.XLOOKUP($D27,Tab_Def_Processes[Process_Name],Tab_Def_Processes[Stock_Configuration],,0,)</f>
        <v>0</v>
      </c>
      <c r="H27" s="7">
        <f>_xlfn.XLOOKUP($D27,Tab_Def_Processes[Process_Name],Tab_Def_Processes[Outflow_count],,0,)</f>
        <v>0</v>
      </c>
      <c r="I27" s="142"/>
      <c r="J27" s="136" t="str">
        <f>_xlfn.XLOOKUP($I27,Tab_Def_Flows[Flow_Name],Tab_Def_Flows[Flow_ID],,0,)</f>
        <v>F_13_13</v>
      </c>
      <c r="K27" s="17" t="str">
        <f t="shared" si="6"/>
        <v>TC_material_13_13</v>
      </c>
      <c r="L27" s="144"/>
      <c r="M27" s="17" t="str">
        <f t="shared" si="2"/>
        <v>TC_WC_13_13</v>
      </c>
      <c r="N27" s="144"/>
      <c r="O27" s="17" t="str">
        <f t="shared" si="3"/>
        <v>TC_DM_13_13</v>
      </c>
      <c r="P27" s="144"/>
      <c r="Q27" s="7" t="str">
        <f t="shared" si="4"/>
        <v>TC_CC_13_13</v>
      </c>
      <c r="R27" s="144"/>
      <c r="S27" s="15"/>
      <c r="T27" s="15"/>
      <c r="U27" s="15"/>
      <c r="V27" s="15"/>
      <c r="W27" s="15"/>
    </row>
    <row r="28" spans="1:23" x14ac:dyDescent="0.25">
      <c r="A28" s="146" t="b">
        <v>0</v>
      </c>
      <c r="B28" s="7">
        <f t="shared" si="5"/>
        <v>27</v>
      </c>
      <c r="C28" s="22" t="str">
        <f>_xlfn.XLOOKUP($D28,Tab_Def_Processes[Process_Name],Tab_Def_Processes[ID],,0,)</f>
        <v>13</v>
      </c>
      <c r="D28" s="142"/>
      <c r="E28" s="7">
        <f>_xlfn.XLOOKUP($D28,Tab_Def_Processes[Process_Name],Tab_Def_Processes[Process_Logic],,0,)</f>
        <v>0</v>
      </c>
      <c r="F28" s="7">
        <f>_xlfn.XLOOKUP($D28,Tab_Def_Processes[Process_Name],Tab_Def_Processes[TC_Configuration],,0,)</f>
        <v>0</v>
      </c>
      <c r="G28" s="7">
        <f>_xlfn.XLOOKUP($D28,Tab_Def_Processes[Process_Name],Tab_Def_Processes[Stock_Configuration],,0,)</f>
        <v>0</v>
      </c>
      <c r="H28" s="7">
        <f>_xlfn.XLOOKUP($D28,Tab_Def_Processes[Process_Name],Tab_Def_Processes[Outflow_count],,0,)</f>
        <v>0</v>
      </c>
      <c r="I28" s="142"/>
      <c r="J28" s="136" t="str">
        <f>_xlfn.XLOOKUP($I28,Tab_Def_Flows[Flow_Name],Tab_Def_Flows[Flow_ID],,0,)</f>
        <v>F_13_13</v>
      </c>
      <c r="K28" s="17" t="str">
        <f t="shared" si="6"/>
        <v>TC_material_13_13</v>
      </c>
      <c r="L28" s="144"/>
      <c r="M28" s="17" t="str">
        <f t="shared" si="2"/>
        <v>TC_WC_13_13</v>
      </c>
      <c r="N28" s="144"/>
      <c r="O28" s="17" t="str">
        <f t="shared" si="3"/>
        <v>TC_DM_13_13</v>
      </c>
      <c r="P28" s="144"/>
      <c r="Q28" s="7" t="str">
        <f t="shared" si="4"/>
        <v>TC_CC_13_13</v>
      </c>
      <c r="R28" s="144"/>
      <c r="S28" s="15"/>
      <c r="T28" s="15"/>
      <c r="U28" s="15"/>
      <c r="V28" s="15"/>
      <c r="W28" s="15"/>
    </row>
    <row r="29" spans="1:23" x14ac:dyDescent="0.25">
      <c r="A29" s="146" t="b">
        <v>0</v>
      </c>
      <c r="B29" s="7">
        <f t="shared" si="5"/>
        <v>28</v>
      </c>
      <c r="C29" s="22" t="str">
        <f>_xlfn.XLOOKUP($D29,Tab_Def_Processes[Process_Name],Tab_Def_Processes[ID],,0,)</f>
        <v>13</v>
      </c>
      <c r="D29" s="142"/>
      <c r="E29" s="7">
        <f>_xlfn.XLOOKUP($D29,Tab_Def_Processes[Process_Name],Tab_Def_Processes[Process_Logic],,0,)</f>
        <v>0</v>
      </c>
      <c r="F29" s="7">
        <f>_xlfn.XLOOKUP($D29,Tab_Def_Processes[Process_Name],Tab_Def_Processes[TC_Configuration],,0,)</f>
        <v>0</v>
      </c>
      <c r="G29" s="7">
        <f>_xlfn.XLOOKUP($D29,Tab_Def_Processes[Process_Name],Tab_Def_Processes[Stock_Configuration],,0,)</f>
        <v>0</v>
      </c>
      <c r="H29" s="7">
        <f>_xlfn.XLOOKUP($D29,Tab_Def_Processes[Process_Name],Tab_Def_Processes[Outflow_count],,0,)</f>
        <v>0</v>
      </c>
      <c r="I29" s="142"/>
      <c r="J29" s="136" t="str">
        <f>_xlfn.XLOOKUP($I29,Tab_Def_Flows[Flow_Name],Tab_Def_Flows[Flow_ID],,0,)</f>
        <v>F_13_13</v>
      </c>
      <c r="K29" s="17" t="str">
        <f t="shared" si="6"/>
        <v>TC_material_13_13</v>
      </c>
      <c r="L29" s="144"/>
      <c r="M29" s="17" t="str">
        <f t="shared" si="2"/>
        <v>TC_WC_13_13</v>
      </c>
      <c r="N29" s="144"/>
      <c r="O29" s="17" t="str">
        <f t="shared" si="3"/>
        <v>TC_DM_13_13</v>
      </c>
      <c r="P29" s="144"/>
      <c r="Q29" s="7" t="str">
        <f t="shared" si="4"/>
        <v>TC_CC_13_13</v>
      </c>
      <c r="R29" s="144"/>
      <c r="S29" s="15"/>
      <c r="T29" s="15"/>
      <c r="U29" s="15"/>
      <c r="V29" s="15"/>
      <c r="W29" s="15"/>
    </row>
    <row r="30" spans="1:23" x14ac:dyDescent="0.25">
      <c r="A30" s="146" t="b">
        <v>0</v>
      </c>
      <c r="B30" s="7">
        <f t="shared" si="5"/>
        <v>29</v>
      </c>
      <c r="C30" s="22" t="str">
        <f>_xlfn.XLOOKUP($D30,Tab_Def_Processes[Process_Name],Tab_Def_Processes[ID],,0,)</f>
        <v>13</v>
      </c>
      <c r="D30" s="142"/>
      <c r="E30" s="7">
        <f>_xlfn.XLOOKUP($D30,Tab_Def_Processes[Process_Name],Tab_Def_Processes[Process_Logic],,0,)</f>
        <v>0</v>
      </c>
      <c r="F30" s="7">
        <f>_xlfn.XLOOKUP($D30,Tab_Def_Processes[Process_Name],Tab_Def_Processes[TC_Configuration],,0,)</f>
        <v>0</v>
      </c>
      <c r="G30" s="7">
        <f>_xlfn.XLOOKUP($D30,Tab_Def_Processes[Process_Name],Tab_Def_Processes[Stock_Configuration],,0,)</f>
        <v>0</v>
      </c>
      <c r="H30" s="7">
        <f>_xlfn.XLOOKUP($D30,Tab_Def_Processes[Process_Name],Tab_Def_Processes[Outflow_count],,0,)</f>
        <v>0</v>
      </c>
      <c r="I30" s="142"/>
      <c r="J30" s="136" t="str">
        <f>_xlfn.XLOOKUP($I30,Tab_Def_Flows[Flow_Name],Tab_Def_Flows[Flow_ID],,0,)</f>
        <v>F_13_13</v>
      </c>
      <c r="K30" s="17" t="str">
        <f t="shared" si="6"/>
        <v>TC_material_13_13</v>
      </c>
      <c r="L30" s="144"/>
      <c r="M30" s="17" t="str">
        <f t="shared" si="2"/>
        <v>TC_WC_13_13</v>
      </c>
      <c r="N30" s="144"/>
      <c r="O30" s="17" t="str">
        <f t="shared" si="3"/>
        <v>TC_DM_13_13</v>
      </c>
      <c r="P30" s="144"/>
      <c r="Q30" s="7" t="str">
        <f t="shared" si="4"/>
        <v>TC_CC_13_13</v>
      </c>
      <c r="R30" s="144"/>
      <c r="S30" s="15"/>
      <c r="T30" s="15"/>
      <c r="U30" s="15"/>
      <c r="V30" s="15"/>
      <c r="W30" s="15"/>
    </row>
    <row r="31" spans="1:23" x14ac:dyDescent="0.25">
      <c r="A31" s="146" t="b">
        <v>0</v>
      </c>
      <c r="B31" s="7">
        <f t="shared" si="5"/>
        <v>30</v>
      </c>
      <c r="C31" s="22" t="str">
        <f>_xlfn.XLOOKUP($D31,Tab_Def_Processes[Process_Name],Tab_Def_Processes[ID],,0,)</f>
        <v>13</v>
      </c>
      <c r="D31" s="142"/>
      <c r="E31" s="7">
        <f>_xlfn.XLOOKUP($D31,Tab_Def_Processes[Process_Name],Tab_Def_Processes[Process_Logic],,0,)</f>
        <v>0</v>
      </c>
      <c r="F31" s="7">
        <f>_xlfn.XLOOKUP($D31,Tab_Def_Processes[Process_Name],Tab_Def_Processes[TC_Configuration],,0,)</f>
        <v>0</v>
      </c>
      <c r="G31" s="7">
        <f>_xlfn.XLOOKUP($D31,Tab_Def_Processes[Process_Name],Tab_Def_Processes[Stock_Configuration],,0,)</f>
        <v>0</v>
      </c>
      <c r="H31" s="7">
        <f>_xlfn.XLOOKUP($D31,Tab_Def_Processes[Process_Name],Tab_Def_Processes[Outflow_count],,0,)</f>
        <v>0</v>
      </c>
      <c r="I31" s="142"/>
      <c r="J31" s="136" t="str">
        <f>_xlfn.XLOOKUP($I31,Tab_Def_Flows[Flow_Name],Tab_Def_Flows[Flow_ID],,0,)</f>
        <v>F_13_13</v>
      </c>
      <c r="K31" s="17" t="str">
        <f t="shared" si="6"/>
        <v>TC_material_13_13</v>
      </c>
      <c r="L31" s="144"/>
      <c r="M31" s="17" t="str">
        <f t="shared" si="2"/>
        <v>TC_WC_13_13</v>
      </c>
      <c r="N31" s="144"/>
      <c r="O31" s="17" t="str">
        <f t="shared" si="3"/>
        <v>TC_DM_13_13</v>
      </c>
      <c r="P31" s="144"/>
      <c r="Q31" s="7" t="str">
        <f t="shared" si="4"/>
        <v>TC_CC_13_13</v>
      </c>
      <c r="R31" s="144"/>
      <c r="S31" s="15"/>
      <c r="T31" s="15"/>
      <c r="U31" s="15"/>
      <c r="V31" s="15"/>
      <c r="W31" s="15"/>
    </row>
    <row r="32" spans="1:23" x14ac:dyDescent="0.25">
      <c r="A32" s="146" t="b">
        <v>0</v>
      </c>
      <c r="B32" s="7">
        <f t="shared" si="5"/>
        <v>31</v>
      </c>
      <c r="C32" s="22" t="str">
        <f>_xlfn.XLOOKUP($D32,Tab_Def_Processes[Process_Name],Tab_Def_Processes[ID],,0,)</f>
        <v>13</v>
      </c>
      <c r="D32" s="142"/>
      <c r="E32" s="7">
        <f>_xlfn.XLOOKUP($D32,Tab_Def_Processes[Process_Name],Tab_Def_Processes[Process_Logic],,0,)</f>
        <v>0</v>
      </c>
      <c r="F32" s="7">
        <f>_xlfn.XLOOKUP($D32,Tab_Def_Processes[Process_Name],Tab_Def_Processes[TC_Configuration],,0,)</f>
        <v>0</v>
      </c>
      <c r="G32" s="7">
        <f>_xlfn.XLOOKUP($D32,Tab_Def_Processes[Process_Name],Tab_Def_Processes[Stock_Configuration],,0,)</f>
        <v>0</v>
      </c>
      <c r="H32" s="7">
        <f>_xlfn.XLOOKUP($D32,Tab_Def_Processes[Process_Name],Tab_Def_Processes[Outflow_count],,0,)</f>
        <v>0</v>
      </c>
      <c r="I32" s="142"/>
      <c r="J32" s="136" t="str">
        <f>_xlfn.XLOOKUP($I32,Tab_Def_Flows[Flow_Name],Tab_Def_Flows[Flow_ID],,0,)</f>
        <v>F_13_13</v>
      </c>
      <c r="K32" s="17" t="str">
        <f t="shared" si="6"/>
        <v>TC_material_13_13</v>
      </c>
      <c r="L32" s="144"/>
      <c r="M32" s="17" t="str">
        <f t="shared" si="2"/>
        <v>TC_WC_13_13</v>
      </c>
      <c r="N32" s="144"/>
      <c r="O32" s="17" t="str">
        <f t="shared" si="3"/>
        <v>TC_DM_13_13</v>
      </c>
      <c r="P32" s="144"/>
      <c r="Q32" s="7" t="str">
        <f t="shared" si="4"/>
        <v>TC_CC_13_13</v>
      </c>
      <c r="R32" s="144"/>
      <c r="S32" s="15"/>
      <c r="T32" s="15"/>
      <c r="U32" s="15"/>
      <c r="V32" s="15"/>
      <c r="W32" s="15"/>
    </row>
    <row r="33" spans="1:23" x14ac:dyDescent="0.25">
      <c r="A33" s="146" t="b">
        <v>0</v>
      </c>
      <c r="B33" s="7">
        <f t="shared" si="5"/>
        <v>32</v>
      </c>
      <c r="C33" s="22" t="str">
        <f>_xlfn.XLOOKUP($D33,Tab_Def_Processes[Process_Name],Tab_Def_Processes[ID],,0,)</f>
        <v>13</v>
      </c>
      <c r="D33" s="142"/>
      <c r="E33" s="7">
        <f>_xlfn.XLOOKUP($D33,Tab_Def_Processes[Process_Name],Tab_Def_Processes[Process_Logic],,0,)</f>
        <v>0</v>
      </c>
      <c r="F33" s="7">
        <f>_xlfn.XLOOKUP($D33,Tab_Def_Processes[Process_Name],Tab_Def_Processes[TC_Configuration],,0,)</f>
        <v>0</v>
      </c>
      <c r="G33" s="7">
        <f>_xlfn.XLOOKUP($D33,Tab_Def_Processes[Process_Name],Tab_Def_Processes[Stock_Configuration],,0,)</f>
        <v>0</v>
      </c>
      <c r="H33" s="7">
        <f>_xlfn.XLOOKUP($D33,Tab_Def_Processes[Process_Name],Tab_Def_Processes[Outflow_count],,0,)</f>
        <v>0</v>
      </c>
      <c r="I33" s="142"/>
      <c r="J33" s="136" t="str">
        <f>_xlfn.XLOOKUP($I33,Tab_Def_Flows[Flow_Name],Tab_Def_Flows[Flow_ID],,0,)</f>
        <v>F_13_13</v>
      </c>
      <c r="K33" s="17" t="str">
        <f t="shared" si="6"/>
        <v>TC_material_13_13</v>
      </c>
      <c r="L33" s="144"/>
      <c r="M33" s="17" t="str">
        <f t="shared" si="2"/>
        <v>TC_WC_13_13</v>
      </c>
      <c r="N33" s="144"/>
      <c r="O33" s="17" t="str">
        <f t="shared" si="3"/>
        <v>TC_DM_13_13</v>
      </c>
      <c r="P33" s="144"/>
      <c r="Q33" s="7" t="str">
        <f t="shared" si="4"/>
        <v>TC_CC_13_13</v>
      </c>
      <c r="R33" s="144"/>
      <c r="S33" s="15"/>
      <c r="T33" s="15"/>
      <c r="U33" s="15"/>
      <c r="V33" s="15"/>
      <c r="W33" s="15"/>
    </row>
    <row r="34" spans="1:23" x14ac:dyDescent="0.25">
      <c r="A34" s="146" t="b">
        <v>0</v>
      </c>
      <c r="B34" s="7">
        <f t="shared" si="5"/>
        <v>33</v>
      </c>
      <c r="C34" s="22" t="str">
        <f>_xlfn.XLOOKUP($D34,Tab_Def_Processes[Process_Name],Tab_Def_Processes[ID],,0,)</f>
        <v>13</v>
      </c>
      <c r="D34" s="142"/>
      <c r="E34" s="7">
        <f>_xlfn.XLOOKUP($D34,Tab_Def_Processes[Process_Name],Tab_Def_Processes[Process_Logic],,0,)</f>
        <v>0</v>
      </c>
      <c r="F34" s="7">
        <f>_xlfn.XLOOKUP($D34,Tab_Def_Processes[Process_Name],Tab_Def_Processes[TC_Configuration],,0,)</f>
        <v>0</v>
      </c>
      <c r="G34" s="7">
        <f>_xlfn.XLOOKUP($D34,Tab_Def_Processes[Process_Name],Tab_Def_Processes[Stock_Configuration],,0,)</f>
        <v>0</v>
      </c>
      <c r="H34" s="7">
        <f>_xlfn.XLOOKUP($D34,Tab_Def_Processes[Process_Name],Tab_Def_Processes[Outflow_count],,0,)</f>
        <v>0</v>
      </c>
      <c r="I34" s="142"/>
      <c r="J34" s="136" t="str">
        <f>_xlfn.XLOOKUP($I34,Tab_Def_Flows[Flow_Name],Tab_Def_Flows[Flow_ID],,0,)</f>
        <v>F_13_13</v>
      </c>
      <c r="K34" s="17" t="str">
        <f t="shared" si="6"/>
        <v>TC_material_13_13</v>
      </c>
      <c r="L34" s="144"/>
      <c r="M34" s="17" t="str">
        <f t="shared" si="2"/>
        <v>TC_WC_13_13</v>
      </c>
      <c r="N34" s="144"/>
      <c r="O34" s="17" t="str">
        <f t="shared" si="3"/>
        <v>TC_DM_13_13</v>
      </c>
      <c r="P34" s="144"/>
      <c r="Q34" s="7" t="str">
        <f t="shared" si="4"/>
        <v>TC_CC_13_13</v>
      </c>
      <c r="R34" s="144"/>
      <c r="S34" s="15"/>
      <c r="T34" s="15"/>
      <c r="U34" s="15"/>
      <c r="V34" s="15"/>
      <c r="W34" s="15"/>
    </row>
    <row r="35" spans="1:23" x14ac:dyDescent="0.25">
      <c r="A35" s="146" t="b">
        <v>0</v>
      </c>
      <c r="B35" s="7">
        <f t="shared" si="5"/>
        <v>34</v>
      </c>
      <c r="C35" s="22" t="str">
        <f>_xlfn.XLOOKUP($D35,Tab_Def_Processes[Process_Name],Tab_Def_Processes[ID],,0,)</f>
        <v>13</v>
      </c>
      <c r="D35" s="142"/>
      <c r="E35" s="7">
        <f>_xlfn.XLOOKUP($D35,Tab_Def_Processes[Process_Name],Tab_Def_Processes[Process_Logic],,0,)</f>
        <v>0</v>
      </c>
      <c r="F35" s="7">
        <f>_xlfn.XLOOKUP($D35,Tab_Def_Processes[Process_Name],Tab_Def_Processes[TC_Configuration],,0,)</f>
        <v>0</v>
      </c>
      <c r="G35" s="7">
        <f>_xlfn.XLOOKUP($D35,Tab_Def_Processes[Process_Name],Tab_Def_Processes[Stock_Configuration],,0,)</f>
        <v>0</v>
      </c>
      <c r="H35" s="7">
        <f>_xlfn.XLOOKUP($D35,Tab_Def_Processes[Process_Name],Tab_Def_Processes[Outflow_count],,0,)</f>
        <v>0</v>
      </c>
      <c r="I35" s="142"/>
      <c r="J35" s="136" t="str">
        <f>_xlfn.XLOOKUP($I35,Tab_Def_Flows[Flow_Name],Tab_Def_Flows[Flow_ID],,0,)</f>
        <v>F_13_13</v>
      </c>
      <c r="K35" s="17" t="str">
        <f t="shared" si="6"/>
        <v>TC_material_13_13</v>
      </c>
      <c r="L35" s="144"/>
      <c r="M35" s="17" t="str">
        <f t="shared" si="2"/>
        <v>TC_WC_13_13</v>
      </c>
      <c r="N35" s="144"/>
      <c r="O35" s="17" t="str">
        <f t="shared" si="3"/>
        <v>TC_DM_13_13</v>
      </c>
      <c r="P35" s="144"/>
      <c r="Q35" s="7" t="str">
        <f t="shared" si="4"/>
        <v>TC_CC_13_13</v>
      </c>
      <c r="R35" s="144"/>
      <c r="S35" s="15"/>
      <c r="T35" s="15"/>
      <c r="U35" s="15"/>
      <c r="V35" s="15"/>
      <c r="W35" s="15"/>
    </row>
    <row r="36" spans="1:23" x14ac:dyDescent="0.25">
      <c r="A36" s="146" t="b">
        <v>0</v>
      </c>
      <c r="B36" s="7">
        <f t="shared" si="5"/>
        <v>35</v>
      </c>
      <c r="C36" s="22" t="str">
        <f>_xlfn.XLOOKUP($D36,Tab_Def_Processes[Process_Name],Tab_Def_Processes[ID],,0,)</f>
        <v>13</v>
      </c>
      <c r="D36" s="142"/>
      <c r="E36" s="7">
        <f>_xlfn.XLOOKUP($D36,Tab_Def_Processes[Process_Name],Tab_Def_Processes[Process_Logic],,0,)</f>
        <v>0</v>
      </c>
      <c r="F36" s="7">
        <f>_xlfn.XLOOKUP($D36,Tab_Def_Processes[Process_Name],Tab_Def_Processes[TC_Configuration],,0,)</f>
        <v>0</v>
      </c>
      <c r="G36" s="7">
        <f>_xlfn.XLOOKUP($D36,Tab_Def_Processes[Process_Name],Tab_Def_Processes[Stock_Configuration],,0,)</f>
        <v>0</v>
      </c>
      <c r="H36" s="7">
        <f>_xlfn.XLOOKUP($D36,Tab_Def_Processes[Process_Name],Tab_Def_Processes[Outflow_count],,0,)</f>
        <v>0</v>
      </c>
      <c r="I36" s="142"/>
      <c r="J36" s="136" t="str">
        <f>_xlfn.XLOOKUP($I36,Tab_Def_Flows[Flow_Name],Tab_Def_Flows[Flow_ID],,0,)</f>
        <v>F_13_13</v>
      </c>
      <c r="K36" s="17" t="str">
        <f t="shared" si="6"/>
        <v>TC_material_13_13</v>
      </c>
      <c r="L36" s="144"/>
      <c r="M36" s="17" t="str">
        <f t="shared" si="2"/>
        <v>TC_WC_13_13</v>
      </c>
      <c r="N36" s="144"/>
      <c r="O36" s="17" t="str">
        <f t="shared" si="3"/>
        <v>TC_DM_13_13</v>
      </c>
      <c r="P36" s="144"/>
      <c r="Q36" s="7" t="str">
        <f t="shared" si="4"/>
        <v>TC_CC_13_13</v>
      </c>
      <c r="R36" s="144"/>
      <c r="S36" s="15"/>
      <c r="T36" s="15"/>
      <c r="U36" s="15"/>
      <c r="V36" s="15"/>
      <c r="W36" s="15"/>
    </row>
    <row r="37" spans="1:23" x14ac:dyDescent="0.25">
      <c r="A37" s="146" t="b">
        <v>0</v>
      </c>
      <c r="B37" s="7">
        <f t="shared" si="5"/>
        <v>36</v>
      </c>
      <c r="C37" s="22" t="str">
        <f>_xlfn.XLOOKUP($D37,Tab_Def_Processes[Process_Name],Tab_Def_Processes[ID],,0,)</f>
        <v>13</v>
      </c>
      <c r="D37" s="142"/>
      <c r="E37" s="7">
        <f>_xlfn.XLOOKUP($D37,Tab_Def_Processes[Process_Name],Tab_Def_Processes[Process_Logic],,0,)</f>
        <v>0</v>
      </c>
      <c r="F37" s="7">
        <f>_xlfn.XLOOKUP($D37,Tab_Def_Processes[Process_Name],Tab_Def_Processes[TC_Configuration],,0,)</f>
        <v>0</v>
      </c>
      <c r="G37" s="7">
        <f>_xlfn.XLOOKUP($D37,Tab_Def_Processes[Process_Name],Tab_Def_Processes[Stock_Configuration],,0,)</f>
        <v>0</v>
      </c>
      <c r="H37" s="7">
        <f>_xlfn.XLOOKUP($D37,Tab_Def_Processes[Process_Name],Tab_Def_Processes[Outflow_count],,0,)</f>
        <v>0</v>
      </c>
      <c r="I37" s="142"/>
      <c r="J37" s="136" t="str">
        <f>_xlfn.XLOOKUP($I37,Tab_Def_Flows[Flow_Name],Tab_Def_Flows[Flow_ID],,0,)</f>
        <v>F_13_13</v>
      </c>
      <c r="K37" s="17" t="str">
        <f t="shared" si="6"/>
        <v>TC_material_13_13</v>
      </c>
      <c r="L37" s="144"/>
      <c r="M37" s="17" t="str">
        <f t="shared" si="2"/>
        <v>TC_WC_13_13</v>
      </c>
      <c r="N37" s="144"/>
      <c r="O37" s="17" t="str">
        <f t="shared" si="3"/>
        <v>TC_DM_13_13</v>
      </c>
      <c r="P37" s="144"/>
      <c r="Q37" s="7" t="str">
        <f t="shared" si="4"/>
        <v>TC_CC_13_13</v>
      </c>
      <c r="R37" s="144"/>
      <c r="S37" s="15"/>
      <c r="T37" s="15"/>
      <c r="U37" s="15"/>
      <c r="V37" s="15"/>
      <c r="W37" s="15"/>
    </row>
    <row r="38" spans="1:23" x14ac:dyDescent="0.25">
      <c r="A38" s="146" t="b">
        <v>0</v>
      </c>
      <c r="B38" s="7">
        <f t="shared" si="5"/>
        <v>37</v>
      </c>
      <c r="C38" s="22" t="str">
        <f>_xlfn.XLOOKUP($D38,Tab_Def_Processes[Process_Name],Tab_Def_Processes[ID],,0,)</f>
        <v>13</v>
      </c>
      <c r="D38" s="142"/>
      <c r="E38" s="7">
        <f>_xlfn.XLOOKUP($D38,Tab_Def_Processes[Process_Name],Tab_Def_Processes[Process_Logic],,0,)</f>
        <v>0</v>
      </c>
      <c r="F38" s="7">
        <f>_xlfn.XLOOKUP($D38,Tab_Def_Processes[Process_Name],Tab_Def_Processes[TC_Configuration],,0,)</f>
        <v>0</v>
      </c>
      <c r="G38" s="7">
        <f>_xlfn.XLOOKUP($D38,Tab_Def_Processes[Process_Name],Tab_Def_Processes[Stock_Configuration],,0,)</f>
        <v>0</v>
      </c>
      <c r="H38" s="7">
        <f>_xlfn.XLOOKUP($D38,Tab_Def_Processes[Process_Name],Tab_Def_Processes[Outflow_count],,0,)</f>
        <v>0</v>
      </c>
      <c r="I38" s="142"/>
      <c r="J38" s="136" t="str">
        <f>_xlfn.XLOOKUP($I38,Tab_Def_Flows[Flow_Name],Tab_Def_Flows[Flow_ID],,0,)</f>
        <v>F_13_13</v>
      </c>
      <c r="K38" s="17" t="str">
        <f t="shared" si="6"/>
        <v>TC_material_13_13</v>
      </c>
      <c r="L38" s="144"/>
      <c r="M38" s="17" t="str">
        <f t="shared" si="2"/>
        <v>TC_WC_13_13</v>
      </c>
      <c r="N38" s="144"/>
      <c r="O38" s="17" t="str">
        <f t="shared" si="3"/>
        <v>TC_DM_13_13</v>
      </c>
      <c r="P38" s="144"/>
      <c r="Q38" s="7" t="str">
        <f t="shared" si="4"/>
        <v>TC_CC_13_13</v>
      </c>
      <c r="R38" s="144"/>
      <c r="S38" s="15"/>
      <c r="T38" s="15"/>
      <c r="U38" s="15"/>
      <c r="V38" s="15"/>
      <c r="W38" s="15"/>
    </row>
    <row r="39" spans="1:23" x14ac:dyDescent="0.25">
      <c r="A39" s="146" t="b">
        <v>0</v>
      </c>
      <c r="B39" s="7">
        <f t="shared" si="5"/>
        <v>38</v>
      </c>
      <c r="C39" s="22" t="str">
        <f>_xlfn.XLOOKUP($D39,Tab_Def_Processes[Process_Name],Tab_Def_Processes[ID],,0,)</f>
        <v>13</v>
      </c>
      <c r="D39" s="142"/>
      <c r="E39" s="7">
        <f>_xlfn.XLOOKUP($D39,Tab_Def_Processes[Process_Name],Tab_Def_Processes[Process_Logic],,0,)</f>
        <v>0</v>
      </c>
      <c r="F39" s="7">
        <f>_xlfn.XLOOKUP($D39,Tab_Def_Processes[Process_Name],Tab_Def_Processes[TC_Configuration],,0,)</f>
        <v>0</v>
      </c>
      <c r="G39" s="7">
        <f>_xlfn.XLOOKUP($D39,Tab_Def_Processes[Process_Name],Tab_Def_Processes[Stock_Configuration],,0,)</f>
        <v>0</v>
      </c>
      <c r="H39" s="7">
        <f>_xlfn.XLOOKUP($D39,Tab_Def_Processes[Process_Name],Tab_Def_Processes[Outflow_count],,0,)</f>
        <v>0</v>
      </c>
      <c r="I39" s="142"/>
      <c r="J39" s="136" t="str">
        <f>_xlfn.XLOOKUP($I39,Tab_Def_Flows[Flow_Name],Tab_Def_Flows[Flow_ID],,0,)</f>
        <v>F_13_13</v>
      </c>
      <c r="K39" s="17" t="str">
        <f t="shared" si="6"/>
        <v>TC_material_13_13</v>
      </c>
      <c r="L39" s="144"/>
      <c r="M39" s="17" t="str">
        <f t="shared" si="2"/>
        <v>TC_WC_13_13</v>
      </c>
      <c r="N39" s="144"/>
      <c r="O39" s="17" t="str">
        <f t="shared" si="3"/>
        <v>TC_DM_13_13</v>
      </c>
      <c r="P39" s="144"/>
      <c r="Q39" s="7" t="str">
        <f t="shared" si="4"/>
        <v>TC_CC_13_13</v>
      </c>
      <c r="R39" s="144"/>
      <c r="S39" s="15"/>
      <c r="T39" s="15"/>
      <c r="U39" s="15"/>
      <c r="V39" s="15"/>
      <c r="W39" s="15"/>
    </row>
    <row r="40" spans="1:23" x14ac:dyDescent="0.25">
      <c r="A40" s="146" t="b">
        <v>0</v>
      </c>
      <c r="B40" s="7">
        <f t="shared" si="5"/>
        <v>39</v>
      </c>
      <c r="C40" s="22" t="str">
        <f>_xlfn.XLOOKUP($D40,Tab_Def_Processes[Process_Name],Tab_Def_Processes[ID],,0,)</f>
        <v>13</v>
      </c>
      <c r="D40" s="142"/>
      <c r="E40" s="7">
        <f>_xlfn.XLOOKUP($D40,Tab_Def_Processes[Process_Name],Tab_Def_Processes[Process_Logic],,0,)</f>
        <v>0</v>
      </c>
      <c r="F40" s="7">
        <f>_xlfn.XLOOKUP($D40,Tab_Def_Processes[Process_Name],Tab_Def_Processes[TC_Configuration],,0,)</f>
        <v>0</v>
      </c>
      <c r="G40" s="7">
        <f>_xlfn.XLOOKUP($D40,Tab_Def_Processes[Process_Name],Tab_Def_Processes[Stock_Configuration],,0,)</f>
        <v>0</v>
      </c>
      <c r="H40" s="7">
        <f>_xlfn.XLOOKUP($D40,Tab_Def_Processes[Process_Name],Tab_Def_Processes[Outflow_count],,0,)</f>
        <v>0</v>
      </c>
      <c r="I40" s="142"/>
      <c r="J40" s="136" t="str">
        <f>_xlfn.XLOOKUP($I40,Tab_Def_Flows[Flow_Name],Tab_Def_Flows[Flow_ID],,0,)</f>
        <v>F_13_13</v>
      </c>
      <c r="K40" s="17" t="str">
        <f t="shared" si="6"/>
        <v>TC_material_13_13</v>
      </c>
      <c r="L40" s="144"/>
      <c r="M40" s="17" t="str">
        <f t="shared" si="2"/>
        <v>TC_WC_13_13</v>
      </c>
      <c r="N40" s="144"/>
      <c r="O40" s="17" t="str">
        <f t="shared" si="3"/>
        <v>TC_DM_13_13</v>
      </c>
      <c r="P40" s="144"/>
      <c r="Q40" s="7" t="str">
        <f t="shared" si="4"/>
        <v>TC_CC_13_13</v>
      </c>
      <c r="R40" s="144"/>
      <c r="S40" s="15"/>
      <c r="T40" s="15"/>
      <c r="U40" s="15"/>
      <c r="V40" s="15"/>
      <c r="W40" s="15"/>
    </row>
    <row r="41" spans="1:23" x14ac:dyDescent="0.25">
      <c r="A41" s="146" t="b">
        <v>0</v>
      </c>
      <c r="B41" s="7">
        <f t="shared" si="5"/>
        <v>40</v>
      </c>
      <c r="C41" s="22" t="str">
        <f>_xlfn.XLOOKUP($D41,Tab_Def_Processes[Process_Name],Tab_Def_Processes[ID],,0,)</f>
        <v>13</v>
      </c>
      <c r="D41" s="142"/>
      <c r="E41" s="7">
        <f>_xlfn.XLOOKUP($D41,Tab_Def_Processes[Process_Name],Tab_Def_Processes[Process_Logic],,0,)</f>
        <v>0</v>
      </c>
      <c r="F41" s="7">
        <f>_xlfn.XLOOKUP($D41,Tab_Def_Processes[Process_Name],Tab_Def_Processes[TC_Configuration],,0,)</f>
        <v>0</v>
      </c>
      <c r="G41" s="7">
        <f>_xlfn.XLOOKUP($D41,Tab_Def_Processes[Process_Name],Tab_Def_Processes[Stock_Configuration],,0,)</f>
        <v>0</v>
      </c>
      <c r="H41" s="7">
        <f>_xlfn.XLOOKUP($D41,Tab_Def_Processes[Process_Name],Tab_Def_Processes[Outflow_count],,0,)</f>
        <v>0</v>
      </c>
      <c r="I41" s="142"/>
      <c r="J41" s="136" t="str">
        <f>_xlfn.XLOOKUP($I41,Tab_Def_Flows[Flow_Name],Tab_Def_Flows[Flow_ID],,0,)</f>
        <v>F_13_13</v>
      </c>
      <c r="K41" s="17" t="str">
        <f t="shared" si="6"/>
        <v>TC_material_13_13</v>
      </c>
      <c r="L41" s="144"/>
      <c r="M41" s="17" t="str">
        <f t="shared" si="2"/>
        <v>TC_WC_13_13</v>
      </c>
      <c r="N41" s="144"/>
      <c r="O41" s="17" t="str">
        <f t="shared" si="3"/>
        <v>TC_DM_13_13</v>
      </c>
      <c r="P41" s="144"/>
      <c r="Q41" s="7" t="str">
        <f t="shared" si="4"/>
        <v>TC_CC_13_13</v>
      </c>
      <c r="R41" s="144"/>
      <c r="S41" s="15"/>
      <c r="T41" s="15"/>
      <c r="U41" s="15"/>
      <c r="V41" s="15"/>
      <c r="W41" s="15"/>
    </row>
    <row r="42" spans="1:23" x14ac:dyDescent="0.25">
      <c r="A42" s="146" t="b">
        <v>0</v>
      </c>
      <c r="B42" s="7">
        <f t="shared" si="5"/>
        <v>41</v>
      </c>
      <c r="C42" s="22" t="str">
        <f>_xlfn.XLOOKUP($D42,Tab_Def_Processes[Process_Name],Tab_Def_Processes[ID],,0,)</f>
        <v>13</v>
      </c>
      <c r="D42" s="142"/>
      <c r="E42" s="7">
        <f>_xlfn.XLOOKUP($D42,Tab_Def_Processes[Process_Name],Tab_Def_Processes[Process_Logic],,0,)</f>
        <v>0</v>
      </c>
      <c r="F42" s="7">
        <f>_xlfn.XLOOKUP($D42,Tab_Def_Processes[Process_Name],Tab_Def_Processes[TC_Configuration],,0,)</f>
        <v>0</v>
      </c>
      <c r="G42" s="7">
        <f>_xlfn.XLOOKUP($D42,Tab_Def_Processes[Process_Name],Tab_Def_Processes[Stock_Configuration],,0,)</f>
        <v>0</v>
      </c>
      <c r="H42" s="7">
        <f>_xlfn.XLOOKUP($D42,Tab_Def_Processes[Process_Name],Tab_Def_Processes[Outflow_count],,0,)</f>
        <v>0</v>
      </c>
      <c r="I42" s="142"/>
      <c r="J42" s="136" t="str">
        <f>_xlfn.XLOOKUP($I42,Tab_Def_Flows[Flow_Name],Tab_Def_Flows[Flow_ID],,0,)</f>
        <v>F_13_13</v>
      </c>
      <c r="K42" s="17" t="str">
        <f t="shared" si="6"/>
        <v>TC_material_13_13</v>
      </c>
      <c r="L42" s="144"/>
      <c r="M42" s="17" t="str">
        <f t="shared" si="2"/>
        <v>TC_WC_13_13</v>
      </c>
      <c r="N42" s="144"/>
      <c r="O42" s="17" t="str">
        <f t="shared" si="3"/>
        <v>TC_DM_13_13</v>
      </c>
      <c r="P42" s="144"/>
      <c r="Q42" s="7" t="str">
        <f t="shared" si="4"/>
        <v>TC_CC_13_13</v>
      </c>
      <c r="R42" s="144"/>
      <c r="S42" s="15"/>
      <c r="T42" s="15"/>
      <c r="U42" s="15"/>
      <c r="V42" s="15"/>
      <c r="W42" s="15"/>
    </row>
    <row r="43" spans="1:23" x14ac:dyDescent="0.25">
      <c r="A43" s="146" t="b">
        <v>0</v>
      </c>
      <c r="B43" s="7">
        <f t="shared" si="5"/>
        <v>42</v>
      </c>
      <c r="C43" s="22" t="str">
        <f>_xlfn.XLOOKUP($D43,Tab_Def_Processes[Process_Name],Tab_Def_Processes[ID],,0,)</f>
        <v>13</v>
      </c>
      <c r="D43" s="142"/>
      <c r="E43" s="7">
        <f>_xlfn.XLOOKUP($D43,Tab_Def_Processes[Process_Name],Tab_Def_Processes[Process_Logic],,0,)</f>
        <v>0</v>
      </c>
      <c r="F43" s="7">
        <f>_xlfn.XLOOKUP($D43,Tab_Def_Processes[Process_Name],Tab_Def_Processes[TC_Configuration],,0,)</f>
        <v>0</v>
      </c>
      <c r="G43" s="7">
        <f>_xlfn.XLOOKUP($D43,Tab_Def_Processes[Process_Name],Tab_Def_Processes[Stock_Configuration],,0,)</f>
        <v>0</v>
      </c>
      <c r="H43" s="7">
        <f>_xlfn.XLOOKUP($D43,Tab_Def_Processes[Process_Name],Tab_Def_Processes[Outflow_count],,0,)</f>
        <v>0</v>
      </c>
      <c r="I43" s="142"/>
      <c r="J43" s="136" t="str">
        <f>_xlfn.XLOOKUP($I43,Tab_Def_Flows[Flow_Name],Tab_Def_Flows[Flow_ID],,0,)</f>
        <v>F_13_13</v>
      </c>
      <c r="K43" s="17" t="str">
        <f t="shared" si="6"/>
        <v>TC_material_13_13</v>
      </c>
      <c r="L43" s="144"/>
      <c r="M43" s="17" t="str">
        <f t="shared" si="2"/>
        <v>TC_WC_13_13</v>
      </c>
      <c r="N43" s="144"/>
      <c r="O43" s="17" t="str">
        <f t="shared" si="3"/>
        <v>TC_DM_13_13</v>
      </c>
      <c r="P43" s="144"/>
      <c r="Q43" s="7" t="str">
        <f t="shared" si="4"/>
        <v>TC_CC_13_13</v>
      </c>
      <c r="R43" s="144"/>
      <c r="S43" s="15"/>
      <c r="T43" s="15"/>
      <c r="U43" s="15"/>
      <c r="V43" s="15"/>
      <c r="W43" s="15"/>
    </row>
    <row r="44" spans="1:23" x14ac:dyDescent="0.25">
      <c r="A44" s="146" t="b">
        <v>0</v>
      </c>
      <c r="B44" s="7">
        <f t="shared" si="5"/>
        <v>43</v>
      </c>
      <c r="C44" s="22" t="str">
        <f>_xlfn.XLOOKUP($D44,Tab_Def_Processes[Process_Name],Tab_Def_Processes[ID],,0,)</f>
        <v>13</v>
      </c>
      <c r="D44" s="142"/>
      <c r="E44" s="7">
        <f>_xlfn.XLOOKUP($D44,Tab_Def_Processes[Process_Name],Tab_Def_Processes[Process_Logic],,0,)</f>
        <v>0</v>
      </c>
      <c r="F44" s="7">
        <f>_xlfn.XLOOKUP($D44,Tab_Def_Processes[Process_Name],Tab_Def_Processes[TC_Configuration],,0,)</f>
        <v>0</v>
      </c>
      <c r="G44" s="7">
        <f>_xlfn.XLOOKUP($D44,Tab_Def_Processes[Process_Name],Tab_Def_Processes[Stock_Configuration],,0,)</f>
        <v>0</v>
      </c>
      <c r="H44" s="7">
        <f>_xlfn.XLOOKUP($D44,Tab_Def_Processes[Process_Name],Tab_Def_Processes[Outflow_count],,0,)</f>
        <v>0</v>
      </c>
      <c r="I44" s="142"/>
      <c r="J44" s="136" t="str">
        <f>_xlfn.XLOOKUP($I44,Tab_Def_Flows[Flow_Name],Tab_Def_Flows[Flow_ID],,0,)</f>
        <v>F_13_13</v>
      </c>
      <c r="K44" s="17" t="str">
        <f t="shared" si="6"/>
        <v>TC_material_13_13</v>
      </c>
      <c r="L44" s="144"/>
      <c r="M44" s="17" t="str">
        <f t="shared" si="2"/>
        <v>TC_WC_13_13</v>
      </c>
      <c r="N44" s="144"/>
      <c r="O44" s="17" t="str">
        <f t="shared" si="3"/>
        <v>TC_DM_13_13</v>
      </c>
      <c r="P44" s="144"/>
      <c r="Q44" s="7" t="str">
        <f t="shared" si="4"/>
        <v>TC_CC_13_13</v>
      </c>
      <c r="R44" s="144"/>
      <c r="S44" s="15"/>
      <c r="T44" s="15"/>
      <c r="U44" s="15"/>
      <c r="V44" s="15"/>
      <c r="W44" s="15"/>
    </row>
    <row r="45" spans="1:23" x14ac:dyDescent="0.25">
      <c r="A45" s="146" t="b">
        <v>0</v>
      </c>
      <c r="B45" s="7">
        <f t="shared" si="5"/>
        <v>44</v>
      </c>
      <c r="C45" s="22" t="str">
        <f>_xlfn.XLOOKUP($D45,Tab_Def_Processes[Process_Name],Tab_Def_Processes[ID],,0,)</f>
        <v>13</v>
      </c>
      <c r="D45" s="142"/>
      <c r="E45" s="7">
        <f>_xlfn.XLOOKUP($D45,Tab_Def_Processes[Process_Name],Tab_Def_Processes[Process_Logic],,0,)</f>
        <v>0</v>
      </c>
      <c r="F45" s="7">
        <f>_xlfn.XLOOKUP($D45,Tab_Def_Processes[Process_Name],Tab_Def_Processes[TC_Configuration],,0,)</f>
        <v>0</v>
      </c>
      <c r="G45" s="7">
        <f>_xlfn.XLOOKUP($D45,Tab_Def_Processes[Process_Name],Tab_Def_Processes[Stock_Configuration],,0,)</f>
        <v>0</v>
      </c>
      <c r="H45" s="7">
        <f>_xlfn.XLOOKUP($D45,Tab_Def_Processes[Process_Name],Tab_Def_Processes[Outflow_count],,0,)</f>
        <v>0</v>
      </c>
      <c r="I45" s="142"/>
      <c r="J45" s="136" t="str">
        <f>_xlfn.XLOOKUP($I45,Tab_Def_Flows[Flow_Name],Tab_Def_Flows[Flow_ID],,0,)</f>
        <v>F_13_13</v>
      </c>
      <c r="K45" s="17" t="str">
        <f t="shared" si="6"/>
        <v>TC_material_13_13</v>
      </c>
      <c r="L45" s="144"/>
      <c r="M45" s="17" t="str">
        <f t="shared" si="2"/>
        <v>TC_WC_13_13</v>
      </c>
      <c r="N45" s="144"/>
      <c r="O45" s="17" t="str">
        <f t="shared" si="3"/>
        <v>TC_DM_13_13</v>
      </c>
      <c r="P45" s="144"/>
      <c r="Q45" s="7" t="str">
        <f t="shared" si="4"/>
        <v>TC_CC_13_13</v>
      </c>
      <c r="R45" s="144"/>
      <c r="S45" s="15"/>
      <c r="T45" s="15"/>
      <c r="U45" s="15"/>
      <c r="V45" s="15"/>
      <c r="W45" s="15"/>
    </row>
    <row r="46" spans="1:23" x14ac:dyDescent="0.25">
      <c r="A46" s="146" t="b">
        <v>0</v>
      </c>
      <c r="B46" s="7">
        <f t="shared" si="5"/>
        <v>45</v>
      </c>
      <c r="C46" s="22" t="str">
        <f>_xlfn.XLOOKUP($D46,Tab_Def_Processes[Process_Name],Tab_Def_Processes[ID],,0,)</f>
        <v>13</v>
      </c>
      <c r="D46" s="142"/>
      <c r="E46" s="7">
        <f>_xlfn.XLOOKUP($D46,Tab_Def_Processes[Process_Name],Tab_Def_Processes[Process_Logic],,0,)</f>
        <v>0</v>
      </c>
      <c r="F46" s="7">
        <f>_xlfn.XLOOKUP($D46,Tab_Def_Processes[Process_Name],Tab_Def_Processes[TC_Configuration],,0,)</f>
        <v>0</v>
      </c>
      <c r="G46" s="7">
        <f>_xlfn.XLOOKUP($D46,Tab_Def_Processes[Process_Name],Tab_Def_Processes[Stock_Configuration],,0,)</f>
        <v>0</v>
      </c>
      <c r="H46" s="7">
        <f>_xlfn.XLOOKUP($D46,Tab_Def_Processes[Process_Name],Tab_Def_Processes[Outflow_count],,0,)</f>
        <v>0</v>
      </c>
      <c r="I46" s="142"/>
      <c r="J46" s="136" t="str">
        <f>_xlfn.XLOOKUP($I46,Tab_Def_Flows[Flow_Name],Tab_Def_Flows[Flow_ID],,0,)</f>
        <v>F_13_13</v>
      </c>
      <c r="K46" s="17" t="str">
        <f t="shared" si="6"/>
        <v>TC_material_13_13</v>
      </c>
      <c r="L46" s="144"/>
      <c r="M46" s="17" t="str">
        <f t="shared" si="2"/>
        <v>TC_WC_13_13</v>
      </c>
      <c r="N46" s="144"/>
      <c r="O46" s="17" t="str">
        <f t="shared" si="3"/>
        <v>TC_DM_13_13</v>
      </c>
      <c r="P46" s="144"/>
      <c r="Q46" s="7" t="str">
        <f t="shared" si="4"/>
        <v>TC_CC_13_13</v>
      </c>
      <c r="R46" s="144"/>
      <c r="S46" s="15"/>
      <c r="T46" s="15"/>
      <c r="U46" s="15"/>
      <c r="V46" s="15"/>
      <c r="W46" s="15"/>
    </row>
    <row r="47" spans="1:23" x14ac:dyDescent="0.25">
      <c r="A47" s="146" t="b">
        <v>0</v>
      </c>
      <c r="B47" s="7">
        <f t="shared" si="5"/>
        <v>46</v>
      </c>
      <c r="C47" s="22" t="str">
        <f>_xlfn.XLOOKUP($D47,Tab_Def_Processes[Process_Name],Tab_Def_Processes[ID],,0,)</f>
        <v>13</v>
      </c>
      <c r="D47" s="142"/>
      <c r="E47" s="7">
        <f>_xlfn.XLOOKUP($D47,Tab_Def_Processes[Process_Name],Tab_Def_Processes[Process_Logic],,0,)</f>
        <v>0</v>
      </c>
      <c r="F47" s="7">
        <f>_xlfn.XLOOKUP($D47,Tab_Def_Processes[Process_Name],Tab_Def_Processes[TC_Configuration],,0,)</f>
        <v>0</v>
      </c>
      <c r="G47" s="7">
        <f>_xlfn.XLOOKUP($D47,Tab_Def_Processes[Process_Name],Tab_Def_Processes[Stock_Configuration],,0,)</f>
        <v>0</v>
      </c>
      <c r="H47" s="7">
        <f>_xlfn.XLOOKUP($D47,Tab_Def_Processes[Process_Name],Tab_Def_Processes[Outflow_count],,0,)</f>
        <v>0</v>
      </c>
      <c r="I47" s="142"/>
      <c r="J47" s="136" t="str">
        <f>_xlfn.XLOOKUP($I47,Tab_Def_Flows[Flow_Name],Tab_Def_Flows[Flow_ID],,0,)</f>
        <v>F_13_13</v>
      </c>
      <c r="K47" s="17" t="str">
        <f t="shared" si="6"/>
        <v>TC_material_13_13</v>
      </c>
      <c r="L47" s="144"/>
      <c r="M47" s="17" t="str">
        <f t="shared" si="2"/>
        <v>TC_WC_13_13</v>
      </c>
      <c r="N47" s="144"/>
      <c r="O47" s="17" t="str">
        <f t="shared" si="3"/>
        <v>TC_DM_13_13</v>
      </c>
      <c r="P47" s="144"/>
      <c r="Q47" s="7" t="str">
        <f t="shared" si="4"/>
        <v>TC_CC_13_13</v>
      </c>
      <c r="R47" s="144"/>
      <c r="S47" s="15"/>
      <c r="T47" s="15"/>
      <c r="U47" s="15"/>
      <c r="V47" s="15"/>
      <c r="W47" s="15"/>
    </row>
    <row r="48" spans="1:23" x14ac:dyDescent="0.25">
      <c r="A48" s="146" t="b">
        <v>0</v>
      </c>
      <c r="B48" s="7">
        <f t="shared" si="5"/>
        <v>47</v>
      </c>
      <c r="C48" s="22" t="str">
        <f>_xlfn.XLOOKUP($D48,Tab_Def_Processes[Process_Name],Tab_Def_Processes[ID],,0,)</f>
        <v>13</v>
      </c>
      <c r="D48" s="142"/>
      <c r="E48" s="7">
        <f>_xlfn.XLOOKUP($D48,Tab_Def_Processes[Process_Name],Tab_Def_Processes[Process_Logic],,0,)</f>
        <v>0</v>
      </c>
      <c r="F48" s="7">
        <f>_xlfn.XLOOKUP($D48,Tab_Def_Processes[Process_Name],Tab_Def_Processes[TC_Configuration],,0,)</f>
        <v>0</v>
      </c>
      <c r="G48" s="7">
        <f>_xlfn.XLOOKUP($D48,Tab_Def_Processes[Process_Name],Tab_Def_Processes[Stock_Configuration],,0,)</f>
        <v>0</v>
      </c>
      <c r="H48" s="7">
        <f>_xlfn.XLOOKUP($D48,Tab_Def_Processes[Process_Name],Tab_Def_Processes[Outflow_count],,0,)</f>
        <v>0</v>
      </c>
      <c r="I48" s="142"/>
      <c r="J48" s="136" t="str">
        <f>_xlfn.XLOOKUP($I48,Tab_Def_Flows[Flow_Name],Tab_Def_Flows[Flow_ID],,0,)</f>
        <v>F_13_13</v>
      </c>
      <c r="K48" s="17" t="str">
        <f t="shared" si="6"/>
        <v>TC_material_13_13</v>
      </c>
      <c r="L48" s="144"/>
      <c r="M48" s="17" t="str">
        <f t="shared" si="2"/>
        <v>TC_WC_13_13</v>
      </c>
      <c r="N48" s="144"/>
      <c r="O48" s="17" t="str">
        <f t="shared" si="3"/>
        <v>TC_DM_13_13</v>
      </c>
      <c r="P48" s="144"/>
      <c r="Q48" s="7" t="str">
        <f t="shared" si="4"/>
        <v>TC_CC_13_13</v>
      </c>
      <c r="R48" s="144"/>
      <c r="S48" s="15"/>
      <c r="T48" s="15"/>
      <c r="U48" s="15"/>
      <c r="V48" s="15"/>
      <c r="W48" s="15"/>
    </row>
    <row r="49" spans="1:23" x14ac:dyDescent="0.25">
      <c r="A49" s="146" t="b">
        <v>0</v>
      </c>
      <c r="B49" s="7">
        <f t="shared" si="5"/>
        <v>48</v>
      </c>
      <c r="C49" s="22" t="str">
        <f>_xlfn.XLOOKUP($D49,Tab_Def_Processes[Process_Name],Tab_Def_Processes[ID],,0,)</f>
        <v>13</v>
      </c>
      <c r="D49" s="142"/>
      <c r="E49" s="7">
        <f>_xlfn.XLOOKUP($D49,Tab_Def_Processes[Process_Name],Tab_Def_Processes[Process_Logic],,0,)</f>
        <v>0</v>
      </c>
      <c r="F49" s="7">
        <f>_xlfn.XLOOKUP($D49,Tab_Def_Processes[Process_Name],Tab_Def_Processes[TC_Configuration],,0,)</f>
        <v>0</v>
      </c>
      <c r="G49" s="7">
        <f>_xlfn.XLOOKUP($D49,Tab_Def_Processes[Process_Name],Tab_Def_Processes[Stock_Configuration],,0,)</f>
        <v>0</v>
      </c>
      <c r="H49" s="7">
        <f>_xlfn.XLOOKUP($D49,Tab_Def_Processes[Process_Name],Tab_Def_Processes[Outflow_count],,0,)</f>
        <v>0</v>
      </c>
      <c r="I49" s="142"/>
      <c r="J49" s="136" t="str">
        <f>_xlfn.XLOOKUP($I49,Tab_Def_Flows[Flow_Name],Tab_Def_Flows[Flow_ID],,0,)</f>
        <v>F_13_13</v>
      </c>
      <c r="K49" s="17" t="str">
        <f t="shared" si="6"/>
        <v>TC_material_13_13</v>
      </c>
      <c r="L49" s="144"/>
      <c r="M49" s="17" t="str">
        <f t="shared" si="2"/>
        <v>TC_WC_13_13</v>
      </c>
      <c r="N49" s="144"/>
      <c r="O49" s="17" t="str">
        <f t="shared" si="3"/>
        <v>TC_DM_13_13</v>
      </c>
      <c r="P49" s="144"/>
      <c r="Q49" s="7" t="str">
        <f t="shared" si="4"/>
        <v>TC_CC_13_13</v>
      </c>
      <c r="R49" s="144"/>
      <c r="S49" s="15"/>
      <c r="T49" s="15"/>
      <c r="U49" s="15"/>
      <c r="V49" s="15"/>
      <c r="W49" s="15"/>
    </row>
    <row r="50" spans="1:23" x14ac:dyDescent="0.25">
      <c r="A50" s="146" t="b">
        <v>0</v>
      </c>
      <c r="B50" s="7">
        <f t="shared" si="5"/>
        <v>49</v>
      </c>
      <c r="C50" s="22" t="str">
        <f>_xlfn.XLOOKUP($D50,Tab_Def_Processes[Process_Name],Tab_Def_Processes[ID],,0,)</f>
        <v>13</v>
      </c>
      <c r="D50" s="142"/>
      <c r="E50" s="7">
        <f>_xlfn.XLOOKUP($D50,Tab_Def_Processes[Process_Name],Tab_Def_Processes[Process_Logic],,0,)</f>
        <v>0</v>
      </c>
      <c r="F50" s="7">
        <f>_xlfn.XLOOKUP($D50,Tab_Def_Processes[Process_Name],Tab_Def_Processes[TC_Configuration],,0,)</f>
        <v>0</v>
      </c>
      <c r="G50" s="7">
        <f>_xlfn.XLOOKUP($D50,Tab_Def_Processes[Process_Name],Tab_Def_Processes[Stock_Configuration],,0,)</f>
        <v>0</v>
      </c>
      <c r="H50" s="7">
        <f>_xlfn.XLOOKUP($D50,Tab_Def_Processes[Process_Name],Tab_Def_Processes[Outflow_count],,0,)</f>
        <v>0</v>
      </c>
      <c r="I50" s="142"/>
      <c r="J50" s="136" t="str">
        <f>_xlfn.XLOOKUP($I50,Tab_Def_Flows[Flow_Name],Tab_Def_Flows[Flow_ID],,0,)</f>
        <v>F_13_13</v>
      </c>
      <c r="K50" s="17" t="str">
        <f t="shared" si="6"/>
        <v>TC_material_13_13</v>
      </c>
      <c r="L50" s="144"/>
      <c r="M50" s="17" t="str">
        <f t="shared" si="2"/>
        <v>TC_WC_13_13</v>
      </c>
      <c r="N50" s="144"/>
      <c r="O50" s="17" t="str">
        <f t="shared" si="3"/>
        <v>TC_DM_13_13</v>
      </c>
      <c r="P50" s="144"/>
      <c r="Q50" s="7" t="str">
        <f t="shared" si="4"/>
        <v>TC_CC_13_13</v>
      </c>
      <c r="R50" s="144"/>
      <c r="S50" s="15"/>
      <c r="T50" s="15"/>
      <c r="U50" s="15"/>
      <c r="V50" s="15"/>
      <c r="W50" s="15"/>
    </row>
  </sheetData>
  <sheetProtection selectLockedCells="1"/>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BE80A41C-CEEB-4E1A-8D1E-9D878728057C}">
          <x14:formula1>
            <xm:f>'2_1_Definition_Processes'!$D$2:$D$47</xm:f>
          </x14:formula1>
          <xm:sqref>D2:D1048576</xm:sqref>
        </x14:dataValidation>
        <x14:dataValidation type="list" allowBlank="1" showInputMessage="1" showErrorMessage="1" xr:uid="{8FE3D734-1C10-4EB8-BA5A-47B1ACC2BB98}">
          <x14:formula1>
            <xm:f>'1_1_Definition_Flows'!$D$2:$D$70</xm:f>
          </x14:formula1>
          <xm:sqref>I2:I50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B8CB-13D7-4D43-A139-4275D04AFFC9}">
  <sheetPr codeName="Sheet29">
    <tabColor theme="9" tint="0.79998168889431442"/>
  </sheetPr>
  <dimension ref="A1:X151"/>
  <sheetViews>
    <sheetView zoomScaleNormal="100" workbookViewId="0">
      <pane xSplit="5" topLeftCell="F1" activePane="topRight" state="frozen"/>
      <selection pane="topRight" activeCell="H2" sqref="H2:I2"/>
    </sheetView>
  </sheetViews>
  <sheetFormatPr defaultColWidth="10.85546875" defaultRowHeight="15" x14ac:dyDescent="0.25"/>
  <cols>
    <col min="2" max="2" width="16.5703125" customWidth="1"/>
    <col min="4" max="4" width="24" style="21" customWidth="1"/>
    <col min="5" max="5" width="30.5703125" customWidth="1"/>
    <col min="6" max="9" width="26.42578125" customWidth="1"/>
    <col min="10" max="11" width="16.5703125" customWidth="1"/>
    <col min="12" max="15" width="26.42578125" customWidth="1"/>
    <col min="16" max="16" width="20.28515625" customWidth="1"/>
    <col min="17" max="17" width="15.5703125" customWidth="1"/>
    <col min="18" max="18" width="18.85546875" customWidth="1"/>
    <col min="19" max="19" width="15.5703125" customWidth="1"/>
    <col min="20" max="25" width="10.85546875" customWidth="1"/>
  </cols>
  <sheetData>
    <row r="1" spans="1:24" x14ac:dyDescent="0.25">
      <c r="A1" s="145" t="s">
        <v>41</v>
      </c>
      <c r="B1" s="145" t="s">
        <v>19</v>
      </c>
      <c r="C1" s="145" t="s">
        <v>38</v>
      </c>
      <c r="D1" s="145" t="s">
        <v>541</v>
      </c>
      <c r="E1" s="145" t="s">
        <v>199</v>
      </c>
      <c r="F1" s="145" t="s">
        <v>503</v>
      </c>
      <c r="G1" s="145" t="s">
        <v>579</v>
      </c>
      <c r="H1" s="145" t="s">
        <v>580</v>
      </c>
      <c r="I1" s="145" t="s">
        <v>660</v>
      </c>
      <c r="J1" s="145" t="s">
        <v>26</v>
      </c>
      <c r="K1" s="145" t="s">
        <v>0</v>
      </c>
      <c r="L1" s="145" t="s">
        <v>516</v>
      </c>
      <c r="M1" s="145" t="s">
        <v>511</v>
      </c>
      <c r="N1" s="145" t="s">
        <v>517</v>
      </c>
      <c r="O1" s="145" t="s">
        <v>506</v>
      </c>
      <c r="P1" s="145" t="s">
        <v>518</v>
      </c>
      <c r="Q1" s="145" t="s">
        <v>507</v>
      </c>
      <c r="R1" s="145" t="s">
        <v>519</v>
      </c>
      <c r="S1" s="145" t="s">
        <v>508</v>
      </c>
      <c r="T1" s="145" t="s">
        <v>661</v>
      </c>
      <c r="U1" s="145" t="s">
        <v>586</v>
      </c>
      <c r="V1" s="145" t="s">
        <v>662</v>
      </c>
      <c r="W1" s="145" t="s">
        <v>663</v>
      </c>
      <c r="X1" s="145" t="s">
        <v>664</v>
      </c>
    </row>
    <row r="2" spans="1:24" x14ac:dyDescent="0.25">
      <c r="A2" s="146" t="b">
        <v>0</v>
      </c>
      <c r="B2" s="7">
        <f t="shared" ref="B2:B33" si="0">ROW()-1</f>
        <v>1</v>
      </c>
      <c r="C2" s="22" t="str">
        <f>_xlfn.XLOOKUP($D2,Tab_Def_Processes[Process_Name],Tab_Def_Processes[Process_ID],,0,)</f>
        <v>02</v>
      </c>
      <c r="D2" s="142" t="s">
        <v>520</v>
      </c>
      <c r="E2" s="142" t="s">
        <v>600</v>
      </c>
      <c r="F2" s="22" t="str">
        <f>_xlfn.XLOOKUP($D2,Tab_Def_Processes[Process_Name],Tab_Def_Processes[Process_Logic],,0,)</f>
        <v>Splitter</v>
      </c>
      <c r="G2" s="22" t="str">
        <f>_xlfn.XLOOKUP($D2,Tab_Def_Processes[Process_Name],Tab_Def_Processes[TC_Configuration],,0,)</f>
        <v>Dynamic</v>
      </c>
      <c r="H2" s="22" t="str">
        <f>_xlfn.XLOOKUP($D2,Tab_Def_Processes[Process_Name],Tab_Def_Processes[Stock_Configuration],,0,)</f>
        <v>No_Stock</v>
      </c>
      <c r="I2" s="22">
        <f>_xlfn.XLOOKUP($D2,Tab_Def_Processes[Process_Name],Tab_Def_Processes[Outflow_count],,0,)</f>
        <v>3</v>
      </c>
      <c r="J2" s="7" t="str">
        <f>_xlfn.XLOOKUP($E2,Tab_Def_Flows[Flow_Name],Tab_Def_Flows[Flow_ID],,0,1)</f>
        <v>F_02_12</v>
      </c>
      <c r="K2" s="8">
        <v>1950</v>
      </c>
      <c r="L2" s="17" t="str">
        <f>"TC_material"&amp;"_"&amp;RIGHT(J2,5)</f>
        <v>TC_material_02_12</v>
      </c>
      <c r="M2" s="144">
        <v>0.75</v>
      </c>
      <c r="N2" s="17" t="str">
        <f>"TC_WC"&amp;"_"&amp;RIGHT(J2,5)</f>
        <v>TC_WC_02_12</v>
      </c>
      <c r="O2" s="144"/>
      <c r="P2" s="17" t="str">
        <f>"TC_DM"&amp;"_"&amp;RIGHT(J2,5)</f>
        <v>TC_DM_02_12</v>
      </c>
      <c r="Q2" s="144"/>
      <c r="R2" s="17" t="str">
        <f>"TC_CC"&amp;"_"&amp;RIGHT(J2,5)</f>
        <v>TC_CC_02_12</v>
      </c>
      <c r="S2" s="8"/>
      <c r="T2" s="15"/>
      <c r="U2" s="15"/>
      <c r="V2" s="15"/>
      <c r="W2" s="15"/>
      <c r="X2" s="15"/>
    </row>
    <row r="3" spans="1:24" x14ac:dyDescent="0.25">
      <c r="A3" s="146" t="b">
        <v>0</v>
      </c>
      <c r="B3" s="7">
        <f t="shared" si="0"/>
        <v>2</v>
      </c>
      <c r="C3" s="22" t="str">
        <f>_xlfn.XLOOKUP($D3,Tab_Def_Processes[Process_Name],Tab_Def_Processes[Process_ID],,0,)</f>
        <v>02</v>
      </c>
      <c r="D3" s="142" t="s">
        <v>520</v>
      </c>
      <c r="E3" s="142" t="s">
        <v>600</v>
      </c>
      <c r="F3" s="22" t="str">
        <f>_xlfn.XLOOKUP($D3,Tab_Def_Processes[Process_Name],Tab_Def_Processes[Process_Logic],,0,)</f>
        <v>Splitter</v>
      </c>
      <c r="G3" s="22" t="str">
        <f>_xlfn.XLOOKUP($D3,Tab_Def_Processes[Process_Name],Tab_Def_Processes[TC_Configuration],,0,)</f>
        <v>Dynamic</v>
      </c>
      <c r="H3" s="22" t="str">
        <f>_xlfn.XLOOKUP($D3,Tab_Def_Processes[Process_Name],Tab_Def_Processes[Stock_Configuration],,0,)</f>
        <v>No_Stock</v>
      </c>
      <c r="I3" s="22">
        <f>_xlfn.XLOOKUP($D3,Tab_Def_Processes[Process_Name],Tab_Def_Processes[Outflow_count],,0,)</f>
        <v>3</v>
      </c>
      <c r="J3" s="7" t="str">
        <f>_xlfn.XLOOKUP($E3,Tab_Def_Flows[Flow_Name],Tab_Def_Flows[Flow_ID],,0,1)</f>
        <v>F_02_12</v>
      </c>
      <c r="K3" s="8">
        <v>2020</v>
      </c>
      <c r="L3" s="17" t="str">
        <f t="shared" ref="L3:L68" si="1">"TC_material"&amp;"_"&amp;RIGHT(J3,5)</f>
        <v>TC_material_02_12</v>
      </c>
      <c r="M3" s="144">
        <v>0.6</v>
      </c>
      <c r="N3" s="17" t="str">
        <f t="shared" ref="N3:N68" si="2">"TC_WC"&amp;"_"&amp;RIGHT(J3,5)</f>
        <v>TC_WC_02_12</v>
      </c>
      <c r="O3" s="144"/>
      <c r="P3" s="17" t="str">
        <f t="shared" ref="P3:P68" si="3">"TC_DM"&amp;"_"&amp;RIGHT(J3,5)</f>
        <v>TC_DM_02_12</v>
      </c>
      <c r="Q3" s="144"/>
      <c r="R3" s="17" t="str">
        <f t="shared" ref="R3:R68" si="4">"TC_CC"&amp;"_"&amp;RIGHT(J3,5)</f>
        <v>TC_CC_02_12</v>
      </c>
      <c r="S3" s="8"/>
      <c r="T3" s="15"/>
      <c r="U3" s="15"/>
      <c r="V3" s="15"/>
      <c r="W3" s="15"/>
      <c r="X3" s="15"/>
    </row>
    <row r="4" spans="1:24" x14ac:dyDescent="0.25">
      <c r="A4" s="146" t="b">
        <v>0</v>
      </c>
      <c r="B4" s="7">
        <f t="shared" si="0"/>
        <v>3</v>
      </c>
      <c r="C4" s="22" t="str">
        <f>_xlfn.XLOOKUP($D4,Tab_Def_Processes[Process_Name],Tab_Def_Processes[Process_ID],,0,)</f>
        <v>02</v>
      </c>
      <c r="D4" s="142" t="s">
        <v>520</v>
      </c>
      <c r="E4" s="142" t="s">
        <v>600</v>
      </c>
      <c r="F4" s="22" t="str">
        <f>_xlfn.XLOOKUP($D4,Tab_Def_Processes[Process_Name],Tab_Def_Processes[Process_Logic],,0,)</f>
        <v>Splitter</v>
      </c>
      <c r="G4" s="22" t="str">
        <f>_xlfn.XLOOKUP($D4,Tab_Def_Processes[Process_Name],Tab_Def_Processes[TC_Configuration],,0,)</f>
        <v>Dynamic</v>
      </c>
      <c r="H4" s="22" t="str">
        <f>_xlfn.XLOOKUP($D4,Tab_Def_Processes[Process_Name],Tab_Def_Processes[Stock_Configuration],,0,)</f>
        <v>No_Stock</v>
      </c>
      <c r="I4" s="22">
        <f>_xlfn.XLOOKUP($D4,Tab_Def_Processes[Process_Name],Tab_Def_Processes[Outflow_count],,0,)</f>
        <v>3</v>
      </c>
      <c r="J4" s="7" t="str">
        <f>_xlfn.XLOOKUP($E4,Tab_Def_Flows[Flow_Name],Tab_Def_Flows[Flow_ID],,0,1)</f>
        <v>F_02_12</v>
      </c>
      <c r="K4" s="8">
        <v>2100</v>
      </c>
      <c r="L4" s="17" t="str">
        <f t="shared" si="1"/>
        <v>TC_material_02_12</v>
      </c>
      <c r="M4" s="144">
        <v>0.6</v>
      </c>
      <c r="N4" s="17" t="str">
        <f t="shared" si="2"/>
        <v>TC_WC_02_12</v>
      </c>
      <c r="O4" s="144"/>
      <c r="P4" s="17" t="str">
        <f t="shared" si="3"/>
        <v>TC_DM_02_12</v>
      </c>
      <c r="Q4" s="144"/>
      <c r="R4" s="17" t="str">
        <f t="shared" si="4"/>
        <v>TC_CC_02_12</v>
      </c>
      <c r="S4" s="8"/>
      <c r="T4" s="15"/>
      <c r="U4" s="15"/>
      <c r="V4" s="15"/>
      <c r="W4" s="15"/>
      <c r="X4" s="15"/>
    </row>
    <row r="5" spans="1:24" x14ac:dyDescent="0.25">
      <c r="A5" s="146" t="b">
        <v>0</v>
      </c>
      <c r="B5" s="7">
        <f t="shared" si="0"/>
        <v>4</v>
      </c>
      <c r="C5" s="22" t="str">
        <f>_xlfn.XLOOKUP($D5,Tab_Def_Processes[Process_Name],Tab_Def_Processes[Process_ID],,0,)</f>
        <v>02</v>
      </c>
      <c r="D5" s="142" t="s">
        <v>520</v>
      </c>
      <c r="E5" s="142" t="s">
        <v>601</v>
      </c>
      <c r="F5" s="22" t="str">
        <f>_xlfn.XLOOKUP($D5,Tab_Def_Processes[Process_Name],Tab_Def_Processes[Process_Logic],,0,)</f>
        <v>Splitter</v>
      </c>
      <c r="G5" s="22" t="str">
        <f>_xlfn.XLOOKUP($D5,Tab_Def_Processes[Process_Name],Tab_Def_Processes[TC_Configuration],,0,)</f>
        <v>Dynamic</v>
      </c>
      <c r="H5" s="22" t="str">
        <f>_xlfn.XLOOKUP($D5,Tab_Def_Processes[Process_Name],Tab_Def_Processes[Stock_Configuration],,0,)</f>
        <v>No_Stock</v>
      </c>
      <c r="I5" s="22">
        <f>_xlfn.XLOOKUP($D5,Tab_Def_Processes[Process_Name],Tab_Def_Processes[Outflow_count],,0,)</f>
        <v>3</v>
      </c>
      <c r="J5" s="7" t="str">
        <f>_xlfn.XLOOKUP($E5,Tab_Def_Flows[Flow_Name],Tab_Def_Flows[Flow_ID],,0,1)</f>
        <v>F_02_10</v>
      </c>
      <c r="K5" s="8">
        <v>1950</v>
      </c>
      <c r="L5" s="17" t="str">
        <f t="shared" si="1"/>
        <v>TC_material_02_10</v>
      </c>
      <c r="M5" s="144">
        <v>0.2</v>
      </c>
      <c r="N5" s="17" t="str">
        <f t="shared" si="2"/>
        <v>TC_WC_02_10</v>
      </c>
      <c r="O5" s="144"/>
      <c r="P5" s="17" t="str">
        <f t="shared" si="3"/>
        <v>TC_DM_02_10</v>
      </c>
      <c r="Q5" s="144"/>
      <c r="R5" s="17" t="str">
        <f t="shared" si="4"/>
        <v>TC_CC_02_10</v>
      </c>
      <c r="S5" s="8"/>
      <c r="T5" s="15"/>
      <c r="U5" s="15"/>
      <c r="V5" s="15"/>
      <c r="W5" s="15"/>
      <c r="X5" s="15"/>
    </row>
    <row r="6" spans="1:24" x14ac:dyDescent="0.25">
      <c r="A6" s="146" t="b">
        <v>0</v>
      </c>
      <c r="B6" s="7">
        <f t="shared" si="0"/>
        <v>5</v>
      </c>
      <c r="C6" s="22" t="str">
        <f>_xlfn.XLOOKUP($D6,Tab_Def_Processes[Process_Name],Tab_Def_Processes[Process_ID],,0,)</f>
        <v>02</v>
      </c>
      <c r="D6" s="142" t="s">
        <v>520</v>
      </c>
      <c r="E6" s="142" t="s">
        <v>601</v>
      </c>
      <c r="F6" s="22" t="str">
        <f>_xlfn.XLOOKUP($D6,Tab_Def_Processes[Process_Name],Tab_Def_Processes[Process_Logic],,0,)</f>
        <v>Splitter</v>
      </c>
      <c r="G6" s="22" t="str">
        <f>_xlfn.XLOOKUP($D6,Tab_Def_Processes[Process_Name],Tab_Def_Processes[TC_Configuration],,0,)</f>
        <v>Dynamic</v>
      </c>
      <c r="H6" s="22" t="str">
        <f>_xlfn.XLOOKUP($D6,Tab_Def_Processes[Process_Name],Tab_Def_Processes[Stock_Configuration],,0,)</f>
        <v>No_Stock</v>
      </c>
      <c r="I6" s="22">
        <f>_xlfn.XLOOKUP($D6,Tab_Def_Processes[Process_Name],Tab_Def_Processes[Outflow_count],,0,)</f>
        <v>3</v>
      </c>
      <c r="J6" s="7" t="str">
        <f>_xlfn.XLOOKUP($E6,Tab_Def_Flows[Flow_Name],Tab_Def_Flows[Flow_ID],,0,1)</f>
        <v>F_02_10</v>
      </c>
      <c r="K6" s="8">
        <v>2020</v>
      </c>
      <c r="L6" s="17" t="str">
        <f t="shared" si="1"/>
        <v>TC_material_02_10</v>
      </c>
      <c r="M6" s="144">
        <v>0.18</v>
      </c>
      <c r="N6" s="17" t="str">
        <f t="shared" si="2"/>
        <v>TC_WC_02_10</v>
      </c>
      <c r="O6" s="144"/>
      <c r="P6" s="17" t="str">
        <f t="shared" si="3"/>
        <v>TC_DM_02_10</v>
      </c>
      <c r="Q6" s="144"/>
      <c r="R6" s="17" t="str">
        <f t="shared" si="4"/>
        <v>TC_CC_02_10</v>
      </c>
      <c r="S6" s="8"/>
      <c r="T6" s="15"/>
      <c r="U6" s="15"/>
      <c r="V6" s="15"/>
      <c r="W6" s="15"/>
      <c r="X6" s="15"/>
    </row>
    <row r="7" spans="1:24" x14ac:dyDescent="0.25">
      <c r="A7" s="146" t="b">
        <v>0</v>
      </c>
      <c r="B7" s="7">
        <f t="shared" si="0"/>
        <v>6</v>
      </c>
      <c r="C7" s="22" t="str">
        <f>_xlfn.XLOOKUP($D7,Tab_Def_Processes[Process_Name],Tab_Def_Processes[Process_ID],,0,)</f>
        <v>02</v>
      </c>
      <c r="D7" s="142" t="s">
        <v>520</v>
      </c>
      <c r="E7" s="142" t="s">
        <v>601</v>
      </c>
      <c r="F7" s="22" t="str">
        <f>_xlfn.XLOOKUP($D7,Tab_Def_Processes[Process_Name],Tab_Def_Processes[Process_Logic],,0,)</f>
        <v>Splitter</v>
      </c>
      <c r="G7" s="22" t="str">
        <f>_xlfn.XLOOKUP($D7,Tab_Def_Processes[Process_Name],Tab_Def_Processes[TC_Configuration],,0,)</f>
        <v>Dynamic</v>
      </c>
      <c r="H7" s="22" t="str">
        <f>_xlfn.XLOOKUP($D7,Tab_Def_Processes[Process_Name],Tab_Def_Processes[Stock_Configuration],,0,)</f>
        <v>No_Stock</v>
      </c>
      <c r="I7" s="22">
        <f>_xlfn.XLOOKUP($D7,Tab_Def_Processes[Process_Name],Tab_Def_Processes[Outflow_count],,0,)</f>
        <v>3</v>
      </c>
      <c r="J7" s="7" t="str">
        <f>_xlfn.XLOOKUP($E7,Tab_Def_Flows[Flow_Name],Tab_Def_Flows[Flow_ID],,0,1)</f>
        <v>F_02_10</v>
      </c>
      <c r="K7" s="8">
        <v>2100</v>
      </c>
      <c r="L7" s="17" t="str">
        <f t="shared" si="1"/>
        <v>TC_material_02_10</v>
      </c>
      <c r="M7" s="144">
        <v>0.18</v>
      </c>
      <c r="N7" s="17" t="str">
        <f t="shared" si="2"/>
        <v>TC_WC_02_10</v>
      </c>
      <c r="O7" s="144"/>
      <c r="P7" s="17" t="str">
        <f t="shared" si="3"/>
        <v>TC_DM_02_10</v>
      </c>
      <c r="Q7" s="144"/>
      <c r="R7" s="17" t="str">
        <f t="shared" si="4"/>
        <v>TC_CC_02_10</v>
      </c>
      <c r="S7" s="8"/>
      <c r="T7" s="15"/>
      <c r="U7" s="15"/>
      <c r="V7" s="15"/>
      <c r="W7" s="15"/>
      <c r="X7" s="15"/>
    </row>
    <row r="8" spans="1:24" x14ac:dyDescent="0.25">
      <c r="A8" s="146" t="b">
        <v>0</v>
      </c>
      <c r="B8" s="7">
        <f t="shared" si="0"/>
        <v>7</v>
      </c>
      <c r="C8" s="22" t="str">
        <f>_xlfn.XLOOKUP($D8,Tab_Def_Processes[Process_Name],Tab_Def_Processes[Process_ID],,0,)</f>
        <v>02</v>
      </c>
      <c r="D8" s="142" t="s">
        <v>520</v>
      </c>
      <c r="E8" s="142" t="s">
        <v>602</v>
      </c>
      <c r="F8" s="22" t="str">
        <f>_xlfn.XLOOKUP($D8,Tab_Def_Processes[Process_Name],Tab_Def_Processes[Process_Logic],,0,)</f>
        <v>Splitter</v>
      </c>
      <c r="G8" s="22" t="str">
        <f>_xlfn.XLOOKUP($D8,Tab_Def_Processes[Process_Name],Tab_Def_Processes[TC_Configuration],,0,)</f>
        <v>Dynamic</v>
      </c>
      <c r="H8" s="22" t="str">
        <f>_xlfn.XLOOKUP($D8,Tab_Def_Processes[Process_Name],Tab_Def_Processes[Stock_Configuration],,0,)</f>
        <v>No_Stock</v>
      </c>
      <c r="I8" s="22">
        <f>_xlfn.XLOOKUP($D8,Tab_Def_Processes[Process_Name],Tab_Def_Processes[Outflow_count],,0,)</f>
        <v>3</v>
      </c>
      <c r="J8" s="7" t="str">
        <f>_xlfn.XLOOKUP($E8,Tab_Def_Flows[Flow_Name],Tab_Def_Flows[Flow_ID],,0,1)</f>
        <v>F_02_11</v>
      </c>
      <c r="K8" s="8">
        <v>1950</v>
      </c>
      <c r="L8" s="17" t="str">
        <f t="shared" si="1"/>
        <v>TC_material_02_11</v>
      </c>
      <c r="M8" s="144">
        <v>0.05</v>
      </c>
      <c r="N8" s="17" t="str">
        <f t="shared" si="2"/>
        <v>TC_WC_02_11</v>
      </c>
      <c r="O8" s="144"/>
      <c r="P8" s="17" t="str">
        <f t="shared" si="3"/>
        <v>TC_DM_02_11</v>
      </c>
      <c r="Q8" s="144"/>
      <c r="R8" s="17" t="str">
        <f t="shared" si="4"/>
        <v>TC_CC_02_11</v>
      </c>
      <c r="S8" s="8"/>
      <c r="T8" s="15"/>
      <c r="U8" s="15"/>
      <c r="V8" s="15"/>
      <c r="W8" s="15"/>
      <c r="X8" s="15"/>
    </row>
    <row r="9" spans="1:24" x14ac:dyDescent="0.25">
      <c r="A9" s="146" t="b">
        <v>0</v>
      </c>
      <c r="B9" s="7">
        <f t="shared" si="0"/>
        <v>8</v>
      </c>
      <c r="C9" s="22" t="str">
        <f>_xlfn.XLOOKUP($D9,Tab_Def_Processes[Process_Name],Tab_Def_Processes[Process_ID],,0,)</f>
        <v>02</v>
      </c>
      <c r="D9" s="142" t="s">
        <v>520</v>
      </c>
      <c r="E9" s="142" t="s">
        <v>602</v>
      </c>
      <c r="F9" s="22" t="str">
        <f>_xlfn.XLOOKUP($D9,Tab_Def_Processes[Process_Name],Tab_Def_Processes[Process_Logic],,0,)</f>
        <v>Splitter</v>
      </c>
      <c r="G9" s="22" t="str">
        <f>_xlfn.XLOOKUP($D9,Tab_Def_Processes[Process_Name],Tab_Def_Processes[TC_Configuration],,0,)</f>
        <v>Dynamic</v>
      </c>
      <c r="H9" s="22" t="str">
        <f>_xlfn.XLOOKUP($D9,Tab_Def_Processes[Process_Name],Tab_Def_Processes[Stock_Configuration],,0,)</f>
        <v>No_Stock</v>
      </c>
      <c r="I9" s="22">
        <f>_xlfn.XLOOKUP($D9,Tab_Def_Processes[Process_Name],Tab_Def_Processes[Outflow_count],,0,)</f>
        <v>3</v>
      </c>
      <c r="J9" s="7" t="str">
        <f>_xlfn.XLOOKUP($E9,Tab_Def_Flows[Flow_Name],Tab_Def_Flows[Flow_ID],,0,1)</f>
        <v>F_02_11</v>
      </c>
      <c r="K9" s="8">
        <v>2020</v>
      </c>
      <c r="L9" s="17" t="str">
        <f t="shared" si="1"/>
        <v>TC_material_02_11</v>
      </c>
      <c r="M9" s="144">
        <v>0.22</v>
      </c>
      <c r="N9" s="17" t="str">
        <f t="shared" si="2"/>
        <v>TC_WC_02_11</v>
      </c>
      <c r="O9" s="144"/>
      <c r="P9" s="17" t="str">
        <f t="shared" si="3"/>
        <v>TC_DM_02_11</v>
      </c>
      <c r="Q9" s="144"/>
      <c r="R9" s="17" t="str">
        <f t="shared" si="4"/>
        <v>TC_CC_02_11</v>
      </c>
      <c r="S9" s="8"/>
      <c r="T9" s="15"/>
      <c r="U9" s="15"/>
      <c r="V9" s="15"/>
      <c r="W9" s="15"/>
      <c r="X9" s="15"/>
    </row>
    <row r="10" spans="1:24" x14ac:dyDescent="0.25">
      <c r="A10" s="146" t="b">
        <v>0</v>
      </c>
      <c r="B10" s="7">
        <f t="shared" si="0"/>
        <v>9</v>
      </c>
      <c r="C10" s="22" t="str">
        <f>_xlfn.XLOOKUP($D10,Tab_Def_Processes[Process_Name],Tab_Def_Processes[Process_ID],,0,)</f>
        <v>02</v>
      </c>
      <c r="D10" s="142" t="s">
        <v>520</v>
      </c>
      <c r="E10" s="142" t="s">
        <v>602</v>
      </c>
      <c r="F10" s="22" t="str">
        <f>_xlfn.XLOOKUP($D10,Tab_Def_Processes[Process_Name],Tab_Def_Processes[Process_Logic],,0,)</f>
        <v>Splitter</v>
      </c>
      <c r="G10" s="22" t="str">
        <f>_xlfn.XLOOKUP($D10,Tab_Def_Processes[Process_Name],Tab_Def_Processes[TC_Configuration],,0,)</f>
        <v>Dynamic</v>
      </c>
      <c r="H10" s="22" t="str">
        <f>_xlfn.XLOOKUP($D10,Tab_Def_Processes[Process_Name],Tab_Def_Processes[Stock_Configuration],,0,)</f>
        <v>No_Stock</v>
      </c>
      <c r="I10" s="22">
        <f>_xlfn.XLOOKUP($D10,Tab_Def_Processes[Process_Name],Tab_Def_Processes[Outflow_count],,0,)</f>
        <v>3</v>
      </c>
      <c r="J10" s="7" t="str">
        <f>_xlfn.XLOOKUP($E10,Tab_Def_Flows[Flow_Name],Tab_Def_Flows[Flow_ID],,0,1)</f>
        <v>F_02_11</v>
      </c>
      <c r="K10" s="8">
        <v>2100</v>
      </c>
      <c r="L10" s="17" t="str">
        <f t="shared" si="1"/>
        <v>TC_material_02_11</v>
      </c>
      <c r="M10" s="144">
        <v>0.22</v>
      </c>
      <c r="N10" s="17" t="str">
        <f t="shared" si="2"/>
        <v>TC_WC_02_11</v>
      </c>
      <c r="O10" s="144"/>
      <c r="P10" s="17" t="str">
        <f t="shared" si="3"/>
        <v>TC_DM_02_11</v>
      </c>
      <c r="Q10" s="144"/>
      <c r="R10" s="17" t="str">
        <f t="shared" si="4"/>
        <v>TC_CC_02_11</v>
      </c>
      <c r="S10" s="8"/>
      <c r="T10" s="15"/>
      <c r="U10" s="15"/>
      <c r="V10" s="15"/>
      <c r="W10" s="15"/>
      <c r="X10" s="15"/>
    </row>
    <row r="11" spans="1:24" x14ac:dyDescent="0.25">
      <c r="A11" s="146" t="b">
        <v>0</v>
      </c>
      <c r="B11" s="7">
        <f t="shared" si="0"/>
        <v>10</v>
      </c>
      <c r="C11" s="22" t="str">
        <f>_xlfn.XLOOKUP($D11,Tab_Def_Processes[Process_Name],Tab_Def_Processes[Process_ID],,0,)</f>
        <v>03</v>
      </c>
      <c r="D11" s="142" t="s">
        <v>591</v>
      </c>
      <c r="E11" s="142" t="s">
        <v>604</v>
      </c>
      <c r="F11" s="22" t="str">
        <f>_xlfn.XLOOKUP($D11,Tab_Def_Processes[Process_Name],Tab_Def_Processes[Process_Logic],,0,)</f>
        <v>Splitter</v>
      </c>
      <c r="G11" s="22" t="str">
        <f>_xlfn.XLOOKUP($D11,Tab_Def_Processes[Process_Name],Tab_Def_Processes[TC_Configuration],,0,)</f>
        <v>Dynamic</v>
      </c>
      <c r="H11" s="22" t="str">
        <f>_xlfn.XLOOKUP($D11,Tab_Def_Processes[Process_Name],Tab_Def_Processes[Stock_Configuration],,0,)</f>
        <v>No_Stock</v>
      </c>
      <c r="I11" s="22">
        <f>_xlfn.XLOOKUP($D11,Tab_Def_Processes[Process_Name],Tab_Def_Processes[Outflow_count],,0,)</f>
        <v>3</v>
      </c>
      <c r="J11" s="7" t="str">
        <f>_xlfn.XLOOKUP($E11,Tab_Def_Flows[Flow_Name],Tab_Def_Flows[Flow_ID],,0,1)</f>
        <v>F_03_05</v>
      </c>
      <c r="K11" s="8">
        <v>1950</v>
      </c>
      <c r="L11" s="17" t="str">
        <f t="shared" si="1"/>
        <v>TC_material_03_05</v>
      </c>
      <c r="M11" s="144">
        <v>0.5</v>
      </c>
      <c r="N11" s="17" t="str">
        <f t="shared" si="2"/>
        <v>TC_WC_03_05</v>
      </c>
      <c r="O11" s="144"/>
      <c r="P11" s="17" t="str">
        <f t="shared" si="3"/>
        <v>TC_DM_03_05</v>
      </c>
      <c r="Q11" s="144"/>
      <c r="R11" s="17" t="str">
        <f t="shared" si="4"/>
        <v>TC_CC_03_05</v>
      </c>
      <c r="S11" s="8"/>
      <c r="T11" s="15"/>
      <c r="U11" s="15"/>
      <c r="V11" s="15"/>
      <c r="W11" s="15"/>
      <c r="X11" s="15"/>
    </row>
    <row r="12" spans="1:24" x14ac:dyDescent="0.25">
      <c r="A12" s="146" t="b">
        <v>0</v>
      </c>
      <c r="B12" s="7">
        <f t="shared" si="0"/>
        <v>11</v>
      </c>
      <c r="C12" s="22" t="str">
        <f>_xlfn.XLOOKUP($D12,Tab_Def_Processes[Process_Name],Tab_Def_Processes[Process_ID],,0,)</f>
        <v>03</v>
      </c>
      <c r="D12" s="142" t="s">
        <v>591</v>
      </c>
      <c r="E12" s="142" t="s">
        <v>604</v>
      </c>
      <c r="F12" s="22" t="str">
        <f>_xlfn.XLOOKUP($D12,Tab_Def_Processes[Process_Name],Tab_Def_Processes[Process_Logic],,0,)</f>
        <v>Splitter</v>
      </c>
      <c r="G12" s="22" t="str">
        <f>_xlfn.XLOOKUP($D12,Tab_Def_Processes[Process_Name],Tab_Def_Processes[TC_Configuration],,0,)</f>
        <v>Dynamic</v>
      </c>
      <c r="H12" s="22" t="str">
        <f>_xlfn.XLOOKUP($D12,Tab_Def_Processes[Process_Name],Tab_Def_Processes[Stock_Configuration],,0,)</f>
        <v>No_Stock</v>
      </c>
      <c r="I12" s="22">
        <f>_xlfn.XLOOKUP($D12,Tab_Def_Processes[Process_Name],Tab_Def_Processes[Outflow_count],,0,)</f>
        <v>3</v>
      </c>
      <c r="J12" s="7" t="str">
        <f>_xlfn.XLOOKUP($E12,Tab_Def_Flows[Flow_Name],Tab_Def_Flows[Flow_ID],,0,1)</f>
        <v>F_03_05</v>
      </c>
      <c r="K12" s="8">
        <v>1990</v>
      </c>
      <c r="L12" s="17" t="str">
        <f t="shared" si="1"/>
        <v>TC_material_03_05</v>
      </c>
      <c r="M12" s="144">
        <v>0.5</v>
      </c>
      <c r="N12" s="17" t="str">
        <f t="shared" si="2"/>
        <v>TC_WC_03_05</v>
      </c>
      <c r="O12" s="144"/>
      <c r="P12" s="17" t="str">
        <f t="shared" si="3"/>
        <v>TC_DM_03_05</v>
      </c>
      <c r="Q12" s="144"/>
      <c r="R12" s="17" t="str">
        <f t="shared" si="4"/>
        <v>TC_CC_03_05</v>
      </c>
      <c r="S12" s="8"/>
      <c r="T12" s="15"/>
      <c r="U12" s="15"/>
      <c r="V12" s="15"/>
      <c r="W12" s="15"/>
      <c r="X12" s="15"/>
    </row>
    <row r="13" spans="1:24" x14ac:dyDescent="0.25">
      <c r="A13" s="146" t="b">
        <v>0</v>
      </c>
      <c r="B13" s="7">
        <f t="shared" si="0"/>
        <v>12</v>
      </c>
      <c r="C13" s="22" t="str">
        <f>_xlfn.XLOOKUP($D13,Tab_Def_Processes[Process_Name],Tab_Def_Processes[Process_ID],,0,)</f>
        <v>03</v>
      </c>
      <c r="D13" s="142" t="s">
        <v>591</v>
      </c>
      <c r="E13" s="142" t="s">
        <v>604</v>
      </c>
      <c r="F13" s="22" t="str">
        <f>_xlfn.XLOOKUP($D13,Tab_Def_Processes[Process_Name],Tab_Def_Processes[Process_Logic],,0,)</f>
        <v>Splitter</v>
      </c>
      <c r="G13" s="22" t="str">
        <f>_xlfn.XLOOKUP($D13,Tab_Def_Processes[Process_Name],Tab_Def_Processes[TC_Configuration],,0,)</f>
        <v>Dynamic</v>
      </c>
      <c r="H13" s="22" t="str">
        <f>_xlfn.XLOOKUP($D13,Tab_Def_Processes[Process_Name],Tab_Def_Processes[Stock_Configuration],,0,)</f>
        <v>No_Stock</v>
      </c>
      <c r="I13" s="22">
        <f>_xlfn.XLOOKUP($D13,Tab_Def_Processes[Process_Name],Tab_Def_Processes[Outflow_count],,0,)</f>
        <v>3</v>
      </c>
      <c r="J13" s="7" t="str">
        <f>_xlfn.XLOOKUP($E13,Tab_Def_Flows[Flow_Name],Tab_Def_Flows[Flow_ID],,0,1)</f>
        <v>F_03_05</v>
      </c>
      <c r="K13" s="8">
        <v>2020</v>
      </c>
      <c r="L13" s="17" t="str">
        <f>"TC_material"&amp;"_"&amp;RIGHT(J13,5)</f>
        <v>TC_material_03_05</v>
      </c>
      <c r="M13" s="144">
        <v>0.55000000000000004</v>
      </c>
      <c r="N13" s="17" t="str">
        <f t="shared" si="2"/>
        <v>TC_WC_03_05</v>
      </c>
      <c r="O13" s="144"/>
      <c r="P13" s="17" t="str">
        <f t="shared" si="3"/>
        <v>TC_DM_03_05</v>
      </c>
      <c r="Q13" s="144"/>
      <c r="R13" s="17" t="str">
        <f t="shared" si="4"/>
        <v>TC_CC_03_05</v>
      </c>
      <c r="S13" s="8"/>
      <c r="T13" s="15"/>
      <c r="U13" s="15"/>
      <c r="V13" s="15"/>
      <c r="W13" s="15"/>
      <c r="X13" s="15"/>
    </row>
    <row r="14" spans="1:24" x14ac:dyDescent="0.25">
      <c r="A14" s="146" t="b">
        <v>0</v>
      </c>
      <c r="B14" s="7">
        <f t="shared" si="0"/>
        <v>13</v>
      </c>
      <c r="C14" s="22" t="str">
        <f>_xlfn.XLOOKUP($D14,Tab_Def_Processes[Process_Name],Tab_Def_Processes[Process_ID],,0,)</f>
        <v>03</v>
      </c>
      <c r="D14" s="142" t="s">
        <v>591</v>
      </c>
      <c r="E14" s="142" t="s">
        <v>613</v>
      </c>
      <c r="F14" s="22" t="str">
        <f>_xlfn.XLOOKUP($D14,Tab_Def_Processes[Process_Name],Tab_Def_Processes[Process_Logic],,0,)</f>
        <v>Splitter</v>
      </c>
      <c r="G14" s="22" t="str">
        <f>_xlfn.XLOOKUP($D14,Tab_Def_Processes[Process_Name],Tab_Def_Processes[TC_Configuration],,0,)</f>
        <v>Dynamic</v>
      </c>
      <c r="H14" s="22" t="str">
        <f>_xlfn.XLOOKUP($D14,Tab_Def_Processes[Process_Name],Tab_Def_Processes[Stock_Configuration],,0,)</f>
        <v>No_Stock</v>
      </c>
      <c r="I14" s="22">
        <f>_xlfn.XLOOKUP($D14,Tab_Def_Processes[Process_Name],Tab_Def_Processes[Outflow_count],,0,)</f>
        <v>3</v>
      </c>
      <c r="J14" s="7" t="str">
        <f>_xlfn.XLOOKUP($E14,Tab_Def_Flows[Flow_Name],Tab_Def_Flows[Flow_ID],,0,1)</f>
        <v>F_03_07</v>
      </c>
      <c r="K14" s="8">
        <v>1950</v>
      </c>
      <c r="L14" s="17" t="str">
        <f t="shared" si="1"/>
        <v>TC_material_03_07</v>
      </c>
      <c r="M14" s="144">
        <v>0</v>
      </c>
      <c r="N14" s="17" t="str">
        <f t="shared" si="2"/>
        <v>TC_WC_03_07</v>
      </c>
      <c r="O14" s="144"/>
      <c r="P14" s="17" t="str">
        <f t="shared" si="3"/>
        <v>TC_DM_03_07</v>
      </c>
      <c r="Q14" s="144"/>
      <c r="R14" s="17" t="str">
        <f t="shared" si="4"/>
        <v>TC_CC_03_07</v>
      </c>
      <c r="S14" s="8"/>
      <c r="T14" s="15"/>
      <c r="U14" s="15"/>
      <c r="V14" s="15"/>
      <c r="W14" s="15"/>
      <c r="X14" s="15"/>
    </row>
    <row r="15" spans="1:24" x14ac:dyDescent="0.25">
      <c r="A15" s="146" t="b">
        <v>0</v>
      </c>
      <c r="B15" s="7">
        <f t="shared" si="0"/>
        <v>14</v>
      </c>
      <c r="C15" s="22" t="str">
        <f>_xlfn.XLOOKUP($D15,Tab_Def_Processes[Process_Name],Tab_Def_Processes[Process_ID],,0,)</f>
        <v>03</v>
      </c>
      <c r="D15" s="142" t="s">
        <v>591</v>
      </c>
      <c r="E15" s="142" t="s">
        <v>613</v>
      </c>
      <c r="F15" s="22" t="str">
        <f>_xlfn.XLOOKUP($D15,Tab_Def_Processes[Process_Name],Tab_Def_Processes[Process_Logic],,0,)</f>
        <v>Splitter</v>
      </c>
      <c r="G15" s="22" t="str">
        <f>_xlfn.XLOOKUP($D15,Tab_Def_Processes[Process_Name],Tab_Def_Processes[TC_Configuration],,0,)</f>
        <v>Dynamic</v>
      </c>
      <c r="H15" s="22" t="str">
        <f>_xlfn.XLOOKUP($D15,Tab_Def_Processes[Process_Name],Tab_Def_Processes[Stock_Configuration],,0,)</f>
        <v>No_Stock</v>
      </c>
      <c r="I15" s="22">
        <f>_xlfn.XLOOKUP($D15,Tab_Def_Processes[Process_Name],Tab_Def_Processes[Outflow_count],,0,)</f>
        <v>3</v>
      </c>
      <c r="J15" s="7" t="str">
        <f>_xlfn.XLOOKUP($E15,Tab_Def_Flows[Flow_Name],Tab_Def_Flows[Flow_ID],,0,1)</f>
        <v>F_03_07</v>
      </c>
      <c r="K15" s="8">
        <v>1990</v>
      </c>
      <c r="L15" s="17" t="str">
        <f t="shared" si="1"/>
        <v>TC_material_03_07</v>
      </c>
      <c r="M15" s="144">
        <v>0</v>
      </c>
      <c r="N15" s="17" t="str">
        <f t="shared" si="2"/>
        <v>TC_WC_03_07</v>
      </c>
      <c r="O15" s="144"/>
      <c r="P15" s="17" t="str">
        <f t="shared" si="3"/>
        <v>TC_DM_03_07</v>
      </c>
      <c r="Q15" s="144"/>
      <c r="R15" s="17" t="str">
        <f t="shared" si="4"/>
        <v>TC_CC_03_07</v>
      </c>
      <c r="S15" s="8"/>
      <c r="T15" s="15"/>
      <c r="U15" s="15"/>
      <c r="V15" s="15"/>
      <c r="W15" s="15"/>
      <c r="X15" s="15"/>
    </row>
    <row r="16" spans="1:24" x14ac:dyDescent="0.25">
      <c r="A16" s="146" t="b">
        <v>0</v>
      </c>
      <c r="B16" s="7">
        <f t="shared" si="0"/>
        <v>15</v>
      </c>
      <c r="C16" s="22" t="str">
        <f>_xlfn.XLOOKUP($D16,Tab_Def_Processes[Process_Name],Tab_Def_Processes[Process_ID],,0,)</f>
        <v>03</v>
      </c>
      <c r="D16" s="142" t="s">
        <v>591</v>
      </c>
      <c r="E16" s="142" t="s">
        <v>613</v>
      </c>
      <c r="F16" s="22" t="str">
        <f>_xlfn.XLOOKUP($D16,Tab_Def_Processes[Process_Name],Tab_Def_Processes[Process_Logic],,0,)</f>
        <v>Splitter</v>
      </c>
      <c r="G16" s="22" t="str">
        <f>_xlfn.XLOOKUP($D16,Tab_Def_Processes[Process_Name],Tab_Def_Processes[TC_Configuration],,0,)</f>
        <v>Dynamic</v>
      </c>
      <c r="H16" s="22" t="str">
        <f>_xlfn.XLOOKUP($D16,Tab_Def_Processes[Process_Name],Tab_Def_Processes[Stock_Configuration],,0,)</f>
        <v>No_Stock</v>
      </c>
      <c r="I16" s="22">
        <f>_xlfn.XLOOKUP($D16,Tab_Def_Processes[Process_Name],Tab_Def_Processes[Outflow_count],,0,)</f>
        <v>3</v>
      </c>
      <c r="J16" s="7" t="str">
        <f>_xlfn.XLOOKUP($E16,Tab_Def_Flows[Flow_Name],Tab_Def_Flows[Flow_ID],,0,1)</f>
        <v>F_03_07</v>
      </c>
      <c r="K16" s="8">
        <v>2020</v>
      </c>
      <c r="L16" s="17" t="str">
        <f t="shared" si="1"/>
        <v>TC_material_03_07</v>
      </c>
      <c r="M16" s="144">
        <v>0.25</v>
      </c>
      <c r="N16" s="17" t="str">
        <f t="shared" si="2"/>
        <v>TC_WC_03_07</v>
      </c>
      <c r="O16" s="144"/>
      <c r="P16" s="17" t="str">
        <f t="shared" si="3"/>
        <v>TC_DM_03_07</v>
      </c>
      <c r="Q16" s="144"/>
      <c r="R16" s="17" t="str">
        <f t="shared" si="4"/>
        <v>TC_CC_03_07</v>
      </c>
      <c r="S16" s="8"/>
      <c r="T16" s="15"/>
      <c r="U16" s="15"/>
      <c r="V16" s="15"/>
      <c r="W16" s="15"/>
      <c r="X16" s="15"/>
    </row>
    <row r="17" spans="1:24" x14ac:dyDescent="0.25">
      <c r="A17" s="146" t="b">
        <v>0</v>
      </c>
      <c r="B17" s="7">
        <f>ROW()-1</f>
        <v>16</v>
      </c>
      <c r="C17" s="22" t="str">
        <f>_xlfn.XLOOKUP($D17,Tab_Def_Processes[Process_Name],Tab_Def_Processes[Process_ID],,0,)</f>
        <v>03</v>
      </c>
      <c r="D17" s="142" t="s">
        <v>591</v>
      </c>
      <c r="E17" s="142" t="s">
        <v>603</v>
      </c>
      <c r="F17" s="22" t="str">
        <f>_xlfn.XLOOKUP($D17,Tab_Def_Processes[Process_Name],Tab_Def_Processes[Process_Logic],,0,)</f>
        <v>Splitter</v>
      </c>
      <c r="G17" s="22" t="str">
        <f>_xlfn.XLOOKUP($D17,Tab_Def_Processes[Process_Name],Tab_Def_Processes[TC_Configuration],,0,)</f>
        <v>Dynamic</v>
      </c>
      <c r="H17" s="22" t="str">
        <f>_xlfn.XLOOKUP($D17,Tab_Def_Processes[Process_Name],Tab_Def_Processes[Stock_Configuration],,0,)</f>
        <v>No_Stock</v>
      </c>
      <c r="I17" s="22">
        <f>_xlfn.XLOOKUP($D17,Tab_Def_Processes[Process_Name],Tab_Def_Processes[Outflow_count],,0,)</f>
        <v>3</v>
      </c>
      <c r="J17" s="7" t="str">
        <f>_xlfn.XLOOKUP($E17,Tab_Def_Flows[Flow_Name],Tab_Def_Flows[Flow_ID],,0,1)</f>
        <v>F_03_04</v>
      </c>
      <c r="K17" s="8">
        <v>1950</v>
      </c>
      <c r="L17" s="17" t="str">
        <f>"TC_material"&amp;"_"&amp;RIGHT(J17,5)</f>
        <v>TC_material_03_04</v>
      </c>
      <c r="M17" s="144">
        <v>0.5</v>
      </c>
      <c r="N17" s="17" t="str">
        <f>"TC_WC"&amp;"_"&amp;RIGHT(J17,5)</f>
        <v>TC_WC_03_04</v>
      </c>
      <c r="O17" s="144"/>
      <c r="P17" s="17" t="str">
        <f t="shared" si="3"/>
        <v>TC_DM_03_04</v>
      </c>
      <c r="Q17" s="144"/>
      <c r="R17" s="17" t="str">
        <f t="shared" si="4"/>
        <v>TC_CC_03_04</v>
      </c>
      <c r="S17" s="8"/>
      <c r="T17" s="15"/>
      <c r="U17" s="15"/>
      <c r="V17" s="15"/>
      <c r="W17" s="15"/>
      <c r="X17" s="15"/>
    </row>
    <row r="18" spans="1:24" x14ac:dyDescent="0.25">
      <c r="A18" s="146" t="b">
        <v>0</v>
      </c>
      <c r="B18" s="7">
        <f>ROW()-1</f>
        <v>17</v>
      </c>
      <c r="C18" s="22" t="str">
        <f>_xlfn.XLOOKUP($D18,Tab_Def_Processes[Process_Name],Tab_Def_Processes[Process_ID],,0,)</f>
        <v>03</v>
      </c>
      <c r="D18" s="142" t="s">
        <v>591</v>
      </c>
      <c r="E18" s="142" t="s">
        <v>603</v>
      </c>
      <c r="F18" s="22" t="str">
        <f>_xlfn.XLOOKUP($D18,Tab_Def_Processes[Process_Name],Tab_Def_Processes[Process_Logic],,0,)</f>
        <v>Splitter</v>
      </c>
      <c r="G18" s="22" t="str">
        <f>_xlfn.XLOOKUP($D18,Tab_Def_Processes[Process_Name],Tab_Def_Processes[TC_Configuration],,0,)</f>
        <v>Dynamic</v>
      </c>
      <c r="H18" s="22" t="str">
        <f>_xlfn.XLOOKUP($D18,Tab_Def_Processes[Process_Name],Tab_Def_Processes[Stock_Configuration],,0,)</f>
        <v>No_Stock</v>
      </c>
      <c r="I18" s="22">
        <f>_xlfn.XLOOKUP($D18,Tab_Def_Processes[Process_Name],Tab_Def_Processes[Outflow_count],,0,)</f>
        <v>3</v>
      </c>
      <c r="J18" s="7" t="str">
        <f>_xlfn.XLOOKUP($E18,Tab_Def_Flows[Flow_Name],Tab_Def_Flows[Flow_ID],,0,1)</f>
        <v>F_03_04</v>
      </c>
      <c r="K18" s="8">
        <v>1990</v>
      </c>
      <c r="L18" s="17" t="str">
        <f>"TC_material"&amp;"_"&amp;RIGHT(J18,5)</f>
        <v>TC_material_03_04</v>
      </c>
      <c r="M18" s="144">
        <v>0.5</v>
      </c>
      <c r="N18" s="17" t="str">
        <f>"TC_WC"&amp;"_"&amp;RIGHT(J18,5)</f>
        <v>TC_WC_03_04</v>
      </c>
      <c r="O18" s="144"/>
      <c r="P18" s="17" t="str">
        <f t="shared" si="3"/>
        <v>TC_DM_03_04</v>
      </c>
      <c r="Q18" s="144"/>
      <c r="R18" s="17" t="str">
        <f t="shared" si="4"/>
        <v>TC_CC_03_04</v>
      </c>
      <c r="S18" s="8"/>
      <c r="T18" s="15"/>
      <c r="U18" s="15"/>
      <c r="V18" s="15"/>
      <c r="W18" s="15"/>
      <c r="X18" s="15"/>
    </row>
    <row r="19" spans="1:24" x14ac:dyDescent="0.25">
      <c r="A19" s="146" t="b">
        <v>0</v>
      </c>
      <c r="B19" s="7">
        <f t="shared" si="0"/>
        <v>18</v>
      </c>
      <c r="C19" s="22" t="str">
        <f>_xlfn.XLOOKUP($D19,Tab_Def_Processes[Process_Name],Tab_Def_Processes[Process_ID],,0,)</f>
        <v>03</v>
      </c>
      <c r="D19" s="142" t="s">
        <v>591</v>
      </c>
      <c r="E19" s="142" t="s">
        <v>603</v>
      </c>
      <c r="F19" s="22" t="str">
        <f>_xlfn.XLOOKUP($D19,Tab_Def_Processes[Process_Name],Tab_Def_Processes[Process_Logic],,0,)</f>
        <v>Splitter</v>
      </c>
      <c r="G19" s="22" t="str">
        <f>_xlfn.XLOOKUP($D19,Tab_Def_Processes[Process_Name],Tab_Def_Processes[TC_Configuration],,0,)</f>
        <v>Dynamic</v>
      </c>
      <c r="H19" s="22" t="str">
        <f>_xlfn.XLOOKUP($D19,Tab_Def_Processes[Process_Name],Tab_Def_Processes[Stock_Configuration],,0,)</f>
        <v>No_Stock</v>
      </c>
      <c r="I19" s="22">
        <f>_xlfn.XLOOKUP($D19,Tab_Def_Processes[Process_Name],Tab_Def_Processes[Outflow_count],,0,)</f>
        <v>3</v>
      </c>
      <c r="J19" s="7" t="str">
        <f>_xlfn.XLOOKUP($E19,Tab_Def_Flows[Flow_Name],Tab_Def_Flows[Flow_ID],,0,1)</f>
        <v>F_03_04</v>
      </c>
      <c r="K19" s="8">
        <v>2020</v>
      </c>
      <c r="L19" s="17" t="str">
        <f t="shared" si="1"/>
        <v>TC_material_03_04</v>
      </c>
      <c r="M19" s="144">
        <v>0.2</v>
      </c>
      <c r="N19" s="17" t="str">
        <f t="shared" si="2"/>
        <v>TC_WC_03_04</v>
      </c>
      <c r="O19" s="144"/>
      <c r="P19" s="17" t="str">
        <f t="shared" si="3"/>
        <v>TC_DM_03_04</v>
      </c>
      <c r="Q19" s="144"/>
      <c r="R19" s="17" t="str">
        <f t="shared" si="4"/>
        <v>TC_CC_03_04</v>
      </c>
      <c r="S19" s="8"/>
      <c r="T19" s="15"/>
      <c r="U19" s="15"/>
      <c r="V19" s="15"/>
      <c r="W19" s="15"/>
      <c r="X19" s="15"/>
    </row>
    <row r="20" spans="1:24" ht="16.5" customHeight="1" x14ac:dyDescent="0.25">
      <c r="A20" s="146" t="b">
        <v>0</v>
      </c>
      <c r="B20" s="7">
        <f t="shared" si="0"/>
        <v>19</v>
      </c>
      <c r="C20" s="22" t="str">
        <f>_xlfn.XLOOKUP($D20,Tab_Def_Processes[Process_Name],Tab_Def_Processes[Process_ID],,0,)</f>
        <v>06</v>
      </c>
      <c r="D20" s="142" t="s">
        <v>590</v>
      </c>
      <c r="E20" s="142" t="s">
        <v>607</v>
      </c>
      <c r="F20" s="22" t="str">
        <f>_xlfn.XLOOKUP($D20,Tab_Def_Processes[Process_Name],Tab_Def_Processes[Process_Logic],,0,)</f>
        <v>Splitter</v>
      </c>
      <c r="G20" s="22" t="str">
        <f>_xlfn.XLOOKUP($D20,Tab_Def_Processes[Process_Name],Tab_Def_Processes[TC_Configuration],,0,)</f>
        <v>Dynamic</v>
      </c>
      <c r="H20" s="22" t="str">
        <f>_xlfn.XLOOKUP($D20,Tab_Def_Processes[Process_Name],Tab_Def_Processes[Stock_Configuration],,0,)</f>
        <v>No_Stock</v>
      </c>
      <c r="I20" s="22">
        <f>_xlfn.XLOOKUP($D20,Tab_Def_Processes[Process_Name],Tab_Def_Processes[Outflow_count],,0,)</f>
        <v>2</v>
      </c>
      <c r="J20" s="7" t="str">
        <f>_xlfn.XLOOKUP($E20,Tab_Def_Flows[Flow_Name],Tab_Def_Flows[Flow_ID],,0,1)</f>
        <v>F_06_08</v>
      </c>
      <c r="K20" s="8">
        <v>1950</v>
      </c>
      <c r="L20" s="17" t="str">
        <f t="shared" si="1"/>
        <v>TC_material_06_08</v>
      </c>
      <c r="M20" s="144">
        <v>1</v>
      </c>
      <c r="N20" s="17" t="str">
        <f t="shared" si="2"/>
        <v>TC_WC_06_08</v>
      </c>
      <c r="O20" s="144"/>
      <c r="P20" s="17" t="str">
        <f t="shared" si="3"/>
        <v>TC_DM_06_08</v>
      </c>
      <c r="Q20" s="144"/>
      <c r="R20" s="17" t="str">
        <f t="shared" si="4"/>
        <v>TC_CC_06_08</v>
      </c>
      <c r="S20" s="8"/>
      <c r="T20" s="15"/>
      <c r="U20" s="15"/>
      <c r="V20" s="15"/>
      <c r="W20" s="15"/>
      <c r="X20" s="15"/>
    </row>
    <row r="21" spans="1:24" ht="16.5" customHeight="1" x14ac:dyDescent="0.25">
      <c r="A21" s="146" t="b">
        <v>0</v>
      </c>
      <c r="B21" s="7">
        <f>ROW()-1</f>
        <v>20</v>
      </c>
      <c r="C21" s="22" t="str">
        <f>_xlfn.XLOOKUP($D21,Tab_Def_Processes[Process_Name],Tab_Def_Processes[Process_ID],,0,)</f>
        <v>06</v>
      </c>
      <c r="D21" s="142" t="s">
        <v>590</v>
      </c>
      <c r="E21" s="142" t="s">
        <v>606</v>
      </c>
      <c r="F21" s="22" t="str">
        <f>_xlfn.XLOOKUP($D21,Tab_Def_Processes[Process_Name],Tab_Def_Processes[Process_Logic],,0,)</f>
        <v>Splitter</v>
      </c>
      <c r="G21" s="22" t="str">
        <f>_xlfn.XLOOKUP($D21,Tab_Def_Processes[Process_Name],Tab_Def_Processes[TC_Configuration],,0,)</f>
        <v>Dynamic</v>
      </c>
      <c r="H21" s="22" t="str">
        <f>_xlfn.XLOOKUP($D21,Tab_Def_Processes[Process_Name],Tab_Def_Processes[Stock_Configuration],,0,)</f>
        <v>No_Stock</v>
      </c>
      <c r="I21" s="22">
        <f>_xlfn.XLOOKUP($D21,Tab_Def_Processes[Process_Name],Tab_Def_Processes[Outflow_count],,0,)</f>
        <v>2</v>
      </c>
      <c r="J21" s="7" t="str">
        <f>_xlfn.XLOOKUP($E21,Tab_Def_Flows[Flow_Name],Tab_Def_Flows[Flow_ID],,0,1)</f>
        <v>F_06_07</v>
      </c>
      <c r="K21" s="8">
        <v>1950</v>
      </c>
      <c r="L21" s="17" t="str">
        <f>"TC_material"&amp;"_"&amp;RIGHT(J21,5)</f>
        <v>TC_material_06_07</v>
      </c>
      <c r="M21" s="144">
        <v>0</v>
      </c>
      <c r="N21" s="17" t="str">
        <f>"TC_WC"&amp;"_"&amp;RIGHT(J21,5)</f>
        <v>TC_WC_06_07</v>
      </c>
      <c r="O21" s="144"/>
      <c r="P21" s="17" t="str">
        <f t="shared" si="3"/>
        <v>TC_DM_06_07</v>
      </c>
      <c r="Q21" s="144"/>
      <c r="R21" s="17" t="str">
        <f t="shared" si="4"/>
        <v>TC_CC_06_07</v>
      </c>
      <c r="S21" s="8"/>
      <c r="T21" s="15"/>
      <c r="U21" s="15"/>
      <c r="V21" s="15"/>
      <c r="W21" s="15"/>
      <c r="X21" s="15"/>
    </row>
    <row r="22" spans="1:24" ht="16.5" customHeight="1" x14ac:dyDescent="0.25">
      <c r="A22" s="146" t="b">
        <v>0</v>
      </c>
      <c r="B22" s="7">
        <f>ROW()-1</f>
        <v>21</v>
      </c>
      <c r="C22" s="22" t="str">
        <f>_xlfn.XLOOKUP($D22,Tab_Def_Processes[Process_Name],Tab_Def_Processes[Process_ID],,0,)</f>
        <v>06</v>
      </c>
      <c r="D22" s="142" t="s">
        <v>590</v>
      </c>
      <c r="E22" s="142" t="s">
        <v>607</v>
      </c>
      <c r="F22" s="22" t="str">
        <f>_xlfn.XLOOKUP($D22,Tab_Def_Processes[Process_Name],Tab_Def_Processes[Process_Logic],,0,)</f>
        <v>Splitter</v>
      </c>
      <c r="G22" s="22" t="str">
        <f>_xlfn.XLOOKUP($D22,Tab_Def_Processes[Process_Name],Tab_Def_Processes[TC_Configuration],,0,)</f>
        <v>Dynamic</v>
      </c>
      <c r="H22" s="22" t="str">
        <f>_xlfn.XLOOKUP($D22,Tab_Def_Processes[Process_Name],Tab_Def_Processes[Stock_Configuration],,0,)</f>
        <v>No_Stock</v>
      </c>
      <c r="I22" s="22">
        <f>_xlfn.XLOOKUP($D22,Tab_Def_Processes[Process_Name],Tab_Def_Processes[Outflow_count],,0,)</f>
        <v>2</v>
      </c>
      <c r="J22" s="7" t="str">
        <f>_xlfn.XLOOKUP($E22,Tab_Def_Flows[Flow_Name],Tab_Def_Flows[Flow_ID],,0,1)</f>
        <v>F_06_08</v>
      </c>
      <c r="K22" s="8">
        <v>1990</v>
      </c>
      <c r="L22" s="17" t="str">
        <f>"TC_material"&amp;"_"&amp;RIGHT(J22,5)</f>
        <v>TC_material_06_08</v>
      </c>
      <c r="M22" s="144">
        <v>1</v>
      </c>
      <c r="N22" s="17" t="str">
        <f>"TC_WC"&amp;"_"&amp;RIGHT(J22,5)</f>
        <v>TC_WC_06_08</v>
      </c>
      <c r="O22" s="144"/>
      <c r="P22" s="17" t="str">
        <f t="shared" si="3"/>
        <v>TC_DM_06_08</v>
      </c>
      <c r="Q22" s="144"/>
      <c r="R22" s="17" t="str">
        <f t="shared" si="4"/>
        <v>TC_CC_06_08</v>
      </c>
      <c r="S22" s="8"/>
      <c r="T22" s="15"/>
      <c r="U22" s="15"/>
      <c r="V22" s="15"/>
      <c r="W22" s="15"/>
      <c r="X22" s="15"/>
    </row>
    <row r="23" spans="1:24" x14ac:dyDescent="0.25">
      <c r="A23" s="146" t="b">
        <v>0</v>
      </c>
      <c r="B23" s="7">
        <f t="shared" si="0"/>
        <v>22</v>
      </c>
      <c r="C23" s="22" t="str">
        <f>_xlfn.XLOOKUP($D23,Tab_Def_Processes[Process_Name],Tab_Def_Processes[Process_ID],,0,)</f>
        <v>06</v>
      </c>
      <c r="D23" s="142" t="s">
        <v>590</v>
      </c>
      <c r="E23" s="142" t="s">
        <v>606</v>
      </c>
      <c r="F23" s="22" t="str">
        <f>_xlfn.XLOOKUP($D23,Tab_Def_Processes[Process_Name],Tab_Def_Processes[Process_Logic],,0,)</f>
        <v>Splitter</v>
      </c>
      <c r="G23" s="22" t="str">
        <f>_xlfn.XLOOKUP($D23,Tab_Def_Processes[Process_Name],Tab_Def_Processes[TC_Configuration],,0,)</f>
        <v>Dynamic</v>
      </c>
      <c r="H23" s="22" t="str">
        <f>_xlfn.XLOOKUP($D23,Tab_Def_Processes[Process_Name],Tab_Def_Processes[Stock_Configuration],,0,)</f>
        <v>No_Stock</v>
      </c>
      <c r="I23" s="22">
        <f>_xlfn.XLOOKUP($D23,Tab_Def_Processes[Process_Name],Tab_Def_Processes[Outflow_count],,0,)</f>
        <v>2</v>
      </c>
      <c r="J23" s="7" t="str">
        <f>_xlfn.XLOOKUP($E23,Tab_Def_Flows[Flow_Name],Tab_Def_Flows[Flow_ID],,0,1)</f>
        <v>F_06_07</v>
      </c>
      <c r="K23" s="8">
        <v>1990</v>
      </c>
      <c r="L23" s="17" t="str">
        <f t="shared" si="1"/>
        <v>TC_material_06_07</v>
      </c>
      <c r="M23" s="144">
        <v>0</v>
      </c>
      <c r="N23" s="17" t="str">
        <f t="shared" si="2"/>
        <v>TC_WC_06_07</v>
      </c>
      <c r="O23" s="144"/>
      <c r="P23" s="17" t="str">
        <f t="shared" si="3"/>
        <v>TC_DM_06_07</v>
      </c>
      <c r="Q23" s="144"/>
      <c r="R23" s="17" t="str">
        <f t="shared" si="4"/>
        <v>TC_CC_06_07</v>
      </c>
      <c r="S23" s="8"/>
      <c r="T23" s="15"/>
      <c r="U23" s="15"/>
      <c r="V23" s="15"/>
      <c r="W23" s="15"/>
      <c r="X23" s="15"/>
    </row>
    <row r="24" spans="1:24" x14ac:dyDescent="0.25">
      <c r="A24" s="146" t="b">
        <v>0</v>
      </c>
      <c r="B24" s="7">
        <f t="shared" si="0"/>
        <v>23</v>
      </c>
      <c r="C24" s="22" t="str">
        <f>_xlfn.XLOOKUP($D24,Tab_Def_Processes[Process_Name],Tab_Def_Processes[Process_ID],,0,)</f>
        <v>06</v>
      </c>
      <c r="D24" s="142" t="s">
        <v>590</v>
      </c>
      <c r="E24" s="142" t="s">
        <v>607</v>
      </c>
      <c r="F24" s="22" t="str">
        <f>_xlfn.XLOOKUP($D24,Tab_Def_Processes[Process_Name],Tab_Def_Processes[Process_Logic],,0,)</f>
        <v>Splitter</v>
      </c>
      <c r="G24" s="22" t="str">
        <f>_xlfn.XLOOKUP($D24,Tab_Def_Processes[Process_Name],Tab_Def_Processes[TC_Configuration],,0,)</f>
        <v>Dynamic</v>
      </c>
      <c r="H24" s="22" t="str">
        <f>_xlfn.XLOOKUP($D24,Tab_Def_Processes[Process_Name],Tab_Def_Processes[Stock_Configuration],,0,)</f>
        <v>No_Stock</v>
      </c>
      <c r="I24" s="22">
        <f>_xlfn.XLOOKUP($D24,Tab_Def_Processes[Process_Name],Tab_Def_Processes[Outflow_count],,0,)</f>
        <v>2</v>
      </c>
      <c r="J24" s="7" t="str">
        <f>_xlfn.XLOOKUP($E24,Tab_Def_Flows[Flow_Name],Tab_Def_Flows[Flow_ID],,0,1)</f>
        <v>F_06_08</v>
      </c>
      <c r="K24" s="8">
        <v>2020</v>
      </c>
      <c r="L24" s="17" t="str">
        <f t="shared" si="1"/>
        <v>TC_material_06_08</v>
      </c>
      <c r="M24" s="144">
        <v>0.8</v>
      </c>
      <c r="N24" s="17" t="str">
        <f t="shared" si="2"/>
        <v>TC_WC_06_08</v>
      </c>
      <c r="O24" s="144"/>
      <c r="P24" s="17" t="str">
        <f t="shared" si="3"/>
        <v>TC_DM_06_08</v>
      </c>
      <c r="Q24" s="144"/>
      <c r="R24" s="17" t="str">
        <f t="shared" si="4"/>
        <v>TC_CC_06_08</v>
      </c>
      <c r="S24" s="8"/>
      <c r="T24" s="15"/>
      <c r="U24" s="15"/>
      <c r="V24" s="15"/>
      <c r="W24" s="15"/>
      <c r="X24" s="15"/>
    </row>
    <row r="25" spans="1:24" x14ac:dyDescent="0.25">
      <c r="A25" s="146" t="b">
        <v>0</v>
      </c>
      <c r="B25" s="7">
        <f t="shared" si="0"/>
        <v>24</v>
      </c>
      <c r="C25" s="22" t="str">
        <f>_xlfn.XLOOKUP($D25,Tab_Def_Processes[Process_Name],Tab_Def_Processes[Process_ID],,0,)</f>
        <v>06</v>
      </c>
      <c r="D25" s="142" t="s">
        <v>590</v>
      </c>
      <c r="E25" s="142" t="s">
        <v>606</v>
      </c>
      <c r="F25" s="22" t="str">
        <f>_xlfn.XLOOKUP($D25,Tab_Def_Processes[Process_Name],Tab_Def_Processes[Process_Logic],,0,)</f>
        <v>Splitter</v>
      </c>
      <c r="G25" s="22" t="str">
        <f>_xlfn.XLOOKUP($D25,Tab_Def_Processes[Process_Name],Tab_Def_Processes[TC_Configuration],,0,)</f>
        <v>Dynamic</v>
      </c>
      <c r="H25" s="22" t="str">
        <f>_xlfn.XLOOKUP($D25,Tab_Def_Processes[Process_Name],Tab_Def_Processes[Stock_Configuration],,0,)</f>
        <v>No_Stock</v>
      </c>
      <c r="I25" s="22">
        <f>_xlfn.XLOOKUP($D25,Tab_Def_Processes[Process_Name],Tab_Def_Processes[Outflow_count],,0,)</f>
        <v>2</v>
      </c>
      <c r="J25" s="7" t="str">
        <f>_xlfn.XLOOKUP($E25,Tab_Def_Flows[Flow_Name],Tab_Def_Flows[Flow_ID],,0,1)</f>
        <v>F_06_07</v>
      </c>
      <c r="K25" s="8">
        <v>2020</v>
      </c>
      <c r="L25" s="17" t="str">
        <f t="shared" si="1"/>
        <v>TC_material_06_07</v>
      </c>
      <c r="M25" s="144">
        <v>0.2</v>
      </c>
      <c r="N25" s="17" t="str">
        <f t="shared" si="2"/>
        <v>TC_WC_06_07</v>
      </c>
      <c r="O25" s="144"/>
      <c r="P25" s="17" t="str">
        <f t="shared" si="3"/>
        <v>TC_DM_06_07</v>
      </c>
      <c r="Q25" s="144"/>
      <c r="R25" s="17" t="str">
        <f t="shared" si="4"/>
        <v>TC_CC_06_07</v>
      </c>
      <c r="S25" s="8"/>
      <c r="T25" s="15"/>
      <c r="U25" s="15"/>
      <c r="V25" s="15"/>
      <c r="W25" s="15"/>
      <c r="X25" s="15"/>
    </row>
    <row r="26" spans="1:24" x14ac:dyDescent="0.25">
      <c r="A26" s="146" t="b">
        <v>0</v>
      </c>
      <c r="B26" s="7">
        <f t="shared" si="0"/>
        <v>25</v>
      </c>
      <c r="C26" s="22" t="e">
        <f>_xlfn.XLOOKUP($D26,Tab_Def_Processes[Process_Name],Tab_Def_Processes[Process_ID],,0,)</f>
        <v>#N/A</v>
      </c>
      <c r="D26" s="142" t="s">
        <v>22</v>
      </c>
      <c r="E26" s="142" t="s">
        <v>22</v>
      </c>
      <c r="F26" s="22" t="e">
        <f>_xlfn.XLOOKUP($D26,Tab_Def_Processes[Process_Name],Tab_Def_Processes[Process_Logic],,0,)</f>
        <v>#N/A</v>
      </c>
      <c r="G26" s="22" t="e">
        <f>_xlfn.XLOOKUP($D26,Tab_Def_Processes[Process_Name],Tab_Def_Processes[TC_Configuration],,0,)</f>
        <v>#N/A</v>
      </c>
      <c r="H26" s="22" t="e">
        <f>_xlfn.XLOOKUP($D26,Tab_Def_Processes[Process_Name],Tab_Def_Processes[Stock_Configuration],,0,)</f>
        <v>#N/A</v>
      </c>
      <c r="I26" s="22" t="e">
        <f>_xlfn.XLOOKUP($D26,Tab_Def_Processes[Process_Name],Tab_Def_Processes[Outflow_count],,0,)</f>
        <v>#N/A</v>
      </c>
      <c r="J26" s="7" t="str">
        <f>_xlfn.XLOOKUP($E26,Tab_Def_Flows[Flow_Name],Tab_Def_Flows[Flow_ID],,0,1)</f>
        <v>F__</v>
      </c>
      <c r="K26" s="8"/>
      <c r="L26" s="17" t="str">
        <f t="shared" si="1"/>
        <v>TC_material_F__</v>
      </c>
      <c r="M26" s="144"/>
      <c r="N26" s="17" t="str">
        <f t="shared" si="2"/>
        <v>TC_WC_F__</v>
      </c>
      <c r="O26" s="144"/>
      <c r="P26" s="17" t="str">
        <f t="shared" si="3"/>
        <v>TC_DM_F__</v>
      </c>
      <c r="Q26" s="144"/>
      <c r="R26" s="17" t="str">
        <f t="shared" si="4"/>
        <v>TC_CC_F__</v>
      </c>
      <c r="S26" s="8"/>
      <c r="T26" s="15"/>
      <c r="U26" s="15"/>
      <c r="V26" s="15"/>
      <c r="W26" s="15"/>
      <c r="X26" s="15"/>
    </row>
    <row r="27" spans="1:24" x14ac:dyDescent="0.25">
      <c r="A27" s="146" t="b">
        <v>0</v>
      </c>
      <c r="B27" s="7">
        <f t="shared" si="0"/>
        <v>26</v>
      </c>
      <c r="C27" s="22" t="e">
        <f>_xlfn.XLOOKUP($D27,Tab_Def_Processes[Process_Name],Tab_Def_Processes[Process_ID],,0,)</f>
        <v>#N/A</v>
      </c>
      <c r="D27" s="142" t="s">
        <v>22</v>
      </c>
      <c r="E27" s="142" t="s">
        <v>22</v>
      </c>
      <c r="F27" s="22" t="e">
        <f>_xlfn.XLOOKUP($D27,Tab_Def_Processes[Process_Name],Tab_Def_Processes[Process_Logic],,0,)</f>
        <v>#N/A</v>
      </c>
      <c r="G27" s="22" t="e">
        <f>_xlfn.XLOOKUP($D27,Tab_Def_Processes[Process_Name],Tab_Def_Processes[TC_Configuration],,0,)</f>
        <v>#N/A</v>
      </c>
      <c r="H27" s="22" t="e">
        <f>_xlfn.XLOOKUP($D27,Tab_Def_Processes[Process_Name],Tab_Def_Processes[Stock_Configuration],,0,)</f>
        <v>#N/A</v>
      </c>
      <c r="I27" s="22" t="e">
        <f>_xlfn.XLOOKUP($D27,Tab_Def_Processes[Process_Name],Tab_Def_Processes[Outflow_count],,0,)</f>
        <v>#N/A</v>
      </c>
      <c r="J27" s="7" t="str">
        <f>_xlfn.XLOOKUP($E27,Tab_Def_Flows[Flow_Name],Tab_Def_Flows[Flow_ID],,0,1)</f>
        <v>F__</v>
      </c>
      <c r="K27" s="8"/>
      <c r="L27" s="17" t="str">
        <f t="shared" si="1"/>
        <v>TC_material_F__</v>
      </c>
      <c r="M27" s="144"/>
      <c r="N27" s="17" t="str">
        <f t="shared" si="2"/>
        <v>TC_WC_F__</v>
      </c>
      <c r="O27" s="144"/>
      <c r="P27" s="17" t="str">
        <f t="shared" si="3"/>
        <v>TC_DM_F__</v>
      </c>
      <c r="Q27" s="144"/>
      <c r="R27" s="17" t="str">
        <f t="shared" si="4"/>
        <v>TC_CC_F__</v>
      </c>
      <c r="S27" s="8"/>
      <c r="T27" s="15"/>
      <c r="U27" s="15"/>
      <c r="V27" s="15"/>
      <c r="W27" s="15"/>
      <c r="X27" s="15"/>
    </row>
    <row r="28" spans="1:24" x14ac:dyDescent="0.25">
      <c r="A28" s="146" t="b">
        <v>0</v>
      </c>
      <c r="B28" s="7">
        <f t="shared" si="0"/>
        <v>27</v>
      </c>
      <c r="C28" s="22" t="e">
        <f>_xlfn.XLOOKUP($D28,Tab_Def_Processes[Process_Name],Tab_Def_Processes[Process_ID],,0,)</f>
        <v>#N/A</v>
      </c>
      <c r="D28" s="142" t="s">
        <v>22</v>
      </c>
      <c r="E28" s="142" t="s">
        <v>22</v>
      </c>
      <c r="F28" s="22" t="e">
        <f>_xlfn.XLOOKUP($D28,Tab_Def_Processes[Process_Name],Tab_Def_Processes[Process_Logic],,0,)</f>
        <v>#N/A</v>
      </c>
      <c r="G28" s="22" t="e">
        <f>_xlfn.XLOOKUP($D28,Tab_Def_Processes[Process_Name],Tab_Def_Processes[TC_Configuration],,0,)</f>
        <v>#N/A</v>
      </c>
      <c r="H28" s="22" t="e">
        <f>_xlfn.XLOOKUP($D28,Tab_Def_Processes[Process_Name],Tab_Def_Processes[Stock_Configuration],,0,)</f>
        <v>#N/A</v>
      </c>
      <c r="I28" s="22" t="e">
        <f>_xlfn.XLOOKUP($D28,Tab_Def_Processes[Process_Name],Tab_Def_Processes[Outflow_count],,0,)</f>
        <v>#N/A</v>
      </c>
      <c r="J28" s="7" t="str">
        <f>_xlfn.XLOOKUP($E28,Tab_Def_Flows[Flow_Name],Tab_Def_Flows[Flow_ID],,0,1)</f>
        <v>F__</v>
      </c>
      <c r="K28" s="8"/>
      <c r="L28" s="17" t="str">
        <f t="shared" si="1"/>
        <v>TC_material_F__</v>
      </c>
      <c r="M28" s="144"/>
      <c r="N28" s="17" t="str">
        <f t="shared" si="2"/>
        <v>TC_WC_F__</v>
      </c>
      <c r="O28" s="144"/>
      <c r="P28" s="17" t="str">
        <f t="shared" si="3"/>
        <v>TC_DM_F__</v>
      </c>
      <c r="Q28" s="144"/>
      <c r="R28" s="17" t="str">
        <f t="shared" si="4"/>
        <v>TC_CC_F__</v>
      </c>
      <c r="S28" s="8"/>
      <c r="T28" s="15"/>
      <c r="U28" s="15"/>
      <c r="V28" s="15"/>
      <c r="W28" s="15"/>
      <c r="X28" s="15"/>
    </row>
    <row r="29" spans="1:24" x14ac:dyDescent="0.25">
      <c r="A29" s="146" t="b">
        <v>0</v>
      </c>
      <c r="B29" s="7">
        <f t="shared" si="0"/>
        <v>28</v>
      </c>
      <c r="C29" s="22" t="e">
        <f>_xlfn.XLOOKUP($D29,Tab_Def_Processes[Process_Name],Tab_Def_Processes[Process_ID],,0,)</f>
        <v>#N/A</v>
      </c>
      <c r="D29" s="142" t="s">
        <v>22</v>
      </c>
      <c r="E29" s="142" t="s">
        <v>22</v>
      </c>
      <c r="F29" s="22" t="e">
        <f>_xlfn.XLOOKUP($D29,Tab_Def_Processes[Process_Name],Tab_Def_Processes[Process_Logic],,0,)</f>
        <v>#N/A</v>
      </c>
      <c r="G29" s="22" t="e">
        <f>_xlfn.XLOOKUP($D29,Tab_Def_Processes[Process_Name],Tab_Def_Processes[TC_Configuration],,0,)</f>
        <v>#N/A</v>
      </c>
      <c r="H29" s="22" t="e">
        <f>_xlfn.XLOOKUP($D29,Tab_Def_Processes[Process_Name],Tab_Def_Processes[Stock_Configuration],,0,)</f>
        <v>#N/A</v>
      </c>
      <c r="I29" s="22" t="e">
        <f>_xlfn.XLOOKUP($D29,Tab_Def_Processes[Process_Name],Tab_Def_Processes[Outflow_count],,0,)</f>
        <v>#N/A</v>
      </c>
      <c r="J29" s="7" t="str">
        <f>_xlfn.XLOOKUP($E29,Tab_Def_Flows[Flow_Name],Tab_Def_Flows[Flow_ID],,0,1)</f>
        <v>F__</v>
      </c>
      <c r="K29" s="8"/>
      <c r="L29" s="17" t="str">
        <f t="shared" si="1"/>
        <v>TC_material_F__</v>
      </c>
      <c r="M29" s="144"/>
      <c r="N29" s="17" t="str">
        <f t="shared" si="2"/>
        <v>TC_WC_F__</v>
      </c>
      <c r="O29" s="144"/>
      <c r="P29" s="17" t="str">
        <f t="shared" si="3"/>
        <v>TC_DM_F__</v>
      </c>
      <c r="Q29" s="144"/>
      <c r="R29" s="17" t="str">
        <f t="shared" si="4"/>
        <v>TC_CC_F__</v>
      </c>
      <c r="S29" s="8"/>
      <c r="T29" s="15"/>
      <c r="U29" s="15"/>
      <c r="V29" s="15"/>
      <c r="W29" s="15"/>
      <c r="X29" s="15"/>
    </row>
    <row r="30" spans="1:24" x14ac:dyDescent="0.25">
      <c r="A30" s="146" t="b">
        <v>0</v>
      </c>
      <c r="B30" s="7">
        <f t="shared" si="0"/>
        <v>29</v>
      </c>
      <c r="C30" s="22" t="e">
        <f>_xlfn.XLOOKUP($D30,Tab_Def_Processes[Process_Name],Tab_Def_Processes[Process_ID],,0,)</f>
        <v>#N/A</v>
      </c>
      <c r="D30" s="142" t="s">
        <v>22</v>
      </c>
      <c r="E30" s="142" t="s">
        <v>22</v>
      </c>
      <c r="F30" s="22" t="e">
        <f>_xlfn.XLOOKUP($D30,Tab_Def_Processes[Process_Name],Tab_Def_Processes[Process_Logic],,0,)</f>
        <v>#N/A</v>
      </c>
      <c r="G30" s="22" t="e">
        <f>_xlfn.XLOOKUP($D30,Tab_Def_Processes[Process_Name],Tab_Def_Processes[TC_Configuration],,0,)</f>
        <v>#N/A</v>
      </c>
      <c r="H30" s="22" t="e">
        <f>_xlfn.XLOOKUP($D30,Tab_Def_Processes[Process_Name],Tab_Def_Processes[Stock_Configuration],,0,)</f>
        <v>#N/A</v>
      </c>
      <c r="I30" s="22" t="e">
        <f>_xlfn.XLOOKUP($D30,Tab_Def_Processes[Process_Name],Tab_Def_Processes[Outflow_count],,0,)</f>
        <v>#N/A</v>
      </c>
      <c r="J30" s="7" t="str">
        <f>_xlfn.XLOOKUP($E30,Tab_Def_Flows[Flow_Name],Tab_Def_Flows[Flow_ID],,0,1)</f>
        <v>F__</v>
      </c>
      <c r="K30" s="8"/>
      <c r="L30" s="17" t="str">
        <f t="shared" si="1"/>
        <v>TC_material_F__</v>
      </c>
      <c r="M30" s="144"/>
      <c r="N30" s="17" t="str">
        <f t="shared" si="2"/>
        <v>TC_WC_F__</v>
      </c>
      <c r="O30" s="144"/>
      <c r="P30" s="17" t="str">
        <f t="shared" si="3"/>
        <v>TC_DM_F__</v>
      </c>
      <c r="Q30" s="144"/>
      <c r="R30" s="17" t="str">
        <f t="shared" si="4"/>
        <v>TC_CC_F__</v>
      </c>
      <c r="S30" s="8"/>
      <c r="T30" s="15"/>
      <c r="U30" s="15"/>
      <c r="V30" s="15"/>
      <c r="W30" s="15"/>
      <c r="X30" s="15"/>
    </row>
    <row r="31" spans="1:24" x14ac:dyDescent="0.25">
      <c r="A31" s="146" t="b">
        <v>0</v>
      </c>
      <c r="B31" s="7">
        <f t="shared" si="0"/>
        <v>30</v>
      </c>
      <c r="C31" s="22" t="e">
        <f>_xlfn.XLOOKUP($D31,Tab_Def_Processes[Process_Name],Tab_Def_Processes[Process_ID],,0,)</f>
        <v>#N/A</v>
      </c>
      <c r="D31" s="142" t="s">
        <v>22</v>
      </c>
      <c r="E31" s="142" t="s">
        <v>22</v>
      </c>
      <c r="F31" s="22" t="e">
        <f>_xlfn.XLOOKUP($D31,Tab_Def_Processes[Process_Name],Tab_Def_Processes[Process_Logic],,0,)</f>
        <v>#N/A</v>
      </c>
      <c r="G31" s="22" t="e">
        <f>_xlfn.XLOOKUP($D31,Tab_Def_Processes[Process_Name],Tab_Def_Processes[TC_Configuration],,0,)</f>
        <v>#N/A</v>
      </c>
      <c r="H31" s="22" t="e">
        <f>_xlfn.XLOOKUP($D31,Tab_Def_Processes[Process_Name],Tab_Def_Processes[Stock_Configuration],,0,)</f>
        <v>#N/A</v>
      </c>
      <c r="I31" s="22" t="e">
        <f>_xlfn.XLOOKUP($D31,Tab_Def_Processes[Process_Name],Tab_Def_Processes[Outflow_count],,0,)</f>
        <v>#N/A</v>
      </c>
      <c r="J31" s="7" t="str">
        <f>_xlfn.XLOOKUP($E31,Tab_Def_Flows[Flow_Name],Tab_Def_Flows[Flow_ID],,0,1)</f>
        <v>F__</v>
      </c>
      <c r="K31" s="8"/>
      <c r="L31" s="17" t="str">
        <f t="shared" si="1"/>
        <v>TC_material_F__</v>
      </c>
      <c r="M31" s="144"/>
      <c r="N31" s="17" t="str">
        <f t="shared" si="2"/>
        <v>TC_WC_F__</v>
      </c>
      <c r="O31" s="144"/>
      <c r="P31" s="17" t="str">
        <f t="shared" si="3"/>
        <v>TC_DM_F__</v>
      </c>
      <c r="Q31" s="144"/>
      <c r="R31" s="17" t="str">
        <f t="shared" si="4"/>
        <v>TC_CC_F__</v>
      </c>
      <c r="S31" s="8"/>
      <c r="T31" s="15"/>
      <c r="U31" s="15"/>
      <c r="V31" s="15"/>
      <c r="W31" s="15"/>
      <c r="X31" s="15"/>
    </row>
    <row r="32" spans="1:24" x14ac:dyDescent="0.25">
      <c r="A32" s="146" t="b">
        <v>0</v>
      </c>
      <c r="B32" s="7">
        <f t="shared" si="0"/>
        <v>31</v>
      </c>
      <c r="C32" s="22" t="e">
        <f>_xlfn.XLOOKUP($D32,Tab_Def_Processes[Process_Name],Tab_Def_Processes[Process_ID],,0,)</f>
        <v>#N/A</v>
      </c>
      <c r="D32" s="142" t="s">
        <v>22</v>
      </c>
      <c r="E32" s="142" t="s">
        <v>22</v>
      </c>
      <c r="F32" s="22" t="e">
        <f>_xlfn.XLOOKUP($D32,Tab_Def_Processes[Process_Name],Tab_Def_Processes[Process_Logic],,0,)</f>
        <v>#N/A</v>
      </c>
      <c r="G32" s="22" t="e">
        <f>_xlfn.XLOOKUP($D32,Tab_Def_Processes[Process_Name],Tab_Def_Processes[TC_Configuration],,0,)</f>
        <v>#N/A</v>
      </c>
      <c r="H32" s="22" t="e">
        <f>_xlfn.XLOOKUP($D32,Tab_Def_Processes[Process_Name],Tab_Def_Processes[Stock_Configuration],,0,)</f>
        <v>#N/A</v>
      </c>
      <c r="I32" s="22" t="e">
        <f>_xlfn.XLOOKUP($D32,Tab_Def_Processes[Process_Name],Tab_Def_Processes[Outflow_count],,0,)</f>
        <v>#N/A</v>
      </c>
      <c r="J32" s="7" t="str">
        <f>_xlfn.XLOOKUP($E32,Tab_Def_Flows[Flow_Name],Tab_Def_Flows[Flow_ID],,0,1)</f>
        <v>F__</v>
      </c>
      <c r="K32" s="8"/>
      <c r="L32" s="17" t="str">
        <f t="shared" si="1"/>
        <v>TC_material_F__</v>
      </c>
      <c r="M32" s="144"/>
      <c r="N32" s="17" t="str">
        <f t="shared" si="2"/>
        <v>TC_WC_F__</v>
      </c>
      <c r="O32" s="144"/>
      <c r="P32" s="17" t="str">
        <f t="shared" si="3"/>
        <v>TC_DM_F__</v>
      </c>
      <c r="Q32" s="144"/>
      <c r="R32" s="17" t="str">
        <f t="shared" si="4"/>
        <v>TC_CC_F__</v>
      </c>
      <c r="S32" s="8"/>
      <c r="T32" s="15"/>
      <c r="U32" s="15"/>
      <c r="V32" s="15"/>
      <c r="W32" s="15"/>
      <c r="X32" s="15"/>
    </row>
    <row r="33" spans="1:24" x14ac:dyDescent="0.25">
      <c r="A33" s="146" t="b">
        <v>0</v>
      </c>
      <c r="B33" s="7">
        <f t="shared" si="0"/>
        <v>32</v>
      </c>
      <c r="C33" s="22" t="e">
        <f>_xlfn.XLOOKUP($D33,Tab_Def_Processes[Process_Name],Tab_Def_Processes[Process_ID],,0,)</f>
        <v>#N/A</v>
      </c>
      <c r="D33" s="142" t="s">
        <v>22</v>
      </c>
      <c r="E33" s="142" t="s">
        <v>22</v>
      </c>
      <c r="F33" s="22" t="e">
        <f>_xlfn.XLOOKUP($D33,Tab_Def_Processes[Process_Name],Tab_Def_Processes[Process_Logic],,0,)</f>
        <v>#N/A</v>
      </c>
      <c r="G33" s="22" t="e">
        <f>_xlfn.XLOOKUP($D33,Tab_Def_Processes[Process_Name],Tab_Def_Processes[TC_Configuration],,0,)</f>
        <v>#N/A</v>
      </c>
      <c r="H33" s="22" t="e">
        <f>_xlfn.XLOOKUP($D33,Tab_Def_Processes[Process_Name],Tab_Def_Processes[Stock_Configuration],,0,)</f>
        <v>#N/A</v>
      </c>
      <c r="I33" s="22" t="e">
        <f>_xlfn.XLOOKUP($D33,Tab_Def_Processes[Process_Name],Tab_Def_Processes[Outflow_count],,0,)</f>
        <v>#N/A</v>
      </c>
      <c r="J33" s="7" t="str">
        <f>_xlfn.XLOOKUP($E33,Tab_Def_Flows[Flow_Name],Tab_Def_Flows[Flow_ID],,0,1)</f>
        <v>F__</v>
      </c>
      <c r="K33" s="8"/>
      <c r="L33" s="17" t="str">
        <f t="shared" si="1"/>
        <v>TC_material_F__</v>
      </c>
      <c r="M33" s="144"/>
      <c r="N33" s="17" t="str">
        <f t="shared" si="2"/>
        <v>TC_WC_F__</v>
      </c>
      <c r="O33" s="144"/>
      <c r="P33" s="17" t="str">
        <f t="shared" si="3"/>
        <v>TC_DM_F__</v>
      </c>
      <c r="Q33" s="144"/>
      <c r="R33" s="17" t="str">
        <f t="shared" si="4"/>
        <v>TC_CC_F__</v>
      </c>
      <c r="S33" s="8"/>
      <c r="T33" s="15"/>
      <c r="U33" s="15"/>
      <c r="V33" s="15"/>
      <c r="W33" s="15"/>
      <c r="X33" s="15"/>
    </row>
    <row r="34" spans="1:24" x14ac:dyDescent="0.25">
      <c r="A34" s="146" t="b">
        <v>0</v>
      </c>
      <c r="B34" s="7">
        <f t="shared" ref="B34:B65" si="5">ROW()-1</f>
        <v>33</v>
      </c>
      <c r="C34" s="22" t="e">
        <f>_xlfn.XLOOKUP($D34,Tab_Def_Processes[Process_Name],Tab_Def_Processes[Process_ID],,0,)</f>
        <v>#N/A</v>
      </c>
      <c r="D34" s="142" t="s">
        <v>22</v>
      </c>
      <c r="E34" s="142" t="s">
        <v>22</v>
      </c>
      <c r="F34" s="22" t="e">
        <f>_xlfn.XLOOKUP($D34,Tab_Def_Processes[Process_Name],Tab_Def_Processes[Process_Logic],,0,)</f>
        <v>#N/A</v>
      </c>
      <c r="G34" s="22" t="e">
        <f>_xlfn.XLOOKUP($D34,Tab_Def_Processes[Process_Name],Tab_Def_Processes[TC_Configuration],,0,)</f>
        <v>#N/A</v>
      </c>
      <c r="H34" s="22" t="e">
        <f>_xlfn.XLOOKUP($D34,Tab_Def_Processes[Process_Name],Tab_Def_Processes[Stock_Configuration],,0,)</f>
        <v>#N/A</v>
      </c>
      <c r="I34" s="22" t="e">
        <f>_xlfn.XLOOKUP($D34,Tab_Def_Processes[Process_Name],Tab_Def_Processes[Outflow_count],,0,)</f>
        <v>#N/A</v>
      </c>
      <c r="J34" s="7" t="str">
        <f>_xlfn.XLOOKUP($E34,Tab_Def_Flows[Flow_Name],Tab_Def_Flows[Flow_ID],,0,1)</f>
        <v>F__</v>
      </c>
      <c r="K34" s="8"/>
      <c r="L34" s="17" t="str">
        <f t="shared" si="1"/>
        <v>TC_material_F__</v>
      </c>
      <c r="M34" s="144"/>
      <c r="N34" s="17" t="str">
        <f t="shared" si="2"/>
        <v>TC_WC_F__</v>
      </c>
      <c r="O34" s="144"/>
      <c r="P34" s="17" t="str">
        <f t="shared" si="3"/>
        <v>TC_DM_F__</v>
      </c>
      <c r="Q34" s="144"/>
      <c r="R34" s="17" t="str">
        <f t="shared" si="4"/>
        <v>TC_CC_F__</v>
      </c>
      <c r="S34" s="8"/>
      <c r="T34" s="15"/>
      <c r="U34" s="15"/>
      <c r="V34" s="15"/>
      <c r="W34" s="15"/>
      <c r="X34" s="15"/>
    </row>
    <row r="35" spans="1:24" x14ac:dyDescent="0.25">
      <c r="A35" s="146" t="b">
        <v>0</v>
      </c>
      <c r="B35" s="7">
        <f t="shared" si="5"/>
        <v>34</v>
      </c>
      <c r="C35" s="22" t="e">
        <f>_xlfn.XLOOKUP($D35,Tab_Def_Processes[Process_Name],Tab_Def_Processes[Process_ID],,0,)</f>
        <v>#N/A</v>
      </c>
      <c r="D35" s="142" t="s">
        <v>22</v>
      </c>
      <c r="E35" s="142" t="s">
        <v>22</v>
      </c>
      <c r="F35" s="22" t="e">
        <f>_xlfn.XLOOKUP($D35,Tab_Def_Processes[Process_Name],Tab_Def_Processes[Process_Logic],,0,)</f>
        <v>#N/A</v>
      </c>
      <c r="G35" s="22" t="e">
        <f>_xlfn.XLOOKUP($D35,Tab_Def_Processes[Process_Name],Tab_Def_Processes[TC_Configuration],,0,)</f>
        <v>#N/A</v>
      </c>
      <c r="H35" s="22" t="e">
        <f>_xlfn.XLOOKUP($D35,Tab_Def_Processes[Process_Name],Tab_Def_Processes[Stock_Configuration],,0,)</f>
        <v>#N/A</v>
      </c>
      <c r="I35" s="22" t="e">
        <f>_xlfn.XLOOKUP($D35,Tab_Def_Processes[Process_Name],Tab_Def_Processes[Outflow_count],,0,)</f>
        <v>#N/A</v>
      </c>
      <c r="J35" s="7" t="str">
        <f>_xlfn.XLOOKUP($E35,Tab_Def_Flows[Flow_Name],Tab_Def_Flows[Flow_ID],,0,1)</f>
        <v>F__</v>
      </c>
      <c r="K35" s="8"/>
      <c r="L35" s="17" t="str">
        <f t="shared" si="1"/>
        <v>TC_material_F__</v>
      </c>
      <c r="M35" s="144"/>
      <c r="N35" s="17" t="str">
        <f t="shared" si="2"/>
        <v>TC_WC_F__</v>
      </c>
      <c r="O35" s="144"/>
      <c r="P35" s="17" t="str">
        <f t="shared" si="3"/>
        <v>TC_DM_F__</v>
      </c>
      <c r="Q35" s="144"/>
      <c r="R35" s="17" t="str">
        <f t="shared" si="4"/>
        <v>TC_CC_F__</v>
      </c>
      <c r="S35" s="8"/>
      <c r="T35" s="15"/>
      <c r="U35" s="15"/>
      <c r="V35" s="15"/>
      <c r="W35" s="15"/>
      <c r="X35" s="15"/>
    </row>
    <row r="36" spans="1:24" x14ac:dyDescent="0.25">
      <c r="A36" s="146" t="b">
        <v>0</v>
      </c>
      <c r="B36" s="7">
        <f t="shared" si="5"/>
        <v>35</v>
      </c>
      <c r="C36" s="22" t="e">
        <f>_xlfn.XLOOKUP($D36,Tab_Def_Processes[Process_Name],Tab_Def_Processes[Process_ID],,0,)</f>
        <v>#N/A</v>
      </c>
      <c r="D36" s="142" t="s">
        <v>22</v>
      </c>
      <c r="E36" s="142" t="s">
        <v>22</v>
      </c>
      <c r="F36" s="22" t="e">
        <f>_xlfn.XLOOKUP($D36,Tab_Def_Processes[Process_Name],Tab_Def_Processes[Process_Logic],,0,)</f>
        <v>#N/A</v>
      </c>
      <c r="G36" s="22" t="e">
        <f>_xlfn.XLOOKUP($D36,Tab_Def_Processes[Process_Name],Tab_Def_Processes[TC_Configuration],,0,)</f>
        <v>#N/A</v>
      </c>
      <c r="H36" s="22" t="e">
        <f>_xlfn.XLOOKUP($D36,Tab_Def_Processes[Process_Name],Tab_Def_Processes[Stock_Configuration],,0,)</f>
        <v>#N/A</v>
      </c>
      <c r="I36" s="22" t="e">
        <f>_xlfn.XLOOKUP($D36,Tab_Def_Processes[Process_Name],Tab_Def_Processes[Outflow_count],,0,)</f>
        <v>#N/A</v>
      </c>
      <c r="J36" s="7" t="str">
        <f>_xlfn.XLOOKUP($E36,Tab_Def_Flows[Flow_Name],Tab_Def_Flows[Flow_ID],,0,1)</f>
        <v>F__</v>
      </c>
      <c r="K36" s="8"/>
      <c r="L36" s="17" t="str">
        <f t="shared" si="1"/>
        <v>TC_material_F__</v>
      </c>
      <c r="M36" s="144"/>
      <c r="N36" s="17" t="str">
        <f t="shared" si="2"/>
        <v>TC_WC_F__</v>
      </c>
      <c r="O36" s="144"/>
      <c r="P36" s="17" t="str">
        <f t="shared" si="3"/>
        <v>TC_DM_F__</v>
      </c>
      <c r="Q36" s="144"/>
      <c r="R36" s="17" t="str">
        <f t="shared" si="4"/>
        <v>TC_CC_F__</v>
      </c>
      <c r="S36" s="8"/>
      <c r="T36" s="15"/>
      <c r="U36" s="15"/>
      <c r="V36" s="15"/>
      <c r="W36" s="15"/>
      <c r="X36" s="15"/>
    </row>
    <row r="37" spans="1:24" x14ac:dyDescent="0.25">
      <c r="A37" s="146" t="b">
        <v>0</v>
      </c>
      <c r="B37" s="7">
        <f t="shared" si="5"/>
        <v>36</v>
      </c>
      <c r="C37" s="22" t="e">
        <f>_xlfn.XLOOKUP($D37,Tab_Def_Processes[Process_Name],Tab_Def_Processes[Process_ID],,0,)</f>
        <v>#N/A</v>
      </c>
      <c r="D37" s="142" t="s">
        <v>22</v>
      </c>
      <c r="E37" s="142" t="s">
        <v>22</v>
      </c>
      <c r="F37" s="22" t="e">
        <f>_xlfn.XLOOKUP($D37,Tab_Def_Processes[Process_Name],Tab_Def_Processes[Process_Logic],,0,)</f>
        <v>#N/A</v>
      </c>
      <c r="G37" s="22" t="e">
        <f>_xlfn.XLOOKUP($D37,Tab_Def_Processes[Process_Name],Tab_Def_Processes[TC_Configuration],,0,)</f>
        <v>#N/A</v>
      </c>
      <c r="H37" s="22" t="e">
        <f>_xlfn.XLOOKUP($D37,Tab_Def_Processes[Process_Name],Tab_Def_Processes[Stock_Configuration],,0,)</f>
        <v>#N/A</v>
      </c>
      <c r="I37" s="22" t="e">
        <f>_xlfn.XLOOKUP($D37,Tab_Def_Processes[Process_Name],Tab_Def_Processes[Outflow_count],,0,)</f>
        <v>#N/A</v>
      </c>
      <c r="J37" s="7" t="str">
        <f>_xlfn.XLOOKUP($E37,Tab_Def_Flows[Flow_Name],Tab_Def_Flows[Flow_ID],,0,1)</f>
        <v>F__</v>
      </c>
      <c r="K37" s="8"/>
      <c r="L37" s="17" t="str">
        <f t="shared" si="1"/>
        <v>TC_material_F__</v>
      </c>
      <c r="M37" s="144"/>
      <c r="N37" s="17" t="str">
        <f t="shared" si="2"/>
        <v>TC_WC_F__</v>
      </c>
      <c r="O37" s="144"/>
      <c r="P37" s="17" t="str">
        <f t="shared" si="3"/>
        <v>TC_DM_F__</v>
      </c>
      <c r="Q37" s="144"/>
      <c r="R37" s="17" t="str">
        <f t="shared" si="4"/>
        <v>TC_CC_F__</v>
      </c>
      <c r="S37" s="8"/>
      <c r="T37" s="15"/>
      <c r="U37" s="15"/>
      <c r="V37" s="15"/>
      <c r="W37" s="15"/>
      <c r="X37" s="15"/>
    </row>
    <row r="38" spans="1:24" x14ac:dyDescent="0.25">
      <c r="A38" s="146" t="b">
        <v>0</v>
      </c>
      <c r="B38" s="7">
        <f t="shared" si="5"/>
        <v>37</v>
      </c>
      <c r="C38" s="22" t="e">
        <f>_xlfn.XLOOKUP($D38,Tab_Def_Processes[Process_Name],Tab_Def_Processes[Process_ID],,0,)</f>
        <v>#N/A</v>
      </c>
      <c r="D38" s="142" t="s">
        <v>22</v>
      </c>
      <c r="E38" s="142" t="s">
        <v>22</v>
      </c>
      <c r="F38" s="22" t="e">
        <f>_xlfn.XLOOKUP($D38,Tab_Def_Processes[Process_Name],Tab_Def_Processes[Process_Logic],,0,)</f>
        <v>#N/A</v>
      </c>
      <c r="G38" s="22" t="e">
        <f>_xlfn.XLOOKUP($D38,Tab_Def_Processes[Process_Name],Tab_Def_Processes[TC_Configuration],,0,)</f>
        <v>#N/A</v>
      </c>
      <c r="H38" s="22" t="e">
        <f>_xlfn.XLOOKUP($D38,Tab_Def_Processes[Process_Name],Tab_Def_Processes[Stock_Configuration],,0,)</f>
        <v>#N/A</v>
      </c>
      <c r="I38" s="22" t="e">
        <f>_xlfn.XLOOKUP($D38,Tab_Def_Processes[Process_Name],Tab_Def_Processes[Outflow_count],,0,)</f>
        <v>#N/A</v>
      </c>
      <c r="J38" s="7" t="str">
        <f>_xlfn.XLOOKUP($E38,Tab_Def_Flows[Flow_Name],Tab_Def_Flows[Flow_ID],,0,1)</f>
        <v>F__</v>
      </c>
      <c r="K38" s="8"/>
      <c r="L38" s="17" t="str">
        <f t="shared" si="1"/>
        <v>TC_material_F__</v>
      </c>
      <c r="M38" s="144"/>
      <c r="N38" s="17" t="str">
        <f t="shared" si="2"/>
        <v>TC_WC_F__</v>
      </c>
      <c r="O38" s="144"/>
      <c r="P38" s="17" t="str">
        <f t="shared" si="3"/>
        <v>TC_DM_F__</v>
      </c>
      <c r="Q38" s="144"/>
      <c r="R38" s="17" t="str">
        <f t="shared" si="4"/>
        <v>TC_CC_F__</v>
      </c>
      <c r="S38" s="8"/>
      <c r="T38" s="15"/>
      <c r="U38" s="15"/>
      <c r="V38" s="15"/>
      <c r="W38" s="15"/>
      <c r="X38" s="15"/>
    </row>
    <row r="39" spans="1:24" x14ac:dyDescent="0.25">
      <c r="A39" s="146" t="b">
        <v>0</v>
      </c>
      <c r="B39" s="7">
        <f t="shared" si="5"/>
        <v>38</v>
      </c>
      <c r="C39" s="22" t="e">
        <f>_xlfn.XLOOKUP($D39,Tab_Def_Processes[Process_Name],Tab_Def_Processes[Process_ID],,0,)</f>
        <v>#N/A</v>
      </c>
      <c r="D39" s="142" t="s">
        <v>22</v>
      </c>
      <c r="E39" s="142" t="s">
        <v>22</v>
      </c>
      <c r="F39" s="22" t="e">
        <f>_xlfn.XLOOKUP($D39,Tab_Def_Processes[Process_Name],Tab_Def_Processes[Process_Logic],,0,)</f>
        <v>#N/A</v>
      </c>
      <c r="G39" s="22" t="e">
        <f>_xlfn.XLOOKUP($D39,Tab_Def_Processes[Process_Name],Tab_Def_Processes[TC_Configuration],,0,)</f>
        <v>#N/A</v>
      </c>
      <c r="H39" s="22" t="e">
        <f>_xlfn.XLOOKUP($D39,Tab_Def_Processes[Process_Name],Tab_Def_Processes[Stock_Configuration],,0,)</f>
        <v>#N/A</v>
      </c>
      <c r="I39" s="22" t="e">
        <f>_xlfn.XLOOKUP($D39,Tab_Def_Processes[Process_Name],Tab_Def_Processes[Outflow_count],,0,)</f>
        <v>#N/A</v>
      </c>
      <c r="J39" s="7" t="str">
        <f>_xlfn.XLOOKUP($E39,Tab_Def_Flows[Flow_Name],Tab_Def_Flows[Flow_ID],,0,1)</f>
        <v>F__</v>
      </c>
      <c r="K39" s="8"/>
      <c r="L39" s="17" t="str">
        <f t="shared" si="1"/>
        <v>TC_material_F__</v>
      </c>
      <c r="M39" s="144"/>
      <c r="N39" s="17" t="str">
        <f t="shared" si="2"/>
        <v>TC_WC_F__</v>
      </c>
      <c r="O39" s="144"/>
      <c r="P39" s="17" t="str">
        <f t="shared" si="3"/>
        <v>TC_DM_F__</v>
      </c>
      <c r="Q39" s="144"/>
      <c r="R39" s="17" t="str">
        <f t="shared" si="4"/>
        <v>TC_CC_F__</v>
      </c>
      <c r="S39" s="8"/>
      <c r="T39" s="15"/>
      <c r="U39" s="15"/>
      <c r="V39" s="15"/>
      <c r="W39" s="15"/>
      <c r="X39" s="15"/>
    </row>
    <row r="40" spans="1:24" x14ac:dyDescent="0.25">
      <c r="A40" s="146" t="b">
        <v>0</v>
      </c>
      <c r="B40" s="7">
        <f t="shared" si="5"/>
        <v>39</v>
      </c>
      <c r="C40" s="22" t="e">
        <f>_xlfn.XLOOKUP($D40,Tab_Def_Processes[Process_Name],Tab_Def_Processes[Process_ID],,0,)</f>
        <v>#N/A</v>
      </c>
      <c r="D40" s="142" t="s">
        <v>22</v>
      </c>
      <c r="E40" s="142" t="s">
        <v>22</v>
      </c>
      <c r="F40" s="22" t="e">
        <f>_xlfn.XLOOKUP($D40,Tab_Def_Processes[Process_Name],Tab_Def_Processes[Process_Logic],,0,)</f>
        <v>#N/A</v>
      </c>
      <c r="G40" s="22" t="e">
        <f>_xlfn.XLOOKUP($D40,Tab_Def_Processes[Process_Name],Tab_Def_Processes[TC_Configuration],,0,)</f>
        <v>#N/A</v>
      </c>
      <c r="H40" s="22" t="e">
        <f>_xlfn.XLOOKUP($D40,Tab_Def_Processes[Process_Name],Tab_Def_Processes[Stock_Configuration],,0,)</f>
        <v>#N/A</v>
      </c>
      <c r="I40" s="22" t="e">
        <f>_xlfn.XLOOKUP($D40,Tab_Def_Processes[Process_Name],Tab_Def_Processes[Outflow_count],,0,)</f>
        <v>#N/A</v>
      </c>
      <c r="J40" s="7" t="str">
        <f>_xlfn.XLOOKUP($E40,Tab_Def_Flows[Flow_Name],Tab_Def_Flows[Flow_ID],,0,1)</f>
        <v>F__</v>
      </c>
      <c r="K40" s="8"/>
      <c r="L40" s="17" t="str">
        <f t="shared" si="1"/>
        <v>TC_material_F__</v>
      </c>
      <c r="M40" s="144"/>
      <c r="N40" s="17" t="str">
        <f t="shared" si="2"/>
        <v>TC_WC_F__</v>
      </c>
      <c r="O40" s="144"/>
      <c r="P40" s="17" t="str">
        <f t="shared" si="3"/>
        <v>TC_DM_F__</v>
      </c>
      <c r="Q40" s="144"/>
      <c r="R40" s="17" t="str">
        <f t="shared" si="4"/>
        <v>TC_CC_F__</v>
      </c>
      <c r="S40" s="8"/>
      <c r="T40" s="15"/>
      <c r="U40" s="15"/>
      <c r="V40" s="15"/>
      <c r="W40" s="15"/>
      <c r="X40" s="15"/>
    </row>
    <row r="41" spans="1:24" x14ac:dyDescent="0.25">
      <c r="A41" s="146" t="b">
        <v>0</v>
      </c>
      <c r="B41" s="7">
        <f t="shared" si="5"/>
        <v>40</v>
      </c>
      <c r="C41" s="22" t="e">
        <f>_xlfn.XLOOKUP($D41,Tab_Def_Processes[Process_Name],Tab_Def_Processes[Process_ID],,0,)</f>
        <v>#N/A</v>
      </c>
      <c r="D41" s="142" t="s">
        <v>22</v>
      </c>
      <c r="E41" s="142" t="s">
        <v>22</v>
      </c>
      <c r="F41" s="22" t="e">
        <f>_xlfn.XLOOKUP($D41,Tab_Def_Processes[Process_Name],Tab_Def_Processes[Process_Logic],,0,)</f>
        <v>#N/A</v>
      </c>
      <c r="G41" s="22" t="e">
        <f>_xlfn.XLOOKUP($D41,Tab_Def_Processes[Process_Name],Tab_Def_Processes[TC_Configuration],,0,)</f>
        <v>#N/A</v>
      </c>
      <c r="H41" s="22" t="e">
        <f>_xlfn.XLOOKUP($D41,Tab_Def_Processes[Process_Name],Tab_Def_Processes[Stock_Configuration],,0,)</f>
        <v>#N/A</v>
      </c>
      <c r="I41" s="22" t="e">
        <f>_xlfn.XLOOKUP($D41,Tab_Def_Processes[Process_Name],Tab_Def_Processes[Outflow_count],,0,)</f>
        <v>#N/A</v>
      </c>
      <c r="J41" s="7" t="str">
        <f>_xlfn.XLOOKUP($E41,Tab_Def_Flows[Flow_Name],Tab_Def_Flows[Flow_ID],,0,1)</f>
        <v>F__</v>
      </c>
      <c r="K41" s="8"/>
      <c r="L41" s="17" t="str">
        <f t="shared" si="1"/>
        <v>TC_material_F__</v>
      </c>
      <c r="M41" s="144"/>
      <c r="N41" s="17" t="str">
        <f t="shared" si="2"/>
        <v>TC_WC_F__</v>
      </c>
      <c r="O41" s="144"/>
      <c r="P41" s="17" t="str">
        <f t="shared" si="3"/>
        <v>TC_DM_F__</v>
      </c>
      <c r="Q41" s="144"/>
      <c r="R41" s="17" t="str">
        <f t="shared" si="4"/>
        <v>TC_CC_F__</v>
      </c>
      <c r="S41" s="8"/>
      <c r="T41" s="15"/>
      <c r="U41" s="15"/>
      <c r="V41" s="15"/>
      <c r="W41" s="15"/>
      <c r="X41" s="15"/>
    </row>
    <row r="42" spans="1:24" x14ac:dyDescent="0.25">
      <c r="A42" s="146" t="b">
        <v>0</v>
      </c>
      <c r="B42" s="7">
        <f t="shared" si="5"/>
        <v>41</v>
      </c>
      <c r="C42" s="22" t="e">
        <f>_xlfn.XLOOKUP($D42,Tab_Def_Processes[Process_Name],Tab_Def_Processes[Process_ID],,0,)</f>
        <v>#N/A</v>
      </c>
      <c r="D42" s="142" t="s">
        <v>22</v>
      </c>
      <c r="E42" s="142" t="s">
        <v>22</v>
      </c>
      <c r="F42" s="22" t="e">
        <f>_xlfn.XLOOKUP($D42,Tab_Def_Processes[Process_Name],Tab_Def_Processes[Process_Logic],,0,)</f>
        <v>#N/A</v>
      </c>
      <c r="G42" s="22" t="e">
        <f>_xlfn.XLOOKUP($D42,Tab_Def_Processes[Process_Name],Tab_Def_Processes[TC_Configuration],,0,)</f>
        <v>#N/A</v>
      </c>
      <c r="H42" s="22" t="e">
        <f>_xlfn.XLOOKUP($D42,Tab_Def_Processes[Process_Name],Tab_Def_Processes[Stock_Configuration],,0,)</f>
        <v>#N/A</v>
      </c>
      <c r="I42" s="22" t="e">
        <f>_xlfn.XLOOKUP($D42,Tab_Def_Processes[Process_Name],Tab_Def_Processes[Outflow_count],,0,)</f>
        <v>#N/A</v>
      </c>
      <c r="J42" s="7" t="str">
        <f>_xlfn.XLOOKUP($E42,Tab_Def_Flows[Flow_Name],Tab_Def_Flows[Flow_ID],,0,1)</f>
        <v>F__</v>
      </c>
      <c r="K42" s="8"/>
      <c r="L42" s="17" t="str">
        <f t="shared" si="1"/>
        <v>TC_material_F__</v>
      </c>
      <c r="M42" s="144"/>
      <c r="N42" s="17" t="str">
        <f t="shared" si="2"/>
        <v>TC_WC_F__</v>
      </c>
      <c r="O42" s="144"/>
      <c r="P42" s="17" t="str">
        <f t="shared" si="3"/>
        <v>TC_DM_F__</v>
      </c>
      <c r="Q42" s="144"/>
      <c r="R42" s="17" t="str">
        <f t="shared" si="4"/>
        <v>TC_CC_F__</v>
      </c>
      <c r="S42" s="8"/>
      <c r="T42" s="15"/>
      <c r="U42" s="15"/>
      <c r="V42" s="15"/>
      <c r="W42" s="15"/>
      <c r="X42" s="15"/>
    </row>
    <row r="43" spans="1:24" x14ac:dyDescent="0.25">
      <c r="A43" s="146" t="b">
        <v>0</v>
      </c>
      <c r="B43" s="7">
        <f t="shared" si="5"/>
        <v>42</v>
      </c>
      <c r="C43" s="22" t="e">
        <f>_xlfn.XLOOKUP($D43,Tab_Def_Processes[Process_Name],Tab_Def_Processes[Process_ID],,0,)</f>
        <v>#N/A</v>
      </c>
      <c r="D43" s="142" t="s">
        <v>22</v>
      </c>
      <c r="E43" s="142" t="s">
        <v>22</v>
      </c>
      <c r="F43" s="22" t="e">
        <f>_xlfn.XLOOKUP($D43,Tab_Def_Processes[Process_Name],Tab_Def_Processes[Process_Logic],,0,)</f>
        <v>#N/A</v>
      </c>
      <c r="G43" s="22" t="e">
        <f>_xlfn.XLOOKUP($D43,Tab_Def_Processes[Process_Name],Tab_Def_Processes[TC_Configuration],,0,)</f>
        <v>#N/A</v>
      </c>
      <c r="H43" s="22" t="e">
        <f>_xlfn.XLOOKUP($D43,Tab_Def_Processes[Process_Name],Tab_Def_Processes[Stock_Configuration],,0,)</f>
        <v>#N/A</v>
      </c>
      <c r="I43" s="22" t="e">
        <f>_xlfn.XLOOKUP($D43,Tab_Def_Processes[Process_Name],Tab_Def_Processes[Outflow_count],,0,)</f>
        <v>#N/A</v>
      </c>
      <c r="J43" s="7" t="str">
        <f>_xlfn.XLOOKUP($E43,Tab_Def_Flows[Flow_Name],Tab_Def_Flows[Flow_ID],,0,1)</f>
        <v>F__</v>
      </c>
      <c r="K43" s="8"/>
      <c r="L43" s="17" t="str">
        <f t="shared" si="1"/>
        <v>TC_material_F__</v>
      </c>
      <c r="M43" s="144"/>
      <c r="N43" s="17" t="str">
        <f t="shared" si="2"/>
        <v>TC_WC_F__</v>
      </c>
      <c r="O43" s="144"/>
      <c r="P43" s="17" t="str">
        <f t="shared" si="3"/>
        <v>TC_DM_F__</v>
      </c>
      <c r="Q43" s="144"/>
      <c r="R43" s="17" t="str">
        <f t="shared" si="4"/>
        <v>TC_CC_F__</v>
      </c>
      <c r="S43" s="8"/>
      <c r="T43" s="15"/>
      <c r="U43" s="15"/>
      <c r="V43" s="15"/>
      <c r="W43" s="15"/>
      <c r="X43" s="15"/>
    </row>
    <row r="44" spans="1:24" x14ac:dyDescent="0.25">
      <c r="A44" s="146" t="b">
        <v>0</v>
      </c>
      <c r="B44" s="7">
        <f t="shared" si="5"/>
        <v>43</v>
      </c>
      <c r="C44" s="22" t="e">
        <f>_xlfn.XLOOKUP($D44,Tab_Def_Processes[Process_Name],Tab_Def_Processes[Process_ID],,0,)</f>
        <v>#N/A</v>
      </c>
      <c r="D44" s="142" t="s">
        <v>22</v>
      </c>
      <c r="E44" s="142" t="s">
        <v>22</v>
      </c>
      <c r="F44" s="22" t="e">
        <f>_xlfn.XLOOKUP($D44,Tab_Def_Processes[Process_Name],Tab_Def_Processes[Process_Logic],,0,)</f>
        <v>#N/A</v>
      </c>
      <c r="G44" s="22" t="e">
        <f>_xlfn.XLOOKUP($D44,Tab_Def_Processes[Process_Name],Tab_Def_Processes[TC_Configuration],,0,)</f>
        <v>#N/A</v>
      </c>
      <c r="H44" s="22" t="e">
        <f>_xlfn.XLOOKUP($D44,Tab_Def_Processes[Process_Name],Tab_Def_Processes[Stock_Configuration],,0,)</f>
        <v>#N/A</v>
      </c>
      <c r="I44" s="22" t="e">
        <f>_xlfn.XLOOKUP($D44,Tab_Def_Processes[Process_Name],Tab_Def_Processes[Outflow_count],,0,)</f>
        <v>#N/A</v>
      </c>
      <c r="J44" s="7" t="str">
        <f>_xlfn.XLOOKUP($E44,Tab_Def_Flows[Flow_Name],Tab_Def_Flows[Flow_ID],,0,1)</f>
        <v>F__</v>
      </c>
      <c r="K44" s="8"/>
      <c r="L44" s="17" t="str">
        <f t="shared" si="1"/>
        <v>TC_material_F__</v>
      </c>
      <c r="M44" s="144"/>
      <c r="N44" s="17" t="str">
        <f t="shared" si="2"/>
        <v>TC_WC_F__</v>
      </c>
      <c r="O44" s="144"/>
      <c r="P44" s="17" t="str">
        <f t="shared" si="3"/>
        <v>TC_DM_F__</v>
      </c>
      <c r="Q44" s="144"/>
      <c r="R44" s="17" t="str">
        <f t="shared" si="4"/>
        <v>TC_CC_F__</v>
      </c>
      <c r="S44" s="8"/>
      <c r="T44" s="15"/>
      <c r="U44" s="15"/>
      <c r="V44" s="15"/>
      <c r="W44" s="15"/>
      <c r="X44" s="15"/>
    </row>
    <row r="45" spans="1:24" x14ac:dyDescent="0.25">
      <c r="A45" s="146" t="b">
        <v>0</v>
      </c>
      <c r="B45" s="7">
        <f t="shared" si="5"/>
        <v>44</v>
      </c>
      <c r="C45" s="22" t="e">
        <f>_xlfn.XLOOKUP($D45,Tab_Def_Processes[Process_Name],Tab_Def_Processes[Process_ID],,0,)</f>
        <v>#N/A</v>
      </c>
      <c r="D45" s="142" t="s">
        <v>22</v>
      </c>
      <c r="E45" s="142" t="s">
        <v>22</v>
      </c>
      <c r="F45" s="22" t="e">
        <f>_xlfn.XLOOKUP($D45,Tab_Def_Processes[Process_Name],Tab_Def_Processes[Process_Logic],,0,)</f>
        <v>#N/A</v>
      </c>
      <c r="G45" s="22" t="e">
        <f>_xlfn.XLOOKUP($D45,Tab_Def_Processes[Process_Name],Tab_Def_Processes[TC_Configuration],,0,)</f>
        <v>#N/A</v>
      </c>
      <c r="H45" s="22" t="e">
        <f>_xlfn.XLOOKUP($D45,Tab_Def_Processes[Process_Name],Tab_Def_Processes[Stock_Configuration],,0,)</f>
        <v>#N/A</v>
      </c>
      <c r="I45" s="22" t="e">
        <f>_xlfn.XLOOKUP($D45,Tab_Def_Processes[Process_Name],Tab_Def_Processes[Outflow_count],,0,)</f>
        <v>#N/A</v>
      </c>
      <c r="J45" s="7" t="str">
        <f>_xlfn.XLOOKUP($E45,Tab_Def_Flows[Flow_Name],Tab_Def_Flows[Flow_ID],,0,1)</f>
        <v>F__</v>
      </c>
      <c r="K45" s="8"/>
      <c r="L45" s="17" t="str">
        <f t="shared" si="1"/>
        <v>TC_material_F__</v>
      </c>
      <c r="M45" s="144"/>
      <c r="N45" s="17" t="str">
        <f t="shared" si="2"/>
        <v>TC_WC_F__</v>
      </c>
      <c r="O45" s="144"/>
      <c r="P45" s="17" t="str">
        <f t="shared" si="3"/>
        <v>TC_DM_F__</v>
      </c>
      <c r="Q45" s="144"/>
      <c r="R45" s="17" t="str">
        <f t="shared" si="4"/>
        <v>TC_CC_F__</v>
      </c>
      <c r="S45" s="8"/>
      <c r="T45" s="15"/>
      <c r="U45" s="15"/>
      <c r="V45" s="15"/>
      <c r="W45" s="15"/>
      <c r="X45" s="15"/>
    </row>
    <row r="46" spans="1:24" x14ac:dyDescent="0.25">
      <c r="A46" s="146" t="b">
        <v>0</v>
      </c>
      <c r="B46" s="7">
        <f t="shared" si="5"/>
        <v>45</v>
      </c>
      <c r="C46" s="22" t="e">
        <f>_xlfn.XLOOKUP($D46,Tab_Def_Processes[Process_Name],Tab_Def_Processes[Process_ID],,0,)</f>
        <v>#N/A</v>
      </c>
      <c r="D46" s="142" t="s">
        <v>22</v>
      </c>
      <c r="E46" s="142" t="s">
        <v>22</v>
      </c>
      <c r="F46" s="22" t="e">
        <f>_xlfn.XLOOKUP($D46,Tab_Def_Processes[Process_Name],Tab_Def_Processes[Process_Logic],,0,)</f>
        <v>#N/A</v>
      </c>
      <c r="G46" s="22" t="e">
        <f>_xlfn.XLOOKUP($D46,Tab_Def_Processes[Process_Name],Tab_Def_Processes[TC_Configuration],,0,)</f>
        <v>#N/A</v>
      </c>
      <c r="H46" s="22" t="e">
        <f>_xlfn.XLOOKUP($D46,Tab_Def_Processes[Process_Name],Tab_Def_Processes[Stock_Configuration],,0,)</f>
        <v>#N/A</v>
      </c>
      <c r="I46" s="22" t="e">
        <f>_xlfn.XLOOKUP($D46,Tab_Def_Processes[Process_Name],Tab_Def_Processes[Outflow_count],,0,)</f>
        <v>#N/A</v>
      </c>
      <c r="J46" s="7" t="str">
        <f>_xlfn.XLOOKUP($E46,Tab_Def_Flows[Flow_Name],Tab_Def_Flows[Flow_ID],,0,1)</f>
        <v>F__</v>
      </c>
      <c r="K46" s="8"/>
      <c r="L46" s="17" t="str">
        <f t="shared" si="1"/>
        <v>TC_material_F__</v>
      </c>
      <c r="M46" s="144"/>
      <c r="N46" s="17" t="str">
        <f t="shared" si="2"/>
        <v>TC_WC_F__</v>
      </c>
      <c r="O46" s="144"/>
      <c r="P46" s="17" t="str">
        <f t="shared" si="3"/>
        <v>TC_DM_F__</v>
      </c>
      <c r="Q46" s="144"/>
      <c r="R46" s="17" t="str">
        <f t="shared" si="4"/>
        <v>TC_CC_F__</v>
      </c>
      <c r="S46" s="8"/>
      <c r="T46" s="15"/>
      <c r="U46" s="15"/>
      <c r="V46" s="15"/>
      <c r="W46" s="15"/>
      <c r="X46" s="15"/>
    </row>
    <row r="47" spans="1:24" x14ac:dyDescent="0.25">
      <c r="A47" s="146" t="b">
        <v>0</v>
      </c>
      <c r="B47" s="7">
        <f t="shared" si="5"/>
        <v>46</v>
      </c>
      <c r="C47" s="22" t="e">
        <f>_xlfn.XLOOKUP($D47,Tab_Def_Processes[Process_Name],Tab_Def_Processes[Process_ID],,0,)</f>
        <v>#N/A</v>
      </c>
      <c r="D47" s="142" t="s">
        <v>22</v>
      </c>
      <c r="E47" s="142" t="s">
        <v>22</v>
      </c>
      <c r="F47" s="22" t="e">
        <f>_xlfn.XLOOKUP($D47,Tab_Def_Processes[Process_Name],Tab_Def_Processes[Process_Logic],,0,)</f>
        <v>#N/A</v>
      </c>
      <c r="G47" s="22" t="e">
        <f>_xlfn.XLOOKUP($D47,Tab_Def_Processes[Process_Name],Tab_Def_Processes[TC_Configuration],,0,)</f>
        <v>#N/A</v>
      </c>
      <c r="H47" s="22" t="e">
        <f>_xlfn.XLOOKUP($D47,Tab_Def_Processes[Process_Name],Tab_Def_Processes[Stock_Configuration],,0,)</f>
        <v>#N/A</v>
      </c>
      <c r="I47" s="22" t="e">
        <f>_xlfn.XLOOKUP($D47,Tab_Def_Processes[Process_Name],Tab_Def_Processes[Outflow_count],,0,)</f>
        <v>#N/A</v>
      </c>
      <c r="J47" s="7" t="str">
        <f>_xlfn.XLOOKUP($E47,Tab_Def_Flows[Flow_Name],Tab_Def_Flows[Flow_ID],,0,1)</f>
        <v>F__</v>
      </c>
      <c r="K47" s="8"/>
      <c r="L47" s="17" t="str">
        <f t="shared" si="1"/>
        <v>TC_material_F__</v>
      </c>
      <c r="M47" s="144"/>
      <c r="N47" s="17" t="str">
        <f t="shared" si="2"/>
        <v>TC_WC_F__</v>
      </c>
      <c r="O47" s="144"/>
      <c r="P47" s="17" t="str">
        <f t="shared" si="3"/>
        <v>TC_DM_F__</v>
      </c>
      <c r="Q47" s="144"/>
      <c r="R47" s="17" t="str">
        <f t="shared" si="4"/>
        <v>TC_CC_F__</v>
      </c>
      <c r="S47" s="8"/>
      <c r="T47" s="15"/>
      <c r="U47" s="15"/>
      <c r="V47" s="15"/>
      <c r="W47" s="15"/>
      <c r="X47" s="15"/>
    </row>
    <row r="48" spans="1:24" x14ac:dyDescent="0.25">
      <c r="A48" s="146" t="b">
        <v>0</v>
      </c>
      <c r="B48" s="7">
        <f t="shared" si="5"/>
        <v>47</v>
      </c>
      <c r="C48" s="22" t="e">
        <f>_xlfn.XLOOKUP($D48,Tab_Def_Processes[Process_Name],Tab_Def_Processes[Process_ID],,0,)</f>
        <v>#N/A</v>
      </c>
      <c r="D48" s="142" t="s">
        <v>22</v>
      </c>
      <c r="E48" s="142" t="s">
        <v>22</v>
      </c>
      <c r="F48" s="22" t="e">
        <f>_xlfn.XLOOKUP($D48,Tab_Def_Processes[Process_Name],Tab_Def_Processes[Process_Logic],,0,)</f>
        <v>#N/A</v>
      </c>
      <c r="G48" s="22" t="e">
        <f>_xlfn.XLOOKUP($D48,Tab_Def_Processes[Process_Name],Tab_Def_Processes[TC_Configuration],,0,)</f>
        <v>#N/A</v>
      </c>
      <c r="H48" s="22" t="e">
        <f>_xlfn.XLOOKUP($D48,Tab_Def_Processes[Process_Name],Tab_Def_Processes[Stock_Configuration],,0,)</f>
        <v>#N/A</v>
      </c>
      <c r="I48" s="22" t="e">
        <f>_xlfn.XLOOKUP($D48,Tab_Def_Processes[Process_Name],Tab_Def_Processes[Outflow_count],,0,)</f>
        <v>#N/A</v>
      </c>
      <c r="J48" s="7" t="str">
        <f>_xlfn.XLOOKUP($E48,Tab_Def_Flows[Flow_Name],Tab_Def_Flows[Flow_ID],,0,1)</f>
        <v>F__</v>
      </c>
      <c r="K48" s="8"/>
      <c r="L48" s="17" t="str">
        <f t="shared" si="1"/>
        <v>TC_material_F__</v>
      </c>
      <c r="M48" s="144"/>
      <c r="N48" s="17" t="str">
        <f t="shared" si="2"/>
        <v>TC_WC_F__</v>
      </c>
      <c r="O48" s="144"/>
      <c r="P48" s="17" t="str">
        <f t="shared" si="3"/>
        <v>TC_DM_F__</v>
      </c>
      <c r="Q48" s="144"/>
      <c r="R48" s="17" t="str">
        <f t="shared" si="4"/>
        <v>TC_CC_F__</v>
      </c>
      <c r="S48" s="8"/>
      <c r="T48" s="15"/>
      <c r="U48" s="15"/>
      <c r="V48" s="15"/>
      <c r="W48" s="15"/>
      <c r="X48" s="15"/>
    </row>
    <row r="49" spans="1:24" x14ac:dyDescent="0.25">
      <c r="A49" s="146" t="b">
        <v>0</v>
      </c>
      <c r="B49" s="7">
        <f t="shared" si="5"/>
        <v>48</v>
      </c>
      <c r="C49" s="22" t="e">
        <f>_xlfn.XLOOKUP($D49,Tab_Def_Processes[Process_Name],Tab_Def_Processes[Process_ID],,0,)</f>
        <v>#N/A</v>
      </c>
      <c r="D49" s="142" t="s">
        <v>22</v>
      </c>
      <c r="E49" s="142" t="s">
        <v>22</v>
      </c>
      <c r="F49" s="22" t="e">
        <f>_xlfn.XLOOKUP($D49,Tab_Def_Processes[Process_Name],Tab_Def_Processes[Process_Logic],,0,)</f>
        <v>#N/A</v>
      </c>
      <c r="G49" s="22" t="e">
        <f>_xlfn.XLOOKUP($D49,Tab_Def_Processes[Process_Name],Tab_Def_Processes[TC_Configuration],,0,)</f>
        <v>#N/A</v>
      </c>
      <c r="H49" s="22" t="e">
        <f>_xlfn.XLOOKUP($D49,Tab_Def_Processes[Process_Name],Tab_Def_Processes[Stock_Configuration],,0,)</f>
        <v>#N/A</v>
      </c>
      <c r="I49" s="22" t="e">
        <f>_xlfn.XLOOKUP($D49,Tab_Def_Processes[Process_Name],Tab_Def_Processes[Outflow_count],,0,)</f>
        <v>#N/A</v>
      </c>
      <c r="J49" s="7" t="str">
        <f>_xlfn.XLOOKUP($E49,Tab_Def_Flows[Flow_Name],Tab_Def_Flows[Flow_ID],,0,1)</f>
        <v>F__</v>
      </c>
      <c r="K49" s="8"/>
      <c r="L49" s="17" t="str">
        <f t="shared" si="1"/>
        <v>TC_material_F__</v>
      </c>
      <c r="M49" s="144"/>
      <c r="N49" s="17" t="str">
        <f t="shared" si="2"/>
        <v>TC_WC_F__</v>
      </c>
      <c r="O49" s="144"/>
      <c r="P49" s="17" t="str">
        <f t="shared" si="3"/>
        <v>TC_DM_F__</v>
      </c>
      <c r="Q49" s="144"/>
      <c r="R49" s="17" t="str">
        <f t="shared" si="4"/>
        <v>TC_CC_F__</v>
      </c>
      <c r="S49" s="8"/>
      <c r="T49" s="15"/>
      <c r="U49" s="15"/>
      <c r="V49" s="15"/>
      <c r="W49" s="15"/>
      <c r="X49" s="15"/>
    </row>
    <row r="50" spans="1:24" x14ac:dyDescent="0.25">
      <c r="A50" s="146" t="b">
        <v>0</v>
      </c>
      <c r="B50" s="7">
        <f t="shared" si="5"/>
        <v>49</v>
      </c>
      <c r="C50" s="22" t="e">
        <f>_xlfn.XLOOKUP($D50,Tab_Def_Processes[Process_Name],Tab_Def_Processes[Process_ID],,0,)</f>
        <v>#N/A</v>
      </c>
      <c r="D50" s="142" t="s">
        <v>22</v>
      </c>
      <c r="E50" s="142" t="s">
        <v>22</v>
      </c>
      <c r="F50" s="22" t="e">
        <f>_xlfn.XLOOKUP($D50,Tab_Def_Processes[Process_Name],Tab_Def_Processes[Process_Logic],,0,)</f>
        <v>#N/A</v>
      </c>
      <c r="G50" s="22" t="e">
        <f>_xlfn.XLOOKUP($D50,Tab_Def_Processes[Process_Name],Tab_Def_Processes[TC_Configuration],,0,)</f>
        <v>#N/A</v>
      </c>
      <c r="H50" s="22" t="e">
        <f>_xlfn.XLOOKUP($D50,Tab_Def_Processes[Process_Name],Tab_Def_Processes[Stock_Configuration],,0,)</f>
        <v>#N/A</v>
      </c>
      <c r="I50" s="22" t="e">
        <f>_xlfn.XLOOKUP($D50,Tab_Def_Processes[Process_Name],Tab_Def_Processes[Outflow_count],,0,)</f>
        <v>#N/A</v>
      </c>
      <c r="J50" s="7" t="str">
        <f>_xlfn.XLOOKUP($E50,Tab_Def_Flows[Flow_Name],Tab_Def_Flows[Flow_ID],,0,1)</f>
        <v>F__</v>
      </c>
      <c r="K50" s="8"/>
      <c r="L50" s="17" t="str">
        <f t="shared" si="1"/>
        <v>TC_material_F__</v>
      </c>
      <c r="M50" s="144"/>
      <c r="N50" s="17" t="str">
        <f t="shared" si="2"/>
        <v>TC_WC_F__</v>
      </c>
      <c r="O50" s="144"/>
      <c r="P50" s="17" t="str">
        <f t="shared" si="3"/>
        <v>TC_DM_F__</v>
      </c>
      <c r="Q50" s="144"/>
      <c r="R50" s="17" t="str">
        <f t="shared" si="4"/>
        <v>TC_CC_F__</v>
      </c>
      <c r="S50" s="8"/>
      <c r="T50" s="15"/>
      <c r="U50" s="15"/>
      <c r="V50" s="15"/>
      <c r="W50" s="15"/>
      <c r="X50" s="15"/>
    </row>
    <row r="51" spans="1:24" x14ac:dyDescent="0.25">
      <c r="A51" s="146" t="b">
        <v>0</v>
      </c>
      <c r="B51" s="7">
        <f t="shared" si="5"/>
        <v>50</v>
      </c>
      <c r="C51" s="22" t="e">
        <f>_xlfn.XLOOKUP($D51,Tab_Def_Processes[Process_Name],Tab_Def_Processes[Process_ID],,0,)</f>
        <v>#N/A</v>
      </c>
      <c r="D51" s="142" t="s">
        <v>22</v>
      </c>
      <c r="E51" s="142" t="s">
        <v>22</v>
      </c>
      <c r="F51" s="22" t="e">
        <f>_xlfn.XLOOKUP($D51,Tab_Def_Processes[Process_Name],Tab_Def_Processes[Process_Logic],,0,)</f>
        <v>#N/A</v>
      </c>
      <c r="G51" s="22" t="e">
        <f>_xlfn.XLOOKUP($D51,Tab_Def_Processes[Process_Name],Tab_Def_Processes[TC_Configuration],,0,)</f>
        <v>#N/A</v>
      </c>
      <c r="H51" s="22" t="e">
        <f>_xlfn.XLOOKUP($D51,Tab_Def_Processes[Process_Name],Tab_Def_Processes[Stock_Configuration],,0,)</f>
        <v>#N/A</v>
      </c>
      <c r="I51" s="22" t="e">
        <f>_xlfn.XLOOKUP($D51,Tab_Def_Processes[Process_Name],Tab_Def_Processes[Outflow_count],,0,)</f>
        <v>#N/A</v>
      </c>
      <c r="J51" s="7" t="str">
        <f>_xlfn.XLOOKUP($E51,Tab_Def_Flows[Flow_Name],Tab_Def_Flows[Flow_ID],,0,1)</f>
        <v>F__</v>
      </c>
      <c r="K51" s="8"/>
      <c r="L51" s="17" t="str">
        <f t="shared" si="1"/>
        <v>TC_material_F__</v>
      </c>
      <c r="M51" s="144"/>
      <c r="N51" s="17" t="str">
        <f t="shared" si="2"/>
        <v>TC_WC_F__</v>
      </c>
      <c r="O51" s="144"/>
      <c r="P51" s="17" t="str">
        <f t="shared" si="3"/>
        <v>TC_DM_F__</v>
      </c>
      <c r="Q51" s="144"/>
      <c r="R51" s="17" t="str">
        <f t="shared" si="4"/>
        <v>TC_CC_F__</v>
      </c>
      <c r="S51" s="8"/>
      <c r="T51" s="15"/>
      <c r="U51" s="15"/>
      <c r="V51" s="15"/>
      <c r="W51" s="15"/>
      <c r="X51" s="15"/>
    </row>
    <row r="52" spans="1:24" x14ac:dyDescent="0.25">
      <c r="A52" s="146" t="b">
        <v>0</v>
      </c>
      <c r="B52" s="7">
        <f t="shared" si="5"/>
        <v>51</v>
      </c>
      <c r="C52" s="22" t="e">
        <f>_xlfn.XLOOKUP($D52,Tab_Def_Processes[Process_Name],Tab_Def_Processes[Process_ID],,0,)</f>
        <v>#N/A</v>
      </c>
      <c r="D52" s="142" t="s">
        <v>22</v>
      </c>
      <c r="E52" s="142" t="s">
        <v>22</v>
      </c>
      <c r="F52" s="22" t="e">
        <f>_xlfn.XLOOKUP($D52,Tab_Def_Processes[Process_Name],Tab_Def_Processes[Process_Logic],,0,)</f>
        <v>#N/A</v>
      </c>
      <c r="G52" s="22" t="e">
        <f>_xlfn.XLOOKUP($D52,Tab_Def_Processes[Process_Name],Tab_Def_Processes[TC_Configuration],,0,)</f>
        <v>#N/A</v>
      </c>
      <c r="H52" s="22" t="e">
        <f>_xlfn.XLOOKUP($D52,Tab_Def_Processes[Process_Name],Tab_Def_Processes[Stock_Configuration],,0,)</f>
        <v>#N/A</v>
      </c>
      <c r="I52" s="22" t="e">
        <f>_xlfn.XLOOKUP($D52,Tab_Def_Processes[Process_Name],Tab_Def_Processes[Outflow_count],,0,)</f>
        <v>#N/A</v>
      </c>
      <c r="J52" s="7" t="str">
        <f>_xlfn.XLOOKUP($E52,Tab_Def_Flows[Flow_Name],Tab_Def_Flows[Flow_ID],,0,1)</f>
        <v>F__</v>
      </c>
      <c r="K52" s="8"/>
      <c r="L52" s="17" t="str">
        <f t="shared" si="1"/>
        <v>TC_material_F__</v>
      </c>
      <c r="M52" s="144"/>
      <c r="N52" s="17" t="str">
        <f t="shared" si="2"/>
        <v>TC_WC_F__</v>
      </c>
      <c r="O52" s="144"/>
      <c r="P52" s="17" t="str">
        <f t="shared" si="3"/>
        <v>TC_DM_F__</v>
      </c>
      <c r="Q52" s="144"/>
      <c r="R52" s="17" t="str">
        <f t="shared" si="4"/>
        <v>TC_CC_F__</v>
      </c>
      <c r="S52" s="8"/>
      <c r="T52" s="15"/>
      <c r="U52" s="15"/>
      <c r="V52" s="15"/>
      <c r="W52" s="15"/>
      <c r="X52" s="15"/>
    </row>
    <row r="53" spans="1:24" x14ac:dyDescent="0.25">
      <c r="A53" s="146" t="b">
        <v>0</v>
      </c>
      <c r="B53" s="7">
        <f t="shared" si="5"/>
        <v>52</v>
      </c>
      <c r="C53" s="22" t="e">
        <f>_xlfn.XLOOKUP($D53,Tab_Def_Processes[Process_Name],Tab_Def_Processes[Process_ID],,0,)</f>
        <v>#N/A</v>
      </c>
      <c r="D53" s="142" t="s">
        <v>22</v>
      </c>
      <c r="E53" s="142" t="s">
        <v>22</v>
      </c>
      <c r="F53" s="22" t="e">
        <f>_xlfn.XLOOKUP($D53,Tab_Def_Processes[Process_Name],Tab_Def_Processes[Process_Logic],,0,)</f>
        <v>#N/A</v>
      </c>
      <c r="G53" s="22" t="e">
        <f>_xlfn.XLOOKUP($D53,Tab_Def_Processes[Process_Name],Tab_Def_Processes[TC_Configuration],,0,)</f>
        <v>#N/A</v>
      </c>
      <c r="H53" s="22" t="e">
        <f>_xlfn.XLOOKUP($D53,Tab_Def_Processes[Process_Name],Tab_Def_Processes[Stock_Configuration],,0,)</f>
        <v>#N/A</v>
      </c>
      <c r="I53" s="22" t="e">
        <f>_xlfn.XLOOKUP($D53,Tab_Def_Processes[Process_Name],Tab_Def_Processes[Outflow_count],,0,)</f>
        <v>#N/A</v>
      </c>
      <c r="J53" s="7" t="str">
        <f>_xlfn.XLOOKUP($E53,Tab_Def_Flows[Flow_Name],Tab_Def_Flows[Flow_ID],,0,1)</f>
        <v>F__</v>
      </c>
      <c r="K53" s="8"/>
      <c r="L53" s="17" t="str">
        <f t="shared" si="1"/>
        <v>TC_material_F__</v>
      </c>
      <c r="M53" s="144"/>
      <c r="N53" s="17" t="str">
        <f t="shared" si="2"/>
        <v>TC_WC_F__</v>
      </c>
      <c r="O53" s="144"/>
      <c r="P53" s="17" t="str">
        <f t="shared" si="3"/>
        <v>TC_DM_F__</v>
      </c>
      <c r="Q53" s="144"/>
      <c r="R53" s="17" t="str">
        <f t="shared" si="4"/>
        <v>TC_CC_F__</v>
      </c>
      <c r="S53" s="8"/>
      <c r="T53" s="15"/>
      <c r="U53" s="15"/>
      <c r="V53" s="15"/>
      <c r="W53" s="15"/>
      <c r="X53" s="15"/>
    </row>
    <row r="54" spans="1:24" x14ac:dyDescent="0.25">
      <c r="A54" s="146" t="b">
        <v>0</v>
      </c>
      <c r="B54" s="7">
        <f t="shared" si="5"/>
        <v>53</v>
      </c>
      <c r="C54" s="22" t="e">
        <f>_xlfn.XLOOKUP($D54,Tab_Def_Processes[Process_Name],Tab_Def_Processes[Process_ID],,0,)</f>
        <v>#N/A</v>
      </c>
      <c r="D54" s="142" t="s">
        <v>22</v>
      </c>
      <c r="E54" s="142" t="s">
        <v>22</v>
      </c>
      <c r="F54" s="22" t="e">
        <f>_xlfn.XLOOKUP($D54,Tab_Def_Processes[Process_Name],Tab_Def_Processes[Process_Logic],,0,)</f>
        <v>#N/A</v>
      </c>
      <c r="G54" s="22" t="e">
        <f>_xlfn.XLOOKUP($D54,Tab_Def_Processes[Process_Name],Tab_Def_Processes[TC_Configuration],,0,)</f>
        <v>#N/A</v>
      </c>
      <c r="H54" s="22" t="e">
        <f>_xlfn.XLOOKUP($D54,Tab_Def_Processes[Process_Name],Tab_Def_Processes[Stock_Configuration],,0,)</f>
        <v>#N/A</v>
      </c>
      <c r="I54" s="22" t="e">
        <f>_xlfn.XLOOKUP($D54,Tab_Def_Processes[Process_Name],Tab_Def_Processes[Outflow_count],,0,)</f>
        <v>#N/A</v>
      </c>
      <c r="J54" s="7" t="str">
        <f>_xlfn.XLOOKUP($E54,Tab_Def_Flows[Flow_Name],Tab_Def_Flows[Flow_ID],,0,1)</f>
        <v>F__</v>
      </c>
      <c r="K54" s="8"/>
      <c r="L54" s="17" t="str">
        <f t="shared" si="1"/>
        <v>TC_material_F__</v>
      </c>
      <c r="M54" s="144"/>
      <c r="N54" s="17" t="str">
        <f t="shared" si="2"/>
        <v>TC_WC_F__</v>
      </c>
      <c r="O54" s="144"/>
      <c r="P54" s="17" t="str">
        <f t="shared" si="3"/>
        <v>TC_DM_F__</v>
      </c>
      <c r="Q54" s="144"/>
      <c r="R54" s="17" t="str">
        <f t="shared" si="4"/>
        <v>TC_CC_F__</v>
      </c>
      <c r="S54" s="8"/>
      <c r="T54" s="15"/>
      <c r="U54" s="15"/>
      <c r="V54" s="15"/>
      <c r="W54" s="15"/>
      <c r="X54" s="15"/>
    </row>
    <row r="55" spans="1:24" x14ac:dyDescent="0.25">
      <c r="A55" s="146" t="b">
        <v>0</v>
      </c>
      <c r="B55" s="7">
        <f t="shared" si="5"/>
        <v>54</v>
      </c>
      <c r="C55" s="22" t="e">
        <f>_xlfn.XLOOKUP($D55,Tab_Def_Processes[Process_Name],Tab_Def_Processes[Process_ID],,0,)</f>
        <v>#N/A</v>
      </c>
      <c r="D55" s="142" t="s">
        <v>22</v>
      </c>
      <c r="E55" s="142" t="s">
        <v>22</v>
      </c>
      <c r="F55" s="22" t="e">
        <f>_xlfn.XLOOKUP($D55,Tab_Def_Processes[Process_Name],Tab_Def_Processes[Process_Logic],,0,)</f>
        <v>#N/A</v>
      </c>
      <c r="G55" s="22" t="e">
        <f>_xlfn.XLOOKUP($D55,Tab_Def_Processes[Process_Name],Tab_Def_Processes[TC_Configuration],,0,)</f>
        <v>#N/A</v>
      </c>
      <c r="H55" s="22" t="e">
        <f>_xlfn.XLOOKUP($D55,Tab_Def_Processes[Process_Name],Tab_Def_Processes[Stock_Configuration],,0,)</f>
        <v>#N/A</v>
      </c>
      <c r="I55" s="22" t="e">
        <f>_xlfn.XLOOKUP($D55,Tab_Def_Processes[Process_Name],Tab_Def_Processes[Outflow_count],,0,)</f>
        <v>#N/A</v>
      </c>
      <c r="J55" s="7" t="str">
        <f>_xlfn.XLOOKUP($E55,Tab_Def_Flows[Flow_Name],Tab_Def_Flows[Flow_ID],,0,1)</f>
        <v>F__</v>
      </c>
      <c r="K55" s="8"/>
      <c r="L55" s="17" t="str">
        <f t="shared" si="1"/>
        <v>TC_material_F__</v>
      </c>
      <c r="M55" s="144"/>
      <c r="N55" s="17" t="str">
        <f t="shared" si="2"/>
        <v>TC_WC_F__</v>
      </c>
      <c r="O55" s="144"/>
      <c r="P55" s="17" t="str">
        <f t="shared" si="3"/>
        <v>TC_DM_F__</v>
      </c>
      <c r="Q55" s="144"/>
      <c r="R55" s="17" t="str">
        <f t="shared" si="4"/>
        <v>TC_CC_F__</v>
      </c>
      <c r="S55" s="8"/>
      <c r="T55" s="15"/>
      <c r="U55" s="15"/>
      <c r="V55" s="15"/>
      <c r="W55" s="15"/>
      <c r="X55" s="15"/>
    </row>
    <row r="56" spans="1:24" x14ac:dyDescent="0.25">
      <c r="A56" s="146" t="b">
        <v>0</v>
      </c>
      <c r="B56" s="7">
        <f t="shared" si="5"/>
        <v>55</v>
      </c>
      <c r="C56" s="22" t="e">
        <f>_xlfn.XLOOKUP($D56,Tab_Def_Processes[Process_Name],Tab_Def_Processes[Process_ID],,0,)</f>
        <v>#N/A</v>
      </c>
      <c r="D56" s="142" t="s">
        <v>22</v>
      </c>
      <c r="E56" s="142" t="s">
        <v>22</v>
      </c>
      <c r="F56" s="22" t="e">
        <f>_xlfn.XLOOKUP($D56,Tab_Def_Processes[Process_Name],Tab_Def_Processes[Process_Logic],,0,)</f>
        <v>#N/A</v>
      </c>
      <c r="G56" s="22" t="e">
        <f>_xlfn.XLOOKUP($D56,Tab_Def_Processes[Process_Name],Tab_Def_Processes[TC_Configuration],,0,)</f>
        <v>#N/A</v>
      </c>
      <c r="H56" s="22" t="e">
        <f>_xlfn.XLOOKUP($D56,Tab_Def_Processes[Process_Name],Tab_Def_Processes[Stock_Configuration],,0,)</f>
        <v>#N/A</v>
      </c>
      <c r="I56" s="22" t="e">
        <f>_xlfn.XLOOKUP($D56,Tab_Def_Processes[Process_Name],Tab_Def_Processes[Outflow_count],,0,)</f>
        <v>#N/A</v>
      </c>
      <c r="J56" s="7" t="str">
        <f>_xlfn.XLOOKUP($E56,Tab_Def_Flows[Flow_Name],Tab_Def_Flows[Flow_ID],,0,1)</f>
        <v>F__</v>
      </c>
      <c r="K56" s="8"/>
      <c r="L56" s="17" t="str">
        <f t="shared" si="1"/>
        <v>TC_material_F__</v>
      </c>
      <c r="M56" s="144"/>
      <c r="N56" s="17" t="str">
        <f t="shared" si="2"/>
        <v>TC_WC_F__</v>
      </c>
      <c r="O56" s="144"/>
      <c r="P56" s="17" t="str">
        <f t="shared" si="3"/>
        <v>TC_DM_F__</v>
      </c>
      <c r="Q56" s="144"/>
      <c r="R56" s="17" t="str">
        <f t="shared" si="4"/>
        <v>TC_CC_F__</v>
      </c>
      <c r="S56" s="8"/>
      <c r="T56" s="15"/>
      <c r="U56" s="15"/>
      <c r="V56" s="15"/>
      <c r="W56" s="15"/>
      <c r="X56" s="15"/>
    </row>
    <row r="57" spans="1:24" x14ac:dyDescent="0.25">
      <c r="A57" s="146" t="b">
        <v>0</v>
      </c>
      <c r="B57" s="7">
        <f t="shared" si="5"/>
        <v>56</v>
      </c>
      <c r="C57" s="22" t="e">
        <f>_xlfn.XLOOKUP($D57,Tab_Def_Processes[Process_Name],Tab_Def_Processes[Process_ID],,0,)</f>
        <v>#N/A</v>
      </c>
      <c r="D57" s="142" t="s">
        <v>22</v>
      </c>
      <c r="E57" s="142" t="s">
        <v>22</v>
      </c>
      <c r="F57" s="22" t="e">
        <f>_xlfn.XLOOKUP($D57,Tab_Def_Processes[Process_Name],Tab_Def_Processes[Process_Logic],,0,)</f>
        <v>#N/A</v>
      </c>
      <c r="G57" s="22" t="e">
        <f>_xlfn.XLOOKUP($D57,Tab_Def_Processes[Process_Name],Tab_Def_Processes[TC_Configuration],,0,)</f>
        <v>#N/A</v>
      </c>
      <c r="H57" s="22" t="e">
        <f>_xlfn.XLOOKUP($D57,Tab_Def_Processes[Process_Name],Tab_Def_Processes[Stock_Configuration],,0,)</f>
        <v>#N/A</v>
      </c>
      <c r="I57" s="22" t="e">
        <f>_xlfn.XLOOKUP($D57,Tab_Def_Processes[Process_Name],Tab_Def_Processes[Outflow_count],,0,)</f>
        <v>#N/A</v>
      </c>
      <c r="J57" s="7" t="str">
        <f>_xlfn.XLOOKUP($E57,Tab_Def_Flows[Flow_Name],Tab_Def_Flows[Flow_ID],,0,1)</f>
        <v>F__</v>
      </c>
      <c r="K57" s="8"/>
      <c r="L57" s="17" t="str">
        <f t="shared" si="1"/>
        <v>TC_material_F__</v>
      </c>
      <c r="M57" s="144"/>
      <c r="N57" s="17" t="str">
        <f t="shared" si="2"/>
        <v>TC_WC_F__</v>
      </c>
      <c r="O57" s="144"/>
      <c r="P57" s="17" t="str">
        <f t="shared" si="3"/>
        <v>TC_DM_F__</v>
      </c>
      <c r="Q57" s="144"/>
      <c r="R57" s="17" t="str">
        <f t="shared" si="4"/>
        <v>TC_CC_F__</v>
      </c>
      <c r="S57" s="8"/>
      <c r="T57" s="15"/>
      <c r="U57" s="15"/>
      <c r="V57" s="15"/>
      <c r="W57" s="15"/>
      <c r="X57" s="15"/>
    </row>
    <row r="58" spans="1:24" x14ac:dyDescent="0.25">
      <c r="A58" s="146" t="b">
        <v>0</v>
      </c>
      <c r="B58" s="7">
        <f t="shared" si="5"/>
        <v>57</v>
      </c>
      <c r="C58" s="22" t="e">
        <f>_xlfn.XLOOKUP($D58,Tab_Def_Processes[Process_Name],Tab_Def_Processes[Process_ID],,0,)</f>
        <v>#N/A</v>
      </c>
      <c r="D58" s="142" t="s">
        <v>22</v>
      </c>
      <c r="E58" s="142" t="s">
        <v>22</v>
      </c>
      <c r="F58" s="22" t="e">
        <f>_xlfn.XLOOKUP($D58,Tab_Def_Processes[Process_Name],Tab_Def_Processes[Process_Logic],,0,)</f>
        <v>#N/A</v>
      </c>
      <c r="G58" s="22" t="e">
        <f>_xlfn.XLOOKUP($D58,Tab_Def_Processes[Process_Name],Tab_Def_Processes[TC_Configuration],,0,)</f>
        <v>#N/A</v>
      </c>
      <c r="H58" s="22" t="e">
        <f>_xlfn.XLOOKUP($D58,Tab_Def_Processes[Process_Name],Tab_Def_Processes[Stock_Configuration],,0,)</f>
        <v>#N/A</v>
      </c>
      <c r="I58" s="22" t="e">
        <f>_xlfn.XLOOKUP($D58,Tab_Def_Processes[Process_Name],Tab_Def_Processes[Outflow_count],,0,)</f>
        <v>#N/A</v>
      </c>
      <c r="J58" s="7" t="str">
        <f>_xlfn.XLOOKUP($E58,Tab_Def_Flows[Flow_Name],Tab_Def_Flows[Flow_ID],,0,1)</f>
        <v>F__</v>
      </c>
      <c r="K58" s="8"/>
      <c r="L58" s="17" t="str">
        <f t="shared" si="1"/>
        <v>TC_material_F__</v>
      </c>
      <c r="M58" s="144"/>
      <c r="N58" s="17" t="str">
        <f t="shared" si="2"/>
        <v>TC_WC_F__</v>
      </c>
      <c r="O58" s="144"/>
      <c r="P58" s="17" t="str">
        <f t="shared" si="3"/>
        <v>TC_DM_F__</v>
      </c>
      <c r="Q58" s="144"/>
      <c r="R58" s="17" t="str">
        <f t="shared" si="4"/>
        <v>TC_CC_F__</v>
      </c>
      <c r="S58" s="8"/>
      <c r="T58" s="15"/>
      <c r="U58" s="15"/>
      <c r="V58" s="15"/>
      <c r="W58" s="15"/>
      <c r="X58" s="15"/>
    </row>
    <row r="59" spans="1:24" x14ac:dyDescent="0.25">
      <c r="A59" s="146" t="b">
        <v>0</v>
      </c>
      <c r="B59" s="7">
        <f t="shared" si="5"/>
        <v>58</v>
      </c>
      <c r="C59" s="22" t="e">
        <f>_xlfn.XLOOKUP($D59,Tab_Def_Processes[Process_Name],Tab_Def_Processes[Process_ID],,0,)</f>
        <v>#N/A</v>
      </c>
      <c r="D59" s="142" t="s">
        <v>22</v>
      </c>
      <c r="E59" s="142" t="s">
        <v>22</v>
      </c>
      <c r="F59" s="22" t="e">
        <f>_xlfn.XLOOKUP($D59,Tab_Def_Processes[Process_Name],Tab_Def_Processes[Process_Logic],,0,)</f>
        <v>#N/A</v>
      </c>
      <c r="G59" s="22" t="e">
        <f>_xlfn.XLOOKUP($D59,Tab_Def_Processes[Process_Name],Tab_Def_Processes[TC_Configuration],,0,)</f>
        <v>#N/A</v>
      </c>
      <c r="H59" s="22" t="e">
        <f>_xlfn.XLOOKUP($D59,Tab_Def_Processes[Process_Name],Tab_Def_Processes[Stock_Configuration],,0,)</f>
        <v>#N/A</v>
      </c>
      <c r="I59" s="22" t="e">
        <f>_xlfn.XLOOKUP($D59,Tab_Def_Processes[Process_Name],Tab_Def_Processes[Outflow_count],,0,)</f>
        <v>#N/A</v>
      </c>
      <c r="J59" s="7" t="str">
        <f>_xlfn.XLOOKUP($E59,Tab_Def_Flows[Flow_Name],Tab_Def_Flows[Flow_ID],,0,1)</f>
        <v>F__</v>
      </c>
      <c r="K59" s="8"/>
      <c r="L59" s="17" t="str">
        <f t="shared" si="1"/>
        <v>TC_material_F__</v>
      </c>
      <c r="M59" s="144"/>
      <c r="N59" s="17" t="str">
        <f t="shared" si="2"/>
        <v>TC_WC_F__</v>
      </c>
      <c r="O59" s="144"/>
      <c r="P59" s="17" t="str">
        <f t="shared" si="3"/>
        <v>TC_DM_F__</v>
      </c>
      <c r="Q59" s="144"/>
      <c r="R59" s="17" t="str">
        <f t="shared" si="4"/>
        <v>TC_CC_F__</v>
      </c>
      <c r="S59" s="8"/>
      <c r="T59" s="15"/>
      <c r="U59" s="15"/>
      <c r="V59" s="15"/>
      <c r="W59" s="15"/>
      <c r="X59" s="15"/>
    </row>
    <row r="60" spans="1:24" x14ac:dyDescent="0.25">
      <c r="A60" s="146" t="b">
        <v>0</v>
      </c>
      <c r="B60" s="7">
        <f t="shared" si="5"/>
        <v>59</v>
      </c>
      <c r="C60" s="22" t="e">
        <f>_xlfn.XLOOKUP($D60,Tab_Def_Processes[Process_Name],Tab_Def_Processes[Process_ID],,0,)</f>
        <v>#N/A</v>
      </c>
      <c r="D60" s="142" t="s">
        <v>22</v>
      </c>
      <c r="E60" s="142" t="s">
        <v>22</v>
      </c>
      <c r="F60" s="22" t="e">
        <f>_xlfn.XLOOKUP($D60,Tab_Def_Processes[Process_Name],Tab_Def_Processes[Process_Logic],,0,)</f>
        <v>#N/A</v>
      </c>
      <c r="G60" s="22" t="e">
        <f>_xlfn.XLOOKUP($D60,Tab_Def_Processes[Process_Name],Tab_Def_Processes[TC_Configuration],,0,)</f>
        <v>#N/A</v>
      </c>
      <c r="H60" s="22" t="e">
        <f>_xlfn.XLOOKUP($D60,Tab_Def_Processes[Process_Name],Tab_Def_Processes[Stock_Configuration],,0,)</f>
        <v>#N/A</v>
      </c>
      <c r="I60" s="22" t="e">
        <f>_xlfn.XLOOKUP($D60,Tab_Def_Processes[Process_Name],Tab_Def_Processes[Outflow_count],,0,)</f>
        <v>#N/A</v>
      </c>
      <c r="J60" s="7" t="str">
        <f>_xlfn.XLOOKUP($E60,Tab_Def_Flows[Flow_Name],Tab_Def_Flows[Flow_ID],,0,1)</f>
        <v>F__</v>
      </c>
      <c r="K60" s="8"/>
      <c r="L60" s="17" t="str">
        <f t="shared" si="1"/>
        <v>TC_material_F__</v>
      </c>
      <c r="M60" s="144"/>
      <c r="N60" s="17" t="str">
        <f t="shared" si="2"/>
        <v>TC_WC_F__</v>
      </c>
      <c r="O60" s="144"/>
      <c r="P60" s="17" t="str">
        <f t="shared" si="3"/>
        <v>TC_DM_F__</v>
      </c>
      <c r="Q60" s="144"/>
      <c r="R60" s="17" t="str">
        <f t="shared" si="4"/>
        <v>TC_CC_F__</v>
      </c>
      <c r="S60" s="8"/>
      <c r="T60" s="15"/>
      <c r="U60" s="15"/>
      <c r="V60" s="15"/>
      <c r="W60" s="15"/>
      <c r="X60" s="15"/>
    </row>
    <row r="61" spans="1:24" x14ac:dyDescent="0.25">
      <c r="A61" s="146" t="b">
        <v>0</v>
      </c>
      <c r="B61" s="7">
        <f t="shared" si="5"/>
        <v>60</v>
      </c>
      <c r="C61" s="22" t="e">
        <f>_xlfn.XLOOKUP($D61,Tab_Def_Processes[Process_Name],Tab_Def_Processes[Process_ID],,0,)</f>
        <v>#N/A</v>
      </c>
      <c r="D61" s="142" t="s">
        <v>22</v>
      </c>
      <c r="E61" s="142" t="s">
        <v>22</v>
      </c>
      <c r="F61" s="22" t="e">
        <f>_xlfn.XLOOKUP($D61,Tab_Def_Processes[Process_Name],Tab_Def_Processes[Process_Logic],,0,)</f>
        <v>#N/A</v>
      </c>
      <c r="G61" s="22" t="e">
        <f>_xlfn.XLOOKUP($D61,Tab_Def_Processes[Process_Name],Tab_Def_Processes[TC_Configuration],,0,)</f>
        <v>#N/A</v>
      </c>
      <c r="H61" s="22" t="e">
        <f>_xlfn.XLOOKUP($D61,Tab_Def_Processes[Process_Name],Tab_Def_Processes[Stock_Configuration],,0,)</f>
        <v>#N/A</v>
      </c>
      <c r="I61" s="22" t="e">
        <f>_xlfn.XLOOKUP($D61,Tab_Def_Processes[Process_Name],Tab_Def_Processes[Outflow_count],,0,)</f>
        <v>#N/A</v>
      </c>
      <c r="J61" s="7" t="str">
        <f>_xlfn.XLOOKUP($E61,Tab_Def_Flows[Flow_Name],Tab_Def_Flows[Flow_ID],,0,1)</f>
        <v>F__</v>
      </c>
      <c r="K61" s="8"/>
      <c r="L61" s="17" t="str">
        <f t="shared" si="1"/>
        <v>TC_material_F__</v>
      </c>
      <c r="M61" s="144"/>
      <c r="N61" s="17" t="str">
        <f t="shared" si="2"/>
        <v>TC_WC_F__</v>
      </c>
      <c r="O61" s="144"/>
      <c r="P61" s="17" t="str">
        <f t="shared" si="3"/>
        <v>TC_DM_F__</v>
      </c>
      <c r="Q61" s="144"/>
      <c r="R61" s="17" t="str">
        <f t="shared" si="4"/>
        <v>TC_CC_F__</v>
      </c>
      <c r="S61" s="8"/>
      <c r="T61" s="15"/>
      <c r="U61" s="15"/>
      <c r="V61" s="15"/>
      <c r="W61" s="15"/>
      <c r="X61" s="15"/>
    </row>
    <row r="62" spans="1:24" x14ac:dyDescent="0.25">
      <c r="A62" s="146" t="b">
        <v>0</v>
      </c>
      <c r="B62" s="7">
        <f t="shared" si="5"/>
        <v>61</v>
      </c>
      <c r="C62" s="22" t="e">
        <f>_xlfn.XLOOKUP($D62,Tab_Def_Processes[Process_Name],Tab_Def_Processes[Process_ID],,0,)</f>
        <v>#N/A</v>
      </c>
      <c r="D62" s="142" t="s">
        <v>22</v>
      </c>
      <c r="E62" s="142" t="s">
        <v>22</v>
      </c>
      <c r="F62" s="22" t="e">
        <f>_xlfn.XLOOKUP($D62,Tab_Def_Processes[Process_Name],Tab_Def_Processes[Process_Logic],,0,)</f>
        <v>#N/A</v>
      </c>
      <c r="G62" s="22" t="e">
        <f>_xlfn.XLOOKUP($D62,Tab_Def_Processes[Process_Name],Tab_Def_Processes[TC_Configuration],,0,)</f>
        <v>#N/A</v>
      </c>
      <c r="H62" s="22" t="e">
        <f>_xlfn.XLOOKUP($D62,Tab_Def_Processes[Process_Name],Tab_Def_Processes[Stock_Configuration],,0,)</f>
        <v>#N/A</v>
      </c>
      <c r="I62" s="22" t="e">
        <f>_xlfn.XLOOKUP($D62,Tab_Def_Processes[Process_Name],Tab_Def_Processes[Outflow_count],,0,)</f>
        <v>#N/A</v>
      </c>
      <c r="J62" s="7" t="str">
        <f>_xlfn.XLOOKUP($E62,Tab_Def_Flows[Flow_Name],Tab_Def_Flows[Flow_ID],,0,1)</f>
        <v>F__</v>
      </c>
      <c r="K62" s="8"/>
      <c r="L62" s="17" t="str">
        <f t="shared" si="1"/>
        <v>TC_material_F__</v>
      </c>
      <c r="M62" s="144"/>
      <c r="N62" s="17" t="str">
        <f t="shared" si="2"/>
        <v>TC_WC_F__</v>
      </c>
      <c r="O62" s="144"/>
      <c r="P62" s="17" t="str">
        <f t="shared" si="3"/>
        <v>TC_DM_F__</v>
      </c>
      <c r="Q62" s="144"/>
      <c r="R62" s="17" t="str">
        <f t="shared" si="4"/>
        <v>TC_CC_F__</v>
      </c>
      <c r="S62" s="8"/>
      <c r="T62" s="15"/>
      <c r="U62" s="15"/>
      <c r="V62" s="15"/>
      <c r="W62" s="15"/>
      <c r="X62" s="15"/>
    </row>
    <row r="63" spans="1:24" x14ac:dyDescent="0.25">
      <c r="A63" s="146" t="b">
        <v>0</v>
      </c>
      <c r="B63" s="7">
        <f t="shared" si="5"/>
        <v>62</v>
      </c>
      <c r="C63" s="22" t="e">
        <f>_xlfn.XLOOKUP($D63,Tab_Def_Processes[Process_Name],Tab_Def_Processes[Process_ID],,0,)</f>
        <v>#N/A</v>
      </c>
      <c r="D63" s="142" t="s">
        <v>22</v>
      </c>
      <c r="E63" s="142" t="s">
        <v>22</v>
      </c>
      <c r="F63" s="22" t="e">
        <f>_xlfn.XLOOKUP($D63,Tab_Def_Processes[Process_Name],Tab_Def_Processes[Process_Logic],,0,)</f>
        <v>#N/A</v>
      </c>
      <c r="G63" s="22" t="e">
        <f>_xlfn.XLOOKUP($D63,Tab_Def_Processes[Process_Name],Tab_Def_Processes[TC_Configuration],,0,)</f>
        <v>#N/A</v>
      </c>
      <c r="H63" s="22" t="e">
        <f>_xlfn.XLOOKUP($D63,Tab_Def_Processes[Process_Name],Tab_Def_Processes[Stock_Configuration],,0,)</f>
        <v>#N/A</v>
      </c>
      <c r="I63" s="22" t="e">
        <f>_xlfn.XLOOKUP($D63,Tab_Def_Processes[Process_Name],Tab_Def_Processes[Outflow_count],,0,)</f>
        <v>#N/A</v>
      </c>
      <c r="J63" s="7" t="str">
        <f>_xlfn.XLOOKUP($E63,Tab_Def_Flows[Flow_Name],Tab_Def_Flows[Flow_ID],,0,1)</f>
        <v>F__</v>
      </c>
      <c r="K63" s="8"/>
      <c r="L63" s="17" t="str">
        <f t="shared" si="1"/>
        <v>TC_material_F__</v>
      </c>
      <c r="M63" s="144"/>
      <c r="N63" s="17" t="str">
        <f t="shared" si="2"/>
        <v>TC_WC_F__</v>
      </c>
      <c r="O63" s="144"/>
      <c r="P63" s="17" t="str">
        <f t="shared" si="3"/>
        <v>TC_DM_F__</v>
      </c>
      <c r="Q63" s="144"/>
      <c r="R63" s="17" t="str">
        <f t="shared" si="4"/>
        <v>TC_CC_F__</v>
      </c>
      <c r="S63" s="8"/>
      <c r="T63" s="15"/>
      <c r="U63" s="15"/>
      <c r="V63" s="15"/>
      <c r="W63" s="15"/>
      <c r="X63" s="15"/>
    </row>
    <row r="64" spans="1:24" x14ac:dyDescent="0.25">
      <c r="A64" s="146" t="b">
        <v>0</v>
      </c>
      <c r="B64" s="7">
        <f t="shared" si="5"/>
        <v>63</v>
      </c>
      <c r="C64" s="22" t="e">
        <f>_xlfn.XLOOKUP($D64,Tab_Def_Processes[Process_Name],Tab_Def_Processes[Process_ID],,0,)</f>
        <v>#N/A</v>
      </c>
      <c r="D64" s="142" t="s">
        <v>22</v>
      </c>
      <c r="E64" s="142" t="s">
        <v>22</v>
      </c>
      <c r="F64" s="22" t="e">
        <f>_xlfn.XLOOKUP($D64,Tab_Def_Processes[Process_Name],Tab_Def_Processes[Process_Logic],,0,)</f>
        <v>#N/A</v>
      </c>
      <c r="G64" s="22" t="e">
        <f>_xlfn.XLOOKUP($D64,Tab_Def_Processes[Process_Name],Tab_Def_Processes[TC_Configuration],,0,)</f>
        <v>#N/A</v>
      </c>
      <c r="H64" s="22" t="e">
        <f>_xlfn.XLOOKUP($D64,Tab_Def_Processes[Process_Name],Tab_Def_Processes[Stock_Configuration],,0,)</f>
        <v>#N/A</v>
      </c>
      <c r="I64" s="22" t="e">
        <f>_xlfn.XLOOKUP($D64,Tab_Def_Processes[Process_Name],Tab_Def_Processes[Outflow_count],,0,)</f>
        <v>#N/A</v>
      </c>
      <c r="J64" s="7" t="str">
        <f>_xlfn.XLOOKUP($E64,Tab_Def_Flows[Flow_Name],Tab_Def_Flows[Flow_ID],,0,1)</f>
        <v>F__</v>
      </c>
      <c r="K64" s="8"/>
      <c r="L64" s="17" t="str">
        <f t="shared" si="1"/>
        <v>TC_material_F__</v>
      </c>
      <c r="M64" s="144"/>
      <c r="N64" s="17" t="str">
        <f t="shared" si="2"/>
        <v>TC_WC_F__</v>
      </c>
      <c r="O64" s="144"/>
      <c r="P64" s="17" t="str">
        <f t="shared" si="3"/>
        <v>TC_DM_F__</v>
      </c>
      <c r="Q64" s="144"/>
      <c r="R64" s="17" t="str">
        <f t="shared" si="4"/>
        <v>TC_CC_F__</v>
      </c>
      <c r="S64" s="8"/>
      <c r="T64" s="15"/>
      <c r="U64" s="15"/>
      <c r="V64" s="15"/>
      <c r="W64" s="15"/>
      <c r="X64" s="15"/>
    </row>
    <row r="65" spans="1:24" x14ac:dyDescent="0.25">
      <c r="A65" s="146" t="b">
        <v>0</v>
      </c>
      <c r="B65" s="7">
        <f t="shared" si="5"/>
        <v>64</v>
      </c>
      <c r="C65" s="22" t="e">
        <f>_xlfn.XLOOKUP($D65,Tab_Def_Processes[Process_Name],Tab_Def_Processes[Process_ID],,0,)</f>
        <v>#N/A</v>
      </c>
      <c r="D65" s="142" t="s">
        <v>22</v>
      </c>
      <c r="E65" s="142" t="s">
        <v>22</v>
      </c>
      <c r="F65" s="22" t="e">
        <f>_xlfn.XLOOKUP($D65,Tab_Def_Processes[Process_Name],Tab_Def_Processes[Process_Logic],,0,)</f>
        <v>#N/A</v>
      </c>
      <c r="G65" s="22" t="e">
        <f>_xlfn.XLOOKUP($D65,Tab_Def_Processes[Process_Name],Tab_Def_Processes[TC_Configuration],,0,)</f>
        <v>#N/A</v>
      </c>
      <c r="H65" s="22" t="e">
        <f>_xlfn.XLOOKUP($D65,Tab_Def_Processes[Process_Name],Tab_Def_Processes[Stock_Configuration],,0,)</f>
        <v>#N/A</v>
      </c>
      <c r="I65" s="22" t="e">
        <f>_xlfn.XLOOKUP($D65,Tab_Def_Processes[Process_Name],Tab_Def_Processes[Outflow_count],,0,)</f>
        <v>#N/A</v>
      </c>
      <c r="J65" s="7" t="str">
        <f>_xlfn.XLOOKUP($E65,Tab_Def_Flows[Flow_Name],Tab_Def_Flows[Flow_ID],,0,1)</f>
        <v>F__</v>
      </c>
      <c r="K65" s="8"/>
      <c r="L65" s="17" t="str">
        <f t="shared" si="1"/>
        <v>TC_material_F__</v>
      </c>
      <c r="M65" s="144"/>
      <c r="N65" s="17" t="str">
        <f t="shared" si="2"/>
        <v>TC_WC_F__</v>
      </c>
      <c r="O65" s="144"/>
      <c r="P65" s="17" t="str">
        <f t="shared" si="3"/>
        <v>TC_DM_F__</v>
      </c>
      <c r="Q65" s="144"/>
      <c r="R65" s="17" t="str">
        <f t="shared" si="4"/>
        <v>TC_CC_F__</v>
      </c>
      <c r="S65" s="8"/>
      <c r="T65" s="15"/>
      <c r="U65" s="15"/>
      <c r="V65" s="15"/>
      <c r="W65" s="15"/>
      <c r="X65" s="15"/>
    </row>
    <row r="66" spans="1:24" x14ac:dyDescent="0.25">
      <c r="A66" s="146" t="b">
        <v>0</v>
      </c>
      <c r="B66" s="7">
        <f t="shared" ref="B66:B97" si="6">ROW()-1</f>
        <v>65</v>
      </c>
      <c r="C66" s="22" t="e">
        <f>_xlfn.XLOOKUP($D66,Tab_Def_Processes[Process_Name],Tab_Def_Processes[Process_ID],,0,)</f>
        <v>#N/A</v>
      </c>
      <c r="D66" s="142" t="s">
        <v>22</v>
      </c>
      <c r="E66" s="142" t="s">
        <v>22</v>
      </c>
      <c r="F66" s="22" t="e">
        <f>_xlfn.XLOOKUP($D66,Tab_Def_Processes[Process_Name],Tab_Def_Processes[Process_Logic],,0,)</f>
        <v>#N/A</v>
      </c>
      <c r="G66" s="22" t="e">
        <f>_xlfn.XLOOKUP($D66,Tab_Def_Processes[Process_Name],Tab_Def_Processes[TC_Configuration],,0,)</f>
        <v>#N/A</v>
      </c>
      <c r="H66" s="22" t="e">
        <f>_xlfn.XLOOKUP($D66,Tab_Def_Processes[Process_Name],Tab_Def_Processes[Stock_Configuration],,0,)</f>
        <v>#N/A</v>
      </c>
      <c r="I66" s="22" t="e">
        <f>_xlfn.XLOOKUP($D66,Tab_Def_Processes[Process_Name],Tab_Def_Processes[Outflow_count],,0,)</f>
        <v>#N/A</v>
      </c>
      <c r="J66" s="7" t="str">
        <f>_xlfn.XLOOKUP($E66,Tab_Def_Flows[Flow_Name],Tab_Def_Flows[Flow_ID],,0,1)</f>
        <v>F__</v>
      </c>
      <c r="K66" s="8"/>
      <c r="L66" s="17" t="str">
        <f t="shared" si="1"/>
        <v>TC_material_F__</v>
      </c>
      <c r="M66" s="144"/>
      <c r="N66" s="17" t="str">
        <f t="shared" si="2"/>
        <v>TC_WC_F__</v>
      </c>
      <c r="O66" s="144"/>
      <c r="P66" s="17" t="str">
        <f t="shared" si="3"/>
        <v>TC_DM_F__</v>
      </c>
      <c r="Q66" s="144"/>
      <c r="R66" s="17" t="str">
        <f t="shared" si="4"/>
        <v>TC_CC_F__</v>
      </c>
      <c r="S66" s="8"/>
      <c r="T66" s="15"/>
      <c r="U66" s="15"/>
      <c r="V66" s="15"/>
      <c r="W66" s="15"/>
      <c r="X66" s="15"/>
    </row>
    <row r="67" spans="1:24" x14ac:dyDescent="0.25">
      <c r="A67" s="146" t="b">
        <v>0</v>
      </c>
      <c r="B67" s="7">
        <f t="shared" si="6"/>
        <v>66</v>
      </c>
      <c r="C67" s="22" t="e">
        <f>_xlfn.XLOOKUP($D67,Tab_Def_Processes[Process_Name],Tab_Def_Processes[Process_ID],,0,)</f>
        <v>#N/A</v>
      </c>
      <c r="D67" s="142" t="s">
        <v>22</v>
      </c>
      <c r="E67" s="142" t="s">
        <v>22</v>
      </c>
      <c r="F67" s="22" t="e">
        <f>_xlfn.XLOOKUP($D67,Tab_Def_Processes[Process_Name],Tab_Def_Processes[Process_Logic],,0,)</f>
        <v>#N/A</v>
      </c>
      <c r="G67" s="22" t="e">
        <f>_xlfn.XLOOKUP($D67,Tab_Def_Processes[Process_Name],Tab_Def_Processes[TC_Configuration],,0,)</f>
        <v>#N/A</v>
      </c>
      <c r="H67" s="22" t="e">
        <f>_xlfn.XLOOKUP($D67,Tab_Def_Processes[Process_Name],Tab_Def_Processes[Stock_Configuration],,0,)</f>
        <v>#N/A</v>
      </c>
      <c r="I67" s="22" t="e">
        <f>_xlfn.XLOOKUP($D67,Tab_Def_Processes[Process_Name],Tab_Def_Processes[Outflow_count],,0,)</f>
        <v>#N/A</v>
      </c>
      <c r="J67" s="7" t="str">
        <f>_xlfn.XLOOKUP($E67,Tab_Def_Flows[Flow_Name],Tab_Def_Flows[Flow_ID],,0,1)</f>
        <v>F__</v>
      </c>
      <c r="K67" s="8"/>
      <c r="L67" s="17" t="str">
        <f t="shared" si="1"/>
        <v>TC_material_F__</v>
      </c>
      <c r="M67" s="144"/>
      <c r="N67" s="17" t="str">
        <f t="shared" si="2"/>
        <v>TC_WC_F__</v>
      </c>
      <c r="O67" s="144"/>
      <c r="P67" s="17" t="str">
        <f t="shared" si="3"/>
        <v>TC_DM_F__</v>
      </c>
      <c r="Q67" s="144"/>
      <c r="R67" s="17" t="str">
        <f t="shared" si="4"/>
        <v>TC_CC_F__</v>
      </c>
      <c r="S67" s="8"/>
      <c r="T67" s="15"/>
      <c r="U67" s="15"/>
      <c r="V67" s="15"/>
      <c r="W67" s="15"/>
      <c r="X67" s="15"/>
    </row>
    <row r="68" spans="1:24" x14ac:dyDescent="0.25">
      <c r="A68" s="146" t="b">
        <v>0</v>
      </c>
      <c r="B68" s="7">
        <f t="shared" si="6"/>
        <v>67</v>
      </c>
      <c r="C68" s="22" t="e">
        <f>_xlfn.XLOOKUP($D68,Tab_Def_Processes[Process_Name],Tab_Def_Processes[Process_ID],,0,)</f>
        <v>#N/A</v>
      </c>
      <c r="D68" s="142" t="s">
        <v>22</v>
      </c>
      <c r="E68" s="142" t="s">
        <v>22</v>
      </c>
      <c r="F68" s="22" t="e">
        <f>_xlfn.XLOOKUP($D68,Tab_Def_Processes[Process_Name],Tab_Def_Processes[Process_Logic],,0,)</f>
        <v>#N/A</v>
      </c>
      <c r="G68" s="22" t="e">
        <f>_xlfn.XLOOKUP($D68,Tab_Def_Processes[Process_Name],Tab_Def_Processes[TC_Configuration],,0,)</f>
        <v>#N/A</v>
      </c>
      <c r="H68" s="22" t="e">
        <f>_xlfn.XLOOKUP($D68,Tab_Def_Processes[Process_Name],Tab_Def_Processes[Stock_Configuration],,0,)</f>
        <v>#N/A</v>
      </c>
      <c r="I68" s="22" t="e">
        <f>_xlfn.XLOOKUP($D68,Tab_Def_Processes[Process_Name],Tab_Def_Processes[Outflow_count],,0,)</f>
        <v>#N/A</v>
      </c>
      <c r="J68" s="7" t="str">
        <f>_xlfn.XLOOKUP($E68,Tab_Def_Flows[Flow_Name],Tab_Def_Flows[Flow_ID],,0,1)</f>
        <v>F__</v>
      </c>
      <c r="K68" s="8"/>
      <c r="L68" s="17" t="str">
        <f t="shared" si="1"/>
        <v>TC_material_F__</v>
      </c>
      <c r="M68" s="144"/>
      <c r="N68" s="17" t="str">
        <f t="shared" si="2"/>
        <v>TC_WC_F__</v>
      </c>
      <c r="O68" s="144"/>
      <c r="P68" s="17" t="str">
        <f t="shared" si="3"/>
        <v>TC_DM_F__</v>
      </c>
      <c r="Q68" s="144"/>
      <c r="R68" s="17" t="str">
        <f t="shared" si="4"/>
        <v>TC_CC_F__</v>
      </c>
      <c r="S68" s="8"/>
      <c r="T68" s="15"/>
      <c r="U68" s="15"/>
      <c r="V68" s="15"/>
      <c r="W68" s="15"/>
      <c r="X68" s="15"/>
    </row>
    <row r="69" spans="1:24" x14ac:dyDescent="0.25">
      <c r="A69" s="146" t="b">
        <v>0</v>
      </c>
      <c r="B69" s="7">
        <f t="shared" si="6"/>
        <v>68</v>
      </c>
      <c r="C69" s="22" t="e">
        <f>_xlfn.XLOOKUP($D69,Tab_Def_Processes[Process_Name],Tab_Def_Processes[Process_ID],,0,)</f>
        <v>#N/A</v>
      </c>
      <c r="D69" s="142" t="s">
        <v>22</v>
      </c>
      <c r="E69" s="142" t="s">
        <v>22</v>
      </c>
      <c r="F69" s="22" t="e">
        <f>_xlfn.XLOOKUP($D69,Tab_Def_Processes[Process_Name],Tab_Def_Processes[Process_Logic],,0,)</f>
        <v>#N/A</v>
      </c>
      <c r="G69" s="22" t="e">
        <f>_xlfn.XLOOKUP($D69,Tab_Def_Processes[Process_Name],Tab_Def_Processes[TC_Configuration],,0,)</f>
        <v>#N/A</v>
      </c>
      <c r="H69" s="22" t="e">
        <f>_xlfn.XLOOKUP($D69,Tab_Def_Processes[Process_Name],Tab_Def_Processes[Stock_Configuration],,0,)</f>
        <v>#N/A</v>
      </c>
      <c r="I69" s="22" t="e">
        <f>_xlfn.XLOOKUP($D69,Tab_Def_Processes[Process_Name],Tab_Def_Processes[Outflow_count],,0,)</f>
        <v>#N/A</v>
      </c>
      <c r="J69" s="7" t="str">
        <f>_xlfn.XLOOKUP($E69,Tab_Def_Flows[Flow_Name],Tab_Def_Flows[Flow_ID],,0,1)</f>
        <v>F__</v>
      </c>
      <c r="K69" s="8"/>
      <c r="L69" s="17" t="str">
        <f t="shared" ref="L69:L132" si="7">"TC_material"&amp;"_"&amp;RIGHT(J69,5)</f>
        <v>TC_material_F__</v>
      </c>
      <c r="M69" s="144"/>
      <c r="N69" s="17" t="str">
        <f t="shared" ref="N69:N132" si="8">"TC_WC"&amp;"_"&amp;RIGHT(J69,5)</f>
        <v>TC_WC_F__</v>
      </c>
      <c r="O69" s="144"/>
      <c r="P69" s="17" t="str">
        <f t="shared" ref="P69:P132" si="9">"TC_DM"&amp;"_"&amp;RIGHT(J69,5)</f>
        <v>TC_DM_F__</v>
      </c>
      <c r="Q69" s="144"/>
      <c r="R69" s="17" t="str">
        <f t="shared" ref="R69:R132" si="10">"TC_CC"&amp;"_"&amp;RIGHT(J69,5)</f>
        <v>TC_CC_F__</v>
      </c>
      <c r="S69" s="8"/>
      <c r="T69" s="15"/>
      <c r="U69" s="15"/>
      <c r="V69" s="15"/>
      <c r="W69" s="15"/>
      <c r="X69" s="15"/>
    </row>
    <row r="70" spans="1:24" x14ac:dyDescent="0.25">
      <c r="A70" s="146" t="b">
        <v>0</v>
      </c>
      <c r="B70" s="7">
        <f t="shared" si="6"/>
        <v>69</v>
      </c>
      <c r="C70" s="22" t="e">
        <f>_xlfn.XLOOKUP($D70,Tab_Def_Processes[Process_Name],Tab_Def_Processes[Process_ID],,0,)</f>
        <v>#N/A</v>
      </c>
      <c r="D70" s="142" t="s">
        <v>22</v>
      </c>
      <c r="E70" s="142" t="s">
        <v>22</v>
      </c>
      <c r="F70" s="22" t="e">
        <f>_xlfn.XLOOKUP($D70,Tab_Def_Processes[Process_Name],Tab_Def_Processes[Process_Logic],,0,)</f>
        <v>#N/A</v>
      </c>
      <c r="G70" s="22" t="e">
        <f>_xlfn.XLOOKUP($D70,Tab_Def_Processes[Process_Name],Tab_Def_Processes[TC_Configuration],,0,)</f>
        <v>#N/A</v>
      </c>
      <c r="H70" s="22" t="e">
        <f>_xlfn.XLOOKUP($D70,Tab_Def_Processes[Process_Name],Tab_Def_Processes[Stock_Configuration],,0,)</f>
        <v>#N/A</v>
      </c>
      <c r="I70" s="22" t="e">
        <f>_xlfn.XLOOKUP($D70,Tab_Def_Processes[Process_Name],Tab_Def_Processes[Outflow_count],,0,)</f>
        <v>#N/A</v>
      </c>
      <c r="J70" s="7" t="str">
        <f>_xlfn.XLOOKUP($E70,Tab_Def_Flows[Flow_Name],Tab_Def_Flows[Flow_ID],,0,1)</f>
        <v>F__</v>
      </c>
      <c r="K70" s="8"/>
      <c r="L70" s="17" t="str">
        <f t="shared" si="7"/>
        <v>TC_material_F__</v>
      </c>
      <c r="M70" s="144"/>
      <c r="N70" s="17" t="str">
        <f t="shared" si="8"/>
        <v>TC_WC_F__</v>
      </c>
      <c r="O70" s="144"/>
      <c r="P70" s="17" t="str">
        <f t="shared" si="9"/>
        <v>TC_DM_F__</v>
      </c>
      <c r="Q70" s="144"/>
      <c r="R70" s="17" t="str">
        <f t="shared" si="10"/>
        <v>TC_CC_F__</v>
      </c>
      <c r="S70" s="8"/>
      <c r="T70" s="15"/>
      <c r="U70" s="15"/>
      <c r="V70" s="15"/>
      <c r="W70" s="15"/>
      <c r="X70" s="15"/>
    </row>
    <row r="71" spans="1:24" x14ac:dyDescent="0.25">
      <c r="A71" s="146" t="b">
        <v>0</v>
      </c>
      <c r="B71" s="7">
        <f t="shared" si="6"/>
        <v>70</v>
      </c>
      <c r="C71" s="22" t="e">
        <f>_xlfn.XLOOKUP($D71,Tab_Def_Processes[Process_Name],Tab_Def_Processes[Process_ID],,0,)</f>
        <v>#N/A</v>
      </c>
      <c r="D71" s="142" t="s">
        <v>22</v>
      </c>
      <c r="E71" s="142" t="s">
        <v>22</v>
      </c>
      <c r="F71" s="22" t="e">
        <f>_xlfn.XLOOKUP($D71,Tab_Def_Processes[Process_Name],Tab_Def_Processes[Process_Logic],,0,)</f>
        <v>#N/A</v>
      </c>
      <c r="G71" s="22" t="e">
        <f>_xlfn.XLOOKUP($D71,Tab_Def_Processes[Process_Name],Tab_Def_Processes[TC_Configuration],,0,)</f>
        <v>#N/A</v>
      </c>
      <c r="H71" s="22" t="e">
        <f>_xlfn.XLOOKUP($D71,Tab_Def_Processes[Process_Name],Tab_Def_Processes[Stock_Configuration],,0,)</f>
        <v>#N/A</v>
      </c>
      <c r="I71" s="22" t="e">
        <f>_xlfn.XLOOKUP($D71,Tab_Def_Processes[Process_Name],Tab_Def_Processes[Outflow_count],,0,)</f>
        <v>#N/A</v>
      </c>
      <c r="J71" s="7" t="str">
        <f>_xlfn.XLOOKUP($E71,Tab_Def_Flows[Flow_Name],Tab_Def_Flows[Flow_ID],,0,1)</f>
        <v>F__</v>
      </c>
      <c r="K71" s="8"/>
      <c r="L71" s="17" t="str">
        <f t="shared" si="7"/>
        <v>TC_material_F__</v>
      </c>
      <c r="M71" s="144"/>
      <c r="N71" s="17" t="str">
        <f t="shared" si="8"/>
        <v>TC_WC_F__</v>
      </c>
      <c r="O71" s="144"/>
      <c r="P71" s="17" t="str">
        <f t="shared" si="9"/>
        <v>TC_DM_F__</v>
      </c>
      <c r="Q71" s="144"/>
      <c r="R71" s="17" t="str">
        <f t="shared" si="10"/>
        <v>TC_CC_F__</v>
      </c>
      <c r="S71" s="8"/>
      <c r="T71" s="15"/>
      <c r="U71" s="15"/>
      <c r="V71" s="15"/>
      <c r="W71" s="15"/>
      <c r="X71" s="15"/>
    </row>
    <row r="72" spans="1:24" x14ac:dyDescent="0.25">
      <c r="A72" s="146" t="b">
        <v>0</v>
      </c>
      <c r="B72" s="7">
        <f t="shared" si="6"/>
        <v>71</v>
      </c>
      <c r="C72" s="22" t="e">
        <f>_xlfn.XLOOKUP($D72,Tab_Def_Processes[Process_Name],Tab_Def_Processes[Process_ID],,0,)</f>
        <v>#N/A</v>
      </c>
      <c r="D72" s="142" t="s">
        <v>22</v>
      </c>
      <c r="E72" s="142" t="s">
        <v>22</v>
      </c>
      <c r="F72" s="22" t="e">
        <f>_xlfn.XLOOKUP($D72,Tab_Def_Processes[Process_Name],Tab_Def_Processes[Process_Logic],,0,)</f>
        <v>#N/A</v>
      </c>
      <c r="G72" s="22" t="e">
        <f>_xlfn.XLOOKUP($D72,Tab_Def_Processes[Process_Name],Tab_Def_Processes[TC_Configuration],,0,)</f>
        <v>#N/A</v>
      </c>
      <c r="H72" s="22" t="e">
        <f>_xlfn.XLOOKUP($D72,Tab_Def_Processes[Process_Name],Tab_Def_Processes[Stock_Configuration],,0,)</f>
        <v>#N/A</v>
      </c>
      <c r="I72" s="22" t="e">
        <f>_xlfn.XLOOKUP($D72,Tab_Def_Processes[Process_Name],Tab_Def_Processes[Outflow_count],,0,)</f>
        <v>#N/A</v>
      </c>
      <c r="J72" s="7" t="str">
        <f>_xlfn.XLOOKUP($E72,Tab_Def_Flows[Flow_Name],Tab_Def_Flows[Flow_ID],,0,1)</f>
        <v>F__</v>
      </c>
      <c r="K72" s="8"/>
      <c r="L72" s="17" t="str">
        <f t="shared" si="7"/>
        <v>TC_material_F__</v>
      </c>
      <c r="M72" s="144"/>
      <c r="N72" s="17" t="str">
        <f t="shared" si="8"/>
        <v>TC_WC_F__</v>
      </c>
      <c r="O72" s="144"/>
      <c r="P72" s="17" t="str">
        <f t="shared" si="9"/>
        <v>TC_DM_F__</v>
      </c>
      <c r="Q72" s="144"/>
      <c r="R72" s="17" t="str">
        <f t="shared" si="10"/>
        <v>TC_CC_F__</v>
      </c>
      <c r="S72" s="8"/>
      <c r="T72" s="15"/>
      <c r="U72" s="15"/>
      <c r="V72" s="15"/>
      <c r="W72" s="15"/>
      <c r="X72" s="15"/>
    </row>
    <row r="73" spans="1:24" x14ac:dyDescent="0.25">
      <c r="A73" s="146" t="b">
        <v>0</v>
      </c>
      <c r="B73" s="7">
        <f t="shared" si="6"/>
        <v>72</v>
      </c>
      <c r="C73" s="22" t="e">
        <f>_xlfn.XLOOKUP($D73,Tab_Def_Processes[Process_Name],Tab_Def_Processes[Process_ID],,0,)</f>
        <v>#N/A</v>
      </c>
      <c r="D73" s="142" t="s">
        <v>22</v>
      </c>
      <c r="E73" s="142" t="s">
        <v>22</v>
      </c>
      <c r="F73" s="22" t="e">
        <f>_xlfn.XLOOKUP($D73,Tab_Def_Processes[Process_Name],Tab_Def_Processes[Process_Logic],,0,)</f>
        <v>#N/A</v>
      </c>
      <c r="G73" s="22" t="e">
        <f>_xlfn.XLOOKUP($D73,Tab_Def_Processes[Process_Name],Tab_Def_Processes[TC_Configuration],,0,)</f>
        <v>#N/A</v>
      </c>
      <c r="H73" s="22" t="e">
        <f>_xlfn.XLOOKUP($D73,Tab_Def_Processes[Process_Name],Tab_Def_Processes[Stock_Configuration],,0,)</f>
        <v>#N/A</v>
      </c>
      <c r="I73" s="22" t="e">
        <f>_xlfn.XLOOKUP($D73,Tab_Def_Processes[Process_Name],Tab_Def_Processes[Outflow_count],,0,)</f>
        <v>#N/A</v>
      </c>
      <c r="J73" s="7" t="str">
        <f>_xlfn.XLOOKUP($E73,Tab_Def_Flows[Flow_Name],Tab_Def_Flows[Flow_ID],,0,1)</f>
        <v>F__</v>
      </c>
      <c r="K73" s="8"/>
      <c r="L73" s="17" t="str">
        <f t="shared" si="7"/>
        <v>TC_material_F__</v>
      </c>
      <c r="M73" s="144"/>
      <c r="N73" s="17" t="str">
        <f t="shared" si="8"/>
        <v>TC_WC_F__</v>
      </c>
      <c r="O73" s="144"/>
      <c r="P73" s="17" t="str">
        <f t="shared" si="9"/>
        <v>TC_DM_F__</v>
      </c>
      <c r="Q73" s="144"/>
      <c r="R73" s="17" t="str">
        <f t="shared" si="10"/>
        <v>TC_CC_F__</v>
      </c>
      <c r="S73" s="8"/>
      <c r="T73" s="15"/>
      <c r="U73" s="15"/>
      <c r="V73" s="15"/>
      <c r="W73" s="15"/>
      <c r="X73" s="15"/>
    </row>
    <row r="74" spans="1:24" x14ac:dyDescent="0.25">
      <c r="A74" s="146" t="b">
        <v>0</v>
      </c>
      <c r="B74" s="7">
        <f t="shared" si="6"/>
        <v>73</v>
      </c>
      <c r="C74" s="22" t="e">
        <f>_xlfn.XLOOKUP($D74,Tab_Def_Processes[Process_Name],Tab_Def_Processes[Process_ID],,0,)</f>
        <v>#N/A</v>
      </c>
      <c r="D74" s="142" t="s">
        <v>22</v>
      </c>
      <c r="E74" s="142" t="s">
        <v>22</v>
      </c>
      <c r="F74" s="22" t="e">
        <f>_xlfn.XLOOKUP($D74,Tab_Def_Processes[Process_Name],Tab_Def_Processes[Process_Logic],,0,)</f>
        <v>#N/A</v>
      </c>
      <c r="G74" s="22" t="e">
        <f>_xlfn.XLOOKUP($D74,Tab_Def_Processes[Process_Name],Tab_Def_Processes[TC_Configuration],,0,)</f>
        <v>#N/A</v>
      </c>
      <c r="H74" s="22" t="e">
        <f>_xlfn.XLOOKUP($D74,Tab_Def_Processes[Process_Name],Tab_Def_Processes[Stock_Configuration],,0,)</f>
        <v>#N/A</v>
      </c>
      <c r="I74" s="22" t="e">
        <f>_xlfn.XLOOKUP($D74,Tab_Def_Processes[Process_Name],Tab_Def_Processes[Outflow_count],,0,)</f>
        <v>#N/A</v>
      </c>
      <c r="J74" s="7" t="str">
        <f>_xlfn.XLOOKUP($E74,Tab_Def_Flows[Flow_Name],Tab_Def_Flows[Flow_ID],,0,1)</f>
        <v>F__</v>
      </c>
      <c r="K74" s="8"/>
      <c r="L74" s="17" t="str">
        <f t="shared" si="7"/>
        <v>TC_material_F__</v>
      </c>
      <c r="M74" s="144"/>
      <c r="N74" s="17" t="str">
        <f t="shared" si="8"/>
        <v>TC_WC_F__</v>
      </c>
      <c r="O74" s="144"/>
      <c r="P74" s="17" t="str">
        <f t="shared" si="9"/>
        <v>TC_DM_F__</v>
      </c>
      <c r="Q74" s="144"/>
      <c r="R74" s="17" t="str">
        <f t="shared" si="10"/>
        <v>TC_CC_F__</v>
      </c>
      <c r="S74" s="8"/>
      <c r="T74" s="15"/>
      <c r="U74" s="15"/>
      <c r="V74" s="15"/>
      <c r="W74" s="15"/>
      <c r="X74" s="15"/>
    </row>
    <row r="75" spans="1:24" x14ac:dyDescent="0.25">
      <c r="A75" s="146" t="b">
        <v>0</v>
      </c>
      <c r="B75" s="7">
        <f t="shared" si="6"/>
        <v>74</v>
      </c>
      <c r="C75" s="22" t="e">
        <f>_xlfn.XLOOKUP($D75,Tab_Def_Processes[Process_Name],Tab_Def_Processes[Process_ID],,0,)</f>
        <v>#N/A</v>
      </c>
      <c r="D75" s="142" t="s">
        <v>22</v>
      </c>
      <c r="E75" s="142" t="s">
        <v>22</v>
      </c>
      <c r="F75" s="22" t="e">
        <f>_xlfn.XLOOKUP($D75,Tab_Def_Processes[Process_Name],Tab_Def_Processes[Process_Logic],,0,)</f>
        <v>#N/A</v>
      </c>
      <c r="G75" s="22" t="e">
        <f>_xlfn.XLOOKUP($D75,Tab_Def_Processes[Process_Name],Tab_Def_Processes[TC_Configuration],,0,)</f>
        <v>#N/A</v>
      </c>
      <c r="H75" s="22" t="e">
        <f>_xlfn.XLOOKUP($D75,Tab_Def_Processes[Process_Name],Tab_Def_Processes[Stock_Configuration],,0,)</f>
        <v>#N/A</v>
      </c>
      <c r="I75" s="22" t="e">
        <f>_xlfn.XLOOKUP($D75,Tab_Def_Processes[Process_Name],Tab_Def_Processes[Outflow_count],,0,)</f>
        <v>#N/A</v>
      </c>
      <c r="J75" s="7" t="str">
        <f>_xlfn.XLOOKUP($E75,Tab_Def_Flows[Flow_Name],Tab_Def_Flows[Flow_ID],,0,1)</f>
        <v>F__</v>
      </c>
      <c r="K75" s="8"/>
      <c r="L75" s="17" t="str">
        <f t="shared" si="7"/>
        <v>TC_material_F__</v>
      </c>
      <c r="M75" s="144"/>
      <c r="N75" s="17" t="str">
        <f t="shared" si="8"/>
        <v>TC_WC_F__</v>
      </c>
      <c r="O75" s="144"/>
      <c r="P75" s="17" t="str">
        <f t="shared" si="9"/>
        <v>TC_DM_F__</v>
      </c>
      <c r="Q75" s="144"/>
      <c r="R75" s="17" t="str">
        <f t="shared" si="10"/>
        <v>TC_CC_F__</v>
      </c>
      <c r="S75" s="8"/>
      <c r="T75" s="15"/>
      <c r="U75" s="15"/>
      <c r="V75" s="15"/>
      <c r="W75" s="15"/>
      <c r="X75" s="15"/>
    </row>
    <row r="76" spans="1:24" x14ac:dyDescent="0.25">
      <c r="A76" s="146" t="b">
        <v>0</v>
      </c>
      <c r="B76" s="7">
        <f t="shared" si="6"/>
        <v>75</v>
      </c>
      <c r="C76" s="22" t="e">
        <f>_xlfn.XLOOKUP($D76,Tab_Def_Processes[Process_Name],Tab_Def_Processes[Process_ID],,0,)</f>
        <v>#N/A</v>
      </c>
      <c r="D76" s="142" t="s">
        <v>22</v>
      </c>
      <c r="E76" s="142" t="s">
        <v>22</v>
      </c>
      <c r="F76" s="22" t="e">
        <f>_xlfn.XLOOKUP($D76,Tab_Def_Processes[Process_Name],Tab_Def_Processes[Process_Logic],,0,)</f>
        <v>#N/A</v>
      </c>
      <c r="G76" s="22" t="e">
        <f>_xlfn.XLOOKUP($D76,Tab_Def_Processes[Process_Name],Tab_Def_Processes[TC_Configuration],,0,)</f>
        <v>#N/A</v>
      </c>
      <c r="H76" s="22" t="e">
        <f>_xlfn.XLOOKUP($D76,Tab_Def_Processes[Process_Name],Tab_Def_Processes[Stock_Configuration],,0,)</f>
        <v>#N/A</v>
      </c>
      <c r="I76" s="22" t="e">
        <f>_xlfn.XLOOKUP($D76,Tab_Def_Processes[Process_Name],Tab_Def_Processes[Outflow_count],,0,)</f>
        <v>#N/A</v>
      </c>
      <c r="J76" s="7" t="str">
        <f>_xlfn.XLOOKUP($E76,Tab_Def_Flows[Flow_Name],Tab_Def_Flows[Flow_ID],,0,1)</f>
        <v>F__</v>
      </c>
      <c r="K76" s="8"/>
      <c r="L76" s="17" t="str">
        <f t="shared" si="7"/>
        <v>TC_material_F__</v>
      </c>
      <c r="M76" s="144"/>
      <c r="N76" s="17" t="str">
        <f t="shared" si="8"/>
        <v>TC_WC_F__</v>
      </c>
      <c r="O76" s="144"/>
      <c r="P76" s="17" t="str">
        <f t="shared" si="9"/>
        <v>TC_DM_F__</v>
      </c>
      <c r="Q76" s="144"/>
      <c r="R76" s="17" t="str">
        <f t="shared" si="10"/>
        <v>TC_CC_F__</v>
      </c>
      <c r="S76" s="8"/>
      <c r="T76" s="15"/>
      <c r="U76" s="15"/>
      <c r="V76" s="15"/>
      <c r="W76" s="15"/>
      <c r="X76" s="15"/>
    </row>
    <row r="77" spans="1:24" x14ac:dyDescent="0.25">
      <c r="A77" s="146" t="b">
        <v>0</v>
      </c>
      <c r="B77" s="7">
        <f t="shared" si="6"/>
        <v>76</v>
      </c>
      <c r="C77" s="22" t="e">
        <f>_xlfn.XLOOKUP($D77,Tab_Def_Processes[Process_Name],Tab_Def_Processes[Process_ID],,0,)</f>
        <v>#N/A</v>
      </c>
      <c r="D77" s="142" t="s">
        <v>22</v>
      </c>
      <c r="E77" s="142" t="s">
        <v>22</v>
      </c>
      <c r="F77" s="22" t="e">
        <f>_xlfn.XLOOKUP($D77,Tab_Def_Processes[Process_Name],Tab_Def_Processes[Process_Logic],,0,)</f>
        <v>#N/A</v>
      </c>
      <c r="G77" s="22" t="e">
        <f>_xlfn.XLOOKUP($D77,Tab_Def_Processes[Process_Name],Tab_Def_Processes[TC_Configuration],,0,)</f>
        <v>#N/A</v>
      </c>
      <c r="H77" s="22" t="e">
        <f>_xlfn.XLOOKUP($D77,Tab_Def_Processes[Process_Name],Tab_Def_Processes[Stock_Configuration],,0,)</f>
        <v>#N/A</v>
      </c>
      <c r="I77" s="22" t="e">
        <f>_xlfn.XLOOKUP($D77,Tab_Def_Processes[Process_Name],Tab_Def_Processes[Outflow_count],,0,)</f>
        <v>#N/A</v>
      </c>
      <c r="J77" s="7" t="str">
        <f>_xlfn.XLOOKUP($E77,Tab_Def_Flows[Flow_Name],Tab_Def_Flows[Flow_ID],,0,1)</f>
        <v>F__</v>
      </c>
      <c r="K77" s="8"/>
      <c r="L77" s="17" t="str">
        <f t="shared" si="7"/>
        <v>TC_material_F__</v>
      </c>
      <c r="M77" s="144"/>
      <c r="N77" s="17" t="str">
        <f t="shared" si="8"/>
        <v>TC_WC_F__</v>
      </c>
      <c r="O77" s="144"/>
      <c r="P77" s="17" t="str">
        <f t="shared" si="9"/>
        <v>TC_DM_F__</v>
      </c>
      <c r="Q77" s="144"/>
      <c r="R77" s="17" t="str">
        <f t="shared" si="10"/>
        <v>TC_CC_F__</v>
      </c>
      <c r="S77" s="8"/>
      <c r="T77" s="15"/>
      <c r="U77" s="15"/>
      <c r="V77" s="15"/>
      <c r="W77" s="15"/>
      <c r="X77" s="15"/>
    </row>
    <row r="78" spans="1:24" x14ac:dyDescent="0.25">
      <c r="A78" s="146" t="b">
        <v>0</v>
      </c>
      <c r="B78" s="7">
        <f t="shared" si="6"/>
        <v>77</v>
      </c>
      <c r="C78" s="22" t="e">
        <f>_xlfn.XLOOKUP($D78,Tab_Def_Processes[Process_Name],Tab_Def_Processes[Process_ID],,0,)</f>
        <v>#N/A</v>
      </c>
      <c r="D78" s="142" t="s">
        <v>22</v>
      </c>
      <c r="E78" s="142" t="s">
        <v>22</v>
      </c>
      <c r="F78" s="22" t="e">
        <f>_xlfn.XLOOKUP($D78,Tab_Def_Processes[Process_Name],Tab_Def_Processes[Process_Logic],,0,)</f>
        <v>#N/A</v>
      </c>
      <c r="G78" s="22" t="e">
        <f>_xlfn.XLOOKUP($D78,Tab_Def_Processes[Process_Name],Tab_Def_Processes[TC_Configuration],,0,)</f>
        <v>#N/A</v>
      </c>
      <c r="H78" s="22" t="e">
        <f>_xlfn.XLOOKUP($D78,Tab_Def_Processes[Process_Name],Tab_Def_Processes[Stock_Configuration],,0,)</f>
        <v>#N/A</v>
      </c>
      <c r="I78" s="22" t="e">
        <f>_xlfn.XLOOKUP($D78,Tab_Def_Processes[Process_Name],Tab_Def_Processes[Outflow_count],,0,)</f>
        <v>#N/A</v>
      </c>
      <c r="J78" s="7" t="str">
        <f>_xlfn.XLOOKUP($E78,Tab_Def_Flows[Flow_Name],Tab_Def_Flows[Flow_ID],,0,1)</f>
        <v>F__</v>
      </c>
      <c r="K78" s="8"/>
      <c r="L78" s="17" t="str">
        <f t="shared" si="7"/>
        <v>TC_material_F__</v>
      </c>
      <c r="M78" s="144"/>
      <c r="N78" s="17" t="str">
        <f t="shared" si="8"/>
        <v>TC_WC_F__</v>
      </c>
      <c r="O78" s="144"/>
      <c r="P78" s="17" t="str">
        <f t="shared" si="9"/>
        <v>TC_DM_F__</v>
      </c>
      <c r="Q78" s="144"/>
      <c r="R78" s="17" t="str">
        <f t="shared" si="10"/>
        <v>TC_CC_F__</v>
      </c>
      <c r="S78" s="8"/>
      <c r="T78" s="15"/>
      <c r="U78" s="15"/>
      <c r="V78" s="15"/>
      <c r="W78" s="15"/>
      <c r="X78" s="15"/>
    </row>
    <row r="79" spans="1:24" x14ac:dyDescent="0.25">
      <c r="A79" s="146" t="b">
        <v>0</v>
      </c>
      <c r="B79" s="7">
        <f t="shared" si="6"/>
        <v>78</v>
      </c>
      <c r="C79" s="22" t="e">
        <f>_xlfn.XLOOKUP($D79,Tab_Def_Processes[Process_Name],Tab_Def_Processes[Process_ID],,0,)</f>
        <v>#N/A</v>
      </c>
      <c r="D79" s="142" t="s">
        <v>22</v>
      </c>
      <c r="E79" s="142" t="s">
        <v>22</v>
      </c>
      <c r="F79" s="22" t="e">
        <f>_xlfn.XLOOKUP($D79,Tab_Def_Processes[Process_Name],Tab_Def_Processes[Process_Logic],,0,)</f>
        <v>#N/A</v>
      </c>
      <c r="G79" s="22" t="e">
        <f>_xlfn.XLOOKUP($D79,Tab_Def_Processes[Process_Name],Tab_Def_Processes[TC_Configuration],,0,)</f>
        <v>#N/A</v>
      </c>
      <c r="H79" s="22" t="e">
        <f>_xlfn.XLOOKUP($D79,Tab_Def_Processes[Process_Name],Tab_Def_Processes[Stock_Configuration],,0,)</f>
        <v>#N/A</v>
      </c>
      <c r="I79" s="22" t="e">
        <f>_xlfn.XLOOKUP($D79,Tab_Def_Processes[Process_Name],Tab_Def_Processes[Outflow_count],,0,)</f>
        <v>#N/A</v>
      </c>
      <c r="J79" s="7" t="str">
        <f>_xlfn.XLOOKUP($E79,Tab_Def_Flows[Flow_Name],Tab_Def_Flows[Flow_ID],,0,1)</f>
        <v>F__</v>
      </c>
      <c r="K79" s="8"/>
      <c r="L79" s="17" t="str">
        <f t="shared" si="7"/>
        <v>TC_material_F__</v>
      </c>
      <c r="M79" s="144"/>
      <c r="N79" s="17" t="str">
        <f t="shared" si="8"/>
        <v>TC_WC_F__</v>
      </c>
      <c r="O79" s="144"/>
      <c r="P79" s="17" t="str">
        <f t="shared" si="9"/>
        <v>TC_DM_F__</v>
      </c>
      <c r="Q79" s="144"/>
      <c r="R79" s="17" t="str">
        <f t="shared" si="10"/>
        <v>TC_CC_F__</v>
      </c>
      <c r="S79" s="8"/>
      <c r="T79" s="15"/>
      <c r="U79" s="15"/>
      <c r="V79" s="15"/>
      <c r="W79" s="15"/>
      <c r="X79" s="15"/>
    </row>
    <row r="80" spans="1:24" x14ac:dyDescent="0.25">
      <c r="A80" s="146" t="b">
        <v>0</v>
      </c>
      <c r="B80" s="7">
        <f t="shared" si="6"/>
        <v>79</v>
      </c>
      <c r="C80" s="22" t="e">
        <f>_xlfn.XLOOKUP($D80,Tab_Def_Processes[Process_Name],Tab_Def_Processes[Process_ID],,0,)</f>
        <v>#N/A</v>
      </c>
      <c r="D80" s="142" t="s">
        <v>22</v>
      </c>
      <c r="E80" s="142" t="s">
        <v>22</v>
      </c>
      <c r="F80" s="22" t="e">
        <f>_xlfn.XLOOKUP($D80,Tab_Def_Processes[Process_Name],Tab_Def_Processes[Process_Logic],,0,)</f>
        <v>#N/A</v>
      </c>
      <c r="G80" s="22" t="e">
        <f>_xlfn.XLOOKUP($D80,Tab_Def_Processes[Process_Name],Tab_Def_Processes[TC_Configuration],,0,)</f>
        <v>#N/A</v>
      </c>
      <c r="H80" s="22" t="e">
        <f>_xlfn.XLOOKUP($D80,Tab_Def_Processes[Process_Name],Tab_Def_Processes[Stock_Configuration],,0,)</f>
        <v>#N/A</v>
      </c>
      <c r="I80" s="22" t="e">
        <f>_xlfn.XLOOKUP($D80,Tab_Def_Processes[Process_Name],Tab_Def_Processes[Outflow_count],,0,)</f>
        <v>#N/A</v>
      </c>
      <c r="J80" s="7" t="str">
        <f>_xlfn.XLOOKUP($E80,Tab_Def_Flows[Flow_Name],Tab_Def_Flows[Flow_ID],,0,1)</f>
        <v>F__</v>
      </c>
      <c r="K80" s="8"/>
      <c r="L80" s="17" t="str">
        <f t="shared" si="7"/>
        <v>TC_material_F__</v>
      </c>
      <c r="M80" s="144"/>
      <c r="N80" s="17" t="str">
        <f t="shared" si="8"/>
        <v>TC_WC_F__</v>
      </c>
      <c r="O80" s="144"/>
      <c r="P80" s="17" t="str">
        <f t="shared" si="9"/>
        <v>TC_DM_F__</v>
      </c>
      <c r="Q80" s="144"/>
      <c r="R80" s="17" t="str">
        <f t="shared" si="10"/>
        <v>TC_CC_F__</v>
      </c>
      <c r="S80" s="8"/>
      <c r="T80" s="15"/>
      <c r="U80" s="15"/>
      <c r="V80" s="15"/>
      <c r="W80" s="15"/>
      <c r="X80" s="15"/>
    </row>
    <row r="81" spans="1:24" x14ac:dyDescent="0.25">
      <c r="A81" s="146" t="b">
        <v>0</v>
      </c>
      <c r="B81" s="7">
        <f t="shared" si="6"/>
        <v>80</v>
      </c>
      <c r="C81" s="22" t="e">
        <f>_xlfn.XLOOKUP($D81,Tab_Def_Processes[Process_Name],Tab_Def_Processes[Process_ID],,0,)</f>
        <v>#N/A</v>
      </c>
      <c r="D81" s="142" t="s">
        <v>22</v>
      </c>
      <c r="E81" s="142" t="s">
        <v>22</v>
      </c>
      <c r="F81" s="22" t="e">
        <f>_xlfn.XLOOKUP($D81,Tab_Def_Processes[Process_Name],Tab_Def_Processes[Process_Logic],,0,)</f>
        <v>#N/A</v>
      </c>
      <c r="G81" s="22" t="e">
        <f>_xlfn.XLOOKUP($D81,Tab_Def_Processes[Process_Name],Tab_Def_Processes[TC_Configuration],,0,)</f>
        <v>#N/A</v>
      </c>
      <c r="H81" s="22" t="e">
        <f>_xlfn.XLOOKUP($D81,Tab_Def_Processes[Process_Name],Tab_Def_Processes[Stock_Configuration],,0,)</f>
        <v>#N/A</v>
      </c>
      <c r="I81" s="22" t="e">
        <f>_xlfn.XLOOKUP($D81,Tab_Def_Processes[Process_Name],Tab_Def_Processes[Outflow_count],,0,)</f>
        <v>#N/A</v>
      </c>
      <c r="J81" s="7" t="str">
        <f>_xlfn.XLOOKUP($E81,Tab_Def_Flows[Flow_Name],Tab_Def_Flows[Flow_ID],,0,1)</f>
        <v>F__</v>
      </c>
      <c r="K81" s="8"/>
      <c r="L81" s="17" t="str">
        <f t="shared" si="7"/>
        <v>TC_material_F__</v>
      </c>
      <c r="M81" s="144"/>
      <c r="N81" s="17" t="str">
        <f t="shared" si="8"/>
        <v>TC_WC_F__</v>
      </c>
      <c r="O81" s="144"/>
      <c r="P81" s="17" t="str">
        <f t="shared" si="9"/>
        <v>TC_DM_F__</v>
      </c>
      <c r="Q81" s="144"/>
      <c r="R81" s="17" t="str">
        <f t="shared" si="10"/>
        <v>TC_CC_F__</v>
      </c>
      <c r="S81" s="8"/>
      <c r="T81" s="15"/>
      <c r="U81" s="15"/>
      <c r="V81" s="15"/>
      <c r="W81" s="15"/>
      <c r="X81" s="15"/>
    </row>
    <row r="82" spans="1:24" x14ac:dyDescent="0.25">
      <c r="A82" s="146" t="b">
        <v>0</v>
      </c>
      <c r="B82" s="7">
        <f t="shared" si="6"/>
        <v>81</v>
      </c>
      <c r="C82" s="22" t="e">
        <f>_xlfn.XLOOKUP($D82,Tab_Def_Processes[Process_Name],Tab_Def_Processes[Process_ID],,0,)</f>
        <v>#N/A</v>
      </c>
      <c r="D82" s="142" t="s">
        <v>22</v>
      </c>
      <c r="E82" s="142" t="s">
        <v>22</v>
      </c>
      <c r="F82" s="22" t="e">
        <f>_xlfn.XLOOKUP($D82,Tab_Def_Processes[Process_Name],Tab_Def_Processes[Process_Logic],,0,)</f>
        <v>#N/A</v>
      </c>
      <c r="G82" s="22" t="e">
        <f>_xlfn.XLOOKUP($D82,Tab_Def_Processes[Process_Name],Tab_Def_Processes[TC_Configuration],,0,)</f>
        <v>#N/A</v>
      </c>
      <c r="H82" s="22" t="e">
        <f>_xlfn.XLOOKUP($D82,Tab_Def_Processes[Process_Name],Tab_Def_Processes[Stock_Configuration],,0,)</f>
        <v>#N/A</v>
      </c>
      <c r="I82" s="22" t="e">
        <f>_xlfn.XLOOKUP($D82,Tab_Def_Processes[Process_Name],Tab_Def_Processes[Outflow_count],,0,)</f>
        <v>#N/A</v>
      </c>
      <c r="J82" s="7" t="str">
        <f>_xlfn.XLOOKUP($E82,Tab_Def_Flows[Flow_Name],Tab_Def_Flows[Flow_ID],,0,1)</f>
        <v>F__</v>
      </c>
      <c r="K82" s="8"/>
      <c r="L82" s="17" t="str">
        <f t="shared" si="7"/>
        <v>TC_material_F__</v>
      </c>
      <c r="M82" s="144"/>
      <c r="N82" s="17" t="str">
        <f t="shared" si="8"/>
        <v>TC_WC_F__</v>
      </c>
      <c r="O82" s="144"/>
      <c r="P82" s="17" t="str">
        <f t="shared" si="9"/>
        <v>TC_DM_F__</v>
      </c>
      <c r="Q82" s="144"/>
      <c r="R82" s="17" t="str">
        <f t="shared" si="10"/>
        <v>TC_CC_F__</v>
      </c>
      <c r="S82" s="8"/>
      <c r="T82" s="15"/>
      <c r="U82" s="15"/>
      <c r="V82" s="15"/>
      <c r="W82" s="15"/>
      <c r="X82" s="15"/>
    </row>
    <row r="83" spans="1:24" x14ac:dyDescent="0.25">
      <c r="A83" s="146" t="b">
        <v>0</v>
      </c>
      <c r="B83" s="7">
        <f t="shared" si="6"/>
        <v>82</v>
      </c>
      <c r="C83" s="22" t="e">
        <f>_xlfn.XLOOKUP($D83,Tab_Def_Processes[Process_Name],Tab_Def_Processes[Process_ID],,0,)</f>
        <v>#N/A</v>
      </c>
      <c r="D83" s="142" t="s">
        <v>22</v>
      </c>
      <c r="E83" s="142" t="s">
        <v>22</v>
      </c>
      <c r="F83" s="22" t="e">
        <f>_xlfn.XLOOKUP($D83,Tab_Def_Processes[Process_Name],Tab_Def_Processes[Process_Logic],,0,)</f>
        <v>#N/A</v>
      </c>
      <c r="G83" s="22" t="e">
        <f>_xlfn.XLOOKUP($D83,Tab_Def_Processes[Process_Name],Tab_Def_Processes[TC_Configuration],,0,)</f>
        <v>#N/A</v>
      </c>
      <c r="H83" s="22" t="e">
        <f>_xlfn.XLOOKUP($D83,Tab_Def_Processes[Process_Name],Tab_Def_Processes[Stock_Configuration],,0,)</f>
        <v>#N/A</v>
      </c>
      <c r="I83" s="22" t="e">
        <f>_xlfn.XLOOKUP($D83,Tab_Def_Processes[Process_Name],Tab_Def_Processes[Outflow_count],,0,)</f>
        <v>#N/A</v>
      </c>
      <c r="J83" s="7" t="str">
        <f>_xlfn.XLOOKUP($E83,Tab_Def_Flows[Flow_Name],Tab_Def_Flows[Flow_ID],,0,1)</f>
        <v>F__</v>
      </c>
      <c r="K83" s="8"/>
      <c r="L83" s="17" t="str">
        <f t="shared" si="7"/>
        <v>TC_material_F__</v>
      </c>
      <c r="M83" s="144"/>
      <c r="N83" s="17" t="str">
        <f t="shared" si="8"/>
        <v>TC_WC_F__</v>
      </c>
      <c r="O83" s="144"/>
      <c r="P83" s="17" t="str">
        <f t="shared" si="9"/>
        <v>TC_DM_F__</v>
      </c>
      <c r="Q83" s="144"/>
      <c r="R83" s="17" t="str">
        <f t="shared" si="10"/>
        <v>TC_CC_F__</v>
      </c>
      <c r="S83" s="8"/>
      <c r="T83" s="15"/>
      <c r="U83" s="15"/>
      <c r="V83" s="15"/>
      <c r="W83" s="15"/>
      <c r="X83" s="15"/>
    </row>
    <row r="84" spans="1:24" x14ac:dyDescent="0.25">
      <c r="A84" s="146" t="b">
        <v>0</v>
      </c>
      <c r="B84" s="7">
        <f t="shared" si="6"/>
        <v>83</v>
      </c>
      <c r="C84" s="22" t="e">
        <f>_xlfn.XLOOKUP($D84,Tab_Def_Processes[Process_Name],Tab_Def_Processes[Process_ID],,0,)</f>
        <v>#N/A</v>
      </c>
      <c r="D84" s="142" t="s">
        <v>22</v>
      </c>
      <c r="E84" s="142" t="s">
        <v>22</v>
      </c>
      <c r="F84" s="22" t="e">
        <f>_xlfn.XLOOKUP($D84,Tab_Def_Processes[Process_Name],Tab_Def_Processes[Process_Logic],,0,)</f>
        <v>#N/A</v>
      </c>
      <c r="G84" s="22" t="e">
        <f>_xlfn.XLOOKUP($D84,Tab_Def_Processes[Process_Name],Tab_Def_Processes[TC_Configuration],,0,)</f>
        <v>#N/A</v>
      </c>
      <c r="H84" s="22" t="e">
        <f>_xlfn.XLOOKUP($D84,Tab_Def_Processes[Process_Name],Tab_Def_Processes[Stock_Configuration],,0,)</f>
        <v>#N/A</v>
      </c>
      <c r="I84" s="22" t="e">
        <f>_xlfn.XLOOKUP($D84,Tab_Def_Processes[Process_Name],Tab_Def_Processes[Outflow_count],,0,)</f>
        <v>#N/A</v>
      </c>
      <c r="J84" s="7" t="str">
        <f>_xlfn.XLOOKUP($E84,Tab_Def_Flows[Flow_Name],Tab_Def_Flows[Flow_ID],,0,1)</f>
        <v>F__</v>
      </c>
      <c r="K84" s="8"/>
      <c r="L84" s="17" t="str">
        <f t="shared" si="7"/>
        <v>TC_material_F__</v>
      </c>
      <c r="M84" s="144"/>
      <c r="N84" s="17" t="str">
        <f t="shared" si="8"/>
        <v>TC_WC_F__</v>
      </c>
      <c r="O84" s="144"/>
      <c r="P84" s="17" t="str">
        <f t="shared" si="9"/>
        <v>TC_DM_F__</v>
      </c>
      <c r="Q84" s="144"/>
      <c r="R84" s="17" t="str">
        <f t="shared" si="10"/>
        <v>TC_CC_F__</v>
      </c>
      <c r="S84" s="8"/>
      <c r="T84" s="15"/>
      <c r="U84" s="15"/>
      <c r="V84" s="15"/>
      <c r="W84" s="15"/>
      <c r="X84" s="15"/>
    </row>
    <row r="85" spans="1:24" x14ac:dyDescent="0.25">
      <c r="A85" s="146" t="b">
        <v>0</v>
      </c>
      <c r="B85" s="7">
        <f t="shared" si="6"/>
        <v>84</v>
      </c>
      <c r="C85" s="22" t="e">
        <f>_xlfn.XLOOKUP($D85,Tab_Def_Processes[Process_Name],Tab_Def_Processes[Process_ID],,0,)</f>
        <v>#N/A</v>
      </c>
      <c r="D85" s="142" t="s">
        <v>22</v>
      </c>
      <c r="E85" s="142" t="s">
        <v>22</v>
      </c>
      <c r="F85" s="22" t="e">
        <f>_xlfn.XLOOKUP($D85,Tab_Def_Processes[Process_Name],Tab_Def_Processes[Process_Logic],,0,)</f>
        <v>#N/A</v>
      </c>
      <c r="G85" s="22" t="e">
        <f>_xlfn.XLOOKUP($D85,Tab_Def_Processes[Process_Name],Tab_Def_Processes[TC_Configuration],,0,)</f>
        <v>#N/A</v>
      </c>
      <c r="H85" s="22" t="e">
        <f>_xlfn.XLOOKUP($D85,Tab_Def_Processes[Process_Name],Tab_Def_Processes[Stock_Configuration],,0,)</f>
        <v>#N/A</v>
      </c>
      <c r="I85" s="22" t="e">
        <f>_xlfn.XLOOKUP($D85,Tab_Def_Processes[Process_Name],Tab_Def_Processes[Outflow_count],,0,)</f>
        <v>#N/A</v>
      </c>
      <c r="J85" s="7" t="str">
        <f>_xlfn.XLOOKUP($E85,Tab_Def_Flows[Flow_Name],Tab_Def_Flows[Flow_ID],,0,1)</f>
        <v>F__</v>
      </c>
      <c r="K85" s="8"/>
      <c r="L85" s="17" t="str">
        <f t="shared" si="7"/>
        <v>TC_material_F__</v>
      </c>
      <c r="M85" s="144"/>
      <c r="N85" s="17" t="str">
        <f t="shared" si="8"/>
        <v>TC_WC_F__</v>
      </c>
      <c r="O85" s="144"/>
      <c r="P85" s="17" t="str">
        <f t="shared" si="9"/>
        <v>TC_DM_F__</v>
      </c>
      <c r="Q85" s="144"/>
      <c r="R85" s="17" t="str">
        <f t="shared" si="10"/>
        <v>TC_CC_F__</v>
      </c>
      <c r="S85" s="8"/>
      <c r="T85" s="15"/>
      <c r="U85" s="15"/>
      <c r="V85" s="15"/>
      <c r="W85" s="15"/>
      <c r="X85" s="15"/>
    </row>
    <row r="86" spans="1:24" x14ac:dyDescent="0.25">
      <c r="A86" s="146" t="b">
        <v>0</v>
      </c>
      <c r="B86" s="7">
        <f t="shared" si="6"/>
        <v>85</v>
      </c>
      <c r="C86" s="22" t="e">
        <f>_xlfn.XLOOKUP($D86,Tab_Def_Processes[Process_Name],Tab_Def_Processes[Process_ID],,0,)</f>
        <v>#N/A</v>
      </c>
      <c r="D86" s="142" t="s">
        <v>22</v>
      </c>
      <c r="E86" s="142" t="s">
        <v>22</v>
      </c>
      <c r="F86" s="22" t="e">
        <f>_xlfn.XLOOKUP($D86,Tab_Def_Processes[Process_Name],Tab_Def_Processes[Process_Logic],,0,)</f>
        <v>#N/A</v>
      </c>
      <c r="G86" s="22" t="e">
        <f>_xlfn.XLOOKUP($D86,Tab_Def_Processes[Process_Name],Tab_Def_Processes[TC_Configuration],,0,)</f>
        <v>#N/A</v>
      </c>
      <c r="H86" s="22" t="e">
        <f>_xlfn.XLOOKUP($D86,Tab_Def_Processes[Process_Name],Tab_Def_Processes[Stock_Configuration],,0,)</f>
        <v>#N/A</v>
      </c>
      <c r="I86" s="22" t="e">
        <f>_xlfn.XLOOKUP($D86,Tab_Def_Processes[Process_Name],Tab_Def_Processes[Outflow_count],,0,)</f>
        <v>#N/A</v>
      </c>
      <c r="J86" s="7" t="str">
        <f>_xlfn.XLOOKUP($E86,Tab_Def_Flows[Flow_Name],Tab_Def_Flows[Flow_ID],,0,1)</f>
        <v>F__</v>
      </c>
      <c r="K86" s="8"/>
      <c r="L86" s="17" t="str">
        <f t="shared" si="7"/>
        <v>TC_material_F__</v>
      </c>
      <c r="M86" s="144"/>
      <c r="N86" s="17" t="str">
        <f t="shared" si="8"/>
        <v>TC_WC_F__</v>
      </c>
      <c r="O86" s="144"/>
      <c r="P86" s="17" t="str">
        <f t="shared" si="9"/>
        <v>TC_DM_F__</v>
      </c>
      <c r="Q86" s="144"/>
      <c r="R86" s="17" t="str">
        <f t="shared" si="10"/>
        <v>TC_CC_F__</v>
      </c>
      <c r="S86" s="8"/>
      <c r="T86" s="15"/>
      <c r="U86" s="15"/>
      <c r="V86" s="15"/>
      <c r="W86" s="15"/>
      <c r="X86" s="15"/>
    </row>
    <row r="87" spans="1:24" x14ac:dyDescent="0.25">
      <c r="A87" s="146" t="b">
        <v>0</v>
      </c>
      <c r="B87" s="7">
        <f t="shared" si="6"/>
        <v>86</v>
      </c>
      <c r="C87" s="22" t="e">
        <f>_xlfn.XLOOKUP($D87,Tab_Def_Processes[Process_Name],Tab_Def_Processes[Process_ID],,0,)</f>
        <v>#N/A</v>
      </c>
      <c r="D87" s="142" t="s">
        <v>22</v>
      </c>
      <c r="E87" s="142" t="s">
        <v>22</v>
      </c>
      <c r="F87" s="22" t="e">
        <f>_xlfn.XLOOKUP($D87,Tab_Def_Processes[Process_Name],Tab_Def_Processes[Process_Logic],,0,)</f>
        <v>#N/A</v>
      </c>
      <c r="G87" s="22" t="e">
        <f>_xlfn.XLOOKUP($D87,Tab_Def_Processes[Process_Name],Tab_Def_Processes[TC_Configuration],,0,)</f>
        <v>#N/A</v>
      </c>
      <c r="H87" s="22" t="e">
        <f>_xlfn.XLOOKUP($D87,Tab_Def_Processes[Process_Name],Tab_Def_Processes[Stock_Configuration],,0,)</f>
        <v>#N/A</v>
      </c>
      <c r="I87" s="22" t="e">
        <f>_xlfn.XLOOKUP($D87,Tab_Def_Processes[Process_Name],Tab_Def_Processes[Outflow_count],,0,)</f>
        <v>#N/A</v>
      </c>
      <c r="J87" s="7" t="str">
        <f>_xlfn.XLOOKUP($E87,Tab_Def_Flows[Flow_Name],Tab_Def_Flows[Flow_ID],,0,1)</f>
        <v>F__</v>
      </c>
      <c r="K87" s="8"/>
      <c r="L87" s="17" t="str">
        <f t="shared" si="7"/>
        <v>TC_material_F__</v>
      </c>
      <c r="M87" s="144"/>
      <c r="N87" s="17" t="str">
        <f t="shared" si="8"/>
        <v>TC_WC_F__</v>
      </c>
      <c r="O87" s="144"/>
      <c r="P87" s="17" t="str">
        <f t="shared" si="9"/>
        <v>TC_DM_F__</v>
      </c>
      <c r="Q87" s="144"/>
      <c r="R87" s="17" t="str">
        <f t="shared" si="10"/>
        <v>TC_CC_F__</v>
      </c>
      <c r="S87" s="8"/>
      <c r="T87" s="15"/>
      <c r="U87" s="15"/>
      <c r="V87" s="15"/>
      <c r="W87" s="15"/>
      <c r="X87" s="15"/>
    </row>
    <row r="88" spans="1:24" x14ac:dyDescent="0.25">
      <c r="A88" s="146" t="b">
        <v>0</v>
      </c>
      <c r="B88" s="7">
        <f t="shared" si="6"/>
        <v>87</v>
      </c>
      <c r="C88" s="22" t="e">
        <f>_xlfn.XLOOKUP($D88,Tab_Def_Processes[Process_Name],Tab_Def_Processes[Process_ID],,0,)</f>
        <v>#N/A</v>
      </c>
      <c r="D88" s="142" t="s">
        <v>22</v>
      </c>
      <c r="E88" s="142" t="s">
        <v>22</v>
      </c>
      <c r="F88" s="22" t="e">
        <f>_xlfn.XLOOKUP($D88,Tab_Def_Processes[Process_Name],Tab_Def_Processes[Process_Logic],,0,)</f>
        <v>#N/A</v>
      </c>
      <c r="G88" s="22" t="e">
        <f>_xlfn.XLOOKUP($D88,Tab_Def_Processes[Process_Name],Tab_Def_Processes[TC_Configuration],,0,)</f>
        <v>#N/A</v>
      </c>
      <c r="H88" s="22" t="e">
        <f>_xlfn.XLOOKUP($D88,Tab_Def_Processes[Process_Name],Tab_Def_Processes[Stock_Configuration],,0,)</f>
        <v>#N/A</v>
      </c>
      <c r="I88" s="22" t="e">
        <f>_xlfn.XLOOKUP($D88,Tab_Def_Processes[Process_Name],Tab_Def_Processes[Outflow_count],,0,)</f>
        <v>#N/A</v>
      </c>
      <c r="J88" s="7" t="str">
        <f>_xlfn.XLOOKUP($E88,Tab_Def_Flows[Flow_Name],Tab_Def_Flows[Flow_ID],,0,1)</f>
        <v>F__</v>
      </c>
      <c r="K88" s="8"/>
      <c r="L88" s="17" t="str">
        <f t="shared" si="7"/>
        <v>TC_material_F__</v>
      </c>
      <c r="M88" s="144"/>
      <c r="N88" s="17" t="str">
        <f t="shared" si="8"/>
        <v>TC_WC_F__</v>
      </c>
      <c r="O88" s="144"/>
      <c r="P88" s="17" t="str">
        <f t="shared" si="9"/>
        <v>TC_DM_F__</v>
      </c>
      <c r="Q88" s="144"/>
      <c r="R88" s="17" t="str">
        <f t="shared" si="10"/>
        <v>TC_CC_F__</v>
      </c>
      <c r="S88" s="8"/>
      <c r="T88" s="15"/>
      <c r="U88" s="15"/>
      <c r="V88" s="15"/>
      <c r="W88" s="15"/>
      <c r="X88" s="15"/>
    </row>
    <row r="89" spans="1:24" x14ac:dyDescent="0.25">
      <c r="A89" s="146" t="b">
        <v>0</v>
      </c>
      <c r="B89" s="7">
        <f t="shared" si="6"/>
        <v>88</v>
      </c>
      <c r="C89" s="22" t="e">
        <f>_xlfn.XLOOKUP($D89,Tab_Def_Processes[Process_Name],Tab_Def_Processes[Process_ID],,0,)</f>
        <v>#N/A</v>
      </c>
      <c r="D89" s="142" t="s">
        <v>22</v>
      </c>
      <c r="E89" s="142" t="s">
        <v>22</v>
      </c>
      <c r="F89" s="22" t="e">
        <f>_xlfn.XLOOKUP($D89,Tab_Def_Processes[Process_Name],Tab_Def_Processes[Process_Logic],,0,)</f>
        <v>#N/A</v>
      </c>
      <c r="G89" s="22" t="e">
        <f>_xlfn.XLOOKUP($D89,Tab_Def_Processes[Process_Name],Tab_Def_Processes[TC_Configuration],,0,)</f>
        <v>#N/A</v>
      </c>
      <c r="H89" s="22" t="e">
        <f>_xlfn.XLOOKUP($D89,Tab_Def_Processes[Process_Name],Tab_Def_Processes[Stock_Configuration],,0,)</f>
        <v>#N/A</v>
      </c>
      <c r="I89" s="22" t="e">
        <f>_xlfn.XLOOKUP($D89,Tab_Def_Processes[Process_Name],Tab_Def_Processes[Outflow_count],,0,)</f>
        <v>#N/A</v>
      </c>
      <c r="J89" s="7" t="str">
        <f>_xlfn.XLOOKUP($E89,Tab_Def_Flows[Flow_Name],Tab_Def_Flows[Flow_ID],,0,1)</f>
        <v>F__</v>
      </c>
      <c r="K89" s="8"/>
      <c r="L89" s="17" t="str">
        <f t="shared" si="7"/>
        <v>TC_material_F__</v>
      </c>
      <c r="M89" s="144"/>
      <c r="N89" s="17" t="str">
        <f t="shared" si="8"/>
        <v>TC_WC_F__</v>
      </c>
      <c r="O89" s="144"/>
      <c r="P89" s="17" t="str">
        <f t="shared" si="9"/>
        <v>TC_DM_F__</v>
      </c>
      <c r="Q89" s="144"/>
      <c r="R89" s="17" t="str">
        <f t="shared" si="10"/>
        <v>TC_CC_F__</v>
      </c>
      <c r="S89" s="8"/>
      <c r="T89" s="15"/>
      <c r="U89" s="15"/>
      <c r="V89" s="15"/>
      <c r="W89" s="15"/>
      <c r="X89" s="15"/>
    </row>
    <row r="90" spans="1:24" x14ac:dyDescent="0.25">
      <c r="A90" s="146" t="b">
        <v>0</v>
      </c>
      <c r="B90" s="7">
        <f t="shared" si="6"/>
        <v>89</v>
      </c>
      <c r="C90" s="22" t="e">
        <f>_xlfn.XLOOKUP($D90,Tab_Def_Processes[Process_Name],Tab_Def_Processes[Process_ID],,0,)</f>
        <v>#N/A</v>
      </c>
      <c r="D90" s="142" t="s">
        <v>22</v>
      </c>
      <c r="E90" s="142" t="s">
        <v>22</v>
      </c>
      <c r="F90" s="22" t="e">
        <f>_xlfn.XLOOKUP($D90,Tab_Def_Processes[Process_Name],Tab_Def_Processes[Process_Logic],,0,)</f>
        <v>#N/A</v>
      </c>
      <c r="G90" s="22" t="e">
        <f>_xlfn.XLOOKUP($D90,Tab_Def_Processes[Process_Name],Tab_Def_Processes[TC_Configuration],,0,)</f>
        <v>#N/A</v>
      </c>
      <c r="H90" s="22" t="e">
        <f>_xlfn.XLOOKUP($D90,Tab_Def_Processes[Process_Name],Tab_Def_Processes[Stock_Configuration],,0,)</f>
        <v>#N/A</v>
      </c>
      <c r="I90" s="22" t="e">
        <f>_xlfn.XLOOKUP($D90,Tab_Def_Processes[Process_Name],Tab_Def_Processes[Outflow_count],,0,)</f>
        <v>#N/A</v>
      </c>
      <c r="J90" s="7" t="str">
        <f>_xlfn.XLOOKUP($E90,Tab_Def_Flows[Flow_Name],Tab_Def_Flows[Flow_ID],,0,1)</f>
        <v>F__</v>
      </c>
      <c r="K90" s="8"/>
      <c r="L90" s="17" t="str">
        <f t="shared" si="7"/>
        <v>TC_material_F__</v>
      </c>
      <c r="M90" s="144"/>
      <c r="N90" s="17" t="str">
        <f t="shared" si="8"/>
        <v>TC_WC_F__</v>
      </c>
      <c r="O90" s="144"/>
      <c r="P90" s="17" t="str">
        <f t="shared" si="9"/>
        <v>TC_DM_F__</v>
      </c>
      <c r="Q90" s="144"/>
      <c r="R90" s="17" t="str">
        <f t="shared" si="10"/>
        <v>TC_CC_F__</v>
      </c>
      <c r="S90" s="8"/>
      <c r="T90" s="15"/>
      <c r="U90" s="15"/>
      <c r="V90" s="15"/>
      <c r="W90" s="15"/>
      <c r="X90" s="15"/>
    </row>
    <row r="91" spans="1:24" x14ac:dyDescent="0.25">
      <c r="A91" s="146" t="b">
        <v>0</v>
      </c>
      <c r="B91" s="7">
        <f t="shared" si="6"/>
        <v>90</v>
      </c>
      <c r="C91" s="22" t="e">
        <f>_xlfn.XLOOKUP($D91,Tab_Def_Processes[Process_Name],Tab_Def_Processes[Process_ID],,0,)</f>
        <v>#N/A</v>
      </c>
      <c r="D91" s="142" t="s">
        <v>22</v>
      </c>
      <c r="E91" s="142" t="s">
        <v>22</v>
      </c>
      <c r="F91" s="22" t="e">
        <f>_xlfn.XLOOKUP($D91,Tab_Def_Processes[Process_Name],Tab_Def_Processes[Process_Logic],,0,)</f>
        <v>#N/A</v>
      </c>
      <c r="G91" s="22" t="e">
        <f>_xlfn.XLOOKUP($D91,Tab_Def_Processes[Process_Name],Tab_Def_Processes[TC_Configuration],,0,)</f>
        <v>#N/A</v>
      </c>
      <c r="H91" s="22" t="e">
        <f>_xlfn.XLOOKUP($D91,Tab_Def_Processes[Process_Name],Tab_Def_Processes[Stock_Configuration],,0,)</f>
        <v>#N/A</v>
      </c>
      <c r="I91" s="22" t="e">
        <f>_xlfn.XLOOKUP($D91,Tab_Def_Processes[Process_Name],Tab_Def_Processes[Outflow_count],,0,)</f>
        <v>#N/A</v>
      </c>
      <c r="J91" s="7" t="str">
        <f>_xlfn.XLOOKUP($E91,Tab_Def_Flows[Flow_Name],Tab_Def_Flows[Flow_ID],,0,1)</f>
        <v>F__</v>
      </c>
      <c r="K91" s="8"/>
      <c r="L91" s="17" t="str">
        <f t="shared" si="7"/>
        <v>TC_material_F__</v>
      </c>
      <c r="M91" s="144"/>
      <c r="N91" s="17" t="str">
        <f t="shared" si="8"/>
        <v>TC_WC_F__</v>
      </c>
      <c r="O91" s="144"/>
      <c r="P91" s="17" t="str">
        <f t="shared" si="9"/>
        <v>TC_DM_F__</v>
      </c>
      <c r="Q91" s="144"/>
      <c r="R91" s="17" t="str">
        <f t="shared" si="10"/>
        <v>TC_CC_F__</v>
      </c>
      <c r="S91" s="8"/>
      <c r="T91" s="15"/>
      <c r="U91" s="15"/>
      <c r="V91" s="15"/>
      <c r="W91" s="15"/>
      <c r="X91" s="15"/>
    </row>
    <row r="92" spans="1:24" x14ac:dyDescent="0.25">
      <c r="A92" s="146" t="b">
        <v>0</v>
      </c>
      <c r="B92" s="7">
        <f t="shared" si="6"/>
        <v>91</v>
      </c>
      <c r="C92" s="22" t="e">
        <f>_xlfn.XLOOKUP($D92,Tab_Def_Processes[Process_Name],Tab_Def_Processes[Process_ID],,0,)</f>
        <v>#N/A</v>
      </c>
      <c r="D92" s="142" t="s">
        <v>22</v>
      </c>
      <c r="E92" s="142" t="s">
        <v>22</v>
      </c>
      <c r="F92" s="22" t="e">
        <f>_xlfn.XLOOKUP($D92,Tab_Def_Processes[Process_Name],Tab_Def_Processes[Process_Logic],,0,)</f>
        <v>#N/A</v>
      </c>
      <c r="G92" s="22" t="e">
        <f>_xlfn.XLOOKUP($D92,Tab_Def_Processes[Process_Name],Tab_Def_Processes[TC_Configuration],,0,)</f>
        <v>#N/A</v>
      </c>
      <c r="H92" s="22" t="e">
        <f>_xlfn.XLOOKUP($D92,Tab_Def_Processes[Process_Name],Tab_Def_Processes[Stock_Configuration],,0,)</f>
        <v>#N/A</v>
      </c>
      <c r="I92" s="22" t="e">
        <f>_xlfn.XLOOKUP($D92,Tab_Def_Processes[Process_Name],Tab_Def_Processes[Outflow_count],,0,)</f>
        <v>#N/A</v>
      </c>
      <c r="J92" s="7" t="str">
        <f>_xlfn.XLOOKUP($E92,Tab_Def_Flows[Flow_Name],Tab_Def_Flows[Flow_ID],,0,1)</f>
        <v>F__</v>
      </c>
      <c r="K92" s="8"/>
      <c r="L92" s="17" t="str">
        <f t="shared" si="7"/>
        <v>TC_material_F__</v>
      </c>
      <c r="M92" s="144"/>
      <c r="N92" s="17" t="str">
        <f t="shared" si="8"/>
        <v>TC_WC_F__</v>
      </c>
      <c r="O92" s="144"/>
      <c r="P92" s="17" t="str">
        <f t="shared" si="9"/>
        <v>TC_DM_F__</v>
      </c>
      <c r="Q92" s="144"/>
      <c r="R92" s="17" t="str">
        <f t="shared" si="10"/>
        <v>TC_CC_F__</v>
      </c>
      <c r="S92" s="8"/>
      <c r="T92" s="15"/>
      <c r="U92" s="15"/>
      <c r="V92" s="15"/>
      <c r="W92" s="15"/>
      <c r="X92" s="15"/>
    </row>
    <row r="93" spans="1:24" x14ac:dyDescent="0.25">
      <c r="A93" s="146" t="b">
        <v>0</v>
      </c>
      <c r="B93" s="7">
        <f t="shared" si="6"/>
        <v>92</v>
      </c>
      <c r="C93" s="22" t="e">
        <f>_xlfn.XLOOKUP($D93,Tab_Def_Processes[Process_Name],Tab_Def_Processes[Process_ID],,0,)</f>
        <v>#N/A</v>
      </c>
      <c r="D93" s="142" t="s">
        <v>22</v>
      </c>
      <c r="E93" s="142" t="s">
        <v>22</v>
      </c>
      <c r="F93" s="22" t="e">
        <f>_xlfn.XLOOKUP($D93,Tab_Def_Processes[Process_Name],Tab_Def_Processes[Process_Logic],,0,)</f>
        <v>#N/A</v>
      </c>
      <c r="G93" s="22" t="e">
        <f>_xlfn.XLOOKUP($D93,Tab_Def_Processes[Process_Name],Tab_Def_Processes[TC_Configuration],,0,)</f>
        <v>#N/A</v>
      </c>
      <c r="H93" s="22" t="e">
        <f>_xlfn.XLOOKUP($D93,Tab_Def_Processes[Process_Name],Tab_Def_Processes[Stock_Configuration],,0,)</f>
        <v>#N/A</v>
      </c>
      <c r="I93" s="22" t="e">
        <f>_xlfn.XLOOKUP($D93,Tab_Def_Processes[Process_Name],Tab_Def_Processes[Outflow_count],,0,)</f>
        <v>#N/A</v>
      </c>
      <c r="J93" s="7" t="str">
        <f>_xlfn.XLOOKUP($E93,Tab_Def_Flows[Flow_Name],Tab_Def_Flows[Flow_ID],,0,1)</f>
        <v>F__</v>
      </c>
      <c r="K93" s="8"/>
      <c r="L93" s="17" t="str">
        <f t="shared" si="7"/>
        <v>TC_material_F__</v>
      </c>
      <c r="M93" s="144"/>
      <c r="N93" s="17" t="str">
        <f t="shared" si="8"/>
        <v>TC_WC_F__</v>
      </c>
      <c r="O93" s="144"/>
      <c r="P93" s="17" t="str">
        <f t="shared" si="9"/>
        <v>TC_DM_F__</v>
      </c>
      <c r="Q93" s="144"/>
      <c r="R93" s="17" t="str">
        <f t="shared" si="10"/>
        <v>TC_CC_F__</v>
      </c>
      <c r="S93" s="8"/>
      <c r="T93" s="15"/>
      <c r="U93" s="15"/>
      <c r="V93" s="15"/>
      <c r="W93" s="15"/>
      <c r="X93" s="15"/>
    </row>
    <row r="94" spans="1:24" x14ac:dyDescent="0.25">
      <c r="A94" s="146" t="b">
        <v>0</v>
      </c>
      <c r="B94" s="7">
        <f t="shared" si="6"/>
        <v>93</v>
      </c>
      <c r="C94" s="22" t="e">
        <f>_xlfn.XLOOKUP($D94,Tab_Def_Processes[Process_Name],Tab_Def_Processes[Process_ID],,0,)</f>
        <v>#N/A</v>
      </c>
      <c r="D94" s="142" t="s">
        <v>22</v>
      </c>
      <c r="E94" s="142" t="s">
        <v>22</v>
      </c>
      <c r="F94" s="22" t="e">
        <f>_xlfn.XLOOKUP($D94,Tab_Def_Processes[Process_Name],Tab_Def_Processes[Process_Logic],,0,)</f>
        <v>#N/A</v>
      </c>
      <c r="G94" s="22" t="e">
        <f>_xlfn.XLOOKUP($D94,Tab_Def_Processes[Process_Name],Tab_Def_Processes[TC_Configuration],,0,)</f>
        <v>#N/A</v>
      </c>
      <c r="H94" s="22" t="e">
        <f>_xlfn.XLOOKUP($D94,Tab_Def_Processes[Process_Name],Tab_Def_Processes[Stock_Configuration],,0,)</f>
        <v>#N/A</v>
      </c>
      <c r="I94" s="22" t="e">
        <f>_xlfn.XLOOKUP($D94,Tab_Def_Processes[Process_Name],Tab_Def_Processes[Outflow_count],,0,)</f>
        <v>#N/A</v>
      </c>
      <c r="J94" s="7" t="str">
        <f>_xlfn.XLOOKUP($E94,Tab_Def_Flows[Flow_Name],Tab_Def_Flows[Flow_ID],,0,1)</f>
        <v>F__</v>
      </c>
      <c r="K94" s="8"/>
      <c r="L94" s="17" t="str">
        <f t="shared" si="7"/>
        <v>TC_material_F__</v>
      </c>
      <c r="M94" s="144"/>
      <c r="N94" s="17" t="str">
        <f t="shared" si="8"/>
        <v>TC_WC_F__</v>
      </c>
      <c r="O94" s="144"/>
      <c r="P94" s="17" t="str">
        <f t="shared" si="9"/>
        <v>TC_DM_F__</v>
      </c>
      <c r="Q94" s="144"/>
      <c r="R94" s="17" t="str">
        <f t="shared" si="10"/>
        <v>TC_CC_F__</v>
      </c>
      <c r="S94" s="8"/>
      <c r="T94" s="15"/>
      <c r="U94" s="15"/>
      <c r="V94" s="15"/>
      <c r="W94" s="15"/>
      <c r="X94" s="15"/>
    </row>
    <row r="95" spans="1:24" x14ac:dyDescent="0.25">
      <c r="A95" s="146" t="b">
        <v>0</v>
      </c>
      <c r="B95" s="7">
        <f t="shared" si="6"/>
        <v>94</v>
      </c>
      <c r="C95" s="22" t="e">
        <f>_xlfn.XLOOKUP($D95,Tab_Def_Processes[Process_Name],Tab_Def_Processes[Process_ID],,0,)</f>
        <v>#N/A</v>
      </c>
      <c r="D95" s="142" t="s">
        <v>22</v>
      </c>
      <c r="E95" s="142" t="s">
        <v>22</v>
      </c>
      <c r="F95" s="22" t="e">
        <f>_xlfn.XLOOKUP($D95,Tab_Def_Processes[Process_Name],Tab_Def_Processes[Process_Logic],,0,)</f>
        <v>#N/A</v>
      </c>
      <c r="G95" s="22" t="e">
        <f>_xlfn.XLOOKUP($D95,Tab_Def_Processes[Process_Name],Tab_Def_Processes[TC_Configuration],,0,)</f>
        <v>#N/A</v>
      </c>
      <c r="H95" s="22" t="e">
        <f>_xlfn.XLOOKUP($D95,Tab_Def_Processes[Process_Name],Tab_Def_Processes[Stock_Configuration],,0,)</f>
        <v>#N/A</v>
      </c>
      <c r="I95" s="22" t="e">
        <f>_xlfn.XLOOKUP($D95,Tab_Def_Processes[Process_Name],Tab_Def_Processes[Outflow_count],,0,)</f>
        <v>#N/A</v>
      </c>
      <c r="J95" s="7" t="str">
        <f>_xlfn.XLOOKUP($E95,Tab_Def_Flows[Flow_Name],Tab_Def_Flows[Flow_ID],,0,1)</f>
        <v>F__</v>
      </c>
      <c r="K95" s="8"/>
      <c r="L95" s="17" t="str">
        <f t="shared" si="7"/>
        <v>TC_material_F__</v>
      </c>
      <c r="M95" s="144"/>
      <c r="N95" s="17" t="str">
        <f t="shared" si="8"/>
        <v>TC_WC_F__</v>
      </c>
      <c r="O95" s="144"/>
      <c r="P95" s="17" t="str">
        <f t="shared" si="9"/>
        <v>TC_DM_F__</v>
      </c>
      <c r="Q95" s="144"/>
      <c r="R95" s="17" t="str">
        <f t="shared" si="10"/>
        <v>TC_CC_F__</v>
      </c>
      <c r="S95" s="8"/>
      <c r="T95" s="15"/>
      <c r="U95" s="15"/>
      <c r="V95" s="15"/>
      <c r="W95" s="15"/>
      <c r="X95" s="15"/>
    </row>
    <row r="96" spans="1:24" x14ac:dyDescent="0.25">
      <c r="A96" s="146" t="b">
        <v>0</v>
      </c>
      <c r="B96" s="7">
        <f t="shared" si="6"/>
        <v>95</v>
      </c>
      <c r="C96" s="22" t="e">
        <f>_xlfn.XLOOKUP($D96,Tab_Def_Processes[Process_Name],Tab_Def_Processes[Process_ID],,0,)</f>
        <v>#N/A</v>
      </c>
      <c r="D96" s="142" t="s">
        <v>22</v>
      </c>
      <c r="E96" s="142" t="s">
        <v>22</v>
      </c>
      <c r="F96" s="22" t="e">
        <f>_xlfn.XLOOKUP($D96,Tab_Def_Processes[Process_Name],Tab_Def_Processes[Process_Logic],,0,)</f>
        <v>#N/A</v>
      </c>
      <c r="G96" s="22" t="e">
        <f>_xlfn.XLOOKUP($D96,Tab_Def_Processes[Process_Name],Tab_Def_Processes[TC_Configuration],,0,)</f>
        <v>#N/A</v>
      </c>
      <c r="H96" s="22" t="e">
        <f>_xlfn.XLOOKUP($D96,Tab_Def_Processes[Process_Name],Tab_Def_Processes[Stock_Configuration],,0,)</f>
        <v>#N/A</v>
      </c>
      <c r="I96" s="22" t="e">
        <f>_xlfn.XLOOKUP($D96,Tab_Def_Processes[Process_Name],Tab_Def_Processes[Outflow_count],,0,)</f>
        <v>#N/A</v>
      </c>
      <c r="J96" s="7" t="str">
        <f>_xlfn.XLOOKUP($E96,Tab_Def_Flows[Flow_Name],Tab_Def_Flows[Flow_ID],,0,1)</f>
        <v>F__</v>
      </c>
      <c r="K96" s="8"/>
      <c r="L96" s="17" t="str">
        <f t="shared" si="7"/>
        <v>TC_material_F__</v>
      </c>
      <c r="M96" s="144"/>
      <c r="N96" s="17" t="str">
        <f t="shared" si="8"/>
        <v>TC_WC_F__</v>
      </c>
      <c r="O96" s="144"/>
      <c r="P96" s="17" t="str">
        <f t="shared" si="9"/>
        <v>TC_DM_F__</v>
      </c>
      <c r="Q96" s="144"/>
      <c r="R96" s="17" t="str">
        <f t="shared" si="10"/>
        <v>TC_CC_F__</v>
      </c>
      <c r="S96" s="8"/>
      <c r="T96" s="15"/>
      <c r="U96" s="15"/>
      <c r="V96" s="15"/>
      <c r="W96" s="15"/>
      <c r="X96" s="15"/>
    </row>
    <row r="97" spans="1:24" x14ac:dyDescent="0.25">
      <c r="A97" s="146" t="b">
        <v>0</v>
      </c>
      <c r="B97" s="7">
        <f t="shared" si="6"/>
        <v>96</v>
      </c>
      <c r="C97" s="22" t="e">
        <f>_xlfn.XLOOKUP($D97,Tab_Def_Processes[Process_Name],Tab_Def_Processes[Process_ID],,0,)</f>
        <v>#N/A</v>
      </c>
      <c r="D97" s="142" t="s">
        <v>22</v>
      </c>
      <c r="E97" s="142" t="s">
        <v>22</v>
      </c>
      <c r="F97" s="22" t="e">
        <f>_xlfn.XLOOKUP($D97,Tab_Def_Processes[Process_Name],Tab_Def_Processes[Process_Logic],,0,)</f>
        <v>#N/A</v>
      </c>
      <c r="G97" s="22" t="e">
        <f>_xlfn.XLOOKUP($D97,Tab_Def_Processes[Process_Name],Tab_Def_Processes[TC_Configuration],,0,)</f>
        <v>#N/A</v>
      </c>
      <c r="H97" s="22" t="e">
        <f>_xlfn.XLOOKUP($D97,Tab_Def_Processes[Process_Name],Tab_Def_Processes[Stock_Configuration],,0,)</f>
        <v>#N/A</v>
      </c>
      <c r="I97" s="22" t="e">
        <f>_xlfn.XLOOKUP($D97,Tab_Def_Processes[Process_Name],Tab_Def_Processes[Outflow_count],,0,)</f>
        <v>#N/A</v>
      </c>
      <c r="J97" s="7" t="str">
        <f>_xlfn.XLOOKUP($E97,Tab_Def_Flows[Flow_Name],Tab_Def_Flows[Flow_ID],,0,1)</f>
        <v>F__</v>
      </c>
      <c r="K97" s="8"/>
      <c r="L97" s="17" t="str">
        <f t="shared" si="7"/>
        <v>TC_material_F__</v>
      </c>
      <c r="M97" s="144"/>
      <c r="N97" s="17" t="str">
        <f t="shared" si="8"/>
        <v>TC_WC_F__</v>
      </c>
      <c r="O97" s="144"/>
      <c r="P97" s="17" t="str">
        <f t="shared" si="9"/>
        <v>TC_DM_F__</v>
      </c>
      <c r="Q97" s="144"/>
      <c r="R97" s="17" t="str">
        <f t="shared" si="10"/>
        <v>TC_CC_F__</v>
      </c>
      <c r="S97" s="8"/>
      <c r="T97" s="15"/>
      <c r="U97" s="15"/>
      <c r="V97" s="15"/>
      <c r="W97" s="15"/>
      <c r="X97" s="15"/>
    </row>
    <row r="98" spans="1:24" x14ac:dyDescent="0.25">
      <c r="A98" s="146" t="b">
        <v>0</v>
      </c>
      <c r="B98" s="7">
        <f t="shared" ref="B98:B129" si="11">ROW()-1</f>
        <v>97</v>
      </c>
      <c r="C98" s="22" t="e">
        <f>_xlfn.XLOOKUP($D98,Tab_Def_Processes[Process_Name],Tab_Def_Processes[Process_ID],,0,)</f>
        <v>#N/A</v>
      </c>
      <c r="D98" s="142" t="s">
        <v>22</v>
      </c>
      <c r="E98" s="142" t="s">
        <v>22</v>
      </c>
      <c r="F98" s="22" t="e">
        <f>_xlfn.XLOOKUP($D98,Tab_Def_Processes[Process_Name],Tab_Def_Processes[Process_Logic],,0,)</f>
        <v>#N/A</v>
      </c>
      <c r="G98" s="22" t="e">
        <f>_xlfn.XLOOKUP($D98,Tab_Def_Processes[Process_Name],Tab_Def_Processes[TC_Configuration],,0,)</f>
        <v>#N/A</v>
      </c>
      <c r="H98" s="22" t="e">
        <f>_xlfn.XLOOKUP($D98,Tab_Def_Processes[Process_Name],Tab_Def_Processes[Stock_Configuration],,0,)</f>
        <v>#N/A</v>
      </c>
      <c r="I98" s="22" t="e">
        <f>_xlfn.XLOOKUP($D98,Tab_Def_Processes[Process_Name],Tab_Def_Processes[Outflow_count],,0,)</f>
        <v>#N/A</v>
      </c>
      <c r="J98" s="7" t="str">
        <f>_xlfn.XLOOKUP($E98,Tab_Def_Flows[Flow_Name],Tab_Def_Flows[Flow_ID],,0,1)</f>
        <v>F__</v>
      </c>
      <c r="K98" s="8"/>
      <c r="L98" s="17" t="str">
        <f t="shared" si="7"/>
        <v>TC_material_F__</v>
      </c>
      <c r="M98" s="144"/>
      <c r="N98" s="17" t="str">
        <f t="shared" si="8"/>
        <v>TC_WC_F__</v>
      </c>
      <c r="O98" s="144"/>
      <c r="P98" s="17" t="str">
        <f t="shared" si="9"/>
        <v>TC_DM_F__</v>
      </c>
      <c r="Q98" s="144"/>
      <c r="R98" s="17" t="str">
        <f t="shared" si="10"/>
        <v>TC_CC_F__</v>
      </c>
      <c r="S98" s="8"/>
      <c r="T98" s="15"/>
      <c r="U98" s="15"/>
      <c r="V98" s="15"/>
      <c r="W98" s="15"/>
      <c r="X98" s="15"/>
    </row>
    <row r="99" spans="1:24" x14ac:dyDescent="0.25">
      <c r="A99" s="146" t="b">
        <v>0</v>
      </c>
      <c r="B99" s="7">
        <f t="shared" si="11"/>
        <v>98</v>
      </c>
      <c r="C99" s="22" t="e">
        <f>_xlfn.XLOOKUP($D99,Tab_Def_Processes[Process_Name],Tab_Def_Processes[Process_ID],,0,)</f>
        <v>#N/A</v>
      </c>
      <c r="D99" s="142" t="s">
        <v>22</v>
      </c>
      <c r="E99" s="142" t="s">
        <v>22</v>
      </c>
      <c r="F99" s="22" t="e">
        <f>_xlfn.XLOOKUP($D99,Tab_Def_Processes[Process_Name],Tab_Def_Processes[Process_Logic],,0,)</f>
        <v>#N/A</v>
      </c>
      <c r="G99" s="22" t="e">
        <f>_xlfn.XLOOKUP($D99,Tab_Def_Processes[Process_Name],Tab_Def_Processes[TC_Configuration],,0,)</f>
        <v>#N/A</v>
      </c>
      <c r="H99" s="22" t="e">
        <f>_xlfn.XLOOKUP($D99,Tab_Def_Processes[Process_Name],Tab_Def_Processes[Stock_Configuration],,0,)</f>
        <v>#N/A</v>
      </c>
      <c r="I99" s="22" t="e">
        <f>_xlfn.XLOOKUP($D99,Tab_Def_Processes[Process_Name],Tab_Def_Processes[Outflow_count],,0,)</f>
        <v>#N/A</v>
      </c>
      <c r="J99" s="7" t="str">
        <f>_xlfn.XLOOKUP($E99,Tab_Def_Flows[Flow_Name],Tab_Def_Flows[Flow_ID],,0,1)</f>
        <v>F__</v>
      </c>
      <c r="K99" s="8"/>
      <c r="L99" s="17" t="str">
        <f t="shared" si="7"/>
        <v>TC_material_F__</v>
      </c>
      <c r="M99" s="144"/>
      <c r="N99" s="17" t="str">
        <f t="shared" si="8"/>
        <v>TC_WC_F__</v>
      </c>
      <c r="O99" s="144"/>
      <c r="P99" s="17" t="str">
        <f t="shared" si="9"/>
        <v>TC_DM_F__</v>
      </c>
      <c r="Q99" s="144"/>
      <c r="R99" s="17" t="str">
        <f t="shared" si="10"/>
        <v>TC_CC_F__</v>
      </c>
      <c r="S99" s="8"/>
      <c r="T99" s="15"/>
      <c r="U99" s="15"/>
      <c r="V99" s="15"/>
      <c r="W99" s="15"/>
      <c r="X99" s="15"/>
    </row>
    <row r="100" spans="1:24" x14ac:dyDescent="0.25">
      <c r="A100" s="146" t="b">
        <v>0</v>
      </c>
      <c r="B100" s="7">
        <f t="shared" si="11"/>
        <v>99</v>
      </c>
      <c r="C100" s="22" t="e">
        <f>_xlfn.XLOOKUP($D100,Tab_Def_Processes[Process_Name],Tab_Def_Processes[Process_ID],,0,)</f>
        <v>#N/A</v>
      </c>
      <c r="D100" s="142" t="s">
        <v>22</v>
      </c>
      <c r="E100" s="142" t="s">
        <v>22</v>
      </c>
      <c r="F100" s="22" t="e">
        <f>_xlfn.XLOOKUP($D100,Tab_Def_Processes[Process_Name],Tab_Def_Processes[Process_Logic],,0,)</f>
        <v>#N/A</v>
      </c>
      <c r="G100" s="22" t="e">
        <f>_xlfn.XLOOKUP($D100,Tab_Def_Processes[Process_Name],Tab_Def_Processes[TC_Configuration],,0,)</f>
        <v>#N/A</v>
      </c>
      <c r="H100" s="22" t="e">
        <f>_xlfn.XLOOKUP($D100,Tab_Def_Processes[Process_Name],Tab_Def_Processes[Stock_Configuration],,0,)</f>
        <v>#N/A</v>
      </c>
      <c r="I100" s="22" t="e">
        <f>_xlfn.XLOOKUP($D100,Tab_Def_Processes[Process_Name],Tab_Def_Processes[Outflow_count],,0,)</f>
        <v>#N/A</v>
      </c>
      <c r="J100" s="7" t="str">
        <f>_xlfn.XLOOKUP($E100,Tab_Def_Flows[Flow_Name],Tab_Def_Flows[Flow_ID],,0,1)</f>
        <v>F__</v>
      </c>
      <c r="K100" s="8"/>
      <c r="L100" s="17" t="str">
        <f t="shared" si="7"/>
        <v>TC_material_F__</v>
      </c>
      <c r="M100" s="144"/>
      <c r="N100" s="17" t="str">
        <f t="shared" si="8"/>
        <v>TC_WC_F__</v>
      </c>
      <c r="O100" s="144"/>
      <c r="P100" s="17" t="str">
        <f t="shared" si="9"/>
        <v>TC_DM_F__</v>
      </c>
      <c r="Q100" s="144"/>
      <c r="R100" s="17" t="str">
        <f t="shared" si="10"/>
        <v>TC_CC_F__</v>
      </c>
      <c r="S100" s="8"/>
      <c r="T100" s="15"/>
      <c r="U100" s="15"/>
      <c r="V100" s="15"/>
      <c r="W100" s="15"/>
      <c r="X100" s="15"/>
    </row>
    <row r="101" spans="1:24" x14ac:dyDescent="0.25">
      <c r="A101" s="146" t="b">
        <v>0</v>
      </c>
      <c r="B101" s="7">
        <f t="shared" si="11"/>
        <v>100</v>
      </c>
      <c r="C101" s="22" t="e">
        <f>_xlfn.XLOOKUP($D101,Tab_Def_Processes[Process_Name],Tab_Def_Processes[Process_ID],,0,)</f>
        <v>#N/A</v>
      </c>
      <c r="D101" s="142" t="s">
        <v>22</v>
      </c>
      <c r="E101" s="142" t="s">
        <v>22</v>
      </c>
      <c r="F101" s="22" t="e">
        <f>_xlfn.XLOOKUP($D101,Tab_Def_Processes[Process_Name],Tab_Def_Processes[Process_Logic],,0,)</f>
        <v>#N/A</v>
      </c>
      <c r="G101" s="22" t="e">
        <f>_xlfn.XLOOKUP($D101,Tab_Def_Processes[Process_Name],Tab_Def_Processes[TC_Configuration],,0,)</f>
        <v>#N/A</v>
      </c>
      <c r="H101" s="22" t="e">
        <f>_xlfn.XLOOKUP($D101,Tab_Def_Processes[Process_Name],Tab_Def_Processes[Stock_Configuration],,0,)</f>
        <v>#N/A</v>
      </c>
      <c r="I101" s="22" t="e">
        <f>_xlfn.XLOOKUP($D101,Tab_Def_Processes[Process_Name],Tab_Def_Processes[Outflow_count],,0,)</f>
        <v>#N/A</v>
      </c>
      <c r="J101" s="7" t="str">
        <f>_xlfn.XLOOKUP($E101,Tab_Def_Flows[Flow_Name],Tab_Def_Flows[Flow_ID],,0,1)</f>
        <v>F__</v>
      </c>
      <c r="K101" s="8"/>
      <c r="L101" s="17" t="str">
        <f t="shared" si="7"/>
        <v>TC_material_F__</v>
      </c>
      <c r="M101" s="144"/>
      <c r="N101" s="17" t="str">
        <f t="shared" si="8"/>
        <v>TC_WC_F__</v>
      </c>
      <c r="O101" s="144"/>
      <c r="P101" s="17" t="str">
        <f t="shared" si="9"/>
        <v>TC_DM_F__</v>
      </c>
      <c r="Q101" s="144"/>
      <c r="R101" s="17" t="str">
        <f t="shared" si="10"/>
        <v>TC_CC_F__</v>
      </c>
      <c r="S101" s="8"/>
      <c r="T101" s="15"/>
      <c r="U101" s="15"/>
      <c r="V101" s="15"/>
      <c r="W101" s="15"/>
      <c r="X101" s="15"/>
    </row>
    <row r="102" spans="1:24" x14ac:dyDescent="0.25">
      <c r="A102" s="146" t="b">
        <v>0</v>
      </c>
      <c r="B102" s="7">
        <f t="shared" si="11"/>
        <v>101</v>
      </c>
      <c r="C102" s="22" t="e">
        <f>_xlfn.XLOOKUP($D102,Tab_Def_Processes[Process_Name],Tab_Def_Processes[Process_ID],,0,)</f>
        <v>#N/A</v>
      </c>
      <c r="D102" s="142" t="s">
        <v>22</v>
      </c>
      <c r="E102" s="142" t="s">
        <v>22</v>
      </c>
      <c r="F102" s="22" t="e">
        <f>_xlfn.XLOOKUP($D102,Tab_Def_Processes[Process_Name],Tab_Def_Processes[Process_Logic],,0,)</f>
        <v>#N/A</v>
      </c>
      <c r="G102" s="22" t="e">
        <f>_xlfn.XLOOKUP($D102,Tab_Def_Processes[Process_Name],Tab_Def_Processes[TC_Configuration],,0,)</f>
        <v>#N/A</v>
      </c>
      <c r="H102" s="22" t="e">
        <f>_xlfn.XLOOKUP($D102,Tab_Def_Processes[Process_Name],Tab_Def_Processes[Stock_Configuration],,0,)</f>
        <v>#N/A</v>
      </c>
      <c r="I102" s="22" t="e">
        <f>_xlfn.XLOOKUP($D102,Tab_Def_Processes[Process_Name],Tab_Def_Processes[Outflow_count],,0,)</f>
        <v>#N/A</v>
      </c>
      <c r="J102" s="7" t="str">
        <f>_xlfn.XLOOKUP($E102,Tab_Def_Flows[Flow_Name],Tab_Def_Flows[Flow_ID],,0,1)</f>
        <v>F__</v>
      </c>
      <c r="K102" s="8"/>
      <c r="L102" s="17" t="str">
        <f t="shared" si="7"/>
        <v>TC_material_F__</v>
      </c>
      <c r="M102" s="144"/>
      <c r="N102" s="17" t="str">
        <f t="shared" si="8"/>
        <v>TC_WC_F__</v>
      </c>
      <c r="O102" s="144"/>
      <c r="P102" s="17" t="str">
        <f t="shared" si="9"/>
        <v>TC_DM_F__</v>
      </c>
      <c r="Q102" s="144"/>
      <c r="R102" s="17" t="str">
        <f t="shared" si="10"/>
        <v>TC_CC_F__</v>
      </c>
      <c r="S102" s="8"/>
      <c r="T102" s="15"/>
      <c r="U102" s="15"/>
      <c r="V102" s="15"/>
      <c r="W102" s="15"/>
      <c r="X102" s="15"/>
    </row>
    <row r="103" spans="1:24" x14ac:dyDescent="0.25">
      <c r="A103" s="146" t="b">
        <v>0</v>
      </c>
      <c r="B103" s="7">
        <f t="shared" si="11"/>
        <v>102</v>
      </c>
      <c r="C103" s="22" t="e">
        <f>_xlfn.XLOOKUP($D103,Tab_Def_Processes[Process_Name],Tab_Def_Processes[Process_ID],,0,)</f>
        <v>#N/A</v>
      </c>
      <c r="D103" s="142" t="s">
        <v>22</v>
      </c>
      <c r="E103" s="142" t="s">
        <v>22</v>
      </c>
      <c r="F103" s="22" t="e">
        <f>_xlfn.XLOOKUP($D103,Tab_Def_Processes[Process_Name],Tab_Def_Processes[Process_Logic],,0,)</f>
        <v>#N/A</v>
      </c>
      <c r="G103" s="22" t="e">
        <f>_xlfn.XLOOKUP($D103,Tab_Def_Processes[Process_Name],Tab_Def_Processes[TC_Configuration],,0,)</f>
        <v>#N/A</v>
      </c>
      <c r="H103" s="22" t="e">
        <f>_xlfn.XLOOKUP($D103,Tab_Def_Processes[Process_Name],Tab_Def_Processes[Stock_Configuration],,0,)</f>
        <v>#N/A</v>
      </c>
      <c r="I103" s="22" t="e">
        <f>_xlfn.XLOOKUP($D103,Tab_Def_Processes[Process_Name],Tab_Def_Processes[Outflow_count],,0,)</f>
        <v>#N/A</v>
      </c>
      <c r="J103" s="7" t="str">
        <f>_xlfn.XLOOKUP($E103,Tab_Def_Flows[Flow_Name],Tab_Def_Flows[Flow_ID],,0,1)</f>
        <v>F__</v>
      </c>
      <c r="K103" s="8"/>
      <c r="L103" s="17" t="str">
        <f t="shared" si="7"/>
        <v>TC_material_F__</v>
      </c>
      <c r="M103" s="144"/>
      <c r="N103" s="17" t="str">
        <f t="shared" si="8"/>
        <v>TC_WC_F__</v>
      </c>
      <c r="O103" s="144"/>
      <c r="P103" s="17" t="str">
        <f t="shared" si="9"/>
        <v>TC_DM_F__</v>
      </c>
      <c r="Q103" s="144"/>
      <c r="R103" s="17" t="str">
        <f t="shared" si="10"/>
        <v>TC_CC_F__</v>
      </c>
      <c r="S103" s="8"/>
      <c r="T103" s="15"/>
      <c r="U103" s="15"/>
      <c r="V103" s="15"/>
      <c r="W103" s="15"/>
      <c r="X103" s="15"/>
    </row>
    <row r="104" spans="1:24" x14ac:dyDescent="0.25">
      <c r="A104" s="146" t="b">
        <v>0</v>
      </c>
      <c r="B104" s="7">
        <f t="shared" si="11"/>
        <v>103</v>
      </c>
      <c r="C104" s="22" t="e">
        <f>_xlfn.XLOOKUP($D104,Tab_Def_Processes[Process_Name],Tab_Def_Processes[Process_ID],,0,)</f>
        <v>#N/A</v>
      </c>
      <c r="D104" s="142" t="s">
        <v>22</v>
      </c>
      <c r="E104" s="142" t="s">
        <v>22</v>
      </c>
      <c r="F104" s="22" t="e">
        <f>_xlfn.XLOOKUP($D104,Tab_Def_Processes[Process_Name],Tab_Def_Processes[Process_Logic],,0,)</f>
        <v>#N/A</v>
      </c>
      <c r="G104" s="22" t="e">
        <f>_xlfn.XLOOKUP($D104,Tab_Def_Processes[Process_Name],Tab_Def_Processes[TC_Configuration],,0,)</f>
        <v>#N/A</v>
      </c>
      <c r="H104" s="22" t="e">
        <f>_xlfn.XLOOKUP($D104,Tab_Def_Processes[Process_Name],Tab_Def_Processes[Stock_Configuration],,0,)</f>
        <v>#N/A</v>
      </c>
      <c r="I104" s="22" t="e">
        <f>_xlfn.XLOOKUP($D104,Tab_Def_Processes[Process_Name],Tab_Def_Processes[Outflow_count],,0,)</f>
        <v>#N/A</v>
      </c>
      <c r="J104" s="7" t="str">
        <f>_xlfn.XLOOKUP($E104,Tab_Def_Flows[Flow_Name],Tab_Def_Flows[Flow_ID],,0,1)</f>
        <v>F__</v>
      </c>
      <c r="K104" s="8"/>
      <c r="L104" s="17" t="str">
        <f t="shared" si="7"/>
        <v>TC_material_F__</v>
      </c>
      <c r="M104" s="144"/>
      <c r="N104" s="17" t="str">
        <f t="shared" si="8"/>
        <v>TC_WC_F__</v>
      </c>
      <c r="O104" s="144"/>
      <c r="P104" s="17" t="str">
        <f t="shared" si="9"/>
        <v>TC_DM_F__</v>
      </c>
      <c r="Q104" s="144"/>
      <c r="R104" s="17" t="str">
        <f t="shared" si="10"/>
        <v>TC_CC_F__</v>
      </c>
      <c r="S104" s="8"/>
      <c r="T104" s="15"/>
      <c r="U104" s="15"/>
      <c r="V104" s="15"/>
      <c r="W104" s="15"/>
      <c r="X104" s="15"/>
    </row>
    <row r="105" spans="1:24" x14ac:dyDescent="0.25">
      <c r="A105" s="146" t="b">
        <v>0</v>
      </c>
      <c r="B105" s="7">
        <f t="shared" si="11"/>
        <v>104</v>
      </c>
      <c r="C105" s="22" t="e">
        <f>_xlfn.XLOOKUP($D105,Tab_Def_Processes[Process_Name],Tab_Def_Processes[Process_ID],,0,)</f>
        <v>#N/A</v>
      </c>
      <c r="D105" s="142" t="s">
        <v>22</v>
      </c>
      <c r="E105" s="142" t="s">
        <v>22</v>
      </c>
      <c r="F105" s="22" t="e">
        <f>_xlfn.XLOOKUP($D105,Tab_Def_Processes[Process_Name],Tab_Def_Processes[Process_Logic],,0,)</f>
        <v>#N/A</v>
      </c>
      <c r="G105" s="22" t="e">
        <f>_xlfn.XLOOKUP($D105,Tab_Def_Processes[Process_Name],Tab_Def_Processes[TC_Configuration],,0,)</f>
        <v>#N/A</v>
      </c>
      <c r="H105" s="22" t="e">
        <f>_xlfn.XLOOKUP($D105,Tab_Def_Processes[Process_Name],Tab_Def_Processes[Stock_Configuration],,0,)</f>
        <v>#N/A</v>
      </c>
      <c r="I105" s="22" t="e">
        <f>_xlfn.XLOOKUP($D105,Tab_Def_Processes[Process_Name],Tab_Def_Processes[Outflow_count],,0,)</f>
        <v>#N/A</v>
      </c>
      <c r="J105" s="7" t="str">
        <f>_xlfn.XLOOKUP($E105,Tab_Def_Flows[Flow_Name],Tab_Def_Flows[Flow_ID],,0,1)</f>
        <v>F__</v>
      </c>
      <c r="K105" s="8"/>
      <c r="L105" s="17" t="str">
        <f t="shared" si="7"/>
        <v>TC_material_F__</v>
      </c>
      <c r="M105" s="144"/>
      <c r="N105" s="17" t="str">
        <f t="shared" si="8"/>
        <v>TC_WC_F__</v>
      </c>
      <c r="O105" s="144"/>
      <c r="P105" s="17" t="str">
        <f t="shared" si="9"/>
        <v>TC_DM_F__</v>
      </c>
      <c r="Q105" s="144"/>
      <c r="R105" s="17" t="str">
        <f t="shared" si="10"/>
        <v>TC_CC_F__</v>
      </c>
      <c r="S105" s="8"/>
      <c r="T105" s="15"/>
      <c r="U105" s="15"/>
      <c r="V105" s="15"/>
      <c r="W105" s="15"/>
      <c r="X105" s="15"/>
    </row>
    <row r="106" spans="1:24" x14ac:dyDescent="0.25">
      <c r="A106" s="146" t="b">
        <v>0</v>
      </c>
      <c r="B106" s="7">
        <f t="shared" si="11"/>
        <v>105</v>
      </c>
      <c r="C106" s="22" t="e">
        <f>_xlfn.XLOOKUP($D106,Tab_Def_Processes[Process_Name],Tab_Def_Processes[Process_ID],,0,)</f>
        <v>#N/A</v>
      </c>
      <c r="D106" s="142" t="s">
        <v>22</v>
      </c>
      <c r="E106" s="142" t="s">
        <v>22</v>
      </c>
      <c r="F106" s="22" t="e">
        <f>_xlfn.XLOOKUP($D106,Tab_Def_Processes[Process_Name],Tab_Def_Processes[Process_Logic],,0,)</f>
        <v>#N/A</v>
      </c>
      <c r="G106" s="22" t="e">
        <f>_xlfn.XLOOKUP($D106,Tab_Def_Processes[Process_Name],Tab_Def_Processes[TC_Configuration],,0,)</f>
        <v>#N/A</v>
      </c>
      <c r="H106" s="22" t="e">
        <f>_xlfn.XLOOKUP($D106,Tab_Def_Processes[Process_Name],Tab_Def_Processes[Stock_Configuration],,0,)</f>
        <v>#N/A</v>
      </c>
      <c r="I106" s="22" t="e">
        <f>_xlfn.XLOOKUP($D106,Tab_Def_Processes[Process_Name],Tab_Def_Processes[Outflow_count],,0,)</f>
        <v>#N/A</v>
      </c>
      <c r="J106" s="7" t="str">
        <f>_xlfn.XLOOKUP($E106,Tab_Def_Flows[Flow_Name],Tab_Def_Flows[Flow_ID],,0,1)</f>
        <v>F__</v>
      </c>
      <c r="K106" s="8"/>
      <c r="L106" s="17" t="str">
        <f t="shared" si="7"/>
        <v>TC_material_F__</v>
      </c>
      <c r="M106" s="144"/>
      <c r="N106" s="17" t="str">
        <f t="shared" si="8"/>
        <v>TC_WC_F__</v>
      </c>
      <c r="O106" s="144"/>
      <c r="P106" s="17" t="str">
        <f t="shared" si="9"/>
        <v>TC_DM_F__</v>
      </c>
      <c r="Q106" s="144"/>
      <c r="R106" s="17" t="str">
        <f t="shared" si="10"/>
        <v>TC_CC_F__</v>
      </c>
      <c r="S106" s="8"/>
      <c r="T106" s="15"/>
      <c r="U106" s="15"/>
      <c r="V106" s="15"/>
      <c r="W106" s="15"/>
      <c r="X106" s="15"/>
    </row>
    <row r="107" spans="1:24" x14ac:dyDescent="0.25">
      <c r="A107" s="146" t="b">
        <v>0</v>
      </c>
      <c r="B107" s="7">
        <f t="shared" si="11"/>
        <v>106</v>
      </c>
      <c r="C107" s="22" t="e">
        <f>_xlfn.XLOOKUP($D107,Tab_Def_Processes[Process_Name],Tab_Def_Processes[Process_ID],,0,)</f>
        <v>#N/A</v>
      </c>
      <c r="D107" s="142" t="s">
        <v>22</v>
      </c>
      <c r="E107" s="142" t="s">
        <v>22</v>
      </c>
      <c r="F107" s="22" t="e">
        <f>_xlfn.XLOOKUP($D107,Tab_Def_Processes[Process_Name],Tab_Def_Processes[Process_Logic],,0,)</f>
        <v>#N/A</v>
      </c>
      <c r="G107" s="22" t="e">
        <f>_xlfn.XLOOKUP($D107,Tab_Def_Processes[Process_Name],Tab_Def_Processes[TC_Configuration],,0,)</f>
        <v>#N/A</v>
      </c>
      <c r="H107" s="22" t="e">
        <f>_xlfn.XLOOKUP($D107,Tab_Def_Processes[Process_Name],Tab_Def_Processes[Stock_Configuration],,0,)</f>
        <v>#N/A</v>
      </c>
      <c r="I107" s="22" t="e">
        <f>_xlfn.XLOOKUP($D107,Tab_Def_Processes[Process_Name],Tab_Def_Processes[Outflow_count],,0,)</f>
        <v>#N/A</v>
      </c>
      <c r="J107" s="7" t="str">
        <f>_xlfn.XLOOKUP($E107,Tab_Def_Flows[Flow_Name],Tab_Def_Flows[Flow_ID],,0,1)</f>
        <v>F__</v>
      </c>
      <c r="K107" s="8"/>
      <c r="L107" s="17" t="str">
        <f t="shared" si="7"/>
        <v>TC_material_F__</v>
      </c>
      <c r="M107" s="144"/>
      <c r="N107" s="17" t="str">
        <f t="shared" si="8"/>
        <v>TC_WC_F__</v>
      </c>
      <c r="O107" s="144"/>
      <c r="P107" s="17" t="str">
        <f t="shared" si="9"/>
        <v>TC_DM_F__</v>
      </c>
      <c r="Q107" s="144"/>
      <c r="R107" s="17" t="str">
        <f t="shared" si="10"/>
        <v>TC_CC_F__</v>
      </c>
      <c r="S107" s="8"/>
      <c r="T107" s="15"/>
      <c r="U107" s="15"/>
      <c r="V107" s="15"/>
      <c r="W107" s="15"/>
      <c r="X107" s="15"/>
    </row>
    <row r="108" spans="1:24" x14ac:dyDescent="0.25">
      <c r="A108" s="146" t="b">
        <v>0</v>
      </c>
      <c r="B108" s="7">
        <f t="shared" si="11"/>
        <v>107</v>
      </c>
      <c r="C108" s="22" t="e">
        <f>_xlfn.XLOOKUP($D108,Tab_Def_Processes[Process_Name],Tab_Def_Processes[Process_ID],,0,)</f>
        <v>#N/A</v>
      </c>
      <c r="D108" s="142" t="s">
        <v>22</v>
      </c>
      <c r="E108" s="142" t="s">
        <v>22</v>
      </c>
      <c r="F108" s="22" t="e">
        <f>_xlfn.XLOOKUP($D108,Tab_Def_Processes[Process_Name],Tab_Def_Processes[Process_Logic],,0,)</f>
        <v>#N/A</v>
      </c>
      <c r="G108" s="22" t="e">
        <f>_xlfn.XLOOKUP($D108,Tab_Def_Processes[Process_Name],Tab_Def_Processes[TC_Configuration],,0,)</f>
        <v>#N/A</v>
      </c>
      <c r="H108" s="22" t="e">
        <f>_xlfn.XLOOKUP($D108,Tab_Def_Processes[Process_Name],Tab_Def_Processes[Stock_Configuration],,0,)</f>
        <v>#N/A</v>
      </c>
      <c r="I108" s="22" t="e">
        <f>_xlfn.XLOOKUP($D108,Tab_Def_Processes[Process_Name],Tab_Def_Processes[Outflow_count],,0,)</f>
        <v>#N/A</v>
      </c>
      <c r="J108" s="7" t="str">
        <f>_xlfn.XLOOKUP($E108,Tab_Def_Flows[Flow_Name],Tab_Def_Flows[Flow_ID],,0,1)</f>
        <v>F__</v>
      </c>
      <c r="K108" s="8"/>
      <c r="L108" s="17" t="str">
        <f t="shared" si="7"/>
        <v>TC_material_F__</v>
      </c>
      <c r="M108" s="144"/>
      <c r="N108" s="17" t="str">
        <f t="shared" si="8"/>
        <v>TC_WC_F__</v>
      </c>
      <c r="O108" s="144"/>
      <c r="P108" s="17" t="str">
        <f t="shared" si="9"/>
        <v>TC_DM_F__</v>
      </c>
      <c r="Q108" s="144"/>
      <c r="R108" s="17" t="str">
        <f t="shared" si="10"/>
        <v>TC_CC_F__</v>
      </c>
      <c r="S108" s="8"/>
      <c r="T108" s="15"/>
      <c r="U108" s="15"/>
      <c r="V108" s="15"/>
      <c r="W108" s="15"/>
      <c r="X108" s="15"/>
    </row>
    <row r="109" spans="1:24" x14ac:dyDescent="0.25">
      <c r="A109" s="146" t="b">
        <v>0</v>
      </c>
      <c r="B109" s="7">
        <f t="shared" si="11"/>
        <v>108</v>
      </c>
      <c r="C109" s="22" t="e">
        <f>_xlfn.XLOOKUP($D109,Tab_Def_Processes[Process_Name],Tab_Def_Processes[Process_ID],,0,)</f>
        <v>#N/A</v>
      </c>
      <c r="D109" s="142" t="s">
        <v>22</v>
      </c>
      <c r="E109" s="142" t="s">
        <v>22</v>
      </c>
      <c r="F109" s="22" t="e">
        <f>_xlfn.XLOOKUP($D109,Tab_Def_Processes[Process_Name],Tab_Def_Processes[Process_Logic],,0,)</f>
        <v>#N/A</v>
      </c>
      <c r="G109" s="22" t="e">
        <f>_xlfn.XLOOKUP($D109,Tab_Def_Processes[Process_Name],Tab_Def_Processes[TC_Configuration],,0,)</f>
        <v>#N/A</v>
      </c>
      <c r="H109" s="22" t="e">
        <f>_xlfn.XLOOKUP($D109,Tab_Def_Processes[Process_Name],Tab_Def_Processes[Stock_Configuration],,0,)</f>
        <v>#N/A</v>
      </c>
      <c r="I109" s="22" t="e">
        <f>_xlfn.XLOOKUP($D109,Tab_Def_Processes[Process_Name],Tab_Def_Processes[Outflow_count],,0,)</f>
        <v>#N/A</v>
      </c>
      <c r="J109" s="7" t="str">
        <f>_xlfn.XLOOKUP($E109,Tab_Def_Flows[Flow_Name],Tab_Def_Flows[Flow_ID],,0,1)</f>
        <v>F__</v>
      </c>
      <c r="K109" s="8"/>
      <c r="L109" s="17" t="str">
        <f t="shared" si="7"/>
        <v>TC_material_F__</v>
      </c>
      <c r="M109" s="144"/>
      <c r="N109" s="17" t="str">
        <f t="shared" si="8"/>
        <v>TC_WC_F__</v>
      </c>
      <c r="O109" s="144"/>
      <c r="P109" s="17" t="str">
        <f t="shared" si="9"/>
        <v>TC_DM_F__</v>
      </c>
      <c r="Q109" s="144"/>
      <c r="R109" s="17" t="str">
        <f t="shared" si="10"/>
        <v>TC_CC_F__</v>
      </c>
      <c r="S109" s="8"/>
      <c r="T109" s="15"/>
      <c r="U109" s="15"/>
      <c r="V109" s="15"/>
      <c r="W109" s="15"/>
      <c r="X109" s="15"/>
    </row>
    <row r="110" spans="1:24" x14ac:dyDescent="0.25">
      <c r="A110" s="146" t="b">
        <v>0</v>
      </c>
      <c r="B110" s="7">
        <f t="shared" si="11"/>
        <v>109</v>
      </c>
      <c r="C110" s="22" t="e">
        <f>_xlfn.XLOOKUP($D110,Tab_Def_Processes[Process_Name],Tab_Def_Processes[Process_ID],,0,)</f>
        <v>#N/A</v>
      </c>
      <c r="D110" s="142" t="s">
        <v>22</v>
      </c>
      <c r="E110" s="142" t="s">
        <v>22</v>
      </c>
      <c r="F110" s="22" t="e">
        <f>_xlfn.XLOOKUP($D110,Tab_Def_Processes[Process_Name],Tab_Def_Processes[Process_Logic],,0,)</f>
        <v>#N/A</v>
      </c>
      <c r="G110" s="22" t="e">
        <f>_xlfn.XLOOKUP($D110,Tab_Def_Processes[Process_Name],Tab_Def_Processes[TC_Configuration],,0,)</f>
        <v>#N/A</v>
      </c>
      <c r="H110" s="22" t="e">
        <f>_xlfn.XLOOKUP($D110,Tab_Def_Processes[Process_Name],Tab_Def_Processes[Stock_Configuration],,0,)</f>
        <v>#N/A</v>
      </c>
      <c r="I110" s="22" t="e">
        <f>_xlfn.XLOOKUP($D110,Tab_Def_Processes[Process_Name],Tab_Def_Processes[Outflow_count],,0,)</f>
        <v>#N/A</v>
      </c>
      <c r="J110" s="7" t="str">
        <f>_xlfn.XLOOKUP($E110,Tab_Def_Flows[Flow_Name],Tab_Def_Flows[Flow_ID],,0,1)</f>
        <v>F__</v>
      </c>
      <c r="K110" s="8"/>
      <c r="L110" s="17" t="str">
        <f t="shared" si="7"/>
        <v>TC_material_F__</v>
      </c>
      <c r="M110" s="144"/>
      <c r="N110" s="17" t="str">
        <f t="shared" si="8"/>
        <v>TC_WC_F__</v>
      </c>
      <c r="O110" s="144"/>
      <c r="P110" s="17" t="str">
        <f t="shared" si="9"/>
        <v>TC_DM_F__</v>
      </c>
      <c r="Q110" s="144"/>
      <c r="R110" s="17" t="str">
        <f t="shared" si="10"/>
        <v>TC_CC_F__</v>
      </c>
      <c r="S110" s="8"/>
      <c r="T110" s="15"/>
      <c r="U110" s="15"/>
      <c r="V110" s="15"/>
      <c r="W110" s="15"/>
      <c r="X110" s="15"/>
    </row>
    <row r="111" spans="1:24" x14ac:dyDescent="0.25">
      <c r="A111" s="146" t="b">
        <v>0</v>
      </c>
      <c r="B111" s="7">
        <f t="shared" si="11"/>
        <v>110</v>
      </c>
      <c r="C111" s="22" t="e">
        <f>_xlfn.XLOOKUP($D111,Tab_Def_Processes[Process_Name],Tab_Def_Processes[Process_ID],,0,)</f>
        <v>#N/A</v>
      </c>
      <c r="D111" s="142" t="s">
        <v>22</v>
      </c>
      <c r="E111" s="142" t="s">
        <v>22</v>
      </c>
      <c r="F111" s="22" t="e">
        <f>_xlfn.XLOOKUP($D111,Tab_Def_Processes[Process_Name],Tab_Def_Processes[Process_Logic],,0,)</f>
        <v>#N/A</v>
      </c>
      <c r="G111" s="22" t="e">
        <f>_xlfn.XLOOKUP($D111,Tab_Def_Processes[Process_Name],Tab_Def_Processes[TC_Configuration],,0,)</f>
        <v>#N/A</v>
      </c>
      <c r="H111" s="22" t="e">
        <f>_xlfn.XLOOKUP($D111,Tab_Def_Processes[Process_Name],Tab_Def_Processes[Stock_Configuration],,0,)</f>
        <v>#N/A</v>
      </c>
      <c r="I111" s="22" t="e">
        <f>_xlfn.XLOOKUP($D111,Tab_Def_Processes[Process_Name],Tab_Def_Processes[Outflow_count],,0,)</f>
        <v>#N/A</v>
      </c>
      <c r="J111" s="7" t="str">
        <f>_xlfn.XLOOKUP($E111,Tab_Def_Flows[Flow_Name],Tab_Def_Flows[Flow_ID],,0,1)</f>
        <v>F__</v>
      </c>
      <c r="K111" s="8"/>
      <c r="L111" s="17" t="str">
        <f t="shared" si="7"/>
        <v>TC_material_F__</v>
      </c>
      <c r="M111" s="144"/>
      <c r="N111" s="17" t="str">
        <f t="shared" si="8"/>
        <v>TC_WC_F__</v>
      </c>
      <c r="O111" s="144"/>
      <c r="P111" s="17" t="str">
        <f t="shared" si="9"/>
        <v>TC_DM_F__</v>
      </c>
      <c r="Q111" s="144"/>
      <c r="R111" s="17" t="str">
        <f t="shared" si="10"/>
        <v>TC_CC_F__</v>
      </c>
      <c r="S111" s="8"/>
      <c r="T111" s="15"/>
      <c r="U111" s="15"/>
      <c r="V111" s="15"/>
      <c r="W111" s="15"/>
      <c r="X111" s="15"/>
    </row>
    <row r="112" spans="1:24" x14ac:dyDescent="0.25">
      <c r="A112" s="146" t="b">
        <v>0</v>
      </c>
      <c r="B112" s="7">
        <f t="shared" si="11"/>
        <v>111</v>
      </c>
      <c r="C112" s="22" t="e">
        <f>_xlfn.XLOOKUP($D112,Tab_Def_Processes[Process_Name],Tab_Def_Processes[Process_ID],,0,)</f>
        <v>#N/A</v>
      </c>
      <c r="D112" s="142" t="s">
        <v>22</v>
      </c>
      <c r="E112" s="142" t="s">
        <v>22</v>
      </c>
      <c r="F112" s="22" t="e">
        <f>_xlfn.XLOOKUP($D112,Tab_Def_Processes[Process_Name],Tab_Def_Processes[Process_Logic],,0,)</f>
        <v>#N/A</v>
      </c>
      <c r="G112" s="22" t="e">
        <f>_xlfn.XLOOKUP($D112,Tab_Def_Processes[Process_Name],Tab_Def_Processes[TC_Configuration],,0,)</f>
        <v>#N/A</v>
      </c>
      <c r="H112" s="22" t="e">
        <f>_xlfn.XLOOKUP($D112,Tab_Def_Processes[Process_Name],Tab_Def_Processes[Stock_Configuration],,0,)</f>
        <v>#N/A</v>
      </c>
      <c r="I112" s="22" t="e">
        <f>_xlfn.XLOOKUP($D112,Tab_Def_Processes[Process_Name],Tab_Def_Processes[Outflow_count],,0,)</f>
        <v>#N/A</v>
      </c>
      <c r="J112" s="7" t="str">
        <f>_xlfn.XLOOKUP($E112,Tab_Def_Flows[Flow_Name],Tab_Def_Flows[Flow_ID],,0,1)</f>
        <v>F__</v>
      </c>
      <c r="K112" s="8"/>
      <c r="L112" s="17" t="str">
        <f t="shared" si="7"/>
        <v>TC_material_F__</v>
      </c>
      <c r="M112" s="144"/>
      <c r="N112" s="17" t="str">
        <f t="shared" si="8"/>
        <v>TC_WC_F__</v>
      </c>
      <c r="O112" s="144"/>
      <c r="P112" s="17" t="str">
        <f t="shared" si="9"/>
        <v>TC_DM_F__</v>
      </c>
      <c r="Q112" s="144"/>
      <c r="R112" s="17" t="str">
        <f t="shared" si="10"/>
        <v>TC_CC_F__</v>
      </c>
      <c r="S112" s="8"/>
      <c r="T112" s="15"/>
      <c r="U112" s="15"/>
      <c r="V112" s="15"/>
      <c r="W112" s="15"/>
      <c r="X112" s="15"/>
    </row>
    <row r="113" spans="1:24" x14ac:dyDescent="0.25">
      <c r="A113" s="146" t="b">
        <v>0</v>
      </c>
      <c r="B113" s="7">
        <f t="shared" si="11"/>
        <v>112</v>
      </c>
      <c r="C113" s="22" t="e">
        <f>_xlfn.XLOOKUP($D113,Tab_Def_Processes[Process_Name],Tab_Def_Processes[Process_ID],,0,)</f>
        <v>#N/A</v>
      </c>
      <c r="D113" s="142" t="s">
        <v>22</v>
      </c>
      <c r="E113" s="142" t="s">
        <v>22</v>
      </c>
      <c r="F113" s="22" t="e">
        <f>_xlfn.XLOOKUP($D113,Tab_Def_Processes[Process_Name],Tab_Def_Processes[Process_Logic],,0,)</f>
        <v>#N/A</v>
      </c>
      <c r="G113" s="22" t="e">
        <f>_xlfn.XLOOKUP($D113,Tab_Def_Processes[Process_Name],Tab_Def_Processes[TC_Configuration],,0,)</f>
        <v>#N/A</v>
      </c>
      <c r="H113" s="22" t="e">
        <f>_xlfn.XLOOKUP($D113,Tab_Def_Processes[Process_Name],Tab_Def_Processes[Stock_Configuration],,0,)</f>
        <v>#N/A</v>
      </c>
      <c r="I113" s="22" t="e">
        <f>_xlfn.XLOOKUP($D113,Tab_Def_Processes[Process_Name],Tab_Def_Processes[Outflow_count],,0,)</f>
        <v>#N/A</v>
      </c>
      <c r="J113" s="7" t="str">
        <f>_xlfn.XLOOKUP($E113,Tab_Def_Flows[Flow_Name],Tab_Def_Flows[Flow_ID],,0,1)</f>
        <v>F__</v>
      </c>
      <c r="K113" s="8"/>
      <c r="L113" s="17" t="str">
        <f t="shared" si="7"/>
        <v>TC_material_F__</v>
      </c>
      <c r="M113" s="144"/>
      <c r="N113" s="17" t="str">
        <f t="shared" si="8"/>
        <v>TC_WC_F__</v>
      </c>
      <c r="O113" s="144"/>
      <c r="P113" s="17" t="str">
        <f t="shared" si="9"/>
        <v>TC_DM_F__</v>
      </c>
      <c r="Q113" s="144"/>
      <c r="R113" s="17" t="str">
        <f t="shared" si="10"/>
        <v>TC_CC_F__</v>
      </c>
      <c r="S113" s="8"/>
      <c r="T113" s="15"/>
      <c r="U113" s="15"/>
      <c r="V113" s="15"/>
      <c r="W113" s="15"/>
      <c r="X113" s="15"/>
    </row>
    <row r="114" spans="1:24" x14ac:dyDescent="0.25">
      <c r="A114" s="146" t="b">
        <v>0</v>
      </c>
      <c r="B114" s="7">
        <f t="shared" si="11"/>
        <v>113</v>
      </c>
      <c r="C114" s="22" t="e">
        <f>_xlfn.XLOOKUP($D114,Tab_Def_Processes[Process_Name],Tab_Def_Processes[Process_ID],,0,)</f>
        <v>#N/A</v>
      </c>
      <c r="D114" s="142" t="s">
        <v>22</v>
      </c>
      <c r="E114" s="142" t="s">
        <v>22</v>
      </c>
      <c r="F114" s="22" t="e">
        <f>_xlfn.XLOOKUP($D114,Tab_Def_Processes[Process_Name],Tab_Def_Processes[Process_Logic],,0,)</f>
        <v>#N/A</v>
      </c>
      <c r="G114" s="22" t="e">
        <f>_xlfn.XLOOKUP($D114,Tab_Def_Processes[Process_Name],Tab_Def_Processes[TC_Configuration],,0,)</f>
        <v>#N/A</v>
      </c>
      <c r="H114" s="22" t="e">
        <f>_xlfn.XLOOKUP($D114,Tab_Def_Processes[Process_Name],Tab_Def_Processes[Stock_Configuration],,0,)</f>
        <v>#N/A</v>
      </c>
      <c r="I114" s="22" t="e">
        <f>_xlfn.XLOOKUP($D114,Tab_Def_Processes[Process_Name],Tab_Def_Processes[Outflow_count],,0,)</f>
        <v>#N/A</v>
      </c>
      <c r="J114" s="7" t="str">
        <f>_xlfn.XLOOKUP($E114,Tab_Def_Flows[Flow_Name],Tab_Def_Flows[Flow_ID],,0,1)</f>
        <v>F__</v>
      </c>
      <c r="K114" s="8"/>
      <c r="L114" s="17" t="str">
        <f t="shared" si="7"/>
        <v>TC_material_F__</v>
      </c>
      <c r="M114" s="144"/>
      <c r="N114" s="17" t="str">
        <f t="shared" si="8"/>
        <v>TC_WC_F__</v>
      </c>
      <c r="O114" s="144"/>
      <c r="P114" s="17" t="str">
        <f t="shared" si="9"/>
        <v>TC_DM_F__</v>
      </c>
      <c r="Q114" s="144"/>
      <c r="R114" s="17" t="str">
        <f t="shared" si="10"/>
        <v>TC_CC_F__</v>
      </c>
      <c r="S114" s="8"/>
      <c r="T114" s="15"/>
      <c r="U114" s="15"/>
      <c r="V114" s="15"/>
      <c r="W114" s="15"/>
      <c r="X114" s="15"/>
    </row>
    <row r="115" spans="1:24" x14ac:dyDescent="0.25">
      <c r="A115" s="146" t="b">
        <v>0</v>
      </c>
      <c r="B115" s="7">
        <f t="shared" si="11"/>
        <v>114</v>
      </c>
      <c r="C115" s="22" t="e">
        <f>_xlfn.XLOOKUP($D115,Tab_Def_Processes[Process_Name],Tab_Def_Processes[Process_ID],,0,)</f>
        <v>#N/A</v>
      </c>
      <c r="D115" s="142" t="s">
        <v>22</v>
      </c>
      <c r="E115" s="142" t="s">
        <v>22</v>
      </c>
      <c r="F115" s="22" t="e">
        <f>_xlfn.XLOOKUP($D115,Tab_Def_Processes[Process_Name],Tab_Def_Processes[Process_Logic],,0,)</f>
        <v>#N/A</v>
      </c>
      <c r="G115" s="22" t="e">
        <f>_xlfn.XLOOKUP($D115,Tab_Def_Processes[Process_Name],Tab_Def_Processes[TC_Configuration],,0,)</f>
        <v>#N/A</v>
      </c>
      <c r="H115" s="22" t="e">
        <f>_xlfn.XLOOKUP($D115,Tab_Def_Processes[Process_Name],Tab_Def_Processes[Stock_Configuration],,0,)</f>
        <v>#N/A</v>
      </c>
      <c r="I115" s="22" t="e">
        <f>_xlfn.XLOOKUP($D115,Tab_Def_Processes[Process_Name],Tab_Def_Processes[Outflow_count],,0,)</f>
        <v>#N/A</v>
      </c>
      <c r="J115" s="7" t="str">
        <f>_xlfn.XLOOKUP($E115,Tab_Def_Flows[Flow_Name],Tab_Def_Flows[Flow_ID],,0,1)</f>
        <v>F__</v>
      </c>
      <c r="K115" s="8"/>
      <c r="L115" s="17" t="str">
        <f t="shared" si="7"/>
        <v>TC_material_F__</v>
      </c>
      <c r="M115" s="144"/>
      <c r="N115" s="17" t="str">
        <f t="shared" si="8"/>
        <v>TC_WC_F__</v>
      </c>
      <c r="O115" s="144"/>
      <c r="P115" s="17" t="str">
        <f t="shared" si="9"/>
        <v>TC_DM_F__</v>
      </c>
      <c r="Q115" s="144"/>
      <c r="R115" s="17" t="str">
        <f t="shared" si="10"/>
        <v>TC_CC_F__</v>
      </c>
      <c r="S115" s="8"/>
      <c r="T115" s="15"/>
      <c r="U115" s="15"/>
      <c r="V115" s="15"/>
      <c r="W115" s="15"/>
      <c r="X115" s="15"/>
    </row>
    <row r="116" spans="1:24" x14ac:dyDescent="0.25">
      <c r="A116" s="146" t="b">
        <v>0</v>
      </c>
      <c r="B116" s="7">
        <f t="shared" si="11"/>
        <v>115</v>
      </c>
      <c r="C116" s="22" t="e">
        <f>_xlfn.XLOOKUP($D116,Tab_Def_Processes[Process_Name],Tab_Def_Processes[Process_ID],,0,)</f>
        <v>#N/A</v>
      </c>
      <c r="D116" s="142" t="s">
        <v>22</v>
      </c>
      <c r="E116" s="142" t="s">
        <v>22</v>
      </c>
      <c r="F116" s="22" t="e">
        <f>_xlfn.XLOOKUP($D116,Tab_Def_Processes[Process_Name],Tab_Def_Processes[Process_Logic],,0,)</f>
        <v>#N/A</v>
      </c>
      <c r="G116" s="22" t="e">
        <f>_xlfn.XLOOKUP($D116,Tab_Def_Processes[Process_Name],Tab_Def_Processes[TC_Configuration],,0,)</f>
        <v>#N/A</v>
      </c>
      <c r="H116" s="22" t="e">
        <f>_xlfn.XLOOKUP($D116,Tab_Def_Processes[Process_Name],Tab_Def_Processes[Stock_Configuration],,0,)</f>
        <v>#N/A</v>
      </c>
      <c r="I116" s="22" t="e">
        <f>_xlfn.XLOOKUP($D116,Tab_Def_Processes[Process_Name],Tab_Def_Processes[Outflow_count],,0,)</f>
        <v>#N/A</v>
      </c>
      <c r="J116" s="7" t="str">
        <f>_xlfn.XLOOKUP($E116,Tab_Def_Flows[Flow_Name],Tab_Def_Flows[Flow_ID],,0,1)</f>
        <v>F__</v>
      </c>
      <c r="K116" s="8"/>
      <c r="L116" s="17" t="str">
        <f t="shared" si="7"/>
        <v>TC_material_F__</v>
      </c>
      <c r="M116" s="144"/>
      <c r="N116" s="17" t="str">
        <f t="shared" si="8"/>
        <v>TC_WC_F__</v>
      </c>
      <c r="O116" s="144"/>
      <c r="P116" s="17" t="str">
        <f t="shared" si="9"/>
        <v>TC_DM_F__</v>
      </c>
      <c r="Q116" s="144"/>
      <c r="R116" s="17" t="str">
        <f t="shared" si="10"/>
        <v>TC_CC_F__</v>
      </c>
      <c r="S116" s="8"/>
      <c r="T116" s="15"/>
      <c r="U116" s="15"/>
      <c r="V116" s="15"/>
      <c r="W116" s="15"/>
      <c r="X116" s="15"/>
    </row>
    <row r="117" spans="1:24" x14ac:dyDescent="0.25">
      <c r="A117" s="146" t="b">
        <v>0</v>
      </c>
      <c r="B117" s="7">
        <f t="shared" si="11"/>
        <v>116</v>
      </c>
      <c r="C117" s="22" t="e">
        <f>_xlfn.XLOOKUP($D117,Tab_Def_Processes[Process_Name],Tab_Def_Processes[Process_ID],,0,)</f>
        <v>#N/A</v>
      </c>
      <c r="D117" s="142" t="s">
        <v>22</v>
      </c>
      <c r="E117" s="142" t="s">
        <v>22</v>
      </c>
      <c r="F117" s="22" t="e">
        <f>_xlfn.XLOOKUP($D117,Tab_Def_Processes[Process_Name],Tab_Def_Processes[Process_Logic],,0,)</f>
        <v>#N/A</v>
      </c>
      <c r="G117" s="22" t="e">
        <f>_xlfn.XLOOKUP($D117,Tab_Def_Processes[Process_Name],Tab_Def_Processes[TC_Configuration],,0,)</f>
        <v>#N/A</v>
      </c>
      <c r="H117" s="22" t="e">
        <f>_xlfn.XLOOKUP($D117,Tab_Def_Processes[Process_Name],Tab_Def_Processes[Stock_Configuration],,0,)</f>
        <v>#N/A</v>
      </c>
      <c r="I117" s="22" t="e">
        <f>_xlfn.XLOOKUP($D117,Tab_Def_Processes[Process_Name],Tab_Def_Processes[Outflow_count],,0,)</f>
        <v>#N/A</v>
      </c>
      <c r="J117" s="7" t="str">
        <f>_xlfn.XLOOKUP($E117,Tab_Def_Flows[Flow_Name],Tab_Def_Flows[Flow_ID],,0,1)</f>
        <v>F__</v>
      </c>
      <c r="K117" s="8"/>
      <c r="L117" s="17" t="str">
        <f t="shared" si="7"/>
        <v>TC_material_F__</v>
      </c>
      <c r="M117" s="144"/>
      <c r="N117" s="17" t="str">
        <f t="shared" si="8"/>
        <v>TC_WC_F__</v>
      </c>
      <c r="O117" s="144"/>
      <c r="P117" s="17" t="str">
        <f t="shared" si="9"/>
        <v>TC_DM_F__</v>
      </c>
      <c r="Q117" s="144"/>
      <c r="R117" s="17" t="str">
        <f t="shared" si="10"/>
        <v>TC_CC_F__</v>
      </c>
      <c r="S117" s="8"/>
      <c r="T117" s="15"/>
      <c r="U117" s="15"/>
      <c r="V117" s="15"/>
      <c r="W117" s="15"/>
      <c r="X117" s="15"/>
    </row>
    <row r="118" spans="1:24" x14ac:dyDescent="0.25">
      <c r="A118" s="146" t="b">
        <v>0</v>
      </c>
      <c r="B118" s="7">
        <f t="shared" si="11"/>
        <v>117</v>
      </c>
      <c r="C118" s="22" t="e">
        <f>_xlfn.XLOOKUP($D118,Tab_Def_Processes[Process_Name],Tab_Def_Processes[Process_ID],,0,)</f>
        <v>#N/A</v>
      </c>
      <c r="D118" s="142" t="s">
        <v>22</v>
      </c>
      <c r="E118" s="142" t="s">
        <v>22</v>
      </c>
      <c r="F118" s="22" t="e">
        <f>_xlfn.XLOOKUP($D118,Tab_Def_Processes[Process_Name],Tab_Def_Processes[Process_Logic],,0,)</f>
        <v>#N/A</v>
      </c>
      <c r="G118" s="22" t="e">
        <f>_xlfn.XLOOKUP($D118,Tab_Def_Processes[Process_Name],Tab_Def_Processes[TC_Configuration],,0,)</f>
        <v>#N/A</v>
      </c>
      <c r="H118" s="22" t="e">
        <f>_xlfn.XLOOKUP($D118,Tab_Def_Processes[Process_Name],Tab_Def_Processes[Stock_Configuration],,0,)</f>
        <v>#N/A</v>
      </c>
      <c r="I118" s="22" t="e">
        <f>_xlfn.XLOOKUP($D118,Tab_Def_Processes[Process_Name],Tab_Def_Processes[Outflow_count],,0,)</f>
        <v>#N/A</v>
      </c>
      <c r="J118" s="7" t="str">
        <f>_xlfn.XLOOKUP($E118,Tab_Def_Flows[Flow_Name],Tab_Def_Flows[Flow_ID],,0,1)</f>
        <v>F__</v>
      </c>
      <c r="K118" s="8"/>
      <c r="L118" s="17" t="str">
        <f t="shared" si="7"/>
        <v>TC_material_F__</v>
      </c>
      <c r="M118" s="144"/>
      <c r="N118" s="17" t="str">
        <f t="shared" si="8"/>
        <v>TC_WC_F__</v>
      </c>
      <c r="O118" s="144"/>
      <c r="P118" s="17" t="str">
        <f t="shared" si="9"/>
        <v>TC_DM_F__</v>
      </c>
      <c r="Q118" s="144"/>
      <c r="R118" s="17" t="str">
        <f t="shared" si="10"/>
        <v>TC_CC_F__</v>
      </c>
      <c r="S118" s="8"/>
      <c r="T118" s="15"/>
      <c r="U118" s="15"/>
      <c r="V118" s="15"/>
      <c r="W118" s="15"/>
      <c r="X118" s="15"/>
    </row>
    <row r="119" spans="1:24" x14ac:dyDescent="0.25">
      <c r="A119" s="146" t="b">
        <v>0</v>
      </c>
      <c r="B119" s="7">
        <f t="shared" si="11"/>
        <v>118</v>
      </c>
      <c r="C119" s="22" t="e">
        <f>_xlfn.XLOOKUP($D119,Tab_Def_Processes[Process_Name],Tab_Def_Processes[Process_ID],,0,)</f>
        <v>#N/A</v>
      </c>
      <c r="D119" s="142" t="s">
        <v>22</v>
      </c>
      <c r="E119" s="142" t="s">
        <v>22</v>
      </c>
      <c r="F119" s="22" t="e">
        <f>_xlfn.XLOOKUP($D119,Tab_Def_Processes[Process_Name],Tab_Def_Processes[Process_Logic],,0,)</f>
        <v>#N/A</v>
      </c>
      <c r="G119" s="22" t="e">
        <f>_xlfn.XLOOKUP($D119,Tab_Def_Processes[Process_Name],Tab_Def_Processes[TC_Configuration],,0,)</f>
        <v>#N/A</v>
      </c>
      <c r="H119" s="22" t="e">
        <f>_xlfn.XLOOKUP($D119,Tab_Def_Processes[Process_Name],Tab_Def_Processes[Stock_Configuration],,0,)</f>
        <v>#N/A</v>
      </c>
      <c r="I119" s="22" t="e">
        <f>_xlfn.XLOOKUP($D119,Tab_Def_Processes[Process_Name],Tab_Def_Processes[Outflow_count],,0,)</f>
        <v>#N/A</v>
      </c>
      <c r="J119" s="7" t="str">
        <f>_xlfn.XLOOKUP($E119,Tab_Def_Flows[Flow_Name],Tab_Def_Flows[Flow_ID],,0,1)</f>
        <v>F__</v>
      </c>
      <c r="K119" s="8"/>
      <c r="L119" s="17" t="str">
        <f t="shared" si="7"/>
        <v>TC_material_F__</v>
      </c>
      <c r="M119" s="144"/>
      <c r="N119" s="17" t="str">
        <f t="shared" si="8"/>
        <v>TC_WC_F__</v>
      </c>
      <c r="O119" s="144"/>
      <c r="P119" s="17" t="str">
        <f t="shared" si="9"/>
        <v>TC_DM_F__</v>
      </c>
      <c r="Q119" s="144"/>
      <c r="R119" s="17" t="str">
        <f t="shared" si="10"/>
        <v>TC_CC_F__</v>
      </c>
      <c r="S119" s="8"/>
      <c r="T119" s="15"/>
      <c r="U119" s="15"/>
      <c r="V119" s="15"/>
      <c r="W119" s="15"/>
      <c r="X119" s="15"/>
    </row>
    <row r="120" spans="1:24" x14ac:dyDescent="0.25">
      <c r="A120" s="146" t="b">
        <v>0</v>
      </c>
      <c r="B120" s="7">
        <f t="shared" si="11"/>
        <v>119</v>
      </c>
      <c r="C120" s="22" t="e">
        <f>_xlfn.XLOOKUP($D120,Tab_Def_Processes[Process_Name],Tab_Def_Processes[Process_ID],,0,)</f>
        <v>#N/A</v>
      </c>
      <c r="D120" s="142" t="s">
        <v>22</v>
      </c>
      <c r="E120" s="142" t="s">
        <v>22</v>
      </c>
      <c r="F120" s="22" t="e">
        <f>_xlfn.XLOOKUP($D120,Tab_Def_Processes[Process_Name],Tab_Def_Processes[Process_Logic],,0,)</f>
        <v>#N/A</v>
      </c>
      <c r="G120" s="22" t="e">
        <f>_xlfn.XLOOKUP($D120,Tab_Def_Processes[Process_Name],Tab_Def_Processes[TC_Configuration],,0,)</f>
        <v>#N/A</v>
      </c>
      <c r="H120" s="22" t="e">
        <f>_xlfn.XLOOKUP($D120,Tab_Def_Processes[Process_Name],Tab_Def_Processes[Stock_Configuration],,0,)</f>
        <v>#N/A</v>
      </c>
      <c r="I120" s="22" t="e">
        <f>_xlfn.XLOOKUP($D120,Tab_Def_Processes[Process_Name],Tab_Def_Processes[Outflow_count],,0,)</f>
        <v>#N/A</v>
      </c>
      <c r="J120" s="7" t="str">
        <f>_xlfn.XLOOKUP($E120,Tab_Def_Flows[Flow_Name],Tab_Def_Flows[Flow_ID],,0,1)</f>
        <v>F__</v>
      </c>
      <c r="K120" s="8"/>
      <c r="L120" s="17" t="str">
        <f t="shared" si="7"/>
        <v>TC_material_F__</v>
      </c>
      <c r="M120" s="144"/>
      <c r="N120" s="17" t="str">
        <f t="shared" si="8"/>
        <v>TC_WC_F__</v>
      </c>
      <c r="O120" s="144"/>
      <c r="P120" s="17" t="str">
        <f t="shared" si="9"/>
        <v>TC_DM_F__</v>
      </c>
      <c r="Q120" s="144"/>
      <c r="R120" s="17" t="str">
        <f t="shared" si="10"/>
        <v>TC_CC_F__</v>
      </c>
      <c r="S120" s="8"/>
      <c r="T120" s="15"/>
      <c r="U120" s="15"/>
      <c r="V120" s="15"/>
      <c r="W120" s="15"/>
      <c r="X120" s="15"/>
    </row>
    <row r="121" spans="1:24" x14ac:dyDescent="0.25">
      <c r="A121" s="146" t="b">
        <v>0</v>
      </c>
      <c r="B121" s="7">
        <f t="shared" si="11"/>
        <v>120</v>
      </c>
      <c r="C121" s="22" t="e">
        <f>_xlfn.XLOOKUP($D121,Tab_Def_Processes[Process_Name],Tab_Def_Processes[Process_ID],,0,)</f>
        <v>#N/A</v>
      </c>
      <c r="D121" s="142" t="s">
        <v>22</v>
      </c>
      <c r="E121" s="142" t="s">
        <v>22</v>
      </c>
      <c r="F121" s="22" t="e">
        <f>_xlfn.XLOOKUP($D121,Tab_Def_Processes[Process_Name],Tab_Def_Processes[Process_Logic],,0,)</f>
        <v>#N/A</v>
      </c>
      <c r="G121" s="22" t="e">
        <f>_xlfn.XLOOKUP($D121,Tab_Def_Processes[Process_Name],Tab_Def_Processes[TC_Configuration],,0,)</f>
        <v>#N/A</v>
      </c>
      <c r="H121" s="22" t="e">
        <f>_xlfn.XLOOKUP($D121,Tab_Def_Processes[Process_Name],Tab_Def_Processes[Stock_Configuration],,0,)</f>
        <v>#N/A</v>
      </c>
      <c r="I121" s="22" t="e">
        <f>_xlfn.XLOOKUP($D121,Tab_Def_Processes[Process_Name],Tab_Def_Processes[Outflow_count],,0,)</f>
        <v>#N/A</v>
      </c>
      <c r="J121" s="7" t="str">
        <f>_xlfn.XLOOKUP($E121,Tab_Def_Flows[Flow_Name],Tab_Def_Flows[Flow_ID],,0,1)</f>
        <v>F__</v>
      </c>
      <c r="K121" s="8"/>
      <c r="L121" s="17" t="str">
        <f t="shared" si="7"/>
        <v>TC_material_F__</v>
      </c>
      <c r="M121" s="144"/>
      <c r="N121" s="17" t="str">
        <f t="shared" si="8"/>
        <v>TC_WC_F__</v>
      </c>
      <c r="O121" s="144"/>
      <c r="P121" s="17" t="str">
        <f t="shared" si="9"/>
        <v>TC_DM_F__</v>
      </c>
      <c r="Q121" s="144"/>
      <c r="R121" s="17" t="str">
        <f t="shared" si="10"/>
        <v>TC_CC_F__</v>
      </c>
      <c r="S121" s="8"/>
      <c r="T121" s="15"/>
      <c r="U121" s="15"/>
      <c r="V121" s="15"/>
      <c r="W121" s="15"/>
      <c r="X121" s="15"/>
    </row>
    <row r="122" spans="1:24" x14ac:dyDescent="0.25">
      <c r="A122" s="146" t="b">
        <v>0</v>
      </c>
      <c r="B122" s="7">
        <f t="shared" si="11"/>
        <v>121</v>
      </c>
      <c r="C122" s="22" t="e">
        <f>_xlfn.XLOOKUP($D122,Tab_Def_Processes[Process_Name],Tab_Def_Processes[Process_ID],,0,)</f>
        <v>#N/A</v>
      </c>
      <c r="D122" s="142" t="s">
        <v>22</v>
      </c>
      <c r="E122" s="142" t="s">
        <v>22</v>
      </c>
      <c r="F122" s="22" t="e">
        <f>_xlfn.XLOOKUP($D122,Tab_Def_Processes[Process_Name],Tab_Def_Processes[Process_Logic],,0,)</f>
        <v>#N/A</v>
      </c>
      <c r="G122" s="22" t="e">
        <f>_xlfn.XLOOKUP($D122,Tab_Def_Processes[Process_Name],Tab_Def_Processes[TC_Configuration],,0,)</f>
        <v>#N/A</v>
      </c>
      <c r="H122" s="22" t="e">
        <f>_xlfn.XLOOKUP($D122,Tab_Def_Processes[Process_Name],Tab_Def_Processes[Stock_Configuration],,0,)</f>
        <v>#N/A</v>
      </c>
      <c r="I122" s="22" t="e">
        <f>_xlfn.XLOOKUP($D122,Tab_Def_Processes[Process_Name],Tab_Def_Processes[Outflow_count],,0,)</f>
        <v>#N/A</v>
      </c>
      <c r="J122" s="7" t="str">
        <f>_xlfn.XLOOKUP($E122,Tab_Def_Flows[Flow_Name],Tab_Def_Flows[Flow_ID],,0,1)</f>
        <v>F__</v>
      </c>
      <c r="K122" s="8"/>
      <c r="L122" s="17" t="str">
        <f t="shared" si="7"/>
        <v>TC_material_F__</v>
      </c>
      <c r="M122" s="144"/>
      <c r="N122" s="17" t="str">
        <f t="shared" si="8"/>
        <v>TC_WC_F__</v>
      </c>
      <c r="O122" s="144"/>
      <c r="P122" s="17" t="str">
        <f t="shared" si="9"/>
        <v>TC_DM_F__</v>
      </c>
      <c r="Q122" s="144"/>
      <c r="R122" s="17" t="str">
        <f t="shared" si="10"/>
        <v>TC_CC_F__</v>
      </c>
      <c r="S122" s="8"/>
      <c r="T122" s="15"/>
      <c r="U122" s="15"/>
      <c r="V122" s="15"/>
      <c r="W122" s="15"/>
      <c r="X122" s="15"/>
    </row>
    <row r="123" spans="1:24" x14ac:dyDescent="0.25">
      <c r="A123" s="146" t="b">
        <v>0</v>
      </c>
      <c r="B123" s="7">
        <f t="shared" si="11"/>
        <v>122</v>
      </c>
      <c r="C123" s="22" t="e">
        <f>_xlfn.XLOOKUP($D123,Tab_Def_Processes[Process_Name],Tab_Def_Processes[Process_ID],,0,)</f>
        <v>#N/A</v>
      </c>
      <c r="D123" s="142" t="s">
        <v>22</v>
      </c>
      <c r="E123" s="142" t="s">
        <v>22</v>
      </c>
      <c r="F123" s="22" t="e">
        <f>_xlfn.XLOOKUP($D123,Tab_Def_Processes[Process_Name],Tab_Def_Processes[Process_Logic],,0,)</f>
        <v>#N/A</v>
      </c>
      <c r="G123" s="22" t="e">
        <f>_xlfn.XLOOKUP($D123,Tab_Def_Processes[Process_Name],Tab_Def_Processes[TC_Configuration],,0,)</f>
        <v>#N/A</v>
      </c>
      <c r="H123" s="22" t="e">
        <f>_xlfn.XLOOKUP($D123,Tab_Def_Processes[Process_Name],Tab_Def_Processes[Stock_Configuration],,0,)</f>
        <v>#N/A</v>
      </c>
      <c r="I123" s="22" t="e">
        <f>_xlfn.XLOOKUP($D123,Tab_Def_Processes[Process_Name],Tab_Def_Processes[Outflow_count],,0,)</f>
        <v>#N/A</v>
      </c>
      <c r="J123" s="7" t="str">
        <f>_xlfn.XLOOKUP($E123,Tab_Def_Flows[Flow_Name],Tab_Def_Flows[Flow_ID],,0,1)</f>
        <v>F__</v>
      </c>
      <c r="K123" s="8"/>
      <c r="L123" s="17" t="str">
        <f t="shared" si="7"/>
        <v>TC_material_F__</v>
      </c>
      <c r="M123" s="144"/>
      <c r="N123" s="17" t="str">
        <f t="shared" si="8"/>
        <v>TC_WC_F__</v>
      </c>
      <c r="O123" s="144"/>
      <c r="P123" s="17" t="str">
        <f t="shared" si="9"/>
        <v>TC_DM_F__</v>
      </c>
      <c r="Q123" s="144"/>
      <c r="R123" s="17" t="str">
        <f t="shared" si="10"/>
        <v>TC_CC_F__</v>
      </c>
      <c r="S123" s="8"/>
      <c r="T123" s="15"/>
      <c r="U123" s="15"/>
      <c r="V123" s="15"/>
      <c r="W123" s="15"/>
      <c r="X123" s="15"/>
    </row>
    <row r="124" spans="1:24" x14ac:dyDescent="0.25">
      <c r="A124" s="146" t="b">
        <v>0</v>
      </c>
      <c r="B124" s="7">
        <f t="shared" si="11"/>
        <v>123</v>
      </c>
      <c r="C124" s="22" t="e">
        <f>_xlfn.XLOOKUP($D124,Tab_Def_Processes[Process_Name],Tab_Def_Processes[Process_ID],,0,)</f>
        <v>#N/A</v>
      </c>
      <c r="D124" s="142" t="s">
        <v>22</v>
      </c>
      <c r="E124" s="142" t="s">
        <v>22</v>
      </c>
      <c r="F124" s="22" t="e">
        <f>_xlfn.XLOOKUP($D124,Tab_Def_Processes[Process_Name],Tab_Def_Processes[Process_Logic],,0,)</f>
        <v>#N/A</v>
      </c>
      <c r="G124" s="22" t="e">
        <f>_xlfn.XLOOKUP($D124,Tab_Def_Processes[Process_Name],Tab_Def_Processes[TC_Configuration],,0,)</f>
        <v>#N/A</v>
      </c>
      <c r="H124" s="22" t="e">
        <f>_xlfn.XLOOKUP($D124,Tab_Def_Processes[Process_Name],Tab_Def_Processes[Stock_Configuration],,0,)</f>
        <v>#N/A</v>
      </c>
      <c r="I124" s="22" t="e">
        <f>_xlfn.XLOOKUP($D124,Tab_Def_Processes[Process_Name],Tab_Def_Processes[Outflow_count],,0,)</f>
        <v>#N/A</v>
      </c>
      <c r="J124" s="7" t="str">
        <f>_xlfn.XLOOKUP($E124,Tab_Def_Flows[Flow_Name],Tab_Def_Flows[Flow_ID],,0,1)</f>
        <v>F__</v>
      </c>
      <c r="K124" s="8"/>
      <c r="L124" s="17" t="str">
        <f t="shared" si="7"/>
        <v>TC_material_F__</v>
      </c>
      <c r="M124" s="144"/>
      <c r="N124" s="17" t="str">
        <f t="shared" si="8"/>
        <v>TC_WC_F__</v>
      </c>
      <c r="O124" s="144"/>
      <c r="P124" s="17" t="str">
        <f t="shared" si="9"/>
        <v>TC_DM_F__</v>
      </c>
      <c r="Q124" s="144"/>
      <c r="R124" s="17" t="str">
        <f t="shared" si="10"/>
        <v>TC_CC_F__</v>
      </c>
      <c r="S124" s="8"/>
      <c r="T124" s="15"/>
      <c r="U124" s="15"/>
      <c r="V124" s="15"/>
      <c r="W124" s="15"/>
      <c r="X124" s="15"/>
    </row>
    <row r="125" spans="1:24" x14ac:dyDescent="0.25">
      <c r="A125" s="146" t="b">
        <v>0</v>
      </c>
      <c r="B125" s="7">
        <f t="shared" si="11"/>
        <v>124</v>
      </c>
      <c r="C125" s="22" t="e">
        <f>_xlfn.XLOOKUP($D125,Tab_Def_Processes[Process_Name],Tab_Def_Processes[Process_ID],,0,)</f>
        <v>#N/A</v>
      </c>
      <c r="D125" s="142" t="s">
        <v>22</v>
      </c>
      <c r="E125" s="142" t="s">
        <v>22</v>
      </c>
      <c r="F125" s="22" t="e">
        <f>_xlfn.XLOOKUP($D125,Tab_Def_Processes[Process_Name],Tab_Def_Processes[Process_Logic],,0,)</f>
        <v>#N/A</v>
      </c>
      <c r="G125" s="22" t="e">
        <f>_xlfn.XLOOKUP($D125,Tab_Def_Processes[Process_Name],Tab_Def_Processes[TC_Configuration],,0,)</f>
        <v>#N/A</v>
      </c>
      <c r="H125" s="22" t="e">
        <f>_xlfn.XLOOKUP($D125,Tab_Def_Processes[Process_Name],Tab_Def_Processes[Stock_Configuration],,0,)</f>
        <v>#N/A</v>
      </c>
      <c r="I125" s="22" t="e">
        <f>_xlfn.XLOOKUP($D125,Tab_Def_Processes[Process_Name],Tab_Def_Processes[Outflow_count],,0,)</f>
        <v>#N/A</v>
      </c>
      <c r="J125" s="7" t="str">
        <f>_xlfn.XLOOKUP($E125,Tab_Def_Flows[Flow_Name],Tab_Def_Flows[Flow_ID],,0,1)</f>
        <v>F__</v>
      </c>
      <c r="K125" s="8"/>
      <c r="L125" s="17" t="str">
        <f t="shared" si="7"/>
        <v>TC_material_F__</v>
      </c>
      <c r="M125" s="144"/>
      <c r="N125" s="17" t="str">
        <f t="shared" si="8"/>
        <v>TC_WC_F__</v>
      </c>
      <c r="O125" s="144"/>
      <c r="P125" s="17" t="str">
        <f t="shared" si="9"/>
        <v>TC_DM_F__</v>
      </c>
      <c r="Q125" s="144"/>
      <c r="R125" s="17" t="str">
        <f t="shared" si="10"/>
        <v>TC_CC_F__</v>
      </c>
      <c r="S125" s="8"/>
      <c r="T125" s="15"/>
      <c r="U125" s="15"/>
      <c r="V125" s="15"/>
      <c r="W125" s="15"/>
      <c r="X125" s="15"/>
    </row>
    <row r="126" spans="1:24" x14ac:dyDescent="0.25">
      <c r="A126" s="146" t="b">
        <v>0</v>
      </c>
      <c r="B126" s="7">
        <f t="shared" si="11"/>
        <v>125</v>
      </c>
      <c r="C126" s="22" t="e">
        <f>_xlfn.XLOOKUP($D126,Tab_Def_Processes[Process_Name],Tab_Def_Processes[Process_ID],,0,)</f>
        <v>#N/A</v>
      </c>
      <c r="D126" s="142" t="s">
        <v>22</v>
      </c>
      <c r="E126" s="142" t="s">
        <v>22</v>
      </c>
      <c r="F126" s="22" t="e">
        <f>_xlfn.XLOOKUP($D126,Tab_Def_Processes[Process_Name],Tab_Def_Processes[Process_Logic],,0,)</f>
        <v>#N/A</v>
      </c>
      <c r="G126" s="22" t="e">
        <f>_xlfn.XLOOKUP($D126,Tab_Def_Processes[Process_Name],Tab_Def_Processes[TC_Configuration],,0,)</f>
        <v>#N/A</v>
      </c>
      <c r="H126" s="22" t="e">
        <f>_xlfn.XLOOKUP($D126,Tab_Def_Processes[Process_Name],Tab_Def_Processes[Stock_Configuration],,0,)</f>
        <v>#N/A</v>
      </c>
      <c r="I126" s="22" t="e">
        <f>_xlfn.XLOOKUP($D126,Tab_Def_Processes[Process_Name],Tab_Def_Processes[Outflow_count],,0,)</f>
        <v>#N/A</v>
      </c>
      <c r="J126" s="7" t="str">
        <f>_xlfn.XLOOKUP($E126,Tab_Def_Flows[Flow_Name],Tab_Def_Flows[Flow_ID],,0,1)</f>
        <v>F__</v>
      </c>
      <c r="K126" s="8"/>
      <c r="L126" s="17" t="str">
        <f t="shared" si="7"/>
        <v>TC_material_F__</v>
      </c>
      <c r="M126" s="144"/>
      <c r="N126" s="17" t="str">
        <f t="shared" si="8"/>
        <v>TC_WC_F__</v>
      </c>
      <c r="O126" s="144"/>
      <c r="P126" s="17" t="str">
        <f t="shared" si="9"/>
        <v>TC_DM_F__</v>
      </c>
      <c r="Q126" s="144"/>
      <c r="R126" s="17" t="str">
        <f t="shared" si="10"/>
        <v>TC_CC_F__</v>
      </c>
      <c r="S126" s="8"/>
      <c r="T126" s="15"/>
      <c r="U126" s="15"/>
      <c r="V126" s="15"/>
      <c r="W126" s="15"/>
      <c r="X126" s="15"/>
    </row>
    <row r="127" spans="1:24" x14ac:dyDescent="0.25">
      <c r="A127" s="146" t="b">
        <v>0</v>
      </c>
      <c r="B127" s="7">
        <f t="shared" si="11"/>
        <v>126</v>
      </c>
      <c r="C127" s="22" t="e">
        <f>_xlfn.XLOOKUP($D127,Tab_Def_Processes[Process_Name],Tab_Def_Processes[Process_ID],,0,)</f>
        <v>#N/A</v>
      </c>
      <c r="D127" s="142" t="s">
        <v>22</v>
      </c>
      <c r="E127" s="142" t="s">
        <v>22</v>
      </c>
      <c r="F127" s="22" t="e">
        <f>_xlfn.XLOOKUP($D127,Tab_Def_Processes[Process_Name],Tab_Def_Processes[Process_Logic],,0,)</f>
        <v>#N/A</v>
      </c>
      <c r="G127" s="22" t="e">
        <f>_xlfn.XLOOKUP($D127,Tab_Def_Processes[Process_Name],Tab_Def_Processes[TC_Configuration],,0,)</f>
        <v>#N/A</v>
      </c>
      <c r="H127" s="22" t="e">
        <f>_xlfn.XLOOKUP($D127,Tab_Def_Processes[Process_Name],Tab_Def_Processes[Stock_Configuration],,0,)</f>
        <v>#N/A</v>
      </c>
      <c r="I127" s="22" t="e">
        <f>_xlfn.XLOOKUP($D127,Tab_Def_Processes[Process_Name],Tab_Def_Processes[Outflow_count],,0,)</f>
        <v>#N/A</v>
      </c>
      <c r="J127" s="7" t="str">
        <f>_xlfn.XLOOKUP($E127,Tab_Def_Flows[Flow_Name],Tab_Def_Flows[Flow_ID],,0,1)</f>
        <v>F__</v>
      </c>
      <c r="K127" s="8"/>
      <c r="L127" s="17" t="str">
        <f t="shared" si="7"/>
        <v>TC_material_F__</v>
      </c>
      <c r="M127" s="144"/>
      <c r="N127" s="17" t="str">
        <f t="shared" si="8"/>
        <v>TC_WC_F__</v>
      </c>
      <c r="O127" s="144"/>
      <c r="P127" s="17" t="str">
        <f t="shared" si="9"/>
        <v>TC_DM_F__</v>
      </c>
      <c r="Q127" s="144"/>
      <c r="R127" s="17" t="str">
        <f t="shared" si="10"/>
        <v>TC_CC_F__</v>
      </c>
      <c r="S127" s="8"/>
      <c r="T127" s="15"/>
      <c r="U127" s="15"/>
      <c r="V127" s="15"/>
      <c r="W127" s="15"/>
      <c r="X127" s="15"/>
    </row>
    <row r="128" spans="1:24" x14ac:dyDescent="0.25">
      <c r="A128" s="146" t="b">
        <v>0</v>
      </c>
      <c r="B128" s="7">
        <f t="shared" si="11"/>
        <v>127</v>
      </c>
      <c r="C128" s="22" t="e">
        <f>_xlfn.XLOOKUP($D128,Tab_Def_Processes[Process_Name],Tab_Def_Processes[Process_ID],,0,)</f>
        <v>#N/A</v>
      </c>
      <c r="D128" s="142" t="s">
        <v>22</v>
      </c>
      <c r="E128" s="142" t="s">
        <v>22</v>
      </c>
      <c r="F128" s="22" t="e">
        <f>_xlfn.XLOOKUP($D128,Tab_Def_Processes[Process_Name],Tab_Def_Processes[Process_Logic],,0,)</f>
        <v>#N/A</v>
      </c>
      <c r="G128" s="22" t="e">
        <f>_xlfn.XLOOKUP($D128,Tab_Def_Processes[Process_Name],Tab_Def_Processes[TC_Configuration],,0,)</f>
        <v>#N/A</v>
      </c>
      <c r="H128" s="22" t="e">
        <f>_xlfn.XLOOKUP($D128,Tab_Def_Processes[Process_Name],Tab_Def_Processes[Stock_Configuration],,0,)</f>
        <v>#N/A</v>
      </c>
      <c r="I128" s="22" t="e">
        <f>_xlfn.XLOOKUP($D128,Tab_Def_Processes[Process_Name],Tab_Def_Processes[Outflow_count],,0,)</f>
        <v>#N/A</v>
      </c>
      <c r="J128" s="7" t="str">
        <f>_xlfn.XLOOKUP($E128,Tab_Def_Flows[Flow_Name],Tab_Def_Flows[Flow_ID],,0,1)</f>
        <v>F__</v>
      </c>
      <c r="K128" s="8"/>
      <c r="L128" s="17" t="str">
        <f t="shared" si="7"/>
        <v>TC_material_F__</v>
      </c>
      <c r="M128" s="144"/>
      <c r="N128" s="17" t="str">
        <f t="shared" si="8"/>
        <v>TC_WC_F__</v>
      </c>
      <c r="O128" s="144"/>
      <c r="P128" s="17" t="str">
        <f t="shared" si="9"/>
        <v>TC_DM_F__</v>
      </c>
      <c r="Q128" s="144"/>
      <c r="R128" s="17" t="str">
        <f t="shared" si="10"/>
        <v>TC_CC_F__</v>
      </c>
      <c r="S128" s="8"/>
      <c r="T128" s="15"/>
      <c r="U128" s="15"/>
      <c r="V128" s="15"/>
      <c r="W128" s="15"/>
      <c r="X128" s="15"/>
    </row>
    <row r="129" spans="1:24" x14ac:dyDescent="0.25">
      <c r="A129" s="146" t="b">
        <v>0</v>
      </c>
      <c r="B129" s="7">
        <f t="shared" si="11"/>
        <v>128</v>
      </c>
      <c r="C129" s="22" t="e">
        <f>_xlfn.XLOOKUP($D129,Tab_Def_Processes[Process_Name],Tab_Def_Processes[Process_ID],,0,)</f>
        <v>#N/A</v>
      </c>
      <c r="D129" s="142" t="s">
        <v>22</v>
      </c>
      <c r="E129" s="142" t="s">
        <v>22</v>
      </c>
      <c r="F129" s="22" t="e">
        <f>_xlfn.XLOOKUP($D129,Tab_Def_Processes[Process_Name],Tab_Def_Processes[Process_Logic],,0,)</f>
        <v>#N/A</v>
      </c>
      <c r="G129" s="22" t="e">
        <f>_xlfn.XLOOKUP($D129,Tab_Def_Processes[Process_Name],Tab_Def_Processes[TC_Configuration],,0,)</f>
        <v>#N/A</v>
      </c>
      <c r="H129" s="22" t="e">
        <f>_xlfn.XLOOKUP($D129,Tab_Def_Processes[Process_Name],Tab_Def_Processes[Stock_Configuration],,0,)</f>
        <v>#N/A</v>
      </c>
      <c r="I129" s="22" t="e">
        <f>_xlfn.XLOOKUP($D129,Tab_Def_Processes[Process_Name],Tab_Def_Processes[Outflow_count],,0,)</f>
        <v>#N/A</v>
      </c>
      <c r="J129" s="7" t="str">
        <f>_xlfn.XLOOKUP($E129,Tab_Def_Flows[Flow_Name],Tab_Def_Flows[Flow_ID],,0,1)</f>
        <v>F__</v>
      </c>
      <c r="K129" s="8"/>
      <c r="L129" s="17" t="str">
        <f t="shared" si="7"/>
        <v>TC_material_F__</v>
      </c>
      <c r="M129" s="144"/>
      <c r="N129" s="17" t="str">
        <f t="shared" si="8"/>
        <v>TC_WC_F__</v>
      </c>
      <c r="O129" s="144"/>
      <c r="P129" s="17" t="str">
        <f t="shared" si="9"/>
        <v>TC_DM_F__</v>
      </c>
      <c r="Q129" s="144"/>
      <c r="R129" s="17" t="str">
        <f t="shared" si="10"/>
        <v>TC_CC_F__</v>
      </c>
      <c r="S129" s="8"/>
      <c r="T129" s="15"/>
      <c r="U129" s="15"/>
      <c r="V129" s="15"/>
      <c r="W129" s="15"/>
      <c r="X129" s="15"/>
    </row>
    <row r="130" spans="1:24" x14ac:dyDescent="0.25">
      <c r="A130" s="146" t="b">
        <v>0</v>
      </c>
      <c r="B130" s="7">
        <f t="shared" ref="B130:B151" si="12">ROW()-1</f>
        <v>129</v>
      </c>
      <c r="C130" s="22" t="e">
        <f>_xlfn.XLOOKUP($D130,Tab_Def_Processes[Process_Name],Tab_Def_Processes[Process_ID],,0,)</f>
        <v>#N/A</v>
      </c>
      <c r="D130" s="142" t="s">
        <v>22</v>
      </c>
      <c r="E130" s="142" t="s">
        <v>22</v>
      </c>
      <c r="F130" s="22" t="e">
        <f>_xlfn.XLOOKUP($D130,Tab_Def_Processes[Process_Name],Tab_Def_Processes[Process_Logic],,0,)</f>
        <v>#N/A</v>
      </c>
      <c r="G130" s="22" t="e">
        <f>_xlfn.XLOOKUP($D130,Tab_Def_Processes[Process_Name],Tab_Def_Processes[TC_Configuration],,0,)</f>
        <v>#N/A</v>
      </c>
      <c r="H130" s="22" t="e">
        <f>_xlfn.XLOOKUP($D130,Tab_Def_Processes[Process_Name],Tab_Def_Processes[Stock_Configuration],,0,)</f>
        <v>#N/A</v>
      </c>
      <c r="I130" s="22" t="e">
        <f>_xlfn.XLOOKUP($D130,Tab_Def_Processes[Process_Name],Tab_Def_Processes[Outflow_count],,0,)</f>
        <v>#N/A</v>
      </c>
      <c r="J130" s="7" t="str">
        <f>_xlfn.XLOOKUP($E130,Tab_Def_Flows[Flow_Name],Tab_Def_Flows[Flow_ID],,0,1)</f>
        <v>F__</v>
      </c>
      <c r="K130" s="8"/>
      <c r="L130" s="17" t="str">
        <f t="shared" si="7"/>
        <v>TC_material_F__</v>
      </c>
      <c r="M130" s="144"/>
      <c r="N130" s="17" t="str">
        <f t="shared" si="8"/>
        <v>TC_WC_F__</v>
      </c>
      <c r="O130" s="144"/>
      <c r="P130" s="17" t="str">
        <f t="shared" si="9"/>
        <v>TC_DM_F__</v>
      </c>
      <c r="Q130" s="144"/>
      <c r="R130" s="17" t="str">
        <f t="shared" si="10"/>
        <v>TC_CC_F__</v>
      </c>
      <c r="S130" s="8"/>
      <c r="T130" s="15"/>
      <c r="U130" s="15"/>
      <c r="V130" s="15"/>
      <c r="W130" s="15"/>
      <c r="X130" s="15"/>
    </row>
    <row r="131" spans="1:24" x14ac:dyDescent="0.25">
      <c r="A131" s="146" t="b">
        <v>0</v>
      </c>
      <c r="B131" s="7">
        <f t="shared" si="12"/>
        <v>130</v>
      </c>
      <c r="C131" s="22" t="e">
        <f>_xlfn.XLOOKUP($D131,Tab_Def_Processes[Process_Name],Tab_Def_Processes[Process_ID],,0,)</f>
        <v>#N/A</v>
      </c>
      <c r="D131" s="142" t="s">
        <v>22</v>
      </c>
      <c r="E131" s="142" t="s">
        <v>22</v>
      </c>
      <c r="F131" s="22" t="e">
        <f>_xlfn.XLOOKUP($D131,Tab_Def_Processes[Process_Name],Tab_Def_Processes[Process_Logic],,0,)</f>
        <v>#N/A</v>
      </c>
      <c r="G131" s="22" t="e">
        <f>_xlfn.XLOOKUP($D131,Tab_Def_Processes[Process_Name],Tab_Def_Processes[TC_Configuration],,0,)</f>
        <v>#N/A</v>
      </c>
      <c r="H131" s="22" t="e">
        <f>_xlfn.XLOOKUP($D131,Tab_Def_Processes[Process_Name],Tab_Def_Processes[Stock_Configuration],,0,)</f>
        <v>#N/A</v>
      </c>
      <c r="I131" s="22" t="e">
        <f>_xlfn.XLOOKUP($D131,Tab_Def_Processes[Process_Name],Tab_Def_Processes[Outflow_count],,0,)</f>
        <v>#N/A</v>
      </c>
      <c r="J131" s="7" t="str">
        <f>_xlfn.XLOOKUP($E131,Tab_Def_Flows[Flow_Name],Tab_Def_Flows[Flow_ID],,0,1)</f>
        <v>F__</v>
      </c>
      <c r="K131" s="8"/>
      <c r="L131" s="17" t="str">
        <f t="shared" si="7"/>
        <v>TC_material_F__</v>
      </c>
      <c r="M131" s="144"/>
      <c r="N131" s="17" t="str">
        <f t="shared" si="8"/>
        <v>TC_WC_F__</v>
      </c>
      <c r="O131" s="144"/>
      <c r="P131" s="17" t="str">
        <f t="shared" si="9"/>
        <v>TC_DM_F__</v>
      </c>
      <c r="Q131" s="144"/>
      <c r="R131" s="17" t="str">
        <f t="shared" si="10"/>
        <v>TC_CC_F__</v>
      </c>
      <c r="S131" s="8"/>
      <c r="T131" s="15"/>
      <c r="U131" s="15"/>
      <c r="V131" s="15"/>
      <c r="W131" s="15"/>
      <c r="X131" s="15"/>
    </row>
    <row r="132" spans="1:24" x14ac:dyDescent="0.25">
      <c r="A132" s="146" t="b">
        <v>0</v>
      </c>
      <c r="B132" s="7">
        <f t="shared" si="12"/>
        <v>131</v>
      </c>
      <c r="C132" s="22" t="e">
        <f>_xlfn.XLOOKUP($D132,Tab_Def_Processes[Process_Name],Tab_Def_Processes[Process_ID],,0,)</f>
        <v>#N/A</v>
      </c>
      <c r="D132" s="142" t="s">
        <v>22</v>
      </c>
      <c r="E132" s="142" t="s">
        <v>22</v>
      </c>
      <c r="F132" s="22" t="e">
        <f>_xlfn.XLOOKUP($D132,Tab_Def_Processes[Process_Name],Tab_Def_Processes[Process_Logic],,0,)</f>
        <v>#N/A</v>
      </c>
      <c r="G132" s="22" t="e">
        <f>_xlfn.XLOOKUP($D132,Tab_Def_Processes[Process_Name],Tab_Def_Processes[TC_Configuration],,0,)</f>
        <v>#N/A</v>
      </c>
      <c r="H132" s="22" t="e">
        <f>_xlfn.XLOOKUP($D132,Tab_Def_Processes[Process_Name],Tab_Def_Processes[Stock_Configuration],,0,)</f>
        <v>#N/A</v>
      </c>
      <c r="I132" s="22" t="e">
        <f>_xlfn.XLOOKUP($D132,Tab_Def_Processes[Process_Name],Tab_Def_Processes[Outflow_count],,0,)</f>
        <v>#N/A</v>
      </c>
      <c r="J132" s="7" t="str">
        <f>_xlfn.XLOOKUP($E132,Tab_Def_Flows[Flow_Name],Tab_Def_Flows[Flow_ID],,0,1)</f>
        <v>F__</v>
      </c>
      <c r="K132" s="8"/>
      <c r="L132" s="17" t="str">
        <f t="shared" si="7"/>
        <v>TC_material_F__</v>
      </c>
      <c r="M132" s="144"/>
      <c r="N132" s="17" t="str">
        <f t="shared" si="8"/>
        <v>TC_WC_F__</v>
      </c>
      <c r="O132" s="144"/>
      <c r="P132" s="17" t="str">
        <f t="shared" si="9"/>
        <v>TC_DM_F__</v>
      </c>
      <c r="Q132" s="144"/>
      <c r="R132" s="17" t="str">
        <f t="shared" si="10"/>
        <v>TC_CC_F__</v>
      </c>
      <c r="S132" s="8"/>
      <c r="T132" s="15"/>
      <c r="U132" s="15"/>
      <c r="V132" s="15"/>
      <c r="W132" s="15"/>
      <c r="X132" s="15"/>
    </row>
    <row r="133" spans="1:24" x14ac:dyDescent="0.25">
      <c r="A133" s="146" t="b">
        <v>0</v>
      </c>
      <c r="B133" s="7">
        <f t="shared" si="12"/>
        <v>132</v>
      </c>
      <c r="C133" s="22" t="e">
        <f>_xlfn.XLOOKUP($D133,Tab_Def_Processes[Process_Name],Tab_Def_Processes[Process_ID],,0,)</f>
        <v>#N/A</v>
      </c>
      <c r="D133" s="142" t="s">
        <v>22</v>
      </c>
      <c r="E133" s="142" t="s">
        <v>22</v>
      </c>
      <c r="F133" s="22" t="e">
        <f>_xlfn.XLOOKUP($D133,Tab_Def_Processes[Process_Name],Tab_Def_Processes[Process_Logic],,0,)</f>
        <v>#N/A</v>
      </c>
      <c r="G133" s="22" t="e">
        <f>_xlfn.XLOOKUP($D133,Tab_Def_Processes[Process_Name],Tab_Def_Processes[TC_Configuration],,0,)</f>
        <v>#N/A</v>
      </c>
      <c r="H133" s="22" t="e">
        <f>_xlfn.XLOOKUP($D133,Tab_Def_Processes[Process_Name],Tab_Def_Processes[Stock_Configuration],,0,)</f>
        <v>#N/A</v>
      </c>
      <c r="I133" s="22" t="e">
        <f>_xlfn.XLOOKUP($D133,Tab_Def_Processes[Process_Name],Tab_Def_Processes[Outflow_count],,0,)</f>
        <v>#N/A</v>
      </c>
      <c r="J133" s="7" t="str">
        <f>_xlfn.XLOOKUP($E133,Tab_Def_Flows[Flow_Name],Tab_Def_Flows[Flow_ID],,0,1)</f>
        <v>F__</v>
      </c>
      <c r="K133" s="8"/>
      <c r="L133" s="17" t="str">
        <f t="shared" ref="L133:L151" si="13">"TC_material"&amp;"_"&amp;RIGHT(J133,5)</f>
        <v>TC_material_F__</v>
      </c>
      <c r="M133" s="144"/>
      <c r="N133" s="17" t="str">
        <f t="shared" ref="N133:N151" si="14">"TC_WC"&amp;"_"&amp;RIGHT(J133,5)</f>
        <v>TC_WC_F__</v>
      </c>
      <c r="O133" s="144"/>
      <c r="P133" s="17" t="str">
        <f t="shared" ref="P133:P151" si="15">"TC_DM"&amp;"_"&amp;RIGHT(J133,5)</f>
        <v>TC_DM_F__</v>
      </c>
      <c r="Q133" s="144"/>
      <c r="R133" s="17" t="str">
        <f t="shared" ref="R133:R151" si="16">"TC_CC"&amp;"_"&amp;RIGHT(J133,5)</f>
        <v>TC_CC_F__</v>
      </c>
      <c r="S133" s="8"/>
      <c r="T133" s="15"/>
      <c r="U133" s="15"/>
      <c r="V133" s="15"/>
      <c r="W133" s="15"/>
      <c r="X133" s="15"/>
    </row>
    <row r="134" spans="1:24" x14ac:dyDescent="0.25">
      <c r="A134" s="146" t="b">
        <v>0</v>
      </c>
      <c r="B134" s="7">
        <f t="shared" si="12"/>
        <v>133</v>
      </c>
      <c r="C134" s="22" t="e">
        <f>_xlfn.XLOOKUP($D134,Tab_Def_Processes[Process_Name],Tab_Def_Processes[Process_ID],,0,)</f>
        <v>#N/A</v>
      </c>
      <c r="D134" s="142" t="s">
        <v>22</v>
      </c>
      <c r="E134" s="142" t="s">
        <v>22</v>
      </c>
      <c r="F134" s="22" t="e">
        <f>_xlfn.XLOOKUP($D134,Tab_Def_Processes[Process_Name],Tab_Def_Processes[Process_Logic],,0,)</f>
        <v>#N/A</v>
      </c>
      <c r="G134" s="22" t="e">
        <f>_xlfn.XLOOKUP($D134,Tab_Def_Processes[Process_Name],Tab_Def_Processes[TC_Configuration],,0,)</f>
        <v>#N/A</v>
      </c>
      <c r="H134" s="22" t="e">
        <f>_xlfn.XLOOKUP($D134,Tab_Def_Processes[Process_Name],Tab_Def_Processes[Stock_Configuration],,0,)</f>
        <v>#N/A</v>
      </c>
      <c r="I134" s="22" t="e">
        <f>_xlfn.XLOOKUP($D134,Tab_Def_Processes[Process_Name],Tab_Def_Processes[Outflow_count],,0,)</f>
        <v>#N/A</v>
      </c>
      <c r="J134" s="7" t="str">
        <f>_xlfn.XLOOKUP($E134,Tab_Def_Flows[Flow_Name],Tab_Def_Flows[Flow_ID],,0,1)</f>
        <v>F__</v>
      </c>
      <c r="K134" s="8"/>
      <c r="L134" s="17" t="str">
        <f t="shared" si="13"/>
        <v>TC_material_F__</v>
      </c>
      <c r="M134" s="144"/>
      <c r="N134" s="17" t="str">
        <f t="shared" si="14"/>
        <v>TC_WC_F__</v>
      </c>
      <c r="O134" s="144"/>
      <c r="P134" s="17" t="str">
        <f t="shared" si="15"/>
        <v>TC_DM_F__</v>
      </c>
      <c r="Q134" s="144"/>
      <c r="R134" s="17" t="str">
        <f t="shared" si="16"/>
        <v>TC_CC_F__</v>
      </c>
      <c r="S134" s="8"/>
      <c r="T134" s="15"/>
      <c r="U134" s="15"/>
      <c r="V134" s="15"/>
      <c r="W134" s="15"/>
      <c r="X134" s="15"/>
    </row>
    <row r="135" spans="1:24" x14ac:dyDescent="0.25">
      <c r="A135" s="146" t="b">
        <v>0</v>
      </c>
      <c r="B135" s="7">
        <f t="shared" si="12"/>
        <v>134</v>
      </c>
      <c r="C135" s="22" t="e">
        <f>_xlfn.XLOOKUP($D135,Tab_Def_Processes[Process_Name],Tab_Def_Processes[Process_ID],,0,)</f>
        <v>#N/A</v>
      </c>
      <c r="D135" s="142" t="s">
        <v>22</v>
      </c>
      <c r="E135" s="142" t="s">
        <v>22</v>
      </c>
      <c r="F135" s="22" t="e">
        <f>_xlfn.XLOOKUP($D135,Tab_Def_Processes[Process_Name],Tab_Def_Processes[Process_Logic],,0,)</f>
        <v>#N/A</v>
      </c>
      <c r="G135" s="22" t="e">
        <f>_xlfn.XLOOKUP($D135,Tab_Def_Processes[Process_Name],Tab_Def_Processes[TC_Configuration],,0,)</f>
        <v>#N/A</v>
      </c>
      <c r="H135" s="22" t="e">
        <f>_xlfn.XLOOKUP($D135,Tab_Def_Processes[Process_Name],Tab_Def_Processes[Stock_Configuration],,0,)</f>
        <v>#N/A</v>
      </c>
      <c r="I135" s="22" t="e">
        <f>_xlfn.XLOOKUP($D135,Tab_Def_Processes[Process_Name],Tab_Def_Processes[Outflow_count],,0,)</f>
        <v>#N/A</v>
      </c>
      <c r="J135" s="7" t="str">
        <f>_xlfn.XLOOKUP($E135,Tab_Def_Flows[Flow_Name],Tab_Def_Flows[Flow_ID],,0,1)</f>
        <v>F__</v>
      </c>
      <c r="K135" s="8"/>
      <c r="L135" s="17" t="str">
        <f t="shared" si="13"/>
        <v>TC_material_F__</v>
      </c>
      <c r="M135" s="144"/>
      <c r="N135" s="17" t="str">
        <f t="shared" si="14"/>
        <v>TC_WC_F__</v>
      </c>
      <c r="O135" s="144"/>
      <c r="P135" s="17" t="str">
        <f t="shared" si="15"/>
        <v>TC_DM_F__</v>
      </c>
      <c r="Q135" s="144"/>
      <c r="R135" s="17" t="str">
        <f t="shared" si="16"/>
        <v>TC_CC_F__</v>
      </c>
      <c r="S135" s="8"/>
      <c r="T135" s="15"/>
      <c r="U135" s="15"/>
      <c r="V135" s="15"/>
      <c r="W135" s="15"/>
      <c r="X135" s="15"/>
    </row>
    <row r="136" spans="1:24" x14ac:dyDescent="0.25">
      <c r="A136" s="146" t="b">
        <v>0</v>
      </c>
      <c r="B136" s="7">
        <f t="shared" si="12"/>
        <v>135</v>
      </c>
      <c r="C136" s="22" t="e">
        <f>_xlfn.XLOOKUP($D136,Tab_Def_Processes[Process_Name],Tab_Def_Processes[Process_ID],,0,)</f>
        <v>#N/A</v>
      </c>
      <c r="D136" s="142" t="s">
        <v>22</v>
      </c>
      <c r="E136" s="142" t="s">
        <v>22</v>
      </c>
      <c r="F136" s="22" t="e">
        <f>_xlfn.XLOOKUP($D136,Tab_Def_Processes[Process_Name],Tab_Def_Processes[Process_Logic],,0,)</f>
        <v>#N/A</v>
      </c>
      <c r="G136" s="22" t="e">
        <f>_xlfn.XLOOKUP($D136,Tab_Def_Processes[Process_Name],Tab_Def_Processes[TC_Configuration],,0,)</f>
        <v>#N/A</v>
      </c>
      <c r="H136" s="22" t="e">
        <f>_xlfn.XLOOKUP($D136,Tab_Def_Processes[Process_Name],Tab_Def_Processes[Stock_Configuration],,0,)</f>
        <v>#N/A</v>
      </c>
      <c r="I136" s="22" t="e">
        <f>_xlfn.XLOOKUP($D136,Tab_Def_Processes[Process_Name],Tab_Def_Processes[Outflow_count],,0,)</f>
        <v>#N/A</v>
      </c>
      <c r="J136" s="7" t="str">
        <f>_xlfn.XLOOKUP($E136,Tab_Def_Flows[Flow_Name],Tab_Def_Flows[Flow_ID],,0,1)</f>
        <v>F__</v>
      </c>
      <c r="K136" s="8"/>
      <c r="L136" s="17" t="str">
        <f t="shared" si="13"/>
        <v>TC_material_F__</v>
      </c>
      <c r="M136" s="144"/>
      <c r="N136" s="17" t="str">
        <f t="shared" si="14"/>
        <v>TC_WC_F__</v>
      </c>
      <c r="O136" s="144"/>
      <c r="P136" s="17" t="str">
        <f t="shared" si="15"/>
        <v>TC_DM_F__</v>
      </c>
      <c r="Q136" s="144"/>
      <c r="R136" s="17" t="str">
        <f t="shared" si="16"/>
        <v>TC_CC_F__</v>
      </c>
      <c r="S136" s="8"/>
      <c r="T136" s="15"/>
      <c r="U136" s="15"/>
      <c r="V136" s="15"/>
      <c r="W136" s="15"/>
      <c r="X136" s="15"/>
    </row>
    <row r="137" spans="1:24" x14ac:dyDescent="0.25">
      <c r="A137" s="146" t="b">
        <v>0</v>
      </c>
      <c r="B137" s="7">
        <f t="shared" si="12"/>
        <v>136</v>
      </c>
      <c r="C137" s="22" t="e">
        <f>_xlfn.XLOOKUP($D137,Tab_Def_Processes[Process_Name],Tab_Def_Processes[Process_ID],,0,)</f>
        <v>#N/A</v>
      </c>
      <c r="D137" s="142" t="s">
        <v>22</v>
      </c>
      <c r="E137" s="142" t="s">
        <v>22</v>
      </c>
      <c r="F137" s="22" t="e">
        <f>_xlfn.XLOOKUP($D137,Tab_Def_Processes[Process_Name],Tab_Def_Processes[Process_Logic],,0,)</f>
        <v>#N/A</v>
      </c>
      <c r="G137" s="22" t="e">
        <f>_xlfn.XLOOKUP($D137,Tab_Def_Processes[Process_Name],Tab_Def_Processes[TC_Configuration],,0,)</f>
        <v>#N/A</v>
      </c>
      <c r="H137" s="22" t="e">
        <f>_xlfn.XLOOKUP($D137,Tab_Def_Processes[Process_Name],Tab_Def_Processes[Stock_Configuration],,0,)</f>
        <v>#N/A</v>
      </c>
      <c r="I137" s="22" t="e">
        <f>_xlfn.XLOOKUP($D137,Tab_Def_Processes[Process_Name],Tab_Def_Processes[Outflow_count],,0,)</f>
        <v>#N/A</v>
      </c>
      <c r="J137" s="7" t="str">
        <f>_xlfn.XLOOKUP($E137,Tab_Def_Flows[Flow_Name],Tab_Def_Flows[Flow_ID],,0,1)</f>
        <v>F__</v>
      </c>
      <c r="K137" s="8"/>
      <c r="L137" s="17" t="str">
        <f t="shared" si="13"/>
        <v>TC_material_F__</v>
      </c>
      <c r="M137" s="144"/>
      <c r="N137" s="17" t="str">
        <f t="shared" si="14"/>
        <v>TC_WC_F__</v>
      </c>
      <c r="O137" s="144"/>
      <c r="P137" s="17" t="str">
        <f t="shared" si="15"/>
        <v>TC_DM_F__</v>
      </c>
      <c r="Q137" s="144"/>
      <c r="R137" s="17" t="str">
        <f t="shared" si="16"/>
        <v>TC_CC_F__</v>
      </c>
      <c r="S137" s="8"/>
      <c r="T137" s="15"/>
      <c r="U137" s="15"/>
      <c r="V137" s="15"/>
      <c r="W137" s="15"/>
      <c r="X137" s="15"/>
    </row>
    <row r="138" spans="1:24" x14ac:dyDescent="0.25">
      <c r="A138" s="146" t="b">
        <v>0</v>
      </c>
      <c r="B138" s="7">
        <f t="shared" si="12"/>
        <v>137</v>
      </c>
      <c r="C138" s="22" t="e">
        <f>_xlfn.XLOOKUP($D138,Tab_Def_Processes[Process_Name],Tab_Def_Processes[Process_ID],,0,)</f>
        <v>#N/A</v>
      </c>
      <c r="D138" s="142" t="s">
        <v>22</v>
      </c>
      <c r="E138" s="142" t="s">
        <v>22</v>
      </c>
      <c r="F138" s="22" t="e">
        <f>_xlfn.XLOOKUP($D138,Tab_Def_Processes[Process_Name],Tab_Def_Processes[Process_Logic],,0,)</f>
        <v>#N/A</v>
      </c>
      <c r="G138" s="22" t="e">
        <f>_xlfn.XLOOKUP($D138,Tab_Def_Processes[Process_Name],Tab_Def_Processes[TC_Configuration],,0,)</f>
        <v>#N/A</v>
      </c>
      <c r="H138" s="22" t="e">
        <f>_xlfn.XLOOKUP($D138,Tab_Def_Processes[Process_Name],Tab_Def_Processes[Stock_Configuration],,0,)</f>
        <v>#N/A</v>
      </c>
      <c r="I138" s="22" t="e">
        <f>_xlfn.XLOOKUP($D138,Tab_Def_Processes[Process_Name],Tab_Def_Processes[Outflow_count],,0,)</f>
        <v>#N/A</v>
      </c>
      <c r="J138" s="7" t="str">
        <f>_xlfn.XLOOKUP($E138,Tab_Def_Flows[Flow_Name],Tab_Def_Flows[Flow_ID],,0,1)</f>
        <v>F__</v>
      </c>
      <c r="K138" s="8"/>
      <c r="L138" s="17" t="str">
        <f t="shared" si="13"/>
        <v>TC_material_F__</v>
      </c>
      <c r="M138" s="144"/>
      <c r="N138" s="17" t="str">
        <f t="shared" si="14"/>
        <v>TC_WC_F__</v>
      </c>
      <c r="O138" s="144"/>
      <c r="P138" s="17" t="str">
        <f t="shared" si="15"/>
        <v>TC_DM_F__</v>
      </c>
      <c r="Q138" s="144"/>
      <c r="R138" s="17" t="str">
        <f t="shared" si="16"/>
        <v>TC_CC_F__</v>
      </c>
      <c r="S138" s="8"/>
      <c r="T138" s="15"/>
      <c r="U138" s="15"/>
      <c r="V138" s="15"/>
      <c r="W138" s="15"/>
      <c r="X138" s="15"/>
    </row>
    <row r="139" spans="1:24" x14ac:dyDescent="0.25">
      <c r="A139" s="146" t="b">
        <v>0</v>
      </c>
      <c r="B139" s="7">
        <f t="shared" si="12"/>
        <v>138</v>
      </c>
      <c r="C139" s="22" t="e">
        <f>_xlfn.XLOOKUP($D139,Tab_Def_Processes[Process_Name],Tab_Def_Processes[Process_ID],,0,)</f>
        <v>#N/A</v>
      </c>
      <c r="D139" s="142" t="s">
        <v>22</v>
      </c>
      <c r="E139" s="142" t="s">
        <v>22</v>
      </c>
      <c r="F139" s="22" t="e">
        <f>_xlfn.XLOOKUP($D139,Tab_Def_Processes[Process_Name],Tab_Def_Processes[Process_Logic],,0,)</f>
        <v>#N/A</v>
      </c>
      <c r="G139" s="22" t="e">
        <f>_xlfn.XLOOKUP($D139,Tab_Def_Processes[Process_Name],Tab_Def_Processes[TC_Configuration],,0,)</f>
        <v>#N/A</v>
      </c>
      <c r="H139" s="22" t="e">
        <f>_xlfn.XLOOKUP($D139,Tab_Def_Processes[Process_Name],Tab_Def_Processes[Stock_Configuration],,0,)</f>
        <v>#N/A</v>
      </c>
      <c r="I139" s="22" t="e">
        <f>_xlfn.XLOOKUP($D139,Tab_Def_Processes[Process_Name],Tab_Def_Processes[Outflow_count],,0,)</f>
        <v>#N/A</v>
      </c>
      <c r="J139" s="7" t="str">
        <f>_xlfn.XLOOKUP($E139,Tab_Def_Flows[Flow_Name],Tab_Def_Flows[Flow_ID],,0,1)</f>
        <v>F__</v>
      </c>
      <c r="K139" s="8"/>
      <c r="L139" s="17" t="str">
        <f t="shared" si="13"/>
        <v>TC_material_F__</v>
      </c>
      <c r="M139" s="144"/>
      <c r="N139" s="17" t="str">
        <f t="shared" si="14"/>
        <v>TC_WC_F__</v>
      </c>
      <c r="O139" s="144"/>
      <c r="P139" s="17" t="str">
        <f t="shared" si="15"/>
        <v>TC_DM_F__</v>
      </c>
      <c r="Q139" s="144"/>
      <c r="R139" s="17" t="str">
        <f t="shared" si="16"/>
        <v>TC_CC_F__</v>
      </c>
      <c r="S139" s="8"/>
      <c r="T139" s="15"/>
      <c r="U139" s="15"/>
      <c r="V139" s="15"/>
      <c r="W139" s="15"/>
      <c r="X139" s="15"/>
    </row>
    <row r="140" spans="1:24" x14ac:dyDescent="0.25">
      <c r="A140" s="146" t="b">
        <v>0</v>
      </c>
      <c r="B140" s="7">
        <f t="shared" si="12"/>
        <v>139</v>
      </c>
      <c r="C140" s="22" t="e">
        <f>_xlfn.XLOOKUP($D140,Tab_Def_Processes[Process_Name],Tab_Def_Processes[Process_ID],,0,)</f>
        <v>#N/A</v>
      </c>
      <c r="D140" s="142" t="s">
        <v>22</v>
      </c>
      <c r="E140" s="142" t="s">
        <v>22</v>
      </c>
      <c r="F140" s="22" t="e">
        <f>_xlfn.XLOOKUP($D140,Tab_Def_Processes[Process_Name],Tab_Def_Processes[Process_Logic],,0,)</f>
        <v>#N/A</v>
      </c>
      <c r="G140" s="22" t="e">
        <f>_xlfn.XLOOKUP($D140,Tab_Def_Processes[Process_Name],Tab_Def_Processes[TC_Configuration],,0,)</f>
        <v>#N/A</v>
      </c>
      <c r="H140" s="22" t="e">
        <f>_xlfn.XLOOKUP($D140,Tab_Def_Processes[Process_Name],Tab_Def_Processes[Stock_Configuration],,0,)</f>
        <v>#N/A</v>
      </c>
      <c r="I140" s="22" t="e">
        <f>_xlfn.XLOOKUP($D140,Tab_Def_Processes[Process_Name],Tab_Def_Processes[Outflow_count],,0,)</f>
        <v>#N/A</v>
      </c>
      <c r="J140" s="7" t="str">
        <f>_xlfn.XLOOKUP($E140,Tab_Def_Flows[Flow_Name],Tab_Def_Flows[Flow_ID],,0,1)</f>
        <v>F__</v>
      </c>
      <c r="K140" s="8"/>
      <c r="L140" s="17" t="str">
        <f t="shared" si="13"/>
        <v>TC_material_F__</v>
      </c>
      <c r="M140" s="144"/>
      <c r="N140" s="17" t="str">
        <f t="shared" si="14"/>
        <v>TC_WC_F__</v>
      </c>
      <c r="O140" s="144"/>
      <c r="P140" s="17" t="str">
        <f t="shared" si="15"/>
        <v>TC_DM_F__</v>
      </c>
      <c r="Q140" s="144"/>
      <c r="R140" s="17" t="str">
        <f t="shared" si="16"/>
        <v>TC_CC_F__</v>
      </c>
      <c r="S140" s="8"/>
      <c r="T140" s="15"/>
      <c r="U140" s="15"/>
      <c r="V140" s="15"/>
      <c r="W140" s="15"/>
      <c r="X140" s="15"/>
    </row>
    <row r="141" spans="1:24" x14ac:dyDescent="0.25">
      <c r="A141" s="146" t="b">
        <v>0</v>
      </c>
      <c r="B141" s="7">
        <f t="shared" si="12"/>
        <v>140</v>
      </c>
      <c r="C141" s="22" t="e">
        <f>_xlfn.XLOOKUP($D141,Tab_Def_Processes[Process_Name],Tab_Def_Processes[Process_ID],,0,)</f>
        <v>#N/A</v>
      </c>
      <c r="D141" s="142" t="s">
        <v>22</v>
      </c>
      <c r="E141" s="142" t="s">
        <v>22</v>
      </c>
      <c r="F141" s="22" t="e">
        <f>_xlfn.XLOOKUP($D141,Tab_Def_Processes[Process_Name],Tab_Def_Processes[Process_Logic],,0,)</f>
        <v>#N/A</v>
      </c>
      <c r="G141" s="22" t="e">
        <f>_xlfn.XLOOKUP($D141,Tab_Def_Processes[Process_Name],Tab_Def_Processes[TC_Configuration],,0,)</f>
        <v>#N/A</v>
      </c>
      <c r="H141" s="22" t="e">
        <f>_xlfn.XLOOKUP($D141,Tab_Def_Processes[Process_Name],Tab_Def_Processes[Stock_Configuration],,0,)</f>
        <v>#N/A</v>
      </c>
      <c r="I141" s="22" t="e">
        <f>_xlfn.XLOOKUP($D141,Tab_Def_Processes[Process_Name],Tab_Def_Processes[Outflow_count],,0,)</f>
        <v>#N/A</v>
      </c>
      <c r="J141" s="7" t="str">
        <f>_xlfn.XLOOKUP($E141,Tab_Def_Flows[Flow_Name],Tab_Def_Flows[Flow_ID],,0,1)</f>
        <v>F__</v>
      </c>
      <c r="K141" s="8"/>
      <c r="L141" s="17" t="str">
        <f t="shared" si="13"/>
        <v>TC_material_F__</v>
      </c>
      <c r="M141" s="144"/>
      <c r="N141" s="17" t="str">
        <f t="shared" si="14"/>
        <v>TC_WC_F__</v>
      </c>
      <c r="O141" s="144"/>
      <c r="P141" s="17" t="str">
        <f t="shared" si="15"/>
        <v>TC_DM_F__</v>
      </c>
      <c r="Q141" s="144"/>
      <c r="R141" s="17" t="str">
        <f t="shared" si="16"/>
        <v>TC_CC_F__</v>
      </c>
      <c r="S141" s="8"/>
      <c r="T141" s="15"/>
      <c r="U141" s="15"/>
      <c r="V141" s="15"/>
      <c r="W141" s="15"/>
      <c r="X141" s="15"/>
    </row>
    <row r="142" spans="1:24" x14ac:dyDescent="0.25">
      <c r="A142" s="146" t="b">
        <v>0</v>
      </c>
      <c r="B142" s="7">
        <f t="shared" si="12"/>
        <v>141</v>
      </c>
      <c r="C142" s="22" t="e">
        <f>_xlfn.XLOOKUP($D142,Tab_Def_Processes[Process_Name],Tab_Def_Processes[Process_ID],,0,)</f>
        <v>#N/A</v>
      </c>
      <c r="D142" s="142" t="s">
        <v>22</v>
      </c>
      <c r="E142" s="142" t="s">
        <v>22</v>
      </c>
      <c r="F142" s="22" t="e">
        <f>_xlfn.XLOOKUP($D142,Tab_Def_Processes[Process_Name],Tab_Def_Processes[Process_Logic],,0,)</f>
        <v>#N/A</v>
      </c>
      <c r="G142" s="22" t="e">
        <f>_xlfn.XLOOKUP($D142,Tab_Def_Processes[Process_Name],Tab_Def_Processes[TC_Configuration],,0,)</f>
        <v>#N/A</v>
      </c>
      <c r="H142" s="22" t="e">
        <f>_xlfn.XLOOKUP($D142,Tab_Def_Processes[Process_Name],Tab_Def_Processes[Stock_Configuration],,0,)</f>
        <v>#N/A</v>
      </c>
      <c r="I142" s="22" t="e">
        <f>_xlfn.XLOOKUP($D142,Tab_Def_Processes[Process_Name],Tab_Def_Processes[Outflow_count],,0,)</f>
        <v>#N/A</v>
      </c>
      <c r="J142" s="7" t="str">
        <f>_xlfn.XLOOKUP($E142,Tab_Def_Flows[Flow_Name],Tab_Def_Flows[Flow_ID],,0,1)</f>
        <v>F__</v>
      </c>
      <c r="K142" s="8"/>
      <c r="L142" s="17" t="str">
        <f t="shared" si="13"/>
        <v>TC_material_F__</v>
      </c>
      <c r="M142" s="144"/>
      <c r="N142" s="17" t="str">
        <f t="shared" si="14"/>
        <v>TC_WC_F__</v>
      </c>
      <c r="O142" s="144"/>
      <c r="P142" s="17" t="str">
        <f t="shared" si="15"/>
        <v>TC_DM_F__</v>
      </c>
      <c r="Q142" s="144"/>
      <c r="R142" s="17" t="str">
        <f t="shared" si="16"/>
        <v>TC_CC_F__</v>
      </c>
      <c r="S142" s="8"/>
      <c r="T142" s="15"/>
      <c r="U142" s="15"/>
      <c r="V142" s="15"/>
      <c r="W142" s="15"/>
      <c r="X142" s="15"/>
    </row>
    <row r="143" spans="1:24" x14ac:dyDescent="0.25">
      <c r="A143" s="146" t="b">
        <v>0</v>
      </c>
      <c r="B143" s="7">
        <f t="shared" si="12"/>
        <v>142</v>
      </c>
      <c r="C143" s="22" t="e">
        <f>_xlfn.XLOOKUP($D143,Tab_Def_Processes[Process_Name],Tab_Def_Processes[Process_ID],,0,)</f>
        <v>#N/A</v>
      </c>
      <c r="D143" s="142" t="s">
        <v>22</v>
      </c>
      <c r="E143" s="142" t="s">
        <v>22</v>
      </c>
      <c r="F143" s="22" t="e">
        <f>_xlfn.XLOOKUP($D143,Tab_Def_Processes[Process_Name],Tab_Def_Processes[Process_Logic],,0,)</f>
        <v>#N/A</v>
      </c>
      <c r="G143" s="22" t="e">
        <f>_xlfn.XLOOKUP($D143,Tab_Def_Processes[Process_Name],Tab_Def_Processes[TC_Configuration],,0,)</f>
        <v>#N/A</v>
      </c>
      <c r="H143" s="22" t="e">
        <f>_xlfn.XLOOKUP($D143,Tab_Def_Processes[Process_Name],Tab_Def_Processes[Stock_Configuration],,0,)</f>
        <v>#N/A</v>
      </c>
      <c r="I143" s="22" t="e">
        <f>_xlfn.XLOOKUP($D143,Tab_Def_Processes[Process_Name],Tab_Def_Processes[Outflow_count],,0,)</f>
        <v>#N/A</v>
      </c>
      <c r="J143" s="7" t="str">
        <f>_xlfn.XLOOKUP($E143,Tab_Def_Flows[Flow_Name],Tab_Def_Flows[Flow_ID],,0,1)</f>
        <v>F__</v>
      </c>
      <c r="K143" s="8"/>
      <c r="L143" s="17" t="str">
        <f t="shared" si="13"/>
        <v>TC_material_F__</v>
      </c>
      <c r="M143" s="144"/>
      <c r="N143" s="17" t="str">
        <f t="shared" si="14"/>
        <v>TC_WC_F__</v>
      </c>
      <c r="O143" s="144"/>
      <c r="P143" s="17" t="str">
        <f t="shared" si="15"/>
        <v>TC_DM_F__</v>
      </c>
      <c r="Q143" s="144"/>
      <c r="R143" s="17" t="str">
        <f t="shared" si="16"/>
        <v>TC_CC_F__</v>
      </c>
      <c r="S143" s="8"/>
      <c r="T143" s="15"/>
      <c r="U143" s="15"/>
      <c r="V143" s="15"/>
      <c r="W143" s="15"/>
      <c r="X143" s="15"/>
    </row>
    <row r="144" spans="1:24" x14ac:dyDescent="0.25">
      <c r="A144" s="146" t="b">
        <v>0</v>
      </c>
      <c r="B144" s="7">
        <f t="shared" si="12"/>
        <v>143</v>
      </c>
      <c r="C144" s="22" t="e">
        <f>_xlfn.XLOOKUP($D144,Tab_Def_Processes[Process_Name],Tab_Def_Processes[Process_ID],,0,)</f>
        <v>#N/A</v>
      </c>
      <c r="D144" s="142" t="s">
        <v>22</v>
      </c>
      <c r="E144" s="142" t="s">
        <v>22</v>
      </c>
      <c r="F144" s="22" t="e">
        <f>_xlfn.XLOOKUP($D144,Tab_Def_Processes[Process_Name],Tab_Def_Processes[Process_Logic],,0,)</f>
        <v>#N/A</v>
      </c>
      <c r="G144" s="22" t="e">
        <f>_xlfn.XLOOKUP($D144,Tab_Def_Processes[Process_Name],Tab_Def_Processes[TC_Configuration],,0,)</f>
        <v>#N/A</v>
      </c>
      <c r="H144" s="22" t="e">
        <f>_xlfn.XLOOKUP($D144,Tab_Def_Processes[Process_Name],Tab_Def_Processes[Stock_Configuration],,0,)</f>
        <v>#N/A</v>
      </c>
      <c r="I144" s="22" t="e">
        <f>_xlfn.XLOOKUP($D144,Tab_Def_Processes[Process_Name],Tab_Def_Processes[Outflow_count],,0,)</f>
        <v>#N/A</v>
      </c>
      <c r="J144" s="7" t="str">
        <f>_xlfn.XLOOKUP($E144,Tab_Def_Flows[Flow_Name],Tab_Def_Flows[Flow_ID],,0,1)</f>
        <v>F__</v>
      </c>
      <c r="K144" s="8"/>
      <c r="L144" s="17" t="str">
        <f t="shared" si="13"/>
        <v>TC_material_F__</v>
      </c>
      <c r="M144" s="144"/>
      <c r="N144" s="17" t="str">
        <f t="shared" si="14"/>
        <v>TC_WC_F__</v>
      </c>
      <c r="O144" s="144"/>
      <c r="P144" s="17" t="str">
        <f t="shared" si="15"/>
        <v>TC_DM_F__</v>
      </c>
      <c r="Q144" s="144"/>
      <c r="R144" s="17" t="str">
        <f t="shared" si="16"/>
        <v>TC_CC_F__</v>
      </c>
      <c r="S144" s="8"/>
      <c r="T144" s="15"/>
      <c r="U144" s="15"/>
      <c r="V144" s="15"/>
      <c r="W144" s="15"/>
      <c r="X144" s="15"/>
    </row>
    <row r="145" spans="1:24" x14ac:dyDescent="0.25">
      <c r="A145" s="146" t="b">
        <v>0</v>
      </c>
      <c r="B145" s="7">
        <f t="shared" si="12"/>
        <v>144</v>
      </c>
      <c r="C145" s="22" t="e">
        <f>_xlfn.XLOOKUP($D145,Tab_Def_Processes[Process_Name],Tab_Def_Processes[Process_ID],,0,)</f>
        <v>#N/A</v>
      </c>
      <c r="D145" s="142" t="s">
        <v>22</v>
      </c>
      <c r="E145" s="142" t="s">
        <v>22</v>
      </c>
      <c r="F145" s="22" t="e">
        <f>_xlfn.XLOOKUP($D145,Tab_Def_Processes[Process_Name],Tab_Def_Processes[Process_Logic],,0,)</f>
        <v>#N/A</v>
      </c>
      <c r="G145" s="22" t="e">
        <f>_xlfn.XLOOKUP($D145,Tab_Def_Processes[Process_Name],Tab_Def_Processes[TC_Configuration],,0,)</f>
        <v>#N/A</v>
      </c>
      <c r="H145" s="22" t="e">
        <f>_xlfn.XLOOKUP($D145,Tab_Def_Processes[Process_Name],Tab_Def_Processes[Stock_Configuration],,0,)</f>
        <v>#N/A</v>
      </c>
      <c r="I145" s="22" t="e">
        <f>_xlfn.XLOOKUP($D145,Tab_Def_Processes[Process_Name],Tab_Def_Processes[Outflow_count],,0,)</f>
        <v>#N/A</v>
      </c>
      <c r="J145" s="7" t="str">
        <f>_xlfn.XLOOKUP($E145,Tab_Def_Flows[Flow_Name],Tab_Def_Flows[Flow_ID],,0,1)</f>
        <v>F__</v>
      </c>
      <c r="K145" s="8"/>
      <c r="L145" s="17" t="str">
        <f t="shared" si="13"/>
        <v>TC_material_F__</v>
      </c>
      <c r="M145" s="144"/>
      <c r="N145" s="17" t="str">
        <f t="shared" si="14"/>
        <v>TC_WC_F__</v>
      </c>
      <c r="O145" s="144"/>
      <c r="P145" s="17" t="str">
        <f t="shared" si="15"/>
        <v>TC_DM_F__</v>
      </c>
      <c r="Q145" s="144"/>
      <c r="R145" s="17" t="str">
        <f t="shared" si="16"/>
        <v>TC_CC_F__</v>
      </c>
      <c r="S145" s="8"/>
      <c r="T145" s="15"/>
      <c r="U145" s="15"/>
      <c r="V145" s="15"/>
      <c r="W145" s="15"/>
      <c r="X145" s="15"/>
    </row>
    <row r="146" spans="1:24" x14ac:dyDescent="0.25">
      <c r="A146" s="146" t="b">
        <v>0</v>
      </c>
      <c r="B146" s="7">
        <f t="shared" si="12"/>
        <v>145</v>
      </c>
      <c r="C146" s="22" t="e">
        <f>_xlfn.XLOOKUP($D146,Tab_Def_Processes[Process_Name],Tab_Def_Processes[Process_ID],,0,)</f>
        <v>#N/A</v>
      </c>
      <c r="D146" s="142" t="s">
        <v>22</v>
      </c>
      <c r="E146" s="142" t="s">
        <v>22</v>
      </c>
      <c r="F146" s="22" t="e">
        <f>_xlfn.XLOOKUP($D146,Tab_Def_Processes[Process_Name],Tab_Def_Processes[Process_Logic],,0,)</f>
        <v>#N/A</v>
      </c>
      <c r="G146" s="22" t="e">
        <f>_xlfn.XLOOKUP($D146,Tab_Def_Processes[Process_Name],Tab_Def_Processes[TC_Configuration],,0,)</f>
        <v>#N/A</v>
      </c>
      <c r="H146" s="22" t="e">
        <f>_xlfn.XLOOKUP($D146,Tab_Def_Processes[Process_Name],Tab_Def_Processes[Stock_Configuration],,0,)</f>
        <v>#N/A</v>
      </c>
      <c r="I146" s="22" t="e">
        <f>_xlfn.XLOOKUP($D146,Tab_Def_Processes[Process_Name],Tab_Def_Processes[Outflow_count],,0,)</f>
        <v>#N/A</v>
      </c>
      <c r="J146" s="7" t="str">
        <f>_xlfn.XLOOKUP($E146,Tab_Def_Flows[Flow_Name],Tab_Def_Flows[Flow_ID],,0,1)</f>
        <v>F__</v>
      </c>
      <c r="K146" s="8"/>
      <c r="L146" s="17" t="str">
        <f t="shared" si="13"/>
        <v>TC_material_F__</v>
      </c>
      <c r="M146" s="144"/>
      <c r="N146" s="17" t="str">
        <f t="shared" si="14"/>
        <v>TC_WC_F__</v>
      </c>
      <c r="O146" s="144"/>
      <c r="P146" s="17" t="str">
        <f t="shared" si="15"/>
        <v>TC_DM_F__</v>
      </c>
      <c r="Q146" s="144"/>
      <c r="R146" s="17" t="str">
        <f t="shared" si="16"/>
        <v>TC_CC_F__</v>
      </c>
      <c r="S146" s="8"/>
      <c r="T146" s="15"/>
      <c r="U146" s="15"/>
      <c r="V146" s="15"/>
      <c r="W146" s="15"/>
      <c r="X146" s="15"/>
    </row>
    <row r="147" spans="1:24" x14ac:dyDescent="0.25">
      <c r="A147" s="146" t="b">
        <v>0</v>
      </c>
      <c r="B147" s="7">
        <f t="shared" si="12"/>
        <v>146</v>
      </c>
      <c r="C147" s="22" t="e">
        <f>_xlfn.XLOOKUP($D147,Tab_Def_Processes[Process_Name],Tab_Def_Processes[Process_ID],,0,)</f>
        <v>#N/A</v>
      </c>
      <c r="D147" s="142" t="s">
        <v>22</v>
      </c>
      <c r="E147" s="142" t="s">
        <v>22</v>
      </c>
      <c r="F147" s="22" t="e">
        <f>_xlfn.XLOOKUP($D147,Tab_Def_Processes[Process_Name],Tab_Def_Processes[Process_Logic],,0,)</f>
        <v>#N/A</v>
      </c>
      <c r="G147" s="22" t="e">
        <f>_xlfn.XLOOKUP($D147,Tab_Def_Processes[Process_Name],Tab_Def_Processes[TC_Configuration],,0,)</f>
        <v>#N/A</v>
      </c>
      <c r="H147" s="22" t="e">
        <f>_xlfn.XLOOKUP($D147,Tab_Def_Processes[Process_Name],Tab_Def_Processes[Stock_Configuration],,0,)</f>
        <v>#N/A</v>
      </c>
      <c r="I147" s="22" t="e">
        <f>_xlfn.XLOOKUP($D147,Tab_Def_Processes[Process_Name],Tab_Def_Processes[Outflow_count],,0,)</f>
        <v>#N/A</v>
      </c>
      <c r="J147" s="7" t="str">
        <f>_xlfn.XLOOKUP($E147,Tab_Def_Flows[Flow_Name],Tab_Def_Flows[Flow_ID],,0,1)</f>
        <v>F__</v>
      </c>
      <c r="K147" s="8"/>
      <c r="L147" s="17" t="str">
        <f t="shared" si="13"/>
        <v>TC_material_F__</v>
      </c>
      <c r="M147" s="144"/>
      <c r="N147" s="17" t="str">
        <f t="shared" si="14"/>
        <v>TC_WC_F__</v>
      </c>
      <c r="O147" s="144"/>
      <c r="P147" s="17" t="str">
        <f t="shared" si="15"/>
        <v>TC_DM_F__</v>
      </c>
      <c r="Q147" s="144"/>
      <c r="R147" s="17" t="str">
        <f t="shared" si="16"/>
        <v>TC_CC_F__</v>
      </c>
      <c r="S147" s="8"/>
      <c r="T147" s="15"/>
      <c r="U147" s="15"/>
      <c r="V147" s="15"/>
      <c r="W147" s="15"/>
      <c r="X147" s="15"/>
    </row>
    <row r="148" spans="1:24" x14ac:dyDescent="0.25">
      <c r="A148" s="146" t="b">
        <v>0</v>
      </c>
      <c r="B148" s="7">
        <f t="shared" si="12"/>
        <v>147</v>
      </c>
      <c r="C148" s="22" t="e">
        <f>_xlfn.XLOOKUP($D148,Tab_Def_Processes[Process_Name],Tab_Def_Processes[Process_ID],,0,)</f>
        <v>#N/A</v>
      </c>
      <c r="D148" s="142" t="s">
        <v>22</v>
      </c>
      <c r="E148" s="142" t="s">
        <v>22</v>
      </c>
      <c r="F148" s="22" t="e">
        <f>_xlfn.XLOOKUP($D148,Tab_Def_Processes[Process_Name],Tab_Def_Processes[Process_Logic],,0,)</f>
        <v>#N/A</v>
      </c>
      <c r="G148" s="22" t="e">
        <f>_xlfn.XLOOKUP($D148,Tab_Def_Processes[Process_Name],Tab_Def_Processes[TC_Configuration],,0,)</f>
        <v>#N/A</v>
      </c>
      <c r="H148" s="22" t="e">
        <f>_xlfn.XLOOKUP($D148,Tab_Def_Processes[Process_Name],Tab_Def_Processes[Stock_Configuration],,0,)</f>
        <v>#N/A</v>
      </c>
      <c r="I148" s="22" t="e">
        <f>_xlfn.XLOOKUP($D148,Tab_Def_Processes[Process_Name],Tab_Def_Processes[Outflow_count],,0,)</f>
        <v>#N/A</v>
      </c>
      <c r="J148" s="7" t="str">
        <f>_xlfn.XLOOKUP($E148,Tab_Def_Flows[Flow_Name],Tab_Def_Flows[Flow_ID],,0,1)</f>
        <v>F__</v>
      </c>
      <c r="K148" s="8"/>
      <c r="L148" s="17" t="str">
        <f t="shared" si="13"/>
        <v>TC_material_F__</v>
      </c>
      <c r="M148" s="144"/>
      <c r="N148" s="17" t="str">
        <f t="shared" si="14"/>
        <v>TC_WC_F__</v>
      </c>
      <c r="O148" s="144"/>
      <c r="P148" s="17" t="str">
        <f t="shared" si="15"/>
        <v>TC_DM_F__</v>
      </c>
      <c r="Q148" s="144"/>
      <c r="R148" s="17" t="str">
        <f t="shared" si="16"/>
        <v>TC_CC_F__</v>
      </c>
      <c r="S148" s="8"/>
      <c r="T148" s="15"/>
      <c r="U148" s="15"/>
      <c r="V148" s="15"/>
      <c r="W148" s="15"/>
      <c r="X148" s="15"/>
    </row>
    <row r="149" spans="1:24" x14ac:dyDescent="0.25">
      <c r="A149" s="146" t="b">
        <v>0</v>
      </c>
      <c r="B149" s="7">
        <f t="shared" si="12"/>
        <v>148</v>
      </c>
      <c r="C149" s="22" t="e">
        <f>_xlfn.XLOOKUP($D149,Tab_Def_Processes[Process_Name],Tab_Def_Processes[Process_ID],,0,)</f>
        <v>#N/A</v>
      </c>
      <c r="D149" s="142" t="s">
        <v>22</v>
      </c>
      <c r="E149" s="142" t="s">
        <v>22</v>
      </c>
      <c r="F149" s="22" t="e">
        <f>_xlfn.XLOOKUP($D149,Tab_Def_Processes[Process_Name],Tab_Def_Processes[Process_Logic],,0,)</f>
        <v>#N/A</v>
      </c>
      <c r="G149" s="22" t="e">
        <f>_xlfn.XLOOKUP($D149,Tab_Def_Processes[Process_Name],Tab_Def_Processes[TC_Configuration],,0,)</f>
        <v>#N/A</v>
      </c>
      <c r="H149" s="22" t="e">
        <f>_xlfn.XLOOKUP($D149,Tab_Def_Processes[Process_Name],Tab_Def_Processes[Stock_Configuration],,0,)</f>
        <v>#N/A</v>
      </c>
      <c r="I149" s="22" t="e">
        <f>_xlfn.XLOOKUP($D149,Tab_Def_Processes[Process_Name],Tab_Def_Processes[Outflow_count],,0,)</f>
        <v>#N/A</v>
      </c>
      <c r="J149" s="7" t="str">
        <f>_xlfn.XLOOKUP($E149,Tab_Def_Flows[Flow_Name],Tab_Def_Flows[Flow_ID],,0,1)</f>
        <v>F__</v>
      </c>
      <c r="K149" s="8"/>
      <c r="L149" s="17" t="str">
        <f t="shared" si="13"/>
        <v>TC_material_F__</v>
      </c>
      <c r="M149" s="144"/>
      <c r="N149" s="17" t="str">
        <f t="shared" si="14"/>
        <v>TC_WC_F__</v>
      </c>
      <c r="O149" s="144"/>
      <c r="P149" s="17" t="str">
        <f t="shared" si="15"/>
        <v>TC_DM_F__</v>
      </c>
      <c r="Q149" s="144"/>
      <c r="R149" s="17" t="str">
        <f t="shared" si="16"/>
        <v>TC_CC_F__</v>
      </c>
      <c r="S149" s="8"/>
      <c r="T149" s="15"/>
      <c r="U149" s="15"/>
      <c r="V149" s="15"/>
      <c r="W149" s="15"/>
      <c r="X149" s="15"/>
    </row>
    <row r="150" spans="1:24" x14ac:dyDescent="0.25">
      <c r="A150" s="146" t="b">
        <v>0</v>
      </c>
      <c r="B150" s="7">
        <f t="shared" si="12"/>
        <v>149</v>
      </c>
      <c r="C150" s="22" t="e">
        <f>_xlfn.XLOOKUP($D150,Tab_Def_Processes[Process_Name],Tab_Def_Processes[Process_ID],,0,)</f>
        <v>#N/A</v>
      </c>
      <c r="D150" s="142" t="s">
        <v>22</v>
      </c>
      <c r="E150" s="142" t="s">
        <v>22</v>
      </c>
      <c r="F150" s="22" t="e">
        <f>_xlfn.XLOOKUP($D150,Tab_Def_Processes[Process_Name],Tab_Def_Processes[Process_Logic],,0,)</f>
        <v>#N/A</v>
      </c>
      <c r="G150" s="22" t="e">
        <f>_xlfn.XLOOKUP($D150,Tab_Def_Processes[Process_Name],Tab_Def_Processes[TC_Configuration],,0,)</f>
        <v>#N/A</v>
      </c>
      <c r="H150" s="22" t="e">
        <f>_xlfn.XLOOKUP($D150,Tab_Def_Processes[Process_Name],Tab_Def_Processes[Stock_Configuration],,0,)</f>
        <v>#N/A</v>
      </c>
      <c r="I150" s="22" t="e">
        <f>_xlfn.XLOOKUP($D150,Tab_Def_Processes[Process_Name],Tab_Def_Processes[Outflow_count],,0,)</f>
        <v>#N/A</v>
      </c>
      <c r="J150" s="7" t="str">
        <f>_xlfn.XLOOKUP($E150,Tab_Def_Flows[Flow_Name],Tab_Def_Flows[Flow_ID],,0,1)</f>
        <v>F__</v>
      </c>
      <c r="K150" s="8"/>
      <c r="L150" s="17" t="str">
        <f t="shared" si="13"/>
        <v>TC_material_F__</v>
      </c>
      <c r="M150" s="144"/>
      <c r="N150" s="17" t="str">
        <f t="shared" si="14"/>
        <v>TC_WC_F__</v>
      </c>
      <c r="O150" s="144"/>
      <c r="P150" s="17" t="str">
        <f t="shared" si="15"/>
        <v>TC_DM_F__</v>
      </c>
      <c r="Q150" s="144"/>
      <c r="R150" s="17" t="str">
        <f t="shared" si="16"/>
        <v>TC_CC_F__</v>
      </c>
      <c r="S150" s="8"/>
      <c r="T150" s="15"/>
      <c r="U150" s="15"/>
      <c r="V150" s="15"/>
      <c r="W150" s="15"/>
      <c r="X150" s="15"/>
    </row>
    <row r="151" spans="1:24" x14ac:dyDescent="0.25">
      <c r="A151" s="146" t="b">
        <v>0</v>
      </c>
      <c r="B151" s="7">
        <f t="shared" si="12"/>
        <v>150</v>
      </c>
      <c r="C151" s="22" t="e">
        <f>_xlfn.XLOOKUP($D151,Tab_Def_Processes[Process_Name],Tab_Def_Processes[Process_ID],,0,)</f>
        <v>#N/A</v>
      </c>
      <c r="D151" s="142" t="s">
        <v>22</v>
      </c>
      <c r="E151" s="142" t="s">
        <v>22</v>
      </c>
      <c r="F151" s="22" t="e">
        <f>_xlfn.XLOOKUP($D151,Tab_Def_Processes[Process_Name],Tab_Def_Processes[Process_Logic],,0,)</f>
        <v>#N/A</v>
      </c>
      <c r="G151" s="22" t="e">
        <f>_xlfn.XLOOKUP($D151,Tab_Def_Processes[Process_Name],Tab_Def_Processes[TC_Configuration],,0,)</f>
        <v>#N/A</v>
      </c>
      <c r="H151" s="22" t="e">
        <f>_xlfn.XLOOKUP($D151,Tab_Def_Processes[Process_Name],Tab_Def_Processes[Stock_Configuration],,0,)</f>
        <v>#N/A</v>
      </c>
      <c r="I151" s="22" t="e">
        <f>_xlfn.XLOOKUP($D151,Tab_Def_Processes[Process_Name],Tab_Def_Processes[Outflow_count],,0,)</f>
        <v>#N/A</v>
      </c>
      <c r="J151" s="7" t="str">
        <f>_xlfn.XLOOKUP($E151,Tab_Def_Flows[Flow_Name],Tab_Def_Flows[Flow_ID],,0,1)</f>
        <v>F__</v>
      </c>
      <c r="K151" s="8"/>
      <c r="L151" s="17" t="str">
        <f t="shared" si="13"/>
        <v>TC_material_F__</v>
      </c>
      <c r="M151" s="144"/>
      <c r="N151" s="17" t="str">
        <f t="shared" si="14"/>
        <v>TC_WC_F__</v>
      </c>
      <c r="O151" s="144"/>
      <c r="P151" s="17" t="str">
        <f t="shared" si="15"/>
        <v>TC_DM_F__</v>
      </c>
      <c r="Q151" s="144"/>
      <c r="R151" s="17" t="str">
        <f t="shared" si="16"/>
        <v>TC_CC_F__</v>
      </c>
      <c r="S151" s="8"/>
      <c r="T151" s="15"/>
      <c r="U151" s="15"/>
      <c r="V151" s="15"/>
      <c r="W151" s="15"/>
      <c r="X151" s="15"/>
    </row>
  </sheetData>
  <sheetProtection selectLockedCells="1"/>
  <phoneticPr fontId="2" type="noConversion"/>
  <conditionalFormatting sqref="T152:T1048576">
    <cfRule type="iconSet" priority="1">
      <iconSet>
        <cfvo type="percent" val="0"/>
        <cfvo type="percent" val="0.01"/>
        <cfvo type="percent" val="1"/>
      </iconSet>
    </cfRule>
  </conditionalFormatting>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E70A1220-F6BB-4B6C-91C7-5FE358B027E5}">
          <x14:formula1>
            <xm:f>'1_1_Definition_Flows'!$D$2:$D$70</xm:f>
          </x14:formula1>
          <xm:sqref>E2:E151</xm:sqref>
        </x14:dataValidation>
        <x14:dataValidation type="list" allowBlank="1" showInputMessage="1" showErrorMessage="1" xr:uid="{F4EFD03A-BDB8-4DE7-AC41-A9180EB54B38}">
          <x14:formula1>
            <xm:f>'2_1_Definition_Processes'!$D$2:$D$47</xm:f>
          </x14:formula1>
          <xm:sqref>D2:D151 E152:O1048576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theme="9" tint="0.79998168889431442"/>
  </sheetPr>
  <dimension ref="A1:T51"/>
  <sheetViews>
    <sheetView topLeftCell="J1" zoomScaleNormal="100" workbookViewId="0">
      <selection activeCell="S41" sqref="S41"/>
    </sheetView>
  </sheetViews>
  <sheetFormatPr defaultColWidth="10.85546875" defaultRowHeight="15" x14ac:dyDescent="0.25"/>
  <cols>
    <col min="2" max="2" width="23.7109375" customWidth="1"/>
    <col min="3" max="3" width="20.42578125" customWidth="1"/>
    <col min="4" max="4" width="20.7109375" customWidth="1"/>
    <col min="5" max="5" width="18.42578125" customWidth="1"/>
    <col min="6" max="6" width="21.42578125" customWidth="1"/>
    <col min="7" max="8" width="16.42578125" customWidth="1"/>
    <col min="9" max="9" width="25.85546875" customWidth="1"/>
    <col min="10" max="10" width="27.5703125" customWidth="1"/>
    <col min="12" max="12" width="23.7109375" customWidth="1"/>
    <col min="13" max="13" width="17.7109375" customWidth="1"/>
    <col min="14" max="14" width="22.85546875" customWidth="1"/>
    <col min="15" max="15" width="32.5703125" customWidth="1"/>
    <col min="16" max="18" width="22.28515625" customWidth="1"/>
    <col min="19" max="19" width="24.42578125" customWidth="1"/>
    <col min="20" max="20" width="30.85546875" customWidth="1"/>
  </cols>
  <sheetData>
    <row r="1" spans="1:20" x14ac:dyDescent="0.25">
      <c r="A1" s="145" t="s">
        <v>41</v>
      </c>
      <c r="B1" s="145" t="s">
        <v>19</v>
      </c>
      <c r="C1" s="145" t="s">
        <v>42</v>
      </c>
      <c r="D1" s="145" t="s">
        <v>38</v>
      </c>
      <c r="E1" s="145" t="s">
        <v>541</v>
      </c>
      <c r="F1" s="145" t="s">
        <v>503</v>
      </c>
      <c r="G1" s="145" t="s">
        <v>579</v>
      </c>
      <c r="H1" s="145" t="s">
        <v>580</v>
      </c>
      <c r="I1" s="145" t="s">
        <v>660</v>
      </c>
      <c r="J1" s="145" t="s">
        <v>201</v>
      </c>
      <c r="K1" s="145" t="s">
        <v>1</v>
      </c>
      <c r="L1" s="145" t="s">
        <v>202</v>
      </c>
      <c r="M1" s="145" t="s">
        <v>203</v>
      </c>
      <c r="N1" s="145" t="s">
        <v>204</v>
      </c>
      <c r="O1" s="145" t="s">
        <v>246</v>
      </c>
      <c r="P1" s="145" t="s">
        <v>245</v>
      </c>
      <c r="Q1" s="145" t="s">
        <v>244</v>
      </c>
      <c r="R1" s="145" t="s">
        <v>26</v>
      </c>
      <c r="S1" s="145" t="s">
        <v>242</v>
      </c>
      <c r="T1" s="145" t="s">
        <v>243</v>
      </c>
    </row>
    <row r="2" spans="1:20" x14ac:dyDescent="0.25">
      <c r="A2" s="146" t="b">
        <v>0</v>
      </c>
      <c r="B2" s="7">
        <f t="shared" ref="B2:B33" si="0">ROW()-1</f>
        <v>1</v>
      </c>
      <c r="C2" s="7" t="str">
        <f>"S"&amp;"_"&amp;LEFT(D2,2)</f>
        <v>S_02</v>
      </c>
      <c r="D2" s="7" t="str">
        <f>_xlfn.XLOOKUP($E2,Tab_Def_Processes[Process_Name],Tab_Def_Processes[Process_ID],,0,)</f>
        <v>02</v>
      </c>
      <c r="E2" s="142" t="s">
        <v>520</v>
      </c>
      <c r="F2" s="7" t="str">
        <f>_xlfn.XLOOKUP($E2,Tab_Def_Processes[Process_Name],Tab_Def_Processes[Process_Logic],,0,)</f>
        <v>Splitter</v>
      </c>
      <c r="G2" s="7" t="str">
        <f>_xlfn.XLOOKUP($E2,Tab_Def_Processes[Process_Name],Tab_Def_Processes[TC_Configuration],,0,)</f>
        <v>Dynamic</v>
      </c>
      <c r="H2" s="22" t="str">
        <f>_xlfn.XLOOKUP($E2,Tab_Def_Processes[Process_Name],Tab_Def_Processes[Stock_Configuration],,0,)</f>
        <v>No_Stock</v>
      </c>
      <c r="I2" s="22">
        <f>_xlfn.XLOOKUP($E2,Tab_Def_Processes[Process_Name],Tab_Def_Processes[Outflow_count],,0,)</f>
        <v>3</v>
      </c>
      <c r="J2" s="140"/>
      <c r="K2" s="8"/>
      <c r="L2" s="13"/>
      <c r="M2" s="13"/>
      <c r="N2" s="13"/>
      <c r="O2" s="8"/>
      <c r="P2" s="7"/>
      <c r="Q2" s="8"/>
      <c r="R2" s="7" t="str">
        <f>_xlfn.XLOOKUP(Q2,Tab_Def_Flows[Flow_Name],Tab_Def_Flows[Flow_ID],,0,)</f>
        <v>F_13_13</v>
      </c>
      <c r="S2" s="150"/>
      <c r="T2" s="150"/>
    </row>
    <row r="3" spans="1:20" x14ac:dyDescent="0.25">
      <c r="A3" s="146" t="b">
        <v>0</v>
      </c>
      <c r="B3" s="7">
        <f t="shared" si="0"/>
        <v>2</v>
      </c>
      <c r="C3" s="7" t="e">
        <f t="shared" ref="C3:C51" si="1">"S"&amp;"_"&amp;LEFT(D3,2)</f>
        <v>#N/A</v>
      </c>
      <c r="D3" s="7" t="e">
        <f>_xlfn.XLOOKUP($E3,Tab_Def_Processes[Process_Name],Tab_Def_Processes[Process_ID],,0,)</f>
        <v>#N/A</v>
      </c>
      <c r="E3" s="142" t="s">
        <v>22</v>
      </c>
      <c r="F3" s="7" t="e">
        <f>_xlfn.XLOOKUP($E3,Tab_Def_Processes[Process_Name],Tab_Def_Processes[Process_Logic],,0,)</f>
        <v>#N/A</v>
      </c>
      <c r="G3" s="7" t="e">
        <f>_xlfn.XLOOKUP($E3,Tab_Def_Processes[Process_Name],Tab_Def_Processes[TC_Configuration],,0,)</f>
        <v>#N/A</v>
      </c>
      <c r="H3" s="22" t="e">
        <f>_xlfn.XLOOKUP($E3,Tab_Def_Processes[Process_Name],Tab_Def_Processes[Stock_Configuration],,0,)</f>
        <v>#N/A</v>
      </c>
      <c r="I3" s="22" t="e">
        <f>_xlfn.XLOOKUP($E3,Tab_Def_Processes[Process_Name],Tab_Def_Processes[Outflow_count],,0,)</f>
        <v>#N/A</v>
      </c>
      <c r="J3" s="140"/>
      <c r="K3" s="8"/>
      <c r="L3" s="13"/>
      <c r="M3" s="13"/>
      <c r="N3" s="13"/>
      <c r="O3" s="8"/>
      <c r="P3" s="7"/>
      <c r="Q3" s="8"/>
      <c r="R3" s="7"/>
      <c r="S3" s="8"/>
      <c r="T3" s="150"/>
    </row>
    <row r="4" spans="1:20" x14ac:dyDescent="0.25">
      <c r="A4" s="146" t="b">
        <v>0</v>
      </c>
      <c r="B4" s="7">
        <f t="shared" si="0"/>
        <v>3</v>
      </c>
      <c r="C4" s="7" t="e">
        <f t="shared" si="1"/>
        <v>#N/A</v>
      </c>
      <c r="D4" s="7" t="e">
        <f>_xlfn.XLOOKUP($E4,Tab_Def_Processes[Process_Name],Tab_Def_Processes[Process_ID],,0,)</f>
        <v>#N/A</v>
      </c>
      <c r="E4" s="142" t="s">
        <v>22</v>
      </c>
      <c r="F4" s="7" t="e">
        <f>_xlfn.XLOOKUP($E4,Tab_Def_Processes[Process_Name],Tab_Def_Processes[Process_Logic],,0,)</f>
        <v>#N/A</v>
      </c>
      <c r="G4" s="7" t="e">
        <f>_xlfn.XLOOKUP($E4,Tab_Def_Processes[Process_Name],Tab_Def_Processes[TC_Configuration],,0,)</f>
        <v>#N/A</v>
      </c>
      <c r="H4" s="22" t="e">
        <f>_xlfn.XLOOKUP($E4,Tab_Def_Processes[Process_Name],Tab_Def_Processes[Stock_Configuration],,0,)</f>
        <v>#N/A</v>
      </c>
      <c r="I4" s="22" t="e">
        <f>_xlfn.XLOOKUP($E4,Tab_Def_Processes[Process_Name],Tab_Def_Processes[Outflow_count],,0,)</f>
        <v>#N/A</v>
      </c>
      <c r="J4" s="140"/>
      <c r="K4" s="8"/>
      <c r="L4" s="13"/>
      <c r="M4" s="13"/>
      <c r="N4" s="13"/>
      <c r="O4" s="8"/>
      <c r="P4" s="7"/>
      <c r="Q4" s="8"/>
      <c r="R4" s="7"/>
      <c r="S4" s="8"/>
      <c r="T4" s="150"/>
    </row>
    <row r="5" spans="1:20" x14ac:dyDescent="0.25">
      <c r="A5" s="146" t="b">
        <v>0</v>
      </c>
      <c r="B5" s="7">
        <f t="shared" si="0"/>
        <v>4</v>
      </c>
      <c r="C5" s="7" t="e">
        <f t="shared" si="1"/>
        <v>#N/A</v>
      </c>
      <c r="D5" s="7" t="e">
        <f>_xlfn.XLOOKUP($E5,Tab_Def_Processes[Process_Name],Tab_Def_Processes[Process_ID],,0,)</f>
        <v>#N/A</v>
      </c>
      <c r="E5" s="142" t="s">
        <v>22</v>
      </c>
      <c r="F5" s="7" t="e">
        <f>_xlfn.XLOOKUP($E5,Tab_Def_Processes[Process_Name],Tab_Def_Processes[Process_Logic],,0,)</f>
        <v>#N/A</v>
      </c>
      <c r="G5" s="7" t="e">
        <f>_xlfn.XLOOKUP($E5,Tab_Def_Processes[Process_Name],Tab_Def_Processes[TC_Configuration],,0,)</f>
        <v>#N/A</v>
      </c>
      <c r="H5" s="22" t="e">
        <f>_xlfn.XLOOKUP($E5,Tab_Def_Processes[Process_Name],Tab_Def_Processes[Stock_Configuration],,0,)</f>
        <v>#N/A</v>
      </c>
      <c r="I5" s="22" t="e">
        <f>_xlfn.XLOOKUP($E5,Tab_Def_Processes[Process_Name],Tab_Def_Processes[Outflow_count],,0,)</f>
        <v>#N/A</v>
      </c>
      <c r="J5" s="141"/>
      <c r="K5" s="8"/>
      <c r="L5" s="13"/>
      <c r="M5" s="13"/>
      <c r="N5" s="13"/>
      <c r="O5" s="8"/>
      <c r="P5" s="7"/>
      <c r="Q5" s="8"/>
      <c r="R5" s="7"/>
      <c r="S5" s="8"/>
      <c r="T5" s="150"/>
    </row>
    <row r="6" spans="1:20" x14ac:dyDescent="0.25">
      <c r="A6" s="146" t="b">
        <v>0</v>
      </c>
      <c r="B6" s="7">
        <f t="shared" si="0"/>
        <v>5</v>
      </c>
      <c r="C6" s="7" t="e">
        <f t="shared" si="1"/>
        <v>#N/A</v>
      </c>
      <c r="D6" s="7" t="e">
        <f>_xlfn.XLOOKUP($E6,Tab_Def_Processes[Process_Name],Tab_Def_Processes[Process_ID],,0,)</f>
        <v>#N/A</v>
      </c>
      <c r="E6" s="142" t="s">
        <v>22</v>
      </c>
      <c r="F6" s="7" t="e">
        <f>_xlfn.XLOOKUP($E6,Tab_Def_Processes[Process_Name],Tab_Def_Processes[Process_Logic],,0,)</f>
        <v>#N/A</v>
      </c>
      <c r="G6" s="7" t="e">
        <f>_xlfn.XLOOKUP($E6,Tab_Def_Processes[Process_Name],Tab_Def_Processes[TC_Configuration],,0,)</f>
        <v>#N/A</v>
      </c>
      <c r="H6" s="22" t="e">
        <f>_xlfn.XLOOKUP($E6,Tab_Def_Processes[Process_Name],Tab_Def_Processes[Stock_Configuration],,0,)</f>
        <v>#N/A</v>
      </c>
      <c r="I6" s="22" t="e">
        <f>_xlfn.XLOOKUP($E6,Tab_Def_Processes[Process_Name],Tab_Def_Processes[Outflow_count],,0,)</f>
        <v>#N/A</v>
      </c>
      <c r="J6" s="140"/>
      <c r="K6" s="8"/>
      <c r="L6" s="8"/>
      <c r="M6" s="8"/>
      <c r="N6" s="8"/>
      <c r="O6" s="8"/>
      <c r="P6" s="7"/>
      <c r="Q6" s="8"/>
      <c r="R6" s="7"/>
      <c r="S6" s="8"/>
      <c r="T6" s="150"/>
    </row>
    <row r="7" spans="1:20" x14ac:dyDescent="0.25">
      <c r="A7" s="146" t="b">
        <v>0</v>
      </c>
      <c r="B7" s="7">
        <f t="shared" si="0"/>
        <v>6</v>
      </c>
      <c r="C7" s="7" t="e">
        <f t="shared" si="1"/>
        <v>#N/A</v>
      </c>
      <c r="D7" s="7" t="e">
        <f>_xlfn.XLOOKUP($E7,Tab_Def_Processes[Process_Name],Tab_Def_Processes[Process_ID],,0,)</f>
        <v>#N/A</v>
      </c>
      <c r="E7" s="142" t="s">
        <v>22</v>
      </c>
      <c r="F7" s="7" t="e">
        <f>_xlfn.XLOOKUP($E7,Tab_Def_Processes[Process_Name],Tab_Def_Processes[Process_Logic],,0,)</f>
        <v>#N/A</v>
      </c>
      <c r="G7" s="7" t="e">
        <f>_xlfn.XLOOKUP($E7,Tab_Def_Processes[Process_Name],Tab_Def_Processes[TC_Configuration],,0,)</f>
        <v>#N/A</v>
      </c>
      <c r="H7" s="22" t="e">
        <f>_xlfn.XLOOKUP($E7,Tab_Def_Processes[Process_Name],Tab_Def_Processes[Stock_Configuration],,0,)</f>
        <v>#N/A</v>
      </c>
      <c r="I7" s="22" t="e">
        <f>_xlfn.XLOOKUP($E7,Tab_Def_Processes[Process_Name],Tab_Def_Processes[Outflow_count],,0,)</f>
        <v>#N/A</v>
      </c>
      <c r="J7" s="140"/>
      <c r="K7" s="8"/>
      <c r="L7" s="8"/>
      <c r="M7" s="8"/>
      <c r="N7" s="8"/>
      <c r="O7" s="8"/>
      <c r="P7" s="7"/>
      <c r="Q7" s="8"/>
      <c r="R7" s="7"/>
      <c r="S7" s="8"/>
      <c r="T7" s="150"/>
    </row>
    <row r="8" spans="1:20" x14ac:dyDescent="0.25">
      <c r="A8" s="146" t="b">
        <v>0</v>
      </c>
      <c r="B8" s="7">
        <f t="shared" si="0"/>
        <v>7</v>
      </c>
      <c r="C8" s="7" t="e">
        <f t="shared" si="1"/>
        <v>#N/A</v>
      </c>
      <c r="D8" s="7" t="e">
        <f>_xlfn.XLOOKUP($E8,Tab_Def_Processes[Process_Name],Tab_Def_Processes[Process_ID],,0,)</f>
        <v>#N/A</v>
      </c>
      <c r="E8" s="142" t="s">
        <v>22</v>
      </c>
      <c r="F8" s="7" t="e">
        <f>_xlfn.XLOOKUP($E8,Tab_Def_Processes[Process_Name],Tab_Def_Processes[Process_Logic],,0,)</f>
        <v>#N/A</v>
      </c>
      <c r="G8" s="7" t="e">
        <f>_xlfn.XLOOKUP($E8,Tab_Def_Processes[Process_Name],Tab_Def_Processes[TC_Configuration],,0,)</f>
        <v>#N/A</v>
      </c>
      <c r="H8" s="22" t="e">
        <f>_xlfn.XLOOKUP($E8,Tab_Def_Processes[Process_Name],Tab_Def_Processes[Stock_Configuration],,0,)</f>
        <v>#N/A</v>
      </c>
      <c r="I8" s="22" t="e">
        <f>_xlfn.XLOOKUP($E8,Tab_Def_Processes[Process_Name],Tab_Def_Processes[Outflow_count],,0,)</f>
        <v>#N/A</v>
      </c>
      <c r="J8" s="140"/>
      <c r="K8" s="8"/>
      <c r="L8" s="8"/>
      <c r="M8" s="8"/>
      <c r="N8" s="8"/>
      <c r="O8" s="8"/>
      <c r="P8" s="7"/>
      <c r="Q8" s="8"/>
      <c r="R8" s="7"/>
      <c r="S8" s="8"/>
      <c r="T8" s="150"/>
    </row>
    <row r="9" spans="1:20" x14ac:dyDescent="0.25">
      <c r="A9" s="146" t="b">
        <v>0</v>
      </c>
      <c r="B9" s="7">
        <f t="shared" si="0"/>
        <v>8</v>
      </c>
      <c r="C9" s="7" t="e">
        <f t="shared" si="1"/>
        <v>#N/A</v>
      </c>
      <c r="D9" s="7" t="e">
        <f>_xlfn.XLOOKUP($E9,Tab_Def_Processes[Process_Name],Tab_Def_Processes[Process_ID],,0,)</f>
        <v>#N/A</v>
      </c>
      <c r="E9" s="142" t="s">
        <v>22</v>
      </c>
      <c r="F9" s="7" t="e">
        <f>_xlfn.XLOOKUP($E9,Tab_Def_Processes[Process_Name],Tab_Def_Processes[Process_Logic],,0,)</f>
        <v>#N/A</v>
      </c>
      <c r="G9" s="7" t="e">
        <f>_xlfn.XLOOKUP($E9,Tab_Def_Processes[Process_Name],Tab_Def_Processes[TC_Configuration],,0,)</f>
        <v>#N/A</v>
      </c>
      <c r="H9" s="22" t="e">
        <f>_xlfn.XLOOKUP($E9,Tab_Def_Processes[Process_Name],Tab_Def_Processes[Stock_Configuration],,0,)</f>
        <v>#N/A</v>
      </c>
      <c r="I9" s="22" t="e">
        <f>_xlfn.XLOOKUP($E9,Tab_Def_Processes[Process_Name],Tab_Def_Processes[Outflow_count],,0,)</f>
        <v>#N/A</v>
      </c>
      <c r="J9" s="140"/>
      <c r="K9" s="8"/>
      <c r="L9" s="8"/>
      <c r="M9" s="8"/>
      <c r="N9" s="8"/>
      <c r="O9" s="8"/>
      <c r="P9" s="7"/>
      <c r="Q9" s="8"/>
      <c r="R9" s="7"/>
      <c r="S9" s="8"/>
      <c r="T9" s="150"/>
    </row>
    <row r="10" spans="1:20" x14ac:dyDescent="0.25">
      <c r="A10" s="146" t="b">
        <v>0</v>
      </c>
      <c r="B10" s="7">
        <f t="shared" si="0"/>
        <v>9</v>
      </c>
      <c r="C10" s="7" t="e">
        <f t="shared" si="1"/>
        <v>#N/A</v>
      </c>
      <c r="D10" s="7" t="e">
        <f>_xlfn.XLOOKUP($E10,Tab_Def_Processes[Process_Name],Tab_Def_Processes[Process_ID],,0,)</f>
        <v>#N/A</v>
      </c>
      <c r="E10" s="142" t="s">
        <v>22</v>
      </c>
      <c r="F10" s="7" t="e">
        <f>_xlfn.XLOOKUP($E10,Tab_Def_Processes[Process_Name],Tab_Def_Processes[Process_Logic],,0,)</f>
        <v>#N/A</v>
      </c>
      <c r="G10" s="7" t="e">
        <f>_xlfn.XLOOKUP($E10,Tab_Def_Processes[Process_Name],Tab_Def_Processes[TC_Configuration],,0,)</f>
        <v>#N/A</v>
      </c>
      <c r="H10" s="22" t="e">
        <f>_xlfn.XLOOKUP($E10,Tab_Def_Processes[Process_Name],Tab_Def_Processes[Stock_Configuration],,0,)</f>
        <v>#N/A</v>
      </c>
      <c r="I10" s="22" t="e">
        <f>_xlfn.XLOOKUP($E10,Tab_Def_Processes[Process_Name],Tab_Def_Processes[Outflow_count],,0,)</f>
        <v>#N/A</v>
      </c>
      <c r="J10" s="140"/>
      <c r="K10" s="8"/>
      <c r="L10" s="8"/>
      <c r="M10" s="8"/>
      <c r="N10" s="8"/>
      <c r="O10" s="8"/>
      <c r="P10" s="7"/>
      <c r="Q10" s="8"/>
      <c r="R10" s="7"/>
      <c r="S10" s="8"/>
      <c r="T10" s="150"/>
    </row>
    <row r="11" spans="1:20" x14ac:dyDescent="0.25">
      <c r="A11" s="146" t="b">
        <v>0</v>
      </c>
      <c r="B11" s="7">
        <f t="shared" si="0"/>
        <v>10</v>
      </c>
      <c r="C11" s="7" t="e">
        <f t="shared" si="1"/>
        <v>#N/A</v>
      </c>
      <c r="D11" s="7" t="e">
        <f>_xlfn.XLOOKUP($E11,Tab_Def_Processes[Process_Name],Tab_Def_Processes[Process_ID],,0,)</f>
        <v>#N/A</v>
      </c>
      <c r="E11" s="142" t="s">
        <v>22</v>
      </c>
      <c r="F11" s="7" t="e">
        <f>_xlfn.XLOOKUP($E11,Tab_Def_Processes[Process_Name],Tab_Def_Processes[Process_Logic],,0,)</f>
        <v>#N/A</v>
      </c>
      <c r="G11" s="7" t="e">
        <f>_xlfn.XLOOKUP($E11,Tab_Def_Processes[Process_Name],Tab_Def_Processes[TC_Configuration],,0,)</f>
        <v>#N/A</v>
      </c>
      <c r="H11" s="22" t="e">
        <f>_xlfn.XLOOKUP($E11,Tab_Def_Processes[Process_Name],Tab_Def_Processes[Stock_Configuration],,0,)</f>
        <v>#N/A</v>
      </c>
      <c r="I11" s="22" t="e">
        <f>_xlfn.XLOOKUP($E11,Tab_Def_Processes[Process_Name],Tab_Def_Processes[Outflow_count],,0,)</f>
        <v>#N/A</v>
      </c>
      <c r="J11" s="140"/>
      <c r="K11" s="8"/>
      <c r="L11" s="8"/>
      <c r="M11" s="8"/>
      <c r="N11" s="8"/>
      <c r="O11" s="8"/>
      <c r="P11" s="7"/>
      <c r="Q11" s="8"/>
      <c r="R11" s="7"/>
      <c r="S11" s="8"/>
      <c r="T11" s="150"/>
    </row>
    <row r="12" spans="1:20" x14ac:dyDescent="0.25">
      <c r="A12" s="146" t="b">
        <v>0</v>
      </c>
      <c r="B12" s="7">
        <f t="shared" si="0"/>
        <v>11</v>
      </c>
      <c r="C12" s="7" t="e">
        <f t="shared" si="1"/>
        <v>#N/A</v>
      </c>
      <c r="D12" s="7" t="e">
        <f>_xlfn.XLOOKUP($E12,Tab_Def_Processes[Process_Name],Tab_Def_Processes[Process_ID],,0,)</f>
        <v>#N/A</v>
      </c>
      <c r="E12" s="142" t="s">
        <v>22</v>
      </c>
      <c r="F12" s="7" t="e">
        <f>_xlfn.XLOOKUP($E12,Tab_Def_Processes[Process_Name],Tab_Def_Processes[Process_Logic],,0,)</f>
        <v>#N/A</v>
      </c>
      <c r="G12" s="7" t="e">
        <f>_xlfn.XLOOKUP($E12,Tab_Def_Processes[Process_Name],Tab_Def_Processes[TC_Configuration],,0,)</f>
        <v>#N/A</v>
      </c>
      <c r="H12" s="22" t="e">
        <f>_xlfn.XLOOKUP($E12,Tab_Def_Processes[Process_Name],Tab_Def_Processes[Stock_Configuration],,0,)</f>
        <v>#N/A</v>
      </c>
      <c r="I12" s="22" t="e">
        <f>_xlfn.XLOOKUP($E12,Tab_Def_Processes[Process_Name],Tab_Def_Processes[Outflow_count],,0,)</f>
        <v>#N/A</v>
      </c>
      <c r="J12" s="140"/>
      <c r="K12" s="8"/>
      <c r="L12" s="8"/>
      <c r="M12" s="8"/>
      <c r="N12" s="8"/>
      <c r="O12" s="8"/>
      <c r="P12" s="7"/>
      <c r="Q12" s="8"/>
      <c r="R12" s="7"/>
      <c r="S12" s="8"/>
      <c r="T12" s="150"/>
    </row>
    <row r="13" spans="1:20" x14ac:dyDescent="0.25">
      <c r="A13" s="146" t="b">
        <v>0</v>
      </c>
      <c r="B13" s="7">
        <f t="shared" si="0"/>
        <v>12</v>
      </c>
      <c r="C13" s="7" t="e">
        <f t="shared" si="1"/>
        <v>#N/A</v>
      </c>
      <c r="D13" s="7" t="e">
        <f>_xlfn.XLOOKUP($E13,Tab_Def_Processes[Process_Name],Tab_Def_Processes[Process_ID],,0,)</f>
        <v>#N/A</v>
      </c>
      <c r="E13" s="142" t="s">
        <v>22</v>
      </c>
      <c r="F13" s="7" t="e">
        <f>_xlfn.XLOOKUP($E13,Tab_Def_Processes[Process_Name],Tab_Def_Processes[Process_Logic],,0,)</f>
        <v>#N/A</v>
      </c>
      <c r="G13" s="7" t="e">
        <f>_xlfn.XLOOKUP($E13,Tab_Def_Processes[Process_Name],Tab_Def_Processes[TC_Configuration],,0,)</f>
        <v>#N/A</v>
      </c>
      <c r="H13" s="22" t="e">
        <f>_xlfn.XLOOKUP($E13,Tab_Def_Processes[Process_Name],Tab_Def_Processes[Stock_Configuration],,0,)</f>
        <v>#N/A</v>
      </c>
      <c r="I13" s="22" t="e">
        <f>_xlfn.XLOOKUP($E13,Tab_Def_Processes[Process_Name],Tab_Def_Processes[Outflow_count],,0,)</f>
        <v>#N/A</v>
      </c>
      <c r="J13" s="140"/>
      <c r="K13" s="8"/>
      <c r="L13" s="8"/>
      <c r="M13" s="8"/>
      <c r="N13" s="8"/>
      <c r="O13" s="8"/>
      <c r="P13" s="7"/>
      <c r="Q13" s="8"/>
      <c r="R13" s="7"/>
      <c r="S13" s="8"/>
      <c r="T13" s="150"/>
    </row>
    <row r="14" spans="1:20" x14ac:dyDescent="0.25">
      <c r="A14" s="146" t="b">
        <v>0</v>
      </c>
      <c r="B14" s="7">
        <f t="shared" si="0"/>
        <v>13</v>
      </c>
      <c r="C14" s="7" t="e">
        <f t="shared" si="1"/>
        <v>#N/A</v>
      </c>
      <c r="D14" s="7" t="e">
        <f>_xlfn.XLOOKUP($E14,Tab_Def_Processes[Process_Name],Tab_Def_Processes[Process_ID],,0,)</f>
        <v>#N/A</v>
      </c>
      <c r="E14" s="142" t="s">
        <v>22</v>
      </c>
      <c r="F14" s="7" t="e">
        <f>_xlfn.XLOOKUP($E14,Tab_Def_Processes[Process_Name],Tab_Def_Processes[Process_Logic],,0,)</f>
        <v>#N/A</v>
      </c>
      <c r="G14" s="7" t="e">
        <f>_xlfn.XLOOKUP($E14,Tab_Def_Processes[Process_Name],Tab_Def_Processes[TC_Configuration],,0,)</f>
        <v>#N/A</v>
      </c>
      <c r="H14" s="22" t="e">
        <f>_xlfn.XLOOKUP($E14,Tab_Def_Processes[Process_Name],Tab_Def_Processes[Stock_Configuration],,0,)</f>
        <v>#N/A</v>
      </c>
      <c r="I14" s="22" t="e">
        <f>_xlfn.XLOOKUP($E14,Tab_Def_Processes[Process_Name],Tab_Def_Processes[Outflow_count],,0,)</f>
        <v>#N/A</v>
      </c>
      <c r="J14" s="140"/>
      <c r="K14" s="8"/>
      <c r="L14" s="8"/>
      <c r="M14" s="8"/>
      <c r="N14" s="8"/>
      <c r="O14" s="8"/>
      <c r="P14" s="7"/>
      <c r="Q14" s="8"/>
      <c r="R14" s="7"/>
      <c r="S14" s="8"/>
      <c r="T14" s="150"/>
    </row>
    <row r="15" spans="1:20" x14ac:dyDescent="0.25">
      <c r="A15" s="146" t="b">
        <v>0</v>
      </c>
      <c r="B15" s="7">
        <f t="shared" si="0"/>
        <v>14</v>
      </c>
      <c r="C15" s="7" t="e">
        <f t="shared" si="1"/>
        <v>#N/A</v>
      </c>
      <c r="D15" s="7" t="e">
        <f>_xlfn.XLOOKUP($E15,Tab_Def_Processes[Process_Name],Tab_Def_Processes[Process_ID],,0,)</f>
        <v>#N/A</v>
      </c>
      <c r="E15" s="142" t="s">
        <v>22</v>
      </c>
      <c r="F15" s="7" t="e">
        <f>_xlfn.XLOOKUP($E15,Tab_Def_Processes[Process_Name],Tab_Def_Processes[Process_Logic],,0,)</f>
        <v>#N/A</v>
      </c>
      <c r="G15" s="7" t="e">
        <f>_xlfn.XLOOKUP($E15,Tab_Def_Processes[Process_Name],Tab_Def_Processes[TC_Configuration],,0,)</f>
        <v>#N/A</v>
      </c>
      <c r="H15" s="22" t="e">
        <f>_xlfn.XLOOKUP($E15,Tab_Def_Processes[Process_Name],Tab_Def_Processes[Stock_Configuration],,0,)</f>
        <v>#N/A</v>
      </c>
      <c r="I15" s="22" t="e">
        <f>_xlfn.XLOOKUP($E15,Tab_Def_Processes[Process_Name],Tab_Def_Processes[Outflow_count],,0,)</f>
        <v>#N/A</v>
      </c>
      <c r="J15" s="140"/>
      <c r="K15" s="8"/>
      <c r="L15" s="8"/>
      <c r="M15" s="8"/>
      <c r="N15" s="8"/>
      <c r="O15" s="8"/>
      <c r="P15" s="7"/>
      <c r="Q15" s="8"/>
      <c r="R15" s="7"/>
      <c r="S15" s="8"/>
      <c r="T15" s="150"/>
    </row>
    <row r="16" spans="1:20" x14ac:dyDescent="0.25">
      <c r="A16" s="146" t="b">
        <v>0</v>
      </c>
      <c r="B16" s="7">
        <f t="shared" si="0"/>
        <v>15</v>
      </c>
      <c r="C16" s="7" t="e">
        <f t="shared" si="1"/>
        <v>#N/A</v>
      </c>
      <c r="D16" s="7" t="e">
        <f>_xlfn.XLOOKUP($E16,Tab_Def_Processes[Process_Name],Tab_Def_Processes[Process_ID],,0,)</f>
        <v>#N/A</v>
      </c>
      <c r="E16" s="142" t="s">
        <v>22</v>
      </c>
      <c r="F16" s="7" t="e">
        <f>_xlfn.XLOOKUP($E16,Tab_Def_Processes[Process_Name],Tab_Def_Processes[Process_Logic],,0,)</f>
        <v>#N/A</v>
      </c>
      <c r="G16" s="7" t="e">
        <f>_xlfn.XLOOKUP($E16,Tab_Def_Processes[Process_Name],Tab_Def_Processes[TC_Configuration],,0,)</f>
        <v>#N/A</v>
      </c>
      <c r="H16" s="22" t="e">
        <f>_xlfn.XLOOKUP($E16,Tab_Def_Processes[Process_Name],Tab_Def_Processes[Stock_Configuration],,0,)</f>
        <v>#N/A</v>
      </c>
      <c r="I16" s="22" t="e">
        <f>_xlfn.XLOOKUP($E16,Tab_Def_Processes[Process_Name],Tab_Def_Processes[Outflow_count],,0,)</f>
        <v>#N/A</v>
      </c>
      <c r="J16" s="140"/>
      <c r="K16" s="8"/>
      <c r="L16" s="8"/>
      <c r="M16" s="8"/>
      <c r="N16" s="8"/>
      <c r="O16" s="8"/>
      <c r="P16" s="7"/>
      <c r="Q16" s="8"/>
      <c r="R16" s="7"/>
      <c r="S16" s="8"/>
      <c r="T16" s="150"/>
    </row>
    <row r="17" spans="1:20" x14ac:dyDescent="0.25">
      <c r="A17" s="146" t="b">
        <v>0</v>
      </c>
      <c r="B17" s="7">
        <f t="shared" si="0"/>
        <v>16</v>
      </c>
      <c r="C17" s="7" t="e">
        <f t="shared" si="1"/>
        <v>#N/A</v>
      </c>
      <c r="D17" s="7" t="e">
        <f>_xlfn.XLOOKUP($E17,Tab_Def_Processes[Process_Name],Tab_Def_Processes[Process_ID],,0,)</f>
        <v>#N/A</v>
      </c>
      <c r="E17" s="142" t="s">
        <v>22</v>
      </c>
      <c r="F17" s="7" t="e">
        <f>_xlfn.XLOOKUP($E17,Tab_Def_Processes[Process_Name],Tab_Def_Processes[Process_Logic],,0,)</f>
        <v>#N/A</v>
      </c>
      <c r="G17" s="7" t="e">
        <f>_xlfn.XLOOKUP($E17,Tab_Def_Processes[Process_Name],Tab_Def_Processes[TC_Configuration],,0,)</f>
        <v>#N/A</v>
      </c>
      <c r="H17" s="22" t="e">
        <f>_xlfn.XLOOKUP($E17,Tab_Def_Processes[Process_Name],Tab_Def_Processes[Stock_Configuration],,0,)</f>
        <v>#N/A</v>
      </c>
      <c r="I17" s="22" t="e">
        <f>_xlfn.XLOOKUP($E17,Tab_Def_Processes[Process_Name],Tab_Def_Processes[Outflow_count],,0,)</f>
        <v>#N/A</v>
      </c>
      <c r="J17" s="140"/>
      <c r="K17" s="8"/>
      <c r="L17" s="8"/>
      <c r="M17" s="8"/>
      <c r="N17" s="8"/>
      <c r="O17" s="8"/>
      <c r="P17" s="7"/>
      <c r="Q17" s="8"/>
      <c r="R17" s="7"/>
      <c r="S17" s="8"/>
      <c r="T17" s="150"/>
    </row>
    <row r="18" spans="1:20" x14ac:dyDescent="0.25">
      <c r="A18" s="146" t="b">
        <v>0</v>
      </c>
      <c r="B18" s="7">
        <f t="shared" si="0"/>
        <v>17</v>
      </c>
      <c r="C18" s="7" t="e">
        <f t="shared" si="1"/>
        <v>#N/A</v>
      </c>
      <c r="D18" s="7" t="e">
        <f>_xlfn.XLOOKUP($E18,Tab_Def_Processes[Process_Name],Tab_Def_Processes[Process_ID],,0,)</f>
        <v>#N/A</v>
      </c>
      <c r="E18" s="142" t="s">
        <v>22</v>
      </c>
      <c r="F18" s="7" t="e">
        <f>_xlfn.XLOOKUP($E18,Tab_Def_Processes[Process_Name],Tab_Def_Processes[Process_Logic],,0,)</f>
        <v>#N/A</v>
      </c>
      <c r="G18" s="7" t="e">
        <f>_xlfn.XLOOKUP($E18,Tab_Def_Processes[Process_Name],Tab_Def_Processes[TC_Configuration],,0,)</f>
        <v>#N/A</v>
      </c>
      <c r="H18" s="22" t="e">
        <f>_xlfn.XLOOKUP($E18,Tab_Def_Processes[Process_Name],Tab_Def_Processes[Stock_Configuration],,0,)</f>
        <v>#N/A</v>
      </c>
      <c r="I18" s="22" t="e">
        <f>_xlfn.XLOOKUP($E18,Tab_Def_Processes[Process_Name],Tab_Def_Processes[Outflow_count],,0,)</f>
        <v>#N/A</v>
      </c>
      <c r="J18" s="140"/>
      <c r="K18" s="8"/>
      <c r="L18" s="8"/>
      <c r="M18" s="8"/>
      <c r="N18" s="8"/>
      <c r="O18" s="8"/>
      <c r="P18" s="7"/>
      <c r="Q18" s="8"/>
      <c r="R18" s="7"/>
      <c r="S18" s="8"/>
      <c r="T18" s="150"/>
    </row>
    <row r="19" spans="1:20" x14ac:dyDescent="0.25">
      <c r="A19" s="146" t="b">
        <v>0</v>
      </c>
      <c r="B19" s="7">
        <f t="shared" si="0"/>
        <v>18</v>
      </c>
      <c r="C19" s="7" t="e">
        <f t="shared" si="1"/>
        <v>#N/A</v>
      </c>
      <c r="D19" s="7" t="e">
        <f>_xlfn.XLOOKUP($E19,Tab_Def_Processes[Process_Name],Tab_Def_Processes[Process_ID],,0,)</f>
        <v>#N/A</v>
      </c>
      <c r="E19" s="142" t="s">
        <v>22</v>
      </c>
      <c r="F19" s="7" t="e">
        <f>_xlfn.XLOOKUP($E19,Tab_Def_Processes[Process_Name],Tab_Def_Processes[Process_Logic],,0,)</f>
        <v>#N/A</v>
      </c>
      <c r="G19" s="7" t="e">
        <f>_xlfn.XLOOKUP($E19,Tab_Def_Processes[Process_Name],Tab_Def_Processes[TC_Configuration],,0,)</f>
        <v>#N/A</v>
      </c>
      <c r="H19" s="22" t="e">
        <f>_xlfn.XLOOKUP($E19,Tab_Def_Processes[Process_Name],Tab_Def_Processes[Stock_Configuration],,0,)</f>
        <v>#N/A</v>
      </c>
      <c r="I19" s="22" t="e">
        <f>_xlfn.XLOOKUP($E19,Tab_Def_Processes[Process_Name],Tab_Def_Processes[Outflow_count],,0,)</f>
        <v>#N/A</v>
      </c>
      <c r="J19" s="140"/>
      <c r="K19" s="8"/>
      <c r="L19" s="8"/>
      <c r="M19" s="8"/>
      <c r="N19" s="8"/>
      <c r="O19" s="8"/>
      <c r="P19" s="7"/>
      <c r="Q19" s="8"/>
      <c r="R19" s="7"/>
      <c r="S19" s="8"/>
      <c r="T19" s="150"/>
    </row>
    <row r="20" spans="1:20" x14ac:dyDescent="0.25">
      <c r="A20" s="146" t="b">
        <v>0</v>
      </c>
      <c r="B20" s="7">
        <f t="shared" si="0"/>
        <v>19</v>
      </c>
      <c r="C20" s="7" t="e">
        <f t="shared" si="1"/>
        <v>#N/A</v>
      </c>
      <c r="D20" s="7" t="e">
        <f>_xlfn.XLOOKUP($E20,Tab_Def_Processes[Process_Name],Tab_Def_Processes[Process_ID],,0,)</f>
        <v>#N/A</v>
      </c>
      <c r="E20" s="142" t="s">
        <v>22</v>
      </c>
      <c r="F20" s="7" t="e">
        <f>_xlfn.XLOOKUP($E20,Tab_Def_Processes[Process_Name],Tab_Def_Processes[Process_Logic],,0,)</f>
        <v>#N/A</v>
      </c>
      <c r="G20" s="7" t="e">
        <f>_xlfn.XLOOKUP($E20,Tab_Def_Processes[Process_Name],Tab_Def_Processes[TC_Configuration],,0,)</f>
        <v>#N/A</v>
      </c>
      <c r="H20" s="22" t="e">
        <f>_xlfn.XLOOKUP($E20,Tab_Def_Processes[Process_Name],Tab_Def_Processes[Stock_Configuration],,0,)</f>
        <v>#N/A</v>
      </c>
      <c r="I20" s="22" t="e">
        <f>_xlfn.XLOOKUP($E20,Tab_Def_Processes[Process_Name],Tab_Def_Processes[Outflow_count],,0,)</f>
        <v>#N/A</v>
      </c>
      <c r="J20" s="140"/>
      <c r="K20" s="8"/>
      <c r="L20" s="8"/>
      <c r="M20" s="8"/>
      <c r="N20" s="8"/>
      <c r="O20" s="8"/>
      <c r="P20" s="7"/>
      <c r="Q20" s="8"/>
      <c r="R20" s="7"/>
      <c r="S20" s="8"/>
      <c r="T20" s="150"/>
    </row>
    <row r="21" spans="1:20" x14ac:dyDescent="0.25">
      <c r="A21" s="146" t="b">
        <v>0</v>
      </c>
      <c r="B21" s="7">
        <f t="shared" si="0"/>
        <v>20</v>
      </c>
      <c r="C21" s="7" t="e">
        <f t="shared" si="1"/>
        <v>#N/A</v>
      </c>
      <c r="D21" s="7" t="e">
        <f>_xlfn.XLOOKUP($E21,Tab_Def_Processes[Process_Name],Tab_Def_Processes[Process_ID],,0,)</f>
        <v>#N/A</v>
      </c>
      <c r="E21" s="142" t="s">
        <v>22</v>
      </c>
      <c r="F21" s="7" t="e">
        <f>_xlfn.XLOOKUP($E21,Tab_Def_Processes[Process_Name],Tab_Def_Processes[Process_Logic],,0,)</f>
        <v>#N/A</v>
      </c>
      <c r="G21" s="7" t="e">
        <f>_xlfn.XLOOKUP($E21,Tab_Def_Processes[Process_Name],Tab_Def_Processes[TC_Configuration],,0,)</f>
        <v>#N/A</v>
      </c>
      <c r="H21" s="22" t="e">
        <f>_xlfn.XLOOKUP($E21,Tab_Def_Processes[Process_Name],Tab_Def_Processes[Stock_Configuration],,0,)</f>
        <v>#N/A</v>
      </c>
      <c r="I21" s="22" t="e">
        <f>_xlfn.XLOOKUP($E21,Tab_Def_Processes[Process_Name],Tab_Def_Processes[Outflow_count],,0,)</f>
        <v>#N/A</v>
      </c>
      <c r="J21" s="140"/>
      <c r="K21" s="8"/>
      <c r="L21" s="8"/>
      <c r="M21" s="8"/>
      <c r="N21" s="8"/>
      <c r="O21" s="8"/>
      <c r="P21" s="7"/>
      <c r="Q21" s="8"/>
      <c r="R21" s="7"/>
      <c r="S21" s="8"/>
      <c r="T21" s="150"/>
    </row>
    <row r="22" spans="1:20" x14ac:dyDescent="0.25">
      <c r="A22" s="146" t="b">
        <v>0</v>
      </c>
      <c r="B22" s="7">
        <f t="shared" si="0"/>
        <v>21</v>
      </c>
      <c r="C22" s="7" t="e">
        <f t="shared" si="1"/>
        <v>#N/A</v>
      </c>
      <c r="D22" s="7" t="e">
        <f>_xlfn.XLOOKUP($E22,Tab_Def_Processes[Process_Name],Tab_Def_Processes[Process_ID],,0,)</f>
        <v>#N/A</v>
      </c>
      <c r="E22" s="142" t="s">
        <v>22</v>
      </c>
      <c r="F22" s="7" t="e">
        <f>_xlfn.XLOOKUP($E22,Tab_Def_Processes[Process_Name],Tab_Def_Processes[Process_Logic],,0,)</f>
        <v>#N/A</v>
      </c>
      <c r="G22" s="7" t="e">
        <f>_xlfn.XLOOKUP($E22,Tab_Def_Processes[Process_Name],Tab_Def_Processes[TC_Configuration],,0,)</f>
        <v>#N/A</v>
      </c>
      <c r="H22" s="22" t="e">
        <f>_xlfn.XLOOKUP($E22,Tab_Def_Processes[Process_Name],Tab_Def_Processes[Stock_Configuration],,0,)</f>
        <v>#N/A</v>
      </c>
      <c r="I22" s="22" t="e">
        <f>_xlfn.XLOOKUP($E22,Tab_Def_Processes[Process_Name],Tab_Def_Processes[Outflow_count],,0,)</f>
        <v>#N/A</v>
      </c>
      <c r="J22" s="140"/>
      <c r="K22" s="8"/>
      <c r="L22" s="8"/>
      <c r="M22" s="8"/>
      <c r="N22" s="8"/>
      <c r="O22" s="8"/>
      <c r="P22" s="7"/>
      <c r="Q22" s="8"/>
      <c r="R22" s="7"/>
      <c r="S22" s="8"/>
      <c r="T22" s="150"/>
    </row>
    <row r="23" spans="1:20" x14ac:dyDescent="0.25">
      <c r="A23" s="146" t="b">
        <v>0</v>
      </c>
      <c r="B23" s="7">
        <f t="shared" si="0"/>
        <v>22</v>
      </c>
      <c r="C23" s="7" t="e">
        <f t="shared" si="1"/>
        <v>#N/A</v>
      </c>
      <c r="D23" s="7" t="e">
        <f>_xlfn.XLOOKUP($E23,Tab_Def_Processes[Process_Name],Tab_Def_Processes[Process_ID],,0,)</f>
        <v>#N/A</v>
      </c>
      <c r="E23" s="142" t="s">
        <v>22</v>
      </c>
      <c r="F23" s="7" t="e">
        <f>_xlfn.XLOOKUP($E23,Tab_Def_Processes[Process_Name],Tab_Def_Processes[Process_Logic],,0,)</f>
        <v>#N/A</v>
      </c>
      <c r="G23" s="7" t="e">
        <f>_xlfn.XLOOKUP($E23,Tab_Def_Processes[Process_Name],Tab_Def_Processes[TC_Configuration],,0,)</f>
        <v>#N/A</v>
      </c>
      <c r="H23" s="22" t="e">
        <f>_xlfn.XLOOKUP($E23,Tab_Def_Processes[Process_Name],Tab_Def_Processes[Stock_Configuration],,0,)</f>
        <v>#N/A</v>
      </c>
      <c r="I23" s="22" t="e">
        <f>_xlfn.XLOOKUP($E23,Tab_Def_Processes[Process_Name],Tab_Def_Processes[Outflow_count],,0,)</f>
        <v>#N/A</v>
      </c>
      <c r="J23" s="140"/>
      <c r="K23" s="8"/>
      <c r="L23" s="8"/>
      <c r="M23" s="8"/>
      <c r="N23" s="8"/>
      <c r="O23" s="8"/>
      <c r="P23" s="7"/>
      <c r="Q23" s="8"/>
      <c r="R23" s="7"/>
      <c r="S23" s="8"/>
      <c r="T23" s="150"/>
    </row>
    <row r="24" spans="1:20" x14ac:dyDescent="0.25">
      <c r="A24" s="146" t="b">
        <v>0</v>
      </c>
      <c r="B24" s="7">
        <f t="shared" si="0"/>
        <v>23</v>
      </c>
      <c r="C24" s="7" t="e">
        <f t="shared" si="1"/>
        <v>#N/A</v>
      </c>
      <c r="D24" s="7" t="e">
        <f>_xlfn.XLOOKUP($E24,Tab_Def_Processes[Process_Name],Tab_Def_Processes[Process_ID],,0,)</f>
        <v>#N/A</v>
      </c>
      <c r="E24" s="142" t="s">
        <v>22</v>
      </c>
      <c r="F24" s="7" t="e">
        <f>_xlfn.XLOOKUP($E24,Tab_Def_Processes[Process_Name],Tab_Def_Processes[Process_Logic],,0,)</f>
        <v>#N/A</v>
      </c>
      <c r="G24" s="7" t="e">
        <f>_xlfn.XLOOKUP($E24,Tab_Def_Processes[Process_Name],Tab_Def_Processes[TC_Configuration],,0,)</f>
        <v>#N/A</v>
      </c>
      <c r="H24" s="22" t="e">
        <f>_xlfn.XLOOKUP($E24,Tab_Def_Processes[Process_Name],Tab_Def_Processes[Stock_Configuration],,0,)</f>
        <v>#N/A</v>
      </c>
      <c r="I24" s="22" t="e">
        <f>_xlfn.XLOOKUP($E24,Tab_Def_Processes[Process_Name],Tab_Def_Processes[Outflow_count],,0,)</f>
        <v>#N/A</v>
      </c>
      <c r="J24" s="140"/>
      <c r="K24" s="8"/>
      <c r="L24" s="8"/>
      <c r="M24" s="8"/>
      <c r="N24" s="8"/>
      <c r="O24" s="8"/>
      <c r="P24" s="7"/>
      <c r="Q24" s="8"/>
      <c r="R24" s="7"/>
      <c r="S24" s="8"/>
      <c r="T24" s="150"/>
    </row>
    <row r="25" spans="1:20" x14ac:dyDescent="0.25">
      <c r="A25" s="146" t="b">
        <v>0</v>
      </c>
      <c r="B25" s="7">
        <f t="shared" si="0"/>
        <v>24</v>
      </c>
      <c r="C25" s="7" t="e">
        <f t="shared" si="1"/>
        <v>#N/A</v>
      </c>
      <c r="D25" s="7" t="e">
        <f>_xlfn.XLOOKUP($E25,Tab_Def_Processes[Process_Name],Tab_Def_Processes[Process_ID],,0,)</f>
        <v>#N/A</v>
      </c>
      <c r="E25" s="142" t="s">
        <v>22</v>
      </c>
      <c r="F25" s="7" t="e">
        <f>_xlfn.XLOOKUP($E25,Tab_Def_Processes[Process_Name],Tab_Def_Processes[Process_Logic],,0,)</f>
        <v>#N/A</v>
      </c>
      <c r="G25" s="7" t="e">
        <f>_xlfn.XLOOKUP($E25,Tab_Def_Processes[Process_Name],Tab_Def_Processes[TC_Configuration],,0,)</f>
        <v>#N/A</v>
      </c>
      <c r="H25" s="22" t="e">
        <f>_xlfn.XLOOKUP($E25,Tab_Def_Processes[Process_Name],Tab_Def_Processes[Stock_Configuration],,0,)</f>
        <v>#N/A</v>
      </c>
      <c r="I25" s="22" t="e">
        <f>_xlfn.XLOOKUP($E25,Tab_Def_Processes[Process_Name],Tab_Def_Processes[Outflow_count],,0,)</f>
        <v>#N/A</v>
      </c>
      <c r="J25" s="140"/>
      <c r="K25" s="8"/>
      <c r="L25" s="8"/>
      <c r="M25" s="8"/>
      <c r="N25" s="8"/>
      <c r="O25" s="8"/>
      <c r="P25" s="7"/>
      <c r="Q25" s="8"/>
      <c r="R25" s="7"/>
      <c r="S25" s="8"/>
      <c r="T25" s="150"/>
    </row>
    <row r="26" spans="1:20" x14ac:dyDescent="0.25">
      <c r="A26" s="146" t="b">
        <v>0</v>
      </c>
      <c r="B26" s="7">
        <f t="shared" si="0"/>
        <v>25</v>
      </c>
      <c r="C26" s="7" t="e">
        <f t="shared" si="1"/>
        <v>#N/A</v>
      </c>
      <c r="D26" s="7" t="e">
        <f>_xlfn.XLOOKUP($E26,Tab_Def_Processes[Process_Name],Tab_Def_Processes[Process_ID],,0,)</f>
        <v>#N/A</v>
      </c>
      <c r="E26" s="142" t="s">
        <v>22</v>
      </c>
      <c r="F26" s="7" t="e">
        <f>_xlfn.XLOOKUP($E26,Tab_Def_Processes[Process_Name],Tab_Def_Processes[Process_Logic],,0,)</f>
        <v>#N/A</v>
      </c>
      <c r="G26" s="7" t="e">
        <f>_xlfn.XLOOKUP($E26,Tab_Def_Processes[Process_Name],Tab_Def_Processes[TC_Configuration],,0,)</f>
        <v>#N/A</v>
      </c>
      <c r="H26" s="22" t="e">
        <f>_xlfn.XLOOKUP($E26,Tab_Def_Processes[Process_Name],Tab_Def_Processes[Stock_Configuration],,0,)</f>
        <v>#N/A</v>
      </c>
      <c r="I26" s="22" t="e">
        <f>_xlfn.XLOOKUP($E26,Tab_Def_Processes[Process_Name],Tab_Def_Processes[Outflow_count],,0,)</f>
        <v>#N/A</v>
      </c>
      <c r="J26" s="140"/>
      <c r="K26" s="8"/>
      <c r="L26" s="8"/>
      <c r="M26" s="8"/>
      <c r="N26" s="8"/>
      <c r="O26" s="8"/>
      <c r="P26" s="7"/>
      <c r="Q26" s="8"/>
      <c r="R26" s="7"/>
      <c r="S26" s="8"/>
      <c r="T26" s="150"/>
    </row>
    <row r="27" spans="1:20" x14ac:dyDescent="0.25">
      <c r="A27" s="146" t="b">
        <v>0</v>
      </c>
      <c r="B27" s="7">
        <f t="shared" si="0"/>
        <v>26</v>
      </c>
      <c r="C27" s="7" t="e">
        <f t="shared" si="1"/>
        <v>#N/A</v>
      </c>
      <c r="D27" s="7" t="e">
        <f>_xlfn.XLOOKUP($E27,Tab_Def_Processes[Process_Name],Tab_Def_Processes[Process_ID],,0,)</f>
        <v>#N/A</v>
      </c>
      <c r="E27" s="142" t="s">
        <v>22</v>
      </c>
      <c r="F27" s="7" t="e">
        <f>_xlfn.XLOOKUP($E27,Tab_Def_Processes[Process_Name],Tab_Def_Processes[Process_Logic],,0,)</f>
        <v>#N/A</v>
      </c>
      <c r="G27" s="7" t="e">
        <f>_xlfn.XLOOKUP($E27,Tab_Def_Processes[Process_Name],Tab_Def_Processes[TC_Configuration],,0,)</f>
        <v>#N/A</v>
      </c>
      <c r="H27" s="22" t="e">
        <f>_xlfn.XLOOKUP($E27,Tab_Def_Processes[Process_Name],Tab_Def_Processes[Stock_Configuration],,0,)</f>
        <v>#N/A</v>
      </c>
      <c r="I27" s="22" t="e">
        <f>_xlfn.XLOOKUP($E27,Tab_Def_Processes[Process_Name],Tab_Def_Processes[Outflow_count],,0,)</f>
        <v>#N/A</v>
      </c>
      <c r="J27" s="140"/>
      <c r="K27" s="8"/>
      <c r="L27" s="8"/>
      <c r="M27" s="8"/>
      <c r="N27" s="8"/>
      <c r="O27" s="8"/>
      <c r="P27" s="7"/>
      <c r="Q27" s="8"/>
      <c r="R27" s="7"/>
      <c r="S27" s="8"/>
      <c r="T27" s="150"/>
    </row>
    <row r="28" spans="1:20" x14ac:dyDescent="0.25">
      <c r="A28" s="146" t="b">
        <v>0</v>
      </c>
      <c r="B28" s="7">
        <f t="shared" si="0"/>
        <v>27</v>
      </c>
      <c r="C28" s="7" t="e">
        <f t="shared" si="1"/>
        <v>#N/A</v>
      </c>
      <c r="D28" s="7" t="e">
        <f>_xlfn.XLOOKUP($E28,Tab_Def_Processes[Process_Name],Tab_Def_Processes[Process_ID],,0,)</f>
        <v>#N/A</v>
      </c>
      <c r="E28" s="142" t="s">
        <v>22</v>
      </c>
      <c r="F28" s="7" t="e">
        <f>_xlfn.XLOOKUP($E28,Tab_Def_Processes[Process_Name],Tab_Def_Processes[Process_Logic],,0,)</f>
        <v>#N/A</v>
      </c>
      <c r="G28" s="7" t="e">
        <f>_xlfn.XLOOKUP($E28,Tab_Def_Processes[Process_Name],Tab_Def_Processes[TC_Configuration],,0,)</f>
        <v>#N/A</v>
      </c>
      <c r="H28" s="22" t="e">
        <f>_xlfn.XLOOKUP($E28,Tab_Def_Processes[Process_Name],Tab_Def_Processes[Stock_Configuration],,0,)</f>
        <v>#N/A</v>
      </c>
      <c r="I28" s="22" t="e">
        <f>_xlfn.XLOOKUP($E28,Tab_Def_Processes[Process_Name],Tab_Def_Processes[Outflow_count],,0,)</f>
        <v>#N/A</v>
      </c>
      <c r="J28" s="140"/>
      <c r="K28" s="8"/>
      <c r="L28" s="8"/>
      <c r="M28" s="8"/>
      <c r="N28" s="8"/>
      <c r="O28" s="8"/>
      <c r="P28" s="7"/>
      <c r="Q28" s="8"/>
      <c r="R28" s="7"/>
      <c r="S28" s="8"/>
      <c r="T28" s="150"/>
    </row>
    <row r="29" spans="1:20" x14ac:dyDescent="0.25">
      <c r="A29" s="146" t="b">
        <v>0</v>
      </c>
      <c r="B29" s="7">
        <f t="shared" si="0"/>
        <v>28</v>
      </c>
      <c r="C29" s="7" t="e">
        <f t="shared" si="1"/>
        <v>#N/A</v>
      </c>
      <c r="D29" s="7" t="e">
        <f>_xlfn.XLOOKUP($E29,Tab_Def_Processes[Process_Name],Tab_Def_Processes[Process_ID],,0,)</f>
        <v>#N/A</v>
      </c>
      <c r="E29" s="142" t="s">
        <v>22</v>
      </c>
      <c r="F29" s="7" t="e">
        <f>_xlfn.XLOOKUP($E29,Tab_Def_Processes[Process_Name],Tab_Def_Processes[Process_Logic],,0,)</f>
        <v>#N/A</v>
      </c>
      <c r="G29" s="7" t="e">
        <f>_xlfn.XLOOKUP($E29,Tab_Def_Processes[Process_Name],Tab_Def_Processes[TC_Configuration],,0,)</f>
        <v>#N/A</v>
      </c>
      <c r="H29" s="22" t="e">
        <f>_xlfn.XLOOKUP($E29,Tab_Def_Processes[Process_Name],Tab_Def_Processes[Stock_Configuration],,0,)</f>
        <v>#N/A</v>
      </c>
      <c r="I29" s="22" t="e">
        <f>_xlfn.XLOOKUP($E29,Tab_Def_Processes[Process_Name],Tab_Def_Processes[Outflow_count],,0,)</f>
        <v>#N/A</v>
      </c>
      <c r="J29" s="140"/>
      <c r="K29" s="8"/>
      <c r="L29" s="8"/>
      <c r="M29" s="8"/>
      <c r="N29" s="8"/>
      <c r="O29" s="8"/>
      <c r="P29" s="7"/>
      <c r="Q29" s="8"/>
      <c r="R29" s="7"/>
      <c r="S29" s="8"/>
      <c r="T29" s="150"/>
    </row>
    <row r="30" spans="1:20" x14ac:dyDescent="0.25">
      <c r="A30" s="146" t="b">
        <v>0</v>
      </c>
      <c r="B30" s="7">
        <f t="shared" si="0"/>
        <v>29</v>
      </c>
      <c r="C30" s="7" t="e">
        <f t="shared" si="1"/>
        <v>#N/A</v>
      </c>
      <c r="D30" s="7" t="e">
        <f>_xlfn.XLOOKUP($E30,Tab_Def_Processes[Process_Name],Tab_Def_Processes[Process_ID],,0,)</f>
        <v>#N/A</v>
      </c>
      <c r="E30" s="142" t="s">
        <v>22</v>
      </c>
      <c r="F30" s="7" t="e">
        <f>_xlfn.XLOOKUP($E30,Tab_Def_Processes[Process_Name],Tab_Def_Processes[Process_Logic],,0,)</f>
        <v>#N/A</v>
      </c>
      <c r="G30" s="7" t="e">
        <f>_xlfn.XLOOKUP($E30,Tab_Def_Processes[Process_Name],Tab_Def_Processes[TC_Configuration],,0,)</f>
        <v>#N/A</v>
      </c>
      <c r="H30" s="22" t="e">
        <f>_xlfn.XLOOKUP($E30,Tab_Def_Processes[Process_Name],Tab_Def_Processes[Stock_Configuration],,0,)</f>
        <v>#N/A</v>
      </c>
      <c r="I30" s="22" t="e">
        <f>_xlfn.XLOOKUP($E30,Tab_Def_Processes[Process_Name],Tab_Def_Processes[Outflow_count],,0,)</f>
        <v>#N/A</v>
      </c>
      <c r="J30" s="140"/>
      <c r="K30" s="8"/>
      <c r="L30" s="8"/>
      <c r="M30" s="8"/>
      <c r="N30" s="8"/>
      <c r="O30" s="8"/>
      <c r="P30" s="7"/>
      <c r="Q30" s="8"/>
      <c r="R30" s="7"/>
      <c r="S30" s="8"/>
      <c r="T30" s="150"/>
    </row>
    <row r="31" spans="1:20" x14ac:dyDescent="0.25">
      <c r="A31" s="146" t="b">
        <v>0</v>
      </c>
      <c r="B31" s="7">
        <f t="shared" si="0"/>
        <v>30</v>
      </c>
      <c r="C31" s="7" t="e">
        <f t="shared" si="1"/>
        <v>#N/A</v>
      </c>
      <c r="D31" s="7" t="e">
        <f>_xlfn.XLOOKUP($E31,Tab_Def_Processes[Process_Name],Tab_Def_Processes[Process_ID],,0,)</f>
        <v>#N/A</v>
      </c>
      <c r="E31" s="142" t="s">
        <v>22</v>
      </c>
      <c r="F31" s="7" t="e">
        <f>_xlfn.XLOOKUP($E31,Tab_Def_Processes[Process_Name],Tab_Def_Processes[Process_Logic],,0,)</f>
        <v>#N/A</v>
      </c>
      <c r="G31" s="7" t="e">
        <f>_xlfn.XLOOKUP($E31,Tab_Def_Processes[Process_Name],Tab_Def_Processes[TC_Configuration],,0,)</f>
        <v>#N/A</v>
      </c>
      <c r="H31" s="22" t="e">
        <f>_xlfn.XLOOKUP($E31,Tab_Def_Processes[Process_Name],Tab_Def_Processes[Stock_Configuration],,0,)</f>
        <v>#N/A</v>
      </c>
      <c r="I31" s="22" t="e">
        <f>_xlfn.XLOOKUP($E31,Tab_Def_Processes[Process_Name],Tab_Def_Processes[Outflow_count],,0,)</f>
        <v>#N/A</v>
      </c>
      <c r="J31" s="140"/>
      <c r="K31" s="8"/>
      <c r="L31" s="8"/>
      <c r="M31" s="8"/>
      <c r="N31" s="8"/>
      <c r="O31" s="8"/>
      <c r="P31" s="7"/>
      <c r="Q31" s="8"/>
      <c r="R31" s="7"/>
      <c r="S31" s="8"/>
      <c r="T31" s="150"/>
    </row>
    <row r="32" spans="1:20" x14ac:dyDescent="0.25">
      <c r="A32" s="146" t="b">
        <v>0</v>
      </c>
      <c r="B32" s="7">
        <f t="shared" si="0"/>
        <v>31</v>
      </c>
      <c r="C32" s="7" t="e">
        <f t="shared" si="1"/>
        <v>#N/A</v>
      </c>
      <c r="D32" s="7" t="e">
        <f>_xlfn.XLOOKUP($E32,Tab_Def_Processes[Process_Name],Tab_Def_Processes[Process_ID],,0,)</f>
        <v>#N/A</v>
      </c>
      <c r="E32" s="142" t="s">
        <v>22</v>
      </c>
      <c r="F32" s="7" t="e">
        <f>_xlfn.XLOOKUP($E32,Tab_Def_Processes[Process_Name],Tab_Def_Processes[Process_Logic],,0,)</f>
        <v>#N/A</v>
      </c>
      <c r="G32" s="7" t="e">
        <f>_xlfn.XLOOKUP($E32,Tab_Def_Processes[Process_Name],Tab_Def_Processes[TC_Configuration],,0,)</f>
        <v>#N/A</v>
      </c>
      <c r="H32" s="22" t="e">
        <f>_xlfn.XLOOKUP($E32,Tab_Def_Processes[Process_Name],Tab_Def_Processes[Stock_Configuration],,0,)</f>
        <v>#N/A</v>
      </c>
      <c r="I32" s="22" t="e">
        <f>_xlfn.XLOOKUP($E32,Tab_Def_Processes[Process_Name],Tab_Def_Processes[Outflow_count],,0,)</f>
        <v>#N/A</v>
      </c>
      <c r="J32" s="140"/>
      <c r="K32" s="8"/>
      <c r="L32" s="8"/>
      <c r="M32" s="8"/>
      <c r="N32" s="8"/>
      <c r="O32" s="8"/>
      <c r="P32" s="7"/>
      <c r="Q32" s="8"/>
      <c r="R32" s="7"/>
      <c r="S32" s="8"/>
      <c r="T32" s="150"/>
    </row>
    <row r="33" spans="1:20" x14ac:dyDescent="0.25">
      <c r="A33" s="146" t="b">
        <v>0</v>
      </c>
      <c r="B33" s="7">
        <f t="shared" si="0"/>
        <v>32</v>
      </c>
      <c r="C33" s="7" t="e">
        <f t="shared" si="1"/>
        <v>#N/A</v>
      </c>
      <c r="D33" s="7" t="e">
        <f>_xlfn.XLOOKUP($E33,Tab_Def_Processes[Process_Name],Tab_Def_Processes[Process_ID],,0,)</f>
        <v>#N/A</v>
      </c>
      <c r="E33" s="142" t="s">
        <v>22</v>
      </c>
      <c r="F33" s="7" t="e">
        <f>_xlfn.XLOOKUP($E33,Tab_Def_Processes[Process_Name],Tab_Def_Processes[Process_Logic],,0,)</f>
        <v>#N/A</v>
      </c>
      <c r="G33" s="7" t="e">
        <f>_xlfn.XLOOKUP($E33,Tab_Def_Processes[Process_Name],Tab_Def_Processes[TC_Configuration],,0,)</f>
        <v>#N/A</v>
      </c>
      <c r="H33" s="22" t="e">
        <f>_xlfn.XLOOKUP($E33,Tab_Def_Processes[Process_Name],Tab_Def_Processes[Stock_Configuration],,0,)</f>
        <v>#N/A</v>
      </c>
      <c r="I33" s="22" t="e">
        <f>_xlfn.XLOOKUP($E33,Tab_Def_Processes[Process_Name],Tab_Def_Processes[Outflow_count],,0,)</f>
        <v>#N/A</v>
      </c>
      <c r="J33" s="140"/>
      <c r="K33" s="8"/>
      <c r="L33" s="8"/>
      <c r="M33" s="8"/>
      <c r="N33" s="8"/>
      <c r="O33" s="8"/>
      <c r="P33" s="7"/>
      <c r="Q33" s="8"/>
      <c r="R33" s="7"/>
      <c r="S33" s="8"/>
      <c r="T33" s="150"/>
    </row>
    <row r="34" spans="1:20" x14ac:dyDescent="0.25">
      <c r="A34" s="146" t="b">
        <v>0</v>
      </c>
      <c r="B34" s="7">
        <f t="shared" ref="B34:B51" si="2">ROW()-1</f>
        <v>33</v>
      </c>
      <c r="C34" s="7" t="e">
        <f t="shared" si="1"/>
        <v>#N/A</v>
      </c>
      <c r="D34" s="7" t="e">
        <f>_xlfn.XLOOKUP($E34,Tab_Def_Processes[Process_Name],Tab_Def_Processes[Process_ID],,0,)</f>
        <v>#N/A</v>
      </c>
      <c r="E34" s="142" t="s">
        <v>22</v>
      </c>
      <c r="F34" s="7" t="e">
        <f>_xlfn.XLOOKUP($E34,Tab_Def_Processes[Process_Name],Tab_Def_Processes[Process_Logic],,0,)</f>
        <v>#N/A</v>
      </c>
      <c r="G34" s="7" t="e">
        <f>_xlfn.XLOOKUP($E34,Tab_Def_Processes[Process_Name],Tab_Def_Processes[TC_Configuration],,0,)</f>
        <v>#N/A</v>
      </c>
      <c r="H34" s="22" t="e">
        <f>_xlfn.XLOOKUP($E34,Tab_Def_Processes[Process_Name],Tab_Def_Processes[Stock_Configuration],,0,)</f>
        <v>#N/A</v>
      </c>
      <c r="I34" s="22" t="e">
        <f>_xlfn.XLOOKUP($E34,Tab_Def_Processes[Process_Name],Tab_Def_Processes[Outflow_count],,0,)</f>
        <v>#N/A</v>
      </c>
      <c r="J34" s="140"/>
      <c r="K34" s="8"/>
      <c r="L34" s="8"/>
      <c r="M34" s="8"/>
      <c r="N34" s="8"/>
      <c r="O34" s="8"/>
      <c r="P34" s="7"/>
      <c r="Q34" s="8"/>
      <c r="R34" s="7"/>
      <c r="S34" s="8"/>
      <c r="T34" s="150"/>
    </row>
    <row r="35" spans="1:20" x14ac:dyDescent="0.25">
      <c r="A35" s="146" t="b">
        <v>0</v>
      </c>
      <c r="B35" s="7">
        <f t="shared" si="2"/>
        <v>34</v>
      </c>
      <c r="C35" s="7" t="e">
        <f t="shared" si="1"/>
        <v>#N/A</v>
      </c>
      <c r="D35" s="7" t="e">
        <f>_xlfn.XLOOKUP($E35,Tab_Def_Processes[Process_Name],Tab_Def_Processes[Process_ID],,0,)</f>
        <v>#N/A</v>
      </c>
      <c r="E35" s="142" t="s">
        <v>22</v>
      </c>
      <c r="F35" s="7" t="e">
        <f>_xlfn.XLOOKUP($E35,Tab_Def_Processes[Process_Name],Tab_Def_Processes[Process_Logic],,0,)</f>
        <v>#N/A</v>
      </c>
      <c r="G35" s="7" t="e">
        <f>_xlfn.XLOOKUP($E35,Tab_Def_Processes[Process_Name],Tab_Def_Processes[TC_Configuration],,0,)</f>
        <v>#N/A</v>
      </c>
      <c r="H35" s="22" t="e">
        <f>_xlfn.XLOOKUP($E35,Tab_Def_Processes[Process_Name],Tab_Def_Processes[Stock_Configuration],,0,)</f>
        <v>#N/A</v>
      </c>
      <c r="I35" s="22" t="e">
        <f>_xlfn.XLOOKUP($E35,Tab_Def_Processes[Process_Name],Tab_Def_Processes[Outflow_count],,0,)</f>
        <v>#N/A</v>
      </c>
      <c r="J35" s="140"/>
      <c r="K35" s="8"/>
      <c r="L35" s="8"/>
      <c r="M35" s="8"/>
      <c r="N35" s="8"/>
      <c r="O35" s="8"/>
      <c r="P35" s="7"/>
      <c r="Q35" s="8"/>
      <c r="R35" s="7"/>
      <c r="S35" s="8"/>
      <c r="T35" s="150"/>
    </row>
    <row r="36" spans="1:20" x14ac:dyDescent="0.25">
      <c r="A36" s="146" t="b">
        <v>0</v>
      </c>
      <c r="B36" s="7">
        <f t="shared" si="2"/>
        <v>35</v>
      </c>
      <c r="C36" s="7" t="e">
        <f t="shared" si="1"/>
        <v>#N/A</v>
      </c>
      <c r="D36" s="7" t="e">
        <f>_xlfn.XLOOKUP($E36,Tab_Def_Processes[Process_Name],Tab_Def_Processes[Process_ID],,0,)</f>
        <v>#N/A</v>
      </c>
      <c r="E36" s="142" t="s">
        <v>22</v>
      </c>
      <c r="F36" s="7" t="e">
        <f>_xlfn.XLOOKUP($E36,Tab_Def_Processes[Process_Name],Tab_Def_Processes[Process_Logic],,0,)</f>
        <v>#N/A</v>
      </c>
      <c r="G36" s="7" t="e">
        <f>_xlfn.XLOOKUP($E36,Tab_Def_Processes[Process_Name],Tab_Def_Processes[TC_Configuration],,0,)</f>
        <v>#N/A</v>
      </c>
      <c r="H36" s="22" t="e">
        <f>_xlfn.XLOOKUP($E36,Tab_Def_Processes[Process_Name],Tab_Def_Processes[Stock_Configuration],,0,)</f>
        <v>#N/A</v>
      </c>
      <c r="I36" s="22" t="e">
        <f>_xlfn.XLOOKUP($E36,Tab_Def_Processes[Process_Name],Tab_Def_Processes[Outflow_count],,0,)</f>
        <v>#N/A</v>
      </c>
      <c r="J36" s="140"/>
      <c r="K36" s="8"/>
      <c r="L36" s="8"/>
      <c r="M36" s="8"/>
      <c r="N36" s="8"/>
      <c r="O36" s="8"/>
      <c r="P36" s="7"/>
      <c r="Q36" s="8"/>
      <c r="R36" s="7"/>
      <c r="S36" s="8"/>
      <c r="T36" s="150"/>
    </row>
    <row r="37" spans="1:20" x14ac:dyDescent="0.25">
      <c r="A37" s="146" t="b">
        <v>0</v>
      </c>
      <c r="B37" s="7">
        <f t="shared" si="2"/>
        <v>36</v>
      </c>
      <c r="C37" s="7" t="e">
        <f t="shared" si="1"/>
        <v>#N/A</v>
      </c>
      <c r="D37" s="7" t="e">
        <f>_xlfn.XLOOKUP($E37,Tab_Def_Processes[Process_Name],Tab_Def_Processes[Process_ID],,0,)</f>
        <v>#N/A</v>
      </c>
      <c r="E37" s="142" t="s">
        <v>22</v>
      </c>
      <c r="F37" s="7" t="e">
        <f>_xlfn.XLOOKUP($E37,Tab_Def_Processes[Process_Name],Tab_Def_Processes[Process_Logic],,0,)</f>
        <v>#N/A</v>
      </c>
      <c r="G37" s="7" t="e">
        <f>_xlfn.XLOOKUP($E37,Tab_Def_Processes[Process_Name],Tab_Def_Processes[TC_Configuration],,0,)</f>
        <v>#N/A</v>
      </c>
      <c r="H37" s="22" t="e">
        <f>_xlfn.XLOOKUP($E37,Tab_Def_Processes[Process_Name],Tab_Def_Processes[Stock_Configuration],,0,)</f>
        <v>#N/A</v>
      </c>
      <c r="I37" s="22" t="e">
        <f>_xlfn.XLOOKUP($E37,Tab_Def_Processes[Process_Name],Tab_Def_Processes[Outflow_count],,0,)</f>
        <v>#N/A</v>
      </c>
      <c r="J37" s="140"/>
      <c r="K37" s="8"/>
      <c r="L37" s="8"/>
      <c r="M37" s="8"/>
      <c r="N37" s="8"/>
      <c r="O37" s="8"/>
      <c r="P37" s="7"/>
      <c r="Q37" s="8"/>
      <c r="R37" s="7"/>
      <c r="S37" s="8"/>
      <c r="T37" s="150"/>
    </row>
    <row r="38" spans="1:20" x14ac:dyDescent="0.25">
      <c r="A38" s="146" t="b">
        <v>0</v>
      </c>
      <c r="B38" s="7">
        <f t="shared" si="2"/>
        <v>37</v>
      </c>
      <c r="C38" s="7" t="e">
        <f t="shared" si="1"/>
        <v>#N/A</v>
      </c>
      <c r="D38" s="7" t="e">
        <f>_xlfn.XLOOKUP($E38,Tab_Def_Processes[Process_Name],Tab_Def_Processes[Process_ID],,0,)</f>
        <v>#N/A</v>
      </c>
      <c r="E38" s="142" t="s">
        <v>22</v>
      </c>
      <c r="F38" s="7" t="e">
        <f>_xlfn.XLOOKUP($E38,Tab_Def_Processes[Process_Name],Tab_Def_Processes[Process_Logic],,0,)</f>
        <v>#N/A</v>
      </c>
      <c r="G38" s="7" t="e">
        <f>_xlfn.XLOOKUP($E38,Tab_Def_Processes[Process_Name],Tab_Def_Processes[TC_Configuration],,0,)</f>
        <v>#N/A</v>
      </c>
      <c r="H38" s="22" t="e">
        <f>_xlfn.XLOOKUP($E38,Tab_Def_Processes[Process_Name],Tab_Def_Processes[Stock_Configuration],,0,)</f>
        <v>#N/A</v>
      </c>
      <c r="I38" s="22" t="e">
        <f>_xlfn.XLOOKUP($E38,Tab_Def_Processes[Process_Name],Tab_Def_Processes[Outflow_count],,0,)</f>
        <v>#N/A</v>
      </c>
      <c r="J38" s="140"/>
      <c r="K38" s="8"/>
      <c r="L38" s="8"/>
      <c r="M38" s="8"/>
      <c r="N38" s="8"/>
      <c r="O38" s="8"/>
      <c r="P38" s="7"/>
      <c r="Q38" s="8"/>
      <c r="R38" s="7"/>
      <c r="S38" s="8"/>
      <c r="T38" s="150"/>
    </row>
    <row r="39" spans="1:20" x14ac:dyDescent="0.25">
      <c r="A39" s="146" t="b">
        <v>0</v>
      </c>
      <c r="B39" s="7">
        <f t="shared" si="2"/>
        <v>38</v>
      </c>
      <c r="C39" s="7" t="e">
        <f t="shared" si="1"/>
        <v>#N/A</v>
      </c>
      <c r="D39" s="7" t="e">
        <f>_xlfn.XLOOKUP($E39,Tab_Def_Processes[Process_Name],Tab_Def_Processes[Process_ID],,0,)</f>
        <v>#N/A</v>
      </c>
      <c r="E39" s="142" t="s">
        <v>22</v>
      </c>
      <c r="F39" s="7" t="e">
        <f>_xlfn.XLOOKUP($E39,Tab_Def_Processes[Process_Name],Tab_Def_Processes[Process_Logic],,0,)</f>
        <v>#N/A</v>
      </c>
      <c r="G39" s="7" t="e">
        <f>_xlfn.XLOOKUP($E39,Tab_Def_Processes[Process_Name],Tab_Def_Processes[TC_Configuration],,0,)</f>
        <v>#N/A</v>
      </c>
      <c r="H39" s="22" t="e">
        <f>_xlfn.XLOOKUP($E39,Tab_Def_Processes[Process_Name],Tab_Def_Processes[Stock_Configuration],,0,)</f>
        <v>#N/A</v>
      </c>
      <c r="I39" s="22" t="e">
        <f>_xlfn.XLOOKUP($E39,Tab_Def_Processes[Process_Name],Tab_Def_Processes[Outflow_count],,0,)</f>
        <v>#N/A</v>
      </c>
      <c r="J39" s="140"/>
      <c r="K39" s="8"/>
      <c r="L39" s="8"/>
      <c r="M39" s="8"/>
      <c r="N39" s="8"/>
      <c r="O39" s="8"/>
      <c r="P39" s="7"/>
      <c r="Q39" s="8"/>
      <c r="R39" s="7"/>
      <c r="S39" s="8"/>
      <c r="T39" s="150"/>
    </row>
    <row r="40" spans="1:20" x14ac:dyDescent="0.25">
      <c r="A40" s="146" t="b">
        <v>0</v>
      </c>
      <c r="B40" s="7">
        <f t="shared" si="2"/>
        <v>39</v>
      </c>
      <c r="C40" s="7" t="e">
        <f t="shared" si="1"/>
        <v>#N/A</v>
      </c>
      <c r="D40" s="7" t="e">
        <f>_xlfn.XLOOKUP($E40,Tab_Def_Processes[Process_Name],Tab_Def_Processes[Process_ID],,0,)</f>
        <v>#N/A</v>
      </c>
      <c r="E40" s="142" t="s">
        <v>22</v>
      </c>
      <c r="F40" s="7" t="e">
        <f>_xlfn.XLOOKUP($E40,Tab_Def_Processes[Process_Name],Tab_Def_Processes[Process_Logic],,0,)</f>
        <v>#N/A</v>
      </c>
      <c r="G40" s="7" t="e">
        <f>_xlfn.XLOOKUP($E40,Tab_Def_Processes[Process_Name],Tab_Def_Processes[TC_Configuration],,0,)</f>
        <v>#N/A</v>
      </c>
      <c r="H40" s="22" t="e">
        <f>_xlfn.XLOOKUP($E40,Tab_Def_Processes[Process_Name],Tab_Def_Processes[Stock_Configuration],,0,)</f>
        <v>#N/A</v>
      </c>
      <c r="I40" s="22" t="e">
        <f>_xlfn.XLOOKUP($E40,Tab_Def_Processes[Process_Name],Tab_Def_Processes[Outflow_count],,0,)</f>
        <v>#N/A</v>
      </c>
      <c r="J40" s="140"/>
      <c r="K40" s="8"/>
      <c r="L40" s="8"/>
      <c r="M40" s="8"/>
      <c r="N40" s="8"/>
      <c r="O40" s="8"/>
      <c r="P40" s="7"/>
      <c r="Q40" s="8"/>
      <c r="R40" s="7"/>
      <c r="S40" s="8"/>
      <c r="T40" s="150"/>
    </row>
    <row r="41" spans="1:20" x14ac:dyDescent="0.25">
      <c r="A41" s="146" t="b">
        <v>0</v>
      </c>
      <c r="B41" s="7">
        <f t="shared" si="2"/>
        <v>40</v>
      </c>
      <c r="C41" s="7" t="e">
        <f t="shared" si="1"/>
        <v>#N/A</v>
      </c>
      <c r="D41" s="7" t="e">
        <f>_xlfn.XLOOKUP($E41,Tab_Def_Processes[Process_Name],Tab_Def_Processes[Process_ID],,0,)</f>
        <v>#N/A</v>
      </c>
      <c r="E41" s="142" t="s">
        <v>22</v>
      </c>
      <c r="F41" s="7" t="e">
        <f>_xlfn.XLOOKUP($E41,Tab_Def_Processes[Process_Name],Tab_Def_Processes[Process_Logic],,0,)</f>
        <v>#N/A</v>
      </c>
      <c r="G41" s="7" t="e">
        <f>_xlfn.XLOOKUP($E41,Tab_Def_Processes[Process_Name],Tab_Def_Processes[TC_Configuration],,0,)</f>
        <v>#N/A</v>
      </c>
      <c r="H41" s="22" t="e">
        <f>_xlfn.XLOOKUP($E41,Tab_Def_Processes[Process_Name],Tab_Def_Processes[Stock_Configuration],,0,)</f>
        <v>#N/A</v>
      </c>
      <c r="I41" s="22" t="e">
        <f>_xlfn.XLOOKUP($E41,Tab_Def_Processes[Process_Name],Tab_Def_Processes[Outflow_count],,0,)</f>
        <v>#N/A</v>
      </c>
      <c r="J41" s="140"/>
      <c r="K41" s="8"/>
      <c r="L41" s="8"/>
      <c r="M41" s="8"/>
      <c r="N41" s="8"/>
      <c r="O41" s="8"/>
      <c r="P41" s="7"/>
      <c r="Q41" s="8"/>
      <c r="R41" s="7"/>
      <c r="S41" s="8"/>
      <c r="T41" s="150"/>
    </row>
    <row r="42" spans="1:20" x14ac:dyDescent="0.25">
      <c r="A42" s="146" t="b">
        <v>0</v>
      </c>
      <c r="B42" s="7">
        <f t="shared" si="2"/>
        <v>41</v>
      </c>
      <c r="C42" s="7" t="e">
        <f t="shared" si="1"/>
        <v>#N/A</v>
      </c>
      <c r="D42" s="7" t="e">
        <f>_xlfn.XLOOKUP($E42,Tab_Def_Processes[Process_Name],Tab_Def_Processes[Process_ID],,0,)</f>
        <v>#N/A</v>
      </c>
      <c r="E42" s="142" t="s">
        <v>22</v>
      </c>
      <c r="F42" s="7" t="e">
        <f>_xlfn.XLOOKUP($E42,Tab_Def_Processes[Process_Name],Tab_Def_Processes[Process_Logic],,0,)</f>
        <v>#N/A</v>
      </c>
      <c r="G42" s="7" t="e">
        <f>_xlfn.XLOOKUP($E42,Tab_Def_Processes[Process_Name],Tab_Def_Processes[TC_Configuration],,0,)</f>
        <v>#N/A</v>
      </c>
      <c r="H42" s="22" t="e">
        <f>_xlfn.XLOOKUP($E42,Tab_Def_Processes[Process_Name],Tab_Def_Processes[Stock_Configuration],,0,)</f>
        <v>#N/A</v>
      </c>
      <c r="I42" s="22" t="e">
        <f>_xlfn.XLOOKUP($E42,Tab_Def_Processes[Process_Name],Tab_Def_Processes[Outflow_count],,0,)</f>
        <v>#N/A</v>
      </c>
      <c r="J42" s="140"/>
      <c r="K42" s="8"/>
      <c r="L42" s="8"/>
      <c r="M42" s="8"/>
      <c r="N42" s="8"/>
      <c r="O42" s="8"/>
      <c r="P42" s="7"/>
      <c r="Q42" s="8"/>
      <c r="R42" s="7"/>
      <c r="S42" s="8"/>
      <c r="T42" s="150"/>
    </row>
    <row r="43" spans="1:20" x14ac:dyDescent="0.25">
      <c r="A43" s="146" t="b">
        <v>0</v>
      </c>
      <c r="B43" s="7">
        <f t="shared" si="2"/>
        <v>42</v>
      </c>
      <c r="C43" s="7" t="e">
        <f t="shared" si="1"/>
        <v>#N/A</v>
      </c>
      <c r="D43" s="7" t="e">
        <f>_xlfn.XLOOKUP($E43,Tab_Def_Processes[Process_Name],Tab_Def_Processes[Process_ID],,0,)</f>
        <v>#N/A</v>
      </c>
      <c r="E43" s="142" t="s">
        <v>22</v>
      </c>
      <c r="F43" s="7" t="e">
        <f>_xlfn.XLOOKUP($E43,Tab_Def_Processes[Process_Name],Tab_Def_Processes[Process_Logic],,0,)</f>
        <v>#N/A</v>
      </c>
      <c r="G43" s="7" t="e">
        <f>_xlfn.XLOOKUP($E43,Tab_Def_Processes[Process_Name],Tab_Def_Processes[TC_Configuration],,0,)</f>
        <v>#N/A</v>
      </c>
      <c r="H43" s="22" t="e">
        <f>_xlfn.XLOOKUP($E43,Tab_Def_Processes[Process_Name],Tab_Def_Processes[Stock_Configuration],,0,)</f>
        <v>#N/A</v>
      </c>
      <c r="I43" s="22" t="e">
        <f>_xlfn.XLOOKUP($E43,Tab_Def_Processes[Process_Name],Tab_Def_Processes[Outflow_count],,0,)</f>
        <v>#N/A</v>
      </c>
      <c r="J43" s="140"/>
      <c r="K43" s="8"/>
      <c r="L43" s="8"/>
      <c r="M43" s="8"/>
      <c r="N43" s="8"/>
      <c r="O43" s="8"/>
      <c r="P43" s="7"/>
      <c r="Q43" s="8"/>
      <c r="R43" s="7"/>
      <c r="S43" s="8"/>
      <c r="T43" s="150"/>
    </row>
    <row r="44" spans="1:20" x14ac:dyDescent="0.25">
      <c r="A44" s="146" t="b">
        <v>0</v>
      </c>
      <c r="B44" s="7">
        <f t="shared" si="2"/>
        <v>43</v>
      </c>
      <c r="C44" s="7" t="e">
        <f t="shared" si="1"/>
        <v>#N/A</v>
      </c>
      <c r="D44" s="7" t="e">
        <f>_xlfn.XLOOKUP($E44,Tab_Def_Processes[Process_Name],Tab_Def_Processes[Process_ID],,0,)</f>
        <v>#N/A</v>
      </c>
      <c r="E44" s="142" t="s">
        <v>22</v>
      </c>
      <c r="F44" s="7" t="e">
        <f>_xlfn.XLOOKUP($E44,Tab_Def_Processes[Process_Name],Tab_Def_Processes[Process_Logic],,0,)</f>
        <v>#N/A</v>
      </c>
      <c r="G44" s="7" t="e">
        <f>_xlfn.XLOOKUP($E44,Tab_Def_Processes[Process_Name],Tab_Def_Processes[TC_Configuration],,0,)</f>
        <v>#N/A</v>
      </c>
      <c r="H44" s="22" t="e">
        <f>_xlfn.XLOOKUP($E44,Tab_Def_Processes[Process_Name],Tab_Def_Processes[Stock_Configuration],,0,)</f>
        <v>#N/A</v>
      </c>
      <c r="I44" s="22" t="e">
        <f>_xlfn.XLOOKUP($E44,Tab_Def_Processes[Process_Name],Tab_Def_Processes[Outflow_count],,0,)</f>
        <v>#N/A</v>
      </c>
      <c r="J44" s="140"/>
      <c r="K44" s="8"/>
      <c r="L44" s="8"/>
      <c r="M44" s="8"/>
      <c r="N44" s="8"/>
      <c r="O44" s="8"/>
      <c r="P44" s="7"/>
      <c r="Q44" s="8"/>
      <c r="R44" s="7"/>
      <c r="S44" s="8"/>
      <c r="T44" s="150"/>
    </row>
    <row r="45" spans="1:20" x14ac:dyDescent="0.25">
      <c r="A45" s="146" t="b">
        <v>0</v>
      </c>
      <c r="B45" s="7">
        <f t="shared" si="2"/>
        <v>44</v>
      </c>
      <c r="C45" s="7" t="e">
        <f t="shared" si="1"/>
        <v>#N/A</v>
      </c>
      <c r="D45" s="7" t="e">
        <f>_xlfn.XLOOKUP($E45,Tab_Def_Processes[Process_Name],Tab_Def_Processes[Process_ID],,0,)</f>
        <v>#N/A</v>
      </c>
      <c r="E45" s="142" t="s">
        <v>22</v>
      </c>
      <c r="F45" s="7" t="e">
        <f>_xlfn.XLOOKUP($E45,Tab_Def_Processes[Process_Name],Tab_Def_Processes[Process_Logic],,0,)</f>
        <v>#N/A</v>
      </c>
      <c r="G45" s="7" t="e">
        <f>_xlfn.XLOOKUP($E45,Tab_Def_Processes[Process_Name],Tab_Def_Processes[TC_Configuration],,0,)</f>
        <v>#N/A</v>
      </c>
      <c r="H45" s="22" t="e">
        <f>_xlfn.XLOOKUP($E45,Tab_Def_Processes[Process_Name],Tab_Def_Processes[Stock_Configuration],,0,)</f>
        <v>#N/A</v>
      </c>
      <c r="I45" s="22" t="e">
        <f>_xlfn.XLOOKUP($E45,Tab_Def_Processes[Process_Name],Tab_Def_Processes[Outflow_count],,0,)</f>
        <v>#N/A</v>
      </c>
      <c r="J45" s="140"/>
      <c r="K45" s="8"/>
      <c r="L45" s="8"/>
      <c r="M45" s="8"/>
      <c r="N45" s="8"/>
      <c r="O45" s="8"/>
      <c r="P45" s="7"/>
      <c r="Q45" s="8"/>
      <c r="R45" s="7"/>
      <c r="S45" s="8"/>
      <c r="T45" s="150"/>
    </row>
    <row r="46" spans="1:20" x14ac:dyDescent="0.25">
      <c r="A46" s="146" t="b">
        <v>0</v>
      </c>
      <c r="B46" s="7">
        <f t="shared" si="2"/>
        <v>45</v>
      </c>
      <c r="C46" s="7" t="e">
        <f t="shared" si="1"/>
        <v>#N/A</v>
      </c>
      <c r="D46" s="7" t="e">
        <f>_xlfn.XLOOKUP($E46,Tab_Def_Processes[Process_Name],Tab_Def_Processes[Process_ID],,0,)</f>
        <v>#N/A</v>
      </c>
      <c r="E46" s="142" t="s">
        <v>22</v>
      </c>
      <c r="F46" s="7" t="e">
        <f>_xlfn.XLOOKUP($E46,Tab_Def_Processes[Process_Name],Tab_Def_Processes[Process_Logic],,0,)</f>
        <v>#N/A</v>
      </c>
      <c r="G46" s="7" t="e">
        <f>_xlfn.XLOOKUP($E46,Tab_Def_Processes[Process_Name],Tab_Def_Processes[TC_Configuration],,0,)</f>
        <v>#N/A</v>
      </c>
      <c r="H46" s="22" t="e">
        <f>_xlfn.XLOOKUP($E46,Tab_Def_Processes[Process_Name],Tab_Def_Processes[Stock_Configuration],,0,)</f>
        <v>#N/A</v>
      </c>
      <c r="I46" s="22" t="e">
        <f>_xlfn.XLOOKUP($E46,Tab_Def_Processes[Process_Name],Tab_Def_Processes[Outflow_count],,0,)</f>
        <v>#N/A</v>
      </c>
      <c r="J46" s="140"/>
      <c r="K46" s="8"/>
      <c r="L46" s="8"/>
      <c r="M46" s="8"/>
      <c r="N46" s="8"/>
      <c r="O46" s="8"/>
      <c r="P46" s="7"/>
      <c r="Q46" s="8"/>
      <c r="R46" s="7"/>
      <c r="S46" s="8"/>
      <c r="T46" s="150"/>
    </row>
    <row r="47" spans="1:20" x14ac:dyDescent="0.25">
      <c r="A47" s="146" t="b">
        <v>0</v>
      </c>
      <c r="B47" s="7">
        <f t="shared" si="2"/>
        <v>46</v>
      </c>
      <c r="C47" s="7" t="e">
        <f t="shared" si="1"/>
        <v>#N/A</v>
      </c>
      <c r="D47" s="7" t="e">
        <f>_xlfn.XLOOKUP($E47,Tab_Def_Processes[Process_Name],Tab_Def_Processes[Process_ID],,0,)</f>
        <v>#N/A</v>
      </c>
      <c r="E47" s="142" t="s">
        <v>22</v>
      </c>
      <c r="F47" s="7" t="e">
        <f>_xlfn.XLOOKUP($E47,Tab_Def_Processes[Process_Name],Tab_Def_Processes[Process_Logic],,0,)</f>
        <v>#N/A</v>
      </c>
      <c r="G47" s="7" t="e">
        <f>_xlfn.XLOOKUP($E47,Tab_Def_Processes[Process_Name],Tab_Def_Processes[TC_Configuration],,0,)</f>
        <v>#N/A</v>
      </c>
      <c r="H47" s="22" t="e">
        <f>_xlfn.XLOOKUP($E47,Tab_Def_Processes[Process_Name],Tab_Def_Processes[Stock_Configuration],,0,)</f>
        <v>#N/A</v>
      </c>
      <c r="I47" s="22" t="e">
        <f>_xlfn.XLOOKUP($E47,Tab_Def_Processes[Process_Name],Tab_Def_Processes[Outflow_count],,0,)</f>
        <v>#N/A</v>
      </c>
      <c r="J47" s="140"/>
      <c r="K47" s="8"/>
      <c r="L47" s="8"/>
      <c r="M47" s="8"/>
      <c r="N47" s="8"/>
      <c r="O47" s="8"/>
      <c r="P47" s="7"/>
      <c r="Q47" s="8"/>
      <c r="R47" s="7"/>
      <c r="S47" s="8"/>
      <c r="T47" s="150"/>
    </row>
    <row r="48" spans="1:20" x14ac:dyDescent="0.25">
      <c r="A48" s="146" t="b">
        <v>0</v>
      </c>
      <c r="B48" s="7">
        <f t="shared" si="2"/>
        <v>47</v>
      </c>
      <c r="C48" s="7" t="e">
        <f t="shared" si="1"/>
        <v>#N/A</v>
      </c>
      <c r="D48" s="7" t="e">
        <f>_xlfn.XLOOKUP($E48,Tab_Def_Processes[Process_Name],Tab_Def_Processes[Process_ID],,0,)</f>
        <v>#N/A</v>
      </c>
      <c r="E48" s="142" t="s">
        <v>22</v>
      </c>
      <c r="F48" s="7" t="e">
        <f>_xlfn.XLOOKUP($E48,Tab_Def_Processes[Process_Name],Tab_Def_Processes[Process_Logic],,0,)</f>
        <v>#N/A</v>
      </c>
      <c r="G48" s="7" t="e">
        <f>_xlfn.XLOOKUP($E48,Tab_Def_Processes[Process_Name],Tab_Def_Processes[TC_Configuration],,0,)</f>
        <v>#N/A</v>
      </c>
      <c r="H48" s="22" t="e">
        <f>_xlfn.XLOOKUP($E48,Tab_Def_Processes[Process_Name],Tab_Def_Processes[Stock_Configuration],,0,)</f>
        <v>#N/A</v>
      </c>
      <c r="I48" s="22" t="e">
        <f>_xlfn.XLOOKUP($E48,Tab_Def_Processes[Process_Name],Tab_Def_Processes[Outflow_count],,0,)</f>
        <v>#N/A</v>
      </c>
      <c r="J48" s="140"/>
      <c r="K48" s="8"/>
      <c r="L48" s="8"/>
      <c r="M48" s="8"/>
      <c r="N48" s="8"/>
      <c r="O48" s="8"/>
      <c r="P48" s="7"/>
      <c r="Q48" s="8"/>
      <c r="R48" s="7"/>
      <c r="S48" s="8"/>
      <c r="T48" s="150"/>
    </row>
    <row r="49" spans="1:20" x14ac:dyDescent="0.25">
      <c r="A49" s="146" t="b">
        <v>0</v>
      </c>
      <c r="B49" s="7">
        <f t="shared" si="2"/>
        <v>48</v>
      </c>
      <c r="C49" s="7" t="e">
        <f t="shared" si="1"/>
        <v>#N/A</v>
      </c>
      <c r="D49" s="7" t="e">
        <f>_xlfn.XLOOKUP($E49,Tab_Def_Processes[Process_Name],Tab_Def_Processes[Process_ID],,0,)</f>
        <v>#N/A</v>
      </c>
      <c r="E49" s="142" t="s">
        <v>22</v>
      </c>
      <c r="F49" s="7" t="e">
        <f>_xlfn.XLOOKUP($E49,Tab_Def_Processes[Process_Name],Tab_Def_Processes[Process_Logic],,0,)</f>
        <v>#N/A</v>
      </c>
      <c r="G49" s="7" t="e">
        <f>_xlfn.XLOOKUP($E49,Tab_Def_Processes[Process_Name],Tab_Def_Processes[TC_Configuration],,0,)</f>
        <v>#N/A</v>
      </c>
      <c r="H49" s="22" t="e">
        <f>_xlfn.XLOOKUP($E49,Tab_Def_Processes[Process_Name],Tab_Def_Processes[Stock_Configuration],,0,)</f>
        <v>#N/A</v>
      </c>
      <c r="I49" s="22" t="e">
        <f>_xlfn.XLOOKUP($E49,Tab_Def_Processes[Process_Name],Tab_Def_Processes[Outflow_count],,0,)</f>
        <v>#N/A</v>
      </c>
      <c r="J49" s="140"/>
      <c r="K49" s="8"/>
      <c r="L49" s="8"/>
      <c r="M49" s="8"/>
      <c r="N49" s="8"/>
      <c r="O49" s="8"/>
      <c r="P49" s="7"/>
      <c r="Q49" s="8"/>
      <c r="R49" s="7"/>
      <c r="S49" s="8"/>
      <c r="T49" s="150"/>
    </row>
    <row r="50" spans="1:20" x14ac:dyDescent="0.25">
      <c r="A50" s="146" t="b">
        <v>0</v>
      </c>
      <c r="B50" s="7">
        <f t="shared" si="2"/>
        <v>49</v>
      </c>
      <c r="C50" s="7" t="e">
        <f t="shared" si="1"/>
        <v>#N/A</v>
      </c>
      <c r="D50" s="7" t="e">
        <f>_xlfn.XLOOKUP($E50,Tab_Def_Processes[Process_Name],Tab_Def_Processes[Process_ID],,0,)</f>
        <v>#N/A</v>
      </c>
      <c r="E50" s="142" t="s">
        <v>22</v>
      </c>
      <c r="F50" s="7" t="e">
        <f>_xlfn.XLOOKUP($E50,Tab_Def_Processes[Process_Name],Tab_Def_Processes[Process_Logic],,0,)</f>
        <v>#N/A</v>
      </c>
      <c r="G50" s="7" t="e">
        <f>_xlfn.XLOOKUP($E50,Tab_Def_Processes[Process_Name],Tab_Def_Processes[TC_Configuration],,0,)</f>
        <v>#N/A</v>
      </c>
      <c r="H50" s="22" t="e">
        <f>_xlfn.XLOOKUP($E50,Tab_Def_Processes[Process_Name],Tab_Def_Processes[Stock_Configuration],,0,)</f>
        <v>#N/A</v>
      </c>
      <c r="I50" s="22" t="e">
        <f>_xlfn.XLOOKUP($E50,Tab_Def_Processes[Process_Name],Tab_Def_Processes[Outflow_count],,0,)</f>
        <v>#N/A</v>
      </c>
      <c r="J50" s="140"/>
      <c r="K50" s="8"/>
      <c r="L50" s="8"/>
      <c r="M50" s="8"/>
      <c r="N50" s="8"/>
      <c r="O50" s="8"/>
      <c r="P50" s="7"/>
      <c r="Q50" s="8"/>
      <c r="R50" s="7"/>
      <c r="S50" s="8"/>
      <c r="T50" s="150"/>
    </row>
    <row r="51" spans="1:20" x14ac:dyDescent="0.25">
      <c r="A51" s="146" t="b">
        <v>0</v>
      </c>
      <c r="B51" s="7">
        <f t="shared" si="2"/>
        <v>50</v>
      </c>
      <c r="C51" s="7" t="e">
        <f t="shared" si="1"/>
        <v>#N/A</v>
      </c>
      <c r="D51" s="7" t="e">
        <f>_xlfn.XLOOKUP($E51,Tab_Def_Processes[Process_Name],Tab_Def_Processes[Process_ID],,0,)</f>
        <v>#N/A</v>
      </c>
      <c r="E51" s="142" t="s">
        <v>22</v>
      </c>
      <c r="F51" s="7" t="e">
        <f>_xlfn.XLOOKUP($E51,Tab_Def_Processes[Process_Name],Tab_Def_Processes[Process_Logic],,0,)</f>
        <v>#N/A</v>
      </c>
      <c r="G51" s="7" t="e">
        <f>_xlfn.XLOOKUP($E51,Tab_Def_Processes[Process_Name],Tab_Def_Processes[TC_Configuration],,0,)</f>
        <v>#N/A</v>
      </c>
      <c r="H51" s="22" t="e">
        <f>_xlfn.XLOOKUP($E51,Tab_Def_Processes[Process_Name],Tab_Def_Processes[Stock_Configuration],,0,)</f>
        <v>#N/A</v>
      </c>
      <c r="I51" s="22" t="e">
        <f>_xlfn.XLOOKUP($E51,Tab_Def_Processes[Process_Name],Tab_Def_Processes[Outflow_count],,0,)</f>
        <v>#N/A</v>
      </c>
      <c r="J51" s="140"/>
      <c r="K51" s="8"/>
      <c r="L51" s="8"/>
      <c r="M51" s="8"/>
      <c r="N51" s="8"/>
      <c r="O51" s="8"/>
      <c r="P51" s="7"/>
      <c r="Q51" s="8"/>
      <c r="R51" s="7"/>
      <c r="S51" s="8"/>
      <c r="T51" s="150"/>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EF4F630D-AC05-40E2-AF70-9CAA90BCDFA9}">
          <x14:formula1>
            <xm:f>'2_1_Definition_Processes'!$D$2:$D$47</xm:f>
          </x14:formula1>
          <xm:sqref>O2:O51 E2:E51</xm:sqref>
        </x14:dataValidation>
        <x14:dataValidation type="list" allowBlank="1" showInputMessage="1" showErrorMessage="1" xr:uid="{24E4AF9F-342A-4F59-A041-F0845D1625A8}">
          <x14:formula1>
            <xm:f>'1_1_Definition_Flows'!$D$2:$D$70</xm:f>
          </x14:formula1>
          <xm:sqref>Q2:Q51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6852A-349E-441D-BA21-F1BCAAE7D696}">
  <sheetPr>
    <tabColor theme="5" tint="0.79998168889431442"/>
  </sheetPr>
  <dimension ref="A1:M81"/>
  <sheetViews>
    <sheetView zoomScale="130" zoomScaleNormal="130" workbookViewId="0">
      <selection activeCell="I41" sqref="I41"/>
    </sheetView>
  </sheetViews>
  <sheetFormatPr defaultRowHeight="15" x14ac:dyDescent="0.25"/>
  <cols>
    <col min="1" max="1" width="11.7109375" customWidth="1"/>
    <col min="2" max="2" width="6.140625" customWidth="1"/>
    <col min="3" max="3" width="12.85546875" customWidth="1"/>
    <col min="4" max="4" width="41.140625" customWidth="1"/>
    <col min="5" max="5" width="13" customWidth="1"/>
    <col min="6" max="6" width="15" customWidth="1"/>
    <col min="7" max="8" width="17.42578125" customWidth="1"/>
    <col min="9" max="9" width="20.7109375" customWidth="1"/>
    <col min="10" max="10" width="26.140625" customWidth="1"/>
    <col min="11" max="11" width="28.85546875" customWidth="1"/>
    <col min="12" max="12" width="35.140625" customWidth="1"/>
    <col min="13" max="13" width="26.140625" customWidth="1"/>
  </cols>
  <sheetData>
    <row r="1" spans="1:13" x14ac:dyDescent="0.25">
      <c r="A1" s="145" t="s">
        <v>41</v>
      </c>
      <c r="B1" s="145" t="s">
        <v>19</v>
      </c>
      <c r="C1" s="145" t="s">
        <v>38</v>
      </c>
      <c r="D1" s="145" t="s">
        <v>541</v>
      </c>
      <c r="E1" s="145" t="s">
        <v>503</v>
      </c>
      <c r="F1" s="145" t="s">
        <v>579</v>
      </c>
      <c r="G1" s="145" t="s">
        <v>580</v>
      </c>
      <c r="H1" s="145" t="s">
        <v>660</v>
      </c>
      <c r="I1" s="145" t="s">
        <v>553</v>
      </c>
      <c r="J1" s="145" t="s">
        <v>561</v>
      </c>
      <c r="K1" s="145" t="s">
        <v>560</v>
      </c>
      <c r="L1" s="145" t="s">
        <v>559</v>
      </c>
      <c r="M1" s="145" t="s">
        <v>562</v>
      </c>
    </row>
    <row r="2" spans="1:13" x14ac:dyDescent="0.25">
      <c r="A2" s="146" t="b">
        <v>0</v>
      </c>
      <c r="B2" s="7">
        <f t="shared" ref="B2:B81" si="0">ROW()-1</f>
        <v>1</v>
      </c>
      <c r="C2" s="7" t="str">
        <f>_xlfn.XLOOKUP($D2,Tab_Def_Processes[Process_Name],Tab_Def_Processes[Process_ID],,0,)</f>
        <v>05</v>
      </c>
      <c r="D2" s="142" t="s">
        <v>589</v>
      </c>
      <c r="E2" s="7" t="str">
        <f>_xlfn.XLOOKUP($D2,Tab_Def_Processes[Process_Name],Tab_Def_Processes[Process_Logic],,0,)</f>
        <v>DSM</v>
      </c>
      <c r="F2" s="7" t="str">
        <f>_xlfn.XLOOKUP($D2,Tab_Def_Processes[Process_Name],Tab_Def_Processes[TC_Configuration],,0,)</f>
        <v>No TC</v>
      </c>
      <c r="G2" s="7" t="str">
        <f>_xlfn.XLOOKUP($D2,Tab_Def_Processes[Process_Name],Tab_Def_Processes[Stock_Configuration],,0,)</f>
        <v>Stock</v>
      </c>
      <c r="H2" s="7">
        <f>_xlfn.XLOOKUP(Tab_DSM[[#This Row],[Process_Name]],Tab_Def_Processes[Process_Name],Tab_Def_Processes[Outflow_count],,0,)</f>
        <v>1</v>
      </c>
      <c r="I2" s="142">
        <v>1</v>
      </c>
      <c r="J2" s="7" t="str">
        <f>_xlfn.XLOOKUP($I2,Tab_DSM_Category_ID[Category ID],Tab_DSM_Category_ID[DSM Material],,0,)</f>
        <v>DSM Material 1</v>
      </c>
      <c r="K2" s="142" t="s">
        <v>554</v>
      </c>
      <c r="L2" s="7" t="str">
        <f>Tab_DSM[[#This Row],[DSM_Parameter_type]]&amp;"_Cat_"&amp;Tab_DSM[[#This Row],[DSM_Category_Nr.]]</f>
        <v>DSM_Category_Name_Cat_1</v>
      </c>
      <c r="M2" s="8" t="s">
        <v>623</v>
      </c>
    </row>
    <row r="3" spans="1:13" x14ac:dyDescent="0.25">
      <c r="A3" s="146" t="b">
        <v>0</v>
      </c>
      <c r="B3" s="7">
        <f t="shared" si="0"/>
        <v>2</v>
      </c>
      <c r="C3" s="7" t="str">
        <f>_xlfn.XLOOKUP($D3,Tab_Def_Processes[Process_Name],Tab_Def_Processes[Process_ID],,0,)</f>
        <v>05</v>
      </c>
      <c r="D3" s="142" t="s">
        <v>589</v>
      </c>
      <c r="E3" s="7" t="str">
        <f>_xlfn.XLOOKUP($D3,Tab_Def_Processes[Process_Name],Tab_Def_Processes[Process_Logic],,0,)</f>
        <v>DSM</v>
      </c>
      <c r="F3" s="7" t="str">
        <f>_xlfn.XLOOKUP($D3,Tab_Def_Processes[Process_Name],Tab_Def_Processes[TC_Configuration],,0,)</f>
        <v>No TC</v>
      </c>
      <c r="G3" s="7" t="str">
        <f>_xlfn.XLOOKUP($D3,Tab_Def_Processes[Process_Name],Tab_Def_Processes[Stock_Configuration],,0,)</f>
        <v>Stock</v>
      </c>
      <c r="H3" s="7">
        <f>_xlfn.XLOOKUP(Tab_DSM[[#This Row],[Process_Name]],Tab_Def_Processes[Process_Name],Tab_Def_Processes[Outflow_count],,0,)</f>
        <v>1</v>
      </c>
      <c r="I3" s="142">
        <v>1</v>
      </c>
      <c r="J3" s="7" t="str">
        <f>_xlfn.XLOOKUP($I3,Tab_DSM_Category_ID[Category ID],Tab_DSM_Category_ID[DSM Material],,0,)</f>
        <v>DSM Material 1</v>
      </c>
      <c r="K3" s="142" t="s">
        <v>555</v>
      </c>
      <c r="L3" s="7" t="str">
        <f>Tab_DSM[[#This Row],[DSM_Parameter_type]]&amp;"_Cat_"&amp;Tab_DSM[[#This Row],[DSM_Category_Nr.]]</f>
        <v>DSM_Inflow_Split_[%]_Cat_1</v>
      </c>
      <c r="M3" s="8" t="s">
        <v>573</v>
      </c>
    </row>
    <row r="4" spans="1:13" x14ac:dyDescent="0.25">
      <c r="A4" s="146" t="b">
        <v>0</v>
      </c>
      <c r="B4" s="7">
        <f t="shared" si="0"/>
        <v>3</v>
      </c>
      <c r="C4" s="7" t="str">
        <f>_xlfn.XLOOKUP($D4,Tab_Def_Processes[Process_Name],Tab_Def_Processes[Process_ID],,0,)</f>
        <v>05</v>
      </c>
      <c r="D4" s="142" t="s">
        <v>589</v>
      </c>
      <c r="E4" s="7" t="str">
        <f>_xlfn.XLOOKUP($D4,Tab_Def_Processes[Process_Name],Tab_Def_Processes[Process_Logic],,0,)</f>
        <v>DSM</v>
      </c>
      <c r="F4" s="7" t="str">
        <f>_xlfn.XLOOKUP($D4,Tab_Def_Processes[Process_Name],Tab_Def_Processes[TC_Configuration],,0,)</f>
        <v>No TC</v>
      </c>
      <c r="G4" s="7" t="str">
        <f>_xlfn.XLOOKUP($D4,Tab_Def_Processes[Process_Name],Tab_Def_Processes[Stock_Configuration],,0,)</f>
        <v>Stock</v>
      </c>
      <c r="H4" s="7">
        <f>_xlfn.XLOOKUP(Tab_DSM[[#This Row],[Process_Name]],Tab_Def_Processes[Process_Name],Tab_Def_Processes[Outflow_count],,0,)</f>
        <v>1</v>
      </c>
      <c r="I4" s="142">
        <v>1</v>
      </c>
      <c r="J4" s="7" t="str">
        <f>_xlfn.XLOOKUP($I4,Tab_DSM_Category_ID[Category ID],Tab_DSM_Category_ID[DSM Material],,0,)</f>
        <v>DSM Material 1</v>
      </c>
      <c r="K4" s="142" t="s">
        <v>556</v>
      </c>
      <c r="L4" s="7" t="str">
        <f>Tab_DSM[[#This Row],[DSM_Parameter_type]]&amp;"_Cat_"&amp;Tab_DSM[[#This Row],[DSM_Category_Nr.]]</f>
        <v>DSM_Lifetime_Type_Cat_1</v>
      </c>
      <c r="M4" s="8" t="s">
        <v>213</v>
      </c>
    </row>
    <row r="5" spans="1:13" x14ac:dyDescent="0.25">
      <c r="A5" s="146" t="b">
        <v>0</v>
      </c>
      <c r="B5" s="7">
        <f t="shared" si="0"/>
        <v>4</v>
      </c>
      <c r="C5" s="7" t="str">
        <f>_xlfn.XLOOKUP($D5,Tab_Def_Processes[Process_Name],Tab_Def_Processes[Process_ID],,0,)</f>
        <v>05</v>
      </c>
      <c r="D5" s="142" t="s">
        <v>589</v>
      </c>
      <c r="E5" s="7" t="str">
        <f>_xlfn.XLOOKUP($D5,Tab_Def_Processes[Process_Name],Tab_Def_Processes[Process_Logic],,0,)</f>
        <v>DSM</v>
      </c>
      <c r="F5" s="7" t="str">
        <f>_xlfn.XLOOKUP($D5,Tab_Def_Processes[Process_Name],Tab_Def_Processes[TC_Configuration],,0,)</f>
        <v>No TC</v>
      </c>
      <c r="G5" s="7" t="str">
        <f>_xlfn.XLOOKUP($D5,Tab_Def_Processes[Process_Name],Tab_Def_Processes[Stock_Configuration],,0,)</f>
        <v>Stock</v>
      </c>
      <c r="H5" s="7">
        <f>_xlfn.XLOOKUP(Tab_DSM[[#This Row],[Process_Name]],Tab_Def_Processes[Process_Name],Tab_Def_Processes[Outflow_count],,0,)</f>
        <v>1</v>
      </c>
      <c r="I5" s="142">
        <v>1</v>
      </c>
      <c r="J5" s="7" t="str">
        <f>_xlfn.XLOOKUP($I5,Tab_DSM_Category_ID[Category ID],Tab_DSM_Category_ID[DSM Material],,0,)</f>
        <v>DSM Material 1</v>
      </c>
      <c r="K5" s="142" t="s">
        <v>557</v>
      </c>
      <c r="L5" s="7" t="str">
        <f>Tab_DSM[[#This Row],[DSM_Parameter_type]]&amp;"_Cat_"&amp;Tab_DSM[[#This Row],[DSM_Category_Nr.]]</f>
        <v>DSM_Lifetime_Mean_Cat_1</v>
      </c>
      <c r="M5" s="8">
        <v>30</v>
      </c>
    </row>
    <row r="6" spans="1:13" x14ac:dyDescent="0.25">
      <c r="A6" s="146" t="b">
        <v>0</v>
      </c>
      <c r="B6" s="7">
        <f t="shared" si="0"/>
        <v>5</v>
      </c>
      <c r="C6" s="7" t="str">
        <f>_xlfn.XLOOKUP($D6,Tab_Def_Processes[Process_Name],Tab_Def_Processes[Process_ID],,0,)</f>
        <v>05</v>
      </c>
      <c r="D6" s="142" t="s">
        <v>589</v>
      </c>
      <c r="E6" s="7" t="str">
        <f>_xlfn.XLOOKUP($D6,Tab_Def_Processes[Process_Name],Tab_Def_Processes[Process_Logic],,0,)</f>
        <v>DSM</v>
      </c>
      <c r="F6" s="7" t="str">
        <f>_xlfn.XLOOKUP($D6,Tab_Def_Processes[Process_Name],Tab_Def_Processes[TC_Configuration],,0,)</f>
        <v>No TC</v>
      </c>
      <c r="G6" s="7" t="str">
        <f>_xlfn.XLOOKUP($D6,Tab_Def_Processes[Process_Name],Tab_Def_Processes[Stock_Configuration],,0,)</f>
        <v>Stock</v>
      </c>
      <c r="H6" s="7">
        <f>_xlfn.XLOOKUP(Tab_DSM[[#This Row],[Process_Name]],Tab_Def_Processes[Process_Name],Tab_Def_Processes[Outflow_count],,0,)</f>
        <v>1</v>
      </c>
      <c r="I6" s="142">
        <v>1</v>
      </c>
      <c r="J6" s="7" t="str">
        <f>_xlfn.XLOOKUP($I6,Tab_DSM_Category_ID[Category ID],Tab_DSM_Category_ID[DSM Material],,0,)</f>
        <v>DSM Material 1</v>
      </c>
      <c r="K6" s="142" t="s">
        <v>558</v>
      </c>
      <c r="L6" s="7" t="str">
        <f>Tab_DSM[[#This Row],[DSM_Parameter_type]]&amp;"_Cat_"&amp;Tab_DSM[[#This Row],[DSM_Category_Nr.]]</f>
        <v>DSM_Lifetime_StdDev_Cat_1</v>
      </c>
      <c r="M6" s="8">
        <v>10</v>
      </c>
    </row>
    <row r="7" spans="1:13" x14ac:dyDescent="0.25">
      <c r="A7" s="146" t="b">
        <v>0</v>
      </c>
      <c r="B7" s="7">
        <f t="shared" si="0"/>
        <v>6</v>
      </c>
      <c r="C7" s="7" t="str">
        <f>_xlfn.XLOOKUP($D7,Tab_Def_Processes[Process_Name],Tab_Def_Processes[Process_ID],,0,)</f>
        <v>05</v>
      </c>
      <c r="D7" s="142" t="s">
        <v>589</v>
      </c>
      <c r="E7" s="7" t="str">
        <f>_xlfn.XLOOKUP($D7,Tab_Def_Processes[Process_Name],Tab_Def_Processes[Process_Logic],,0,)</f>
        <v>DSM</v>
      </c>
      <c r="F7" s="7" t="str">
        <f>_xlfn.XLOOKUP($D7,Tab_Def_Processes[Process_Name],Tab_Def_Processes[TC_Configuration],,0,)</f>
        <v>No TC</v>
      </c>
      <c r="G7" s="7" t="str">
        <f>_xlfn.XLOOKUP($D7,Tab_Def_Processes[Process_Name],Tab_Def_Processes[Stock_Configuration],,0,)</f>
        <v>Stock</v>
      </c>
      <c r="H7" s="7">
        <f>_xlfn.XLOOKUP(Tab_DSM[[#This Row],[Process_Name]],Tab_Def_Processes[Process_Name],Tab_Def_Processes[Outflow_count],,0,)</f>
        <v>1</v>
      </c>
      <c r="I7" s="142">
        <v>1</v>
      </c>
      <c r="J7" s="7" t="str">
        <f>_xlfn.XLOOKUP($I7,Tab_DSM_Category_ID[Category ID],Tab_DSM_Category_ID[DSM Material],,0,)</f>
        <v>DSM Material 1</v>
      </c>
      <c r="K7" s="142" t="s">
        <v>563</v>
      </c>
      <c r="L7" s="7" t="str">
        <f>Tab_DSM[[#This Row],[DSM_Parameter_type]]&amp;"_Cat_"&amp;Tab_DSM[[#This Row],[DSM_Category_Nr.]]</f>
        <v>DSM_Output_1_Flow_ID_Cat_1</v>
      </c>
      <c r="M7" s="8" t="s">
        <v>626</v>
      </c>
    </row>
    <row r="8" spans="1:13" x14ac:dyDescent="0.25">
      <c r="A8" s="146" t="b">
        <v>0</v>
      </c>
      <c r="B8" s="7">
        <f t="shared" si="0"/>
        <v>7</v>
      </c>
      <c r="C8" s="7" t="str">
        <f>_xlfn.XLOOKUP($D8,Tab_Def_Processes[Process_Name],Tab_Def_Processes[Process_ID],,0,)</f>
        <v>05</v>
      </c>
      <c r="D8" s="142" t="s">
        <v>589</v>
      </c>
      <c r="E8" s="7" t="str">
        <f>_xlfn.XLOOKUP($D8,Tab_Def_Processes[Process_Name],Tab_Def_Processes[Process_Logic],,0,)</f>
        <v>DSM</v>
      </c>
      <c r="F8" s="7" t="str">
        <f>_xlfn.XLOOKUP($D8,Tab_Def_Processes[Process_Name],Tab_Def_Processes[TC_Configuration],,0,)</f>
        <v>No TC</v>
      </c>
      <c r="G8" s="7" t="str">
        <f>_xlfn.XLOOKUP($D8,Tab_Def_Processes[Process_Name],Tab_Def_Processes[Stock_Configuration],,0,)</f>
        <v>Stock</v>
      </c>
      <c r="H8" s="7">
        <f>_xlfn.XLOOKUP(Tab_DSM[[#This Row],[Process_Name]],Tab_Def_Processes[Process_Name],Tab_Def_Processes[Outflow_count],,0,)</f>
        <v>1</v>
      </c>
      <c r="I8" s="142">
        <v>1</v>
      </c>
      <c r="J8" s="7" t="str">
        <f>_xlfn.XLOOKUP($I8,Tab_DSM_Category_ID[Category ID],Tab_DSM_Category_ID[DSM Material],,0,)</f>
        <v>DSM Material 1</v>
      </c>
      <c r="K8" s="142" t="s">
        <v>565</v>
      </c>
      <c r="L8" s="7" t="str">
        <f>Tab_DSM[[#This Row],[DSM_Parameter_type]]&amp;"_Cat_"&amp;Tab_DSM[[#This Row],[DSM_Category_Nr.]]</f>
        <v>DSM_Output_1_Split_[%]_Cat_1</v>
      </c>
      <c r="M8" s="8">
        <v>1</v>
      </c>
    </row>
    <row r="9" spans="1:13" x14ac:dyDescent="0.25">
      <c r="A9" s="146" t="b">
        <v>0</v>
      </c>
      <c r="B9" s="7">
        <f t="shared" si="0"/>
        <v>8</v>
      </c>
      <c r="C9" s="7" t="str">
        <f>_xlfn.XLOOKUP($D9,Tab_Def_Processes[Process_Name],Tab_Def_Processes[Process_ID],,0,)</f>
        <v>05</v>
      </c>
      <c r="D9" s="142" t="s">
        <v>589</v>
      </c>
      <c r="E9" s="7" t="str">
        <f>_xlfn.XLOOKUP($D9,Tab_Def_Processes[Process_Name],Tab_Def_Processes[Process_Logic],,0,)</f>
        <v>DSM</v>
      </c>
      <c r="F9" s="7" t="str">
        <f>_xlfn.XLOOKUP($D9,Tab_Def_Processes[Process_Name],Tab_Def_Processes[TC_Configuration],,0,)</f>
        <v>No TC</v>
      </c>
      <c r="G9" s="7" t="str">
        <f>_xlfn.XLOOKUP($D9,Tab_Def_Processes[Process_Name],Tab_Def_Processes[Stock_Configuration],,0,)</f>
        <v>Stock</v>
      </c>
      <c r="H9" s="7">
        <f>_xlfn.XLOOKUP(Tab_DSM[[#This Row],[Process_Name]],Tab_Def_Processes[Process_Name],Tab_Def_Processes[Outflow_count],,0,)</f>
        <v>1</v>
      </c>
      <c r="I9" s="142">
        <v>2</v>
      </c>
      <c r="J9" s="7" t="str">
        <f>_xlfn.XLOOKUP($I9,Tab_DSM_Category_ID[Category ID],Tab_DSM_Category_ID[DSM Material],,0,)</f>
        <v>DSM Material 2</v>
      </c>
      <c r="K9" s="142" t="s">
        <v>554</v>
      </c>
      <c r="L9" s="7" t="str">
        <f>Tab_DSM[[#This Row],[DSM_Parameter_type]]&amp;"_Cat_"&amp;Tab_DSM[[#This Row],[DSM_Category_Nr.]]</f>
        <v>DSM_Category_Name_Cat_2</v>
      </c>
      <c r="M9" s="8" t="s">
        <v>624</v>
      </c>
    </row>
    <row r="10" spans="1:13" x14ac:dyDescent="0.25">
      <c r="A10" s="146" t="b">
        <v>0</v>
      </c>
      <c r="B10" s="7">
        <f t="shared" si="0"/>
        <v>9</v>
      </c>
      <c r="C10" s="7" t="str">
        <f>_xlfn.XLOOKUP($D10,Tab_Def_Processes[Process_Name],Tab_Def_Processes[Process_ID],,0,)</f>
        <v>05</v>
      </c>
      <c r="D10" s="142" t="s">
        <v>589</v>
      </c>
      <c r="E10" s="7" t="str">
        <f>_xlfn.XLOOKUP($D10,Tab_Def_Processes[Process_Name],Tab_Def_Processes[Process_Logic],,0,)</f>
        <v>DSM</v>
      </c>
      <c r="F10" s="7" t="str">
        <f>_xlfn.XLOOKUP($D10,Tab_Def_Processes[Process_Name],Tab_Def_Processes[TC_Configuration],,0,)</f>
        <v>No TC</v>
      </c>
      <c r="G10" s="7" t="str">
        <f>_xlfn.XLOOKUP($D10,Tab_Def_Processes[Process_Name],Tab_Def_Processes[Stock_Configuration],,0,)</f>
        <v>Stock</v>
      </c>
      <c r="H10" s="7">
        <f>_xlfn.XLOOKUP(Tab_DSM[[#This Row],[Process_Name]],Tab_Def_Processes[Process_Name],Tab_Def_Processes[Outflow_count],,0,)</f>
        <v>1</v>
      </c>
      <c r="I10" s="142">
        <v>2</v>
      </c>
      <c r="J10" s="7" t="str">
        <f>_xlfn.XLOOKUP($I10,Tab_DSM_Category_ID[Category ID],Tab_DSM_Category_ID[DSM Material],,0,)</f>
        <v>DSM Material 2</v>
      </c>
      <c r="K10" s="142" t="s">
        <v>555</v>
      </c>
      <c r="L10" s="7" t="str">
        <f>Tab_DSM[[#This Row],[DSM_Parameter_type]]&amp;"_Cat_"&amp;Tab_DSM[[#This Row],[DSM_Category_Nr.]]</f>
        <v>DSM_Inflow_Split_[%]_Cat_2</v>
      </c>
      <c r="M10" s="8" t="s">
        <v>574</v>
      </c>
    </row>
    <row r="11" spans="1:13" x14ac:dyDescent="0.25">
      <c r="A11" s="146" t="b">
        <v>0</v>
      </c>
      <c r="B11" s="7">
        <f t="shared" si="0"/>
        <v>10</v>
      </c>
      <c r="C11" s="7" t="str">
        <f>_xlfn.XLOOKUP($D11,Tab_Def_Processes[Process_Name],Tab_Def_Processes[Process_ID],,0,)</f>
        <v>05</v>
      </c>
      <c r="D11" s="142" t="s">
        <v>589</v>
      </c>
      <c r="E11" s="7" t="str">
        <f>_xlfn.XLOOKUP($D11,Tab_Def_Processes[Process_Name],Tab_Def_Processes[Process_Logic],,0,)</f>
        <v>DSM</v>
      </c>
      <c r="F11" s="7" t="str">
        <f>_xlfn.XLOOKUP($D11,Tab_Def_Processes[Process_Name],Tab_Def_Processes[TC_Configuration],,0,)</f>
        <v>No TC</v>
      </c>
      <c r="G11" s="7" t="str">
        <f>_xlfn.XLOOKUP($D11,Tab_Def_Processes[Process_Name],Tab_Def_Processes[Stock_Configuration],,0,)</f>
        <v>Stock</v>
      </c>
      <c r="H11" s="7">
        <f>_xlfn.XLOOKUP(Tab_DSM[[#This Row],[Process_Name]],Tab_Def_Processes[Process_Name],Tab_Def_Processes[Outflow_count],,0,)</f>
        <v>1</v>
      </c>
      <c r="I11" s="142">
        <v>2</v>
      </c>
      <c r="J11" s="7" t="str">
        <f>_xlfn.XLOOKUP($I11,Tab_DSM_Category_ID[Category ID],Tab_DSM_Category_ID[DSM Material],,0,)</f>
        <v>DSM Material 2</v>
      </c>
      <c r="K11" s="142" t="s">
        <v>556</v>
      </c>
      <c r="L11" s="7" t="str">
        <f>Tab_DSM[[#This Row],[DSM_Parameter_type]]&amp;"_Cat_"&amp;Tab_DSM[[#This Row],[DSM_Category_Nr.]]</f>
        <v>DSM_Lifetime_Type_Cat_2</v>
      </c>
      <c r="M11" s="8" t="s">
        <v>213</v>
      </c>
    </row>
    <row r="12" spans="1:13" x14ac:dyDescent="0.25">
      <c r="A12" s="146" t="b">
        <v>0</v>
      </c>
      <c r="B12" s="7">
        <f t="shared" si="0"/>
        <v>11</v>
      </c>
      <c r="C12" s="7" t="str">
        <f>_xlfn.XLOOKUP($D12,Tab_Def_Processes[Process_Name],Tab_Def_Processes[Process_ID],,0,)</f>
        <v>05</v>
      </c>
      <c r="D12" s="142" t="s">
        <v>589</v>
      </c>
      <c r="E12" s="7" t="str">
        <f>_xlfn.XLOOKUP($D12,Tab_Def_Processes[Process_Name],Tab_Def_Processes[Process_Logic],,0,)</f>
        <v>DSM</v>
      </c>
      <c r="F12" s="7" t="str">
        <f>_xlfn.XLOOKUP($D12,Tab_Def_Processes[Process_Name],Tab_Def_Processes[TC_Configuration],,0,)</f>
        <v>No TC</v>
      </c>
      <c r="G12" s="7" t="str">
        <f>_xlfn.XLOOKUP($D12,Tab_Def_Processes[Process_Name],Tab_Def_Processes[Stock_Configuration],,0,)</f>
        <v>Stock</v>
      </c>
      <c r="H12" s="7">
        <f>_xlfn.XLOOKUP(Tab_DSM[[#This Row],[Process_Name]],Tab_Def_Processes[Process_Name],Tab_Def_Processes[Outflow_count],,0,)</f>
        <v>1</v>
      </c>
      <c r="I12" s="142">
        <v>2</v>
      </c>
      <c r="J12" s="7" t="str">
        <f>_xlfn.XLOOKUP($I12,Tab_DSM_Category_ID[Category ID],Tab_DSM_Category_ID[DSM Material],,0,)</f>
        <v>DSM Material 2</v>
      </c>
      <c r="K12" s="142" t="s">
        <v>557</v>
      </c>
      <c r="L12" s="7" t="str">
        <f>Tab_DSM[[#This Row],[DSM_Parameter_type]]&amp;"_Cat_"&amp;Tab_DSM[[#This Row],[DSM_Category_Nr.]]</f>
        <v>DSM_Lifetime_Mean_Cat_2</v>
      </c>
      <c r="M12" s="8">
        <v>60</v>
      </c>
    </row>
    <row r="13" spans="1:13" x14ac:dyDescent="0.25">
      <c r="A13" s="146" t="b">
        <v>0</v>
      </c>
      <c r="B13" s="7">
        <f t="shared" si="0"/>
        <v>12</v>
      </c>
      <c r="C13" s="7" t="str">
        <f>_xlfn.XLOOKUP($D13,Tab_Def_Processes[Process_Name],Tab_Def_Processes[Process_ID],,0,)</f>
        <v>05</v>
      </c>
      <c r="D13" s="142" t="s">
        <v>589</v>
      </c>
      <c r="E13" s="7" t="str">
        <f>_xlfn.XLOOKUP($D13,Tab_Def_Processes[Process_Name],Tab_Def_Processes[Process_Logic],,0,)</f>
        <v>DSM</v>
      </c>
      <c r="F13" s="7" t="str">
        <f>_xlfn.XLOOKUP($D13,Tab_Def_Processes[Process_Name],Tab_Def_Processes[TC_Configuration],,0,)</f>
        <v>No TC</v>
      </c>
      <c r="G13" s="7" t="str">
        <f>_xlfn.XLOOKUP($D13,Tab_Def_Processes[Process_Name],Tab_Def_Processes[Stock_Configuration],,0,)</f>
        <v>Stock</v>
      </c>
      <c r="H13" s="7">
        <f>_xlfn.XLOOKUP(Tab_DSM[[#This Row],[Process_Name]],Tab_Def_Processes[Process_Name],Tab_Def_Processes[Outflow_count],,0,)</f>
        <v>1</v>
      </c>
      <c r="I13" s="142">
        <v>2</v>
      </c>
      <c r="J13" s="7" t="str">
        <f>_xlfn.XLOOKUP($I13,Tab_DSM_Category_ID[Category ID],Tab_DSM_Category_ID[DSM Material],,0,)</f>
        <v>DSM Material 2</v>
      </c>
      <c r="K13" s="142" t="s">
        <v>558</v>
      </c>
      <c r="L13" s="7" t="str">
        <f>Tab_DSM[[#This Row],[DSM_Parameter_type]]&amp;"_Cat_"&amp;Tab_DSM[[#This Row],[DSM_Category_Nr.]]</f>
        <v>DSM_Lifetime_StdDev_Cat_2</v>
      </c>
      <c r="M13" s="8">
        <v>20</v>
      </c>
    </row>
    <row r="14" spans="1:13" x14ac:dyDescent="0.25">
      <c r="A14" s="146" t="b">
        <v>0</v>
      </c>
      <c r="B14" s="7">
        <f t="shared" si="0"/>
        <v>13</v>
      </c>
      <c r="C14" s="7" t="str">
        <f>_xlfn.XLOOKUP($D14,Tab_Def_Processes[Process_Name],Tab_Def_Processes[Process_ID],,0,)</f>
        <v>05</v>
      </c>
      <c r="D14" s="142" t="s">
        <v>589</v>
      </c>
      <c r="E14" s="7" t="str">
        <f>_xlfn.XLOOKUP($D14,Tab_Def_Processes[Process_Name],Tab_Def_Processes[Process_Logic],,0,)</f>
        <v>DSM</v>
      </c>
      <c r="F14" s="7" t="str">
        <f>_xlfn.XLOOKUP($D14,Tab_Def_Processes[Process_Name],Tab_Def_Processes[TC_Configuration],,0,)</f>
        <v>No TC</v>
      </c>
      <c r="G14" s="7" t="str">
        <f>_xlfn.XLOOKUP($D14,Tab_Def_Processes[Process_Name],Tab_Def_Processes[Stock_Configuration],,0,)</f>
        <v>Stock</v>
      </c>
      <c r="H14" s="7">
        <f>_xlfn.XLOOKUP(Tab_DSM[[#This Row],[Process_Name]],Tab_Def_Processes[Process_Name],Tab_Def_Processes[Outflow_count],,0,)</f>
        <v>1</v>
      </c>
      <c r="I14" s="142">
        <v>2</v>
      </c>
      <c r="J14" s="7" t="str">
        <f>_xlfn.XLOOKUP($I14,Tab_DSM_Category_ID[Category ID],Tab_DSM_Category_ID[DSM Material],,0,)</f>
        <v>DSM Material 2</v>
      </c>
      <c r="K14" s="142" t="s">
        <v>563</v>
      </c>
      <c r="L14" s="7" t="str">
        <f>Tab_DSM[[#This Row],[DSM_Parameter_type]]&amp;"_Cat_"&amp;Tab_DSM[[#This Row],[DSM_Category_Nr.]]</f>
        <v>DSM_Output_1_Flow_ID_Cat_2</v>
      </c>
      <c r="M14" s="8" t="s">
        <v>626</v>
      </c>
    </row>
    <row r="15" spans="1:13" x14ac:dyDescent="0.25">
      <c r="A15" s="146" t="b">
        <v>0</v>
      </c>
      <c r="B15" s="7">
        <f t="shared" si="0"/>
        <v>14</v>
      </c>
      <c r="C15" s="7" t="str">
        <f>_xlfn.XLOOKUP($D15,Tab_Def_Processes[Process_Name],Tab_Def_Processes[Process_ID],,0,)</f>
        <v>05</v>
      </c>
      <c r="D15" s="142" t="s">
        <v>589</v>
      </c>
      <c r="E15" s="7" t="str">
        <f>_xlfn.XLOOKUP($D15,Tab_Def_Processes[Process_Name],Tab_Def_Processes[Process_Logic],,0,)</f>
        <v>DSM</v>
      </c>
      <c r="F15" s="7" t="str">
        <f>_xlfn.XLOOKUP($D15,Tab_Def_Processes[Process_Name],Tab_Def_Processes[TC_Configuration],,0,)</f>
        <v>No TC</v>
      </c>
      <c r="G15" s="7" t="str">
        <f>_xlfn.XLOOKUP($D15,Tab_Def_Processes[Process_Name],Tab_Def_Processes[Stock_Configuration],,0,)</f>
        <v>Stock</v>
      </c>
      <c r="H15" s="7">
        <f>_xlfn.XLOOKUP(Tab_DSM[[#This Row],[Process_Name]],Tab_Def_Processes[Process_Name],Tab_Def_Processes[Outflow_count],,0,)</f>
        <v>1</v>
      </c>
      <c r="I15" s="142">
        <v>2</v>
      </c>
      <c r="J15" s="7" t="str">
        <f>_xlfn.XLOOKUP($I15,Tab_DSM_Category_ID[Category ID],Tab_DSM_Category_ID[DSM Material],,0,)</f>
        <v>DSM Material 2</v>
      </c>
      <c r="K15" s="142" t="s">
        <v>565</v>
      </c>
      <c r="L15" s="7" t="str">
        <f>Tab_DSM[[#This Row],[DSM_Parameter_type]]&amp;"_Cat_"&amp;Tab_DSM[[#This Row],[DSM_Category_Nr.]]</f>
        <v>DSM_Output_1_Split_[%]_Cat_2</v>
      </c>
      <c r="M15" s="8">
        <v>1</v>
      </c>
    </row>
    <row r="16" spans="1:13" x14ac:dyDescent="0.25">
      <c r="A16" s="146" t="b">
        <v>0</v>
      </c>
      <c r="B16" s="7">
        <f t="shared" si="0"/>
        <v>15</v>
      </c>
      <c r="C16" s="7" t="str">
        <f>_xlfn.XLOOKUP($D16,Tab_Def_Processes[Process_Name],Tab_Def_Processes[Process_ID],,0,)</f>
        <v>05</v>
      </c>
      <c r="D16" s="142" t="s">
        <v>589</v>
      </c>
      <c r="E16" s="7" t="str">
        <f>_xlfn.XLOOKUP($D16,Tab_Def_Processes[Process_Name],Tab_Def_Processes[Process_Logic],,0,)</f>
        <v>DSM</v>
      </c>
      <c r="F16" s="7" t="str">
        <f>_xlfn.XLOOKUP($D16,Tab_Def_Processes[Process_Name],Tab_Def_Processes[TC_Configuration],,0,)</f>
        <v>No TC</v>
      </c>
      <c r="G16" s="7" t="str">
        <f>_xlfn.XLOOKUP($D16,Tab_Def_Processes[Process_Name],Tab_Def_Processes[Stock_Configuration],,0,)</f>
        <v>Stock</v>
      </c>
      <c r="H16" s="7">
        <f>_xlfn.XLOOKUP(Tab_DSM[[#This Row],[Process_Name]],Tab_Def_Processes[Process_Name],Tab_Def_Processes[Outflow_count],,0,)</f>
        <v>1</v>
      </c>
      <c r="I16" s="142">
        <v>3</v>
      </c>
      <c r="J16" s="7" t="str">
        <f>_xlfn.XLOOKUP($I16,Tab_DSM_Category_ID[Category ID],Tab_DSM_Category_ID[DSM Material],,0,)</f>
        <v>DSM Material 3</v>
      </c>
      <c r="K16" s="142" t="s">
        <v>554</v>
      </c>
      <c r="L16" s="7" t="str">
        <f>Tab_DSM[[#This Row],[DSM_Parameter_type]]&amp;"_Cat_"&amp;Tab_DSM[[#This Row],[DSM_Category_Nr.]]</f>
        <v>DSM_Category_Name_Cat_3</v>
      </c>
      <c r="M16" s="8" t="s">
        <v>625</v>
      </c>
    </row>
    <row r="17" spans="1:13" x14ac:dyDescent="0.25">
      <c r="A17" s="146" t="b">
        <v>0</v>
      </c>
      <c r="B17" s="7">
        <f t="shared" si="0"/>
        <v>16</v>
      </c>
      <c r="C17" s="7" t="str">
        <f>_xlfn.XLOOKUP($D17,Tab_Def_Processes[Process_Name],Tab_Def_Processes[Process_ID],,0,)</f>
        <v>05</v>
      </c>
      <c r="D17" s="142" t="s">
        <v>589</v>
      </c>
      <c r="E17" s="7" t="str">
        <f>_xlfn.XLOOKUP($D17,Tab_Def_Processes[Process_Name],Tab_Def_Processes[Process_Logic],,0,)</f>
        <v>DSM</v>
      </c>
      <c r="F17" s="7" t="str">
        <f>_xlfn.XLOOKUP($D17,Tab_Def_Processes[Process_Name],Tab_Def_Processes[TC_Configuration],,0,)</f>
        <v>No TC</v>
      </c>
      <c r="G17" s="7" t="str">
        <f>_xlfn.XLOOKUP($D17,Tab_Def_Processes[Process_Name],Tab_Def_Processes[Stock_Configuration],,0,)</f>
        <v>Stock</v>
      </c>
      <c r="H17" s="7">
        <f>_xlfn.XLOOKUP(Tab_DSM[[#This Row],[Process_Name]],Tab_Def_Processes[Process_Name],Tab_Def_Processes[Outflow_count],,0,)</f>
        <v>1</v>
      </c>
      <c r="I17" s="142">
        <v>3</v>
      </c>
      <c r="J17" s="7" t="str">
        <f>_xlfn.XLOOKUP($I17,Tab_DSM_Category_ID[Category ID],Tab_DSM_Category_ID[DSM Material],,0,)</f>
        <v>DSM Material 3</v>
      </c>
      <c r="K17" s="142" t="s">
        <v>555</v>
      </c>
      <c r="L17" s="7" t="str">
        <f>Tab_DSM[[#This Row],[DSM_Parameter_type]]&amp;"_Cat_"&amp;Tab_DSM[[#This Row],[DSM_Category_Nr.]]</f>
        <v>DSM_Inflow_Split_[%]_Cat_3</v>
      </c>
      <c r="M17" s="8" t="s">
        <v>502</v>
      </c>
    </row>
    <row r="18" spans="1:13" x14ac:dyDescent="0.25">
      <c r="A18" s="146" t="b">
        <v>0</v>
      </c>
      <c r="B18" s="7">
        <f t="shared" si="0"/>
        <v>17</v>
      </c>
      <c r="C18" s="7" t="str">
        <f>_xlfn.XLOOKUP($D18,Tab_Def_Processes[Process_Name],Tab_Def_Processes[Process_ID],,0,)</f>
        <v>05</v>
      </c>
      <c r="D18" s="142" t="s">
        <v>589</v>
      </c>
      <c r="E18" s="7" t="str">
        <f>_xlfn.XLOOKUP($D18,Tab_Def_Processes[Process_Name],Tab_Def_Processes[Process_Logic],,0,)</f>
        <v>DSM</v>
      </c>
      <c r="F18" s="7" t="str">
        <f>_xlfn.XLOOKUP($D18,Tab_Def_Processes[Process_Name],Tab_Def_Processes[TC_Configuration],,0,)</f>
        <v>No TC</v>
      </c>
      <c r="G18" s="7" t="str">
        <f>_xlfn.XLOOKUP($D18,Tab_Def_Processes[Process_Name],Tab_Def_Processes[Stock_Configuration],,0,)</f>
        <v>Stock</v>
      </c>
      <c r="H18" s="7">
        <f>_xlfn.XLOOKUP(Tab_DSM[[#This Row],[Process_Name]],Tab_Def_Processes[Process_Name],Tab_Def_Processes[Outflow_count],,0,)</f>
        <v>1</v>
      </c>
      <c r="I18" s="142">
        <v>3</v>
      </c>
      <c r="J18" s="7" t="str">
        <f>_xlfn.XLOOKUP($I18,Tab_DSM_Category_ID[Category ID],Tab_DSM_Category_ID[DSM Material],,0,)</f>
        <v>DSM Material 3</v>
      </c>
      <c r="K18" s="142" t="s">
        <v>556</v>
      </c>
      <c r="L18" s="7" t="str">
        <f>Tab_DSM[[#This Row],[DSM_Parameter_type]]&amp;"_Cat_"&amp;Tab_DSM[[#This Row],[DSM_Category_Nr.]]</f>
        <v>DSM_Lifetime_Type_Cat_3</v>
      </c>
      <c r="M18" s="8" t="s">
        <v>213</v>
      </c>
    </row>
    <row r="19" spans="1:13" x14ac:dyDescent="0.25">
      <c r="A19" s="146" t="b">
        <v>0</v>
      </c>
      <c r="B19" s="7">
        <f t="shared" si="0"/>
        <v>18</v>
      </c>
      <c r="C19" s="7" t="str">
        <f>_xlfn.XLOOKUP($D19,Tab_Def_Processes[Process_Name],Tab_Def_Processes[Process_ID],,0,)</f>
        <v>05</v>
      </c>
      <c r="D19" s="142" t="s">
        <v>589</v>
      </c>
      <c r="E19" s="7" t="str">
        <f>_xlfn.XLOOKUP($D19,Tab_Def_Processes[Process_Name],Tab_Def_Processes[Process_Logic],,0,)</f>
        <v>DSM</v>
      </c>
      <c r="F19" s="7" t="str">
        <f>_xlfn.XLOOKUP($D19,Tab_Def_Processes[Process_Name],Tab_Def_Processes[TC_Configuration],,0,)</f>
        <v>No TC</v>
      </c>
      <c r="G19" s="7" t="str">
        <f>_xlfn.XLOOKUP($D19,Tab_Def_Processes[Process_Name],Tab_Def_Processes[Stock_Configuration],,0,)</f>
        <v>Stock</v>
      </c>
      <c r="H19" s="7">
        <f>_xlfn.XLOOKUP(Tab_DSM[[#This Row],[Process_Name]],Tab_Def_Processes[Process_Name],Tab_Def_Processes[Outflow_count],,0,)</f>
        <v>1</v>
      </c>
      <c r="I19" s="142">
        <v>3</v>
      </c>
      <c r="J19" s="7" t="str">
        <f>_xlfn.XLOOKUP($I19,Tab_DSM_Category_ID[Category ID],Tab_DSM_Category_ID[DSM Material],,0,)</f>
        <v>DSM Material 3</v>
      </c>
      <c r="K19" s="142" t="s">
        <v>557</v>
      </c>
      <c r="L19" s="7" t="str">
        <f>Tab_DSM[[#This Row],[DSM_Parameter_type]]&amp;"_Cat_"&amp;Tab_DSM[[#This Row],[DSM_Category_Nr.]]</f>
        <v>DSM_Lifetime_Mean_Cat_3</v>
      </c>
      <c r="M19" s="8">
        <v>80</v>
      </c>
    </row>
    <row r="20" spans="1:13" x14ac:dyDescent="0.25">
      <c r="A20" s="146" t="b">
        <v>0</v>
      </c>
      <c r="B20" s="7">
        <f t="shared" si="0"/>
        <v>19</v>
      </c>
      <c r="C20" s="7" t="str">
        <f>_xlfn.XLOOKUP($D20,Tab_Def_Processes[Process_Name],Tab_Def_Processes[Process_ID],,0,)</f>
        <v>05</v>
      </c>
      <c r="D20" s="142" t="s">
        <v>589</v>
      </c>
      <c r="E20" s="7" t="str">
        <f>_xlfn.XLOOKUP($D20,Tab_Def_Processes[Process_Name],Tab_Def_Processes[Process_Logic],,0,)</f>
        <v>DSM</v>
      </c>
      <c r="F20" s="7" t="str">
        <f>_xlfn.XLOOKUP($D20,Tab_Def_Processes[Process_Name],Tab_Def_Processes[TC_Configuration],,0,)</f>
        <v>No TC</v>
      </c>
      <c r="G20" s="7" t="str">
        <f>_xlfn.XLOOKUP($D20,Tab_Def_Processes[Process_Name],Tab_Def_Processes[Stock_Configuration],,0,)</f>
        <v>Stock</v>
      </c>
      <c r="H20" s="7">
        <f>_xlfn.XLOOKUP(Tab_DSM[[#This Row],[Process_Name]],Tab_Def_Processes[Process_Name],Tab_Def_Processes[Outflow_count],,0,)</f>
        <v>1</v>
      </c>
      <c r="I20" s="142">
        <v>3</v>
      </c>
      <c r="J20" s="7" t="str">
        <f>_xlfn.XLOOKUP($I20,Tab_DSM_Category_ID[Category ID],Tab_DSM_Category_ID[DSM Material],,0,)</f>
        <v>DSM Material 3</v>
      </c>
      <c r="K20" s="142" t="s">
        <v>558</v>
      </c>
      <c r="L20" s="7" t="str">
        <f>Tab_DSM[[#This Row],[DSM_Parameter_type]]&amp;"_Cat_"&amp;Tab_DSM[[#This Row],[DSM_Category_Nr.]]</f>
        <v>DSM_Lifetime_StdDev_Cat_3</v>
      </c>
      <c r="M20" s="8">
        <v>20</v>
      </c>
    </row>
    <row r="21" spans="1:13" x14ac:dyDescent="0.25">
      <c r="A21" s="146" t="b">
        <v>0</v>
      </c>
      <c r="B21" s="7">
        <f t="shared" si="0"/>
        <v>20</v>
      </c>
      <c r="C21" s="7" t="str">
        <f>_xlfn.XLOOKUP($D21,Tab_Def_Processes[Process_Name],Tab_Def_Processes[Process_ID],,0,)</f>
        <v>05</v>
      </c>
      <c r="D21" s="142" t="s">
        <v>589</v>
      </c>
      <c r="E21" s="7" t="str">
        <f>_xlfn.XLOOKUP($D21,Tab_Def_Processes[Process_Name],Tab_Def_Processes[Process_Logic],,0,)</f>
        <v>DSM</v>
      </c>
      <c r="F21" s="7" t="str">
        <f>_xlfn.XLOOKUP($D21,Tab_Def_Processes[Process_Name],Tab_Def_Processes[TC_Configuration],,0,)</f>
        <v>No TC</v>
      </c>
      <c r="G21" s="7" t="str">
        <f>_xlfn.XLOOKUP($D21,Tab_Def_Processes[Process_Name],Tab_Def_Processes[Stock_Configuration],,0,)</f>
        <v>Stock</v>
      </c>
      <c r="H21" s="7">
        <f>_xlfn.XLOOKUP(Tab_DSM[[#This Row],[Process_Name]],Tab_Def_Processes[Process_Name],Tab_Def_Processes[Outflow_count],,0,)</f>
        <v>1</v>
      </c>
      <c r="I21" s="142">
        <v>3</v>
      </c>
      <c r="J21" s="7" t="str">
        <f>_xlfn.XLOOKUP($I21,Tab_DSM_Category_ID[Category ID],Tab_DSM_Category_ID[DSM Material],,0,)</f>
        <v>DSM Material 3</v>
      </c>
      <c r="K21" s="142" t="s">
        <v>563</v>
      </c>
      <c r="L21" s="7" t="str">
        <f>Tab_DSM[[#This Row],[DSM_Parameter_type]]&amp;"_Cat_"&amp;Tab_DSM[[#This Row],[DSM_Category_Nr.]]</f>
        <v>DSM_Output_1_Flow_ID_Cat_3</v>
      </c>
      <c r="M21" s="8" t="s">
        <v>626</v>
      </c>
    </row>
    <row r="22" spans="1:13" x14ac:dyDescent="0.25">
      <c r="A22" s="146" t="b">
        <v>0</v>
      </c>
      <c r="B22" s="7">
        <f t="shared" si="0"/>
        <v>21</v>
      </c>
      <c r="C22" s="7" t="str">
        <f>_xlfn.XLOOKUP($D22,Tab_Def_Processes[Process_Name],Tab_Def_Processes[Process_ID],,0,)</f>
        <v>05</v>
      </c>
      <c r="D22" s="142" t="s">
        <v>589</v>
      </c>
      <c r="E22" s="7" t="str">
        <f>_xlfn.XLOOKUP($D22,Tab_Def_Processes[Process_Name],Tab_Def_Processes[Process_Logic],,0,)</f>
        <v>DSM</v>
      </c>
      <c r="F22" s="7" t="str">
        <f>_xlfn.XLOOKUP($D22,Tab_Def_Processes[Process_Name],Tab_Def_Processes[TC_Configuration],,0,)</f>
        <v>No TC</v>
      </c>
      <c r="G22" s="7" t="str">
        <f>_xlfn.XLOOKUP($D22,Tab_Def_Processes[Process_Name],Tab_Def_Processes[Stock_Configuration],,0,)</f>
        <v>Stock</v>
      </c>
      <c r="H22" s="7">
        <f>_xlfn.XLOOKUP(Tab_DSM[[#This Row],[Process_Name]],Tab_Def_Processes[Process_Name],Tab_Def_Processes[Outflow_count],,0,)</f>
        <v>1</v>
      </c>
      <c r="I22" s="142">
        <v>3</v>
      </c>
      <c r="J22" s="7" t="str">
        <f>_xlfn.XLOOKUP($I22,Tab_DSM_Category_ID[Category ID],Tab_DSM_Category_ID[DSM Material],,0,)</f>
        <v>DSM Material 3</v>
      </c>
      <c r="K22" s="142" t="s">
        <v>565</v>
      </c>
      <c r="L22" s="7" t="str">
        <f>Tab_DSM[[#This Row],[DSM_Parameter_type]]&amp;"_Cat_"&amp;Tab_DSM[[#This Row],[DSM_Category_Nr.]]</f>
        <v>DSM_Output_1_Split_[%]_Cat_3</v>
      </c>
      <c r="M22" s="8">
        <v>1</v>
      </c>
    </row>
    <row r="23" spans="1:13" x14ac:dyDescent="0.25">
      <c r="A23" s="146" t="b">
        <v>0</v>
      </c>
      <c r="B23" s="7">
        <f t="shared" si="0"/>
        <v>22</v>
      </c>
      <c r="C23" s="7" t="str">
        <f>_xlfn.XLOOKUP($D23,Tab_Def_Processes[Process_Name],Tab_Def_Processes[Process_ID],,0,)</f>
        <v>09</v>
      </c>
      <c r="D23" s="142" t="s">
        <v>594</v>
      </c>
      <c r="E23" s="7" t="str">
        <f>_xlfn.XLOOKUP($D23,Tab_Def_Processes[Process_Name],Tab_Def_Processes[Process_Logic],,0,)</f>
        <v>DSM</v>
      </c>
      <c r="F23" s="7" t="str">
        <f>_xlfn.XLOOKUP($D23,Tab_Def_Processes[Process_Name],Tab_Def_Processes[TC_Configuration],,0,)</f>
        <v>No TC</v>
      </c>
      <c r="G23" s="7" t="str">
        <f>_xlfn.XLOOKUP($D23,Tab_Def_Processes[Process_Name],Tab_Def_Processes[Stock_Configuration],,0,)</f>
        <v>Stock</v>
      </c>
      <c r="H23" s="7">
        <f>_xlfn.XLOOKUP(Tab_DSM[[#This Row],[Process_Name]],Tab_Def_Processes[Process_Name],Tab_Def_Processes[Outflow_count],,0,)</f>
        <v>1</v>
      </c>
      <c r="I23" s="142">
        <v>1</v>
      </c>
      <c r="J23" s="7" t="str">
        <f>_xlfn.XLOOKUP($I23,Tab_DSM_Category_ID[Category ID],Tab_DSM_Category_ID[DSM Material],,0,)</f>
        <v>DSM Material 1</v>
      </c>
      <c r="K23" s="142" t="s">
        <v>554</v>
      </c>
      <c r="L23" s="7" t="str">
        <f>Tab_DSM[[#This Row],[DSM_Parameter_type]]&amp;"_Cat_"&amp;Tab_DSM[[#This Row],[DSM_Category_Nr.]]</f>
        <v>DSM_Category_Name_Cat_1</v>
      </c>
      <c r="M23" s="8" t="s">
        <v>627</v>
      </c>
    </row>
    <row r="24" spans="1:13" x14ac:dyDescent="0.25">
      <c r="A24" s="146" t="b">
        <v>0</v>
      </c>
      <c r="B24" s="7">
        <f t="shared" si="0"/>
        <v>23</v>
      </c>
      <c r="C24" s="7" t="str">
        <f>_xlfn.XLOOKUP($D24,Tab_Def_Processes[Process_Name],Tab_Def_Processes[Process_ID],,0,)</f>
        <v>09</v>
      </c>
      <c r="D24" s="142" t="s">
        <v>594</v>
      </c>
      <c r="E24" s="7" t="str">
        <f>_xlfn.XLOOKUP($D24,Tab_Def_Processes[Process_Name],Tab_Def_Processes[Process_Logic],,0,)</f>
        <v>DSM</v>
      </c>
      <c r="F24" s="7" t="str">
        <f>_xlfn.XLOOKUP($D24,Tab_Def_Processes[Process_Name],Tab_Def_Processes[TC_Configuration],,0,)</f>
        <v>No TC</v>
      </c>
      <c r="G24" s="7" t="str">
        <f>_xlfn.XLOOKUP($D24,Tab_Def_Processes[Process_Name],Tab_Def_Processes[Stock_Configuration],,0,)</f>
        <v>Stock</v>
      </c>
      <c r="H24" s="7">
        <f>_xlfn.XLOOKUP(Tab_DSM[[#This Row],[Process_Name]],Tab_Def_Processes[Process_Name],Tab_Def_Processes[Outflow_count],,0,)</f>
        <v>1</v>
      </c>
      <c r="I24" s="142">
        <v>1</v>
      </c>
      <c r="J24" s="7" t="str">
        <f>_xlfn.XLOOKUP($I24,Tab_DSM_Category_ID[Category ID],Tab_DSM_Category_ID[DSM Material],,0,)</f>
        <v>DSM Material 1</v>
      </c>
      <c r="K24" s="142" t="s">
        <v>555</v>
      </c>
      <c r="L24" s="7" t="str">
        <f>Tab_DSM[[#This Row],[DSM_Parameter_type]]&amp;"_Cat_"&amp;Tab_DSM[[#This Row],[DSM_Category_Nr.]]</f>
        <v>DSM_Inflow_Split_[%]_Cat_1</v>
      </c>
      <c r="M24" s="8" t="s">
        <v>575</v>
      </c>
    </row>
    <row r="25" spans="1:13" x14ac:dyDescent="0.25">
      <c r="A25" s="146" t="b">
        <v>0</v>
      </c>
      <c r="B25" s="7">
        <f t="shared" si="0"/>
        <v>24</v>
      </c>
      <c r="C25" s="7" t="str">
        <f>_xlfn.XLOOKUP($D25,Tab_Def_Processes[Process_Name],Tab_Def_Processes[Process_ID],,0,)</f>
        <v>09</v>
      </c>
      <c r="D25" s="142" t="s">
        <v>594</v>
      </c>
      <c r="E25" s="7" t="str">
        <f>_xlfn.XLOOKUP($D25,Tab_Def_Processes[Process_Name],Tab_Def_Processes[Process_Logic],,0,)</f>
        <v>DSM</v>
      </c>
      <c r="F25" s="7" t="str">
        <f>_xlfn.XLOOKUP($D25,Tab_Def_Processes[Process_Name],Tab_Def_Processes[TC_Configuration],,0,)</f>
        <v>No TC</v>
      </c>
      <c r="G25" s="7" t="str">
        <f>_xlfn.XLOOKUP($D25,Tab_Def_Processes[Process_Name],Tab_Def_Processes[Stock_Configuration],,0,)</f>
        <v>Stock</v>
      </c>
      <c r="H25" s="7">
        <f>_xlfn.XLOOKUP(Tab_DSM[[#This Row],[Process_Name]],Tab_Def_Processes[Process_Name],Tab_Def_Processes[Outflow_count],,0,)</f>
        <v>1</v>
      </c>
      <c r="I25" s="142">
        <v>1</v>
      </c>
      <c r="J25" s="7" t="str">
        <f>_xlfn.XLOOKUP($I25,Tab_DSM_Category_ID[Category ID],Tab_DSM_Category_ID[DSM Material],,0,)</f>
        <v>DSM Material 1</v>
      </c>
      <c r="K25" s="142" t="s">
        <v>556</v>
      </c>
      <c r="L25" s="7" t="str">
        <f>Tab_DSM[[#This Row],[DSM_Parameter_type]]&amp;"_Cat_"&amp;Tab_DSM[[#This Row],[DSM_Category_Nr.]]</f>
        <v>DSM_Lifetime_Type_Cat_1</v>
      </c>
      <c r="M25" s="8" t="s">
        <v>213</v>
      </c>
    </row>
    <row r="26" spans="1:13" x14ac:dyDescent="0.25">
      <c r="A26" s="146" t="b">
        <v>0</v>
      </c>
      <c r="B26" s="7">
        <f t="shared" si="0"/>
        <v>25</v>
      </c>
      <c r="C26" s="7" t="str">
        <f>_xlfn.XLOOKUP($D26,Tab_Def_Processes[Process_Name],Tab_Def_Processes[Process_ID],,0,)</f>
        <v>09</v>
      </c>
      <c r="D26" s="142" t="s">
        <v>594</v>
      </c>
      <c r="E26" s="7" t="str">
        <f>_xlfn.XLOOKUP($D26,Tab_Def_Processes[Process_Name],Tab_Def_Processes[Process_Logic],,0,)</f>
        <v>DSM</v>
      </c>
      <c r="F26" s="7" t="str">
        <f>_xlfn.XLOOKUP($D26,Tab_Def_Processes[Process_Name],Tab_Def_Processes[TC_Configuration],,0,)</f>
        <v>No TC</v>
      </c>
      <c r="G26" s="7" t="str">
        <f>_xlfn.XLOOKUP($D26,Tab_Def_Processes[Process_Name],Tab_Def_Processes[Stock_Configuration],,0,)</f>
        <v>Stock</v>
      </c>
      <c r="H26" s="7">
        <f>_xlfn.XLOOKUP(Tab_DSM[[#This Row],[Process_Name]],Tab_Def_Processes[Process_Name],Tab_Def_Processes[Outflow_count],,0,)</f>
        <v>1</v>
      </c>
      <c r="I26" s="142">
        <v>1</v>
      </c>
      <c r="J26" s="7" t="str">
        <f>_xlfn.XLOOKUP($I26,Tab_DSM_Category_ID[Category ID],Tab_DSM_Category_ID[DSM Material],,0,)</f>
        <v>DSM Material 1</v>
      </c>
      <c r="K26" s="142" t="s">
        <v>557</v>
      </c>
      <c r="L26" s="7" t="str">
        <f>Tab_DSM[[#This Row],[DSM_Parameter_type]]&amp;"_Cat_"&amp;Tab_DSM[[#This Row],[DSM_Category_Nr.]]</f>
        <v>DSM_Lifetime_Mean_Cat_1</v>
      </c>
      <c r="M26" s="8">
        <v>5</v>
      </c>
    </row>
    <row r="27" spans="1:13" x14ac:dyDescent="0.25">
      <c r="A27" s="146" t="b">
        <v>0</v>
      </c>
      <c r="B27" s="7">
        <f t="shared" si="0"/>
        <v>26</v>
      </c>
      <c r="C27" s="7" t="str">
        <f>_xlfn.XLOOKUP($D27,Tab_Def_Processes[Process_Name],Tab_Def_Processes[Process_ID],,0,)</f>
        <v>09</v>
      </c>
      <c r="D27" s="142" t="s">
        <v>594</v>
      </c>
      <c r="E27" s="7" t="str">
        <f>_xlfn.XLOOKUP($D27,Tab_Def_Processes[Process_Name],Tab_Def_Processes[Process_Logic],,0,)</f>
        <v>DSM</v>
      </c>
      <c r="F27" s="7" t="str">
        <f>_xlfn.XLOOKUP($D27,Tab_Def_Processes[Process_Name],Tab_Def_Processes[TC_Configuration],,0,)</f>
        <v>No TC</v>
      </c>
      <c r="G27" s="7" t="str">
        <f>_xlfn.XLOOKUP($D27,Tab_Def_Processes[Process_Name],Tab_Def_Processes[Stock_Configuration],,0,)</f>
        <v>Stock</v>
      </c>
      <c r="H27" s="7">
        <f>_xlfn.XLOOKUP(Tab_DSM[[#This Row],[Process_Name]],Tab_Def_Processes[Process_Name],Tab_Def_Processes[Outflow_count],,0,)</f>
        <v>1</v>
      </c>
      <c r="I27" s="142">
        <v>1</v>
      </c>
      <c r="J27" s="7" t="str">
        <f>_xlfn.XLOOKUP($I27,Tab_DSM_Category_ID[Category ID],Tab_DSM_Category_ID[DSM Material],,0,)</f>
        <v>DSM Material 1</v>
      </c>
      <c r="K27" s="142" t="s">
        <v>558</v>
      </c>
      <c r="L27" s="7" t="str">
        <f>Tab_DSM[[#This Row],[DSM_Parameter_type]]&amp;"_Cat_"&amp;Tab_DSM[[#This Row],[DSM_Category_Nr.]]</f>
        <v>DSM_Lifetime_StdDev_Cat_1</v>
      </c>
      <c r="M27" s="8">
        <v>3</v>
      </c>
    </row>
    <row r="28" spans="1:13" x14ac:dyDescent="0.25">
      <c r="A28" s="146" t="b">
        <v>0</v>
      </c>
      <c r="B28" s="7">
        <f t="shared" si="0"/>
        <v>27</v>
      </c>
      <c r="C28" s="7" t="str">
        <f>_xlfn.XLOOKUP($D28,Tab_Def_Processes[Process_Name],Tab_Def_Processes[Process_ID],,0,)</f>
        <v>09</v>
      </c>
      <c r="D28" s="142" t="s">
        <v>594</v>
      </c>
      <c r="E28" s="7" t="str">
        <f>_xlfn.XLOOKUP($D28,Tab_Def_Processes[Process_Name],Tab_Def_Processes[Process_Logic],,0,)</f>
        <v>DSM</v>
      </c>
      <c r="F28" s="7" t="str">
        <f>_xlfn.XLOOKUP($D28,Tab_Def_Processes[Process_Name],Tab_Def_Processes[TC_Configuration],,0,)</f>
        <v>No TC</v>
      </c>
      <c r="G28" s="7" t="str">
        <f>_xlfn.XLOOKUP($D28,Tab_Def_Processes[Process_Name],Tab_Def_Processes[Stock_Configuration],,0,)</f>
        <v>Stock</v>
      </c>
      <c r="H28" s="7">
        <f>_xlfn.XLOOKUP(Tab_DSM[[#This Row],[Process_Name]],Tab_Def_Processes[Process_Name],Tab_Def_Processes[Outflow_count],,0,)</f>
        <v>1</v>
      </c>
      <c r="I28" s="142">
        <v>1</v>
      </c>
      <c r="J28" s="7" t="str">
        <f>_xlfn.XLOOKUP($I28,Tab_DSM_Category_ID[Category ID],Tab_DSM_Category_ID[DSM Material],,0,)</f>
        <v>DSM Material 1</v>
      </c>
      <c r="K28" s="142" t="s">
        <v>563</v>
      </c>
      <c r="L28" s="7" t="str">
        <f>Tab_DSM[[#This Row],[DSM_Parameter_type]]&amp;"_Cat_"&amp;Tab_DSM[[#This Row],[DSM_Category_Nr.]]</f>
        <v>DSM_Output_1_Flow_ID_Cat_1</v>
      </c>
      <c r="M28" s="8" t="s">
        <v>629</v>
      </c>
    </row>
    <row r="29" spans="1:13" x14ac:dyDescent="0.25">
      <c r="A29" s="146" t="b">
        <v>0</v>
      </c>
      <c r="B29" s="7">
        <f t="shared" si="0"/>
        <v>28</v>
      </c>
      <c r="C29" s="7" t="str">
        <f>_xlfn.XLOOKUP($D29,Tab_Def_Processes[Process_Name],Tab_Def_Processes[Process_ID],,0,)</f>
        <v>09</v>
      </c>
      <c r="D29" s="142" t="s">
        <v>594</v>
      </c>
      <c r="E29" s="7" t="str">
        <f>_xlfn.XLOOKUP($D29,Tab_Def_Processes[Process_Name],Tab_Def_Processes[Process_Logic],,0,)</f>
        <v>DSM</v>
      </c>
      <c r="F29" s="7" t="str">
        <f>_xlfn.XLOOKUP($D29,Tab_Def_Processes[Process_Name],Tab_Def_Processes[TC_Configuration],,0,)</f>
        <v>No TC</v>
      </c>
      <c r="G29" s="7" t="str">
        <f>_xlfn.XLOOKUP($D29,Tab_Def_Processes[Process_Name],Tab_Def_Processes[Stock_Configuration],,0,)</f>
        <v>Stock</v>
      </c>
      <c r="H29" s="7">
        <f>_xlfn.XLOOKUP(Tab_DSM[[#This Row],[Process_Name]],Tab_Def_Processes[Process_Name],Tab_Def_Processes[Outflow_count],,0,)</f>
        <v>1</v>
      </c>
      <c r="I29" s="142">
        <v>1</v>
      </c>
      <c r="J29" s="7" t="str">
        <f>_xlfn.XLOOKUP($I29,Tab_DSM_Category_ID[Category ID],Tab_DSM_Category_ID[DSM Material],,0,)</f>
        <v>DSM Material 1</v>
      </c>
      <c r="K29" s="142" t="s">
        <v>565</v>
      </c>
      <c r="L29" s="7" t="str">
        <f>Tab_DSM[[#This Row],[DSM_Parameter_type]]&amp;"_Cat_"&amp;Tab_DSM[[#This Row],[DSM_Category_Nr.]]</f>
        <v>DSM_Output_1_Split_[%]_Cat_1</v>
      </c>
      <c r="M29" s="8">
        <v>1</v>
      </c>
    </row>
    <row r="30" spans="1:13" x14ac:dyDescent="0.25">
      <c r="A30" s="146" t="b">
        <v>0</v>
      </c>
      <c r="B30" s="7">
        <f t="shared" si="0"/>
        <v>29</v>
      </c>
      <c r="C30" s="7" t="str">
        <f>_xlfn.XLOOKUP($D30,Tab_Def_Processes[Process_Name],Tab_Def_Processes[Process_ID],,0,)</f>
        <v>09</v>
      </c>
      <c r="D30" s="142" t="s">
        <v>594</v>
      </c>
      <c r="E30" s="7" t="str">
        <f>_xlfn.XLOOKUP($D30,Tab_Def_Processes[Process_Name],Tab_Def_Processes[Process_Logic],,0,)</f>
        <v>DSM</v>
      </c>
      <c r="F30" s="7" t="str">
        <f>_xlfn.XLOOKUP($D30,Tab_Def_Processes[Process_Name],Tab_Def_Processes[TC_Configuration],,0,)</f>
        <v>No TC</v>
      </c>
      <c r="G30" s="7" t="str">
        <f>_xlfn.XLOOKUP($D30,Tab_Def_Processes[Process_Name],Tab_Def_Processes[Stock_Configuration],,0,)</f>
        <v>Stock</v>
      </c>
      <c r="H30" s="7">
        <f>_xlfn.XLOOKUP(Tab_DSM[[#This Row],[Process_Name]],Tab_Def_Processes[Process_Name],Tab_Def_Processes[Outflow_count],,0,)</f>
        <v>1</v>
      </c>
      <c r="I30" s="142">
        <v>2</v>
      </c>
      <c r="J30" s="7" t="str">
        <f>_xlfn.XLOOKUP($I30,Tab_DSM_Category_ID[Category ID],Tab_DSM_Category_ID[DSM Material],,0,)</f>
        <v>DSM Material 2</v>
      </c>
      <c r="K30" s="142" t="s">
        <v>554</v>
      </c>
      <c r="L30" s="7" t="str">
        <f>Tab_DSM[[#This Row],[DSM_Parameter_type]]&amp;"_Cat_"&amp;Tab_DSM[[#This Row],[DSM_Category_Nr.]]</f>
        <v>DSM_Category_Name_Cat_2</v>
      </c>
      <c r="M30" s="8" t="s">
        <v>628</v>
      </c>
    </row>
    <row r="31" spans="1:13" x14ac:dyDescent="0.25">
      <c r="A31" s="146" t="b">
        <v>0</v>
      </c>
      <c r="B31" s="7">
        <f t="shared" si="0"/>
        <v>30</v>
      </c>
      <c r="C31" s="7" t="str">
        <f>_xlfn.XLOOKUP($D31,Tab_Def_Processes[Process_Name],Tab_Def_Processes[Process_ID],,0,)</f>
        <v>09</v>
      </c>
      <c r="D31" s="142" t="s">
        <v>594</v>
      </c>
      <c r="E31" s="7" t="str">
        <f>_xlfn.XLOOKUP($D31,Tab_Def_Processes[Process_Name],Tab_Def_Processes[Process_Logic],,0,)</f>
        <v>DSM</v>
      </c>
      <c r="F31" s="7" t="str">
        <f>_xlfn.XLOOKUP($D31,Tab_Def_Processes[Process_Name],Tab_Def_Processes[TC_Configuration],,0,)</f>
        <v>No TC</v>
      </c>
      <c r="G31" s="7" t="str">
        <f>_xlfn.XLOOKUP($D31,Tab_Def_Processes[Process_Name],Tab_Def_Processes[Stock_Configuration],,0,)</f>
        <v>Stock</v>
      </c>
      <c r="H31" s="7">
        <f>_xlfn.XLOOKUP(Tab_DSM[[#This Row],[Process_Name]],Tab_Def_Processes[Process_Name],Tab_Def_Processes[Outflow_count],,0,)</f>
        <v>1</v>
      </c>
      <c r="I31" s="142">
        <v>2</v>
      </c>
      <c r="J31" s="7" t="str">
        <f>_xlfn.XLOOKUP($I31,Tab_DSM_Category_ID[Category ID],Tab_DSM_Category_ID[DSM Material],,0,)</f>
        <v>DSM Material 2</v>
      </c>
      <c r="K31" s="142" t="s">
        <v>555</v>
      </c>
      <c r="L31" s="7" t="str">
        <f>Tab_DSM[[#This Row],[DSM_Parameter_type]]&amp;"_Cat_"&amp;Tab_DSM[[#This Row],[DSM_Category_Nr.]]</f>
        <v>DSM_Inflow_Split_[%]_Cat_2</v>
      </c>
      <c r="M31" s="8" t="s">
        <v>576</v>
      </c>
    </row>
    <row r="32" spans="1:13" x14ac:dyDescent="0.25">
      <c r="A32" s="146" t="b">
        <v>0</v>
      </c>
      <c r="B32" s="7">
        <f t="shared" si="0"/>
        <v>31</v>
      </c>
      <c r="C32" s="7" t="str">
        <f>_xlfn.XLOOKUP($D32,Tab_Def_Processes[Process_Name],Tab_Def_Processes[Process_ID],,0,)</f>
        <v>09</v>
      </c>
      <c r="D32" s="142" t="s">
        <v>594</v>
      </c>
      <c r="E32" s="7" t="str">
        <f>_xlfn.XLOOKUP($D32,Tab_Def_Processes[Process_Name],Tab_Def_Processes[Process_Logic],,0,)</f>
        <v>DSM</v>
      </c>
      <c r="F32" s="7" t="str">
        <f>_xlfn.XLOOKUP($D32,Tab_Def_Processes[Process_Name],Tab_Def_Processes[TC_Configuration],,0,)</f>
        <v>No TC</v>
      </c>
      <c r="G32" s="7" t="str">
        <f>_xlfn.XLOOKUP($D32,Tab_Def_Processes[Process_Name],Tab_Def_Processes[Stock_Configuration],,0,)</f>
        <v>Stock</v>
      </c>
      <c r="H32" s="7">
        <f>_xlfn.XLOOKUP(Tab_DSM[[#This Row],[Process_Name]],Tab_Def_Processes[Process_Name],Tab_Def_Processes[Outflow_count],,0,)</f>
        <v>1</v>
      </c>
      <c r="I32" s="142">
        <v>2</v>
      </c>
      <c r="J32" s="7" t="str">
        <f>_xlfn.XLOOKUP($I32,Tab_DSM_Category_ID[Category ID],Tab_DSM_Category_ID[DSM Material],,0,)</f>
        <v>DSM Material 2</v>
      </c>
      <c r="K32" s="142" t="s">
        <v>556</v>
      </c>
      <c r="L32" s="7" t="str">
        <f>Tab_DSM[[#This Row],[DSM_Parameter_type]]&amp;"_Cat_"&amp;Tab_DSM[[#This Row],[DSM_Category_Nr.]]</f>
        <v>DSM_Lifetime_Type_Cat_2</v>
      </c>
      <c r="M32" s="8" t="s">
        <v>213</v>
      </c>
    </row>
    <row r="33" spans="1:13" x14ac:dyDescent="0.25">
      <c r="A33" s="146" t="b">
        <v>0</v>
      </c>
      <c r="B33" s="7">
        <f t="shared" si="0"/>
        <v>32</v>
      </c>
      <c r="C33" s="7" t="str">
        <f>_xlfn.XLOOKUP($D33,Tab_Def_Processes[Process_Name],Tab_Def_Processes[Process_ID],,0,)</f>
        <v>09</v>
      </c>
      <c r="D33" s="142" t="s">
        <v>594</v>
      </c>
      <c r="E33" s="7" t="str">
        <f>_xlfn.XLOOKUP($D33,Tab_Def_Processes[Process_Name],Tab_Def_Processes[Process_Logic],,0,)</f>
        <v>DSM</v>
      </c>
      <c r="F33" s="7" t="str">
        <f>_xlfn.XLOOKUP($D33,Tab_Def_Processes[Process_Name],Tab_Def_Processes[TC_Configuration],,0,)</f>
        <v>No TC</v>
      </c>
      <c r="G33" s="7" t="str">
        <f>_xlfn.XLOOKUP($D33,Tab_Def_Processes[Process_Name],Tab_Def_Processes[Stock_Configuration],,0,)</f>
        <v>Stock</v>
      </c>
      <c r="H33" s="7">
        <f>_xlfn.XLOOKUP(Tab_DSM[[#This Row],[Process_Name]],Tab_Def_Processes[Process_Name],Tab_Def_Processes[Outflow_count],,0,)</f>
        <v>1</v>
      </c>
      <c r="I33" s="142">
        <v>2</v>
      </c>
      <c r="J33" s="7" t="str">
        <f>_xlfn.XLOOKUP($I33,Tab_DSM_Category_ID[Category ID],Tab_DSM_Category_ID[DSM Material],,0,)</f>
        <v>DSM Material 2</v>
      </c>
      <c r="K33" s="142" t="s">
        <v>557</v>
      </c>
      <c r="L33" s="7" t="str">
        <f>Tab_DSM[[#This Row],[DSM_Parameter_type]]&amp;"_Cat_"&amp;Tab_DSM[[#This Row],[DSM_Category_Nr.]]</f>
        <v>DSM_Lifetime_Mean_Cat_2</v>
      </c>
      <c r="M33" s="8">
        <v>15</v>
      </c>
    </row>
    <row r="34" spans="1:13" x14ac:dyDescent="0.25">
      <c r="A34" s="146" t="b">
        <v>0</v>
      </c>
      <c r="B34" s="7">
        <f t="shared" si="0"/>
        <v>33</v>
      </c>
      <c r="C34" s="7" t="str">
        <f>_xlfn.XLOOKUP($D34,Tab_Def_Processes[Process_Name],Tab_Def_Processes[Process_ID],,0,)</f>
        <v>09</v>
      </c>
      <c r="D34" s="142" t="s">
        <v>594</v>
      </c>
      <c r="E34" s="7" t="str">
        <f>_xlfn.XLOOKUP($D34,Tab_Def_Processes[Process_Name],Tab_Def_Processes[Process_Logic],,0,)</f>
        <v>DSM</v>
      </c>
      <c r="F34" s="7" t="str">
        <f>_xlfn.XLOOKUP($D34,Tab_Def_Processes[Process_Name],Tab_Def_Processes[TC_Configuration],,0,)</f>
        <v>No TC</v>
      </c>
      <c r="G34" s="7" t="str">
        <f>_xlfn.XLOOKUP($D34,Tab_Def_Processes[Process_Name],Tab_Def_Processes[Stock_Configuration],,0,)</f>
        <v>Stock</v>
      </c>
      <c r="H34" s="7">
        <f>_xlfn.XLOOKUP(Tab_DSM[[#This Row],[Process_Name]],Tab_Def_Processes[Process_Name],Tab_Def_Processes[Outflow_count],,0,)</f>
        <v>1</v>
      </c>
      <c r="I34" s="142">
        <v>2</v>
      </c>
      <c r="J34" s="7" t="str">
        <f>_xlfn.XLOOKUP($I34,Tab_DSM_Category_ID[Category ID],Tab_DSM_Category_ID[DSM Material],,0,)</f>
        <v>DSM Material 2</v>
      </c>
      <c r="K34" s="142" t="s">
        <v>558</v>
      </c>
      <c r="L34" s="7" t="str">
        <f>Tab_DSM[[#This Row],[DSM_Parameter_type]]&amp;"_Cat_"&amp;Tab_DSM[[#This Row],[DSM_Category_Nr.]]</f>
        <v>DSM_Lifetime_StdDev_Cat_2</v>
      </c>
      <c r="M34" s="8">
        <v>3</v>
      </c>
    </row>
    <row r="35" spans="1:13" x14ac:dyDescent="0.25">
      <c r="A35" s="146" t="b">
        <v>0</v>
      </c>
      <c r="B35" s="7">
        <f t="shared" si="0"/>
        <v>34</v>
      </c>
      <c r="C35" s="7" t="str">
        <f>_xlfn.XLOOKUP($D35,Tab_Def_Processes[Process_Name],Tab_Def_Processes[Process_ID],,0,)</f>
        <v>09</v>
      </c>
      <c r="D35" s="142" t="s">
        <v>594</v>
      </c>
      <c r="E35" s="7" t="str">
        <f>_xlfn.XLOOKUP($D35,Tab_Def_Processes[Process_Name],Tab_Def_Processes[Process_Logic],,0,)</f>
        <v>DSM</v>
      </c>
      <c r="F35" s="7" t="str">
        <f>_xlfn.XLOOKUP($D35,Tab_Def_Processes[Process_Name],Tab_Def_Processes[TC_Configuration],,0,)</f>
        <v>No TC</v>
      </c>
      <c r="G35" s="7" t="str">
        <f>_xlfn.XLOOKUP($D35,Tab_Def_Processes[Process_Name],Tab_Def_Processes[Stock_Configuration],,0,)</f>
        <v>Stock</v>
      </c>
      <c r="H35" s="7">
        <f>_xlfn.XLOOKUP(Tab_DSM[[#This Row],[Process_Name]],Tab_Def_Processes[Process_Name],Tab_Def_Processes[Outflow_count],,0,)</f>
        <v>1</v>
      </c>
      <c r="I35" s="142">
        <v>2</v>
      </c>
      <c r="J35" s="7" t="str">
        <f>_xlfn.XLOOKUP($I35,Tab_DSM_Category_ID[Category ID],Tab_DSM_Category_ID[DSM Material],,0,)</f>
        <v>DSM Material 2</v>
      </c>
      <c r="K35" s="142" t="s">
        <v>563</v>
      </c>
      <c r="L35" s="7" t="str">
        <f>Tab_DSM[[#This Row],[DSM_Parameter_type]]&amp;"_Cat_"&amp;Tab_DSM[[#This Row],[DSM_Category_Nr.]]</f>
        <v>DSM_Output_1_Flow_ID_Cat_2</v>
      </c>
      <c r="M35" s="8" t="s">
        <v>629</v>
      </c>
    </row>
    <row r="36" spans="1:13" x14ac:dyDescent="0.25">
      <c r="A36" s="146" t="b">
        <v>0</v>
      </c>
      <c r="B36" s="7">
        <f t="shared" si="0"/>
        <v>35</v>
      </c>
      <c r="C36" s="7" t="str">
        <f>_xlfn.XLOOKUP($D36,Tab_Def_Processes[Process_Name],Tab_Def_Processes[Process_ID],,0,)</f>
        <v>09</v>
      </c>
      <c r="D36" s="142" t="s">
        <v>594</v>
      </c>
      <c r="E36" s="7" t="str">
        <f>_xlfn.XLOOKUP($D36,Tab_Def_Processes[Process_Name],Tab_Def_Processes[Process_Logic],,0,)</f>
        <v>DSM</v>
      </c>
      <c r="F36" s="7" t="str">
        <f>_xlfn.XLOOKUP($D36,Tab_Def_Processes[Process_Name],Tab_Def_Processes[TC_Configuration],,0,)</f>
        <v>No TC</v>
      </c>
      <c r="G36" s="7" t="str">
        <f>_xlfn.XLOOKUP($D36,Tab_Def_Processes[Process_Name],Tab_Def_Processes[Stock_Configuration],,0,)</f>
        <v>Stock</v>
      </c>
      <c r="H36" s="7">
        <f>_xlfn.XLOOKUP(Tab_DSM[[#This Row],[Process_Name]],Tab_Def_Processes[Process_Name],Tab_Def_Processes[Outflow_count],,0,)</f>
        <v>1</v>
      </c>
      <c r="I36" s="142">
        <v>2</v>
      </c>
      <c r="J36" s="7" t="str">
        <f>_xlfn.XLOOKUP($I36,Tab_DSM_Category_ID[Category ID],Tab_DSM_Category_ID[DSM Material],,0,)</f>
        <v>DSM Material 2</v>
      </c>
      <c r="K36" s="142" t="s">
        <v>565</v>
      </c>
      <c r="L36" s="7" t="str">
        <f>Tab_DSM[[#This Row],[DSM_Parameter_type]]&amp;"_Cat_"&amp;Tab_DSM[[#This Row],[DSM_Category_Nr.]]</f>
        <v>DSM_Output_1_Split_[%]_Cat_2</v>
      </c>
      <c r="M36" s="8">
        <v>1</v>
      </c>
    </row>
    <row r="37" spans="1:13" x14ac:dyDescent="0.25">
      <c r="A37" s="146" t="b">
        <v>0</v>
      </c>
      <c r="B37" s="7">
        <f t="shared" si="0"/>
        <v>36</v>
      </c>
      <c r="C37" s="7" t="str">
        <f>_xlfn.XLOOKUP($D37,Tab_Def_Processes[Process_Name],Tab_Def_Processes[Process_ID],,0,)</f>
        <v>09</v>
      </c>
      <c r="D37" s="142" t="s">
        <v>594</v>
      </c>
      <c r="E37" s="7" t="str">
        <f>_xlfn.XLOOKUP($D37,Tab_Def_Processes[Process_Name],Tab_Def_Processes[Process_Logic],,0,)</f>
        <v>DSM</v>
      </c>
      <c r="F37" s="7" t="str">
        <f>_xlfn.XLOOKUP($D37,Tab_Def_Processes[Process_Name],Tab_Def_Processes[TC_Configuration],,0,)</f>
        <v>No TC</v>
      </c>
      <c r="G37" s="7" t="str">
        <f>_xlfn.XLOOKUP($D37,Tab_Def_Processes[Process_Name],Tab_Def_Processes[Stock_Configuration],,0,)</f>
        <v>Stock</v>
      </c>
      <c r="H37" s="7">
        <f>_xlfn.XLOOKUP(Tab_DSM[[#This Row],[Process_Name]],Tab_Def_Processes[Process_Name],Tab_Def_Processes[Outflow_count],,0,)</f>
        <v>1</v>
      </c>
      <c r="I37" s="142">
        <v>3</v>
      </c>
      <c r="J37" s="7" t="str">
        <f>_xlfn.XLOOKUP($I37,Tab_DSM_Category_ID[Category ID],Tab_DSM_Category_ID[DSM Material],,0,)</f>
        <v>DSM Material 3</v>
      </c>
      <c r="K37" s="142" t="s">
        <v>554</v>
      </c>
      <c r="L37" s="7" t="str">
        <f>Tab_DSM[[#This Row],[DSM_Parameter_type]]&amp;"_Cat_"&amp;Tab_DSM[[#This Row],[DSM_Category_Nr.]]</f>
        <v>DSM_Category_Name_Cat_3</v>
      </c>
      <c r="M37" s="8" t="s">
        <v>625</v>
      </c>
    </row>
    <row r="38" spans="1:13" x14ac:dyDescent="0.25">
      <c r="A38" s="146" t="b">
        <v>0</v>
      </c>
      <c r="B38" s="7">
        <f t="shared" si="0"/>
        <v>37</v>
      </c>
      <c r="C38" s="7" t="str">
        <f>_xlfn.XLOOKUP($D38,Tab_Def_Processes[Process_Name],Tab_Def_Processes[Process_ID],,0,)</f>
        <v>09</v>
      </c>
      <c r="D38" s="142" t="s">
        <v>594</v>
      </c>
      <c r="E38" s="7" t="str">
        <f>_xlfn.XLOOKUP($D38,Tab_Def_Processes[Process_Name],Tab_Def_Processes[Process_Logic],,0,)</f>
        <v>DSM</v>
      </c>
      <c r="F38" s="7" t="str">
        <f>_xlfn.XLOOKUP($D38,Tab_Def_Processes[Process_Name],Tab_Def_Processes[TC_Configuration],,0,)</f>
        <v>No TC</v>
      </c>
      <c r="G38" s="7" t="str">
        <f>_xlfn.XLOOKUP($D38,Tab_Def_Processes[Process_Name],Tab_Def_Processes[Stock_Configuration],,0,)</f>
        <v>Stock</v>
      </c>
      <c r="H38" s="7">
        <f>_xlfn.XLOOKUP(Tab_DSM[[#This Row],[Process_Name]],Tab_Def_Processes[Process_Name],Tab_Def_Processes[Outflow_count],,0,)</f>
        <v>1</v>
      </c>
      <c r="I38" s="142">
        <v>3</v>
      </c>
      <c r="J38" s="7" t="str">
        <f>_xlfn.XLOOKUP($I38,Tab_DSM_Category_ID[Category ID],Tab_DSM_Category_ID[DSM Material],,0,)</f>
        <v>DSM Material 3</v>
      </c>
      <c r="K38" s="142" t="s">
        <v>555</v>
      </c>
      <c r="L38" s="7" t="str">
        <f>Tab_DSM[[#This Row],[DSM_Parameter_type]]&amp;"_Cat_"&amp;Tab_DSM[[#This Row],[DSM_Category_Nr.]]</f>
        <v>DSM_Inflow_Split_[%]_Cat_3</v>
      </c>
      <c r="M38" s="8" t="s">
        <v>575</v>
      </c>
    </row>
    <row r="39" spans="1:13" x14ac:dyDescent="0.25">
      <c r="A39" s="146" t="b">
        <v>0</v>
      </c>
      <c r="B39" s="7">
        <f t="shared" si="0"/>
        <v>38</v>
      </c>
      <c r="C39" s="7" t="str">
        <f>_xlfn.XLOOKUP($D39,Tab_Def_Processes[Process_Name],Tab_Def_Processes[Process_ID],,0,)</f>
        <v>09</v>
      </c>
      <c r="D39" s="142" t="s">
        <v>594</v>
      </c>
      <c r="E39" s="7" t="str">
        <f>_xlfn.XLOOKUP($D39,Tab_Def_Processes[Process_Name],Tab_Def_Processes[Process_Logic],,0,)</f>
        <v>DSM</v>
      </c>
      <c r="F39" s="7" t="str">
        <f>_xlfn.XLOOKUP($D39,Tab_Def_Processes[Process_Name],Tab_Def_Processes[TC_Configuration],,0,)</f>
        <v>No TC</v>
      </c>
      <c r="G39" s="7" t="str">
        <f>_xlfn.XLOOKUP($D39,Tab_Def_Processes[Process_Name],Tab_Def_Processes[Stock_Configuration],,0,)</f>
        <v>Stock</v>
      </c>
      <c r="H39" s="7">
        <f>_xlfn.XLOOKUP(Tab_DSM[[#This Row],[Process_Name]],Tab_Def_Processes[Process_Name],Tab_Def_Processes[Outflow_count],,0,)</f>
        <v>1</v>
      </c>
      <c r="I39" s="142">
        <v>3</v>
      </c>
      <c r="J39" s="7" t="str">
        <f>_xlfn.XLOOKUP($I39,Tab_DSM_Category_ID[Category ID],Tab_DSM_Category_ID[DSM Material],,0,)</f>
        <v>DSM Material 3</v>
      </c>
      <c r="K39" s="142" t="s">
        <v>556</v>
      </c>
      <c r="L39" s="7" t="str">
        <f>Tab_DSM[[#This Row],[DSM_Parameter_type]]&amp;"_Cat_"&amp;Tab_DSM[[#This Row],[DSM_Category_Nr.]]</f>
        <v>DSM_Lifetime_Type_Cat_3</v>
      </c>
      <c r="M39" s="8" t="s">
        <v>213</v>
      </c>
    </row>
    <row r="40" spans="1:13" x14ac:dyDescent="0.25">
      <c r="A40" s="146" t="b">
        <v>0</v>
      </c>
      <c r="B40" s="7">
        <f t="shared" si="0"/>
        <v>39</v>
      </c>
      <c r="C40" s="7" t="str">
        <f>_xlfn.XLOOKUP($D40,Tab_Def_Processes[Process_Name],Tab_Def_Processes[Process_ID],,0,)</f>
        <v>09</v>
      </c>
      <c r="D40" s="142" t="s">
        <v>594</v>
      </c>
      <c r="E40" s="7" t="str">
        <f>_xlfn.XLOOKUP($D40,Tab_Def_Processes[Process_Name],Tab_Def_Processes[Process_Logic],,0,)</f>
        <v>DSM</v>
      </c>
      <c r="F40" s="7" t="str">
        <f>_xlfn.XLOOKUP($D40,Tab_Def_Processes[Process_Name],Tab_Def_Processes[TC_Configuration],,0,)</f>
        <v>No TC</v>
      </c>
      <c r="G40" s="7" t="str">
        <f>_xlfn.XLOOKUP($D40,Tab_Def_Processes[Process_Name],Tab_Def_Processes[Stock_Configuration],,0,)</f>
        <v>Stock</v>
      </c>
      <c r="H40" s="7">
        <f>_xlfn.XLOOKUP(Tab_DSM[[#This Row],[Process_Name]],Tab_Def_Processes[Process_Name],Tab_Def_Processes[Outflow_count],,0,)</f>
        <v>1</v>
      </c>
      <c r="I40" s="142">
        <v>3</v>
      </c>
      <c r="J40" s="7" t="str">
        <f>_xlfn.XLOOKUP($I40,Tab_DSM_Category_ID[Category ID],Tab_DSM_Category_ID[DSM Material],,0,)</f>
        <v>DSM Material 3</v>
      </c>
      <c r="K40" s="142" t="s">
        <v>557</v>
      </c>
      <c r="L40" s="7" t="str">
        <f>Tab_DSM[[#This Row],[DSM_Parameter_type]]&amp;"_Cat_"&amp;Tab_DSM[[#This Row],[DSM_Category_Nr.]]</f>
        <v>DSM_Lifetime_Mean_Cat_3</v>
      </c>
      <c r="M40" s="8">
        <v>30</v>
      </c>
    </row>
    <row r="41" spans="1:13" x14ac:dyDescent="0.25">
      <c r="A41" s="146" t="b">
        <v>0</v>
      </c>
      <c r="B41" s="7">
        <f t="shared" si="0"/>
        <v>40</v>
      </c>
      <c r="C41" s="7" t="str">
        <f>_xlfn.XLOOKUP($D41,Tab_Def_Processes[Process_Name],Tab_Def_Processes[Process_ID],,0,)</f>
        <v>09</v>
      </c>
      <c r="D41" s="142" t="s">
        <v>594</v>
      </c>
      <c r="E41" s="7" t="str">
        <f>_xlfn.XLOOKUP($D41,Tab_Def_Processes[Process_Name],Tab_Def_Processes[Process_Logic],,0,)</f>
        <v>DSM</v>
      </c>
      <c r="F41" s="7" t="str">
        <f>_xlfn.XLOOKUP($D41,Tab_Def_Processes[Process_Name],Tab_Def_Processes[TC_Configuration],,0,)</f>
        <v>No TC</v>
      </c>
      <c r="G41" s="7" t="str">
        <f>_xlfn.XLOOKUP($D41,Tab_Def_Processes[Process_Name],Tab_Def_Processes[Stock_Configuration],,0,)</f>
        <v>Stock</v>
      </c>
      <c r="H41" s="7">
        <f>_xlfn.XLOOKUP(Tab_DSM[[#This Row],[Process_Name]],Tab_Def_Processes[Process_Name],Tab_Def_Processes[Outflow_count],,0,)</f>
        <v>1</v>
      </c>
      <c r="I41" s="142">
        <v>3</v>
      </c>
      <c r="J41" s="7" t="str">
        <f>_xlfn.XLOOKUP($I41,Tab_DSM_Category_ID[Category ID],Tab_DSM_Category_ID[DSM Material],,0,)</f>
        <v>DSM Material 3</v>
      </c>
      <c r="K41" s="142" t="s">
        <v>558</v>
      </c>
      <c r="L41" s="7" t="str">
        <f>Tab_DSM[[#This Row],[DSM_Parameter_type]]&amp;"_Cat_"&amp;Tab_DSM[[#This Row],[DSM_Category_Nr.]]</f>
        <v>DSM_Lifetime_StdDev_Cat_3</v>
      </c>
      <c r="M41" s="8">
        <v>10</v>
      </c>
    </row>
    <row r="42" spans="1:13" x14ac:dyDescent="0.25">
      <c r="A42" s="146" t="b">
        <v>0</v>
      </c>
      <c r="B42" s="7">
        <f t="shared" si="0"/>
        <v>41</v>
      </c>
      <c r="C42" s="7" t="str">
        <f>_xlfn.XLOOKUP($D42,Tab_Def_Processes[Process_Name],Tab_Def_Processes[Process_ID],,0,)</f>
        <v>09</v>
      </c>
      <c r="D42" s="142" t="s">
        <v>594</v>
      </c>
      <c r="E42" s="7" t="str">
        <f>_xlfn.XLOOKUP($D42,Tab_Def_Processes[Process_Name],Tab_Def_Processes[Process_Logic],,0,)</f>
        <v>DSM</v>
      </c>
      <c r="F42" s="7" t="str">
        <f>_xlfn.XLOOKUP($D42,Tab_Def_Processes[Process_Name],Tab_Def_Processes[TC_Configuration],,0,)</f>
        <v>No TC</v>
      </c>
      <c r="G42" s="7" t="str">
        <f>_xlfn.XLOOKUP($D42,Tab_Def_Processes[Process_Name],Tab_Def_Processes[Stock_Configuration],,0,)</f>
        <v>Stock</v>
      </c>
      <c r="H42" s="7">
        <f>_xlfn.XLOOKUP(Tab_DSM[[#This Row],[Process_Name]],Tab_Def_Processes[Process_Name],Tab_Def_Processes[Outflow_count],,0,)</f>
        <v>1</v>
      </c>
      <c r="I42" s="142">
        <v>3</v>
      </c>
      <c r="J42" s="7" t="str">
        <f>_xlfn.XLOOKUP($I42,Tab_DSM_Category_ID[Category ID],Tab_DSM_Category_ID[DSM Material],,0,)</f>
        <v>DSM Material 3</v>
      </c>
      <c r="K42" s="142" t="s">
        <v>563</v>
      </c>
      <c r="L42" s="7" t="str">
        <f>Tab_DSM[[#This Row],[DSM_Parameter_type]]&amp;"_Cat_"&amp;Tab_DSM[[#This Row],[DSM_Category_Nr.]]</f>
        <v>DSM_Output_1_Flow_ID_Cat_3</v>
      </c>
      <c r="M42" s="8" t="s">
        <v>629</v>
      </c>
    </row>
    <row r="43" spans="1:13" x14ac:dyDescent="0.25">
      <c r="A43" s="146" t="b">
        <v>0</v>
      </c>
      <c r="B43" s="7">
        <f t="shared" si="0"/>
        <v>42</v>
      </c>
      <c r="C43" s="7" t="str">
        <f>_xlfn.XLOOKUP($D43,Tab_Def_Processes[Process_Name],Tab_Def_Processes[Process_ID],,0,)</f>
        <v>09</v>
      </c>
      <c r="D43" s="142" t="s">
        <v>594</v>
      </c>
      <c r="E43" s="7" t="str">
        <f>_xlfn.XLOOKUP($D43,Tab_Def_Processes[Process_Name],Tab_Def_Processes[Process_Logic],,0,)</f>
        <v>DSM</v>
      </c>
      <c r="F43" s="7" t="str">
        <f>_xlfn.XLOOKUP($D43,Tab_Def_Processes[Process_Name],Tab_Def_Processes[TC_Configuration],,0,)</f>
        <v>No TC</v>
      </c>
      <c r="G43" s="7" t="str">
        <f>_xlfn.XLOOKUP($D43,Tab_Def_Processes[Process_Name],Tab_Def_Processes[Stock_Configuration],,0,)</f>
        <v>Stock</v>
      </c>
      <c r="H43" s="7">
        <f>_xlfn.XLOOKUP(Tab_DSM[[#This Row],[Process_Name]],Tab_Def_Processes[Process_Name],Tab_Def_Processes[Outflow_count],,0,)</f>
        <v>1</v>
      </c>
      <c r="I43" s="142">
        <v>3</v>
      </c>
      <c r="J43" s="7" t="str">
        <f>_xlfn.XLOOKUP($I43,Tab_DSM_Category_ID[Category ID],Tab_DSM_Category_ID[DSM Material],,0,)</f>
        <v>DSM Material 3</v>
      </c>
      <c r="K43" s="142" t="s">
        <v>565</v>
      </c>
      <c r="L43" s="7" t="str">
        <f>Tab_DSM[[#This Row],[DSM_Parameter_type]]&amp;"_Cat_"&amp;Tab_DSM[[#This Row],[DSM_Category_Nr.]]</f>
        <v>DSM_Output_1_Split_[%]_Cat_3</v>
      </c>
      <c r="M43" s="8">
        <v>1</v>
      </c>
    </row>
    <row r="44" spans="1:13" x14ac:dyDescent="0.25">
      <c r="A44" s="146" t="b">
        <v>0</v>
      </c>
      <c r="B44" s="7">
        <f t="shared" si="0"/>
        <v>43</v>
      </c>
      <c r="C44" s="7" t="str">
        <f>_xlfn.XLOOKUP($D44,Tab_Def_Processes[Process_Name],Tab_Def_Processes[Process_ID],,0,)</f>
        <v>09</v>
      </c>
      <c r="D44" s="142" t="s">
        <v>594</v>
      </c>
      <c r="E44" s="7" t="str">
        <f>_xlfn.XLOOKUP($D44,Tab_Def_Processes[Process_Name],Tab_Def_Processes[Process_Logic],,0,)</f>
        <v>DSM</v>
      </c>
      <c r="F44" s="7" t="str">
        <f>_xlfn.XLOOKUP($D44,Tab_Def_Processes[Process_Name],Tab_Def_Processes[TC_Configuration],,0,)</f>
        <v>No TC</v>
      </c>
      <c r="G44" s="7" t="str">
        <f>_xlfn.XLOOKUP($D44,Tab_Def_Processes[Process_Name],Tab_Def_Processes[Stock_Configuration],,0,)</f>
        <v>Stock</v>
      </c>
      <c r="H44" s="7">
        <f>_xlfn.XLOOKUP(Tab_DSM[[#This Row],[Process_Name]],Tab_Def_Processes[Process_Name],Tab_Def_Processes[Outflow_count],,0,)</f>
        <v>1</v>
      </c>
      <c r="I44" s="142">
        <v>4</v>
      </c>
      <c r="J44" s="7" t="str">
        <f>_xlfn.XLOOKUP($I44,Tab_DSM_Category_ID[Category ID],Tab_DSM_Category_ID[DSM Material],,0,)</f>
        <v>DSM Material 4</v>
      </c>
      <c r="K44" s="142" t="s">
        <v>554</v>
      </c>
      <c r="L44" s="7" t="str">
        <f>Tab_DSM[[#This Row],[DSM_Parameter_type]]&amp;"_Cat_"&amp;Tab_DSM[[#This Row],[DSM_Category_Nr.]]</f>
        <v>DSM_Category_Name_Cat_4</v>
      </c>
      <c r="M44" s="8" t="s">
        <v>630</v>
      </c>
    </row>
    <row r="45" spans="1:13" x14ac:dyDescent="0.25">
      <c r="A45" s="146" t="b">
        <v>0</v>
      </c>
      <c r="B45" s="7">
        <f t="shared" si="0"/>
        <v>44</v>
      </c>
      <c r="C45" s="7" t="str">
        <f>_xlfn.XLOOKUP($D45,Tab_Def_Processes[Process_Name],Tab_Def_Processes[Process_ID],,0,)</f>
        <v>09</v>
      </c>
      <c r="D45" s="142" t="s">
        <v>594</v>
      </c>
      <c r="E45" s="7" t="str">
        <f>_xlfn.XLOOKUP($D45,Tab_Def_Processes[Process_Name],Tab_Def_Processes[Process_Logic],,0,)</f>
        <v>DSM</v>
      </c>
      <c r="F45" s="7" t="str">
        <f>_xlfn.XLOOKUP($D45,Tab_Def_Processes[Process_Name],Tab_Def_Processes[TC_Configuration],,0,)</f>
        <v>No TC</v>
      </c>
      <c r="G45" s="7" t="str">
        <f>_xlfn.XLOOKUP($D45,Tab_Def_Processes[Process_Name],Tab_Def_Processes[Stock_Configuration],,0,)</f>
        <v>Stock</v>
      </c>
      <c r="H45" s="7">
        <f>_xlfn.XLOOKUP(Tab_DSM[[#This Row],[Process_Name]],Tab_Def_Processes[Process_Name],Tab_Def_Processes[Outflow_count],,0,)</f>
        <v>1</v>
      </c>
      <c r="I45" s="142">
        <v>4</v>
      </c>
      <c r="J45" s="7" t="str">
        <f>_xlfn.XLOOKUP($I45,Tab_DSM_Category_ID[Category ID],Tab_DSM_Category_ID[DSM Material],,0,)</f>
        <v>DSM Material 4</v>
      </c>
      <c r="K45" s="142" t="s">
        <v>555</v>
      </c>
      <c r="L45" s="7" t="str">
        <f>Tab_DSM[[#This Row],[DSM_Parameter_type]]&amp;"_Cat_"&amp;Tab_DSM[[#This Row],[DSM_Category_Nr.]]</f>
        <v>DSM_Inflow_Split_[%]_Cat_4</v>
      </c>
      <c r="M45" s="8" t="s">
        <v>502</v>
      </c>
    </row>
    <row r="46" spans="1:13" x14ac:dyDescent="0.25">
      <c r="A46" s="146" t="b">
        <v>0</v>
      </c>
      <c r="B46" s="7">
        <f t="shared" si="0"/>
        <v>45</v>
      </c>
      <c r="C46" s="7" t="str">
        <f>_xlfn.XLOOKUP($D46,Tab_Def_Processes[Process_Name],Tab_Def_Processes[Process_ID],,0,)</f>
        <v>09</v>
      </c>
      <c r="D46" s="142" t="s">
        <v>594</v>
      </c>
      <c r="E46" s="7" t="str">
        <f>_xlfn.XLOOKUP($D46,Tab_Def_Processes[Process_Name],Tab_Def_Processes[Process_Logic],,0,)</f>
        <v>DSM</v>
      </c>
      <c r="F46" s="7" t="str">
        <f>_xlfn.XLOOKUP($D46,Tab_Def_Processes[Process_Name],Tab_Def_Processes[TC_Configuration],,0,)</f>
        <v>No TC</v>
      </c>
      <c r="G46" s="7" t="str">
        <f>_xlfn.XLOOKUP($D46,Tab_Def_Processes[Process_Name],Tab_Def_Processes[Stock_Configuration],,0,)</f>
        <v>Stock</v>
      </c>
      <c r="H46" s="7">
        <f>_xlfn.XLOOKUP(Tab_DSM[[#This Row],[Process_Name]],Tab_Def_Processes[Process_Name],Tab_Def_Processes[Outflow_count],,0,)</f>
        <v>1</v>
      </c>
      <c r="I46" s="142">
        <v>4</v>
      </c>
      <c r="J46" s="7" t="str">
        <f>_xlfn.XLOOKUP($I46,Tab_DSM_Category_ID[Category ID],Tab_DSM_Category_ID[DSM Material],,0,)</f>
        <v>DSM Material 4</v>
      </c>
      <c r="K46" s="142" t="s">
        <v>556</v>
      </c>
      <c r="L46" s="7" t="str">
        <f>Tab_DSM[[#This Row],[DSM_Parameter_type]]&amp;"_Cat_"&amp;Tab_DSM[[#This Row],[DSM_Category_Nr.]]</f>
        <v>DSM_Lifetime_Type_Cat_4</v>
      </c>
      <c r="M46" s="8" t="s">
        <v>213</v>
      </c>
    </row>
    <row r="47" spans="1:13" x14ac:dyDescent="0.25">
      <c r="A47" s="146" t="b">
        <v>0</v>
      </c>
      <c r="B47" s="7">
        <f t="shared" si="0"/>
        <v>46</v>
      </c>
      <c r="C47" s="7" t="str">
        <f>_xlfn.XLOOKUP($D47,Tab_Def_Processes[Process_Name],Tab_Def_Processes[Process_ID],,0,)</f>
        <v>09</v>
      </c>
      <c r="D47" s="142" t="s">
        <v>594</v>
      </c>
      <c r="E47" s="7" t="str">
        <f>_xlfn.XLOOKUP($D47,Tab_Def_Processes[Process_Name],Tab_Def_Processes[Process_Logic],,0,)</f>
        <v>DSM</v>
      </c>
      <c r="F47" s="7" t="str">
        <f>_xlfn.XLOOKUP($D47,Tab_Def_Processes[Process_Name],Tab_Def_Processes[TC_Configuration],,0,)</f>
        <v>No TC</v>
      </c>
      <c r="G47" s="7" t="str">
        <f>_xlfn.XLOOKUP($D47,Tab_Def_Processes[Process_Name],Tab_Def_Processes[Stock_Configuration],,0,)</f>
        <v>Stock</v>
      </c>
      <c r="H47" s="7">
        <f>_xlfn.XLOOKUP(Tab_DSM[[#This Row],[Process_Name]],Tab_Def_Processes[Process_Name],Tab_Def_Processes[Outflow_count],,0,)</f>
        <v>1</v>
      </c>
      <c r="I47" s="142">
        <v>4</v>
      </c>
      <c r="J47" s="7" t="str">
        <f>_xlfn.XLOOKUP($I47,Tab_DSM_Category_ID[Category ID],Tab_DSM_Category_ID[DSM Material],,0,)</f>
        <v>DSM Material 4</v>
      </c>
      <c r="K47" s="142" t="s">
        <v>557</v>
      </c>
      <c r="L47" s="7" t="str">
        <f>Tab_DSM[[#This Row],[DSM_Parameter_type]]&amp;"_Cat_"&amp;Tab_DSM[[#This Row],[DSM_Category_Nr.]]</f>
        <v>DSM_Lifetime_Mean_Cat_4</v>
      </c>
      <c r="M47" s="8">
        <v>1</v>
      </c>
    </row>
    <row r="48" spans="1:13" x14ac:dyDescent="0.25">
      <c r="A48" s="146" t="b">
        <v>0</v>
      </c>
      <c r="B48" s="7">
        <f t="shared" si="0"/>
        <v>47</v>
      </c>
      <c r="C48" s="7" t="str">
        <f>_xlfn.XLOOKUP($D48,Tab_Def_Processes[Process_Name],Tab_Def_Processes[Process_ID],,0,)</f>
        <v>09</v>
      </c>
      <c r="D48" s="142" t="s">
        <v>594</v>
      </c>
      <c r="E48" s="7" t="str">
        <f>_xlfn.XLOOKUP($D48,Tab_Def_Processes[Process_Name],Tab_Def_Processes[Process_Logic],,0,)</f>
        <v>DSM</v>
      </c>
      <c r="F48" s="7" t="str">
        <f>_xlfn.XLOOKUP($D48,Tab_Def_Processes[Process_Name],Tab_Def_Processes[TC_Configuration],,0,)</f>
        <v>No TC</v>
      </c>
      <c r="G48" s="7" t="str">
        <f>_xlfn.XLOOKUP($D48,Tab_Def_Processes[Process_Name],Tab_Def_Processes[Stock_Configuration],,0,)</f>
        <v>Stock</v>
      </c>
      <c r="H48" s="7">
        <f>_xlfn.XLOOKUP(Tab_DSM[[#This Row],[Process_Name]],Tab_Def_Processes[Process_Name],Tab_Def_Processes[Outflow_count],,0,)</f>
        <v>1</v>
      </c>
      <c r="I48" s="142">
        <v>4</v>
      </c>
      <c r="J48" s="7" t="str">
        <f>_xlfn.XLOOKUP($I48,Tab_DSM_Category_ID[Category ID],Tab_DSM_Category_ID[DSM Material],,0,)</f>
        <v>DSM Material 4</v>
      </c>
      <c r="K48" s="142" t="s">
        <v>558</v>
      </c>
      <c r="L48" s="7" t="str">
        <f>Tab_DSM[[#This Row],[DSM_Parameter_type]]&amp;"_Cat_"&amp;Tab_DSM[[#This Row],[DSM_Category_Nr.]]</f>
        <v>DSM_Lifetime_StdDev_Cat_4</v>
      </c>
      <c r="M48" s="8">
        <v>1</v>
      </c>
    </row>
    <row r="49" spans="1:13" x14ac:dyDescent="0.25">
      <c r="A49" s="146" t="b">
        <v>0</v>
      </c>
      <c r="B49" s="7">
        <f t="shared" si="0"/>
        <v>48</v>
      </c>
      <c r="C49" s="7" t="str">
        <f>_xlfn.XLOOKUP($D49,Tab_Def_Processes[Process_Name],Tab_Def_Processes[Process_ID],,0,)</f>
        <v>09</v>
      </c>
      <c r="D49" s="142" t="s">
        <v>594</v>
      </c>
      <c r="E49" s="7" t="str">
        <f>_xlfn.XLOOKUP($D49,Tab_Def_Processes[Process_Name],Tab_Def_Processes[Process_Logic],,0,)</f>
        <v>DSM</v>
      </c>
      <c r="F49" s="7" t="str">
        <f>_xlfn.XLOOKUP($D49,Tab_Def_Processes[Process_Name],Tab_Def_Processes[TC_Configuration],,0,)</f>
        <v>No TC</v>
      </c>
      <c r="G49" s="7" t="str">
        <f>_xlfn.XLOOKUP($D49,Tab_Def_Processes[Process_Name],Tab_Def_Processes[Stock_Configuration],,0,)</f>
        <v>Stock</v>
      </c>
      <c r="H49" s="7">
        <f>_xlfn.XLOOKUP(Tab_DSM[[#This Row],[Process_Name]],Tab_Def_Processes[Process_Name],Tab_Def_Processes[Outflow_count],,0,)</f>
        <v>1</v>
      </c>
      <c r="I49" s="142">
        <v>4</v>
      </c>
      <c r="J49" s="7" t="str">
        <f>_xlfn.XLOOKUP($I49,Tab_DSM_Category_ID[Category ID],Tab_DSM_Category_ID[DSM Material],,0,)</f>
        <v>DSM Material 4</v>
      </c>
      <c r="K49" s="142" t="s">
        <v>563</v>
      </c>
      <c r="L49" s="7" t="str">
        <f>Tab_DSM[[#This Row],[DSM_Parameter_type]]&amp;"_Cat_"&amp;Tab_DSM[[#This Row],[DSM_Category_Nr.]]</f>
        <v>DSM_Output_1_Flow_ID_Cat_4</v>
      </c>
      <c r="M49" s="8" t="s">
        <v>629</v>
      </c>
    </row>
    <row r="50" spans="1:13" x14ac:dyDescent="0.25">
      <c r="A50" s="146" t="b">
        <v>0</v>
      </c>
      <c r="B50" s="7">
        <f t="shared" si="0"/>
        <v>49</v>
      </c>
      <c r="C50" s="7" t="str">
        <f>_xlfn.XLOOKUP($D50,Tab_Def_Processes[Process_Name],Tab_Def_Processes[Process_ID],,0,)</f>
        <v>09</v>
      </c>
      <c r="D50" s="142" t="s">
        <v>594</v>
      </c>
      <c r="E50" s="7" t="str">
        <f>_xlfn.XLOOKUP($D50,Tab_Def_Processes[Process_Name],Tab_Def_Processes[Process_Logic],,0,)</f>
        <v>DSM</v>
      </c>
      <c r="F50" s="7" t="str">
        <f>_xlfn.XLOOKUP($D50,Tab_Def_Processes[Process_Name],Tab_Def_Processes[TC_Configuration],,0,)</f>
        <v>No TC</v>
      </c>
      <c r="G50" s="7" t="str">
        <f>_xlfn.XLOOKUP($D50,Tab_Def_Processes[Process_Name],Tab_Def_Processes[Stock_Configuration],,0,)</f>
        <v>Stock</v>
      </c>
      <c r="H50" s="7">
        <f>_xlfn.XLOOKUP(Tab_DSM[[#This Row],[Process_Name]],Tab_Def_Processes[Process_Name],Tab_Def_Processes[Outflow_count],,0,)</f>
        <v>1</v>
      </c>
      <c r="I50" s="142">
        <v>4</v>
      </c>
      <c r="J50" s="7" t="str">
        <f>_xlfn.XLOOKUP($I50,Tab_DSM_Category_ID[Category ID],Tab_DSM_Category_ID[DSM Material],,0,)</f>
        <v>DSM Material 4</v>
      </c>
      <c r="K50" s="142" t="s">
        <v>565</v>
      </c>
      <c r="L50" s="7" t="str">
        <f>Tab_DSM[[#This Row],[DSM_Parameter_type]]&amp;"_Cat_"&amp;Tab_DSM[[#This Row],[DSM_Category_Nr.]]</f>
        <v>DSM_Output_1_Split_[%]_Cat_4</v>
      </c>
      <c r="M50" s="8">
        <v>1</v>
      </c>
    </row>
    <row r="51" spans="1:13" x14ac:dyDescent="0.25">
      <c r="A51" s="146" t="b">
        <v>0</v>
      </c>
      <c r="B51" s="7">
        <f t="shared" si="0"/>
        <v>50</v>
      </c>
      <c r="C51" s="7" t="e">
        <f>_xlfn.XLOOKUP($D51,Tab_Def_Processes[Process_Name],Tab_Def_Processes[Process_ID],,0,)</f>
        <v>#N/A</v>
      </c>
      <c r="D51" s="142" t="s">
        <v>22</v>
      </c>
      <c r="E51" s="7" t="e">
        <f>_xlfn.XLOOKUP($D51,Tab_Def_Processes[Process_Name],Tab_Def_Processes[Process_Logic],,0,)</f>
        <v>#N/A</v>
      </c>
      <c r="F51" s="7" t="e">
        <f>_xlfn.XLOOKUP($D51,Tab_Def_Processes[Process_Name],Tab_Def_Processes[TC_Configuration],,0,)</f>
        <v>#N/A</v>
      </c>
      <c r="G51" s="7" t="e">
        <f>_xlfn.XLOOKUP($D51,Tab_Def_Processes[Process_Name],Tab_Def_Processes[Stock_Configuration],,0,)</f>
        <v>#N/A</v>
      </c>
      <c r="H51" s="7" t="e">
        <f>_xlfn.XLOOKUP(Tab_DSM[[#This Row],[Process_Name]],Tab_Def_Processes[Process_Name],Tab_Def_Processes[Outflow_count],,0,)</f>
        <v>#N/A</v>
      </c>
      <c r="I51" s="142"/>
      <c r="J51" s="7" t="e">
        <f>_xlfn.XLOOKUP($I51,Tab_DSM_Category_ID[Category ID],Tab_DSM_Category_ID[DSM Material],,0,)</f>
        <v>#N/A</v>
      </c>
      <c r="K51" s="142"/>
      <c r="L51" s="7" t="str">
        <f>Tab_DSM[[#This Row],[DSM_Parameter_type]]&amp;"_Cat_"&amp;Tab_DSM[[#This Row],[DSM_Category_Nr.]]</f>
        <v>_Cat_</v>
      </c>
      <c r="M51" s="8"/>
    </row>
    <row r="52" spans="1:13" x14ac:dyDescent="0.25">
      <c r="A52" s="146" t="b">
        <v>0</v>
      </c>
      <c r="B52" s="7">
        <f t="shared" si="0"/>
        <v>51</v>
      </c>
      <c r="C52" s="7" t="e">
        <f>_xlfn.XLOOKUP($D52,Tab_Def_Processes[Process_Name],Tab_Def_Processes[Process_ID],,0,)</f>
        <v>#N/A</v>
      </c>
      <c r="D52" s="142" t="s">
        <v>22</v>
      </c>
      <c r="E52" s="7" t="e">
        <f>_xlfn.XLOOKUP($D52,Tab_Def_Processes[Process_Name],Tab_Def_Processes[Process_Logic],,0,)</f>
        <v>#N/A</v>
      </c>
      <c r="F52" s="7" t="e">
        <f>_xlfn.XLOOKUP($D52,Tab_Def_Processes[Process_Name],Tab_Def_Processes[TC_Configuration],,0,)</f>
        <v>#N/A</v>
      </c>
      <c r="G52" s="7" t="e">
        <f>_xlfn.XLOOKUP($D52,Tab_Def_Processes[Process_Name],Tab_Def_Processes[Stock_Configuration],,0,)</f>
        <v>#N/A</v>
      </c>
      <c r="H52" s="7" t="e">
        <f>_xlfn.XLOOKUP(Tab_DSM[[#This Row],[Process_Name]],Tab_Def_Processes[Process_Name],Tab_Def_Processes[Outflow_count],,0,)</f>
        <v>#N/A</v>
      </c>
      <c r="I52" s="142"/>
      <c r="J52" s="7" t="e">
        <f>_xlfn.XLOOKUP($I52,Tab_DSM_Category_ID[Category ID],Tab_DSM_Category_ID[DSM Material],,0,)</f>
        <v>#N/A</v>
      </c>
      <c r="K52" s="142"/>
      <c r="L52" s="7" t="str">
        <f>Tab_DSM[[#This Row],[DSM_Parameter_type]]&amp;"_Cat_"&amp;Tab_DSM[[#This Row],[DSM_Category_Nr.]]</f>
        <v>_Cat_</v>
      </c>
      <c r="M52" s="8"/>
    </row>
    <row r="53" spans="1:13" x14ac:dyDescent="0.25">
      <c r="A53" s="146" t="b">
        <v>0</v>
      </c>
      <c r="B53" s="7">
        <f t="shared" si="0"/>
        <v>52</v>
      </c>
      <c r="C53" s="7" t="e">
        <f>_xlfn.XLOOKUP($D53,Tab_Def_Processes[Process_Name],Tab_Def_Processes[Process_ID],,0,)</f>
        <v>#N/A</v>
      </c>
      <c r="D53" s="142" t="s">
        <v>22</v>
      </c>
      <c r="E53" s="7" t="e">
        <f>_xlfn.XLOOKUP($D53,Tab_Def_Processes[Process_Name],Tab_Def_Processes[Process_Logic],,0,)</f>
        <v>#N/A</v>
      </c>
      <c r="F53" s="7" t="e">
        <f>_xlfn.XLOOKUP($D53,Tab_Def_Processes[Process_Name],Tab_Def_Processes[TC_Configuration],,0,)</f>
        <v>#N/A</v>
      </c>
      <c r="G53" s="7" t="e">
        <f>_xlfn.XLOOKUP($D53,Tab_Def_Processes[Process_Name],Tab_Def_Processes[Stock_Configuration],,0,)</f>
        <v>#N/A</v>
      </c>
      <c r="H53" s="7" t="e">
        <f>_xlfn.XLOOKUP(Tab_DSM[[#This Row],[Process_Name]],Tab_Def_Processes[Process_Name],Tab_Def_Processes[Outflow_count],,0,)</f>
        <v>#N/A</v>
      </c>
      <c r="I53" s="142"/>
      <c r="J53" s="7" t="e">
        <f>_xlfn.XLOOKUP($I53,Tab_DSM_Category_ID[Category ID],Tab_DSM_Category_ID[DSM Material],,0,)</f>
        <v>#N/A</v>
      </c>
      <c r="K53" s="142"/>
      <c r="L53" s="7" t="str">
        <f>Tab_DSM[[#This Row],[DSM_Parameter_type]]&amp;"_Cat_"&amp;Tab_DSM[[#This Row],[DSM_Category_Nr.]]</f>
        <v>_Cat_</v>
      </c>
      <c r="M53" s="8"/>
    </row>
    <row r="54" spans="1:13" x14ac:dyDescent="0.25">
      <c r="A54" s="146" t="b">
        <v>0</v>
      </c>
      <c r="B54" s="7">
        <f t="shared" si="0"/>
        <v>53</v>
      </c>
      <c r="C54" s="7" t="e">
        <f>_xlfn.XLOOKUP($D54,Tab_Def_Processes[Process_Name],Tab_Def_Processes[Process_ID],,0,)</f>
        <v>#N/A</v>
      </c>
      <c r="D54" s="142" t="s">
        <v>22</v>
      </c>
      <c r="E54" s="7" t="e">
        <f>_xlfn.XLOOKUP($D54,Tab_Def_Processes[Process_Name],Tab_Def_Processes[Process_Logic],,0,)</f>
        <v>#N/A</v>
      </c>
      <c r="F54" s="7" t="e">
        <f>_xlfn.XLOOKUP($D54,Tab_Def_Processes[Process_Name],Tab_Def_Processes[TC_Configuration],,0,)</f>
        <v>#N/A</v>
      </c>
      <c r="G54" s="7" t="e">
        <f>_xlfn.XLOOKUP($D54,Tab_Def_Processes[Process_Name],Tab_Def_Processes[Stock_Configuration],,0,)</f>
        <v>#N/A</v>
      </c>
      <c r="H54" s="7" t="e">
        <f>_xlfn.XLOOKUP(Tab_DSM[[#This Row],[Process_Name]],Tab_Def_Processes[Process_Name],Tab_Def_Processes[Outflow_count],,0,)</f>
        <v>#N/A</v>
      </c>
      <c r="I54" s="142"/>
      <c r="J54" s="7" t="e">
        <f>_xlfn.XLOOKUP($I54,Tab_DSM_Category_ID[Category ID],Tab_DSM_Category_ID[DSM Material],,0,)</f>
        <v>#N/A</v>
      </c>
      <c r="K54" s="142"/>
      <c r="L54" s="7" t="str">
        <f>Tab_DSM[[#This Row],[DSM_Parameter_type]]&amp;"_Cat_"&amp;Tab_DSM[[#This Row],[DSM_Category_Nr.]]</f>
        <v>_Cat_</v>
      </c>
      <c r="M54" s="8"/>
    </row>
    <row r="55" spans="1:13" x14ac:dyDescent="0.25">
      <c r="A55" s="146" t="b">
        <v>0</v>
      </c>
      <c r="B55" s="7">
        <f t="shared" si="0"/>
        <v>54</v>
      </c>
      <c r="C55" s="7" t="e">
        <f>_xlfn.XLOOKUP($D55,Tab_Def_Processes[Process_Name],Tab_Def_Processes[Process_ID],,0,)</f>
        <v>#N/A</v>
      </c>
      <c r="D55" s="142" t="s">
        <v>22</v>
      </c>
      <c r="E55" s="7" t="e">
        <f>_xlfn.XLOOKUP($D55,Tab_Def_Processes[Process_Name],Tab_Def_Processes[Process_Logic],,0,)</f>
        <v>#N/A</v>
      </c>
      <c r="F55" s="7" t="e">
        <f>_xlfn.XLOOKUP($D55,Tab_Def_Processes[Process_Name],Tab_Def_Processes[TC_Configuration],,0,)</f>
        <v>#N/A</v>
      </c>
      <c r="G55" s="7" t="e">
        <f>_xlfn.XLOOKUP($D55,Tab_Def_Processes[Process_Name],Tab_Def_Processes[Stock_Configuration],,0,)</f>
        <v>#N/A</v>
      </c>
      <c r="H55" s="7" t="e">
        <f>_xlfn.XLOOKUP(Tab_DSM[[#This Row],[Process_Name]],Tab_Def_Processes[Process_Name],Tab_Def_Processes[Outflow_count],,0,)</f>
        <v>#N/A</v>
      </c>
      <c r="I55" s="142"/>
      <c r="J55" s="7" t="e">
        <f>_xlfn.XLOOKUP($I55,Tab_DSM_Category_ID[Category ID],Tab_DSM_Category_ID[DSM Material],,0,)</f>
        <v>#N/A</v>
      </c>
      <c r="K55" s="142"/>
      <c r="L55" s="7" t="str">
        <f>Tab_DSM[[#This Row],[DSM_Parameter_type]]&amp;"_Cat_"&amp;Tab_DSM[[#This Row],[DSM_Category_Nr.]]</f>
        <v>_Cat_</v>
      </c>
      <c r="M55" s="8"/>
    </row>
    <row r="56" spans="1:13" x14ac:dyDescent="0.25">
      <c r="A56" s="146" t="b">
        <v>0</v>
      </c>
      <c r="B56" s="7">
        <f t="shared" si="0"/>
        <v>55</v>
      </c>
      <c r="C56" s="7" t="e">
        <f>_xlfn.XLOOKUP($D56,Tab_Def_Processes[Process_Name],Tab_Def_Processes[Process_ID],,0,)</f>
        <v>#N/A</v>
      </c>
      <c r="D56" s="142" t="s">
        <v>22</v>
      </c>
      <c r="E56" s="7" t="e">
        <f>_xlfn.XLOOKUP($D56,Tab_Def_Processes[Process_Name],Tab_Def_Processes[Process_Logic],,0,)</f>
        <v>#N/A</v>
      </c>
      <c r="F56" s="7" t="e">
        <f>_xlfn.XLOOKUP($D56,Tab_Def_Processes[Process_Name],Tab_Def_Processes[TC_Configuration],,0,)</f>
        <v>#N/A</v>
      </c>
      <c r="G56" s="7" t="e">
        <f>_xlfn.XLOOKUP($D56,Tab_Def_Processes[Process_Name],Tab_Def_Processes[Stock_Configuration],,0,)</f>
        <v>#N/A</v>
      </c>
      <c r="H56" s="7" t="e">
        <f>_xlfn.XLOOKUP(Tab_DSM[[#This Row],[Process_Name]],Tab_Def_Processes[Process_Name],Tab_Def_Processes[Outflow_count],,0,)</f>
        <v>#N/A</v>
      </c>
      <c r="I56" s="142"/>
      <c r="J56" s="7" t="e">
        <f>_xlfn.XLOOKUP($I56,Tab_DSM_Category_ID[Category ID],Tab_DSM_Category_ID[DSM Material],,0,)</f>
        <v>#N/A</v>
      </c>
      <c r="K56" s="142"/>
      <c r="L56" s="7" t="str">
        <f>Tab_DSM[[#This Row],[DSM_Parameter_type]]&amp;"_Cat_"&amp;Tab_DSM[[#This Row],[DSM_Category_Nr.]]</f>
        <v>_Cat_</v>
      </c>
      <c r="M56" s="8"/>
    </row>
    <row r="57" spans="1:13" x14ac:dyDescent="0.25">
      <c r="A57" s="146" t="b">
        <v>0</v>
      </c>
      <c r="B57" s="7">
        <f t="shared" si="0"/>
        <v>56</v>
      </c>
      <c r="C57" s="7" t="e">
        <f>_xlfn.XLOOKUP($D57,Tab_Def_Processes[Process_Name],Tab_Def_Processes[Process_ID],,0,)</f>
        <v>#N/A</v>
      </c>
      <c r="D57" s="142" t="s">
        <v>22</v>
      </c>
      <c r="E57" s="7" t="e">
        <f>_xlfn.XLOOKUP($D57,Tab_Def_Processes[Process_Name],Tab_Def_Processes[Process_Logic],,0,)</f>
        <v>#N/A</v>
      </c>
      <c r="F57" s="7" t="e">
        <f>_xlfn.XLOOKUP($D57,Tab_Def_Processes[Process_Name],Tab_Def_Processes[TC_Configuration],,0,)</f>
        <v>#N/A</v>
      </c>
      <c r="G57" s="7" t="e">
        <f>_xlfn.XLOOKUP($D57,Tab_Def_Processes[Process_Name],Tab_Def_Processes[Stock_Configuration],,0,)</f>
        <v>#N/A</v>
      </c>
      <c r="H57" s="7" t="e">
        <f>_xlfn.XLOOKUP(Tab_DSM[[#This Row],[Process_Name]],Tab_Def_Processes[Process_Name],Tab_Def_Processes[Outflow_count],,0,)</f>
        <v>#N/A</v>
      </c>
      <c r="I57" s="142"/>
      <c r="J57" s="7" t="e">
        <f>_xlfn.XLOOKUP($I57,Tab_DSM_Category_ID[Category ID],Tab_DSM_Category_ID[DSM Material],,0,)</f>
        <v>#N/A</v>
      </c>
      <c r="K57" s="142"/>
      <c r="L57" s="7" t="str">
        <f>Tab_DSM[[#This Row],[DSM_Parameter_type]]&amp;"_Cat_"&amp;Tab_DSM[[#This Row],[DSM_Category_Nr.]]</f>
        <v>_Cat_</v>
      </c>
      <c r="M57" s="8"/>
    </row>
    <row r="58" spans="1:13" x14ac:dyDescent="0.25">
      <c r="A58" s="146" t="b">
        <v>0</v>
      </c>
      <c r="B58" s="7">
        <f t="shared" si="0"/>
        <v>57</v>
      </c>
      <c r="C58" s="7" t="e">
        <f>_xlfn.XLOOKUP($D58,Tab_Def_Processes[Process_Name],Tab_Def_Processes[Process_ID],,0,)</f>
        <v>#N/A</v>
      </c>
      <c r="D58" s="142" t="s">
        <v>22</v>
      </c>
      <c r="E58" s="7" t="e">
        <f>_xlfn.XLOOKUP($D58,Tab_Def_Processes[Process_Name],Tab_Def_Processes[Process_Logic],,0,)</f>
        <v>#N/A</v>
      </c>
      <c r="F58" s="7" t="e">
        <f>_xlfn.XLOOKUP($D58,Tab_Def_Processes[Process_Name],Tab_Def_Processes[TC_Configuration],,0,)</f>
        <v>#N/A</v>
      </c>
      <c r="G58" s="7" t="e">
        <f>_xlfn.XLOOKUP($D58,Tab_Def_Processes[Process_Name],Tab_Def_Processes[Stock_Configuration],,0,)</f>
        <v>#N/A</v>
      </c>
      <c r="H58" s="7" t="e">
        <f>_xlfn.XLOOKUP(Tab_DSM[[#This Row],[Process_Name]],Tab_Def_Processes[Process_Name],Tab_Def_Processes[Outflow_count],,0,)</f>
        <v>#N/A</v>
      </c>
      <c r="I58" s="142"/>
      <c r="J58" s="7" t="e">
        <f>_xlfn.XLOOKUP($I58,Tab_DSM_Category_ID[Category ID],Tab_DSM_Category_ID[DSM Material],,0,)</f>
        <v>#N/A</v>
      </c>
      <c r="K58" s="142"/>
      <c r="L58" s="7" t="str">
        <f>Tab_DSM[[#This Row],[DSM_Parameter_type]]&amp;"_Cat_"&amp;Tab_DSM[[#This Row],[DSM_Category_Nr.]]</f>
        <v>_Cat_</v>
      </c>
      <c r="M58" s="8"/>
    </row>
    <row r="59" spans="1:13" x14ac:dyDescent="0.25">
      <c r="A59" s="146" t="b">
        <v>0</v>
      </c>
      <c r="B59" s="7">
        <f t="shared" si="0"/>
        <v>58</v>
      </c>
      <c r="C59" s="7" t="e">
        <f>_xlfn.XLOOKUP($D59,Tab_Def_Processes[Process_Name],Tab_Def_Processes[Process_ID],,0,)</f>
        <v>#N/A</v>
      </c>
      <c r="D59" s="142" t="s">
        <v>22</v>
      </c>
      <c r="E59" s="7" t="e">
        <f>_xlfn.XLOOKUP($D59,Tab_Def_Processes[Process_Name],Tab_Def_Processes[Process_Logic],,0,)</f>
        <v>#N/A</v>
      </c>
      <c r="F59" s="7" t="e">
        <f>_xlfn.XLOOKUP($D59,Tab_Def_Processes[Process_Name],Tab_Def_Processes[TC_Configuration],,0,)</f>
        <v>#N/A</v>
      </c>
      <c r="G59" s="7" t="e">
        <f>_xlfn.XLOOKUP($D59,Tab_Def_Processes[Process_Name],Tab_Def_Processes[Stock_Configuration],,0,)</f>
        <v>#N/A</v>
      </c>
      <c r="H59" s="7" t="e">
        <f>_xlfn.XLOOKUP(Tab_DSM[[#This Row],[Process_Name]],Tab_Def_Processes[Process_Name],Tab_Def_Processes[Outflow_count],,0,)</f>
        <v>#N/A</v>
      </c>
      <c r="I59" s="142"/>
      <c r="J59" s="7" t="e">
        <f>_xlfn.XLOOKUP($I59,Tab_DSM_Category_ID[Category ID],Tab_DSM_Category_ID[DSM Material],,0,)</f>
        <v>#N/A</v>
      </c>
      <c r="K59" s="142"/>
      <c r="L59" s="7" t="str">
        <f>Tab_DSM[[#This Row],[DSM_Parameter_type]]&amp;"_Cat_"&amp;Tab_DSM[[#This Row],[DSM_Category_Nr.]]</f>
        <v>_Cat_</v>
      </c>
      <c r="M59" s="8"/>
    </row>
    <row r="60" spans="1:13" x14ac:dyDescent="0.25">
      <c r="A60" s="146" t="b">
        <v>0</v>
      </c>
      <c r="B60" s="7">
        <f t="shared" si="0"/>
        <v>59</v>
      </c>
      <c r="C60" s="7" t="e">
        <f>_xlfn.XLOOKUP($D60,Tab_Def_Processes[Process_Name],Tab_Def_Processes[Process_ID],,0,)</f>
        <v>#N/A</v>
      </c>
      <c r="D60" s="142" t="s">
        <v>22</v>
      </c>
      <c r="E60" s="7" t="e">
        <f>_xlfn.XLOOKUP($D60,Tab_Def_Processes[Process_Name],Tab_Def_Processes[Process_Logic],,0,)</f>
        <v>#N/A</v>
      </c>
      <c r="F60" s="7" t="e">
        <f>_xlfn.XLOOKUP($D60,Tab_Def_Processes[Process_Name],Tab_Def_Processes[TC_Configuration],,0,)</f>
        <v>#N/A</v>
      </c>
      <c r="G60" s="7" t="e">
        <f>_xlfn.XLOOKUP($D60,Tab_Def_Processes[Process_Name],Tab_Def_Processes[Stock_Configuration],,0,)</f>
        <v>#N/A</v>
      </c>
      <c r="H60" s="7" t="e">
        <f>_xlfn.XLOOKUP(Tab_DSM[[#This Row],[Process_Name]],Tab_Def_Processes[Process_Name],Tab_Def_Processes[Outflow_count],,0,)</f>
        <v>#N/A</v>
      </c>
      <c r="I60" s="142"/>
      <c r="J60" s="7" t="e">
        <f>_xlfn.XLOOKUP($I60,Tab_DSM_Category_ID[Category ID],Tab_DSM_Category_ID[DSM Material],,0,)</f>
        <v>#N/A</v>
      </c>
      <c r="K60" s="142"/>
      <c r="L60" s="7" t="str">
        <f>Tab_DSM[[#This Row],[DSM_Parameter_type]]&amp;"_Cat_"&amp;Tab_DSM[[#This Row],[DSM_Category_Nr.]]</f>
        <v>_Cat_</v>
      </c>
      <c r="M60" s="8"/>
    </row>
    <row r="61" spans="1:13" x14ac:dyDescent="0.25">
      <c r="A61" s="146" t="b">
        <v>0</v>
      </c>
      <c r="B61" s="7">
        <f t="shared" si="0"/>
        <v>60</v>
      </c>
      <c r="C61" s="7" t="e">
        <f>_xlfn.XLOOKUP($D61,Tab_Def_Processes[Process_Name],Tab_Def_Processes[Process_ID],,0,)</f>
        <v>#N/A</v>
      </c>
      <c r="D61" s="142" t="s">
        <v>22</v>
      </c>
      <c r="E61" s="7" t="e">
        <f>_xlfn.XLOOKUP($D61,Tab_Def_Processes[Process_Name],Tab_Def_Processes[Process_Logic],,0,)</f>
        <v>#N/A</v>
      </c>
      <c r="F61" s="7" t="e">
        <f>_xlfn.XLOOKUP($D61,Tab_Def_Processes[Process_Name],Tab_Def_Processes[TC_Configuration],,0,)</f>
        <v>#N/A</v>
      </c>
      <c r="G61" s="7" t="e">
        <f>_xlfn.XLOOKUP($D61,Tab_Def_Processes[Process_Name],Tab_Def_Processes[Stock_Configuration],,0,)</f>
        <v>#N/A</v>
      </c>
      <c r="H61" s="7" t="e">
        <f>_xlfn.XLOOKUP(Tab_DSM[[#This Row],[Process_Name]],Tab_Def_Processes[Process_Name],Tab_Def_Processes[Outflow_count],,0,)</f>
        <v>#N/A</v>
      </c>
      <c r="I61" s="142"/>
      <c r="J61" s="7" t="e">
        <f>_xlfn.XLOOKUP($I61,Tab_DSM_Category_ID[Category ID],Tab_DSM_Category_ID[DSM Material],,0,)</f>
        <v>#N/A</v>
      </c>
      <c r="K61" s="142"/>
      <c r="L61" s="7" t="str">
        <f>Tab_DSM[[#This Row],[DSM_Parameter_type]]&amp;"_Cat_"&amp;Tab_DSM[[#This Row],[DSM_Category_Nr.]]</f>
        <v>_Cat_</v>
      </c>
      <c r="M61" s="8"/>
    </row>
    <row r="62" spans="1:13" x14ac:dyDescent="0.25">
      <c r="A62" s="146" t="b">
        <v>0</v>
      </c>
      <c r="B62" s="7">
        <f t="shared" si="0"/>
        <v>61</v>
      </c>
      <c r="C62" s="7" t="e">
        <f>_xlfn.XLOOKUP($D62,Tab_Def_Processes[Process_Name],Tab_Def_Processes[Process_ID],,0,)</f>
        <v>#N/A</v>
      </c>
      <c r="D62" s="142" t="s">
        <v>22</v>
      </c>
      <c r="E62" s="7" t="e">
        <f>_xlfn.XLOOKUP($D62,Tab_Def_Processes[Process_Name],Tab_Def_Processes[Process_Logic],,0,)</f>
        <v>#N/A</v>
      </c>
      <c r="F62" s="7" t="e">
        <f>_xlfn.XLOOKUP($D62,Tab_Def_Processes[Process_Name],Tab_Def_Processes[TC_Configuration],,0,)</f>
        <v>#N/A</v>
      </c>
      <c r="G62" s="7" t="e">
        <f>_xlfn.XLOOKUP($D62,Tab_Def_Processes[Process_Name],Tab_Def_Processes[Stock_Configuration],,0,)</f>
        <v>#N/A</v>
      </c>
      <c r="H62" s="7" t="e">
        <f>_xlfn.XLOOKUP(Tab_DSM[[#This Row],[Process_Name]],Tab_Def_Processes[Process_Name],Tab_Def_Processes[Outflow_count],,0,)</f>
        <v>#N/A</v>
      </c>
      <c r="I62" s="142"/>
      <c r="J62" s="7" t="e">
        <f>_xlfn.XLOOKUP($I62,Tab_DSM_Category_ID[Category ID],Tab_DSM_Category_ID[DSM Material],,0,)</f>
        <v>#N/A</v>
      </c>
      <c r="K62" s="142"/>
      <c r="L62" s="7" t="str">
        <f>Tab_DSM[[#This Row],[DSM_Parameter_type]]&amp;"_Cat_"&amp;Tab_DSM[[#This Row],[DSM_Category_Nr.]]</f>
        <v>_Cat_</v>
      </c>
      <c r="M62" s="8"/>
    </row>
    <row r="63" spans="1:13" x14ac:dyDescent="0.25">
      <c r="A63" s="146" t="b">
        <v>0</v>
      </c>
      <c r="B63" s="7">
        <f t="shared" si="0"/>
        <v>62</v>
      </c>
      <c r="C63" s="7" t="e">
        <f>_xlfn.XLOOKUP($D63,Tab_Def_Processes[Process_Name],Tab_Def_Processes[Process_ID],,0,)</f>
        <v>#N/A</v>
      </c>
      <c r="D63" s="142" t="s">
        <v>22</v>
      </c>
      <c r="E63" s="7" t="e">
        <f>_xlfn.XLOOKUP($D63,Tab_Def_Processes[Process_Name],Tab_Def_Processes[Process_Logic],,0,)</f>
        <v>#N/A</v>
      </c>
      <c r="F63" s="7" t="e">
        <f>_xlfn.XLOOKUP($D63,Tab_Def_Processes[Process_Name],Tab_Def_Processes[TC_Configuration],,0,)</f>
        <v>#N/A</v>
      </c>
      <c r="G63" s="7" t="e">
        <f>_xlfn.XLOOKUP($D63,Tab_Def_Processes[Process_Name],Tab_Def_Processes[Stock_Configuration],,0,)</f>
        <v>#N/A</v>
      </c>
      <c r="H63" s="7" t="e">
        <f>_xlfn.XLOOKUP(Tab_DSM[[#This Row],[Process_Name]],Tab_Def_Processes[Process_Name],Tab_Def_Processes[Outflow_count],,0,)</f>
        <v>#N/A</v>
      </c>
      <c r="I63" s="142"/>
      <c r="J63" s="7" t="e">
        <f>_xlfn.XLOOKUP($I63,Tab_DSM_Category_ID[Category ID],Tab_DSM_Category_ID[DSM Material],,0,)</f>
        <v>#N/A</v>
      </c>
      <c r="K63" s="142"/>
      <c r="L63" s="7" t="str">
        <f>Tab_DSM[[#This Row],[DSM_Parameter_type]]&amp;"_Cat_"&amp;Tab_DSM[[#This Row],[DSM_Category_Nr.]]</f>
        <v>_Cat_</v>
      </c>
      <c r="M63" s="8"/>
    </row>
    <row r="64" spans="1:13" x14ac:dyDescent="0.25">
      <c r="A64" s="146" t="b">
        <v>0</v>
      </c>
      <c r="B64" s="7">
        <f t="shared" si="0"/>
        <v>63</v>
      </c>
      <c r="C64" s="7" t="e">
        <f>_xlfn.XLOOKUP($D64,Tab_Def_Processes[Process_Name],Tab_Def_Processes[Process_ID],,0,)</f>
        <v>#N/A</v>
      </c>
      <c r="D64" s="142" t="s">
        <v>22</v>
      </c>
      <c r="E64" s="7" t="e">
        <f>_xlfn.XLOOKUP($D64,Tab_Def_Processes[Process_Name],Tab_Def_Processes[Process_Logic],,0,)</f>
        <v>#N/A</v>
      </c>
      <c r="F64" s="7" t="e">
        <f>_xlfn.XLOOKUP($D64,Tab_Def_Processes[Process_Name],Tab_Def_Processes[TC_Configuration],,0,)</f>
        <v>#N/A</v>
      </c>
      <c r="G64" s="7" t="e">
        <f>_xlfn.XLOOKUP($D64,Tab_Def_Processes[Process_Name],Tab_Def_Processes[Stock_Configuration],,0,)</f>
        <v>#N/A</v>
      </c>
      <c r="H64" s="7" t="e">
        <f>_xlfn.XLOOKUP(Tab_DSM[[#This Row],[Process_Name]],Tab_Def_Processes[Process_Name],Tab_Def_Processes[Outflow_count],,0,)</f>
        <v>#N/A</v>
      </c>
      <c r="I64" s="142"/>
      <c r="J64" s="7" t="e">
        <f>_xlfn.XLOOKUP($I64,Tab_DSM_Category_ID[Category ID],Tab_DSM_Category_ID[DSM Material],,0,)</f>
        <v>#N/A</v>
      </c>
      <c r="K64" s="142"/>
      <c r="L64" s="7" t="str">
        <f>Tab_DSM[[#This Row],[DSM_Parameter_type]]&amp;"_Cat_"&amp;Tab_DSM[[#This Row],[DSM_Category_Nr.]]</f>
        <v>_Cat_</v>
      </c>
      <c r="M64" s="8"/>
    </row>
    <row r="65" spans="1:13" x14ac:dyDescent="0.25">
      <c r="A65" s="146" t="b">
        <v>0</v>
      </c>
      <c r="B65" s="7">
        <f t="shared" si="0"/>
        <v>64</v>
      </c>
      <c r="C65" s="7" t="e">
        <f>_xlfn.XLOOKUP($D65,Tab_Def_Processes[Process_Name],Tab_Def_Processes[Process_ID],,0,)</f>
        <v>#N/A</v>
      </c>
      <c r="D65" s="142" t="s">
        <v>22</v>
      </c>
      <c r="E65" s="7" t="e">
        <f>_xlfn.XLOOKUP($D65,Tab_Def_Processes[Process_Name],Tab_Def_Processes[Process_Logic],,0,)</f>
        <v>#N/A</v>
      </c>
      <c r="F65" s="7" t="e">
        <f>_xlfn.XLOOKUP($D65,Tab_Def_Processes[Process_Name],Tab_Def_Processes[TC_Configuration],,0,)</f>
        <v>#N/A</v>
      </c>
      <c r="G65" s="7" t="e">
        <f>_xlfn.XLOOKUP($D65,Tab_Def_Processes[Process_Name],Tab_Def_Processes[Stock_Configuration],,0,)</f>
        <v>#N/A</v>
      </c>
      <c r="H65" s="7" t="e">
        <f>_xlfn.XLOOKUP(Tab_DSM[[#This Row],[Process_Name]],Tab_Def_Processes[Process_Name],Tab_Def_Processes[Outflow_count],,0,)</f>
        <v>#N/A</v>
      </c>
      <c r="I65" s="142"/>
      <c r="J65" s="7" t="e">
        <f>_xlfn.XLOOKUP($I65,Tab_DSM_Category_ID[Category ID],Tab_DSM_Category_ID[DSM Material],,0,)</f>
        <v>#N/A</v>
      </c>
      <c r="K65" s="142"/>
      <c r="L65" s="7" t="str">
        <f>Tab_DSM[[#This Row],[DSM_Parameter_type]]&amp;"_Cat_"&amp;Tab_DSM[[#This Row],[DSM_Category_Nr.]]</f>
        <v>_Cat_</v>
      </c>
      <c r="M65" s="8"/>
    </row>
    <row r="66" spans="1:13" x14ac:dyDescent="0.25">
      <c r="A66" s="146" t="b">
        <v>0</v>
      </c>
      <c r="B66" s="7">
        <f t="shared" si="0"/>
        <v>65</v>
      </c>
      <c r="C66" s="7" t="e">
        <f>_xlfn.XLOOKUP($D66,Tab_Def_Processes[Process_Name],Tab_Def_Processes[Process_ID],,0,)</f>
        <v>#N/A</v>
      </c>
      <c r="D66" s="142" t="s">
        <v>22</v>
      </c>
      <c r="E66" s="7" t="e">
        <f>_xlfn.XLOOKUP($D66,Tab_Def_Processes[Process_Name],Tab_Def_Processes[Process_Logic],,0,)</f>
        <v>#N/A</v>
      </c>
      <c r="F66" s="7" t="e">
        <f>_xlfn.XLOOKUP($D66,Tab_Def_Processes[Process_Name],Tab_Def_Processes[TC_Configuration],,0,)</f>
        <v>#N/A</v>
      </c>
      <c r="G66" s="7" t="e">
        <f>_xlfn.XLOOKUP($D66,Tab_Def_Processes[Process_Name],Tab_Def_Processes[Stock_Configuration],,0,)</f>
        <v>#N/A</v>
      </c>
      <c r="H66" s="7" t="e">
        <f>_xlfn.XLOOKUP(Tab_DSM[[#This Row],[Process_Name]],Tab_Def_Processes[Process_Name],Tab_Def_Processes[Outflow_count],,0,)</f>
        <v>#N/A</v>
      </c>
      <c r="I66" s="142"/>
      <c r="J66" s="7" t="e">
        <f>_xlfn.XLOOKUP($I66,Tab_DSM_Category_ID[Category ID],Tab_DSM_Category_ID[DSM Material],,0,)</f>
        <v>#N/A</v>
      </c>
      <c r="K66" s="142"/>
      <c r="L66" s="7" t="str">
        <f>Tab_DSM[[#This Row],[DSM_Parameter_type]]&amp;"_Cat_"&amp;Tab_DSM[[#This Row],[DSM_Category_Nr.]]</f>
        <v>_Cat_</v>
      </c>
      <c r="M66" s="8"/>
    </row>
    <row r="67" spans="1:13" x14ac:dyDescent="0.25">
      <c r="A67" s="146" t="b">
        <v>0</v>
      </c>
      <c r="B67" s="7">
        <f t="shared" si="0"/>
        <v>66</v>
      </c>
      <c r="C67" s="7" t="e">
        <f>_xlfn.XLOOKUP($D67,Tab_Def_Processes[Process_Name],Tab_Def_Processes[Process_ID],,0,)</f>
        <v>#N/A</v>
      </c>
      <c r="D67" s="142" t="s">
        <v>22</v>
      </c>
      <c r="E67" s="7" t="e">
        <f>_xlfn.XLOOKUP($D67,Tab_Def_Processes[Process_Name],Tab_Def_Processes[Process_Logic],,0,)</f>
        <v>#N/A</v>
      </c>
      <c r="F67" s="7" t="e">
        <f>_xlfn.XLOOKUP($D67,Tab_Def_Processes[Process_Name],Tab_Def_Processes[TC_Configuration],,0,)</f>
        <v>#N/A</v>
      </c>
      <c r="G67" s="7" t="e">
        <f>_xlfn.XLOOKUP($D67,Tab_Def_Processes[Process_Name],Tab_Def_Processes[Stock_Configuration],,0,)</f>
        <v>#N/A</v>
      </c>
      <c r="H67" s="7" t="e">
        <f>_xlfn.XLOOKUP(Tab_DSM[[#This Row],[Process_Name]],Tab_Def_Processes[Process_Name],Tab_Def_Processes[Outflow_count],,0,)</f>
        <v>#N/A</v>
      </c>
      <c r="I67" s="142"/>
      <c r="J67" s="7" t="e">
        <f>_xlfn.XLOOKUP($I67,Tab_DSM_Category_ID[Category ID],Tab_DSM_Category_ID[DSM Material],,0,)</f>
        <v>#N/A</v>
      </c>
      <c r="K67" s="142"/>
      <c r="L67" s="7" t="str">
        <f>Tab_DSM[[#This Row],[DSM_Parameter_type]]&amp;"_Cat_"&amp;Tab_DSM[[#This Row],[DSM_Category_Nr.]]</f>
        <v>_Cat_</v>
      </c>
      <c r="M67" s="8"/>
    </row>
    <row r="68" spans="1:13" x14ac:dyDescent="0.25">
      <c r="A68" s="146" t="b">
        <v>0</v>
      </c>
      <c r="B68" s="7">
        <f t="shared" si="0"/>
        <v>67</v>
      </c>
      <c r="C68" s="7" t="e">
        <f>_xlfn.XLOOKUP($D68,Tab_Def_Processes[Process_Name],Tab_Def_Processes[Process_ID],,0,)</f>
        <v>#N/A</v>
      </c>
      <c r="D68" s="142" t="s">
        <v>22</v>
      </c>
      <c r="E68" s="7" t="e">
        <f>_xlfn.XLOOKUP($D68,Tab_Def_Processes[Process_Name],Tab_Def_Processes[Process_Logic],,0,)</f>
        <v>#N/A</v>
      </c>
      <c r="F68" s="7" t="e">
        <f>_xlfn.XLOOKUP($D68,Tab_Def_Processes[Process_Name],Tab_Def_Processes[TC_Configuration],,0,)</f>
        <v>#N/A</v>
      </c>
      <c r="G68" s="7" t="e">
        <f>_xlfn.XLOOKUP($D68,Tab_Def_Processes[Process_Name],Tab_Def_Processes[Stock_Configuration],,0,)</f>
        <v>#N/A</v>
      </c>
      <c r="H68" s="7" t="e">
        <f>_xlfn.XLOOKUP(Tab_DSM[[#This Row],[Process_Name]],Tab_Def_Processes[Process_Name],Tab_Def_Processes[Outflow_count],,0,)</f>
        <v>#N/A</v>
      </c>
      <c r="I68" s="142"/>
      <c r="J68" s="7" t="e">
        <f>_xlfn.XLOOKUP($I68,Tab_DSM_Category_ID[Category ID],Tab_DSM_Category_ID[DSM Material],,0,)</f>
        <v>#N/A</v>
      </c>
      <c r="K68" s="142"/>
      <c r="L68" s="7" t="str">
        <f>Tab_DSM[[#This Row],[DSM_Parameter_type]]&amp;"_Cat_"&amp;Tab_DSM[[#This Row],[DSM_Category_Nr.]]</f>
        <v>_Cat_</v>
      </c>
      <c r="M68" s="8"/>
    </row>
    <row r="69" spans="1:13" x14ac:dyDescent="0.25">
      <c r="A69" s="146" t="b">
        <v>0</v>
      </c>
      <c r="B69" s="7">
        <f t="shared" si="0"/>
        <v>68</v>
      </c>
      <c r="C69" s="7" t="e">
        <f>_xlfn.XLOOKUP($D69,Tab_Def_Processes[Process_Name],Tab_Def_Processes[Process_ID],,0,)</f>
        <v>#N/A</v>
      </c>
      <c r="D69" s="142" t="s">
        <v>22</v>
      </c>
      <c r="E69" s="7" t="e">
        <f>_xlfn.XLOOKUP($D69,Tab_Def_Processes[Process_Name],Tab_Def_Processes[Process_Logic],,0,)</f>
        <v>#N/A</v>
      </c>
      <c r="F69" s="7" t="e">
        <f>_xlfn.XLOOKUP($D69,Tab_Def_Processes[Process_Name],Tab_Def_Processes[TC_Configuration],,0,)</f>
        <v>#N/A</v>
      </c>
      <c r="G69" s="7" t="e">
        <f>_xlfn.XLOOKUP($D69,Tab_Def_Processes[Process_Name],Tab_Def_Processes[Stock_Configuration],,0,)</f>
        <v>#N/A</v>
      </c>
      <c r="H69" s="7" t="e">
        <f>_xlfn.XLOOKUP(Tab_DSM[[#This Row],[Process_Name]],Tab_Def_Processes[Process_Name],Tab_Def_Processes[Outflow_count],,0,)</f>
        <v>#N/A</v>
      </c>
      <c r="I69" s="142"/>
      <c r="J69" s="7" t="e">
        <f>_xlfn.XLOOKUP($I69,Tab_DSM_Category_ID[Category ID],Tab_DSM_Category_ID[DSM Material],,0,)</f>
        <v>#N/A</v>
      </c>
      <c r="K69" s="142"/>
      <c r="L69" s="7" t="str">
        <f>Tab_DSM[[#This Row],[DSM_Parameter_type]]&amp;"_Cat_"&amp;Tab_DSM[[#This Row],[DSM_Category_Nr.]]</f>
        <v>_Cat_</v>
      </c>
      <c r="M69" s="8"/>
    </row>
    <row r="70" spans="1:13" x14ac:dyDescent="0.25">
      <c r="A70" s="146" t="b">
        <v>0</v>
      </c>
      <c r="B70" s="7">
        <f t="shared" si="0"/>
        <v>69</v>
      </c>
      <c r="C70" s="7" t="e">
        <f>_xlfn.XLOOKUP($D70,Tab_Def_Processes[Process_Name],Tab_Def_Processes[Process_ID],,0,)</f>
        <v>#N/A</v>
      </c>
      <c r="D70" s="142" t="s">
        <v>22</v>
      </c>
      <c r="E70" s="7" t="e">
        <f>_xlfn.XLOOKUP($D70,Tab_Def_Processes[Process_Name],Tab_Def_Processes[Process_Logic],,0,)</f>
        <v>#N/A</v>
      </c>
      <c r="F70" s="7" t="e">
        <f>_xlfn.XLOOKUP($D70,Tab_Def_Processes[Process_Name],Tab_Def_Processes[TC_Configuration],,0,)</f>
        <v>#N/A</v>
      </c>
      <c r="G70" s="7" t="e">
        <f>_xlfn.XLOOKUP($D70,Tab_Def_Processes[Process_Name],Tab_Def_Processes[Stock_Configuration],,0,)</f>
        <v>#N/A</v>
      </c>
      <c r="H70" s="7" t="e">
        <f>_xlfn.XLOOKUP(Tab_DSM[[#This Row],[Process_Name]],Tab_Def_Processes[Process_Name],Tab_Def_Processes[Outflow_count],,0,)</f>
        <v>#N/A</v>
      </c>
      <c r="I70" s="142"/>
      <c r="J70" s="7" t="e">
        <f>_xlfn.XLOOKUP($I70,Tab_DSM_Category_ID[Category ID],Tab_DSM_Category_ID[DSM Material],,0,)</f>
        <v>#N/A</v>
      </c>
      <c r="K70" s="142"/>
      <c r="L70" s="7" t="str">
        <f>Tab_DSM[[#This Row],[DSM_Parameter_type]]&amp;"_Cat_"&amp;Tab_DSM[[#This Row],[DSM_Category_Nr.]]</f>
        <v>_Cat_</v>
      </c>
      <c r="M70" s="8"/>
    </row>
    <row r="71" spans="1:13" x14ac:dyDescent="0.25">
      <c r="A71" s="146" t="b">
        <v>0</v>
      </c>
      <c r="B71" s="7">
        <f t="shared" si="0"/>
        <v>70</v>
      </c>
      <c r="C71" s="7" t="e">
        <f>_xlfn.XLOOKUP($D71,Tab_Def_Processes[Process_Name],Tab_Def_Processes[Process_ID],,0,)</f>
        <v>#N/A</v>
      </c>
      <c r="D71" s="142" t="s">
        <v>22</v>
      </c>
      <c r="E71" s="7" t="e">
        <f>_xlfn.XLOOKUP($D71,Tab_Def_Processes[Process_Name],Tab_Def_Processes[Process_Logic],,0,)</f>
        <v>#N/A</v>
      </c>
      <c r="F71" s="7" t="e">
        <f>_xlfn.XLOOKUP($D71,Tab_Def_Processes[Process_Name],Tab_Def_Processes[TC_Configuration],,0,)</f>
        <v>#N/A</v>
      </c>
      <c r="G71" s="7" t="e">
        <f>_xlfn.XLOOKUP($D71,Tab_Def_Processes[Process_Name],Tab_Def_Processes[Stock_Configuration],,0,)</f>
        <v>#N/A</v>
      </c>
      <c r="H71" s="7" t="e">
        <f>_xlfn.XLOOKUP(Tab_DSM[[#This Row],[Process_Name]],Tab_Def_Processes[Process_Name],Tab_Def_Processes[Outflow_count],,0,)</f>
        <v>#N/A</v>
      </c>
      <c r="I71" s="142"/>
      <c r="J71" s="7" t="e">
        <f>_xlfn.XLOOKUP($I71,Tab_DSM_Category_ID[Category ID],Tab_DSM_Category_ID[DSM Material],,0,)</f>
        <v>#N/A</v>
      </c>
      <c r="K71" s="142"/>
      <c r="L71" s="7" t="str">
        <f>Tab_DSM[[#This Row],[DSM_Parameter_type]]&amp;"_Cat_"&amp;Tab_DSM[[#This Row],[DSM_Category_Nr.]]</f>
        <v>_Cat_</v>
      </c>
      <c r="M71" s="8"/>
    </row>
    <row r="72" spans="1:13" x14ac:dyDescent="0.25">
      <c r="A72" s="146" t="b">
        <v>0</v>
      </c>
      <c r="B72" s="7">
        <f t="shared" si="0"/>
        <v>71</v>
      </c>
      <c r="C72" s="7" t="e">
        <f>_xlfn.XLOOKUP($D72,Tab_Def_Processes[Process_Name],Tab_Def_Processes[Process_ID],,0,)</f>
        <v>#N/A</v>
      </c>
      <c r="D72" s="142" t="s">
        <v>22</v>
      </c>
      <c r="E72" s="7" t="e">
        <f>_xlfn.XLOOKUP($D72,Tab_Def_Processes[Process_Name],Tab_Def_Processes[Process_Logic],,0,)</f>
        <v>#N/A</v>
      </c>
      <c r="F72" s="7" t="e">
        <f>_xlfn.XLOOKUP($D72,Tab_Def_Processes[Process_Name],Tab_Def_Processes[TC_Configuration],,0,)</f>
        <v>#N/A</v>
      </c>
      <c r="G72" s="7" t="e">
        <f>_xlfn.XLOOKUP($D72,Tab_Def_Processes[Process_Name],Tab_Def_Processes[Stock_Configuration],,0,)</f>
        <v>#N/A</v>
      </c>
      <c r="H72" s="7" t="e">
        <f>_xlfn.XLOOKUP(Tab_DSM[[#This Row],[Process_Name]],Tab_Def_Processes[Process_Name],Tab_Def_Processes[Outflow_count],,0,)</f>
        <v>#N/A</v>
      </c>
      <c r="I72" s="142"/>
      <c r="J72" s="7" t="e">
        <f>_xlfn.XLOOKUP($I72,Tab_DSM_Category_ID[Category ID],Tab_DSM_Category_ID[DSM Material],,0,)</f>
        <v>#N/A</v>
      </c>
      <c r="K72" s="142"/>
      <c r="L72" s="7" t="str">
        <f>Tab_DSM[[#This Row],[DSM_Parameter_type]]&amp;"_Cat_"&amp;Tab_DSM[[#This Row],[DSM_Category_Nr.]]</f>
        <v>_Cat_</v>
      </c>
      <c r="M72" s="8"/>
    </row>
    <row r="73" spans="1:13" x14ac:dyDescent="0.25">
      <c r="A73" s="146" t="b">
        <v>0</v>
      </c>
      <c r="B73" s="7">
        <f t="shared" si="0"/>
        <v>72</v>
      </c>
      <c r="C73" s="7" t="e">
        <f>_xlfn.XLOOKUP($D73,Tab_Def_Processes[Process_Name],Tab_Def_Processes[Process_ID],,0,)</f>
        <v>#N/A</v>
      </c>
      <c r="D73" s="142" t="s">
        <v>22</v>
      </c>
      <c r="E73" s="7" t="e">
        <f>_xlfn.XLOOKUP($D73,Tab_Def_Processes[Process_Name],Tab_Def_Processes[Process_Logic],,0,)</f>
        <v>#N/A</v>
      </c>
      <c r="F73" s="7" t="e">
        <f>_xlfn.XLOOKUP($D73,Tab_Def_Processes[Process_Name],Tab_Def_Processes[TC_Configuration],,0,)</f>
        <v>#N/A</v>
      </c>
      <c r="G73" s="7" t="e">
        <f>_xlfn.XLOOKUP($D73,Tab_Def_Processes[Process_Name],Tab_Def_Processes[Stock_Configuration],,0,)</f>
        <v>#N/A</v>
      </c>
      <c r="H73" s="7" t="e">
        <f>_xlfn.XLOOKUP(Tab_DSM[[#This Row],[Process_Name]],Tab_Def_Processes[Process_Name],Tab_Def_Processes[Outflow_count],,0,)</f>
        <v>#N/A</v>
      </c>
      <c r="I73" s="142"/>
      <c r="J73" s="7" t="e">
        <f>_xlfn.XLOOKUP($I73,Tab_DSM_Category_ID[Category ID],Tab_DSM_Category_ID[DSM Material],,0,)</f>
        <v>#N/A</v>
      </c>
      <c r="K73" s="142"/>
      <c r="L73" s="7" t="str">
        <f>Tab_DSM[[#This Row],[DSM_Parameter_type]]&amp;"_Cat_"&amp;Tab_DSM[[#This Row],[DSM_Category_Nr.]]</f>
        <v>_Cat_</v>
      </c>
      <c r="M73" s="8"/>
    </row>
    <row r="74" spans="1:13" x14ac:dyDescent="0.25">
      <c r="A74" s="146" t="b">
        <v>0</v>
      </c>
      <c r="B74" s="7">
        <f t="shared" si="0"/>
        <v>73</v>
      </c>
      <c r="C74" s="7" t="e">
        <f>_xlfn.XLOOKUP($D74,Tab_Def_Processes[Process_Name],Tab_Def_Processes[Process_ID],,0,)</f>
        <v>#N/A</v>
      </c>
      <c r="D74" s="142" t="s">
        <v>22</v>
      </c>
      <c r="E74" s="7" t="e">
        <f>_xlfn.XLOOKUP($D74,Tab_Def_Processes[Process_Name],Tab_Def_Processes[Process_Logic],,0,)</f>
        <v>#N/A</v>
      </c>
      <c r="F74" s="7" t="e">
        <f>_xlfn.XLOOKUP($D74,Tab_Def_Processes[Process_Name],Tab_Def_Processes[TC_Configuration],,0,)</f>
        <v>#N/A</v>
      </c>
      <c r="G74" s="7" t="e">
        <f>_xlfn.XLOOKUP($D74,Tab_Def_Processes[Process_Name],Tab_Def_Processes[Stock_Configuration],,0,)</f>
        <v>#N/A</v>
      </c>
      <c r="H74" s="7" t="e">
        <f>_xlfn.XLOOKUP(Tab_DSM[[#This Row],[Process_Name]],Tab_Def_Processes[Process_Name],Tab_Def_Processes[Outflow_count],,0,)</f>
        <v>#N/A</v>
      </c>
      <c r="I74" s="142"/>
      <c r="J74" s="7" t="e">
        <f>_xlfn.XLOOKUP($I74,Tab_DSM_Category_ID[Category ID],Tab_DSM_Category_ID[DSM Material],,0,)</f>
        <v>#N/A</v>
      </c>
      <c r="K74" s="142"/>
      <c r="L74" s="7" t="str">
        <f>Tab_DSM[[#This Row],[DSM_Parameter_type]]&amp;"_Cat_"&amp;Tab_DSM[[#This Row],[DSM_Category_Nr.]]</f>
        <v>_Cat_</v>
      </c>
      <c r="M74" s="8"/>
    </row>
    <row r="75" spans="1:13" x14ac:dyDescent="0.25">
      <c r="A75" s="146" t="b">
        <v>0</v>
      </c>
      <c r="B75" s="7">
        <f t="shared" si="0"/>
        <v>74</v>
      </c>
      <c r="C75" s="7" t="e">
        <f>_xlfn.XLOOKUP($D75,Tab_Def_Processes[Process_Name],Tab_Def_Processes[Process_ID],,0,)</f>
        <v>#N/A</v>
      </c>
      <c r="D75" s="142" t="s">
        <v>22</v>
      </c>
      <c r="E75" s="7" t="e">
        <f>_xlfn.XLOOKUP($D75,Tab_Def_Processes[Process_Name],Tab_Def_Processes[Process_Logic],,0,)</f>
        <v>#N/A</v>
      </c>
      <c r="F75" s="7" t="e">
        <f>_xlfn.XLOOKUP($D75,Tab_Def_Processes[Process_Name],Tab_Def_Processes[TC_Configuration],,0,)</f>
        <v>#N/A</v>
      </c>
      <c r="G75" s="7" t="e">
        <f>_xlfn.XLOOKUP($D75,Tab_Def_Processes[Process_Name],Tab_Def_Processes[Stock_Configuration],,0,)</f>
        <v>#N/A</v>
      </c>
      <c r="H75" s="7" t="e">
        <f>_xlfn.XLOOKUP(Tab_DSM[[#This Row],[Process_Name]],Tab_Def_Processes[Process_Name],Tab_Def_Processes[Outflow_count],,0,)</f>
        <v>#N/A</v>
      </c>
      <c r="I75" s="142"/>
      <c r="J75" s="7" t="e">
        <f>_xlfn.XLOOKUP($I75,Tab_DSM_Category_ID[Category ID],Tab_DSM_Category_ID[DSM Material],,0,)</f>
        <v>#N/A</v>
      </c>
      <c r="K75" s="142"/>
      <c r="L75" s="7" t="str">
        <f>Tab_DSM[[#This Row],[DSM_Parameter_type]]&amp;"_Cat_"&amp;Tab_DSM[[#This Row],[DSM_Category_Nr.]]</f>
        <v>_Cat_</v>
      </c>
      <c r="M75" s="8"/>
    </row>
    <row r="76" spans="1:13" x14ac:dyDescent="0.25">
      <c r="A76" s="146" t="b">
        <v>0</v>
      </c>
      <c r="B76" s="7">
        <f t="shared" si="0"/>
        <v>75</v>
      </c>
      <c r="C76" s="7" t="e">
        <f>_xlfn.XLOOKUP($D76,Tab_Def_Processes[Process_Name],Tab_Def_Processes[Process_ID],,0,)</f>
        <v>#N/A</v>
      </c>
      <c r="D76" s="142" t="s">
        <v>22</v>
      </c>
      <c r="E76" s="7" t="e">
        <f>_xlfn.XLOOKUP($D76,Tab_Def_Processes[Process_Name],Tab_Def_Processes[Process_Logic],,0,)</f>
        <v>#N/A</v>
      </c>
      <c r="F76" s="7" t="e">
        <f>_xlfn.XLOOKUP($D76,Tab_Def_Processes[Process_Name],Tab_Def_Processes[TC_Configuration],,0,)</f>
        <v>#N/A</v>
      </c>
      <c r="G76" s="7" t="e">
        <f>_xlfn.XLOOKUP($D76,Tab_Def_Processes[Process_Name],Tab_Def_Processes[Stock_Configuration],,0,)</f>
        <v>#N/A</v>
      </c>
      <c r="H76" s="7" t="e">
        <f>_xlfn.XLOOKUP(Tab_DSM[[#This Row],[Process_Name]],Tab_Def_Processes[Process_Name],Tab_Def_Processes[Outflow_count],,0,)</f>
        <v>#N/A</v>
      </c>
      <c r="I76" s="142"/>
      <c r="J76" s="7" t="e">
        <f>_xlfn.XLOOKUP($I76,Tab_DSM_Category_ID[Category ID],Tab_DSM_Category_ID[DSM Material],,0,)</f>
        <v>#N/A</v>
      </c>
      <c r="K76" s="142"/>
      <c r="L76" s="7" t="str">
        <f>Tab_DSM[[#This Row],[DSM_Parameter_type]]&amp;"_Cat_"&amp;Tab_DSM[[#This Row],[DSM_Category_Nr.]]</f>
        <v>_Cat_</v>
      </c>
      <c r="M76" s="8"/>
    </row>
    <row r="77" spans="1:13" x14ac:dyDescent="0.25">
      <c r="A77" s="146" t="b">
        <v>0</v>
      </c>
      <c r="B77" s="7">
        <f t="shared" si="0"/>
        <v>76</v>
      </c>
      <c r="C77" s="7" t="e">
        <f>_xlfn.XLOOKUP($D77,Tab_Def_Processes[Process_Name],Tab_Def_Processes[Process_ID],,0,)</f>
        <v>#N/A</v>
      </c>
      <c r="D77" s="142" t="s">
        <v>22</v>
      </c>
      <c r="E77" s="7" t="e">
        <f>_xlfn.XLOOKUP($D77,Tab_Def_Processes[Process_Name],Tab_Def_Processes[Process_Logic],,0,)</f>
        <v>#N/A</v>
      </c>
      <c r="F77" s="7" t="e">
        <f>_xlfn.XLOOKUP($D77,Tab_Def_Processes[Process_Name],Tab_Def_Processes[TC_Configuration],,0,)</f>
        <v>#N/A</v>
      </c>
      <c r="G77" s="7" t="e">
        <f>_xlfn.XLOOKUP($D77,Tab_Def_Processes[Process_Name],Tab_Def_Processes[Stock_Configuration],,0,)</f>
        <v>#N/A</v>
      </c>
      <c r="H77" s="7" t="e">
        <f>_xlfn.XLOOKUP(Tab_DSM[[#This Row],[Process_Name]],Tab_Def_Processes[Process_Name],Tab_Def_Processes[Outflow_count],,0,)</f>
        <v>#N/A</v>
      </c>
      <c r="I77" s="142"/>
      <c r="J77" s="7" t="e">
        <f>_xlfn.XLOOKUP($I77,Tab_DSM_Category_ID[Category ID],Tab_DSM_Category_ID[DSM Material],,0,)</f>
        <v>#N/A</v>
      </c>
      <c r="K77" s="142"/>
      <c r="L77" s="7" t="str">
        <f>Tab_DSM[[#This Row],[DSM_Parameter_type]]&amp;"_Cat_"&amp;Tab_DSM[[#This Row],[DSM_Category_Nr.]]</f>
        <v>_Cat_</v>
      </c>
      <c r="M77" s="8"/>
    </row>
    <row r="78" spans="1:13" x14ac:dyDescent="0.25">
      <c r="A78" s="146" t="b">
        <v>0</v>
      </c>
      <c r="B78" s="7">
        <f t="shared" si="0"/>
        <v>77</v>
      </c>
      <c r="C78" s="7" t="e">
        <f>_xlfn.XLOOKUP($D78,Tab_Def_Processes[Process_Name],Tab_Def_Processes[Process_ID],,0,)</f>
        <v>#N/A</v>
      </c>
      <c r="D78" s="142" t="s">
        <v>22</v>
      </c>
      <c r="E78" s="7" t="e">
        <f>_xlfn.XLOOKUP($D78,Tab_Def_Processes[Process_Name],Tab_Def_Processes[Process_Logic],,0,)</f>
        <v>#N/A</v>
      </c>
      <c r="F78" s="7" t="e">
        <f>_xlfn.XLOOKUP($D78,Tab_Def_Processes[Process_Name],Tab_Def_Processes[TC_Configuration],,0,)</f>
        <v>#N/A</v>
      </c>
      <c r="G78" s="7" t="e">
        <f>_xlfn.XLOOKUP($D78,Tab_Def_Processes[Process_Name],Tab_Def_Processes[Stock_Configuration],,0,)</f>
        <v>#N/A</v>
      </c>
      <c r="H78" s="7" t="e">
        <f>_xlfn.XLOOKUP(Tab_DSM[[#This Row],[Process_Name]],Tab_Def_Processes[Process_Name],Tab_Def_Processes[Outflow_count],,0,)</f>
        <v>#N/A</v>
      </c>
      <c r="I78" s="142"/>
      <c r="J78" s="7" t="e">
        <f>_xlfn.XLOOKUP($I78,Tab_DSM_Category_ID[Category ID],Tab_DSM_Category_ID[DSM Material],,0,)</f>
        <v>#N/A</v>
      </c>
      <c r="K78" s="142"/>
      <c r="L78" s="7" t="str">
        <f>Tab_DSM[[#This Row],[DSM_Parameter_type]]&amp;"_Cat_"&amp;Tab_DSM[[#This Row],[DSM_Category_Nr.]]</f>
        <v>_Cat_</v>
      </c>
      <c r="M78" s="8"/>
    </row>
    <row r="79" spans="1:13" x14ac:dyDescent="0.25">
      <c r="A79" s="146" t="b">
        <v>0</v>
      </c>
      <c r="B79" s="7">
        <f t="shared" si="0"/>
        <v>78</v>
      </c>
      <c r="C79" s="7" t="e">
        <f>_xlfn.XLOOKUP($D79,Tab_Def_Processes[Process_Name],Tab_Def_Processes[Process_ID],,0,)</f>
        <v>#N/A</v>
      </c>
      <c r="D79" s="142" t="s">
        <v>22</v>
      </c>
      <c r="E79" s="7" t="e">
        <f>_xlfn.XLOOKUP($D79,Tab_Def_Processes[Process_Name],Tab_Def_Processes[Process_Logic],,0,)</f>
        <v>#N/A</v>
      </c>
      <c r="F79" s="7" t="e">
        <f>_xlfn.XLOOKUP($D79,Tab_Def_Processes[Process_Name],Tab_Def_Processes[TC_Configuration],,0,)</f>
        <v>#N/A</v>
      </c>
      <c r="G79" s="7" t="e">
        <f>_xlfn.XLOOKUP($D79,Tab_Def_Processes[Process_Name],Tab_Def_Processes[Stock_Configuration],,0,)</f>
        <v>#N/A</v>
      </c>
      <c r="H79" s="7" t="e">
        <f>_xlfn.XLOOKUP(Tab_DSM[[#This Row],[Process_Name]],Tab_Def_Processes[Process_Name],Tab_Def_Processes[Outflow_count],,0,)</f>
        <v>#N/A</v>
      </c>
      <c r="I79" s="142"/>
      <c r="J79" s="7" t="e">
        <f>_xlfn.XLOOKUP($I79,Tab_DSM_Category_ID[Category ID],Tab_DSM_Category_ID[DSM Material],,0,)</f>
        <v>#N/A</v>
      </c>
      <c r="K79" s="142"/>
      <c r="L79" s="7" t="str">
        <f>Tab_DSM[[#This Row],[DSM_Parameter_type]]&amp;"_Cat_"&amp;Tab_DSM[[#This Row],[DSM_Category_Nr.]]</f>
        <v>_Cat_</v>
      </c>
      <c r="M79" s="8"/>
    </row>
    <row r="80" spans="1:13" x14ac:dyDescent="0.25">
      <c r="A80" s="146" t="b">
        <v>0</v>
      </c>
      <c r="B80" s="7">
        <f t="shared" si="0"/>
        <v>79</v>
      </c>
      <c r="C80" s="7" t="e">
        <f>_xlfn.XLOOKUP($D80,Tab_Def_Processes[Process_Name],Tab_Def_Processes[Process_ID],,0,)</f>
        <v>#N/A</v>
      </c>
      <c r="D80" s="142" t="s">
        <v>22</v>
      </c>
      <c r="E80" s="7" t="e">
        <f>_xlfn.XLOOKUP($D80,Tab_Def_Processes[Process_Name],Tab_Def_Processes[Process_Logic],,0,)</f>
        <v>#N/A</v>
      </c>
      <c r="F80" s="7" t="e">
        <f>_xlfn.XLOOKUP($D80,Tab_Def_Processes[Process_Name],Tab_Def_Processes[TC_Configuration],,0,)</f>
        <v>#N/A</v>
      </c>
      <c r="G80" s="7" t="e">
        <f>_xlfn.XLOOKUP($D80,Tab_Def_Processes[Process_Name],Tab_Def_Processes[Stock_Configuration],,0,)</f>
        <v>#N/A</v>
      </c>
      <c r="H80" s="7" t="e">
        <f>_xlfn.XLOOKUP(Tab_DSM[[#This Row],[Process_Name]],Tab_Def_Processes[Process_Name],Tab_Def_Processes[Outflow_count],,0,)</f>
        <v>#N/A</v>
      </c>
      <c r="I80" s="142"/>
      <c r="J80" s="7" t="e">
        <f>_xlfn.XLOOKUP($I80,Tab_DSM_Category_ID[Category ID],Tab_DSM_Category_ID[DSM Material],,0,)</f>
        <v>#N/A</v>
      </c>
      <c r="K80" s="142"/>
      <c r="L80" s="7" t="str">
        <f>Tab_DSM[[#This Row],[DSM_Parameter_type]]&amp;"_Cat_"&amp;Tab_DSM[[#This Row],[DSM_Category_Nr.]]</f>
        <v>_Cat_</v>
      </c>
      <c r="M80" s="8"/>
    </row>
    <row r="81" spans="1:13" x14ac:dyDescent="0.25">
      <c r="A81" s="146" t="b">
        <v>0</v>
      </c>
      <c r="B81" s="7">
        <f t="shared" si="0"/>
        <v>80</v>
      </c>
      <c r="C81" s="7" t="e">
        <f>_xlfn.XLOOKUP($D81,Tab_Def_Processes[Process_Name],Tab_Def_Processes[Process_ID],,0,)</f>
        <v>#N/A</v>
      </c>
      <c r="D81" s="142" t="s">
        <v>22</v>
      </c>
      <c r="E81" s="7" t="e">
        <f>_xlfn.XLOOKUP($D81,Tab_Def_Processes[Process_Name],Tab_Def_Processes[Process_Logic],,0,)</f>
        <v>#N/A</v>
      </c>
      <c r="F81" s="7" t="e">
        <f>_xlfn.XLOOKUP($D81,Tab_Def_Processes[Process_Name],Tab_Def_Processes[TC_Configuration],,0,)</f>
        <v>#N/A</v>
      </c>
      <c r="G81" s="7" t="e">
        <f>_xlfn.XLOOKUP($D81,Tab_Def_Processes[Process_Name],Tab_Def_Processes[Stock_Configuration],,0,)</f>
        <v>#N/A</v>
      </c>
      <c r="H81" s="7" t="e">
        <f>_xlfn.XLOOKUP(Tab_DSM[[#This Row],[Process_Name]],Tab_Def_Processes[Process_Name],Tab_Def_Processes[Outflow_count],,0,)</f>
        <v>#N/A</v>
      </c>
      <c r="I81" s="142"/>
      <c r="J81" s="7" t="e">
        <f>_xlfn.XLOOKUP($I81,Tab_DSM_Category_ID[Category ID],Tab_DSM_Category_ID[DSM Material],,0,)</f>
        <v>#N/A</v>
      </c>
      <c r="K81" s="142"/>
      <c r="L81" s="7" t="str">
        <f>Tab_DSM[[#This Row],[DSM_Parameter_type]]&amp;"_Cat_"&amp;Tab_DSM[[#This Row],[DSM_Category_Nr.]]</f>
        <v>_Cat_</v>
      </c>
      <c r="M81" s="8"/>
    </row>
  </sheetData>
  <sheetProtection selectLockedCells="1"/>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DB5C4C30-63C0-409A-8D78-A488D7F1055C}">
          <x14:formula1>
            <xm:f>'7_2_Codelists'!$A$40:$A$48</xm:f>
          </x14:formula1>
          <xm:sqref>I2:I81</xm:sqref>
        </x14:dataValidation>
        <x14:dataValidation type="list" allowBlank="1" showInputMessage="1" showErrorMessage="1" xr:uid="{87C64758-9186-4877-A39E-CC127801CBC0}">
          <x14:formula1>
            <xm:f>'2_1_Definition_Processes'!$D$2:$D$47</xm:f>
          </x14:formula1>
          <xm:sqref>D2:D81</xm:sqref>
        </x14:dataValidation>
        <x14:dataValidation type="list" allowBlank="1" showInputMessage="1" showErrorMessage="1" xr:uid="{A3910D87-7799-420E-9814-F4BD90D16DC1}">
          <x14:formula1>
            <xm:f>'7_2_Codelists'!$B$121:$B$134</xm:f>
          </x14:formula1>
          <xm:sqref>K2:K81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A1C83-7589-428A-9227-DC8D0559F343}">
  <sheetPr>
    <tabColor theme="5" tint="0.79998168889431442"/>
  </sheetPr>
  <dimension ref="A1:M41"/>
  <sheetViews>
    <sheetView zoomScale="115" zoomScaleNormal="115" workbookViewId="0">
      <selection activeCell="D8" sqref="D8"/>
    </sheetView>
  </sheetViews>
  <sheetFormatPr defaultRowHeight="15" x14ac:dyDescent="0.25"/>
  <cols>
    <col min="1" max="1" width="11.7109375" customWidth="1"/>
    <col min="2" max="2" width="6.140625" customWidth="1"/>
    <col min="3" max="3" width="12.85546875" customWidth="1"/>
    <col min="4" max="4" width="41.140625" customWidth="1"/>
    <col min="5" max="5" width="13" customWidth="1"/>
    <col min="6" max="6" width="20.140625" customWidth="1"/>
    <col min="7" max="7" width="19.140625" customWidth="1"/>
    <col min="8" max="10" width="24.28515625" customWidth="1"/>
    <col min="11" max="12" width="33.85546875" customWidth="1"/>
    <col min="13" max="13" width="19.42578125" customWidth="1"/>
  </cols>
  <sheetData>
    <row r="1" spans="1:13" x14ac:dyDescent="0.25">
      <c r="A1" s="145" t="s">
        <v>41</v>
      </c>
      <c r="B1" s="145" t="s">
        <v>19</v>
      </c>
      <c r="C1" s="145" t="s">
        <v>38</v>
      </c>
      <c r="D1" s="145" t="s">
        <v>541</v>
      </c>
      <c r="E1" s="145" t="s">
        <v>503</v>
      </c>
      <c r="F1" s="145" t="s">
        <v>579</v>
      </c>
      <c r="G1" s="145" t="s">
        <v>580</v>
      </c>
      <c r="H1" s="145" t="s">
        <v>660</v>
      </c>
      <c r="I1" s="145" t="s">
        <v>273</v>
      </c>
      <c r="J1" s="145" t="s">
        <v>282</v>
      </c>
      <c r="K1" s="145" t="s">
        <v>276</v>
      </c>
      <c r="L1" s="145" t="s">
        <v>216</v>
      </c>
      <c r="M1" s="145" t="s">
        <v>200</v>
      </c>
    </row>
    <row r="2" spans="1:13" x14ac:dyDescent="0.25">
      <c r="A2" s="146" t="b">
        <v>0</v>
      </c>
      <c r="B2" s="7">
        <f t="shared" ref="B2:B41" si="0">ROW()-1</f>
        <v>1</v>
      </c>
      <c r="C2" s="7" t="e">
        <f>_xlfn.XLOOKUP($D2,Tab_Def_Processes[Process_Name],Tab_Def_Processes[Process_ID],,0,)</f>
        <v>#N/A</v>
      </c>
      <c r="D2" s="142" t="s">
        <v>22</v>
      </c>
      <c r="E2" s="7" t="e">
        <f>_xlfn.XLOOKUP($D2,Tab_Def_Processes[Process_Name],Tab_Def_Processes[Process_Logic],,0,)</f>
        <v>#N/A</v>
      </c>
      <c r="F2" s="7" t="e">
        <f>_xlfn.XLOOKUP($D2,Tab_Def_Processes[Process_Name],Tab_Def_Processes[TC_Configuration],,0,)</f>
        <v>#N/A</v>
      </c>
      <c r="G2" s="7" t="e">
        <f>_xlfn.XLOOKUP($D2,Tab_Def_Processes[Process_Name],Tab_Def_Processes[Stock_Configuration],,0,)</f>
        <v>#N/A</v>
      </c>
      <c r="H2" s="7" t="e">
        <f>_xlfn.XLOOKUP(Tab_FOMP[[#This Row],[Process_Name]],Tab_Def_Processes[Process_Name],Tab_Def_Processes[Outflow_count],,0,)</f>
        <v>#N/A</v>
      </c>
      <c r="I2" s="8"/>
      <c r="J2" s="142" t="s">
        <v>285</v>
      </c>
      <c r="K2" s="7" t="e">
        <f>"P"&amp;Tab_FOMP[[#This Row],[Process_ID]]&amp;"_"&amp;_xlfn.XLOOKUP($J2,CL_3.1_FOMP_Parameters[Category ID],CL_3.1_FOMP_Parameters[Pool_ID],,0,)</f>
        <v>#N/A</v>
      </c>
      <c r="L2" s="142" t="s">
        <v>284</v>
      </c>
      <c r="M2" s="8"/>
    </row>
    <row r="3" spans="1:13" x14ac:dyDescent="0.25">
      <c r="A3" s="146" t="b">
        <v>0</v>
      </c>
      <c r="B3" s="7">
        <f t="shared" si="0"/>
        <v>2</v>
      </c>
      <c r="C3" s="7" t="e">
        <f>_xlfn.XLOOKUP($D3,Tab_Def_Processes[Process_Name],Tab_Def_Processes[Process_ID],,0,)</f>
        <v>#N/A</v>
      </c>
      <c r="D3" s="142" t="s">
        <v>22</v>
      </c>
      <c r="E3" s="7" t="e">
        <f>_xlfn.XLOOKUP($D3,Tab_Def_Processes[Process_Name],Tab_Def_Processes[Process_Logic],,0,)</f>
        <v>#N/A</v>
      </c>
      <c r="F3" s="7" t="e">
        <f>_xlfn.XLOOKUP($D3,Tab_Def_Processes[Process_Name],Tab_Def_Processes[TC_Configuration],,0,)</f>
        <v>#N/A</v>
      </c>
      <c r="G3" s="7" t="e">
        <f>_xlfn.XLOOKUP($D3,Tab_Def_Processes[Process_Name],Tab_Def_Processes[Stock_Configuration],,0,)</f>
        <v>#N/A</v>
      </c>
      <c r="H3" s="7" t="e">
        <f>_xlfn.XLOOKUP(Tab_FOMP[[#This Row],[Process_Name]],Tab_Def_Processes[Process_Name],Tab_Def_Processes[Outflow_count],,0,)</f>
        <v>#N/A</v>
      </c>
      <c r="I3" s="8"/>
      <c r="J3" s="142"/>
      <c r="K3" s="7" t="e">
        <f>"P"&amp;Tab_FOMP[[#This Row],[Process_ID]]&amp;"_"&amp;_xlfn.XLOOKUP($J3,CL_3.1_FOMP_Parameters[Category ID],CL_3.1_FOMP_Parameters[Pool_ID],,0,)</f>
        <v>#N/A</v>
      </c>
      <c r="L3" s="142"/>
      <c r="M3" s="8"/>
    </row>
    <row r="4" spans="1:13" x14ac:dyDescent="0.25">
      <c r="A4" s="146" t="b">
        <v>0</v>
      </c>
      <c r="B4" s="7">
        <f t="shared" si="0"/>
        <v>3</v>
      </c>
      <c r="C4" s="7" t="e">
        <f>_xlfn.XLOOKUP($D4,Tab_Def_Processes[Process_Name],Tab_Def_Processes[Process_ID],,0,)</f>
        <v>#N/A</v>
      </c>
      <c r="D4" s="142" t="s">
        <v>22</v>
      </c>
      <c r="E4" s="7" t="e">
        <f>_xlfn.XLOOKUP($D4,Tab_Def_Processes[Process_Name],Tab_Def_Processes[Process_Logic],,0,)</f>
        <v>#N/A</v>
      </c>
      <c r="F4" s="7" t="e">
        <f>_xlfn.XLOOKUP($D4,Tab_Def_Processes[Process_Name],Tab_Def_Processes[TC_Configuration],,0,)</f>
        <v>#N/A</v>
      </c>
      <c r="G4" s="7" t="e">
        <f>_xlfn.XLOOKUP($D4,Tab_Def_Processes[Process_Name],Tab_Def_Processes[Stock_Configuration],,0,)</f>
        <v>#N/A</v>
      </c>
      <c r="H4" s="7" t="e">
        <f>_xlfn.XLOOKUP(Tab_FOMP[[#This Row],[Process_Name]],Tab_Def_Processes[Process_Name],Tab_Def_Processes[Outflow_count],,0,)</f>
        <v>#N/A</v>
      </c>
      <c r="I4" s="8"/>
      <c r="J4" s="142"/>
      <c r="K4" s="7" t="e">
        <f>"P"&amp;Tab_FOMP[[#This Row],[Process_ID]]&amp;"_"&amp;_xlfn.XLOOKUP($J4,CL_3.1_FOMP_Parameters[Category ID],CL_3.1_FOMP_Parameters[Pool_ID],,0,)</f>
        <v>#N/A</v>
      </c>
      <c r="L4" s="142"/>
      <c r="M4" s="8"/>
    </row>
    <row r="5" spans="1:13" x14ac:dyDescent="0.25">
      <c r="A5" s="146" t="b">
        <v>0</v>
      </c>
      <c r="B5" s="7">
        <f t="shared" si="0"/>
        <v>4</v>
      </c>
      <c r="C5" s="7" t="e">
        <f>_xlfn.XLOOKUP($D5,Tab_Def_Processes[Process_Name],Tab_Def_Processes[Process_ID],,0,)</f>
        <v>#N/A</v>
      </c>
      <c r="D5" s="142" t="s">
        <v>22</v>
      </c>
      <c r="E5" s="7" t="e">
        <f>_xlfn.XLOOKUP($D5,Tab_Def_Processes[Process_Name],Tab_Def_Processes[Process_Logic],,0,)</f>
        <v>#N/A</v>
      </c>
      <c r="F5" s="7" t="e">
        <f>_xlfn.XLOOKUP($D5,Tab_Def_Processes[Process_Name],Tab_Def_Processes[TC_Configuration],,0,)</f>
        <v>#N/A</v>
      </c>
      <c r="G5" s="7" t="e">
        <f>_xlfn.XLOOKUP($D5,Tab_Def_Processes[Process_Name],Tab_Def_Processes[Stock_Configuration],,0,)</f>
        <v>#N/A</v>
      </c>
      <c r="H5" s="7" t="e">
        <f>_xlfn.XLOOKUP(Tab_FOMP[[#This Row],[Process_Name]],Tab_Def_Processes[Process_Name],Tab_Def_Processes[Outflow_count],,0,)</f>
        <v>#N/A</v>
      </c>
      <c r="I5" s="8"/>
      <c r="J5" s="142"/>
      <c r="K5" s="7" t="e">
        <f>"P"&amp;Tab_FOMP[[#This Row],[Process_ID]]&amp;"_"&amp;_xlfn.XLOOKUP($J5,CL_3.1_FOMP_Parameters[Category ID],CL_3.1_FOMP_Parameters[Pool_ID],,0,)</f>
        <v>#N/A</v>
      </c>
      <c r="L5" s="142"/>
      <c r="M5" s="8"/>
    </row>
    <row r="6" spans="1:13" x14ac:dyDescent="0.25">
      <c r="A6" s="146" t="b">
        <v>0</v>
      </c>
      <c r="B6" s="7">
        <f t="shared" si="0"/>
        <v>5</v>
      </c>
      <c r="C6" s="7" t="e">
        <f>_xlfn.XLOOKUP($D6,Tab_Def_Processes[Process_Name],Tab_Def_Processes[Process_ID],,0,)</f>
        <v>#N/A</v>
      </c>
      <c r="D6" s="142" t="s">
        <v>22</v>
      </c>
      <c r="E6" s="7" t="e">
        <f>_xlfn.XLOOKUP($D6,Tab_Def_Processes[Process_Name],Tab_Def_Processes[Process_Logic],,0,)</f>
        <v>#N/A</v>
      </c>
      <c r="F6" s="7" t="e">
        <f>_xlfn.XLOOKUP($D6,Tab_Def_Processes[Process_Name],Tab_Def_Processes[TC_Configuration],,0,)</f>
        <v>#N/A</v>
      </c>
      <c r="G6" s="7" t="e">
        <f>_xlfn.XLOOKUP($D6,Tab_Def_Processes[Process_Name],Tab_Def_Processes[Stock_Configuration],,0,)</f>
        <v>#N/A</v>
      </c>
      <c r="H6" s="7" t="e">
        <f>_xlfn.XLOOKUP(Tab_FOMP[[#This Row],[Process_Name]],Tab_Def_Processes[Process_Name],Tab_Def_Processes[Outflow_count],,0,)</f>
        <v>#N/A</v>
      </c>
      <c r="I6" s="8"/>
      <c r="J6" s="142"/>
      <c r="K6" s="7" t="e">
        <f>"P"&amp;Tab_FOMP[[#This Row],[Process_ID]]&amp;"_"&amp;_xlfn.XLOOKUP($J6,CL_3.1_FOMP_Parameters[Category ID],CL_3.1_FOMP_Parameters[Pool_ID],,0,)</f>
        <v>#N/A</v>
      </c>
      <c r="L6" s="142"/>
      <c r="M6" s="8"/>
    </row>
    <row r="7" spans="1:13" x14ac:dyDescent="0.25">
      <c r="A7" s="146" t="b">
        <v>0</v>
      </c>
      <c r="B7" s="7">
        <f t="shared" si="0"/>
        <v>6</v>
      </c>
      <c r="C7" s="7" t="e">
        <f>_xlfn.XLOOKUP($D7,Tab_Def_Processes[Process_Name],Tab_Def_Processes[Process_ID],,0,)</f>
        <v>#N/A</v>
      </c>
      <c r="D7" s="142" t="s">
        <v>22</v>
      </c>
      <c r="E7" s="7" t="e">
        <f>_xlfn.XLOOKUP($D7,Tab_Def_Processes[Process_Name],Tab_Def_Processes[Process_Logic],,0,)</f>
        <v>#N/A</v>
      </c>
      <c r="F7" s="7" t="e">
        <f>_xlfn.XLOOKUP($D7,Tab_Def_Processes[Process_Name],Tab_Def_Processes[TC_Configuration],,0,)</f>
        <v>#N/A</v>
      </c>
      <c r="G7" s="7" t="e">
        <f>_xlfn.XLOOKUP($D7,Tab_Def_Processes[Process_Name],Tab_Def_Processes[Stock_Configuration],,0,)</f>
        <v>#N/A</v>
      </c>
      <c r="H7" s="7" t="e">
        <f>_xlfn.XLOOKUP(Tab_FOMP[[#This Row],[Process_Name]],Tab_Def_Processes[Process_Name],Tab_Def_Processes[Outflow_count],,0,)</f>
        <v>#N/A</v>
      </c>
      <c r="I7" s="8"/>
      <c r="J7" s="142"/>
      <c r="K7" s="7" t="e">
        <f>"P"&amp;Tab_FOMP[[#This Row],[Process_ID]]&amp;"_"&amp;_xlfn.XLOOKUP($J7,CL_3.1_FOMP_Parameters[Category ID],CL_3.1_FOMP_Parameters[Pool_ID],,0,)</f>
        <v>#N/A</v>
      </c>
      <c r="L7" s="142"/>
      <c r="M7" s="8"/>
    </row>
    <row r="8" spans="1:13" x14ac:dyDescent="0.25">
      <c r="A8" s="146" t="b">
        <v>0</v>
      </c>
      <c r="B8" s="7">
        <f t="shared" si="0"/>
        <v>7</v>
      </c>
      <c r="C8" s="7" t="e">
        <f>_xlfn.XLOOKUP($D8,Tab_Def_Processes[Process_Name],Tab_Def_Processes[Process_ID],,0,)</f>
        <v>#N/A</v>
      </c>
      <c r="D8" s="142" t="s">
        <v>22</v>
      </c>
      <c r="E8" s="7" t="e">
        <f>_xlfn.XLOOKUP($D8,Tab_Def_Processes[Process_Name],Tab_Def_Processes[Process_Logic],,0,)</f>
        <v>#N/A</v>
      </c>
      <c r="F8" s="7" t="e">
        <f>_xlfn.XLOOKUP($D8,Tab_Def_Processes[Process_Name],Tab_Def_Processes[TC_Configuration],,0,)</f>
        <v>#N/A</v>
      </c>
      <c r="G8" s="7" t="e">
        <f>_xlfn.XLOOKUP($D8,Tab_Def_Processes[Process_Name],Tab_Def_Processes[Stock_Configuration],,0,)</f>
        <v>#N/A</v>
      </c>
      <c r="H8" s="7" t="e">
        <f>_xlfn.XLOOKUP(Tab_FOMP[[#This Row],[Process_Name]],Tab_Def_Processes[Process_Name],Tab_Def_Processes[Outflow_count],,0,)</f>
        <v>#N/A</v>
      </c>
      <c r="I8" s="8"/>
      <c r="J8" s="142"/>
      <c r="K8" s="7" t="e">
        <f>"P"&amp;Tab_FOMP[[#This Row],[Process_ID]]&amp;"_"&amp;_xlfn.XLOOKUP($J8,CL_3.1_FOMP_Parameters[Category ID],CL_3.1_FOMP_Parameters[Pool_ID],,0,)</f>
        <v>#N/A</v>
      </c>
      <c r="L8" s="142"/>
      <c r="M8" s="8"/>
    </row>
    <row r="9" spans="1:13" x14ac:dyDescent="0.25">
      <c r="A9" s="146" t="b">
        <v>0</v>
      </c>
      <c r="B9" s="7">
        <f t="shared" si="0"/>
        <v>8</v>
      </c>
      <c r="C9" s="7" t="e">
        <f>_xlfn.XLOOKUP($D9,Tab_Def_Processes[Process_Name],Tab_Def_Processes[Process_ID],,0,)</f>
        <v>#N/A</v>
      </c>
      <c r="D9" s="142" t="s">
        <v>22</v>
      </c>
      <c r="E9" s="7" t="e">
        <f>_xlfn.XLOOKUP($D9,Tab_Def_Processes[Process_Name],Tab_Def_Processes[Process_Logic],,0,)</f>
        <v>#N/A</v>
      </c>
      <c r="F9" s="7" t="e">
        <f>_xlfn.XLOOKUP($D9,Tab_Def_Processes[Process_Name],Tab_Def_Processes[TC_Configuration],,0,)</f>
        <v>#N/A</v>
      </c>
      <c r="G9" s="7" t="e">
        <f>_xlfn.XLOOKUP($D9,Tab_Def_Processes[Process_Name],Tab_Def_Processes[Stock_Configuration],,0,)</f>
        <v>#N/A</v>
      </c>
      <c r="H9" s="7" t="e">
        <f>_xlfn.XLOOKUP(Tab_FOMP[[#This Row],[Process_Name]],Tab_Def_Processes[Process_Name],Tab_Def_Processes[Outflow_count],,0,)</f>
        <v>#N/A</v>
      </c>
      <c r="I9" s="8"/>
      <c r="J9" s="142"/>
      <c r="K9" s="7" t="e">
        <f>"P"&amp;Tab_FOMP[[#This Row],[Process_ID]]&amp;"_"&amp;_xlfn.XLOOKUP($J9,CL_3.1_FOMP_Parameters[Category ID],CL_3.1_FOMP_Parameters[Pool_ID],,0,)</f>
        <v>#N/A</v>
      </c>
      <c r="L9" s="142"/>
      <c r="M9" s="8"/>
    </row>
    <row r="10" spans="1:13" x14ac:dyDescent="0.25">
      <c r="A10" s="146" t="b">
        <v>0</v>
      </c>
      <c r="B10" s="7">
        <f t="shared" si="0"/>
        <v>9</v>
      </c>
      <c r="C10" s="7" t="e">
        <f>_xlfn.XLOOKUP($D10,Tab_Def_Processes[Process_Name],Tab_Def_Processes[Process_ID],,0,)</f>
        <v>#N/A</v>
      </c>
      <c r="D10" s="142" t="s">
        <v>22</v>
      </c>
      <c r="E10" s="7" t="e">
        <f>_xlfn.XLOOKUP($D10,Tab_Def_Processes[Process_Name],Tab_Def_Processes[Process_Logic],,0,)</f>
        <v>#N/A</v>
      </c>
      <c r="F10" s="7" t="e">
        <f>_xlfn.XLOOKUP($D10,Tab_Def_Processes[Process_Name],Tab_Def_Processes[TC_Configuration],,0,)</f>
        <v>#N/A</v>
      </c>
      <c r="G10" s="7" t="e">
        <f>_xlfn.XLOOKUP($D10,Tab_Def_Processes[Process_Name],Tab_Def_Processes[Stock_Configuration],,0,)</f>
        <v>#N/A</v>
      </c>
      <c r="H10" s="7" t="e">
        <f>_xlfn.XLOOKUP(Tab_FOMP[[#This Row],[Process_Name]],Tab_Def_Processes[Process_Name],Tab_Def_Processes[Outflow_count],,0,)</f>
        <v>#N/A</v>
      </c>
      <c r="I10" s="8"/>
      <c r="J10" s="142"/>
      <c r="K10" s="7" t="e">
        <f>"P"&amp;Tab_FOMP[[#This Row],[Process_ID]]&amp;"_"&amp;_xlfn.XLOOKUP($J10,CL_3.1_FOMP_Parameters[Category ID],CL_3.1_FOMP_Parameters[Pool_ID],,0,)</f>
        <v>#N/A</v>
      </c>
      <c r="L10" s="142"/>
      <c r="M10" s="8"/>
    </row>
    <row r="11" spans="1:13" x14ac:dyDescent="0.25">
      <c r="A11" s="146" t="b">
        <v>0</v>
      </c>
      <c r="B11" s="7">
        <f t="shared" si="0"/>
        <v>10</v>
      </c>
      <c r="C11" s="7" t="e">
        <f>_xlfn.XLOOKUP($D11,Tab_Def_Processes[Process_Name],Tab_Def_Processes[Process_ID],,0,)</f>
        <v>#N/A</v>
      </c>
      <c r="D11" s="142" t="s">
        <v>22</v>
      </c>
      <c r="E11" s="7" t="e">
        <f>_xlfn.XLOOKUP($D11,Tab_Def_Processes[Process_Name],Tab_Def_Processes[Process_Logic],,0,)</f>
        <v>#N/A</v>
      </c>
      <c r="F11" s="7" t="e">
        <f>_xlfn.XLOOKUP($D11,Tab_Def_Processes[Process_Name],Tab_Def_Processes[TC_Configuration],,0,)</f>
        <v>#N/A</v>
      </c>
      <c r="G11" s="7" t="e">
        <f>_xlfn.XLOOKUP($D11,Tab_Def_Processes[Process_Name],Tab_Def_Processes[Stock_Configuration],,0,)</f>
        <v>#N/A</v>
      </c>
      <c r="H11" s="7" t="e">
        <f>_xlfn.XLOOKUP(Tab_FOMP[[#This Row],[Process_Name]],Tab_Def_Processes[Process_Name],Tab_Def_Processes[Outflow_count],,0,)</f>
        <v>#N/A</v>
      </c>
      <c r="I11" s="8"/>
      <c r="J11" s="142"/>
      <c r="K11" s="7" t="e">
        <f>"P"&amp;Tab_FOMP[[#This Row],[Process_ID]]&amp;"_"&amp;_xlfn.XLOOKUP($J11,CL_3.1_FOMP_Parameters[Category ID],CL_3.1_FOMP_Parameters[Pool_ID],,0,)</f>
        <v>#N/A</v>
      </c>
      <c r="L11" s="142"/>
      <c r="M11" s="8"/>
    </row>
    <row r="12" spans="1:13" x14ac:dyDescent="0.25">
      <c r="A12" s="146" t="b">
        <v>0</v>
      </c>
      <c r="B12" s="7">
        <f t="shared" si="0"/>
        <v>11</v>
      </c>
      <c r="C12" s="7" t="e">
        <f>_xlfn.XLOOKUP($D12,Tab_Def_Processes[Process_Name],Tab_Def_Processes[Process_ID],,0,)</f>
        <v>#N/A</v>
      </c>
      <c r="D12" s="142" t="s">
        <v>22</v>
      </c>
      <c r="E12" s="7" t="e">
        <f>_xlfn.XLOOKUP($D12,Tab_Def_Processes[Process_Name],Tab_Def_Processes[Process_Logic],,0,)</f>
        <v>#N/A</v>
      </c>
      <c r="F12" s="7" t="e">
        <f>_xlfn.XLOOKUP($D12,Tab_Def_Processes[Process_Name],Tab_Def_Processes[TC_Configuration],,0,)</f>
        <v>#N/A</v>
      </c>
      <c r="G12" s="7" t="e">
        <f>_xlfn.XLOOKUP($D12,Tab_Def_Processes[Process_Name],Tab_Def_Processes[Stock_Configuration],,0,)</f>
        <v>#N/A</v>
      </c>
      <c r="H12" s="7" t="e">
        <f>_xlfn.XLOOKUP(Tab_FOMP[[#This Row],[Process_Name]],Tab_Def_Processes[Process_Name],Tab_Def_Processes[Outflow_count],,0,)</f>
        <v>#N/A</v>
      </c>
      <c r="I12" s="8"/>
      <c r="J12" s="142"/>
      <c r="K12" s="7" t="e">
        <f>"P"&amp;Tab_FOMP[[#This Row],[Process_ID]]&amp;"_"&amp;_xlfn.XLOOKUP($J12,CL_3.1_FOMP_Parameters[Category ID],CL_3.1_FOMP_Parameters[Pool_ID],,0,)</f>
        <v>#N/A</v>
      </c>
      <c r="L12" s="142"/>
      <c r="M12" s="8"/>
    </row>
    <row r="13" spans="1:13" x14ac:dyDescent="0.25">
      <c r="A13" s="146" t="b">
        <v>0</v>
      </c>
      <c r="B13" s="7">
        <f t="shared" si="0"/>
        <v>12</v>
      </c>
      <c r="C13" s="7" t="e">
        <f>_xlfn.XLOOKUP($D13,Tab_Def_Processes[Process_Name],Tab_Def_Processes[Process_ID],,0,)</f>
        <v>#N/A</v>
      </c>
      <c r="D13" s="142" t="s">
        <v>22</v>
      </c>
      <c r="E13" s="7" t="e">
        <f>_xlfn.XLOOKUP($D13,Tab_Def_Processes[Process_Name],Tab_Def_Processes[Process_Logic],,0,)</f>
        <v>#N/A</v>
      </c>
      <c r="F13" s="7" t="e">
        <f>_xlfn.XLOOKUP($D13,Tab_Def_Processes[Process_Name],Tab_Def_Processes[TC_Configuration],,0,)</f>
        <v>#N/A</v>
      </c>
      <c r="G13" s="7" t="e">
        <f>_xlfn.XLOOKUP($D13,Tab_Def_Processes[Process_Name],Tab_Def_Processes[Stock_Configuration],,0,)</f>
        <v>#N/A</v>
      </c>
      <c r="H13" s="7" t="e">
        <f>_xlfn.XLOOKUP(Tab_FOMP[[#This Row],[Process_Name]],Tab_Def_Processes[Process_Name],Tab_Def_Processes[Outflow_count],,0,)</f>
        <v>#N/A</v>
      </c>
      <c r="I13" s="8"/>
      <c r="J13" s="142"/>
      <c r="K13" s="7" t="e">
        <f>"P"&amp;Tab_FOMP[[#This Row],[Process_ID]]&amp;"_"&amp;_xlfn.XLOOKUP($J13,CL_3.1_FOMP_Parameters[Category ID],CL_3.1_FOMP_Parameters[Pool_ID],,0,)</f>
        <v>#N/A</v>
      </c>
      <c r="L13" s="142"/>
      <c r="M13" s="8"/>
    </row>
    <row r="14" spans="1:13" x14ac:dyDescent="0.25">
      <c r="A14" s="146" t="b">
        <v>0</v>
      </c>
      <c r="B14" s="7">
        <f t="shared" si="0"/>
        <v>13</v>
      </c>
      <c r="C14" s="7" t="e">
        <f>_xlfn.XLOOKUP($D14,Tab_Def_Processes[Process_Name],Tab_Def_Processes[Process_ID],,0,)</f>
        <v>#N/A</v>
      </c>
      <c r="D14" s="142" t="s">
        <v>22</v>
      </c>
      <c r="E14" s="7" t="e">
        <f>_xlfn.XLOOKUP($D14,Tab_Def_Processes[Process_Name],Tab_Def_Processes[Process_Logic],,0,)</f>
        <v>#N/A</v>
      </c>
      <c r="F14" s="7" t="e">
        <f>_xlfn.XLOOKUP($D14,Tab_Def_Processes[Process_Name],Tab_Def_Processes[TC_Configuration],,0,)</f>
        <v>#N/A</v>
      </c>
      <c r="G14" s="7" t="e">
        <f>_xlfn.XLOOKUP($D14,Tab_Def_Processes[Process_Name],Tab_Def_Processes[Stock_Configuration],,0,)</f>
        <v>#N/A</v>
      </c>
      <c r="H14" s="7" t="e">
        <f>_xlfn.XLOOKUP(Tab_FOMP[[#This Row],[Process_Name]],Tab_Def_Processes[Process_Name],Tab_Def_Processes[Outflow_count],,0,)</f>
        <v>#N/A</v>
      </c>
      <c r="I14" s="8"/>
      <c r="J14" s="142"/>
      <c r="K14" s="7" t="e">
        <f>"P"&amp;Tab_FOMP[[#This Row],[Process_ID]]&amp;"_"&amp;_xlfn.XLOOKUP($J14,CL_3.1_FOMP_Parameters[Category ID],CL_3.1_FOMP_Parameters[Pool_ID],,0,)</f>
        <v>#N/A</v>
      </c>
      <c r="L14" s="142"/>
      <c r="M14" s="8"/>
    </row>
    <row r="15" spans="1:13" x14ac:dyDescent="0.25">
      <c r="A15" s="146" t="b">
        <v>0</v>
      </c>
      <c r="B15" s="7">
        <f t="shared" si="0"/>
        <v>14</v>
      </c>
      <c r="C15" s="7" t="e">
        <f>_xlfn.XLOOKUP($D15,Tab_Def_Processes[Process_Name],Tab_Def_Processes[Process_ID],,0,)</f>
        <v>#N/A</v>
      </c>
      <c r="D15" s="142" t="s">
        <v>22</v>
      </c>
      <c r="E15" s="7" t="e">
        <f>_xlfn.XLOOKUP($D15,Tab_Def_Processes[Process_Name],Tab_Def_Processes[Process_Logic],,0,)</f>
        <v>#N/A</v>
      </c>
      <c r="F15" s="7" t="e">
        <f>_xlfn.XLOOKUP($D15,Tab_Def_Processes[Process_Name],Tab_Def_Processes[TC_Configuration],,0,)</f>
        <v>#N/A</v>
      </c>
      <c r="G15" s="7" t="e">
        <f>_xlfn.XLOOKUP($D15,Tab_Def_Processes[Process_Name],Tab_Def_Processes[Stock_Configuration],,0,)</f>
        <v>#N/A</v>
      </c>
      <c r="H15" s="7" t="e">
        <f>_xlfn.XLOOKUP(Tab_FOMP[[#This Row],[Process_Name]],Tab_Def_Processes[Process_Name],Tab_Def_Processes[Outflow_count],,0,)</f>
        <v>#N/A</v>
      </c>
      <c r="I15" s="8"/>
      <c r="J15" s="142"/>
      <c r="K15" s="7" t="e">
        <f>"P"&amp;Tab_FOMP[[#This Row],[Process_ID]]&amp;"_"&amp;_xlfn.XLOOKUP($J15,CL_3.1_FOMP_Parameters[Category ID],CL_3.1_FOMP_Parameters[Pool_ID],,0,)</f>
        <v>#N/A</v>
      </c>
      <c r="L15" s="142"/>
      <c r="M15" s="8"/>
    </row>
    <row r="16" spans="1:13" x14ac:dyDescent="0.25">
      <c r="A16" s="146" t="b">
        <v>0</v>
      </c>
      <c r="B16" s="7">
        <f t="shared" si="0"/>
        <v>15</v>
      </c>
      <c r="C16" s="7" t="e">
        <f>_xlfn.XLOOKUP($D16,Tab_Def_Processes[Process_Name],Tab_Def_Processes[Process_ID],,0,)</f>
        <v>#N/A</v>
      </c>
      <c r="D16" s="142" t="s">
        <v>22</v>
      </c>
      <c r="E16" s="7" t="e">
        <f>_xlfn.XLOOKUP($D16,Tab_Def_Processes[Process_Name],Tab_Def_Processes[Process_Logic],,0,)</f>
        <v>#N/A</v>
      </c>
      <c r="F16" s="7" t="e">
        <f>_xlfn.XLOOKUP($D16,Tab_Def_Processes[Process_Name],Tab_Def_Processes[TC_Configuration],,0,)</f>
        <v>#N/A</v>
      </c>
      <c r="G16" s="7" t="e">
        <f>_xlfn.XLOOKUP($D16,Tab_Def_Processes[Process_Name],Tab_Def_Processes[Stock_Configuration],,0,)</f>
        <v>#N/A</v>
      </c>
      <c r="H16" s="7" t="e">
        <f>_xlfn.XLOOKUP(Tab_FOMP[[#This Row],[Process_Name]],Tab_Def_Processes[Process_Name],Tab_Def_Processes[Outflow_count],,0,)</f>
        <v>#N/A</v>
      </c>
      <c r="I16" s="8"/>
      <c r="J16" s="142"/>
      <c r="K16" s="7" t="e">
        <f>"P"&amp;Tab_FOMP[[#This Row],[Process_ID]]&amp;"_"&amp;_xlfn.XLOOKUP($J16,CL_3.1_FOMP_Parameters[Category ID],CL_3.1_FOMP_Parameters[Pool_ID],,0,)</f>
        <v>#N/A</v>
      </c>
      <c r="L16" s="142"/>
      <c r="M16" s="8"/>
    </row>
    <row r="17" spans="1:13" x14ac:dyDescent="0.25">
      <c r="A17" s="146" t="b">
        <v>0</v>
      </c>
      <c r="B17" s="7">
        <f t="shared" si="0"/>
        <v>16</v>
      </c>
      <c r="C17" s="7" t="e">
        <f>_xlfn.XLOOKUP($D17,Tab_Def_Processes[Process_Name],Tab_Def_Processes[Process_ID],,0,)</f>
        <v>#N/A</v>
      </c>
      <c r="D17" s="142" t="s">
        <v>22</v>
      </c>
      <c r="E17" s="7" t="e">
        <f>_xlfn.XLOOKUP($D17,Tab_Def_Processes[Process_Name],Tab_Def_Processes[Process_Logic],,0,)</f>
        <v>#N/A</v>
      </c>
      <c r="F17" s="7" t="e">
        <f>_xlfn.XLOOKUP($D17,Tab_Def_Processes[Process_Name],Tab_Def_Processes[TC_Configuration],,0,)</f>
        <v>#N/A</v>
      </c>
      <c r="G17" s="7" t="e">
        <f>_xlfn.XLOOKUP($D17,Tab_Def_Processes[Process_Name],Tab_Def_Processes[Stock_Configuration],,0,)</f>
        <v>#N/A</v>
      </c>
      <c r="H17" s="7" t="e">
        <f>_xlfn.XLOOKUP(Tab_FOMP[[#This Row],[Process_Name]],Tab_Def_Processes[Process_Name],Tab_Def_Processes[Outflow_count],,0,)</f>
        <v>#N/A</v>
      </c>
      <c r="I17" s="8"/>
      <c r="J17" s="142"/>
      <c r="K17" s="7" t="e">
        <f>"P"&amp;Tab_FOMP[[#This Row],[Process_ID]]&amp;"_"&amp;_xlfn.XLOOKUP($J17,CL_3.1_FOMP_Parameters[Category ID],CL_3.1_FOMP_Parameters[Pool_ID],,0,)</f>
        <v>#N/A</v>
      </c>
      <c r="L17" s="142"/>
      <c r="M17" s="8"/>
    </row>
    <row r="18" spans="1:13" x14ac:dyDescent="0.25">
      <c r="A18" s="146" t="b">
        <v>0</v>
      </c>
      <c r="B18" s="7">
        <f t="shared" si="0"/>
        <v>17</v>
      </c>
      <c r="C18" s="7" t="e">
        <f>_xlfn.XLOOKUP($D18,Tab_Def_Processes[Process_Name],Tab_Def_Processes[Process_ID],,0,)</f>
        <v>#N/A</v>
      </c>
      <c r="D18" s="142" t="s">
        <v>22</v>
      </c>
      <c r="E18" s="7" t="e">
        <f>_xlfn.XLOOKUP($D18,Tab_Def_Processes[Process_Name],Tab_Def_Processes[Process_Logic],,0,)</f>
        <v>#N/A</v>
      </c>
      <c r="F18" s="7" t="e">
        <f>_xlfn.XLOOKUP($D18,Tab_Def_Processes[Process_Name],Tab_Def_Processes[TC_Configuration],,0,)</f>
        <v>#N/A</v>
      </c>
      <c r="G18" s="7" t="e">
        <f>_xlfn.XLOOKUP($D18,Tab_Def_Processes[Process_Name],Tab_Def_Processes[Stock_Configuration],,0,)</f>
        <v>#N/A</v>
      </c>
      <c r="H18" s="7" t="e">
        <f>_xlfn.XLOOKUP(Tab_FOMP[[#This Row],[Process_Name]],Tab_Def_Processes[Process_Name],Tab_Def_Processes[Outflow_count],,0,)</f>
        <v>#N/A</v>
      </c>
      <c r="I18" s="8"/>
      <c r="J18" s="142"/>
      <c r="K18" s="7" t="e">
        <f>"P"&amp;Tab_FOMP[[#This Row],[Process_ID]]&amp;"_"&amp;_xlfn.XLOOKUP($J18,CL_3.1_FOMP_Parameters[Category ID],CL_3.1_FOMP_Parameters[Pool_ID],,0,)</f>
        <v>#N/A</v>
      </c>
      <c r="L18" s="142"/>
      <c r="M18" s="8"/>
    </row>
    <row r="19" spans="1:13" x14ac:dyDescent="0.25">
      <c r="A19" s="146" t="b">
        <v>0</v>
      </c>
      <c r="B19" s="7">
        <f t="shared" si="0"/>
        <v>18</v>
      </c>
      <c r="C19" s="7" t="e">
        <f>_xlfn.XLOOKUP($D19,Tab_Def_Processes[Process_Name],Tab_Def_Processes[Process_ID],,0,)</f>
        <v>#N/A</v>
      </c>
      <c r="D19" s="142" t="s">
        <v>22</v>
      </c>
      <c r="E19" s="7" t="e">
        <f>_xlfn.XLOOKUP($D19,Tab_Def_Processes[Process_Name],Tab_Def_Processes[Process_Logic],,0,)</f>
        <v>#N/A</v>
      </c>
      <c r="F19" s="7" t="e">
        <f>_xlfn.XLOOKUP($D19,Tab_Def_Processes[Process_Name],Tab_Def_Processes[TC_Configuration],,0,)</f>
        <v>#N/A</v>
      </c>
      <c r="G19" s="7" t="e">
        <f>_xlfn.XLOOKUP($D19,Tab_Def_Processes[Process_Name],Tab_Def_Processes[Stock_Configuration],,0,)</f>
        <v>#N/A</v>
      </c>
      <c r="H19" s="7" t="e">
        <f>_xlfn.XLOOKUP(Tab_FOMP[[#This Row],[Process_Name]],Tab_Def_Processes[Process_Name],Tab_Def_Processes[Outflow_count],,0,)</f>
        <v>#N/A</v>
      </c>
      <c r="I19" s="8"/>
      <c r="J19" s="142"/>
      <c r="K19" s="7" t="e">
        <f>"P"&amp;Tab_FOMP[[#This Row],[Process_ID]]&amp;"_"&amp;_xlfn.XLOOKUP($J19,CL_3.1_FOMP_Parameters[Category ID],CL_3.1_FOMP_Parameters[Pool_ID],,0,)</f>
        <v>#N/A</v>
      </c>
      <c r="L19" s="142"/>
      <c r="M19" s="8"/>
    </row>
    <row r="20" spans="1:13" x14ac:dyDescent="0.25">
      <c r="A20" s="146" t="b">
        <v>0</v>
      </c>
      <c r="B20" s="7">
        <f t="shared" si="0"/>
        <v>19</v>
      </c>
      <c r="C20" s="7" t="e">
        <f>_xlfn.XLOOKUP($D20,Tab_Def_Processes[Process_Name],Tab_Def_Processes[Process_ID],,0,)</f>
        <v>#N/A</v>
      </c>
      <c r="D20" s="142" t="s">
        <v>22</v>
      </c>
      <c r="E20" s="7" t="e">
        <f>_xlfn.XLOOKUP($D20,Tab_Def_Processes[Process_Name],Tab_Def_Processes[Process_Logic],,0,)</f>
        <v>#N/A</v>
      </c>
      <c r="F20" s="7" t="e">
        <f>_xlfn.XLOOKUP($D20,Tab_Def_Processes[Process_Name],Tab_Def_Processes[TC_Configuration],,0,)</f>
        <v>#N/A</v>
      </c>
      <c r="G20" s="7" t="e">
        <f>_xlfn.XLOOKUP($D20,Tab_Def_Processes[Process_Name],Tab_Def_Processes[Stock_Configuration],,0,)</f>
        <v>#N/A</v>
      </c>
      <c r="H20" s="7" t="e">
        <f>_xlfn.XLOOKUP(Tab_FOMP[[#This Row],[Process_Name]],Tab_Def_Processes[Process_Name],Tab_Def_Processes[Outflow_count],,0,)</f>
        <v>#N/A</v>
      </c>
      <c r="I20" s="8"/>
      <c r="J20" s="142"/>
      <c r="K20" s="7" t="e">
        <f>"P"&amp;Tab_FOMP[[#This Row],[Process_ID]]&amp;"_"&amp;_xlfn.XLOOKUP($J20,CL_3.1_FOMP_Parameters[Category ID],CL_3.1_FOMP_Parameters[Pool_ID],,0,)</f>
        <v>#N/A</v>
      </c>
      <c r="L20" s="142"/>
      <c r="M20" s="8"/>
    </row>
    <row r="21" spans="1:13" x14ac:dyDescent="0.25">
      <c r="A21" s="146" t="b">
        <v>0</v>
      </c>
      <c r="B21" s="7">
        <f t="shared" si="0"/>
        <v>20</v>
      </c>
      <c r="C21" s="7" t="e">
        <f>_xlfn.XLOOKUP($D21,Tab_Def_Processes[Process_Name],Tab_Def_Processes[Process_ID],,0,)</f>
        <v>#N/A</v>
      </c>
      <c r="D21" s="142" t="s">
        <v>22</v>
      </c>
      <c r="E21" s="7" t="e">
        <f>_xlfn.XLOOKUP($D21,Tab_Def_Processes[Process_Name],Tab_Def_Processes[Process_Logic],,0,)</f>
        <v>#N/A</v>
      </c>
      <c r="F21" s="7" t="e">
        <f>_xlfn.XLOOKUP($D21,Tab_Def_Processes[Process_Name],Tab_Def_Processes[TC_Configuration],,0,)</f>
        <v>#N/A</v>
      </c>
      <c r="G21" s="7" t="e">
        <f>_xlfn.XLOOKUP($D21,Tab_Def_Processes[Process_Name],Tab_Def_Processes[Stock_Configuration],,0,)</f>
        <v>#N/A</v>
      </c>
      <c r="H21" s="7" t="e">
        <f>_xlfn.XLOOKUP(Tab_FOMP[[#This Row],[Process_Name]],Tab_Def_Processes[Process_Name],Tab_Def_Processes[Outflow_count],,0,)</f>
        <v>#N/A</v>
      </c>
      <c r="I21" s="8"/>
      <c r="J21" s="142"/>
      <c r="K21" s="7" t="e">
        <f>"P"&amp;Tab_FOMP[[#This Row],[Process_ID]]&amp;"_"&amp;_xlfn.XLOOKUP($J21,CL_3.1_FOMP_Parameters[Category ID],CL_3.1_FOMP_Parameters[Pool_ID],,0,)</f>
        <v>#N/A</v>
      </c>
      <c r="L21" s="142"/>
      <c r="M21" s="8"/>
    </row>
    <row r="22" spans="1:13" x14ac:dyDescent="0.25">
      <c r="A22" s="146" t="b">
        <v>0</v>
      </c>
      <c r="B22" s="7">
        <f t="shared" si="0"/>
        <v>21</v>
      </c>
      <c r="C22" s="7" t="e">
        <f>_xlfn.XLOOKUP($D22,Tab_Def_Processes[Process_Name],Tab_Def_Processes[Process_ID],,0,)</f>
        <v>#N/A</v>
      </c>
      <c r="D22" s="142" t="s">
        <v>22</v>
      </c>
      <c r="E22" s="7" t="e">
        <f>_xlfn.XLOOKUP($D22,Tab_Def_Processes[Process_Name],Tab_Def_Processes[Process_Logic],,0,)</f>
        <v>#N/A</v>
      </c>
      <c r="F22" s="7" t="e">
        <f>_xlfn.XLOOKUP($D22,Tab_Def_Processes[Process_Name],Tab_Def_Processes[TC_Configuration],,0,)</f>
        <v>#N/A</v>
      </c>
      <c r="G22" s="7" t="e">
        <f>_xlfn.XLOOKUP($D22,Tab_Def_Processes[Process_Name],Tab_Def_Processes[Stock_Configuration],,0,)</f>
        <v>#N/A</v>
      </c>
      <c r="H22" s="7" t="e">
        <f>_xlfn.XLOOKUP(Tab_FOMP[[#This Row],[Process_Name]],Tab_Def_Processes[Process_Name],Tab_Def_Processes[Outflow_count],,0,)</f>
        <v>#N/A</v>
      </c>
      <c r="I22" s="8"/>
      <c r="J22" s="142"/>
      <c r="K22" s="7" t="e">
        <f>"P"&amp;Tab_FOMP[[#This Row],[Process_ID]]&amp;"_"&amp;_xlfn.XLOOKUP($J22,CL_3.1_FOMP_Parameters[Category ID],CL_3.1_FOMP_Parameters[Pool_ID],,0,)</f>
        <v>#N/A</v>
      </c>
      <c r="L22" s="142"/>
      <c r="M22" s="8"/>
    </row>
    <row r="23" spans="1:13" x14ac:dyDescent="0.25">
      <c r="A23" s="146" t="b">
        <v>0</v>
      </c>
      <c r="B23" s="7">
        <f t="shared" si="0"/>
        <v>22</v>
      </c>
      <c r="C23" s="7" t="e">
        <f>_xlfn.XLOOKUP($D23,Tab_Def_Processes[Process_Name],Tab_Def_Processes[Process_ID],,0,)</f>
        <v>#N/A</v>
      </c>
      <c r="D23" s="142" t="s">
        <v>22</v>
      </c>
      <c r="E23" s="7" t="e">
        <f>_xlfn.XLOOKUP($D23,Tab_Def_Processes[Process_Name],Tab_Def_Processes[Process_Logic],,0,)</f>
        <v>#N/A</v>
      </c>
      <c r="F23" s="7" t="e">
        <f>_xlfn.XLOOKUP($D23,Tab_Def_Processes[Process_Name],Tab_Def_Processes[TC_Configuration],,0,)</f>
        <v>#N/A</v>
      </c>
      <c r="G23" s="7" t="e">
        <f>_xlfn.XLOOKUP($D23,Tab_Def_Processes[Process_Name],Tab_Def_Processes[Stock_Configuration],,0,)</f>
        <v>#N/A</v>
      </c>
      <c r="H23" s="7" t="e">
        <f>_xlfn.XLOOKUP(Tab_FOMP[[#This Row],[Process_Name]],Tab_Def_Processes[Process_Name],Tab_Def_Processes[Outflow_count],,0,)</f>
        <v>#N/A</v>
      </c>
      <c r="I23" s="8"/>
      <c r="J23" s="142"/>
      <c r="K23" s="7" t="e">
        <f>"P"&amp;Tab_FOMP[[#This Row],[Process_ID]]&amp;"_"&amp;_xlfn.XLOOKUP($J23,CL_3.1_FOMP_Parameters[Category ID],CL_3.1_FOMP_Parameters[Pool_ID],,0,)</f>
        <v>#N/A</v>
      </c>
      <c r="L23" s="142"/>
      <c r="M23" s="8"/>
    </row>
    <row r="24" spans="1:13" x14ac:dyDescent="0.25">
      <c r="A24" s="146" t="b">
        <v>0</v>
      </c>
      <c r="B24" s="7">
        <f t="shared" si="0"/>
        <v>23</v>
      </c>
      <c r="C24" s="7" t="e">
        <f>_xlfn.XLOOKUP($D24,Tab_Def_Processes[Process_Name],Tab_Def_Processes[Process_ID],,0,)</f>
        <v>#N/A</v>
      </c>
      <c r="D24" s="142" t="s">
        <v>22</v>
      </c>
      <c r="E24" s="7" t="e">
        <f>_xlfn.XLOOKUP($D24,Tab_Def_Processes[Process_Name],Tab_Def_Processes[Process_Logic],,0,)</f>
        <v>#N/A</v>
      </c>
      <c r="F24" s="7" t="e">
        <f>_xlfn.XLOOKUP($D24,Tab_Def_Processes[Process_Name],Tab_Def_Processes[TC_Configuration],,0,)</f>
        <v>#N/A</v>
      </c>
      <c r="G24" s="7" t="e">
        <f>_xlfn.XLOOKUP($D24,Tab_Def_Processes[Process_Name],Tab_Def_Processes[Stock_Configuration],,0,)</f>
        <v>#N/A</v>
      </c>
      <c r="H24" s="7" t="e">
        <f>_xlfn.XLOOKUP(Tab_FOMP[[#This Row],[Process_Name]],Tab_Def_Processes[Process_Name],Tab_Def_Processes[Outflow_count],,0,)</f>
        <v>#N/A</v>
      </c>
      <c r="I24" s="8"/>
      <c r="J24" s="142"/>
      <c r="K24" s="7" t="e">
        <f>"P"&amp;Tab_FOMP[[#This Row],[Process_ID]]&amp;"_"&amp;_xlfn.XLOOKUP($J24,CL_3.1_FOMP_Parameters[Category ID],CL_3.1_FOMP_Parameters[Pool_ID],,0,)</f>
        <v>#N/A</v>
      </c>
      <c r="L24" s="142"/>
      <c r="M24" s="8"/>
    </row>
    <row r="25" spans="1:13" x14ac:dyDescent="0.25">
      <c r="A25" s="146" t="b">
        <v>0</v>
      </c>
      <c r="B25" s="7">
        <f t="shared" si="0"/>
        <v>24</v>
      </c>
      <c r="C25" s="7" t="e">
        <f>_xlfn.XLOOKUP($D25,Tab_Def_Processes[Process_Name],Tab_Def_Processes[Process_ID],,0,)</f>
        <v>#N/A</v>
      </c>
      <c r="D25" s="142" t="s">
        <v>22</v>
      </c>
      <c r="E25" s="7" t="e">
        <f>_xlfn.XLOOKUP($D25,Tab_Def_Processes[Process_Name],Tab_Def_Processes[Process_Logic],,0,)</f>
        <v>#N/A</v>
      </c>
      <c r="F25" s="7" t="e">
        <f>_xlfn.XLOOKUP($D25,Tab_Def_Processes[Process_Name],Tab_Def_Processes[TC_Configuration],,0,)</f>
        <v>#N/A</v>
      </c>
      <c r="G25" s="7" t="e">
        <f>_xlfn.XLOOKUP($D25,Tab_Def_Processes[Process_Name],Tab_Def_Processes[Stock_Configuration],,0,)</f>
        <v>#N/A</v>
      </c>
      <c r="H25" s="7" t="e">
        <f>_xlfn.XLOOKUP(Tab_FOMP[[#This Row],[Process_Name]],Tab_Def_Processes[Process_Name],Tab_Def_Processes[Outflow_count],,0,)</f>
        <v>#N/A</v>
      </c>
      <c r="I25" s="8"/>
      <c r="J25" s="142"/>
      <c r="K25" s="7" t="e">
        <f>"P"&amp;Tab_FOMP[[#This Row],[Process_ID]]&amp;"_"&amp;_xlfn.XLOOKUP($J25,CL_3.1_FOMP_Parameters[Category ID],CL_3.1_FOMP_Parameters[Pool_ID],,0,)</f>
        <v>#N/A</v>
      </c>
      <c r="L25" s="142"/>
      <c r="M25" s="8"/>
    </row>
    <row r="26" spans="1:13" x14ac:dyDescent="0.25">
      <c r="A26" s="146" t="b">
        <v>0</v>
      </c>
      <c r="B26" s="7">
        <f t="shared" si="0"/>
        <v>25</v>
      </c>
      <c r="C26" s="7" t="e">
        <f>_xlfn.XLOOKUP($D26,Tab_Def_Processes[Process_Name],Tab_Def_Processes[Process_ID],,0,)</f>
        <v>#N/A</v>
      </c>
      <c r="D26" s="142" t="s">
        <v>22</v>
      </c>
      <c r="E26" s="7" t="e">
        <f>_xlfn.XLOOKUP($D26,Tab_Def_Processes[Process_Name],Tab_Def_Processes[Process_Logic],,0,)</f>
        <v>#N/A</v>
      </c>
      <c r="F26" s="7" t="e">
        <f>_xlfn.XLOOKUP($D26,Tab_Def_Processes[Process_Name],Tab_Def_Processes[TC_Configuration],,0,)</f>
        <v>#N/A</v>
      </c>
      <c r="G26" s="7" t="e">
        <f>_xlfn.XLOOKUP($D26,Tab_Def_Processes[Process_Name],Tab_Def_Processes[Stock_Configuration],,0,)</f>
        <v>#N/A</v>
      </c>
      <c r="H26" s="7" t="e">
        <f>_xlfn.XLOOKUP(Tab_FOMP[[#This Row],[Process_Name]],Tab_Def_Processes[Process_Name],Tab_Def_Processes[Outflow_count],,0,)</f>
        <v>#N/A</v>
      </c>
      <c r="I26" s="8"/>
      <c r="J26" s="142"/>
      <c r="K26" s="7" t="e">
        <f>"P"&amp;Tab_FOMP[[#This Row],[Process_ID]]&amp;"_"&amp;_xlfn.XLOOKUP($J26,CL_3.1_FOMP_Parameters[Category ID],CL_3.1_FOMP_Parameters[Pool_ID],,0,)</f>
        <v>#N/A</v>
      </c>
      <c r="L26" s="142"/>
      <c r="M26" s="8"/>
    </row>
    <row r="27" spans="1:13" x14ac:dyDescent="0.25">
      <c r="A27" s="146" t="b">
        <v>0</v>
      </c>
      <c r="B27" s="7">
        <f t="shared" si="0"/>
        <v>26</v>
      </c>
      <c r="C27" s="7" t="e">
        <f>_xlfn.XLOOKUP($D27,Tab_Def_Processes[Process_Name],Tab_Def_Processes[Process_ID],,0,)</f>
        <v>#N/A</v>
      </c>
      <c r="D27" s="142" t="s">
        <v>22</v>
      </c>
      <c r="E27" s="7" t="e">
        <f>_xlfn.XLOOKUP($D27,Tab_Def_Processes[Process_Name],Tab_Def_Processes[Process_Logic],,0,)</f>
        <v>#N/A</v>
      </c>
      <c r="F27" s="7" t="e">
        <f>_xlfn.XLOOKUP($D27,Tab_Def_Processes[Process_Name],Tab_Def_Processes[TC_Configuration],,0,)</f>
        <v>#N/A</v>
      </c>
      <c r="G27" s="7" t="e">
        <f>_xlfn.XLOOKUP($D27,Tab_Def_Processes[Process_Name],Tab_Def_Processes[Stock_Configuration],,0,)</f>
        <v>#N/A</v>
      </c>
      <c r="H27" s="7" t="e">
        <f>_xlfn.XLOOKUP(Tab_FOMP[[#This Row],[Process_Name]],Tab_Def_Processes[Process_Name],Tab_Def_Processes[Outflow_count],,0,)</f>
        <v>#N/A</v>
      </c>
      <c r="I27" s="8"/>
      <c r="J27" s="142"/>
      <c r="K27" s="7" t="e">
        <f>"P"&amp;Tab_FOMP[[#This Row],[Process_ID]]&amp;"_"&amp;_xlfn.XLOOKUP($J27,CL_3.1_FOMP_Parameters[Category ID],CL_3.1_FOMP_Parameters[Pool_ID],,0,)</f>
        <v>#N/A</v>
      </c>
      <c r="L27" s="142"/>
      <c r="M27" s="8"/>
    </row>
    <row r="28" spans="1:13" x14ac:dyDescent="0.25">
      <c r="A28" s="146" t="b">
        <v>0</v>
      </c>
      <c r="B28" s="7">
        <f t="shared" si="0"/>
        <v>27</v>
      </c>
      <c r="C28" s="7" t="e">
        <f>_xlfn.XLOOKUP($D28,Tab_Def_Processes[Process_Name],Tab_Def_Processes[Process_ID],,0,)</f>
        <v>#N/A</v>
      </c>
      <c r="D28" s="142" t="s">
        <v>22</v>
      </c>
      <c r="E28" s="7" t="e">
        <f>_xlfn.XLOOKUP($D28,Tab_Def_Processes[Process_Name],Tab_Def_Processes[Process_Logic],,0,)</f>
        <v>#N/A</v>
      </c>
      <c r="F28" s="7" t="e">
        <f>_xlfn.XLOOKUP($D28,Tab_Def_Processes[Process_Name],Tab_Def_Processes[TC_Configuration],,0,)</f>
        <v>#N/A</v>
      </c>
      <c r="G28" s="7" t="e">
        <f>_xlfn.XLOOKUP($D28,Tab_Def_Processes[Process_Name],Tab_Def_Processes[Stock_Configuration],,0,)</f>
        <v>#N/A</v>
      </c>
      <c r="H28" s="7" t="e">
        <f>_xlfn.XLOOKUP(Tab_FOMP[[#This Row],[Process_Name]],Tab_Def_Processes[Process_Name],Tab_Def_Processes[Outflow_count],,0,)</f>
        <v>#N/A</v>
      </c>
      <c r="I28" s="8"/>
      <c r="J28" s="142"/>
      <c r="K28" s="7" t="e">
        <f>"P"&amp;Tab_FOMP[[#This Row],[Process_ID]]&amp;"_"&amp;_xlfn.XLOOKUP($J28,CL_3.1_FOMP_Parameters[Category ID],CL_3.1_FOMP_Parameters[Pool_ID],,0,)</f>
        <v>#N/A</v>
      </c>
      <c r="L28" s="142"/>
      <c r="M28" s="8"/>
    </row>
    <row r="29" spans="1:13" x14ac:dyDescent="0.25">
      <c r="A29" s="146" t="b">
        <v>0</v>
      </c>
      <c r="B29" s="7">
        <f t="shared" si="0"/>
        <v>28</v>
      </c>
      <c r="C29" s="7" t="e">
        <f>_xlfn.XLOOKUP($D29,Tab_Def_Processes[Process_Name],Tab_Def_Processes[Process_ID],,0,)</f>
        <v>#N/A</v>
      </c>
      <c r="D29" s="142" t="s">
        <v>22</v>
      </c>
      <c r="E29" s="7" t="e">
        <f>_xlfn.XLOOKUP($D29,Tab_Def_Processes[Process_Name],Tab_Def_Processes[Process_Logic],,0,)</f>
        <v>#N/A</v>
      </c>
      <c r="F29" s="7" t="e">
        <f>_xlfn.XLOOKUP($D29,Tab_Def_Processes[Process_Name],Tab_Def_Processes[TC_Configuration],,0,)</f>
        <v>#N/A</v>
      </c>
      <c r="G29" s="7" t="e">
        <f>_xlfn.XLOOKUP($D29,Tab_Def_Processes[Process_Name],Tab_Def_Processes[Stock_Configuration],,0,)</f>
        <v>#N/A</v>
      </c>
      <c r="H29" s="7" t="e">
        <f>_xlfn.XLOOKUP(Tab_FOMP[[#This Row],[Process_Name]],Tab_Def_Processes[Process_Name],Tab_Def_Processes[Outflow_count],,0,)</f>
        <v>#N/A</v>
      </c>
      <c r="I29" s="8"/>
      <c r="J29" s="142"/>
      <c r="K29" s="7" t="e">
        <f>"P"&amp;Tab_FOMP[[#This Row],[Process_ID]]&amp;"_"&amp;_xlfn.XLOOKUP($J29,CL_3.1_FOMP_Parameters[Category ID],CL_3.1_FOMP_Parameters[Pool_ID],,0,)</f>
        <v>#N/A</v>
      </c>
      <c r="L29" s="142"/>
      <c r="M29" s="8"/>
    </row>
    <row r="30" spans="1:13" x14ac:dyDescent="0.25">
      <c r="A30" s="146" t="b">
        <v>0</v>
      </c>
      <c r="B30" s="7">
        <f t="shared" si="0"/>
        <v>29</v>
      </c>
      <c r="C30" s="7" t="e">
        <f>_xlfn.XLOOKUP($D30,Tab_Def_Processes[Process_Name],Tab_Def_Processes[Process_ID],,0,)</f>
        <v>#N/A</v>
      </c>
      <c r="D30" s="142" t="s">
        <v>22</v>
      </c>
      <c r="E30" s="7" t="e">
        <f>_xlfn.XLOOKUP($D30,Tab_Def_Processes[Process_Name],Tab_Def_Processes[Process_Logic],,0,)</f>
        <v>#N/A</v>
      </c>
      <c r="F30" s="7" t="e">
        <f>_xlfn.XLOOKUP($D30,Tab_Def_Processes[Process_Name],Tab_Def_Processes[TC_Configuration],,0,)</f>
        <v>#N/A</v>
      </c>
      <c r="G30" s="7" t="e">
        <f>_xlfn.XLOOKUP($D30,Tab_Def_Processes[Process_Name],Tab_Def_Processes[Stock_Configuration],,0,)</f>
        <v>#N/A</v>
      </c>
      <c r="H30" s="7" t="e">
        <f>_xlfn.XLOOKUP(Tab_FOMP[[#This Row],[Process_Name]],Tab_Def_Processes[Process_Name],Tab_Def_Processes[Outflow_count],,0,)</f>
        <v>#N/A</v>
      </c>
      <c r="I30" s="8"/>
      <c r="J30" s="142"/>
      <c r="K30" s="7" t="e">
        <f>"P"&amp;Tab_FOMP[[#This Row],[Process_ID]]&amp;"_"&amp;_xlfn.XLOOKUP($J30,CL_3.1_FOMP_Parameters[Category ID],CL_3.1_FOMP_Parameters[Pool_ID],,0,)</f>
        <v>#N/A</v>
      </c>
      <c r="L30" s="142"/>
      <c r="M30" s="8"/>
    </row>
    <row r="31" spans="1:13" x14ac:dyDescent="0.25">
      <c r="A31" s="146" t="b">
        <v>0</v>
      </c>
      <c r="B31" s="7">
        <f t="shared" si="0"/>
        <v>30</v>
      </c>
      <c r="C31" s="7" t="e">
        <f>_xlfn.XLOOKUP($D31,Tab_Def_Processes[Process_Name],Tab_Def_Processes[Process_ID],,0,)</f>
        <v>#N/A</v>
      </c>
      <c r="D31" s="142" t="s">
        <v>22</v>
      </c>
      <c r="E31" s="7" t="e">
        <f>_xlfn.XLOOKUP($D31,Tab_Def_Processes[Process_Name],Tab_Def_Processes[Process_Logic],,0,)</f>
        <v>#N/A</v>
      </c>
      <c r="F31" s="7" t="e">
        <f>_xlfn.XLOOKUP($D31,Tab_Def_Processes[Process_Name],Tab_Def_Processes[TC_Configuration],,0,)</f>
        <v>#N/A</v>
      </c>
      <c r="G31" s="7" t="e">
        <f>_xlfn.XLOOKUP($D31,Tab_Def_Processes[Process_Name],Tab_Def_Processes[Stock_Configuration],,0,)</f>
        <v>#N/A</v>
      </c>
      <c r="H31" s="7" t="e">
        <f>_xlfn.XLOOKUP(Tab_FOMP[[#This Row],[Process_Name]],Tab_Def_Processes[Process_Name],Tab_Def_Processes[Outflow_count],,0,)</f>
        <v>#N/A</v>
      </c>
      <c r="I31" s="8"/>
      <c r="J31" s="142"/>
      <c r="K31" s="7" t="e">
        <f>"P"&amp;Tab_FOMP[[#This Row],[Process_ID]]&amp;"_"&amp;_xlfn.XLOOKUP($J31,CL_3.1_FOMP_Parameters[Category ID],CL_3.1_FOMP_Parameters[Pool_ID],,0,)</f>
        <v>#N/A</v>
      </c>
      <c r="L31" s="142"/>
      <c r="M31" s="8"/>
    </row>
    <row r="32" spans="1:13" x14ac:dyDescent="0.25">
      <c r="A32" s="146" t="b">
        <v>0</v>
      </c>
      <c r="B32" s="7">
        <f t="shared" si="0"/>
        <v>31</v>
      </c>
      <c r="C32" s="7" t="e">
        <f>_xlfn.XLOOKUP($D32,Tab_Def_Processes[Process_Name],Tab_Def_Processes[Process_ID],,0,)</f>
        <v>#N/A</v>
      </c>
      <c r="D32" s="142" t="s">
        <v>22</v>
      </c>
      <c r="E32" s="7" t="e">
        <f>_xlfn.XLOOKUP($D32,Tab_Def_Processes[Process_Name],Tab_Def_Processes[Process_Logic],,0,)</f>
        <v>#N/A</v>
      </c>
      <c r="F32" s="7" t="e">
        <f>_xlfn.XLOOKUP($D32,Tab_Def_Processes[Process_Name],Tab_Def_Processes[TC_Configuration],,0,)</f>
        <v>#N/A</v>
      </c>
      <c r="G32" s="7" t="e">
        <f>_xlfn.XLOOKUP($D32,Tab_Def_Processes[Process_Name],Tab_Def_Processes[Stock_Configuration],,0,)</f>
        <v>#N/A</v>
      </c>
      <c r="H32" s="7" t="e">
        <f>_xlfn.XLOOKUP(Tab_FOMP[[#This Row],[Process_Name]],Tab_Def_Processes[Process_Name],Tab_Def_Processes[Outflow_count],,0,)</f>
        <v>#N/A</v>
      </c>
      <c r="I32" s="8"/>
      <c r="J32" s="142"/>
      <c r="K32" s="7" t="e">
        <f>"P"&amp;Tab_FOMP[[#This Row],[Process_ID]]&amp;"_"&amp;_xlfn.XLOOKUP($J32,CL_3.1_FOMP_Parameters[Category ID],CL_3.1_FOMP_Parameters[Pool_ID],,0,)</f>
        <v>#N/A</v>
      </c>
      <c r="L32" s="142"/>
      <c r="M32" s="8"/>
    </row>
    <row r="33" spans="1:13" x14ac:dyDescent="0.25">
      <c r="A33" s="146" t="b">
        <v>0</v>
      </c>
      <c r="B33" s="7">
        <f t="shared" si="0"/>
        <v>32</v>
      </c>
      <c r="C33" s="7" t="e">
        <f>_xlfn.XLOOKUP($D33,Tab_Def_Processes[Process_Name],Tab_Def_Processes[Process_ID],,0,)</f>
        <v>#N/A</v>
      </c>
      <c r="D33" s="142" t="s">
        <v>22</v>
      </c>
      <c r="E33" s="7" t="e">
        <f>_xlfn.XLOOKUP($D33,Tab_Def_Processes[Process_Name],Tab_Def_Processes[Process_Logic],,0,)</f>
        <v>#N/A</v>
      </c>
      <c r="F33" s="7" t="e">
        <f>_xlfn.XLOOKUP($D33,Tab_Def_Processes[Process_Name],Tab_Def_Processes[TC_Configuration],,0,)</f>
        <v>#N/A</v>
      </c>
      <c r="G33" s="7" t="e">
        <f>_xlfn.XLOOKUP($D33,Tab_Def_Processes[Process_Name],Tab_Def_Processes[Stock_Configuration],,0,)</f>
        <v>#N/A</v>
      </c>
      <c r="H33" s="7" t="e">
        <f>_xlfn.XLOOKUP(Tab_FOMP[[#This Row],[Process_Name]],Tab_Def_Processes[Process_Name],Tab_Def_Processes[Outflow_count],,0,)</f>
        <v>#N/A</v>
      </c>
      <c r="I33" s="8"/>
      <c r="J33" s="142"/>
      <c r="K33" s="7" t="e">
        <f>"P"&amp;Tab_FOMP[[#This Row],[Process_ID]]&amp;"_"&amp;_xlfn.XLOOKUP($J33,CL_3.1_FOMP_Parameters[Category ID],CL_3.1_FOMP_Parameters[Pool_ID],,0,)</f>
        <v>#N/A</v>
      </c>
      <c r="L33" s="142"/>
      <c r="M33" s="8"/>
    </row>
    <row r="34" spans="1:13" x14ac:dyDescent="0.25">
      <c r="A34" s="146" t="b">
        <v>0</v>
      </c>
      <c r="B34" s="7">
        <f t="shared" si="0"/>
        <v>33</v>
      </c>
      <c r="C34" s="7" t="e">
        <f>_xlfn.XLOOKUP($D34,Tab_Def_Processes[Process_Name],Tab_Def_Processes[Process_ID],,0,)</f>
        <v>#N/A</v>
      </c>
      <c r="D34" s="142" t="s">
        <v>22</v>
      </c>
      <c r="E34" s="7" t="e">
        <f>_xlfn.XLOOKUP($D34,Tab_Def_Processes[Process_Name],Tab_Def_Processes[Process_Logic],,0,)</f>
        <v>#N/A</v>
      </c>
      <c r="F34" s="7" t="e">
        <f>_xlfn.XLOOKUP($D34,Tab_Def_Processes[Process_Name],Tab_Def_Processes[TC_Configuration],,0,)</f>
        <v>#N/A</v>
      </c>
      <c r="G34" s="7" t="e">
        <f>_xlfn.XLOOKUP($D34,Tab_Def_Processes[Process_Name],Tab_Def_Processes[Stock_Configuration],,0,)</f>
        <v>#N/A</v>
      </c>
      <c r="H34" s="7" t="e">
        <f>_xlfn.XLOOKUP(Tab_FOMP[[#This Row],[Process_Name]],Tab_Def_Processes[Process_Name],Tab_Def_Processes[Outflow_count],,0,)</f>
        <v>#N/A</v>
      </c>
      <c r="I34" s="8"/>
      <c r="J34" s="142"/>
      <c r="K34" s="7" t="e">
        <f>"P"&amp;Tab_FOMP[[#This Row],[Process_ID]]&amp;"_"&amp;_xlfn.XLOOKUP($J34,CL_3.1_FOMP_Parameters[Category ID],CL_3.1_FOMP_Parameters[Pool_ID],,0,)</f>
        <v>#N/A</v>
      </c>
      <c r="L34" s="142"/>
      <c r="M34" s="8"/>
    </row>
    <row r="35" spans="1:13" x14ac:dyDescent="0.25">
      <c r="A35" s="146" t="b">
        <v>0</v>
      </c>
      <c r="B35" s="7">
        <f t="shared" si="0"/>
        <v>34</v>
      </c>
      <c r="C35" s="7" t="e">
        <f>_xlfn.XLOOKUP($D35,Tab_Def_Processes[Process_Name],Tab_Def_Processes[Process_ID],,0,)</f>
        <v>#N/A</v>
      </c>
      <c r="D35" s="142" t="s">
        <v>22</v>
      </c>
      <c r="E35" s="7" t="e">
        <f>_xlfn.XLOOKUP($D35,Tab_Def_Processes[Process_Name],Tab_Def_Processes[Process_Logic],,0,)</f>
        <v>#N/A</v>
      </c>
      <c r="F35" s="7" t="e">
        <f>_xlfn.XLOOKUP($D35,Tab_Def_Processes[Process_Name],Tab_Def_Processes[TC_Configuration],,0,)</f>
        <v>#N/A</v>
      </c>
      <c r="G35" s="7" t="e">
        <f>_xlfn.XLOOKUP($D35,Tab_Def_Processes[Process_Name],Tab_Def_Processes[Stock_Configuration],,0,)</f>
        <v>#N/A</v>
      </c>
      <c r="H35" s="7" t="e">
        <f>_xlfn.XLOOKUP(Tab_FOMP[[#This Row],[Process_Name]],Tab_Def_Processes[Process_Name],Tab_Def_Processes[Outflow_count],,0,)</f>
        <v>#N/A</v>
      </c>
      <c r="I35" s="8"/>
      <c r="J35" s="142"/>
      <c r="K35" s="7" t="e">
        <f>"P"&amp;Tab_FOMP[[#This Row],[Process_ID]]&amp;"_"&amp;_xlfn.XLOOKUP($J35,CL_3.1_FOMP_Parameters[Category ID],CL_3.1_FOMP_Parameters[Pool_ID],,0,)</f>
        <v>#N/A</v>
      </c>
      <c r="L35" s="142"/>
      <c r="M35" s="8"/>
    </row>
    <row r="36" spans="1:13" x14ac:dyDescent="0.25">
      <c r="A36" s="146" t="b">
        <v>0</v>
      </c>
      <c r="B36" s="7">
        <f t="shared" si="0"/>
        <v>35</v>
      </c>
      <c r="C36" s="7" t="e">
        <f>_xlfn.XLOOKUP($D36,Tab_Def_Processes[Process_Name],Tab_Def_Processes[Process_ID],,0,)</f>
        <v>#N/A</v>
      </c>
      <c r="D36" s="142" t="s">
        <v>22</v>
      </c>
      <c r="E36" s="7" t="e">
        <f>_xlfn.XLOOKUP($D36,Tab_Def_Processes[Process_Name],Tab_Def_Processes[Process_Logic],,0,)</f>
        <v>#N/A</v>
      </c>
      <c r="F36" s="7" t="e">
        <f>_xlfn.XLOOKUP($D36,Tab_Def_Processes[Process_Name],Tab_Def_Processes[TC_Configuration],,0,)</f>
        <v>#N/A</v>
      </c>
      <c r="G36" s="7" t="e">
        <f>_xlfn.XLOOKUP($D36,Tab_Def_Processes[Process_Name],Tab_Def_Processes[Stock_Configuration],,0,)</f>
        <v>#N/A</v>
      </c>
      <c r="H36" s="7" t="e">
        <f>_xlfn.XLOOKUP(Tab_FOMP[[#This Row],[Process_Name]],Tab_Def_Processes[Process_Name],Tab_Def_Processes[Outflow_count],,0,)</f>
        <v>#N/A</v>
      </c>
      <c r="I36" s="8"/>
      <c r="J36" s="142"/>
      <c r="K36" s="7" t="e">
        <f>"P"&amp;Tab_FOMP[[#This Row],[Process_ID]]&amp;"_"&amp;_xlfn.XLOOKUP($J36,CL_3.1_FOMP_Parameters[Category ID],CL_3.1_FOMP_Parameters[Pool_ID],,0,)</f>
        <v>#N/A</v>
      </c>
      <c r="L36" s="142"/>
      <c r="M36" s="8"/>
    </row>
    <row r="37" spans="1:13" x14ac:dyDescent="0.25">
      <c r="A37" s="146" t="b">
        <v>0</v>
      </c>
      <c r="B37" s="7">
        <f t="shared" si="0"/>
        <v>36</v>
      </c>
      <c r="C37" s="7" t="e">
        <f>_xlfn.XLOOKUP($D37,Tab_Def_Processes[Process_Name],Tab_Def_Processes[Process_ID],,0,)</f>
        <v>#N/A</v>
      </c>
      <c r="D37" s="142" t="s">
        <v>22</v>
      </c>
      <c r="E37" s="7" t="e">
        <f>_xlfn.XLOOKUP($D37,Tab_Def_Processes[Process_Name],Tab_Def_Processes[Process_Logic],,0,)</f>
        <v>#N/A</v>
      </c>
      <c r="F37" s="7" t="e">
        <f>_xlfn.XLOOKUP($D37,Tab_Def_Processes[Process_Name],Tab_Def_Processes[TC_Configuration],,0,)</f>
        <v>#N/A</v>
      </c>
      <c r="G37" s="7" t="e">
        <f>_xlfn.XLOOKUP($D37,Tab_Def_Processes[Process_Name],Tab_Def_Processes[Stock_Configuration],,0,)</f>
        <v>#N/A</v>
      </c>
      <c r="H37" s="7" t="e">
        <f>_xlfn.XLOOKUP(Tab_FOMP[[#This Row],[Process_Name]],Tab_Def_Processes[Process_Name],Tab_Def_Processes[Outflow_count],,0,)</f>
        <v>#N/A</v>
      </c>
      <c r="I37" s="8"/>
      <c r="J37" s="142"/>
      <c r="K37" s="7" t="e">
        <f>"P"&amp;Tab_FOMP[[#This Row],[Process_ID]]&amp;"_"&amp;_xlfn.XLOOKUP($J37,CL_3.1_FOMP_Parameters[Category ID],CL_3.1_FOMP_Parameters[Pool_ID],,0,)</f>
        <v>#N/A</v>
      </c>
      <c r="L37" s="142"/>
      <c r="M37" s="8"/>
    </row>
    <row r="38" spans="1:13" x14ac:dyDescent="0.25">
      <c r="A38" s="146" t="b">
        <v>0</v>
      </c>
      <c r="B38" s="7">
        <f t="shared" si="0"/>
        <v>37</v>
      </c>
      <c r="C38" s="7" t="e">
        <f>_xlfn.XLOOKUP($D38,Tab_Def_Processes[Process_Name],Tab_Def_Processes[Process_ID],,0,)</f>
        <v>#N/A</v>
      </c>
      <c r="D38" s="142" t="s">
        <v>22</v>
      </c>
      <c r="E38" s="7" t="e">
        <f>_xlfn.XLOOKUP($D38,Tab_Def_Processes[Process_Name],Tab_Def_Processes[Process_Logic],,0,)</f>
        <v>#N/A</v>
      </c>
      <c r="F38" s="7" t="e">
        <f>_xlfn.XLOOKUP($D38,Tab_Def_Processes[Process_Name],Tab_Def_Processes[TC_Configuration],,0,)</f>
        <v>#N/A</v>
      </c>
      <c r="G38" s="7" t="e">
        <f>_xlfn.XLOOKUP($D38,Tab_Def_Processes[Process_Name],Tab_Def_Processes[Stock_Configuration],,0,)</f>
        <v>#N/A</v>
      </c>
      <c r="H38" s="7" t="e">
        <f>_xlfn.XLOOKUP(Tab_FOMP[[#This Row],[Process_Name]],Tab_Def_Processes[Process_Name],Tab_Def_Processes[Outflow_count],,0,)</f>
        <v>#N/A</v>
      </c>
      <c r="I38" s="8"/>
      <c r="J38" s="142"/>
      <c r="K38" s="7" t="e">
        <f>"P"&amp;Tab_FOMP[[#This Row],[Process_ID]]&amp;"_"&amp;_xlfn.XLOOKUP($J38,CL_3.1_FOMP_Parameters[Category ID],CL_3.1_FOMP_Parameters[Pool_ID],,0,)</f>
        <v>#N/A</v>
      </c>
      <c r="L38" s="142"/>
      <c r="M38" s="8"/>
    </row>
    <row r="39" spans="1:13" x14ac:dyDescent="0.25">
      <c r="A39" s="146" t="b">
        <v>0</v>
      </c>
      <c r="B39" s="7">
        <f t="shared" si="0"/>
        <v>38</v>
      </c>
      <c r="C39" s="7" t="e">
        <f>_xlfn.XLOOKUP($D39,Tab_Def_Processes[Process_Name],Tab_Def_Processes[Process_ID],,0,)</f>
        <v>#N/A</v>
      </c>
      <c r="D39" s="142" t="s">
        <v>22</v>
      </c>
      <c r="E39" s="7" t="e">
        <f>_xlfn.XLOOKUP($D39,Tab_Def_Processes[Process_Name],Tab_Def_Processes[Process_Logic],,0,)</f>
        <v>#N/A</v>
      </c>
      <c r="F39" s="7" t="e">
        <f>_xlfn.XLOOKUP($D39,Tab_Def_Processes[Process_Name],Tab_Def_Processes[TC_Configuration],,0,)</f>
        <v>#N/A</v>
      </c>
      <c r="G39" s="7" t="e">
        <f>_xlfn.XLOOKUP($D39,Tab_Def_Processes[Process_Name],Tab_Def_Processes[Stock_Configuration],,0,)</f>
        <v>#N/A</v>
      </c>
      <c r="H39" s="7" t="e">
        <f>_xlfn.XLOOKUP(Tab_FOMP[[#This Row],[Process_Name]],Tab_Def_Processes[Process_Name],Tab_Def_Processes[Outflow_count],,0,)</f>
        <v>#N/A</v>
      </c>
      <c r="I39" s="8"/>
      <c r="J39" s="142"/>
      <c r="K39" s="7" t="e">
        <f>"P"&amp;Tab_FOMP[[#This Row],[Process_ID]]&amp;"_"&amp;_xlfn.XLOOKUP($J39,CL_3.1_FOMP_Parameters[Category ID],CL_3.1_FOMP_Parameters[Pool_ID],,0,)</f>
        <v>#N/A</v>
      </c>
      <c r="L39" s="142"/>
      <c r="M39" s="8"/>
    </row>
    <row r="40" spans="1:13" x14ac:dyDescent="0.25">
      <c r="A40" s="146" t="b">
        <v>0</v>
      </c>
      <c r="B40" s="7">
        <f t="shared" si="0"/>
        <v>39</v>
      </c>
      <c r="C40" s="7" t="e">
        <f>_xlfn.XLOOKUP($D40,Tab_Def_Processes[Process_Name],Tab_Def_Processes[Process_ID],,0,)</f>
        <v>#N/A</v>
      </c>
      <c r="D40" s="142" t="s">
        <v>22</v>
      </c>
      <c r="E40" s="7" t="e">
        <f>_xlfn.XLOOKUP($D40,Tab_Def_Processes[Process_Name],Tab_Def_Processes[Process_Logic],,0,)</f>
        <v>#N/A</v>
      </c>
      <c r="F40" s="7" t="e">
        <f>_xlfn.XLOOKUP($D40,Tab_Def_Processes[Process_Name],Tab_Def_Processes[TC_Configuration],,0,)</f>
        <v>#N/A</v>
      </c>
      <c r="G40" s="7" t="e">
        <f>_xlfn.XLOOKUP($D40,Tab_Def_Processes[Process_Name],Tab_Def_Processes[Stock_Configuration],,0,)</f>
        <v>#N/A</v>
      </c>
      <c r="H40" s="7" t="e">
        <f>_xlfn.XLOOKUP(Tab_FOMP[[#This Row],[Process_Name]],Tab_Def_Processes[Process_Name],Tab_Def_Processes[Outflow_count],,0,)</f>
        <v>#N/A</v>
      </c>
      <c r="I40" s="8"/>
      <c r="J40" s="142"/>
      <c r="K40" s="7" t="e">
        <f>"P"&amp;Tab_FOMP[[#This Row],[Process_ID]]&amp;"_"&amp;_xlfn.XLOOKUP($J40,CL_3.1_FOMP_Parameters[Category ID],CL_3.1_FOMP_Parameters[Pool_ID],,0,)</f>
        <v>#N/A</v>
      </c>
      <c r="L40" s="142"/>
      <c r="M40" s="8"/>
    </row>
    <row r="41" spans="1:13" x14ac:dyDescent="0.25">
      <c r="A41" s="146" t="b">
        <v>0</v>
      </c>
      <c r="B41" s="138">
        <f t="shared" si="0"/>
        <v>40</v>
      </c>
      <c r="C41" s="138" t="e">
        <f>_xlfn.XLOOKUP($D41,Tab_Def_Processes[Process_Name],Tab_Def_Processes[Process_ID],,0,)</f>
        <v>#N/A</v>
      </c>
      <c r="D41" s="142" t="s">
        <v>22</v>
      </c>
      <c r="E41" s="7" t="e">
        <f>_xlfn.XLOOKUP($D41,Tab_Def_Processes[Process_Name],Tab_Def_Processes[Process_Logic],,0,)</f>
        <v>#N/A</v>
      </c>
      <c r="F41" s="138" t="e">
        <f>_xlfn.XLOOKUP($D41,Tab_Def_Processes[Process_Name],Tab_Def_Processes[TC_Configuration],,0,)</f>
        <v>#N/A</v>
      </c>
      <c r="G41" s="138" t="e">
        <f>_xlfn.XLOOKUP($D41,Tab_Def_Processes[Process_Name],Tab_Def_Processes[Stock_Configuration],,0,)</f>
        <v>#N/A</v>
      </c>
      <c r="H41" s="7" t="e">
        <f>_xlfn.XLOOKUP(Tab_FOMP[[#This Row],[Process_Name]],Tab_Def_Processes[Process_Name],Tab_Def_Processes[Outflow_count],,0,)</f>
        <v>#N/A</v>
      </c>
      <c r="I41" s="8"/>
      <c r="J41" s="142"/>
      <c r="K41" s="7" t="e">
        <f>"P"&amp;Tab_FOMP[[#This Row],[Process_ID]]&amp;"_"&amp;_xlfn.XLOOKUP($J41,CL_3.1_FOMP_Parameters[Category ID],CL_3.1_FOMP_Parameters[Pool_ID],,0,)</f>
        <v>#N/A</v>
      </c>
      <c r="L41" s="142"/>
      <c r="M41" s="8"/>
    </row>
  </sheetData>
  <sheetProtection insertRows="0" deleteRows="0" selectLockedCells="1" autoFilter="0"/>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EA6BAE58-1DBB-4C8E-A40C-0F6C011242AB}">
          <x14:formula1>
            <xm:f>'7_2_Codelists'!$B$11:$B$18</xm:f>
          </x14:formula1>
          <xm:sqref>L2:L41</xm:sqref>
        </x14:dataValidation>
        <x14:dataValidation type="list" allowBlank="1" showInputMessage="1" showErrorMessage="1" xr:uid="{0F74E799-D021-40E5-9FC7-FFB2E7126E7C}">
          <x14:formula1>
            <xm:f>'2_1_Definition_Processes'!$D$2:$D$47</xm:f>
          </x14:formula1>
          <xm:sqref>D2:D41</xm:sqref>
        </x14:dataValidation>
        <x14:dataValidation type="list" allowBlank="1" showInputMessage="1" showErrorMessage="1" xr:uid="{C677F543-7B55-48C7-9CC3-4F4642619EDE}">
          <x14:formula1>
            <xm:f>'7_2_Codelists'!$A$22:$A$27</xm:f>
          </x14:formula1>
          <xm:sqref>J2:J41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5B3C3-E5FD-4744-A70C-0A1BF53E5836}">
  <sheetPr>
    <tabColor theme="7" tint="0.39997558519241921"/>
  </sheetPr>
  <dimension ref="A1:J13"/>
  <sheetViews>
    <sheetView zoomScale="205" zoomScaleNormal="205" workbookViewId="0">
      <selection activeCell="B2" sqref="B2"/>
    </sheetView>
  </sheetViews>
  <sheetFormatPr defaultRowHeight="15" x14ac:dyDescent="0.25"/>
  <cols>
    <col min="1" max="1" width="6.28515625" customWidth="1"/>
    <col min="2" max="3" width="25" customWidth="1"/>
    <col min="4" max="4" width="39.28515625" customWidth="1"/>
    <col min="5" max="5" width="17.28515625" customWidth="1"/>
    <col min="7" max="7" width="13.85546875" customWidth="1"/>
    <col min="10" max="10" width="9.140625" customWidth="1"/>
  </cols>
  <sheetData>
    <row r="1" spans="1:10" x14ac:dyDescent="0.25">
      <c r="A1" s="145" t="s">
        <v>19</v>
      </c>
      <c r="B1" s="145" t="s">
        <v>148</v>
      </c>
      <c r="C1" s="145" t="s">
        <v>260</v>
      </c>
      <c r="D1" s="145" t="s">
        <v>216</v>
      </c>
      <c r="E1" s="145" t="s">
        <v>217</v>
      </c>
      <c r="F1" s="145" t="s">
        <v>218</v>
      </c>
      <c r="G1" s="145" t="s">
        <v>219</v>
      </c>
      <c r="H1" s="145" t="s">
        <v>220</v>
      </c>
      <c r="I1" s="145" t="s">
        <v>221</v>
      </c>
      <c r="J1" s="145" t="s">
        <v>222</v>
      </c>
    </row>
    <row r="2" spans="1:10" x14ac:dyDescent="0.25">
      <c r="A2" s="7">
        <f>ROW()-1</f>
        <v>1</v>
      </c>
      <c r="B2" s="142"/>
      <c r="C2" s="142"/>
      <c r="D2" s="142"/>
      <c r="E2" s="142"/>
      <c r="F2" s="8"/>
      <c r="G2" s="8"/>
      <c r="H2" s="8"/>
      <c r="I2" s="8"/>
      <c r="J2" s="8"/>
    </row>
    <row r="3" spans="1:10" x14ac:dyDescent="0.25">
      <c r="A3" s="7">
        <f t="shared" ref="A3:A13" si="0">ROW()-1</f>
        <v>2</v>
      </c>
      <c r="B3" s="142"/>
      <c r="C3" s="142"/>
      <c r="D3" s="142"/>
      <c r="E3" s="142"/>
      <c r="F3" s="8"/>
      <c r="G3" s="8"/>
      <c r="H3" s="8"/>
      <c r="I3" s="8"/>
      <c r="J3" s="8"/>
    </row>
    <row r="4" spans="1:10" x14ac:dyDescent="0.25">
      <c r="A4" s="7">
        <f t="shared" si="0"/>
        <v>3</v>
      </c>
      <c r="B4" s="142"/>
      <c r="C4" s="142"/>
      <c r="D4" s="142"/>
      <c r="E4" s="142"/>
      <c r="F4" s="8"/>
      <c r="G4" s="8"/>
      <c r="H4" s="8"/>
      <c r="I4" s="8"/>
      <c r="J4" s="8"/>
    </row>
    <row r="5" spans="1:10" x14ac:dyDescent="0.25">
      <c r="A5" s="7">
        <f t="shared" si="0"/>
        <v>4</v>
      </c>
      <c r="B5" s="142"/>
      <c r="C5" s="142"/>
      <c r="D5" s="142"/>
      <c r="E5" s="142"/>
      <c r="F5" s="8"/>
      <c r="G5" s="8"/>
      <c r="H5" s="8"/>
      <c r="I5" s="8"/>
      <c r="J5" s="8"/>
    </row>
    <row r="6" spans="1:10" x14ac:dyDescent="0.25">
      <c r="A6" s="7">
        <f t="shared" si="0"/>
        <v>5</v>
      </c>
      <c r="B6" s="142"/>
      <c r="C6" s="142"/>
      <c r="D6" s="142"/>
      <c r="E6" s="142"/>
      <c r="F6" s="8"/>
      <c r="G6" s="8"/>
      <c r="H6" s="8"/>
      <c r="I6" s="8"/>
      <c r="J6" s="8"/>
    </row>
    <row r="7" spans="1:10" x14ac:dyDescent="0.25">
      <c r="A7" s="7">
        <f t="shared" si="0"/>
        <v>6</v>
      </c>
      <c r="B7" s="142"/>
      <c r="C7" s="142"/>
      <c r="D7" s="142"/>
      <c r="E7" s="142"/>
      <c r="F7" s="8"/>
      <c r="G7" s="8"/>
      <c r="H7" s="8"/>
      <c r="I7" s="8"/>
      <c r="J7" s="8"/>
    </row>
    <row r="8" spans="1:10" x14ac:dyDescent="0.25">
      <c r="A8" s="7">
        <f t="shared" si="0"/>
        <v>7</v>
      </c>
      <c r="B8" s="142"/>
      <c r="C8" s="142"/>
      <c r="D8" s="142"/>
      <c r="E8" s="142"/>
      <c r="F8" s="8"/>
      <c r="G8" s="8"/>
      <c r="H8" s="8"/>
      <c r="I8" s="8"/>
      <c r="J8" s="8"/>
    </row>
    <row r="9" spans="1:10" x14ac:dyDescent="0.25">
      <c r="A9" s="7">
        <f t="shared" si="0"/>
        <v>8</v>
      </c>
      <c r="B9" s="142"/>
      <c r="C9" s="142"/>
      <c r="D9" s="142"/>
      <c r="E9" s="142"/>
      <c r="F9" s="8"/>
      <c r="G9" s="8"/>
      <c r="H9" s="8"/>
      <c r="I9" s="8"/>
      <c r="J9" s="8"/>
    </row>
    <row r="10" spans="1:10" x14ac:dyDescent="0.25">
      <c r="A10" s="7">
        <f>ROW()-1</f>
        <v>9</v>
      </c>
      <c r="B10" s="142"/>
      <c r="C10" s="142"/>
      <c r="D10" s="142"/>
      <c r="E10" s="142"/>
      <c r="F10" s="8"/>
      <c r="G10" s="8"/>
      <c r="H10" s="8"/>
      <c r="I10" s="8"/>
      <c r="J10" s="8"/>
    </row>
    <row r="11" spans="1:10" x14ac:dyDescent="0.25">
      <c r="A11" s="7">
        <f t="shared" si="0"/>
        <v>10</v>
      </c>
      <c r="B11" s="142"/>
      <c r="C11" s="142"/>
      <c r="D11" s="142"/>
      <c r="E11" s="142"/>
      <c r="F11" s="8"/>
      <c r="G11" s="8"/>
      <c r="H11" s="8"/>
      <c r="I11" s="8"/>
      <c r="J11" s="8"/>
    </row>
    <row r="12" spans="1:10" x14ac:dyDescent="0.25">
      <c r="A12" s="7">
        <f t="shared" si="0"/>
        <v>11</v>
      </c>
      <c r="B12" s="142"/>
      <c r="C12" s="142"/>
      <c r="D12" s="142"/>
      <c r="E12" s="142"/>
      <c r="F12" s="8"/>
      <c r="G12" s="8"/>
      <c r="H12" s="8"/>
      <c r="I12" s="8"/>
      <c r="J12" s="8"/>
    </row>
    <row r="13" spans="1:10" x14ac:dyDescent="0.25">
      <c r="A13" s="7">
        <f t="shared" si="0"/>
        <v>12</v>
      </c>
      <c r="B13" s="142"/>
      <c r="C13" s="142"/>
      <c r="D13" s="142"/>
      <c r="E13" s="142"/>
      <c r="F13" s="8"/>
      <c r="G13" s="8"/>
      <c r="H13" s="8"/>
      <c r="I13" s="8"/>
      <c r="J13" s="8"/>
    </row>
  </sheetData>
  <dataConsolidate/>
  <dataValidations count="2">
    <dataValidation type="list" allowBlank="1" showInputMessage="1" showErrorMessage="1" sqref="B2:B13" xr:uid="{C029C34D-739F-413D-83BA-70EC3DB70980}">
      <formula1>List_Uncertainty_Parameters</formula1>
    </dataValidation>
    <dataValidation type="list" allowBlank="1" showInputMessage="1" showErrorMessage="1" sqref="C2:C13" xr:uid="{5F267A5C-A93C-4C7A-B724-7BB9D9BA346D}">
      <formula1>INDIRECT(B2)</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420FD32-E88F-4DD6-BA7F-C6D574D4F75A}">
          <x14:formula1>
            <xm:f>'7_2_Codelists'!$B$33:$B$36</xm:f>
          </x14:formula1>
          <xm:sqref>E2:E13</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187DC-6241-4681-9F98-633EB2C1D53F}">
  <sheetPr>
    <tabColor theme="7" tint="0.39997558519241921"/>
  </sheetPr>
  <dimension ref="A1:J18"/>
  <sheetViews>
    <sheetView zoomScaleNormal="100" workbookViewId="0">
      <selection activeCell="E31" sqref="E31"/>
    </sheetView>
  </sheetViews>
  <sheetFormatPr defaultRowHeight="15" x14ac:dyDescent="0.25"/>
  <cols>
    <col min="1" max="1" width="6.28515625" customWidth="1"/>
    <col min="2" max="2" width="37" customWidth="1"/>
    <col min="3" max="4" width="25" customWidth="1"/>
    <col min="5" max="6" width="25.28515625" customWidth="1"/>
    <col min="7" max="9" width="15.5703125" customWidth="1"/>
    <col min="10" max="10" width="23.28515625" customWidth="1"/>
  </cols>
  <sheetData>
    <row r="1" spans="1:10" x14ac:dyDescent="0.25">
      <c r="A1" s="145" t="s">
        <v>19</v>
      </c>
      <c r="B1" s="145" t="s">
        <v>296</v>
      </c>
      <c r="C1" s="145" t="s">
        <v>148</v>
      </c>
      <c r="D1" s="145" t="s">
        <v>260</v>
      </c>
      <c r="E1" s="145" t="s">
        <v>216</v>
      </c>
      <c r="F1" s="145" t="s">
        <v>290</v>
      </c>
      <c r="G1" s="145" t="s">
        <v>261</v>
      </c>
      <c r="H1" s="145" t="s">
        <v>542</v>
      </c>
      <c r="I1" s="145" t="s">
        <v>543</v>
      </c>
      <c r="J1" s="145" t="s">
        <v>27</v>
      </c>
    </row>
    <row r="2" spans="1:10" x14ac:dyDescent="0.25">
      <c r="A2" s="7">
        <f>ROW()-1</f>
        <v>1</v>
      </c>
      <c r="B2" s="142" t="s">
        <v>521</v>
      </c>
      <c r="C2" s="142"/>
      <c r="D2" s="142"/>
      <c r="E2" s="142" t="s">
        <v>572</v>
      </c>
      <c r="F2" s="142" t="s">
        <v>294</v>
      </c>
      <c r="G2" s="140" t="s">
        <v>634</v>
      </c>
      <c r="H2" s="8">
        <v>2030</v>
      </c>
      <c r="I2" s="8">
        <v>2100</v>
      </c>
      <c r="J2" s="15"/>
    </row>
    <row r="3" spans="1:10" ht="12" customHeight="1" x14ac:dyDescent="0.25">
      <c r="A3" s="7">
        <f t="shared" ref="A3:A18" si="0">ROW()-1</f>
        <v>2</v>
      </c>
      <c r="B3" s="142" t="s">
        <v>521</v>
      </c>
      <c r="C3" s="142"/>
      <c r="D3" s="142"/>
      <c r="E3" s="142" t="s">
        <v>631</v>
      </c>
      <c r="F3" s="142" t="s">
        <v>294</v>
      </c>
      <c r="G3" s="140" t="s">
        <v>634</v>
      </c>
      <c r="H3" s="8">
        <v>2030</v>
      </c>
      <c r="I3" s="8">
        <v>2100</v>
      </c>
      <c r="J3" s="15"/>
    </row>
    <row r="4" spans="1:10" x14ac:dyDescent="0.25">
      <c r="A4" s="7">
        <f t="shared" ref="A4:A17" si="1">ROW()-1</f>
        <v>3</v>
      </c>
      <c r="B4" s="142" t="s">
        <v>546</v>
      </c>
      <c r="C4" s="142"/>
      <c r="D4" s="142"/>
      <c r="E4" s="142" t="s">
        <v>632</v>
      </c>
      <c r="F4" s="142" t="s">
        <v>288</v>
      </c>
      <c r="G4" s="150">
        <v>0.25</v>
      </c>
      <c r="H4" s="8">
        <v>2025</v>
      </c>
      <c r="I4" s="8">
        <v>2030</v>
      </c>
      <c r="J4" s="15"/>
    </row>
    <row r="5" spans="1:10" x14ac:dyDescent="0.25">
      <c r="A5" s="7">
        <f t="shared" si="1"/>
        <v>4</v>
      </c>
      <c r="B5" s="142" t="s">
        <v>546</v>
      </c>
      <c r="C5" s="142"/>
      <c r="D5" s="142"/>
      <c r="E5" s="142" t="s">
        <v>633</v>
      </c>
      <c r="F5" s="142" t="s">
        <v>288</v>
      </c>
      <c r="G5" s="150">
        <v>0.75</v>
      </c>
      <c r="H5" s="8">
        <v>2025</v>
      </c>
      <c r="I5" s="8">
        <v>2030</v>
      </c>
      <c r="J5" s="15"/>
    </row>
    <row r="6" spans="1:10" x14ac:dyDescent="0.25">
      <c r="A6" s="7">
        <f t="shared" ref="A6:A15" si="2">ROW()-1</f>
        <v>5</v>
      </c>
      <c r="B6" s="142" t="s">
        <v>546</v>
      </c>
      <c r="C6" s="142"/>
      <c r="D6" s="142"/>
      <c r="E6" s="142" t="s">
        <v>632</v>
      </c>
      <c r="F6" s="142" t="s">
        <v>288</v>
      </c>
      <c r="G6" s="150">
        <v>0.3</v>
      </c>
      <c r="H6" s="8">
        <v>2030</v>
      </c>
      <c r="I6" s="8">
        <v>2035</v>
      </c>
      <c r="J6" s="15"/>
    </row>
    <row r="7" spans="1:10" x14ac:dyDescent="0.25">
      <c r="A7" s="7">
        <f t="shared" si="2"/>
        <v>6</v>
      </c>
      <c r="B7" s="142" t="s">
        <v>546</v>
      </c>
      <c r="C7" s="142"/>
      <c r="D7" s="142"/>
      <c r="E7" s="142" t="s">
        <v>633</v>
      </c>
      <c r="F7" s="142" t="s">
        <v>288</v>
      </c>
      <c r="G7" s="150">
        <v>0.7</v>
      </c>
      <c r="H7" s="8">
        <v>2030</v>
      </c>
      <c r="I7" s="8">
        <v>2035</v>
      </c>
      <c r="J7" s="15"/>
    </row>
    <row r="8" spans="1:10" x14ac:dyDescent="0.25">
      <c r="A8" s="7">
        <f t="shared" si="2"/>
        <v>7</v>
      </c>
      <c r="B8" s="142" t="s">
        <v>546</v>
      </c>
      <c r="C8" s="142"/>
      <c r="D8" s="142"/>
      <c r="E8" s="142" t="s">
        <v>632</v>
      </c>
      <c r="F8" s="142" t="s">
        <v>288</v>
      </c>
      <c r="G8" s="150">
        <v>0.4</v>
      </c>
      <c r="H8" s="8">
        <v>2035</v>
      </c>
      <c r="I8" s="8">
        <v>2040</v>
      </c>
      <c r="J8" s="15"/>
    </row>
    <row r="9" spans="1:10" x14ac:dyDescent="0.25">
      <c r="A9" s="7">
        <f t="shared" si="2"/>
        <v>8</v>
      </c>
      <c r="B9" s="142" t="s">
        <v>546</v>
      </c>
      <c r="C9" s="142"/>
      <c r="D9" s="142"/>
      <c r="E9" s="142" t="s">
        <v>633</v>
      </c>
      <c r="F9" s="142" t="s">
        <v>288</v>
      </c>
      <c r="G9" s="150">
        <v>0.6</v>
      </c>
      <c r="H9" s="8">
        <v>2035</v>
      </c>
      <c r="I9" s="8">
        <v>2040</v>
      </c>
      <c r="J9" s="15"/>
    </row>
    <row r="10" spans="1:10" x14ac:dyDescent="0.25">
      <c r="A10" s="7">
        <f t="shared" si="2"/>
        <v>9</v>
      </c>
      <c r="B10" s="142" t="s">
        <v>546</v>
      </c>
      <c r="C10" s="142"/>
      <c r="D10" s="142"/>
      <c r="E10" s="142" t="s">
        <v>632</v>
      </c>
      <c r="F10" s="142" t="s">
        <v>288</v>
      </c>
      <c r="G10" s="150">
        <v>0.45</v>
      </c>
      <c r="H10" s="8">
        <v>2040</v>
      </c>
      <c r="I10" s="8">
        <v>2045</v>
      </c>
      <c r="J10" s="15"/>
    </row>
    <row r="11" spans="1:10" x14ac:dyDescent="0.25">
      <c r="A11" s="7">
        <f t="shared" si="2"/>
        <v>10</v>
      </c>
      <c r="B11" s="142" t="s">
        <v>546</v>
      </c>
      <c r="C11" s="142"/>
      <c r="D11" s="142"/>
      <c r="E11" s="142" t="s">
        <v>633</v>
      </c>
      <c r="F11" s="142" t="s">
        <v>288</v>
      </c>
      <c r="G11" s="150">
        <v>0.55000000000000004</v>
      </c>
      <c r="H11" s="8">
        <v>2040</v>
      </c>
      <c r="I11" s="8">
        <v>2045</v>
      </c>
      <c r="J11" s="15"/>
    </row>
    <row r="12" spans="1:10" x14ac:dyDescent="0.25">
      <c r="A12" s="7">
        <f t="shared" si="2"/>
        <v>11</v>
      </c>
      <c r="B12" s="142" t="s">
        <v>546</v>
      </c>
      <c r="C12" s="142"/>
      <c r="D12" s="142"/>
      <c r="E12" s="142" t="s">
        <v>632</v>
      </c>
      <c r="F12" s="142" t="s">
        <v>288</v>
      </c>
      <c r="G12" s="150">
        <v>0.6</v>
      </c>
      <c r="H12" s="8">
        <v>2045</v>
      </c>
      <c r="I12" s="8">
        <v>2050</v>
      </c>
      <c r="J12" s="15"/>
    </row>
    <row r="13" spans="1:10" x14ac:dyDescent="0.25">
      <c r="A13" s="7">
        <f t="shared" si="2"/>
        <v>12</v>
      </c>
      <c r="B13" s="142" t="s">
        <v>546</v>
      </c>
      <c r="C13" s="142"/>
      <c r="D13" s="142"/>
      <c r="E13" s="142" t="s">
        <v>633</v>
      </c>
      <c r="F13" s="142" t="s">
        <v>288</v>
      </c>
      <c r="G13" s="150">
        <v>0.4</v>
      </c>
      <c r="H13" s="8">
        <v>2045</v>
      </c>
      <c r="I13" s="8">
        <v>2050</v>
      </c>
      <c r="J13" s="15"/>
    </row>
    <row r="14" spans="1:10" x14ac:dyDescent="0.25">
      <c r="A14" s="7">
        <f t="shared" si="2"/>
        <v>13</v>
      </c>
      <c r="B14" s="142" t="s">
        <v>546</v>
      </c>
      <c r="C14" s="142"/>
      <c r="D14" s="142"/>
      <c r="E14" s="142" t="s">
        <v>632</v>
      </c>
      <c r="F14" s="142" t="s">
        <v>288</v>
      </c>
      <c r="G14" s="150">
        <v>0.7</v>
      </c>
      <c r="H14" s="8">
        <v>2050</v>
      </c>
      <c r="I14" s="140">
        <v>2100</v>
      </c>
      <c r="J14" s="15"/>
    </row>
    <row r="15" spans="1:10" x14ac:dyDescent="0.25">
      <c r="A15" s="7">
        <f t="shared" si="2"/>
        <v>14</v>
      </c>
      <c r="B15" s="142" t="s">
        <v>546</v>
      </c>
      <c r="C15" s="142"/>
      <c r="D15" s="142"/>
      <c r="E15" s="142" t="s">
        <v>633</v>
      </c>
      <c r="F15" s="142" t="s">
        <v>288</v>
      </c>
      <c r="G15" s="150">
        <v>0.3</v>
      </c>
      <c r="H15" s="8">
        <v>2050</v>
      </c>
      <c r="I15" s="140">
        <v>2100</v>
      </c>
      <c r="J15" s="15"/>
    </row>
    <row r="16" spans="1:10" x14ac:dyDescent="0.25">
      <c r="A16" s="7">
        <f t="shared" si="1"/>
        <v>15</v>
      </c>
      <c r="B16" s="142"/>
      <c r="C16" s="142"/>
      <c r="D16" s="142"/>
      <c r="E16" s="142"/>
      <c r="F16" s="142"/>
      <c r="G16" s="140"/>
      <c r="H16" s="140"/>
      <c r="I16" s="140"/>
      <c r="J16" s="15"/>
    </row>
    <row r="17" spans="1:10" x14ac:dyDescent="0.25">
      <c r="A17" s="7">
        <f t="shared" si="1"/>
        <v>16</v>
      </c>
      <c r="B17" s="142"/>
      <c r="C17" s="142"/>
      <c r="D17" s="142"/>
      <c r="E17" s="142"/>
      <c r="F17" s="142"/>
      <c r="G17" s="140"/>
      <c r="H17" s="140"/>
      <c r="I17" s="140"/>
      <c r="J17" s="15"/>
    </row>
    <row r="18" spans="1:10" x14ac:dyDescent="0.25">
      <c r="A18" s="7">
        <f t="shared" si="0"/>
        <v>17</v>
      </c>
      <c r="B18" s="142"/>
      <c r="C18" s="142"/>
      <c r="D18" s="142"/>
      <c r="E18" s="142"/>
      <c r="F18" s="142"/>
      <c r="G18" s="140"/>
      <c r="H18" s="140"/>
      <c r="I18" s="140"/>
      <c r="J18" s="15"/>
    </row>
  </sheetData>
  <dataConsolidate/>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780E4E15-5E2B-4003-8CEB-5E4D0C87A8F1}">
          <x14:formula1>
            <xm:f>'7_2_Codelists'!$F$69:$F$84</xm:f>
          </x14:formula1>
          <xm:sqref>D2:D17</xm:sqref>
        </x14:dataValidation>
        <x14:dataValidation type="list" allowBlank="1" showInputMessage="1" showErrorMessage="1" xr:uid="{FCD48FDF-40C0-4147-9B30-13A8562B48BC}">
          <x14:formula1>
            <xm:f>'7_2_Codelists'!$B$89:$B$96</xm:f>
          </x14:formula1>
          <xm:sqref>F2:F3 F16:F17</xm:sqref>
        </x14:dataValidation>
        <x14:dataValidation type="list" allowBlank="1" showInputMessage="1" showErrorMessage="1" xr:uid="{CB79E380-8011-411B-B735-1C7402DE23CA}">
          <x14:formula1>
            <xm:f>'0_Configuration'!$C$12:$C$15</xm:f>
          </x14:formula1>
          <xm:sqref>B2:B17</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87FFE-D17D-435A-8A1C-2F21251EA5B3}">
  <dimension ref="A1:P47"/>
  <sheetViews>
    <sheetView zoomScale="85" zoomScaleNormal="85" workbookViewId="0">
      <selection activeCell="I55" sqref="I55"/>
    </sheetView>
  </sheetViews>
  <sheetFormatPr defaultRowHeight="15" x14ac:dyDescent="0.25"/>
  <cols>
    <col min="1" max="1" width="12.85546875" customWidth="1"/>
    <col min="3" max="3" width="12.7109375" customWidth="1"/>
    <col min="4" max="6" width="34.7109375" customWidth="1"/>
    <col min="7" max="7" width="13.7109375" customWidth="1"/>
    <col min="8" max="8" width="21.140625" customWidth="1"/>
    <col min="9" max="9" width="20.7109375" customWidth="1"/>
    <col min="10" max="11" width="12.5703125" customWidth="1"/>
    <col min="12" max="12" width="18.5703125" customWidth="1"/>
    <col min="13" max="14" width="12.5703125" customWidth="1"/>
    <col min="15" max="15" width="12.42578125" customWidth="1"/>
    <col min="16" max="16" width="13.28515625" customWidth="1"/>
  </cols>
  <sheetData>
    <row r="1" spans="1:16" x14ac:dyDescent="0.25">
      <c r="A1" s="145" t="s">
        <v>41</v>
      </c>
      <c r="B1" s="145" t="s">
        <v>19</v>
      </c>
      <c r="C1" s="145" t="s">
        <v>38</v>
      </c>
      <c r="D1" s="145" t="s">
        <v>43</v>
      </c>
      <c r="E1" s="145" t="s">
        <v>474</v>
      </c>
      <c r="F1" s="145" t="s">
        <v>333</v>
      </c>
      <c r="G1" s="145" t="s">
        <v>336</v>
      </c>
      <c r="H1" s="145" t="s">
        <v>494</v>
      </c>
      <c r="I1" s="145" t="s">
        <v>495</v>
      </c>
      <c r="J1" s="145" t="s">
        <v>496</v>
      </c>
      <c r="K1" s="145" t="s">
        <v>499</v>
      </c>
      <c r="L1" s="145" t="s">
        <v>497</v>
      </c>
      <c r="M1" s="145" t="s">
        <v>500</v>
      </c>
      <c r="N1" s="145" t="s">
        <v>498</v>
      </c>
      <c r="O1" s="145" t="s">
        <v>501</v>
      </c>
      <c r="P1" s="145" t="s">
        <v>4</v>
      </c>
    </row>
    <row r="2" spans="1:16" x14ac:dyDescent="0.25">
      <c r="A2" s="161" t="b">
        <v>0</v>
      </c>
      <c r="B2" s="7">
        <f t="shared" ref="B2:B47" si="0">ROW()-1</f>
        <v>1</v>
      </c>
      <c r="C2" s="22" t="str">
        <f>_xlfn.XLOOKUP($D2,Tab_Def_Processes[Process_Name],Tab_Def_Processes[ID],,0,)</f>
        <v>00</v>
      </c>
      <c r="D2" s="7" t="str">
        <f>Tab_Def_Processes[[#This Row],[Process_Name]]</f>
        <v>Atmosphere</v>
      </c>
      <c r="E2" s="162" t="s">
        <v>385</v>
      </c>
      <c r="F2" s="162" t="s">
        <v>386</v>
      </c>
      <c r="G2" s="7" t="str">
        <f>_xlfn.XLOOKUP($F2,Table32[Color_Name],Table32[Hex_Code],,0,)</f>
        <v>#228B22</v>
      </c>
      <c r="H2" s="8">
        <v>0.01</v>
      </c>
      <c r="I2" s="8">
        <v>0.2</v>
      </c>
      <c r="J2" s="8">
        <v>0.1</v>
      </c>
      <c r="K2" s="8">
        <v>0.2</v>
      </c>
      <c r="L2" s="8">
        <v>0.1</v>
      </c>
      <c r="M2" s="8">
        <v>0.2</v>
      </c>
      <c r="N2" s="8">
        <v>0.1</v>
      </c>
      <c r="O2" s="8">
        <v>0.2</v>
      </c>
      <c r="P2" s="8"/>
    </row>
    <row r="3" spans="1:16" x14ac:dyDescent="0.25">
      <c r="A3" s="161" t="b">
        <v>0</v>
      </c>
      <c r="B3" s="7">
        <f t="shared" si="0"/>
        <v>2</v>
      </c>
      <c r="C3" s="22" t="str">
        <f>_xlfn.XLOOKUP($D3,Tab_Def_Processes[Process_Name],Tab_Def_Processes[ID],,0,)</f>
        <v>01</v>
      </c>
      <c r="D3" s="7" t="str">
        <f>Tab_Def_Processes[[#This Row],[Process_Name]]</f>
        <v>Environment</v>
      </c>
      <c r="E3" s="162" t="s">
        <v>385</v>
      </c>
      <c r="F3" s="162" t="s">
        <v>402</v>
      </c>
      <c r="G3" s="7" t="str">
        <f>_xlfn.XLOOKUP($F3,Table32[Color_Name],Table32[Hex_Code],,0,)</f>
        <v>#F5DEB3</v>
      </c>
      <c r="H3" s="8">
        <v>0.01</v>
      </c>
      <c r="I3" s="8">
        <v>0.2</v>
      </c>
      <c r="J3" s="8">
        <v>0.5</v>
      </c>
      <c r="K3" s="8">
        <v>0.2</v>
      </c>
      <c r="L3" s="8">
        <v>0.5</v>
      </c>
      <c r="M3" s="8">
        <v>0.2</v>
      </c>
      <c r="N3" s="8">
        <v>0.5</v>
      </c>
      <c r="O3" s="8">
        <v>0.2</v>
      </c>
      <c r="P3" s="8"/>
    </row>
    <row r="4" spans="1:16" x14ac:dyDescent="0.25">
      <c r="A4" s="161" t="b">
        <v>0</v>
      </c>
      <c r="B4" s="7">
        <f t="shared" si="0"/>
        <v>3</v>
      </c>
      <c r="C4" s="22" t="str">
        <f>_xlfn.XLOOKUP($D4,Tab_Def_Processes[Process_Name],Tab_Def_Processes[ID],,0,)</f>
        <v>02</v>
      </c>
      <c r="D4" s="7" t="str">
        <f>Tab_Def_Processes[[#This Row],[Process_Name]]</f>
        <v>Forestry</v>
      </c>
      <c r="E4" s="162" t="s">
        <v>385</v>
      </c>
      <c r="F4" s="162" t="s">
        <v>402</v>
      </c>
      <c r="G4" s="7" t="str">
        <f>_xlfn.XLOOKUP($F4,Table32[Color_Name],Table32[Hex_Code],,0,)</f>
        <v>#F5DEB3</v>
      </c>
      <c r="H4" s="8">
        <v>0.2</v>
      </c>
      <c r="I4" s="8">
        <v>0.2</v>
      </c>
      <c r="J4" s="8">
        <v>0.6</v>
      </c>
      <c r="K4" s="8">
        <v>0.4</v>
      </c>
      <c r="L4" s="8">
        <v>0.6</v>
      </c>
      <c r="M4" s="8">
        <v>0.4</v>
      </c>
      <c r="N4" s="8">
        <v>0.6</v>
      </c>
      <c r="O4" s="8">
        <v>0.4</v>
      </c>
      <c r="P4" s="8"/>
    </row>
    <row r="5" spans="1:16" x14ac:dyDescent="0.25">
      <c r="A5" s="161" t="b">
        <v>0</v>
      </c>
      <c r="B5" s="7">
        <f t="shared" si="0"/>
        <v>4</v>
      </c>
      <c r="C5" s="22" t="str">
        <f>_xlfn.XLOOKUP($D5,Tab_Def_Processes[Process_Name],Tab_Def_Processes[ID],,0,)</f>
        <v>03</v>
      </c>
      <c r="D5" s="7" t="str">
        <f>Tab_Def_Processes[[#This Row],[Process_Name]]</f>
        <v>Processing_Roundwood</v>
      </c>
      <c r="E5" s="162" t="s">
        <v>385</v>
      </c>
      <c r="F5" s="162" t="s">
        <v>402</v>
      </c>
      <c r="G5" s="7" t="str">
        <f>_xlfn.XLOOKUP($F5,Table32[Color_Name],Table32[Hex_Code],,0,)</f>
        <v>#F5DEB3</v>
      </c>
      <c r="H5" s="8">
        <v>0.5</v>
      </c>
      <c r="I5" s="8">
        <v>0.2</v>
      </c>
      <c r="J5" s="8">
        <v>0.4</v>
      </c>
      <c r="K5" s="8">
        <v>0.2</v>
      </c>
      <c r="L5" s="8">
        <v>0.4</v>
      </c>
      <c r="M5" s="8">
        <v>0.2</v>
      </c>
      <c r="N5" s="8">
        <v>0.4</v>
      </c>
      <c r="O5" s="8">
        <v>0.2</v>
      </c>
      <c r="P5" s="8"/>
    </row>
    <row r="6" spans="1:16" x14ac:dyDescent="0.25">
      <c r="A6" s="161" t="b">
        <v>0</v>
      </c>
      <c r="B6" s="7">
        <f t="shared" si="0"/>
        <v>5</v>
      </c>
      <c r="C6" s="22" t="str">
        <f>_xlfn.XLOOKUP($D6,Tab_Def_Processes[Process_Name],Tab_Def_Processes[ID],,0,)</f>
        <v>04</v>
      </c>
      <c r="D6" s="7" t="str">
        <f>Tab_Def_Processes[[#This Row],[Process_Name]]</f>
        <v>Incineration_Processing_Waste_Wood</v>
      </c>
      <c r="E6" s="162" t="s">
        <v>385</v>
      </c>
      <c r="F6" s="162" t="s">
        <v>402</v>
      </c>
      <c r="G6" s="7" t="str">
        <f>_xlfn.XLOOKUP($F6,Table32[Color_Name],Table32[Hex_Code],,0,)</f>
        <v>#F5DEB3</v>
      </c>
      <c r="H6" s="8">
        <v>0.1</v>
      </c>
      <c r="I6" s="8">
        <v>0.5</v>
      </c>
      <c r="J6" s="8">
        <v>0.2</v>
      </c>
      <c r="K6" s="8">
        <v>0.5</v>
      </c>
      <c r="L6" s="8">
        <v>0.2</v>
      </c>
      <c r="M6" s="8">
        <v>0.5</v>
      </c>
      <c r="N6" s="8">
        <v>0.2</v>
      </c>
      <c r="O6" s="8">
        <v>0.5</v>
      </c>
      <c r="P6" s="8"/>
    </row>
    <row r="7" spans="1:16" x14ac:dyDescent="0.25">
      <c r="A7" s="161" t="b">
        <v>0</v>
      </c>
      <c r="B7" s="7">
        <f t="shared" si="0"/>
        <v>6</v>
      </c>
      <c r="C7" s="22" t="str">
        <f>_xlfn.XLOOKUP($D7,Tab_Def_Processes[Process_Name],Tab_Def_Processes[ID],,0,)</f>
        <v>05</v>
      </c>
      <c r="D7" s="7" t="str">
        <f>Tab_Def_Processes[[#This Row],[Process_Name]]</f>
        <v>Use-Phase_Construction_Wood</v>
      </c>
      <c r="E7" s="162" t="s">
        <v>385</v>
      </c>
      <c r="F7" s="162" t="s">
        <v>402</v>
      </c>
      <c r="G7" s="7" t="str">
        <f>_xlfn.XLOOKUP($F7,Table32[Color_Name],Table32[Hex_Code],,0,)</f>
        <v>#F5DEB3</v>
      </c>
      <c r="H7" s="8">
        <v>0.2</v>
      </c>
      <c r="I7" s="8">
        <v>0.5</v>
      </c>
      <c r="J7" s="8">
        <v>0.3</v>
      </c>
      <c r="K7" s="8">
        <v>0.5</v>
      </c>
      <c r="L7" s="8">
        <v>0.3</v>
      </c>
      <c r="M7" s="8">
        <v>0.5</v>
      </c>
      <c r="N7" s="8">
        <v>0.3</v>
      </c>
      <c r="O7" s="8">
        <v>0.5</v>
      </c>
      <c r="P7" s="8"/>
    </row>
    <row r="8" spans="1:16" x14ac:dyDescent="0.25">
      <c r="A8" s="161" t="b">
        <v>0</v>
      </c>
      <c r="B8" s="7">
        <f t="shared" si="0"/>
        <v>7</v>
      </c>
      <c r="C8" s="22" t="str">
        <f>_xlfn.XLOOKUP($D8,Tab_Def_Processes[Process_Name],Tab_Def_Processes[ID],,0,)</f>
        <v>06</v>
      </c>
      <c r="D8" s="7" t="str">
        <f>Tab_Def_Processes[[#This Row],[Process_Name]]</f>
        <v>EoL_Sorting</v>
      </c>
      <c r="E8" s="162" t="s">
        <v>385</v>
      </c>
      <c r="F8" s="162" t="s">
        <v>402</v>
      </c>
      <c r="G8" s="7" t="str">
        <f>_xlfn.XLOOKUP($F8,Table32[Color_Name],Table32[Hex_Code],,0,)</f>
        <v>#F5DEB3</v>
      </c>
      <c r="H8" s="8">
        <v>0.5</v>
      </c>
      <c r="I8" s="8">
        <v>0.5</v>
      </c>
      <c r="J8" s="8">
        <v>0.4</v>
      </c>
      <c r="K8" s="8">
        <v>0.6</v>
      </c>
      <c r="L8" s="8">
        <v>0.4</v>
      </c>
      <c r="M8" s="8">
        <v>0.6</v>
      </c>
      <c r="N8" s="8">
        <v>0.4</v>
      </c>
      <c r="O8" s="8">
        <v>0.6</v>
      </c>
      <c r="P8" s="8"/>
    </row>
    <row r="9" spans="1:16" x14ac:dyDescent="0.25">
      <c r="A9" s="161" t="b">
        <v>0</v>
      </c>
      <c r="B9" s="7">
        <f t="shared" si="0"/>
        <v>8</v>
      </c>
      <c r="C9" s="22" t="str">
        <f>_xlfn.XLOOKUP($D9,Tab_Def_Processes[Process_Name],Tab_Def_Processes[ID],,0,)</f>
        <v>07</v>
      </c>
      <c r="D9" s="7" t="str">
        <f>Tab_Def_Processes[[#This Row],[Process_Name]]</f>
        <v>Processing_Industry_Wood</v>
      </c>
      <c r="E9" s="162" t="s">
        <v>385</v>
      </c>
      <c r="F9" s="162" t="s">
        <v>398</v>
      </c>
      <c r="G9" s="7" t="str">
        <f>_xlfn.XLOOKUP($F9,Table32[Color_Name],Table32[Hex_Code],,0,)</f>
        <v>#8B4513</v>
      </c>
      <c r="H9" s="8">
        <v>0.7</v>
      </c>
      <c r="I9" s="8">
        <v>0.6</v>
      </c>
      <c r="J9" s="8">
        <v>0.9</v>
      </c>
      <c r="K9" s="8">
        <v>0.6</v>
      </c>
      <c r="L9" s="8">
        <v>0.9</v>
      </c>
      <c r="M9" s="8">
        <v>0.6</v>
      </c>
      <c r="N9" s="8">
        <v>0.9</v>
      </c>
      <c r="O9" s="8">
        <v>0.6</v>
      </c>
      <c r="P9" s="8"/>
    </row>
    <row r="10" spans="1:16" x14ac:dyDescent="0.25">
      <c r="A10" s="161" t="b">
        <v>0</v>
      </c>
      <c r="B10" s="7">
        <f t="shared" si="0"/>
        <v>9</v>
      </c>
      <c r="C10" s="22" t="str">
        <f>_xlfn.XLOOKUP($D10,Tab_Def_Processes[Process_Name],Tab_Def_Processes[ID],,0,)</f>
        <v>08</v>
      </c>
      <c r="D10" s="7" t="str">
        <f>Tab_Def_Processes[[#This Row],[Process_Name]]</f>
        <v>Incineration_Waste_Wood</v>
      </c>
      <c r="E10" s="162" t="s">
        <v>385</v>
      </c>
      <c r="F10" s="162" t="s">
        <v>402</v>
      </c>
      <c r="G10" s="7" t="str">
        <f>_xlfn.XLOOKUP($F10,Table32[Color_Name],Table32[Hex_Code],,0,)</f>
        <v>#F5DEB3</v>
      </c>
      <c r="H10" s="8">
        <v>0.7</v>
      </c>
      <c r="I10" s="8">
        <v>0.6</v>
      </c>
      <c r="J10" s="8">
        <v>0.6</v>
      </c>
      <c r="K10" s="8">
        <v>0.6</v>
      </c>
      <c r="L10" s="8">
        <v>0.6</v>
      </c>
      <c r="M10" s="8">
        <v>0.6</v>
      </c>
      <c r="N10" s="8">
        <v>0.6</v>
      </c>
      <c r="O10" s="8">
        <v>0.6</v>
      </c>
      <c r="P10" s="8"/>
    </row>
    <row r="11" spans="1:16" x14ac:dyDescent="0.25">
      <c r="A11" s="161" t="b">
        <v>0</v>
      </c>
      <c r="B11" s="7">
        <f t="shared" si="0"/>
        <v>10</v>
      </c>
      <c r="C11" s="22" t="str">
        <f>_xlfn.XLOOKUP($D11,Tab_Def_Processes[Process_Name],Tab_Def_Processes[ID],,0,)</f>
        <v>09</v>
      </c>
      <c r="D11" s="7" t="str">
        <f>Tab_Def_Processes[[#This Row],[Process_Name]]</f>
        <v>Use-Phase_Industry_Wood</v>
      </c>
      <c r="E11" s="162" t="s">
        <v>385</v>
      </c>
      <c r="F11" s="162" t="s">
        <v>419</v>
      </c>
      <c r="G11" s="7" t="str">
        <f>_xlfn.XLOOKUP($F11,Table32[Color_Name],Table32[Hex_Code],,0,)</f>
        <v>#87CEEB</v>
      </c>
      <c r="H11" s="8">
        <v>0.01</v>
      </c>
      <c r="I11" s="8">
        <v>0.8</v>
      </c>
      <c r="J11" s="8">
        <v>0.1</v>
      </c>
      <c r="K11" s="8">
        <v>0.8</v>
      </c>
      <c r="L11" s="8">
        <v>0.1</v>
      </c>
      <c r="M11" s="8">
        <v>0.8</v>
      </c>
      <c r="N11" s="8">
        <v>0.1</v>
      </c>
      <c r="O11" s="8">
        <v>0.8</v>
      </c>
      <c r="P11" s="8"/>
    </row>
    <row r="12" spans="1:16" x14ac:dyDescent="0.25">
      <c r="A12" s="161" t="b">
        <v>0</v>
      </c>
      <c r="B12" s="7">
        <f t="shared" si="0"/>
        <v>11</v>
      </c>
      <c r="C12" s="22" t="str">
        <f>_xlfn.XLOOKUP($D12,Tab_Def_Processes[Process_Name],Tab_Def_Processes[ID],,0,)</f>
        <v>10</v>
      </c>
      <c r="D12" s="7" t="str">
        <f>Tab_Def_Processes[[#This Row],[Process_Name]]</f>
        <v>Incineration_Energy_Wood</v>
      </c>
      <c r="E12" s="162" t="s">
        <v>385</v>
      </c>
      <c r="F12" s="162" t="s">
        <v>398</v>
      </c>
      <c r="G12" s="7" t="str">
        <f>_xlfn.XLOOKUP($F12,Table32[Color_Name],Table32[Hex_Code],,0,)</f>
        <v>#8B4513</v>
      </c>
      <c r="H12" s="8">
        <v>0.9</v>
      </c>
      <c r="I12" s="8">
        <v>0.8</v>
      </c>
      <c r="J12" s="8">
        <v>0.9</v>
      </c>
      <c r="K12" s="8">
        <v>0.6</v>
      </c>
      <c r="L12" s="8">
        <v>0.9</v>
      </c>
      <c r="M12" s="8">
        <v>0.6</v>
      </c>
      <c r="N12" s="8">
        <v>0.9</v>
      </c>
      <c r="O12" s="8">
        <v>0.6</v>
      </c>
      <c r="P12" s="8"/>
    </row>
    <row r="13" spans="1:16" x14ac:dyDescent="0.25">
      <c r="A13" s="161" t="b">
        <v>0</v>
      </c>
      <c r="B13" s="7">
        <f t="shared" si="0"/>
        <v>12</v>
      </c>
      <c r="C13" s="22" t="str">
        <f>_xlfn.XLOOKUP($D13,Tab_Def_Processes[Process_Name],Tab_Def_Processes[ID],,0,)</f>
        <v>11</v>
      </c>
      <c r="D13" s="7" t="str">
        <f>Tab_Def_Processes[[#This Row],[Process_Name]]</f>
        <v>Drying_Industry_Wood</v>
      </c>
      <c r="E13" s="162" t="s">
        <v>440</v>
      </c>
      <c r="F13" s="162" t="s">
        <v>398</v>
      </c>
      <c r="G13" s="7" t="str">
        <f>_xlfn.XLOOKUP($F13,Table32[Color_Name],Table32[Hex_Code],,0,)</f>
        <v>#8B4513</v>
      </c>
      <c r="H13" s="8"/>
      <c r="I13" s="8"/>
      <c r="J13" s="8"/>
      <c r="K13" s="8"/>
      <c r="L13" s="8"/>
      <c r="M13" s="8"/>
      <c r="N13" s="8"/>
      <c r="O13" s="8"/>
      <c r="P13" s="8"/>
    </row>
    <row r="14" spans="1:16" x14ac:dyDescent="0.25">
      <c r="A14" s="161" t="b">
        <v>0</v>
      </c>
      <c r="B14" s="7">
        <f t="shared" si="0"/>
        <v>13</v>
      </c>
      <c r="C14" s="22" t="str">
        <f>_xlfn.XLOOKUP($D14,Tab_Def_Processes[Process_Name],Tab_Def_Processes[ID],,0,)</f>
        <v>12</v>
      </c>
      <c r="D14" s="7" t="str">
        <f>Tab_Def_Processes[[#This Row],[Process_Name]]</f>
        <v>Drying_Roundwood</v>
      </c>
      <c r="E14" s="162" t="s">
        <v>440</v>
      </c>
      <c r="F14" s="162" t="s">
        <v>398</v>
      </c>
      <c r="G14" s="7" t="str">
        <f>_xlfn.XLOOKUP($F14,Table32[Color_Name],Table32[Hex_Code],,0,)</f>
        <v>#8B4513</v>
      </c>
      <c r="H14" s="8"/>
      <c r="I14" s="8"/>
      <c r="J14" s="8"/>
      <c r="K14" s="8"/>
      <c r="L14" s="8"/>
      <c r="M14" s="8"/>
      <c r="N14" s="8"/>
      <c r="O14" s="8"/>
      <c r="P14" s="8"/>
    </row>
    <row r="15" spans="1:16" x14ac:dyDescent="0.25">
      <c r="A15" s="161" t="b">
        <v>0</v>
      </c>
      <c r="B15" s="7">
        <f t="shared" si="0"/>
        <v>14</v>
      </c>
      <c r="C15" s="22" t="e">
        <f>_xlfn.XLOOKUP($D15,Tab_Def_Processes[Process_Name],Tab_Def_Processes[ID],,0,)</f>
        <v>#N/A</v>
      </c>
      <c r="D15" s="7">
        <f>Tab_Def_Processes[[#This Row],[Process_Name]]</f>
        <v>0</v>
      </c>
      <c r="E15" s="162"/>
      <c r="F15" s="162"/>
      <c r="G15" s="7" t="e">
        <f>_xlfn.XLOOKUP($F15,Table32[Color_Name],Table32[Hex_Code],,0,)</f>
        <v>#N/A</v>
      </c>
      <c r="H15" s="8"/>
      <c r="I15" s="8"/>
      <c r="J15" s="8"/>
      <c r="K15" s="8"/>
      <c r="L15" s="8"/>
      <c r="M15" s="8"/>
      <c r="N15" s="8"/>
      <c r="O15" s="8"/>
      <c r="P15" s="8"/>
    </row>
    <row r="16" spans="1:16" x14ac:dyDescent="0.25">
      <c r="A16" s="161" t="b">
        <v>0</v>
      </c>
      <c r="B16" s="7">
        <f t="shared" si="0"/>
        <v>15</v>
      </c>
      <c r="C16" s="22" t="e">
        <f>_xlfn.XLOOKUP($D16,Tab_Def_Processes[Process_Name],Tab_Def_Processes[ID],,0,)</f>
        <v>#N/A</v>
      </c>
      <c r="D16" s="7">
        <f>Tab_Def_Processes[[#This Row],[Process_Name]]</f>
        <v>0</v>
      </c>
      <c r="E16" s="162"/>
      <c r="F16" s="162"/>
      <c r="G16" s="7" t="e">
        <f>_xlfn.XLOOKUP($F16,Table32[Color_Name],Table32[Hex_Code],,0,)</f>
        <v>#N/A</v>
      </c>
      <c r="H16" s="8"/>
      <c r="I16" s="8"/>
      <c r="J16" s="8"/>
      <c r="K16" s="8"/>
      <c r="L16" s="8"/>
      <c r="M16" s="8"/>
      <c r="N16" s="8"/>
      <c r="O16" s="8"/>
      <c r="P16" s="8"/>
    </row>
    <row r="17" spans="1:16" x14ac:dyDescent="0.25">
      <c r="A17" s="161" t="b">
        <v>0</v>
      </c>
      <c r="B17" s="7">
        <f t="shared" si="0"/>
        <v>16</v>
      </c>
      <c r="C17" s="22" t="e">
        <f>_xlfn.XLOOKUP($D17,Tab_Def_Processes[Process_Name],Tab_Def_Processes[ID],,0,)</f>
        <v>#N/A</v>
      </c>
      <c r="D17" s="7">
        <f>Tab_Def_Processes[[#This Row],[Process_Name]]</f>
        <v>0</v>
      </c>
      <c r="E17" s="162"/>
      <c r="F17" s="162"/>
      <c r="G17" s="7" t="e">
        <f>_xlfn.XLOOKUP($F17,Table32[Color_Name],Table32[Hex_Code],,0,)</f>
        <v>#N/A</v>
      </c>
      <c r="H17" s="8"/>
      <c r="I17" s="8"/>
      <c r="J17" s="8"/>
      <c r="K17" s="8"/>
      <c r="L17" s="8"/>
      <c r="M17" s="8"/>
      <c r="N17" s="8"/>
      <c r="O17" s="8"/>
      <c r="P17" s="8"/>
    </row>
    <row r="18" spans="1:16" x14ac:dyDescent="0.25">
      <c r="A18" s="161" t="b">
        <v>0</v>
      </c>
      <c r="B18" s="7">
        <f t="shared" si="0"/>
        <v>17</v>
      </c>
      <c r="C18" s="22" t="e">
        <f>_xlfn.XLOOKUP($D18,Tab_Def_Processes[Process_Name],Tab_Def_Processes[ID],,0,)</f>
        <v>#N/A</v>
      </c>
      <c r="D18" s="7">
        <f>Tab_Def_Processes[[#This Row],[Process_Name]]</f>
        <v>0</v>
      </c>
      <c r="E18" s="162"/>
      <c r="F18" s="162"/>
      <c r="G18" s="7" t="e">
        <f>_xlfn.XLOOKUP($F18,Table32[Color_Name],Table32[Hex_Code],,0,)</f>
        <v>#N/A</v>
      </c>
      <c r="H18" s="8"/>
      <c r="I18" s="8"/>
      <c r="J18" s="8"/>
      <c r="K18" s="8"/>
      <c r="L18" s="8"/>
      <c r="M18" s="8"/>
      <c r="N18" s="8"/>
      <c r="O18" s="8"/>
      <c r="P18" s="8"/>
    </row>
    <row r="19" spans="1:16" x14ac:dyDescent="0.25">
      <c r="A19" s="161" t="b">
        <v>0</v>
      </c>
      <c r="B19" s="7">
        <f t="shared" si="0"/>
        <v>18</v>
      </c>
      <c r="C19" s="22" t="e">
        <f>_xlfn.XLOOKUP($D19,Tab_Def_Processes[Process_Name],Tab_Def_Processes[ID],,0,)</f>
        <v>#N/A</v>
      </c>
      <c r="D19" s="7">
        <f>Tab_Def_Processes[[#This Row],[Process_Name]]</f>
        <v>0</v>
      </c>
      <c r="E19" s="162"/>
      <c r="F19" s="162"/>
      <c r="G19" s="7" t="e">
        <f>_xlfn.XLOOKUP($F19,Table32[Color_Name],Table32[Hex_Code],,0,)</f>
        <v>#N/A</v>
      </c>
      <c r="H19" s="8"/>
      <c r="I19" s="8"/>
      <c r="J19" s="8"/>
      <c r="K19" s="8"/>
      <c r="L19" s="8"/>
      <c r="M19" s="8"/>
      <c r="N19" s="8"/>
      <c r="O19" s="8"/>
      <c r="P19" s="8"/>
    </row>
    <row r="20" spans="1:16" x14ac:dyDescent="0.25">
      <c r="A20" s="161" t="b">
        <v>0</v>
      </c>
      <c r="B20" s="7">
        <f t="shared" si="0"/>
        <v>19</v>
      </c>
      <c r="C20" s="22" t="e">
        <f>_xlfn.XLOOKUP($D20,Tab_Def_Processes[Process_Name],Tab_Def_Processes[ID],,0,)</f>
        <v>#N/A</v>
      </c>
      <c r="D20" s="7">
        <f>Tab_Def_Processes[[#This Row],[Process_Name]]</f>
        <v>0</v>
      </c>
      <c r="E20" s="162"/>
      <c r="F20" s="162"/>
      <c r="G20" s="7" t="e">
        <f>_xlfn.XLOOKUP($F20,Table32[Color_Name],Table32[Hex_Code],,0,)</f>
        <v>#N/A</v>
      </c>
      <c r="H20" s="8"/>
      <c r="I20" s="8"/>
      <c r="J20" s="8"/>
      <c r="K20" s="8"/>
      <c r="L20" s="8"/>
      <c r="M20" s="8"/>
      <c r="N20" s="8"/>
      <c r="O20" s="8"/>
      <c r="P20" s="8"/>
    </row>
    <row r="21" spans="1:16" x14ac:dyDescent="0.25">
      <c r="A21" s="161" t="b">
        <v>0</v>
      </c>
      <c r="B21" s="7">
        <f t="shared" si="0"/>
        <v>20</v>
      </c>
      <c r="C21" s="22" t="e">
        <f>_xlfn.XLOOKUP($D21,Tab_Def_Processes[Process_Name],Tab_Def_Processes[ID],,0,)</f>
        <v>#N/A</v>
      </c>
      <c r="D21" s="7">
        <f>Tab_Def_Processes[[#This Row],[Process_Name]]</f>
        <v>0</v>
      </c>
      <c r="E21" s="162"/>
      <c r="F21" s="162"/>
      <c r="G21" s="7" t="e">
        <f>_xlfn.XLOOKUP($F21,Table32[Color_Name],Table32[Hex_Code],,0,)</f>
        <v>#N/A</v>
      </c>
      <c r="H21" s="8"/>
      <c r="I21" s="8"/>
      <c r="J21" s="8"/>
      <c r="K21" s="8"/>
      <c r="L21" s="8"/>
      <c r="M21" s="8"/>
      <c r="N21" s="8"/>
      <c r="O21" s="8"/>
      <c r="P21" s="8"/>
    </row>
    <row r="22" spans="1:16" x14ac:dyDescent="0.25">
      <c r="A22" s="161" t="b">
        <v>0</v>
      </c>
      <c r="B22" s="7">
        <f t="shared" si="0"/>
        <v>21</v>
      </c>
      <c r="C22" s="22" t="e">
        <f>_xlfn.XLOOKUP($D22,Tab_Def_Processes[Process_Name],Tab_Def_Processes[ID],,0,)</f>
        <v>#N/A</v>
      </c>
      <c r="D22" s="7">
        <f>Tab_Def_Processes[[#This Row],[Process_Name]]</f>
        <v>0</v>
      </c>
      <c r="E22" s="162"/>
      <c r="F22" s="162"/>
      <c r="G22" s="7" t="e">
        <f>_xlfn.XLOOKUP($F22,Table32[Color_Name],Table32[Hex_Code],,0,)</f>
        <v>#N/A</v>
      </c>
      <c r="H22" s="8"/>
      <c r="I22" s="8"/>
      <c r="J22" s="8"/>
      <c r="K22" s="8"/>
      <c r="L22" s="8"/>
      <c r="M22" s="8"/>
      <c r="N22" s="8"/>
      <c r="O22" s="8"/>
      <c r="P22" s="8"/>
    </row>
    <row r="23" spans="1:16" x14ac:dyDescent="0.25">
      <c r="A23" s="161" t="b">
        <v>0</v>
      </c>
      <c r="B23" s="7">
        <f t="shared" si="0"/>
        <v>22</v>
      </c>
      <c r="C23" s="22" t="e">
        <f>_xlfn.XLOOKUP($D23,Tab_Def_Processes[Process_Name],Tab_Def_Processes[ID],,0,)</f>
        <v>#N/A</v>
      </c>
      <c r="D23" s="7">
        <f>Tab_Def_Processes[[#This Row],[Process_Name]]</f>
        <v>0</v>
      </c>
      <c r="E23" s="162"/>
      <c r="F23" s="162"/>
      <c r="G23" s="7" t="e">
        <f>_xlfn.XLOOKUP($F23,Table32[Color_Name],Table32[Hex_Code],,0,)</f>
        <v>#N/A</v>
      </c>
      <c r="H23" s="8"/>
      <c r="I23" s="8"/>
      <c r="J23" s="8"/>
      <c r="K23" s="8"/>
      <c r="L23" s="8"/>
      <c r="M23" s="8"/>
      <c r="N23" s="8"/>
      <c r="O23" s="8"/>
      <c r="P23" s="8"/>
    </row>
    <row r="24" spans="1:16" x14ac:dyDescent="0.25">
      <c r="A24" s="161" t="b">
        <v>0</v>
      </c>
      <c r="B24" s="7">
        <f t="shared" si="0"/>
        <v>23</v>
      </c>
      <c r="C24" s="22" t="e">
        <f>_xlfn.XLOOKUP($D24,Tab_Def_Processes[Process_Name],Tab_Def_Processes[ID],,0,)</f>
        <v>#N/A</v>
      </c>
      <c r="D24" s="7">
        <f>Tab_Def_Processes[[#This Row],[Process_Name]]</f>
        <v>0</v>
      </c>
      <c r="E24" s="162"/>
      <c r="F24" s="162"/>
      <c r="G24" s="7" t="e">
        <f>_xlfn.XLOOKUP($F24,Table32[Color_Name],Table32[Hex_Code],,0,)</f>
        <v>#N/A</v>
      </c>
      <c r="H24" s="8"/>
      <c r="I24" s="8"/>
      <c r="J24" s="8"/>
      <c r="K24" s="8"/>
      <c r="L24" s="8"/>
      <c r="M24" s="8"/>
      <c r="N24" s="8"/>
      <c r="O24" s="8"/>
      <c r="P24" s="8"/>
    </row>
    <row r="25" spans="1:16" x14ac:dyDescent="0.25">
      <c r="A25" s="161" t="b">
        <v>0</v>
      </c>
      <c r="B25" s="7">
        <f t="shared" si="0"/>
        <v>24</v>
      </c>
      <c r="C25" s="22" t="e">
        <f>_xlfn.XLOOKUP($D25,Tab_Def_Processes[Process_Name],Tab_Def_Processes[ID],,0,)</f>
        <v>#N/A</v>
      </c>
      <c r="D25" s="7">
        <f>Tab_Def_Processes[[#This Row],[Process_Name]]</f>
        <v>0</v>
      </c>
      <c r="E25" s="162"/>
      <c r="F25" s="162"/>
      <c r="G25" s="7" t="e">
        <f>_xlfn.XLOOKUP($F25,Table32[Color_Name],Table32[Hex_Code],,0,)</f>
        <v>#N/A</v>
      </c>
      <c r="H25" s="8"/>
      <c r="I25" s="8"/>
      <c r="J25" s="8"/>
      <c r="K25" s="8"/>
      <c r="L25" s="8"/>
      <c r="M25" s="8"/>
      <c r="N25" s="8"/>
      <c r="O25" s="8"/>
      <c r="P25" s="8"/>
    </row>
    <row r="26" spans="1:16" x14ac:dyDescent="0.25">
      <c r="A26" s="161" t="b">
        <v>0</v>
      </c>
      <c r="B26" s="7">
        <f t="shared" si="0"/>
        <v>25</v>
      </c>
      <c r="C26" s="22" t="e">
        <f>_xlfn.XLOOKUP($D26,Tab_Def_Processes[Process_Name],Tab_Def_Processes[ID],,0,)</f>
        <v>#N/A</v>
      </c>
      <c r="D26" s="7">
        <f>Tab_Def_Processes[[#This Row],[Process_Name]]</f>
        <v>0</v>
      </c>
      <c r="E26" s="162"/>
      <c r="F26" s="162"/>
      <c r="G26" s="7" t="e">
        <f>_xlfn.XLOOKUP($F26,Table32[Color_Name],Table32[Hex_Code],,0,)</f>
        <v>#N/A</v>
      </c>
      <c r="H26" s="8"/>
      <c r="I26" s="8"/>
      <c r="J26" s="8"/>
      <c r="K26" s="8"/>
      <c r="L26" s="8"/>
      <c r="M26" s="8"/>
      <c r="N26" s="8"/>
      <c r="O26" s="8"/>
      <c r="P26" s="8"/>
    </row>
    <row r="27" spans="1:16" x14ac:dyDescent="0.25">
      <c r="A27" s="161" t="b">
        <v>0</v>
      </c>
      <c r="B27" s="7">
        <f t="shared" si="0"/>
        <v>26</v>
      </c>
      <c r="C27" s="22" t="e">
        <f>_xlfn.XLOOKUP($D27,Tab_Def_Processes[Process_Name],Tab_Def_Processes[ID],,0,)</f>
        <v>#N/A</v>
      </c>
      <c r="D27" s="7">
        <f>Tab_Def_Processes[[#This Row],[Process_Name]]</f>
        <v>0</v>
      </c>
      <c r="E27" s="162"/>
      <c r="F27" s="162"/>
      <c r="G27" s="7" t="e">
        <f>_xlfn.XLOOKUP($F27,Table32[Color_Name],Table32[Hex_Code],,0,)</f>
        <v>#N/A</v>
      </c>
      <c r="H27" s="8"/>
      <c r="I27" s="8"/>
      <c r="J27" s="8"/>
      <c r="K27" s="8"/>
      <c r="L27" s="8"/>
      <c r="M27" s="8"/>
      <c r="N27" s="8"/>
      <c r="O27" s="8"/>
      <c r="P27" s="8"/>
    </row>
    <row r="28" spans="1:16" x14ac:dyDescent="0.25">
      <c r="A28" s="161" t="b">
        <v>0</v>
      </c>
      <c r="B28" s="7">
        <f t="shared" si="0"/>
        <v>27</v>
      </c>
      <c r="C28" s="22" t="e">
        <f>_xlfn.XLOOKUP($D28,Tab_Def_Processes[Process_Name],Tab_Def_Processes[ID],,0,)</f>
        <v>#N/A</v>
      </c>
      <c r="D28" s="7">
        <f>Tab_Def_Processes[[#This Row],[Process_Name]]</f>
        <v>0</v>
      </c>
      <c r="E28" s="162"/>
      <c r="F28" s="162"/>
      <c r="G28" s="7" t="e">
        <f>_xlfn.XLOOKUP($F28,Table32[Color_Name],Table32[Hex_Code],,0,)</f>
        <v>#N/A</v>
      </c>
      <c r="H28" s="8"/>
      <c r="I28" s="8"/>
      <c r="J28" s="8"/>
      <c r="K28" s="8"/>
      <c r="L28" s="8"/>
      <c r="M28" s="8"/>
      <c r="N28" s="8"/>
      <c r="O28" s="8"/>
      <c r="P28" s="8"/>
    </row>
    <row r="29" spans="1:16" x14ac:dyDescent="0.25">
      <c r="A29" s="161" t="b">
        <v>0</v>
      </c>
      <c r="B29" s="7">
        <f t="shared" si="0"/>
        <v>28</v>
      </c>
      <c r="C29" s="22" t="e">
        <f>_xlfn.XLOOKUP($D29,Tab_Def_Processes[Process_Name],Tab_Def_Processes[ID],,0,)</f>
        <v>#N/A</v>
      </c>
      <c r="D29" s="7">
        <f>Tab_Def_Processes[[#This Row],[Process_Name]]</f>
        <v>0</v>
      </c>
      <c r="E29" s="162"/>
      <c r="F29" s="162"/>
      <c r="G29" s="7" t="e">
        <f>_xlfn.XLOOKUP($F29,Table32[Color_Name],Table32[Hex_Code],,0,)</f>
        <v>#N/A</v>
      </c>
      <c r="H29" s="8"/>
      <c r="I29" s="8"/>
      <c r="J29" s="8"/>
      <c r="K29" s="8"/>
      <c r="L29" s="8"/>
      <c r="M29" s="8"/>
      <c r="N29" s="8"/>
      <c r="O29" s="8"/>
      <c r="P29" s="8"/>
    </row>
    <row r="30" spans="1:16" x14ac:dyDescent="0.25">
      <c r="A30" s="161" t="b">
        <v>0</v>
      </c>
      <c r="B30" s="7">
        <f t="shared" si="0"/>
        <v>29</v>
      </c>
      <c r="C30" s="22" t="e">
        <f>_xlfn.XLOOKUP($D30,Tab_Def_Processes[Process_Name],Tab_Def_Processes[ID],,0,)</f>
        <v>#N/A</v>
      </c>
      <c r="D30" s="7">
        <f>Tab_Def_Processes[[#This Row],[Process_Name]]</f>
        <v>0</v>
      </c>
      <c r="E30" s="162"/>
      <c r="F30" s="162"/>
      <c r="G30" s="7" t="e">
        <f>_xlfn.XLOOKUP($F30,Table32[Color_Name],Table32[Hex_Code],,0,)</f>
        <v>#N/A</v>
      </c>
      <c r="H30" s="8"/>
      <c r="I30" s="8"/>
      <c r="J30" s="8"/>
      <c r="K30" s="8"/>
      <c r="L30" s="8"/>
      <c r="M30" s="8"/>
      <c r="N30" s="8"/>
      <c r="O30" s="8"/>
      <c r="P30" s="8"/>
    </row>
    <row r="31" spans="1:16" x14ac:dyDescent="0.25">
      <c r="A31" s="161" t="b">
        <v>0</v>
      </c>
      <c r="B31" s="7">
        <f t="shared" si="0"/>
        <v>30</v>
      </c>
      <c r="C31" s="22" t="e">
        <f>_xlfn.XLOOKUP($D31,Tab_Def_Processes[Process_Name],Tab_Def_Processes[ID],,0,)</f>
        <v>#N/A</v>
      </c>
      <c r="D31" s="7">
        <f>Tab_Def_Processes[[#This Row],[Process_Name]]</f>
        <v>0</v>
      </c>
      <c r="E31" s="162"/>
      <c r="F31" s="162"/>
      <c r="G31" s="7" t="e">
        <f>_xlfn.XLOOKUP($F31,Table32[Color_Name],Table32[Hex_Code],,0,)</f>
        <v>#N/A</v>
      </c>
      <c r="H31" s="8"/>
      <c r="I31" s="8"/>
      <c r="J31" s="8"/>
      <c r="K31" s="8"/>
      <c r="L31" s="8"/>
      <c r="M31" s="8"/>
      <c r="N31" s="8"/>
      <c r="O31" s="8"/>
      <c r="P31" s="8"/>
    </row>
    <row r="32" spans="1:16" x14ac:dyDescent="0.25">
      <c r="A32" s="161" t="b">
        <v>0</v>
      </c>
      <c r="B32" s="7">
        <f t="shared" si="0"/>
        <v>31</v>
      </c>
      <c r="C32" s="22" t="e">
        <f>_xlfn.XLOOKUP($D32,Tab_Def_Processes[Process_Name],Tab_Def_Processes[ID],,0,)</f>
        <v>#N/A</v>
      </c>
      <c r="D32" s="7">
        <f>Tab_Def_Processes[[#This Row],[Process_Name]]</f>
        <v>0</v>
      </c>
      <c r="E32" s="162"/>
      <c r="F32" s="162"/>
      <c r="G32" s="7" t="e">
        <f>_xlfn.XLOOKUP($F32,Table32[Color_Name],Table32[Hex_Code],,0,)</f>
        <v>#N/A</v>
      </c>
      <c r="H32" s="8"/>
      <c r="I32" s="8"/>
      <c r="J32" s="8"/>
      <c r="K32" s="8"/>
      <c r="L32" s="8"/>
      <c r="M32" s="8"/>
      <c r="N32" s="8"/>
      <c r="O32" s="8"/>
      <c r="P32" s="8"/>
    </row>
    <row r="33" spans="1:16" x14ac:dyDescent="0.25">
      <c r="A33" s="161" t="b">
        <v>0</v>
      </c>
      <c r="B33" s="7">
        <f t="shared" si="0"/>
        <v>32</v>
      </c>
      <c r="C33" s="22" t="e">
        <f>_xlfn.XLOOKUP($D33,Tab_Def_Processes[Process_Name],Tab_Def_Processes[ID],,0,)</f>
        <v>#N/A</v>
      </c>
      <c r="D33" s="7">
        <f>Tab_Def_Processes[[#This Row],[Process_Name]]</f>
        <v>0</v>
      </c>
      <c r="E33" s="162"/>
      <c r="F33" s="162"/>
      <c r="G33" s="7" t="e">
        <f>_xlfn.XLOOKUP($F33,Table32[Color_Name],Table32[Hex_Code],,0,)</f>
        <v>#N/A</v>
      </c>
      <c r="H33" s="8"/>
      <c r="I33" s="8"/>
      <c r="J33" s="8"/>
      <c r="K33" s="8"/>
      <c r="L33" s="8"/>
      <c r="M33" s="8"/>
      <c r="N33" s="8"/>
      <c r="O33" s="8"/>
      <c r="P33" s="8"/>
    </row>
    <row r="34" spans="1:16" x14ac:dyDescent="0.25">
      <c r="A34" s="161" t="b">
        <v>0</v>
      </c>
      <c r="B34" s="7">
        <f t="shared" si="0"/>
        <v>33</v>
      </c>
      <c r="C34" s="22" t="e">
        <f>_xlfn.XLOOKUP($D34,Tab_Def_Processes[Process_Name],Tab_Def_Processes[ID],,0,)</f>
        <v>#N/A</v>
      </c>
      <c r="D34" s="7">
        <f>Tab_Def_Processes[[#This Row],[Process_Name]]</f>
        <v>0</v>
      </c>
      <c r="E34" s="162"/>
      <c r="F34" s="162"/>
      <c r="G34" s="7" t="e">
        <f>_xlfn.XLOOKUP($F34,Table32[Color_Name],Table32[Hex_Code],,0,)</f>
        <v>#N/A</v>
      </c>
      <c r="H34" s="8"/>
      <c r="I34" s="8"/>
      <c r="J34" s="8"/>
      <c r="K34" s="8"/>
      <c r="L34" s="8"/>
      <c r="M34" s="8"/>
      <c r="N34" s="8"/>
      <c r="O34" s="8"/>
      <c r="P34" s="8"/>
    </row>
    <row r="35" spans="1:16" x14ac:dyDescent="0.25">
      <c r="A35" s="161" t="b">
        <v>0</v>
      </c>
      <c r="B35" s="7">
        <f t="shared" si="0"/>
        <v>34</v>
      </c>
      <c r="C35" s="22" t="e">
        <f>_xlfn.XLOOKUP($D35,Tab_Def_Processes[Process_Name],Tab_Def_Processes[ID],,0,)</f>
        <v>#N/A</v>
      </c>
      <c r="D35" s="7">
        <f>Tab_Def_Processes[[#This Row],[Process_Name]]</f>
        <v>0</v>
      </c>
      <c r="E35" s="162"/>
      <c r="F35" s="162"/>
      <c r="G35" s="7" t="e">
        <f>_xlfn.XLOOKUP($F35,Table32[Color_Name],Table32[Hex_Code],,0,)</f>
        <v>#N/A</v>
      </c>
      <c r="H35" s="8"/>
      <c r="I35" s="8"/>
      <c r="J35" s="8"/>
      <c r="K35" s="8"/>
      <c r="L35" s="8"/>
      <c r="M35" s="8"/>
      <c r="N35" s="8"/>
      <c r="O35" s="8"/>
      <c r="P35" s="8"/>
    </row>
    <row r="36" spans="1:16" x14ac:dyDescent="0.25">
      <c r="A36" s="161" t="b">
        <v>0</v>
      </c>
      <c r="B36" s="7">
        <f t="shared" si="0"/>
        <v>35</v>
      </c>
      <c r="C36" s="22" t="e">
        <f>_xlfn.XLOOKUP($D36,Tab_Def_Processes[Process_Name],Tab_Def_Processes[ID],,0,)</f>
        <v>#N/A</v>
      </c>
      <c r="D36" s="7">
        <f>Tab_Def_Processes[[#This Row],[Process_Name]]</f>
        <v>0</v>
      </c>
      <c r="E36" s="162"/>
      <c r="F36" s="162"/>
      <c r="G36" s="7" t="e">
        <f>_xlfn.XLOOKUP($F36,Table32[Color_Name],Table32[Hex_Code],,0,)</f>
        <v>#N/A</v>
      </c>
      <c r="H36" s="8"/>
      <c r="I36" s="8"/>
      <c r="J36" s="8"/>
      <c r="K36" s="8"/>
      <c r="L36" s="8"/>
      <c r="M36" s="8"/>
      <c r="N36" s="8"/>
      <c r="O36" s="8"/>
      <c r="P36" s="8"/>
    </row>
    <row r="37" spans="1:16" x14ac:dyDescent="0.25">
      <c r="A37" s="161" t="b">
        <v>0</v>
      </c>
      <c r="B37" s="7">
        <f t="shared" si="0"/>
        <v>36</v>
      </c>
      <c r="C37" s="22" t="e">
        <f>_xlfn.XLOOKUP($D37,Tab_Def_Processes[Process_Name],Tab_Def_Processes[ID],,0,)</f>
        <v>#N/A</v>
      </c>
      <c r="D37" s="7">
        <f>Tab_Def_Processes[[#This Row],[Process_Name]]</f>
        <v>0</v>
      </c>
      <c r="E37" s="162"/>
      <c r="F37" s="162"/>
      <c r="G37" s="7" t="e">
        <f>_xlfn.XLOOKUP($F37,Table32[Color_Name],Table32[Hex_Code],,0,)</f>
        <v>#N/A</v>
      </c>
      <c r="H37" s="8"/>
      <c r="I37" s="8"/>
      <c r="J37" s="8"/>
      <c r="K37" s="8"/>
      <c r="L37" s="8"/>
      <c r="M37" s="8"/>
      <c r="N37" s="8"/>
      <c r="O37" s="8"/>
      <c r="P37" s="8"/>
    </row>
    <row r="38" spans="1:16" x14ac:dyDescent="0.25">
      <c r="A38" s="161" t="b">
        <v>0</v>
      </c>
      <c r="B38" s="7">
        <f t="shared" si="0"/>
        <v>37</v>
      </c>
      <c r="C38" s="22" t="e">
        <f>_xlfn.XLOOKUP($D38,Tab_Def_Processes[Process_Name],Tab_Def_Processes[ID],,0,)</f>
        <v>#N/A</v>
      </c>
      <c r="D38" s="7">
        <f>Tab_Def_Processes[[#This Row],[Process_Name]]</f>
        <v>0</v>
      </c>
      <c r="E38" s="162"/>
      <c r="F38" s="162"/>
      <c r="G38" s="7" t="e">
        <f>_xlfn.XLOOKUP($F38,Table32[Color_Name],Table32[Hex_Code],,0,)</f>
        <v>#N/A</v>
      </c>
      <c r="H38" s="8"/>
      <c r="I38" s="8"/>
      <c r="J38" s="8"/>
      <c r="K38" s="8"/>
      <c r="L38" s="8"/>
      <c r="M38" s="8"/>
      <c r="N38" s="8"/>
      <c r="O38" s="8"/>
      <c r="P38" s="8"/>
    </row>
    <row r="39" spans="1:16" x14ac:dyDescent="0.25">
      <c r="A39" s="161" t="b">
        <v>0</v>
      </c>
      <c r="B39" s="7">
        <f t="shared" si="0"/>
        <v>38</v>
      </c>
      <c r="C39" s="22" t="e">
        <f>_xlfn.XLOOKUP($D39,Tab_Def_Processes[Process_Name],Tab_Def_Processes[ID],,0,)</f>
        <v>#N/A</v>
      </c>
      <c r="D39" s="7">
        <f>Tab_Def_Processes[[#This Row],[Process_Name]]</f>
        <v>0</v>
      </c>
      <c r="E39" s="162"/>
      <c r="F39" s="162"/>
      <c r="G39" s="7" t="e">
        <f>_xlfn.XLOOKUP($F39,Table32[Color_Name],Table32[Hex_Code],,0,)</f>
        <v>#N/A</v>
      </c>
      <c r="H39" s="8"/>
      <c r="I39" s="8"/>
      <c r="J39" s="8"/>
      <c r="K39" s="8"/>
      <c r="L39" s="8"/>
      <c r="M39" s="8"/>
      <c r="N39" s="8"/>
      <c r="O39" s="8"/>
      <c r="P39" s="8"/>
    </row>
    <row r="40" spans="1:16" x14ac:dyDescent="0.25">
      <c r="A40" s="161" t="b">
        <v>0</v>
      </c>
      <c r="B40" s="7">
        <f t="shared" si="0"/>
        <v>39</v>
      </c>
      <c r="C40" s="22" t="e">
        <f>_xlfn.XLOOKUP($D40,Tab_Def_Processes[Process_Name],Tab_Def_Processes[ID],,0,)</f>
        <v>#N/A</v>
      </c>
      <c r="D40" s="7">
        <f>Tab_Def_Processes[[#This Row],[Process_Name]]</f>
        <v>0</v>
      </c>
      <c r="E40" s="162"/>
      <c r="F40" s="162"/>
      <c r="G40" s="7" t="e">
        <f>_xlfn.XLOOKUP($F40,Table32[Color_Name],Table32[Hex_Code],,0,)</f>
        <v>#N/A</v>
      </c>
      <c r="H40" s="8"/>
      <c r="I40" s="8"/>
      <c r="J40" s="8"/>
      <c r="K40" s="8"/>
      <c r="L40" s="8"/>
      <c r="M40" s="8"/>
      <c r="N40" s="8"/>
      <c r="O40" s="8"/>
      <c r="P40" s="8"/>
    </row>
    <row r="41" spans="1:16" x14ac:dyDescent="0.25">
      <c r="A41" s="161" t="b">
        <v>0</v>
      </c>
      <c r="B41" s="7">
        <f t="shared" si="0"/>
        <v>40</v>
      </c>
      <c r="C41" s="22" t="e">
        <f>_xlfn.XLOOKUP($D41,Tab_Def_Processes[Process_Name],Tab_Def_Processes[ID],,0,)</f>
        <v>#N/A</v>
      </c>
      <c r="D41" s="7">
        <f>Tab_Def_Processes[[#This Row],[Process_Name]]</f>
        <v>0</v>
      </c>
      <c r="E41" s="162"/>
      <c r="F41" s="162"/>
      <c r="G41" s="7" t="e">
        <f>_xlfn.XLOOKUP($F41,Table32[Color_Name],Table32[Hex_Code],,0,)</f>
        <v>#N/A</v>
      </c>
      <c r="H41" s="8"/>
      <c r="I41" s="8"/>
      <c r="J41" s="8"/>
      <c r="K41" s="8"/>
      <c r="L41" s="8"/>
      <c r="M41" s="8"/>
      <c r="N41" s="8"/>
      <c r="O41" s="8"/>
      <c r="P41" s="8"/>
    </row>
    <row r="42" spans="1:16" x14ac:dyDescent="0.25">
      <c r="A42" s="161" t="b">
        <v>0</v>
      </c>
      <c r="B42" s="7">
        <f t="shared" si="0"/>
        <v>41</v>
      </c>
      <c r="C42" s="22" t="e">
        <f>_xlfn.XLOOKUP($D42,Tab_Def_Processes[Process_Name],Tab_Def_Processes[ID],,0,)</f>
        <v>#N/A</v>
      </c>
      <c r="D42" s="7">
        <f>Tab_Def_Processes[[#This Row],[Process_Name]]</f>
        <v>0</v>
      </c>
      <c r="E42" s="162"/>
      <c r="F42" s="162"/>
      <c r="G42" s="7" t="e">
        <f>_xlfn.XLOOKUP($F42,Table32[Color_Name],Table32[Hex_Code],,0,)</f>
        <v>#N/A</v>
      </c>
      <c r="H42" s="8"/>
      <c r="I42" s="8"/>
      <c r="J42" s="8"/>
      <c r="K42" s="8"/>
      <c r="L42" s="8"/>
      <c r="M42" s="8"/>
      <c r="N42" s="8"/>
      <c r="O42" s="8"/>
      <c r="P42" s="8"/>
    </row>
    <row r="43" spans="1:16" x14ac:dyDescent="0.25">
      <c r="A43" s="161" t="b">
        <v>0</v>
      </c>
      <c r="B43" s="7">
        <f t="shared" si="0"/>
        <v>42</v>
      </c>
      <c r="C43" s="22" t="e">
        <f>_xlfn.XLOOKUP($D43,Tab_Def_Processes[Process_Name],Tab_Def_Processes[ID],,0,)</f>
        <v>#N/A</v>
      </c>
      <c r="D43" s="7">
        <f>Tab_Def_Processes[[#This Row],[Process_Name]]</f>
        <v>0</v>
      </c>
      <c r="E43" s="162"/>
      <c r="F43" s="162"/>
      <c r="G43" s="7" t="e">
        <f>_xlfn.XLOOKUP($F43,Table32[Color_Name],Table32[Hex_Code],,0,)</f>
        <v>#N/A</v>
      </c>
      <c r="H43" s="8"/>
      <c r="I43" s="8"/>
      <c r="J43" s="8"/>
      <c r="K43" s="8"/>
      <c r="L43" s="8"/>
      <c r="M43" s="8"/>
      <c r="N43" s="8"/>
      <c r="O43" s="8"/>
      <c r="P43" s="8"/>
    </row>
    <row r="44" spans="1:16" x14ac:dyDescent="0.25">
      <c r="A44" s="161" t="b">
        <v>0</v>
      </c>
      <c r="B44" s="7">
        <f t="shared" si="0"/>
        <v>43</v>
      </c>
      <c r="C44" s="22" t="e">
        <f>_xlfn.XLOOKUP($D44,Tab_Def_Processes[Process_Name],Tab_Def_Processes[ID],,0,)</f>
        <v>#N/A</v>
      </c>
      <c r="D44" s="7">
        <f>Tab_Def_Processes[[#This Row],[Process_Name]]</f>
        <v>0</v>
      </c>
      <c r="E44" s="162"/>
      <c r="F44" s="162"/>
      <c r="G44" s="7" t="e">
        <f>_xlfn.XLOOKUP($F44,Table32[Color_Name],Table32[Hex_Code],,0,)</f>
        <v>#N/A</v>
      </c>
      <c r="H44" s="8"/>
      <c r="I44" s="8"/>
      <c r="J44" s="8"/>
      <c r="K44" s="8"/>
      <c r="L44" s="8"/>
      <c r="M44" s="8"/>
      <c r="N44" s="8"/>
      <c r="O44" s="8"/>
      <c r="P44" s="8"/>
    </row>
    <row r="45" spans="1:16" x14ac:dyDescent="0.25">
      <c r="A45" s="161" t="b">
        <v>0</v>
      </c>
      <c r="B45" s="7">
        <f t="shared" si="0"/>
        <v>44</v>
      </c>
      <c r="C45" s="22" t="e">
        <f>_xlfn.XLOOKUP($D45,Tab_Def_Processes[Process_Name],Tab_Def_Processes[ID],,0,)</f>
        <v>#N/A</v>
      </c>
      <c r="D45" s="7">
        <f>Tab_Def_Processes[[#This Row],[Process_Name]]</f>
        <v>0</v>
      </c>
      <c r="E45" s="162"/>
      <c r="F45" s="162"/>
      <c r="G45" s="7" t="e">
        <f>_xlfn.XLOOKUP($F45,Table32[Color_Name],Table32[Hex_Code],,0,)</f>
        <v>#N/A</v>
      </c>
      <c r="H45" s="8"/>
      <c r="I45" s="8"/>
      <c r="J45" s="8"/>
      <c r="K45" s="8"/>
      <c r="L45" s="8"/>
      <c r="M45" s="8"/>
      <c r="N45" s="8"/>
      <c r="O45" s="8"/>
      <c r="P45" s="8"/>
    </row>
    <row r="46" spans="1:16" x14ac:dyDescent="0.25">
      <c r="A46" s="161" t="b">
        <v>0</v>
      </c>
      <c r="B46" s="7">
        <f t="shared" si="0"/>
        <v>45</v>
      </c>
      <c r="C46" s="22" t="e">
        <f>_xlfn.XLOOKUP($D46,Tab_Def_Processes[Process_Name],Tab_Def_Processes[ID],,0,)</f>
        <v>#N/A</v>
      </c>
      <c r="D46" s="7">
        <f>Tab_Def_Processes[[#This Row],[Process_Name]]</f>
        <v>0</v>
      </c>
      <c r="E46" s="162"/>
      <c r="F46" s="162"/>
      <c r="G46" s="7" t="e">
        <f>_xlfn.XLOOKUP($F46,Table32[Color_Name],Table32[Hex_Code],,0,)</f>
        <v>#N/A</v>
      </c>
      <c r="H46" s="8"/>
      <c r="I46" s="8"/>
      <c r="J46" s="8"/>
      <c r="K46" s="8"/>
      <c r="L46" s="8"/>
      <c r="M46" s="8"/>
      <c r="N46" s="8"/>
      <c r="O46" s="8"/>
      <c r="P46" s="8"/>
    </row>
    <row r="47" spans="1:16" x14ac:dyDescent="0.25">
      <c r="A47" s="161" t="b">
        <v>0</v>
      </c>
      <c r="B47" s="7">
        <f t="shared" si="0"/>
        <v>46</v>
      </c>
      <c r="C47" s="22" t="e">
        <f>_xlfn.XLOOKUP($D47,Tab_Def_Processes[Process_Name],Tab_Def_Processes[ID],,0,)</f>
        <v>#N/A</v>
      </c>
      <c r="D47" s="7">
        <f>Tab_Def_Processes[[#This Row],[Process_Name]]</f>
        <v>0</v>
      </c>
      <c r="E47" s="162"/>
      <c r="F47" s="162"/>
      <c r="G47" s="7" t="e">
        <f>_xlfn.XLOOKUP($F47,Table32[Color_Name],Table32[Hex_Code],,0,)</f>
        <v>#N/A</v>
      </c>
      <c r="H47" s="8"/>
      <c r="I47" s="8"/>
      <c r="J47" s="8"/>
      <c r="K47" s="8"/>
      <c r="L47" s="8"/>
      <c r="M47" s="8"/>
      <c r="N47" s="8"/>
      <c r="O47" s="8"/>
      <c r="P47" s="8"/>
    </row>
  </sheetData>
  <phoneticPr fontId="2" type="noConversion"/>
  <dataValidations count="2">
    <dataValidation type="decimal" allowBlank="1" showInputMessage="1" showErrorMessage="1" sqref="H27:H37 N15:N47" xr:uid="{FFD38C98-6D62-4B69-9EF7-23AF0A39097D}">
      <formula1>0.001</formula1>
      <formula2>1</formula2>
    </dataValidation>
    <dataValidation type="decimal" allowBlank="1" showInputMessage="1" showErrorMessage="1" sqref="O15:O47 I23:I33 H2:O14" xr:uid="{298403C2-4892-4EDF-A1EA-4091A950E182}">
      <formula1>0.01</formula1>
      <formula2>1</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xr:uid="{6DC68BE2-6604-41CF-9595-3EE66728B11D}">
          <x14:formula1>
            <xm:f>'6_4_CL_Visualisation'!$B$22:$B$42</xm:f>
          </x14:formula1>
          <xm:sqref>E2:E47</xm:sqref>
        </x14:dataValidation>
        <x14:dataValidation type="list" allowBlank="1" showInputMessage="1" showErrorMessage="1" xr:uid="{BCC99CA4-C54F-413A-A529-E4748A828007}">
          <x14:formula1>
            <xm:f>'6_4_CL_Visualisation'!$C$22:$C$42</xm:f>
          </x14:formula1>
          <xm:sqref>F2:F47</xm:sqref>
        </x14:dataValidation>
        <x14:dataValidation type="list" allowBlank="1" showInputMessage="1" showErrorMessage="1" xr:uid="{1A7ED763-BCAB-42B0-9D0B-916BD5D740AF}">
          <x14:formula1>
            <xm:f>'6_4_CL_Visualisation'!$C$3:$C$14</xm:f>
          </x14:formula1>
          <xm:sqref>H38:H47 I15:I22 H15:H26 I34:I47 J15:M47</xm:sqref>
        </x14:dataValidation>
        <x14:dataValidation type="list" allowBlank="1" showInputMessage="1" showErrorMessage="1" xr:uid="{B10DE572-5B05-4B50-A53F-2E55505D0589}">
          <x14:formula1>
            <xm:f>'6_4_CL_Visualisation'!$D$3:$D$14</xm:f>
          </x14:formula1>
          <xm:sqref>N48:N1048576</xm:sqref>
        </x14:dataValidation>
        <x14:dataValidation type="list" allowBlank="1" showInputMessage="1" showErrorMessage="1" xr:uid="{2DA96D14-9C71-4701-9202-082B3EC1A125}">
          <x14:formula1>
            <xm:f>'2_1_Definition_Processes'!$D$2:$D$47</xm:f>
          </x14:formula1>
          <xm:sqref>D1</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5D1AC-076F-4300-A81C-AFEA11A7C53A}">
  <dimension ref="A1:F51"/>
  <sheetViews>
    <sheetView workbookViewId="0">
      <selection sqref="A1:F1"/>
    </sheetView>
  </sheetViews>
  <sheetFormatPr defaultRowHeight="15" x14ac:dyDescent="0.25"/>
  <cols>
    <col min="2" max="2" width="10.28515625" customWidth="1"/>
    <col min="3" max="3" width="31.5703125" customWidth="1"/>
    <col min="4" max="5" width="18.85546875" customWidth="1"/>
    <col min="6" max="6" width="13.28515625" customWidth="1"/>
  </cols>
  <sheetData>
    <row r="1" spans="1:6" x14ac:dyDescent="0.25">
      <c r="A1" s="145" t="s">
        <v>19</v>
      </c>
      <c r="B1" s="145" t="s">
        <v>26</v>
      </c>
      <c r="C1" s="145" t="s">
        <v>43</v>
      </c>
      <c r="D1" s="145" t="s">
        <v>356</v>
      </c>
      <c r="E1" s="145" t="s">
        <v>475</v>
      </c>
      <c r="F1" s="145" t="s">
        <v>4</v>
      </c>
    </row>
    <row r="2" spans="1:6" x14ac:dyDescent="0.25">
      <c r="A2" s="9">
        <f>ROW()-1</f>
        <v>1</v>
      </c>
      <c r="B2" s="7" t="str">
        <f>_xlfn.XLOOKUP(C2,Tab_Def_Flows[Flow_Name],Tab_Def_Flows[Flow_ID],,0,)</f>
        <v>F_00_02</v>
      </c>
      <c r="C2" s="7" t="str">
        <f>Tab_Def_Flows[[#This Row],[Flow_Name]]</f>
        <v>Atmosphere_Input_C</v>
      </c>
      <c r="D2" s="142" t="s">
        <v>419</v>
      </c>
      <c r="E2" s="7" t="str">
        <f>_xlfn.XLOOKUP($D2,Table32[Color_Name],Table32[Hex_Code],,0,)</f>
        <v>#87CEEB</v>
      </c>
      <c r="F2" s="15"/>
    </row>
    <row r="3" spans="1:6" x14ac:dyDescent="0.25">
      <c r="A3" s="9">
        <f t="shared" ref="A3:A51" si="0">ROW()-1</f>
        <v>2</v>
      </c>
      <c r="B3" s="7" t="str">
        <f>_xlfn.XLOOKUP(C3,Tab_Def_Flows[Flow_Name],Tab_Def_Flows[Flow_ID],,0,)</f>
        <v>F_01_02</v>
      </c>
      <c r="C3" s="7" t="str">
        <f>Tab_Def_Flows[[#This Row],[Flow_Name]]</f>
        <v>Environment_Input_E</v>
      </c>
      <c r="D3" s="142" t="s">
        <v>386</v>
      </c>
      <c r="E3" s="7" t="str">
        <f>_xlfn.XLOOKUP($D3,Table32[Color_Name],Table32[Hex_Code],,0,)</f>
        <v>#228B22</v>
      </c>
      <c r="F3" s="15"/>
    </row>
    <row r="4" spans="1:6" x14ac:dyDescent="0.25">
      <c r="A4" s="9">
        <f t="shared" si="0"/>
        <v>3</v>
      </c>
      <c r="B4" s="7" t="str">
        <f>_xlfn.XLOOKUP(C4,Tab_Def_Flows[Flow_Name],Tab_Def_Flows[Flow_ID],,0,)</f>
        <v>F_02_12</v>
      </c>
      <c r="C4" s="7" t="str">
        <f>Tab_Def_Flows[[#This Row],[Flow_Name]]</f>
        <v>Roundwood</v>
      </c>
      <c r="D4" s="142" t="s">
        <v>402</v>
      </c>
      <c r="E4" s="7" t="str">
        <f>_xlfn.XLOOKUP($D4,Table32[Color_Name],Table32[Hex_Code],,0,)</f>
        <v>#F5DEB3</v>
      </c>
      <c r="F4" s="15"/>
    </row>
    <row r="5" spans="1:6" x14ac:dyDescent="0.25">
      <c r="A5" s="9">
        <f t="shared" si="0"/>
        <v>4</v>
      </c>
      <c r="B5" s="7" t="str">
        <f>_xlfn.XLOOKUP(C5,Tab_Def_Flows[Flow_Name],Tab_Def_Flows[Flow_ID],,0,)</f>
        <v>F_02_10</v>
      </c>
      <c r="C5" s="7" t="str">
        <f>Tab_Def_Flows[[#This Row],[Flow_Name]]</f>
        <v>Energy_Wood</v>
      </c>
      <c r="D5" s="142" t="s">
        <v>402</v>
      </c>
      <c r="E5" s="7" t="str">
        <f>_xlfn.XLOOKUP($D5,Table32[Color_Name],Table32[Hex_Code],,0,)</f>
        <v>#F5DEB3</v>
      </c>
      <c r="F5" s="15"/>
    </row>
    <row r="6" spans="1:6" x14ac:dyDescent="0.25">
      <c r="A6" s="9">
        <f t="shared" si="0"/>
        <v>5</v>
      </c>
      <c r="B6" s="7" t="str">
        <f>_xlfn.XLOOKUP(C6,Tab_Def_Flows[Flow_Name],Tab_Def_Flows[Flow_ID],,0,)</f>
        <v>F_02_11</v>
      </c>
      <c r="C6" s="7" t="str">
        <f>Tab_Def_Flows[[#This Row],[Flow_Name]]</f>
        <v>Industry_wood</v>
      </c>
      <c r="D6" s="142" t="s">
        <v>402</v>
      </c>
      <c r="E6" s="7" t="str">
        <f>_xlfn.XLOOKUP($D6,Table32[Color_Name],Table32[Hex_Code],,0,)</f>
        <v>#F5DEB3</v>
      </c>
      <c r="F6" s="15"/>
    </row>
    <row r="7" spans="1:6" x14ac:dyDescent="0.25">
      <c r="A7" s="9">
        <f t="shared" si="0"/>
        <v>6</v>
      </c>
      <c r="B7" s="7" t="str">
        <f>_xlfn.XLOOKUP(C7,Tab_Def_Flows[Flow_Name],Tab_Def_Flows[Flow_ID],,0,)</f>
        <v>F_03_04</v>
      </c>
      <c r="C7" s="7" t="str">
        <f>Tab_Def_Flows[[#This Row],[Flow_Name]]</f>
        <v>Roundwood_Processing_Waste</v>
      </c>
      <c r="D7" s="142" t="s">
        <v>419</v>
      </c>
      <c r="E7" s="7" t="str">
        <f>_xlfn.XLOOKUP($D7,Table32[Color_Name],Table32[Hex_Code],,0,)</f>
        <v>#87CEEB</v>
      </c>
      <c r="F7" s="15"/>
    </row>
    <row r="8" spans="1:6" x14ac:dyDescent="0.25">
      <c r="A8" s="9">
        <f t="shared" si="0"/>
        <v>7</v>
      </c>
      <c r="B8" s="7" t="str">
        <f>_xlfn.XLOOKUP(C8,Tab_Def_Flows[Flow_Name],Tab_Def_Flows[Flow_ID],,0,)</f>
        <v>F_04_00</v>
      </c>
      <c r="C8" s="7" t="str">
        <f>Tab_Def_Flows[[#This Row],[Flow_Name]]</f>
        <v>Incineration_Processing_Waste_Emissions_C</v>
      </c>
      <c r="D8" s="142" t="s">
        <v>386</v>
      </c>
      <c r="E8" s="7" t="str">
        <f>_xlfn.XLOOKUP($D8,Table32[Color_Name],Table32[Hex_Code],,0,)</f>
        <v>#228B22</v>
      </c>
      <c r="F8" s="15"/>
    </row>
    <row r="9" spans="1:6" x14ac:dyDescent="0.25">
      <c r="A9" s="9">
        <f t="shared" si="0"/>
        <v>8</v>
      </c>
      <c r="B9" s="7" t="str">
        <f>_xlfn.XLOOKUP(C9,Tab_Def_Flows[Flow_Name],Tab_Def_Flows[Flow_ID],,0,)</f>
        <v>F_04_01</v>
      </c>
      <c r="C9" s="7" t="str">
        <f>Tab_Def_Flows[[#This Row],[Flow_Name]]</f>
        <v>Incineration_Processing_Waste_Emissions_E</v>
      </c>
      <c r="D9" s="142" t="s">
        <v>402</v>
      </c>
      <c r="E9" s="7" t="str">
        <f>_xlfn.XLOOKUP($D9,Table32[Color_Name],Table32[Hex_Code],,0,)</f>
        <v>#F5DEB3</v>
      </c>
      <c r="F9" s="15"/>
    </row>
    <row r="10" spans="1:6" x14ac:dyDescent="0.25">
      <c r="A10" s="9">
        <f t="shared" si="0"/>
        <v>9</v>
      </c>
      <c r="B10" s="7" t="str">
        <f>_xlfn.XLOOKUP(C10,Tab_Def_Flows[Flow_Name],Tab_Def_Flows[Flow_ID],,0,)</f>
        <v>F_03_05</v>
      </c>
      <c r="C10" s="7" t="str">
        <f>Tab_Def_Flows[[#This Row],[Flow_Name]]</f>
        <v>Construction_Wood</v>
      </c>
      <c r="D10" s="142" t="s">
        <v>402</v>
      </c>
      <c r="E10" s="7" t="str">
        <f>_xlfn.XLOOKUP($D10,Table32[Color_Name],Table32[Hex_Code],,0,)</f>
        <v>#F5DEB3</v>
      </c>
      <c r="F10" s="15"/>
    </row>
    <row r="11" spans="1:6" x14ac:dyDescent="0.25">
      <c r="A11" s="9">
        <f t="shared" si="0"/>
        <v>10</v>
      </c>
      <c r="B11" s="7" t="str">
        <f>_xlfn.XLOOKUP(C11,Tab_Def_Flows[Flow_Name],Tab_Def_Flows[Flow_ID],,0,)</f>
        <v>F_05_06</v>
      </c>
      <c r="C11" s="7" t="str">
        <f>Tab_Def_Flows[[#This Row],[Flow_Name]]</f>
        <v>Construction_Wood_EoL</v>
      </c>
      <c r="D11" s="142" t="s">
        <v>402</v>
      </c>
      <c r="E11" s="7" t="str">
        <f>_xlfn.XLOOKUP($D11,Table32[Color_Name],Table32[Hex_Code],,0,)</f>
        <v>#F5DEB3</v>
      </c>
      <c r="F11" s="15"/>
    </row>
    <row r="12" spans="1:6" x14ac:dyDescent="0.25">
      <c r="A12" s="9">
        <f t="shared" si="0"/>
        <v>11</v>
      </c>
      <c r="B12" s="7" t="str">
        <f>_xlfn.XLOOKUP(C12,Tab_Def_Flows[Flow_Name],Tab_Def_Flows[Flow_ID],,0,)</f>
        <v>F_06_07</v>
      </c>
      <c r="C12" s="7" t="str">
        <f>Tab_Def_Flows[[#This Row],[Flow_Name]]</f>
        <v>EoL_Wood_Secondary_processing</v>
      </c>
      <c r="D12" s="142" t="s">
        <v>419</v>
      </c>
      <c r="E12" s="7" t="str">
        <f>_xlfn.XLOOKUP($D12,Table32[Color_Name],Table32[Hex_Code],,0,)</f>
        <v>#87CEEB</v>
      </c>
      <c r="F12" s="15"/>
    </row>
    <row r="13" spans="1:6" x14ac:dyDescent="0.25">
      <c r="A13" s="9">
        <f t="shared" si="0"/>
        <v>12</v>
      </c>
      <c r="B13" s="7" t="str">
        <f>_xlfn.XLOOKUP(C13,Tab_Def_Flows[Flow_Name],Tab_Def_Flows[Flow_ID],,0,)</f>
        <v>F_06_08</v>
      </c>
      <c r="C13" s="7" t="str">
        <f>Tab_Def_Flows[[#This Row],[Flow_Name]]</f>
        <v>EoL_Wood_Incineration</v>
      </c>
      <c r="D13" s="142" t="s">
        <v>386</v>
      </c>
      <c r="E13" s="7" t="str">
        <f>_xlfn.XLOOKUP($D13,Table32[Color_Name],Table32[Hex_Code],,0,)</f>
        <v>#228B22</v>
      </c>
      <c r="F13" s="15"/>
    </row>
    <row r="14" spans="1:6" x14ac:dyDescent="0.25">
      <c r="A14" s="9">
        <f t="shared" si="0"/>
        <v>13</v>
      </c>
      <c r="B14" s="7" t="str">
        <f>_xlfn.XLOOKUP(C14,Tab_Def_Flows[Flow_Name],Tab_Def_Flows[Flow_ID],,0,)</f>
        <v>F_07_09</v>
      </c>
      <c r="C14" s="7" t="str">
        <f>Tab_Def_Flows[[#This Row],[Flow_Name]]</f>
        <v>Wood_materials</v>
      </c>
      <c r="D14" s="142" t="s">
        <v>419</v>
      </c>
      <c r="E14" s="7" t="str">
        <f>_xlfn.XLOOKUP($D14,Table32[Color_Name],Table32[Hex_Code],,0,)</f>
        <v>#87CEEB</v>
      </c>
      <c r="F14" s="15"/>
    </row>
    <row r="15" spans="1:6" x14ac:dyDescent="0.25">
      <c r="A15" s="9">
        <f t="shared" si="0"/>
        <v>14</v>
      </c>
      <c r="B15" s="7" t="str">
        <f>_xlfn.XLOOKUP(C15,Tab_Def_Flows[Flow_Name],Tab_Def_Flows[Flow_ID],,0,)</f>
        <v>F_07_04</v>
      </c>
      <c r="C15" s="7" t="str">
        <f>Tab_Def_Flows[[#This Row],[Flow_Name]]</f>
        <v>Industry_wood_Processing_Waste</v>
      </c>
      <c r="D15" s="142" t="s">
        <v>386</v>
      </c>
      <c r="E15" s="7" t="str">
        <f>_xlfn.XLOOKUP($D15,Table32[Color_Name],Table32[Hex_Code],,0,)</f>
        <v>#228B22</v>
      </c>
      <c r="F15" s="15"/>
    </row>
    <row r="16" spans="1:6" x14ac:dyDescent="0.25">
      <c r="A16" s="9">
        <f t="shared" si="0"/>
        <v>15</v>
      </c>
      <c r="B16" s="7" t="str">
        <f>_xlfn.XLOOKUP(C16,Tab_Def_Flows[Flow_Name],Tab_Def_Flows[Flow_ID],,0,)</f>
        <v>F_09_06</v>
      </c>
      <c r="C16" s="7" t="str">
        <f>Tab_Def_Flows[[#This Row],[Flow_Name]]</f>
        <v>Wood_materials_EoL</v>
      </c>
      <c r="D16" s="142" t="s">
        <v>402</v>
      </c>
      <c r="E16" s="7" t="str">
        <f>_xlfn.XLOOKUP($D16,Table32[Color_Name],Table32[Hex_Code],,0,)</f>
        <v>#F5DEB3</v>
      </c>
      <c r="F16" s="15"/>
    </row>
    <row r="17" spans="1:6" x14ac:dyDescent="0.25">
      <c r="A17" s="9">
        <f t="shared" si="0"/>
        <v>16</v>
      </c>
      <c r="B17" s="7" t="str">
        <f>_xlfn.XLOOKUP(C17,Tab_Def_Flows[Flow_Name],Tab_Def_Flows[Flow_ID],,0,)</f>
        <v>F_08_00</v>
      </c>
      <c r="C17" s="7" t="str">
        <f>Tab_Def_Flows[[#This Row],[Flow_Name]]</f>
        <v>Waste_Wood_Incineration_Emissions_C</v>
      </c>
      <c r="D17" s="142" t="s">
        <v>419</v>
      </c>
      <c r="E17" s="7" t="str">
        <f>_xlfn.XLOOKUP($D17,Table32[Color_Name],Table32[Hex_Code],,0,)</f>
        <v>#87CEEB</v>
      </c>
      <c r="F17" s="15"/>
    </row>
    <row r="18" spans="1:6" x14ac:dyDescent="0.25">
      <c r="A18" s="9">
        <f t="shared" si="0"/>
        <v>17</v>
      </c>
      <c r="B18" s="7" t="str">
        <f>_xlfn.XLOOKUP(C18,Tab_Def_Flows[Flow_Name],Tab_Def_Flows[Flow_ID],,0,)</f>
        <v>F_08_01</v>
      </c>
      <c r="C18" s="7" t="str">
        <f>Tab_Def_Flows[[#This Row],[Flow_Name]]</f>
        <v>Waste_Wood_Incineration_Emissions_E</v>
      </c>
      <c r="D18" s="142" t="s">
        <v>386</v>
      </c>
      <c r="E18" s="7" t="str">
        <f>_xlfn.XLOOKUP($D18,Table32[Color_Name],Table32[Hex_Code],,0,)</f>
        <v>#228B22</v>
      </c>
      <c r="F18" s="15"/>
    </row>
    <row r="19" spans="1:6" x14ac:dyDescent="0.25">
      <c r="A19" s="9">
        <f t="shared" si="0"/>
        <v>18</v>
      </c>
      <c r="B19" s="7" t="str">
        <f>_xlfn.XLOOKUP(C19,Tab_Def_Flows[Flow_Name],Tab_Def_Flows[Flow_ID],,0,)</f>
        <v>F_10_00</v>
      </c>
      <c r="C19" s="7" t="str">
        <f>Tab_Def_Flows[[#This Row],[Flow_Name]]</f>
        <v>Energy_wood_incineration_Emissions_C</v>
      </c>
      <c r="D19" s="142" t="s">
        <v>419</v>
      </c>
      <c r="E19" s="7" t="str">
        <f>_xlfn.XLOOKUP($D19,Table32[Color_Name],Table32[Hex_Code],,0,)</f>
        <v>#87CEEB</v>
      </c>
      <c r="F19" s="15"/>
    </row>
    <row r="20" spans="1:6" x14ac:dyDescent="0.25">
      <c r="A20" s="9">
        <f t="shared" si="0"/>
        <v>19</v>
      </c>
      <c r="B20" s="7" t="str">
        <f>_xlfn.XLOOKUP(C20,Tab_Def_Flows[Flow_Name],Tab_Def_Flows[Flow_ID],,0,)</f>
        <v>F_10_01</v>
      </c>
      <c r="C20" s="7" t="str">
        <f>Tab_Def_Flows[[#This Row],[Flow_Name]]</f>
        <v>Energy_wood_incineration_Emmsions_E</v>
      </c>
      <c r="D20" s="142" t="s">
        <v>386</v>
      </c>
      <c r="E20" s="7" t="str">
        <f>_xlfn.XLOOKUP($D20,Table32[Color_Name],Table32[Hex_Code],,0,)</f>
        <v>#228B22</v>
      </c>
      <c r="F20" s="15"/>
    </row>
    <row r="21" spans="1:6" x14ac:dyDescent="0.25">
      <c r="A21" s="9">
        <f t="shared" si="0"/>
        <v>20</v>
      </c>
      <c r="B21" s="7" t="str">
        <f>_xlfn.XLOOKUP(C21,Tab_Def_Flows[Flow_Name],Tab_Def_Flows[Flow_ID],,0,)</f>
        <v>F_03_07</v>
      </c>
      <c r="C21" s="7" t="str">
        <f>Tab_Def_Flows[[#This Row],[Flow_Name]]</f>
        <v>Roundwood_Processing_by-products</v>
      </c>
      <c r="D21" s="142" t="s">
        <v>402</v>
      </c>
      <c r="E21" s="7" t="str">
        <f>_xlfn.XLOOKUP($D21,Table32[Color_Name],Table32[Hex_Code],,0,)</f>
        <v>#F5DEB3</v>
      </c>
      <c r="F21" s="15"/>
    </row>
    <row r="22" spans="1:6" x14ac:dyDescent="0.25">
      <c r="A22" s="9">
        <f t="shared" si="0"/>
        <v>21</v>
      </c>
      <c r="B22" s="7" t="str">
        <f>_xlfn.XLOOKUP(C22,Tab_Def_Flows[Flow_Name],Tab_Def_Flows[Flow_ID],,0,)</f>
        <v>F_11_07</v>
      </c>
      <c r="C22" s="7" t="str">
        <f>Tab_Def_Flows[[#This Row],[Flow_Name]]</f>
        <v>Industry_wood_dry</v>
      </c>
      <c r="D22" s="142" t="s">
        <v>386</v>
      </c>
      <c r="E22" s="7" t="str">
        <f>_xlfn.XLOOKUP($D22,Table32[Color_Name],Table32[Hex_Code],,0,)</f>
        <v>#228B22</v>
      </c>
      <c r="F22" s="15"/>
    </row>
    <row r="23" spans="1:6" x14ac:dyDescent="0.25">
      <c r="A23" s="9">
        <f t="shared" si="0"/>
        <v>22</v>
      </c>
      <c r="B23" s="7" t="str">
        <f>_xlfn.XLOOKUP(C23,Tab_Def_Flows[Flow_Name],Tab_Def_Flows[Flow_ID],,0,)</f>
        <v>F_11_01</v>
      </c>
      <c r="C23" s="7" t="str">
        <f>Tab_Def_Flows[[#This Row],[Flow_Name]]</f>
        <v>Industry_wood_water</v>
      </c>
      <c r="D23" s="142" t="s">
        <v>386</v>
      </c>
      <c r="E23" s="7" t="str">
        <f>_xlfn.XLOOKUP($D23,Table32[Color_Name],Table32[Hex_Code],,0,)</f>
        <v>#228B22</v>
      </c>
      <c r="F23" s="15"/>
    </row>
    <row r="24" spans="1:6" x14ac:dyDescent="0.25">
      <c r="A24" s="9">
        <f t="shared" si="0"/>
        <v>23</v>
      </c>
      <c r="B24" s="7" t="str">
        <f>_xlfn.XLOOKUP(C24,Tab_Def_Flows[Flow_Name],Tab_Def_Flows[Flow_ID],,0,)</f>
        <v>F_12_03</v>
      </c>
      <c r="C24" s="7" t="str">
        <f>Tab_Def_Flows[[#This Row],[Flow_Name]]</f>
        <v>Roundwood_dry</v>
      </c>
      <c r="D24" s="142" t="s">
        <v>386</v>
      </c>
      <c r="E24" s="7" t="str">
        <f>_xlfn.XLOOKUP($D24,Table32[Color_Name],Table32[Hex_Code],,0,)</f>
        <v>#228B22</v>
      </c>
      <c r="F24" s="15"/>
    </row>
    <row r="25" spans="1:6" x14ac:dyDescent="0.25">
      <c r="A25" s="9">
        <f t="shared" si="0"/>
        <v>24</v>
      </c>
      <c r="B25" s="7" t="str">
        <f>_xlfn.XLOOKUP(C25,Tab_Def_Flows[Flow_Name],Tab_Def_Flows[Flow_ID],,0,)</f>
        <v>F_12_01</v>
      </c>
      <c r="C25" s="7" t="str">
        <f>Tab_Def_Flows[[#This Row],[Flow_Name]]</f>
        <v>Roundwood_water</v>
      </c>
      <c r="D25" s="142" t="s">
        <v>386</v>
      </c>
      <c r="E25" s="7" t="str">
        <f>_xlfn.XLOOKUP($D25,Table32[Color_Name],Table32[Hex_Code],,0,)</f>
        <v>#228B22</v>
      </c>
      <c r="F25" s="15"/>
    </row>
    <row r="26" spans="1:6" x14ac:dyDescent="0.25">
      <c r="A26" s="9">
        <f t="shared" si="0"/>
        <v>25</v>
      </c>
      <c r="B26" s="7" t="e">
        <f>_xlfn.XLOOKUP(C26,Tab_Def_Flows[Flow_Name],Tab_Def_Flows[Flow_ID],,0,)</f>
        <v>#N/A</v>
      </c>
      <c r="C26" s="7">
        <f>Tab_Def_Flows[[#This Row],[Flow_Name]]</f>
        <v>0</v>
      </c>
      <c r="D26" s="142"/>
      <c r="E26" s="7" t="e">
        <f>_xlfn.XLOOKUP($D26,Table32[Color_Name],Table32[Hex_Code],,0,)</f>
        <v>#N/A</v>
      </c>
      <c r="F26" s="15"/>
    </row>
    <row r="27" spans="1:6" x14ac:dyDescent="0.25">
      <c r="A27" s="9">
        <f t="shared" si="0"/>
        <v>26</v>
      </c>
      <c r="B27" s="7" t="e">
        <f>_xlfn.XLOOKUP(C27,Tab_Def_Flows[Flow_Name],Tab_Def_Flows[Flow_ID],,0,)</f>
        <v>#N/A</v>
      </c>
      <c r="C27" s="7">
        <f>Tab_Def_Flows[[#This Row],[Flow_Name]]</f>
        <v>0</v>
      </c>
      <c r="D27" s="142"/>
      <c r="E27" s="7" t="e">
        <f>_xlfn.XLOOKUP($D27,Table32[Color_Name],Table32[Hex_Code],,0,)</f>
        <v>#N/A</v>
      </c>
      <c r="F27" s="15"/>
    </row>
    <row r="28" spans="1:6" x14ac:dyDescent="0.25">
      <c r="A28" s="9">
        <f t="shared" si="0"/>
        <v>27</v>
      </c>
      <c r="B28" s="7" t="e">
        <f>_xlfn.XLOOKUP(C28,Tab_Def_Flows[Flow_Name],Tab_Def_Flows[Flow_ID],,0,)</f>
        <v>#N/A</v>
      </c>
      <c r="C28" s="7">
        <f>Tab_Def_Flows[[#This Row],[Flow_Name]]</f>
        <v>0</v>
      </c>
      <c r="D28" s="142"/>
      <c r="E28" s="7" t="e">
        <f>_xlfn.XLOOKUP($D28,Table32[Color_Name],Table32[Hex_Code],,0,)</f>
        <v>#N/A</v>
      </c>
      <c r="F28" s="15"/>
    </row>
    <row r="29" spans="1:6" x14ac:dyDescent="0.25">
      <c r="A29" s="9">
        <f t="shared" si="0"/>
        <v>28</v>
      </c>
      <c r="B29" s="7" t="e">
        <f>_xlfn.XLOOKUP(C29,Tab_Def_Flows[Flow_Name],Tab_Def_Flows[Flow_ID],,0,)</f>
        <v>#N/A</v>
      </c>
      <c r="C29" s="7">
        <f>Tab_Def_Flows[[#This Row],[Flow_Name]]</f>
        <v>0</v>
      </c>
      <c r="D29" s="142"/>
      <c r="E29" s="7" t="e">
        <f>_xlfn.XLOOKUP($D29,Table32[Color_Name],Table32[Hex_Code],,0,)</f>
        <v>#N/A</v>
      </c>
      <c r="F29" s="15"/>
    </row>
    <row r="30" spans="1:6" x14ac:dyDescent="0.25">
      <c r="A30" s="9">
        <f t="shared" si="0"/>
        <v>29</v>
      </c>
      <c r="B30" s="7" t="e">
        <f>_xlfn.XLOOKUP(C30,Tab_Def_Flows[Flow_Name],Tab_Def_Flows[Flow_ID],,0,)</f>
        <v>#N/A</v>
      </c>
      <c r="C30" s="7">
        <f>Tab_Def_Flows[[#This Row],[Flow_Name]]</f>
        <v>0</v>
      </c>
      <c r="D30" s="142"/>
      <c r="E30" s="7" t="e">
        <f>_xlfn.XLOOKUP($D30,Table32[Color_Name],Table32[Hex_Code],,0,)</f>
        <v>#N/A</v>
      </c>
      <c r="F30" s="15"/>
    </row>
    <row r="31" spans="1:6" x14ac:dyDescent="0.25">
      <c r="A31" s="9">
        <f t="shared" si="0"/>
        <v>30</v>
      </c>
      <c r="B31" s="7" t="e">
        <f>_xlfn.XLOOKUP(C31,Tab_Def_Flows[Flow_Name],Tab_Def_Flows[Flow_ID],,0,)</f>
        <v>#N/A</v>
      </c>
      <c r="C31" s="7">
        <f>Tab_Def_Flows[[#This Row],[Flow_Name]]</f>
        <v>0</v>
      </c>
      <c r="D31" s="142"/>
      <c r="E31" s="7" t="e">
        <f>_xlfn.XLOOKUP($D31,Table32[Color_Name],Table32[Hex_Code],,0,)</f>
        <v>#N/A</v>
      </c>
      <c r="F31" s="15"/>
    </row>
    <row r="32" spans="1:6" x14ac:dyDescent="0.25">
      <c r="A32" s="9">
        <f t="shared" si="0"/>
        <v>31</v>
      </c>
      <c r="B32" s="7" t="e">
        <f>_xlfn.XLOOKUP(C32,Tab_Def_Flows[Flow_Name],Tab_Def_Flows[Flow_ID],,0,)</f>
        <v>#N/A</v>
      </c>
      <c r="C32" s="7">
        <f>Tab_Def_Flows[[#This Row],[Flow_Name]]</f>
        <v>0</v>
      </c>
      <c r="D32" s="142"/>
      <c r="E32" s="7" t="e">
        <f>_xlfn.XLOOKUP($D32,Table32[Color_Name],Table32[Hex_Code],,0,)</f>
        <v>#N/A</v>
      </c>
      <c r="F32" s="15"/>
    </row>
    <row r="33" spans="1:6" x14ac:dyDescent="0.25">
      <c r="A33" s="9">
        <f t="shared" si="0"/>
        <v>32</v>
      </c>
      <c r="B33" s="7" t="e">
        <f>_xlfn.XLOOKUP(C33,Tab_Def_Flows[Flow_Name],Tab_Def_Flows[Flow_ID],,0,)</f>
        <v>#N/A</v>
      </c>
      <c r="C33" s="7">
        <f>Tab_Def_Flows[[#This Row],[Flow_Name]]</f>
        <v>0</v>
      </c>
      <c r="D33" s="142"/>
      <c r="E33" s="7" t="e">
        <f>_xlfn.XLOOKUP($D33,Table32[Color_Name],Table32[Hex_Code],,0,)</f>
        <v>#N/A</v>
      </c>
      <c r="F33" s="15"/>
    </row>
    <row r="34" spans="1:6" x14ac:dyDescent="0.25">
      <c r="A34" s="9">
        <f t="shared" si="0"/>
        <v>33</v>
      </c>
      <c r="B34" s="7" t="e">
        <f>_xlfn.XLOOKUP(C34,Tab_Def_Flows[Flow_Name],Tab_Def_Flows[Flow_ID],,0,)</f>
        <v>#N/A</v>
      </c>
      <c r="C34" s="7">
        <f>Tab_Def_Flows[[#This Row],[Flow_Name]]</f>
        <v>0</v>
      </c>
      <c r="D34" s="142"/>
      <c r="E34" s="7" t="e">
        <f>_xlfn.XLOOKUP($D34,Table32[Color_Name],Table32[Hex_Code],,0,)</f>
        <v>#N/A</v>
      </c>
      <c r="F34" s="15"/>
    </row>
    <row r="35" spans="1:6" x14ac:dyDescent="0.25">
      <c r="A35" s="9">
        <f t="shared" si="0"/>
        <v>34</v>
      </c>
      <c r="B35" s="7" t="e">
        <f>_xlfn.XLOOKUP(C35,Tab_Def_Flows[Flow_Name],Tab_Def_Flows[Flow_ID],,0,)</f>
        <v>#N/A</v>
      </c>
      <c r="C35" s="7">
        <f>Tab_Def_Flows[[#This Row],[Flow_Name]]</f>
        <v>0</v>
      </c>
      <c r="D35" s="142"/>
      <c r="E35" s="7" t="e">
        <f>_xlfn.XLOOKUP($D35,Table32[Color_Name],Table32[Hex_Code],,0,)</f>
        <v>#N/A</v>
      </c>
      <c r="F35" s="15"/>
    </row>
    <row r="36" spans="1:6" x14ac:dyDescent="0.25">
      <c r="A36" s="9">
        <f t="shared" si="0"/>
        <v>35</v>
      </c>
      <c r="B36" s="7" t="e">
        <f>_xlfn.XLOOKUP(C36,Tab_Def_Flows[Flow_Name],Tab_Def_Flows[Flow_ID],,0,)</f>
        <v>#N/A</v>
      </c>
      <c r="C36" s="7">
        <f>Tab_Def_Flows[[#This Row],[Flow_Name]]</f>
        <v>0</v>
      </c>
      <c r="D36" s="142"/>
      <c r="E36" s="7" t="e">
        <f>_xlfn.XLOOKUP($D36,Table32[Color_Name],Table32[Hex_Code],,0,)</f>
        <v>#N/A</v>
      </c>
      <c r="F36" s="15"/>
    </row>
    <row r="37" spans="1:6" x14ac:dyDescent="0.25">
      <c r="A37" s="9">
        <f t="shared" si="0"/>
        <v>36</v>
      </c>
      <c r="B37" s="7" t="e">
        <f>_xlfn.XLOOKUP(C37,Tab_Def_Flows[Flow_Name],Tab_Def_Flows[Flow_ID],,0,)</f>
        <v>#N/A</v>
      </c>
      <c r="C37" s="7">
        <f>Tab_Def_Flows[[#This Row],[Flow_Name]]</f>
        <v>0</v>
      </c>
      <c r="D37" s="142"/>
      <c r="E37" s="7" t="e">
        <f>_xlfn.XLOOKUP($D37,Table32[Color_Name],Table32[Hex_Code],,0,)</f>
        <v>#N/A</v>
      </c>
      <c r="F37" s="15"/>
    </row>
    <row r="38" spans="1:6" x14ac:dyDescent="0.25">
      <c r="A38" s="9">
        <f t="shared" si="0"/>
        <v>37</v>
      </c>
      <c r="B38" s="7" t="e">
        <f>_xlfn.XLOOKUP(C38,Tab_Def_Flows[Flow_Name],Tab_Def_Flows[Flow_ID],,0,)</f>
        <v>#N/A</v>
      </c>
      <c r="C38" s="7">
        <f>Tab_Def_Flows[[#This Row],[Flow_Name]]</f>
        <v>0</v>
      </c>
      <c r="D38" s="142"/>
      <c r="E38" s="7" t="e">
        <f>_xlfn.XLOOKUP($D38,Table32[Color_Name],Table32[Hex_Code],,0,)</f>
        <v>#N/A</v>
      </c>
      <c r="F38" s="15"/>
    </row>
    <row r="39" spans="1:6" x14ac:dyDescent="0.25">
      <c r="A39" s="9">
        <f t="shared" si="0"/>
        <v>38</v>
      </c>
      <c r="B39" s="7" t="e">
        <f>_xlfn.XLOOKUP(C39,Tab_Def_Flows[Flow_Name],Tab_Def_Flows[Flow_ID],,0,)</f>
        <v>#N/A</v>
      </c>
      <c r="C39" s="7">
        <f>Tab_Def_Flows[[#This Row],[Flow_Name]]</f>
        <v>0</v>
      </c>
      <c r="D39" s="142"/>
      <c r="E39" s="7" t="e">
        <f>_xlfn.XLOOKUP($D39,Table32[Color_Name],Table32[Hex_Code],,0,)</f>
        <v>#N/A</v>
      </c>
      <c r="F39" s="15"/>
    </row>
    <row r="40" spans="1:6" x14ac:dyDescent="0.25">
      <c r="A40" s="9">
        <f t="shared" si="0"/>
        <v>39</v>
      </c>
      <c r="B40" s="7" t="e">
        <f>_xlfn.XLOOKUP(C40,Tab_Def_Flows[Flow_Name],Tab_Def_Flows[Flow_ID],,0,)</f>
        <v>#N/A</v>
      </c>
      <c r="C40" s="7">
        <f>Tab_Def_Flows[[#This Row],[Flow_Name]]</f>
        <v>0</v>
      </c>
      <c r="D40" s="142"/>
      <c r="E40" s="7" t="e">
        <f>_xlfn.XLOOKUP($D40,Table32[Color_Name],Table32[Hex_Code],,0,)</f>
        <v>#N/A</v>
      </c>
      <c r="F40" s="15"/>
    </row>
    <row r="41" spans="1:6" x14ac:dyDescent="0.25">
      <c r="A41" s="9">
        <f t="shared" si="0"/>
        <v>40</v>
      </c>
      <c r="B41" s="7" t="e">
        <f>_xlfn.XLOOKUP(C41,Tab_Def_Flows[Flow_Name],Tab_Def_Flows[Flow_ID],,0,)</f>
        <v>#N/A</v>
      </c>
      <c r="C41" s="7">
        <f>Tab_Def_Flows[[#This Row],[Flow_Name]]</f>
        <v>0</v>
      </c>
      <c r="D41" s="142"/>
      <c r="E41" s="7" t="e">
        <f>_xlfn.XLOOKUP($D41,Table32[Color_Name],Table32[Hex_Code],,0,)</f>
        <v>#N/A</v>
      </c>
      <c r="F41" s="15"/>
    </row>
    <row r="42" spans="1:6" x14ac:dyDescent="0.25">
      <c r="A42" s="9">
        <f t="shared" si="0"/>
        <v>41</v>
      </c>
      <c r="B42" s="7" t="e">
        <f>_xlfn.XLOOKUP(C42,Tab_Def_Flows[Flow_Name],Tab_Def_Flows[Flow_ID],,0,)</f>
        <v>#N/A</v>
      </c>
      <c r="C42" s="7">
        <f>Tab_Def_Flows[[#This Row],[Flow_Name]]</f>
        <v>0</v>
      </c>
      <c r="D42" s="142"/>
      <c r="E42" s="7" t="e">
        <f>_xlfn.XLOOKUP($D42,Table32[Color_Name],Table32[Hex_Code],,0,)</f>
        <v>#N/A</v>
      </c>
      <c r="F42" s="15"/>
    </row>
    <row r="43" spans="1:6" x14ac:dyDescent="0.25">
      <c r="A43" s="9">
        <f t="shared" si="0"/>
        <v>42</v>
      </c>
      <c r="B43" s="7" t="e">
        <f>_xlfn.XLOOKUP(C43,Tab_Def_Flows[Flow_Name],Tab_Def_Flows[Flow_ID],,0,)</f>
        <v>#N/A</v>
      </c>
      <c r="C43" s="7">
        <f>Tab_Def_Flows[[#This Row],[Flow_Name]]</f>
        <v>0</v>
      </c>
      <c r="D43" s="142"/>
      <c r="E43" s="7" t="e">
        <f>_xlfn.XLOOKUP($D43,Table32[Color_Name],Table32[Hex_Code],,0,)</f>
        <v>#N/A</v>
      </c>
      <c r="F43" s="15"/>
    </row>
    <row r="44" spans="1:6" x14ac:dyDescent="0.25">
      <c r="A44" s="9">
        <f t="shared" si="0"/>
        <v>43</v>
      </c>
      <c r="B44" s="7" t="e">
        <f>_xlfn.XLOOKUP(C44,Tab_Def_Flows[Flow_Name],Tab_Def_Flows[Flow_ID],,0,)</f>
        <v>#N/A</v>
      </c>
      <c r="C44" s="7">
        <f>Tab_Def_Flows[[#This Row],[Flow_Name]]</f>
        <v>0</v>
      </c>
      <c r="D44" s="142"/>
      <c r="E44" s="7" t="e">
        <f>_xlfn.XLOOKUP($D44,Table32[Color_Name],Table32[Hex_Code],,0,)</f>
        <v>#N/A</v>
      </c>
      <c r="F44" s="15"/>
    </row>
    <row r="45" spans="1:6" x14ac:dyDescent="0.25">
      <c r="A45" s="9">
        <f t="shared" si="0"/>
        <v>44</v>
      </c>
      <c r="B45" s="7" t="e">
        <f>_xlfn.XLOOKUP(C45,Tab_Def_Flows[Flow_Name],Tab_Def_Flows[Flow_ID],,0,)</f>
        <v>#N/A</v>
      </c>
      <c r="C45" s="7">
        <f>Tab_Def_Flows[[#This Row],[Flow_Name]]</f>
        <v>0</v>
      </c>
      <c r="D45" s="142"/>
      <c r="E45" s="7" t="e">
        <f>_xlfn.XLOOKUP($D45,Table32[Color_Name],Table32[Hex_Code],,0,)</f>
        <v>#N/A</v>
      </c>
      <c r="F45" s="15"/>
    </row>
    <row r="46" spans="1:6" x14ac:dyDescent="0.25">
      <c r="A46" s="9">
        <f t="shared" si="0"/>
        <v>45</v>
      </c>
      <c r="B46" s="7" t="e">
        <f>_xlfn.XLOOKUP(C46,Tab_Def_Flows[Flow_Name],Tab_Def_Flows[Flow_ID],,0,)</f>
        <v>#N/A</v>
      </c>
      <c r="C46" s="7">
        <f>Tab_Def_Flows[[#This Row],[Flow_Name]]</f>
        <v>0</v>
      </c>
      <c r="D46" s="142"/>
      <c r="E46" s="7" t="e">
        <f>_xlfn.XLOOKUP($D46,Table32[Color_Name],Table32[Hex_Code],,0,)</f>
        <v>#N/A</v>
      </c>
      <c r="F46" s="15"/>
    </row>
    <row r="47" spans="1:6" x14ac:dyDescent="0.25">
      <c r="A47" s="9">
        <f t="shared" si="0"/>
        <v>46</v>
      </c>
      <c r="B47" s="7" t="e">
        <f>_xlfn.XLOOKUP(C47,Tab_Def_Flows[Flow_Name],Tab_Def_Flows[Flow_ID],,0,)</f>
        <v>#N/A</v>
      </c>
      <c r="C47" s="7">
        <f>Tab_Def_Flows[[#This Row],[Flow_Name]]</f>
        <v>0</v>
      </c>
      <c r="D47" s="142"/>
      <c r="E47" s="7" t="e">
        <f>_xlfn.XLOOKUP($D47,Table32[Color_Name],Table32[Hex_Code],,0,)</f>
        <v>#N/A</v>
      </c>
      <c r="F47" s="15"/>
    </row>
    <row r="48" spans="1:6" x14ac:dyDescent="0.25">
      <c r="A48" s="9">
        <f t="shared" si="0"/>
        <v>47</v>
      </c>
      <c r="B48" s="7" t="e">
        <f>_xlfn.XLOOKUP(C48,Tab_Def_Flows[Flow_Name],Tab_Def_Flows[Flow_ID],,0,)</f>
        <v>#N/A</v>
      </c>
      <c r="C48" s="7">
        <f>Tab_Def_Flows[[#This Row],[Flow_Name]]</f>
        <v>0</v>
      </c>
      <c r="D48" s="142"/>
      <c r="E48" s="7" t="e">
        <f>_xlfn.XLOOKUP($D48,Table32[Color_Name],Table32[Hex_Code],,0,)</f>
        <v>#N/A</v>
      </c>
      <c r="F48" s="15"/>
    </row>
    <row r="49" spans="1:6" x14ac:dyDescent="0.25">
      <c r="A49" s="9">
        <f t="shared" si="0"/>
        <v>48</v>
      </c>
      <c r="B49" s="7" t="e">
        <f>_xlfn.XLOOKUP(C49,Tab_Def_Flows[Flow_Name],Tab_Def_Flows[Flow_ID],,0,)</f>
        <v>#N/A</v>
      </c>
      <c r="C49" s="7">
        <f>Tab_Def_Flows[[#This Row],[Flow_Name]]</f>
        <v>0</v>
      </c>
      <c r="D49" s="142"/>
      <c r="E49" s="7" t="e">
        <f>_xlfn.XLOOKUP($D49,Table32[Color_Name],Table32[Hex_Code],,0,)</f>
        <v>#N/A</v>
      </c>
      <c r="F49" s="15"/>
    </row>
    <row r="50" spans="1:6" x14ac:dyDescent="0.25">
      <c r="A50" s="9">
        <f t="shared" si="0"/>
        <v>49</v>
      </c>
      <c r="B50" s="7" t="e">
        <f>_xlfn.XLOOKUP(C50,Tab_Def_Flows[Flow_Name],Tab_Def_Flows[Flow_ID],,0,)</f>
        <v>#N/A</v>
      </c>
      <c r="C50" s="7">
        <f>Tab_Def_Flows[[#This Row],[Flow_Name]]</f>
        <v>0</v>
      </c>
      <c r="D50" s="142"/>
      <c r="E50" s="7" t="e">
        <f>_xlfn.XLOOKUP($D50,Table32[Color_Name],Table32[Hex_Code],,0,)</f>
        <v>#N/A</v>
      </c>
      <c r="F50" s="15"/>
    </row>
    <row r="51" spans="1:6" x14ac:dyDescent="0.25">
      <c r="A51" s="9">
        <f t="shared" si="0"/>
        <v>50</v>
      </c>
      <c r="B51" s="7" t="e">
        <f>_xlfn.XLOOKUP(C51,Tab_Def_Flows[Flow_Name],Tab_Def_Flows[Flow_ID],,0,)</f>
        <v>#N/A</v>
      </c>
      <c r="C51" s="7">
        <f>Tab_Def_Flows[[#This Row],[Flow_Name]]</f>
        <v>0</v>
      </c>
      <c r="D51" s="142"/>
      <c r="E51" s="7" t="e">
        <f>_xlfn.XLOOKUP($D51,Table32[Color_Name],Table32[Hex_Code],,0,)</f>
        <v>#N/A</v>
      </c>
      <c r="F51" s="15"/>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8D9ACA64-5F12-4E15-98BD-FCCDA322F7CC}">
          <x14:formula1>
            <xm:f>'6_4_CL_Visualisation'!$C$22:$C$42</xm:f>
          </x14:formula1>
          <xm:sqref>D2:D51</xm:sqref>
        </x14:dataValidation>
        <x14:dataValidation type="list" allowBlank="1" showInputMessage="1" showErrorMessage="1" xr:uid="{FF566CFD-D4B6-4FB3-99A7-CE06354EF1E6}">
          <x14:formula1>
            <xm:f>'1_1_Definition_Flows'!$D$2:$D$70</xm:f>
          </x14:formula1>
          <xm:sqref>C2:C51</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81B21-3CA8-4455-819E-61EA9C8364BD}">
  <dimension ref="A1:E15"/>
  <sheetViews>
    <sheetView zoomScale="85" zoomScaleNormal="85" workbookViewId="0">
      <selection activeCell="S65" sqref="S65"/>
    </sheetView>
  </sheetViews>
  <sheetFormatPr defaultRowHeight="15" x14ac:dyDescent="0.25"/>
  <cols>
    <col min="1" max="1" width="26" customWidth="1"/>
    <col min="2" max="2" width="17.28515625" customWidth="1"/>
    <col min="3" max="3" width="75" customWidth="1"/>
    <col min="4" max="4" width="16.85546875" customWidth="1"/>
  </cols>
  <sheetData>
    <row r="1" spans="1:5" x14ac:dyDescent="0.25">
      <c r="A1" s="145" t="s">
        <v>361</v>
      </c>
      <c r="B1" s="145" t="s">
        <v>200</v>
      </c>
      <c r="C1" s="145" t="s">
        <v>4</v>
      </c>
      <c r="D1" s="145" t="s">
        <v>362</v>
      </c>
      <c r="E1" s="145" t="s">
        <v>194</v>
      </c>
    </row>
    <row r="2" spans="1:5" x14ac:dyDescent="0.25">
      <c r="A2" s="7" t="s">
        <v>363</v>
      </c>
      <c r="B2" s="8">
        <v>0.5</v>
      </c>
      <c r="C2" s="15" t="s">
        <v>364</v>
      </c>
      <c r="D2" s="15" t="s">
        <v>365</v>
      </c>
      <c r="E2" s="15"/>
    </row>
    <row r="3" spans="1:5" x14ac:dyDescent="0.25">
      <c r="A3" s="7" t="s">
        <v>366</v>
      </c>
      <c r="B3" s="8">
        <v>0.5</v>
      </c>
      <c r="C3" s="15" t="s">
        <v>367</v>
      </c>
      <c r="D3" s="15" t="s">
        <v>365</v>
      </c>
      <c r="E3" s="15"/>
    </row>
    <row r="4" spans="1:5" x14ac:dyDescent="0.25">
      <c r="A4" s="7" t="s">
        <v>368</v>
      </c>
      <c r="B4" s="8">
        <v>0.3</v>
      </c>
      <c r="C4" s="15" t="s">
        <v>369</v>
      </c>
      <c r="D4" s="15" t="s">
        <v>370</v>
      </c>
      <c r="E4" s="15"/>
    </row>
    <row r="5" spans="1:5" x14ac:dyDescent="0.25">
      <c r="A5" s="7" t="s">
        <v>371</v>
      </c>
      <c r="B5" s="8" t="s">
        <v>502</v>
      </c>
      <c r="C5" s="15" t="s">
        <v>372</v>
      </c>
      <c r="D5" s="15" t="s">
        <v>373</v>
      </c>
      <c r="E5" s="15"/>
    </row>
    <row r="6" spans="1:5" x14ac:dyDescent="0.25">
      <c r="A6" s="7" t="s">
        <v>374</v>
      </c>
      <c r="B6" s="8" t="s">
        <v>375</v>
      </c>
      <c r="C6" s="15" t="s">
        <v>376</v>
      </c>
      <c r="D6" s="15" t="s">
        <v>377</v>
      </c>
      <c r="E6" s="15"/>
    </row>
    <row r="7" spans="1:5" x14ac:dyDescent="0.25">
      <c r="A7" s="7" t="s">
        <v>378</v>
      </c>
      <c r="B7" s="8" t="s">
        <v>379</v>
      </c>
      <c r="C7" s="15" t="s">
        <v>380</v>
      </c>
      <c r="D7" s="15" t="s">
        <v>377</v>
      </c>
      <c r="E7" s="15"/>
    </row>
    <row r="8" spans="1:5" x14ac:dyDescent="0.25">
      <c r="A8" s="7" t="s">
        <v>476</v>
      </c>
      <c r="B8" s="8">
        <v>1600</v>
      </c>
      <c r="C8" s="15" t="s">
        <v>477</v>
      </c>
      <c r="D8" s="15"/>
      <c r="E8" s="15"/>
    </row>
    <row r="9" spans="1:5" x14ac:dyDescent="0.25">
      <c r="A9" s="7" t="s">
        <v>479</v>
      </c>
      <c r="B9" s="8">
        <v>1200</v>
      </c>
      <c r="C9" s="15" t="s">
        <v>480</v>
      </c>
      <c r="D9" s="15"/>
      <c r="E9" s="15"/>
    </row>
    <row r="10" spans="1:5" x14ac:dyDescent="0.25">
      <c r="A10" s="7" t="s">
        <v>481</v>
      </c>
      <c r="B10" s="8">
        <v>1</v>
      </c>
      <c r="C10" s="15" t="s">
        <v>482</v>
      </c>
      <c r="D10" s="15" t="s">
        <v>483</v>
      </c>
      <c r="E10" s="15" t="s">
        <v>478</v>
      </c>
    </row>
    <row r="11" spans="1:5" x14ac:dyDescent="0.25">
      <c r="A11" s="7" t="s">
        <v>484</v>
      </c>
      <c r="B11" s="8">
        <v>1</v>
      </c>
      <c r="C11" s="15" t="s">
        <v>485</v>
      </c>
      <c r="D11" s="15" t="s">
        <v>483</v>
      </c>
      <c r="E11" s="15" t="s">
        <v>478</v>
      </c>
    </row>
    <row r="12" spans="1:5" x14ac:dyDescent="0.25">
      <c r="A12" s="7" t="s">
        <v>486</v>
      </c>
      <c r="B12" s="8" t="b">
        <v>1</v>
      </c>
      <c r="C12" s="15" t="s">
        <v>487</v>
      </c>
      <c r="D12" s="15" t="s">
        <v>483</v>
      </c>
      <c r="E12" s="15" t="s">
        <v>478</v>
      </c>
    </row>
    <row r="13" spans="1:5" x14ac:dyDescent="0.25">
      <c r="A13" s="7" t="s">
        <v>488</v>
      </c>
      <c r="B13" s="8">
        <v>0.3</v>
      </c>
      <c r="C13" s="15" t="s">
        <v>489</v>
      </c>
      <c r="D13" s="15" t="s">
        <v>483</v>
      </c>
      <c r="E13" s="15" t="s">
        <v>478</v>
      </c>
    </row>
    <row r="14" spans="1:5" x14ac:dyDescent="0.25">
      <c r="A14" s="7" t="s">
        <v>490</v>
      </c>
      <c r="B14" s="8">
        <v>3</v>
      </c>
      <c r="C14" s="15" t="s">
        <v>491</v>
      </c>
      <c r="D14" s="15" t="s">
        <v>483</v>
      </c>
      <c r="E14" s="15" t="s">
        <v>478</v>
      </c>
    </row>
    <row r="15" spans="1:5" x14ac:dyDescent="0.25">
      <c r="A15" s="7" t="s">
        <v>492</v>
      </c>
      <c r="B15" s="8" t="s">
        <v>502</v>
      </c>
      <c r="C15" s="15" t="s">
        <v>493</v>
      </c>
      <c r="D15" s="15" t="s">
        <v>483</v>
      </c>
      <c r="E15" s="15" t="s">
        <v>478</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C2C39-71FD-467A-B3A7-882AEDC330E2}">
  <dimension ref="B2:P42"/>
  <sheetViews>
    <sheetView workbookViewId="0">
      <selection activeCell="K45" sqref="K45"/>
    </sheetView>
  </sheetViews>
  <sheetFormatPr defaultRowHeight="15" x14ac:dyDescent="0.25"/>
  <cols>
    <col min="2" max="2" width="26.140625" customWidth="1"/>
    <col min="3" max="5" width="16.7109375" customWidth="1"/>
    <col min="6" max="6" width="34.28515625" customWidth="1"/>
    <col min="7" max="10" width="11" customWidth="1"/>
    <col min="11" max="16" width="12" customWidth="1"/>
  </cols>
  <sheetData>
    <row r="2" spans="2:16" x14ac:dyDescent="0.25">
      <c r="B2" t="s">
        <v>333</v>
      </c>
      <c r="C2" t="s">
        <v>334</v>
      </c>
      <c r="D2" t="s">
        <v>335</v>
      </c>
      <c r="E2" t="s">
        <v>357</v>
      </c>
      <c r="F2" t="s">
        <v>337</v>
      </c>
      <c r="G2" t="s">
        <v>338</v>
      </c>
      <c r="H2" t="s">
        <v>339</v>
      </c>
      <c r="I2" t="s">
        <v>340</v>
      </c>
      <c r="J2" t="s">
        <v>341</v>
      </c>
      <c r="K2" t="s">
        <v>342</v>
      </c>
      <c r="L2" t="s">
        <v>343</v>
      </c>
      <c r="M2" t="s">
        <v>344</v>
      </c>
      <c r="N2" t="s">
        <v>345</v>
      </c>
      <c r="O2" t="s">
        <v>346</v>
      </c>
      <c r="P2" t="s">
        <v>347</v>
      </c>
    </row>
    <row r="3" spans="2:16" x14ac:dyDescent="0.25">
      <c r="C3" t="s">
        <v>348</v>
      </c>
      <c r="D3" t="s">
        <v>351</v>
      </c>
      <c r="E3" t="s">
        <v>358</v>
      </c>
    </row>
    <row r="4" spans="2:16" x14ac:dyDescent="0.25">
      <c r="C4" t="s">
        <v>349</v>
      </c>
      <c r="D4" t="s">
        <v>352</v>
      </c>
      <c r="E4" t="s">
        <v>359</v>
      </c>
    </row>
    <row r="5" spans="2:16" x14ac:dyDescent="0.25">
      <c r="C5" t="s">
        <v>350</v>
      </c>
      <c r="D5" t="s">
        <v>353</v>
      </c>
      <c r="E5" t="s">
        <v>360</v>
      </c>
    </row>
    <row r="6" spans="2:16" x14ac:dyDescent="0.25">
      <c r="C6" t="s">
        <v>355</v>
      </c>
      <c r="D6" t="s">
        <v>354</v>
      </c>
    </row>
    <row r="20" spans="2:6" x14ac:dyDescent="0.25">
      <c r="B20" t="s">
        <v>333</v>
      </c>
      <c r="C20" t="s">
        <v>336</v>
      </c>
    </row>
    <row r="21" spans="2:6" x14ac:dyDescent="0.25">
      <c r="B21" s="163" t="s">
        <v>299</v>
      </c>
      <c r="C21" s="163" t="s">
        <v>381</v>
      </c>
      <c r="D21" s="163" t="s">
        <v>382</v>
      </c>
      <c r="E21" s="163" t="s">
        <v>383</v>
      </c>
      <c r="F21" s="163" t="s">
        <v>384</v>
      </c>
    </row>
    <row r="22" spans="2:6" x14ac:dyDescent="0.25">
      <c r="B22" t="s">
        <v>385</v>
      </c>
      <c r="C22" t="s">
        <v>386</v>
      </c>
      <c r="D22" t="s">
        <v>387</v>
      </c>
      <c r="E22" t="s">
        <v>388</v>
      </c>
      <c r="F22" t="s">
        <v>389</v>
      </c>
    </row>
    <row r="23" spans="2:6" x14ac:dyDescent="0.25">
      <c r="B23" t="s">
        <v>385</v>
      </c>
      <c r="C23" t="s">
        <v>390</v>
      </c>
      <c r="D23" t="s">
        <v>391</v>
      </c>
      <c r="E23" t="s">
        <v>392</v>
      </c>
      <c r="F23" t="s">
        <v>393</v>
      </c>
    </row>
    <row r="24" spans="2:6" x14ac:dyDescent="0.25">
      <c r="B24" t="s">
        <v>385</v>
      </c>
      <c r="C24" t="s">
        <v>394</v>
      </c>
      <c r="D24" t="s">
        <v>395</v>
      </c>
      <c r="E24" t="s">
        <v>396</v>
      </c>
      <c r="F24" t="s">
        <v>397</v>
      </c>
    </row>
    <row r="25" spans="2:6" x14ac:dyDescent="0.25">
      <c r="B25" t="s">
        <v>385</v>
      </c>
      <c r="C25" t="s">
        <v>398</v>
      </c>
      <c r="D25" t="s">
        <v>399</v>
      </c>
      <c r="E25" t="s">
        <v>400</v>
      </c>
      <c r="F25" t="s">
        <v>401</v>
      </c>
    </row>
    <row r="26" spans="2:6" x14ac:dyDescent="0.25">
      <c r="B26" t="s">
        <v>385</v>
      </c>
      <c r="C26" t="s">
        <v>402</v>
      </c>
      <c r="D26" t="s">
        <v>403</v>
      </c>
      <c r="E26" t="s">
        <v>404</v>
      </c>
      <c r="F26" t="s">
        <v>405</v>
      </c>
    </row>
    <row r="27" spans="2:6" x14ac:dyDescent="0.25">
      <c r="B27" t="s">
        <v>406</v>
      </c>
      <c r="C27" t="s">
        <v>407</v>
      </c>
      <c r="D27" t="s">
        <v>408</v>
      </c>
      <c r="E27" t="s">
        <v>409</v>
      </c>
      <c r="F27" t="s">
        <v>410</v>
      </c>
    </row>
    <row r="28" spans="2:6" x14ac:dyDescent="0.25">
      <c r="B28" t="s">
        <v>406</v>
      </c>
      <c r="C28" t="s">
        <v>411</v>
      </c>
      <c r="D28" t="s">
        <v>412</v>
      </c>
      <c r="E28" t="s">
        <v>413</v>
      </c>
      <c r="F28" t="s">
        <v>414</v>
      </c>
    </row>
    <row r="29" spans="2:6" x14ac:dyDescent="0.25">
      <c r="B29" t="s">
        <v>406</v>
      </c>
      <c r="C29" t="s">
        <v>415</v>
      </c>
      <c r="D29" t="s">
        <v>416</v>
      </c>
      <c r="E29" t="s">
        <v>417</v>
      </c>
      <c r="F29" t="s">
        <v>418</v>
      </c>
    </row>
    <row r="30" spans="2:6" x14ac:dyDescent="0.25">
      <c r="B30" t="s">
        <v>406</v>
      </c>
      <c r="C30" t="s">
        <v>419</v>
      </c>
      <c r="D30" t="s">
        <v>420</v>
      </c>
      <c r="E30" t="s">
        <v>421</v>
      </c>
      <c r="F30" t="s">
        <v>422</v>
      </c>
    </row>
    <row r="31" spans="2:6" x14ac:dyDescent="0.25">
      <c r="B31" t="s">
        <v>423</v>
      </c>
      <c r="C31" t="s">
        <v>424</v>
      </c>
      <c r="D31" t="s">
        <v>425</v>
      </c>
      <c r="E31" t="s">
        <v>426</v>
      </c>
      <c r="F31" t="s">
        <v>427</v>
      </c>
    </row>
    <row r="32" spans="2:6" x14ac:dyDescent="0.25">
      <c r="B32" t="s">
        <v>423</v>
      </c>
      <c r="C32" t="s">
        <v>428</v>
      </c>
      <c r="D32" t="s">
        <v>429</v>
      </c>
      <c r="E32" t="s">
        <v>430</v>
      </c>
      <c r="F32" t="s">
        <v>431</v>
      </c>
    </row>
    <row r="33" spans="2:6" x14ac:dyDescent="0.25">
      <c r="B33" t="s">
        <v>423</v>
      </c>
      <c r="C33" t="s">
        <v>432</v>
      </c>
      <c r="D33" t="s">
        <v>433</v>
      </c>
      <c r="E33" t="s">
        <v>434</v>
      </c>
      <c r="F33" t="s">
        <v>435</v>
      </c>
    </row>
    <row r="34" spans="2:6" x14ac:dyDescent="0.25">
      <c r="B34" t="s">
        <v>423</v>
      </c>
      <c r="C34" t="s">
        <v>436</v>
      </c>
      <c r="D34" t="s">
        <v>437</v>
      </c>
      <c r="E34" t="s">
        <v>438</v>
      </c>
      <c r="F34" t="s">
        <v>439</v>
      </c>
    </row>
    <row r="35" spans="2:6" x14ac:dyDescent="0.25">
      <c r="B35" t="s">
        <v>440</v>
      </c>
      <c r="C35" t="s">
        <v>441</v>
      </c>
      <c r="D35" t="s">
        <v>442</v>
      </c>
      <c r="E35" t="s">
        <v>443</v>
      </c>
      <c r="F35" t="s">
        <v>444</v>
      </c>
    </row>
    <row r="36" spans="2:6" x14ac:dyDescent="0.25">
      <c r="B36" t="s">
        <v>440</v>
      </c>
      <c r="C36" t="s">
        <v>445</v>
      </c>
      <c r="D36" t="s">
        <v>446</v>
      </c>
      <c r="E36" t="s">
        <v>447</v>
      </c>
      <c r="F36" t="s">
        <v>448</v>
      </c>
    </row>
    <row r="37" spans="2:6" x14ac:dyDescent="0.25">
      <c r="B37" t="s">
        <v>440</v>
      </c>
      <c r="C37" t="s">
        <v>449</v>
      </c>
      <c r="D37" t="s">
        <v>450</v>
      </c>
      <c r="E37" t="s">
        <v>451</v>
      </c>
      <c r="F37" t="s">
        <v>452</v>
      </c>
    </row>
    <row r="38" spans="2:6" x14ac:dyDescent="0.25">
      <c r="B38" t="s">
        <v>440</v>
      </c>
      <c r="C38" t="s">
        <v>453</v>
      </c>
      <c r="D38" t="s">
        <v>454</v>
      </c>
      <c r="E38" t="s">
        <v>455</v>
      </c>
      <c r="F38" t="s">
        <v>456</v>
      </c>
    </row>
    <row r="39" spans="2:6" x14ac:dyDescent="0.25">
      <c r="B39" t="s">
        <v>457</v>
      </c>
      <c r="C39" t="s">
        <v>458</v>
      </c>
      <c r="D39" t="s">
        <v>459</v>
      </c>
      <c r="E39" t="s">
        <v>460</v>
      </c>
      <c r="F39" t="s">
        <v>461</v>
      </c>
    </row>
    <row r="40" spans="2:6" x14ac:dyDescent="0.25">
      <c r="B40" t="s">
        <v>457</v>
      </c>
      <c r="C40" t="s">
        <v>462</v>
      </c>
      <c r="D40" t="s">
        <v>463</v>
      </c>
      <c r="E40" t="s">
        <v>464</v>
      </c>
      <c r="F40" t="s">
        <v>465</v>
      </c>
    </row>
    <row r="41" spans="2:6" x14ac:dyDescent="0.25">
      <c r="B41" t="s">
        <v>457</v>
      </c>
      <c r="C41" t="s">
        <v>466</v>
      </c>
      <c r="D41" t="s">
        <v>467</v>
      </c>
      <c r="E41" t="s">
        <v>468</v>
      </c>
      <c r="F41" t="s">
        <v>469</v>
      </c>
    </row>
    <row r="42" spans="2:6" x14ac:dyDescent="0.25">
      <c r="B42" t="s">
        <v>457</v>
      </c>
      <c r="C42" t="s">
        <v>470</v>
      </c>
      <c r="D42" t="s">
        <v>471</v>
      </c>
      <c r="E42" t="s">
        <v>472</v>
      </c>
      <c r="F42" t="s">
        <v>473</v>
      </c>
    </row>
  </sheetData>
  <pageMargins left="0.7" right="0.7" top="0.75" bottom="0.75" header="0.3" footer="0.3"/>
  <tableParts count="2">
    <tablePart r:id="rId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W72"/>
  <sheetViews>
    <sheetView topLeftCell="A24" zoomScaleNormal="100" zoomScaleSheetLayoutView="145" zoomScalePageLayoutView="115" workbookViewId="0">
      <selection activeCell="N42" sqref="N42"/>
    </sheetView>
  </sheetViews>
  <sheetFormatPr defaultColWidth="11.42578125" defaultRowHeight="15" x14ac:dyDescent="0.25"/>
  <cols>
    <col min="1" max="1" width="16" customWidth="1"/>
    <col min="2" max="2" width="12.5703125" style="1" customWidth="1"/>
    <col min="3" max="6" width="9.85546875" style="1" customWidth="1"/>
    <col min="7" max="7" width="16" style="1" customWidth="1"/>
    <col min="8" max="13" width="9.85546875" style="1" customWidth="1"/>
  </cols>
  <sheetData>
    <row r="1" spans="1:22" ht="48" thickBot="1" x14ac:dyDescent="0.3">
      <c r="A1" s="120" t="s">
        <v>192</v>
      </c>
      <c r="B1" s="177" t="str">
        <f>'2_1_Definition_Processes'!D2</f>
        <v>Atmosphere</v>
      </c>
      <c r="C1" s="177"/>
      <c r="D1" s="177"/>
      <c r="E1" s="177"/>
      <c r="F1" s="177"/>
      <c r="G1" s="177"/>
      <c r="H1" s="177"/>
      <c r="I1" s="120" t="s">
        <v>191</v>
      </c>
      <c r="J1" s="178" t="s">
        <v>72</v>
      </c>
      <c r="K1" s="178"/>
      <c r="L1" s="178"/>
      <c r="M1" s="178"/>
    </row>
    <row r="2" spans="1:22" ht="16.5" thickBot="1" x14ac:dyDescent="0.3">
      <c r="A2" s="179" t="s">
        <v>190</v>
      </c>
      <c r="B2" s="180"/>
      <c r="C2" s="180"/>
      <c r="D2" s="180"/>
      <c r="E2" s="180"/>
      <c r="F2" s="180"/>
      <c r="G2" s="180"/>
      <c r="H2" s="180"/>
      <c r="I2" s="180"/>
      <c r="J2" s="180"/>
      <c r="K2" s="180"/>
      <c r="L2" s="180"/>
      <c r="M2" s="181"/>
    </row>
    <row r="3" spans="1:22" ht="126.75" customHeight="1" thickBot="1" x14ac:dyDescent="0.3">
      <c r="A3" s="182"/>
      <c r="B3" s="183"/>
      <c r="C3" s="183"/>
      <c r="D3" s="183"/>
      <c r="E3" s="183"/>
      <c r="F3" s="183"/>
      <c r="G3" s="183"/>
      <c r="H3" s="183"/>
      <c r="I3" s="183"/>
      <c r="J3" s="183"/>
      <c r="K3" s="183"/>
      <c r="L3" s="183"/>
      <c r="M3" s="184"/>
    </row>
    <row r="4" spans="1:22" ht="31.5" customHeight="1" x14ac:dyDescent="0.25">
      <c r="A4" s="119" t="s">
        <v>189</v>
      </c>
      <c r="B4" s="185"/>
      <c r="C4" s="186"/>
      <c r="D4" s="187"/>
      <c r="E4" s="188" t="s">
        <v>188</v>
      </c>
      <c r="F4" s="189"/>
      <c r="G4" s="124"/>
      <c r="H4" s="124"/>
      <c r="I4" s="118"/>
      <c r="J4" s="118"/>
      <c r="K4" s="118"/>
      <c r="L4" s="118"/>
      <c r="M4" s="118"/>
    </row>
    <row r="5" spans="1:22" ht="16.5" customHeight="1" x14ac:dyDescent="0.25">
      <c r="A5" s="121" t="s">
        <v>187</v>
      </c>
      <c r="B5" s="193" t="s">
        <v>269</v>
      </c>
      <c r="C5" s="193"/>
      <c r="D5" s="194"/>
      <c r="E5" s="121" t="s">
        <v>187</v>
      </c>
      <c r="F5" s="195" t="e">
        <f>_xlfn.XLOOKUP(J1,Tab_Def_Processes[Process_ID],#REF!,"No_flow.",0,1)</f>
        <v>#REF!</v>
      </c>
      <c r="G5" s="195"/>
      <c r="H5" s="196"/>
      <c r="I5" s="122"/>
      <c r="J5" s="117"/>
      <c r="K5" s="117"/>
      <c r="L5" s="117"/>
      <c r="M5" s="114"/>
    </row>
    <row r="6" spans="1:22" ht="16.5" customHeight="1" x14ac:dyDescent="0.25">
      <c r="A6" s="121" t="s">
        <v>186</v>
      </c>
      <c r="B6" s="195" t="s">
        <v>270</v>
      </c>
      <c r="C6" s="195"/>
      <c r="D6" s="196"/>
      <c r="E6" s="121" t="s">
        <v>186</v>
      </c>
      <c r="F6" s="195" t="e">
        <f>_xlfn.XLOOKUP(J1,Tab_Def_Processes[Process_ID],#REF!,"No_flow.",0,1)</f>
        <v>#REF!</v>
      </c>
      <c r="G6" s="195"/>
      <c r="H6" s="196"/>
      <c r="I6" s="122"/>
      <c r="J6" s="117"/>
      <c r="K6" s="117"/>
      <c r="L6" s="117"/>
      <c r="M6" s="114"/>
    </row>
    <row r="7" spans="1:22" ht="16.5" customHeight="1" x14ac:dyDescent="0.25">
      <c r="A7" s="116" t="s">
        <v>185</v>
      </c>
      <c r="B7" s="195" t="e">
        <f>_xlfn.XLOOKUP(J1,Tab_Def_Processes[Process_ID],#REF!,"No_flow.",0,1)</f>
        <v>#REF!</v>
      </c>
      <c r="C7" s="195"/>
      <c r="D7" s="196"/>
      <c r="E7" s="116" t="s">
        <v>185</v>
      </c>
      <c r="F7" s="195" t="e">
        <f>_xlfn.XLOOKUP(J1,Tab_Def_Processes[Process_ID],#REF!,"No_flow.",0,1)</f>
        <v>#REF!</v>
      </c>
      <c r="G7" s="195"/>
      <c r="H7" s="196"/>
      <c r="I7" s="123"/>
      <c r="J7" s="115"/>
      <c r="K7" s="115"/>
      <c r="L7" s="115"/>
      <c r="M7" s="114"/>
    </row>
    <row r="8" spans="1:22" ht="16.5" customHeight="1" x14ac:dyDescent="0.25">
      <c r="A8" s="116" t="s">
        <v>184</v>
      </c>
      <c r="B8" s="195" t="e">
        <f>_xlfn.XLOOKUP(J1,Tab_Def_Processes[Process_ID],#REF!,"No_flow.",0,1)</f>
        <v>#REF!</v>
      </c>
      <c r="C8" s="195"/>
      <c r="D8" s="196"/>
      <c r="E8" s="116" t="s">
        <v>184</v>
      </c>
      <c r="F8" s="195" t="e">
        <f>_xlfn.XLOOKUP(J1,Tab_Def_Processes[Process_ID],#REF!,"No_flow.",0,1)</f>
        <v>#REF!</v>
      </c>
      <c r="G8" s="195"/>
      <c r="H8" s="196"/>
      <c r="I8" s="123"/>
      <c r="J8" s="115"/>
      <c r="K8" s="115"/>
      <c r="L8" s="115"/>
      <c r="M8" s="114"/>
    </row>
    <row r="9" spans="1:22" ht="16.5" customHeight="1" x14ac:dyDescent="0.25">
      <c r="A9" s="116" t="s">
        <v>183</v>
      </c>
      <c r="B9" s="195" t="e">
        <f>_xlfn.XLOOKUP(J1,Tab_Def_Processes[Process_ID],#REF!,"No_flow.",0,1)</f>
        <v>#REF!</v>
      </c>
      <c r="C9" s="195"/>
      <c r="D9" s="196"/>
      <c r="E9" s="116" t="s">
        <v>183</v>
      </c>
      <c r="F9" s="195" t="e">
        <f>_xlfn.XLOOKUP(J1,Tab_Def_Processes[Process_ID],#REF!,"No_flow.",0,1)</f>
        <v>#REF!</v>
      </c>
      <c r="G9" s="195"/>
      <c r="H9" s="196"/>
      <c r="I9" s="123"/>
      <c r="J9" s="115"/>
      <c r="K9" s="115"/>
      <c r="L9" s="115"/>
      <c r="M9" s="114"/>
    </row>
    <row r="10" spans="1:22" ht="16.5" customHeight="1" thickBot="1" x14ac:dyDescent="0.3">
      <c r="A10" s="125" t="s">
        <v>182</v>
      </c>
      <c r="B10" s="197"/>
      <c r="C10" s="197"/>
      <c r="D10" s="198"/>
      <c r="E10" s="125" t="s">
        <v>182</v>
      </c>
      <c r="F10" s="197"/>
      <c r="G10" s="197"/>
      <c r="H10" s="198"/>
      <c r="I10" s="123"/>
      <c r="J10" s="115"/>
      <c r="K10" s="115"/>
      <c r="L10" s="115"/>
      <c r="M10" s="114"/>
    </row>
    <row r="11" spans="1:22" ht="16.5" thickBot="1" x14ac:dyDescent="0.3">
      <c r="A11" s="179" t="s">
        <v>181</v>
      </c>
      <c r="B11" s="180"/>
      <c r="C11" s="180"/>
      <c r="D11" s="180"/>
      <c r="E11" s="180"/>
      <c r="F11" s="180"/>
      <c r="G11" s="180"/>
      <c r="H11" s="180"/>
      <c r="I11" s="180"/>
      <c r="J11" s="180"/>
      <c r="K11" s="180"/>
      <c r="L11" s="180"/>
      <c r="M11" s="181"/>
    </row>
    <row r="12" spans="1:22" ht="33" customHeight="1" thickBot="1" x14ac:dyDescent="0.3">
      <c r="A12" s="113">
        <v>1000</v>
      </c>
      <c r="B12" s="112" t="s">
        <v>180</v>
      </c>
      <c r="C12" s="111"/>
      <c r="D12" s="111"/>
      <c r="E12" s="111"/>
      <c r="F12" s="111"/>
      <c r="G12" s="111"/>
      <c r="H12" s="111"/>
      <c r="I12" s="111"/>
      <c r="J12" s="111"/>
      <c r="K12" s="111"/>
      <c r="L12" s="111"/>
      <c r="M12" s="110"/>
    </row>
    <row r="13" spans="1:22" ht="16.5" thickBot="1" x14ac:dyDescent="0.3">
      <c r="A13" s="190" t="s">
        <v>179</v>
      </c>
      <c r="B13" s="191"/>
      <c r="C13" s="191"/>
      <c r="D13" s="191"/>
      <c r="E13" s="191"/>
      <c r="F13" s="191"/>
      <c r="G13" s="191"/>
      <c r="H13" s="191"/>
      <c r="I13" s="191"/>
      <c r="J13" s="191"/>
      <c r="K13" s="191"/>
      <c r="L13" s="191"/>
      <c r="M13" s="192"/>
    </row>
    <row r="14" spans="1:22" ht="16.5" thickBot="1" x14ac:dyDescent="0.3">
      <c r="A14" s="71" t="s">
        <v>165</v>
      </c>
      <c r="B14" s="199" t="s">
        <v>177</v>
      </c>
      <c r="C14" s="200"/>
      <c r="D14" s="201"/>
      <c r="E14" s="202" t="s">
        <v>176</v>
      </c>
      <c r="F14" s="203"/>
      <c r="G14" s="203"/>
      <c r="H14" s="204"/>
      <c r="I14" s="205" t="s">
        <v>175</v>
      </c>
      <c r="J14" s="206"/>
      <c r="K14" s="206"/>
      <c r="L14" s="206"/>
      <c r="M14" s="207"/>
      <c r="P14" s="153">
        <v>0.2384</v>
      </c>
      <c r="Q14" s="24" t="s">
        <v>122</v>
      </c>
      <c r="R14" s="153">
        <v>0.76160000000000005</v>
      </c>
      <c r="S14" s="24" t="s">
        <v>122</v>
      </c>
      <c r="T14" s="153">
        <v>0</v>
      </c>
      <c r="U14" s="24" t="s">
        <v>122</v>
      </c>
      <c r="V14" s="143">
        <f>Tab_Def_Flows[[#This Row],[Flow_CC_DM'[%']]]*Tab_Def_Flows[[#This Row],[Flow_DM'[%']]]</f>
        <v>0</v>
      </c>
    </row>
    <row r="15" spans="1:22" ht="63.75" thickBot="1" x14ac:dyDescent="0.3">
      <c r="A15" s="32"/>
      <c r="B15" s="45" t="s">
        <v>174</v>
      </c>
      <c r="C15" s="98" t="s">
        <v>173</v>
      </c>
      <c r="D15" s="97" t="s">
        <v>166</v>
      </c>
      <c r="E15" s="96" t="s">
        <v>172</v>
      </c>
      <c r="F15" s="44" t="s">
        <v>171</v>
      </c>
      <c r="G15" s="44" t="s">
        <v>170</v>
      </c>
      <c r="H15" s="95" t="s">
        <v>166</v>
      </c>
      <c r="I15" s="94" t="s">
        <v>169</v>
      </c>
      <c r="J15" s="43" t="s">
        <v>168</v>
      </c>
      <c r="K15" s="43" t="s">
        <v>167</v>
      </c>
      <c r="L15" s="43" t="s">
        <v>166</v>
      </c>
      <c r="M15" s="93"/>
      <c r="P15" s="153">
        <v>0.14000000000000001</v>
      </c>
      <c r="Q15" s="24" t="s">
        <v>122</v>
      </c>
      <c r="R15" s="153">
        <v>0.86</v>
      </c>
      <c r="S15" s="24" t="s">
        <v>122</v>
      </c>
      <c r="T15" s="153">
        <v>0.48</v>
      </c>
      <c r="U15" s="24" t="s">
        <v>122</v>
      </c>
      <c r="V15" s="143">
        <f>Tab_Def_Flows[[#This Row],[Flow_CC_DM'[%']]]*Tab_Def_Flows[[#This Row],[Flow_DM'[%']]]</f>
        <v>0</v>
      </c>
    </row>
    <row r="16" spans="1:22" ht="23.25" customHeight="1" x14ac:dyDescent="0.25">
      <c r="A16" s="65" t="str">
        <f t="shared" ref="A16:A21" si="0">B5</f>
        <v>Atmosphere input</v>
      </c>
      <c r="B16" s="41">
        <v>297904.57</v>
      </c>
      <c r="C16" s="92">
        <f t="shared" ref="C16:C21" si="1">B16/$B$22</f>
        <v>0.41279999855889421</v>
      </c>
      <c r="D16" s="91" t="s">
        <v>138</v>
      </c>
      <c r="E16" s="90">
        <v>0</v>
      </c>
      <c r="F16" s="40">
        <f t="shared" ref="F16:F21" si="2">E16*B16</f>
        <v>0</v>
      </c>
      <c r="G16" s="89">
        <f t="shared" ref="G16:G21" si="3">F16/$F$22</f>
        <v>0</v>
      </c>
      <c r="H16" s="88" t="s">
        <v>138</v>
      </c>
      <c r="I16" s="87">
        <f>1-E16</f>
        <v>1</v>
      </c>
      <c r="J16" s="39">
        <f t="shared" ref="J16:J21" si="4">I16*B16</f>
        <v>297904.57</v>
      </c>
      <c r="K16" s="107">
        <f t="shared" ref="K16:K21" si="5">J16/$J$22</f>
        <v>0.47999999832429568</v>
      </c>
      <c r="L16" s="84" t="s">
        <v>138</v>
      </c>
      <c r="M16" s="84"/>
    </row>
    <row r="17" spans="1:23" ht="23.25" customHeight="1" x14ac:dyDescent="0.25">
      <c r="A17" s="65" t="str">
        <f t="shared" si="0"/>
        <v>Environment Input</v>
      </c>
      <c r="B17" s="41">
        <v>423763.48</v>
      </c>
      <c r="C17" s="92">
        <f t="shared" si="1"/>
        <v>0.58720000144110573</v>
      </c>
      <c r="D17" s="91" t="s">
        <v>138</v>
      </c>
      <c r="E17" s="90">
        <v>0.23841961794348115</v>
      </c>
      <c r="F17" s="40">
        <f t="shared" si="2"/>
        <v>101033.52700000002</v>
      </c>
      <c r="G17" s="89">
        <f t="shared" si="3"/>
        <v>1</v>
      </c>
      <c r="H17" s="88" t="s">
        <v>138</v>
      </c>
      <c r="I17" s="87">
        <f>1-E17</f>
        <v>0.76158038205651879</v>
      </c>
      <c r="J17" s="39">
        <f t="shared" si="4"/>
        <v>322729.95299999992</v>
      </c>
      <c r="K17" s="107">
        <f t="shared" si="5"/>
        <v>0.52000000167570437</v>
      </c>
      <c r="L17" s="84" t="s">
        <v>138</v>
      </c>
      <c r="M17" s="84"/>
    </row>
    <row r="18" spans="1:23" ht="23.25" customHeight="1" x14ac:dyDescent="0.25">
      <c r="A18" s="65" t="e">
        <f t="shared" si="0"/>
        <v>#REF!</v>
      </c>
      <c r="B18" s="41"/>
      <c r="C18" s="92">
        <f t="shared" si="1"/>
        <v>0</v>
      </c>
      <c r="D18" s="91"/>
      <c r="E18" s="90"/>
      <c r="F18" s="40">
        <f t="shared" si="2"/>
        <v>0</v>
      </c>
      <c r="G18" s="89">
        <f t="shared" si="3"/>
        <v>0</v>
      </c>
      <c r="H18" s="88"/>
      <c r="I18" s="87"/>
      <c r="J18" s="39">
        <f t="shared" si="4"/>
        <v>0</v>
      </c>
      <c r="K18" s="107">
        <f t="shared" si="5"/>
        <v>0</v>
      </c>
      <c r="L18" s="85"/>
      <c r="M18" s="84"/>
    </row>
    <row r="19" spans="1:23" ht="23.25" customHeight="1" x14ac:dyDescent="0.25">
      <c r="A19" s="65" t="e">
        <f t="shared" si="0"/>
        <v>#REF!</v>
      </c>
      <c r="B19" s="41"/>
      <c r="C19" s="92">
        <f t="shared" si="1"/>
        <v>0</v>
      </c>
      <c r="D19" s="91"/>
      <c r="E19" s="90"/>
      <c r="F19" s="40">
        <f t="shared" si="2"/>
        <v>0</v>
      </c>
      <c r="G19" s="89">
        <f t="shared" si="3"/>
        <v>0</v>
      </c>
      <c r="H19" s="109"/>
      <c r="I19" s="108"/>
      <c r="J19" s="39">
        <f t="shared" si="4"/>
        <v>0</v>
      </c>
      <c r="K19" s="107">
        <f t="shared" si="5"/>
        <v>0</v>
      </c>
      <c r="L19" s="85"/>
      <c r="M19" s="84"/>
    </row>
    <row r="20" spans="1:23" ht="23.25" customHeight="1" x14ac:dyDescent="0.25">
      <c r="A20" s="65" t="e">
        <f t="shared" si="0"/>
        <v>#REF!</v>
      </c>
      <c r="B20" s="41"/>
      <c r="C20" s="92">
        <f t="shared" si="1"/>
        <v>0</v>
      </c>
      <c r="D20" s="91"/>
      <c r="E20" s="90"/>
      <c r="F20" s="40">
        <f t="shared" si="2"/>
        <v>0</v>
      </c>
      <c r="G20" s="89">
        <f t="shared" si="3"/>
        <v>0</v>
      </c>
      <c r="H20" s="109"/>
      <c r="I20" s="108"/>
      <c r="J20" s="39">
        <f t="shared" si="4"/>
        <v>0</v>
      </c>
      <c r="K20" s="107">
        <f t="shared" si="5"/>
        <v>0</v>
      </c>
      <c r="L20" s="85"/>
      <c r="M20" s="84"/>
    </row>
    <row r="21" spans="1:23" ht="23.25" customHeight="1" thickBot="1" x14ac:dyDescent="0.3">
      <c r="A21" s="65">
        <f t="shared" si="0"/>
        <v>0</v>
      </c>
      <c r="B21" s="41"/>
      <c r="C21" s="92">
        <f t="shared" si="1"/>
        <v>0</v>
      </c>
      <c r="D21" s="91"/>
      <c r="E21" s="90"/>
      <c r="F21" s="40">
        <f t="shared" si="2"/>
        <v>0</v>
      </c>
      <c r="G21" s="89">
        <f t="shared" si="3"/>
        <v>0</v>
      </c>
      <c r="H21" s="109"/>
      <c r="I21" s="108"/>
      <c r="J21" s="39">
        <f t="shared" si="4"/>
        <v>0</v>
      </c>
      <c r="K21" s="107">
        <f t="shared" si="5"/>
        <v>0</v>
      </c>
      <c r="L21" s="85"/>
      <c r="M21" s="84"/>
    </row>
    <row r="22" spans="1:23" ht="16.5" thickBot="1" x14ac:dyDescent="0.3">
      <c r="A22" s="55" t="s">
        <v>140</v>
      </c>
      <c r="B22" s="83">
        <f>SUM(B16:B19)</f>
        <v>721668.05</v>
      </c>
      <c r="C22" s="106">
        <f>C16+C17+C18</f>
        <v>1</v>
      </c>
      <c r="D22" s="81"/>
      <c r="E22" s="80">
        <f>F22/B22</f>
        <v>0.14000000000000001</v>
      </c>
      <c r="F22" s="79">
        <f>SUM(F16:F19)</f>
        <v>101033.52700000002</v>
      </c>
      <c r="G22" s="105">
        <f>SUM(G16:G19)</f>
        <v>1</v>
      </c>
      <c r="H22" s="77"/>
      <c r="I22" s="76">
        <f>J22/B22</f>
        <v>0.85999999999999988</v>
      </c>
      <c r="J22" s="75">
        <f>J16+J17+J18</f>
        <v>620634.52299999993</v>
      </c>
      <c r="K22" s="104">
        <f>SUM(K16:K19)</f>
        <v>1</v>
      </c>
      <c r="L22" s="73"/>
      <c r="M22" s="72"/>
    </row>
    <row r="23" spans="1:23" ht="16.5" customHeight="1" thickBot="1" x14ac:dyDescent="0.3">
      <c r="A23" s="135" t="s">
        <v>165</v>
      </c>
      <c r="B23" s="220" t="s">
        <v>164</v>
      </c>
      <c r="C23" s="221"/>
      <c r="D23" s="221"/>
      <c r="E23" s="221"/>
      <c r="F23" s="221"/>
      <c r="G23" s="221"/>
      <c r="H23" s="222"/>
      <c r="I23" s="223" t="s">
        <v>163</v>
      </c>
      <c r="J23" s="224"/>
      <c r="K23" s="224"/>
      <c r="L23" s="224"/>
      <c r="M23" s="225"/>
    </row>
    <row r="24" spans="1:23" ht="63.75" thickBot="1" x14ac:dyDescent="0.3">
      <c r="A24" s="6"/>
      <c r="B24" s="70" t="s">
        <v>162</v>
      </c>
      <c r="C24" s="69" t="s">
        <v>161</v>
      </c>
      <c r="D24" s="69" t="s">
        <v>160</v>
      </c>
      <c r="E24" s="69" t="s">
        <v>159</v>
      </c>
      <c r="F24" s="70" t="s">
        <v>158</v>
      </c>
      <c r="G24" s="69" t="s">
        <v>157</v>
      </c>
      <c r="H24" s="134" t="s">
        <v>156</v>
      </c>
      <c r="I24" s="68" t="s">
        <v>155</v>
      </c>
      <c r="J24" s="67" t="s">
        <v>154</v>
      </c>
      <c r="K24" s="67" t="s">
        <v>153</v>
      </c>
      <c r="L24" s="67" t="s">
        <v>152</v>
      </c>
      <c r="M24" s="66" t="s">
        <v>151</v>
      </c>
      <c r="P24" s="153">
        <v>0.14000000000000001</v>
      </c>
      <c r="Q24" s="24" t="s">
        <v>122</v>
      </c>
      <c r="R24" s="153">
        <v>0.86</v>
      </c>
      <c r="S24" s="24" t="s">
        <v>122</v>
      </c>
      <c r="T24" s="153">
        <v>0.48</v>
      </c>
      <c r="U24" s="24" t="s">
        <v>122</v>
      </c>
      <c r="V24" s="143">
        <f>Tab_Def_Flows[[#This Row],[Flow_CC_DM'[%']]]*Tab_Def_Flows[[#This Row],[Flow_DM'[%']]]</f>
        <v>0</v>
      </c>
      <c r="W24" s="154" t="s">
        <v>123</v>
      </c>
    </row>
    <row r="25" spans="1:23" ht="27" customHeight="1" x14ac:dyDescent="0.25">
      <c r="A25" s="65" t="str">
        <f t="shared" ref="A25:A30" si="6">B5</f>
        <v>Atmosphere input</v>
      </c>
      <c r="B25" s="64">
        <v>1</v>
      </c>
      <c r="C25" s="62">
        <f>J16*B25</f>
        <v>297904.57</v>
      </c>
      <c r="D25" s="63">
        <f t="shared" ref="D25:D30" si="7">C25/$C$31</f>
        <v>1</v>
      </c>
      <c r="E25" s="62" t="s">
        <v>138</v>
      </c>
      <c r="F25" s="61">
        <f t="shared" ref="F25:F30" si="8">B25*E16</f>
        <v>0</v>
      </c>
      <c r="G25" s="60">
        <f t="shared" ref="G25:G30" si="9">B25*E16*B16</f>
        <v>0</v>
      </c>
      <c r="H25" s="59" t="e">
        <f t="shared" ref="H25:H30" si="10">G25/$G$31</f>
        <v>#DIV/0!</v>
      </c>
      <c r="I25" s="103">
        <f t="shared" ref="I25:I30" si="11">$A$12*C16</f>
        <v>412.79999855889423</v>
      </c>
      <c r="J25" s="102">
        <f t="shared" ref="J25:J30" si="12">I25*E16</f>
        <v>0</v>
      </c>
      <c r="K25" s="102">
        <f t="shared" ref="K25:K30" si="13">I25*I16</f>
        <v>412.79999855889423</v>
      </c>
      <c r="L25" s="102">
        <f t="shared" ref="L25:L30" si="14">SUM(J25:K25)</f>
        <v>412.79999855889423</v>
      </c>
      <c r="M25" s="101">
        <f t="shared" ref="M25:M30" si="15">I25*F25</f>
        <v>0</v>
      </c>
    </row>
    <row r="26" spans="1:23" ht="31.5" x14ac:dyDescent="0.25">
      <c r="A26" s="65" t="str">
        <f t="shared" si="6"/>
        <v>Environment Input</v>
      </c>
      <c r="B26" s="64">
        <v>0</v>
      </c>
      <c r="C26" s="62">
        <f>J17*B26</f>
        <v>0</v>
      </c>
      <c r="D26" s="63">
        <f t="shared" si="7"/>
        <v>0</v>
      </c>
      <c r="E26" s="62" t="s">
        <v>138</v>
      </c>
      <c r="F26" s="61">
        <f t="shared" si="8"/>
        <v>0</v>
      </c>
      <c r="G26" s="60">
        <f t="shared" si="9"/>
        <v>0</v>
      </c>
      <c r="H26" s="59" t="e">
        <f t="shared" si="10"/>
        <v>#DIV/0!</v>
      </c>
      <c r="I26" s="103">
        <f t="shared" si="11"/>
        <v>587.20000144110577</v>
      </c>
      <c r="J26" s="102">
        <f t="shared" si="12"/>
        <v>140.00000000000003</v>
      </c>
      <c r="K26" s="102">
        <f t="shared" si="13"/>
        <v>447.20000144110571</v>
      </c>
      <c r="L26" s="102">
        <f t="shared" si="14"/>
        <v>587.20000144110577</v>
      </c>
      <c r="M26" s="101">
        <f t="shared" si="15"/>
        <v>0</v>
      </c>
    </row>
    <row r="27" spans="1:23" ht="15.75" x14ac:dyDescent="0.25">
      <c r="A27" s="65" t="e">
        <f t="shared" si="6"/>
        <v>#REF!</v>
      </c>
      <c r="B27" s="64">
        <v>0</v>
      </c>
      <c r="C27" s="62">
        <f t="shared" ref="C27:C30" si="16">F18*B27</f>
        <v>0</v>
      </c>
      <c r="D27" s="63">
        <f t="shared" si="7"/>
        <v>0</v>
      </c>
      <c r="E27" s="62"/>
      <c r="F27" s="61">
        <f t="shared" si="8"/>
        <v>0</v>
      </c>
      <c r="G27" s="60">
        <f t="shared" si="9"/>
        <v>0</v>
      </c>
      <c r="H27" s="59" t="e">
        <f t="shared" si="10"/>
        <v>#DIV/0!</v>
      </c>
      <c r="I27" s="103">
        <f t="shared" si="11"/>
        <v>0</v>
      </c>
      <c r="J27" s="102">
        <f t="shared" si="12"/>
        <v>0</v>
      </c>
      <c r="K27" s="102">
        <f t="shared" si="13"/>
        <v>0</v>
      </c>
      <c r="L27" s="102">
        <f t="shared" si="14"/>
        <v>0</v>
      </c>
      <c r="M27" s="101">
        <f t="shared" si="15"/>
        <v>0</v>
      </c>
      <c r="Q27">
        <v>0.76158038205651879</v>
      </c>
    </row>
    <row r="28" spans="1:23" ht="15.75" x14ac:dyDescent="0.25">
      <c r="A28" s="65" t="e">
        <f t="shared" si="6"/>
        <v>#REF!</v>
      </c>
      <c r="B28" s="64">
        <v>0</v>
      </c>
      <c r="C28" s="62">
        <f t="shared" si="16"/>
        <v>0</v>
      </c>
      <c r="D28" s="63">
        <f t="shared" si="7"/>
        <v>0</v>
      </c>
      <c r="E28" s="62"/>
      <c r="F28" s="61">
        <f t="shared" si="8"/>
        <v>0</v>
      </c>
      <c r="G28" s="60">
        <f t="shared" si="9"/>
        <v>0</v>
      </c>
      <c r="H28" s="59" t="e">
        <f t="shared" si="10"/>
        <v>#DIV/0!</v>
      </c>
      <c r="I28" s="103">
        <f t="shared" si="11"/>
        <v>0</v>
      </c>
      <c r="J28" s="102">
        <f t="shared" si="12"/>
        <v>0</v>
      </c>
      <c r="K28" s="102">
        <f t="shared" si="13"/>
        <v>0</v>
      </c>
      <c r="L28" s="102">
        <f t="shared" si="14"/>
        <v>0</v>
      </c>
      <c r="M28" s="101">
        <f t="shared" si="15"/>
        <v>0</v>
      </c>
    </row>
    <row r="29" spans="1:23" ht="15.75" x14ac:dyDescent="0.25">
      <c r="A29" s="65" t="e">
        <f t="shared" si="6"/>
        <v>#REF!</v>
      </c>
      <c r="B29" s="64">
        <v>0</v>
      </c>
      <c r="C29" s="62">
        <f t="shared" si="16"/>
        <v>0</v>
      </c>
      <c r="D29" s="63">
        <f t="shared" si="7"/>
        <v>0</v>
      </c>
      <c r="E29" s="62"/>
      <c r="F29" s="61">
        <f t="shared" si="8"/>
        <v>0</v>
      </c>
      <c r="G29" s="60">
        <f t="shared" si="9"/>
        <v>0</v>
      </c>
      <c r="H29" s="59" t="e">
        <f t="shared" si="10"/>
        <v>#DIV/0!</v>
      </c>
      <c r="I29" s="103">
        <f t="shared" si="11"/>
        <v>0</v>
      </c>
      <c r="J29" s="102">
        <f t="shared" si="12"/>
        <v>0</v>
      </c>
      <c r="K29" s="102">
        <f t="shared" si="13"/>
        <v>0</v>
      </c>
      <c r="L29" s="102">
        <f t="shared" si="14"/>
        <v>0</v>
      </c>
      <c r="M29" s="101">
        <f t="shared" si="15"/>
        <v>0</v>
      </c>
    </row>
    <row r="30" spans="1:23" ht="16.5" thickBot="1" x14ac:dyDescent="0.3">
      <c r="A30" s="65">
        <f t="shared" si="6"/>
        <v>0</v>
      </c>
      <c r="B30" s="64">
        <v>0</v>
      </c>
      <c r="C30" s="62">
        <f t="shared" si="16"/>
        <v>0</v>
      </c>
      <c r="D30" s="63">
        <f t="shared" si="7"/>
        <v>0</v>
      </c>
      <c r="E30" s="62"/>
      <c r="F30" s="61">
        <f t="shared" si="8"/>
        <v>0</v>
      </c>
      <c r="G30" s="60">
        <f t="shared" si="9"/>
        <v>0</v>
      </c>
      <c r="H30" s="59" t="e">
        <f t="shared" si="10"/>
        <v>#DIV/0!</v>
      </c>
      <c r="I30" s="103">
        <f t="shared" si="11"/>
        <v>0</v>
      </c>
      <c r="J30" s="102">
        <f t="shared" si="12"/>
        <v>0</v>
      </c>
      <c r="K30" s="102">
        <f t="shared" si="13"/>
        <v>0</v>
      </c>
      <c r="L30" s="102">
        <f t="shared" si="14"/>
        <v>0</v>
      </c>
      <c r="M30" s="101">
        <f t="shared" si="15"/>
        <v>0</v>
      </c>
    </row>
    <row r="31" spans="1:23" ht="16.5" thickBot="1" x14ac:dyDescent="0.3">
      <c r="A31" s="55" t="s">
        <v>140</v>
      </c>
      <c r="B31" s="54">
        <f>C31/F22</f>
        <v>2.9485714182778153</v>
      </c>
      <c r="C31" s="52">
        <f>SUM(C25:C30)</f>
        <v>297904.57</v>
      </c>
      <c r="D31" s="100">
        <f>SUM(D24:D30)</f>
        <v>1</v>
      </c>
      <c r="E31" s="52"/>
      <c r="F31" s="99">
        <f>G31/B22</f>
        <v>0</v>
      </c>
      <c r="G31" s="50">
        <f t="shared" ref="G31:M31" si="17">SUM(G25:G30)</f>
        <v>0</v>
      </c>
      <c r="H31" s="49" t="e">
        <f t="shared" si="17"/>
        <v>#DIV/0!</v>
      </c>
      <c r="I31" s="48">
        <f t="shared" si="17"/>
        <v>1000</v>
      </c>
      <c r="J31" s="47">
        <f t="shared" si="17"/>
        <v>140.00000000000003</v>
      </c>
      <c r="K31" s="47">
        <f t="shared" si="17"/>
        <v>860</v>
      </c>
      <c r="L31" s="47">
        <f t="shared" si="17"/>
        <v>1000</v>
      </c>
      <c r="M31" s="46">
        <f t="shared" si="17"/>
        <v>0</v>
      </c>
    </row>
    <row r="32" spans="1:23" ht="16.5" thickBot="1" x14ac:dyDescent="0.3">
      <c r="A32" s="208" t="s">
        <v>178</v>
      </c>
      <c r="B32" s="209"/>
      <c r="C32" s="209"/>
      <c r="D32" s="209"/>
      <c r="E32" s="209"/>
      <c r="F32" s="209"/>
      <c r="G32" s="209"/>
      <c r="H32" s="209"/>
      <c r="I32" s="209"/>
      <c r="J32" s="209"/>
      <c r="K32" s="209"/>
      <c r="L32" s="209"/>
      <c r="M32" s="210"/>
    </row>
    <row r="33" spans="1:18" ht="16.5" customHeight="1" thickBot="1" x14ac:dyDescent="0.3">
      <c r="A33" s="71" t="s">
        <v>165</v>
      </c>
      <c r="B33" s="211" t="s">
        <v>177</v>
      </c>
      <c r="C33" s="212"/>
      <c r="D33" s="213"/>
      <c r="E33" s="214" t="s">
        <v>176</v>
      </c>
      <c r="F33" s="215"/>
      <c r="G33" s="215"/>
      <c r="H33" s="216"/>
      <c r="I33" s="217" t="s">
        <v>175</v>
      </c>
      <c r="J33" s="218"/>
      <c r="K33" s="218"/>
      <c r="L33" s="218"/>
      <c r="M33" s="219"/>
    </row>
    <row r="34" spans="1:18" ht="62.25" customHeight="1" thickBot="1" x14ac:dyDescent="0.3">
      <c r="A34" s="32"/>
      <c r="B34" s="45" t="s">
        <v>174</v>
      </c>
      <c r="C34" s="98" t="s">
        <v>173</v>
      </c>
      <c r="D34" s="97" t="s">
        <v>166</v>
      </c>
      <c r="E34" s="96" t="s">
        <v>172</v>
      </c>
      <c r="F34" s="44" t="s">
        <v>171</v>
      </c>
      <c r="G34" s="44" t="s">
        <v>170</v>
      </c>
      <c r="H34" s="95" t="s">
        <v>166</v>
      </c>
      <c r="I34" s="94" t="s">
        <v>169</v>
      </c>
      <c r="J34" s="43" t="s">
        <v>168</v>
      </c>
      <c r="K34" s="43" t="s">
        <v>167</v>
      </c>
      <c r="L34" s="43" t="s">
        <v>166</v>
      </c>
      <c r="M34" s="93"/>
    </row>
    <row r="35" spans="1:18" ht="15.75" x14ac:dyDescent="0.25">
      <c r="A35" s="65" t="e">
        <f t="shared" ref="A35:A40" si="18">F5</f>
        <v>#REF!</v>
      </c>
      <c r="B35" s="41">
        <f>B22</f>
        <v>721668.05</v>
      </c>
      <c r="C35" s="92">
        <f t="shared" ref="C35:C40" si="19">B35/$B$41</f>
        <v>1</v>
      </c>
      <c r="D35" s="91" t="s">
        <v>138</v>
      </c>
      <c r="E35" s="90">
        <v>0.14000000000000001</v>
      </c>
      <c r="F35" s="40">
        <f>E35*B35</f>
        <v>101033.52700000002</v>
      </c>
      <c r="G35" s="89">
        <f t="shared" ref="G35:G40" si="20">F35/$F$41</f>
        <v>1</v>
      </c>
      <c r="H35" s="88" t="s">
        <v>138</v>
      </c>
      <c r="I35" s="87">
        <f>1-E35</f>
        <v>0.86</v>
      </c>
      <c r="J35" s="39">
        <f t="shared" ref="J35:J40" si="21">I35*B35</f>
        <v>620634.52300000004</v>
      </c>
      <c r="K35" s="86">
        <f>J35/$J$41</f>
        <v>1</v>
      </c>
      <c r="L35" s="85" t="s">
        <v>138</v>
      </c>
      <c r="M35" s="84"/>
      <c r="R35">
        <f>C54/B17</f>
        <v>0.23841961794348115</v>
      </c>
    </row>
    <row r="36" spans="1:18" ht="15.75" x14ac:dyDescent="0.25">
      <c r="A36" s="65" t="e">
        <f t="shared" si="18"/>
        <v>#REF!</v>
      </c>
      <c r="B36" s="41">
        <v>0</v>
      </c>
      <c r="C36" s="92">
        <f t="shared" si="19"/>
        <v>0</v>
      </c>
      <c r="D36" s="91" t="s">
        <v>138</v>
      </c>
      <c r="E36" s="90">
        <v>0</v>
      </c>
      <c r="F36" s="40">
        <f t="shared" ref="F36:F40" si="22">E36*B36</f>
        <v>0</v>
      </c>
      <c r="G36" s="89">
        <f t="shared" si="20"/>
        <v>0</v>
      </c>
      <c r="H36" s="88" t="s">
        <v>138</v>
      </c>
      <c r="I36" s="87">
        <f>1-E36</f>
        <v>1</v>
      </c>
      <c r="J36" s="39">
        <f t="shared" si="21"/>
        <v>0</v>
      </c>
      <c r="K36" s="86">
        <f>J36/$J$41</f>
        <v>0</v>
      </c>
      <c r="L36" s="85" t="s">
        <v>138</v>
      </c>
      <c r="M36" s="84"/>
    </row>
    <row r="37" spans="1:18" ht="15.75" x14ac:dyDescent="0.25">
      <c r="A37" s="65" t="e">
        <f t="shared" si="18"/>
        <v>#REF!</v>
      </c>
      <c r="B37" s="41">
        <v>0</v>
      </c>
      <c r="C37" s="92">
        <f t="shared" si="19"/>
        <v>0</v>
      </c>
      <c r="D37" s="91"/>
      <c r="E37" s="90">
        <v>0</v>
      </c>
      <c r="F37" s="40">
        <f t="shared" si="22"/>
        <v>0</v>
      </c>
      <c r="G37" s="89">
        <f t="shared" si="20"/>
        <v>0</v>
      </c>
      <c r="H37" s="88"/>
      <c r="I37" s="87">
        <f>1-E37</f>
        <v>1</v>
      </c>
      <c r="J37" s="39">
        <f t="shared" si="21"/>
        <v>0</v>
      </c>
      <c r="K37" s="86">
        <f>J37/$J$41</f>
        <v>0</v>
      </c>
      <c r="L37" s="85"/>
      <c r="M37" s="84"/>
    </row>
    <row r="38" spans="1:18" ht="15.75" x14ac:dyDescent="0.25">
      <c r="A38" s="65" t="e">
        <f t="shared" si="18"/>
        <v>#REF!</v>
      </c>
      <c r="B38" s="41"/>
      <c r="C38" s="92">
        <f t="shared" si="19"/>
        <v>0</v>
      </c>
      <c r="D38" s="91"/>
      <c r="E38" s="90"/>
      <c r="F38" s="40">
        <f t="shared" si="22"/>
        <v>0</v>
      </c>
      <c r="G38" s="89">
        <f t="shared" si="20"/>
        <v>0</v>
      </c>
      <c r="H38" s="88"/>
      <c r="I38" s="87"/>
      <c r="J38" s="39">
        <f t="shared" si="21"/>
        <v>0</v>
      </c>
      <c r="K38" s="86">
        <f>J38/$J$41</f>
        <v>0</v>
      </c>
      <c r="L38" s="85"/>
      <c r="M38" s="84"/>
    </row>
    <row r="39" spans="1:18" ht="15.75" x14ac:dyDescent="0.25">
      <c r="A39" s="65" t="e">
        <f t="shared" si="18"/>
        <v>#REF!</v>
      </c>
      <c r="B39" s="41"/>
      <c r="C39" s="92">
        <f t="shared" si="19"/>
        <v>0</v>
      </c>
      <c r="D39" s="91"/>
      <c r="E39" s="90"/>
      <c r="F39" s="40">
        <f t="shared" si="22"/>
        <v>0</v>
      </c>
      <c r="G39" s="89">
        <f t="shared" si="20"/>
        <v>0</v>
      </c>
      <c r="H39" s="88"/>
      <c r="I39" s="87"/>
      <c r="J39" s="39">
        <f t="shared" si="21"/>
        <v>0</v>
      </c>
      <c r="K39" s="86">
        <f>J39/$J$41</f>
        <v>0</v>
      </c>
      <c r="L39" s="85"/>
      <c r="M39" s="84"/>
    </row>
    <row r="40" spans="1:18" ht="16.5" thickBot="1" x14ac:dyDescent="0.3">
      <c r="A40" s="65">
        <f t="shared" si="18"/>
        <v>0</v>
      </c>
      <c r="B40" s="41"/>
      <c r="C40" s="92">
        <f t="shared" si="19"/>
        <v>0</v>
      </c>
      <c r="D40" s="91"/>
      <c r="E40" s="90"/>
      <c r="F40" s="40">
        <f t="shared" si="22"/>
        <v>0</v>
      </c>
      <c r="G40" s="89">
        <f t="shared" si="20"/>
        <v>0</v>
      </c>
      <c r="H40" s="88"/>
      <c r="I40" s="87"/>
      <c r="J40" s="39">
        <f t="shared" si="21"/>
        <v>0</v>
      </c>
      <c r="K40" s="86">
        <f>J40/$J$22</f>
        <v>0</v>
      </c>
      <c r="L40" s="85"/>
      <c r="M40" s="84"/>
    </row>
    <row r="41" spans="1:18" ht="16.5" thickBot="1" x14ac:dyDescent="0.3">
      <c r="A41" s="55" t="s">
        <v>140</v>
      </c>
      <c r="B41" s="83">
        <f>SUM(B35:B40)</f>
        <v>721668.05</v>
      </c>
      <c r="C41" s="82">
        <f>SUM(C35:C40)</f>
        <v>1</v>
      </c>
      <c r="D41" s="81"/>
      <c r="E41" s="80">
        <f>F41/B41</f>
        <v>0.14000000000000001</v>
      </c>
      <c r="F41" s="79">
        <f>SUM(F35:F40)</f>
        <v>101033.52700000002</v>
      </c>
      <c r="G41" s="78">
        <f>SUM(G35:G40)</f>
        <v>1</v>
      </c>
      <c r="H41" s="77"/>
      <c r="I41" s="76">
        <f>J41/B41</f>
        <v>0.86</v>
      </c>
      <c r="J41" s="75">
        <f>SUM(J35:J40)</f>
        <v>620634.52300000004</v>
      </c>
      <c r="K41" s="74">
        <f>SUM(K35:K40)</f>
        <v>1</v>
      </c>
      <c r="L41" s="73"/>
      <c r="M41" s="72"/>
    </row>
    <row r="42" spans="1:18" ht="16.5" customHeight="1" thickBot="1" x14ac:dyDescent="0.3">
      <c r="A42" s="135" t="s">
        <v>165</v>
      </c>
      <c r="B42" s="220" t="s">
        <v>164</v>
      </c>
      <c r="C42" s="221"/>
      <c r="D42" s="221"/>
      <c r="E42" s="221"/>
      <c r="F42" s="221"/>
      <c r="G42" s="221"/>
      <c r="H42" s="222"/>
      <c r="I42" s="223" t="s">
        <v>163</v>
      </c>
      <c r="J42" s="224"/>
      <c r="K42" s="224"/>
      <c r="L42" s="224"/>
      <c r="M42" s="225"/>
    </row>
    <row r="43" spans="1:18" ht="63.75" thickBot="1" x14ac:dyDescent="0.3">
      <c r="A43" s="6"/>
      <c r="B43" s="70" t="s">
        <v>162</v>
      </c>
      <c r="C43" s="69" t="s">
        <v>161</v>
      </c>
      <c r="D43" s="69" t="s">
        <v>160</v>
      </c>
      <c r="E43" s="69" t="s">
        <v>159</v>
      </c>
      <c r="F43" s="70" t="s">
        <v>158</v>
      </c>
      <c r="G43" s="69" t="s">
        <v>157</v>
      </c>
      <c r="H43" s="134" t="s">
        <v>156</v>
      </c>
      <c r="I43" s="68" t="s">
        <v>155</v>
      </c>
      <c r="J43" s="67" t="s">
        <v>154</v>
      </c>
      <c r="K43" s="67" t="s">
        <v>153</v>
      </c>
      <c r="L43" s="67" t="s">
        <v>152</v>
      </c>
      <c r="M43" s="66" t="s">
        <v>151</v>
      </c>
    </row>
    <row r="44" spans="1:18" ht="15.75" x14ac:dyDescent="0.25">
      <c r="A44" s="65" t="e">
        <f t="shared" ref="A44:A49" si="23">A35</f>
        <v>#REF!</v>
      </c>
      <c r="B44" s="64">
        <v>0.48</v>
      </c>
      <c r="C44" s="62">
        <f>J35*B44</f>
        <v>297904.57104000001</v>
      </c>
      <c r="D44" s="63">
        <f t="shared" ref="D44:D49" si="24">C44/$C$50</f>
        <v>1</v>
      </c>
      <c r="E44" s="62" t="s">
        <v>138</v>
      </c>
      <c r="F44" s="61">
        <f>B44*I35</f>
        <v>0.4128</v>
      </c>
      <c r="G44" s="60">
        <f>B44*I35*B35</f>
        <v>297904.57104000001</v>
      </c>
      <c r="H44" s="59">
        <f t="shared" ref="H44:H49" si="25">G44/$G$50</f>
        <v>1</v>
      </c>
      <c r="I44" s="58">
        <f t="shared" ref="I44:I49" si="26">$A$12*B58</f>
        <v>1000</v>
      </c>
      <c r="J44" s="57">
        <f t="shared" ref="J44:J49" si="27">I44*E35</f>
        <v>140</v>
      </c>
      <c r="K44" s="57">
        <f t="shared" ref="K44:K49" si="28">I44*I35</f>
        <v>860</v>
      </c>
      <c r="L44" s="57">
        <f t="shared" ref="L44:L49" si="29">SUM(J44:K44)</f>
        <v>1000</v>
      </c>
      <c r="M44" s="56">
        <f t="shared" ref="M44:M49" si="30">I44*F44</f>
        <v>412.8</v>
      </c>
    </row>
    <row r="45" spans="1:18" ht="15.75" x14ac:dyDescent="0.25">
      <c r="A45" s="65" t="e">
        <f t="shared" si="23"/>
        <v>#REF!</v>
      </c>
      <c r="B45" s="64">
        <v>0</v>
      </c>
      <c r="C45" s="62">
        <f t="shared" ref="C45:C49" si="31">F36*B45</f>
        <v>0</v>
      </c>
      <c r="D45" s="63">
        <f t="shared" si="24"/>
        <v>0</v>
      </c>
      <c r="E45" s="62" t="s">
        <v>138</v>
      </c>
      <c r="F45" s="61">
        <f t="shared" ref="F45:F49" si="32">B45*E36</f>
        <v>0</v>
      </c>
      <c r="G45" s="60">
        <f t="shared" ref="G45:G49" si="33">B45*E36*B36</f>
        <v>0</v>
      </c>
      <c r="H45" s="59">
        <f t="shared" si="25"/>
        <v>0</v>
      </c>
      <c r="I45" s="58">
        <f t="shared" si="26"/>
        <v>0</v>
      </c>
      <c r="J45" s="57">
        <f t="shared" si="27"/>
        <v>0</v>
      </c>
      <c r="K45" s="57">
        <f t="shared" si="28"/>
        <v>0</v>
      </c>
      <c r="L45" s="57">
        <f t="shared" si="29"/>
        <v>0</v>
      </c>
      <c r="M45" s="56">
        <f t="shared" si="30"/>
        <v>0</v>
      </c>
    </row>
    <row r="46" spans="1:18" ht="15.75" x14ac:dyDescent="0.25">
      <c r="A46" s="65" t="e">
        <f t="shared" si="23"/>
        <v>#REF!</v>
      </c>
      <c r="B46" s="64">
        <v>0</v>
      </c>
      <c r="C46" s="62">
        <f t="shared" si="31"/>
        <v>0</v>
      </c>
      <c r="D46" s="63">
        <f t="shared" si="24"/>
        <v>0</v>
      </c>
      <c r="E46" s="62" t="s">
        <v>138</v>
      </c>
      <c r="F46" s="61">
        <f t="shared" si="32"/>
        <v>0</v>
      </c>
      <c r="G46" s="60">
        <f t="shared" si="33"/>
        <v>0</v>
      </c>
      <c r="H46" s="59">
        <f t="shared" si="25"/>
        <v>0</v>
      </c>
      <c r="I46" s="58">
        <f t="shared" si="26"/>
        <v>0</v>
      </c>
      <c r="J46" s="57">
        <f t="shared" si="27"/>
        <v>0</v>
      </c>
      <c r="K46" s="57">
        <f t="shared" si="28"/>
        <v>0</v>
      </c>
      <c r="L46" s="57">
        <f t="shared" si="29"/>
        <v>0</v>
      </c>
      <c r="M46" s="56">
        <f t="shared" si="30"/>
        <v>0</v>
      </c>
    </row>
    <row r="47" spans="1:18" ht="15.75" x14ac:dyDescent="0.25">
      <c r="A47" s="65" t="e">
        <f t="shared" si="23"/>
        <v>#REF!</v>
      </c>
      <c r="B47" s="64"/>
      <c r="C47" s="62">
        <f t="shared" si="31"/>
        <v>0</v>
      </c>
      <c r="D47" s="63">
        <f t="shared" si="24"/>
        <v>0</v>
      </c>
      <c r="E47" s="62"/>
      <c r="F47" s="61">
        <f t="shared" si="32"/>
        <v>0</v>
      </c>
      <c r="G47" s="60">
        <f t="shared" si="33"/>
        <v>0</v>
      </c>
      <c r="H47" s="59">
        <f t="shared" si="25"/>
        <v>0</v>
      </c>
      <c r="I47" s="58">
        <f t="shared" si="26"/>
        <v>0</v>
      </c>
      <c r="J47" s="57">
        <f t="shared" si="27"/>
        <v>0</v>
      </c>
      <c r="K47" s="57">
        <f t="shared" si="28"/>
        <v>0</v>
      </c>
      <c r="L47" s="57">
        <f t="shared" si="29"/>
        <v>0</v>
      </c>
      <c r="M47" s="56">
        <f t="shared" si="30"/>
        <v>0</v>
      </c>
    </row>
    <row r="48" spans="1:18" ht="15.75" x14ac:dyDescent="0.25">
      <c r="A48" s="65" t="e">
        <f t="shared" si="23"/>
        <v>#REF!</v>
      </c>
      <c r="B48" s="64"/>
      <c r="C48" s="62">
        <f t="shared" si="31"/>
        <v>0</v>
      </c>
      <c r="D48" s="63">
        <f t="shared" si="24"/>
        <v>0</v>
      </c>
      <c r="E48" s="62"/>
      <c r="F48" s="61">
        <f t="shared" si="32"/>
        <v>0</v>
      </c>
      <c r="G48" s="60">
        <f t="shared" si="33"/>
        <v>0</v>
      </c>
      <c r="H48" s="59">
        <f t="shared" si="25"/>
        <v>0</v>
      </c>
      <c r="I48" s="58">
        <f t="shared" si="26"/>
        <v>0</v>
      </c>
      <c r="J48" s="57">
        <f t="shared" si="27"/>
        <v>0</v>
      </c>
      <c r="K48" s="57">
        <f t="shared" si="28"/>
        <v>0</v>
      </c>
      <c r="L48" s="57">
        <f t="shared" si="29"/>
        <v>0</v>
      </c>
      <c r="M48" s="56">
        <f t="shared" si="30"/>
        <v>0</v>
      </c>
    </row>
    <row r="49" spans="1:17" ht="16.5" thickBot="1" x14ac:dyDescent="0.3">
      <c r="A49" s="65">
        <f t="shared" si="23"/>
        <v>0</v>
      </c>
      <c r="B49" s="64"/>
      <c r="C49" s="62">
        <f t="shared" si="31"/>
        <v>0</v>
      </c>
      <c r="D49" s="63">
        <f t="shared" si="24"/>
        <v>0</v>
      </c>
      <c r="E49" s="62"/>
      <c r="F49" s="61">
        <f t="shared" si="32"/>
        <v>0</v>
      </c>
      <c r="G49" s="60">
        <f t="shared" si="33"/>
        <v>0</v>
      </c>
      <c r="H49" s="59">
        <f t="shared" si="25"/>
        <v>0</v>
      </c>
      <c r="I49" s="58">
        <f t="shared" si="26"/>
        <v>0</v>
      </c>
      <c r="J49" s="57">
        <f t="shared" si="27"/>
        <v>0</v>
      </c>
      <c r="K49" s="57">
        <f t="shared" si="28"/>
        <v>0</v>
      </c>
      <c r="L49" s="57">
        <f t="shared" si="29"/>
        <v>0</v>
      </c>
      <c r="M49" s="56">
        <f t="shared" si="30"/>
        <v>0</v>
      </c>
      <c r="Q49" s="155"/>
    </row>
    <row r="50" spans="1:17" ht="16.5" thickBot="1" x14ac:dyDescent="0.3">
      <c r="A50" s="55" t="s">
        <v>140</v>
      </c>
      <c r="B50" s="54">
        <f>C50/F41</f>
        <v>2.9485714285714284</v>
      </c>
      <c r="C50" s="52">
        <f>SUM(C44:C49)</f>
        <v>297904.57104000001</v>
      </c>
      <c r="D50" s="53">
        <f>SUM(D44:D49)</f>
        <v>1</v>
      </c>
      <c r="E50" s="52"/>
      <c r="F50" s="51">
        <f>G50/B41</f>
        <v>0.4128</v>
      </c>
      <c r="G50" s="50">
        <f t="shared" ref="G50:M50" si="34">SUM(G44:G49)</f>
        <v>297904.57104000001</v>
      </c>
      <c r="H50" s="49">
        <f t="shared" si="34"/>
        <v>1</v>
      </c>
      <c r="I50" s="48">
        <f t="shared" si="34"/>
        <v>1000</v>
      </c>
      <c r="J50" s="47">
        <f t="shared" si="34"/>
        <v>140</v>
      </c>
      <c r="K50" s="47">
        <f t="shared" si="34"/>
        <v>860</v>
      </c>
      <c r="L50" s="47">
        <f t="shared" si="34"/>
        <v>1000</v>
      </c>
      <c r="M50" s="46">
        <f t="shared" si="34"/>
        <v>412.8</v>
      </c>
    </row>
    <row r="51" spans="1:17" ht="15.75" thickBot="1" x14ac:dyDescent="0.3">
      <c r="A51" s="226" t="s">
        <v>150</v>
      </c>
      <c r="B51" s="227"/>
      <c r="C51" s="227"/>
      <c r="D51" s="227"/>
      <c r="E51" s="228"/>
      <c r="F51" s="229" t="s">
        <v>149</v>
      </c>
      <c r="G51" s="230"/>
      <c r="H51" s="230"/>
      <c r="I51" s="230"/>
      <c r="J51" s="230"/>
      <c r="K51" s="230"/>
      <c r="L51" s="230"/>
      <c r="M51" s="231"/>
    </row>
    <row r="52" spans="1:17" ht="16.5" thickBot="1" x14ac:dyDescent="0.3">
      <c r="A52" s="4" t="s">
        <v>148</v>
      </c>
      <c r="B52" s="45" t="s">
        <v>147</v>
      </c>
      <c r="C52" s="44" t="s">
        <v>120</v>
      </c>
      <c r="D52" s="43" t="s">
        <v>119</v>
      </c>
      <c r="E52" s="42" t="s">
        <v>146</v>
      </c>
      <c r="F52" s="176"/>
      <c r="G52" s="176"/>
      <c r="H52" s="176"/>
      <c r="I52" s="176"/>
      <c r="J52" s="176"/>
      <c r="K52" s="176"/>
      <c r="L52" s="176"/>
      <c r="M52" s="232"/>
    </row>
    <row r="53" spans="1:17" ht="15.75" x14ac:dyDescent="0.25">
      <c r="A53" s="5" t="s">
        <v>145</v>
      </c>
      <c r="B53" s="41">
        <f>B22</f>
        <v>721668.05</v>
      </c>
      <c r="C53" s="40">
        <f>F22</f>
        <v>101033.52700000002</v>
      </c>
      <c r="D53" s="39">
        <f>J22</f>
        <v>620634.52299999993</v>
      </c>
      <c r="E53" s="38">
        <f>C31</f>
        <v>297904.57</v>
      </c>
      <c r="F53" s="176"/>
      <c r="G53" s="176"/>
      <c r="H53" s="176"/>
      <c r="I53" s="176"/>
      <c r="J53" s="176"/>
      <c r="K53" s="176"/>
      <c r="L53" s="176"/>
      <c r="M53" s="232"/>
    </row>
    <row r="54" spans="1:17" ht="16.5" thickBot="1" x14ac:dyDescent="0.3">
      <c r="A54" s="5" t="s">
        <v>144</v>
      </c>
      <c r="B54" s="41">
        <f>B41</f>
        <v>721668.05</v>
      </c>
      <c r="C54" s="40">
        <f>F41</f>
        <v>101033.52700000002</v>
      </c>
      <c r="D54" s="39">
        <f>J41</f>
        <v>620634.52300000004</v>
      </c>
      <c r="E54" s="38">
        <f>C50</f>
        <v>297904.57104000001</v>
      </c>
      <c r="F54" s="176"/>
      <c r="G54" s="176"/>
      <c r="H54" s="176"/>
      <c r="I54" s="176"/>
      <c r="J54" s="176"/>
      <c r="K54" s="176"/>
      <c r="L54" s="176"/>
      <c r="M54" s="232"/>
    </row>
    <row r="55" spans="1:17" ht="15.75" x14ac:dyDescent="0.25">
      <c r="A55" s="4" t="s">
        <v>143</v>
      </c>
      <c r="B55" s="130">
        <f>B53-B54</f>
        <v>0</v>
      </c>
      <c r="C55" s="131">
        <f>C53-C54</f>
        <v>0</v>
      </c>
      <c r="D55" s="132">
        <f>D53-D54</f>
        <v>0</v>
      </c>
      <c r="E55" s="133">
        <f>E53-E54</f>
        <v>-1.0400000028312206E-3</v>
      </c>
      <c r="F55" s="176"/>
      <c r="G55" s="176"/>
      <c r="H55" s="176"/>
      <c r="I55" s="176"/>
      <c r="J55" s="176"/>
      <c r="K55" s="176"/>
      <c r="L55" s="176"/>
      <c r="M55" s="232"/>
    </row>
    <row r="56" spans="1:17" ht="16.5" thickBot="1" x14ac:dyDescent="0.3">
      <c r="A56" s="6" t="s">
        <v>142</v>
      </c>
      <c r="B56" s="37">
        <f>B53/B54</f>
        <v>1</v>
      </c>
      <c r="C56" s="35">
        <f>C53/C54</f>
        <v>1</v>
      </c>
      <c r="D56" s="34">
        <f>D53/D54</f>
        <v>0.99999999999999978</v>
      </c>
      <c r="E56" s="33">
        <f>E53/E54</f>
        <v>0.99999999650894911</v>
      </c>
      <c r="F56" s="176"/>
      <c r="G56" s="176"/>
      <c r="H56" s="176"/>
      <c r="I56" s="176"/>
      <c r="J56" s="176"/>
      <c r="K56" s="176"/>
      <c r="L56" s="176"/>
      <c r="M56" s="232"/>
    </row>
    <row r="57" spans="1:17" ht="15.75" thickBot="1" x14ac:dyDescent="0.3">
      <c r="A57" s="226" t="s">
        <v>141</v>
      </c>
      <c r="B57" s="227"/>
      <c r="C57" s="227"/>
      <c r="D57" s="227"/>
      <c r="E57" s="228"/>
      <c r="F57" s="176"/>
      <c r="G57" s="176"/>
      <c r="H57" s="176"/>
      <c r="I57" s="176"/>
      <c r="J57" s="176"/>
      <c r="K57" s="176"/>
      <c r="L57" s="176"/>
      <c r="M57" s="232"/>
    </row>
    <row r="58" spans="1:17" ht="16.5" thickBot="1" x14ac:dyDescent="0.3">
      <c r="A58" s="32" t="e">
        <f t="shared" ref="A58:A63" si="35">A44</f>
        <v>#REF!</v>
      </c>
      <c r="B58" s="31">
        <f t="shared" ref="B58:B63" si="36">(B35*$C$41)/($B$22*$C$22)</f>
        <v>1</v>
      </c>
      <c r="C58" s="30">
        <f>(E35*B35)/($B$22*$E$22)</f>
        <v>1</v>
      </c>
      <c r="D58" s="29">
        <f t="shared" ref="D58:D63" si="37">(I35*B35)/($B$22*$I$22)</f>
        <v>1.0000000000000002</v>
      </c>
      <c r="E58" s="28" t="e">
        <f t="shared" ref="E58:E63" si="38">(F44*B35)/($B$22*$F$31)</f>
        <v>#DIV/0!</v>
      </c>
      <c r="F58" s="176"/>
      <c r="G58" s="176"/>
      <c r="H58" s="176"/>
      <c r="I58" s="176"/>
      <c r="J58" s="176"/>
      <c r="K58" s="176"/>
      <c r="L58" s="176"/>
      <c r="M58" s="232"/>
    </row>
    <row r="59" spans="1:17" ht="16.5" thickBot="1" x14ac:dyDescent="0.3">
      <c r="A59" s="6" t="e">
        <f t="shared" si="35"/>
        <v>#REF!</v>
      </c>
      <c r="B59" s="36">
        <f t="shared" si="36"/>
        <v>0</v>
      </c>
      <c r="C59" s="35">
        <f>(E36*B36)/($B$22*$E$22)</f>
        <v>0</v>
      </c>
      <c r="D59" s="34">
        <f t="shared" si="37"/>
        <v>0</v>
      </c>
      <c r="E59" s="33" t="e">
        <f t="shared" si="38"/>
        <v>#DIV/0!</v>
      </c>
      <c r="F59" s="176"/>
      <c r="G59" s="176"/>
      <c r="H59" s="176"/>
      <c r="I59" s="176"/>
      <c r="J59" s="176"/>
      <c r="K59" s="176"/>
      <c r="L59" s="176"/>
      <c r="M59" s="232"/>
    </row>
    <row r="60" spans="1:17" ht="16.5" thickBot="1" x14ac:dyDescent="0.3">
      <c r="A60" s="6" t="e">
        <f t="shared" si="35"/>
        <v>#REF!</v>
      </c>
      <c r="B60" s="36">
        <f t="shared" si="36"/>
        <v>0</v>
      </c>
      <c r="C60" s="35">
        <f>(E37*B37)/($B$22*$E$22)</f>
        <v>0</v>
      </c>
      <c r="D60" s="34">
        <f t="shared" si="37"/>
        <v>0</v>
      </c>
      <c r="E60" s="33" t="e">
        <f t="shared" si="38"/>
        <v>#DIV/0!</v>
      </c>
      <c r="F60" s="176"/>
      <c r="G60" s="176"/>
      <c r="H60" s="176"/>
      <c r="I60" s="176"/>
      <c r="J60" s="176"/>
      <c r="K60" s="176"/>
      <c r="L60" s="176"/>
      <c r="M60" s="232"/>
    </row>
    <row r="61" spans="1:17" ht="16.5" thickBot="1" x14ac:dyDescent="0.3">
      <c r="A61" s="6" t="e">
        <f t="shared" si="35"/>
        <v>#REF!</v>
      </c>
      <c r="B61" s="36">
        <f t="shared" si="36"/>
        <v>0</v>
      </c>
      <c r="C61" s="35">
        <f>($G$41*F38)/($B$22*$E$22)</f>
        <v>0</v>
      </c>
      <c r="D61" s="34">
        <f t="shared" si="37"/>
        <v>0</v>
      </c>
      <c r="E61" s="33" t="e">
        <f t="shared" si="38"/>
        <v>#DIV/0!</v>
      </c>
      <c r="F61" s="176"/>
      <c r="G61" s="176"/>
      <c r="H61" s="176"/>
      <c r="I61" s="176"/>
      <c r="J61" s="176"/>
      <c r="K61" s="176"/>
      <c r="L61" s="176"/>
      <c r="M61" s="232"/>
    </row>
    <row r="62" spans="1:17" ht="16.5" thickBot="1" x14ac:dyDescent="0.3">
      <c r="A62" s="6" t="e">
        <f t="shared" si="35"/>
        <v>#REF!</v>
      </c>
      <c r="B62" s="36">
        <f t="shared" si="36"/>
        <v>0</v>
      </c>
      <c r="C62" s="35">
        <f>(B39*E39)/($B$22*$E$22)</f>
        <v>0</v>
      </c>
      <c r="D62" s="34">
        <f t="shared" si="37"/>
        <v>0</v>
      </c>
      <c r="E62" s="33" t="e">
        <f t="shared" si="38"/>
        <v>#DIV/0!</v>
      </c>
      <c r="F62" s="176"/>
      <c r="G62" s="176"/>
      <c r="H62" s="176"/>
      <c r="I62" s="176"/>
      <c r="J62" s="176"/>
      <c r="K62" s="176"/>
      <c r="L62" s="176"/>
      <c r="M62" s="232"/>
    </row>
    <row r="63" spans="1:17" ht="16.5" thickBot="1" x14ac:dyDescent="0.3">
      <c r="A63" s="6">
        <f t="shared" si="35"/>
        <v>0</v>
      </c>
      <c r="B63" s="36">
        <f t="shared" si="36"/>
        <v>0</v>
      </c>
      <c r="C63" s="35">
        <f>(B40*E40)/($B$22*$E$22)</f>
        <v>0</v>
      </c>
      <c r="D63" s="34">
        <f t="shared" si="37"/>
        <v>0</v>
      </c>
      <c r="E63" s="33" t="e">
        <f t="shared" si="38"/>
        <v>#DIV/0!</v>
      </c>
      <c r="F63" s="176"/>
      <c r="G63" s="176"/>
      <c r="H63" s="176"/>
      <c r="I63" s="176"/>
      <c r="J63" s="176"/>
      <c r="K63" s="176"/>
      <c r="L63" s="176"/>
      <c r="M63" s="232"/>
    </row>
    <row r="64" spans="1:17" ht="16.5" thickBot="1" x14ac:dyDescent="0.3">
      <c r="A64" s="4" t="s">
        <v>140</v>
      </c>
      <c r="B64" s="126">
        <f>SUM(B58:B63)</f>
        <v>1</v>
      </c>
      <c r="C64" s="127">
        <f>SUM(C58:C63)</f>
        <v>1</v>
      </c>
      <c r="D64" s="128">
        <f>SUM(D58:D63)</f>
        <v>1.0000000000000002</v>
      </c>
      <c r="E64" s="129" t="e">
        <f>SUM(E58:E63)</f>
        <v>#DIV/0!</v>
      </c>
      <c r="F64" s="176"/>
      <c r="G64" s="176"/>
      <c r="H64" s="176"/>
      <c r="I64" s="176"/>
      <c r="J64" s="176"/>
      <c r="K64" s="176"/>
      <c r="L64" s="176"/>
      <c r="M64" s="232"/>
    </row>
    <row r="65" spans="1:13" ht="16.5" thickBot="1" x14ac:dyDescent="0.3">
      <c r="A65" s="190" t="s">
        <v>139</v>
      </c>
      <c r="B65" s="191"/>
      <c r="C65" s="191"/>
      <c r="D65" s="191"/>
      <c r="E65" s="191"/>
      <c r="F65" s="191"/>
      <c r="G65" s="191"/>
      <c r="H65" s="191"/>
      <c r="I65" s="191"/>
      <c r="J65" s="191"/>
      <c r="K65" s="191"/>
      <c r="L65" s="191"/>
      <c r="M65" s="192"/>
    </row>
    <row r="66" spans="1:13" x14ac:dyDescent="0.25">
      <c r="A66" s="5" t="s">
        <v>138</v>
      </c>
      <c r="B66" s="233" t="s">
        <v>137</v>
      </c>
      <c r="C66" s="233"/>
      <c r="D66" s="233"/>
      <c r="E66" s="233"/>
      <c r="F66" s="233"/>
      <c r="G66" s="5" t="s">
        <v>136</v>
      </c>
      <c r="M66" s="27"/>
    </row>
    <row r="67" spans="1:13" ht="18.75" customHeight="1" x14ac:dyDescent="0.25">
      <c r="A67" s="5" t="s">
        <v>135</v>
      </c>
      <c r="B67" s="176" t="s">
        <v>122</v>
      </c>
      <c r="C67" s="176"/>
      <c r="D67" s="176"/>
      <c r="E67" s="176"/>
      <c r="F67" s="176"/>
      <c r="G67" s="5" t="s">
        <v>134</v>
      </c>
      <c r="M67" s="27"/>
    </row>
    <row r="68" spans="1:13" x14ac:dyDescent="0.25">
      <c r="A68" s="5" t="s">
        <v>133</v>
      </c>
      <c r="G68" s="5" t="s">
        <v>132</v>
      </c>
      <c r="M68" s="27"/>
    </row>
    <row r="69" spans="1:13" x14ac:dyDescent="0.25">
      <c r="A69" s="5" t="s">
        <v>131</v>
      </c>
      <c r="G69" s="5" t="s">
        <v>130</v>
      </c>
      <c r="M69" s="27"/>
    </row>
    <row r="70" spans="1:13" x14ac:dyDescent="0.25">
      <c r="A70" s="5" t="s">
        <v>129</v>
      </c>
      <c r="G70" s="5" t="s">
        <v>128</v>
      </c>
      <c r="M70" s="27"/>
    </row>
    <row r="71" spans="1:13" x14ac:dyDescent="0.25">
      <c r="A71" s="5" t="s">
        <v>127</v>
      </c>
      <c r="G71" s="5" t="s">
        <v>126</v>
      </c>
      <c r="M71" s="27"/>
    </row>
    <row r="72" spans="1:13" ht="15.75" thickBot="1" x14ac:dyDescent="0.3">
      <c r="A72" s="6" t="s">
        <v>125</v>
      </c>
      <c r="B72" s="26"/>
      <c r="C72" s="26"/>
      <c r="D72" s="26"/>
      <c r="E72" s="26"/>
      <c r="F72" s="26"/>
      <c r="G72" s="6" t="s">
        <v>124</v>
      </c>
      <c r="H72" s="26"/>
      <c r="I72" s="26"/>
      <c r="J72" s="26"/>
      <c r="K72" s="26"/>
      <c r="L72" s="26"/>
      <c r="M72" s="25"/>
    </row>
  </sheetData>
  <mergeCells count="38">
    <mergeCell ref="B42:H42"/>
    <mergeCell ref="I42:M42"/>
    <mergeCell ref="B67:F67"/>
    <mergeCell ref="A51:E51"/>
    <mergeCell ref="F51:M51"/>
    <mergeCell ref="F52:M64"/>
    <mergeCell ref="A57:E57"/>
    <mergeCell ref="A65:M65"/>
    <mergeCell ref="B66:F66"/>
    <mergeCell ref="B14:D14"/>
    <mergeCell ref="E14:H14"/>
    <mergeCell ref="I14:M14"/>
    <mergeCell ref="A32:M32"/>
    <mergeCell ref="B33:D33"/>
    <mergeCell ref="E33:H33"/>
    <mergeCell ref="I33:M33"/>
    <mergeCell ref="B23:H23"/>
    <mergeCell ref="I23:M23"/>
    <mergeCell ref="A11:M11"/>
    <mergeCell ref="A13:M13"/>
    <mergeCell ref="B5:D5"/>
    <mergeCell ref="F5:H5"/>
    <mergeCell ref="B6:D6"/>
    <mergeCell ref="F6:H6"/>
    <mergeCell ref="B7:D7"/>
    <mergeCell ref="F7:H7"/>
    <mergeCell ref="B8:D8"/>
    <mergeCell ref="F8:H8"/>
    <mergeCell ref="B9:D9"/>
    <mergeCell ref="F9:H9"/>
    <mergeCell ref="B10:D10"/>
    <mergeCell ref="F10:H10"/>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'2_1_Definition_Processes'!$C$2:$C$47</xm:f>
          </x14:formula1>
          <xm:sqref>J1:M1</xm:sqref>
        </x14:dataValidation>
      </x14:dataValidations>
    </ext>
  </extLs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F8B60-63E7-4D0F-A053-2E3177DBE8C4}">
  <sheetPr>
    <tabColor theme="7" tint="0.79998168889431442"/>
  </sheetPr>
  <dimension ref="A2:L217"/>
  <sheetViews>
    <sheetView tabSelected="1" topLeftCell="A123" workbookViewId="0">
      <selection activeCell="D126" sqref="D126"/>
    </sheetView>
  </sheetViews>
  <sheetFormatPr defaultRowHeight="15" x14ac:dyDescent="0.25"/>
  <cols>
    <col min="2" max="2" width="26.5703125" customWidth="1"/>
    <col min="3" max="3" width="33.85546875" customWidth="1"/>
    <col min="4" max="4" width="20.85546875" customWidth="1"/>
    <col min="5" max="5" width="44.42578125" customWidth="1"/>
    <col min="6" max="6" width="88.42578125" customWidth="1"/>
    <col min="7" max="7" width="11" customWidth="1"/>
    <col min="8" max="8" width="9.42578125" customWidth="1"/>
  </cols>
  <sheetData>
    <row r="2" spans="1:9" x14ac:dyDescent="0.25">
      <c r="D2" s="234" t="s">
        <v>640</v>
      </c>
      <c r="E2" s="234"/>
      <c r="F2" s="151" t="s">
        <v>639</v>
      </c>
      <c r="G2" s="234" t="s">
        <v>639</v>
      </c>
      <c r="H2" s="234"/>
      <c r="I2" s="234"/>
    </row>
    <row r="3" spans="1:9" x14ac:dyDescent="0.25">
      <c r="A3" t="s">
        <v>19</v>
      </c>
      <c r="B3" t="s">
        <v>650</v>
      </c>
      <c r="C3" t="s">
        <v>649</v>
      </c>
      <c r="D3" s="169" t="s">
        <v>641</v>
      </c>
      <c r="E3" s="169" t="s">
        <v>642</v>
      </c>
      <c r="F3" s="169" t="s">
        <v>653</v>
      </c>
      <c r="G3" s="169" t="s">
        <v>636</v>
      </c>
      <c r="H3" s="169" t="s">
        <v>637</v>
      </c>
      <c r="I3" s="169" t="s">
        <v>638</v>
      </c>
    </row>
    <row r="4" spans="1:9" ht="75" x14ac:dyDescent="0.25">
      <c r="A4">
        <v>1</v>
      </c>
      <c r="B4" t="s">
        <v>635</v>
      </c>
      <c r="C4" s="145" t="s">
        <v>41</v>
      </c>
      <c r="D4" t="s">
        <v>651</v>
      </c>
      <c r="E4" t="s">
        <v>652</v>
      </c>
      <c r="F4" s="1" t="str">
        <f>"PURPOSE: "&amp;G4&amp;CHAR(10)&amp;CHAR(10)&amp;"ACTION: "&amp;H4&amp;CHAR(10)&amp;CHAR(10)&amp;"NOTE: "&amp;I4</f>
        <v>PURPOSE: Unique identifier for data row
ACTION: Automatically assigned
NOTE: This field is generated automatically. No manual input required. Used for system identification and linking.</v>
      </c>
      <c r="G4" t="s">
        <v>882</v>
      </c>
      <c r="H4" t="s">
        <v>883</v>
      </c>
      <c r="I4" t="s">
        <v>884</v>
      </c>
    </row>
    <row r="5" spans="1:9" ht="75" x14ac:dyDescent="0.25">
      <c r="A5">
        <v>2</v>
      </c>
      <c r="B5" t="s">
        <v>635</v>
      </c>
      <c r="C5" s="236" t="s">
        <v>19</v>
      </c>
      <c r="D5" t="s">
        <v>665</v>
      </c>
      <c r="E5" t="s">
        <v>666</v>
      </c>
      <c r="F5" s="1" t="str">
        <f>"PURPOSE: "&amp;G5&amp;CHAR(10)&amp;CHAR(10)&amp;"ACTION: "&amp;H5&amp;CHAR(10)&amp;CHAR(10)&amp;"NOTE: "&amp;I5</f>
        <v>PURPOSE: Unique identifier for material flow
ACTION: Automatically assigned
NOTE: This field is generated automatically. No manual input required. Used for system identification and linking.</v>
      </c>
      <c r="G5" t="s">
        <v>885</v>
      </c>
      <c r="H5" t="s">
        <v>883</v>
      </c>
      <c r="I5" t="s">
        <v>884</v>
      </c>
    </row>
    <row r="6" spans="1:9" ht="98.25" customHeight="1" x14ac:dyDescent="0.25">
      <c r="A6">
        <v>3</v>
      </c>
      <c r="B6" t="s">
        <v>635</v>
      </c>
      <c r="C6" s="145" t="s">
        <v>26</v>
      </c>
      <c r="D6" t="s">
        <v>667</v>
      </c>
      <c r="E6" t="s">
        <v>666</v>
      </c>
      <c r="F6" s="1" t="str">
        <f>"PURPOSE: "&amp;G6&amp;CHAR(10)&amp;CHAR(10)&amp;"ACTION: "&amp;H6&amp;CHAR(10)&amp;CHAR(10)&amp;"NOTE: "&amp;I6</f>
        <v>PURPOSE: Defines the Flow Name for identification and visualization
ACTION: Enter a comprehensive Flow Name name (e.g., "Biomass_Input, Wood_Chips_Output, CO2_Emission")
NOTE: Select a unique comprehensive name, which is displayed within the entire system. Use descriptive names for clarity.</v>
      </c>
      <c r="G6" t="s">
        <v>886</v>
      </c>
      <c r="H6" t="s">
        <v>887</v>
      </c>
      <c r="I6" t="s">
        <v>888</v>
      </c>
    </row>
    <row r="7" spans="1:9" ht="75" x14ac:dyDescent="0.25">
      <c r="A7">
        <v>4</v>
      </c>
      <c r="B7" t="s">
        <v>635</v>
      </c>
      <c r="C7" s="145" t="s">
        <v>533</v>
      </c>
      <c r="D7" t="s">
        <v>668</v>
      </c>
      <c r="E7" t="s">
        <v>669</v>
      </c>
      <c r="F7" s="1" t="str">
        <f>"PURPOSE: "&amp;G7&amp;CHAR(10)&amp;CHAR(10)&amp;"ACTION: "&amp;H7&amp;CHAR(10)&amp;CHAR(10)&amp;"NOTE: "&amp;I7</f>
        <v>PURPOSE: Defines the Output Process Name for identification and visualization
ACTION: Enter a comprehensive Output Process Name name (e.g., "Forestry, Biomass_Processing, Combustion")
NOTE: Select a unique comprehensive name, which is displayed within the entire system. Use descriptive names for clarity.</v>
      </c>
      <c r="G7" t="s">
        <v>889</v>
      </c>
      <c r="H7" t="s">
        <v>890</v>
      </c>
      <c r="I7" t="s">
        <v>888</v>
      </c>
    </row>
    <row r="8" spans="1:9" ht="75" x14ac:dyDescent="0.25">
      <c r="A8">
        <v>5</v>
      </c>
      <c r="B8" t="s">
        <v>635</v>
      </c>
      <c r="C8" s="145" t="s">
        <v>538</v>
      </c>
      <c r="D8" t="s">
        <v>670</v>
      </c>
      <c r="E8" t="s">
        <v>671</v>
      </c>
      <c r="F8" s="1" t="str">
        <f>"PURPOSE: "&amp;G8&amp;CHAR(10)&amp;CHAR(10)&amp;"ACTION: "&amp;H8&amp;CHAR(10)&amp;CHAR(10)&amp;"NOTE: "&amp;I8</f>
        <v>PURPOSE: Unique identifier for output process
ACTION: Automatically assigned
NOTE: This field is generated automatically. No manual input required. Used for system identification and linking.</v>
      </c>
      <c r="G8" t="s">
        <v>891</v>
      </c>
      <c r="H8" t="s">
        <v>883</v>
      </c>
      <c r="I8" t="s">
        <v>884</v>
      </c>
    </row>
    <row r="9" spans="1:9" ht="75" x14ac:dyDescent="0.25">
      <c r="A9">
        <v>6</v>
      </c>
      <c r="B9" t="s">
        <v>635</v>
      </c>
      <c r="C9" s="145" t="s">
        <v>539</v>
      </c>
      <c r="D9" t="s">
        <v>672</v>
      </c>
      <c r="E9" t="s">
        <v>666</v>
      </c>
      <c r="F9" s="1" t="str">
        <f>"PURPOSE: "&amp;G9&amp;CHAR(10)&amp;CHAR(10)&amp;"ACTION: "&amp;H9&amp;CHAR(10)&amp;CHAR(10)&amp;"NOTE: "&amp;I9</f>
        <v>PURPOSE: Defines the Input Process Name for identification and visualization
ACTION: Enter a comprehensive Input Process Name name (e.g., "Sawmill, Drying, Incineration")
NOTE: Select a unique comprehensive name, which is displayed within the entire system. Use descriptive names for clarity.</v>
      </c>
      <c r="G9" t="s">
        <v>892</v>
      </c>
      <c r="H9" t="s">
        <v>893</v>
      </c>
      <c r="I9" t="s">
        <v>888</v>
      </c>
    </row>
    <row r="10" spans="1:9" ht="75" x14ac:dyDescent="0.25">
      <c r="A10">
        <v>7</v>
      </c>
      <c r="B10" t="s">
        <v>635</v>
      </c>
      <c r="C10" s="145" t="s">
        <v>540</v>
      </c>
      <c r="D10" t="s">
        <v>673</v>
      </c>
      <c r="E10" t="s">
        <v>674</v>
      </c>
      <c r="F10" s="1" t="str">
        <f>"PURPOSE: "&amp;G10&amp;CHAR(10)&amp;CHAR(10)&amp;"ACTION: "&amp;H10&amp;CHAR(10)&amp;CHAR(10)&amp;"NOTE: "&amp;I10</f>
        <v>PURPOSE: Unique identifier for input process
ACTION: Automatically assigned
NOTE: This field is generated automatically. No manual input required. Used for system identification and linking.</v>
      </c>
      <c r="G10" t="s">
        <v>894</v>
      </c>
      <c r="H10" t="s">
        <v>883</v>
      </c>
      <c r="I10" t="s">
        <v>884</v>
      </c>
    </row>
    <row r="11" spans="1:9" ht="75" x14ac:dyDescent="0.25">
      <c r="A11">
        <v>8</v>
      </c>
      <c r="B11" t="s">
        <v>635</v>
      </c>
      <c r="C11" s="145" t="s">
        <v>537</v>
      </c>
      <c r="D11" t="s">
        <v>675</v>
      </c>
      <c r="E11" t="s">
        <v>666</v>
      </c>
      <c r="F11" s="1" t="str">
        <f>"PURPOSE: "&amp;G11&amp;CHAR(10)&amp;CHAR(10)&amp;"ACTION: "&amp;H11&amp;CHAR(10)&amp;CHAR(10)&amp;"NOTE: "&amp;I11</f>
        <v>PURPOSE: Defines the Water Content Flag configuration for system behavior
ACTION: Select from: Yes (water content data available), No (no water content data)
NOTE: This setting affects how the system processes this flow. Select Yes if you have water content data for this flow.</v>
      </c>
      <c r="G11" t="s">
        <v>895</v>
      </c>
      <c r="H11" t="s">
        <v>896</v>
      </c>
      <c r="I11" t="s">
        <v>897</v>
      </c>
    </row>
    <row r="12" spans="1:9" ht="75" x14ac:dyDescent="0.25">
      <c r="A12">
        <v>9</v>
      </c>
      <c r="B12" t="s">
        <v>635</v>
      </c>
      <c r="C12" s="145" t="s">
        <v>49</v>
      </c>
      <c r="D12" t="s">
        <v>676</v>
      </c>
      <c r="E12" t="s">
        <v>677</v>
      </c>
      <c r="F12" s="1" t="str">
        <f>"PURPOSE: "&amp;G12&amp;CHAR(10)&amp;CHAR(10)&amp;"ACTION: "&amp;H12&amp;CHAR(10)&amp;CHAR(10)&amp;"NOTE: "&amp;I12</f>
        <v>PURPOSE: Defines the Dry Matter Flag configuration for system behavior
ACTION: Select from: Yes (dry matter data available), No (no dry matter data)
NOTE: This setting affects how the system processes this flow. Select Yes if you have dry matter data for this flow.</v>
      </c>
      <c r="G12" t="s">
        <v>898</v>
      </c>
      <c r="H12" t="s">
        <v>899</v>
      </c>
      <c r="I12" t="s">
        <v>900</v>
      </c>
    </row>
    <row r="13" spans="1:9" ht="75" x14ac:dyDescent="0.25">
      <c r="A13">
        <v>10</v>
      </c>
      <c r="B13" t="s">
        <v>635</v>
      </c>
      <c r="C13" s="145" t="s">
        <v>51</v>
      </c>
      <c r="D13" t="s">
        <v>678</v>
      </c>
      <c r="E13" t="s">
        <v>679</v>
      </c>
      <c r="F13" s="1" t="str">
        <f>"PURPOSE: "&amp;G13&amp;CHAR(10)&amp;CHAR(10)&amp;"ACTION: "&amp;H13&amp;CHAR(10)&amp;CHAR(10)&amp;"NOTE: "&amp;I13</f>
        <v>PURPOSE: Defines the Carbon Content Flag configuration for system behavior
ACTION: Select from: Yes (carbon content data available), No (no carbon content data)
NOTE: This setting affects how the system processes this flow. Select Yes if you have carbon content data for this flow.</v>
      </c>
      <c r="G13" t="s">
        <v>901</v>
      </c>
      <c r="H13" t="s">
        <v>902</v>
      </c>
      <c r="I13" t="s">
        <v>903</v>
      </c>
    </row>
    <row r="14" spans="1:9" ht="75" x14ac:dyDescent="0.25">
      <c r="A14">
        <v>11</v>
      </c>
      <c r="B14" t="s">
        <v>635</v>
      </c>
      <c r="C14" s="145" t="s">
        <v>50</v>
      </c>
      <c r="D14" t="s">
        <v>680</v>
      </c>
      <c r="E14" t="s">
        <v>681</v>
      </c>
      <c r="F14" s="1" t="str">
        <f>"PURPOSE: "&amp;G14&amp;CHAR(10)&amp;CHAR(10)&amp;"ACTION: "&amp;H14&amp;CHAR(10)&amp;CHAR(10)&amp;"NOTE: "&amp;I14</f>
        <v>PURPOSE: Data field for Flow_WC_ID  in 1_1_Definition_Flows
ACTION: Enter appropriate value for Flow_WC_ID 
NOTE: Please refer to BioDYM documentation for specific requirements.</v>
      </c>
      <c r="G14" t="s">
        <v>904</v>
      </c>
      <c r="H14" t="s">
        <v>683</v>
      </c>
      <c r="I14" t="s">
        <v>905</v>
      </c>
    </row>
    <row r="15" spans="1:9" ht="75" x14ac:dyDescent="0.25">
      <c r="A15">
        <v>12</v>
      </c>
      <c r="B15" t="s">
        <v>635</v>
      </c>
      <c r="C15" s="145" t="s">
        <v>529</v>
      </c>
      <c r="D15" t="s">
        <v>682</v>
      </c>
      <c r="E15" t="s">
        <v>683</v>
      </c>
      <c r="F15" s="1" t="str">
        <f>"PURPOSE: "&amp;G15&amp;CHAR(10)&amp;CHAR(10)&amp;"ACTION: "&amp;H15&amp;CHAR(10)&amp;CHAR(10)&amp;"NOTE: "&amp;I15</f>
        <v>PURPOSE: Data field for Flow_WC in 1_1_Definition_Flows
ACTION: Enter appropriate value for Flow_WC
NOTE: Please refer to BioDYM documentation for specific requirements.</v>
      </c>
      <c r="G15" t="s">
        <v>906</v>
      </c>
      <c r="H15" t="s">
        <v>685</v>
      </c>
      <c r="I15" t="s">
        <v>905</v>
      </c>
    </row>
    <row r="16" spans="1:9" ht="75" x14ac:dyDescent="0.25">
      <c r="A16">
        <v>13</v>
      </c>
      <c r="B16" t="s">
        <v>635</v>
      </c>
      <c r="C16" s="145" t="s">
        <v>534</v>
      </c>
      <c r="D16" t="s">
        <v>684</v>
      </c>
      <c r="E16" t="s">
        <v>685</v>
      </c>
      <c r="F16" s="1" t="str">
        <f>"PURPOSE: "&amp;G16&amp;CHAR(10)&amp;CHAR(10)&amp;"ACTION: "&amp;H16&amp;CHAR(10)&amp;CHAR(10)&amp;"NOTE: "&amp;I16</f>
        <v>PURPOSE: Data field for WC_source in 1_1_Definition_Flows
ACTION: Enter appropriate value for WC_source
NOTE: Please refer to BioDYM documentation for specific requirements.</v>
      </c>
      <c r="G16" t="s">
        <v>907</v>
      </c>
      <c r="H16" t="s">
        <v>687</v>
      </c>
      <c r="I16" t="s">
        <v>905</v>
      </c>
    </row>
    <row r="17" spans="1:9" ht="75" x14ac:dyDescent="0.25">
      <c r="A17">
        <v>14</v>
      </c>
      <c r="B17" t="s">
        <v>635</v>
      </c>
      <c r="C17" s="145" t="s">
        <v>53</v>
      </c>
      <c r="D17" t="s">
        <v>686</v>
      </c>
      <c r="E17" t="s">
        <v>687</v>
      </c>
      <c r="F17" s="1" t="str">
        <f>"PURPOSE: "&amp;G17&amp;CHAR(10)&amp;CHAR(10)&amp;"ACTION: "&amp;H17&amp;CHAR(10)&amp;CHAR(10)&amp;"NOTE: "&amp;I17</f>
        <v>PURPOSE: Data field for Flow_DM_ID in 1_1_Definition_Flows
ACTION: Enter appropriate value for Flow_DM_ID
NOTE: Please refer to BioDYM documentation for specific requirements.</v>
      </c>
      <c r="G17" t="s">
        <v>908</v>
      </c>
      <c r="H17" t="s">
        <v>689</v>
      </c>
      <c r="I17" t="s">
        <v>905</v>
      </c>
    </row>
    <row r="18" spans="1:9" ht="75" x14ac:dyDescent="0.25">
      <c r="A18">
        <v>15</v>
      </c>
      <c r="B18" t="s">
        <v>635</v>
      </c>
      <c r="C18" s="145" t="s">
        <v>530</v>
      </c>
      <c r="D18" t="s">
        <v>688</v>
      </c>
      <c r="E18" t="s">
        <v>689</v>
      </c>
      <c r="F18" s="1" t="str">
        <f>"PURPOSE: "&amp;G18&amp;CHAR(10)&amp;CHAR(10)&amp;"ACTION: "&amp;H18&amp;CHAR(10)&amp;CHAR(10)&amp;"NOTE: "&amp;I18</f>
        <v>PURPOSE: Data field for Flow_DM in 1_1_Definition_Flows
ACTION: Enter appropriate value for Flow_DM
NOTE: Please refer to BioDYM documentation for specific requirements.</v>
      </c>
      <c r="G18" t="s">
        <v>909</v>
      </c>
      <c r="H18" t="s">
        <v>691</v>
      </c>
      <c r="I18" t="s">
        <v>905</v>
      </c>
    </row>
    <row r="19" spans="1:9" ht="75" x14ac:dyDescent="0.25">
      <c r="A19">
        <v>16</v>
      </c>
      <c r="B19" t="s">
        <v>635</v>
      </c>
      <c r="C19" s="145" t="s">
        <v>535</v>
      </c>
      <c r="D19" t="s">
        <v>690</v>
      </c>
      <c r="E19" t="s">
        <v>691</v>
      </c>
      <c r="F19" s="1" t="str">
        <f>"PURPOSE: "&amp;G19&amp;CHAR(10)&amp;CHAR(10)&amp;"ACTION: "&amp;H19&amp;CHAR(10)&amp;CHAR(10)&amp;"NOTE: "&amp;I19</f>
        <v>PURPOSE: Data field for DM_source in 1_1_Definition_Flows
ACTION: Enter appropriate value for DM_source
NOTE: Please refer to BioDYM documentation for specific requirements.</v>
      </c>
      <c r="G19" t="s">
        <v>910</v>
      </c>
      <c r="H19" t="s">
        <v>693</v>
      </c>
      <c r="I19" t="s">
        <v>905</v>
      </c>
    </row>
    <row r="20" spans="1:9" ht="75" x14ac:dyDescent="0.25">
      <c r="A20">
        <v>17</v>
      </c>
      <c r="B20" t="s">
        <v>635</v>
      </c>
      <c r="C20" s="145" t="s">
        <v>55</v>
      </c>
      <c r="D20" t="s">
        <v>692</v>
      </c>
      <c r="E20" t="s">
        <v>693</v>
      </c>
      <c r="F20" s="1" t="str">
        <f>"PURPOSE: "&amp;G20&amp;CHAR(10)&amp;CHAR(10)&amp;"ACTION: "&amp;H20&amp;CHAR(10)&amp;CHAR(10)&amp;"NOTE: "&amp;I20</f>
        <v>PURPOSE: Data field for Flow_CC_ID in 1_1_Definition_Flows
ACTION: Enter appropriate value for Flow_CC_ID
NOTE: Please refer to BioDYM documentation for specific requirements.</v>
      </c>
      <c r="G20" t="s">
        <v>911</v>
      </c>
      <c r="H20" t="s">
        <v>695</v>
      </c>
      <c r="I20" t="s">
        <v>905</v>
      </c>
    </row>
    <row r="21" spans="1:9" ht="75" x14ac:dyDescent="0.25">
      <c r="A21">
        <v>18</v>
      </c>
      <c r="B21" t="s">
        <v>635</v>
      </c>
      <c r="C21" s="145" t="s">
        <v>531</v>
      </c>
      <c r="D21" t="s">
        <v>694</v>
      </c>
      <c r="E21" t="s">
        <v>695</v>
      </c>
      <c r="F21" s="1" t="str">
        <f>"PURPOSE: "&amp;G21&amp;CHAR(10)&amp;CHAR(10)&amp;"ACTION: "&amp;H21&amp;CHAR(10)&amp;CHAR(10)&amp;"NOTE: "&amp;I21</f>
        <v>PURPOSE: Defines the carbon content content percentage for element composition calculation
ACTION: Enter percentage value (0-100%)
NOTE: Used for element flow calculations. Typical values: Wood biomass: 45-50% of dry matter. Tip: Carbon content is expressed as percentage of dry matter, not total material.</v>
      </c>
      <c r="G21" t="s">
        <v>912</v>
      </c>
      <c r="H21" t="s">
        <v>913</v>
      </c>
      <c r="I21" t="s">
        <v>914</v>
      </c>
    </row>
    <row r="22" spans="1:9" ht="75" x14ac:dyDescent="0.25">
      <c r="A22">
        <v>19</v>
      </c>
      <c r="B22" t="s">
        <v>635</v>
      </c>
      <c r="C22" s="145" t="s">
        <v>536</v>
      </c>
      <c r="D22" t="s">
        <v>696</v>
      </c>
      <c r="E22" t="s">
        <v>697</v>
      </c>
      <c r="F22" s="1" t="str">
        <f>"PURPOSE: "&amp;G22&amp;CHAR(10)&amp;CHAR(10)&amp;"ACTION: "&amp;H22&amp;CHAR(10)&amp;CHAR(10)&amp;"NOTE: "&amp;I22</f>
        <v>PURPOSE: Data field for CC_DM_source in 1_1_Definition_Flows
ACTION: Enter appropriate value for CC_DM_source
NOTE: Please refer to BioDYM documentation for specific requirements.</v>
      </c>
      <c r="G22" t="s">
        <v>915</v>
      </c>
      <c r="H22" t="s">
        <v>699</v>
      </c>
      <c r="I22" t="s">
        <v>905</v>
      </c>
    </row>
    <row r="23" spans="1:9" ht="75" x14ac:dyDescent="0.25">
      <c r="A23">
        <v>20</v>
      </c>
      <c r="B23" t="s">
        <v>635</v>
      </c>
      <c r="C23" s="145" t="s">
        <v>81</v>
      </c>
      <c r="D23" t="s">
        <v>698</v>
      </c>
      <c r="E23" t="s">
        <v>699</v>
      </c>
      <c r="F23" s="1" t="str">
        <f>"PURPOSE: "&amp;G23&amp;CHAR(10)&amp;CHAR(10)&amp;"ACTION: "&amp;H23&amp;CHAR(10)&amp;CHAR(10)&amp;"NOTE: "&amp;I23</f>
        <v>PURPOSE: Data field for CC in 1_1_Definition_Flows
ACTION: Enter appropriate value for CC
NOTE: Please refer to BioDYM documentation for specific requirements.</v>
      </c>
      <c r="G23" t="s">
        <v>916</v>
      </c>
      <c r="H23" t="s">
        <v>701</v>
      </c>
      <c r="I23" t="s">
        <v>905</v>
      </c>
    </row>
    <row r="24" spans="1:9" ht="75" x14ac:dyDescent="0.25">
      <c r="A24">
        <v>21</v>
      </c>
      <c r="B24" t="s">
        <v>635</v>
      </c>
      <c r="C24" s="145" t="s">
        <v>121</v>
      </c>
      <c r="D24" t="s">
        <v>700</v>
      </c>
      <c r="E24" t="s">
        <v>701</v>
      </c>
      <c r="F24" s="1" t="str">
        <f>"PURPOSE: "&amp;G24&amp;CHAR(10)&amp;CHAR(10)&amp;"ACTION: "&amp;H24&amp;CHAR(10)&amp;CHAR(10)&amp;"NOTE: "&amp;I24</f>
        <v>PURPOSE: Data field for CC_FM_source in 1_1_Definition_Flows
ACTION: Enter appropriate value for CC_FM_source
NOTE: Please refer to BioDYM documentation for specific requirements.</v>
      </c>
      <c r="G24" t="s">
        <v>917</v>
      </c>
      <c r="H24" t="s">
        <v>703</v>
      </c>
      <c r="I24" t="s">
        <v>905</v>
      </c>
    </row>
    <row r="25" spans="1:9" ht="75" x14ac:dyDescent="0.25">
      <c r="A25">
        <v>22</v>
      </c>
      <c r="B25" t="s">
        <v>635</v>
      </c>
      <c r="C25" s="236" t="s">
        <v>80</v>
      </c>
      <c r="D25" t="s">
        <v>702</v>
      </c>
      <c r="E25" t="s">
        <v>703</v>
      </c>
      <c r="F25" s="1" t="str">
        <f>"PURPOSE: "&amp;G25&amp;CHAR(10)&amp;CHAR(10)&amp;"ACTION: "&amp;H25&amp;CHAR(10)&amp;CHAR(10)&amp;"NOTE: "&amp;I25</f>
        <v>PURPOSE: Unique identifier for data row
ACTION: Automatically assigned
NOTE: This field is generated automatically. No manual input required. Used for system identification and linking.</v>
      </c>
      <c r="G25" t="s">
        <v>882</v>
      </c>
      <c r="H25" t="s">
        <v>883</v>
      </c>
      <c r="I25" t="s">
        <v>884</v>
      </c>
    </row>
    <row r="26" spans="1:9" ht="75" x14ac:dyDescent="0.25">
      <c r="A26">
        <v>23</v>
      </c>
      <c r="B26" t="s">
        <v>643</v>
      </c>
      <c r="C26" s="236" t="s">
        <v>19</v>
      </c>
      <c r="D26" t="s">
        <v>665</v>
      </c>
      <c r="E26" t="s">
        <v>666</v>
      </c>
      <c r="F26" s="1" t="str">
        <f>"PURPOSE: "&amp;G26&amp;CHAR(10)&amp;CHAR(10)&amp;"ACTION: "&amp;H26&amp;CHAR(10)&amp;CHAR(10)&amp;"NOTE: "&amp;I26</f>
        <v>PURPOSE: Unique identifier for material flow
ACTION: Automatically assigned
NOTE: This field is generated automatically. No manual input required. Used for system identification and linking.</v>
      </c>
      <c r="G26" t="s">
        <v>885</v>
      </c>
      <c r="H26" t="s">
        <v>883</v>
      </c>
      <c r="I26" t="s">
        <v>884</v>
      </c>
    </row>
    <row r="27" spans="1:9" ht="75" x14ac:dyDescent="0.25">
      <c r="A27">
        <v>24</v>
      </c>
      <c r="B27" t="s">
        <v>643</v>
      </c>
      <c r="C27" s="145" t="s">
        <v>26</v>
      </c>
      <c r="D27" t="s">
        <v>667</v>
      </c>
      <c r="E27" t="s">
        <v>666</v>
      </c>
      <c r="F27" s="1" t="str">
        <f>"PURPOSE: "&amp;G27&amp;CHAR(10)&amp;CHAR(10)&amp;"ACTION: "&amp;H27&amp;CHAR(10)&amp;CHAR(10)&amp;"NOTE: "&amp;I27</f>
        <v>PURPOSE: Defines the Flow Name for identification and visualization
ACTION: Enter a comprehensive Flow Name name (e.g., "Biomass_Input, Wood_Chips_Output, CO2_Emission")
NOTE: Select a unique comprehensive name, which is displayed within the entire system. Use descriptive names for clarity.</v>
      </c>
      <c r="G27" t="s">
        <v>886</v>
      </c>
      <c r="H27" t="s">
        <v>887</v>
      </c>
      <c r="I27" t="s">
        <v>888</v>
      </c>
    </row>
    <row r="28" spans="1:9" ht="75" x14ac:dyDescent="0.25">
      <c r="A28">
        <v>25</v>
      </c>
      <c r="B28" t="s">
        <v>643</v>
      </c>
      <c r="C28" s="145" t="s">
        <v>533</v>
      </c>
      <c r="D28" t="s">
        <v>668</v>
      </c>
      <c r="E28" t="s">
        <v>669</v>
      </c>
      <c r="F28" s="1" t="str">
        <f>"PURPOSE: "&amp;G28&amp;CHAR(10)&amp;CHAR(10)&amp;"ACTION: "&amp;H28&amp;CHAR(10)&amp;CHAR(10)&amp;"NOTE: "&amp;I28</f>
        <v>PURPOSE: Defines the Water Content Flag configuration for system behavior
ACTION: Select from: Yes (water content data available), No (no water content data)
NOTE: This setting affects how the system processes this flow. Select Yes if you have water content data for this flow.</v>
      </c>
      <c r="G28" t="s">
        <v>895</v>
      </c>
      <c r="H28" t="s">
        <v>896</v>
      </c>
      <c r="I28" t="s">
        <v>897</v>
      </c>
    </row>
    <row r="29" spans="1:9" ht="75" x14ac:dyDescent="0.25">
      <c r="A29">
        <v>26</v>
      </c>
      <c r="B29" t="s">
        <v>643</v>
      </c>
      <c r="C29" s="145" t="s">
        <v>49</v>
      </c>
      <c r="D29" t="s">
        <v>676</v>
      </c>
      <c r="E29" t="s">
        <v>677</v>
      </c>
      <c r="F29" s="1" t="str">
        <f>"PURPOSE: "&amp;G29&amp;CHAR(10)&amp;CHAR(10)&amp;"ACTION: "&amp;H29&amp;CHAR(10)&amp;CHAR(10)&amp;"NOTE: "&amp;I29</f>
        <v>PURPOSE: Defines the Dry Matter Flag configuration for system behavior
ACTION: Select from: Yes (dry matter data available), No (no dry matter data)
NOTE: This setting affects how the system processes this flow. Select Yes if you have dry matter data for this flow.</v>
      </c>
      <c r="G29" t="s">
        <v>898</v>
      </c>
      <c r="H29" t="s">
        <v>899</v>
      </c>
      <c r="I29" t="s">
        <v>900</v>
      </c>
    </row>
    <row r="30" spans="1:9" ht="75" x14ac:dyDescent="0.25">
      <c r="A30">
        <v>27</v>
      </c>
      <c r="B30" t="s">
        <v>643</v>
      </c>
      <c r="C30" s="145" t="s">
        <v>51</v>
      </c>
      <c r="D30" t="s">
        <v>678</v>
      </c>
      <c r="E30" t="s">
        <v>679</v>
      </c>
      <c r="F30" s="1" t="str">
        <f>"PURPOSE: "&amp;G30&amp;CHAR(10)&amp;CHAR(10)&amp;"ACTION: "&amp;H30&amp;CHAR(10)&amp;CHAR(10)&amp;"NOTE: "&amp;I30</f>
        <v>PURPOSE: Defines the Carbon Content Flag configuration for system behavior
ACTION: Select from: Yes (carbon content data available), No (no carbon content data)
NOTE: This setting affects how the system processes this flow. Select Yes if you have carbon content data for this flow.</v>
      </c>
      <c r="G30" t="s">
        <v>901</v>
      </c>
      <c r="H30" t="s">
        <v>902</v>
      </c>
      <c r="I30" t="s">
        <v>903</v>
      </c>
    </row>
    <row r="31" spans="1:9" ht="75" x14ac:dyDescent="0.25">
      <c r="A31">
        <v>28</v>
      </c>
      <c r="B31" t="s">
        <v>643</v>
      </c>
      <c r="C31" s="145" t="s">
        <v>50</v>
      </c>
      <c r="D31" t="s">
        <v>680</v>
      </c>
      <c r="E31" t="s">
        <v>681</v>
      </c>
      <c r="F31" s="1" t="str">
        <f>"PURPOSE: "&amp;G31&amp;CHAR(10)&amp;CHAR(10)&amp;"ACTION: "&amp;H31&amp;CHAR(10)&amp;CHAR(10)&amp;"NOTE: "&amp;I31</f>
        <v>PURPOSE: Defines the Data Year for temporal data organization
ACTION: Enter year (e.g., 2020, 2021, 2022)
NOTE: Must be consistent with analysis time period. Used for time-series data organization.</v>
      </c>
      <c r="G31" t="s">
        <v>918</v>
      </c>
      <c r="H31" t="s">
        <v>919</v>
      </c>
      <c r="I31" t="s">
        <v>920</v>
      </c>
    </row>
    <row r="32" spans="1:9" ht="75" x14ac:dyDescent="0.25">
      <c r="A32">
        <v>29</v>
      </c>
      <c r="B32" t="s">
        <v>643</v>
      </c>
      <c r="C32" s="145" t="s">
        <v>522</v>
      </c>
      <c r="D32" t="s">
        <v>704</v>
      </c>
      <c r="E32" t="s">
        <v>705</v>
      </c>
      <c r="F32" s="1" t="str">
        <f>"PURPOSE: "&amp;G32&amp;CHAR(10)&amp;CHAR(10)&amp;"ACTION: "&amp;H32&amp;CHAR(10)&amp;CHAR(10)&amp;"NOTE: "&amp;I32</f>
        <v>PURPOSE: Data field for Flow in 1_2_Data_Flows
ACTION: Enter appropriate value for Flow
NOTE: Please refer to BioDYM documentation for specific requirements.</v>
      </c>
      <c r="G32" t="s">
        <v>921</v>
      </c>
      <c r="H32" t="s">
        <v>707</v>
      </c>
      <c r="I32" t="s">
        <v>905</v>
      </c>
    </row>
    <row r="33" spans="1:9" ht="75" x14ac:dyDescent="0.25">
      <c r="A33">
        <v>30</v>
      </c>
      <c r="B33" t="s">
        <v>643</v>
      </c>
      <c r="C33" s="145" t="s">
        <v>523</v>
      </c>
      <c r="D33" t="s">
        <v>706</v>
      </c>
      <c r="E33" t="s">
        <v>707</v>
      </c>
      <c r="F33" s="1" t="str">
        <f>"PURPOSE: "&amp;G33&amp;CHAR(10)&amp;CHAR(10)&amp;"ACTION: "&amp;H33&amp;CHAR(10)&amp;CHAR(10)&amp;"NOTE: "&amp;I33</f>
        <v>PURPOSE: Data field for UoM_Source in 1_2_Data_Flows
ACTION: Enter appropriate value for UoM_Source
NOTE: Please refer to BioDYM documentation for specific requirements.</v>
      </c>
      <c r="G33" t="s">
        <v>922</v>
      </c>
      <c r="H33" t="s">
        <v>709</v>
      </c>
      <c r="I33" t="s">
        <v>905</v>
      </c>
    </row>
    <row r="34" spans="1:9" ht="75" x14ac:dyDescent="0.25">
      <c r="A34">
        <v>31</v>
      </c>
      <c r="B34" t="s">
        <v>643</v>
      </c>
      <c r="C34" s="145" t="s">
        <v>36</v>
      </c>
      <c r="D34" t="s">
        <v>708</v>
      </c>
      <c r="E34" t="s">
        <v>709</v>
      </c>
      <c r="F34" s="1" t="str">
        <f>"PURPOSE: "&amp;G34&amp;CHAR(10)&amp;CHAR(10)&amp;"ACTION: "&amp;H34&amp;CHAR(10)&amp;CHAR(10)&amp;"NOTE: "&amp;I34</f>
        <v>PURPOSE: Data field for Name_Source in 1_2_Data_Flows
ACTION: Enter appropriate value for Name_Source
NOTE: Please refer to BioDYM documentation for specific requirements.</v>
      </c>
      <c r="G34" t="s">
        <v>923</v>
      </c>
      <c r="H34" t="s">
        <v>711</v>
      </c>
      <c r="I34" t="s">
        <v>905</v>
      </c>
    </row>
    <row r="35" spans="1:9" ht="75" x14ac:dyDescent="0.25">
      <c r="A35">
        <v>32</v>
      </c>
      <c r="B35" t="s">
        <v>643</v>
      </c>
      <c r="C35" s="236" t="s">
        <v>28</v>
      </c>
      <c r="D35" t="s">
        <v>710</v>
      </c>
      <c r="E35" t="s">
        <v>711</v>
      </c>
      <c r="F35" s="1" t="str">
        <f>"PURPOSE: "&amp;G35&amp;CHAR(10)&amp;CHAR(10)&amp;"ACTION: "&amp;H35&amp;CHAR(10)&amp;CHAR(10)&amp;"NOTE: "&amp;I35</f>
        <v>PURPOSE: Data field for AVV in 1_2_Data_Flows
ACTION: Enter appropriate value for AVV
NOTE: Please refer to BioDYM documentation for specific requirements.</v>
      </c>
      <c r="G35" t="s">
        <v>924</v>
      </c>
      <c r="H35" t="s">
        <v>713</v>
      </c>
      <c r="I35" t="s">
        <v>905</v>
      </c>
    </row>
    <row r="36" spans="1:9" ht="75" x14ac:dyDescent="0.25">
      <c r="A36">
        <v>33</v>
      </c>
      <c r="B36" t="s">
        <v>643</v>
      </c>
      <c r="C36" s="145" t="s">
        <v>24</v>
      </c>
      <c r="D36" t="s">
        <v>712</v>
      </c>
      <c r="E36" t="s">
        <v>713</v>
      </c>
      <c r="F36" s="1" t="str">
        <f>"PURPOSE: "&amp;G36&amp;CHAR(10)&amp;CHAR(10)&amp;"ACTION: "&amp;H36&amp;CHAR(10)&amp;CHAR(10)&amp;"NOTE: "&amp;I36</f>
        <v>PURPOSE: Data field for Titel_Source in 1_2_Data_Flows
ACTION: Enter appropriate value for Titel_Source
NOTE: Please refer to BioDYM documentation for specific requirements.</v>
      </c>
      <c r="G36" t="s">
        <v>925</v>
      </c>
      <c r="H36" t="s">
        <v>715</v>
      </c>
      <c r="I36" t="s">
        <v>905</v>
      </c>
    </row>
    <row r="37" spans="1:9" ht="75" x14ac:dyDescent="0.25">
      <c r="A37">
        <v>34</v>
      </c>
      <c r="B37" t="s">
        <v>643</v>
      </c>
      <c r="C37" s="145" t="s">
        <v>29</v>
      </c>
      <c r="D37" t="s">
        <v>714</v>
      </c>
      <c r="E37" t="s">
        <v>715</v>
      </c>
      <c r="F37" s="1" t="str">
        <f>"PURPOSE: "&amp;G37&amp;CHAR(10)&amp;CHAR(10)&amp;"ACTION: "&amp;H37&amp;CHAR(10)&amp;CHAR(10)&amp;"NOTE: "&amp;I37</f>
        <v>PURPOSE: Defines the {field_type} for temporal data organization
ACTION: Enter year (e.g., 2020, 2021, 2022)
NOTE: Must be consistent with analysis time period. Used for time-series data organization.</v>
      </c>
      <c r="G37" t="s">
        <v>926</v>
      </c>
      <c r="H37" t="s">
        <v>919</v>
      </c>
      <c r="I37" t="s">
        <v>920</v>
      </c>
    </row>
    <row r="38" spans="1:9" ht="75" x14ac:dyDescent="0.25">
      <c r="A38">
        <v>35</v>
      </c>
      <c r="B38" t="s">
        <v>643</v>
      </c>
      <c r="C38" s="145" t="s">
        <v>30</v>
      </c>
      <c r="D38" t="s">
        <v>716</v>
      </c>
      <c r="E38" t="s">
        <v>717</v>
      </c>
      <c r="F38" s="1" t="str">
        <f>"PURPOSE: "&amp;G38&amp;CHAR(10)&amp;CHAR(10)&amp;"ACTION: "&amp;H38&amp;CHAR(10)&amp;CHAR(10)&amp;"NOTE: "&amp;I38</f>
        <v>PURPOSE: Defines the Data Source Author for data traceability
ACTION: Enter author or organization information
NOTE: Required for data quality assessment and traceability. Include author, publication, or data source.</v>
      </c>
      <c r="G38" t="s">
        <v>927</v>
      </c>
      <c r="H38" t="s">
        <v>928</v>
      </c>
      <c r="I38" t="s">
        <v>929</v>
      </c>
    </row>
    <row r="39" spans="1:9" ht="75" x14ac:dyDescent="0.25">
      <c r="A39">
        <v>36</v>
      </c>
      <c r="B39" t="s">
        <v>643</v>
      </c>
      <c r="C39" s="145" t="s">
        <v>31</v>
      </c>
      <c r="D39" t="s">
        <v>718</v>
      </c>
      <c r="E39" t="s">
        <v>719</v>
      </c>
      <c r="F39" s="1" t="str">
        <f>"PURPOSE: "&amp;G39&amp;CHAR(10)&amp;CHAR(10)&amp;"ACTION: "&amp;H39&amp;CHAR(10)&amp;CHAR(10)&amp;"NOTE: "&amp;I39</f>
        <v>PURPOSE: Defines the Source Type configuration for system behavior
ACTION: Select from: Literature, Measurement, Estimate, Database, Expert Knowledge
NOTE: This setting affects how the system processes this data. Select appropriate source type for data quality assessment.</v>
      </c>
      <c r="G39" t="s">
        <v>930</v>
      </c>
      <c r="H39" t="s">
        <v>931</v>
      </c>
      <c r="I39" t="s">
        <v>932</v>
      </c>
    </row>
    <row r="40" spans="1:9" ht="75" x14ac:dyDescent="0.25">
      <c r="A40">
        <v>37</v>
      </c>
      <c r="B40" t="s">
        <v>643</v>
      </c>
      <c r="C40" s="145" t="s">
        <v>32</v>
      </c>
      <c r="D40" t="s">
        <v>720</v>
      </c>
      <c r="E40" t="s">
        <v>721</v>
      </c>
      <c r="F40" s="1" t="str">
        <f>"PURPOSE: "&amp;G40&amp;CHAR(10)&amp;CHAR(10)&amp;"ACTION: "&amp;H40&amp;CHAR(10)&amp;CHAR(10)&amp;"NOTE: "&amp;I40</f>
        <v>PURPOSE: Data field for URL in 1_2_Data_Flows
ACTION: Enter appropriate value for URL
NOTE: Please refer to BioDYM documentation for specific requirements.</v>
      </c>
      <c r="G40" t="s">
        <v>933</v>
      </c>
      <c r="H40" t="s">
        <v>723</v>
      </c>
      <c r="I40" t="s">
        <v>905</v>
      </c>
    </row>
    <row r="41" spans="1:9" ht="75" x14ac:dyDescent="0.25">
      <c r="A41">
        <v>38</v>
      </c>
      <c r="B41" t="s">
        <v>643</v>
      </c>
      <c r="C41" s="145" t="s">
        <v>3</v>
      </c>
      <c r="D41" t="s">
        <v>722</v>
      </c>
      <c r="E41" t="s">
        <v>723</v>
      </c>
      <c r="F41" s="1" t="str">
        <f>"PURPOSE: "&amp;G41&amp;CHAR(10)&amp;CHAR(10)&amp;"ACTION: "&amp;H41&amp;CHAR(10)&amp;CHAR(10)&amp;"NOTE: "&amp;I41</f>
        <v>PURPOSE: Data field for CF_required? in 1_2_Data_Flows
ACTION: Enter appropriate value for CF_required?
NOTE: Please refer to BioDYM documentation for specific requirements.</v>
      </c>
      <c r="G41" t="s">
        <v>934</v>
      </c>
      <c r="H41" t="s">
        <v>725</v>
      </c>
      <c r="I41" t="s">
        <v>905</v>
      </c>
    </row>
    <row r="42" spans="1:9" ht="75" x14ac:dyDescent="0.25">
      <c r="A42">
        <v>39</v>
      </c>
      <c r="B42" t="s">
        <v>643</v>
      </c>
      <c r="C42" s="145" t="s">
        <v>33</v>
      </c>
      <c r="D42" t="s">
        <v>724</v>
      </c>
      <c r="E42" t="s">
        <v>725</v>
      </c>
      <c r="F42" s="1" t="str">
        <f>"PURPOSE: "&amp;G42&amp;CHAR(10)&amp;CHAR(10)&amp;"ACTION: "&amp;H42&amp;CHAR(10)&amp;CHAR(10)&amp;"NOTE: "&amp;I42</f>
        <v>PURPOSE: Data field for CF in 1_2_Data_Flows
ACTION: Enter appropriate value for CF
NOTE: Please refer to BioDYM documentation for specific requirements.</v>
      </c>
      <c r="G42" t="s">
        <v>935</v>
      </c>
      <c r="H42" t="s">
        <v>727</v>
      </c>
      <c r="I42" t="s">
        <v>905</v>
      </c>
    </row>
    <row r="43" spans="1:9" ht="75" x14ac:dyDescent="0.25">
      <c r="A43">
        <v>40</v>
      </c>
      <c r="B43" t="s">
        <v>643</v>
      </c>
      <c r="C43" s="145" t="s">
        <v>34</v>
      </c>
      <c r="D43" t="s">
        <v>726</v>
      </c>
      <c r="E43" t="s">
        <v>727</v>
      </c>
      <c r="F43" s="1" t="str">
        <f>"PURPOSE: "&amp;G43&amp;CHAR(10)&amp;CHAR(10)&amp;"ACTION: "&amp;H43&amp;CHAR(10)&amp;CHAR(10)&amp;"NOTE: "&amp;I43</f>
        <v>PURPOSE: Data field for Name_CF in 1_2_Data_Flows
ACTION: Enter appropriate value for Name_CF
NOTE: Please refer to BioDYM documentation for specific requirements.</v>
      </c>
      <c r="G43" t="s">
        <v>936</v>
      </c>
      <c r="H43" t="s">
        <v>729</v>
      </c>
      <c r="I43" t="s">
        <v>905</v>
      </c>
    </row>
    <row r="44" spans="1:9" ht="75" x14ac:dyDescent="0.25">
      <c r="A44">
        <v>41</v>
      </c>
      <c r="B44" t="s">
        <v>643</v>
      </c>
      <c r="C44" s="236" t="s">
        <v>35</v>
      </c>
      <c r="D44" t="s">
        <v>728</v>
      </c>
      <c r="E44" t="s">
        <v>729</v>
      </c>
      <c r="F44" s="1" t="str">
        <f>"PURPOSE: "&amp;G44&amp;CHAR(10)&amp;CHAR(10)&amp;"ACTION: "&amp;H44&amp;CHAR(10)&amp;CHAR(10)&amp;"NOTE: "&amp;I44</f>
        <v>PURPOSE: Data field for Flow_material_year_ID in 1_2_Data_Flows
ACTION: Enter appropriate value for Flow_material_year_ID
NOTE: Please refer to BioDYM documentation for specific requirements.</v>
      </c>
      <c r="G44" t="s">
        <v>937</v>
      </c>
      <c r="H44" t="s">
        <v>731</v>
      </c>
      <c r="I44" t="s">
        <v>905</v>
      </c>
    </row>
    <row r="45" spans="1:9" ht="75" x14ac:dyDescent="0.25">
      <c r="A45">
        <v>42</v>
      </c>
      <c r="B45" t="s">
        <v>643</v>
      </c>
      <c r="C45" s="145" t="s">
        <v>525</v>
      </c>
      <c r="D45" t="s">
        <v>730</v>
      </c>
      <c r="E45" t="s">
        <v>731</v>
      </c>
      <c r="F45" s="1" t="str">
        <f>"PURPOSE: "&amp;G45&amp;CHAR(10)&amp;CHAR(10)&amp;"ACTION: "&amp;H45&amp;CHAR(10)&amp;CHAR(10)&amp;"NOTE: "&amp;I45</f>
        <v>PURPOSE: Defines the Material Flow Amount for calculations
ACTION: Enter numerical value in specified unit
NOTE: Required for system calculations. Must be positive value. Used in MFA calculations.</v>
      </c>
      <c r="G45" t="s">
        <v>938</v>
      </c>
      <c r="H45" t="s">
        <v>939</v>
      </c>
      <c r="I45" t="s">
        <v>940</v>
      </c>
    </row>
    <row r="46" spans="1:9" ht="75" x14ac:dyDescent="0.25">
      <c r="A46">
        <v>43</v>
      </c>
      <c r="B46" t="s">
        <v>643</v>
      </c>
      <c r="C46" s="145" t="s">
        <v>524</v>
      </c>
      <c r="D46" t="s">
        <v>732</v>
      </c>
      <c r="E46" t="s">
        <v>733</v>
      </c>
      <c r="F46" s="1" t="str">
        <f>"PURPOSE: "&amp;G46&amp;CHAR(10)&amp;CHAR(10)&amp;"ACTION: "&amp;H46&amp;CHAR(10)&amp;CHAR(10)&amp;"NOTE: "&amp;I46</f>
        <v>PURPOSE: Data field for UoM_Flow_Py in 1_2_Data_Flows
ACTION: Enter appropriate value for UoM_Flow_Py
NOTE: Please refer to BioDYM documentation for specific requirements.</v>
      </c>
      <c r="G46" t="s">
        <v>941</v>
      </c>
      <c r="H46" t="s">
        <v>735</v>
      </c>
      <c r="I46" t="s">
        <v>905</v>
      </c>
    </row>
    <row r="47" spans="1:9" ht="75" x14ac:dyDescent="0.25">
      <c r="A47">
        <v>44</v>
      </c>
      <c r="B47" t="s">
        <v>643</v>
      </c>
      <c r="C47" s="236" t="s">
        <v>37</v>
      </c>
      <c r="D47" t="s">
        <v>734</v>
      </c>
      <c r="E47" t="s">
        <v>735</v>
      </c>
      <c r="F47" s="1" t="str">
        <f>"PURPOSE: "&amp;G47&amp;CHAR(10)&amp;CHAR(10)&amp;"ACTION: "&amp;H47&amp;CHAR(10)&amp;CHAR(10)&amp;"NOTE: "&amp;I47</f>
        <v>PURPOSE: Defines the water content content percentage for element composition calculation
ACTION: Enter percentage value (0-100%)
NOTE: Used for element flow calculations. Typical values: Fresh biomass: 40-60%, Dry biomass: 10-20%. Tip: Optional. Overrides flow definition if provided.</v>
      </c>
      <c r="G47" t="s">
        <v>942</v>
      </c>
      <c r="H47" t="s">
        <v>913</v>
      </c>
      <c r="I47" t="s">
        <v>943</v>
      </c>
    </row>
    <row r="48" spans="1:9" ht="75" x14ac:dyDescent="0.25">
      <c r="A48">
        <v>45</v>
      </c>
      <c r="B48" t="s">
        <v>643</v>
      </c>
      <c r="C48" s="145" t="s">
        <v>52</v>
      </c>
      <c r="D48" t="s">
        <v>736</v>
      </c>
      <c r="E48" t="s">
        <v>737</v>
      </c>
      <c r="F48" s="1" t="str">
        <f>"PURPOSE: "&amp;G48&amp;CHAR(10)&amp;CHAR(10)&amp;"ACTION: "&amp;H48&amp;CHAR(10)&amp;CHAR(10)&amp;"NOTE: "&amp;I48</f>
        <v>PURPOSE: Data field for Flow_WC_year_ID in 1_2_Data_Flows
ACTION: Enter appropriate value for Flow_WC_year_ID
NOTE: Please refer to BioDYM documentation for specific requirements.</v>
      </c>
      <c r="G48" t="s">
        <v>944</v>
      </c>
      <c r="H48" t="s">
        <v>739</v>
      </c>
      <c r="I48" t="s">
        <v>905</v>
      </c>
    </row>
    <row r="49" spans="1:9" ht="75" x14ac:dyDescent="0.25">
      <c r="A49">
        <v>46</v>
      </c>
      <c r="B49" t="s">
        <v>643</v>
      </c>
      <c r="C49" s="236" t="s">
        <v>526</v>
      </c>
      <c r="D49" t="s">
        <v>738</v>
      </c>
      <c r="E49" t="s">
        <v>739</v>
      </c>
      <c r="F49" s="1" t="str">
        <f>"PURPOSE: "&amp;G49&amp;CHAR(10)&amp;CHAR(10)&amp;"ACTION: "&amp;H49&amp;CHAR(10)&amp;CHAR(10)&amp;"NOTE: "&amp;I49</f>
        <v>PURPOSE: Data field for WC_Flow_Py in 1_2_Data_Flows
ACTION: Enter appropriate value for WC_Flow_Py
NOTE: Please refer to BioDYM documentation for specific requirements.</v>
      </c>
      <c r="G49" t="s">
        <v>945</v>
      </c>
      <c r="H49" t="s">
        <v>741</v>
      </c>
      <c r="I49" t="s">
        <v>905</v>
      </c>
    </row>
    <row r="50" spans="1:9" ht="75" x14ac:dyDescent="0.25">
      <c r="A50">
        <v>47</v>
      </c>
      <c r="B50" t="s">
        <v>643</v>
      </c>
      <c r="C50" s="145" t="s">
        <v>57</v>
      </c>
      <c r="D50" t="s">
        <v>740</v>
      </c>
      <c r="E50" t="s">
        <v>741</v>
      </c>
      <c r="F50" s="1" t="str">
        <f>"PURPOSE: "&amp;G50&amp;CHAR(10)&amp;CHAR(10)&amp;"ACTION: "&amp;H50&amp;CHAR(10)&amp;CHAR(10)&amp;"NOTE: "&amp;I50</f>
        <v>PURPOSE: Data field for UoM_WC_Flow_Py in 1_2_Data_Flows
ACTION: Enter appropriate value for UoM_WC_Flow_Py
NOTE: Please refer to BioDYM documentation for specific requirements.</v>
      </c>
      <c r="G50" t="s">
        <v>946</v>
      </c>
      <c r="H50" t="s">
        <v>743</v>
      </c>
      <c r="I50" t="s">
        <v>905</v>
      </c>
    </row>
    <row r="51" spans="1:9" ht="75" x14ac:dyDescent="0.25">
      <c r="A51">
        <v>48</v>
      </c>
      <c r="B51" t="s">
        <v>643</v>
      </c>
      <c r="C51" s="236" t="s">
        <v>60</v>
      </c>
      <c r="D51" t="s">
        <v>742</v>
      </c>
      <c r="E51" t="s">
        <v>743</v>
      </c>
      <c r="F51" s="1" t="str">
        <f>"PURPOSE: "&amp;G51&amp;CHAR(10)&amp;CHAR(10)&amp;"ACTION: "&amp;H51&amp;CHAR(10)&amp;CHAR(10)&amp;"NOTE: "&amp;I51</f>
        <v>PURPOSE: Defines the dry matter content percentage for element composition calculation
ACTION: Enter percentage value (0-100%)
NOTE: Used for element flow calculations. Typical values: Fresh biomass: 40-60%, Dry biomass: 80-90%. Tip: Optional. Overrides flow definition if provided.</v>
      </c>
      <c r="G51" t="s">
        <v>947</v>
      </c>
      <c r="H51" t="s">
        <v>913</v>
      </c>
      <c r="I51" t="s">
        <v>948</v>
      </c>
    </row>
    <row r="52" spans="1:9" ht="75" x14ac:dyDescent="0.25">
      <c r="A52">
        <v>49</v>
      </c>
      <c r="B52" t="s">
        <v>643</v>
      </c>
      <c r="C52" s="236" t="s">
        <v>54</v>
      </c>
      <c r="D52" t="s">
        <v>744</v>
      </c>
      <c r="E52" t="s">
        <v>745</v>
      </c>
      <c r="F52" s="1" t="str">
        <f>"PURPOSE: "&amp;G52&amp;CHAR(10)&amp;CHAR(10)&amp;"ACTION: "&amp;H52&amp;CHAR(10)&amp;CHAR(10)&amp;"NOTE: "&amp;I52</f>
        <v>PURPOSE: Data field for Flow_DM_year_ID in 1_2_Data_Flows
ACTION: Enter appropriate value for Flow_DM_year_ID
NOTE: Please refer to BioDYM documentation for specific requirements.</v>
      </c>
      <c r="G52" t="s">
        <v>949</v>
      </c>
      <c r="H52" t="s">
        <v>747</v>
      </c>
      <c r="I52" t="s">
        <v>905</v>
      </c>
    </row>
    <row r="53" spans="1:9" ht="75" x14ac:dyDescent="0.25">
      <c r="A53">
        <v>50</v>
      </c>
      <c r="B53" t="s">
        <v>643</v>
      </c>
      <c r="C53" s="236" t="s">
        <v>527</v>
      </c>
      <c r="D53" t="s">
        <v>746</v>
      </c>
      <c r="E53" t="s">
        <v>747</v>
      </c>
      <c r="F53" s="1" t="str">
        <f>"PURPOSE: "&amp;G53&amp;CHAR(10)&amp;CHAR(10)&amp;"ACTION: "&amp;H53&amp;CHAR(10)&amp;CHAR(10)&amp;"NOTE: "&amp;I53</f>
        <v>PURPOSE: Data field for DM_Flow_Py in 1_2_Data_Flows
ACTION: Enter appropriate value for DM_Flow_Py
NOTE: Please refer to BioDYM documentation for specific requirements.</v>
      </c>
      <c r="G53" t="s">
        <v>950</v>
      </c>
      <c r="H53" t="s">
        <v>749</v>
      </c>
      <c r="I53" t="s">
        <v>905</v>
      </c>
    </row>
    <row r="54" spans="1:9" ht="75" x14ac:dyDescent="0.25">
      <c r="A54">
        <v>51</v>
      </c>
      <c r="B54" t="s">
        <v>643</v>
      </c>
      <c r="C54" s="236" t="s">
        <v>532</v>
      </c>
      <c r="D54" t="s">
        <v>748</v>
      </c>
      <c r="E54" t="s">
        <v>749</v>
      </c>
      <c r="F54" s="1" t="str">
        <f>"PURPOSE: "&amp;G54&amp;CHAR(10)&amp;CHAR(10)&amp;"ACTION: "&amp;H54&amp;CHAR(10)&amp;CHAR(10)&amp;"NOTE: "&amp;I54</f>
        <v>PURPOSE: Data field for UoM_DM_Flow_Py in 1_2_Data_Flows
ACTION: Enter appropriate value for UoM_DM_Flow_Py
NOTE: Please refer to BioDYM documentation for specific requirements.</v>
      </c>
      <c r="G54" t="s">
        <v>951</v>
      </c>
      <c r="H54" t="s">
        <v>751</v>
      </c>
      <c r="I54" t="s">
        <v>905</v>
      </c>
    </row>
    <row r="55" spans="1:9" ht="75" x14ac:dyDescent="0.25">
      <c r="A55">
        <v>52</v>
      </c>
      <c r="B55" t="s">
        <v>643</v>
      </c>
      <c r="C55" s="236" t="s">
        <v>59</v>
      </c>
      <c r="D55" t="s">
        <v>750</v>
      </c>
      <c r="E55" t="s">
        <v>751</v>
      </c>
      <c r="F55" s="1" t="str">
        <f>"PURPOSE: "&amp;G55&amp;CHAR(10)&amp;CHAR(10)&amp;"ACTION: "&amp;H55&amp;CHAR(10)&amp;CHAR(10)&amp;"NOTE: "&amp;I55</f>
        <v>PURPOSE: Defines the carbon content content percentage for element composition calculation
ACTION: Enter percentage value (0-100%)
NOTE: Used for element flow calculations. Typical values: Wood biomass: 45-50% of dry matter. Tip: Optional. Overrides flow definition if provided.</v>
      </c>
      <c r="G55" t="s">
        <v>912</v>
      </c>
      <c r="H55" t="s">
        <v>913</v>
      </c>
      <c r="I55" t="s">
        <v>952</v>
      </c>
    </row>
    <row r="56" spans="1:9" ht="75" x14ac:dyDescent="0.25">
      <c r="A56">
        <v>53</v>
      </c>
      <c r="B56" t="s">
        <v>643</v>
      </c>
      <c r="C56" s="236" t="s">
        <v>56</v>
      </c>
      <c r="D56" t="s">
        <v>752</v>
      </c>
      <c r="E56" t="s">
        <v>697</v>
      </c>
      <c r="F56" s="1" t="str">
        <f>"PURPOSE: "&amp;G56&amp;CHAR(10)&amp;CHAR(10)&amp;"ACTION: "&amp;H56&amp;CHAR(10)&amp;CHAR(10)&amp;"NOTE: "&amp;I56</f>
        <v>PURPOSE: Data field for Flow_CC_year_ID in 1_2_Data_Flows
ACTION: Enter appropriate value for Flow_CC_year_ID
NOTE: Please refer to BioDYM documentation for specific requirements.</v>
      </c>
      <c r="G56" t="s">
        <v>953</v>
      </c>
      <c r="H56" t="s">
        <v>754</v>
      </c>
      <c r="I56" t="s">
        <v>905</v>
      </c>
    </row>
    <row r="57" spans="1:9" ht="75" x14ac:dyDescent="0.25">
      <c r="A57">
        <v>54</v>
      </c>
      <c r="B57" t="s">
        <v>643</v>
      </c>
      <c r="C57" s="236" t="s">
        <v>528</v>
      </c>
      <c r="D57" t="s">
        <v>753</v>
      </c>
      <c r="E57" t="s">
        <v>754</v>
      </c>
      <c r="F57" s="1" t="str">
        <f>"PURPOSE: "&amp;G57&amp;CHAR(10)&amp;CHAR(10)&amp;"ACTION: "&amp;H57&amp;CHAR(10)&amp;CHAR(10)&amp;"NOTE: "&amp;I57</f>
        <v>PURPOSE: Data field for CC_Flow_Py in 1_2_Data_Flows
ACTION: Enter appropriate value for CC_Flow_Py
NOTE: Please refer to BioDYM documentation for specific requirements.</v>
      </c>
      <c r="G57" t="s">
        <v>954</v>
      </c>
      <c r="H57" t="s">
        <v>756</v>
      </c>
      <c r="I57" t="s">
        <v>905</v>
      </c>
    </row>
    <row r="58" spans="1:9" ht="75" x14ac:dyDescent="0.25">
      <c r="A58">
        <v>55</v>
      </c>
      <c r="B58" t="s">
        <v>643</v>
      </c>
      <c r="C58" s="236" t="s">
        <v>61</v>
      </c>
      <c r="D58" t="s">
        <v>755</v>
      </c>
      <c r="E58" t="s">
        <v>756</v>
      </c>
      <c r="F58" s="1" t="str">
        <f>"PURPOSE: "&amp;G58&amp;CHAR(10)&amp;CHAR(10)&amp;"ACTION: "&amp;H58&amp;CHAR(10)&amp;CHAR(10)&amp;"NOTE: "&amp;I58</f>
        <v>PURPOSE: Data field for UoM_CC_Flow_Py in 1_2_Data_Flows
ACTION: Enter appropriate value for UoM_CC_Flow_Py
NOTE: Please refer to BioDYM documentation for specific requirements.</v>
      </c>
      <c r="G58" t="s">
        <v>955</v>
      </c>
      <c r="H58" t="s">
        <v>758</v>
      </c>
      <c r="I58" t="s">
        <v>905</v>
      </c>
    </row>
    <row r="59" spans="1:9" ht="75" x14ac:dyDescent="0.25">
      <c r="A59">
        <v>56</v>
      </c>
      <c r="B59" t="s">
        <v>643</v>
      </c>
      <c r="C59" s="145" t="s">
        <v>58</v>
      </c>
      <c r="D59" t="s">
        <v>757</v>
      </c>
      <c r="E59" t="s">
        <v>758</v>
      </c>
      <c r="F59" s="1" t="str">
        <f>"PURPOSE: "&amp;G59&amp;CHAR(10)&amp;CHAR(10)&amp;"ACTION: "&amp;H59&amp;CHAR(10)&amp;CHAR(10)&amp;"NOTE: "&amp;I59</f>
        <v>PURPOSE: Flag this row as 100% complete for reporting and filtering purposes
ACTION: Click to select
NOTE: This input is optional. Leave blank if the process is ongoing. Used for progress tracking.</v>
      </c>
      <c r="G59" t="s">
        <v>956</v>
      </c>
      <c r="H59" t="s">
        <v>957</v>
      </c>
      <c r="I59" t="s">
        <v>958</v>
      </c>
    </row>
    <row r="60" spans="1:9" ht="75" x14ac:dyDescent="0.25">
      <c r="A60">
        <v>57</v>
      </c>
      <c r="B60" t="s">
        <v>644</v>
      </c>
      <c r="C60" s="145" t="s">
        <v>41</v>
      </c>
      <c r="D60" t="s">
        <v>759</v>
      </c>
      <c r="E60" t="s">
        <v>760</v>
      </c>
      <c r="F60" s="1" t="str">
        <f>"PURPOSE: "&amp;G60&amp;CHAR(10)&amp;CHAR(10)&amp;"ACTION: "&amp;H60&amp;CHAR(10)&amp;CHAR(10)&amp;"NOTE: "&amp;I60</f>
        <v>PURPOSE: Unique identifier for data row
ACTION: Automatically assigned
NOTE: This field is generated automatically. No manual input required. Used for system identification and linking.</v>
      </c>
      <c r="G60" t="s">
        <v>882</v>
      </c>
      <c r="H60" t="s">
        <v>883</v>
      </c>
      <c r="I60" t="s">
        <v>884</v>
      </c>
    </row>
    <row r="61" spans="1:9" ht="75" x14ac:dyDescent="0.25">
      <c r="A61">
        <v>58</v>
      </c>
      <c r="B61" t="s">
        <v>644</v>
      </c>
      <c r="C61" s="236" t="s">
        <v>19</v>
      </c>
      <c r="D61" t="s">
        <v>665</v>
      </c>
      <c r="E61" t="s">
        <v>666</v>
      </c>
      <c r="F61" s="1" t="str">
        <f>"PURPOSE: "&amp;G61&amp;CHAR(10)&amp;CHAR(10)&amp;"ACTION: "&amp;H61&amp;CHAR(10)&amp;CHAR(10)&amp;"NOTE: "&amp;I61</f>
        <v>PURPOSE: Unique identifier for process
ACTION: Automatically assigned
NOTE: This field is generated automatically. No manual input required. Used for system identification and linking.</v>
      </c>
      <c r="G61" t="s">
        <v>959</v>
      </c>
      <c r="H61" t="s">
        <v>883</v>
      </c>
      <c r="I61" t="s">
        <v>884</v>
      </c>
    </row>
    <row r="62" spans="1:9" ht="75" x14ac:dyDescent="0.25">
      <c r="A62">
        <v>59</v>
      </c>
      <c r="B62" t="s">
        <v>644</v>
      </c>
      <c r="C62" s="236" t="s">
        <v>38</v>
      </c>
      <c r="D62" t="s">
        <v>761</v>
      </c>
      <c r="E62" t="s">
        <v>666</v>
      </c>
      <c r="F62" s="1" t="str">
        <f>"PURPOSE: "&amp;G62&amp;CHAR(10)&amp;CHAR(10)&amp;"ACTION: "&amp;H62&amp;CHAR(10)&amp;CHAR(10)&amp;"NOTE: "&amp;I62</f>
        <v>PURPOSE: Defines the Process Name for identification and visualization
ACTION: Enter a comprehensive Process Name name (e.g., "Forestry, Sawmill, Drying, Combustion")
NOTE: Select a unique comprehensive name, which is displayed within the entire system. Use descriptive names for clarity.</v>
      </c>
      <c r="G62" t="s">
        <v>960</v>
      </c>
      <c r="H62" t="s">
        <v>961</v>
      </c>
      <c r="I62" t="s">
        <v>888</v>
      </c>
    </row>
    <row r="63" spans="1:9" ht="75" x14ac:dyDescent="0.25">
      <c r="A63">
        <v>60</v>
      </c>
      <c r="B63" t="s">
        <v>644</v>
      </c>
      <c r="C63" s="236" t="s">
        <v>541</v>
      </c>
      <c r="D63" t="s">
        <v>762</v>
      </c>
      <c r="E63" t="s">
        <v>763</v>
      </c>
      <c r="F63" s="1" t="str">
        <f>"PURPOSE: "&amp;G63&amp;CHAR(10)&amp;CHAR(10)&amp;"ACTION: "&amp;H63&amp;CHAR(10)&amp;CHAR(10)&amp;"NOTE: "&amp;I63</f>
        <v>PURPOSE: Defines the Process Description for identification and visualization
ACTION: Enter a comprehensive Process Description name (e.g., "Wood processing facility, Biomass combustion unit")
NOTE: Select a unique comprehensive name, which is displayed within the entire system. Use descriptive names for clarity.</v>
      </c>
      <c r="G63" t="s">
        <v>962</v>
      </c>
      <c r="H63" t="s">
        <v>963</v>
      </c>
      <c r="I63" t="s">
        <v>888</v>
      </c>
    </row>
    <row r="64" spans="1:9" ht="75" x14ac:dyDescent="0.25">
      <c r="A64">
        <v>61</v>
      </c>
      <c r="B64" t="s">
        <v>644</v>
      </c>
      <c r="C64" s="236" t="s">
        <v>4</v>
      </c>
      <c r="D64" t="s">
        <v>764</v>
      </c>
      <c r="E64" t="s">
        <v>765</v>
      </c>
      <c r="F64" s="1" t="str">
        <f>"PURPOSE: "&amp;G64&amp;CHAR(10)&amp;CHAR(10)&amp;"ACTION: "&amp;H64&amp;CHAR(10)&amp;CHAR(10)&amp;"NOTE: "&amp;I64</f>
        <v>PURPOSE: Defines the Process Logic Type configuration for system behavior
ACTION: Select from: Input (receives only), Output (produces only), Pass-through (no transformation), Transformation (converts materials)
NOTE: This setting affects how the system processes this process. Splitter processes: Use Material TCs only. Transformer processes: Use elemental TCs (WC, DM, CC).</v>
      </c>
      <c r="G64" t="s">
        <v>964</v>
      </c>
      <c r="H64" t="s">
        <v>965</v>
      </c>
      <c r="I64" t="s">
        <v>966</v>
      </c>
    </row>
    <row r="65" spans="1:9" ht="75" x14ac:dyDescent="0.25">
      <c r="A65">
        <v>62</v>
      </c>
      <c r="B65" t="s">
        <v>644</v>
      </c>
      <c r="C65" s="236" t="s">
        <v>503</v>
      </c>
      <c r="D65" t="s">
        <v>766</v>
      </c>
      <c r="E65" t="s">
        <v>767</v>
      </c>
      <c r="F65" s="1" t="str">
        <f>"PURPOSE: "&amp;G65&amp;CHAR(10)&amp;CHAR(10)&amp;"ACTION: "&amp;H65&amp;CHAR(10)&amp;CHAR(10)&amp;"NOTE: "&amp;I65</f>
        <v>PURPOSE: Defines the Transfer Coefficient Configuration configuration for system behavior
ACTION: Select from: Static (constant TCs), Dynamic (time-varying TCs), None (no TCs)
NOTE: This setting affects how the system processes this process. Static: Same TC value over time. Dynamic: TC changes by year. None: Skip TC calculations.</v>
      </c>
      <c r="G65" t="s">
        <v>967</v>
      </c>
      <c r="H65" t="s">
        <v>968</v>
      </c>
      <c r="I65" t="s">
        <v>969</v>
      </c>
    </row>
    <row r="66" spans="1:9" ht="75" x14ac:dyDescent="0.25">
      <c r="A66">
        <v>63</v>
      </c>
      <c r="B66" t="s">
        <v>644</v>
      </c>
      <c r="C66" s="236" t="s">
        <v>579</v>
      </c>
      <c r="D66" t="s">
        <v>768</v>
      </c>
      <c r="E66" t="s">
        <v>769</v>
      </c>
      <c r="F66" s="1" t="str">
        <f>"PURPOSE: "&amp;G66&amp;CHAR(10)&amp;CHAR(10)&amp;"ACTION: "&amp;H66&amp;CHAR(10)&amp;CHAR(10)&amp;"NOTE: "&amp;I66</f>
        <v>PURPOSE: Defines the Stock Configuration configuration for system behavior
ACTION: Select from: Stock (maintains material stocks), None (no stocks)
NOTE: This setting affects how the system processes this process. Stock: Creates stock equations for material accumulation. None: No stock calculations.</v>
      </c>
      <c r="G66" t="s">
        <v>970</v>
      </c>
      <c r="H66" t="s">
        <v>971</v>
      </c>
      <c r="I66" t="s">
        <v>972</v>
      </c>
    </row>
    <row r="67" spans="1:9" ht="75" x14ac:dyDescent="0.25">
      <c r="A67">
        <v>64</v>
      </c>
      <c r="B67" t="s">
        <v>644</v>
      </c>
      <c r="C67" s="236" t="s">
        <v>580</v>
      </c>
      <c r="D67" t="s">
        <v>770</v>
      </c>
      <c r="E67" t="s">
        <v>771</v>
      </c>
      <c r="F67" s="1" t="str">
        <f>"PURPOSE: "&amp;G67&amp;CHAR(10)&amp;CHAR(10)&amp;"ACTION: "&amp;H67&amp;CHAR(10)&amp;CHAR(10)&amp;"NOTE: "&amp;I67</f>
        <v>PURPOSE: Defines the {field_type} for calculations
ACTION: Enter numerical value in specified unit
NOTE: Required for system calculations. Must be positive value. Used in MFA calculations.</v>
      </c>
      <c r="G67" t="s">
        <v>973</v>
      </c>
      <c r="H67" t="s">
        <v>939</v>
      </c>
      <c r="I67" t="s">
        <v>940</v>
      </c>
    </row>
    <row r="68" spans="1:9" ht="75.75" thickBot="1" x14ac:dyDescent="0.3">
      <c r="A68">
        <v>65</v>
      </c>
      <c r="B68" t="s">
        <v>644</v>
      </c>
      <c r="C68" s="236" t="s">
        <v>223</v>
      </c>
      <c r="D68" t="s">
        <v>716</v>
      </c>
      <c r="E68" t="s">
        <v>772</v>
      </c>
      <c r="F68" s="1" t="str">
        <f>"PURPOSE: "&amp;G68&amp;CHAR(10)&amp;CHAR(10)&amp;"ACTION: "&amp;H68&amp;CHAR(10)&amp;CHAR(10)&amp;"NOTE: "&amp;I68</f>
        <v>PURPOSE: Flag this row as 100% complete for reporting and filtering purposes
ACTION: Click to select
NOTE: This input is optional. Leave blank if the process is ongoing. Used for progress tracking.</v>
      </c>
      <c r="G68" t="s">
        <v>956</v>
      </c>
      <c r="H68" t="s">
        <v>957</v>
      </c>
      <c r="I68" t="s">
        <v>958</v>
      </c>
    </row>
    <row r="69" spans="1:9" ht="75.75" thickBot="1" x14ac:dyDescent="0.3">
      <c r="A69">
        <v>66</v>
      </c>
      <c r="B69" t="s">
        <v>1040</v>
      </c>
      <c r="C69" s="170" t="s">
        <v>41</v>
      </c>
      <c r="D69" t="s">
        <v>759</v>
      </c>
      <c r="E69" t="s">
        <v>760</v>
      </c>
      <c r="F69" s="1" t="str">
        <f>"PURPOSE: "&amp;G69&amp;CHAR(10)&amp;CHAR(10)&amp;"ACTION: "&amp;H69&amp;CHAR(10)&amp;CHAR(10)&amp;"NOTE: "&amp;I69</f>
        <v>PURPOSE: Unique identifier for data row
ACTION: Automatically assigned
NOTE: This field is generated automatically. No manual input required. Used for system identification and linking.</v>
      </c>
      <c r="G69" t="s">
        <v>882</v>
      </c>
      <c r="H69" t="s">
        <v>883</v>
      </c>
      <c r="I69" t="s">
        <v>884</v>
      </c>
    </row>
    <row r="70" spans="1:9" ht="75.75" thickBot="1" x14ac:dyDescent="0.3">
      <c r="A70">
        <v>67</v>
      </c>
      <c r="B70" t="s">
        <v>1040</v>
      </c>
      <c r="C70" s="171" t="s">
        <v>19</v>
      </c>
      <c r="D70" t="s">
        <v>665</v>
      </c>
      <c r="E70" t="s">
        <v>666</v>
      </c>
      <c r="F70" s="1" t="str">
        <f>"PURPOSE: "&amp;G70&amp;CHAR(10)&amp;CHAR(10)&amp;"ACTION: "&amp;H70&amp;CHAR(10)&amp;CHAR(10)&amp;"NOTE: "&amp;I70</f>
        <v>PURPOSE: Unique identifier for process
ACTION: Automatically assigned
NOTE: This field is generated automatically. No manual input required. Used for system identification and linking.</v>
      </c>
      <c r="G70" t="s">
        <v>959</v>
      </c>
      <c r="H70" t="s">
        <v>883</v>
      </c>
      <c r="I70" t="s">
        <v>884</v>
      </c>
    </row>
    <row r="71" spans="1:9" ht="75.75" thickBot="1" x14ac:dyDescent="0.3">
      <c r="A71">
        <v>68</v>
      </c>
      <c r="B71" t="s">
        <v>1040</v>
      </c>
      <c r="C71" s="171" t="s">
        <v>38</v>
      </c>
      <c r="D71" t="s">
        <v>761</v>
      </c>
      <c r="E71" t="s">
        <v>666</v>
      </c>
      <c r="F71" s="1" t="str">
        <f>"PURPOSE: "&amp;G71&amp;CHAR(10)&amp;CHAR(10)&amp;"ACTION: "&amp;H71&amp;CHAR(10)&amp;CHAR(10)&amp;"NOTE: "&amp;I71</f>
        <v>PURPOSE: Defines the Process Name for identification and visualization
ACTION: Enter a comprehensive Process Name name (e.g., "Forestry, Sawmill, Drying, Combustion")
NOTE: Select a unique comprehensive name, which is displayed within the entire system. Use descriptive names for clarity.</v>
      </c>
      <c r="G71" t="s">
        <v>960</v>
      </c>
      <c r="H71" t="s">
        <v>961</v>
      </c>
      <c r="I71" t="s">
        <v>888</v>
      </c>
    </row>
    <row r="72" spans="1:9" ht="75" x14ac:dyDescent="0.25">
      <c r="A72">
        <v>69</v>
      </c>
      <c r="B72" t="s">
        <v>1040</v>
      </c>
      <c r="C72" s="171" t="s">
        <v>541</v>
      </c>
      <c r="D72" t="s">
        <v>762</v>
      </c>
      <c r="E72" t="s">
        <v>763</v>
      </c>
      <c r="F72" s="1" t="str">
        <f>"PURPOSE: "&amp;G72&amp;CHAR(10)&amp;CHAR(10)&amp;"ACTION: "&amp;H72&amp;CHAR(10)&amp;CHAR(10)&amp;"NOTE: "&amp;I72</f>
        <v>PURPOSE: Defines the Process Logic Type configuration for system behavior
ACTION: Select from: Input (receives only), Output (produces only), Pass-through (no transformation), Transformation (converts materials)
NOTE: This setting affects how the system processes this process. Splitter processes: Use Material TCs only. Transformer processes: Use elemental TCs (WC, DM, CC).</v>
      </c>
      <c r="G72" t="s">
        <v>964</v>
      </c>
      <c r="H72" t="s">
        <v>965</v>
      </c>
      <c r="I72" t="s">
        <v>966</v>
      </c>
    </row>
    <row r="73" spans="1:9" ht="75" x14ac:dyDescent="0.25">
      <c r="A73">
        <v>70</v>
      </c>
      <c r="B73" t="s">
        <v>1040</v>
      </c>
      <c r="C73" s="145" t="s">
        <v>503</v>
      </c>
      <c r="D73" t="s">
        <v>766</v>
      </c>
      <c r="E73" t="s">
        <v>767</v>
      </c>
      <c r="F73" s="1" t="str">
        <f>"PURPOSE: "&amp;G73&amp;CHAR(10)&amp;CHAR(10)&amp;"ACTION: "&amp;H73&amp;CHAR(10)&amp;CHAR(10)&amp;"NOTE: "&amp;I73</f>
        <v>PURPOSE: Defines the Transfer Coefficient Configuration configuration for system behavior
ACTION: Select from: Static (constant TCs), Dynamic (time-varying TCs), None (no TCs)
NOTE: This setting affects how the system processes this process. Static: Same TC value over time. Dynamic: TC changes by year. None: Skip TC calculations.</v>
      </c>
      <c r="G73" t="s">
        <v>967</v>
      </c>
      <c r="H73" t="s">
        <v>968</v>
      </c>
      <c r="I73" t="s">
        <v>969</v>
      </c>
    </row>
    <row r="74" spans="1:9" ht="75" x14ac:dyDescent="0.25">
      <c r="A74">
        <v>71</v>
      </c>
      <c r="B74" t="s">
        <v>1040</v>
      </c>
      <c r="C74" s="236" t="s">
        <v>579</v>
      </c>
      <c r="D74" t="s">
        <v>768</v>
      </c>
      <c r="E74" t="s">
        <v>769</v>
      </c>
      <c r="F74" s="1" t="str">
        <f>"PURPOSE: "&amp;G74&amp;CHAR(10)&amp;CHAR(10)&amp;"ACTION: "&amp;H74&amp;CHAR(10)&amp;CHAR(10)&amp;"NOTE: "&amp;I74</f>
        <v>PURPOSE: Defines the Stock Configuration configuration for system behavior
ACTION: Select from: Stock (maintains material stocks), None (no stocks)
NOTE: This setting affects how the system processes this process. Stock: Creates stock equations for material accumulation. None: No stock calculations.</v>
      </c>
      <c r="G74" t="s">
        <v>970</v>
      </c>
      <c r="H74" t="s">
        <v>971</v>
      </c>
      <c r="I74" t="s">
        <v>972</v>
      </c>
    </row>
    <row r="75" spans="1:9" ht="75" x14ac:dyDescent="0.25">
      <c r="A75">
        <v>72</v>
      </c>
      <c r="B75" t="s">
        <v>1040</v>
      </c>
      <c r="C75" s="145" t="s">
        <v>580</v>
      </c>
      <c r="D75" t="s">
        <v>770</v>
      </c>
      <c r="E75" t="s">
        <v>771</v>
      </c>
      <c r="F75" s="1" t="str">
        <f>"PURPOSE: "&amp;G75&amp;CHAR(10)&amp;CHAR(10)&amp;"ACTION: "&amp;H75&amp;CHAR(10)&amp;CHAR(10)&amp;"NOTE: "&amp;I75</f>
        <v>PURPOSE: Defines the {field_type} for calculations
ACTION: Enter numerical value in specified unit
NOTE: Required for system calculations. Must be positive value. Used in MFA calculations.</v>
      </c>
      <c r="G75" t="s">
        <v>973</v>
      </c>
      <c r="H75" t="s">
        <v>939</v>
      </c>
      <c r="I75" t="s">
        <v>940</v>
      </c>
    </row>
    <row r="76" spans="1:9" ht="75" x14ac:dyDescent="0.25">
      <c r="A76">
        <v>73</v>
      </c>
      <c r="B76" t="s">
        <v>1040</v>
      </c>
      <c r="C76" s="145" t="s">
        <v>224</v>
      </c>
      <c r="D76" t="s">
        <v>716</v>
      </c>
      <c r="E76" t="s">
        <v>772</v>
      </c>
      <c r="F76" s="1" t="str">
        <f>"PURPOSE: "&amp;G76&amp;CHAR(10)&amp;CHAR(10)&amp;"ACTION: "&amp;H76&amp;CHAR(10)&amp;CHAR(10)&amp;"NOTE: "&amp;I76</f>
        <v>PURPOSE: Data field for Output_Flow in 2_3_static_TCs
ACTION: Enter appropriate value for Output_Flow
NOTE: Please refer to BioDYM documentation for specific requirements.</v>
      </c>
      <c r="G76" t="s">
        <v>974</v>
      </c>
      <c r="H76" t="s">
        <v>774</v>
      </c>
      <c r="I76" t="s">
        <v>905</v>
      </c>
    </row>
    <row r="77" spans="1:9" ht="75" x14ac:dyDescent="0.25">
      <c r="A77">
        <v>74</v>
      </c>
      <c r="B77" t="s">
        <v>1040</v>
      </c>
      <c r="C77" s="145" t="s">
        <v>199</v>
      </c>
      <c r="D77" t="s">
        <v>773</v>
      </c>
      <c r="E77" t="s">
        <v>774</v>
      </c>
      <c r="F77" s="1" t="str">
        <f>"PURPOSE: "&amp;G77&amp;CHAR(10)&amp;CHAR(10)&amp;"ACTION: "&amp;H77&amp;CHAR(10)&amp;CHAR(10)&amp;"NOTE: "&amp;I77</f>
        <v>PURPOSE: Unique identifier for material flow
ACTION: Automatically assigned
NOTE: This field is generated automatically. No manual input required. Used for system identification and linking.</v>
      </c>
      <c r="G77" t="s">
        <v>885</v>
      </c>
      <c r="H77" t="s">
        <v>883</v>
      </c>
      <c r="I77" t="s">
        <v>884</v>
      </c>
    </row>
    <row r="78" spans="1:9" ht="75" x14ac:dyDescent="0.25">
      <c r="A78">
        <v>75</v>
      </c>
      <c r="B78" t="s">
        <v>1040</v>
      </c>
      <c r="C78" s="145" t="s">
        <v>26</v>
      </c>
      <c r="D78" t="s">
        <v>667</v>
      </c>
      <c r="E78" t="s">
        <v>666</v>
      </c>
      <c r="F78" s="1" t="str">
        <f>"PURPOSE: "&amp;G78&amp;CHAR(10)&amp;CHAR(10)&amp;"ACTION: "&amp;H78&amp;CHAR(10)&amp;CHAR(10)&amp;"NOTE: "&amp;I78</f>
        <v>PURPOSE: Unique identifier for transfer coefficient material
ACTION: Automatically assigned
NOTE: This field is generated automatically. No manual input required. Used for system identification and linking.</v>
      </c>
      <c r="G78" t="s">
        <v>975</v>
      </c>
      <c r="H78" t="s">
        <v>883</v>
      </c>
      <c r="I78" t="s">
        <v>884</v>
      </c>
    </row>
    <row r="79" spans="1:9" ht="75" x14ac:dyDescent="0.25">
      <c r="A79">
        <v>76</v>
      </c>
      <c r="B79" t="s">
        <v>1040</v>
      </c>
      <c r="C79" s="145" t="s">
        <v>516</v>
      </c>
      <c r="D79" t="s">
        <v>775</v>
      </c>
      <c r="E79" t="s">
        <v>666</v>
      </c>
      <c r="F79" s="1" t="str">
        <f>"PURPOSE: "&amp;G79&amp;CHAR(10)&amp;CHAR(10)&amp;"ACTION: "&amp;H79&amp;CHAR(10)&amp;CHAR(10)&amp;"NOTE: "&amp;I79</f>
        <v>PURPOSE: Defines the Transfer Coefficient Value for calculations
ACTION: Enter numerical value in specified unit
NOTE: Required for system calculations. Must be positive value. Used in MFA calculations.</v>
      </c>
      <c r="G79" t="s">
        <v>976</v>
      </c>
      <c r="H79" t="s">
        <v>939</v>
      </c>
      <c r="I79" t="s">
        <v>940</v>
      </c>
    </row>
    <row r="80" spans="1:9" ht="75" x14ac:dyDescent="0.25">
      <c r="A80">
        <v>77</v>
      </c>
      <c r="B80" t="s">
        <v>1040</v>
      </c>
      <c r="C80" s="145" t="s">
        <v>511</v>
      </c>
      <c r="D80" t="s">
        <v>776</v>
      </c>
      <c r="E80" t="s">
        <v>777</v>
      </c>
      <c r="F80" s="1" t="str">
        <f>"PURPOSE: "&amp;G80&amp;CHAR(10)&amp;CHAR(10)&amp;"ACTION: "&amp;H80&amp;CHAR(10)&amp;CHAR(10)&amp;"NOTE: "&amp;I80</f>
        <v>PURPOSE: Unique identifier for {context}
ACTION: Automatically assigned
NOTE: This field is generated automatically. No manual input required. Used for system identification and linking.</v>
      </c>
      <c r="G80" t="s">
        <v>977</v>
      </c>
      <c r="H80" t="s">
        <v>883</v>
      </c>
      <c r="I80" t="s">
        <v>884</v>
      </c>
    </row>
    <row r="81" spans="1:9" ht="75" x14ac:dyDescent="0.25">
      <c r="A81">
        <v>78</v>
      </c>
      <c r="B81" t="s">
        <v>1040</v>
      </c>
      <c r="C81" s="145" t="s">
        <v>517</v>
      </c>
      <c r="D81" t="s">
        <v>716</v>
      </c>
      <c r="E81" t="s">
        <v>666</v>
      </c>
      <c r="F81" s="1" t="str">
        <f>"PURPOSE: "&amp;G81&amp;CHAR(10)&amp;CHAR(10)&amp;"ACTION: "&amp;H81&amp;CHAR(10)&amp;CHAR(10)&amp;"NOTE: "&amp;I81</f>
        <v>PURPOSE: Defines the Water Content Transfer Coefficient for calculations
ACTION: Enter numerical value in specified unit
NOTE: Required for system calculations. Must be positive value. Used in MFA calculations.</v>
      </c>
      <c r="G81" t="s">
        <v>978</v>
      </c>
      <c r="H81" t="s">
        <v>939</v>
      </c>
      <c r="I81" t="s">
        <v>940</v>
      </c>
    </row>
    <row r="82" spans="1:9" ht="75" x14ac:dyDescent="0.25">
      <c r="A82">
        <v>79</v>
      </c>
      <c r="B82" t="s">
        <v>1040</v>
      </c>
      <c r="C82" s="145" t="s">
        <v>506</v>
      </c>
      <c r="D82" t="s">
        <v>778</v>
      </c>
      <c r="E82" t="s">
        <v>779</v>
      </c>
      <c r="F82" s="1" t="str">
        <f>"PURPOSE: "&amp;G82&amp;CHAR(10)&amp;CHAR(10)&amp;"ACTION: "&amp;H82&amp;CHAR(10)&amp;CHAR(10)&amp;"NOTE: "&amp;I82</f>
        <v>PURPOSE: Unique identifier for {context}
ACTION: Automatically assigned
NOTE: This field is generated automatically. No manual input required. Used for system identification and linking.</v>
      </c>
      <c r="G82" t="s">
        <v>977</v>
      </c>
      <c r="H82" t="s">
        <v>883</v>
      </c>
      <c r="I82" t="s">
        <v>884</v>
      </c>
    </row>
    <row r="83" spans="1:9" ht="75" x14ac:dyDescent="0.25">
      <c r="A83">
        <v>80</v>
      </c>
      <c r="B83" t="s">
        <v>1040</v>
      </c>
      <c r="C83" s="236" t="s">
        <v>518</v>
      </c>
      <c r="D83" t="s">
        <v>716</v>
      </c>
      <c r="E83" t="s">
        <v>666</v>
      </c>
      <c r="F83" s="1" t="str">
        <f>"PURPOSE: "&amp;G83&amp;CHAR(10)&amp;CHAR(10)&amp;"ACTION: "&amp;H83&amp;CHAR(10)&amp;CHAR(10)&amp;"NOTE: "&amp;I83</f>
        <v>PURPOSE: Defines the Dry Matter Transfer Coefficient for calculations
ACTION: Enter numerical value in specified unit
NOTE: Required for system calculations. Must be positive value. Used in MFA calculations.</v>
      </c>
      <c r="G83" t="s">
        <v>979</v>
      </c>
      <c r="H83" t="s">
        <v>939</v>
      </c>
      <c r="I83" t="s">
        <v>940</v>
      </c>
    </row>
    <row r="84" spans="1:9" ht="75" x14ac:dyDescent="0.25">
      <c r="A84">
        <v>81</v>
      </c>
      <c r="B84" t="s">
        <v>1040</v>
      </c>
      <c r="C84" s="236" t="s">
        <v>507</v>
      </c>
      <c r="D84" t="s">
        <v>780</v>
      </c>
      <c r="E84" t="s">
        <v>781</v>
      </c>
      <c r="F84" s="1" t="str">
        <f>"PURPOSE: "&amp;G84&amp;CHAR(10)&amp;CHAR(10)&amp;"ACTION: "&amp;H84&amp;CHAR(10)&amp;CHAR(10)&amp;"NOTE: "&amp;I84</f>
        <v>PURPOSE: Unique identifier for {context}
ACTION: Automatically assigned
NOTE: This field is generated automatically. No manual input required. Used for system identification and linking.</v>
      </c>
      <c r="G84" t="s">
        <v>977</v>
      </c>
      <c r="H84" t="s">
        <v>883</v>
      </c>
      <c r="I84" t="s">
        <v>884</v>
      </c>
    </row>
    <row r="85" spans="1:9" ht="75" x14ac:dyDescent="0.25">
      <c r="A85">
        <v>82</v>
      </c>
      <c r="B85" t="s">
        <v>1040</v>
      </c>
      <c r="C85" s="236" t="s">
        <v>519</v>
      </c>
      <c r="D85" t="s">
        <v>716</v>
      </c>
      <c r="E85" t="s">
        <v>666</v>
      </c>
      <c r="F85" s="1" t="str">
        <f>"PURPOSE: "&amp;G85&amp;CHAR(10)&amp;CHAR(10)&amp;"ACTION: "&amp;H85&amp;CHAR(10)&amp;CHAR(10)&amp;"NOTE: "&amp;I85</f>
        <v>PURPOSE: Defines the Carbon Content Transfer Coefficient for calculations
ACTION: Enter numerical value in specified unit
NOTE: Required for system calculations. Must be positive value. Used in MFA calculations.</v>
      </c>
      <c r="G85" t="s">
        <v>980</v>
      </c>
      <c r="H85" t="s">
        <v>939</v>
      </c>
      <c r="I85" t="s">
        <v>940</v>
      </c>
    </row>
    <row r="86" spans="1:9" ht="75" x14ac:dyDescent="0.25">
      <c r="A86">
        <v>83</v>
      </c>
      <c r="B86" t="s">
        <v>1040</v>
      </c>
      <c r="C86" s="236" t="s">
        <v>508</v>
      </c>
      <c r="D86" t="s">
        <v>782</v>
      </c>
      <c r="E86" t="s">
        <v>783</v>
      </c>
      <c r="F86" s="1" t="str">
        <f>"PURPOSE: "&amp;G86&amp;CHAR(10)&amp;CHAR(10)&amp;"ACTION: "&amp;H86&amp;CHAR(10)&amp;CHAR(10)&amp;"NOTE: "&amp;I86</f>
        <v>PURPOSE: Data field for Titel in 2_3_static_TCs
ACTION: Enter appropriate value for Titel
NOTE: Please refer to BioDYM documentation for specific requirements.</v>
      </c>
      <c r="G86" t="s">
        <v>981</v>
      </c>
      <c r="H86" t="s">
        <v>785</v>
      </c>
      <c r="I86" t="s">
        <v>905</v>
      </c>
    </row>
    <row r="87" spans="1:9" ht="75" x14ac:dyDescent="0.25">
      <c r="A87">
        <v>84</v>
      </c>
      <c r="B87" t="s">
        <v>1040</v>
      </c>
      <c r="C87" s="236" t="s">
        <v>25</v>
      </c>
      <c r="D87" t="s">
        <v>784</v>
      </c>
      <c r="E87" t="s">
        <v>785</v>
      </c>
      <c r="F87" s="1" t="str">
        <f>"PURPOSE: "&amp;G87&amp;CHAR(10)&amp;CHAR(10)&amp;"ACTION: "&amp;H87&amp;CHAR(10)&amp;CHAR(10)&amp;"NOTE: "&amp;I87</f>
        <v>PURPOSE: Data field for Year_publication in 2_3_static_TCs
ACTION: Enter appropriate value for Year_publication
NOTE: Please refer to BioDYM documentation for specific requirements.</v>
      </c>
      <c r="G87" t="s">
        <v>982</v>
      </c>
      <c r="H87" t="s">
        <v>787</v>
      </c>
      <c r="I87" t="s">
        <v>905</v>
      </c>
    </row>
    <row r="88" spans="1:9" ht="75" x14ac:dyDescent="0.25">
      <c r="A88">
        <v>85</v>
      </c>
      <c r="B88" t="s">
        <v>1040</v>
      </c>
      <c r="C88" s="236" t="s">
        <v>586</v>
      </c>
      <c r="D88" t="s">
        <v>786</v>
      </c>
      <c r="E88" t="s">
        <v>787</v>
      </c>
      <c r="F88" s="1" t="str">
        <f>"PURPOSE: "&amp;G88&amp;CHAR(10)&amp;CHAR(10)&amp;"ACTION: "&amp;H88&amp;CHAR(10)&amp;CHAR(10)&amp;"NOTE: "&amp;I88</f>
        <v>PURPOSE: Data field for Author in 2_3_static_TCs
ACTION: Enter appropriate value for Author
NOTE: Please refer to BioDYM documentation for specific requirements.</v>
      </c>
      <c r="G88" t="s">
        <v>983</v>
      </c>
      <c r="H88" t="s">
        <v>789</v>
      </c>
      <c r="I88" t="s">
        <v>905</v>
      </c>
    </row>
    <row r="89" spans="1:9" ht="75" x14ac:dyDescent="0.25">
      <c r="A89">
        <v>86</v>
      </c>
      <c r="B89" t="s">
        <v>1040</v>
      </c>
      <c r="C89" s="145" t="s">
        <v>2</v>
      </c>
      <c r="D89" t="s">
        <v>788</v>
      </c>
      <c r="E89" t="s">
        <v>789</v>
      </c>
      <c r="F89" s="1" t="str">
        <f>"PURPOSE: "&amp;G89&amp;CHAR(10)&amp;CHAR(10)&amp;"ACTION: "&amp;H89&amp;CHAR(10)&amp;CHAR(10)&amp;"NOTE: "&amp;I89</f>
        <v>PURPOSE: Data field for Type_of_the_Study in 2_3_static_TCs
ACTION: Enter appropriate value for Type_of_the_Study
NOTE: Please refer to BioDYM documentation for specific requirements.</v>
      </c>
      <c r="G89" t="s">
        <v>984</v>
      </c>
      <c r="H89" t="s">
        <v>791</v>
      </c>
      <c r="I89" t="s">
        <v>905</v>
      </c>
    </row>
    <row r="90" spans="1:9" ht="75" x14ac:dyDescent="0.25">
      <c r="A90">
        <v>87</v>
      </c>
      <c r="B90" t="s">
        <v>1040</v>
      </c>
      <c r="C90" s="145" t="s">
        <v>587</v>
      </c>
      <c r="D90" t="s">
        <v>790</v>
      </c>
      <c r="E90" t="s">
        <v>791</v>
      </c>
      <c r="F90" s="1" t="str">
        <f>"PURPOSE: "&amp;G90&amp;CHAR(10)&amp;CHAR(10)&amp;"ACTION: "&amp;H90&amp;CHAR(10)&amp;CHAR(10)&amp;"NOTE: "&amp;I90</f>
        <v>PURPOSE: Data field for URL in 2_3_static_TCs
ACTION: Enter appropriate value for URL
NOTE: Please refer to BioDYM documentation for specific requirements.</v>
      </c>
      <c r="G90" t="s">
        <v>985</v>
      </c>
      <c r="H90" t="s">
        <v>723</v>
      </c>
      <c r="I90" t="s">
        <v>905</v>
      </c>
    </row>
    <row r="91" spans="1:9" ht="75.75" thickBot="1" x14ac:dyDescent="0.3">
      <c r="A91">
        <v>88</v>
      </c>
      <c r="B91" t="s">
        <v>1040</v>
      </c>
      <c r="C91" s="145" t="s">
        <v>3</v>
      </c>
      <c r="D91" t="s">
        <v>722</v>
      </c>
      <c r="E91" t="s">
        <v>723</v>
      </c>
      <c r="F91" s="1" t="str">
        <f>"PURPOSE: "&amp;G91&amp;CHAR(10)&amp;CHAR(10)&amp;"ACTION: "&amp;H91&amp;CHAR(10)&amp;CHAR(10)&amp;"NOTE: "&amp;I91</f>
        <v>PURPOSE: Flag this row as 100% complete for reporting and filtering purposes
ACTION: Click to select
NOTE: This input is optional. Leave blank if the process is ongoing. Used for progress tracking.</v>
      </c>
      <c r="G91" t="s">
        <v>956</v>
      </c>
      <c r="H91" t="s">
        <v>957</v>
      </c>
      <c r="I91" t="s">
        <v>958</v>
      </c>
    </row>
    <row r="92" spans="1:9" ht="75.75" thickBot="1" x14ac:dyDescent="0.3">
      <c r="A92">
        <v>89</v>
      </c>
      <c r="B92" s="172" t="s">
        <v>1041</v>
      </c>
      <c r="C92" s="170" t="s">
        <v>41</v>
      </c>
      <c r="D92" t="s">
        <v>759</v>
      </c>
      <c r="E92" t="s">
        <v>760</v>
      </c>
      <c r="F92" s="1" t="str">
        <f>"PURPOSE: "&amp;G92&amp;CHAR(10)&amp;CHAR(10)&amp;"ACTION: "&amp;H92&amp;CHAR(10)&amp;CHAR(10)&amp;"NOTE: "&amp;I92</f>
        <v>PURPOSE: Unique identifier for data row
ACTION: Automatically assigned
NOTE: This field is generated automatically. No manual input required. Used for system identification and linking.</v>
      </c>
      <c r="G92" t="s">
        <v>882</v>
      </c>
      <c r="H92" t="s">
        <v>883</v>
      </c>
      <c r="I92" t="s">
        <v>884</v>
      </c>
    </row>
    <row r="93" spans="1:9" ht="75.75" thickBot="1" x14ac:dyDescent="0.3">
      <c r="A93">
        <v>90</v>
      </c>
      <c r="B93" s="172" t="s">
        <v>1041</v>
      </c>
      <c r="C93" s="171" t="s">
        <v>19</v>
      </c>
      <c r="D93" t="s">
        <v>665</v>
      </c>
      <c r="E93" t="s">
        <v>666</v>
      </c>
      <c r="F93" s="1" t="str">
        <f>"PURPOSE: "&amp;G93&amp;CHAR(10)&amp;CHAR(10)&amp;"ACTION: "&amp;H93&amp;CHAR(10)&amp;CHAR(10)&amp;"NOTE: "&amp;I93</f>
        <v>PURPOSE: Unique identifier for process
ACTION: Automatically assigned
NOTE: This field is generated automatically. No manual input required. Used for system identification and linking.</v>
      </c>
      <c r="G93" t="s">
        <v>959</v>
      </c>
      <c r="H93" t="s">
        <v>883</v>
      </c>
      <c r="I93" t="s">
        <v>884</v>
      </c>
    </row>
    <row r="94" spans="1:9" ht="75.75" thickBot="1" x14ac:dyDescent="0.3">
      <c r="A94">
        <v>91</v>
      </c>
      <c r="B94" s="172" t="s">
        <v>1041</v>
      </c>
      <c r="C94" s="171" t="s">
        <v>38</v>
      </c>
      <c r="D94" t="s">
        <v>761</v>
      </c>
      <c r="E94" t="s">
        <v>666</v>
      </c>
      <c r="F94" s="1" t="str">
        <f>"PURPOSE: "&amp;G94&amp;CHAR(10)&amp;CHAR(10)&amp;"ACTION: "&amp;H94&amp;CHAR(10)&amp;CHAR(10)&amp;"NOTE: "&amp;I94</f>
        <v>PURPOSE: Defines the Process Name for identification and visualization
ACTION: Enter a comprehensive Process Name name (e.g., "Forestry, Sawmill, Drying, Combustion")
NOTE: Select a unique comprehensive name, which is displayed within the entire system. Use descriptive names for clarity.</v>
      </c>
      <c r="G94" t="s">
        <v>960</v>
      </c>
      <c r="H94" t="s">
        <v>961</v>
      </c>
      <c r="I94" t="s">
        <v>888</v>
      </c>
    </row>
    <row r="95" spans="1:9" ht="75.75" thickBot="1" x14ac:dyDescent="0.3">
      <c r="A95">
        <v>92</v>
      </c>
      <c r="B95" s="172" t="s">
        <v>1041</v>
      </c>
      <c r="C95" s="171" t="s">
        <v>541</v>
      </c>
      <c r="D95" t="s">
        <v>762</v>
      </c>
      <c r="E95" t="s">
        <v>763</v>
      </c>
      <c r="F95" s="1" t="str">
        <f>"PURPOSE: "&amp;G95&amp;CHAR(10)&amp;CHAR(10)&amp;"ACTION: "&amp;H95&amp;CHAR(10)&amp;CHAR(10)&amp;"NOTE: "&amp;I95</f>
        <v>PURPOSE: Data field for Output_Flow in 2_4_dynamic_TCs
ACTION: Enter appropriate value for Output_Flow
NOTE: Please refer to BioDYM documentation for specific requirements.</v>
      </c>
      <c r="G95" t="s">
        <v>986</v>
      </c>
      <c r="H95" t="s">
        <v>774</v>
      </c>
      <c r="I95" t="s">
        <v>905</v>
      </c>
    </row>
    <row r="96" spans="1:9" ht="75" x14ac:dyDescent="0.25">
      <c r="A96">
        <v>93</v>
      </c>
      <c r="B96" s="172" t="s">
        <v>1041</v>
      </c>
      <c r="C96" s="171" t="s">
        <v>199</v>
      </c>
      <c r="D96" t="s">
        <v>773</v>
      </c>
      <c r="E96" t="s">
        <v>774</v>
      </c>
      <c r="F96" s="1" t="str">
        <f>"PURPOSE: "&amp;G96&amp;CHAR(10)&amp;CHAR(10)&amp;"ACTION: "&amp;H96&amp;CHAR(10)&amp;CHAR(10)&amp;"NOTE: "&amp;I96</f>
        <v>PURPOSE: Defines the Transfer Coefficient Configuration configuration for system behavior
ACTION: Select from: Static (constant TCs), Dynamic (time-varying TCs), None (no TCs)
NOTE: This setting affects how the system processes this process. Static: Same TC value over time. Dynamic: TC changes by year. None: Skip TC calculations.</v>
      </c>
      <c r="G96" t="s">
        <v>967</v>
      </c>
      <c r="H96" t="s">
        <v>968</v>
      </c>
      <c r="I96" t="s">
        <v>969</v>
      </c>
    </row>
    <row r="97" spans="1:9" ht="75" x14ac:dyDescent="0.25">
      <c r="A97">
        <v>94</v>
      </c>
      <c r="B97" s="172" t="s">
        <v>1041</v>
      </c>
      <c r="C97" s="145" t="s">
        <v>579</v>
      </c>
      <c r="D97" t="s">
        <v>768</v>
      </c>
      <c r="E97" t="s">
        <v>769</v>
      </c>
      <c r="F97" s="1" t="str">
        <f>"PURPOSE: "&amp;G97&amp;CHAR(10)&amp;CHAR(10)&amp;"ACTION: "&amp;H97&amp;CHAR(10)&amp;CHAR(10)&amp;"NOTE: "&amp;I97</f>
        <v>PURPOSE: Defines the Process Logic Type configuration for system behavior
ACTION: Select from: Input (receives only), Output (produces only), Pass-through (no transformation), Transformation (converts materials)
NOTE: This setting affects how the system processes this process. Splitter processes: Use Material TCs only. Transformer processes: Use elemental TCs (WC, DM, CC).</v>
      </c>
      <c r="G97" t="s">
        <v>964</v>
      </c>
      <c r="H97" t="s">
        <v>965</v>
      </c>
      <c r="I97" t="s">
        <v>966</v>
      </c>
    </row>
    <row r="98" spans="1:9" ht="75" x14ac:dyDescent="0.25">
      <c r="A98">
        <v>95</v>
      </c>
      <c r="B98" s="172" t="s">
        <v>1041</v>
      </c>
      <c r="C98" s="145" t="s">
        <v>503</v>
      </c>
      <c r="D98" t="s">
        <v>766</v>
      </c>
      <c r="E98" t="s">
        <v>767</v>
      </c>
      <c r="F98" s="1" t="str">
        <f>"PURPOSE: "&amp;G98&amp;CHAR(10)&amp;CHAR(10)&amp;"ACTION: "&amp;H98&amp;CHAR(10)&amp;CHAR(10)&amp;"NOTE: "&amp;I98</f>
        <v>PURPOSE: Unique identifier for material flow
ACTION: Automatically assigned
NOTE: This field is generated automatically. No manual input required. Used for system identification and linking.</v>
      </c>
      <c r="G98" t="s">
        <v>885</v>
      </c>
      <c r="H98" t="s">
        <v>883</v>
      </c>
      <c r="I98" t="s">
        <v>884</v>
      </c>
    </row>
    <row r="99" spans="1:9" ht="75" x14ac:dyDescent="0.25">
      <c r="A99">
        <v>96</v>
      </c>
      <c r="B99" s="172" t="s">
        <v>1041</v>
      </c>
      <c r="C99" s="145" t="s">
        <v>26</v>
      </c>
      <c r="D99" t="s">
        <v>667</v>
      </c>
      <c r="E99" t="s">
        <v>666</v>
      </c>
      <c r="F99" s="1" t="str">
        <f>"PURPOSE: "&amp;G99&amp;CHAR(10)&amp;CHAR(10)&amp;"ACTION: "&amp;H99&amp;CHAR(10)&amp;CHAR(10)&amp;"NOTE: "&amp;I99</f>
        <v>PURPOSE: Defines the Year (Dynamic TCs) for temporal data organization
ACTION: Enter year (e.g., 2020, 2021, 2022)
NOTE: Must be consistent with analysis time period. Used for time-series data organization.</v>
      </c>
      <c r="G99" t="s">
        <v>987</v>
      </c>
      <c r="H99" t="s">
        <v>919</v>
      </c>
      <c r="I99" t="s">
        <v>920</v>
      </c>
    </row>
    <row r="100" spans="1:9" ht="75" x14ac:dyDescent="0.25">
      <c r="A100">
        <v>97</v>
      </c>
      <c r="B100" s="172" t="s">
        <v>1041</v>
      </c>
      <c r="C100" s="145" t="s">
        <v>0</v>
      </c>
      <c r="D100" t="s">
        <v>792</v>
      </c>
      <c r="E100" t="s">
        <v>793</v>
      </c>
      <c r="F100" s="1" t="str">
        <f>"PURPOSE: "&amp;G100&amp;CHAR(10)&amp;CHAR(10)&amp;"ACTION: "&amp;H100&amp;CHAR(10)&amp;CHAR(10)&amp;"NOTE: "&amp;I100</f>
        <v>PURPOSE: Unique identifier for transfer coefficient material
ACTION: Automatically assigned
NOTE: This field is generated automatically. No manual input required. Used for system identification and linking.</v>
      </c>
      <c r="G100" t="s">
        <v>975</v>
      </c>
      <c r="H100" t="s">
        <v>883</v>
      </c>
      <c r="I100" t="s">
        <v>884</v>
      </c>
    </row>
    <row r="101" spans="1:9" ht="75" x14ac:dyDescent="0.25">
      <c r="A101">
        <v>98</v>
      </c>
      <c r="B101" s="172" t="s">
        <v>1041</v>
      </c>
      <c r="C101" s="236" t="s">
        <v>516</v>
      </c>
      <c r="D101" t="s">
        <v>775</v>
      </c>
      <c r="E101" t="s">
        <v>666</v>
      </c>
      <c r="F101" s="1" t="str">
        <f>"PURPOSE: "&amp;G101&amp;CHAR(10)&amp;CHAR(10)&amp;"ACTION: "&amp;H101&amp;CHAR(10)&amp;CHAR(10)&amp;"NOTE: "&amp;I101</f>
        <v>PURPOSE: Defines the Transfer Coefficient Value for calculations
ACTION: Enter numerical value in specified unit
NOTE: Required for system calculations. Must be positive value. Used in MFA calculations.</v>
      </c>
      <c r="G101" t="s">
        <v>976</v>
      </c>
      <c r="H101" t="s">
        <v>939</v>
      </c>
      <c r="I101" t="s">
        <v>940</v>
      </c>
    </row>
    <row r="102" spans="1:9" ht="75" x14ac:dyDescent="0.25">
      <c r="A102">
        <v>99</v>
      </c>
      <c r="B102" s="172" t="s">
        <v>1041</v>
      </c>
      <c r="C102" s="236" t="s">
        <v>511</v>
      </c>
      <c r="D102" t="s">
        <v>776</v>
      </c>
      <c r="E102" t="s">
        <v>777</v>
      </c>
      <c r="F102" s="1" t="str">
        <f>"PURPOSE: "&amp;G102&amp;CHAR(10)&amp;CHAR(10)&amp;"ACTION: "&amp;H102&amp;CHAR(10)&amp;CHAR(10)&amp;"NOTE: "&amp;I102</f>
        <v>PURPOSE: Unique identifier for {context}
ACTION: Automatically assigned
NOTE: This field is generated automatically. No manual input required. Used for system identification and linking.</v>
      </c>
      <c r="G102" t="s">
        <v>977</v>
      </c>
      <c r="H102" t="s">
        <v>883</v>
      </c>
      <c r="I102" t="s">
        <v>884</v>
      </c>
    </row>
    <row r="103" spans="1:9" ht="75" x14ac:dyDescent="0.25">
      <c r="A103">
        <v>100</v>
      </c>
      <c r="B103" s="172" t="s">
        <v>1041</v>
      </c>
      <c r="C103" s="236" t="s">
        <v>517</v>
      </c>
      <c r="D103" t="s">
        <v>716</v>
      </c>
      <c r="E103" t="s">
        <v>666</v>
      </c>
      <c r="F103" s="1" t="str">
        <f>"PURPOSE: "&amp;G103&amp;CHAR(10)&amp;CHAR(10)&amp;"ACTION: "&amp;H103&amp;CHAR(10)&amp;CHAR(10)&amp;"NOTE: "&amp;I103</f>
        <v>PURPOSE: Defines the Water Content Transfer Coefficient for calculations
ACTION: Enter numerical value in specified unit
NOTE: Required for system calculations. Must be positive value. Used in MFA calculations.</v>
      </c>
      <c r="G103" t="s">
        <v>978</v>
      </c>
      <c r="H103" t="s">
        <v>939</v>
      </c>
      <c r="I103" t="s">
        <v>940</v>
      </c>
    </row>
    <row r="104" spans="1:9" ht="75" x14ac:dyDescent="0.25">
      <c r="A104">
        <v>101</v>
      </c>
      <c r="B104" s="172" t="s">
        <v>1041</v>
      </c>
      <c r="C104" s="236" t="s">
        <v>506</v>
      </c>
      <c r="D104" t="s">
        <v>778</v>
      </c>
      <c r="E104" t="s">
        <v>779</v>
      </c>
      <c r="F104" s="1" t="str">
        <f>"PURPOSE: "&amp;G104&amp;CHAR(10)&amp;CHAR(10)&amp;"ACTION: "&amp;H104&amp;CHAR(10)&amp;CHAR(10)&amp;"NOTE: "&amp;I104</f>
        <v>PURPOSE: Unique identifier for {context}
ACTION: Automatically assigned
NOTE: This field is generated automatically. No manual input required. Used for system identification and linking.</v>
      </c>
      <c r="G104" t="s">
        <v>977</v>
      </c>
      <c r="H104" t="s">
        <v>883</v>
      </c>
      <c r="I104" t="s">
        <v>884</v>
      </c>
    </row>
    <row r="105" spans="1:9" ht="75" x14ac:dyDescent="0.25">
      <c r="A105">
        <v>102</v>
      </c>
      <c r="B105" s="172" t="s">
        <v>1041</v>
      </c>
      <c r="C105" s="236" t="s">
        <v>518</v>
      </c>
      <c r="D105" t="s">
        <v>716</v>
      </c>
      <c r="E105" t="s">
        <v>666</v>
      </c>
      <c r="F105" s="1" t="str">
        <f>"PURPOSE: "&amp;G105&amp;CHAR(10)&amp;CHAR(10)&amp;"ACTION: "&amp;H105&amp;CHAR(10)&amp;CHAR(10)&amp;"NOTE: "&amp;I105</f>
        <v>PURPOSE: Defines the Dry Matter Transfer Coefficient for calculations
ACTION: Enter numerical value in specified unit
NOTE: Required for system calculations. Must be positive value. Used in MFA calculations.</v>
      </c>
      <c r="G105" t="s">
        <v>979</v>
      </c>
      <c r="H105" t="s">
        <v>939</v>
      </c>
      <c r="I105" t="s">
        <v>940</v>
      </c>
    </row>
    <row r="106" spans="1:9" ht="75" x14ac:dyDescent="0.25">
      <c r="A106">
        <v>103</v>
      </c>
      <c r="B106" s="172" t="s">
        <v>1041</v>
      </c>
      <c r="C106" s="145" t="s">
        <v>507</v>
      </c>
      <c r="D106" t="s">
        <v>780</v>
      </c>
      <c r="E106" t="s">
        <v>781</v>
      </c>
      <c r="F106" s="1" t="str">
        <f>"PURPOSE: "&amp;G106&amp;CHAR(10)&amp;CHAR(10)&amp;"ACTION: "&amp;H106&amp;CHAR(10)&amp;CHAR(10)&amp;"NOTE: "&amp;I106</f>
        <v>PURPOSE: Unique identifier for {context}
ACTION: Automatically assigned
NOTE: This field is generated automatically. No manual input required. Used for system identification and linking.</v>
      </c>
      <c r="G106" t="s">
        <v>977</v>
      </c>
      <c r="H106" t="s">
        <v>883</v>
      </c>
      <c r="I106" t="s">
        <v>884</v>
      </c>
    </row>
    <row r="107" spans="1:9" ht="75" x14ac:dyDescent="0.25">
      <c r="A107">
        <v>104</v>
      </c>
      <c r="B107" s="172" t="s">
        <v>1041</v>
      </c>
      <c r="C107" s="236" t="s">
        <v>519</v>
      </c>
      <c r="D107" t="s">
        <v>716</v>
      </c>
      <c r="E107" t="s">
        <v>666</v>
      </c>
      <c r="F107" s="1" t="str">
        <f>"PURPOSE: "&amp;G107&amp;CHAR(10)&amp;CHAR(10)&amp;"ACTION: "&amp;H107&amp;CHAR(10)&amp;CHAR(10)&amp;"NOTE: "&amp;I107</f>
        <v>PURPOSE: Defines the Carbon Content Transfer Coefficient for calculations
ACTION: Enter numerical value in specified unit
NOTE: Required for system calculations. Must be positive value. Used in MFA calculations.</v>
      </c>
      <c r="G107" t="s">
        <v>980</v>
      </c>
      <c r="H107" t="s">
        <v>939</v>
      </c>
      <c r="I107" t="s">
        <v>940</v>
      </c>
    </row>
    <row r="108" spans="1:9" ht="75.75" thickBot="1" x14ac:dyDescent="0.3">
      <c r="A108">
        <v>105</v>
      </c>
      <c r="B108" s="172" t="s">
        <v>1041</v>
      </c>
      <c r="C108" s="145" t="s">
        <v>508</v>
      </c>
      <c r="D108" t="s">
        <v>782</v>
      </c>
      <c r="E108" t="s">
        <v>783</v>
      </c>
      <c r="F108" s="1" t="str">
        <f>"PURPOSE: "&amp;G108&amp;CHAR(10)&amp;CHAR(10)&amp;"ACTION: "&amp;H108&amp;CHAR(10)&amp;CHAR(10)&amp;"NOTE: "&amp;I108</f>
        <v>PURPOSE: Flag this row as 100% complete for reporting and filtering purposes
ACTION: Click to select
NOTE: This input is optional. Leave blank if the process is ongoing. Used for progress tracking.</v>
      </c>
      <c r="G108" t="s">
        <v>956</v>
      </c>
      <c r="H108" t="s">
        <v>957</v>
      </c>
      <c r="I108" t="s">
        <v>958</v>
      </c>
    </row>
    <row r="109" spans="1:9" ht="75.75" thickBot="1" x14ac:dyDescent="0.3">
      <c r="A109">
        <v>106</v>
      </c>
      <c r="B109" s="172" t="s">
        <v>1042</v>
      </c>
      <c r="C109" s="170" t="s">
        <v>41</v>
      </c>
      <c r="D109" t="s">
        <v>759</v>
      </c>
      <c r="E109" t="s">
        <v>760</v>
      </c>
      <c r="F109" s="1" t="str">
        <f>"PURPOSE: "&amp;G109&amp;CHAR(10)&amp;CHAR(10)&amp;"ACTION: "&amp;H109&amp;CHAR(10)&amp;CHAR(10)&amp;"NOTE: "&amp;I109</f>
        <v>PURPOSE: Unique identifier for data row
ACTION: Automatically assigned
NOTE: This field is generated automatically. No manual input required. Used for system identification and linking.</v>
      </c>
      <c r="G109" t="s">
        <v>882</v>
      </c>
      <c r="H109" t="s">
        <v>883</v>
      </c>
      <c r="I109" t="s">
        <v>884</v>
      </c>
    </row>
    <row r="110" spans="1:9" ht="75.75" thickBot="1" x14ac:dyDescent="0.3">
      <c r="A110">
        <v>107</v>
      </c>
      <c r="B110" s="172" t="s">
        <v>1042</v>
      </c>
      <c r="C110" s="171" t="s">
        <v>19</v>
      </c>
      <c r="D110" t="s">
        <v>665</v>
      </c>
      <c r="E110" t="s">
        <v>666</v>
      </c>
      <c r="F110" s="1" t="str">
        <f>"PURPOSE: "&amp;G110&amp;CHAR(10)&amp;CHAR(10)&amp;"ACTION: "&amp;H110&amp;CHAR(10)&amp;CHAR(10)&amp;"NOTE: "&amp;I110</f>
        <v>PURPOSE: Unique identifier for {context}
ACTION: Automatically assigned
NOTE: This field is generated automatically. No manual input required. Used for system identification and linking.</v>
      </c>
      <c r="G110" t="s">
        <v>977</v>
      </c>
      <c r="H110" t="s">
        <v>883</v>
      </c>
      <c r="I110" t="s">
        <v>884</v>
      </c>
    </row>
    <row r="111" spans="1:9" ht="75.75" thickBot="1" x14ac:dyDescent="0.3">
      <c r="A111">
        <v>108</v>
      </c>
      <c r="B111" s="172" t="s">
        <v>1042</v>
      </c>
      <c r="C111" s="171" t="s">
        <v>42</v>
      </c>
      <c r="D111" t="s">
        <v>716</v>
      </c>
      <c r="E111" t="s">
        <v>666</v>
      </c>
      <c r="F111" s="1" t="str">
        <f>"PURPOSE: "&amp;G111&amp;CHAR(10)&amp;CHAR(10)&amp;"ACTION: "&amp;H111&amp;CHAR(10)&amp;CHAR(10)&amp;"NOTE: "&amp;I111</f>
        <v>PURPOSE: Unique identifier for process
ACTION: Automatically assigned
NOTE: This field is generated automatically. No manual input required. Used for system identification and linking.</v>
      </c>
      <c r="G111" t="s">
        <v>959</v>
      </c>
      <c r="H111" t="s">
        <v>883</v>
      </c>
      <c r="I111" t="s">
        <v>884</v>
      </c>
    </row>
    <row r="112" spans="1:9" ht="75.75" thickBot="1" x14ac:dyDescent="0.3">
      <c r="A112">
        <v>109</v>
      </c>
      <c r="B112" s="172" t="s">
        <v>1042</v>
      </c>
      <c r="C112" s="171" t="s">
        <v>38</v>
      </c>
      <c r="D112" t="s">
        <v>761</v>
      </c>
      <c r="E112" t="s">
        <v>666</v>
      </c>
      <c r="F112" s="1" t="str">
        <f>"PURPOSE: "&amp;G112&amp;CHAR(10)&amp;CHAR(10)&amp;"ACTION: "&amp;H112&amp;CHAR(10)&amp;CHAR(10)&amp;"NOTE: "&amp;I112</f>
        <v>PURPOSE: Defines the Process Name for identification and visualization
ACTION: Enter a comprehensive Process Name name (e.g., "Forestry, Sawmill, Drying, Combustion")
NOTE: Select a unique comprehensive name, which is displayed within the entire system. Use descriptive names for clarity.</v>
      </c>
      <c r="G112" t="s">
        <v>960</v>
      </c>
      <c r="H112" t="s">
        <v>961</v>
      </c>
      <c r="I112" t="s">
        <v>888</v>
      </c>
    </row>
    <row r="113" spans="1:9" ht="75.75" thickBot="1" x14ac:dyDescent="0.3">
      <c r="A113">
        <v>110</v>
      </c>
      <c r="B113" s="172" t="s">
        <v>1042</v>
      </c>
      <c r="C113" s="171" t="s">
        <v>541</v>
      </c>
      <c r="D113" t="s">
        <v>762</v>
      </c>
      <c r="E113" t="s">
        <v>763</v>
      </c>
      <c r="F113" s="1" t="str">
        <f>"PURPOSE: "&amp;G113&amp;CHAR(10)&amp;CHAR(10)&amp;"ACTION: "&amp;H113&amp;CHAR(10)&amp;CHAR(10)&amp;"NOTE: "&amp;I113</f>
        <v>PURPOSE: Defines the Process Logic Type configuration for system behavior
ACTION: Select from: Input (receives only), Output (produces only), Pass-through (no transformation), Transformation (converts materials)
NOTE: This setting affects how the system processes this process. Splitter processes: Use Material TCs only. Transformer processes: Use elemental TCs (WC, DM, CC).</v>
      </c>
      <c r="G113" t="s">
        <v>964</v>
      </c>
      <c r="H113" t="s">
        <v>965</v>
      </c>
      <c r="I113" t="s">
        <v>966</v>
      </c>
    </row>
    <row r="114" spans="1:9" ht="75" x14ac:dyDescent="0.25">
      <c r="A114">
        <v>111</v>
      </c>
      <c r="B114" s="172" t="s">
        <v>1042</v>
      </c>
      <c r="C114" s="171" t="s">
        <v>503</v>
      </c>
      <c r="D114" t="s">
        <v>766</v>
      </c>
      <c r="E114" t="s">
        <v>767</v>
      </c>
      <c r="F114" s="1" t="str">
        <f>"PURPOSE: "&amp;G114&amp;CHAR(10)&amp;CHAR(10)&amp;"ACTION: "&amp;H114&amp;CHAR(10)&amp;CHAR(10)&amp;"NOTE: "&amp;I114</f>
        <v>PURPOSE: Defines the Transfer Coefficient Configuration configuration for system behavior
ACTION: Select from: Static (constant TCs), Dynamic (time-varying TCs), None (no TCs)
NOTE: This setting affects how the system processes this process. Static: Same TC value over time. Dynamic: TC changes by year. None: Skip TC calculations.</v>
      </c>
      <c r="G114" t="s">
        <v>967</v>
      </c>
      <c r="H114" t="s">
        <v>968</v>
      </c>
      <c r="I114" t="s">
        <v>969</v>
      </c>
    </row>
    <row r="115" spans="1:9" ht="75" x14ac:dyDescent="0.25">
      <c r="A115">
        <v>112</v>
      </c>
      <c r="B115" s="172" t="s">
        <v>1042</v>
      </c>
      <c r="C115" s="145" t="s">
        <v>579</v>
      </c>
      <c r="D115" t="s">
        <v>768</v>
      </c>
      <c r="E115" t="s">
        <v>769</v>
      </c>
      <c r="F115" s="1" t="str">
        <f>"PURPOSE: "&amp;G115&amp;CHAR(10)&amp;CHAR(10)&amp;"ACTION: "&amp;H115&amp;CHAR(10)&amp;CHAR(10)&amp;"NOTE: "&amp;I115</f>
        <v>PURPOSE: Defines the Stock Configuration configuration for system behavior
ACTION: Select from: Stock (maintains material stocks), None (no stocks)
NOTE: This setting affects how the system processes this process. Stock: Creates stock equations for material accumulation. None: No stock calculations.</v>
      </c>
      <c r="G115" t="s">
        <v>970</v>
      </c>
      <c r="H115" t="s">
        <v>971</v>
      </c>
      <c r="I115" t="s">
        <v>972</v>
      </c>
    </row>
    <row r="116" spans="1:9" ht="75" x14ac:dyDescent="0.25">
      <c r="A116">
        <v>113</v>
      </c>
      <c r="B116" s="172" t="s">
        <v>1042</v>
      </c>
      <c r="C116" s="145" t="s">
        <v>580</v>
      </c>
      <c r="D116" t="s">
        <v>770</v>
      </c>
      <c r="E116" t="s">
        <v>771</v>
      </c>
      <c r="F116" s="1" t="str">
        <f>"PURPOSE: "&amp;G116&amp;CHAR(10)&amp;CHAR(10)&amp;"ACTION: "&amp;H116&amp;CHAR(10)&amp;CHAR(10)&amp;"NOTE: "&amp;I116</f>
        <v>PURPOSE: Defines the Initial Stock Material Amount for calculations
ACTION: Enter numerical value in specified unit
NOTE: Required for system calculations. Must be positive value. Used in MFA calculations.</v>
      </c>
      <c r="G116" t="s">
        <v>988</v>
      </c>
      <c r="H116" t="s">
        <v>939</v>
      </c>
      <c r="I116" t="s">
        <v>940</v>
      </c>
    </row>
    <row r="117" spans="1:9" ht="75" x14ac:dyDescent="0.25">
      <c r="A117">
        <v>114</v>
      </c>
      <c r="B117" s="172" t="s">
        <v>1042</v>
      </c>
      <c r="C117" s="145" t="s">
        <v>201</v>
      </c>
      <c r="D117" t="s">
        <v>794</v>
      </c>
      <c r="E117" t="s">
        <v>795</v>
      </c>
      <c r="F117" s="1" t="str">
        <f>"PURPOSE: "&amp;G117&amp;CHAR(10)&amp;CHAR(10)&amp;"ACTION: "&amp;H117&amp;CHAR(10)&amp;CHAR(10)&amp;"NOTE: "&amp;I117</f>
        <v>PURPOSE: Data field for UoM in 2_5_Initial_Stock
ACTION: Enter appropriate value for UoM
NOTE: Please refer to BioDYM documentation for specific requirements.</v>
      </c>
      <c r="G117" t="s">
        <v>989</v>
      </c>
      <c r="H117" t="s">
        <v>797</v>
      </c>
      <c r="I117" t="s">
        <v>905</v>
      </c>
    </row>
    <row r="118" spans="1:9" ht="75" x14ac:dyDescent="0.25">
      <c r="A118">
        <v>115</v>
      </c>
      <c r="B118" s="172" t="s">
        <v>1042</v>
      </c>
      <c r="C118" s="145" t="s">
        <v>1</v>
      </c>
      <c r="D118" t="s">
        <v>796</v>
      </c>
      <c r="E118" t="s">
        <v>797</v>
      </c>
      <c r="F118" s="1" t="str">
        <f>"PURPOSE: "&amp;G118&amp;CHAR(10)&amp;CHAR(10)&amp;"ACTION: "&amp;H118&amp;CHAR(10)&amp;CHAR(10)&amp;"NOTE: "&amp;I118</f>
        <v>PURPOSE: Defines the water content content percentage for element composition calculation
ACTION: Enter percentage value (0-100%)
NOTE: Used for element flow calculations. Typical values: Fresh biomass: 40-60%, Dry biomass: 10-20%. Tip: Required for element composition calculation.</v>
      </c>
      <c r="G118" t="s">
        <v>942</v>
      </c>
      <c r="H118" t="s">
        <v>913</v>
      </c>
      <c r="I118" t="s">
        <v>990</v>
      </c>
    </row>
    <row r="119" spans="1:9" ht="75" x14ac:dyDescent="0.25">
      <c r="A119">
        <v>116</v>
      </c>
      <c r="B119" s="172" t="s">
        <v>1042</v>
      </c>
      <c r="C119" s="145" t="s">
        <v>202</v>
      </c>
      <c r="D119" t="s">
        <v>798</v>
      </c>
      <c r="E119" t="s">
        <v>737</v>
      </c>
      <c r="F119" s="1" t="str">
        <f>"PURPOSE: "&amp;G119&amp;CHAR(10)&amp;CHAR(10)&amp;"ACTION: "&amp;H119&amp;CHAR(10)&amp;CHAR(10)&amp;"NOTE: "&amp;I119</f>
        <v>PURPOSE: Defines the dry matter content percentage for element composition calculation
ACTION: Enter percentage value (0-100%)
NOTE: Used for element flow calculations. Typical values: Fresh biomass: 40-60%, Dry biomass: 80-90%. Tip: Required for element composition calculation.</v>
      </c>
      <c r="G119" t="s">
        <v>947</v>
      </c>
      <c r="H119" t="s">
        <v>913</v>
      </c>
      <c r="I119" t="s">
        <v>991</v>
      </c>
    </row>
    <row r="120" spans="1:9" ht="75" x14ac:dyDescent="0.25">
      <c r="A120">
        <v>117</v>
      </c>
      <c r="B120" s="172" t="s">
        <v>1042</v>
      </c>
      <c r="C120" s="145" t="s">
        <v>203</v>
      </c>
      <c r="D120" t="s">
        <v>799</v>
      </c>
      <c r="E120" t="s">
        <v>745</v>
      </c>
      <c r="F120" s="1" t="str">
        <f>"PURPOSE: "&amp;G120&amp;CHAR(10)&amp;CHAR(10)&amp;"ACTION: "&amp;H120&amp;CHAR(10)&amp;CHAR(10)&amp;"NOTE: "&amp;I120</f>
        <v>PURPOSE: Defines the carbon content content percentage for element composition calculation
ACTION: Enter percentage value (0-100%)
NOTE: Used for element flow calculations. Typical values: Wood biomass: 45-50% of dry matter. Tip: Required for element composition calculation.</v>
      </c>
      <c r="G120" t="s">
        <v>912</v>
      </c>
      <c r="H120" t="s">
        <v>913</v>
      </c>
      <c r="I120" t="s">
        <v>992</v>
      </c>
    </row>
    <row r="121" spans="1:9" ht="75" x14ac:dyDescent="0.25">
      <c r="A121">
        <v>118</v>
      </c>
      <c r="B121" s="172" t="s">
        <v>1042</v>
      </c>
      <c r="C121" s="145" t="s">
        <v>204</v>
      </c>
      <c r="D121" t="s">
        <v>800</v>
      </c>
      <c r="E121" t="s">
        <v>697</v>
      </c>
      <c r="F121" s="1" t="str">
        <f>"PURPOSE: "&amp;G121&amp;CHAR(10)&amp;CHAR(10)&amp;"ACTION: "&amp;H121&amp;CHAR(10)&amp;CHAR(10)&amp;"NOTE: "&amp;I121</f>
        <v>PURPOSE: Defines the {field_type} for identification and visualization
ACTION: Enter a comprehensive {field_type} name (e.g., "{example}")
NOTE: Select a unique comprehensive name, which is displayed within the entire system. Use descriptive names for clarity.</v>
      </c>
      <c r="G121" t="s">
        <v>993</v>
      </c>
      <c r="H121" t="s">
        <v>994</v>
      </c>
      <c r="I121" t="s">
        <v>888</v>
      </c>
    </row>
    <row r="122" spans="1:9" ht="75" x14ac:dyDescent="0.25">
      <c r="A122">
        <v>119</v>
      </c>
      <c r="B122" s="172" t="s">
        <v>1042</v>
      </c>
      <c r="C122" s="145" t="s">
        <v>246</v>
      </c>
      <c r="D122" t="s">
        <v>716</v>
      </c>
      <c r="E122" t="s">
        <v>801</v>
      </c>
      <c r="F122" s="1" t="str">
        <f>"PURPOSE: "&amp;G122&amp;CHAR(10)&amp;CHAR(10)&amp;"ACTION: "&amp;H122&amp;CHAR(10)&amp;CHAR(10)&amp;"NOTE: "&amp;I122</f>
        <v>PURPOSE: Data field for Destination_Process in 2_5_Initial_Stock
ACTION: Enter appropriate value for Destination_Process
NOTE: Please refer to BioDYM documentation for specific requirements.</v>
      </c>
      <c r="G122" t="s">
        <v>995</v>
      </c>
      <c r="H122" t="s">
        <v>803</v>
      </c>
      <c r="I122" t="s">
        <v>905</v>
      </c>
    </row>
    <row r="123" spans="1:9" ht="75" x14ac:dyDescent="0.25">
      <c r="A123">
        <v>120</v>
      </c>
      <c r="B123" s="172" t="s">
        <v>1042</v>
      </c>
      <c r="C123" s="145" t="s">
        <v>245</v>
      </c>
      <c r="D123" t="s">
        <v>802</v>
      </c>
      <c r="E123" t="s">
        <v>803</v>
      </c>
      <c r="F123" s="1" t="str">
        <f>"PURPOSE: "&amp;G123&amp;CHAR(10)&amp;CHAR(10)&amp;"ACTION: "&amp;H123&amp;CHAR(10)&amp;CHAR(10)&amp;"NOTE: "&amp;I123</f>
        <v>PURPOSE: Data field for Destination_Flow in 2_5_Initial_Stock
ACTION: Enter appropriate value for Destination_Flow
NOTE: Please refer to BioDYM documentation for specific requirements.</v>
      </c>
      <c r="G123" t="s">
        <v>996</v>
      </c>
      <c r="H123" t="s">
        <v>805</v>
      </c>
      <c r="I123" t="s">
        <v>905</v>
      </c>
    </row>
    <row r="124" spans="1:9" ht="75" x14ac:dyDescent="0.25">
      <c r="A124">
        <v>121</v>
      </c>
      <c r="B124" s="172" t="s">
        <v>1042</v>
      </c>
      <c r="C124" s="145" t="s">
        <v>244</v>
      </c>
      <c r="D124" t="s">
        <v>804</v>
      </c>
      <c r="E124" t="s">
        <v>805</v>
      </c>
      <c r="F124" s="1" t="str">
        <f>"PURPOSE: "&amp;G124&amp;CHAR(10)&amp;CHAR(10)&amp;"ACTION: "&amp;H124&amp;CHAR(10)&amp;CHAR(10)&amp;"NOTE: "&amp;I124</f>
        <v>PURPOSE: Unique identifier for material flow
ACTION: Automatically assigned
NOTE: This field is generated automatically. No manual input required. Used for system identification and linking.</v>
      </c>
      <c r="G124" t="s">
        <v>885</v>
      </c>
      <c r="H124" t="s">
        <v>883</v>
      </c>
      <c r="I124" t="s">
        <v>884</v>
      </c>
    </row>
    <row r="125" spans="1:9" ht="75" x14ac:dyDescent="0.25">
      <c r="A125">
        <v>122</v>
      </c>
      <c r="B125" s="172" t="s">
        <v>1042</v>
      </c>
      <c r="C125" s="236" t="s">
        <v>26</v>
      </c>
      <c r="D125" t="s">
        <v>667</v>
      </c>
      <c r="E125" t="s">
        <v>666</v>
      </c>
      <c r="F125" s="1" t="str">
        <f>"PURPOSE: "&amp;G125&amp;CHAR(10)&amp;CHAR(10)&amp;"ACTION: "&amp;H125&amp;CHAR(10)&amp;CHAR(10)&amp;"NOTE: "&amp;I125</f>
        <v>PURPOSE: Defines the {field_type} for calculations
ACTION: Enter numerical value in specified unit
NOTE: Required for system calculations. Must be positive value. Used in MFA calculations.</v>
      </c>
      <c r="G125" t="s">
        <v>973</v>
      </c>
      <c r="H125" t="s">
        <v>939</v>
      </c>
      <c r="I125" t="s">
        <v>940</v>
      </c>
    </row>
    <row r="126" spans="1:9" ht="75" x14ac:dyDescent="0.25">
      <c r="A126">
        <v>123</v>
      </c>
      <c r="B126" s="172" t="s">
        <v>1042</v>
      </c>
      <c r="C126" s="236" t="s">
        <v>242</v>
      </c>
      <c r="D126" t="s">
        <v>716</v>
      </c>
      <c r="E126" t="s">
        <v>772</v>
      </c>
      <c r="F126" s="1" t="str">
        <f>"PURPOSE: "&amp;G126&amp;CHAR(10)&amp;CHAR(10)&amp;"ACTION: "&amp;H126&amp;CHAR(10)&amp;CHAR(10)&amp;"NOTE: "&amp;I126</f>
        <v>PURPOSE: Data field for Annual_Consumption_Rate in 2_5_Initial_Stock
ACTION: Enter appropriate value for Annual_Consumption_Rate
NOTE: Please refer to BioDYM documentation for specific requirements.</v>
      </c>
      <c r="G126" t="s">
        <v>997</v>
      </c>
      <c r="H126" t="s">
        <v>807</v>
      </c>
      <c r="I126" t="s">
        <v>905</v>
      </c>
    </row>
    <row r="127" spans="1:9" ht="75.75" thickBot="1" x14ac:dyDescent="0.3">
      <c r="A127">
        <v>124</v>
      </c>
      <c r="B127" s="172" t="s">
        <v>1042</v>
      </c>
      <c r="C127" s="236" t="s">
        <v>243</v>
      </c>
      <c r="D127" t="s">
        <v>806</v>
      </c>
      <c r="E127" t="s">
        <v>807</v>
      </c>
      <c r="F127" s="1" t="str">
        <f>"PURPOSE: "&amp;G127&amp;CHAR(10)&amp;CHAR(10)&amp;"ACTION: "&amp;H127&amp;CHAR(10)&amp;CHAR(10)&amp;"NOTE: "&amp;I127</f>
        <v>PURPOSE: Unique identifier for process
ACTION: Automatically assigned
NOTE: This field is generated automatically. No manual input required. Used for system identification and linking.</v>
      </c>
      <c r="G127" t="s">
        <v>959</v>
      </c>
      <c r="H127" t="s">
        <v>883</v>
      </c>
      <c r="I127" t="s">
        <v>884</v>
      </c>
    </row>
    <row r="128" spans="1:9" ht="75.75" thickBot="1" x14ac:dyDescent="0.3">
      <c r="A128">
        <v>125</v>
      </c>
      <c r="B128" t="s">
        <v>645</v>
      </c>
      <c r="C128" s="171" t="s">
        <v>38</v>
      </c>
      <c r="D128" t="s">
        <v>761</v>
      </c>
      <c r="E128" t="s">
        <v>666</v>
      </c>
      <c r="F128" s="1" t="str">
        <f>"PURPOSE: "&amp;G128&amp;CHAR(10)&amp;CHAR(10)&amp;"ACTION: "&amp;H128&amp;CHAR(10)&amp;CHAR(10)&amp;"NOTE: "&amp;I128</f>
        <v>PURPOSE: Defines the Process Name for identification and visualization
ACTION: Enter a comprehensive Process Name name (e.g., "Forestry, Sawmill, Drying, Combustion")
NOTE: Select a unique comprehensive name, which is displayed within the entire system. Use descriptive names for clarity.</v>
      </c>
      <c r="G128" t="s">
        <v>960</v>
      </c>
      <c r="H128" t="s">
        <v>961</v>
      </c>
      <c r="I128" t="s">
        <v>888</v>
      </c>
    </row>
    <row r="129" spans="1:9" ht="75.75" thickBot="1" x14ac:dyDescent="0.3">
      <c r="A129">
        <v>126</v>
      </c>
      <c r="B129" t="s">
        <v>645</v>
      </c>
      <c r="C129" s="171" t="s">
        <v>541</v>
      </c>
      <c r="D129" t="s">
        <v>762</v>
      </c>
      <c r="E129" t="s">
        <v>763</v>
      </c>
      <c r="F129" s="1" t="str">
        <f>"PURPOSE: "&amp;G129&amp;CHAR(10)&amp;CHAR(10)&amp;"ACTION: "&amp;H129&amp;CHAR(10)&amp;CHAR(10)&amp;"NOTE: "&amp;I129</f>
        <v>PURPOSE: Defines the Process Logic Type configuration for system behavior
ACTION: Select from: Input (receives only), Output (produces only), Pass-through (no transformation), Transformation (converts materials)
NOTE: This setting affects how the system processes this process. Splitter processes: Use Material TCs only. Transformer processes: Use elemental TCs (WC, DM, CC).</v>
      </c>
      <c r="G129" t="s">
        <v>964</v>
      </c>
      <c r="H129" t="s">
        <v>965</v>
      </c>
      <c r="I129" t="s">
        <v>966</v>
      </c>
    </row>
    <row r="130" spans="1:9" ht="75.75" thickBot="1" x14ac:dyDescent="0.3">
      <c r="A130">
        <v>127</v>
      </c>
      <c r="B130" t="s">
        <v>645</v>
      </c>
      <c r="C130" s="171" t="s">
        <v>503</v>
      </c>
      <c r="D130" t="s">
        <v>766</v>
      </c>
      <c r="E130" t="s">
        <v>767</v>
      </c>
      <c r="F130" s="1" t="str">
        <f>"PURPOSE: "&amp;G130&amp;CHAR(10)&amp;CHAR(10)&amp;"ACTION: "&amp;H130&amp;CHAR(10)&amp;CHAR(10)&amp;"NOTE: "&amp;I130</f>
        <v>PURPOSE: Defines the Transfer Coefficient Configuration configuration for system behavior
ACTION: Select from: Static (constant TCs), Dynamic (time-varying TCs), None (no TCs)
NOTE: This setting affects how the system processes this process. Static: Same TC value over time. Dynamic: TC changes by year. None: Skip TC calculations.</v>
      </c>
      <c r="G130" t="s">
        <v>967</v>
      </c>
      <c r="H130" t="s">
        <v>968</v>
      </c>
      <c r="I130" t="s">
        <v>969</v>
      </c>
    </row>
    <row r="131" spans="1:9" ht="75.75" thickBot="1" x14ac:dyDescent="0.3">
      <c r="A131">
        <v>128</v>
      </c>
      <c r="B131" t="s">
        <v>645</v>
      </c>
      <c r="C131" s="171" t="s">
        <v>579</v>
      </c>
      <c r="D131" t="s">
        <v>768</v>
      </c>
      <c r="E131" t="s">
        <v>769</v>
      </c>
      <c r="F131" s="1" t="str">
        <f>"PURPOSE: "&amp;G131&amp;CHAR(10)&amp;CHAR(10)&amp;"ACTION: "&amp;H131&amp;CHAR(10)&amp;CHAR(10)&amp;"NOTE: "&amp;I131</f>
        <v>PURPOSE: Defines the Stock Configuration configuration for system behavior
ACTION: Select from: Stock (maintains material stocks), None (no stocks)
NOTE: This setting affects how the system processes this process. Stock: Creates stock equations for material accumulation. None: No stock calculations.</v>
      </c>
      <c r="G131" t="s">
        <v>970</v>
      </c>
      <c r="H131" t="s">
        <v>971</v>
      </c>
      <c r="I131" t="s">
        <v>972</v>
      </c>
    </row>
    <row r="132" spans="1:9" ht="75.75" thickBot="1" x14ac:dyDescent="0.3">
      <c r="A132">
        <v>129</v>
      </c>
      <c r="B132" t="s">
        <v>645</v>
      </c>
      <c r="C132" s="171" t="s">
        <v>580</v>
      </c>
      <c r="D132" t="s">
        <v>770</v>
      </c>
      <c r="E132" t="s">
        <v>771</v>
      </c>
      <c r="F132" s="1" t="str">
        <f>"PURPOSE: "&amp;G132&amp;CHAR(10)&amp;CHAR(10)&amp;"ACTION: "&amp;H132&amp;CHAR(10)&amp;CHAR(10)&amp;"NOTE: "&amp;I132</f>
        <v>PURPOSE: Defines the {field_type} for calculations
ACTION: Enter numerical value in specified unit
NOTE: Required for system calculations. Must be positive value. Used in MFA calculations.</v>
      </c>
      <c r="G132" t="s">
        <v>973</v>
      </c>
      <c r="H132" t="s">
        <v>939</v>
      </c>
      <c r="I132" t="s">
        <v>940</v>
      </c>
    </row>
    <row r="133" spans="1:9" ht="75.75" thickBot="1" x14ac:dyDescent="0.3">
      <c r="A133">
        <v>130</v>
      </c>
      <c r="B133" t="s">
        <v>645</v>
      </c>
      <c r="C133" s="171" t="s">
        <v>223</v>
      </c>
      <c r="D133" t="s">
        <v>716</v>
      </c>
      <c r="E133" t="s">
        <v>772</v>
      </c>
      <c r="F133" s="1" t="str">
        <f>"PURPOSE: "&amp;G133&amp;CHAR(10)&amp;CHAR(10)&amp;"ACTION: "&amp;H133&amp;CHAR(10)&amp;CHAR(10)&amp;"NOTE: "&amp;I133</f>
        <v>PURPOSE: Data field for DSM_Category_Nr. in 3_1_Definition_DSM
ACTION: Enter appropriate value for DSM_Category_Nr.
NOTE: Please refer to BioDYM documentation for specific requirements.</v>
      </c>
      <c r="G133" t="s">
        <v>998</v>
      </c>
      <c r="H133" t="s">
        <v>809</v>
      </c>
      <c r="I133" t="s">
        <v>905</v>
      </c>
    </row>
    <row r="134" spans="1:9" ht="75" x14ac:dyDescent="0.25">
      <c r="A134">
        <v>131</v>
      </c>
      <c r="B134" t="s">
        <v>645</v>
      </c>
      <c r="C134" s="171" t="s">
        <v>553</v>
      </c>
      <c r="D134" t="s">
        <v>808</v>
      </c>
      <c r="E134" t="s">
        <v>809</v>
      </c>
      <c r="F134" s="1" t="str">
        <f>"PURPOSE: "&amp;G134&amp;CHAR(10)&amp;CHAR(10)&amp;"ACTION: "&amp;H134&amp;CHAR(10)&amp;CHAR(10)&amp;"NOTE: "&amp;I134</f>
        <v>PURPOSE: Data field for DSM_Parameter_typ in 3_1_Definition_DSM
ACTION: Enter appropriate value for DSM_Parameter_typ
NOTE: Please refer to BioDYM documentation for specific requirements.</v>
      </c>
      <c r="G134" t="s">
        <v>999</v>
      </c>
      <c r="H134" t="s">
        <v>811</v>
      </c>
      <c r="I134" t="s">
        <v>905</v>
      </c>
    </row>
    <row r="135" spans="1:9" ht="75" x14ac:dyDescent="0.25">
      <c r="A135">
        <v>132</v>
      </c>
      <c r="B135" t="s">
        <v>645</v>
      </c>
      <c r="C135" s="145" t="s">
        <v>561</v>
      </c>
      <c r="D135" t="s">
        <v>810</v>
      </c>
      <c r="E135" t="s">
        <v>811</v>
      </c>
      <c r="F135" s="1" t="str">
        <f>"PURPOSE: "&amp;G135&amp;CHAR(10)&amp;CHAR(10)&amp;"ACTION: "&amp;H135&amp;CHAR(10)&amp;CHAR(10)&amp;"NOTE: "&amp;I135</f>
        <v>PURPOSE: Data field for DSM_Parameter_type in 3_1_Definition_DSM
ACTION: Enter appropriate value for DSM_Parameter_type
NOTE: Please refer to BioDYM documentation for specific requirements.</v>
      </c>
      <c r="G135" t="s">
        <v>1000</v>
      </c>
      <c r="H135" t="s">
        <v>813</v>
      </c>
      <c r="I135" t="s">
        <v>905</v>
      </c>
    </row>
    <row r="136" spans="1:9" ht="75" x14ac:dyDescent="0.25">
      <c r="A136">
        <v>133</v>
      </c>
      <c r="B136" t="s">
        <v>645</v>
      </c>
      <c r="C136" s="145" t="s">
        <v>560</v>
      </c>
      <c r="D136" t="s">
        <v>812</v>
      </c>
      <c r="E136" t="s">
        <v>813</v>
      </c>
      <c r="F136" s="1" t="str">
        <f>"PURPOSE: "&amp;G136&amp;CHAR(10)&amp;CHAR(10)&amp;"ACTION: "&amp;H136&amp;CHAR(10)&amp;CHAR(10)&amp;"NOTE: "&amp;I136</f>
        <v>PURPOSE: Data field for DSM_Parameter in 3_1_Definition_DSM
ACTION: Enter appropriate value for DSM_Parameter
NOTE: Please refer to BioDYM documentation for specific requirements.</v>
      </c>
      <c r="G136" t="s">
        <v>1001</v>
      </c>
      <c r="H136" t="s">
        <v>815</v>
      </c>
      <c r="I136" t="s">
        <v>905</v>
      </c>
    </row>
    <row r="137" spans="1:9" ht="75" x14ac:dyDescent="0.25">
      <c r="A137">
        <v>134</v>
      </c>
      <c r="B137" t="s">
        <v>645</v>
      </c>
      <c r="C137" s="145" t="s">
        <v>559</v>
      </c>
      <c r="D137" t="s">
        <v>814</v>
      </c>
      <c r="E137" t="s">
        <v>815</v>
      </c>
      <c r="F137" s="1" t="str">
        <f>"PURPOSE: "&amp;G137&amp;CHAR(10)&amp;CHAR(10)&amp;"ACTION: "&amp;H137&amp;CHAR(10)&amp;CHAR(10)&amp;"NOTE: "&amp;I137</f>
        <v>PURPOSE: Data field for DSM_Value in 3_1_Definition_DSM
ACTION: Enter appropriate value for DSM_Value
NOTE: Please refer to BioDYM documentation for specific requirements.</v>
      </c>
      <c r="G137" t="s">
        <v>1002</v>
      </c>
      <c r="H137" t="s">
        <v>817</v>
      </c>
      <c r="I137" t="s">
        <v>905</v>
      </c>
    </row>
    <row r="138" spans="1:9" ht="75.75" thickBot="1" x14ac:dyDescent="0.3">
      <c r="A138">
        <v>135</v>
      </c>
      <c r="B138" t="s">
        <v>645</v>
      </c>
      <c r="C138" s="145" t="s">
        <v>562</v>
      </c>
      <c r="D138" t="s">
        <v>816</v>
      </c>
      <c r="E138" t="s">
        <v>817</v>
      </c>
      <c r="F138" s="1" t="str">
        <f>"PURPOSE: "&amp;G138&amp;CHAR(10)&amp;CHAR(10)&amp;"ACTION: "&amp;H138&amp;CHAR(10)&amp;CHAR(10)&amp;"NOTE: "&amp;I138</f>
        <v>PURPOSE: Flag this row as 100% complete for reporting and filtering purposes
ACTION: Click to select
NOTE: This input is optional. Leave blank if the process is ongoing. Used for progress tracking.</v>
      </c>
      <c r="G138" t="s">
        <v>956</v>
      </c>
      <c r="H138" t="s">
        <v>957</v>
      </c>
      <c r="I138" t="s">
        <v>958</v>
      </c>
    </row>
    <row r="139" spans="1:9" ht="75.75" thickBot="1" x14ac:dyDescent="0.3">
      <c r="A139">
        <v>136</v>
      </c>
      <c r="B139" t="s">
        <v>646</v>
      </c>
      <c r="C139" s="170" t="s">
        <v>41</v>
      </c>
      <c r="D139" t="s">
        <v>759</v>
      </c>
      <c r="E139" t="s">
        <v>760</v>
      </c>
      <c r="F139" s="1" t="str">
        <f>"PURPOSE: "&amp;G139&amp;CHAR(10)&amp;CHAR(10)&amp;"ACTION: "&amp;H139&amp;CHAR(10)&amp;CHAR(10)&amp;"NOTE: "&amp;I139</f>
        <v>PURPOSE: Unique identifier for data row
ACTION: Automatically assigned
NOTE: This field is generated automatically. No manual input required. Used for system identification and linking.</v>
      </c>
      <c r="G139" t="s">
        <v>882</v>
      </c>
      <c r="H139" t="s">
        <v>883</v>
      </c>
      <c r="I139" t="s">
        <v>884</v>
      </c>
    </row>
    <row r="140" spans="1:9" ht="75.75" thickBot="1" x14ac:dyDescent="0.3">
      <c r="A140">
        <v>137</v>
      </c>
      <c r="B140" t="s">
        <v>646</v>
      </c>
      <c r="C140" s="171" t="s">
        <v>19</v>
      </c>
      <c r="D140" t="s">
        <v>665</v>
      </c>
      <c r="E140" t="s">
        <v>666</v>
      </c>
      <c r="F140" s="1" t="str">
        <f>"PURPOSE: "&amp;G140&amp;CHAR(10)&amp;CHAR(10)&amp;"ACTION: "&amp;H140&amp;CHAR(10)&amp;CHAR(10)&amp;"NOTE: "&amp;I140</f>
        <v>PURPOSE: Unique identifier for process
ACTION: Automatically assigned
NOTE: This field is generated automatically. No manual input required. Used for system identification and linking.</v>
      </c>
      <c r="G140" t="s">
        <v>959</v>
      </c>
      <c r="H140" t="s">
        <v>883</v>
      </c>
      <c r="I140" t="s">
        <v>884</v>
      </c>
    </row>
    <row r="141" spans="1:9" ht="75.75" thickBot="1" x14ac:dyDescent="0.3">
      <c r="A141">
        <v>138</v>
      </c>
      <c r="B141" t="s">
        <v>646</v>
      </c>
      <c r="C141" s="171" t="s">
        <v>38</v>
      </c>
      <c r="D141" t="s">
        <v>761</v>
      </c>
      <c r="E141" t="s">
        <v>666</v>
      </c>
      <c r="F141" s="1" t="str">
        <f>"PURPOSE: "&amp;G141&amp;CHAR(10)&amp;CHAR(10)&amp;"ACTION: "&amp;H141&amp;CHAR(10)&amp;CHAR(10)&amp;"NOTE: "&amp;I141</f>
        <v>PURPOSE: Defines the Process Name for identification and visualization
ACTION: Enter a comprehensive Process Name name (e.g., "Forestry, Sawmill, Drying, Combustion")
NOTE: Select a unique comprehensive name, which is displayed within the entire system. Use descriptive names for clarity.</v>
      </c>
      <c r="G141" t="s">
        <v>960</v>
      </c>
      <c r="H141" t="s">
        <v>961</v>
      </c>
      <c r="I141" t="s">
        <v>888</v>
      </c>
    </row>
    <row r="142" spans="1:9" ht="75.75" thickBot="1" x14ac:dyDescent="0.3">
      <c r="A142">
        <v>139</v>
      </c>
      <c r="B142" t="s">
        <v>646</v>
      </c>
      <c r="C142" s="171" t="s">
        <v>541</v>
      </c>
      <c r="D142" t="s">
        <v>762</v>
      </c>
      <c r="E142" t="s">
        <v>763</v>
      </c>
      <c r="F142" s="1" t="str">
        <f>"PURPOSE: "&amp;G142&amp;CHAR(10)&amp;CHAR(10)&amp;"ACTION: "&amp;H142&amp;CHAR(10)&amp;CHAR(10)&amp;"NOTE: "&amp;I142</f>
        <v>PURPOSE: Defines the Process Logic Type configuration for system behavior
ACTION: Select from: Input (receives only), Output (produces only), Pass-through (no transformation), Transformation (converts materials)
NOTE: This setting affects how the system processes this process. Splitter processes: Use Material TCs only. Transformer processes: Use elemental TCs (WC, DM, CC).</v>
      </c>
      <c r="G142" t="s">
        <v>964</v>
      </c>
      <c r="H142" t="s">
        <v>965</v>
      </c>
      <c r="I142" t="s">
        <v>966</v>
      </c>
    </row>
    <row r="143" spans="1:9" ht="75.75" thickBot="1" x14ac:dyDescent="0.3">
      <c r="A143">
        <v>140</v>
      </c>
      <c r="B143" t="s">
        <v>646</v>
      </c>
      <c r="C143" s="171" t="s">
        <v>503</v>
      </c>
      <c r="D143" t="s">
        <v>766</v>
      </c>
      <c r="E143" t="s">
        <v>767</v>
      </c>
      <c r="F143" s="1" t="str">
        <f>"PURPOSE: "&amp;G143&amp;CHAR(10)&amp;CHAR(10)&amp;"ACTION: "&amp;H143&amp;CHAR(10)&amp;CHAR(10)&amp;"NOTE: "&amp;I143</f>
        <v>PURPOSE: Defines the Transfer Coefficient Configuration configuration for system behavior
ACTION: Select from: Static (constant TCs), Dynamic (time-varying TCs), None (no TCs)
NOTE: This setting affects how the system processes this process. Static: Same TC value over time. Dynamic: TC changes by year. None: Skip TC calculations.</v>
      </c>
      <c r="G143" t="s">
        <v>967</v>
      </c>
      <c r="H143" t="s">
        <v>968</v>
      </c>
      <c r="I143" t="s">
        <v>969</v>
      </c>
    </row>
    <row r="144" spans="1:9" ht="75.75" thickBot="1" x14ac:dyDescent="0.3">
      <c r="A144">
        <v>141</v>
      </c>
      <c r="B144" t="s">
        <v>646</v>
      </c>
      <c r="C144" s="171" t="s">
        <v>579</v>
      </c>
      <c r="D144" t="s">
        <v>768</v>
      </c>
      <c r="E144" t="s">
        <v>769</v>
      </c>
      <c r="F144" s="1" t="str">
        <f>"PURPOSE: "&amp;G144&amp;CHAR(10)&amp;CHAR(10)&amp;"ACTION: "&amp;H144&amp;CHAR(10)&amp;CHAR(10)&amp;"NOTE: "&amp;I144</f>
        <v>PURPOSE: Defines the Stock Configuration configuration for system behavior
ACTION: Select from: Stock (maintains material stocks), None (no stocks)
NOTE: This setting affects how the system processes this process. Stock: Creates stock equations for material accumulation. None: No stock calculations.</v>
      </c>
      <c r="G144" t="s">
        <v>970</v>
      </c>
      <c r="H144" t="s">
        <v>971</v>
      </c>
      <c r="I144" t="s">
        <v>972</v>
      </c>
    </row>
    <row r="145" spans="1:12" ht="75.75" thickBot="1" x14ac:dyDescent="0.3">
      <c r="A145">
        <v>142</v>
      </c>
      <c r="B145" t="s">
        <v>646</v>
      </c>
      <c r="C145" s="171" t="s">
        <v>580</v>
      </c>
      <c r="D145" t="s">
        <v>770</v>
      </c>
      <c r="E145" t="s">
        <v>771</v>
      </c>
      <c r="F145" s="1" t="str">
        <f>"PURPOSE: "&amp;G145&amp;CHAR(10)&amp;CHAR(10)&amp;"ACTION: "&amp;H145&amp;CHAR(10)&amp;CHAR(10)&amp;"NOTE: "&amp;I145</f>
        <v>PURPOSE: Defines the {field_type} for calculations
ACTION: Enter numerical value in specified unit
NOTE: Required for system calculations. Must be positive value. Used in MFA calculations.</v>
      </c>
      <c r="G145" t="s">
        <v>973</v>
      </c>
      <c r="H145" t="s">
        <v>939</v>
      </c>
      <c r="I145" t="s">
        <v>940</v>
      </c>
    </row>
    <row r="146" spans="1:12" ht="75" x14ac:dyDescent="0.25">
      <c r="A146">
        <v>143</v>
      </c>
      <c r="B146" t="s">
        <v>646</v>
      </c>
      <c r="C146" s="171" t="s">
        <v>223</v>
      </c>
      <c r="D146" t="s">
        <v>716</v>
      </c>
      <c r="E146" t="s">
        <v>772</v>
      </c>
      <c r="F146" s="1" t="str">
        <f>"PURPOSE: "&amp;G146&amp;CHAR(10)&amp;CHAR(10)&amp;"ACTION: "&amp;H146&amp;CHAR(10)&amp;CHAR(10)&amp;"NOTE: "&amp;I146</f>
        <v>PURPOSE: Data field for Nr._Decay_Pools in 3_2_Definition_FOMP
ACTION: Enter appropriate value for Nr._Decay_Pools
NOTE: Please refer to BioDYM documentation for specific requirements.</v>
      </c>
      <c r="G146" t="s">
        <v>1003</v>
      </c>
      <c r="H146" t="s">
        <v>819</v>
      </c>
      <c r="I146" t="s">
        <v>905</v>
      </c>
    </row>
    <row r="147" spans="1:12" ht="75" x14ac:dyDescent="0.25">
      <c r="A147">
        <v>144</v>
      </c>
      <c r="B147" t="s">
        <v>646</v>
      </c>
      <c r="C147" s="145" t="s">
        <v>273</v>
      </c>
      <c r="D147" t="s">
        <v>818</v>
      </c>
      <c r="E147" t="s">
        <v>819</v>
      </c>
      <c r="F147" s="1" t="str">
        <f>"PURPOSE: "&amp;G147&amp;CHAR(10)&amp;CHAR(10)&amp;"ACTION: "&amp;H147&amp;CHAR(10)&amp;CHAR(10)&amp;"NOTE: "&amp;I147</f>
        <v>PURPOSE: Data field for Pool in 3_2_Definition_FOMP
ACTION: Enter appropriate value for Pool
NOTE: Please refer to BioDYM documentation for specific requirements.</v>
      </c>
      <c r="G147" t="s">
        <v>1004</v>
      </c>
      <c r="H147" t="s">
        <v>821</v>
      </c>
      <c r="I147" t="s">
        <v>905</v>
      </c>
    </row>
    <row r="148" spans="1:12" ht="75" x14ac:dyDescent="0.25">
      <c r="A148">
        <v>145</v>
      </c>
      <c r="B148" t="s">
        <v>646</v>
      </c>
      <c r="C148" s="236" t="s">
        <v>282</v>
      </c>
      <c r="D148" t="s">
        <v>820</v>
      </c>
      <c r="E148" t="s">
        <v>821</v>
      </c>
      <c r="F148" s="1" t="str">
        <f>"PURPOSE: "&amp;G148&amp;CHAR(10)&amp;CHAR(10)&amp;"ACTION: "&amp;H148&amp;CHAR(10)&amp;CHAR(10)&amp;"NOTE: "&amp;I148</f>
        <v>PURPOSE: Unique identifier for {context}
ACTION: Automatically assigned
NOTE: This field is generated automatically. No manual input required. Used for system identification and linking.</v>
      </c>
      <c r="G148" t="s">
        <v>977</v>
      </c>
      <c r="H148" t="s">
        <v>883</v>
      </c>
      <c r="I148" t="s">
        <v>884</v>
      </c>
    </row>
    <row r="149" spans="1:12" ht="75" x14ac:dyDescent="0.25">
      <c r="A149">
        <v>146</v>
      </c>
      <c r="B149" t="s">
        <v>646</v>
      </c>
      <c r="C149" s="236" t="s">
        <v>276</v>
      </c>
      <c r="D149" t="s">
        <v>716</v>
      </c>
      <c r="E149" t="s">
        <v>666</v>
      </c>
      <c r="F149" s="1" t="str">
        <f>"PURPOSE: "&amp;G149&amp;CHAR(10)&amp;CHAR(10)&amp;"ACTION: "&amp;H149&amp;CHAR(10)&amp;CHAR(10)&amp;"NOTE: "&amp;I149</f>
        <v>PURPOSE: Data field for Parameter_Name in 3_2_Definition_FOMP
ACTION: Enter appropriate value for Parameter_Name
NOTE: Please refer to BioDYM documentation for specific requirements.</v>
      </c>
      <c r="G149" t="s">
        <v>1005</v>
      </c>
      <c r="H149" t="s">
        <v>823</v>
      </c>
      <c r="I149" t="s">
        <v>905</v>
      </c>
    </row>
    <row r="150" spans="1:12" ht="75" x14ac:dyDescent="0.25">
      <c r="A150">
        <v>147</v>
      </c>
      <c r="B150" t="s">
        <v>646</v>
      </c>
      <c r="C150" s="145" t="s">
        <v>216</v>
      </c>
      <c r="D150" t="s">
        <v>822</v>
      </c>
      <c r="E150" t="s">
        <v>823</v>
      </c>
      <c r="F150" s="1" t="str">
        <f>"PURPOSE: "&amp;G150&amp;CHAR(10)&amp;CHAR(10)&amp;"ACTION: "&amp;H150&amp;CHAR(10)&amp;CHAR(10)&amp;"NOTE: "&amp;I150</f>
        <v>PURPOSE: Data field for Value in 3_2_Definition_FOMP
ACTION: Enter appropriate value for Value
NOTE: Please refer to BioDYM documentation for specific requirements.</v>
      </c>
      <c r="G150" t="s">
        <v>1006</v>
      </c>
      <c r="H150" t="s">
        <v>825</v>
      </c>
      <c r="I150" t="s">
        <v>905</v>
      </c>
    </row>
    <row r="151" spans="1:12" ht="75" x14ac:dyDescent="0.25">
      <c r="A151">
        <v>148</v>
      </c>
      <c r="B151" t="s">
        <v>646</v>
      </c>
      <c r="C151" s="145" t="s">
        <v>200</v>
      </c>
      <c r="D151" t="s">
        <v>824</v>
      </c>
      <c r="E151" t="s">
        <v>825</v>
      </c>
      <c r="F151" s="1" t="str">
        <f>"PURPOSE: "&amp;G151&amp;CHAR(10)&amp;CHAR(10)&amp;"ACTION: "&amp;H151&amp;CHAR(10)&amp;CHAR(10)&amp;"NOTE: "&amp;I151</f>
        <v>PURPOSE: Unique identifier for data row
ACTION: Automatically assigned
NOTE: This field is generated automatically. No manual input required. Used for system identification and linking.</v>
      </c>
      <c r="G151" t="s">
        <v>882</v>
      </c>
      <c r="H151" t="s">
        <v>883</v>
      </c>
      <c r="I151" t="s">
        <v>884</v>
      </c>
    </row>
    <row r="152" spans="1:12" ht="75" x14ac:dyDescent="0.25">
      <c r="A152">
        <v>149</v>
      </c>
      <c r="B152" t="s">
        <v>648</v>
      </c>
      <c r="C152" s="145" t="s">
        <v>19</v>
      </c>
      <c r="D152" t="s">
        <v>665</v>
      </c>
      <c r="E152" t="s">
        <v>666</v>
      </c>
      <c r="F152" s="1" t="str">
        <f>"PURPOSE: "&amp;G152&amp;CHAR(10)&amp;CHAR(10)&amp;"ACTION: "&amp;H152&amp;CHAR(10)&amp;CHAR(10)&amp;"NOTE: "&amp;I152</f>
        <v>PURPOSE: Data field for Parameter in 4_1_Uncertainty_Parameters
ACTION: Enter appropriate value for Parameter
NOTE: Please refer to BioDYM documentation for specific requirements.</v>
      </c>
      <c r="G152" t="s">
        <v>1007</v>
      </c>
      <c r="H152" t="s">
        <v>827</v>
      </c>
      <c r="I152" t="s">
        <v>905</v>
      </c>
    </row>
    <row r="153" spans="1:12" ht="75" x14ac:dyDescent="0.25">
      <c r="A153">
        <v>150</v>
      </c>
      <c r="B153" t="s">
        <v>648</v>
      </c>
      <c r="C153" s="145" t="s">
        <v>148</v>
      </c>
      <c r="D153" t="s">
        <v>826</v>
      </c>
      <c r="E153" t="s">
        <v>827</v>
      </c>
      <c r="F153" s="1" t="str">
        <f>"PURPOSE: "&amp;G153&amp;CHAR(10)&amp;CHAR(10)&amp;"ACTION: "&amp;H153&amp;CHAR(10)&amp;CHAR(10)&amp;"NOTE: "&amp;I153</f>
        <v>PURPOSE: Data field for Parameter_Selection in 4_1_Uncertainty_Parameters
ACTION: Enter appropriate value for Parameter_Selection
NOTE: Please refer to BioDYM documentation for specific requirements.</v>
      </c>
      <c r="G153" t="s">
        <v>1008</v>
      </c>
      <c r="H153" t="s">
        <v>829</v>
      </c>
      <c r="I153" t="s">
        <v>905</v>
      </c>
    </row>
    <row r="154" spans="1:12" ht="75" x14ac:dyDescent="0.25">
      <c r="A154">
        <v>151</v>
      </c>
      <c r="B154" t="s">
        <v>648</v>
      </c>
      <c r="C154" s="236" t="s">
        <v>260</v>
      </c>
      <c r="D154" t="s">
        <v>828</v>
      </c>
      <c r="E154" t="s">
        <v>829</v>
      </c>
      <c r="F154" s="1" t="str">
        <f>"PURPOSE: "&amp;G154&amp;CHAR(10)&amp;CHAR(10)&amp;"ACTION: "&amp;H154&amp;CHAR(10)&amp;CHAR(10)&amp;"NOTE: "&amp;I154</f>
        <v>PURPOSE: Data field for Parameter_Name in 4_1_Uncertainty_Parameters
ACTION: Enter appropriate value for Parameter_Name
NOTE: Please refer to BioDYM documentation for specific requirements.</v>
      </c>
      <c r="G154" t="s">
        <v>1009</v>
      </c>
      <c r="H154" t="s">
        <v>823</v>
      </c>
      <c r="I154" t="s">
        <v>905</v>
      </c>
    </row>
    <row r="155" spans="1:12" ht="75" x14ac:dyDescent="0.25">
      <c r="A155">
        <v>152</v>
      </c>
      <c r="B155" t="s">
        <v>648</v>
      </c>
      <c r="C155" s="145" t="s">
        <v>216</v>
      </c>
      <c r="D155" t="s">
        <v>822</v>
      </c>
      <c r="E155" t="s">
        <v>823</v>
      </c>
      <c r="F155" s="1" t="str">
        <f>"PURPOSE: "&amp;G155&amp;CHAR(10)&amp;CHAR(10)&amp;"ACTION: "&amp;H155&amp;CHAR(10)&amp;CHAR(10)&amp;"NOTE: "&amp;I155</f>
        <v>PURPOSE: Data field for Distribution in 4_1_Uncertainty_Parameters
ACTION: Enter appropriate value for Distribution
NOTE: Please refer to BioDYM documentation for specific requirements.</v>
      </c>
      <c r="G155" t="s">
        <v>1010</v>
      </c>
      <c r="H155" t="s">
        <v>831</v>
      </c>
      <c r="I155" t="s">
        <v>905</v>
      </c>
    </row>
    <row r="156" spans="1:12" ht="75" x14ac:dyDescent="0.25">
      <c r="A156">
        <v>153</v>
      </c>
      <c r="B156" t="s">
        <v>648</v>
      </c>
      <c r="C156" s="145" t="s">
        <v>217</v>
      </c>
      <c r="D156" t="s">
        <v>830</v>
      </c>
      <c r="E156" t="s">
        <v>831</v>
      </c>
      <c r="F156" s="1" t="str">
        <f>"PURPOSE: "&amp;G156&amp;CHAR(10)&amp;CHAR(10)&amp;"ACTION: "&amp;H156&amp;CHAR(10)&amp;CHAR(10)&amp;"NOTE: "&amp;I156</f>
        <v>PURPOSE: Data field for Mean in 4_1_Uncertainty_Parameters
ACTION: Enter appropriate value for Mean
NOTE: Please refer to BioDYM documentation for specific requirements.</v>
      </c>
      <c r="G156" t="s">
        <v>1011</v>
      </c>
      <c r="H156" t="s">
        <v>833</v>
      </c>
      <c r="I156" t="s">
        <v>905</v>
      </c>
      <c r="L156" s="174" t="s">
        <v>41</v>
      </c>
    </row>
    <row r="157" spans="1:12" ht="75" x14ac:dyDescent="0.25">
      <c r="A157">
        <v>154</v>
      </c>
      <c r="B157" t="s">
        <v>648</v>
      </c>
      <c r="C157" s="145" t="s">
        <v>218</v>
      </c>
      <c r="D157" t="s">
        <v>832</v>
      </c>
      <c r="E157" t="s">
        <v>833</v>
      </c>
      <c r="F157" s="1" t="str">
        <f>"PURPOSE: "&amp;G157&amp;CHAR(10)&amp;CHAR(10)&amp;"ACTION: "&amp;H157&amp;CHAR(10)&amp;CHAR(10)&amp;"NOTE: "&amp;I157</f>
        <v>PURPOSE: Data field for StdDev in 4_1_Uncertainty_Parameters
ACTION: Enter appropriate value for StdDev
NOTE: Please refer to BioDYM documentation for specific requirements.</v>
      </c>
      <c r="G157" t="s">
        <v>1012</v>
      </c>
      <c r="H157" t="s">
        <v>835</v>
      </c>
      <c r="I157" t="s">
        <v>905</v>
      </c>
      <c r="L157" s="145" t="s">
        <v>19</v>
      </c>
    </row>
    <row r="158" spans="1:12" ht="75" x14ac:dyDescent="0.25">
      <c r="A158">
        <v>155</v>
      </c>
      <c r="B158" t="s">
        <v>648</v>
      </c>
      <c r="C158" s="145" t="s">
        <v>219</v>
      </c>
      <c r="D158" t="s">
        <v>834</v>
      </c>
      <c r="E158" t="s">
        <v>835</v>
      </c>
      <c r="F158" s="1" t="str">
        <f>"PURPOSE: "&amp;G158&amp;CHAR(10)&amp;CHAR(10)&amp;"ACTION: "&amp;H158&amp;CHAR(10)&amp;CHAR(10)&amp;"NOTE: "&amp;I158</f>
        <v>PURPOSE: Data field for Min in 4_1_Uncertainty_Parameters
ACTION: Enter appropriate value for Min
NOTE: Please refer to BioDYM documentation for specific requirements.</v>
      </c>
      <c r="G158" t="s">
        <v>1013</v>
      </c>
      <c r="H158" t="s">
        <v>837</v>
      </c>
      <c r="I158" t="s">
        <v>905</v>
      </c>
      <c r="L158" s="145" t="s">
        <v>38</v>
      </c>
    </row>
    <row r="159" spans="1:12" ht="75" x14ac:dyDescent="0.25">
      <c r="A159">
        <v>156</v>
      </c>
      <c r="B159" t="s">
        <v>648</v>
      </c>
      <c r="C159" s="145" t="s">
        <v>220</v>
      </c>
      <c r="D159" t="s">
        <v>836</v>
      </c>
      <c r="E159" t="s">
        <v>837</v>
      </c>
      <c r="F159" s="1" t="str">
        <f>"PURPOSE: "&amp;G159&amp;CHAR(10)&amp;CHAR(10)&amp;"ACTION: "&amp;H159&amp;CHAR(10)&amp;CHAR(10)&amp;"NOTE: "&amp;I159</f>
        <v>PURPOSE: Data field for Max in 4_1_Uncertainty_Parameters
ACTION: Enter appropriate value for Max
NOTE: Please refer to BioDYM documentation for specific requirements.</v>
      </c>
      <c r="G159" t="s">
        <v>1014</v>
      </c>
      <c r="H159" t="s">
        <v>839</v>
      </c>
      <c r="I159" t="s">
        <v>905</v>
      </c>
      <c r="L159" s="145" t="s">
        <v>43</v>
      </c>
    </row>
    <row r="160" spans="1:12" ht="75" x14ac:dyDescent="0.25">
      <c r="A160">
        <v>157</v>
      </c>
      <c r="B160" t="s">
        <v>648</v>
      </c>
      <c r="C160" s="145" t="s">
        <v>221</v>
      </c>
      <c r="D160" t="s">
        <v>838</v>
      </c>
      <c r="E160" t="s">
        <v>839</v>
      </c>
      <c r="F160" s="1" t="str">
        <f>"PURPOSE: "&amp;G160&amp;CHAR(10)&amp;CHAR(10)&amp;"ACTION: "&amp;H160&amp;CHAR(10)&amp;CHAR(10)&amp;"NOTE: "&amp;I160</f>
        <v>PURPOSE: Data field for Mode in 4_1_Uncertainty_Parameters
ACTION: Enter appropriate value for Mode
NOTE: Please refer to BioDYM documentation for specific requirements.</v>
      </c>
      <c r="G160" t="s">
        <v>1015</v>
      </c>
      <c r="H160" t="s">
        <v>841</v>
      </c>
      <c r="I160" t="s">
        <v>905</v>
      </c>
      <c r="L160" s="145" t="s">
        <v>474</v>
      </c>
    </row>
    <row r="161" spans="1:12" ht="75" x14ac:dyDescent="0.25">
      <c r="A161">
        <v>158</v>
      </c>
      <c r="B161" t="s">
        <v>648</v>
      </c>
      <c r="C161" s="145" t="s">
        <v>222</v>
      </c>
      <c r="D161" t="s">
        <v>840</v>
      </c>
      <c r="E161" t="s">
        <v>841</v>
      </c>
      <c r="F161" s="1" t="str">
        <f>"PURPOSE: "&amp;G161&amp;CHAR(10)&amp;CHAR(10)&amp;"ACTION: "&amp;H161&amp;CHAR(10)&amp;CHAR(10)&amp;"NOTE: "&amp;I161</f>
        <v>PURPOSE: Unique identifier for data row
ACTION: Automatically assigned
NOTE: This field is generated automatically. No manual input required. Used for system identification and linking.</v>
      </c>
      <c r="G161" t="s">
        <v>882</v>
      </c>
      <c r="H161" t="s">
        <v>883</v>
      </c>
      <c r="I161" t="s">
        <v>884</v>
      </c>
      <c r="L161" s="145" t="s">
        <v>333</v>
      </c>
    </row>
    <row r="162" spans="1:12" ht="75" x14ac:dyDescent="0.25">
      <c r="A162">
        <v>159</v>
      </c>
      <c r="B162" s="3" t="s">
        <v>647</v>
      </c>
      <c r="C162" s="145" t="s">
        <v>19</v>
      </c>
      <c r="D162" t="s">
        <v>665</v>
      </c>
      <c r="E162" t="s">
        <v>666</v>
      </c>
      <c r="F162" s="1" t="str">
        <f>"PURPOSE: "&amp;G162&amp;CHAR(10)&amp;CHAR(10)&amp;"ACTION: "&amp;H162&amp;CHAR(10)&amp;CHAR(10)&amp;"NOTE: "&amp;I162</f>
        <v>PURPOSE: Data field for Scenario_Name in 5_1_Scenario_Manager
ACTION: Enter appropriate value for Scenario_Name
NOTE: Please refer to BioDYM documentation for specific requirements.</v>
      </c>
      <c r="G162" t="s">
        <v>1016</v>
      </c>
      <c r="H162" t="s">
        <v>843</v>
      </c>
      <c r="I162" t="s">
        <v>905</v>
      </c>
      <c r="L162" s="145" t="s">
        <v>336</v>
      </c>
    </row>
    <row r="163" spans="1:12" ht="75" x14ac:dyDescent="0.25">
      <c r="A163">
        <v>160</v>
      </c>
      <c r="B163" t="s">
        <v>647</v>
      </c>
      <c r="C163" s="236" t="s">
        <v>296</v>
      </c>
      <c r="D163" t="s">
        <v>842</v>
      </c>
      <c r="E163" t="s">
        <v>843</v>
      </c>
      <c r="F163" s="1" t="str">
        <f>"PURPOSE: "&amp;G163&amp;CHAR(10)&amp;CHAR(10)&amp;"ACTION: "&amp;H163&amp;CHAR(10)&amp;CHAR(10)&amp;"NOTE: "&amp;I163</f>
        <v>PURPOSE: Data field for Parameter in 5_1_Scenario_Manager
ACTION: Enter appropriate value for Parameter
NOTE: Please refer to BioDYM documentation for specific requirements.</v>
      </c>
      <c r="G163" t="s">
        <v>1017</v>
      </c>
      <c r="H163" t="s">
        <v>827</v>
      </c>
      <c r="I163" t="s">
        <v>905</v>
      </c>
      <c r="L163" s="145" t="s">
        <v>494</v>
      </c>
    </row>
    <row r="164" spans="1:12" ht="75" x14ac:dyDescent="0.25">
      <c r="A164">
        <v>161</v>
      </c>
      <c r="B164" s="3" t="s">
        <v>647</v>
      </c>
      <c r="C164" s="145" t="s">
        <v>148</v>
      </c>
      <c r="D164" t="s">
        <v>826</v>
      </c>
      <c r="E164" t="s">
        <v>827</v>
      </c>
      <c r="F164" s="1" t="str">
        <f>"PURPOSE: "&amp;G164&amp;CHAR(10)&amp;CHAR(10)&amp;"ACTION: "&amp;H164&amp;CHAR(10)&amp;CHAR(10)&amp;"NOTE: "&amp;I164</f>
        <v>PURPOSE: Data field for Parameter_Selection in 5_1_Scenario_Manager
ACTION: Enter appropriate value for Parameter_Selection
NOTE: Please refer to BioDYM documentation for specific requirements.</v>
      </c>
      <c r="G164" t="s">
        <v>1018</v>
      </c>
      <c r="H164" t="s">
        <v>829</v>
      </c>
      <c r="I164" t="s">
        <v>905</v>
      </c>
      <c r="L164" s="145" t="s">
        <v>495</v>
      </c>
    </row>
    <row r="165" spans="1:12" ht="75" x14ac:dyDescent="0.25">
      <c r="A165">
        <v>162</v>
      </c>
      <c r="B165" t="s">
        <v>647</v>
      </c>
      <c r="C165" s="236" t="s">
        <v>260</v>
      </c>
      <c r="D165" t="s">
        <v>828</v>
      </c>
      <c r="E165" t="s">
        <v>829</v>
      </c>
      <c r="F165" s="1" t="str">
        <f>"PURPOSE: "&amp;G165&amp;CHAR(10)&amp;CHAR(10)&amp;"ACTION: "&amp;H165&amp;CHAR(10)&amp;CHAR(10)&amp;"NOTE: "&amp;I165</f>
        <v>PURPOSE: Data field for Parameter_Name in 5_1_Scenario_Manager
ACTION: Enter appropriate value for Parameter_Name
NOTE: Please refer to BioDYM documentation for specific requirements.</v>
      </c>
      <c r="G165" t="s">
        <v>1019</v>
      </c>
      <c r="H165" t="s">
        <v>823</v>
      </c>
      <c r="I165" t="s">
        <v>905</v>
      </c>
      <c r="L165" s="145" t="s">
        <v>496</v>
      </c>
    </row>
    <row r="166" spans="1:12" ht="75" x14ac:dyDescent="0.25">
      <c r="A166">
        <v>163</v>
      </c>
      <c r="B166" s="3" t="s">
        <v>647</v>
      </c>
      <c r="C166" s="236" t="s">
        <v>216</v>
      </c>
      <c r="D166" t="s">
        <v>822</v>
      </c>
      <c r="E166" t="s">
        <v>823</v>
      </c>
      <c r="F166" s="1" t="str">
        <f>"PURPOSE: "&amp;G166&amp;CHAR(10)&amp;CHAR(10)&amp;"ACTION: "&amp;H166&amp;CHAR(10)&amp;CHAR(10)&amp;"NOTE: "&amp;I166</f>
        <v>PURPOSE: Data field for Operation in 5_1_Scenario_Manager
ACTION: Enter appropriate value for Operation
NOTE: Please refer to BioDYM documentation for specific requirements.</v>
      </c>
      <c r="G166" t="s">
        <v>1020</v>
      </c>
      <c r="H166" t="s">
        <v>845</v>
      </c>
      <c r="I166" t="s">
        <v>905</v>
      </c>
      <c r="L166" s="145" t="s">
        <v>499</v>
      </c>
    </row>
    <row r="167" spans="1:12" ht="75" x14ac:dyDescent="0.25">
      <c r="A167">
        <v>164</v>
      </c>
      <c r="B167" t="s">
        <v>647</v>
      </c>
      <c r="C167" s="145" t="s">
        <v>290</v>
      </c>
      <c r="D167" t="s">
        <v>844</v>
      </c>
      <c r="E167" t="s">
        <v>845</v>
      </c>
      <c r="F167" s="1" t="str">
        <f>"PURPOSE: "&amp;G167&amp;CHAR(10)&amp;CHAR(10)&amp;"ACTION: "&amp;H167&amp;CHAR(10)&amp;CHAR(10)&amp;"NOTE: "&amp;I167</f>
        <v>PURPOSE: Data field for New_Value in 5_1_Scenario_Manager
ACTION: Enter appropriate value for New_Value
NOTE: Please refer to BioDYM documentation for specific requirements.</v>
      </c>
      <c r="G167" t="s">
        <v>1021</v>
      </c>
      <c r="H167" t="s">
        <v>847</v>
      </c>
      <c r="I167" t="s">
        <v>905</v>
      </c>
      <c r="L167" s="145" t="s">
        <v>497</v>
      </c>
    </row>
    <row r="168" spans="1:12" ht="75" x14ac:dyDescent="0.25">
      <c r="A168">
        <v>165</v>
      </c>
      <c r="B168" s="3" t="s">
        <v>647</v>
      </c>
      <c r="C168" s="236" t="s">
        <v>261</v>
      </c>
      <c r="D168" t="s">
        <v>846</v>
      </c>
      <c r="E168" t="s">
        <v>847</v>
      </c>
      <c r="F168" s="1" t="str">
        <f>"PURPOSE: "&amp;G168&amp;CHAR(10)&amp;CHAR(10)&amp;"ACTION: "&amp;H168&amp;CHAR(10)&amp;CHAR(10)&amp;"NOTE: "&amp;I168</f>
        <v>PURPOSE: Data field for start_year in 5_1_Scenario_Manager
ACTION: Enter appropriate value for start_year
NOTE: Please refer to BioDYM documentation for specific requirements.</v>
      </c>
      <c r="G168" t="s">
        <v>1022</v>
      </c>
      <c r="H168" t="s">
        <v>849</v>
      </c>
      <c r="I168" t="s">
        <v>905</v>
      </c>
      <c r="L168" s="145" t="s">
        <v>500</v>
      </c>
    </row>
    <row r="169" spans="1:12" ht="75" x14ac:dyDescent="0.25">
      <c r="A169">
        <v>166</v>
      </c>
      <c r="B169" t="s">
        <v>647</v>
      </c>
      <c r="C169" s="236" t="s">
        <v>542</v>
      </c>
      <c r="D169" t="s">
        <v>848</v>
      </c>
      <c r="E169" t="s">
        <v>849</v>
      </c>
      <c r="F169" s="1" t="str">
        <f>"PURPOSE: "&amp;G169&amp;CHAR(10)&amp;CHAR(10)&amp;"ACTION: "&amp;H169&amp;CHAR(10)&amp;CHAR(10)&amp;"NOTE: "&amp;I169</f>
        <v>PURPOSE: Data field for end_year in 5_1_Scenario_Manager
ACTION: Enter appropriate value for end_year
NOTE: Please refer to BioDYM documentation for specific requirements.</v>
      </c>
      <c r="G169" t="s">
        <v>1023</v>
      </c>
      <c r="H169" t="s">
        <v>851</v>
      </c>
      <c r="I169" t="s">
        <v>905</v>
      </c>
      <c r="L169" s="145" t="s">
        <v>498</v>
      </c>
    </row>
    <row r="170" spans="1:12" ht="75" x14ac:dyDescent="0.25">
      <c r="A170">
        <v>167</v>
      </c>
      <c r="B170" s="3" t="s">
        <v>647</v>
      </c>
      <c r="C170" s="145" t="s">
        <v>543</v>
      </c>
      <c r="D170" t="s">
        <v>850</v>
      </c>
      <c r="E170" t="s">
        <v>851</v>
      </c>
      <c r="F170" s="1" t="str">
        <f>"PURPOSE: "&amp;G170&amp;CHAR(10)&amp;CHAR(10)&amp;"ACTION: "&amp;H170&amp;CHAR(10)&amp;CHAR(10)&amp;"NOTE: "&amp;I170</f>
        <v>PURPOSE: Data field for Comment in 5_1_Scenario_Manager
ACTION: Enter appropriate value for Comment
NOTE: Please refer to BioDYM documentation for specific requirements.</v>
      </c>
      <c r="G170" t="s">
        <v>1024</v>
      </c>
      <c r="H170" t="s">
        <v>853</v>
      </c>
      <c r="I170" t="s">
        <v>905</v>
      </c>
      <c r="L170" s="145" t="s">
        <v>501</v>
      </c>
    </row>
    <row r="171" spans="1:12" ht="75" x14ac:dyDescent="0.25">
      <c r="A171">
        <v>168</v>
      </c>
      <c r="B171" t="s">
        <v>647</v>
      </c>
      <c r="C171" s="145" t="s">
        <v>27</v>
      </c>
      <c r="D171" t="s">
        <v>852</v>
      </c>
      <c r="E171" t="s">
        <v>853</v>
      </c>
      <c r="F171" s="1" t="str">
        <f>"PURPOSE: "&amp;G171&amp;CHAR(10)&amp;CHAR(10)&amp;"ACTION: "&amp;H171&amp;CHAR(10)&amp;CHAR(10)&amp;"NOTE: "&amp;I171</f>
        <v>PURPOSE: Flag this row as 100% complete for reporting and filtering purposes
ACTION: Click to select
NOTE: This input is optional. Leave blank if the process is ongoing. Used for progress tracking.</v>
      </c>
      <c r="G171" t="s">
        <v>956</v>
      </c>
      <c r="H171" t="s">
        <v>957</v>
      </c>
      <c r="I171" t="s">
        <v>958</v>
      </c>
      <c r="L171" s="145" t="s">
        <v>4</v>
      </c>
    </row>
    <row r="172" spans="1:12" ht="75" x14ac:dyDescent="0.25">
      <c r="A172">
        <v>169</v>
      </c>
      <c r="B172" t="s">
        <v>654</v>
      </c>
      <c r="C172" s="174" t="s">
        <v>41</v>
      </c>
      <c r="D172" t="s">
        <v>759</v>
      </c>
      <c r="E172" t="s">
        <v>760</v>
      </c>
      <c r="F172" s="1" t="str">
        <f>"PURPOSE: "&amp;G172&amp;CHAR(10)&amp;CHAR(10)&amp;"ACTION: "&amp;H172&amp;CHAR(10)&amp;CHAR(10)&amp;"NOTE: "&amp;I172</f>
        <v>PURPOSE: Unique identifier for data row
ACTION: Automatically assigned
NOTE: This field is generated automatically. No manual input required. Used for system identification and linking.</v>
      </c>
      <c r="G172" t="s">
        <v>882</v>
      </c>
      <c r="H172" t="s">
        <v>883</v>
      </c>
      <c r="I172" t="s">
        <v>884</v>
      </c>
    </row>
    <row r="173" spans="1:12" ht="75" x14ac:dyDescent="0.25">
      <c r="A173">
        <v>170</v>
      </c>
      <c r="B173" t="s">
        <v>654</v>
      </c>
      <c r="C173" s="145" t="s">
        <v>19</v>
      </c>
      <c r="D173" t="s">
        <v>665</v>
      </c>
      <c r="E173" t="s">
        <v>666</v>
      </c>
      <c r="F173" s="1" t="str">
        <f>"PURPOSE: "&amp;G173&amp;CHAR(10)&amp;CHAR(10)&amp;"ACTION: "&amp;H173&amp;CHAR(10)&amp;CHAR(10)&amp;"NOTE: "&amp;I173</f>
        <v>PURPOSE: Unique identifier for process
ACTION: Automatically assigned
NOTE: This field is generated automatically. No manual input required. Used for system identification and linking.</v>
      </c>
      <c r="G173" t="s">
        <v>959</v>
      </c>
      <c r="H173" t="s">
        <v>883</v>
      </c>
      <c r="I173" t="s">
        <v>884</v>
      </c>
    </row>
    <row r="174" spans="1:12" ht="75" x14ac:dyDescent="0.25">
      <c r="A174">
        <v>171</v>
      </c>
      <c r="B174" t="s">
        <v>654</v>
      </c>
      <c r="C174" s="145" t="s">
        <v>38</v>
      </c>
      <c r="D174" t="s">
        <v>761</v>
      </c>
      <c r="E174" t="s">
        <v>666</v>
      </c>
      <c r="F174" s="1" t="str">
        <f>"PURPOSE: "&amp;G174&amp;CHAR(10)&amp;CHAR(10)&amp;"ACTION: "&amp;H174&amp;CHAR(10)&amp;CHAR(10)&amp;"NOTE: "&amp;I174</f>
        <v>PURPOSE: Data field for Name(EN) in 6_1_Visualization_Processes
ACTION: Enter appropriate value for Name(EN)
NOTE: Please refer to BioDYM documentation for specific requirements.</v>
      </c>
      <c r="G174" t="s">
        <v>1025</v>
      </c>
      <c r="H174" t="s">
        <v>855</v>
      </c>
      <c r="I174" t="s">
        <v>905</v>
      </c>
    </row>
    <row r="175" spans="1:12" ht="75" x14ac:dyDescent="0.25">
      <c r="A175">
        <v>172</v>
      </c>
      <c r="B175" t="s">
        <v>654</v>
      </c>
      <c r="C175" s="145" t="s">
        <v>43</v>
      </c>
      <c r="D175" t="s">
        <v>854</v>
      </c>
      <c r="E175" t="s">
        <v>855</v>
      </c>
      <c r="F175" s="1" t="str">
        <f>"PURPOSE: "&amp;G175&amp;CHAR(10)&amp;CHAR(10)&amp;"ACTION: "&amp;H175&amp;CHAR(10)&amp;CHAR(10)&amp;"NOTE: "&amp;I175</f>
        <v>PURPOSE: Data field for Color_Category in 6_1_Visualization_Processes
ACTION: Enter appropriate value for Color_Category
NOTE: Please refer to BioDYM documentation for specific requirements.</v>
      </c>
      <c r="G175" t="s">
        <v>1026</v>
      </c>
      <c r="H175" t="s">
        <v>857</v>
      </c>
      <c r="I175" t="s">
        <v>905</v>
      </c>
    </row>
    <row r="176" spans="1:12" ht="75" x14ac:dyDescent="0.25">
      <c r="A176">
        <v>173</v>
      </c>
      <c r="B176" t="s">
        <v>654</v>
      </c>
      <c r="C176" s="145" t="s">
        <v>474</v>
      </c>
      <c r="D176" t="s">
        <v>856</v>
      </c>
      <c r="E176" t="s">
        <v>857</v>
      </c>
      <c r="F176" s="1" t="str">
        <f>"PURPOSE: "&amp;G176&amp;CHAR(10)&amp;CHAR(10)&amp;"ACTION: "&amp;H176&amp;CHAR(10)&amp;CHAR(10)&amp;"NOTE: "&amp;I176</f>
        <v>PURPOSE: Data field for Node_Color in 6_1_Visualization_Processes
ACTION: Enter appropriate value for Node_Color
NOTE: Please refer to BioDYM documentation for specific requirements.</v>
      </c>
      <c r="G176" t="s">
        <v>1027</v>
      </c>
      <c r="H176" t="s">
        <v>859</v>
      </c>
      <c r="I176" t="s">
        <v>905</v>
      </c>
    </row>
    <row r="177" spans="1:11" ht="75" x14ac:dyDescent="0.25">
      <c r="A177">
        <v>174</v>
      </c>
      <c r="B177" t="s">
        <v>654</v>
      </c>
      <c r="C177" s="236" t="s">
        <v>333</v>
      </c>
      <c r="D177" t="s">
        <v>858</v>
      </c>
      <c r="E177" t="s">
        <v>859</v>
      </c>
      <c r="F177" s="1" t="str">
        <f>"PURPOSE: "&amp;G177&amp;CHAR(10)&amp;CHAR(10)&amp;"ACTION: "&amp;H177&amp;CHAR(10)&amp;CHAR(10)&amp;"NOTE: "&amp;I177</f>
        <v>PURPOSE: Data field for Node_Color_# in 6_1_Visualization_Processes
ACTION: Enter appropriate value for Node_Color_#
NOTE: Please refer to BioDYM documentation for specific requirements.</v>
      </c>
      <c r="G177" t="s">
        <v>1028</v>
      </c>
      <c r="H177" t="s">
        <v>861</v>
      </c>
      <c r="I177" t="s">
        <v>905</v>
      </c>
    </row>
    <row r="178" spans="1:11" ht="75" x14ac:dyDescent="0.25">
      <c r="A178">
        <v>175</v>
      </c>
      <c r="B178" t="s">
        <v>654</v>
      </c>
      <c r="C178" s="236" t="s">
        <v>336</v>
      </c>
      <c r="D178" t="s">
        <v>860</v>
      </c>
      <c r="E178" t="s">
        <v>861</v>
      </c>
      <c r="F178" s="1" t="str">
        <f>"PURPOSE: "&amp;G178&amp;CHAR(10)&amp;CHAR(10)&amp;"ACTION: "&amp;H178&amp;CHAR(10)&amp;CHAR(10)&amp;"NOTE: "&amp;I178</f>
        <v>PURPOSE: Data field for X_Position_Material in 6_1_Visualization_Processes
ACTION: Enter appropriate value for X_Position_Material
NOTE: Please refer to BioDYM documentation for specific requirements.</v>
      </c>
      <c r="G178" t="s">
        <v>1029</v>
      </c>
      <c r="H178" t="s">
        <v>863</v>
      </c>
      <c r="I178" t="s">
        <v>905</v>
      </c>
    </row>
    <row r="179" spans="1:11" ht="75" x14ac:dyDescent="0.25">
      <c r="A179">
        <v>176</v>
      </c>
      <c r="B179" t="s">
        <v>654</v>
      </c>
      <c r="C179" s="145" t="s">
        <v>494</v>
      </c>
      <c r="D179" t="s">
        <v>862</v>
      </c>
      <c r="E179" t="s">
        <v>863</v>
      </c>
      <c r="F179" s="1" t="str">
        <f>"PURPOSE: "&amp;G179&amp;CHAR(10)&amp;CHAR(10)&amp;"ACTION: "&amp;H179&amp;CHAR(10)&amp;CHAR(10)&amp;"NOTE: "&amp;I179</f>
        <v>PURPOSE: Data field for Y_Position_Material in 6_1_Visualization_Processes
ACTION: Enter appropriate value for Y_Position_Material
NOTE: Please refer to BioDYM documentation for specific requirements.</v>
      </c>
      <c r="G179" t="s">
        <v>1030</v>
      </c>
      <c r="H179" t="s">
        <v>865</v>
      </c>
      <c r="I179" t="s">
        <v>905</v>
      </c>
    </row>
    <row r="180" spans="1:11" ht="75" x14ac:dyDescent="0.25">
      <c r="A180">
        <v>177</v>
      </c>
      <c r="B180" t="s">
        <v>654</v>
      </c>
      <c r="C180" s="145" t="s">
        <v>495</v>
      </c>
      <c r="D180" t="s">
        <v>864</v>
      </c>
      <c r="E180" t="s">
        <v>865</v>
      </c>
      <c r="F180" s="1" t="str">
        <f>"PURPOSE: "&amp;G180&amp;CHAR(10)&amp;CHAR(10)&amp;"ACTION: "&amp;H180&amp;CHAR(10)&amp;CHAR(10)&amp;"NOTE: "&amp;I180</f>
        <v>PURPOSE: Data field for X_Position_WC in 6_1_Visualization_Processes
ACTION: Enter appropriate value for X_Position_WC
NOTE: Please refer to BioDYM documentation for specific requirements.</v>
      </c>
      <c r="G180" t="s">
        <v>1031</v>
      </c>
      <c r="H180" t="s">
        <v>867</v>
      </c>
      <c r="I180" t="s">
        <v>905</v>
      </c>
    </row>
    <row r="181" spans="1:11" ht="75" x14ac:dyDescent="0.25">
      <c r="A181">
        <v>178</v>
      </c>
      <c r="B181" t="s">
        <v>654</v>
      </c>
      <c r="C181" s="145" t="s">
        <v>4</v>
      </c>
      <c r="D181" t="s">
        <v>866</v>
      </c>
      <c r="E181" t="s">
        <v>867</v>
      </c>
      <c r="F181" s="1" t="str">
        <f>"PURPOSE: "&amp;G181&amp;CHAR(10)&amp;CHAR(10)&amp;"ACTION: "&amp;H181&amp;CHAR(10)&amp;CHAR(10)&amp;"NOTE: "&amp;I181</f>
        <v>PURPOSE: Data field for Y_Position_WC in 6_1_Visualization_Processes
ACTION: Enter appropriate value for Y_Position_WC
NOTE: Please refer to BioDYM documentation for specific requirements.</v>
      </c>
      <c r="G181" t="s">
        <v>1032</v>
      </c>
      <c r="H181" t="s">
        <v>869</v>
      </c>
      <c r="I181" t="s">
        <v>905</v>
      </c>
    </row>
    <row r="182" spans="1:11" ht="75" x14ac:dyDescent="0.25">
      <c r="A182">
        <v>178</v>
      </c>
      <c r="B182" t="s">
        <v>655</v>
      </c>
      <c r="C182" s="145" t="s">
        <v>4</v>
      </c>
      <c r="D182" t="s">
        <v>868</v>
      </c>
      <c r="E182" t="s">
        <v>869</v>
      </c>
      <c r="F182" s="1" t="str">
        <f>"PURPOSE: "&amp;G182&amp;CHAR(10)&amp;CHAR(10)&amp;"ACTION: "&amp;H182&amp;CHAR(10)&amp;CHAR(10)&amp;"NOTE: "&amp;I182</f>
        <v>PURPOSE: Data field for X_Position_DM in 6_1_Visualization_Processes
ACTION: Enter appropriate value for X_Position_DM
NOTE: Please refer to BioDYM documentation for specific requirements.</v>
      </c>
      <c r="G182" t="s">
        <v>1033</v>
      </c>
      <c r="H182" t="s">
        <v>871</v>
      </c>
      <c r="I182" t="s">
        <v>905</v>
      </c>
    </row>
    <row r="183" spans="1:11" ht="75" x14ac:dyDescent="0.25">
      <c r="A183">
        <v>178</v>
      </c>
      <c r="B183" t="s">
        <v>655</v>
      </c>
      <c r="C183" s="145" t="s">
        <v>356</v>
      </c>
      <c r="D183" t="s">
        <v>870</v>
      </c>
      <c r="E183" t="s">
        <v>871</v>
      </c>
      <c r="F183" s="1" t="str">
        <f>"PURPOSE: "&amp;G183&amp;CHAR(10)&amp;CHAR(10)&amp;"ACTION: "&amp;H183&amp;CHAR(10)&amp;CHAR(10)&amp;"NOTE: "&amp;I183</f>
        <v>PURPOSE: Data field for Y_Position_DM in 6_1_Visualization_Processes
ACTION: Enter appropriate value for Y_Position_DM
NOTE: Please refer to BioDYM documentation for specific requirements.</v>
      </c>
      <c r="G183" t="s">
        <v>1034</v>
      </c>
      <c r="H183" t="s">
        <v>873</v>
      </c>
      <c r="I183" t="s">
        <v>905</v>
      </c>
    </row>
    <row r="184" spans="1:11" ht="75" x14ac:dyDescent="0.25">
      <c r="A184">
        <v>178</v>
      </c>
      <c r="B184" t="s">
        <v>655</v>
      </c>
      <c r="C184" s="145" t="s">
        <v>475</v>
      </c>
      <c r="D184" t="s">
        <v>872</v>
      </c>
      <c r="E184" t="s">
        <v>873</v>
      </c>
      <c r="F184" s="1" t="str">
        <f>"PURPOSE: "&amp;G184&amp;CHAR(10)&amp;CHAR(10)&amp;"ACTION: "&amp;H184&amp;CHAR(10)&amp;CHAR(10)&amp;"NOTE: "&amp;I184</f>
        <v>PURPOSE: Data field for X_Position_CC in 6_1_Visualization_Processes
ACTION: Enter appropriate value for X_Position_CC
NOTE: Please refer to BioDYM documentation for specific requirements.</v>
      </c>
      <c r="G184" t="s">
        <v>1035</v>
      </c>
      <c r="H184" t="s">
        <v>875</v>
      </c>
      <c r="I184" t="s">
        <v>905</v>
      </c>
    </row>
    <row r="185" spans="1:11" ht="75" x14ac:dyDescent="0.25">
      <c r="A185">
        <v>178</v>
      </c>
      <c r="B185" t="s">
        <v>655</v>
      </c>
      <c r="C185" s="145" t="s">
        <v>26</v>
      </c>
      <c r="D185" t="s">
        <v>874</v>
      </c>
      <c r="E185" t="s">
        <v>875</v>
      </c>
      <c r="F185" s="1" t="str">
        <f>"PURPOSE: "&amp;G185&amp;CHAR(10)&amp;CHAR(10)&amp;"ACTION: "&amp;H185&amp;CHAR(10)&amp;CHAR(10)&amp;"NOTE: "&amp;I185</f>
        <v>PURPOSE: Data field for Y_Position_CC in 6_1_Visualization_Processes
ACTION: Enter appropriate value for Y_Position_CC
NOTE: Please refer to BioDYM documentation for specific requirements.</v>
      </c>
      <c r="G185" t="s">
        <v>1036</v>
      </c>
      <c r="H185" t="s">
        <v>877</v>
      </c>
      <c r="I185" t="s">
        <v>905</v>
      </c>
    </row>
    <row r="186" spans="1:11" ht="75" x14ac:dyDescent="0.25">
      <c r="A186">
        <v>178</v>
      </c>
      <c r="B186" t="s">
        <v>655</v>
      </c>
      <c r="C186" s="145" t="s">
        <v>19</v>
      </c>
      <c r="D186" t="s">
        <v>876</v>
      </c>
      <c r="E186" t="s">
        <v>877</v>
      </c>
      <c r="F186" s="1" t="str">
        <f>"PURPOSE: "&amp;G186&amp;CHAR(10)&amp;CHAR(10)&amp;"ACTION: "&amp;H186&amp;CHAR(10)&amp;CHAR(10)&amp;"NOTE: "&amp;I186</f>
        <v>PURPOSE: Defines the Process Description for identification and visualization
ACTION: Enter a comprehensive Process Description name (e.g., "Wood processing facility, Biomass combustion unit")
NOTE: Select a unique comprehensive name, which is displayed within the entire system. Use descriptive names for clarity.</v>
      </c>
      <c r="G186" t="s">
        <v>962</v>
      </c>
      <c r="H186" t="s">
        <v>963</v>
      </c>
      <c r="I186" t="s">
        <v>888</v>
      </c>
      <c r="K186" s="145" t="s">
        <v>19</v>
      </c>
    </row>
    <row r="187" spans="1:11" ht="75" x14ac:dyDescent="0.25">
      <c r="A187">
        <v>178</v>
      </c>
      <c r="B187" t="s">
        <v>655</v>
      </c>
      <c r="C187" s="145" t="s">
        <v>43</v>
      </c>
      <c r="D187" t="s">
        <v>764</v>
      </c>
      <c r="E187" t="s">
        <v>765</v>
      </c>
      <c r="F187" s="1" t="str">
        <f>"PURPOSE: "&amp;G187&amp;CHAR(10)&amp;CHAR(10)&amp;"ACTION: "&amp;H187&amp;CHAR(10)&amp;CHAR(10)&amp;"NOTE: "&amp;I187</f>
        <v>PURPOSE: Unique identifier for data row
ACTION: Automatically assigned
NOTE: This field is generated automatically. No manual input required. Used for system identification and linking.</v>
      </c>
      <c r="G187" t="s">
        <v>882</v>
      </c>
      <c r="H187" t="s">
        <v>883</v>
      </c>
      <c r="I187" t="s">
        <v>884</v>
      </c>
      <c r="K187" s="145" t="s">
        <v>26</v>
      </c>
    </row>
    <row r="188" spans="1:11" ht="75" x14ac:dyDescent="0.25">
      <c r="A188">
        <v>178</v>
      </c>
      <c r="B188" t="s">
        <v>654</v>
      </c>
      <c r="C188" s="145" t="s">
        <v>498</v>
      </c>
      <c r="D188" t="s">
        <v>665</v>
      </c>
      <c r="E188" t="s">
        <v>666</v>
      </c>
      <c r="F188" s="1" t="str">
        <f>"PURPOSE: "&amp;G188&amp;CHAR(10)&amp;CHAR(10)&amp;"ACTION: "&amp;H188&amp;CHAR(10)&amp;CHAR(10)&amp;"NOTE: "&amp;I188</f>
        <v>PURPOSE: Unique identifier for material flow
ACTION: Automatically assigned
NOTE: This field is generated automatically. No manual input required. Used for system identification and linking.</v>
      </c>
      <c r="G188" t="s">
        <v>885</v>
      </c>
      <c r="H188" t="s">
        <v>883</v>
      </c>
      <c r="I188" t="s">
        <v>884</v>
      </c>
      <c r="K188" s="145" t="s">
        <v>43</v>
      </c>
    </row>
    <row r="189" spans="1:11" ht="75" x14ac:dyDescent="0.25">
      <c r="A189">
        <v>178</v>
      </c>
      <c r="B189" t="s">
        <v>654</v>
      </c>
      <c r="C189" s="145" t="s">
        <v>497</v>
      </c>
      <c r="D189" t="s">
        <v>667</v>
      </c>
      <c r="E189" t="s">
        <v>666</v>
      </c>
      <c r="F189" s="1" t="str">
        <f>"PURPOSE: "&amp;G189&amp;CHAR(10)&amp;CHAR(10)&amp;"ACTION: "&amp;H189&amp;CHAR(10)&amp;CHAR(10)&amp;"NOTE: "&amp;I189</f>
        <v>PURPOSE: Data field for Name(EN) in 6_2_Visualization_Flows
ACTION: Enter appropriate value for Name(EN)
NOTE: Please refer to BioDYM documentation for specific requirements.</v>
      </c>
      <c r="G189" t="s">
        <v>1037</v>
      </c>
      <c r="H189" t="s">
        <v>855</v>
      </c>
      <c r="I189" t="s">
        <v>905</v>
      </c>
      <c r="K189" s="145" t="s">
        <v>356</v>
      </c>
    </row>
    <row r="190" spans="1:11" ht="75" x14ac:dyDescent="0.25">
      <c r="A190">
        <v>178</v>
      </c>
      <c r="B190" t="s">
        <v>654</v>
      </c>
      <c r="C190" s="145" t="s">
        <v>496</v>
      </c>
      <c r="D190" t="s">
        <v>854</v>
      </c>
      <c r="E190" t="s">
        <v>855</v>
      </c>
      <c r="F190" s="1" t="str">
        <f>"PURPOSE: "&amp;G190&amp;CHAR(10)&amp;CHAR(10)&amp;"ACTION: "&amp;H190&amp;CHAR(10)&amp;CHAR(10)&amp;"NOTE: "&amp;I190</f>
        <v>PURPOSE: Data field for Flow_Color in 6_2_Visualization_Flows
ACTION: Enter appropriate value for Flow_Color
NOTE: Please refer to BioDYM documentation for specific requirements.</v>
      </c>
      <c r="G190" t="s">
        <v>1038</v>
      </c>
      <c r="H190" t="s">
        <v>879</v>
      </c>
      <c r="I190" t="s">
        <v>905</v>
      </c>
      <c r="K190" s="145" t="s">
        <v>475</v>
      </c>
    </row>
    <row r="191" spans="1:11" ht="75" x14ac:dyDescent="0.25">
      <c r="A191">
        <v>178</v>
      </c>
      <c r="B191" t="s">
        <v>654</v>
      </c>
      <c r="C191" s="145" t="s">
        <v>501</v>
      </c>
      <c r="D191" t="s">
        <v>878</v>
      </c>
      <c r="E191" t="s">
        <v>879</v>
      </c>
      <c r="F191" s="1" t="str">
        <f>"PURPOSE: "&amp;G191&amp;CHAR(10)&amp;CHAR(10)&amp;"ACTION: "&amp;H191&amp;CHAR(10)&amp;CHAR(10)&amp;"NOTE: "&amp;I191</f>
        <v>PURPOSE: Data field for Flow_Color_# in 6_2_Visualization_Flows
ACTION: Enter appropriate value for Flow_Color_#
NOTE: Please refer to BioDYM documentation for specific requirements.</v>
      </c>
      <c r="G191" t="s">
        <v>1039</v>
      </c>
      <c r="H191" t="s">
        <v>881</v>
      </c>
      <c r="I191" t="s">
        <v>905</v>
      </c>
      <c r="K191" s="145" t="s">
        <v>4</v>
      </c>
    </row>
    <row r="192" spans="1:11" ht="75" x14ac:dyDescent="0.25">
      <c r="A192">
        <v>178</v>
      </c>
      <c r="B192" t="s">
        <v>654</v>
      </c>
      <c r="C192" s="145" t="s">
        <v>500</v>
      </c>
      <c r="D192" t="s">
        <v>880</v>
      </c>
      <c r="E192" t="s">
        <v>881</v>
      </c>
      <c r="F192" s="1" t="str">
        <f>"PURPOSE: "&amp;G192&amp;CHAR(10)&amp;CHAR(10)&amp;"ACTION: "&amp;H192&amp;CHAR(10)&amp;CHAR(10)&amp;"NOTE: "&amp;I192</f>
        <v>PURPOSE: Defines the Process Description for identification and visualization
ACTION: Enter a comprehensive Process Description name (e.g., "Wood processing facility, Biomass combustion unit")
NOTE: Select a unique comprehensive name, which is displayed within the entire system. Use descriptive names for clarity.</v>
      </c>
      <c r="G192" t="s">
        <v>962</v>
      </c>
      <c r="H192" t="s">
        <v>963</v>
      </c>
      <c r="I192" t="s">
        <v>888</v>
      </c>
    </row>
    <row r="193" spans="1:6" ht="75" x14ac:dyDescent="0.25">
      <c r="A193">
        <v>178</v>
      </c>
      <c r="B193" t="s">
        <v>654</v>
      </c>
      <c r="C193" s="145" t="s">
        <v>499</v>
      </c>
      <c r="D193" t="s">
        <v>764</v>
      </c>
      <c r="E193" t="s">
        <v>765</v>
      </c>
      <c r="F193" s="1" t="str">
        <f>"PURPOSE: "&amp;G193&amp;CHAR(10)&amp;CHAR(10)&amp;"ACTION: "&amp;H193&amp;CHAR(10)&amp;CHAR(10)&amp;"NOTE: "&amp;I193</f>
        <v xml:space="preserve">PURPOSE: 
ACTION: 
NOTE: </v>
      </c>
    </row>
    <row r="194" spans="1:6" ht="75" x14ac:dyDescent="0.25">
      <c r="C194" s="145"/>
      <c r="F194" s="1" t="str">
        <f>"PURPOSE: "&amp;G194&amp;CHAR(10)&amp;CHAR(10)&amp;"ACTION: "&amp;H194&amp;CHAR(10)&amp;CHAR(10)&amp;"NOTE: "&amp;I194</f>
        <v xml:space="preserve">PURPOSE: 
ACTION: 
NOTE: </v>
      </c>
    </row>
    <row r="195" spans="1:6" ht="75" x14ac:dyDescent="0.25">
      <c r="C195" s="145"/>
      <c r="F195" s="1" t="str">
        <f>"PURPOSE: "&amp;G195&amp;CHAR(10)&amp;CHAR(10)&amp;"ACTION: "&amp;H195&amp;CHAR(10)&amp;CHAR(10)&amp;"NOTE: "&amp;I195</f>
        <v xml:space="preserve">PURPOSE: 
ACTION: 
NOTE: </v>
      </c>
    </row>
    <row r="196" spans="1:6" ht="75" x14ac:dyDescent="0.25">
      <c r="C196" s="145"/>
      <c r="F196" s="1" t="str">
        <f>"PURPOSE: "&amp;G196&amp;CHAR(10)&amp;CHAR(10)&amp;"ACTION: "&amp;H196&amp;CHAR(10)&amp;CHAR(10)&amp;"NOTE: "&amp;I196</f>
        <v xml:space="preserve">PURPOSE: 
ACTION: 
NOTE: </v>
      </c>
    </row>
    <row r="197" spans="1:6" ht="75" x14ac:dyDescent="0.25">
      <c r="C197" s="145"/>
      <c r="F197" s="1" t="str">
        <f>"PURPOSE: "&amp;G197&amp;CHAR(10)&amp;CHAR(10)&amp;"ACTION: "&amp;H197&amp;CHAR(10)&amp;CHAR(10)&amp;"NOTE: "&amp;I197</f>
        <v xml:space="preserve">PURPOSE: 
ACTION: 
NOTE: </v>
      </c>
    </row>
    <row r="198" spans="1:6" ht="75" x14ac:dyDescent="0.25">
      <c r="C198" s="145"/>
      <c r="F198" s="1" t="str">
        <f>"PURPOSE: "&amp;G198&amp;CHAR(10)&amp;CHAR(10)&amp;"ACTION: "&amp;H198&amp;CHAR(10)&amp;CHAR(10)&amp;"NOTE: "&amp;I198</f>
        <v xml:space="preserve">PURPOSE: 
ACTION: 
NOTE: </v>
      </c>
    </row>
    <row r="199" spans="1:6" ht="75" x14ac:dyDescent="0.25">
      <c r="C199" s="145"/>
      <c r="F199" s="1" t="str">
        <f>"PURPOSE: "&amp;G199&amp;CHAR(10)&amp;CHAR(10)&amp;"ACTION: "&amp;H199&amp;CHAR(10)&amp;CHAR(10)&amp;"NOTE: "&amp;I199</f>
        <v xml:space="preserve">PURPOSE: 
ACTION: 
NOTE: </v>
      </c>
    </row>
    <row r="200" spans="1:6" ht="75" x14ac:dyDescent="0.25">
      <c r="C200" s="145"/>
      <c r="F200" s="1" t="str">
        <f>"PURPOSE: "&amp;G200&amp;CHAR(10)&amp;CHAR(10)&amp;"ACTION: "&amp;H200&amp;CHAR(10)&amp;CHAR(10)&amp;"NOTE: "&amp;I200</f>
        <v xml:space="preserve">PURPOSE: 
ACTION: 
NOTE: </v>
      </c>
    </row>
    <row r="201" spans="1:6" ht="75" x14ac:dyDescent="0.25">
      <c r="C201" s="145"/>
      <c r="F201" s="1" t="str">
        <f>"PURPOSE: "&amp;G201&amp;CHAR(10)&amp;CHAR(10)&amp;"ACTION: "&amp;H201&amp;CHAR(10)&amp;CHAR(10)&amp;"NOTE: "&amp;I201</f>
        <v xml:space="preserve">PURPOSE: 
ACTION: 
NOTE: </v>
      </c>
    </row>
    <row r="202" spans="1:6" ht="75" x14ac:dyDescent="0.25">
      <c r="C202" s="145"/>
      <c r="F202" s="1" t="str">
        <f>"PURPOSE: "&amp;G202&amp;CHAR(10)&amp;CHAR(10)&amp;"ACTION: "&amp;H202&amp;CHAR(10)&amp;CHAR(10)&amp;"NOTE: "&amp;I202</f>
        <v xml:space="preserve">PURPOSE: 
ACTION: 
NOTE: </v>
      </c>
    </row>
    <row r="203" spans="1:6" ht="75" x14ac:dyDescent="0.25">
      <c r="C203" s="145"/>
      <c r="F203" s="1" t="str">
        <f>"PURPOSE: "&amp;G203&amp;CHAR(10)&amp;CHAR(10)&amp;"ACTION: "&amp;H203&amp;CHAR(10)&amp;CHAR(10)&amp;"NOTE: "&amp;I203</f>
        <v xml:space="preserve">PURPOSE: 
ACTION: 
NOTE: </v>
      </c>
    </row>
    <row r="204" spans="1:6" ht="75" x14ac:dyDescent="0.25">
      <c r="C204" s="145"/>
      <c r="F204" s="1" t="str">
        <f>"PURPOSE: "&amp;G204&amp;CHAR(10)&amp;CHAR(10)&amp;"ACTION: "&amp;H204&amp;CHAR(10)&amp;CHAR(10)&amp;"NOTE: "&amp;I204</f>
        <v xml:space="preserve">PURPOSE: 
ACTION: 
NOTE: </v>
      </c>
    </row>
    <row r="205" spans="1:6" ht="75" x14ac:dyDescent="0.25">
      <c r="C205" s="145"/>
      <c r="F205" s="1" t="str">
        <f>"PURPOSE: "&amp;G205&amp;CHAR(10)&amp;CHAR(10)&amp;"ACTION: "&amp;H205&amp;CHAR(10)&amp;CHAR(10)&amp;"NOTE: "&amp;I205</f>
        <v xml:space="preserve">PURPOSE: 
ACTION: 
NOTE: </v>
      </c>
    </row>
    <row r="206" spans="1:6" ht="75" x14ac:dyDescent="0.25">
      <c r="C206" s="145"/>
      <c r="F206" s="1" t="str">
        <f>"PURPOSE: "&amp;G206&amp;CHAR(10)&amp;CHAR(10)&amp;"ACTION: "&amp;H206&amp;CHAR(10)&amp;CHAR(10)&amp;"NOTE: "&amp;I206</f>
        <v xml:space="preserve">PURPOSE: 
ACTION: 
NOTE: </v>
      </c>
    </row>
    <row r="207" spans="1:6" ht="75" x14ac:dyDescent="0.25">
      <c r="C207" s="145"/>
      <c r="F207" s="1" t="str">
        <f>"PURPOSE: "&amp;G207&amp;CHAR(10)&amp;CHAR(10)&amp;"ACTION: "&amp;H207&amp;CHAR(10)&amp;CHAR(10)&amp;"NOTE: "&amp;I207</f>
        <v xml:space="preserve">PURPOSE: 
ACTION: 
NOTE: </v>
      </c>
    </row>
    <row r="208" spans="1:6" ht="75" x14ac:dyDescent="0.25">
      <c r="C208" s="145"/>
      <c r="F208" s="1" t="str">
        <f>"PURPOSE: "&amp;G208&amp;CHAR(10)&amp;CHAR(10)&amp;"ACTION: "&amp;H208&amp;CHAR(10)&amp;CHAR(10)&amp;"NOTE: "&amp;I208</f>
        <v xml:space="preserve">PURPOSE: 
ACTION: 
NOTE: </v>
      </c>
    </row>
    <row r="209" spans="3:6" ht="75" x14ac:dyDescent="0.25">
      <c r="C209" s="145"/>
      <c r="F209" s="1" t="str">
        <f>"PURPOSE: "&amp;G209&amp;CHAR(10)&amp;CHAR(10)&amp;"ACTION: "&amp;H209&amp;CHAR(10)&amp;CHAR(10)&amp;"NOTE: "&amp;I209</f>
        <v xml:space="preserve">PURPOSE: 
ACTION: 
NOTE: </v>
      </c>
    </row>
    <row r="210" spans="3:6" ht="75" x14ac:dyDescent="0.25">
      <c r="C210" s="145"/>
      <c r="F210" s="1" t="str">
        <f>"PURPOSE: "&amp;G210&amp;CHAR(10)&amp;CHAR(10)&amp;"ACTION: "&amp;H210&amp;CHAR(10)&amp;CHAR(10)&amp;"NOTE: "&amp;I210</f>
        <v xml:space="preserve">PURPOSE: 
ACTION: 
NOTE: </v>
      </c>
    </row>
    <row r="211" spans="3:6" ht="75" x14ac:dyDescent="0.25">
      <c r="C211" s="145"/>
      <c r="F211" s="1" t="str">
        <f>"PURPOSE: "&amp;G211&amp;CHAR(10)&amp;CHAR(10)&amp;"ACTION: "&amp;H211&amp;CHAR(10)&amp;CHAR(10)&amp;"NOTE: "&amp;I211</f>
        <v xml:space="preserve">PURPOSE: 
ACTION: 
NOTE: </v>
      </c>
    </row>
    <row r="212" spans="3:6" ht="75" x14ac:dyDescent="0.25">
      <c r="C212" s="145"/>
      <c r="F212" s="1" t="str">
        <f>"PURPOSE: "&amp;G212&amp;CHAR(10)&amp;CHAR(10)&amp;"ACTION: "&amp;H212&amp;CHAR(10)&amp;CHAR(10)&amp;"NOTE: "&amp;I212</f>
        <v xml:space="preserve">PURPOSE: 
ACTION: 
NOTE: </v>
      </c>
    </row>
    <row r="213" spans="3:6" ht="75" x14ac:dyDescent="0.25">
      <c r="C213" s="145"/>
      <c r="F213" s="1" t="str">
        <f>"PURPOSE: "&amp;G213&amp;CHAR(10)&amp;CHAR(10)&amp;"ACTION: "&amp;H213&amp;CHAR(10)&amp;CHAR(10)&amp;"NOTE: "&amp;I213</f>
        <v xml:space="preserve">PURPOSE: 
ACTION: 
NOTE: </v>
      </c>
    </row>
    <row r="214" spans="3:6" ht="75" x14ac:dyDescent="0.25">
      <c r="C214" s="145"/>
      <c r="F214" s="1" t="str">
        <f>"PURPOSE: "&amp;G214&amp;CHAR(10)&amp;CHAR(10)&amp;"ACTION: "&amp;H214&amp;CHAR(10)&amp;CHAR(10)&amp;"NOTE: "&amp;I214</f>
        <v xml:space="preserve">PURPOSE: 
ACTION: 
NOTE: </v>
      </c>
    </row>
    <row r="215" spans="3:6" ht="75" x14ac:dyDescent="0.25">
      <c r="C215" s="145"/>
      <c r="F215" s="1" t="str">
        <f>"PURPOSE: "&amp;G215&amp;CHAR(10)&amp;CHAR(10)&amp;"ACTION: "&amp;H215&amp;CHAR(10)&amp;CHAR(10)&amp;"NOTE: "&amp;I215</f>
        <v xml:space="preserve">PURPOSE: 
ACTION: 
NOTE: </v>
      </c>
    </row>
    <row r="216" spans="3:6" ht="75" x14ac:dyDescent="0.25">
      <c r="C216" s="145"/>
      <c r="F216" s="1" t="str">
        <f>"PURPOSE: "&amp;G216&amp;CHAR(10)&amp;CHAR(10)&amp;"ACTION: "&amp;H216&amp;CHAR(10)&amp;CHAR(10)&amp;"NOTE: "&amp;I216</f>
        <v xml:space="preserve">PURPOSE: 
ACTION: 
NOTE: </v>
      </c>
    </row>
    <row r="217" spans="3:6" ht="75" x14ac:dyDescent="0.25">
      <c r="C217" s="173"/>
      <c r="F217" s="1" t="str">
        <f>"PURPOSE: "&amp;G217&amp;CHAR(10)&amp;CHAR(10)&amp;"ACTION: "&amp;H217&amp;CHAR(10)&amp;CHAR(10)&amp;"NOTE: "&amp;I217</f>
        <v xml:space="preserve">PURPOSE: 
ACTION: 
NOTE: </v>
      </c>
    </row>
  </sheetData>
  <mergeCells count="2">
    <mergeCell ref="G2:I2"/>
    <mergeCell ref="D2:E2"/>
  </mergeCells>
  <dataValidations count="1">
    <dataValidation type="whole" allowBlank="1" showInputMessage="1" showErrorMessage="1" sqref="C68 C133 C146" xr:uid="{8A09B6A4-1D05-4803-BAD1-C00A491C01AA}">
      <formula1>0</formula1>
      <formula2>1000</formula2>
    </dataValidation>
  </dataValidations>
  <pageMargins left="0.7" right="0.7" top="0.75" bottom="0.75" header="0.3" footer="0.3"/>
  <legacy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8C4C7861-0909-46F7-A4C9-120E30E423D1}">
          <x14:formula1>
            <xm:f>'2_1_Definition_Processes'!$D$2:$D$47</xm:f>
          </x14:formula1>
          <xm:sqref>L159 C175</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A1:W134"/>
  <sheetViews>
    <sheetView topLeftCell="A62" zoomScaleNormal="100" workbookViewId="0">
      <selection activeCell="G92" sqref="G92"/>
    </sheetView>
  </sheetViews>
  <sheetFormatPr defaultColWidth="10.85546875" defaultRowHeight="15" x14ac:dyDescent="0.25"/>
  <cols>
    <col min="1" max="1" width="33.85546875" customWidth="1"/>
    <col min="2" max="2" width="37.42578125" customWidth="1"/>
    <col min="3" max="3" width="19.140625" customWidth="1"/>
    <col min="4" max="4" width="13.28515625" customWidth="1"/>
    <col min="6" max="6" width="35.140625" customWidth="1"/>
    <col min="7" max="7" width="37.7109375" customWidth="1"/>
    <col min="8" max="8" width="34.140625" customWidth="1"/>
    <col min="9" max="9" width="19.5703125" customWidth="1"/>
    <col min="10" max="10" width="18" customWidth="1"/>
    <col min="11" max="11" width="87.5703125" customWidth="1"/>
    <col min="12" max="12" width="33.42578125" customWidth="1"/>
    <col min="13" max="13" width="11" customWidth="1"/>
    <col min="14" max="14" width="13.140625" customWidth="1"/>
    <col min="15" max="15" width="11" customWidth="1"/>
    <col min="18" max="18" width="21.42578125" customWidth="1"/>
  </cols>
  <sheetData>
    <row r="1" spans="1:15" x14ac:dyDescent="0.25">
      <c r="A1" s="234" t="s">
        <v>230</v>
      </c>
      <c r="B1" s="234"/>
      <c r="C1" s="234"/>
      <c r="E1" s="234" t="s">
        <v>231</v>
      </c>
      <c r="F1" s="234"/>
      <c r="G1" s="234"/>
    </row>
    <row r="2" spans="1:15" x14ac:dyDescent="0.25">
      <c r="A2" s="12" t="s">
        <v>19</v>
      </c>
      <c r="B2" s="12" t="s">
        <v>20</v>
      </c>
      <c r="C2" s="12" t="s">
        <v>4</v>
      </c>
      <c r="E2" s="12" t="s">
        <v>19</v>
      </c>
      <c r="F2" s="12" t="s">
        <v>20</v>
      </c>
      <c r="G2" s="12" t="s">
        <v>4</v>
      </c>
      <c r="I2" s="12" t="s">
        <v>19</v>
      </c>
      <c r="J2" s="12" t="s">
        <v>20</v>
      </c>
      <c r="K2" s="12" t="s">
        <v>4</v>
      </c>
      <c r="L2" s="164"/>
      <c r="M2" s="12" t="s">
        <v>19</v>
      </c>
      <c r="N2" s="12" t="s">
        <v>20</v>
      </c>
      <c r="O2" s="12" t="s">
        <v>4</v>
      </c>
    </row>
    <row r="3" spans="1:15" ht="45" x14ac:dyDescent="0.25">
      <c r="A3" s="3">
        <v>1</v>
      </c>
      <c r="B3" s="3" t="s">
        <v>145</v>
      </c>
      <c r="C3" s="3"/>
      <c r="E3" s="3">
        <v>1</v>
      </c>
      <c r="F3" s="3" t="s">
        <v>64</v>
      </c>
      <c r="G3" s="3" t="s">
        <v>66</v>
      </c>
      <c r="I3" s="3">
        <v>1</v>
      </c>
      <c r="J3" s="3" t="s">
        <v>504</v>
      </c>
      <c r="K3" s="165" t="s">
        <v>509</v>
      </c>
    </row>
    <row r="4" spans="1:15" ht="90" x14ac:dyDescent="0.25">
      <c r="A4" s="3">
        <v>2</v>
      </c>
      <c r="B4" s="3" t="s">
        <v>144</v>
      </c>
      <c r="C4" s="3"/>
      <c r="E4" s="3">
        <v>2</v>
      </c>
      <c r="F4" s="3" t="s">
        <v>65</v>
      </c>
      <c r="G4" s="3" t="s">
        <v>67</v>
      </c>
      <c r="I4">
        <v>2</v>
      </c>
      <c r="J4" t="s">
        <v>505</v>
      </c>
      <c r="K4" s="1" t="s">
        <v>510</v>
      </c>
    </row>
    <row r="5" spans="1:15" x14ac:dyDescent="0.25">
      <c r="A5">
        <v>3</v>
      </c>
      <c r="B5" t="s">
        <v>62</v>
      </c>
      <c r="E5" s="3">
        <v>3</v>
      </c>
      <c r="F5" s="3" t="s">
        <v>69</v>
      </c>
      <c r="G5" s="3" t="s">
        <v>70</v>
      </c>
      <c r="I5" s="3">
        <v>3</v>
      </c>
      <c r="J5" s="3" t="s">
        <v>577</v>
      </c>
      <c r="K5" s="3"/>
    </row>
    <row r="6" spans="1:15" x14ac:dyDescent="0.25">
      <c r="E6" s="3">
        <v>4</v>
      </c>
      <c r="F6" s="3" t="s">
        <v>63</v>
      </c>
      <c r="G6" s="3" t="s">
        <v>68</v>
      </c>
      <c r="I6">
        <v>4</v>
      </c>
      <c r="J6" t="s">
        <v>578</v>
      </c>
    </row>
    <row r="7" spans="1:15" x14ac:dyDescent="0.25">
      <c r="I7" s="3">
        <v>5</v>
      </c>
      <c r="J7" s="3" t="s">
        <v>330</v>
      </c>
      <c r="K7" s="3"/>
    </row>
    <row r="8" spans="1:15" x14ac:dyDescent="0.25">
      <c r="I8" s="3">
        <v>6</v>
      </c>
      <c r="J8" s="3" t="s">
        <v>145</v>
      </c>
      <c r="K8" s="3"/>
    </row>
    <row r="9" spans="1:15" x14ac:dyDescent="0.25">
      <c r="A9" s="234" t="s">
        <v>232</v>
      </c>
      <c r="B9" s="234"/>
      <c r="C9" s="234"/>
      <c r="I9" s="3">
        <v>7</v>
      </c>
      <c r="J9" s="3" t="s">
        <v>144</v>
      </c>
      <c r="K9" s="3"/>
    </row>
    <row r="10" spans="1:15" x14ac:dyDescent="0.25">
      <c r="A10" t="s">
        <v>19</v>
      </c>
      <c r="B10" t="s">
        <v>148</v>
      </c>
      <c r="C10" t="s">
        <v>4</v>
      </c>
      <c r="E10" s="234"/>
      <c r="F10" s="234"/>
      <c r="G10" s="234"/>
    </row>
    <row r="11" spans="1:15" x14ac:dyDescent="0.25">
      <c r="B11" t="s">
        <v>274</v>
      </c>
      <c r="E11" s="151"/>
      <c r="F11" s="151"/>
      <c r="G11" s="151"/>
    </row>
    <row r="12" spans="1:15" x14ac:dyDescent="0.25">
      <c r="B12" t="s">
        <v>284</v>
      </c>
      <c r="E12" s="151"/>
      <c r="F12" s="151"/>
      <c r="G12" s="151"/>
    </row>
    <row r="13" spans="1:15" x14ac:dyDescent="0.25">
      <c r="B13" t="s">
        <v>286</v>
      </c>
      <c r="E13" s="151"/>
      <c r="F13" s="151"/>
      <c r="G13" s="151"/>
    </row>
    <row r="14" spans="1:15" x14ac:dyDescent="0.25">
      <c r="B14" t="s">
        <v>285</v>
      </c>
      <c r="C14" t="s">
        <v>275</v>
      </c>
      <c r="E14" s="151"/>
      <c r="F14" s="151"/>
      <c r="G14" s="151"/>
    </row>
    <row r="15" spans="1:15" x14ac:dyDescent="0.25">
      <c r="B15" t="s">
        <v>287</v>
      </c>
      <c r="E15" s="151"/>
      <c r="F15" s="151"/>
      <c r="G15" s="151"/>
    </row>
    <row r="16" spans="1:15" x14ac:dyDescent="0.25">
      <c r="B16" t="s">
        <v>277</v>
      </c>
      <c r="E16" s="151"/>
      <c r="F16" s="151"/>
      <c r="G16" s="151"/>
    </row>
    <row r="17" spans="1:12" x14ac:dyDescent="0.25">
      <c r="B17" t="s">
        <v>283</v>
      </c>
      <c r="E17" s="151"/>
      <c r="F17" s="151"/>
      <c r="G17" s="151"/>
    </row>
    <row r="18" spans="1:12" x14ac:dyDescent="0.25">
      <c r="B18" t="s">
        <v>278</v>
      </c>
      <c r="E18" s="151"/>
      <c r="F18" s="151"/>
      <c r="G18" s="151"/>
    </row>
    <row r="19" spans="1:12" x14ac:dyDescent="0.25">
      <c r="E19" s="151"/>
      <c r="F19" s="151"/>
      <c r="G19" s="151"/>
    </row>
    <row r="20" spans="1:12" x14ac:dyDescent="0.25">
      <c r="A20" s="234" t="s">
        <v>281</v>
      </c>
      <c r="B20" s="234"/>
      <c r="C20" s="234"/>
    </row>
    <row r="21" spans="1:12" x14ac:dyDescent="0.25">
      <c r="A21" t="s">
        <v>205</v>
      </c>
      <c r="B21" t="s">
        <v>276</v>
      </c>
      <c r="C21" t="s">
        <v>4</v>
      </c>
    </row>
    <row r="22" spans="1:12" x14ac:dyDescent="0.25">
      <c r="A22" t="s">
        <v>285</v>
      </c>
      <c r="B22" t="s">
        <v>285</v>
      </c>
    </row>
    <row r="23" spans="1:12" x14ac:dyDescent="0.25">
      <c r="A23" t="s">
        <v>284</v>
      </c>
      <c r="B23" t="s">
        <v>284</v>
      </c>
    </row>
    <row r="24" spans="1:12" x14ac:dyDescent="0.25">
      <c r="A24" t="s">
        <v>287</v>
      </c>
      <c r="B24" t="s">
        <v>287</v>
      </c>
    </row>
    <row r="25" spans="1:12" x14ac:dyDescent="0.25">
      <c r="A25" t="s">
        <v>286</v>
      </c>
      <c r="B25" t="s">
        <v>286</v>
      </c>
    </row>
    <row r="26" spans="1:12" x14ac:dyDescent="0.25">
      <c r="A26" t="s">
        <v>279</v>
      </c>
      <c r="B26" t="s">
        <v>279</v>
      </c>
    </row>
    <row r="27" spans="1:12" x14ac:dyDescent="0.25">
      <c r="A27" t="s">
        <v>280</v>
      </c>
      <c r="B27" t="s">
        <v>280</v>
      </c>
    </row>
    <row r="28" spans="1:12" x14ac:dyDescent="0.25">
      <c r="J28" s="235" t="s">
        <v>39</v>
      </c>
      <c r="K28" s="235"/>
      <c r="L28" s="235"/>
    </row>
    <row r="29" spans="1:12" x14ac:dyDescent="0.25">
      <c r="J29" s="2" t="s">
        <v>19</v>
      </c>
      <c r="K29" s="2" t="s">
        <v>20</v>
      </c>
      <c r="L29" s="2" t="s">
        <v>4</v>
      </c>
    </row>
    <row r="30" spans="1:12" x14ac:dyDescent="0.25">
      <c r="J30" s="3">
        <v>1</v>
      </c>
      <c r="K30" s="3" t="s">
        <v>44</v>
      </c>
      <c r="L30" s="3" t="s">
        <v>44</v>
      </c>
    </row>
    <row r="31" spans="1:12" x14ac:dyDescent="0.25">
      <c r="A31" s="234" t="s">
        <v>233</v>
      </c>
      <c r="B31" s="234"/>
      <c r="C31" s="234"/>
      <c r="J31">
        <v>2</v>
      </c>
      <c r="K31" t="s">
        <v>9</v>
      </c>
      <c r="L31" t="s">
        <v>9</v>
      </c>
    </row>
    <row r="32" spans="1:12" x14ac:dyDescent="0.25">
      <c r="A32" t="s">
        <v>19</v>
      </c>
      <c r="B32" t="s">
        <v>234</v>
      </c>
      <c r="C32" t="s">
        <v>4</v>
      </c>
      <c r="J32" s="3">
        <v>3</v>
      </c>
      <c r="K32" s="3" t="s">
        <v>45</v>
      </c>
      <c r="L32" s="3" t="s">
        <v>45</v>
      </c>
    </row>
    <row r="33" spans="1:12" x14ac:dyDescent="0.25">
      <c r="A33">
        <v>1</v>
      </c>
      <c r="B33" t="s">
        <v>213</v>
      </c>
      <c r="C33" t="s">
        <v>235</v>
      </c>
      <c r="J33">
        <v>4</v>
      </c>
      <c r="K33" t="s">
        <v>46</v>
      </c>
      <c r="L33" t="s">
        <v>46</v>
      </c>
    </row>
    <row r="34" spans="1:12" x14ac:dyDescent="0.25">
      <c r="A34">
        <v>2</v>
      </c>
      <c r="B34" t="s">
        <v>214</v>
      </c>
      <c r="C34" t="s">
        <v>236</v>
      </c>
      <c r="J34" s="3">
        <v>5</v>
      </c>
      <c r="K34" s="3" t="s">
        <v>47</v>
      </c>
      <c r="L34" s="3" t="s">
        <v>47</v>
      </c>
    </row>
    <row r="35" spans="1:12" x14ac:dyDescent="0.25">
      <c r="A35">
        <v>3</v>
      </c>
      <c r="B35" t="s">
        <v>215</v>
      </c>
      <c r="C35" t="s">
        <v>237</v>
      </c>
    </row>
    <row r="36" spans="1:12" x14ac:dyDescent="0.25">
      <c r="A36">
        <v>4</v>
      </c>
    </row>
    <row r="38" spans="1:12" x14ac:dyDescent="0.25">
      <c r="A38" s="234" t="s">
        <v>238</v>
      </c>
      <c r="B38" s="234"/>
      <c r="C38" s="234"/>
    </row>
    <row r="39" spans="1:12" x14ac:dyDescent="0.25">
      <c r="A39" t="s">
        <v>205</v>
      </c>
      <c r="B39" t="s">
        <v>239</v>
      </c>
      <c r="C39" t="s">
        <v>4</v>
      </c>
    </row>
    <row r="40" spans="1:12" x14ac:dyDescent="0.25">
      <c r="A40">
        <v>1</v>
      </c>
      <c r="B40" t="s">
        <v>206</v>
      </c>
      <c r="F40" s="234" t="s">
        <v>40</v>
      </c>
      <c r="G40" s="234"/>
      <c r="H40" s="234"/>
    </row>
    <row r="41" spans="1:12" x14ac:dyDescent="0.25">
      <c r="A41">
        <v>2</v>
      </c>
      <c r="B41" t="s">
        <v>207</v>
      </c>
      <c r="F41" t="s">
        <v>19</v>
      </c>
      <c r="G41" t="s">
        <v>20</v>
      </c>
      <c r="H41" t="s">
        <v>4</v>
      </c>
    </row>
    <row r="42" spans="1:12" x14ac:dyDescent="0.25">
      <c r="A42">
        <v>3</v>
      </c>
      <c r="B42" t="s">
        <v>208</v>
      </c>
      <c r="F42">
        <v>1</v>
      </c>
      <c r="G42" t="s">
        <v>21</v>
      </c>
      <c r="H42" t="s">
        <v>21</v>
      </c>
    </row>
    <row r="43" spans="1:12" x14ac:dyDescent="0.25">
      <c r="A43">
        <v>4</v>
      </c>
      <c r="B43" t="s">
        <v>209</v>
      </c>
      <c r="F43">
        <v>2</v>
      </c>
      <c r="G43" t="s">
        <v>7</v>
      </c>
      <c r="H43" t="s">
        <v>7</v>
      </c>
    </row>
    <row r="44" spans="1:12" x14ac:dyDescent="0.25">
      <c r="A44">
        <v>5</v>
      </c>
      <c r="B44" t="s">
        <v>210</v>
      </c>
      <c r="F44">
        <v>3</v>
      </c>
      <c r="G44" t="s">
        <v>8</v>
      </c>
      <c r="H44" t="s">
        <v>8</v>
      </c>
    </row>
    <row r="45" spans="1:12" x14ac:dyDescent="0.25">
      <c r="A45">
        <v>6</v>
      </c>
      <c r="B45" t="s">
        <v>211</v>
      </c>
      <c r="F45">
        <v>4</v>
      </c>
      <c r="G45" t="s">
        <v>48</v>
      </c>
      <c r="H45" t="s">
        <v>48</v>
      </c>
    </row>
    <row r="46" spans="1:12" x14ac:dyDescent="0.25">
      <c r="A46">
        <v>7</v>
      </c>
      <c r="B46" t="s">
        <v>212</v>
      </c>
      <c r="F46">
        <v>5</v>
      </c>
    </row>
    <row r="47" spans="1:12" x14ac:dyDescent="0.25">
      <c r="A47">
        <v>8</v>
      </c>
      <c r="F47">
        <v>6</v>
      </c>
    </row>
    <row r="48" spans="1:12" x14ac:dyDescent="0.25">
      <c r="A48">
        <v>9</v>
      </c>
      <c r="F48">
        <v>7</v>
      </c>
    </row>
    <row r="49" spans="1:9" x14ac:dyDescent="0.25">
      <c r="F49">
        <v>8</v>
      </c>
    </row>
    <row r="51" spans="1:9" x14ac:dyDescent="0.25">
      <c r="A51" s="234" t="s">
        <v>551</v>
      </c>
      <c r="B51" s="234"/>
      <c r="E51" s="234" t="s">
        <v>550</v>
      </c>
      <c r="F51" s="234"/>
      <c r="H51" s="234" t="s">
        <v>581</v>
      </c>
      <c r="I51" s="234"/>
    </row>
    <row r="52" spans="1:9" x14ac:dyDescent="0.25">
      <c r="A52" t="s">
        <v>19</v>
      </c>
      <c r="B52" t="s">
        <v>23</v>
      </c>
      <c r="E52" t="s">
        <v>19</v>
      </c>
      <c r="F52" t="s">
        <v>547</v>
      </c>
      <c r="H52" t="s">
        <v>19</v>
      </c>
      <c r="I52" t="s">
        <v>547</v>
      </c>
    </row>
    <row r="53" spans="1:9" x14ac:dyDescent="0.25">
      <c r="A53">
        <v>1</v>
      </c>
      <c r="B53" t="s">
        <v>5</v>
      </c>
      <c r="E53">
        <v>1</v>
      </c>
      <c r="F53" t="s">
        <v>549</v>
      </c>
      <c r="H53">
        <v>1</v>
      </c>
      <c r="I53" t="s">
        <v>583</v>
      </c>
    </row>
    <row r="54" spans="1:9" x14ac:dyDescent="0.25">
      <c r="A54">
        <v>2</v>
      </c>
      <c r="B54" t="s">
        <v>6</v>
      </c>
      <c r="E54">
        <v>2</v>
      </c>
      <c r="F54" t="s">
        <v>548</v>
      </c>
      <c r="H54">
        <v>2</v>
      </c>
      <c r="I54" t="s">
        <v>584</v>
      </c>
    </row>
    <row r="55" spans="1:9" x14ac:dyDescent="0.25">
      <c r="E55">
        <v>3</v>
      </c>
      <c r="F55" t="s">
        <v>552</v>
      </c>
      <c r="H55">
        <v>3</v>
      </c>
      <c r="I55" t="s">
        <v>582</v>
      </c>
    </row>
    <row r="56" spans="1:9" x14ac:dyDescent="0.25">
      <c r="A56" t="s">
        <v>205</v>
      </c>
      <c r="B56" t="s">
        <v>239</v>
      </c>
      <c r="C56" t="s">
        <v>4</v>
      </c>
    </row>
    <row r="57" spans="1:9" x14ac:dyDescent="0.25">
      <c r="A57">
        <v>1</v>
      </c>
    </row>
    <row r="58" spans="1:9" x14ac:dyDescent="0.25">
      <c r="A58">
        <v>2</v>
      </c>
    </row>
    <row r="59" spans="1:9" x14ac:dyDescent="0.25">
      <c r="A59">
        <v>3</v>
      </c>
    </row>
    <row r="60" spans="1:9" x14ac:dyDescent="0.25">
      <c r="A60">
        <v>4</v>
      </c>
    </row>
    <row r="61" spans="1:9" x14ac:dyDescent="0.25">
      <c r="A61">
        <v>5</v>
      </c>
    </row>
    <row r="62" spans="1:9" x14ac:dyDescent="0.25">
      <c r="A62">
        <v>6</v>
      </c>
    </row>
    <row r="63" spans="1:9" x14ac:dyDescent="0.25">
      <c r="A63">
        <v>7</v>
      </c>
    </row>
    <row r="64" spans="1:9" x14ac:dyDescent="0.25">
      <c r="A64">
        <v>8</v>
      </c>
    </row>
    <row r="65" spans="1:23" x14ac:dyDescent="0.25">
      <c r="A65">
        <v>9</v>
      </c>
    </row>
    <row r="68" spans="1:23" x14ac:dyDescent="0.25">
      <c r="A68" t="s">
        <v>205</v>
      </c>
      <c r="B68" t="s">
        <v>262</v>
      </c>
      <c r="C68" t="s">
        <v>4</v>
      </c>
      <c r="E68" t="s">
        <v>205</v>
      </c>
      <c r="F68" t="s">
        <v>256</v>
      </c>
      <c r="G68" t="s">
        <v>4</v>
      </c>
      <c r="I68" t="s">
        <v>205</v>
      </c>
      <c r="J68" t="s">
        <v>257</v>
      </c>
      <c r="K68" t="s">
        <v>4</v>
      </c>
      <c r="M68" t="s">
        <v>205</v>
      </c>
      <c r="N68" t="s">
        <v>258</v>
      </c>
      <c r="O68" t="s">
        <v>4</v>
      </c>
      <c r="Q68" t="s">
        <v>205</v>
      </c>
      <c r="R68" t="s">
        <v>259</v>
      </c>
      <c r="S68" t="s">
        <v>4</v>
      </c>
      <c r="U68" t="s">
        <v>205</v>
      </c>
      <c r="V68" t="s">
        <v>263</v>
      </c>
      <c r="W68" t="s">
        <v>4</v>
      </c>
    </row>
    <row r="69" spans="1:23" x14ac:dyDescent="0.25">
      <c r="A69">
        <v>1</v>
      </c>
      <c r="B69" t="s">
        <v>264</v>
      </c>
      <c r="E69">
        <v>1</v>
      </c>
      <c r="F69" t="s">
        <v>247</v>
      </c>
      <c r="I69">
        <v>1</v>
      </c>
      <c r="J69" t="s">
        <v>249</v>
      </c>
      <c r="M69">
        <v>1</v>
      </c>
      <c r="N69" t="s">
        <v>251</v>
      </c>
      <c r="Q69">
        <v>1</v>
      </c>
      <c r="R69" t="s">
        <v>253</v>
      </c>
      <c r="U69">
        <v>1</v>
      </c>
      <c r="V69" t="s">
        <v>247</v>
      </c>
    </row>
    <row r="70" spans="1:23" x14ac:dyDescent="0.25">
      <c r="A70">
        <v>2</v>
      </c>
      <c r="B70" t="s">
        <v>267</v>
      </c>
      <c r="E70">
        <v>2</v>
      </c>
      <c r="F70" t="s">
        <v>248</v>
      </c>
      <c r="I70">
        <v>2</v>
      </c>
      <c r="J70" t="s">
        <v>250</v>
      </c>
      <c r="M70">
        <v>2</v>
      </c>
      <c r="N70" t="s">
        <v>252</v>
      </c>
      <c r="Q70">
        <v>2</v>
      </c>
      <c r="R70" t="s">
        <v>254</v>
      </c>
      <c r="U70">
        <v>2</v>
      </c>
      <c r="V70" t="s">
        <v>248</v>
      </c>
    </row>
    <row r="71" spans="1:23" x14ac:dyDescent="0.25">
      <c r="A71">
        <v>3</v>
      </c>
      <c r="B71" t="s">
        <v>265</v>
      </c>
      <c r="E71">
        <v>3</v>
      </c>
      <c r="I71">
        <v>3</v>
      </c>
      <c r="M71">
        <v>3</v>
      </c>
      <c r="Q71">
        <v>3</v>
      </c>
      <c r="R71" t="s">
        <v>255</v>
      </c>
      <c r="U71">
        <v>3</v>
      </c>
      <c r="V71" t="s">
        <v>249</v>
      </c>
    </row>
    <row r="72" spans="1:23" x14ac:dyDescent="0.25">
      <c r="A72">
        <v>4</v>
      </c>
      <c r="B72" t="s">
        <v>266</v>
      </c>
      <c r="E72">
        <v>4</v>
      </c>
      <c r="I72">
        <v>4</v>
      </c>
      <c r="M72">
        <v>4</v>
      </c>
      <c r="Q72">
        <v>4</v>
      </c>
      <c r="U72">
        <v>4</v>
      </c>
      <c r="V72" t="s">
        <v>250</v>
      </c>
    </row>
    <row r="73" spans="1:23" x14ac:dyDescent="0.25">
      <c r="A73">
        <v>5</v>
      </c>
      <c r="B73" t="s">
        <v>268</v>
      </c>
      <c r="E73">
        <v>5</v>
      </c>
      <c r="I73">
        <v>5</v>
      </c>
      <c r="M73">
        <v>5</v>
      </c>
      <c r="Q73">
        <v>5</v>
      </c>
      <c r="U73">
        <v>5</v>
      </c>
      <c r="V73" t="s">
        <v>251</v>
      </c>
    </row>
    <row r="74" spans="1:23" x14ac:dyDescent="0.25">
      <c r="A74">
        <v>6</v>
      </c>
      <c r="E74">
        <v>6</v>
      </c>
      <c r="I74">
        <v>6</v>
      </c>
      <c r="M74">
        <v>6</v>
      </c>
      <c r="Q74">
        <v>6</v>
      </c>
      <c r="U74">
        <v>6</v>
      </c>
      <c r="V74" t="s">
        <v>252</v>
      </c>
    </row>
    <row r="75" spans="1:23" x14ac:dyDescent="0.25">
      <c r="A75">
        <v>7</v>
      </c>
      <c r="E75">
        <v>7</v>
      </c>
      <c r="I75">
        <v>7</v>
      </c>
      <c r="M75">
        <v>7</v>
      </c>
      <c r="Q75">
        <v>7</v>
      </c>
      <c r="U75">
        <v>7</v>
      </c>
      <c r="V75" t="s">
        <v>253</v>
      </c>
    </row>
    <row r="76" spans="1:23" x14ac:dyDescent="0.25">
      <c r="A76">
        <v>8</v>
      </c>
      <c r="E76">
        <v>8</v>
      </c>
      <c r="I76">
        <v>8</v>
      </c>
      <c r="M76">
        <v>8</v>
      </c>
      <c r="Q76">
        <v>8</v>
      </c>
      <c r="U76">
        <v>8</v>
      </c>
      <c r="V76" t="s">
        <v>254</v>
      </c>
    </row>
    <row r="77" spans="1:23" x14ac:dyDescent="0.25">
      <c r="A77">
        <v>9</v>
      </c>
      <c r="E77">
        <v>9</v>
      </c>
      <c r="I77">
        <v>9</v>
      </c>
      <c r="M77">
        <v>9</v>
      </c>
      <c r="Q77">
        <v>9</v>
      </c>
      <c r="U77">
        <v>9</v>
      </c>
      <c r="V77" t="s">
        <v>255</v>
      </c>
    </row>
    <row r="78" spans="1:23" x14ac:dyDescent="0.25">
      <c r="A78">
        <v>10</v>
      </c>
      <c r="E78">
        <v>10</v>
      </c>
      <c r="I78">
        <v>10</v>
      </c>
      <c r="M78">
        <v>10</v>
      </c>
      <c r="Q78">
        <v>10</v>
      </c>
      <c r="U78">
        <v>10</v>
      </c>
    </row>
    <row r="79" spans="1:23" x14ac:dyDescent="0.25">
      <c r="A79">
        <v>11</v>
      </c>
      <c r="E79">
        <v>11</v>
      </c>
      <c r="I79">
        <v>11</v>
      </c>
      <c r="M79">
        <v>11</v>
      </c>
      <c r="Q79">
        <v>11</v>
      </c>
      <c r="U79">
        <v>11</v>
      </c>
    </row>
    <row r="80" spans="1:23" x14ac:dyDescent="0.25">
      <c r="A80">
        <v>12</v>
      </c>
      <c r="E80">
        <v>12</v>
      </c>
      <c r="I80">
        <v>12</v>
      </c>
      <c r="M80">
        <v>12</v>
      </c>
      <c r="Q80">
        <v>12</v>
      </c>
      <c r="U80">
        <v>12</v>
      </c>
    </row>
    <row r="81" spans="1:21" x14ac:dyDescent="0.25">
      <c r="A81">
        <v>13</v>
      </c>
      <c r="E81">
        <v>13</v>
      </c>
      <c r="I81">
        <v>13</v>
      </c>
      <c r="M81">
        <v>13</v>
      </c>
      <c r="Q81">
        <v>13</v>
      </c>
      <c r="U81">
        <v>13</v>
      </c>
    </row>
    <row r="82" spans="1:21" x14ac:dyDescent="0.25">
      <c r="A82">
        <v>14</v>
      </c>
      <c r="E82">
        <v>14</v>
      </c>
      <c r="I82">
        <v>14</v>
      </c>
      <c r="M82">
        <v>14</v>
      </c>
      <c r="Q82">
        <v>14</v>
      </c>
      <c r="U82">
        <v>14</v>
      </c>
    </row>
    <row r="83" spans="1:21" x14ac:dyDescent="0.25">
      <c r="A83">
        <v>15</v>
      </c>
      <c r="E83">
        <v>15</v>
      </c>
      <c r="I83">
        <v>15</v>
      </c>
      <c r="M83">
        <v>15</v>
      </c>
      <c r="Q83">
        <v>15</v>
      </c>
      <c r="U83">
        <v>15</v>
      </c>
    </row>
    <row r="84" spans="1:21" x14ac:dyDescent="0.25">
      <c r="A84">
        <v>16</v>
      </c>
      <c r="E84">
        <v>16</v>
      </c>
      <c r="I84">
        <v>16</v>
      </c>
      <c r="M84">
        <v>16</v>
      </c>
      <c r="Q84">
        <v>16</v>
      </c>
      <c r="U84">
        <v>16</v>
      </c>
    </row>
    <row r="88" spans="1:21" x14ac:dyDescent="0.25">
      <c r="A88" t="s">
        <v>205</v>
      </c>
      <c r="B88" t="s">
        <v>291</v>
      </c>
      <c r="C88" t="s">
        <v>4</v>
      </c>
    </row>
    <row r="89" spans="1:21" x14ac:dyDescent="0.25">
      <c r="A89">
        <v>1</v>
      </c>
      <c r="B89" t="s">
        <v>288</v>
      </c>
      <c r="C89" t="s">
        <v>292</v>
      </c>
    </row>
    <row r="90" spans="1:21" ht="135" x14ac:dyDescent="0.25">
      <c r="A90">
        <v>2</v>
      </c>
      <c r="B90" t="s">
        <v>294</v>
      </c>
      <c r="C90" s="1" t="s">
        <v>293</v>
      </c>
    </row>
    <row r="91" spans="1:21" ht="75" x14ac:dyDescent="0.25">
      <c r="A91">
        <v>3</v>
      </c>
      <c r="B91" t="s">
        <v>289</v>
      </c>
      <c r="C91" s="1" t="s">
        <v>295</v>
      </c>
    </row>
    <row r="92" spans="1:21" x14ac:dyDescent="0.25">
      <c r="A92">
        <v>4</v>
      </c>
    </row>
    <row r="93" spans="1:21" x14ac:dyDescent="0.25">
      <c r="A93">
        <v>5</v>
      </c>
    </row>
    <row r="94" spans="1:21" x14ac:dyDescent="0.25">
      <c r="A94">
        <v>6</v>
      </c>
    </row>
    <row r="95" spans="1:21" x14ac:dyDescent="0.25">
      <c r="A95">
        <v>7</v>
      </c>
    </row>
    <row r="96" spans="1:21" x14ac:dyDescent="0.25">
      <c r="A96">
        <v>8</v>
      </c>
    </row>
    <row r="120" spans="1:3" x14ac:dyDescent="0.25">
      <c r="A120" t="s">
        <v>205</v>
      </c>
      <c r="B120" t="s">
        <v>291</v>
      </c>
      <c r="C120" t="s">
        <v>4</v>
      </c>
    </row>
    <row r="121" spans="1:3" x14ac:dyDescent="0.25">
      <c r="A121">
        <v>1</v>
      </c>
      <c r="B121" s="154" t="s">
        <v>554</v>
      </c>
      <c r="C121" t="s">
        <v>292</v>
      </c>
    </row>
    <row r="122" spans="1:3" ht="135" x14ac:dyDescent="0.25">
      <c r="A122">
        <v>2</v>
      </c>
      <c r="B122" s="154" t="s">
        <v>555</v>
      </c>
      <c r="C122" s="1" t="s">
        <v>293</v>
      </c>
    </row>
    <row r="123" spans="1:3" ht="75" x14ac:dyDescent="0.25">
      <c r="A123">
        <v>3</v>
      </c>
      <c r="B123" s="154" t="s">
        <v>556</v>
      </c>
      <c r="C123" s="1" t="s">
        <v>295</v>
      </c>
    </row>
    <row r="124" spans="1:3" x14ac:dyDescent="0.25">
      <c r="A124">
        <v>4</v>
      </c>
      <c r="B124" s="154" t="s">
        <v>557</v>
      </c>
    </row>
    <row r="125" spans="1:3" x14ac:dyDescent="0.25">
      <c r="A125">
        <v>5</v>
      </c>
      <c r="B125" s="154" t="s">
        <v>558</v>
      </c>
    </row>
    <row r="126" spans="1:3" x14ac:dyDescent="0.25">
      <c r="A126">
        <v>6</v>
      </c>
      <c r="B126" s="154" t="s">
        <v>563</v>
      </c>
    </row>
    <row r="127" spans="1:3" x14ac:dyDescent="0.25">
      <c r="A127">
        <v>7</v>
      </c>
      <c r="B127" s="154" t="s">
        <v>564</v>
      </c>
    </row>
    <row r="128" spans="1:3" x14ac:dyDescent="0.25">
      <c r="A128">
        <v>8</v>
      </c>
      <c r="B128" s="154" t="s">
        <v>565</v>
      </c>
    </row>
    <row r="129" spans="1:2" x14ac:dyDescent="0.25">
      <c r="A129">
        <v>9</v>
      </c>
      <c r="B129" s="154" t="s">
        <v>566</v>
      </c>
    </row>
    <row r="130" spans="1:2" x14ac:dyDescent="0.25">
      <c r="A130">
        <v>10</v>
      </c>
      <c r="B130" s="154" t="s">
        <v>567</v>
      </c>
    </row>
    <row r="131" spans="1:2" x14ac:dyDescent="0.25">
      <c r="A131">
        <v>11</v>
      </c>
      <c r="B131" s="154" t="s">
        <v>568</v>
      </c>
    </row>
    <row r="132" spans="1:2" x14ac:dyDescent="0.25">
      <c r="A132">
        <v>12</v>
      </c>
      <c r="B132" s="154" t="s">
        <v>569</v>
      </c>
    </row>
    <row r="133" spans="1:2" x14ac:dyDescent="0.25">
      <c r="A133">
        <v>13</v>
      </c>
      <c r="B133" s="154" t="s">
        <v>570</v>
      </c>
    </row>
    <row r="134" spans="1:2" x14ac:dyDescent="0.25">
      <c r="A134">
        <v>14</v>
      </c>
      <c r="B134" s="154" t="s">
        <v>571</v>
      </c>
    </row>
  </sheetData>
  <mergeCells count="12">
    <mergeCell ref="A51:B51"/>
    <mergeCell ref="E1:G1"/>
    <mergeCell ref="F40:H40"/>
    <mergeCell ref="J28:L28"/>
    <mergeCell ref="A1:C1"/>
    <mergeCell ref="A38:C38"/>
    <mergeCell ref="A31:C31"/>
    <mergeCell ref="A9:C9"/>
    <mergeCell ref="E10:G10"/>
    <mergeCell ref="A20:C20"/>
    <mergeCell ref="E51:F51"/>
    <mergeCell ref="H51:I51"/>
  </mergeCells>
  <phoneticPr fontId="2" type="noConversion"/>
  <pageMargins left="0.7" right="0.7" top="0.78740157499999996" bottom="0.78740157499999996" header="0.3" footer="0.3"/>
  <pageSetup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19</vt:i4>
      </vt:variant>
      <vt:variant>
        <vt:lpstr>Named Ranges</vt:lpstr>
      </vt:variant>
      <vt:variant>
        <vt:i4>7</vt:i4>
      </vt:variant>
    </vt:vector>
  </HeadingPairs>
  <TitlesOfParts>
    <vt:vector size="26" baseType="lpstr">
      <vt:lpstr>0_ReadMe</vt:lpstr>
      <vt:lpstr>0_Configuration</vt:lpstr>
      <vt:lpstr>1_1_Definition_Flows</vt:lpstr>
      <vt:lpstr>1_2_Data_Flows</vt:lpstr>
      <vt:lpstr>2_1_Definition_Processes</vt:lpstr>
      <vt:lpstr>2_2_static_TCs</vt:lpstr>
      <vt:lpstr>2_3_dynamic_TCs</vt:lpstr>
      <vt:lpstr>2_4_Initial_Stock</vt:lpstr>
      <vt:lpstr>3_1_Definition_DSM</vt:lpstr>
      <vt:lpstr>3_2_Definition_FOMP</vt:lpstr>
      <vt:lpstr>4_1_Uncertainty_Parameters</vt:lpstr>
      <vt:lpstr>5_1_Scenario_Manager</vt:lpstr>
      <vt:lpstr>6_1_Visualization_Processes</vt:lpstr>
      <vt:lpstr>6_2_Visualization_Flows</vt:lpstr>
      <vt:lpstr>6_3_Layout_Configuration</vt:lpstr>
      <vt:lpstr>6_4_CL_Visualisation</vt:lpstr>
      <vt:lpstr>PX - Template</vt:lpstr>
      <vt:lpstr>7_1_Comments_Validation</vt:lpstr>
      <vt:lpstr>7_2_Codelists</vt:lpstr>
      <vt:lpstr>List_DSM_Parameters</vt:lpstr>
      <vt:lpstr>List_Flow_Parameters</vt:lpstr>
      <vt:lpstr>List_FOMP_Parameters</vt:lpstr>
      <vt:lpstr>List_Initial_Stock_Parameters</vt:lpstr>
      <vt:lpstr>List_Transfer_Coefficients</vt:lpstr>
      <vt:lpstr>List_Uncertainty_Parameters</vt:lpstr>
      <vt:lpstr>'2_3_dynamic_TCs'!Tab_Process_TCs_dyn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2025-10-14T14:46:32Z</dcterms:modified>
</cp:coreProperties>
</file>