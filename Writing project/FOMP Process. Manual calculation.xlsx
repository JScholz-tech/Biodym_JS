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es\Nextcloud\BioDYM\bioDYM-CERT-edit-main\Writing project\"/>
    </mc:Choice>
  </mc:AlternateContent>
  <xr:revisionPtr revIDLastSave="0" documentId="8_{1FC398DE-C51A-45C1-941A-7CF3160450ED}" xr6:coauthVersionLast="47" xr6:coauthVersionMax="47" xr10:uidLastSave="{00000000-0000-0000-0000-000000000000}"/>
  <bookViews>
    <workbookView xWindow="-120" yWindow="-120" windowWidth="38640" windowHeight="21120" xr2:uid="{8268A566-22BE-4C8A-83C6-A5432DCB9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3" i="1"/>
  <c r="I5" i="1"/>
  <c r="I4" i="1"/>
  <c r="J5" i="1"/>
  <c r="K5" i="1" s="1"/>
  <c r="I6" i="1" s="1"/>
  <c r="J6" i="1" s="1"/>
  <c r="K6" i="1" s="1"/>
  <c r="I7" i="1" s="1"/>
  <c r="J7" i="1" s="1"/>
  <c r="K7" i="1" s="1"/>
  <c r="I8" i="1" s="1"/>
  <c r="J8" i="1" s="1"/>
  <c r="K8" i="1" s="1"/>
  <c r="I9" i="1" s="1"/>
  <c r="J4" i="1"/>
  <c r="J3" i="1"/>
  <c r="K3" i="1"/>
  <c r="K4" i="1" s="1"/>
  <c r="G3" i="1"/>
  <c r="H4" i="1"/>
  <c r="H5" i="1"/>
  <c r="H6" i="1"/>
  <c r="H7" i="1"/>
  <c r="H8" i="1"/>
  <c r="H9" i="1"/>
  <c r="H10" i="1"/>
  <c r="H11" i="1"/>
  <c r="H12" i="1"/>
  <c r="H13" i="1"/>
  <c r="H3" i="1"/>
  <c r="F4" i="1"/>
  <c r="F3" i="1"/>
  <c r="E4" i="1" s="1"/>
  <c r="D5" i="1"/>
  <c r="D6" i="1"/>
  <c r="D7" i="1"/>
  <c r="D8" i="1"/>
  <c r="D9" i="1"/>
  <c r="D10" i="1"/>
  <c r="D11" i="1"/>
  <c r="D12" i="1"/>
  <c r="D13" i="1"/>
  <c r="D4" i="1"/>
  <c r="D3" i="1"/>
  <c r="J9" i="1" l="1"/>
  <c r="K9" i="1" s="1"/>
  <c r="I10" i="1" s="1"/>
  <c r="J10" i="1" s="1"/>
  <c r="K10" i="1" s="1"/>
  <c r="I11" i="1" s="1"/>
  <c r="J11" i="1" s="1"/>
  <c r="K11" i="1" s="1"/>
  <c r="I12" i="1" s="1"/>
  <c r="J12" i="1" s="1"/>
  <c r="K12" i="1" s="1"/>
  <c r="I13" i="1" s="1"/>
  <c r="J13" i="1" s="1"/>
  <c r="K13" i="1" s="1"/>
  <c r="G4" i="1"/>
  <c r="E5" i="1" s="1"/>
  <c r="F5" i="1" l="1"/>
  <c r="G5" i="1" s="1"/>
  <c r="E6" i="1" s="1"/>
  <c r="F6" i="1" l="1"/>
  <c r="G6" i="1" s="1"/>
  <c r="E7" i="1" s="1"/>
  <c r="F7" i="1" l="1"/>
  <c r="G7" i="1" s="1"/>
  <c r="E8" i="1" s="1"/>
  <c r="F8" i="1" l="1"/>
  <c r="G8" i="1" s="1"/>
  <c r="E9" i="1" s="1"/>
  <c r="F9" i="1" l="1"/>
  <c r="G9" i="1" s="1"/>
  <c r="E10" i="1" s="1"/>
  <c r="F10" i="1" l="1"/>
  <c r="G10" i="1" s="1"/>
  <c r="E11" i="1" s="1"/>
  <c r="F11" i="1" l="1"/>
  <c r="G11" i="1" s="1"/>
  <c r="E12" i="1" s="1"/>
  <c r="F12" i="1" l="1"/>
  <c r="G12" i="1" s="1"/>
  <c r="E13" i="1" s="1"/>
  <c r="F13" i="1" l="1"/>
  <c r="G13" i="1" s="1"/>
</calcChain>
</file>

<file path=xl/sharedStrings.xml><?xml version="1.0" encoding="utf-8"?>
<sst xmlns="http://schemas.openxmlformats.org/spreadsheetml/2006/main" count="26" uniqueCount="24">
  <si>
    <t>I</t>
  </si>
  <si>
    <t>J</t>
  </si>
  <si>
    <t>K</t>
  </si>
  <si>
    <t>f_labile</t>
  </si>
  <si>
    <t>k_labile (yr⁻¹)</t>
  </si>
  <si>
    <t>k_recalcitrant (yr⁻¹)</t>
  </si>
  <si>
    <t>A</t>
  </si>
  <si>
    <t>B</t>
  </si>
  <si>
    <t>C</t>
  </si>
  <si>
    <t>D</t>
  </si>
  <si>
    <t>E</t>
  </si>
  <si>
    <t>F</t>
  </si>
  <si>
    <t>G</t>
  </si>
  <si>
    <t>H</t>
  </si>
  <si>
    <t>Year</t>
  </si>
  <si>
    <t>Total DM Inflow</t>
  </si>
  <si>
    <t>Labile Inflow</t>
  </si>
  <si>
    <t>Labile Stock (Start)</t>
  </si>
  <si>
    <t>Labile Decay</t>
  </si>
  <si>
    <t>Labile Stock (End)</t>
  </si>
  <si>
    <t>Recalcitrant Inflow</t>
  </si>
  <si>
    <t>Recalcitrant Stock (Start)</t>
  </si>
  <si>
    <t>Recalcitrant Decay</t>
  </si>
  <si>
    <t>Recalcitrant Stock 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</si>
</sst>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6B00-54B8-422B-91DD-B5A74B6256FC}">
  <dimension ref="A1:N25"/>
  <sheetViews>
    <sheetView tabSelected="1" workbookViewId="0">
      <selection activeCell="J21" sqref="J21"/>
    </sheetView>
  </sheetViews>
  <sheetFormatPr defaultRowHeight="15"/>
  <cols>
    <col min="3" max="7" width="9.5703125" bestFit="1" customWidth="1"/>
    <col min="8" max="8" width="9.28515625" bestFit="1" customWidth="1"/>
    <col min="9" max="9" width="12.28515625" customWidth="1"/>
    <col min="10" max="10" width="9.28515625" bestFit="1" customWidth="1"/>
    <col min="11" max="11" width="9.5703125" bestFit="1" customWidth="1"/>
    <col min="14" max="14" width="21.5703125" customWidth="1"/>
  </cols>
  <sheetData>
    <row r="1" spans="1:14" ht="15.75" thickBot="1">
      <c r="A1" s="4"/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0</v>
      </c>
      <c r="K1" s="4" t="s">
        <v>1</v>
      </c>
    </row>
    <row r="2" spans="1:14" ht="52.5" thickBot="1">
      <c r="A2" s="5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6" t="s">
        <v>23</v>
      </c>
    </row>
    <row r="3" spans="1:14">
      <c r="B3">
        <v>2025</v>
      </c>
      <c r="C3" s="7">
        <v>241575.78173252</v>
      </c>
      <c r="D3" s="7">
        <f>$D$25*C3</f>
        <v>169103.04721276398</v>
      </c>
      <c r="E3" s="7">
        <v>0</v>
      </c>
      <c r="F3" s="7">
        <f>E3*(1-EXP(-$E$25))</f>
        <v>0</v>
      </c>
      <c r="G3" s="7">
        <f>(E3-F3)+D3</f>
        <v>169103.04721276398</v>
      </c>
      <c r="H3" s="7">
        <f>0.3*C3</f>
        <v>72472.734519755992</v>
      </c>
      <c r="I3" s="7">
        <v>0</v>
      </c>
      <c r="J3" s="7">
        <f>I3*(1-EXP(-$F$25))</f>
        <v>0</v>
      </c>
      <c r="K3" s="7">
        <f>(I3-J3)+H3</f>
        <v>72472.734519755992</v>
      </c>
      <c r="N3" s="7">
        <f>SUM(G3+K3)</f>
        <v>241575.78173251997</v>
      </c>
    </row>
    <row r="4" spans="1:14">
      <c r="B4">
        <v>2026</v>
      </c>
      <c r="C4" s="7">
        <v>273827.0513507952</v>
      </c>
      <c r="D4" s="7">
        <f>$D$25*C4</f>
        <v>191678.93594555662</v>
      </c>
      <c r="E4" s="7">
        <f>G3</f>
        <v>169103.04721276398</v>
      </c>
      <c r="F4" s="7">
        <f t="shared" ref="F4:F13" si="0">E4*(1-EXP(-$E$25))</f>
        <v>66536.86442738965</v>
      </c>
      <c r="G4" s="7">
        <f t="shared" ref="G4:G13" si="1">(E4-F4)+D4</f>
        <v>294245.11873093096</v>
      </c>
      <c r="H4" s="7">
        <f t="shared" ref="H4:H13" si="2">0.3*C4</f>
        <v>82148.115405238554</v>
      </c>
      <c r="I4" s="7">
        <f>K3</f>
        <v>72472.734519755992</v>
      </c>
      <c r="J4" s="7">
        <f>I4*(1-EXP(-$F$25))</f>
        <v>1789.3581908400711</v>
      </c>
      <c r="K4" s="7">
        <f t="shared" ref="K4:K13" si="3">(I4-J4)+H4</f>
        <v>152831.49173415446</v>
      </c>
      <c r="N4" s="7">
        <f t="shared" ref="N4:N13" si="4">SUM(G4+K4)</f>
        <v>447076.61046508542</v>
      </c>
    </row>
    <row r="5" spans="1:14">
      <c r="B5">
        <v>2027</v>
      </c>
      <c r="C5" s="7">
        <v>206643.47016790399</v>
      </c>
      <c r="D5" s="7">
        <f t="shared" ref="D5:D13" si="5">$D$25*C5</f>
        <v>144650.42911753277</v>
      </c>
      <c r="E5" s="7">
        <f t="shared" ref="E5:E13" si="6">G4</f>
        <v>294245.11873093096</v>
      </c>
      <c r="F5" s="7">
        <f t="shared" si="0"/>
        <v>115776.43274983726</v>
      </c>
      <c r="G5" s="7">
        <f t="shared" si="1"/>
        <v>323119.11509862647</v>
      </c>
      <c r="H5" s="7">
        <f t="shared" si="2"/>
        <v>61993.04105037119</v>
      </c>
      <c r="I5" s="7">
        <f t="shared" ref="I5:I13" si="7">K4</f>
        <v>152831.49173415446</v>
      </c>
      <c r="J5" s="7">
        <f t="shared" ref="J5:J13" si="8">I5*(1-EXP(-$F$25))</f>
        <v>3773.4229757574303</v>
      </c>
      <c r="K5" s="7">
        <f t="shared" si="3"/>
        <v>211051.10980876823</v>
      </c>
      <c r="N5" s="7">
        <f t="shared" si="4"/>
        <v>534170.22490739473</v>
      </c>
    </row>
    <row r="6" spans="1:14">
      <c r="B6">
        <v>2028</v>
      </c>
      <c r="C6" s="7">
        <v>211343.11498968099</v>
      </c>
      <c r="D6" s="7">
        <f t="shared" si="5"/>
        <v>147940.18049277668</v>
      </c>
      <c r="E6" s="7">
        <f t="shared" si="6"/>
        <v>323119.11509862647</v>
      </c>
      <c r="F6" s="7">
        <f t="shared" si="0"/>
        <v>127137.46505209422</v>
      </c>
      <c r="G6" s="7">
        <f t="shared" si="1"/>
        <v>343921.83053930895</v>
      </c>
      <c r="H6" s="7">
        <f t="shared" si="2"/>
        <v>63402.934496904294</v>
      </c>
      <c r="I6" s="7">
        <f t="shared" si="7"/>
        <v>211051.10980876823</v>
      </c>
      <c r="J6" s="7">
        <f t="shared" si="8"/>
        <v>5210.8704676965208</v>
      </c>
      <c r="K6" s="7">
        <f t="shared" si="3"/>
        <v>269243.17383797601</v>
      </c>
      <c r="N6" s="7">
        <f t="shared" si="4"/>
        <v>613165.00437728502</v>
      </c>
    </row>
    <row r="7" spans="1:14">
      <c r="B7">
        <v>2029</v>
      </c>
      <c r="C7" s="7">
        <v>274252.41876179812</v>
      </c>
      <c r="D7" s="7">
        <f t="shared" si="5"/>
        <v>191976.69313325867</v>
      </c>
      <c r="E7" s="7">
        <f t="shared" si="6"/>
        <v>343921.83053930895</v>
      </c>
      <c r="F7" s="7">
        <f t="shared" si="0"/>
        <v>135322.69577272539</v>
      </c>
      <c r="G7" s="7">
        <f t="shared" si="1"/>
        <v>400575.82789984223</v>
      </c>
      <c r="H7" s="7">
        <f t="shared" si="2"/>
        <v>82275.72562853944</v>
      </c>
      <c r="I7" s="7">
        <f t="shared" si="7"/>
        <v>269243.17383797601</v>
      </c>
      <c r="J7" s="7">
        <f t="shared" si="8"/>
        <v>6647.6376478305619</v>
      </c>
      <c r="K7" s="7">
        <f t="shared" si="3"/>
        <v>344871.26181868487</v>
      </c>
      <c r="N7" s="7">
        <f t="shared" si="4"/>
        <v>745447.08971852716</v>
      </c>
    </row>
    <row r="8" spans="1:14">
      <c r="B8">
        <v>2030</v>
      </c>
      <c r="C8" s="7">
        <v>250187.3904643984</v>
      </c>
      <c r="D8" s="7">
        <f t="shared" si="5"/>
        <v>175131.17332507888</v>
      </c>
      <c r="E8" s="7">
        <f t="shared" si="6"/>
        <v>400575.82789984223</v>
      </c>
      <c r="F8" s="7">
        <f t="shared" si="0"/>
        <v>157614.30673881661</v>
      </c>
      <c r="G8" s="7">
        <f t="shared" si="1"/>
        <v>418092.69448610453</v>
      </c>
      <c r="H8" s="7">
        <f t="shared" si="2"/>
        <v>75056.217139319517</v>
      </c>
      <c r="I8" s="7">
        <f t="shared" si="7"/>
        <v>344871.26181868487</v>
      </c>
      <c r="J8" s="7">
        <f t="shared" si="8"/>
        <v>8514.9017932032639</v>
      </c>
      <c r="K8" s="7">
        <f t="shared" si="3"/>
        <v>411412.57716480113</v>
      </c>
      <c r="N8" s="7">
        <f t="shared" si="4"/>
        <v>829505.27165090572</v>
      </c>
    </row>
    <row r="9" spans="1:14">
      <c r="B9">
        <v>2031</v>
      </c>
      <c r="C9" s="7">
        <v>295898.90487288643</v>
      </c>
      <c r="D9" s="7">
        <f t="shared" si="5"/>
        <v>207129.23341102048</v>
      </c>
      <c r="E9" s="7">
        <f t="shared" si="6"/>
        <v>418092.69448610453</v>
      </c>
      <c r="F9" s="7">
        <f t="shared" si="0"/>
        <v>164506.65667841505</v>
      </c>
      <c r="G9" s="7">
        <f t="shared" si="1"/>
        <v>460715.27121871</v>
      </c>
      <c r="H9" s="7">
        <f t="shared" si="2"/>
        <v>88769.671461865932</v>
      </c>
      <c r="I9" s="7">
        <f t="shared" si="7"/>
        <v>411412.57716480113</v>
      </c>
      <c r="J9" s="7">
        <f t="shared" si="8"/>
        <v>10157.812722849336</v>
      </c>
      <c r="K9" s="7">
        <f t="shared" si="3"/>
        <v>490024.43590381776</v>
      </c>
      <c r="N9" s="7">
        <f t="shared" si="4"/>
        <v>950739.70712252776</v>
      </c>
    </row>
    <row r="10" spans="1:14">
      <c r="B10">
        <v>2032</v>
      </c>
      <c r="C10" s="7">
        <v>277628.72284693731</v>
      </c>
      <c r="D10" s="7">
        <f t="shared" si="5"/>
        <v>194340.10599285612</v>
      </c>
      <c r="E10" s="7">
        <f t="shared" si="6"/>
        <v>460715.27121871</v>
      </c>
      <c r="F10" s="7">
        <f t="shared" si="0"/>
        <v>181277.333826741</v>
      </c>
      <c r="G10" s="7">
        <f t="shared" si="1"/>
        <v>473778.04338482511</v>
      </c>
      <c r="H10" s="7">
        <f t="shared" si="2"/>
        <v>83288.616854081192</v>
      </c>
      <c r="I10" s="7">
        <f t="shared" si="7"/>
        <v>490024.43590381776</v>
      </c>
      <c r="J10" s="7">
        <f t="shared" si="8"/>
        <v>12098.746430731946</v>
      </c>
      <c r="K10" s="7">
        <f t="shared" si="3"/>
        <v>561214.30632716697</v>
      </c>
      <c r="N10" s="7">
        <f t="shared" si="4"/>
        <v>1034992.3497119921</v>
      </c>
    </row>
    <row r="11" spans="1:14">
      <c r="B11">
        <v>2033</v>
      </c>
      <c r="C11" s="7">
        <v>304912.0794284938</v>
      </c>
      <c r="D11" s="7">
        <f t="shared" si="5"/>
        <v>213438.45559994565</v>
      </c>
      <c r="E11" s="7">
        <f t="shared" si="6"/>
        <v>473778.04338482511</v>
      </c>
      <c r="F11" s="7">
        <f t="shared" si="0"/>
        <v>186417.13417326647</v>
      </c>
      <c r="G11" s="7">
        <f t="shared" si="1"/>
        <v>500799.36481150426</v>
      </c>
      <c r="H11" s="7">
        <f t="shared" si="2"/>
        <v>91473.623828548138</v>
      </c>
      <c r="I11" s="7">
        <f t="shared" si="7"/>
        <v>561214.30632716697</v>
      </c>
      <c r="J11" s="7">
        <f t="shared" si="8"/>
        <v>13856.430594176039</v>
      </c>
      <c r="K11" s="7">
        <f t="shared" si="3"/>
        <v>638831.49956153904</v>
      </c>
      <c r="N11" s="7">
        <f t="shared" si="4"/>
        <v>1139630.8643730432</v>
      </c>
    </row>
    <row r="12" spans="1:14">
      <c r="B12">
        <v>2034</v>
      </c>
      <c r="C12" s="7">
        <v>265898.14140324289</v>
      </c>
      <c r="D12" s="7">
        <f t="shared" si="5"/>
        <v>186128.69898227</v>
      </c>
      <c r="E12" s="7">
        <f t="shared" si="6"/>
        <v>500799.36481150426</v>
      </c>
      <c r="F12" s="7">
        <f t="shared" si="0"/>
        <v>197049.1956887148</v>
      </c>
      <c r="G12" s="7">
        <f t="shared" si="1"/>
        <v>489878.86810505949</v>
      </c>
      <c r="H12" s="7">
        <f t="shared" si="2"/>
        <v>79769.44242097286</v>
      </c>
      <c r="I12" s="7">
        <f t="shared" si="7"/>
        <v>638831.49956153904</v>
      </c>
      <c r="J12" s="7">
        <f t="shared" si="8"/>
        <v>15772.805923246593</v>
      </c>
      <c r="K12" s="7">
        <f t="shared" si="3"/>
        <v>702828.13605926535</v>
      </c>
      <c r="N12" s="7">
        <f t="shared" si="4"/>
        <v>1192707.0041643248</v>
      </c>
    </row>
    <row r="13" spans="1:14">
      <c r="B13">
        <v>2035</v>
      </c>
      <c r="C13" s="7">
        <v>250172.94268311359</v>
      </c>
      <c r="D13" s="7">
        <f t="shared" si="5"/>
        <v>175121.05987817951</v>
      </c>
      <c r="E13" s="7">
        <f t="shared" si="6"/>
        <v>489878.86810505949</v>
      </c>
      <c r="F13" s="7">
        <f t="shared" si="0"/>
        <v>192752.31505401962</v>
      </c>
      <c r="G13" s="7">
        <f t="shared" si="1"/>
        <v>472247.61292921938</v>
      </c>
      <c r="H13" s="7">
        <f t="shared" si="2"/>
        <v>75051.882804934081</v>
      </c>
      <c r="I13" s="7">
        <f t="shared" si="7"/>
        <v>702828.13605926535</v>
      </c>
      <c r="J13" s="7">
        <f t="shared" si="8"/>
        <v>17352.888508266275</v>
      </c>
      <c r="K13" s="7">
        <f t="shared" si="3"/>
        <v>760527.1303559331</v>
      </c>
      <c r="N13" s="7">
        <f t="shared" si="4"/>
        <v>1232774.7432851526</v>
      </c>
    </row>
    <row r="23" spans="3:6">
      <c r="C23" s="1"/>
      <c r="D23" s="1" t="s">
        <v>0</v>
      </c>
      <c r="E23" s="1" t="s">
        <v>1</v>
      </c>
      <c r="F23" s="1" t="s">
        <v>2</v>
      </c>
    </row>
    <row r="24" spans="3:6" ht="45">
      <c r="C24" s="2">
        <v>1</v>
      </c>
      <c r="D24" s="2" t="s">
        <v>3</v>
      </c>
      <c r="E24" s="2" t="s">
        <v>4</v>
      </c>
      <c r="F24" s="2" t="s">
        <v>5</v>
      </c>
    </row>
    <row r="25" spans="3:6">
      <c r="C25" s="2">
        <v>2</v>
      </c>
      <c r="D25" s="3">
        <v>0.7</v>
      </c>
      <c r="E25" s="3">
        <v>0.5</v>
      </c>
      <c r="F25" s="3">
        <v>2.5000000000000001E-2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AA235ACB84C1499B19AEE36F792839" ma:contentTypeVersion="14" ma:contentTypeDescription="Ein neues Dokument erstellen." ma:contentTypeScope="" ma:versionID="2e3f44df254a2d5321f546940390765d">
  <xsd:schema xmlns:xsd="http://www.w3.org/2001/XMLSchema" xmlns:xs="http://www.w3.org/2001/XMLSchema" xmlns:p="http://schemas.microsoft.com/office/2006/metadata/properties" xmlns:ns3="1ba70fea-8b54-42dc-8fc4-17531cee334b" xmlns:ns4="a51c2e55-eb19-4f58-9cde-70532f0bab59" targetNamespace="http://schemas.microsoft.com/office/2006/metadata/properties" ma:root="true" ma:fieldsID="e2859e202c6b7f003b39be725289bc1f" ns3:_="" ns4:_="">
    <xsd:import namespace="1ba70fea-8b54-42dc-8fc4-17531cee334b"/>
    <xsd:import namespace="a51c2e55-eb19-4f58-9cde-70532f0bab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70fea-8b54-42dc-8fc4-17531cee33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c2e55-eb19-4f58-9cde-70532f0bab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a70fea-8b54-42dc-8fc4-17531cee334b" xsi:nil="true"/>
  </documentManagement>
</p:properties>
</file>

<file path=customXml/itemProps1.xml><?xml version="1.0" encoding="utf-8"?>
<ds:datastoreItem xmlns:ds="http://schemas.openxmlformats.org/officeDocument/2006/customXml" ds:itemID="{9B9D4257-A652-464A-A2AA-82B0B47BC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a70fea-8b54-42dc-8fc4-17531cee334b"/>
    <ds:schemaRef ds:uri="a51c2e55-eb19-4f58-9cde-70532f0ba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D97B8A-D9B6-417F-8513-881F302F9F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09C8E1-719D-4ECA-B640-9948A3650B6E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1ba70fea-8b54-42dc-8fc4-17531cee334b"/>
    <ds:schemaRef ds:uri="http://purl.org/dc/elements/1.1/"/>
    <ds:schemaRef ds:uri="http://schemas.microsoft.com/office/infopath/2007/PartnerControls"/>
    <ds:schemaRef ds:uri="a51c2e55-eb19-4f58-9cde-70532f0bab5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Scholz</dc:creator>
  <cp:lastModifiedBy>Johannes Scholz</cp:lastModifiedBy>
  <dcterms:created xsi:type="dcterms:W3CDTF">2025-09-01T17:27:17Z</dcterms:created>
  <dcterms:modified xsi:type="dcterms:W3CDTF">2025-09-04T14:13:14Z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0x01010017AA235ACB84C1499B19AEE36F792839</vt:lpwstr>
  </property>
</Properties>
</file>