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Johannes\Downloads\"/>
    </mc:Choice>
  </mc:AlternateContent>
  <xr:revisionPtr revIDLastSave="0" documentId="13_ncr:1_{FA647AA5-2DE5-4844-9A45-44FF9E78EA27}" xr6:coauthVersionLast="47" xr6:coauthVersionMax="47" xr10:uidLastSave="{00000000-0000-0000-0000-000000000000}"/>
  <bookViews>
    <workbookView xWindow="-120" yWindow="-120" windowWidth="38640" windowHeight="21120" tabRatio="840" firstSheet="1" activeTab="7" xr2:uid="{00000000-000D-0000-FFFF-FFFF00000000}"/>
  </bookViews>
  <sheets>
    <sheet name="Intro" sheetId="1" r:id="rId1"/>
    <sheet name="Version_CS1_28.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TC_Data" sheetId="28" r:id="rId10"/>
    <sheet name="PX - Template" sheetId="27" r:id="rId11"/>
    <sheet name="4. Calculation_factors&gt;&gt;&gt;&gt;" sheetId="13" r:id="rId12"/>
    <sheet name="3_1_Calculation_factors (Waste)" sheetId="5" r:id="rId13"/>
    <sheet name="3_1_Calculation_factors (Wood)" sheetId="6" r:id="rId14"/>
    <sheet name="4. Codelists&gt;&gt;&gt;&gt;" sheetId="3" r:id="rId15"/>
    <sheet name="4_1 Codelists" sheetId="17" r:id="rId16"/>
    <sheet name="5. Wastefiles &gt;&gt;&gt;&gt;" sheetId="14" r:id="rId17"/>
    <sheet name="2_2_Process_Data" sheetId="18" r:id="rId18"/>
    <sheet name="Data_Processes" sheetId="8" r:id="rId19"/>
    <sheet name="1_2_WC_DM_CC_Flows" sheetId="25" r:id="rId20"/>
    <sheet name="Data_Processes_TCs" sheetId="7" r:id="rId21"/>
    <sheet name="2_3_Process_TC" sheetId="19" r:id="rId22"/>
    <sheet name="Tabelle2" sheetId="9" r:id="rId23"/>
    <sheet name="Tabelle3" sheetId="10" r:id="rId24"/>
    <sheet name="Data_Processes_Stocks" sheetId="4" r:id="rId25"/>
  </sheets>
  <externalReferences>
    <externalReference r:id="rId26"/>
    <externalReference r:id="rId27"/>
  </externalReferences>
  <definedNames>
    <definedName name="Baumart_" localSheetId="13">[1]!Baumart[Baumart]</definedName>
    <definedName name="Baumart_">[2]!Baumart[Baumart]</definedName>
    <definedName name="Cluster_" localSheetId="13">[1]!Cluster[Cluster]</definedName>
    <definedName name="Cluster_">[2]!Cluster[Cluster]</definedName>
    <definedName name="einheit" localSheetId="13">[1]!Tabelle14[Einheit]</definedName>
    <definedName name="einheit">[2]!Tabelle14[Einheit]</definedName>
    <definedName name="Erhebungsart_" localSheetId="13">[1]!Erhebungsart[Erhebungsart]</definedName>
    <definedName name="Erhebungsart_">[2]!Erhebungsart[Erhebungsart]</definedName>
    <definedName name="Herkunft_" localSheetId="13">[1]!Herkunft[Herkunft]</definedName>
    <definedName name="Herkunft_">[2]!Herkunft[Herkunft]</definedName>
    <definedName name="Holzstrom_" localSheetId="13">[1]!Holzstrom[Holzstrom]</definedName>
    <definedName name="Holzstrom_">[2]!Holzstrom[Holzstrom]</definedName>
    <definedName name="In_Out_" localSheetId="13">[1]!Tabelleinput[In/Out]</definedName>
    <definedName name="In_Out_">[2]!Tabelleinput[In/Out]</definedName>
    <definedName name="Inhaltsverzeichnis">"MTRANS(ERSETZEN(Inhalt;1;FINDEN(""]"";Inhalt);""))"</definedName>
    <definedName name="Klassifizierung" localSheetId="13">[1]!Tabelle9[Klassifizierung]</definedName>
    <definedName name="Klassifizierung">[2]!Tabelle9[Klassifizierung]</definedName>
    <definedName name="Ort_" localSheetId="13">[1]!Ort[Ort]</definedName>
    <definedName name="Ort_">[2]!Ort[Ort]</definedName>
    <definedName name="Ziel_" localSheetId="13">[1]!Ziel[Ziel]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27" l="1"/>
  <c r="F16" i="27" l="1"/>
  <c r="I16" i="27"/>
  <c r="J16" i="27" s="1"/>
  <c r="F17" i="27"/>
  <c r="I17" i="27"/>
  <c r="J17" i="27" s="1"/>
  <c r="F18" i="27"/>
  <c r="I18" i="27"/>
  <c r="J18" i="27" s="1"/>
  <c r="F19" i="27"/>
  <c r="F22" i="27" s="1"/>
  <c r="G19" i="27" s="1"/>
  <c r="J19" i="27"/>
  <c r="F20" i="27"/>
  <c r="J20" i="27"/>
  <c r="A21" i="27"/>
  <c r="F21" i="27"/>
  <c r="J21" i="27"/>
  <c r="B22" i="27"/>
  <c r="C16" i="27" s="1"/>
  <c r="C25" i="27"/>
  <c r="F25" i="27"/>
  <c r="G25" i="27"/>
  <c r="F26" i="27"/>
  <c r="G26" i="27"/>
  <c r="C27" i="27"/>
  <c r="F27" i="27"/>
  <c r="G27" i="27"/>
  <c r="F28" i="27"/>
  <c r="G28" i="27"/>
  <c r="F29" i="27"/>
  <c r="G29" i="27"/>
  <c r="A30" i="27"/>
  <c r="C30" i="27"/>
  <c r="F30" i="27"/>
  <c r="G30" i="27"/>
  <c r="G31" i="27" s="1"/>
  <c r="F35" i="27"/>
  <c r="C44" i="27" s="1"/>
  <c r="I35" i="27"/>
  <c r="J35" i="27" s="1"/>
  <c r="F36" i="27"/>
  <c r="I36" i="27"/>
  <c r="J36" i="27"/>
  <c r="F37" i="27"/>
  <c r="C46" i="27" s="1"/>
  <c r="I37" i="27"/>
  <c r="F38" i="27"/>
  <c r="C47" i="27" s="1"/>
  <c r="J38" i="27"/>
  <c r="F39" i="27"/>
  <c r="C48" i="27" s="1"/>
  <c r="J39" i="27"/>
  <c r="A40" i="27"/>
  <c r="A49" i="27" s="1"/>
  <c r="A63" i="27" s="1"/>
  <c r="F40" i="27"/>
  <c r="J40" i="27"/>
  <c r="B41" i="27"/>
  <c r="C36" i="27" s="1"/>
  <c r="F44" i="27"/>
  <c r="G44" i="27"/>
  <c r="C45" i="27"/>
  <c r="F45" i="27"/>
  <c r="G45" i="27"/>
  <c r="F46" i="27"/>
  <c r="G46" i="27"/>
  <c r="F47" i="27"/>
  <c r="G47" i="27"/>
  <c r="F48" i="27"/>
  <c r="G48" i="27"/>
  <c r="C49" i="27"/>
  <c r="F49" i="27"/>
  <c r="G49" i="27"/>
  <c r="B53" i="27"/>
  <c r="C19" i="27" l="1"/>
  <c r="I28" i="27" s="1"/>
  <c r="M28" i="27" s="1"/>
  <c r="G20" i="27"/>
  <c r="G50" i="27"/>
  <c r="C28" i="27"/>
  <c r="G17" i="27"/>
  <c r="F41" i="27"/>
  <c r="C54" i="27" s="1"/>
  <c r="C29" i="27"/>
  <c r="G36" i="27"/>
  <c r="C21" i="27"/>
  <c r="I30" i="27" s="1"/>
  <c r="M30" i="27" s="1"/>
  <c r="D45" i="27"/>
  <c r="H27" i="27"/>
  <c r="H47" i="27"/>
  <c r="C50" i="27"/>
  <c r="D46" i="27" s="1"/>
  <c r="H48" i="27"/>
  <c r="H25" i="27"/>
  <c r="J22" i="27"/>
  <c r="K18" i="27" s="1"/>
  <c r="H29" i="27"/>
  <c r="H28" i="27"/>
  <c r="H26" i="27"/>
  <c r="F31" i="27"/>
  <c r="E58" i="27" s="1"/>
  <c r="I25" i="27"/>
  <c r="D48" i="27"/>
  <c r="H45" i="27"/>
  <c r="K19" i="27"/>
  <c r="F50" i="27"/>
  <c r="H46" i="27"/>
  <c r="H49" i="27"/>
  <c r="J37" i="27"/>
  <c r="J41" i="27" s="1"/>
  <c r="H30" i="27"/>
  <c r="C26" i="27"/>
  <c r="C53" i="27"/>
  <c r="E41" i="27"/>
  <c r="G37" i="27"/>
  <c r="H44" i="27"/>
  <c r="C39" i="27"/>
  <c r="C17" i="27"/>
  <c r="I26" i="27" s="1"/>
  <c r="C37" i="27"/>
  <c r="G35" i="27"/>
  <c r="C35" i="27"/>
  <c r="E22" i="27"/>
  <c r="G18" i="27"/>
  <c r="G38" i="27"/>
  <c r="C20" i="27"/>
  <c r="I29" i="27" s="1"/>
  <c r="C18" i="27"/>
  <c r="I27" i="27" s="1"/>
  <c r="G16" i="27"/>
  <c r="G22" i="27" s="1"/>
  <c r="C40" i="27"/>
  <c r="C38" i="27"/>
  <c r="G39" i="27"/>
  <c r="B54" i="27"/>
  <c r="G21" i="27"/>
  <c r="E60" i="27" l="1"/>
  <c r="G40" i="27"/>
  <c r="H50" i="27"/>
  <c r="K30" i="27"/>
  <c r="J30" i="27"/>
  <c r="J28" i="27"/>
  <c r="K28" i="27"/>
  <c r="K21" i="27"/>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K37" i="27"/>
  <c r="G41" i="27"/>
  <c r="C61" i="27" s="1"/>
  <c r="J26" i="27"/>
  <c r="K26" i="27"/>
  <c r="M26" i="27"/>
  <c r="H31" i="27"/>
  <c r="L28" i="27"/>
  <c r="E64" i="27" l="1"/>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J48" i="27" l="1"/>
  <c r="K48" i="27"/>
  <c r="M48" i="27"/>
  <c r="K49" i="27"/>
  <c r="J49" i="27"/>
  <c r="M49" i="27"/>
  <c r="B64" i="27"/>
  <c r="I44" i="27"/>
  <c r="M45" i="27"/>
  <c r="K45" i="27"/>
  <c r="J45" i="27"/>
  <c r="L45" i="27" s="1"/>
  <c r="D64" i="27"/>
  <c r="M47" i="27"/>
  <c r="J47" i="27"/>
  <c r="K47" i="27"/>
  <c r="J46" i="27"/>
  <c r="K46" i="27"/>
  <c r="M46" i="27"/>
  <c r="E55" i="27"/>
  <c r="E56" i="27"/>
  <c r="D31" i="27"/>
  <c r="L49" i="27" l="1"/>
  <c r="M44" i="27"/>
  <c r="M50" i="27" s="1"/>
  <c r="I50" i="27"/>
  <c r="J44" i="27"/>
  <c r="K44" i="27"/>
  <c r="K50" i="27" s="1"/>
  <c r="L46" i="27"/>
  <c r="L47" i="27"/>
  <c r="L48" i="27"/>
  <c r="L44" i="27" l="1"/>
  <c r="L50" i="27" s="1"/>
  <c r="J50" i="27"/>
  <c r="AA346" i="2" l="1"/>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X28" i="15"/>
  <c r="X3" i="15"/>
  <c r="X4" i="15"/>
  <c r="X5" i="15"/>
  <c r="X6" i="15"/>
  <c r="X7" i="15"/>
  <c r="X8" i="15"/>
  <c r="X9" i="15"/>
  <c r="X10" i="15"/>
  <c r="X11" i="15"/>
  <c r="X12" i="15"/>
  <c r="X13" i="15"/>
  <c r="X14" i="15"/>
  <c r="X15" i="15"/>
  <c r="X16" i="15"/>
  <c r="X17" i="15"/>
  <c r="X18" i="15"/>
  <c r="X19" i="15"/>
  <c r="X20" i="15"/>
  <c r="X21" i="15"/>
  <c r="X22" i="15"/>
  <c r="X23" i="15"/>
  <c r="X24" i="15"/>
  <c r="X25" i="15"/>
  <c r="X26" i="15"/>
  <c r="X27" i="15"/>
  <c r="V2" i="16" l="1"/>
  <c r="C3" i="16"/>
  <c r="X41" i="15" l="1"/>
  <c r="X42" i="15"/>
  <c r="X43" i="15"/>
  <c r="X44" i="15"/>
  <c r="X45"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AF176" i="2"/>
  <c r="AA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X38" i="15" l="1"/>
  <c r="X34" i="15"/>
  <c r="AA280" i="2"/>
  <c r="AA274" i="2"/>
  <c r="AA273" i="2"/>
  <c r="AA269" i="2"/>
  <c r="AA268" i="2"/>
  <c r="AA259" i="2"/>
  <c r="AA255" i="2"/>
  <c r="AA254" i="2"/>
  <c r="AA253" i="2"/>
  <c r="AA251" i="2"/>
  <c r="AA247" i="2"/>
  <c r="AA243" i="2"/>
  <c r="AA242" i="2"/>
  <c r="AA241" i="2"/>
  <c r="AA239" i="2"/>
  <c r="AA235" i="2"/>
  <c r="X30" i="15"/>
  <c r="X31" i="15"/>
  <c r="X32" i="15"/>
  <c r="X33" i="15"/>
  <c r="X35" i="15"/>
  <c r="X36" i="15"/>
  <c r="X39" i="15"/>
  <c r="X40"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C183" i="2"/>
  <c r="AC184" i="2"/>
  <c r="AC185" i="2"/>
  <c r="AC186" i="2"/>
  <c r="AC187" i="2"/>
  <c r="AC188" i="2"/>
  <c r="AC189" i="2"/>
  <c r="AC190" i="2"/>
  <c r="AC191" i="2"/>
  <c r="AC192" i="2"/>
  <c r="AC193" i="2"/>
  <c r="AC194" i="2"/>
  <c r="AC195" i="2"/>
  <c r="AC196" i="2"/>
  <c r="AC197" i="2"/>
  <c r="AC198" i="2"/>
  <c r="AC199" i="2"/>
  <c r="AC200" i="2"/>
  <c r="AC201" i="2"/>
  <c r="AC202" i="2"/>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F111" i="2"/>
  <c r="AF112" i="2"/>
  <c r="AF113" i="2"/>
  <c r="AF114" i="2"/>
  <c r="AF115" i="2"/>
  <c r="AF116" i="2"/>
  <c r="AF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F24" i="2"/>
  <c r="AF25" i="2"/>
  <c r="AF26" i="2"/>
  <c r="AF27" i="2"/>
  <c r="AF28" i="2"/>
  <c r="AF29" i="2"/>
  <c r="AF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F2" i="2"/>
  <c r="AH2" i="2"/>
  <c r="AK2" i="2"/>
  <c r="D3" i="2"/>
  <c r="E3" i="2"/>
  <c r="G3" i="2"/>
  <c r="I3" i="2"/>
  <c r="J3" i="2"/>
  <c r="K3" i="2"/>
  <c r="L3" i="2"/>
  <c r="AE3" i="2"/>
  <c r="AF3" i="2"/>
  <c r="AH3" i="2"/>
  <c r="AK3" i="2"/>
  <c r="D4" i="2"/>
  <c r="E4" i="2"/>
  <c r="G4" i="2"/>
  <c r="I4" i="2"/>
  <c r="J4" i="2"/>
  <c r="K4" i="2"/>
  <c r="L4" i="2"/>
  <c r="AE4" i="2"/>
  <c r="AF4" i="2"/>
  <c r="AH4" i="2"/>
  <c r="AK4" i="2"/>
  <c r="D5" i="2"/>
  <c r="E5" i="2"/>
  <c r="G5" i="2"/>
  <c r="I5" i="2"/>
  <c r="J5" i="2"/>
  <c r="K5" i="2"/>
  <c r="L5" i="2"/>
  <c r="AE5" i="2"/>
  <c r="AF5" i="2"/>
  <c r="AH5" i="2"/>
  <c r="AK5" i="2"/>
  <c r="D6" i="2"/>
  <c r="E6" i="2"/>
  <c r="G6" i="2"/>
  <c r="I6" i="2"/>
  <c r="J6" i="2"/>
  <c r="K6" i="2"/>
  <c r="L6" i="2"/>
  <c r="AE6" i="2"/>
  <c r="AF6" i="2"/>
  <c r="AH6" i="2"/>
  <c r="AK6" i="2"/>
  <c r="D7" i="2"/>
  <c r="E7" i="2"/>
  <c r="G7" i="2"/>
  <c r="I7" i="2"/>
  <c r="J7" i="2"/>
  <c r="K7" i="2"/>
  <c r="L7" i="2"/>
  <c r="AE7" i="2"/>
  <c r="AF7" i="2"/>
  <c r="AH7" i="2"/>
  <c r="AK7" i="2"/>
  <c r="D8" i="2"/>
  <c r="E8" i="2"/>
  <c r="G8" i="2"/>
  <c r="I8" i="2"/>
  <c r="J8" i="2"/>
  <c r="K8" i="2"/>
  <c r="L8" i="2"/>
  <c r="AE8" i="2"/>
  <c r="AF8" i="2"/>
  <c r="AH8" i="2"/>
  <c r="AK8" i="2"/>
  <c r="D31" i="2"/>
  <c r="E31" i="2"/>
  <c r="G31" i="2"/>
  <c r="I31" i="2"/>
  <c r="J31" i="2"/>
  <c r="K31" i="2"/>
  <c r="L31" i="2"/>
  <c r="AE31" i="2"/>
  <c r="AF31" i="2"/>
  <c r="AH31" i="2"/>
  <c r="AI31" i="2"/>
  <c r="AK31" i="2"/>
  <c r="D32" i="2"/>
  <c r="E32" i="2"/>
  <c r="G32" i="2"/>
  <c r="I32" i="2"/>
  <c r="J32" i="2"/>
  <c r="K32" i="2"/>
  <c r="L32" i="2"/>
  <c r="AE32" i="2"/>
  <c r="AF32" i="2"/>
  <c r="AH32" i="2"/>
  <c r="AI32" i="2"/>
  <c r="AK32" i="2"/>
  <c r="D33" i="2"/>
  <c r="E33" i="2"/>
  <c r="G33" i="2"/>
  <c r="I33" i="2"/>
  <c r="J33" i="2"/>
  <c r="K33" i="2"/>
  <c r="L33" i="2"/>
  <c r="AE33" i="2"/>
  <c r="AF33" i="2"/>
  <c r="AH33" i="2"/>
  <c r="AI33" i="2"/>
  <c r="AK33" i="2"/>
  <c r="D34" i="2"/>
  <c r="E34" i="2"/>
  <c r="G34" i="2"/>
  <c r="I34" i="2"/>
  <c r="J34" i="2"/>
  <c r="K34" i="2"/>
  <c r="L34" i="2"/>
  <c r="AE34" i="2"/>
  <c r="AF34" i="2"/>
  <c r="AH34" i="2"/>
  <c r="AI34" i="2"/>
  <c r="AK34" i="2"/>
  <c r="D35" i="2"/>
  <c r="E35" i="2"/>
  <c r="G35" i="2"/>
  <c r="I35" i="2"/>
  <c r="J35" i="2"/>
  <c r="K35" i="2"/>
  <c r="L35" i="2"/>
  <c r="AE35" i="2"/>
  <c r="AF35" i="2"/>
  <c r="AH35" i="2"/>
  <c r="AI35" i="2"/>
  <c r="AK35" i="2"/>
  <c r="D36" i="2"/>
  <c r="E36" i="2"/>
  <c r="G36" i="2"/>
  <c r="I36" i="2"/>
  <c r="J36" i="2"/>
  <c r="K36" i="2"/>
  <c r="L36" i="2"/>
  <c r="AE36" i="2"/>
  <c r="AF36" i="2"/>
  <c r="AH36" i="2"/>
  <c r="AI36" i="2"/>
  <c r="AK36" i="2"/>
  <c r="D37" i="2"/>
  <c r="E37" i="2"/>
  <c r="G37" i="2"/>
  <c r="I37" i="2"/>
  <c r="J37" i="2"/>
  <c r="K37" i="2"/>
  <c r="L37" i="2"/>
  <c r="AE37" i="2"/>
  <c r="AF37" i="2"/>
  <c r="AH37" i="2"/>
  <c r="AI37" i="2"/>
  <c r="AK37" i="2"/>
  <c r="D60" i="2"/>
  <c r="E60" i="2"/>
  <c r="G60" i="2"/>
  <c r="I60" i="2"/>
  <c r="J60" i="2"/>
  <c r="K60" i="2"/>
  <c r="L60" i="2"/>
  <c r="AE60" i="2"/>
  <c r="AF60" i="2"/>
  <c r="AH60" i="2"/>
  <c r="AI60" i="2"/>
  <c r="AK60" i="2"/>
  <c r="D61" i="2"/>
  <c r="E61" i="2"/>
  <c r="G61" i="2"/>
  <c r="I61" i="2"/>
  <c r="J61" i="2"/>
  <c r="K61" i="2"/>
  <c r="L61" i="2"/>
  <c r="AA61" i="2"/>
  <c r="AE61" i="2"/>
  <c r="AF61" i="2"/>
  <c r="AH61" i="2"/>
  <c r="AK61" i="2"/>
  <c r="D62" i="2"/>
  <c r="E62" i="2"/>
  <c r="G62" i="2"/>
  <c r="I62" i="2"/>
  <c r="J62" i="2"/>
  <c r="K62" i="2"/>
  <c r="L62" i="2"/>
  <c r="AE62" i="2"/>
  <c r="AF62" i="2"/>
  <c r="AH62" i="2"/>
  <c r="AK62" i="2"/>
  <c r="D63" i="2"/>
  <c r="E63" i="2"/>
  <c r="G63" i="2"/>
  <c r="I63" i="2"/>
  <c r="J63" i="2"/>
  <c r="K63" i="2"/>
  <c r="L63" i="2"/>
  <c r="AE63" i="2"/>
  <c r="AF63" i="2"/>
  <c r="AH63" i="2"/>
  <c r="AK63" i="2"/>
  <c r="D64" i="2"/>
  <c r="E64" i="2"/>
  <c r="G64" i="2"/>
  <c r="I64" i="2"/>
  <c r="J64" i="2"/>
  <c r="K64" i="2"/>
  <c r="L64" i="2"/>
  <c r="AE64" i="2"/>
  <c r="AF64" i="2"/>
  <c r="AH64" i="2"/>
  <c r="AK64" i="2"/>
  <c r="D65" i="2"/>
  <c r="E65" i="2"/>
  <c r="G65" i="2"/>
  <c r="I65" i="2"/>
  <c r="J65" i="2"/>
  <c r="K65" i="2"/>
  <c r="L65" i="2"/>
  <c r="AE65" i="2"/>
  <c r="AF65" i="2"/>
  <c r="AH65" i="2"/>
  <c r="AK65" i="2"/>
  <c r="D66" i="2"/>
  <c r="E66" i="2"/>
  <c r="G66" i="2"/>
  <c r="I66" i="2"/>
  <c r="J66" i="2"/>
  <c r="K66" i="2"/>
  <c r="L66" i="2"/>
  <c r="AE66" i="2"/>
  <c r="AF66" i="2"/>
  <c r="AH66" i="2"/>
  <c r="AK66" i="2"/>
  <c r="D89" i="2"/>
  <c r="E89" i="2"/>
  <c r="G89" i="2"/>
  <c r="I89" i="2"/>
  <c r="J89" i="2"/>
  <c r="K89" i="2"/>
  <c r="L89" i="2"/>
  <c r="AE89" i="2"/>
  <c r="AF89" i="2"/>
  <c r="AH89" i="2"/>
  <c r="AK89" i="2"/>
  <c r="D90" i="2"/>
  <c r="E90" i="2"/>
  <c r="G90" i="2"/>
  <c r="I90" i="2"/>
  <c r="J90" i="2"/>
  <c r="K90" i="2"/>
  <c r="L90" i="2"/>
  <c r="AA90" i="2"/>
  <c r="AE90" i="2"/>
  <c r="AF90" i="2"/>
  <c r="AH90" i="2"/>
  <c r="AK90" i="2"/>
  <c r="D91" i="2"/>
  <c r="E91" i="2"/>
  <c r="G91" i="2"/>
  <c r="I91" i="2"/>
  <c r="J91" i="2"/>
  <c r="K91" i="2"/>
  <c r="L91" i="2"/>
  <c r="AE91" i="2"/>
  <c r="AF91" i="2"/>
  <c r="AH91" i="2"/>
  <c r="AK91" i="2"/>
  <c r="D92" i="2"/>
  <c r="E92" i="2"/>
  <c r="G92" i="2"/>
  <c r="I92" i="2"/>
  <c r="J92" i="2"/>
  <c r="K92" i="2"/>
  <c r="L92" i="2"/>
  <c r="AE92" i="2"/>
  <c r="AF92" i="2"/>
  <c r="AH92" i="2"/>
  <c r="AK92" i="2"/>
  <c r="D93" i="2"/>
  <c r="E93" i="2"/>
  <c r="G93" i="2"/>
  <c r="I93" i="2"/>
  <c r="J93" i="2"/>
  <c r="K93" i="2"/>
  <c r="L93" i="2"/>
  <c r="AE93" i="2"/>
  <c r="AF93" i="2"/>
  <c r="AH93" i="2"/>
  <c r="AK93" i="2"/>
  <c r="D94" i="2"/>
  <c r="E94" i="2"/>
  <c r="G94" i="2"/>
  <c r="I94" i="2"/>
  <c r="J94" i="2"/>
  <c r="K94" i="2"/>
  <c r="L94" i="2"/>
  <c r="AE94" i="2"/>
  <c r="AF94" i="2"/>
  <c r="AH94" i="2"/>
  <c r="AK94" i="2"/>
  <c r="D95" i="2"/>
  <c r="E95" i="2"/>
  <c r="G95" i="2"/>
  <c r="I95" i="2"/>
  <c r="J95" i="2"/>
  <c r="K95" i="2"/>
  <c r="L95" i="2"/>
  <c r="AE95" i="2"/>
  <c r="AF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AC31" i="2"/>
  <c r="AC66" i="2"/>
  <c r="AC98" i="2"/>
  <c r="AC30" i="2"/>
  <c r="X29" i="15"/>
  <c r="AA32" i="2" l="1"/>
  <c r="AC53" i="2"/>
  <c r="AC79" i="2"/>
  <c r="AC29" i="2"/>
  <c r="AC22" i="2"/>
  <c r="AC10" i="2"/>
  <c r="AC54" i="2"/>
  <c r="AC49" i="2"/>
  <c r="AC109" i="2"/>
  <c r="AC41" i="2"/>
  <c r="AC67" i="2"/>
  <c r="AC104" i="2"/>
  <c r="AC42" i="2"/>
  <c r="AC95" i="2"/>
  <c r="AC6" i="2"/>
  <c r="AC97" i="2"/>
  <c r="AC89" i="2"/>
  <c r="AD89" i="2" s="1"/>
  <c r="AC115" i="2"/>
  <c r="AC5" i="2"/>
  <c r="AC21" i="2"/>
  <c r="AC9" i="2"/>
  <c r="AC28" i="2"/>
  <c r="AC78" i="2"/>
  <c r="AC108" i="2"/>
  <c r="AC96" i="2"/>
  <c r="AC4" i="2"/>
  <c r="AC20" i="2"/>
  <c r="AC27" i="2"/>
  <c r="AC52" i="2"/>
  <c r="AC40" i="2"/>
  <c r="AC77" i="2"/>
  <c r="AC107" i="2"/>
  <c r="AC3" i="2"/>
  <c r="AC19" i="2"/>
  <c r="AC26" i="2"/>
  <c r="AC51" i="2"/>
  <c r="AC39" i="2"/>
  <c r="AC88" i="2"/>
  <c r="AC76" i="2"/>
  <c r="AC106" i="2"/>
  <c r="AC117" i="2"/>
  <c r="AC18" i="2"/>
  <c r="AC25" i="2"/>
  <c r="AC50" i="2"/>
  <c r="AC38" i="2"/>
  <c r="AC87" i="2"/>
  <c r="AC75" i="2"/>
  <c r="AC105" i="2"/>
  <c r="AC116" i="2"/>
  <c r="AC2" i="2"/>
  <c r="AD2" i="2" s="1"/>
  <c r="AC17" i="2"/>
  <c r="AC74" i="2"/>
  <c r="AC94" i="2"/>
  <c r="AC16" i="2"/>
  <c r="AC48" i="2"/>
  <c r="AC85" i="2"/>
  <c r="AC73" i="2"/>
  <c r="AC103" i="2"/>
  <c r="AC114" i="2"/>
  <c r="AC93" i="2"/>
  <c r="AC15" i="2"/>
  <c r="AC59" i="2"/>
  <c r="AC47" i="2"/>
  <c r="AC84" i="2"/>
  <c r="AC72" i="2"/>
  <c r="AC102" i="2"/>
  <c r="AC113" i="2"/>
  <c r="AC92" i="2"/>
  <c r="AC14" i="2"/>
  <c r="AC58" i="2"/>
  <c r="AC46" i="2"/>
  <c r="AC83" i="2"/>
  <c r="AC71" i="2"/>
  <c r="AC101" i="2"/>
  <c r="AC112" i="2"/>
  <c r="AC86" i="2"/>
  <c r="AC91" i="2"/>
  <c r="AC13" i="2"/>
  <c r="AC57" i="2"/>
  <c r="AC45" i="2"/>
  <c r="AC82" i="2"/>
  <c r="AC70" i="2"/>
  <c r="AC100" i="2"/>
  <c r="AC111" i="2"/>
  <c r="AC24" i="2"/>
  <c r="AC90" i="2"/>
  <c r="AD90" i="2" s="1"/>
  <c r="AC8" i="2"/>
  <c r="AC12" i="2"/>
  <c r="AC56" i="2"/>
  <c r="AC44" i="2"/>
  <c r="AC81" i="2"/>
  <c r="AC69" i="2"/>
  <c r="AC99" i="2"/>
  <c r="AC7" i="2"/>
  <c r="AC23" i="2"/>
  <c r="AC11" i="2"/>
  <c r="AC55" i="2"/>
  <c r="AC43" i="2"/>
  <c r="AC80" i="2"/>
  <c r="AC68" i="2"/>
  <c r="AC110" i="2"/>
  <c r="X37" i="15"/>
  <c r="AA3" i="2"/>
  <c r="AG3" i="2" s="1"/>
  <c r="AC61" i="2"/>
  <c r="AD61" i="2" s="1"/>
  <c r="AC63" i="2"/>
  <c r="AC65" i="2"/>
  <c r="AC60" i="2"/>
  <c r="AD60" i="2" s="1"/>
  <c r="AC62" i="2"/>
  <c r="AC64" i="2"/>
  <c r="AC33" i="2"/>
  <c r="AC35" i="2"/>
  <c r="AC37" i="2"/>
  <c r="AC32" i="2"/>
  <c r="AC34" i="2"/>
  <c r="AC36" i="2"/>
  <c r="AJ31" i="2"/>
  <c r="AA62" i="2"/>
  <c r="AJ61" i="2"/>
  <c r="AJ89" i="2"/>
  <c r="AJ60" i="2"/>
  <c r="AJ90" i="2"/>
  <c r="AG60" i="2"/>
  <c r="AG89" i="2"/>
  <c r="AJ2" i="2"/>
  <c r="AG2" i="2"/>
  <c r="AA34" i="2"/>
  <c r="AG33" i="2"/>
  <c r="AG90" i="2"/>
  <c r="AA4" i="2"/>
  <c r="AG61" i="2"/>
  <c r="AA91" i="2"/>
  <c r="AJ32" i="2"/>
  <c r="AD4" i="2" l="1"/>
  <c r="AJ3" i="2"/>
  <c r="AD3" i="2"/>
  <c r="AG31" i="2"/>
  <c r="AD31" i="2"/>
  <c r="AJ33" i="2"/>
  <c r="AA63" i="2"/>
  <c r="AJ4" i="2"/>
  <c r="AG4" i="2"/>
  <c r="AJ91" i="2"/>
  <c r="AA92" i="2"/>
  <c r="AD33" i="2"/>
  <c r="AG32" i="2"/>
  <c r="AD32" i="2"/>
  <c r="AJ34" i="2"/>
  <c r="AA35" i="2"/>
  <c r="AA5" i="2"/>
  <c r="AJ5" i="2" s="1"/>
  <c r="AJ62" i="2" l="1"/>
  <c r="AG62" i="2"/>
  <c r="AD62" i="2"/>
  <c r="AA64" i="2"/>
  <c r="AA93" i="2"/>
  <c r="AJ92" i="2"/>
  <c r="AG5" i="2"/>
  <c r="AD5" i="2"/>
  <c r="AA6" i="2"/>
  <c r="AJ6" i="2" s="1"/>
  <c r="AJ35" i="2"/>
  <c r="AA36" i="2"/>
  <c r="AD34" i="2"/>
  <c r="AG34" i="2"/>
  <c r="AD91" i="2"/>
  <c r="AG91" i="2"/>
  <c r="AD63" i="2" l="1"/>
  <c r="AJ63" i="2"/>
  <c r="AG63" i="2"/>
  <c r="AA65" i="2"/>
  <c r="AA7" i="2"/>
  <c r="AJ7" i="2" s="1"/>
  <c r="AJ36" i="2"/>
  <c r="AG35" i="2"/>
  <c r="AD35" i="2"/>
  <c r="AG92" i="2"/>
  <c r="AD92" i="2"/>
  <c r="AG6" i="2"/>
  <c r="AD6" i="2"/>
  <c r="AA94" i="2"/>
  <c r="AJ93" i="2"/>
  <c r="AA8" i="2" l="1"/>
  <c r="AJ8" i="2" s="1"/>
  <c r="AA37" i="2"/>
  <c r="AJ37" i="2" s="1"/>
  <c r="AD64" i="2"/>
  <c r="AG64" i="2"/>
  <c r="AJ64" i="2"/>
  <c r="AD37" i="2"/>
  <c r="AG93" i="2"/>
  <c r="AD93" i="2"/>
  <c r="AD36" i="2"/>
  <c r="AG36" i="2"/>
  <c r="AJ94" i="2"/>
  <c r="AD8" i="2"/>
  <c r="AD7" i="2"/>
  <c r="AG7" i="2"/>
  <c r="AG37" i="2" l="1"/>
  <c r="AG8" i="2"/>
  <c r="AA9" i="2"/>
  <c r="AA38" i="2"/>
  <c r="AA66" i="2"/>
  <c r="AG66" i="2" s="1"/>
  <c r="AJ95" i="2"/>
  <c r="AA95" i="2"/>
  <c r="AD95" i="2" s="1"/>
  <c r="AJ65" i="2"/>
  <c r="AD65" i="2"/>
  <c r="AG65" i="2"/>
  <c r="AG95" i="2"/>
  <c r="AG94" i="2"/>
  <c r="AD94" i="2"/>
  <c r="AD66" i="2" l="1"/>
  <c r="AJ66" i="2"/>
  <c r="AG9" i="2"/>
  <c r="AD9" i="2"/>
  <c r="AJ9" i="2"/>
  <c r="AA10" i="2"/>
  <c r="AG38" i="2"/>
  <c r="AJ38" i="2"/>
  <c r="AD38" i="2"/>
  <c r="AA39" i="2"/>
  <c r="AA67" i="2"/>
  <c r="AA96" i="2"/>
  <c r="X2" i="15"/>
  <c r="D206" i="2"/>
  <c r="E206" i="2"/>
  <c r="G206" i="2"/>
  <c r="I206" i="2"/>
  <c r="AC206" i="2"/>
  <c r="AE206" i="2"/>
  <c r="AF206" i="2"/>
  <c r="AH206" i="2"/>
  <c r="AK206" i="2"/>
  <c r="D207" i="2"/>
  <c r="E207" i="2"/>
  <c r="G207" i="2"/>
  <c r="I207" i="2"/>
  <c r="AC207" i="2"/>
  <c r="AE207" i="2"/>
  <c r="AF207" i="2"/>
  <c r="AH207" i="2"/>
  <c r="AK207" i="2"/>
  <c r="D208" i="2"/>
  <c r="E208" i="2"/>
  <c r="G208" i="2"/>
  <c r="I208" i="2"/>
  <c r="AC208" i="2"/>
  <c r="AE208" i="2"/>
  <c r="AF208" i="2"/>
  <c r="AH208" i="2"/>
  <c r="AK208" i="2"/>
  <c r="D209" i="2"/>
  <c r="E209" i="2"/>
  <c r="G209" i="2"/>
  <c r="I209" i="2"/>
  <c r="AC209" i="2"/>
  <c r="AE209" i="2"/>
  <c r="AF209" i="2"/>
  <c r="AH209" i="2"/>
  <c r="AK209" i="2"/>
  <c r="D210" i="2"/>
  <c r="E210" i="2"/>
  <c r="G210" i="2"/>
  <c r="I210" i="2"/>
  <c r="AC210" i="2"/>
  <c r="AE210" i="2"/>
  <c r="AF210" i="2"/>
  <c r="AH210" i="2"/>
  <c r="AK210" i="2"/>
  <c r="D211" i="2"/>
  <c r="E211" i="2"/>
  <c r="G211" i="2"/>
  <c r="I211" i="2"/>
  <c r="AC211" i="2"/>
  <c r="AE211" i="2"/>
  <c r="AF211" i="2"/>
  <c r="AH211" i="2"/>
  <c r="AK211" i="2"/>
  <c r="D177" i="2"/>
  <c r="E177" i="2"/>
  <c r="G177" i="2"/>
  <c r="I177" i="2"/>
  <c r="AC177" i="2"/>
  <c r="AE177" i="2"/>
  <c r="AF177" i="2"/>
  <c r="AH177" i="2"/>
  <c r="AK177" i="2"/>
  <c r="D178" i="2"/>
  <c r="E178" i="2"/>
  <c r="G178" i="2"/>
  <c r="I178" i="2"/>
  <c r="AC178" i="2"/>
  <c r="AE178" i="2"/>
  <c r="AF178" i="2"/>
  <c r="AH178" i="2"/>
  <c r="AK178" i="2"/>
  <c r="D179" i="2"/>
  <c r="E179" i="2"/>
  <c r="G179" i="2"/>
  <c r="I179" i="2"/>
  <c r="AC179" i="2"/>
  <c r="AE179" i="2"/>
  <c r="AF179" i="2"/>
  <c r="AH179" i="2"/>
  <c r="AK179" i="2"/>
  <c r="D180" i="2"/>
  <c r="E180" i="2"/>
  <c r="G180" i="2"/>
  <c r="I180" i="2"/>
  <c r="AC180" i="2"/>
  <c r="AE180" i="2"/>
  <c r="AF180" i="2"/>
  <c r="AH180" i="2"/>
  <c r="AK180" i="2"/>
  <c r="D181" i="2"/>
  <c r="E181" i="2"/>
  <c r="G181" i="2"/>
  <c r="I181" i="2"/>
  <c r="AC181" i="2"/>
  <c r="AE181" i="2"/>
  <c r="AF181" i="2"/>
  <c r="AH181" i="2"/>
  <c r="AK181" i="2"/>
  <c r="D182" i="2"/>
  <c r="E182" i="2"/>
  <c r="G182" i="2"/>
  <c r="I182" i="2"/>
  <c r="AC182" i="2"/>
  <c r="AE182" i="2"/>
  <c r="AF182" i="2"/>
  <c r="AH182" i="2"/>
  <c r="AK182" i="2"/>
  <c r="D148" i="2"/>
  <c r="E148" i="2"/>
  <c r="G148" i="2"/>
  <c r="I148" i="2"/>
  <c r="AC148" i="2"/>
  <c r="AE148" i="2"/>
  <c r="AF148" i="2"/>
  <c r="AH148" i="2"/>
  <c r="AK148" i="2"/>
  <c r="D149" i="2"/>
  <c r="E149" i="2"/>
  <c r="G149" i="2"/>
  <c r="I149" i="2"/>
  <c r="AC149" i="2"/>
  <c r="AE149" i="2"/>
  <c r="AF149" i="2"/>
  <c r="AH149" i="2"/>
  <c r="AK149" i="2"/>
  <c r="D150" i="2"/>
  <c r="E150" i="2"/>
  <c r="G150" i="2"/>
  <c r="I150" i="2"/>
  <c r="AC150" i="2"/>
  <c r="AE150" i="2"/>
  <c r="AF150" i="2"/>
  <c r="AH150" i="2"/>
  <c r="AK150" i="2"/>
  <c r="D151" i="2"/>
  <c r="E151" i="2"/>
  <c r="G151" i="2"/>
  <c r="I151" i="2"/>
  <c r="AC151" i="2"/>
  <c r="AE151" i="2"/>
  <c r="AF151" i="2"/>
  <c r="AH151" i="2"/>
  <c r="AK151" i="2"/>
  <c r="D152" i="2"/>
  <c r="E152" i="2"/>
  <c r="G152" i="2"/>
  <c r="I152" i="2"/>
  <c r="AC152" i="2"/>
  <c r="AE152" i="2"/>
  <c r="AF152" i="2"/>
  <c r="AH152" i="2"/>
  <c r="AK152" i="2"/>
  <c r="D153" i="2"/>
  <c r="E153" i="2"/>
  <c r="G153" i="2"/>
  <c r="I153" i="2"/>
  <c r="AC153" i="2"/>
  <c r="AE153" i="2"/>
  <c r="AF153" i="2"/>
  <c r="AH153" i="2"/>
  <c r="AK153" i="2"/>
  <c r="D119" i="2"/>
  <c r="E119" i="2"/>
  <c r="G119" i="2"/>
  <c r="I119" i="2"/>
  <c r="AC119" i="2"/>
  <c r="AE119" i="2"/>
  <c r="AF119" i="2"/>
  <c r="AH119" i="2"/>
  <c r="AK119" i="2"/>
  <c r="D120" i="2"/>
  <c r="E120" i="2"/>
  <c r="G120" i="2"/>
  <c r="I120" i="2"/>
  <c r="AC120" i="2"/>
  <c r="AE120" i="2"/>
  <c r="AF120" i="2"/>
  <c r="AH120" i="2"/>
  <c r="AK120" i="2"/>
  <c r="D121" i="2"/>
  <c r="E121" i="2"/>
  <c r="G121" i="2"/>
  <c r="I121" i="2"/>
  <c r="AC121" i="2"/>
  <c r="AE121" i="2"/>
  <c r="AF121" i="2"/>
  <c r="AH121" i="2"/>
  <c r="AK121" i="2"/>
  <c r="D122" i="2"/>
  <c r="E122" i="2"/>
  <c r="G122" i="2"/>
  <c r="I122" i="2"/>
  <c r="AC122" i="2"/>
  <c r="AE122" i="2"/>
  <c r="AF122" i="2"/>
  <c r="AH122" i="2"/>
  <c r="AK122" i="2"/>
  <c r="D123" i="2"/>
  <c r="E123" i="2"/>
  <c r="G123" i="2"/>
  <c r="I123" i="2"/>
  <c r="AC123" i="2"/>
  <c r="AE123" i="2"/>
  <c r="AF123" i="2"/>
  <c r="AH123" i="2"/>
  <c r="AK123" i="2"/>
  <c r="D124" i="2"/>
  <c r="E124" i="2"/>
  <c r="G124" i="2"/>
  <c r="I124" i="2"/>
  <c r="AC124" i="2"/>
  <c r="AE124" i="2"/>
  <c r="AF124" i="2"/>
  <c r="AH124" i="2"/>
  <c r="AK124" i="2"/>
  <c r="AA207" i="2" l="1"/>
  <c r="AA206" i="2"/>
  <c r="AJ10" i="2"/>
  <c r="AG10" i="2"/>
  <c r="AD10" i="2"/>
  <c r="AA11" i="2"/>
  <c r="AJ39" i="2"/>
  <c r="AG39" i="2"/>
  <c r="AD39" i="2"/>
  <c r="AA40" i="2"/>
  <c r="AA68" i="2"/>
  <c r="AJ67" i="2"/>
  <c r="AG67" i="2"/>
  <c r="AD67" i="2"/>
  <c r="AD96" i="2"/>
  <c r="AG96" i="2"/>
  <c r="AJ96" i="2"/>
  <c r="AA97" i="2"/>
  <c r="AJ206" i="2"/>
  <c r="AJ207" i="2"/>
  <c r="AF118" i="2"/>
  <c r="AF147"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F254" i="2"/>
  <c r="AF255" i="2"/>
  <c r="AF256" i="2"/>
  <c r="AF257" i="2"/>
  <c r="AF258" i="2"/>
  <c r="AF259" i="2"/>
  <c r="AF260" i="2"/>
  <c r="AF261" i="2"/>
  <c r="AF262" i="2"/>
  <c r="AF263" i="2"/>
  <c r="AF264" i="2"/>
  <c r="AJ264" i="2" s="1"/>
  <c r="AF265" i="2"/>
  <c r="AF266" i="2"/>
  <c r="AF267" i="2"/>
  <c r="AF268" i="2"/>
  <c r="AF269" i="2"/>
  <c r="AF270" i="2"/>
  <c r="AF271" i="2"/>
  <c r="AF272" i="2"/>
  <c r="AF273" i="2"/>
  <c r="AF274" i="2"/>
  <c r="AF275" i="2"/>
  <c r="AF276" i="2"/>
  <c r="AF277" i="2"/>
  <c r="AJ277"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J322" i="2" s="1"/>
  <c r="AF323" i="2"/>
  <c r="AJ323" i="2" s="1"/>
  <c r="AF324" i="2"/>
  <c r="AJ324" i="2" s="1"/>
  <c r="AF325" i="2"/>
  <c r="AJ325" i="2" s="1"/>
  <c r="AF326" i="2"/>
  <c r="AJ326" i="2" s="1"/>
  <c r="AF327" i="2"/>
  <c r="AJ327" i="2" s="1"/>
  <c r="AF328" i="2"/>
  <c r="AJ328" i="2" s="1"/>
  <c r="AF329" i="2"/>
  <c r="AJ329" i="2" s="1"/>
  <c r="AF330" i="2"/>
  <c r="AJ330" i="2" s="1"/>
  <c r="AF331" i="2"/>
  <c r="AJ331" i="2" s="1"/>
  <c r="AF332" i="2"/>
  <c r="AJ332" i="2" s="1"/>
  <c r="AF333" i="2"/>
  <c r="AJ333" i="2" s="1"/>
  <c r="AF334" i="2"/>
  <c r="AJ334" i="2" s="1"/>
  <c r="AF335" i="2"/>
  <c r="AJ335" i="2" s="1"/>
  <c r="AF336" i="2"/>
  <c r="AJ336" i="2" s="1"/>
  <c r="AF337" i="2"/>
  <c r="AJ337" i="2" s="1"/>
  <c r="AF338" i="2"/>
  <c r="AJ338" i="2" s="1"/>
  <c r="AF339" i="2"/>
  <c r="AJ339" i="2" s="1"/>
  <c r="AF340" i="2"/>
  <c r="AJ340" i="2" s="1"/>
  <c r="AF341" i="2"/>
  <c r="AJ341" i="2" s="1"/>
  <c r="AF342" i="2"/>
  <c r="AJ342" i="2" s="1"/>
  <c r="AF343" i="2"/>
  <c r="AJ343" i="2" s="1"/>
  <c r="AF344" i="2"/>
  <c r="AJ344" i="2" s="1"/>
  <c r="AF345" i="2"/>
  <c r="AJ345" i="2" s="1"/>
  <c r="AF346" i="2"/>
  <c r="AJ346" i="2" s="1"/>
  <c r="AF347" i="2"/>
  <c r="AJ347" i="2" s="1"/>
  <c r="AF348" i="2"/>
  <c r="AJ348" i="2" s="1"/>
  <c r="AF349" i="2"/>
  <c r="AJ349" i="2" s="1"/>
  <c r="AF350" i="2"/>
  <c r="AJ350" i="2" s="1"/>
  <c r="AC118" i="2"/>
  <c r="AC147" i="2"/>
  <c r="AC176" i="2"/>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6" i="22"/>
  <c r="C4" i="16"/>
  <c r="C5" i="16"/>
  <c r="C6" i="16"/>
  <c r="C7" i="16"/>
  <c r="C8" i="16"/>
  <c r="C9" i="16"/>
  <c r="C10" i="16"/>
  <c r="C18" i="16"/>
  <c r="C22" i="16"/>
  <c r="C26" i="16"/>
  <c r="C30" i="16"/>
  <c r="C34" i="16"/>
  <c r="C38" i="16"/>
  <c r="C42" i="16"/>
  <c r="C46" i="16"/>
  <c r="C50" i="16"/>
  <c r="C54" i="16"/>
  <c r="C58" i="16"/>
  <c r="C2" i="16"/>
  <c r="D7" i="22"/>
  <c r="D8" i="22"/>
  <c r="C13" i="16"/>
  <c r="C14" i="16"/>
  <c r="C15" i="16"/>
  <c r="C16" i="16"/>
  <c r="C17" i="16"/>
  <c r="C19" i="16"/>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B9" i="27" l="1"/>
  <c r="B6" i="27"/>
  <c r="F9" i="27"/>
  <c r="A39" i="27" s="1"/>
  <c r="A48" i="27" s="1"/>
  <c r="A62" i="27" s="1"/>
  <c r="F8" i="27"/>
  <c r="A38" i="27" s="1"/>
  <c r="A47" i="27" s="1"/>
  <c r="A61" i="27" s="1"/>
  <c r="F7" i="27"/>
  <c r="A37" i="27" s="1"/>
  <c r="A46" i="27" s="1"/>
  <c r="A60" i="27" s="1"/>
  <c r="F6" i="27"/>
  <c r="A36" i="27" s="1"/>
  <c r="A45" i="27" s="1"/>
  <c r="A59" i="27" s="1"/>
  <c r="B5" i="27"/>
  <c r="F5" i="27"/>
  <c r="A35" i="27" s="1"/>
  <c r="A44" i="27" s="1"/>
  <c r="A58" i="27" s="1"/>
  <c r="B8" i="27"/>
  <c r="B7" i="27"/>
  <c r="K26" i="15"/>
  <c r="K2" i="15"/>
  <c r="F16" i="2" s="1"/>
  <c r="M3" i="15"/>
  <c r="AD208" i="2"/>
  <c r="AD12" i="2"/>
  <c r="AG12" i="2"/>
  <c r="AJ12" i="2"/>
  <c r="AA13" i="2"/>
  <c r="AG41" i="2"/>
  <c r="AD41" i="2"/>
  <c r="AJ41" i="2"/>
  <c r="AA42" i="2"/>
  <c r="AG69" i="2"/>
  <c r="AJ69" i="2"/>
  <c r="AD69" i="2"/>
  <c r="AA70" i="2"/>
  <c r="AJ98" i="2"/>
  <c r="AD98" i="2"/>
  <c r="AG98" i="2"/>
  <c r="AA99" i="2"/>
  <c r="AA209" i="2"/>
  <c r="AJ209" i="2" s="1"/>
  <c r="AJ208" i="2"/>
  <c r="M2" i="15"/>
  <c r="K3" i="15"/>
  <c r="M26" i="15"/>
  <c r="M25" i="15"/>
  <c r="C12" i="16"/>
  <c r="C23" i="16"/>
  <c r="C11" i="16"/>
  <c r="K25" i="15" s="1"/>
  <c r="D9" i="22"/>
  <c r="D20" i="22"/>
  <c r="D2" i="22"/>
  <c r="D31" i="22"/>
  <c r="D19" i="22"/>
  <c r="D29" i="22"/>
  <c r="D17" i="22"/>
  <c r="D27" i="22"/>
  <c r="D60" i="22"/>
  <c r="D56" i="22"/>
  <c r="D52" i="22"/>
  <c r="D63" i="22"/>
  <c r="D55" i="22"/>
  <c r="D62" i="22"/>
  <c r="D58" i="22"/>
  <c r="D54" i="22"/>
  <c r="D59" i="22"/>
  <c r="D61" i="22"/>
  <c r="D57" i="22"/>
  <c r="A19" i="27" l="1"/>
  <c r="A28" i="27"/>
  <c r="F20" i="2"/>
  <c r="A25" i="27"/>
  <c r="A16" i="27"/>
  <c r="A27" i="27"/>
  <c r="A18" i="27"/>
  <c r="F12" i="2"/>
  <c r="A26" i="27"/>
  <c r="A17" i="27"/>
  <c r="F9" i="2"/>
  <c r="A29" i="27"/>
  <c r="A20" i="27"/>
  <c r="C3" i="15"/>
  <c r="F6" i="2"/>
  <c r="F2" i="2"/>
  <c r="F8" i="2"/>
  <c r="F11" i="2"/>
  <c r="F15" i="2"/>
  <c r="F17" i="2"/>
  <c r="F18" i="2"/>
  <c r="F10" i="2"/>
  <c r="F5" i="2"/>
  <c r="F7" i="2"/>
  <c r="F22" i="2"/>
  <c r="F14" i="2"/>
  <c r="F21" i="2"/>
  <c r="F19" i="2"/>
  <c r="F13" i="2"/>
  <c r="F3" i="2"/>
  <c r="F4" i="2"/>
  <c r="AG209" i="2"/>
  <c r="AD209" i="2"/>
  <c r="AD13" i="2"/>
  <c r="AJ13" i="2"/>
  <c r="AG13" i="2"/>
  <c r="AA14" i="2"/>
  <c r="AJ42" i="2"/>
  <c r="AD42" i="2"/>
  <c r="AG42" i="2"/>
  <c r="AA43" i="2"/>
  <c r="AD70" i="2"/>
  <c r="AG70" i="2"/>
  <c r="AJ70" i="2"/>
  <c r="AA71" i="2"/>
  <c r="AA100" i="2"/>
  <c r="AG99" i="2"/>
  <c r="AJ99" i="2"/>
  <c r="AD99" i="2"/>
  <c r="AA210" i="2"/>
  <c r="AD210" i="2" s="1"/>
  <c r="C2" i="15"/>
  <c r="X2" i="16" s="1"/>
  <c r="H9" i="2"/>
  <c r="H21" i="2"/>
  <c r="H7" i="2"/>
  <c r="H17" i="2"/>
  <c r="H10" i="2"/>
  <c r="H22" i="2"/>
  <c r="H2" i="2"/>
  <c r="H4" i="2"/>
  <c r="H13" i="2"/>
  <c r="H11" i="2"/>
  <c r="H3" i="2"/>
  <c r="H12" i="2"/>
  <c r="H15" i="2"/>
  <c r="H16" i="2"/>
  <c r="H14" i="2"/>
  <c r="H5" i="2"/>
  <c r="H18" i="2"/>
  <c r="H6" i="2"/>
  <c r="H19" i="2"/>
  <c r="H20" i="2"/>
  <c r="H8" i="2"/>
  <c r="M27" i="15"/>
  <c r="K27" i="15"/>
  <c r="M28"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93" i="2" l="1"/>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4" i="2"/>
  <c r="B16" i="2"/>
  <c r="B5" i="2"/>
  <c r="B21" i="2"/>
  <c r="B22" i="2"/>
  <c r="B17" i="2"/>
  <c r="B3" i="2"/>
  <c r="B19" i="2"/>
  <c r="B10" i="2"/>
  <c r="B18" i="2"/>
  <c r="B8" i="2"/>
  <c r="B9" i="2"/>
  <c r="B6" i="2"/>
  <c r="B20" i="2"/>
  <c r="B11" i="2"/>
  <c r="B2" i="2"/>
  <c r="B7" i="2"/>
  <c r="B12" i="2"/>
  <c r="B14" i="2"/>
  <c r="B13"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G211" i="2" l="1"/>
  <c r="AD211" i="2"/>
  <c r="AD15" i="2"/>
  <c r="AG15" i="2"/>
  <c r="AJ15" i="2"/>
  <c r="AA16" i="2"/>
  <c r="AJ44" i="2"/>
  <c r="AG44" i="2"/>
  <c r="AD44" i="2"/>
  <c r="AA45" i="2"/>
  <c r="AG72" i="2"/>
  <c r="AJ72" i="2"/>
  <c r="AD72" i="2"/>
  <c r="AA73" i="2"/>
  <c r="AG101" i="2"/>
  <c r="AJ101" i="2"/>
  <c r="AD101" i="2"/>
  <c r="AA102" i="2"/>
  <c r="AA212" i="2"/>
  <c r="M10" i="15"/>
  <c r="I10" i="25" s="1"/>
  <c r="K10" i="15"/>
  <c r="AD16" i="2" l="1"/>
  <c r="AJ16" i="2"/>
  <c r="AG16" i="2"/>
  <c r="AA17" i="2"/>
  <c r="AD45" i="2"/>
  <c r="AJ45" i="2"/>
  <c r="AG45" i="2"/>
  <c r="AA46" i="2"/>
  <c r="AG73" i="2"/>
  <c r="AD73" i="2"/>
  <c r="AJ73" i="2"/>
  <c r="AA74" i="2"/>
  <c r="AD102" i="2"/>
  <c r="AG102" i="2"/>
  <c r="AJ102" i="2"/>
  <c r="AA103" i="2"/>
  <c r="AA213" i="2"/>
  <c r="AJ212" i="2"/>
  <c r="AG212" i="2"/>
  <c r="AD212" i="2"/>
  <c r="G10" i="25"/>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K5" i="15"/>
  <c r="K9" i="15"/>
  <c r="K6" i="15"/>
  <c r="K12" i="15"/>
  <c r="AG18" i="2" l="1"/>
  <c r="AD18" i="2"/>
  <c r="AJ18" i="2"/>
  <c r="AA19" i="2"/>
  <c r="AJ47" i="2"/>
  <c r="AG47" i="2"/>
  <c r="AD47" i="2"/>
  <c r="AA48" i="2"/>
  <c r="AJ75" i="2"/>
  <c r="AG75" i="2"/>
  <c r="AD75" i="2"/>
  <c r="AA76" i="2"/>
  <c r="AD104" i="2"/>
  <c r="AJ104" i="2"/>
  <c r="AG104" i="2"/>
  <c r="AA105" i="2"/>
  <c r="AJ214" i="2"/>
  <c r="AG214" i="2"/>
  <c r="AD214" i="2"/>
  <c r="AA215" i="2"/>
  <c r="M12" i="15"/>
  <c r="K8" i="15"/>
  <c r="AG19" i="2" l="1"/>
  <c r="AD19" i="2"/>
  <c r="AJ19" i="2"/>
  <c r="AA20" i="2"/>
  <c r="AJ48" i="2"/>
  <c r="AG48" i="2"/>
  <c r="AD48" i="2"/>
  <c r="AA49" i="2"/>
  <c r="AD76" i="2"/>
  <c r="AG76" i="2"/>
  <c r="AJ76" i="2"/>
  <c r="AA77" i="2"/>
  <c r="AJ105" i="2"/>
  <c r="AD105" i="2"/>
  <c r="AG105" i="2"/>
  <c r="AA106" i="2"/>
  <c r="AA216" i="2"/>
  <c r="AJ215" i="2"/>
  <c r="AG215" i="2"/>
  <c r="AD215" i="2"/>
  <c r="C12" i="15"/>
  <c r="C12" i="25"/>
  <c r="C3" i="25"/>
  <c r="X22" i="16"/>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O9" i="10" s="1"/>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33" i="5"/>
  <c r="C50" i="5"/>
  <c r="C51" i="5"/>
  <c r="C44" i="5"/>
  <c r="C31" i="5"/>
  <c r="C42" i="5"/>
  <c r="C15" i="5"/>
  <c r="C8" i="5"/>
  <c r="C47" i="5"/>
  <c r="C36" i="5"/>
  <c r="C27" i="5"/>
  <c r="C17" i="5"/>
  <c r="C24" i="5"/>
  <c r="C25" i="5"/>
  <c r="C13" i="5"/>
  <c r="C28" i="5"/>
  <c r="C49" i="5"/>
  <c r="C45" i="5"/>
  <c r="C43" i="5"/>
  <c r="C10" i="5"/>
  <c r="C32" i="5"/>
  <c r="C26" i="5"/>
  <c r="C11" i="5"/>
  <c r="C12" i="5"/>
  <c r="C30" i="5"/>
  <c r="C48" i="5"/>
  <c r="C52" i="5"/>
  <c r="C29" i="5"/>
  <c r="C34" i="5"/>
  <c r="C18" i="5"/>
  <c r="C9" i="5"/>
  <c r="C6" i="5"/>
  <c r="C46" i="5"/>
  <c r="C53" i="5"/>
  <c r="C35" i="5"/>
  <c r="C7" i="5"/>
  <c r="C14" i="5"/>
  <c r="C16" i="5"/>
  <c r="AD20" i="2" l="1"/>
  <c r="AJ20" i="2"/>
  <c r="AG20" i="2"/>
  <c r="AA21" i="2"/>
  <c r="AG49" i="2"/>
  <c r="AJ49" i="2"/>
  <c r="AD49" i="2"/>
  <c r="AA50" i="2"/>
  <c r="AJ77" i="2"/>
  <c r="AG77" i="2"/>
  <c r="AD77" i="2"/>
  <c r="AA78" i="2"/>
  <c r="AD106" i="2"/>
  <c r="AG106" i="2"/>
  <c r="AJ106" i="2"/>
  <c r="AA107" i="2"/>
  <c r="AJ216" i="2"/>
  <c r="AG216" i="2"/>
  <c r="AD216" i="2"/>
  <c r="AA217" i="2"/>
  <c r="X13" i="16"/>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49" i="2"/>
  <c r="G349" i="2"/>
  <c r="D344" i="2"/>
  <c r="D345" i="2"/>
  <c r="E349"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D338" i="2"/>
  <c r="D339" i="2"/>
  <c r="G345" i="2"/>
  <c r="E344" i="2"/>
  <c r="E345" i="2"/>
  <c r="G338" i="2"/>
  <c r="G339" i="2"/>
  <c r="E338" i="2"/>
  <c r="E33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H30" i="2" l="1"/>
  <c r="H24" i="2"/>
  <c r="H23" i="2"/>
  <c r="H25" i="2"/>
  <c r="H29" i="2"/>
  <c r="H28" i="2"/>
  <c r="H26" i="2"/>
  <c r="H27" i="2"/>
  <c r="H81" i="2"/>
  <c r="H60" i="2"/>
  <c r="H79" i="2"/>
  <c r="H72" i="2"/>
  <c r="H69" i="2"/>
  <c r="H86" i="2"/>
  <c r="H87" i="2"/>
  <c r="H88" i="2"/>
  <c r="H73" i="2"/>
  <c r="H70" i="2"/>
  <c r="H85" i="2"/>
  <c r="H82" i="2"/>
  <c r="H75" i="2"/>
  <c r="H84" i="2"/>
  <c r="H66" i="2"/>
  <c r="H63" i="2"/>
  <c r="H78" i="2"/>
  <c r="H74" i="2"/>
  <c r="H71" i="2"/>
  <c r="H76" i="2"/>
  <c r="H83" i="2"/>
  <c r="H67" i="2"/>
  <c r="H68" i="2"/>
  <c r="H62" i="2"/>
  <c r="H64" i="2"/>
  <c r="H80" i="2"/>
  <c r="H65" i="2"/>
  <c r="H77" i="2"/>
  <c r="H61" i="2"/>
  <c r="F30" i="2"/>
  <c r="F24" i="2"/>
  <c r="F25" i="2"/>
  <c r="F23" i="2"/>
  <c r="F26" i="2"/>
  <c r="F29" i="2"/>
  <c r="F27" i="2"/>
  <c r="F28" i="2"/>
  <c r="F92" i="2"/>
  <c r="F97" i="2"/>
  <c r="F94" i="2"/>
  <c r="F91" i="2"/>
  <c r="F105" i="2"/>
  <c r="F106" i="2"/>
  <c r="F107" i="2"/>
  <c r="F104" i="2"/>
  <c r="F95" i="2"/>
  <c r="F108" i="2"/>
  <c r="F110" i="2"/>
  <c r="F114" i="2"/>
  <c r="F103" i="2"/>
  <c r="F101" i="2"/>
  <c r="F113" i="2"/>
  <c r="F109" i="2"/>
  <c r="F100" i="2"/>
  <c r="F90" i="2"/>
  <c r="F115" i="2"/>
  <c r="F93" i="2"/>
  <c r="F102" i="2"/>
  <c r="F116" i="2"/>
  <c r="F112" i="2"/>
  <c r="F96" i="2"/>
  <c r="F111" i="2"/>
  <c r="F99" i="2"/>
  <c r="F117" i="2"/>
  <c r="F89" i="2"/>
  <c r="F98" i="2"/>
  <c r="F62" i="2"/>
  <c r="F61" i="2"/>
  <c r="F77" i="2"/>
  <c r="F51" i="2"/>
  <c r="F57" i="2"/>
  <c r="F37" i="2"/>
  <c r="F56" i="2"/>
  <c r="F87" i="2"/>
  <c r="F86" i="2"/>
  <c r="F36" i="2"/>
  <c r="F64" i="2"/>
  <c r="F60" i="2"/>
  <c r="F65" i="2"/>
  <c r="F71" i="2"/>
  <c r="F49" i="2"/>
  <c r="F53" i="2"/>
  <c r="F46" i="2"/>
  <c r="F66" i="2"/>
  <c r="F52" i="2"/>
  <c r="F38" i="2"/>
  <c r="F75" i="2"/>
  <c r="F55" i="2"/>
  <c r="F39" i="2"/>
  <c r="F70" i="2"/>
  <c r="F83" i="2"/>
  <c r="F31" i="2"/>
  <c r="F35" i="2"/>
  <c r="F47" i="2"/>
  <c r="F68" i="2"/>
  <c r="F58" i="2"/>
  <c r="F84" i="2"/>
  <c r="F59" i="2"/>
  <c r="F43" i="2"/>
  <c r="F41" i="2"/>
  <c r="F67" i="2"/>
  <c r="F42" i="2"/>
  <c r="F76" i="2"/>
  <c r="F85" i="2"/>
  <c r="F63" i="2"/>
  <c r="F34" i="2"/>
  <c r="F45" i="2"/>
  <c r="F48" i="2"/>
  <c r="F40" i="2"/>
  <c r="F80" i="2"/>
  <c r="F72" i="2"/>
  <c r="F54" i="2"/>
  <c r="F82" i="2"/>
  <c r="F74" i="2"/>
  <c r="F33" i="2"/>
  <c r="F32" i="2"/>
  <c r="F78" i="2"/>
  <c r="F73" i="2"/>
  <c r="F88" i="2"/>
  <c r="F50" i="2"/>
  <c r="F44" i="2"/>
  <c r="F69" i="2"/>
  <c r="F81" i="2"/>
  <c r="F79" i="2"/>
  <c r="AD21" i="2"/>
  <c r="AG21" i="2"/>
  <c r="AJ21" i="2"/>
  <c r="AA22" i="2"/>
  <c r="AJ50" i="2"/>
  <c r="AG50" i="2"/>
  <c r="AD50" i="2"/>
  <c r="AA51" i="2"/>
  <c r="AD78" i="2"/>
  <c r="AJ78" i="2"/>
  <c r="AG78" i="2"/>
  <c r="AA79" i="2"/>
  <c r="AG107" i="2"/>
  <c r="AD107" i="2"/>
  <c r="AJ107" i="2"/>
  <c r="AA108" i="2"/>
  <c r="AJ217" i="2"/>
  <c r="AG217" i="2"/>
  <c r="AD217" i="2"/>
  <c r="AA218" i="2"/>
  <c r="H99" i="2"/>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N4" i="16"/>
  <c r="C31" i="15"/>
  <c r="Z21" i="16" s="1"/>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H336" i="2"/>
  <c r="F118" i="2"/>
  <c r="H334" i="2"/>
  <c r="H335" i="2"/>
  <c r="H343" i="2"/>
  <c r="H205" i="2"/>
  <c r="H340" i="2"/>
  <c r="H342" i="2"/>
  <c r="H341" i="2"/>
  <c r="H338" i="2"/>
  <c r="H344" i="2"/>
  <c r="H345" i="2"/>
  <c r="H337" i="2"/>
  <c r="F339" i="2"/>
  <c r="H339" i="2"/>
  <c r="F344" i="2"/>
  <c r="F233" i="2"/>
  <c r="F252" i="2"/>
  <c r="F253" i="2"/>
  <c r="F254" i="2"/>
  <c r="F255" i="2"/>
  <c r="F261" i="2"/>
  <c r="F256" i="2"/>
  <c r="F257" i="2"/>
  <c r="F258" i="2"/>
  <c r="F259" i="2"/>
  <c r="F260" i="2"/>
  <c r="F250" i="2"/>
  <c r="F262" i="2"/>
  <c r="F263" i="2"/>
  <c r="F251" i="2"/>
  <c r="F334" i="2"/>
  <c r="F340" i="2"/>
  <c r="F341" i="2"/>
  <c r="F342" i="2"/>
  <c r="F343" i="2"/>
  <c r="F335" i="2"/>
  <c r="H118" i="2"/>
  <c r="H147" i="2"/>
  <c r="H176" i="2"/>
  <c r="F345" i="2"/>
  <c r="F336" i="2"/>
  <c r="F337" i="2"/>
  <c r="F338" i="2"/>
  <c r="B26" i="2" l="1"/>
  <c r="B30" i="2"/>
  <c r="B28" i="2"/>
  <c r="B27" i="2"/>
  <c r="B25" i="2"/>
  <c r="B29" i="2"/>
  <c r="B24" i="2"/>
  <c r="B23" i="2"/>
  <c r="B71" i="2"/>
  <c r="B80" i="2"/>
  <c r="B87" i="2"/>
  <c r="B77" i="2"/>
  <c r="B82" i="2"/>
  <c r="B65" i="2"/>
  <c r="B60" i="2"/>
  <c r="B83" i="2"/>
  <c r="B70" i="2"/>
  <c r="B69" i="2"/>
  <c r="B64" i="2"/>
  <c r="B81" i="2"/>
  <c r="B72" i="2"/>
  <c r="B61" i="2"/>
  <c r="B78" i="2"/>
  <c r="B62" i="2"/>
  <c r="B63" i="2"/>
  <c r="B73" i="2"/>
  <c r="B66" i="2"/>
  <c r="B74" i="2"/>
  <c r="B76" i="2"/>
  <c r="B84" i="2"/>
  <c r="B75" i="2"/>
  <c r="B88" i="2"/>
  <c r="B67" i="2"/>
  <c r="B85" i="2"/>
  <c r="B68" i="2"/>
  <c r="B79" i="2"/>
  <c r="B86" i="2"/>
  <c r="AD22" i="2"/>
  <c r="AJ22" i="2"/>
  <c r="AG22" i="2"/>
  <c r="AA23" i="2"/>
  <c r="AG51" i="2"/>
  <c r="AJ51" i="2"/>
  <c r="AD51" i="2"/>
  <c r="AA52" i="2"/>
  <c r="AJ79" i="2"/>
  <c r="AG79" i="2"/>
  <c r="AD79" i="2"/>
  <c r="AA80" i="2"/>
  <c r="AD108" i="2"/>
  <c r="AG108" i="2"/>
  <c r="AJ108" i="2"/>
  <c r="AA109" i="2"/>
  <c r="AD218" i="2"/>
  <c r="AJ218" i="2"/>
  <c r="AG218" i="2"/>
  <c r="AA219" i="2"/>
  <c r="F224" i="2"/>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0" i="16"/>
  <c r="AH4" i="16"/>
  <c r="AB52" i="16"/>
  <c r="Z17" i="16"/>
  <c r="R3" i="16"/>
  <c r="AF51" i="16"/>
  <c r="N41" i="16"/>
  <c r="P40" i="16"/>
  <c r="T12" i="16"/>
  <c r="W8" i="22" s="1"/>
  <c r="T21" i="16"/>
  <c r="Z28" i="16"/>
  <c r="X38" i="16"/>
  <c r="X49" i="16"/>
  <c r="T33" i="16"/>
  <c r="AB35" i="16"/>
  <c r="X48" i="16"/>
  <c r="V47" i="16"/>
  <c r="AF26" i="16"/>
  <c r="AH17" i="16"/>
  <c r="AH10" i="16"/>
  <c r="R9" i="16"/>
  <c r="AB53" i="16"/>
  <c r="AH23" i="16"/>
  <c r="AS16" i="22" s="1"/>
  <c r="AD27" i="16"/>
  <c r="V24" i="16"/>
  <c r="T13" i="16"/>
  <c r="N36" i="16"/>
  <c r="AH20" i="16"/>
  <c r="N52" i="16"/>
  <c r="P2" i="16"/>
  <c r="AB37" i="16"/>
  <c r="AB54" i="16"/>
  <c r="V20" i="16"/>
  <c r="AF30" i="16"/>
  <c r="X39" i="16"/>
  <c r="Z55" i="16"/>
  <c r="AF21" i="16"/>
  <c r="P35" i="16"/>
  <c r="P36" i="16"/>
  <c r="AD58" i="16"/>
  <c r="Z37" i="16"/>
  <c r="AF33" i="16"/>
  <c r="AH5" i="16"/>
  <c r="Z41" i="16"/>
  <c r="V8" i="16"/>
  <c r="P12" i="16"/>
  <c r="Q8" i="22" s="1"/>
  <c r="X29" i="16"/>
  <c r="P19" i="16"/>
  <c r="AH49" i="16"/>
  <c r="X20" i="16"/>
  <c r="C23" i="15"/>
  <c r="AB2" i="16" s="1"/>
  <c r="F178" i="2"/>
  <c r="F179" i="2"/>
  <c r="F180" i="2"/>
  <c r="F181" i="2"/>
  <c r="F177" i="2"/>
  <c r="F182" i="2"/>
  <c r="Z11" i="16"/>
  <c r="B120" i="2"/>
  <c r="B121" i="2"/>
  <c r="B122" i="2"/>
  <c r="B123" i="2"/>
  <c r="B124" i="2"/>
  <c r="B119" i="2"/>
  <c r="C24" i="15"/>
  <c r="B225" i="2" s="1"/>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Q14" i="22" s="1"/>
  <c r="AF54" i="16"/>
  <c r="AD21" i="16"/>
  <c r="AB33" i="16"/>
  <c r="V48" i="16"/>
  <c r="AH13" i="16"/>
  <c r="AS13" i="22" s="1"/>
  <c r="AB58" i="16"/>
  <c r="AJ44" i="22" s="1"/>
  <c r="V51" i="16"/>
  <c r="V26" i="16"/>
  <c r="N28" i="16"/>
  <c r="R58" i="16"/>
  <c r="T26" i="16"/>
  <c r="Z33" i="16"/>
  <c r="AF25" i="16"/>
  <c r="R10" i="16"/>
  <c r="P53" i="16"/>
  <c r="V3" i="16"/>
  <c r="R27" i="16"/>
  <c r="AH7" i="16"/>
  <c r="AS12" i="22" s="1"/>
  <c r="N33" i="16"/>
  <c r="AH36" i="16"/>
  <c r="AB14" i="16"/>
  <c r="AJ14" i="22" s="1"/>
  <c r="AF32" i="16"/>
  <c r="AD39" i="16"/>
  <c r="X25" i="16"/>
  <c r="AF15" i="16"/>
  <c r="N51" i="16"/>
  <c r="T2" i="16"/>
  <c r="AF45" i="16"/>
  <c r="AD13" i="16"/>
  <c r="AM13" i="22" s="1"/>
  <c r="R52" i="16"/>
  <c r="V40" i="16"/>
  <c r="AH54" i="16"/>
  <c r="Z15" i="16"/>
  <c r="Z29" i="16"/>
  <c r="X17" i="16"/>
  <c r="AD11" i="22" s="1"/>
  <c r="T45" i="16"/>
  <c r="V16" i="16"/>
  <c r="AF19" i="16"/>
  <c r="X41" i="16"/>
  <c r="N45" i="16"/>
  <c r="X14" i="16"/>
  <c r="T24" i="16"/>
  <c r="Z27" i="16"/>
  <c r="AH12" i="16"/>
  <c r="AS8" i="22" s="1"/>
  <c r="Z39" i="16"/>
  <c r="AF42" i="16"/>
  <c r="AF16" i="16"/>
  <c r="T15" i="16"/>
  <c r="P55" i="16"/>
  <c r="P46" i="16"/>
  <c r="Z44" i="16"/>
  <c r="N29" i="16"/>
  <c r="AH11" i="16"/>
  <c r="Z30" i="16"/>
  <c r="T3" i="16"/>
  <c r="Z42" i="16"/>
  <c r="AD6" i="16"/>
  <c r="V13" i="16"/>
  <c r="P37" i="16"/>
  <c r="AF2" i="16"/>
  <c r="V39" i="16"/>
  <c r="N53" i="16"/>
  <c r="R8" i="16"/>
  <c r="T30" i="16"/>
  <c r="P11" i="16"/>
  <c r="T42" i="16"/>
  <c r="AD22" i="16"/>
  <c r="R49" i="16"/>
  <c r="P23" i="16"/>
  <c r="Q16" i="22" s="1"/>
  <c r="T40" i="16"/>
  <c r="AF18" i="16"/>
  <c r="R7" i="16"/>
  <c r="N30" i="16"/>
  <c r="P7" i="16"/>
  <c r="Q12" i="22" s="1"/>
  <c r="P44" i="16"/>
  <c r="AF22" i="16"/>
  <c r="N50" i="16"/>
  <c r="AF11" i="16"/>
  <c r="Z36" i="16"/>
  <c r="F312" i="2"/>
  <c r="F271" i="2"/>
  <c r="F266" i="2"/>
  <c r="F293" i="2"/>
  <c r="F278" i="2"/>
  <c r="F330" i="2"/>
  <c r="G30" i="25"/>
  <c r="G27" i="25"/>
  <c r="B301" i="2"/>
  <c r="G36" i="25"/>
  <c r="C38" i="25"/>
  <c r="G29" i="25"/>
  <c r="C26"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T43" i="16"/>
  <c r="F276" i="2"/>
  <c r="F273" i="2"/>
  <c r="F292" i="2"/>
  <c r="F318" i="2"/>
  <c r="F332" i="2"/>
  <c r="F291" i="2"/>
  <c r="F348" i="2"/>
  <c r="G25" i="25"/>
  <c r="X26" i="16"/>
  <c r="N35" i="16"/>
  <c r="F294" i="2"/>
  <c r="F265" i="2"/>
  <c r="F275" i="2"/>
  <c r="F306" i="2"/>
  <c r="F286" i="2"/>
  <c r="F287" i="2"/>
  <c r="F347" i="2"/>
  <c r="R22" i="16"/>
  <c r="T2" i="22" s="1"/>
  <c r="N40" i="16"/>
  <c r="X53" i="16"/>
  <c r="V58" i="16"/>
  <c r="Z28" i="22" s="1"/>
  <c r="R37" i="16"/>
  <c r="N27" i="16"/>
  <c r="AF20" i="16"/>
  <c r="AB50" i="16"/>
  <c r="AB31" i="16"/>
  <c r="AH3" i="16"/>
  <c r="P49" i="16"/>
  <c r="AH55" i="16"/>
  <c r="P34" i="16"/>
  <c r="AB3" i="16"/>
  <c r="AH26" i="16"/>
  <c r="Z19" i="16"/>
  <c r="AD47" i="16"/>
  <c r="AH30" i="16"/>
  <c r="AD37" i="16"/>
  <c r="T27" i="16"/>
  <c r="Z45" i="16"/>
  <c r="T6" i="16"/>
  <c r="R13" i="16"/>
  <c r="AB16" i="16"/>
  <c r="P13" i="16"/>
  <c r="Q13" i="22" s="1"/>
  <c r="V10" i="16"/>
  <c r="V17" i="16"/>
  <c r="AF36" i="16"/>
  <c r="P58" i="16"/>
  <c r="Q25" i="22" s="1"/>
  <c r="P38" i="16"/>
  <c r="V52" i="16"/>
  <c r="Z20" i="16"/>
  <c r="AB8" i="16"/>
  <c r="AJ15" i="22" s="1"/>
  <c r="P50" i="16"/>
  <c r="V31" i="16"/>
  <c r="AD7" i="16"/>
  <c r="Z50" i="16"/>
  <c r="AB55" i="16"/>
  <c r="AD35" i="16"/>
  <c r="AH37" i="16"/>
  <c r="V27" i="16"/>
  <c r="T19" i="16"/>
  <c r="V5" i="16"/>
  <c r="AF31" i="16"/>
  <c r="AB41" i="16"/>
  <c r="P29" i="16"/>
  <c r="P17" i="16"/>
  <c r="Q11" i="22" s="1"/>
  <c r="AH51" i="16"/>
  <c r="AF24" i="16"/>
  <c r="N2" i="16"/>
  <c r="N39" i="16"/>
  <c r="AH29" i="16"/>
  <c r="T20" i="16"/>
  <c r="AH9" i="16"/>
  <c r="AS5" i="22" s="1"/>
  <c r="Z51" i="16"/>
  <c r="P31" i="16"/>
  <c r="AB9" i="16"/>
  <c r="N49" i="16"/>
  <c r="V55" i="16"/>
  <c r="X47" i="16"/>
  <c r="AF38" i="16"/>
  <c r="AD28" i="16"/>
  <c r="AD20" i="16"/>
  <c r="P47" i="16"/>
  <c r="AD32" i="16"/>
  <c r="Z49" i="16"/>
  <c r="T36" i="16"/>
  <c r="AB43" i="16"/>
  <c r="P25" i="16"/>
  <c r="Q17" i="22" s="1"/>
  <c r="AB38" i="16"/>
  <c r="AF46" i="16"/>
  <c r="T9" i="16"/>
  <c r="AH50" i="16"/>
  <c r="P54" i="16"/>
  <c r="AD34" i="16"/>
  <c r="AF8" i="16"/>
  <c r="AH24" i="16"/>
  <c r="AD46" i="16"/>
  <c r="AD9" i="16"/>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T11" i="16"/>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H42" i="16"/>
  <c r="N43" i="16"/>
  <c r="X46" i="16"/>
  <c r="Z31" i="16"/>
  <c r="AH25" i="16"/>
  <c r="P43" i="16"/>
  <c r="AD19" i="16"/>
  <c r="AH35" i="16"/>
  <c r="AD51" i="16"/>
  <c r="R31" i="16"/>
  <c r="T35" i="16"/>
  <c r="AF12" i="16"/>
  <c r="AP8" i="22" s="1"/>
  <c r="R26" i="16"/>
  <c r="X43" i="16"/>
  <c r="AF5" i="16"/>
  <c r="AP6" i="22" s="1"/>
  <c r="Z6" i="16"/>
  <c r="V6" i="16"/>
  <c r="Z13" i="16"/>
  <c r="AD16" i="16"/>
  <c r="AB13" i="16"/>
  <c r="AJ13" i="22" s="1"/>
  <c r="AB11" i="16"/>
  <c r="AD50" i="16"/>
  <c r="N54" i="16"/>
  <c r="AB46" i="16"/>
  <c r="T4" i="16"/>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AB27" i="16"/>
  <c r="R43" i="16"/>
  <c r="Z23" i="16"/>
  <c r="AD14" i="16"/>
  <c r="Z16" i="16"/>
  <c r="AF14" i="16"/>
  <c r="P6" i="16"/>
  <c r="Q4" i="22" s="1"/>
  <c r="AH22" i="16"/>
  <c r="AH15" i="16"/>
  <c r="AS9" i="22" s="1"/>
  <c r="R50" i="16"/>
  <c r="AD55" i="16"/>
  <c r="T46" i="16"/>
  <c r="R12" i="16"/>
  <c r="T8" i="22" s="1"/>
  <c r="AD25" i="16"/>
  <c r="R18" i="16"/>
  <c r="T17" i="16"/>
  <c r="AB36" i="16"/>
  <c r="AD33" i="16"/>
  <c r="AD17" i="16"/>
  <c r="T53" i="16"/>
  <c r="N58" i="16"/>
  <c r="N43" i="22" s="1"/>
  <c r="AB48" i="16"/>
  <c r="AH18" i="16"/>
  <c r="AS10" i="22" s="1"/>
  <c r="V21" i="16"/>
  <c r="AF37" i="16"/>
  <c r="R2" i="16"/>
  <c r="AD44" i="16"/>
  <c r="AD23" i="16"/>
  <c r="AH28"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P8" i="16"/>
  <c r="Q15" i="22" s="1"/>
  <c r="P48" i="16"/>
  <c r="AB18" i="16"/>
  <c r="AJ10" i="22" s="1"/>
  <c r="P21" i="16"/>
  <c r="AB17" i="16"/>
  <c r="AJ11" i="22" s="1"/>
  <c r="AF41" i="16"/>
  <c r="AB45" i="16"/>
  <c r="V7" i="16"/>
  <c r="X44" i="16"/>
  <c r="T44" i="16"/>
  <c r="T39" i="16"/>
  <c r="AH27" i="16"/>
  <c r="V32" i="16"/>
  <c r="T38" i="16"/>
  <c r="X52" i="16"/>
  <c r="AB44" i="16"/>
  <c r="R23" i="16"/>
  <c r="P22" i="16"/>
  <c r="AB10" i="16"/>
  <c r="AH16" i="16"/>
  <c r="AD10" i="16"/>
  <c r="T37" i="16"/>
  <c r="P51" i="16"/>
  <c r="R55" i="16"/>
  <c r="Z35" i="16"/>
  <c r="AF3" i="16"/>
  <c r="AP3" i="22" s="1"/>
  <c r="AB26" i="16"/>
  <c r="AB19" i="16"/>
  <c r="AF4" i="16"/>
  <c r="R24" i="16"/>
  <c r="X30" i="16"/>
  <c r="R33" i="16"/>
  <c r="AB24" i="16"/>
  <c r="AD54" i="16"/>
  <c r="V11" i="16"/>
  <c r="Z25" i="16"/>
  <c r="V18" i="16"/>
  <c r="AF34" i="16"/>
  <c r="AB25" i="16"/>
  <c r="AH43" i="16"/>
  <c r="Z46" i="16"/>
  <c r="N37" i="16"/>
  <c r="R35" i="16"/>
  <c r="R45" i="16"/>
  <c r="Z52" i="16"/>
  <c r="AB20" i="16"/>
  <c r="R40" i="16"/>
  <c r="Z53" i="16"/>
  <c r="P32" i="16"/>
  <c r="R39" i="16"/>
  <c r="AH52" i="16"/>
  <c r="V44" i="16"/>
  <c r="Z10" i="16"/>
  <c r="AB6" i="16"/>
  <c r="AH14" i="16"/>
  <c r="AS14" i="22" s="1"/>
  <c r="R14" i="16"/>
  <c r="R38" i="16"/>
  <c r="V28" i="16"/>
  <c r="AH58" i="16"/>
  <c r="AS48" i="22" s="1"/>
  <c r="R5" i="16"/>
  <c r="T6" i="22" s="1"/>
  <c r="T8" i="16"/>
  <c r="P26" i="16"/>
  <c r="V19" i="16"/>
  <c r="AD8" i="16"/>
  <c r="AM6" i="22" s="1"/>
  <c r="AD49" i="16"/>
  <c r="R30" i="16"/>
  <c r="X54" i="16"/>
  <c r="AB15" i="16"/>
  <c r="AJ9" i="22" s="1"/>
  <c r="N25" i="16"/>
  <c r="P18" i="16"/>
  <c r="Q10" i="22" s="1"/>
  <c r="X34" i="16"/>
  <c r="X27" i="16"/>
  <c r="V4" i="16"/>
  <c r="AB23" i="16"/>
  <c r="T41" i="16"/>
  <c r="N23" i="16"/>
  <c r="V45" i="16"/>
  <c r="R34" i="16"/>
  <c r="AD3" i="16"/>
  <c r="AM3" i="22" s="1"/>
  <c r="N48" i="16"/>
  <c r="R15" i="16"/>
  <c r="N31" i="16"/>
  <c r="X23" i="16"/>
  <c r="X35" i="16"/>
  <c r="V42" i="16"/>
  <c r="P28" i="16"/>
  <c r="R11" i="16"/>
  <c r="AD52" i="16"/>
  <c r="AD45" i="16"/>
  <c r="R46" i="16"/>
  <c r="AD42" i="16"/>
  <c r="AD38" i="16"/>
  <c r="AB42" i="16"/>
  <c r="Z7" i="16"/>
  <c r="T52" i="16"/>
  <c r="AF28" i="16"/>
  <c r="Z24" i="16"/>
  <c r="AH39" i="16"/>
  <c r="V30" i="16"/>
  <c r="B246" i="2"/>
  <c r="B299" i="2"/>
  <c r="B314" i="2"/>
  <c r="B241" i="2"/>
  <c r="B333" i="2"/>
  <c r="B268" i="2"/>
  <c r="B239" i="2"/>
  <c r="B283" i="2"/>
  <c r="C34" i="25"/>
  <c r="B240" i="2"/>
  <c r="B329" i="2"/>
  <c r="C41" i="25"/>
  <c r="B330" i="2"/>
  <c r="C31" i="25"/>
  <c r="B325" i="2"/>
  <c r="B313" i="2"/>
  <c r="B315" i="2"/>
  <c r="B265" i="2"/>
  <c r="B269" i="2"/>
  <c r="AF35" i="16"/>
  <c r="B296" i="2"/>
  <c r="B305" i="2"/>
  <c r="T31" i="16"/>
  <c r="B243" i="2"/>
  <c r="B272" i="2"/>
  <c r="B312" i="2"/>
  <c r="P33" i="16"/>
  <c r="AH33" i="16"/>
  <c r="P15" i="16"/>
  <c r="Q9" i="22" s="1"/>
  <c r="T7" i="16"/>
  <c r="Z40" i="16"/>
  <c r="AF40" i="16"/>
  <c r="R48" i="16"/>
  <c r="V23" i="16"/>
  <c r="R32" i="16"/>
  <c r="Z48" i="16"/>
  <c r="N26" i="16"/>
  <c r="AD53" i="16"/>
  <c r="V35" i="16"/>
  <c r="R42" i="16"/>
  <c r="AH46" i="16"/>
  <c r="N44" i="16"/>
  <c r="P5" i="16"/>
  <c r="Q6" i="22" s="1"/>
  <c r="P42" i="16"/>
  <c r="V33" i="16"/>
  <c r="AB7" i="16"/>
  <c r="AJ12" i="22" s="1"/>
  <c r="R36" i="16"/>
  <c r="AB39" i="16"/>
  <c r="R47" i="16"/>
  <c r="AD48" i="16"/>
  <c r="X50" i="16"/>
  <c r="N15" i="16"/>
  <c r="V43" i="16"/>
  <c r="Z26" i="16"/>
  <c r="R44" i="16"/>
  <c r="N24" i="16"/>
  <c r="Q46" i="22"/>
  <c r="Q20" i="22"/>
  <c r="AF44" i="16"/>
  <c r="AF47" i="16"/>
  <c r="AJ37" i="22"/>
  <c r="Q50" i="22"/>
  <c r="V9" i="16"/>
  <c r="AB29" i="16"/>
  <c r="AS36" i="22"/>
  <c r="AS24" i="22"/>
  <c r="Q47" i="22"/>
  <c r="Q21" i="22"/>
  <c r="Q42" i="22"/>
  <c r="Q51" i="22"/>
  <c r="B238" i="2"/>
  <c r="B288" i="2"/>
  <c r="B291" i="2"/>
  <c r="B310" i="2"/>
  <c r="B306" i="2"/>
  <c r="B285" i="2"/>
  <c r="B320" i="2"/>
  <c r="C36" i="25"/>
  <c r="C24" i="25"/>
  <c r="Q34" i="22"/>
  <c r="Q22" i="22"/>
  <c r="Q35" i="22"/>
  <c r="Q30" i="22"/>
  <c r="Q39" i="22"/>
  <c r="B334" i="2"/>
  <c r="B247" i="2"/>
  <c r="B274" i="2"/>
  <c r="B271" i="2"/>
  <c r="B282" i="2"/>
  <c r="B290" i="2"/>
  <c r="B302" i="2"/>
  <c r="B287" i="2"/>
  <c r="C25" i="25"/>
  <c r="C28" i="25"/>
  <c r="Z56" i="16"/>
  <c r="Q38" i="22"/>
  <c r="Q23" i="22"/>
  <c r="Q44" i="22"/>
  <c r="Q18" i="22"/>
  <c r="Q27" i="22"/>
  <c r="B340" i="2"/>
  <c r="B249" i="2"/>
  <c r="B336" i="2"/>
  <c r="B294" i="2"/>
  <c r="B292" i="2"/>
  <c r="B328" i="2"/>
  <c r="B322" i="2"/>
  <c r="B331" i="2"/>
  <c r="B303" i="2"/>
  <c r="C23" i="25"/>
  <c r="C22" i="25"/>
  <c r="Q32" i="22"/>
  <c r="Q48" i="22"/>
  <c r="B346" i="2"/>
  <c r="B245" i="2"/>
  <c r="B343" i="2"/>
  <c r="B332" i="2"/>
  <c r="B275" i="2"/>
  <c r="B317" i="2"/>
  <c r="B286" i="2"/>
  <c r="B266" i="2"/>
  <c r="B273" i="2"/>
  <c r="C35" i="25"/>
  <c r="C32" i="25"/>
  <c r="Q29" i="22"/>
  <c r="Q36" i="22"/>
  <c r="B349" i="2"/>
  <c r="B324" i="2"/>
  <c r="B309" i="2"/>
  <c r="B300" i="2"/>
  <c r="B308" i="2"/>
  <c r="B304" i="2"/>
  <c r="B298" i="2"/>
  <c r="C29" i="25"/>
  <c r="B236" i="2"/>
  <c r="B335" i="2"/>
  <c r="Q49" i="22"/>
  <c r="Q43" i="22"/>
  <c r="Q40" i="22"/>
  <c r="B344" i="2"/>
  <c r="B244" i="2"/>
  <c r="B337" i="2"/>
  <c r="B341" i="2"/>
  <c r="B318" i="2"/>
  <c r="B295" i="2"/>
  <c r="B270" i="2"/>
  <c r="B277" i="2"/>
  <c r="B326" i="2"/>
  <c r="B327" i="2"/>
  <c r="C33" i="25"/>
  <c r="Q24" i="22"/>
  <c r="Q31" i="22"/>
  <c r="Q28" i="22"/>
  <c r="B242" i="2"/>
  <c r="B267" i="2"/>
  <c r="B293" i="2"/>
  <c r="B323" i="2"/>
  <c r="B319" i="2"/>
  <c r="B307" i="2"/>
  <c r="B280" i="2"/>
  <c r="C40" i="25"/>
  <c r="AD11" i="16"/>
  <c r="AM7" i="22" s="1"/>
  <c r="Q45" i="22"/>
  <c r="B248" i="2"/>
  <c r="B342" i="2"/>
  <c r="B321" i="2"/>
  <c r="B311" i="2"/>
  <c r="B316" i="2"/>
  <c r="B279" i="2"/>
  <c r="B278" i="2"/>
  <c r="C30" i="25"/>
  <c r="C39" i="25"/>
  <c r="Q26" i="22"/>
  <c r="Q19" i="22"/>
  <c r="Q37" i="22"/>
  <c r="Q33" i="22"/>
  <c r="B237" i="2"/>
  <c r="B264" i="2"/>
  <c r="B281" i="2"/>
  <c r="B276" i="2"/>
  <c r="B297" i="2"/>
  <c r="B289" i="2"/>
  <c r="C37" i="25"/>
  <c r="C27" i="25"/>
  <c r="X40" i="16"/>
  <c r="AH56" i="16"/>
  <c r="AH34" i="16"/>
  <c r="AF29" i="16"/>
  <c r="AH45" i="16"/>
  <c r="N46" i="16"/>
  <c r="P30" i="16"/>
  <c r="AF27" i="16"/>
  <c r="AS32" i="22"/>
  <c r="X12" i="16"/>
  <c r="AD8" i="22" s="1"/>
  <c r="N20" i="16"/>
  <c r="AF56" i="16"/>
  <c r="P56" i="16"/>
  <c r="B261" i="2"/>
  <c r="AD56" i="16"/>
  <c r="N56" i="16"/>
  <c r="Z57" i="16"/>
  <c r="B250" i="2"/>
  <c r="B339" i="2"/>
  <c r="B347" i="2"/>
  <c r="P57" i="16"/>
  <c r="B262" i="2"/>
  <c r="B345" i="2"/>
  <c r="AD57" i="16"/>
  <c r="N57" i="16"/>
  <c r="B251" i="2"/>
  <c r="B258" i="2"/>
  <c r="B350" i="2"/>
  <c r="B235" i="2"/>
  <c r="B255" i="2"/>
  <c r="B263" i="2"/>
  <c r="T56" i="16"/>
  <c r="B338" i="2"/>
  <c r="R56" i="16"/>
  <c r="X57" i="16"/>
  <c r="B257" i="2"/>
  <c r="B252" i="2"/>
  <c r="B234" i="2"/>
  <c r="B348" i="2"/>
  <c r="R57" i="16"/>
  <c r="AH57" i="16"/>
  <c r="B256" i="2"/>
  <c r="B254" i="2"/>
  <c r="V57" i="16"/>
  <c r="T57" i="16"/>
  <c r="AB56" i="16"/>
  <c r="X56" i="16"/>
  <c r="V56" i="16"/>
  <c r="B259" i="2"/>
  <c r="B253" i="2"/>
  <c r="AB57" i="16"/>
  <c r="AF57" i="16"/>
  <c r="B260" i="2"/>
  <c r="F176" i="2"/>
  <c r="C11" i="15"/>
  <c r="Z4" i="16" s="1"/>
  <c r="AG4" i="22" s="1"/>
  <c r="AS47" i="22"/>
  <c r="AS17" i="22"/>
  <c r="AS50" i="22"/>
  <c r="AJ19" i="22"/>
  <c r="AJ30" i="22"/>
  <c r="AJ46" i="22"/>
  <c r="I5" i="25"/>
  <c r="C5" i="15"/>
  <c r="Z5" i="16" s="1"/>
  <c r="AG6" i="22" s="1"/>
  <c r="AS35" i="22"/>
  <c r="AS34" i="22"/>
  <c r="AS38" i="22"/>
  <c r="AJ51" i="22"/>
  <c r="AJ34" i="22"/>
  <c r="C21" i="25"/>
  <c r="N21" i="16"/>
  <c r="Z12" i="16"/>
  <c r="AG8" i="22" s="1"/>
  <c r="I6" i="25"/>
  <c r="C6" i="15"/>
  <c r="X5" i="16" s="1"/>
  <c r="AJ41" i="22"/>
  <c r="AJ22" i="22"/>
  <c r="AS20" i="22"/>
  <c r="AS22" i="22"/>
  <c r="AS11" i="22"/>
  <c r="AS31" i="22"/>
  <c r="AS40" i="22"/>
  <c r="G16" i="25"/>
  <c r="C15" i="15"/>
  <c r="X9" i="16" s="1"/>
  <c r="AS26" i="22"/>
  <c r="AS28" i="22"/>
  <c r="AS49" i="22"/>
  <c r="AJ48" i="22"/>
  <c r="AJ45" i="22"/>
  <c r="AS23" i="22"/>
  <c r="AJ17" i="22"/>
  <c r="AS45" i="22"/>
  <c r="AS37" i="22"/>
  <c r="AJ50" i="22"/>
  <c r="AJ36" i="22"/>
  <c r="AJ33" i="22"/>
  <c r="F205" i="2"/>
  <c r="G4" i="25"/>
  <c r="C4" i="15"/>
  <c r="Z3" i="16" s="1"/>
  <c r="C19" i="25"/>
  <c r="X11" i="16"/>
  <c r="N19" i="16"/>
  <c r="C18" i="25"/>
  <c r="Z9" i="16"/>
  <c r="N12" i="16"/>
  <c r="N8" i="22" s="1"/>
  <c r="AS15" i="22"/>
  <c r="AJ39" i="22"/>
  <c r="AS19" i="22"/>
  <c r="AS33" i="22"/>
  <c r="AS42" i="22"/>
  <c r="AS25" i="22"/>
  <c r="AJ38" i="22"/>
  <c r="AJ24" i="22"/>
  <c r="AJ21" i="22"/>
  <c r="G15" i="25"/>
  <c r="C14" i="15"/>
  <c r="X8" i="16" s="1"/>
  <c r="AD6" i="22" s="1"/>
  <c r="B118" i="2"/>
  <c r="AS29" i="22"/>
  <c r="AS43" i="22"/>
  <c r="AS21" i="22"/>
  <c r="AS30" i="22"/>
  <c r="AS46" i="22"/>
  <c r="AJ40" i="22"/>
  <c r="AJ26" i="22"/>
  <c r="F232" i="2"/>
  <c r="C7" i="15"/>
  <c r="AB5" i="16" s="1"/>
  <c r="AJ6" i="22" s="1"/>
  <c r="AS18" i="22"/>
  <c r="AS51" i="22"/>
  <c r="AJ47" i="22"/>
  <c r="C17" i="25"/>
  <c r="N11" i="16"/>
  <c r="N7" i="22" s="1"/>
  <c r="C2" i="25"/>
  <c r="N22" i="16"/>
  <c r="X15" i="16"/>
  <c r="C37" i="15"/>
  <c r="P24"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S7" i="22" l="1"/>
  <c r="AS3" i="22"/>
  <c r="AM5" i="22"/>
  <c r="Z5" i="22"/>
  <c r="W7" i="22"/>
  <c r="Z4" i="22"/>
  <c r="AJ7" i="22"/>
  <c r="AS6" i="22"/>
  <c r="Z7" i="22"/>
  <c r="AD7" i="22"/>
  <c r="Z6" i="22"/>
  <c r="T7" i="22"/>
  <c r="AJ5" i="22"/>
  <c r="AM2" i="22"/>
  <c r="W3" i="22"/>
  <c r="T3" i="22"/>
  <c r="AP7" i="22"/>
  <c r="X7" i="16"/>
  <c r="AD5" i="22" s="1"/>
  <c r="Q7" i="22"/>
  <c r="AP2" i="22"/>
  <c r="Z3" i="22"/>
  <c r="AS4" i="22"/>
  <c r="AG3" i="22"/>
  <c r="AP4" i="22"/>
  <c r="W6" i="22"/>
  <c r="W4" i="22"/>
  <c r="AP5" i="22"/>
  <c r="AG5" i="22"/>
  <c r="AJ3" i="22"/>
  <c r="AG7" i="22"/>
  <c r="AS2" i="22"/>
  <c r="T5" i="22"/>
  <c r="W5" i="22"/>
  <c r="Z18" i="16"/>
  <c r="AG10" i="22" s="1"/>
  <c r="AG23" i="2"/>
  <c r="AD23" i="2"/>
  <c r="AJ23" i="2"/>
  <c r="AA24" i="2"/>
  <c r="AD52" i="2"/>
  <c r="AJ52" i="2"/>
  <c r="AG52" i="2"/>
  <c r="AA53" i="2"/>
  <c r="AD80" i="2"/>
  <c r="AJ80" i="2"/>
  <c r="AG80" i="2"/>
  <c r="AA81" i="2"/>
  <c r="AG109" i="2"/>
  <c r="AD109" i="2"/>
  <c r="AJ109" i="2"/>
  <c r="AA110" i="2"/>
  <c r="AJ219" i="2"/>
  <c r="AG219" i="2"/>
  <c r="AD219" i="2"/>
  <c r="AA220" i="2"/>
  <c r="B205" i="2"/>
  <c r="AD2" i="16"/>
  <c r="B231" i="2"/>
  <c r="B220" i="2"/>
  <c r="B224" i="2"/>
  <c r="B219" i="2"/>
  <c r="B233" i="2"/>
  <c r="AS59" i="22"/>
  <c r="Z54" i="22"/>
  <c r="B226" i="2"/>
  <c r="B216" i="2"/>
  <c r="B221" i="2"/>
  <c r="B228" i="2"/>
  <c r="B232" i="2"/>
  <c r="B229" i="2"/>
  <c r="B213" i="2"/>
  <c r="N10" i="16"/>
  <c r="B218" i="2"/>
  <c r="B212" i="2"/>
  <c r="B227" i="2"/>
  <c r="B217" i="2"/>
  <c r="B230" i="2"/>
  <c r="B222" i="2"/>
  <c r="B223" i="2"/>
  <c r="B215" i="2"/>
  <c r="B214" i="2"/>
  <c r="N13" i="16"/>
  <c r="N13" i="22" s="1"/>
  <c r="B204" i="2"/>
  <c r="B190" i="2"/>
  <c r="B202" i="2"/>
  <c r="B199" i="2"/>
  <c r="B191" i="2"/>
  <c r="B203" i="2"/>
  <c r="B192" i="2"/>
  <c r="B197" i="2"/>
  <c r="B193" i="2"/>
  <c r="B194" i="2"/>
  <c r="B187" i="2"/>
  <c r="B183" i="2"/>
  <c r="B195" i="2"/>
  <c r="B184" i="2"/>
  <c r="B196" i="2"/>
  <c r="B185" i="2"/>
  <c r="B186" i="2"/>
  <c r="B198" i="2"/>
  <c r="B188" i="2"/>
  <c r="B189" i="2"/>
  <c r="B200" i="2"/>
  <c r="B201" i="2"/>
  <c r="Z2" i="16"/>
  <c r="AG56"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N4" i="22" s="1"/>
  <c r="AS61" i="22"/>
  <c r="AS57" i="22"/>
  <c r="AS53" i="22"/>
  <c r="X6" i="16"/>
  <c r="AD4" i="22" s="1"/>
  <c r="B206" i="2"/>
  <c r="B210" i="2"/>
  <c r="B207" i="2"/>
  <c r="B211" i="2"/>
  <c r="B208" i="2"/>
  <c r="B209" i="2"/>
  <c r="B179" i="2"/>
  <c r="B180" i="2"/>
  <c r="B181" i="2"/>
  <c r="B177" i="2"/>
  <c r="B182" i="2"/>
  <c r="B178" i="2"/>
  <c r="Z48" i="22"/>
  <c r="W13" i="22"/>
  <c r="AM46" i="22"/>
  <c r="Z10" i="22"/>
  <c r="AM31" i="22"/>
  <c r="AM34" i="22"/>
  <c r="AM23" i="22"/>
  <c r="AM43" i="22"/>
  <c r="AG48" i="22"/>
  <c r="AM41" i="22"/>
  <c r="AM9" i="22"/>
  <c r="AM28" i="22"/>
  <c r="AM51" i="22"/>
  <c r="AM38" i="22"/>
  <c r="AG33" i="22"/>
  <c r="AM14" i="22"/>
  <c r="AM36" i="22"/>
  <c r="Z23" i="22"/>
  <c r="AG17" i="22"/>
  <c r="AM29" i="22"/>
  <c r="AG30" i="22"/>
  <c r="AM40" i="22"/>
  <c r="AM17" i="22"/>
  <c r="Z38" i="22"/>
  <c r="AM11" i="22"/>
  <c r="AM32" i="22"/>
  <c r="AM33" i="22"/>
  <c r="AM49" i="22"/>
  <c r="AM35" i="22"/>
  <c r="AM47" i="22"/>
  <c r="AM24" i="22"/>
  <c r="Z27"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M25" i="22"/>
  <c r="AM37" i="22"/>
  <c r="AM48" i="22"/>
  <c r="AM21" i="22"/>
  <c r="AP34" i="22"/>
  <c r="T61" i="22"/>
  <c r="AP18" i="22"/>
  <c r="AP25" i="22"/>
  <c r="AP12" i="22"/>
  <c r="AP10" i="22"/>
  <c r="AP19" i="22"/>
  <c r="AP13" i="22"/>
  <c r="T55" i="22"/>
  <c r="T59" i="22"/>
  <c r="AP53" i="22"/>
  <c r="W27" i="22"/>
  <c r="AP62" i="22"/>
  <c r="W25"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W20" i="22"/>
  <c r="W35" i="22"/>
  <c r="W47" i="22"/>
  <c r="W21" i="22"/>
  <c r="W23" i="22"/>
  <c r="AP36" i="22"/>
  <c r="AP40" i="22"/>
  <c r="AP15" i="22"/>
  <c r="AP22" i="22"/>
  <c r="AM45" i="22"/>
  <c r="AM20" i="22"/>
  <c r="AM15" i="22"/>
  <c r="AM18" i="22"/>
  <c r="AM30" i="22"/>
  <c r="AP24" i="22"/>
  <c r="AP39" i="22"/>
  <c r="AP30" i="22"/>
  <c r="AP48" i="22"/>
  <c r="AP27" i="22"/>
  <c r="AP9" i="22"/>
  <c r="R4" i="16"/>
  <c r="T4" i="22" s="1"/>
  <c r="C14" i="25"/>
  <c r="X10" i="16"/>
  <c r="Z53" i="22"/>
  <c r="Z60" i="22"/>
  <c r="AP50" i="22"/>
  <c r="AP45" i="22"/>
  <c r="AP43" i="22"/>
  <c r="AP51" i="22"/>
  <c r="AP32" i="22"/>
  <c r="AP44" i="22"/>
  <c r="AP47" i="22"/>
  <c r="AP49" i="22"/>
  <c r="AP23" i="22"/>
  <c r="AP35" i="22"/>
  <c r="AP38" i="22"/>
  <c r="AP28" i="22"/>
  <c r="AP14" i="22"/>
  <c r="AP26" i="22"/>
  <c r="AP41" i="22"/>
  <c r="AP16" i="22"/>
  <c r="AP42" i="22"/>
  <c r="AP31" i="22"/>
  <c r="AP20" i="22"/>
  <c r="AP17" i="22"/>
  <c r="AP29" i="22"/>
  <c r="AP33" i="22"/>
  <c r="AP11" i="22"/>
  <c r="AP61" i="22"/>
  <c r="AP60" i="22"/>
  <c r="AP58" i="22"/>
  <c r="T62" i="22"/>
  <c r="N37" i="22"/>
  <c r="N38" i="22"/>
  <c r="AD49" i="22"/>
  <c r="AD33" i="22"/>
  <c r="AD31" i="22"/>
  <c r="AD26" i="22"/>
  <c r="N44" i="22"/>
  <c r="W52" i="22"/>
  <c r="W53" i="22"/>
  <c r="AD39" i="22"/>
  <c r="AD22" i="22"/>
  <c r="N41" i="22"/>
  <c r="N35" i="22"/>
  <c r="N48" i="22"/>
  <c r="T58" i="22"/>
  <c r="T56" i="22"/>
  <c r="T53" i="22"/>
  <c r="AD40" i="22"/>
  <c r="AD18" i="22"/>
  <c r="AD23" i="22"/>
  <c r="N21" i="22"/>
  <c r="N18" i="22"/>
  <c r="N16" i="22"/>
  <c r="N31" i="22"/>
  <c r="N39"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J63" i="22"/>
  <c r="AJ53" i="22"/>
  <c r="AJ54" i="22"/>
  <c r="AJ58" i="22"/>
  <c r="AJ60" i="22"/>
  <c r="AJ56" i="22"/>
  <c r="AJ57" i="22"/>
  <c r="AJ62" i="22"/>
  <c r="AJ52" i="22"/>
  <c r="AJ61" i="22"/>
  <c r="AP21" i="22"/>
  <c r="AP46" i="22"/>
  <c r="AD34" i="22"/>
  <c r="AM27" i="22"/>
  <c r="W61" i="22"/>
  <c r="W59" i="22"/>
  <c r="Z52" i="22"/>
  <c r="Z57" i="22"/>
  <c r="Z61" i="22"/>
  <c r="Z63" i="22"/>
  <c r="Z58" i="22"/>
  <c r="Z55" i="22"/>
  <c r="Z59" i="22"/>
  <c r="Z62" i="22"/>
  <c r="Z56" i="22"/>
  <c r="N8" i="16"/>
  <c r="C11" i="25"/>
  <c r="C7" i="25"/>
  <c r="X3" i="16"/>
  <c r="N7" i="16"/>
  <c r="AB22" i="16"/>
  <c r="AJ2" i="22" s="1"/>
  <c r="C5" i="25"/>
  <c r="N18" i="16"/>
  <c r="N10" i="22" s="1"/>
  <c r="C16" i="25"/>
  <c r="N14" i="16"/>
  <c r="N14" i="22" s="1"/>
  <c r="AD4" i="16"/>
  <c r="AM4" i="22" s="1"/>
  <c r="C15" i="25"/>
  <c r="N16" i="16"/>
  <c r="AB4" i="16"/>
  <c r="AJ4" i="22" s="1"/>
  <c r="C6" i="25"/>
  <c r="P3" i="16"/>
  <c r="Q3" i="22" s="1"/>
  <c r="Z22" i="16"/>
  <c r="AG2" i="22" s="1"/>
  <c r="C4" i="25"/>
  <c r="N3" i="16"/>
  <c r="N3" i="22" s="1"/>
  <c r="Q2" i="22" l="1"/>
  <c r="N2" i="22"/>
  <c r="N12" i="22"/>
  <c r="N5" i="22"/>
  <c r="AD3" i="22"/>
  <c r="AD2" i="22"/>
  <c r="N15" i="22"/>
  <c r="N6" i="22"/>
  <c r="N57" i="22"/>
  <c r="N52" i="22"/>
  <c r="AM61" i="22"/>
  <c r="T57" i="22"/>
  <c r="T52" i="22"/>
  <c r="T63" i="22"/>
  <c r="T60" i="22"/>
  <c r="AJ55" i="22"/>
  <c r="AJ59" i="22"/>
  <c r="N61" i="22"/>
  <c r="AD62" i="22"/>
  <c r="Q52" i="22"/>
  <c r="Q53" i="22"/>
  <c r="AD57" i="22"/>
  <c r="AD52" i="22"/>
  <c r="Q58" i="22"/>
  <c r="Q55" i="22"/>
  <c r="Q57" i="22"/>
  <c r="Q61" i="22"/>
  <c r="N60" i="22"/>
  <c r="Q56" i="22"/>
  <c r="N63" i="22"/>
  <c r="N59" i="22"/>
  <c r="AD59" i="22"/>
  <c r="N56" i="22"/>
  <c r="Q59" i="22"/>
  <c r="N54" i="22"/>
  <c r="AD60" i="22"/>
  <c r="AD54" i="22"/>
  <c r="Q62" i="22"/>
  <c r="N53" i="22"/>
  <c r="Q54" i="22"/>
  <c r="AD63" i="22"/>
  <c r="Q60" i="22"/>
  <c r="N55" i="22"/>
  <c r="N58" i="22"/>
  <c r="Q63" i="22"/>
  <c r="AD53" i="22"/>
  <c r="AD55" i="22"/>
  <c r="AD56" i="22"/>
  <c r="N62" i="22"/>
  <c r="AD61" i="22"/>
  <c r="AD58" i="22"/>
  <c r="AM57" i="22"/>
  <c r="AG59" i="22"/>
  <c r="AG53" i="22"/>
  <c r="AM53" i="22"/>
  <c r="AM63" i="22"/>
  <c r="AG62" i="22"/>
  <c r="AG61" i="22"/>
  <c r="AG52" i="22"/>
  <c r="AG55" i="22"/>
  <c r="AG60" i="22"/>
  <c r="AG58" i="22"/>
  <c r="AG57" i="22"/>
  <c r="AM54" i="22"/>
  <c r="AM62" i="22"/>
  <c r="AM52" i="22"/>
  <c r="AM55" i="22"/>
  <c r="AM59" i="22"/>
  <c r="AM60" i="22"/>
  <c r="AM56" i="22"/>
  <c r="AM58" i="22"/>
  <c r="AG54" i="22"/>
  <c r="AG63" i="22"/>
  <c r="AD24" i="2"/>
  <c r="AJ24" i="2"/>
  <c r="AG24" i="2"/>
  <c r="AA25" i="2"/>
  <c r="AG53" i="2"/>
  <c r="AJ53" i="2"/>
  <c r="AD53" i="2"/>
  <c r="AA54" i="2"/>
  <c r="AG81" i="2"/>
  <c r="AD81" i="2"/>
  <c r="AJ81" i="2"/>
  <c r="AA82" i="2"/>
  <c r="AD110" i="2"/>
  <c r="AG110" i="2"/>
  <c r="AJ110" i="2"/>
  <c r="AA111" i="2"/>
  <c r="AJ220" i="2"/>
  <c r="AG220" i="2"/>
  <c r="AD220" i="2"/>
  <c r="AA221" i="2"/>
  <c r="AA26" i="2" l="1"/>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X46"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alcChain>
</file>

<file path=xl/sharedStrings.xml><?xml version="1.0" encoding="utf-8"?>
<sst xmlns="http://schemas.openxmlformats.org/spreadsheetml/2006/main" count="2891" uniqueCount="580">
  <si>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</si>
  <si>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</si>
  <si>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</si>
  <si>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</si>
  <si>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</si>
  <si>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</si>
  <si>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</si>
  <si>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</si>
  <si>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</si>
  <si>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</si>
  <si>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</si>
  <si>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</si>
  <si>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</si>
  <si>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</si>
  <si>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</si>
  <si>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</si>
  <si>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</si>
  <si>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</si>
  <si>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</si>
  <si>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</si>
  <si>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</si>
  <si>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</si>
  <si>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</si>
  <si>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</si>
  <si>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</si>
  <si>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</si>
  <si>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</si>
  <si>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</si>
  <si>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</si>
  <si>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</si>
  <si>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</si>
  <si>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</si>
  <si>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</si>
  <si>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</si>
  <si>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</si>
  <si>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</si>
  <si>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</si>
  <si>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</si>
  <si>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</si>
  <si>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</si>
  <si>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</si>
  <si>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</si>
  <si>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</si>
  <si>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</si>
  <si>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</si>
  <si>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</si>
  <si>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</si>
  <si>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</si>
  <si>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</si>
  <si>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</si>
  <si>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</si>
  <si>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</si>
  <si>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</si>
  <si>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</si>
  <si>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</si>
  <si>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</si>
  <si>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</si>
  <si>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</si>
  <si>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</si>
  <si>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</si>
  <si>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</si>
  <si>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</si>
  <si>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</si>
  <si>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</si>
  <si>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</si>
  <si>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</si>
  <si>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</si>
  <si>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</si>
  <si>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</si>
  <si>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</si>
  <si>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</si>
  <si>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</si>
  <si>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</si>
  <si>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</si>
  <si>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</si>
  <si>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</si>
  <si>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</si>
  <si>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</si>
  <si>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</si>
  <si>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</si>
  <si>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</si>
  <si>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</si>
  <si>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</si>
  <si>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</si>
  <si>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</si>
  <si>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</si>
  <si>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</si>
  <si>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</si>
  <si>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</si>
  <si>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</si>
  <si>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</si>
  <si>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</si>
  <si>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</si>
  <si>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</si>
  <si>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</si>
  <si>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</si>
  <si>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</si>
  <si>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</si>
  <si>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</si>
  <si>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</si>
  <si>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</si>
  <si>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</si>
  <si>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</si>
  <si>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</si>
  <si>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</si>
  <si>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</si>
  <si>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</si>
  <si>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</si>
  <si>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</si>
  <si>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</si>
  <si>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</si>
  <si>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</si>
  <si>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</si>
  <si>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</si>
  <si>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</si>
  <si>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</si>
  <si>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</si>
  <si>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</si>
  <si>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</si>
  <si>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</si>
  <si>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</si>
  <si>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</si>
  <si>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</si>
  <si>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</si>
  <si>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</si>
  <si>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</si>
  <si>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</si>
  <si>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</si>
  <si>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</si>
  <si>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</si>
  <si>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</si>
  <si>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</si>
  <si>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</si>
  <si>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</si>
  <si>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</si>
  <si>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</si>
  <si>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</si>
  <si>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</si>
  <si>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</si>
  <si>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</si>
  <si>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</si>
  <si>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</si>
  <si>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</si>
  <si>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</si>
  <si>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</si>
  <si>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</si>
  <si>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</si>
  <si>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</si>
  <si>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</si>
  <si>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</si>
  <si>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</si>
  <si>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</si>
  <si>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</si>
  <si>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</si>
  <si>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</si>
  <si>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</si>
  <si>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</si>
  <si>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</si>
  <si>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</si>
  <si>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</si>
  <si>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</si>
  <si>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</si>
  <si>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</si>
  <si>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</si>
  <si>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</si>
  <si>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</si>
  <si>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</si>
  <si>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</si>
  <si>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</si>
  <si>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</si>
  <si>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</si>
  <si>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</si>
  <si>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</si>
  <si>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</si>
  <si>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</si>
  <si>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</si>
  <si>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</si>
  <si>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</si>
  <si>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</si>
  <si>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</si>
  <si>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</si>
  <si>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</si>
  <si>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</si>
  <si>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</si>
  <si>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</si>
  <si>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</si>
  <si>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</si>
  <si>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</si>
  <si>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</si>
  <si>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</si>
  <si>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</si>
  <si>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</si>
  <si>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</si>
  <si>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</si>
  <si>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</si>
  <si>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</si>
  <si>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</si>
  <si>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</si>
  <si>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</si>
  <si>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</si>
  <si>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</si>
  <si>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</si>
  <si>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</si>
  <si>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</si>
  <si>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</si>
  <si>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</si>
  <si>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</si>
  <si>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</si>
  <si>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</si>
  <si>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</si>
  <si>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</si>
  <si>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</si>
  <si>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</si>
  <si>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</si>
  <si>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</si>
  <si>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</si>
  <si>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</si>
  <si>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</si>
  <si>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</si>
  <si>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</si>
  <si>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</si>
  <si>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</si>
  <si>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</si>
  <si>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</si>
  <si>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</si>
  <si>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</si>
  <si>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</si>
  <si>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</si>
  <si>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</si>
  <si>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</si>
  <si>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</si>
  <si>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</si>
  <si>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</si>
  <si>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</si>
  <si>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</si>
  <si>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</si>
  <si>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</si>
  <si>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</si>
  <si>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</si>
  <si>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</si>
  <si>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</si>
  <si>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</si>
  <si>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</si>
  <si>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</si>
  <si>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</si>
  <si>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</si>
  <si>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</si>
  <si>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</si>
  <si>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</si>
  <si>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</si>
  <si>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</si>
  <si>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</si>
  <si>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</si>
  <si>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</si>
  <si>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</si>
  <si>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</si>
  <si>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</si>
  <si>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</si>
  <si>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</si>
  <si>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</si>
  <si>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</si>
  <si>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</si>
  <si>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</si>
  <si>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</si>
  <si>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</si>
  <si>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</si>
  <si>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</si>
  <si>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</si>
  <si>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</si>
  <si>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</si>
  <si>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</si>
  <si>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</si>
  <si>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</si>
  <si>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</si>
  <si>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</si>
  <si>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</si>
  <si>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</si>
  <si>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</si>
  <si>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</si>
  <si>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</si>
  <si>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</si>
  <si>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</si>
  <si>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</si>
  <si>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</si>
  <si>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</si>
  <si>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</si>
  <si>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</si>
  <si>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</si>
  <si>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</si>
  <si>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</si>
  <si>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</si>
  <si>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</si>
  <si>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</si>
  <si>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</si>
  <si>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</si>
  <si>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</si>
  <si>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</si>
  <si>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</si>
  <si>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</si>
  <si>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</si>
  <si>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</si>
  <si>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</si>
  <si>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</si>
  <si>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</si>
  <si>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</si>
  <si>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</si>
  <si>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</si>
  <si>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</si>
  <si>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</si>
  <si>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</si>
  <si>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</si>
  <si>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</si>
  <si>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</si>
  <si>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</si>
  <si>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</si>
  <si>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</si>
  <si>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</si>
  <si>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</si>
  <si>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</si>
  <si>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</si>
  <si>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</si>
  <si>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</si>
  <si>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</si>
  <si>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</si>
  <si>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</si>
  <si>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</si>
  <si>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</si>
  <si>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</si>
  <si>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</si>
  <si>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</si>
  <si>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</si>
  <si>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</si>
  <si>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</si>
  <si>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</si>
  <si>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</si>
  <si>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</si>
  <si>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</si>
  <si>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</si>
  <si>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</si>
  <si>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</si>
  <si>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</si>
  <si>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</si>
  <si>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</si>
  <si>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</si>
  <si>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</si>
  <si>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</si>
  <si>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</si>
  <si>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</si>
  <si>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</si>
  <si>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</si>
  <si>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</si>
  <si>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</si>
  <si>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</si>
  <si>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</si>
  <si>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</si>
  <si>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</si>
  <si>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</si>
  <si>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</si>
  <si>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</si>
  <si>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</si>
  <si>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</si>
  <si>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</si>
  <si>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</si>
  <si>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</si>
  <si>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</si>
  <si>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</si>
  <si>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</si>
  <si>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</si>
  <si>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</si>
  <si>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</si>
  <si>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Import</t>
  </si>
  <si>
    <t>Export</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</si>
  <si>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</si>
  <si>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</si>
  <si>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</si>
  <si>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</si>
  <si>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</si>
  <si>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</si>
  <si>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</si>
  <si>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</si>
  <si>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</si>
  <si>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</si>
  <si>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</si>
  <si>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</si>
  <si>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</si>
  <si>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</si>
  <si>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</si>
  <si>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</si>
  <si>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</si>
  <si>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</si>
  <si>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</si>
  <si>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</si>
  <si>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</si>
  <si>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</si>
  <si>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</si>
  <si>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</si>
  <si>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</si>
  <si>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</si>
  <si>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</si>
  <si>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</si>
  <si>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</si>
  <si>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</si>
  <si>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</si>
  <si>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</si>
  <si>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</si>
  <si>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</si>
  <si>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</si>
  <si>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</si>
  <si>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</si>
  <si>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</si>
  <si>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</si>
  <si>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</si>
  <si>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</si>
  <si>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</si>
  <si>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</si>
  <si>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</si>
  <si>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</si>
  <si>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</si>
  <si>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</si>
  <si>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</si>
  <si>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</si>
  <si>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</si>
  <si>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</si>
  <si>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</si>
  <si>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</si>
  <si>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</si>
  <si>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</si>
  <si>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</si>
  <si>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</si>
  <si>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</si>
  <si>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</si>
  <si>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</si>
  <si>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</si>
  <si>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</si>
  <si>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</si>
  <si>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</si>
  <si>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</si>
  <si>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</si>
  <si>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</si>
  <si>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</si>
  <si>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</si>
  <si>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</si>
  <si>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</si>
  <si>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</si>
  <si>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</si>
  <si>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</si>
  <si>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</si>
  <si>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</si>
  <si>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</si>
  <si>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</si>
  <si>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</si>
  <si>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</si>
  <si>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</si>
  <si>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</si>
  <si>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</si>
  <si>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</si>
  <si>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</si>
  <si>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</si>
  <si>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</si>
  <si>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</si>
  <si>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</si>
  <si>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</si>
  <si>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</si>
  <si>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</si>
  <si>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</si>
  <si>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</si>
  <si>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</si>
  <si>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</si>
  <si>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</si>
  <si>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</si>
  <si>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</si>
  <si>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</si>
  <si>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</si>
  <si>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</si>
  <si>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</si>
  <si>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</si>
  <si>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74</t>
  </si>
  <si>
    <t>75</t>
  </si>
  <si>
    <t>76</t>
  </si>
  <si>
    <t>CO2-from Rye-Straw (non-mobilizable)_Degradation</t>
  </si>
  <si>
    <t>Cultivation</t>
  </si>
  <si>
    <t>Harvesting</t>
  </si>
  <si>
    <t>Food</t>
  </si>
  <si>
    <t>Straw c&amp;d</t>
  </si>
  <si>
    <t>Incorporation</t>
  </si>
  <si>
    <t>Composting</t>
  </si>
  <si>
    <t>HTC</t>
  </si>
  <si>
    <t>AD</t>
  </si>
  <si>
    <t>Animal bedding</t>
  </si>
  <si>
    <t>Soil</t>
  </si>
  <si>
    <t>Atmosphere</t>
  </si>
  <si>
    <t>Surface water and aquifer</t>
  </si>
  <si>
    <t>Assumption</t>
  </si>
  <si>
    <t>Caclualtion</t>
  </si>
  <si>
    <t>Biomass 1</t>
  </si>
  <si>
    <t>Biomass 2</t>
  </si>
  <si>
    <t>Biomass 3</t>
  </si>
  <si>
    <t>Biomass 4</t>
  </si>
  <si>
    <t>Biomass 5</t>
  </si>
  <si>
    <t>Biomass 6</t>
  </si>
  <si>
    <t>Biomass 7</t>
  </si>
  <si>
    <t>Biomass 8</t>
  </si>
  <si>
    <t>Biomass 9</t>
  </si>
  <si>
    <t>Biomass 10</t>
  </si>
  <si>
    <t>Biomass 11</t>
  </si>
  <si>
    <t>Biomass 12</t>
  </si>
  <si>
    <t>Biomass 13</t>
  </si>
  <si>
    <t>Biomass 14</t>
  </si>
  <si>
    <t>Biomass 15</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</si>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</sst>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00%"/>
    <numFmt numFmtId="166"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1">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08">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5" fontId="8" fillId="6" borderId="23" xfId="3" applyNumberFormat="1" applyFont="1" applyFill="1" applyBorder="1"/>
    <xf numFmtId="10" fontId="8" fillId="7" borderId="22" xfId="3" applyNumberFormat="1" applyFont="1" applyFill="1" applyBorder="1"/>
    <xf numFmtId="10" fontId="8" fillId="7" borderId="36" xfId="3" applyNumberFormat="1" applyFont="1" applyFill="1" applyBorder="1"/>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6" fontId="0" fillId="22" borderId="38" xfId="0" applyNumberFormat="1" applyFill="1" applyBorder="1" applyAlignment="1">
      <alignment wrapText="1"/>
    </xf>
    <xf numFmtId="166" fontId="0" fillId="22" borderId="39" xfId="0" applyNumberFormat="1" applyFill="1" applyBorder="1" applyAlignment="1">
      <alignment wrapText="1"/>
    </xf>
    <xf numFmtId="166" fontId="0" fillId="22" borderId="40" xfId="0" applyNumberFormat="1" applyFill="1" applyBorder="1" applyAlignment="1">
      <alignment wrapText="1"/>
    </xf>
    <xf numFmtId="9" fontId="13" fillId="23" borderId="38" xfId="3" applyFont="1" applyFill="1" applyBorder="1" applyAlignment="1">
      <alignment vertical="center" wrapText="1"/>
    </xf>
    <xf numFmtId="166"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6" fontId="13" fillId="22" borderId="7" xfId="0" applyNumberFormat="1" applyFont="1" applyFill="1" applyBorder="1" applyAlignment="1">
      <alignment vertical="center" wrapText="1"/>
    </xf>
    <xf numFmtId="166" fontId="0" fillId="22" borderId="0" xfId="0" applyNumberFormat="1" applyFill="1" applyAlignment="1">
      <alignment wrapText="1"/>
    </xf>
    <xf numFmtId="166" fontId="0" fillId="22" borderId="6" xfId="0" applyNumberFormat="1" applyFill="1" applyBorder="1" applyAlignment="1">
      <alignment wrapText="1"/>
    </xf>
    <xf numFmtId="9" fontId="13" fillId="23" borderId="7" xfId="3" applyFont="1" applyFill="1" applyBorder="1" applyAlignment="1">
      <alignment vertical="center" wrapText="1"/>
    </xf>
    <xf numFmtId="166"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6" fontId="13" fillId="22" borderId="7" xfId="0" applyNumberFormat="1" applyFont="1" applyFill="1" applyBorder="1" applyAlignment="1">
      <alignment horizontal="center" vertical="center" wrapText="1"/>
    </xf>
    <xf numFmtId="166" fontId="0" fillId="22" borderId="0" xfId="0" applyNumberFormat="1" applyFill="1" applyAlignment="1">
      <alignment horizontal="center" vertical="center" wrapText="1"/>
    </xf>
    <xf numFmtId="166"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0" fontId="0" fillId="0" borderId="0" xfId="0" applyAlignment="1">
      <alignment horizontal="left" wrapText="1"/>
    </xf>
    <xf numFmtId="0" fontId="0" fillId="0" borderId="0" xfId="0" applyAlignment="1">
      <alignment horizont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0" fillId="0" borderId="4" xfId="0" applyBorder="1" applyAlignment="1">
      <alignment horizont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8">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76" dataCellStyle="Automatisch"/>
    <tableColumn id="1" xr3:uid="{23E8F131-81B2-4705-927A-A42C393BEDCE}" name="ID" dataDxfId="175" dataCellStyle="Automatisch">
      <calculatedColumnFormula>ROW()-1</calculatedColumnFormula>
    </tableColumn>
    <tableColumn id="2" xr3:uid="{D694ED25-71D4-4BD1-B627-FBE0FAE9FC8B}" name="Flow_ID" dataDxfId="174" dataCellStyle="Automatisch">
      <calculatedColumnFormula>"F_"&amp;LEFT(K2,2)&amp;"_"&amp;LEFT(M2,2)</calculatedColumnFormula>
    </tableColumn>
    <tableColumn id="3" xr3:uid="{CA1C6FA9-65CA-47E1-94EA-BBB750256C84}" name="Name(EN)" dataDxfId="173" dataCellStyle="Ausfüllen"/>
    <tableColumn id="11" xr3:uid="{74AD7FDD-156D-4405-9C17-4423AEB0AA79}" name="Name(DE)" dataCellStyle="Comments"/>
    <tableColumn id="12" xr3:uid="{8B1851D6-89A3-4DB1-94D9-FFBFE2BC386F}" name="Region" dataCellStyle="Comments"/>
    <tableColumn id="4" xr3:uid="{3A1FFD35-0ED3-4CA9-B353-18F0DE827ABA}" name="Type_Biomass" dataCellStyle="Comments"/>
    <tableColumn id="14" xr3:uid="{3A4CA6C3-2BC1-4616-84C2-B9A61EF54A0B}" name="Product/By-product/waste" dataCellStyle="Comments"/>
    <tableColumn id="10" xr3:uid="{40A37E4E-7E04-4C53-AA50-149FCE53747E}" name="Comment" dataCellStyle="Comments"/>
    <tableColumn id="5" xr3:uid="{E4010E64-B53A-47D0-A7D2-47D03F95861B}" name="Output_Process" dataDxfId="17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0" dataCellStyle="Ausfüllen"/>
    <tableColumn id="15" xr3:uid="{6E0C6841-1496-4DDD-9174-61F6DC51267E}" name="DM?" dataCellStyle="Ausfüllen"/>
    <tableColumn id="16" xr3:uid="{D89EDA50-0A29-4075-BBFF-DF622660740A}" name="CC?" dataDxfId="169" dataCellStyle="Ausfüllen"/>
    <tableColumn id="18" xr3:uid="{AFBC221B-4B6A-49DF-8BB0-8E40EB019E1C}" name="WC" dataDxfId="168"/>
    <tableColumn id="22" xr3:uid="{ABA27704-56CF-4C30-88CB-BB6E944F7F08}" name="WC_source" dataDxfId="167" dataCellStyle="Ausfüllen"/>
    <tableColumn id="23" xr3:uid="{5CA0D08F-32C9-451C-A223-78F9E163EE87}" name="DM" dataDxfId="166"/>
    <tableColumn id="19" xr3:uid="{B3649430-F3A4-4F10-84D0-61D5F3B7C06D}" name="DM_source" dataDxfId="165" dataCellStyle="Ausfüllen"/>
    <tableColumn id="20" xr3:uid="{826B197D-7E74-49DB-8367-DD0E48B963C3}" name="CC_DM[%]" dataDxfId="164"/>
    <tableColumn id="21" xr3:uid="{D903DE25-FD16-43E6-ADC2-67C346513E4D}" name="CC_DM_source" dataDxfId="16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16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1" dataCellStyle="Automatisch">
      <calculatedColumnFormula>_xlfn.XLOOKUP(C2,Tab_Def_Flows[Name(EN)],Tab_Def_Flows[Process_ID_I],,0,)</calculatedColumnFormula>
    </tableColumn>
    <tableColumn id="34" xr3:uid="{1EF5EFE9-B149-4960-A691-8F1B8725DE37}" name="TC?" dataDxfId="160" dataCellStyle="Automatisch">
      <calculatedColumnFormula>_xlfn.XLOOKUP(C2,Tab_Def_Flows[Name(EN)],Tab_Def_Flows[Value_Source],,0,)</calculatedColumnFormula>
    </tableColumn>
    <tableColumn id="30" xr3:uid="{F13B49C3-7111-4C57-A913-01AB03549B56}" name="WC?" dataDxfId="159" dataCellStyle="Automatisch">
      <calculatedColumnFormula>_xlfn.XLOOKUP(C2,Tab_Def_Flows[Name(EN)],Tab_Def_Flows[WC?],,0,)</calculatedColumnFormula>
    </tableColumn>
    <tableColumn id="31" xr3:uid="{24B36152-385D-4D3C-A274-72EA56B6819A}" name="DM?" dataDxfId="158" dataCellStyle="Automatisch">
      <calculatedColumnFormula>_xlfn.XLOOKUP(C2,Tab_Def_Flows[Name(EN)],Tab_Def_Flows[DM?],,0,)</calculatedColumnFormula>
    </tableColumn>
    <tableColumn id="32" xr3:uid="{A086924B-597B-4B7A-B9B2-8397025FD97B}" name="CC?" dataDxfId="15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5" dataCellStyle="Ausfüllen">
      <calculatedColumnFormula>INDEX(Tab_WC_DM_CC[[Flow_ID]:[CC_source]],MATCH(Tab_Data_Flows[[#This Row],[Name(EN)]],Tab_WC_DM_CC[Name(EN)],0),12)</calculatedColumnFormula>
    </tableColumn>
    <tableColumn id="27" xr3:uid="{0FD99FBB-FEDB-4B73-A541-FB8A676D64E7}" name="Titel_Source" dataDxfId="15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3" dataCellStyle="Ausfüllen"/>
    <tableColumn id="25" xr3:uid="{94996270-9A62-4B8C-B04B-D56A7F9FDE30}" name="Name_CF" dataDxfId="152" dataCellStyle="Ausfüllen">
      <calculatedColumnFormula>'3_1_Calculation_factors (Wood)'!$A$14</calculatedColumnFormula>
    </tableColumn>
    <tableColumn id="17" xr3:uid="{E761CF85-B508-4386-AFDF-6ABE121824EE}" name="Flow_Py" dataDxfId="151" dataCellStyle="Automatisch"/>
    <tableColumn id="18" xr3:uid="{9637D90E-56CA-40AA-A989-2B3406B7446B}" name="UoM_Flow_Py" dataCellStyle="Ausfüllen"/>
    <tableColumn id="35" xr3:uid="{D533411F-8317-4C7A-82C5-6CC35DCA0045}" name="WC_[%]" dataDxfId="15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9" dataCellStyle="Automatisch">
      <calculatedColumnFormula>Tab_Data_Flows[[#This Row],[UoM_Flow_Py]]</calculatedColumnFormula>
    </tableColumn>
    <tableColumn id="36" xr3:uid="{B0BEC211-F9B4-42EF-AC89-C039D617733A}" name="DM_[%]" dataDxfId="14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7" dataCellStyle="Automatisch">
      <calculatedColumnFormula>Tab_Data_Flows[[#This Row],[UoM_Flow_Py]]</calculatedColumnFormula>
    </tableColumn>
    <tableColumn id="37" xr3:uid="{7058A0AA-4684-4D9A-936D-EC68E6F28D3A}" name="CC_[%]" dataDxfId="14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4">
  <autoFilter ref="A1:AH58" xr:uid="{CEDB6F7C-CFD3-4534-80A6-FB20E3898B22}"/>
  <tableColumns count="34">
    <tableColumn id="39" xr3:uid="{488AB972-9613-4DA9-9600-5BFBE3896251}" name="Complete?" dataDxfId="143" dataCellStyle="Ausfüllen"/>
    <tableColumn id="1" xr3:uid="{A63F92FA-2376-4B5A-A2DF-588878E604E1}" name="ID" dataDxfId="142" dataCellStyle="Automatisch">
      <calculatedColumnFormula>ROW()-1</calculatedColumnFormula>
    </tableColumn>
    <tableColumn id="2" xr3:uid="{6D346BEA-29CA-401C-8ABB-6C62791A731A}" name="Process_ID" dataDxfId="14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0" dataCellStyle="Ausfüllen"/>
    <tableColumn id="36" xr3:uid="{0AFFEA74-933D-4970-BF8A-28076123C1C8}" name="TC?" dataCellStyle="Ausfüllen"/>
    <tableColumn id="37" xr3:uid="{891365CA-9AE8-450C-981B-51AB3AAC0B42}" name="Stock?" dataDxfId="139" dataCellStyle="Ausfüllen"/>
    <tableColumn id="14" xr3:uid="{334FD543-CE98-4427-87D5-A79F68872B3C}" name="Input_Flow_I_1" dataDxfId="13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7"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6"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5" headerRowBorderDxfId="134" tableBorderDxfId="133">
  <autoFilter ref="A1:AZ63" xr:uid="{7602A998-85E6-499A-B1A3-C584F22BB41F}"/>
  <tableColumns count="52">
    <tableColumn id="33" xr3:uid="{2E42D0C1-7FF5-458C-AABB-EC4821727C76}" name="Spalte1" dataDxfId="132" dataCellStyle="Ausfüllen"/>
    <tableColumn id="1" xr3:uid="{50777A4F-600F-43DA-AECB-19F4017C77C8}" name="ID" dataDxfId="131" dataCellStyle="Automatisch">
      <calculatedColumnFormula>ROW()-1</calculatedColumnFormula>
    </tableColumn>
    <tableColumn id="53" xr3:uid="{461E9AFE-A4B9-41F4-A2C5-D26B0479899D}" name="TC_ID" dataDxfId="130" dataCellStyle="Automatisch">
      <calculatedColumnFormula>"TC"&amp;LEFT(B2,2)&amp;"_"&amp;LEFT(D2,3)&amp;"_"&amp;LEFT(E2,3)&amp;"_"&amp;LEFT(F2,3)&amp;"_"&amp;LEFT(G2,3)</calculatedColumnFormula>
    </tableColumn>
    <tableColumn id="2" xr3:uid="{B009CEDB-A0BA-4BFE-9656-4F45ABD775FF}" name="Process_ID" dataDxfId="129"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8" dataCellStyle="Automatisch">
      <calculatedColumnFormula>_xlfn.XLOOKUP($E2,Tab_Def_Processes[Name(EN)],Tab_Def_Processes[Input_Flow_I_1],,0,)</calculatedColumnFormula>
    </tableColumn>
    <tableColumn id="12" xr3:uid="{90818226-A0A4-4F57-9BA1-6A637D778FA7}" name="Flow_ID_I_1" dataDxfId="127"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6" dataCellStyle="Automatisch">
      <calculatedColumnFormula>_xlfn.XLOOKUP($E2,Tab_Def_Processes[Name(EN)],Tab_Def_Processes[Input_Flow_I_2],,0,)</calculatedColumnFormula>
    </tableColumn>
    <tableColumn id="14" xr3:uid="{79B6519E-CED2-4996-8413-8ED818FBA67B}" name="Flow_ID_I_3" dataDxfId="125"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4" dataCellStyle="Automatisch">
      <calculatedColumnFormula>_xlfn.XLOOKUP($E2,Tab_Def_Processes[Name(EN)],Tab_Def_Processes[Input_Flow_I_3],,0,)</calculatedColumnFormula>
    </tableColumn>
    <tableColumn id="16" xr3:uid="{A81E0966-45DB-4BF2-8519-54AB06D35821}" name="Flow ID I_3" dataDxfId="123"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2" dataCellStyle="Automatisch">
      <calculatedColumnFormula>_xlfn.XLOOKUP($E2,Tab_Def_Processes[Name(EN)],Tab_Def_Processes[Input_Flow_I_4],,0,)</calculatedColumnFormula>
    </tableColumn>
    <tableColumn id="18" xr3:uid="{8462671B-87DF-487F-932D-125BE07DD6C5}" name="Flow ID I_4" dataDxfId="121"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0" dataCellStyle="Automatisch">
      <calculatedColumnFormula>_xlfn.XLOOKUP($E2,Tab_Def_Processes[Name(EN)],Tab_Def_Processes[Input_Flow_I_5],,0,)</calculatedColumnFormula>
    </tableColumn>
    <tableColumn id="20" xr3:uid="{CF2F8133-A62C-4899-B489-92524730DAD8}" name="Flow ID I_5" dataDxfId="119"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8">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7" dataCellStyle="Automatisch">
      <calculatedColumnFormula>_xlfn.XLOOKUP($E2,Tab_Def_Processes[Name(EN)],Tab_Def_Processes[Output_Flow_O_1],,0,)</calculatedColumnFormula>
    </tableColumn>
    <tableColumn id="22" xr3:uid="{858063F1-EC66-43D6-9A80-961AA2AEACA8}" name="Flow_ID_O_1" dataDxfId="116" dataCellStyle="Automatisch">
      <calculatedColumnFormula>_xlfn.XLOOKUP($E2,Tab_Def_Processes[Name(EN)],Tab_Def_Processes[Flow_ID_O_1],,0,)</calculatedColumnFormula>
    </tableColumn>
    <tableColumn id="40" xr3:uid="{89332A06-704C-427B-926D-A4F2CD46D116}" name="Flow_TC_O_1_[%]" dataDxfId="115"/>
    <tableColumn id="23" xr3:uid="{8F186982-6AEE-48FE-A3E8-23DE9BA9203B}" name="Output_Flow_O_2" dataDxfId="114" dataCellStyle="Automatisch">
      <calculatedColumnFormula>_xlfn.XLOOKUP($E2,Tab_Def_Processes[Name(EN)],Tab_Def_Processes[Output_Flow_O_2],,0,)</calculatedColumnFormula>
    </tableColumn>
    <tableColumn id="24" xr3:uid="{A690522C-9F92-493F-BD4E-C5851A505DC4}" name="Flow_ID_O_2" dataDxfId="113" dataCellStyle="Automatisch">
      <calculatedColumnFormula>_xlfn.XLOOKUP($E2,Tab_Def_Processes[Name(EN)],Tab_Def_Processes[Flow_ID_O_2],,0,)</calculatedColumnFormula>
    </tableColumn>
    <tableColumn id="41" xr3:uid="{BBDD1124-B4C9-48C4-95C4-ED06DAD4697D}" name="Flow_TC_O_2_[%]" dataDxfId="112"/>
    <tableColumn id="25" xr3:uid="{46987B53-D7D9-4621-B8D7-B8DC7F6BB65B}" name="Output_Flow_O_3" dataDxfId="111" dataCellStyle="Automatisch">
      <calculatedColumnFormula>_xlfn.XLOOKUP($E2,Tab_Def_Processes[Name(EN)],Tab_Def_Processes[Output_Flow_O_3],,0,)</calculatedColumnFormula>
    </tableColumn>
    <tableColumn id="26" xr3:uid="{B1F55BB4-B5DF-4809-9841-CE667A275BBB}" name="Flow_ID_O_3" dataDxfId="110" dataCellStyle="Automatisch">
      <calculatedColumnFormula>_xlfn.XLOOKUP($E2,Tab_Def_Processes[Name(EN)],Tab_Def_Processes[Flow_ID_O_3],,0,)</calculatedColumnFormula>
    </tableColumn>
    <tableColumn id="42" xr3:uid="{837386A2-5F76-437C-AB05-32F4D8FD5400}" name="Flow_TC_O_3_[%]" dataDxfId="109"/>
    <tableColumn id="27" xr3:uid="{603B7AC3-EE11-4549-A4FD-5CF3C5384AF2}" name="Output_Flow_O_4" dataDxfId="108" dataCellStyle="Automatisch">
      <calculatedColumnFormula>_xlfn.XLOOKUP($E2,Tab_Def_Processes[Name(EN)],Tab_Def_Processes[Output_Flow_O_4],,0,)</calculatedColumnFormula>
    </tableColumn>
    <tableColumn id="28" xr3:uid="{BEDA4421-DE3E-45B7-AA23-39A96ABFBA03}" name="Flow_ID_O_4" dataDxfId="107" dataCellStyle="Automatisch">
      <calculatedColumnFormula>_xlfn.XLOOKUP($E2,Tab_Def_Processes[Name(EN)],Tab_Def_Processes[Flow_ID_O_4],,0,)</calculatedColumnFormula>
    </tableColumn>
    <tableColumn id="43" xr3:uid="{48277668-18B6-4219-841F-F7039B42C8E8}" name="Flow_TC_O_4_[%]" dataDxfId="106"/>
    <tableColumn id="29" xr3:uid="{8270DAB7-5A5A-4119-A994-FF979E725477}" name="Output_Flow_O_5" dataDxfId="105" dataCellStyle="Automatisch">
      <calculatedColumnFormula>_xlfn.XLOOKUP($E2,Tab_Def_Processes[Name(EN)],Tab_Def_Processes[Output_Flow_O_5],,0,)</calculatedColumnFormula>
    </tableColumn>
    <tableColumn id="30" xr3:uid="{EF7AD72E-CEBC-42E7-9DE6-1419D3BC99A4}" name="Flow_ID_O_5" dataDxfId="104" dataCellStyle="Automatisch">
      <calculatedColumnFormula>_xlfn.XLOOKUP($E2,Tab_Def_Processes[Name(EN)],Tab_Def_Processes[Flow_ID_O_5],,0,)</calculatedColumnFormula>
    </tableColumn>
    <tableColumn id="44" xr3:uid="{5E8341F4-511D-4736-8507-794276C93A04}" name="Flow_TC O_5_[%]" dataDxfId="103"/>
    <tableColumn id="31" xr3:uid="{531B757D-2D85-4544-AC12-18B8CB9EBF08}" name="Output_Flow_O_6" dataDxfId="102" dataCellStyle="Automatisch">
      <calculatedColumnFormula>_xlfn.XLOOKUP($E2,Tab_Def_Processes[Name(EN)],Tab_Def_Processes[Output_Flow_O_6],,0,)</calculatedColumnFormula>
    </tableColumn>
    <tableColumn id="46" xr3:uid="{3929BAB4-5D36-49B1-B1BB-2B0F804D087D}" name="Flow_ID_O_6" dataDxfId="101" dataCellStyle="Automatisch">
      <calculatedColumnFormula>_xlfn.XLOOKUP($E2,Tab_Def_Processes[Name(EN)],Tab_Def_Processes[Flow_ID_O_6],,0,)</calculatedColumnFormula>
    </tableColumn>
    <tableColumn id="45" xr3:uid="{64379744-43F6-4C79-B48A-98D8B0E4370B}" name="Flow_TC O_6_[%]" dataDxfId="100"/>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37"/>
  <sheetViews>
    <sheetView zoomScale="205" zoomScaleNormal="205" workbookViewId="0">
      <selection activeCell="D22" sqref="D22"/>
    </sheetView>
  </sheetViews>
  <sheetFormatPr defaultColWidth="9.140625" defaultRowHeight="15" x14ac:dyDescent="0.25"/>
  <sheetData>
    <row r="2" spans="2:13" x14ac:dyDescent="0.25">
      <c r="B2" t="s">
        <v>579</v>
      </c>
    </row>
    <row r="4" spans="2:13" x14ac:dyDescent="0.25">
      <c r="B4" t="s">
        <v>206</v>
      </c>
    </row>
    <row r="6" spans="2:13" x14ac:dyDescent="0.25">
      <c r="B6" t="s">
        <v>214</v>
      </c>
    </row>
    <row r="7" spans="2:13" x14ac:dyDescent="0.25">
      <c r="C7" t="s">
        <v>215</v>
      </c>
      <c r="F7" t="s">
        <v>216</v>
      </c>
    </row>
    <row r="8" spans="2:13" x14ac:dyDescent="0.25">
      <c r="C8" t="s">
        <v>217</v>
      </c>
      <c r="F8" t="s">
        <v>80</v>
      </c>
    </row>
    <row r="9" spans="2:13" x14ac:dyDescent="0.25">
      <c r="F9" t="s">
        <v>78</v>
      </c>
    </row>
    <row r="10" spans="2:13" x14ac:dyDescent="0.25">
      <c r="F10" t="s">
        <v>218</v>
      </c>
    </row>
    <row r="12" spans="2:13" x14ac:dyDescent="0.25">
      <c r="B12" s="243" t="s">
        <v>219</v>
      </c>
      <c r="C12" s="243"/>
      <c r="D12" s="243"/>
      <c r="E12" s="243"/>
      <c r="F12" s="243"/>
      <c r="G12" s="243"/>
      <c r="H12" s="243"/>
      <c r="I12" s="243"/>
      <c r="J12" s="243"/>
      <c r="K12" s="243"/>
      <c r="L12" s="243"/>
      <c r="M12" s="243"/>
    </row>
    <row r="13" spans="2:13" x14ac:dyDescent="0.25">
      <c r="B13" s="243"/>
      <c r="C13" s="243"/>
      <c r="D13" s="243"/>
      <c r="E13" s="243"/>
      <c r="F13" s="243"/>
      <c r="G13" s="243"/>
      <c r="H13" s="243"/>
      <c r="I13" s="243"/>
      <c r="J13" s="243"/>
      <c r="K13" s="243"/>
      <c r="L13" s="243"/>
      <c r="M13" s="243"/>
    </row>
    <row r="14" spans="2:13" x14ac:dyDescent="0.25">
      <c r="B14" s="243"/>
      <c r="C14" s="243"/>
      <c r="D14" s="243"/>
      <c r="E14" s="243"/>
      <c r="F14" s="243"/>
      <c r="G14" s="243"/>
      <c r="H14" s="243"/>
      <c r="I14" s="243"/>
      <c r="J14" s="243"/>
      <c r="K14" s="243"/>
      <c r="L14" s="243"/>
      <c r="M14" s="243"/>
    </row>
    <row r="15" spans="2:13" x14ac:dyDescent="0.25">
      <c r="B15" s="244" t="s">
        <v>220</v>
      </c>
      <c r="C15" s="244"/>
      <c r="D15" s="244"/>
      <c r="E15" s="244"/>
      <c r="F15" s="244"/>
      <c r="G15" s="244"/>
      <c r="H15" s="244"/>
      <c r="I15" s="244"/>
      <c r="J15" s="244"/>
      <c r="K15" s="244"/>
      <c r="L15" s="244"/>
    </row>
    <row r="16" spans="2:13" x14ac:dyDescent="0.25">
      <c r="B16" s="244"/>
      <c r="C16" s="244"/>
      <c r="D16" s="244"/>
      <c r="E16" s="244"/>
      <c r="F16" s="244"/>
      <c r="G16" s="244"/>
      <c r="H16" s="244"/>
      <c r="I16" s="244"/>
      <c r="J16" s="244"/>
      <c r="K16" s="244"/>
      <c r="L16" s="244"/>
    </row>
    <row r="17" spans="2:12" x14ac:dyDescent="0.25">
      <c r="B17" s="244"/>
      <c r="C17" s="244"/>
      <c r="D17" s="244"/>
      <c r="E17" s="244"/>
      <c r="F17" s="244"/>
      <c r="G17" s="244"/>
      <c r="H17" s="244"/>
      <c r="I17" s="244"/>
      <c r="J17" s="244"/>
      <c r="K17" s="244"/>
      <c r="L17" s="244"/>
    </row>
    <row r="18" spans="2:12" x14ac:dyDescent="0.25">
      <c r="B18" s="244"/>
      <c r="C18" s="244"/>
      <c r="D18" s="244"/>
      <c r="E18" s="244"/>
      <c r="F18" s="244"/>
      <c r="G18" s="244"/>
      <c r="H18" s="244"/>
      <c r="I18" s="244"/>
      <c r="J18" s="244"/>
      <c r="K18" s="244"/>
      <c r="L18" s="244"/>
    </row>
    <row r="22" spans="2:12" x14ac:dyDescent="0.25">
      <c r="B22" t="s">
        <v>207</v>
      </c>
    </row>
    <row r="24" spans="2:12" x14ac:dyDescent="0.25">
      <c r="C24" t="s">
        <v>213</v>
      </c>
    </row>
    <row r="33" spans="2:2" x14ac:dyDescent="0.25">
      <c r="B33" t="s">
        <v>208</v>
      </c>
    </row>
    <row r="34" spans="2:2" x14ac:dyDescent="0.25">
      <c r="B34" t="s">
        <v>209</v>
      </c>
    </row>
    <row r="35" spans="2:2" x14ac:dyDescent="0.25">
      <c r="B35" t="s">
        <v>210</v>
      </c>
    </row>
    <row r="36" spans="2:2" x14ac:dyDescent="0.25">
      <c r="B36" t="s">
        <v>211</v>
      </c>
    </row>
    <row r="37" spans="2:2" x14ac:dyDescent="0.25">
      <c r="B37" t="s">
        <v>212</v>
      </c>
    </row>
  </sheetData>
  <mergeCells count="2">
    <mergeCell ref="B12:M14"/>
    <mergeCell ref="B15:L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115" zoomScaleNormal="115" workbookViewId="0">
      <pane xSplit="4" ySplit="13" topLeftCell="J14" activePane="bottomRight" state="frozen"/>
      <selection pane="topRight" activeCell="E1" sqref="E1"/>
      <selection pane="bottomLeft" activeCell="A14" sqref="A14"/>
      <selection pane="bottomRight" activeCell="J8" sqref="J8"/>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5" width="40" customWidth="1"/>
    <col min="6" max="7" width="16.42578125" customWidth="1"/>
    <col min="8" max="8" width="26.42578125" customWidth="1"/>
    <col min="9" max="9" width="40.140625" customWidth="1"/>
    <col min="10" max="10" width="30.42578125" customWidth="1"/>
    <col min="11" max="11" width="32.28515625" customWidth="1"/>
    <col min="12" max="12" width="23.140625" customWidth="1"/>
    <col min="13" max="14" width="20.28515625" customWidth="1"/>
    <col min="22" max="22" width="15.28515625" customWidth="1"/>
    <col min="23" max="23" width="15.42578125" customWidth="1"/>
    <col min="24" max="24" width="13" customWidth="1"/>
    <col min="25" max="25" width="15.7109375" customWidth="1"/>
  </cols>
  <sheetData>
    <row r="1" spans="1:25" x14ac:dyDescent="0.25">
      <c r="A1" s="48" t="s">
        <v>315</v>
      </c>
      <c r="B1" s="126" t="s">
        <v>224</v>
      </c>
      <c r="C1" t="s">
        <v>267</v>
      </c>
      <c r="D1" t="s">
        <v>319</v>
      </c>
      <c r="E1" t="s">
        <v>320</v>
      </c>
      <c r="F1" t="s">
        <v>233</v>
      </c>
      <c r="G1" t="s">
        <v>268</v>
      </c>
      <c r="H1" t="s">
        <v>269</v>
      </c>
      <c r="I1" t="s">
        <v>270</v>
      </c>
      <c r="J1" s="25" t="s">
        <v>271</v>
      </c>
      <c r="K1" s="26" t="s">
        <v>272</v>
      </c>
      <c r="L1" s="26" t="s">
        <v>273</v>
      </c>
      <c r="M1" s="32" t="s">
        <v>274</v>
      </c>
      <c r="N1" s="26" t="s">
        <v>379</v>
      </c>
      <c r="O1" s="25" t="s">
        <v>350</v>
      </c>
      <c r="P1" s="26" t="s">
        <v>352</v>
      </c>
      <c r="Q1" s="32" t="s">
        <v>351</v>
      </c>
      <c r="R1" s="21" t="s">
        <v>456</v>
      </c>
      <c r="S1" s="23" t="s">
        <v>354</v>
      </c>
      <c r="T1" s="21" t="s">
        <v>457</v>
      </c>
      <c r="U1" s="23" t="s">
        <v>356</v>
      </c>
      <c r="V1" s="21" t="s">
        <v>406</v>
      </c>
      <c r="W1" s="23" t="s">
        <v>407</v>
      </c>
      <c r="X1" s="21" t="s">
        <v>458</v>
      </c>
      <c r="Y1" s="23" t="s">
        <v>405</v>
      </c>
    </row>
    <row r="2" spans="1:25" x14ac:dyDescent="0.25">
      <c r="A2" s="89" t="b">
        <v>0</v>
      </c>
      <c r="B2" s="109" t="s">
        <v>396</v>
      </c>
      <c r="C2" s="49" t="str">
        <f>"F_"&amp;LEFT(K2,2)&amp;"_"&amp;LEFT(M2,2)</f>
        <v>F_00_01</v>
      </c>
      <c r="D2" s="51" t="s">
        <v>494</v>
      </c>
      <c r="E2" s="88"/>
      <c r="F2" s="88"/>
      <c r="G2" s="88"/>
      <c r="H2" s="88"/>
      <c r="I2" s="88"/>
      <c r="J2" s="91" t="s">
        <v>480</v>
      </c>
      <c r="K2" s="49" t="str">
        <f>_xlfn.XLOOKUP(J2,Tab_Def_Processes[Name(EN)],Tab_Def_Processes[Process_ID],,0,)</f>
        <v>00_Cul_</v>
      </c>
      <c r="L2" s="51" t="s">
        <v>481</v>
      </c>
      <c r="M2" s="61" t="str">
        <f>_xlfn.XLOOKUP(L2,Tab_Def_Processes[Name(EN)],Tab_Def_Processes[Process_ID],,0,)</f>
        <v>01_Har_</v>
      </c>
      <c r="N2" s="51"/>
      <c r="O2" s="91" t="s">
        <v>67</v>
      </c>
      <c r="P2" s="51" t="s">
        <v>67</v>
      </c>
      <c r="Q2" s="95" t="s">
        <v>67</v>
      </c>
      <c r="R2" s="128">
        <v>0</v>
      </c>
      <c r="S2" s="130" t="s">
        <v>492</v>
      </c>
      <c r="T2" s="128">
        <v>1</v>
      </c>
      <c r="U2" s="130" t="s">
        <v>492</v>
      </c>
      <c r="V2" s="129">
        <v>0.5</v>
      </c>
      <c r="W2" s="130" t="s">
        <v>492</v>
      </c>
      <c r="X2" s="131">
        <f>Tab_Def_Flows[[#This Row],[CC_DM'[%']]]*Tab_Def_Flows[[#This Row],[DM]]</f>
        <v>0.5</v>
      </c>
      <c r="Y2" s="51" t="s">
        <v>493</v>
      </c>
    </row>
    <row r="3" spans="1:25" x14ac:dyDescent="0.25">
      <c r="A3" s="89" t="b">
        <v>0</v>
      </c>
      <c r="B3" s="109" t="s">
        <v>397</v>
      </c>
      <c r="C3" s="49" t="str">
        <f t="shared" ref="C3:C66" si="0">"F_"&amp;LEFT(K3,2)&amp;"_"&amp;LEFT(M3,2)</f>
        <v>F_01_02</v>
      </c>
      <c r="D3" s="51" t="s">
        <v>495</v>
      </c>
      <c r="E3" s="88"/>
      <c r="F3" s="88"/>
      <c r="G3" s="88"/>
      <c r="H3" s="88"/>
      <c r="I3" s="88"/>
      <c r="J3" s="91" t="s">
        <v>481</v>
      </c>
      <c r="K3" s="49" t="str">
        <f>_xlfn.XLOOKUP(J3,Tab_Def_Processes[Name(EN)],Tab_Def_Processes[Process_ID],,0,)</f>
        <v>01_Har_</v>
      </c>
      <c r="L3" s="51" t="s">
        <v>482</v>
      </c>
      <c r="M3" s="61" t="str">
        <f>_xlfn.XLOOKUP(L3,Tab_Def_Processes[Name(EN)],Tab_Def_Processes[Process_ID],,0,)</f>
        <v>02_Foo_</v>
      </c>
      <c r="N3" s="51"/>
      <c r="O3" s="91" t="s">
        <v>67</v>
      </c>
      <c r="P3" s="51" t="s">
        <v>67</v>
      </c>
      <c r="Q3" s="95" t="s">
        <v>67</v>
      </c>
      <c r="R3" s="128">
        <v>0</v>
      </c>
      <c r="S3" s="130" t="s">
        <v>492</v>
      </c>
      <c r="T3" s="128">
        <v>1</v>
      </c>
      <c r="U3" s="130" t="s">
        <v>492</v>
      </c>
      <c r="V3" s="129">
        <v>0.5</v>
      </c>
      <c r="W3" s="130" t="s">
        <v>492</v>
      </c>
      <c r="X3" s="131">
        <f>Tab_Def_Flows[[#This Row],[CC_DM'[%']]]*Tab_Def_Flows[[#This Row],[DM]]</f>
        <v>0.5</v>
      </c>
      <c r="Y3" s="51" t="s">
        <v>493</v>
      </c>
    </row>
    <row r="4" spans="1:25" x14ac:dyDescent="0.25">
      <c r="A4" s="89" t="b">
        <v>0</v>
      </c>
      <c r="B4" s="109" t="s">
        <v>398</v>
      </c>
      <c r="C4" s="49" t="str">
        <f t="shared" si="0"/>
        <v>F_01_03</v>
      </c>
      <c r="D4" s="51" t="s">
        <v>496</v>
      </c>
      <c r="E4" s="88"/>
      <c r="F4" s="88"/>
      <c r="G4" s="88"/>
      <c r="H4" s="88"/>
      <c r="I4" s="88"/>
      <c r="J4" s="91" t="s">
        <v>481</v>
      </c>
      <c r="K4" s="49" t="str">
        <f>_xlfn.XLOOKUP(J4,Tab_Def_Processes[Name(EN)],Tab_Def_Processes[Process_ID],,0,)</f>
        <v>01_Har_</v>
      </c>
      <c r="L4" s="51" t="s">
        <v>483</v>
      </c>
      <c r="M4" s="61" t="str">
        <f>_xlfn.XLOOKUP(L4,Tab_Def_Processes[Name(EN)],Tab_Def_Processes[Process_ID],,0,)</f>
        <v>03_Str_</v>
      </c>
      <c r="N4" s="51"/>
      <c r="O4" s="91" t="s">
        <v>67</v>
      </c>
      <c r="P4" s="51" t="s">
        <v>67</v>
      </c>
      <c r="Q4" s="95" t="s">
        <v>67</v>
      </c>
      <c r="R4" s="128">
        <v>0</v>
      </c>
      <c r="S4" s="130" t="s">
        <v>492</v>
      </c>
      <c r="T4" s="128">
        <v>1</v>
      </c>
      <c r="U4" s="130" t="s">
        <v>492</v>
      </c>
      <c r="V4" s="129">
        <v>0.5</v>
      </c>
      <c r="W4" s="130" t="s">
        <v>492</v>
      </c>
      <c r="X4" s="131">
        <f>Tab_Def_Flows[[#This Row],[CC_DM'[%']]]*Tab_Def_Flows[[#This Row],[DM]]</f>
        <v>0.5</v>
      </c>
      <c r="Y4" s="51" t="s">
        <v>493</v>
      </c>
    </row>
    <row r="5" spans="1:25" x14ac:dyDescent="0.25">
      <c r="A5" s="89" t="b">
        <v>0</v>
      </c>
      <c r="B5" s="109" t="s">
        <v>399</v>
      </c>
      <c r="C5" s="49" t="str">
        <f t="shared" si="0"/>
        <v>F_03_04</v>
      </c>
      <c r="D5" s="51" t="s">
        <v>497</v>
      </c>
      <c r="E5" s="88"/>
      <c r="F5" s="88"/>
      <c r="G5" s="88"/>
      <c r="H5" s="88"/>
      <c r="I5" s="88"/>
      <c r="J5" s="91" t="s">
        <v>483</v>
      </c>
      <c r="K5" s="49" t="str">
        <f>_xlfn.XLOOKUP(J5,Tab_Def_Processes[Name(EN)],Tab_Def_Processes[Process_ID],,0,)</f>
        <v>03_Str_</v>
      </c>
      <c r="L5" s="51" t="s">
        <v>484</v>
      </c>
      <c r="M5" s="61" t="str">
        <f>_xlfn.XLOOKUP(L5,Tab_Def_Processes[Name(EN)],Tab_Def_Processes[Process_ID],,0,)</f>
        <v>04_Inc_</v>
      </c>
      <c r="N5" s="51"/>
      <c r="O5" s="91" t="s">
        <v>67</v>
      </c>
      <c r="P5" s="51" t="s">
        <v>67</v>
      </c>
      <c r="Q5" s="95" t="s">
        <v>67</v>
      </c>
      <c r="R5" s="128">
        <v>0</v>
      </c>
      <c r="S5" s="130" t="s">
        <v>492</v>
      </c>
      <c r="T5" s="128">
        <v>1</v>
      </c>
      <c r="U5" s="130" t="s">
        <v>492</v>
      </c>
      <c r="V5" s="129">
        <v>0.5</v>
      </c>
      <c r="W5" s="130" t="s">
        <v>492</v>
      </c>
      <c r="X5" s="131">
        <f>Tab_Def_Flows[[#This Row],[CC_DM'[%']]]*Tab_Def_Flows[[#This Row],[DM]]</f>
        <v>0.5</v>
      </c>
      <c r="Y5" s="51" t="s">
        <v>493</v>
      </c>
    </row>
    <row r="6" spans="1:25" x14ac:dyDescent="0.25">
      <c r="A6" s="89" t="b">
        <v>0</v>
      </c>
      <c r="B6" s="109" t="s">
        <v>400</v>
      </c>
      <c r="C6" s="49" t="str">
        <f t="shared" si="0"/>
        <v>F_03_05</v>
      </c>
      <c r="D6" s="51" t="s">
        <v>498</v>
      </c>
      <c r="E6" s="88"/>
      <c r="F6" s="88"/>
      <c r="G6" s="88"/>
      <c r="H6" s="88"/>
      <c r="I6" s="88"/>
      <c r="J6" s="91" t="s">
        <v>483</v>
      </c>
      <c r="K6" s="49" t="str">
        <f>_xlfn.XLOOKUP(J6,Tab_Def_Processes[Name(EN)],Tab_Def_Processes[Process_ID],,0,)</f>
        <v>03_Str_</v>
      </c>
      <c r="L6" s="51" t="s">
        <v>485</v>
      </c>
      <c r="M6" s="61" t="str">
        <f>_xlfn.XLOOKUP(L6,Tab_Def_Processes[Name(EN)],Tab_Def_Processes[Process_ID],,0,)</f>
        <v>05_Com_</v>
      </c>
      <c r="N6" s="51"/>
      <c r="O6" s="91" t="s">
        <v>67</v>
      </c>
      <c r="P6" s="51" t="s">
        <v>67</v>
      </c>
      <c r="Q6" s="95" t="s">
        <v>67</v>
      </c>
      <c r="R6" s="128">
        <v>0</v>
      </c>
      <c r="S6" s="130" t="s">
        <v>492</v>
      </c>
      <c r="T6" s="128">
        <v>1</v>
      </c>
      <c r="U6" s="130" t="s">
        <v>492</v>
      </c>
      <c r="V6" s="129">
        <v>0.5</v>
      </c>
      <c r="W6" s="130" t="s">
        <v>492</v>
      </c>
      <c r="X6" s="131">
        <f>Tab_Def_Flows[[#This Row],[CC_DM'[%']]]*Tab_Def_Flows[[#This Row],[DM]]</f>
        <v>0.5</v>
      </c>
      <c r="Y6" s="51" t="s">
        <v>493</v>
      </c>
    </row>
    <row r="7" spans="1:25" x14ac:dyDescent="0.25">
      <c r="A7" s="89" t="b">
        <v>0</v>
      </c>
      <c r="B7" s="109" t="s">
        <v>401</v>
      </c>
      <c r="C7" s="49" t="str">
        <f t="shared" si="0"/>
        <v>F_03_06</v>
      </c>
      <c r="D7" s="51" t="s">
        <v>499</v>
      </c>
      <c r="E7" s="88"/>
      <c r="F7" s="88"/>
      <c r="G7" s="88"/>
      <c r="H7" s="88"/>
      <c r="I7" s="88"/>
      <c r="J7" s="91" t="s">
        <v>483</v>
      </c>
      <c r="K7" s="49" t="str">
        <f>_xlfn.XLOOKUP(J7,Tab_Def_Processes[Name(EN)],Tab_Def_Processes[Process_ID],,0,)</f>
        <v>03_Str_</v>
      </c>
      <c r="L7" s="51" t="s">
        <v>486</v>
      </c>
      <c r="M7" s="61" t="str">
        <f>_xlfn.XLOOKUP(L7,Tab_Def_Processes[Name(EN)],Tab_Def_Processes[Process_ID],,0,)</f>
        <v>06_HTC_</v>
      </c>
      <c r="N7" s="51"/>
      <c r="O7" s="91" t="s">
        <v>67</v>
      </c>
      <c r="P7" s="51" t="s">
        <v>67</v>
      </c>
      <c r="Q7" s="95" t="s">
        <v>67</v>
      </c>
      <c r="R7" s="128">
        <v>0</v>
      </c>
      <c r="S7" s="130" t="s">
        <v>492</v>
      </c>
      <c r="T7" s="128">
        <v>1</v>
      </c>
      <c r="U7" s="130" t="s">
        <v>492</v>
      </c>
      <c r="V7" s="129">
        <v>0.5</v>
      </c>
      <c r="W7" s="130" t="s">
        <v>492</v>
      </c>
      <c r="X7" s="131">
        <f>Tab_Def_Flows[[#This Row],[CC_DM'[%']]]*Tab_Def_Flows[[#This Row],[DM]]</f>
        <v>0.5</v>
      </c>
      <c r="Y7" s="51" t="s">
        <v>493</v>
      </c>
    </row>
    <row r="8" spans="1:25" x14ac:dyDescent="0.25">
      <c r="A8" s="89" t="b">
        <v>0</v>
      </c>
      <c r="B8" s="109" t="s">
        <v>402</v>
      </c>
      <c r="C8" s="49" t="str">
        <f t="shared" si="0"/>
        <v>F_03_07</v>
      </c>
      <c r="D8" s="51" t="s">
        <v>500</v>
      </c>
      <c r="E8" s="88"/>
      <c r="F8" s="88"/>
      <c r="G8" s="88"/>
      <c r="H8" s="88"/>
      <c r="I8" s="88"/>
      <c r="J8" s="91" t="s">
        <v>483</v>
      </c>
      <c r="K8" s="49" t="str">
        <f>_xlfn.XLOOKUP(J8,Tab_Def_Processes[Name(EN)],Tab_Def_Processes[Process_ID],,0,)</f>
        <v>03_Str_</v>
      </c>
      <c r="L8" s="51" t="s">
        <v>487</v>
      </c>
      <c r="M8" s="61" t="str">
        <f>_xlfn.XLOOKUP(L8,Tab_Def_Processes[Name(EN)],Tab_Def_Processes[Process_ID],,0,)</f>
        <v>07_AD_</v>
      </c>
      <c r="N8" s="51"/>
      <c r="O8" s="91" t="s">
        <v>67</v>
      </c>
      <c r="P8" s="51" t="s">
        <v>67</v>
      </c>
      <c r="Q8" s="95" t="s">
        <v>67</v>
      </c>
      <c r="R8" s="128">
        <v>0</v>
      </c>
      <c r="S8" s="130" t="s">
        <v>492</v>
      </c>
      <c r="T8" s="128">
        <v>1</v>
      </c>
      <c r="U8" s="130" t="s">
        <v>492</v>
      </c>
      <c r="V8" s="129">
        <v>0.5</v>
      </c>
      <c r="W8" s="130" t="s">
        <v>492</v>
      </c>
      <c r="X8" s="131">
        <f>Tab_Def_Flows[[#This Row],[CC_DM'[%']]]*Tab_Def_Flows[[#This Row],[DM]]</f>
        <v>0.5</v>
      </c>
      <c r="Y8" s="51" t="s">
        <v>493</v>
      </c>
    </row>
    <row r="9" spans="1:25" x14ac:dyDescent="0.25">
      <c r="A9" s="89" t="b">
        <v>0</v>
      </c>
      <c r="B9" s="109" t="s">
        <v>403</v>
      </c>
      <c r="C9" s="49" t="str">
        <f t="shared" si="0"/>
        <v>F_03_08</v>
      </c>
      <c r="D9" s="51" t="s">
        <v>501</v>
      </c>
      <c r="E9" s="88"/>
      <c r="F9" s="88"/>
      <c r="G9" s="88"/>
      <c r="H9" s="88"/>
      <c r="I9" s="88"/>
      <c r="J9" s="91" t="s">
        <v>483</v>
      </c>
      <c r="K9" s="49" t="str">
        <f>_xlfn.XLOOKUP(J9,Tab_Def_Processes[Name(EN)],Tab_Def_Processes[Process_ID],,0,)</f>
        <v>03_Str_</v>
      </c>
      <c r="L9" s="51" t="s">
        <v>488</v>
      </c>
      <c r="M9" s="61" t="str">
        <f>_xlfn.XLOOKUP(L9,Tab_Def_Processes[Name(EN)],Tab_Def_Processes[Process_ID],,0,)</f>
        <v>08_Ani_</v>
      </c>
      <c r="N9" s="51"/>
      <c r="O9" s="91" t="s">
        <v>67</v>
      </c>
      <c r="P9" s="51" t="s">
        <v>67</v>
      </c>
      <c r="Q9" s="95" t="s">
        <v>67</v>
      </c>
      <c r="R9" s="128">
        <v>0</v>
      </c>
      <c r="S9" s="130" t="s">
        <v>492</v>
      </c>
      <c r="T9" s="128">
        <v>1</v>
      </c>
      <c r="U9" s="130" t="s">
        <v>492</v>
      </c>
      <c r="V9" s="129">
        <v>0.5</v>
      </c>
      <c r="W9" s="130" t="s">
        <v>492</v>
      </c>
      <c r="X9" s="131">
        <f>Tab_Def_Flows[[#This Row],[CC_DM'[%']]]*Tab_Def_Flows[[#This Row],[DM]]</f>
        <v>0.5</v>
      </c>
      <c r="Y9" s="51" t="s">
        <v>493</v>
      </c>
    </row>
    <row r="10" spans="1:25" x14ac:dyDescent="0.25">
      <c r="A10" s="89" t="b">
        <v>0</v>
      </c>
      <c r="B10" s="109" t="s">
        <v>404</v>
      </c>
      <c r="C10" s="49" t="str">
        <f t="shared" si="0"/>
        <v>F_04_09</v>
      </c>
      <c r="D10" s="51" t="s">
        <v>502</v>
      </c>
      <c r="E10" s="88"/>
      <c r="F10" s="88"/>
      <c r="G10" s="88"/>
      <c r="H10" s="88"/>
      <c r="I10" s="88"/>
      <c r="J10" s="91" t="s">
        <v>484</v>
      </c>
      <c r="K10" s="49" t="str">
        <f>_xlfn.XLOOKUP(J10,Tab_Def_Processes[Name(EN)],Tab_Def_Processes[Process_ID],,0,)</f>
        <v>04_Inc_</v>
      </c>
      <c r="L10" s="51" t="s">
        <v>489</v>
      </c>
      <c r="M10" s="61" t="str">
        <f>_xlfn.XLOOKUP(L10,Tab_Def_Processes[Name(EN)],Tab_Def_Processes[Process_ID],,0,)</f>
        <v>09_Soi_</v>
      </c>
      <c r="N10" s="51"/>
      <c r="O10" s="91" t="s">
        <v>67</v>
      </c>
      <c r="P10" s="51" t="s">
        <v>67</v>
      </c>
      <c r="Q10" s="95" t="s">
        <v>67</v>
      </c>
      <c r="R10" s="128">
        <v>0</v>
      </c>
      <c r="S10" s="130" t="s">
        <v>492</v>
      </c>
      <c r="T10" s="128">
        <v>1</v>
      </c>
      <c r="U10" s="130" t="s">
        <v>492</v>
      </c>
      <c r="V10" s="129">
        <v>0.5</v>
      </c>
      <c r="W10" s="130" t="s">
        <v>492</v>
      </c>
      <c r="X10" s="131">
        <f>Tab_Def_Flows[[#This Row],[CC_DM'[%']]]*Tab_Def_Flows[[#This Row],[DM]]</f>
        <v>0.5</v>
      </c>
      <c r="Y10" s="51" t="s">
        <v>493</v>
      </c>
    </row>
    <row r="11" spans="1:25" x14ac:dyDescent="0.25">
      <c r="A11" s="89" t="b">
        <v>0</v>
      </c>
      <c r="B11" s="109" t="s">
        <v>409</v>
      </c>
      <c r="C11" s="49" t="str">
        <f t="shared" si="0"/>
        <v>F_05_09</v>
      </c>
      <c r="D11" s="51" t="s">
        <v>503</v>
      </c>
      <c r="E11" s="92"/>
      <c r="F11" s="88"/>
      <c r="G11" s="88"/>
      <c r="H11" s="88"/>
      <c r="I11" s="88"/>
      <c r="J11" s="91" t="s">
        <v>485</v>
      </c>
      <c r="K11" s="49" t="str">
        <f>_xlfn.XLOOKUP(J11,Tab_Def_Processes[Name(EN)],Tab_Def_Processes[Process_ID],,0,)</f>
        <v>05_Com_</v>
      </c>
      <c r="L11" s="51" t="s">
        <v>489</v>
      </c>
      <c r="M11" s="61" t="str">
        <f>_xlfn.XLOOKUP(L11,Tab_Def_Processes[Name(EN)],Tab_Def_Processes[Process_ID],,0,)</f>
        <v>09_Soi_</v>
      </c>
      <c r="N11" s="51"/>
      <c r="O11" s="91" t="s">
        <v>67</v>
      </c>
      <c r="P11" s="51" t="s">
        <v>67</v>
      </c>
      <c r="Q11" s="95" t="s">
        <v>67</v>
      </c>
      <c r="R11" s="128">
        <v>0</v>
      </c>
      <c r="S11" s="130" t="s">
        <v>492</v>
      </c>
      <c r="T11" s="128">
        <v>1</v>
      </c>
      <c r="U11" s="130" t="s">
        <v>492</v>
      </c>
      <c r="V11" s="129">
        <v>0.5</v>
      </c>
      <c r="W11" s="130" t="s">
        <v>492</v>
      </c>
      <c r="X11" s="131">
        <f>Tab_Def_Flows[[#This Row],[CC_DM'[%']]]*Tab_Def_Flows[[#This Row],[DM]]</f>
        <v>0.5</v>
      </c>
      <c r="Y11" s="51" t="s">
        <v>493</v>
      </c>
    </row>
    <row r="12" spans="1:25" x14ac:dyDescent="0.25">
      <c r="A12" s="89" t="b">
        <v>0</v>
      </c>
      <c r="B12" s="109" t="s">
        <v>410</v>
      </c>
      <c r="C12" s="49" t="str">
        <f t="shared" si="0"/>
        <v>F_05_10</v>
      </c>
      <c r="D12" s="51" t="s">
        <v>504</v>
      </c>
      <c r="E12" s="92"/>
      <c r="F12" s="88"/>
      <c r="G12" s="88"/>
      <c r="H12" s="88"/>
      <c r="I12" s="88"/>
      <c r="J12" s="91" t="s">
        <v>485</v>
      </c>
      <c r="K12" s="49" t="str">
        <f>_xlfn.XLOOKUP(J12,Tab_Def_Processes[Name(EN)],Tab_Def_Processes[Process_ID],,0,)</f>
        <v>05_Com_</v>
      </c>
      <c r="L12" s="51" t="s">
        <v>490</v>
      </c>
      <c r="M12" s="61" t="str">
        <f>_xlfn.XLOOKUP(L12,Tab_Def_Processes[Name(EN)],Tab_Def_Processes[Process_ID],,0,)</f>
        <v>10_Atm_</v>
      </c>
      <c r="N12" s="51"/>
      <c r="O12" s="91" t="s">
        <v>67</v>
      </c>
      <c r="P12" s="51" t="s">
        <v>67</v>
      </c>
      <c r="Q12" s="95" t="s">
        <v>67</v>
      </c>
      <c r="R12" s="128">
        <v>0</v>
      </c>
      <c r="S12" s="130" t="s">
        <v>492</v>
      </c>
      <c r="T12" s="128">
        <v>1</v>
      </c>
      <c r="U12" s="130" t="s">
        <v>492</v>
      </c>
      <c r="V12" s="129">
        <v>0.5</v>
      </c>
      <c r="W12" s="130" t="s">
        <v>492</v>
      </c>
      <c r="X12" s="131">
        <f>Tab_Def_Flows[[#This Row],[CC_DM'[%']]]*Tab_Def_Flows[[#This Row],[DM]]</f>
        <v>0.5</v>
      </c>
      <c r="Y12" s="51" t="s">
        <v>493</v>
      </c>
    </row>
    <row r="13" spans="1:25" x14ac:dyDescent="0.25">
      <c r="A13" s="89" t="b">
        <v>0</v>
      </c>
      <c r="B13" s="109" t="s">
        <v>411</v>
      </c>
      <c r="C13" s="49" t="str">
        <f t="shared" si="0"/>
        <v>F_05_11</v>
      </c>
      <c r="D13" s="51" t="s">
        <v>505</v>
      </c>
      <c r="E13" s="88"/>
      <c r="F13" s="88"/>
      <c r="G13" s="88"/>
      <c r="H13" s="88"/>
      <c r="I13" s="88"/>
      <c r="J13" s="91" t="s">
        <v>485</v>
      </c>
      <c r="K13" s="49" t="str">
        <f>_xlfn.XLOOKUP(J13,Tab_Def_Processes[Name(EN)],Tab_Def_Processes[Process_ID],,0,)</f>
        <v>05_Com_</v>
      </c>
      <c r="L13" s="51" t="s">
        <v>491</v>
      </c>
      <c r="M13" s="61" t="str">
        <f>_xlfn.XLOOKUP(L13,Tab_Def_Processes[Name(EN)],Tab_Def_Processes[Process_ID],,0,)</f>
        <v>11_Sur_</v>
      </c>
      <c r="N13" s="51"/>
      <c r="O13" s="91" t="s">
        <v>67</v>
      </c>
      <c r="P13" s="51" t="s">
        <v>67</v>
      </c>
      <c r="Q13" s="95" t="s">
        <v>67</v>
      </c>
      <c r="R13" s="128">
        <v>0</v>
      </c>
      <c r="S13" s="130" t="s">
        <v>492</v>
      </c>
      <c r="T13" s="128">
        <v>1</v>
      </c>
      <c r="U13" s="130" t="s">
        <v>492</v>
      </c>
      <c r="V13" s="129">
        <v>0.5</v>
      </c>
      <c r="W13" s="130" t="s">
        <v>492</v>
      </c>
      <c r="X13" s="131">
        <f>Tab_Def_Flows[[#This Row],[CC_DM'[%']]]*Tab_Def_Flows[[#This Row],[DM]]</f>
        <v>0.5</v>
      </c>
      <c r="Y13" s="51" t="s">
        <v>493</v>
      </c>
    </row>
    <row r="14" spans="1:25" x14ac:dyDescent="0.25">
      <c r="A14" s="89" t="b">
        <v>0</v>
      </c>
      <c r="B14" s="109" t="s">
        <v>412</v>
      </c>
      <c r="C14" s="49" t="str">
        <f t="shared" si="0"/>
        <v>F_06_10</v>
      </c>
      <c r="D14" s="51" t="s">
        <v>506</v>
      </c>
      <c r="E14" s="88"/>
      <c r="F14" s="88"/>
      <c r="G14" s="88"/>
      <c r="H14" s="88"/>
      <c r="I14" s="88"/>
      <c r="J14" s="91" t="s">
        <v>486</v>
      </c>
      <c r="K14" s="49" t="str">
        <f>_xlfn.XLOOKUP(J14,Tab_Def_Processes[Name(EN)],Tab_Def_Processes[Process_ID],,0,)</f>
        <v>06_HTC_</v>
      </c>
      <c r="L14" s="51" t="s">
        <v>490</v>
      </c>
      <c r="M14" s="61" t="str">
        <f>_xlfn.XLOOKUP(L14,Tab_Def_Processes[Name(EN)],Tab_Def_Processes[Process_ID],,0,)</f>
        <v>10_Atm_</v>
      </c>
      <c r="N14" s="51"/>
      <c r="O14" s="91" t="s">
        <v>67</v>
      </c>
      <c r="P14" s="51" t="s">
        <v>67</v>
      </c>
      <c r="Q14" s="95" t="s">
        <v>67</v>
      </c>
      <c r="R14" s="128">
        <v>0</v>
      </c>
      <c r="S14" s="130" t="s">
        <v>492</v>
      </c>
      <c r="T14" s="128">
        <v>1</v>
      </c>
      <c r="U14" s="130" t="s">
        <v>492</v>
      </c>
      <c r="V14" s="129">
        <v>0.5</v>
      </c>
      <c r="W14" s="130" t="s">
        <v>492</v>
      </c>
      <c r="X14" s="131">
        <f>Tab_Def_Flows[[#This Row],[CC_DM'[%']]]*Tab_Def_Flows[[#This Row],[DM]]</f>
        <v>0.5</v>
      </c>
      <c r="Y14" s="51" t="s">
        <v>493</v>
      </c>
    </row>
    <row r="15" spans="1:25" x14ac:dyDescent="0.25">
      <c r="A15" s="89" t="b">
        <v>0</v>
      </c>
      <c r="B15" s="109" t="s">
        <v>413</v>
      </c>
      <c r="C15" s="49" t="str">
        <f t="shared" si="0"/>
        <v>F_07_10</v>
      </c>
      <c r="D15" s="51" t="s">
        <v>507</v>
      </c>
      <c r="E15" s="88"/>
      <c r="F15" s="88"/>
      <c r="G15" s="88"/>
      <c r="H15" s="88"/>
      <c r="I15" s="88"/>
      <c r="J15" s="91" t="s">
        <v>487</v>
      </c>
      <c r="K15" s="49" t="str">
        <f>_xlfn.XLOOKUP(J15,Tab_Def_Processes[Name(EN)],Tab_Def_Processes[Process_ID],,0,)</f>
        <v>07_AD_</v>
      </c>
      <c r="L15" s="51" t="s">
        <v>490</v>
      </c>
      <c r="M15" s="61" t="str">
        <f>_xlfn.XLOOKUP(L15,Tab_Def_Processes[Name(EN)],Tab_Def_Processes[Process_ID],,0,)</f>
        <v>10_Atm_</v>
      </c>
      <c r="N15" s="51"/>
      <c r="O15" s="91" t="s">
        <v>67</v>
      </c>
      <c r="P15" s="51" t="s">
        <v>67</v>
      </c>
      <c r="Q15" s="95" t="s">
        <v>67</v>
      </c>
      <c r="R15" s="128">
        <v>0</v>
      </c>
      <c r="S15" s="130" t="s">
        <v>492</v>
      </c>
      <c r="T15" s="128">
        <v>1</v>
      </c>
      <c r="U15" s="130" t="s">
        <v>492</v>
      </c>
      <c r="V15" s="129">
        <v>0.5</v>
      </c>
      <c r="W15" s="130" t="s">
        <v>492</v>
      </c>
      <c r="X15" s="131">
        <f>Tab_Def_Flows[[#This Row],[CC_DM'[%']]]*Tab_Def_Flows[[#This Row],[DM]]</f>
        <v>0.5</v>
      </c>
      <c r="Y15" s="51" t="s">
        <v>493</v>
      </c>
    </row>
    <row r="16" spans="1:25" x14ac:dyDescent="0.25">
      <c r="A16" s="89" t="b">
        <v>0</v>
      </c>
      <c r="B16" s="109" t="s">
        <v>414</v>
      </c>
      <c r="C16" s="49" t="str">
        <f t="shared" si="0"/>
        <v>F_09_10</v>
      </c>
      <c r="D16" s="51" t="s">
        <v>508</v>
      </c>
      <c r="E16" s="88"/>
      <c r="F16" s="88"/>
      <c r="G16" s="88"/>
      <c r="H16" s="88"/>
      <c r="I16" s="88"/>
      <c r="J16" s="91" t="s">
        <v>489</v>
      </c>
      <c r="K16" s="49" t="str">
        <f>_xlfn.XLOOKUP(J16,Tab_Def_Processes[Name(EN)],Tab_Def_Processes[Process_ID],,0,)</f>
        <v>09_Soi_</v>
      </c>
      <c r="L16" s="51" t="s">
        <v>490</v>
      </c>
      <c r="M16" s="61" t="str">
        <f>_xlfn.XLOOKUP(L16,Tab_Def_Processes[Name(EN)],Tab_Def_Processes[Process_ID],,0,)</f>
        <v>10_Atm_</v>
      </c>
      <c r="N16" s="51"/>
      <c r="O16" s="91" t="s">
        <v>67</v>
      </c>
      <c r="P16" s="51" t="s">
        <v>67</v>
      </c>
      <c r="Q16" s="95" t="s">
        <v>67</v>
      </c>
      <c r="R16" s="128">
        <v>0</v>
      </c>
      <c r="S16" s="130" t="s">
        <v>492</v>
      </c>
      <c r="T16" s="128">
        <v>1</v>
      </c>
      <c r="U16" s="130" t="s">
        <v>492</v>
      </c>
      <c r="V16" s="129">
        <v>0.5</v>
      </c>
      <c r="W16" s="130" t="s">
        <v>492</v>
      </c>
      <c r="X16" s="131">
        <f>Tab_Def_Flows[[#This Row],[CC_DM'[%']]]*Tab_Def_Flows[[#This Row],[DM]]</f>
        <v>0.5</v>
      </c>
      <c r="Y16" s="51" t="s">
        <v>493</v>
      </c>
    </row>
    <row r="17" spans="1:25" x14ac:dyDescent="0.25">
      <c r="A17" s="89" t="b">
        <v>0</v>
      </c>
      <c r="B17" s="109" t="s">
        <v>415</v>
      </c>
      <c r="C17" s="49" t="str">
        <f t="shared" si="0"/>
        <v>F_12_12</v>
      </c>
      <c r="D17" s="51"/>
      <c r="E17" s="88"/>
      <c r="F17" s="88"/>
      <c r="G17" s="88"/>
      <c r="H17" s="88"/>
      <c r="I17" s="88"/>
      <c r="J17" s="91"/>
      <c r="K17" s="49" t="str">
        <f>_xlfn.XLOOKUP(J17,Tab_Def_Processes[Name(EN)],Tab_Def_Processes[Process_ID],,0,)</f>
        <v>12__</v>
      </c>
      <c r="L17" s="51"/>
      <c r="M17" s="61" t="str">
        <f>_xlfn.XLOOKUP(L17,Tab_Def_Processes[Name(EN)],Tab_Def_Processes[Process_ID],,0,)</f>
        <v>12__</v>
      </c>
      <c r="N17" s="51"/>
      <c r="O17" s="91"/>
      <c r="P17" s="51"/>
      <c r="Q17" s="95"/>
      <c r="R17" s="128"/>
      <c r="S17" s="130"/>
      <c r="T17" s="128"/>
      <c r="U17" s="130"/>
      <c r="V17" s="128"/>
      <c r="W17" s="130"/>
      <c r="X17" s="131">
        <f>Tab_Def_Flows[[#This Row],[CC_DM'[%']]]*Tab_Def_Flows[[#This Row],[DM]]</f>
        <v>0</v>
      </c>
      <c r="Y17" s="51"/>
    </row>
    <row r="18" spans="1:25" x14ac:dyDescent="0.25">
      <c r="A18" s="89" t="b">
        <v>0</v>
      </c>
      <c r="B18" s="109" t="s">
        <v>416</v>
      </c>
      <c r="C18" s="49" t="str">
        <f t="shared" si="0"/>
        <v>F_12_12</v>
      </c>
      <c r="D18" s="51"/>
      <c r="E18" s="88"/>
      <c r="F18" s="88"/>
      <c r="G18" s="88"/>
      <c r="H18" s="88"/>
      <c r="I18" s="88"/>
      <c r="J18" s="91"/>
      <c r="K18" s="49" t="str">
        <f>_xlfn.XLOOKUP(J18,Tab_Def_Processes[Name(EN)],Tab_Def_Processes[Process_ID],,0,)</f>
        <v>12__</v>
      </c>
      <c r="L18" s="51"/>
      <c r="M18" s="61" t="str">
        <f>_xlfn.XLOOKUP(L18,Tab_Def_Processes[Name(EN)],Tab_Def_Processes[Process_ID],,0,)</f>
        <v>12__</v>
      </c>
      <c r="N18" s="51"/>
      <c r="O18" s="91"/>
      <c r="P18" s="51"/>
      <c r="Q18" s="95"/>
      <c r="R18" s="128"/>
      <c r="S18" s="130"/>
      <c r="T18" s="128"/>
      <c r="U18" s="130"/>
      <c r="V18" s="128"/>
      <c r="W18" s="130"/>
      <c r="X18" s="131">
        <f>Tab_Def_Flows[[#This Row],[CC_DM'[%']]]*Tab_Def_Flows[[#This Row],[DM]]</f>
        <v>0</v>
      </c>
      <c r="Y18" s="51"/>
    </row>
    <row r="19" spans="1:25" x14ac:dyDescent="0.25">
      <c r="A19" s="89" t="b">
        <v>0</v>
      </c>
      <c r="B19" s="109" t="s">
        <v>417</v>
      </c>
      <c r="C19" s="49" t="str">
        <f t="shared" si="0"/>
        <v>F_12_12</v>
      </c>
      <c r="D19" s="51"/>
      <c r="E19" s="88"/>
      <c r="F19" s="88"/>
      <c r="G19" s="88"/>
      <c r="H19" s="88"/>
      <c r="I19" s="88"/>
      <c r="J19" s="91"/>
      <c r="K19" s="49" t="str">
        <f>_xlfn.XLOOKUP(J19,Tab_Def_Processes[Name(EN)],Tab_Def_Processes[Process_ID],,0,)</f>
        <v>12__</v>
      </c>
      <c r="L19" s="51"/>
      <c r="M19" s="61" t="str">
        <f>_xlfn.XLOOKUP(L19,Tab_Def_Processes[Name(EN)],Tab_Def_Processes[Process_ID],,0,)</f>
        <v>12__</v>
      </c>
      <c r="N19" s="51"/>
      <c r="O19" s="91"/>
      <c r="P19" s="51"/>
      <c r="Q19" s="95"/>
      <c r="R19" s="128"/>
      <c r="S19" s="130"/>
      <c r="T19" s="128"/>
      <c r="U19" s="130"/>
      <c r="V19" s="128"/>
      <c r="W19" s="130"/>
      <c r="X19" s="131">
        <f>Tab_Def_Flows[[#This Row],[CC_DM'[%']]]*Tab_Def_Flows[[#This Row],[DM]]</f>
        <v>0</v>
      </c>
      <c r="Y19" s="51"/>
    </row>
    <row r="20" spans="1:25" x14ac:dyDescent="0.25">
      <c r="A20" s="89" t="b">
        <v>0</v>
      </c>
      <c r="B20" s="109" t="s">
        <v>418</v>
      </c>
      <c r="C20" s="49" t="str">
        <f t="shared" si="0"/>
        <v>F_12_12</v>
      </c>
      <c r="D20" s="51"/>
      <c r="E20" s="88"/>
      <c r="F20" s="88"/>
      <c r="G20" s="88"/>
      <c r="H20" s="88"/>
      <c r="I20" s="88"/>
      <c r="J20" s="91"/>
      <c r="K20" s="49" t="str">
        <f>_xlfn.XLOOKUP(J20,Tab_Def_Processes[Name(EN)],Tab_Def_Processes[Process_ID],,0,)</f>
        <v>12__</v>
      </c>
      <c r="L20" s="51"/>
      <c r="M20" s="61" t="str">
        <f>_xlfn.XLOOKUP(L20,Tab_Def_Processes[Name(EN)],Tab_Def_Processes[Process_ID],,0,)</f>
        <v>12__</v>
      </c>
      <c r="N20" s="51"/>
      <c r="O20" s="91"/>
      <c r="P20" s="51"/>
      <c r="Q20" s="95"/>
      <c r="R20" s="128"/>
      <c r="S20" s="130"/>
      <c r="T20" s="128"/>
      <c r="U20" s="130"/>
      <c r="V20" s="128"/>
      <c r="W20" s="130"/>
      <c r="X20" s="131">
        <f>Tab_Def_Flows[[#This Row],[CC_DM'[%']]]*Tab_Def_Flows[[#This Row],[DM]]</f>
        <v>0</v>
      </c>
      <c r="Y20" s="51"/>
    </row>
    <row r="21" spans="1:25" x14ac:dyDescent="0.25">
      <c r="A21" s="89" t="b">
        <v>0</v>
      </c>
      <c r="B21" s="109" t="s">
        <v>419</v>
      </c>
      <c r="C21" s="49" t="str">
        <f t="shared" si="0"/>
        <v>F_12_12</v>
      </c>
      <c r="D21" s="51"/>
      <c r="E21" s="88"/>
      <c r="F21" s="88"/>
      <c r="G21" s="88"/>
      <c r="H21" s="88"/>
      <c r="I21" s="88"/>
      <c r="J21" s="91"/>
      <c r="K21" s="49" t="str">
        <f>_xlfn.XLOOKUP(J21,Tab_Def_Processes[Name(EN)],Tab_Def_Processes[Process_ID],,0,)</f>
        <v>12__</v>
      </c>
      <c r="L21" s="51"/>
      <c r="M21" s="61" t="str">
        <f>_xlfn.XLOOKUP(L21,Tab_Def_Processes[Name(EN)],Tab_Def_Processes[Process_ID],,0,)</f>
        <v>12__</v>
      </c>
      <c r="N21" s="51"/>
      <c r="O21" s="91"/>
      <c r="P21" s="51"/>
      <c r="Q21" s="95"/>
      <c r="R21" s="128"/>
      <c r="S21" s="130"/>
      <c r="T21" s="128"/>
      <c r="U21" s="130"/>
      <c r="V21" s="128"/>
      <c r="W21" s="130"/>
      <c r="X21" s="131">
        <f>Tab_Def_Flows[[#This Row],[CC_DM'[%']]]*Tab_Def_Flows[[#This Row],[DM]]</f>
        <v>0</v>
      </c>
      <c r="Y21" s="51"/>
    </row>
    <row r="22" spans="1:25" x14ac:dyDescent="0.25">
      <c r="A22" s="89" t="b">
        <v>0</v>
      </c>
      <c r="B22" s="109" t="s">
        <v>420</v>
      </c>
      <c r="C22" s="49" t="str">
        <f t="shared" si="0"/>
        <v>F_12_12</v>
      </c>
      <c r="D22" s="51"/>
      <c r="E22" s="88"/>
      <c r="F22" s="88"/>
      <c r="G22" s="88"/>
      <c r="H22" s="88"/>
      <c r="I22" s="88"/>
      <c r="J22" s="91"/>
      <c r="K22" s="49" t="str">
        <f>_xlfn.XLOOKUP(J22,Tab_Def_Processes[Name(EN)],Tab_Def_Processes[Process_ID],,0,)</f>
        <v>12__</v>
      </c>
      <c r="L22" s="51"/>
      <c r="M22" s="61" t="str">
        <f>_xlfn.XLOOKUP(L22,Tab_Def_Processes[Name(EN)],Tab_Def_Processes[Process_ID],,0,)</f>
        <v>12__</v>
      </c>
      <c r="N22" s="51"/>
      <c r="O22" s="91"/>
      <c r="P22" s="51"/>
      <c r="Q22" s="95"/>
      <c r="R22" s="128"/>
      <c r="S22" s="130"/>
      <c r="T22" s="128"/>
      <c r="U22" s="130"/>
      <c r="V22" s="128"/>
      <c r="W22" s="130"/>
      <c r="X22" s="131">
        <f>Tab_Def_Flows[[#This Row],[CC_DM'[%']]]*Tab_Def_Flows[[#This Row],[DM]]</f>
        <v>0</v>
      </c>
      <c r="Y22" s="51"/>
    </row>
    <row r="23" spans="1:25" x14ac:dyDescent="0.25">
      <c r="A23" s="89" t="b">
        <v>0</v>
      </c>
      <c r="B23" s="109" t="s">
        <v>421</v>
      </c>
      <c r="C23" s="49" t="str">
        <f t="shared" si="0"/>
        <v>F_12_12</v>
      </c>
      <c r="D23" s="51"/>
      <c r="E23" s="88"/>
      <c r="F23" s="88"/>
      <c r="G23" s="88"/>
      <c r="H23" s="88"/>
      <c r="I23" s="88"/>
      <c r="J23" s="91"/>
      <c r="K23" s="49" t="str">
        <f>_xlfn.XLOOKUP(J23,Tab_Def_Processes[Name(EN)],Tab_Def_Processes[Process_ID],,0,)</f>
        <v>12__</v>
      </c>
      <c r="L23" s="51"/>
      <c r="M23" s="61" t="str">
        <f>_xlfn.XLOOKUP(L23,Tab_Def_Processes[Name(EN)],Tab_Def_Processes[Process_ID],,0,)</f>
        <v>12__</v>
      </c>
      <c r="N23" s="51"/>
      <c r="O23" s="91"/>
      <c r="P23" s="51"/>
      <c r="Q23" s="95"/>
      <c r="R23" s="128"/>
      <c r="S23" s="130"/>
      <c r="T23" s="128"/>
      <c r="U23" s="130"/>
      <c r="V23" s="128"/>
      <c r="W23" s="130"/>
      <c r="X23" s="131">
        <f>Tab_Def_Flows[[#This Row],[CC_DM'[%']]]*Tab_Def_Flows[[#This Row],[DM]]</f>
        <v>0</v>
      </c>
      <c r="Y23" s="51"/>
    </row>
    <row r="24" spans="1:25" x14ac:dyDescent="0.25">
      <c r="A24" s="89" t="b">
        <v>0</v>
      </c>
      <c r="B24" s="109" t="s">
        <v>422</v>
      </c>
      <c r="C24" s="49" t="str">
        <f t="shared" si="0"/>
        <v>F_12_12</v>
      </c>
      <c r="D24" s="51"/>
      <c r="E24" s="88"/>
      <c r="F24" s="88"/>
      <c r="G24" s="88"/>
      <c r="H24" s="88"/>
      <c r="I24" s="88"/>
      <c r="J24" s="91"/>
      <c r="K24" s="49" t="str">
        <f>_xlfn.XLOOKUP(J24,Tab_Def_Processes[Name(EN)],Tab_Def_Processes[Process_ID],,0,)</f>
        <v>12__</v>
      </c>
      <c r="L24" s="51"/>
      <c r="M24" s="61" t="str">
        <f>_xlfn.XLOOKUP(L24,Tab_Def_Processes[Name(EN)],Tab_Def_Processes[Process_ID],,0,)</f>
        <v>12__</v>
      </c>
      <c r="N24" s="51"/>
      <c r="O24" s="91"/>
      <c r="P24" s="51"/>
      <c r="Q24" s="95"/>
      <c r="R24" s="128"/>
      <c r="S24" s="130"/>
      <c r="T24" s="128"/>
      <c r="U24" s="130"/>
      <c r="V24" s="128"/>
      <c r="W24" s="130"/>
      <c r="X24" s="131">
        <f>Tab_Def_Flows[[#This Row],[CC_DM'[%']]]*Tab_Def_Flows[[#This Row],[DM]]</f>
        <v>0</v>
      </c>
      <c r="Y24" s="51"/>
    </row>
    <row r="25" spans="1:25" x14ac:dyDescent="0.25">
      <c r="A25" s="89" t="b">
        <v>0</v>
      </c>
      <c r="B25" s="109" t="s">
        <v>423</v>
      </c>
      <c r="C25" s="49" t="str">
        <f t="shared" si="0"/>
        <v>F_12_12</v>
      </c>
      <c r="D25" s="51"/>
      <c r="E25" s="88"/>
      <c r="F25" s="88"/>
      <c r="G25" s="88"/>
      <c r="H25" s="88"/>
      <c r="I25" s="88"/>
      <c r="J25" s="91"/>
      <c r="K25" s="49" t="str">
        <f>_xlfn.XLOOKUP(J25,Tab_Def_Processes[Name(EN)],Tab_Def_Processes[Process_ID],,0,)</f>
        <v>12__</v>
      </c>
      <c r="L25" s="51"/>
      <c r="M25" s="61" t="str">
        <f>_xlfn.XLOOKUP(L25,Tab_Def_Processes[Name(EN)],Tab_Def_Processes[Process_ID],,0,)</f>
        <v>12__</v>
      </c>
      <c r="N25" s="51"/>
      <c r="O25" s="91"/>
      <c r="P25" s="51"/>
      <c r="Q25" s="95"/>
      <c r="R25" s="128"/>
      <c r="S25" s="130"/>
      <c r="T25" s="128"/>
      <c r="U25" s="130"/>
      <c r="V25" s="128"/>
      <c r="W25" s="130"/>
      <c r="X25" s="131">
        <f>Tab_Def_Flows[[#This Row],[CC_DM'[%']]]*Tab_Def_Flows[[#This Row],[DM]]</f>
        <v>0</v>
      </c>
      <c r="Y25" s="51"/>
    </row>
    <row r="26" spans="1:25" x14ac:dyDescent="0.25">
      <c r="A26" s="89" t="b">
        <v>0</v>
      </c>
      <c r="B26" s="109" t="s">
        <v>424</v>
      </c>
      <c r="C26" s="49" t="str">
        <f t="shared" si="0"/>
        <v>F_12_12</v>
      </c>
      <c r="D26" s="51"/>
      <c r="E26" s="88"/>
      <c r="F26" s="88"/>
      <c r="G26" s="88"/>
      <c r="H26" s="88"/>
      <c r="I26" s="88"/>
      <c r="J26" s="91"/>
      <c r="K26" s="49" t="str">
        <f>_xlfn.XLOOKUP(J26,Tab_Def_Processes[Name(EN)],Tab_Def_Processes[Process_ID],,0,)</f>
        <v>12__</v>
      </c>
      <c r="L26" s="51"/>
      <c r="M26" s="61" t="str">
        <f>_xlfn.XLOOKUP(L26,Tab_Def_Processes[Name(EN)],Tab_Def_Processes[Process_ID],,0,)</f>
        <v>12__</v>
      </c>
      <c r="N26" s="51"/>
      <c r="O26" s="91"/>
      <c r="P26" s="51"/>
      <c r="Q26" s="95"/>
      <c r="R26" s="128"/>
      <c r="S26" s="130"/>
      <c r="T26" s="128"/>
      <c r="U26" s="130"/>
      <c r="V26" s="128"/>
      <c r="W26" s="130"/>
      <c r="X26" s="131">
        <f>Tab_Def_Flows[[#This Row],[CC_DM'[%']]]*Tab_Def_Flows[[#This Row],[DM]]</f>
        <v>0</v>
      </c>
      <c r="Y26" s="51"/>
    </row>
    <row r="27" spans="1:25" x14ac:dyDescent="0.25">
      <c r="A27" s="89" t="b">
        <v>0</v>
      </c>
      <c r="B27" s="109" t="s">
        <v>425</v>
      </c>
      <c r="C27" s="49" t="str">
        <f t="shared" si="0"/>
        <v>F_12_12</v>
      </c>
      <c r="D27" s="51"/>
      <c r="E27" s="88"/>
      <c r="F27" s="88"/>
      <c r="G27" s="88"/>
      <c r="H27" s="88"/>
      <c r="I27" s="88"/>
      <c r="J27" s="91"/>
      <c r="K27" s="49" t="str">
        <f>_xlfn.XLOOKUP(J27,Tab_Def_Processes[Name(EN)],Tab_Def_Processes[Process_ID],,0,)</f>
        <v>12__</v>
      </c>
      <c r="L27" s="51"/>
      <c r="M27" s="61" t="str">
        <f>_xlfn.XLOOKUP(L27,Tab_Def_Processes[Name(EN)],Tab_Def_Processes[Process_ID],,0,)</f>
        <v>12__</v>
      </c>
      <c r="N27" s="51"/>
      <c r="O27" s="91"/>
      <c r="P27" s="51"/>
      <c r="Q27" s="95"/>
      <c r="R27" s="128"/>
      <c r="S27" s="130"/>
      <c r="T27" s="128"/>
      <c r="U27" s="130"/>
      <c r="V27" s="128"/>
      <c r="W27" s="130"/>
      <c r="X27" s="131">
        <f>Tab_Def_Flows[[#This Row],[CC_DM'[%']]]*Tab_Def_Flows[[#This Row],[DM]]</f>
        <v>0</v>
      </c>
      <c r="Y27" s="51"/>
    </row>
    <row r="28" spans="1:25" x14ac:dyDescent="0.25">
      <c r="A28" s="89" t="b">
        <v>0</v>
      </c>
      <c r="B28" s="109" t="s">
        <v>426</v>
      </c>
      <c r="C28" s="49" t="str">
        <f t="shared" si="0"/>
        <v>F_12_12</v>
      </c>
      <c r="D28" s="51"/>
      <c r="E28" s="88"/>
      <c r="F28" s="88"/>
      <c r="G28" s="88"/>
      <c r="H28" s="88"/>
      <c r="I28" s="88"/>
      <c r="J28" s="91"/>
      <c r="K28" s="49" t="str">
        <f>_xlfn.XLOOKUP(J28,Tab_Def_Processes[Name(EN)],Tab_Def_Processes[Process_ID],,0,)</f>
        <v>12__</v>
      </c>
      <c r="L28" s="51"/>
      <c r="M28" s="61" t="str">
        <f>_xlfn.XLOOKUP(L28,Tab_Def_Processes[Name(EN)],Tab_Def_Processes[Process_ID],,0,)</f>
        <v>12__</v>
      </c>
      <c r="N28" s="51"/>
      <c r="O28" s="91"/>
      <c r="P28" s="51"/>
      <c r="Q28" s="95"/>
      <c r="R28" s="128"/>
      <c r="S28" s="130"/>
      <c r="T28" s="128"/>
      <c r="U28" s="130"/>
      <c r="V28" s="128"/>
      <c r="W28" s="130"/>
      <c r="X28" s="131">
        <f>Tab_Def_Flows[[#This Row],[CC_DM'[%']]]*Tab_Def_Flows[[#This Row],[DM]]</f>
        <v>0</v>
      </c>
      <c r="Y28" s="51"/>
    </row>
    <row r="29" spans="1:25" x14ac:dyDescent="0.25">
      <c r="A29" s="89" t="b">
        <v>0</v>
      </c>
      <c r="B29" s="109" t="s">
        <v>427</v>
      </c>
      <c r="C29" s="49" t="str">
        <f t="shared" si="0"/>
        <v>F_12_12</v>
      </c>
      <c r="D29" s="51"/>
      <c r="E29" s="88"/>
      <c r="F29" s="88"/>
      <c r="G29" s="88"/>
      <c r="H29" s="88"/>
      <c r="I29" s="88"/>
      <c r="J29" s="91"/>
      <c r="K29" s="49" t="str">
        <f>_xlfn.XLOOKUP(J29,Tab_Def_Processes[Name(EN)],Tab_Def_Processes[Process_ID],,0,)</f>
        <v>12__</v>
      </c>
      <c r="L29" s="51"/>
      <c r="M29" s="61" t="str">
        <f>_xlfn.XLOOKUP(L29,Tab_Def_Processes[Name(EN)],Tab_Def_Processes[Process_ID],,0,)</f>
        <v>12__</v>
      </c>
      <c r="N29" s="51"/>
      <c r="O29" s="91"/>
      <c r="P29" s="51"/>
      <c r="Q29" s="95"/>
      <c r="R29" s="128"/>
      <c r="S29" s="130"/>
      <c r="T29" s="128"/>
      <c r="U29" s="130"/>
      <c r="V29" s="128"/>
      <c r="W29" s="130"/>
      <c r="X29" s="131">
        <f>Tab_Def_Flows[[#This Row],[CC_DM'[%']]]*Tab_Def_Flows[[#This Row],[DM]]</f>
        <v>0</v>
      </c>
      <c r="Y29" s="51"/>
    </row>
    <row r="30" spans="1:25" x14ac:dyDescent="0.25">
      <c r="A30" s="89" t="b">
        <v>0</v>
      </c>
      <c r="B30" s="109" t="s">
        <v>428</v>
      </c>
      <c r="C30" s="49" t="str">
        <f t="shared" si="0"/>
        <v>F_12_12</v>
      </c>
      <c r="D30" s="51"/>
      <c r="E30" s="88"/>
      <c r="F30" s="88"/>
      <c r="G30" s="88"/>
      <c r="H30" s="88"/>
      <c r="I30" s="88"/>
      <c r="J30" s="91"/>
      <c r="K30" s="49" t="str">
        <f>_xlfn.XLOOKUP(J30,Tab_Def_Processes[Name(EN)],Tab_Def_Processes[Process_ID],,0,)</f>
        <v>12__</v>
      </c>
      <c r="L30" s="51"/>
      <c r="M30" s="61" t="str">
        <f>_xlfn.XLOOKUP(L30,Tab_Def_Processes[Name(EN)],Tab_Def_Processes[Process_ID],,0,)</f>
        <v>12__</v>
      </c>
      <c r="N30" s="51"/>
      <c r="O30" s="91"/>
      <c r="P30" s="51"/>
      <c r="Q30" s="95"/>
      <c r="R30" s="102"/>
      <c r="S30" s="130"/>
      <c r="T30" s="128"/>
      <c r="U30" s="130"/>
      <c r="V30" s="128"/>
      <c r="W30" s="130"/>
      <c r="X30" s="131">
        <f>Tab_Def_Flows[[#This Row],[CC_DM'[%']]]*Tab_Def_Flows[[#This Row],[DM]]</f>
        <v>0</v>
      </c>
      <c r="Y30" s="51"/>
    </row>
    <row r="31" spans="1:25" x14ac:dyDescent="0.25">
      <c r="A31" s="89" t="b">
        <v>0</v>
      </c>
      <c r="B31" s="109" t="s">
        <v>429</v>
      </c>
      <c r="C31" s="49" t="str">
        <f t="shared" si="0"/>
        <v>F_12_12</v>
      </c>
      <c r="D31" s="51"/>
      <c r="E31" s="88"/>
      <c r="F31" s="88"/>
      <c r="G31" s="88"/>
      <c r="H31" s="88"/>
      <c r="I31" s="88"/>
      <c r="J31" s="91"/>
      <c r="K31" s="49" t="str">
        <f>_xlfn.XLOOKUP(J31,Tab_Def_Processes[Name(EN)],Tab_Def_Processes[Process_ID],,0,)</f>
        <v>12__</v>
      </c>
      <c r="L31" s="51"/>
      <c r="M31" s="61" t="str">
        <f>_xlfn.XLOOKUP(L31,Tab_Def_Processes[Name(EN)],Tab_Def_Processes[Process_ID],,0,)</f>
        <v>12__</v>
      </c>
      <c r="N31" s="51"/>
      <c r="O31" s="91"/>
      <c r="P31" s="51"/>
      <c r="Q31" s="95"/>
      <c r="R31" s="102"/>
      <c r="S31" s="95"/>
      <c r="T31" s="102"/>
      <c r="U31" s="95"/>
      <c r="V31" s="102"/>
      <c r="W31" s="95"/>
      <c r="X31" s="131">
        <f>Tab_Def_Flows[[#This Row],[CC_DM'[%']]]*Tab_Def_Flows[[#This Row],[DM]]</f>
        <v>0</v>
      </c>
      <c r="Y31" s="51"/>
    </row>
    <row r="32" spans="1:25" x14ac:dyDescent="0.25">
      <c r="A32" s="89" t="b">
        <v>0</v>
      </c>
      <c r="B32" s="109" t="s">
        <v>430</v>
      </c>
      <c r="C32" s="49" t="str">
        <f t="shared" si="0"/>
        <v>F_12_12</v>
      </c>
      <c r="D32" s="51"/>
      <c r="E32" s="88"/>
      <c r="F32" s="88"/>
      <c r="G32" s="88"/>
      <c r="H32" s="88"/>
      <c r="I32" s="88"/>
      <c r="J32" s="91"/>
      <c r="K32" s="49" t="str">
        <f>_xlfn.XLOOKUP(J32,Tab_Def_Processes[Name(EN)],Tab_Def_Processes[Process_ID],,0,)</f>
        <v>12__</v>
      </c>
      <c r="L32" s="51"/>
      <c r="M32" s="61" t="str">
        <f>_xlfn.XLOOKUP(L32,Tab_Def_Processes[Name(EN)],Tab_Def_Processes[Process_ID],,0,)</f>
        <v>12__</v>
      </c>
      <c r="N32" s="51"/>
      <c r="O32" s="91"/>
      <c r="P32" s="51"/>
      <c r="Q32" s="95"/>
      <c r="R32" s="102"/>
      <c r="S32" s="95"/>
      <c r="T32" s="102"/>
      <c r="U32" s="95"/>
      <c r="V32" s="102"/>
      <c r="W32" s="95"/>
      <c r="X32" s="131">
        <f>Tab_Def_Flows[[#This Row],[CC_DM'[%']]]*Tab_Def_Flows[[#This Row],[DM]]</f>
        <v>0</v>
      </c>
      <c r="Y32" s="51"/>
    </row>
    <row r="33" spans="1:25" x14ac:dyDescent="0.25">
      <c r="A33" s="89" t="b">
        <v>0</v>
      </c>
      <c r="B33" s="109" t="s">
        <v>431</v>
      </c>
      <c r="C33" s="49" t="str">
        <f t="shared" si="0"/>
        <v>F_12_12</v>
      </c>
      <c r="D33" s="51"/>
      <c r="E33" s="88"/>
      <c r="F33" s="88"/>
      <c r="G33" s="88"/>
      <c r="H33" s="88"/>
      <c r="I33" s="88"/>
      <c r="J33" s="91"/>
      <c r="K33" s="49" t="str">
        <f>_xlfn.XLOOKUP(J33,Tab_Def_Processes[Name(EN)],Tab_Def_Processes[Process_ID],,0,)</f>
        <v>12__</v>
      </c>
      <c r="L33" s="51"/>
      <c r="M33" s="61" t="str">
        <f>_xlfn.XLOOKUP(L33,Tab_Def_Processes[Name(EN)],Tab_Def_Processes[Process_ID],,0,)</f>
        <v>12__</v>
      </c>
      <c r="N33" s="51"/>
      <c r="O33" s="91"/>
      <c r="P33" s="51"/>
      <c r="Q33" s="95"/>
      <c r="R33" s="102"/>
      <c r="S33" s="95"/>
      <c r="T33" s="102"/>
      <c r="U33" s="95"/>
      <c r="V33" s="102"/>
      <c r="W33" s="95"/>
      <c r="X33" s="131">
        <f>Tab_Def_Flows[[#This Row],[CC_DM'[%']]]*Tab_Def_Flows[[#This Row],[DM]]</f>
        <v>0</v>
      </c>
      <c r="Y33" s="51"/>
    </row>
    <row r="34" spans="1:25" x14ac:dyDescent="0.25">
      <c r="A34" s="89" t="b">
        <v>0</v>
      </c>
      <c r="B34" s="109" t="s">
        <v>432</v>
      </c>
      <c r="C34" s="49" t="str">
        <f t="shared" si="0"/>
        <v>F_12_12</v>
      </c>
      <c r="D34" s="51"/>
      <c r="E34" s="88"/>
      <c r="F34" s="88"/>
      <c r="G34" s="88"/>
      <c r="H34" s="88"/>
      <c r="I34" s="88"/>
      <c r="J34" s="91"/>
      <c r="K34" s="49" t="str">
        <f>_xlfn.XLOOKUP(J34,Tab_Def_Processes[Name(EN)],Tab_Def_Processes[Process_ID],,0,)</f>
        <v>12__</v>
      </c>
      <c r="L34" s="51"/>
      <c r="M34" s="61" t="str">
        <f>_xlfn.XLOOKUP(L34,Tab_Def_Processes[Name(EN)],Tab_Def_Processes[Process_ID],,0,)</f>
        <v>12__</v>
      </c>
      <c r="N34" s="51"/>
      <c r="O34" s="91"/>
      <c r="P34" s="51"/>
      <c r="Q34" s="95"/>
      <c r="R34" s="102"/>
      <c r="S34" s="95"/>
      <c r="T34" s="102"/>
      <c r="U34" s="95"/>
      <c r="V34" s="102"/>
      <c r="W34" s="95"/>
      <c r="X34" s="131">
        <f>Tab_Def_Flows[[#This Row],[CC_DM'[%']]]*Tab_Def_Flows[[#This Row],[DM]]</f>
        <v>0</v>
      </c>
      <c r="Y34" s="51"/>
    </row>
    <row r="35" spans="1:25" x14ac:dyDescent="0.25">
      <c r="A35" s="89" t="b">
        <v>0</v>
      </c>
      <c r="B35" s="109" t="s">
        <v>433</v>
      </c>
      <c r="C35" s="49" t="str">
        <f t="shared" si="0"/>
        <v>F_12_12</v>
      </c>
      <c r="D35" s="51"/>
      <c r="E35" s="88"/>
      <c r="F35" s="88"/>
      <c r="G35" s="88"/>
      <c r="H35" s="88"/>
      <c r="I35" s="88"/>
      <c r="J35" s="91"/>
      <c r="K35" s="49" t="str">
        <f>_xlfn.XLOOKUP(J35,Tab_Def_Processes[Name(EN)],Tab_Def_Processes[Process_ID],,0,)</f>
        <v>12__</v>
      </c>
      <c r="L35" s="51"/>
      <c r="M35" s="61" t="str">
        <f>_xlfn.XLOOKUP(L35,Tab_Def_Processes[Name(EN)],Tab_Def_Processes[Process_ID],,0,)</f>
        <v>12__</v>
      </c>
      <c r="N35" s="51"/>
      <c r="O35" s="91"/>
      <c r="P35" s="51"/>
      <c r="Q35" s="95"/>
      <c r="R35" s="102"/>
      <c r="S35" s="95"/>
      <c r="T35" s="102"/>
      <c r="U35" s="95"/>
      <c r="V35" s="102"/>
      <c r="W35" s="95"/>
      <c r="X35" s="131">
        <f>Tab_Def_Flows[[#This Row],[CC_DM'[%']]]*Tab_Def_Flows[[#This Row],[DM]]</f>
        <v>0</v>
      </c>
      <c r="Y35" s="51"/>
    </row>
    <row r="36" spans="1:25" x14ac:dyDescent="0.25">
      <c r="A36" s="89" t="b">
        <v>0</v>
      </c>
      <c r="B36" s="109" t="s">
        <v>434</v>
      </c>
      <c r="C36" s="49" t="str">
        <f t="shared" si="0"/>
        <v>F_12_12</v>
      </c>
      <c r="D36" s="51"/>
      <c r="E36" s="88"/>
      <c r="F36" s="88"/>
      <c r="G36" s="88"/>
      <c r="H36" s="88"/>
      <c r="I36" s="88"/>
      <c r="J36" s="91"/>
      <c r="K36" s="49" t="str">
        <f>_xlfn.XLOOKUP(J36,Tab_Def_Processes[Name(EN)],Tab_Def_Processes[Process_ID],,0,)</f>
        <v>12__</v>
      </c>
      <c r="L36" s="51"/>
      <c r="M36" s="61" t="str">
        <f>_xlfn.XLOOKUP(L36,Tab_Def_Processes[Name(EN)],Tab_Def_Processes[Process_ID],,0,)</f>
        <v>12__</v>
      </c>
      <c r="N36" s="51"/>
      <c r="O36" s="91"/>
      <c r="P36" s="51"/>
      <c r="Q36" s="95"/>
      <c r="R36" s="102"/>
      <c r="S36" s="95"/>
      <c r="T36" s="102"/>
      <c r="U36" s="95"/>
      <c r="V36" s="102"/>
      <c r="W36" s="95"/>
      <c r="X36" s="131">
        <f>Tab_Def_Flows[[#This Row],[CC_DM'[%']]]*Tab_Def_Flows[[#This Row],[DM]]</f>
        <v>0</v>
      </c>
      <c r="Y36" s="51"/>
    </row>
    <row r="37" spans="1:25" x14ac:dyDescent="0.25">
      <c r="A37" s="89" t="b">
        <v>0</v>
      </c>
      <c r="B37" s="109" t="s">
        <v>435</v>
      </c>
      <c r="C37" s="49" t="str">
        <f t="shared" si="0"/>
        <v>F_12_12</v>
      </c>
      <c r="D37" s="51"/>
      <c r="E37" s="88"/>
      <c r="F37" s="88"/>
      <c r="G37" s="88"/>
      <c r="H37" s="88"/>
      <c r="I37" s="88"/>
      <c r="J37" s="91"/>
      <c r="K37" s="49" t="str">
        <f>_xlfn.XLOOKUP(J37,Tab_Def_Processes[Name(EN)],Tab_Def_Processes[Process_ID],,0,)</f>
        <v>12__</v>
      </c>
      <c r="L37" s="51"/>
      <c r="M37" s="61" t="str">
        <f>_xlfn.XLOOKUP(L37,Tab_Def_Processes[Name(EN)],Tab_Def_Processes[Process_ID],,0,)</f>
        <v>12__</v>
      </c>
      <c r="N37" s="51"/>
      <c r="O37" s="91"/>
      <c r="P37" s="51"/>
      <c r="Q37" s="95"/>
      <c r="R37" s="102"/>
      <c r="S37" s="95"/>
      <c r="T37" s="102"/>
      <c r="U37" s="95"/>
      <c r="V37" s="102"/>
      <c r="W37" s="95"/>
      <c r="X37" s="131">
        <f>Tab_Def_Flows[[#This Row],[CC_DM'[%']]]*Tab_Def_Flows[[#This Row],[DM]]</f>
        <v>0</v>
      </c>
      <c r="Y37" s="51"/>
    </row>
    <row r="38" spans="1:25" x14ac:dyDescent="0.25">
      <c r="A38" s="89" t="b">
        <v>0</v>
      </c>
      <c r="B38" s="109" t="s">
        <v>436</v>
      </c>
      <c r="C38" s="49" t="str">
        <f t="shared" si="0"/>
        <v>F_12_12</v>
      </c>
      <c r="D38" s="51"/>
      <c r="E38" s="88"/>
      <c r="F38" s="88"/>
      <c r="G38" s="88"/>
      <c r="H38" s="88"/>
      <c r="I38" s="88"/>
      <c r="J38" s="91"/>
      <c r="K38" s="49" t="str">
        <f>_xlfn.XLOOKUP(J38,Tab_Def_Processes[Name(EN)],Tab_Def_Processes[Process_ID],,0,)</f>
        <v>12__</v>
      </c>
      <c r="L38" s="51"/>
      <c r="M38" s="61" t="str">
        <f>_xlfn.XLOOKUP(L38,Tab_Def_Processes[Name(EN)],Tab_Def_Processes[Process_ID],,0,)</f>
        <v>12__</v>
      </c>
      <c r="N38" s="51"/>
      <c r="O38" s="91"/>
      <c r="P38" s="51"/>
      <c r="Q38" s="95"/>
      <c r="R38" s="102"/>
      <c r="S38" s="95"/>
      <c r="T38" s="102"/>
      <c r="U38" s="95"/>
      <c r="V38" s="102"/>
      <c r="W38" s="95"/>
      <c r="X38" s="131">
        <f>Tab_Def_Flows[[#This Row],[CC_DM'[%']]]*Tab_Def_Flows[[#This Row],[DM]]</f>
        <v>0</v>
      </c>
      <c r="Y38" s="51"/>
    </row>
    <row r="39" spans="1:25" x14ac:dyDescent="0.25">
      <c r="A39" s="89" t="b">
        <v>0</v>
      </c>
      <c r="B39" s="109" t="s">
        <v>437</v>
      </c>
      <c r="C39" s="49" t="str">
        <f t="shared" si="0"/>
        <v>F_12_12</v>
      </c>
      <c r="D39" s="51"/>
      <c r="E39" s="88"/>
      <c r="F39" s="88"/>
      <c r="G39" s="88"/>
      <c r="H39" s="88"/>
      <c r="I39" s="88"/>
      <c r="J39" s="91"/>
      <c r="K39" s="49" t="str">
        <f>_xlfn.XLOOKUP(J39,Tab_Def_Processes[Name(EN)],Tab_Def_Processes[Process_ID],,0,)</f>
        <v>12__</v>
      </c>
      <c r="L39" s="51"/>
      <c r="M39" s="61" t="str">
        <f>_xlfn.XLOOKUP(L39,Tab_Def_Processes[Name(EN)],Tab_Def_Processes[Process_ID],,0,)</f>
        <v>12__</v>
      </c>
      <c r="N39" s="51"/>
      <c r="O39" s="91"/>
      <c r="P39" s="51"/>
      <c r="Q39" s="95"/>
      <c r="R39" s="102"/>
      <c r="S39" s="95"/>
      <c r="T39" s="102"/>
      <c r="U39" s="95"/>
      <c r="V39" s="102"/>
      <c r="W39" s="95"/>
      <c r="X39" s="131">
        <f>Tab_Def_Flows[[#This Row],[CC_DM'[%']]]*Tab_Def_Flows[[#This Row],[DM]]</f>
        <v>0</v>
      </c>
      <c r="Y39" s="51"/>
    </row>
    <row r="40" spans="1:25" x14ac:dyDescent="0.25">
      <c r="A40" s="89" t="b">
        <v>0</v>
      </c>
      <c r="B40" s="109" t="s">
        <v>438</v>
      </c>
      <c r="C40" s="49" t="str">
        <f t="shared" si="0"/>
        <v>F_12_12</v>
      </c>
      <c r="D40" s="51"/>
      <c r="E40" s="88"/>
      <c r="F40" s="88"/>
      <c r="G40" s="88"/>
      <c r="H40" s="88"/>
      <c r="I40" s="88"/>
      <c r="J40" s="91"/>
      <c r="K40" s="49" t="str">
        <f>_xlfn.XLOOKUP(J40,Tab_Def_Processes[Name(EN)],Tab_Def_Processes[Process_ID],,0,)</f>
        <v>12__</v>
      </c>
      <c r="L40" s="51"/>
      <c r="M40" s="61" t="str">
        <f>_xlfn.XLOOKUP(L40,Tab_Def_Processes[Name(EN)],Tab_Def_Processes[Process_ID],,0,)</f>
        <v>12__</v>
      </c>
      <c r="N40" s="51"/>
      <c r="O40" s="91"/>
      <c r="P40" s="51"/>
      <c r="Q40" s="95"/>
      <c r="R40" s="102"/>
      <c r="S40" s="95"/>
      <c r="T40" s="102"/>
      <c r="U40" s="95"/>
      <c r="V40" s="102"/>
      <c r="W40" s="95"/>
      <c r="X40" s="131">
        <f>Tab_Def_Flows[[#This Row],[CC_DM'[%']]]*Tab_Def_Flows[[#This Row],[DM]]</f>
        <v>0</v>
      </c>
      <c r="Y40" s="51"/>
    </row>
    <row r="41" spans="1:25" x14ac:dyDescent="0.25">
      <c r="A41" s="89" t="b">
        <v>0</v>
      </c>
      <c r="B41" s="109" t="s">
        <v>439</v>
      </c>
      <c r="C41" s="49" t="str">
        <f t="shared" si="0"/>
        <v>F_12_12</v>
      </c>
      <c r="D41" s="51"/>
      <c r="E41" s="88"/>
      <c r="F41" s="88"/>
      <c r="G41" s="88"/>
      <c r="H41" s="88"/>
      <c r="I41" s="88"/>
      <c r="J41" s="91"/>
      <c r="K41" s="49" t="str">
        <f>_xlfn.XLOOKUP(J41,Tab_Def_Processes[Name(EN)],Tab_Def_Processes[Process_ID],,0,)</f>
        <v>12__</v>
      </c>
      <c r="L41" s="51"/>
      <c r="M41" s="61" t="str">
        <f>_xlfn.XLOOKUP(L41,Tab_Def_Processes[Name(EN)],Tab_Def_Processes[Process_ID],,0,)</f>
        <v>12__</v>
      </c>
      <c r="N41" s="51"/>
      <c r="O41" s="91"/>
      <c r="P41" s="51"/>
      <c r="Q41" s="95"/>
      <c r="R41" s="102"/>
      <c r="S41" s="95"/>
      <c r="T41" s="102"/>
      <c r="U41" s="95"/>
      <c r="V41" s="102"/>
      <c r="W41" s="95"/>
      <c r="X41" s="131">
        <f>Tab_Def_Flows[[#This Row],[CC_DM'[%']]]*Tab_Def_Flows[[#This Row],[DM]]</f>
        <v>0</v>
      </c>
      <c r="Y41" s="51"/>
    </row>
    <row r="42" spans="1:25" x14ac:dyDescent="0.25">
      <c r="A42" s="89" t="b">
        <v>0</v>
      </c>
      <c r="B42" s="109" t="s">
        <v>440</v>
      </c>
      <c r="C42" s="49" t="str">
        <f t="shared" si="0"/>
        <v>F_12_12</v>
      </c>
      <c r="D42" s="51"/>
      <c r="E42" s="88"/>
      <c r="F42" s="88"/>
      <c r="G42" s="88"/>
      <c r="H42" s="88"/>
      <c r="I42" s="88"/>
      <c r="J42" s="91"/>
      <c r="K42" s="49" t="str">
        <f>_xlfn.XLOOKUP(J42,Tab_Def_Processes[Name(EN)],Tab_Def_Processes[Process_ID],,0,)</f>
        <v>12__</v>
      </c>
      <c r="L42" s="51"/>
      <c r="M42" s="61" t="str">
        <f>_xlfn.XLOOKUP(L42,Tab_Def_Processes[Name(EN)],Tab_Def_Processes[Process_ID],,0,)</f>
        <v>12__</v>
      </c>
      <c r="N42" s="51"/>
      <c r="O42" s="91"/>
      <c r="P42" s="51"/>
      <c r="Q42" s="95"/>
      <c r="R42" s="102"/>
      <c r="S42" s="95"/>
      <c r="T42" s="102"/>
      <c r="U42" s="95"/>
      <c r="V42" s="102"/>
      <c r="W42" s="95"/>
      <c r="X42" s="131">
        <f>Tab_Def_Flows[[#This Row],[CC_DM'[%']]]*Tab_Def_Flows[[#This Row],[DM]]</f>
        <v>0</v>
      </c>
      <c r="Y42" s="51"/>
    </row>
    <row r="43" spans="1:25" ht="15.75" customHeight="1" x14ac:dyDescent="0.25">
      <c r="A43" s="89" t="b">
        <v>0</v>
      </c>
      <c r="B43" s="109" t="s">
        <v>441</v>
      </c>
      <c r="C43" s="49" t="str">
        <f t="shared" si="0"/>
        <v>F_12_12</v>
      </c>
      <c r="D43" s="51"/>
      <c r="E43" s="88"/>
      <c r="F43" s="88"/>
      <c r="G43" s="88"/>
      <c r="H43" s="88"/>
      <c r="I43" s="88"/>
      <c r="J43" s="91"/>
      <c r="K43" s="49" t="str">
        <f>_xlfn.XLOOKUP(J43,Tab_Def_Processes[Name(EN)],Tab_Def_Processes[Process_ID],,0,)</f>
        <v>12__</v>
      </c>
      <c r="L43" s="51"/>
      <c r="M43" s="61" t="str">
        <f>_xlfn.XLOOKUP(L43,Tab_Def_Processes[Name(EN)],Tab_Def_Processes[Process_ID],,0,)</f>
        <v>12__</v>
      </c>
      <c r="N43" s="51"/>
      <c r="O43" s="91"/>
      <c r="P43" s="51"/>
      <c r="Q43" s="95"/>
      <c r="R43" s="102"/>
      <c r="S43" s="95"/>
      <c r="T43" s="102"/>
      <c r="U43" s="95"/>
      <c r="V43" s="102"/>
      <c r="W43" s="95"/>
      <c r="X43" s="131">
        <f>Tab_Def_Flows[[#This Row],[CC_DM'[%']]]*Tab_Def_Flows[[#This Row],[DM]]</f>
        <v>0</v>
      </c>
      <c r="Y43" s="51"/>
    </row>
    <row r="44" spans="1:25" x14ac:dyDescent="0.25">
      <c r="A44" s="89" t="b">
        <v>0</v>
      </c>
      <c r="B44" s="109" t="s">
        <v>442</v>
      </c>
      <c r="C44" s="49" t="str">
        <f t="shared" si="0"/>
        <v>F_12_12</v>
      </c>
      <c r="D44" s="51"/>
      <c r="E44" s="88"/>
      <c r="F44" s="88"/>
      <c r="G44" s="88"/>
      <c r="H44" s="88"/>
      <c r="I44" s="88"/>
      <c r="J44" s="91"/>
      <c r="K44" s="49" t="str">
        <f>_xlfn.XLOOKUP(J44,Tab_Def_Processes[Name(EN)],Tab_Def_Processes[Process_ID],,0,)</f>
        <v>12__</v>
      </c>
      <c r="L44" s="51"/>
      <c r="M44" s="61" t="str">
        <f>_xlfn.XLOOKUP(L44,Tab_Def_Processes[Name(EN)],Tab_Def_Processes[Process_ID],,0,)</f>
        <v>12__</v>
      </c>
      <c r="N44" s="51"/>
      <c r="O44" s="91"/>
      <c r="P44" s="51"/>
      <c r="Q44" s="95"/>
      <c r="R44" s="102"/>
      <c r="S44" s="95"/>
      <c r="T44" s="102"/>
      <c r="U44" s="95"/>
      <c r="V44" s="102"/>
      <c r="W44" s="95"/>
      <c r="X44" s="131">
        <f>Tab_Def_Flows[[#This Row],[CC_DM'[%']]]*Tab_Def_Flows[[#This Row],[DM]]</f>
        <v>0</v>
      </c>
      <c r="Y44" s="51"/>
    </row>
    <row r="45" spans="1:25" x14ac:dyDescent="0.25">
      <c r="A45" s="89" t="b">
        <v>0</v>
      </c>
      <c r="B45" s="109" t="s">
        <v>443</v>
      </c>
      <c r="C45" s="49" t="str">
        <f t="shared" si="0"/>
        <v>F_12_12</v>
      </c>
      <c r="D45" s="51"/>
      <c r="E45" s="88"/>
      <c r="F45" s="88"/>
      <c r="G45" s="88"/>
      <c r="H45" s="88"/>
      <c r="I45" s="88"/>
      <c r="J45" s="91"/>
      <c r="K45" s="49" t="str">
        <f>_xlfn.XLOOKUP(J45,Tab_Def_Processes[Name(EN)],Tab_Def_Processes[Process_ID],,0,)</f>
        <v>12__</v>
      </c>
      <c r="L45" s="51"/>
      <c r="M45" s="61" t="str">
        <f>_xlfn.XLOOKUP(L45,Tab_Def_Processes[Name(EN)],Tab_Def_Processes[Process_ID],,0,)</f>
        <v>12__</v>
      </c>
      <c r="N45" s="51"/>
      <c r="O45" s="91"/>
      <c r="P45" s="51"/>
      <c r="Q45" s="95"/>
      <c r="R45" s="102"/>
      <c r="S45" s="95"/>
      <c r="T45" s="102"/>
      <c r="U45" s="95"/>
      <c r="V45" s="102"/>
      <c r="W45" s="95"/>
      <c r="X45" s="131">
        <f>Tab_Def_Flows[[#This Row],[CC_DM'[%']]]*Tab_Def_Flows[[#This Row],[DM]]</f>
        <v>0</v>
      </c>
      <c r="Y45" s="51"/>
    </row>
    <row r="46" spans="1:25" x14ac:dyDescent="0.25">
      <c r="A46" s="89" t="b">
        <v>0</v>
      </c>
      <c r="B46" s="109" t="s">
        <v>444</v>
      </c>
      <c r="C46" s="49" t="str">
        <f t="shared" si="0"/>
        <v>F_12_12</v>
      </c>
      <c r="D46" s="51"/>
      <c r="E46" s="88"/>
      <c r="F46" s="88"/>
      <c r="G46" s="88"/>
      <c r="H46" s="88"/>
      <c r="I46" s="88"/>
      <c r="J46" s="91"/>
      <c r="K46" s="49" t="str">
        <f>_xlfn.XLOOKUP(J46,Tab_Def_Processes[Name(EN)],Tab_Def_Processes[Process_ID],,0,)</f>
        <v>12__</v>
      </c>
      <c r="L46" s="51"/>
      <c r="M46" s="61" t="str">
        <f>_xlfn.XLOOKUP(L46,Tab_Def_Processes[Name(EN)],Tab_Def_Processes[Process_ID],,0,)</f>
        <v>12__</v>
      </c>
      <c r="N46" s="51"/>
      <c r="O46" s="91"/>
      <c r="P46" s="51"/>
      <c r="Q46" s="95"/>
      <c r="R46" s="102"/>
      <c r="S46" s="95"/>
      <c r="T46" s="102"/>
      <c r="U46" s="95"/>
      <c r="V46" s="102"/>
      <c r="W46" s="95"/>
      <c r="X46" s="131">
        <f>Tab_Def_Flows[[#This Row],[CC_DM'[%']]]*Tab_Def_Flows[[#This Row],[DM]]</f>
        <v>0</v>
      </c>
      <c r="Y46" s="51"/>
    </row>
    <row r="47" spans="1:25" x14ac:dyDescent="0.25">
      <c r="A47" s="89" t="b">
        <v>0</v>
      </c>
      <c r="B47" s="109" t="s">
        <v>445</v>
      </c>
      <c r="C47" s="49" t="str">
        <f t="shared" si="0"/>
        <v>F_12_12</v>
      </c>
      <c r="D47" s="51"/>
      <c r="E47" s="88"/>
      <c r="F47" s="88"/>
      <c r="G47" s="88"/>
      <c r="H47" s="88"/>
      <c r="I47" s="88"/>
      <c r="J47" s="91"/>
      <c r="K47" s="49" t="str">
        <f>_xlfn.XLOOKUP(J47,Tab_Def_Processes[Name(EN)],Tab_Def_Processes[Process_ID],,0,)</f>
        <v>12__</v>
      </c>
      <c r="L47" s="51"/>
      <c r="M47" s="61" t="str">
        <f>_xlfn.XLOOKUP(L47,Tab_Def_Processes[Name(EN)],Tab_Def_Processes[Process_ID],,0,)</f>
        <v>12__</v>
      </c>
      <c r="N47" s="51"/>
      <c r="O47" s="91"/>
      <c r="P47" s="51"/>
      <c r="Q47" s="95"/>
      <c r="R47" s="102"/>
      <c r="S47" s="95"/>
      <c r="T47" s="102"/>
      <c r="U47" s="95"/>
      <c r="V47" s="102"/>
      <c r="W47" s="95"/>
      <c r="X47" s="131">
        <f>Tab_Def_Flows[[#This Row],[CC_DM'[%']]]*Tab_Def_Flows[[#This Row],[DM]]</f>
        <v>0</v>
      </c>
      <c r="Y47" s="51"/>
    </row>
    <row r="48" spans="1:25" x14ac:dyDescent="0.25">
      <c r="A48" s="89" t="b">
        <v>0</v>
      </c>
      <c r="B48" s="109" t="s">
        <v>446</v>
      </c>
      <c r="C48" s="49" t="str">
        <f t="shared" si="0"/>
        <v>F_12_12</v>
      </c>
      <c r="D48" s="51"/>
      <c r="E48" s="88"/>
      <c r="F48" s="88"/>
      <c r="G48" s="88"/>
      <c r="H48" s="88"/>
      <c r="I48" s="88"/>
      <c r="J48" s="91"/>
      <c r="K48" s="49" t="str">
        <f>_xlfn.XLOOKUP(J48,Tab_Def_Processes[Name(EN)],Tab_Def_Processes[Process_ID],,0,)</f>
        <v>12__</v>
      </c>
      <c r="L48" s="51"/>
      <c r="M48" s="61" t="str">
        <f>_xlfn.XLOOKUP(L48,Tab_Def_Processes[Name(EN)],Tab_Def_Processes[Process_ID],,0,)</f>
        <v>12__</v>
      </c>
      <c r="N48" s="51"/>
      <c r="O48" s="91"/>
      <c r="P48" s="51"/>
      <c r="Q48" s="95"/>
      <c r="R48" s="102"/>
      <c r="S48" s="95"/>
      <c r="T48" s="102"/>
      <c r="U48" s="95"/>
      <c r="V48" s="102"/>
      <c r="W48" s="95"/>
      <c r="X48" s="131">
        <f>Tab_Def_Flows[[#This Row],[CC_DM'[%']]]*Tab_Def_Flows[[#This Row],[DM]]</f>
        <v>0</v>
      </c>
      <c r="Y48" s="51"/>
    </row>
    <row r="49" spans="1:25" x14ac:dyDescent="0.25">
      <c r="A49" s="89" t="b">
        <v>0</v>
      </c>
      <c r="B49" s="109" t="s">
        <v>447</v>
      </c>
      <c r="C49" s="49" t="str">
        <f t="shared" si="0"/>
        <v>F_12_12</v>
      </c>
      <c r="D49" s="51"/>
      <c r="E49" s="88"/>
      <c r="F49" s="88"/>
      <c r="G49" s="88"/>
      <c r="H49" s="88"/>
      <c r="I49" s="88"/>
      <c r="J49" s="91"/>
      <c r="K49" s="49" t="str">
        <f>_xlfn.XLOOKUP(J49,Tab_Def_Processes[Name(EN)],Tab_Def_Processes[Process_ID],,0,)</f>
        <v>12__</v>
      </c>
      <c r="L49" s="51"/>
      <c r="M49" s="61" t="str">
        <f>_xlfn.XLOOKUP(L49,Tab_Def_Processes[Name(EN)],Tab_Def_Processes[Process_ID],,0,)</f>
        <v>12__</v>
      </c>
      <c r="N49" s="51"/>
      <c r="O49" s="91"/>
      <c r="P49" s="51"/>
      <c r="Q49" s="95"/>
      <c r="R49" s="102"/>
      <c r="S49" s="95"/>
      <c r="T49" s="102"/>
      <c r="U49" s="95"/>
      <c r="V49" s="102"/>
      <c r="W49" s="95"/>
      <c r="X49" s="131">
        <f>Tab_Def_Flows[[#This Row],[CC_DM'[%']]]*Tab_Def_Flows[[#This Row],[DM]]</f>
        <v>0</v>
      </c>
      <c r="Y49" s="51"/>
    </row>
    <row r="50" spans="1:25" x14ac:dyDescent="0.25">
      <c r="A50" s="89" t="b">
        <v>0</v>
      </c>
      <c r="B50" s="109" t="s">
        <v>448</v>
      </c>
      <c r="C50" s="49" t="str">
        <f t="shared" si="0"/>
        <v>F_12_12</v>
      </c>
      <c r="D50" s="51"/>
      <c r="E50" s="88"/>
      <c r="F50" s="88"/>
      <c r="G50" s="88"/>
      <c r="H50" s="88"/>
      <c r="I50" s="88"/>
      <c r="J50" s="91"/>
      <c r="K50" s="49" t="str">
        <f>_xlfn.XLOOKUP(J50,Tab_Def_Processes[Name(EN)],Tab_Def_Processes[Process_ID],,0,)</f>
        <v>12__</v>
      </c>
      <c r="L50" s="51"/>
      <c r="M50" s="61" t="str">
        <f>_xlfn.XLOOKUP(L50,Tab_Def_Processes[Name(EN)],Tab_Def_Processes[Process_ID],,0,)</f>
        <v>12__</v>
      </c>
      <c r="N50" s="51"/>
      <c r="O50" s="91"/>
      <c r="P50" s="51"/>
      <c r="Q50" s="95"/>
      <c r="R50" s="102"/>
      <c r="S50" s="95"/>
      <c r="T50" s="102"/>
      <c r="U50" s="95"/>
      <c r="V50" s="102"/>
      <c r="W50" s="95"/>
      <c r="X50" s="131">
        <f>Tab_Def_Flows[[#This Row],[CC_DM'[%']]]*Tab_Def_Flows[[#This Row],[DM]]</f>
        <v>0</v>
      </c>
      <c r="Y50" s="51"/>
    </row>
    <row r="51" spans="1:25" x14ac:dyDescent="0.25">
      <c r="A51" s="89" t="b">
        <v>0</v>
      </c>
      <c r="B51" s="109" t="s">
        <v>449</v>
      </c>
      <c r="C51" s="49" t="str">
        <f t="shared" si="0"/>
        <v>F_12_12</v>
      </c>
      <c r="D51" s="51"/>
      <c r="E51" s="88"/>
      <c r="F51" s="88"/>
      <c r="G51" s="88"/>
      <c r="H51" s="88"/>
      <c r="I51" s="88"/>
      <c r="J51" s="91"/>
      <c r="K51" s="49" t="str">
        <f>_xlfn.XLOOKUP(J51,Tab_Def_Processes[Name(EN)],Tab_Def_Processes[Process_ID],,0,)</f>
        <v>12__</v>
      </c>
      <c r="L51" s="51"/>
      <c r="M51" s="61" t="str">
        <f>_xlfn.XLOOKUP(L51,Tab_Def_Processes[Name(EN)],Tab_Def_Processes[Process_ID],,0,)</f>
        <v>12__</v>
      </c>
      <c r="N51" s="51"/>
      <c r="O51" s="91"/>
      <c r="P51" s="51"/>
      <c r="Q51" s="95"/>
      <c r="R51" s="102"/>
      <c r="S51" s="95"/>
      <c r="T51" s="102"/>
      <c r="U51" s="95"/>
      <c r="V51" s="102"/>
      <c r="W51" s="95"/>
      <c r="X51" s="131">
        <f>Tab_Def_Flows[[#This Row],[CC_DM'[%']]]*Tab_Def_Flows[[#This Row],[DM]]</f>
        <v>0</v>
      </c>
      <c r="Y51" s="51"/>
    </row>
    <row r="52" spans="1:25" ht="15" customHeight="1" x14ac:dyDescent="0.25">
      <c r="A52" s="89" t="b">
        <v>0</v>
      </c>
      <c r="B52" s="109" t="s">
        <v>450</v>
      </c>
      <c r="C52" s="49" t="str">
        <f t="shared" si="0"/>
        <v>F_12_12</v>
      </c>
      <c r="D52" s="51"/>
      <c r="E52" s="92"/>
      <c r="F52" s="92"/>
      <c r="G52" s="88"/>
      <c r="H52" s="88"/>
      <c r="I52" s="92"/>
      <c r="J52" s="91"/>
      <c r="K52" s="49" t="str">
        <f>_xlfn.XLOOKUP(J52,Tab_Def_Processes[Name(EN)],Tab_Def_Processes[Process_ID],,0,)</f>
        <v>12__</v>
      </c>
      <c r="L52" s="51"/>
      <c r="M52" s="61" t="str">
        <f>_xlfn.XLOOKUP(L52,Tab_Def_Processes[Name(EN)],Tab_Def_Processes[Process_ID],,0,)</f>
        <v>12__</v>
      </c>
      <c r="N52" s="51"/>
      <c r="O52" s="91"/>
      <c r="P52" s="51"/>
      <c r="Q52" s="95"/>
      <c r="R52" s="102"/>
      <c r="S52" s="95"/>
      <c r="T52" s="102"/>
      <c r="U52" s="95"/>
      <c r="V52" s="102"/>
      <c r="W52" s="95"/>
      <c r="X52" s="131">
        <f>Tab_Def_Flows[[#This Row],[CC_DM'[%']]]*Tab_Def_Flows[[#This Row],[DM]]</f>
        <v>0</v>
      </c>
      <c r="Y52" s="51"/>
    </row>
    <row r="53" spans="1:25" ht="15" customHeight="1" x14ac:dyDescent="0.25">
      <c r="A53" s="89" t="b">
        <v>0</v>
      </c>
      <c r="B53" s="109" t="s">
        <v>451</v>
      </c>
      <c r="C53" s="49" t="str">
        <f t="shared" si="0"/>
        <v>F_12_12</v>
      </c>
      <c r="D53" s="51"/>
      <c r="E53" s="92"/>
      <c r="F53" s="92"/>
      <c r="G53" s="88"/>
      <c r="H53" s="88"/>
      <c r="I53" s="92"/>
      <c r="J53" s="91"/>
      <c r="K53" s="49" t="str">
        <f>_xlfn.XLOOKUP(J53,Tab_Def_Processes[Name(EN)],Tab_Def_Processes[Process_ID],,0,)</f>
        <v>12__</v>
      </c>
      <c r="L53" s="51"/>
      <c r="M53" s="61" t="str">
        <f>_xlfn.XLOOKUP(L53,Tab_Def_Processes[Name(EN)],Tab_Def_Processes[Process_ID],,0,)</f>
        <v>12__</v>
      </c>
      <c r="N53" s="51"/>
      <c r="O53" s="91"/>
      <c r="P53" s="51"/>
      <c r="Q53" s="95"/>
      <c r="R53" s="102"/>
      <c r="S53" s="95"/>
      <c r="T53" s="102"/>
      <c r="U53" s="95"/>
      <c r="V53" s="102"/>
      <c r="W53" s="95"/>
      <c r="X53" s="131">
        <f>Tab_Def_Flows[[#This Row],[CC_DM'[%']]]*Tab_Def_Flows[[#This Row],[DM]]</f>
        <v>0</v>
      </c>
      <c r="Y53" s="51"/>
    </row>
    <row r="54" spans="1:25" ht="15" customHeight="1" x14ac:dyDescent="0.25">
      <c r="A54" s="89" t="b">
        <v>0</v>
      </c>
      <c r="B54" s="109" t="s">
        <v>452</v>
      </c>
      <c r="C54" s="49" t="str">
        <f t="shared" si="0"/>
        <v>F_12_12</v>
      </c>
      <c r="D54" s="51"/>
      <c r="E54" s="92"/>
      <c r="F54" s="92"/>
      <c r="G54" s="88"/>
      <c r="H54" s="88"/>
      <c r="I54" s="92"/>
      <c r="J54" s="91"/>
      <c r="K54" s="49" t="str">
        <f>_xlfn.XLOOKUP(J54,Tab_Def_Processes[Name(EN)],Tab_Def_Processes[Process_ID],,0,)</f>
        <v>12__</v>
      </c>
      <c r="L54" s="51"/>
      <c r="M54" s="61" t="str">
        <f>_xlfn.XLOOKUP(L54,Tab_Def_Processes[Name(EN)],Tab_Def_Processes[Process_ID],,0,)</f>
        <v>12__</v>
      </c>
      <c r="N54" s="51"/>
      <c r="O54" s="91"/>
      <c r="P54" s="51"/>
      <c r="Q54" s="95"/>
      <c r="R54" s="102"/>
      <c r="S54" s="95"/>
      <c r="T54" s="102"/>
      <c r="U54" s="95"/>
      <c r="V54" s="102"/>
      <c r="W54" s="95"/>
      <c r="X54" s="131">
        <f>Tab_Def_Flows[[#This Row],[CC_DM'[%']]]*Tab_Def_Flows[[#This Row],[DM]]</f>
        <v>0</v>
      </c>
      <c r="Y54" s="51"/>
    </row>
    <row r="55" spans="1:25" ht="15" customHeight="1" x14ac:dyDescent="0.25">
      <c r="A55" s="89" t="b">
        <v>0</v>
      </c>
      <c r="B55" s="109" t="s">
        <v>453</v>
      </c>
      <c r="C55" s="49" t="str">
        <f t="shared" si="0"/>
        <v>F_12_12</v>
      </c>
      <c r="D55" s="51"/>
      <c r="E55" s="92"/>
      <c r="F55" s="92"/>
      <c r="G55" s="88"/>
      <c r="H55" s="88"/>
      <c r="I55" s="92"/>
      <c r="J55" s="91"/>
      <c r="K55" s="49" t="str">
        <f>_xlfn.XLOOKUP(J55,Tab_Def_Processes[Name(EN)],Tab_Def_Processes[Process_ID],,0,)</f>
        <v>12__</v>
      </c>
      <c r="L55" s="51"/>
      <c r="M55" s="61" t="str">
        <f>_xlfn.XLOOKUP(L55,Tab_Def_Processes[Name(EN)],Tab_Def_Processes[Process_ID],,0,)</f>
        <v>12__</v>
      </c>
      <c r="N55" s="51"/>
      <c r="O55" s="91"/>
      <c r="P55" s="51"/>
      <c r="Q55" s="95"/>
      <c r="R55" s="102"/>
      <c r="S55" s="95"/>
      <c r="T55" s="102"/>
      <c r="U55" s="95"/>
      <c r="V55" s="102"/>
      <c r="W55" s="95"/>
      <c r="X55" s="131">
        <f>Tab_Def_Flows[[#This Row],[CC_DM'[%']]]*Tab_Def_Flows[[#This Row],[DM]]</f>
        <v>0</v>
      </c>
      <c r="Y55" s="51"/>
    </row>
    <row r="56" spans="1:25" ht="15" customHeight="1" x14ac:dyDescent="0.25">
      <c r="A56" s="89" t="b">
        <v>0</v>
      </c>
      <c r="B56" s="109" t="s">
        <v>454</v>
      </c>
      <c r="C56" s="49" t="str">
        <f t="shared" si="0"/>
        <v>F_12_12</v>
      </c>
      <c r="D56" s="51"/>
      <c r="E56" s="92"/>
      <c r="F56" s="88"/>
      <c r="G56" s="88"/>
      <c r="H56" s="88"/>
      <c r="I56" s="92"/>
      <c r="J56" s="91"/>
      <c r="K56" s="49" t="str">
        <f>_xlfn.XLOOKUP(J56,Tab_Def_Processes[Name(EN)],Tab_Def_Processes[Process_ID],,0,)</f>
        <v>12__</v>
      </c>
      <c r="L56" s="51"/>
      <c r="M56" s="61" t="str">
        <f>_xlfn.XLOOKUP(L56,Tab_Def_Processes[Name(EN)],Tab_Def_Processes[Process_ID],,0,)</f>
        <v>12__</v>
      </c>
      <c r="N56" s="51"/>
      <c r="O56" s="91"/>
      <c r="P56" s="51"/>
      <c r="Q56" s="95"/>
      <c r="R56" s="102"/>
      <c r="S56" s="95"/>
      <c r="T56" s="102"/>
      <c r="U56" s="95"/>
      <c r="V56" s="102"/>
      <c r="W56" s="95"/>
      <c r="X56" s="131">
        <f>Tab_Def_Flows[[#This Row],[CC_DM'[%']]]*Tab_Def_Flows[[#This Row],[DM]]</f>
        <v>0</v>
      </c>
      <c r="Y56" s="51"/>
    </row>
    <row r="57" spans="1:25" ht="15" customHeight="1" x14ac:dyDescent="0.25">
      <c r="A57" s="89" t="b">
        <v>0</v>
      </c>
      <c r="B57" s="109" t="s">
        <v>455</v>
      </c>
      <c r="C57" s="49" t="str">
        <f t="shared" si="0"/>
        <v>F_12_12</v>
      </c>
      <c r="D57" s="51"/>
      <c r="E57" s="92"/>
      <c r="F57" s="88"/>
      <c r="G57" s="88"/>
      <c r="H57" s="88"/>
      <c r="I57" s="92"/>
      <c r="J57" s="91"/>
      <c r="K57" s="49" t="str">
        <f>_xlfn.XLOOKUP(J57,Tab_Def_Processes[Name(EN)],Tab_Def_Processes[Process_ID],,0,)</f>
        <v>12__</v>
      </c>
      <c r="L57" s="51"/>
      <c r="M57" s="61" t="str">
        <f>_xlfn.XLOOKUP(L57,Tab_Def_Processes[Name(EN)],Tab_Def_Processes[Process_ID],,0,)</f>
        <v>12__</v>
      </c>
      <c r="N57" s="51"/>
      <c r="O57" s="91"/>
      <c r="P57" s="51"/>
      <c r="Q57" s="95"/>
      <c r="R57" s="102"/>
      <c r="S57" s="95"/>
      <c r="T57" s="102"/>
      <c r="U57" s="95"/>
      <c r="V57" s="102"/>
      <c r="W57" s="95"/>
      <c r="X57" s="131">
        <f>Tab_Def_Flows[[#This Row],[CC_DM'[%']]]*Tab_Def_Flows[[#This Row],[DM]]</f>
        <v>0</v>
      </c>
      <c r="Y57" s="51"/>
    </row>
    <row r="58" spans="1:25" ht="15" customHeight="1" x14ac:dyDescent="0.25">
      <c r="A58" s="89" t="b">
        <v>0</v>
      </c>
      <c r="B58" s="109" t="s">
        <v>459</v>
      </c>
      <c r="C58" s="49" t="str">
        <f t="shared" si="0"/>
        <v>F_12_12</v>
      </c>
      <c r="D58" s="51"/>
      <c r="E58" s="92"/>
      <c r="F58" s="88"/>
      <c r="G58" s="88"/>
      <c r="H58" s="88"/>
      <c r="I58" s="92"/>
      <c r="J58" s="91"/>
      <c r="K58" s="49" t="str">
        <f>_xlfn.XLOOKUP(J58,Tab_Def_Processes[Name(EN)],Tab_Def_Processes[Process_ID],,0,)</f>
        <v>12__</v>
      </c>
      <c r="L58" s="51"/>
      <c r="M58" s="61" t="str">
        <f>_xlfn.XLOOKUP(L58,Tab_Def_Processes[Name(EN)],Tab_Def_Processes[Process_ID],,0,)</f>
        <v>12__</v>
      </c>
      <c r="N58" s="51"/>
      <c r="O58" s="91"/>
      <c r="P58" s="51"/>
      <c r="Q58" s="95"/>
      <c r="R58" s="102"/>
      <c r="S58" s="95"/>
      <c r="T58" s="102"/>
      <c r="U58" s="95"/>
      <c r="V58" s="102"/>
      <c r="W58" s="95"/>
      <c r="X58" s="131">
        <f>Tab_Def_Flows[[#This Row],[CC_DM'[%']]]*Tab_Def_Flows[[#This Row],[DM]]</f>
        <v>0</v>
      </c>
      <c r="Y58" s="51"/>
    </row>
    <row r="59" spans="1:25" ht="15" customHeight="1" x14ac:dyDescent="0.25">
      <c r="A59" s="89" t="b">
        <v>0</v>
      </c>
      <c r="B59" s="109" t="s">
        <v>460</v>
      </c>
      <c r="C59" s="49" t="str">
        <f t="shared" si="0"/>
        <v>F_12_12</v>
      </c>
      <c r="D59" s="51"/>
      <c r="E59" s="92"/>
      <c r="F59" s="88"/>
      <c r="G59" s="88"/>
      <c r="H59" s="88"/>
      <c r="I59" s="92"/>
      <c r="J59" s="91"/>
      <c r="K59" s="49" t="str">
        <f>_xlfn.XLOOKUP(J59,Tab_Def_Processes[Name(EN)],Tab_Def_Processes[Process_ID],,0,)</f>
        <v>12__</v>
      </c>
      <c r="L59" s="51"/>
      <c r="M59" s="61" t="str">
        <f>_xlfn.XLOOKUP(L59,Tab_Def_Processes[Name(EN)],Tab_Def_Processes[Process_ID],,0,)</f>
        <v>12__</v>
      </c>
      <c r="N59" s="51"/>
      <c r="O59" s="91"/>
      <c r="P59" s="51"/>
      <c r="Q59" s="95"/>
      <c r="R59" s="102"/>
      <c r="S59" s="95"/>
      <c r="T59" s="102"/>
      <c r="U59" s="95"/>
      <c r="V59" s="102"/>
      <c r="W59" s="95"/>
      <c r="X59" s="131">
        <f>Tab_Def_Flows[[#This Row],[CC_DM'[%']]]*Tab_Def_Flows[[#This Row],[DM]]</f>
        <v>0</v>
      </c>
      <c r="Y59" s="51"/>
    </row>
    <row r="60" spans="1:25" x14ac:dyDescent="0.25">
      <c r="A60" s="89" t="b">
        <v>0</v>
      </c>
      <c r="B60" s="109" t="s">
        <v>461</v>
      </c>
      <c r="C60" s="49" t="str">
        <f t="shared" si="0"/>
        <v>F_12_12</v>
      </c>
      <c r="D60" s="51"/>
      <c r="E60" s="92"/>
      <c r="F60" s="88"/>
      <c r="G60" s="88"/>
      <c r="H60" s="88"/>
      <c r="I60" s="88"/>
      <c r="J60" s="91"/>
      <c r="K60" s="49" t="str">
        <f>_xlfn.XLOOKUP(J60,Tab_Def_Processes[Name(EN)],Tab_Def_Processes[Process_ID],,0,)</f>
        <v>12__</v>
      </c>
      <c r="L60" s="51"/>
      <c r="M60" s="61" t="str">
        <f>_xlfn.XLOOKUP(L60,Tab_Def_Processes[Name(EN)],Tab_Def_Processes[Process_ID],,0,)</f>
        <v>12__</v>
      </c>
      <c r="N60" s="51"/>
      <c r="O60" s="91"/>
      <c r="P60" s="51"/>
      <c r="Q60" s="95"/>
      <c r="R60" s="102"/>
      <c r="S60" s="95"/>
      <c r="T60" s="102"/>
      <c r="U60" s="95"/>
      <c r="V60" s="102"/>
      <c r="W60" s="95"/>
      <c r="X60" s="131">
        <f>Tab_Def_Flows[[#This Row],[CC_DM'[%']]]*Tab_Def_Flows[[#This Row],[DM]]</f>
        <v>0</v>
      </c>
      <c r="Y60" s="51"/>
    </row>
    <row r="61" spans="1:25" x14ac:dyDescent="0.25">
      <c r="A61" s="89" t="b">
        <v>0</v>
      </c>
      <c r="B61" s="109" t="s">
        <v>462</v>
      </c>
      <c r="C61" s="49" t="str">
        <f t="shared" si="0"/>
        <v>F_12_12</v>
      </c>
      <c r="D61" s="51"/>
      <c r="E61" s="92"/>
      <c r="F61" s="88"/>
      <c r="G61" s="88"/>
      <c r="H61" s="88"/>
      <c r="I61" s="88"/>
      <c r="J61" s="91"/>
      <c r="K61" s="49" t="str">
        <f>_xlfn.XLOOKUP(J61,Tab_Def_Processes[Name(EN)],Tab_Def_Processes[Process_ID],,0,)</f>
        <v>12__</v>
      </c>
      <c r="L61" s="51"/>
      <c r="M61" s="61" t="str">
        <f>_xlfn.XLOOKUP(L61,Tab_Def_Processes[Name(EN)],Tab_Def_Processes[Process_ID],,0,)</f>
        <v>12__</v>
      </c>
      <c r="N61" s="51"/>
      <c r="O61" s="91"/>
      <c r="P61" s="51"/>
      <c r="Q61" s="95"/>
      <c r="R61" s="102"/>
      <c r="S61" s="95"/>
      <c r="T61" s="102"/>
      <c r="U61" s="95"/>
      <c r="V61" s="102"/>
      <c r="W61" s="95"/>
      <c r="X61" s="131">
        <f>Tab_Def_Flows[[#This Row],[CC_DM'[%']]]*Tab_Def_Flows[[#This Row],[DM]]</f>
        <v>0</v>
      </c>
      <c r="Y61" s="51"/>
    </row>
    <row r="62" spans="1:25" x14ac:dyDescent="0.25">
      <c r="A62" s="89" t="b">
        <v>0</v>
      </c>
      <c r="B62" s="109" t="s">
        <v>463</v>
      </c>
      <c r="C62" s="49" t="str">
        <f t="shared" si="0"/>
        <v>F_12_12</v>
      </c>
      <c r="D62" s="51"/>
      <c r="E62" s="92"/>
      <c r="F62" s="88"/>
      <c r="G62" s="88"/>
      <c r="H62" s="88"/>
      <c r="I62" s="88"/>
      <c r="J62" s="91"/>
      <c r="K62" s="49" t="str">
        <f>_xlfn.XLOOKUP(J62,Tab_Def_Processes[Name(EN)],Tab_Def_Processes[Process_ID],,0,)</f>
        <v>12__</v>
      </c>
      <c r="L62" s="51"/>
      <c r="M62" s="61" t="str">
        <f>_xlfn.XLOOKUP(L62,Tab_Def_Processes[Name(EN)],Tab_Def_Processes[Process_ID],,0,)</f>
        <v>12__</v>
      </c>
      <c r="N62" s="51"/>
      <c r="O62" s="91"/>
      <c r="P62" s="51"/>
      <c r="Q62" s="95"/>
      <c r="R62" s="102"/>
      <c r="S62" s="95"/>
      <c r="T62" s="102"/>
      <c r="U62" s="95"/>
      <c r="V62" s="102"/>
      <c r="W62" s="95"/>
      <c r="X62" s="131">
        <f>Tab_Def_Flows[[#This Row],[CC_DM'[%']]]*Tab_Def_Flows[[#This Row],[DM]]</f>
        <v>0</v>
      </c>
      <c r="Y62" s="51"/>
    </row>
    <row r="63" spans="1:25" x14ac:dyDescent="0.25">
      <c r="A63" s="89" t="b">
        <v>0</v>
      </c>
      <c r="B63" s="109" t="s">
        <v>464</v>
      </c>
      <c r="C63" s="49" t="str">
        <f t="shared" si="0"/>
        <v>F_12_12</v>
      </c>
      <c r="D63" s="51"/>
      <c r="E63" s="92"/>
      <c r="F63" s="88"/>
      <c r="G63" s="88"/>
      <c r="H63" s="88"/>
      <c r="I63" s="88"/>
      <c r="J63" s="91"/>
      <c r="K63" s="49" t="str">
        <f>_xlfn.XLOOKUP(J63,Tab_Def_Processes[Name(EN)],Tab_Def_Processes[Process_ID],,0,)</f>
        <v>12__</v>
      </c>
      <c r="L63" s="51"/>
      <c r="M63" s="61" t="str">
        <f>_xlfn.XLOOKUP(L63,Tab_Def_Processes[Name(EN)],Tab_Def_Processes[Process_ID],,0,)</f>
        <v>12__</v>
      </c>
      <c r="N63" s="51"/>
      <c r="O63" s="91"/>
      <c r="P63" s="51"/>
      <c r="Q63" s="95"/>
      <c r="R63" s="102"/>
      <c r="S63" s="95"/>
      <c r="T63" s="102"/>
      <c r="U63" s="95"/>
      <c r="V63" s="102"/>
      <c r="W63" s="95"/>
      <c r="X63" s="131">
        <f>Tab_Def_Flows[[#This Row],[CC_DM'[%']]]*Tab_Def_Flows[[#This Row],[DM]]</f>
        <v>0</v>
      </c>
      <c r="Y63" s="51"/>
    </row>
    <row r="64" spans="1:25" x14ac:dyDescent="0.25">
      <c r="A64" s="89" t="b">
        <v>0</v>
      </c>
      <c r="B64" s="109" t="s">
        <v>465</v>
      </c>
      <c r="C64" s="49" t="str">
        <f t="shared" si="0"/>
        <v>F_12_12</v>
      </c>
      <c r="D64" s="51"/>
      <c r="E64" s="88"/>
      <c r="F64" s="88"/>
      <c r="G64" s="88"/>
      <c r="H64" s="88"/>
      <c r="I64" s="88"/>
      <c r="J64" s="91"/>
      <c r="K64" s="49" t="str">
        <f>_xlfn.XLOOKUP(J64,Tab_Def_Processes[Name(EN)],Tab_Def_Processes[Process_ID],,0,)</f>
        <v>12__</v>
      </c>
      <c r="L64" s="51"/>
      <c r="M64" s="61" t="str">
        <f>_xlfn.XLOOKUP(L64,Tab_Def_Processes[Name(EN)],Tab_Def_Processes[Process_ID],,0,)</f>
        <v>12__</v>
      </c>
      <c r="N64" s="51"/>
      <c r="O64" s="91"/>
      <c r="P64" s="51"/>
      <c r="Q64" s="95"/>
      <c r="R64" s="102"/>
      <c r="S64" s="95"/>
      <c r="T64" s="102"/>
      <c r="U64" s="95"/>
      <c r="V64" s="102"/>
      <c r="W64" s="95"/>
      <c r="X64" s="131">
        <f>Tab_Def_Flows[[#This Row],[CC_DM'[%']]]*Tab_Def_Flows[[#This Row],[DM]]</f>
        <v>0</v>
      </c>
      <c r="Y64" s="51"/>
    </row>
    <row r="65" spans="1:25" x14ac:dyDescent="0.25">
      <c r="A65" s="89" t="b">
        <v>0</v>
      </c>
      <c r="B65" s="109" t="s">
        <v>466</v>
      </c>
      <c r="C65" s="49" t="str">
        <f t="shared" si="0"/>
        <v>F_12_12</v>
      </c>
      <c r="D65" s="51"/>
      <c r="E65" s="88"/>
      <c r="F65" s="88"/>
      <c r="G65" s="88"/>
      <c r="H65" s="88"/>
      <c r="I65" s="88"/>
      <c r="J65" s="91"/>
      <c r="K65" s="49" t="str">
        <f>_xlfn.XLOOKUP(J65,Tab_Def_Processes[Name(EN)],Tab_Def_Processes[Process_ID],,0,)</f>
        <v>12__</v>
      </c>
      <c r="L65" s="51"/>
      <c r="M65" s="61" t="str">
        <f>_xlfn.XLOOKUP(L65,Tab_Def_Processes[Name(EN)],Tab_Def_Processes[Process_ID],,0,)</f>
        <v>12__</v>
      </c>
      <c r="N65" s="51"/>
      <c r="O65" s="91"/>
      <c r="P65" s="51"/>
      <c r="Q65" s="95"/>
      <c r="R65" s="102"/>
      <c r="S65" s="95"/>
      <c r="T65" s="102"/>
      <c r="U65" s="95"/>
      <c r="V65" s="102"/>
      <c r="W65" s="95"/>
      <c r="X65" s="131">
        <f>Tab_Def_Flows[[#This Row],[CC_DM'[%']]]*Tab_Def_Flows[[#This Row],[DM]]</f>
        <v>0</v>
      </c>
      <c r="Y65" s="51"/>
    </row>
    <row r="66" spans="1:25" x14ac:dyDescent="0.25">
      <c r="A66" s="89" t="b">
        <v>0</v>
      </c>
      <c r="B66" s="109" t="s">
        <v>467</v>
      </c>
      <c r="C66" s="49" t="str">
        <f t="shared" si="0"/>
        <v>F_12_12</v>
      </c>
      <c r="D66" s="51"/>
      <c r="E66" s="88"/>
      <c r="F66" s="88"/>
      <c r="G66" s="88"/>
      <c r="H66" s="88"/>
      <c r="I66" s="88"/>
      <c r="J66" s="91"/>
      <c r="K66" s="49" t="str">
        <f>_xlfn.XLOOKUP(J66,Tab_Def_Processes[Name(EN)],Tab_Def_Processes[Process_ID],,0,)</f>
        <v>12__</v>
      </c>
      <c r="L66" s="51"/>
      <c r="M66" s="61" t="str">
        <f>_xlfn.XLOOKUP(L66,Tab_Def_Processes[Name(EN)],Tab_Def_Processes[Process_ID],,0,)</f>
        <v>12__</v>
      </c>
      <c r="N66" s="51"/>
      <c r="O66" s="91"/>
      <c r="P66" s="51"/>
      <c r="Q66" s="95"/>
      <c r="R66" s="102"/>
      <c r="S66" s="95"/>
      <c r="T66" s="102"/>
      <c r="U66" s="95"/>
      <c r="V66" s="102"/>
      <c r="W66" s="95"/>
      <c r="X66" s="131">
        <f>Tab_Def_Flows[[#This Row],[CC_DM'[%']]]*Tab_Def_Flows[[#This Row],[DM]]</f>
        <v>0</v>
      </c>
      <c r="Y66" s="51"/>
    </row>
    <row r="67" spans="1:25" x14ac:dyDescent="0.25">
      <c r="A67" s="89" t="b">
        <v>0</v>
      </c>
      <c r="B67" s="109" t="s">
        <v>468</v>
      </c>
      <c r="C67" s="49" t="str">
        <f t="shared" ref="C67:C77" si="1">"F_"&amp;LEFT(K67,2)&amp;"_"&amp;LEFT(M67,2)</f>
        <v>F_12_12</v>
      </c>
      <c r="D67" s="51"/>
      <c r="E67" s="88"/>
      <c r="F67" s="88"/>
      <c r="G67" s="88"/>
      <c r="H67" s="88"/>
      <c r="I67" s="88"/>
      <c r="J67" s="91"/>
      <c r="K67" s="49" t="str">
        <f>_xlfn.XLOOKUP(J67,Tab_Def_Processes[Name(EN)],Tab_Def_Processes[Process_ID],,0,)</f>
        <v>12__</v>
      </c>
      <c r="L67" s="51"/>
      <c r="M67" s="61" t="str">
        <f>_xlfn.XLOOKUP(L67,Tab_Def_Processes[Name(EN)],Tab_Def_Processes[Process_ID],,0,)</f>
        <v>12__</v>
      </c>
      <c r="N67" s="51"/>
      <c r="O67" s="91"/>
      <c r="P67" s="51"/>
      <c r="Q67" s="95"/>
      <c r="R67" s="102"/>
      <c r="S67" s="95"/>
      <c r="T67" s="102"/>
      <c r="U67" s="95"/>
      <c r="V67" s="102"/>
      <c r="W67" s="95"/>
      <c r="X67" s="131">
        <f>Tab_Def_Flows[[#This Row],[CC_DM'[%']]]*Tab_Def_Flows[[#This Row],[DM]]</f>
        <v>0</v>
      </c>
      <c r="Y67" s="51"/>
    </row>
    <row r="68" spans="1:25" x14ac:dyDescent="0.25">
      <c r="A68" s="89" t="b">
        <v>0</v>
      </c>
      <c r="B68" s="109" t="s">
        <v>469</v>
      </c>
      <c r="C68" s="49" t="str">
        <f t="shared" si="1"/>
        <v>F_12_12</v>
      </c>
      <c r="D68" s="51"/>
      <c r="E68" s="88"/>
      <c r="F68" s="88"/>
      <c r="G68" s="88"/>
      <c r="H68" s="88"/>
      <c r="I68" s="88"/>
      <c r="J68" s="91"/>
      <c r="K68" s="49" t="str">
        <f>_xlfn.XLOOKUP(J68,Tab_Def_Processes[Name(EN)],Tab_Def_Processes[Process_ID],,0,)</f>
        <v>12__</v>
      </c>
      <c r="L68" s="51"/>
      <c r="M68" s="61" t="str">
        <f>_xlfn.XLOOKUP(L68,Tab_Def_Processes[Name(EN)],Tab_Def_Processes[Process_ID],,0,)</f>
        <v>12__</v>
      </c>
      <c r="N68" s="51"/>
      <c r="O68" s="91"/>
      <c r="P68" s="51"/>
      <c r="Q68" s="95"/>
      <c r="R68" s="102"/>
      <c r="S68" s="95"/>
      <c r="T68" s="102"/>
      <c r="U68" s="95"/>
      <c r="V68" s="102"/>
      <c r="W68" s="95"/>
      <c r="X68" s="131">
        <f>Tab_Def_Flows[[#This Row],[CC_DM'[%']]]*Tab_Def_Flows[[#This Row],[DM]]</f>
        <v>0</v>
      </c>
      <c r="Y68" s="51"/>
    </row>
    <row r="69" spans="1:25" x14ac:dyDescent="0.25">
      <c r="A69" s="89" t="b">
        <v>0</v>
      </c>
      <c r="B69" s="109" t="s">
        <v>470</v>
      </c>
      <c r="C69" s="49" t="str">
        <f t="shared" si="1"/>
        <v>F_12_12</v>
      </c>
      <c r="D69" s="51"/>
      <c r="E69" s="88"/>
      <c r="F69" s="88"/>
      <c r="G69" s="88"/>
      <c r="H69" s="88"/>
      <c r="I69" s="88"/>
      <c r="J69" s="91"/>
      <c r="K69" s="49" t="str">
        <f>_xlfn.XLOOKUP(J69,Tab_Def_Processes[Name(EN)],Tab_Def_Processes[Process_ID],,0,)</f>
        <v>12__</v>
      </c>
      <c r="L69" s="51"/>
      <c r="M69" s="61" t="str">
        <f>_xlfn.XLOOKUP(L69,Tab_Def_Processes[Name(EN)],Tab_Def_Processes[Process_ID],,0,)</f>
        <v>12__</v>
      </c>
      <c r="N69" s="51"/>
      <c r="O69" s="91"/>
      <c r="P69" s="51"/>
      <c r="Q69" s="95"/>
      <c r="R69" s="102"/>
      <c r="S69" s="95"/>
      <c r="T69" s="102"/>
      <c r="U69" s="95"/>
      <c r="V69" s="102"/>
      <c r="W69" s="95"/>
      <c r="X69" s="131">
        <f>Tab_Def_Flows[[#This Row],[CC_DM'[%']]]*Tab_Def_Flows[[#This Row],[DM]]</f>
        <v>0</v>
      </c>
      <c r="Y69" s="51"/>
    </row>
    <row r="70" spans="1:25" x14ac:dyDescent="0.25">
      <c r="A70" s="89" t="b">
        <v>0</v>
      </c>
      <c r="B70" s="109" t="s">
        <v>471</v>
      </c>
      <c r="C70" s="49" t="str">
        <f t="shared" si="1"/>
        <v>F_12_12</v>
      </c>
      <c r="D70" s="51"/>
      <c r="E70" s="88"/>
      <c r="F70" s="88"/>
      <c r="G70" s="88"/>
      <c r="H70" s="88"/>
      <c r="I70" s="88"/>
      <c r="J70" s="91"/>
      <c r="K70" s="49" t="str">
        <f>_xlfn.XLOOKUP(J70,Tab_Def_Processes[Name(EN)],Tab_Def_Processes[Process_ID],,0,)</f>
        <v>12__</v>
      </c>
      <c r="L70" s="51"/>
      <c r="M70" s="61" t="str">
        <f>_xlfn.XLOOKUP(L70,Tab_Def_Processes[Name(EN)],Tab_Def_Processes[Process_ID],,0,)</f>
        <v>12__</v>
      </c>
      <c r="N70" s="51"/>
      <c r="O70" s="91"/>
      <c r="P70" s="51"/>
      <c r="Q70" s="95"/>
      <c r="R70" s="102"/>
      <c r="S70" s="95"/>
      <c r="T70" s="102"/>
      <c r="U70" s="95"/>
      <c r="V70" s="102"/>
      <c r="W70" s="95"/>
      <c r="X70" s="131">
        <f>Tab_Def_Flows[[#This Row],[CC_DM'[%']]]*Tab_Def_Flows[[#This Row],[DM]]</f>
        <v>0</v>
      </c>
      <c r="Y70" s="51"/>
    </row>
    <row r="71" spans="1:25" x14ac:dyDescent="0.25">
      <c r="A71" s="89" t="b">
        <v>0</v>
      </c>
      <c r="B71" s="109" t="s">
        <v>472</v>
      </c>
      <c r="C71" s="49" t="str">
        <f t="shared" si="1"/>
        <v>F_12_12</v>
      </c>
      <c r="D71" s="51"/>
      <c r="E71" s="88"/>
      <c r="F71" s="88"/>
      <c r="G71" s="88"/>
      <c r="H71" s="88"/>
      <c r="I71" s="88"/>
      <c r="J71" s="91"/>
      <c r="K71" s="49" t="str">
        <f>_xlfn.XLOOKUP(J71,Tab_Def_Processes[Name(EN)],Tab_Def_Processes[Process_ID],,0,)</f>
        <v>12__</v>
      </c>
      <c r="L71" s="51"/>
      <c r="M71" s="61" t="str">
        <f>_xlfn.XLOOKUP(L71,Tab_Def_Processes[Name(EN)],Tab_Def_Processes[Process_ID],,0,)</f>
        <v>12__</v>
      </c>
      <c r="N71" s="51"/>
      <c r="O71" s="91"/>
      <c r="P71" s="51"/>
      <c r="Q71" s="95"/>
      <c r="R71" s="102"/>
      <c r="S71" s="95"/>
      <c r="T71" s="102"/>
      <c r="U71" s="95"/>
      <c r="V71" s="102"/>
      <c r="W71" s="95"/>
      <c r="X71" s="131">
        <f>Tab_Def_Flows[[#This Row],[CC_DM'[%']]]*Tab_Def_Flows[[#This Row],[DM]]</f>
        <v>0</v>
      </c>
      <c r="Y71" s="51"/>
    </row>
    <row r="72" spans="1:25" x14ac:dyDescent="0.25">
      <c r="A72" s="89" t="b">
        <v>0</v>
      </c>
      <c r="B72" s="109" t="s">
        <v>473</v>
      </c>
      <c r="C72" s="49" t="str">
        <f t="shared" si="1"/>
        <v>F_12_12</v>
      </c>
      <c r="D72" s="51"/>
      <c r="E72" s="88"/>
      <c r="F72" s="88"/>
      <c r="G72" s="88"/>
      <c r="H72" s="88"/>
      <c r="I72" s="88"/>
      <c r="J72" s="91"/>
      <c r="K72" s="49" t="str">
        <f>_xlfn.XLOOKUP(J72,Tab_Def_Processes[Name(EN)],Tab_Def_Processes[Process_ID],,0,)</f>
        <v>12__</v>
      </c>
      <c r="L72" s="51"/>
      <c r="M72" s="61" t="str">
        <f>_xlfn.XLOOKUP(L72,Tab_Def_Processes[Name(EN)],Tab_Def_Processes[Process_ID],,0,)</f>
        <v>12__</v>
      </c>
      <c r="N72" s="51"/>
      <c r="O72" s="91"/>
      <c r="P72" s="51"/>
      <c r="Q72" s="95"/>
      <c r="R72" s="102"/>
      <c r="S72" s="95"/>
      <c r="T72" s="102"/>
      <c r="U72" s="95"/>
      <c r="V72" s="102"/>
      <c r="W72" s="95"/>
      <c r="X72" s="131">
        <f>Tab_Def_Flows[[#This Row],[CC_DM'[%']]]*Tab_Def_Flows[[#This Row],[DM]]</f>
        <v>0</v>
      </c>
      <c r="Y72" s="51"/>
    </row>
    <row r="73" spans="1:25" x14ac:dyDescent="0.25">
      <c r="A73" s="89" t="b">
        <v>0</v>
      </c>
      <c r="B73" s="109" t="s">
        <v>474</v>
      </c>
      <c r="C73" s="49" t="str">
        <f t="shared" si="1"/>
        <v>F_12_12</v>
      </c>
      <c r="D73" s="51"/>
      <c r="E73" s="88"/>
      <c r="F73" s="88"/>
      <c r="G73" s="88"/>
      <c r="H73" s="88"/>
      <c r="I73" s="88"/>
      <c r="J73" s="91"/>
      <c r="K73" s="49" t="str">
        <f>_xlfn.XLOOKUP(J73,Tab_Def_Processes[Name(EN)],Tab_Def_Processes[Process_ID],,0,)</f>
        <v>12__</v>
      </c>
      <c r="L73" s="51"/>
      <c r="M73" s="61" t="str">
        <f>_xlfn.XLOOKUP(L73,Tab_Def_Processes[Name(EN)],Tab_Def_Processes[Process_ID],,0,)</f>
        <v>12__</v>
      </c>
      <c r="N73" s="51"/>
      <c r="O73" s="91"/>
      <c r="P73" s="51"/>
      <c r="Q73" s="95"/>
      <c r="R73" s="102"/>
      <c r="S73" s="95"/>
      <c r="T73" s="102"/>
      <c r="U73" s="95"/>
      <c r="V73" s="102"/>
      <c r="W73" s="95"/>
      <c r="X73" s="131">
        <f>Tab_Def_Flows[[#This Row],[CC_DM'[%']]]*Tab_Def_Flows[[#This Row],[DM]]</f>
        <v>0</v>
      </c>
      <c r="Y73" s="51"/>
    </row>
    <row r="74" spans="1:25" x14ac:dyDescent="0.25">
      <c r="A74" s="89" t="b">
        <v>0</v>
      </c>
      <c r="B74" s="109" t="s">
        <v>475</v>
      </c>
      <c r="C74" s="49" t="str">
        <f t="shared" si="1"/>
        <v>F_12_12</v>
      </c>
      <c r="D74" s="51"/>
      <c r="E74" s="88"/>
      <c r="F74" s="88"/>
      <c r="G74" s="88"/>
      <c r="H74" s="88"/>
      <c r="I74" s="88"/>
      <c r="J74" s="91"/>
      <c r="K74" s="49" t="str">
        <f>_xlfn.XLOOKUP(J74,Tab_Def_Processes[Name(EN)],Tab_Def_Processes[Process_ID],,0,)</f>
        <v>12__</v>
      </c>
      <c r="L74" s="51"/>
      <c r="M74" s="61" t="str">
        <f>_xlfn.XLOOKUP(L74,Tab_Def_Processes[Name(EN)],Tab_Def_Processes[Process_ID],,0,)</f>
        <v>12__</v>
      </c>
      <c r="N74" s="51"/>
      <c r="O74" s="91"/>
      <c r="P74" s="51"/>
      <c r="Q74" s="95"/>
      <c r="R74" s="102"/>
      <c r="S74" s="95"/>
      <c r="T74" s="102"/>
      <c r="U74" s="95"/>
      <c r="V74" s="102"/>
      <c r="W74" s="95"/>
      <c r="X74" s="131">
        <f>Tab_Def_Flows[[#This Row],[CC_DM'[%']]]*Tab_Def_Flows[[#This Row],[DM]]</f>
        <v>0</v>
      </c>
      <c r="Y74" s="51"/>
    </row>
    <row r="75" spans="1:25" x14ac:dyDescent="0.25">
      <c r="A75" s="89" t="b">
        <v>0</v>
      </c>
      <c r="B75" s="109" t="s">
        <v>476</v>
      </c>
      <c r="C75" s="49" t="str">
        <f t="shared" si="1"/>
        <v>F_12_12</v>
      </c>
      <c r="D75" s="51"/>
      <c r="E75" s="88"/>
      <c r="F75" s="88"/>
      <c r="G75" s="88"/>
      <c r="H75" s="88"/>
      <c r="I75" s="88"/>
      <c r="J75" s="91"/>
      <c r="K75" s="49" t="str">
        <f>_xlfn.XLOOKUP(J75,Tab_Def_Processes[Name(EN)],Tab_Def_Processes[Process_ID],,0,)</f>
        <v>12__</v>
      </c>
      <c r="L75" s="51"/>
      <c r="M75" s="61" t="str">
        <f>_xlfn.XLOOKUP(L75,Tab_Def_Processes[Name(EN)],Tab_Def_Processes[Process_ID],,0,)</f>
        <v>12__</v>
      </c>
      <c r="N75" s="51"/>
      <c r="O75" s="91"/>
      <c r="P75" s="51"/>
      <c r="Q75" s="95"/>
      <c r="R75" s="102"/>
      <c r="S75" s="95"/>
      <c r="T75" s="102"/>
      <c r="U75" s="95"/>
      <c r="V75" s="102"/>
      <c r="W75" s="95"/>
      <c r="X75" s="131">
        <f>Tab_Def_Flows[[#This Row],[CC_DM'[%']]]*Tab_Def_Flows[[#This Row],[DM]]</f>
        <v>0</v>
      </c>
      <c r="Y75" s="51"/>
    </row>
    <row r="76" spans="1:25" x14ac:dyDescent="0.25">
      <c r="A76" s="89" t="b">
        <v>0</v>
      </c>
      <c r="B76" s="109" t="s">
        <v>477</v>
      </c>
      <c r="C76" s="49" t="str">
        <f t="shared" si="1"/>
        <v>F_12_12</v>
      </c>
      <c r="D76" s="51"/>
      <c r="E76" s="88"/>
      <c r="F76" s="88"/>
      <c r="G76" s="88"/>
      <c r="H76" s="88"/>
      <c r="I76" s="88"/>
      <c r="J76" s="91"/>
      <c r="K76" s="49" t="str">
        <f>_xlfn.XLOOKUP(J76,Tab_Def_Processes[Name(EN)],Tab_Def_Processes[Process_ID],,0,)</f>
        <v>12__</v>
      </c>
      <c r="L76" s="51"/>
      <c r="M76" s="61" t="str">
        <f>_xlfn.XLOOKUP(L76,Tab_Def_Processes[Name(EN)],Tab_Def_Processes[Process_ID],,0,)</f>
        <v>12__</v>
      </c>
      <c r="N76" s="51"/>
      <c r="O76" s="91"/>
      <c r="P76" s="51"/>
      <c r="Q76" s="95"/>
      <c r="R76" s="102"/>
      <c r="S76" s="95"/>
      <c r="T76" s="102"/>
      <c r="U76" s="95"/>
      <c r="V76" s="102"/>
      <c r="W76" s="95"/>
      <c r="X76" s="131">
        <f>Tab_Def_Flows[[#This Row],[CC_DM'[%']]]*Tab_Def_Flows[[#This Row],[DM]]</f>
        <v>0</v>
      </c>
      <c r="Y76" s="51"/>
    </row>
    <row r="77" spans="1:25" x14ac:dyDescent="0.25">
      <c r="A77" s="89" t="b">
        <v>0</v>
      </c>
      <c r="B77" s="109" t="s">
        <v>478</v>
      </c>
      <c r="C77" s="49" t="str">
        <f t="shared" si="1"/>
        <v>F_12_12</v>
      </c>
      <c r="D77" s="51"/>
      <c r="E77" s="88"/>
      <c r="F77" s="88"/>
      <c r="G77" s="88"/>
      <c r="H77" s="88"/>
      <c r="I77" s="88"/>
      <c r="J77" s="91"/>
      <c r="K77" s="49" t="str">
        <f>_xlfn.XLOOKUP(J77,Tab_Def_Processes[Name(EN)],Tab_Def_Processes[Process_ID],,0,)</f>
        <v>12__</v>
      </c>
      <c r="L77" s="51"/>
      <c r="M77" s="61" t="str">
        <f>_xlfn.XLOOKUP(L77,Tab_Def_Processes[Name(EN)],Tab_Def_Processes[Process_ID],,0,)</f>
        <v>12__</v>
      </c>
      <c r="N77" s="51"/>
      <c r="O77" s="91"/>
      <c r="P77" s="51"/>
      <c r="Q77" s="95"/>
      <c r="R77" s="102"/>
      <c r="S77" s="95"/>
      <c r="T77" s="102"/>
      <c r="U77" s="95"/>
      <c r="V77" s="102"/>
      <c r="W77" s="95"/>
      <c r="X77" s="131">
        <f>Tab_Def_Flows[[#This Row],[CC_DM'[%']]]*Tab_Def_Flows[[#This Row],[DM]]</f>
        <v>0</v>
      </c>
      <c r="Y77"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W33:W77 O2:Q77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K351"/>
  <sheetViews>
    <sheetView zoomScale="115" zoomScaleNormal="115" workbookViewId="0">
      <selection activeCell="Z17" sqref="Z17:Z18"/>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224</v>
      </c>
      <c r="B1" s="13" t="s">
        <v>267</v>
      </c>
      <c r="C1" t="s">
        <v>319</v>
      </c>
      <c r="D1" s="13" t="s">
        <v>268</v>
      </c>
      <c r="E1" s="48" t="s">
        <v>271</v>
      </c>
      <c r="F1" s="48" t="s">
        <v>272</v>
      </c>
      <c r="G1" s="48" t="s">
        <v>273</v>
      </c>
      <c r="H1" s="48" t="s">
        <v>274</v>
      </c>
      <c r="I1" s="48" t="s">
        <v>292</v>
      </c>
      <c r="J1" s="21" t="s">
        <v>350</v>
      </c>
      <c r="K1" s="22" t="s">
        <v>352</v>
      </c>
      <c r="L1" s="23" t="s">
        <v>351</v>
      </c>
      <c r="M1" t="s">
        <v>286</v>
      </c>
      <c r="N1" t="s">
        <v>285</v>
      </c>
      <c r="O1" t="s">
        <v>283</v>
      </c>
      <c r="P1" t="s">
        <v>284</v>
      </c>
      <c r="Q1" t="s">
        <v>275</v>
      </c>
      <c r="R1" t="s">
        <v>257</v>
      </c>
      <c r="S1" t="s">
        <v>276</v>
      </c>
      <c r="T1" t="s">
        <v>277</v>
      </c>
      <c r="U1" t="s">
        <v>278</v>
      </c>
      <c r="V1" t="s">
        <v>279</v>
      </c>
      <c r="W1" t="s">
        <v>10</v>
      </c>
      <c r="X1" t="s">
        <v>280</v>
      </c>
      <c r="Y1" t="s">
        <v>281</v>
      </c>
      <c r="Z1" t="s">
        <v>282</v>
      </c>
      <c r="AA1" t="s">
        <v>287</v>
      </c>
      <c r="AB1" t="s">
        <v>288</v>
      </c>
      <c r="AC1" t="s">
        <v>353</v>
      </c>
      <c r="AD1" t="s">
        <v>361</v>
      </c>
      <c r="AE1" t="s">
        <v>365</v>
      </c>
      <c r="AF1" s="81" t="s">
        <v>355</v>
      </c>
      <c r="AG1" t="s">
        <v>362</v>
      </c>
      <c r="AH1" t="s">
        <v>364</v>
      </c>
      <c r="AI1" t="s">
        <v>357</v>
      </c>
      <c r="AJ1" t="s">
        <v>366</v>
      </c>
      <c r="AK1" t="s">
        <v>363</v>
      </c>
    </row>
    <row r="2" spans="1:37" x14ac:dyDescent="0.25">
      <c r="A2" s="60">
        <f>ROW()-1</f>
        <v>1</v>
      </c>
      <c r="B2" s="49" t="str">
        <f>_xlfn.XLOOKUP(C2,Tab_Def_Flows[Name(EN)],Tab_Def_Flows[Flow_ID],,0,)</f>
        <v>F_00_01</v>
      </c>
      <c r="C2" s="51" t="s">
        <v>494</v>
      </c>
      <c r="D2" s="49">
        <f>_xlfn.XLOOKUP(C2,Tab_Def_Flows[Name(EN)],Tab_Def_Flows[Type_Biomass],,0,)</f>
        <v>0</v>
      </c>
      <c r="E2" s="49" t="str">
        <f>_xlfn.XLOOKUP(C2,Tab_Def_Flows[Name(EN)],Tab_Def_Flows[Output_Process],,0,)</f>
        <v>Cultivation</v>
      </c>
      <c r="F2" s="49" t="str">
        <f>_xlfn.XLOOKUP(C2,Tab_Def_Flows[Name(EN)],Tab_Def_Flows[Process_ID_O],,0,)</f>
        <v>00_Cul_</v>
      </c>
      <c r="G2" s="49" t="str">
        <f>_xlfn.XLOOKUP(C2,Tab_Def_Flows[Name(EN)],Tab_Def_Flows[Input_Process],,0,)</f>
        <v>Harvesting</v>
      </c>
      <c r="H2" s="61" t="str">
        <f>_xlfn.XLOOKUP(C2,Tab_Def_Flows[Name(EN)],Tab_Def_Flows[Process_ID_I],,0,)</f>
        <v>01_Har_</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2020</v>
      </c>
      <c r="N2" s="51" t="s">
        <v>349</v>
      </c>
      <c r="O2" s="114">
        <v>100</v>
      </c>
      <c r="P2" s="51"/>
      <c r="Q2" s="51" t="s">
        <v>360</v>
      </c>
      <c r="R2" s="51"/>
      <c r="S2" s="51"/>
      <c r="T2" s="51"/>
      <c r="U2" s="51"/>
      <c r="V2" s="51"/>
      <c r="W2" s="51"/>
      <c r="X2" s="51" t="s">
        <v>70</v>
      </c>
      <c r="Y2" s="104"/>
      <c r="Z2" s="51"/>
      <c r="AA2" s="85">
        <f>IF(X2="no",O2,O2*Y2)</f>
        <v>100</v>
      </c>
      <c r="AB2" s="51"/>
      <c r="AC2" s="107">
        <f>INDEX(Tab_Def_Flows[[Flow_ID]:[CC_DM_source]],MATCH(Tab_Data_Flows[[#This Row],[Name(EN)]],Tab_Def_Flows[Name(EN)],0),16)</f>
        <v>0</v>
      </c>
      <c r="AD2" s="108">
        <f>IF(J2="Yes",AA2*Tab_Data_Flows[[#This Row],[WC_'[%']]],"N.A.")</f>
        <v>0</v>
      </c>
      <c r="AE2" s="61">
        <f>Tab_Data_Flows[[#This Row],[UoM_Flow_Py]]</f>
        <v>0</v>
      </c>
      <c r="AF2" s="107">
        <f>INDEX(Tab_Def_Flows[[Flow_ID]:[CC_DM_source]],MATCH(Tab_Data_Flows[[#This Row],[Name(EN)]],Tab_Def_Flows[Name(EN)],0),18)</f>
        <v>1</v>
      </c>
      <c r="AG2" s="108">
        <f>IF(K2="Yes",AF2*Tab_Data_Flows[[#This Row],[Flow_Py]],"N.A.")</f>
        <v>100</v>
      </c>
      <c r="AH2" s="61">
        <f>Tab_Data_Flows[[#This Row],[UoM_Flow_Py]]</f>
        <v>0</v>
      </c>
      <c r="AI2" s="107">
        <f>INDEX(Tab_Def_Flows[[Flow_ID]:[CC_DM_source]],MATCH(Tab_Data_Flows[[#This Row],[Name(EN)]],Tab_Def_Flows[Name(EN)],0),20)</f>
        <v>0.5</v>
      </c>
      <c r="AJ2" s="108">
        <f>IF(L2="Yes",AI2*Tab_Data_Flows[[#This Row],[Flow_Py]]*Tab_Data_Flows[[#This Row],[DM_'[%']]],"N.A.")</f>
        <v>50</v>
      </c>
      <c r="AK2" s="61">
        <f>Tab_Data_Flows[[#This Row],[UoM_Flow_Py]]</f>
        <v>0</v>
      </c>
    </row>
    <row r="3" spans="1:37" x14ac:dyDescent="0.25">
      <c r="A3" s="60">
        <f t="shared" ref="A3:A66" si="0">ROW()-1</f>
        <v>2</v>
      </c>
      <c r="B3" s="49" t="str">
        <f>_xlfn.XLOOKUP(C3,Tab_Def_Flows[Name(EN)],Tab_Def_Flows[Flow_ID],,0,)</f>
        <v>F_00_01</v>
      </c>
      <c r="C3" s="51" t="s">
        <v>494</v>
      </c>
      <c r="D3" s="49">
        <f>_xlfn.XLOOKUP(C3,Tab_Def_Flows[Name(EN)],Tab_Def_Flows[Type_Biomass],,0,)</f>
        <v>0</v>
      </c>
      <c r="E3" s="49" t="str">
        <f>_xlfn.XLOOKUP(C3,Tab_Def_Flows[Name(EN)],Tab_Def_Flows[Output_Process],,0,)</f>
        <v>Cultivation</v>
      </c>
      <c r="F3" s="49" t="str">
        <f>_xlfn.XLOOKUP(C3,Tab_Def_Flows[Name(EN)],Tab_Def_Flows[Process_ID_O],,0,)</f>
        <v>00_Cul_</v>
      </c>
      <c r="G3" s="49" t="str">
        <f>_xlfn.XLOOKUP(C3,Tab_Def_Flows[Name(EN)],Tab_Def_Flows[Input_Process],,0,)</f>
        <v>Harvesting</v>
      </c>
      <c r="H3" s="61" t="str">
        <f>_xlfn.XLOOKUP(C3,Tab_Def_Flows[Name(EN)],Tab_Def_Flows[Process_ID_I],,0,)</f>
        <v>01_Har_</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2021</v>
      </c>
      <c r="N3" s="51" t="s">
        <v>349</v>
      </c>
      <c r="O3" s="114">
        <v>110</v>
      </c>
      <c r="P3" s="51"/>
      <c r="Q3" s="51" t="s">
        <v>360</v>
      </c>
      <c r="R3" s="51"/>
      <c r="S3" s="51"/>
      <c r="T3" s="51"/>
      <c r="U3" s="51"/>
      <c r="V3" s="51"/>
      <c r="W3" s="51"/>
      <c r="X3" s="51" t="s">
        <v>70</v>
      </c>
      <c r="Y3" s="104"/>
      <c r="Z3" s="51"/>
      <c r="AA3" s="85">
        <f t="shared" ref="AA3:AA66" si="1">IF(X3="no",O3,O3*Y3)</f>
        <v>110</v>
      </c>
      <c r="AB3" s="51"/>
      <c r="AC3" s="107">
        <f>INDEX(Tab_Def_Flows[[Flow_ID]:[CC_DM_source]],MATCH(Tab_Data_Flows[[#This Row],[Name(EN)]],Tab_Def_Flows[Name(EN)],0),16)</f>
        <v>0</v>
      </c>
      <c r="AD3" s="108">
        <f>IF(J3="Yes",AA3*Tab_Data_Flows[[#This Row],[WC_'[%']]],"N.A.")</f>
        <v>0</v>
      </c>
      <c r="AE3" s="61">
        <f>Tab_Data_Flows[[#This Row],[UoM_Flow_Py]]</f>
        <v>0</v>
      </c>
      <c r="AF3" s="107">
        <f>INDEX(Tab_Def_Flows[[Flow_ID]:[CC_DM_source]],MATCH(Tab_Data_Flows[[#This Row],[Name(EN)]],Tab_Def_Flows[Name(EN)],0),18)</f>
        <v>1</v>
      </c>
      <c r="AG3" s="108">
        <f>IF(K3="Yes",AF3*Tab_Data_Flows[[#This Row],[Flow_Py]],"N.A.")</f>
        <v>110</v>
      </c>
      <c r="AH3" s="61">
        <f>Tab_Data_Flows[[#This Row],[UoM_Flow_Py]]</f>
        <v>0</v>
      </c>
      <c r="AI3" s="107">
        <f>INDEX(Tab_Def_Flows[[Flow_ID]:[CC_DM_source]],MATCH(Tab_Data_Flows[[#This Row],[Name(EN)]],Tab_Def_Flows[Name(EN)],0),20)</f>
        <v>0.5</v>
      </c>
      <c r="AJ3" s="108">
        <f>IF(L3="Yes",AI3*Tab_Data_Flows[[#This Row],[Flow_Py]]*Tab_Data_Flows[[#This Row],[DM_'[%']]],"N.A.")</f>
        <v>55</v>
      </c>
      <c r="AK3" s="61">
        <f>Tab_Data_Flows[[#This Row],[UoM_Flow_Py]]</f>
        <v>0</v>
      </c>
    </row>
    <row r="4" spans="1:37" x14ac:dyDescent="0.25">
      <c r="A4" s="60">
        <f t="shared" si="0"/>
        <v>3</v>
      </c>
      <c r="B4" s="49" t="str">
        <f>_xlfn.XLOOKUP(C4,Tab_Def_Flows[Name(EN)],Tab_Def_Flows[Flow_ID],,0,)</f>
        <v>F_00_01</v>
      </c>
      <c r="C4" s="51" t="s">
        <v>494</v>
      </c>
      <c r="D4" s="49">
        <f>_xlfn.XLOOKUP(C4,Tab_Def_Flows[Name(EN)],Tab_Def_Flows[Type_Biomass],,0,)</f>
        <v>0</v>
      </c>
      <c r="E4" s="49" t="str">
        <f>_xlfn.XLOOKUP(C4,Tab_Def_Flows[Name(EN)],Tab_Def_Flows[Output_Process],,0,)</f>
        <v>Cultivation</v>
      </c>
      <c r="F4" s="49" t="str">
        <f>_xlfn.XLOOKUP(C4,Tab_Def_Flows[Name(EN)],Tab_Def_Flows[Process_ID_O],,0,)</f>
        <v>00_Cul_</v>
      </c>
      <c r="G4" s="49" t="str">
        <f>_xlfn.XLOOKUP(C4,Tab_Def_Flows[Name(EN)],Tab_Def_Flows[Input_Process],,0,)</f>
        <v>Harvesting</v>
      </c>
      <c r="H4" s="61" t="str">
        <f>_xlfn.XLOOKUP(C4,Tab_Def_Flows[Name(EN)],Tab_Def_Flows[Process_ID_I],,0,)</f>
        <v>01_Har_</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2022</v>
      </c>
      <c r="N4" s="51" t="s">
        <v>349</v>
      </c>
      <c r="O4" s="114">
        <v>120</v>
      </c>
      <c r="P4" s="51"/>
      <c r="Q4" s="51" t="s">
        <v>360</v>
      </c>
      <c r="R4" s="51"/>
      <c r="S4" s="51"/>
      <c r="T4" s="51"/>
      <c r="U4" s="51"/>
      <c r="V4" s="51"/>
      <c r="W4" s="51"/>
      <c r="X4" s="51" t="s">
        <v>70</v>
      </c>
      <c r="Y4" s="104"/>
      <c r="Z4" s="51"/>
      <c r="AA4" s="85">
        <f t="shared" si="1"/>
        <v>120</v>
      </c>
      <c r="AB4" s="51"/>
      <c r="AC4" s="107">
        <f>INDEX(Tab_Def_Flows[[Flow_ID]:[CC_DM_source]],MATCH(Tab_Data_Flows[[#This Row],[Name(EN)]],Tab_Def_Flows[Name(EN)],0),16)</f>
        <v>0</v>
      </c>
      <c r="AD4" s="108">
        <f>IF(J4="Yes",AA4*Tab_Data_Flows[[#This Row],[WC_'[%']]],"N.A.")</f>
        <v>0</v>
      </c>
      <c r="AE4" s="61">
        <f>Tab_Data_Flows[[#This Row],[UoM_Flow_Py]]</f>
        <v>0</v>
      </c>
      <c r="AF4" s="107">
        <f>INDEX(Tab_Def_Flows[[Flow_ID]:[CC_DM_source]],MATCH(Tab_Data_Flows[[#This Row],[Name(EN)]],Tab_Def_Flows[Name(EN)],0),18)</f>
        <v>1</v>
      </c>
      <c r="AG4" s="108">
        <f>IF(K4="Yes",AF4*Tab_Data_Flows[[#This Row],[Flow_Py]],"N.A.")</f>
        <v>120</v>
      </c>
      <c r="AH4" s="61">
        <f>Tab_Data_Flows[[#This Row],[UoM_Flow_Py]]</f>
        <v>0</v>
      </c>
      <c r="AI4" s="107">
        <f>INDEX(Tab_Def_Flows[[Flow_ID]:[CC_DM_source]],MATCH(Tab_Data_Flows[[#This Row],[Name(EN)]],Tab_Def_Flows[Name(EN)],0),20)</f>
        <v>0.5</v>
      </c>
      <c r="AJ4" s="108">
        <f>IF(L4="Yes",AI4*Tab_Data_Flows[[#This Row],[Flow_Py]]*Tab_Data_Flows[[#This Row],[DM_'[%']]],"N.A.")</f>
        <v>60</v>
      </c>
      <c r="AK4" s="61">
        <f>Tab_Data_Flows[[#This Row],[UoM_Flow_Py]]</f>
        <v>0</v>
      </c>
    </row>
    <row r="5" spans="1:37" x14ac:dyDescent="0.25">
      <c r="A5" s="60">
        <f t="shared" si="0"/>
        <v>4</v>
      </c>
      <c r="B5" s="49" t="str">
        <f>_xlfn.XLOOKUP(C5,Tab_Def_Flows[Name(EN)],Tab_Def_Flows[Flow_ID],,0,)</f>
        <v>F_00_01</v>
      </c>
      <c r="C5" s="51" t="s">
        <v>494</v>
      </c>
      <c r="D5" s="49">
        <f>_xlfn.XLOOKUP(C5,Tab_Def_Flows[Name(EN)],Tab_Def_Flows[Type_Biomass],,0,)</f>
        <v>0</v>
      </c>
      <c r="E5" s="49" t="str">
        <f>_xlfn.XLOOKUP(C5,Tab_Def_Flows[Name(EN)],Tab_Def_Flows[Output_Process],,0,)</f>
        <v>Cultivation</v>
      </c>
      <c r="F5" s="49" t="str">
        <f>_xlfn.XLOOKUP(C5,Tab_Def_Flows[Name(EN)],Tab_Def_Flows[Process_ID_O],,0,)</f>
        <v>00_Cul_</v>
      </c>
      <c r="G5" s="49" t="str">
        <f>_xlfn.XLOOKUP(C5,Tab_Def_Flows[Name(EN)],Tab_Def_Flows[Input_Process],,0,)</f>
        <v>Harvesting</v>
      </c>
      <c r="H5" s="61" t="str">
        <f>_xlfn.XLOOKUP(C5,Tab_Def_Flows[Name(EN)],Tab_Def_Flows[Process_ID_I],,0,)</f>
        <v>01_Har_</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2023</v>
      </c>
      <c r="N5" s="51" t="s">
        <v>349</v>
      </c>
      <c r="O5" s="114">
        <v>130</v>
      </c>
      <c r="P5" s="51"/>
      <c r="Q5" s="51" t="s">
        <v>360</v>
      </c>
      <c r="R5" s="51"/>
      <c r="S5" s="51"/>
      <c r="T5" s="51"/>
      <c r="U5" s="51"/>
      <c r="V5" s="51"/>
      <c r="W5" s="51"/>
      <c r="X5" s="51" t="s">
        <v>70</v>
      </c>
      <c r="Y5" s="104"/>
      <c r="Z5" s="51"/>
      <c r="AA5" s="85">
        <f t="shared" si="1"/>
        <v>130</v>
      </c>
      <c r="AB5" s="51"/>
      <c r="AC5" s="107">
        <f>INDEX(Tab_Def_Flows[[Flow_ID]:[CC_DM_source]],MATCH(Tab_Data_Flows[[#This Row],[Name(EN)]],Tab_Def_Flows[Name(EN)],0),16)</f>
        <v>0</v>
      </c>
      <c r="AD5" s="108">
        <f>IF(J5="Yes",AA5*Tab_Data_Flows[[#This Row],[WC_'[%']]],"N.A.")</f>
        <v>0</v>
      </c>
      <c r="AE5" s="61">
        <f>Tab_Data_Flows[[#This Row],[UoM_Flow_Py]]</f>
        <v>0</v>
      </c>
      <c r="AF5" s="107">
        <f>INDEX(Tab_Def_Flows[[Flow_ID]:[CC_DM_source]],MATCH(Tab_Data_Flows[[#This Row],[Name(EN)]],Tab_Def_Flows[Name(EN)],0),18)</f>
        <v>1</v>
      </c>
      <c r="AG5" s="108">
        <f>IF(K5="Yes",AF5*Tab_Data_Flows[[#This Row],[Flow_Py]],"N.A.")</f>
        <v>130</v>
      </c>
      <c r="AH5" s="61">
        <f>Tab_Data_Flows[[#This Row],[UoM_Flow_Py]]</f>
        <v>0</v>
      </c>
      <c r="AI5" s="107">
        <f>INDEX(Tab_Def_Flows[[Flow_ID]:[CC_DM_source]],MATCH(Tab_Data_Flows[[#This Row],[Name(EN)]],Tab_Def_Flows[Name(EN)],0),20)</f>
        <v>0.5</v>
      </c>
      <c r="AJ5" s="108">
        <f>IF(L5="Yes",AI5*Tab_Data_Flows[[#This Row],[Flow_Py]]*Tab_Data_Flows[[#This Row],[DM_'[%']]],"N.A.")</f>
        <v>65</v>
      </c>
      <c r="AK5" s="61">
        <f>Tab_Data_Flows[[#This Row],[UoM_Flow_Py]]</f>
        <v>0</v>
      </c>
    </row>
    <row r="6" spans="1:37" x14ac:dyDescent="0.25">
      <c r="A6" s="60">
        <f t="shared" si="0"/>
        <v>5</v>
      </c>
      <c r="B6" s="49" t="str">
        <f>_xlfn.XLOOKUP(C6,Tab_Def_Flows[Name(EN)],Tab_Def_Flows[Flow_ID],,0,)</f>
        <v>F_00_01</v>
      </c>
      <c r="C6" s="51" t="s">
        <v>494</v>
      </c>
      <c r="D6" s="49">
        <f>_xlfn.XLOOKUP(C6,Tab_Def_Flows[Name(EN)],Tab_Def_Flows[Type_Biomass],,0,)</f>
        <v>0</v>
      </c>
      <c r="E6" s="49" t="str">
        <f>_xlfn.XLOOKUP(C6,Tab_Def_Flows[Name(EN)],Tab_Def_Flows[Output_Process],,0,)</f>
        <v>Cultivation</v>
      </c>
      <c r="F6" s="49" t="str">
        <f>_xlfn.XLOOKUP(C6,Tab_Def_Flows[Name(EN)],Tab_Def_Flows[Process_ID_O],,0,)</f>
        <v>00_Cul_</v>
      </c>
      <c r="G6" s="49" t="str">
        <f>_xlfn.XLOOKUP(C6,Tab_Def_Flows[Name(EN)],Tab_Def_Flows[Input_Process],,0,)</f>
        <v>Harvesting</v>
      </c>
      <c r="H6" s="61" t="str">
        <f>_xlfn.XLOOKUP(C6,Tab_Def_Flows[Name(EN)],Tab_Def_Flows[Process_ID_I],,0,)</f>
        <v>01_Har_</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2024</v>
      </c>
      <c r="N6" s="51" t="s">
        <v>349</v>
      </c>
      <c r="O6" s="114">
        <v>140</v>
      </c>
      <c r="P6" s="51"/>
      <c r="Q6" s="51" t="s">
        <v>360</v>
      </c>
      <c r="R6" s="51"/>
      <c r="S6" s="51"/>
      <c r="T6" s="51"/>
      <c r="U6" s="51"/>
      <c r="V6" s="51"/>
      <c r="W6" s="51"/>
      <c r="X6" s="51" t="s">
        <v>70</v>
      </c>
      <c r="Y6" s="104"/>
      <c r="Z6" s="51"/>
      <c r="AA6" s="85">
        <f t="shared" si="1"/>
        <v>140</v>
      </c>
      <c r="AB6" s="51"/>
      <c r="AC6" s="107">
        <f>INDEX(Tab_Def_Flows[[Flow_ID]:[CC_DM_source]],MATCH(Tab_Data_Flows[[#This Row],[Name(EN)]],Tab_Def_Flows[Name(EN)],0),16)</f>
        <v>0</v>
      </c>
      <c r="AD6" s="108">
        <f>IF(J6="Yes",AA6*Tab_Data_Flows[[#This Row],[WC_'[%']]],"N.A.")</f>
        <v>0</v>
      </c>
      <c r="AE6" s="61">
        <f>Tab_Data_Flows[[#This Row],[UoM_Flow_Py]]</f>
        <v>0</v>
      </c>
      <c r="AF6" s="107">
        <f>INDEX(Tab_Def_Flows[[Flow_ID]:[CC_DM_source]],MATCH(Tab_Data_Flows[[#This Row],[Name(EN)]],Tab_Def_Flows[Name(EN)],0),18)</f>
        <v>1</v>
      </c>
      <c r="AG6" s="108">
        <f>IF(K6="Yes",AF6*Tab_Data_Flows[[#This Row],[Flow_Py]],"N.A.")</f>
        <v>140</v>
      </c>
      <c r="AH6" s="61">
        <f>Tab_Data_Flows[[#This Row],[UoM_Flow_Py]]</f>
        <v>0</v>
      </c>
      <c r="AI6" s="107">
        <f>INDEX(Tab_Def_Flows[[Flow_ID]:[CC_DM_source]],MATCH(Tab_Data_Flows[[#This Row],[Name(EN)]],Tab_Def_Flows[Name(EN)],0),20)</f>
        <v>0.5</v>
      </c>
      <c r="AJ6" s="108">
        <f>IF(L6="Yes",AI6*Tab_Data_Flows[[#This Row],[Flow_Py]]*Tab_Data_Flows[[#This Row],[DM_'[%']]],"N.A.")</f>
        <v>70</v>
      </c>
      <c r="AK6" s="61">
        <f>Tab_Data_Flows[[#This Row],[UoM_Flow_Py]]</f>
        <v>0</v>
      </c>
    </row>
    <row r="7" spans="1:37" x14ac:dyDescent="0.25">
      <c r="A7" s="60">
        <f t="shared" si="0"/>
        <v>6</v>
      </c>
      <c r="B7" s="49" t="str">
        <f>_xlfn.XLOOKUP(C7,Tab_Def_Flows[Name(EN)],Tab_Def_Flows[Flow_ID],,0,)</f>
        <v>F_00_01</v>
      </c>
      <c r="C7" s="51" t="s">
        <v>494</v>
      </c>
      <c r="D7" s="49">
        <f>_xlfn.XLOOKUP(C7,Tab_Def_Flows[Name(EN)],Tab_Def_Flows[Type_Biomass],,0,)</f>
        <v>0</v>
      </c>
      <c r="E7" s="49" t="str">
        <f>_xlfn.XLOOKUP(C7,Tab_Def_Flows[Name(EN)],Tab_Def_Flows[Output_Process],,0,)</f>
        <v>Cultivation</v>
      </c>
      <c r="F7" s="49" t="str">
        <f>_xlfn.XLOOKUP(C7,Tab_Def_Flows[Name(EN)],Tab_Def_Flows[Process_ID_O],,0,)</f>
        <v>00_Cul_</v>
      </c>
      <c r="G7" s="49" t="str">
        <f>_xlfn.XLOOKUP(C7,Tab_Def_Flows[Name(EN)],Tab_Def_Flows[Input_Process],,0,)</f>
        <v>Harvesting</v>
      </c>
      <c r="H7" s="61" t="str">
        <f>_xlfn.XLOOKUP(C7,Tab_Def_Flows[Name(EN)],Tab_Def_Flows[Process_ID_I],,0,)</f>
        <v>01_Har_</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2025</v>
      </c>
      <c r="N7" s="51" t="s">
        <v>349</v>
      </c>
      <c r="O7" s="114">
        <v>150</v>
      </c>
      <c r="P7" s="51"/>
      <c r="Q7" s="51" t="s">
        <v>360</v>
      </c>
      <c r="R7" s="51"/>
      <c r="S7" s="51"/>
      <c r="T7" s="51"/>
      <c r="U7" s="51"/>
      <c r="V7" s="51"/>
      <c r="W7" s="51"/>
      <c r="X7" s="51" t="s">
        <v>70</v>
      </c>
      <c r="Y7" s="104"/>
      <c r="Z7" s="51"/>
      <c r="AA7" s="85">
        <f t="shared" si="1"/>
        <v>150</v>
      </c>
      <c r="AB7" s="51"/>
      <c r="AC7" s="107">
        <f>INDEX(Tab_Def_Flows[[Flow_ID]:[CC_DM_source]],MATCH(Tab_Data_Flows[[#This Row],[Name(EN)]],Tab_Def_Flows[Name(EN)],0),16)</f>
        <v>0</v>
      </c>
      <c r="AD7" s="108">
        <f>IF(J7="Yes",AA7*Tab_Data_Flows[[#This Row],[WC_'[%']]],"N.A.")</f>
        <v>0</v>
      </c>
      <c r="AE7" s="61">
        <f>Tab_Data_Flows[[#This Row],[UoM_Flow_Py]]</f>
        <v>0</v>
      </c>
      <c r="AF7" s="107">
        <f>INDEX(Tab_Def_Flows[[Flow_ID]:[CC_DM_source]],MATCH(Tab_Data_Flows[[#This Row],[Name(EN)]],Tab_Def_Flows[Name(EN)],0),18)</f>
        <v>1</v>
      </c>
      <c r="AG7" s="108">
        <f>IF(K7="Yes",AF7*Tab_Data_Flows[[#This Row],[Flow_Py]],"N.A.")</f>
        <v>150</v>
      </c>
      <c r="AH7" s="61">
        <f>Tab_Data_Flows[[#This Row],[UoM_Flow_Py]]</f>
        <v>0</v>
      </c>
      <c r="AI7" s="107">
        <f>INDEX(Tab_Def_Flows[[Flow_ID]:[CC_DM_source]],MATCH(Tab_Data_Flows[[#This Row],[Name(EN)]],Tab_Def_Flows[Name(EN)],0),20)</f>
        <v>0.5</v>
      </c>
      <c r="AJ7" s="108">
        <f>IF(L7="Yes",AI7*Tab_Data_Flows[[#This Row],[Flow_Py]]*Tab_Data_Flows[[#This Row],[DM_'[%']]],"N.A.")</f>
        <v>75</v>
      </c>
      <c r="AK7" s="61">
        <f>Tab_Data_Flows[[#This Row],[UoM_Flow_Py]]</f>
        <v>0</v>
      </c>
    </row>
    <row r="8" spans="1:37" x14ac:dyDescent="0.25">
      <c r="A8" s="60">
        <f t="shared" si="0"/>
        <v>7</v>
      </c>
      <c r="B8" s="49" t="str">
        <f>_xlfn.XLOOKUP(C8,Tab_Def_Flows[Name(EN)],Tab_Def_Flows[Flow_ID],,0,)</f>
        <v>F_00_01</v>
      </c>
      <c r="C8" s="51" t="s">
        <v>494</v>
      </c>
      <c r="D8" s="49">
        <f>_xlfn.XLOOKUP(C8,Tab_Def_Flows[Name(EN)],Tab_Def_Flows[Type_Biomass],,0,)</f>
        <v>0</v>
      </c>
      <c r="E8" s="49" t="str">
        <f>_xlfn.XLOOKUP(C8,Tab_Def_Flows[Name(EN)],Tab_Def_Flows[Output_Process],,0,)</f>
        <v>Cultivation</v>
      </c>
      <c r="F8" s="49" t="str">
        <f>_xlfn.XLOOKUP(C8,Tab_Def_Flows[Name(EN)],Tab_Def_Flows[Process_ID_O],,0,)</f>
        <v>00_Cul_</v>
      </c>
      <c r="G8" s="49" t="str">
        <f>_xlfn.XLOOKUP(C8,Tab_Def_Flows[Name(EN)],Tab_Def_Flows[Input_Process],,0,)</f>
        <v>Harvesting</v>
      </c>
      <c r="H8" s="61" t="str">
        <f>_xlfn.XLOOKUP(C8,Tab_Def_Flows[Name(EN)],Tab_Def_Flows[Process_ID_I],,0,)</f>
        <v>01_Har_</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2026</v>
      </c>
      <c r="N8" s="51" t="s">
        <v>349</v>
      </c>
      <c r="O8" s="114">
        <v>160</v>
      </c>
      <c r="P8" s="51"/>
      <c r="Q8" s="51" t="s">
        <v>360</v>
      </c>
      <c r="R8" s="51"/>
      <c r="S8" s="51"/>
      <c r="T8" s="51"/>
      <c r="U8" s="51"/>
      <c r="V8" s="51"/>
      <c r="W8" s="51"/>
      <c r="X8" s="51" t="s">
        <v>70</v>
      </c>
      <c r="Y8" s="104"/>
      <c r="Z8" s="51"/>
      <c r="AA8" s="85">
        <f t="shared" si="1"/>
        <v>160</v>
      </c>
      <c r="AB8" s="51"/>
      <c r="AC8" s="107">
        <f>INDEX(Tab_Def_Flows[[Flow_ID]:[CC_DM_source]],MATCH(Tab_Data_Flows[[#This Row],[Name(EN)]],Tab_Def_Flows[Name(EN)],0),16)</f>
        <v>0</v>
      </c>
      <c r="AD8" s="108">
        <f>IF(J8="Yes",AA8*Tab_Data_Flows[[#This Row],[WC_'[%']]],"N.A.")</f>
        <v>0</v>
      </c>
      <c r="AE8" s="61">
        <f>Tab_Data_Flows[[#This Row],[UoM_Flow_Py]]</f>
        <v>0</v>
      </c>
      <c r="AF8" s="107">
        <f>INDEX(Tab_Def_Flows[[Flow_ID]:[CC_DM_source]],MATCH(Tab_Data_Flows[[#This Row],[Name(EN)]],Tab_Def_Flows[Name(EN)],0),18)</f>
        <v>1</v>
      </c>
      <c r="AG8" s="108">
        <f>IF(K8="Yes",AF8*Tab_Data_Flows[[#This Row],[Flow_Py]],"N.A.")</f>
        <v>160</v>
      </c>
      <c r="AH8" s="61">
        <f>Tab_Data_Flows[[#This Row],[UoM_Flow_Py]]</f>
        <v>0</v>
      </c>
      <c r="AI8" s="107">
        <f>INDEX(Tab_Def_Flows[[Flow_ID]:[CC_DM_source]],MATCH(Tab_Data_Flows[[#This Row],[Name(EN)]],Tab_Def_Flows[Name(EN)],0),20)</f>
        <v>0.5</v>
      </c>
      <c r="AJ8" s="108">
        <f>IF(L8="Yes",AI8*Tab_Data_Flows[[#This Row],[Flow_Py]]*Tab_Data_Flows[[#This Row],[DM_'[%']]],"N.A.")</f>
        <v>80</v>
      </c>
      <c r="AK8" s="61">
        <f>Tab_Data_Flows[[#This Row],[UoM_Flow_Py]]</f>
        <v>0</v>
      </c>
    </row>
    <row r="9" spans="1:37" x14ac:dyDescent="0.25">
      <c r="A9" s="60">
        <f t="shared" si="0"/>
        <v>8</v>
      </c>
      <c r="B9" s="49" t="str">
        <f>_xlfn.XLOOKUP(C9,Tab_Def_Flows[Name(EN)],Tab_Def_Flows[Flow_ID],,0,)</f>
        <v>F_00_01</v>
      </c>
      <c r="C9" s="51" t="s">
        <v>494</v>
      </c>
      <c r="D9" s="49">
        <f>_xlfn.XLOOKUP(C9,Tab_Def_Flows[Name(EN)],Tab_Def_Flows[Type_Biomass],,0,)</f>
        <v>0</v>
      </c>
      <c r="E9" s="49" t="str">
        <f>_xlfn.XLOOKUP(C9,Tab_Def_Flows[Name(EN)],Tab_Def_Flows[Output_Process],,0,)</f>
        <v>Cultivation</v>
      </c>
      <c r="F9" s="49" t="str">
        <f>_xlfn.XLOOKUP(C9,Tab_Def_Flows[Name(EN)],Tab_Def_Flows[Process_ID_O],,0,)</f>
        <v>00_Cul_</v>
      </c>
      <c r="G9" s="49" t="str">
        <f>_xlfn.XLOOKUP(C9,Tab_Def_Flows[Name(EN)],Tab_Def_Flows[Input_Process],,0,)</f>
        <v>Harvesting</v>
      </c>
      <c r="H9" s="61" t="str">
        <f>_xlfn.XLOOKUP(C9,Tab_Def_Flows[Name(EN)],Tab_Def_Flows[Process_ID_I],,0,)</f>
        <v>01_Har_</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2027</v>
      </c>
      <c r="N9" s="51" t="s">
        <v>349</v>
      </c>
      <c r="O9" s="114">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170</v>
      </c>
      <c r="AB9" s="51"/>
      <c r="AC9" s="107">
        <f>INDEX(Tab_Def_Flows[[Flow_ID]:[CC_DM_source]],MATCH(Tab_Data_Flows[[#This Row],[Name(EN)]],Tab_Def_Flows[Name(EN)],0),16)</f>
        <v>0</v>
      </c>
      <c r="AD9" s="108">
        <f>IF(J9="Yes",AA9*Tab_Data_Flows[[#This Row],[WC_'[%']]],"N.A.")</f>
        <v>0</v>
      </c>
      <c r="AE9" s="61">
        <f>Tab_Data_Flows[[#This Row],[UoM_Flow_Py]]</f>
        <v>0</v>
      </c>
      <c r="AF9" s="107">
        <f>INDEX(Tab_Def_Flows[[Flow_ID]:[CC_DM_source]],MATCH(Tab_Data_Flows[[#This Row],[Name(EN)]],Tab_Def_Flows[Name(EN)],0),18)</f>
        <v>1</v>
      </c>
      <c r="AG9" s="108">
        <f>IF(K9="Yes",AF9*Tab_Data_Flows[[#This Row],[Flow_Py]],"N.A.")</f>
        <v>170</v>
      </c>
      <c r="AH9" s="61">
        <f>Tab_Data_Flows[[#This Row],[UoM_Flow_Py]]</f>
        <v>0</v>
      </c>
      <c r="AI9" s="107">
        <f>INDEX(Tab_Def_Flows[[Flow_ID]:[CC_DM_source]],MATCH(Tab_Data_Flows[[#This Row],[Name(EN)]],Tab_Def_Flows[Name(EN)],0),20)</f>
        <v>0.5</v>
      </c>
      <c r="AJ9" s="108">
        <f>IF(L9="Yes",AI9*Tab_Data_Flows[[#This Row],[Flow_Py]]*Tab_Data_Flows[[#This Row],[DM_'[%']]],"N.A.")</f>
        <v>85</v>
      </c>
      <c r="AK9" s="61">
        <f>Tab_Data_Flows[[#This Row],[UoM_Flow_Py]]</f>
        <v>0</v>
      </c>
    </row>
    <row r="10" spans="1:37" x14ac:dyDescent="0.25">
      <c r="A10" s="60">
        <f t="shared" si="0"/>
        <v>9</v>
      </c>
      <c r="B10" s="49" t="str">
        <f>_xlfn.XLOOKUP(C10,Tab_Def_Flows[Name(EN)],Tab_Def_Flows[Flow_ID],,0,)</f>
        <v>F_00_01</v>
      </c>
      <c r="C10" s="51" t="s">
        <v>494</v>
      </c>
      <c r="D10" s="49">
        <f>_xlfn.XLOOKUP(C10,Tab_Def_Flows[Name(EN)],Tab_Def_Flows[Type_Biomass],,0,)</f>
        <v>0</v>
      </c>
      <c r="E10" s="49" t="str">
        <f>_xlfn.XLOOKUP(C10,Tab_Def_Flows[Name(EN)],Tab_Def_Flows[Output_Process],,0,)</f>
        <v>Cultivation</v>
      </c>
      <c r="F10" s="49" t="str">
        <f>_xlfn.XLOOKUP(C10,Tab_Def_Flows[Name(EN)],Tab_Def_Flows[Process_ID_O],,0,)</f>
        <v>00_Cul_</v>
      </c>
      <c r="G10" s="49" t="str">
        <f>_xlfn.XLOOKUP(C10,Tab_Def_Flows[Name(EN)],Tab_Def_Flows[Input_Process],,0,)</f>
        <v>Harvesting</v>
      </c>
      <c r="H10" s="61" t="str">
        <f>_xlfn.XLOOKUP(C10,Tab_Def_Flows[Name(EN)],Tab_Def_Flows[Process_ID_I],,0,)</f>
        <v>01_Har_</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2028</v>
      </c>
      <c r="N10" s="51" t="s">
        <v>349</v>
      </c>
      <c r="O10" s="114">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180</v>
      </c>
      <c r="AB10" s="51"/>
      <c r="AC10" s="107">
        <f>INDEX(Tab_Def_Flows[[Flow_ID]:[CC_DM_source]],MATCH(Tab_Data_Flows[[#This Row],[Name(EN)]],Tab_Def_Flows[Name(EN)],0),16)</f>
        <v>0</v>
      </c>
      <c r="AD10" s="108">
        <f>IF(J10="Yes",AA10*Tab_Data_Flows[[#This Row],[WC_'[%']]],"N.A.")</f>
        <v>0</v>
      </c>
      <c r="AE10" s="61">
        <f>Tab_Data_Flows[[#This Row],[UoM_Flow_Py]]</f>
        <v>0</v>
      </c>
      <c r="AF10" s="107">
        <f>INDEX(Tab_Def_Flows[[Flow_ID]:[CC_DM_source]],MATCH(Tab_Data_Flows[[#This Row],[Name(EN)]],Tab_Def_Flows[Name(EN)],0),18)</f>
        <v>1</v>
      </c>
      <c r="AG10" s="108">
        <f>IF(K10="Yes",AF10*Tab_Data_Flows[[#This Row],[Flow_Py]],"N.A.")</f>
        <v>180</v>
      </c>
      <c r="AH10" s="61">
        <f>Tab_Data_Flows[[#This Row],[UoM_Flow_Py]]</f>
        <v>0</v>
      </c>
      <c r="AI10" s="107">
        <f>INDEX(Tab_Def_Flows[[Flow_ID]:[CC_DM_source]],MATCH(Tab_Data_Flows[[#This Row],[Name(EN)]],Tab_Def_Flows[Name(EN)],0),20)</f>
        <v>0.5</v>
      </c>
      <c r="AJ10" s="108">
        <f>IF(L10="Yes",AI10*Tab_Data_Flows[[#This Row],[Flow_Py]]*Tab_Data_Flows[[#This Row],[DM_'[%']]],"N.A.")</f>
        <v>90</v>
      </c>
      <c r="AK10" s="61">
        <f>Tab_Data_Flows[[#This Row],[UoM_Flow_Py]]</f>
        <v>0</v>
      </c>
    </row>
    <row r="11" spans="1:37" x14ac:dyDescent="0.25">
      <c r="A11" s="60">
        <f t="shared" si="0"/>
        <v>10</v>
      </c>
      <c r="B11" s="49" t="str">
        <f>_xlfn.XLOOKUP(C11,Tab_Def_Flows[Name(EN)],Tab_Def_Flows[Flow_ID],,0,)</f>
        <v>F_00_01</v>
      </c>
      <c r="C11" s="51" t="s">
        <v>494</v>
      </c>
      <c r="D11" s="49">
        <f>_xlfn.XLOOKUP(C11,Tab_Def_Flows[Name(EN)],Tab_Def_Flows[Type_Biomass],,0,)</f>
        <v>0</v>
      </c>
      <c r="E11" s="49" t="str">
        <f>_xlfn.XLOOKUP(C11,Tab_Def_Flows[Name(EN)],Tab_Def_Flows[Output_Process],,0,)</f>
        <v>Cultivation</v>
      </c>
      <c r="F11" s="49" t="str">
        <f>_xlfn.XLOOKUP(C11,Tab_Def_Flows[Name(EN)],Tab_Def_Flows[Process_ID_O],,0,)</f>
        <v>00_Cul_</v>
      </c>
      <c r="G11" s="49" t="str">
        <f>_xlfn.XLOOKUP(C11,Tab_Def_Flows[Name(EN)],Tab_Def_Flows[Input_Process],,0,)</f>
        <v>Harvesting</v>
      </c>
      <c r="H11" s="61" t="str">
        <f>_xlfn.XLOOKUP(C11,Tab_Def_Flows[Name(EN)],Tab_Def_Flows[Process_ID_I],,0,)</f>
        <v>01_Har_</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2029</v>
      </c>
      <c r="N11" s="51" t="s">
        <v>349</v>
      </c>
      <c r="O11" s="114">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190</v>
      </c>
      <c r="AB11" s="51"/>
      <c r="AC11" s="107">
        <f>INDEX(Tab_Def_Flows[[Flow_ID]:[CC_DM_source]],MATCH(Tab_Data_Flows[[#This Row],[Name(EN)]],Tab_Def_Flows[Name(EN)],0),16)</f>
        <v>0</v>
      </c>
      <c r="AD11" s="108">
        <f>IF(J11="Yes",AA11*Tab_Data_Flows[[#This Row],[WC_'[%']]],"N.A.")</f>
        <v>0</v>
      </c>
      <c r="AE11" s="61">
        <f>Tab_Data_Flows[[#This Row],[UoM_Flow_Py]]</f>
        <v>0</v>
      </c>
      <c r="AF11" s="107">
        <f>INDEX(Tab_Def_Flows[[Flow_ID]:[CC_DM_source]],MATCH(Tab_Data_Flows[[#This Row],[Name(EN)]],Tab_Def_Flows[Name(EN)],0),18)</f>
        <v>1</v>
      </c>
      <c r="AG11" s="108">
        <f>IF(K11="Yes",AF11*Tab_Data_Flows[[#This Row],[Flow_Py]],"N.A.")</f>
        <v>190</v>
      </c>
      <c r="AH11" s="61">
        <f>Tab_Data_Flows[[#This Row],[UoM_Flow_Py]]</f>
        <v>0</v>
      </c>
      <c r="AI11" s="107">
        <f>INDEX(Tab_Def_Flows[[Flow_ID]:[CC_DM_source]],MATCH(Tab_Data_Flows[[#This Row],[Name(EN)]],Tab_Def_Flows[Name(EN)],0),20)</f>
        <v>0.5</v>
      </c>
      <c r="AJ11" s="108">
        <f>IF(L11="Yes",AI11*Tab_Data_Flows[[#This Row],[Flow_Py]]*Tab_Data_Flows[[#This Row],[DM_'[%']]],"N.A.")</f>
        <v>95</v>
      </c>
      <c r="AK11" s="61">
        <f>Tab_Data_Flows[[#This Row],[UoM_Flow_Py]]</f>
        <v>0</v>
      </c>
    </row>
    <row r="12" spans="1:37" x14ac:dyDescent="0.25">
      <c r="A12" s="60">
        <f t="shared" si="0"/>
        <v>11</v>
      </c>
      <c r="B12" s="49" t="str">
        <f>_xlfn.XLOOKUP(C12,Tab_Def_Flows[Name(EN)],Tab_Def_Flows[Flow_ID],,0,)</f>
        <v>F_00_01</v>
      </c>
      <c r="C12" s="51" t="s">
        <v>494</v>
      </c>
      <c r="D12" s="49">
        <f>_xlfn.XLOOKUP(C12,Tab_Def_Flows[Name(EN)],Tab_Def_Flows[Type_Biomass],,0,)</f>
        <v>0</v>
      </c>
      <c r="E12" s="49" t="str">
        <f>_xlfn.XLOOKUP(C12,Tab_Def_Flows[Name(EN)],Tab_Def_Flows[Output_Process],,0,)</f>
        <v>Cultivation</v>
      </c>
      <c r="F12" s="49" t="str">
        <f>_xlfn.XLOOKUP(C12,Tab_Def_Flows[Name(EN)],Tab_Def_Flows[Process_ID_O],,0,)</f>
        <v>00_Cul_</v>
      </c>
      <c r="G12" s="49" t="str">
        <f>_xlfn.XLOOKUP(C12,Tab_Def_Flows[Name(EN)],Tab_Def_Flows[Input_Process],,0,)</f>
        <v>Harvesting</v>
      </c>
      <c r="H12" s="61" t="str">
        <f>_xlfn.XLOOKUP(C12,Tab_Def_Flows[Name(EN)],Tab_Def_Flows[Process_ID_I],,0,)</f>
        <v>01_Har_</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2030</v>
      </c>
      <c r="N12" s="51" t="s">
        <v>349</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c r="AC12" s="107">
        <f>INDEX(Tab_Def_Flows[[Flow_ID]:[CC_DM_source]],MATCH(Tab_Data_Flows[[#This Row],[Name(EN)]],Tab_Def_Flows[Name(EN)],0),16)</f>
        <v>0</v>
      </c>
      <c r="AD12" s="108">
        <f>IF(J12="Yes",AA12*Tab_Data_Flows[[#This Row],[WC_'[%']]],"N.A.")</f>
        <v>0</v>
      </c>
      <c r="AE12" s="61">
        <f>Tab_Data_Flows[[#This Row],[UoM_Flow_Py]]</f>
        <v>0</v>
      </c>
      <c r="AF12" s="107">
        <f>INDEX(Tab_Def_Flows[[Flow_ID]:[CC_DM_source]],MATCH(Tab_Data_Flows[[#This Row],[Name(EN)]],Tab_Def_Flows[Name(EN)],0),18)</f>
        <v>1</v>
      </c>
      <c r="AG12" s="108">
        <f>IF(K12="Yes",AF12*Tab_Data_Flows[[#This Row],[Flow_Py]],"N.A.")</f>
        <v>200</v>
      </c>
      <c r="AH12" s="61">
        <f>Tab_Data_Flows[[#This Row],[UoM_Flow_Py]]</f>
        <v>0</v>
      </c>
      <c r="AI12" s="107">
        <f>INDEX(Tab_Def_Flows[[Flow_ID]:[CC_DM_source]],MATCH(Tab_Data_Flows[[#This Row],[Name(EN)]],Tab_Def_Flows[Name(EN)],0),20)</f>
        <v>0.5</v>
      </c>
      <c r="AJ12" s="108">
        <f>IF(L12="Yes",AI12*Tab_Data_Flows[[#This Row],[Flow_Py]]*Tab_Data_Flows[[#This Row],[DM_'[%']]],"N.A.")</f>
        <v>100</v>
      </c>
      <c r="AK12" s="61">
        <f>Tab_Data_Flows[[#This Row],[UoM_Flow_Py]]</f>
        <v>0</v>
      </c>
    </row>
    <row r="13" spans="1:37" x14ac:dyDescent="0.25">
      <c r="A13" s="60">
        <f t="shared" si="0"/>
        <v>12</v>
      </c>
      <c r="B13" s="49" t="str">
        <f>_xlfn.XLOOKUP(C13,Tab_Def_Flows[Name(EN)],Tab_Def_Flows[Flow_ID],,0,)</f>
        <v>F_00_01</v>
      </c>
      <c r="C13" s="51" t="s">
        <v>494</v>
      </c>
      <c r="D13" s="49">
        <f>_xlfn.XLOOKUP(C13,Tab_Def_Flows[Name(EN)],Tab_Def_Flows[Type_Biomass],,0,)</f>
        <v>0</v>
      </c>
      <c r="E13" s="49" t="str">
        <f>_xlfn.XLOOKUP(C13,Tab_Def_Flows[Name(EN)],Tab_Def_Flows[Output_Process],,0,)</f>
        <v>Cultivation</v>
      </c>
      <c r="F13" s="49" t="str">
        <f>_xlfn.XLOOKUP(C13,Tab_Def_Flows[Name(EN)],Tab_Def_Flows[Process_ID_O],,0,)</f>
        <v>00_Cul_</v>
      </c>
      <c r="G13" s="49" t="str">
        <f>_xlfn.XLOOKUP(C13,Tab_Def_Flows[Name(EN)],Tab_Def_Flows[Input_Process],,0,)</f>
        <v>Harvesting</v>
      </c>
      <c r="H13" s="61" t="str">
        <f>_xlfn.XLOOKUP(C13,Tab_Def_Flows[Name(EN)],Tab_Def_Flows[Process_ID_I],,0,)</f>
        <v>01_Har_</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2031</v>
      </c>
      <c r="N13" s="51" t="s">
        <v>349</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c r="AC13" s="107">
        <f>INDEX(Tab_Def_Flows[[Flow_ID]:[CC_DM_source]],MATCH(Tab_Data_Flows[[#This Row],[Name(EN)]],Tab_Def_Flows[Name(EN)],0),16)</f>
        <v>0</v>
      </c>
      <c r="AD13" s="108">
        <f>IF(J13="Yes",AA13*Tab_Data_Flows[[#This Row],[WC_'[%']]],"N.A.")</f>
        <v>0</v>
      </c>
      <c r="AE13" s="61">
        <f>Tab_Data_Flows[[#This Row],[UoM_Flow_Py]]</f>
        <v>0</v>
      </c>
      <c r="AF13" s="107">
        <f>INDEX(Tab_Def_Flows[[Flow_ID]:[CC_DM_source]],MATCH(Tab_Data_Flows[[#This Row],[Name(EN)]],Tab_Def_Flows[Name(EN)],0),18)</f>
        <v>1</v>
      </c>
      <c r="AG13" s="108">
        <f>IF(K13="Yes",AF13*Tab_Data_Flows[[#This Row],[Flow_Py]],"N.A.")</f>
        <v>10</v>
      </c>
      <c r="AH13" s="61">
        <f>Tab_Data_Flows[[#This Row],[UoM_Flow_Py]]</f>
        <v>0</v>
      </c>
      <c r="AI13" s="107">
        <f>INDEX(Tab_Def_Flows[[Flow_ID]:[CC_DM_source]],MATCH(Tab_Data_Flows[[#This Row],[Name(EN)]],Tab_Def_Flows[Name(EN)],0),20)</f>
        <v>0.5</v>
      </c>
      <c r="AJ13" s="108">
        <f>IF(L13="Yes",AI13*Tab_Data_Flows[[#This Row],[Flow_Py]]*Tab_Data_Flows[[#This Row],[DM_'[%']]],"N.A.")</f>
        <v>5</v>
      </c>
      <c r="AK13" s="61">
        <f>Tab_Data_Flows[[#This Row],[UoM_Flow_Py]]</f>
        <v>0</v>
      </c>
    </row>
    <row r="14" spans="1:37" x14ac:dyDescent="0.25">
      <c r="A14" s="60">
        <f t="shared" si="0"/>
        <v>13</v>
      </c>
      <c r="B14" s="49" t="str">
        <f>_xlfn.XLOOKUP(C14,Tab_Def_Flows[Name(EN)],Tab_Def_Flows[Flow_ID],,0,)</f>
        <v>F_00_01</v>
      </c>
      <c r="C14" s="51" t="s">
        <v>494</v>
      </c>
      <c r="D14" s="49">
        <f>_xlfn.XLOOKUP(C14,Tab_Def_Flows[Name(EN)],Tab_Def_Flows[Type_Biomass],,0,)</f>
        <v>0</v>
      </c>
      <c r="E14" s="49" t="str">
        <f>_xlfn.XLOOKUP(C14,Tab_Def_Flows[Name(EN)],Tab_Def_Flows[Output_Process],,0,)</f>
        <v>Cultivation</v>
      </c>
      <c r="F14" s="49" t="str">
        <f>_xlfn.XLOOKUP(C14,Tab_Def_Flows[Name(EN)],Tab_Def_Flows[Process_ID_O],,0,)</f>
        <v>00_Cul_</v>
      </c>
      <c r="G14" s="49" t="str">
        <f>_xlfn.XLOOKUP(C14,Tab_Def_Flows[Name(EN)],Tab_Def_Flows[Input_Process],,0,)</f>
        <v>Harvesting</v>
      </c>
      <c r="H14" s="61" t="str">
        <f>_xlfn.XLOOKUP(C14,Tab_Def_Flows[Name(EN)],Tab_Def_Flows[Process_ID_I],,0,)</f>
        <v>01_Har_</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2032</v>
      </c>
      <c r="N14" s="51" t="s">
        <v>349</v>
      </c>
      <c r="O14" s="114">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220</v>
      </c>
      <c r="AB14" s="51"/>
      <c r="AC14" s="107">
        <f>INDEX(Tab_Def_Flows[[Flow_ID]:[CC_DM_source]],MATCH(Tab_Data_Flows[[#This Row],[Name(EN)]],Tab_Def_Flows[Name(EN)],0),16)</f>
        <v>0</v>
      </c>
      <c r="AD14" s="108">
        <f>IF(J14="Yes",AA14*Tab_Data_Flows[[#This Row],[WC_'[%']]],"N.A.")</f>
        <v>0</v>
      </c>
      <c r="AE14" s="61">
        <f>Tab_Data_Flows[[#This Row],[UoM_Flow_Py]]</f>
        <v>0</v>
      </c>
      <c r="AF14" s="107">
        <f>INDEX(Tab_Def_Flows[[Flow_ID]:[CC_DM_source]],MATCH(Tab_Data_Flows[[#This Row],[Name(EN)]],Tab_Def_Flows[Name(EN)],0),18)</f>
        <v>1</v>
      </c>
      <c r="AG14" s="108">
        <f>IF(K14="Yes",AF14*Tab_Data_Flows[[#This Row],[Flow_Py]],"N.A.")</f>
        <v>220</v>
      </c>
      <c r="AH14" s="61">
        <f>Tab_Data_Flows[[#This Row],[UoM_Flow_Py]]</f>
        <v>0</v>
      </c>
      <c r="AI14" s="107">
        <f>INDEX(Tab_Def_Flows[[Flow_ID]:[CC_DM_source]],MATCH(Tab_Data_Flows[[#This Row],[Name(EN)]],Tab_Def_Flows[Name(EN)],0),20)</f>
        <v>0.5</v>
      </c>
      <c r="AJ14" s="108">
        <f>IF(L14="Yes",AI14*Tab_Data_Flows[[#This Row],[Flow_Py]]*Tab_Data_Flows[[#This Row],[DM_'[%']]],"N.A.")</f>
        <v>110</v>
      </c>
      <c r="AK14" s="61">
        <f>Tab_Data_Flows[[#This Row],[UoM_Flow_Py]]</f>
        <v>0</v>
      </c>
    </row>
    <row r="15" spans="1:37" x14ac:dyDescent="0.25">
      <c r="A15" s="60">
        <f t="shared" si="0"/>
        <v>14</v>
      </c>
      <c r="B15" s="49" t="str">
        <f>_xlfn.XLOOKUP(C15,Tab_Def_Flows[Name(EN)],Tab_Def_Flows[Flow_ID],,0,)</f>
        <v>F_00_01</v>
      </c>
      <c r="C15" s="51" t="s">
        <v>494</v>
      </c>
      <c r="D15" s="49">
        <f>_xlfn.XLOOKUP(C15,Tab_Def_Flows[Name(EN)],Tab_Def_Flows[Type_Biomass],,0,)</f>
        <v>0</v>
      </c>
      <c r="E15" s="49" t="str">
        <f>_xlfn.XLOOKUP(C15,Tab_Def_Flows[Name(EN)],Tab_Def_Flows[Output_Process],,0,)</f>
        <v>Cultivation</v>
      </c>
      <c r="F15" s="49" t="str">
        <f>_xlfn.XLOOKUP(C15,Tab_Def_Flows[Name(EN)],Tab_Def_Flows[Process_ID_O],,0,)</f>
        <v>00_Cul_</v>
      </c>
      <c r="G15" s="49" t="str">
        <f>_xlfn.XLOOKUP(C15,Tab_Def_Flows[Name(EN)],Tab_Def_Flows[Input_Process],,0,)</f>
        <v>Harvesting</v>
      </c>
      <c r="H15" s="61" t="str">
        <f>_xlfn.XLOOKUP(C15,Tab_Def_Flows[Name(EN)],Tab_Def_Flows[Process_ID_I],,0,)</f>
        <v>01_Har_</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2033</v>
      </c>
      <c r="N15" s="51" t="s">
        <v>349</v>
      </c>
      <c r="O15" s="114">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230</v>
      </c>
      <c r="AB15" s="51"/>
      <c r="AC15" s="107">
        <f>INDEX(Tab_Def_Flows[[Flow_ID]:[CC_DM_source]],MATCH(Tab_Data_Flows[[#This Row],[Name(EN)]],Tab_Def_Flows[Name(EN)],0),16)</f>
        <v>0</v>
      </c>
      <c r="AD15" s="108">
        <f>IF(J15="Yes",AA15*Tab_Data_Flows[[#This Row],[WC_'[%']]],"N.A.")</f>
        <v>0</v>
      </c>
      <c r="AE15" s="61">
        <f>Tab_Data_Flows[[#This Row],[UoM_Flow_Py]]</f>
        <v>0</v>
      </c>
      <c r="AF15" s="107">
        <f>INDEX(Tab_Def_Flows[[Flow_ID]:[CC_DM_source]],MATCH(Tab_Data_Flows[[#This Row],[Name(EN)]],Tab_Def_Flows[Name(EN)],0),18)</f>
        <v>1</v>
      </c>
      <c r="AG15" s="108">
        <f>IF(K15="Yes",AF15*Tab_Data_Flows[[#This Row],[Flow_Py]],"N.A.")</f>
        <v>230</v>
      </c>
      <c r="AH15" s="61">
        <f>Tab_Data_Flows[[#This Row],[UoM_Flow_Py]]</f>
        <v>0</v>
      </c>
      <c r="AI15" s="107">
        <f>INDEX(Tab_Def_Flows[[Flow_ID]:[CC_DM_source]],MATCH(Tab_Data_Flows[[#This Row],[Name(EN)]],Tab_Def_Flows[Name(EN)],0),20)</f>
        <v>0.5</v>
      </c>
      <c r="AJ15" s="108">
        <f>IF(L15="Yes",AI15*Tab_Data_Flows[[#This Row],[Flow_Py]]*Tab_Data_Flows[[#This Row],[DM_'[%']]],"N.A.")</f>
        <v>115</v>
      </c>
      <c r="AK15" s="61">
        <f>Tab_Data_Flows[[#This Row],[UoM_Flow_Py]]</f>
        <v>0</v>
      </c>
    </row>
    <row r="16" spans="1:37" x14ac:dyDescent="0.25">
      <c r="A16" s="60">
        <f t="shared" si="0"/>
        <v>15</v>
      </c>
      <c r="B16" s="49" t="str">
        <f>_xlfn.XLOOKUP(C16,Tab_Def_Flows[Name(EN)],Tab_Def_Flows[Flow_ID],,0,)</f>
        <v>F_00_01</v>
      </c>
      <c r="C16" s="51" t="s">
        <v>494</v>
      </c>
      <c r="D16" s="49">
        <f>_xlfn.XLOOKUP(C16,Tab_Def_Flows[Name(EN)],Tab_Def_Flows[Type_Biomass],,0,)</f>
        <v>0</v>
      </c>
      <c r="E16" s="49" t="str">
        <f>_xlfn.XLOOKUP(C16,Tab_Def_Flows[Name(EN)],Tab_Def_Flows[Output_Process],,0,)</f>
        <v>Cultivation</v>
      </c>
      <c r="F16" s="49" t="str">
        <f>_xlfn.XLOOKUP(C16,Tab_Def_Flows[Name(EN)],Tab_Def_Flows[Process_ID_O],,0,)</f>
        <v>00_Cul_</v>
      </c>
      <c r="G16" s="49" t="str">
        <f>_xlfn.XLOOKUP(C16,Tab_Def_Flows[Name(EN)],Tab_Def_Flows[Input_Process],,0,)</f>
        <v>Harvesting</v>
      </c>
      <c r="H16" s="61" t="str">
        <f>_xlfn.XLOOKUP(C16,Tab_Def_Flows[Name(EN)],Tab_Def_Flows[Process_ID_I],,0,)</f>
        <v>01_Har_</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2034</v>
      </c>
      <c r="N16" s="51" t="s">
        <v>349</v>
      </c>
      <c r="O16" s="114">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240</v>
      </c>
      <c r="AB16" s="51"/>
      <c r="AC16" s="107">
        <f>INDEX(Tab_Def_Flows[[Flow_ID]:[CC_DM_source]],MATCH(Tab_Data_Flows[[#This Row],[Name(EN)]],Tab_Def_Flows[Name(EN)],0),16)</f>
        <v>0</v>
      </c>
      <c r="AD16" s="108">
        <f>IF(J16="Yes",AA16*Tab_Data_Flows[[#This Row],[WC_'[%']]],"N.A.")</f>
        <v>0</v>
      </c>
      <c r="AE16" s="61">
        <f>Tab_Data_Flows[[#This Row],[UoM_Flow_Py]]</f>
        <v>0</v>
      </c>
      <c r="AF16" s="107">
        <f>INDEX(Tab_Def_Flows[[Flow_ID]:[CC_DM_source]],MATCH(Tab_Data_Flows[[#This Row],[Name(EN)]],Tab_Def_Flows[Name(EN)],0),18)</f>
        <v>1</v>
      </c>
      <c r="AG16" s="108">
        <f>IF(K16="Yes",AF16*Tab_Data_Flows[[#This Row],[Flow_Py]],"N.A.")</f>
        <v>240</v>
      </c>
      <c r="AH16" s="61">
        <f>Tab_Data_Flows[[#This Row],[UoM_Flow_Py]]</f>
        <v>0</v>
      </c>
      <c r="AI16" s="107">
        <f>INDEX(Tab_Def_Flows[[Flow_ID]:[CC_DM_source]],MATCH(Tab_Data_Flows[[#This Row],[Name(EN)]],Tab_Def_Flows[Name(EN)],0),20)</f>
        <v>0.5</v>
      </c>
      <c r="AJ16" s="108">
        <f>IF(L16="Yes",AI16*Tab_Data_Flows[[#This Row],[Flow_Py]]*Tab_Data_Flows[[#This Row],[DM_'[%']]],"N.A.")</f>
        <v>120</v>
      </c>
      <c r="AK16" s="61">
        <f>Tab_Data_Flows[[#This Row],[UoM_Flow_Py]]</f>
        <v>0</v>
      </c>
    </row>
    <row r="17" spans="1:37" x14ac:dyDescent="0.25">
      <c r="A17" s="60">
        <f t="shared" si="0"/>
        <v>16</v>
      </c>
      <c r="B17" s="49" t="str">
        <f>_xlfn.XLOOKUP(C17,Tab_Def_Flows[Name(EN)],Tab_Def_Flows[Flow_ID],,0,)</f>
        <v>F_00_01</v>
      </c>
      <c r="C17" s="51" t="s">
        <v>494</v>
      </c>
      <c r="D17" s="49">
        <f>_xlfn.XLOOKUP(C17,Tab_Def_Flows[Name(EN)],Tab_Def_Flows[Type_Biomass],,0,)</f>
        <v>0</v>
      </c>
      <c r="E17" s="49" t="str">
        <f>_xlfn.XLOOKUP(C17,Tab_Def_Flows[Name(EN)],Tab_Def_Flows[Output_Process],,0,)</f>
        <v>Cultivation</v>
      </c>
      <c r="F17" s="49" t="str">
        <f>_xlfn.XLOOKUP(C17,Tab_Def_Flows[Name(EN)],Tab_Def_Flows[Process_ID_O],,0,)</f>
        <v>00_Cul_</v>
      </c>
      <c r="G17" s="49" t="str">
        <f>_xlfn.XLOOKUP(C17,Tab_Def_Flows[Name(EN)],Tab_Def_Flows[Input_Process],,0,)</f>
        <v>Harvesting</v>
      </c>
      <c r="H17" s="61" t="str">
        <f>_xlfn.XLOOKUP(C17,Tab_Def_Flows[Name(EN)],Tab_Def_Flows[Process_ID_I],,0,)</f>
        <v>01_Har_</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2035</v>
      </c>
      <c r="N17" s="51" t="s">
        <v>349</v>
      </c>
      <c r="O17" s="114">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250</v>
      </c>
      <c r="AB17" s="51"/>
      <c r="AC17" s="107">
        <f>INDEX(Tab_Def_Flows[[Flow_ID]:[CC_DM_source]],MATCH(Tab_Data_Flows[[#This Row],[Name(EN)]],Tab_Def_Flows[Name(EN)],0),16)</f>
        <v>0</v>
      </c>
      <c r="AD17" s="108">
        <f>IF(J17="Yes",AA17*Tab_Data_Flows[[#This Row],[WC_'[%']]],"N.A.")</f>
        <v>0</v>
      </c>
      <c r="AE17" s="61">
        <f>Tab_Data_Flows[[#This Row],[UoM_Flow_Py]]</f>
        <v>0</v>
      </c>
      <c r="AF17" s="107">
        <f>INDEX(Tab_Def_Flows[[Flow_ID]:[CC_DM_source]],MATCH(Tab_Data_Flows[[#This Row],[Name(EN)]],Tab_Def_Flows[Name(EN)],0),18)</f>
        <v>1</v>
      </c>
      <c r="AG17" s="108">
        <f>IF(K17="Yes",AF17*Tab_Data_Flows[[#This Row],[Flow_Py]],"N.A.")</f>
        <v>250</v>
      </c>
      <c r="AH17" s="61">
        <f>Tab_Data_Flows[[#This Row],[UoM_Flow_Py]]</f>
        <v>0</v>
      </c>
      <c r="AI17" s="107">
        <f>INDEX(Tab_Def_Flows[[Flow_ID]:[CC_DM_source]],MATCH(Tab_Data_Flows[[#This Row],[Name(EN)]],Tab_Def_Flows[Name(EN)],0),20)</f>
        <v>0.5</v>
      </c>
      <c r="AJ17" s="108">
        <f>IF(L17="Yes",AI17*Tab_Data_Flows[[#This Row],[Flow_Py]]*Tab_Data_Flows[[#This Row],[DM_'[%']]],"N.A.")</f>
        <v>125</v>
      </c>
      <c r="AK17" s="61">
        <f>Tab_Data_Flows[[#This Row],[UoM_Flow_Py]]</f>
        <v>0</v>
      </c>
    </row>
    <row r="18" spans="1:37" x14ac:dyDescent="0.25">
      <c r="A18" s="60">
        <f t="shared" si="0"/>
        <v>17</v>
      </c>
      <c r="B18" s="49" t="str">
        <f>_xlfn.XLOOKUP(C18,Tab_Def_Flows[Name(EN)],Tab_Def_Flows[Flow_ID],,0,)</f>
        <v>F_00_01</v>
      </c>
      <c r="C18" s="51" t="s">
        <v>494</v>
      </c>
      <c r="D18" s="49">
        <f>_xlfn.XLOOKUP(C18,Tab_Def_Flows[Name(EN)],Tab_Def_Flows[Type_Biomass],,0,)</f>
        <v>0</v>
      </c>
      <c r="E18" s="49" t="str">
        <f>_xlfn.XLOOKUP(C18,Tab_Def_Flows[Name(EN)],Tab_Def_Flows[Output_Process],,0,)</f>
        <v>Cultivation</v>
      </c>
      <c r="F18" s="49" t="str">
        <f>_xlfn.XLOOKUP(C18,Tab_Def_Flows[Name(EN)],Tab_Def_Flows[Process_ID_O],,0,)</f>
        <v>00_Cul_</v>
      </c>
      <c r="G18" s="49" t="str">
        <f>_xlfn.XLOOKUP(C18,Tab_Def_Flows[Name(EN)],Tab_Def_Flows[Input_Process],,0,)</f>
        <v>Harvesting</v>
      </c>
      <c r="H18" s="61" t="str">
        <f>_xlfn.XLOOKUP(C18,Tab_Def_Flows[Name(EN)],Tab_Def_Flows[Process_ID_I],,0,)</f>
        <v>01_Har_</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2036</v>
      </c>
      <c r="N18" s="51" t="s">
        <v>349</v>
      </c>
      <c r="O18" s="114">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260</v>
      </c>
      <c r="AB18" s="51"/>
      <c r="AC18" s="107">
        <f>INDEX(Tab_Def_Flows[[Flow_ID]:[CC_DM_source]],MATCH(Tab_Data_Flows[[#This Row],[Name(EN)]],Tab_Def_Flows[Name(EN)],0),16)</f>
        <v>0</v>
      </c>
      <c r="AD18" s="108">
        <f>IF(J18="Yes",AA18*Tab_Data_Flows[[#This Row],[WC_'[%']]],"N.A.")</f>
        <v>0</v>
      </c>
      <c r="AE18" s="61">
        <f>Tab_Data_Flows[[#This Row],[UoM_Flow_Py]]</f>
        <v>0</v>
      </c>
      <c r="AF18" s="107">
        <f>INDEX(Tab_Def_Flows[[Flow_ID]:[CC_DM_source]],MATCH(Tab_Data_Flows[[#This Row],[Name(EN)]],Tab_Def_Flows[Name(EN)],0),18)</f>
        <v>1</v>
      </c>
      <c r="AG18" s="108">
        <f>IF(K18="Yes",AF18*Tab_Data_Flows[[#This Row],[Flow_Py]],"N.A.")</f>
        <v>260</v>
      </c>
      <c r="AH18" s="61">
        <f>Tab_Data_Flows[[#This Row],[UoM_Flow_Py]]</f>
        <v>0</v>
      </c>
      <c r="AI18" s="107">
        <f>INDEX(Tab_Def_Flows[[Flow_ID]:[CC_DM_source]],MATCH(Tab_Data_Flows[[#This Row],[Name(EN)]],Tab_Def_Flows[Name(EN)],0),20)</f>
        <v>0.5</v>
      </c>
      <c r="AJ18" s="108">
        <f>IF(L18="Yes",AI18*Tab_Data_Flows[[#This Row],[Flow_Py]]*Tab_Data_Flows[[#This Row],[DM_'[%']]],"N.A.")</f>
        <v>130</v>
      </c>
      <c r="AK18" s="61">
        <f>Tab_Data_Flows[[#This Row],[UoM_Flow_Py]]</f>
        <v>0</v>
      </c>
    </row>
    <row r="19" spans="1:37" x14ac:dyDescent="0.25">
      <c r="A19" s="60">
        <f t="shared" si="0"/>
        <v>18</v>
      </c>
      <c r="B19" s="49" t="str">
        <f>_xlfn.XLOOKUP(C19,Tab_Def_Flows[Name(EN)],Tab_Def_Flows[Flow_ID],,0,)</f>
        <v>F_00_01</v>
      </c>
      <c r="C19" s="51" t="s">
        <v>494</v>
      </c>
      <c r="D19" s="49">
        <f>_xlfn.XLOOKUP(C19,Tab_Def_Flows[Name(EN)],Tab_Def_Flows[Type_Biomass],,0,)</f>
        <v>0</v>
      </c>
      <c r="E19" s="49" t="str">
        <f>_xlfn.XLOOKUP(C19,Tab_Def_Flows[Name(EN)],Tab_Def_Flows[Output_Process],,0,)</f>
        <v>Cultivation</v>
      </c>
      <c r="F19" s="49" t="str">
        <f>_xlfn.XLOOKUP(C19,Tab_Def_Flows[Name(EN)],Tab_Def_Flows[Process_ID_O],,0,)</f>
        <v>00_Cul_</v>
      </c>
      <c r="G19" s="49" t="str">
        <f>_xlfn.XLOOKUP(C19,Tab_Def_Flows[Name(EN)],Tab_Def_Flows[Input_Process],,0,)</f>
        <v>Harvesting</v>
      </c>
      <c r="H19" s="61" t="str">
        <f>_xlfn.XLOOKUP(C19,Tab_Def_Flows[Name(EN)],Tab_Def_Flows[Process_ID_I],,0,)</f>
        <v>01_Har_</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2037</v>
      </c>
      <c r="N19" s="51" t="s">
        <v>349</v>
      </c>
      <c r="O19" s="114">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270</v>
      </c>
      <c r="AB19" s="51"/>
      <c r="AC19" s="107">
        <f>INDEX(Tab_Def_Flows[[Flow_ID]:[CC_DM_source]],MATCH(Tab_Data_Flows[[#This Row],[Name(EN)]],Tab_Def_Flows[Name(EN)],0),16)</f>
        <v>0</v>
      </c>
      <c r="AD19" s="108">
        <f>IF(J19="Yes",AA19*Tab_Data_Flows[[#This Row],[WC_'[%']]],"N.A.")</f>
        <v>0</v>
      </c>
      <c r="AE19" s="61">
        <f>Tab_Data_Flows[[#This Row],[UoM_Flow_Py]]</f>
        <v>0</v>
      </c>
      <c r="AF19" s="107">
        <f>INDEX(Tab_Def_Flows[[Flow_ID]:[CC_DM_source]],MATCH(Tab_Data_Flows[[#This Row],[Name(EN)]],Tab_Def_Flows[Name(EN)],0),18)</f>
        <v>1</v>
      </c>
      <c r="AG19" s="108">
        <f>IF(K19="Yes",AF19*Tab_Data_Flows[[#This Row],[Flow_Py]],"N.A.")</f>
        <v>270</v>
      </c>
      <c r="AH19" s="61">
        <f>Tab_Data_Flows[[#This Row],[UoM_Flow_Py]]</f>
        <v>0</v>
      </c>
      <c r="AI19" s="107">
        <f>INDEX(Tab_Def_Flows[[Flow_ID]:[CC_DM_source]],MATCH(Tab_Data_Flows[[#This Row],[Name(EN)]],Tab_Def_Flows[Name(EN)],0),20)</f>
        <v>0.5</v>
      </c>
      <c r="AJ19" s="108">
        <f>IF(L19="Yes",AI19*Tab_Data_Flows[[#This Row],[Flow_Py]]*Tab_Data_Flows[[#This Row],[DM_'[%']]],"N.A.")</f>
        <v>135</v>
      </c>
      <c r="AK19" s="61">
        <f>Tab_Data_Flows[[#This Row],[UoM_Flow_Py]]</f>
        <v>0</v>
      </c>
    </row>
    <row r="20" spans="1:37" x14ac:dyDescent="0.25">
      <c r="A20" s="60">
        <f t="shared" si="0"/>
        <v>19</v>
      </c>
      <c r="B20" s="49" t="str">
        <f>_xlfn.XLOOKUP(C20,Tab_Def_Flows[Name(EN)],Tab_Def_Flows[Flow_ID],,0,)</f>
        <v>F_00_01</v>
      </c>
      <c r="C20" s="51" t="s">
        <v>494</v>
      </c>
      <c r="D20" s="49">
        <f>_xlfn.XLOOKUP(C20,Tab_Def_Flows[Name(EN)],Tab_Def_Flows[Type_Biomass],,0,)</f>
        <v>0</v>
      </c>
      <c r="E20" s="49" t="str">
        <f>_xlfn.XLOOKUP(C20,Tab_Def_Flows[Name(EN)],Tab_Def_Flows[Output_Process],,0,)</f>
        <v>Cultivation</v>
      </c>
      <c r="F20" s="49" t="str">
        <f>_xlfn.XLOOKUP(C20,Tab_Def_Flows[Name(EN)],Tab_Def_Flows[Process_ID_O],,0,)</f>
        <v>00_Cul_</v>
      </c>
      <c r="G20" s="49" t="str">
        <f>_xlfn.XLOOKUP(C20,Tab_Def_Flows[Name(EN)],Tab_Def_Flows[Input_Process],,0,)</f>
        <v>Harvesting</v>
      </c>
      <c r="H20" s="61" t="str">
        <f>_xlfn.XLOOKUP(C20,Tab_Def_Flows[Name(EN)],Tab_Def_Flows[Process_ID_I],,0,)</f>
        <v>01_Har_</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2038</v>
      </c>
      <c r="N20" s="51" t="s">
        <v>349</v>
      </c>
      <c r="O20" s="114">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280</v>
      </c>
      <c r="AB20" s="51"/>
      <c r="AC20" s="107">
        <f>INDEX(Tab_Def_Flows[[Flow_ID]:[CC_DM_source]],MATCH(Tab_Data_Flows[[#This Row],[Name(EN)]],Tab_Def_Flows[Name(EN)],0),16)</f>
        <v>0</v>
      </c>
      <c r="AD20" s="108">
        <f>IF(J20="Yes",AA20*Tab_Data_Flows[[#This Row],[WC_'[%']]],"N.A.")</f>
        <v>0</v>
      </c>
      <c r="AE20" s="61">
        <f>Tab_Data_Flows[[#This Row],[UoM_Flow_Py]]</f>
        <v>0</v>
      </c>
      <c r="AF20" s="107">
        <f>INDEX(Tab_Def_Flows[[Flow_ID]:[CC_DM_source]],MATCH(Tab_Data_Flows[[#This Row],[Name(EN)]],Tab_Def_Flows[Name(EN)],0),18)</f>
        <v>1</v>
      </c>
      <c r="AG20" s="108">
        <f>IF(K20="Yes",AF20*Tab_Data_Flows[[#This Row],[Flow_Py]],"N.A.")</f>
        <v>280</v>
      </c>
      <c r="AH20" s="61">
        <f>Tab_Data_Flows[[#This Row],[UoM_Flow_Py]]</f>
        <v>0</v>
      </c>
      <c r="AI20" s="107">
        <f>INDEX(Tab_Def_Flows[[Flow_ID]:[CC_DM_source]],MATCH(Tab_Data_Flows[[#This Row],[Name(EN)]],Tab_Def_Flows[Name(EN)],0),20)</f>
        <v>0.5</v>
      </c>
      <c r="AJ20" s="108">
        <f>IF(L20="Yes",AI20*Tab_Data_Flows[[#This Row],[Flow_Py]]*Tab_Data_Flows[[#This Row],[DM_'[%']]],"N.A.")</f>
        <v>140</v>
      </c>
      <c r="AK20" s="61">
        <f>Tab_Data_Flows[[#This Row],[UoM_Flow_Py]]</f>
        <v>0</v>
      </c>
    </row>
    <row r="21" spans="1:37" x14ac:dyDescent="0.25">
      <c r="A21" s="60">
        <f t="shared" si="0"/>
        <v>20</v>
      </c>
      <c r="B21" s="49" t="str">
        <f>_xlfn.XLOOKUP(C21,Tab_Def_Flows[Name(EN)],Tab_Def_Flows[Flow_ID],,0,)</f>
        <v>F_00_01</v>
      </c>
      <c r="C21" s="51" t="s">
        <v>494</v>
      </c>
      <c r="D21" s="49">
        <f>_xlfn.XLOOKUP(C21,Tab_Def_Flows[Name(EN)],Tab_Def_Flows[Type_Biomass],,0,)</f>
        <v>0</v>
      </c>
      <c r="E21" s="49" t="str">
        <f>_xlfn.XLOOKUP(C21,Tab_Def_Flows[Name(EN)],Tab_Def_Flows[Output_Process],,0,)</f>
        <v>Cultivation</v>
      </c>
      <c r="F21" s="49" t="str">
        <f>_xlfn.XLOOKUP(C21,Tab_Def_Flows[Name(EN)],Tab_Def_Flows[Process_ID_O],,0,)</f>
        <v>00_Cul_</v>
      </c>
      <c r="G21" s="49" t="str">
        <f>_xlfn.XLOOKUP(C21,Tab_Def_Flows[Name(EN)],Tab_Def_Flows[Input_Process],,0,)</f>
        <v>Harvesting</v>
      </c>
      <c r="H21" s="61" t="str">
        <f>_xlfn.XLOOKUP(C21,Tab_Def_Flows[Name(EN)],Tab_Def_Flows[Process_ID_I],,0,)</f>
        <v>01_Har_</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2039</v>
      </c>
      <c r="N21" s="51" t="s">
        <v>349</v>
      </c>
      <c r="O21" s="114">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290</v>
      </c>
      <c r="AB21" s="51"/>
      <c r="AC21" s="107">
        <f>INDEX(Tab_Def_Flows[[Flow_ID]:[CC_DM_source]],MATCH(Tab_Data_Flows[[#This Row],[Name(EN)]],Tab_Def_Flows[Name(EN)],0),16)</f>
        <v>0</v>
      </c>
      <c r="AD21" s="108">
        <f>IF(J21="Yes",AA21*Tab_Data_Flows[[#This Row],[WC_'[%']]],"N.A.")</f>
        <v>0</v>
      </c>
      <c r="AE21" s="61">
        <f>Tab_Data_Flows[[#This Row],[UoM_Flow_Py]]</f>
        <v>0</v>
      </c>
      <c r="AF21" s="107">
        <f>INDEX(Tab_Def_Flows[[Flow_ID]:[CC_DM_source]],MATCH(Tab_Data_Flows[[#This Row],[Name(EN)]],Tab_Def_Flows[Name(EN)],0),18)</f>
        <v>1</v>
      </c>
      <c r="AG21" s="108">
        <f>IF(K21="Yes",AF21*Tab_Data_Flows[[#This Row],[Flow_Py]],"N.A.")</f>
        <v>290</v>
      </c>
      <c r="AH21" s="61">
        <f>Tab_Data_Flows[[#This Row],[UoM_Flow_Py]]</f>
        <v>0</v>
      </c>
      <c r="AI21" s="107">
        <f>INDEX(Tab_Def_Flows[[Flow_ID]:[CC_DM_source]],MATCH(Tab_Data_Flows[[#This Row],[Name(EN)]],Tab_Def_Flows[Name(EN)],0),20)</f>
        <v>0.5</v>
      </c>
      <c r="AJ21" s="108">
        <f>IF(L21="Yes",AI21*Tab_Data_Flows[[#This Row],[Flow_Py]]*Tab_Data_Flows[[#This Row],[DM_'[%']]],"N.A.")</f>
        <v>145</v>
      </c>
      <c r="AK21" s="61">
        <f>Tab_Data_Flows[[#This Row],[UoM_Flow_Py]]</f>
        <v>0</v>
      </c>
    </row>
    <row r="22" spans="1:37" x14ac:dyDescent="0.25">
      <c r="A22" s="60">
        <f t="shared" si="0"/>
        <v>21</v>
      </c>
      <c r="B22" s="49" t="str">
        <f>_xlfn.XLOOKUP(C22,Tab_Def_Flows[Name(EN)],Tab_Def_Flows[Flow_ID],,0,)</f>
        <v>F_00_01</v>
      </c>
      <c r="C22" s="51" t="s">
        <v>494</v>
      </c>
      <c r="D22" s="49">
        <f>_xlfn.XLOOKUP(C22,Tab_Def_Flows[Name(EN)],Tab_Def_Flows[Type_Biomass],,0,)</f>
        <v>0</v>
      </c>
      <c r="E22" s="49" t="str">
        <f>_xlfn.XLOOKUP(C22,Tab_Def_Flows[Name(EN)],Tab_Def_Flows[Output_Process],,0,)</f>
        <v>Cultivation</v>
      </c>
      <c r="F22" s="49" t="str">
        <f>_xlfn.XLOOKUP(C22,Tab_Def_Flows[Name(EN)],Tab_Def_Flows[Process_ID_O],,0,)</f>
        <v>00_Cul_</v>
      </c>
      <c r="G22" s="49" t="str">
        <f>_xlfn.XLOOKUP(C22,Tab_Def_Flows[Name(EN)],Tab_Def_Flows[Input_Process],,0,)</f>
        <v>Harvesting</v>
      </c>
      <c r="H22" s="61" t="str">
        <f>_xlfn.XLOOKUP(C22,Tab_Def_Flows[Name(EN)],Tab_Def_Flows[Process_ID_I],,0,)</f>
        <v>01_Har_</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2040</v>
      </c>
      <c r="N22" s="51" t="s">
        <v>349</v>
      </c>
      <c r="O22" s="114">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300</v>
      </c>
      <c r="AB22" s="51"/>
      <c r="AC22" s="107">
        <f>INDEX(Tab_Def_Flows[[Flow_ID]:[CC_DM_source]],MATCH(Tab_Data_Flows[[#This Row],[Name(EN)]],Tab_Def_Flows[Name(EN)],0),16)</f>
        <v>0</v>
      </c>
      <c r="AD22" s="108">
        <f>IF(J22="Yes",AA22*Tab_Data_Flows[[#This Row],[WC_'[%']]],"N.A.")</f>
        <v>0</v>
      </c>
      <c r="AE22" s="61">
        <f>Tab_Data_Flows[[#This Row],[UoM_Flow_Py]]</f>
        <v>0</v>
      </c>
      <c r="AF22" s="107">
        <f>INDEX(Tab_Def_Flows[[Flow_ID]:[CC_DM_source]],MATCH(Tab_Data_Flows[[#This Row],[Name(EN)]],Tab_Def_Flows[Name(EN)],0),18)</f>
        <v>1</v>
      </c>
      <c r="AG22" s="108">
        <f>IF(K22="Yes",AF22*Tab_Data_Flows[[#This Row],[Flow_Py]],"N.A.")</f>
        <v>300</v>
      </c>
      <c r="AH22" s="61">
        <f>Tab_Data_Flows[[#This Row],[UoM_Flow_Py]]</f>
        <v>0</v>
      </c>
      <c r="AI22" s="107">
        <f>INDEX(Tab_Def_Flows[[Flow_ID]:[CC_DM_source]],MATCH(Tab_Data_Flows[[#This Row],[Name(EN)]],Tab_Def_Flows[Name(EN)],0),20)</f>
        <v>0.5</v>
      </c>
      <c r="AJ22" s="108">
        <f>IF(L22="Yes",AI22*Tab_Data_Flows[[#This Row],[Flow_Py]]*Tab_Data_Flows[[#This Row],[DM_'[%']]],"N.A.")</f>
        <v>150</v>
      </c>
      <c r="AK22" s="61">
        <f>Tab_Data_Flows[[#This Row],[UoM_Flow_Py]]</f>
        <v>0</v>
      </c>
    </row>
    <row r="23" spans="1:37" x14ac:dyDescent="0.25">
      <c r="A23" s="60">
        <f t="shared" si="0"/>
        <v>22</v>
      </c>
      <c r="B23" s="49" t="str">
        <f>_xlfn.XLOOKUP(C23,Tab_Def_Flows[Name(EN)],Tab_Def_Flows[Flow_ID],,0,)</f>
        <v>F_12_12</v>
      </c>
      <c r="C23" s="51"/>
      <c r="D23" s="49">
        <f>_xlfn.XLOOKUP(C23,Tab_Def_Flows[Name(EN)],Tab_Def_Flows[Type_Biomass],,0,)</f>
        <v>0</v>
      </c>
      <c r="E23" s="49">
        <f>_xlfn.XLOOKUP(C23,Tab_Def_Flows[Name(EN)],Tab_Def_Flows[Output_Process],,0,)</f>
        <v>0</v>
      </c>
      <c r="F23" s="49" t="str">
        <f>_xlfn.XLOOKUP(C23,Tab_Def_Flows[Name(EN)],Tab_Def_Flows[Process_ID_O],,0,)</f>
        <v>12__</v>
      </c>
      <c r="G23" s="49">
        <f>_xlfn.XLOOKUP(C23,Tab_Def_Flows[Name(EN)],Tab_Def_Flows[Input_Process],,0,)</f>
        <v>0</v>
      </c>
      <c r="H23" s="61" t="str">
        <f>_xlfn.XLOOKUP(C23,Tab_Def_Flows[Name(EN)],Tab_Def_Flows[Process_ID_I],,0,)</f>
        <v>12__</v>
      </c>
      <c r="I23" s="49">
        <f>_xlfn.XLOOKUP(C23,Tab_Def_Flows[Name(EN)],Tab_Def_Flows[Value_Source],,0,)</f>
        <v>0</v>
      </c>
      <c r="J23" s="49">
        <f>_xlfn.XLOOKUP(C23,Tab_Def_Flows[Name(EN)],Tab_Def_Flows[WC?],,0,)</f>
        <v>0</v>
      </c>
      <c r="K23" s="49">
        <f>_xlfn.XLOOKUP(C23,Tab_Def_Flows[Name(EN)],Tab_Def_Flows[DM?],,0,)</f>
        <v>0</v>
      </c>
      <c r="L23" s="49">
        <f>_xlfn.XLOOKUP(C23,Tab_Def_Flows[Name(EN)],Tab_Def_Flows[CC?],,0,)</f>
        <v>0</v>
      </c>
      <c r="M23" s="51"/>
      <c r="N23" s="51" t="s">
        <v>349</v>
      </c>
      <c r="O23" s="114"/>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0</v>
      </c>
      <c r="AB23" s="51"/>
      <c r="AC23" s="107" t="e">
        <f>INDEX(Tab_Def_Flows[[Flow_ID]:[CC_DM_source]],MATCH(Tab_Data_Flows[[#This Row],[Name(EN)]],Tab_Def_Flows[Name(EN)],0),16)</f>
        <v>#N/A</v>
      </c>
      <c r="AD23" s="108" t="str">
        <f>IF(J23="Yes",AA23*Tab_Data_Flows[[#This Row],[WC_'[%']]],"N.A.")</f>
        <v>N.A.</v>
      </c>
      <c r="AE23" s="61">
        <f>Tab_Data_Flows[[#This Row],[UoM_Flow_Py]]</f>
        <v>0</v>
      </c>
      <c r="AF23" s="107" t="e">
        <f>INDEX(Tab_Def_Flows[[Flow_ID]:[CC_DM_source]],MATCH(Tab_Data_Flows[[#This Row],[Name(EN)]],Tab_Def_Flows[Name(EN)],0),18)</f>
        <v>#N/A</v>
      </c>
      <c r="AG23" s="108" t="str">
        <f>IF(K23="Yes",AF23*Tab_Data_Flows[[#This Row],[Flow_Py]],"N.A.")</f>
        <v>N.A.</v>
      </c>
      <c r="AH23" s="61">
        <f>Tab_Data_Flows[[#This Row],[UoM_Flow_Py]]</f>
        <v>0</v>
      </c>
      <c r="AI23" s="107" t="e">
        <f>INDEX(Tab_Def_Flows[[Flow_ID]:[CC_DM_source]],MATCH(Tab_Data_Flows[[#This Row],[Name(EN)]],Tab_Def_Flows[Name(EN)],0),20)</f>
        <v>#N/A</v>
      </c>
      <c r="AJ23" s="108" t="str">
        <f>IF(L23="Yes",AI23*Tab_Data_Flows[[#This Row],[Flow_Py]]*Tab_Data_Flows[[#This Row],[DM_'[%']]],"N.A.")</f>
        <v>N.A.</v>
      </c>
      <c r="AK23" s="61">
        <f>Tab_Data_Flows[[#This Row],[UoM_Flow_Py]]</f>
        <v>0</v>
      </c>
    </row>
    <row r="24" spans="1:37" x14ac:dyDescent="0.25">
      <c r="A24" s="60">
        <f t="shared" si="0"/>
        <v>23</v>
      </c>
      <c r="B24" s="49" t="str">
        <f>_xlfn.XLOOKUP(C24,Tab_Def_Flows[Name(EN)],Tab_Def_Flows[Flow_ID],,0,)</f>
        <v>F_12_12</v>
      </c>
      <c r="C24" s="51"/>
      <c r="D24" s="49">
        <f>_xlfn.XLOOKUP(C24,Tab_Def_Flows[Name(EN)],Tab_Def_Flows[Type_Biomass],,0,)</f>
        <v>0</v>
      </c>
      <c r="E24" s="49">
        <f>_xlfn.XLOOKUP(C24,Tab_Def_Flows[Name(EN)],Tab_Def_Flows[Output_Process],,0,)</f>
        <v>0</v>
      </c>
      <c r="F24" s="49" t="str">
        <f>_xlfn.XLOOKUP(C24,Tab_Def_Flows[Name(EN)],Tab_Def_Flows[Process_ID_O],,0,)</f>
        <v>12__</v>
      </c>
      <c r="G24" s="49">
        <f>_xlfn.XLOOKUP(C24,Tab_Def_Flows[Name(EN)],Tab_Def_Flows[Input_Process],,0,)</f>
        <v>0</v>
      </c>
      <c r="H24" s="61" t="str">
        <f>_xlfn.XLOOKUP(C24,Tab_Def_Flows[Name(EN)],Tab_Def_Flows[Process_ID_I],,0,)</f>
        <v>12__</v>
      </c>
      <c r="I24" s="49">
        <f>_xlfn.XLOOKUP(C24,Tab_Def_Flows[Name(EN)],Tab_Def_Flows[Value_Source],,0,)</f>
        <v>0</v>
      </c>
      <c r="J24" s="49">
        <f>_xlfn.XLOOKUP(C24,Tab_Def_Flows[Name(EN)],Tab_Def_Flows[WC?],,0,)</f>
        <v>0</v>
      </c>
      <c r="K24" s="49">
        <f>_xlfn.XLOOKUP(C24,Tab_Def_Flows[Name(EN)],Tab_Def_Flows[DM?],,0,)</f>
        <v>0</v>
      </c>
      <c r="L24" s="49">
        <f>_xlfn.XLOOKUP(C24,Tab_Def_Flows[Name(EN)],Tab_Def_Flows[CC?],,0,)</f>
        <v>0</v>
      </c>
      <c r="M24" s="51"/>
      <c r="N24" s="51" t="s">
        <v>349</v>
      </c>
      <c r="O24" s="114"/>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0</v>
      </c>
      <c r="AB24" s="51"/>
      <c r="AC24" s="107" t="e">
        <f>INDEX(Tab_Def_Flows[[Flow_ID]:[CC_DM_source]],MATCH(Tab_Data_Flows[[#This Row],[Name(EN)]],Tab_Def_Flows[Name(EN)],0),16)</f>
        <v>#N/A</v>
      </c>
      <c r="AD24" s="108" t="str">
        <f>IF(J24="Yes",AA24*Tab_Data_Flows[[#This Row],[WC_'[%']]],"N.A.")</f>
        <v>N.A.</v>
      </c>
      <c r="AE24" s="61">
        <f>Tab_Data_Flows[[#This Row],[UoM_Flow_Py]]</f>
        <v>0</v>
      </c>
      <c r="AF24" s="107" t="e">
        <f>INDEX(Tab_Def_Flows[[Flow_ID]:[CC_DM_source]],MATCH(Tab_Data_Flows[[#This Row],[Name(EN)]],Tab_Def_Flows[Name(EN)],0),18)</f>
        <v>#N/A</v>
      </c>
      <c r="AG24" s="108" t="str">
        <f>IF(K24="Yes",AF24*Tab_Data_Flows[[#This Row],[Flow_Py]],"N.A.")</f>
        <v>N.A.</v>
      </c>
      <c r="AH24" s="61">
        <f>Tab_Data_Flows[[#This Row],[UoM_Flow_Py]]</f>
        <v>0</v>
      </c>
      <c r="AI24" s="107" t="e">
        <f>INDEX(Tab_Def_Flows[[Flow_ID]:[CC_DM_source]],MATCH(Tab_Data_Flows[[#This Row],[Name(EN)]],Tab_Def_Flows[Name(EN)],0),20)</f>
        <v>#N/A</v>
      </c>
      <c r="AJ24" s="108" t="str">
        <f>IF(L24="Yes",AI24*Tab_Data_Flows[[#This Row],[Flow_Py]]*Tab_Data_Flows[[#This Row],[DM_'[%']]],"N.A.")</f>
        <v>N.A.</v>
      </c>
      <c r="AK24" s="61">
        <f>Tab_Data_Flows[[#This Row],[UoM_Flow_Py]]</f>
        <v>0</v>
      </c>
    </row>
    <row r="25" spans="1:37" x14ac:dyDescent="0.25">
      <c r="A25" s="60">
        <f t="shared" si="0"/>
        <v>24</v>
      </c>
      <c r="B25" s="49" t="str">
        <f>_xlfn.XLOOKUP(C25,Tab_Def_Flows[Name(EN)],Tab_Def_Flows[Flow_ID],,0,)</f>
        <v>F_12_12</v>
      </c>
      <c r="C25" s="51"/>
      <c r="D25" s="49">
        <f>_xlfn.XLOOKUP(C25,Tab_Def_Flows[Name(EN)],Tab_Def_Flows[Type_Biomass],,0,)</f>
        <v>0</v>
      </c>
      <c r="E25" s="49">
        <f>_xlfn.XLOOKUP(C25,Tab_Def_Flows[Name(EN)],Tab_Def_Flows[Output_Process],,0,)</f>
        <v>0</v>
      </c>
      <c r="F25" s="49" t="str">
        <f>_xlfn.XLOOKUP(C25,Tab_Def_Flows[Name(EN)],Tab_Def_Flows[Process_ID_O],,0,)</f>
        <v>12__</v>
      </c>
      <c r="G25" s="49">
        <f>_xlfn.XLOOKUP(C25,Tab_Def_Flows[Name(EN)],Tab_Def_Flows[Input_Process],,0,)</f>
        <v>0</v>
      </c>
      <c r="H25" s="61" t="str">
        <f>_xlfn.XLOOKUP(C25,Tab_Def_Flows[Name(EN)],Tab_Def_Flows[Process_ID_I],,0,)</f>
        <v>12__</v>
      </c>
      <c r="I25" s="49">
        <f>_xlfn.XLOOKUP(C25,Tab_Def_Flows[Name(EN)],Tab_Def_Flows[Value_Source],,0,)</f>
        <v>0</v>
      </c>
      <c r="J25" s="49">
        <f>_xlfn.XLOOKUP(C25,Tab_Def_Flows[Name(EN)],Tab_Def_Flows[WC?],,0,)</f>
        <v>0</v>
      </c>
      <c r="K25" s="49">
        <f>_xlfn.XLOOKUP(C25,Tab_Def_Flows[Name(EN)],Tab_Def_Flows[DM?],,0,)</f>
        <v>0</v>
      </c>
      <c r="L25" s="49">
        <f>_xlfn.XLOOKUP(C25,Tab_Def_Flows[Name(EN)],Tab_Def_Flows[CC?],,0,)</f>
        <v>0</v>
      </c>
      <c r="M25" s="51"/>
      <c r="N25" s="51" t="s">
        <v>349</v>
      </c>
      <c r="O25" s="114"/>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0</v>
      </c>
      <c r="AB25" s="51"/>
      <c r="AC25" s="107" t="e">
        <f>INDEX(Tab_Def_Flows[[Flow_ID]:[CC_DM_source]],MATCH(Tab_Data_Flows[[#This Row],[Name(EN)]],Tab_Def_Flows[Name(EN)],0),16)</f>
        <v>#N/A</v>
      </c>
      <c r="AD25" s="108" t="str">
        <f>IF(J25="Yes",AA25*Tab_Data_Flows[[#This Row],[WC_'[%']]],"N.A.")</f>
        <v>N.A.</v>
      </c>
      <c r="AE25" s="61">
        <f>Tab_Data_Flows[[#This Row],[UoM_Flow_Py]]</f>
        <v>0</v>
      </c>
      <c r="AF25" s="107" t="e">
        <f>INDEX(Tab_Def_Flows[[Flow_ID]:[CC_DM_source]],MATCH(Tab_Data_Flows[[#This Row],[Name(EN)]],Tab_Def_Flows[Name(EN)],0),18)</f>
        <v>#N/A</v>
      </c>
      <c r="AG25" s="108" t="str">
        <f>IF(K25="Yes",AF25*Tab_Data_Flows[[#This Row],[Flow_Py]],"N.A.")</f>
        <v>N.A.</v>
      </c>
      <c r="AH25" s="61">
        <f>Tab_Data_Flows[[#This Row],[UoM_Flow_Py]]</f>
        <v>0</v>
      </c>
      <c r="AI25" s="107" t="e">
        <f>INDEX(Tab_Def_Flows[[Flow_ID]:[CC_DM_source]],MATCH(Tab_Data_Flows[[#This Row],[Name(EN)]],Tab_Def_Flows[Name(EN)],0),20)</f>
        <v>#N/A</v>
      </c>
      <c r="AJ25" s="108" t="str">
        <f>IF(L25="Yes",AI25*Tab_Data_Flows[[#This Row],[Flow_Py]]*Tab_Data_Flows[[#This Row],[DM_'[%']]],"N.A.")</f>
        <v>N.A.</v>
      </c>
      <c r="AK25" s="61">
        <f>Tab_Data_Flows[[#This Row],[UoM_Flow_Py]]</f>
        <v>0</v>
      </c>
    </row>
    <row r="26" spans="1:37" x14ac:dyDescent="0.25">
      <c r="A26" s="60">
        <f t="shared" si="0"/>
        <v>25</v>
      </c>
      <c r="B26" s="49" t="str">
        <f>_xlfn.XLOOKUP(C26,Tab_Def_Flows[Name(EN)],Tab_Def_Flows[Flow_ID],,0,)</f>
        <v>F_12_12</v>
      </c>
      <c r="C26" s="51"/>
      <c r="D26" s="49">
        <f>_xlfn.XLOOKUP(C26,Tab_Def_Flows[Name(EN)],Tab_Def_Flows[Type_Biomass],,0,)</f>
        <v>0</v>
      </c>
      <c r="E26" s="49">
        <f>_xlfn.XLOOKUP(C26,Tab_Def_Flows[Name(EN)],Tab_Def_Flows[Output_Process],,0,)</f>
        <v>0</v>
      </c>
      <c r="F26" s="49" t="str">
        <f>_xlfn.XLOOKUP(C26,Tab_Def_Flows[Name(EN)],Tab_Def_Flows[Process_ID_O],,0,)</f>
        <v>12__</v>
      </c>
      <c r="G26" s="49">
        <f>_xlfn.XLOOKUP(C26,Tab_Def_Flows[Name(EN)],Tab_Def_Flows[Input_Process],,0,)</f>
        <v>0</v>
      </c>
      <c r="H26" s="61" t="str">
        <f>_xlfn.XLOOKUP(C26,Tab_Def_Flows[Name(EN)],Tab_Def_Flows[Process_ID_I],,0,)</f>
        <v>12__</v>
      </c>
      <c r="I26" s="49">
        <f>_xlfn.XLOOKUP(C26,Tab_Def_Flows[Name(EN)],Tab_Def_Flows[Value_Source],,0,)</f>
        <v>0</v>
      </c>
      <c r="J26" s="49">
        <f>_xlfn.XLOOKUP(C26,Tab_Def_Flows[Name(EN)],Tab_Def_Flows[WC?],,0,)</f>
        <v>0</v>
      </c>
      <c r="K26" s="49">
        <f>_xlfn.XLOOKUP(C26,Tab_Def_Flows[Name(EN)],Tab_Def_Flows[DM?],,0,)</f>
        <v>0</v>
      </c>
      <c r="L26" s="49">
        <f>_xlfn.XLOOKUP(C26,Tab_Def_Flows[Name(EN)],Tab_Def_Flows[CC?],,0,)</f>
        <v>0</v>
      </c>
      <c r="M26" s="51"/>
      <c r="N26" s="51" t="s">
        <v>349</v>
      </c>
      <c r="O26" s="114"/>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0</v>
      </c>
      <c r="AB26" s="51"/>
      <c r="AC26" s="107" t="e">
        <f>INDEX(Tab_Def_Flows[[Flow_ID]:[CC_DM_source]],MATCH(Tab_Data_Flows[[#This Row],[Name(EN)]],Tab_Def_Flows[Name(EN)],0),16)</f>
        <v>#N/A</v>
      </c>
      <c r="AD26" s="108" t="str">
        <f>IF(J26="Yes",AA26*Tab_Data_Flows[[#This Row],[WC_'[%']]],"N.A.")</f>
        <v>N.A.</v>
      </c>
      <c r="AE26" s="61">
        <f>Tab_Data_Flows[[#This Row],[UoM_Flow_Py]]</f>
        <v>0</v>
      </c>
      <c r="AF26" s="107" t="e">
        <f>INDEX(Tab_Def_Flows[[Flow_ID]:[CC_DM_source]],MATCH(Tab_Data_Flows[[#This Row],[Name(EN)]],Tab_Def_Flows[Name(EN)],0),18)</f>
        <v>#N/A</v>
      </c>
      <c r="AG26" s="108" t="str">
        <f>IF(K26="Yes",AF26*Tab_Data_Flows[[#This Row],[Flow_Py]],"N.A.")</f>
        <v>N.A.</v>
      </c>
      <c r="AH26" s="61">
        <f>Tab_Data_Flows[[#This Row],[UoM_Flow_Py]]</f>
        <v>0</v>
      </c>
      <c r="AI26" s="107" t="e">
        <f>INDEX(Tab_Def_Flows[[Flow_ID]:[CC_DM_source]],MATCH(Tab_Data_Flows[[#This Row],[Name(EN)]],Tab_Def_Flows[Name(EN)],0),20)</f>
        <v>#N/A</v>
      </c>
      <c r="AJ26" s="108" t="str">
        <f>IF(L26="Yes",AI26*Tab_Data_Flows[[#This Row],[Flow_Py]]*Tab_Data_Flows[[#This Row],[DM_'[%']]],"N.A.")</f>
        <v>N.A.</v>
      </c>
      <c r="AK26" s="61">
        <f>Tab_Data_Flows[[#This Row],[UoM_Flow_Py]]</f>
        <v>0</v>
      </c>
    </row>
    <row r="27" spans="1:37" x14ac:dyDescent="0.25">
      <c r="A27" s="60">
        <f t="shared" si="0"/>
        <v>26</v>
      </c>
      <c r="B27" s="49" t="str">
        <f>_xlfn.XLOOKUP(C27,Tab_Def_Flows[Name(EN)],Tab_Def_Flows[Flow_ID],,0,)</f>
        <v>F_12_12</v>
      </c>
      <c r="C27" s="51"/>
      <c r="D27" s="49">
        <f>_xlfn.XLOOKUP(C27,Tab_Def_Flows[Name(EN)],Tab_Def_Flows[Type_Biomass],,0,)</f>
        <v>0</v>
      </c>
      <c r="E27" s="49">
        <f>_xlfn.XLOOKUP(C27,Tab_Def_Flows[Name(EN)],Tab_Def_Flows[Output_Process],,0,)</f>
        <v>0</v>
      </c>
      <c r="F27" s="49" t="str">
        <f>_xlfn.XLOOKUP(C27,Tab_Def_Flows[Name(EN)],Tab_Def_Flows[Process_ID_O],,0,)</f>
        <v>12__</v>
      </c>
      <c r="G27" s="49">
        <f>_xlfn.XLOOKUP(C27,Tab_Def_Flows[Name(EN)],Tab_Def_Flows[Input_Process],,0,)</f>
        <v>0</v>
      </c>
      <c r="H27" s="61" t="str">
        <f>_xlfn.XLOOKUP(C27,Tab_Def_Flows[Name(EN)],Tab_Def_Flows[Process_ID_I],,0,)</f>
        <v>12__</v>
      </c>
      <c r="I27" s="49">
        <f>_xlfn.XLOOKUP(C27,Tab_Def_Flows[Name(EN)],Tab_Def_Flows[Value_Source],,0,)</f>
        <v>0</v>
      </c>
      <c r="J27" s="49">
        <f>_xlfn.XLOOKUP(C27,Tab_Def_Flows[Name(EN)],Tab_Def_Flows[WC?],,0,)</f>
        <v>0</v>
      </c>
      <c r="K27" s="49">
        <f>_xlfn.XLOOKUP(C27,Tab_Def_Flows[Name(EN)],Tab_Def_Flows[DM?],,0,)</f>
        <v>0</v>
      </c>
      <c r="L27" s="49">
        <f>_xlfn.XLOOKUP(C27,Tab_Def_Flows[Name(EN)],Tab_Def_Flows[CC?],,0,)</f>
        <v>0</v>
      </c>
      <c r="M27" s="51"/>
      <c r="N27" s="51" t="s">
        <v>349</v>
      </c>
      <c r="O27" s="114"/>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0</v>
      </c>
      <c r="AB27" s="51"/>
      <c r="AC27" s="107" t="e">
        <f>INDEX(Tab_Def_Flows[[Flow_ID]:[CC_DM_source]],MATCH(Tab_Data_Flows[[#This Row],[Name(EN)]],Tab_Def_Flows[Name(EN)],0),16)</f>
        <v>#N/A</v>
      </c>
      <c r="AD27" s="108" t="str">
        <f>IF(J27="Yes",AA27*Tab_Data_Flows[[#This Row],[WC_'[%']]],"N.A.")</f>
        <v>N.A.</v>
      </c>
      <c r="AE27" s="61">
        <f>Tab_Data_Flows[[#This Row],[UoM_Flow_Py]]</f>
        <v>0</v>
      </c>
      <c r="AF27" s="107" t="e">
        <f>INDEX(Tab_Def_Flows[[Flow_ID]:[CC_DM_source]],MATCH(Tab_Data_Flows[[#This Row],[Name(EN)]],Tab_Def_Flows[Name(EN)],0),18)</f>
        <v>#N/A</v>
      </c>
      <c r="AG27" s="108" t="str">
        <f>IF(K27="Yes",AF27*Tab_Data_Flows[[#This Row],[Flow_Py]],"N.A.")</f>
        <v>N.A.</v>
      </c>
      <c r="AH27" s="61">
        <f>Tab_Data_Flows[[#This Row],[UoM_Flow_Py]]</f>
        <v>0</v>
      </c>
      <c r="AI27" s="107" t="e">
        <f>INDEX(Tab_Def_Flows[[Flow_ID]:[CC_DM_source]],MATCH(Tab_Data_Flows[[#This Row],[Name(EN)]],Tab_Def_Flows[Name(EN)],0),20)</f>
        <v>#N/A</v>
      </c>
      <c r="AJ27" s="108" t="str">
        <f>IF(L27="Yes",AI27*Tab_Data_Flows[[#This Row],[Flow_Py]]*Tab_Data_Flows[[#This Row],[DM_'[%']]],"N.A.")</f>
        <v>N.A.</v>
      </c>
      <c r="AK27" s="61">
        <f>Tab_Data_Flows[[#This Row],[UoM_Flow_Py]]</f>
        <v>0</v>
      </c>
    </row>
    <row r="28" spans="1:37" x14ac:dyDescent="0.25">
      <c r="A28" s="60">
        <f t="shared" si="0"/>
        <v>27</v>
      </c>
      <c r="B28" s="49" t="str">
        <f>_xlfn.XLOOKUP(C28,Tab_Def_Flows[Name(EN)],Tab_Def_Flows[Flow_ID],,0,)</f>
        <v>F_12_12</v>
      </c>
      <c r="C28" s="51"/>
      <c r="D28" s="49">
        <f>_xlfn.XLOOKUP(C28,Tab_Def_Flows[Name(EN)],Tab_Def_Flows[Type_Biomass],,0,)</f>
        <v>0</v>
      </c>
      <c r="E28" s="49">
        <f>_xlfn.XLOOKUP(C28,Tab_Def_Flows[Name(EN)],Tab_Def_Flows[Output_Process],,0,)</f>
        <v>0</v>
      </c>
      <c r="F28" s="49" t="str">
        <f>_xlfn.XLOOKUP(C28,Tab_Def_Flows[Name(EN)],Tab_Def_Flows[Process_ID_O],,0,)</f>
        <v>12__</v>
      </c>
      <c r="G28" s="49">
        <f>_xlfn.XLOOKUP(C28,Tab_Def_Flows[Name(EN)],Tab_Def_Flows[Input_Process],,0,)</f>
        <v>0</v>
      </c>
      <c r="H28" s="61" t="str">
        <f>_xlfn.XLOOKUP(C28,Tab_Def_Flows[Name(EN)],Tab_Def_Flows[Process_ID_I],,0,)</f>
        <v>12__</v>
      </c>
      <c r="I28" s="49">
        <f>_xlfn.XLOOKUP(C28,Tab_Def_Flows[Name(EN)],Tab_Def_Flows[Value_Source],,0,)</f>
        <v>0</v>
      </c>
      <c r="J28" s="49">
        <f>_xlfn.XLOOKUP(C28,Tab_Def_Flows[Name(EN)],Tab_Def_Flows[WC?],,0,)</f>
        <v>0</v>
      </c>
      <c r="K28" s="49">
        <f>_xlfn.XLOOKUP(C28,Tab_Def_Flows[Name(EN)],Tab_Def_Flows[DM?],,0,)</f>
        <v>0</v>
      </c>
      <c r="L28" s="49">
        <f>_xlfn.XLOOKUP(C28,Tab_Def_Flows[Name(EN)],Tab_Def_Flows[CC?],,0,)</f>
        <v>0</v>
      </c>
      <c r="M28" s="51"/>
      <c r="N28" s="51" t="s">
        <v>349</v>
      </c>
      <c r="O28" s="114"/>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0</v>
      </c>
      <c r="AB28" s="51"/>
      <c r="AC28" s="107" t="e">
        <f>INDEX(Tab_Def_Flows[[Flow_ID]:[CC_DM_source]],MATCH(Tab_Data_Flows[[#This Row],[Name(EN)]],Tab_Def_Flows[Name(EN)],0),16)</f>
        <v>#N/A</v>
      </c>
      <c r="AD28" s="108" t="str">
        <f>IF(J28="Yes",AA28*Tab_Data_Flows[[#This Row],[WC_'[%']]],"N.A.")</f>
        <v>N.A.</v>
      </c>
      <c r="AE28" s="61">
        <f>Tab_Data_Flows[[#This Row],[UoM_Flow_Py]]</f>
        <v>0</v>
      </c>
      <c r="AF28" s="107" t="e">
        <f>INDEX(Tab_Def_Flows[[Flow_ID]:[CC_DM_source]],MATCH(Tab_Data_Flows[[#This Row],[Name(EN)]],Tab_Def_Flows[Name(EN)],0),18)</f>
        <v>#N/A</v>
      </c>
      <c r="AG28" s="108" t="str">
        <f>IF(K28="Yes",AF28*Tab_Data_Flows[[#This Row],[Flow_Py]],"N.A.")</f>
        <v>N.A.</v>
      </c>
      <c r="AH28" s="61">
        <f>Tab_Data_Flows[[#This Row],[UoM_Flow_Py]]</f>
        <v>0</v>
      </c>
      <c r="AI28" s="107" t="e">
        <f>INDEX(Tab_Def_Flows[[Flow_ID]:[CC_DM_source]],MATCH(Tab_Data_Flows[[#This Row],[Name(EN)]],Tab_Def_Flows[Name(EN)],0),20)</f>
        <v>#N/A</v>
      </c>
      <c r="AJ28" s="108" t="str">
        <f>IF(L28="Yes",AI28*Tab_Data_Flows[[#This Row],[Flow_Py]]*Tab_Data_Flows[[#This Row],[DM_'[%']]],"N.A.")</f>
        <v>N.A.</v>
      </c>
      <c r="AK28" s="61">
        <f>Tab_Data_Flows[[#This Row],[UoM_Flow_Py]]</f>
        <v>0</v>
      </c>
    </row>
    <row r="29" spans="1:37" x14ac:dyDescent="0.25">
      <c r="A29" s="60">
        <f t="shared" si="0"/>
        <v>28</v>
      </c>
      <c r="B29" s="49" t="str">
        <f>_xlfn.XLOOKUP(C29,Tab_Def_Flows[Name(EN)],Tab_Def_Flows[Flow_ID],,0,)</f>
        <v>F_12_12</v>
      </c>
      <c r="C29" s="51"/>
      <c r="D29" s="49">
        <f>_xlfn.XLOOKUP(C29,Tab_Def_Flows[Name(EN)],Tab_Def_Flows[Type_Biomass],,0,)</f>
        <v>0</v>
      </c>
      <c r="E29" s="49">
        <f>_xlfn.XLOOKUP(C29,Tab_Def_Flows[Name(EN)],Tab_Def_Flows[Output_Process],,0,)</f>
        <v>0</v>
      </c>
      <c r="F29" s="49" t="str">
        <f>_xlfn.XLOOKUP(C29,Tab_Def_Flows[Name(EN)],Tab_Def_Flows[Process_ID_O],,0,)</f>
        <v>12__</v>
      </c>
      <c r="G29" s="49">
        <f>_xlfn.XLOOKUP(C29,Tab_Def_Flows[Name(EN)],Tab_Def_Flows[Input_Process],,0,)</f>
        <v>0</v>
      </c>
      <c r="H29" s="61" t="str">
        <f>_xlfn.XLOOKUP(C29,Tab_Def_Flows[Name(EN)],Tab_Def_Flows[Process_ID_I],,0,)</f>
        <v>12__</v>
      </c>
      <c r="I29" s="49">
        <f>_xlfn.XLOOKUP(C29,Tab_Def_Flows[Name(EN)],Tab_Def_Flows[Value_Source],,0,)</f>
        <v>0</v>
      </c>
      <c r="J29" s="49">
        <f>_xlfn.XLOOKUP(C29,Tab_Def_Flows[Name(EN)],Tab_Def_Flows[WC?],,0,)</f>
        <v>0</v>
      </c>
      <c r="K29" s="49">
        <f>_xlfn.XLOOKUP(C29,Tab_Def_Flows[Name(EN)],Tab_Def_Flows[DM?],,0,)</f>
        <v>0</v>
      </c>
      <c r="L29" s="49">
        <f>_xlfn.XLOOKUP(C29,Tab_Def_Flows[Name(EN)],Tab_Def_Flows[CC?],,0,)</f>
        <v>0</v>
      </c>
      <c r="M29" s="51"/>
      <c r="N29" s="51" t="s">
        <v>349</v>
      </c>
      <c r="O29" s="114"/>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0</v>
      </c>
      <c r="AB29" s="51"/>
      <c r="AC29" s="107" t="e">
        <f>INDEX(Tab_Def_Flows[[Flow_ID]:[CC_DM_source]],MATCH(Tab_Data_Flows[[#This Row],[Name(EN)]],Tab_Def_Flows[Name(EN)],0),16)</f>
        <v>#N/A</v>
      </c>
      <c r="AD29" s="108" t="str">
        <f>IF(J29="Yes",AA29*Tab_Data_Flows[[#This Row],[WC_'[%']]],"N.A.")</f>
        <v>N.A.</v>
      </c>
      <c r="AE29" s="61">
        <f>Tab_Data_Flows[[#This Row],[UoM_Flow_Py]]</f>
        <v>0</v>
      </c>
      <c r="AF29" s="107" t="e">
        <f>INDEX(Tab_Def_Flows[[Flow_ID]:[CC_DM_source]],MATCH(Tab_Data_Flows[[#This Row],[Name(EN)]],Tab_Def_Flows[Name(EN)],0),18)</f>
        <v>#N/A</v>
      </c>
      <c r="AG29" s="108" t="str">
        <f>IF(K29="Yes",AF29*Tab_Data_Flows[[#This Row],[Flow_Py]],"N.A.")</f>
        <v>N.A.</v>
      </c>
      <c r="AH29" s="61">
        <f>Tab_Data_Flows[[#This Row],[UoM_Flow_Py]]</f>
        <v>0</v>
      </c>
      <c r="AI29" s="107" t="e">
        <f>INDEX(Tab_Def_Flows[[Flow_ID]:[CC_DM_source]],MATCH(Tab_Data_Flows[[#This Row],[Name(EN)]],Tab_Def_Flows[Name(EN)],0),20)</f>
        <v>#N/A</v>
      </c>
      <c r="AJ29" s="108" t="str">
        <f>IF(L29="Yes",AI29*Tab_Data_Flows[[#This Row],[Flow_Py]]*Tab_Data_Flows[[#This Row],[DM_'[%']]],"N.A.")</f>
        <v>N.A.</v>
      </c>
      <c r="AK29" s="61">
        <f>Tab_Data_Flows[[#This Row],[UoM_Flow_Py]]</f>
        <v>0</v>
      </c>
    </row>
    <row r="30" spans="1:37" x14ac:dyDescent="0.25">
      <c r="A30" s="60">
        <f t="shared" si="0"/>
        <v>29</v>
      </c>
      <c r="B30" s="49" t="str">
        <f>_xlfn.XLOOKUP(C30,Tab_Def_Flows[Name(EN)],Tab_Def_Flows[Flow_ID],,0,)</f>
        <v>F_12_12</v>
      </c>
      <c r="C30" s="51"/>
      <c r="D30" s="49">
        <f>_xlfn.XLOOKUP(C30,Tab_Def_Flows[Name(EN)],Tab_Def_Flows[Type_Biomass],,0,)</f>
        <v>0</v>
      </c>
      <c r="E30" s="49">
        <f>_xlfn.XLOOKUP(C30,Tab_Def_Flows[Name(EN)],Tab_Def_Flows[Output_Process],,0,)</f>
        <v>0</v>
      </c>
      <c r="F30" s="49" t="str">
        <f>_xlfn.XLOOKUP(C30,Tab_Def_Flows[Name(EN)],Tab_Def_Flows[Process_ID_O],,0,)</f>
        <v>12__</v>
      </c>
      <c r="G30" s="49">
        <f>_xlfn.XLOOKUP(C30,Tab_Def_Flows[Name(EN)],Tab_Def_Flows[Input_Process],,0,)</f>
        <v>0</v>
      </c>
      <c r="H30" s="61" t="str">
        <f>_xlfn.XLOOKUP(C30,Tab_Def_Flows[Name(EN)],Tab_Def_Flows[Process_ID_I],,0,)</f>
        <v>12__</v>
      </c>
      <c r="I30" s="49">
        <f>_xlfn.XLOOKUP(C30,Tab_Def_Flows[Name(EN)],Tab_Def_Flows[Value_Source],,0,)</f>
        <v>0</v>
      </c>
      <c r="J30" s="49">
        <f>_xlfn.XLOOKUP(C30,Tab_Def_Flows[Name(EN)],Tab_Def_Flows[WC?],,0,)</f>
        <v>0</v>
      </c>
      <c r="K30" s="49">
        <f>_xlfn.XLOOKUP(C30,Tab_Def_Flows[Name(EN)],Tab_Def_Flows[DM?],,0,)</f>
        <v>0</v>
      </c>
      <c r="L30" s="49">
        <f>_xlfn.XLOOKUP(C30,Tab_Def_Flows[Name(EN)],Tab_Def_Flows[CC?],,0,)</f>
        <v>0</v>
      </c>
      <c r="M30" s="51"/>
      <c r="N30" s="51" t="s">
        <v>349</v>
      </c>
      <c r="O30" s="114"/>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0</v>
      </c>
      <c r="AB30" s="51"/>
      <c r="AC30" s="107" t="e">
        <f>INDEX(Tab_Def_Flows[[Flow_ID]:[CC_DM_source]],MATCH(Tab_Data_Flows[[#This Row],[Name(EN)]],Tab_Def_Flows[Name(EN)],0),16)</f>
        <v>#N/A</v>
      </c>
      <c r="AD30" s="108" t="str">
        <f>IF(J30="Yes",AA30*Tab_Data_Flows[[#This Row],[WC_'[%']]],"N.A.")</f>
        <v>N.A.</v>
      </c>
      <c r="AE30" s="61">
        <f>Tab_Data_Flows[[#This Row],[UoM_Flow_Py]]</f>
        <v>0</v>
      </c>
      <c r="AF30" s="107" t="e">
        <f>INDEX(Tab_Def_Flows[[Flow_ID]:[CC_DM_source]],MATCH(Tab_Data_Flows[[#This Row],[Name(EN)]],Tab_Def_Flows[Name(EN)],0),18)</f>
        <v>#N/A</v>
      </c>
      <c r="AG30" s="108" t="str">
        <f>IF(K30="Yes",AF30*Tab_Data_Flows[[#This Row],[Flow_Py]],"N.A.")</f>
        <v>N.A.</v>
      </c>
      <c r="AH30" s="61">
        <f>Tab_Data_Flows[[#This Row],[UoM_Flow_Py]]</f>
        <v>0</v>
      </c>
      <c r="AI30" s="107" t="e">
        <f>INDEX(Tab_Def_Flows[[Flow_ID]:[CC_DM_source]],MATCH(Tab_Data_Flows[[#This Row],[Name(EN)]],Tab_Def_Flows[Name(EN)],0),20)</f>
        <v>#N/A</v>
      </c>
      <c r="AJ30" s="108" t="str">
        <f>IF(L30="Yes",AI30*Tab_Data_Flows[[#This Row],[Flow_Py]]*Tab_Data_Flows[[#This Row],[DM_'[%']]],"N.A.")</f>
        <v>N.A.</v>
      </c>
      <c r="AK30" s="61">
        <f>Tab_Data_Flows[[#This Row],[UoM_Flow_Py]]</f>
        <v>0</v>
      </c>
    </row>
    <row r="31" spans="1:37" x14ac:dyDescent="0.25">
      <c r="A31" s="60">
        <f t="shared" si="0"/>
        <v>30</v>
      </c>
      <c r="B31" s="49" t="str">
        <f>_xlfn.XLOOKUP(C31,Tab_Def_Flows[Name(EN)],Tab_Def_Flows[Flow_ID],,0,)</f>
        <v>F_12_12</v>
      </c>
      <c r="C31" s="51"/>
      <c r="D31" s="49">
        <f>_xlfn.XLOOKUP(C31,Tab_Def_Flows[Name(EN)],Tab_Def_Flows[Type_Biomass],,0,)</f>
        <v>0</v>
      </c>
      <c r="E31" s="49">
        <f>_xlfn.XLOOKUP(C31,Tab_Def_Flows[Name(EN)],Tab_Def_Flows[Output_Process],,0,)</f>
        <v>0</v>
      </c>
      <c r="F31" s="49" t="str">
        <f>_xlfn.XLOOKUP(C31,Tab_Def_Flows[Name(EN)],Tab_Def_Flows[Process_ID_O],,0,)</f>
        <v>12__</v>
      </c>
      <c r="G31" s="49">
        <f>_xlfn.XLOOKUP(C31,Tab_Def_Flows[Name(EN)],Tab_Def_Flows[Input_Process],,0,)</f>
        <v>0</v>
      </c>
      <c r="H31" s="61" t="str">
        <f>_xlfn.XLOOKUP(C31,Tab_Def_Flows[Name(EN)],Tab_Def_Flows[Process_ID_I],,0,)</f>
        <v>12__</v>
      </c>
      <c r="I31" s="61">
        <f>_xlfn.XLOOKUP(C31,Tab_Def_Flows[Name(EN)],Tab_Def_Flows[Value_Source],,0,)</f>
        <v>0</v>
      </c>
      <c r="J31" s="61">
        <f>_xlfn.XLOOKUP(C31,Tab_Def_Flows[Name(EN)],Tab_Def_Flows[WC?],,0,)</f>
        <v>0</v>
      </c>
      <c r="K31" s="61">
        <f>_xlfn.XLOOKUP(C31,Tab_Def_Flows[Name(EN)],Tab_Def_Flows[DM?],,0,)</f>
        <v>0</v>
      </c>
      <c r="L31" s="61">
        <f>_xlfn.XLOOKUP(C31,Tab_Def_Flows[Name(EN)],Tab_Def_Flows[CC?],,0,)</f>
        <v>0</v>
      </c>
      <c r="M31" s="51"/>
      <c r="N31" s="51" t="s">
        <v>349</v>
      </c>
      <c r="O31" s="114"/>
      <c r="P31" s="51"/>
      <c r="Q31" s="51"/>
      <c r="R31" s="51"/>
      <c r="S31" s="51"/>
      <c r="T31" s="51"/>
      <c r="U31" s="51"/>
      <c r="V31" s="51"/>
      <c r="W31" s="51"/>
      <c r="X31" s="51" t="s">
        <v>70</v>
      </c>
      <c r="Y31" s="104"/>
      <c r="Z31" s="51"/>
      <c r="AA31" s="85">
        <f t="shared" si="1"/>
        <v>0</v>
      </c>
      <c r="AB31" s="51"/>
      <c r="AC31" s="107" t="e">
        <f>INDEX(Tab_Def_Flows[[Flow_ID]:[CC_DM_source]],MATCH(Tab_Data_Flows[[#This Row],[Name(EN)]],Tab_Def_Flows[Name(EN)],0),16)</f>
        <v>#N/A</v>
      </c>
      <c r="AD31" s="108" t="str">
        <f>IF(J31="Yes",AA31*Tab_Data_Flows[[#This Row],[WC_'[%']]],"N.A.")</f>
        <v>N.A.</v>
      </c>
      <c r="AE31" s="61">
        <f>Tab_Data_Flows[[#This Row],[UoM_Flow_Py]]</f>
        <v>0</v>
      </c>
      <c r="AF31" s="107" t="e">
        <f>INDEX(Tab_Def_Flows[[Flow_ID]:[CC_DM_source]],MATCH(Tab_Data_Flows[[#This Row],[Name(EN)]],Tab_Def_Flows[Name(EN)],0),18)</f>
        <v>#N/A</v>
      </c>
      <c r="AG31" s="108" t="str">
        <f>IF(K31="Yes",AF31*Tab_Data_Flows[[#This Row],[Flow_Py]],"N.A.")</f>
        <v>N.A.</v>
      </c>
      <c r="AH31" s="61">
        <f>Tab_Data_Flows[[#This Row],[UoM_Flow_Py]]</f>
        <v>0</v>
      </c>
      <c r="AI31" s="107" t="e">
        <f>INDEX(Tab_Def_Flows[[Flow_ID]:[CC_DM_source]],MATCH(Tab_Data_Flows[[#This Row],[Name(EN)]],Tab_Def_Flows[Name(EN)],0),20)</f>
        <v>#N/A</v>
      </c>
      <c r="AJ31" s="108" t="str">
        <f>IF(L31="Yes",AI31*Tab_Data_Flows[[#This Row],[Flow_Py]]*Tab_Data_Flows[[#This Row],[DM_'[%']]],"N.A.")</f>
        <v>N.A.</v>
      </c>
      <c r="AK31" s="61">
        <f>Tab_Data_Flows[[#This Row],[UoM_Flow_Py]]</f>
        <v>0</v>
      </c>
    </row>
    <row r="32" spans="1:37" x14ac:dyDescent="0.25">
      <c r="A32" s="60">
        <f t="shared" si="0"/>
        <v>31</v>
      </c>
      <c r="B32" s="49" t="str">
        <f>_xlfn.XLOOKUP(C32,Tab_Def_Flows[Name(EN)],Tab_Def_Flows[Flow_ID],,0,)</f>
        <v>F_12_12</v>
      </c>
      <c r="C32" s="51"/>
      <c r="D32" s="49">
        <f>_xlfn.XLOOKUP(C32,Tab_Def_Flows[Name(EN)],Tab_Def_Flows[Type_Biomass],,0,)</f>
        <v>0</v>
      </c>
      <c r="E32" s="49">
        <f>_xlfn.XLOOKUP(C32,Tab_Def_Flows[Name(EN)],Tab_Def_Flows[Output_Process],,0,)</f>
        <v>0</v>
      </c>
      <c r="F32" s="49" t="str">
        <f>_xlfn.XLOOKUP(C32,Tab_Def_Flows[Name(EN)],Tab_Def_Flows[Process_ID_O],,0,)</f>
        <v>12__</v>
      </c>
      <c r="G32" s="49">
        <f>_xlfn.XLOOKUP(C32,Tab_Def_Flows[Name(EN)],Tab_Def_Flows[Input_Process],,0,)</f>
        <v>0</v>
      </c>
      <c r="H32" s="61" t="str">
        <f>_xlfn.XLOOKUP(C32,Tab_Def_Flows[Name(EN)],Tab_Def_Flows[Process_ID_I],,0,)</f>
        <v>12__</v>
      </c>
      <c r="I32" s="61">
        <f>_xlfn.XLOOKUP(C32,Tab_Def_Flows[Name(EN)],Tab_Def_Flows[Value_Source],,0,)</f>
        <v>0</v>
      </c>
      <c r="J32" s="61">
        <f>_xlfn.XLOOKUP(C32,Tab_Def_Flows[Name(EN)],Tab_Def_Flows[WC?],,0,)</f>
        <v>0</v>
      </c>
      <c r="K32" s="61">
        <f>_xlfn.XLOOKUP(C32,Tab_Def_Flows[Name(EN)],Tab_Def_Flows[DM?],,0,)</f>
        <v>0</v>
      </c>
      <c r="L32" s="61">
        <f>_xlfn.XLOOKUP(C32,Tab_Def_Flows[Name(EN)],Tab_Def_Flows[CC?],,0,)</f>
        <v>0</v>
      </c>
      <c r="M32" s="51"/>
      <c r="N32" s="51" t="s">
        <v>349</v>
      </c>
      <c r="O32" s="114"/>
      <c r="P32" s="51"/>
      <c r="Q32" s="51"/>
      <c r="R32" s="51"/>
      <c r="S32" s="51"/>
      <c r="T32" s="51"/>
      <c r="U32" s="51"/>
      <c r="V32" s="51"/>
      <c r="W32" s="51"/>
      <c r="X32" s="51" t="s">
        <v>70</v>
      </c>
      <c r="Y32" s="104"/>
      <c r="Z32" s="51"/>
      <c r="AA32" s="85">
        <f t="shared" si="1"/>
        <v>0</v>
      </c>
      <c r="AB32" s="51"/>
      <c r="AC32" s="107" t="e">
        <f>INDEX(Tab_Def_Flows[[Flow_ID]:[CC_DM_source]],MATCH(Tab_Data_Flows[[#This Row],[Name(EN)]],Tab_Def_Flows[Name(EN)],0),16)</f>
        <v>#N/A</v>
      </c>
      <c r="AD32" s="108" t="str">
        <f>IF(J32="Yes",AA32*Tab_Data_Flows[[#This Row],[WC_'[%']]],"N.A.")</f>
        <v>N.A.</v>
      </c>
      <c r="AE32" s="61">
        <f>Tab_Data_Flows[[#This Row],[UoM_Flow_Py]]</f>
        <v>0</v>
      </c>
      <c r="AF32" s="107" t="e">
        <f>INDEX(Tab_Def_Flows[[Flow_ID]:[CC_DM_source]],MATCH(Tab_Data_Flows[[#This Row],[Name(EN)]],Tab_Def_Flows[Name(EN)],0),18)</f>
        <v>#N/A</v>
      </c>
      <c r="AG32" s="108" t="str">
        <f>IF(K32="Yes",AF32*Tab_Data_Flows[[#This Row],[Flow_Py]],"N.A.")</f>
        <v>N.A.</v>
      </c>
      <c r="AH32" s="61">
        <f>Tab_Data_Flows[[#This Row],[UoM_Flow_Py]]</f>
        <v>0</v>
      </c>
      <c r="AI32" s="107" t="e">
        <f>INDEX(Tab_Def_Flows[[Flow_ID]:[CC_DM_source]],MATCH(Tab_Data_Flows[[#This Row],[Name(EN)]],Tab_Def_Flows[Name(EN)],0),20)</f>
        <v>#N/A</v>
      </c>
      <c r="AJ32" s="108" t="str">
        <f>IF(L32="Yes",AI32*Tab_Data_Flows[[#This Row],[Flow_Py]]*Tab_Data_Flows[[#This Row],[DM_'[%']]],"N.A.")</f>
        <v>N.A.</v>
      </c>
      <c r="AK32" s="61">
        <f>Tab_Data_Flows[[#This Row],[UoM_Flow_Py]]</f>
        <v>0</v>
      </c>
    </row>
    <row r="33" spans="1:37" x14ac:dyDescent="0.25">
      <c r="A33" s="60">
        <f t="shared" si="0"/>
        <v>32</v>
      </c>
      <c r="B33" s="49" t="str">
        <f>_xlfn.XLOOKUP(C33,Tab_Def_Flows[Name(EN)],Tab_Def_Flows[Flow_ID],,0,)</f>
        <v>F_12_12</v>
      </c>
      <c r="C33" s="51"/>
      <c r="D33" s="49">
        <f>_xlfn.XLOOKUP(C33,Tab_Def_Flows[Name(EN)],Tab_Def_Flows[Type_Biomass],,0,)</f>
        <v>0</v>
      </c>
      <c r="E33" s="49">
        <f>_xlfn.XLOOKUP(C33,Tab_Def_Flows[Name(EN)],Tab_Def_Flows[Output_Process],,0,)</f>
        <v>0</v>
      </c>
      <c r="F33" s="49" t="str">
        <f>_xlfn.XLOOKUP(C33,Tab_Def_Flows[Name(EN)],Tab_Def_Flows[Process_ID_O],,0,)</f>
        <v>12__</v>
      </c>
      <c r="G33" s="49">
        <f>_xlfn.XLOOKUP(C33,Tab_Def_Flows[Name(EN)],Tab_Def_Flows[Input_Process],,0,)</f>
        <v>0</v>
      </c>
      <c r="H33" s="61" t="str">
        <f>_xlfn.XLOOKUP(C33,Tab_Def_Flows[Name(EN)],Tab_Def_Flows[Process_ID_I],,0,)</f>
        <v>12__</v>
      </c>
      <c r="I33" s="61">
        <f>_xlfn.XLOOKUP(C33,Tab_Def_Flows[Name(EN)],Tab_Def_Flows[Value_Source],,0,)</f>
        <v>0</v>
      </c>
      <c r="J33" s="61">
        <f>_xlfn.XLOOKUP(C33,Tab_Def_Flows[Name(EN)],Tab_Def_Flows[WC?],,0,)</f>
        <v>0</v>
      </c>
      <c r="K33" s="61">
        <f>_xlfn.XLOOKUP(C33,Tab_Def_Flows[Name(EN)],Tab_Def_Flows[DM?],,0,)</f>
        <v>0</v>
      </c>
      <c r="L33" s="61">
        <f>_xlfn.XLOOKUP(C33,Tab_Def_Flows[Name(EN)],Tab_Def_Flows[CC?],,0,)</f>
        <v>0</v>
      </c>
      <c r="M33" s="51"/>
      <c r="N33" s="51" t="s">
        <v>349</v>
      </c>
      <c r="O33" s="114"/>
      <c r="P33" s="51"/>
      <c r="Q33" s="51"/>
      <c r="R33" s="51"/>
      <c r="S33" s="51"/>
      <c r="T33" s="51"/>
      <c r="U33" s="51"/>
      <c r="V33" s="51"/>
      <c r="W33" s="51"/>
      <c r="X33" s="51" t="s">
        <v>70</v>
      </c>
      <c r="Y33" s="104"/>
      <c r="Z33" s="51"/>
      <c r="AA33" s="85">
        <f t="shared" si="1"/>
        <v>0</v>
      </c>
      <c r="AB33" s="51"/>
      <c r="AC33" s="107" t="e">
        <f>INDEX(Tab_Def_Flows[[Flow_ID]:[CC_DM_source]],MATCH(Tab_Data_Flows[[#This Row],[Name(EN)]],Tab_Def_Flows[Name(EN)],0),16)</f>
        <v>#N/A</v>
      </c>
      <c r="AD33" s="108" t="str">
        <f>IF(J33="Yes",AA33*Tab_Data_Flows[[#This Row],[WC_'[%']]],"N.A.")</f>
        <v>N.A.</v>
      </c>
      <c r="AE33" s="61">
        <f>Tab_Data_Flows[[#This Row],[UoM_Flow_Py]]</f>
        <v>0</v>
      </c>
      <c r="AF33" s="107" t="e">
        <f>INDEX(Tab_Def_Flows[[Flow_ID]:[CC_DM_source]],MATCH(Tab_Data_Flows[[#This Row],[Name(EN)]],Tab_Def_Flows[Name(EN)],0),18)</f>
        <v>#N/A</v>
      </c>
      <c r="AG33" s="108" t="str">
        <f>IF(K33="Yes",AF33*Tab_Data_Flows[[#This Row],[Flow_Py]],"N.A.")</f>
        <v>N.A.</v>
      </c>
      <c r="AH33" s="61">
        <f>Tab_Data_Flows[[#This Row],[UoM_Flow_Py]]</f>
        <v>0</v>
      </c>
      <c r="AI33" s="107" t="e">
        <f>INDEX(Tab_Def_Flows[[Flow_ID]:[CC_DM_source]],MATCH(Tab_Data_Flows[[#This Row],[Name(EN)]],Tab_Def_Flows[Name(EN)],0),20)</f>
        <v>#N/A</v>
      </c>
      <c r="AJ33" s="108" t="str">
        <f>IF(L33="Yes",AI33*Tab_Data_Flows[[#This Row],[Flow_Py]]*Tab_Data_Flows[[#This Row],[DM_'[%']]],"N.A.")</f>
        <v>N.A.</v>
      </c>
      <c r="AK33" s="61">
        <f>Tab_Data_Flows[[#This Row],[UoM_Flow_Py]]</f>
        <v>0</v>
      </c>
    </row>
    <row r="34" spans="1:37" x14ac:dyDescent="0.25">
      <c r="A34" s="60">
        <f t="shared" si="0"/>
        <v>33</v>
      </c>
      <c r="B34" s="49" t="str">
        <f>_xlfn.XLOOKUP(C34,Tab_Def_Flows[Name(EN)],Tab_Def_Flows[Flow_ID],,0,)</f>
        <v>F_12_12</v>
      </c>
      <c r="C34" s="51"/>
      <c r="D34" s="49">
        <f>_xlfn.XLOOKUP(C34,Tab_Def_Flows[Name(EN)],Tab_Def_Flows[Type_Biomass],,0,)</f>
        <v>0</v>
      </c>
      <c r="E34" s="49">
        <f>_xlfn.XLOOKUP(C34,Tab_Def_Flows[Name(EN)],Tab_Def_Flows[Output_Process],,0,)</f>
        <v>0</v>
      </c>
      <c r="F34" s="49" t="str">
        <f>_xlfn.XLOOKUP(C34,Tab_Def_Flows[Name(EN)],Tab_Def_Flows[Process_ID_O],,0,)</f>
        <v>12__</v>
      </c>
      <c r="G34" s="49">
        <f>_xlfn.XLOOKUP(C34,Tab_Def_Flows[Name(EN)],Tab_Def_Flows[Input_Process],,0,)</f>
        <v>0</v>
      </c>
      <c r="H34" s="61" t="str">
        <f>_xlfn.XLOOKUP(C34,Tab_Def_Flows[Name(EN)],Tab_Def_Flows[Process_ID_I],,0,)</f>
        <v>12__</v>
      </c>
      <c r="I34" s="61">
        <f>_xlfn.XLOOKUP(C34,Tab_Def_Flows[Name(EN)],Tab_Def_Flows[Value_Source],,0,)</f>
        <v>0</v>
      </c>
      <c r="J34" s="61">
        <f>_xlfn.XLOOKUP(C34,Tab_Def_Flows[Name(EN)],Tab_Def_Flows[WC?],,0,)</f>
        <v>0</v>
      </c>
      <c r="K34" s="61">
        <f>_xlfn.XLOOKUP(C34,Tab_Def_Flows[Name(EN)],Tab_Def_Flows[DM?],,0,)</f>
        <v>0</v>
      </c>
      <c r="L34" s="61">
        <f>_xlfn.XLOOKUP(C34,Tab_Def_Flows[Name(EN)],Tab_Def_Flows[CC?],,0,)</f>
        <v>0</v>
      </c>
      <c r="M34" s="51"/>
      <c r="N34" s="51" t="s">
        <v>349</v>
      </c>
      <c r="O34" s="114"/>
      <c r="P34" s="51"/>
      <c r="Q34" s="51"/>
      <c r="R34" s="51"/>
      <c r="S34" s="51"/>
      <c r="T34" s="51"/>
      <c r="U34" s="51"/>
      <c r="V34" s="51"/>
      <c r="W34" s="51"/>
      <c r="X34" s="51" t="s">
        <v>70</v>
      </c>
      <c r="Y34" s="104"/>
      <c r="Z34" s="51"/>
      <c r="AA34" s="85">
        <f t="shared" si="1"/>
        <v>0</v>
      </c>
      <c r="AB34" s="51"/>
      <c r="AC34" s="107" t="e">
        <f>INDEX(Tab_Def_Flows[[Flow_ID]:[CC_DM_source]],MATCH(Tab_Data_Flows[[#This Row],[Name(EN)]],Tab_Def_Flows[Name(EN)],0),16)</f>
        <v>#N/A</v>
      </c>
      <c r="AD34" s="108" t="str">
        <f>IF(J34="Yes",AA34*Tab_Data_Flows[[#This Row],[WC_'[%']]],"N.A.")</f>
        <v>N.A.</v>
      </c>
      <c r="AE34" s="61">
        <f>Tab_Data_Flows[[#This Row],[UoM_Flow_Py]]</f>
        <v>0</v>
      </c>
      <c r="AF34" s="107" t="e">
        <f>INDEX(Tab_Def_Flows[[Flow_ID]:[CC_DM_source]],MATCH(Tab_Data_Flows[[#This Row],[Name(EN)]],Tab_Def_Flows[Name(EN)],0),18)</f>
        <v>#N/A</v>
      </c>
      <c r="AG34" s="108" t="str">
        <f>IF(K34="Yes",AF34*Tab_Data_Flows[[#This Row],[Flow_Py]],"N.A.")</f>
        <v>N.A.</v>
      </c>
      <c r="AH34" s="61">
        <f>Tab_Data_Flows[[#This Row],[UoM_Flow_Py]]</f>
        <v>0</v>
      </c>
      <c r="AI34" s="107" t="e">
        <f>INDEX(Tab_Def_Flows[[Flow_ID]:[CC_DM_source]],MATCH(Tab_Data_Flows[[#This Row],[Name(EN)]],Tab_Def_Flows[Name(EN)],0),20)</f>
        <v>#N/A</v>
      </c>
      <c r="AJ34" s="108" t="str">
        <f>IF(L34="Yes",AI34*Tab_Data_Flows[[#This Row],[Flow_Py]]*Tab_Data_Flows[[#This Row],[DM_'[%']]],"N.A.")</f>
        <v>N.A.</v>
      </c>
      <c r="AK34" s="61">
        <f>Tab_Data_Flows[[#This Row],[UoM_Flow_Py]]</f>
        <v>0</v>
      </c>
    </row>
    <row r="35" spans="1:37" x14ac:dyDescent="0.25">
      <c r="A35" s="60">
        <f t="shared" si="0"/>
        <v>34</v>
      </c>
      <c r="B35" s="49" t="str">
        <f>_xlfn.XLOOKUP(C35,Tab_Def_Flows[Name(EN)],Tab_Def_Flows[Flow_ID],,0,)</f>
        <v>F_12_12</v>
      </c>
      <c r="C35" s="51"/>
      <c r="D35" s="49">
        <f>_xlfn.XLOOKUP(C35,Tab_Def_Flows[Name(EN)],Tab_Def_Flows[Type_Biomass],,0,)</f>
        <v>0</v>
      </c>
      <c r="E35" s="49">
        <f>_xlfn.XLOOKUP(C35,Tab_Def_Flows[Name(EN)],Tab_Def_Flows[Output_Process],,0,)</f>
        <v>0</v>
      </c>
      <c r="F35" s="49" t="str">
        <f>_xlfn.XLOOKUP(C35,Tab_Def_Flows[Name(EN)],Tab_Def_Flows[Process_ID_O],,0,)</f>
        <v>12__</v>
      </c>
      <c r="G35" s="49">
        <f>_xlfn.XLOOKUP(C35,Tab_Def_Flows[Name(EN)],Tab_Def_Flows[Input_Process],,0,)</f>
        <v>0</v>
      </c>
      <c r="H35" s="61" t="str">
        <f>_xlfn.XLOOKUP(C35,Tab_Def_Flows[Name(EN)],Tab_Def_Flows[Process_ID_I],,0,)</f>
        <v>12__</v>
      </c>
      <c r="I35" s="61">
        <f>_xlfn.XLOOKUP(C35,Tab_Def_Flows[Name(EN)],Tab_Def_Flows[Value_Source],,0,)</f>
        <v>0</v>
      </c>
      <c r="J35" s="61">
        <f>_xlfn.XLOOKUP(C35,Tab_Def_Flows[Name(EN)],Tab_Def_Flows[WC?],,0,)</f>
        <v>0</v>
      </c>
      <c r="K35" s="61">
        <f>_xlfn.XLOOKUP(C35,Tab_Def_Flows[Name(EN)],Tab_Def_Flows[DM?],,0,)</f>
        <v>0</v>
      </c>
      <c r="L35" s="61">
        <f>_xlfn.XLOOKUP(C35,Tab_Def_Flows[Name(EN)],Tab_Def_Flows[CC?],,0,)</f>
        <v>0</v>
      </c>
      <c r="M35" s="51"/>
      <c r="N35" s="51" t="s">
        <v>349</v>
      </c>
      <c r="O35" s="114"/>
      <c r="P35" s="51"/>
      <c r="Q35" s="51"/>
      <c r="R35" s="51"/>
      <c r="S35" s="51"/>
      <c r="T35" s="51"/>
      <c r="U35" s="51"/>
      <c r="V35" s="51"/>
      <c r="W35" s="51"/>
      <c r="X35" s="51" t="s">
        <v>70</v>
      </c>
      <c r="Y35" s="104"/>
      <c r="Z35" s="51"/>
      <c r="AA35" s="85">
        <f t="shared" si="1"/>
        <v>0</v>
      </c>
      <c r="AB35" s="51"/>
      <c r="AC35" s="107" t="e">
        <f>INDEX(Tab_Def_Flows[[Flow_ID]:[CC_DM_source]],MATCH(Tab_Data_Flows[[#This Row],[Name(EN)]],Tab_Def_Flows[Name(EN)],0),16)</f>
        <v>#N/A</v>
      </c>
      <c r="AD35" s="108" t="str">
        <f>IF(J35="Yes",AA35*Tab_Data_Flows[[#This Row],[WC_'[%']]],"N.A.")</f>
        <v>N.A.</v>
      </c>
      <c r="AE35" s="61">
        <f>Tab_Data_Flows[[#This Row],[UoM_Flow_Py]]</f>
        <v>0</v>
      </c>
      <c r="AF35" s="107" t="e">
        <f>INDEX(Tab_Def_Flows[[Flow_ID]:[CC_DM_source]],MATCH(Tab_Data_Flows[[#This Row],[Name(EN)]],Tab_Def_Flows[Name(EN)],0),18)</f>
        <v>#N/A</v>
      </c>
      <c r="AG35" s="108" t="str">
        <f>IF(K35="Yes",AF35*Tab_Data_Flows[[#This Row],[Flow_Py]],"N.A.")</f>
        <v>N.A.</v>
      </c>
      <c r="AH35" s="61">
        <f>Tab_Data_Flows[[#This Row],[UoM_Flow_Py]]</f>
        <v>0</v>
      </c>
      <c r="AI35" s="107" t="e">
        <f>INDEX(Tab_Def_Flows[[Flow_ID]:[CC_DM_source]],MATCH(Tab_Data_Flows[[#This Row],[Name(EN)]],Tab_Def_Flows[Name(EN)],0),20)</f>
        <v>#N/A</v>
      </c>
      <c r="AJ35" s="108" t="str">
        <f>IF(L35="Yes",AI35*Tab_Data_Flows[[#This Row],[Flow_Py]]*Tab_Data_Flows[[#This Row],[DM_'[%']]],"N.A.")</f>
        <v>N.A.</v>
      </c>
      <c r="AK35" s="61">
        <f>Tab_Data_Flows[[#This Row],[UoM_Flow_Py]]</f>
        <v>0</v>
      </c>
    </row>
    <row r="36" spans="1:37" x14ac:dyDescent="0.25">
      <c r="A36" s="60">
        <f t="shared" si="0"/>
        <v>35</v>
      </c>
      <c r="B36" s="49" t="str">
        <f>_xlfn.XLOOKUP(C36,Tab_Def_Flows[Name(EN)],Tab_Def_Flows[Flow_ID],,0,)</f>
        <v>F_12_12</v>
      </c>
      <c r="C36" s="51"/>
      <c r="D36" s="49">
        <f>_xlfn.XLOOKUP(C36,Tab_Def_Flows[Name(EN)],Tab_Def_Flows[Type_Biomass],,0,)</f>
        <v>0</v>
      </c>
      <c r="E36" s="49">
        <f>_xlfn.XLOOKUP(C36,Tab_Def_Flows[Name(EN)],Tab_Def_Flows[Output_Process],,0,)</f>
        <v>0</v>
      </c>
      <c r="F36" s="49" t="str">
        <f>_xlfn.XLOOKUP(C36,Tab_Def_Flows[Name(EN)],Tab_Def_Flows[Process_ID_O],,0,)</f>
        <v>12__</v>
      </c>
      <c r="G36" s="49">
        <f>_xlfn.XLOOKUP(C36,Tab_Def_Flows[Name(EN)],Tab_Def_Flows[Input_Process],,0,)</f>
        <v>0</v>
      </c>
      <c r="H36" s="61" t="str">
        <f>_xlfn.XLOOKUP(C36,Tab_Def_Flows[Name(EN)],Tab_Def_Flows[Process_ID_I],,0,)</f>
        <v>12__</v>
      </c>
      <c r="I36" s="61">
        <f>_xlfn.XLOOKUP(C36,Tab_Def_Flows[Name(EN)],Tab_Def_Flows[Value_Source],,0,)</f>
        <v>0</v>
      </c>
      <c r="J36" s="61">
        <f>_xlfn.XLOOKUP(C36,Tab_Def_Flows[Name(EN)],Tab_Def_Flows[WC?],,0,)</f>
        <v>0</v>
      </c>
      <c r="K36" s="61">
        <f>_xlfn.XLOOKUP(C36,Tab_Def_Flows[Name(EN)],Tab_Def_Flows[DM?],,0,)</f>
        <v>0</v>
      </c>
      <c r="L36" s="61">
        <f>_xlfn.XLOOKUP(C36,Tab_Def_Flows[Name(EN)],Tab_Def_Flows[CC?],,0,)</f>
        <v>0</v>
      </c>
      <c r="M36" s="51"/>
      <c r="N36" s="51" t="s">
        <v>349</v>
      </c>
      <c r="O36" s="114"/>
      <c r="P36" s="51"/>
      <c r="Q36" s="51"/>
      <c r="R36" s="51"/>
      <c r="S36" s="51"/>
      <c r="T36" s="51"/>
      <c r="U36" s="51"/>
      <c r="V36" s="51"/>
      <c r="W36" s="51"/>
      <c r="X36" s="51" t="s">
        <v>70</v>
      </c>
      <c r="Y36" s="104"/>
      <c r="Z36" s="51"/>
      <c r="AA36" s="85">
        <f t="shared" si="1"/>
        <v>0</v>
      </c>
      <c r="AB36" s="51"/>
      <c r="AC36" s="107" t="e">
        <f>INDEX(Tab_Def_Flows[[Flow_ID]:[CC_DM_source]],MATCH(Tab_Data_Flows[[#This Row],[Name(EN)]],Tab_Def_Flows[Name(EN)],0),16)</f>
        <v>#N/A</v>
      </c>
      <c r="AD36" s="108" t="str">
        <f>IF(J36="Yes",AA36*Tab_Data_Flows[[#This Row],[WC_'[%']]],"N.A.")</f>
        <v>N.A.</v>
      </c>
      <c r="AE36" s="61">
        <f>Tab_Data_Flows[[#This Row],[UoM_Flow_Py]]</f>
        <v>0</v>
      </c>
      <c r="AF36" s="107" t="e">
        <f>INDEX(Tab_Def_Flows[[Flow_ID]:[CC_DM_source]],MATCH(Tab_Data_Flows[[#This Row],[Name(EN)]],Tab_Def_Flows[Name(EN)],0),18)</f>
        <v>#N/A</v>
      </c>
      <c r="AG36" s="108" t="str">
        <f>IF(K36="Yes",AF36*Tab_Data_Flows[[#This Row],[Flow_Py]],"N.A.")</f>
        <v>N.A.</v>
      </c>
      <c r="AH36" s="61">
        <f>Tab_Data_Flows[[#This Row],[UoM_Flow_Py]]</f>
        <v>0</v>
      </c>
      <c r="AI36" s="107" t="e">
        <f>INDEX(Tab_Def_Flows[[Flow_ID]:[CC_DM_source]],MATCH(Tab_Data_Flows[[#This Row],[Name(EN)]],Tab_Def_Flows[Name(EN)],0),20)</f>
        <v>#N/A</v>
      </c>
      <c r="AJ36" s="108" t="str">
        <f>IF(L36="Yes",AI36*Tab_Data_Flows[[#This Row],[Flow_Py]]*Tab_Data_Flows[[#This Row],[DM_'[%']]],"N.A.")</f>
        <v>N.A.</v>
      </c>
      <c r="AK36" s="61">
        <f>Tab_Data_Flows[[#This Row],[UoM_Flow_Py]]</f>
        <v>0</v>
      </c>
    </row>
    <row r="37" spans="1:37" x14ac:dyDescent="0.25">
      <c r="A37" s="60">
        <f t="shared" si="0"/>
        <v>36</v>
      </c>
      <c r="B37" s="49" t="str">
        <f>_xlfn.XLOOKUP(C37,Tab_Def_Flows[Name(EN)],Tab_Def_Flows[Flow_ID],,0,)</f>
        <v>F_12_12</v>
      </c>
      <c r="C37" s="51"/>
      <c r="D37" s="49">
        <f>_xlfn.XLOOKUP(C37,Tab_Def_Flows[Name(EN)],Tab_Def_Flows[Type_Biomass],,0,)</f>
        <v>0</v>
      </c>
      <c r="E37" s="49">
        <f>_xlfn.XLOOKUP(C37,Tab_Def_Flows[Name(EN)],Tab_Def_Flows[Output_Process],,0,)</f>
        <v>0</v>
      </c>
      <c r="F37" s="49" t="str">
        <f>_xlfn.XLOOKUP(C37,Tab_Def_Flows[Name(EN)],Tab_Def_Flows[Process_ID_O],,0,)</f>
        <v>12__</v>
      </c>
      <c r="G37" s="49">
        <f>_xlfn.XLOOKUP(C37,Tab_Def_Flows[Name(EN)],Tab_Def_Flows[Input_Process],,0,)</f>
        <v>0</v>
      </c>
      <c r="H37" s="61" t="str">
        <f>_xlfn.XLOOKUP(C37,Tab_Def_Flows[Name(EN)],Tab_Def_Flows[Process_ID_I],,0,)</f>
        <v>12__</v>
      </c>
      <c r="I37" s="61">
        <f>_xlfn.XLOOKUP(C37,Tab_Def_Flows[Name(EN)],Tab_Def_Flows[Value_Source],,0,)</f>
        <v>0</v>
      </c>
      <c r="J37" s="61">
        <f>_xlfn.XLOOKUP(C37,Tab_Def_Flows[Name(EN)],Tab_Def_Flows[WC?],,0,)</f>
        <v>0</v>
      </c>
      <c r="K37" s="61">
        <f>_xlfn.XLOOKUP(C37,Tab_Def_Flows[Name(EN)],Tab_Def_Flows[DM?],,0,)</f>
        <v>0</v>
      </c>
      <c r="L37" s="61">
        <f>_xlfn.XLOOKUP(C37,Tab_Def_Flows[Name(EN)],Tab_Def_Flows[CC?],,0,)</f>
        <v>0</v>
      </c>
      <c r="M37" s="51"/>
      <c r="N37" s="51" t="s">
        <v>349</v>
      </c>
      <c r="O37" s="114"/>
      <c r="P37" s="51"/>
      <c r="Q37" s="51"/>
      <c r="R37" s="51"/>
      <c r="S37" s="51"/>
      <c r="T37" s="51"/>
      <c r="U37" s="51"/>
      <c r="V37" s="51"/>
      <c r="W37" s="51"/>
      <c r="X37" s="51" t="s">
        <v>70</v>
      </c>
      <c r="Y37" s="104"/>
      <c r="Z37" s="51"/>
      <c r="AA37" s="85">
        <f t="shared" si="1"/>
        <v>0</v>
      </c>
      <c r="AB37" s="51"/>
      <c r="AC37" s="107" t="e">
        <f>INDEX(Tab_Def_Flows[[Flow_ID]:[CC_DM_source]],MATCH(Tab_Data_Flows[[#This Row],[Name(EN)]],Tab_Def_Flows[Name(EN)],0),16)</f>
        <v>#N/A</v>
      </c>
      <c r="AD37" s="108" t="str">
        <f>IF(J37="Yes",AA37*Tab_Data_Flows[[#This Row],[WC_'[%']]],"N.A.")</f>
        <v>N.A.</v>
      </c>
      <c r="AE37" s="61">
        <f>Tab_Data_Flows[[#This Row],[UoM_Flow_Py]]</f>
        <v>0</v>
      </c>
      <c r="AF37" s="107" t="e">
        <f>INDEX(Tab_Def_Flows[[Flow_ID]:[CC_DM_source]],MATCH(Tab_Data_Flows[[#This Row],[Name(EN)]],Tab_Def_Flows[Name(EN)],0),18)</f>
        <v>#N/A</v>
      </c>
      <c r="AG37" s="108" t="str">
        <f>IF(K37="Yes",AF37*Tab_Data_Flows[[#This Row],[Flow_Py]],"N.A.")</f>
        <v>N.A.</v>
      </c>
      <c r="AH37" s="61">
        <f>Tab_Data_Flows[[#This Row],[UoM_Flow_Py]]</f>
        <v>0</v>
      </c>
      <c r="AI37" s="107" t="e">
        <f>INDEX(Tab_Def_Flows[[Flow_ID]:[CC_DM_source]],MATCH(Tab_Data_Flows[[#This Row],[Name(EN)]],Tab_Def_Flows[Name(EN)],0),20)</f>
        <v>#N/A</v>
      </c>
      <c r="AJ37" s="108" t="str">
        <f>IF(L37="Yes",AI37*Tab_Data_Flows[[#This Row],[Flow_Py]]*Tab_Data_Flows[[#This Row],[DM_'[%']]],"N.A.")</f>
        <v>N.A.</v>
      </c>
      <c r="AK37" s="61">
        <f>Tab_Data_Flows[[#This Row],[UoM_Flow_Py]]</f>
        <v>0</v>
      </c>
    </row>
    <row r="38" spans="1:37" x14ac:dyDescent="0.25">
      <c r="A38" s="60">
        <f t="shared" si="0"/>
        <v>37</v>
      </c>
      <c r="B38" s="49" t="str">
        <f>_xlfn.XLOOKUP(C38,Tab_Def_Flows[Name(EN)],Tab_Def_Flows[Flow_ID],,0,)</f>
        <v>F_12_12</v>
      </c>
      <c r="C38" s="51"/>
      <c r="D38" s="49"/>
      <c r="E38" s="49">
        <f>_xlfn.XLOOKUP(C38,Tab_Def_Flows[Name(EN)],Tab_Def_Flows[Output_Process],,0,)</f>
        <v>0</v>
      </c>
      <c r="F38" s="49" t="str">
        <f>_xlfn.XLOOKUP(C38,Tab_Def_Flows[Name(EN)],Tab_Def_Flows[Process_ID_O],,0,)</f>
        <v>12__</v>
      </c>
      <c r="G38" s="49">
        <f>_xlfn.XLOOKUP(C38,Tab_Def_Flows[Name(EN)],Tab_Def_Flows[Input_Process],,0,)</f>
        <v>0</v>
      </c>
      <c r="H38" s="61" t="str">
        <f>_xlfn.XLOOKUP(C38,Tab_Def_Flows[Name(EN)],Tab_Def_Flows[Process_ID_I],,0,)</f>
        <v>12__</v>
      </c>
      <c r="I38" s="49">
        <f>_xlfn.XLOOKUP(C38,Tab_Def_Flows[Name(EN)],Tab_Def_Flows[Value_Source],,0,)</f>
        <v>0</v>
      </c>
      <c r="J38" s="49">
        <f>_xlfn.XLOOKUP(C38,Tab_Def_Flows[Name(EN)],Tab_Def_Flows[WC?],,0,)</f>
        <v>0</v>
      </c>
      <c r="K38" s="49">
        <f>_xlfn.XLOOKUP(C38,Tab_Def_Flows[Name(EN)],Tab_Def_Flows[DM?],,0,)</f>
        <v>0</v>
      </c>
      <c r="L38" s="49">
        <f>_xlfn.XLOOKUP(C38,Tab_Def_Flows[Name(EN)],Tab_Def_Flows[CC?],,0,)</f>
        <v>0</v>
      </c>
      <c r="M38" s="51"/>
      <c r="N38" s="51"/>
      <c r="O38" s="114"/>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0</v>
      </c>
      <c r="AB38" s="51"/>
      <c r="AC38" s="107" t="e">
        <f>INDEX(Tab_Def_Flows[[Flow_ID]:[CC_DM_source]],MATCH(Tab_Data_Flows[[#This Row],[Name(EN)]],Tab_Def_Flows[Name(EN)],0),16)</f>
        <v>#N/A</v>
      </c>
      <c r="AD38" s="108" t="str">
        <f>IF(J38="Yes",AA38*Tab_Data_Flows[[#This Row],[WC_'[%']]],"N.A.")</f>
        <v>N.A.</v>
      </c>
      <c r="AE38" s="61">
        <f>Tab_Data_Flows[[#This Row],[UoM_Flow_Py]]</f>
        <v>0</v>
      </c>
      <c r="AF38" s="107" t="e">
        <f>INDEX(Tab_Def_Flows[[Flow_ID]:[CC_DM_source]],MATCH(Tab_Data_Flows[[#This Row],[Name(EN)]],Tab_Def_Flows[Name(EN)],0),18)</f>
        <v>#N/A</v>
      </c>
      <c r="AG38" s="108" t="str">
        <f>IF(K38="Yes",AF38*Tab_Data_Flows[[#This Row],[Flow_Py]],"N.A.")</f>
        <v>N.A.</v>
      </c>
      <c r="AH38" s="61">
        <f>Tab_Data_Flows[[#This Row],[UoM_Flow_Py]]</f>
        <v>0</v>
      </c>
      <c r="AI38" s="107" t="e">
        <f>INDEX(Tab_Def_Flows[[Flow_ID]:[CC_DM_source]],MATCH(Tab_Data_Flows[[#This Row],[Name(EN)]],Tab_Def_Flows[Name(EN)],0),20)</f>
        <v>#N/A</v>
      </c>
      <c r="AJ38" s="108" t="str">
        <f>IF(L38="Yes",AI38*Tab_Data_Flows[[#This Row],[Flow_Py]]*Tab_Data_Flows[[#This Row],[DM_'[%']]],"N.A.")</f>
        <v>N.A.</v>
      </c>
      <c r="AK38" s="61">
        <f>Tab_Data_Flows[[#This Row],[UoM_Flow_Py]]</f>
        <v>0</v>
      </c>
    </row>
    <row r="39" spans="1:37" x14ac:dyDescent="0.25">
      <c r="A39" s="60">
        <f t="shared" si="0"/>
        <v>38</v>
      </c>
      <c r="B39" s="49" t="str">
        <f>_xlfn.XLOOKUP(C39,Tab_Def_Flows[Name(EN)],Tab_Def_Flows[Flow_ID],,0,)</f>
        <v>F_12_12</v>
      </c>
      <c r="C39" s="51"/>
      <c r="D39" s="49"/>
      <c r="E39" s="49">
        <f>_xlfn.XLOOKUP(C39,Tab_Def_Flows[Name(EN)],Tab_Def_Flows[Output_Process],,0,)</f>
        <v>0</v>
      </c>
      <c r="F39" s="49" t="str">
        <f>_xlfn.XLOOKUP(C39,Tab_Def_Flows[Name(EN)],Tab_Def_Flows[Process_ID_O],,0,)</f>
        <v>12__</v>
      </c>
      <c r="G39" s="49">
        <f>_xlfn.XLOOKUP(C39,Tab_Def_Flows[Name(EN)],Tab_Def_Flows[Input_Process],,0,)</f>
        <v>0</v>
      </c>
      <c r="H39" s="61" t="str">
        <f>_xlfn.XLOOKUP(C39,Tab_Def_Flows[Name(EN)],Tab_Def_Flows[Process_ID_I],,0,)</f>
        <v>12__</v>
      </c>
      <c r="I39" s="49">
        <f>_xlfn.XLOOKUP(C39,Tab_Def_Flows[Name(EN)],Tab_Def_Flows[Value_Source],,0,)</f>
        <v>0</v>
      </c>
      <c r="J39" s="49">
        <f>_xlfn.XLOOKUP(C39,Tab_Def_Flows[Name(EN)],Tab_Def_Flows[WC?],,0,)</f>
        <v>0</v>
      </c>
      <c r="K39" s="49">
        <f>_xlfn.XLOOKUP(C39,Tab_Def_Flows[Name(EN)],Tab_Def_Flows[DM?],,0,)</f>
        <v>0</v>
      </c>
      <c r="L39" s="49">
        <f>_xlfn.XLOOKUP(C39,Tab_Def_Flows[Name(EN)],Tab_Def_Flows[CC?],,0,)</f>
        <v>0</v>
      </c>
      <c r="M39" s="51"/>
      <c r="N39" s="51"/>
      <c r="O39" s="114"/>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0</v>
      </c>
      <c r="AB39" s="51"/>
      <c r="AC39" s="107" t="e">
        <f>INDEX(Tab_Def_Flows[[Flow_ID]:[CC_DM_source]],MATCH(Tab_Data_Flows[[#This Row],[Name(EN)]],Tab_Def_Flows[Name(EN)],0),16)</f>
        <v>#N/A</v>
      </c>
      <c r="AD39" s="108" t="str">
        <f>IF(J39="Yes",AA39*Tab_Data_Flows[[#This Row],[WC_'[%']]],"N.A.")</f>
        <v>N.A.</v>
      </c>
      <c r="AE39" s="61">
        <f>Tab_Data_Flows[[#This Row],[UoM_Flow_Py]]</f>
        <v>0</v>
      </c>
      <c r="AF39" s="107" t="e">
        <f>INDEX(Tab_Def_Flows[[Flow_ID]:[CC_DM_source]],MATCH(Tab_Data_Flows[[#This Row],[Name(EN)]],Tab_Def_Flows[Name(EN)],0),18)</f>
        <v>#N/A</v>
      </c>
      <c r="AG39" s="108" t="str">
        <f>IF(K39="Yes",AF39*Tab_Data_Flows[[#This Row],[Flow_Py]],"N.A.")</f>
        <v>N.A.</v>
      </c>
      <c r="AH39" s="61">
        <f>Tab_Data_Flows[[#This Row],[UoM_Flow_Py]]</f>
        <v>0</v>
      </c>
      <c r="AI39" s="107" t="e">
        <f>INDEX(Tab_Def_Flows[[Flow_ID]:[CC_DM_source]],MATCH(Tab_Data_Flows[[#This Row],[Name(EN)]],Tab_Def_Flows[Name(EN)],0),20)</f>
        <v>#N/A</v>
      </c>
      <c r="AJ39" s="108" t="str">
        <f>IF(L39="Yes",AI39*Tab_Data_Flows[[#This Row],[Flow_Py]]*Tab_Data_Flows[[#This Row],[DM_'[%']]],"N.A.")</f>
        <v>N.A.</v>
      </c>
      <c r="AK39" s="61">
        <f>Tab_Data_Flows[[#This Row],[UoM_Flow_Py]]</f>
        <v>0</v>
      </c>
    </row>
    <row r="40" spans="1:37" x14ac:dyDescent="0.25">
      <c r="A40" s="60">
        <f t="shared" si="0"/>
        <v>39</v>
      </c>
      <c r="B40" s="49" t="str">
        <f>_xlfn.XLOOKUP(C40,Tab_Def_Flows[Name(EN)],Tab_Def_Flows[Flow_ID],,0,)</f>
        <v>F_12_12</v>
      </c>
      <c r="C40" s="51"/>
      <c r="D40" s="49"/>
      <c r="E40" s="49">
        <f>_xlfn.XLOOKUP(C40,Tab_Def_Flows[Name(EN)],Tab_Def_Flows[Output_Process],,0,)</f>
        <v>0</v>
      </c>
      <c r="F40" s="49" t="str">
        <f>_xlfn.XLOOKUP(C40,Tab_Def_Flows[Name(EN)],Tab_Def_Flows[Process_ID_O],,0,)</f>
        <v>12__</v>
      </c>
      <c r="G40" s="49">
        <f>_xlfn.XLOOKUP(C40,Tab_Def_Flows[Name(EN)],Tab_Def_Flows[Input_Process],,0,)</f>
        <v>0</v>
      </c>
      <c r="H40" s="61" t="str">
        <f>_xlfn.XLOOKUP(C40,Tab_Def_Flows[Name(EN)],Tab_Def_Flows[Process_ID_I],,0,)</f>
        <v>12__</v>
      </c>
      <c r="I40" s="49">
        <f>_xlfn.XLOOKUP(C40,Tab_Def_Flows[Name(EN)],Tab_Def_Flows[Value_Source],,0,)</f>
        <v>0</v>
      </c>
      <c r="J40" s="49">
        <f>_xlfn.XLOOKUP(C40,Tab_Def_Flows[Name(EN)],Tab_Def_Flows[WC?],,0,)</f>
        <v>0</v>
      </c>
      <c r="K40" s="49">
        <f>_xlfn.XLOOKUP(C40,Tab_Def_Flows[Name(EN)],Tab_Def_Flows[DM?],,0,)</f>
        <v>0</v>
      </c>
      <c r="L40" s="49">
        <f>_xlfn.XLOOKUP(C40,Tab_Def_Flows[Name(EN)],Tab_Def_Flows[CC?],,0,)</f>
        <v>0</v>
      </c>
      <c r="M40" s="51"/>
      <c r="N40" s="51"/>
      <c r="O40" s="114"/>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0</v>
      </c>
      <c r="AB40" s="51"/>
      <c r="AC40" s="107" t="e">
        <f>INDEX(Tab_Def_Flows[[Flow_ID]:[CC_DM_source]],MATCH(Tab_Data_Flows[[#This Row],[Name(EN)]],Tab_Def_Flows[Name(EN)],0),16)</f>
        <v>#N/A</v>
      </c>
      <c r="AD40" s="108" t="str">
        <f>IF(J40="Yes",AA40*Tab_Data_Flows[[#This Row],[WC_'[%']]],"N.A.")</f>
        <v>N.A.</v>
      </c>
      <c r="AE40" s="61">
        <f>Tab_Data_Flows[[#This Row],[UoM_Flow_Py]]</f>
        <v>0</v>
      </c>
      <c r="AF40" s="107" t="e">
        <f>INDEX(Tab_Def_Flows[[Flow_ID]:[CC_DM_source]],MATCH(Tab_Data_Flows[[#This Row],[Name(EN)]],Tab_Def_Flows[Name(EN)],0),18)</f>
        <v>#N/A</v>
      </c>
      <c r="AG40" s="108" t="str">
        <f>IF(K40="Yes",AF40*Tab_Data_Flows[[#This Row],[Flow_Py]],"N.A.")</f>
        <v>N.A.</v>
      </c>
      <c r="AH40" s="61">
        <f>Tab_Data_Flows[[#This Row],[UoM_Flow_Py]]</f>
        <v>0</v>
      </c>
      <c r="AI40" s="107" t="e">
        <f>INDEX(Tab_Def_Flows[[Flow_ID]:[CC_DM_source]],MATCH(Tab_Data_Flows[[#This Row],[Name(EN)]],Tab_Def_Flows[Name(EN)],0),20)</f>
        <v>#N/A</v>
      </c>
      <c r="AJ40" s="108" t="str">
        <f>IF(L40="Yes",AI40*Tab_Data_Flows[[#This Row],[Flow_Py]]*Tab_Data_Flows[[#This Row],[DM_'[%']]],"N.A.")</f>
        <v>N.A.</v>
      </c>
      <c r="AK40" s="61">
        <f>Tab_Data_Flows[[#This Row],[UoM_Flow_Py]]</f>
        <v>0</v>
      </c>
    </row>
    <row r="41" spans="1:37" x14ac:dyDescent="0.25">
      <c r="A41" s="60">
        <f t="shared" si="0"/>
        <v>40</v>
      </c>
      <c r="B41" s="49" t="str">
        <f>_xlfn.XLOOKUP(C41,Tab_Def_Flows[Name(EN)],Tab_Def_Flows[Flow_ID],,0,)</f>
        <v>F_12_12</v>
      </c>
      <c r="C41" s="51"/>
      <c r="D41" s="49"/>
      <c r="E41" s="49">
        <f>_xlfn.XLOOKUP(C41,Tab_Def_Flows[Name(EN)],Tab_Def_Flows[Output_Process],,0,)</f>
        <v>0</v>
      </c>
      <c r="F41" s="49" t="str">
        <f>_xlfn.XLOOKUP(C41,Tab_Def_Flows[Name(EN)],Tab_Def_Flows[Process_ID_O],,0,)</f>
        <v>12__</v>
      </c>
      <c r="G41" s="49">
        <f>_xlfn.XLOOKUP(C41,Tab_Def_Flows[Name(EN)],Tab_Def_Flows[Input_Process],,0,)</f>
        <v>0</v>
      </c>
      <c r="H41" s="61" t="str">
        <f>_xlfn.XLOOKUP(C41,Tab_Def_Flows[Name(EN)],Tab_Def_Flows[Process_ID_I],,0,)</f>
        <v>12__</v>
      </c>
      <c r="I41" s="49">
        <f>_xlfn.XLOOKUP(C41,Tab_Def_Flows[Name(EN)],Tab_Def_Flows[Value_Source],,0,)</f>
        <v>0</v>
      </c>
      <c r="J41" s="49">
        <f>_xlfn.XLOOKUP(C41,Tab_Def_Flows[Name(EN)],Tab_Def_Flows[WC?],,0,)</f>
        <v>0</v>
      </c>
      <c r="K41" s="49">
        <f>_xlfn.XLOOKUP(C41,Tab_Def_Flows[Name(EN)],Tab_Def_Flows[DM?],,0,)</f>
        <v>0</v>
      </c>
      <c r="L41" s="49">
        <f>_xlfn.XLOOKUP(C41,Tab_Def_Flows[Name(EN)],Tab_Def_Flows[CC?],,0,)</f>
        <v>0</v>
      </c>
      <c r="M41" s="51"/>
      <c r="N41" s="51"/>
      <c r="O41" s="114"/>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0</v>
      </c>
      <c r="AB41" s="51"/>
      <c r="AC41" s="107" t="e">
        <f>INDEX(Tab_Def_Flows[[Flow_ID]:[CC_DM_source]],MATCH(Tab_Data_Flows[[#This Row],[Name(EN)]],Tab_Def_Flows[Name(EN)],0),16)</f>
        <v>#N/A</v>
      </c>
      <c r="AD41" s="108" t="str">
        <f>IF(J41="Yes",AA41*Tab_Data_Flows[[#This Row],[WC_'[%']]],"N.A.")</f>
        <v>N.A.</v>
      </c>
      <c r="AE41" s="61">
        <f>Tab_Data_Flows[[#This Row],[UoM_Flow_Py]]</f>
        <v>0</v>
      </c>
      <c r="AF41" s="107" t="e">
        <f>INDEX(Tab_Def_Flows[[Flow_ID]:[CC_DM_source]],MATCH(Tab_Data_Flows[[#This Row],[Name(EN)]],Tab_Def_Flows[Name(EN)],0),18)</f>
        <v>#N/A</v>
      </c>
      <c r="AG41" s="108" t="str">
        <f>IF(K41="Yes",AF41*Tab_Data_Flows[[#This Row],[Flow_Py]],"N.A.")</f>
        <v>N.A.</v>
      </c>
      <c r="AH41" s="61">
        <f>Tab_Data_Flows[[#This Row],[UoM_Flow_Py]]</f>
        <v>0</v>
      </c>
      <c r="AI41" s="107" t="e">
        <f>INDEX(Tab_Def_Flows[[Flow_ID]:[CC_DM_source]],MATCH(Tab_Data_Flows[[#This Row],[Name(EN)]],Tab_Def_Flows[Name(EN)],0),20)</f>
        <v>#N/A</v>
      </c>
      <c r="AJ41" s="108" t="str">
        <f>IF(L41="Yes",AI41*Tab_Data_Flows[[#This Row],[Flow_Py]]*Tab_Data_Flows[[#This Row],[DM_'[%']]],"N.A.")</f>
        <v>N.A.</v>
      </c>
      <c r="AK41" s="61">
        <f>Tab_Data_Flows[[#This Row],[UoM_Flow_Py]]</f>
        <v>0</v>
      </c>
    </row>
    <row r="42" spans="1:37" x14ac:dyDescent="0.25">
      <c r="A42" s="60">
        <f t="shared" si="0"/>
        <v>41</v>
      </c>
      <c r="B42" s="49" t="str">
        <f>_xlfn.XLOOKUP(C42,Tab_Def_Flows[Name(EN)],Tab_Def_Flows[Flow_ID],,0,)</f>
        <v>F_12_12</v>
      </c>
      <c r="C42" s="51"/>
      <c r="D42" s="49"/>
      <c r="E42" s="49">
        <f>_xlfn.XLOOKUP(C42,Tab_Def_Flows[Name(EN)],Tab_Def_Flows[Output_Process],,0,)</f>
        <v>0</v>
      </c>
      <c r="F42" s="49" t="str">
        <f>_xlfn.XLOOKUP(C42,Tab_Def_Flows[Name(EN)],Tab_Def_Flows[Process_ID_O],,0,)</f>
        <v>12__</v>
      </c>
      <c r="G42" s="49">
        <f>_xlfn.XLOOKUP(C42,Tab_Def_Flows[Name(EN)],Tab_Def_Flows[Input_Process],,0,)</f>
        <v>0</v>
      </c>
      <c r="H42" s="61" t="str">
        <f>_xlfn.XLOOKUP(C42,Tab_Def_Flows[Name(EN)],Tab_Def_Flows[Process_ID_I],,0,)</f>
        <v>12__</v>
      </c>
      <c r="I42" s="49">
        <f>_xlfn.XLOOKUP(C42,Tab_Def_Flows[Name(EN)],Tab_Def_Flows[Value_Source],,0,)</f>
        <v>0</v>
      </c>
      <c r="J42" s="49">
        <f>_xlfn.XLOOKUP(C42,Tab_Def_Flows[Name(EN)],Tab_Def_Flows[WC?],,0,)</f>
        <v>0</v>
      </c>
      <c r="K42" s="49">
        <f>_xlfn.XLOOKUP(C42,Tab_Def_Flows[Name(EN)],Tab_Def_Flows[DM?],,0,)</f>
        <v>0</v>
      </c>
      <c r="L42" s="49">
        <f>_xlfn.XLOOKUP(C42,Tab_Def_Flows[Name(EN)],Tab_Def_Flows[CC?],,0,)</f>
        <v>0</v>
      </c>
      <c r="M42" s="51"/>
      <c r="N42" s="51"/>
      <c r="O42" s="114"/>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0</v>
      </c>
      <c r="AB42" s="51"/>
      <c r="AC42" s="107" t="e">
        <f>INDEX(Tab_Def_Flows[[Flow_ID]:[CC_DM_source]],MATCH(Tab_Data_Flows[[#This Row],[Name(EN)]],Tab_Def_Flows[Name(EN)],0),16)</f>
        <v>#N/A</v>
      </c>
      <c r="AD42" s="108" t="str">
        <f>IF(J42="Yes",AA42*Tab_Data_Flows[[#This Row],[WC_'[%']]],"N.A.")</f>
        <v>N.A.</v>
      </c>
      <c r="AE42" s="61">
        <f>Tab_Data_Flows[[#This Row],[UoM_Flow_Py]]</f>
        <v>0</v>
      </c>
      <c r="AF42" s="107" t="e">
        <f>INDEX(Tab_Def_Flows[[Flow_ID]:[CC_DM_source]],MATCH(Tab_Data_Flows[[#This Row],[Name(EN)]],Tab_Def_Flows[Name(EN)],0),18)</f>
        <v>#N/A</v>
      </c>
      <c r="AG42" s="108" t="str">
        <f>IF(K42="Yes",AF42*Tab_Data_Flows[[#This Row],[Flow_Py]],"N.A.")</f>
        <v>N.A.</v>
      </c>
      <c r="AH42" s="61">
        <f>Tab_Data_Flows[[#This Row],[UoM_Flow_Py]]</f>
        <v>0</v>
      </c>
      <c r="AI42" s="107" t="e">
        <f>INDEX(Tab_Def_Flows[[Flow_ID]:[CC_DM_source]],MATCH(Tab_Data_Flows[[#This Row],[Name(EN)]],Tab_Def_Flows[Name(EN)],0),20)</f>
        <v>#N/A</v>
      </c>
      <c r="AJ42" s="108" t="str">
        <f>IF(L42="Yes",AI42*Tab_Data_Flows[[#This Row],[Flow_Py]]*Tab_Data_Flows[[#This Row],[DM_'[%']]],"N.A.")</f>
        <v>N.A.</v>
      </c>
      <c r="AK42" s="61">
        <f>Tab_Data_Flows[[#This Row],[UoM_Flow_Py]]</f>
        <v>0</v>
      </c>
    </row>
    <row r="43" spans="1:37" x14ac:dyDescent="0.25">
      <c r="A43" s="60">
        <f t="shared" si="0"/>
        <v>42</v>
      </c>
      <c r="B43" s="49" t="str">
        <f>_xlfn.XLOOKUP(C43,Tab_Def_Flows[Name(EN)],Tab_Def_Flows[Flow_ID],,0,)</f>
        <v>F_12_12</v>
      </c>
      <c r="C43" s="51"/>
      <c r="D43" s="49"/>
      <c r="E43" s="49">
        <f>_xlfn.XLOOKUP(C43,Tab_Def_Flows[Name(EN)],Tab_Def_Flows[Output_Process],,0,)</f>
        <v>0</v>
      </c>
      <c r="F43" s="49" t="str">
        <f>_xlfn.XLOOKUP(C43,Tab_Def_Flows[Name(EN)],Tab_Def_Flows[Process_ID_O],,0,)</f>
        <v>12__</v>
      </c>
      <c r="G43" s="49">
        <f>_xlfn.XLOOKUP(C43,Tab_Def_Flows[Name(EN)],Tab_Def_Flows[Input_Process],,0,)</f>
        <v>0</v>
      </c>
      <c r="H43" s="61" t="str">
        <f>_xlfn.XLOOKUP(C43,Tab_Def_Flows[Name(EN)],Tab_Def_Flows[Process_ID_I],,0,)</f>
        <v>12__</v>
      </c>
      <c r="I43" s="49">
        <f>_xlfn.XLOOKUP(C43,Tab_Def_Flows[Name(EN)],Tab_Def_Flows[Value_Source],,0,)</f>
        <v>0</v>
      </c>
      <c r="J43" s="49">
        <f>_xlfn.XLOOKUP(C43,Tab_Def_Flows[Name(EN)],Tab_Def_Flows[WC?],,0,)</f>
        <v>0</v>
      </c>
      <c r="K43" s="49">
        <f>_xlfn.XLOOKUP(C43,Tab_Def_Flows[Name(EN)],Tab_Def_Flows[DM?],,0,)</f>
        <v>0</v>
      </c>
      <c r="L43" s="49">
        <f>_xlfn.XLOOKUP(C43,Tab_Def_Flows[Name(EN)],Tab_Def_Flows[CC?],,0,)</f>
        <v>0</v>
      </c>
      <c r="M43" s="51"/>
      <c r="N43" s="51"/>
      <c r="O43" s="114"/>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0</v>
      </c>
      <c r="AB43" s="51"/>
      <c r="AC43" s="107" t="e">
        <f>INDEX(Tab_Def_Flows[[Flow_ID]:[CC_DM_source]],MATCH(Tab_Data_Flows[[#This Row],[Name(EN)]],Tab_Def_Flows[Name(EN)],0),16)</f>
        <v>#N/A</v>
      </c>
      <c r="AD43" s="108" t="str">
        <f>IF(J43="Yes",AA43*Tab_Data_Flows[[#This Row],[WC_'[%']]],"N.A.")</f>
        <v>N.A.</v>
      </c>
      <c r="AE43" s="61">
        <f>Tab_Data_Flows[[#This Row],[UoM_Flow_Py]]</f>
        <v>0</v>
      </c>
      <c r="AF43" s="107" t="e">
        <f>INDEX(Tab_Def_Flows[[Flow_ID]:[CC_DM_source]],MATCH(Tab_Data_Flows[[#This Row],[Name(EN)]],Tab_Def_Flows[Name(EN)],0),18)</f>
        <v>#N/A</v>
      </c>
      <c r="AG43" s="108" t="str">
        <f>IF(K43="Yes",AF43*Tab_Data_Flows[[#This Row],[Flow_Py]],"N.A.")</f>
        <v>N.A.</v>
      </c>
      <c r="AH43" s="61">
        <f>Tab_Data_Flows[[#This Row],[UoM_Flow_Py]]</f>
        <v>0</v>
      </c>
      <c r="AI43" s="107" t="e">
        <f>INDEX(Tab_Def_Flows[[Flow_ID]:[CC_DM_source]],MATCH(Tab_Data_Flows[[#This Row],[Name(EN)]],Tab_Def_Flows[Name(EN)],0),20)</f>
        <v>#N/A</v>
      </c>
      <c r="AJ43" s="108" t="str">
        <f>IF(L43="Yes",AI43*Tab_Data_Flows[[#This Row],[Flow_Py]]*Tab_Data_Flows[[#This Row],[DM_'[%']]],"N.A.")</f>
        <v>N.A.</v>
      </c>
      <c r="AK43" s="61">
        <f>Tab_Data_Flows[[#This Row],[UoM_Flow_Py]]</f>
        <v>0</v>
      </c>
    </row>
    <row r="44" spans="1:37" x14ac:dyDescent="0.25">
      <c r="A44" s="60">
        <f t="shared" si="0"/>
        <v>43</v>
      </c>
      <c r="B44" s="49" t="str">
        <f>_xlfn.XLOOKUP(C44,Tab_Def_Flows[Name(EN)],Tab_Def_Flows[Flow_ID],,0,)</f>
        <v>F_12_12</v>
      </c>
      <c r="C44" s="51"/>
      <c r="D44" s="49"/>
      <c r="E44" s="49">
        <f>_xlfn.XLOOKUP(C44,Tab_Def_Flows[Name(EN)],Tab_Def_Flows[Output_Process],,0,)</f>
        <v>0</v>
      </c>
      <c r="F44" s="49" t="str">
        <f>_xlfn.XLOOKUP(C44,Tab_Def_Flows[Name(EN)],Tab_Def_Flows[Process_ID_O],,0,)</f>
        <v>12__</v>
      </c>
      <c r="G44" s="49">
        <f>_xlfn.XLOOKUP(C44,Tab_Def_Flows[Name(EN)],Tab_Def_Flows[Input_Process],,0,)</f>
        <v>0</v>
      </c>
      <c r="H44" s="61" t="str">
        <f>_xlfn.XLOOKUP(C44,Tab_Def_Flows[Name(EN)],Tab_Def_Flows[Process_ID_I],,0,)</f>
        <v>12__</v>
      </c>
      <c r="I44" s="49">
        <f>_xlfn.XLOOKUP(C44,Tab_Def_Flows[Name(EN)],Tab_Def_Flows[Value_Source],,0,)</f>
        <v>0</v>
      </c>
      <c r="J44" s="49">
        <f>_xlfn.XLOOKUP(C44,Tab_Def_Flows[Name(EN)],Tab_Def_Flows[WC?],,0,)</f>
        <v>0</v>
      </c>
      <c r="K44" s="49">
        <f>_xlfn.XLOOKUP(C44,Tab_Def_Flows[Name(EN)],Tab_Def_Flows[DM?],,0,)</f>
        <v>0</v>
      </c>
      <c r="L44" s="49">
        <f>_xlfn.XLOOKUP(C44,Tab_Def_Flows[Name(EN)],Tab_Def_Flows[CC?],,0,)</f>
        <v>0</v>
      </c>
      <c r="M44" s="51"/>
      <c r="N44" s="51"/>
      <c r="O44" s="114"/>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0</v>
      </c>
      <c r="AB44" s="51"/>
      <c r="AC44" s="107" t="e">
        <f>INDEX(Tab_Def_Flows[[Flow_ID]:[CC_DM_source]],MATCH(Tab_Data_Flows[[#This Row],[Name(EN)]],Tab_Def_Flows[Name(EN)],0),16)</f>
        <v>#N/A</v>
      </c>
      <c r="AD44" s="108" t="str">
        <f>IF(J44="Yes",AA44*Tab_Data_Flows[[#This Row],[WC_'[%']]],"N.A.")</f>
        <v>N.A.</v>
      </c>
      <c r="AE44" s="61">
        <f>Tab_Data_Flows[[#This Row],[UoM_Flow_Py]]</f>
        <v>0</v>
      </c>
      <c r="AF44" s="107" t="e">
        <f>INDEX(Tab_Def_Flows[[Flow_ID]:[CC_DM_source]],MATCH(Tab_Data_Flows[[#This Row],[Name(EN)]],Tab_Def_Flows[Name(EN)],0),18)</f>
        <v>#N/A</v>
      </c>
      <c r="AG44" s="108" t="str">
        <f>IF(K44="Yes",AF44*Tab_Data_Flows[[#This Row],[Flow_Py]],"N.A.")</f>
        <v>N.A.</v>
      </c>
      <c r="AH44" s="61">
        <f>Tab_Data_Flows[[#This Row],[UoM_Flow_Py]]</f>
        <v>0</v>
      </c>
      <c r="AI44" s="107" t="e">
        <f>INDEX(Tab_Def_Flows[[Flow_ID]:[CC_DM_source]],MATCH(Tab_Data_Flows[[#This Row],[Name(EN)]],Tab_Def_Flows[Name(EN)],0),20)</f>
        <v>#N/A</v>
      </c>
      <c r="AJ44" s="108" t="str">
        <f>IF(L44="Yes",AI44*Tab_Data_Flows[[#This Row],[Flow_Py]]*Tab_Data_Flows[[#This Row],[DM_'[%']]],"N.A.")</f>
        <v>N.A.</v>
      </c>
      <c r="AK44" s="61">
        <f>Tab_Data_Flows[[#This Row],[UoM_Flow_Py]]</f>
        <v>0</v>
      </c>
    </row>
    <row r="45" spans="1:37" x14ac:dyDescent="0.25">
      <c r="A45" s="60">
        <f t="shared" si="0"/>
        <v>44</v>
      </c>
      <c r="B45" s="49" t="str">
        <f>_xlfn.XLOOKUP(C45,Tab_Def_Flows[Name(EN)],Tab_Def_Flows[Flow_ID],,0,)</f>
        <v>F_12_12</v>
      </c>
      <c r="C45" s="51"/>
      <c r="D45" s="49"/>
      <c r="E45" s="49">
        <f>_xlfn.XLOOKUP(C45,Tab_Def_Flows[Name(EN)],Tab_Def_Flows[Output_Process],,0,)</f>
        <v>0</v>
      </c>
      <c r="F45" s="49" t="str">
        <f>_xlfn.XLOOKUP(C45,Tab_Def_Flows[Name(EN)],Tab_Def_Flows[Process_ID_O],,0,)</f>
        <v>12__</v>
      </c>
      <c r="G45" s="49">
        <f>_xlfn.XLOOKUP(C45,Tab_Def_Flows[Name(EN)],Tab_Def_Flows[Input_Process],,0,)</f>
        <v>0</v>
      </c>
      <c r="H45" s="61" t="str">
        <f>_xlfn.XLOOKUP(C45,Tab_Def_Flows[Name(EN)],Tab_Def_Flows[Process_ID_I],,0,)</f>
        <v>12__</v>
      </c>
      <c r="I45" s="49">
        <f>_xlfn.XLOOKUP(C45,Tab_Def_Flows[Name(EN)],Tab_Def_Flows[Value_Source],,0,)</f>
        <v>0</v>
      </c>
      <c r="J45" s="49">
        <f>_xlfn.XLOOKUP(C45,Tab_Def_Flows[Name(EN)],Tab_Def_Flows[WC?],,0,)</f>
        <v>0</v>
      </c>
      <c r="K45" s="49">
        <f>_xlfn.XLOOKUP(C45,Tab_Def_Flows[Name(EN)],Tab_Def_Flows[DM?],,0,)</f>
        <v>0</v>
      </c>
      <c r="L45" s="49">
        <f>_xlfn.XLOOKUP(C45,Tab_Def_Flows[Name(EN)],Tab_Def_Flows[CC?],,0,)</f>
        <v>0</v>
      </c>
      <c r="M45" s="51"/>
      <c r="N45" s="51"/>
      <c r="O45" s="114"/>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0</v>
      </c>
      <c r="AB45" s="51"/>
      <c r="AC45" s="107" t="e">
        <f>INDEX(Tab_Def_Flows[[Flow_ID]:[CC_DM_source]],MATCH(Tab_Data_Flows[[#This Row],[Name(EN)]],Tab_Def_Flows[Name(EN)],0),16)</f>
        <v>#N/A</v>
      </c>
      <c r="AD45" s="108" t="str">
        <f>IF(J45="Yes",AA45*Tab_Data_Flows[[#This Row],[WC_'[%']]],"N.A.")</f>
        <v>N.A.</v>
      </c>
      <c r="AE45" s="61">
        <f>Tab_Data_Flows[[#This Row],[UoM_Flow_Py]]</f>
        <v>0</v>
      </c>
      <c r="AF45" s="107" t="e">
        <f>INDEX(Tab_Def_Flows[[Flow_ID]:[CC_DM_source]],MATCH(Tab_Data_Flows[[#This Row],[Name(EN)]],Tab_Def_Flows[Name(EN)],0),18)</f>
        <v>#N/A</v>
      </c>
      <c r="AG45" s="108" t="str">
        <f>IF(K45="Yes",AF45*Tab_Data_Flows[[#This Row],[Flow_Py]],"N.A.")</f>
        <v>N.A.</v>
      </c>
      <c r="AH45" s="61">
        <f>Tab_Data_Flows[[#This Row],[UoM_Flow_Py]]</f>
        <v>0</v>
      </c>
      <c r="AI45" s="107" t="e">
        <f>INDEX(Tab_Def_Flows[[Flow_ID]:[CC_DM_source]],MATCH(Tab_Data_Flows[[#This Row],[Name(EN)]],Tab_Def_Flows[Name(EN)],0),20)</f>
        <v>#N/A</v>
      </c>
      <c r="AJ45" s="108" t="str">
        <f>IF(L45="Yes",AI45*Tab_Data_Flows[[#This Row],[Flow_Py]]*Tab_Data_Flows[[#This Row],[DM_'[%']]],"N.A.")</f>
        <v>N.A.</v>
      </c>
      <c r="AK45" s="61">
        <f>Tab_Data_Flows[[#This Row],[UoM_Flow_Py]]</f>
        <v>0</v>
      </c>
    </row>
    <row r="46" spans="1:37" x14ac:dyDescent="0.25">
      <c r="A46" s="60">
        <f t="shared" si="0"/>
        <v>45</v>
      </c>
      <c r="B46" s="49" t="str">
        <f>_xlfn.XLOOKUP(C46,Tab_Def_Flows[Name(EN)],Tab_Def_Flows[Flow_ID],,0,)</f>
        <v>F_12_12</v>
      </c>
      <c r="C46" s="51"/>
      <c r="D46" s="49"/>
      <c r="E46" s="49">
        <f>_xlfn.XLOOKUP(C46,Tab_Def_Flows[Name(EN)],Tab_Def_Flows[Output_Process],,0,)</f>
        <v>0</v>
      </c>
      <c r="F46" s="49" t="str">
        <f>_xlfn.XLOOKUP(C46,Tab_Def_Flows[Name(EN)],Tab_Def_Flows[Process_ID_O],,0,)</f>
        <v>12__</v>
      </c>
      <c r="G46" s="49">
        <f>_xlfn.XLOOKUP(C46,Tab_Def_Flows[Name(EN)],Tab_Def_Flows[Input_Process],,0,)</f>
        <v>0</v>
      </c>
      <c r="H46" s="61" t="str">
        <f>_xlfn.XLOOKUP(C46,Tab_Def_Flows[Name(EN)],Tab_Def_Flows[Process_ID_I],,0,)</f>
        <v>12__</v>
      </c>
      <c r="I46" s="49">
        <f>_xlfn.XLOOKUP(C46,Tab_Def_Flows[Name(EN)],Tab_Def_Flows[Value_Source],,0,)</f>
        <v>0</v>
      </c>
      <c r="J46" s="49">
        <f>_xlfn.XLOOKUP(C46,Tab_Def_Flows[Name(EN)],Tab_Def_Flows[WC?],,0,)</f>
        <v>0</v>
      </c>
      <c r="K46" s="49">
        <f>_xlfn.XLOOKUP(C46,Tab_Def_Flows[Name(EN)],Tab_Def_Flows[DM?],,0,)</f>
        <v>0</v>
      </c>
      <c r="L46" s="49">
        <f>_xlfn.XLOOKUP(C46,Tab_Def_Flows[Name(EN)],Tab_Def_Flows[CC?],,0,)</f>
        <v>0</v>
      </c>
      <c r="M46" s="51"/>
      <c r="N46" s="51"/>
      <c r="O46" s="114"/>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0</v>
      </c>
      <c r="AB46" s="51"/>
      <c r="AC46" s="107" t="e">
        <f>INDEX(Tab_Def_Flows[[Flow_ID]:[CC_DM_source]],MATCH(Tab_Data_Flows[[#This Row],[Name(EN)]],Tab_Def_Flows[Name(EN)],0),16)</f>
        <v>#N/A</v>
      </c>
      <c r="AD46" s="108" t="str">
        <f>IF(J46="Yes",AA46*Tab_Data_Flows[[#This Row],[WC_'[%']]],"N.A.")</f>
        <v>N.A.</v>
      </c>
      <c r="AE46" s="61">
        <f>Tab_Data_Flows[[#This Row],[UoM_Flow_Py]]</f>
        <v>0</v>
      </c>
      <c r="AF46" s="107" t="e">
        <f>INDEX(Tab_Def_Flows[[Flow_ID]:[CC_DM_source]],MATCH(Tab_Data_Flows[[#This Row],[Name(EN)]],Tab_Def_Flows[Name(EN)],0),18)</f>
        <v>#N/A</v>
      </c>
      <c r="AG46" s="108" t="str">
        <f>IF(K46="Yes",AF46*Tab_Data_Flows[[#This Row],[Flow_Py]],"N.A.")</f>
        <v>N.A.</v>
      </c>
      <c r="AH46" s="61">
        <f>Tab_Data_Flows[[#This Row],[UoM_Flow_Py]]</f>
        <v>0</v>
      </c>
      <c r="AI46" s="107" t="e">
        <f>INDEX(Tab_Def_Flows[[Flow_ID]:[CC_DM_source]],MATCH(Tab_Data_Flows[[#This Row],[Name(EN)]],Tab_Def_Flows[Name(EN)],0),20)</f>
        <v>#N/A</v>
      </c>
      <c r="AJ46" s="108" t="str">
        <f>IF(L46="Yes",AI46*Tab_Data_Flows[[#This Row],[Flow_Py]]*Tab_Data_Flows[[#This Row],[DM_'[%']]],"N.A.")</f>
        <v>N.A.</v>
      </c>
      <c r="AK46" s="61">
        <f>Tab_Data_Flows[[#This Row],[UoM_Flow_Py]]</f>
        <v>0</v>
      </c>
    </row>
    <row r="47" spans="1:37" x14ac:dyDescent="0.25">
      <c r="A47" s="60">
        <f t="shared" si="0"/>
        <v>46</v>
      </c>
      <c r="B47" s="49" t="str">
        <f>_xlfn.XLOOKUP(C47,Tab_Def_Flows[Name(EN)],Tab_Def_Flows[Flow_ID],,0,)</f>
        <v>F_12_12</v>
      </c>
      <c r="C47" s="51"/>
      <c r="D47" s="49"/>
      <c r="E47" s="49">
        <f>_xlfn.XLOOKUP(C47,Tab_Def_Flows[Name(EN)],Tab_Def_Flows[Output_Process],,0,)</f>
        <v>0</v>
      </c>
      <c r="F47" s="49" t="str">
        <f>_xlfn.XLOOKUP(C47,Tab_Def_Flows[Name(EN)],Tab_Def_Flows[Process_ID_O],,0,)</f>
        <v>12__</v>
      </c>
      <c r="G47" s="49">
        <f>_xlfn.XLOOKUP(C47,Tab_Def_Flows[Name(EN)],Tab_Def_Flows[Input_Process],,0,)</f>
        <v>0</v>
      </c>
      <c r="H47" s="61" t="str">
        <f>_xlfn.XLOOKUP(C47,Tab_Def_Flows[Name(EN)],Tab_Def_Flows[Process_ID_I],,0,)</f>
        <v>12__</v>
      </c>
      <c r="I47" s="49">
        <f>_xlfn.XLOOKUP(C47,Tab_Def_Flows[Name(EN)],Tab_Def_Flows[Value_Source],,0,)</f>
        <v>0</v>
      </c>
      <c r="J47" s="49">
        <f>_xlfn.XLOOKUP(C47,Tab_Def_Flows[Name(EN)],Tab_Def_Flows[WC?],,0,)</f>
        <v>0</v>
      </c>
      <c r="K47" s="49">
        <f>_xlfn.XLOOKUP(C47,Tab_Def_Flows[Name(EN)],Tab_Def_Flows[DM?],,0,)</f>
        <v>0</v>
      </c>
      <c r="L47" s="49">
        <f>_xlfn.XLOOKUP(C47,Tab_Def_Flows[Name(EN)],Tab_Def_Flows[CC?],,0,)</f>
        <v>0</v>
      </c>
      <c r="M47" s="51"/>
      <c r="N47" s="51"/>
      <c r="O47" s="114"/>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0</v>
      </c>
      <c r="AB47" s="51"/>
      <c r="AC47" s="107" t="e">
        <f>INDEX(Tab_Def_Flows[[Flow_ID]:[CC_DM_source]],MATCH(Tab_Data_Flows[[#This Row],[Name(EN)]],Tab_Def_Flows[Name(EN)],0),16)</f>
        <v>#N/A</v>
      </c>
      <c r="AD47" s="108" t="str">
        <f>IF(J47="Yes",AA47*Tab_Data_Flows[[#This Row],[WC_'[%']]],"N.A.")</f>
        <v>N.A.</v>
      </c>
      <c r="AE47" s="61">
        <f>Tab_Data_Flows[[#This Row],[UoM_Flow_Py]]</f>
        <v>0</v>
      </c>
      <c r="AF47" s="107" t="e">
        <f>INDEX(Tab_Def_Flows[[Flow_ID]:[CC_DM_source]],MATCH(Tab_Data_Flows[[#This Row],[Name(EN)]],Tab_Def_Flows[Name(EN)],0),18)</f>
        <v>#N/A</v>
      </c>
      <c r="AG47" s="108" t="str">
        <f>IF(K47="Yes",AF47*Tab_Data_Flows[[#This Row],[Flow_Py]],"N.A.")</f>
        <v>N.A.</v>
      </c>
      <c r="AH47" s="61">
        <f>Tab_Data_Flows[[#This Row],[UoM_Flow_Py]]</f>
        <v>0</v>
      </c>
      <c r="AI47" s="107" t="e">
        <f>INDEX(Tab_Def_Flows[[Flow_ID]:[CC_DM_source]],MATCH(Tab_Data_Flows[[#This Row],[Name(EN)]],Tab_Def_Flows[Name(EN)],0),20)</f>
        <v>#N/A</v>
      </c>
      <c r="AJ47" s="108" t="str">
        <f>IF(L47="Yes",AI47*Tab_Data_Flows[[#This Row],[Flow_Py]]*Tab_Data_Flows[[#This Row],[DM_'[%']]],"N.A.")</f>
        <v>N.A.</v>
      </c>
      <c r="AK47" s="61">
        <f>Tab_Data_Flows[[#This Row],[UoM_Flow_Py]]</f>
        <v>0</v>
      </c>
    </row>
    <row r="48" spans="1:37" x14ac:dyDescent="0.25">
      <c r="A48" s="60">
        <f t="shared" si="0"/>
        <v>47</v>
      </c>
      <c r="B48" s="49" t="str">
        <f>_xlfn.XLOOKUP(C48,Tab_Def_Flows[Name(EN)],Tab_Def_Flows[Flow_ID],,0,)</f>
        <v>F_12_12</v>
      </c>
      <c r="C48" s="51"/>
      <c r="D48" s="49"/>
      <c r="E48" s="49">
        <f>_xlfn.XLOOKUP(C48,Tab_Def_Flows[Name(EN)],Tab_Def_Flows[Output_Process],,0,)</f>
        <v>0</v>
      </c>
      <c r="F48" s="49" t="str">
        <f>_xlfn.XLOOKUP(C48,Tab_Def_Flows[Name(EN)],Tab_Def_Flows[Process_ID_O],,0,)</f>
        <v>12__</v>
      </c>
      <c r="G48" s="49">
        <f>_xlfn.XLOOKUP(C48,Tab_Def_Flows[Name(EN)],Tab_Def_Flows[Input_Process],,0,)</f>
        <v>0</v>
      </c>
      <c r="H48" s="61" t="str">
        <f>_xlfn.XLOOKUP(C48,Tab_Def_Flows[Name(EN)],Tab_Def_Flows[Process_ID_I],,0,)</f>
        <v>12__</v>
      </c>
      <c r="I48" s="49">
        <f>_xlfn.XLOOKUP(C48,Tab_Def_Flows[Name(EN)],Tab_Def_Flows[Value_Source],,0,)</f>
        <v>0</v>
      </c>
      <c r="J48" s="49">
        <f>_xlfn.XLOOKUP(C48,Tab_Def_Flows[Name(EN)],Tab_Def_Flows[WC?],,0,)</f>
        <v>0</v>
      </c>
      <c r="K48" s="49">
        <f>_xlfn.XLOOKUP(C48,Tab_Def_Flows[Name(EN)],Tab_Def_Flows[DM?],,0,)</f>
        <v>0</v>
      </c>
      <c r="L48" s="49">
        <f>_xlfn.XLOOKUP(C48,Tab_Def_Flows[Name(EN)],Tab_Def_Flows[CC?],,0,)</f>
        <v>0</v>
      </c>
      <c r="M48" s="51"/>
      <c r="N48" s="51"/>
      <c r="O48" s="114"/>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0</v>
      </c>
      <c r="AB48" s="51"/>
      <c r="AC48" s="107" t="e">
        <f>INDEX(Tab_Def_Flows[[Flow_ID]:[CC_DM_source]],MATCH(Tab_Data_Flows[[#This Row],[Name(EN)]],Tab_Def_Flows[Name(EN)],0),16)</f>
        <v>#N/A</v>
      </c>
      <c r="AD48" s="108" t="str">
        <f>IF(J48="Yes",AA48*Tab_Data_Flows[[#This Row],[WC_'[%']]],"N.A.")</f>
        <v>N.A.</v>
      </c>
      <c r="AE48" s="61">
        <f>Tab_Data_Flows[[#This Row],[UoM_Flow_Py]]</f>
        <v>0</v>
      </c>
      <c r="AF48" s="107" t="e">
        <f>INDEX(Tab_Def_Flows[[Flow_ID]:[CC_DM_source]],MATCH(Tab_Data_Flows[[#This Row],[Name(EN)]],Tab_Def_Flows[Name(EN)],0),18)</f>
        <v>#N/A</v>
      </c>
      <c r="AG48" s="108" t="str">
        <f>IF(K48="Yes",AF48*Tab_Data_Flows[[#This Row],[Flow_Py]],"N.A.")</f>
        <v>N.A.</v>
      </c>
      <c r="AH48" s="61">
        <f>Tab_Data_Flows[[#This Row],[UoM_Flow_Py]]</f>
        <v>0</v>
      </c>
      <c r="AI48" s="107" t="e">
        <f>INDEX(Tab_Def_Flows[[Flow_ID]:[CC_DM_source]],MATCH(Tab_Data_Flows[[#This Row],[Name(EN)]],Tab_Def_Flows[Name(EN)],0),20)</f>
        <v>#N/A</v>
      </c>
      <c r="AJ48" s="108" t="str">
        <f>IF(L48="Yes",AI48*Tab_Data_Flows[[#This Row],[Flow_Py]]*Tab_Data_Flows[[#This Row],[DM_'[%']]],"N.A.")</f>
        <v>N.A.</v>
      </c>
      <c r="AK48" s="61">
        <f>Tab_Data_Flows[[#This Row],[UoM_Flow_Py]]</f>
        <v>0</v>
      </c>
    </row>
    <row r="49" spans="1:37" x14ac:dyDescent="0.25">
      <c r="A49" s="60">
        <f t="shared" si="0"/>
        <v>48</v>
      </c>
      <c r="B49" s="49" t="str">
        <f>_xlfn.XLOOKUP(C49,Tab_Def_Flows[Name(EN)],Tab_Def_Flows[Flow_ID],,0,)</f>
        <v>F_12_12</v>
      </c>
      <c r="C49" s="51"/>
      <c r="D49" s="49"/>
      <c r="E49" s="49">
        <f>_xlfn.XLOOKUP(C49,Tab_Def_Flows[Name(EN)],Tab_Def_Flows[Output_Process],,0,)</f>
        <v>0</v>
      </c>
      <c r="F49" s="49" t="str">
        <f>_xlfn.XLOOKUP(C49,Tab_Def_Flows[Name(EN)],Tab_Def_Flows[Process_ID_O],,0,)</f>
        <v>12__</v>
      </c>
      <c r="G49" s="49">
        <f>_xlfn.XLOOKUP(C49,Tab_Def_Flows[Name(EN)],Tab_Def_Flows[Input_Process],,0,)</f>
        <v>0</v>
      </c>
      <c r="H49" s="61" t="str">
        <f>_xlfn.XLOOKUP(C49,Tab_Def_Flows[Name(EN)],Tab_Def_Flows[Process_ID_I],,0,)</f>
        <v>12__</v>
      </c>
      <c r="I49" s="49">
        <f>_xlfn.XLOOKUP(C49,Tab_Def_Flows[Name(EN)],Tab_Def_Flows[Value_Source],,0,)</f>
        <v>0</v>
      </c>
      <c r="J49" s="49">
        <f>_xlfn.XLOOKUP(C49,Tab_Def_Flows[Name(EN)],Tab_Def_Flows[WC?],,0,)</f>
        <v>0</v>
      </c>
      <c r="K49" s="49">
        <f>_xlfn.XLOOKUP(C49,Tab_Def_Flows[Name(EN)],Tab_Def_Flows[DM?],,0,)</f>
        <v>0</v>
      </c>
      <c r="L49" s="49">
        <f>_xlfn.XLOOKUP(C49,Tab_Def_Flows[Name(EN)],Tab_Def_Flows[CC?],,0,)</f>
        <v>0</v>
      </c>
      <c r="M49" s="51"/>
      <c r="N49" s="51"/>
      <c r="O49" s="114"/>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0</v>
      </c>
      <c r="AB49" s="51"/>
      <c r="AC49" s="107" t="e">
        <f>INDEX(Tab_Def_Flows[[Flow_ID]:[CC_DM_source]],MATCH(Tab_Data_Flows[[#This Row],[Name(EN)]],Tab_Def_Flows[Name(EN)],0),16)</f>
        <v>#N/A</v>
      </c>
      <c r="AD49" s="108" t="str">
        <f>IF(J49="Yes",AA49*Tab_Data_Flows[[#This Row],[WC_'[%']]],"N.A.")</f>
        <v>N.A.</v>
      </c>
      <c r="AE49" s="61">
        <f>Tab_Data_Flows[[#This Row],[UoM_Flow_Py]]</f>
        <v>0</v>
      </c>
      <c r="AF49" s="107" t="e">
        <f>INDEX(Tab_Def_Flows[[Flow_ID]:[CC_DM_source]],MATCH(Tab_Data_Flows[[#This Row],[Name(EN)]],Tab_Def_Flows[Name(EN)],0),18)</f>
        <v>#N/A</v>
      </c>
      <c r="AG49" s="108" t="str">
        <f>IF(K49="Yes",AF49*Tab_Data_Flows[[#This Row],[Flow_Py]],"N.A.")</f>
        <v>N.A.</v>
      </c>
      <c r="AH49" s="61">
        <f>Tab_Data_Flows[[#This Row],[UoM_Flow_Py]]</f>
        <v>0</v>
      </c>
      <c r="AI49" s="107" t="e">
        <f>INDEX(Tab_Def_Flows[[Flow_ID]:[CC_DM_source]],MATCH(Tab_Data_Flows[[#This Row],[Name(EN)]],Tab_Def_Flows[Name(EN)],0),20)</f>
        <v>#N/A</v>
      </c>
      <c r="AJ49" s="108" t="str">
        <f>IF(L49="Yes",AI49*Tab_Data_Flows[[#This Row],[Flow_Py]]*Tab_Data_Flows[[#This Row],[DM_'[%']]],"N.A.")</f>
        <v>N.A.</v>
      </c>
      <c r="AK49" s="61">
        <f>Tab_Data_Flows[[#This Row],[UoM_Flow_Py]]</f>
        <v>0</v>
      </c>
    </row>
    <row r="50" spans="1:37" x14ac:dyDescent="0.25">
      <c r="A50" s="60">
        <f t="shared" si="0"/>
        <v>49</v>
      </c>
      <c r="B50" s="49" t="str">
        <f>_xlfn.XLOOKUP(C50,Tab_Def_Flows[Name(EN)],Tab_Def_Flows[Flow_ID],,0,)</f>
        <v>F_12_12</v>
      </c>
      <c r="C50" s="51"/>
      <c r="D50" s="49"/>
      <c r="E50" s="49">
        <f>_xlfn.XLOOKUP(C50,Tab_Def_Flows[Name(EN)],Tab_Def_Flows[Output_Process],,0,)</f>
        <v>0</v>
      </c>
      <c r="F50" s="49" t="str">
        <f>_xlfn.XLOOKUP(C50,Tab_Def_Flows[Name(EN)],Tab_Def_Flows[Process_ID_O],,0,)</f>
        <v>12__</v>
      </c>
      <c r="G50" s="49">
        <f>_xlfn.XLOOKUP(C50,Tab_Def_Flows[Name(EN)],Tab_Def_Flows[Input_Process],,0,)</f>
        <v>0</v>
      </c>
      <c r="H50" s="61" t="str">
        <f>_xlfn.XLOOKUP(C50,Tab_Def_Flows[Name(EN)],Tab_Def_Flows[Process_ID_I],,0,)</f>
        <v>12__</v>
      </c>
      <c r="I50" s="49">
        <f>_xlfn.XLOOKUP(C50,Tab_Def_Flows[Name(EN)],Tab_Def_Flows[Value_Source],,0,)</f>
        <v>0</v>
      </c>
      <c r="J50" s="49">
        <f>_xlfn.XLOOKUP(C50,Tab_Def_Flows[Name(EN)],Tab_Def_Flows[WC?],,0,)</f>
        <v>0</v>
      </c>
      <c r="K50" s="49">
        <f>_xlfn.XLOOKUP(C50,Tab_Def_Flows[Name(EN)],Tab_Def_Flows[DM?],,0,)</f>
        <v>0</v>
      </c>
      <c r="L50" s="49">
        <f>_xlfn.XLOOKUP(C50,Tab_Def_Flows[Name(EN)],Tab_Def_Flows[CC?],,0,)</f>
        <v>0</v>
      </c>
      <c r="M50" s="51"/>
      <c r="N50" s="51"/>
      <c r="O50" s="114"/>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0</v>
      </c>
      <c r="AB50" s="51"/>
      <c r="AC50" s="107" t="e">
        <f>INDEX(Tab_Def_Flows[[Flow_ID]:[CC_DM_source]],MATCH(Tab_Data_Flows[[#This Row],[Name(EN)]],Tab_Def_Flows[Name(EN)],0),16)</f>
        <v>#N/A</v>
      </c>
      <c r="AD50" s="108" t="str">
        <f>IF(J50="Yes",AA50*Tab_Data_Flows[[#This Row],[WC_'[%']]],"N.A.")</f>
        <v>N.A.</v>
      </c>
      <c r="AE50" s="61">
        <f>Tab_Data_Flows[[#This Row],[UoM_Flow_Py]]</f>
        <v>0</v>
      </c>
      <c r="AF50" s="107" t="e">
        <f>INDEX(Tab_Def_Flows[[Flow_ID]:[CC_DM_source]],MATCH(Tab_Data_Flows[[#This Row],[Name(EN)]],Tab_Def_Flows[Name(EN)],0),18)</f>
        <v>#N/A</v>
      </c>
      <c r="AG50" s="108" t="str">
        <f>IF(K50="Yes",AF50*Tab_Data_Flows[[#This Row],[Flow_Py]],"N.A.")</f>
        <v>N.A.</v>
      </c>
      <c r="AH50" s="61">
        <f>Tab_Data_Flows[[#This Row],[UoM_Flow_Py]]</f>
        <v>0</v>
      </c>
      <c r="AI50" s="107" t="e">
        <f>INDEX(Tab_Def_Flows[[Flow_ID]:[CC_DM_source]],MATCH(Tab_Data_Flows[[#This Row],[Name(EN)]],Tab_Def_Flows[Name(EN)],0),20)</f>
        <v>#N/A</v>
      </c>
      <c r="AJ50" s="108" t="str">
        <f>IF(L50="Yes",AI50*Tab_Data_Flows[[#This Row],[Flow_Py]]*Tab_Data_Flows[[#This Row],[DM_'[%']]],"N.A.")</f>
        <v>N.A.</v>
      </c>
      <c r="AK50" s="61">
        <f>Tab_Data_Flows[[#This Row],[UoM_Flow_Py]]</f>
        <v>0</v>
      </c>
    </row>
    <row r="51" spans="1:37" x14ac:dyDescent="0.25">
      <c r="A51" s="60">
        <f t="shared" si="0"/>
        <v>50</v>
      </c>
      <c r="B51" s="49" t="str">
        <f>_xlfn.XLOOKUP(C51,Tab_Def_Flows[Name(EN)],Tab_Def_Flows[Flow_ID],,0,)</f>
        <v>F_12_12</v>
      </c>
      <c r="C51" s="51"/>
      <c r="D51" s="49"/>
      <c r="E51" s="49">
        <f>_xlfn.XLOOKUP(C51,Tab_Def_Flows[Name(EN)],Tab_Def_Flows[Output_Process],,0,)</f>
        <v>0</v>
      </c>
      <c r="F51" s="49" t="str">
        <f>_xlfn.XLOOKUP(C51,Tab_Def_Flows[Name(EN)],Tab_Def_Flows[Process_ID_O],,0,)</f>
        <v>12__</v>
      </c>
      <c r="G51" s="49">
        <f>_xlfn.XLOOKUP(C51,Tab_Def_Flows[Name(EN)],Tab_Def_Flows[Input_Process],,0,)</f>
        <v>0</v>
      </c>
      <c r="H51" s="61" t="str">
        <f>_xlfn.XLOOKUP(C51,Tab_Def_Flows[Name(EN)],Tab_Def_Flows[Process_ID_I],,0,)</f>
        <v>12__</v>
      </c>
      <c r="I51" s="49">
        <f>_xlfn.XLOOKUP(C51,Tab_Def_Flows[Name(EN)],Tab_Def_Flows[Value_Source],,0,)</f>
        <v>0</v>
      </c>
      <c r="J51" s="49">
        <f>_xlfn.XLOOKUP(C51,Tab_Def_Flows[Name(EN)],Tab_Def_Flows[WC?],,0,)</f>
        <v>0</v>
      </c>
      <c r="K51" s="49">
        <f>_xlfn.XLOOKUP(C51,Tab_Def_Flows[Name(EN)],Tab_Def_Flows[DM?],,0,)</f>
        <v>0</v>
      </c>
      <c r="L51" s="49">
        <f>_xlfn.XLOOKUP(C51,Tab_Def_Flows[Name(EN)],Tab_Def_Flows[CC?],,0,)</f>
        <v>0</v>
      </c>
      <c r="M51" s="51"/>
      <c r="N51" s="51"/>
      <c r="O51" s="114"/>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0</v>
      </c>
      <c r="AB51" s="51"/>
      <c r="AC51" s="107" t="e">
        <f>INDEX(Tab_Def_Flows[[Flow_ID]:[CC_DM_source]],MATCH(Tab_Data_Flows[[#This Row],[Name(EN)]],Tab_Def_Flows[Name(EN)],0),16)</f>
        <v>#N/A</v>
      </c>
      <c r="AD51" s="108" t="str">
        <f>IF(J51="Yes",AA51*Tab_Data_Flows[[#This Row],[WC_'[%']]],"N.A.")</f>
        <v>N.A.</v>
      </c>
      <c r="AE51" s="61">
        <f>Tab_Data_Flows[[#This Row],[UoM_Flow_Py]]</f>
        <v>0</v>
      </c>
      <c r="AF51" s="107" t="e">
        <f>INDEX(Tab_Def_Flows[[Flow_ID]:[CC_DM_source]],MATCH(Tab_Data_Flows[[#This Row],[Name(EN)]],Tab_Def_Flows[Name(EN)],0),18)</f>
        <v>#N/A</v>
      </c>
      <c r="AG51" s="108" t="str">
        <f>IF(K51="Yes",AF51*Tab_Data_Flows[[#This Row],[Flow_Py]],"N.A.")</f>
        <v>N.A.</v>
      </c>
      <c r="AH51" s="61">
        <f>Tab_Data_Flows[[#This Row],[UoM_Flow_Py]]</f>
        <v>0</v>
      </c>
      <c r="AI51" s="107" t="e">
        <f>INDEX(Tab_Def_Flows[[Flow_ID]:[CC_DM_source]],MATCH(Tab_Data_Flows[[#This Row],[Name(EN)]],Tab_Def_Flows[Name(EN)],0),20)</f>
        <v>#N/A</v>
      </c>
      <c r="AJ51" s="108" t="str">
        <f>IF(L51="Yes",AI51*Tab_Data_Flows[[#This Row],[Flow_Py]]*Tab_Data_Flows[[#This Row],[DM_'[%']]],"N.A.")</f>
        <v>N.A.</v>
      </c>
      <c r="AK51" s="61">
        <f>Tab_Data_Flows[[#This Row],[UoM_Flow_Py]]</f>
        <v>0</v>
      </c>
    </row>
    <row r="52" spans="1:37" x14ac:dyDescent="0.25">
      <c r="A52" s="60">
        <f t="shared" si="0"/>
        <v>51</v>
      </c>
      <c r="B52" s="49" t="str">
        <f>_xlfn.XLOOKUP(C52,Tab_Def_Flows[Name(EN)],Tab_Def_Flows[Flow_ID],,0,)</f>
        <v>F_12_12</v>
      </c>
      <c r="C52" s="51"/>
      <c r="D52" s="49"/>
      <c r="E52" s="49">
        <f>_xlfn.XLOOKUP(C52,Tab_Def_Flows[Name(EN)],Tab_Def_Flows[Output_Process],,0,)</f>
        <v>0</v>
      </c>
      <c r="F52" s="49" t="str">
        <f>_xlfn.XLOOKUP(C52,Tab_Def_Flows[Name(EN)],Tab_Def_Flows[Process_ID_O],,0,)</f>
        <v>12__</v>
      </c>
      <c r="G52" s="49">
        <f>_xlfn.XLOOKUP(C52,Tab_Def_Flows[Name(EN)],Tab_Def_Flows[Input_Process],,0,)</f>
        <v>0</v>
      </c>
      <c r="H52" s="61" t="str">
        <f>_xlfn.XLOOKUP(C52,Tab_Def_Flows[Name(EN)],Tab_Def_Flows[Process_ID_I],,0,)</f>
        <v>12__</v>
      </c>
      <c r="I52" s="49">
        <f>_xlfn.XLOOKUP(C52,Tab_Def_Flows[Name(EN)],Tab_Def_Flows[Value_Source],,0,)</f>
        <v>0</v>
      </c>
      <c r="J52" s="49">
        <f>_xlfn.XLOOKUP(C52,Tab_Def_Flows[Name(EN)],Tab_Def_Flows[WC?],,0,)</f>
        <v>0</v>
      </c>
      <c r="K52" s="49">
        <f>_xlfn.XLOOKUP(C52,Tab_Def_Flows[Name(EN)],Tab_Def_Flows[DM?],,0,)</f>
        <v>0</v>
      </c>
      <c r="L52" s="49">
        <f>_xlfn.XLOOKUP(C52,Tab_Def_Flows[Name(EN)],Tab_Def_Flows[CC?],,0,)</f>
        <v>0</v>
      </c>
      <c r="M52" s="51"/>
      <c r="N52" s="51"/>
      <c r="O52" s="114"/>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0</v>
      </c>
      <c r="AB52" s="51"/>
      <c r="AC52" s="107" t="e">
        <f>INDEX(Tab_Def_Flows[[Flow_ID]:[CC_DM_source]],MATCH(Tab_Data_Flows[[#This Row],[Name(EN)]],Tab_Def_Flows[Name(EN)],0),16)</f>
        <v>#N/A</v>
      </c>
      <c r="AD52" s="108" t="str">
        <f>IF(J52="Yes",AA52*Tab_Data_Flows[[#This Row],[WC_'[%']]],"N.A.")</f>
        <v>N.A.</v>
      </c>
      <c r="AE52" s="61">
        <f>Tab_Data_Flows[[#This Row],[UoM_Flow_Py]]</f>
        <v>0</v>
      </c>
      <c r="AF52" s="107" t="e">
        <f>INDEX(Tab_Def_Flows[[Flow_ID]:[CC_DM_source]],MATCH(Tab_Data_Flows[[#This Row],[Name(EN)]],Tab_Def_Flows[Name(EN)],0),18)</f>
        <v>#N/A</v>
      </c>
      <c r="AG52" s="108" t="str">
        <f>IF(K52="Yes",AF52*Tab_Data_Flows[[#This Row],[Flow_Py]],"N.A.")</f>
        <v>N.A.</v>
      </c>
      <c r="AH52" s="61">
        <f>Tab_Data_Flows[[#This Row],[UoM_Flow_Py]]</f>
        <v>0</v>
      </c>
      <c r="AI52" s="107" t="e">
        <f>INDEX(Tab_Def_Flows[[Flow_ID]:[CC_DM_source]],MATCH(Tab_Data_Flows[[#This Row],[Name(EN)]],Tab_Def_Flows[Name(EN)],0),20)</f>
        <v>#N/A</v>
      </c>
      <c r="AJ52" s="108" t="str">
        <f>IF(L52="Yes",AI52*Tab_Data_Flows[[#This Row],[Flow_Py]]*Tab_Data_Flows[[#This Row],[DM_'[%']]],"N.A.")</f>
        <v>N.A.</v>
      </c>
      <c r="AK52" s="61">
        <f>Tab_Data_Flows[[#This Row],[UoM_Flow_Py]]</f>
        <v>0</v>
      </c>
    </row>
    <row r="53" spans="1:37" x14ac:dyDescent="0.25">
      <c r="A53" s="60">
        <f t="shared" si="0"/>
        <v>52</v>
      </c>
      <c r="B53" s="49" t="str">
        <f>_xlfn.XLOOKUP(C53,Tab_Def_Flows[Name(EN)],Tab_Def_Flows[Flow_ID],,0,)</f>
        <v>F_12_12</v>
      </c>
      <c r="C53" s="51"/>
      <c r="D53" s="49"/>
      <c r="E53" s="49">
        <f>_xlfn.XLOOKUP(C53,Tab_Def_Flows[Name(EN)],Tab_Def_Flows[Output_Process],,0,)</f>
        <v>0</v>
      </c>
      <c r="F53" s="49" t="str">
        <f>_xlfn.XLOOKUP(C53,Tab_Def_Flows[Name(EN)],Tab_Def_Flows[Process_ID_O],,0,)</f>
        <v>12__</v>
      </c>
      <c r="G53" s="49">
        <f>_xlfn.XLOOKUP(C53,Tab_Def_Flows[Name(EN)],Tab_Def_Flows[Input_Process],,0,)</f>
        <v>0</v>
      </c>
      <c r="H53" s="61" t="str">
        <f>_xlfn.XLOOKUP(C53,Tab_Def_Flows[Name(EN)],Tab_Def_Flows[Process_ID_I],,0,)</f>
        <v>12__</v>
      </c>
      <c r="I53" s="49">
        <f>_xlfn.XLOOKUP(C53,Tab_Def_Flows[Name(EN)],Tab_Def_Flows[Value_Source],,0,)</f>
        <v>0</v>
      </c>
      <c r="J53" s="49">
        <f>_xlfn.XLOOKUP(C53,Tab_Def_Flows[Name(EN)],Tab_Def_Flows[WC?],,0,)</f>
        <v>0</v>
      </c>
      <c r="K53" s="49">
        <f>_xlfn.XLOOKUP(C53,Tab_Def_Flows[Name(EN)],Tab_Def_Flows[DM?],,0,)</f>
        <v>0</v>
      </c>
      <c r="L53" s="49">
        <f>_xlfn.XLOOKUP(C53,Tab_Def_Flows[Name(EN)],Tab_Def_Flows[CC?],,0,)</f>
        <v>0</v>
      </c>
      <c r="M53" s="51"/>
      <c r="N53" s="51"/>
      <c r="O53" s="114"/>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0</v>
      </c>
      <c r="AB53" s="51"/>
      <c r="AC53" s="107" t="e">
        <f>INDEX(Tab_Def_Flows[[Flow_ID]:[CC_DM_source]],MATCH(Tab_Data_Flows[[#This Row],[Name(EN)]],Tab_Def_Flows[Name(EN)],0),16)</f>
        <v>#N/A</v>
      </c>
      <c r="AD53" s="108" t="str">
        <f>IF(J53="Yes",AA53*Tab_Data_Flows[[#This Row],[WC_'[%']]],"N.A.")</f>
        <v>N.A.</v>
      </c>
      <c r="AE53" s="61">
        <f>Tab_Data_Flows[[#This Row],[UoM_Flow_Py]]</f>
        <v>0</v>
      </c>
      <c r="AF53" s="107" t="e">
        <f>INDEX(Tab_Def_Flows[[Flow_ID]:[CC_DM_source]],MATCH(Tab_Data_Flows[[#This Row],[Name(EN)]],Tab_Def_Flows[Name(EN)],0),18)</f>
        <v>#N/A</v>
      </c>
      <c r="AG53" s="108" t="str">
        <f>IF(K53="Yes",AF53*Tab_Data_Flows[[#This Row],[Flow_Py]],"N.A.")</f>
        <v>N.A.</v>
      </c>
      <c r="AH53" s="61">
        <f>Tab_Data_Flows[[#This Row],[UoM_Flow_Py]]</f>
        <v>0</v>
      </c>
      <c r="AI53" s="107" t="e">
        <f>INDEX(Tab_Def_Flows[[Flow_ID]:[CC_DM_source]],MATCH(Tab_Data_Flows[[#This Row],[Name(EN)]],Tab_Def_Flows[Name(EN)],0),20)</f>
        <v>#N/A</v>
      </c>
      <c r="AJ53" s="108" t="str">
        <f>IF(L53="Yes",AI53*Tab_Data_Flows[[#This Row],[Flow_Py]]*Tab_Data_Flows[[#This Row],[DM_'[%']]],"N.A.")</f>
        <v>N.A.</v>
      </c>
      <c r="AK53" s="61">
        <f>Tab_Data_Flows[[#This Row],[UoM_Flow_Py]]</f>
        <v>0</v>
      </c>
    </row>
    <row r="54" spans="1:37" x14ac:dyDescent="0.25">
      <c r="A54" s="60">
        <f t="shared" si="0"/>
        <v>53</v>
      </c>
      <c r="B54" s="49" t="str">
        <f>_xlfn.XLOOKUP(C54,Tab_Def_Flows[Name(EN)],Tab_Def_Flows[Flow_ID],,0,)</f>
        <v>F_12_12</v>
      </c>
      <c r="C54" s="51"/>
      <c r="D54" s="49"/>
      <c r="E54" s="49">
        <f>_xlfn.XLOOKUP(C54,Tab_Def_Flows[Name(EN)],Tab_Def_Flows[Output_Process],,0,)</f>
        <v>0</v>
      </c>
      <c r="F54" s="49" t="str">
        <f>_xlfn.XLOOKUP(C54,Tab_Def_Flows[Name(EN)],Tab_Def_Flows[Process_ID_O],,0,)</f>
        <v>12__</v>
      </c>
      <c r="G54" s="49">
        <f>_xlfn.XLOOKUP(C54,Tab_Def_Flows[Name(EN)],Tab_Def_Flows[Input_Process],,0,)</f>
        <v>0</v>
      </c>
      <c r="H54" s="61" t="str">
        <f>_xlfn.XLOOKUP(C54,Tab_Def_Flows[Name(EN)],Tab_Def_Flows[Process_ID_I],,0,)</f>
        <v>12__</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c r="AC54" s="107" t="e">
        <f>INDEX(Tab_Def_Flows[[Flow_ID]:[CC_DM_source]],MATCH(Tab_Data_Flows[[#This Row],[Name(EN)]],Tab_Def_Flows[Name(EN)],0),16)</f>
        <v>#N/A</v>
      </c>
      <c r="AD54" s="108" t="str">
        <f>IF(J54="Yes",AA54*Tab_Data_Flows[[#This Row],[WC_'[%']]],"N.A.")</f>
        <v>N.A.</v>
      </c>
      <c r="AE54" s="61">
        <f>Tab_Data_Flows[[#This Row],[UoM_Flow_Py]]</f>
        <v>0</v>
      </c>
      <c r="AF54" s="107" t="e">
        <f>INDEX(Tab_Def_Flows[[Flow_ID]:[CC_DM_source]],MATCH(Tab_Data_Flows[[#This Row],[Name(EN)]],Tab_Def_Flows[Name(EN)],0),18)</f>
        <v>#N/A</v>
      </c>
      <c r="AG54" s="108" t="str">
        <f>IF(K54="Yes",AF54*Tab_Data_Flows[[#This Row],[Flow_Py]],"N.A.")</f>
        <v>N.A.</v>
      </c>
      <c r="AH54" s="61">
        <f>Tab_Data_Flows[[#This Row],[UoM_Flow_Py]]</f>
        <v>0</v>
      </c>
      <c r="AI54" s="107" t="e">
        <f>INDEX(Tab_Def_Flows[[Flow_ID]:[CC_DM_source]],MATCH(Tab_Data_Flows[[#This Row],[Name(EN)]],Tab_Def_Flows[Name(EN)],0),20)</f>
        <v>#N/A</v>
      </c>
      <c r="AJ54" s="108" t="str">
        <f>IF(L54="Yes",AI54*Tab_Data_Flows[[#This Row],[Flow_Py]]*Tab_Data_Flows[[#This Row],[DM_'[%']]],"N.A.")</f>
        <v>N.A.</v>
      </c>
      <c r="AK54" s="61">
        <f>Tab_Data_Flows[[#This Row],[UoM_Flow_Py]]</f>
        <v>0</v>
      </c>
    </row>
    <row r="55" spans="1:37" x14ac:dyDescent="0.25">
      <c r="A55" s="60">
        <f t="shared" si="0"/>
        <v>54</v>
      </c>
      <c r="B55" s="49" t="str">
        <f>_xlfn.XLOOKUP(C55,Tab_Def_Flows[Name(EN)],Tab_Def_Flows[Flow_ID],,0,)</f>
        <v>F_12_12</v>
      </c>
      <c r="C55" s="51"/>
      <c r="D55" s="49"/>
      <c r="E55" s="49">
        <f>_xlfn.XLOOKUP(C55,Tab_Def_Flows[Name(EN)],Tab_Def_Flows[Output_Process],,0,)</f>
        <v>0</v>
      </c>
      <c r="F55" s="49" t="str">
        <f>_xlfn.XLOOKUP(C55,Tab_Def_Flows[Name(EN)],Tab_Def_Flows[Process_ID_O],,0,)</f>
        <v>12__</v>
      </c>
      <c r="G55" s="49">
        <f>_xlfn.XLOOKUP(C55,Tab_Def_Flows[Name(EN)],Tab_Def_Flows[Input_Process],,0,)</f>
        <v>0</v>
      </c>
      <c r="H55" s="61" t="str">
        <f>_xlfn.XLOOKUP(C55,Tab_Def_Flows[Name(EN)],Tab_Def_Flows[Process_ID_I],,0,)</f>
        <v>12__</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c r="AC55" s="107" t="e">
        <f>INDEX(Tab_Def_Flows[[Flow_ID]:[CC_DM_source]],MATCH(Tab_Data_Flows[[#This Row],[Name(EN)]],Tab_Def_Flows[Name(EN)],0),16)</f>
        <v>#N/A</v>
      </c>
      <c r="AD55" s="108" t="str">
        <f>IF(J55="Yes",AA55*Tab_Data_Flows[[#This Row],[WC_'[%']]],"N.A.")</f>
        <v>N.A.</v>
      </c>
      <c r="AE55" s="61">
        <f>Tab_Data_Flows[[#This Row],[UoM_Flow_Py]]</f>
        <v>0</v>
      </c>
      <c r="AF55" s="107" t="e">
        <f>INDEX(Tab_Def_Flows[[Flow_ID]:[CC_DM_source]],MATCH(Tab_Data_Flows[[#This Row],[Name(EN)]],Tab_Def_Flows[Name(EN)],0),18)</f>
        <v>#N/A</v>
      </c>
      <c r="AG55" s="108" t="str">
        <f>IF(K55="Yes",AF55*Tab_Data_Flows[[#This Row],[Flow_Py]],"N.A.")</f>
        <v>N.A.</v>
      </c>
      <c r="AH55" s="61">
        <f>Tab_Data_Flows[[#This Row],[UoM_Flow_Py]]</f>
        <v>0</v>
      </c>
      <c r="AI55" s="107" t="e">
        <f>INDEX(Tab_Def_Flows[[Flow_ID]:[CC_DM_source]],MATCH(Tab_Data_Flows[[#This Row],[Name(EN)]],Tab_Def_Flows[Name(EN)],0),20)</f>
        <v>#N/A</v>
      </c>
      <c r="AJ55" s="108" t="str">
        <f>IF(L55="Yes",AI55*Tab_Data_Flows[[#This Row],[Flow_Py]]*Tab_Data_Flows[[#This Row],[DM_'[%']]],"N.A.")</f>
        <v>N.A.</v>
      </c>
      <c r="AK55" s="61">
        <f>Tab_Data_Flows[[#This Row],[UoM_Flow_Py]]</f>
        <v>0</v>
      </c>
    </row>
    <row r="56" spans="1:37" x14ac:dyDescent="0.25">
      <c r="A56" s="60">
        <f t="shared" si="0"/>
        <v>55</v>
      </c>
      <c r="B56" s="49" t="str">
        <f>_xlfn.XLOOKUP(C56,Tab_Def_Flows[Name(EN)],Tab_Def_Flows[Flow_ID],,0,)</f>
        <v>F_12_12</v>
      </c>
      <c r="C56" s="51"/>
      <c r="D56" s="49"/>
      <c r="E56" s="49">
        <f>_xlfn.XLOOKUP(C56,Tab_Def_Flows[Name(EN)],Tab_Def_Flows[Output_Process],,0,)</f>
        <v>0</v>
      </c>
      <c r="F56" s="49" t="str">
        <f>_xlfn.XLOOKUP(C56,Tab_Def_Flows[Name(EN)],Tab_Def_Flows[Process_ID_O],,0,)</f>
        <v>12__</v>
      </c>
      <c r="G56" s="49">
        <f>_xlfn.XLOOKUP(C56,Tab_Def_Flows[Name(EN)],Tab_Def_Flows[Input_Process],,0,)</f>
        <v>0</v>
      </c>
      <c r="H56" s="61" t="str">
        <f>_xlfn.XLOOKUP(C56,Tab_Def_Flows[Name(EN)],Tab_Def_Flows[Process_ID_I],,0,)</f>
        <v>12__</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c r="AC56" s="107" t="e">
        <f>INDEX(Tab_Def_Flows[[Flow_ID]:[CC_DM_source]],MATCH(Tab_Data_Flows[[#This Row],[Name(EN)]],Tab_Def_Flows[Name(EN)],0),16)</f>
        <v>#N/A</v>
      </c>
      <c r="AD56" s="108" t="str">
        <f>IF(J56="Yes",AA56*Tab_Data_Flows[[#This Row],[WC_'[%']]],"N.A.")</f>
        <v>N.A.</v>
      </c>
      <c r="AE56" s="61">
        <f>Tab_Data_Flows[[#This Row],[UoM_Flow_Py]]</f>
        <v>0</v>
      </c>
      <c r="AF56" s="107" t="e">
        <f>INDEX(Tab_Def_Flows[[Flow_ID]:[CC_DM_source]],MATCH(Tab_Data_Flows[[#This Row],[Name(EN)]],Tab_Def_Flows[Name(EN)],0),18)</f>
        <v>#N/A</v>
      </c>
      <c r="AG56" s="108" t="str">
        <f>IF(K56="Yes",AF56*Tab_Data_Flows[[#This Row],[Flow_Py]],"N.A.")</f>
        <v>N.A.</v>
      </c>
      <c r="AH56" s="61">
        <f>Tab_Data_Flows[[#This Row],[UoM_Flow_Py]]</f>
        <v>0</v>
      </c>
      <c r="AI56" s="107" t="e">
        <f>INDEX(Tab_Def_Flows[[Flow_ID]:[CC_DM_source]],MATCH(Tab_Data_Flows[[#This Row],[Name(EN)]],Tab_Def_Flows[Name(EN)],0),20)</f>
        <v>#N/A</v>
      </c>
      <c r="AJ56" s="108" t="str">
        <f>IF(L56="Yes",AI56*Tab_Data_Flows[[#This Row],[Flow_Py]]*Tab_Data_Flows[[#This Row],[DM_'[%']]],"N.A.")</f>
        <v>N.A.</v>
      </c>
      <c r="AK56" s="61">
        <f>Tab_Data_Flows[[#This Row],[UoM_Flow_Py]]</f>
        <v>0</v>
      </c>
    </row>
    <row r="57" spans="1:37" x14ac:dyDescent="0.25">
      <c r="A57" s="60">
        <f t="shared" si="0"/>
        <v>56</v>
      </c>
      <c r="B57" s="49" t="str">
        <f>_xlfn.XLOOKUP(C57,Tab_Def_Flows[Name(EN)],Tab_Def_Flows[Flow_ID],,0,)</f>
        <v>F_12_12</v>
      </c>
      <c r="C57" s="51"/>
      <c r="D57" s="49"/>
      <c r="E57" s="49">
        <f>_xlfn.XLOOKUP(C57,Tab_Def_Flows[Name(EN)],Tab_Def_Flows[Output_Process],,0,)</f>
        <v>0</v>
      </c>
      <c r="F57" s="49" t="str">
        <f>_xlfn.XLOOKUP(C57,Tab_Def_Flows[Name(EN)],Tab_Def_Flows[Process_ID_O],,0,)</f>
        <v>12__</v>
      </c>
      <c r="G57" s="49">
        <f>_xlfn.XLOOKUP(C57,Tab_Def_Flows[Name(EN)],Tab_Def_Flows[Input_Process],,0,)</f>
        <v>0</v>
      </c>
      <c r="H57" s="61" t="str">
        <f>_xlfn.XLOOKUP(C57,Tab_Def_Flows[Name(EN)],Tab_Def_Flows[Process_ID_I],,0,)</f>
        <v>12__</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c r="AC57" s="107" t="e">
        <f>INDEX(Tab_Def_Flows[[Flow_ID]:[CC_DM_source]],MATCH(Tab_Data_Flows[[#This Row],[Name(EN)]],Tab_Def_Flows[Name(EN)],0),16)</f>
        <v>#N/A</v>
      </c>
      <c r="AD57" s="108" t="str">
        <f>IF(J57="Yes",AA57*Tab_Data_Flows[[#This Row],[WC_'[%']]],"N.A.")</f>
        <v>N.A.</v>
      </c>
      <c r="AE57" s="61">
        <f>Tab_Data_Flows[[#This Row],[UoM_Flow_Py]]</f>
        <v>0</v>
      </c>
      <c r="AF57" s="107" t="e">
        <f>INDEX(Tab_Def_Flows[[Flow_ID]:[CC_DM_source]],MATCH(Tab_Data_Flows[[#This Row],[Name(EN)]],Tab_Def_Flows[Name(EN)],0),18)</f>
        <v>#N/A</v>
      </c>
      <c r="AG57" s="108" t="str">
        <f>IF(K57="Yes",AF57*Tab_Data_Flows[[#This Row],[Flow_Py]],"N.A.")</f>
        <v>N.A.</v>
      </c>
      <c r="AH57" s="61">
        <f>Tab_Data_Flows[[#This Row],[UoM_Flow_Py]]</f>
        <v>0</v>
      </c>
      <c r="AI57" s="107" t="e">
        <f>INDEX(Tab_Def_Flows[[Flow_ID]:[CC_DM_source]],MATCH(Tab_Data_Flows[[#This Row],[Name(EN)]],Tab_Def_Flows[Name(EN)],0),20)</f>
        <v>#N/A</v>
      </c>
      <c r="AJ57" s="108" t="str">
        <f>IF(L57="Yes",AI57*Tab_Data_Flows[[#This Row],[Flow_Py]]*Tab_Data_Flows[[#This Row],[DM_'[%']]],"N.A.")</f>
        <v>N.A.</v>
      </c>
      <c r="AK57" s="61">
        <f>Tab_Data_Flows[[#This Row],[UoM_Flow_Py]]</f>
        <v>0</v>
      </c>
    </row>
    <row r="58" spans="1:37" x14ac:dyDescent="0.25">
      <c r="A58" s="60">
        <f t="shared" si="0"/>
        <v>57</v>
      </c>
      <c r="B58" s="49" t="str">
        <f>_xlfn.XLOOKUP(C58,Tab_Def_Flows[Name(EN)],Tab_Def_Flows[Flow_ID],,0,)</f>
        <v>F_12_12</v>
      </c>
      <c r="C58" s="51"/>
      <c r="D58" s="49"/>
      <c r="E58" s="49">
        <f>_xlfn.XLOOKUP(C58,Tab_Def_Flows[Name(EN)],Tab_Def_Flows[Output_Process],,0,)</f>
        <v>0</v>
      </c>
      <c r="F58" s="49" t="str">
        <f>_xlfn.XLOOKUP(C58,Tab_Def_Flows[Name(EN)],Tab_Def_Flows[Process_ID_O],,0,)</f>
        <v>12__</v>
      </c>
      <c r="G58" s="49">
        <f>_xlfn.XLOOKUP(C58,Tab_Def_Flows[Name(EN)],Tab_Def_Flows[Input_Process],,0,)</f>
        <v>0</v>
      </c>
      <c r="H58" s="61" t="str">
        <f>_xlfn.XLOOKUP(C58,Tab_Def_Flows[Name(EN)],Tab_Def_Flows[Process_ID_I],,0,)</f>
        <v>12__</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c r="AC58" s="107" t="e">
        <f>INDEX(Tab_Def_Flows[[Flow_ID]:[CC_DM_source]],MATCH(Tab_Data_Flows[[#This Row],[Name(EN)]],Tab_Def_Flows[Name(EN)],0),16)</f>
        <v>#N/A</v>
      </c>
      <c r="AD58" s="108" t="str">
        <f>IF(J58="Yes",AA58*Tab_Data_Flows[[#This Row],[WC_'[%']]],"N.A.")</f>
        <v>N.A.</v>
      </c>
      <c r="AE58" s="61">
        <f>Tab_Data_Flows[[#This Row],[UoM_Flow_Py]]</f>
        <v>0</v>
      </c>
      <c r="AF58" s="107" t="e">
        <f>INDEX(Tab_Def_Flows[[Flow_ID]:[CC_DM_source]],MATCH(Tab_Data_Flows[[#This Row],[Name(EN)]],Tab_Def_Flows[Name(EN)],0),18)</f>
        <v>#N/A</v>
      </c>
      <c r="AG58" s="108" t="str">
        <f>IF(K58="Yes",AF58*Tab_Data_Flows[[#This Row],[Flow_Py]],"N.A.")</f>
        <v>N.A.</v>
      </c>
      <c r="AH58" s="61">
        <f>Tab_Data_Flows[[#This Row],[UoM_Flow_Py]]</f>
        <v>0</v>
      </c>
      <c r="AI58" s="107" t="e">
        <f>INDEX(Tab_Def_Flows[[Flow_ID]:[CC_DM_source]],MATCH(Tab_Data_Flows[[#This Row],[Name(EN)]],Tab_Def_Flows[Name(EN)],0),20)</f>
        <v>#N/A</v>
      </c>
      <c r="AJ58" s="108" t="str">
        <f>IF(L58="Yes",AI58*Tab_Data_Flows[[#This Row],[Flow_Py]]*Tab_Data_Flows[[#This Row],[DM_'[%']]],"N.A.")</f>
        <v>N.A.</v>
      </c>
      <c r="AK58" s="61">
        <f>Tab_Data_Flows[[#This Row],[UoM_Flow_Py]]</f>
        <v>0</v>
      </c>
    </row>
    <row r="59" spans="1:37" x14ac:dyDescent="0.25">
      <c r="A59" s="60">
        <f t="shared" si="0"/>
        <v>58</v>
      </c>
      <c r="B59" s="49" t="str">
        <f>_xlfn.XLOOKUP(C59,Tab_Def_Flows[Name(EN)],Tab_Def_Flows[Flow_ID],,0,)</f>
        <v>F_12_12</v>
      </c>
      <c r="C59" s="51"/>
      <c r="D59" s="49"/>
      <c r="E59" s="49">
        <f>_xlfn.XLOOKUP(C59,Tab_Def_Flows[Name(EN)],Tab_Def_Flows[Output_Process],,0,)</f>
        <v>0</v>
      </c>
      <c r="F59" s="49" t="str">
        <f>_xlfn.XLOOKUP(C59,Tab_Def_Flows[Name(EN)],Tab_Def_Flows[Process_ID_O],,0,)</f>
        <v>12__</v>
      </c>
      <c r="G59" s="49">
        <f>_xlfn.XLOOKUP(C59,Tab_Def_Flows[Name(EN)],Tab_Def_Flows[Input_Process],,0,)</f>
        <v>0</v>
      </c>
      <c r="H59" s="61" t="str">
        <f>_xlfn.XLOOKUP(C59,Tab_Def_Flows[Name(EN)],Tab_Def_Flows[Process_ID_I],,0,)</f>
        <v>12__</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c r="AC59" s="107" t="e">
        <f>INDEX(Tab_Def_Flows[[Flow_ID]:[CC_DM_source]],MATCH(Tab_Data_Flows[[#This Row],[Name(EN)]],Tab_Def_Flows[Name(EN)],0),16)</f>
        <v>#N/A</v>
      </c>
      <c r="AD59" s="108" t="str">
        <f>IF(J59="Yes",AA59*Tab_Data_Flows[[#This Row],[WC_'[%']]],"N.A.")</f>
        <v>N.A.</v>
      </c>
      <c r="AE59" s="61">
        <f>Tab_Data_Flows[[#This Row],[UoM_Flow_Py]]</f>
        <v>0</v>
      </c>
      <c r="AF59" s="107" t="e">
        <f>INDEX(Tab_Def_Flows[[Flow_ID]:[CC_DM_source]],MATCH(Tab_Data_Flows[[#This Row],[Name(EN)]],Tab_Def_Flows[Name(EN)],0),18)</f>
        <v>#N/A</v>
      </c>
      <c r="AG59" s="108" t="str">
        <f>IF(K59="Yes",AF59*Tab_Data_Flows[[#This Row],[Flow_Py]],"N.A.")</f>
        <v>N.A.</v>
      </c>
      <c r="AH59" s="61">
        <f>Tab_Data_Flows[[#This Row],[UoM_Flow_Py]]</f>
        <v>0</v>
      </c>
      <c r="AI59" s="107" t="e">
        <f>INDEX(Tab_Def_Flows[[Flow_ID]:[CC_DM_source]],MATCH(Tab_Data_Flows[[#This Row],[Name(EN)]],Tab_Def_Flows[Name(EN)],0),20)</f>
        <v>#N/A</v>
      </c>
      <c r="AJ59" s="108" t="str">
        <f>IF(L59="Yes",AI59*Tab_Data_Flows[[#This Row],[Flow_Py]]*Tab_Data_Flows[[#This Row],[DM_'[%']]],"N.A.")</f>
        <v>N.A.</v>
      </c>
      <c r="AK59" s="61">
        <f>Tab_Data_Flows[[#This Row],[UoM_Flow_Py]]</f>
        <v>0</v>
      </c>
    </row>
    <row r="60" spans="1:37" x14ac:dyDescent="0.25">
      <c r="A60" s="60">
        <f t="shared" si="0"/>
        <v>59</v>
      </c>
      <c r="B60" s="49" t="str">
        <f>_xlfn.XLOOKUP(C60,Tab_Def_Flows[Name(EN)],Tab_Def_Flows[Flow_ID],,0,)</f>
        <v>F_12_12</v>
      </c>
      <c r="C60" s="51"/>
      <c r="D60" s="49">
        <f>_xlfn.XLOOKUP(C60,Tab_Def_Flows[Name(EN)],Tab_Def_Flows[Type_Biomass],,0,)</f>
        <v>0</v>
      </c>
      <c r="E60" s="49">
        <f>_xlfn.XLOOKUP(C60,Tab_Def_Flows[Name(EN)],Tab_Def_Flows[Output_Process],,0,)</f>
        <v>0</v>
      </c>
      <c r="F60" s="49" t="str">
        <f>_xlfn.XLOOKUP(C60,Tab_Def_Flows[Name(EN)],Tab_Def_Flows[Process_ID_O],,0,)</f>
        <v>12__</v>
      </c>
      <c r="G60" s="49">
        <f>_xlfn.XLOOKUP(C60,Tab_Def_Flows[Name(EN)],Tab_Def_Flows[Input_Process],,0,)</f>
        <v>0</v>
      </c>
      <c r="H60" s="61" t="str">
        <f>_xlfn.XLOOKUP(C60,Tab_Def_Flows[Name(EN)],Tab_Def_Flows[Process_ID_I],,0,)</f>
        <v>12__</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349</v>
      </c>
      <c r="O60" s="114"/>
      <c r="P60" s="51"/>
      <c r="Q60" s="51"/>
      <c r="R60" s="51"/>
      <c r="S60" s="51"/>
      <c r="T60" s="51"/>
      <c r="U60" s="51"/>
      <c r="V60" s="51"/>
      <c r="W60" s="51"/>
      <c r="X60" s="51" t="s">
        <v>70</v>
      </c>
      <c r="Y60" s="104"/>
      <c r="Z60" s="51"/>
      <c r="AA60" s="85">
        <f>IF(X60="no",O60,O60*Y60)</f>
        <v>0</v>
      </c>
      <c r="AB60" s="51"/>
      <c r="AC60" s="107" t="e">
        <f>INDEX(Tab_Def_Flows[[Flow_ID]:[CC_DM_source]],MATCH(Tab_Data_Flows[[#This Row],[Name(EN)]],Tab_Def_Flows[Name(EN)],0),16)</f>
        <v>#N/A</v>
      </c>
      <c r="AD60" s="108" t="str">
        <f>IF(J60="Yes",AA60*Tab_Data_Flows[[#This Row],[WC_'[%']]],"N.A.")</f>
        <v>N.A.</v>
      </c>
      <c r="AE60" s="61">
        <f>Tab_Data_Flows[[#This Row],[UoM_Flow_Py]]</f>
        <v>0</v>
      </c>
      <c r="AF60" s="107" t="e">
        <f>INDEX(Tab_Def_Flows[[Flow_ID]:[CC_DM_source]],MATCH(Tab_Data_Flows[[#This Row],[Name(EN)]],Tab_Def_Flows[Name(EN)],0),18)</f>
        <v>#N/A</v>
      </c>
      <c r="AG60" s="108" t="str">
        <f>IF(K60="Yes",AF60*Tab_Data_Flows[[#This Row],[Flow_Py]],"N.A.")</f>
        <v>N.A.</v>
      </c>
      <c r="AH60" s="61">
        <f>Tab_Data_Flows[[#This Row],[UoM_Flow_Py]]</f>
        <v>0</v>
      </c>
      <c r="AI60" s="107" t="e">
        <f>INDEX(Tab_Def_Flows[[Flow_ID]:[CC_DM_source]],MATCH(Tab_Data_Flows[[#This Row],[Name(EN)]],Tab_Def_Flows[Name(EN)],0),20)</f>
        <v>#N/A</v>
      </c>
      <c r="AJ60" s="108" t="str">
        <f>IF(L60="Yes",AI60*Tab_Data_Flows[[#This Row],[Flow_Py]]*Tab_Data_Flows[[#This Row],[DM_'[%']]],"N.A.")</f>
        <v>N.A.</v>
      </c>
      <c r="AK60" s="61">
        <f>Tab_Data_Flows[[#This Row],[UoM_Flow_Py]]</f>
        <v>0</v>
      </c>
    </row>
    <row r="61" spans="1:37" x14ac:dyDescent="0.25">
      <c r="A61" s="60">
        <f t="shared" si="0"/>
        <v>60</v>
      </c>
      <c r="B61" s="49" t="str">
        <f>_xlfn.XLOOKUP(C61,Tab_Def_Flows[Name(EN)],Tab_Def_Flows[Flow_ID],,0,)</f>
        <v>F_12_12</v>
      </c>
      <c r="C61" s="51"/>
      <c r="D61" s="49">
        <f>_xlfn.XLOOKUP(C61,Tab_Def_Flows[Name(EN)],Tab_Def_Flows[Type_Biomass],,0,)</f>
        <v>0</v>
      </c>
      <c r="E61" s="49">
        <f>_xlfn.XLOOKUP(C61,Tab_Def_Flows[Name(EN)],Tab_Def_Flows[Output_Process],,0,)</f>
        <v>0</v>
      </c>
      <c r="F61" s="49" t="str">
        <f>_xlfn.XLOOKUP(C61,Tab_Def_Flows[Name(EN)],Tab_Def_Flows[Process_ID_O],,0,)</f>
        <v>12__</v>
      </c>
      <c r="G61" s="49">
        <f>_xlfn.XLOOKUP(C61,Tab_Def_Flows[Name(EN)],Tab_Def_Flows[Input_Process],,0,)</f>
        <v>0</v>
      </c>
      <c r="H61" s="61" t="str">
        <f>_xlfn.XLOOKUP(C61,Tab_Def_Flows[Name(EN)],Tab_Def_Flows[Process_ID_I],,0,)</f>
        <v>12__</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349</v>
      </c>
      <c r="O61" s="114"/>
      <c r="P61" s="51"/>
      <c r="Q61" s="51"/>
      <c r="R61" s="51"/>
      <c r="S61" s="51"/>
      <c r="T61" s="51"/>
      <c r="U61" s="51"/>
      <c r="V61" s="51"/>
      <c r="W61" s="51"/>
      <c r="X61" s="51" t="s">
        <v>70</v>
      </c>
      <c r="Y61" s="104"/>
      <c r="Z61" s="51"/>
      <c r="AA61" s="85">
        <f t="shared" si="1"/>
        <v>0</v>
      </c>
      <c r="AB61" s="51"/>
      <c r="AC61" s="107" t="e">
        <f>INDEX(Tab_Def_Flows[[Flow_ID]:[CC_DM_source]],MATCH(Tab_Data_Flows[[#This Row],[Name(EN)]],Tab_Def_Flows[Name(EN)],0),16)</f>
        <v>#N/A</v>
      </c>
      <c r="AD61" s="108" t="str">
        <f>IF(J61="Yes",AA61*Tab_Data_Flows[[#This Row],[WC_'[%']]],"N.A.")</f>
        <v>N.A.</v>
      </c>
      <c r="AE61" s="61">
        <f>Tab_Data_Flows[[#This Row],[UoM_Flow_Py]]</f>
        <v>0</v>
      </c>
      <c r="AF61" s="107" t="e">
        <f>INDEX(Tab_Def_Flows[[Flow_ID]:[CC_DM_source]],MATCH(Tab_Data_Flows[[#This Row],[Name(EN)]],Tab_Def_Flows[Name(EN)],0),18)</f>
        <v>#N/A</v>
      </c>
      <c r="AG61" s="108" t="str">
        <f>IF(K61="Yes",AF61*Tab_Data_Flows[[#This Row],[Flow_Py]],"N.A.")</f>
        <v>N.A.</v>
      </c>
      <c r="AH61" s="61">
        <f>Tab_Data_Flows[[#This Row],[UoM_Flow_Py]]</f>
        <v>0</v>
      </c>
      <c r="AI61" s="107" t="e">
        <f>INDEX(Tab_Def_Flows[[Flow_ID]:[CC_DM_source]],MATCH(Tab_Data_Flows[[#This Row],[Name(EN)]],Tab_Def_Flows[Name(EN)],0),20)</f>
        <v>#N/A</v>
      </c>
      <c r="AJ61" s="108" t="str">
        <f>IF(L61="Yes",AI61*Tab_Data_Flows[[#This Row],[Flow_Py]]*Tab_Data_Flows[[#This Row],[DM_'[%']]],"N.A.")</f>
        <v>N.A.</v>
      </c>
      <c r="AK61" s="61">
        <f>Tab_Data_Flows[[#This Row],[UoM_Flow_Py]]</f>
        <v>0</v>
      </c>
    </row>
    <row r="62" spans="1:37" x14ac:dyDescent="0.25">
      <c r="A62" s="60">
        <f t="shared" si="0"/>
        <v>61</v>
      </c>
      <c r="B62" s="49" t="str">
        <f>_xlfn.XLOOKUP(C62,Tab_Def_Flows[Name(EN)],Tab_Def_Flows[Flow_ID],,0,)</f>
        <v>F_12_12</v>
      </c>
      <c r="C62" s="51"/>
      <c r="D62" s="49">
        <f>_xlfn.XLOOKUP(C62,Tab_Def_Flows[Name(EN)],Tab_Def_Flows[Type_Biomass],,0,)</f>
        <v>0</v>
      </c>
      <c r="E62" s="49">
        <f>_xlfn.XLOOKUP(C62,Tab_Def_Flows[Name(EN)],Tab_Def_Flows[Output_Process],,0,)</f>
        <v>0</v>
      </c>
      <c r="F62" s="49" t="str">
        <f>_xlfn.XLOOKUP(C62,Tab_Def_Flows[Name(EN)],Tab_Def_Flows[Process_ID_O],,0,)</f>
        <v>12__</v>
      </c>
      <c r="G62" s="49">
        <f>_xlfn.XLOOKUP(C62,Tab_Def_Flows[Name(EN)],Tab_Def_Flows[Input_Process],,0,)</f>
        <v>0</v>
      </c>
      <c r="H62" s="61" t="str">
        <f>_xlfn.XLOOKUP(C62,Tab_Def_Flows[Name(EN)],Tab_Def_Flows[Process_ID_I],,0,)</f>
        <v>12__</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349</v>
      </c>
      <c r="O62" s="114"/>
      <c r="P62" s="51"/>
      <c r="Q62" s="51"/>
      <c r="R62" s="51"/>
      <c r="S62" s="51"/>
      <c r="T62" s="51"/>
      <c r="U62" s="51"/>
      <c r="V62" s="51"/>
      <c r="W62" s="51"/>
      <c r="X62" s="51" t="s">
        <v>70</v>
      </c>
      <c r="Y62" s="104"/>
      <c r="Z62" s="51"/>
      <c r="AA62" s="85">
        <f t="shared" si="1"/>
        <v>0</v>
      </c>
      <c r="AB62" s="51"/>
      <c r="AC62" s="107" t="e">
        <f>INDEX(Tab_Def_Flows[[Flow_ID]:[CC_DM_source]],MATCH(Tab_Data_Flows[[#This Row],[Name(EN)]],Tab_Def_Flows[Name(EN)],0),16)</f>
        <v>#N/A</v>
      </c>
      <c r="AD62" s="108" t="str">
        <f>IF(J62="Yes",AA62*Tab_Data_Flows[[#This Row],[WC_'[%']]],"N.A.")</f>
        <v>N.A.</v>
      </c>
      <c r="AE62" s="61">
        <f>Tab_Data_Flows[[#This Row],[UoM_Flow_Py]]</f>
        <v>0</v>
      </c>
      <c r="AF62" s="107" t="e">
        <f>INDEX(Tab_Def_Flows[[Flow_ID]:[CC_DM_source]],MATCH(Tab_Data_Flows[[#This Row],[Name(EN)]],Tab_Def_Flows[Name(EN)],0),18)</f>
        <v>#N/A</v>
      </c>
      <c r="AG62" s="108" t="str">
        <f>IF(K62="Yes",AF62*Tab_Data_Flows[[#This Row],[Flow_Py]],"N.A.")</f>
        <v>N.A.</v>
      </c>
      <c r="AH62" s="61">
        <f>Tab_Data_Flows[[#This Row],[UoM_Flow_Py]]</f>
        <v>0</v>
      </c>
      <c r="AI62" s="107" t="e">
        <f>INDEX(Tab_Def_Flows[[Flow_ID]:[CC_DM_source]],MATCH(Tab_Data_Flows[[#This Row],[Name(EN)]],Tab_Def_Flows[Name(EN)],0),20)</f>
        <v>#N/A</v>
      </c>
      <c r="AJ62" s="108" t="str">
        <f>IF(L62="Yes",AI62*Tab_Data_Flows[[#This Row],[Flow_Py]]*Tab_Data_Flows[[#This Row],[DM_'[%']]],"N.A.")</f>
        <v>N.A.</v>
      </c>
      <c r="AK62" s="61">
        <f>Tab_Data_Flows[[#This Row],[UoM_Flow_Py]]</f>
        <v>0</v>
      </c>
    </row>
    <row r="63" spans="1:37" x14ac:dyDescent="0.25">
      <c r="A63" s="60">
        <f t="shared" si="0"/>
        <v>62</v>
      </c>
      <c r="B63" s="49" t="str">
        <f>_xlfn.XLOOKUP(C63,Tab_Def_Flows[Name(EN)],Tab_Def_Flows[Flow_ID],,0,)</f>
        <v>F_12_12</v>
      </c>
      <c r="C63" s="51"/>
      <c r="D63" s="49">
        <f>_xlfn.XLOOKUP(C63,Tab_Def_Flows[Name(EN)],Tab_Def_Flows[Type_Biomass],,0,)</f>
        <v>0</v>
      </c>
      <c r="E63" s="49">
        <f>_xlfn.XLOOKUP(C63,Tab_Def_Flows[Name(EN)],Tab_Def_Flows[Output_Process],,0,)</f>
        <v>0</v>
      </c>
      <c r="F63" s="49" t="str">
        <f>_xlfn.XLOOKUP(C63,Tab_Def_Flows[Name(EN)],Tab_Def_Flows[Process_ID_O],,0,)</f>
        <v>12__</v>
      </c>
      <c r="G63" s="49">
        <f>_xlfn.XLOOKUP(C63,Tab_Def_Flows[Name(EN)],Tab_Def_Flows[Input_Process],,0,)</f>
        <v>0</v>
      </c>
      <c r="H63" s="61" t="str">
        <f>_xlfn.XLOOKUP(C63,Tab_Def_Flows[Name(EN)],Tab_Def_Flows[Process_ID_I],,0,)</f>
        <v>12__</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349</v>
      </c>
      <c r="O63" s="114"/>
      <c r="P63" s="51"/>
      <c r="Q63" s="51"/>
      <c r="R63" s="51"/>
      <c r="S63" s="51"/>
      <c r="T63" s="51"/>
      <c r="U63" s="51"/>
      <c r="V63" s="51"/>
      <c r="W63" s="51"/>
      <c r="X63" s="51" t="s">
        <v>70</v>
      </c>
      <c r="Y63" s="104"/>
      <c r="Z63" s="51"/>
      <c r="AA63" s="85">
        <f t="shared" si="1"/>
        <v>0</v>
      </c>
      <c r="AB63" s="51"/>
      <c r="AC63" s="107" t="e">
        <f>INDEX(Tab_Def_Flows[[Flow_ID]:[CC_DM_source]],MATCH(Tab_Data_Flows[[#This Row],[Name(EN)]],Tab_Def_Flows[Name(EN)],0),16)</f>
        <v>#N/A</v>
      </c>
      <c r="AD63" s="108" t="str">
        <f>IF(J63="Yes",AA63*Tab_Data_Flows[[#This Row],[WC_'[%']]],"N.A.")</f>
        <v>N.A.</v>
      </c>
      <c r="AE63" s="61">
        <f>Tab_Data_Flows[[#This Row],[UoM_Flow_Py]]</f>
        <v>0</v>
      </c>
      <c r="AF63" s="107" t="e">
        <f>INDEX(Tab_Def_Flows[[Flow_ID]:[CC_DM_source]],MATCH(Tab_Data_Flows[[#This Row],[Name(EN)]],Tab_Def_Flows[Name(EN)],0),18)</f>
        <v>#N/A</v>
      </c>
      <c r="AG63" s="108" t="str">
        <f>IF(K63="Yes",AF63*Tab_Data_Flows[[#This Row],[Flow_Py]],"N.A.")</f>
        <v>N.A.</v>
      </c>
      <c r="AH63" s="61">
        <f>Tab_Data_Flows[[#This Row],[UoM_Flow_Py]]</f>
        <v>0</v>
      </c>
      <c r="AI63" s="107" t="e">
        <f>INDEX(Tab_Def_Flows[[Flow_ID]:[CC_DM_source]],MATCH(Tab_Data_Flows[[#This Row],[Name(EN)]],Tab_Def_Flows[Name(EN)],0),20)</f>
        <v>#N/A</v>
      </c>
      <c r="AJ63" s="108" t="str">
        <f>IF(L63="Yes",AI63*Tab_Data_Flows[[#This Row],[Flow_Py]]*Tab_Data_Flows[[#This Row],[DM_'[%']]],"N.A.")</f>
        <v>N.A.</v>
      </c>
      <c r="AK63" s="61">
        <f>Tab_Data_Flows[[#This Row],[UoM_Flow_Py]]</f>
        <v>0</v>
      </c>
    </row>
    <row r="64" spans="1:37" x14ac:dyDescent="0.25">
      <c r="A64" s="60">
        <f t="shared" si="0"/>
        <v>63</v>
      </c>
      <c r="B64" s="49" t="str">
        <f>_xlfn.XLOOKUP(C64,Tab_Def_Flows[Name(EN)],Tab_Def_Flows[Flow_ID],,0,)</f>
        <v>F_12_12</v>
      </c>
      <c r="C64" s="51"/>
      <c r="D64" s="49">
        <f>_xlfn.XLOOKUP(C64,Tab_Def_Flows[Name(EN)],Tab_Def_Flows[Type_Biomass],,0,)</f>
        <v>0</v>
      </c>
      <c r="E64" s="49">
        <f>_xlfn.XLOOKUP(C64,Tab_Def_Flows[Name(EN)],Tab_Def_Flows[Output_Process],,0,)</f>
        <v>0</v>
      </c>
      <c r="F64" s="49" t="str">
        <f>_xlfn.XLOOKUP(C64,Tab_Def_Flows[Name(EN)],Tab_Def_Flows[Process_ID_O],,0,)</f>
        <v>12__</v>
      </c>
      <c r="G64" s="49">
        <f>_xlfn.XLOOKUP(C64,Tab_Def_Flows[Name(EN)],Tab_Def_Flows[Input_Process],,0,)</f>
        <v>0</v>
      </c>
      <c r="H64" s="61" t="str">
        <f>_xlfn.XLOOKUP(C64,Tab_Def_Flows[Name(EN)],Tab_Def_Flows[Process_ID_I],,0,)</f>
        <v>12__</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349</v>
      </c>
      <c r="O64" s="114"/>
      <c r="P64" s="51"/>
      <c r="Q64" s="51"/>
      <c r="R64" s="51"/>
      <c r="S64" s="51"/>
      <c r="T64" s="51"/>
      <c r="U64" s="51"/>
      <c r="V64" s="51"/>
      <c r="W64" s="51"/>
      <c r="X64" s="51" t="s">
        <v>70</v>
      </c>
      <c r="Y64" s="104"/>
      <c r="Z64" s="51"/>
      <c r="AA64" s="85">
        <f t="shared" si="1"/>
        <v>0</v>
      </c>
      <c r="AB64" s="51"/>
      <c r="AC64" s="107" t="e">
        <f>INDEX(Tab_Def_Flows[[Flow_ID]:[CC_DM_source]],MATCH(Tab_Data_Flows[[#This Row],[Name(EN)]],Tab_Def_Flows[Name(EN)],0),16)</f>
        <v>#N/A</v>
      </c>
      <c r="AD64" s="108" t="str">
        <f>IF(J64="Yes",AA64*Tab_Data_Flows[[#This Row],[WC_'[%']]],"N.A.")</f>
        <v>N.A.</v>
      </c>
      <c r="AE64" s="61">
        <f>Tab_Data_Flows[[#This Row],[UoM_Flow_Py]]</f>
        <v>0</v>
      </c>
      <c r="AF64" s="107" t="e">
        <f>INDEX(Tab_Def_Flows[[Flow_ID]:[CC_DM_source]],MATCH(Tab_Data_Flows[[#This Row],[Name(EN)]],Tab_Def_Flows[Name(EN)],0),18)</f>
        <v>#N/A</v>
      </c>
      <c r="AG64" s="108" t="str">
        <f>IF(K64="Yes",AF64*Tab_Data_Flows[[#This Row],[Flow_Py]],"N.A.")</f>
        <v>N.A.</v>
      </c>
      <c r="AH64" s="61">
        <f>Tab_Data_Flows[[#This Row],[UoM_Flow_Py]]</f>
        <v>0</v>
      </c>
      <c r="AI64" s="107" t="e">
        <f>INDEX(Tab_Def_Flows[[Flow_ID]:[CC_DM_source]],MATCH(Tab_Data_Flows[[#This Row],[Name(EN)]],Tab_Def_Flows[Name(EN)],0),20)</f>
        <v>#N/A</v>
      </c>
      <c r="AJ64" s="108" t="str">
        <f>IF(L64="Yes",AI64*Tab_Data_Flows[[#This Row],[Flow_Py]]*Tab_Data_Flows[[#This Row],[DM_'[%']]],"N.A.")</f>
        <v>N.A.</v>
      </c>
      <c r="AK64" s="61">
        <f>Tab_Data_Flows[[#This Row],[UoM_Flow_Py]]</f>
        <v>0</v>
      </c>
    </row>
    <row r="65" spans="1:37" x14ac:dyDescent="0.25">
      <c r="A65" s="60">
        <f t="shared" si="0"/>
        <v>64</v>
      </c>
      <c r="B65" s="49" t="str">
        <f>_xlfn.XLOOKUP(C65,Tab_Def_Flows[Name(EN)],Tab_Def_Flows[Flow_ID],,0,)</f>
        <v>F_12_12</v>
      </c>
      <c r="C65" s="51"/>
      <c r="D65" s="49">
        <f>_xlfn.XLOOKUP(C65,Tab_Def_Flows[Name(EN)],Tab_Def_Flows[Type_Biomass],,0,)</f>
        <v>0</v>
      </c>
      <c r="E65" s="49">
        <f>_xlfn.XLOOKUP(C65,Tab_Def_Flows[Name(EN)],Tab_Def_Flows[Output_Process],,0,)</f>
        <v>0</v>
      </c>
      <c r="F65" s="49" t="str">
        <f>_xlfn.XLOOKUP(C65,Tab_Def_Flows[Name(EN)],Tab_Def_Flows[Process_ID_O],,0,)</f>
        <v>12__</v>
      </c>
      <c r="G65" s="49">
        <f>_xlfn.XLOOKUP(C65,Tab_Def_Flows[Name(EN)],Tab_Def_Flows[Input_Process],,0,)</f>
        <v>0</v>
      </c>
      <c r="H65" s="61" t="str">
        <f>_xlfn.XLOOKUP(C65,Tab_Def_Flows[Name(EN)],Tab_Def_Flows[Process_ID_I],,0,)</f>
        <v>12__</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349</v>
      </c>
      <c r="O65" s="114"/>
      <c r="P65" s="51"/>
      <c r="Q65" s="51"/>
      <c r="R65" s="51"/>
      <c r="S65" s="51"/>
      <c r="T65" s="51"/>
      <c r="U65" s="51"/>
      <c r="V65" s="51"/>
      <c r="W65" s="51"/>
      <c r="X65" s="51" t="s">
        <v>70</v>
      </c>
      <c r="Y65" s="104"/>
      <c r="Z65" s="51"/>
      <c r="AA65" s="85">
        <f t="shared" si="1"/>
        <v>0</v>
      </c>
      <c r="AB65" s="51"/>
      <c r="AC65" s="107" t="e">
        <f>INDEX(Tab_Def_Flows[[Flow_ID]:[CC_DM_source]],MATCH(Tab_Data_Flows[[#This Row],[Name(EN)]],Tab_Def_Flows[Name(EN)],0),16)</f>
        <v>#N/A</v>
      </c>
      <c r="AD65" s="108" t="str">
        <f>IF(J65="Yes",AA65*Tab_Data_Flows[[#This Row],[WC_'[%']]],"N.A.")</f>
        <v>N.A.</v>
      </c>
      <c r="AE65" s="61">
        <f>Tab_Data_Flows[[#This Row],[UoM_Flow_Py]]</f>
        <v>0</v>
      </c>
      <c r="AF65" s="107" t="e">
        <f>INDEX(Tab_Def_Flows[[Flow_ID]:[CC_DM_source]],MATCH(Tab_Data_Flows[[#This Row],[Name(EN)]],Tab_Def_Flows[Name(EN)],0),18)</f>
        <v>#N/A</v>
      </c>
      <c r="AG65" s="108" t="str">
        <f>IF(K65="Yes",AF65*Tab_Data_Flows[[#This Row],[Flow_Py]],"N.A.")</f>
        <v>N.A.</v>
      </c>
      <c r="AH65" s="61">
        <f>Tab_Data_Flows[[#This Row],[UoM_Flow_Py]]</f>
        <v>0</v>
      </c>
      <c r="AI65" s="107" t="e">
        <f>INDEX(Tab_Def_Flows[[Flow_ID]:[CC_DM_source]],MATCH(Tab_Data_Flows[[#This Row],[Name(EN)]],Tab_Def_Flows[Name(EN)],0),20)</f>
        <v>#N/A</v>
      </c>
      <c r="AJ65" s="108" t="str">
        <f>IF(L65="Yes",AI65*Tab_Data_Flows[[#This Row],[Flow_Py]]*Tab_Data_Flows[[#This Row],[DM_'[%']]],"N.A.")</f>
        <v>N.A.</v>
      </c>
      <c r="AK65" s="61">
        <f>Tab_Data_Flows[[#This Row],[UoM_Flow_Py]]</f>
        <v>0</v>
      </c>
    </row>
    <row r="66" spans="1:37" x14ac:dyDescent="0.25">
      <c r="A66" s="60">
        <f t="shared" si="0"/>
        <v>65</v>
      </c>
      <c r="B66" s="49" t="str">
        <f>_xlfn.XLOOKUP(C66,Tab_Def_Flows[Name(EN)],Tab_Def_Flows[Flow_ID],,0,)</f>
        <v>F_12_12</v>
      </c>
      <c r="C66" s="51"/>
      <c r="D66" s="49">
        <f>_xlfn.XLOOKUP(C66,Tab_Def_Flows[Name(EN)],Tab_Def_Flows[Type_Biomass],,0,)</f>
        <v>0</v>
      </c>
      <c r="E66" s="49">
        <f>_xlfn.XLOOKUP(C66,Tab_Def_Flows[Name(EN)],Tab_Def_Flows[Output_Process],,0,)</f>
        <v>0</v>
      </c>
      <c r="F66" s="49" t="str">
        <f>_xlfn.XLOOKUP(C66,Tab_Def_Flows[Name(EN)],Tab_Def_Flows[Process_ID_O],,0,)</f>
        <v>12__</v>
      </c>
      <c r="G66" s="49">
        <f>_xlfn.XLOOKUP(C66,Tab_Def_Flows[Name(EN)],Tab_Def_Flows[Input_Process],,0,)</f>
        <v>0</v>
      </c>
      <c r="H66" s="61" t="str">
        <f>_xlfn.XLOOKUP(C66,Tab_Def_Flows[Name(EN)],Tab_Def_Flows[Process_ID_I],,0,)</f>
        <v>12__</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349</v>
      </c>
      <c r="O66" s="114"/>
      <c r="P66" s="51"/>
      <c r="Q66" s="51"/>
      <c r="R66" s="51"/>
      <c r="S66" s="51"/>
      <c r="T66" s="51"/>
      <c r="U66" s="51"/>
      <c r="V66" s="51"/>
      <c r="W66" s="51"/>
      <c r="X66" s="51" t="s">
        <v>70</v>
      </c>
      <c r="Y66" s="104"/>
      <c r="Z66" s="51"/>
      <c r="AA66" s="85">
        <f t="shared" si="1"/>
        <v>0</v>
      </c>
      <c r="AB66" s="51"/>
      <c r="AC66" s="107" t="e">
        <f>INDEX(Tab_Def_Flows[[Flow_ID]:[CC_DM_source]],MATCH(Tab_Data_Flows[[#This Row],[Name(EN)]],Tab_Def_Flows[Name(EN)],0),16)</f>
        <v>#N/A</v>
      </c>
      <c r="AD66" s="108" t="str">
        <f>IF(J66="Yes",AA66*Tab_Data_Flows[[#This Row],[WC_'[%']]],"N.A.")</f>
        <v>N.A.</v>
      </c>
      <c r="AE66" s="61">
        <f>Tab_Data_Flows[[#This Row],[UoM_Flow_Py]]</f>
        <v>0</v>
      </c>
      <c r="AF66" s="107" t="e">
        <f>INDEX(Tab_Def_Flows[[Flow_ID]:[CC_DM_source]],MATCH(Tab_Data_Flows[[#This Row],[Name(EN)]],Tab_Def_Flows[Name(EN)],0),18)</f>
        <v>#N/A</v>
      </c>
      <c r="AG66" s="108" t="str">
        <f>IF(K66="Yes",AF66*Tab_Data_Flows[[#This Row],[Flow_Py]],"N.A.")</f>
        <v>N.A.</v>
      </c>
      <c r="AH66" s="61">
        <f>Tab_Data_Flows[[#This Row],[UoM_Flow_Py]]</f>
        <v>0</v>
      </c>
      <c r="AI66" s="107" t="e">
        <f>INDEX(Tab_Def_Flows[[Flow_ID]:[CC_DM_source]],MATCH(Tab_Data_Flows[[#This Row],[Name(EN)]],Tab_Def_Flows[Name(EN)],0),20)</f>
        <v>#N/A</v>
      </c>
      <c r="AJ66" s="108" t="str">
        <f>IF(L66="Yes",AI66*Tab_Data_Flows[[#This Row],[Flow_Py]]*Tab_Data_Flows[[#This Row],[DM_'[%']]],"N.A.")</f>
        <v>N.A.</v>
      </c>
      <c r="AK66" s="61">
        <f>Tab_Data_Flows[[#This Row],[UoM_Flow_Py]]</f>
        <v>0</v>
      </c>
    </row>
    <row r="67" spans="1:37" x14ac:dyDescent="0.25">
      <c r="A67" s="60">
        <f t="shared" ref="A67:A130" si="2">ROW()-1</f>
        <v>66</v>
      </c>
      <c r="B67" s="49" t="str">
        <f>_xlfn.XLOOKUP(C67,Tab_Def_Flows[Name(EN)],Tab_Def_Flows[Flow_ID],,0,)</f>
        <v>F_12_12</v>
      </c>
      <c r="C67" s="51"/>
      <c r="D67" s="49"/>
      <c r="E67" s="49">
        <f>_xlfn.XLOOKUP(C67,Tab_Def_Flows[Name(EN)],Tab_Def_Flows[Output_Process],,0,)</f>
        <v>0</v>
      </c>
      <c r="F67" s="49" t="str">
        <f>_xlfn.XLOOKUP(C67,Tab_Def_Flows[Name(EN)],Tab_Def_Flows[Process_ID_O],,0,)</f>
        <v>12__</v>
      </c>
      <c r="G67" s="49">
        <f>_xlfn.XLOOKUP(C67,Tab_Def_Flows[Name(EN)],Tab_Def_Flows[Input_Process],,0,)</f>
        <v>0</v>
      </c>
      <c r="H67" s="61" t="str">
        <f>_xlfn.XLOOKUP(C67,Tab_Def_Flows[Name(EN)],Tab_Def_Flows[Process_ID_I],,0,)</f>
        <v>12__</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c r="AC67" s="107" t="e">
        <f>INDEX(Tab_Def_Flows[[Flow_ID]:[CC_DM_source]],MATCH(Tab_Data_Flows[[#This Row],[Name(EN)]],Tab_Def_Flows[Name(EN)],0),16)</f>
        <v>#N/A</v>
      </c>
      <c r="AD67" s="108" t="str">
        <f>IF(J67="Yes",AA67*Tab_Data_Flows[[#This Row],[WC_'[%']]],"N.A.")</f>
        <v>N.A.</v>
      </c>
      <c r="AE67" s="61">
        <f>Tab_Data_Flows[[#This Row],[UoM_Flow_Py]]</f>
        <v>0</v>
      </c>
      <c r="AF67" s="107" t="e">
        <f>INDEX(Tab_Def_Flows[[Flow_ID]:[CC_DM_source]],MATCH(Tab_Data_Flows[[#This Row],[Name(EN)]],Tab_Def_Flows[Name(EN)],0),18)</f>
        <v>#N/A</v>
      </c>
      <c r="AG67" s="108" t="str">
        <f>IF(K67="Yes",AF67*Tab_Data_Flows[[#This Row],[Flow_Py]],"N.A.")</f>
        <v>N.A.</v>
      </c>
      <c r="AH67" s="61">
        <f>Tab_Data_Flows[[#This Row],[UoM_Flow_Py]]</f>
        <v>0</v>
      </c>
      <c r="AI67" s="107" t="e">
        <f>INDEX(Tab_Def_Flows[[Flow_ID]:[CC_DM_source]],MATCH(Tab_Data_Flows[[#This Row],[Name(EN)]],Tab_Def_Flows[Name(EN)],0),20)</f>
        <v>#N/A</v>
      </c>
      <c r="AJ67" s="108" t="str">
        <f>IF(L67="Yes",AI67*Tab_Data_Flows[[#This Row],[Flow_Py]]*Tab_Data_Flows[[#This Row],[DM_'[%']]],"N.A.")</f>
        <v>N.A.</v>
      </c>
      <c r="AK67" s="61">
        <f>Tab_Data_Flows[[#This Row],[UoM_Flow_Py]]</f>
        <v>0</v>
      </c>
    </row>
    <row r="68" spans="1:37" x14ac:dyDescent="0.25">
      <c r="A68" s="60">
        <f t="shared" si="2"/>
        <v>67</v>
      </c>
      <c r="B68" s="49" t="str">
        <f>_xlfn.XLOOKUP(C68,Tab_Def_Flows[Name(EN)],Tab_Def_Flows[Flow_ID],,0,)</f>
        <v>F_12_12</v>
      </c>
      <c r="C68" s="51"/>
      <c r="D68" s="49"/>
      <c r="E68" s="49">
        <f>_xlfn.XLOOKUP(C68,Tab_Def_Flows[Name(EN)],Tab_Def_Flows[Output_Process],,0,)</f>
        <v>0</v>
      </c>
      <c r="F68" s="49" t="str">
        <f>_xlfn.XLOOKUP(C68,Tab_Def_Flows[Name(EN)],Tab_Def_Flows[Process_ID_O],,0,)</f>
        <v>12__</v>
      </c>
      <c r="G68" s="49">
        <f>_xlfn.XLOOKUP(C68,Tab_Def_Flows[Name(EN)],Tab_Def_Flows[Input_Process],,0,)</f>
        <v>0</v>
      </c>
      <c r="H68" s="61" t="str">
        <f>_xlfn.XLOOKUP(C68,Tab_Def_Flows[Name(EN)],Tab_Def_Flows[Process_ID_I],,0,)</f>
        <v>12__</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c r="AC68" s="107" t="e">
        <f>INDEX(Tab_Def_Flows[[Flow_ID]:[CC_DM_source]],MATCH(Tab_Data_Flows[[#This Row],[Name(EN)]],Tab_Def_Flows[Name(EN)],0),16)</f>
        <v>#N/A</v>
      </c>
      <c r="AD68" s="108" t="str">
        <f>IF(J68="Yes",AA68*Tab_Data_Flows[[#This Row],[WC_'[%']]],"N.A.")</f>
        <v>N.A.</v>
      </c>
      <c r="AE68" s="61">
        <f>Tab_Data_Flows[[#This Row],[UoM_Flow_Py]]</f>
        <v>0</v>
      </c>
      <c r="AF68" s="107" t="e">
        <f>INDEX(Tab_Def_Flows[[Flow_ID]:[CC_DM_source]],MATCH(Tab_Data_Flows[[#This Row],[Name(EN)]],Tab_Def_Flows[Name(EN)],0),18)</f>
        <v>#N/A</v>
      </c>
      <c r="AG68" s="108" t="str">
        <f>IF(K68="Yes",AF68*Tab_Data_Flows[[#This Row],[Flow_Py]],"N.A.")</f>
        <v>N.A.</v>
      </c>
      <c r="AH68" s="61">
        <f>Tab_Data_Flows[[#This Row],[UoM_Flow_Py]]</f>
        <v>0</v>
      </c>
      <c r="AI68" s="107" t="e">
        <f>INDEX(Tab_Def_Flows[[Flow_ID]:[CC_DM_source]],MATCH(Tab_Data_Flows[[#This Row],[Name(EN)]],Tab_Def_Flows[Name(EN)],0),20)</f>
        <v>#N/A</v>
      </c>
      <c r="AJ68" s="108" t="str">
        <f>IF(L68="Yes",AI68*Tab_Data_Flows[[#This Row],[Flow_Py]]*Tab_Data_Flows[[#This Row],[DM_'[%']]],"N.A.")</f>
        <v>N.A.</v>
      </c>
      <c r="AK68" s="61">
        <f>Tab_Data_Flows[[#This Row],[UoM_Flow_Py]]</f>
        <v>0</v>
      </c>
    </row>
    <row r="69" spans="1:37" x14ac:dyDescent="0.25">
      <c r="A69" s="60">
        <f t="shared" si="2"/>
        <v>68</v>
      </c>
      <c r="B69" s="49" t="str">
        <f>_xlfn.XLOOKUP(C69,Tab_Def_Flows[Name(EN)],Tab_Def_Flows[Flow_ID],,0,)</f>
        <v>F_12_12</v>
      </c>
      <c r="C69" s="51"/>
      <c r="D69" s="49"/>
      <c r="E69" s="49">
        <f>_xlfn.XLOOKUP(C69,Tab_Def_Flows[Name(EN)],Tab_Def_Flows[Output_Process],,0,)</f>
        <v>0</v>
      </c>
      <c r="F69" s="49" t="str">
        <f>_xlfn.XLOOKUP(C69,Tab_Def_Flows[Name(EN)],Tab_Def_Flows[Process_ID_O],,0,)</f>
        <v>12__</v>
      </c>
      <c r="G69" s="49">
        <f>_xlfn.XLOOKUP(C69,Tab_Def_Flows[Name(EN)],Tab_Def_Flows[Input_Process],,0,)</f>
        <v>0</v>
      </c>
      <c r="H69" s="61" t="str">
        <f>_xlfn.XLOOKUP(C69,Tab_Def_Flows[Name(EN)],Tab_Def_Flows[Process_ID_I],,0,)</f>
        <v>12__</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c r="AC69" s="107" t="e">
        <f>INDEX(Tab_Def_Flows[[Flow_ID]:[CC_DM_source]],MATCH(Tab_Data_Flows[[#This Row],[Name(EN)]],Tab_Def_Flows[Name(EN)],0),16)</f>
        <v>#N/A</v>
      </c>
      <c r="AD69" s="108" t="str">
        <f>IF(J69="Yes",AA69*Tab_Data_Flows[[#This Row],[WC_'[%']]],"N.A.")</f>
        <v>N.A.</v>
      </c>
      <c r="AE69" s="61">
        <f>Tab_Data_Flows[[#This Row],[UoM_Flow_Py]]</f>
        <v>0</v>
      </c>
      <c r="AF69" s="107" t="e">
        <f>INDEX(Tab_Def_Flows[[Flow_ID]:[CC_DM_source]],MATCH(Tab_Data_Flows[[#This Row],[Name(EN)]],Tab_Def_Flows[Name(EN)],0),18)</f>
        <v>#N/A</v>
      </c>
      <c r="AG69" s="108" t="str">
        <f>IF(K69="Yes",AF69*Tab_Data_Flows[[#This Row],[Flow_Py]],"N.A.")</f>
        <v>N.A.</v>
      </c>
      <c r="AH69" s="61">
        <f>Tab_Data_Flows[[#This Row],[UoM_Flow_Py]]</f>
        <v>0</v>
      </c>
      <c r="AI69" s="107" t="e">
        <f>INDEX(Tab_Def_Flows[[Flow_ID]:[CC_DM_source]],MATCH(Tab_Data_Flows[[#This Row],[Name(EN)]],Tab_Def_Flows[Name(EN)],0),20)</f>
        <v>#N/A</v>
      </c>
      <c r="AJ69" s="108" t="str">
        <f>IF(L69="Yes",AI69*Tab_Data_Flows[[#This Row],[Flow_Py]]*Tab_Data_Flows[[#This Row],[DM_'[%']]],"N.A.")</f>
        <v>N.A.</v>
      </c>
      <c r="AK69" s="61">
        <f>Tab_Data_Flows[[#This Row],[UoM_Flow_Py]]</f>
        <v>0</v>
      </c>
    </row>
    <row r="70" spans="1:37" x14ac:dyDescent="0.25">
      <c r="A70" s="60">
        <f t="shared" si="2"/>
        <v>69</v>
      </c>
      <c r="B70" s="49" t="str">
        <f>_xlfn.XLOOKUP(C70,Tab_Def_Flows[Name(EN)],Tab_Def_Flows[Flow_ID],,0,)</f>
        <v>F_12_12</v>
      </c>
      <c r="C70" s="51"/>
      <c r="D70" s="49"/>
      <c r="E70" s="49">
        <f>_xlfn.XLOOKUP(C70,Tab_Def_Flows[Name(EN)],Tab_Def_Flows[Output_Process],,0,)</f>
        <v>0</v>
      </c>
      <c r="F70" s="49" t="str">
        <f>_xlfn.XLOOKUP(C70,Tab_Def_Flows[Name(EN)],Tab_Def_Flows[Process_ID_O],,0,)</f>
        <v>12__</v>
      </c>
      <c r="G70" s="49">
        <f>_xlfn.XLOOKUP(C70,Tab_Def_Flows[Name(EN)],Tab_Def_Flows[Input_Process],,0,)</f>
        <v>0</v>
      </c>
      <c r="H70" s="61" t="str">
        <f>_xlfn.XLOOKUP(C70,Tab_Def_Flows[Name(EN)],Tab_Def_Flows[Process_ID_I],,0,)</f>
        <v>12__</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c r="AC70" s="107" t="e">
        <f>INDEX(Tab_Def_Flows[[Flow_ID]:[CC_DM_source]],MATCH(Tab_Data_Flows[[#This Row],[Name(EN)]],Tab_Def_Flows[Name(EN)],0),16)</f>
        <v>#N/A</v>
      </c>
      <c r="AD70" s="108" t="str">
        <f>IF(J70="Yes",AA70*Tab_Data_Flows[[#This Row],[WC_'[%']]],"N.A.")</f>
        <v>N.A.</v>
      </c>
      <c r="AE70" s="61">
        <f>Tab_Data_Flows[[#This Row],[UoM_Flow_Py]]</f>
        <v>0</v>
      </c>
      <c r="AF70" s="107" t="e">
        <f>INDEX(Tab_Def_Flows[[Flow_ID]:[CC_DM_source]],MATCH(Tab_Data_Flows[[#This Row],[Name(EN)]],Tab_Def_Flows[Name(EN)],0),18)</f>
        <v>#N/A</v>
      </c>
      <c r="AG70" s="108" t="str">
        <f>IF(K70="Yes",AF70*Tab_Data_Flows[[#This Row],[Flow_Py]],"N.A.")</f>
        <v>N.A.</v>
      </c>
      <c r="AH70" s="61">
        <f>Tab_Data_Flows[[#This Row],[UoM_Flow_Py]]</f>
        <v>0</v>
      </c>
      <c r="AI70" s="107" t="e">
        <f>INDEX(Tab_Def_Flows[[Flow_ID]:[CC_DM_source]],MATCH(Tab_Data_Flows[[#This Row],[Name(EN)]],Tab_Def_Flows[Name(EN)],0),20)</f>
        <v>#N/A</v>
      </c>
      <c r="AJ70" s="108" t="str">
        <f>IF(L70="Yes",AI70*Tab_Data_Flows[[#This Row],[Flow_Py]]*Tab_Data_Flows[[#This Row],[DM_'[%']]],"N.A.")</f>
        <v>N.A.</v>
      </c>
      <c r="AK70" s="61">
        <f>Tab_Data_Flows[[#This Row],[UoM_Flow_Py]]</f>
        <v>0</v>
      </c>
    </row>
    <row r="71" spans="1:37" x14ac:dyDescent="0.25">
      <c r="A71" s="60">
        <f t="shared" si="2"/>
        <v>70</v>
      </c>
      <c r="B71" s="49" t="str">
        <f>_xlfn.XLOOKUP(C71,Tab_Def_Flows[Name(EN)],Tab_Def_Flows[Flow_ID],,0,)</f>
        <v>F_12_12</v>
      </c>
      <c r="C71" s="51"/>
      <c r="D71" s="49"/>
      <c r="E71" s="49">
        <f>_xlfn.XLOOKUP(C71,Tab_Def_Flows[Name(EN)],Tab_Def_Flows[Output_Process],,0,)</f>
        <v>0</v>
      </c>
      <c r="F71" s="49" t="str">
        <f>_xlfn.XLOOKUP(C71,Tab_Def_Flows[Name(EN)],Tab_Def_Flows[Process_ID_O],,0,)</f>
        <v>12__</v>
      </c>
      <c r="G71" s="49">
        <f>_xlfn.XLOOKUP(C71,Tab_Def_Flows[Name(EN)],Tab_Def_Flows[Input_Process],,0,)</f>
        <v>0</v>
      </c>
      <c r="H71" s="61" t="str">
        <f>_xlfn.XLOOKUP(C71,Tab_Def_Flows[Name(EN)],Tab_Def_Flows[Process_ID_I],,0,)</f>
        <v>12__</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c r="AC71" s="107" t="e">
        <f>INDEX(Tab_Def_Flows[[Flow_ID]:[CC_DM_source]],MATCH(Tab_Data_Flows[[#This Row],[Name(EN)]],Tab_Def_Flows[Name(EN)],0),16)</f>
        <v>#N/A</v>
      </c>
      <c r="AD71" s="108" t="str">
        <f>IF(J71="Yes",AA71*Tab_Data_Flows[[#This Row],[WC_'[%']]],"N.A.")</f>
        <v>N.A.</v>
      </c>
      <c r="AE71" s="61">
        <f>Tab_Data_Flows[[#This Row],[UoM_Flow_Py]]</f>
        <v>0</v>
      </c>
      <c r="AF71" s="107" t="e">
        <f>INDEX(Tab_Def_Flows[[Flow_ID]:[CC_DM_source]],MATCH(Tab_Data_Flows[[#This Row],[Name(EN)]],Tab_Def_Flows[Name(EN)],0),18)</f>
        <v>#N/A</v>
      </c>
      <c r="AG71" s="108" t="str">
        <f>IF(K71="Yes",AF71*Tab_Data_Flows[[#This Row],[Flow_Py]],"N.A.")</f>
        <v>N.A.</v>
      </c>
      <c r="AH71" s="61">
        <f>Tab_Data_Flows[[#This Row],[UoM_Flow_Py]]</f>
        <v>0</v>
      </c>
      <c r="AI71" s="107" t="e">
        <f>INDEX(Tab_Def_Flows[[Flow_ID]:[CC_DM_source]],MATCH(Tab_Data_Flows[[#This Row],[Name(EN)]],Tab_Def_Flows[Name(EN)],0),20)</f>
        <v>#N/A</v>
      </c>
      <c r="AJ71" s="108" t="str">
        <f>IF(L71="Yes",AI71*Tab_Data_Flows[[#This Row],[Flow_Py]]*Tab_Data_Flows[[#This Row],[DM_'[%']]],"N.A.")</f>
        <v>N.A.</v>
      </c>
      <c r="AK71" s="61">
        <f>Tab_Data_Flows[[#This Row],[UoM_Flow_Py]]</f>
        <v>0</v>
      </c>
    </row>
    <row r="72" spans="1:37" x14ac:dyDescent="0.25">
      <c r="A72" s="60">
        <f t="shared" si="2"/>
        <v>71</v>
      </c>
      <c r="B72" s="49" t="str">
        <f>_xlfn.XLOOKUP(C72,Tab_Def_Flows[Name(EN)],Tab_Def_Flows[Flow_ID],,0,)</f>
        <v>F_12_12</v>
      </c>
      <c r="C72" s="51"/>
      <c r="D72" s="49"/>
      <c r="E72" s="49">
        <f>_xlfn.XLOOKUP(C72,Tab_Def_Flows[Name(EN)],Tab_Def_Flows[Output_Process],,0,)</f>
        <v>0</v>
      </c>
      <c r="F72" s="49" t="str">
        <f>_xlfn.XLOOKUP(C72,Tab_Def_Flows[Name(EN)],Tab_Def_Flows[Process_ID_O],,0,)</f>
        <v>12__</v>
      </c>
      <c r="G72" s="49">
        <f>_xlfn.XLOOKUP(C72,Tab_Def_Flows[Name(EN)],Tab_Def_Flows[Input_Process],,0,)</f>
        <v>0</v>
      </c>
      <c r="H72" s="61" t="str">
        <f>_xlfn.XLOOKUP(C72,Tab_Def_Flows[Name(EN)],Tab_Def_Flows[Process_ID_I],,0,)</f>
        <v>12__</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c r="AC72" s="107" t="e">
        <f>INDEX(Tab_Def_Flows[[Flow_ID]:[CC_DM_source]],MATCH(Tab_Data_Flows[[#This Row],[Name(EN)]],Tab_Def_Flows[Name(EN)],0),16)</f>
        <v>#N/A</v>
      </c>
      <c r="AD72" s="108" t="str">
        <f>IF(J72="Yes",AA72*Tab_Data_Flows[[#This Row],[WC_'[%']]],"N.A.")</f>
        <v>N.A.</v>
      </c>
      <c r="AE72" s="61">
        <f>Tab_Data_Flows[[#This Row],[UoM_Flow_Py]]</f>
        <v>0</v>
      </c>
      <c r="AF72" s="107" t="e">
        <f>INDEX(Tab_Def_Flows[[Flow_ID]:[CC_DM_source]],MATCH(Tab_Data_Flows[[#This Row],[Name(EN)]],Tab_Def_Flows[Name(EN)],0),18)</f>
        <v>#N/A</v>
      </c>
      <c r="AG72" s="108" t="str">
        <f>IF(K72="Yes",AF72*Tab_Data_Flows[[#This Row],[Flow_Py]],"N.A.")</f>
        <v>N.A.</v>
      </c>
      <c r="AH72" s="61">
        <f>Tab_Data_Flows[[#This Row],[UoM_Flow_Py]]</f>
        <v>0</v>
      </c>
      <c r="AI72" s="107" t="e">
        <f>INDEX(Tab_Def_Flows[[Flow_ID]:[CC_DM_source]],MATCH(Tab_Data_Flows[[#This Row],[Name(EN)]],Tab_Def_Flows[Name(EN)],0),20)</f>
        <v>#N/A</v>
      </c>
      <c r="AJ72" s="108" t="str">
        <f>IF(L72="Yes",AI72*Tab_Data_Flows[[#This Row],[Flow_Py]]*Tab_Data_Flows[[#This Row],[DM_'[%']]],"N.A.")</f>
        <v>N.A.</v>
      </c>
      <c r="AK72" s="61">
        <f>Tab_Data_Flows[[#This Row],[UoM_Flow_Py]]</f>
        <v>0</v>
      </c>
    </row>
    <row r="73" spans="1:37" x14ac:dyDescent="0.25">
      <c r="A73" s="60">
        <f t="shared" si="2"/>
        <v>72</v>
      </c>
      <c r="B73" s="49" t="str">
        <f>_xlfn.XLOOKUP(C73,Tab_Def_Flows[Name(EN)],Tab_Def_Flows[Flow_ID],,0,)</f>
        <v>F_12_12</v>
      </c>
      <c r="C73" s="51"/>
      <c r="D73" s="49"/>
      <c r="E73" s="49">
        <f>_xlfn.XLOOKUP(C73,Tab_Def_Flows[Name(EN)],Tab_Def_Flows[Output_Process],,0,)</f>
        <v>0</v>
      </c>
      <c r="F73" s="49" t="str">
        <f>_xlfn.XLOOKUP(C73,Tab_Def_Flows[Name(EN)],Tab_Def_Flows[Process_ID_O],,0,)</f>
        <v>12__</v>
      </c>
      <c r="G73" s="49">
        <f>_xlfn.XLOOKUP(C73,Tab_Def_Flows[Name(EN)],Tab_Def_Flows[Input_Process],,0,)</f>
        <v>0</v>
      </c>
      <c r="H73" s="61" t="str">
        <f>_xlfn.XLOOKUP(C73,Tab_Def_Flows[Name(EN)],Tab_Def_Flows[Process_ID_I],,0,)</f>
        <v>12__</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c r="AC73" s="107" t="e">
        <f>INDEX(Tab_Def_Flows[[Flow_ID]:[CC_DM_source]],MATCH(Tab_Data_Flows[[#This Row],[Name(EN)]],Tab_Def_Flows[Name(EN)],0),16)</f>
        <v>#N/A</v>
      </c>
      <c r="AD73" s="108" t="str">
        <f>IF(J73="Yes",AA73*Tab_Data_Flows[[#This Row],[WC_'[%']]],"N.A.")</f>
        <v>N.A.</v>
      </c>
      <c r="AE73" s="61">
        <f>Tab_Data_Flows[[#This Row],[UoM_Flow_Py]]</f>
        <v>0</v>
      </c>
      <c r="AF73" s="107" t="e">
        <f>INDEX(Tab_Def_Flows[[Flow_ID]:[CC_DM_source]],MATCH(Tab_Data_Flows[[#This Row],[Name(EN)]],Tab_Def_Flows[Name(EN)],0),18)</f>
        <v>#N/A</v>
      </c>
      <c r="AG73" s="108" t="str">
        <f>IF(K73="Yes",AF73*Tab_Data_Flows[[#This Row],[Flow_Py]],"N.A.")</f>
        <v>N.A.</v>
      </c>
      <c r="AH73" s="61">
        <f>Tab_Data_Flows[[#This Row],[UoM_Flow_Py]]</f>
        <v>0</v>
      </c>
      <c r="AI73" s="107" t="e">
        <f>INDEX(Tab_Def_Flows[[Flow_ID]:[CC_DM_source]],MATCH(Tab_Data_Flows[[#This Row],[Name(EN)]],Tab_Def_Flows[Name(EN)],0),20)</f>
        <v>#N/A</v>
      </c>
      <c r="AJ73" s="108" t="str">
        <f>IF(L73="Yes",AI73*Tab_Data_Flows[[#This Row],[Flow_Py]]*Tab_Data_Flows[[#This Row],[DM_'[%']]],"N.A.")</f>
        <v>N.A.</v>
      </c>
      <c r="AK73" s="61">
        <f>Tab_Data_Flows[[#This Row],[UoM_Flow_Py]]</f>
        <v>0</v>
      </c>
    </row>
    <row r="74" spans="1:37" x14ac:dyDescent="0.25">
      <c r="A74" s="60">
        <f t="shared" si="2"/>
        <v>73</v>
      </c>
      <c r="B74" s="49" t="str">
        <f>_xlfn.XLOOKUP(C74,Tab_Def_Flows[Name(EN)],Tab_Def_Flows[Flow_ID],,0,)</f>
        <v>F_12_12</v>
      </c>
      <c r="C74" s="51"/>
      <c r="D74" s="49"/>
      <c r="E74" s="49">
        <f>_xlfn.XLOOKUP(C74,Tab_Def_Flows[Name(EN)],Tab_Def_Flows[Output_Process],,0,)</f>
        <v>0</v>
      </c>
      <c r="F74" s="49" t="str">
        <f>_xlfn.XLOOKUP(C74,Tab_Def_Flows[Name(EN)],Tab_Def_Flows[Process_ID_O],,0,)</f>
        <v>12__</v>
      </c>
      <c r="G74" s="49">
        <f>_xlfn.XLOOKUP(C74,Tab_Def_Flows[Name(EN)],Tab_Def_Flows[Input_Process],,0,)</f>
        <v>0</v>
      </c>
      <c r="H74" s="61" t="str">
        <f>_xlfn.XLOOKUP(C74,Tab_Def_Flows[Name(EN)],Tab_Def_Flows[Process_ID_I],,0,)</f>
        <v>12__</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c r="AC74" s="107" t="e">
        <f>INDEX(Tab_Def_Flows[[Flow_ID]:[CC_DM_source]],MATCH(Tab_Data_Flows[[#This Row],[Name(EN)]],Tab_Def_Flows[Name(EN)],0),16)</f>
        <v>#N/A</v>
      </c>
      <c r="AD74" s="108" t="str">
        <f>IF(J74="Yes",AA74*Tab_Data_Flows[[#This Row],[WC_'[%']]],"N.A.")</f>
        <v>N.A.</v>
      </c>
      <c r="AE74" s="61">
        <f>Tab_Data_Flows[[#This Row],[UoM_Flow_Py]]</f>
        <v>0</v>
      </c>
      <c r="AF74" s="107" t="e">
        <f>INDEX(Tab_Def_Flows[[Flow_ID]:[CC_DM_source]],MATCH(Tab_Data_Flows[[#This Row],[Name(EN)]],Tab_Def_Flows[Name(EN)],0),18)</f>
        <v>#N/A</v>
      </c>
      <c r="AG74" s="108" t="str">
        <f>IF(K74="Yes",AF74*Tab_Data_Flows[[#This Row],[Flow_Py]],"N.A.")</f>
        <v>N.A.</v>
      </c>
      <c r="AH74" s="61">
        <f>Tab_Data_Flows[[#This Row],[UoM_Flow_Py]]</f>
        <v>0</v>
      </c>
      <c r="AI74" s="107" t="e">
        <f>INDEX(Tab_Def_Flows[[Flow_ID]:[CC_DM_source]],MATCH(Tab_Data_Flows[[#This Row],[Name(EN)]],Tab_Def_Flows[Name(EN)],0),20)</f>
        <v>#N/A</v>
      </c>
      <c r="AJ74" s="108" t="str">
        <f>IF(L74="Yes",AI74*Tab_Data_Flows[[#This Row],[Flow_Py]]*Tab_Data_Flows[[#This Row],[DM_'[%']]],"N.A.")</f>
        <v>N.A.</v>
      </c>
      <c r="AK74" s="61">
        <f>Tab_Data_Flows[[#This Row],[UoM_Flow_Py]]</f>
        <v>0</v>
      </c>
    </row>
    <row r="75" spans="1:37" x14ac:dyDescent="0.25">
      <c r="A75" s="60">
        <f t="shared" si="2"/>
        <v>74</v>
      </c>
      <c r="B75" s="49" t="str">
        <f>_xlfn.XLOOKUP(C75,Tab_Def_Flows[Name(EN)],Tab_Def_Flows[Flow_ID],,0,)</f>
        <v>F_12_12</v>
      </c>
      <c r="C75" s="51"/>
      <c r="D75" s="49"/>
      <c r="E75" s="49">
        <f>_xlfn.XLOOKUP(C75,Tab_Def_Flows[Name(EN)],Tab_Def_Flows[Output_Process],,0,)</f>
        <v>0</v>
      </c>
      <c r="F75" s="49" t="str">
        <f>_xlfn.XLOOKUP(C75,Tab_Def_Flows[Name(EN)],Tab_Def_Flows[Process_ID_O],,0,)</f>
        <v>12__</v>
      </c>
      <c r="G75" s="49">
        <f>_xlfn.XLOOKUP(C75,Tab_Def_Flows[Name(EN)],Tab_Def_Flows[Input_Process],,0,)</f>
        <v>0</v>
      </c>
      <c r="H75" s="61" t="str">
        <f>_xlfn.XLOOKUP(C75,Tab_Def_Flows[Name(EN)],Tab_Def_Flows[Process_ID_I],,0,)</f>
        <v>12__</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c r="AC75" s="107" t="e">
        <f>INDEX(Tab_Def_Flows[[Flow_ID]:[CC_DM_source]],MATCH(Tab_Data_Flows[[#This Row],[Name(EN)]],Tab_Def_Flows[Name(EN)],0),16)</f>
        <v>#N/A</v>
      </c>
      <c r="AD75" s="108" t="str">
        <f>IF(J75="Yes",AA75*Tab_Data_Flows[[#This Row],[WC_'[%']]],"N.A.")</f>
        <v>N.A.</v>
      </c>
      <c r="AE75" s="61">
        <f>Tab_Data_Flows[[#This Row],[UoM_Flow_Py]]</f>
        <v>0</v>
      </c>
      <c r="AF75" s="107" t="e">
        <f>INDEX(Tab_Def_Flows[[Flow_ID]:[CC_DM_source]],MATCH(Tab_Data_Flows[[#This Row],[Name(EN)]],Tab_Def_Flows[Name(EN)],0),18)</f>
        <v>#N/A</v>
      </c>
      <c r="AG75" s="108" t="str">
        <f>IF(K75="Yes",AF75*Tab_Data_Flows[[#This Row],[Flow_Py]],"N.A.")</f>
        <v>N.A.</v>
      </c>
      <c r="AH75" s="61">
        <f>Tab_Data_Flows[[#This Row],[UoM_Flow_Py]]</f>
        <v>0</v>
      </c>
      <c r="AI75" s="107" t="e">
        <f>INDEX(Tab_Def_Flows[[Flow_ID]:[CC_DM_source]],MATCH(Tab_Data_Flows[[#This Row],[Name(EN)]],Tab_Def_Flows[Name(EN)],0),20)</f>
        <v>#N/A</v>
      </c>
      <c r="AJ75" s="108" t="str">
        <f>IF(L75="Yes",AI75*Tab_Data_Flows[[#This Row],[Flow_Py]]*Tab_Data_Flows[[#This Row],[DM_'[%']]],"N.A.")</f>
        <v>N.A.</v>
      </c>
      <c r="AK75" s="61">
        <f>Tab_Data_Flows[[#This Row],[UoM_Flow_Py]]</f>
        <v>0</v>
      </c>
    </row>
    <row r="76" spans="1:37" x14ac:dyDescent="0.25">
      <c r="A76" s="60">
        <f t="shared" si="2"/>
        <v>75</v>
      </c>
      <c r="B76" s="49" t="str">
        <f>_xlfn.XLOOKUP(C76,Tab_Def_Flows[Name(EN)],Tab_Def_Flows[Flow_ID],,0,)</f>
        <v>F_12_12</v>
      </c>
      <c r="C76" s="51"/>
      <c r="D76" s="49"/>
      <c r="E76" s="49">
        <f>_xlfn.XLOOKUP(C76,Tab_Def_Flows[Name(EN)],Tab_Def_Flows[Output_Process],,0,)</f>
        <v>0</v>
      </c>
      <c r="F76" s="49" t="str">
        <f>_xlfn.XLOOKUP(C76,Tab_Def_Flows[Name(EN)],Tab_Def_Flows[Process_ID_O],,0,)</f>
        <v>12__</v>
      </c>
      <c r="G76" s="49">
        <f>_xlfn.XLOOKUP(C76,Tab_Def_Flows[Name(EN)],Tab_Def_Flows[Input_Process],,0,)</f>
        <v>0</v>
      </c>
      <c r="H76" s="61" t="str">
        <f>_xlfn.XLOOKUP(C76,Tab_Def_Flows[Name(EN)],Tab_Def_Flows[Process_ID_I],,0,)</f>
        <v>12__</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c r="AC76" s="107" t="e">
        <f>INDEX(Tab_Def_Flows[[Flow_ID]:[CC_DM_source]],MATCH(Tab_Data_Flows[[#This Row],[Name(EN)]],Tab_Def_Flows[Name(EN)],0),16)</f>
        <v>#N/A</v>
      </c>
      <c r="AD76" s="108" t="str">
        <f>IF(J76="Yes",AA76*Tab_Data_Flows[[#This Row],[WC_'[%']]],"N.A.")</f>
        <v>N.A.</v>
      </c>
      <c r="AE76" s="61">
        <f>Tab_Data_Flows[[#This Row],[UoM_Flow_Py]]</f>
        <v>0</v>
      </c>
      <c r="AF76" s="107" t="e">
        <f>INDEX(Tab_Def_Flows[[Flow_ID]:[CC_DM_source]],MATCH(Tab_Data_Flows[[#This Row],[Name(EN)]],Tab_Def_Flows[Name(EN)],0),18)</f>
        <v>#N/A</v>
      </c>
      <c r="AG76" s="108" t="str">
        <f>IF(K76="Yes",AF76*Tab_Data_Flows[[#This Row],[Flow_Py]],"N.A.")</f>
        <v>N.A.</v>
      </c>
      <c r="AH76" s="61">
        <f>Tab_Data_Flows[[#This Row],[UoM_Flow_Py]]</f>
        <v>0</v>
      </c>
      <c r="AI76" s="107" t="e">
        <f>INDEX(Tab_Def_Flows[[Flow_ID]:[CC_DM_source]],MATCH(Tab_Data_Flows[[#This Row],[Name(EN)]],Tab_Def_Flows[Name(EN)],0),20)</f>
        <v>#N/A</v>
      </c>
      <c r="AJ76" s="108" t="str">
        <f>IF(L76="Yes",AI76*Tab_Data_Flows[[#This Row],[Flow_Py]]*Tab_Data_Flows[[#This Row],[DM_'[%']]],"N.A.")</f>
        <v>N.A.</v>
      </c>
      <c r="AK76" s="61">
        <f>Tab_Data_Flows[[#This Row],[UoM_Flow_Py]]</f>
        <v>0</v>
      </c>
    </row>
    <row r="77" spans="1:37" x14ac:dyDescent="0.25">
      <c r="A77" s="60">
        <f t="shared" si="2"/>
        <v>76</v>
      </c>
      <c r="B77" s="49" t="str">
        <f>_xlfn.XLOOKUP(C77,Tab_Def_Flows[Name(EN)],Tab_Def_Flows[Flow_ID],,0,)</f>
        <v>F_12_12</v>
      </c>
      <c r="C77" s="51"/>
      <c r="D77" s="49"/>
      <c r="E77" s="49">
        <f>_xlfn.XLOOKUP(C77,Tab_Def_Flows[Name(EN)],Tab_Def_Flows[Output_Process],,0,)</f>
        <v>0</v>
      </c>
      <c r="F77" s="49" t="str">
        <f>_xlfn.XLOOKUP(C77,Tab_Def_Flows[Name(EN)],Tab_Def_Flows[Process_ID_O],,0,)</f>
        <v>12__</v>
      </c>
      <c r="G77" s="49">
        <f>_xlfn.XLOOKUP(C77,Tab_Def_Flows[Name(EN)],Tab_Def_Flows[Input_Process],,0,)</f>
        <v>0</v>
      </c>
      <c r="H77" s="61" t="str">
        <f>_xlfn.XLOOKUP(C77,Tab_Def_Flows[Name(EN)],Tab_Def_Flows[Process_ID_I],,0,)</f>
        <v>12__</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c r="AC77" s="107" t="e">
        <f>INDEX(Tab_Def_Flows[[Flow_ID]:[CC_DM_source]],MATCH(Tab_Data_Flows[[#This Row],[Name(EN)]],Tab_Def_Flows[Name(EN)],0),16)</f>
        <v>#N/A</v>
      </c>
      <c r="AD77" s="108" t="str">
        <f>IF(J77="Yes",AA77*Tab_Data_Flows[[#This Row],[WC_'[%']]],"N.A.")</f>
        <v>N.A.</v>
      </c>
      <c r="AE77" s="61">
        <f>Tab_Data_Flows[[#This Row],[UoM_Flow_Py]]</f>
        <v>0</v>
      </c>
      <c r="AF77" s="107" t="e">
        <f>INDEX(Tab_Def_Flows[[Flow_ID]:[CC_DM_source]],MATCH(Tab_Data_Flows[[#This Row],[Name(EN)]],Tab_Def_Flows[Name(EN)],0),18)</f>
        <v>#N/A</v>
      </c>
      <c r="AG77" s="108" t="str">
        <f>IF(K77="Yes",AF77*Tab_Data_Flows[[#This Row],[Flow_Py]],"N.A.")</f>
        <v>N.A.</v>
      </c>
      <c r="AH77" s="61">
        <f>Tab_Data_Flows[[#This Row],[UoM_Flow_Py]]</f>
        <v>0</v>
      </c>
      <c r="AI77" s="107" t="e">
        <f>INDEX(Tab_Def_Flows[[Flow_ID]:[CC_DM_source]],MATCH(Tab_Data_Flows[[#This Row],[Name(EN)]],Tab_Def_Flows[Name(EN)],0),20)</f>
        <v>#N/A</v>
      </c>
      <c r="AJ77" s="108" t="str">
        <f>IF(L77="Yes",AI77*Tab_Data_Flows[[#This Row],[Flow_Py]]*Tab_Data_Flows[[#This Row],[DM_'[%']]],"N.A.")</f>
        <v>N.A.</v>
      </c>
      <c r="AK77" s="61">
        <f>Tab_Data_Flows[[#This Row],[UoM_Flow_Py]]</f>
        <v>0</v>
      </c>
    </row>
    <row r="78" spans="1:37" x14ac:dyDescent="0.25">
      <c r="A78" s="60">
        <f t="shared" si="2"/>
        <v>77</v>
      </c>
      <c r="B78" s="49" t="str">
        <f>_xlfn.XLOOKUP(C78,Tab_Def_Flows[Name(EN)],Tab_Def_Flows[Flow_ID],,0,)</f>
        <v>F_12_12</v>
      </c>
      <c r="C78" s="51"/>
      <c r="D78" s="49"/>
      <c r="E78" s="49">
        <f>_xlfn.XLOOKUP(C78,Tab_Def_Flows[Name(EN)],Tab_Def_Flows[Output_Process],,0,)</f>
        <v>0</v>
      </c>
      <c r="F78" s="49" t="str">
        <f>_xlfn.XLOOKUP(C78,Tab_Def_Flows[Name(EN)],Tab_Def_Flows[Process_ID_O],,0,)</f>
        <v>12__</v>
      </c>
      <c r="G78" s="49">
        <f>_xlfn.XLOOKUP(C78,Tab_Def_Flows[Name(EN)],Tab_Def_Flows[Input_Process],,0,)</f>
        <v>0</v>
      </c>
      <c r="H78" s="61" t="str">
        <f>_xlfn.XLOOKUP(C78,Tab_Def_Flows[Name(EN)],Tab_Def_Flows[Process_ID_I],,0,)</f>
        <v>12__</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c r="AC78" s="107" t="e">
        <f>INDEX(Tab_Def_Flows[[Flow_ID]:[CC_DM_source]],MATCH(Tab_Data_Flows[[#This Row],[Name(EN)]],Tab_Def_Flows[Name(EN)],0),16)</f>
        <v>#N/A</v>
      </c>
      <c r="AD78" s="108" t="str">
        <f>IF(J78="Yes",AA78*Tab_Data_Flows[[#This Row],[WC_'[%']]],"N.A.")</f>
        <v>N.A.</v>
      </c>
      <c r="AE78" s="61">
        <f>Tab_Data_Flows[[#This Row],[UoM_Flow_Py]]</f>
        <v>0</v>
      </c>
      <c r="AF78" s="107" t="e">
        <f>INDEX(Tab_Def_Flows[[Flow_ID]:[CC_DM_source]],MATCH(Tab_Data_Flows[[#This Row],[Name(EN)]],Tab_Def_Flows[Name(EN)],0),18)</f>
        <v>#N/A</v>
      </c>
      <c r="AG78" s="108" t="str">
        <f>IF(K78="Yes",AF78*Tab_Data_Flows[[#This Row],[Flow_Py]],"N.A.")</f>
        <v>N.A.</v>
      </c>
      <c r="AH78" s="61">
        <f>Tab_Data_Flows[[#This Row],[UoM_Flow_Py]]</f>
        <v>0</v>
      </c>
      <c r="AI78" s="107" t="e">
        <f>INDEX(Tab_Def_Flows[[Flow_ID]:[CC_DM_source]],MATCH(Tab_Data_Flows[[#This Row],[Name(EN)]],Tab_Def_Flows[Name(EN)],0),20)</f>
        <v>#N/A</v>
      </c>
      <c r="AJ78" s="108" t="str">
        <f>IF(L78="Yes",AI78*Tab_Data_Flows[[#This Row],[Flow_Py]]*Tab_Data_Flows[[#This Row],[DM_'[%']]],"N.A.")</f>
        <v>N.A.</v>
      </c>
      <c r="AK78" s="61">
        <f>Tab_Data_Flows[[#This Row],[UoM_Flow_Py]]</f>
        <v>0</v>
      </c>
    </row>
    <row r="79" spans="1:37" x14ac:dyDescent="0.25">
      <c r="A79" s="60">
        <f t="shared" si="2"/>
        <v>78</v>
      </c>
      <c r="B79" s="49" t="str">
        <f>_xlfn.XLOOKUP(C79,Tab_Def_Flows[Name(EN)],Tab_Def_Flows[Flow_ID],,0,)</f>
        <v>F_12_12</v>
      </c>
      <c r="C79" s="51"/>
      <c r="D79" s="49"/>
      <c r="E79" s="49">
        <f>_xlfn.XLOOKUP(C79,Tab_Def_Flows[Name(EN)],Tab_Def_Flows[Output_Process],,0,)</f>
        <v>0</v>
      </c>
      <c r="F79" s="49" t="str">
        <f>_xlfn.XLOOKUP(C79,Tab_Def_Flows[Name(EN)],Tab_Def_Flows[Process_ID_O],,0,)</f>
        <v>12__</v>
      </c>
      <c r="G79" s="49">
        <f>_xlfn.XLOOKUP(C79,Tab_Def_Flows[Name(EN)],Tab_Def_Flows[Input_Process],,0,)</f>
        <v>0</v>
      </c>
      <c r="H79" s="61" t="str">
        <f>_xlfn.XLOOKUP(C79,Tab_Def_Flows[Name(EN)],Tab_Def_Flows[Process_ID_I],,0,)</f>
        <v>12__</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c r="AC79" s="107" t="e">
        <f>INDEX(Tab_Def_Flows[[Flow_ID]:[CC_DM_source]],MATCH(Tab_Data_Flows[[#This Row],[Name(EN)]],Tab_Def_Flows[Name(EN)],0),16)</f>
        <v>#N/A</v>
      </c>
      <c r="AD79" s="108" t="str">
        <f>IF(J79="Yes",AA79*Tab_Data_Flows[[#This Row],[WC_'[%']]],"N.A.")</f>
        <v>N.A.</v>
      </c>
      <c r="AE79" s="61">
        <f>Tab_Data_Flows[[#This Row],[UoM_Flow_Py]]</f>
        <v>0</v>
      </c>
      <c r="AF79" s="107" t="e">
        <f>INDEX(Tab_Def_Flows[[Flow_ID]:[CC_DM_source]],MATCH(Tab_Data_Flows[[#This Row],[Name(EN)]],Tab_Def_Flows[Name(EN)],0),18)</f>
        <v>#N/A</v>
      </c>
      <c r="AG79" s="108" t="str">
        <f>IF(K79="Yes",AF79*Tab_Data_Flows[[#This Row],[Flow_Py]],"N.A.")</f>
        <v>N.A.</v>
      </c>
      <c r="AH79" s="61">
        <f>Tab_Data_Flows[[#This Row],[UoM_Flow_Py]]</f>
        <v>0</v>
      </c>
      <c r="AI79" s="107" t="e">
        <f>INDEX(Tab_Def_Flows[[Flow_ID]:[CC_DM_source]],MATCH(Tab_Data_Flows[[#This Row],[Name(EN)]],Tab_Def_Flows[Name(EN)],0),20)</f>
        <v>#N/A</v>
      </c>
      <c r="AJ79" s="108" t="str">
        <f>IF(L79="Yes",AI79*Tab_Data_Flows[[#This Row],[Flow_Py]]*Tab_Data_Flows[[#This Row],[DM_'[%']]],"N.A.")</f>
        <v>N.A.</v>
      </c>
      <c r="AK79" s="61">
        <f>Tab_Data_Flows[[#This Row],[UoM_Flow_Py]]</f>
        <v>0</v>
      </c>
    </row>
    <row r="80" spans="1:37" x14ac:dyDescent="0.25">
      <c r="A80" s="60">
        <f t="shared" si="2"/>
        <v>79</v>
      </c>
      <c r="B80" s="49" t="str">
        <f>_xlfn.XLOOKUP(C80,Tab_Def_Flows[Name(EN)],Tab_Def_Flows[Flow_ID],,0,)</f>
        <v>F_12_12</v>
      </c>
      <c r="C80" s="51"/>
      <c r="D80" s="49"/>
      <c r="E80" s="49">
        <f>_xlfn.XLOOKUP(C80,Tab_Def_Flows[Name(EN)],Tab_Def_Flows[Output_Process],,0,)</f>
        <v>0</v>
      </c>
      <c r="F80" s="49" t="str">
        <f>_xlfn.XLOOKUP(C80,Tab_Def_Flows[Name(EN)],Tab_Def_Flows[Process_ID_O],,0,)</f>
        <v>12__</v>
      </c>
      <c r="G80" s="49">
        <f>_xlfn.XLOOKUP(C80,Tab_Def_Flows[Name(EN)],Tab_Def_Flows[Input_Process],,0,)</f>
        <v>0</v>
      </c>
      <c r="H80" s="61" t="str">
        <f>_xlfn.XLOOKUP(C80,Tab_Def_Flows[Name(EN)],Tab_Def_Flows[Process_ID_I],,0,)</f>
        <v>12__</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c r="AC80" s="107" t="e">
        <f>INDEX(Tab_Def_Flows[[Flow_ID]:[CC_DM_source]],MATCH(Tab_Data_Flows[[#This Row],[Name(EN)]],Tab_Def_Flows[Name(EN)],0),16)</f>
        <v>#N/A</v>
      </c>
      <c r="AD80" s="108" t="str">
        <f>IF(J80="Yes",AA80*Tab_Data_Flows[[#This Row],[WC_'[%']]],"N.A.")</f>
        <v>N.A.</v>
      </c>
      <c r="AE80" s="61">
        <f>Tab_Data_Flows[[#This Row],[UoM_Flow_Py]]</f>
        <v>0</v>
      </c>
      <c r="AF80" s="107" t="e">
        <f>INDEX(Tab_Def_Flows[[Flow_ID]:[CC_DM_source]],MATCH(Tab_Data_Flows[[#This Row],[Name(EN)]],Tab_Def_Flows[Name(EN)],0),18)</f>
        <v>#N/A</v>
      </c>
      <c r="AG80" s="108" t="str">
        <f>IF(K80="Yes",AF80*Tab_Data_Flows[[#This Row],[Flow_Py]],"N.A.")</f>
        <v>N.A.</v>
      </c>
      <c r="AH80" s="61">
        <f>Tab_Data_Flows[[#This Row],[UoM_Flow_Py]]</f>
        <v>0</v>
      </c>
      <c r="AI80" s="107" t="e">
        <f>INDEX(Tab_Def_Flows[[Flow_ID]:[CC_DM_source]],MATCH(Tab_Data_Flows[[#This Row],[Name(EN)]],Tab_Def_Flows[Name(EN)],0),20)</f>
        <v>#N/A</v>
      </c>
      <c r="AJ80" s="108" t="str">
        <f>IF(L80="Yes",AI80*Tab_Data_Flows[[#This Row],[Flow_Py]]*Tab_Data_Flows[[#This Row],[DM_'[%']]],"N.A.")</f>
        <v>N.A.</v>
      </c>
      <c r="AK80" s="61">
        <f>Tab_Data_Flows[[#This Row],[UoM_Flow_Py]]</f>
        <v>0</v>
      </c>
    </row>
    <row r="81" spans="1:37" x14ac:dyDescent="0.25">
      <c r="A81" s="60">
        <f t="shared" si="2"/>
        <v>80</v>
      </c>
      <c r="B81" s="49" t="str">
        <f>_xlfn.XLOOKUP(C81,Tab_Def_Flows[Name(EN)],Tab_Def_Flows[Flow_ID],,0,)</f>
        <v>F_12_12</v>
      </c>
      <c r="C81" s="51"/>
      <c r="D81" s="49"/>
      <c r="E81" s="49">
        <f>_xlfn.XLOOKUP(C81,Tab_Def_Flows[Name(EN)],Tab_Def_Flows[Output_Process],,0,)</f>
        <v>0</v>
      </c>
      <c r="F81" s="49" t="str">
        <f>_xlfn.XLOOKUP(C81,Tab_Def_Flows[Name(EN)],Tab_Def_Flows[Process_ID_O],,0,)</f>
        <v>12__</v>
      </c>
      <c r="G81" s="49">
        <f>_xlfn.XLOOKUP(C81,Tab_Def_Flows[Name(EN)],Tab_Def_Flows[Input_Process],,0,)</f>
        <v>0</v>
      </c>
      <c r="H81" s="61" t="str">
        <f>_xlfn.XLOOKUP(C81,Tab_Def_Flows[Name(EN)],Tab_Def_Flows[Process_ID_I],,0,)</f>
        <v>12__</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c r="AC81" s="107" t="e">
        <f>INDEX(Tab_Def_Flows[[Flow_ID]:[CC_DM_source]],MATCH(Tab_Data_Flows[[#This Row],[Name(EN)]],Tab_Def_Flows[Name(EN)],0),16)</f>
        <v>#N/A</v>
      </c>
      <c r="AD81" s="108" t="str">
        <f>IF(J81="Yes",AA81*Tab_Data_Flows[[#This Row],[WC_'[%']]],"N.A.")</f>
        <v>N.A.</v>
      </c>
      <c r="AE81" s="61">
        <f>Tab_Data_Flows[[#This Row],[UoM_Flow_Py]]</f>
        <v>0</v>
      </c>
      <c r="AF81" s="107" t="e">
        <f>INDEX(Tab_Def_Flows[[Flow_ID]:[CC_DM_source]],MATCH(Tab_Data_Flows[[#This Row],[Name(EN)]],Tab_Def_Flows[Name(EN)],0),18)</f>
        <v>#N/A</v>
      </c>
      <c r="AG81" s="108" t="str">
        <f>IF(K81="Yes",AF81*Tab_Data_Flows[[#This Row],[Flow_Py]],"N.A.")</f>
        <v>N.A.</v>
      </c>
      <c r="AH81" s="61">
        <f>Tab_Data_Flows[[#This Row],[UoM_Flow_Py]]</f>
        <v>0</v>
      </c>
      <c r="AI81" s="107" t="e">
        <f>INDEX(Tab_Def_Flows[[Flow_ID]:[CC_DM_source]],MATCH(Tab_Data_Flows[[#This Row],[Name(EN)]],Tab_Def_Flows[Name(EN)],0),20)</f>
        <v>#N/A</v>
      </c>
      <c r="AJ81" s="108" t="str">
        <f>IF(L81="Yes",AI81*Tab_Data_Flows[[#This Row],[Flow_Py]]*Tab_Data_Flows[[#This Row],[DM_'[%']]],"N.A.")</f>
        <v>N.A.</v>
      </c>
      <c r="AK81" s="61">
        <f>Tab_Data_Flows[[#This Row],[UoM_Flow_Py]]</f>
        <v>0</v>
      </c>
    </row>
    <row r="82" spans="1:37" x14ac:dyDescent="0.25">
      <c r="A82" s="60">
        <f t="shared" si="2"/>
        <v>81</v>
      </c>
      <c r="B82" s="49" t="str">
        <f>_xlfn.XLOOKUP(C82,Tab_Def_Flows[Name(EN)],Tab_Def_Flows[Flow_ID],,0,)</f>
        <v>F_12_12</v>
      </c>
      <c r="C82" s="51"/>
      <c r="D82" s="49"/>
      <c r="E82" s="49">
        <f>_xlfn.XLOOKUP(C82,Tab_Def_Flows[Name(EN)],Tab_Def_Flows[Output_Process],,0,)</f>
        <v>0</v>
      </c>
      <c r="F82" s="49" t="str">
        <f>_xlfn.XLOOKUP(C82,Tab_Def_Flows[Name(EN)],Tab_Def_Flows[Process_ID_O],,0,)</f>
        <v>12__</v>
      </c>
      <c r="G82" s="49">
        <f>_xlfn.XLOOKUP(C82,Tab_Def_Flows[Name(EN)],Tab_Def_Flows[Input_Process],,0,)</f>
        <v>0</v>
      </c>
      <c r="H82" s="61" t="str">
        <f>_xlfn.XLOOKUP(C82,Tab_Def_Flows[Name(EN)],Tab_Def_Flows[Process_ID_I],,0,)</f>
        <v>12__</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c r="AC82" s="107" t="e">
        <f>INDEX(Tab_Def_Flows[[Flow_ID]:[CC_DM_source]],MATCH(Tab_Data_Flows[[#This Row],[Name(EN)]],Tab_Def_Flows[Name(EN)],0),16)</f>
        <v>#N/A</v>
      </c>
      <c r="AD82" s="108" t="str">
        <f>IF(J82="Yes",AA82*Tab_Data_Flows[[#This Row],[WC_'[%']]],"N.A.")</f>
        <v>N.A.</v>
      </c>
      <c r="AE82" s="61">
        <f>Tab_Data_Flows[[#This Row],[UoM_Flow_Py]]</f>
        <v>0</v>
      </c>
      <c r="AF82" s="107" t="e">
        <f>INDEX(Tab_Def_Flows[[Flow_ID]:[CC_DM_source]],MATCH(Tab_Data_Flows[[#This Row],[Name(EN)]],Tab_Def_Flows[Name(EN)],0),18)</f>
        <v>#N/A</v>
      </c>
      <c r="AG82" s="108" t="str">
        <f>IF(K82="Yes",AF82*Tab_Data_Flows[[#This Row],[Flow_Py]],"N.A.")</f>
        <v>N.A.</v>
      </c>
      <c r="AH82" s="61">
        <f>Tab_Data_Flows[[#This Row],[UoM_Flow_Py]]</f>
        <v>0</v>
      </c>
      <c r="AI82" s="107" t="e">
        <f>INDEX(Tab_Def_Flows[[Flow_ID]:[CC_DM_source]],MATCH(Tab_Data_Flows[[#This Row],[Name(EN)]],Tab_Def_Flows[Name(EN)],0),20)</f>
        <v>#N/A</v>
      </c>
      <c r="AJ82" s="108" t="str">
        <f>IF(L82="Yes",AI82*Tab_Data_Flows[[#This Row],[Flow_Py]]*Tab_Data_Flows[[#This Row],[DM_'[%']]],"N.A.")</f>
        <v>N.A.</v>
      </c>
      <c r="AK82" s="61">
        <f>Tab_Data_Flows[[#This Row],[UoM_Flow_Py]]</f>
        <v>0</v>
      </c>
    </row>
    <row r="83" spans="1:37" x14ac:dyDescent="0.25">
      <c r="A83" s="60">
        <f t="shared" si="2"/>
        <v>82</v>
      </c>
      <c r="B83" s="49" t="str">
        <f>_xlfn.XLOOKUP(C83,Tab_Def_Flows[Name(EN)],Tab_Def_Flows[Flow_ID],,0,)</f>
        <v>F_12_12</v>
      </c>
      <c r="C83" s="51"/>
      <c r="D83" s="49"/>
      <c r="E83" s="49">
        <f>_xlfn.XLOOKUP(C83,Tab_Def_Flows[Name(EN)],Tab_Def_Flows[Output_Process],,0,)</f>
        <v>0</v>
      </c>
      <c r="F83" s="49" t="str">
        <f>_xlfn.XLOOKUP(C83,Tab_Def_Flows[Name(EN)],Tab_Def_Flows[Process_ID_O],,0,)</f>
        <v>12__</v>
      </c>
      <c r="G83" s="49">
        <f>_xlfn.XLOOKUP(C83,Tab_Def_Flows[Name(EN)],Tab_Def_Flows[Input_Process],,0,)</f>
        <v>0</v>
      </c>
      <c r="H83" s="61" t="str">
        <f>_xlfn.XLOOKUP(C83,Tab_Def_Flows[Name(EN)],Tab_Def_Flows[Process_ID_I],,0,)</f>
        <v>12__</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c r="AC83" s="107" t="e">
        <f>INDEX(Tab_Def_Flows[[Flow_ID]:[CC_DM_source]],MATCH(Tab_Data_Flows[[#This Row],[Name(EN)]],Tab_Def_Flows[Name(EN)],0),16)</f>
        <v>#N/A</v>
      </c>
      <c r="AD83" s="108" t="str">
        <f>IF(J83="Yes",AA83*Tab_Data_Flows[[#This Row],[WC_'[%']]],"N.A.")</f>
        <v>N.A.</v>
      </c>
      <c r="AE83" s="61">
        <f>Tab_Data_Flows[[#This Row],[UoM_Flow_Py]]</f>
        <v>0</v>
      </c>
      <c r="AF83" s="107" t="e">
        <f>INDEX(Tab_Def_Flows[[Flow_ID]:[CC_DM_source]],MATCH(Tab_Data_Flows[[#This Row],[Name(EN)]],Tab_Def_Flows[Name(EN)],0),18)</f>
        <v>#N/A</v>
      </c>
      <c r="AG83" s="108" t="str">
        <f>IF(K83="Yes",AF83*Tab_Data_Flows[[#This Row],[Flow_Py]],"N.A.")</f>
        <v>N.A.</v>
      </c>
      <c r="AH83" s="61">
        <f>Tab_Data_Flows[[#This Row],[UoM_Flow_Py]]</f>
        <v>0</v>
      </c>
      <c r="AI83" s="107" t="e">
        <f>INDEX(Tab_Def_Flows[[Flow_ID]:[CC_DM_source]],MATCH(Tab_Data_Flows[[#This Row],[Name(EN)]],Tab_Def_Flows[Name(EN)],0),20)</f>
        <v>#N/A</v>
      </c>
      <c r="AJ83" s="108" t="str">
        <f>IF(L83="Yes",AI83*Tab_Data_Flows[[#This Row],[Flow_Py]]*Tab_Data_Flows[[#This Row],[DM_'[%']]],"N.A.")</f>
        <v>N.A.</v>
      </c>
      <c r="AK83" s="61">
        <f>Tab_Data_Flows[[#This Row],[UoM_Flow_Py]]</f>
        <v>0</v>
      </c>
    </row>
    <row r="84" spans="1:37" x14ac:dyDescent="0.25">
      <c r="A84" s="60">
        <f t="shared" si="2"/>
        <v>83</v>
      </c>
      <c r="B84" s="49" t="str">
        <f>_xlfn.XLOOKUP(C84,Tab_Def_Flows[Name(EN)],Tab_Def_Flows[Flow_ID],,0,)</f>
        <v>F_12_12</v>
      </c>
      <c r="C84" s="51"/>
      <c r="D84" s="49"/>
      <c r="E84" s="49">
        <f>_xlfn.XLOOKUP(C84,Tab_Def_Flows[Name(EN)],Tab_Def_Flows[Output_Process],,0,)</f>
        <v>0</v>
      </c>
      <c r="F84" s="49" t="str">
        <f>_xlfn.XLOOKUP(C84,Tab_Def_Flows[Name(EN)],Tab_Def_Flows[Process_ID_O],,0,)</f>
        <v>12__</v>
      </c>
      <c r="G84" s="49">
        <f>_xlfn.XLOOKUP(C84,Tab_Def_Flows[Name(EN)],Tab_Def_Flows[Input_Process],,0,)</f>
        <v>0</v>
      </c>
      <c r="H84" s="61" t="str">
        <f>_xlfn.XLOOKUP(C84,Tab_Def_Flows[Name(EN)],Tab_Def_Flows[Process_ID_I],,0,)</f>
        <v>12__</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c r="AC84" s="107" t="e">
        <f>INDEX(Tab_Def_Flows[[Flow_ID]:[CC_DM_source]],MATCH(Tab_Data_Flows[[#This Row],[Name(EN)]],Tab_Def_Flows[Name(EN)],0),16)</f>
        <v>#N/A</v>
      </c>
      <c r="AD84" s="108" t="str">
        <f>IF(J84="Yes",AA84*Tab_Data_Flows[[#This Row],[WC_'[%']]],"N.A.")</f>
        <v>N.A.</v>
      </c>
      <c r="AE84" s="61">
        <f>Tab_Data_Flows[[#This Row],[UoM_Flow_Py]]</f>
        <v>0</v>
      </c>
      <c r="AF84" s="107" t="e">
        <f>INDEX(Tab_Def_Flows[[Flow_ID]:[CC_DM_source]],MATCH(Tab_Data_Flows[[#This Row],[Name(EN)]],Tab_Def_Flows[Name(EN)],0),18)</f>
        <v>#N/A</v>
      </c>
      <c r="AG84" s="108" t="str">
        <f>IF(K84="Yes",AF84*Tab_Data_Flows[[#This Row],[Flow_Py]],"N.A.")</f>
        <v>N.A.</v>
      </c>
      <c r="AH84" s="61">
        <f>Tab_Data_Flows[[#This Row],[UoM_Flow_Py]]</f>
        <v>0</v>
      </c>
      <c r="AI84" s="107" t="e">
        <f>INDEX(Tab_Def_Flows[[Flow_ID]:[CC_DM_source]],MATCH(Tab_Data_Flows[[#This Row],[Name(EN)]],Tab_Def_Flows[Name(EN)],0),20)</f>
        <v>#N/A</v>
      </c>
      <c r="AJ84" s="108" t="str">
        <f>IF(L84="Yes",AI84*Tab_Data_Flows[[#This Row],[Flow_Py]]*Tab_Data_Flows[[#This Row],[DM_'[%']]],"N.A.")</f>
        <v>N.A.</v>
      </c>
      <c r="AK84" s="61">
        <f>Tab_Data_Flows[[#This Row],[UoM_Flow_Py]]</f>
        <v>0</v>
      </c>
    </row>
    <row r="85" spans="1:37" x14ac:dyDescent="0.25">
      <c r="A85" s="60">
        <f t="shared" si="2"/>
        <v>84</v>
      </c>
      <c r="B85" s="49" t="str">
        <f>_xlfn.XLOOKUP(C85,Tab_Def_Flows[Name(EN)],Tab_Def_Flows[Flow_ID],,0,)</f>
        <v>F_12_12</v>
      </c>
      <c r="C85" s="51"/>
      <c r="D85" s="49"/>
      <c r="E85" s="49">
        <f>_xlfn.XLOOKUP(C85,Tab_Def_Flows[Name(EN)],Tab_Def_Flows[Output_Process],,0,)</f>
        <v>0</v>
      </c>
      <c r="F85" s="49" t="str">
        <f>_xlfn.XLOOKUP(C85,Tab_Def_Flows[Name(EN)],Tab_Def_Flows[Process_ID_O],,0,)</f>
        <v>12__</v>
      </c>
      <c r="G85" s="49">
        <f>_xlfn.XLOOKUP(C85,Tab_Def_Flows[Name(EN)],Tab_Def_Flows[Input_Process],,0,)</f>
        <v>0</v>
      </c>
      <c r="H85" s="61" t="str">
        <f>_xlfn.XLOOKUP(C85,Tab_Def_Flows[Name(EN)],Tab_Def_Flows[Process_ID_I],,0,)</f>
        <v>12__</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c r="AC85" s="107" t="e">
        <f>INDEX(Tab_Def_Flows[[Flow_ID]:[CC_DM_source]],MATCH(Tab_Data_Flows[[#This Row],[Name(EN)]],Tab_Def_Flows[Name(EN)],0),16)</f>
        <v>#N/A</v>
      </c>
      <c r="AD85" s="108" t="str">
        <f>IF(J85="Yes",AA85*Tab_Data_Flows[[#This Row],[WC_'[%']]],"N.A.")</f>
        <v>N.A.</v>
      </c>
      <c r="AE85" s="61">
        <f>Tab_Data_Flows[[#This Row],[UoM_Flow_Py]]</f>
        <v>0</v>
      </c>
      <c r="AF85" s="107" t="e">
        <f>INDEX(Tab_Def_Flows[[Flow_ID]:[CC_DM_source]],MATCH(Tab_Data_Flows[[#This Row],[Name(EN)]],Tab_Def_Flows[Name(EN)],0),18)</f>
        <v>#N/A</v>
      </c>
      <c r="AG85" s="108" t="str">
        <f>IF(K85="Yes",AF85*Tab_Data_Flows[[#This Row],[Flow_Py]],"N.A.")</f>
        <v>N.A.</v>
      </c>
      <c r="AH85" s="61">
        <f>Tab_Data_Flows[[#This Row],[UoM_Flow_Py]]</f>
        <v>0</v>
      </c>
      <c r="AI85" s="107" t="e">
        <f>INDEX(Tab_Def_Flows[[Flow_ID]:[CC_DM_source]],MATCH(Tab_Data_Flows[[#This Row],[Name(EN)]],Tab_Def_Flows[Name(EN)],0),20)</f>
        <v>#N/A</v>
      </c>
      <c r="AJ85" s="108" t="str">
        <f>IF(L85="Yes",AI85*Tab_Data_Flows[[#This Row],[Flow_Py]]*Tab_Data_Flows[[#This Row],[DM_'[%']]],"N.A.")</f>
        <v>N.A.</v>
      </c>
      <c r="AK85" s="61">
        <f>Tab_Data_Flows[[#This Row],[UoM_Flow_Py]]</f>
        <v>0</v>
      </c>
    </row>
    <row r="86" spans="1:37" x14ac:dyDescent="0.25">
      <c r="A86" s="60">
        <f t="shared" si="2"/>
        <v>85</v>
      </c>
      <c r="B86" s="49" t="str">
        <f>_xlfn.XLOOKUP(C86,Tab_Def_Flows[Name(EN)],Tab_Def_Flows[Flow_ID],,0,)</f>
        <v>F_12_12</v>
      </c>
      <c r="C86" s="51"/>
      <c r="D86" s="49"/>
      <c r="E86" s="49">
        <f>_xlfn.XLOOKUP(C86,Tab_Def_Flows[Name(EN)],Tab_Def_Flows[Output_Process],,0,)</f>
        <v>0</v>
      </c>
      <c r="F86" s="49" t="str">
        <f>_xlfn.XLOOKUP(C86,Tab_Def_Flows[Name(EN)],Tab_Def_Flows[Process_ID_O],,0,)</f>
        <v>12__</v>
      </c>
      <c r="G86" s="49">
        <f>_xlfn.XLOOKUP(C86,Tab_Def_Flows[Name(EN)],Tab_Def_Flows[Input_Process],,0,)</f>
        <v>0</v>
      </c>
      <c r="H86" s="61" t="str">
        <f>_xlfn.XLOOKUP(C86,Tab_Def_Flows[Name(EN)],Tab_Def_Flows[Process_ID_I],,0,)</f>
        <v>12__</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c r="AC86" s="107" t="e">
        <f>INDEX(Tab_Def_Flows[[Flow_ID]:[CC_DM_source]],MATCH(Tab_Data_Flows[[#This Row],[Name(EN)]],Tab_Def_Flows[Name(EN)],0),16)</f>
        <v>#N/A</v>
      </c>
      <c r="AD86" s="108" t="str">
        <f>IF(J86="Yes",AA86*Tab_Data_Flows[[#This Row],[WC_'[%']]],"N.A.")</f>
        <v>N.A.</v>
      </c>
      <c r="AE86" s="61">
        <f>Tab_Data_Flows[[#This Row],[UoM_Flow_Py]]</f>
        <v>0</v>
      </c>
      <c r="AF86" s="107" t="e">
        <f>INDEX(Tab_Def_Flows[[Flow_ID]:[CC_DM_source]],MATCH(Tab_Data_Flows[[#This Row],[Name(EN)]],Tab_Def_Flows[Name(EN)],0),18)</f>
        <v>#N/A</v>
      </c>
      <c r="AG86" s="108" t="str">
        <f>IF(K86="Yes",AF86*Tab_Data_Flows[[#This Row],[Flow_Py]],"N.A.")</f>
        <v>N.A.</v>
      </c>
      <c r="AH86" s="61">
        <f>Tab_Data_Flows[[#This Row],[UoM_Flow_Py]]</f>
        <v>0</v>
      </c>
      <c r="AI86" s="107" t="e">
        <f>INDEX(Tab_Def_Flows[[Flow_ID]:[CC_DM_source]],MATCH(Tab_Data_Flows[[#This Row],[Name(EN)]],Tab_Def_Flows[Name(EN)],0),20)</f>
        <v>#N/A</v>
      </c>
      <c r="AJ86" s="108" t="str">
        <f>IF(L86="Yes",AI86*Tab_Data_Flows[[#This Row],[Flow_Py]]*Tab_Data_Flows[[#This Row],[DM_'[%']]],"N.A.")</f>
        <v>N.A.</v>
      </c>
      <c r="AK86" s="61">
        <f>Tab_Data_Flows[[#This Row],[UoM_Flow_Py]]</f>
        <v>0</v>
      </c>
    </row>
    <row r="87" spans="1:37" x14ac:dyDescent="0.25">
      <c r="A87" s="60">
        <f t="shared" si="2"/>
        <v>86</v>
      </c>
      <c r="B87" s="49" t="str">
        <f>_xlfn.XLOOKUP(C87,Tab_Def_Flows[Name(EN)],Tab_Def_Flows[Flow_ID],,0,)</f>
        <v>F_12_12</v>
      </c>
      <c r="C87" s="51"/>
      <c r="D87" s="49"/>
      <c r="E87" s="49">
        <f>_xlfn.XLOOKUP(C87,Tab_Def_Flows[Name(EN)],Tab_Def_Flows[Output_Process],,0,)</f>
        <v>0</v>
      </c>
      <c r="F87" s="49" t="str">
        <f>_xlfn.XLOOKUP(C87,Tab_Def_Flows[Name(EN)],Tab_Def_Flows[Process_ID_O],,0,)</f>
        <v>12__</v>
      </c>
      <c r="G87" s="49">
        <f>_xlfn.XLOOKUP(C87,Tab_Def_Flows[Name(EN)],Tab_Def_Flows[Input_Process],,0,)</f>
        <v>0</v>
      </c>
      <c r="H87" s="61" t="str">
        <f>_xlfn.XLOOKUP(C87,Tab_Def_Flows[Name(EN)],Tab_Def_Flows[Process_ID_I],,0,)</f>
        <v>12__</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c r="AC87" s="107" t="e">
        <f>INDEX(Tab_Def_Flows[[Flow_ID]:[CC_DM_source]],MATCH(Tab_Data_Flows[[#This Row],[Name(EN)]],Tab_Def_Flows[Name(EN)],0),16)</f>
        <v>#N/A</v>
      </c>
      <c r="AD87" s="108" t="str">
        <f>IF(J87="Yes",AA87*Tab_Data_Flows[[#This Row],[WC_'[%']]],"N.A.")</f>
        <v>N.A.</v>
      </c>
      <c r="AE87" s="61">
        <f>Tab_Data_Flows[[#This Row],[UoM_Flow_Py]]</f>
        <v>0</v>
      </c>
      <c r="AF87" s="107" t="e">
        <f>INDEX(Tab_Def_Flows[[Flow_ID]:[CC_DM_source]],MATCH(Tab_Data_Flows[[#This Row],[Name(EN)]],Tab_Def_Flows[Name(EN)],0),18)</f>
        <v>#N/A</v>
      </c>
      <c r="AG87" s="108" t="str">
        <f>IF(K87="Yes",AF87*Tab_Data_Flows[[#This Row],[Flow_Py]],"N.A.")</f>
        <v>N.A.</v>
      </c>
      <c r="AH87" s="61">
        <f>Tab_Data_Flows[[#This Row],[UoM_Flow_Py]]</f>
        <v>0</v>
      </c>
      <c r="AI87" s="107" t="e">
        <f>INDEX(Tab_Def_Flows[[Flow_ID]:[CC_DM_source]],MATCH(Tab_Data_Flows[[#This Row],[Name(EN)]],Tab_Def_Flows[Name(EN)],0),20)</f>
        <v>#N/A</v>
      </c>
      <c r="AJ87" s="108" t="str">
        <f>IF(L87="Yes",AI87*Tab_Data_Flows[[#This Row],[Flow_Py]]*Tab_Data_Flows[[#This Row],[DM_'[%']]],"N.A.")</f>
        <v>N.A.</v>
      </c>
      <c r="AK87" s="61">
        <f>Tab_Data_Flows[[#This Row],[UoM_Flow_Py]]</f>
        <v>0</v>
      </c>
    </row>
    <row r="88" spans="1:37" x14ac:dyDescent="0.25">
      <c r="A88" s="60">
        <f t="shared" si="2"/>
        <v>87</v>
      </c>
      <c r="B88" s="49" t="str">
        <f>_xlfn.XLOOKUP(C88,Tab_Def_Flows[Name(EN)],Tab_Def_Flows[Flow_ID],,0,)</f>
        <v>F_12_12</v>
      </c>
      <c r="C88" s="51"/>
      <c r="D88" s="49"/>
      <c r="E88" s="49">
        <f>_xlfn.XLOOKUP(C88,Tab_Def_Flows[Name(EN)],Tab_Def_Flows[Output_Process],,0,)</f>
        <v>0</v>
      </c>
      <c r="F88" s="49" t="str">
        <f>_xlfn.XLOOKUP(C88,Tab_Def_Flows[Name(EN)],Tab_Def_Flows[Process_ID_O],,0,)</f>
        <v>12__</v>
      </c>
      <c r="G88" s="49">
        <f>_xlfn.XLOOKUP(C88,Tab_Def_Flows[Name(EN)],Tab_Def_Flows[Input_Process],,0,)</f>
        <v>0</v>
      </c>
      <c r="H88" s="61" t="str">
        <f>_xlfn.XLOOKUP(C88,Tab_Def_Flows[Name(EN)],Tab_Def_Flows[Process_ID_I],,0,)</f>
        <v>12__</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c r="AC88" s="107" t="e">
        <f>INDEX(Tab_Def_Flows[[Flow_ID]:[CC_DM_source]],MATCH(Tab_Data_Flows[[#This Row],[Name(EN)]],Tab_Def_Flows[Name(EN)],0),16)</f>
        <v>#N/A</v>
      </c>
      <c r="AD88" s="108" t="str">
        <f>IF(J88="Yes",AA88*Tab_Data_Flows[[#This Row],[WC_'[%']]],"N.A.")</f>
        <v>N.A.</v>
      </c>
      <c r="AE88" s="61">
        <f>Tab_Data_Flows[[#This Row],[UoM_Flow_Py]]</f>
        <v>0</v>
      </c>
      <c r="AF88" s="107" t="e">
        <f>INDEX(Tab_Def_Flows[[Flow_ID]:[CC_DM_source]],MATCH(Tab_Data_Flows[[#This Row],[Name(EN)]],Tab_Def_Flows[Name(EN)],0),18)</f>
        <v>#N/A</v>
      </c>
      <c r="AG88" s="108" t="str">
        <f>IF(K88="Yes",AF88*Tab_Data_Flows[[#This Row],[Flow_Py]],"N.A.")</f>
        <v>N.A.</v>
      </c>
      <c r="AH88" s="61">
        <f>Tab_Data_Flows[[#This Row],[UoM_Flow_Py]]</f>
        <v>0</v>
      </c>
      <c r="AI88" s="107" t="e">
        <f>INDEX(Tab_Def_Flows[[Flow_ID]:[CC_DM_source]],MATCH(Tab_Data_Flows[[#This Row],[Name(EN)]],Tab_Def_Flows[Name(EN)],0),20)</f>
        <v>#N/A</v>
      </c>
      <c r="AJ88" s="108" t="str">
        <f>IF(L88="Yes",AI88*Tab_Data_Flows[[#This Row],[Flow_Py]]*Tab_Data_Flows[[#This Row],[DM_'[%']]],"N.A.")</f>
        <v>N.A.</v>
      </c>
      <c r="AK88" s="61">
        <f>Tab_Data_Flows[[#This Row],[UoM_Flow_Py]]</f>
        <v>0</v>
      </c>
    </row>
    <row r="89" spans="1:37" x14ac:dyDescent="0.25">
      <c r="A89" s="60">
        <f t="shared" si="2"/>
        <v>88</v>
      </c>
      <c r="B89" s="49" t="str">
        <f>_xlfn.XLOOKUP(C89,Tab_Def_Flows[Name(EN)],Tab_Def_Flows[Flow_ID],,0,)</f>
        <v>F_12_12</v>
      </c>
      <c r="C89" s="51"/>
      <c r="D89" s="49">
        <f>_xlfn.XLOOKUP(C89,Tab_Def_Flows[Name(EN)],Tab_Def_Flows[Type_Biomass],,0,)</f>
        <v>0</v>
      </c>
      <c r="E89" s="49">
        <f>_xlfn.XLOOKUP(C89,Tab_Def_Flows[Name(EN)],Tab_Def_Flows[Output_Process],,0,)</f>
        <v>0</v>
      </c>
      <c r="F89" s="49" t="str">
        <f>_xlfn.XLOOKUP(C89,Tab_Def_Flows[Name(EN)],Tab_Def_Flows[Process_ID_O],,0,)</f>
        <v>12__</v>
      </c>
      <c r="G89" s="49">
        <f>_xlfn.XLOOKUP(C89,Tab_Def_Flows[Name(EN)],Tab_Def_Flows[Input_Process],,0,)</f>
        <v>0</v>
      </c>
      <c r="H89" s="61" t="str">
        <f>_xlfn.XLOOKUP(C89,Tab_Def_Flows[Name(EN)],Tab_Def_Flows[Process_ID_I],,0,)</f>
        <v>12__</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349</v>
      </c>
      <c r="O89" s="114"/>
      <c r="P89" s="51"/>
      <c r="Q89" s="51"/>
      <c r="R89" s="51"/>
      <c r="S89" s="51"/>
      <c r="T89" s="51"/>
      <c r="U89" s="51"/>
      <c r="V89" s="51"/>
      <c r="W89" s="51"/>
      <c r="X89" s="51" t="s">
        <v>70</v>
      </c>
      <c r="Y89" s="104"/>
      <c r="Z89" s="51"/>
      <c r="AA89" s="85">
        <f t="shared" si="3"/>
        <v>0</v>
      </c>
      <c r="AB89" s="51"/>
      <c r="AC89" s="107" t="e">
        <f>INDEX(Tab_Def_Flows[[Flow_ID]:[CC_DM_source]],MATCH(Tab_Data_Flows[[#This Row],[Name(EN)]],Tab_Def_Flows[Name(EN)],0),16)</f>
        <v>#N/A</v>
      </c>
      <c r="AD89" s="108" t="str">
        <f>IF(J89="Yes",AA89*Tab_Data_Flows[[#This Row],[WC_'[%']]],"N.A.")</f>
        <v>N.A.</v>
      </c>
      <c r="AE89" s="61">
        <f>Tab_Data_Flows[[#This Row],[UoM_Flow_Py]]</f>
        <v>0</v>
      </c>
      <c r="AF89" s="107" t="e">
        <f>INDEX(Tab_Def_Flows[[Flow_ID]:[CC_DM_source]],MATCH(Tab_Data_Flows[[#This Row],[Name(EN)]],Tab_Def_Flows[Name(EN)],0),18)</f>
        <v>#N/A</v>
      </c>
      <c r="AG89" s="108" t="str">
        <f>IF(K89="Yes",AF89*Tab_Data_Flows[[#This Row],[Flow_Py]],"N.A.")</f>
        <v>N.A.</v>
      </c>
      <c r="AH89" s="61">
        <f>Tab_Data_Flows[[#This Row],[UoM_Flow_Py]]</f>
        <v>0</v>
      </c>
      <c r="AI89" s="107" t="e">
        <f>INDEX(Tab_Def_Flows[[Flow_ID]:[CC_DM_source]],MATCH(Tab_Data_Flows[[#This Row],[Name(EN)]],Tab_Def_Flows[Name(EN)],0),20)</f>
        <v>#N/A</v>
      </c>
      <c r="AJ89" s="108" t="str">
        <f>IF(L89="Yes",AI89*Tab_Data_Flows[[#This Row],[Flow_Py]]*Tab_Data_Flows[[#This Row],[DM_'[%']]],"N.A.")</f>
        <v>N.A.</v>
      </c>
      <c r="AK89" s="61">
        <f>Tab_Data_Flows[[#This Row],[UoM_Flow_Py]]</f>
        <v>0</v>
      </c>
    </row>
    <row r="90" spans="1:37" x14ac:dyDescent="0.25">
      <c r="A90" s="60">
        <f t="shared" si="2"/>
        <v>89</v>
      </c>
      <c r="B90" s="49" t="str">
        <f>_xlfn.XLOOKUP(C90,Tab_Def_Flows[Name(EN)],Tab_Def_Flows[Flow_ID],,0,)</f>
        <v>F_12_12</v>
      </c>
      <c r="C90" s="51"/>
      <c r="D90" s="49">
        <f>_xlfn.XLOOKUP(C90,Tab_Def_Flows[Name(EN)],Tab_Def_Flows[Type_Biomass],,0,)</f>
        <v>0</v>
      </c>
      <c r="E90" s="49">
        <f>_xlfn.XLOOKUP(C90,Tab_Def_Flows[Name(EN)],Tab_Def_Flows[Output_Process],,0,)</f>
        <v>0</v>
      </c>
      <c r="F90" s="49" t="str">
        <f>_xlfn.XLOOKUP(C90,Tab_Def_Flows[Name(EN)],Tab_Def_Flows[Process_ID_O],,0,)</f>
        <v>12__</v>
      </c>
      <c r="G90" s="49">
        <f>_xlfn.XLOOKUP(C90,Tab_Def_Flows[Name(EN)],Tab_Def_Flows[Input_Process],,0,)</f>
        <v>0</v>
      </c>
      <c r="H90" s="61" t="str">
        <f>_xlfn.XLOOKUP(C90,Tab_Def_Flows[Name(EN)],Tab_Def_Flows[Process_ID_I],,0,)</f>
        <v>12__</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349</v>
      </c>
      <c r="O90" s="114"/>
      <c r="P90" s="51"/>
      <c r="Q90" s="51"/>
      <c r="R90" s="51"/>
      <c r="S90" s="51"/>
      <c r="T90" s="51"/>
      <c r="U90" s="51"/>
      <c r="V90" s="51"/>
      <c r="W90" s="51"/>
      <c r="X90" s="51" t="s">
        <v>70</v>
      </c>
      <c r="Y90" s="104"/>
      <c r="Z90" s="51"/>
      <c r="AA90" s="85">
        <f t="shared" si="3"/>
        <v>0</v>
      </c>
      <c r="AB90" s="51"/>
      <c r="AC90" s="107" t="e">
        <f>INDEX(Tab_Def_Flows[[Flow_ID]:[CC_DM_source]],MATCH(Tab_Data_Flows[[#This Row],[Name(EN)]],Tab_Def_Flows[Name(EN)],0),16)</f>
        <v>#N/A</v>
      </c>
      <c r="AD90" s="108" t="str">
        <f>IF(J90="Yes",AA90*Tab_Data_Flows[[#This Row],[WC_'[%']]],"N.A.")</f>
        <v>N.A.</v>
      </c>
      <c r="AE90" s="61">
        <f>Tab_Data_Flows[[#This Row],[UoM_Flow_Py]]</f>
        <v>0</v>
      </c>
      <c r="AF90" s="107" t="e">
        <f>INDEX(Tab_Def_Flows[[Flow_ID]:[CC_DM_source]],MATCH(Tab_Data_Flows[[#This Row],[Name(EN)]],Tab_Def_Flows[Name(EN)],0),18)</f>
        <v>#N/A</v>
      </c>
      <c r="AG90" s="108" t="str">
        <f>IF(K90="Yes",AF90*Tab_Data_Flows[[#This Row],[Flow_Py]],"N.A.")</f>
        <v>N.A.</v>
      </c>
      <c r="AH90" s="61">
        <f>Tab_Data_Flows[[#This Row],[UoM_Flow_Py]]</f>
        <v>0</v>
      </c>
      <c r="AI90" s="107" t="e">
        <f>INDEX(Tab_Def_Flows[[Flow_ID]:[CC_DM_source]],MATCH(Tab_Data_Flows[[#This Row],[Name(EN)]],Tab_Def_Flows[Name(EN)],0),20)</f>
        <v>#N/A</v>
      </c>
      <c r="AJ90" s="108" t="str">
        <f>IF(L90="Yes",AI90*Tab_Data_Flows[[#This Row],[Flow_Py]]*Tab_Data_Flows[[#This Row],[DM_'[%']]],"N.A.")</f>
        <v>N.A.</v>
      </c>
      <c r="AK90" s="61">
        <f>Tab_Data_Flows[[#This Row],[UoM_Flow_Py]]</f>
        <v>0</v>
      </c>
    </row>
    <row r="91" spans="1:37" x14ac:dyDescent="0.25">
      <c r="A91" s="60">
        <f t="shared" si="2"/>
        <v>90</v>
      </c>
      <c r="B91" s="49" t="str">
        <f>_xlfn.XLOOKUP(C91,Tab_Def_Flows[Name(EN)],Tab_Def_Flows[Flow_ID],,0,)</f>
        <v>F_12_12</v>
      </c>
      <c r="C91" s="51"/>
      <c r="D91" s="49">
        <f>_xlfn.XLOOKUP(C91,Tab_Def_Flows[Name(EN)],Tab_Def_Flows[Type_Biomass],,0,)</f>
        <v>0</v>
      </c>
      <c r="E91" s="49">
        <f>_xlfn.XLOOKUP(C91,Tab_Def_Flows[Name(EN)],Tab_Def_Flows[Output_Process],,0,)</f>
        <v>0</v>
      </c>
      <c r="F91" s="49" t="str">
        <f>_xlfn.XLOOKUP(C91,Tab_Def_Flows[Name(EN)],Tab_Def_Flows[Process_ID_O],,0,)</f>
        <v>12__</v>
      </c>
      <c r="G91" s="49">
        <f>_xlfn.XLOOKUP(C91,Tab_Def_Flows[Name(EN)],Tab_Def_Flows[Input_Process],,0,)</f>
        <v>0</v>
      </c>
      <c r="H91" s="61" t="str">
        <f>_xlfn.XLOOKUP(C91,Tab_Def_Flows[Name(EN)],Tab_Def_Flows[Process_ID_I],,0,)</f>
        <v>12__</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349</v>
      </c>
      <c r="O91" s="114"/>
      <c r="P91" s="51"/>
      <c r="Q91" s="51"/>
      <c r="R91" s="51"/>
      <c r="S91" s="51"/>
      <c r="T91" s="51"/>
      <c r="U91" s="51"/>
      <c r="V91" s="51"/>
      <c r="W91" s="51"/>
      <c r="X91" s="51" t="s">
        <v>70</v>
      </c>
      <c r="Y91" s="104"/>
      <c r="Z91" s="51"/>
      <c r="AA91" s="85">
        <f t="shared" si="3"/>
        <v>0</v>
      </c>
      <c r="AB91" s="51"/>
      <c r="AC91" s="107" t="e">
        <f>INDEX(Tab_Def_Flows[[Flow_ID]:[CC_DM_source]],MATCH(Tab_Data_Flows[[#This Row],[Name(EN)]],Tab_Def_Flows[Name(EN)],0),16)</f>
        <v>#N/A</v>
      </c>
      <c r="AD91" s="108" t="str">
        <f>IF(J91="Yes",AA91*Tab_Data_Flows[[#This Row],[WC_'[%']]],"N.A.")</f>
        <v>N.A.</v>
      </c>
      <c r="AE91" s="61">
        <f>Tab_Data_Flows[[#This Row],[UoM_Flow_Py]]</f>
        <v>0</v>
      </c>
      <c r="AF91" s="107" t="e">
        <f>INDEX(Tab_Def_Flows[[Flow_ID]:[CC_DM_source]],MATCH(Tab_Data_Flows[[#This Row],[Name(EN)]],Tab_Def_Flows[Name(EN)],0),18)</f>
        <v>#N/A</v>
      </c>
      <c r="AG91" s="108" t="str">
        <f>IF(K91="Yes",AF91*Tab_Data_Flows[[#This Row],[Flow_Py]],"N.A.")</f>
        <v>N.A.</v>
      </c>
      <c r="AH91" s="61">
        <f>Tab_Data_Flows[[#This Row],[UoM_Flow_Py]]</f>
        <v>0</v>
      </c>
      <c r="AI91" s="107" t="e">
        <f>INDEX(Tab_Def_Flows[[Flow_ID]:[CC_DM_source]],MATCH(Tab_Data_Flows[[#This Row],[Name(EN)]],Tab_Def_Flows[Name(EN)],0),20)</f>
        <v>#N/A</v>
      </c>
      <c r="AJ91" s="108" t="str">
        <f>IF(L91="Yes",AI91*Tab_Data_Flows[[#This Row],[Flow_Py]]*Tab_Data_Flows[[#This Row],[DM_'[%']]],"N.A.")</f>
        <v>N.A.</v>
      </c>
      <c r="AK91" s="61">
        <f>Tab_Data_Flows[[#This Row],[UoM_Flow_Py]]</f>
        <v>0</v>
      </c>
    </row>
    <row r="92" spans="1:37" x14ac:dyDescent="0.25">
      <c r="A92" s="60">
        <f t="shared" si="2"/>
        <v>91</v>
      </c>
      <c r="B92" s="49" t="str">
        <f>_xlfn.XLOOKUP(C92,Tab_Def_Flows[Name(EN)],Tab_Def_Flows[Flow_ID],,0,)</f>
        <v>F_12_12</v>
      </c>
      <c r="C92" s="51"/>
      <c r="D92" s="49">
        <f>_xlfn.XLOOKUP(C92,Tab_Def_Flows[Name(EN)],Tab_Def_Flows[Type_Biomass],,0,)</f>
        <v>0</v>
      </c>
      <c r="E92" s="49">
        <f>_xlfn.XLOOKUP(C92,Tab_Def_Flows[Name(EN)],Tab_Def_Flows[Output_Process],,0,)</f>
        <v>0</v>
      </c>
      <c r="F92" s="49" t="str">
        <f>_xlfn.XLOOKUP(C92,Tab_Def_Flows[Name(EN)],Tab_Def_Flows[Process_ID_O],,0,)</f>
        <v>12__</v>
      </c>
      <c r="G92" s="49">
        <f>_xlfn.XLOOKUP(C92,Tab_Def_Flows[Name(EN)],Tab_Def_Flows[Input_Process],,0,)</f>
        <v>0</v>
      </c>
      <c r="H92" s="61" t="str">
        <f>_xlfn.XLOOKUP(C92,Tab_Def_Flows[Name(EN)],Tab_Def_Flows[Process_ID_I],,0,)</f>
        <v>12__</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349</v>
      </c>
      <c r="O92" s="114"/>
      <c r="P92" s="51"/>
      <c r="Q92" s="51"/>
      <c r="R92" s="51"/>
      <c r="S92" s="51"/>
      <c r="T92" s="51"/>
      <c r="U92" s="51"/>
      <c r="V92" s="51"/>
      <c r="W92" s="51"/>
      <c r="X92" s="51" t="s">
        <v>70</v>
      </c>
      <c r="Y92" s="104"/>
      <c r="Z92" s="51"/>
      <c r="AA92" s="85">
        <f t="shared" si="3"/>
        <v>0</v>
      </c>
      <c r="AB92" s="51"/>
      <c r="AC92" s="107" t="e">
        <f>INDEX(Tab_Def_Flows[[Flow_ID]:[CC_DM_source]],MATCH(Tab_Data_Flows[[#This Row],[Name(EN)]],Tab_Def_Flows[Name(EN)],0),16)</f>
        <v>#N/A</v>
      </c>
      <c r="AD92" s="108" t="str">
        <f>IF(J92="Yes",AA92*Tab_Data_Flows[[#This Row],[WC_'[%']]],"N.A.")</f>
        <v>N.A.</v>
      </c>
      <c r="AE92" s="61">
        <f>Tab_Data_Flows[[#This Row],[UoM_Flow_Py]]</f>
        <v>0</v>
      </c>
      <c r="AF92" s="107" t="e">
        <f>INDEX(Tab_Def_Flows[[Flow_ID]:[CC_DM_source]],MATCH(Tab_Data_Flows[[#This Row],[Name(EN)]],Tab_Def_Flows[Name(EN)],0),18)</f>
        <v>#N/A</v>
      </c>
      <c r="AG92" s="108" t="str">
        <f>IF(K92="Yes",AF92*Tab_Data_Flows[[#This Row],[Flow_Py]],"N.A.")</f>
        <v>N.A.</v>
      </c>
      <c r="AH92" s="61">
        <f>Tab_Data_Flows[[#This Row],[UoM_Flow_Py]]</f>
        <v>0</v>
      </c>
      <c r="AI92" s="107" t="e">
        <f>INDEX(Tab_Def_Flows[[Flow_ID]:[CC_DM_source]],MATCH(Tab_Data_Flows[[#This Row],[Name(EN)]],Tab_Def_Flows[Name(EN)],0),20)</f>
        <v>#N/A</v>
      </c>
      <c r="AJ92" s="108" t="str">
        <f>IF(L92="Yes",AI92*Tab_Data_Flows[[#This Row],[Flow_Py]]*Tab_Data_Flows[[#This Row],[DM_'[%']]],"N.A.")</f>
        <v>N.A.</v>
      </c>
      <c r="AK92" s="61">
        <f>Tab_Data_Flows[[#This Row],[UoM_Flow_Py]]</f>
        <v>0</v>
      </c>
    </row>
    <row r="93" spans="1:37" x14ac:dyDescent="0.25">
      <c r="A93" s="60">
        <f t="shared" si="2"/>
        <v>92</v>
      </c>
      <c r="B93" s="49" t="str">
        <f>_xlfn.XLOOKUP(C93,Tab_Def_Flows[Name(EN)],Tab_Def_Flows[Flow_ID],,0,)</f>
        <v>F_12_12</v>
      </c>
      <c r="C93" s="51"/>
      <c r="D93" s="49">
        <f>_xlfn.XLOOKUP(C93,Tab_Def_Flows[Name(EN)],Tab_Def_Flows[Type_Biomass],,0,)</f>
        <v>0</v>
      </c>
      <c r="E93" s="49">
        <f>_xlfn.XLOOKUP(C93,Tab_Def_Flows[Name(EN)],Tab_Def_Flows[Output_Process],,0,)</f>
        <v>0</v>
      </c>
      <c r="F93" s="49" t="str">
        <f>_xlfn.XLOOKUP(C93,Tab_Def_Flows[Name(EN)],Tab_Def_Flows[Process_ID_O],,0,)</f>
        <v>12__</v>
      </c>
      <c r="G93" s="49">
        <f>_xlfn.XLOOKUP(C93,Tab_Def_Flows[Name(EN)],Tab_Def_Flows[Input_Process],,0,)</f>
        <v>0</v>
      </c>
      <c r="H93" s="61" t="str">
        <f>_xlfn.XLOOKUP(C93,Tab_Def_Flows[Name(EN)],Tab_Def_Flows[Process_ID_I],,0,)</f>
        <v>12__</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349</v>
      </c>
      <c r="O93" s="114"/>
      <c r="P93" s="51"/>
      <c r="Q93" s="51"/>
      <c r="R93" s="51"/>
      <c r="S93" s="51"/>
      <c r="T93" s="51"/>
      <c r="U93" s="51"/>
      <c r="V93" s="51"/>
      <c r="W93" s="51"/>
      <c r="X93" s="51" t="s">
        <v>70</v>
      </c>
      <c r="Y93" s="104"/>
      <c r="Z93" s="51"/>
      <c r="AA93" s="85">
        <f t="shared" si="3"/>
        <v>0</v>
      </c>
      <c r="AB93" s="51"/>
      <c r="AC93" s="107" t="e">
        <f>INDEX(Tab_Def_Flows[[Flow_ID]:[CC_DM_source]],MATCH(Tab_Data_Flows[[#This Row],[Name(EN)]],Tab_Def_Flows[Name(EN)],0),16)</f>
        <v>#N/A</v>
      </c>
      <c r="AD93" s="108" t="str">
        <f>IF(J93="Yes",AA93*Tab_Data_Flows[[#This Row],[WC_'[%']]],"N.A.")</f>
        <v>N.A.</v>
      </c>
      <c r="AE93" s="61">
        <f>Tab_Data_Flows[[#This Row],[UoM_Flow_Py]]</f>
        <v>0</v>
      </c>
      <c r="AF93" s="107" t="e">
        <f>INDEX(Tab_Def_Flows[[Flow_ID]:[CC_DM_source]],MATCH(Tab_Data_Flows[[#This Row],[Name(EN)]],Tab_Def_Flows[Name(EN)],0),18)</f>
        <v>#N/A</v>
      </c>
      <c r="AG93" s="108" t="str">
        <f>IF(K93="Yes",AF93*Tab_Data_Flows[[#This Row],[Flow_Py]],"N.A.")</f>
        <v>N.A.</v>
      </c>
      <c r="AH93" s="61">
        <f>Tab_Data_Flows[[#This Row],[UoM_Flow_Py]]</f>
        <v>0</v>
      </c>
      <c r="AI93" s="107" t="e">
        <f>INDEX(Tab_Def_Flows[[Flow_ID]:[CC_DM_source]],MATCH(Tab_Data_Flows[[#This Row],[Name(EN)]],Tab_Def_Flows[Name(EN)],0),20)</f>
        <v>#N/A</v>
      </c>
      <c r="AJ93" s="108" t="str">
        <f>IF(L93="Yes",AI93*Tab_Data_Flows[[#This Row],[Flow_Py]]*Tab_Data_Flows[[#This Row],[DM_'[%']]],"N.A.")</f>
        <v>N.A.</v>
      </c>
      <c r="AK93" s="61">
        <f>Tab_Data_Flows[[#This Row],[UoM_Flow_Py]]</f>
        <v>0</v>
      </c>
    </row>
    <row r="94" spans="1:37" x14ac:dyDescent="0.25">
      <c r="A94" s="60">
        <f t="shared" si="2"/>
        <v>93</v>
      </c>
      <c r="B94" s="49" t="str">
        <f>_xlfn.XLOOKUP(C94,Tab_Def_Flows[Name(EN)],Tab_Def_Flows[Flow_ID],,0,)</f>
        <v>F_12_12</v>
      </c>
      <c r="C94" s="51"/>
      <c r="D94" s="49">
        <f>_xlfn.XLOOKUP(C94,Tab_Def_Flows[Name(EN)],Tab_Def_Flows[Type_Biomass],,0,)</f>
        <v>0</v>
      </c>
      <c r="E94" s="49">
        <f>_xlfn.XLOOKUP(C94,Tab_Def_Flows[Name(EN)],Tab_Def_Flows[Output_Process],,0,)</f>
        <v>0</v>
      </c>
      <c r="F94" s="49" t="str">
        <f>_xlfn.XLOOKUP(C94,Tab_Def_Flows[Name(EN)],Tab_Def_Flows[Process_ID_O],,0,)</f>
        <v>12__</v>
      </c>
      <c r="G94" s="49">
        <f>_xlfn.XLOOKUP(C94,Tab_Def_Flows[Name(EN)],Tab_Def_Flows[Input_Process],,0,)</f>
        <v>0</v>
      </c>
      <c r="H94" s="61" t="str">
        <f>_xlfn.XLOOKUP(C94,Tab_Def_Flows[Name(EN)],Tab_Def_Flows[Process_ID_I],,0,)</f>
        <v>12__</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349</v>
      </c>
      <c r="O94" s="114"/>
      <c r="P94" s="51"/>
      <c r="Q94" s="51"/>
      <c r="R94" s="51"/>
      <c r="S94" s="51"/>
      <c r="T94" s="51"/>
      <c r="U94" s="51"/>
      <c r="V94" s="51"/>
      <c r="W94" s="51"/>
      <c r="X94" s="51" t="s">
        <v>70</v>
      </c>
      <c r="Y94" s="104"/>
      <c r="Z94" s="51"/>
      <c r="AA94" s="85">
        <f t="shared" si="3"/>
        <v>0</v>
      </c>
      <c r="AB94" s="51"/>
      <c r="AC94" s="107" t="e">
        <f>INDEX(Tab_Def_Flows[[Flow_ID]:[CC_DM_source]],MATCH(Tab_Data_Flows[[#This Row],[Name(EN)]],Tab_Def_Flows[Name(EN)],0),16)</f>
        <v>#N/A</v>
      </c>
      <c r="AD94" s="108" t="str">
        <f>IF(J94="Yes",AA94*Tab_Data_Flows[[#This Row],[WC_'[%']]],"N.A.")</f>
        <v>N.A.</v>
      </c>
      <c r="AE94" s="61">
        <f>Tab_Data_Flows[[#This Row],[UoM_Flow_Py]]</f>
        <v>0</v>
      </c>
      <c r="AF94" s="107" t="e">
        <f>INDEX(Tab_Def_Flows[[Flow_ID]:[CC_DM_source]],MATCH(Tab_Data_Flows[[#This Row],[Name(EN)]],Tab_Def_Flows[Name(EN)],0),18)</f>
        <v>#N/A</v>
      </c>
      <c r="AG94" s="108" t="str">
        <f>IF(K94="Yes",AF94*Tab_Data_Flows[[#This Row],[Flow_Py]],"N.A.")</f>
        <v>N.A.</v>
      </c>
      <c r="AH94" s="61">
        <f>Tab_Data_Flows[[#This Row],[UoM_Flow_Py]]</f>
        <v>0</v>
      </c>
      <c r="AI94" s="107" t="e">
        <f>INDEX(Tab_Def_Flows[[Flow_ID]:[CC_DM_source]],MATCH(Tab_Data_Flows[[#This Row],[Name(EN)]],Tab_Def_Flows[Name(EN)],0),20)</f>
        <v>#N/A</v>
      </c>
      <c r="AJ94" s="108" t="str">
        <f>IF(L94="Yes",AI94*Tab_Data_Flows[[#This Row],[Flow_Py]]*Tab_Data_Flows[[#This Row],[DM_'[%']]],"N.A.")</f>
        <v>N.A.</v>
      </c>
      <c r="AK94" s="61">
        <f>Tab_Data_Flows[[#This Row],[UoM_Flow_Py]]</f>
        <v>0</v>
      </c>
    </row>
    <row r="95" spans="1:37" x14ac:dyDescent="0.25">
      <c r="A95" s="60">
        <f t="shared" si="2"/>
        <v>94</v>
      </c>
      <c r="B95" s="49" t="str">
        <f>_xlfn.XLOOKUP(C95,Tab_Def_Flows[Name(EN)],Tab_Def_Flows[Flow_ID],,0,)</f>
        <v>F_12_12</v>
      </c>
      <c r="C95" s="51"/>
      <c r="D95" s="49">
        <f>_xlfn.XLOOKUP(C95,Tab_Def_Flows[Name(EN)],Tab_Def_Flows[Type_Biomass],,0,)</f>
        <v>0</v>
      </c>
      <c r="E95" s="49">
        <f>_xlfn.XLOOKUP(C95,Tab_Def_Flows[Name(EN)],Tab_Def_Flows[Output_Process],,0,)</f>
        <v>0</v>
      </c>
      <c r="F95" s="49" t="str">
        <f>_xlfn.XLOOKUP(C95,Tab_Def_Flows[Name(EN)],Tab_Def_Flows[Process_ID_O],,0,)</f>
        <v>12__</v>
      </c>
      <c r="G95" s="49">
        <f>_xlfn.XLOOKUP(C95,Tab_Def_Flows[Name(EN)],Tab_Def_Flows[Input_Process],,0,)</f>
        <v>0</v>
      </c>
      <c r="H95" s="61" t="str">
        <f>_xlfn.XLOOKUP(C95,Tab_Def_Flows[Name(EN)],Tab_Def_Flows[Process_ID_I],,0,)</f>
        <v>12__</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349</v>
      </c>
      <c r="O95" s="114"/>
      <c r="P95" s="51"/>
      <c r="Q95" s="51"/>
      <c r="R95" s="51"/>
      <c r="S95" s="51"/>
      <c r="T95" s="51"/>
      <c r="U95" s="51"/>
      <c r="V95" s="51"/>
      <c r="W95" s="51"/>
      <c r="X95" s="51" t="s">
        <v>70</v>
      </c>
      <c r="Y95" s="104"/>
      <c r="Z95" s="51"/>
      <c r="AA95" s="85">
        <f t="shared" si="3"/>
        <v>0</v>
      </c>
      <c r="AB95" s="51"/>
      <c r="AC95" s="107" t="e">
        <f>INDEX(Tab_Def_Flows[[Flow_ID]:[CC_DM_source]],MATCH(Tab_Data_Flows[[#This Row],[Name(EN)]],Tab_Def_Flows[Name(EN)],0),16)</f>
        <v>#N/A</v>
      </c>
      <c r="AD95" s="108" t="str">
        <f>IF(J95="Yes",AA95*Tab_Data_Flows[[#This Row],[WC_'[%']]],"N.A.")</f>
        <v>N.A.</v>
      </c>
      <c r="AE95" s="61">
        <f>Tab_Data_Flows[[#This Row],[UoM_Flow_Py]]</f>
        <v>0</v>
      </c>
      <c r="AF95" s="107" t="e">
        <f>INDEX(Tab_Def_Flows[[Flow_ID]:[CC_DM_source]],MATCH(Tab_Data_Flows[[#This Row],[Name(EN)]],Tab_Def_Flows[Name(EN)],0),18)</f>
        <v>#N/A</v>
      </c>
      <c r="AG95" s="108" t="str">
        <f>IF(K95="Yes",AF95*Tab_Data_Flows[[#This Row],[Flow_Py]],"N.A.")</f>
        <v>N.A.</v>
      </c>
      <c r="AH95" s="61">
        <f>Tab_Data_Flows[[#This Row],[UoM_Flow_Py]]</f>
        <v>0</v>
      </c>
      <c r="AI95" s="107" t="e">
        <f>INDEX(Tab_Def_Flows[[Flow_ID]:[CC_DM_source]],MATCH(Tab_Data_Flows[[#This Row],[Name(EN)]],Tab_Def_Flows[Name(EN)],0),20)</f>
        <v>#N/A</v>
      </c>
      <c r="AJ95" s="108" t="str">
        <f>IF(L95="Yes",AI95*Tab_Data_Flows[[#This Row],[Flow_Py]]*Tab_Data_Flows[[#This Row],[DM_'[%']]],"N.A.")</f>
        <v>N.A.</v>
      </c>
      <c r="AK95" s="61">
        <f>Tab_Data_Flows[[#This Row],[UoM_Flow_Py]]</f>
        <v>0</v>
      </c>
    </row>
    <row r="96" spans="1:37" x14ac:dyDescent="0.25">
      <c r="A96" s="60">
        <f t="shared" si="2"/>
        <v>95</v>
      </c>
      <c r="B96" s="49" t="str">
        <f>_xlfn.XLOOKUP(C96,Tab_Def_Flows[Name(EN)],Tab_Def_Flows[Flow_ID],,0,)</f>
        <v>F_12_12</v>
      </c>
      <c r="C96" s="51"/>
      <c r="D96" s="49"/>
      <c r="E96" s="49">
        <f>_xlfn.XLOOKUP(C96,Tab_Def_Flows[Name(EN)],Tab_Def_Flows[Output_Process],,0,)</f>
        <v>0</v>
      </c>
      <c r="F96" s="49" t="str">
        <f>_xlfn.XLOOKUP(C96,Tab_Def_Flows[Name(EN)],Tab_Def_Flows[Process_ID_O],,0,)</f>
        <v>12__</v>
      </c>
      <c r="G96" s="49">
        <f>_xlfn.XLOOKUP(C96,Tab_Def_Flows[Name(EN)],Tab_Def_Flows[Input_Process],,0,)</f>
        <v>0</v>
      </c>
      <c r="H96" s="61" t="str">
        <f>_xlfn.XLOOKUP(C96,Tab_Def_Flows[Name(EN)],Tab_Def_Flows[Process_ID_I],,0,)</f>
        <v>12__</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c r="AC96" s="107" t="e">
        <f>INDEX(Tab_Def_Flows[[Flow_ID]:[CC_DM_source]],MATCH(Tab_Data_Flows[[#This Row],[Name(EN)]],Tab_Def_Flows[Name(EN)],0),16)</f>
        <v>#N/A</v>
      </c>
      <c r="AD96" s="108" t="str">
        <f>IF(J96="Yes",AA96*Tab_Data_Flows[[#This Row],[WC_'[%']]],"N.A.")</f>
        <v>N.A.</v>
      </c>
      <c r="AE96" s="61">
        <f>Tab_Data_Flows[[#This Row],[UoM_Flow_Py]]</f>
        <v>0</v>
      </c>
      <c r="AF96" s="107" t="e">
        <f>INDEX(Tab_Def_Flows[[Flow_ID]:[CC_DM_source]],MATCH(Tab_Data_Flows[[#This Row],[Name(EN)]],Tab_Def_Flows[Name(EN)],0),18)</f>
        <v>#N/A</v>
      </c>
      <c r="AG96" s="108" t="str">
        <f>IF(K96="Yes",AF96*Tab_Data_Flows[[#This Row],[Flow_Py]],"N.A.")</f>
        <v>N.A.</v>
      </c>
      <c r="AH96" s="61">
        <f>Tab_Data_Flows[[#This Row],[UoM_Flow_Py]]</f>
        <v>0</v>
      </c>
      <c r="AI96" s="107" t="e">
        <f>INDEX(Tab_Def_Flows[[Flow_ID]:[CC_DM_source]],MATCH(Tab_Data_Flows[[#This Row],[Name(EN)]],Tab_Def_Flows[Name(EN)],0),20)</f>
        <v>#N/A</v>
      </c>
      <c r="AJ96" s="108" t="str">
        <f>IF(L96="Yes",AI96*Tab_Data_Flows[[#This Row],[Flow_Py]]*Tab_Data_Flows[[#This Row],[DM_'[%']]],"N.A.")</f>
        <v>N.A.</v>
      </c>
      <c r="AK96" s="61">
        <f>Tab_Data_Flows[[#This Row],[UoM_Flow_Py]]</f>
        <v>0</v>
      </c>
    </row>
    <row r="97" spans="1:37" x14ac:dyDescent="0.25">
      <c r="A97" s="60">
        <f t="shared" si="2"/>
        <v>96</v>
      </c>
      <c r="B97" s="49" t="str">
        <f>_xlfn.XLOOKUP(C97,Tab_Def_Flows[Name(EN)],Tab_Def_Flows[Flow_ID],,0,)</f>
        <v>F_12_12</v>
      </c>
      <c r="C97" s="51"/>
      <c r="D97" s="49"/>
      <c r="E97" s="49">
        <f>_xlfn.XLOOKUP(C97,Tab_Def_Flows[Name(EN)],Tab_Def_Flows[Output_Process],,0,)</f>
        <v>0</v>
      </c>
      <c r="F97" s="49" t="str">
        <f>_xlfn.XLOOKUP(C97,Tab_Def_Flows[Name(EN)],Tab_Def_Flows[Process_ID_O],,0,)</f>
        <v>12__</v>
      </c>
      <c r="G97" s="49">
        <f>_xlfn.XLOOKUP(C97,Tab_Def_Flows[Name(EN)],Tab_Def_Flows[Input_Process],,0,)</f>
        <v>0</v>
      </c>
      <c r="H97" s="61" t="str">
        <f>_xlfn.XLOOKUP(C97,Tab_Def_Flows[Name(EN)],Tab_Def_Flows[Process_ID_I],,0,)</f>
        <v>12__</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c r="AC97" s="107" t="e">
        <f>INDEX(Tab_Def_Flows[[Flow_ID]:[CC_DM_source]],MATCH(Tab_Data_Flows[[#This Row],[Name(EN)]],Tab_Def_Flows[Name(EN)],0),16)</f>
        <v>#N/A</v>
      </c>
      <c r="AD97" s="108" t="str">
        <f>IF(J97="Yes",AA97*Tab_Data_Flows[[#This Row],[WC_'[%']]],"N.A.")</f>
        <v>N.A.</v>
      </c>
      <c r="AE97" s="61">
        <f>Tab_Data_Flows[[#This Row],[UoM_Flow_Py]]</f>
        <v>0</v>
      </c>
      <c r="AF97" s="107" t="e">
        <f>INDEX(Tab_Def_Flows[[Flow_ID]:[CC_DM_source]],MATCH(Tab_Data_Flows[[#This Row],[Name(EN)]],Tab_Def_Flows[Name(EN)],0),18)</f>
        <v>#N/A</v>
      </c>
      <c r="AG97" s="108" t="str">
        <f>IF(K97="Yes",AF97*Tab_Data_Flows[[#This Row],[Flow_Py]],"N.A.")</f>
        <v>N.A.</v>
      </c>
      <c r="AH97" s="61">
        <f>Tab_Data_Flows[[#This Row],[UoM_Flow_Py]]</f>
        <v>0</v>
      </c>
      <c r="AI97" s="107" t="e">
        <f>INDEX(Tab_Def_Flows[[Flow_ID]:[CC_DM_source]],MATCH(Tab_Data_Flows[[#This Row],[Name(EN)]],Tab_Def_Flows[Name(EN)],0),20)</f>
        <v>#N/A</v>
      </c>
      <c r="AJ97" s="108" t="str">
        <f>IF(L97="Yes",AI97*Tab_Data_Flows[[#This Row],[Flow_Py]]*Tab_Data_Flows[[#This Row],[DM_'[%']]],"N.A.")</f>
        <v>N.A.</v>
      </c>
      <c r="AK97" s="61">
        <f>Tab_Data_Flows[[#This Row],[UoM_Flow_Py]]</f>
        <v>0</v>
      </c>
    </row>
    <row r="98" spans="1:37" x14ac:dyDescent="0.25">
      <c r="A98" s="60">
        <f t="shared" si="2"/>
        <v>97</v>
      </c>
      <c r="B98" s="49" t="str">
        <f>_xlfn.XLOOKUP(C98,Tab_Def_Flows[Name(EN)],Tab_Def_Flows[Flow_ID],,0,)</f>
        <v>F_12_12</v>
      </c>
      <c r="C98" s="51"/>
      <c r="D98" s="49"/>
      <c r="E98" s="49">
        <f>_xlfn.XLOOKUP(C98,Tab_Def_Flows[Name(EN)],Tab_Def_Flows[Output_Process],,0,)</f>
        <v>0</v>
      </c>
      <c r="F98" s="49" t="str">
        <f>_xlfn.XLOOKUP(C98,Tab_Def_Flows[Name(EN)],Tab_Def_Flows[Process_ID_O],,0,)</f>
        <v>12__</v>
      </c>
      <c r="G98" s="49">
        <f>_xlfn.XLOOKUP(C98,Tab_Def_Flows[Name(EN)],Tab_Def_Flows[Input_Process],,0,)</f>
        <v>0</v>
      </c>
      <c r="H98" s="61" t="str">
        <f>_xlfn.XLOOKUP(C98,Tab_Def_Flows[Name(EN)],Tab_Def_Flows[Process_ID_I],,0,)</f>
        <v>12__</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c r="AC98" s="107" t="e">
        <f>INDEX(Tab_Def_Flows[[Flow_ID]:[CC_DM_source]],MATCH(Tab_Data_Flows[[#This Row],[Name(EN)]],Tab_Def_Flows[Name(EN)],0),16)</f>
        <v>#N/A</v>
      </c>
      <c r="AD98" s="108" t="str">
        <f>IF(J98="Yes",AA98*Tab_Data_Flows[[#This Row],[WC_'[%']]],"N.A.")</f>
        <v>N.A.</v>
      </c>
      <c r="AE98" s="61">
        <f>Tab_Data_Flows[[#This Row],[UoM_Flow_Py]]</f>
        <v>0</v>
      </c>
      <c r="AF98" s="107" t="e">
        <f>INDEX(Tab_Def_Flows[[Flow_ID]:[CC_DM_source]],MATCH(Tab_Data_Flows[[#This Row],[Name(EN)]],Tab_Def_Flows[Name(EN)],0),18)</f>
        <v>#N/A</v>
      </c>
      <c r="AG98" s="108" t="str">
        <f>IF(K98="Yes",AF98*Tab_Data_Flows[[#This Row],[Flow_Py]],"N.A.")</f>
        <v>N.A.</v>
      </c>
      <c r="AH98" s="61">
        <f>Tab_Data_Flows[[#This Row],[UoM_Flow_Py]]</f>
        <v>0</v>
      </c>
      <c r="AI98" s="107" t="e">
        <f>INDEX(Tab_Def_Flows[[Flow_ID]:[CC_DM_source]],MATCH(Tab_Data_Flows[[#This Row],[Name(EN)]],Tab_Def_Flows[Name(EN)],0),20)</f>
        <v>#N/A</v>
      </c>
      <c r="AJ98" s="108" t="str">
        <f>IF(L98="Yes",AI98*Tab_Data_Flows[[#This Row],[Flow_Py]]*Tab_Data_Flows[[#This Row],[DM_'[%']]],"N.A.")</f>
        <v>N.A.</v>
      </c>
      <c r="AK98" s="61">
        <f>Tab_Data_Flows[[#This Row],[UoM_Flow_Py]]</f>
        <v>0</v>
      </c>
    </row>
    <row r="99" spans="1:37" x14ac:dyDescent="0.25">
      <c r="A99" s="60">
        <f t="shared" si="2"/>
        <v>98</v>
      </c>
      <c r="B99" s="49" t="str">
        <f>_xlfn.XLOOKUP(C99,Tab_Def_Flows[Name(EN)],Tab_Def_Flows[Flow_ID],,0,)</f>
        <v>F_12_12</v>
      </c>
      <c r="C99" s="51"/>
      <c r="D99" s="49"/>
      <c r="E99" s="49">
        <f>_xlfn.XLOOKUP(C99,Tab_Def_Flows[Name(EN)],Tab_Def_Flows[Output_Process],,0,)</f>
        <v>0</v>
      </c>
      <c r="F99" s="49" t="str">
        <f>_xlfn.XLOOKUP(C99,Tab_Def_Flows[Name(EN)],Tab_Def_Flows[Process_ID_O],,0,)</f>
        <v>12__</v>
      </c>
      <c r="G99" s="49">
        <f>_xlfn.XLOOKUP(C99,Tab_Def_Flows[Name(EN)],Tab_Def_Flows[Input_Process],,0,)</f>
        <v>0</v>
      </c>
      <c r="H99" s="61" t="str">
        <f>_xlfn.XLOOKUP(C99,Tab_Def_Flows[Name(EN)],Tab_Def_Flows[Process_ID_I],,0,)</f>
        <v>12__</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c r="AC99" s="107" t="e">
        <f>INDEX(Tab_Def_Flows[[Flow_ID]:[CC_DM_source]],MATCH(Tab_Data_Flows[[#This Row],[Name(EN)]],Tab_Def_Flows[Name(EN)],0),16)</f>
        <v>#N/A</v>
      </c>
      <c r="AD99" s="108" t="str">
        <f>IF(J99="Yes",AA99*Tab_Data_Flows[[#This Row],[WC_'[%']]],"N.A.")</f>
        <v>N.A.</v>
      </c>
      <c r="AE99" s="61">
        <f>Tab_Data_Flows[[#This Row],[UoM_Flow_Py]]</f>
        <v>0</v>
      </c>
      <c r="AF99" s="107" t="e">
        <f>INDEX(Tab_Def_Flows[[Flow_ID]:[CC_DM_source]],MATCH(Tab_Data_Flows[[#This Row],[Name(EN)]],Tab_Def_Flows[Name(EN)],0),18)</f>
        <v>#N/A</v>
      </c>
      <c r="AG99" s="108" t="str">
        <f>IF(K99="Yes",AF99*Tab_Data_Flows[[#This Row],[Flow_Py]],"N.A.")</f>
        <v>N.A.</v>
      </c>
      <c r="AH99" s="61">
        <f>Tab_Data_Flows[[#This Row],[UoM_Flow_Py]]</f>
        <v>0</v>
      </c>
      <c r="AI99" s="107" t="e">
        <f>INDEX(Tab_Def_Flows[[Flow_ID]:[CC_DM_source]],MATCH(Tab_Data_Flows[[#This Row],[Name(EN)]],Tab_Def_Flows[Name(EN)],0),20)</f>
        <v>#N/A</v>
      </c>
      <c r="AJ99" s="108" t="str">
        <f>IF(L99="Yes",AI99*Tab_Data_Flows[[#This Row],[Flow_Py]]*Tab_Data_Flows[[#This Row],[DM_'[%']]],"N.A.")</f>
        <v>N.A.</v>
      </c>
      <c r="AK99" s="61">
        <f>Tab_Data_Flows[[#This Row],[UoM_Flow_Py]]</f>
        <v>0</v>
      </c>
    </row>
    <row r="100" spans="1:37" x14ac:dyDescent="0.25">
      <c r="A100" s="60">
        <f t="shared" si="2"/>
        <v>99</v>
      </c>
      <c r="B100" s="49" t="str">
        <f>_xlfn.XLOOKUP(C100,Tab_Def_Flows[Name(EN)],Tab_Def_Flows[Flow_ID],,0,)</f>
        <v>F_12_12</v>
      </c>
      <c r="C100" s="51"/>
      <c r="D100" s="49"/>
      <c r="E100" s="49">
        <f>_xlfn.XLOOKUP(C100,Tab_Def_Flows[Name(EN)],Tab_Def_Flows[Output_Process],,0,)</f>
        <v>0</v>
      </c>
      <c r="F100" s="49" t="str">
        <f>_xlfn.XLOOKUP(C100,Tab_Def_Flows[Name(EN)],Tab_Def_Flows[Process_ID_O],,0,)</f>
        <v>12__</v>
      </c>
      <c r="G100" s="49">
        <f>_xlfn.XLOOKUP(C100,Tab_Def_Flows[Name(EN)],Tab_Def_Flows[Input_Process],,0,)</f>
        <v>0</v>
      </c>
      <c r="H100" s="61" t="str">
        <f>_xlfn.XLOOKUP(C100,Tab_Def_Flows[Name(EN)],Tab_Def_Flows[Process_ID_I],,0,)</f>
        <v>12__</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c r="AC100" s="107" t="e">
        <f>INDEX(Tab_Def_Flows[[Flow_ID]:[CC_DM_source]],MATCH(Tab_Data_Flows[[#This Row],[Name(EN)]],Tab_Def_Flows[Name(EN)],0),16)</f>
        <v>#N/A</v>
      </c>
      <c r="AD100" s="108" t="str">
        <f>IF(J100="Yes",AA100*Tab_Data_Flows[[#This Row],[WC_'[%']]],"N.A.")</f>
        <v>N.A.</v>
      </c>
      <c r="AE100" s="61">
        <f>Tab_Data_Flows[[#This Row],[UoM_Flow_Py]]</f>
        <v>0</v>
      </c>
      <c r="AF100" s="107" t="e">
        <f>INDEX(Tab_Def_Flows[[Flow_ID]:[CC_DM_source]],MATCH(Tab_Data_Flows[[#This Row],[Name(EN)]],Tab_Def_Flows[Name(EN)],0),18)</f>
        <v>#N/A</v>
      </c>
      <c r="AG100" s="108" t="str">
        <f>IF(K100="Yes",AF100*Tab_Data_Flows[[#This Row],[Flow_Py]],"N.A.")</f>
        <v>N.A.</v>
      </c>
      <c r="AH100" s="61">
        <f>Tab_Data_Flows[[#This Row],[UoM_Flow_Py]]</f>
        <v>0</v>
      </c>
      <c r="AI100" s="107" t="e">
        <f>INDEX(Tab_Def_Flows[[Flow_ID]:[CC_DM_source]],MATCH(Tab_Data_Flows[[#This Row],[Name(EN)]],Tab_Def_Flows[Name(EN)],0),20)</f>
        <v>#N/A</v>
      </c>
      <c r="AJ100" s="108" t="str">
        <f>IF(L100="Yes",AI100*Tab_Data_Flows[[#This Row],[Flow_Py]]*Tab_Data_Flows[[#This Row],[DM_'[%']]],"N.A.")</f>
        <v>N.A.</v>
      </c>
      <c r="AK100" s="61">
        <f>Tab_Data_Flows[[#This Row],[UoM_Flow_Py]]</f>
        <v>0</v>
      </c>
    </row>
    <row r="101" spans="1:37" x14ac:dyDescent="0.25">
      <c r="A101" s="60">
        <f t="shared" si="2"/>
        <v>100</v>
      </c>
      <c r="B101" s="49" t="str">
        <f>_xlfn.XLOOKUP(C101,Tab_Def_Flows[Name(EN)],Tab_Def_Flows[Flow_ID],,0,)</f>
        <v>F_12_12</v>
      </c>
      <c r="C101" s="51"/>
      <c r="D101" s="49"/>
      <c r="E101" s="49">
        <f>_xlfn.XLOOKUP(C101,Tab_Def_Flows[Name(EN)],Tab_Def_Flows[Output_Process],,0,)</f>
        <v>0</v>
      </c>
      <c r="F101" s="49" t="str">
        <f>_xlfn.XLOOKUP(C101,Tab_Def_Flows[Name(EN)],Tab_Def_Flows[Process_ID_O],,0,)</f>
        <v>12__</v>
      </c>
      <c r="G101" s="49">
        <f>_xlfn.XLOOKUP(C101,Tab_Def_Flows[Name(EN)],Tab_Def_Flows[Input_Process],,0,)</f>
        <v>0</v>
      </c>
      <c r="H101" s="61" t="str">
        <f>_xlfn.XLOOKUP(C101,Tab_Def_Flows[Name(EN)],Tab_Def_Flows[Process_ID_I],,0,)</f>
        <v>12__</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c r="AC101" s="107" t="e">
        <f>INDEX(Tab_Def_Flows[[Flow_ID]:[CC_DM_source]],MATCH(Tab_Data_Flows[[#This Row],[Name(EN)]],Tab_Def_Flows[Name(EN)],0),16)</f>
        <v>#N/A</v>
      </c>
      <c r="AD101" s="108" t="str">
        <f>IF(J101="Yes",AA101*Tab_Data_Flows[[#This Row],[WC_'[%']]],"N.A.")</f>
        <v>N.A.</v>
      </c>
      <c r="AE101" s="61">
        <f>Tab_Data_Flows[[#This Row],[UoM_Flow_Py]]</f>
        <v>0</v>
      </c>
      <c r="AF101" s="107" t="e">
        <f>INDEX(Tab_Def_Flows[[Flow_ID]:[CC_DM_source]],MATCH(Tab_Data_Flows[[#This Row],[Name(EN)]],Tab_Def_Flows[Name(EN)],0),18)</f>
        <v>#N/A</v>
      </c>
      <c r="AG101" s="108" t="str">
        <f>IF(K101="Yes",AF101*Tab_Data_Flows[[#This Row],[Flow_Py]],"N.A.")</f>
        <v>N.A.</v>
      </c>
      <c r="AH101" s="61">
        <f>Tab_Data_Flows[[#This Row],[UoM_Flow_Py]]</f>
        <v>0</v>
      </c>
      <c r="AI101" s="107" t="e">
        <f>INDEX(Tab_Def_Flows[[Flow_ID]:[CC_DM_source]],MATCH(Tab_Data_Flows[[#This Row],[Name(EN)]],Tab_Def_Flows[Name(EN)],0),20)</f>
        <v>#N/A</v>
      </c>
      <c r="AJ101" s="108" t="str">
        <f>IF(L101="Yes",AI101*Tab_Data_Flows[[#This Row],[Flow_Py]]*Tab_Data_Flows[[#This Row],[DM_'[%']]],"N.A.")</f>
        <v>N.A.</v>
      </c>
      <c r="AK101" s="61">
        <f>Tab_Data_Flows[[#This Row],[UoM_Flow_Py]]</f>
        <v>0</v>
      </c>
    </row>
    <row r="102" spans="1:37" x14ac:dyDescent="0.25">
      <c r="A102" s="60">
        <f t="shared" si="2"/>
        <v>101</v>
      </c>
      <c r="B102" s="49" t="str">
        <f>_xlfn.XLOOKUP(C102,Tab_Def_Flows[Name(EN)],Tab_Def_Flows[Flow_ID],,0,)</f>
        <v>F_12_12</v>
      </c>
      <c r="C102" s="51"/>
      <c r="D102" s="49"/>
      <c r="E102" s="49">
        <f>_xlfn.XLOOKUP(C102,Tab_Def_Flows[Name(EN)],Tab_Def_Flows[Output_Process],,0,)</f>
        <v>0</v>
      </c>
      <c r="F102" s="49" t="str">
        <f>_xlfn.XLOOKUP(C102,Tab_Def_Flows[Name(EN)],Tab_Def_Flows[Process_ID_O],,0,)</f>
        <v>12__</v>
      </c>
      <c r="G102" s="49">
        <f>_xlfn.XLOOKUP(C102,Tab_Def_Flows[Name(EN)],Tab_Def_Flows[Input_Process],,0,)</f>
        <v>0</v>
      </c>
      <c r="H102" s="61" t="str">
        <f>_xlfn.XLOOKUP(C102,Tab_Def_Flows[Name(EN)],Tab_Def_Flows[Process_ID_I],,0,)</f>
        <v>12__</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c r="AC102" s="107" t="e">
        <f>INDEX(Tab_Def_Flows[[Flow_ID]:[CC_DM_source]],MATCH(Tab_Data_Flows[[#This Row],[Name(EN)]],Tab_Def_Flows[Name(EN)],0),16)</f>
        <v>#N/A</v>
      </c>
      <c r="AD102" s="108" t="str">
        <f>IF(J102="Yes",AA102*Tab_Data_Flows[[#This Row],[WC_'[%']]],"N.A.")</f>
        <v>N.A.</v>
      </c>
      <c r="AE102" s="61">
        <f>Tab_Data_Flows[[#This Row],[UoM_Flow_Py]]</f>
        <v>0</v>
      </c>
      <c r="AF102" s="107" t="e">
        <f>INDEX(Tab_Def_Flows[[Flow_ID]:[CC_DM_source]],MATCH(Tab_Data_Flows[[#This Row],[Name(EN)]],Tab_Def_Flows[Name(EN)],0),18)</f>
        <v>#N/A</v>
      </c>
      <c r="AG102" s="108" t="str">
        <f>IF(K102="Yes",AF102*Tab_Data_Flows[[#This Row],[Flow_Py]],"N.A.")</f>
        <v>N.A.</v>
      </c>
      <c r="AH102" s="61">
        <f>Tab_Data_Flows[[#This Row],[UoM_Flow_Py]]</f>
        <v>0</v>
      </c>
      <c r="AI102" s="107" t="e">
        <f>INDEX(Tab_Def_Flows[[Flow_ID]:[CC_DM_source]],MATCH(Tab_Data_Flows[[#This Row],[Name(EN)]],Tab_Def_Flows[Name(EN)],0),20)</f>
        <v>#N/A</v>
      </c>
      <c r="AJ102" s="108" t="str">
        <f>IF(L102="Yes",AI102*Tab_Data_Flows[[#This Row],[Flow_Py]]*Tab_Data_Flows[[#This Row],[DM_'[%']]],"N.A.")</f>
        <v>N.A.</v>
      </c>
      <c r="AK102" s="61">
        <f>Tab_Data_Flows[[#This Row],[UoM_Flow_Py]]</f>
        <v>0</v>
      </c>
    </row>
    <row r="103" spans="1:37" x14ac:dyDescent="0.25">
      <c r="A103" s="60">
        <f t="shared" si="2"/>
        <v>102</v>
      </c>
      <c r="B103" s="49" t="str">
        <f>_xlfn.XLOOKUP(C103,Tab_Def_Flows[Name(EN)],Tab_Def_Flows[Flow_ID],,0,)</f>
        <v>F_12_12</v>
      </c>
      <c r="C103" s="51"/>
      <c r="D103" s="49"/>
      <c r="E103" s="49">
        <f>_xlfn.XLOOKUP(C103,Tab_Def_Flows[Name(EN)],Tab_Def_Flows[Output_Process],,0,)</f>
        <v>0</v>
      </c>
      <c r="F103" s="49" t="str">
        <f>_xlfn.XLOOKUP(C103,Tab_Def_Flows[Name(EN)],Tab_Def_Flows[Process_ID_O],,0,)</f>
        <v>12__</v>
      </c>
      <c r="G103" s="49">
        <f>_xlfn.XLOOKUP(C103,Tab_Def_Flows[Name(EN)],Tab_Def_Flows[Input_Process],,0,)</f>
        <v>0</v>
      </c>
      <c r="H103" s="61" t="str">
        <f>_xlfn.XLOOKUP(C103,Tab_Def_Flows[Name(EN)],Tab_Def_Flows[Process_ID_I],,0,)</f>
        <v>12__</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c r="AC103" s="107" t="e">
        <f>INDEX(Tab_Def_Flows[[Flow_ID]:[CC_DM_source]],MATCH(Tab_Data_Flows[[#This Row],[Name(EN)]],Tab_Def_Flows[Name(EN)],0),16)</f>
        <v>#N/A</v>
      </c>
      <c r="AD103" s="108" t="str">
        <f>IF(J103="Yes",AA103*Tab_Data_Flows[[#This Row],[WC_'[%']]],"N.A.")</f>
        <v>N.A.</v>
      </c>
      <c r="AE103" s="61">
        <f>Tab_Data_Flows[[#This Row],[UoM_Flow_Py]]</f>
        <v>0</v>
      </c>
      <c r="AF103" s="107" t="e">
        <f>INDEX(Tab_Def_Flows[[Flow_ID]:[CC_DM_source]],MATCH(Tab_Data_Flows[[#This Row],[Name(EN)]],Tab_Def_Flows[Name(EN)],0),18)</f>
        <v>#N/A</v>
      </c>
      <c r="AG103" s="108" t="str">
        <f>IF(K103="Yes",AF103*Tab_Data_Flows[[#This Row],[Flow_Py]],"N.A.")</f>
        <v>N.A.</v>
      </c>
      <c r="AH103" s="61">
        <f>Tab_Data_Flows[[#This Row],[UoM_Flow_Py]]</f>
        <v>0</v>
      </c>
      <c r="AI103" s="107" t="e">
        <f>INDEX(Tab_Def_Flows[[Flow_ID]:[CC_DM_source]],MATCH(Tab_Data_Flows[[#This Row],[Name(EN)]],Tab_Def_Flows[Name(EN)],0),20)</f>
        <v>#N/A</v>
      </c>
      <c r="AJ103" s="108" t="str">
        <f>IF(L103="Yes",AI103*Tab_Data_Flows[[#This Row],[Flow_Py]]*Tab_Data_Flows[[#This Row],[DM_'[%']]],"N.A.")</f>
        <v>N.A.</v>
      </c>
      <c r="AK103" s="61">
        <f>Tab_Data_Flows[[#This Row],[UoM_Flow_Py]]</f>
        <v>0</v>
      </c>
    </row>
    <row r="104" spans="1:37" x14ac:dyDescent="0.25">
      <c r="A104" s="60">
        <f t="shared" si="2"/>
        <v>103</v>
      </c>
      <c r="B104" s="49" t="str">
        <f>_xlfn.XLOOKUP(C104,Tab_Def_Flows[Name(EN)],Tab_Def_Flows[Flow_ID],,0,)</f>
        <v>F_12_12</v>
      </c>
      <c r="C104" s="51"/>
      <c r="D104" s="49"/>
      <c r="E104" s="49">
        <f>_xlfn.XLOOKUP(C104,Tab_Def_Flows[Name(EN)],Tab_Def_Flows[Output_Process],,0,)</f>
        <v>0</v>
      </c>
      <c r="F104" s="49" t="str">
        <f>_xlfn.XLOOKUP(C104,Tab_Def_Flows[Name(EN)],Tab_Def_Flows[Process_ID_O],,0,)</f>
        <v>12__</v>
      </c>
      <c r="G104" s="49">
        <f>_xlfn.XLOOKUP(C104,Tab_Def_Flows[Name(EN)],Tab_Def_Flows[Input_Process],,0,)</f>
        <v>0</v>
      </c>
      <c r="H104" s="61" t="str">
        <f>_xlfn.XLOOKUP(C104,Tab_Def_Flows[Name(EN)],Tab_Def_Flows[Process_ID_I],,0,)</f>
        <v>12__</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c r="AC104" s="107" t="e">
        <f>INDEX(Tab_Def_Flows[[Flow_ID]:[CC_DM_source]],MATCH(Tab_Data_Flows[[#This Row],[Name(EN)]],Tab_Def_Flows[Name(EN)],0),16)</f>
        <v>#N/A</v>
      </c>
      <c r="AD104" s="108" t="str">
        <f>IF(J104="Yes",AA104*Tab_Data_Flows[[#This Row],[WC_'[%']]],"N.A.")</f>
        <v>N.A.</v>
      </c>
      <c r="AE104" s="61">
        <f>Tab_Data_Flows[[#This Row],[UoM_Flow_Py]]</f>
        <v>0</v>
      </c>
      <c r="AF104" s="107" t="e">
        <f>INDEX(Tab_Def_Flows[[Flow_ID]:[CC_DM_source]],MATCH(Tab_Data_Flows[[#This Row],[Name(EN)]],Tab_Def_Flows[Name(EN)],0),18)</f>
        <v>#N/A</v>
      </c>
      <c r="AG104" s="108" t="str">
        <f>IF(K104="Yes",AF104*Tab_Data_Flows[[#This Row],[Flow_Py]],"N.A.")</f>
        <v>N.A.</v>
      </c>
      <c r="AH104" s="61">
        <f>Tab_Data_Flows[[#This Row],[UoM_Flow_Py]]</f>
        <v>0</v>
      </c>
      <c r="AI104" s="107" t="e">
        <f>INDEX(Tab_Def_Flows[[Flow_ID]:[CC_DM_source]],MATCH(Tab_Data_Flows[[#This Row],[Name(EN)]],Tab_Def_Flows[Name(EN)],0),20)</f>
        <v>#N/A</v>
      </c>
      <c r="AJ104" s="108" t="str">
        <f>IF(L104="Yes",AI104*Tab_Data_Flows[[#This Row],[Flow_Py]]*Tab_Data_Flows[[#This Row],[DM_'[%']]],"N.A.")</f>
        <v>N.A.</v>
      </c>
      <c r="AK104" s="61">
        <f>Tab_Data_Flows[[#This Row],[UoM_Flow_Py]]</f>
        <v>0</v>
      </c>
    </row>
    <row r="105" spans="1:37" x14ac:dyDescent="0.25">
      <c r="A105" s="60">
        <f t="shared" si="2"/>
        <v>104</v>
      </c>
      <c r="B105" s="49" t="str">
        <f>_xlfn.XLOOKUP(C105,Tab_Def_Flows[Name(EN)],Tab_Def_Flows[Flow_ID],,0,)</f>
        <v>F_12_12</v>
      </c>
      <c r="C105" s="51"/>
      <c r="D105" s="49"/>
      <c r="E105" s="49">
        <f>_xlfn.XLOOKUP(C105,Tab_Def_Flows[Name(EN)],Tab_Def_Flows[Output_Process],,0,)</f>
        <v>0</v>
      </c>
      <c r="F105" s="49" t="str">
        <f>_xlfn.XLOOKUP(C105,Tab_Def_Flows[Name(EN)],Tab_Def_Flows[Process_ID_O],,0,)</f>
        <v>12__</v>
      </c>
      <c r="G105" s="49">
        <f>_xlfn.XLOOKUP(C105,Tab_Def_Flows[Name(EN)],Tab_Def_Flows[Input_Process],,0,)</f>
        <v>0</v>
      </c>
      <c r="H105" s="61" t="str">
        <f>_xlfn.XLOOKUP(C105,Tab_Def_Flows[Name(EN)],Tab_Def_Flows[Process_ID_I],,0,)</f>
        <v>12__</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c r="AC105" s="107" t="e">
        <f>INDEX(Tab_Def_Flows[[Flow_ID]:[CC_DM_source]],MATCH(Tab_Data_Flows[[#This Row],[Name(EN)]],Tab_Def_Flows[Name(EN)],0),16)</f>
        <v>#N/A</v>
      </c>
      <c r="AD105" s="108" t="str">
        <f>IF(J105="Yes",AA105*Tab_Data_Flows[[#This Row],[WC_'[%']]],"N.A.")</f>
        <v>N.A.</v>
      </c>
      <c r="AE105" s="61">
        <f>Tab_Data_Flows[[#This Row],[UoM_Flow_Py]]</f>
        <v>0</v>
      </c>
      <c r="AF105" s="107" t="e">
        <f>INDEX(Tab_Def_Flows[[Flow_ID]:[CC_DM_source]],MATCH(Tab_Data_Flows[[#This Row],[Name(EN)]],Tab_Def_Flows[Name(EN)],0),18)</f>
        <v>#N/A</v>
      </c>
      <c r="AG105" s="108" t="str">
        <f>IF(K105="Yes",AF105*Tab_Data_Flows[[#This Row],[Flow_Py]],"N.A.")</f>
        <v>N.A.</v>
      </c>
      <c r="AH105" s="61">
        <f>Tab_Data_Flows[[#This Row],[UoM_Flow_Py]]</f>
        <v>0</v>
      </c>
      <c r="AI105" s="107" t="e">
        <f>INDEX(Tab_Def_Flows[[Flow_ID]:[CC_DM_source]],MATCH(Tab_Data_Flows[[#This Row],[Name(EN)]],Tab_Def_Flows[Name(EN)],0),20)</f>
        <v>#N/A</v>
      </c>
      <c r="AJ105" s="108" t="str">
        <f>IF(L105="Yes",AI105*Tab_Data_Flows[[#This Row],[Flow_Py]]*Tab_Data_Flows[[#This Row],[DM_'[%']]],"N.A.")</f>
        <v>N.A.</v>
      </c>
      <c r="AK105" s="61">
        <f>Tab_Data_Flows[[#This Row],[UoM_Flow_Py]]</f>
        <v>0</v>
      </c>
    </row>
    <row r="106" spans="1:37" x14ac:dyDescent="0.25">
      <c r="A106" s="60">
        <f t="shared" si="2"/>
        <v>105</v>
      </c>
      <c r="B106" s="49" t="str">
        <f>_xlfn.XLOOKUP(C106,Tab_Def_Flows[Name(EN)],Tab_Def_Flows[Flow_ID],,0,)</f>
        <v>F_12_12</v>
      </c>
      <c r="C106" s="51"/>
      <c r="D106" s="49"/>
      <c r="E106" s="49">
        <f>_xlfn.XLOOKUP(C106,Tab_Def_Flows[Name(EN)],Tab_Def_Flows[Output_Process],,0,)</f>
        <v>0</v>
      </c>
      <c r="F106" s="49" t="str">
        <f>_xlfn.XLOOKUP(C106,Tab_Def_Flows[Name(EN)],Tab_Def_Flows[Process_ID_O],,0,)</f>
        <v>12__</v>
      </c>
      <c r="G106" s="49">
        <f>_xlfn.XLOOKUP(C106,Tab_Def_Flows[Name(EN)],Tab_Def_Flows[Input_Process],,0,)</f>
        <v>0</v>
      </c>
      <c r="H106" s="61" t="str">
        <f>_xlfn.XLOOKUP(C106,Tab_Def_Flows[Name(EN)],Tab_Def_Flows[Process_ID_I],,0,)</f>
        <v>12__</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c r="AC106" s="107" t="e">
        <f>INDEX(Tab_Def_Flows[[Flow_ID]:[CC_DM_source]],MATCH(Tab_Data_Flows[[#This Row],[Name(EN)]],Tab_Def_Flows[Name(EN)],0),16)</f>
        <v>#N/A</v>
      </c>
      <c r="AD106" s="108" t="str">
        <f>IF(J106="Yes",AA106*Tab_Data_Flows[[#This Row],[WC_'[%']]],"N.A.")</f>
        <v>N.A.</v>
      </c>
      <c r="AE106" s="61">
        <f>Tab_Data_Flows[[#This Row],[UoM_Flow_Py]]</f>
        <v>0</v>
      </c>
      <c r="AF106" s="107" t="e">
        <f>INDEX(Tab_Def_Flows[[Flow_ID]:[CC_DM_source]],MATCH(Tab_Data_Flows[[#This Row],[Name(EN)]],Tab_Def_Flows[Name(EN)],0),18)</f>
        <v>#N/A</v>
      </c>
      <c r="AG106" s="108" t="str">
        <f>IF(K106="Yes",AF106*Tab_Data_Flows[[#This Row],[Flow_Py]],"N.A.")</f>
        <v>N.A.</v>
      </c>
      <c r="AH106" s="61">
        <f>Tab_Data_Flows[[#This Row],[UoM_Flow_Py]]</f>
        <v>0</v>
      </c>
      <c r="AI106" s="107" t="e">
        <f>INDEX(Tab_Def_Flows[[Flow_ID]:[CC_DM_source]],MATCH(Tab_Data_Flows[[#This Row],[Name(EN)]],Tab_Def_Flows[Name(EN)],0),20)</f>
        <v>#N/A</v>
      </c>
      <c r="AJ106" s="108" t="str">
        <f>IF(L106="Yes",AI106*Tab_Data_Flows[[#This Row],[Flow_Py]]*Tab_Data_Flows[[#This Row],[DM_'[%']]],"N.A.")</f>
        <v>N.A.</v>
      </c>
      <c r="AK106" s="61">
        <f>Tab_Data_Flows[[#This Row],[UoM_Flow_Py]]</f>
        <v>0</v>
      </c>
    </row>
    <row r="107" spans="1:37" x14ac:dyDescent="0.25">
      <c r="A107" s="60">
        <f t="shared" si="2"/>
        <v>106</v>
      </c>
      <c r="B107" s="49" t="str">
        <f>_xlfn.XLOOKUP(C107,Tab_Def_Flows[Name(EN)],Tab_Def_Flows[Flow_ID],,0,)</f>
        <v>F_12_12</v>
      </c>
      <c r="C107" s="51"/>
      <c r="D107" s="49"/>
      <c r="E107" s="49">
        <f>_xlfn.XLOOKUP(C107,Tab_Def_Flows[Name(EN)],Tab_Def_Flows[Output_Process],,0,)</f>
        <v>0</v>
      </c>
      <c r="F107" s="49" t="str">
        <f>_xlfn.XLOOKUP(C107,Tab_Def_Flows[Name(EN)],Tab_Def_Flows[Process_ID_O],,0,)</f>
        <v>12__</v>
      </c>
      <c r="G107" s="49">
        <f>_xlfn.XLOOKUP(C107,Tab_Def_Flows[Name(EN)],Tab_Def_Flows[Input_Process],,0,)</f>
        <v>0</v>
      </c>
      <c r="H107" s="61" t="str">
        <f>_xlfn.XLOOKUP(C107,Tab_Def_Flows[Name(EN)],Tab_Def_Flows[Process_ID_I],,0,)</f>
        <v>12__</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c r="AC107" s="107" t="e">
        <f>INDEX(Tab_Def_Flows[[Flow_ID]:[CC_DM_source]],MATCH(Tab_Data_Flows[[#This Row],[Name(EN)]],Tab_Def_Flows[Name(EN)],0),16)</f>
        <v>#N/A</v>
      </c>
      <c r="AD107" s="108" t="str">
        <f>IF(J107="Yes",AA107*Tab_Data_Flows[[#This Row],[WC_'[%']]],"N.A.")</f>
        <v>N.A.</v>
      </c>
      <c r="AE107" s="61">
        <f>Tab_Data_Flows[[#This Row],[UoM_Flow_Py]]</f>
        <v>0</v>
      </c>
      <c r="AF107" s="107" t="e">
        <f>INDEX(Tab_Def_Flows[[Flow_ID]:[CC_DM_source]],MATCH(Tab_Data_Flows[[#This Row],[Name(EN)]],Tab_Def_Flows[Name(EN)],0),18)</f>
        <v>#N/A</v>
      </c>
      <c r="AG107" s="108" t="str">
        <f>IF(K107="Yes",AF107*Tab_Data_Flows[[#This Row],[Flow_Py]],"N.A.")</f>
        <v>N.A.</v>
      </c>
      <c r="AH107" s="61">
        <f>Tab_Data_Flows[[#This Row],[UoM_Flow_Py]]</f>
        <v>0</v>
      </c>
      <c r="AI107" s="107" t="e">
        <f>INDEX(Tab_Def_Flows[[Flow_ID]:[CC_DM_source]],MATCH(Tab_Data_Flows[[#This Row],[Name(EN)]],Tab_Def_Flows[Name(EN)],0),20)</f>
        <v>#N/A</v>
      </c>
      <c r="AJ107" s="108" t="str">
        <f>IF(L107="Yes",AI107*Tab_Data_Flows[[#This Row],[Flow_Py]]*Tab_Data_Flows[[#This Row],[DM_'[%']]],"N.A.")</f>
        <v>N.A.</v>
      </c>
      <c r="AK107" s="61">
        <f>Tab_Data_Flows[[#This Row],[UoM_Flow_Py]]</f>
        <v>0</v>
      </c>
    </row>
    <row r="108" spans="1:37" x14ac:dyDescent="0.25">
      <c r="A108" s="60">
        <f t="shared" si="2"/>
        <v>107</v>
      </c>
      <c r="B108" s="49" t="str">
        <f>_xlfn.XLOOKUP(C108,Tab_Def_Flows[Name(EN)],Tab_Def_Flows[Flow_ID],,0,)</f>
        <v>F_12_12</v>
      </c>
      <c r="C108" s="51"/>
      <c r="D108" s="49"/>
      <c r="E108" s="49">
        <f>_xlfn.XLOOKUP(C108,Tab_Def_Flows[Name(EN)],Tab_Def_Flows[Output_Process],,0,)</f>
        <v>0</v>
      </c>
      <c r="F108" s="49" t="str">
        <f>_xlfn.XLOOKUP(C108,Tab_Def_Flows[Name(EN)],Tab_Def_Flows[Process_ID_O],,0,)</f>
        <v>12__</v>
      </c>
      <c r="G108" s="49">
        <f>_xlfn.XLOOKUP(C108,Tab_Def_Flows[Name(EN)],Tab_Def_Flows[Input_Process],,0,)</f>
        <v>0</v>
      </c>
      <c r="H108" s="61" t="str">
        <f>_xlfn.XLOOKUP(C108,Tab_Def_Flows[Name(EN)],Tab_Def_Flows[Process_ID_I],,0,)</f>
        <v>12__</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c r="AC108" s="107" t="e">
        <f>INDEX(Tab_Def_Flows[[Flow_ID]:[CC_DM_source]],MATCH(Tab_Data_Flows[[#This Row],[Name(EN)]],Tab_Def_Flows[Name(EN)],0),16)</f>
        <v>#N/A</v>
      </c>
      <c r="AD108" s="108" t="str">
        <f>IF(J108="Yes",AA108*Tab_Data_Flows[[#This Row],[WC_'[%']]],"N.A.")</f>
        <v>N.A.</v>
      </c>
      <c r="AE108" s="61">
        <f>Tab_Data_Flows[[#This Row],[UoM_Flow_Py]]</f>
        <v>0</v>
      </c>
      <c r="AF108" s="107" t="e">
        <f>INDEX(Tab_Def_Flows[[Flow_ID]:[CC_DM_source]],MATCH(Tab_Data_Flows[[#This Row],[Name(EN)]],Tab_Def_Flows[Name(EN)],0),18)</f>
        <v>#N/A</v>
      </c>
      <c r="AG108" s="108" t="str">
        <f>IF(K108="Yes",AF108*Tab_Data_Flows[[#This Row],[Flow_Py]],"N.A.")</f>
        <v>N.A.</v>
      </c>
      <c r="AH108" s="61">
        <f>Tab_Data_Flows[[#This Row],[UoM_Flow_Py]]</f>
        <v>0</v>
      </c>
      <c r="AI108" s="107" t="e">
        <f>INDEX(Tab_Def_Flows[[Flow_ID]:[CC_DM_source]],MATCH(Tab_Data_Flows[[#This Row],[Name(EN)]],Tab_Def_Flows[Name(EN)],0),20)</f>
        <v>#N/A</v>
      </c>
      <c r="AJ108" s="108" t="str">
        <f>IF(L108="Yes",AI108*Tab_Data_Flows[[#This Row],[Flow_Py]]*Tab_Data_Flows[[#This Row],[DM_'[%']]],"N.A.")</f>
        <v>N.A.</v>
      </c>
      <c r="AK108" s="61">
        <f>Tab_Data_Flows[[#This Row],[UoM_Flow_Py]]</f>
        <v>0</v>
      </c>
    </row>
    <row r="109" spans="1:37" x14ac:dyDescent="0.25">
      <c r="A109" s="60">
        <f t="shared" si="2"/>
        <v>108</v>
      </c>
      <c r="B109" s="49" t="str">
        <f>_xlfn.XLOOKUP(C109,Tab_Def_Flows[Name(EN)],Tab_Def_Flows[Flow_ID],,0,)</f>
        <v>F_12_12</v>
      </c>
      <c r="C109" s="51"/>
      <c r="D109" s="49"/>
      <c r="E109" s="49">
        <f>_xlfn.XLOOKUP(C109,Tab_Def_Flows[Name(EN)],Tab_Def_Flows[Output_Process],,0,)</f>
        <v>0</v>
      </c>
      <c r="F109" s="49" t="str">
        <f>_xlfn.XLOOKUP(C109,Tab_Def_Flows[Name(EN)],Tab_Def_Flows[Process_ID_O],,0,)</f>
        <v>12__</v>
      </c>
      <c r="G109" s="49">
        <f>_xlfn.XLOOKUP(C109,Tab_Def_Flows[Name(EN)],Tab_Def_Flows[Input_Process],,0,)</f>
        <v>0</v>
      </c>
      <c r="H109" s="61" t="str">
        <f>_xlfn.XLOOKUP(C109,Tab_Def_Flows[Name(EN)],Tab_Def_Flows[Process_ID_I],,0,)</f>
        <v>12__</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c r="AC109" s="107" t="e">
        <f>INDEX(Tab_Def_Flows[[Flow_ID]:[CC_DM_source]],MATCH(Tab_Data_Flows[[#This Row],[Name(EN)]],Tab_Def_Flows[Name(EN)],0),16)</f>
        <v>#N/A</v>
      </c>
      <c r="AD109" s="108" t="str">
        <f>IF(J109="Yes",AA109*Tab_Data_Flows[[#This Row],[WC_'[%']]],"N.A.")</f>
        <v>N.A.</v>
      </c>
      <c r="AE109" s="61">
        <f>Tab_Data_Flows[[#This Row],[UoM_Flow_Py]]</f>
        <v>0</v>
      </c>
      <c r="AF109" s="107" t="e">
        <f>INDEX(Tab_Def_Flows[[Flow_ID]:[CC_DM_source]],MATCH(Tab_Data_Flows[[#This Row],[Name(EN)]],Tab_Def_Flows[Name(EN)],0),18)</f>
        <v>#N/A</v>
      </c>
      <c r="AG109" s="108" t="str">
        <f>IF(K109="Yes",AF109*Tab_Data_Flows[[#This Row],[Flow_Py]],"N.A.")</f>
        <v>N.A.</v>
      </c>
      <c r="AH109" s="61">
        <f>Tab_Data_Flows[[#This Row],[UoM_Flow_Py]]</f>
        <v>0</v>
      </c>
      <c r="AI109" s="107" t="e">
        <f>INDEX(Tab_Def_Flows[[Flow_ID]:[CC_DM_source]],MATCH(Tab_Data_Flows[[#This Row],[Name(EN)]],Tab_Def_Flows[Name(EN)],0),20)</f>
        <v>#N/A</v>
      </c>
      <c r="AJ109" s="108" t="str">
        <f>IF(L109="Yes",AI109*Tab_Data_Flows[[#This Row],[Flow_Py]]*Tab_Data_Flows[[#This Row],[DM_'[%']]],"N.A.")</f>
        <v>N.A.</v>
      </c>
      <c r="AK109" s="61">
        <f>Tab_Data_Flows[[#This Row],[UoM_Flow_Py]]</f>
        <v>0</v>
      </c>
    </row>
    <row r="110" spans="1:37" x14ac:dyDescent="0.25">
      <c r="A110" s="60">
        <f t="shared" si="2"/>
        <v>109</v>
      </c>
      <c r="B110" s="49" t="str">
        <f>_xlfn.XLOOKUP(C110,Tab_Def_Flows[Name(EN)],Tab_Def_Flows[Flow_ID],,0,)</f>
        <v>F_12_12</v>
      </c>
      <c r="C110" s="51"/>
      <c r="D110" s="49"/>
      <c r="E110" s="49">
        <f>_xlfn.XLOOKUP(C110,Tab_Def_Flows[Name(EN)],Tab_Def_Flows[Output_Process],,0,)</f>
        <v>0</v>
      </c>
      <c r="F110" s="49" t="str">
        <f>_xlfn.XLOOKUP(C110,Tab_Def_Flows[Name(EN)],Tab_Def_Flows[Process_ID_O],,0,)</f>
        <v>12__</v>
      </c>
      <c r="G110" s="49">
        <f>_xlfn.XLOOKUP(C110,Tab_Def_Flows[Name(EN)],Tab_Def_Flows[Input_Process],,0,)</f>
        <v>0</v>
      </c>
      <c r="H110" s="61" t="str">
        <f>_xlfn.XLOOKUP(C110,Tab_Def_Flows[Name(EN)],Tab_Def_Flows[Process_ID_I],,0,)</f>
        <v>12__</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c r="AC110" s="107" t="e">
        <f>INDEX(Tab_Def_Flows[[Flow_ID]:[CC_DM_source]],MATCH(Tab_Data_Flows[[#This Row],[Name(EN)]],Tab_Def_Flows[Name(EN)],0),16)</f>
        <v>#N/A</v>
      </c>
      <c r="AD110" s="108" t="str">
        <f>IF(J110="Yes",AA110*Tab_Data_Flows[[#This Row],[WC_'[%']]],"N.A.")</f>
        <v>N.A.</v>
      </c>
      <c r="AE110" s="61">
        <f>Tab_Data_Flows[[#This Row],[UoM_Flow_Py]]</f>
        <v>0</v>
      </c>
      <c r="AF110" s="107" t="e">
        <f>INDEX(Tab_Def_Flows[[Flow_ID]:[CC_DM_source]],MATCH(Tab_Data_Flows[[#This Row],[Name(EN)]],Tab_Def_Flows[Name(EN)],0),18)</f>
        <v>#N/A</v>
      </c>
      <c r="AG110" s="108" t="str">
        <f>IF(K110="Yes",AF110*Tab_Data_Flows[[#This Row],[Flow_Py]],"N.A.")</f>
        <v>N.A.</v>
      </c>
      <c r="AH110" s="61">
        <f>Tab_Data_Flows[[#This Row],[UoM_Flow_Py]]</f>
        <v>0</v>
      </c>
      <c r="AI110" s="107" t="e">
        <f>INDEX(Tab_Def_Flows[[Flow_ID]:[CC_DM_source]],MATCH(Tab_Data_Flows[[#This Row],[Name(EN)]],Tab_Def_Flows[Name(EN)],0),20)</f>
        <v>#N/A</v>
      </c>
      <c r="AJ110" s="108" t="str">
        <f>IF(L110="Yes",AI110*Tab_Data_Flows[[#This Row],[Flow_Py]]*Tab_Data_Flows[[#This Row],[DM_'[%']]],"N.A.")</f>
        <v>N.A.</v>
      </c>
      <c r="AK110" s="61">
        <f>Tab_Data_Flows[[#This Row],[UoM_Flow_Py]]</f>
        <v>0</v>
      </c>
    </row>
    <row r="111" spans="1:37" x14ac:dyDescent="0.25">
      <c r="A111" s="60">
        <f t="shared" si="2"/>
        <v>110</v>
      </c>
      <c r="B111" s="49" t="str">
        <f>_xlfn.XLOOKUP(C111,Tab_Def_Flows[Name(EN)],Tab_Def_Flows[Flow_ID],,0,)</f>
        <v>F_12_12</v>
      </c>
      <c r="C111" s="51"/>
      <c r="D111" s="49"/>
      <c r="E111" s="49">
        <f>_xlfn.XLOOKUP(C111,Tab_Def_Flows[Name(EN)],Tab_Def_Flows[Output_Process],,0,)</f>
        <v>0</v>
      </c>
      <c r="F111" s="49" t="str">
        <f>_xlfn.XLOOKUP(C111,Tab_Def_Flows[Name(EN)],Tab_Def_Flows[Process_ID_O],,0,)</f>
        <v>12__</v>
      </c>
      <c r="G111" s="49">
        <f>_xlfn.XLOOKUP(C111,Tab_Def_Flows[Name(EN)],Tab_Def_Flows[Input_Process],,0,)</f>
        <v>0</v>
      </c>
      <c r="H111" s="61" t="str">
        <f>_xlfn.XLOOKUP(C111,Tab_Def_Flows[Name(EN)],Tab_Def_Flows[Process_ID_I],,0,)</f>
        <v>12__</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c r="AC111" s="107" t="e">
        <f>INDEX(Tab_Def_Flows[[Flow_ID]:[CC_DM_source]],MATCH(Tab_Data_Flows[[#This Row],[Name(EN)]],Tab_Def_Flows[Name(EN)],0),16)</f>
        <v>#N/A</v>
      </c>
      <c r="AD111" s="108" t="str">
        <f>IF(J111="Yes",AA111*Tab_Data_Flows[[#This Row],[WC_'[%']]],"N.A.")</f>
        <v>N.A.</v>
      </c>
      <c r="AE111" s="61">
        <f>Tab_Data_Flows[[#This Row],[UoM_Flow_Py]]</f>
        <v>0</v>
      </c>
      <c r="AF111" s="107" t="e">
        <f>INDEX(Tab_Def_Flows[[Flow_ID]:[CC_DM_source]],MATCH(Tab_Data_Flows[[#This Row],[Name(EN)]],Tab_Def_Flows[Name(EN)],0),18)</f>
        <v>#N/A</v>
      </c>
      <c r="AG111" s="108" t="str">
        <f>IF(K111="Yes",AF111*Tab_Data_Flows[[#This Row],[Flow_Py]],"N.A.")</f>
        <v>N.A.</v>
      </c>
      <c r="AH111" s="61">
        <f>Tab_Data_Flows[[#This Row],[UoM_Flow_Py]]</f>
        <v>0</v>
      </c>
      <c r="AI111" s="107" t="e">
        <f>INDEX(Tab_Def_Flows[[Flow_ID]:[CC_DM_source]],MATCH(Tab_Data_Flows[[#This Row],[Name(EN)]],Tab_Def_Flows[Name(EN)],0),20)</f>
        <v>#N/A</v>
      </c>
      <c r="AJ111" s="108" t="str">
        <f>IF(L111="Yes",AI111*Tab_Data_Flows[[#This Row],[Flow_Py]]*Tab_Data_Flows[[#This Row],[DM_'[%']]],"N.A.")</f>
        <v>N.A.</v>
      </c>
      <c r="AK111" s="61">
        <f>Tab_Data_Flows[[#This Row],[UoM_Flow_Py]]</f>
        <v>0</v>
      </c>
    </row>
    <row r="112" spans="1:37" x14ac:dyDescent="0.25">
      <c r="A112" s="60">
        <f t="shared" si="2"/>
        <v>111</v>
      </c>
      <c r="B112" s="49" t="str">
        <f>_xlfn.XLOOKUP(C112,Tab_Def_Flows[Name(EN)],Tab_Def_Flows[Flow_ID],,0,)</f>
        <v>F_12_12</v>
      </c>
      <c r="C112" s="51"/>
      <c r="D112" s="49"/>
      <c r="E112" s="49">
        <f>_xlfn.XLOOKUP(C112,Tab_Def_Flows[Name(EN)],Tab_Def_Flows[Output_Process],,0,)</f>
        <v>0</v>
      </c>
      <c r="F112" s="49" t="str">
        <f>_xlfn.XLOOKUP(C112,Tab_Def_Flows[Name(EN)],Tab_Def_Flows[Process_ID_O],,0,)</f>
        <v>12__</v>
      </c>
      <c r="G112" s="49">
        <f>_xlfn.XLOOKUP(C112,Tab_Def_Flows[Name(EN)],Tab_Def_Flows[Input_Process],,0,)</f>
        <v>0</v>
      </c>
      <c r="H112" s="61" t="str">
        <f>_xlfn.XLOOKUP(C112,Tab_Def_Flows[Name(EN)],Tab_Def_Flows[Process_ID_I],,0,)</f>
        <v>12__</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c r="AC112" s="107" t="e">
        <f>INDEX(Tab_Def_Flows[[Flow_ID]:[CC_DM_source]],MATCH(Tab_Data_Flows[[#This Row],[Name(EN)]],Tab_Def_Flows[Name(EN)],0),16)</f>
        <v>#N/A</v>
      </c>
      <c r="AD112" s="108" t="str">
        <f>IF(J112="Yes",AA112*Tab_Data_Flows[[#This Row],[WC_'[%']]],"N.A.")</f>
        <v>N.A.</v>
      </c>
      <c r="AE112" s="61">
        <f>Tab_Data_Flows[[#This Row],[UoM_Flow_Py]]</f>
        <v>0</v>
      </c>
      <c r="AF112" s="107" t="e">
        <f>INDEX(Tab_Def_Flows[[Flow_ID]:[CC_DM_source]],MATCH(Tab_Data_Flows[[#This Row],[Name(EN)]],Tab_Def_Flows[Name(EN)],0),18)</f>
        <v>#N/A</v>
      </c>
      <c r="AG112" s="108" t="str">
        <f>IF(K112="Yes",AF112*Tab_Data_Flows[[#This Row],[Flow_Py]],"N.A.")</f>
        <v>N.A.</v>
      </c>
      <c r="AH112" s="61">
        <f>Tab_Data_Flows[[#This Row],[UoM_Flow_Py]]</f>
        <v>0</v>
      </c>
      <c r="AI112" s="107" t="e">
        <f>INDEX(Tab_Def_Flows[[Flow_ID]:[CC_DM_source]],MATCH(Tab_Data_Flows[[#This Row],[Name(EN)]],Tab_Def_Flows[Name(EN)],0),20)</f>
        <v>#N/A</v>
      </c>
      <c r="AJ112" s="108" t="str">
        <f>IF(L112="Yes",AI112*Tab_Data_Flows[[#This Row],[Flow_Py]]*Tab_Data_Flows[[#This Row],[DM_'[%']]],"N.A.")</f>
        <v>N.A.</v>
      </c>
      <c r="AK112" s="61">
        <f>Tab_Data_Flows[[#This Row],[UoM_Flow_Py]]</f>
        <v>0</v>
      </c>
    </row>
    <row r="113" spans="1:37" x14ac:dyDescent="0.25">
      <c r="A113" s="60">
        <f t="shared" si="2"/>
        <v>112</v>
      </c>
      <c r="B113" s="49" t="str">
        <f>_xlfn.XLOOKUP(C113,Tab_Def_Flows[Name(EN)],Tab_Def_Flows[Flow_ID],,0,)</f>
        <v>F_12_12</v>
      </c>
      <c r="C113" s="51"/>
      <c r="D113" s="49"/>
      <c r="E113" s="49">
        <f>_xlfn.XLOOKUP(C113,Tab_Def_Flows[Name(EN)],Tab_Def_Flows[Output_Process],,0,)</f>
        <v>0</v>
      </c>
      <c r="F113" s="49" t="str">
        <f>_xlfn.XLOOKUP(C113,Tab_Def_Flows[Name(EN)],Tab_Def_Flows[Process_ID_O],,0,)</f>
        <v>12__</v>
      </c>
      <c r="G113" s="49">
        <f>_xlfn.XLOOKUP(C113,Tab_Def_Flows[Name(EN)],Tab_Def_Flows[Input_Process],,0,)</f>
        <v>0</v>
      </c>
      <c r="H113" s="61" t="str">
        <f>_xlfn.XLOOKUP(C113,Tab_Def_Flows[Name(EN)],Tab_Def_Flows[Process_ID_I],,0,)</f>
        <v>12__</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c r="AC113" s="107" t="e">
        <f>INDEX(Tab_Def_Flows[[Flow_ID]:[CC_DM_source]],MATCH(Tab_Data_Flows[[#This Row],[Name(EN)]],Tab_Def_Flows[Name(EN)],0),16)</f>
        <v>#N/A</v>
      </c>
      <c r="AD113" s="108" t="str">
        <f>IF(J113="Yes",AA113*Tab_Data_Flows[[#This Row],[WC_'[%']]],"N.A.")</f>
        <v>N.A.</v>
      </c>
      <c r="AE113" s="61">
        <f>Tab_Data_Flows[[#This Row],[UoM_Flow_Py]]</f>
        <v>0</v>
      </c>
      <c r="AF113" s="107" t="e">
        <f>INDEX(Tab_Def_Flows[[Flow_ID]:[CC_DM_source]],MATCH(Tab_Data_Flows[[#This Row],[Name(EN)]],Tab_Def_Flows[Name(EN)],0),18)</f>
        <v>#N/A</v>
      </c>
      <c r="AG113" s="108" t="str">
        <f>IF(K113="Yes",AF113*Tab_Data_Flows[[#This Row],[Flow_Py]],"N.A.")</f>
        <v>N.A.</v>
      </c>
      <c r="AH113" s="61">
        <f>Tab_Data_Flows[[#This Row],[UoM_Flow_Py]]</f>
        <v>0</v>
      </c>
      <c r="AI113" s="107" t="e">
        <f>INDEX(Tab_Def_Flows[[Flow_ID]:[CC_DM_source]],MATCH(Tab_Data_Flows[[#This Row],[Name(EN)]],Tab_Def_Flows[Name(EN)],0),20)</f>
        <v>#N/A</v>
      </c>
      <c r="AJ113" s="108" t="str">
        <f>IF(L113="Yes",AI113*Tab_Data_Flows[[#This Row],[Flow_Py]]*Tab_Data_Flows[[#This Row],[DM_'[%']]],"N.A.")</f>
        <v>N.A.</v>
      </c>
      <c r="AK113" s="61">
        <f>Tab_Data_Flows[[#This Row],[UoM_Flow_Py]]</f>
        <v>0</v>
      </c>
    </row>
    <row r="114" spans="1:37" x14ac:dyDescent="0.25">
      <c r="A114" s="60">
        <f t="shared" si="2"/>
        <v>113</v>
      </c>
      <c r="B114" s="49" t="str">
        <f>_xlfn.XLOOKUP(C114,Tab_Def_Flows[Name(EN)],Tab_Def_Flows[Flow_ID],,0,)</f>
        <v>F_12_12</v>
      </c>
      <c r="C114" s="51"/>
      <c r="D114" s="49"/>
      <c r="E114" s="49">
        <f>_xlfn.XLOOKUP(C114,Tab_Def_Flows[Name(EN)],Tab_Def_Flows[Output_Process],,0,)</f>
        <v>0</v>
      </c>
      <c r="F114" s="49" t="str">
        <f>_xlfn.XLOOKUP(C114,Tab_Def_Flows[Name(EN)],Tab_Def_Flows[Process_ID_O],,0,)</f>
        <v>12__</v>
      </c>
      <c r="G114" s="49">
        <f>_xlfn.XLOOKUP(C114,Tab_Def_Flows[Name(EN)],Tab_Def_Flows[Input_Process],,0,)</f>
        <v>0</v>
      </c>
      <c r="H114" s="61" t="str">
        <f>_xlfn.XLOOKUP(C114,Tab_Def_Flows[Name(EN)],Tab_Def_Flows[Process_ID_I],,0,)</f>
        <v>12__</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c r="AC114" s="107" t="e">
        <f>INDEX(Tab_Def_Flows[[Flow_ID]:[CC_DM_source]],MATCH(Tab_Data_Flows[[#This Row],[Name(EN)]],Tab_Def_Flows[Name(EN)],0),16)</f>
        <v>#N/A</v>
      </c>
      <c r="AD114" s="108" t="str">
        <f>IF(J114="Yes",AA114*Tab_Data_Flows[[#This Row],[WC_'[%']]],"N.A.")</f>
        <v>N.A.</v>
      </c>
      <c r="AE114" s="61">
        <f>Tab_Data_Flows[[#This Row],[UoM_Flow_Py]]</f>
        <v>0</v>
      </c>
      <c r="AF114" s="107" t="e">
        <f>INDEX(Tab_Def_Flows[[Flow_ID]:[CC_DM_source]],MATCH(Tab_Data_Flows[[#This Row],[Name(EN)]],Tab_Def_Flows[Name(EN)],0),18)</f>
        <v>#N/A</v>
      </c>
      <c r="AG114" s="108" t="str">
        <f>IF(K114="Yes",AF114*Tab_Data_Flows[[#This Row],[Flow_Py]],"N.A.")</f>
        <v>N.A.</v>
      </c>
      <c r="AH114" s="61">
        <f>Tab_Data_Flows[[#This Row],[UoM_Flow_Py]]</f>
        <v>0</v>
      </c>
      <c r="AI114" s="107" t="e">
        <f>INDEX(Tab_Def_Flows[[Flow_ID]:[CC_DM_source]],MATCH(Tab_Data_Flows[[#This Row],[Name(EN)]],Tab_Def_Flows[Name(EN)],0),20)</f>
        <v>#N/A</v>
      </c>
      <c r="AJ114" s="108" t="str">
        <f>IF(L114="Yes",AI114*Tab_Data_Flows[[#This Row],[Flow_Py]]*Tab_Data_Flows[[#This Row],[DM_'[%']]],"N.A.")</f>
        <v>N.A.</v>
      </c>
      <c r="AK114" s="61">
        <f>Tab_Data_Flows[[#This Row],[UoM_Flow_Py]]</f>
        <v>0</v>
      </c>
    </row>
    <row r="115" spans="1:37" x14ac:dyDescent="0.25">
      <c r="A115" s="60">
        <f t="shared" si="2"/>
        <v>114</v>
      </c>
      <c r="B115" s="49" t="str">
        <f>_xlfn.XLOOKUP(C115,Tab_Def_Flows[Name(EN)],Tab_Def_Flows[Flow_ID],,0,)</f>
        <v>F_12_12</v>
      </c>
      <c r="C115" s="51"/>
      <c r="D115" s="49"/>
      <c r="E115" s="49">
        <f>_xlfn.XLOOKUP(C115,Tab_Def_Flows[Name(EN)],Tab_Def_Flows[Output_Process],,0,)</f>
        <v>0</v>
      </c>
      <c r="F115" s="49" t="str">
        <f>_xlfn.XLOOKUP(C115,Tab_Def_Flows[Name(EN)],Tab_Def_Flows[Process_ID_O],,0,)</f>
        <v>12__</v>
      </c>
      <c r="G115" s="49">
        <f>_xlfn.XLOOKUP(C115,Tab_Def_Flows[Name(EN)],Tab_Def_Flows[Input_Process],,0,)</f>
        <v>0</v>
      </c>
      <c r="H115" s="61" t="str">
        <f>_xlfn.XLOOKUP(C115,Tab_Def_Flows[Name(EN)],Tab_Def_Flows[Process_ID_I],,0,)</f>
        <v>12__</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c r="AC115" s="107" t="e">
        <f>INDEX(Tab_Def_Flows[[Flow_ID]:[CC_DM_source]],MATCH(Tab_Data_Flows[[#This Row],[Name(EN)]],Tab_Def_Flows[Name(EN)],0),16)</f>
        <v>#N/A</v>
      </c>
      <c r="AD115" s="108" t="str">
        <f>IF(J115="Yes",AA115*Tab_Data_Flows[[#This Row],[WC_'[%']]],"N.A.")</f>
        <v>N.A.</v>
      </c>
      <c r="AE115" s="61">
        <f>Tab_Data_Flows[[#This Row],[UoM_Flow_Py]]</f>
        <v>0</v>
      </c>
      <c r="AF115" s="107" t="e">
        <f>INDEX(Tab_Def_Flows[[Flow_ID]:[CC_DM_source]],MATCH(Tab_Data_Flows[[#This Row],[Name(EN)]],Tab_Def_Flows[Name(EN)],0),18)</f>
        <v>#N/A</v>
      </c>
      <c r="AG115" s="108" t="str">
        <f>IF(K115="Yes",AF115*Tab_Data_Flows[[#This Row],[Flow_Py]],"N.A.")</f>
        <v>N.A.</v>
      </c>
      <c r="AH115" s="61">
        <f>Tab_Data_Flows[[#This Row],[UoM_Flow_Py]]</f>
        <v>0</v>
      </c>
      <c r="AI115" s="107" t="e">
        <f>INDEX(Tab_Def_Flows[[Flow_ID]:[CC_DM_source]],MATCH(Tab_Data_Flows[[#This Row],[Name(EN)]],Tab_Def_Flows[Name(EN)],0),20)</f>
        <v>#N/A</v>
      </c>
      <c r="AJ115" s="108" t="str">
        <f>IF(L115="Yes",AI115*Tab_Data_Flows[[#This Row],[Flow_Py]]*Tab_Data_Flows[[#This Row],[DM_'[%']]],"N.A.")</f>
        <v>N.A.</v>
      </c>
      <c r="AK115" s="61">
        <f>Tab_Data_Flows[[#This Row],[UoM_Flow_Py]]</f>
        <v>0</v>
      </c>
    </row>
    <row r="116" spans="1:37" x14ac:dyDescent="0.25">
      <c r="A116" s="60">
        <f t="shared" si="2"/>
        <v>115</v>
      </c>
      <c r="B116" s="49" t="str">
        <f>_xlfn.XLOOKUP(C116,Tab_Def_Flows[Name(EN)],Tab_Def_Flows[Flow_ID],,0,)</f>
        <v>F_12_12</v>
      </c>
      <c r="C116" s="51"/>
      <c r="D116" s="49"/>
      <c r="E116" s="49">
        <f>_xlfn.XLOOKUP(C116,Tab_Def_Flows[Name(EN)],Tab_Def_Flows[Output_Process],,0,)</f>
        <v>0</v>
      </c>
      <c r="F116" s="49" t="str">
        <f>_xlfn.XLOOKUP(C116,Tab_Def_Flows[Name(EN)],Tab_Def_Flows[Process_ID_O],,0,)</f>
        <v>12__</v>
      </c>
      <c r="G116" s="49">
        <f>_xlfn.XLOOKUP(C116,Tab_Def_Flows[Name(EN)],Tab_Def_Flows[Input_Process],,0,)</f>
        <v>0</v>
      </c>
      <c r="H116" s="61" t="str">
        <f>_xlfn.XLOOKUP(C116,Tab_Def_Flows[Name(EN)],Tab_Def_Flows[Process_ID_I],,0,)</f>
        <v>12__</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c r="AC116" s="107" t="e">
        <f>INDEX(Tab_Def_Flows[[Flow_ID]:[CC_DM_source]],MATCH(Tab_Data_Flows[[#This Row],[Name(EN)]],Tab_Def_Flows[Name(EN)],0),16)</f>
        <v>#N/A</v>
      </c>
      <c r="AD116" s="108" t="str">
        <f>IF(J116="Yes",AA116*Tab_Data_Flows[[#This Row],[WC_'[%']]],"N.A.")</f>
        <v>N.A.</v>
      </c>
      <c r="AE116" s="61">
        <f>Tab_Data_Flows[[#This Row],[UoM_Flow_Py]]</f>
        <v>0</v>
      </c>
      <c r="AF116" s="107" t="e">
        <f>INDEX(Tab_Def_Flows[[Flow_ID]:[CC_DM_source]],MATCH(Tab_Data_Flows[[#This Row],[Name(EN)]],Tab_Def_Flows[Name(EN)],0),18)</f>
        <v>#N/A</v>
      </c>
      <c r="AG116" s="108" t="str">
        <f>IF(K116="Yes",AF116*Tab_Data_Flows[[#This Row],[Flow_Py]],"N.A.")</f>
        <v>N.A.</v>
      </c>
      <c r="AH116" s="61">
        <f>Tab_Data_Flows[[#This Row],[UoM_Flow_Py]]</f>
        <v>0</v>
      </c>
      <c r="AI116" s="107" t="e">
        <f>INDEX(Tab_Def_Flows[[Flow_ID]:[CC_DM_source]],MATCH(Tab_Data_Flows[[#This Row],[Name(EN)]],Tab_Def_Flows[Name(EN)],0),20)</f>
        <v>#N/A</v>
      </c>
      <c r="AJ116" s="108" t="str">
        <f>IF(L116="Yes",AI116*Tab_Data_Flows[[#This Row],[Flow_Py]]*Tab_Data_Flows[[#This Row],[DM_'[%']]],"N.A.")</f>
        <v>N.A.</v>
      </c>
      <c r="AK116" s="61">
        <f>Tab_Data_Flows[[#This Row],[UoM_Flow_Py]]</f>
        <v>0</v>
      </c>
    </row>
    <row r="117" spans="1:37" x14ac:dyDescent="0.25">
      <c r="A117" s="60">
        <f t="shared" si="2"/>
        <v>116</v>
      </c>
      <c r="B117" s="49" t="str">
        <f>_xlfn.XLOOKUP(C117,Tab_Def_Flows[Name(EN)],Tab_Def_Flows[Flow_ID],,0,)</f>
        <v>F_12_12</v>
      </c>
      <c r="C117" s="51"/>
      <c r="D117" s="49"/>
      <c r="E117" s="49">
        <f>_xlfn.XLOOKUP(C117,Tab_Def_Flows[Name(EN)],Tab_Def_Flows[Output_Process],,0,)</f>
        <v>0</v>
      </c>
      <c r="F117" s="49" t="str">
        <f>_xlfn.XLOOKUP(C117,Tab_Def_Flows[Name(EN)],Tab_Def_Flows[Process_ID_O],,0,)</f>
        <v>12__</v>
      </c>
      <c r="G117" s="49">
        <f>_xlfn.XLOOKUP(C117,Tab_Def_Flows[Name(EN)],Tab_Def_Flows[Input_Process],,0,)</f>
        <v>0</v>
      </c>
      <c r="H117" s="61" t="str">
        <f>_xlfn.XLOOKUP(C117,Tab_Def_Flows[Name(EN)],Tab_Def_Flows[Process_ID_I],,0,)</f>
        <v>12__</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c r="AC117" s="107" t="e">
        <f>INDEX(Tab_Def_Flows[[Flow_ID]:[CC_DM_source]],MATCH(Tab_Data_Flows[[#This Row],[Name(EN)]],Tab_Def_Flows[Name(EN)],0),16)</f>
        <v>#N/A</v>
      </c>
      <c r="AD117" s="108" t="str">
        <f>IF(J117="Yes",AA117*Tab_Data_Flows[[#This Row],[WC_'[%']]],"N.A.")</f>
        <v>N.A.</v>
      </c>
      <c r="AE117" s="61">
        <f>Tab_Data_Flows[[#This Row],[UoM_Flow_Py]]</f>
        <v>0</v>
      </c>
      <c r="AF117" s="107" t="e">
        <f>INDEX(Tab_Def_Flows[[Flow_ID]:[CC_DM_source]],MATCH(Tab_Data_Flows[[#This Row],[Name(EN)]],Tab_Def_Flows[Name(EN)],0),18)</f>
        <v>#N/A</v>
      </c>
      <c r="AG117" s="108" t="str">
        <f>IF(K117="Yes",AF117*Tab_Data_Flows[[#This Row],[Flow_Py]],"N.A.")</f>
        <v>N.A.</v>
      </c>
      <c r="AH117" s="61">
        <f>Tab_Data_Flows[[#This Row],[UoM_Flow_Py]]</f>
        <v>0</v>
      </c>
      <c r="AI117" s="107" t="e">
        <f>INDEX(Tab_Def_Flows[[Flow_ID]:[CC_DM_source]],MATCH(Tab_Data_Flows[[#This Row],[Name(EN)]],Tab_Def_Flows[Name(EN)],0),20)</f>
        <v>#N/A</v>
      </c>
      <c r="AJ117" s="108" t="str">
        <f>IF(L117="Yes",AI117*Tab_Data_Flows[[#This Row],[Flow_Py]]*Tab_Data_Flows[[#This Row],[DM_'[%']]],"N.A.")</f>
        <v>N.A.</v>
      </c>
      <c r="AK117" s="61">
        <f>Tab_Data_Flows[[#This Row],[UoM_Flow_Py]]</f>
        <v>0</v>
      </c>
    </row>
    <row r="118" spans="1:37" x14ac:dyDescent="0.25">
      <c r="A118" s="60">
        <f t="shared" si="2"/>
        <v>117</v>
      </c>
      <c r="B118" s="49" t="str">
        <f>_xlfn.XLOOKUP(C118,Tab_Def_Flows[Name(EN)],Tab_Def_Flows[Flow_ID],,0,)</f>
        <v>F_12_12</v>
      </c>
      <c r="C118" s="51"/>
      <c r="D118" s="49">
        <f>_xlfn.XLOOKUP(C118,Tab_Def_Flows[Name(EN)],Tab_Def_Flows[Type_Biomass],,0,)</f>
        <v>0</v>
      </c>
      <c r="E118" s="49">
        <f>_xlfn.XLOOKUP(C118,Tab_Def_Flows[Name(EN)],Tab_Def_Flows[Output_Process],,0,)</f>
        <v>0</v>
      </c>
      <c r="F118" s="49" t="str">
        <f>_xlfn.XLOOKUP(C118,Tab_Def_Flows[Name(EN)],Tab_Def_Flows[Process_ID_O],,0,)</f>
        <v>12__</v>
      </c>
      <c r="G118" s="49">
        <f>_xlfn.XLOOKUP(C118,Tab_Def_Flows[Name(EN)],Tab_Def_Flows[Input_Process],,0,)</f>
        <v>0</v>
      </c>
      <c r="H118" s="61" t="str">
        <f>_xlfn.XLOOKUP(C118,Tab_Def_Flows[Name(EN)],Tab_Def_Flows[Process_ID_I],,0,)</f>
        <v>12__</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349</v>
      </c>
      <c r="O118" s="114"/>
      <c r="P118" s="51"/>
      <c r="Q118" s="51" t="s">
        <v>360</v>
      </c>
      <c r="R118" s="51"/>
      <c r="S118" s="51"/>
      <c r="T118" s="51"/>
      <c r="U118" s="51"/>
      <c r="V118" s="51"/>
      <c r="W118" s="51"/>
      <c r="X118" s="51" t="s">
        <v>70</v>
      </c>
      <c r="Y118" s="104"/>
      <c r="Z118" s="51"/>
      <c r="AA118" s="85">
        <f t="shared" si="3"/>
        <v>0</v>
      </c>
      <c r="AB118" s="51"/>
      <c r="AC118" s="107" t="e">
        <f>INDEX(Tab_Def_Flows[[Flow_ID]:[CC_DM_source]],MATCH(Tab_Data_Flows[[#This Row],[Name(EN)]],Tab_Def_Flows[Name(EN)],0),16)</f>
        <v>#N/A</v>
      </c>
      <c r="AD118" s="108" t="str">
        <f>IF(J118="Yes",AA118*Tab_Data_Flows[[#This Row],[WC_'[%']]],"N.A.")</f>
        <v>N.A.</v>
      </c>
      <c r="AE118" s="61">
        <f>Tab_Data_Flows[[#This Row],[UoM_Flow_Py]]</f>
        <v>0</v>
      </c>
      <c r="AF118" s="107" t="e">
        <f>INDEX(Tab_Def_Flows[[Flow_ID]:[CC_DM_source]],MATCH(Tab_Data_Flows[[#This Row],[Name(EN)]],Tab_Def_Flows[Name(EN)],0),18)</f>
        <v>#N/A</v>
      </c>
      <c r="AG118" s="108" t="str">
        <f>IF(K118="Yes",AF118*Tab_Data_Flows[[#This Row],[Flow_Py]],"N.A.")</f>
        <v>N.A.</v>
      </c>
      <c r="AH118" s="61">
        <f>Tab_Data_Flows[[#This Row],[UoM_Flow_Py]]</f>
        <v>0</v>
      </c>
      <c r="AI118" s="107" t="e">
        <f>INDEX(Tab_Def_Flows[[Flow_ID]:[CC_DM_source]],MATCH(Tab_Data_Flows[[#This Row],[Name(EN)]],Tab_Def_Flows[Name(EN)],0),20)</f>
        <v>#N/A</v>
      </c>
      <c r="AJ118" s="108" t="str">
        <f>IF(L118="Yes",AI118*Tab_Data_Flows[[#This Row],[Flow_Py]]*Tab_Data_Flows[[#This Row],[DM_'[%']]],"N.A.")</f>
        <v>N.A.</v>
      </c>
      <c r="AK118" s="61">
        <f>Tab_Data_Flows[[#This Row],[UoM_Flow_Py]]</f>
        <v>0</v>
      </c>
    </row>
    <row r="119" spans="1:37" x14ac:dyDescent="0.25">
      <c r="A119" s="60">
        <f t="shared" si="2"/>
        <v>118</v>
      </c>
      <c r="B119" s="49" t="str">
        <f>_xlfn.XLOOKUP(C119,Tab_Def_Flows[Name(EN)],Tab_Def_Flows[Flow_ID],,0,)</f>
        <v>F_12_12</v>
      </c>
      <c r="C119" s="51"/>
      <c r="D119" s="49">
        <f>_xlfn.XLOOKUP(C119,Tab_Def_Flows[Name(EN)],Tab_Def_Flows[Type_Biomass],,0,)</f>
        <v>0</v>
      </c>
      <c r="E119" s="49">
        <f>_xlfn.XLOOKUP(C119,Tab_Def_Flows[Name(EN)],Tab_Def_Flows[Output_Process],,0,)</f>
        <v>0</v>
      </c>
      <c r="F119" s="49" t="str">
        <f>_xlfn.XLOOKUP(C119,Tab_Def_Flows[Name(EN)],Tab_Def_Flows[Process_ID_O],,0,)</f>
        <v>12__</v>
      </c>
      <c r="G119" s="49">
        <f>_xlfn.XLOOKUP(C119,Tab_Def_Flows[Name(EN)],Tab_Def_Flows[Input_Process],,0,)</f>
        <v>0</v>
      </c>
      <c r="H119" s="61" t="str">
        <f>_xlfn.XLOOKUP(C119,Tab_Def_Flows[Name(EN)],Tab_Def_Flows[Process_ID_I],,0,)</f>
        <v>12__</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349</v>
      </c>
      <c r="O119" s="114"/>
      <c r="P119" s="51"/>
      <c r="Q119" s="51" t="s">
        <v>360</v>
      </c>
      <c r="R119" s="51"/>
      <c r="S119" s="51"/>
      <c r="T119" s="51"/>
      <c r="U119" s="51"/>
      <c r="V119" s="51"/>
      <c r="W119" s="51"/>
      <c r="X119" s="51" t="s">
        <v>70</v>
      </c>
      <c r="Y119" s="104"/>
      <c r="Z119" s="51"/>
      <c r="AA119" s="85">
        <f t="shared" si="3"/>
        <v>0</v>
      </c>
      <c r="AB119" s="51"/>
      <c r="AC119" s="107" t="e">
        <f>INDEX(Tab_Def_Flows[[Flow_ID]:[CC_DM_source]],MATCH(Tab_Data_Flows[[#This Row],[Name(EN)]],Tab_Def_Flows[Name(EN)],0),16)</f>
        <v>#N/A</v>
      </c>
      <c r="AD119" s="108" t="str">
        <f>IF(J119="Yes",AA119*Tab_Data_Flows[[#This Row],[WC_'[%']]],"N.A.")</f>
        <v>N.A.</v>
      </c>
      <c r="AE119" s="61">
        <f>Tab_Data_Flows[[#This Row],[UoM_Flow_Py]]</f>
        <v>0</v>
      </c>
      <c r="AF119" s="107" t="e">
        <f>INDEX(Tab_Def_Flows[[Flow_ID]:[CC_DM_source]],MATCH(Tab_Data_Flows[[#This Row],[Name(EN)]],Tab_Def_Flows[Name(EN)],0),18)</f>
        <v>#N/A</v>
      </c>
      <c r="AG119" s="108" t="str">
        <f>IF(K119="Yes",AF119*Tab_Data_Flows[[#This Row],[Flow_Py]]-AJ235,"N.A.")</f>
        <v>N.A.</v>
      </c>
      <c r="AH119" s="61">
        <f>Tab_Data_Flows[[#This Row],[UoM_Flow_Py]]</f>
        <v>0</v>
      </c>
      <c r="AI119" s="107" t="e">
        <f>INDEX(Tab_Def_Flows[[Flow_ID]:[CC_DM_source]],MATCH(Tab_Data_Flows[[#This Row],[Name(EN)]],Tab_Def_Flows[Name(EN)],0),20)</f>
        <v>#N/A</v>
      </c>
      <c r="AJ119" s="108" t="str">
        <f>IF(L119="Yes",AI119*Tab_Data_Flows[[#This Row],[Flow_Py]]*Tab_Data_Flows[[#This Row],[DM_'[%']]],"N.A.")</f>
        <v>N.A.</v>
      </c>
      <c r="AK119" s="61">
        <f>Tab_Data_Flows[[#This Row],[UoM_Flow_Py]]</f>
        <v>0</v>
      </c>
    </row>
    <row r="120" spans="1:37" x14ac:dyDescent="0.25">
      <c r="A120" s="60">
        <f t="shared" si="2"/>
        <v>119</v>
      </c>
      <c r="B120" s="49" t="str">
        <f>_xlfn.XLOOKUP(C120,Tab_Def_Flows[Name(EN)],Tab_Def_Flows[Flow_ID],,0,)</f>
        <v>F_12_12</v>
      </c>
      <c r="C120" s="51"/>
      <c r="D120" s="49">
        <f>_xlfn.XLOOKUP(C120,Tab_Def_Flows[Name(EN)],Tab_Def_Flows[Type_Biomass],,0,)</f>
        <v>0</v>
      </c>
      <c r="E120" s="49">
        <f>_xlfn.XLOOKUP(C120,Tab_Def_Flows[Name(EN)],Tab_Def_Flows[Output_Process],,0,)</f>
        <v>0</v>
      </c>
      <c r="F120" s="49" t="str">
        <f>_xlfn.XLOOKUP(C120,Tab_Def_Flows[Name(EN)],Tab_Def_Flows[Process_ID_O],,0,)</f>
        <v>12__</v>
      </c>
      <c r="G120" s="49">
        <f>_xlfn.XLOOKUP(C120,Tab_Def_Flows[Name(EN)],Tab_Def_Flows[Input_Process],,0,)</f>
        <v>0</v>
      </c>
      <c r="H120" s="61" t="str">
        <f>_xlfn.XLOOKUP(C120,Tab_Def_Flows[Name(EN)],Tab_Def_Flows[Process_ID_I],,0,)</f>
        <v>12__</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349</v>
      </c>
      <c r="O120" s="114"/>
      <c r="P120" s="51"/>
      <c r="Q120" s="51" t="s">
        <v>360</v>
      </c>
      <c r="R120" s="51"/>
      <c r="S120" s="51"/>
      <c r="T120" s="51"/>
      <c r="U120" s="51"/>
      <c r="V120" s="51"/>
      <c r="W120" s="51"/>
      <c r="X120" s="51" t="s">
        <v>70</v>
      </c>
      <c r="Y120" s="104"/>
      <c r="Z120" s="51"/>
      <c r="AA120" s="85">
        <f t="shared" si="3"/>
        <v>0</v>
      </c>
      <c r="AB120" s="51"/>
      <c r="AC120" s="107" t="e">
        <f>INDEX(Tab_Def_Flows[[Flow_ID]:[CC_DM_source]],MATCH(Tab_Data_Flows[[#This Row],[Name(EN)]],Tab_Def_Flows[Name(EN)],0),16)</f>
        <v>#N/A</v>
      </c>
      <c r="AD120" s="108" t="str">
        <f>IF(J120="Yes",AA120*Tab_Data_Flows[[#This Row],[WC_'[%']]],"N.A.")</f>
        <v>N.A.</v>
      </c>
      <c r="AE120" s="61">
        <f>Tab_Data_Flows[[#This Row],[UoM_Flow_Py]]</f>
        <v>0</v>
      </c>
      <c r="AF120" s="107" t="e">
        <f>INDEX(Tab_Def_Flows[[Flow_ID]:[CC_DM_source]],MATCH(Tab_Data_Flows[[#This Row],[Name(EN)]],Tab_Def_Flows[Name(EN)],0),18)</f>
        <v>#N/A</v>
      </c>
      <c r="AG120" s="108" t="str">
        <f>IF(K120="Yes",AF120*Tab_Data_Flows[[#This Row],[Flow_Py]]-AJ236,"N.A.")</f>
        <v>N.A.</v>
      </c>
      <c r="AH120" s="61">
        <f>Tab_Data_Flows[[#This Row],[UoM_Flow_Py]]</f>
        <v>0</v>
      </c>
      <c r="AI120" s="107" t="e">
        <f>INDEX(Tab_Def_Flows[[Flow_ID]:[CC_DM_source]],MATCH(Tab_Data_Flows[[#This Row],[Name(EN)]],Tab_Def_Flows[Name(EN)],0),20)</f>
        <v>#N/A</v>
      </c>
      <c r="AJ120" s="108" t="str">
        <f>IF(L120="Yes",AI120*Tab_Data_Flows[[#This Row],[Flow_Py]]*Tab_Data_Flows[[#This Row],[DM_'[%']]],"N.A.")</f>
        <v>N.A.</v>
      </c>
      <c r="AK120" s="61">
        <f>Tab_Data_Flows[[#This Row],[UoM_Flow_Py]]</f>
        <v>0</v>
      </c>
    </row>
    <row r="121" spans="1:37" x14ac:dyDescent="0.25">
      <c r="A121" s="60">
        <f t="shared" si="2"/>
        <v>120</v>
      </c>
      <c r="B121" s="49" t="str">
        <f>_xlfn.XLOOKUP(C121,Tab_Def_Flows[Name(EN)],Tab_Def_Flows[Flow_ID],,0,)</f>
        <v>F_12_12</v>
      </c>
      <c r="C121" s="51"/>
      <c r="D121" s="49">
        <f>_xlfn.XLOOKUP(C121,Tab_Def_Flows[Name(EN)],Tab_Def_Flows[Type_Biomass],,0,)</f>
        <v>0</v>
      </c>
      <c r="E121" s="49">
        <f>_xlfn.XLOOKUP(C121,Tab_Def_Flows[Name(EN)],Tab_Def_Flows[Output_Process],,0,)</f>
        <v>0</v>
      </c>
      <c r="F121" s="49" t="str">
        <f>_xlfn.XLOOKUP(C121,Tab_Def_Flows[Name(EN)],Tab_Def_Flows[Process_ID_O],,0,)</f>
        <v>12__</v>
      </c>
      <c r="G121" s="49">
        <f>_xlfn.XLOOKUP(C121,Tab_Def_Flows[Name(EN)],Tab_Def_Flows[Input_Process],,0,)</f>
        <v>0</v>
      </c>
      <c r="H121" s="61" t="str">
        <f>_xlfn.XLOOKUP(C121,Tab_Def_Flows[Name(EN)],Tab_Def_Flows[Process_ID_I],,0,)</f>
        <v>12__</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349</v>
      </c>
      <c r="O121" s="114"/>
      <c r="P121" s="51"/>
      <c r="Q121" s="51" t="s">
        <v>360</v>
      </c>
      <c r="R121" s="51"/>
      <c r="S121" s="51"/>
      <c r="T121" s="51"/>
      <c r="U121" s="51"/>
      <c r="V121" s="51"/>
      <c r="W121" s="51"/>
      <c r="X121" s="51" t="s">
        <v>70</v>
      </c>
      <c r="Y121" s="104"/>
      <c r="Z121" s="51"/>
      <c r="AA121" s="85">
        <f t="shared" si="3"/>
        <v>0</v>
      </c>
      <c r="AB121" s="51"/>
      <c r="AC121" s="107" t="e">
        <f>INDEX(Tab_Def_Flows[[Flow_ID]:[CC_DM_source]],MATCH(Tab_Data_Flows[[#This Row],[Name(EN)]],Tab_Def_Flows[Name(EN)],0),16)</f>
        <v>#N/A</v>
      </c>
      <c r="AD121" s="108" t="str">
        <f>IF(J121="Yes",AA121*Tab_Data_Flows[[#This Row],[WC_'[%']]],"N.A.")</f>
        <v>N.A.</v>
      </c>
      <c r="AE121" s="61">
        <f>Tab_Data_Flows[[#This Row],[UoM_Flow_Py]]</f>
        <v>0</v>
      </c>
      <c r="AF121" s="107" t="e">
        <f>INDEX(Tab_Def_Flows[[Flow_ID]:[CC_DM_source]],MATCH(Tab_Data_Flows[[#This Row],[Name(EN)]],Tab_Def_Flows[Name(EN)],0),18)</f>
        <v>#N/A</v>
      </c>
      <c r="AG121" s="108" t="str">
        <f>IF(K121="Yes",AF121*Tab_Data_Flows[[#This Row],[Flow_Py]]-AJ237,"N.A.")</f>
        <v>N.A.</v>
      </c>
      <c r="AH121" s="61">
        <f>Tab_Data_Flows[[#This Row],[UoM_Flow_Py]]</f>
        <v>0</v>
      </c>
      <c r="AI121" s="107" t="e">
        <f>INDEX(Tab_Def_Flows[[Flow_ID]:[CC_DM_source]],MATCH(Tab_Data_Flows[[#This Row],[Name(EN)]],Tab_Def_Flows[Name(EN)],0),20)</f>
        <v>#N/A</v>
      </c>
      <c r="AJ121" s="108" t="str">
        <f>IF(L121="Yes",AI121*Tab_Data_Flows[[#This Row],[Flow_Py]]*Tab_Data_Flows[[#This Row],[DM_'[%']]],"N.A.")</f>
        <v>N.A.</v>
      </c>
      <c r="AK121" s="61">
        <f>Tab_Data_Flows[[#This Row],[UoM_Flow_Py]]</f>
        <v>0</v>
      </c>
    </row>
    <row r="122" spans="1:37" x14ac:dyDescent="0.25">
      <c r="A122" s="60">
        <f t="shared" si="2"/>
        <v>121</v>
      </c>
      <c r="B122" s="49" t="str">
        <f>_xlfn.XLOOKUP(C122,Tab_Def_Flows[Name(EN)],Tab_Def_Flows[Flow_ID],,0,)</f>
        <v>F_12_12</v>
      </c>
      <c r="C122" s="51"/>
      <c r="D122" s="49">
        <f>_xlfn.XLOOKUP(C122,Tab_Def_Flows[Name(EN)],Tab_Def_Flows[Type_Biomass],,0,)</f>
        <v>0</v>
      </c>
      <c r="E122" s="49">
        <f>_xlfn.XLOOKUP(C122,Tab_Def_Flows[Name(EN)],Tab_Def_Flows[Output_Process],,0,)</f>
        <v>0</v>
      </c>
      <c r="F122" s="49" t="str">
        <f>_xlfn.XLOOKUP(C122,Tab_Def_Flows[Name(EN)],Tab_Def_Flows[Process_ID_O],,0,)</f>
        <v>12__</v>
      </c>
      <c r="G122" s="49">
        <f>_xlfn.XLOOKUP(C122,Tab_Def_Flows[Name(EN)],Tab_Def_Flows[Input_Process],,0,)</f>
        <v>0</v>
      </c>
      <c r="H122" s="61" t="str">
        <f>_xlfn.XLOOKUP(C122,Tab_Def_Flows[Name(EN)],Tab_Def_Flows[Process_ID_I],,0,)</f>
        <v>12__</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349</v>
      </c>
      <c r="O122" s="114"/>
      <c r="P122" s="51"/>
      <c r="Q122" s="51" t="s">
        <v>360</v>
      </c>
      <c r="R122" s="51"/>
      <c r="S122" s="51"/>
      <c r="T122" s="51"/>
      <c r="U122" s="51"/>
      <c r="V122" s="51"/>
      <c r="W122" s="51"/>
      <c r="X122" s="51" t="s">
        <v>70</v>
      </c>
      <c r="Y122" s="104"/>
      <c r="Z122" s="51"/>
      <c r="AA122" s="85">
        <f t="shared" si="3"/>
        <v>0</v>
      </c>
      <c r="AB122" s="51"/>
      <c r="AC122" s="107" t="e">
        <f>INDEX(Tab_Def_Flows[[Flow_ID]:[CC_DM_source]],MATCH(Tab_Data_Flows[[#This Row],[Name(EN)]],Tab_Def_Flows[Name(EN)],0),16)</f>
        <v>#N/A</v>
      </c>
      <c r="AD122" s="108" t="str">
        <f>IF(J122="Yes",AA122*Tab_Data_Flows[[#This Row],[WC_'[%']]],"N.A.")</f>
        <v>N.A.</v>
      </c>
      <c r="AE122" s="61">
        <f>Tab_Data_Flows[[#This Row],[UoM_Flow_Py]]</f>
        <v>0</v>
      </c>
      <c r="AF122" s="107" t="e">
        <f>INDEX(Tab_Def_Flows[[Flow_ID]:[CC_DM_source]],MATCH(Tab_Data_Flows[[#This Row],[Name(EN)]],Tab_Def_Flows[Name(EN)],0),18)</f>
        <v>#N/A</v>
      </c>
      <c r="AG122" s="108" t="str">
        <f>IF(K122="Yes",AF122*Tab_Data_Flows[[#This Row],[Flow_Py]]-AJ238,"N.A.")</f>
        <v>N.A.</v>
      </c>
      <c r="AH122" s="61">
        <f>Tab_Data_Flows[[#This Row],[UoM_Flow_Py]]</f>
        <v>0</v>
      </c>
      <c r="AI122" s="107" t="e">
        <f>INDEX(Tab_Def_Flows[[Flow_ID]:[CC_DM_source]],MATCH(Tab_Data_Flows[[#This Row],[Name(EN)]],Tab_Def_Flows[Name(EN)],0),20)</f>
        <v>#N/A</v>
      </c>
      <c r="AJ122" s="108" t="str">
        <f>IF(L122="Yes",AI122*Tab_Data_Flows[[#This Row],[Flow_Py]]*Tab_Data_Flows[[#This Row],[DM_'[%']]],"N.A.")</f>
        <v>N.A.</v>
      </c>
      <c r="AK122" s="61">
        <f>Tab_Data_Flows[[#This Row],[UoM_Flow_Py]]</f>
        <v>0</v>
      </c>
    </row>
    <row r="123" spans="1:37" x14ac:dyDescent="0.25">
      <c r="A123" s="60">
        <f t="shared" si="2"/>
        <v>122</v>
      </c>
      <c r="B123" s="49" t="str">
        <f>_xlfn.XLOOKUP(C123,Tab_Def_Flows[Name(EN)],Tab_Def_Flows[Flow_ID],,0,)</f>
        <v>F_12_12</v>
      </c>
      <c r="C123" s="51"/>
      <c r="D123" s="49">
        <f>_xlfn.XLOOKUP(C123,Tab_Def_Flows[Name(EN)],Tab_Def_Flows[Type_Biomass],,0,)</f>
        <v>0</v>
      </c>
      <c r="E123" s="49">
        <f>_xlfn.XLOOKUP(C123,Tab_Def_Flows[Name(EN)],Tab_Def_Flows[Output_Process],,0,)</f>
        <v>0</v>
      </c>
      <c r="F123" s="49" t="str">
        <f>_xlfn.XLOOKUP(C123,Tab_Def_Flows[Name(EN)],Tab_Def_Flows[Process_ID_O],,0,)</f>
        <v>12__</v>
      </c>
      <c r="G123" s="49">
        <f>_xlfn.XLOOKUP(C123,Tab_Def_Flows[Name(EN)],Tab_Def_Flows[Input_Process],,0,)</f>
        <v>0</v>
      </c>
      <c r="H123" s="61" t="str">
        <f>_xlfn.XLOOKUP(C123,Tab_Def_Flows[Name(EN)],Tab_Def_Flows[Process_ID_I],,0,)</f>
        <v>12__</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349</v>
      </c>
      <c r="O123" s="114"/>
      <c r="P123" s="51"/>
      <c r="Q123" s="51" t="s">
        <v>360</v>
      </c>
      <c r="R123" s="51"/>
      <c r="S123" s="51"/>
      <c r="T123" s="51"/>
      <c r="U123" s="51"/>
      <c r="V123" s="51"/>
      <c r="W123" s="51"/>
      <c r="X123" s="51" t="s">
        <v>70</v>
      </c>
      <c r="Y123" s="104"/>
      <c r="Z123" s="51"/>
      <c r="AA123" s="85">
        <f t="shared" si="3"/>
        <v>0</v>
      </c>
      <c r="AB123" s="51"/>
      <c r="AC123" s="107" t="e">
        <f>INDEX(Tab_Def_Flows[[Flow_ID]:[CC_DM_source]],MATCH(Tab_Data_Flows[[#This Row],[Name(EN)]],Tab_Def_Flows[Name(EN)],0),16)</f>
        <v>#N/A</v>
      </c>
      <c r="AD123" s="108" t="str">
        <f>IF(J123="Yes",AA123*Tab_Data_Flows[[#This Row],[WC_'[%']]],"N.A.")</f>
        <v>N.A.</v>
      </c>
      <c r="AE123" s="61">
        <f>Tab_Data_Flows[[#This Row],[UoM_Flow_Py]]</f>
        <v>0</v>
      </c>
      <c r="AF123" s="107" t="e">
        <f>INDEX(Tab_Def_Flows[[Flow_ID]:[CC_DM_source]],MATCH(Tab_Data_Flows[[#This Row],[Name(EN)]],Tab_Def_Flows[Name(EN)],0),18)</f>
        <v>#N/A</v>
      </c>
      <c r="AG123" s="108" t="str">
        <f>IF(K123="Yes",AF123*Tab_Data_Flows[[#This Row],[Flow_Py]]-AJ239,"N.A.")</f>
        <v>N.A.</v>
      </c>
      <c r="AH123" s="61">
        <f>Tab_Data_Flows[[#This Row],[UoM_Flow_Py]]</f>
        <v>0</v>
      </c>
      <c r="AI123" s="107" t="e">
        <f>INDEX(Tab_Def_Flows[[Flow_ID]:[CC_DM_source]],MATCH(Tab_Data_Flows[[#This Row],[Name(EN)]],Tab_Def_Flows[Name(EN)],0),20)</f>
        <v>#N/A</v>
      </c>
      <c r="AJ123" s="108" t="str">
        <f>IF(L123="Yes",AI123*Tab_Data_Flows[[#This Row],[Flow_Py]]*Tab_Data_Flows[[#This Row],[DM_'[%']]],"N.A.")</f>
        <v>N.A.</v>
      </c>
      <c r="AK123" s="61">
        <f>Tab_Data_Flows[[#This Row],[UoM_Flow_Py]]</f>
        <v>0</v>
      </c>
    </row>
    <row r="124" spans="1:37" x14ac:dyDescent="0.25">
      <c r="A124" s="60">
        <f t="shared" si="2"/>
        <v>123</v>
      </c>
      <c r="B124" s="49" t="str">
        <f>_xlfn.XLOOKUP(C124,Tab_Def_Flows[Name(EN)],Tab_Def_Flows[Flow_ID],,0,)</f>
        <v>F_12_12</v>
      </c>
      <c r="C124" s="51"/>
      <c r="D124" s="49">
        <f>_xlfn.XLOOKUP(C124,Tab_Def_Flows[Name(EN)],Tab_Def_Flows[Type_Biomass],,0,)</f>
        <v>0</v>
      </c>
      <c r="E124" s="49">
        <f>_xlfn.XLOOKUP(C124,Tab_Def_Flows[Name(EN)],Tab_Def_Flows[Output_Process],,0,)</f>
        <v>0</v>
      </c>
      <c r="F124" s="49" t="str">
        <f>_xlfn.XLOOKUP(C124,Tab_Def_Flows[Name(EN)],Tab_Def_Flows[Process_ID_O],,0,)</f>
        <v>12__</v>
      </c>
      <c r="G124" s="49">
        <f>_xlfn.XLOOKUP(C124,Tab_Def_Flows[Name(EN)],Tab_Def_Flows[Input_Process],,0,)</f>
        <v>0</v>
      </c>
      <c r="H124" s="61" t="str">
        <f>_xlfn.XLOOKUP(C124,Tab_Def_Flows[Name(EN)],Tab_Def_Flows[Process_ID_I],,0,)</f>
        <v>12__</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349</v>
      </c>
      <c r="O124" s="114"/>
      <c r="P124" s="51"/>
      <c r="Q124" s="51" t="s">
        <v>360</v>
      </c>
      <c r="R124" s="51"/>
      <c r="S124" s="51"/>
      <c r="T124" s="51"/>
      <c r="U124" s="51"/>
      <c r="V124" s="51"/>
      <c r="W124" s="51"/>
      <c r="X124" s="51" t="s">
        <v>70</v>
      </c>
      <c r="Y124" s="104"/>
      <c r="Z124" s="51"/>
      <c r="AA124" s="85">
        <f t="shared" si="3"/>
        <v>0</v>
      </c>
      <c r="AB124" s="51"/>
      <c r="AC124" s="107" t="e">
        <f>INDEX(Tab_Def_Flows[[Flow_ID]:[CC_DM_source]],MATCH(Tab_Data_Flows[[#This Row],[Name(EN)]],Tab_Def_Flows[Name(EN)],0),16)</f>
        <v>#N/A</v>
      </c>
      <c r="AD124" s="108" t="str">
        <f>IF(J124="Yes",AA124*Tab_Data_Flows[[#This Row],[WC_'[%']]],"N.A.")</f>
        <v>N.A.</v>
      </c>
      <c r="AE124" s="61">
        <f>Tab_Data_Flows[[#This Row],[UoM_Flow_Py]]</f>
        <v>0</v>
      </c>
      <c r="AF124" s="107" t="e">
        <f>INDEX(Tab_Def_Flows[[Flow_ID]:[CC_DM_source]],MATCH(Tab_Data_Flows[[#This Row],[Name(EN)]],Tab_Def_Flows[Name(EN)],0),18)</f>
        <v>#N/A</v>
      </c>
      <c r="AG124" s="108" t="str">
        <f>IF(K124="Yes",AF124*Tab_Data_Flows[[#This Row],[Flow_Py]]-AJ240,"N.A.")</f>
        <v>N.A.</v>
      </c>
      <c r="AH124" s="61">
        <f>Tab_Data_Flows[[#This Row],[UoM_Flow_Py]]</f>
        <v>0</v>
      </c>
      <c r="AI124" s="107" t="e">
        <f>INDEX(Tab_Def_Flows[[Flow_ID]:[CC_DM_source]],MATCH(Tab_Data_Flows[[#This Row],[Name(EN)]],Tab_Def_Flows[Name(EN)],0),20)</f>
        <v>#N/A</v>
      </c>
      <c r="AJ124" s="108" t="str">
        <f>IF(L124="Yes",AI124*Tab_Data_Flows[[#This Row],[Flow_Py]]*Tab_Data_Flows[[#This Row],[DM_'[%']]],"N.A.")</f>
        <v>N.A.</v>
      </c>
      <c r="AK124" s="61">
        <f>Tab_Data_Flows[[#This Row],[UoM_Flow_Py]]</f>
        <v>0</v>
      </c>
    </row>
    <row r="125" spans="1:37" x14ac:dyDescent="0.25">
      <c r="A125" s="60">
        <f t="shared" si="2"/>
        <v>124</v>
      </c>
      <c r="B125" s="49" t="str">
        <f>_xlfn.XLOOKUP(C125,Tab_Def_Flows[Name(EN)],Tab_Def_Flows[Flow_ID],,0,)</f>
        <v>F_12_12</v>
      </c>
      <c r="C125" s="51"/>
      <c r="D125" s="49"/>
      <c r="E125" s="49">
        <f>_xlfn.XLOOKUP(C125,Tab_Def_Flows[Name(EN)],Tab_Def_Flows[Output_Process],,0,)</f>
        <v>0</v>
      </c>
      <c r="F125" s="49" t="str">
        <f>_xlfn.XLOOKUP(C125,Tab_Def_Flows[Name(EN)],Tab_Def_Flows[Process_ID_O],,0,)</f>
        <v>12__</v>
      </c>
      <c r="G125" s="49">
        <f>_xlfn.XLOOKUP(C125,Tab_Def_Flows[Name(EN)],Tab_Def_Flows[Input_Process],,0,)</f>
        <v>0</v>
      </c>
      <c r="H125" s="61" t="str">
        <f>_xlfn.XLOOKUP(C125,Tab_Def_Flows[Name(EN)],Tab_Def_Flows[Process_ID_I],,0,)</f>
        <v>12__</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c r="AC125" s="107" t="e">
        <f>INDEX(Tab_Def_Flows[[Flow_ID]:[CC_DM_source]],MATCH(Tab_Data_Flows[[#This Row],[Name(EN)]],Tab_Def_Flows[Name(EN)],0),16)</f>
        <v>#N/A</v>
      </c>
      <c r="AD125" s="108" t="str">
        <f>IF(J125="Yes",AA125*Tab_Data_Flows[[#This Row],[WC_'[%']]],"N.A.")</f>
        <v>N.A.</v>
      </c>
      <c r="AE125" s="61">
        <f>Tab_Data_Flows[[#This Row],[UoM_Flow_Py]]</f>
        <v>0</v>
      </c>
      <c r="AF125" s="107" t="e">
        <f>INDEX(Tab_Def_Flows[[Flow_ID]:[CC_DM_source]],MATCH(Tab_Data_Flows[[#This Row],[Name(EN)]],Tab_Def_Flows[Name(EN)],0),18)</f>
        <v>#N/A</v>
      </c>
      <c r="AG125" s="108" t="str">
        <f>IF(K125="Yes",AF125*Tab_Data_Flows[[#This Row],[Flow_Py]]-AJ241,"N.A.")</f>
        <v>N.A.</v>
      </c>
      <c r="AH125" s="61">
        <f>Tab_Data_Flows[[#This Row],[UoM_Flow_Py]]</f>
        <v>0</v>
      </c>
      <c r="AI125" s="107" t="e">
        <f>INDEX(Tab_Def_Flows[[Flow_ID]:[CC_DM_source]],MATCH(Tab_Data_Flows[[#This Row],[Name(EN)]],Tab_Def_Flows[Name(EN)],0),20)</f>
        <v>#N/A</v>
      </c>
      <c r="AJ125" s="108" t="str">
        <f>IF(L125="Yes",AI125*Tab_Data_Flows[[#This Row],[Flow_Py]]*Tab_Data_Flows[[#This Row],[DM_'[%']]],"N.A.")</f>
        <v>N.A.</v>
      </c>
      <c r="AK125" s="61">
        <f>Tab_Data_Flows[[#This Row],[UoM_Flow_Py]]</f>
        <v>0</v>
      </c>
    </row>
    <row r="126" spans="1:37" x14ac:dyDescent="0.25">
      <c r="A126" s="60">
        <f t="shared" si="2"/>
        <v>125</v>
      </c>
      <c r="B126" s="49" t="str">
        <f>_xlfn.XLOOKUP(C126,Tab_Def_Flows[Name(EN)],Tab_Def_Flows[Flow_ID],,0,)</f>
        <v>F_12_12</v>
      </c>
      <c r="C126" s="51"/>
      <c r="D126" s="49"/>
      <c r="E126" s="49">
        <f>_xlfn.XLOOKUP(C126,Tab_Def_Flows[Name(EN)],Tab_Def_Flows[Output_Process],,0,)</f>
        <v>0</v>
      </c>
      <c r="F126" s="49" t="str">
        <f>_xlfn.XLOOKUP(C126,Tab_Def_Flows[Name(EN)],Tab_Def_Flows[Process_ID_O],,0,)</f>
        <v>12__</v>
      </c>
      <c r="G126" s="49">
        <f>_xlfn.XLOOKUP(C126,Tab_Def_Flows[Name(EN)],Tab_Def_Flows[Input_Process],,0,)</f>
        <v>0</v>
      </c>
      <c r="H126" s="61" t="str">
        <f>_xlfn.XLOOKUP(C126,Tab_Def_Flows[Name(EN)],Tab_Def_Flows[Process_ID_I],,0,)</f>
        <v>12__</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c r="AC126" s="107" t="e">
        <f>INDEX(Tab_Def_Flows[[Flow_ID]:[CC_DM_source]],MATCH(Tab_Data_Flows[[#This Row],[Name(EN)]],Tab_Def_Flows[Name(EN)],0),16)</f>
        <v>#N/A</v>
      </c>
      <c r="AD126" s="108" t="str">
        <f>IF(J126="Yes",AA126*Tab_Data_Flows[[#This Row],[WC_'[%']]],"N.A.")</f>
        <v>N.A.</v>
      </c>
      <c r="AE126" s="61">
        <f>Tab_Data_Flows[[#This Row],[UoM_Flow_Py]]</f>
        <v>0</v>
      </c>
      <c r="AF126" s="107" t="e">
        <f>INDEX(Tab_Def_Flows[[Flow_ID]:[CC_DM_source]],MATCH(Tab_Data_Flows[[#This Row],[Name(EN)]],Tab_Def_Flows[Name(EN)],0),18)</f>
        <v>#N/A</v>
      </c>
      <c r="AG126" s="108" t="str">
        <f>IF(K126="Yes",AF126*Tab_Data_Flows[[#This Row],[Flow_Py]]-AJ242,"N.A.")</f>
        <v>N.A.</v>
      </c>
      <c r="AH126" s="61">
        <f>Tab_Data_Flows[[#This Row],[UoM_Flow_Py]]</f>
        <v>0</v>
      </c>
      <c r="AI126" s="107" t="e">
        <f>INDEX(Tab_Def_Flows[[Flow_ID]:[CC_DM_source]],MATCH(Tab_Data_Flows[[#This Row],[Name(EN)]],Tab_Def_Flows[Name(EN)],0),20)</f>
        <v>#N/A</v>
      </c>
      <c r="AJ126" s="108" t="str">
        <f>IF(L126="Yes",AI126*Tab_Data_Flows[[#This Row],[Flow_Py]]*Tab_Data_Flows[[#This Row],[DM_'[%']]],"N.A.")</f>
        <v>N.A.</v>
      </c>
      <c r="AK126" s="61">
        <f>Tab_Data_Flows[[#This Row],[UoM_Flow_Py]]</f>
        <v>0</v>
      </c>
    </row>
    <row r="127" spans="1:37" x14ac:dyDescent="0.25">
      <c r="A127" s="60">
        <f t="shared" si="2"/>
        <v>126</v>
      </c>
      <c r="B127" s="49" t="str">
        <f>_xlfn.XLOOKUP(C127,Tab_Def_Flows[Name(EN)],Tab_Def_Flows[Flow_ID],,0,)</f>
        <v>F_12_12</v>
      </c>
      <c r="C127" s="51"/>
      <c r="D127" s="49"/>
      <c r="E127" s="49">
        <f>_xlfn.XLOOKUP(C127,Tab_Def_Flows[Name(EN)],Tab_Def_Flows[Output_Process],,0,)</f>
        <v>0</v>
      </c>
      <c r="F127" s="49" t="str">
        <f>_xlfn.XLOOKUP(C127,Tab_Def_Flows[Name(EN)],Tab_Def_Flows[Process_ID_O],,0,)</f>
        <v>12__</v>
      </c>
      <c r="G127" s="49">
        <f>_xlfn.XLOOKUP(C127,Tab_Def_Flows[Name(EN)],Tab_Def_Flows[Input_Process],,0,)</f>
        <v>0</v>
      </c>
      <c r="H127" s="61" t="str">
        <f>_xlfn.XLOOKUP(C127,Tab_Def_Flows[Name(EN)],Tab_Def_Flows[Process_ID_I],,0,)</f>
        <v>12__</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c r="AC127" s="107" t="e">
        <f>INDEX(Tab_Def_Flows[[Flow_ID]:[CC_DM_source]],MATCH(Tab_Data_Flows[[#This Row],[Name(EN)]],Tab_Def_Flows[Name(EN)],0),16)</f>
        <v>#N/A</v>
      </c>
      <c r="AD127" s="108" t="str">
        <f>IF(J127="Yes",AA127*Tab_Data_Flows[[#This Row],[WC_'[%']]],"N.A.")</f>
        <v>N.A.</v>
      </c>
      <c r="AE127" s="61">
        <f>Tab_Data_Flows[[#This Row],[UoM_Flow_Py]]</f>
        <v>0</v>
      </c>
      <c r="AF127" s="107" t="e">
        <f>INDEX(Tab_Def_Flows[[Flow_ID]:[CC_DM_source]],MATCH(Tab_Data_Flows[[#This Row],[Name(EN)]],Tab_Def_Flows[Name(EN)],0),18)</f>
        <v>#N/A</v>
      </c>
      <c r="AG127" s="108" t="str">
        <f>IF(K127="Yes",AF127*Tab_Data_Flows[[#This Row],[Flow_Py]]-AJ243,"N.A.")</f>
        <v>N.A.</v>
      </c>
      <c r="AH127" s="61">
        <f>Tab_Data_Flows[[#This Row],[UoM_Flow_Py]]</f>
        <v>0</v>
      </c>
      <c r="AI127" s="107" t="e">
        <f>INDEX(Tab_Def_Flows[[Flow_ID]:[CC_DM_source]],MATCH(Tab_Data_Flows[[#This Row],[Name(EN)]],Tab_Def_Flows[Name(EN)],0),20)</f>
        <v>#N/A</v>
      </c>
      <c r="AJ127" s="108" t="str">
        <f>IF(L127="Yes",AI127*Tab_Data_Flows[[#This Row],[Flow_Py]]*Tab_Data_Flows[[#This Row],[DM_'[%']]],"N.A.")</f>
        <v>N.A.</v>
      </c>
      <c r="AK127" s="61">
        <f>Tab_Data_Flows[[#This Row],[UoM_Flow_Py]]</f>
        <v>0</v>
      </c>
    </row>
    <row r="128" spans="1:37" x14ac:dyDescent="0.25">
      <c r="A128" s="60">
        <f t="shared" si="2"/>
        <v>127</v>
      </c>
      <c r="B128" s="49" t="str">
        <f>_xlfn.XLOOKUP(C128,Tab_Def_Flows[Name(EN)],Tab_Def_Flows[Flow_ID],,0,)</f>
        <v>F_12_12</v>
      </c>
      <c r="C128" s="51"/>
      <c r="D128" s="49"/>
      <c r="E128" s="49">
        <f>_xlfn.XLOOKUP(C128,Tab_Def_Flows[Name(EN)],Tab_Def_Flows[Output_Process],,0,)</f>
        <v>0</v>
      </c>
      <c r="F128" s="49" t="str">
        <f>_xlfn.XLOOKUP(C128,Tab_Def_Flows[Name(EN)],Tab_Def_Flows[Process_ID_O],,0,)</f>
        <v>12__</v>
      </c>
      <c r="G128" s="49">
        <f>_xlfn.XLOOKUP(C128,Tab_Def_Flows[Name(EN)],Tab_Def_Flows[Input_Process],,0,)</f>
        <v>0</v>
      </c>
      <c r="H128" s="61" t="str">
        <f>_xlfn.XLOOKUP(C128,Tab_Def_Flows[Name(EN)],Tab_Def_Flows[Process_ID_I],,0,)</f>
        <v>12__</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c r="AC128" s="107" t="e">
        <f>INDEX(Tab_Def_Flows[[Flow_ID]:[CC_DM_source]],MATCH(Tab_Data_Flows[[#This Row],[Name(EN)]],Tab_Def_Flows[Name(EN)],0),16)</f>
        <v>#N/A</v>
      </c>
      <c r="AD128" s="108" t="str">
        <f>IF(J128="Yes",AA128*Tab_Data_Flows[[#This Row],[WC_'[%']]],"N.A.")</f>
        <v>N.A.</v>
      </c>
      <c r="AE128" s="61">
        <f>Tab_Data_Flows[[#This Row],[UoM_Flow_Py]]</f>
        <v>0</v>
      </c>
      <c r="AF128" s="107" t="e">
        <f>INDEX(Tab_Def_Flows[[Flow_ID]:[CC_DM_source]],MATCH(Tab_Data_Flows[[#This Row],[Name(EN)]],Tab_Def_Flows[Name(EN)],0),18)</f>
        <v>#N/A</v>
      </c>
      <c r="AG128" s="108" t="str">
        <f>IF(K128="Yes",AF128*Tab_Data_Flows[[#This Row],[Flow_Py]]-AJ244,"N.A.")</f>
        <v>N.A.</v>
      </c>
      <c r="AH128" s="61">
        <f>Tab_Data_Flows[[#This Row],[UoM_Flow_Py]]</f>
        <v>0</v>
      </c>
      <c r="AI128" s="107" t="e">
        <f>INDEX(Tab_Def_Flows[[Flow_ID]:[CC_DM_source]],MATCH(Tab_Data_Flows[[#This Row],[Name(EN)]],Tab_Def_Flows[Name(EN)],0),20)</f>
        <v>#N/A</v>
      </c>
      <c r="AJ128" s="108" t="str">
        <f>IF(L128="Yes",AI128*Tab_Data_Flows[[#This Row],[Flow_Py]]*Tab_Data_Flows[[#This Row],[DM_'[%']]],"N.A.")</f>
        <v>N.A.</v>
      </c>
      <c r="AK128" s="61">
        <f>Tab_Data_Flows[[#This Row],[UoM_Flow_Py]]</f>
        <v>0</v>
      </c>
    </row>
    <row r="129" spans="1:37" x14ac:dyDescent="0.25">
      <c r="A129" s="60">
        <f t="shared" si="2"/>
        <v>128</v>
      </c>
      <c r="B129" s="49" t="str">
        <f>_xlfn.XLOOKUP(C129,Tab_Def_Flows[Name(EN)],Tab_Def_Flows[Flow_ID],,0,)</f>
        <v>F_12_12</v>
      </c>
      <c r="C129" s="51"/>
      <c r="D129" s="49"/>
      <c r="E129" s="49">
        <f>_xlfn.XLOOKUP(C129,Tab_Def_Flows[Name(EN)],Tab_Def_Flows[Output_Process],,0,)</f>
        <v>0</v>
      </c>
      <c r="F129" s="49" t="str">
        <f>_xlfn.XLOOKUP(C129,Tab_Def_Flows[Name(EN)],Tab_Def_Flows[Process_ID_O],,0,)</f>
        <v>12__</v>
      </c>
      <c r="G129" s="49">
        <f>_xlfn.XLOOKUP(C129,Tab_Def_Flows[Name(EN)],Tab_Def_Flows[Input_Process],,0,)</f>
        <v>0</v>
      </c>
      <c r="H129" s="61" t="str">
        <f>_xlfn.XLOOKUP(C129,Tab_Def_Flows[Name(EN)],Tab_Def_Flows[Process_ID_I],,0,)</f>
        <v>12__</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c r="AC129" s="107" t="e">
        <f>INDEX(Tab_Def_Flows[[Flow_ID]:[CC_DM_source]],MATCH(Tab_Data_Flows[[#This Row],[Name(EN)]],Tab_Def_Flows[Name(EN)],0),16)</f>
        <v>#N/A</v>
      </c>
      <c r="AD129" s="108" t="str">
        <f>IF(J129="Yes",AA129*Tab_Data_Flows[[#This Row],[WC_'[%']]],"N.A.")</f>
        <v>N.A.</v>
      </c>
      <c r="AE129" s="61">
        <f>Tab_Data_Flows[[#This Row],[UoM_Flow_Py]]</f>
        <v>0</v>
      </c>
      <c r="AF129" s="107" t="e">
        <f>INDEX(Tab_Def_Flows[[Flow_ID]:[CC_DM_source]],MATCH(Tab_Data_Flows[[#This Row],[Name(EN)]],Tab_Def_Flows[Name(EN)],0),18)</f>
        <v>#N/A</v>
      </c>
      <c r="AG129" s="108" t="str">
        <f>IF(K129="Yes",AF129*Tab_Data_Flows[[#This Row],[Flow_Py]]-AJ245,"N.A.")</f>
        <v>N.A.</v>
      </c>
      <c r="AH129" s="61">
        <f>Tab_Data_Flows[[#This Row],[UoM_Flow_Py]]</f>
        <v>0</v>
      </c>
      <c r="AI129" s="107" t="e">
        <f>INDEX(Tab_Def_Flows[[Flow_ID]:[CC_DM_source]],MATCH(Tab_Data_Flows[[#This Row],[Name(EN)]],Tab_Def_Flows[Name(EN)],0),20)</f>
        <v>#N/A</v>
      </c>
      <c r="AJ129" s="108" t="str">
        <f>IF(L129="Yes",AI129*Tab_Data_Flows[[#This Row],[Flow_Py]]*Tab_Data_Flows[[#This Row],[DM_'[%']]],"N.A.")</f>
        <v>N.A.</v>
      </c>
      <c r="AK129" s="61">
        <f>Tab_Data_Flows[[#This Row],[UoM_Flow_Py]]</f>
        <v>0</v>
      </c>
    </row>
    <row r="130" spans="1:37" x14ac:dyDescent="0.25">
      <c r="A130" s="60">
        <f t="shared" si="2"/>
        <v>129</v>
      </c>
      <c r="B130" s="49" t="str">
        <f>_xlfn.XLOOKUP(C130,Tab_Def_Flows[Name(EN)],Tab_Def_Flows[Flow_ID],,0,)</f>
        <v>F_12_12</v>
      </c>
      <c r="C130" s="51"/>
      <c r="D130" s="49"/>
      <c r="E130" s="49">
        <f>_xlfn.XLOOKUP(C130,Tab_Def_Flows[Name(EN)],Tab_Def_Flows[Output_Process],,0,)</f>
        <v>0</v>
      </c>
      <c r="F130" s="49" t="str">
        <f>_xlfn.XLOOKUP(C130,Tab_Def_Flows[Name(EN)],Tab_Def_Flows[Process_ID_O],,0,)</f>
        <v>12__</v>
      </c>
      <c r="G130" s="49">
        <f>_xlfn.XLOOKUP(C130,Tab_Def_Flows[Name(EN)],Tab_Def_Flows[Input_Process],,0,)</f>
        <v>0</v>
      </c>
      <c r="H130" s="61" t="str">
        <f>_xlfn.XLOOKUP(C130,Tab_Def_Flows[Name(EN)],Tab_Def_Flows[Process_ID_I],,0,)</f>
        <v>12__</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c r="AC130" s="107" t="e">
        <f>INDEX(Tab_Def_Flows[[Flow_ID]:[CC_DM_source]],MATCH(Tab_Data_Flows[[#This Row],[Name(EN)]],Tab_Def_Flows[Name(EN)],0),16)</f>
        <v>#N/A</v>
      </c>
      <c r="AD130" s="108" t="str">
        <f>IF(J130="Yes",AA130*Tab_Data_Flows[[#This Row],[WC_'[%']]],"N.A.")</f>
        <v>N.A.</v>
      </c>
      <c r="AE130" s="61">
        <f>Tab_Data_Flows[[#This Row],[UoM_Flow_Py]]</f>
        <v>0</v>
      </c>
      <c r="AF130" s="107" t="e">
        <f>INDEX(Tab_Def_Flows[[Flow_ID]:[CC_DM_source]],MATCH(Tab_Data_Flows[[#This Row],[Name(EN)]],Tab_Def_Flows[Name(EN)],0),18)</f>
        <v>#N/A</v>
      </c>
      <c r="AG130" s="108" t="str">
        <f>IF(K130="Yes",AF130*Tab_Data_Flows[[#This Row],[Flow_Py]]-AJ246,"N.A.")</f>
        <v>N.A.</v>
      </c>
      <c r="AH130" s="61">
        <f>Tab_Data_Flows[[#This Row],[UoM_Flow_Py]]</f>
        <v>0</v>
      </c>
      <c r="AI130" s="107" t="e">
        <f>INDEX(Tab_Def_Flows[[Flow_ID]:[CC_DM_source]],MATCH(Tab_Data_Flows[[#This Row],[Name(EN)]],Tab_Def_Flows[Name(EN)],0),20)</f>
        <v>#N/A</v>
      </c>
      <c r="AJ130" s="108" t="str">
        <f>IF(L130="Yes",AI130*Tab_Data_Flows[[#This Row],[Flow_Py]]*Tab_Data_Flows[[#This Row],[DM_'[%']]],"N.A.")</f>
        <v>N.A.</v>
      </c>
      <c r="AK130" s="61">
        <f>Tab_Data_Flows[[#This Row],[UoM_Flow_Py]]</f>
        <v>0</v>
      </c>
    </row>
    <row r="131" spans="1:37" x14ac:dyDescent="0.25">
      <c r="A131" s="60">
        <f t="shared" ref="A131:A194" si="4">ROW()-1</f>
        <v>130</v>
      </c>
      <c r="B131" s="49" t="str">
        <f>_xlfn.XLOOKUP(C131,Tab_Def_Flows[Name(EN)],Tab_Def_Flows[Flow_ID],,0,)</f>
        <v>F_12_12</v>
      </c>
      <c r="C131" s="51"/>
      <c r="D131" s="49"/>
      <c r="E131" s="49">
        <f>_xlfn.XLOOKUP(C131,Tab_Def_Flows[Name(EN)],Tab_Def_Flows[Output_Process],,0,)</f>
        <v>0</v>
      </c>
      <c r="F131" s="49" t="str">
        <f>_xlfn.XLOOKUP(C131,Tab_Def_Flows[Name(EN)],Tab_Def_Flows[Process_ID_O],,0,)</f>
        <v>12__</v>
      </c>
      <c r="G131" s="49">
        <f>_xlfn.XLOOKUP(C131,Tab_Def_Flows[Name(EN)],Tab_Def_Flows[Input_Process],,0,)</f>
        <v>0</v>
      </c>
      <c r="H131" s="61" t="str">
        <f>_xlfn.XLOOKUP(C131,Tab_Def_Flows[Name(EN)],Tab_Def_Flows[Process_ID_I],,0,)</f>
        <v>12__</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c r="AC131" s="107" t="e">
        <f>INDEX(Tab_Def_Flows[[Flow_ID]:[CC_DM_source]],MATCH(Tab_Data_Flows[[#This Row],[Name(EN)]],Tab_Def_Flows[Name(EN)],0),16)</f>
        <v>#N/A</v>
      </c>
      <c r="AD131" s="108" t="str">
        <f>IF(J131="Yes",AA131*Tab_Data_Flows[[#This Row],[WC_'[%']]],"N.A.")</f>
        <v>N.A.</v>
      </c>
      <c r="AE131" s="61">
        <f>Tab_Data_Flows[[#This Row],[UoM_Flow_Py]]</f>
        <v>0</v>
      </c>
      <c r="AF131" s="107" t="e">
        <f>INDEX(Tab_Def_Flows[[Flow_ID]:[CC_DM_source]],MATCH(Tab_Data_Flows[[#This Row],[Name(EN)]],Tab_Def_Flows[Name(EN)],0),18)</f>
        <v>#N/A</v>
      </c>
      <c r="AG131" s="108" t="str">
        <f>IF(K131="Yes",AF131*Tab_Data_Flows[[#This Row],[Flow_Py]]-AJ247,"N.A.")</f>
        <v>N.A.</v>
      </c>
      <c r="AH131" s="61">
        <f>Tab_Data_Flows[[#This Row],[UoM_Flow_Py]]</f>
        <v>0</v>
      </c>
      <c r="AI131" s="107" t="e">
        <f>INDEX(Tab_Def_Flows[[Flow_ID]:[CC_DM_source]],MATCH(Tab_Data_Flows[[#This Row],[Name(EN)]],Tab_Def_Flows[Name(EN)],0),20)</f>
        <v>#N/A</v>
      </c>
      <c r="AJ131" s="108" t="str">
        <f>IF(L131="Yes",AI131*Tab_Data_Flows[[#This Row],[Flow_Py]]*Tab_Data_Flows[[#This Row],[DM_'[%']]],"N.A.")</f>
        <v>N.A.</v>
      </c>
      <c r="AK131" s="61">
        <f>Tab_Data_Flows[[#This Row],[UoM_Flow_Py]]</f>
        <v>0</v>
      </c>
    </row>
    <row r="132" spans="1:37" x14ac:dyDescent="0.25">
      <c r="A132" s="60">
        <f t="shared" si="4"/>
        <v>131</v>
      </c>
      <c r="B132" s="49" t="str">
        <f>_xlfn.XLOOKUP(C132,Tab_Def_Flows[Name(EN)],Tab_Def_Flows[Flow_ID],,0,)</f>
        <v>F_12_12</v>
      </c>
      <c r="C132" s="51"/>
      <c r="D132" s="49"/>
      <c r="E132" s="49">
        <f>_xlfn.XLOOKUP(C132,Tab_Def_Flows[Name(EN)],Tab_Def_Flows[Output_Process],,0,)</f>
        <v>0</v>
      </c>
      <c r="F132" s="49" t="str">
        <f>_xlfn.XLOOKUP(C132,Tab_Def_Flows[Name(EN)],Tab_Def_Flows[Process_ID_O],,0,)</f>
        <v>12__</v>
      </c>
      <c r="G132" s="49">
        <f>_xlfn.XLOOKUP(C132,Tab_Def_Flows[Name(EN)],Tab_Def_Flows[Input_Process],,0,)</f>
        <v>0</v>
      </c>
      <c r="H132" s="61" t="str">
        <f>_xlfn.XLOOKUP(C132,Tab_Def_Flows[Name(EN)],Tab_Def_Flows[Process_ID_I],,0,)</f>
        <v>12__</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c r="AC132" s="107" t="e">
        <f>INDEX(Tab_Def_Flows[[Flow_ID]:[CC_DM_source]],MATCH(Tab_Data_Flows[[#This Row],[Name(EN)]],Tab_Def_Flows[Name(EN)],0),16)</f>
        <v>#N/A</v>
      </c>
      <c r="AD132" s="108" t="str">
        <f>IF(J132="Yes",AA132*Tab_Data_Flows[[#This Row],[WC_'[%']]],"N.A.")</f>
        <v>N.A.</v>
      </c>
      <c r="AE132" s="61">
        <f>Tab_Data_Flows[[#This Row],[UoM_Flow_Py]]</f>
        <v>0</v>
      </c>
      <c r="AF132" s="107" t="e">
        <f>INDEX(Tab_Def_Flows[[Flow_ID]:[CC_DM_source]],MATCH(Tab_Data_Flows[[#This Row],[Name(EN)]],Tab_Def_Flows[Name(EN)],0),18)</f>
        <v>#N/A</v>
      </c>
      <c r="AG132" s="108" t="str">
        <f>IF(K132="Yes",AF132*Tab_Data_Flows[[#This Row],[Flow_Py]]-AJ248,"N.A.")</f>
        <v>N.A.</v>
      </c>
      <c r="AH132" s="61">
        <f>Tab_Data_Flows[[#This Row],[UoM_Flow_Py]]</f>
        <v>0</v>
      </c>
      <c r="AI132" s="107" t="e">
        <f>INDEX(Tab_Def_Flows[[Flow_ID]:[CC_DM_source]],MATCH(Tab_Data_Flows[[#This Row],[Name(EN)]],Tab_Def_Flows[Name(EN)],0),20)</f>
        <v>#N/A</v>
      </c>
      <c r="AJ132" s="108" t="str">
        <f>IF(L132="Yes",AI132*Tab_Data_Flows[[#This Row],[Flow_Py]]*Tab_Data_Flows[[#This Row],[DM_'[%']]],"N.A.")</f>
        <v>N.A.</v>
      </c>
      <c r="AK132" s="61">
        <f>Tab_Data_Flows[[#This Row],[UoM_Flow_Py]]</f>
        <v>0</v>
      </c>
    </row>
    <row r="133" spans="1:37" x14ac:dyDescent="0.25">
      <c r="A133" s="60">
        <f t="shared" si="4"/>
        <v>132</v>
      </c>
      <c r="B133" s="49" t="str">
        <f>_xlfn.XLOOKUP(C133,Tab_Def_Flows[Name(EN)],Tab_Def_Flows[Flow_ID],,0,)</f>
        <v>F_12_12</v>
      </c>
      <c r="C133" s="51"/>
      <c r="D133" s="49"/>
      <c r="E133" s="49">
        <f>_xlfn.XLOOKUP(C133,Tab_Def_Flows[Name(EN)],Tab_Def_Flows[Output_Process],,0,)</f>
        <v>0</v>
      </c>
      <c r="F133" s="49" t="str">
        <f>_xlfn.XLOOKUP(C133,Tab_Def_Flows[Name(EN)],Tab_Def_Flows[Process_ID_O],,0,)</f>
        <v>12__</v>
      </c>
      <c r="G133" s="49">
        <f>_xlfn.XLOOKUP(C133,Tab_Def_Flows[Name(EN)],Tab_Def_Flows[Input_Process],,0,)</f>
        <v>0</v>
      </c>
      <c r="H133" s="61" t="str">
        <f>_xlfn.XLOOKUP(C133,Tab_Def_Flows[Name(EN)],Tab_Def_Flows[Process_ID_I],,0,)</f>
        <v>12__</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c r="AC133" s="107" t="e">
        <f>INDEX(Tab_Def_Flows[[Flow_ID]:[CC_DM_source]],MATCH(Tab_Data_Flows[[#This Row],[Name(EN)]],Tab_Def_Flows[Name(EN)],0),16)</f>
        <v>#N/A</v>
      </c>
      <c r="AD133" s="108" t="str">
        <f>IF(J133="Yes",AA133*Tab_Data_Flows[[#This Row],[WC_'[%']]],"N.A.")</f>
        <v>N.A.</v>
      </c>
      <c r="AE133" s="61">
        <f>Tab_Data_Flows[[#This Row],[UoM_Flow_Py]]</f>
        <v>0</v>
      </c>
      <c r="AF133" s="107" t="e">
        <f>INDEX(Tab_Def_Flows[[Flow_ID]:[CC_DM_source]],MATCH(Tab_Data_Flows[[#This Row],[Name(EN)]],Tab_Def_Flows[Name(EN)],0),18)</f>
        <v>#N/A</v>
      </c>
      <c r="AG133" s="108" t="str">
        <f>IF(K133="Yes",AF133*Tab_Data_Flows[[#This Row],[Flow_Py]]-AJ249,"N.A.")</f>
        <v>N.A.</v>
      </c>
      <c r="AH133" s="61">
        <f>Tab_Data_Flows[[#This Row],[UoM_Flow_Py]]</f>
        <v>0</v>
      </c>
      <c r="AI133" s="107" t="e">
        <f>INDEX(Tab_Def_Flows[[Flow_ID]:[CC_DM_source]],MATCH(Tab_Data_Flows[[#This Row],[Name(EN)]],Tab_Def_Flows[Name(EN)],0),20)</f>
        <v>#N/A</v>
      </c>
      <c r="AJ133" s="108" t="str">
        <f>IF(L133="Yes",AI133*Tab_Data_Flows[[#This Row],[Flow_Py]]*Tab_Data_Flows[[#This Row],[DM_'[%']]],"N.A.")</f>
        <v>N.A.</v>
      </c>
      <c r="AK133" s="61">
        <f>Tab_Data_Flows[[#This Row],[UoM_Flow_Py]]</f>
        <v>0</v>
      </c>
    </row>
    <row r="134" spans="1:37" x14ac:dyDescent="0.25">
      <c r="A134" s="60">
        <f t="shared" si="4"/>
        <v>133</v>
      </c>
      <c r="B134" s="49" t="str">
        <f>_xlfn.XLOOKUP(C134,Tab_Def_Flows[Name(EN)],Tab_Def_Flows[Flow_ID],,0,)</f>
        <v>F_12_12</v>
      </c>
      <c r="C134" s="51"/>
      <c r="D134" s="49"/>
      <c r="E134" s="49">
        <f>_xlfn.XLOOKUP(C134,Tab_Def_Flows[Name(EN)],Tab_Def_Flows[Output_Process],,0,)</f>
        <v>0</v>
      </c>
      <c r="F134" s="49" t="str">
        <f>_xlfn.XLOOKUP(C134,Tab_Def_Flows[Name(EN)],Tab_Def_Flows[Process_ID_O],,0,)</f>
        <v>12__</v>
      </c>
      <c r="G134" s="49">
        <f>_xlfn.XLOOKUP(C134,Tab_Def_Flows[Name(EN)],Tab_Def_Flows[Input_Process],,0,)</f>
        <v>0</v>
      </c>
      <c r="H134" s="61" t="str">
        <f>_xlfn.XLOOKUP(C134,Tab_Def_Flows[Name(EN)],Tab_Def_Flows[Process_ID_I],,0,)</f>
        <v>12__</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c r="AC134" s="107" t="e">
        <f>INDEX(Tab_Def_Flows[[Flow_ID]:[CC_DM_source]],MATCH(Tab_Data_Flows[[#This Row],[Name(EN)]],Tab_Def_Flows[Name(EN)],0),16)</f>
        <v>#N/A</v>
      </c>
      <c r="AD134" s="108" t="str">
        <f>IF(J134="Yes",AA134*Tab_Data_Flows[[#This Row],[WC_'[%']]],"N.A.")</f>
        <v>N.A.</v>
      </c>
      <c r="AE134" s="61">
        <f>Tab_Data_Flows[[#This Row],[UoM_Flow_Py]]</f>
        <v>0</v>
      </c>
      <c r="AF134" s="107" t="e">
        <f>INDEX(Tab_Def_Flows[[Flow_ID]:[CC_DM_source]],MATCH(Tab_Data_Flows[[#This Row],[Name(EN)]],Tab_Def_Flows[Name(EN)],0),18)</f>
        <v>#N/A</v>
      </c>
      <c r="AG134" s="108" t="str">
        <f>IF(K134="Yes",AF134*Tab_Data_Flows[[#This Row],[Flow_Py]]-AJ250,"N.A.")</f>
        <v>N.A.</v>
      </c>
      <c r="AH134" s="61">
        <f>Tab_Data_Flows[[#This Row],[UoM_Flow_Py]]</f>
        <v>0</v>
      </c>
      <c r="AI134" s="107" t="e">
        <f>INDEX(Tab_Def_Flows[[Flow_ID]:[CC_DM_source]],MATCH(Tab_Data_Flows[[#This Row],[Name(EN)]],Tab_Def_Flows[Name(EN)],0),20)</f>
        <v>#N/A</v>
      </c>
      <c r="AJ134" s="108" t="str">
        <f>IF(L134="Yes",AI134*Tab_Data_Flows[[#This Row],[Flow_Py]]*Tab_Data_Flows[[#This Row],[DM_'[%']]],"N.A.")</f>
        <v>N.A.</v>
      </c>
      <c r="AK134" s="61">
        <f>Tab_Data_Flows[[#This Row],[UoM_Flow_Py]]</f>
        <v>0</v>
      </c>
    </row>
    <row r="135" spans="1:37" x14ac:dyDescent="0.25">
      <c r="A135" s="60">
        <f t="shared" si="4"/>
        <v>134</v>
      </c>
      <c r="B135" s="49" t="str">
        <f>_xlfn.XLOOKUP(C135,Tab_Def_Flows[Name(EN)],Tab_Def_Flows[Flow_ID],,0,)</f>
        <v>F_12_12</v>
      </c>
      <c r="C135" s="51"/>
      <c r="D135" s="49"/>
      <c r="E135" s="49">
        <f>_xlfn.XLOOKUP(C135,Tab_Def_Flows[Name(EN)],Tab_Def_Flows[Output_Process],,0,)</f>
        <v>0</v>
      </c>
      <c r="F135" s="49" t="str">
        <f>_xlfn.XLOOKUP(C135,Tab_Def_Flows[Name(EN)],Tab_Def_Flows[Process_ID_O],,0,)</f>
        <v>12__</v>
      </c>
      <c r="G135" s="49">
        <f>_xlfn.XLOOKUP(C135,Tab_Def_Flows[Name(EN)],Tab_Def_Flows[Input_Process],,0,)</f>
        <v>0</v>
      </c>
      <c r="H135" s="61" t="str">
        <f>_xlfn.XLOOKUP(C135,Tab_Def_Flows[Name(EN)],Tab_Def_Flows[Process_ID_I],,0,)</f>
        <v>12__</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c r="AC135" s="107" t="e">
        <f>INDEX(Tab_Def_Flows[[Flow_ID]:[CC_DM_source]],MATCH(Tab_Data_Flows[[#This Row],[Name(EN)]],Tab_Def_Flows[Name(EN)],0),16)</f>
        <v>#N/A</v>
      </c>
      <c r="AD135" s="108" t="str">
        <f>IF(J135="Yes",AA135*Tab_Data_Flows[[#This Row],[WC_'[%']]],"N.A.")</f>
        <v>N.A.</v>
      </c>
      <c r="AE135" s="61">
        <f>Tab_Data_Flows[[#This Row],[UoM_Flow_Py]]</f>
        <v>0</v>
      </c>
      <c r="AF135" s="107" t="e">
        <f>INDEX(Tab_Def_Flows[[Flow_ID]:[CC_DM_source]],MATCH(Tab_Data_Flows[[#This Row],[Name(EN)]],Tab_Def_Flows[Name(EN)],0),18)</f>
        <v>#N/A</v>
      </c>
      <c r="AG135" s="108" t="str">
        <f>IF(K135="Yes",AF135*Tab_Data_Flows[[#This Row],[Flow_Py]]-AJ251,"N.A.")</f>
        <v>N.A.</v>
      </c>
      <c r="AH135" s="61">
        <f>Tab_Data_Flows[[#This Row],[UoM_Flow_Py]]</f>
        <v>0</v>
      </c>
      <c r="AI135" s="107" t="e">
        <f>INDEX(Tab_Def_Flows[[Flow_ID]:[CC_DM_source]],MATCH(Tab_Data_Flows[[#This Row],[Name(EN)]],Tab_Def_Flows[Name(EN)],0),20)</f>
        <v>#N/A</v>
      </c>
      <c r="AJ135" s="108" t="str">
        <f>IF(L135="Yes",AI135*Tab_Data_Flows[[#This Row],[Flow_Py]]*Tab_Data_Flows[[#This Row],[DM_'[%']]],"N.A.")</f>
        <v>N.A.</v>
      </c>
      <c r="AK135" s="61">
        <f>Tab_Data_Flows[[#This Row],[UoM_Flow_Py]]</f>
        <v>0</v>
      </c>
    </row>
    <row r="136" spans="1:37" x14ac:dyDescent="0.25">
      <c r="A136" s="60">
        <f t="shared" si="4"/>
        <v>135</v>
      </c>
      <c r="B136" s="49" t="str">
        <f>_xlfn.XLOOKUP(C136,Tab_Def_Flows[Name(EN)],Tab_Def_Flows[Flow_ID],,0,)</f>
        <v>F_12_12</v>
      </c>
      <c r="C136" s="51"/>
      <c r="D136" s="49"/>
      <c r="E136" s="49">
        <f>_xlfn.XLOOKUP(C136,Tab_Def_Flows[Name(EN)],Tab_Def_Flows[Output_Process],,0,)</f>
        <v>0</v>
      </c>
      <c r="F136" s="49" t="str">
        <f>_xlfn.XLOOKUP(C136,Tab_Def_Flows[Name(EN)],Tab_Def_Flows[Process_ID_O],,0,)</f>
        <v>12__</v>
      </c>
      <c r="G136" s="49">
        <f>_xlfn.XLOOKUP(C136,Tab_Def_Flows[Name(EN)],Tab_Def_Flows[Input_Process],,0,)</f>
        <v>0</v>
      </c>
      <c r="H136" s="61" t="str">
        <f>_xlfn.XLOOKUP(C136,Tab_Def_Flows[Name(EN)],Tab_Def_Flows[Process_ID_I],,0,)</f>
        <v>12__</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c r="AC136" s="107" t="e">
        <f>INDEX(Tab_Def_Flows[[Flow_ID]:[CC_DM_source]],MATCH(Tab_Data_Flows[[#This Row],[Name(EN)]],Tab_Def_Flows[Name(EN)],0),16)</f>
        <v>#N/A</v>
      </c>
      <c r="AD136" s="108" t="str">
        <f>IF(J136="Yes",AA136*Tab_Data_Flows[[#This Row],[WC_'[%']]],"N.A.")</f>
        <v>N.A.</v>
      </c>
      <c r="AE136" s="61">
        <f>Tab_Data_Flows[[#This Row],[UoM_Flow_Py]]</f>
        <v>0</v>
      </c>
      <c r="AF136" s="107" t="e">
        <f>INDEX(Tab_Def_Flows[[Flow_ID]:[CC_DM_source]],MATCH(Tab_Data_Flows[[#This Row],[Name(EN)]],Tab_Def_Flows[Name(EN)],0),18)</f>
        <v>#N/A</v>
      </c>
      <c r="AG136" s="108" t="str">
        <f>IF(K136="Yes",AF136*Tab_Data_Flows[[#This Row],[Flow_Py]]-AJ252,"N.A.")</f>
        <v>N.A.</v>
      </c>
      <c r="AH136" s="61">
        <f>Tab_Data_Flows[[#This Row],[UoM_Flow_Py]]</f>
        <v>0</v>
      </c>
      <c r="AI136" s="107" t="e">
        <f>INDEX(Tab_Def_Flows[[Flow_ID]:[CC_DM_source]],MATCH(Tab_Data_Flows[[#This Row],[Name(EN)]],Tab_Def_Flows[Name(EN)],0),20)</f>
        <v>#N/A</v>
      </c>
      <c r="AJ136" s="108" t="str">
        <f>IF(L136="Yes",AI136*Tab_Data_Flows[[#This Row],[Flow_Py]]*Tab_Data_Flows[[#This Row],[DM_'[%']]],"N.A.")</f>
        <v>N.A.</v>
      </c>
      <c r="AK136" s="61">
        <f>Tab_Data_Flows[[#This Row],[UoM_Flow_Py]]</f>
        <v>0</v>
      </c>
    </row>
    <row r="137" spans="1:37" x14ac:dyDescent="0.25">
      <c r="A137" s="60">
        <f t="shared" si="4"/>
        <v>136</v>
      </c>
      <c r="B137" s="49" t="str">
        <f>_xlfn.XLOOKUP(C137,Tab_Def_Flows[Name(EN)],Tab_Def_Flows[Flow_ID],,0,)</f>
        <v>F_12_12</v>
      </c>
      <c r="C137" s="51"/>
      <c r="D137" s="49"/>
      <c r="E137" s="49">
        <f>_xlfn.XLOOKUP(C137,Tab_Def_Flows[Name(EN)],Tab_Def_Flows[Output_Process],,0,)</f>
        <v>0</v>
      </c>
      <c r="F137" s="49" t="str">
        <f>_xlfn.XLOOKUP(C137,Tab_Def_Flows[Name(EN)],Tab_Def_Flows[Process_ID_O],,0,)</f>
        <v>12__</v>
      </c>
      <c r="G137" s="49">
        <f>_xlfn.XLOOKUP(C137,Tab_Def_Flows[Name(EN)],Tab_Def_Flows[Input_Process],,0,)</f>
        <v>0</v>
      </c>
      <c r="H137" s="61" t="str">
        <f>_xlfn.XLOOKUP(C137,Tab_Def_Flows[Name(EN)],Tab_Def_Flows[Process_ID_I],,0,)</f>
        <v>12__</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c r="AC137" s="107" t="e">
        <f>INDEX(Tab_Def_Flows[[Flow_ID]:[CC_DM_source]],MATCH(Tab_Data_Flows[[#This Row],[Name(EN)]],Tab_Def_Flows[Name(EN)],0),16)</f>
        <v>#N/A</v>
      </c>
      <c r="AD137" s="108" t="str">
        <f>IF(J137="Yes",AA137*Tab_Data_Flows[[#This Row],[WC_'[%']]],"N.A.")</f>
        <v>N.A.</v>
      </c>
      <c r="AE137" s="61">
        <f>Tab_Data_Flows[[#This Row],[UoM_Flow_Py]]</f>
        <v>0</v>
      </c>
      <c r="AF137" s="107" t="e">
        <f>INDEX(Tab_Def_Flows[[Flow_ID]:[CC_DM_source]],MATCH(Tab_Data_Flows[[#This Row],[Name(EN)]],Tab_Def_Flows[Name(EN)],0),18)</f>
        <v>#N/A</v>
      </c>
      <c r="AG137" s="108" t="str">
        <f>IF(K137="Yes",AF137*Tab_Data_Flows[[#This Row],[Flow_Py]]-AJ253,"N.A.")</f>
        <v>N.A.</v>
      </c>
      <c r="AH137" s="61">
        <f>Tab_Data_Flows[[#This Row],[UoM_Flow_Py]]</f>
        <v>0</v>
      </c>
      <c r="AI137" s="107" t="e">
        <f>INDEX(Tab_Def_Flows[[Flow_ID]:[CC_DM_source]],MATCH(Tab_Data_Flows[[#This Row],[Name(EN)]],Tab_Def_Flows[Name(EN)],0),20)</f>
        <v>#N/A</v>
      </c>
      <c r="AJ137" s="108" t="str">
        <f>IF(L137="Yes",AI137*Tab_Data_Flows[[#This Row],[Flow_Py]]*Tab_Data_Flows[[#This Row],[DM_'[%']]],"N.A.")</f>
        <v>N.A.</v>
      </c>
      <c r="AK137" s="61">
        <f>Tab_Data_Flows[[#This Row],[UoM_Flow_Py]]</f>
        <v>0</v>
      </c>
    </row>
    <row r="138" spans="1:37" x14ac:dyDescent="0.25">
      <c r="A138" s="60">
        <f t="shared" si="4"/>
        <v>137</v>
      </c>
      <c r="B138" s="49" t="str">
        <f>_xlfn.XLOOKUP(C138,Tab_Def_Flows[Name(EN)],Tab_Def_Flows[Flow_ID],,0,)</f>
        <v>F_12_12</v>
      </c>
      <c r="C138" s="51"/>
      <c r="D138" s="49"/>
      <c r="E138" s="49">
        <f>_xlfn.XLOOKUP(C138,Tab_Def_Flows[Name(EN)],Tab_Def_Flows[Output_Process],,0,)</f>
        <v>0</v>
      </c>
      <c r="F138" s="49" t="str">
        <f>_xlfn.XLOOKUP(C138,Tab_Def_Flows[Name(EN)],Tab_Def_Flows[Process_ID_O],,0,)</f>
        <v>12__</v>
      </c>
      <c r="G138" s="49">
        <f>_xlfn.XLOOKUP(C138,Tab_Def_Flows[Name(EN)],Tab_Def_Flows[Input_Process],,0,)</f>
        <v>0</v>
      </c>
      <c r="H138" s="61" t="str">
        <f>_xlfn.XLOOKUP(C138,Tab_Def_Flows[Name(EN)],Tab_Def_Flows[Process_ID_I],,0,)</f>
        <v>12__</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c r="AC138" s="107" t="e">
        <f>INDEX(Tab_Def_Flows[[Flow_ID]:[CC_DM_source]],MATCH(Tab_Data_Flows[[#This Row],[Name(EN)]],Tab_Def_Flows[Name(EN)],0),16)</f>
        <v>#N/A</v>
      </c>
      <c r="AD138" s="108" t="str">
        <f>IF(J138="Yes",AA138*Tab_Data_Flows[[#This Row],[WC_'[%']]],"N.A.")</f>
        <v>N.A.</v>
      </c>
      <c r="AE138" s="61">
        <f>Tab_Data_Flows[[#This Row],[UoM_Flow_Py]]</f>
        <v>0</v>
      </c>
      <c r="AF138" s="107" t="e">
        <f>INDEX(Tab_Def_Flows[[Flow_ID]:[CC_DM_source]],MATCH(Tab_Data_Flows[[#This Row],[Name(EN)]],Tab_Def_Flows[Name(EN)],0),18)</f>
        <v>#N/A</v>
      </c>
      <c r="AG138" s="108" t="str">
        <f>IF(K138="Yes",AF138*Tab_Data_Flows[[#This Row],[Flow_Py]]-AJ254,"N.A.")</f>
        <v>N.A.</v>
      </c>
      <c r="AH138" s="61">
        <f>Tab_Data_Flows[[#This Row],[UoM_Flow_Py]]</f>
        <v>0</v>
      </c>
      <c r="AI138" s="107" t="e">
        <f>INDEX(Tab_Def_Flows[[Flow_ID]:[CC_DM_source]],MATCH(Tab_Data_Flows[[#This Row],[Name(EN)]],Tab_Def_Flows[Name(EN)],0),20)</f>
        <v>#N/A</v>
      </c>
      <c r="AJ138" s="108" t="str">
        <f>IF(L138="Yes",AI138*Tab_Data_Flows[[#This Row],[Flow_Py]]*Tab_Data_Flows[[#This Row],[DM_'[%']]],"N.A.")</f>
        <v>N.A.</v>
      </c>
      <c r="AK138" s="61">
        <f>Tab_Data_Flows[[#This Row],[UoM_Flow_Py]]</f>
        <v>0</v>
      </c>
    </row>
    <row r="139" spans="1:37" x14ac:dyDescent="0.25">
      <c r="A139" s="60">
        <f t="shared" si="4"/>
        <v>138</v>
      </c>
      <c r="B139" s="49" t="str">
        <f>_xlfn.XLOOKUP(C139,Tab_Def_Flows[Name(EN)],Tab_Def_Flows[Flow_ID],,0,)</f>
        <v>F_12_12</v>
      </c>
      <c r="C139" s="51"/>
      <c r="D139" s="49"/>
      <c r="E139" s="49">
        <f>_xlfn.XLOOKUP(C139,Tab_Def_Flows[Name(EN)],Tab_Def_Flows[Output_Process],,0,)</f>
        <v>0</v>
      </c>
      <c r="F139" s="49" t="str">
        <f>_xlfn.XLOOKUP(C139,Tab_Def_Flows[Name(EN)],Tab_Def_Flows[Process_ID_O],,0,)</f>
        <v>12__</v>
      </c>
      <c r="G139" s="49">
        <f>_xlfn.XLOOKUP(C139,Tab_Def_Flows[Name(EN)],Tab_Def_Flows[Input_Process],,0,)</f>
        <v>0</v>
      </c>
      <c r="H139" s="61" t="str">
        <f>_xlfn.XLOOKUP(C139,Tab_Def_Flows[Name(EN)],Tab_Def_Flows[Process_ID_I],,0,)</f>
        <v>12__</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c r="AC139" s="107" t="e">
        <f>INDEX(Tab_Def_Flows[[Flow_ID]:[CC_DM_source]],MATCH(Tab_Data_Flows[[#This Row],[Name(EN)]],Tab_Def_Flows[Name(EN)],0),16)</f>
        <v>#N/A</v>
      </c>
      <c r="AD139" s="108" t="str">
        <f>IF(J139="Yes",AA139*Tab_Data_Flows[[#This Row],[WC_'[%']]],"N.A.")</f>
        <v>N.A.</v>
      </c>
      <c r="AE139" s="61">
        <f>Tab_Data_Flows[[#This Row],[UoM_Flow_Py]]</f>
        <v>0</v>
      </c>
      <c r="AF139" s="107" t="e">
        <f>INDEX(Tab_Def_Flows[[Flow_ID]:[CC_DM_source]],MATCH(Tab_Data_Flows[[#This Row],[Name(EN)]],Tab_Def_Flows[Name(EN)],0),18)</f>
        <v>#N/A</v>
      </c>
      <c r="AG139" s="108" t="str">
        <f>IF(K139="Yes",AF139*Tab_Data_Flows[[#This Row],[Flow_Py]]-AJ255,"N.A.")</f>
        <v>N.A.</v>
      </c>
      <c r="AH139" s="61">
        <f>Tab_Data_Flows[[#This Row],[UoM_Flow_Py]]</f>
        <v>0</v>
      </c>
      <c r="AI139" s="107" t="e">
        <f>INDEX(Tab_Def_Flows[[Flow_ID]:[CC_DM_source]],MATCH(Tab_Data_Flows[[#This Row],[Name(EN)]],Tab_Def_Flows[Name(EN)],0),20)</f>
        <v>#N/A</v>
      </c>
      <c r="AJ139" s="108" t="str">
        <f>IF(L139="Yes",AI139*Tab_Data_Flows[[#This Row],[Flow_Py]]*Tab_Data_Flows[[#This Row],[DM_'[%']]],"N.A.")</f>
        <v>N.A.</v>
      </c>
      <c r="AK139" s="61">
        <f>Tab_Data_Flows[[#This Row],[UoM_Flow_Py]]</f>
        <v>0</v>
      </c>
    </row>
    <row r="140" spans="1:37" x14ac:dyDescent="0.25">
      <c r="A140" s="60">
        <f t="shared" si="4"/>
        <v>139</v>
      </c>
      <c r="B140" s="49" t="str">
        <f>_xlfn.XLOOKUP(C140,Tab_Def_Flows[Name(EN)],Tab_Def_Flows[Flow_ID],,0,)</f>
        <v>F_12_12</v>
      </c>
      <c r="C140" s="51"/>
      <c r="D140" s="49"/>
      <c r="E140" s="49">
        <f>_xlfn.XLOOKUP(C140,Tab_Def_Flows[Name(EN)],Tab_Def_Flows[Output_Process],,0,)</f>
        <v>0</v>
      </c>
      <c r="F140" s="49" t="str">
        <f>_xlfn.XLOOKUP(C140,Tab_Def_Flows[Name(EN)],Tab_Def_Flows[Process_ID_O],,0,)</f>
        <v>12__</v>
      </c>
      <c r="G140" s="49">
        <f>_xlfn.XLOOKUP(C140,Tab_Def_Flows[Name(EN)],Tab_Def_Flows[Input_Process],,0,)</f>
        <v>0</v>
      </c>
      <c r="H140" s="61" t="str">
        <f>_xlfn.XLOOKUP(C140,Tab_Def_Flows[Name(EN)],Tab_Def_Flows[Process_ID_I],,0,)</f>
        <v>12__</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c r="AC140" s="107" t="e">
        <f>INDEX(Tab_Def_Flows[[Flow_ID]:[CC_DM_source]],MATCH(Tab_Data_Flows[[#This Row],[Name(EN)]],Tab_Def_Flows[Name(EN)],0),16)</f>
        <v>#N/A</v>
      </c>
      <c r="AD140" s="108" t="str">
        <f>IF(J140="Yes",AA140*Tab_Data_Flows[[#This Row],[WC_'[%']]],"N.A.")</f>
        <v>N.A.</v>
      </c>
      <c r="AE140" s="61">
        <f>Tab_Data_Flows[[#This Row],[UoM_Flow_Py]]</f>
        <v>0</v>
      </c>
      <c r="AF140" s="107" t="e">
        <f>INDEX(Tab_Def_Flows[[Flow_ID]:[CC_DM_source]],MATCH(Tab_Data_Flows[[#This Row],[Name(EN)]],Tab_Def_Flows[Name(EN)],0),18)</f>
        <v>#N/A</v>
      </c>
      <c r="AG140" s="108" t="str">
        <f>IF(K140="Yes",AF140*Tab_Data_Flows[[#This Row],[Flow_Py]]-AJ256,"N.A.")</f>
        <v>N.A.</v>
      </c>
      <c r="AH140" s="61">
        <f>Tab_Data_Flows[[#This Row],[UoM_Flow_Py]]</f>
        <v>0</v>
      </c>
      <c r="AI140" s="107" t="e">
        <f>INDEX(Tab_Def_Flows[[Flow_ID]:[CC_DM_source]],MATCH(Tab_Data_Flows[[#This Row],[Name(EN)]],Tab_Def_Flows[Name(EN)],0),20)</f>
        <v>#N/A</v>
      </c>
      <c r="AJ140" s="108" t="str">
        <f>IF(L140="Yes",AI140*Tab_Data_Flows[[#This Row],[Flow_Py]]*Tab_Data_Flows[[#This Row],[DM_'[%']]],"N.A.")</f>
        <v>N.A.</v>
      </c>
      <c r="AK140" s="61">
        <f>Tab_Data_Flows[[#This Row],[UoM_Flow_Py]]</f>
        <v>0</v>
      </c>
    </row>
    <row r="141" spans="1:37" x14ac:dyDescent="0.25">
      <c r="A141" s="60">
        <f t="shared" si="4"/>
        <v>140</v>
      </c>
      <c r="B141" s="49" t="str">
        <f>_xlfn.XLOOKUP(C141,Tab_Def_Flows[Name(EN)],Tab_Def_Flows[Flow_ID],,0,)</f>
        <v>F_12_12</v>
      </c>
      <c r="C141" s="51"/>
      <c r="D141" s="49"/>
      <c r="E141" s="49">
        <f>_xlfn.XLOOKUP(C141,Tab_Def_Flows[Name(EN)],Tab_Def_Flows[Output_Process],,0,)</f>
        <v>0</v>
      </c>
      <c r="F141" s="49" t="str">
        <f>_xlfn.XLOOKUP(C141,Tab_Def_Flows[Name(EN)],Tab_Def_Flows[Process_ID_O],,0,)</f>
        <v>12__</v>
      </c>
      <c r="G141" s="49">
        <f>_xlfn.XLOOKUP(C141,Tab_Def_Flows[Name(EN)],Tab_Def_Flows[Input_Process],,0,)</f>
        <v>0</v>
      </c>
      <c r="H141" s="61" t="str">
        <f>_xlfn.XLOOKUP(C141,Tab_Def_Flows[Name(EN)],Tab_Def_Flows[Process_ID_I],,0,)</f>
        <v>12__</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c r="AC141" s="107" t="e">
        <f>INDEX(Tab_Def_Flows[[Flow_ID]:[CC_DM_source]],MATCH(Tab_Data_Flows[[#This Row],[Name(EN)]],Tab_Def_Flows[Name(EN)],0),16)</f>
        <v>#N/A</v>
      </c>
      <c r="AD141" s="108" t="str">
        <f>IF(J141="Yes",AA141*Tab_Data_Flows[[#This Row],[WC_'[%']]],"N.A.")</f>
        <v>N.A.</v>
      </c>
      <c r="AE141" s="61">
        <f>Tab_Data_Flows[[#This Row],[UoM_Flow_Py]]</f>
        <v>0</v>
      </c>
      <c r="AF141" s="107" t="e">
        <f>INDEX(Tab_Def_Flows[[Flow_ID]:[CC_DM_source]],MATCH(Tab_Data_Flows[[#This Row],[Name(EN)]],Tab_Def_Flows[Name(EN)],0),18)</f>
        <v>#N/A</v>
      </c>
      <c r="AG141" s="108" t="str">
        <f>IF(K141="Yes",AF141*Tab_Data_Flows[[#This Row],[Flow_Py]]-AJ257,"N.A.")</f>
        <v>N.A.</v>
      </c>
      <c r="AH141" s="61">
        <f>Tab_Data_Flows[[#This Row],[UoM_Flow_Py]]</f>
        <v>0</v>
      </c>
      <c r="AI141" s="107" t="e">
        <f>INDEX(Tab_Def_Flows[[Flow_ID]:[CC_DM_source]],MATCH(Tab_Data_Flows[[#This Row],[Name(EN)]],Tab_Def_Flows[Name(EN)],0),20)</f>
        <v>#N/A</v>
      </c>
      <c r="AJ141" s="108" t="str">
        <f>IF(L141="Yes",AI141*Tab_Data_Flows[[#This Row],[Flow_Py]]*Tab_Data_Flows[[#This Row],[DM_'[%']]],"N.A.")</f>
        <v>N.A.</v>
      </c>
      <c r="AK141" s="61">
        <f>Tab_Data_Flows[[#This Row],[UoM_Flow_Py]]</f>
        <v>0</v>
      </c>
    </row>
    <row r="142" spans="1:37" x14ac:dyDescent="0.25">
      <c r="A142" s="60">
        <f t="shared" si="4"/>
        <v>141</v>
      </c>
      <c r="B142" s="49" t="str">
        <f>_xlfn.XLOOKUP(C142,Tab_Def_Flows[Name(EN)],Tab_Def_Flows[Flow_ID],,0,)</f>
        <v>F_12_12</v>
      </c>
      <c r="C142" s="51"/>
      <c r="D142" s="49"/>
      <c r="E142" s="49">
        <f>_xlfn.XLOOKUP(C142,Tab_Def_Flows[Name(EN)],Tab_Def_Flows[Output_Process],,0,)</f>
        <v>0</v>
      </c>
      <c r="F142" s="49" t="str">
        <f>_xlfn.XLOOKUP(C142,Tab_Def_Flows[Name(EN)],Tab_Def_Flows[Process_ID_O],,0,)</f>
        <v>12__</v>
      </c>
      <c r="G142" s="49">
        <f>_xlfn.XLOOKUP(C142,Tab_Def_Flows[Name(EN)],Tab_Def_Flows[Input_Process],,0,)</f>
        <v>0</v>
      </c>
      <c r="H142" s="61" t="str">
        <f>_xlfn.XLOOKUP(C142,Tab_Def_Flows[Name(EN)],Tab_Def_Flows[Process_ID_I],,0,)</f>
        <v>12__</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c r="AC142" s="107" t="e">
        <f>INDEX(Tab_Def_Flows[[Flow_ID]:[CC_DM_source]],MATCH(Tab_Data_Flows[[#This Row],[Name(EN)]],Tab_Def_Flows[Name(EN)],0),16)</f>
        <v>#N/A</v>
      </c>
      <c r="AD142" s="108" t="str">
        <f>IF(J142="Yes",AA142*Tab_Data_Flows[[#This Row],[WC_'[%']]],"N.A.")</f>
        <v>N.A.</v>
      </c>
      <c r="AE142" s="61">
        <f>Tab_Data_Flows[[#This Row],[UoM_Flow_Py]]</f>
        <v>0</v>
      </c>
      <c r="AF142" s="107" t="e">
        <f>INDEX(Tab_Def_Flows[[Flow_ID]:[CC_DM_source]],MATCH(Tab_Data_Flows[[#This Row],[Name(EN)]],Tab_Def_Flows[Name(EN)],0),18)</f>
        <v>#N/A</v>
      </c>
      <c r="AG142" s="108" t="str">
        <f>IF(K142="Yes",AF142*Tab_Data_Flows[[#This Row],[Flow_Py]]-AJ258,"N.A.")</f>
        <v>N.A.</v>
      </c>
      <c r="AH142" s="61">
        <f>Tab_Data_Flows[[#This Row],[UoM_Flow_Py]]</f>
        <v>0</v>
      </c>
      <c r="AI142" s="107" t="e">
        <f>INDEX(Tab_Def_Flows[[Flow_ID]:[CC_DM_source]],MATCH(Tab_Data_Flows[[#This Row],[Name(EN)]],Tab_Def_Flows[Name(EN)],0),20)</f>
        <v>#N/A</v>
      </c>
      <c r="AJ142" s="108" t="str">
        <f>IF(L142="Yes",AI142*Tab_Data_Flows[[#This Row],[Flow_Py]]*Tab_Data_Flows[[#This Row],[DM_'[%']]],"N.A.")</f>
        <v>N.A.</v>
      </c>
      <c r="AK142" s="61">
        <f>Tab_Data_Flows[[#This Row],[UoM_Flow_Py]]</f>
        <v>0</v>
      </c>
    </row>
    <row r="143" spans="1:37" x14ac:dyDescent="0.25">
      <c r="A143" s="60">
        <f t="shared" si="4"/>
        <v>142</v>
      </c>
      <c r="B143" s="49" t="str">
        <f>_xlfn.XLOOKUP(C143,Tab_Def_Flows[Name(EN)],Tab_Def_Flows[Flow_ID],,0,)</f>
        <v>F_12_12</v>
      </c>
      <c r="C143" s="51"/>
      <c r="D143" s="49"/>
      <c r="E143" s="49">
        <f>_xlfn.XLOOKUP(C143,Tab_Def_Flows[Name(EN)],Tab_Def_Flows[Output_Process],,0,)</f>
        <v>0</v>
      </c>
      <c r="F143" s="49" t="str">
        <f>_xlfn.XLOOKUP(C143,Tab_Def_Flows[Name(EN)],Tab_Def_Flows[Process_ID_O],,0,)</f>
        <v>12__</v>
      </c>
      <c r="G143" s="49">
        <f>_xlfn.XLOOKUP(C143,Tab_Def_Flows[Name(EN)],Tab_Def_Flows[Input_Process],,0,)</f>
        <v>0</v>
      </c>
      <c r="H143" s="61" t="str">
        <f>_xlfn.XLOOKUP(C143,Tab_Def_Flows[Name(EN)],Tab_Def_Flows[Process_ID_I],,0,)</f>
        <v>12__</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c r="AC143" s="107" t="e">
        <f>INDEX(Tab_Def_Flows[[Flow_ID]:[CC_DM_source]],MATCH(Tab_Data_Flows[[#This Row],[Name(EN)]],Tab_Def_Flows[Name(EN)],0),16)</f>
        <v>#N/A</v>
      </c>
      <c r="AD143" s="108" t="str">
        <f>IF(J143="Yes",AA143*Tab_Data_Flows[[#This Row],[WC_'[%']]],"N.A.")</f>
        <v>N.A.</v>
      </c>
      <c r="AE143" s="61">
        <f>Tab_Data_Flows[[#This Row],[UoM_Flow_Py]]</f>
        <v>0</v>
      </c>
      <c r="AF143" s="107" t="e">
        <f>INDEX(Tab_Def_Flows[[Flow_ID]:[CC_DM_source]],MATCH(Tab_Data_Flows[[#This Row],[Name(EN)]],Tab_Def_Flows[Name(EN)],0),18)</f>
        <v>#N/A</v>
      </c>
      <c r="AG143" s="108" t="str">
        <f>IF(K143="Yes",AF143*Tab_Data_Flows[[#This Row],[Flow_Py]]-AJ259,"N.A.")</f>
        <v>N.A.</v>
      </c>
      <c r="AH143" s="61">
        <f>Tab_Data_Flows[[#This Row],[UoM_Flow_Py]]</f>
        <v>0</v>
      </c>
      <c r="AI143" s="107" t="e">
        <f>INDEX(Tab_Def_Flows[[Flow_ID]:[CC_DM_source]],MATCH(Tab_Data_Flows[[#This Row],[Name(EN)]],Tab_Def_Flows[Name(EN)],0),20)</f>
        <v>#N/A</v>
      </c>
      <c r="AJ143" s="108" t="str">
        <f>IF(L143="Yes",AI143*Tab_Data_Flows[[#This Row],[Flow_Py]]*Tab_Data_Flows[[#This Row],[DM_'[%']]],"N.A.")</f>
        <v>N.A.</v>
      </c>
      <c r="AK143" s="61">
        <f>Tab_Data_Flows[[#This Row],[UoM_Flow_Py]]</f>
        <v>0</v>
      </c>
    </row>
    <row r="144" spans="1:37" x14ac:dyDescent="0.25">
      <c r="A144" s="60">
        <f t="shared" si="4"/>
        <v>143</v>
      </c>
      <c r="B144" s="49" t="str">
        <f>_xlfn.XLOOKUP(C144,Tab_Def_Flows[Name(EN)],Tab_Def_Flows[Flow_ID],,0,)</f>
        <v>F_12_12</v>
      </c>
      <c r="C144" s="51"/>
      <c r="D144" s="49"/>
      <c r="E144" s="49">
        <f>_xlfn.XLOOKUP(C144,Tab_Def_Flows[Name(EN)],Tab_Def_Flows[Output_Process],,0,)</f>
        <v>0</v>
      </c>
      <c r="F144" s="49" t="str">
        <f>_xlfn.XLOOKUP(C144,Tab_Def_Flows[Name(EN)],Tab_Def_Flows[Process_ID_O],,0,)</f>
        <v>12__</v>
      </c>
      <c r="G144" s="49">
        <f>_xlfn.XLOOKUP(C144,Tab_Def_Flows[Name(EN)],Tab_Def_Flows[Input_Process],,0,)</f>
        <v>0</v>
      </c>
      <c r="H144" s="61" t="str">
        <f>_xlfn.XLOOKUP(C144,Tab_Def_Flows[Name(EN)],Tab_Def_Flows[Process_ID_I],,0,)</f>
        <v>12__</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c r="AC144" s="107" t="e">
        <f>INDEX(Tab_Def_Flows[[Flow_ID]:[CC_DM_source]],MATCH(Tab_Data_Flows[[#This Row],[Name(EN)]],Tab_Def_Flows[Name(EN)],0),16)</f>
        <v>#N/A</v>
      </c>
      <c r="AD144" s="108" t="str">
        <f>IF(J144="Yes",AA144*Tab_Data_Flows[[#This Row],[WC_'[%']]],"N.A.")</f>
        <v>N.A.</v>
      </c>
      <c r="AE144" s="61">
        <f>Tab_Data_Flows[[#This Row],[UoM_Flow_Py]]</f>
        <v>0</v>
      </c>
      <c r="AF144" s="107" t="e">
        <f>INDEX(Tab_Def_Flows[[Flow_ID]:[CC_DM_source]],MATCH(Tab_Data_Flows[[#This Row],[Name(EN)]],Tab_Def_Flows[Name(EN)],0),18)</f>
        <v>#N/A</v>
      </c>
      <c r="AG144" s="108" t="str">
        <f>IF(K144="Yes",AF144*Tab_Data_Flows[[#This Row],[Flow_Py]]-AJ260,"N.A.")</f>
        <v>N.A.</v>
      </c>
      <c r="AH144" s="61">
        <f>Tab_Data_Flows[[#This Row],[UoM_Flow_Py]]</f>
        <v>0</v>
      </c>
      <c r="AI144" s="107" t="e">
        <f>INDEX(Tab_Def_Flows[[Flow_ID]:[CC_DM_source]],MATCH(Tab_Data_Flows[[#This Row],[Name(EN)]],Tab_Def_Flows[Name(EN)],0),20)</f>
        <v>#N/A</v>
      </c>
      <c r="AJ144" s="108" t="str">
        <f>IF(L144="Yes",AI144*Tab_Data_Flows[[#This Row],[Flow_Py]]*Tab_Data_Flows[[#This Row],[DM_'[%']]],"N.A.")</f>
        <v>N.A.</v>
      </c>
      <c r="AK144" s="61">
        <f>Tab_Data_Flows[[#This Row],[UoM_Flow_Py]]</f>
        <v>0</v>
      </c>
    </row>
    <row r="145" spans="1:37" x14ac:dyDescent="0.25">
      <c r="A145" s="60">
        <f t="shared" si="4"/>
        <v>144</v>
      </c>
      <c r="B145" s="49" t="str">
        <f>_xlfn.XLOOKUP(C145,Tab_Def_Flows[Name(EN)],Tab_Def_Flows[Flow_ID],,0,)</f>
        <v>F_12_12</v>
      </c>
      <c r="C145" s="51"/>
      <c r="D145" s="49"/>
      <c r="E145" s="49">
        <f>_xlfn.XLOOKUP(C145,Tab_Def_Flows[Name(EN)],Tab_Def_Flows[Output_Process],,0,)</f>
        <v>0</v>
      </c>
      <c r="F145" s="49" t="str">
        <f>_xlfn.XLOOKUP(C145,Tab_Def_Flows[Name(EN)],Tab_Def_Flows[Process_ID_O],,0,)</f>
        <v>12__</v>
      </c>
      <c r="G145" s="49">
        <f>_xlfn.XLOOKUP(C145,Tab_Def_Flows[Name(EN)],Tab_Def_Flows[Input_Process],,0,)</f>
        <v>0</v>
      </c>
      <c r="H145" s="61" t="str">
        <f>_xlfn.XLOOKUP(C145,Tab_Def_Flows[Name(EN)],Tab_Def_Flows[Process_ID_I],,0,)</f>
        <v>12__</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c r="AC145" s="107" t="e">
        <f>INDEX(Tab_Def_Flows[[Flow_ID]:[CC_DM_source]],MATCH(Tab_Data_Flows[[#This Row],[Name(EN)]],Tab_Def_Flows[Name(EN)],0),16)</f>
        <v>#N/A</v>
      </c>
      <c r="AD145" s="108" t="str">
        <f>IF(J145="Yes",AA145*Tab_Data_Flows[[#This Row],[WC_'[%']]],"N.A.")</f>
        <v>N.A.</v>
      </c>
      <c r="AE145" s="61">
        <f>Tab_Data_Flows[[#This Row],[UoM_Flow_Py]]</f>
        <v>0</v>
      </c>
      <c r="AF145" s="107" t="e">
        <f>INDEX(Tab_Def_Flows[[Flow_ID]:[CC_DM_source]],MATCH(Tab_Data_Flows[[#This Row],[Name(EN)]],Tab_Def_Flows[Name(EN)],0),18)</f>
        <v>#N/A</v>
      </c>
      <c r="AG145" s="108" t="str">
        <f>IF(K145="Yes",AF145*Tab_Data_Flows[[#This Row],[Flow_Py]]-AJ261,"N.A.")</f>
        <v>N.A.</v>
      </c>
      <c r="AH145" s="61">
        <f>Tab_Data_Flows[[#This Row],[UoM_Flow_Py]]</f>
        <v>0</v>
      </c>
      <c r="AI145" s="107" t="e">
        <f>INDEX(Tab_Def_Flows[[Flow_ID]:[CC_DM_source]],MATCH(Tab_Data_Flows[[#This Row],[Name(EN)]],Tab_Def_Flows[Name(EN)],0),20)</f>
        <v>#N/A</v>
      </c>
      <c r="AJ145" s="108" t="str">
        <f>IF(L145="Yes",AI145*Tab_Data_Flows[[#This Row],[Flow_Py]]*Tab_Data_Flows[[#This Row],[DM_'[%']]],"N.A.")</f>
        <v>N.A.</v>
      </c>
      <c r="AK145" s="61">
        <f>Tab_Data_Flows[[#This Row],[UoM_Flow_Py]]</f>
        <v>0</v>
      </c>
    </row>
    <row r="146" spans="1:37" x14ac:dyDescent="0.25">
      <c r="A146" s="60">
        <f t="shared" si="4"/>
        <v>145</v>
      </c>
      <c r="B146" s="49" t="str">
        <f>_xlfn.XLOOKUP(C146,Tab_Def_Flows[Name(EN)],Tab_Def_Flows[Flow_ID],,0,)</f>
        <v>F_12_12</v>
      </c>
      <c r="C146" s="51"/>
      <c r="D146" s="49"/>
      <c r="E146" s="49">
        <f>_xlfn.XLOOKUP(C146,Tab_Def_Flows[Name(EN)],Tab_Def_Flows[Output_Process],,0,)</f>
        <v>0</v>
      </c>
      <c r="F146" s="49" t="str">
        <f>_xlfn.XLOOKUP(C146,Tab_Def_Flows[Name(EN)],Tab_Def_Flows[Process_ID_O],,0,)</f>
        <v>12__</v>
      </c>
      <c r="G146" s="49">
        <f>_xlfn.XLOOKUP(C146,Tab_Def_Flows[Name(EN)],Tab_Def_Flows[Input_Process],,0,)</f>
        <v>0</v>
      </c>
      <c r="H146" s="61" t="str">
        <f>_xlfn.XLOOKUP(C146,Tab_Def_Flows[Name(EN)],Tab_Def_Flows[Process_ID_I],,0,)</f>
        <v>12__</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c r="AC146" s="107" t="e">
        <f>INDEX(Tab_Def_Flows[[Flow_ID]:[CC_DM_source]],MATCH(Tab_Data_Flows[[#This Row],[Name(EN)]],Tab_Def_Flows[Name(EN)],0),16)</f>
        <v>#N/A</v>
      </c>
      <c r="AD146" s="108" t="str">
        <f>IF(J146="Yes",AA146*Tab_Data_Flows[[#This Row],[WC_'[%']]],"N.A.")</f>
        <v>N.A.</v>
      </c>
      <c r="AE146" s="61">
        <f>Tab_Data_Flows[[#This Row],[UoM_Flow_Py]]</f>
        <v>0</v>
      </c>
      <c r="AF146" s="107" t="e">
        <f>INDEX(Tab_Def_Flows[[Flow_ID]:[CC_DM_source]],MATCH(Tab_Data_Flows[[#This Row],[Name(EN)]],Tab_Def_Flows[Name(EN)],0),18)</f>
        <v>#N/A</v>
      </c>
      <c r="AG146" s="108" t="str">
        <f>IF(K146="Yes",AF146*Tab_Data_Flows[[#This Row],[Flow_Py]]-AJ262,"N.A.")</f>
        <v>N.A.</v>
      </c>
      <c r="AH146" s="61">
        <f>Tab_Data_Flows[[#This Row],[UoM_Flow_Py]]</f>
        <v>0</v>
      </c>
      <c r="AI146" s="107" t="e">
        <f>INDEX(Tab_Def_Flows[[Flow_ID]:[CC_DM_source]],MATCH(Tab_Data_Flows[[#This Row],[Name(EN)]],Tab_Def_Flows[Name(EN)],0),20)</f>
        <v>#N/A</v>
      </c>
      <c r="AJ146" s="108" t="str">
        <f>IF(L146="Yes",AI146*Tab_Data_Flows[[#This Row],[Flow_Py]]*Tab_Data_Flows[[#This Row],[DM_'[%']]],"N.A.")</f>
        <v>N.A.</v>
      </c>
      <c r="AK146" s="61">
        <f>Tab_Data_Flows[[#This Row],[UoM_Flow_Py]]</f>
        <v>0</v>
      </c>
    </row>
    <row r="147" spans="1:37" x14ac:dyDescent="0.25">
      <c r="A147" s="60">
        <f t="shared" si="4"/>
        <v>146</v>
      </c>
      <c r="B147" s="49" t="str">
        <f>_xlfn.XLOOKUP(C147,Tab_Def_Flows[Name(EN)],Tab_Def_Flows[Flow_ID],,0,)</f>
        <v>F_12_12</v>
      </c>
      <c r="C147" s="51"/>
      <c r="D147" s="49">
        <f>_xlfn.XLOOKUP(C147,Tab_Def_Flows[Name(EN)],Tab_Def_Flows[Type_Biomass],,0,)</f>
        <v>0</v>
      </c>
      <c r="E147" s="49">
        <f>_xlfn.XLOOKUP(C147,Tab_Def_Flows[Name(EN)],Tab_Def_Flows[Output_Process],,0,)</f>
        <v>0</v>
      </c>
      <c r="F147" s="49" t="str">
        <f>_xlfn.XLOOKUP(C147,Tab_Def_Flows[Name(EN)],Tab_Def_Flows[Process_ID_O],,0,)</f>
        <v>12__</v>
      </c>
      <c r="G147" s="49">
        <f>_xlfn.XLOOKUP(C147,Tab_Def_Flows[Name(EN)],Tab_Def_Flows[Input_Process],,0,)</f>
        <v>0</v>
      </c>
      <c r="H147" s="61" t="str">
        <f>_xlfn.XLOOKUP(C147,Tab_Def_Flows[Name(EN)],Tab_Def_Flows[Process_ID_I],,0,)</f>
        <v>12__</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349</v>
      </c>
      <c r="O147" s="114"/>
      <c r="P147" s="51"/>
      <c r="Q147" s="51"/>
      <c r="R147" s="51"/>
      <c r="S147" s="51"/>
      <c r="T147" s="51"/>
      <c r="U147" s="51"/>
      <c r="V147" s="51"/>
      <c r="W147" s="51"/>
      <c r="X147" s="51" t="s">
        <v>70</v>
      </c>
      <c r="Y147" s="104"/>
      <c r="Z147" s="51"/>
      <c r="AA147" s="85">
        <f t="shared" si="5"/>
        <v>0</v>
      </c>
      <c r="AB147" s="51"/>
      <c r="AC147" s="107" t="e">
        <f>INDEX(Tab_Def_Flows[[Flow_ID]:[CC_DM_source]],MATCH(Tab_Data_Flows[[#This Row],[Name(EN)]],Tab_Def_Flows[Name(EN)],0),16)</f>
        <v>#N/A</v>
      </c>
      <c r="AD147" s="108" t="str">
        <f>IF(J147="Yes",AA147*Tab_Data_Flows[[#This Row],[WC_'[%']]],"N.A.")</f>
        <v>N.A.</v>
      </c>
      <c r="AE147" s="61">
        <f>Tab_Data_Flows[[#This Row],[UoM_Flow_Py]]</f>
        <v>0</v>
      </c>
      <c r="AF147" s="107" t="e">
        <f>INDEX(Tab_Def_Flows[[Flow_ID]:[CC_DM_source]],MATCH(Tab_Data_Flows[[#This Row],[Name(EN)]],Tab_Def_Flows[Name(EN)],0),18)</f>
        <v>#N/A</v>
      </c>
      <c r="AG147" s="108" t="str">
        <f>IF(K147="Yes",AF147*Tab_Data_Flows[[#This Row],[Flow_Py]],"N.A.")</f>
        <v>N.A.</v>
      </c>
      <c r="AH147" s="61">
        <f>Tab_Data_Flows[[#This Row],[UoM_Flow_Py]]</f>
        <v>0</v>
      </c>
      <c r="AI147" s="107" t="e">
        <f>INDEX(Tab_Def_Flows[[Flow_ID]:[CC_DM_source]],MATCH(Tab_Data_Flows[[#This Row],[Name(EN)]],Tab_Def_Flows[Name(EN)],0),20)</f>
        <v>#N/A</v>
      </c>
      <c r="AJ147" s="108" t="str">
        <f>IF(L147="Yes",AI147*Tab_Data_Flows[[#This Row],[Flow_Py]]*Tab_Data_Flows[[#This Row],[DM_'[%']]],"N.A.")</f>
        <v>N.A.</v>
      </c>
      <c r="AK147" s="61">
        <f>Tab_Data_Flows[[#This Row],[UoM_Flow_Py]]</f>
        <v>0</v>
      </c>
    </row>
    <row r="148" spans="1:37" x14ac:dyDescent="0.25">
      <c r="A148" s="60">
        <f t="shared" si="4"/>
        <v>147</v>
      </c>
      <c r="B148" s="49" t="str">
        <f>_xlfn.XLOOKUP(C148,Tab_Def_Flows[Name(EN)],Tab_Def_Flows[Flow_ID],,0,)</f>
        <v>F_12_12</v>
      </c>
      <c r="C148" s="51"/>
      <c r="D148" s="49">
        <f>_xlfn.XLOOKUP(C148,Tab_Def_Flows[Name(EN)],Tab_Def_Flows[Type_Biomass],,0,)</f>
        <v>0</v>
      </c>
      <c r="E148" s="49">
        <f>_xlfn.XLOOKUP(C148,Tab_Def_Flows[Name(EN)],Tab_Def_Flows[Output_Process],,0,)</f>
        <v>0</v>
      </c>
      <c r="F148" s="49" t="str">
        <f>_xlfn.XLOOKUP(C148,Tab_Def_Flows[Name(EN)],Tab_Def_Flows[Process_ID_O],,0,)</f>
        <v>12__</v>
      </c>
      <c r="G148" s="49">
        <f>_xlfn.XLOOKUP(C148,Tab_Def_Flows[Name(EN)],Tab_Def_Flows[Input_Process],,0,)</f>
        <v>0</v>
      </c>
      <c r="H148" s="61" t="str">
        <f>_xlfn.XLOOKUP(C148,Tab_Def_Flows[Name(EN)],Tab_Def_Flows[Process_ID_I],,0,)</f>
        <v>12__</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349</v>
      </c>
      <c r="O148" s="114"/>
      <c r="P148" s="51"/>
      <c r="Q148" s="51"/>
      <c r="R148" s="51"/>
      <c r="S148" s="51"/>
      <c r="T148" s="51"/>
      <c r="U148" s="51"/>
      <c r="V148" s="51"/>
      <c r="W148" s="51"/>
      <c r="X148" s="51" t="s">
        <v>70</v>
      </c>
      <c r="Y148" s="104"/>
      <c r="Z148" s="51"/>
      <c r="AA148" s="85">
        <f t="shared" si="5"/>
        <v>0</v>
      </c>
      <c r="AB148" s="51"/>
      <c r="AC148" s="107" t="e">
        <f>INDEX(Tab_Def_Flows[[Flow_ID]:[CC_DM_source]],MATCH(Tab_Data_Flows[[#This Row],[Name(EN)]],Tab_Def_Flows[Name(EN)],0),16)</f>
        <v>#N/A</v>
      </c>
      <c r="AD148" s="108" t="str">
        <f>IF(J148="Yes",AA148*Tab_Data_Flows[[#This Row],[WC_'[%']]],"N.A.")</f>
        <v>N.A.</v>
      </c>
      <c r="AE148" s="61">
        <f>Tab_Data_Flows[[#This Row],[UoM_Flow_Py]]</f>
        <v>0</v>
      </c>
      <c r="AF148" s="107" t="e">
        <f>INDEX(Tab_Def_Flows[[Flow_ID]:[CC_DM_source]],MATCH(Tab_Data_Flows[[#This Row],[Name(EN)]],Tab_Def_Flows[Name(EN)],0),18)</f>
        <v>#N/A</v>
      </c>
      <c r="AG148" s="108" t="str">
        <f>IF(K148="Yes",AF148*Tab_Data_Flows[[#This Row],[Flow_Py]]-AJ264,"N.A.")</f>
        <v>N.A.</v>
      </c>
      <c r="AH148" s="61">
        <f>Tab_Data_Flows[[#This Row],[UoM_Flow_Py]]</f>
        <v>0</v>
      </c>
      <c r="AI148" s="107" t="e">
        <f>INDEX(Tab_Def_Flows[[Flow_ID]:[CC_DM_source]],MATCH(Tab_Data_Flows[[#This Row],[Name(EN)]],Tab_Def_Flows[Name(EN)],0),20)</f>
        <v>#N/A</v>
      </c>
      <c r="AJ148" s="108" t="str">
        <f>IF(L148="Yes",AI148*Tab_Data_Flows[[#This Row],[Flow_Py]]*Tab_Data_Flows[[#This Row],[DM_'[%']]],"N.A.")</f>
        <v>N.A.</v>
      </c>
      <c r="AK148" s="61">
        <f>Tab_Data_Flows[[#This Row],[UoM_Flow_Py]]</f>
        <v>0</v>
      </c>
    </row>
    <row r="149" spans="1:37" x14ac:dyDescent="0.25">
      <c r="A149" s="60">
        <f t="shared" si="4"/>
        <v>148</v>
      </c>
      <c r="B149" s="49" t="str">
        <f>_xlfn.XLOOKUP(C149,Tab_Def_Flows[Name(EN)],Tab_Def_Flows[Flow_ID],,0,)</f>
        <v>F_12_12</v>
      </c>
      <c r="C149" s="51"/>
      <c r="D149" s="49">
        <f>_xlfn.XLOOKUP(C149,Tab_Def_Flows[Name(EN)],Tab_Def_Flows[Type_Biomass],,0,)</f>
        <v>0</v>
      </c>
      <c r="E149" s="49">
        <f>_xlfn.XLOOKUP(C149,Tab_Def_Flows[Name(EN)],Tab_Def_Flows[Output_Process],,0,)</f>
        <v>0</v>
      </c>
      <c r="F149" s="49" t="str">
        <f>_xlfn.XLOOKUP(C149,Tab_Def_Flows[Name(EN)],Tab_Def_Flows[Process_ID_O],,0,)</f>
        <v>12__</v>
      </c>
      <c r="G149" s="49">
        <f>_xlfn.XLOOKUP(C149,Tab_Def_Flows[Name(EN)],Tab_Def_Flows[Input_Process],,0,)</f>
        <v>0</v>
      </c>
      <c r="H149" s="61" t="str">
        <f>_xlfn.XLOOKUP(C149,Tab_Def_Flows[Name(EN)],Tab_Def_Flows[Process_ID_I],,0,)</f>
        <v>12__</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349</v>
      </c>
      <c r="O149" s="114"/>
      <c r="P149" s="51"/>
      <c r="Q149" s="51"/>
      <c r="R149" s="51"/>
      <c r="S149" s="51"/>
      <c r="T149" s="51"/>
      <c r="U149" s="51"/>
      <c r="V149" s="51"/>
      <c r="W149" s="51"/>
      <c r="X149" s="51" t="s">
        <v>70</v>
      </c>
      <c r="Y149" s="104"/>
      <c r="Z149" s="51"/>
      <c r="AA149" s="85">
        <f t="shared" si="5"/>
        <v>0</v>
      </c>
      <c r="AB149" s="51"/>
      <c r="AC149" s="107" t="e">
        <f>INDEX(Tab_Def_Flows[[Flow_ID]:[CC_DM_source]],MATCH(Tab_Data_Flows[[#This Row],[Name(EN)]],Tab_Def_Flows[Name(EN)],0),16)</f>
        <v>#N/A</v>
      </c>
      <c r="AD149" s="108" t="str">
        <f>IF(J149="Yes",AA149*Tab_Data_Flows[[#This Row],[WC_'[%']]],"N.A.")</f>
        <v>N.A.</v>
      </c>
      <c r="AE149" s="61">
        <f>Tab_Data_Flows[[#This Row],[UoM_Flow_Py]]</f>
        <v>0</v>
      </c>
      <c r="AF149" s="107" t="e">
        <f>INDEX(Tab_Def_Flows[[Flow_ID]:[CC_DM_source]],MATCH(Tab_Data_Flows[[#This Row],[Name(EN)]],Tab_Def_Flows[Name(EN)],0),18)</f>
        <v>#N/A</v>
      </c>
      <c r="AG149" s="108" t="str">
        <f>IF(K149="Yes",AF149*Tab_Data_Flows[[#This Row],[Flow_Py]]-AJ265,"N.A.")</f>
        <v>N.A.</v>
      </c>
      <c r="AH149" s="61">
        <f>Tab_Data_Flows[[#This Row],[UoM_Flow_Py]]</f>
        <v>0</v>
      </c>
      <c r="AI149" s="107" t="e">
        <f>INDEX(Tab_Def_Flows[[Flow_ID]:[CC_DM_source]],MATCH(Tab_Data_Flows[[#This Row],[Name(EN)]],Tab_Def_Flows[Name(EN)],0),20)</f>
        <v>#N/A</v>
      </c>
      <c r="AJ149" s="108" t="str">
        <f>IF(L149="Yes",AI149*Tab_Data_Flows[[#This Row],[Flow_Py]]*Tab_Data_Flows[[#This Row],[DM_'[%']]],"N.A.")</f>
        <v>N.A.</v>
      </c>
      <c r="AK149" s="61">
        <f>Tab_Data_Flows[[#This Row],[UoM_Flow_Py]]</f>
        <v>0</v>
      </c>
    </row>
    <row r="150" spans="1:37" x14ac:dyDescent="0.25">
      <c r="A150" s="60">
        <f t="shared" si="4"/>
        <v>149</v>
      </c>
      <c r="B150" s="49" t="str">
        <f>_xlfn.XLOOKUP(C150,Tab_Def_Flows[Name(EN)],Tab_Def_Flows[Flow_ID],,0,)</f>
        <v>F_12_12</v>
      </c>
      <c r="C150" s="51"/>
      <c r="D150" s="49">
        <f>_xlfn.XLOOKUP(C150,Tab_Def_Flows[Name(EN)],Tab_Def_Flows[Type_Biomass],,0,)</f>
        <v>0</v>
      </c>
      <c r="E150" s="49">
        <f>_xlfn.XLOOKUP(C150,Tab_Def_Flows[Name(EN)],Tab_Def_Flows[Output_Process],,0,)</f>
        <v>0</v>
      </c>
      <c r="F150" s="49" t="str">
        <f>_xlfn.XLOOKUP(C150,Tab_Def_Flows[Name(EN)],Tab_Def_Flows[Process_ID_O],,0,)</f>
        <v>12__</v>
      </c>
      <c r="G150" s="49">
        <f>_xlfn.XLOOKUP(C150,Tab_Def_Flows[Name(EN)],Tab_Def_Flows[Input_Process],,0,)</f>
        <v>0</v>
      </c>
      <c r="H150" s="61" t="str">
        <f>_xlfn.XLOOKUP(C150,Tab_Def_Flows[Name(EN)],Tab_Def_Flows[Process_ID_I],,0,)</f>
        <v>12__</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349</v>
      </c>
      <c r="O150" s="114"/>
      <c r="P150" s="51"/>
      <c r="Q150" s="51"/>
      <c r="R150" s="51"/>
      <c r="S150" s="51"/>
      <c r="T150" s="51"/>
      <c r="U150" s="51"/>
      <c r="V150" s="51"/>
      <c r="W150" s="51"/>
      <c r="X150" s="51" t="s">
        <v>70</v>
      </c>
      <c r="Y150" s="104"/>
      <c r="Z150" s="51"/>
      <c r="AA150" s="85">
        <f t="shared" si="5"/>
        <v>0</v>
      </c>
      <c r="AB150" s="51"/>
      <c r="AC150" s="107" t="e">
        <f>INDEX(Tab_Def_Flows[[Flow_ID]:[CC_DM_source]],MATCH(Tab_Data_Flows[[#This Row],[Name(EN)]],Tab_Def_Flows[Name(EN)],0),16)</f>
        <v>#N/A</v>
      </c>
      <c r="AD150" s="108" t="str">
        <f>IF(J150="Yes",AA150*Tab_Data_Flows[[#This Row],[WC_'[%']]],"N.A.")</f>
        <v>N.A.</v>
      </c>
      <c r="AE150" s="61">
        <f>Tab_Data_Flows[[#This Row],[UoM_Flow_Py]]</f>
        <v>0</v>
      </c>
      <c r="AF150" s="107" t="e">
        <f>INDEX(Tab_Def_Flows[[Flow_ID]:[CC_DM_source]],MATCH(Tab_Data_Flows[[#This Row],[Name(EN)]],Tab_Def_Flows[Name(EN)],0),18)</f>
        <v>#N/A</v>
      </c>
      <c r="AG150" s="108" t="str">
        <f>IF(K150="Yes",AF150*Tab_Data_Flows[[#This Row],[Flow_Py]]-AJ266,"N.A.")</f>
        <v>N.A.</v>
      </c>
      <c r="AH150" s="61">
        <f>Tab_Data_Flows[[#This Row],[UoM_Flow_Py]]</f>
        <v>0</v>
      </c>
      <c r="AI150" s="107" t="e">
        <f>INDEX(Tab_Def_Flows[[Flow_ID]:[CC_DM_source]],MATCH(Tab_Data_Flows[[#This Row],[Name(EN)]],Tab_Def_Flows[Name(EN)],0),20)</f>
        <v>#N/A</v>
      </c>
      <c r="AJ150" s="108" t="str">
        <f>IF(L150="Yes",AI150*Tab_Data_Flows[[#This Row],[Flow_Py]]*Tab_Data_Flows[[#This Row],[DM_'[%']]],"N.A.")</f>
        <v>N.A.</v>
      </c>
      <c r="AK150" s="61">
        <f>Tab_Data_Flows[[#This Row],[UoM_Flow_Py]]</f>
        <v>0</v>
      </c>
    </row>
    <row r="151" spans="1:37" x14ac:dyDescent="0.25">
      <c r="A151" s="60">
        <f t="shared" si="4"/>
        <v>150</v>
      </c>
      <c r="B151" s="49" t="str">
        <f>_xlfn.XLOOKUP(C151,Tab_Def_Flows[Name(EN)],Tab_Def_Flows[Flow_ID],,0,)</f>
        <v>F_12_12</v>
      </c>
      <c r="C151" s="51"/>
      <c r="D151" s="49">
        <f>_xlfn.XLOOKUP(C151,Tab_Def_Flows[Name(EN)],Tab_Def_Flows[Type_Biomass],,0,)</f>
        <v>0</v>
      </c>
      <c r="E151" s="49">
        <f>_xlfn.XLOOKUP(C151,Tab_Def_Flows[Name(EN)],Tab_Def_Flows[Output_Process],,0,)</f>
        <v>0</v>
      </c>
      <c r="F151" s="49" t="str">
        <f>_xlfn.XLOOKUP(C151,Tab_Def_Flows[Name(EN)],Tab_Def_Flows[Process_ID_O],,0,)</f>
        <v>12__</v>
      </c>
      <c r="G151" s="49">
        <f>_xlfn.XLOOKUP(C151,Tab_Def_Flows[Name(EN)],Tab_Def_Flows[Input_Process],,0,)</f>
        <v>0</v>
      </c>
      <c r="H151" s="61" t="str">
        <f>_xlfn.XLOOKUP(C151,Tab_Def_Flows[Name(EN)],Tab_Def_Flows[Process_ID_I],,0,)</f>
        <v>12__</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349</v>
      </c>
      <c r="O151" s="114"/>
      <c r="P151" s="51"/>
      <c r="Q151" s="51"/>
      <c r="R151" s="51"/>
      <c r="S151" s="51"/>
      <c r="T151" s="51"/>
      <c r="U151" s="51"/>
      <c r="V151" s="51"/>
      <c r="W151" s="51"/>
      <c r="X151" s="51" t="s">
        <v>70</v>
      </c>
      <c r="Y151" s="104"/>
      <c r="Z151" s="51"/>
      <c r="AA151" s="85">
        <f t="shared" si="5"/>
        <v>0</v>
      </c>
      <c r="AB151" s="51"/>
      <c r="AC151" s="107" t="e">
        <f>INDEX(Tab_Def_Flows[[Flow_ID]:[CC_DM_source]],MATCH(Tab_Data_Flows[[#This Row],[Name(EN)]],Tab_Def_Flows[Name(EN)],0),16)</f>
        <v>#N/A</v>
      </c>
      <c r="AD151" s="108" t="str">
        <f>IF(J151="Yes",AA151*Tab_Data_Flows[[#This Row],[WC_'[%']]],"N.A.")</f>
        <v>N.A.</v>
      </c>
      <c r="AE151" s="61">
        <f>Tab_Data_Flows[[#This Row],[UoM_Flow_Py]]</f>
        <v>0</v>
      </c>
      <c r="AF151" s="107" t="e">
        <f>INDEX(Tab_Def_Flows[[Flow_ID]:[CC_DM_source]],MATCH(Tab_Data_Flows[[#This Row],[Name(EN)]],Tab_Def_Flows[Name(EN)],0),18)</f>
        <v>#N/A</v>
      </c>
      <c r="AG151" s="108" t="str">
        <f>IF(K151="Yes",AF151*Tab_Data_Flows[[#This Row],[Flow_Py]]-AJ267,"N.A.")</f>
        <v>N.A.</v>
      </c>
      <c r="AH151" s="61">
        <f>Tab_Data_Flows[[#This Row],[UoM_Flow_Py]]</f>
        <v>0</v>
      </c>
      <c r="AI151" s="107" t="e">
        <f>INDEX(Tab_Def_Flows[[Flow_ID]:[CC_DM_source]],MATCH(Tab_Data_Flows[[#This Row],[Name(EN)]],Tab_Def_Flows[Name(EN)],0),20)</f>
        <v>#N/A</v>
      </c>
      <c r="AJ151" s="108" t="str">
        <f>IF(L151="Yes",AI151*Tab_Data_Flows[[#This Row],[Flow_Py]]*Tab_Data_Flows[[#This Row],[DM_'[%']]],"N.A.")</f>
        <v>N.A.</v>
      </c>
      <c r="AK151" s="61">
        <f>Tab_Data_Flows[[#This Row],[UoM_Flow_Py]]</f>
        <v>0</v>
      </c>
    </row>
    <row r="152" spans="1:37" x14ac:dyDescent="0.25">
      <c r="A152" s="60">
        <f t="shared" si="4"/>
        <v>151</v>
      </c>
      <c r="B152" s="49" t="str">
        <f>_xlfn.XLOOKUP(C152,Tab_Def_Flows[Name(EN)],Tab_Def_Flows[Flow_ID],,0,)</f>
        <v>F_12_12</v>
      </c>
      <c r="C152" s="51"/>
      <c r="D152" s="49">
        <f>_xlfn.XLOOKUP(C152,Tab_Def_Flows[Name(EN)],Tab_Def_Flows[Type_Biomass],,0,)</f>
        <v>0</v>
      </c>
      <c r="E152" s="49">
        <f>_xlfn.XLOOKUP(C152,Tab_Def_Flows[Name(EN)],Tab_Def_Flows[Output_Process],,0,)</f>
        <v>0</v>
      </c>
      <c r="F152" s="49" t="str">
        <f>_xlfn.XLOOKUP(C152,Tab_Def_Flows[Name(EN)],Tab_Def_Flows[Process_ID_O],,0,)</f>
        <v>12__</v>
      </c>
      <c r="G152" s="49">
        <f>_xlfn.XLOOKUP(C152,Tab_Def_Flows[Name(EN)],Tab_Def_Flows[Input_Process],,0,)</f>
        <v>0</v>
      </c>
      <c r="H152" s="61" t="str">
        <f>_xlfn.XLOOKUP(C152,Tab_Def_Flows[Name(EN)],Tab_Def_Flows[Process_ID_I],,0,)</f>
        <v>12__</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349</v>
      </c>
      <c r="O152" s="114"/>
      <c r="P152" s="51"/>
      <c r="Q152" s="51"/>
      <c r="R152" s="51"/>
      <c r="S152" s="51"/>
      <c r="T152" s="51"/>
      <c r="U152" s="51"/>
      <c r="V152" s="51"/>
      <c r="W152" s="51"/>
      <c r="X152" s="51" t="s">
        <v>70</v>
      </c>
      <c r="Y152" s="104"/>
      <c r="Z152" s="51"/>
      <c r="AA152" s="85">
        <f t="shared" si="5"/>
        <v>0</v>
      </c>
      <c r="AB152" s="51"/>
      <c r="AC152" s="107" t="e">
        <f>INDEX(Tab_Def_Flows[[Flow_ID]:[CC_DM_source]],MATCH(Tab_Data_Flows[[#This Row],[Name(EN)]],Tab_Def_Flows[Name(EN)],0),16)</f>
        <v>#N/A</v>
      </c>
      <c r="AD152" s="108" t="str">
        <f>IF(J152="Yes",AA152*Tab_Data_Flows[[#This Row],[WC_'[%']]],"N.A.")</f>
        <v>N.A.</v>
      </c>
      <c r="AE152" s="61">
        <f>Tab_Data_Flows[[#This Row],[UoM_Flow_Py]]</f>
        <v>0</v>
      </c>
      <c r="AF152" s="107" t="e">
        <f>INDEX(Tab_Def_Flows[[Flow_ID]:[CC_DM_source]],MATCH(Tab_Data_Flows[[#This Row],[Name(EN)]],Tab_Def_Flows[Name(EN)],0),18)</f>
        <v>#N/A</v>
      </c>
      <c r="AG152" s="108" t="str">
        <f>IF(K152="Yes",AF152*Tab_Data_Flows[[#This Row],[Flow_Py]]-AJ268,"N.A.")</f>
        <v>N.A.</v>
      </c>
      <c r="AH152" s="61">
        <f>Tab_Data_Flows[[#This Row],[UoM_Flow_Py]]</f>
        <v>0</v>
      </c>
      <c r="AI152" s="107" t="e">
        <f>INDEX(Tab_Def_Flows[[Flow_ID]:[CC_DM_source]],MATCH(Tab_Data_Flows[[#This Row],[Name(EN)]],Tab_Def_Flows[Name(EN)],0),20)</f>
        <v>#N/A</v>
      </c>
      <c r="AJ152" s="108" t="str">
        <f>IF(L152="Yes",AI152*Tab_Data_Flows[[#This Row],[Flow_Py]]*Tab_Data_Flows[[#This Row],[DM_'[%']]],"N.A.")</f>
        <v>N.A.</v>
      </c>
      <c r="AK152" s="61">
        <f>Tab_Data_Flows[[#This Row],[UoM_Flow_Py]]</f>
        <v>0</v>
      </c>
    </row>
    <row r="153" spans="1:37" x14ac:dyDescent="0.25">
      <c r="A153" s="60">
        <f t="shared" si="4"/>
        <v>152</v>
      </c>
      <c r="B153" s="49" t="str">
        <f>_xlfn.XLOOKUP(C153,Tab_Def_Flows[Name(EN)],Tab_Def_Flows[Flow_ID],,0,)</f>
        <v>F_12_12</v>
      </c>
      <c r="C153" s="51"/>
      <c r="D153" s="49">
        <f>_xlfn.XLOOKUP(C153,Tab_Def_Flows[Name(EN)],Tab_Def_Flows[Type_Biomass],,0,)</f>
        <v>0</v>
      </c>
      <c r="E153" s="49">
        <f>_xlfn.XLOOKUP(C153,Tab_Def_Flows[Name(EN)],Tab_Def_Flows[Output_Process],,0,)</f>
        <v>0</v>
      </c>
      <c r="F153" s="49" t="str">
        <f>_xlfn.XLOOKUP(C153,Tab_Def_Flows[Name(EN)],Tab_Def_Flows[Process_ID_O],,0,)</f>
        <v>12__</v>
      </c>
      <c r="G153" s="49">
        <f>_xlfn.XLOOKUP(C153,Tab_Def_Flows[Name(EN)],Tab_Def_Flows[Input_Process],,0,)</f>
        <v>0</v>
      </c>
      <c r="H153" s="61" t="str">
        <f>_xlfn.XLOOKUP(C153,Tab_Def_Flows[Name(EN)],Tab_Def_Flows[Process_ID_I],,0,)</f>
        <v>12__</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349</v>
      </c>
      <c r="O153" s="114"/>
      <c r="P153" s="51"/>
      <c r="Q153" s="51"/>
      <c r="R153" s="51"/>
      <c r="S153" s="51"/>
      <c r="T153" s="51"/>
      <c r="U153" s="51"/>
      <c r="V153" s="51"/>
      <c r="W153" s="51"/>
      <c r="X153" s="51" t="s">
        <v>70</v>
      </c>
      <c r="Y153" s="104"/>
      <c r="Z153" s="51"/>
      <c r="AA153" s="85">
        <f t="shared" si="5"/>
        <v>0</v>
      </c>
      <c r="AB153" s="51"/>
      <c r="AC153" s="107" t="e">
        <f>INDEX(Tab_Def_Flows[[Flow_ID]:[CC_DM_source]],MATCH(Tab_Data_Flows[[#This Row],[Name(EN)]],Tab_Def_Flows[Name(EN)],0),16)</f>
        <v>#N/A</v>
      </c>
      <c r="AD153" s="108" t="str">
        <f>IF(J153="Yes",AA153*Tab_Data_Flows[[#This Row],[WC_'[%']]],"N.A.")</f>
        <v>N.A.</v>
      </c>
      <c r="AE153" s="61">
        <f>Tab_Data_Flows[[#This Row],[UoM_Flow_Py]]</f>
        <v>0</v>
      </c>
      <c r="AF153" s="107" t="e">
        <f>INDEX(Tab_Def_Flows[[Flow_ID]:[CC_DM_source]],MATCH(Tab_Data_Flows[[#This Row],[Name(EN)]],Tab_Def_Flows[Name(EN)],0),18)</f>
        <v>#N/A</v>
      </c>
      <c r="AG153" s="108" t="str">
        <f>IF(K153="Yes",AF153*Tab_Data_Flows[[#This Row],[Flow_Py]]-AJ269,"N.A.")</f>
        <v>N.A.</v>
      </c>
      <c r="AH153" s="61">
        <f>Tab_Data_Flows[[#This Row],[UoM_Flow_Py]]</f>
        <v>0</v>
      </c>
      <c r="AI153" s="107" t="e">
        <f>INDEX(Tab_Def_Flows[[Flow_ID]:[CC_DM_source]],MATCH(Tab_Data_Flows[[#This Row],[Name(EN)]],Tab_Def_Flows[Name(EN)],0),20)</f>
        <v>#N/A</v>
      </c>
      <c r="AJ153" s="108" t="str">
        <f>IF(L153="Yes",AI153*Tab_Data_Flows[[#This Row],[Flow_Py]]*Tab_Data_Flows[[#This Row],[DM_'[%']]],"N.A.")</f>
        <v>N.A.</v>
      </c>
      <c r="AK153" s="61">
        <f>Tab_Data_Flows[[#This Row],[UoM_Flow_Py]]</f>
        <v>0</v>
      </c>
    </row>
    <row r="154" spans="1:37" x14ac:dyDescent="0.25">
      <c r="A154" s="60">
        <f t="shared" si="4"/>
        <v>153</v>
      </c>
      <c r="B154" s="49" t="str">
        <f>_xlfn.XLOOKUP(C154,Tab_Def_Flows[Name(EN)],Tab_Def_Flows[Flow_ID],,0,)</f>
        <v>F_12_12</v>
      </c>
      <c r="C154" s="51"/>
      <c r="D154" s="49">
        <f>_xlfn.XLOOKUP(C154,Tab_Def_Flows[Name(EN)],Tab_Def_Flows[Type_Biomass],,0,)</f>
        <v>0</v>
      </c>
      <c r="E154" s="49">
        <f>_xlfn.XLOOKUP(C154,Tab_Def_Flows[Name(EN)],Tab_Def_Flows[Output_Process],,0,)</f>
        <v>0</v>
      </c>
      <c r="F154" s="49" t="str">
        <f>_xlfn.XLOOKUP(C154,Tab_Def_Flows[Name(EN)],Tab_Def_Flows[Process_ID_O],,0,)</f>
        <v>12__</v>
      </c>
      <c r="G154" s="49">
        <f>_xlfn.XLOOKUP(C154,Tab_Def_Flows[Name(EN)],Tab_Def_Flows[Input_Process],,0,)</f>
        <v>0</v>
      </c>
      <c r="H154" s="61" t="str">
        <f>_xlfn.XLOOKUP(C154,Tab_Def_Flows[Name(EN)],Tab_Def_Flows[Process_ID_I],,0,)</f>
        <v>12__</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c r="AC154" s="107" t="e">
        <f>INDEX(Tab_Def_Flows[[Flow_ID]:[CC_DM_source]],MATCH(Tab_Data_Flows[[#This Row],[Name(EN)]],Tab_Def_Flows[Name(EN)],0),16)</f>
        <v>#N/A</v>
      </c>
      <c r="AD154" s="108" t="str">
        <f>IF(J154="Yes",AA154*Tab_Data_Flows[[#This Row],[WC_'[%']]],"N.A.")</f>
        <v>N.A.</v>
      </c>
      <c r="AE154" s="61">
        <f>Tab_Data_Flows[[#This Row],[UoM_Flow_Py]]</f>
        <v>0</v>
      </c>
      <c r="AF154" s="107" t="e">
        <f>INDEX(Tab_Def_Flows[[Flow_ID]:[CC_DM_source]],MATCH(Tab_Data_Flows[[#This Row],[Name(EN)]],Tab_Def_Flows[Name(EN)],0),18)</f>
        <v>#N/A</v>
      </c>
      <c r="AG154" s="108" t="str">
        <f>IF(K154="Yes",AF154*Tab_Data_Flows[[#This Row],[Flow_Py]]-AJ270,"N.A.")</f>
        <v>N.A.</v>
      </c>
      <c r="AH154" s="61">
        <f>Tab_Data_Flows[[#This Row],[UoM_Flow_Py]]</f>
        <v>0</v>
      </c>
      <c r="AI154" s="107" t="e">
        <f>INDEX(Tab_Def_Flows[[Flow_ID]:[CC_DM_source]],MATCH(Tab_Data_Flows[[#This Row],[Name(EN)]],Tab_Def_Flows[Name(EN)],0),20)</f>
        <v>#N/A</v>
      </c>
      <c r="AJ154" s="108" t="str">
        <f>IF(L154="Yes",AI154*Tab_Data_Flows[[#This Row],[Flow_Py]]*Tab_Data_Flows[[#This Row],[DM_'[%']]],"N.A.")</f>
        <v>N.A.</v>
      </c>
      <c r="AK154" s="61">
        <f>Tab_Data_Flows[[#This Row],[UoM_Flow_Py]]</f>
        <v>0</v>
      </c>
    </row>
    <row r="155" spans="1:37" x14ac:dyDescent="0.25">
      <c r="A155" s="60">
        <f t="shared" si="4"/>
        <v>154</v>
      </c>
      <c r="B155" s="49" t="str">
        <f>_xlfn.XLOOKUP(C155,Tab_Def_Flows[Name(EN)],Tab_Def_Flows[Flow_ID],,0,)</f>
        <v>F_12_12</v>
      </c>
      <c r="C155" s="51"/>
      <c r="D155" s="49">
        <f>_xlfn.XLOOKUP(C155,Tab_Def_Flows[Name(EN)],Tab_Def_Flows[Type_Biomass],,0,)</f>
        <v>0</v>
      </c>
      <c r="E155" s="49">
        <f>_xlfn.XLOOKUP(C155,Tab_Def_Flows[Name(EN)],Tab_Def_Flows[Output_Process],,0,)</f>
        <v>0</v>
      </c>
      <c r="F155" s="49" t="str">
        <f>_xlfn.XLOOKUP(C155,Tab_Def_Flows[Name(EN)],Tab_Def_Flows[Process_ID_O],,0,)</f>
        <v>12__</v>
      </c>
      <c r="G155" s="49">
        <f>_xlfn.XLOOKUP(C155,Tab_Def_Flows[Name(EN)],Tab_Def_Flows[Input_Process],,0,)</f>
        <v>0</v>
      </c>
      <c r="H155" s="61" t="str">
        <f>_xlfn.XLOOKUP(C155,Tab_Def_Flows[Name(EN)],Tab_Def_Flows[Process_ID_I],,0,)</f>
        <v>12__</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c r="AC155" s="107" t="e">
        <f>INDEX(Tab_Def_Flows[[Flow_ID]:[CC_DM_source]],MATCH(Tab_Data_Flows[[#This Row],[Name(EN)]],Tab_Def_Flows[Name(EN)],0),16)</f>
        <v>#N/A</v>
      </c>
      <c r="AD155" s="108" t="str">
        <f>IF(J155="Yes",AA155*Tab_Data_Flows[[#This Row],[WC_'[%']]],"N.A.")</f>
        <v>N.A.</v>
      </c>
      <c r="AE155" s="61">
        <f>Tab_Data_Flows[[#This Row],[UoM_Flow_Py]]</f>
        <v>0</v>
      </c>
      <c r="AF155" s="107" t="e">
        <f>INDEX(Tab_Def_Flows[[Flow_ID]:[CC_DM_source]],MATCH(Tab_Data_Flows[[#This Row],[Name(EN)]],Tab_Def_Flows[Name(EN)],0),18)</f>
        <v>#N/A</v>
      </c>
      <c r="AG155" s="108" t="str">
        <f>IF(K155="Yes",AF155*Tab_Data_Flows[[#This Row],[Flow_Py]]-AJ271,"N.A.")</f>
        <v>N.A.</v>
      </c>
      <c r="AH155" s="61">
        <f>Tab_Data_Flows[[#This Row],[UoM_Flow_Py]]</f>
        <v>0</v>
      </c>
      <c r="AI155" s="107" t="e">
        <f>INDEX(Tab_Def_Flows[[Flow_ID]:[CC_DM_source]],MATCH(Tab_Data_Flows[[#This Row],[Name(EN)]],Tab_Def_Flows[Name(EN)],0),20)</f>
        <v>#N/A</v>
      </c>
      <c r="AJ155" s="108" t="str">
        <f>IF(L155="Yes",AI155*Tab_Data_Flows[[#This Row],[Flow_Py]]*Tab_Data_Flows[[#This Row],[DM_'[%']]],"N.A.")</f>
        <v>N.A.</v>
      </c>
      <c r="AK155" s="61">
        <f>Tab_Data_Flows[[#This Row],[UoM_Flow_Py]]</f>
        <v>0</v>
      </c>
    </row>
    <row r="156" spans="1:37" x14ac:dyDescent="0.25">
      <c r="A156" s="60">
        <f t="shared" si="4"/>
        <v>155</v>
      </c>
      <c r="B156" s="49" t="str">
        <f>_xlfn.XLOOKUP(C156,Tab_Def_Flows[Name(EN)],Tab_Def_Flows[Flow_ID],,0,)</f>
        <v>F_12_12</v>
      </c>
      <c r="C156" s="51"/>
      <c r="D156" s="49">
        <f>_xlfn.XLOOKUP(C156,Tab_Def_Flows[Name(EN)],Tab_Def_Flows[Type_Biomass],,0,)</f>
        <v>0</v>
      </c>
      <c r="E156" s="49">
        <f>_xlfn.XLOOKUP(C156,Tab_Def_Flows[Name(EN)],Tab_Def_Flows[Output_Process],,0,)</f>
        <v>0</v>
      </c>
      <c r="F156" s="49" t="str">
        <f>_xlfn.XLOOKUP(C156,Tab_Def_Flows[Name(EN)],Tab_Def_Flows[Process_ID_O],,0,)</f>
        <v>12__</v>
      </c>
      <c r="G156" s="49">
        <f>_xlfn.XLOOKUP(C156,Tab_Def_Flows[Name(EN)],Tab_Def_Flows[Input_Process],,0,)</f>
        <v>0</v>
      </c>
      <c r="H156" s="61" t="str">
        <f>_xlfn.XLOOKUP(C156,Tab_Def_Flows[Name(EN)],Tab_Def_Flows[Process_ID_I],,0,)</f>
        <v>12__</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c r="AC156" s="107" t="e">
        <f>INDEX(Tab_Def_Flows[[Flow_ID]:[CC_DM_source]],MATCH(Tab_Data_Flows[[#This Row],[Name(EN)]],Tab_Def_Flows[Name(EN)],0),16)</f>
        <v>#N/A</v>
      </c>
      <c r="AD156" s="108" t="str">
        <f>IF(J156="Yes",AA156*Tab_Data_Flows[[#This Row],[WC_'[%']]],"N.A.")</f>
        <v>N.A.</v>
      </c>
      <c r="AE156" s="61">
        <f>Tab_Data_Flows[[#This Row],[UoM_Flow_Py]]</f>
        <v>0</v>
      </c>
      <c r="AF156" s="107" t="e">
        <f>INDEX(Tab_Def_Flows[[Flow_ID]:[CC_DM_source]],MATCH(Tab_Data_Flows[[#This Row],[Name(EN)]],Tab_Def_Flows[Name(EN)],0),18)</f>
        <v>#N/A</v>
      </c>
      <c r="AG156" s="108" t="str">
        <f>IF(K156="Yes",AF156*Tab_Data_Flows[[#This Row],[Flow_Py]]-AJ272,"N.A.")</f>
        <v>N.A.</v>
      </c>
      <c r="AH156" s="61">
        <f>Tab_Data_Flows[[#This Row],[UoM_Flow_Py]]</f>
        <v>0</v>
      </c>
      <c r="AI156" s="107" t="e">
        <f>INDEX(Tab_Def_Flows[[Flow_ID]:[CC_DM_source]],MATCH(Tab_Data_Flows[[#This Row],[Name(EN)]],Tab_Def_Flows[Name(EN)],0),20)</f>
        <v>#N/A</v>
      </c>
      <c r="AJ156" s="108" t="str">
        <f>IF(L156="Yes",AI156*Tab_Data_Flows[[#This Row],[Flow_Py]]*Tab_Data_Flows[[#This Row],[DM_'[%']]],"N.A.")</f>
        <v>N.A.</v>
      </c>
      <c r="AK156" s="61">
        <f>Tab_Data_Flows[[#This Row],[UoM_Flow_Py]]</f>
        <v>0</v>
      </c>
    </row>
    <row r="157" spans="1:37" x14ac:dyDescent="0.25">
      <c r="A157" s="60">
        <f t="shared" si="4"/>
        <v>156</v>
      </c>
      <c r="B157" s="49" t="str">
        <f>_xlfn.XLOOKUP(C157,Tab_Def_Flows[Name(EN)],Tab_Def_Flows[Flow_ID],,0,)</f>
        <v>F_12_12</v>
      </c>
      <c r="C157" s="51"/>
      <c r="D157" s="49">
        <f>_xlfn.XLOOKUP(C157,Tab_Def_Flows[Name(EN)],Tab_Def_Flows[Type_Biomass],,0,)</f>
        <v>0</v>
      </c>
      <c r="E157" s="49">
        <f>_xlfn.XLOOKUP(C157,Tab_Def_Flows[Name(EN)],Tab_Def_Flows[Output_Process],,0,)</f>
        <v>0</v>
      </c>
      <c r="F157" s="49" t="str">
        <f>_xlfn.XLOOKUP(C157,Tab_Def_Flows[Name(EN)],Tab_Def_Flows[Process_ID_O],,0,)</f>
        <v>12__</v>
      </c>
      <c r="G157" s="49">
        <f>_xlfn.XLOOKUP(C157,Tab_Def_Flows[Name(EN)],Tab_Def_Flows[Input_Process],,0,)</f>
        <v>0</v>
      </c>
      <c r="H157" s="61" t="str">
        <f>_xlfn.XLOOKUP(C157,Tab_Def_Flows[Name(EN)],Tab_Def_Flows[Process_ID_I],,0,)</f>
        <v>12__</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c r="AC157" s="107" t="e">
        <f>INDEX(Tab_Def_Flows[[Flow_ID]:[CC_DM_source]],MATCH(Tab_Data_Flows[[#This Row],[Name(EN)]],Tab_Def_Flows[Name(EN)],0),16)</f>
        <v>#N/A</v>
      </c>
      <c r="AD157" s="108" t="str">
        <f>IF(J157="Yes",AA157*Tab_Data_Flows[[#This Row],[WC_'[%']]],"N.A.")</f>
        <v>N.A.</v>
      </c>
      <c r="AE157" s="61">
        <f>Tab_Data_Flows[[#This Row],[UoM_Flow_Py]]</f>
        <v>0</v>
      </c>
      <c r="AF157" s="107" t="e">
        <f>INDEX(Tab_Def_Flows[[Flow_ID]:[CC_DM_source]],MATCH(Tab_Data_Flows[[#This Row],[Name(EN)]],Tab_Def_Flows[Name(EN)],0),18)</f>
        <v>#N/A</v>
      </c>
      <c r="AG157" s="108" t="str">
        <f>IF(K157="Yes",AF157*Tab_Data_Flows[[#This Row],[Flow_Py]]-AJ273,"N.A.")</f>
        <v>N.A.</v>
      </c>
      <c r="AH157" s="61">
        <f>Tab_Data_Flows[[#This Row],[UoM_Flow_Py]]</f>
        <v>0</v>
      </c>
      <c r="AI157" s="107" t="e">
        <f>INDEX(Tab_Def_Flows[[Flow_ID]:[CC_DM_source]],MATCH(Tab_Data_Flows[[#This Row],[Name(EN)]],Tab_Def_Flows[Name(EN)],0),20)</f>
        <v>#N/A</v>
      </c>
      <c r="AJ157" s="108" t="str">
        <f>IF(L157="Yes",AI157*Tab_Data_Flows[[#This Row],[Flow_Py]]*Tab_Data_Flows[[#This Row],[DM_'[%']]],"N.A.")</f>
        <v>N.A.</v>
      </c>
      <c r="AK157" s="61">
        <f>Tab_Data_Flows[[#This Row],[UoM_Flow_Py]]</f>
        <v>0</v>
      </c>
    </row>
    <row r="158" spans="1:37" x14ac:dyDescent="0.25">
      <c r="A158" s="60">
        <f t="shared" si="4"/>
        <v>157</v>
      </c>
      <c r="B158" s="49" t="str">
        <f>_xlfn.XLOOKUP(C158,Tab_Def_Flows[Name(EN)],Tab_Def_Flows[Flow_ID],,0,)</f>
        <v>F_12_12</v>
      </c>
      <c r="C158" s="51"/>
      <c r="D158" s="49">
        <f>_xlfn.XLOOKUP(C158,Tab_Def_Flows[Name(EN)],Tab_Def_Flows[Type_Biomass],,0,)</f>
        <v>0</v>
      </c>
      <c r="E158" s="49">
        <f>_xlfn.XLOOKUP(C158,Tab_Def_Flows[Name(EN)],Tab_Def_Flows[Output_Process],,0,)</f>
        <v>0</v>
      </c>
      <c r="F158" s="49" t="str">
        <f>_xlfn.XLOOKUP(C158,Tab_Def_Flows[Name(EN)],Tab_Def_Flows[Process_ID_O],,0,)</f>
        <v>12__</v>
      </c>
      <c r="G158" s="49">
        <f>_xlfn.XLOOKUP(C158,Tab_Def_Flows[Name(EN)],Tab_Def_Flows[Input_Process],,0,)</f>
        <v>0</v>
      </c>
      <c r="H158" s="61" t="str">
        <f>_xlfn.XLOOKUP(C158,Tab_Def_Flows[Name(EN)],Tab_Def_Flows[Process_ID_I],,0,)</f>
        <v>12__</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c r="AC158" s="107" t="e">
        <f>INDEX(Tab_Def_Flows[[Flow_ID]:[CC_DM_source]],MATCH(Tab_Data_Flows[[#This Row],[Name(EN)]],Tab_Def_Flows[Name(EN)],0),16)</f>
        <v>#N/A</v>
      </c>
      <c r="AD158" s="108" t="str">
        <f>IF(J158="Yes",AA158*Tab_Data_Flows[[#This Row],[WC_'[%']]],"N.A.")</f>
        <v>N.A.</v>
      </c>
      <c r="AE158" s="61">
        <f>Tab_Data_Flows[[#This Row],[UoM_Flow_Py]]</f>
        <v>0</v>
      </c>
      <c r="AF158" s="107" t="e">
        <f>INDEX(Tab_Def_Flows[[Flow_ID]:[CC_DM_source]],MATCH(Tab_Data_Flows[[#This Row],[Name(EN)]],Tab_Def_Flows[Name(EN)],0),18)</f>
        <v>#N/A</v>
      </c>
      <c r="AG158" s="108" t="str">
        <f>IF(K158="Yes",AF158*Tab_Data_Flows[[#This Row],[Flow_Py]]-AJ274,"N.A.")</f>
        <v>N.A.</v>
      </c>
      <c r="AH158" s="61">
        <f>Tab_Data_Flows[[#This Row],[UoM_Flow_Py]]</f>
        <v>0</v>
      </c>
      <c r="AI158" s="107" t="e">
        <f>INDEX(Tab_Def_Flows[[Flow_ID]:[CC_DM_source]],MATCH(Tab_Data_Flows[[#This Row],[Name(EN)]],Tab_Def_Flows[Name(EN)],0),20)</f>
        <v>#N/A</v>
      </c>
      <c r="AJ158" s="108" t="str">
        <f>IF(L158="Yes",AI158*Tab_Data_Flows[[#This Row],[Flow_Py]]*Tab_Data_Flows[[#This Row],[DM_'[%']]],"N.A.")</f>
        <v>N.A.</v>
      </c>
      <c r="AK158" s="61">
        <f>Tab_Data_Flows[[#This Row],[UoM_Flow_Py]]</f>
        <v>0</v>
      </c>
    </row>
    <row r="159" spans="1:37" x14ac:dyDescent="0.25">
      <c r="A159" s="60">
        <f t="shared" si="4"/>
        <v>158</v>
      </c>
      <c r="B159" s="49" t="str">
        <f>_xlfn.XLOOKUP(C159,Tab_Def_Flows[Name(EN)],Tab_Def_Flows[Flow_ID],,0,)</f>
        <v>F_12_12</v>
      </c>
      <c r="C159" s="51"/>
      <c r="D159" s="49">
        <f>_xlfn.XLOOKUP(C159,Tab_Def_Flows[Name(EN)],Tab_Def_Flows[Type_Biomass],,0,)</f>
        <v>0</v>
      </c>
      <c r="E159" s="49">
        <f>_xlfn.XLOOKUP(C159,Tab_Def_Flows[Name(EN)],Tab_Def_Flows[Output_Process],,0,)</f>
        <v>0</v>
      </c>
      <c r="F159" s="49" t="str">
        <f>_xlfn.XLOOKUP(C159,Tab_Def_Flows[Name(EN)],Tab_Def_Flows[Process_ID_O],,0,)</f>
        <v>12__</v>
      </c>
      <c r="G159" s="49">
        <f>_xlfn.XLOOKUP(C159,Tab_Def_Flows[Name(EN)],Tab_Def_Flows[Input_Process],,0,)</f>
        <v>0</v>
      </c>
      <c r="H159" s="61" t="str">
        <f>_xlfn.XLOOKUP(C159,Tab_Def_Flows[Name(EN)],Tab_Def_Flows[Process_ID_I],,0,)</f>
        <v>12__</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c r="AC159" s="107" t="e">
        <f>INDEX(Tab_Def_Flows[[Flow_ID]:[CC_DM_source]],MATCH(Tab_Data_Flows[[#This Row],[Name(EN)]],Tab_Def_Flows[Name(EN)],0),16)</f>
        <v>#N/A</v>
      </c>
      <c r="AD159" s="108" t="str">
        <f>IF(J159="Yes",AA159*Tab_Data_Flows[[#This Row],[WC_'[%']]],"N.A.")</f>
        <v>N.A.</v>
      </c>
      <c r="AE159" s="61">
        <f>Tab_Data_Flows[[#This Row],[UoM_Flow_Py]]</f>
        <v>0</v>
      </c>
      <c r="AF159" s="107" t="e">
        <f>INDEX(Tab_Def_Flows[[Flow_ID]:[CC_DM_source]],MATCH(Tab_Data_Flows[[#This Row],[Name(EN)]],Tab_Def_Flows[Name(EN)],0),18)</f>
        <v>#N/A</v>
      </c>
      <c r="AG159" s="108" t="str">
        <f>IF(K159="Yes",AF159*Tab_Data_Flows[[#This Row],[Flow_Py]]-AJ275,"N.A.")</f>
        <v>N.A.</v>
      </c>
      <c r="AH159" s="61">
        <f>Tab_Data_Flows[[#This Row],[UoM_Flow_Py]]</f>
        <v>0</v>
      </c>
      <c r="AI159" s="107" t="e">
        <f>INDEX(Tab_Def_Flows[[Flow_ID]:[CC_DM_source]],MATCH(Tab_Data_Flows[[#This Row],[Name(EN)]],Tab_Def_Flows[Name(EN)],0),20)</f>
        <v>#N/A</v>
      </c>
      <c r="AJ159" s="108" t="str">
        <f>IF(L159="Yes",AI159*Tab_Data_Flows[[#This Row],[Flow_Py]]*Tab_Data_Flows[[#This Row],[DM_'[%']]],"N.A.")</f>
        <v>N.A.</v>
      </c>
      <c r="AK159" s="61">
        <f>Tab_Data_Flows[[#This Row],[UoM_Flow_Py]]</f>
        <v>0</v>
      </c>
    </row>
    <row r="160" spans="1:37" x14ac:dyDescent="0.25">
      <c r="A160" s="60">
        <f t="shared" si="4"/>
        <v>159</v>
      </c>
      <c r="B160" s="49" t="str">
        <f>_xlfn.XLOOKUP(C160,Tab_Def_Flows[Name(EN)],Tab_Def_Flows[Flow_ID],,0,)</f>
        <v>F_12_12</v>
      </c>
      <c r="C160" s="51"/>
      <c r="D160" s="49">
        <f>_xlfn.XLOOKUP(C160,Tab_Def_Flows[Name(EN)],Tab_Def_Flows[Type_Biomass],,0,)</f>
        <v>0</v>
      </c>
      <c r="E160" s="49">
        <f>_xlfn.XLOOKUP(C160,Tab_Def_Flows[Name(EN)],Tab_Def_Flows[Output_Process],,0,)</f>
        <v>0</v>
      </c>
      <c r="F160" s="49" t="str">
        <f>_xlfn.XLOOKUP(C160,Tab_Def_Flows[Name(EN)],Tab_Def_Flows[Process_ID_O],,0,)</f>
        <v>12__</v>
      </c>
      <c r="G160" s="49">
        <f>_xlfn.XLOOKUP(C160,Tab_Def_Flows[Name(EN)],Tab_Def_Flows[Input_Process],,0,)</f>
        <v>0</v>
      </c>
      <c r="H160" s="61" t="str">
        <f>_xlfn.XLOOKUP(C160,Tab_Def_Flows[Name(EN)],Tab_Def_Flows[Process_ID_I],,0,)</f>
        <v>12__</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c r="AC160" s="107" t="e">
        <f>INDEX(Tab_Def_Flows[[Flow_ID]:[CC_DM_source]],MATCH(Tab_Data_Flows[[#This Row],[Name(EN)]],Tab_Def_Flows[Name(EN)],0),16)</f>
        <v>#N/A</v>
      </c>
      <c r="AD160" s="108" t="str">
        <f>IF(J160="Yes",AA160*Tab_Data_Flows[[#This Row],[WC_'[%']]],"N.A.")</f>
        <v>N.A.</v>
      </c>
      <c r="AE160" s="61">
        <f>Tab_Data_Flows[[#This Row],[UoM_Flow_Py]]</f>
        <v>0</v>
      </c>
      <c r="AF160" s="107" t="e">
        <f>INDEX(Tab_Def_Flows[[Flow_ID]:[CC_DM_source]],MATCH(Tab_Data_Flows[[#This Row],[Name(EN)]],Tab_Def_Flows[Name(EN)],0),18)</f>
        <v>#N/A</v>
      </c>
      <c r="AG160" s="108" t="str">
        <f>IF(K160="Yes",AF160*Tab_Data_Flows[[#This Row],[Flow_Py]]-AJ276,"N.A.")</f>
        <v>N.A.</v>
      </c>
      <c r="AH160" s="61">
        <f>Tab_Data_Flows[[#This Row],[UoM_Flow_Py]]</f>
        <v>0</v>
      </c>
      <c r="AI160" s="107" t="e">
        <f>INDEX(Tab_Def_Flows[[Flow_ID]:[CC_DM_source]],MATCH(Tab_Data_Flows[[#This Row],[Name(EN)]],Tab_Def_Flows[Name(EN)],0),20)</f>
        <v>#N/A</v>
      </c>
      <c r="AJ160" s="108" t="str">
        <f>IF(L160="Yes",AI160*Tab_Data_Flows[[#This Row],[Flow_Py]]*Tab_Data_Flows[[#This Row],[DM_'[%']]],"N.A.")</f>
        <v>N.A.</v>
      </c>
      <c r="AK160" s="61">
        <f>Tab_Data_Flows[[#This Row],[UoM_Flow_Py]]</f>
        <v>0</v>
      </c>
    </row>
    <row r="161" spans="1:37" x14ac:dyDescent="0.25">
      <c r="A161" s="60">
        <f t="shared" si="4"/>
        <v>160</v>
      </c>
      <c r="B161" s="49" t="str">
        <f>_xlfn.XLOOKUP(C161,Tab_Def_Flows[Name(EN)],Tab_Def_Flows[Flow_ID],,0,)</f>
        <v>F_12_12</v>
      </c>
      <c r="C161" s="51"/>
      <c r="D161" s="49">
        <f>_xlfn.XLOOKUP(C161,Tab_Def_Flows[Name(EN)],Tab_Def_Flows[Type_Biomass],,0,)</f>
        <v>0</v>
      </c>
      <c r="E161" s="49">
        <f>_xlfn.XLOOKUP(C161,Tab_Def_Flows[Name(EN)],Tab_Def_Flows[Output_Process],,0,)</f>
        <v>0</v>
      </c>
      <c r="F161" s="49" t="str">
        <f>_xlfn.XLOOKUP(C161,Tab_Def_Flows[Name(EN)],Tab_Def_Flows[Process_ID_O],,0,)</f>
        <v>12__</v>
      </c>
      <c r="G161" s="49">
        <f>_xlfn.XLOOKUP(C161,Tab_Def_Flows[Name(EN)],Tab_Def_Flows[Input_Process],,0,)</f>
        <v>0</v>
      </c>
      <c r="H161" s="61" t="str">
        <f>_xlfn.XLOOKUP(C161,Tab_Def_Flows[Name(EN)],Tab_Def_Flows[Process_ID_I],,0,)</f>
        <v>12__</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c r="AC161" s="107" t="e">
        <f>INDEX(Tab_Def_Flows[[Flow_ID]:[CC_DM_source]],MATCH(Tab_Data_Flows[[#This Row],[Name(EN)]],Tab_Def_Flows[Name(EN)],0),16)</f>
        <v>#N/A</v>
      </c>
      <c r="AD161" s="108" t="str">
        <f>IF(J161="Yes",AA161*Tab_Data_Flows[[#This Row],[WC_'[%']]],"N.A.")</f>
        <v>N.A.</v>
      </c>
      <c r="AE161" s="61">
        <f>Tab_Data_Flows[[#This Row],[UoM_Flow_Py]]</f>
        <v>0</v>
      </c>
      <c r="AF161" s="107" t="e">
        <f>INDEX(Tab_Def_Flows[[Flow_ID]:[CC_DM_source]],MATCH(Tab_Data_Flows[[#This Row],[Name(EN)]],Tab_Def_Flows[Name(EN)],0),18)</f>
        <v>#N/A</v>
      </c>
      <c r="AG161" s="108" t="str">
        <f>IF(K161="Yes",AF161*Tab_Data_Flows[[#This Row],[Flow_Py]]-AJ277,"N.A.")</f>
        <v>N.A.</v>
      </c>
      <c r="AH161" s="61">
        <f>Tab_Data_Flows[[#This Row],[UoM_Flow_Py]]</f>
        <v>0</v>
      </c>
      <c r="AI161" s="107" t="e">
        <f>INDEX(Tab_Def_Flows[[Flow_ID]:[CC_DM_source]],MATCH(Tab_Data_Flows[[#This Row],[Name(EN)]],Tab_Def_Flows[Name(EN)],0),20)</f>
        <v>#N/A</v>
      </c>
      <c r="AJ161" s="108" t="str">
        <f>IF(L161="Yes",AI161*Tab_Data_Flows[[#This Row],[Flow_Py]]*Tab_Data_Flows[[#This Row],[DM_'[%']]],"N.A.")</f>
        <v>N.A.</v>
      </c>
      <c r="AK161" s="61">
        <f>Tab_Data_Flows[[#This Row],[UoM_Flow_Py]]</f>
        <v>0</v>
      </c>
    </row>
    <row r="162" spans="1:37" x14ac:dyDescent="0.25">
      <c r="A162" s="60">
        <f t="shared" si="4"/>
        <v>161</v>
      </c>
      <c r="B162" s="49" t="str">
        <f>_xlfn.XLOOKUP(C162,Tab_Def_Flows[Name(EN)],Tab_Def_Flows[Flow_ID],,0,)</f>
        <v>F_12_12</v>
      </c>
      <c r="C162" s="51"/>
      <c r="D162" s="49">
        <f>_xlfn.XLOOKUP(C162,Tab_Def_Flows[Name(EN)],Tab_Def_Flows[Type_Biomass],,0,)</f>
        <v>0</v>
      </c>
      <c r="E162" s="49">
        <f>_xlfn.XLOOKUP(C162,Tab_Def_Flows[Name(EN)],Tab_Def_Flows[Output_Process],,0,)</f>
        <v>0</v>
      </c>
      <c r="F162" s="49" t="str">
        <f>_xlfn.XLOOKUP(C162,Tab_Def_Flows[Name(EN)],Tab_Def_Flows[Process_ID_O],,0,)</f>
        <v>12__</v>
      </c>
      <c r="G162" s="49">
        <f>_xlfn.XLOOKUP(C162,Tab_Def_Flows[Name(EN)],Tab_Def_Flows[Input_Process],,0,)</f>
        <v>0</v>
      </c>
      <c r="H162" s="61" t="str">
        <f>_xlfn.XLOOKUP(C162,Tab_Def_Flows[Name(EN)],Tab_Def_Flows[Process_ID_I],,0,)</f>
        <v>12__</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c r="AC162" s="107" t="e">
        <f>INDEX(Tab_Def_Flows[[Flow_ID]:[CC_DM_source]],MATCH(Tab_Data_Flows[[#This Row],[Name(EN)]],Tab_Def_Flows[Name(EN)],0),16)</f>
        <v>#N/A</v>
      </c>
      <c r="AD162" s="108" t="str">
        <f>IF(J162="Yes",AA162*Tab_Data_Flows[[#This Row],[WC_'[%']]],"N.A.")</f>
        <v>N.A.</v>
      </c>
      <c r="AE162" s="61">
        <f>Tab_Data_Flows[[#This Row],[UoM_Flow_Py]]</f>
        <v>0</v>
      </c>
      <c r="AF162" s="107" t="e">
        <f>INDEX(Tab_Def_Flows[[Flow_ID]:[CC_DM_source]],MATCH(Tab_Data_Flows[[#This Row],[Name(EN)]],Tab_Def_Flows[Name(EN)],0),18)</f>
        <v>#N/A</v>
      </c>
      <c r="AG162" s="108" t="str">
        <f>IF(K162="Yes",AF162*Tab_Data_Flows[[#This Row],[Flow_Py]]-AJ278,"N.A.")</f>
        <v>N.A.</v>
      </c>
      <c r="AH162" s="61">
        <f>Tab_Data_Flows[[#This Row],[UoM_Flow_Py]]</f>
        <v>0</v>
      </c>
      <c r="AI162" s="107" t="e">
        <f>INDEX(Tab_Def_Flows[[Flow_ID]:[CC_DM_source]],MATCH(Tab_Data_Flows[[#This Row],[Name(EN)]],Tab_Def_Flows[Name(EN)],0),20)</f>
        <v>#N/A</v>
      </c>
      <c r="AJ162" s="108" t="str">
        <f>IF(L162="Yes",AI162*Tab_Data_Flows[[#This Row],[Flow_Py]]*Tab_Data_Flows[[#This Row],[DM_'[%']]],"N.A.")</f>
        <v>N.A.</v>
      </c>
      <c r="AK162" s="61">
        <f>Tab_Data_Flows[[#This Row],[UoM_Flow_Py]]</f>
        <v>0</v>
      </c>
    </row>
    <row r="163" spans="1:37" x14ac:dyDescent="0.25">
      <c r="A163" s="60">
        <f t="shared" si="4"/>
        <v>162</v>
      </c>
      <c r="B163" s="49" t="str">
        <f>_xlfn.XLOOKUP(C163,Tab_Def_Flows[Name(EN)],Tab_Def_Flows[Flow_ID],,0,)</f>
        <v>F_12_12</v>
      </c>
      <c r="C163" s="51"/>
      <c r="D163" s="49">
        <f>_xlfn.XLOOKUP(C163,Tab_Def_Flows[Name(EN)],Tab_Def_Flows[Type_Biomass],,0,)</f>
        <v>0</v>
      </c>
      <c r="E163" s="49">
        <f>_xlfn.XLOOKUP(C163,Tab_Def_Flows[Name(EN)],Tab_Def_Flows[Output_Process],,0,)</f>
        <v>0</v>
      </c>
      <c r="F163" s="49" t="str">
        <f>_xlfn.XLOOKUP(C163,Tab_Def_Flows[Name(EN)],Tab_Def_Flows[Process_ID_O],,0,)</f>
        <v>12__</v>
      </c>
      <c r="G163" s="49">
        <f>_xlfn.XLOOKUP(C163,Tab_Def_Flows[Name(EN)],Tab_Def_Flows[Input_Process],,0,)</f>
        <v>0</v>
      </c>
      <c r="H163" s="61" t="str">
        <f>_xlfn.XLOOKUP(C163,Tab_Def_Flows[Name(EN)],Tab_Def_Flows[Process_ID_I],,0,)</f>
        <v>12__</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c r="AC163" s="107" t="e">
        <f>INDEX(Tab_Def_Flows[[Flow_ID]:[CC_DM_source]],MATCH(Tab_Data_Flows[[#This Row],[Name(EN)]],Tab_Def_Flows[Name(EN)],0),16)</f>
        <v>#N/A</v>
      </c>
      <c r="AD163" s="108" t="str">
        <f>IF(J163="Yes",AA163*Tab_Data_Flows[[#This Row],[WC_'[%']]],"N.A.")</f>
        <v>N.A.</v>
      </c>
      <c r="AE163" s="61">
        <f>Tab_Data_Flows[[#This Row],[UoM_Flow_Py]]</f>
        <v>0</v>
      </c>
      <c r="AF163" s="107" t="e">
        <f>INDEX(Tab_Def_Flows[[Flow_ID]:[CC_DM_source]],MATCH(Tab_Data_Flows[[#This Row],[Name(EN)]],Tab_Def_Flows[Name(EN)],0),18)</f>
        <v>#N/A</v>
      </c>
      <c r="AG163" s="108" t="str">
        <f>IF(K163="Yes",AF163*Tab_Data_Flows[[#This Row],[Flow_Py]]-AJ279,"N.A.")</f>
        <v>N.A.</v>
      </c>
      <c r="AH163" s="61">
        <f>Tab_Data_Flows[[#This Row],[UoM_Flow_Py]]</f>
        <v>0</v>
      </c>
      <c r="AI163" s="107" t="e">
        <f>INDEX(Tab_Def_Flows[[Flow_ID]:[CC_DM_source]],MATCH(Tab_Data_Flows[[#This Row],[Name(EN)]],Tab_Def_Flows[Name(EN)],0),20)</f>
        <v>#N/A</v>
      </c>
      <c r="AJ163" s="108" t="str">
        <f>IF(L163="Yes",AI163*Tab_Data_Flows[[#This Row],[Flow_Py]]*Tab_Data_Flows[[#This Row],[DM_'[%']]],"N.A.")</f>
        <v>N.A.</v>
      </c>
      <c r="AK163" s="61">
        <f>Tab_Data_Flows[[#This Row],[UoM_Flow_Py]]</f>
        <v>0</v>
      </c>
    </row>
    <row r="164" spans="1:37" x14ac:dyDescent="0.25">
      <c r="A164" s="60">
        <f t="shared" si="4"/>
        <v>163</v>
      </c>
      <c r="B164" s="49" t="str">
        <f>_xlfn.XLOOKUP(C164,Tab_Def_Flows[Name(EN)],Tab_Def_Flows[Flow_ID],,0,)</f>
        <v>F_12_12</v>
      </c>
      <c r="C164" s="51"/>
      <c r="D164" s="49">
        <f>_xlfn.XLOOKUP(C164,Tab_Def_Flows[Name(EN)],Tab_Def_Flows[Type_Biomass],,0,)</f>
        <v>0</v>
      </c>
      <c r="E164" s="49">
        <f>_xlfn.XLOOKUP(C164,Tab_Def_Flows[Name(EN)],Tab_Def_Flows[Output_Process],,0,)</f>
        <v>0</v>
      </c>
      <c r="F164" s="49" t="str">
        <f>_xlfn.XLOOKUP(C164,Tab_Def_Flows[Name(EN)],Tab_Def_Flows[Process_ID_O],,0,)</f>
        <v>12__</v>
      </c>
      <c r="G164" s="49">
        <f>_xlfn.XLOOKUP(C164,Tab_Def_Flows[Name(EN)],Tab_Def_Flows[Input_Process],,0,)</f>
        <v>0</v>
      </c>
      <c r="H164" s="61" t="str">
        <f>_xlfn.XLOOKUP(C164,Tab_Def_Flows[Name(EN)],Tab_Def_Flows[Process_ID_I],,0,)</f>
        <v>12__</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c r="AC164" s="107" t="e">
        <f>INDEX(Tab_Def_Flows[[Flow_ID]:[CC_DM_source]],MATCH(Tab_Data_Flows[[#This Row],[Name(EN)]],Tab_Def_Flows[Name(EN)],0),16)</f>
        <v>#N/A</v>
      </c>
      <c r="AD164" s="108" t="str">
        <f>IF(J164="Yes",AA164*Tab_Data_Flows[[#This Row],[WC_'[%']]],"N.A.")</f>
        <v>N.A.</v>
      </c>
      <c r="AE164" s="61">
        <f>Tab_Data_Flows[[#This Row],[UoM_Flow_Py]]</f>
        <v>0</v>
      </c>
      <c r="AF164" s="107" t="e">
        <f>INDEX(Tab_Def_Flows[[Flow_ID]:[CC_DM_source]],MATCH(Tab_Data_Flows[[#This Row],[Name(EN)]],Tab_Def_Flows[Name(EN)],0),18)</f>
        <v>#N/A</v>
      </c>
      <c r="AG164" s="108" t="str">
        <f>IF(K164="Yes",AF164*Tab_Data_Flows[[#This Row],[Flow_Py]]-AJ280,"N.A.")</f>
        <v>N.A.</v>
      </c>
      <c r="AH164" s="61">
        <f>Tab_Data_Flows[[#This Row],[UoM_Flow_Py]]</f>
        <v>0</v>
      </c>
      <c r="AI164" s="107" t="e">
        <f>INDEX(Tab_Def_Flows[[Flow_ID]:[CC_DM_source]],MATCH(Tab_Data_Flows[[#This Row],[Name(EN)]],Tab_Def_Flows[Name(EN)],0),20)</f>
        <v>#N/A</v>
      </c>
      <c r="AJ164" s="108" t="str">
        <f>IF(L164="Yes",AI164*Tab_Data_Flows[[#This Row],[Flow_Py]]*Tab_Data_Flows[[#This Row],[DM_'[%']]],"N.A.")</f>
        <v>N.A.</v>
      </c>
      <c r="AK164" s="61">
        <f>Tab_Data_Flows[[#This Row],[UoM_Flow_Py]]</f>
        <v>0</v>
      </c>
    </row>
    <row r="165" spans="1:37" x14ac:dyDescent="0.25">
      <c r="A165" s="60">
        <f t="shared" si="4"/>
        <v>164</v>
      </c>
      <c r="B165" s="49" t="str">
        <f>_xlfn.XLOOKUP(C165,Tab_Def_Flows[Name(EN)],Tab_Def_Flows[Flow_ID],,0,)</f>
        <v>F_12_12</v>
      </c>
      <c r="C165" s="51"/>
      <c r="D165" s="49">
        <f>_xlfn.XLOOKUP(C165,Tab_Def_Flows[Name(EN)],Tab_Def_Flows[Type_Biomass],,0,)</f>
        <v>0</v>
      </c>
      <c r="E165" s="49">
        <f>_xlfn.XLOOKUP(C165,Tab_Def_Flows[Name(EN)],Tab_Def_Flows[Output_Process],,0,)</f>
        <v>0</v>
      </c>
      <c r="F165" s="49" t="str">
        <f>_xlfn.XLOOKUP(C165,Tab_Def_Flows[Name(EN)],Tab_Def_Flows[Process_ID_O],,0,)</f>
        <v>12__</v>
      </c>
      <c r="G165" s="49">
        <f>_xlfn.XLOOKUP(C165,Tab_Def_Flows[Name(EN)],Tab_Def_Flows[Input_Process],,0,)</f>
        <v>0</v>
      </c>
      <c r="H165" s="61" t="str">
        <f>_xlfn.XLOOKUP(C165,Tab_Def_Flows[Name(EN)],Tab_Def_Flows[Process_ID_I],,0,)</f>
        <v>12__</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c r="AC165" s="107" t="e">
        <f>INDEX(Tab_Def_Flows[[Flow_ID]:[CC_DM_source]],MATCH(Tab_Data_Flows[[#This Row],[Name(EN)]],Tab_Def_Flows[Name(EN)],0),16)</f>
        <v>#N/A</v>
      </c>
      <c r="AD165" s="108" t="str">
        <f>IF(J165="Yes",AA165*Tab_Data_Flows[[#This Row],[WC_'[%']]],"N.A.")</f>
        <v>N.A.</v>
      </c>
      <c r="AE165" s="61">
        <f>Tab_Data_Flows[[#This Row],[UoM_Flow_Py]]</f>
        <v>0</v>
      </c>
      <c r="AF165" s="107" t="e">
        <f>INDEX(Tab_Def_Flows[[Flow_ID]:[CC_DM_source]],MATCH(Tab_Data_Flows[[#This Row],[Name(EN)]],Tab_Def_Flows[Name(EN)],0),18)</f>
        <v>#N/A</v>
      </c>
      <c r="AG165" s="108" t="str">
        <f>IF(K165="Yes",AF165*Tab_Data_Flows[[#This Row],[Flow_Py]]-AJ281,"N.A.")</f>
        <v>N.A.</v>
      </c>
      <c r="AH165" s="61">
        <f>Tab_Data_Flows[[#This Row],[UoM_Flow_Py]]</f>
        <v>0</v>
      </c>
      <c r="AI165" s="107" t="e">
        <f>INDEX(Tab_Def_Flows[[Flow_ID]:[CC_DM_source]],MATCH(Tab_Data_Flows[[#This Row],[Name(EN)]],Tab_Def_Flows[Name(EN)],0),20)</f>
        <v>#N/A</v>
      </c>
      <c r="AJ165" s="108" t="str">
        <f>IF(L165="Yes",AI165*Tab_Data_Flows[[#This Row],[Flow_Py]]*Tab_Data_Flows[[#This Row],[DM_'[%']]],"N.A.")</f>
        <v>N.A.</v>
      </c>
      <c r="AK165" s="61">
        <f>Tab_Data_Flows[[#This Row],[UoM_Flow_Py]]</f>
        <v>0</v>
      </c>
    </row>
    <row r="166" spans="1:37" x14ac:dyDescent="0.25">
      <c r="A166" s="60">
        <f t="shared" si="4"/>
        <v>165</v>
      </c>
      <c r="B166" s="49" t="str">
        <f>_xlfn.XLOOKUP(C166,Tab_Def_Flows[Name(EN)],Tab_Def_Flows[Flow_ID],,0,)</f>
        <v>F_12_12</v>
      </c>
      <c r="C166" s="51"/>
      <c r="D166" s="49">
        <f>_xlfn.XLOOKUP(C166,Tab_Def_Flows[Name(EN)],Tab_Def_Flows[Type_Biomass],,0,)</f>
        <v>0</v>
      </c>
      <c r="E166" s="49">
        <f>_xlfn.XLOOKUP(C166,Tab_Def_Flows[Name(EN)],Tab_Def_Flows[Output_Process],,0,)</f>
        <v>0</v>
      </c>
      <c r="F166" s="49" t="str">
        <f>_xlfn.XLOOKUP(C166,Tab_Def_Flows[Name(EN)],Tab_Def_Flows[Process_ID_O],,0,)</f>
        <v>12__</v>
      </c>
      <c r="G166" s="49">
        <f>_xlfn.XLOOKUP(C166,Tab_Def_Flows[Name(EN)],Tab_Def_Flows[Input_Process],,0,)</f>
        <v>0</v>
      </c>
      <c r="H166" s="61" t="str">
        <f>_xlfn.XLOOKUP(C166,Tab_Def_Flows[Name(EN)],Tab_Def_Flows[Process_ID_I],,0,)</f>
        <v>12__</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c r="AC166" s="107" t="e">
        <f>INDEX(Tab_Def_Flows[[Flow_ID]:[CC_DM_source]],MATCH(Tab_Data_Flows[[#This Row],[Name(EN)]],Tab_Def_Flows[Name(EN)],0),16)</f>
        <v>#N/A</v>
      </c>
      <c r="AD166" s="108" t="str">
        <f>IF(J166="Yes",AA166*Tab_Data_Flows[[#This Row],[WC_'[%']]],"N.A.")</f>
        <v>N.A.</v>
      </c>
      <c r="AE166" s="61">
        <f>Tab_Data_Flows[[#This Row],[UoM_Flow_Py]]</f>
        <v>0</v>
      </c>
      <c r="AF166" s="107" t="e">
        <f>INDEX(Tab_Def_Flows[[Flow_ID]:[CC_DM_source]],MATCH(Tab_Data_Flows[[#This Row],[Name(EN)]],Tab_Def_Flows[Name(EN)],0),18)</f>
        <v>#N/A</v>
      </c>
      <c r="AG166" s="108" t="str">
        <f>IF(K166="Yes",AF166*Tab_Data_Flows[[#This Row],[Flow_Py]]-AJ282,"N.A.")</f>
        <v>N.A.</v>
      </c>
      <c r="AH166" s="61">
        <f>Tab_Data_Flows[[#This Row],[UoM_Flow_Py]]</f>
        <v>0</v>
      </c>
      <c r="AI166" s="107" t="e">
        <f>INDEX(Tab_Def_Flows[[Flow_ID]:[CC_DM_source]],MATCH(Tab_Data_Flows[[#This Row],[Name(EN)]],Tab_Def_Flows[Name(EN)],0),20)</f>
        <v>#N/A</v>
      </c>
      <c r="AJ166" s="108" t="str">
        <f>IF(L166="Yes",AI166*Tab_Data_Flows[[#This Row],[Flow_Py]]*Tab_Data_Flows[[#This Row],[DM_'[%']]],"N.A.")</f>
        <v>N.A.</v>
      </c>
      <c r="AK166" s="61">
        <f>Tab_Data_Flows[[#This Row],[UoM_Flow_Py]]</f>
        <v>0</v>
      </c>
    </row>
    <row r="167" spans="1:37" x14ac:dyDescent="0.25">
      <c r="A167" s="60">
        <f t="shared" si="4"/>
        <v>166</v>
      </c>
      <c r="B167" s="49" t="str">
        <f>_xlfn.XLOOKUP(C167,Tab_Def_Flows[Name(EN)],Tab_Def_Flows[Flow_ID],,0,)</f>
        <v>F_12_12</v>
      </c>
      <c r="C167" s="51"/>
      <c r="D167" s="49">
        <f>_xlfn.XLOOKUP(C167,Tab_Def_Flows[Name(EN)],Tab_Def_Flows[Type_Biomass],,0,)</f>
        <v>0</v>
      </c>
      <c r="E167" s="49">
        <f>_xlfn.XLOOKUP(C167,Tab_Def_Flows[Name(EN)],Tab_Def_Flows[Output_Process],,0,)</f>
        <v>0</v>
      </c>
      <c r="F167" s="49" t="str">
        <f>_xlfn.XLOOKUP(C167,Tab_Def_Flows[Name(EN)],Tab_Def_Flows[Process_ID_O],,0,)</f>
        <v>12__</v>
      </c>
      <c r="G167" s="49">
        <f>_xlfn.XLOOKUP(C167,Tab_Def_Flows[Name(EN)],Tab_Def_Flows[Input_Process],,0,)</f>
        <v>0</v>
      </c>
      <c r="H167" s="61" t="str">
        <f>_xlfn.XLOOKUP(C167,Tab_Def_Flows[Name(EN)],Tab_Def_Flows[Process_ID_I],,0,)</f>
        <v>12__</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c r="AC167" s="107" t="e">
        <f>INDEX(Tab_Def_Flows[[Flow_ID]:[CC_DM_source]],MATCH(Tab_Data_Flows[[#This Row],[Name(EN)]],Tab_Def_Flows[Name(EN)],0),16)</f>
        <v>#N/A</v>
      </c>
      <c r="AD167" s="108" t="str">
        <f>IF(J167="Yes",AA167*Tab_Data_Flows[[#This Row],[WC_'[%']]],"N.A.")</f>
        <v>N.A.</v>
      </c>
      <c r="AE167" s="61">
        <f>Tab_Data_Flows[[#This Row],[UoM_Flow_Py]]</f>
        <v>0</v>
      </c>
      <c r="AF167" s="107" t="e">
        <f>INDEX(Tab_Def_Flows[[Flow_ID]:[CC_DM_source]],MATCH(Tab_Data_Flows[[#This Row],[Name(EN)]],Tab_Def_Flows[Name(EN)],0),18)</f>
        <v>#N/A</v>
      </c>
      <c r="AG167" s="108" t="str">
        <f>IF(K167="Yes",AF167*Tab_Data_Flows[[#This Row],[Flow_Py]]-AJ283,"N.A.")</f>
        <v>N.A.</v>
      </c>
      <c r="AH167" s="61">
        <f>Tab_Data_Flows[[#This Row],[UoM_Flow_Py]]</f>
        <v>0</v>
      </c>
      <c r="AI167" s="107" t="e">
        <f>INDEX(Tab_Def_Flows[[Flow_ID]:[CC_DM_source]],MATCH(Tab_Data_Flows[[#This Row],[Name(EN)]],Tab_Def_Flows[Name(EN)],0),20)</f>
        <v>#N/A</v>
      </c>
      <c r="AJ167" s="108" t="str">
        <f>IF(L167="Yes",AI167*Tab_Data_Flows[[#This Row],[Flow_Py]]*Tab_Data_Flows[[#This Row],[DM_'[%']]],"N.A.")</f>
        <v>N.A.</v>
      </c>
      <c r="AK167" s="61">
        <f>Tab_Data_Flows[[#This Row],[UoM_Flow_Py]]</f>
        <v>0</v>
      </c>
    </row>
    <row r="168" spans="1:37" x14ac:dyDescent="0.25">
      <c r="A168" s="60">
        <f t="shared" si="4"/>
        <v>167</v>
      </c>
      <c r="B168" s="49" t="str">
        <f>_xlfn.XLOOKUP(C168,Tab_Def_Flows[Name(EN)],Tab_Def_Flows[Flow_ID],,0,)</f>
        <v>F_12_12</v>
      </c>
      <c r="C168" s="51"/>
      <c r="D168" s="49">
        <f>_xlfn.XLOOKUP(C168,Tab_Def_Flows[Name(EN)],Tab_Def_Flows[Type_Biomass],,0,)</f>
        <v>0</v>
      </c>
      <c r="E168" s="49">
        <f>_xlfn.XLOOKUP(C168,Tab_Def_Flows[Name(EN)],Tab_Def_Flows[Output_Process],,0,)</f>
        <v>0</v>
      </c>
      <c r="F168" s="49" t="str">
        <f>_xlfn.XLOOKUP(C168,Tab_Def_Flows[Name(EN)],Tab_Def_Flows[Process_ID_O],,0,)</f>
        <v>12__</v>
      </c>
      <c r="G168" s="49">
        <f>_xlfn.XLOOKUP(C168,Tab_Def_Flows[Name(EN)],Tab_Def_Flows[Input_Process],,0,)</f>
        <v>0</v>
      </c>
      <c r="H168" s="61" t="str">
        <f>_xlfn.XLOOKUP(C168,Tab_Def_Flows[Name(EN)],Tab_Def_Flows[Process_ID_I],,0,)</f>
        <v>12__</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c r="AC168" s="107" t="e">
        <f>INDEX(Tab_Def_Flows[[Flow_ID]:[CC_DM_source]],MATCH(Tab_Data_Flows[[#This Row],[Name(EN)]],Tab_Def_Flows[Name(EN)],0),16)</f>
        <v>#N/A</v>
      </c>
      <c r="AD168" s="108" t="str">
        <f>IF(J168="Yes",AA168*Tab_Data_Flows[[#This Row],[WC_'[%']]],"N.A.")</f>
        <v>N.A.</v>
      </c>
      <c r="AE168" s="61">
        <f>Tab_Data_Flows[[#This Row],[UoM_Flow_Py]]</f>
        <v>0</v>
      </c>
      <c r="AF168" s="107" t="e">
        <f>INDEX(Tab_Def_Flows[[Flow_ID]:[CC_DM_source]],MATCH(Tab_Data_Flows[[#This Row],[Name(EN)]],Tab_Def_Flows[Name(EN)],0),18)</f>
        <v>#N/A</v>
      </c>
      <c r="AG168" s="108" t="str">
        <f>IF(K168="Yes",AF168*Tab_Data_Flows[[#This Row],[Flow_Py]]-AJ284,"N.A.")</f>
        <v>N.A.</v>
      </c>
      <c r="AH168" s="61">
        <f>Tab_Data_Flows[[#This Row],[UoM_Flow_Py]]</f>
        <v>0</v>
      </c>
      <c r="AI168" s="107" t="e">
        <f>INDEX(Tab_Def_Flows[[Flow_ID]:[CC_DM_source]],MATCH(Tab_Data_Flows[[#This Row],[Name(EN)]],Tab_Def_Flows[Name(EN)],0),20)</f>
        <v>#N/A</v>
      </c>
      <c r="AJ168" s="108" t="str">
        <f>IF(L168="Yes",AI168*Tab_Data_Flows[[#This Row],[Flow_Py]]*Tab_Data_Flows[[#This Row],[DM_'[%']]],"N.A.")</f>
        <v>N.A.</v>
      </c>
      <c r="AK168" s="61">
        <f>Tab_Data_Flows[[#This Row],[UoM_Flow_Py]]</f>
        <v>0</v>
      </c>
    </row>
    <row r="169" spans="1:37" x14ac:dyDescent="0.25">
      <c r="A169" s="60">
        <f t="shared" si="4"/>
        <v>168</v>
      </c>
      <c r="B169" s="49" t="str">
        <f>_xlfn.XLOOKUP(C169,Tab_Def_Flows[Name(EN)],Tab_Def_Flows[Flow_ID],,0,)</f>
        <v>F_12_12</v>
      </c>
      <c r="C169" s="51"/>
      <c r="D169" s="49">
        <f>_xlfn.XLOOKUP(C169,Tab_Def_Flows[Name(EN)],Tab_Def_Flows[Type_Biomass],,0,)</f>
        <v>0</v>
      </c>
      <c r="E169" s="49">
        <f>_xlfn.XLOOKUP(C169,Tab_Def_Flows[Name(EN)],Tab_Def_Flows[Output_Process],,0,)</f>
        <v>0</v>
      </c>
      <c r="F169" s="49" t="str">
        <f>_xlfn.XLOOKUP(C169,Tab_Def_Flows[Name(EN)],Tab_Def_Flows[Process_ID_O],,0,)</f>
        <v>12__</v>
      </c>
      <c r="G169" s="49">
        <f>_xlfn.XLOOKUP(C169,Tab_Def_Flows[Name(EN)],Tab_Def_Flows[Input_Process],,0,)</f>
        <v>0</v>
      </c>
      <c r="H169" s="61" t="str">
        <f>_xlfn.XLOOKUP(C169,Tab_Def_Flows[Name(EN)],Tab_Def_Flows[Process_ID_I],,0,)</f>
        <v>12__</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c r="AC169" s="107" t="e">
        <f>INDEX(Tab_Def_Flows[[Flow_ID]:[CC_DM_source]],MATCH(Tab_Data_Flows[[#This Row],[Name(EN)]],Tab_Def_Flows[Name(EN)],0),16)</f>
        <v>#N/A</v>
      </c>
      <c r="AD169" s="108" t="str">
        <f>IF(J169="Yes",AA169*Tab_Data_Flows[[#This Row],[WC_'[%']]],"N.A.")</f>
        <v>N.A.</v>
      </c>
      <c r="AE169" s="61">
        <f>Tab_Data_Flows[[#This Row],[UoM_Flow_Py]]</f>
        <v>0</v>
      </c>
      <c r="AF169" s="107" t="e">
        <f>INDEX(Tab_Def_Flows[[Flow_ID]:[CC_DM_source]],MATCH(Tab_Data_Flows[[#This Row],[Name(EN)]],Tab_Def_Flows[Name(EN)],0),18)</f>
        <v>#N/A</v>
      </c>
      <c r="AG169" s="108" t="str">
        <f>IF(K169="Yes",AF169*Tab_Data_Flows[[#This Row],[Flow_Py]]-AJ285,"N.A.")</f>
        <v>N.A.</v>
      </c>
      <c r="AH169" s="61">
        <f>Tab_Data_Flows[[#This Row],[UoM_Flow_Py]]</f>
        <v>0</v>
      </c>
      <c r="AI169" s="107" t="e">
        <f>INDEX(Tab_Def_Flows[[Flow_ID]:[CC_DM_source]],MATCH(Tab_Data_Flows[[#This Row],[Name(EN)]],Tab_Def_Flows[Name(EN)],0),20)</f>
        <v>#N/A</v>
      </c>
      <c r="AJ169" s="108" t="str">
        <f>IF(L169="Yes",AI169*Tab_Data_Flows[[#This Row],[Flow_Py]]*Tab_Data_Flows[[#This Row],[DM_'[%']]],"N.A.")</f>
        <v>N.A.</v>
      </c>
      <c r="AK169" s="61">
        <f>Tab_Data_Flows[[#This Row],[UoM_Flow_Py]]</f>
        <v>0</v>
      </c>
    </row>
    <row r="170" spans="1:37" x14ac:dyDescent="0.25">
      <c r="A170" s="60">
        <f t="shared" si="4"/>
        <v>169</v>
      </c>
      <c r="B170" s="49" t="str">
        <f>_xlfn.XLOOKUP(C170,Tab_Def_Flows[Name(EN)],Tab_Def_Flows[Flow_ID],,0,)</f>
        <v>F_12_12</v>
      </c>
      <c r="C170" s="51"/>
      <c r="D170" s="49">
        <f>_xlfn.XLOOKUP(C170,Tab_Def_Flows[Name(EN)],Tab_Def_Flows[Type_Biomass],,0,)</f>
        <v>0</v>
      </c>
      <c r="E170" s="49">
        <f>_xlfn.XLOOKUP(C170,Tab_Def_Flows[Name(EN)],Tab_Def_Flows[Output_Process],,0,)</f>
        <v>0</v>
      </c>
      <c r="F170" s="49" t="str">
        <f>_xlfn.XLOOKUP(C170,Tab_Def_Flows[Name(EN)],Tab_Def_Flows[Process_ID_O],,0,)</f>
        <v>12__</v>
      </c>
      <c r="G170" s="49">
        <f>_xlfn.XLOOKUP(C170,Tab_Def_Flows[Name(EN)],Tab_Def_Flows[Input_Process],,0,)</f>
        <v>0</v>
      </c>
      <c r="H170" s="61" t="str">
        <f>_xlfn.XLOOKUP(C170,Tab_Def_Flows[Name(EN)],Tab_Def_Flows[Process_ID_I],,0,)</f>
        <v>12__</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c r="AC170" s="107" t="e">
        <f>INDEX(Tab_Def_Flows[[Flow_ID]:[CC_DM_source]],MATCH(Tab_Data_Flows[[#This Row],[Name(EN)]],Tab_Def_Flows[Name(EN)],0),16)</f>
        <v>#N/A</v>
      </c>
      <c r="AD170" s="108" t="str">
        <f>IF(J170="Yes",AA170*Tab_Data_Flows[[#This Row],[WC_'[%']]],"N.A.")</f>
        <v>N.A.</v>
      </c>
      <c r="AE170" s="61">
        <f>Tab_Data_Flows[[#This Row],[UoM_Flow_Py]]</f>
        <v>0</v>
      </c>
      <c r="AF170" s="107" t="e">
        <f>INDEX(Tab_Def_Flows[[Flow_ID]:[CC_DM_source]],MATCH(Tab_Data_Flows[[#This Row],[Name(EN)]],Tab_Def_Flows[Name(EN)],0),18)</f>
        <v>#N/A</v>
      </c>
      <c r="AG170" s="108" t="str">
        <f>IF(K170="Yes",AF170*Tab_Data_Flows[[#This Row],[Flow_Py]]-AJ286,"N.A.")</f>
        <v>N.A.</v>
      </c>
      <c r="AH170" s="61">
        <f>Tab_Data_Flows[[#This Row],[UoM_Flow_Py]]</f>
        <v>0</v>
      </c>
      <c r="AI170" s="107" t="e">
        <f>INDEX(Tab_Def_Flows[[Flow_ID]:[CC_DM_source]],MATCH(Tab_Data_Flows[[#This Row],[Name(EN)]],Tab_Def_Flows[Name(EN)],0),20)</f>
        <v>#N/A</v>
      </c>
      <c r="AJ170" s="108" t="str">
        <f>IF(L170="Yes",AI170*Tab_Data_Flows[[#This Row],[Flow_Py]]*Tab_Data_Flows[[#This Row],[DM_'[%']]],"N.A.")</f>
        <v>N.A.</v>
      </c>
      <c r="AK170" s="61">
        <f>Tab_Data_Flows[[#This Row],[UoM_Flow_Py]]</f>
        <v>0</v>
      </c>
    </row>
    <row r="171" spans="1:37" x14ac:dyDescent="0.25">
      <c r="A171" s="60">
        <f t="shared" si="4"/>
        <v>170</v>
      </c>
      <c r="B171" s="49" t="str">
        <f>_xlfn.XLOOKUP(C171,Tab_Def_Flows[Name(EN)],Tab_Def_Flows[Flow_ID],,0,)</f>
        <v>F_12_12</v>
      </c>
      <c r="C171" s="51"/>
      <c r="D171" s="49">
        <f>_xlfn.XLOOKUP(C171,Tab_Def_Flows[Name(EN)],Tab_Def_Flows[Type_Biomass],,0,)</f>
        <v>0</v>
      </c>
      <c r="E171" s="49">
        <f>_xlfn.XLOOKUP(C171,Tab_Def_Flows[Name(EN)],Tab_Def_Flows[Output_Process],,0,)</f>
        <v>0</v>
      </c>
      <c r="F171" s="49" t="str">
        <f>_xlfn.XLOOKUP(C171,Tab_Def_Flows[Name(EN)],Tab_Def_Flows[Process_ID_O],,0,)</f>
        <v>12__</v>
      </c>
      <c r="G171" s="49">
        <f>_xlfn.XLOOKUP(C171,Tab_Def_Flows[Name(EN)],Tab_Def_Flows[Input_Process],,0,)</f>
        <v>0</v>
      </c>
      <c r="H171" s="61" t="str">
        <f>_xlfn.XLOOKUP(C171,Tab_Def_Flows[Name(EN)],Tab_Def_Flows[Process_ID_I],,0,)</f>
        <v>12__</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c r="AC171" s="107" t="e">
        <f>INDEX(Tab_Def_Flows[[Flow_ID]:[CC_DM_source]],MATCH(Tab_Data_Flows[[#This Row],[Name(EN)]],Tab_Def_Flows[Name(EN)],0),16)</f>
        <v>#N/A</v>
      </c>
      <c r="AD171" s="108" t="str">
        <f>IF(J171="Yes",AA171*Tab_Data_Flows[[#This Row],[WC_'[%']]],"N.A.")</f>
        <v>N.A.</v>
      </c>
      <c r="AE171" s="61">
        <f>Tab_Data_Flows[[#This Row],[UoM_Flow_Py]]</f>
        <v>0</v>
      </c>
      <c r="AF171" s="107" t="e">
        <f>INDEX(Tab_Def_Flows[[Flow_ID]:[CC_DM_source]],MATCH(Tab_Data_Flows[[#This Row],[Name(EN)]],Tab_Def_Flows[Name(EN)],0),18)</f>
        <v>#N/A</v>
      </c>
      <c r="AG171" s="108" t="str">
        <f>IF(K171="Yes",AF171*Tab_Data_Flows[[#This Row],[Flow_Py]]-AJ287,"N.A.")</f>
        <v>N.A.</v>
      </c>
      <c r="AH171" s="61">
        <f>Tab_Data_Flows[[#This Row],[UoM_Flow_Py]]</f>
        <v>0</v>
      </c>
      <c r="AI171" s="107" t="e">
        <f>INDEX(Tab_Def_Flows[[Flow_ID]:[CC_DM_source]],MATCH(Tab_Data_Flows[[#This Row],[Name(EN)]],Tab_Def_Flows[Name(EN)],0),20)</f>
        <v>#N/A</v>
      </c>
      <c r="AJ171" s="108" t="str">
        <f>IF(L171="Yes",AI171*Tab_Data_Flows[[#This Row],[Flow_Py]]*Tab_Data_Flows[[#This Row],[DM_'[%']]],"N.A.")</f>
        <v>N.A.</v>
      </c>
      <c r="AK171" s="61">
        <f>Tab_Data_Flows[[#This Row],[UoM_Flow_Py]]</f>
        <v>0</v>
      </c>
    </row>
    <row r="172" spans="1:37" x14ac:dyDescent="0.25">
      <c r="A172" s="60">
        <f t="shared" si="4"/>
        <v>171</v>
      </c>
      <c r="B172" s="49" t="str">
        <f>_xlfn.XLOOKUP(C172,Tab_Def_Flows[Name(EN)],Tab_Def_Flows[Flow_ID],,0,)</f>
        <v>F_12_12</v>
      </c>
      <c r="C172" s="51"/>
      <c r="D172" s="49">
        <f>_xlfn.XLOOKUP(C172,Tab_Def_Flows[Name(EN)],Tab_Def_Flows[Type_Biomass],,0,)</f>
        <v>0</v>
      </c>
      <c r="E172" s="49">
        <f>_xlfn.XLOOKUP(C172,Tab_Def_Flows[Name(EN)],Tab_Def_Flows[Output_Process],,0,)</f>
        <v>0</v>
      </c>
      <c r="F172" s="49" t="str">
        <f>_xlfn.XLOOKUP(C172,Tab_Def_Flows[Name(EN)],Tab_Def_Flows[Process_ID_O],,0,)</f>
        <v>12__</v>
      </c>
      <c r="G172" s="49">
        <f>_xlfn.XLOOKUP(C172,Tab_Def_Flows[Name(EN)],Tab_Def_Flows[Input_Process],,0,)</f>
        <v>0</v>
      </c>
      <c r="H172" s="61" t="str">
        <f>_xlfn.XLOOKUP(C172,Tab_Def_Flows[Name(EN)],Tab_Def_Flows[Process_ID_I],,0,)</f>
        <v>12__</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c r="AC172" s="107" t="e">
        <f>INDEX(Tab_Def_Flows[[Flow_ID]:[CC_DM_source]],MATCH(Tab_Data_Flows[[#This Row],[Name(EN)]],Tab_Def_Flows[Name(EN)],0),16)</f>
        <v>#N/A</v>
      </c>
      <c r="AD172" s="108" t="str">
        <f>IF(J172="Yes",AA172*Tab_Data_Flows[[#This Row],[WC_'[%']]],"N.A.")</f>
        <v>N.A.</v>
      </c>
      <c r="AE172" s="61">
        <f>Tab_Data_Flows[[#This Row],[UoM_Flow_Py]]</f>
        <v>0</v>
      </c>
      <c r="AF172" s="107" t="e">
        <f>INDEX(Tab_Def_Flows[[Flow_ID]:[CC_DM_source]],MATCH(Tab_Data_Flows[[#This Row],[Name(EN)]],Tab_Def_Flows[Name(EN)],0),18)</f>
        <v>#N/A</v>
      </c>
      <c r="AG172" s="108" t="str">
        <f>IF(K172="Yes",AF172*Tab_Data_Flows[[#This Row],[Flow_Py]]-AJ288,"N.A.")</f>
        <v>N.A.</v>
      </c>
      <c r="AH172" s="61">
        <f>Tab_Data_Flows[[#This Row],[UoM_Flow_Py]]</f>
        <v>0</v>
      </c>
      <c r="AI172" s="107" t="e">
        <f>INDEX(Tab_Def_Flows[[Flow_ID]:[CC_DM_source]],MATCH(Tab_Data_Flows[[#This Row],[Name(EN)]],Tab_Def_Flows[Name(EN)],0),20)</f>
        <v>#N/A</v>
      </c>
      <c r="AJ172" s="108" t="str">
        <f>IF(L172="Yes",AI172*Tab_Data_Flows[[#This Row],[Flow_Py]]*Tab_Data_Flows[[#This Row],[DM_'[%']]],"N.A.")</f>
        <v>N.A.</v>
      </c>
      <c r="AK172" s="61">
        <f>Tab_Data_Flows[[#This Row],[UoM_Flow_Py]]</f>
        <v>0</v>
      </c>
    </row>
    <row r="173" spans="1:37" x14ac:dyDescent="0.25">
      <c r="A173" s="60">
        <f t="shared" si="4"/>
        <v>172</v>
      </c>
      <c r="B173" s="49" t="str">
        <f>_xlfn.XLOOKUP(C173,Tab_Def_Flows[Name(EN)],Tab_Def_Flows[Flow_ID],,0,)</f>
        <v>F_12_12</v>
      </c>
      <c r="C173" s="51"/>
      <c r="D173" s="49">
        <f>_xlfn.XLOOKUP(C173,Tab_Def_Flows[Name(EN)],Tab_Def_Flows[Type_Biomass],,0,)</f>
        <v>0</v>
      </c>
      <c r="E173" s="49">
        <f>_xlfn.XLOOKUP(C173,Tab_Def_Flows[Name(EN)],Tab_Def_Flows[Output_Process],,0,)</f>
        <v>0</v>
      </c>
      <c r="F173" s="49" t="str">
        <f>_xlfn.XLOOKUP(C173,Tab_Def_Flows[Name(EN)],Tab_Def_Flows[Process_ID_O],,0,)</f>
        <v>12__</v>
      </c>
      <c r="G173" s="49">
        <f>_xlfn.XLOOKUP(C173,Tab_Def_Flows[Name(EN)],Tab_Def_Flows[Input_Process],,0,)</f>
        <v>0</v>
      </c>
      <c r="H173" s="61" t="str">
        <f>_xlfn.XLOOKUP(C173,Tab_Def_Flows[Name(EN)],Tab_Def_Flows[Process_ID_I],,0,)</f>
        <v>12__</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c r="AC173" s="107" t="e">
        <f>INDEX(Tab_Def_Flows[[Flow_ID]:[CC_DM_source]],MATCH(Tab_Data_Flows[[#This Row],[Name(EN)]],Tab_Def_Flows[Name(EN)],0),16)</f>
        <v>#N/A</v>
      </c>
      <c r="AD173" s="108" t="str">
        <f>IF(J173="Yes",AA173*Tab_Data_Flows[[#This Row],[WC_'[%']]],"N.A.")</f>
        <v>N.A.</v>
      </c>
      <c r="AE173" s="61">
        <f>Tab_Data_Flows[[#This Row],[UoM_Flow_Py]]</f>
        <v>0</v>
      </c>
      <c r="AF173" s="107" t="e">
        <f>INDEX(Tab_Def_Flows[[Flow_ID]:[CC_DM_source]],MATCH(Tab_Data_Flows[[#This Row],[Name(EN)]],Tab_Def_Flows[Name(EN)],0),18)</f>
        <v>#N/A</v>
      </c>
      <c r="AG173" s="108" t="str">
        <f>IF(K173="Yes",AF173*Tab_Data_Flows[[#This Row],[Flow_Py]]-AJ289,"N.A.")</f>
        <v>N.A.</v>
      </c>
      <c r="AH173" s="61">
        <f>Tab_Data_Flows[[#This Row],[UoM_Flow_Py]]</f>
        <v>0</v>
      </c>
      <c r="AI173" s="107" t="e">
        <f>INDEX(Tab_Def_Flows[[Flow_ID]:[CC_DM_source]],MATCH(Tab_Data_Flows[[#This Row],[Name(EN)]],Tab_Def_Flows[Name(EN)],0),20)</f>
        <v>#N/A</v>
      </c>
      <c r="AJ173" s="108" t="str">
        <f>IF(L173="Yes",AI173*Tab_Data_Flows[[#This Row],[Flow_Py]]*Tab_Data_Flows[[#This Row],[DM_'[%']]],"N.A.")</f>
        <v>N.A.</v>
      </c>
      <c r="AK173" s="61">
        <f>Tab_Data_Flows[[#This Row],[UoM_Flow_Py]]</f>
        <v>0</v>
      </c>
    </row>
    <row r="174" spans="1:37" x14ac:dyDescent="0.25">
      <c r="A174" s="60">
        <f t="shared" si="4"/>
        <v>173</v>
      </c>
      <c r="B174" s="49" t="str">
        <f>_xlfn.XLOOKUP(C174,Tab_Def_Flows[Name(EN)],Tab_Def_Flows[Flow_ID],,0,)</f>
        <v>F_12_12</v>
      </c>
      <c r="C174" s="51"/>
      <c r="D174" s="49">
        <f>_xlfn.XLOOKUP(C174,Tab_Def_Flows[Name(EN)],Tab_Def_Flows[Type_Biomass],,0,)</f>
        <v>0</v>
      </c>
      <c r="E174" s="49">
        <f>_xlfn.XLOOKUP(C174,Tab_Def_Flows[Name(EN)],Tab_Def_Flows[Output_Process],,0,)</f>
        <v>0</v>
      </c>
      <c r="F174" s="49" t="str">
        <f>_xlfn.XLOOKUP(C174,Tab_Def_Flows[Name(EN)],Tab_Def_Flows[Process_ID_O],,0,)</f>
        <v>12__</v>
      </c>
      <c r="G174" s="49">
        <f>_xlfn.XLOOKUP(C174,Tab_Def_Flows[Name(EN)],Tab_Def_Flows[Input_Process],,0,)</f>
        <v>0</v>
      </c>
      <c r="H174" s="61" t="str">
        <f>_xlfn.XLOOKUP(C174,Tab_Def_Flows[Name(EN)],Tab_Def_Flows[Process_ID_I],,0,)</f>
        <v>12__</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c r="AC174" s="107" t="e">
        <f>INDEX(Tab_Def_Flows[[Flow_ID]:[CC_DM_source]],MATCH(Tab_Data_Flows[[#This Row],[Name(EN)]],Tab_Def_Flows[Name(EN)],0),16)</f>
        <v>#N/A</v>
      </c>
      <c r="AD174" s="108" t="str">
        <f>IF(J174="Yes",AA174*Tab_Data_Flows[[#This Row],[WC_'[%']]],"N.A.")</f>
        <v>N.A.</v>
      </c>
      <c r="AE174" s="61">
        <f>Tab_Data_Flows[[#This Row],[UoM_Flow_Py]]</f>
        <v>0</v>
      </c>
      <c r="AF174" s="107" t="e">
        <f>INDEX(Tab_Def_Flows[[Flow_ID]:[CC_DM_source]],MATCH(Tab_Data_Flows[[#This Row],[Name(EN)]],Tab_Def_Flows[Name(EN)],0),18)</f>
        <v>#N/A</v>
      </c>
      <c r="AG174" s="108" t="str">
        <f>IF(K174="Yes",AF174*Tab_Data_Flows[[#This Row],[Flow_Py]]-AJ290,"N.A.")</f>
        <v>N.A.</v>
      </c>
      <c r="AH174" s="61">
        <f>Tab_Data_Flows[[#This Row],[UoM_Flow_Py]]</f>
        <v>0</v>
      </c>
      <c r="AI174" s="107" t="e">
        <f>INDEX(Tab_Def_Flows[[Flow_ID]:[CC_DM_source]],MATCH(Tab_Data_Flows[[#This Row],[Name(EN)]],Tab_Def_Flows[Name(EN)],0),20)</f>
        <v>#N/A</v>
      </c>
      <c r="AJ174" s="108" t="str">
        <f>IF(L174="Yes",AI174*Tab_Data_Flows[[#This Row],[Flow_Py]]*Tab_Data_Flows[[#This Row],[DM_'[%']]],"N.A.")</f>
        <v>N.A.</v>
      </c>
      <c r="AK174" s="61">
        <f>Tab_Data_Flows[[#This Row],[UoM_Flow_Py]]</f>
        <v>0</v>
      </c>
    </row>
    <row r="175" spans="1:37" x14ac:dyDescent="0.25">
      <c r="A175" s="60">
        <f t="shared" si="4"/>
        <v>174</v>
      </c>
      <c r="B175" s="49" t="str">
        <f>_xlfn.XLOOKUP(C175,Tab_Def_Flows[Name(EN)],Tab_Def_Flows[Flow_ID],,0,)</f>
        <v>F_12_12</v>
      </c>
      <c r="C175" s="51"/>
      <c r="D175" s="49">
        <f>_xlfn.XLOOKUP(C175,Tab_Def_Flows[Name(EN)],Tab_Def_Flows[Type_Biomass],,0,)</f>
        <v>0</v>
      </c>
      <c r="E175" s="49">
        <f>_xlfn.XLOOKUP(C175,Tab_Def_Flows[Name(EN)],Tab_Def_Flows[Output_Process],,0,)</f>
        <v>0</v>
      </c>
      <c r="F175" s="49" t="str">
        <f>_xlfn.XLOOKUP(C175,Tab_Def_Flows[Name(EN)],Tab_Def_Flows[Process_ID_O],,0,)</f>
        <v>12__</v>
      </c>
      <c r="G175" s="49">
        <f>_xlfn.XLOOKUP(C175,Tab_Def_Flows[Name(EN)],Tab_Def_Flows[Input_Process],,0,)</f>
        <v>0</v>
      </c>
      <c r="H175" s="61" t="str">
        <f>_xlfn.XLOOKUP(C175,Tab_Def_Flows[Name(EN)],Tab_Def_Flows[Process_ID_I],,0,)</f>
        <v>12__</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c r="AC175" s="107" t="e">
        <f>INDEX(Tab_Def_Flows[[Flow_ID]:[CC_DM_source]],MATCH(Tab_Data_Flows[[#This Row],[Name(EN)]],Tab_Def_Flows[Name(EN)],0),16)</f>
        <v>#N/A</v>
      </c>
      <c r="AD175" s="108" t="str">
        <f>IF(J175="Yes",AA175*Tab_Data_Flows[[#This Row],[WC_'[%']]],"N.A.")</f>
        <v>N.A.</v>
      </c>
      <c r="AE175" s="61">
        <f>Tab_Data_Flows[[#This Row],[UoM_Flow_Py]]</f>
        <v>0</v>
      </c>
      <c r="AF175" s="107" t="e">
        <f>INDEX(Tab_Def_Flows[[Flow_ID]:[CC_DM_source]],MATCH(Tab_Data_Flows[[#This Row],[Name(EN)]],Tab_Def_Flows[Name(EN)],0),18)</f>
        <v>#N/A</v>
      </c>
      <c r="AG175" s="108" t="str">
        <f>IF(K175="Yes",AF175*Tab_Data_Flows[[#This Row],[Flow_Py]]-AJ291,"N.A.")</f>
        <v>N.A.</v>
      </c>
      <c r="AH175" s="61">
        <f>Tab_Data_Flows[[#This Row],[UoM_Flow_Py]]</f>
        <v>0</v>
      </c>
      <c r="AI175" s="107" t="e">
        <f>INDEX(Tab_Def_Flows[[Flow_ID]:[CC_DM_source]],MATCH(Tab_Data_Flows[[#This Row],[Name(EN)]],Tab_Def_Flows[Name(EN)],0),20)</f>
        <v>#N/A</v>
      </c>
      <c r="AJ175" s="108" t="str">
        <f>IF(L175="Yes",AI175*Tab_Data_Flows[[#This Row],[Flow_Py]]*Tab_Data_Flows[[#This Row],[DM_'[%']]],"N.A.")</f>
        <v>N.A.</v>
      </c>
      <c r="AK175" s="61">
        <f>Tab_Data_Flows[[#This Row],[UoM_Flow_Py]]</f>
        <v>0</v>
      </c>
    </row>
    <row r="176" spans="1:37" x14ac:dyDescent="0.25">
      <c r="A176" s="60">
        <f t="shared" si="4"/>
        <v>175</v>
      </c>
      <c r="B176" s="49" t="str">
        <f>_xlfn.XLOOKUP(C176,Tab_Def_Flows[Name(EN)],Tab_Def_Flows[Flow_ID],,0,)</f>
        <v>F_12_12</v>
      </c>
      <c r="C176" s="51"/>
      <c r="D176" s="49">
        <f>_xlfn.XLOOKUP(C176,Tab_Def_Flows[Name(EN)],Tab_Def_Flows[Type_Biomass],,0,)</f>
        <v>0</v>
      </c>
      <c r="E176" s="49">
        <f>_xlfn.XLOOKUP(C176,Tab_Def_Flows[Name(EN)],Tab_Def_Flows[Output_Process],,0,)</f>
        <v>0</v>
      </c>
      <c r="F176" s="49" t="str">
        <f>_xlfn.XLOOKUP(C176,Tab_Def_Flows[Name(EN)],Tab_Def_Flows[Process_ID_O],,0,)</f>
        <v>12__</v>
      </c>
      <c r="G176" s="49">
        <f>_xlfn.XLOOKUP(C176,Tab_Def_Flows[Name(EN)],Tab_Def_Flows[Input_Process],,0,)</f>
        <v>0</v>
      </c>
      <c r="H176" s="61" t="str">
        <f>_xlfn.XLOOKUP(C176,Tab_Def_Flows[Name(EN)],Tab_Def_Flows[Process_ID_I],,0,)</f>
        <v>12__</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349</v>
      </c>
      <c r="O176" s="114"/>
      <c r="P176" s="51"/>
      <c r="Q176" s="51"/>
      <c r="R176" s="51"/>
      <c r="S176" s="51"/>
      <c r="T176" s="51"/>
      <c r="U176" s="51"/>
      <c r="V176" s="51"/>
      <c r="W176" s="51"/>
      <c r="X176" s="51" t="s">
        <v>70</v>
      </c>
      <c r="Y176" s="104"/>
      <c r="Z176" s="51"/>
      <c r="AA176" s="85">
        <f t="shared" si="5"/>
        <v>0</v>
      </c>
      <c r="AB176" s="51"/>
      <c r="AC176" s="107" t="e">
        <f>INDEX(Tab_Def_Flows[[Flow_ID]:[CC_DM_source]],MATCH(Tab_Data_Flows[[#This Row],[Name(EN)]],Tab_Def_Flows[Name(EN)],0),16)</f>
        <v>#N/A</v>
      </c>
      <c r="AD176" s="108" t="str">
        <f>IF(J176="Yes",AA176*Tab_Data_Flows[[#This Row],[WC_'[%']]],"N.A.")</f>
        <v>N.A.</v>
      </c>
      <c r="AE176" s="61">
        <f>Tab_Data_Flows[[#This Row],[UoM_Flow_Py]]</f>
        <v>0</v>
      </c>
      <c r="AF176" s="107" t="e">
        <f>INDEX(Tab_Def_Flows[[Flow_ID]:[CC_DM_source]],MATCH(Tab_Data_Flows[[#This Row],[Name(EN)]],Tab_Def_Flows[Name(EN)],0),18)</f>
        <v>#N/A</v>
      </c>
      <c r="AG176" s="108" t="str">
        <f>IF(K176="Yes",AF176*Tab_Data_Flows[[#This Row],[Flow_Py]],"N.A.")</f>
        <v>N.A.</v>
      </c>
      <c r="AH176" s="61">
        <f>Tab_Data_Flows[[#This Row],[UoM_Flow_Py]]</f>
        <v>0</v>
      </c>
      <c r="AI176" s="107" t="e">
        <f>INDEX(Tab_Def_Flows[[Flow_ID]:[CC_DM_source]],MATCH(Tab_Data_Flows[[#This Row],[Name(EN)]],Tab_Def_Flows[Name(EN)],0),20)</f>
        <v>#N/A</v>
      </c>
      <c r="AJ176" s="108" t="str">
        <f>IF(L176="Yes",AI176*Tab_Data_Flows[[#This Row],[Flow_Py]]*Tab_Data_Flows[[#This Row],[DM_'[%']]],"N.A.")</f>
        <v>N.A.</v>
      </c>
      <c r="AK176" s="61">
        <f>Tab_Data_Flows[[#This Row],[UoM_Flow_Py]]</f>
        <v>0</v>
      </c>
    </row>
    <row r="177" spans="1:37" x14ac:dyDescent="0.25">
      <c r="A177" s="60">
        <f t="shared" si="4"/>
        <v>176</v>
      </c>
      <c r="B177" s="49" t="str">
        <f>_xlfn.XLOOKUP(C177,Tab_Def_Flows[Name(EN)],Tab_Def_Flows[Flow_ID],,0,)</f>
        <v>F_12_12</v>
      </c>
      <c r="C177" s="51"/>
      <c r="D177" s="49">
        <f>_xlfn.XLOOKUP(C177,Tab_Def_Flows[Name(EN)],Tab_Def_Flows[Type_Biomass],,0,)</f>
        <v>0</v>
      </c>
      <c r="E177" s="49">
        <f>_xlfn.XLOOKUP(C177,Tab_Def_Flows[Name(EN)],Tab_Def_Flows[Output_Process],,0,)</f>
        <v>0</v>
      </c>
      <c r="F177" s="49" t="str">
        <f>_xlfn.XLOOKUP(C177,Tab_Def_Flows[Name(EN)],Tab_Def_Flows[Process_ID_O],,0,)</f>
        <v>12__</v>
      </c>
      <c r="G177" s="49">
        <f>_xlfn.XLOOKUP(C177,Tab_Def_Flows[Name(EN)],Tab_Def_Flows[Input_Process],,0,)</f>
        <v>0</v>
      </c>
      <c r="H177" s="61" t="str">
        <f>_xlfn.XLOOKUP(C177,Tab_Def_Flows[Name(EN)],Tab_Def_Flows[Process_ID_I],,0,)</f>
        <v>12__</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349</v>
      </c>
      <c r="O177" s="114"/>
      <c r="P177" s="51"/>
      <c r="Q177" s="51"/>
      <c r="R177" s="51"/>
      <c r="S177" s="51"/>
      <c r="T177" s="51"/>
      <c r="U177" s="51"/>
      <c r="V177" s="51"/>
      <c r="W177" s="51"/>
      <c r="X177" s="51" t="s">
        <v>70</v>
      </c>
      <c r="Y177" s="104"/>
      <c r="Z177" s="51"/>
      <c r="AA177" s="85">
        <f t="shared" si="5"/>
        <v>0</v>
      </c>
      <c r="AB177" s="51"/>
      <c r="AC177" s="107" t="e">
        <f>INDEX(Tab_Def_Flows[[Flow_ID]:[CC_DM_source]],MATCH(Tab_Data_Flows[[#This Row],[Name(EN)]],Tab_Def_Flows[Name(EN)],0),16)</f>
        <v>#N/A</v>
      </c>
      <c r="AD177" s="108" t="str">
        <f>IF(J177="Yes",AA177*Tab_Data_Flows[[#This Row],[WC_'[%']]],"N.A.")</f>
        <v>N.A.</v>
      </c>
      <c r="AE177" s="61">
        <f>Tab_Data_Flows[[#This Row],[UoM_Flow_Py]]</f>
        <v>0</v>
      </c>
      <c r="AF177" s="107" t="e">
        <f>INDEX(Tab_Def_Flows[[Flow_ID]:[CC_DM_source]],MATCH(Tab_Data_Flows[[#This Row],[Name(EN)]],Tab_Def_Flows[Name(EN)],0),18)</f>
        <v>#N/A</v>
      </c>
      <c r="AG177" s="108" t="str">
        <f>IF(K177="Yes",AF177*Tab_Data_Flows[[#This Row],[Flow_Py]]-AJ293,"N.A.")</f>
        <v>N.A.</v>
      </c>
      <c r="AH177" s="61">
        <f>Tab_Data_Flows[[#This Row],[UoM_Flow_Py]]</f>
        <v>0</v>
      </c>
      <c r="AI177" s="107" t="e">
        <f>INDEX(Tab_Def_Flows[[Flow_ID]:[CC_DM_source]],MATCH(Tab_Data_Flows[[#This Row],[Name(EN)]],Tab_Def_Flows[Name(EN)],0),20)</f>
        <v>#N/A</v>
      </c>
      <c r="AJ177" s="108" t="str">
        <f>IF(L177="Yes",AI177*Tab_Data_Flows[[#This Row],[Flow_Py]]*Tab_Data_Flows[[#This Row],[DM_'[%']]],"N.A.")</f>
        <v>N.A.</v>
      </c>
      <c r="AK177" s="61">
        <f>Tab_Data_Flows[[#This Row],[UoM_Flow_Py]]</f>
        <v>0</v>
      </c>
    </row>
    <row r="178" spans="1:37" x14ac:dyDescent="0.25">
      <c r="A178" s="60">
        <f t="shared" si="4"/>
        <v>177</v>
      </c>
      <c r="B178" s="49" t="str">
        <f>_xlfn.XLOOKUP(C178,Tab_Def_Flows[Name(EN)],Tab_Def_Flows[Flow_ID],,0,)</f>
        <v>F_12_12</v>
      </c>
      <c r="C178" s="51"/>
      <c r="D178" s="49">
        <f>_xlfn.XLOOKUP(C178,Tab_Def_Flows[Name(EN)],Tab_Def_Flows[Type_Biomass],,0,)</f>
        <v>0</v>
      </c>
      <c r="E178" s="49">
        <f>_xlfn.XLOOKUP(C178,Tab_Def_Flows[Name(EN)],Tab_Def_Flows[Output_Process],,0,)</f>
        <v>0</v>
      </c>
      <c r="F178" s="49" t="str">
        <f>_xlfn.XLOOKUP(C178,Tab_Def_Flows[Name(EN)],Tab_Def_Flows[Process_ID_O],,0,)</f>
        <v>12__</v>
      </c>
      <c r="G178" s="49">
        <f>_xlfn.XLOOKUP(C178,Tab_Def_Flows[Name(EN)],Tab_Def_Flows[Input_Process],,0,)</f>
        <v>0</v>
      </c>
      <c r="H178" s="61" t="str">
        <f>_xlfn.XLOOKUP(C178,Tab_Def_Flows[Name(EN)],Tab_Def_Flows[Process_ID_I],,0,)</f>
        <v>12__</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349</v>
      </c>
      <c r="O178" s="114"/>
      <c r="P178" s="51"/>
      <c r="Q178" s="51"/>
      <c r="R178" s="51"/>
      <c r="S178" s="51"/>
      <c r="T178" s="51"/>
      <c r="U178" s="51"/>
      <c r="V178" s="51"/>
      <c r="W178" s="51"/>
      <c r="X178" s="51" t="s">
        <v>70</v>
      </c>
      <c r="Y178" s="104"/>
      <c r="Z178" s="51"/>
      <c r="AA178" s="85">
        <f t="shared" si="5"/>
        <v>0</v>
      </c>
      <c r="AB178" s="51"/>
      <c r="AC178" s="107" t="e">
        <f>INDEX(Tab_Def_Flows[[Flow_ID]:[CC_DM_source]],MATCH(Tab_Data_Flows[[#This Row],[Name(EN)]],Tab_Def_Flows[Name(EN)],0),16)</f>
        <v>#N/A</v>
      </c>
      <c r="AD178" s="108" t="str">
        <f>IF(J178="Yes",AA178*Tab_Data_Flows[[#This Row],[WC_'[%']]],"N.A.")</f>
        <v>N.A.</v>
      </c>
      <c r="AE178" s="61">
        <f>Tab_Data_Flows[[#This Row],[UoM_Flow_Py]]</f>
        <v>0</v>
      </c>
      <c r="AF178" s="107" t="e">
        <f>INDEX(Tab_Def_Flows[[Flow_ID]:[CC_DM_source]],MATCH(Tab_Data_Flows[[#This Row],[Name(EN)]],Tab_Def_Flows[Name(EN)],0),18)</f>
        <v>#N/A</v>
      </c>
      <c r="AG178" s="108" t="str">
        <f>IF(K178="Yes",AF178*Tab_Data_Flows[[#This Row],[Flow_Py]]-AJ294,"N.A.")</f>
        <v>N.A.</v>
      </c>
      <c r="AH178" s="61">
        <f>Tab_Data_Flows[[#This Row],[UoM_Flow_Py]]</f>
        <v>0</v>
      </c>
      <c r="AI178" s="107" t="e">
        <f>INDEX(Tab_Def_Flows[[Flow_ID]:[CC_DM_source]],MATCH(Tab_Data_Flows[[#This Row],[Name(EN)]],Tab_Def_Flows[Name(EN)],0),20)</f>
        <v>#N/A</v>
      </c>
      <c r="AJ178" s="108" t="str">
        <f>IF(L178="Yes",AI178*Tab_Data_Flows[[#This Row],[Flow_Py]]*Tab_Data_Flows[[#This Row],[DM_'[%']]],"N.A.")</f>
        <v>N.A.</v>
      </c>
      <c r="AK178" s="61">
        <f>Tab_Data_Flows[[#This Row],[UoM_Flow_Py]]</f>
        <v>0</v>
      </c>
    </row>
    <row r="179" spans="1:37" x14ac:dyDescent="0.25">
      <c r="A179" s="60">
        <f t="shared" si="4"/>
        <v>178</v>
      </c>
      <c r="B179" s="49" t="str">
        <f>_xlfn.XLOOKUP(C179,Tab_Def_Flows[Name(EN)],Tab_Def_Flows[Flow_ID],,0,)</f>
        <v>F_12_12</v>
      </c>
      <c r="C179" s="51"/>
      <c r="D179" s="49">
        <f>_xlfn.XLOOKUP(C179,Tab_Def_Flows[Name(EN)],Tab_Def_Flows[Type_Biomass],,0,)</f>
        <v>0</v>
      </c>
      <c r="E179" s="49">
        <f>_xlfn.XLOOKUP(C179,Tab_Def_Flows[Name(EN)],Tab_Def_Flows[Output_Process],,0,)</f>
        <v>0</v>
      </c>
      <c r="F179" s="49" t="str">
        <f>_xlfn.XLOOKUP(C179,Tab_Def_Flows[Name(EN)],Tab_Def_Flows[Process_ID_O],,0,)</f>
        <v>12__</v>
      </c>
      <c r="G179" s="49">
        <f>_xlfn.XLOOKUP(C179,Tab_Def_Flows[Name(EN)],Tab_Def_Flows[Input_Process],,0,)</f>
        <v>0</v>
      </c>
      <c r="H179" s="61" t="str">
        <f>_xlfn.XLOOKUP(C179,Tab_Def_Flows[Name(EN)],Tab_Def_Flows[Process_ID_I],,0,)</f>
        <v>12__</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349</v>
      </c>
      <c r="O179" s="114"/>
      <c r="P179" s="51"/>
      <c r="Q179" s="51"/>
      <c r="R179" s="51"/>
      <c r="S179" s="51"/>
      <c r="T179" s="51"/>
      <c r="U179" s="51"/>
      <c r="V179" s="51"/>
      <c r="W179" s="51"/>
      <c r="X179" s="51" t="s">
        <v>70</v>
      </c>
      <c r="Y179" s="104"/>
      <c r="Z179" s="51"/>
      <c r="AA179" s="85">
        <f t="shared" si="5"/>
        <v>0</v>
      </c>
      <c r="AB179" s="51"/>
      <c r="AC179" s="107" t="e">
        <f>INDEX(Tab_Def_Flows[[Flow_ID]:[CC_DM_source]],MATCH(Tab_Data_Flows[[#This Row],[Name(EN)]],Tab_Def_Flows[Name(EN)],0),16)</f>
        <v>#N/A</v>
      </c>
      <c r="AD179" s="108" t="str">
        <f>IF(J179="Yes",AA179*Tab_Data_Flows[[#This Row],[WC_'[%']]],"N.A.")</f>
        <v>N.A.</v>
      </c>
      <c r="AE179" s="61">
        <f>Tab_Data_Flows[[#This Row],[UoM_Flow_Py]]</f>
        <v>0</v>
      </c>
      <c r="AF179" s="107" t="e">
        <f>INDEX(Tab_Def_Flows[[Flow_ID]:[CC_DM_source]],MATCH(Tab_Data_Flows[[#This Row],[Name(EN)]],Tab_Def_Flows[Name(EN)],0),18)</f>
        <v>#N/A</v>
      </c>
      <c r="AG179" s="108" t="str">
        <f>IF(K179="Yes",AF179*Tab_Data_Flows[[#This Row],[Flow_Py]]-AJ295,"N.A.")</f>
        <v>N.A.</v>
      </c>
      <c r="AH179" s="61">
        <f>Tab_Data_Flows[[#This Row],[UoM_Flow_Py]]</f>
        <v>0</v>
      </c>
      <c r="AI179" s="107" t="e">
        <f>INDEX(Tab_Def_Flows[[Flow_ID]:[CC_DM_source]],MATCH(Tab_Data_Flows[[#This Row],[Name(EN)]],Tab_Def_Flows[Name(EN)],0),20)</f>
        <v>#N/A</v>
      </c>
      <c r="AJ179" s="108" t="str">
        <f>IF(L179="Yes",AI179*Tab_Data_Flows[[#This Row],[Flow_Py]]*Tab_Data_Flows[[#This Row],[DM_'[%']]],"N.A.")</f>
        <v>N.A.</v>
      </c>
      <c r="AK179" s="61">
        <f>Tab_Data_Flows[[#This Row],[UoM_Flow_Py]]</f>
        <v>0</v>
      </c>
    </row>
    <row r="180" spans="1:37" x14ac:dyDescent="0.25">
      <c r="A180" s="60">
        <f t="shared" si="4"/>
        <v>179</v>
      </c>
      <c r="B180" s="49" t="str">
        <f>_xlfn.XLOOKUP(C180,Tab_Def_Flows[Name(EN)],Tab_Def_Flows[Flow_ID],,0,)</f>
        <v>F_12_12</v>
      </c>
      <c r="C180" s="51"/>
      <c r="D180" s="49">
        <f>_xlfn.XLOOKUP(C180,Tab_Def_Flows[Name(EN)],Tab_Def_Flows[Type_Biomass],,0,)</f>
        <v>0</v>
      </c>
      <c r="E180" s="49">
        <f>_xlfn.XLOOKUP(C180,Tab_Def_Flows[Name(EN)],Tab_Def_Flows[Output_Process],,0,)</f>
        <v>0</v>
      </c>
      <c r="F180" s="49" t="str">
        <f>_xlfn.XLOOKUP(C180,Tab_Def_Flows[Name(EN)],Tab_Def_Flows[Process_ID_O],,0,)</f>
        <v>12__</v>
      </c>
      <c r="G180" s="49">
        <f>_xlfn.XLOOKUP(C180,Tab_Def_Flows[Name(EN)],Tab_Def_Flows[Input_Process],,0,)</f>
        <v>0</v>
      </c>
      <c r="H180" s="61" t="str">
        <f>_xlfn.XLOOKUP(C180,Tab_Def_Flows[Name(EN)],Tab_Def_Flows[Process_ID_I],,0,)</f>
        <v>12__</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349</v>
      </c>
      <c r="O180" s="114"/>
      <c r="P180" s="51"/>
      <c r="Q180" s="51"/>
      <c r="R180" s="51"/>
      <c r="S180" s="51"/>
      <c r="T180" s="51"/>
      <c r="U180" s="51"/>
      <c r="V180" s="51"/>
      <c r="W180" s="51"/>
      <c r="X180" s="51" t="s">
        <v>70</v>
      </c>
      <c r="Y180" s="104"/>
      <c r="Z180" s="51"/>
      <c r="AA180" s="85">
        <f t="shared" si="5"/>
        <v>0</v>
      </c>
      <c r="AB180" s="51"/>
      <c r="AC180" s="107" t="e">
        <f>INDEX(Tab_Def_Flows[[Flow_ID]:[CC_DM_source]],MATCH(Tab_Data_Flows[[#This Row],[Name(EN)]],Tab_Def_Flows[Name(EN)],0),16)</f>
        <v>#N/A</v>
      </c>
      <c r="AD180" s="108" t="str">
        <f>IF(J180="Yes",AA180*Tab_Data_Flows[[#This Row],[WC_'[%']]],"N.A.")</f>
        <v>N.A.</v>
      </c>
      <c r="AE180" s="61">
        <f>Tab_Data_Flows[[#This Row],[UoM_Flow_Py]]</f>
        <v>0</v>
      </c>
      <c r="AF180" s="107" t="e">
        <f>INDEX(Tab_Def_Flows[[Flow_ID]:[CC_DM_source]],MATCH(Tab_Data_Flows[[#This Row],[Name(EN)]],Tab_Def_Flows[Name(EN)],0),18)</f>
        <v>#N/A</v>
      </c>
      <c r="AG180" s="108" t="str">
        <f>IF(K180="Yes",AF180*Tab_Data_Flows[[#This Row],[Flow_Py]]-AJ296,"N.A.")</f>
        <v>N.A.</v>
      </c>
      <c r="AH180" s="61">
        <f>Tab_Data_Flows[[#This Row],[UoM_Flow_Py]]</f>
        <v>0</v>
      </c>
      <c r="AI180" s="107" t="e">
        <f>INDEX(Tab_Def_Flows[[Flow_ID]:[CC_DM_source]],MATCH(Tab_Data_Flows[[#This Row],[Name(EN)]],Tab_Def_Flows[Name(EN)],0),20)</f>
        <v>#N/A</v>
      </c>
      <c r="AJ180" s="108" t="str">
        <f>IF(L180="Yes",AI180*Tab_Data_Flows[[#This Row],[Flow_Py]]*Tab_Data_Flows[[#This Row],[DM_'[%']]],"N.A.")</f>
        <v>N.A.</v>
      </c>
      <c r="AK180" s="61">
        <f>Tab_Data_Flows[[#This Row],[UoM_Flow_Py]]</f>
        <v>0</v>
      </c>
    </row>
    <row r="181" spans="1:37" x14ac:dyDescent="0.25">
      <c r="A181" s="60">
        <f t="shared" si="4"/>
        <v>180</v>
      </c>
      <c r="B181" s="49" t="str">
        <f>_xlfn.XLOOKUP(C181,Tab_Def_Flows[Name(EN)],Tab_Def_Flows[Flow_ID],,0,)</f>
        <v>F_12_12</v>
      </c>
      <c r="C181" s="51"/>
      <c r="D181" s="49">
        <f>_xlfn.XLOOKUP(C181,Tab_Def_Flows[Name(EN)],Tab_Def_Flows[Type_Biomass],,0,)</f>
        <v>0</v>
      </c>
      <c r="E181" s="49">
        <f>_xlfn.XLOOKUP(C181,Tab_Def_Flows[Name(EN)],Tab_Def_Flows[Output_Process],,0,)</f>
        <v>0</v>
      </c>
      <c r="F181" s="49" t="str">
        <f>_xlfn.XLOOKUP(C181,Tab_Def_Flows[Name(EN)],Tab_Def_Flows[Process_ID_O],,0,)</f>
        <v>12__</v>
      </c>
      <c r="G181" s="49">
        <f>_xlfn.XLOOKUP(C181,Tab_Def_Flows[Name(EN)],Tab_Def_Flows[Input_Process],,0,)</f>
        <v>0</v>
      </c>
      <c r="H181" s="61" t="str">
        <f>_xlfn.XLOOKUP(C181,Tab_Def_Flows[Name(EN)],Tab_Def_Flows[Process_ID_I],,0,)</f>
        <v>12__</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349</v>
      </c>
      <c r="O181" s="114"/>
      <c r="P181" s="51"/>
      <c r="Q181" s="51"/>
      <c r="R181" s="51"/>
      <c r="S181" s="51"/>
      <c r="T181" s="51"/>
      <c r="U181" s="51"/>
      <c r="V181" s="51"/>
      <c r="W181" s="51"/>
      <c r="X181" s="51" t="s">
        <v>70</v>
      </c>
      <c r="Y181" s="104"/>
      <c r="Z181" s="51"/>
      <c r="AA181" s="85">
        <f t="shared" si="5"/>
        <v>0</v>
      </c>
      <c r="AB181" s="51"/>
      <c r="AC181" s="107" t="e">
        <f>INDEX(Tab_Def_Flows[[Flow_ID]:[CC_DM_source]],MATCH(Tab_Data_Flows[[#This Row],[Name(EN)]],Tab_Def_Flows[Name(EN)],0),16)</f>
        <v>#N/A</v>
      </c>
      <c r="AD181" s="108" t="str">
        <f>IF(J181="Yes",AA181*Tab_Data_Flows[[#This Row],[WC_'[%']]],"N.A.")</f>
        <v>N.A.</v>
      </c>
      <c r="AE181" s="61">
        <f>Tab_Data_Flows[[#This Row],[UoM_Flow_Py]]</f>
        <v>0</v>
      </c>
      <c r="AF181" s="107" t="e">
        <f>INDEX(Tab_Def_Flows[[Flow_ID]:[CC_DM_source]],MATCH(Tab_Data_Flows[[#This Row],[Name(EN)]],Tab_Def_Flows[Name(EN)],0),18)</f>
        <v>#N/A</v>
      </c>
      <c r="AG181" s="108" t="str">
        <f>IF(K181="Yes",AF181*Tab_Data_Flows[[#This Row],[Flow_Py]]-AJ297,"N.A.")</f>
        <v>N.A.</v>
      </c>
      <c r="AH181" s="61">
        <f>Tab_Data_Flows[[#This Row],[UoM_Flow_Py]]</f>
        <v>0</v>
      </c>
      <c r="AI181" s="107" t="e">
        <f>INDEX(Tab_Def_Flows[[Flow_ID]:[CC_DM_source]],MATCH(Tab_Data_Flows[[#This Row],[Name(EN)]],Tab_Def_Flows[Name(EN)],0),20)</f>
        <v>#N/A</v>
      </c>
      <c r="AJ181" s="108" t="str">
        <f>IF(L181="Yes",AI181*Tab_Data_Flows[[#This Row],[Flow_Py]]*Tab_Data_Flows[[#This Row],[DM_'[%']]],"N.A.")</f>
        <v>N.A.</v>
      </c>
      <c r="AK181" s="61">
        <f>Tab_Data_Flows[[#This Row],[UoM_Flow_Py]]</f>
        <v>0</v>
      </c>
    </row>
    <row r="182" spans="1:37" x14ac:dyDescent="0.25">
      <c r="A182" s="60">
        <f t="shared" si="4"/>
        <v>181</v>
      </c>
      <c r="B182" s="49" t="str">
        <f>_xlfn.XLOOKUP(C182,Tab_Def_Flows[Name(EN)],Tab_Def_Flows[Flow_ID],,0,)</f>
        <v>F_12_12</v>
      </c>
      <c r="C182" s="51"/>
      <c r="D182" s="49">
        <f>_xlfn.XLOOKUP(C182,Tab_Def_Flows[Name(EN)],Tab_Def_Flows[Type_Biomass],,0,)</f>
        <v>0</v>
      </c>
      <c r="E182" s="49">
        <f>_xlfn.XLOOKUP(C182,Tab_Def_Flows[Name(EN)],Tab_Def_Flows[Output_Process],,0,)</f>
        <v>0</v>
      </c>
      <c r="F182" s="49" t="str">
        <f>_xlfn.XLOOKUP(C182,Tab_Def_Flows[Name(EN)],Tab_Def_Flows[Process_ID_O],,0,)</f>
        <v>12__</v>
      </c>
      <c r="G182" s="49">
        <f>_xlfn.XLOOKUP(C182,Tab_Def_Flows[Name(EN)],Tab_Def_Flows[Input_Process],,0,)</f>
        <v>0</v>
      </c>
      <c r="H182" s="61" t="str">
        <f>_xlfn.XLOOKUP(C182,Tab_Def_Flows[Name(EN)],Tab_Def_Flows[Process_ID_I],,0,)</f>
        <v>12__</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349</v>
      </c>
      <c r="O182" s="114"/>
      <c r="P182" s="51"/>
      <c r="Q182" s="51" t="s">
        <v>376</v>
      </c>
      <c r="R182" s="51" t="s">
        <v>376</v>
      </c>
      <c r="S182" s="51" t="s">
        <v>376</v>
      </c>
      <c r="T182" s="51" t="s">
        <v>376</v>
      </c>
      <c r="U182" s="51" t="s">
        <v>376</v>
      </c>
      <c r="V182" s="51" t="s">
        <v>376</v>
      </c>
      <c r="W182" s="51" t="s">
        <v>376</v>
      </c>
      <c r="X182" s="51" t="s">
        <v>70</v>
      </c>
      <c r="Y182" s="104"/>
      <c r="Z182" s="51"/>
      <c r="AA182" s="85">
        <f t="shared" si="5"/>
        <v>0</v>
      </c>
      <c r="AB182" s="51"/>
      <c r="AC182" s="107" t="e">
        <f>INDEX(Tab_Def_Flows[[Flow_ID]:[CC_DM_source]],MATCH(Tab_Data_Flows[[#This Row],[Name(EN)]],Tab_Def_Flows[Name(EN)],0),16)</f>
        <v>#N/A</v>
      </c>
      <c r="AD182" s="108" t="str">
        <f>IF(J182="Yes",AA182*Tab_Data_Flows[[#This Row],[WC_'[%']]],"N.A.")</f>
        <v>N.A.</v>
      </c>
      <c r="AE182" s="61">
        <f>Tab_Data_Flows[[#This Row],[UoM_Flow_Py]]</f>
        <v>0</v>
      </c>
      <c r="AF182" s="107" t="e">
        <f>INDEX(Tab_Def_Flows[[Flow_ID]:[CC_DM_source]],MATCH(Tab_Data_Flows[[#This Row],[Name(EN)]],Tab_Def_Flows[Name(EN)],0),18)</f>
        <v>#N/A</v>
      </c>
      <c r="AG182" s="108" t="str">
        <f>IF(K182="Yes",AF182*Tab_Data_Flows[[#This Row],[Flow_Py]]-AJ298,"N.A.")</f>
        <v>N.A.</v>
      </c>
      <c r="AH182" s="61">
        <f>Tab_Data_Flows[[#This Row],[UoM_Flow_Py]]</f>
        <v>0</v>
      </c>
      <c r="AI182" s="107" t="e">
        <f>INDEX(Tab_Def_Flows[[Flow_ID]:[CC_DM_source]],MATCH(Tab_Data_Flows[[#This Row],[Name(EN)]],Tab_Def_Flows[Name(EN)],0),20)</f>
        <v>#N/A</v>
      </c>
      <c r="AJ182" s="108" t="str">
        <f>IF(L182="Yes",AI182*Tab_Data_Flows[[#This Row],[Flow_Py]]*Tab_Data_Flows[[#This Row],[DM_'[%']]],"N.A.")</f>
        <v>N.A.</v>
      </c>
      <c r="AK182" s="61">
        <f>Tab_Data_Flows[[#This Row],[UoM_Flow_Py]]</f>
        <v>0</v>
      </c>
    </row>
    <row r="183" spans="1:37" x14ac:dyDescent="0.25">
      <c r="A183" s="60">
        <f t="shared" si="4"/>
        <v>182</v>
      </c>
      <c r="B183" s="49" t="str">
        <f>_xlfn.XLOOKUP(C183,Tab_Def_Flows[Name(EN)],Tab_Def_Flows[Flow_ID],,0,)</f>
        <v>F_12_12</v>
      </c>
      <c r="C183" s="51"/>
      <c r="D183" s="49"/>
      <c r="E183" s="49">
        <f>_xlfn.XLOOKUP(C183,Tab_Def_Flows[Name(EN)],Tab_Def_Flows[Output_Process],,0,)</f>
        <v>0</v>
      </c>
      <c r="F183" s="49" t="str">
        <f>_xlfn.XLOOKUP(C183,Tab_Def_Flows[Name(EN)],Tab_Def_Flows[Process_ID_O],,0,)</f>
        <v>12__</v>
      </c>
      <c r="G183" s="49">
        <f>_xlfn.XLOOKUP(C183,Tab_Def_Flows[Name(EN)],Tab_Def_Flows[Input_Process],,0,)</f>
        <v>0</v>
      </c>
      <c r="H183" s="61" t="str">
        <f>_xlfn.XLOOKUP(C183,Tab_Def_Flows[Name(EN)],Tab_Def_Flows[Process_ID_I],,0,)</f>
        <v>12__</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c r="AC183" s="107" t="e">
        <f>INDEX(Tab_Def_Flows[[Flow_ID]:[CC_DM_source]],MATCH(Tab_Data_Flows[[#This Row],[Name(EN)]],Tab_Def_Flows[Name(EN)],0),16)</f>
        <v>#N/A</v>
      </c>
      <c r="AD183" s="108" t="str">
        <f>IF(J183="Yes",AA183*Tab_Data_Flows[[#This Row],[WC_'[%']]],"N.A.")</f>
        <v>N.A.</v>
      </c>
      <c r="AE183" s="61">
        <f>Tab_Data_Flows[[#This Row],[UoM_Flow_Py]]</f>
        <v>0</v>
      </c>
      <c r="AF183" s="107" t="e">
        <f>INDEX(Tab_Def_Flows[[Flow_ID]:[CC_DM_source]],MATCH(Tab_Data_Flows[[#This Row],[Name(EN)]],Tab_Def_Flows[Name(EN)],0),18)</f>
        <v>#N/A</v>
      </c>
      <c r="AG183" s="108" t="str">
        <f>IF(K183="Yes",AF183*Tab_Data_Flows[[#This Row],[Flow_Py]]-AJ299,"N.A.")</f>
        <v>N.A.</v>
      </c>
      <c r="AH183" s="61">
        <f>Tab_Data_Flows[[#This Row],[UoM_Flow_Py]]</f>
        <v>0</v>
      </c>
      <c r="AI183" s="107" t="e">
        <f>INDEX(Tab_Def_Flows[[Flow_ID]:[CC_DM_source]],MATCH(Tab_Data_Flows[[#This Row],[Name(EN)]],Tab_Def_Flows[Name(EN)],0),20)</f>
        <v>#N/A</v>
      </c>
      <c r="AJ183" s="108" t="str">
        <f>IF(L183="Yes",AI183*Tab_Data_Flows[[#This Row],[Flow_Py]]*Tab_Data_Flows[[#This Row],[DM_'[%']]],"N.A.")</f>
        <v>N.A.</v>
      </c>
      <c r="AK183" s="61">
        <f>Tab_Data_Flows[[#This Row],[UoM_Flow_Py]]</f>
        <v>0</v>
      </c>
    </row>
    <row r="184" spans="1:37" x14ac:dyDescent="0.25">
      <c r="A184" s="60">
        <f t="shared" si="4"/>
        <v>183</v>
      </c>
      <c r="B184" s="49" t="str">
        <f>_xlfn.XLOOKUP(C184,Tab_Def_Flows[Name(EN)],Tab_Def_Flows[Flow_ID],,0,)</f>
        <v>F_12_12</v>
      </c>
      <c r="C184" s="51"/>
      <c r="D184" s="49"/>
      <c r="E184" s="49">
        <f>_xlfn.XLOOKUP(C184,Tab_Def_Flows[Name(EN)],Tab_Def_Flows[Output_Process],,0,)</f>
        <v>0</v>
      </c>
      <c r="F184" s="49" t="str">
        <f>_xlfn.XLOOKUP(C184,Tab_Def_Flows[Name(EN)],Tab_Def_Flows[Process_ID_O],,0,)</f>
        <v>12__</v>
      </c>
      <c r="G184" s="49">
        <f>_xlfn.XLOOKUP(C184,Tab_Def_Flows[Name(EN)],Tab_Def_Flows[Input_Process],,0,)</f>
        <v>0</v>
      </c>
      <c r="H184" s="61" t="str">
        <f>_xlfn.XLOOKUP(C184,Tab_Def_Flows[Name(EN)],Tab_Def_Flows[Process_ID_I],,0,)</f>
        <v>12__</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c r="AC184" s="107" t="e">
        <f>INDEX(Tab_Def_Flows[[Flow_ID]:[CC_DM_source]],MATCH(Tab_Data_Flows[[#This Row],[Name(EN)]],Tab_Def_Flows[Name(EN)],0),16)</f>
        <v>#N/A</v>
      </c>
      <c r="AD184" s="108" t="str">
        <f>IF(J184="Yes",AA184*Tab_Data_Flows[[#This Row],[WC_'[%']]],"N.A.")</f>
        <v>N.A.</v>
      </c>
      <c r="AE184" s="61">
        <f>Tab_Data_Flows[[#This Row],[UoM_Flow_Py]]</f>
        <v>0</v>
      </c>
      <c r="AF184" s="107" t="e">
        <f>INDEX(Tab_Def_Flows[[Flow_ID]:[CC_DM_source]],MATCH(Tab_Data_Flows[[#This Row],[Name(EN)]],Tab_Def_Flows[Name(EN)],0),18)</f>
        <v>#N/A</v>
      </c>
      <c r="AG184" s="108" t="str">
        <f>IF(K184="Yes",AF184*Tab_Data_Flows[[#This Row],[Flow_Py]]-AJ300,"N.A.")</f>
        <v>N.A.</v>
      </c>
      <c r="AH184" s="61">
        <f>Tab_Data_Flows[[#This Row],[UoM_Flow_Py]]</f>
        <v>0</v>
      </c>
      <c r="AI184" s="107" t="e">
        <f>INDEX(Tab_Def_Flows[[Flow_ID]:[CC_DM_source]],MATCH(Tab_Data_Flows[[#This Row],[Name(EN)]],Tab_Def_Flows[Name(EN)],0),20)</f>
        <v>#N/A</v>
      </c>
      <c r="AJ184" s="108" t="str">
        <f>IF(L184="Yes",AI184*Tab_Data_Flows[[#This Row],[Flow_Py]]*Tab_Data_Flows[[#This Row],[DM_'[%']]],"N.A.")</f>
        <v>N.A.</v>
      </c>
      <c r="AK184" s="61">
        <f>Tab_Data_Flows[[#This Row],[UoM_Flow_Py]]</f>
        <v>0</v>
      </c>
    </row>
    <row r="185" spans="1:37" x14ac:dyDescent="0.25">
      <c r="A185" s="60">
        <f t="shared" si="4"/>
        <v>184</v>
      </c>
      <c r="B185" s="49" t="str">
        <f>_xlfn.XLOOKUP(C185,Tab_Def_Flows[Name(EN)],Tab_Def_Flows[Flow_ID],,0,)</f>
        <v>F_12_12</v>
      </c>
      <c r="C185" s="51"/>
      <c r="D185" s="49"/>
      <c r="E185" s="49">
        <f>_xlfn.XLOOKUP(C185,Tab_Def_Flows[Name(EN)],Tab_Def_Flows[Output_Process],,0,)</f>
        <v>0</v>
      </c>
      <c r="F185" s="49" t="str">
        <f>_xlfn.XLOOKUP(C185,Tab_Def_Flows[Name(EN)],Tab_Def_Flows[Process_ID_O],,0,)</f>
        <v>12__</v>
      </c>
      <c r="G185" s="49">
        <f>_xlfn.XLOOKUP(C185,Tab_Def_Flows[Name(EN)],Tab_Def_Flows[Input_Process],,0,)</f>
        <v>0</v>
      </c>
      <c r="H185" s="61" t="str">
        <f>_xlfn.XLOOKUP(C185,Tab_Def_Flows[Name(EN)],Tab_Def_Flows[Process_ID_I],,0,)</f>
        <v>12__</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c r="AC185" s="107" t="e">
        <f>INDEX(Tab_Def_Flows[[Flow_ID]:[CC_DM_source]],MATCH(Tab_Data_Flows[[#This Row],[Name(EN)]],Tab_Def_Flows[Name(EN)],0),16)</f>
        <v>#N/A</v>
      </c>
      <c r="AD185" s="108" t="str">
        <f>IF(J185="Yes",AA185*Tab_Data_Flows[[#This Row],[WC_'[%']]],"N.A.")</f>
        <v>N.A.</v>
      </c>
      <c r="AE185" s="61">
        <f>Tab_Data_Flows[[#This Row],[UoM_Flow_Py]]</f>
        <v>0</v>
      </c>
      <c r="AF185" s="107" t="e">
        <f>INDEX(Tab_Def_Flows[[Flow_ID]:[CC_DM_source]],MATCH(Tab_Data_Flows[[#This Row],[Name(EN)]],Tab_Def_Flows[Name(EN)],0),18)</f>
        <v>#N/A</v>
      </c>
      <c r="AG185" s="108" t="str">
        <f>IF(K185="Yes",AF185*Tab_Data_Flows[[#This Row],[Flow_Py]]-AJ301,"N.A.")</f>
        <v>N.A.</v>
      </c>
      <c r="AH185" s="61">
        <f>Tab_Data_Flows[[#This Row],[UoM_Flow_Py]]</f>
        <v>0</v>
      </c>
      <c r="AI185" s="107" t="e">
        <f>INDEX(Tab_Def_Flows[[Flow_ID]:[CC_DM_source]],MATCH(Tab_Data_Flows[[#This Row],[Name(EN)]],Tab_Def_Flows[Name(EN)],0),20)</f>
        <v>#N/A</v>
      </c>
      <c r="AJ185" s="108" t="str">
        <f>IF(L185="Yes",AI185*Tab_Data_Flows[[#This Row],[Flow_Py]]*Tab_Data_Flows[[#This Row],[DM_'[%']]],"N.A.")</f>
        <v>N.A.</v>
      </c>
      <c r="AK185" s="61">
        <f>Tab_Data_Flows[[#This Row],[UoM_Flow_Py]]</f>
        <v>0</v>
      </c>
    </row>
    <row r="186" spans="1:37" x14ac:dyDescent="0.25">
      <c r="A186" s="60">
        <f t="shared" si="4"/>
        <v>185</v>
      </c>
      <c r="B186" s="49" t="str">
        <f>_xlfn.XLOOKUP(C186,Tab_Def_Flows[Name(EN)],Tab_Def_Flows[Flow_ID],,0,)</f>
        <v>F_12_12</v>
      </c>
      <c r="C186" s="51"/>
      <c r="D186" s="49"/>
      <c r="E186" s="49">
        <f>_xlfn.XLOOKUP(C186,Tab_Def_Flows[Name(EN)],Tab_Def_Flows[Output_Process],,0,)</f>
        <v>0</v>
      </c>
      <c r="F186" s="49" t="str">
        <f>_xlfn.XLOOKUP(C186,Tab_Def_Flows[Name(EN)],Tab_Def_Flows[Process_ID_O],,0,)</f>
        <v>12__</v>
      </c>
      <c r="G186" s="49">
        <f>_xlfn.XLOOKUP(C186,Tab_Def_Flows[Name(EN)],Tab_Def_Flows[Input_Process],,0,)</f>
        <v>0</v>
      </c>
      <c r="H186" s="61" t="str">
        <f>_xlfn.XLOOKUP(C186,Tab_Def_Flows[Name(EN)],Tab_Def_Flows[Process_ID_I],,0,)</f>
        <v>12__</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c r="AC186" s="107" t="e">
        <f>INDEX(Tab_Def_Flows[[Flow_ID]:[CC_DM_source]],MATCH(Tab_Data_Flows[[#This Row],[Name(EN)]],Tab_Def_Flows[Name(EN)],0),16)</f>
        <v>#N/A</v>
      </c>
      <c r="AD186" s="108" t="str">
        <f>IF(J186="Yes",AA186*Tab_Data_Flows[[#This Row],[WC_'[%']]],"N.A.")</f>
        <v>N.A.</v>
      </c>
      <c r="AE186" s="61">
        <f>Tab_Data_Flows[[#This Row],[UoM_Flow_Py]]</f>
        <v>0</v>
      </c>
      <c r="AF186" s="107" t="e">
        <f>INDEX(Tab_Def_Flows[[Flow_ID]:[CC_DM_source]],MATCH(Tab_Data_Flows[[#This Row],[Name(EN)]],Tab_Def_Flows[Name(EN)],0),18)</f>
        <v>#N/A</v>
      </c>
      <c r="AG186" s="108" t="str">
        <f>IF(K186="Yes",AF186*Tab_Data_Flows[[#This Row],[Flow_Py]]-AJ302,"N.A.")</f>
        <v>N.A.</v>
      </c>
      <c r="AH186" s="61">
        <f>Tab_Data_Flows[[#This Row],[UoM_Flow_Py]]</f>
        <v>0</v>
      </c>
      <c r="AI186" s="107" t="e">
        <f>INDEX(Tab_Def_Flows[[Flow_ID]:[CC_DM_source]],MATCH(Tab_Data_Flows[[#This Row],[Name(EN)]],Tab_Def_Flows[Name(EN)],0),20)</f>
        <v>#N/A</v>
      </c>
      <c r="AJ186" s="108" t="str">
        <f>IF(L186="Yes",AI186*Tab_Data_Flows[[#This Row],[Flow_Py]]*Tab_Data_Flows[[#This Row],[DM_'[%']]],"N.A.")</f>
        <v>N.A.</v>
      </c>
      <c r="AK186" s="61">
        <f>Tab_Data_Flows[[#This Row],[UoM_Flow_Py]]</f>
        <v>0</v>
      </c>
    </row>
    <row r="187" spans="1:37" x14ac:dyDescent="0.25">
      <c r="A187" s="60">
        <f t="shared" si="4"/>
        <v>186</v>
      </c>
      <c r="B187" s="49" t="str">
        <f>_xlfn.XLOOKUP(C187,Tab_Def_Flows[Name(EN)],Tab_Def_Flows[Flow_ID],,0,)</f>
        <v>F_12_12</v>
      </c>
      <c r="C187" s="51"/>
      <c r="D187" s="49"/>
      <c r="E187" s="49">
        <f>_xlfn.XLOOKUP(C187,Tab_Def_Flows[Name(EN)],Tab_Def_Flows[Output_Process],,0,)</f>
        <v>0</v>
      </c>
      <c r="F187" s="49" t="str">
        <f>_xlfn.XLOOKUP(C187,Tab_Def_Flows[Name(EN)],Tab_Def_Flows[Process_ID_O],,0,)</f>
        <v>12__</v>
      </c>
      <c r="G187" s="49">
        <f>_xlfn.XLOOKUP(C187,Tab_Def_Flows[Name(EN)],Tab_Def_Flows[Input_Process],,0,)</f>
        <v>0</v>
      </c>
      <c r="H187" s="61" t="str">
        <f>_xlfn.XLOOKUP(C187,Tab_Def_Flows[Name(EN)],Tab_Def_Flows[Process_ID_I],,0,)</f>
        <v>12__</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c r="AC187" s="107" t="e">
        <f>INDEX(Tab_Def_Flows[[Flow_ID]:[CC_DM_source]],MATCH(Tab_Data_Flows[[#This Row],[Name(EN)]],Tab_Def_Flows[Name(EN)],0),16)</f>
        <v>#N/A</v>
      </c>
      <c r="AD187" s="108" t="str">
        <f>IF(J187="Yes",AA187*Tab_Data_Flows[[#This Row],[WC_'[%']]],"N.A.")</f>
        <v>N.A.</v>
      </c>
      <c r="AE187" s="61">
        <f>Tab_Data_Flows[[#This Row],[UoM_Flow_Py]]</f>
        <v>0</v>
      </c>
      <c r="AF187" s="107" t="e">
        <f>INDEX(Tab_Def_Flows[[Flow_ID]:[CC_DM_source]],MATCH(Tab_Data_Flows[[#This Row],[Name(EN)]],Tab_Def_Flows[Name(EN)],0),18)</f>
        <v>#N/A</v>
      </c>
      <c r="AG187" s="108" t="str">
        <f>IF(K187="Yes",AF187*Tab_Data_Flows[[#This Row],[Flow_Py]]-AJ303,"N.A.")</f>
        <v>N.A.</v>
      </c>
      <c r="AH187" s="61">
        <f>Tab_Data_Flows[[#This Row],[UoM_Flow_Py]]</f>
        <v>0</v>
      </c>
      <c r="AI187" s="107" t="e">
        <f>INDEX(Tab_Def_Flows[[Flow_ID]:[CC_DM_source]],MATCH(Tab_Data_Flows[[#This Row],[Name(EN)]],Tab_Def_Flows[Name(EN)],0),20)</f>
        <v>#N/A</v>
      </c>
      <c r="AJ187" s="108" t="str">
        <f>IF(L187="Yes",AI187*Tab_Data_Flows[[#This Row],[Flow_Py]]*Tab_Data_Flows[[#This Row],[DM_'[%']]],"N.A.")</f>
        <v>N.A.</v>
      </c>
      <c r="AK187" s="61">
        <f>Tab_Data_Flows[[#This Row],[UoM_Flow_Py]]</f>
        <v>0</v>
      </c>
    </row>
    <row r="188" spans="1:37" x14ac:dyDescent="0.25">
      <c r="A188" s="60">
        <f t="shared" si="4"/>
        <v>187</v>
      </c>
      <c r="B188" s="49" t="str">
        <f>_xlfn.XLOOKUP(C188,Tab_Def_Flows[Name(EN)],Tab_Def_Flows[Flow_ID],,0,)</f>
        <v>F_12_12</v>
      </c>
      <c r="C188" s="51"/>
      <c r="D188" s="49"/>
      <c r="E188" s="49">
        <f>_xlfn.XLOOKUP(C188,Tab_Def_Flows[Name(EN)],Tab_Def_Flows[Output_Process],,0,)</f>
        <v>0</v>
      </c>
      <c r="F188" s="49" t="str">
        <f>_xlfn.XLOOKUP(C188,Tab_Def_Flows[Name(EN)],Tab_Def_Flows[Process_ID_O],,0,)</f>
        <v>12__</v>
      </c>
      <c r="G188" s="49">
        <f>_xlfn.XLOOKUP(C188,Tab_Def_Flows[Name(EN)],Tab_Def_Flows[Input_Process],,0,)</f>
        <v>0</v>
      </c>
      <c r="H188" s="61" t="str">
        <f>_xlfn.XLOOKUP(C188,Tab_Def_Flows[Name(EN)],Tab_Def_Flows[Process_ID_I],,0,)</f>
        <v>12__</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c r="AC188" s="107" t="e">
        <f>INDEX(Tab_Def_Flows[[Flow_ID]:[CC_DM_source]],MATCH(Tab_Data_Flows[[#This Row],[Name(EN)]],Tab_Def_Flows[Name(EN)],0),16)</f>
        <v>#N/A</v>
      </c>
      <c r="AD188" s="108" t="str">
        <f>IF(J188="Yes",AA188*Tab_Data_Flows[[#This Row],[WC_'[%']]],"N.A.")</f>
        <v>N.A.</v>
      </c>
      <c r="AE188" s="61">
        <f>Tab_Data_Flows[[#This Row],[UoM_Flow_Py]]</f>
        <v>0</v>
      </c>
      <c r="AF188" s="107" t="e">
        <f>INDEX(Tab_Def_Flows[[Flow_ID]:[CC_DM_source]],MATCH(Tab_Data_Flows[[#This Row],[Name(EN)]],Tab_Def_Flows[Name(EN)],0),18)</f>
        <v>#N/A</v>
      </c>
      <c r="AG188" s="108" t="str">
        <f>IF(K188="Yes",AF188*Tab_Data_Flows[[#This Row],[Flow_Py]]-AJ304,"N.A.")</f>
        <v>N.A.</v>
      </c>
      <c r="AH188" s="61">
        <f>Tab_Data_Flows[[#This Row],[UoM_Flow_Py]]</f>
        <v>0</v>
      </c>
      <c r="AI188" s="107" t="e">
        <f>INDEX(Tab_Def_Flows[[Flow_ID]:[CC_DM_source]],MATCH(Tab_Data_Flows[[#This Row],[Name(EN)]],Tab_Def_Flows[Name(EN)],0),20)</f>
        <v>#N/A</v>
      </c>
      <c r="AJ188" s="108" t="str">
        <f>IF(L188="Yes",AI188*Tab_Data_Flows[[#This Row],[Flow_Py]]*Tab_Data_Flows[[#This Row],[DM_'[%']]],"N.A.")</f>
        <v>N.A.</v>
      </c>
      <c r="AK188" s="61">
        <f>Tab_Data_Flows[[#This Row],[UoM_Flow_Py]]</f>
        <v>0</v>
      </c>
    </row>
    <row r="189" spans="1:37" x14ac:dyDescent="0.25">
      <c r="A189" s="60">
        <f t="shared" si="4"/>
        <v>188</v>
      </c>
      <c r="B189" s="49" t="str">
        <f>_xlfn.XLOOKUP(C189,Tab_Def_Flows[Name(EN)],Tab_Def_Flows[Flow_ID],,0,)</f>
        <v>F_12_12</v>
      </c>
      <c r="C189" s="51"/>
      <c r="D189" s="49"/>
      <c r="E189" s="49">
        <f>_xlfn.XLOOKUP(C189,Tab_Def_Flows[Name(EN)],Tab_Def_Flows[Output_Process],,0,)</f>
        <v>0</v>
      </c>
      <c r="F189" s="49" t="str">
        <f>_xlfn.XLOOKUP(C189,Tab_Def_Flows[Name(EN)],Tab_Def_Flows[Process_ID_O],,0,)</f>
        <v>12__</v>
      </c>
      <c r="G189" s="49">
        <f>_xlfn.XLOOKUP(C189,Tab_Def_Flows[Name(EN)],Tab_Def_Flows[Input_Process],,0,)</f>
        <v>0</v>
      </c>
      <c r="H189" s="61" t="str">
        <f>_xlfn.XLOOKUP(C189,Tab_Def_Flows[Name(EN)],Tab_Def_Flows[Process_ID_I],,0,)</f>
        <v>12__</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c r="AC189" s="107" t="e">
        <f>INDEX(Tab_Def_Flows[[Flow_ID]:[CC_DM_source]],MATCH(Tab_Data_Flows[[#This Row],[Name(EN)]],Tab_Def_Flows[Name(EN)],0),16)</f>
        <v>#N/A</v>
      </c>
      <c r="AD189" s="108" t="str">
        <f>IF(J189="Yes",AA189*Tab_Data_Flows[[#This Row],[WC_'[%']]],"N.A.")</f>
        <v>N.A.</v>
      </c>
      <c r="AE189" s="61">
        <f>Tab_Data_Flows[[#This Row],[UoM_Flow_Py]]</f>
        <v>0</v>
      </c>
      <c r="AF189" s="107" t="e">
        <f>INDEX(Tab_Def_Flows[[Flow_ID]:[CC_DM_source]],MATCH(Tab_Data_Flows[[#This Row],[Name(EN)]],Tab_Def_Flows[Name(EN)],0),18)</f>
        <v>#N/A</v>
      </c>
      <c r="AG189" s="108" t="str">
        <f>IF(K189="Yes",AF189*Tab_Data_Flows[[#This Row],[Flow_Py]]-AJ305,"N.A.")</f>
        <v>N.A.</v>
      </c>
      <c r="AH189" s="61">
        <f>Tab_Data_Flows[[#This Row],[UoM_Flow_Py]]</f>
        <v>0</v>
      </c>
      <c r="AI189" s="107" t="e">
        <f>INDEX(Tab_Def_Flows[[Flow_ID]:[CC_DM_source]],MATCH(Tab_Data_Flows[[#This Row],[Name(EN)]],Tab_Def_Flows[Name(EN)],0),20)</f>
        <v>#N/A</v>
      </c>
      <c r="AJ189" s="108" t="str">
        <f>IF(L189="Yes",AI189*Tab_Data_Flows[[#This Row],[Flow_Py]]*Tab_Data_Flows[[#This Row],[DM_'[%']]],"N.A.")</f>
        <v>N.A.</v>
      </c>
      <c r="AK189" s="61">
        <f>Tab_Data_Flows[[#This Row],[UoM_Flow_Py]]</f>
        <v>0</v>
      </c>
    </row>
    <row r="190" spans="1:37" x14ac:dyDescent="0.25">
      <c r="A190" s="60">
        <f t="shared" si="4"/>
        <v>189</v>
      </c>
      <c r="B190" s="49" t="str">
        <f>_xlfn.XLOOKUP(C190,Tab_Def_Flows[Name(EN)],Tab_Def_Flows[Flow_ID],,0,)</f>
        <v>F_12_12</v>
      </c>
      <c r="C190" s="51"/>
      <c r="D190" s="49"/>
      <c r="E190" s="49">
        <f>_xlfn.XLOOKUP(C190,Tab_Def_Flows[Name(EN)],Tab_Def_Flows[Output_Process],,0,)</f>
        <v>0</v>
      </c>
      <c r="F190" s="49" t="str">
        <f>_xlfn.XLOOKUP(C190,Tab_Def_Flows[Name(EN)],Tab_Def_Flows[Process_ID_O],,0,)</f>
        <v>12__</v>
      </c>
      <c r="G190" s="49">
        <f>_xlfn.XLOOKUP(C190,Tab_Def_Flows[Name(EN)],Tab_Def_Flows[Input_Process],,0,)</f>
        <v>0</v>
      </c>
      <c r="H190" s="61" t="str">
        <f>_xlfn.XLOOKUP(C190,Tab_Def_Flows[Name(EN)],Tab_Def_Flows[Process_ID_I],,0,)</f>
        <v>12__</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c r="AC190" s="107" t="e">
        <f>INDEX(Tab_Def_Flows[[Flow_ID]:[CC_DM_source]],MATCH(Tab_Data_Flows[[#This Row],[Name(EN)]],Tab_Def_Flows[Name(EN)],0),16)</f>
        <v>#N/A</v>
      </c>
      <c r="AD190" s="108" t="str">
        <f>IF(J190="Yes",AA190*Tab_Data_Flows[[#This Row],[WC_'[%']]],"N.A.")</f>
        <v>N.A.</v>
      </c>
      <c r="AE190" s="61">
        <f>Tab_Data_Flows[[#This Row],[UoM_Flow_Py]]</f>
        <v>0</v>
      </c>
      <c r="AF190" s="107" t="e">
        <f>INDEX(Tab_Def_Flows[[Flow_ID]:[CC_DM_source]],MATCH(Tab_Data_Flows[[#This Row],[Name(EN)]],Tab_Def_Flows[Name(EN)],0),18)</f>
        <v>#N/A</v>
      </c>
      <c r="AG190" s="108" t="str">
        <f>IF(K190="Yes",AF190*Tab_Data_Flows[[#This Row],[Flow_Py]]-AJ306,"N.A.")</f>
        <v>N.A.</v>
      </c>
      <c r="AH190" s="61">
        <f>Tab_Data_Flows[[#This Row],[UoM_Flow_Py]]</f>
        <v>0</v>
      </c>
      <c r="AI190" s="107" t="e">
        <f>INDEX(Tab_Def_Flows[[Flow_ID]:[CC_DM_source]],MATCH(Tab_Data_Flows[[#This Row],[Name(EN)]],Tab_Def_Flows[Name(EN)],0),20)</f>
        <v>#N/A</v>
      </c>
      <c r="AJ190" s="108" t="str">
        <f>IF(L190="Yes",AI190*Tab_Data_Flows[[#This Row],[Flow_Py]]*Tab_Data_Flows[[#This Row],[DM_'[%']]],"N.A.")</f>
        <v>N.A.</v>
      </c>
      <c r="AK190" s="61">
        <f>Tab_Data_Flows[[#This Row],[UoM_Flow_Py]]</f>
        <v>0</v>
      </c>
    </row>
    <row r="191" spans="1:37" x14ac:dyDescent="0.25">
      <c r="A191" s="60">
        <f t="shared" si="4"/>
        <v>190</v>
      </c>
      <c r="B191" s="49" t="str">
        <f>_xlfn.XLOOKUP(C191,Tab_Def_Flows[Name(EN)],Tab_Def_Flows[Flow_ID],,0,)</f>
        <v>F_12_12</v>
      </c>
      <c r="C191" s="51"/>
      <c r="D191" s="49"/>
      <c r="E191" s="49">
        <f>_xlfn.XLOOKUP(C191,Tab_Def_Flows[Name(EN)],Tab_Def_Flows[Output_Process],,0,)</f>
        <v>0</v>
      </c>
      <c r="F191" s="49" t="str">
        <f>_xlfn.XLOOKUP(C191,Tab_Def_Flows[Name(EN)],Tab_Def_Flows[Process_ID_O],,0,)</f>
        <v>12__</v>
      </c>
      <c r="G191" s="49">
        <f>_xlfn.XLOOKUP(C191,Tab_Def_Flows[Name(EN)],Tab_Def_Flows[Input_Process],,0,)</f>
        <v>0</v>
      </c>
      <c r="H191" s="61" t="str">
        <f>_xlfn.XLOOKUP(C191,Tab_Def_Flows[Name(EN)],Tab_Def_Flows[Process_ID_I],,0,)</f>
        <v>12__</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c r="AC191" s="107" t="e">
        <f>INDEX(Tab_Def_Flows[[Flow_ID]:[CC_DM_source]],MATCH(Tab_Data_Flows[[#This Row],[Name(EN)]],Tab_Def_Flows[Name(EN)],0),16)</f>
        <v>#N/A</v>
      </c>
      <c r="AD191" s="108" t="str">
        <f>IF(J191="Yes",AA191*Tab_Data_Flows[[#This Row],[WC_'[%']]],"N.A.")</f>
        <v>N.A.</v>
      </c>
      <c r="AE191" s="61">
        <f>Tab_Data_Flows[[#This Row],[UoM_Flow_Py]]</f>
        <v>0</v>
      </c>
      <c r="AF191" s="107" t="e">
        <f>INDEX(Tab_Def_Flows[[Flow_ID]:[CC_DM_source]],MATCH(Tab_Data_Flows[[#This Row],[Name(EN)]],Tab_Def_Flows[Name(EN)],0),18)</f>
        <v>#N/A</v>
      </c>
      <c r="AG191" s="108" t="str">
        <f>IF(K191="Yes",AF191*Tab_Data_Flows[[#This Row],[Flow_Py]]-AJ307,"N.A.")</f>
        <v>N.A.</v>
      </c>
      <c r="AH191" s="61">
        <f>Tab_Data_Flows[[#This Row],[UoM_Flow_Py]]</f>
        <v>0</v>
      </c>
      <c r="AI191" s="107" t="e">
        <f>INDEX(Tab_Def_Flows[[Flow_ID]:[CC_DM_source]],MATCH(Tab_Data_Flows[[#This Row],[Name(EN)]],Tab_Def_Flows[Name(EN)],0),20)</f>
        <v>#N/A</v>
      </c>
      <c r="AJ191" s="108" t="str">
        <f>IF(L191="Yes",AI191*Tab_Data_Flows[[#This Row],[Flow_Py]]*Tab_Data_Flows[[#This Row],[DM_'[%']]],"N.A.")</f>
        <v>N.A.</v>
      </c>
      <c r="AK191" s="61">
        <f>Tab_Data_Flows[[#This Row],[UoM_Flow_Py]]</f>
        <v>0</v>
      </c>
    </row>
    <row r="192" spans="1:37" x14ac:dyDescent="0.25">
      <c r="A192" s="60">
        <f t="shared" si="4"/>
        <v>191</v>
      </c>
      <c r="B192" s="49" t="str">
        <f>_xlfn.XLOOKUP(C192,Tab_Def_Flows[Name(EN)],Tab_Def_Flows[Flow_ID],,0,)</f>
        <v>F_12_12</v>
      </c>
      <c r="C192" s="51"/>
      <c r="D192" s="49"/>
      <c r="E192" s="49">
        <f>_xlfn.XLOOKUP(C192,Tab_Def_Flows[Name(EN)],Tab_Def_Flows[Output_Process],,0,)</f>
        <v>0</v>
      </c>
      <c r="F192" s="49" t="str">
        <f>_xlfn.XLOOKUP(C192,Tab_Def_Flows[Name(EN)],Tab_Def_Flows[Process_ID_O],,0,)</f>
        <v>12__</v>
      </c>
      <c r="G192" s="49">
        <f>_xlfn.XLOOKUP(C192,Tab_Def_Flows[Name(EN)],Tab_Def_Flows[Input_Process],,0,)</f>
        <v>0</v>
      </c>
      <c r="H192" s="61" t="str">
        <f>_xlfn.XLOOKUP(C192,Tab_Def_Flows[Name(EN)],Tab_Def_Flows[Process_ID_I],,0,)</f>
        <v>12__</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c r="AC192" s="107" t="e">
        <f>INDEX(Tab_Def_Flows[[Flow_ID]:[CC_DM_source]],MATCH(Tab_Data_Flows[[#This Row],[Name(EN)]],Tab_Def_Flows[Name(EN)],0),16)</f>
        <v>#N/A</v>
      </c>
      <c r="AD192" s="108" t="str">
        <f>IF(J192="Yes",AA192*Tab_Data_Flows[[#This Row],[WC_'[%']]],"N.A.")</f>
        <v>N.A.</v>
      </c>
      <c r="AE192" s="61">
        <f>Tab_Data_Flows[[#This Row],[UoM_Flow_Py]]</f>
        <v>0</v>
      </c>
      <c r="AF192" s="107" t="e">
        <f>INDEX(Tab_Def_Flows[[Flow_ID]:[CC_DM_source]],MATCH(Tab_Data_Flows[[#This Row],[Name(EN)]],Tab_Def_Flows[Name(EN)],0),18)</f>
        <v>#N/A</v>
      </c>
      <c r="AG192" s="108" t="str">
        <f>IF(K192="Yes",AF192*Tab_Data_Flows[[#This Row],[Flow_Py]]-AJ308,"N.A.")</f>
        <v>N.A.</v>
      </c>
      <c r="AH192" s="61">
        <f>Tab_Data_Flows[[#This Row],[UoM_Flow_Py]]</f>
        <v>0</v>
      </c>
      <c r="AI192" s="107" t="e">
        <f>INDEX(Tab_Def_Flows[[Flow_ID]:[CC_DM_source]],MATCH(Tab_Data_Flows[[#This Row],[Name(EN)]],Tab_Def_Flows[Name(EN)],0),20)</f>
        <v>#N/A</v>
      </c>
      <c r="AJ192" s="108" t="str">
        <f>IF(L192="Yes",AI192*Tab_Data_Flows[[#This Row],[Flow_Py]]*Tab_Data_Flows[[#This Row],[DM_'[%']]],"N.A.")</f>
        <v>N.A.</v>
      </c>
      <c r="AK192" s="61">
        <f>Tab_Data_Flows[[#This Row],[UoM_Flow_Py]]</f>
        <v>0</v>
      </c>
    </row>
    <row r="193" spans="1:37" x14ac:dyDescent="0.25">
      <c r="A193" s="60">
        <f t="shared" si="4"/>
        <v>192</v>
      </c>
      <c r="B193" s="49" t="str">
        <f>_xlfn.XLOOKUP(C193,Tab_Def_Flows[Name(EN)],Tab_Def_Flows[Flow_ID],,0,)</f>
        <v>F_12_12</v>
      </c>
      <c r="C193" s="51"/>
      <c r="D193" s="49"/>
      <c r="E193" s="49">
        <f>_xlfn.XLOOKUP(C193,Tab_Def_Flows[Name(EN)],Tab_Def_Flows[Output_Process],,0,)</f>
        <v>0</v>
      </c>
      <c r="F193" s="49" t="str">
        <f>_xlfn.XLOOKUP(C193,Tab_Def_Flows[Name(EN)],Tab_Def_Flows[Process_ID_O],,0,)</f>
        <v>12__</v>
      </c>
      <c r="G193" s="49">
        <f>_xlfn.XLOOKUP(C193,Tab_Def_Flows[Name(EN)],Tab_Def_Flows[Input_Process],,0,)</f>
        <v>0</v>
      </c>
      <c r="H193" s="61" t="str">
        <f>_xlfn.XLOOKUP(C193,Tab_Def_Flows[Name(EN)],Tab_Def_Flows[Process_ID_I],,0,)</f>
        <v>12__</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c r="AC193" s="107" t="e">
        <f>INDEX(Tab_Def_Flows[[Flow_ID]:[CC_DM_source]],MATCH(Tab_Data_Flows[[#This Row],[Name(EN)]],Tab_Def_Flows[Name(EN)],0),16)</f>
        <v>#N/A</v>
      </c>
      <c r="AD193" s="108" t="str">
        <f>IF(J193="Yes",AA193*Tab_Data_Flows[[#This Row],[WC_'[%']]],"N.A.")</f>
        <v>N.A.</v>
      </c>
      <c r="AE193" s="61">
        <f>Tab_Data_Flows[[#This Row],[UoM_Flow_Py]]</f>
        <v>0</v>
      </c>
      <c r="AF193" s="107" t="e">
        <f>INDEX(Tab_Def_Flows[[Flow_ID]:[CC_DM_source]],MATCH(Tab_Data_Flows[[#This Row],[Name(EN)]],Tab_Def_Flows[Name(EN)],0),18)</f>
        <v>#N/A</v>
      </c>
      <c r="AG193" s="108" t="str">
        <f>IF(K193="Yes",AF193*Tab_Data_Flows[[#This Row],[Flow_Py]]-AJ309,"N.A.")</f>
        <v>N.A.</v>
      </c>
      <c r="AH193" s="61">
        <f>Tab_Data_Flows[[#This Row],[UoM_Flow_Py]]</f>
        <v>0</v>
      </c>
      <c r="AI193" s="107" t="e">
        <f>INDEX(Tab_Def_Flows[[Flow_ID]:[CC_DM_source]],MATCH(Tab_Data_Flows[[#This Row],[Name(EN)]],Tab_Def_Flows[Name(EN)],0),20)</f>
        <v>#N/A</v>
      </c>
      <c r="AJ193" s="108" t="str">
        <f>IF(L193="Yes",AI193*Tab_Data_Flows[[#This Row],[Flow_Py]]*Tab_Data_Flows[[#This Row],[DM_'[%']]],"N.A.")</f>
        <v>N.A.</v>
      </c>
      <c r="AK193" s="61">
        <f>Tab_Data_Flows[[#This Row],[UoM_Flow_Py]]</f>
        <v>0</v>
      </c>
    </row>
    <row r="194" spans="1:37" x14ac:dyDescent="0.25">
      <c r="A194" s="60">
        <f t="shared" si="4"/>
        <v>193</v>
      </c>
      <c r="B194" s="49" t="str">
        <f>_xlfn.XLOOKUP(C194,Tab_Def_Flows[Name(EN)],Tab_Def_Flows[Flow_ID],,0,)</f>
        <v>F_12_12</v>
      </c>
      <c r="C194" s="51"/>
      <c r="D194" s="49"/>
      <c r="E194" s="49">
        <f>_xlfn.XLOOKUP(C194,Tab_Def_Flows[Name(EN)],Tab_Def_Flows[Output_Process],,0,)</f>
        <v>0</v>
      </c>
      <c r="F194" s="49" t="str">
        <f>_xlfn.XLOOKUP(C194,Tab_Def_Flows[Name(EN)],Tab_Def_Flows[Process_ID_O],,0,)</f>
        <v>12__</v>
      </c>
      <c r="G194" s="49">
        <f>_xlfn.XLOOKUP(C194,Tab_Def_Flows[Name(EN)],Tab_Def_Flows[Input_Process],,0,)</f>
        <v>0</v>
      </c>
      <c r="H194" s="61" t="str">
        <f>_xlfn.XLOOKUP(C194,Tab_Def_Flows[Name(EN)],Tab_Def_Flows[Process_ID_I],,0,)</f>
        <v>12__</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c r="AC194" s="107" t="e">
        <f>INDEX(Tab_Def_Flows[[Flow_ID]:[CC_DM_source]],MATCH(Tab_Data_Flows[[#This Row],[Name(EN)]],Tab_Def_Flows[Name(EN)],0),16)</f>
        <v>#N/A</v>
      </c>
      <c r="AD194" s="108" t="str">
        <f>IF(J194="Yes",AA194*Tab_Data_Flows[[#This Row],[WC_'[%']]],"N.A.")</f>
        <v>N.A.</v>
      </c>
      <c r="AE194" s="61">
        <f>Tab_Data_Flows[[#This Row],[UoM_Flow_Py]]</f>
        <v>0</v>
      </c>
      <c r="AF194" s="107" t="e">
        <f>INDEX(Tab_Def_Flows[[Flow_ID]:[CC_DM_source]],MATCH(Tab_Data_Flows[[#This Row],[Name(EN)]],Tab_Def_Flows[Name(EN)],0),18)</f>
        <v>#N/A</v>
      </c>
      <c r="AG194" s="108" t="str">
        <f>IF(K194="Yes",AF194*Tab_Data_Flows[[#This Row],[Flow_Py]]-AJ310,"N.A.")</f>
        <v>N.A.</v>
      </c>
      <c r="AH194" s="61">
        <f>Tab_Data_Flows[[#This Row],[UoM_Flow_Py]]</f>
        <v>0</v>
      </c>
      <c r="AI194" s="107" t="e">
        <f>INDEX(Tab_Def_Flows[[Flow_ID]:[CC_DM_source]],MATCH(Tab_Data_Flows[[#This Row],[Name(EN)]],Tab_Def_Flows[Name(EN)],0),20)</f>
        <v>#N/A</v>
      </c>
      <c r="AJ194" s="108" t="str">
        <f>IF(L194="Yes",AI194*Tab_Data_Flows[[#This Row],[Flow_Py]]*Tab_Data_Flows[[#This Row],[DM_'[%']]],"N.A.")</f>
        <v>N.A.</v>
      </c>
      <c r="AK194" s="61">
        <f>Tab_Data_Flows[[#This Row],[UoM_Flow_Py]]</f>
        <v>0</v>
      </c>
    </row>
    <row r="195" spans="1:37" x14ac:dyDescent="0.25">
      <c r="A195" s="60">
        <f t="shared" ref="A195:A258" si="6">ROW()-1</f>
        <v>194</v>
      </c>
      <c r="B195" s="49" t="str">
        <f>_xlfn.XLOOKUP(C195,Tab_Def_Flows[Name(EN)],Tab_Def_Flows[Flow_ID],,0,)</f>
        <v>F_12_12</v>
      </c>
      <c r="C195" s="51"/>
      <c r="D195" s="49"/>
      <c r="E195" s="49">
        <f>_xlfn.XLOOKUP(C195,Tab_Def_Flows[Name(EN)],Tab_Def_Flows[Output_Process],,0,)</f>
        <v>0</v>
      </c>
      <c r="F195" s="49" t="str">
        <f>_xlfn.XLOOKUP(C195,Tab_Def_Flows[Name(EN)],Tab_Def_Flows[Process_ID_O],,0,)</f>
        <v>12__</v>
      </c>
      <c r="G195" s="49">
        <f>_xlfn.XLOOKUP(C195,Tab_Def_Flows[Name(EN)],Tab_Def_Flows[Input_Process],,0,)</f>
        <v>0</v>
      </c>
      <c r="H195" s="61" t="str">
        <f>_xlfn.XLOOKUP(C195,Tab_Def_Flows[Name(EN)],Tab_Def_Flows[Process_ID_I],,0,)</f>
        <v>12__</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c r="AC195" s="107" t="e">
        <f>INDEX(Tab_Def_Flows[[Flow_ID]:[CC_DM_source]],MATCH(Tab_Data_Flows[[#This Row],[Name(EN)]],Tab_Def_Flows[Name(EN)],0),16)</f>
        <v>#N/A</v>
      </c>
      <c r="AD195" s="108" t="str">
        <f>IF(J195="Yes",AA195*Tab_Data_Flows[[#This Row],[WC_'[%']]],"N.A.")</f>
        <v>N.A.</v>
      </c>
      <c r="AE195" s="61">
        <f>Tab_Data_Flows[[#This Row],[UoM_Flow_Py]]</f>
        <v>0</v>
      </c>
      <c r="AF195" s="107" t="e">
        <f>INDEX(Tab_Def_Flows[[Flow_ID]:[CC_DM_source]],MATCH(Tab_Data_Flows[[#This Row],[Name(EN)]],Tab_Def_Flows[Name(EN)],0),18)</f>
        <v>#N/A</v>
      </c>
      <c r="AG195" s="108" t="str">
        <f>IF(K195="Yes",AF195*Tab_Data_Flows[[#This Row],[Flow_Py]]-AJ311,"N.A.")</f>
        <v>N.A.</v>
      </c>
      <c r="AH195" s="61">
        <f>Tab_Data_Flows[[#This Row],[UoM_Flow_Py]]</f>
        <v>0</v>
      </c>
      <c r="AI195" s="107" t="e">
        <f>INDEX(Tab_Def_Flows[[Flow_ID]:[CC_DM_source]],MATCH(Tab_Data_Flows[[#This Row],[Name(EN)]],Tab_Def_Flows[Name(EN)],0),20)</f>
        <v>#N/A</v>
      </c>
      <c r="AJ195" s="108" t="str">
        <f>IF(L195="Yes",AI195*Tab_Data_Flows[[#This Row],[Flow_Py]]*Tab_Data_Flows[[#This Row],[DM_'[%']]],"N.A.")</f>
        <v>N.A.</v>
      </c>
      <c r="AK195" s="61">
        <f>Tab_Data_Flows[[#This Row],[UoM_Flow_Py]]</f>
        <v>0</v>
      </c>
    </row>
    <row r="196" spans="1:37" x14ac:dyDescent="0.25">
      <c r="A196" s="60">
        <f t="shared" si="6"/>
        <v>195</v>
      </c>
      <c r="B196" s="49" t="str">
        <f>_xlfn.XLOOKUP(C196,Tab_Def_Flows[Name(EN)],Tab_Def_Flows[Flow_ID],,0,)</f>
        <v>F_12_12</v>
      </c>
      <c r="C196" s="51"/>
      <c r="D196" s="49"/>
      <c r="E196" s="49">
        <f>_xlfn.XLOOKUP(C196,Tab_Def_Flows[Name(EN)],Tab_Def_Flows[Output_Process],,0,)</f>
        <v>0</v>
      </c>
      <c r="F196" s="49" t="str">
        <f>_xlfn.XLOOKUP(C196,Tab_Def_Flows[Name(EN)],Tab_Def_Flows[Process_ID_O],,0,)</f>
        <v>12__</v>
      </c>
      <c r="G196" s="49">
        <f>_xlfn.XLOOKUP(C196,Tab_Def_Flows[Name(EN)],Tab_Def_Flows[Input_Process],,0,)</f>
        <v>0</v>
      </c>
      <c r="H196" s="61" t="str">
        <f>_xlfn.XLOOKUP(C196,Tab_Def_Flows[Name(EN)],Tab_Def_Flows[Process_ID_I],,0,)</f>
        <v>12__</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c r="AC196" s="107" t="e">
        <f>INDEX(Tab_Def_Flows[[Flow_ID]:[CC_DM_source]],MATCH(Tab_Data_Flows[[#This Row],[Name(EN)]],Tab_Def_Flows[Name(EN)],0),16)</f>
        <v>#N/A</v>
      </c>
      <c r="AD196" s="108" t="str">
        <f>IF(J196="Yes",AA196*Tab_Data_Flows[[#This Row],[WC_'[%']]],"N.A.")</f>
        <v>N.A.</v>
      </c>
      <c r="AE196" s="61">
        <f>Tab_Data_Flows[[#This Row],[UoM_Flow_Py]]</f>
        <v>0</v>
      </c>
      <c r="AF196" s="107" t="e">
        <f>INDEX(Tab_Def_Flows[[Flow_ID]:[CC_DM_source]],MATCH(Tab_Data_Flows[[#This Row],[Name(EN)]],Tab_Def_Flows[Name(EN)],0),18)</f>
        <v>#N/A</v>
      </c>
      <c r="AG196" s="108" t="str">
        <f>IF(K196="Yes",AF196*Tab_Data_Flows[[#This Row],[Flow_Py]]-AJ312,"N.A.")</f>
        <v>N.A.</v>
      </c>
      <c r="AH196" s="61">
        <f>Tab_Data_Flows[[#This Row],[UoM_Flow_Py]]</f>
        <v>0</v>
      </c>
      <c r="AI196" s="107" t="e">
        <f>INDEX(Tab_Def_Flows[[Flow_ID]:[CC_DM_source]],MATCH(Tab_Data_Flows[[#This Row],[Name(EN)]],Tab_Def_Flows[Name(EN)],0),20)</f>
        <v>#N/A</v>
      </c>
      <c r="AJ196" s="108" t="str">
        <f>IF(L196="Yes",AI196*Tab_Data_Flows[[#This Row],[Flow_Py]]*Tab_Data_Flows[[#This Row],[DM_'[%']]],"N.A.")</f>
        <v>N.A.</v>
      </c>
      <c r="AK196" s="61">
        <f>Tab_Data_Flows[[#This Row],[UoM_Flow_Py]]</f>
        <v>0</v>
      </c>
    </row>
    <row r="197" spans="1:37" x14ac:dyDescent="0.25">
      <c r="A197" s="60">
        <f t="shared" si="6"/>
        <v>196</v>
      </c>
      <c r="B197" s="49" t="str">
        <f>_xlfn.XLOOKUP(C197,Tab_Def_Flows[Name(EN)],Tab_Def_Flows[Flow_ID],,0,)</f>
        <v>F_12_12</v>
      </c>
      <c r="C197" s="51"/>
      <c r="D197" s="49"/>
      <c r="E197" s="49">
        <f>_xlfn.XLOOKUP(C197,Tab_Def_Flows[Name(EN)],Tab_Def_Flows[Output_Process],,0,)</f>
        <v>0</v>
      </c>
      <c r="F197" s="49" t="str">
        <f>_xlfn.XLOOKUP(C197,Tab_Def_Flows[Name(EN)],Tab_Def_Flows[Process_ID_O],,0,)</f>
        <v>12__</v>
      </c>
      <c r="G197" s="49">
        <f>_xlfn.XLOOKUP(C197,Tab_Def_Flows[Name(EN)],Tab_Def_Flows[Input_Process],,0,)</f>
        <v>0</v>
      </c>
      <c r="H197" s="61" t="str">
        <f>_xlfn.XLOOKUP(C197,Tab_Def_Flows[Name(EN)],Tab_Def_Flows[Process_ID_I],,0,)</f>
        <v>12__</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c r="AC197" s="107" t="e">
        <f>INDEX(Tab_Def_Flows[[Flow_ID]:[CC_DM_source]],MATCH(Tab_Data_Flows[[#This Row],[Name(EN)]],Tab_Def_Flows[Name(EN)],0),16)</f>
        <v>#N/A</v>
      </c>
      <c r="AD197" s="108" t="str">
        <f>IF(J197="Yes",AA197*Tab_Data_Flows[[#This Row],[WC_'[%']]],"N.A.")</f>
        <v>N.A.</v>
      </c>
      <c r="AE197" s="61">
        <f>Tab_Data_Flows[[#This Row],[UoM_Flow_Py]]</f>
        <v>0</v>
      </c>
      <c r="AF197" s="107" t="e">
        <f>INDEX(Tab_Def_Flows[[Flow_ID]:[CC_DM_source]],MATCH(Tab_Data_Flows[[#This Row],[Name(EN)]],Tab_Def_Flows[Name(EN)],0),18)</f>
        <v>#N/A</v>
      </c>
      <c r="AG197" s="108" t="str">
        <f>IF(K197="Yes",AF197*Tab_Data_Flows[[#This Row],[Flow_Py]]-AJ313,"N.A.")</f>
        <v>N.A.</v>
      </c>
      <c r="AH197" s="61">
        <f>Tab_Data_Flows[[#This Row],[UoM_Flow_Py]]</f>
        <v>0</v>
      </c>
      <c r="AI197" s="107" t="e">
        <f>INDEX(Tab_Def_Flows[[Flow_ID]:[CC_DM_source]],MATCH(Tab_Data_Flows[[#This Row],[Name(EN)]],Tab_Def_Flows[Name(EN)],0),20)</f>
        <v>#N/A</v>
      </c>
      <c r="AJ197" s="108" t="str">
        <f>IF(L197="Yes",AI197*Tab_Data_Flows[[#This Row],[Flow_Py]]*Tab_Data_Flows[[#This Row],[DM_'[%']]],"N.A.")</f>
        <v>N.A.</v>
      </c>
      <c r="AK197" s="61">
        <f>Tab_Data_Flows[[#This Row],[UoM_Flow_Py]]</f>
        <v>0</v>
      </c>
    </row>
    <row r="198" spans="1:37" x14ac:dyDescent="0.25">
      <c r="A198" s="60">
        <f t="shared" si="6"/>
        <v>197</v>
      </c>
      <c r="B198" s="49" t="str">
        <f>_xlfn.XLOOKUP(C198,Tab_Def_Flows[Name(EN)],Tab_Def_Flows[Flow_ID],,0,)</f>
        <v>F_12_12</v>
      </c>
      <c r="C198" s="51"/>
      <c r="D198" s="49"/>
      <c r="E198" s="49">
        <f>_xlfn.XLOOKUP(C198,Tab_Def_Flows[Name(EN)],Tab_Def_Flows[Output_Process],,0,)</f>
        <v>0</v>
      </c>
      <c r="F198" s="49" t="str">
        <f>_xlfn.XLOOKUP(C198,Tab_Def_Flows[Name(EN)],Tab_Def_Flows[Process_ID_O],,0,)</f>
        <v>12__</v>
      </c>
      <c r="G198" s="49">
        <f>_xlfn.XLOOKUP(C198,Tab_Def_Flows[Name(EN)],Tab_Def_Flows[Input_Process],,0,)</f>
        <v>0</v>
      </c>
      <c r="H198" s="61" t="str">
        <f>_xlfn.XLOOKUP(C198,Tab_Def_Flows[Name(EN)],Tab_Def_Flows[Process_ID_I],,0,)</f>
        <v>12__</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c r="AC198" s="107" t="e">
        <f>INDEX(Tab_Def_Flows[[Flow_ID]:[CC_DM_source]],MATCH(Tab_Data_Flows[[#This Row],[Name(EN)]],Tab_Def_Flows[Name(EN)],0),16)</f>
        <v>#N/A</v>
      </c>
      <c r="AD198" s="108" t="str">
        <f>IF(J198="Yes",AA198*Tab_Data_Flows[[#This Row],[WC_'[%']]],"N.A.")</f>
        <v>N.A.</v>
      </c>
      <c r="AE198" s="61">
        <f>Tab_Data_Flows[[#This Row],[UoM_Flow_Py]]</f>
        <v>0</v>
      </c>
      <c r="AF198" s="107" t="e">
        <f>INDEX(Tab_Def_Flows[[Flow_ID]:[CC_DM_source]],MATCH(Tab_Data_Flows[[#This Row],[Name(EN)]],Tab_Def_Flows[Name(EN)],0),18)</f>
        <v>#N/A</v>
      </c>
      <c r="AG198" s="108" t="str">
        <f>IF(K198="Yes",AF198*Tab_Data_Flows[[#This Row],[Flow_Py]]-AJ314,"N.A.")</f>
        <v>N.A.</v>
      </c>
      <c r="AH198" s="61">
        <f>Tab_Data_Flows[[#This Row],[UoM_Flow_Py]]</f>
        <v>0</v>
      </c>
      <c r="AI198" s="107" t="e">
        <f>INDEX(Tab_Def_Flows[[Flow_ID]:[CC_DM_source]],MATCH(Tab_Data_Flows[[#This Row],[Name(EN)]],Tab_Def_Flows[Name(EN)],0),20)</f>
        <v>#N/A</v>
      </c>
      <c r="AJ198" s="108" t="str">
        <f>IF(L198="Yes",AI198*Tab_Data_Flows[[#This Row],[Flow_Py]]*Tab_Data_Flows[[#This Row],[DM_'[%']]],"N.A.")</f>
        <v>N.A.</v>
      </c>
      <c r="AK198" s="61">
        <f>Tab_Data_Flows[[#This Row],[UoM_Flow_Py]]</f>
        <v>0</v>
      </c>
    </row>
    <row r="199" spans="1:37" x14ac:dyDescent="0.25">
      <c r="A199" s="60">
        <f t="shared" si="6"/>
        <v>198</v>
      </c>
      <c r="B199" s="49" t="str">
        <f>_xlfn.XLOOKUP(C199,Tab_Def_Flows[Name(EN)],Tab_Def_Flows[Flow_ID],,0,)</f>
        <v>F_12_12</v>
      </c>
      <c r="C199" s="51"/>
      <c r="D199" s="49"/>
      <c r="E199" s="49">
        <f>_xlfn.XLOOKUP(C199,Tab_Def_Flows[Name(EN)],Tab_Def_Flows[Output_Process],,0,)</f>
        <v>0</v>
      </c>
      <c r="F199" s="49" t="str">
        <f>_xlfn.XLOOKUP(C199,Tab_Def_Flows[Name(EN)],Tab_Def_Flows[Process_ID_O],,0,)</f>
        <v>12__</v>
      </c>
      <c r="G199" s="49">
        <f>_xlfn.XLOOKUP(C199,Tab_Def_Flows[Name(EN)],Tab_Def_Flows[Input_Process],,0,)</f>
        <v>0</v>
      </c>
      <c r="H199" s="61" t="str">
        <f>_xlfn.XLOOKUP(C199,Tab_Def_Flows[Name(EN)],Tab_Def_Flows[Process_ID_I],,0,)</f>
        <v>12__</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c r="AC199" s="107" t="e">
        <f>INDEX(Tab_Def_Flows[[Flow_ID]:[CC_DM_source]],MATCH(Tab_Data_Flows[[#This Row],[Name(EN)]],Tab_Def_Flows[Name(EN)],0),16)</f>
        <v>#N/A</v>
      </c>
      <c r="AD199" s="108" t="str">
        <f>IF(J199="Yes",AA199*Tab_Data_Flows[[#This Row],[WC_'[%']]],"N.A.")</f>
        <v>N.A.</v>
      </c>
      <c r="AE199" s="61">
        <f>Tab_Data_Flows[[#This Row],[UoM_Flow_Py]]</f>
        <v>0</v>
      </c>
      <c r="AF199" s="107" t="e">
        <f>INDEX(Tab_Def_Flows[[Flow_ID]:[CC_DM_source]],MATCH(Tab_Data_Flows[[#This Row],[Name(EN)]],Tab_Def_Flows[Name(EN)],0),18)</f>
        <v>#N/A</v>
      </c>
      <c r="AG199" s="108" t="str">
        <f>IF(K199="Yes",AF199*Tab_Data_Flows[[#This Row],[Flow_Py]]-AJ315,"N.A.")</f>
        <v>N.A.</v>
      </c>
      <c r="AH199" s="61">
        <f>Tab_Data_Flows[[#This Row],[UoM_Flow_Py]]</f>
        <v>0</v>
      </c>
      <c r="AI199" s="107" t="e">
        <f>INDEX(Tab_Def_Flows[[Flow_ID]:[CC_DM_source]],MATCH(Tab_Data_Flows[[#This Row],[Name(EN)]],Tab_Def_Flows[Name(EN)],0),20)</f>
        <v>#N/A</v>
      </c>
      <c r="AJ199" s="108" t="str">
        <f>IF(L199="Yes",AI199*Tab_Data_Flows[[#This Row],[Flow_Py]]*Tab_Data_Flows[[#This Row],[DM_'[%']]],"N.A.")</f>
        <v>N.A.</v>
      </c>
      <c r="AK199" s="61">
        <f>Tab_Data_Flows[[#This Row],[UoM_Flow_Py]]</f>
        <v>0</v>
      </c>
    </row>
    <row r="200" spans="1:37" x14ac:dyDescent="0.25">
      <c r="A200" s="60">
        <f t="shared" si="6"/>
        <v>199</v>
      </c>
      <c r="B200" s="49" t="str">
        <f>_xlfn.XLOOKUP(C200,Tab_Def_Flows[Name(EN)],Tab_Def_Flows[Flow_ID],,0,)</f>
        <v>F_12_12</v>
      </c>
      <c r="C200" s="51"/>
      <c r="D200" s="49"/>
      <c r="E200" s="49">
        <f>_xlfn.XLOOKUP(C200,Tab_Def_Flows[Name(EN)],Tab_Def_Flows[Output_Process],,0,)</f>
        <v>0</v>
      </c>
      <c r="F200" s="49" t="str">
        <f>_xlfn.XLOOKUP(C200,Tab_Def_Flows[Name(EN)],Tab_Def_Flows[Process_ID_O],,0,)</f>
        <v>12__</v>
      </c>
      <c r="G200" s="49">
        <f>_xlfn.XLOOKUP(C200,Tab_Def_Flows[Name(EN)],Tab_Def_Flows[Input_Process],,0,)</f>
        <v>0</v>
      </c>
      <c r="H200" s="61" t="str">
        <f>_xlfn.XLOOKUP(C200,Tab_Def_Flows[Name(EN)],Tab_Def_Flows[Process_ID_I],,0,)</f>
        <v>12__</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c r="AC200" s="107" t="e">
        <f>INDEX(Tab_Def_Flows[[Flow_ID]:[CC_DM_source]],MATCH(Tab_Data_Flows[[#This Row],[Name(EN)]],Tab_Def_Flows[Name(EN)],0),16)</f>
        <v>#N/A</v>
      </c>
      <c r="AD200" s="108" t="str">
        <f>IF(J200="Yes",AA200*Tab_Data_Flows[[#This Row],[WC_'[%']]],"N.A.")</f>
        <v>N.A.</v>
      </c>
      <c r="AE200" s="61">
        <f>Tab_Data_Flows[[#This Row],[UoM_Flow_Py]]</f>
        <v>0</v>
      </c>
      <c r="AF200" s="107" t="e">
        <f>INDEX(Tab_Def_Flows[[Flow_ID]:[CC_DM_source]],MATCH(Tab_Data_Flows[[#This Row],[Name(EN)]],Tab_Def_Flows[Name(EN)],0),18)</f>
        <v>#N/A</v>
      </c>
      <c r="AG200" s="108" t="str">
        <f>IF(K200="Yes",AF200*Tab_Data_Flows[[#This Row],[Flow_Py]]-AJ316,"N.A.")</f>
        <v>N.A.</v>
      </c>
      <c r="AH200" s="61">
        <f>Tab_Data_Flows[[#This Row],[UoM_Flow_Py]]</f>
        <v>0</v>
      </c>
      <c r="AI200" s="107" t="e">
        <f>INDEX(Tab_Def_Flows[[Flow_ID]:[CC_DM_source]],MATCH(Tab_Data_Flows[[#This Row],[Name(EN)]],Tab_Def_Flows[Name(EN)],0),20)</f>
        <v>#N/A</v>
      </c>
      <c r="AJ200" s="108" t="str">
        <f>IF(L200="Yes",AI200*Tab_Data_Flows[[#This Row],[Flow_Py]]*Tab_Data_Flows[[#This Row],[DM_'[%']]],"N.A.")</f>
        <v>N.A.</v>
      </c>
      <c r="AK200" s="61">
        <f>Tab_Data_Flows[[#This Row],[UoM_Flow_Py]]</f>
        <v>0</v>
      </c>
    </row>
    <row r="201" spans="1:37" x14ac:dyDescent="0.25">
      <c r="A201" s="60">
        <f t="shared" si="6"/>
        <v>200</v>
      </c>
      <c r="B201" s="49" t="str">
        <f>_xlfn.XLOOKUP(C201,Tab_Def_Flows[Name(EN)],Tab_Def_Flows[Flow_ID],,0,)</f>
        <v>F_12_12</v>
      </c>
      <c r="C201" s="51"/>
      <c r="D201" s="49"/>
      <c r="E201" s="49">
        <f>_xlfn.XLOOKUP(C201,Tab_Def_Flows[Name(EN)],Tab_Def_Flows[Output_Process],,0,)</f>
        <v>0</v>
      </c>
      <c r="F201" s="49" t="str">
        <f>_xlfn.XLOOKUP(C201,Tab_Def_Flows[Name(EN)],Tab_Def_Flows[Process_ID_O],,0,)</f>
        <v>12__</v>
      </c>
      <c r="G201" s="49">
        <f>_xlfn.XLOOKUP(C201,Tab_Def_Flows[Name(EN)],Tab_Def_Flows[Input_Process],,0,)</f>
        <v>0</v>
      </c>
      <c r="H201" s="61" t="str">
        <f>_xlfn.XLOOKUP(C201,Tab_Def_Flows[Name(EN)],Tab_Def_Flows[Process_ID_I],,0,)</f>
        <v>12__</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c r="AC201" s="107" t="e">
        <f>INDEX(Tab_Def_Flows[[Flow_ID]:[CC_DM_source]],MATCH(Tab_Data_Flows[[#This Row],[Name(EN)]],Tab_Def_Flows[Name(EN)],0),16)</f>
        <v>#N/A</v>
      </c>
      <c r="AD201" s="108" t="str">
        <f>IF(J201="Yes",AA201*Tab_Data_Flows[[#This Row],[WC_'[%']]],"N.A.")</f>
        <v>N.A.</v>
      </c>
      <c r="AE201" s="61">
        <f>Tab_Data_Flows[[#This Row],[UoM_Flow_Py]]</f>
        <v>0</v>
      </c>
      <c r="AF201" s="107" t="e">
        <f>INDEX(Tab_Def_Flows[[Flow_ID]:[CC_DM_source]],MATCH(Tab_Data_Flows[[#This Row],[Name(EN)]],Tab_Def_Flows[Name(EN)],0),18)</f>
        <v>#N/A</v>
      </c>
      <c r="AG201" s="108" t="str">
        <f>IF(K201="Yes",AF201*Tab_Data_Flows[[#This Row],[Flow_Py]]-AJ317,"N.A.")</f>
        <v>N.A.</v>
      </c>
      <c r="AH201" s="61">
        <f>Tab_Data_Flows[[#This Row],[UoM_Flow_Py]]</f>
        <v>0</v>
      </c>
      <c r="AI201" s="107" t="e">
        <f>INDEX(Tab_Def_Flows[[Flow_ID]:[CC_DM_source]],MATCH(Tab_Data_Flows[[#This Row],[Name(EN)]],Tab_Def_Flows[Name(EN)],0),20)</f>
        <v>#N/A</v>
      </c>
      <c r="AJ201" s="108" t="str">
        <f>IF(L201="Yes",AI201*Tab_Data_Flows[[#This Row],[Flow_Py]]*Tab_Data_Flows[[#This Row],[DM_'[%']]],"N.A.")</f>
        <v>N.A.</v>
      </c>
      <c r="AK201" s="61">
        <f>Tab_Data_Flows[[#This Row],[UoM_Flow_Py]]</f>
        <v>0</v>
      </c>
    </row>
    <row r="202" spans="1:37" x14ac:dyDescent="0.25">
      <c r="A202" s="60">
        <f t="shared" si="6"/>
        <v>201</v>
      </c>
      <c r="B202" s="49" t="str">
        <f>_xlfn.XLOOKUP(C202,Tab_Def_Flows[Name(EN)],Tab_Def_Flows[Flow_ID],,0,)</f>
        <v>F_12_12</v>
      </c>
      <c r="C202" s="51"/>
      <c r="D202" s="49"/>
      <c r="E202" s="49">
        <f>_xlfn.XLOOKUP(C202,Tab_Def_Flows[Name(EN)],Tab_Def_Flows[Output_Process],,0,)</f>
        <v>0</v>
      </c>
      <c r="F202" s="49" t="str">
        <f>_xlfn.XLOOKUP(C202,Tab_Def_Flows[Name(EN)],Tab_Def_Flows[Process_ID_O],,0,)</f>
        <v>12__</v>
      </c>
      <c r="G202" s="49">
        <f>_xlfn.XLOOKUP(C202,Tab_Def_Flows[Name(EN)],Tab_Def_Flows[Input_Process],,0,)</f>
        <v>0</v>
      </c>
      <c r="H202" s="61" t="str">
        <f>_xlfn.XLOOKUP(C202,Tab_Def_Flows[Name(EN)],Tab_Def_Flows[Process_ID_I],,0,)</f>
        <v>12__</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c r="AC202" s="107" t="e">
        <f>INDEX(Tab_Def_Flows[[Flow_ID]:[CC_DM_source]],MATCH(Tab_Data_Flows[[#This Row],[Name(EN)]],Tab_Def_Flows[Name(EN)],0),16)</f>
        <v>#N/A</v>
      </c>
      <c r="AD202" s="108" t="str">
        <f>IF(J202="Yes",AA202*Tab_Data_Flows[[#This Row],[WC_'[%']]],"N.A.")</f>
        <v>N.A.</v>
      </c>
      <c r="AE202" s="61">
        <f>Tab_Data_Flows[[#This Row],[UoM_Flow_Py]]</f>
        <v>0</v>
      </c>
      <c r="AF202" s="107" t="e">
        <f>INDEX(Tab_Def_Flows[[Flow_ID]:[CC_DM_source]],MATCH(Tab_Data_Flows[[#This Row],[Name(EN)]],Tab_Def_Flows[Name(EN)],0),18)</f>
        <v>#N/A</v>
      </c>
      <c r="AG202" s="108" t="str">
        <f>IF(K202="Yes",AF202*Tab_Data_Flows[[#This Row],[Flow_Py]]-AJ318,"N.A.")</f>
        <v>N.A.</v>
      </c>
      <c r="AH202" s="61">
        <f>Tab_Data_Flows[[#This Row],[UoM_Flow_Py]]</f>
        <v>0</v>
      </c>
      <c r="AI202" s="107" t="e">
        <f>INDEX(Tab_Def_Flows[[Flow_ID]:[CC_DM_source]],MATCH(Tab_Data_Flows[[#This Row],[Name(EN)]],Tab_Def_Flows[Name(EN)],0),20)</f>
        <v>#N/A</v>
      </c>
      <c r="AJ202" s="108" t="str">
        <f>IF(L202="Yes",AI202*Tab_Data_Flows[[#This Row],[Flow_Py]]*Tab_Data_Flows[[#This Row],[DM_'[%']]],"N.A.")</f>
        <v>N.A.</v>
      </c>
      <c r="AK202" s="61">
        <f>Tab_Data_Flows[[#This Row],[UoM_Flow_Py]]</f>
        <v>0</v>
      </c>
    </row>
    <row r="203" spans="1:37" x14ac:dyDescent="0.25">
      <c r="A203" s="60">
        <f t="shared" si="6"/>
        <v>202</v>
      </c>
      <c r="B203" s="49" t="str">
        <f>_xlfn.XLOOKUP(C203,Tab_Def_Flows[Name(EN)],Tab_Def_Flows[Flow_ID],,0,)</f>
        <v>F_12_12</v>
      </c>
      <c r="C203" s="51"/>
      <c r="D203" s="49"/>
      <c r="E203" s="49">
        <f>_xlfn.XLOOKUP(C203,Tab_Def_Flows[Name(EN)],Tab_Def_Flows[Output_Process],,0,)</f>
        <v>0</v>
      </c>
      <c r="F203" s="49" t="str">
        <f>_xlfn.XLOOKUP(C203,Tab_Def_Flows[Name(EN)],Tab_Def_Flows[Process_ID_O],,0,)</f>
        <v>12__</v>
      </c>
      <c r="G203" s="49">
        <f>_xlfn.XLOOKUP(C203,Tab_Def_Flows[Name(EN)],Tab_Def_Flows[Input_Process],,0,)</f>
        <v>0</v>
      </c>
      <c r="H203" s="61" t="str">
        <f>_xlfn.XLOOKUP(C203,Tab_Def_Flows[Name(EN)],Tab_Def_Flows[Process_ID_I],,0,)</f>
        <v>12__</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c r="AC203" s="107" t="e">
        <f>INDEX(Tab_Def_Flows[[Flow_ID]:[CC_DM_source]],MATCH(Tab_Data_Flows[[#This Row],[Name(EN)]],Tab_Def_Flows[Name(EN)],0),16)</f>
        <v>#N/A</v>
      </c>
      <c r="AD203" s="108" t="str">
        <f>IF(J203="Yes",AA203*Tab_Data_Flows[[#This Row],[WC_'[%']]],"N.A.")</f>
        <v>N.A.</v>
      </c>
      <c r="AE203" s="61">
        <f>Tab_Data_Flows[[#This Row],[UoM_Flow_Py]]</f>
        <v>0</v>
      </c>
      <c r="AF203" s="107" t="e">
        <f>INDEX(Tab_Def_Flows[[Flow_ID]:[CC_DM_source]],MATCH(Tab_Data_Flows[[#This Row],[Name(EN)]],Tab_Def_Flows[Name(EN)],0),18)</f>
        <v>#N/A</v>
      </c>
      <c r="AG203" s="108" t="str">
        <f>IF(K203="Yes",AF203*Tab_Data_Flows[[#This Row],[Flow_Py]]-AJ319,"N.A.")</f>
        <v>N.A.</v>
      </c>
      <c r="AH203" s="61">
        <f>Tab_Data_Flows[[#This Row],[UoM_Flow_Py]]</f>
        <v>0</v>
      </c>
      <c r="AI203" s="107" t="e">
        <f>INDEX(Tab_Def_Flows[[Flow_ID]:[CC_DM_source]],MATCH(Tab_Data_Flows[[#This Row],[Name(EN)]],Tab_Def_Flows[Name(EN)],0),20)</f>
        <v>#N/A</v>
      </c>
      <c r="AJ203" s="108" t="str">
        <f>IF(L203="Yes",AI203*Tab_Data_Flows[[#This Row],[Flow_Py]]*Tab_Data_Flows[[#This Row],[DM_'[%']]],"N.A.")</f>
        <v>N.A.</v>
      </c>
      <c r="AK203" s="61">
        <f>Tab_Data_Flows[[#This Row],[UoM_Flow_Py]]</f>
        <v>0</v>
      </c>
    </row>
    <row r="204" spans="1:37" x14ac:dyDescent="0.25">
      <c r="A204" s="60">
        <f t="shared" si="6"/>
        <v>203</v>
      </c>
      <c r="B204" s="49" t="str">
        <f>_xlfn.XLOOKUP(C204,Tab_Def_Flows[Name(EN)],Tab_Def_Flows[Flow_ID],,0,)</f>
        <v>F_12_12</v>
      </c>
      <c r="C204" s="51"/>
      <c r="D204" s="49"/>
      <c r="E204" s="49">
        <f>_xlfn.XLOOKUP(C204,Tab_Def_Flows[Name(EN)],Tab_Def_Flows[Output_Process],,0,)</f>
        <v>0</v>
      </c>
      <c r="F204" s="49" t="str">
        <f>_xlfn.XLOOKUP(C204,Tab_Def_Flows[Name(EN)],Tab_Def_Flows[Process_ID_O],,0,)</f>
        <v>12__</v>
      </c>
      <c r="G204" s="49">
        <f>_xlfn.XLOOKUP(C204,Tab_Def_Flows[Name(EN)],Tab_Def_Flows[Input_Process],,0,)</f>
        <v>0</v>
      </c>
      <c r="H204" s="61" t="str">
        <f>_xlfn.XLOOKUP(C204,Tab_Def_Flows[Name(EN)],Tab_Def_Flows[Process_ID_I],,0,)</f>
        <v>12__</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c r="AC204" s="107" t="e">
        <f>INDEX(Tab_Def_Flows[[Flow_ID]:[CC_DM_source]],MATCH(Tab_Data_Flows[[#This Row],[Name(EN)]],Tab_Def_Flows[Name(EN)],0),16)</f>
        <v>#N/A</v>
      </c>
      <c r="AD204" s="108" t="str">
        <f>IF(J204="Yes",AA204*Tab_Data_Flows[[#This Row],[WC_'[%']]],"N.A.")</f>
        <v>N.A.</v>
      </c>
      <c r="AE204" s="61">
        <f>Tab_Data_Flows[[#This Row],[UoM_Flow_Py]]</f>
        <v>0</v>
      </c>
      <c r="AF204" s="107" t="e">
        <f>INDEX(Tab_Def_Flows[[Flow_ID]:[CC_DM_source]],MATCH(Tab_Data_Flows[[#This Row],[Name(EN)]],Tab_Def_Flows[Name(EN)],0),18)</f>
        <v>#N/A</v>
      </c>
      <c r="AG204" s="108" t="str">
        <f>IF(K204="Yes",AF204*Tab_Data_Flows[[#This Row],[Flow_Py]]-AJ320,"N.A.")</f>
        <v>N.A.</v>
      </c>
      <c r="AH204" s="61">
        <f>Tab_Data_Flows[[#This Row],[UoM_Flow_Py]]</f>
        <v>0</v>
      </c>
      <c r="AI204" s="107" t="e">
        <f>INDEX(Tab_Def_Flows[[Flow_ID]:[CC_DM_source]],MATCH(Tab_Data_Flows[[#This Row],[Name(EN)]],Tab_Def_Flows[Name(EN)],0),20)</f>
        <v>#N/A</v>
      </c>
      <c r="AJ204" s="108" t="str">
        <f>IF(L204="Yes",AI204*Tab_Data_Flows[[#This Row],[Flow_Py]]*Tab_Data_Flows[[#This Row],[DM_'[%']]],"N.A.")</f>
        <v>N.A.</v>
      </c>
      <c r="AK204" s="61">
        <f>Tab_Data_Flows[[#This Row],[UoM_Flow_Py]]</f>
        <v>0</v>
      </c>
    </row>
    <row r="205" spans="1:37" x14ac:dyDescent="0.25">
      <c r="A205" s="60">
        <f t="shared" si="6"/>
        <v>204</v>
      </c>
      <c r="B205" s="49" t="str">
        <f>_xlfn.XLOOKUP(C205,Tab_Def_Flows[Name(EN)],Tab_Def_Flows[Flow_ID],,0,)</f>
        <v>F_12_12</v>
      </c>
      <c r="C205" s="51"/>
      <c r="D205" s="49">
        <f>_xlfn.XLOOKUP(C205,Tab_Def_Flows[Name(EN)],Tab_Def_Flows[Type_Biomass],,0,)</f>
        <v>0</v>
      </c>
      <c r="E205" s="49">
        <f>_xlfn.XLOOKUP(C205,Tab_Def_Flows[Name(EN)],Tab_Def_Flows[Output_Process],,0,)</f>
        <v>0</v>
      </c>
      <c r="F205" s="49" t="str">
        <f>_xlfn.XLOOKUP(C205,Tab_Def_Flows[Name(EN)],Tab_Def_Flows[Process_ID_O],,0,)</f>
        <v>12__</v>
      </c>
      <c r="G205" s="49">
        <f>_xlfn.XLOOKUP(C205,Tab_Def_Flows[Name(EN)],Tab_Def_Flows[Input_Process],,0,)</f>
        <v>0</v>
      </c>
      <c r="H205" s="61" t="str">
        <f>_xlfn.XLOOKUP(C205,Tab_Def_Flows[Name(EN)],Tab_Def_Flows[Process_ID_I],,0,)</f>
        <v>12__</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349</v>
      </c>
      <c r="O205" s="114"/>
      <c r="P205" s="51"/>
      <c r="Q205" s="51"/>
      <c r="R205" s="51"/>
      <c r="S205" s="51"/>
      <c r="T205" s="51"/>
      <c r="U205" s="51"/>
      <c r="V205" s="51"/>
      <c r="W205" s="51"/>
      <c r="X205" s="51" t="s">
        <v>70</v>
      </c>
      <c r="Y205" s="104"/>
      <c r="Z205" s="51"/>
      <c r="AA205" s="85">
        <f t="shared" si="7"/>
        <v>0</v>
      </c>
      <c r="AB205" s="51"/>
      <c r="AC205" s="107" t="e">
        <f>INDEX(Tab_Def_Flows[[Flow_ID]:[CC_DM_source]],MATCH(Tab_Data_Flows[[#This Row],[Name(EN)]],Tab_Def_Flows[Name(EN)],0),16)</f>
        <v>#N/A</v>
      </c>
      <c r="AD205" s="108" t="str">
        <f>IF(J205="Yes",AA205*Tab_Data_Flows[[#This Row],[WC_'[%']]],"N.A.")</f>
        <v>N.A.</v>
      </c>
      <c r="AE205" s="61">
        <f>Tab_Data_Flows[[#This Row],[UoM_Flow_Py]]</f>
        <v>0</v>
      </c>
      <c r="AF205" s="107" t="e">
        <f>INDEX(Tab_Def_Flows[[Flow_ID]:[CC_DM_source]],MATCH(Tab_Data_Flows[[#This Row],[Name(EN)]],Tab_Def_Flows[Name(EN)],0),18)</f>
        <v>#N/A</v>
      </c>
      <c r="AG205" s="108" t="str">
        <f>IF(K205="Yes",AF205*Tab_Data_Flows[[#This Row],[Flow_Py]],"N.A.")</f>
        <v>N.A.</v>
      </c>
      <c r="AH205" s="61">
        <f>Tab_Data_Flows[[#This Row],[UoM_Flow_Py]]</f>
        <v>0</v>
      </c>
      <c r="AI205" s="107" t="e">
        <f>INDEX(Tab_Def_Flows[[Flow_ID]:[CC_DM_source]],MATCH(Tab_Data_Flows[[#This Row],[Name(EN)]],Tab_Def_Flows[Name(EN)],0),20)</f>
        <v>#N/A</v>
      </c>
      <c r="AJ205" s="108" t="str">
        <f>IF(L205="Yes",AI205*Tab_Data_Flows[[#This Row],[Flow_Py]]*Tab_Data_Flows[[#This Row],[DM_'[%']]],"N.A.")</f>
        <v>N.A.</v>
      </c>
      <c r="AK205" s="61">
        <f>Tab_Data_Flows[[#This Row],[UoM_Flow_Py]]</f>
        <v>0</v>
      </c>
    </row>
    <row r="206" spans="1:37" x14ac:dyDescent="0.25">
      <c r="A206" s="60">
        <f t="shared" si="6"/>
        <v>205</v>
      </c>
      <c r="B206" s="49" t="str">
        <f>_xlfn.XLOOKUP(C206,Tab_Def_Flows[Name(EN)],Tab_Def_Flows[Flow_ID],,0,)</f>
        <v>F_12_12</v>
      </c>
      <c r="C206" s="51"/>
      <c r="D206" s="49">
        <f>_xlfn.XLOOKUP(C206,Tab_Def_Flows[Name(EN)],Tab_Def_Flows[Type_Biomass],,0,)</f>
        <v>0</v>
      </c>
      <c r="E206" s="49">
        <f>_xlfn.XLOOKUP(C206,Tab_Def_Flows[Name(EN)],Tab_Def_Flows[Output_Process],,0,)</f>
        <v>0</v>
      </c>
      <c r="F206" s="49" t="str">
        <f>_xlfn.XLOOKUP(C206,Tab_Def_Flows[Name(EN)],Tab_Def_Flows[Process_ID_O],,0,)</f>
        <v>12__</v>
      </c>
      <c r="G206" s="49">
        <f>_xlfn.XLOOKUP(C206,Tab_Def_Flows[Name(EN)],Tab_Def_Flows[Input_Process],,0,)</f>
        <v>0</v>
      </c>
      <c r="H206" s="61" t="str">
        <f>_xlfn.XLOOKUP(C206,Tab_Def_Flows[Name(EN)],Tab_Def_Flows[Process_ID_I],,0,)</f>
        <v>12__</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349</v>
      </c>
      <c r="O206" s="114"/>
      <c r="P206" s="51"/>
      <c r="Q206" s="51"/>
      <c r="R206" s="51"/>
      <c r="S206" s="51"/>
      <c r="T206" s="51"/>
      <c r="U206" s="51"/>
      <c r="V206" s="51"/>
      <c r="W206" s="51"/>
      <c r="X206" s="51" t="s">
        <v>70</v>
      </c>
      <c r="Y206" s="104"/>
      <c r="Z206" s="51"/>
      <c r="AA206" s="85">
        <f t="shared" si="7"/>
        <v>0</v>
      </c>
      <c r="AB206" s="51"/>
      <c r="AC206" s="107" t="e">
        <f>INDEX(Tab_Def_Flows[[Flow_ID]:[CC_DM_source]],MATCH(Tab_Data_Flows[[#This Row],[Name(EN)]],Tab_Def_Flows[Name(EN)],0),16)</f>
        <v>#N/A</v>
      </c>
      <c r="AD206" s="108" t="str">
        <f>IF(J206="Yes",AA206*Tab_Data_Flows[[#This Row],[WC_'[%']]],"N.A.")</f>
        <v>N.A.</v>
      </c>
      <c r="AE206" s="61">
        <f>Tab_Data_Flows[[#This Row],[UoM_Flow_Py]]</f>
        <v>0</v>
      </c>
      <c r="AF206" s="107" t="e">
        <f>INDEX(Tab_Def_Flows[[Flow_ID]:[CC_DM_source]],MATCH(Tab_Data_Flows[[#This Row],[Name(EN)]],Tab_Def_Flows[Name(EN)],0),18)</f>
        <v>#N/A</v>
      </c>
      <c r="AG206" s="108" t="str">
        <f>IF(K206="Yes",AF206*Tab_Data_Flows[[#This Row],[Flow_Py]],"N.A.")</f>
        <v>N.A.</v>
      </c>
      <c r="AH206" s="61">
        <f>Tab_Data_Flows[[#This Row],[UoM_Flow_Py]]</f>
        <v>0</v>
      </c>
      <c r="AI206" s="107" t="e">
        <f>INDEX(Tab_Def_Flows[[Flow_ID]:[CC_DM_source]],MATCH(Tab_Data_Flows[[#This Row],[Name(EN)]],Tab_Def_Flows[Name(EN)],0),20)</f>
        <v>#N/A</v>
      </c>
      <c r="AJ206" s="108" t="str">
        <f>IF(L206="Yes",AI206*Tab_Data_Flows[[#This Row],[Flow_Py]]*Tab_Data_Flows[[#This Row],[DM_'[%']]],"N.A.")</f>
        <v>N.A.</v>
      </c>
      <c r="AK206" s="61">
        <f>Tab_Data_Flows[[#This Row],[UoM_Flow_Py]]</f>
        <v>0</v>
      </c>
    </row>
    <row r="207" spans="1:37" x14ac:dyDescent="0.25">
      <c r="A207" s="60">
        <f t="shared" si="6"/>
        <v>206</v>
      </c>
      <c r="B207" s="49" t="str">
        <f>_xlfn.XLOOKUP(C207,Tab_Def_Flows[Name(EN)],Tab_Def_Flows[Flow_ID],,0,)</f>
        <v>F_12_12</v>
      </c>
      <c r="C207" s="51"/>
      <c r="D207" s="49">
        <f>_xlfn.XLOOKUP(C207,Tab_Def_Flows[Name(EN)],Tab_Def_Flows[Type_Biomass],,0,)</f>
        <v>0</v>
      </c>
      <c r="E207" s="49">
        <f>_xlfn.XLOOKUP(C207,Tab_Def_Flows[Name(EN)],Tab_Def_Flows[Output_Process],,0,)</f>
        <v>0</v>
      </c>
      <c r="F207" s="49" t="str">
        <f>_xlfn.XLOOKUP(C207,Tab_Def_Flows[Name(EN)],Tab_Def_Flows[Process_ID_O],,0,)</f>
        <v>12__</v>
      </c>
      <c r="G207" s="49">
        <f>_xlfn.XLOOKUP(C207,Tab_Def_Flows[Name(EN)],Tab_Def_Flows[Input_Process],,0,)</f>
        <v>0</v>
      </c>
      <c r="H207" s="61" t="str">
        <f>_xlfn.XLOOKUP(C207,Tab_Def_Flows[Name(EN)],Tab_Def_Flows[Process_ID_I],,0,)</f>
        <v>12__</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349</v>
      </c>
      <c r="O207" s="114"/>
      <c r="P207" s="51"/>
      <c r="Q207" s="51"/>
      <c r="R207" s="51"/>
      <c r="S207" s="51"/>
      <c r="T207" s="51"/>
      <c r="U207" s="51"/>
      <c r="V207" s="51"/>
      <c r="W207" s="51"/>
      <c r="X207" s="51" t="s">
        <v>70</v>
      </c>
      <c r="Y207" s="104"/>
      <c r="Z207" s="51"/>
      <c r="AA207" s="85">
        <f t="shared" si="7"/>
        <v>0</v>
      </c>
      <c r="AB207" s="51"/>
      <c r="AC207" s="107" t="e">
        <f>INDEX(Tab_Def_Flows[[Flow_ID]:[CC_DM_source]],MATCH(Tab_Data_Flows[[#This Row],[Name(EN)]],Tab_Def_Flows[Name(EN)],0),16)</f>
        <v>#N/A</v>
      </c>
      <c r="AD207" s="108" t="str">
        <f>IF(J207="Yes",AA207*Tab_Data_Flows[[#This Row],[WC_'[%']]],"N.A.")</f>
        <v>N.A.</v>
      </c>
      <c r="AE207" s="61">
        <f>Tab_Data_Flows[[#This Row],[UoM_Flow_Py]]</f>
        <v>0</v>
      </c>
      <c r="AF207" s="107" t="e">
        <f>INDEX(Tab_Def_Flows[[Flow_ID]:[CC_DM_source]],MATCH(Tab_Data_Flows[[#This Row],[Name(EN)]],Tab_Def_Flows[Name(EN)],0),18)</f>
        <v>#N/A</v>
      </c>
      <c r="AG207" s="108" t="str">
        <f>IF(K207="Yes",AF207*Tab_Data_Flows[[#This Row],[Flow_Py]],"N.A.")</f>
        <v>N.A.</v>
      </c>
      <c r="AH207" s="61">
        <f>Tab_Data_Flows[[#This Row],[UoM_Flow_Py]]</f>
        <v>0</v>
      </c>
      <c r="AI207" s="107" t="e">
        <f>INDEX(Tab_Def_Flows[[Flow_ID]:[CC_DM_source]],MATCH(Tab_Data_Flows[[#This Row],[Name(EN)]],Tab_Def_Flows[Name(EN)],0),20)</f>
        <v>#N/A</v>
      </c>
      <c r="AJ207" s="108" t="str">
        <f>IF(L207="Yes",AI207*Tab_Data_Flows[[#This Row],[Flow_Py]]*Tab_Data_Flows[[#This Row],[DM_'[%']]],"N.A.")</f>
        <v>N.A.</v>
      </c>
      <c r="AK207" s="61">
        <f>Tab_Data_Flows[[#This Row],[UoM_Flow_Py]]</f>
        <v>0</v>
      </c>
    </row>
    <row r="208" spans="1:37" x14ac:dyDescent="0.25">
      <c r="A208" s="60">
        <f t="shared" si="6"/>
        <v>207</v>
      </c>
      <c r="B208" s="49" t="str">
        <f>_xlfn.XLOOKUP(C208,Tab_Def_Flows[Name(EN)],Tab_Def_Flows[Flow_ID],,0,)</f>
        <v>F_12_12</v>
      </c>
      <c r="C208" s="51"/>
      <c r="D208" s="49">
        <f>_xlfn.XLOOKUP(C208,Tab_Def_Flows[Name(EN)],Tab_Def_Flows[Type_Biomass],,0,)</f>
        <v>0</v>
      </c>
      <c r="E208" s="49">
        <f>_xlfn.XLOOKUP(C208,Tab_Def_Flows[Name(EN)],Tab_Def_Flows[Output_Process],,0,)</f>
        <v>0</v>
      </c>
      <c r="F208" s="49" t="str">
        <f>_xlfn.XLOOKUP(C208,Tab_Def_Flows[Name(EN)],Tab_Def_Flows[Process_ID_O],,0,)</f>
        <v>12__</v>
      </c>
      <c r="G208" s="49">
        <f>_xlfn.XLOOKUP(C208,Tab_Def_Flows[Name(EN)],Tab_Def_Flows[Input_Process],,0,)</f>
        <v>0</v>
      </c>
      <c r="H208" s="61" t="str">
        <f>_xlfn.XLOOKUP(C208,Tab_Def_Flows[Name(EN)],Tab_Def_Flows[Process_ID_I],,0,)</f>
        <v>12__</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349</v>
      </c>
      <c r="O208" s="114"/>
      <c r="P208" s="51"/>
      <c r="Q208" s="51"/>
      <c r="R208" s="51"/>
      <c r="S208" s="51"/>
      <c r="T208" s="51"/>
      <c r="U208" s="51"/>
      <c r="V208" s="51"/>
      <c r="W208" s="51"/>
      <c r="X208" s="51" t="s">
        <v>70</v>
      </c>
      <c r="Y208" s="104"/>
      <c r="Z208" s="51"/>
      <c r="AA208" s="85">
        <f t="shared" si="7"/>
        <v>0</v>
      </c>
      <c r="AB208" s="51"/>
      <c r="AC208" s="107" t="e">
        <f>INDEX(Tab_Def_Flows[[Flow_ID]:[CC_DM_source]],MATCH(Tab_Data_Flows[[#This Row],[Name(EN)]],Tab_Def_Flows[Name(EN)],0),16)</f>
        <v>#N/A</v>
      </c>
      <c r="AD208" s="108" t="str">
        <f>IF(J208="Yes",AA208*Tab_Data_Flows[[#This Row],[WC_'[%']]],"N.A.")</f>
        <v>N.A.</v>
      </c>
      <c r="AE208" s="61">
        <f>Tab_Data_Flows[[#This Row],[UoM_Flow_Py]]</f>
        <v>0</v>
      </c>
      <c r="AF208" s="107" t="e">
        <f>INDEX(Tab_Def_Flows[[Flow_ID]:[CC_DM_source]],MATCH(Tab_Data_Flows[[#This Row],[Name(EN)]],Tab_Def_Flows[Name(EN)],0),18)</f>
        <v>#N/A</v>
      </c>
      <c r="AG208" s="108" t="str">
        <f>IF(K208="Yes",AF208*Tab_Data_Flows[[#This Row],[Flow_Py]],"N.A.")</f>
        <v>N.A.</v>
      </c>
      <c r="AH208" s="61">
        <f>Tab_Data_Flows[[#This Row],[UoM_Flow_Py]]</f>
        <v>0</v>
      </c>
      <c r="AI208" s="107" t="e">
        <f>INDEX(Tab_Def_Flows[[Flow_ID]:[CC_DM_source]],MATCH(Tab_Data_Flows[[#This Row],[Name(EN)]],Tab_Def_Flows[Name(EN)],0),20)</f>
        <v>#N/A</v>
      </c>
      <c r="AJ208" s="108" t="str">
        <f>IF(L208="Yes",AI208*Tab_Data_Flows[[#This Row],[Flow_Py]]*Tab_Data_Flows[[#This Row],[DM_'[%']]],"N.A.")</f>
        <v>N.A.</v>
      </c>
      <c r="AK208" s="61">
        <f>Tab_Data_Flows[[#This Row],[UoM_Flow_Py]]</f>
        <v>0</v>
      </c>
    </row>
    <row r="209" spans="1:37" x14ac:dyDescent="0.25">
      <c r="A209" s="60">
        <f t="shared" si="6"/>
        <v>208</v>
      </c>
      <c r="B209" s="49" t="str">
        <f>_xlfn.XLOOKUP(C209,Tab_Def_Flows[Name(EN)],Tab_Def_Flows[Flow_ID],,0,)</f>
        <v>F_12_12</v>
      </c>
      <c r="C209" s="51"/>
      <c r="D209" s="49">
        <f>_xlfn.XLOOKUP(C209,Tab_Def_Flows[Name(EN)],Tab_Def_Flows[Type_Biomass],,0,)</f>
        <v>0</v>
      </c>
      <c r="E209" s="49">
        <f>_xlfn.XLOOKUP(C209,Tab_Def_Flows[Name(EN)],Tab_Def_Flows[Output_Process],,0,)</f>
        <v>0</v>
      </c>
      <c r="F209" s="49" t="str">
        <f>_xlfn.XLOOKUP(C209,Tab_Def_Flows[Name(EN)],Tab_Def_Flows[Process_ID_O],,0,)</f>
        <v>12__</v>
      </c>
      <c r="G209" s="49">
        <f>_xlfn.XLOOKUP(C209,Tab_Def_Flows[Name(EN)],Tab_Def_Flows[Input_Process],,0,)</f>
        <v>0</v>
      </c>
      <c r="H209" s="61" t="str">
        <f>_xlfn.XLOOKUP(C209,Tab_Def_Flows[Name(EN)],Tab_Def_Flows[Process_ID_I],,0,)</f>
        <v>12__</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349</v>
      </c>
      <c r="O209" s="114"/>
      <c r="P209" s="51"/>
      <c r="Q209" s="51"/>
      <c r="R209" s="51"/>
      <c r="S209" s="51"/>
      <c r="T209" s="51"/>
      <c r="U209" s="51"/>
      <c r="V209" s="51"/>
      <c r="W209" s="51"/>
      <c r="X209" s="51" t="s">
        <v>70</v>
      </c>
      <c r="Y209" s="104"/>
      <c r="Z209" s="51"/>
      <c r="AA209" s="85">
        <f t="shared" si="7"/>
        <v>0</v>
      </c>
      <c r="AB209" s="51"/>
      <c r="AC209" s="107" t="e">
        <f>INDEX(Tab_Def_Flows[[Flow_ID]:[CC_DM_source]],MATCH(Tab_Data_Flows[[#This Row],[Name(EN)]],Tab_Def_Flows[Name(EN)],0),16)</f>
        <v>#N/A</v>
      </c>
      <c r="AD209" s="108" t="str">
        <f>IF(J209="Yes",AA209*Tab_Data_Flows[[#This Row],[WC_'[%']]],"N.A.")</f>
        <v>N.A.</v>
      </c>
      <c r="AE209" s="61">
        <f>Tab_Data_Flows[[#This Row],[UoM_Flow_Py]]</f>
        <v>0</v>
      </c>
      <c r="AF209" s="107" t="e">
        <f>INDEX(Tab_Def_Flows[[Flow_ID]:[CC_DM_source]],MATCH(Tab_Data_Flows[[#This Row],[Name(EN)]],Tab_Def_Flows[Name(EN)],0),18)</f>
        <v>#N/A</v>
      </c>
      <c r="AG209" s="108" t="str">
        <f>IF(K209="Yes",AF209*Tab_Data_Flows[[#This Row],[Flow_Py]],"N.A.")</f>
        <v>N.A.</v>
      </c>
      <c r="AH209" s="61">
        <f>Tab_Data_Flows[[#This Row],[UoM_Flow_Py]]</f>
        <v>0</v>
      </c>
      <c r="AI209" s="107" t="e">
        <f>INDEX(Tab_Def_Flows[[Flow_ID]:[CC_DM_source]],MATCH(Tab_Data_Flows[[#This Row],[Name(EN)]],Tab_Def_Flows[Name(EN)],0),20)</f>
        <v>#N/A</v>
      </c>
      <c r="AJ209" s="108" t="str">
        <f>IF(L209="Yes",AI209*Tab_Data_Flows[[#This Row],[Flow_Py]]*Tab_Data_Flows[[#This Row],[DM_'[%']]],"N.A.")</f>
        <v>N.A.</v>
      </c>
      <c r="AK209" s="61">
        <f>Tab_Data_Flows[[#This Row],[UoM_Flow_Py]]</f>
        <v>0</v>
      </c>
    </row>
    <row r="210" spans="1:37" x14ac:dyDescent="0.25">
      <c r="A210" s="60">
        <f t="shared" si="6"/>
        <v>209</v>
      </c>
      <c r="B210" s="49" t="str">
        <f>_xlfn.XLOOKUP(C210,Tab_Def_Flows[Name(EN)],Tab_Def_Flows[Flow_ID],,0,)</f>
        <v>F_12_12</v>
      </c>
      <c r="C210" s="51"/>
      <c r="D210" s="49">
        <f>_xlfn.XLOOKUP(C210,Tab_Def_Flows[Name(EN)],Tab_Def_Flows[Type_Biomass],,0,)</f>
        <v>0</v>
      </c>
      <c r="E210" s="49">
        <f>_xlfn.XLOOKUP(C210,Tab_Def_Flows[Name(EN)],Tab_Def_Flows[Output_Process],,0,)</f>
        <v>0</v>
      </c>
      <c r="F210" s="49" t="str">
        <f>_xlfn.XLOOKUP(C210,Tab_Def_Flows[Name(EN)],Tab_Def_Flows[Process_ID_O],,0,)</f>
        <v>12__</v>
      </c>
      <c r="G210" s="49">
        <f>_xlfn.XLOOKUP(C210,Tab_Def_Flows[Name(EN)],Tab_Def_Flows[Input_Process],,0,)</f>
        <v>0</v>
      </c>
      <c r="H210" s="61" t="str">
        <f>_xlfn.XLOOKUP(C210,Tab_Def_Flows[Name(EN)],Tab_Def_Flows[Process_ID_I],,0,)</f>
        <v>12__</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349</v>
      </c>
      <c r="O210" s="114"/>
      <c r="P210" s="51"/>
      <c r="Q210" s="51"/>
      <c r="R210" s="51"/>
      <c r="S210" s="51"/>
      <c r="T210" s="51"/>
      <c r="U210" s="51"/>
      <c r="V210" s="51"/>
      <c r="W210" s="51"/>
      <c r="X210" s="51" t="s">
        <v>70</v>
      </c>
      <c r="Y210" s="104"/>
      <c r="Z210" s="51"/>
      <c r="AA210" s="85">
        <f t="shared" si="7"/>
        <v>0</v>
      </c>
      <c r="AB210" s="51"/>
      <c r="AC210" s="107" t="e">
        <f>INDEX(Tab_Def_Flows[[Flow_ID]:[CC_DM_source]],MATCH(Tab_Data_Flows[[#This Row],[Name(EN)]],Tab_Def_Flows[Name(EN)],0),16)</f>
        <v>#N/A</v>
      </c>
      <c r="AD210" s="108" t="str">
        <f>IF(J210="Yes",AA210*Tab_Data_Flows[[#This Row],[WC_'[%']]],"N.A.")</f>
        <v>N.A.</v>
      </c>
      <c r="AE210" s="61">
        <f>Tab_Data_Flows[[#This Row],[UoM_Flow_Py]]</f>
        <v>0</v>
      </c>
      <c r="AF210" s="107" t="e">
        <f>INDEX(Tab_Def_Flows[[Flow_ID]:[CC_DM_source]],MATCH(Tab_Data_Flows[[#This Row],[Name(EN)]],Tab_Def_Flows[Name(EN)],0),18)</f>
        <v>#N/A</v>
      </c>
      <c r="AG210" s="108" t="str">
        <f>IF(K210="Yes",AF210*Tab_Data_Flows[[#This Row],[Flow_Py]],"N.A.")</f>
        <v>N.A.</v>
      </c>
      <c r="AH210" s="61">
        <f>Tab_Data_Flows[[#This Row],[UoM_Flow_Py]]</f>
        <v>0</v>
      </c>
      <c r="AI210" s="107" t="e">
        <f>INDEX(Tab_Def_Flows[[Flow_ID]:[CC_DM_source]],MATCH(Tab_Data_Flows[[#This Row],[Name(EN)]],Tab_Def_Flows[Name(EN)],0),20)</f>
        <v>#N/A</v>
      </c>
      <c r="AJ210" s="108" t="str">
        <f>IF(L210="Yes",AI210*Tab_Data_Flows[[#This Row],[Flow_Py]]*Tab_Data_Flows[[#This Row],[DM_'[%']]],"N.A.")</f>
        <v>N.A.</v>
      </c>
      <c r="AK210" s="61">
        <f>Tab_Data_Flows[[#This Row],[UoM_Flow_Py]]</f>
        <v>0</v>
      </c>
    </row>
    <row r="211" spans="1:37" x14ac:dyDescent="0.25">
      <c r="A211" s="60">
        <f t="shared" si="6"/>
        <v>210</v>
      </c>
      <c r="B211" s="49" t="str">
        <f>_xlfn.XLOOKUP(C211,Tab_Def_Flows[Name(EN)],Tab_Def_Flows[Flow_ID],,0,)</f>
        <v>F_12_12</v>
      </c>
      <c r="C211" s="51"/>
      <c r="D211" s="49">
        <f>_xlfn.XLOOKUP(C211,Tab_Def_Flows[Name(EN)],Tab_Def_Flows[Type_Biomass],,0,)</f>
        <v>0</v>
      </c>
      <c r="E211" s="49">
        <f>_xlfn.XLOOKUP(C211,Tab_Def_Flows[Name(EN)],Tab_Def_Flows[Output_Process],,0,)</f>
        <v>0</v>
      </c>
      <c r="F211" s="49" t="str">
        <f>_xlfn.XLOOKUP(C211,Tab_Def_Flows[Name(EN)],Tab_Def_Flows[Process_ID_O],,0,)</f>
        <v>12__</v>
      </c>
      <c r="G211" s="49">
        <f>_xlfn.XLOOKUP(C211,Tab_Def_Flows[Name(EN)],Tab_Def_Flows[Input_Process],,0,)</f>
        <v>0</v>
      </c>
      <c r="H211" s="61" t="str">
        <f>_xlfn.XLOOKUP(C211,Tab_Def_Flows[Name(EN)],Tab_Def_Flows[Process_ID_I],,0,)</f>
        <v>12__</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349</v>
      </c>
      <c r="O211" s="114"/>
      <c r="P211" s="51"/>
      <c r="Q211" s="51"/>
      <c r="R211" s="51"/>
      <c r="S211" s="51"/>
      <c r="T211" s="51"/>
      <c r="U211" s="51"/>
      <c r="V211" s="51"/>
      <c r="W211" s="51"/>
      <c r="X211" s="51" t="s">
        <v>70</v>
      </c>
      <c r="Y211" s="104"/>
      <c r="Z211" s="51"/>
      <c r="AA211" s="85">
        <f t="shared" si="7"/>
        <v>0</v>
      </c>
      <c r="AB211" s="51"/>
      <c r="AC211" s="107" t="e">
        <f>INDEX(Tab_Def_Flows[[Flow_ID]:[CC_DM_source]],MATCH(Tab_Data_Flows[[#This Row],[Name(EN)]],Tab_Def_Flows[Name(EN)],0),16)</f>
        <v>#N/A</v>
      </c>
      <c r="AD211" s="108" t="str">
        <f>IF(J211="Yes",AA211*Tab_Data_Flows[[#This Row],[WC_'[%']]],"N.A.")</f>
        <v>N.A.</v>
      </c>
      <c r="AE211" s="61">
        <f>Tab_Data_Flows[[#This Row],[UoM_Flow_Py]]</f>
        <v>0</v>
      </c>
      <c r="AF211" s="107" t="e">
        <f>INDEX(Tab_Def_Flows[[Flow_ID]:[CC_DM_source]],MATCH(Tab_Data_Flows[[#This Row],[Name(EN)]],Tab_Def_Flows[Name(EN)],0),18)</f>
        <v>#N/A</v>
      </c>
      <c r="AG211" s="108" t="str">
        <f>IF(K211="Yes",AF211*Tab_Data_Flows[[#This Row],[Flow_Py]],"N.A.")</f>
        <v>N.A.</v>
      </c>
      <c r="AH211" s="61">
        <f>Tab_Data_Flows[[#This Row],[UoM_Flow_Py]]</f>
        <v>0</v>
      </c>
      <c r="AI211" s="107" t="e">
        <f>INDEX(Tab_Def_Flows[[Flow_ID]:[CC_DM_source]],MATCH(Tab_Data_Flows[[#This Row],[Name(EN)]],Tab_Def_Flows[Name(EN)],0),20)</f>
        <v>#N/A</v>
      </c>
      <c r="AJ211" s="108" t="str">
        <f>IF(L211="Yes",AI211*Tab_Data_Flows[[#This Row],[Flow_Py]]*Tab_Data_Flows[[#This Row],[DM_'[%']]],"N.A.")</f>
        <v>N.A.</v>
      </c>
      <c r="AK211" s="61">
        <f>Tab_Data_Flows[[#This Row],[UoM_Flow_Py]]</f>
        <v>0</v>
      </c>
    </row>
    <row r="212" spans="1:37" x14ac:dyDescent="0.25">
      <c r="A212" s="60">
        <f t="shared" si="6"/>
        <v>211</v>
      </c>
      <c r="B212" s="49" t="str">
        <f>_xlfn.XLOOKUP(C212,Tab_Def_Flows[Name(EN)],Tab_Def_Flows[Flow_ID],,0,)</f>
        <v>F_12_12</v>
      </c>
      <c r="C212" s="51"/>
      <c r="D212" s="49">
        <f>_xlfn.XLOOKUP(C212,Tab_Def_Flows[Name(EN)],Tab_Def_Flows[Type_Biomass],,0,)</f>
        <v>0</v>
      </c>
      <c r="E212" s="49">
        <f>_xlfn.XLOOKUP(C212,Tab_Def_Flows[Name(EN)],Tab_Def_Flows[Output_Process],,0,)</f>
        <v>0</v>
      </c>
      <c r="F212" s="49" t="str">
        <f>_xlfn.XLOOKUP(C212,Tab_Def_Flows[Name(EN)],Tab_Def_Flows[Process_ID_O],,0,)</f>
        <v>12__</v>
      </c>
      <c r="G212" s="49">
        <f>_xlfn.XLOOKUP(C212,Tab_Def_Flows[Name(EN)],Tab_Def_Flows[Input_Process],,0,)</f>
        <v>0</v>
      </c>
      <c r="H212" s="61" t="str">
        <f>_xlfn.XLOOKUP(C212,Tab_Def_Flows[Name(EN)],Tab_Def_Flows[Process_ID_I],,0,)</f>
        <v>12__</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c r="AC212" s="107" t="e">
        <f>INDEX(Tab_Def_Flows[[Flow_ID]:[CC_DM_source]],MATCH(Tab_Data_Flows[[#This Row],[Name(EN)]],Tab_Def_Flows[Name(EN)],0),16)</f>
        <v>#N/A</v>
      </c>
      <c r="AD212" s="108" t="str">
        <f>IF(J212="Yes",AA212*Tab_Data_Flows[[#This Row],[WC_'[%']]],"N.A.")</f>
        <v>N.A.</v>
      </c>
      <c r="AE212" s="61">
        <f>Tab_Data_Flows[[#This Row],[UoM_Flow_Py]]</f>
        <v>0</v>
      </c>
      <c r="AF212" s="107" t="e">
        <f>INDEX(Tab_Def_Flows[[Flow_ID]:[CC_DM_source]],MATCH(Tab_Data_Flows[[#This Row],[Name(EN)]],Tab_Def_Flows[Name(EN)],0),18)</f>
        <v>#N/A</v>
      </c>
      <c r="AG212" s="108" t="str">
        <f>IF(K212="Yes",AF212*Tab_Data_Flows[[#This Row],[Flow_Py]],"N.A.")</f>
        <v>N.A.</v>
      </c>
      <c r="AH212" s="61">
        <f>Tab_Data_Flows[[#This Row],[UoM_Flow_Py]]</f>
        <v>0</v>
      </c>
      <c r="AI212" s="107" t="e">
        <f>INDEX(Tab_Def_Flows[[Flow_ID]:[CC_DM_source]],MATCH(Tab_Data_Flows[[#This Row],[Name(EN)]],Tab_Def_Flows[Name(EN)],0),20)</f>
        <v>#N/A</v>
      </c>
      <c r="AJ212" s="108" t="str">
        <f>IF(L212="Yes",AI212*Tab_Data_Flows[[#This Row],[Flow_Py]]*Tab_Data_Flows[[#This Row],[DM_'[%']]],"N.A.")</f>
        <v>N.A.</v>
      </c>
      <c r="AK212" s="61">
        <f>Tab_Data_Flows[[#This Row],[UoM_Flow_Py]]</f>
        <v>0</v>
      </c>
    </row>
    <row r="213" spans="1:37" x14ac:dyDescent="0.25">
      <c r="A213" s="60">
        <f t="shared" si="6"/>
        <v>212</v>
      </c>
      <c r="B213" s="49" t="str">
        <f>_xlfn.XLOOKUP(C213,Tab_Def_Flows[Name(EN)],Tab_Def_Flows[Flow_ID],,0,)</f>
        <v>F_12_12</v>
      </c>
      <c r="C213" s="51"/>
      <c r="D213" s="49">
        <f>_xlfn.XLOOKUP(C213,Tab_Def_Flows[Name(EN)],Tab_Def_Flows[Type_Biomass],,0,)</f>
        <v>0</v>
      </c>
      <c r="E213" s="49">
        <f>_xlfn.XLOOKUP(C213,Tab_Def_Flows[Name(EN)],Tab_Def_Flows[Output_Process],,0,)</f>
        <v>0</v>
      </c>
      <c r="F213" s="49" t="str">
        <f>_xlfn.XLOOKUP(C213,Tab_Def_Flows[Name(EN)],Tab_Def_Flows[Process_ID_O],,0,)</f>
        <v>12__</v>
      </c>
      <c r="G213" s="49">
        <f>_xlfn.XLOOKUP(C213,Tab_Def_Flows[Name(EN)],Tab_Def_Flows[Input_Process],,0,)</f>
        <v>0</v>
      </c>
      <c r="H213" s="61" t="str">
        <f>_xlfn.XLOOKUP(C213,Tab_Def_Flows[Name(EN)],Tab_Def_Flows[Process_ID_I],,0,)</f>
        <v>12__</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c r="AC213" s="107" t="e">
        <f>INDEX(Tab_Def_Flows[[Flow_ID]:[CC_DM_source]],MATCH(Tab_Data_Flows[[#This Row],[Name(EN)]],Tab_Def_Flows[Name(EN)],0),16)</f>
        <v>#N/A</v>
      </c>
      <c r="AD213" s="108" t="str">
        <f>IF(J213="Yes",AA213*Tab_Data_Flows[[#This Row],[WC_'[%']]],"N.A.")</f>
        <v>N.A.</v>
      </c>
      <c r="AE213" s="61">
        <f>Tab_Data_Flows[[#This Row],[UoM_Flow_Py]]</f>
        <v>0</v>
      </c>
      <c r="AF213" s="107" t="e">
        <f>INDEX(Tab_Def_Flows[[Flow_ID]:[CC_DM_source]],MATCH(Tab_Data_Flows[[#This Row],[Name(EN)]],Tab_Def_Flows[Name(EN)],0),18)</f>
        <v>#N/A</v>
      </c>
      <c r="AG213" s="108" t="str">
        <f>IF(K213="Yes",AF213*Tab_Data_Flows[[#This Row],[Flow_Py]],"N.A.")</f>
        <v>N.A.</v>
      </c>
      <c r="AH213" s="61">
        <f>Tab_Data_Flows[[#This Row],[UoM_Flow_Py]]</f>
        <v>0</v>
      </c>
      <c r="AI213" s="107" t="e">
        <f>INDEX(Tab_Def_Flows[[Flow_ID]:[CC_DM_source]],MATCH(Tab_Data_Flows[[#This Row],[Name(EN)]],Tab_Def_Flows[Name(EN)],0),20)</f>
        <v>#N/A</v>
      </c>
      <c r="AJ213" s="108" t="str">
        <f>IF(L213="Yes",AI213*Tab_Data_Flows[[#This Row],[Flow_Py]]*Tab_Data_Flows[[#This Row],[DM_'[%']]],"N.A.")</f>
        <v>N.A.</v>
      </c>
      <c r="AK213" s="61">
        <f>Tab_Data_Flows[[#This Row],[UoM_Flow_Py]]</f>
        <v>0</v>
      </c>
    </row>
    <row r="214" spans="1:37" x14ac:dyDescent="0.25">
      <c r="A214" s="60">
        <f t="shared" si="6"/>
        <v>213</v>
      </c>
      <c r="B214" s="49" t="str">
        <f>_xlfn.XLOOKUP(C214,Tab_Def_Flows[Name(EN)],Tab_Def_Flows[Flow_ID],,0,)</f>
        <v>F_12_12</v>
      </c>
      <c r="C214" s="51"/>
      <c r="D214" s="49">
        <f>_xlfn.XLOOKUP(C214,Tab_Def_Flows[Name(EN)],Tab_Def_Flows[Type_Biomass],,0,)</f>
        <v>0</v>
      </c>
      <c r="E214" s="49">
        <f>_xlfn.XLOOKUP(C214,Tab_Def_Flows[Name(EN)],Tab_Def_Flows[Output_Process],,0,)</f>
        <v>0</v>
      </c>
      <c r="F214" s="49" t="str">
        <f>_xlfn.XLOOKUP(C214,Tab_Def_Flows[Name(EN)],Tab_Def_Flows[Process_ID_O],,0,)</f>
        <v>12__</v>
      </c>
      <c r="G214" s="49">
        <f>_xlfn.XLOOKUP(C214,Tab_Def_Flows[Name(EN)],Tab_Def_Flows[Input_Process],,0,)</f>
        <v>0</v>
      </c>
      <c r="H214" s="61" t="str">
        <f>_xlfn.XLOOKUP(C214,Tab_Def_Flows[Name(EN)],Tab_Def_Flows[Process_ID_I],,0,)</f>
        <v>12__</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c r="AC214" s="107" t="e">
        <f>INDEX(Tab_Def_Flows[[Flow_ID]:[CC_DM_source]],MATCH(Tab_Data_Flows[[#This Row],[Name(EN)]],Tab_Def_Flows[Name(EN)],0),16)</f>
        <v>#N/A</v>
      </c>
      <c r="AD214" s="108" t="str">
        <f>IF(J214="Yes",AA214*Tab_Data_Flows[[#This Row],[WC_'[%']]],"N.A.")</f>
        <v>N.A.</v>
      </c>
      <c r="AE214" s="61">
        <f>Tab_Data_Flows[[#This Row],[UoM_Flow_Py]]</f>
        <v>0</v>
      </c>
      <c r="AF214" s="107" t="e">
        <f>INDEX(Tab_Def_Flows[[Flow_ID]:[CC_DM_source]],MATCH(Tab_Data_Flows[[#This Row],[Name(EN)]],Tab_Def_Flows[Name(EN)],0),18)</f>
        <v>#N/A</v>
      </c>
      <c r="AG214" s="108" t="str">
        <f>IF(K214="Yes",AF214*Tab_Data_Flows[[#This Row],[Flow_Py]],"N.A.")</f>
        <v>N.A.</v>
      </c>
      <c r="AH214" s="61">
        <f>Tab_Data_Flows[[#This Row],[UoM_Flow_Py]]</f>
        <v>0</v>
      </c>
      <c r="AI214" s="107" t="e">
        <f>INDEX(Tab_Def_Flows[[Flow_ID]:[CC_DM_source]],MATCH(Tab_Data_Flows[[#This Row],[Name(EN)]],Tab_Def_Flows[Name(EN)],0),20)</f>
        <v>#N/A</v>
      </c>
      <c r="AJ214" s="108" t="str">
        <f>IF(L214="Yes",AI214*Tab_Data_Flows[[#This Row],[Flow_Py]]*Tab_Data_Flows[[#This Row],[DM_'[%']]],"N.A.")</f>
        <v>N.A.</v>
      </c>
      <c r="AK214" s="61">
        <f>Tab_Data_Flows[[#This Row],[UoM_Flow_Py]]</f>
        <v>0</v>
      </c>
    </row>
    <row r="215" spans="1:37" x14ac:dyDescent="0.25">
      <c r="A215" s="60">
        <f t="shared" si="6"/>
        <v>214</v>
      </c>
      <c r="B215" s="49" t="str">
        <f>_xlfn.XLOOKUP(C215,Tab_Def_Flows[Name(EN)],Tab_Def_Flows[Flow_ID],,0,)</f>
        <v>F_12_12</v>
      </c>
      <c r="C215" s="51"/>
      <c r="D215" s="49">
        <f>_xlfn.XLOOKUP(C215,Tab_Def_Flows[Name(EN)],Tab_Def_Flows[Type_Biomass],,0,)</f>
        <v>0</v>
      </c>
      <c r="E215" s="49">
        <f>_xlfn.XLOOKUP(C215,Tab_Def_Flows[Name(EN)],Tab_Def_Flows[Output_Process],,0,)</f>
        <v>0</v>
      </c>
      <c r="F215" s="49" t="str">
        <f>_xlfn.XLOOKUP(C215,Tab_Def_Flows[Name(EN)],Tab_Def_Flows[Process_ID_O],,0,)</f>
        <v>12__</v>
      </c>
      <c r="G215" s="49">
        <f>_xlfn.XLOOKUP(C215,Tab_Def_Flows[Name(EN)],Tab_Def_Flows[Input_Process],,0,)</f>
        <v>0</v>
      </c>
      <c r="H215" s="61" t="str">
        <f>_xlfn.XLOOKUP(C215,Tab_Def_Flows[Name(EN)],Tab_Def_Flows[Process_ID_I],,0,)</f>
        <v>12__</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c r="AC215" s="107" t="e">
        <f>INDEX(Tab_Def_Flows[[Flow_ID]:[CC_DM_source]],MATCH(Tab_Data_Flows[[#This Row],[Name(EN)]],Tab_Def_Flows[Name(EN)],0),16)</f>
        <v>#N/A</v>
      </c>
      <c r="AD215" s="108" t="str">
        <f>IF(J215="Yes",AA215*Tab_Data_Flows[[#This Row],[WC_'[%']]],"N.A.")</f>
        <v>N.A.</v>
      </c>
      <c r="AE215" s="61">
        <f>Tab_Data_Flows[[#This Row],[UoM_Flow_Py]]</f>
        <v>0</v>
      </c>
      <c r="AF215" s="107" t="e">
        <f>INDEX(Tab_Def_Flows[[Flow_ID]:[CC_DM_source]],MATCH(Tab_Data_Flows[[#This Row],[Name(EN)]],Tab_Def_Flows[Name(EN)],0),18)</f>
        <v>#N/A</v>
      </c>
      <c r="AG215" s="108" t="str">
        <f>IF(K215="Yes",AF215*Tab_Data_Flows[[#This Row],[Flow_Py]],"N.A.")</f>
        <v>N.A.</v>
      </c>
      <c r="AH215" s="61">
        <f>Tab_Data_Flows[[#This Row],[UoM_Flow_Py]]</f>
        <v>0</v>
      </c>
      <c r="AI215" s="107" t="e">
        <f>INDEX(Tab_Def_Flows[[Flow_ID]:[CC_DM_source]],MATCH(Tab_Data_Flows[[#This Row],[Name(EN)]],Tab_Def_Flows[Name(EN)],0),20)</f>
        <v>#N/A</v>
      </c>
      <c r="AJ215" s="108" t="str">
        <f>IF(L215="Yes",AI215*Tab_Data_Flows[[#This Row],[Flow_Py]]*Tab_Data_Flows[[#This Row],[DM_'[%']]],"N.A.")</f>
        <v>N.A.</v>
      </c>
      <c r="AK215" s="61">
        <f>Tab_Data_Flows[[#This Row],[UoM_Flow_Py]]</f>
        <v>0</v>
      </c>
    </row>
    <row r="216" spans="1:37" x14ac:dyDescent="0.25">
      <c r="A216" s="60">
        <f t="shared" si="6"/>
        <v>215</v>
      </c>
      <c r="B216" s="49" t="str">
        <f>_xlfn.XLOOKUP(C216,Tab_Def_Flows[Name(EN)],Tab_Def_Flows[Flow_ID],,0,)</f>
        <v>F_12_12</v>
      </c>
      <c r="C216" s="51"/>
      <c r="D216" s="49">
        <f>_xlfn.XLOOKUP(C216,Tab_Def_Flows[Name(EN)],Tab_Def_Flows[Type_Biomass],,0,)</f>
        <v>0</v>
      </c>
      <c r="E216" s="49">
        <f>_xlfn.XLOOKUP(C216,Tab_Def_Flows[Name(EN)],Tab_Def_Flows[Output_Process],,0,)</f>
        <v>0</v>
      </c>
      <c r="F216" s="49" t="str">
        <f>_xlfn.XLOOKUP(C216,Tab_Def_Flows[Name(EN)],Tab_Def_Flows[Process_ID_O],,0,)</f>
        <v>12__</v>
      </c>
      <c r="G216" s="49">
        <f>_xlfn.XLOOKUP(C216,Tab_Def_Flows[Name(EN)],Tab_Def_Flows[Input_Process],,0,)</f>
        <v>0</v>
      </c>
      <c r="H216" s="61" t="str">
        <f>_xlfn.XLOOKUP(C216,Tab_Def_Flows[Name(EN)],Tab_Def_Flows[Process_ID_I],,0,)</f>
        <v>12__</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c r="AC216" s="107" t="e">
        <f>INDEX(Tab_Def_Flows[[Flow_ID]:[CC_DM_source]],MATCH(Tab_Data_Flows[[#This Row],[Name(EN)]],Tab_Def_Flows[Name(EN)],0),16)</f>
        <v>#N/A</v>
      </c>
      <c r="AD216" s="108" t="str">
        <f>IF(J216="Yes",AA216*Tab_Data_Flows[[#This Row],[WC_'[%']]],"N.A.")</f>
        <v>N.A.</v>
      </c>
      <c r="AE216" s="61">
        <f>Tab_Data_Flows[[#This Row],[UoM_Flow_Py]]</f>
        <v>0</v>
      </c>
      <c r="AF216" s="107" t="e">
        <f>INDEX(Tab_Def_Flows[[Flow_ID]:[CC_DM_source]],MATCH(Tab_Data_Flows[[#This Row],[Name(EN)]],Tab_Def_Flows[Name(EN)],0),18)</f>
        <v>#N/A</v>
      </c>
      <c r="AG216" s="108" t="str">
        <f>IF(K216="Yes",AF216*Tab_Data_Flows[[#This Row],[Flow_Py]],"N.A.")</f>
        <v>N.A.</v>
      </c>
      <c r="AH216" s="61">
        <f>Tab_Data_Flows[[#This Row],[UoM_Flow_Py]]</f>
        <v>0</v>
      </c>
      <c r="AI216" s="107" t="e">
        <f>INDEX(Tab_Def_Flows[[Flow_ID]:[CC_DM_source]],MATCH(Tab_Data_Flows[[#This Row],[Name(EN)]],Tab_Def_Flows[Name(EN)],0),20)</f>
        <v>#N/A</v>
      </c>
      <c r="AJ216" s="108" t="str">
        <f>IF(L216="Yes",AI216*Tab_Data_Flows[[#This Row],[Flow_Py]]*Tab_Data_Flows[[#This Row],[DM_'[%']]],"N.A.")</f>
        <v>N.A.</v>
      </c>
      <c r="AK216" s="61">
        <f>Tab_Data_Flows[[#This Row],[UoM_Flow_Py]]</f>
        <v>0</v>
      </c>
    </row>
    <row r="217" spans="1:37" x14ac:dyDescent="0.25">
      <c r="A217" s="60">
        <f t="shared" si="6"/>
        <v>216</v>
      </c>
      <c r="B217" s="49" t="str">
        <f>_xlfn.XLOOKUP(C217,Tab_Def_Flows[Name(EN)],Tab_Def_Flows[Flow_ID],,0,)</f>
        <v>F_12_12</v>
      </c>
      <c r="C217" s="51"/>
      <c r="D217" s="49">
        <f>_xlfn.XLOOKUP(C217,Tab_Def_Flows[Name(EN)],Tab_Def_Flows[Type_Biomass],,0,)</f>
        <v>0</v>
      </c>
      <c r="E217" s="49">
        <f>_xlfn.XLOOKUP(C217,Tab_Def_Flows[Name(EN)],Tab_Def_Flows[Output_Process],,0,)</f>
        <v>0</v>
      </c>
      <c r="F217" s="49" t="str">
        <f>_xlfn.XLOOKUP(C217,Tab_Def_Flows[Name(EN)],Tab_Def_Flows[Process_ID_O],,0,)</f>
        <v>12__</v>
      </c>
      <c r="G217" s="49">
        <f>_xlfn.XLOOKUP(C217,Tab_Def_Flows[Name(EN)],Tab_Def_Flows[Input_Process],,0,)</f>
        <v>0</v>
      </c>
      <c r="H217" s="61" t="str">
        <f>_xlfn.XLOOKUP(C217,Tab_Def_Flows[Name(EN)],Tab_Def_Flows[Process_ID_I],,0,)</f>
        <v>12__</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c r="AC217" s="107" t="e">
        <f>INDEX(Tab_Def_Flows[[Flow_ID]:[CC_DM_source]],MATCH(Tab_Data_Flows[[#This Row],[Name(EN)]],Tab_Def_Flows[Name(EN)],0),16)</f>
        <v>#N/A</v>
      </c>
      <c r="AD217" s="108" t="str">
        <f>IF(J217="Yes",AA217*Tab_Data_Flows[[#This Row],[WC_'[%']]],"N.A.")</f>
        <v>N.A.</v>
      </c>
      <c r="AE217" s="61">
        <f>Tab_Data_Flows[[#This Row],[UoM_Flow_Py]]</f>
        <v>0</v>
      </c>
      <c r="AF217" s="107" t="e">
        <f>INDEX(Tab_Def_Flows[[Flow_ID]:[CC_DM_source]],MATCH(Tab_Data_Flows[[#This Row],[Name(EN)]],Tab_Def_Flows[Name(EN)],0),18)</f>
        <v>#N/A</v>
      </c>
      <c r="AG217" s="108" t="str">
        <f>IF(K217="Yes",AF217*Tab_Data_Flows[[#This Row],[Flow_Py]],"N.A.")</f>
        <v>N.A.</v>
      </c>
      <c r="AH217" s="61">
        <f>Tab_Data_Flows[[#This Row],[UoM_Flow_Py]]</f>
        <v>0</v>
      </c>
      <c r="AI217" s="107" t="e">
        <f>INDEX(Tab_Def_Flows[[Flow_ID]:[CC_DM_source]],MATCH(Tab_Data_Flows[[#This Row],[Name(EN)]],Tab_Def_Flows[Name(EN)],0),20)</f>
        <v>#N/A</v>
      </c>
      <c r="AJ217" s="108" t="str">
        <f>IF(L217="Yes",AI217*Tab_Data_Flows[[#This Row],[Flow_Py]]*Tab_Data_Flows[[#This Row],[DM_'[%']]],"N.A.")</f>
        <v>N.A.</v>
      </c>
      <c r="AK217" s="61">
        <f>Tab_Data_Flows[[#This Row],[UoM_Flow_Py]]</f>
        <v>0</v>
      </c>
    </row>
    <row r="218" spans="1:37" x14ac:dyDescent="0.25">
      <c r="A218" s="60">
        <f t="shared" si="6"/>
        <v>217</v>
      </c>
      <c r="B218" s="49" t="str">
        <f>_xlfn.XLOOKUP(C218,Tab_Def_Flows[Name(EN)],Tab_Def_Flows[Flow_ID],,0,)</f>
        <v>F_12_12</v>
      </c>
      <c r="C218" s="51"/>
      <c r="D218" s="49">
        <f>_xlfn.XLOOKUP(C218,Tab_Def_Flows[Name(EN)],Tab_Def_Flows[Type_Biomass],,0,)</f>
        <v>0</v>
      </c>
      <c r="E218" s="49">
        <f>_xlfn.XLOOKUP(C218,Tab_Def_Flows[Name(EN)],Tab_Def_Flows[Output_Process],,0,)</f>
        <v>0</v>
      </c>
      <c r="F218" s="49" t="str">
        <f>_xlfn.XLOOKUP(C218,Tab_Def_Flows[Name(EN)],Tab_Def_Flows[Process_ID_O],,0,)</f>
        <v>12__</v>
      </c>
      <c r="G218" s="49">
        <f>_xlfn.XLOOKUP(C218,Tab_Def_Flows[Name(EN)],Tab_Def_Flows[Input_Process],,0,)</f>
        <v>0</v>
      </c>
      <c r="H218" s="61" t="str">
        <f>_xlfn.XLOOKUP(C218,Tab_Def_Flows[Name(EN)],Tab_Def_Flows[Process_ID_I],,0,)</f>
        <v>12__</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c r="AC218" s="107" t="e">
        <f>INDEX(Tab_Def_Flows[[Flow_ID]:[CC_DM_source]],MATCH(Tab_Data_Flows[[#This Row],[Name(EN)]],Tab_Def_Flows[Name(EN)],0),16)</f>
        <v>#N/A</v>
      </c>
      <c r="AD218" s="108" t="str">
        <f>IF(J218="Yes",AA218*Tab_Data_Flows[[#This Row],[WC_'[%']]],"N.A.")</f>
        <v>N.A.</v>
      </c>
      <c r="AE218" s="61">
        <f>Tab_Data_Flows[[#This Row],[UoM_Flow_Py]]</f>
        <v>0</v>
      </c>
      <c r="AF218" s="107" t="e">
        <f>INDEX(Tab_Def_Flows[[Flow_ID]:[CC_DM_source]],MATCH(Tab_Data_Flows[[#This Row],[Name(EN)]],Tab_Def_Flows[Name(EN)],0),18)</f>
        <v>#N/A</v>
      </c>
      <c r="AG218" s="108" t="str">
        <f>IF(K218="Yes",AF218*Tab_Data_Flows[[#This Row],[Flow_Py]],"N.A.")</f>
        <v>N.A.</v>
      </c>
      <c r="AH218" s="61">
        <f>Tab_Data_Flows[[#This Row],[UoM_Flow_Py]]</f>
        <v>0</v>
      </c>
      <c r="AI218" s="107" t="e">
        <f>INDEX(Tab_Def_Flows[[Flow_ID]:[CC_DM_source]],MATCH(Tab_Data_Flows[[#This Row],[Name(EN)]],Tab_Def_Flows[Name(EN)],0),20)</f>
        <v>#N/A</v>
      </c>
      <c r="AJ218" s="108" t="str">
        <f>IF(L218="Yes",AI218*Tab_Data_Flows[[#This Row],[Flow_Py]]*Tab_Data_Flows[[#This Row],[DM_'[%']]],"N.A.")</f>
        <v>N.A.</v>
      </c>
      <c r="AK218" s="61">
        <f>Tab_Data_Flows[[#This Row],[UoM_Flow_Py]]</f>
        <v>0</v>
      </c>
    </row>
    <row r="219" spans="1:37" x14ac:dyDescent="0.25">
      <c r="A219" s="60">
        <f t="shared" si="6"/>
        <v>218</v>
      </c>
      <c r="B219" s="49" t="str">
        <f>_xlfn.XLOOKUP(C219,Tab_Def_Flows[Name(EN)],Tab_Def_Flows[Flow_ID],,0,)</f>
        <v>F_12_12</v>
      </c>
      <c r="C219" s="51"/>
      <c r="D219" s="49">
        <f>_xlfn.XLOOKUP(C219,Tab_Def_Flows[Name(EN)],Tab_Def_Flows[Type_Biomass],,0,)</f>
        <v>0</v>
      </c>
      <c r="E219" s="49">
        <f>_xlfn.XLOOKUP(C219,Tab_Def_Flows[Name(EN)],Tab_Def_Flows[Output_Process],,0,)</f>
        <v>0</v>
      </c>
      <c r="F219" s="49" t="str">
        <f>_xlfn.XLOOKUP(C219,Tab_Def_Flows[Name(EN)],Tab_Def_Flows[Process_ID_O],,0,)</f>
        <v>12__</v>
      </c>
      <c r="G219" s="49">
        <f>_xlfn.XLOOKUP(C219,Tab_Def_Flows[Name(EN)],Tab_Def_Flows[Input_Process],,0,)</f>
        <v>0</v>
      </c>
      <c r="H219" s="61" t="str">
        <f>_xlfn.XLOOKUP(C219,Tab_Def_Flows[Name(EN)],Tab_Def_Flows[Process_ID_I],,0,)</f>
        <v>12__</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c r="AC219" s="107" t="e">
        <f>INDEX(Tab_Def_Flows[[Flow_ID]:[CC_DM_source]],MATCH(Tab_Data_Flows[[#This Row],[Name(EN)]],Tab_Def_Flows[Name(EN)],0),16)</f>
        <v>#N/A</v>
      </c>
      <c r="AD219" s="108" t="str">
        <f>IF(J219="Yes",AA219*Tab_Data_Flows[[#This Row],[WC_'[%']]],"N.A.")</f>
        <v>N.A.</v>
      </c>
      <c r="AE219" s="61">
        <f>Tab_Data_Flows[[#This Row],[UoM_Flow_Py]]</f>
        <v>0</v>
      </c>
      <c r="AF219" s="107" t="e">
        <f>INDEX(Tab_Def_Flows[[Flow_ID]:[CC_DM_source]],MATCH(Tab_Data_Flows[[#This Row],[Name(EN)]],Tab_Def_Flows[Name(EN)],0),18)</f>
        <v>#N/A</v>
      </c>
      <c r="AG219" s="108" t="str">
        <f>IF(K219="Yes",AF219*Tab_Data_Flows[[#This Row],[Flow_Py]],"N.A.")</f>
        <v>N.A.</v>
      </c>
      <c r="AH219" s="61">
        <f>Tab_Data_Flows[[#This Row],[UoM_Flow_Py]]</f>
        <v>0</v>
      </c>
      <c r="AI219" s="107" t="e">
        <f>INDEX(Tab_Def_Flows[[Flow_ID]:[CC_DM_source]],MATCH(Tab_Data_Flows[[#This Row],[Name(EN)]],Tab_Def_Flows[Name(EN)],0),20)</f>
        <v>#N/A</v>
      </c>
      <c r="AJ219" s="108" t="str">
        <f>IF(L219="Yes",AI219*Tab_Data_Flows[[#This Row],[Flow_Py]]*Tab_Data_Flows[[#This Row],[DM_'[%']]],"N.A.")</f>
        <v>N.A.</v>
      </c>
      <c r="AK219" s="61">
        <f>Tab_Data_Flows[[#This Row],[UoM_Flow_Py]]</f>
        <v>0</v>
      </c>
    </row>
    <row r="220" spans="1:37" x14ac:dyDescent="0.25">
      <c r="A220" s="60">
        <f t="shared" si="6"/>
        <v>219</v>
      </c>
      <c r="B220" s="49" t="str">
        <f>_xlfn.XLOOKUP(C220,Tab_Def_Flows[Name(EN)],Tab_Def_Flows[Flow_ID],,0,)</f>
        <v>F_12_12</v>
      </c>
      <c r="C220" s="51"/>
      <c r="D220" s="49">
        <f>_xlfn.XLOOKUP(C220,Tab_Def_Flows[Name(EN)],Tab_Def_Flows[Type_Biomass],,0,)</f>
        <v>0</v>
      </c>
      <c r="E220" s="49">
        <f>_xlfn.XLOOKUP(C220,Tab_Def_Flows[Name(EN)],Tab_Def_Flows[Output_Process],,0,)</f>
        <v>0</v>
      </c>
      <c r="F220" s="49" t="str">
        <f>_xlfn.XLOOKUP(C220,Tab_Def_Flows[Name(EN)],Tab_Def_Flows[Process_ID_O],,0,)</f>
        <v>12__</v>
      </c>
      <c r="G220" s="49">
        <f>_xlfn.XLOOKUP(C220,Tab_Def_Flows[Name(EN)],Tab_Def_Flows[Input_Process],,0,)</f>
        <v>0</v>
      </c>
      <c r="H220" s="61" t="str">
        <f>_xlfn.XLOOKUP(C220,Tab_Def_Flows[Name(EN)],Tab_Def_Flows[Process_ID_I],,0,)</f>
        <v>12__</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c r="AC220" s="107" t="e">
        <f>INDEX(Tab_Def_Flows[[Flow_ID]:[CC_DM_source]],MATCH(Tab_Data_Flows[[#This Row],[Name(EN)]],Tab_Def_Flows[Name(EN)],0),16)</f>
        <v>#N/A</v>
      </c>
      <c r="AD220" s="108" t="str">
        <f>IF(J220="Yes",AA220*Tab_Data_Flows[[#This Row],[WC_'[%']]],"N.A.")</f>
        <v>N.A.</v>
      </c>
      <c r="AE220" s="61">
        <f>Tab_Data_Flows[[#This Row],[UoM_Flow_Py]]</f>
        <v>0</v>
      </c>
      <c r="AF220" s="107" t="e">
        <f>INDEX(Tab_Def_Flows[[Flow_ID]:[CC_DM_source]],MATCH(Tab_Data_Flows[[#This Row],[Name(EN)]],Tab_Def_Flows[Name(EN)],0),18)</f>
        <v>#N/A</v>
      </c>
      <c r="AG220" s="108" t="str">
        <f>IF(K220="Yes",AF220*Tab_Data_Flows[[#This Row],[Flow_Py]],"N.A.")</f>
        <v>N.A.</v>
      </c>
      <c r="AH220" s="61">
        <f>Tab_Data_Flows[[#This Row],[UoM_Flow_Py]]</f>
        <v>0</v>
      </c>
      <c r="AI220" s="107" t="e">
        <f>INDEX(Tab_Def_Flows[[Flow_ID]:[CC_DM_source]],MATCH(Tab_Data_Flows[[#This Row],[Name(EN)]],Tab_Def_Flows[Name(EN)],0),20)</f>
        <v>#N/A</v>
      </c>
      <c r="AJ220" s="108" t="str">
        <f>IF(L220="Yes",AI220*Tab_Data_Flows[[#This Row],[Flow_Py]]*Tab_Data_Flows[[#This Row],[DM_'[%']]],"N.A.")</f>
        <v>N.A.</v>
      </c>
      <c r="AK220" s="61">
        <f>Tab_Data_Flows[[#This Row],[UoM_Flow_Py]]</f>
        <v>0</v>
      </c>
    </row>
    <row r="221" spans="1:37" x14ac:dyDescent="0.25">
      <c r="A221" s="60">
        <f t="shared" si="6"/>
        <v>220</v>
      </c>
      <c r="B221" s="49" t="str">
        <f>_xlfn.XLOOKUP(C221,Tab_Def_Flows[Name(EN)],Tab_Def_Flows[Flow_ID],,0,)</f>
        <v>F_12_12</v>
      </c>
      <c r="C221" s="51"/>
      <c r="D221" s="49">
        <f>_xlfn.XLOOKUP(C221,Tab_Def_Flows[Name(EN)],Tab_Def_Flows[Type_Biomass],,0,)</f>
        <v>0</v>
      </c>
      <c r="E221" s="49">
        <f>_xlfn.XLOOKUP(C221,Tab_Def_Flows[Name(EN)],Tab_Def_Flows[Output_Process],,0,)</f>
        <v>0</v>
      </c>
      <c r="F221" s="49" t="str">
        <f>_xlfn.XLOOKUP(C221,Tab_Def_Flows[Name(EN)],Tab_Def_Flows[Process_ID_O],,0,)</f>
        <v>12__</v>
      </c>
      <c r="G221" s="49">
        <f>_xlfn.XLOOKUP(C221,Tab_Def_Flows[Name(EN)],Tab_Def_Flows[Input_Process],,0,)</f>
        <v>0</v>
      </c>
      <c r="H221" s="61" t="str">
        <f>_xlfn.XLOOKUP(C221,Tab_Def_Flows[Name(EN)],Tab_Def_Flows[Process_ID_I],,0,)</f>
        <v>12__</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c r="AC221" s="107" t="e">
        <f>INDEX(Tab_Def_Flows[[Flow_ID]:[CC_DM_source]],MATCH(Tab_Data_Flows[[#This Row],[Name(EN)]],Tab_Def_Flows[Name(EN)],0),16)</f>
        <v>#N/A</v>
      </c>
      <c r="AD221" s="108" t="str">
        <f>IF(J221="Yes",AA221*Tab_Data_Flows[[#This Row],[WC_'[%']]],"N.A.")</f>
        <v>N.A.</v>
      </c>
      <c r="AE221" s="61">
        <f>Tab_Data_Flows[[#This Row],[UoM_Flow_Py]]</f>
        <v>0</v>
      </c>
      <c r="AF221" s="107" t="e">
        <f>INDEX(Tab_Def_Flows[[Flow_ID]:[CC_DM_source]],MATCH(Tab_Data_Flows[[#This Row],[Name(EN)]],Tab_Def_Flows[Name(EN)],0),18)</f>
        <v>#N/A</v>
      </c>
      <c r="AG221" s="108" t="str">
        <f>IF(K221="Yes",AF221*Tab_Data_Flows[[#This Row],[Flow_Py]],"N.A.")</f>
        <v>N.A.</v>
      </c>
      <c r="AH221" s="61">
        <f>Tab_Data_Flows[[#This Row],[UoM_Flow_Py]]</f>
        <v>0</v>
      </c>
      <c r="AI221" s="107" t="e">
        <f>INDEX(Tab_Def_Flows[[Flow_ID]:[CC_DM_source]],MATCH(Tab_Data_Flows[[#This Row],[Name(EN)]],Tab_Def_Flows[Name(EN)],0),20)</f>
        <v>#N/A</v>
      </c>
      <c r="AJ221" s="108" t="str">
        <f>IF(L221="Yes",AI221*Tab_Data_Flows[[#This Row],[Flow_Py]]*Tab_Data_Flows[[#This Row],[DM_'[%']]],"N.A.")</f>
        <v>N.A.</v>
      </c>
      <c r="AK221" s="61">
        <f>Tab_Data_Flows[[#This Row],[UoM_Flow_Py]]</f>
        <v>0</v>
      </c>
    </row>
    <row r="222" spans="1:37" x14ac:dyDescent="0.25">
      <c r="A222" s="60">
        <f t="shared" si="6"/>
        <v>221</v>
      </c>
      <c r="B222" s="49" t="str">
        <f>_xlfn.XLOOKUP(C222,Tab_Def_Flows[Name(EN)],Tab_Def_Flows[Flow_ID],,0,)</f>
        <v>F_12_12</v>
      </c>
      <c r="C222" s="51"/>
      <c r="D222" s="49">
        <f>_xlfn.XLOOKUP(C222,Tab_Def_Flows[Name(EN)],Tab_Def_Flows[Type_Biomass],,0,)</f>
        <v>0</v>
      </c>
      <c r="E222" s="49">
        <f>_xlfn.XLOOKUP(C222,Tab_Def_Flows[Name(EN)],Tab_Def_Flows[Output_Process],,0,)</f>
        <v>0</v>
      </c>
      <c r="F222" s="49" t="str">
        <f>_xlfn.XLOOKUP(C222,Tab_Def_Flows[Name(EN)],Tab_Def_Flows[Process_ID_O],,0,)</f>
        <v>12__</v>
      </c>
      <c r="G222" s="49">
        <f>_xlfn.XLOOKUP(C222,Tab_Def_Flows[Name(EN)],Tab_Def_Flows[Input_Process],,0,)</f>
        <v>0</v>
      </c>
      <c r="H222" s="61" t="str">
        <f>_xlfn.XLOOKUP(C222,Tab_Def_Flows[Name(EN)],Tab_Def_Flows[Process_ID_I],,0,)</f>
        <v>12__</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c r="AC222" s="107" t="e">
        <f>INDEX(Tab_Def_Flows[[Flow_ID]:[CC_DM_source]],MATCH(Tab_Data_Flows[[#This Row],[Name(EN)]],Tab_Def_Flows[Name(EN)],0),16)</f>
        <v>#N/A</v>
      </c>
      <c r="AD222" s="108" t="str">
        <f>IF(J222="Yes",AA222*Tab_Data_Flows[[#This Row],[WC_'[%']]],"N.A.")</f>
        <v>N.A.</v>
      </c>
      <c r="AE222" s="61">
        <f>Tab_Data_Flows[[#This Row],[UoM_Flow_Py]]</f>
        <v>0</v>
      </c>
      <c r="AF222" s="107" t="e">
        <f>INDEX(Tab_Def_Flows[[Flow_ID]:[CC_DM_source]],MATCH(Tab_Data_Flows[[#This Row],[Name(EN)]],Tab_Def_Flows[Name(EN)],0),18)</f>
        <v>#N/A</v>
      </c>
      <c r="AG222" s="108" t="str">
        <f>IF(K222="Yes",AF222*Tab_Data_Flows[[#This Row],[Flow_Py]],"N.A.")</f>
        <v>N.A.</v>
      </c>
      <c r="AH222" s="61">
        <f>Tab_Data_Flows[[#This Row],[UoM_Flow_Py]]</f>
        <v>0</v>
      </c>
      <c r="AI222" s="107" t="e">
        <f>INDEX(Tab_Def_Flows[[Flow_ID]:[CC_DM_source]],MATCH(Tab_Data_Flows[[#This Row],[Name(EN)]],Tab_Def_Flows[Name(EN)],0),20)</f>
        <v>#N/A</v>
      </c>
      <c r="AJ222" s="108" t="str">
        <f>IF(L222="Yes",AI222*Tab_Data_Flows[[#This Row],[Flow_Py]]*Tab_Data_Flows[[#This Row],[DM_'[%']]],"N.A.")</f>
        <v>N.A.</v>
      </c>
      <c r="AK222" s="61">
        <f>Tab_Data_Flows[[#This Row],[UoM_Flow_Py]]</f>
        <v>0</v>
      </c>
    </row>
    <row r="223" spans="1:37" x14ac:dyDescent="0.25">
      <c r="A223" s="60">
        <f t="shared" si="6"/>
        <v>222</v>
      </c>
      <c r="B223" s="49" t="str">
        <f>_xlfn.XLOOKUP(C223,Tab_Def_Flows[Name(EN)],Tab_Def_Flows[Flow_ID],,0,)</f>
        <v>F_12_12</v>
      </c>
      <c r="C223" s="51"/>
      <c r="D223" s="49">
        <f>_xlfn.XLOOKUP(C223,Tab_Def_Flows[Name(EN)],Tab_Def_Flows[Type_Biomass],,0,)</f>
        <v>0</v>
      </c>
      <c r="E223" s="49">
        <f>_xlfn.XLOOKUP(C223,Tab_Def_Flows[Name(EN)],Tab_Def_Flows[Output_Process],,0,)</f>
        <v>0</v>
      </c>
      <c r="F223" s="49" t="str">
        <f>_xlfn.XLOOKUP(C223,Tab_Def_Flows[Name(EN)],Tab_Def_Flows[Process_ID_O],,0,)</f>
        <v>12__</v>
      </c>
      <c r="G223" s="49">
        <f>_xlfn.XLOOKUP(C223,Tab_Def_Flows[Name(EN)],Tab_Def_Flows[Input_Process],,0,)</f>
        <v>0</v>
      </c>
      <c r="H223" s="61" t="str">
        <f>_xlfn.XLOOKUP(C223,Tab_Def_Flows[Name(EN)],Tab_Def_Flows[Process_ID_I],,0,)</f>
        <v>12__</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c r="AC223" s="107" t="e">
        <f>INDEX(Tab_Def_Flows[[Flow_ID]:[CC_DM_source]],MATCH(Tab_Data_Flows[[#This Row],[Name(EN)]],Tab_Def_Flows[Name(EN)],0),16)</f>
        <v>#N/A</v>
      </c>
      <c r="AD223" s="108" t="str">
        <f>IF(J223="Yes",AA223*Tab_Data_Flows[[#This Row],[WC_'[%']]],"N.A.")</f>
        <v>N.A.</v>
      </c>
      <c r="AE223" s="61">
        <f>Tab_Data_Flows[[#This Row],[UoM_Flow_Py]]</f>
        <v>0</v>
      </c>
      <c r="AF223" s="107" t="e">
        <f>INDEX(Tab_Def_Flows[[Flow_ID]:[CC_DM_source]],MATCH(Tab_Data_Flows[[#This Row],[Name(EN)]],Tab_Def_Flows[Name(EN)],0),18)</f>
        <v>#N/A</v>
      </c>
      <c r="AG223" s="108" t="str">
        <f>IF(K223="Yes",AF223*Tab_Data_Flows[[#This Row],[Flow_Py]],"N.A.")</f>
        <v>N.A.</v>
      </c>
      <c r="AH223" s="61">
        <f>Tab_Data_Flows[[#This Row],[UoM_Flow_Py]]</f>
        <v>0</v>
      </c>
      <c r="AI223" s="107" t="e">
        <f>INDEX(Tab_Def_Flows[[Flow_ID]:[CC_DM_source]],MATCH(Tab_Data_Flows[[#This Row],[Name(EN)]],Tab_Def_Flows[Name(EN)],0),20)</f>
        <v>#N/A</v>
      </c>
      <c r="AJ223" s="108" t="str">
        <f>IF(L223="Yes",AI223*Tab_Data_Flows[[#This Row],[Flow_Py]]*Tab_Data_Flows[[#This Row],[DM_'[%']]],"N.A.")</f>
        <v>N.A.</v>
      </c>
      <c r="AK223" s="61">
        <f>Tab_Data_Flows[[#This Row],[UoM_Flow_Py]]</f>
        <v>0</v>
      </c>
    </row>
    <row r="224" spans="1:37" x14ac:dyDescent="0.25">
      <c r="A224" s="60">
        <f t="shared" si="6"/>
        <v>223</v>
      </c>
      <c r="B224" s="49" t="str">
        <f>_xlfn.XLOOKUP(C224,Tab_Def_Flows[Name(EN)],Tab_Def_Flows[Flow_ID],,0,)</f>
        <v>F_12_12</v>
      </c>
      <c r="C224" s="51"/>
      <c r="D224" s="49">
        <f>_xlfn.XLOOKUP(C224,Tab_Def_Flows[Name(EN)],Tab_Def_Flows[Type_Biomass],,0,)</f>
        <v>0</v>
      </c>
      <c r="E224" s="49">
        <f>_xlfn.XLOOKUP(C224,Tab_Def_Flows[Name(EN)],Tab_Def_Flows[Output_Process],,0,)</f>
        <v>0</v>
      </c>
      <c r="F224" s="49" t="str">
        <f>_xlfn.XLOOKUP(C224,Tab_Def_Flows[Name(EN)],Tab_Def_Flows[Process_ID_O],,0,)</f>
        <v>12__</v>
      </c>
      <c r="G224" s="49">
        <f>_xlfn.XLOOKUP(C224,Tab_Def_Flows[Name(EN)],Tab_Def_Flows[Input_Process],,0,)</f>
        <v>0</v>
      </c>
      <c r="H224" s="61" t="str">
        <f>_xlfn.XLOOKUP(C224,Tab_Def_Flows[Name(EN)],Tab_Def_Flows[Process_ID_I],,0,)</f>
        <v>12__</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c r="AC224" s="107" t="e">
        <f>INDEX(Tab_Def_Flows[[Flow_ID]:[CC_DM_source]],MATCH(Tab_Data_Flows[[#This Row],[Name(EN)]],Tab_Def_Flows[Name(EN)],0),16)</f>
        <v>#N/A</v>
      </c>
      <c r="AD224" s="108" t="str">
        <f>IF(J224="Yes",AA224*Tab_Data_Flows[[#This Row],[WC_'[%']]],"N.A.")</f>
        <v>N.A.</v>
      </c>
      <c r="AE224" s="61">
        <f>Tab_Data_Flows[[#This Row],[UoM_Flow_Py]]</f>
        <v>0</v>
      </c>
      <c r="AF224" s="107" t="e">
        <f>INDEX(Tab_Def_Flows[[Flow_ID]:[CC_DM_source]],MATCH(Tab_Data_Flows[[#This Row],[Name(EN)]],Tab_Def_Flows[Name(EN)],0),18)</f>
        <v>#N/A</v>
      </c>
      <c r="AG224" s="108" t="str">
        <f>IF(K224="Yes",AF224*Tab_Data_Flows[[#This Row],[Flow_Py]],"N.A.")</f>
        <v>N.A.</v>
      </c>
      <c r="AH224" s="61">
        <f>Tab_Data_Flows[[#This Row],[UoM_Flow_Py]]</f>
        <v>0</v>
      </c>
      <c r="AI224" s="107" t="e">
        <f>INDEX(Tab_Def_Flows[[Flow_ID]:[CC_DM_source]],MATCH(Tab_Data_Flows[[#This Row],[Name(EN)]],Tab_Def_Flows[Name(EN)],0),20)</f>
        <v>#N/A</v>
      </c>
      <c r="AJ224" s="108" t="str">
        <f>IF(L224="Yes",AI224*Tab_Data_Flows[[#This Row],[Flow_Py]]*Tab_Data_Flows[[#This Row],[DM_'[%']]],"N.A.")</f>
        <v>N.A.</v>
      </c>
      <c r="AK224" s="61">
        <f>Tab_Data_Flows[[#This Row],[UoM_Flow_Py]]</f>
        <v>0</v>
      </c>
    </row>
    <row r="225" spans="1:37" x14ac:dyDescent="0.25">
      <c r="A225" s="60">
        <f t="shared" si="6"/>
        <v>224</v>
      </c>
      <c r="B225" s="49" t="str">
        <f>_xlfn.XLOOKUP(C225,Tab_Def_Flows[Name(EN)],Tab_Def_Flows[Flow_ID],,0,)</f>
        <v>F_12_12</v>
      </c>
      <c r="C225" s="51"/>
      <c r="D225" s="49">
        <f>_xlfn.XLOOKUP(C225,Tab_Def_Flows[Name(EN)],Tab_Def_Flows[Type_Biomass],,0,)</f>
        <v>0</v>
      </c>
      <c r="E225" s="49">
        <f>_xlfn.XLOOKUP(C225,Tab_Def_Flows[Name(EN)],Tab_Def_Flows[Output_Process],,0,)</f>
        <v>0</v>
      </c>
      <c r="F225" s="49" t="str">
        <f>_xlfn.XLOOKUP(C225,Tab_Def_Flows[Name(EN)],Tab_Def_Flows[Process_ID_O],,0,)</f>
        <v>12__</v>
      </c>
      <c r="G225" s="49">
        <f>_xlfn.XLOOKUP(C225,Tab_Def_Flows[Name(EN)],Tab_Def_Flows[Input_Process],,0,)</f>
        <v>0</v>
      </c>
      <c r="H225" s="61" t="str">
        <f>_xlfn.XLOOKUP(C225,Tab_Def_Flows[Name(EN)],Tab_Def_Flows[Process_ID_I],,0,)</f>
        <v>12__</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c r="AC225" s="107" t="e">
        <f>INDEX(Tab_Def_Flows[[Flow_ID]:[CC_DM_source]],MATCH(Tab_Data_Flows[[#This Row],[Name(EN)]],Tab_Def_Flows[Name(EN)],0),16)</f>
        <v>#N/A</v>
      </c>
      <c r="AD225" s="108" t="str">
        <f>IF(J225="Yes",AA225*Tab_Data_Flows[[#This Row],[WC_'[%']]],"N.A.")</f>
        <v>N.A.</v>
      </c>
      <c r="AE225" s="61">
        <f>Tab_Data_Flows[[#This Row],[UoM_Flow_Py]]</f>
        <v>0</v>
      </c>
      <c r="AF225" s="107" t="e">
        <f>INDEX(Tab_Def_Flows[[Flow_ID]:[CC_DM_source]],MATCH(Tab_Data_Flows[[#This Row],[Name(EN)]],Tab_Def_Flows[Name(EN)],0),18)</f>
        <v>#N/A</v>
      </c>
      <c r="AG225" s="108" t="str">
        <f>IF(K225="Yes",AF225*Tab_Data_Flows[[#This Row],[Flow_Py]],"N.A.")</f>
        <v>N.A.</v>
      </c>
      <c r="AH225" s="61">
        <f>Tab_Data_Flows[[#This Row],[UoM_Flow_Py]]</f>
        <v>0</v>
      </c>
      <c r="AI225" s="107" t="e">
        <f>INDEX(Tab_Def_Flows[[Flow_ID]:[CC_DM_source]],MATCH(Tab_Data_Flows[[#This Row],[Name(EN)]],Tab_Def_Flows[Name(EN)],0),20)</f>
        <v>#N/A</v>
      </c>
      <c r="AJ225" s="108" t="str">
        <f>IF(L225="Yes",AI225*Tab_Data_Flows[[#This Row],[Flow_Py]]*Tab_Data_Flows[[#This Row],[DM_'[%']]],"N.A.")</f>
        <v>N.A.</v>
      </c>
      <c r="AK225" s="61">
        <f>Tab_Data_Flows[[#This Row],[UoM_Flow_Py]]</f>
        <v>0</v>
      </c>
    </row>
    <row r="226" spans="1:37" x14ac:dyDescent="0.25">
      <c r="A226" s="60">
        <f t="shared" si="6"/>
        <v>225</v>
      </c>
      <c r="B226" s="49" t="str">
        <f>_xlfn.XLOOKUP(C226,Tab_Def_Flows[Name(EN)],Tab_Def_Flows[Flow_ID],,0,)</f>
        <v>F_12_12</v>
      </c>
      <c r="C226" s="51"/>
      <c r="D226" s="49">
        <f>_xlfn.XLOOKUP(C226,Tab_Def_Flows[Name(EN)],Tab_Def_Flows[Type_Biomass],,0,)</f>
        <v>0</v>
      </c>
      <c r="E226" s="49">
        <f>_xlfn.XLOOKUP(C226,Tab_Def_Flows[Name(EN)],Tab_Def_Flows[Output_Process],,0,)</f>
        <v>0</v>
      </c>
      <c r="F226" s="49" t="str">
        <f>_xlfn.XLOOKUP(C226,Tab_Def_Flows[Name(EN)],Tab_Def_Flows[Process_ID_O],,0,)</f>
        <v>12__</v>
      </c>
      <c r="G226" s="49">
        <f>_xlfn.XLOOKUP(C226,Tab_Def_Flows[Name(EN)],Tab_Def_Flows[Input_Process],,0,)</f>
        <v>0</v>
      </c>
      <c r="H226" s="61" t="str">
        <f>_xlfn.XLOOKUP(C226,Tab_Def_Flows[Name(EN)],Tab_Def_Flows[Process_ID_I],,0,)</f>
        <v>12__</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c r="AC226" s="107" t="e">
        <f>INDEX(Tab_Def_Flows[[Flow_ID]:[CC_DM_source]],MATCH(Tab_Data_Flows[[#This Row],[Name(EN)]],Tab_Def_Flows[Name(EN)],0),16)</f>
        <v>#N/A</v>
      </c>
      <c r="AD226" s="108" t="str">
        <f>IF(J226="Yes",AA226*Tab_Data_Flows[[#This Row],[WC_'[%']]],"N.A.")</f>
        <v>N.A.</v>
      </c>
      <c r="AE226" s="61">
        <f>Tab_Data_Flows[[#This Row],[UoM_Flow_Py]]</f>
        <v>0</v>
      </c>
      <c r="AF226" s="107" t="e">
        <f>INDEX(Tab_Def_Flows[[Flow_ID]:[CC_DM_source]],MATCH(Tab_Data_Flows[[#This Row],[Name(EN)]],Tab_Def_Flows[Name(EN)],0),18)</f>
        <v>#N/A</v>
      </c>
      <c r="AG226" s="108" t="str">
        <f>IF(K226="Yes",AF226*Tab_Data_Flows[[#This Row],[Flow_Py]],"N.A.")</f>
        <v>N.A.</v>
      </c>
      <c r="AH226" s="61">
        <f>Tab_Data_Flows[[#This Row],[UoM_Flow_Py]]</f>
        <v>0</v>
      </c>
      <c r="AI226" s="107" t="e">
        <f>INDEX(Tab_Def_Flows[[Flow_ID]:[CC_DM_source]],MATCH(Tab_Data_Flows[[#This Row],[Name(EN)]],Tab_Def_Flows[Name(EN)],0),20)</f>
        <v>#N/A</v>
      </c>
      <c r="AJ226" s="108" t="str">
        <f>IF(L226="Yes",AI226*Tab_Data_Flows[[#This Row],[Flow_Py]]*Tab_Data_Flows[[#This Row],[DM_'[%']]],"N.A.")</f>
        <v>N.A.</v>
      </c>
      <c r="AK226" s="61">
        <f>Tab_Data_Flows[[#This Row],[UoM_Flow_Py]]</f>
        <v>0</v>
      </c>
    </row>
    <row r="227" spans="1:37" x14ac:dyDescent="0.25">
      <c r="A227" s="60">
        <f t="shared" si="6"/>
        <v>226</v>
      </c>
      <c r="B227" s="49" t="str">
        <f>_xlfn.XLOOKUP(C227,Tab_Def_Flows[Name(EN)],Tab_Def_Flows[Flow_ID],,0,)</f>
        <v>F_12_12</v>
      </c>
      <c r="C227" s="51"/>
      <c r="D227" s="49">
        <f>_xlfn.XLOOKUP(C227,Tab_Def_Flows[Name(EN)],Tab_Def_Flows[Type_Biomass],,0,)</f>
        <v>0</v>
      </c>
      <c r="E227" s="49">
        <f>_xlfn.XLOOKUP(C227,Tab_Def_Flows[Name(EN)],Tab_Def_Flows[Output_Process],,0,)</f>
        <v>0</v>
      </c>
      <c r="F227" s="49" t="str">
        <f>_xlfn.XLOOKUP(C227,Tab_Def_Flows[Name(EN)],Tab_Def_Flows[Process_ID_O],,0,)</f>
        <v>12__</v>
      </c>
      <c r="G227" s="49">
        <f>_xlfn.XLOOKUP(C227,Tab_Def_Flows[Name(EN)],Tab_Def_Flows[Input_Process],,0,)</f>
        <v>0</v>
      </c>
      <c r="H227" s="61" t="str">
        <f>_xlfn.XLOOKUP(C227,Tab_Def_Flows[Name(EN)],Tab_Def_Flows[Process_ID_I],,0,)</f>
        <v>12__</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c r="AC227" s="107" t="e">
        <f>INDEX(Tab_Def_Flows[[Flow_ID]:[CC_DM_source]],MATCH(Tab_Data_Flows[[#This Row],[Name(EN)]],Tab_Def_Flows[Name(EN)],0),16)</f>
        <v>#N/A</v>
      </c>
      <c r="AD227" s="108" t="str">
        <f>IF(J227="Yes",AA227*Tab_Data_Flows[[#This Row],[WC_'[%']]],"N.A.")</f>
        <v>N.A.</v>
      </c>
      <c r="AE227" s="61">
        <f>Tab_Data_Flows[[#This Row],[UoM_Flow_Py]]</f>
        <v>0</v>
      </c>
      <c r="AF227" s="107" t="e">
        <f>INDEX(Tab_Def_Flows[[Flow_ID]:[CC_DM_source]],MATCH(Tab_Data_Flows[[#This Row],[Name(EN)]],Tab_Def_Flows[Name(EN)],0),18)</f>
        <v>#N/A</v>
      </c>
      <c r="AG227" s="108" t="str">
        <f>IF(K227="Yes",AF227*Tab_Data_Flows[[#This Row],[Flow_Py]],"N.A.")</f>
        <v>N.A.</v>
      </c>
      <c r="AH227" s="61">
        <f>Tab_Data_Flows[[#This Row],[UoM_Flow_Py]]</f>
        <v>0</v>
      </c>
      <c r="AI227" s="107" t="e">
        <f>INDEX(Tab_Def_Flows[[Flow_ID]:[CC_DM_source]],MATCH(Tab_Data_Flows[[#This Row],[Name(EN)]],Tab_Def_Flows[Name(EN)],0),20)</f>
        <v>#N/A</v>
      </c>
      <c r="AJ227" s="108" t="str">
        <f>IF(L227="Yes",AI227*Tab_Data_Flows[[#This Row],[Flow_Py]]*Tab_Data_Flows[[#This Row],[DM_'[%']]],"N.A.")</f>
        <v>N.A.</v>
      </c>
      <c r="AK227" s="61">
        <f>Tab_Data_Flows[[#This Row],[UoM_Flow_Py]]</f>
        <v>0</v>
      </c>
    </row>
    <row r="228" spans="1:37" x14ac:dyDescent="0.25">
      <c r="A228" s="60">
        <f t="shared" si="6"/>
        <v>227</v>
      </c>
      <c r="B228" s="49" t="str">
        <f>_xlfn.XLOOKUP(C228,Tab_Def_Flows[Name(EN)],Tab_Def_Flows[Flow_ID],,0,)</f>
        <v>F_12_12</v>
      </c>
      <c r="C228" s="51"/>
      <c r="D228" s="49">
        <f>_xlfn.XLOOKUP(C228,Tab_Def_Flows[Name(EN)],Tab_Def_Flows[Type_Biomass],,0,)</f>
        <v>0</v>
      </c>
      <c r="E228" s="49">
        <f>_xlfn.XLOOKUP(C228,Tab_Def_Flows[Name(EN)],Tab_Def_Flows[Output_Process],,0,)</f>
        <v>0</v>
      </c>
      <c r="F228" s="49" t="str">
        <f>_xlfn.XLOOKUP(C228,Tab_Def_Flows[Name(EN)],Tab_Def_Flows[Process_ID_O],,0,)</f>
        <v>12__</v>
      </c>
      <c r="G228" s="49">
        <f>_xlfn.XLOOKUP(C228,Tab_Def_Flows[Name(EN)],Tab_Def_Flows[Input_Process],,0,)</f>
        <v>0</v>
      </c>
      <c r="H228" s="61" t="str">
        <f>_xlfn.XLOOKUP(C228,Tab_Def_Flows[Name(EN)],Tab_Def_Flows[Process_ID_I],,0,)</f>
        <v>12__</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c r="AC228" s="107" t="e">
        <f>INDEX(Tab_Def_Flows[[Flow_ID]:[CC_DM_source]],MATCH(Tab_Data_Flows[[#This Row],[Name(EN)]],Tab_Def_Flows[Name(EN)],0),16)</f>
        <v>#N/A</v>
      </c>
      <c r="AD228" s="108" t="str">
        <f>IF(J228="Yes",AA228*Tab_Data_Flows[[#This Row],[WC_'[%']]],"N.A.")</f>
        <v>N.A.</v>
      </c>
      <c r="AE228" s="61">
        <f>Tab_Data_Flows[[#This Row],[UoM_Flow_Py]]</f>
        <v>0</v>
      </c>
      <c r="AF228" s="107" t="e">
        <f>INDEX(Tab_Def_Flows[[Flow_ID]:[CC_DM_source]],MATCH(Tab_Data_Flows[[#This Row],[Name(EN)]],Tab_Def_Flows[Name(EN)],0),18)</f>
        <v>#N/A</v>
      </c>
      <c r="AG228" s="108" t="str">
        <f>IF(K228="Yes",AF228*Tab_Data_Flows[[#This Row],[Flow_Py]],"N.A.")</f>
        <v>N.A.</v>
      </c>
      <c r="AH228" s="61">
        <f>Tab_Data_Flows[[#This Row],[UoM_Flow_Py]]</f>
        <v>0</v>
      </c>
      <c r="AI228" s="107" t="e">
        <f>INDEX(Tab_Def_Flows[[Flow_ID]:[CC_DM_source]],MATCH(Tab_Data_Flows[[#This Row],[Name(EN)]],Tab_Def_Flows[Name(EN)],0),20)</f>
        <v>#N/A</v>
      </c>
      <c r="AJ228" s="108" t="str">
        <f>IF(L228="Yes",AI228*Tab_Data_Flows[[#This Row],[Flow_Py]]*Tab_Data_Flows[[#This Row],[DM_'[%']]],"N.A.")</f>
        <v>N.A.</v>
      </c>
      <c r="AK228" s="61">
        <f>Tab_Data_Flows[[#This Row],[UoM_Flow_Py]]</f>
        <v>0</v>
      </c>
    </row>
    <row r="229" spans="1:37" x14ac:dyDescent="0.25">
      <c r="A229" s="60">
        <f t="shared" si="6"/>
        <v>228</v>
      </c>
      <c r="B229" s="49" t="str">
        <f>_xlfn.XLOOKUP(C229,Tab_Def_Flows[Name(EN)],Tab_Def_Flows[Flow_ID],,0,)</f>
        <v>F_12_12</v>
      </c>
      <c r="C229" s="51"/>
      <c r="D229" s="49">
        <f>_xlfn.XLOOKUP(C229,Tab_Def_Flows[Name(EN)],Tab_Def_Flows[Type_Biomass],,0,)</f>
        <v>0</v>
      </c>
      <c r="E229" s="49">
        <f>_xlfn.XLOOKUP(C229,Tab_Def_Flows[Name(EN)],Tab_Def_Flows[Output_Process],,0,)</f>
        <v>0</v>
      </c>
      <c r="F229" s="49" t="str">
        <f>_xlfn.XLOOKUP(C229,Tab_Def_Flows[Name(EN)],Tab_Def_Flows[Process_ID_O],,0,)</f>
        <v>12__</v>
      </c>
      <c r="G229" s="49">
        <f>_xlfn.XLOOKUP(C229,Tab_Def_Flows[Name(EN)],Tab_Def_Flows[Input_Process],,0,)</f>
        <v>0</v>
      </c>
      <c r="H229" s="61" t="str">
        <f>_xlfn.XLOOKUP(C229,Tab_Def_Flows[Name(EN)],Tab_Def_Flows[Process_ID_I],,0,)</f>
        <v>12__</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c r="AC229" s="107" t="e">
        <f>INDEX(Tab_Def_Flows[[Flow_ID]:[CC_DM_source]],MATCH(Tab_Data_Flows[[#This Row],[Name(EN)]],Tab_Def_Flows[Name(EN)],0),16)</f>
        <v>#N/A</v>
      </c>
      <c r="AD229" s="108" t="str">
        <f>IF(J229="Yes",AA229*Tab_Data_Flows[[#This Row],[WC_'[%']]],"N.A.")</f>
        <v>N.A.</v>
      </c>
      <c r="AE229" s="61">
        <f>Tab_Data_Flows[[#This Row],[UoM_Flow_Py]]</f>
        <v>0</v>
      </c>
      <c r="AF229" s="107" t="e">
        <f>INDEX(Tab_Def_Flows[[Flow_ID]:[CC_DM_source]],MATCH(Tab_Data_Flows[[#This Row],[Name(EN)]],Tab_Def_Flows[Name(EN)],0),18)</f>
        <v>#N/A</v>
      </c>
      <c r="AG229" s="108" t="str">
        <f>IF(K229="Yes",AF229*Tab_Data_Flows[[#This Row],[Flow_Py]],"N.A.")</f>
        <v>N.A.</v>
      </c>
      <c r="AH229" s="61">
        <f>Tab_Data_Flows[[#This Row],[UoM_Flow_Py]]</f>
        <v>0</v>
      </c>
      <c r="AI229" s="107" t="e">
        <f>INDEX(Tab_Def_Flows[[Flow_ID]:[CC_DM_source]],MATCH(Tab_Data_Flows[[#This Row],[Name(EN)]],Tab_Def_Flows[Name(EN)],0),20)</f>
        <v>#N/A</v>
      </c>
      <c r="AJ229" s="108" t="str">
        <f>IF(L229="Yes",AI229*Tab_Data_Flows[[#This Row],[Flow_Py]]*Tab_Data_Flows[[#This Row],[DM_'[%']]],"N.A.")</f>
        <v>N.A.</v>
      </c>
      <c r="AK229" s="61">
        <f>Tab_Data_Flows[[#This Row],[UoM_Flow_Py]]</f>
        <v>0</v>
      </c>
    </row>
    <row r="230" spans="1:37" x14ac:dyDescent="0.25">
      <c r="A230" s="60">
        <f t="shared" si="6"/>
        <v>229</v>
      </c>
      <c r="B230" s="49" t="str">
        <f>_xlfn.XLOOKUP(C230,Tab_Def_Flows[Name(EN)],Tab_Def_Flows[Flow_ID],,0,)</f>
        <v>F_12_12</v>
      </c>
      <c r="C230" s="51"/>
      <c r="D230" s="49">
        <f>_xlfn.XLOOKUP(C230,Tab_Def_Flows[Name(EN)],Tab_Def_Flows[Type_Biomass],,0,)</f>
        <v>0</v>
      </c>
      <c r="E230" s="49">
        <f>_xlfn.XLOOKUP(C230,Tab_Def_Flows[Name(EN)],Tab_Def_Flows[Output_Process],,0,)</f>
        <v>0</v>
      </c>
      <c r="F230" s="49" t="str">
        <f>_xlfn.XLOOKUP(C230,Tab_Def_Flows[Name(EN)],Tab_Def_Flows[Process_ID_O],,0,)</f>
        <v>12__</v>
      </c>
      <c r="G230" s="49">
        <f>_xlfn.XLOOKUP(C230,Tab_Def_Flows[Name(EN)],Tab_Def_Flows[Input_Process],,0,)</f>
        <v>0</v>
      </c>
      <c r="H230" s="61" t="str">
        <f>_xlfn.XLOOKUP(C230,Tab_Def_Flows[Name(EN)],Tab_Def_Flows[Process_ID_I],,0,)</f>
        <v>12__</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c r="AC230" s="107" t="e">
        <f>INDEX(Tab_Def_Flows[[Flow_ID]:[CC_DM_source]],MATCH(Tab_Data_Flows[[#This Row],[Name(EN)]],Tab_Def_Flows[Name(EN)],0),16)</f>
        <v>#N/A</v>
      </c>
      <c r="AD230" s="108" t="str">
        <f>IF(J230="Yes",AA230*Tab_Data_Flows[[#This Row],[WC_'[%']]],"N.A.")</f>
        <v>N.A.</v>
      </c>
      <c r="AE230" s="61">
        <f>Tab_Data_Flows[[#This Row],[UoM_Flow_Py]]</f>
        <v>0</v>
      </c>
      <c r="AF230" s="107" t="e">
        <f>INDEX(Tab_Def_Flows[[Flow_ID]:[CC_DM_source]],MATCH(Tab_Data_Flows[[#This Row],[Name(EN)]],Tab_Def_Flows[Name(EN)],0),18)</f>
        <v>#N/A</v>
      </c>
      <c r="AG230" s="108" t="str">
        <f>IF(K230="Yes",AF230*Tab_Data_Flows[[#This Row],[Flow_Py]],"N.A.")</f>
        <v>N.A.</v>
      </c>
      <c r="AH230" s="61">
        <f>Tab_Data_Flows[[#This Row],[UoM_Flow_Py]]</f>
        <v>0</v>
      </c>
      <c r="AI230" s="107" t="e">
        <f>INDEX(Tab_Def_Flows[[Flow_ID]:[CC_DM_source]],MATCH(Tab_Data_Flows[[#This Row],[Name(EN)]],Tab_Def_Flows[Name(EN)],0),20)</f>
        <v>#N/A</v>
      </c>
      <c r="AJ230" s="108" t="str">
        <f>IF(L230="Yes",AI230*Tab_Data_Flows[[#This Row],[Flow_Py]]*Tab_Data_Flows[[#This Row],[DM_'[%']]],"N.A.")</f>
        <v>N.A.</v>
      </c>
      <c r="AK230" s="61">
        <f>Tab_Data_Flows[[#This Row],[UoM_Flow_Py]]</f>
        <v>0</v>
      </c>
    </row>
    <row r="231" spans="1:37" x14ac:dyDescent="0.25">
      <c r="A231" s="60">
        <f t="shared" si="6"/>
        <v>230</v>
      </c>
      <c r="B231" s="49" t="str">
        <f>_xlfn.XLOOKUP(C231,Tab_Def_Flows[Name(EN)],Tab_Def_Flows[Flow_ID],,0,)</f>
        <v>F_12_12</v>
      </c>
      <c r="C231" s="51"/>
      <c r="D231" s="49">
        <f>_xlfn.XLOOKUP(C231,Tab_Def_Flows[Name(EN)],Tab_Def_Flows[Type_Biomass],,0,)</f>
        <v>0</v>
      </c>
      <c r="E231" s="49">
        <f>_xlfn.XLOOKUP(C231,Tab_Def_Flows[Name(EN)],Tab_Def_Flows[Output_Process],,0,)</f>
        <v>0</v>
      </c>
      <c r="F231" s="49" t="str">
        <f>_xlfn.XLOOKUP(C231,Tab_Def_Flows[Name(EN)],Tab_Def_Flows[Process_ID_O],,0,)</f>
        <v>12__</v>
      </c>
      <c r="G231" s="49">
        <f>_xlfn.XLOOKUP(C231,Tab_Def_Flows[Name(EN)],Tab_Def_Flows[Input_Process],,0,)</f>
        <v>0</v>
      </c>
      <c r="H231" s="61" t="str">
        <f>_xlfn.XLOOKUP(C231,Tab_Def_Flows[Name(EN)],Tab_Def_Flows[Process_ID_I],,0,)</f>
        <v>12__</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c r="AC231" s="107" t="e">
        <f>INDEX(Tab_Def_Flows[[Flow_ID]:[CC_DM_source]],MATCH(Tab_Data_Flows[[#This Row],[Name(EN)]],Tab_Def_Flows[Name(EN)],0),16)</f>
        <v>#N/A</v>
      </c>
      <c r="AD231" s="108" t="str">
        <f>IF(J231="Yes",AA231*Tab_Data_Flows[[#This Row],[WC_'[%']]],"N.A.")</f>
        <v>N.A.</v>
      </c>
      <c r="AE231" s="61">
        <f>Tab_Data_Flows[[#This Row],[UoM_Flow_Py]]</f>
        <v>0</v>
      </c>
      <c r="AF231" s="107" t="e">
        <f>INDEX(Tab_Def_Flows[[Flow_ID]:[CC_DM_source]],MATCH(Tab_Data_Flows[[#This Row],[Name(EN)]],Tab_Def_Flows[Name(EN)],0),18)</f>
        <v>#N/A</v>
      </c>
      <c r="AG231" s="108" t="str">
        <f>IF(K231="Yes",AF231*Tab_Data_Flows[[#This Row],[Flow_Py]],"N.A.")</f>
        <v>N.A.</v>
      </c>
      <c r="AH231" s="61">
        <f>Tab_Data_Flows[[#This Row],[UoM_Flow_Py]]</f>
        <v>0</v>
      </c>
      <c r="AI231" s="107" t="e">
        <f>INDEX(Tab_Def_Flows[[Flow_ID]:[CC_DM_source]],MATCH(Tab_Data_Flows[[#This Row],[Name(EN)]],Tab_Def_Flows[Name(EN)],0),20)</f>
        <v>#N/A</v>
      </c>
      <c r="AJ231" s="108" t="str">
        <f>IF(L231="Yes",AI231*Tab_Data_Flows[[#This Row],[Flow_Py]]*Tab_Data_Flows[[#This Row],[DM_'[%']]],"N.A.")</f>
        <v>N.A.</v>
      </c>
      <c r="AK231" s="61">
        <f>Tab_Data_Flows[[#This Row],[UoM_Flow_Py]]</f>
        <v>0</v>
      </c>
    </row>
    <row r="232" spans="1:37" x14ac:dyDescent="0.25">
      <c r="A232" s="60">
        <f t="shared" si="6"/>
        <v>231</v>
      </c>
      <c r="B232" s="49" t="str">
        <f>_xlfn.XLOOKUP(C232,Tab_Def_Flows[Name(EN)],Tab_Def_Flows[Flow_ID],,0,)</f>
        <v>F_12_12</v>
      </c>
      <c r="C232" s="51"/>
      <c r="D232" s="49">
        <f>_xlfn.XLOOKUP(C232,Tab_Def_Flows[Name(EN)],Tab_Def_Flows[Type_Biomass],,0,)</f>
        <v>0</v>
      </c>
      <c r="E232" s="49">
        <f>_xlfn.XLOOKUP(C232,Tab_Def_Flows[Name(EN)],Tab_Def_Flows[Output_Process],,0,)</f>
        <v>0</v>
      </c>
      <c r="F232" s="49" t="str">
        <f>_xlfn.XLOOKUP(C232,Tab_Def_Flows[Name(EN)],Tab_Def_Flows[Process_ID_O],,0,)</f>
        <v>12__</v>
      </c>
      <c r="G232" s="49">
        <f>_xlfn.XLOOKUP(C232,Tab_Def_Flows[Name(EN)],Tab_Def_Flows[Input_Process],,0,)</f>
        <v>0</v>
      </c>
      <c r="H232" s="61" t="str">
        <f>_xlfn.XLOOKUP(C232,Tab_Def_Flows[Name(EN)],Tab_Def_Flows[Process_ID_I],,0,)</f>
        <v>12__</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c r="AC232" s="107" t="e">
        <f>INDEX(Tab_Def_Flows[[Flow_ID]:[CC_DM_source]],MATCH(Tab_Data_Flows[[#This Row],[Name(EN)]],Tab_Def_Flows[Name(EN)],0),16)</f>
        <v>#N/A</v>
      </c>
      <c r="AD232" s="108" t="str">
        <f>IF(J232="Yes",AA232*Tab_Data_Flows[[#This Row],[WC_'[%']]],"N.A.")</f>
        <v>N.A.</v>
      </c>
      <c r="AE232" s="61">
        <f>Tab_Data_Flows[[#This Row],[UoM_Flow_Py]]</f>
        <v>0</v>
      </c>
      <c r="AF232" s="107" t="e">
        <f>INDEX(Tab_Def_Flows[[Flow_ID]:[CC_DM_source]],MATCH(Tab_Data_Flows[[#This Row],[Name(EN)]],Tab_Def_Flows[Name(EN)],0),18)</f>
        <v>#N/A</v>
      </c>
      <c r="AG232" s="108" t="str">
        <f>IF(K232="Yes",AF232*Tab_Data_Flows[[#This Row],[Flow_Py]],"N.A.")</f>
        <v>N.A.</v>
      </c>
      <c r="AH232" s="61">
        <f>Tab_Data_Flows[[#This Row],[UoM_Flow_Py]]</f>
        <v>0</v>
      </c>
      <c r="AI232" s="107" t="e">
        <f>INDEX(Tab_Def_Flows[[Flow_ID]:[CC_DM_source]],MATCH(Tab_Data_Flows[[#This Row],[Name(EN)]],Tab_Def_Flows[Name(EN)],0),20)</f>
        <v>#N/A</v>
      </c>
      <c r="AJ232" s="108" t="str">
        <f>IF(L232="Yes",AI232*Tab_Data_Flows[[#This Row],[Flow_Py]]*Tab_Data_Flows[[#This Row],[DM_'[%']]],"N.A.")</f>
        <v>N.A.</v>
      </c>
      <c r="AK232" s="61">
        <f>Tab_Data_Flows[[#This Row],[UoM_Flow_Py]]</f>
        <v>0</v>
      </c>
    </row>
    <row r="233" spans="1:37" x14ac:dyDescent="0.25">
      <c r="A233" s="60">
        <f t="shared" si="6"/>
        <v>232</v>
      </c>
      <c r="B233" s="49" t="str">
        <f>_xlfn.XLOOKUP(C233,Tab_Def_Flows[Name(EN)],Tab_Def_Flows[Flow_ID],,0,)</f>
        <v>F_12_12</v>
      </c>
      <c r="C233" s="51"/>
      <c r="D233" s="49">
        <f>_xlfn.XLOOKUP(C233,Tab_Def_Flows[Name(EN)],Tab_Def_Flows[Type_Biomass],,0,)</f>
        <v>0</v>
      </c>
      <c r="E233" s="49">
        <f>_xlfn.XLOOKUP(C233,Tab_Def_Flows[Name(EN)],Tab_Def_Flows[Output_Process],,0,)</f>
        <v>0</v>
      </c>
      <c r="F233" s="49" t="str">
        <f>_xlfn.XLOOKUP(C233,Tab_Def_Flows[Name(EN)],Tab_Def_Flows[Process_ID_O],,0,)</f>
        <v>12__</v>
      </c>
      <c r="G233" s="49">
        <f>_xlfn.XLOOKUP(C233,Tab_Def_Flows[Name(EN)],Tab_Def_Flows[Input_Process],,0,)</f>
        <v>0</v>
      </c>
      <c r="H233" s="61" t="str">
        <f>_xlfn.XLOOKUP(C233,Tab_Def_Flows[Name(EN)],Tab_Def_Flows[Process_ID_I],,0,)</f>
        <v>12__</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c r="AC233" s="107" t="e">
        <f>INDEX(Tab_Def_Flows[[Flow_ID]:[CC_DM_source]],MATCH(Tab_Data_Flows[[#This Row],[Name(EN)]],Tab_Def_Flows[Name(EN)],0),16)</f>
        <v>#N/A</v>
      </c>
      <c r="AD233" s="108" t="str">
        <f>IF(J233="Yes",AA233*Tab_Data_Flows[[#This Row],[WC_'[%']]],"N.A.")</f>
        <v>N.A.</v>
      </c>
      <c r="AE233" s="61">
        <f>Tab_Data_Flows[[#This Row],[UoM_Flow_Py]]</f>
        <v>0</v>
      </c>
      <c r="AF233" s="107" t="e">
        <f>INDEX(Tab_Def_Flows[[Flow_ID]:[CC_DM_source]],MATCH(Tab_Data_Flows[[#This Row],[Name(EN)]],Tab_Def_Flows[Name(EN)],0),18)</f>
        <v>#N/A</v>
      </c>
      <c r="AG233" s="108" t="str">
        <f>IF(K233="Yes",AF233*Tab_Data_Flows[[#This Row],[Flow_Py]],"N.A.")</f>
        <v>N.A.</v>
      </c>
      <c r="AH233" s="61">
        <f>Tab_Data_Flows[[#This Row],[UoM_Flow_Py]]</f>
        <v>0</v>
      </c>
      <c r="AI233" s="107" t="e">
        <f>INDEX(Tab_Def_Flows[[Flow_ID]:[CC_DM_source]],MATCH(Tab_Data_Flows[[#This Row],[Name(EN)]],Tab_Def_Flows[Name(EN)],0),20)</f>
        <v>#N/A</v>
      </c>
      <c r="AJ233" s="108" t="str">
        <f>IF(L233="Yes",AI233*Tab_Data_Flows[[#This Row],[Flow_Py]]*Tab_Data_Flows[[#This Row],[DM_'[%']]],"N.A.")</f>
        <v>N.A.</v>
      </c>
      <c r="AK233" s="61">
        <f>Tab_Data_Flows[[#This Row],[UoM_Flow_Py]]</f>
        <v>0</v>
      </c>
    </row>
    <row r="234" spans="1:37" x14ac:dyDescent="0.25">
      <c r="A234" s="60">
        <f t="shared" si="6"/>
        <v>233</v>
      </c>
      <c r="B234" s="49" t="str">
        <f>_xlfn.XLOOKUP(C234,Tab_Def_Flows[Name(EN)],Tab_Def_Flows[Flow_ID],,0,)</f>
        <v>F_12_12</v>
      </c>
      <c r="C234" s="51"/>
      <c r="D234" s="49">
        <f>_xlfn.XLOOKUP(C234,Tab_Def_Flows[Name(EN)],Tab_Def_Flows[Type_Biomass],,0,)</f>
        <v>0</v>
      </c>
      <c r="E234" s="49">
        <f>_xlfn.XLOOKUP(C234,Tab_Def_Flows[Name(EN)],Tab_Def_Flows[Output_Process],,0,)</f>
        <v>0</v>
      </c>
      <c r="F234" s="49" t="str">
        <f>_xlfn.XLOOKUP(C234,Tab_Def_Flows[Name(EN)],Tab_Def_Flows[Process_ID_O],,0,)</f>
        <v>12__</v>
      </c>
      <c r="G234" s="49">
        <f>_xlfn.XLOOKUP(C234,Tab_Def_Flows[Name(EN)],Tab_Def_Flows[Input_Process],,0,)</f>
        <v>0</v>
      </c>
      <c r="H234" s="61" t="str">
        <f>_xlfn.XLOOKUP(C234,Tab_Def_Flows[Name(EN)],Tab_Def_Flows[Process_ID_I],,0,)</f>
        <v>12__</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c r="AC234" s="107" t="e">
        <f>INDEX(Tab_Def_Flows[[Flow_ID]:[CC_DM_source]],MATCH(Tab_Data_Flows[[#This Row],[Name(EN)]],Tab_Def_Flows[Name(EN)],0),16)</f>
        <v>#N/A</v>
      </c>
      <c r="AD234" s="108" t="str">
        <f>IF(J234="Yes",AA234*Tab_Data_Flows[[#This Row],[WC_'[%']]],"N.A.")</f>
        <v>N.A.</v>
      </c>
      <c r="AE234" s="61">
        <f>Tab_Data_Flows[[#This Row],[UoM_Flow_Py]]</f>
        <v>0</v>
      </c>
      <c r="AF234" s="107" t="e">
        <f>INDEX(Tab_Def_Flows[[Flow_ID]:[CC_DM_source]],MATCH(Tab_Data_Flows[[#This Row],[Name(EN)]],Tab_Def_Flows[Name(EN)],0),18)</f>
        <v>#N/A</v>
      </c>
      <c r="AG234" s="108" t="str">
        <f>IF(K234="Yes",AF234*Tab_Data_Flows[[#This Row],[Flow_Py]],"N.A.")</f>
        <v>N.A.</v>
      </c>
      <c r="AH234" s="61">
        <f>Tab_Data_Flows[[#This Row],[UoM_Flow_Py]]</f>
        <v>0</v>
      </c>
      <c r="AI234" s="107" t="e">
        <f>INDEX(Tab_Def_Flows[[Flow_ID]:[CC_DM_source]],MATCH(Tab_Data_Flows[[#This Row],[Name(EN)]],Tab_Def_Flows[Name(EN)],0),20)</f>
        <v>#N/A</v>
      </c>
      <c r="AJ234" s="108" t="str">
        <f>IF(L234="Yes",AI234*Tab_Data_Flows[[#This Row],[Flow_Py]]*Tab_Data_Flows[[#This Row],[DM_'[%']]],"N.A.")</f>
        <v>N.A.</v>
      </c>
      <c r="AK234" s="61">
        <f>Tab_Data_Flows[[#This Row],[UoM_Flow_Py]]</f>
        <v>0</v>
      </c>
    </row>
    <row r="235" spans="1:37" x14ac:dyDescent="0.25">
      <c r="A235" s="60">
        <f t="shared" si="6"/>
        <v>234</v>
      </c>
      <c r="B235" s="49" t="str">
        <f>_xlfn.XLOOKUP(C235,Tab_Def_Flows[Name(EN)],Tab_Def_Flows[Flow_ID],,0,)</f>
        <v>F_12_12</v>
      </c>
      <c r="C235" s="51"/>
      <c r="D235" s="49">
        <f>_xlfn.XLOOKUP(C235,Tab_Def_Flows[Name(EN)],Tab_Def_Flows[Type_Biomass],,0,)</f>
        <v>0</v>
      </c>
      <c r="E235" s="49">
        <f>_xlfn.XLOOKUP(C235,Tab_Def_Flows[Name(EN)],Tab_Def_Flows[Output_Process],,0,)</f>
        <v>0</v>
      </c>
      <c r="F235" s="49" t="str">
        <f>_xlfn.XLOOKUP(C235,Tab_Def_Flows[Name(EN)],Tab_Def_Flows[Process_ID_O],,0,)</f>
        <v>12__</v>
      </c>
      <c r="G235" s="49">
        <f>_xlfn.XLOOKUP(C235,Tab_Def_Flows[Name(EN)],Tab_Def_Flows[Input_Process],,0,)</f>
        <v>0</v>
      </c>
      <c r="H235" s="61" t="str">
        <f>_xlfn.XLOOKUP(C235,Tab_Def_Flows[Name(EN)],Tab_Def_Flows[Process_ID_I],,0,)</f>
        <v>12__</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c r="AC235" s="107" t="e">
        <f>INDEX(Tab_Def_Flows[[Flow_ID]:[CC_DM_source]],MATCH(Tab_Data_Flows[[#This Row],[Name(EN)]],Tab_Def_Flows[Name(EN)],0),16)</f>
        <v>#N/A</v>
      </c>
      <c r="AD235" s="108" t="str">
        <f>IF(J235="Yes",AA235*Tab_Data_Flows[[#This Row],[WC_'[%']]],"N.A.")</f>
        <v>N.A.</v>
      </c>
      <c r="AE235" s="61">
        <f>Tab_Data_Flows[[#This Row],[UoM_Flow_Py]]</f>
        <v>0</v>
      </c>
      <c r="AF235" s="107" t="e">
        <f>INDEX(Tab_Def_Flows[[Flow_ID]:[CC_DM_source]],MATCH(Tab_Data_Flows[[#This Row],[Name(EN)]],Tab_Def_Flows[Name(EN)],0),18)</f>
        <v>#N/A</v>
      </c>
      <c r="AG235" s="108" t="str">
        <f>IF(K235="Yes",AF235*Tab_Data_Flows[[#This Row],[Flow_Py]],"N.A.")</f>
        <v>N.A.</v>
      </c>
      <c r="AH235" s="61">
        <f>Tab_Data_Flows[[#This Row],[UoM_Flow_Py]]</f>
        <v>0</v>
      </c>
      <c r="AI235" s="107" t="e">
        <f>INDEX(Tab_Def_Flows[[Flow_ID]:[CC_DM_source]],MATCH(Tab_Data_Flows[[#This Row],[Name(EN)]],Tab_Def_Flows[Name(EN)],0),20)</f>
        <v>#N/A</v>
      </c>
      <c r="AJ235" s="108" t="str">
        <f>IF(L235="Yes",AI235*Tab_Data_Flows[[#This Row],[Flow_Py]]*Tab_Data_Flows[[#This Row],[DM_'[%']]],"N.A.")</f>
        <v>N.A.</v>
      </c>
      <c r="AK235" s="61">
        <f>Tab_Data_Flows[[#This Row],[UoM_Flow_Py]]</f>
        <v>0</v>
      </c>
    </row>
    <row r="236" spans="1:37" x14ac:dyDescent="0.25">
      <c r="A236" s="60">
        <f t="shared" si="6"/>
        <v>235</v>
      </c>
      <c r="B236" s="49" t="str">
        <f>_xlfn.XLOOKUP(C236,Tab_Def_Flows[Name(EN)],Tab_Def_Flows[Flow_ID],,0,)</f>
        <v>F_12_12</v>
      </c>
      <c r="C236" s="51"/>
      <c r="D236" s="49">
        <f>_xlfn.XLOOKUP(C236,Tab_Def_Flows[Name(EN)],Tab_Def_Flows[Type_Biomass],,0,)</f>
        <v>0</v>
      </c>
      <c r="E236" s="49">
        <f>_xlfn.XLOOKUP(C236,Tab_Def_Flows[Name(EN)],Tab_Def_Flows[Output_Process],,0,)</f>
        <v>0</v>
      </c>
      <c r="F236" s="49" t="str">
        <f>_xlfn.XLOOKUP(C236,Tab_Def_Flows[Name(EN)],Tab_Def_Flows[Process_ID_O],,0,)</f>
        <v>12__</v>
      </c>
      <c r="G236" s="49">
        <f>_xlfn.XLOOKUP(C236,Tab_Def_Flows[Name(EN)],Tab_Def_Flows[Input_Process],,0,)</f>
        <v>0</v>
      </c>
      <c r="H236" s="61" t="str">
        <f>_xlfn.XLOOKUP(C236,Tab_Def_Flows[Name(EN)],Tab_Def_Flows[Process_ID_I],,0,)</f>
        <v>12__</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c r="AC236" s="107" t="e">
        <f>INDEX(Tab_Def_Flows[[Flow_ID]:[CC_DM_source]],MATCH(Tab_Data_Flows[[#This Row],[Name(EN)]],Tab_Def_Flows[Name(EN)],0),16)</f>
        <v>#N/A</v>
      </c>
      <c r="AD236" s="108" t="str">
        <f>IF(J236="Yes",AA236*Tab_Data_Flows[[#This Row],[WC_'[%']]],"N.A.")</f>
        <v>N.A.</v>
      </c>
      <c r="AE236" s="61">
        <f>Tab_Data_Flows[[#This Row],[UoM_Flow_Py]]</f>
        <v>0</v>
      </c>
      <c r="AF236" s="107" t="e">
        <f>INDEX(Tab_Def_Flows[[Flow_ID]:[CC_DM_source]],MATCH(Tab_Data_Flows[[#This Row],[Name(EN)]],Tab_Def_Flows[Name(EN)],0),18)</f>
        <v>#N/A</v>
      </c>
      <c r="AG236" s="108" t="str">
        <f>IF(K236="Yes",AF236*Tab_Data_Flows[[#This Row],[Flow_Py]],"N.A.")</f>
        <v>N.A.</v>
      </c>
      <c r="AH236" s="61">
        <f>Tab_Data_Flows[[#This Row],[UoM_Flow_Py]]</f>
        <v>0</v>
      </c>
      <c r="AI236" s="107" t="e">
        <f>INDEX(Tab_Def_Flows[[Flow_ID]:[CC_DM_source]],MATCH(Tab_Data_Flows[[#This Row],[Name(EN)]],Tab_Def_Flows[Name(EN)],0),20)</f>
        <v>#N/A</v>
      </c>
      <c r="AJ236" s="108" t="str">
        <f>IF(L236="Yes",AI236*Tab_Data_Flows[[#This Row],[Flow_Py]]*Tab_Data_Flows[[#This Row],[DM_'[%']]],"N.A.")</f>
        <v>N.A.</v>
      </c>
      <c r="AK236" s="61">
        <f>Tab_Data_Flows[[#This Row],[UoM_Flow_Py]]</f>
        <v>0</v>
      </c>
    </row>
    <row r="237" spans="1:37" x14ac:dyDescent="0.25">
      <c r="A237" s="60">
        <f t="shared" si="6"/>
        <v>236</v>
      </c>
      <c r="B237" s="49" t="str">
        <f>_xlfn.XLOOKUP(C237,Tab_Def_Flows[Name(EN)],Tab_Def_Flows[Flow_ID],,0,)</f>
        <v>F_12_12</v>
      </c>
      <c r="C237" s="51"/>
      <c r="D237" s="49">
        <f>_xlfn.XLOOKUP(C237,Tab_Def_Flows[Name(EN)],Tab_Def_Flows[Type_Biomass],,0,)</f>
        <v>0</v>
      </c>
      <c r="E237" s="49">
        <f>_xlfn.XLOOKUP(C237,Tab_Def_Flows[Name(EN)],Tab_Def_Flows[Output_Process],,0,)</f>
        <v>0</v>
      </c>
      <c r="F237" s="49" t="str">
        <f>_xlfn.XLOOKUP(C237,Tab_Def_Flows[Name(EN)],Tab_Def_Flows[Process_ID_O],,0,)</f>
        <v>12__</v>
      </c>
      <c r="G237" s="49">
        <f>_xlfn.XLOOKUP(C237,Tab_Def_Flows[Name(EN)],Tab_Def_Flows[Input_Process],,0,)</f>
        <v>0</v>
      </c>
      <c r="H237" s="61" t="str">
        <f>_xlfn.XLOOKUP(C237,Tab_Def_Flows[Name(EN)],Tab_Def_Flows[Process_ID_I],,0,)</f>
        <v>12__</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c r="AC237" s="107" t="e">
        <f>INDEX(Tab_Def_Flows[[Flow_ID]:[CC_DM_source]],MATCH(Tab_Data_Flows[[#This Row],[Name(EN)]],Tab_Def_Flows[Name(EN)],0),16)</f>
        <v>#N/A</v>
      </c>
      <c r="AD237" s="108" t="str">
        <f>IF(J237="Yes",AA237*Tab_Data_Flows[[#This Row],[WC_'[%']]],"N.A.")</f>
        <v>N.A.</v>
      </c>
      <c r="AE237" s="61">
        <f>Tab_Data_Flows[[#This Row],[UoM_Flow_Py]]</f>
        <v>0</v>
      </c>
      <c r="AF237" s="107" t="e">
        <f>INDEX(Tab_Def_Flows[[Flow_ID]:[CC_DM_source]],MATCH(Tab_Data_Flows[[#This Row],[Name(EN)]],Tab_Def_Flows[Name(EN)],0),18)</f>
        <v>#N/A</v>
      </c>
      <c r="AG237" s="108" t="str">
        <f>IF(K237="Yes",AF237*Tab_Data_Flows[[#This Row],[Flow_Py]],"N.A.")</f>
        <v>N.A.</v>
      </c>
      <c r="AH237" s="61">
        <f>Tab_Data_Flows[[#This Row],[UoM_Flow_Py]]</f>
        <v>0</v>
      </c>
      <c r="AI237" s="107" t="e">
        <f>INDEX(Tab_Def_Flows[[Flow_ID]:[CC_DM_source]],MATCH(Tab_Data_Flows[[#This Row],[Name(EN)]],Tab_Def_Flows[Name(EN)],0),20)</f>
        <v>#N/A</v>
      </c>
      <c r="AJ237" s="108" t="str">
        <f>IF(L237="Yes",AI237*Tab_Data_Flows[[#This Row],[Flow_Py]]*Tab_Data_Flows[[#This Row],[DM_'[%']]],"N.A.")</f>
        <v>N.A.</v>
      </c>
      <c r="AK237" s="61">
        <f>Tab_Data_Flows[[#This Row],[UoM_Flow_Py]]</f>
        <v>0</v>
      </c>
    </row>
    <row r="238" spans="1:37" x14ac:dyDescent="0.25">
      <c r="A238" s="60">
        <f t="shared" si="6"/>
        <v>237</v>
      </c>
      <c r="B238" s="49" t="str">
        <f>_xlfn.XLOOKUP(C238,Tab_Def_Flows[Name(EN)],Tab_Def_Flows[Flow_ID],,0,)</f>
        <v>F_12_12</v>
      </c>
      <c r="C238" s="51"/>
      <c r="D238" s="49">
        <f>_xlfn.XLOOKUP(C238,Tab_Def_Flows[Name(EN)],Tab_Def_Flows[Type_Biomass],,0,)</f>
        <v>0</v>
      </c>
      <c r="E238" s="49">
        <f>_xlfn.XLOOKUP(C238,Tab_Def_Flows[Name(EN)],Tab_Def_Flows[Output_Process],,0,)</f>
        <v>0</v>
      </c>
      <c r="F238" s="49" t="str">
        <f>_xlfn.XLOOKUP(C238,Tab_Def_Flows[Name(EN)],Tab_Def_Flows[Process_ID_O],,0,)</f>
        <v>12__</v>
      </c>
      <c r="G238" s="49">
        <f>_xlfn.XLOOKUP(C238,Tab_Def_Flows[Name(EN)],Tab_Def_Flows[Input_Process],,0,)</f>
        <v>0</v>
      </c>
      <c r="H238" s="61" t="str">
        <f>_xlfn.XLOOKUP(C238,Tab_Def_Flows[Name(EN)],Tab_Def_Flows[Process_ID_I],,0,)</f>
        <v>12__</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c r="AC238" s="107" t="e">
        <f>INDEX(Tab_Def_Flows[[Flow_ID]:[CC_DM_source]],MATCH(Tab_Data_Flows[[#This Row],[Name(EN)]],Tab_Def_Flows[Name(EN)],0),16)</f>
        <v>#N/A</v>
      </c>
      <c r="AD238" s="108" t="str">
        <f>IF(J238="Yes",AA238*Tab_Data_Flows[[#This Row],[WC_'[%']]],"N.A.")</f>
        <v>N.A.</v>
      </c>
      <c r="AE238" s="61">
        <f>Tab_Data_Flows[[#This Row],[UoM_Flow_Py]]</f>
        <v>0</v>
      </c>
      <c r="AF238" s="107" t="e">
        <f>INDEX(Tab_Def_Flows[[Flow_ID]:[CC_DM_source]],MATCH(Tab_Data_Flows[[#This Row],[Name(EN)]],Tab_Def_Flows[Name(EN)],0),18)</f>
        <v>#N/A</v>
      </c>
      <c r="AG238" s="108" t="str">
        <f>IF(K238="Yes",AF238*Tab_Data_Flows[[#This Row],[Flow_Py]],"N.A.")</f>
        <v>N.A.</v>
      </c>
      <c r="AH238" s="61">
        <f>Tab_Data_Flows[[#This Row],[UoM_Flow_Py]]</f>
        <v>0</v>
      </c>
      <c r="AI238" s="107" t="e">
        <f>INDEX(Tab_Def_Flows[[Flow_ID]:[CC_DM_source]],MATCH(Tab_Data_Flows[[#This Row],[Name(EN)]],Tab_Def_Flows[Name(EN)],0),20)</f>
        <v>#N/A</v>
      </c>
      <c r="AJ238" s="108" t="str">
        <f>IF(L238="Yes",AI238*Tab_Data_Flows[[#This Row],[Flow_Py]]*Tab_Data_Flows[[#This Row],[DM_'[%']]],"N.A.")</f>
        <v>N.A.</v>
      </c>
      <c r="AK238" s="61">
        <f>Tab_Data_Flows[[#This Row],[UoM_Flow_Py]]</f>
        <v>0</v>
      </c>
    </row>
    <row r="239" spans="1:37" x14ac:dyDescent="0.25">
      <c r="A239" s="60">
        <f t="shared" si="6"/>
        <v>238</v>
      </c>
      <c r="B239" s="49" t="str">
        <f>_xlfn.XLOOKUP(C239,Tab_Def_Flows[Name(EN)],Tab_Def_Flows[Flow_ID],,0,)</f>
        <v>F_12_12</v>
      </c>
      <c r="C239" s="51"/>
      <c r="D239" s="49">
        <f>_xlfn.XLOOKUP(C239,Tab_Def_Flows[Name(EN)],Tab_Def_Flows[Type_Biomass],,0,)</f>
        <v>0</v>
      </c>
      <c r="E239" s="49">
        <f>_xlfn.XLOOKUP(C239,Tab_Def_Flows[Name(EN)],Tab_Def_Flows[Output_Process],,0,)</f>
        <v>0</v>
      </c>
      <c r="F239" s="49" t="str">
        <f>_xlfn.XLOOKUP(C239,Tab_Def_Flows[Name(EN)],Tab_Def_Flows[Process_ID_O],,0,)</f>
        <v>12__</v>
      </c>
      <c r="G239" s="49">
        <f>_xlfn.XLOOKUP(C239,Tab_Def_Flows[Name(EN)],Tab_Def_Flows[Input_Process],,0,)</f>
        <v>0</v>
      </c>
      <c r="H239" s="61" t="str">
        <f>_xlfn.XLOOKUP(C239,Tab_Def_Flows[Name(EN)],Tab_Def_Flows[Process_ID_I],,0,)</f>
        <v>12__</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c r="AC239" s="107" t="e">
        <f>INDEX(Tab_Def_Flows[[Flow_ID]:[CC_DM_source]],MATCH(Tab_Data_Flows[[#This Row],[Name(EN)]],Tab_Def_Flows[Name(EN)],0),16)</f>
        <v>#N/A</v>
      </c>
      <c r="AD239" s="108" t="str">
        <f>IF(J239="Yes",AA239*Tab_Data_Flows[[#This Row],[WC_'[%']]],"N.A.")</f>
        <v>N.A.</v>
      </c>
      <c r="AE239" s="61">
        <f>Tab_Data_Flows[[#This Row],[UoM_Flow_Py]]</f>
        <v>0</v>
      </c>
      <c r="AF239" s="107" t="e">
        <f>INDEX(Tab_Def_Flows[[Flow_ID]:[CC_DM_source]],MATCH(Tab_Data_Flows[[#This Row],[Name(EN)]],Tab_Def_Flows[Name(EN)],0),18)</f>
        <v>#N/A</v>
      </c>
      <c r="AG239" s="108" t="str">
        <f>IF(K239="Yes",AF239*Tab_Data_Flows[[#This Row],[Flow_Py]],"N.A.")</f>
        <v>N.A.</v>
      </c>
      <c r="AH239" s="61">
        <f>Tab_Data_Flows[[#This Row],[UoM_Flow_Py]]</f>
        <v>0</v>
      </c>
      <c r="AI239" s="107" t="e">
        <f>INDEX(Tab_Def_Flows[[Flow_ID]:[CC_DM_source]],MATCH(Tab_Data_Flows[[#This Row],[Name(EN)]],Tab_Def_Flows[Name(EN)],0),20)</f>
        <v>#N/A</v>
      </c>
      <c r="AJ239" s="108" t="str">
        <f>IF(L239="Yes",AI239*Tab_Data_Flows[[#This Row],[Flow_Py]]*Tab_Data_Flows[[#This Row],[DM_'[%']]],"N.A.")</f>
        <v>N.A.</v>
      </c>
      <c r="AK239" s="61">
        <f>Tab_Data_Flows[[#This Row],[UoM_Flow_Py]]</f>
        <v>0</v>
      </c>
    </row>
    <row r="240" spans="1:37" x14ac:dyDescent="0.25">
      <c r="A240" s="60">
        <f t="shared" si="6"/>
        <v>239</v>
      </c>
      <c r="B240" s="49" t="str">
        <f>_xlfn.XLOOKUP(C240,Tab_Def_Flows[Name(EN)],Tab_Def_Flows[Flow_ID],,0,)</f>
        <v>F_12_12</v>
      </c>
      <c r="C240" s="51"/>
      <c r="D240" s="49">
        <f>_xlfn.XLOOKUP(C240,Tab_Def_Flows[Name(EN)],Tab_Def_Flows[Type_Biomass],,0,)</f>
        <v>0</v>
      </c>
      <c r="E240" s="49">
        <f>_xlfn.XLOOKUP(C240,Tab_Def_Flows[Name(EN)],Tab_Def_Flows[Output_Process],,0,)</f>
        <v>0</v>
      </c>
      <c r="F240" s="49" t="str">
        <f>_xlfn.XLOOKUP(C240,Tab_Def_Flows[Name(EN)],Tab_Def_Flows[Process_ID_O],,0,)</f>
        <v>12__</v>
      </c>
      <c r="G240" s="49">
        <f>_xlfn.XLOOKUP(C240,Tab_Def_Flows[Name(EN)],Tab_Def_Flows[Input_Process],,0,)</f>
        <v>0</v>
      </c>
      <c r="H240" s="61" t="str">
        <f>_xlfn.XLOOKUP(C240,Tab_Def_Flows[Name(EN)],Tab_Def_Flows[Process_ID_I],,0,)</f>
        <v>12__</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c r="AC240" s="107" t="e">
        <f>INDEX(Tab_Def_Flows[[Flow_ID]:[CC_DM_source]],MATCH(Tab_Data_Flows[[#This Row],[Name(EN)]],Tab_Def_Flows[Name(EN)],0),16)</f>
        <v>#N/A</v>
      </c>
      <c r="AD240" s="108" t="str">
        <f>IF(J240="Yes",AA240*Tab_Data_Flows[[#This Row],[WC_'[%']]],"N.A.")</f>
        <v>N.A.</v>
      </c>
      <c r="AE240" s="61">
        <f>Tab_Data_Flows[[#This Row],[UoM_Flow_Py]]</f>
        <v>0</v>
      </c>
      <c r="AF240" s="107" t="e">
        <f>INDEX(Tab_Def_Flows[[Flow_ID]:[CC_DM_source]],MATCH(Tab_Data_Flows[[#This Row],[Name(EN)]],Tab_Def_Flows[Name(EN)],0),18)</f>
        <v>#N/A</v>
      </c>
      <c r="AG240" s="108" t="str">
        <f>IF(K240="Yes",AF240*Tab_Data_Flows[[#This Row],[Flow_Py]],"N.A.")</f>
        <v>N.A.</v>
      </c>
      <c r="AH240" s="61">
        <f>Tab_Data_Flows[[#This Row],[UoM_Flow_Py]]</f>
        <v>0</v>
      </c>
      <c r="AI240" s="107" t="e">
        <f>INDEX(Tab_Def_Flows[[Flow_ID]:[CC_DM_source]],MATCH(Tab_Data_Flows[[#This Row],[Name(EN)]],Tab_Def_Flows[Name(EN)],0),20)</f>
        <v>#N/A</v>
      </c>
      <c r="AJ240" s="108" t="str">
        <f>IF(L240="Yes",AI240*Tab_Data_Flows[[#This Row],[Flow_Py]]*Tab_Data_Flows[[#This Row],[DM_'[%']]],"N.A.")</f>
        <v>N.A.</v>
      </c>
      <c r="AK240" s="61">
        <f>Tab_Data_Flows[[#This Row],[UoM_Flow_Py]]</f>
        <v>0</v>
      </c>
    </row>
    <row r="241" spans="1:37" x14ac:dyDescent="0.25">
      <c r="A241" s="60">
        <f t="shared" si="6"/>
        <v>240</v>
      </c>
      <c r="B241" s="49" t="str">
        <f>_xlfn.XLOOKUP(C241,Tab_Def_Flows[Name(EN)],Tab_Def_Flows[Flow_ID],,0,)</f>
        <v>F_12_12</v>
      </c>
      <c r="C241" s="51"/>
      <c r="D241" s="49">
        <f>_xlfn.XLOOKUP(C241,Tab_Def_Flows[Name(EN)],Tab_Def_Flows[Type_Biomass],,0,)</f>
        <v>0</v>
      </c>
      <c r="E241" s="49">
        <f>_xlfn.XLOOKUP(C241,Tab_Def_Flows[Name(EN)],Tab_Def_Flows[Output_Process],,0,)</f>
        <v>0</v>
      </c>
      <c r="F241" s="49" t="str">
        <f>_xlfn.XLOOKUP(C241,Tab_Def_Flows[Name(EN)],Tab_Def_Flows[Process_ID_O],,0,)</f>
        <v>12__</v>
      </c>
      <c r="G241" s="49">
        <f>_xlfn.XLOOKUP(C241,Tab_Def_Flows[Name(EN)],Tab_Def_Flows[Input_Process],,0,)</f>
        <v>0</v>
      </c>
      <c r="H241" s="61" t="str">
        <f>_xlfn.XLOOKUP(C241,Tab_Def_Flows[Name(EN)],Tab_Def_Flows[Process_ID_I],,0,)</f>
        <v>12__</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c r="AC241" s="107" t="e">
        <f>INDEX(Tab_Def_Flows[[Flow_ID]:[CC_DM_source]],MATCH(Tab_Data_Flows[[#This Row],[Name(EN)]],Tab_Def_Flows[Name(EN)],0),16)</f>
        <v>#N/A</v>
      </c>
      <c r="AD241" s="108" t="str">
        <f>IF(J241="Yes",AA241*Tab_Data_Flows[[#This Row],[WC_'[%']]],"N.A.")</f>
        <v>N.A.</v>
      </c>
      <c r="AE241" s="61">
        <f>Tab_Data_Flows[[#This Row],[UoM_Flow_Py]]</f>
        <v>0</v>
      </c>
      <c r="AF241" s="107" t="e">
        <f>INDEX(Tab_Def_Flows[[Flow_ID]:[CC_DM_source]],MATCH(Tab_Data_Flows[[#This Row],[Name(EN)]],Tab_Def_Flows[Name(EN)],0),18)</f>
        <v>#N/A</v>
      </c>
      <c r="AG241" s="108" t="str">
        <f>IF(K241="Yes",AF241*Tab_Data_Flows[[#This Row],[Flow_Py]],"N.A.")</f>
        <v>N.A.</v>
      </c>
      <c r="AH241" s="61">
        <f>Tab_Data_Flows[[#This Row],[UoM_Flow_Py]]</f>
        <v>0</v>
      </c>
      <c r="AI241" s="107" t="e">
        <f>INDEX(Tab_Def_Flows[[Flow_ID]:[CC_DM_source]],MATCH(Tab_Data_Flows[[#This Row],[Name(EN)]],Tab_Def_Flows[Name(EN)],0),20)</f>
        <v>#N/A</v>
      </c>
      <c r="AJ241" s="108" t="str">
        <f>IF(L241="Yes",AI241*Tab_Data_Flows[[#This Row],[Flow_Py]]*Tab_Data_Flows[[#This Row],[DM_'[%']]],"N.A.")</f>
        <v>N.A.</v>
      </c>
      <c r="AK241" s="61">
        <f>Tab_Data_Flows[[#This Row],[UoM_Flow_Py]]</f>
        <v>0</v>
      </c>
    </row>
    <row r="242" spans="1:37" x14ac:dyDescent="0.25">
      <c r="A242" s="60">
        <f t="shared" si="6"/>
        <v>241</v>
      </c>
      <c r="B242" s="49" t="str">
        <f>_xlfn.XLOOKUP(C242,Tab_Def_Flows[Name(EN)],Tab_Def_Flows[Flow_ID],,0,)</f>
        <v>F_12_12</v>
      </c>
      <c r="C242" s="51"/>
      <c r="D242" s="49">
        <f>_xlfn.XLOOKUP(C242,Tab_Def_Flows[Name(EN)],Tab_Def_Flows[Type_Biomass],,0,)</f>
        <v>0</v>
      </c>
      <c r="E242" s="49">
        <f>_xlfn.XLOOKUP(C242,Tab_Def_Flows[Name(EN)],Tab_Def_Flows[Output_Process],,0,)</f>
        <v>0</v>
      </c>
      <c r="F242" s="49" t="str">
        <f>_xlfn.XLOOKUP(C242,Tab_Def_Flows[Name(EN)],Tab_Def_Flows[Process_ID_O],,0,)</f>
        <v>12__</v>
      </c>
      <c r="G242" s="49">
        <f>_xlfn.XLOOKUP(C242,Tab_Def_Flows[Name(EN)],Tab_Def_Flows[Input_Process],,0,)</f>
        <v>0</v>
      </c>
      <c r="H242" s="61" t="str">
        <f>_xlfn.XLOOKUP(C242,Tab_Def_Flows[Name(EN)],Tab_Def_Flows[Process_ID_I],,0,)</f>
        <v>12__</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c r="AC242" s="107" t="e">
        <f>INDEX(Tab_Def_Flows[[Flow_ID]:[CC_DM_source]],MATCH(Tab_Data_Flows[[#This Row],[Name(EN)]],Tab_Def_Flows[Name(EN)],0),16)</f>
        <v>#N/A</v>
      </c>
      <c r="AD242" s="108" t="str">
        <f>IF(J242="Yes",AA242*Tab_Data_Flows[[#This Row],[WC_'[%']]],"N.A.")</f>
        <v>N.A.</v>
      </c>
      <c r="AE242" s="61">
        <f>Tab_Data_Flows[[#This Row],[UoM_Flow_Py]]</f>
        <v>0</v>
      </c>
      <c r="AF242" s="107" t="e">
        <f>INDEX(Tab_Def_Flows[[Flow_ID]:[CC_DM_source]],MATCH(Tab_Data_Flows[[#This Row],[Name(EN)]],Tab_Def_Flows[Name(EN)],0),18)</f>
        <v>#N/A</v>
      </c>
      <c r="AG242" s="108" t="str">
        <f>IF(K242="Yes",AF242*Tab_Data_Flows[[#This Row],[Flow_Py]],"N.A.")</f>
        <v>N.A.</v>
      </c>
      <c r="AH242" s="61">
        <f>Tab_Data_Flows[[#This Row],[UoM_Flow_Py]]</f>
        <v>0</v>
      </c>
      <c r="AI242" s="107" t="e">
        <f>INDEX(Tab_Def_Flows[[Flow_ID]:[CC_DM_source]],MATCH(Tab_Data_Flows[[#This Row],[Name(EN)]],Tab_Def_Flows[Name(EN)],0),20)</f>
        <v>#N/A</v>
      </c>
      <c r="AJ242" s="108" t="str">
        <f>IF(L242="Yes",AI242*Tab_Data_Flows[[#This Row],[Flow_Py]]*Tab_Data_Flows[[#This Row],[DM_'[%']]],"N.A.")</f>
        <v>N.A.</v>
      </c>
      <c r="AK242" s="61">
        <f>Tab_Data_Flows[[#This Row],[UoM_Flow_Py]]</f>
        <v>0</v>
      </c>
    </row>
    <row r="243" spans="1:37" x14ac:dyDescent="0.25">
      <c r="A243" s="60">
        <f t="shared" si="6"/>
        <v>242</v>
      </c>
      <c r="B243" s="49" t="str">
        <f>_xlfn.XLOOKUP(C243,Tab_Def_Flows[Name(EN)],Tab_Def_Flows[Flow_ID],,0,)</f>
        <v>F_12_12</v>
      </c>
      <c r="C243" s="51"/>
      <c r="D243" s="49">
        <f>_xlfn.XLOOKUP(C243,Tab_Def_Flows[Name(EN)],Tab_Def_Flows[Type_Biomass],,0,)</f>
        <v>0</v>
      </c>
      <c r="E243" s="49">
        <f>_xlfn.XLOOKUP(C243,Tab_Def_Flows[Name(EN)],Tab_Def_Flows[Output_Process],,0,)</f>
        <v>0</v>
      </c>
      <c r="F243" s="49" t="str">
        <f>_xlfn.XLOOKUP(C243,Tab_Def_Flows[Name(EN)],Tab_Def_Flows[Process_ID_O],,0,)</f>
        <v>12__</v>
      </c>
      <c r="G243" s="49">
        <f>_xlfn.XLOOKUP(C243,Tab_Def_Flows[Name(EN)],Tab_Def_Flows[Input_Process],,0,)</f>
        <v>0</v>
      </c>
      <c r="H243" s="61" t="str">
        <f>_xlfn.XLOOKUP(C243,Tab_Def_Flows[Name(EN)],Tab_Def_Flows[Process_ID_I],,0,)</f>
        <v>12__</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c r="AC243" s="107" t="e">
        <f>INDEX(Tab_Def_Flows[[Flow_ID]:[CC_DM_source]],MATCH(Tab_Data_Flows[[#This Row],[Name(EN)]],Tab_Def_Flows[Name(EN)],0),16)</f>
        <v>#N/A</v>
      </c>
      <c r="AD243" s="108" t="str">
        <f>IF(J243="Yes",AA243*Tab_Data_Flows[[#This Row],[WC_'[%']]],"N.A.")</f>
        <v>N.A.</v>
      </c>
      <c r="AE243" s="61">
        <f>Tab_Data_Flows[[#This Row],[UoM_Flow_Py]]</f>
        <v>0</v>
      </c>
      <c r="AF243" s="107" t="e">
        <f>INDEX(Tab_Def_Flows[[Flow_ID]:[CC_DM_source]],MATCH(Tab_Data_Flows[[#This Row],[Name(EN)]],Tab_Def_Flows[Name(EN)],0),18)</f>
        <v>#N/A</v>
      </c>
      <c r="AG243" s="108" t="str">
        <f>IF(K243="Yes",AF243*Tab_Data_Flows[[#This Row],[Flow_Py]],"N.A.")</f>
        <v>N.A.</v>
      </c>
      <c r="AH243" s="61">
        <f>Tab_Data_Flows[[#This Row],[UoM_Flow_Py]]</f>
        <v>0</v>
      </c>
      <c r="AI243" s="107" t="e">
        <f>INDEX(Tab_Def_Flows[[Flow_ID]:[CC_DM_source]],MATCH(Tab_Data_Flows[[#This Row],[Name(EN)]],Tab_Def_Flows[Name(EN)],0),20)</f>
        <v>#N/A</v>
      </c>
      <c r="AJ243" s="108" t="str">
        <f>IF(L243="Yes",AI243*Tab_Data_Flows[[#This Row],[Flow_Py]]*Tab_Data_Flows[[#This Row],[DM_'[%']]],"N.A.")</f>
        <v>N.A.</v>
      </c>
      <c r="AK243" s="61">
        <f>Tab_Data_Flows[[#This Row],[UoM_Flow_Py]]</f>
        <v>0</v>
      </c>
    </row>
    <row r="244" spans="1:37" x14ac:dyDescent="0.25">
      <c r="A244" s="60">
        <f t="shared" si="6"/>
        <v>243</v>
      </c>
      <c r="B244" s="49" t="str">
        <f>_xlfn.XLOOKUP(C244,Tab_Def_Flows[Name(EN)],Tab_Def_Flows[Flow_ID],,0,)</f>
        <v>F_12_12</v>
      </c>
      <c r="C244" s="51"/>
      <c r="D244" s="49">
        <f>_xlfn.XLOOKUP(C244,Tab_Def_Flows[Name(EN)],Tab_Def_Flows[Type_Biomass],,0,)</f>
        <v>0</v>
      </c>
      <c r="E244" s="49">
        <f>_xlfn.XLOOKUP(C244,Tab_Def_Flows[Name(EN)],Tab_Def_Flows[Output_Process],,0,)</f>
        <v>0</v>
      </c>
      <c r="F244" s="49" t="str">
        <f>_xlfn.XLOOKUP(C244,Tab_Def_Flows[Name(EN)],Tab_Def_Flows[Process_ID_O],,0,)</f>
        <v>12__</v>
      </c>
      <c r="G244" s="49">
        <f>_xlfn.XLOOKUP(C244,Tab_Def_Flows[Name(EN)],Tab_Def_Flows[Input_Process],,0,)</f>
        <v>0</v>
      </c>
      <c r="H244" s="61" t="str">
        <f>_xlfn.XLOOKUP(C244,Tab_Def_Flows[Name(EN)],Tab_Def_Flows[Process_ID_I],,0,)</f>
        <v>12__</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c r="AC244" s="107" t="e">
        <f>INDEX(Tab_Def_Flows[[Flow_ID]:[CC_DM_source]],MATCH(Tab_Data_Flows[[#This Row],[Name(EN)]],Tab_Def_Flows[Name(EN)],0),16)</f>
        <v>#N/A</v>
      </c>
      <c r="AD244" s="108" t="str">
        <f>IF(J244="Yes",AA244*Tab_Data_Flows[[#This Row],[WC_'[%']]],"N.A.")</f>
        <v>N.A.</v>
      </c>
      <c r="AE244" s="61">
        <f>Tab_Data_Flows[[#This Row],[UoM_Flow_Py]]</f>
        <v>0</v>
      </c>
      <c r="AF244" s="107" t="e">
        <f>INDEX(Tab_Def_Flows[[Flow_ID]:[CC_DM_source]],MATCH(Tab_Data_Flows[[#This Row],[Name(EN)]],Tab_Def_Flows[Name(EN)],0),18)</f>
        <v>#N/A</v>
      </c>
      <c r="AG244" s="108" t="str">
        <f>IF(K244="Yes",AF244*Tab_Data_Flows[[#This Row],[Flow_Py]],"N.A.")</f>
        <v>N.A.</v>
      </c>
      <c r="AH244" s="61">
        <f>Tab_Data_Flows[[#This Row],[UoM_Flow_Py]]</f>
        <v>0</v>
      </c>
      <c r="AI244" s="107" t="e">
        <f>INDEX(Tab_Def_Flows[[Flow_ID]:[CC_DM_source]],MATCH(Tab_Data_Flows[[#This Row],[Name(EN)]],Tab_Def_Flows[Name(EN)],0),20)</f>
        <v>#N/A</v>
      </c>
      <c r="AJ244" s="108" t="str">
        <f>IF(L244="Yes",AI244*Tab_Data_Flows[[#This Row],[Flow_Py]]*Tab_Data_Flows[[#This Row],[DM_'[%']]],"N.A.")</f>
        <v>N.A.</v>
      </c>
      <c r="AK244" s="61">
        <f>Tab_Data_Flows[[#This Row],[UoM_Flow_Py]]</f>
        <v>0</v>
      </c>
    </row>
    <row r="245" spans="1:37" x14ac:dyDescent="0.25">
      <c r="A245" s="60">
        <f t="shared" si="6"/>
        <v>244</v>
      </c>
      <c r="B245" s="49" t="str">
        <f>_xlfn.XLOOKUP(C245,Tab_Def_Flows[Name(EN)],Tab_Def_Flows[Flow_ID],,0,)</f>
        <v>F_12_12</v>
      </c>
      <c r="C245" s="51"/>
      <c r="D245" s="49">
        <f>_xlfn.XLOOKUP(C245,Tab_Def_Flows[Name(EN)],Tab_Def_Flows[Type_Biomass],,0,)</f>
        <v>0</v>
      </c>
      <c r="E245" s="49">
        <f>_xlfn.XLOOKUP(C245,Tab_Def_Flows[Name(EN)],Tab_Def_Flows[Output_Process],,0,)</f>
        <v>0</v>
      </c>
      <c r="F245" s="49" t="str">
        <f>_xlfn.XLOOKUP(C245,Tab_Def_Flows[Name(EN)],Tab_Def_Flows[Process_ID_O],,0,)</f>
        <v>12__</v>
      </c>
      <c r="G245" s="49">
        <f>_xlfn.XLOOKUP(C245,Tab_Def_Flows[Name(EN)],Tab_Def_Flows[Input_Process],,0,)</f>
        <v>0</v>
      </c>
      <c r="H245" s="61" t="str">
        <f>_xlfn.XLOOKUP(C245,Tab_Def_Flows[Name(EN)],Tab_Def_Flows[Process_ID_I],,0,)</f>
        <v>12__</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c r="AC245" s="107" t="e">
        <f>INDEX(Tab_Def_Flows[[Flow_ID]:[CC_DM_source]],MATCH(Tab_Data_Flows[[#This Row],[Name(EN)]],Tab_Def_Flows[Name(EN)],0),16)</f>
        <v>#N/A</v>
      </c>
      <c r="AD245" s="108" t="str">
        <f>IF(J245="Yes",AA245*Tab_Data_Flows[[#This Row],[WC_'[%']]],"N.A.")</f>
        <v>N.A.</v>
      </c>
      <c r="AE245" s="61">
        <f>Tab_Data_Flows[[#This Row],[UoM_Flow_Py]]</f>
        <v>0</v>
      </c>
      <c r="AF245" s="107" t="e">
        <f>INDEX(Tab_Def_Flows[[Flow_ID]:[CC_DM_source]],MATCH(Tab_Data_Flows[[#This Row],[Name(EN)]],Tab_Def_Flows[Name(EN)],0),18)</f>
        <v>#N/A</v>
      </c>
      <c r="AG245" s="108" t="str">
        <f>IF(K245="Yes",AF245*Tab_Data_Flows[[#This Row],[Flow_Py]],"N.A.")</f>
        <v>N.A.</v>
      </c>
      <c r="AH245" s="61">
        <f>Tab_Data_Flows[[#This Row],[UoM_Flow_Py]]</f>
        <v>0</v>
      </c>
      <c r="AI245" s="107" t="e">
        <f>INDEX(Tab_Def_Flows[[Flow_ID]:[CC_DM_source]],MATCH(Tab_Data_Flows[[#This Row],[Name(EN)]],Tab_Def_Flows[Name(EN)],0),20)</f>
        <v>#N/A</v>
      </c>
      <c r="AJ245" s="108" t="str">
        <f>IF(L245="Yes",AI245*Tab_Data_Flows[[#This Row],[Flow_Py]]*Tab_Data_Flows[[#This Row],[DM_'[%']]],"N.A.")</f>
        <v>N.A.</v>
      </c>
      <c r="AK245" s="61">
        <f>Tab_Data_Flows[[#This Row],[UoM_Flow_Py]]</f>
        <v>0</v>
      </c>
    </row>
    <row r="246" spans="1:37" x14ac:dyDescent="0.25">
      <c r="A246" s="60">
        <f t="shared" si="6"/>
        <v>245</v>
      </c>
      <c r="B246" s="49" t="str">
        <f>_xlfn.XLOOKUP(C246,Tab_Def_Flows[Name(EN)],Tab_Def_Flows[Flow_ID],,0,)</f>
        <v>F_12_12</v>
      </c>
      <c r="C246" s="51"/>
      <c r="D246" s="49">
        <f>_xlfn.XLOOKUP(C246,Tab_Def_Flows[Name(EN)],Tab_Def_Flows[Type_Biomass],,0,)</f>
        <v>0</v>
      </c>
      <c r="E246" s="49">
        <f>_xlfn.XLOOKUP(C246,Tab_Def_Flows[Name(EN)],Tab_Def_Flows[Output_Process],,0,)</f>
        <v>0</v>
      </c>
      <c r="F246" s="49" t="str">
        <f>_xlfn.XLOOKUP(C246,Tab_Def_Flows[Name(EN)],Tab_Def_Flows[Process_ID_O],,0,)</f>
        <v>12__</v>
      </c>
      <c r="G246" s="49">
        <f>_xlfn.XLOOKUP(C246,Tab_Def_Flows[Name(EN)],Tab_Def_Flows[Input_Process],,0,)</f>
        <v>0</v>
      </c>
      <c r="H246" s="61" t="str">
        <f>_xlfn.XLOOKUP(C246,Tab_Def_Flows[Name(EN)],Tab_Def_Flows[Process_ID_I],,0,)</f>
        <v>12__</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c r="AC246" s="107" t="e">
        <f>INDEX(Tab_Def_Flows[[Flow_ID]:[CC_DM_source]],MATCH(Tab_Data_Flows[[#This Row],[Name(EN)]],Tab_Def_Flows[Name(EN)],0),16)</f>
        <v>#N/A</v>
      </c>
      <c r="AD246" s="108" t="str">
        <f>IF(J246="Yes",AA246*Tab_Data_Flows[[#This Row],[WC_'[%']]],"N.A.")</f>
        <v>N.A.</v>
      </c>
      <c r="AE246" s="61">
        <f>Tab_Data_Flows[[#This Row],[UoM_Flow_Py]]</f>
        <v>0</v>
      </c>
      <c r="AF246" s="107" t="e">
        <f>INDEX(Tab_Def_Flows[[Flow_ID]:[CC_DM_source]],MATCH(Tab_Data_Flows[[#This Row],[Name(EN)]],Tab_Def_Flows[Name(EN)],0),18)</f>
        <v>#N/A</v>
      </c>
      <c r="AG246" s="108" t="str">
        <f>IF(K246="Yes",AF246*Tab_Data_Flows[[#This Row],[Flow_Py]],"N.A.")</f>
        <v>N.A.</v>
      </c>
      <c r="AH246" s="61">
        <f>Tab_Data_Flows[[#This Row],[UoM_Flow_Py]]</f>
        <v>0</v>
      </c>
      <c r="AI246" s="107" t="e">
        <f>INDEX(Tab_Def_Flows[[Flow_ID]:[CC_DM_source]],MATCH(Tab_Data_Flows[[#This Row],[Name(EN)]],Tab_Def_Flows[Name(EN)],0),20)</f>
        <v>#N/A</v>
      </c>
      <c r="AJ246" s="108" t="str">
        <f>IF(L246="Yes",AI246*Tab_Data_Flows[[#This Row],[Flow_Py]]*Tab_Data_Flows[[#This Row],[DM_'[%']]],"N.A.")</f>
        <v>N.A.</v>
      </c>
      <c r="AK246" s="61">
        <f>Tab_Data_Flows[[#This Row],[UoM_Flow_Py]]</f>
        <v>0</v>
      </c>
    </row>
    <row r="247" spans="1:37" x14ac:dyDescent="0.25">
      <c r="A247" s="60">
        <f t="shared" si="6"/>
        <v>246</v>
      </c>
      <c r="B247" s="49" t="str">
        <f>_xlfn.XLOOKUP(C247,Tab_Def_Flows[Name(EN)],Tab_Def_Flows[Flow_ID],,0,)</f>
        <v>F_12_12</v>
      </c>
      <c r="C247" s="51"/>
      <c r="D247" s="49">
        <f>_xlfn.XLOOKUP(C247,Tab_Def_Flows[Name(EN)],Tab_Def_Flows[Type_Biomass],,0,)</f>
        <v>0</v>
      </c>
      <c r="E247" s="49">
        <f>_xlfn.XLOOKUP(C247,Tab_Def_Flows[Name(EN)],Tab_Def_Flows[Output_Process],,0,)</f>
        <v>0</v>
      </c>
      <c r="F247" s="49" t="str">
        <f>_xlfn.XLOOKUP(C247,Tab_Def_Flows[Name(EN)],Tab_Def_Flows[Process_ID_O],,0,)</f>
        <v>12__</v>
      </c>
      <c r="G247" s="49">
        <f>_xlfn.XLOOKUP(C247,Tab_Def_Flows[Name(EN)],Tab_Def_Flows[Input_Process],,0,)</f>
        <v>0</v>
      </c>
      <c r="H247" s="61" t="str">
        <f>_xlfn.XLOOKUP(C247,Tab_Def_Flows[Name(EN)],Tab_Def_Flows[Process_ID_I],,0,)</f>
        <v>12__</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c r="AC247" s="107" t="e">
        <f>INDEX(Tab_Def_Flows[[Flow_ID]:[CC_DM_source]],MATCH(Tab_Data_Flows[[#This Row],[Name(EN)]],Tab_Def_Flows[Name(EN)],0),16)</f>
        <v>#N/A</v>
      </c>
      <c r="AD247" s="108" t="str">
        <f>IF(J247="Yes",AA247*Tab_Data_Flows[[#This Row],[WC_'[%']]],"N.A.")</f>
        <v>N.A.</v>
      </c>
      <c r="AE247" s="61">
        <f>Tab_Data_Flows[[#This Row],[UoM_Flow_Py]]</f>
        <v>0</v>
      </c>
      <c r="AF247" s="107" t="e">
        <f>INDEX(Tab_Def_Flows[[Flow_ID]:[CC_DM_source]],MATCH(Tab_Data_Flows[[#This Row],[Name(EN)]],Tab_Def_Flows[Name(EN)],0),18)</f>
        <v>#N/A</v>
      </c>
      <c r="AG247" s="108" t="str">
        <f>IF(K247="Yes",AF247*Tab_Data_Flows[[#This Row],[Flow_Py]],"N.A.")</f>
        <v>N.A.</v>
      </c>
      <c r="AH247" s="61">
        <f>Tab_Data_Flows[[#This Row],[UoM_Flow_Py]]</f>
        <v>0</v>
      </c>
      <c r="AI247" s="107" t="e">
        <f>INDEX(Tab_Def_Flows[[Flow_ID]:[CC_DM_source]],MATCH(Tab_Data_Flows[[#This Row],[Name(EN)]],Tab_Def_Flows[Name(EN)],0),20)</f>
        <v>#N/A</v>
      </c>
      <c r="AJ247" s="108" t="str">
        <f>IF(L247="Yes",AI247*Tab_Data_Flows[[#This Row],[Flow_Py]]*Tab_Data_Flows[[#This Row],[DM_'[%']]],"N.A.")</f>
        <v>N.A.</v>
      </c>
      <c r="AK247" s="61">
        <f>Tab_Data_Flows[[#This Row],[UoM_Flow_Py]]</f>
        <v>0</v>
      </c>
    </row>
    <row r="248" spans="1:37" x14ac:dyDescent="0.25">
      <c r="A248" s="60">
        <f t="shared" si="6"/>
        <v>247</v>
      </c>
      <c r="B248" s="49" t="str">
        <f>_xlfn.XLOOKUP(C248,Tab_Def_Flows[Name(EN)],Tab_Def_Flows[Flow_ID],,0,)</f>
        <v>F_12_12</v>
      </c>
      <c r="C248" s="51"/>
      <c r="D248" s="49">
        <f>_xlfn.XLOOKUP(C248,Tab_Def_Flows[Name(EN)],Tab_Def_Flows[Type_Biomass],,0,)</f>
        <v>0</v>
      </c>
      <c r="E248" s="49">
        <f>_xlfn.XLOOKUP(C248,Tab_Def_Flows[Name(EN)],Tab_Def_Flows[Output_Process],,0,)</f>
        <v>0</v>
      </c>
      <c r="F248" s="49" t="str">
        <f>_xlfn.XLOOKUP(C248,Tab_Def_Flows[Name(EN)],Tab_Def_Flows[Process_ID_O],,0,)</f>
        <v>12__</v>
      </c>
      <c r="G248" s="49">
        <f>_xlfn.XLOOKUP(C248,Tab_Def_Flows[Name(EN)],Tab_Def_Flows[Input_Process],,0,)</f>
        <v>0</v>
      </c>
      <c r="H248" s="61" t="str">
        <f>_xlfn.XLOOKUP(C248,Tab_Def_Flows[Name(EN)],Tab_Def_Flows[Process_ID_I],,0,)</f>
        <v>12__</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c r="AC248" s="107" t="e">
        <f>INDEX(Tab_Def_Flows[[Flow_ID]:[CC_DM_source]],MATCH(Tab_Data_Flows[[#This Row],[Name(EN)]],Tab_Def_Flows[Name(EN)],0),16)</f>
        <v>#N/A</v>
      </c>
      <c r="AD248" s="108" t="str">
        <f>IF(J248="Yes",AA248*Tab_Data_Flows[[#This Row],[WC_'[%']]],"N.A.")</f>
        <v>N.A.</v>
      </c>
      <c r="AE248" s="61">
        <f>Tab_Data_Flows[[#This Row],[UoM_Flow_Py]]</f>
        <v>0</v>
      </c>
      <c r="AF248" s="107" t="e">
        <f>INDEX(Tab_Def_Flows[[Flow_ID]:[CC_DM_source]],MATCH(Tab_Data_Flows[[#This Row],[Name(EN)]],Tab_Def_Flows[Name(EN)],0),18)</f>
        <v>#N/A</v>
      </c>
      <c r="AG248" s="108" t="str">
        <f>IF(K248="Yes",AF248*Tab_Data_Flows[[#This Row],[Flow_Py]],"N.A.")</f>
        <v>N.A.</v>
      </c>
      <c r="AH248" s="61">
        <f>Tab_Data_Flows[[#This Row],[UoM_Flow_Py]]</f>
        <v>0</v>
      </c>
      <c r="AI248" s="107" t="e">
        <f>INDEX(Tab_Def_Flows[[Flow_ID]:[CC_DM_source]],MATCH(Tab_Data_Flows[[#This Row],[Name(EN)]],Tab_Def_Flows[Name(EN)],0),20)</f>
        <v>#N/A</v>
      </c>
      <c r="AJ248" s="108" t="str">
        <f>IF(L248="Yes",AI248*Tab_Data_Flows[[#This Row],[Flow_Py]]*Tab_Data_Flows[[#This Row],[DM_'[%']]],"N.A.")</f>
        <v>N.A.</v>
      </c>
      <c r="AK248" s="61">
        <f>Tab_Data_Flows[[#This Row],[UoM_Flow_Py]]</f>
        <v>0</v>
      </c>
    </row>
    <row r="249" spans="1:37" x14ac:dyDescent="0.25">
      <c r="A249" s="60">
        <f t="shared" si="6"/>
        <v>248</v>
      </c>
      <c r="B249" s="49" t="str">
        <f>_xlfn.XLOOKUP(C249,Tab_Def_Flows[Name(EN)],Tab_Def_Flows[Flow_ID],,0,)</f>
        <v>F_12_12</v>
      </c>
      <c r="C249" s="51"/>
      <c r="D249" s="49">
        <f>_xlfn.XLOOKUP(C249,Tab_Def_Flows[Name(EN)],Tab_Def_Flows[Type_Biomass],,0,)</f>
        <v>0</v>
      </c>
      <c r="E249" s="49">
        <f>_xlfn.XLOOKUP(C249,Tab_Def_Flows[Name(EN)],Tab_Def_Flows[Output_Process],,0,)</f>
        <v>0</v>
      </c>
      <c r="F249" s="49" t="str">
        <f>_xlfn.XLOOKUP(C249,Tab_Def_Flows[Name(EN)],Tab_Def_Flows[Process_ID_O],,0,)</f>
        <v>12__</v>
      </c>
      <c r="G249" s="49">
        <f>_xlfn.XLOOKUP(C249,Tab_Def_Flows[Name(EN)],Tab_Def_Flows[Input_Process],,0,)</f>
        <v>0</v>
      </c>
      <c r="H249" s="61" t="str">
        <f>_xlfn.XLOOKUP(C249,Tab_Def_Flows[Name(EN)],Tab_Def_Flows[Process_ID_I],,0,)</f>
        <v>12__</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c r="AC249" s="107" t="e">
        <f>INDEX(Tab_Def_Flows[[Flow_ID]:[CC_DM_source]],MATCH(Tab_Data_Flows[[#This Row],[Name(EN)]],Tab_Def_Flows[Name(EN)],0),16)</f>
        <v>#N/A</v>
      </c>
      <c r="AD249" s="108" t="str">
        <f>IF(J249="Yes",AA249*Tab_Data_Flows[[#This Row],[WC_'[%']]],"N.A.")</f>
        <v>N.A.</v>
      </c>
      <c r="AE249" s="61">
        <f>Tab_Data_Flows[[#This Row],[UoM_Flow_Py]]</f>
        <v>0</v>
      </c>
      <c r="AF249" s="107" t="e">
        <f>INDEX(Tab_Def_Flows[[Flow_ID]:[CC_DM_source]],MATCH(Tab_Data_Flows[[#This Row],[Name(EN)]],Tab_Def_Flows[Name(EN)],0),18)</f>
        <v>#N/A</v>
      </c>
      <c r="AG249" s="108" t="str">
        <f>IF(K249="Yes",AF249*Tab_Data_Flows[[#This Row],[Flow_Py]],"N.A.")</f>
        <v>N.A.</v>
      </c>
      <c r="AH249" s="61">
        <f>Tab_Data_Flows[[#This Row],[UoM_Flow_Py]]</f>
        <v>0</v>
      </c>
      <c r="AI249" s="107" t="e">
        <f>INDEX(Tab_Def_Flows[[Flow_ID]:[CC_DM_source]],MATCH(Tab_Data_Flows[[#This Row],[Name(EN)]],Tab_Def_Flows[Name(EN)],0),20)</f>
        <v>#N/A</v>
      </c>
      <c r="AJ249" s="108" t="str">
        <f>IF(L249="Yes",AI249*Tab_Data_Flows[[#This Row],[Flow_Py]]*Tab_Data_Flows[[#This Row],[DM_'[%']]],"N.A.")</f>
        <v>N.A.</v>
      </c>
      <c r="AK249" s="61">
        <f>Tab_Data_Flows[[#This Row],[UoM_Flow_Py]]</f>
        <v>0</v>
      </c>
    </row>
    <row r="250" spans="1:37" x14ac:dyDescent="0.25">
      <c r="A250" s="60">
        <f t="shared" si="6"/>
        <v>249</v>
      </c>
      <c r="B250" s="49" t="str">
        <f>_xlfn.XLOOKUP(C250,Tab_Def_Flows[Name(EN)],Tab_Def_Flows[Flow_ID],,0,)</f>
        <v>F_12_12</v>
      </c>
      <c r="C250" s="51"/>
      <c r="D250" s="49">
        <f>_xlfn.XLOOKUP(C250,Tab_Def_Flows[Name(EN)],Tab_Def_Flows[Type_Biomass],,0,)</f>
        <v>0</v>
      </c>
      <c r="E250" s="49">
        <f>_xlfn.XLOOKUP(C250,Tab_Def_Flows[Name(EN)],Tab_Def_Flows[Output_Process],,0,)</f>
        <v>0</v>
      </c>
      <c r="F250" s="49" t="str">
        <f>_xlfn.XLOOKUP(C250,Tab_Def_Flows[Name(EN)],Tab_Def_Flows[Process_ID_O],,0,)</f>
        <v>12__</v>
      </c>
      <c r="G250" s="49">
        <f>_xlfn.XLOOKUP(C250,Tab_Def_Flows[Name(EN)],Tab_Def_Flows[Input_Process],,0,)</f>
        <v>0</v>
      </c>
      <c r="H250" s="61" t="str">
        <f>_xlfn.XLOOKUP(C250,Tab_Def_Flows[Name(EN)],Tab_Def_Flows[Process_ID_I],,0,)</f>
        <v>12__</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c r="AC250" s="107" t="e">
        <f>INDEX(Tab_Def_Flows[[Flow_ID]:[CC_DM_source]],MATCH(Tab_Data_Flows[[#This Row],[Name(EN)]],Tab_Def_Flows[Name(EN)],0),16)</f>
        <v>#N/A</v>
      </c>
      <c r="AD250" s="108" t="str">
        <f>IF(J250="Yes",AA250*Tab_Data_Flows[[#This Row],[WC_'[%']]],"N.A.")</f>
        <v>N.A.</v>
      </c>
      <c r="AE250" s="61">
        <f>Tab_Data_Flows[[#This Row],[UoM_Flow_Py]]</f>
        <v>0</v>
      </c>
      <c r="AF250" s="107" t="e">
        <f>INDEX(Tab_Def_Flows[[Flow_ID]:[CC_DM_source]],MATCH(Tab_Data_Flows[[#This Row],[Name(EN)]],Tab_Def_Flows[Name(EN)],0),18)</f>
        <v>#N/A</v>
      </c>
      <c r="AG250" s="108" t="str">
        <f>IF(K250="Yes",AF250*Tab_Data_Flows[[#This Row],[Flow_Py]],"N.A.")</f>
        <v>N.A.</v>
      </c>
      <c r="AH250" s="61">
        <f>Tab_Data_Flows[[#This Row],[UoM_Flow_Py]]</f>
        <v>0</v>
      </c>
      <c r="AI250" s="107" t="e">
        <f>INDEX(Tab_Def_Flows[[Flow_ID]:[CC_DM_source]],MATCH(Tab_Data_Flows[[#This Row],[Name(EN)]],Tab_Def_Flows[Name(EN)],0),20)</f>
        <v>#N/A</v>
      </c>
      <c r="AJ250" s="108" t="str">
        <f>IF(L250="Yes",AI250*Tab_Data_Flows[[#This Row],[Flow_Py]]*Tab_Data_Flows[[#This Row],[DM_'[%']]],"N.A.")</f>
        <v>N.A.</v>
      </c>
      <c r="AK250" s="61">
        <f>Tab_Data_Flows[[#This Row],[UoM_Flow_Py]]</f>
        <v>0</v>
      </c>
    </row>
    <row r="251" spans="1:37" x14ac:dyDescent="0.25">
      <c r="A251" s="60">
        <f t="shared" si="6"/>
        <v>250</v>
      </c>
      <c r="B251" s="49" t="str">
        <f>_xlfn.XLOOKUP(C251,Tab_Def_Flows[Name(EN)],Tab_Def_Flows[Flow_ID],,0,)</f>
        <v>F_12_12</v>
      </c>
      <c r="C251" s="51"/>
      <c r="D251" s="49">
        <f>_xlfn.XLOOKUP(C251,Tab_Def_Flows[Name(EN)],Tab_Def_Flows[Type_Biomass],,0,)</f>
        <v>0</v>
      </c>
      <c r="E251" s="49">
        <f>_xlfn.XLOOKUP(C251,Tab_Def_Flows[Name(EN)],Tab_Def_Flows[Output_Process],,0,)</f>
        <v>0</v>
      </c>
      <c r="F251" s="49" t="str">
        <f>_xlfn.XLOOKUP(C251,Tab_Def_Flows[Name(EN)],Tab_Def_Flows[Process_ID_O],,0,)</f>
        <v>12__</v>
      </c>
      <c r="G251" s="49">
        <f>_xlfn.XLOOKUP(C251,Tab_Def_Flows[Name(EN)],Tab_Def_Flows[Input_Process],,0,)</f>
        <v>0</v>
      </c>
      <c r="H251" s="61" t="str">
        <f>_xlfn.XLOOKUP(C251,Tab_Def_Flows[Name(EN)],Tab_Def_Flows[Process_ID_I],,0,)</f>
        <v>12__</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c r="AC251" s="107" t="e">
        <f>INDEX(Tab_Def_Flows[[Flow_ID]:[CC_DM_source]],MATCH(Tab_Data_Flows[[#This Row],[Name(EN)]],Tab_Def_Flows[Name(EN)],0),16)</f>
        <v>#N/A</v>
      </c>
      <c r="AD251" s="108" t="str">
        <f>IF(J251="Yes",AA251*Tab_Data_Flows[[#This Row],[WC_'[%']]],"N.A.")</f>
        <v>N.A.</v>
      </c>
      <c r="AE251" s="61">
        <f>Tab_Data_Flows[[#This Row],[UoM_Flow_Py]]</f>
        <v>0</v>
      </c>
      <c r="AF251" s="107" t="e">
        <f>INDEX(Tab_Def_Flows[[Flow_ID]:[CC_DM_source]],MATCH(Tab_Data_Flows[[#This Row],[Name(EN)]],Tab_Def_Flows[Name(EN)],0),18)</f>
        <v>#N/A</v>
      </c>
      <c r="AG251" s="108" t="str">
        <f>IF(K251="Yes",AF251*Tab_Data_Flows[[#This Row],[Flow_Py]],"N.A.")</f>
        <v>N.A.</v>
      </c>
      <c r="AH251" s="61">
        <f>Tab_Data_Flows[[#This Row],[UoM_Flow_Py]]</f>
        <v>0</v>
      </c>
      <c r="AI251" s="107" t="e">
        <f>INDEX(Tab_Def_Flows[[Flow_ID]:[CC_DM_source]],MATCH(Tab_Data_Flows[[#This Row],[Name(EN)]],Tab_Def_Flows[Name(EN)],0),20)</f>
        <v>#N/A</v>
      </c>
      <c r="AJ251" s="108" t="str">
        <f>IF(L251="Yes",AI251*Tab_Data_Flows[[#This Row],[Flow_Py]]*Tab_Data_Flows[[#This Row],[DM_'[%']]],"N.A.")</f>
        <v>N.A.</v>
      </c>
      <c r="AK251" s="61">
        <f>Tab_Data_Flows[[#This Row],[UoM_Flow_Py]]</f>
        <v>0</v>
      </c>
    </row>
    <row r="252" spans="1:37" x14ac:dyDescent="0.25">
      <c r="A252" s="60">
        <f t="shared" si="6"/>
        <v>251</v>
      </c>
      <c r="B252" s="49" t="str">
        <f>_xlfn.XLOOKUP(C252,Tab_Def_Flows[Name(EN)],Tab_Def_Flows[Flow_ID],,0,)</f>
        <v>F_12_12</v>
      </c>
      <c r="C252" s="51"/>
      <c r="D252" s="49">
        <f>_xlfn.XLOOKUP(C252,Tab_Def_Flows[Name(EN)],Tab_Def_Flows[Type_Biomass],,0,)</f>
        <v>0</v>
      </c>
      <c r="E252" s="49">
        <f>_xlfn.XLOOKUP(C252,Tab_Def_Flows[Name(EN)],Tab_Def_Flows[Output_Process],,0,)</f>
        <v>0</v>
      </c>
      <c r="F252" s="49" t="str">
        <f>_xlfn.XLOOKUP(C252,Tab_Def_Flows[Name(EN)],Tab_Def_Flows[Process_ID_O],,0,)</f>
        <v>12__</v>
      </c>
      <c r="G252" s="49">
        <f>_xlfn.XLOOKUP(C252,Tab_Def_Flows[Name(EN)],Tab_Def_Flows[Input_Process],,0,)</f>
        <v>0</v>
      </c>
      <c r="H252" s="61" t="str">
        <f>_xlfn.XLOOKUP(C252,Tab_Def_Flows[Name(EN)],Tab_Def_Flows[Process_ID_I],,0,)</f>
        <v>12__</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c r="AC252" s="107" t="e">
        <f>INDEX(Tab_Def_Flows[[Flow_ID]:[CC_DM_source]],MATCH(Tab_Data_Flows[[#This Row],[Name(EN)]],Tab_Def_Flows[Name(EN)],0),16)</f>
        <v>#N/A</v>
      </c>
      <c r="AD252" s="108" t="str">
        <f>IF(J252="Yes",AA252*Tab_Data_Flows[[#This Row],[WC_'[%']]],"N.A.")</f>
        <v>N.A.</v>
      </c>
      <c r="AE252" s="61">
        <f>Tab_Data_Flows[[#This Row],[UoM_Flow_Py]]</f>
        <v>0</v>
      </c>
      <c r="AF252" s="107" t="e">
        <f>INDEX(Tab_Def_Flows[[Flow_ID]:[CC_DM_source]],MATCH(Tab_Data_Flows[[#This Row],[Name(EN)]],Tab_Def_Flows[Name(EN)],0),18)</f>
        <v>#N/A</v>
      </c>
      <c r="AG252" s="108" t="str">
        <f>IF(K252="Yes",AF252*Tab_Data_Flows[[#This Row],[Flow_Py]],"N.A.")</f>
        <v>N.A.</v>
      </c>
      <c r="AH252" s="61">
        <f>Tab_Data_Flows[[#This Row],[UoM_Flow_Py]]</f>
        <v>0</v>
      </c>
      <c r="AI252" s="107" t="e">
        <f>INDEX(Tab_Def_Flows[[Flow_ID]:[CC_DM_source]],MATCH(Tab_Data_Flows[[#This Row],[Name(EN)]],Tab_Def_Flows[Name(EN)],0),20)</f>
        <v>#N/A</v>
      </c>
      <c r="AJ252" s="108" t="str">
        <f>IF(L252="Yes",AI252*Tab_Data_Flows[[#This Row],[Flow_Py]]*Tab_Data_Flows[[#This Row],[DM_'[%']]],"N.A.")</f>
        <v>N.A.</v>
      </c>
      <c r="AK252" s="61">
        <f>Tab_Data_Flows[[#This Row],[UoM_Flow_Py]]</f>
        <v>0</v>
      </c>
    </row>
    <row r="253" spans="1:37" x14ac:dyDescent="0.25">
      <c r="A253" s="60">
        <f t="shared" si="6"/>
        <v>252</v>
      </c>
      <c r="B253" s="49" t="str">
        <f>_xlfn.XLOOKUP(C253,Tab_Def_Flows[Name(EN)],Tab_Def_Flows[Flow_ID],,0,)</f>
        <v>F_12_12</v>
      </c>
      <c r="C253" s="51"/>
      <c r="D253" s="49">
        <f>_xlfn.XLOOKUP(C253,Tab_Def_Flows[Name(EN)],Tab_Def_Flows[Type_Biomass],,0,)</f>
        <v>0</v>
      </c>
      <c r="E253" s="49">
        <f>_xlfn.XLOOKUP(C253,Tab_Def_Flows[Name(EN)],Tab_Def_Flows[Output_Process],,0,)</f>
        <v>0</v>
      </c>
      <c r="F253" s="49" t="str">
        <f>_xlfn.XLOOKUP(C253,Tab_Def_Flows[Name(EN)],Tab_Def_Flows[Process_ID_O],,0,)</f>
        <v>12__</v>
      </c>
      <c r="G253" s="49">
        <f>_xlfn.XLOOKUP(C253,Tab_Def_Flows[Name(EN)],Tab_Def_Flows[Input_Process],,0,)</f>
        <v>0</v>
      </c>
      <c r="H253" s="61" t="str">
        <f>_xlfn.XLOOKUP(C253,Tab_Def_Flows[Name(EN)],Tab_Def_Flows[Process_ID_I],,0,)</f>
        <v>12__</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c r="AC253" s="107" t="e">
        <f>INDEX(Tab_Def_Flows[[Flow_ID]:[CC_DM_source]],MATCH(Tab_Data_Flows[[#This Row],[Name(EN)]],Tab_Def_Flows[Name(EN)],0),16)</f>
        <v>#N/A</v>
      </c>
      <c r="AD253" s="108" t="str">
        <f>IF(J253="Yes",AA253*Tab_Data_Flows[[#This Row],[WC_'[%']]],"N.A.")</f>
        <v>N.A.</v>
      </c>
      <c r="AE253" s="61">
        <f>Tab_Data_Flows[[#This Row],[UoM_Flow_Py]]</f>
        <v>0</v>
      </c>
      <c r="AF253" s="107" t="e">
        <f>INDEX(Tab_Def_Flows[[Flow_ID]:[CC_DM_source]],MATCH(Tab_Data_Flows[[#This Row],[Name(EN)]],Tab_Def_Flows[Name(EN)],0),18)</f>
        <v>#N/A</v>
      </c>
      <c r="AG253" s="108" t="str">
        <f>IF(K253="Yes",AF253*Tab_Data_Flows[[#This Row],[Flow_Py]],"N.A.")</f>
        <v>N.A.</v>
      </c>
      <c r="AH253" s="61">
        <f>Tab_Data_Flows[[#This Row],[UoM_Flow_Py]]</f>
        <v>0</v>
      </c>
      <c r="AI253" s="107" t="e">
        <f>INDEX(Tab_Def_Flows[[Flow_ID]:[CC_DM_source]],MATCH(Tab_Data_Flows[[#This Row],[Name(EN)]],Tab_Def_Flows[Name(EN)],0),20)</f>
        <v>#N/A</v>
      </c>
      <c r="AJ253" s="108" t="str">
        <f>IF(L253="Yes",AI253*Tab_Data_Flows[[#This Row],[Flow_Py]]*Tab_Data_Flows[[#This Row],[DM_'[%']]],"N.A.")</f>
        <v>N.A.</v>
      </c>
      <c r="AK253" s="61">
        <f>Tab_Data_Flows[[#This Row],[UoM_Flow_Py]]</f>
        <v>0</v>
      </c>
    </row>
    <row r="254" spans="1:37" x14ac:dyDescent="0.25">
      <c r="A254" s="60">
        <f t="shared" si="6"/>
        <v>253</v>
      </c>
      <c r="B254" s="49" t="str">
        <f>_xlfn.XLOOKUP(C254,Tab_Def_Flows[Name(EN)],Tab_Def_Flows[Flow_ID],,0,)</f>
        <v>F_12_12</v>
      </c>
      <c r="C254" s="51"/>
      <c r="D254" s="49">
        <f>_xlfn.XLOOKUP(C254,Tab_Def_Flows[Name(EN)],Tab_Def_Flows[Type_Biomass],,0,)</f>
        <v>0</v>
      </c>
      <c r="E254" s="49">
        <f>_xlfn.XLOOKUP(C254,Tab_Def_Flows[Name(EN)],Tab_Def_Flows[Output_Process],,0,)</f>
        <v>0</v>
      </c>
      <c r="F254" s="49" t="str">
        <f>_xlfn.XLOOKUP(C254,Tab_Def_Flows[Name(EN)],Tab_Def_Flows[Process_ID_O],,0,)</f>
        <v>12__</v>
      </c>
      <c r="G254" s="49">
        <f>_xlfn.XLOOKUP(C254,Tab_Def_Flows[Name(EN)],Tab_Def_Flows[Input_Process],,0,)</f>
        <v>0</v>
      </c>
      <c r="H254" s="61" t="str">
        <f>_xlfn.XLOOKUP(C254,Tab_Def_Flows[Name(EN)],Tab_Def_Flows[Process_ID_I],,0,)</f>
        <v>12__</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c r="AC254" s="107" t="e">
        <f>INDEX(Tab_Def_Flows[[Flow_ID]:[CC_DM_source]],MATCH(Tab_Data_Flows[[#This Row],[Name(EN)]],Tab_Def_Flows[Name(EN)],0),16)</f>
        <v>#N/A</v>
      </c>
      <c r="AD254" s="108" t="str">
        <f>IF(J254="Yes",AA254*Tab_Data_Flows[[#This Row],[WC_'[%']]],"N.A.")</f>
        <v>N.A.</v>
      </c>
      <c r="AE254" s="61">
        <f>Tab_Data_Flows[[#This Row],[UoM_Flow_Py]]</f>
        <v>0</v>
      </c>
      <c r="AF254" s="107" t="e">
        <f>INDEX(Tab_Def_Flows[[Flow_ID]:[CC_DM_source]],MATCH(Tab_Data_Flows[[#This Row],[Name(EN)]],Tab_Def_Flows[Name(EN)],0),18)</f>
        <v>#N/A</v>
      </c>
      <c r="AG254" s="108" t="str">
        <f>IF(K254="Yes",AF254*Tab_Data_Flows[[#This Row],[Flow_Py]],"N.A.")</f>
        <v>N.A.</v>
      </c>
      <c r="AH254" s="61">
        <f>Tab_Data_Flows[[#This Row],[UoM_Flow_Py]]</f>
        <v>0</v>
      </c>
      <c r="AI254" s="107" t="e">
        <f>INDEX(Tab_Def_Flows[[Flow_ID]:[CC_DM_source]],MATCH(Tab_Data_Flows[[#This Row],[Name(EN)]],Tab_Def_Flows[Name(EN)],0),20)</f>
        <v>#N/A</v>
      </c>
      <c r="AJ254" s="108" t="str">
        <f>IF(L254="Yes",AI254*Tab_Data_Flows[[#This Row],[Flow_Py]]*Tab_Data_Flows[[#This Row],[DM_'[%']]],"N.A.")</f>
        <v>N.A.</v>
      </c>
      <c r="AK254" s="61">
        <f>Tab_Data_Flows[[#This Row],[UoM_Flow_Py]]</f>
        <v>0</v>
      </c>
    </row>
    <row r="255" spans="1:37" x14ac:dyDescent="0.25">
      <c r="A255" s="60">
        <f t="shared" si="6"/>
        <v>254</v>
      </c>
      <c r="B255" s="49" t="str">
        <f>_xlfn.XLOOKUP(C255,Tab_Def_Flows[Name(EN)],Tab_Def_Flows[Flow_ID],,0,)</f>
        <v>F_12_12</v>
      </c>
      <c r="C255" s="51"/>
      <c r="D255" s="49">
        <f>_xlfn.XLOOKUP(C255,Tab_Def_Flows[Name(EN)],Tab_Def_Flows[Type_Biomass],,0,)</f>
        <v>0</v>
      </c>
      <c r="E255" s="49">
        <f>_xlfn.XLOOKUP(C255,Tab_Def_Flows[Name(EN)],Tab_Def_Flows[Output_Process],,0,)</f>
        <v>0</v>
      </c>
      <c r="F255" s="49" t="str">
        <f>_xlfn.XLOOKUP(C255,Tab_Def_Flows[Name(EN)],Tab_Def_Flows[Process_ID_O],,0,)</f>
        <v>12__</v>
      </c>
      <c r="G255" s="49">
        <f>_xlfn.XLOOKUP(C255,Tab_Def_Flows[Name(EN)],Tab_Def_Flows[Input_Process],,0,)</f>
        <v>0</v>
      </c>
      <c r="H255" s="61" t="str">
        <f>_xlfn.XLOOKUP(C255,Tab_Def_Flows[Name(EN)],Tab_Def_Flows[Process_ID_I],,0,)</f>
        <v>12__</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c r="AC255" s="107" t="e">
        <f>INDEX(Tab_Def_Flows[[Flow_ID]:[CC_DM_source]],MATCH(Tab_Data_Flows[[#This Row],[Name(EN)]],Tab_Def_Flows[Name(EN)],0),16)</f>
        <v>#N/A</v>
      </c>
      <c r="AD255" s="108" t="str">
        <f>IF(J255="Yes",AA255*Tab_Data_Flows[[#This Row],[WC_'[%']]],"N.A.")</f>
        <v>N.A.</v>
      </c>
      <c r="AE255" s="61">
        <f>Tab_Data_Flows[[#This Row],[UoM_Flow_Py]]</f>
        <v>0</v>
      </c>
      <c r="AF255" s="107" t="e">
        <f>INDEX(Tab_Def_Flows[[Flow_ID]:[CC_DM_source]],MATCH(Tab_Data_Flows[[#This Row],[Name(EN)]],Tab_Def_Flows[Name(EN)],0),18)</f>
        <v>#N/A</v>
      </c>
      <c r="AG255" s="108" t="str">
        <f>IF(K255="Yes",AF255*Tab_Data_Flows[[#This Row],[Flow_Py]],"N.A.")</f>
        <v>N.A.</v>
      </c>
      <c r="AH255" s="61">
        <f>Tab_Data_Flows[[#This Row],[UoM_Flow_Py]]</f>
        <v>0</v>
      </c>
      <c r="AI255" s="107" t="e">
        <f>INDEX(Tab_Def_Flows[[Flow_ID]:[CC_DM_source]],MATCH(Tab_Data_Flows[[#This Row],[Name(EN)]],Tab_Def_Flows[Name(EN)],0),20)</f>
        <v>#N/A</v>
      </c>
      <c r="AJ255" s="108" t="str">
        <f>IF(L255="Yes",AI255*Tab_Data_Flows[[#This Row],[Flow_Py]]*Tab_Data_Flows[[#This Row],[DM_'[%']]],"N.A.")</f>
        <v>N.A.</v>
      </c>
      <c r="AK255" s="61">
        <f>Tab_Data_Flows[[#This Row],[UoM_Flow_Py]]</f>
        <v>0</v>
      </c>
    </row>
    <row r="256" spans="1:37" x14ac:dyDescent="0.25">
      <c r="A256" s="60">
        <f t="shared" si="6"/>
        <v>255</v>
      </c>
      <c r="B256" s="49" t="str">
        <f>_xlfn.XLOOKUP(C256,Tab_Def_Flows[Name(EN)],Tab_Def_Flows[Flow_ID],,0,)</f>
        <v>F_12_12</v>
      </c>
      <c r="C256" s="51"/>
      <c r="D256" s="49">
        <f>_xlfn.XLOOKUP(C256,Tab_Def_Flows[Name(EN)],Tab_Def_Flows[Type_Biomass],,0,)</f>
        <v>0</v>
      </c>
      <c r="E256" s="49">
        <f>_xlfn.XLOOKUP(C256,Tab_Def_Flows[Name(EN)],Tab_Def_Flows[Output_Process],,0,)</f>
        <v>0</v>
      </c>
      <c r="F256" s="49" t="str">
        <f>_xlfn.XLOOKUP(C256,Tab_Def_Flows[Name(EN)],Tab_Def_Flows[Process_ID_O],,0,)</f>
        <v>12__</v>
      </c>
      <c r="G256" s="49">
        <f>_xlfn.XLOOKUP(C256,Tab_Def_Flows[Name(EN)],Tab_Def_Flows[Input_Process],,0,)</f>
        <v>0</v>
      </c>
      <c r="H256" s="61" t="str">
        <f>_xlfn.XLOOKUP(C256,Tab_Def_Flows[Name(EN)],Tab_Def_Flows[Process_ID_I],,0,)</f>
        <v>12__</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c r="AC256" s="107" t="e">
        <f>INDEX(Tab_Def_Flows[[Flow_ID]:[CC_DM_source]],MATCH(Tab_Data_Flows[[#This Row],[Name(EN)]],Tab_Def_Flows[Name(EN)],0),16)</f>
        <v>#N/A</v>
      </c>
      <c r="AD256" s="108" t="str">
        <f>IF(J256="Yes",AA256*Tab_Data_Flows[[#This Row],[WC_'[%']]],"N.A.")</f>
        <v>N.A.</v>
      </c>
      <c r="AE256" s="61">
        <f>Tab_Data_Flows[[#This Row],[UoM_Flow_Py]]</f>
        <v>0</v>
      </c>
      <c r="AF256" s="107" t="e">
        <f>INDEX(Tab_Def_Flows[[Flow_ID]:[CC_DM_source]],MATCH(Tab_Data_Flows[[#This Row],[Name(EN)]],Tab_Def_Flows[Name(EN)],0),18)</f>
        <v>#N/A</v>
      </c>
      <c r="AG256" s="108" t="str">
        <f>IF(K256="Yes",AF256*Tab_Data_Flows[[#This Row],[Flow_Py]],"N.A.")</f>
        <v>N.A.</v>
      </c>
      <c r="AH256" s="61">
        <f>Tab_Data_Flows[[#This Row],[UoM_Flow_Py]]</f>
        <v>0</v>
      </c>
      <c r="AI256" s="107" t="e">
        <f>INDEX(Tab_Def_Flows[[Flow_ID]:[CC_DM_source]],MATCH(Tab_Data_Flows[[#This Row],[Name(EN)]],Tab_Def_Flows[Name(EN)],0),20)</f>
        <v>#N/A</v>
      </c>
      <c r="AJ256" s="108" t="str">
        <f>IF(L256="Yes",AI256*Tab_Data_Flows[[#This Row],[Flow_Py]]*Tab_Data_Flows[[#This Row],[DM_'[%']]],"N.A.")</f>
        <v>N.A.</v>
      </c>
      <c r="AK256" s="61">
        <f>Tab_Data_Flows[[#This Row],[UoM_Flow_Py]]</f>
        <v>0</v>
      </c>
    </row>
    <row r="257" spans="1:37" x14ac:dyDescent="0.25">
      <c r="A257" s="60">
        <f t="shared" si="6"/>
        <v>256</v>
      </c>
      <c r="B257" s="49" t="str">
        <f>_xlfn.XLOOKUP(C257,Tab_Def_Flows[Name(EN)],Tab_Def_Flows[Flow_ID],,0,)</f>
        <v>F_12_12</v>
      </c>
      <c r="C257" s="51"/>
      <c r="D257" s="49">
        <f>_xlfn.XLOOKUP(C257,Tab_Def_Flows[Name(EN)],Tab_Def_Flows[Type_Biomass],,0,)</f>
        <v>0</v>
      </c>
      <c r="E257" s="49">
        <f>_xlfn.XLOOKUP(C257,Tab_Def_Flows[Name(EN)],Tab_Def_Flows[Output_Process],,0,)</f>
        <v>0</v>
      </c>
      <c r="F257" s="49" t="str">
        <f>_xlfn.XLOOKUP(C257,Tab_Def_Flows[Name(EN)],Tab_Def_Flows[Process_ID_O],,0,)</f>
        <v>12__</v>
      </c>
      <c r="G257" s="49">
        <f>_xlfn.XLOOKUP(C257,Tab_Def_Flows[Name(EN)],Tab_Def_Flows[Input_Process],,0,)</f>
        <v>0</v>
      </c>
      <c r="H257" s="61" t="str">
        <f>_xlfn.XLOOKUP(C257,Tab_Def_Flows[Name(EN)],Tab_Def_Flows[Process_ID_I],,0,)</f>
        <v>12__</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c r="AC257" s="107" t="e">
        <f>INDEX(Tab_Def_Flows[[Flow_ID]:[CC_DM_source]],MATCH(Tab_Data_Flows[[#This Row],[Name(EN)]],Tab_Def_Flows[Name(EN)],0),16)</f>
        <v>#N/A</v>
      </c>
      <c r="AD257" s="108" t="str">
        <f>IF(J257="Yes",AA257*Tab_Data_Flows[[#This Row],[WC_'[%']]],"N.A.")</f>
        <v>N.A.</v>
      </c>
      <c r="AE257" s="61">
        <f>Tab_Data_Flows[[#This Row],[UoM_Flow_Py]]</f>
        <v>0</v>
      </c>
      <c r="AF257" s="107" t="e">
        <f>INDEX(Tab_Def_Flows[[Flow_ID]:[CC_DM_source]],MATCH(Tab_Data_Flows[[#This Row],[Name(EN)]],Tab_Def_Flows[Name(EN)],0),18)</f>
        <v>#N/A</v>
      </c>
      <c r="AG257" s="108" t="str">
        <f>IF(K257="Yes",AF257*Tab_Data_Flows[[#This Row],[Flow_Py]],"N.A.")</f>
        <v>N.A.</v>
      </c>
      <c r="AH257" s="61">
        <f>Tab_Data_Flows[[#This Row],[UoM_Flow_Py]]</f>
        <v>0</v>
      </c>
      <c r="AI257" s="107" t="e">
        <f>INDEX(Tab_Def_Flows[[Flow_ID]:[CC_DM_source]],MATCH(Tab_Data_Flows[[#This Row],[Name(EN)]],Tab_Def_Flows[Name(EN)],0),20)</f>
        <v>#N/A</v>
      </c>
      <c r="AJ257" s="108" t="str">
        <f>IF(L257="Yes",AI257*Tab_Data_Flows[[#This Row],[Flow_Py]]*Tab_Data_Flows[[#This Row],[DM_'[%']]],"N.A.")</f>
        <v>N.A.</v>
      </c>
      <c r="AK257" s="61">
        <f>Tab_Data_Flows[[#This Row],[UoM_Flow_Py]]</f>
        <v>0</v>
      </c>
    </row>
    <row r="258" spans="1:37" x14ac:dyDescent="0.25">
      <c r="A258" s="60">
        <f t="shared" si="6"/>
        <v>257</v>
      </c>
      <c r="B258" s="49" t="str">
        <f>_xlfn.XLOOKUP(C258,Tab_Def_Flows[Name(EN)],Tab_Def_Flows[Flow_ID],,0,)</f>
        <v>F_12_12</v>
      </c>
      <c r="C258" s="51"/>
      <c r="D258" s="49">
        <f>_xlfn.XLOOKUP(C258,Tab_Def_Flows[Name(EN)],Tab_Def_Flows[Type_Biomass],,0,)</f>
        <v>0</v>
      </c>
      <c r="E258" s="49">
        <f>_xlfn.XLOOKUP(C258,Tab_Def_Flows[Name(EN)],Tab_Def_Flows[Output_Process],,0,)</f>
        <v>0</v>
      </c>
      <c r="F258" s="49" t="str">
        <f>_xlfn.XLOOKUP(C258,Tab_Def_Flows[Name(EN)],Tab_Def_Flows[Process_ID_O],,0,)</f>
        <v>12__</v>
      </c>
      <c r="G258" s="49">
        <f>_xlfn.XLOOKUP(C258,Tab_Def_Flows[Name(EN)],Tab_Def_Flows[Input_Process],,0,)</f>
        <v>0</v>
      </c>
      <c r="H258" s="61" t="str">
        <f>_xlfn.XLOOKUP(C258,Tab_Def_Flows[Name(EN)],Tab_Def_Flows[Process_ID_I],,0,)</f>
        <v>12__</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c r="AC258" s="107" t="e">
        <f>INDEX(Tab_Def_Flows[[Flow_ID]:[CC_DM_source]],MATCH(Tab_Data_Flows[[#This Row],[Name(EN)]],Tab_Def_Flows[Name(EN)],0),16)</f>
        <v>#N/A</v>
      </c>
      <c r="AD258" s="108" t="str">
        <f>IF(J258="Yes",AA258*Tab_Data_Flows[[#This Row],[WC_'[%']]],"N.A.")</f>
        <v>N.A.</v>
      </c>
      <c r="AE258" s="61">
        <f>Tab_Data_Flows[[#This Row],[UoM_Flow_Py]]</f>
        <v>0</v>
      </c>
      <c r="AF258" s="107" t="e">
        <f>INDEX(Tab_Def_Flows[[Flow_ID]:[CC_DM_source]],MATCH(Tab_Data_Flows[[#This Row],[Name(EN)]],Tab_Def_Flows[Name(EN)],0),18)</f>
        <v>#N/A</v>
      </c>
      <c r="AG258" s="108" t="str">
        <f>IF(K258="Yes",AF258*Tab_Data_Flows[[#This Row],[Flow_Py]],"N.A.")</f>
        <v>N.A.</v>
      </c>
      <c r="AH258" s="61">
        <f>Tab_Data_Flows[[#This Row],[UoM_Flow_Py]]</f>
        <v>0</v>
      </c>
      <c r="AI258" s="107" t="e">
        <f>INDEX(Tab_Def_Flows[[Flow_ID]:[CC_DM_source]],MATCH(Tab_Data_Flows[[#This Row],[Name(EN)]],Tab_Def_Flows[Name(EN)],0),20)</f>
        <v>#N/A</v>
      </c>
      <c r="AJ258" s="108" t="str">
        <f>IF(L258="Yes",AI258*Tab_Data_Flows[[#This Row],[Flow_Py]]*Tab_Data_Flows[[#This Row],[DM_'[%']]],"N.A.")</f>
        <v>N.A.</v>
      </c>
      <c r="AK258" s="61">
        <f>Tab_Data_Flows[[#This Row],[UoM_Flow_Py]]</f>
        <v>0</v>
      </c>
    </row>
    <row r="259" spans="1:37" x14ac:dyDescent="0.25">
      <c r="A259" s="60">
        <f t="shared" ref="A259:A322" si="8">ROW()-1</f>
        <v>258</v>
      </c>
      <c r="B259" s="49" t="str">
        <f>_xlfn.XLOOKUP(C259,Tab_Def_Flows[Name(EN)],Tab_Def_Flows[Flow_ID],,0,)</f>
        <v>F_12_12</v>
      </c>
      <c r="C259" s="51"/>
      <c r="D259" s="49">
        <f>_xlfn.XLOOKUP(C259,Tab_Def_Flows[Name(EN)],Tab_Def_Flows[Type_Biomass],,0,)</f>
        <v>0</v>
      </c>
      <c r="E259" s="49">
        <f>_xlfn.XLOOKUP(C259,Tab_Def_Flows[Name(EN)],Tab_Def_Flows[Output_Process],,0,)</f>
        <v>0</v>
      </c>
      <c r="F259" s="49" t="str">
        <f>_xlfn.XLOOKUP(C259,Tab_Def_Flows[Name(EN)],Tab_Def_Flows[Process_ID_O],,0,)</f>
        <v>12__</v>
      </c>
      <c r="G259" s="49">
        <f>_xlfn.XLOOKUP(C259,Tab_Def_Flows[Name(EN)],Tab_Def_Flows[Input_Process],,0,)</f>
        <v>0</v>
      </c>
      <c r="H259" s="61" t="str">
        <f>_xlfn.XLOOKUP(C259,Tab_Def_Flows[Name(EN)],Tab_Def_Flows[Process_ID_I],,0,)</f>
        <v>12__</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c r="AC259" s="107" t="e">
        <f>INDEX(Tab_Def_Flows[[Flow_ID]:[CC_DM_source]],MATCH(Tab_Data_Flows[[#This Row],[Name(EN)]],Tab_Def_Flows[Name(EN)],0),16)</f>
        <v>#N/A</v>
      </c>
      <c r="AD259" s="108" t="str">
        <f>IF(J259="Yes",AA259*Tab_Data_Flows[[#This Row],[WC_'[%']]],"N.A.")</f>
        <v>N.A.</v>
      </c>
      <c r="AE259" s="61">
        <f>Tab_Data_Flows[[#This Row],[UoM_Flow_Py]]</f>
        <v>0</v>
      </c>
      <c r="AF259" s="107" t="e">
        <f>INDEX(Tab_Def_Flows[[Flow_ID]:[CC_DM_source]],MATCH(Tab_Data_Flows[[#This Row],[Name(EN)]],Tab_Def_Flows[Name(EN)],0),18)</f>
        <v>#N/A</v>
      </c>
      <c r="AG259" s="108" t="str">
        <f>IF(K259="Yes",AF259*Tab_Data_Flows[[#This Row],[Flow_Py]],"N.A.")</f>
        <v>N.A.</v>
      </c>
      <c r="AH259" s="61">
        <f>Tab_Data_Flows[[#This Row],[UoM_Flow_Py]]</f>
        <v>0</v>
      </c>
      <c r="AI259" s="107" t="e">
        <f>INDEX(Tab_Def_Flows[[Flow_ID]:[CC_DM_source]],MATCH(Tab_Data_Flows[[#This Row],[Name(EN)]],Tab_Def_Flows[Name(EN)],0),20)</f>
        <v>#N/A</v>
      </c>
      <c r="AJ259" s="108" t="str">
        <f>IF(L259="Yes",AI259*Tab_Data_Flows[[#This Row],[Flow_Py]]*Tab_Data_Flows[[#This Row],[DM_'[%']]],"N.A.")</f>
        <v>N.A.</v>
      </c>
      <c r="AK259" s="61">
        <f>Tab_Data_Flows[[#This Row],[UoM_Flow_Py]]</f>
        <v>0</v>
      </c>
    </row>
    <row r="260" spans="1:37" x14ac:dyDescent="0.25">
      <c r="A260" s="60">
        <f t="shared" si="8"/>
        <v>259</v>
      </c>
      <c r="B260" s="49" t="str">
        <f>_xlfn.XLOOKUP(C260,Tab_Def_Flows[Name(EN)],Tab_Def_Flows[Flow_ID],,0,)</f>
        <v>F_12_12</v>
      </c>
      <c r="C260" s="51"/>
      <c r="D260" s="49">
        <f>_xlfn.XLOOKUP(C260,Tab_Def_Flows[Name(EN)],Tab_Def_Flows[Type_Biomass],,0,)</f>
        <v>0</v>
      </c>
      <c r="E260" s="49">
        <f>_xlfn.XLOOKUP(C260,Tab_Def_Flows[Name(EN)],Tab_Def_Flows[Output_Process],,0,)</f>
        <v>0</v>
      </c>
      <c r="F260" s="49" t="str">
        <f>_xlfn.XLOOKUP(C260,Tab_Def_Flows[Name(EN)],Tab_Def_Flows[Process_ID_O],,0,)</f>
        <v>12__</v>
      </c>
      <c r="G260" s="49">
        <f>_xlfn.XLOOKUP(C260,Tab_Def_Flows[Name(EN)],Tab_Def_Flows[Input_Process],,0,)</f>
        <v>0</v>
      </c>
      <c r="H260" s="61" t="str">
        <f>_xlfn.XLOOKUP(C260,Tab_Def_Flows[Name(EN)],Tab_Def_Flows[Process_ID_I],,0,)</f>
        <v>12__</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c r="AC260" s="107" t="e">
        <f>INDEX(Tab_Def_Flows[[Flow_ID]:[CC_DM_source]],MATCH(Tab_Data_Flows[[#This Row],[Name(EN)]],Tab_Def_Flows[Name(EN)],0),16)</f>
        <v>#N/A</v>
      </c>
      <c r="AD260" s="108" t="str">
        <f>IF(J260="Yes",AA260*Tab_Data_Flows[[#This Row],[WC_'[%']]],"N.A.")</f>
        <v>N.A.</v>
      </c>
      <c r="AE260" s="61">
        <f>Tab_Data_Flows[[#This Row],[UoM_Flow_Py]]</f>
        <v>0</v>
      </c>
      <c r="AF260" s="107" t="e">
        <f>INDEX(Tab_Def_Flows[[Flow_ID]:[CC_DM_source]],MATCH(Tab_Data_Flows[[#This Row],[Name(EN)]],Tab_Def_Flows[Name(EN)],0),18)</f>
        <v>#N/A</v>
      </c>
      <c r="AG260" s="108" t="str">
        <f>IF(K260="Yes",AF260*Tab_Data_Flows[[#This Row],[Flow_Py]],"N.A.")</f>
        <v>N.A.</v>
      </c>
      <c r="AH260" s="61">
        <f>Tab_Data_Flows[[#This Row],[UoM_Flow_Py]]</f>
        <v>0</v>
      </c>
      <c r="AI260" s="107" t="e">
        <f>INDEX(Tab_Def_Flows[[Flow_ID]:[CC_DM_source]],MATCH(Tab_Data_Flows[[#This Row],[Name(EN)]],Tab_Def_Flows[Name(EN)],0),20)</f>
        <v>#N/A</v>
      </c>
      <c r="AJ260" s="108" t="str">
        <f>IF(L260="Yes",AI260*Tab_Data_Flows[[#This Row],[Flow_Py]]*Tab_Data_Flows[[#This Row],[DM_'[%']]],"N.A.")</f>
        <v>N.A.</v>
      </c>
      <c r="AK260" s="61">
        <f>Tab_Data_Flows[[#This Row],[UoM_Flow_Py]]</f>
        <v>0</v>
      </c>
    </row>
    <row r="261" spans="1:37" x14ac:dyDescent="0.25">
      <c r="A261" s="60">
        <f t="shared" si="8"/>
        <v>260</v>
      </c>
      <c r="B261" s="49" t="str">
        <f>_xlfn.XLOOKUP(C261,Tab_Def_Flows[Name(EN)],Tab_Def_Flows[Flow_ID],,0,)</f>
        <v>F_12_12</v>
      </c>
      <c r="C261" s="51"/>
      <c r="D261" s="49">
        <f>_xlfn.XLOOKUP(C261,Tab_Def_Flows[Name(EN)],Tab_Def_Flows[Type_Biomass],,0,)</f>
        <v>0</v>
      </c>
      <c r="E261" s="49">
        <f>_xlfn.XLOOKUP(C261,Tab_Def_Flows[Name(EN)],Tab_Def_Flows[Output_Process],,0,)</f>
        <v>0</v>
      </c>
      <c r="F261" s="49" t="str">
        <f>_xlfn.XLOOKUP(C261,Tab_Def_Flows[Name(EN)],Tab_Def_Flows[Process_ID_O],,0,)</f>
        <v>12__</v>
      </c>
      <c r="G261" s="49">
        <f>_xlfn.XLOOKUP(C261,Tab_Def_Flows[Name(EN)],Tab_Def_Flows[Input_Process],,0,)</f>
        <v>0</v>
      </c>
      <c r="H261" s="61" t="str">
        <f>_xlfn.XLOOKUP(C261,Tab_Def_Flows[Name(EN)],Tab_Def_Flows[Process_ID_I],,0,)</f>
        <v>12__</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c r="AC261" s="107" t="e">
        <f>INDEX(Tab_Def_Flows[[Flow_ID]:[CC_DM_source]],MATCH(Tab_Data_Flows[[#This Row],[Name(EN)]],Tab_Def_Flows[Name(EN)],0),16)</f>
        <v>#N/A</v>
      </c>
      <c r="AD261" s="108" t="str">
        <f>IF(J261="Yes",AA261*Tab_Data_Flows[[#This Row],[WC_'[%']]],"N.A.")</f>
        <v>N.A.</v>
      </c>
      <c r="AE261" s="61">
        <f>Tab_Data_Flows[[#This Row],[UoM_Flow_Py]]</f>
        <v>0</v>
      </c>
      <c r="AF261" s="107" t="e">
        <f>INDEX(Tab_Def_Flows[[Flow_ID]:[CC_DM_source]],MATCH(Tab_Data_Flows[[#This Row],[Name(EN)]],Tab_Def_Flows[Name(EN)],0),18)</f>
        <v>#N/A</v>
      </c>
      <c r="AG261" s="108" t="str">
        <f>IF(K261="Yes",AF261*Tab_Data_Flows[[#This Row],[Flow_Py]],"N.A.")</f>
        <v>N.A.</v>
      </c>
      <c r="AH261" s="61">
        <f>Tab_Data_Flows[[#This Row],[UoM_Flow_Py]]</f>
        <v>0</v>
      </c>
      <c r="AI261" s="107" t="e">
        <f>INDEX(Tab_Def_Flows[[Flow_ID]:[CC_DM_source]],MATCH(Tab_Data_Flows[[#This Row],[Name(EN)]],Tab_Def_Flows[Name(EN)],0),20)</f>
        <v>#N/A</v>
      </c>
      <c r="AJ261" s="108" t="str">
        <f>IF(L261="Yes",AI261*Tab_Data_Flows[[#This Row],[Flow_Py]]*Tab_Data_Flows[[#This Row],[DM_'[%']]],"N.A.")</f>
        <v>N.A.</v>
      </c>
      <c r="AK261" s="61">
        <f>Tab_Data_Flows[[#This Row],[UoM_Flow_Py]]</f>
        <v>0</v>
      </c>
    </row>
    <row r="262" spans="1:37" x14ac:dyDescent="0.25">
      <c r="A262" s="60">
        <f t="shared" si="8"/>
        <v>261</v>
      </c>
      <c r="B262" s="49" t="str">
        <f>_xlfn.XLOOKUP(C262,Tab_Def_Flows[Name(EN)],Tab_Def_Flows[Flow_ID],,0,)</f>
        <v>F_12_12</v>
      </c>
      <c r="C262" s="51"/>
      <c r="D262" s="49">
        <f>_xlfn.XLOOKUP(C262,Tab_Def_Flows[Name(EN)],Tab_Def_Flows[Type_Biomass],,0,)</f>
        <v>0</v>
      </c>
      <c r="E262" s="49">
        <f>_xlfn.XLOOKUP(C262,Tab_Def_Flows[Name(EN)],Tab_Def_Flows[Output_Process],,0,)</f>
        <v>0</v>
      </c>
      <c r="F262" s="49" t="str">
        <f>_xlfn.XLOOKUP(C262,Tab_Def_Flows[Name(EN)],Tab_Def_Flows[Process_ID_O],,0,)</f>
        <v>12__</v>
      </c>
      <c r="G262" s="49">
        <f>_xlfn.XLOOKUP(C262,Tab_Def_Flows[Name(EN)],Tab_Def_Flows[Input_Process],,0,)</f>
        <v>0</v>
      </c>
      <c r="H262" s="61" t="str">
        <f>_xlfn.XLOOKUP(C262,Tab_Def_Flows[Name(EN)],Tab_Def_Flows[Process_ID_I],,0,)</f>
        <v>12__</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c r="AC262" s="107" t="e">
        <f>INDEX(Tab_Def_Flows[[Flow_ID]:[CC_DM_source]],MATCH(Tab_Data_Flows[[#This Row],[Name(EN)]],Tab_Def_Flows[Name(EN)],0),16)</f>
        <v>#N/A</v>
      </c>
      <c r="AD262" s="108" t="str">
        <f>IF(J262="Yes",AA262*Tab_Data_Flows[[#This Row],[WC_'[%']]],"N.A.")</f>
        <v>N.A.</v>
      </c>
      <c r="AE262" s="61">
        <f>Tab_Data_Flows[[#This Row],[UoM_Flow_Py]]</f>
        <v>0</v>
      </c>
      <c r="AF262" s="107" t="e">
        <f>INDEX(Tab_Def_Flows[[Flow_ID]:[CC_DM_source]],MATCH(Tab_Data_Flows[[#This Row],[Name(EN)]],Tab_Def_Flows[Name(EN)],0),18)</f>
        <v>#N/A</v>
      </c>
      <c r="AG262" s="108" t="str">
        <f>IF(K262="Yes",AF262*Tab_Data_Flows[[#This Row],[Flow_Py]],"N.A.")</f>
        <v>N.A.</v>
      </c>
      <c r="AH262" s="61">
        <f>Tab_Data_Flows[[#This Row],[UoM_Flow_Py]]</f>
        <v>0</v>
      </c>
      <c r="AI262" s="107" t="e">
        <f>INDEX(Tab_Def_Flows[[Flow_ID]:[CC_DM_source]],MATCH(Tab_Data_Flows[[#This Row],[Name(EN)]],Tab_Def_Flows[Name(EN)],0),20)</f>
        <v>#N/A</v>
      </c>
      <c r="AJ262" s="108" t="str">
        <f>IF(L262="Yes",AI262*Tab_Data_Flows[[#This Row],[Flow_Py]]*Tab_Data_Flows[[#This Row],[DM_'[%']]],"N.A.")</f>
        <v>N.A.</v>
      </c>
      <c r="AK262" s="61">
        <f>Tab_Data_Flows[[#This Row],[UoM_Flow_Py]]</f>
        <v>0</v>
      </c>
    </row>
    <row r="263" spans="1:37" x14ac:dyDescent="0.25">
      <c r="A263" s="60">
        <f t="shared" si="8"/>
        <v>262</v>
      </c>
      <c r="B263" s="49" t="str">
        <f>_xlfn.XLOOKUP(C263,Tab_Def_Flows[Name(EN)],Tab_Def_Flows[Flow_ID],,0,)</f>
        <v>F_12_12</v>
      </c>
      <c r="C263" s="51"/>
      <c r="D263" s="49">
        <f>_xlfn.XLOOKUP(C263,Tab_Def_Flows[Name(EN)],Tab_Def_Flows[Type_Biomass],,0,)</f>
        <v>0</v>
      </c>
      <c r="E263" s="49">
        <f>_xlfn.XLOOKUP(C263,Tab_Def_Flows[Name(EN)],Tab_Def_Flows[Output_Process],,0,)</f>
        <v>0</v>
      </c>
      <c r="F263" s="49" t="str">
        <f>_xlfn.XLOOKUP(C263,Tab_Def_Flows[Name(EN)],Tab_Def_Flows[Process_ID_O],,0,)</f>
        <v>12__</v>
      </c>
      <c r="G263" s="49">
        <f>_xlfn.XLOOKUP(C263,Tab_Def_Flows[Name(EN)],Tab_Def_Flows[Input_Process],,0,)</f>
        <v>0</v>
      </c>
      <c r="H263" s="61" t="str">
        <f>_xlfn.XLOOKUP(C263,Tab_Def_Flows[Name(EN)],Tab_Def_Flows[Process_ID_I],,0,)</f>
        <v>12__</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c r="AC263" s="107" t="e">
        <f>INDEX(Tab_Def_Flows[[Flow_ID]:[CC_DM_source]],MATCH(Tab_Data_Flows[[#This Row],[Name(EN)]],Tab_Def_Flows[Name(EN)],0),16)</f>
        <v>#N/A</v>
      </c>
      <c r="AD263" s="108" t="str">
        <f>IF(J263="Yes",AA263*Tab_Data_Flows[[#This Row],[WC_'[%']]],"N.A.")</f>
        <v>N.A.</v>
      </c>
      <c r="AE263" s="61">
        <f>Tab_Data_Flows[[#This Row],[UoM_Flow_Py]]</f>
        <v>0</v>
      </c>
      <c r="AF263" s="107" t="e">
        <f>INDEX(Tab_Def_Flows[[Flow_ID]:[CC_DM_source]],MATCH(Tab_Data_Flows[[#This Row],[Name(EN)]],Tab_Def_Flows[Name(EN)],0),18)</f>
        <v>#N/A</v>
      </c>
      <c r="AG263" s="108" t="str">
        <f>IF(K263="Yes",AF263*Tab_Data_Flows[[#This Row],[Flow_Py]],"N.A.")</f>
        <v>N.A.</v>
      </c>
      <c r="AH263" s="61">
        <f>Tab_Data_Flows[[#This Row],[UoM_Flow_Py]]</f>
        <v>0</v>
      </c>
      <c r="AI263" s="107" t="e">
        <f>INDEX(Tab_Def_Flows[[Flow_ID]:[CC_DM_source]],MATCH(Tab_Data_Flows[[#This Row],[Name(EN)]],Tab_Def_Flows[Name(EN)],0),20)</f>
        <v>#N/A</v>
      </c>
      <c r="AJ263" s="108" t="str">
        <f>IF(L263="Yes",AI263*Tab_Data_Flows[[#This Row],[Flow_Py]]*Tab_Data_Flows[[#This Row],[DM_'[%']]],"N.A.")</f>
        <v>N.A.</v>
      </c>
      <c r="AK263" s="61">
        <f>Tab_Data_Flows[[#This Row],[UoM_Flow_Py]]</f>
        <v>0</v>
      </c>
    </row>
    <row r="264" spans="1:37" x14ac:dyDescent="0.25">
      <c r="A264" s="60">
        <f t="shared" si="8"/>
        <v>263</v>
      </c>
      <c r="B264" s="49" t="str">
        <f>_xlfn.XLOOKUP(C264,Tab_Def_Flows[Name(EN)],Tab_Def_Flows[Flow_ID],,0,)</f>
        <v>F_12_12</v>
      </c>
      <c r="C264" s="51"/>
      <c r="D264" s="49">
        <f>_xlfn.XLOOKUP(C264,Tab_Def_Flows[Name(EN)],Tab_Def_Flows[Type_Biomass],,0,)</f>
        <v>0</v>
      </c>
      <c r="E264" s="49">
        <f>_xlfn.XLOOKUP(C264,Tab_Def_Flows[Name(EN)],Tab_Def_Flows[Output_Process],,0,)</f>
        <v>0</v>
      </c>
      <c r="F264" s="49" t="str">
        <f>_xlfn.XLOOKUP(C264,Tab_Def_Flows[Name(EN)],Tab_Def_Flows[Process_ID_O],,0,)</f>
        <v>12__</v>
      </c>
      <c r="G264" s="49">
        <f>_xlfn.XLOOKUP(C264,Tab_Def_Flows[Name(EN)],Tab_Def_Flows[Input_Process],,0,)</f>
        <v>0</v>
      </c>
      <c r="H264" s="61" t="str">
        <f>_xlfn.XLOOKUP(C264,Tab_Def_Flows[Name(EN)],Tab_Def_Flows[Process_ID_I],,0,)</f>
        <v>12__</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c r="AC264" s="107" t="e">
        <f>INDEX(Tab_Def_Flows[[Flow_ID]:[CC_DM_source]],MATCH(Tab_Data_Flows[[#This Row],[Name(EN)]],Tab_Def_Flows[Name(EN)],0),16)</f>
        <v>#N/A</v>
      </c>
      <c r="AD264" s="108" t="str">
        <f>IF(J264="Yes",AA264*Tab_Data_Flows[[#This Row],[WC_'[%']]],"N.A.")</f>
        <v>N.A.</v>
      </c>
      <c r="AE264" s="61">
        <f>Tab_Data_Flows[[#This Row],[UoM_Flow_Py]]</f>
        <v>0</v>
      </c>
      <c r="AF264" s="107" t="e">
        <f>INDEX(Tab_Def_Flows[[Flow_ID]:[CC_DM_source]],MATCH(Tab_Data_Flows[[#This Row],[Name(EN)]],Tab_Def_Flows[Name(EN)],0),18)</f>
        <v>#N/A</v>
      </c>
      <c r="AG264" s="108" t="str">
        <f>IF(K264="Yes",AF264*Tab_Data_Flows[[#This Row],[Flow_Py]],"N.A.")</f>
        <v>N.A.</v>
      </c>
      <c r="AH264" s="61">
        <f>Tab_Data_Flows[[#This Row],[UoM_Flow_Py]]</f>
        <v>0</v>
      </c>
      <c r="AI264" s="107" t="e">
        <f>INDEX(Tab_Def_Flows[[Flow_ID]:[CC_DM_source]],MATCH(Tab_Data_Flows[[#This Row],[Name(EN)]],Tab_Def_Flows[Name(EN)],0),20)</f>
        <v>#N/A</v>
      </c>
      <c r="AJ264" s="108" t="str">
        <f>IF(L264="Yes",AI264*Tab_Data_Flows[[#This Row],[Flow_Py]]*Tab_Data_Flows[[#This Row],[DM_'[%']]],"N.A.")</f>
        <v>N.A.</v>
      </c>
      <c r="AK264" s="61">
        <f>Tab_Data_Flows[[#This Row],[UoM_Flow_Py]]</f>
        <v>0</v>
      </c>
    </row>
    <row r="265" spans="1:37" x14ac:dyDescent="0.25">
      <c r="A265" s="60">
        <f t="shared" si="8"/>
        <v>264</v>
      </c>
      <c r="B265" s="49" t="str">
        <f>_xlfn.XLOOKUP(C265,Tab_Def_Flows[Name(EN)],Tab_Def_Flows[Flow_ID],,0,)</f>
        <v>F_12_12</v>
      </c>
      <c r="C265" s="51"/>
      <c r="D265" s="49">
        <f>_xlfn.XLOOKUP(C265,Tab_Def_Flows[Name(EN)],Tab_Def_Flows[Type_Biomass],,0,)</f>
        <v>0</v>
      </c>
      <c r="E265" s="49">
        <f>_xlfn.XLOOKUP(C265,Tab_Def_Flows[Name(EN)],Tab_Def_Flows[Output_Process],,0,)</f>
        <v>0</v>
      </c>
      <c r="F265" s="49" t="str">
        <f>_xlfn.XLOOKUP(C265,Tab_Def_Flows[Name(EN)],Tab_Def_Flows[Process_ID_O],,0,)</f>
        <v>12__</v>
      </c>
      <c r="G265" s="49">
        <f>_xlfn.XLOOKUP(C265,Tab_Def_Flows[Name(EN)],Tab_Def_Flows[Input_Process],,0,)</f>
        <v>0</v>
      </c>
      <c r="H265" s="61" t="str">
        <f>_xlfn.XLOOKUP(C265,Tab_Def_Flows[Name(EN)],Tab_Def_Flows[Process_ID_I],,0,)</f>
        <v>12__</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c r="AC265" s="107" t="e">
        <f>INDEX(Tab_Def_Flows[[Flow_ID]:[CC_DM_source]],MATCH(Tab_Data_Flows[[#This Row],[Name(EN)]],Tab_Def_Flows[Name(EN)],0),16)</f>
        <v>#N/A</v>
      </c>
      <c r="AD265" s="108" t="str">
        <f>IF(J265="Yes",AA265*Tab_Data_Flows[[#This Row],[WC_'[%']]],"N.A.")</f>
        <v>N.A.</v>
      </c>
      <c r="AE265" s="61">
        <f>Tab_Data_Flows[[#This Row],[UoM_Flow_Py]]</f>
        <v>0</v>
      </c>
      <c r="AF265" s="107" t="e">
        <f>INDEX(Tab_Def_Flows[[Flow_ID]:[CC_DM_source]],MATCH(Tab_Data_Flows[[#This Row],[Name(EN)]],Tab_Def_Flows[Name(EN)],0),18)</f>
        <v>#N/A</v>
      </c>
      <c r="AG265" s="108" t="str">
        <f>IF(K265="Yes",AF265*Tab_Data_Flows[[#This Row],[Flow_Py]],"N.A.")</f>
        <v>N.A.</v>
      </c>
      <c r="AH265" s="61">
        <f>Tab_Data_Flows[[#This Row],[UoM_Flow_Py]]</f>
        <v>0</v>
      </c>
      <c r="AI265" s="107" t="e">
        <f>INDEX(Tab_Def_Flows[[Flow_ID]:[CC_DM_source]],MATCH(Tab_Data_Flows[[#This Row],[Name(EN)]],Tab_Def_Flows[Name(EN)],0),20)</f>
        <v>#N/A</v>
      </c>
      <c r="AJ265" s="108" t="str">
        <f>IF(L265="Yes",AI265*Tab_Data_Flows[[#This Row],[Flow_Py]]*Tab_Data_Flows[[#This Row],[DM_'[%']]],"N.A.")</f>
        <v>N.A.</v>
      </c>
      <c r="AK265" s="61">
        <f>Tab_Data_Flows[[#This Row],[UoM_Flow_Py]]</f>
        <v>0</v>
      </c>
    </row>
    <row r="266" spans="1:37" x14ac:dyDescent="0.25">
      <c r="A266" s="60">
        <f t="shared" si="8"/>
        <v>265</v>
      </c>
      <c r="B266" s="49" t="str">
        <f>_xlfn.XLOOKUP(C266,Tab_Def_Flows[Name(EN)],Tab_Def_Flows[Flow_ID],,0,)</f>
        <v>F_12_12</v>
      </c>
      <c r="C266" s="51"/>
      <c r="D266" s="49">
        <f>_xlfn.XLOOKUP(C266,Tab_Def_Flows[Name(EN)],Tab_Def_Flows[Type_Biomass],,0,)</f>
        <v>0</v>
      </c>
      <c r="E266" s="49">
        <f>_xlfn.XLOOKUP(C266,Tab_Def_Flows[Name(EN)],Tab_Def_Flows[Output_Process],,0,)</f>
        <v>0</v>
      </c>
      <c r="F266" s="49" t="str">
        <f>_xlfn.XLOOKUP(C266,Tab_Def_Flows[Name(EN)],Tab_Def_Flows[Process_ID_O],,0,)</f>
        <v>12__</v>
      </c>
      <c r="G266" s="49">
        <f>_xlfn.XLOOKUP(C266,Tab_Def_Flows[Name(EN)],Tab_Def_Flows[Input_Process],,0,)</f>
        <v>0</v>
      </c>
      <c r="H266" s="61" t="str">
        <f>_xlfn.XLOOKUP(C266,Tab_Def_Flows[Name(EN)],Tab_Def_Flows[Process_ID_I],,0,)</f>
        <v>12__</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c r="AC266" s="107" t="e">
        <f>INDEX(Tab_Def_Flows[[Flow_ID]:[CC_DM_source]],MATCH(Tab_Data_Flows[[#This Row],[Name(EN)]],Tab_Def_Flows[Name(EN)],0),16)</f>
        <v>#N/A</v>
      </c>
      <c r="AD266" s="108" t="str">
        <f>IF(J266="Yes",AA266*Tab_Data_Flows[[#This Row],[WC_'[%']]],"N.A.")</f>
        <v>N.A.</v>
      </c>
      <c r="AE266" s="61">
        <f>Tab_Data_Flows[[#This Row],[UoM_Flow_Py]]</f>
        <v>0</v>
      </c>
      <c r="AF266" s="107" t="e">
        <f>INDEX(Tab_Def_Flows[[Flow_ID]:[CC_DM_source]],MATCH(Tab_Data_Flows[[#This Row],[Name(EN)]],Tab_Def_Flows[Name(EN)],0),18)</f>
        <v>#N/A</v>
      </c>
      <c r="AG266" s="108" t="str">
        <f>IF(K266="Yes",AF266*Tab_Data_Flows[[#This Row],[Flow_Py]],"N.A.")</f>
        <v>N.A.</v>
      </c>
      <c r="AH266" s="61">
        <f>Tab_Data_Flows[[#This Row],[UoM_Flow_Py]]</f>
        <v>0</v>
      </c>
      <c r="AI266" s="107" t="e">
        <f>INDEX(Tab_Def_Flows[[Flow_ID]:[CC_DM_source]],MATCH(Tab_Data_Flows[[#This Row],[Name(EN)]],Tab_Def_Flows[Name(EN)],0),20)</f>
        <v>#N/A</v>
      </c>
      <c r="AJ266" s="108" t="str">
        <f>IF(L266="Yes",AI266*Tab_Data_Flows[[#This Row],[Flow_Py]]*Tab_Data_Flows[[#This Row],[DM_'[%']]],"N.A.")</f>
        <v>N.A.</v>
      </c>
      <c r="AK266" s="61">
        <f>Tab_Data_Flows[[#This Row],[UoM_Flow_Py]]</f>
        <v>0</v>
      </c>
    </row>
    <row r="267" spans="1:37" x14ac:dyDescent="0.25">
      <c r="A267" s="60">
        <f t="shared" si="8"/>
        <v>266</v>
      </c>
      <c r="B267" s="49" t="str">
        <f>_xlfn.XLOOKUP(C267,Tab_Def_Flows[Name(EN)],Tab_Def_Flows[Flow_ID],,0,)</f>
        <v>F_12_12</v>
      </c>
      <c r="C267" s="51"/>
      <c r="D267" s="49">
        <f>_xlfn.XLOOKUP(C267,Tab_Def_Flows[Name(EN)],Tab_Def_Flows[Type_Biomass],,0,)</f>
        <v>0</v>
      </c>
      <c r="E267" s="49">
        <f>_xlfn.XLOOKUP(C267,Tab_Def_Flows[Name(EN)],Tab_Def_Flows[Output_Process],,0,)</f>
        <v>0</v>
      </c>
      <c r="F267" s="49" t="str">
        <f>_xlfn.XLOOKUP(C267,Tab_Def_Flows[Name(EN)],Tab_Def_Flows[Process_ID_O],,0,)</f>
        <v>12__</v>
      </c>
      <c r="G267" s="49">
        <f>_xlfn.XLOOKUP(C267,Tab_Def_Flows[Name(EN)],Tab_Def_Flows[Input_Process],,0,)</f>
        <v>0</v>
      </c>
      <c r="H267" s="61" t="str">
        <f>_xlfn.XLOOKUP(C267,Tab_Def_Flows[Name(EN)],Tab_Def_Flows[Process_ID_I],,0,)</f>
        <v>12__</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c r="AC267" s="107" t="e">
        <f>INDEX(Tab_Def_Flows[[Flow_ID]:[CC_DM_source]],MATCH(Tab_Data_Flows[[#This Row],[Name(EN)]],Tab_Def_Flows[Name(EN)],0),16)</f>
        <v>#N/A</v>
      </c>
      <c r="AD267" s="108" t="str">
        <f>IF(J267="Yes",AA267*Tab_Data_Flows[[#This Row],[WC_'[%']]],"N.A.")</f>
        <v>N.A.</v>
      </c>
      <c r="AE267" s="61">
        <f>Tab_Data_Flows[[#This Row],[UoM_Flow_Py]]</f>
        <v>0</v>
      </c>
      <c r="AF267" s="107" t="e">
        <f>INDEX(Tab_Def_Flows[[Flow_ID]:[CC_DM_source]],MATCH(Tab_Data_Flows[[#This Row],[Name(EN)]],Tab_Def_Flows[Name(EN)],0),18)</f>
        <v>#N/A</v>
      </c>
      <c r="AG267" s="108" t="str">
        <f>IF(K267="Yes",AF267*Tab_Data_Flows[[#This Row],[Flow_Py]],"N.A.")</f>
        <v>N.A.</v>
      </c>
      <c r="AH267" s="61">
        <f>Tab_Data_Flows[[#This Row],[UoM_Flow_Py]]</f>
        <v>0</v>
      </c>
      <c r="AI267" s="107" t="e">
        <f>INDEX(Tab_Def_Flows[[Flow_ID]:[CC_DM_source]],MATCH(Tab_Data_Flows[[#This Row],[Name(EN)]],Tab_Def_Flows[Name(EN)],0),20)</f>
        <v>#N/A</v>
      </c>
      <c r="AJ267" s="108" t="str">
        <f>IF(L267="Yes",AI267*Tab_Data_Flows[[#This Row],[Flow_Py]]*Tab_Data_Flows[[#This Row],[DM_'[%']]],"N.A.")</f>
        <v>N.A.</v>
      </c>
      <c r="AK267" s="61">
        <f>Tab_Data_Flows[[#This Row],[UoM_Flow_Py]]</f>
        <v>0</v>
      </c>
    </row>
    <row r="268" spans="1:37" x14ac:dyDescent="0.25">
      <c r="A268" s="60">
        <f t="shared" si="8"/>
        <v>267</v>
      </c>
      <c r="B268" s="49" t="str">
        <f>_xlfn.XLOOKUP(C268,Tab_Def_Flows[Name(EN)],Tab_Def_Flows[Flow_ID],,0,)</f>
        <v>F_12_12</v>
      </c>
      <c r="C268" s="51"/>
      <c r="D268" s="49">
        <f>_xlfn.XLOOKUP(C268,Tab_Def_Flows[Name(EN)],Tab_Def_Flows[Type_Biomass],,0,)</f>
        <v>0</v>
      </c>
      <c r="E268" s="49">
        <f>_xlfn.XLOOKUP(C268,Tab_Def_Flows[Name(EN)],Tab_Def_Flows[Output_Process],,0,)</f>
        <v>0</v>
      </c>
      <c r="F268" s="49" t="str">
        <f>_xlfn.XLOOKUP(C268,Tab_Def_Flows[Name(EN)],Tab_Def_Flows[Process_ID_O],,0,)</f>
        <v>12__</v>
      </c>
      <c r="G268" s="49">
        <f>_xlfn.XLOOKUP(C268,Tab_Def_Flows[Name(EN)],Tab_Def_Flows[Input_Process],,0,)</f>
        <v>0</v>
      </c>
      <c r="H268" s="61" t="str">
        <f>_xlfn.XLOOKUP(C268,Tab_Def_Flows[Name(EN)],Tab_Def_Flows[Process_ID_I],,0,)</f>
        <v>12__</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c r="AC268" s="107" t="e">
        <f>INDEX(Tab_Def_Flows[[Flow_ID]:[CC_DM_source]],MATCH(Tab_Data_Flows[[#This Row],[Name(EN)]],Tab_Def_Flows[Name(EN)],0),16)</f>
        <v>#N/A</v>
      </c>
      <c r="AD268" s="108" t="str">
        <f>IF(J268="Yes",AA268*Tab_Data_Flows[[#This Row],[WC_'[%']]],"N.A.")</f>
        <v>N.A.</v>
      </c>
      <c r="AE268" s="61">
        <f>Tab_Data_Flows[[#This Row],[UoM_Flow_Py]]</f>
        <v>0</v>
      </c>
      <c r="AF268" s="107" t="e">
        <f>INDEX(Tab_Def_Flows[[Flow_ID]:[CC_DM_source]],MATCH(Tab_Data_Flows[[#This Row],[Name(EN)]],Tab_Def_Flows[Name(EN)],0),18)</f>
        <v>#N/A</v>
      </c>
      <c r="AG268" s="108" t="str">
        <f>IF(K268="Yes",AF268*Tab_Data_Flows[[#This Row],[Flow_Py]],"N.A.")</f>
        <v>N.A.</v>
      </c>
      <c r="AH268" s="61">
        <f>Tab_Data_Flows[[#This Row],[UoM_Flow_Py]]</f>
        <v>0</v>
      </c>
      <c r="AI268" s="107" t="e">
        <f>INDEX(Tab_Def_Flows[[Flow_ID]:[CC_DM_source]],MATCH(Tab_Data_Flows[[#This Row],[Name(EN)]],Tab_Def_Flows[Name(EN)],0),20)</f>
        <v>#N/A</v>
      </c>
      <c r="AJ268" s="108" t="str">
        <f>IF(L268="Yes",AI268*Tab_Data_Flows[[#This Row],[Flow_Py]]*Tab_Data_Flows[[#This Row],[DM_'[%']]],"N.A.")</f>
        <v>N.A.</v>
      </c>
      <c r="AK268" s="61">
        <f>Tab_Data_Flows[[#This Row],[UoM_Flow_Py]]</f>
        <v>0</v>
      </c>
    </row>
    <row r="269" spans="1:37" x14ac:dyDescent="0.25">
      <c r="A269" s="60">
        <f t="shared" si="8"/>
        <v>268</v>
      </c>
      <c r="B269" s="49" t="str">
        <f>_xlfn.XLOOKUP(C269,Tab_Def_Flows[Name(EN)],Tab_Def_Flows[Flow_ID],,0,)</f>
        <v>F_12_12</v>
      </c>
      <c r="C269" s="51"/>
      <c r="D269" s="49">
        <f>_xlfn.XLOOKUP(C269,Tab_Def_Flows[Name(EN)],Tab_Def_Flows[Type_Biomass],,0,)</f>
        <v>0</v>
      </c>
      <c r="E269" s="49">
        <f>_xlfn.XLOOKUP(C269,Tab_Def_Flows[Name(EN)],Tab_Def_Flows[Output_Process],,0,)</f>
        <v>0</v>
      </c>
      <c r="F269" s="49" t="str">
        <f>_xlfn.XLOOKUP(C269,Tab_Def_Flows[Name(EN)],Tab_Def_Flows[Process_ID_O],,0,)</f>
        <v>12__</v>
      </c>
      <c r="G269" s="49">
        <f>_xlfn.XLOOKUP(C269,Tab_Def_Flows[Name(EN)],Tab_Def_Flows[Input_Process],,0,)</f>
        <v>0</v>
      </c>
      <c r="H269" s="61" t="str">
        <f>_xlfn.XLOOKUP(C269,Tab_Def_Flows[Name(EN)],Tab_Def_Flows[Process_ID_I],,0,)</f>
        <v>12__</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c r="AC269" s="107" t="e">
        <f>INDEX(Tab_Def_Flows[[Flow_ID]:[CC_DM_source]],MATCH(Tab_Data_Flows[[#This Row],[Name(EN)]],Tab_Def_Flows[Name(EN)],0),16)</f>
        <v>#N/A</v>
      </c>
      <c r="AD269" s="108" t="str">
        <f>IF(J269="Yes",AA269*Tab_Data_Flows[[#This Row],[WC_'[%']]],"N.A.")</f>
        <v>N.A.</v>
      </c>
      <c r="AE269" s="61">
        <f>Tab_Data_Flows[[#This Row],[UoM_Flow_Py]]</f>
        <v>0</v>
      </c>
      <c r="AF269" s="107" t="e">
        <f>INDEX(Tab_Def_Flows[[Flow_ID]:[CC_DM_source]],MATCH(Tab_Data_Flows[[#This Row],[Name(EN)]],Tab_Def_Flows[Name(EN)],0),18)</f>
        <v>#N/A</v>
      </c>
      <c r="AG269" s="108" t="str">
        <f>IF(K269="Yes",AF269*Tab_Data_Flows[[#This Row],[Flow_Py]],"N.A.")</f>
        <v>N.A.</v>
      </c>
      <c r="AH269" s="61">
        <f>Tab_Data_Flows[[#This Row],[UoM_Flow_Py]]</f>
        <v>0</v>
      </c>
      <c r="AI269" s="107" t="e">
        <f>INDEX(Tab_Def_Flows[[Flow_ID]:[CC_DM_source]],MATCH(Tab_Data_Flows[[#This Row],[Name(EN)]],Tab_Def_Flows[Name(EN)],0),20)</f>
        <v>#N/A</v>
      </c>
      <c r="AJ269" s="108" t="str">
        <f>IF(L269="Yes",AI269*Tab_Data_Flows[[#This Row],[Flow_Py]]*Tab_Data_Flows[[#This Row],[DM_'[%']]],"N.A.")</f>
        <v>N.A.</v>
      </c>
      <c r="AK269" s="61">
        <f>Tab_Data_Flows[[#This Row],[UoM_Flow_Py]]</f>
        <v>0</v>
      </c>
    </row>
    <row r="270" spans="1:37" x14ac:dyDescent="0.25">
      <c r="A270" s="60">
        <f t="shared" si="8"/>
        <v>269</v>
      </c>
      <c r="B270" s="49" t="str">
        <f>_xlfn.XLOOKUP(C270,Tab_Def_Flows[Name(EN)],Tab_Def_Flows[Flow_ID],,0,)</f>
        <v>F_12_12</v>
      </c>
      <c r="C270" s="51"/>
      <c r="D270" s="49">
        <f>_xlfn.XLOOKUP(C270,Tab_Def_Flows[Name(EN)],Tab_Def_Flows[Type_Biomass],,0,)</f>
        <v>0</v>
      </c>
      <c r="E270" s="49">
        <f>_xlfn.XLOOKUP(C270,Tab_Def_Flows[Name(EN)],Tab_Def_Flows[Output_Process],,0,)</f>
        <v>0</v>
      </c>
      <c r="F270" s="49" t="str">
        <f>_xlfn.XLOOKUP(C270,Tab_Def_Flows[Name(EN)],Tab_Def_Flows[Process_ID_O],,0,)</f>
        <v>12__</v>
      </c>
      <c r="G270" s="49">
        <f>_xlfn.XLOOKUP(C270,Tab_Def_Flows[Name(EN)],Tab_Def_Flows[Input_Process],,0,)</f>
        <v>0</v>
      </c>
      <c r="H270" s="61" t="str">
        <f>_xlfn.XLOOKUP(C270,Tab_Def_Flows[Name(EN)],Tab_Def_Flows[Process_ID_I],,0,)</f>
        <v>12__</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c r="AC270" s="107" t="e">
        <f>INDEX(Tab_Def_Flows[[Flow_ID]:[CC_DM_source]],MATCH(Tab_Data_Flows[[#This Row],[Name(EN)]],Tab_Def_Flows[Name(EN)],0),16)</f>
        <v>#N/A</v>
      </c>
      <c r="AD270" s="108" t="str">
        <f>IF(J270="Yes",AA270*Tab_Data_Flows[[#This Row],[WC_'[%']]],"N.A.")</f>
        <v>N.A.</v>
      </c>
      <c r="AE270" s="61">
        <f>Tab_Data_Flows[[#This Row],[UoM_Flow_Py]]</f>
        <v>0</v>
      </c>
      <c r="AF270" s="107" t="e">
        <f>INDEX(Tab_Def_Flows[[Flow_ID]:[CC_DM_source]],MATCH(Tab_Data_Flows[[#This Row],[Name(EN)]],Tab_Def_Flows[Name(EN)],0),18)</f>
        <v>#N/A</v>
      </c>
      <c r="AG270" s="108" t="str">
        <f>IF(K270="Yes",AF270*Tab_Data_Flows[[#This Row],[Flow_Py]],"N.A.")</f>
        <v>N.A.</v>
      </c>
      <c r="AH270" s="61">
        <f>Tab_Data_Flows[[#This Row],[UoM_Flow_Py]]</f>
        <v>0</v>
      </c>
      <c r="AI270" s="107" t="e">
        <f>INDEX(Tab_Def_Flows[[Flow_ID]:[CC_DM_source]],MATCH(Tab_Data_Flows[[#This Row],[Name(EN)]],Tab_Def_Flows[Name(EN)],0),20)</f>
        <v>#N/A</v>
      </c>
      <c r="AJ270" s="108" t="str">
        <f>IF(L270="Yes",AI270*Tab_Data_Flows[[#This Row],[Flow_Py]]*Tab_Data_Flows[[#This Row],[DM_'[%']]],"N.A.")</f>
        <v>N.A.</v>
      </c>
      <c r="AK270" s="61">
        <f>Tab_Data_Flows[[#This Row],[UoM_Flow_Py]]</f>
        <v>0</v>
      </c>
    </row>
    <row r="271" spans="1:37" x14ac:dyDescent="0.25">
      <c r="A271" s="60">
        <f t="shared" si="8"/>
        <v>270</v>
      </c>
      <c r="B271" s="49" t="str">
        <f>_xlfn.XLOOKUP(C271,Tab_Def_Flows[Name(EN)],Tab_Def_Flows[Flow_ID],,0,)</f>
        <v>F_12_12</v>
      </c>
      <c r="C271" s="51"/>
      <c r="D271" s="49">
        <f>_xlfn.XLOOKUP(C271,Tab_Def_Flows[Name(EN)],Tab_Def_Flows[Type_Biomass],,0,)</f>
        <v>0</v>
      </c>
      <c r="E271" s="49">
        <f>_xlfn.XLOOKUP(C271,Tab_Def_Flows[Name(EN)],Tab_Def_Flows[Output_Process],,0,)</f>
        <v>0</v>
      </c>
      <c r="F271" s="49" t="str">
        <f>_xlfn.XLOOKUP(C271,Tab_Def_Flows[Name(EN)],Tab_Def_Flows[Process_ID_O],,0,)</f>
        <v>12__</v>
      </c>
      <c r="G271" s="49">
        <f>_xlfn.XLOOKUP(C271,Tab_Def_Flows[Name(EN)],Tab_Def_Flows[Input_Process],,0,)</f>
        <v>0</v>
      </c>
      <c r="H271" s="61" t="str">
        <f>_xlfn.XLOOKUP(C271,Tab_Def_Flows[Name(EN)],Tab_Def_Flows[Process_ID_I],,0,)</f>
        <v>12__</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c r="AC271" s="107" t="e">
        <f>INDEX(Tab_Def_Flows[[Flow_ID]:[CC_DM_source]],MATCH(Tab_Data_Flows[[#This Row],[Name(EN)]],Tab_Def_Flows[Name(EN)],0),16)</f>
        <v>#N/A</v>
      </c>
      <c r="AD271" s="108" t="str">
        <f>IF(J271="Yes",AA271*Tab_Data_Flows[[#This Row],[WC_'[%']]],"N.A.")</f>
        <v>N.A.</v>
      </c>
      <c r="AE271" s="61">
        <f>Tab_Data_Flows[[#This Row],[UoM_Flow_Py]]</f>
        <v>0</v>
      </c>
      <c r="AF271" s="107" t="e">
        <f>INDEX(Tab_Def_Flows[[Flow_ID]:[CC_DM_source]],MATCH(Tab_Data_Flows[[#This Row],[Name(EN)]],Tab_Def_Flows[Name(EN)],0),18)</f>
        <v>#N/A</v>
      </c>
      <c r="AG271" s="108" t="str">
        <f>IF(K271="Yes",AF271*Tab_Data_Flows[[#This Row],[Flow_Py]],"N.A.")</f>
        <v>N.A.</v>
      </c>
      <c r="AH271" s="61">
        <f>Tab_Data_Flows[[#This Row],[UoM_Flow_Py]]</f>
        <v>0</v>
      </c>
      <c r="AI271" s="107" t="e">
        <f>INDEX(Tab_Def_Flows[[Flow_ID]:[CC_DM_source]],MATCH(Tab_Data_Flows[[#This Row],[Name(EN)]],Tab_Def_Flows[Name(EN)],0),20)</f>
        <v>#N/A</v>
      </c>
      <c r="AJ271" s="108" t="str">
        <f>IF(L271="Yes",AI271*Tab_Data_Flows[[#This Row],[Flow_Py]]*Tab_Data_Flows[[#This Row],[DM_'[%']]],"N.A.")</f>
        <v>N.A.</v>
      </c>
      <c r="AK271" s="61">
        <f>Tab_Data_Flows[[#This Row],[UoM_Flow_Py]]</f>
        <v>0</v>
      </c>
    </row>
    <row r="272" spans="1:37" x14ac:dyDescent="0.25">
      <c r="A272" s="60">
        <f t="shared" si="8"/>
        <v>271</v>
      </c>
      <c r="B272" s="49" t="str">
        <f>_xlfn.XLOOKUP(C272,Tab_Def_Flows[Name(EN)],Tab_Def_Flows[Flow_ID],,0,)</f>
        <v>F_12_12</v>
      </c>
      <c r="C272" s="51"/>
      <c r="D272" s="49">
        <f>_xlfn.XLOOKUP(C272,Tab_Def_Flows[Name(EN)],Tab_Def_Flows[Type_Biomass],,0,)</f>
        <v>0</v>
      </c>
      <c r="E272" s="49">
        <f>_xlfn.XLOOKUP(C272,Tab_Def_Flows[Name(EN)],Tab_Def_Flows[Output_Process],,0,)</f>
        <v>0</v>
      </c>
      <c r="F272" s="49" t="str">
        <f>_xlfn.XLOOKUP(C272,Tab_Def_Flows[Name(EN)],Tab_Def_Flows[Process_ID_O],,0,)</f>
        <v>12__</v>
      </c>
      <c r="G272" s="49">
        <f>_xlfn.XLOOKUP(C272,Tab_Def_Flows[Name(EN)],Tab_Def_Flows[Input_Process],,0,)</f>
        <v>0</v>
      </c>
      <c r="H272" s="61" t="str">
        <f>_xlfn.XLOOKUP(C272,Tab_Def_Flows[Name(EN)],Tab_Def_Flows[Process_ID_I],,0,)</f>
        <v>12__</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c r="AC272" s="107" t="e">
        <f>INDEX(Tab_Def_Flows[[Flow_ID]:[CC_DM_source]],MATCH(Tab_Data_Flows[[#This Row],[Name(EN)]],Tab_Def_Flows[Name(EN)],0),16)</f>
        <v>#N/A</v>
      </c>
      <c r="AD272" s="108" t="str">
        <f>IF(J272="Yes",AA272*Tab_Data_Flows[[#This Row],[WC_'[%']]],"N.A.")</f>
        <v>N.A.</v>
      </c>
      <c r="AE272" s="61">
        <f>Tab_Data_Flows[[#This Row],[UoM_Flow_Py]]</f>
        <v>0</v>
      </c>
      <c r="AF272" s="107" t="e">
        <f>INDEX(Tab_Def_Flows[[Flow_ID]:[CC_DM_source]],MATCH(Tab_Data_Flows[[#This Row],[Name(EN)]],Tab_Def_Flows[Name(EN)],0),18)</f>
        <v>#N/A</v>
      </c>
      <c r="AG272" s="108" t="str">
        <f>IF(K272="Yes",AF272*Tab_Data_Flows[[#This Row],[Flow_Py]],"N.A.")</f>
        <v>N.A.</v>
      </c>
      <c r="AH272" s="61">
        <f>Tab_Data_Flows[[#This Row],[UoM_Flow_Py]]</f>
        <v>0</v>
      </c>
      <c r="AI272" s="107" t="e">
        <f>INDEX(Tab_Def_Flows[[Flow_ID]:[CC_DM_source]],MATCH(Tab_Data_Flows[[#This Row],[Name(EN)]],Tab_Def_Flows[Name(EN)],0),20)</f>
        <v>#N/A</v>
      </c>
      <c r="AJ272" s="108" t="str">
        <f>IF(L272="Yes",AI272*Tab_Data_Flows[[#This Row],[Flow_Py]]*Tab_Data_Flows[[#This Row],[DM_'[%']]],"N.A.")</f>
        <v>N.A.</v>
      </c>
      <c r="AK272" s="61">
        <f>Tab_Data_Flows[[#This Row],[UoM_Flow_Py]]</f>
        <v>0</v>
      </c>
    </row>
    <row r="273" spans="1:37" x14ac:dyDescent="0.25">
      <c r="A273" s="60">
        <f t="shared" si="8"/>
        <v>272</v>
      </c>
      <c r="B273" s="49" t="str">
        <f>_xlfn.XLOOKUP(C273,Tab_Def_Flows[Name(EN)],Tab_Def_Flows[Flow_ID],,0,)</f>
        <v>F_12_12</v>
      </c>
      <c r="C273" s="51"/>
      <c r="D273" s="49">
        <f>_xlfn.XLOOKUP(C273,Tab_Def_Flows[Name(EN)],Tab_Def_Flows[Type_Biomass],,0,)</f>
        <v>0</v>
      </c>
      <c r="E273" s="49">
        <f>_xlfn.XLOOKUP(C273,Tab_Def_Flows[Name(EN)],Tab_Def_Flows[Output_Process],,0,)</f>
        <v>0</v>
      </c>
      <c r="F273" s="49" t="str">
        <f>_xlfn.XLOOKUP(C273,Tab_Def_Flows[Name(EN)],Tab_Def_Flows[Process_ID_O],,0,)</f>
        <v>12__</v>
      </c>
      <c r="G273" s="49">
        <f>_xlfn.XLOOKUP(C273,Tab_Def_Flows[Name(EN)],Tab_Def_Flows[Input_Process],,0,)</f>
        <v>0</v>
      </c>
      <c r="H273" s="61" t="str">
        <f>_xlfn.XLOOKUP(C273,Tab_Def_Flows[Name(EN)],Tab_Def_Flows[Process_ID_I],,0,)</f>
        <v>12__</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c r="AC273" s="107" t="e">
        <f>INDEX(Tab_Def_Flows[[Flow_ID]:[CC_DM_source]],MATCH(Tab_Data_Flows[[#This Row],[Name(EN)]],Tab_Def_Flows[Name(EN)],0),16)</f>
        <v>#N/A</v>
      </c>
      <c r="AD273" s="108" t="str">
        <f>IF(J273="Yes",AA273*Tab_Data_Flows[[#This Row],[WC_'[%']]],"N.A.")</f>
        <v>N.A.</v>
      </c>
      <c r="AE273" s="61">
        <f>Tab_Data_Flows[[#This Row],[UoM_Flow_Py]]</f>
        <v>0</v>
      </c>
      <c r="AF273" s="107" t="e">
        <f>INDEX(Tab_Def_Flows[[Flow_ID]:[CC_DM_source]],MATCH(Tab_Data_Flows[[#This Row],[Name(EN)]],Tab_Def_Flows[Name(EN)],0),18)</f>
        <v>#N/A</v>
      </c>
      <c r="AG273" s="108" t="str">
        <f>IF(K273="Yes",AF273*Tab_Data_Flows[[#This Row],[Flow_Py]],"N.A.")</f>
        <v>N.A.</v>
      </c>
      <c r="AH273" s="61">
        <f>Tab_Data_Flows[[#This Row],[UoM_Flow_Py]]</f>
        <v>0</v>
      </c>
      <c r="AI273" s="107" t="e">
        <f>INDEX(Tab_Def_Flows[[Flow_ID]:[CC_DM_source]],MATCH(Tab_Data_Flows[[#This Row],[Name(EN)]],Tab_Def_Flows[Name(EN)],0),20)</f>
        <v>#N/A</v>
      </c>
      <c r="AJ273" s="108" t="str">
        <f>IF(L273="Yes",AI273*Tab_Data_Flows[[#This Row],[Flow_Py]]*Tab_Data_Flows[[#This Row],[DM_'[%']]],"N.A.")</f>
        <v>N.A.</v>
      </c>
      <c r="AK273" s="61">
        <f>Tab_Data_Flows[[#This Row],[UoM_Flow_Py]]</f>
        <v>0</v>
      </c>
    </row>
    <row r="274" spans="1:37" x14ac:dyDescent="0.25">
      <c r="A274" s="60">
        <f t="shared" si="8"/>
        <v>273</v>
      </c>
      <c r="B274" s="49" t="str">
        <f>_xlfn.XLOOKUP(C274,Tab_Def_Flows[Name(EN)],Tab_Def_Flows[Flow_ID],,0,)</f>
        <v>F_12_12</v>
      </c>
      <c r="C274" s="51"/>
      <c r="D274" s="49">
        <f>_xlfn.XLOOKUP(C274,Tab_Def_Flows[Name(EN)],Tab_Def_Flows[Type_Biomass],,0,)</f>
        <v>0</v>
      </c>
      <c r="E274" s="49">
        <f>_xlfn.XLOOKUP(C274,Tab_Def_Flows[Name(EN)],Tab_Def_Flows[Output_Process],,0,)</f>
        <v>0</v>
      </c>
      <c r="F274" s="49" t="str">
        <f>_xlfn.XLOOKUP(C274,Tab_Def_Flows[Name(EN)],Tab_Def_Flows[Process_ID_O],,0,)</f>
        <v>12__</v>
      </c>
      <c r="G274" s="49">
        <f>_xlfn.XLOOKUP(C274,Tab_Def_Flows[Name(EN)],Tab_Def_Flows[Input_Process],,0,)</f>
        <v>0</v>
      </c>
      <c r="H274" s="61" t="str">
        <f>_xlfn.XLOOKUP(C274,Tab_Def_Flows[Name(EN)],Tab_Def_Flows[Process_ID_I],,0,)</f>
        <v>12__</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c r="AC274" s="107" t="e">
        <f>INDEX(Tab_Def_Flows[[Flow_ID]:[CC_DM_source]],MATCH(Tab_Data_Flows[[#This Row],[Name(EN)]],Tab_Def_Flows[Name(EN)],0),16)</f>
        <v>#N/A</v>
      </c>
      <c r="AD274" s="108" t="str">
        <f>IF(J274="Yes",AA274*Tab_Data_Flows[[#This Row],[WC_'[%']]],"N.A.")</f>
        <v>N.A.</v>
      </c>
      <c r="AE274" s="61">
        <f>Tab_Data_Flows[[#This Row],[UoM_Flow_Py]]</f>
        <v>0</v>
      </c>
      <c r="AF274" s="107" t="e">
        <f>INDEX(Tab_Def_Flows[[Flow_ID]:[CC_DM_source]],MATCH(Tab_Data_Flows[[#This Row],[Name(EN)]],Tab_Def_Flows[Name(EN)],0),18)</f>
        <v>#N/A</v>
      </c>
      <c r="AG274" s="108" t="str">
        <f>IF(K274="Yes",AF274*Tab_Data_Flows[[#This Row],[Flow_Py]],"N.A.")</f>
        <v>N.A.</v>
      </c>
      <c r="AH274" s="61">
        <f>Tab_Data_Flows[[#This Row],[UoM_Flow_Py]]</f>
        <v>0</v>
      </c>
      <c r="AI274" s="107" t="e">
        <f>INDEX(Tab_Def_Flows[[Flow_ID]:[CC_DM_source]],MATCH(Tab_Data_Flows[[#This Row],[Name(EN)]],Tab_Def_Flows[Name(EN)],0),20)</f>
        <v>#N/A</v>
      </c>
      <c r="AJ274" s="108" t="str">
        <f>IF(L274="Yes",AI274*Tab_Data_Flows[[#This Row],[Flow_Py]]*Tab_Data_Flows[[#This Row],[DM_'[%']]],"N.A.")</f>
        <v>N.A.</v>
      </c>
      <c r="AK274" s="61">
        <f>Tab_Data_Flows[[#This Row],[UoM_Flow_Py]]</f>
        <v>0</v>
      </c>
    </row>
    <row r="275" spans="1:37" x14ac:dyDescent="0.25">
      <c r="A275" s="60">
        <f t="shared" si="8"/>
        <v>274</v>
      </c>
      <c r="B275" s="49" t="str">
        <f>_xlfn.XLOOKUP(C275,Tab_Def_Flows[Name(EN)],Tab_Def_Flows[Flow_ID],,0,)</f>
        <v>F_12_12</v>
      </c>
      <c r="C275" s="51"/>
      <c r="D275" s="49">
        <f>_xlfn.XLOOKUP(C275,Tab_Def_Flows[Name(EN)],Tab_Def_Flows[Type_Biomass],,0,)</f>
        <v>0</v>
      </c>
      <c r="E275" s="49">
        <f>_xlfn.XLOOKUP(C275,Tab_Def_Flows[Name(EN)],Tab_Def_Flows[Output_Process],,0,)</f>
        <v>0</v>
      </c>
      <c r="F275" s="49" t="str">
        <f>_xlfn.XLOOKUP(C275,Tab_Def_Flows[Name(EN)],Tab_Def_Flows[Process_ID_O],,0,)</f>
        <v>12__</v>
      </c>
      <c r="G275" s="49">
        <f>_xlfn.XLOOKUP(C275,Tab_Def_Flows[Name(EN)],Tab_Def_Flows[Input_Process],,0,)</f>
        <v>0</v>
      </c>
      <c r="H275" s="61" t="str">
        <f>_xlfn.XLOOKUP(C275,Tab_Def_Flows[Name(EN)],Tab_Def_Flows[Process_ID_I],,0,)</f>
        <v>12__</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c r="AC275" s="107" t="e">
        <f>INDEX(Tab_Def_Flows[[Flow_ID]:[CC_DM_source]],MATCH(Tab_Data_Flows[[#This Row],[Name(EN)]],Tab_Def_Flows[Name(EN)],0),16)</f>
        <v>#N/A</v>
      </c>
      <c r="AD275" s="108" t="str">
        <f>IF(J275="Yes",AA275*Tab_Data_Flows[[#This Row],[WC_'[%']]],"N.A.")</f>
        <v>N.A.</v>
      </c>
      <c r="AE275" s="61">
        <f>Tab_Data_Flows[[#This Row],[UoM_Flow_Py]]</f>
        <v>0</v>
      </c>
      <c r="AF275" s="107" t="e">
        <f>INDEX(Tab_Def_Flows[[Flow_ID]:[CC_DM_source]],MATCH(Tab_Data_Flows[[#This Row],[Name(EN)]],Tab_Def_Flows[Name(EN)],0),18)</f>
        <v>#N/A</v>
      </c>
      <c r="AG275" s="108" t="str">
        <f>IF(K275="Yes",AF275*Tab_Data_Flows[[#This Row],[Flow_Py]],"N.A.")</f>
        <v>N.A.</v>
      </c>
      <c r="AH275" s="61">
        <f>Tab_Data_Flows[[#This Row],[UoM_Flow_Py]]</f>
        <v>0</v>
      </c>
      <c r="AI275" s="107" t="e">
        <f>INDEX(Tab_Def_Flows[[Flow_ID]:[CC_DM_source]],MATCH(Tab_Data_Flows[[#This Row],[Name(EN)]],Tab_Def_Flows[Name(EN)],0),20)</f>
        <v>#N/A</v>
      </c>
      <c r="AJ275" s="108" t="str">
        <f>IF(L275="Yes",AI275*Tab_Data_Flows[[#This Row],[Flow_Py]]*Tab_Data_Flows[[#This Row],[DM_'[%']]],"N.A.")</f>
        <v>N.A.</v>
      </c>
      <c r="AK275" s="61">
        <f>Tab_Data_Flows[[#This Row],[UoM_Flow_Py]]</f>
        <v>0</v>
      </c>
    </row>
    <row r="276" spans="1:37" x14ac:dyDescent="0.25">
      <c r="A276" s="60">
        <f t="shared" si="8"/>
        <v>275</v>
      </c>
      <c r="B276" s="49" t="str">
        <f>_xlfn.XLOOKUP(C276,Tab_Def_Flows[Name(EN)],Tab_Def_Flows[Flow_ID],,0,)</f>
        <v>F_12_12</v>
      </c>
      <c r="C276" s="51"/>
      <c r="D276" s="49">
        <f>_xlfn.XLOOKUP(C276,Tab_Def_Flows[Name(EN)],Tab_Def_Flows[Type_Biomass],,0,)</f>
        <v>0</v>
      </c>
      <c r="E276" s="49">
        <f>_xlfn.XLOOKUP(C276,Tab_Def_Flows[Name(EN)],Tab_Def_Flows[Output_Process],,0,)</f>
        <v>0</v>
      </c>
      <c r="F276" s="49" t="str">
        <f>_xlfn.XLOOKUP(C276,Tab_Def_Flows[Name(EN)],Tab_Def_Flows[Process_ID_O],,0,)</f>
        <v>12__</v>
      </c>
      <c r="G276" s="49">
        <f>_xlfn.XLOOKUP(C276,Tab_Def_Flows[Name(EN)],Tab_Def_Flows[Input_Process],,0,)</f>
        <v>0</v>
      </c>
      <c r="H276" s="61" t="str">
        <f>_xlfn.XLOOKUP(C276,Tab_Def_Flows[Name(EN)],Tab_Def_Flows[Process_ID_I],,0,)</f>
        <v>12__</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c r="AC276" s="107" t="e">
        <f>INDEX(Tab_Def_Flows[[Flow_ID]:[CC_DM_source]],MATCH(Tab_Data_Flows[[#This Row],[Name(EN)]],Tab_Def_Flows[Name(EN)],0),16)</f>
        <v>#N/A</v>
      </c>
      <c r="AD276" s="108" t="str">
        <f>IF(J276="Yes",AA276*Tab_Data_Flows[[#This Row],[WC_'[%']]],"N.A.")</f>
        <v>N.A.</v>
      </c>
      <c r="AE276" s="61">
        <f>Tab_Data_Flows[[#This Row],[UoM_Flow_Py]]</f>
        <v>0</v>
      </c>
      <c r="AF276" s="107" t="e">
        <f>INDEX(Tab_Def_Flows[[Flow_ID]:[CC_DM_source]],MATCH(Tab_Data_Flows[[#This Row],[Name(EN)]],Tab_Def_Flows[Name(EN)],0),18)</f>
        <v>#N/A</v>
      </c>
      <c r="AG276" s="108" t="str">
        <f>IF(K276="Yes",AF276*Tab_Data_Flows[[#This Row],[Flow_Py]],"N.A.")</f>
        <v>N.A.</v>
      </c>
      <c r="AH276" s="61">
        <f>Tab_Data_Flows[[#This Row],[UoM_Flow_Py]]</f>
        <v>0</v>
      </c>
      <c r="AI276" s="107" t="e">
        <f>INDEX(Tab_Def_Flows[[Flow_ID]:[CC_DM_source]],MATCH(Tab_Data_Flows[[#This Row],[Name(EN)]],Tab_Def_Flows[Name(EN)],0),20)</f>
        <v>#N/A</v>
      </c>
      <c r="AJ276" s="108" t="str">
        <f>IF(L276="Yes",AI276*Tab_Data_Flows[[#This Row],[Flow_Py]]*Tab_Data_Flows[[#This Row],[DM_'[%']]],"N.A.")</f>
        <v>N.A.</v>
      </c>
      <c r="AK276" s="61">
        <f>Tab_Data_Flows[[#This Row],[UoM_Flow_Py]]</f>
        <v>0</v>
      </c>
    </row>
    <row r="277" spans="1:37" x14ac:dyDescent="0.25">
      <c r="A277" s="60">
        <f t="shared" si="8"/>
        <v>276</v>
      </c>
      <c r="B277" s="49" t="str">
        <f>_xlfn.XLOOKUP(C277,Tab_Def_Flows[Name(EN)],Tab_Def_Flows[Flow_ID],,0,)</f>
        <v>F_12_12</v>
      </c>
      <c r="C277" s="51"/>
      <c r="D277" s="49">
        <f>_xlfn.XLOOKUP(C277,Tab_Def_Flows[Name(EN)],Tab_Def_Flows[Type_Biomass],,0,)</f>
        <v>0</v>
      </c>
      <c r="E277" s="49">
        <f>_xlfn.XLOOKUP(C277,Tab_Def_Flows[Name(EN)],Tab_Def_Flows[Output_Process],,0,)</f>
        <v>0</v>
      </c>
      <c r="F277" s="49" t="str">
        <f>_xlfn.XLOOKUP(C277,Tab_Def_Flows[Name(EN)],Tab_Def_Flows[Process_ID_O],,0,)</f>
        <v>12__</v>
      </c>
      <c r="G277" s="49">
        <f>_xlfn.XLOOKUP(C277,Tab_Def_Flows[Name(EN)],Tab_Def_Flows[Input_Process],,0,)</f>
        <v>0</v>
      </c>
      <c r="H277" s="61" t="str">
        <f>_xlfn.XLOOKUP(C277,Tab_Def_Flows[Name(EN)],Tab_Def_Flows[Process_ID_I],,0,)</f>
        <v>12__</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c r="AC277" s="107" t="e">
        <f>INDEX(Tab_Def_Flows[[Flow_ID]:[CC_DM_source]],MATCH(Tab_Data_Flows[[#This Row],[Name(EN)]],Tab_Def_Flows[Name(EN)],0),16)</f>
        <v>#N/A</v>
      </c>
      <c r="AD277" s="108" t="str">
        <f>IF(J277="Yes",AA277*Tab_Data_Flows[[#This Row],[WC_'[%']]],"N.A.")</f>
        <v>N.A.</v>
      </c>
      <c r="AE277" s="61">
        <f>Tab_Data_Flows[[#This Row],[UoM_Flow_Py]]</f>
        <v>0</v>
      </c>
      <c r="AF277" s="107" t="e">
        <f>INDEX(Tab_Def_Flows[[Flow_ID]:[CC_DM_source]],MATCH(Tab_Data_Flows[[#This Row],[Name(EN)]],Tab_Def_Flows[Name(EN)],0),18)</f>
        <v>#N/A</v>
      </c>
      <c r="AG277" s="108" t="str">
        <f>IF(K277="Yes",AF277*Tab_Data_Flows[[#This Row],[Flow_Py]],"N.A.")</f>
        <v>N.A.</v>
      </c>
      <c r="AH277" s="61">
        <f>Tab_Data_Flows[[#This Row],[UoM_Flow_Py]]</f>
        <v>0</v>
      </c>
      <c r="AI277" s="107" t="e">
        <f>INDEX(Tab_Def_Flows[[Flow_ID]:[CC_DM_source]],MATCH(Tab_Data_Flows[[#This Row],[Name(EN)]],Tab_Def_Flows[Name(EN)],0),20)</f>
        <v>#N/A</v>
      </c>
      <c r="AJ277" s="108" t="str">
        <f>IF(L277="Yes",AI277*Tab_Data_Flows[[#This Row],[Flow_Py]]*Tab_Data_Flows[[#This Row],[DM_'[%']]],"N.A.")</f>
        <v>N.A.</v>
      </c>
      <c r="AK277" s="61">
        <f>Tab_Data_Flows[[#This Row],[UoM_Flow_Py]]</f>
        <v>0</v>
      </c>
    </row>
    <row r="278" spans="1:37" x14ac:dyDescent="0.25">
      <c r="A278" s="60">
        <f t="shared" si="8"/>
        <v>277</v>
      </c>
      <c r="B278" s="49" t="str">
        <f>_xlfn.XLOOKUP(C278,Tab_Def_Flows[Name(EN)],Tab_Def_Flows[Flow_ID],,0,)</f>
        <v>F_12_12</v>
      </c>
      <c r="C278" s="51"/>
      <c r="D278" s="49">
        <f>_xlfn.XLOOKUP(C278,Tab_Def_Flows[Name(EN)],Tab_Def_Flows[Type_Biomass],,0,)</f>
        <v>0</v>
      </c>
      <c r="E278" s="49">
        <f>_xlfn.XLOOKUP(C278,Tab_Def_Flows[Name(EN)],Tab_Def_Flows[Output_Process],,0,)</f>
        <v>0</v>
      </c>
      <c r="F278" s="49" t="str">
        <f>_xlfn.XLOOKUP(C278,Tab_Def_Flows[Name(EN)],Tab_Def_Flows[Process_ID_O],,0,)</f>
        <v>12__</v>
      </c>
      <c r="G278" s="49">
        <f>_xlfn.XLOOKUP(C278,Tab_Def_Flows[Name(EN)],Tab_Def_Flows[Input_Process],,0,)</f>
        <v>0</v>
      </c>
      <c r="H278" s="61" t="str">
        <f>_xlfn.XLOOKUP(C278,Tab_Def_Flows[Name(EN)],Tab_Def_Flows[Process_ID_I],,0,)</f>
        <v>12__</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c r="AC278" s="107" t="e">
        <f>INDEX(Tab_Def_Flows[[Flow_ID]:[CC_DM_source]],MATCH(Tab_Data_Flows[[#This Row],[Name(EN)]],Tab_Def_Flows[Name(EN)],0),16)</f>
        <v>#N/A</v>
      </c>
      <c r="AD278" s="108" t="str">
        <f>IF(J278="Yes",AA278*Tab_Data_Flows[[#This Row],[WC_'[%']]],"N.A.")</f>
        <v>N.A.</v>
      </c>
      <c r="AE278" s="61">
        <f>Tab_Data_Flows[[#This Row],[UoM_Flow_Py]]</f>
        <v>0</v>
      </c>
      <c r="AF278" s="107" t="e">
        <f>INDEX(Tab_Def_Flows[[Flow_ID]:[CC_DM_source]],MATCH(Tab_Data_Flows[[#This Row],[Name(EN)]],Tab_Def_Flows[Name(EN)],0),18)</f>
        <v>#N/A</v>
      </c>
      <c r="AG278" s="108" t="str">
        <f>IF(K278="Yes",AF278*Tab_Data_Flows[[#This Row],[Flow_Py]],"N.A.")</f>
        <v>N.A.</v>
      </c>
      <c r="AH278" s="61">
        <f>Tab_Data_Flows[[#This Row],[UoM_Flow_Py]]</f>
        <v>0</v>
      </c>
      <c r="AI278" s="107" t="e">
        <f>INDEX(Tab_Def_Flows[[Flow_ID]:[CC_DM_source]],MATCH(Tab_Data_Flows[[#This Row],[Name(EN)]],Tab_Def_Flows[Name(EN)],0),20)</f>
        <v>#N/A</v>
      </c>
      <c r="AJ278" s="108" t="str">
        <f>IF(L278="Yes",AI278*Tab_Data_Flows[[#This Row],[Flow_Py]]*Tab_Data_Flows[[#This Row],[DM_'[%']]],"N.A.")</f>
        <v>N.A.</v>
      </c>
      <c r="AK278" s="61">
        <f>Tab_Data_Flows[[#This Row],[UoM_Flow_Py]]</f>
        <v>0</v>
      </c>
    </row>
    <row r="279" spans="1:37" x14ac:dyDescent="0.25">
      <c r="A279" s="60">
        <f t="shared" si="8"/>
        <v>278</v>
      </c>
      <c r="B279" s="49" t="str">
        <f>_xlfn.XLOOKUP(C279,Tab_Def_Flows[Name(EN)],Tab_Def_Flows[Flow_ID],,0,)</f>
        <v>F_12_12</v>
      </c>
      <c r="C279" s="51"/>
      <c r="D279" s="49">
        <f>_xlfn.XLOOKUP(C279,Tab_Def_Flows[Name(EN)],Tab_Def_Flows[Type_Biomass],,0,)</f>
        <v>0</v>
      </c>
      <c r="E279" s="49">
        <f>_xlfn.XLOOKUP(C279,Tab_Def_Flows[Name(EN)],Tab_Def_Flows[Output_Process],,0,)</f>
        <v>0</v>
      </c>
      <c r="F279" s="49" t="str">
        <f>_xlfn.XLOOKUP(C279,Tab_Def_Flows[Name(EN)],Tab_Def_Flows[Process_ID_O],,0,)</f>
        <v>12__</v>
      </c>
      <c r="G279" s="49">
        <f>_xlfn.XLOOKUP(C279,Tab_Def_Flows[Name(EN)],Tab_Def_Flows[Input_Process],,0,)</f>
        <v>0</v>
      </c>
      <c r="H279" s="61" t="str">
        <f>_xlfn.XLOOKUP(C279,Tab_Def_Flows[Name(EN)],Tab_Def_Flows[Process_ID_I],,0,)</f>
        <v>12__</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c r="AC279" s="107" t="e">
        <f>INDEX(Tab_Def_Flows[[Flow_ID]:[CC_DM_source]],MATCH(Tab_Data_Flows[[#This Row],[Name(EN)]],Tab_Def_Flows[Name(EN)],0),16)</f>
        <v>#N/A</v>
      </c>
      <c r="AD279" s="108" t="str">
        <f>IF(J279="Yes",AA279*Tab_Data_Flows[[#This Row],[WC_'[%']]],"N.A.")</f>
        <v>N.A.</v>
      </c>
      <c r="AE279" s="61">
        <f>Tab_Data_Flows[[#This Row],[UoM_Flow_Py]]</f>
        <v>0</v>
      </c>
      <c r="AF279" s="107" t="e">
        <f>INDEX(Tab_Def_Flows[[Flow_ID]:[CC_DM_source]],MATCH(Tab_Data_Flows[[#This Row],[Name(EN)]],Tab_Def_Flows[Name(EN)],0),18)</f>
        <v>#N/A</v>
      </c>
      <c r="AG279" s="108" t="str">
        <f>IF(K279="Yes",AF279*Tab_Data_Flows[[#This Row],[Flow_Py]],"N.A.")</f>
        <v>N.A.</v>
      </c>
      <c r="AH279" s="61">
        <f>Tab_Data_Flows[[#This Row],[UoM_Flow_Py]]</f>
        <v>0</v>
      </c>
      <c r="AI279" s="107" t="e">
        <f>INDEX(Tab_Def_Flows[[Flow_ID]:[CC_DM_source]],MATCH(Tab_Data_Flows[[#This Row],[Name(EN)]],Tab_Def_Flows[Name(EN)],0),20)</f>
        <v>#N/A</v>
      </c>
      <c r="AJ279" s="108" t="str">
        <f>IF(L279="Yes",AI279*Tab_Data_Flows[[#This Row],[Flow_Py]]*Tab_Data_Flows[[#This Row],[DM_'[%']]],"N.A.")</f>
        <v>N.A.</v>
      </c>
      <c r="AK279" s="61">
        <f>Tab_Data_Flows[[#This Row],[UoM_Flow_Py]]</f>
        <v>0</v>
      </c>
    </row>
    <row r="280" spans="1:37" x14ac:dyDescent="0.25">
      <c r="A280" s="60">
        <f t="shared" si="8"/>
        <v>279</v>
      </c>
      <c r="B280" s="49" t="str">
        <f>_xlfn.XLOOKUP(C280,Tab_Def_Flows[Name(EN)],Tab_Def_Flows[Flow_ID],,0,)</f>
        <v>F_12_12</v>
      </c>
      <c r="C280" s="51"/>
      <c r="D280" s="49">
        <f>_xlfn.XLOOKUP(C280,Tab_Def_Flows[Name(EN)],Tab_Def_Flows[Type_Biomass],,0,)</f>
        <v>0</v>
      </c>
      <c r="E280" s="49">
        <f>_xlfn.XLOOKUP(C280,Tab_Def_Flows[Name(EN)],Tab_Def_Flows[Output_Process],,0,)</f>
        <v>0</v>
      </c>
      <c r="F280" s="49" t="str">
        <f>_xlfn.XLOOKUP(C280,Tab_Def_Flows[Name(EN)],Tab_Def_Flows[Process_ID_O],,0,)</f>
        <v>12__</v>
      </c>
      <c r="G280" s="49">
        <f>_xlfn.XLOOKUP(C280,Tab_Def_Flows[Name(EN)],Tab_Def_Flows[Input_Process],,0,)</f>
        <v>0</v>
      </c>
      <c r="H280" s="61" t="str">
        <f>_xlfn.XLOOKUP(C280,Tab_Def_Flows[Name(EN)],Tab_Def_Flows[Process_ID_I],,0,)</f>
        <v>12__</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c r="AC280" s="107" t="e">
        <f>INDEX(Tab_Def_Flows[[Flow_ID]:[CC_DM_source]],MATCH(Tab_Data_Flows[[#This Row],[Name(EN)]],Tab_Def_Flows[Name(EN)],0),16)</f>
        <v>#N/A</v>
      </c>
      <c r="AD280" s="108" t="str">
        <f>IF(J280="Yes",AA280*Tab_Data_Flows[[#This Row],[WC_'[%']]],"N.A.")</f>
        <v>N.A.</v>
      </c>
      <c r="AE280" s="61">
        <f>Tab_Data_Flows[[#This Row],[UoM_Flow_Py]]</f>
        <v>0</v>
      </c>
      <c r="AF280" s="107" t="e">
        <f>INDEX(Tab_Def_Flows[[Flow_ID]:[CC_DM_source]],MATCH(Tab_Data_Flows[[#This Row],[Name(EN)]],Tab_Def_Flows[Name(EN)],0),18)</f>
        <v>#N/A</v>
      </c>
      <c r="AG280" s="108" t="str">
        <f>IF(K280="Yes",AF280*Tab_Data_Flows[[#This Row],[Flow_Py]],"N.A.")</f>
        <v>N.A.</v>
      </c>
      <c r="AH280" s="61">
        <f>Tab_Data_Flows[[#This Row],[UoM_Flow_Py]]</f>
        <v>0</v>
      </c>
      <c r="AI280" s="107" t="e">
        <f>INDEX(Tab_Def_Flows[[Flow_ID]:[CC_DM_source]],MATCH(Tab_Data_Flows[[#This Row],[Name(EN)]],Tab_Def_Flows[Name(EN)],0),20)</f>
        <v>#N/A</v>
      </c>
      <c r="AJ280" s="108" t="str">
        <f>IF(L280="Yes",AI280*Tab_Data_Flows[[#This Row],[Flow_Py]]*Tab_Data_Flows[[#This Row],[DM_'[%']]],"N.A.")</f>
        <v>N.A.</v>
      </c>
      <c r="AK280" s="61">
        <f>Tab_Data_Flows[[#This Row],[UoM_Flow_Py]]</f>
        <v>0</v>
      </c>
    </row>
    <row r="281" spans="1:37" x14ac:dyDescent="0.25">
      <c r="A281" s="60">
        <f t="shared" si="8"/>
        <v>280</v>
      </c>
      <c r="B281" s="49" t="str">
        <f>_xlfn.XLOOKUP(C281,Tab_Def_Flows[Name(EN)],Tab_Def_Flows[Flow_ID],,0,)</f>
        <v>F_12_12</v>
      </c>
      <c r="C281" s="51"/>
      <c r="D281" s="49">
        <f>_xlfn.XLOOKUP(C281,Tab_Def_Flows[Name(EN)],Tab_Def_Flows[Type_Biomass],,0,)</f>
        <v>0</v>
      </c>
      <c r="E281" s="49">
        <f>_xlfn.XLOOKUP(C281,Tab_Def_Flows[Name(EN)],Tab_Def_Flows[Output_Process],,0,)</f>
        <v>0</v>
      </c>
      <c r="F281" s="49" t="str">
        <f>_xlfn.XLOOKUP(C281,Tab_Def_Flows[Name(EN)],Tab_Def_Flows[Process_ID_O],,0,)</f>
        <v>12__</v>
      </c>
      <c r="G281" s="49">
        <f>_xlfn.XLOOKUP(C281,Tab_Def_Flows[Name(EN)],Tab_Def_Flows[Input_Process],,0,)</f>
        <v>0</v>
      </c>
      <c r="H281" s="61" t="str">
        <f>_xlfn.XLOOKUP(C281,Tab_Def_Flows[Name(EN)],Tab_Def_Flows[Process_ID_I],,0,)</f>
        <v>12__</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c r="AC281" s="107" t="e">
        <f>INDEX(Tab_Def_Flows[[Flow_ID]:[CC_DM_source]],MATCH(Tab_Data_Flows[[#This Row],[Name(EN)]],Tab_Def_Flows[Name(EN)],0),16)</f>
        <v>#N/A</v>
      </c>
      <c r="AD281" s="108" t="str">
        <f>IF(J281="Yes",AA281*Tab_Data_Flows[[#This Row],[WC_'[%']]],"N.A.")</f>
        <v>N.A.</v>
      </c>
      <c r="AE281" s="61">
        <f>Tab_Data_Flows[[#This Row],[UoM_Flow_Py]]</f>
        <v>0</v>
      </c>
      <c r="AF281" s="107" t="e">
        <f>INDEX(Tab_Def_Flows[[Flow_ID]:[CC_DM_source]],MATCH(Tab_Data_Flows[[#This Row],[Name(EN)]],Tab_Def_Flows[Name(EN)],0),18)</f>
        <v>#N/A</v>
      </c>
      <c r="AG281" s="108" t="str">
        <f>IF(K281="Yes",AF281*Tab_Data_Flows[[#This Row],[Flow_Py]],"N.A.")</f>
        <v>N.A.</v>
      </c>
      <c r="AH281" s="61">
        <f>Tab_Data_Flows[[#This Row],[UoM_Flow_Py]]</f>
        <v>0</v>
      </c>
      <c r="AI281" s="107" t="e">
        <f>INDEX(Tab_Def_Flows[[Flow_ID]:[CC_DM_source]],MATCH(Tab_Data_Flows[[#This Row],[Name(EN)]],Tab_Def_Flows[Name(EN)],0),20)</f>
        <v>#N/A</v>
      </c>
      <c r="AJ281" s="108" t="str">
        <f>IF(L281="Yes",AI281*Tab_Data_Flows[[#This Row],[Flow_Py]]*Tab_Data_Flows[[#This Row],[DM_'[%']]],"N.A.")</f>
        <v>N.A.</v>
      </c>
      <c r="AK281" s="61">
        <f>Tab_Data_Flows[[#This Row],[UoM_Flow_Py]]</f>
        <v>0</v>
      </c>
    </row>
    <row r="282" spans="1:37" x14ac:dyDescent="0.25">
      <c r="A282" s="60">
        <f t="shared" si="8"/>
        <v>281</v>
      </c>
      <c r="B282" s="49" t="str">
        <f>_xlfn.XLOOKUP(C282,Tab_Def_Flows[Name(EN)],Tab_Def_Flows[Flow_ID],,0,)</f>
        <v>F_12_12</v>
      </c>
      <c r="C282" s="51"/>
      <c r="D282" s="49">
        <f>_xlfn.XLOOKUP(C282,Tab_Def_Flows[Name(EN)],Tab_Def_Flows[Type_Biomass],,0,)</f>
        <v>0</v>
      </c>
      <c r="E282" s="49">
        <f>_xlfn.XLOOKUP(C282,Tab_Def_Flows[Name(EN)],Tab_Def_Flows[Output_Process],,0,)</f>
        <v>0</v>
      </c>
      <c r="F282" s="49" t="str">
        <f>_xlfn.XLOOKUP(C282,Tab_Def_Flows[Name(EN)],Tab_Def_Flows[Process_ID_O],,0,)</f>
        <v>12__</v>
      </c>
      <c r="G282" s="49">
        <f>_xlfn.XLOOKUP(C282,Tab_Def_Flows[Name(EN)],Tab_Def_Flows[Input_Process],,0,)</f>
        <v>0</v>
      </c>
      <c r="H282" s="61" t="str">
        <f>_xlfn.XLOOKUP(C282,Tab_Def_Flows[Name(EN)],Tab_Def_Flows[Process_ID_I],,0,)</f>
        <v>12__</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c r="AC282" s="107" t="e">
        <f>INDEX(Tab_Def_Flows[[Flow_ID]:[CC_DM_source]],MATCH(Tab_Data_Flows[[#This Row],[Name(EN)]],Tab_Def_Flows[Name(EN)],0),16)</f>
        <v>#N/A</v>
      </c>
      <c r="AD282" s="108" t="str">
        <f>IF(J282="Yes",AA282*Tab_Data_Flows[[#This Row],[WC_'[%']]],"N.A.")</f>
        <v>N.A.</v>
      </c>
      <c r="AE282" s="61">
        <f>Tab_Data_Flows[[#This Row],[UoM_Flow_Py]]</f>
        <v>0</v>
      </c>
      <c r="AF282" s="107" t="e">
        <f>INDEX(Tab_Def_Flows[[Flow_ID]:[CC_DM_source]],MATCH(Tab_Data_Flows[[#This Row],[Name(EN)]],Tab_Def_Flows[Name(EN)],0),18)</f>
        <v>#N/A</v>
      </c>
      <c r="AG282" s="108" t="str">
        <f>IF(K282="Yes",AF282*Tab_Data_Flows[[#This Row],[Flow_Py]],"N.A.")</f>
        <v>N.A.</v>
      </c>
      <c r="AH282" s="61">
        <f>Tab_Data_Flows[[#This Row],[UoM_Flow_Py]]</f>
        <v>0</v>
      </c>
      <c r="AI282" s="107" t="e">
        <f>INDEX(Tab_Def_Flows[[Flow_ID]:[CC_DM_source]],MATCH(Tab_Data_Flows[[#This Row],[Name(EN)]],Tab_Def_Flows[Name(EN)],0),20)</f>
        <v>#N/A</v>
      </c>
      <c r="AJ282" s="108" t="str">
        <f>IF(L282="Yes",AI282*Tab_Data_Flows[[#This Row],[Flow_Py]]*Tab_Data_Flows[[#This Row],[DM_'[%']]],"N.A.")</f>
        <v>N.A.</v>
      </c>
      <c r="AK282" s="61">
        <f>Tab_Data_Flows[[#This Row],[UoM_Flow_Py]]</f>
        <v>0</v>
      </c>
    </row>
    <row r="283" spans="1:37" x14ac:dyDescent="0.25">
      <c r="A283" s="60">
        <f t="shared" si="8"/>
        <v>282</v>
      </c>
      <c r="B283" s="49" t="str">
        <f>_xlfn.XLOOKUP(C283,Tab_Def_Flows[Name(EN)],Tab_Def_Flows[Flow_ID],,0,)</f>
        <v>F_12_12</v>
      </c>
      <c r="C283" s="51"/>
      <c r="D283" s="49">
        <f>_xlfn.XLOOKUP(C283,Tab_Def_Flows[Name(EN)],Tab_Def_Flows[Type_Biomass],,0,)</f>
        <v>0</v>
      </c>
      <c r="E283" s="49">
        <f>_xlfn.XLOOKUP(C283,Tab_Def_Flows[Name(EN)],Tab_Def_Flows[Output_Process],,0,)</f>
        <v>0</v>
      </c>
      <c r="F283" s="49" t="str">
        <f>_xlfn.XLOOKUP(C283,Tab_Def_Flows[Name(EN)],Tab_Def_Flows[Process_ID_O],,0,)</f>
        <v>12__</v>
      </c>
      <c r="G283" s="49">
        <f>_xlfn.XLOOKUP(C283,Tab_Def_Flows[Name(EN)],Tab_Def_Flows[Input_Process],,0,)</f>
        <v>0</v>
      </c>
      <c r="H283" s="61" t="str">
        <f>_xlfn.XLOOKUP(C283,Tab_Def_Flows[Name(EN)],Tab_Def_Flows[Process_ID_I],,0,)</f>
        <v>12__</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c r="AC283" s="107" t="e">
        <f>INDEX(Tab_Def_Flows[[Flow_ID]:[CC_DM_source]],MATCH(Tab_Data_Flows[[#This Row],[Name(EN)]],Tab_Def_Flows[Name(EN)],0),16)</f>
        <v>#N/A</v>
      </c>
      <c r="AD283" s="108" t="str">
        <f>IF(J283="Yes",AA283*Tab_Data_Flows[[#This Row],[WC_'[%']]],"N.A.")</f>
        <v>N.A.</v>
      </c>
      <c r="AE283" s="61">
        <f>Tab_Data_Flows[[#This Row],[UoM_Flow_Py]]</f>
        <v>0</v>
      </c>
      <c r="AF283" s="107" t="e">
        <f>INDEX(Tab_Def_Flows[[Flow_ID]:[CC_DM_source]],MATCH(Tab_Data_Flows[[#This Row],[Name(EN)]],Tab_Def_Flows[Name(EN)],0),18)</f>
        <v>#N/A</v>
      </c>
      <c r="AG283" s="108" t="str">
        <f>IF(K283="Yes",AF283*Tab_Data_Flows[[#This Row],[Flow_Py]],"N.A.")</f>
        <v>N.A.</v>
      </c>
      <c r="AH283" s="61">
        <f>Tab_Data_Flows[[#This Row],[UoM_Flow_Py]]</f>
        <v>0</v>
      </c>
      <c r="AI283" s="107" t="e">
        <f>INDEX(Tab_Def_Flows[[Flow_ID]:[CC_DM_source]],MATCH(Tab_Data_Flows[[#This Row],[Name(EN)]],Tab_Def_Flows[Name(EN)],0),20)</f>
        <v>#N/A</v>
      </c>
      <c r="AJ283" s="108" t="str">
        <f>IF(L283="Yes",AI283*Tab_Data_Flows[[#This Row],[Flow_Py]]*Tab_Data_Flows[[#This Row],[DM_'[%']]],"N.A.")</f>
        <v>N.A.</v>
      </c>
      <c r="AK283" s="61">
        <f>Tab_Data_Flows[[#This Row],[UoM_Flow_Py]]</f>
        <v>0</v>
      </c>
    </row>
    <row r="284" spans="1:37" x14ac:dyDescent="0.25">
      <c r="A284" s="60">
        <f t="shared" si="8"/>
        <v>283</v>
      </c>
      <c r="B284" s="49" t="str">
        <f>_xlfn.XLOOKUP(C284,Tab_Def_Flows[Name(EN)],Tab_Def_Flows[Flow_ID],,0,)</f>
        <v>F_12_12</v>
      </c>
      <c r="C284" s="51"/>
      <c r="D284" s="49">
        <f>_xlfn.XLOOKUP(C284,Tab_Def_Flows[Name(EN)],Tab_Def_Flows[Type_Biomass],,0,)</f>
        <v>0</v>
      </c>
      <c r="E284" s="49">
        <f>_xlfn.XLOOKUP(C284,Tab_Def_Flows[Name(EN)],Tab_Def_Flows[Output_Process],,0,)</f>
        <v>0</v>
      </c>
      <c r="F284" s="49" t="str">
        <f>_xlfn.XLOOKUP(C284,Tab_Def_Flows[Name(EN)],Tab_Def_Flows[Process_ID_O],,0,)</f>
        <v>12__</v>
      </c>
      <c r="G284" s="49">
        <f>_xlfn.XLOOKUP(C284,Tab_Def_Flows[Name(EN)],Tab_Def_Flows[Input_Process],,0,)</f>
        <v>0</v>
      </c>
      <c r="H284" s="61" t="str">
        <f>_xlfn.XLOOKUP(C284,Tab_Def_Flows[Name(EN)],Tab_Def_Flows[Process_ID_I],,0,)</f>
        <v>12__</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c r="AC284" s="107" t="e">
        <f>INDEX(Tab_Def_Flows[[Flow_ID]:[CC_DM_source]],MATCH(Tab_Data_Flows[[#This Row],[Name(EN)]],Tab_Def_Flows[Name(EN)],0),16)</f>
        <v>#N/A</v>
      </c>
      <c r="AD284" s="108" t="str">
        <f>IF(J284="Yes",AA284*Tab_Data_Flows[[#This Row],[WC_'[%']]],"N.A.")</f>
        <v>N.A.</v>
      </c>
      <c r="AE284" s="61">
        <f>Tab_Data_Flows[[#This Row],[UoM_Flow_Py]]</f>
        <v>0</v>
      </c>
      <c r="AF284" s="107" t="e">
        <f>INDEX(Tab_Def_Flows[[Flow_ID]:[CC_DM_source]],MATCH(Tab_Data_Flows[[#This Row],[Name(EN)]],Tab_Def_Flows[Name(EN)],0),18)</f>
        <v>#N/A</v>
      </c>
      <c r="AG284" s="108" t="str">
        <f>IF(K284="Yes",AF284*Tab_Data_Flows[[#This Row],[Flow_Py]],"N.A.")</f>
        <v>N.A.</v>
      </c>
      <c r="AH284" s="61">
        <f>Tab_Data_Flows[[#This Row],[UoM_Flow_Py]]</f>
        <v>0</v>
      </c>
      <c r="AI284" s="107" t="e">
        <f>INDEX(Tab_Def_Flows[[Flow_ID]:[CC_DM_source]],MATCH(Tab_Data_Flows[[#This Row],[Name(EN)]],Tab_Def_Flows[Name(EN)],0),20)</f>
        <v>#N/A</v>
      </c>
      <c r="AJ284" s="108" t="str">
        <f>IF(L284="Yes",AI284*Tab_Data_Flows[[#This Row],[Flow_Py]]*Tab_Data_Flows[[#This Row],[DM_'[%']]],"N.A.")</f>
        <v>N.A.</v>
      </c>
      <c r="AK284" s="61">
        <f>Tab_Data_Flows[[#This Row],[UoM_Flow_Py]]</f>
        <v>0</v>
      </c>
    </row>
    <row r="285" spans="1:37" x14ac:dyDescent="0.25">
      <c r="A285" s="60">
        <f t="shared" si="8"/>
        <v>284</v>
      </c>
      <c r="B285" s="49" t="str">
        <f>_xlfn.XLOOKUP(C285,Tab_Def_Flows[Name(EN)],Tab_Def_Flows[Flow_ID],,0,)</f>
        <v>F_12_12</v>
      </c>
      <c r="C285" s="51"/>
      <c r="D285" s="49">
        <f>_xlfn.XLOOKUP(C285,Tab_Def_Flows[Name(EN)],Tab_Def_Flows[Type_Biomass],,0,)</f>
        <v>0</v>
      </c>
      <c r="E285" s="49">
        <f>_xlfn.XLOOKUP(C285,Tab_Def_Flows[Name(EN)],Tab_Def_Flows[Output_Process],,0,)</f>
        <v>0</v>
      </c>
      <c r="F285" s="49" t="str">
        <f>_xlfn.XLOOKUP(C285,Tab_Def_Flows[Name(EN)],Tab_Def_Flows[Process_ID_O],,0,)</f>
        <v>12__</v>
      </c>
      <c r="G285" s="49">
        <f>_xlfn.XLOOKUP(C285,Tab_Def_Flows[Name(EN)],Tab_Def_Flows[Input_Process],,0,)</f>
        <v>0</v>
      </c>
      <c r="H285" s="61" t="str">
        <f>_xlfn.XLOOKUP(C285,Tab_Def_Flows[Name(EN)],Tab_Def_Flows[Process_ID_I],,0,)</f>
        <v>12__</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c r="AC285" s="107" t="e">
        <f>INDEX(Tab_Def_Flows[[Flow_ID]:[CC_DM_source]],MATCH(Tab_Data_Flows[[#This Row],[Name(EN)]],Tab_Def_Flows[Name(EN)],0),16)</f>
        <v>#N/A</v>
      </c>
      <c r="AD285" s="108" t="str">
        <f>IF(J285="Yes",AA285*Tab_Data_Flows[[#This Row],[WC_'[%']]],"N.A.")</f>
        <v>N.A.</v>
      </c>
      <c r="AE285" s="61">
        <f>Tab_Data_Flows[[#This Row],[UoM_Flow_Py]]</f>
        <v>0</v>
      </c>
      <c r="AF285" s="107" t="e">
        <f>INDEX(Tab_Def_Flows[[Flow_ID]:[CC_DM_source]],MATCH(Tab_Data_Flows[[#This Row],[Name(EN)]],Tab_Def_Flows[Name(EN)],0),18)</f>
        <v>#N/A</v>
      </c>
      <c r="AG285" s="108" t="str">
        <f>IF(K285="Yes",AF285*Tab_Data_Flows[[#This Row],[Flow_Py]],"N.A.")</f>
        <v>N.A.</v>
      </c>
      <c r="AH285" s="61">
        <f>Tab_Data_Flows[[#This Row],[UoM_Flow_Py]]</f>
        <v>0</v>
      </c>
      <c r="AI285" s="107" t="e">
        <f>INDEX(Tab_Def_Flows[[Flow_ID]:[CC_DM_source]],MATCH(Tab_Data_Flows[[#This Row],[Name(EN)]],Tab_Def_Flows[Name(EN)],0),20)</f>
        <v>#N/A</v>
      </c>
      <c r="AJ285" s="108" t="str">
        <f>IF(L285="Yes",AI285*Tab_Data_Flows[[#This Row],[Flow_Py]]*Tab_Data_Flows[[#This Row],[DM_'[%']]],"N.A.")</f>
        <v>N.A.</v>
      </c>
      <c r="AK285" s="61">
        <f>Tab_Data_Flows[[#This Row],[UoM_Flow_Py]]</f>
        <v>0</v>
      </c>
    </row>
    <row r="286" spans="1:37" x14ac:dyDescent="0.25">
      <c r="A286" s="60">
        <f t="shared" si="8"/>
        <v>285</v>
      </c>
      <c r="B286" s="49" t="str">
        <f>_xlfn.XLOOKUP(C286,Tab_Def_Flows[Name(EN)],Tab_Def_Flows[Flow_ID],,0,)</f>
        <v>F_12_12</v>
      </c>
      <c r="C286" s="51"/>
      <c r="D286" s="49">
        <f>_xlfn.XLOOKUP(C286,Tab_Def_Flows[Name(EN)],Tab_Def_Flows[Type_Biomass],,0,)</f>
        <v>0</v>
      </c>
      <c r="E286" s="49">
        <f>_xlfn.XLOOKUP(C286,Tab_Def_Flows[Name(EN)],Tab_Def_Flows[Output_Process],,0,)</f>
        <v>0</v>
      </c>
      <c r="F286" s="49" t="str">
        <f>_xlfn.XLOOKUP(C286,Tab_Def_Flows[Name(EN)],Tab_Def_Flows[Process_ID_O],,0,)</f>
        <v>12__</v>
      </c>
      <c r="G286" s="49">
        <f>_xlfn.XLOOKUP(C286,Tab_Def_Flows[Name(EN)],Tab_Def_Flows[Input_Process],,0,)</f>
        <v>0</v>
      </c>
      <c r="H286" s="61" t="str">
        <f>_xlfn.XLOOKUP(C286,Tab_Def_Flows[Name(EN)],Tab_Def_Flows[Process_ID_I],,0,)</f>
        <v>12__</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c r="AC286" s="107" t="e">
        <f>INDEX(Tab_Def_Flows[[Flow_ID]:[CC_DM_source]],MATCH(Tab_Data_Flows[[#This Row],[Name(EN)]],Tab_Def_Flows[Name(EN)],0),16)</f>
        <v>#N/A</v>
      </c>
      <c r="AD286" s="108" t="str">
        <f>IF(J286="Yes",AA286*Tab_Data_Flows[[#This Row],[WC_'[%']]],"N.A.")</f>
        <v>N.A.</v>
      </c>
      <c r="AE286" s="61">
        <f>Tab_Data_Flows[[#This Row],[UoM_Flow_Py]]</f>
        <v>0</v>
      </c>
      <c r="AF286" s="107" t="e">
        <f>INDEX(Tab_Def_Flows[[Flow_ID]:[CC_DM_source]],MATCH(Tab_Data_Flows[[#This Row],[Name(EN)]],Tab_Def_Flows[Name(EN)],0),18)</f>
        <v>#N/A</v>
      </c>
      <c r="AG286" s="108" t="str">
        <f>IF(K286="Yes",AF286*Tab_Data_Flows[[#This Row],[Flow_Py]],"N.A.")</f>
        <v>N.A.</v>
      </c>
      <c r="AH286" s="61">
        <f>Tab_Data_Flows[[#This Row],[UoM_Flow_Py]]</f>
        <v>0</v>
      </c>
      <c r="AI286" s="107" t="e">
        <f>INDEX(Tab_Def_Flows[[Flow_ID]:[CC_DM_source]],MATCH(Tab_Data_Flows[[#This Row],[Name(EN)]],Tab_Def_Flows[Name(EN)],0),20)</f>
        <v>#N/A</v>
      </c>
      <c r="AJ286" s="108" t="str">
        <f>IF(L286="Yes",AI286*Tab_Data_Flows[[#This Row],[Flow_Py]]*Tab_Data_Flows[[#This Row],[DM_'[%']]],"N.A.")</f>
        <v>N.A.</v>
      </c>
      <c r="AK286" s="61">
        <f>Tab_Data_Flows[[#This Row],[UoM_Flow_Py]]</f>
        <v>0</v>
      </c>
    </row>
    <row r="287" spans="1:37" x14ac:dyDescent="0.25">
      <c r="A287" s="60">
        <f t="shared" si="8"/>
        <v>286</v>
      </c>
      <c r="B287" s="49" t="str">
        <f>_xlfn.XLOOKUP(C287,Tab_Def_Flows[Name(EN)],Tab_Def_Flows[Flow_ID],,0,)</f>
        <v>F_12_12</v>
      </c>
      <c r="C287" s="51"/>
      <c r="D287" s="49">
        <f>_xlfn.XLOOKUP(C287,Tab_Def_Flows[Name(EN)],Tab_Def_Flows[Type_Biomass],,0,)</f>
        <v>0</v>
      </c>
      <c r="E287" s="49">
        <f>_xlfn.XLOOKUP(C287,Tab_Def_Flows[Name(EN)],Tab_Def_Flows[Output_Process],,0,)</f>
        <v>0</v>
      </c>
      <c r="F287" s="49" t="str">
        <f>_xlfn.XLOOKUP(C287,Tab_Def_Flows[Name(EN)],Tab_Def_Flows[Process_ID_O],,0,)</f>
        <v>12__</v>
      </c>
      <c r="G287" s="49">
        <f>_xlfn.XLOOKUP(C287,Tab_Def_Flows[Name(EN)],Tab_Def_Flows[Input_Process],,0,)</f>
        <v>0</v>
      </c>
      <c r="H287" s="61" t="str">
        <f>_xlfn.XLOOKUP(C287,Tab_Def_Flows[Name(EN)],Tab_Def_Flows[Process_ID_I],,0,)</f>
        <v>12__</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c r="AC287" s="107" t="e">
        <f>INDEX(Tab_Def_Flows[[Flow_ID]:[CC_DM_source]],MATCH(Tab_Data_Flows[[#This Row],[Name(EN)]],Tab_Def_Flows[Name(EN)],0),16)</f>
        <v>#N/A</v>
      </c>
      <c r="AD287" s="108" t="str">
        <f>IF(J287="Yes",AA287*Tab_Data_Flows[[#This Row],[WC_'[%']]],"N.A.")</f>
        <v>N.A.</v>
      </c>
      <c r="AE287" s="61">
        <f>Tab_Data_Flows[[#This Row],[UoM_Flow_Py]]</f>
        <v>0</v>
      </c>
      <c r="AF287" s="107" t="e">
        <f>INDEX(Tab_Def_Flows[[Flow_ID]:[CC_DM_source]],MATCH(Tab_Data_Flows[[#This Row],[Name(EN)]],Tab_Def_Flows[Name(EN)],0),18)</f>
        <v>#N/A</v>
      </c>
      <c r="AG287" s="108" t="str">
        <f>IF(K287="Yes",AF287*Tab_Data_Flows[[#This Row],[Flow_Py]],"N.A.")</f>
        <v>N.A.</v>
      </c>
      <c r="AH287" s="61">
        <f>Tab_Data_Flows[[#This Row],[UoM_Flow_Py]]</f>
        <v>0</v>
      </c>
      <c r="AI287" s="107" t="e">
        <f>INDEX(Tab_Def_Flows[[Flow_ID]:[CC_DM_source]],MATCH(Tab_Data_Flows[[#This Row],[Name(EN)]],Tab_Def_Flows[Name(EN)],0),20)</f>
        <v>#N/A</v>
      </c>
      <c r="AJ287" s="108" t="str">
        <f>IF(L287="Yes",AI287*Tab_Data_Flows[[#This Row],[Flow_Py]]*Tab_Data_Flows[[#This Row],[DM_'[%']]],"N.A.")</f>
        <v>N.A.</v>
      </c>
      <c r="AK287" s="61">
        <f>Tab_Data_Flows[[#This Row],[UoM_Flow_Py]]</f>
        <v>0</v>
      </c>
    </row>
    <row r="288" spans="1:37" x14ac:dyDescent="0.25">
      <c r="A288" s="60">
        <f t="shared" si="8"/>
        <v>287</v>
      </c>
      <c r="B288" s="49" t="str">
        <f>_xlfn.XLOOKUP(C288,Tab_Def_Flows[Name(EN)],Tab_Def_Flows[Flow_ID],,0,)</f>
        <v>F_12_12</v>
      </c>
      <c r="C288" s="51"/>
      <c r="D288" s="49">
        <f>_xlfn.XLOOKUP(C288,Tab_Def_Flows[Name(EN)],Tab_Def_Flows[Type_Biomass],,0,)</f>
        <v>0</v>
      </c>
      <c r="E288" s="49">
        <f>_xlfn.XLOOKUP(C288,Tab_Def_Flows[Name(EN)],Tab_Def_Flows[Output_Process],,0,)</f>
        <v>0</v>
      </c>
      <c r="F288" s="49" t="str">
        <f>_xlfn.XLOOKUP(C288,Tab_Def_Flows[Name(EN)],Tab_Def_Flows[Process_ID_O],,0,)</f>
        <v>12__</v>
      </c>
      <c r="G288" s="49">
        <f>_xlfn.XLOOKUP(C288,Tab_Def_Flows[Name(EN)],Tab_Def_Flows[Input_Process],,0,)</f>
        <v>0</v>
      </c>
      <c r="H288" s="61" t="str">
        <f>_xlfn.XLOOKUP(C288,Tab_Def_Flows[Name(EN)],Tab_Def_Flows[Process_ID_I],,0,)</f>
        <v>12__</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c r="AC288" s="107" t="e">
        <f>INDEX(Tab_Def_Flows[[Flow_ID]:[CC_DM_source]],MATCH(Tab_Data_Flows[[#This Row],[Name(EN)]],Tab_Def_Flows[Name(EN)],0),16)</f>
        <v>#N/A</v>
      </c>
      <c r="AD288" s="108" t="str">
        <f>IF(J288="Yes",AA288*Tab_Data_Flows[[#This Row],[WC_'[%']]],"N.A.")</f>
        <v>N.A.</v>
      </c>
      <c r="AE288" s="61">
        <f>Tab_Data_Flows[[#This Row],[UoM_Flow_Py]]</f>
        <v>0</v>
      </c>
      <c r="AF288" s="107" t="e">
        <f>INDEX(Tab_Def_Flows[[Flow_ID]:[CC_DM_source]],MATCH(Tab_Data_Flows[[#This Row],[Name(EN)]],Tab_Def_Flows[Name(EN)],0),18)</f>
        <v>#N/A</v>
      </c>
      <c r="AG288" s="108" t="str">
        <f>IF(K288="Yes",AF288*Tab_Data_Flows[[#This Row],[Flow_Py]],"N.A.")</f>
        <v>N.A.</v>
      </c>
      <c r="AH288" s="61">
        <f>Tab_Data_Flows[[#This Row],[UoM_Flow_Py]]</f>
        <v>0</v>
      </c>
      <c r="AI288" s="107" t="e">
        <f>INDEX(Tab_Def_Flows[[Flow_ID]:[CC_DM_source]],MATCH(Tab_Data_Flows[[#This Row],[Name(EN)]],Tab_Def_Flows[Name(EN)],0),20)</f>
        <v>#N/A</v>
      </c>
      <c r="AJ288" s="108" t="str">
        <f>IF(L288="Yes",AI288*Tab_Data_Flows[[#This Row],[Flow_Py]]*Tab_Data_Flows[[#This Row],[DM_'[%']]],"N.A.")</f>
        <v>N.A.</v>
      </c>
      <c r="AK288" s="61">
        <f>Tab_Data_Flows[[#This Row],[UoM_Flow_Py]]</f>
        <v>0</v>
      </c>
    </row>
    <row r="289" spans="1:37" x14ac:dyDescent="0.25">
      <c r="A289" s="60">
        <f t="shared" si="8"/>
        <v>288</v>
      </c>
      <c r="B289" s="49" t="str">
        <f>_xlfn.XLOOKUP(C289,Tab_Def_Flows[Name(EN)],Tab_Def_Flows[Flow_ID],,0,)</f>
        <v>F_12_12</v>
      </c>
      <c r="C289" s="51"/>
      <c r="D289" s="49">
        <f>_xlfn.XLOOKUP(C289,Tab_Def_Flows[Name(EN)],Tab_Def_Flows[Type_Biomass],,0,)</f>
        <v>0</v>
      </c>
      <c r="E289" s="49">
        <f>_xlfn.XLOOKUP(C289,Tab_Def_Flows[Name(EN)],Tab_Def_Flows[Output_Process],,0,)</f>
        <v>0</v>
      </c>
      <c r="F289" s="49" t="str">
        <f>_xlfn.XLOOKUP(C289,Tab_Def_Flows[Name(EN)],Tab_Def_Flows[Process_ID_O],,0,)</f>
        <v>12__</v>
      </c>
      <c r="G289" s="49">
        <f>_xlfn.XLOOKUP(C289,Tab_Def_Flows[Name(EN)],Tab_Def_Flows[Input_Process],,0,)</f>
        <v>0</v>
      </c>
      <c r="H289" s="61" t="str">
        <f>_xlfn.XLOOKUP(C289,Tab_Def_Flows[Name(EN)],Tab_Def_Flows[Process_ID_I],,0,)</f>
        <v>12__</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c r="AC289" s="107" t="e">
        <f>INDEX(Tab_Def_Flows[[Flow_ID]:[CC_DM_source]],MATCH(Tab_Data_Flows[[#This Row],[Name(EN)]],Tab_Def_Flows[Name(EN)],0),16)</f>
        <v>#N/A</v>
      </c>
      <c r="AD289" s="108" t="str">
        <f>IF(J289="Yes",AA289*Tab_Data_Flows[[#This Row],[WC_'[%']]],"N.A.")</f>
        <v>N.A.</v>
      </c>
      <c r="AE289" s="61">
        <f>Tab_Data_Flows[[#This Row],[UoM_Flow_Py]]</f>
        <v>0</v>
      </c>
      <c r="AF289" s="107" t="e">
        <f>INDEX(Tab_Def_Flows[[Flow_ID]:[CC_DM_source]],MATCH(Tab_Data_Flows[[#This Row],[Name(EN)]],Tab_Def_Flows[Name(EN)],0),18)</f>
        <v>#N/A</v>
      </c>
      <c r="AG289" s="108" t="str">
        <f>IF(K289="Yes",AF289*Tab_Data_Flows[[#This Row],[Flow_Py]],"N.A.")</f>
        <v>N.A.</v>
      </c>
      <c r="AH289" s="61">
        <f>Tab_Data_Flows[[#This Row],[UoM_Flow_Py]]</f>
        <v>0</v>
      </c>
      <c r="AI289" s="107" t="e">
        <f>INDEX(Tab_Def_Flows[[Flow_ID]:[CC_DM_source]],MATCH(Tab_Data_Flows[[#This Row],[Name(EN)]],Tab_Def_Flows[Name(EN)],0),20)</f>
        <v>#N/A</v>
      </c>
      <c r="AJ289" s="108" t="str">
        <f>IF(L289="Yes",AI289*Tab_Data_Flows[[#This Row],[Flow_Py]]*Tab_Data_Flows[[#This Row],[DM_'[%']]],"N.A.")</f>
        <v>N.A.</v>
      </c>
      <c r="AK289" s="61">
        <f>Tab_Data_Flows[[#This Row],[UoM_Flow_Py]]</f>
        <v>0</v>
      </c>
    </row>
    <row r="290" spans="1:37" x14ac:dyDescent="0.25">
      <c r="A290" s="60">
        <f t="shared" si="8"/>
        <v>289</v>
      </c>
      <c r="B290" s="49" t="str">
        <f>_xlfn.XLOOKUP(C290,Tab_Def_Flows[Name(EN)],Tab_Def_Flows[Flow_ID],,0,)</f>
        <v>F_12_12</v>
      </c>
      <c r="C290" s="51"/>
      <c r="D290" s="49">
        <f>_xlfn.XLOOKUP(C290,Tab_Def_Flows[Name(EN)],Tab_Def_Flows[Type_Biomass],,0,)</f>
        <v>0</v>
      </c>
      <c r="E290" s="49">
        <f>_xlfn.XLOOKUP(C290,Tab_Def_Flows[Name(EN)],Tab_Def_Flows[Output_Process],,0,)</f>
        <v>0</v>
      </c>
      <c r="F290" s="49" t="str">
        <f>_xlfn.XLOOKUP(C290,Tab_Def_Flows[Name(EN)],Tab_Def_Flows[Process_ID_O],,0,)</f>
        <v>12__</v>
      </c>
      <c r="G290" s="49">
        <f>_xlfn.XLOOKUP(C290,Tab_Def_Flows[Name(EN)],Tab_Def_Flows[Input_Process],,0,)</f>
        <v>0</v>
      </c>
      <c r="H290" s="61" t="str">
        <f>_xlfn.XLOOKUP(C290,Tab_Def_Flows[Name(EN)],Tab_Def_Flows[Process_ID_I],,0,)</f>
        <v>12__</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c r="AC290" s="107" t="e">
        <f>INDEX(Tab_Def_Flows[[Flow_ID]:[CC_DM_source]],MATCH(Tab_Data_Flows[[#This Row],[Name(EN)]],Tab_Def_Flows[Name(EN)],0),16)</f>
        <v>#N/A</v>
      </c>
      <c r="AD290" s="108" t="str">
        <f>IF(J290="Yes",AA290*Tab_Data_Flows[[#This Row],[WC_'[%']]],"N.A.")</f>
        <v>N.A.</v>
      </c>
      <c r="AE290" s="61">
        <f>Tab_Data_Flows[[#This Row],[UoM_Flow_Py]]</f>
        <v>0</v>
      </c>
      <c r="AF290" s="107" t="e">
        <f>INDEX(Tab_Def_Flows[[Flow_ID]:[CC_DM_source]],MATCH(Tab_Data_Flows[[#This Row],[Name(EN)]],Tab_Def_Flows[Name(EN)],0),18)</f>
        <v>#N/A</v>
      </c>
      <c r="AG290" s="108" t="str">
        <f>IF(K290="Yes",AF290*Tab_Data_Flows[[#This Row],[Flow_Py]],"N.A.")</f>
        <v>N.A.</v>
      </c>
      <c r="AH290" s="61">
        <f>Tab_Data_Flows[[#This Row],[UoM_Flow_Py]]</f>
        <v>0</v>
      </c>
      <c r="AI290" s="107" t="e">
        <f>INDEX(Tab_Def_Flows[[Flow_ID]:[CC_DM_source]],MATCH(Tab_Data_Flows[[#This Row],[Name(EN)]],Tab_Def_Flows[Name(EN)],0),20)</f>
        <v>#N/A</v>
      </c>
      <c r="AJ290" s="108" t="str">
        <f>IF(L290="Yes",AI290*Tab_Data_Flows[[#This Row],[Flow_Py]]*Tab_Data_Flows[[#This Row],[DM_'[%']]],"N.A.")</f>
        <v>N.A.</v>
      </c>
      <c r="AK290" s="61">
        <f>Tab_Data_Flows[[#This Row],[UoM_Flow_Py]]</f>
        <v>0</v>
      </c>
    </row>
    <row r="291" spans="1:37" x14ac:dyDescent="0.25">
      <c r="A291" s="60">
        <f t="shared" si="8"/>
        <v>290</v>
      </c>
      <c r="B291" s="49" t="str">
        <f>_xlfn.XLOOKUP(C291,Tab_Def_Flows[Name(EN)],Tab_Def_Flows[Flow_ID],,0,)</f>
        <v>F_12_12</v>
      </c>
      <c r="C291" s="51"/>
      <c r="D291" s="49">
        <f>_xlfn.XLOOKUP(C291,Tab_Def_Flows[Name(EN)],Tab_Def_Flows[Type_Biomass],,0,)</f>
        <v>0</v>
      </c>
      <c r="E291" s="49">
        <f>_xlfn.XLOOKUP(C291,Tab_Def_Flows[Name(EN)],Tab_Def_Flows[Output_Process],,0,)</f>
        <v>0</v>
      </c>
      <c r="F291" s="49" t="str">
        <f>_xlfn.XLOOKUP(C291,Tab_Def_Flows[Name(EN)],Tab_Def_Flows[Process_ID_O],,0,)</f>
        <v>12__</v>
      </c>
      <c r="G291" s="49">
        <f>_xlfn.XLOOKUP(C291,Tab_Def_Flows[Name(EN)],Tab_Def_Flows[Input_Process],,0,)</f>
        <v>0</v>
      </c>
      <c r="H291" s="61" t="str">
        <f>_xlfn.XLOOKUP(C291,Tab_Def_Flows[Name(EN)],Tab_Def_Flows[Process_ID_I],,0,)</f>
        <v>12__</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c r="AC291" s="107" t="e">
        <f>INDEX(Tab_Def_Flows[[Flow_ID]:[CC_DM_source]],MATCH(Tab_Data_Flows[[#This Row],[Name(EN)]],Tab_Def_Flows[Name(EN)],0),16)</f>
        <v>#N/A</v>
      </c>
      <c r="AD291" s="108" t="str">
        <f>IF(J291="Yes",AA291*Tab_Data_Flows[[#This Row],[WC_'[%']]],"N.A.")</f>
        <v>N.A.</v>
      </c>
      <c r="AE291" s="61">
        <f>Tab_Data_Flows[[#This Row],[UoM_Flow_Py]]</f>
        <v>0</v>
      </c>
      <c r="AF291" s="107" t="e">
        <f>INDEX(Tab_Def_Flows[[Flow_ID]:[CC_DM_source]],MATCH(Tab_Data_Flows[[#This Row],[Name(EN)]],Tab_Def_Flows[Name(EN)],0),18)</f>
        <v>#N/A</v>
      </c>
      <c r="AG291" s="108" t="str">
        <f>IF(K291="Yes",AF291*Tab_Data_Flows[[#This Row],[Flow_Py]],"N.A.")</f>
        <v>N.A.</v>
      </c>
      <c r="AH291" s="61">
        <f>Tab_Data_Flows[[#This Row],[UoM_Flow_Py]]</f>
        <v>0</v>
      </c>
      <c r="AI291" s="107" t="e">
        <f>INDEX(Tab_Def_Flows[[Flow_ID]:[CC_DM_source]],MATCH(Tab_Data_Flows[[#This Row],[Name(EN)]],Tab_Def_Flows[Name(EN)],0),20)</f>
        <v>#N/A</v>
      </c>
      <c r="AJ291" s="108" t="str">
        <f>IF(L291="Yes",AI291*Tab_Data_Flows[[#This Row],[Flow_Py]]*Tab_Data_Flows[[#This Row],[DM_'[%']]],"N.A.")</f>
        <v>N.A.</v>
      </c>
      <c r="AK291" s="61">
        <f>Tab_Data_Flows[[#This Row],[UoM_Flow_Py]]</f>
        <v>0</v>
      </c>
    </row>
    <row r="292" spans="1:37" x14ac:dyDescent="0.25">
      <c r="A292" s="60">
        <f t="shared" si="8"/>
        <v>291</v>
      </c>
      <c r="B292" s="49" t="str">
        <f>_xlfn.XLOOKUP(C292,Tab_Def_Flows[Name(EN)],Tab_Def_Flows[Flow_ID],,0,)</f>
        <v>F_12_12</v>
      </c>
      <c r="C292" s="51"/>
      <c r="D292" s="49">
        <f>_xlfn.XLOOKUP(C292,Tab_Def_Flows[Name(EN)],Tab_Def_Flows[Type_Biomass],,0,)</f>
        <v>0</v>
      </c>
      <c r="E292" s="49">
        <f>_xlfn.XLOOKUP(C292,Tab_Def_Flows[Name(EN)],Tab_Def_Flows[Output_Process],,0,)</f>
        <v>0</v>
      </c>
      <c r="F292" s="49" t="str">
        <f>_xlfn.XLOOKUP(C292,Tab_Def_Flows[Name(EN)],Tab_Def_Flows[Process_ID_O],,0,)</f>
        <v>12__</v>
      </c>
      <c r="G292" s="49">
        <f>_xlfn.XLOOKUP(C292,Tab_Def_Flows[Name(EN)],Tab_Def_Flows[Input_Process],,0,)</f>
        <v>0</v>
      </c>
      <c r="H292" s="61" t="str">
        <f>_xlfn.XLOOKUP(C292,Tab_Def_Flows[Name(EN)],Tab_Def_Flows[Process_ID_I],,0,)</f>
        <v>12__</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c r="AC292" s="107" t="e">
        <f>INDEX(Tab_Def_Flows[[Flow_ID]:[CC_DM_source]],MATCH(Tab_Data_Flows[[#This Row],[Name(EN)]],Tab_Def_Flows[Name(EN)],0),16)</f>
        <v>#N/A</v>
      </c>
      <c r="AD292" s="108" t="str">
        <f>IF(J292="Yes",AA292*Tab_Data_Flows[[#This Row],[WC_'[%']]],"N.A.")</f>
        <v>N.A.</v>
      </c>
      <c r="AE292" s="61">
        <f>Tab_Data_Flows[[#This Row],[UoM_Flow_Py]]</f>
        <v>0</v>
      </c>
      <c r="AF292" s="107" t="e">
        <f>INDEX(Tab_Def_Flows[[Flow_ID]:[CC_DM_source]],MATCH(Tab_Data_Flows[[#This Row],[Name(EN)]],Tab_Def_Flows[Name(EN)],0),18)</f>
        <v>#N/A</v>
      </c>
      <c r="AG292" s="108" t="str">
        <f>IF(K292="Yes",AF292*Tab_Data_Flows[[#This Row],[Flow_Py]],"N.A.")</f>
        <v>N.A.</v>
      </c>
      <c r="AH292" s="61">
        <f>Tab_Data_Flows[[#This Row],[UoM_Flow_Py]]</f>
        <v>0</v>
      </c>
      <c r="AI292" s="107" t="e">
        <f>INDEX(Tab_Def_Flows[[Flow_ID]:[CC_DM_source]],MATCH(Tab_Data_Flows[[#This Row],[Name(EN)]],Tab_Def_Flows[Name(EN)],0),20)</f>
        <v>#N/A</v>
      </c>
      <c r="AJ292" s="108" t="str">
        <f>IF(L292="Yes",AI292*Tab_Data_Flows[[#This Row],[Flow_Py]]*Tab_Data_Flows[[#This Row],[DM_'[%']]],"N.A.")</f>
        <v>N.A.</v>
      </c>
      <c r="AK292" s="61">
        <f>Tab_Data_Flows[[#This Row],[UoM_Flow_Py]]</f>
        <v>0</v>
      </c>
    </row>
    <row r="293" spans="1:37" x14ac:dyDescent="0.25">
      <c r="A293" s="60">
        <f t="shared" si="8"/>
        <v>292</v>
      </c>
      <c r="B293" s="49" t="str">
        <f>_xlfn.XLOOKUP(C293,Tab_Def_Flows[Name(EN)],Tab_Def_Flows[Flow_ID],,0,)</f>
        <v>F_12_12</v>
      </c>
      <c r="C293" s="51"/>
      <c r="D293" s="49">
        <f>_xlfn.XLOOKUP(C293,Tab_Def_Flows[Name(EN)],Tab_Def_Flows[Type_Biomass],,0,)</f>
        <v>0</v>
      </c>
      <c r="E293" s="49">
        <f>_xlfn.XLOOKUP(C293,Tab_Def_Flows[Name(EN)],Tab_Def_Flows[Output_Process],,0,)</f>
        <v>0</v>
      </c>
      <c r="F293" s="49" t="str">
        <f>_xlfn.XLOOKUP(C293,Tab_Def_Flows[Name(EN)],Tab_Def_Flows[Process_ID_O],,0,)</f>
        <v>12__</v>
      </c>
      <c r="G293" s="49">
        <f>_xlfn.XLOOKUP(C293,Tab_Def_Flows[Name(EN)],Tab_Def_Flows[Input_Process],,0,)</f>
        <v>0</v>
      </c>
      <c r="H293" s="61" t="str">
        <f>_xlfn.XLOOKUP(C293,Tab_Def_Flows[Name(EN)],Tab_Def_Flows[Process_ID_I],,0,)</f>
        <v>12__</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c r="AC293" s="107" t="e">
        <f>INDEX(Tab_Def_Flows[[Flow_ID]:[CC_DM_source]],MATCH(Tab_Data_Flows[[#This Row],[Name(EN)]],Tab_Def_Flows[Name(EN)],0),16)</f>
        <v>#N/A</v>
      </c>
      <c r="AD293" s="108" t="str">
        <f>IF(J293="Yes",AA293*Tab_Data_Flows[[#This Row],[WC_'[%']]],"N.A.")</f>
        <v>N.A.</v>
      </c>
      <c r="AE293" s="61">
        <f>Tab_Data_Flows[[#This Row],[UoM_Flow_Py]]</f>
        <v>0</v>
      </c>
      <c r="AF293" s="107" t="e">
        <f>INDEX(Tab_Def_Flows[[Flow_ID]:[CC_DM_source]],MATCH(Tab_Data_Flows[[#This Row],[Name(EN)]],Tab_Def_Flows[Name(EN)],0),18)</f>
        <v>#N/A</v>
      </c>
      <c r="AG293" s="108" t="str">
        <f>IF(K293="Yes",AF293*Tab_Data_Flows[[#This Row],[Flow_Py]],"N.A.")</f>
        <v>N.A.</v>
      </c>
      <c r="AH293" s="61">
        <f>Tab_Data_Flows[[#This Row],[UoM_Flow_Py]]</f>
        <v>0</v>
      </c>
      <c r="AI293" s="107" t="e">
        <f>INDEX(Tab_Def_Flows[[Flow_ID]:[CC_DM_source]],MATCH(Tab_Data_Flows[[#This Row],[Name(EN)]],Tab_Def_Flows[Name(EN)],0),20)</f>
        <v>#N/A</v>
      </c>
      <c r="AJ293" s="108" t="str">
        <f>IF(L293="Yes",AI293*Tab_Data_Flows[[#This Row],[Flow_Py]]*Tab_Data_Flows[[#This Row],[DM_'[%']]],"N.A.")</f>
        <v>N.A.</v>
      </c>
      <c r="AK293" s="61">
        <f>Tab_Data_Flows[[#This Row],[UoM_Flow_Py]]</f>
        <v>0</v>
      </c>
    </row>
    <row r="294" spans="1:37" x14ac:dyDescent="0.25">
      <c r="A294" s="60">
        <f t="shared" si="8"/>
        <v>293</v>
      </c>
      <c r="B294" s="49" t="str">
        <f>_xlfn.XLOOKUP(C294,Tab_Def_Flows[Name(EN)],Tab_Def_Flows[Flow_ID],,0,)</f>
        <v>F_12_12</v>
      </c>
      <c r="C294" s="51"/>
      <c r="D294" s="49">
        <f>_xlfn.XLOOKUP(C294,Tab_Def_Flows[Name(EN)],Tab_Def_Flows[Type_Biomass],,0,)</f>
        <v>0</v>
      </c>
      <c r="E294" s="49">
        <f>_xlfn.XLOOKUP(C294,Tab_Def_Flows[Name(EN)],Tab_Def_Flows[Output_Process],,0,)</f>
        <v>0</v>
      </c>
      <c r="F294" s="49" t="str">
        <f>_xlfn.XLOOKUP(C294,Tab_Def_Flows[Name(EN)],Tab_Def_Flows[Process_ID_O],,0,)</f>
        <v>12__</v>
      </c>
      <c r="G294" s="49">
        <f>_xlfn.XLOOKUP(C294,Tab_Def_Flows[Name(EN)],Tab_Def_Flows[Input_Process],,0,)</f>
        <v>0</v>
      </c>
      <c r="H294" s="61" t="str">
        <f>_xlfn.XLOOKUP(C294,Tab_Def_Flows[Name(EN)],Tab_Def_Flows[Process_ID_I],,0,)</f>
        <v>12__</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c r="AC294" s="107" t="e">
        <f>INDEX(Tab_Def_Flows[[Flow_ID]:[CC_DM_source]],MATCH(Tab_Data_Flows[[#This Row],[Name(EN)]],Tab_Def_Flows[Name(EN)],0),16)</f>
        <v>#N/A</v>
      </c>
      <c r="AD294" s="108" t="str">
        <f>IF(J294="Yes",AA294*Tab_Data_Flows[[#This Row],[WC_'[%']]],"N.A.")</f>
        <v>N.A.</v>
      </c>
      <c r="AE294" s="61">
        <f>Tab_Data_Flows[[#This Row],[UoM_Flow_Py]]</f>
        <v>0</v>
      </c>
      <c r="AF294" s="107" t="e">
        <f>INDEX(Tab_Def_Flows[[Flow_ID]:[CC_DM_source]],MATCH(Tab_Data_Flows[[#This Row],[Name(EN)]],Tab_Def_Flows[Name(EN)],0),18)</f>
        <v>#N/A</v>
      </c>
      <c r="AG294" s="108" t="str">
        <f>IF(K294="Yes",AF294*Tab_Data_Flows[[#This Row],[Flow_Py]],"N.A.")</f>
        <v>N.A.</v>
      </c>
      <c r="AH294" s="61">
        <f>Tab_Data_Flows[[#This Row],[UoM_Flow_Py]]</f>
        <v>0</v>
      </c>
      <c r="AI294" s="107" t="e">
        <f>INDEX(Tab_Def_Flows[[Flow_ID]:[CC_DM_source]],MATCH(Tab_Data_Flows[[#This Row],[Name(EN)]],Tab_Def_Flows[Name(EN)],0),20)</f>
        <v>#N/A</v>
      </c>
      <c r="AJ294" s="108" t="str">
        <f>IF(L294="Yes",AI294*Tab_Data_Flows[[#This Row],[Flow_Py]]*Tab_Data_Flows[[#This Row],[DM_'[%']]],"N.A.")</f>
        <v>N.A.</v>
      </c>
      <c r="AK294" s="61">
        <f>Tab_Data_Flows[[#This Row],[UoM_Flow_Py]]</f>
        <v>0</v>
      </c>
    </row>
    <row r="295" spans="1:37" x14ac:dyDescent="0.25">
      <c r="A295" s="60">
        <f t="shared" si="8"/>
        <v>294</v>
      </c>
      <c r="B295" s="49" t="str">
        <f>_xlfn.XLOOKUP(C295,Tab_Def_Flows[Name(EN)],Tab_Def_Flows[Flow_ID],,0,)</f>
        <v>F_12_12</v>
      </c>
      <c r="C295" s="51"/>
      <c r="D295" s="49">
        <f>_xlfn.XLOOKUP(C295,Tab_Def_Flows[Name(EN)],Tab_Def_Flows[Type_Biomass],,0,)</f>
        <v>0</v>
      </c>
      <c r="E295" s="49">
        <f>_xlfn.XLOOKUP(C295,Tab_Def_Flows[Name(EN)],Tab_Def_Flows[Output_Process],,0,)</f>
        <v>0</v>
      </c>
      <c r="F295" s="49" t="str">
        <f>_xlfn.XLOOKUP(C295,Tab_Def_Flows[Name(EN)],Tab_Def_Flows[Process_ID_O],,0,)</f>
        <v>12__</v>
      </c>
      <c r="G295" s="49">
        <f>_xlfn.XLOOKUP(C295,Tab_Def_Flows[Name(EN)],Tab_Def_Flows[Input_Process],,0,)</f>
        <v>0</v>
      </c>
      <c r="H295" s="61" t="str">
        <f>_xlfn.XLOOKUP(C295,Tab_Def_Flows[Name(EN)],Tab_Def_Flows[Process_ID_I],,0,)</f>
        <v>12__</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c r="AC295" s="107" t="e">
        <f>INDEX(Tab_Def_Flows[[Flow_ID]:[CC_DM_source]],MATCH(Tab_Data_Flows[[#This Row],[Name(EN)]],Tab_Def_Flows[Name(EN)],0),16)</f>
        <v>#N/A</v>
      </c>
      <c r="AD295" s="108" t="str">
        <f>IF(J295="Yes",AA295*Tab_Data_Flows[[#This Row],[WC_'[%']]],"N.A.")</f>
        <v>N.A.</v>
      </c>
      <c r="AE295" s="61">
        <f>Tab_Data_Flows[[#This Row],[UoM_Flow_Py]]</f>
        <v>0</v>
      </c>
      <c r="AF295" s="107" t="e">
        <f>INDEX(Tab_Def_Flows[[Flow_ID]:[CC_DM_source]],MATCH(Tab_Data_Flows[[#This Row],[Name(EN)]],Tab_Def_Flows[Name(EN)],0),18)</f>
        <v>#N/A</v>
      </c>
      <c r="AG295" s="108" t="str">
        <f>IF(K295="Yes",AF295*Tab_Data_Flows[[#This Row],[Flow_Py]],"N.A.")</f>
        <v>N.A.</v>
      </c>
      <c r="AH295" s="61">
        <f>Tab_Data_Flows[[#This Row],[UoM_Flow_Py]]</f>
        <v>0</v>
      </c>
      <c r="AI295" s="107" t="e">
        <f>INDEX(Tab_Def_Flows[[Flow_ID]:[CC_DM_source]],MATCH(Tab_Data_Flows[[#This Row],[Name(EN)]],Tab_Def_Flows[Name(EN)],0),20)</f>
        <v>#N/A</v>
      </c>
      <c r="AJ295" s="108" t="str">
        <f>IF(L295="Yes",AI295*Tab_Data_Flows[[#This Row],[Flow_Py]]*Tab_Data_Flows[[#This Row],[DM_'[%']]],"N.A.")</f>
        <v>N.A.</v>
      </c>
      <c r="AK295" s="61">
        <f>Tab_Data_Flows[[#This Row],[UoM_Flow_Py]]</f>
        <v>0</v>
      </c>
    </row>
    <row r="296" spans="1:37" x14ac:dyDescent="0.25">
      <c r="A296" s="60">
        <f t="shared" si="8"/>
        <v>295</v>
      </c>
      <c r="B296" s="49" t="str">
        <f>_xlfn.XLOOKUP(C296,Tab_Def_Flows[Name(EN)],Tab_Def_Flows[Flow_ID],,0,)</f>
        <v>F_12_12</v>
      </c>
      <c r="C296" s="51"/>
      <c r="D296" s="49">
        <f>_xlfn.XLOOKUP(C296,Tab_Def_Flows[Name(EN)],Tab_Def_Flows[Type_Biomass],,0,)</f>
        <v>0</v>
      </c>
      <c r="E296" s="49">
        <f>_xlfn.XLOOKUP(C296,Tab_Def_Flows[Name(EN)],Tab_Def_Flows[Output_Process],,0,)</f>
        <v>0</v>
      </c>
      <c r="F296" s="49" t="str">
        <f>_xlfn.XLOOKUP(C296,Tab_Def_Flows[Name(EN)],Tab_Def_Flows[Process_ID_O],,0,)</f>
        <v>12__</v>
      </c>
      <c r="G296" s="49">
        <f>_xlfn.XLOOKUP(C296,Tab_Def_Flows[Name(EN)],Tab_Def_Flows[Input_Process],,0,)</f>
        <v>0</v>
      </c>
      <c r="H296" s="61" t="str">
        <f>_xlfn.XLOOKUP(C296,Tab_Def_Flows[Name(EN)],Tab_Def_Flows[Process_ID_I],,0,)</f>
        <v>12__</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c r="AC296" s="107" t="e">
        <f>INDEX(Tab_Def_Flows[[Flow_ID]:[CC_DM_source]],MATCH(Tab_Data_Flows[[#This Row],[Name(EN)]],Tab_Def_Flows[Name(EN)],0),16)</f>
        <v>#N/A</v>
      </c>
      <c r="AD296" s="108" t="str">
        <f>IF(J296="Yes",AA296*Tab_Data_Flows[[#This Row],[WC_'[%']]],"N.A.")</f>
        <v>N.A.</v>
      </c>
      <c r="AE296" s="61">
        <f>Tab_Data_Flows[[#This Row],[UoM_Flow_Py]]</f>
        <v>0</v>
      </c>
      <c r="AF296" s="107" t="e">
        <f>INDEX(Tab_Def_Flows[[Flow_ID]:[CC_DM_source]],MATCH(Tab_Data_Flows[[#This Row],[Name(EN)]],Tab_Def_Flows[Name(EN)],0),18)</f>
        <v>#N/A</v>
      </c>
      <c r="AG296" s="108" t="str">
        <f>IF(K296="Yes",AF296*Tab_Data_Flows[[#This Row],[Flow_Py]],"N.A.")</f>
        <v>N.A.</v>
      </c>
      <c r="AH296" s="61">
        <f>Tab_Data_Flows[[#This Row],[UoM_Flow_Py]]</f>
        <v>0</v>
      </c>
      <c r="AI296" s="107" t="e">
        <f>INDEX(Tab_Def_Flows[[Flow_ID]:[CC_DM_source]],MATCH(Tab_Data_Flows[[#This Row],[Name(EN)]],Tab_Def_Flows[Name(EN)],0),20)</f>
        <v>#N/A</v>
      </c>
      <c r="AJ296" s="108" t="str">
        <f>IF(L296="Yes",AI296*Tab_Data_Flows[[#This Row],[Flow_Py]]*Tab_Data_Flows[[#This Row],[DM_'[%']]],"N.A.")</f>
        <v>N.A.</v>
      </c>
      <c r="AK296" s="61">
        <f>Tab_Data_Flows[[#This Row],[UoM_Flow_Py]]</f>
        <v>0</v>
      </c>
    </row>
    <row r="297" spans="1:37" x14ac:dyDescent="0.25">
      <c r="A297" s="60">
        <f t="shared" si="8"/>
        <v>296</v>
      </c>
      <c r="B297" s="49" t="str">
        <f>_xlfn.XLOOKUP(C297,Tab_Def_Flows[Name(EN)],Tab_Def_Flows[Flow_ID],,0,)</f>
        <v>F_12_12</v>
      </c>
      <c r="C297" s="51"/>
      <c r="D297" s="49">
        <f>_xlfn.XLOOKUP(C297,Tab_Def_Flows[Name(EN)],Tab_Def_Flows[Type_Biomass],,0,)</f>
        <v>0</v>
      </c>
      <c r="E297" s="49">
        <f>_xlfn.XLOOKUP(C297,Tab_Def_Flows[Name(EN)],Tab_Def_Flows[Output_Process],,0,)</f>
        <v>0</v>
      </c>
      <c r="F297" s="49" t="str">
        <f>_xlfn.XLOOKUP(C297,Tab_Def_Flows[Name(EN)],Tab_Def_Flows[Process_ID_O],,0,)</f>
        <v>12__</v>
      </c>
      <c r="G297" s="49">
        <f>_xlfn.XLOOKUP(C297,Tab_Def_Flows[Name(EN)],Tab_Def_Flows[Input_Process],,0,)</f>
        <v>0</v>
      </c>
      <c r="H297" s="61" t="str">
        <f>_xlfn.XLOOKUP(C297,Tab_Def_Flows[Name(EN)],Tab_Def_Flows[Process_ID_I],,0,)</f>
        <v>12__</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c r="AC297" s="107" t="e">
        <f>INDEX(Tab_Def_Flows[[Flow_ID]:[CC_DM_source]],MATCH(Tab_Data_Flows[[#This Row],[Name(EN)]],Tab_Def_Flows[Name(EN)],0),16)</f>
        <v>#N/A</v>
      </c>
      <c r="AD297" s="108" t="str">
        <f>IF(J297="Yes",AA297*Tab_Data_Flows[[#This Row],[WC_'[%']]],"N.A.")</f>
        <v>N.A.</v>
      </c>
      <c r="AE297" s="61">
        <f>Tab_Data_Flows[[#This Row],[UoM_Flow_Py]]</f>
        <v>0</v>
      </c>
      <c r="AF297" s="107" t="e">
        <f>INDEX(Tab_Def_Flows[[Flow_ID]:[CC_DM_source]],MATCH(Tab_Data_Flows[[#This Row],[Name(EN)]],Tab_Def_Flows[Name(EN)],0),18)</f>
        <v>#N/A</v>
      </c>
      <c r="AG297" s="108" t="str">
        <f>IF(K297="Yes",AF297*Tab_Data_Flows[[#This Row],[Flow_Py]],"N.A.")</f>
        <v>N.A.</v>
      </c>
      <c r="AH297" s="61">
        <f>Tab_Data_Flows[[#This Row],[UoM_Flow_Py]]</f>
        <v>0</v>
      </c>
      <c r="AI297" s="107" t="e">
        <f>INDEX(Tab_Def_Flows[[Flow_ID]:[CC_DM_source]],MATCH(Tab_Data_Flows[[#This Row],[Name(EN)]],Tab_Def_Flows[Name(EN)],0),20)</f>
        <v>#N/A</v>
      </c>
      <c r="AJ297" s="108" t="str">
        <f>IF(L297="Yes",AI297*Tab_Data_Flows[[#This Row],[Flow_Py]]*Tab_Data_Flows[[#This Row],[DM_'[%']]],"N.A.")</f>
        <v>N.A.</v>
      </c>
      <c r="AK297" s="61">
        <f>Tab_Data_Flows[[#This Row],[UoM_Flow_Py]]</f>
        <v>0</v>
      </c>
    </row>
    <row r="298" spans="1:37" x14ac:dyDescent="0.25">
      <c r="A298" s="60">
        <f t="shared" si="8"/>
        <v>297</v>
      </c>
      <c r="B298" s="49" t="str">
        <f>_xlfn.XLOOKUP(C298,Tab_Def_Flows[Name(EN)],Tab_Def_Flows[Flow_ID],,0,)</f>
        <v>F_12_12</v>
      </c>
      <c r="C298" s="51"/>
      <c r="D298" s="49">
        <f>_xlfn.XLOOKUP(C298,Tab_Def_Flows[Name(EN)],Tab_Def_Flows[Type_Biomass],,0,)</f>
        <v>0</v>
      </c>
      <c r="E298" s="49">
        <f>_xlfn.XLOOKUP(C298,Tab_Def_Flows[Name(EN)],Tab_Def_Flows[Output_Process],,0,)</f>
        <v>0</v>
      </c>
      <c r="F298" s="49" t="str">
        <f>_xlfn.XLOOKUP(C298,Tab_Def_Flows[Name(EN)],Tab_Def_Flows[Process_ID_O],,0,)</f>
        <v>12__</v>
      </c>
      <c r="G298" s="49">
        <f>_xlfn.XLOOKUP(C298,Tab_Def_Flows[Name(EN)],Tab_Def_Flows[Input_Process],,0,)</f>
        <v>0</v>
      </c>
      <c r="H298" s="61" t="str">
        <f>_xlfn.XLOOKUP(C298,Tab_Def_Flows[Name(EN)],Tab_Def_Flows[Process_ID_I],,0,)</f>
        <v>12__</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c r="AC298" s="107" t="e">
        <f>INDEX(Tab_Def_Flows[[Flow_ID]:[CC_DM_source]],MATCH(Tab_Data_Flows[[#This Row],[Name(EN)]],Tab_Def_Flows[Name(EN)],0),16)</f>
        <v>#N/A</v>
      </c>
      <c r="AD298" s="108" t="str">
        <f>IF(J298="Yes",AA298*Tab_Data_Flows[[#This Row],[WC_'[%']]],"N.A.")</f>
        <v>N.A.</v>
      </c>
      <c r="AE298" s="61">
        <f>Tab_Data_Flows[[#This Row],[UoM_Flow_Py]]</f>
        <v>0</v>
      </c>
      <c r="AF298" s="107" t="e">
        <f>INDEX(Tab_Def_Flows[[Flow_ID]:[CC_DM_source]],MATCH(Tab_Data_Flows[[#This Row],[Name(EN)]],Tab_Def_Flows[Name(EN)],0),18)</f>
        <v>#N/A</v>
      </c>
      <c r="AG298" s="108" t="str">
        <f>IF(K298="Yes",AF298*Tab_Data_Flows[[#This Row],[Flow_Py]],"N.A.")</f>
        <v>N.A.</v>
      </c>
      <c r="AH298" s="61">
        <f>Tab_Data_Flows[[#This Row],[UoM_Flow_Py]]</f>
        <v>0</v>
      </c>
      <c r="AI298" s="107" t="e">
        <f>INDEX(Tab_Def_Flows[[Flow_ID]:[CC_DM_source]],MATCH(Tab_Data_Flows[[#This Row],[Name(EN)]],Tab_Def_Flows[Name(EN)],0),20)</f>
        <v>#N/A</v>
      </c>
      <c r="AJ298" s="108" t="str">
        <f>IF(L298="Yes",AI298*Tab_Data_Flows[[#This Row],[Flow_Py]]*Tab_Data_Flows[[#This Row],[DM_'[%']]],"N.A.")</f>
        <v>N.A.</v>
      </c>
      <c r="AK298" s="61">
        <f>Tab_Data_Flows[[#This Row],[UoM_Flow_Py]]</f>
        <v>0</v>
      </c>
    </row>
    <row r="299" spans="1:37" x14ac:dyDescent="0.25">
      <c r="A299" s="60">
        <f t="shared" si="8"/>
        <v>298</v>
      </c>
      <c r="B299" s="49" t="str">
        <f>_xlfn.XLOOKUP(C299,Tab_Def_Flows[Name(EN)],Tab_Def_Flows[Flow_ID],,0,)</f>
        <v>F_12_12</v>
      </c>
      <c r="C299" s="51"/>
      <c r="D299" s="49">
        <f>_xlfn.XLOOKUP(C299,Tab_Def_Flows[Name(EN)],Tab_Def_Flows[Type_Biomass],,0,)</f>
        <v>0</v>
      </c>
      <c r="E299" s="49">
        <f>_xlfn.XLOOKUP(C299,Tab_Def_Flows[Name(EN)],Tab_Def_Flows[Output_Process],,0,)</f>
        <v>0</v>
      </c>
      <c r="F299" s="49" t="str">
        <f>_xlfn.XLOOKUP(C299,Tab_Def_Flows[Name(EN)],Tab_Def_Flows[Process_ID_O],,0,)</f>
        <v>12__</v>
      </c>
      <c r="G299" s="49">
        <f>_xlfn.XLOOKUP(C299,Tab_Def_Flows[Name(EN)],Tab_Def_Flows[Input_Process],,0,)</f>
        <v>0</v>
      </c>
      <c r="H299" s="61" t="str">
        <f>_xlfn.XLOOKUP(C299,Tab_Def_Flows[Name(EN)],Tab_Def_Flows[Process_ID_I],,0,)</f>
        <v>12__</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c r="AC299" s="107" t="e">
        <f>INDEX(Tab_Def_Flows[[Flow_ID]:[CC_DM_source]],MATCH(Tab_Data_Flows[[#This Row],[Name(EN)]],Tab_Def_Flows[Name(EN)],0),16)</f>
        <v>#N/A</v>
      </c>
      <c r="AD299" s="108" t="str">
        <f>IF(J299="Yes",AA299*Tab_Data_Flows[[#This Row],[WC_'[%']]],"N.A.")</f>
        <v>N.A.</v>
      </c>
      <c r="AE299" s="61">
        <f>Tab_Data_Flows[[#This Row],[UoM_Flow_Py]]</f>
        <v>0</v>
      </c>
      <c r="AF299" s="107" t="e">
        <f>INDEX(Tab_Def_Flows[[Flow_ID]:[CC_DM_source]],MATCH(Tab_Data_Flows[[#This Row],[Name(EN)]],Tab_Def_Flows[Name(EN)],0),18)</f>
        <v>#N/A</v>
      </c>
      <c r="AG299" s="108" t="str">
        <f>IF(K299="Yes",AF299*Tab_Data_Flows[[#This Row],[Flow_Py]],"N.A.")</f>
        <v>N.A.</v>
      </c>
      <c r="AH299" s="61">
        <f>Tab_Data_Flows[[#This Row],[UoM_Flow_Py]]</f>
        <v>0</v>
      </c>
      <c r="AI299" s="107" t="e">
        <f>INDEX(Tab_Def_Flows[[Flow_ID]:[CC_DM_source]],MATCH(Tab_Data_Flows[[#This Row],[Name(EN)]],Tab_Def_Flows[Name(EN)],0),20)</f>
        <v>#N/A</v>
      </c>
      <c r="AJ299" s="108" t="str">
        <f>IF(L299="Yes",AI299*Tab_Data_Flows[[#This Row],[Flow_Py]]*Tab_Data_Flows[[#This Row],[DM_'[%']]],"N.A.")</f>
        <v>N.A.</v>
      </c>
      <c r="AK299" s="61">
        <f>Tab_Data_Flows[[#This Row],[UoM_Flow_Py]]</f>
        <v>0</v>
      </c>
    </row>
    <row r="300" spans="1:37" x14ac:dyDescent="0.25">
      <c r="A300" s="60">
        <f t="shared" si="8"/>
        <v>299</v>
      </c>
      <c r="B300" s="49" t="str">
        <f>_xlfn.XLOOKUP(C300,Tab_Def_Flows[Name(EN)],Tab_Def_Flows[Flow_ID],,0,)</f>
        <v>F_12_12</v>
      </c>
      <c r="C300" s="51"/>
      <c r="D300" s="49">
        <f>_xlfn.XLOOKUP(C300,Tab_Def_Flows[Name(EN)],Tab_Def_Flows[Type_Biomass],,0,)</f>
        <v>0</v>
      </c>
      <c r="E300" s="49">
        <f>_xlfn.XLOOKUP(C300,Tab_Def_Flows[Name(EN)],Tab_Def_Flows[Output_Process],,0,)</f>
        <v>0</v>
      </c>
      <c r="F300" s="49" t="str">
        <f>_xlfn.XLOOKUP(C300,Tab_Def_Flows[Name(EN)],Tab_Def_Flows[Process_ID_O],,0,)</f>
        <v>12__</v>
      </c>
      <c r="G300" s="49">
        <f>_xlfn.XLOOKUP(C300,Tab_Def_Flows[Name(EN)],Tab_Def_Flows[Input_Process],,0,)</f>
        <v>0</v>
      </c>
      <c r="H300" s="61" t="str">
        <f>_xlfn.XLOOKUP(C300,Tab_Def_Flows[Name(EN)],Tab_Def_Flows[Process_ID_I],,0,)</f>
        <v>12__</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c r="AC300" s="107" t="e">
        <f>INDEX(Tab_Def_Flows[[Flow_ID]:[CC_DM_source]],MATCH(Tab_Data_Flows[[#This Row],[Name(EN)]],Tab_Def_Flows[Name(EN)],0),16)</f>
        <v>#N/A</v>
      </c>
      <c r="AD300" s="108" t="str">
        <f>IF(J300="Yes",AA300*Tab_Data_Flows[[#This Row],[WC_'[%']]],"N.A.")</f>
        <v>N.A.</v>
      </c>
      <c r="AE300" s="61">
        <f>Tab_Data_Flows[[#This Row],[UoM_Flow_Py]]</f>
        <v>0</v>
      </c>
      <c r="AF300" s="107" t="e">
        <f>INDEX(Tab_Def_Flows[[Flow_ID]:[CC_DM_source]],MATCH(Tab_Data_Flows[[#This Row],[Name(EN)]],Tab_Def_Flows[Name(EN)],0),18)</f>
        <v>#N/A</v>
      </c>
      <c r="AG300" s="108" t="str">
        <f>IF(K300="Yes",AF300*Tab_Data_Flows[[#This Row],[Flow_Py]],"N.A.")</f>
        <v>N.A.</v>
      </c>
      <c r="AH300" s="61">
        <f>Tab_Data_Flows[[#This Row],[UoM_Flow_Py]]</f>
        <v>0</v>
      </c>
      <c r="AI300" s="107" t="e">
        <f>INDEX(Tab_Def_Flows[[Flow_ID]:[CC_DM_source]],MATCH(Tab_Data_Flows[[#This Row],[Name(EN)]],Tab_Def_Flows[Name(EN)],0),20)</f>
        <v>#N/A</v>
      </c>
      <c r="AJ300" s="108" t="str">
        <f>IF(L300="Yes",AI300*Tab_Data_Flows[[#This Row],[Flow_Py]]*Tab_Data_Flows[[#This Row],[DM_'[%']]],"N.A.")</f>
        <v>N.A.</v>
      </c>
      <c r="AK300" s="61">
        <f>Tab_Data_Flows[[#This Row],[UoM_Flow_Py]]</f>
        <v>0</v>
      </c>
    </row>
    <row r="301" spans="1:37" x14ac:dyDescent="0.25">
      <c r="A301" s="60">
        <f t="shared" si="8"/>
        <v>300</v>
      </c>
      <c r="B301" s="49" t="str">
        <f>_xlfn.XLOOKUP(C301,Tab_Def_Flows[Name(EN)],Tab_Def_Flows[Flow_ID],,0,)</f>
        <v>F_12_12</v>
      </c>
      <c r="C301" s="51"/>
      <c r="D301" s="49">
        <f>_xlfn.XLOOKUP(C301,Tab_Def_Flows[Name(EN)],Tab_Def_Flows[Type_Biomass],,0,)</f>
        <v>0</v>
      </c>
      <c r="E301" s="49">
        <f>_xlfn.XLOOKUP(C301,Tab_Def_Flows[Name(EN)],Tab_Def_Flows[Output_Process],,0,)</f>
        <v>0</v>
      </c>
      <c r="F301" s="49" t="str">
        <f>_xlfn.XLOOKUP(C301,Tab_Def_Flows[Name(EN)],Tab_Def_Flows[Process_ID_O],,0,)</f>
        <v>12__</v>
      </c>
      <c r="G301" s="49">
        <f>_xlfn.XLOOKUP(C301,Tab_Def_Flows[Name(EN)],Tab_Def_Flows[Input_Process],,0,)</f>
        <v>0</v>
      </c>
      <c r="H301" s="61" t="str">
        <f>_xlfn.XLOOKUP(C301,Tab_Def_Flows[Name(EN)],Tab_Def_Flows[Process_ID_I],,0,)</f>
        <v>12__</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c r="AC301" s="107" t="e">
        <f>INDEX(Tab_Def_Flows[[Flow_ID]:[CC_DM_source]],MATCH(Tab_Data_Flows[[#This Row],[Name(EN)]],Tab_Def_Flows[Name(EN)],0),16)</f>
        <v>#N/A</v>
      </c>
      <c r="AD301" s="108" t="str">
        <f>IF(J301="Yes",AA301*Tab_Data_Flows[[#This Row],[WC_'[%']]],"N.A.")</f>
        <v>N.A.</v>
      </c>
      <c r="AE301" s="61">
        <f>Tab_Data_Flows[[#This Row],[UoM_Flow_Py]]</f>
        <v>0</v>
      </c>
      <c r="AF301" s="107" t="e">
        <f>INDEX(Tab_Def_Flows[[Flow_ID]:[CC_DM_source]],MATCH(Tab_Data_Flows[[#This Row],[Name(EN)]],Tab_Def_Flows[Name(EN)],0),18)</f>
        <v>#N/A</v>
      </c>
      <c r="AG301" s="108" t="str">
        <f>IF(K301="Yes",AF301*Tab_Data_Flows[[#This Row],[Flow_Py]],"N.A.")</f>
        <v>N.A.</v>
      </c>
      <c r="AH301" s="61">
        <f>Tab_Data_Flows[[#This Row],[UoM_Flow_Py]]</f>
        <v>0</v>
      </c>
      <c r="AI301" s="107" t="e">
        <f>INDEX(Tab_Def_Flows[[Flow_ID]:[CC_DM_source]],MATCH(Tab_Data_Flows[[#This Row],[Name(EN)]],Tab_Def_Flows[Name(EN)],0),20)</f>
        <v>#N/A</v>
      </c>
      <c r="AJ301" s="108" t="str">
        <f>IF(L301="Yes",AI301*Tab_Data_Flows[[#This Row],[Flow_Py]]*Tab_Data_Flows[[#This Row],[DM_'[%']]],"N.A.")</f>
        <v>N.A.</v>
      </c>
      <c r="AK301" s="61">
        <f>Tab_Data_Flows[[#This Row],[UoM_Flow_Py]]</f>
        <v>0</v>
      </c>
    </row>
    <row r="302" spans="1:37" x14ac:dyDescent="0.25">
      <c r="A302" s="60">
        <f t="shared" si="8"/>
        <v>301</v>
      </c>
      <c r="B302" s="49" t="str">
        <f>_xlfn.XLOOKUP(C302,Tab_Def_Flows[Name(EN)],Tab_Def_Flows[Flow_ID],,0,)</f>
        <v>F_12_12</v>
      </c>
      <c r="C302" s="51"/>
      <c r="D302" s="49">
        <f>_xlfn.XLOOKUP(C302,Tab_Def_Flows[Name(EN)],Tab_Def_Flows[Type_Biomass],,0,)</f>
        <v>0</v>
      </c>
      <c r="E302" s="49">
        <f>_xlfn.XLOOKUP(C302,Tab_Def_Flows[Name(EN)],Tab_Def_Flows[Output_Process],,0,)</f>
        <v>0</v>
      </c>
      <c r="F302" s="49" t="str">
        <f>_xlfn.XLOOKUP(C302,Tab_Def_Flows[Name(EN)],Tab_Def_Flows[Process_ID_O],,0,)</f>
        <v>12__</v>
      </c>
      <c r="G302" s="49">
        <f>_xlfn.XLOOKUP(C302,Tab_Def_Flows[Name(EN)],Tab_Def_Flows[Input_Process],,0,)</f>
        <v>0</v>
      </c>
      <c r="H302" s="61" t="str">
        <f>_xlfn.XLOOKUP(C302,Tab_Def_Flows[Name(EN)],Tab_Def_Flows[Process_ID_I],,0,)</f>
        <v>12__</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c r="AC302" s="107" t="e">
        <f>INDEX(Tab_Def_Flows[[Flow_ID]:[CC_DM_source]],MATCH(Tab_Data_Flows[[#This Row],[Name(EN)]],Tab_Def_Flows[Name(EN)],0),16)</f>
        <v>#N/A</v>
      </c>
      <c r="AD302" s="108" t="str">
        <f>IF(J302="Yes",AA302*Tab_Data_Flows[[#This Row],[WC_'[%']]],"N.A.")</f>
        <v>N.A.</v>
      </c>
      <c r="AE302" s="61">
        <f>Tab_Data_Flows[[#This Row],[UoM_Flow_Py]]</f>
        <v>0</v>
      </c>
      <c r="AF302" s="107" t="e">
        <f>INDEX(Tab_Def_Flows[[Flow_ID]:[CC_DM_source]],MATCH(Tab_Data_Flows[[#This Row],[Name(EN)]],Tab_Def_Flows[Name(EN)],0),18)</f>
        <v>#N/A</v>
      </c>
      <c r="AG302" s="108" t="str">
        <f>IF(K302="Yes",AF302*Tab_Data_Flows[[#This Row],[Flow_Py]],"N.A.")</f>
        <v>N.A.</v>
      </c>
      <c r="AH302" s="61">
        <f>Tab_Data_Flows[[#This Row],[UoM_Flow_Py]]</f>
        <v>0</v>
      </c>
      <c r="AI302" s="107" t="e">
        <f>INDEX(Tab_Def_Flows[[Flow_ID]:[CC_DM_source]],MATCH(Tab_Data_Flows[[#This Row],[Name(EN)]],Tab_Def_Flows[Name(EN)],0),20)</f>
        <v>#N/A</v>
      </c>
      <c r="AJ302" s="108" t="str">
        <f>IF(L302="Yes",AI302*Tab_Data_Flows[[#This Row],[Flow_Py]]*Tab_Data_Flows[[#This Row],[DM_'[%']]],"N.A.")</f>
        <v>N.A.</v>
      </c>
      <c r="AK302" s="61">
        <f>Tab_Data_Flows[[#This Row],[UoM_Flow_Py]]</f>
        <v>0</v>
      </c>
    </row>
    <row r="303" spans="1:37" x14ac:dyDescent="0.25">
      <c r="A303" s="60">
        <f t="shared" si="8"/>
        <v>302</v>
      </c>
      <c r="B303" s="49" t="str">
        <f>_xlfn.XLOOKUP(C303,Tab_Def_Flows[Name(EN)],Tab_Def_Flows[Flow_ID],,0,)</f>
        <v>F_12_12</v>
      </c>
      <c r="C303" s="51"/>
      <c r="D303" s="49">
        <f>_xlfn.XLOOKUP(C303,Tab_Def_Flows[Name(EN)],Tab_Def_Flows[Type_Biomass],,0,)</f>
        <v>0</v>
      </c>
      <c r="E303" s="49">
        <f>_xlfn.XLOOKUP(C303,Tab_Def_Flows[Name(EN)],Tab_Def_Flows[Output_Process],,0,)</f>
        <v>0</v>
      </c>
      <c r="F303" s="49" t="str">
        <f>_xlfn.XLOOKUP(C303,Tab_Def_Flows[Name(EN)],Tab_Def_Flows[Process_ID_O],,0,)</f>
        <v>12__</v>
      </c>
      <c r="G303" s="49">
        <f>_xlfn.XLOOKUP(C303,Tab_Def_Flows[Name(EN)],Tab_Def_Flows[Input_Process],,0,)</f>
        <v>0</v>
      </c>
      <c r="H303" s="61" t="str">
        <f>_xlfn.XLOOKUP(C303,Tab_Def_Flows[Name(EN)],Tab_Def_Flows[Process_ID_I],,0,)</f>
        <v>12__</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c r="AC303" s="107" t="e">
        <f>INDEX(Tab_Def_Flows[[Flow_ID]:[CC_DM_source]],MATCH(Tab_Data_Flows[[#This Row],[Name(EN)]],Tab_Def_Flows[Name(EN)],0),16)</f>
        <v>#N/A</v>
      </c>
      <c r="AD303" s="108" t="str">
        <f>IF(J303="Yes",AA303*Tab_Data_Flows[[#This Row],[WC_'[%']]],"N.A.")</f>
        <v>N.A.</v>
      </c>
      <c r="AE303" s="61">
        <f>Tab_Data_Flows[[#This Row],[UoM_Flow_Py]]</f>
        <v>0</v>
      </c>
      <c r="AF303" s="107" t="e">
        <f>INDEX(Tab_Def_Flows[[Flow_ID]:[CC_DM_source]],MATCH(Tab_Data_Flows[[#This Row],[Name(EN)]],Tab_Def_Flows[Name(EN)],0),18)</f>
        <v>#N/A</v>
      </c>
      <c r="AG303" s="108" t="str">
        <f>IF(K303="Yes",AF303*Tab_Data_Flows[[#This Row],[Flow_Py]],"N.A.")</f>
        <v>N.A.</v>
      </c>
      <c r="AH303" s="61">
        <f>Tab_Data_Flows[[#This Row],[UoM_Flow_Py]]</f>
        <v>0</v>
      </c>
      <c r="AI303" s="107" t="e">
        <f>INDEX(Tab_Def_Flows[[Flow_ID]:[CC_DM_source]],MATCH(Tab_Data_Flows[[#This Row],[Name(EN)]],Tab_Def_Flows[Name(EN)],0),20)</f>
        <v>#N/A</v>
      </c>
      <c r="AJ303" s="108" t="str">
        <f>IF(L303="Yes",AI303*Tab_Data_Flows[[#This Row],[Flow_Py]]*Tab_Data_Flows[[#This Row],[DM_'[%']]],"N.A.")</f>
        <v>N.A.</v>
      </c>
      <c r="AK303" s="61">
        <f>Tab_Data_Flows[[#This Row],[UoM_Flow_Py]]</f>
        <v>0</v>
      </c>
    </row>
    <row r="304" spans="1:37" x14ac:dyDescent="0.25">
      <c r="A304" s="60">
        <f t="shared" si="8"/>
        <v>303</v>
      </c>
      <c r="B304" s="49" t="str">
        <f>_xlfn.XLOOKUP(C304,Tab_Def_Flows[Name(EN)],Tab_Def_Flows[Flow_ID],,0,)</f>
        <v>F_12_12</v>
      </c>
      <c r="C304" s="51"/>
      <c r="D304" s="49">
        <f>_xlfn.XLOOKUP(C304,Tab_Def_Flows[Name(EN)],Tab_Def_Flows[Type_Biomass],,0,)</f>
        <v>0</v>
      </c>
      <c r="E304" s="49">
        <f>_xlfn.XLOOKUP(C304,Tab_Def_Flows[Name(EN)],Tab_Def_Flows[Output_Process],,0,)</f>
        <v>0</v>
      </c>
      <c r="F304" s="49" t="str">
        <f>_xlfn.XLOOKUP(C304,Tab_Def_Flows[Name(EN)],Tab_Def_Flows[Process_ID_O],,0,)</f>
        <v>12__</v>
      </c>
      <c r="G304" s="49">
        <f>_xlfn.XLOOKUP(C304,Tab_Def_Flows[Name(EN)],Tab_Def_Flows[Input_Process],,0,)</f>
        <v>0</v>
      </c>
      <c r="H304" s="61" t="str">
        <f>_xlfn.XLOOKUP(C304,Tab_Def_Flows[Name(EN)],Tab_Def_Flows[Process_ID_I],,0,)</f>
        <v>12__</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c r="AC304" s="107" t="e">
        <f>INDEX(Tab_Def_Flows[[Flow_ID]:[CC_DM_source]],MATCH(Tab_Data_Flows[[#This Row],[Name(EN)]],Tab_Def_Flows[Name(EN)],0),16)</f>
        <v>#N/A</v>
      </c>
      <c r="AD304" s="108" t="str">
        <f>IF(J304="Yes",AA304*Tab_Data_Flows[[#This Row],[WC_'[%']]],"N.A.")</f>
        <v>N.A.</v>
      </c>
      <c r="AE304" s="61">
        <f>Tab_Data_Flows[[#This Row],[UoM_Flow_Py]]</f>
        <v>0</v>
      </c>
      <c r="AF304" s="107" t="e">
        <f>INDEX(Tab_Def_Flows[[Flow_ID]:[CC_DM_source]],MATCH(Tab_Data_Flows[[#This Row],[Name(EN)]],Tab_Def_Flows[Name(EN)],0),18)</f>
        <v>#N/A</v>
      </c>
      <c r="AG304" s="108" t="str">
        <f>IF(K304="Yes",AF304*Tab_Data_Flows[[#This Row],[Flow_Py]],"N.A.")</f>
        <v>N.A.</v>
      </c>
      <c r="AH304" s="61">
        <f>Tab_Data_Flows[[#This Row],[UoM_Flow_Py]]</f>
        <v>0</v>
      </c>
      <c r="AI304" s="107" t="e">
        <f>INDEX(Tab_Def_Flows[[Flow_ID]:[CC_DM_source]],MATCH(Tab_Data_Flows[[#This Row],[Name(EN)]],Tab_Def_Flows[Name(EN)],0),20)</f>
        <v>#N/A</v>
      </c>
      <c r="AJ304" s="108" t="str">
        <f>IF(L304="Yes",AI304*Tab_Data_Flows[[#This Row],[Flow_Py]]*Tab_Data_Flows[[#This Row],[DM_'[%']]],"N.A.")</f>
        <v>N.A.</v>
      </c>
      <c r="AK304" s="61">
        <f>Tab_Data_Flows[[#This Row],[UoM_Flow_Py]]</f>
        <v>0</v>
      </c>
    </row>
    <row r="305" spans="1:37" x14ac:dyDescent="0.25">
      <c r="A305" s="60">
        <f t="shared" si="8"/>
        <v>304</v>
      </c>
      <c r="B305" s="49" t="str">
        <f>_xlfn.XLOOKUP(C305,Tab_Def_Flows[Name(EN)],Tab_Def_Flows[Flow_ID],,0,)</f>
        <v>F_12_12</v>
      </c>
      <c r="C305" s="51"/>
      <c r="D305" s="49">
        <f>_xlfn.XLOOKUP(C305,Tab_Def_Flows[Name(EN)],Tab_Def_Flows[Type_Biomass],,0,)</f>
        <v>0</v>
      </c>
      <c r="E305" s="49">
        <f>_xlfn.XLOOKUP(C305,Tab_Def_Flows[Name(EN)],Tab_Def_Flows[Output_Process],,0,)</f>
        <v>0</v>
      </c>
      <c r="F305" s="49" t="str">
        <f>_xlfn.XLOOKUP(C305,Tab_Def_Flows[Name(EN)],Tab_Def_Flows[Process_ID_O],,0,)</f>
        <v>12__</v>
      </c>
      <c r="G305" s="49">
        <f>_xlfn.XLOOKUP(C305,Tab_Def_Flows[Name(EN)],Tab_Def_Flows[Input_Process],,0,)</f>
        <v>0</v>
      </c>
      <c r="H305" s="61" t="str">
        <f>_xlfn.XLOOKUP(C305,Tab_Def_Flows[Name(EN)],Tab_Def_Flows[Process_ID_I],,0,)</f>
        <v>12__</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c r="AC305" s="107" t="e">
        <f>INDEX(Tab_Def_Flows[[Flow_ID]:[CC_DM_source]],MATCH(Tab_Data_Flows[[#This Row],[Name(EN)]],Tab_Def_Flows[Name(EN)],0),16)</f>
        <v>#N/A</v>
      </c>
      <c r="AD305" s="108" t="str">
        <f>IF(J305="Yes",AA305*Tab_Data_Flows[[#This Row],[WC_'[%']]],"N.A.")</f>
        <v>N.A.</v>
      </c>
      <c r="AE305" s="61">
        <f>Tab_Data_Flows[[#This Row],[UoM_Flow_Py]]</f>
        <v>0</v>
      </c>
      <c r="AF305" s="107" t="e">
        <f>INDEX(Tab_Def_Flows[[Flow_ID]:[CC_DM_source]],MATCH(Tab_Data_Flows[[#This Row],[Name(EN)]],Tab_Def_Flows[Name(EN)],0),18)</f>
        <v>#N/A</v>
      </c>
      <c r="AG305" s="108" t="str">
        <f>IF(K305="Yes",AF305*Tab_Data_Flows[[#This Row],[Flow_Py]],"N.A.")</f>
        <v>N.A.</v>
      </c>
      <c r="AH305" s="61">
        <f>Tab_Data_Flows[[#This Row],[UoM_Flow_Py]]</f>
        <v>0</v>
      </c>
      <c r="AI305" s="107" t="e">
        <f>INDEX(Tab_Def_Flows[[Flow_ID]:[CC_DM_source]],MATCH(Tab_Data_Flows[[#This Row],[Name(EN)]],Tab_Def_Flows[Name(EN)],0),20)</f>
        <v>#N/A</v>
      </c>
      <c r="AJ305" s="108" t="str">
        <f>IF(L305="Yes",AI305*Tab_Data_Flows[[#This Row],[Flow_Py]]*Tab_Data_Flows[[#This Row],[DM_'[%']]],"N.A.")</f>
        <v>N.A.</v>
      </c>
      <c r="AK305" s="61">
        <f>Tab_Data_Flows[[#This Row],[UoM_Flow_Py]]</f>
        <v>0</v>
      </c>
    </row>
    <row r="306" spans="1:37" x14ac:dyDescent="0.25">
      <c r="A306" s="60">
        <f t="shared" si="8"/>
        <v>305</v>
      </c>
      <c r="B306" s="49" t="str">
        <f>_xlfn.XLOOKUP(C306,Tab_Def_Flows[Name(EN)],Tab_Def_Flows[Flow_ID],,0,)</f>
        <v>F_12_12</v>
      </c>
      <c r="C306" s="51"/>
      <c r="D306" s="49">
        <f>_xlfn.XLOOKUP(C306,Tab_Def_Flows[Name(EN)],Tab_Def_Flows[Type_Biomass],,0,)</f>
        <v>0</v>
      </c>
      <c r="E306" s="49">
        <f>_xlfn.XLOOKUP(C306,Tab_Def_Flows[Name(EN)],Tab_Def_Flows[Output_Process],,0,)</f>
        <v>0</v>
      </c>
      <c r="F306" s="49" t="str">
        <f>_xlfn.XLOOKUP(C306,Tab_Def_Flows[Name(EN)],Tab_Def_Flows[Process_ID_O],,0,)</f>
        <v>12__</v>
      </c>
      <c r="G306" s="49">
        <f>_xlfn.XLOOKUP(C306,Tab_Def_Flows[Name(EN)],Tab_Def_Flows[Input_Process],,0,)</f>
        <v>0</v>
      </c>
      <c r="H306" s="61" t="str">
        <f>_xlfn.XLOOKUP(C306,Tab_Def_Flows[Name(EN)],Tab_Def_Flows[Process_ID_I],,0,)</f>
        <v>12__</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c r="AC306" s="107" t="e">
        <f>INDEX(Tab_Def_Flows[[Flow_ID]:[CC_DM_source]],MATCH(Tab_Data_Flows[[#This Row],[Name(EN)]],Tab_Def_Flows[Name(EN)],0),16)</f>
        <v>#N/A</v>
      </c>
      <c r="AD306" s="108" t="str">
        <f>IF(J306="Yes",AA306*Tab_Data_Flows[[#This Row],[WC_'[%']]],"N.A.")</f>
        <v>N.A.</v>
      </c>
      <c r="AE306" s="61">
        <f>Tab_Data_Flows[[#This Row],[UoM_Flow_Py]]</f>
        <v>0</v>
      </c>
      <c r="AF306" s="107" t="e">
        <f>INDEX(Tab_Def_Flows[[Flow_ID]:[CC_DM_source]],MATCH(Tab_Data_Flows[[#This Row],[Name(EN)]],Tab_Def_Flows[Name(EN)],0),18)</f>
        <v>#N/A</v>
      </c>
      <c r="AG306" s="108" t="str">
        <f>IF(K306="Yes",AF306*Tab_Data_Flows[[#This Row],[Flow_Py]],"N.A.")</f>
        <v>N.A.</v>
      </c>
      <c r="AH306" s="61">
        <f>Tab_Data_Flows[[#This Row],[UoM_Flow_Py]]</f>
        <v>0</v>
      </c>
      <c r="AI306" s="107" t="e">
        <f>INDEX(Tab_Def_Flows[[Flow_ID]:[CC_DM_source]],MATCH(Tab_Data_Flows[[#This Row],[Name(EN)]],Tab_Def_Flows[Name(EN)],0),20)</f>
        <v>#N/A</v>
      </c>
      <c r="AJ306" s="108" t="str">
        <f>IF(L306="Yes",AI306*Tab_Data_Flows[[#This Row],[Flow_Py]]*Tab_Data_Flows[[#This Row],[DM_'[%']]],"N.A.")</f>
        <v>N.A.</v>
      </c>
      <c r="AK306" s="61">
        <f>Tab_Data_Flows[[#This Row],[UoM_Flow_Py]]</f>
        <v>0</v>
      </c>
    </row>
    <row r="307" spans="1:37" x14ac:dyDescent="0.25">
      <c r="A307" s="60">
        <f t="shared" si="8"/>
        <v>306</v>
      </c>
      <c r="B307" s="49" t="str">
        <f>_xlfn.XLOOKUP(C307,Tab_Def_Flows[Name(EN)],Tab_Def_Flows[Flow_ID],,0,)</f>
        <v>F_12_12</v>
      </c>
      <c r="C307" s="51"/>
      <c r="D307" s="49">
        <f>_xlfn.XLOOKUP(C307,Tab_Def_Flows[Name(EN)],Tab_Def_Flows[Type_Biomass],,0,)</f>
        <v>0</v>
      </c>
      <c r="E307" s="49">
        <f>_xlfn.XLOOKUP(C307,Tab_Def_Flows[Name(EN)],Tab_Def_Flows[Output_Process],,0,)</f>
        <v>0</v>
      </c>
      <c r="F307" s="49" t="str">
        <f>_xlfn.XLOOKUP(C307,Tab_Def_Flows[Name(EN)],Tab_Def_Flows[Process_ID_O],,0,)</f>
        <v>12__</v>
      </c>
      <c r="G307" s="49">
        <f>_xlfn.XLOOKUP(C307,Tab_Def_Flows[Name(EN)],Tab_Def_Flows[Input_Process],,0,)</f>
        <v>0</v>
      </c>
      <c r="H307" s="61" t="str">
        <f>_xlfn.XLOOKUP(C307,Tab_Def_Flows[Name(EN)],Tab_Def_Flows[Process_ID_I],,0,)</f>
        <v>12__</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c r="AC307" s="107" t="e">
        <f>INDEX(Tab_Def_Flows[[Flow_ID]:[CC_DM_source]],MATCH(Tab_Data_Flows[[#This Row],[Name(EN)]],Tab_Def_Flows[Name(EN)],0),16)</f>
        <v>#N/A</v>
      </c>
      <c r="AD307" s="108" t="str">
        <f>IF(J307="Yes",AA307*Tab_Data_Flows[[#This Row],[WC_'[%']]],"N.A.")</f>
        <v>N.A.</v>
      </c>
      <c r="AE307" s="61">
        <f>Tab_Data_Flows[[#This Row],[UoM_Flow_Py]]</f>
        <v>0</v>
      </c>
      <c r="AF307" s="107" t="e">
        <f>INDEX(Tab_Def_Flows[[Flow_ID]:[CC_DM_source]],MATCH(Tab_Data_Flows[[#This Row],[Name(EN)]],Tab_Def_Flows[Name(EN)],0),18)</f>
        <v>#N/A</v>
      </c>
      <c r="AG307" s="108" t="str">
        <f>IF(K307="Yes",AF307*Tab_Data_Flows[[#This Row],[Flow_Py]],"N.A.")</f>
        <v>N.A.</v>
      </c>
      <c r="AH307" s="61">
        <f>Tab_Data_Flows[[#This Row],[UoM_Flow_Py]]</f>
        <v>0</v>
      </c>
      <c r="AI307" s="107" t="e">
        <f>INDEX(Tab_Def_Flows[[Flow_ID]:[CC_DM_source]],MATCH(Tab_Data_Flows[[#This Row],[Name(EN)]],Tab_Def_Flows[Name(EN)],0),20)</f>
        <v>#N/A</v>
      </c>
      <c r="AJ307" s="108" t="str">
        <f>IF(L307="Yes",AI307*Tab_Data_Flows[[#This Row],[Flow_Py]]*Tab_Data_Flows[[#This Row],[DM_'[%']]],"N.A.")</f>
        <v>N.A.</v>
      </c>
      <c r="AK307" s="61">
        <f>Tab_Data_Flows[[#This Row],[UoM_Flow_Py]]</f>
        <v>0</v>
      </c>
    </row>
    <row r="308" spans="1:37" x14ac:dyDescent="0.25">
      <c r="A308" s="60">
        <f t="shared" si="8"/>
        <v>307</v>
      </c>
      <c r="B308" s="49" t="str">
        <f>_xlfn.XLOOKUP(C308,Tab_Def_Flows[Name(EN)],Tab_Def_Flows[Flow_ID],,0,)</f>
        <v>F_12_12</v>
      </c>
      <c r="C308" s="51"/>
      <c r="D308" s="49">
        <f>_xlfn.XLOOKUP(C308,Tab_Def_Flows[Name(EN)],Tab_Def_Flows[Type_Biomass],,0,)</f>
        <v>0</v>
      </c>
      <c r="E308" s="49">
        <f>_xlfn.XLOOKUP(C308,Tab_Def_Flows[Name(EN)],Tab_Def_Flows[Output_Process],,0,)</f>
        <v>0</v>
      </c>
      <c r="F308" s="49" t="str">
        <f>_xlfn.XLOOKUP(C308,Tab_Def_Flows[Name(EN)],Tab_Def_Flows[Process_ID_O],,0,)</f>
        <v>12__</v>
      </c>
      <c r="G308" s="49">
        <f>_xlfn.XLOOKUP(C308,Tab_Def_Flows[Name(EN)],Tab_Def_Flows[Input_Process],,0,)</f>
        <v>0</v>
      </c>
      <c r="H308" s="61" t="str">
        <f>_xlfn.XLOOKUP(C308,Tab_Def_Flows[Name(EN)],Tab_Def_Flows[Process_ID_I],,0,)</f>
        <v>12__</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c r="AC308" s="107" t="e">
        <f>INDEX(Tab_Def_Flows[[Flow_ID]:[CC_DM_source]],MATCH(Tab_Data_Flows[[#This Row],[Name(EN)]],Tab_Def_Flows[Name(EN)],0),16)</f>
        <v>#N/A</v>
      </c>
      <c r="AD308" s="108" t="str">
        <f>IF(J308="Yes",AA308*Tab_Data_Flows[[#This Row],[WC_'[%']]],"N.A.")</f>
        <v>N.A.</v>
      </c>
      <c r="AE308" s="61">
        <f>Tab_Data_Flows[[#This Row],[UoM_Flow_Py]]</f>
        <v>0</v>
      </c>
      <c r="AF308" s="107" t="e">
        <f>INDEX(Tab_Def_Flows[[Flow_ID]:[CC_DM_source]],MATCH(Tab_Data_Flows[[#This Row],[Name(EN)]],Tab_Def_Flows[Name(EN)],0),18)</f>
        <v>#N/A</v>
      </c>
      <c r="AG308" s="108" t="str">
        <f>IF(K308="Yes",AF308*Tab_Data_Flows[[#This Row],[Flow_Py]],"N.A.")</f>
        <v>N.A.</v>
      </c>
      <c r="AH308" s="61">
        <f>Tab_Data_Flows[[#This Row],[UoM_Flow_Py]]</f>
        <v>0</v>
      </c>
      <c r="AI308" s="107" t="e">
        <f>INDEX(Tab_Def_Flows[[Flow_ID]:[CC_DM_source]],MATCH(Tab_Data_Flows[[#This Row],[Name(EN)]],Tab_Def_Flows[Name(EN)],0),20)</f>
        <v>#N/A</v>
      </c>
      <c r="AJ308" s="108" t="str">
        <f>IF(L308="Yes",AI308*Tab_Data_Flows[[#This Row],[Flow_Py]]*Tab_Data_Flows[[#This Row],[DM_'[%']]],"N.A.")</f>
        <v>N.A.</v>
      </c>
      <c r="AK308" s="61">
        <f>Tab_Data_Flows[[#This Row],[UoM_Flow_Py]]</f>
        <v>0</v>
      </c>
    </row>
    <row r="309" spans="1:37" x14ac:dyDescent="0.25">
      <c r="A309" s="60">
        <f t="shared" si="8"/>
        <v>308</v>
      </c>
      <c r="B309" s="49" t="str">
        <f>_xlfn.XLOOKUP(C309,Tab_Def_Flows[Name(EN)],Tab_Def_Flows[Flow_ID],,0,)</f>
        <v>F_12_12</v>
      </c>
      <c r="C309" s="51"/>
      <c r="D309" s="49">
        <f>_xlfn.XLOOKUP(C309,Tab_Def_Flows[Name(EN)],Tab_Def_Flows[Type_Biomass],,0,)</f>
        <v>0</v>
      </c>
      <c r="E309" s="49">
        <f>_xlfn.XLOOKUP(C309,Tab_Def_Flows[Name(EN)],Tab_Def_Flows[Output_Process],,0,)</f>
        <v>0</v>
      </c>
      <c r="F309" s="49" t="str">
        <f>_xlfn.XLOOKUP(C309,Tab_Def_Flows[Name(EN)],Tab_Def_Flows[Process_ID_O],,0,)</f>
        <v>12__</v>
      </c>
      <c r="G309" s="49">
        <f>_xlfn.XLOOKUP(C309,Tab_Def_Flows[Name(EN)],Tab_Def_Flows[Input_Process],,0,)</f>
        <v>0</v>
      </c>
      <c r="H309" s="61" t="str">
        <f>_xlfn.XLOOKUP(C309,Tab_Def_Flows[Name(EN)],Tab_Def_Flows[Process_ID_I],,0,)</f>
        <v>12__</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c r="AC309" s="107" t="e">
        <f>INDEX(Tab_Def_Flows[[Flow_ID]:[CC_DM_source]],MATCH(Tab_Data_Flows[[#This Row],[Name(EN)]],Tab_Def_Flows[Name(EN)],0),16)</f>
        <v>#N/A</v>
      </c>
      <c r="AD309" s="108" t="str">
        <f>IF(J309="Yes",AA309*Tab_Data_Flows[[#This Row],[WC_'[%']]],"N.A.")</f>
        <v>N.A.</v>
      </c>
      <c r="AE309" s="61">
        <f>Tab_Data_Flows[[#This Row],[UoM_Flow_Py]]</f>
        <v>0</v>
      </c>
      <c r="AF309" s="107" t="e">
        <f>INDEX(Tab_Def_Flows[[Flow_ID]:[CC_DM_source]],MATCH(Tab_Data_Flows[[#This Row],[Name(EN)]],Tab_Def_Flows[Name(EN)],0),18)</f>
        <v>#N/A</v>
      </c>
      <c r="AG309" s="108" t="str">
        <f>IF(K309="Yes",AF309*Tab_Data_Flows[[#This Row],[Flow_Py]],"N.A.")</f>
        <v>N.A.</v>
      </c>
      <c r="AH309" s="61">
        <f>Tab_Data_Flows[[#This Row],[UoM_Flow_Py]]</f>
        <v>0</v>
      </c>
      <c r="AI309" s="107" t="e">
        <f>INDEX(Tab_Def_Flows[[Flow_ID]:[CC_DM_source]],MATCH(Tab_Data_Flows[[#This Row],[Name(EN)]],Tab_Def_Flows[Name(EN)],0),20)</f>
        <v>#N/A</v>
      </c>
      <c r="AJ309" s="108" t="str">
        <f>IF(L309="Yes",AI309*Tab_Data_Flows[[#This Row],[Flow_Py]]*Tab_Data_Flows[[#This Row],[DM_'[%']]],"N.A.")</f>
        <v>N.A.</v>
      </c>
      <c r="AK309" s="61">
        <f>Tab_Data_Flows[[#This Row],[UoM_Flow_Py]]</f>
        <v>0</v>
      </c>
    </row>
    <row r="310" spans="1:37" x14ac:dyDescent="0.25">
      <c r="A310" s="60">
        <f t="shared" si="8"/>
        <v>309</v>
      </c>
      <c r="B310" s="49" t="str">
        <f>_xlfn.XLOOKUP(C310,Tab_Def_Flows[Name(EN)],Tab_Def_Flows[Flow_ID],,0,)</f>
        <v>F_12_12</v>
      </c>
      <c r="C310" s="51"/>
      <c r="D310" s="49">
        <f>_xlfn.XLOOKUP(C310,Tab_Def_Flows[Name(EN)],Tab_Def_Flows[Type_Biomass],,0,)</f>
        <v>0</v>
      </c>
      <c r="E310" s="49">
        <f>_xlfn.XLOOKUP(C310,Tab_Def_Flows[Name(EN)],Tab_Def_Flows[Output_Process],,0,)</f>
        <v>0</v>
      </c>
      <c r="F310" s="49" t="str">
        <f>_xlfn.XLOOKUP(C310,Tab_Def_Flows[Name(EN)],Tab_Def_Flows[Process_ID_O],,0,)</f>
        <v>12__</v>
      </c>
      <c r="G310" s="49">
        <f>_xlfn.XLOOKUP(C310,Tab_Def_Flows[Name(EN)],Tab_Def_Flows[Input_Process],,0,)</f>
        <v>0</v>
      </c>
      <c r="H310" s="61" t="str">
        <f>_xlfn.XLOOKUP(C310,Tab_Def_Flows[Name(EN)],Tab_Def_Flows[Process_ID_I],,0,)</f>
        <v>12__</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c r="AC310" s="107" t="e">
        <f>INDEX(Tab_Def_Flows[[Flow_ID]:[CC_DM_source]],MATCH(Tab_Data_Flows[[#This Row],[Name(EN)]],Tab_Def_Flows[Name(EN)],0),16)</f>
        <v>#N/A</v>
      </c>
      <c r="AD310" s="108" t="str">
        <f>IF(J310="Yes",AA310*Tab_Data_Flows[[#This Row],[WC_'[%']]],"N.A.")</f>
        <v>N.A.</v>
      </c>
      <c r="AE310" s="61">
        <f>Tab_Data_Flows[[#This Row],[UoM_Flow_Py]]</f>
        <v>0</v>
      </c>
      <c r="AF310" s="107" t="e">
        <f>INDEX(Tab_Def_Flows[[Flow_ID]:[CC_DM_source]],MATCH(Tab_Data_Flows[[#This Row],[Name(EN)]],Tab_Def_Flows[Name(EN)],0),18)</f>
        <v>#N/A</v>
      </c>
      <c r="AG310" s="108" t="str">
        <f>IF(K310="Yes",AF310*Tab_Data_Flows[[#This Row],[Flow_Py]],"N.A.")</f>
        <v>N.A.</v>
      </c>
      <c r="AH310" s="61">
        <f>Tab_Data_Flows[[#This Row],[UoM_Flow_Py]]</f>
        <v>0</v>
      </c>
      <c r="AI310" s="107" t="e">
        <f>INDEX(Tab_Def_Flows[[Flow_ID]:[CC_DM_source]],MATCH(Tab_Data_Flows[[#This Row],[Name(EN)]],Tab_Def_Flows[Name(EN)],0),20)</f>
        <v>#N/A</v>
      </c>
      <c r="AJ310" s="108" t="str">
        <f>IF(L310="Yes",AI310*Tab_Data_Flows[[#This Row],[Flow_Py]]*Tab_Data_Flows[[#This Row],[DM_'[%']]],"N.A.")</f>
        <v>N.A.</v>
      </c>
      <c r="AK310" s="61">
        <f>Tab_Data_Flows[[#This Row],[UoM_Flow_Py]]</f>
        <v>0</v>
      </c>
    </row>
    <row r="311" spans="1:37" x14ac:dyDescent="0.25">
      <c r="A311" s="60">
        <f t="shared" si="8"/>
        <v>310</v>
      </c>
      <c r="B311" s="49" t="str">
        <f>_xlfn.XLOOKUP(C311,Tab_Def_Flows[Name(EN)],Tab_Def_Flows[Flow_ID],,0,)</f>
        <v>F_12_12</v>
      </c>
      <c r="C311" s="51"/>
      <c r="D311" s="49">
        <f>_xlfn.XLOOKUP(C311,Tab_Def_Flows[Name(EN)],Tab_Def_Flows[Type_Biomass],,0,)</f>
        <v>0</v>
      </c>
      <c r="E311" s="49">
        <f>_xlfn.XLOOKUP(C311,Tab_Def_Flows[Name(EN)],Tab_Def_Flows[Output_Process],,0,)</f>
        <v>0</v>
      </c>
      <c r="F311" s="49" t="str">
        <f>_xlfn.XLOOKUP(C311,Tab_Def_Flows[Name(EN)],Tab_Def_Flows[Process_ID_O],,0,)</f>
        <v>12__</v>
      </c>
      <c r="G311" s="49">
        <f>_xlfn.XLOOKUP(C311,Tab_Def_Flows[Name(EN)],Tab_Def_Flows[Input_Process],,0,)</f>
        <v>0</v>
      </c>
      <c r="H311" s="61" t="str">
        <f>_xlfn.XLOOKUP(C311,Tab_Def_Flows[Name(EN)],Tab_Def_Flows[Process_ID_I],,0,)</f>
        <v>12__</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c r="AC311" s="107" t="e">
        <f>INDEX(Tab_Def_Flows[[Flow_ID]:[CC_DM_source]],MATCH(Tab_Data_Flows[[#This Row],[Name(EN)]],Tab_Def_Flows[Name(EN)],0),16)</f>
        <v>#N/A</v>
      </c>
      <c r="AD311" s="108" t="str">
        <f>IF(J311="Yes",AA311*Tab_Data_Flows[[#This Row],[WC_'[%']]],"N.A.")</f>
        <v>N.A.</v>
      </c>
      <c r="AE311" s="61">
        <f>Tab_Data_Flows[[#This Row],[UoM_Flow_Py]]</f>
        <v>0</v>
      </c>
      <c r="AF311" s="107" t="e">
        <f>INDEX(Tab_Def_Flows[[Flow_ID]:[CC_DM_source]],MATCH(Tab_Data_Flows[[#This Row],[Name(EN)]],Tab_Def_Flows[Name(EN)],0),18)</f>
        <v>#N/A</v>
      </c>
      <c r="AG311" s="108" t="str">
        <f>IF(K311="Yes",AF311*Tab_Data_Flows[[#This Row],[Flow_Py]],"N.A.")</f>
        <v>N.A.</v>
      </c>
      <c r="AH311" s="61">
        <f>Tab_Data_Flows[[#This Row],[UoM_Flow_Py]]</f>
        <v>0</v>
      </c>
      <c r="AI311" s="107" t="e">
        <f>INDEX(Tab_Def_Flows[[Flow_ID]:[CC_DM_source]],MATCH(Tab_Data_Flows[[#This Row],[Name(EN)]],Tab_Def_Flows[Name(EN)],0),20)</f>
        <v>#N/A</v>
      </c>
      <c r="AJ311" s="108" t="str">
        <f>IF(L311="Yes",AI311*Tab_Data_Flows[[#This Row],[Flow_Py]]*Tab_Data_Flows[[#This Row],[DM_'[%']]],"N.A.")</f>
        <v>N.A.</v>
      </c>
      <c r="AK311" s="61">
        <f>Tab_Data_Flows[[#This Row],[UoM_Flow_Py]]</f>
        <v>0</v>
      </c>
    </row>
    <row r="312" spans="1:37" x14ac:dyDescent="0.25">
      <c r="A312" s="60">
        <f t="shared" si="8"/>
        <v>311</v>
      </c>
      <c r="B312" s="49" t="str">
        <f>_xlfn.XLOOKUP(C312,Tab_Def_Flows[Name(EN)],Tab_Def_Flows[Flow_ID],,0,)</f>
        <v>F_12_12</v>
      </c>
      <c r="C312" s="51"/>
      <c r="D312" s="49">
        <f>_xlfn.XLOOKUP(C312,Tab_Def_Flows[Name(EN)],Tab_Def_Flows[Type_Biomass],,0,)</f>
        <v>0</v>
      </c>
      <c r="E312" s="49">
        <f>_xlfn.XLOOKUP(C312,Tab_Def_Flows[Name(EN)],Tab_Def_Flows[Output_Process],,0,)</f>
        <v>0</v>
      </c>
      <c r="F312" s="49" t="str">
        <f>_xlfn.XLOOKUP(C312,Tab_Def_Flows[Name(EN)],Tab_Def_Flows[Process_ID_O],,0,)</f>
        <v>12__</v>
      </c>
      <c r="G312" s="49">
        <f>_xlfn.XLOOKUP(C312,Tab_Def_Flows[Name(EN)],Tab_Def_Flows[Input_Process],,0,)</f>
        <v>0</v>
      </c>
      <c r="H312" s="61" t="str">
        <f>_xlfn.XLOOKUP(C312,Tab_Def_Flows[Name(EN)],Tab_Def_Flows[Process_ID_I],,0,)</f>
        <v>12__</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c r="AC312" s="107" t="e">
        <f>INDEX(Tab_Def_Flows[[Flow_ID]:[CC_DM_source]],MATCH(Tab_Data_Flows[[#This Row],[Name(EN)]],Tab_Def_Flows[Name(EN)],0),16)</f>
        <v>#N/A</v>
      </c>
      <c r="AD312" s="108" t="str">
        <f>IF(J312="Yes",AA312*Tab_Data_Flows[[#This Row],[WC_'[%']]],"N.A.")</f>
        <v>N.A.</v>
      </c>
      <c r="AE312" s="61">
        <f>Tab_Data_Flows[[#This Row],[UoM_Flow_Py]]</f>
        <v>0</v>
      </c>
      <c r="AF312" s="107" t="e">
        <f>INDEX(Tab_Def_Flows[[Flow_ID]:[CC_DM_source]],MATCH(Tab_Data_Flows[[#This Row],[Name(EN)]],Tab_Def_Flows[Name(EN)],0),18)</f>
        <v>#N/A</v>
      </c>
      <c r="AG312" s="108" t="str">
        <f>IF(K312="Yes",AF312*Tab_Data_Flows[[#This Row],[Flow_Py]],"N.A.")</f>
        <v>N.A.</v>
      </c>
      <c r="AH312" s="61">
        <f>Tab_Data_Flows[[#This Row],[UoM_Flow_Py]]</f>
        <v>0</v>
      </c>
      <c r="AI312" s="107" t="e">
        <f>INDEX(Tab_Def_Flows[[Flow_ID]:[CC_DM_source]],MATCH(Tab_Data_Flows[[#This Row],[Name(EN)]],Tab_Def_Flows[Name(EN)],0),20)</f>
        <v>#N/A</v>
      </c>
      <c r="AJ312" s="108" t="str">
        <f>IF(L312="Yes",AI312*Tab_Data_Flows[[#This Row],[Flow_Py]]*Tab_Data_Flows[[#This Row],[DM_'[%']]],"N.A.")</f>
        <v>N.A.</v>
      </c>
      <c r="AK312" s="61">
        <f>Tab_Data_Flows[[#This Row],[UoM_Flow_Py]]</f>
        <v>0</v>
      </c>
    </row>
    <row r="313" spans="1:37" x14ac:dyDescent="0.25">
      <c r="A313" s="60">
        <f t="shared" si="8"/>
        <v>312</v>
      </c>
      <c r="B313" s="49" t="str">
        <f>_xlfn.XLOOKUP(C313,Tab_Def_Flows[Name(EN)],Tab_Def_Flows[Flow_ID],,0,)</f>
        <v>F_12_12</v>
      </c>
      <c r="C313" s="51"/>
      <c r="D313" s="49">
        <f>_xlfn.XLOOKUP(C313,Tab_Def_Flows[Name(EN)],Tab_Def_Flows[Type_Biomass],,0,)</f>
        <v>0</v>
      </c>
      <c r="E313" s="49">
        <f>_xlfn.XLOOKUP(C313,Tab_Def_Flows[Name(EN)],Tab_Def_Flows[Output_Process],,0,)</f>
        <v>0</v>
      </c>
      <c r="F313" s="49" t="str">
        <f>_xlfn.XLOOKUP(C313,Tab_Def_Flows[Name(EN)],Tab_Def_Flows[Process_ID_O],,0,)</f>
        <v>12__</v>
      </c>
      <c r="G313" s="49">
        <f>_xlfn.XLOOKUP(C313,Tab_Def_Flows[Name(EN)],Tab_Def_Flows[Input_Process],,0,)</f>
        <v>0</v>
      </c>
      <c r="H313" s="61" t="str">
        <f>_xlfn.XLOOKUP(C313,Tab_Def_Flows[Name(EN)],Tab_Def_Flows[Process_ID_I],,0,)</f>
        <v>12__</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c r="AC313" s="107" t="e">
        <f>INDEX(Tab_Def_Flows[[Flow_ID]:[CC_DM_source]],MATCH(Tab_Data_Flows[[#This Row],[Name(EN)]],Tab_Def_Flows[Name(EN)],0),16)</f>
        <v>#N/A</v>
      </c>
      <c r="AD313" s="108" t="str">
        <f>IF(J313="Yes",AA313*Tab_Data_Flows[[#This Row],[WC_'[%']]],"N.A.")</f>
        <v>N.A.</v>
      </c>
      <c r="AE313" s="61">
        <f>Tab_Data_Flows[[#This Row],[UoM_Flow_Py]]</f>
        <v>0</v>
      </c>
      <c r="AF313" s="107" t="e">
        <f>INDEX(Tab_Def_Flows[[Flow_ID]:[CC_DM_source]],MATCH(Tab_Data_Flows[[#This Row],[Name(EN)]],Tab_Def_Flows[Name(EN)],0),18)</f>
        <v>#N/A</v>
      </c>
      <c r="AG313" s="108" t="str">
        <f>IF(K313="Yes",AF313*Tab_Data_Flows[[#This Row],[Flow_Py]],"N.A.")</f>
        <v>N.A.</v>
      </c>
      <c r="AH313" s="61">
        <f>Tab_Data_Flows[[#This Row],[UoM_Flow_Py]]</f>
        <v>0</v>
      </c>
      <c r="AI313" s="107" t="e">
        <f>INDEX(Tab_Def_Flows[[Flow_ID]:[CC_DM_source]],MATCH(Tab_Data_Flows[[#This Row],[Name(EN)]],Tab_Def_Flows[Name(EN)],0),20)</f>
        <v>#N/A</v>
      </c>
      <c r="AJ313" s="108" t="str">
        <f>IF(L313="Yes",AI313*Tab_Data_Flows[[#This Row],[Flow_Py]]*Tab_Data_Flows[[#This Row],[DM_'[%']]],"N.A.")</f>
        <v>N.A.</v>
      </c>
      <c r="AK313" s="61">
        <f>Tab_Data_Flows[[#This Row],[UoM_Flow_Py]]</f>
        <v>0</v>
      </c>
    </row>
    <row r="314" spans="1:37" x14ac:dyDescent="0.25">
      <c r="A314" s="60">
        <f t="shared" si="8"/>
        <v>313</v>
      </c>
      <c r="B314" s="49" t="str">
        <f>_xlfn.XLOOKUP(C314,Tab_Def_Flows[Name(EN)],Tab_Def_Flows[Flow_ID],,0,)</f>
        <v>F_12_12</v>
      </c>
      <c r="C314" s="51"/>
      <c r="D314" s="49">
        <f>_xlfn.XLOOKUP(C314,Tab_Def_Flows[Name(EN)],Tab_Def_Flows[Type_Biomass],,0,)</f>
        <v>0</v>
      </c>
      <c r="E314" s="49">
        <f>_xlfn.XLOOKUP(C314,Tab_Def_Flows[Name(EN)],Tab_Def_Flows[Output_Process],,0,)</f>
        <v>0</v>
      </c>
      <c r="F314" s="49" t="str">
        <f>_xlfn.XLOOKUP(C314,Tab_Def_Flows[Name(EN)],Tab_Def_Flows[Process_ID_O],,0,)</f>
        <v>12__</v>
      </c>
      <c r="G314" s="49">
        <f>_xlfn.XLOOKUP(C314,Tab_Def_Flows[Name(EN)],Tab_Def_Flows[Input_Process],,0,)</f>
        <v>0</v>
      </c>
      <c r="H314" s="61" t="str">
        <f>_xlfn.XLOOKUP(C314,Tab_Def_Flows[Name(EN)],Tab_Def_Flows[Process_ID_I],,0,)</f>
        <v>12__</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c r="AC314" s="107" t="e">
        <f>INDEX(Tab_Def_Flows[[Flow_ID]:[CC_DM_source]],MATCH(Tab_Data_Flows[[#This Row],[Name(EN)]],Tab_Def_Flows[Name(EN)],0),16)</f>
        <v>#N/A</v>
      </c>
      <c r="AD314" s="108" t="str">
        <f>IF(J314="Yes",AA314*Tab_Data_Flows[[#This Row],[WC_'[%']]],"N.A.")</f>
        <v>N.A.</v>
      </c>
      <c r="AE314" s="61">
        <f>Tab_Data_Flows[[#This Row],[UoM_Flow_Py]]</f>
        <v>0</v>
      </c>
      <c r="AF314" s="107" t="e">
        <f>INDEX(Tab_Def_Flows[[Flow_ID]:[CC_DM_source]],MATCH(Tab_Data_Flows[[#This Row],[Name(EN)]],Tab_Def_Flows[Name(EN)],0),18)</f>
        <v>#N/A</v>
      </c>
      <c r="AG314" s="108" t="str">
        <f>IF(K314="Yes",AF314*Tab_Data_Flows[[#This Row],[Flow_Py]],"N.A.")</f>
        <v>N.A.</v>
      </c>
      <c r="AH314" s="61">
        <f>Tab_Data_Flows[[#This Row],[UoM_Flow_Py]]</f>
        <v>0</v>
      </c>
      <c r="AI314" s="107" t="e">
        <f>INDEX(Tab_Def_Flows[[Flow_ID]:[CC_DM_source]],MATCH(Tab_Data_Flows[[#This Row],[Name(EN)]],Tab_Def_Flows[Name(EN)],0),20)</f>
        <v>#N/A</v>
      </c>
      <c r="AJ314" s="108" t="str">
        <f>IF(L314="Yes",AI314*Tab_Data_Flows[[#This Row],[Flow_Py]]*Tab_Data_Flows[[#This Row],[DM_'[%']]],"N.A.")</f>
        <v>N.A.</v>
      </c>
      <c r="AK314" s="61">
        <f>Tab_Data_Flows[[#This Row],[UoM_Flow_Py]]</f>
        <v>0</v>
      </c>
    </row>
    <row r="315" spans="1:37" x14ac:dyDescent="0.25">
      <c r="A315" s="60">
        <f t="shared" si="8"/>
        <v>314</v>
      </c>
      <c r="B315" s="49" t="str">
        <f>_xlfn.XLOOKUP(C315,Tab_Def_Flows[Name(EN)],Tab_Def_Flows[Flow_ID],,0,)</f>
        <v>F_12_12</v>
      </c>
      <c r="C315" s="51"/>
      <c r="D315" s="49">
        <f>_xlfn.XLOOKUP(C315,Tab_Def_Flows[Name(EN)],Tab_Def_Flows[Type_Biomass],,0,)</f>
        <v>0</v>
      </c>
      <c r="E315" s="49">
        <f>_xlfn.XLOOKUP(C315,Tab_Def_Flows[Name(EN)],Tab_Def_Flows[Output_Process],,0,)</f>
        <v>0</v>
      </c>
      <c r="F315" s="49" t="str">
        <f>_xlfn.XLOOKUP(C315,Tab_Def_Flows[Name(EN)],Tab_Def_Flows[Process_ID_O],,0,)</f>
        <v>12__</v>
      </c>
      <c r="G315" s="49">
        <f>_xlfn.XLOOKUP(C315,Tab_Def_Flows[Name(EN)],Tab_Def_Flows[Input_Process],,0,)</f>
        <v>0</v>
      </c>
      <c r="H315" s="61" t="str">
        <f>_xlfn.XLOOKUP(C315,Tab_Def_Flows[Name(EN)],Tab_Def_Flows[Process_ID_I],,0,)</f>
        <v>12__</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c r="AC315" s="107" t="e">
        <f>INDEX(Tab_Def_Flows[[Flow_ID]:[CC_DM_source]],MATCH(Tab_Data_Flows[[#This Row],[Name(EN)]],Tab_Def_Flows[Name(EN)],0),16)</f>
        <v>#N/A</v>
      </c>
      <c r="AD315" s="108" t="str">
        <f>IF(J315="Yes",AA315*Tab_Data_Flows[[#This Row],[WC_'[%']]],"N.A.")</f>
        <v>N.A.</v>
      </c>
      <c r="AE315" s="61">
        <f>Tab_Data_Flows[[#This Row],[UoM_Flow_Py]]</f>
        <v>0</v>
      </c>
      <c r="AF315" s="107" t="e">
        <f>INDEX(Tab_Def_Flows[[Flow_ID]:[CC_DM_source]],MATCH(Tab_Data_Flows[[#This Row],[Name(EN)]],Tab_Def_Flows[Name(EN)],0),18)</f>
        <v>#N/A</v>
      </c>
      <c r="AG315" s="108" t="str">
        <f>IF(K315="Yes",AF315*Tab_Data_Flows[[#This Row],[Flow_Py]],"N.A.")</f>
        <v>N.A.</v>
      </c>
      <c r="AH315" s="61">
        <f>Tab_Data_Flows[[#This Row],[UoM_Flow_Py]]</f>
        <v>0</v>
      </c>
      <c r="AI315" s="107" t="e">
        <f>INDEX(Tab_Def_Flows[[Flow_ID]:[CC_DM_source]],MATCH(Tab_Data_Flows[[#This Row],[Name(EN)]],Tab_Def_Flows[Name(EN)],0),20)</f>
        <v>#N/A</v>
      </c>
      <c r="AJ315" s="108" t="str">
        <f>IF(L315="Yes",AI315*Tab_Data_Flows[[#This Row],[Flow_Py]]*Tab_Data_Flows[[#This Row],[DM_'[%']]],"N.A.")</f>
        <v>N.A.</v>
      </c>
      <c r="AK315" s="61">
        <f>Tab_Data_Flows[[#This Row],[UoM_Flow_Py]]</f>
        <v>0</v>
      </c>
    </row>
    <row r="316" spans="1:37" x14ac:dyDescent="0.25">
      <c r="A316" s="60">
        <f t="shared" si="8"/>
        <v>315</v>
      </c>
      <c r="B316" s="49" t="str">
        <f>_xlfn.XLOOKUP(C316,Tab_Def_Flows[Name(EN)],Tab_Def_Flows[Flow_ID],,0,)</f>
        <v>F_12_12</v>
      </c>
      <c r="C316" s="51"/>
      <c r="D316" s="49">
        <f>_xlfn.XLOOKUP(C316,Tab_Def_Flows[Name(EN)],Tab_Def_Flows[Type_Biomass],,0,)</f>
        <v>0</v>
      </c>
      <c r="E316" s="49">
        <f>_xlfn.XLOOKUP(C316,Tab_Def_Flows[Name(EN)],Tab_Def_Flows[Output_Process],,0,)</f>
        <v>0</v>
      </c>
      <c r="F316" s="49" t="str">
        <f>_xlfn.XLOOKUP(C316,Tab_Def_Flows[Name(EN)],Tab_Def_Flows[Process_ID_O],,0,)</f>
        <v>12__</v>
      </c>
      <c r="G316" s="49">
        <f>_xlfn.XLOOKUP(C316,Tab_Def_Flows[Name(EN)],Tab_Def_Flows[Input_Process],,0,)</f>
        <v>0</v>
      </c>
      <c r="H316" s="61" t="str">
        <f>_xlfn.XLOOKUP(C316,Tab_Def_Flows[Name(EN)],Tab_Def_Flows[Process_ID_I],,0,)</f>
        <v>12__</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c r="AC316" s="107" t="e">
        <f>INDEX(Tab_Def_Flows[[Flow_ID]:[CC_DM_source]],MATCH(Tab_Data_Flows[[#This Row],[Name(EN)]],Tab_Def_Flows[Name(EN)],0),16)</f>
        <v>#N/A</v>
      </c>
      <c r="AD316" s="108" t="str">
        <f>IF(J316="Yes",AA316*Tab_Data_Flows[[#This Row],[WC_'[%']]],"N.A.")</f>
        <v>N.A.</v>
      </c>
      <c r="AE316" s="61">
        <f>Tab_Data_Flows[[#This Row],[UoM_Flow_Py]]</f>
        <v>0</v>
      </c>
      <c r="AF316" s="107" t="e">
        <f>INDEX(Tab_Def_Flows[[Flow_ID]:[CC_DM_source]],MATCH(Tab_Data_Flows[[#This Row],[Name(EN)]],Tab_Def_Flows[Name(EN)],0),18)</f>
        <v>#N/A</v>
      </c>
      <c r="AG316" s="108" t="str">
        <f>IF(K316="Yes",AF316*Tab_Data_Flows[[#This Row],[Flow_Py]],"N.A.")</f>
        <v>N.A.</v>
      </c>
      <c r="AH316" s="61">
        <f>Tab_Data_Flows[[#This Row],[UoM_Flow_Py]]</f>
        <v>0</v>
      </c>
      <c r="AI316" s="107" t="e">
        <f>INDEX(Tab_Def_Flows[[Flow_ID]:[CC_DM_source]],MATCH(Tab_Data_Flows[[#This Row],[Name(EN)]],Tab_Def_Flows[Name(EN)],0),20)</f>
        <v>#N/A</v>
      </c>
      <c r="AJ316" s="108" t="str">
        <f>IF(L316="Yes",AI316*Tab_Data_Flows[[#This Row],[Flow_Py]]*Tab_Data_Flows[[#This Row],[DM_'[%']]],"N.A.")</f>
        <v>N.A.</v>
      </c>
      <c r="AK316" s="61">
        <f>Tab_Data_Flows[[#This Row],[UoM_Flow_Py]]</f>
        <v>0</v>
      </c>
    </row>
    <row r="317" spans="1:37" x14ac:dyDescent="0.25">
      <c r="A317" s="60">
        <f t="shared" si="8"/>
        <v>316</v>
      </c>
      <c r="B317" s="49" t="str">
        <f>_xlfn.XLOOKUP(C317,Tab_Def_Flows[Name(EN)],Tab_Def_Flows[Flow_ID],,0,)</f>
        <v>F_12_12</v>
      </c>
      <c r="C317" s="51"/>
      <c r="D317" s="49">
        <f>_xlfn.XLOOKUP(C317,Tab_Def_Flows[Name(EN)],Tab_Def_Flows[Type_Biomass],,0,)</f>
        <v>0</v>
      </c>
      <c r="E317" s="49">
        <f>_xlfn.XLOOKUP(C317,Tab_Def_Flows[Name(EN)],Tab_Def_Flows[Output_Process],,0,)</f>
        <v>0</v>
      </c>
      <c r="F317" s="49" t="str">
        <f>_xlfn.XLOOKUP(C317,Tab_Def_Flows[Name(EN)],Tab_Def_Flows[Process_ID_O],,0,)</f>
        <v>12__</v>
      </c>
      <c r="G317" s="49">
        <f>_xlfn.XLOOKUP(C317,Tab_Def_Flows[Name(EN)],Tab_Def_Flows[Input_Process],,0,)</f>
        <v>0</v>
      </c>
      <c r="H317" s="61" t="str">
        <f>_xlfn.XLOOKUP(C317,Tab_Def_Flows[Name(EN)],Tab_Def_Flows[Process_ID_I],,0,)</f>
        <v>12__</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c r="AC317" s="107" t="e">
        <f>INDEX(Tab_Def_Flows[[Flow_ID]:[CC_DM_source]],MATCH(Tab_Data_Flows[[#This Row],[Name(EN)]],Tab_Def_Flows[Name(EN)],0),16)</f>
        <v>#N/A</v>
      </c>
      <c r="AD317" s="108" t="str">
        <f>IF(J317="Yes",AA317*Tab_Data_Flows[[#This Row],[WC_'[%']]],"N.A.")</f>
        <v>N.A.</v>
      </c>
      <c r="AE317" s="61">
        <f>Tab_Data_Flows[[#This Row],[UoM_Flow_Py]]</f>
        <v>0</v>
      </c>
      <c r="AF317" s="107" t="e">
        <f>INDEX(Tab_Def_Flows[[Flow_ID]:[CC_DM_source]],MATCH(Tab_Data_Flows[[#This Row],[Name(EN)]],Tab_Def_Flows[Name(EN)],0),18)</f>
        <v>#N/A</v>
      </c>
      <c r="AG317" s="108" t="str">
        <f>IF(K317="Yes",AF317*Tab_Data_Flows[[#This Row],[Flow_Py]],"N.A.")</f>
        <v>N.A.</v>
      </c>
      <c r="AH317" s="61">
        <f>Tab_Data_Flows[[#This Row],[UoM_Flow_Py]]</f>
        <v>0</v>
      </c>
      <c r="AI317" s="107" t="e">
        <f>INDEX(Tab_Def_Flows[[Flow_ID]:[CC_DM_source]],MATCH(Tab_Data_Flows[[#This Row],[Name(EN)]],Tab_Def_Flows[Name(EN)],0),20)</f>
        <v>#N/A</v>
      </c>
      <c r="AJ317" s="108" t="str">
        <f>IF(L317="Yes",AI317*Tab_Data_Flows[[#This Row],[Flow_Py]]*Tab_Data_Flows[[#This Row],[DM_'[%']]],"N.A.")</f>
        <v>N.A.</v>
      </c>
      <c r="AK317" s="61">
        <f>Tab_Data_Flows[[#This Row],[UoM_Flow_Py]]</f>
        <v>0</v>
      </c>
    </row>
    <row r="318" spans="1:37" x14ac:dyDescent="0.25">
      <c r="A318" s="60">
        <f t="shared" si="8"/>
        <v>317</v>
      </c>
      <c r="B318" s="49" t="str">
        <f>_xlfn.XLOOKUP(C318,Tab_Def_Flows[Name(EN)],Tab_Def_Flows[Flow_ID],,0,)</f>
        <v>F_12_12</v>
      </c>
      <c r="C318" s="51"/>
      <c r="D318" s="49">
        <f>_xlfn.XLOOKUP(C318,Tab_Def_Flows[Name(EN)],Tab_Def_Flows[Type_Biomass],,0,)</f>
        <v>0</v>
      </c>
      <c r="E318" s="49">
        <f>_xlfn.XLOOKUP(C318,Tab_Def_Flows[Name(EN)],Tab_Def_Flows[Output_Process],,0,)</f>
        <v>0</v>
      </c>
      <c r="F318" s="49" t="str">
        <f>_xlfn.XLOOKUP(C318,Tab_Def_Flows[Name(EN)],Tab_Def_Flows[Process_ID_O],,0,)</f>
        <v>12__</v>
      </c>
      <c r="G318" s="49">
        <f>_xlfn.XLOOKUP(C318,Tab_Def_Flows[Name(EN)],Tab_Def_Flows[Input_Process],,0,)</f>
        <v>0</v>
      </c>
      <c r="H318" s="61" t="str">
        <f>_xlfn.XLOOKUP(C318,Tab_Def_Flows[Name(EN)],Tab_Def_Flows[Process_ID_I],,0,)</f>
        <v>12__</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c r="AC318" s="107" t="e">
        <f>INDEX(Tab_Def_Flows[[Flow_ID]:[CC_DM_source]],MATCH(Tab_Data_Flows[[#This Row],[Name(EN)]],Tab_Def_Flows[Name(EN)],0),16)</f>
        <v>#N/A</v>
      </c>
      <c r="AD318" s="108" t="str">
        <f>IF(J318="Yes",AA318*Tab_Data_Flows[[#This Row],[WC_'[%']]],"N.A.")</f>
        <v>N.A.</v>
      </c>
      <c r="AE318" s="61">
        <f>Tab_Data_Flows[[#This Row],[UoM_Flow_Py]]</f>
        <v>0</v>
      </c>
      <c r="AF318" s="107" t="e">
        <f>INDEX(Tab_Def_Flows[[Flow_ID]:[CC_DM_source]],MATCH(Tab_Data_Flows[[#This Row],[Name(EN)]],Tab_Def_Flows[Name(EN)],0),18)</f>
        <v>#N/A</v>
      </c>
      <c r="AG318" s="108" t="str">
        <f>IF(K318="Yes",AF318*Tab_Data_Flows[[#This Row],[Flow_Py]],"N.A.")</f>
        <v>N.A.</v>
      </c>
      <c r="AH318" s="61">
        <f>Tab_Data_Flows[[#This Row],[UoM_Flow_Py]]</f>
        <v>0</v>
      </c>
      <c r="AI318" s="107" t="e">
        <f>INDEX(Tab_Def_Flows[[Flow_ID]:[CC_DM_source]],MATCH(Tab_Data_Flows[[#This Row],[Name(EN)]],Tab_Def_Flows[Name(EN)],0),20)</f>
        <v>#N/A</v>
      </c>
      <c r="AJ318" s="108" t="str">
        <f>IF(L318="Yes",AI318*Tab_Data_Flows[[#This Row],[Flow_Py]]*Tab_Data_Flows[[#This Row],[DM_'[%']]],"N.A.")</f>
        <v>N.A.</v>
      </c>
      <c r="AK318" s="61">
        <f>Tab_Data_Flows[[#This Row],[UoM_Flow_Py]]</f>
        <v>0</v>
      </c>
    </row>
    <row r="319" spans="1:37" x14ac:dyDescent="0.25">
      <c r="A319" s="60">
        <f t="shared" si="8"/>
        <v>318</v>
      </c>
      <c r="B319" s="49" t="str">
        <f>_xlfn.XLOOKUP(C319,Tab_Def_Flows[Name(EN)],Tab_Def_Flows[Flow_ID],,0,)</f>
        <v>F_12_12</v>
      </c>
      <c r="C319" s="51"/>
      <c r="D319" s="49">
        <f>_xlfn.XLOOKUP(C319,Tab_Def_Flows[Name(EN)],Tab_Def_Flows[Type_Biomass],,0,)</f>
        <v>0</v>
      </c>
      <c r="E319" s="49">
        <f>_xlfn.XLOOKUP(C319,Tab_Def_Flows[Name(EN)],Tab_Def_Flows[Output_Process],,0,)</f>
        <v>0</v>
      </c>
      <c r="F319" s="49" t="str">
        <f>_xlfn.XLOOKUP(C319,Tab_Def_Flows[Name(EN)],Tab_Def_Flows[Process_ID_O],,0,)</f>
        <v>12__</v>
      </c>
      <c r="G319" s="49">
        <f>_xlfn.XLOOKUP(C319,Tab_Def_Flows[Name(EN)],Tab_Def_Flows[Input_Process],,0,)</f>
        <v>0</v>
      </c>
      <c r="H319" s="61" t="str">
        <f>_xlfn.XLOOKUP(C319,Tab_Def_Flows[Name(EN)],Tab_Def_Flows[Process_ID_I],,0,)</f>
        <v>12__</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c r="AC319" s="107" t="e">
        <f>INDEX(Tab_Def_Flows[[Flow_ID]:[CC_DM_source]],MATCH(Tab_Data_Flows[[#This Row],[Name(EN)]],Tab_Def_Flows[Name(EN)],0),16)</f>
        <v>#N/A</v>
      </c>
      <c r="AD319" s="108" t="str">
        <f>IF(J319="Yes",AA319*Tab_Data_Flows[[#This Row],[WC_'[%']]],"N.A.")</f>
        <v>N.A.</v>
      </c>
      <c r="AE319" s="61">
        <f>Tab_Data_Flows[[#This Row],[UoM_Flow_Py]]</f>
        <v>0</v>
      </c>
      <c r="AF319" s="107" t="e">
        <f>INDEX(Tab_Def_Flows[[Flow_ID]:[CC_DM_source]],MATCH(Tab_Data_Flows[[#This Row],[Name(EN)]],Tab_Def_Flows[Name(EN)],0),18)</f>
        <v>#N/A</v>
      </c>
      <c r="AG319" s="108" t="str">
        <f>IF(K319="Yes",AF319*Tab_Data_Flows[[#This Row],[Flow_Py]],"N.A.")</f>
        <v>N.A.</v>
      </c>
      <c r="AH319" s="61">
        <f>Tab_Data_Flows[[#This Row],[UoM_Flow_Py]]</f>
        <v>0</v>
      </c>
      <c r="AI319" s="107" t="e">
        <f>INDEX(Tab_Def_Flows[[Flow_ID]:[CC_DM_source]],MATCH(Tab_Data_Flows[[#This Row],[Name(EN)]],Tab_Def_Flows[Name(EN)],0),20)</f>
        <v>#N/A</v>
      </c>
      <c r="AJ319" s="108" t="str">
        <f>IF(L319="Yes",AI319*Tab_Data_Flows[[#This Row],[Flow_Py]]*Tab_Data_Flows[[#This Row],[DM_'[%']]],"N.A.")</f>
        <v>N.A.</v>
      </c>
      <c r="AK319" s="61">
        <f>Tab_Data_Flows[[#This Row],[UoM_Flow_Py]]</f>
        <v>0</v>
      </c>
    </row>
    <row r="320" spans="1:37" x14ac:dyDescent="0.25">
      <c r="A320" s="60">
        <f t="shared" si="8"/>
        <v>319</v>
      </c>
      <c r="B320" s="49" t="str">
        <f>_xlfn.XLOOKUP(C320,Tab_Def_Flows[Name(EN)],Tab_Def_Flows[Flow_ID],,0,)</f>
        <v>F_12_12</v>
      </c>
      <c r="C320" s="51"/>
      <c r="D320" s="49">
        <f>_xlfn.XLOOKUP(C320,Tab_Def_Flows[Name(EN)],Tab_Def_Flows[Type_Biomass],,0,)</f>
        <v>0</v>
      </c>
      <c r="E320" s="49">
        <f>_xlfn.XLOOKUP(C320,Tab_Def_Flows[Name(EN)],Tab_Def_Flows[Output_Process],,0,)</f>
        <v>0</v>
      </c>
      <c r="F320" s="49" t="str">
        <f>_xlfn.XLOOKUP(C320,Tab_Def_Flows[Name(EN)],Tab_Def_Flows[Process_ID_O],,0,)</f>
        <v>12__</v>
      </c>
      <c r="G320" s="49">
        <f>_xlfn.XLOOKUP(C320,Tab_Def_Flows[Name(EN)],Tab_Def_Flows[Input_Process],,0,)</f>
        <v>0</v>
      </c>
      <c r="H320" s="61" t="str">
        <f>_xlfn.XLOOKUP(C320,Tab_Def_Flows[Name(EN)],Tab_Def_Flows[Process_ID_I],,0,)</f>
        <v>12__</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c r="AC320" s="107" t="e">
        <f>INDEX(Tab_Def_Flows[[Flow_ID]:[CC_DM_source]],MATCH(Tab_Data_Flows[[#This Row],[Name(EN)]],Tab_Def_Flows[Name(EN)],0),16)</f>
        <v>#N/A</v>
      </c>
      <c r="AD320" s="108" t="str">
        <f>IF(J320="Yes",AA320*Tab_Data_Flows[[#This Row],[WC_'[%']]],"N.A.")</f>
        <v>N.A.</v>
      </c>
      <c r="AE320" s="61">
        <f>Tab_Data_Flows[[#This Row],[UoM_Flow_Py]]</f>
        <v>0</v>
      </c>
      <c r="AF320" s="107" t="e">
        <f>INDEX(Tab_Def_Flows[[Flow_ID]:[CC_DM_source]],MATCH(Tab_Data_Flows[[#This Row],[Name(EN)]],Tab_Def_Flows[Name(EN)],0),18)</f>
        <v>#N/A</v>
      </c>
      <c r="AG320" s="108" t="str">
        <f>IF(K320="Yes",AF320*Tab_Data_Flows[[#This Row],[Flow_Py]],"N.A.")</f>
        <v>N.A.</v>
      </c>
      <c r="AH320" s="61">
        <f>Tab_Data_Flows[[#This Row],[UoM_Flow_Py]]</f>
        <v>0</v>
      </c>
      <c r="AI320" s="107" t="e">
        <f>INDEX(Tab_Def_Flows[[Flow_ID]:[CC_DM_source]],MATCH(Tab_Data_Flows[[#This Row],[Name(EN)]],Tab_Def_Flows[Name(EN)],0),20)</f>
        <v>#N/A</v>
      </c>
      <c r="AJ320" s="108" t="str">
        <f>IF(L320="Yes",AI320*Tab_Data_Flows[[#This Row],[Flow_Py]]*Tab_Data_Flows[[#This Row],[DM_'[%']]],"N.A.")</f>
        <v>N.A.</v>
      </c>
      <c r="AK320" s="61">
        <f>Tab_Data_Flows[[#This Row],[UoM_Flow_Py]]</f>
        <v>0</v>
      </c>
    </row>
    <row r="321" spans="1:37" x14ac:dyDescent="0.25">
      <c r="A321" s="60">
        <f t="shared" si="8"/>
        <v>320</v>
      </c>
      <c r="B321" s="49" t="str">
        <f>_xlfn.XLOOKUP(C321,Tab_Def_Flows[Name(EN)],Tab_Def_Flows[Flow_ID],,0,)</f>
        <v>F_12_12</v>
      </c>
      <c r="C321" s="51"/>
      <c r="D321" s="49">
        <f>_xlfn.XLOOKUP(C321,Tab_Def_Flows[Name(EN)],Tab_Def_Flows[Type_Biomass],,0,)</f>
        <v>0</v>
      </c>
      <c r="E321" s="49">
        <f>_xlfn.XLOOKUP(C321,Tab_Def_Flows[Name(EN)],Tab_Def_Flows[Output_Process],,0,)</f>
        <v>0</v>
      </c>
      <c r="F321" s="49" t="str">
        <f>_xlfn.XLOOKUP(C321,Tab_Def_Flows[Name(EN)],Tab_Def_Flows[Process_ID_O],,0,)</f>
        <v>12__</v>
      </c>
      <c r="G321" s="49">
        <f>_xlfn.XLOOKUP(C321,Tab_Def_Flows[Name(EN)],Tab_Def_Flows[Input_Process],,0,)</f>
        <v>0</v>
      </c>
      <c r="H321" s="61" t="str">
        <f>_xlfn.XLOOKUP(C321,Tab_Def_Flows[Name(EN)],Tab_Def_Flows[Process_ID_I],,0,)</f>
        <v>12__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c r="AC321" s="107" t="e">
        <f>INDEX(Tab_Def_Flows[[Flow_ID]:[CC_DM_source]],MATCH(Tab_Data_Flows[[#This Row],[Name(EN)]],Tab_Def_Flows[Name(EN)],0),16)</f>
        <v>#N/A</v>
      </c>
      <c r="AD321" s="108" t="str">
        <f>IF(J321="Yes",AA321*Tab_Data_Flows[[#This Row],[WC_'[%']]],"N.A.")</f>
        <v>N.A.</v>
      </c>
      <c r="AE321" s="61">
        <f>Tab_Data_Flows[[#This Row],[UoM_Flow_Py]]</f>
        <v>0</v>
      </c>
      <c r="AF321" s="107" t="e">
        <f>INDEX(Tab_Def_Flows[[Flow_ID]:[CC_DM_source]],MATCH(Tab_Data_Flows[[#This Row],[Name(EN)]],Tab_Def_Flows[Name(EN)],0),18)</f>
        <v>#N/A</v>
      </c>
      <c r="AG321" s="108" t="str">
        <f>IF(K321="Yes",AF321*Tab_Data_Flows[[#This Row],[Flow_Py]],"N.A.")</f>
        <v>N.A.</v>
      </c>
      <c r="AH321" s="61">
        <f>Tab_Data_Flows[[#This Row],[UoM_Flow_Py]]</f>
        <v>0</v>
      </c>
      <c r="AI321" s="107" t="e">
        <f>INDEX(Tab_Def_Flows[[Flow_ID]:[CC_DM_source]],MATCH(Tab_Data_Flows[[#This Row],[Name(EN)]],Tab_Def_Flows[Name(EN)],0),20)</f>
        <v>#N/A</v>
      </c>
      <c r="AJ321" s="108" t="str">
        <f>IF(L321="Yes",AI321*Tab_Data_Flows[[#This Row],[Flow_Py]]*Tab_Data_Flows[[#This Row],[DM_'[%']]],"N.A.")</f>
        <v>N.A.</v>
      </c>
      <c r="AK321" s="61">
        <f>Tab_Data_Flows[[#This Row],[UoM_Flow_Py]]</f>
        <v>0</v>
      </c>
    </row>
    <row r="322" spans="1:37" x14ac:dyDescent="0.25">
      <c r="A322" s="60">
        <f t="shared" si="8"/>
        <v>321</v>
      </c>
      <c r="B322" s="49" t="str">
        <f>_xlfn.XLOOKUP(C322,Tab_Def_Flows[Name(EN)],Tab_Def_Flows[Flow_ID],,0,)</f>
        <v>F_12_12</v>
      </c>
      <c r="C322" s="51"/>
      <c r="D322" s="49">
        <f>_xlfn.XLOOKUP(C322,Tab_Def_Flows[Name(EN)],Tab_Def_Flows[Type_Biomass],,0,)</f>
        <v>0</v>
      </c>
      <c r="E322" s="49">
        <f>_xlfn.XLOOKUP(C322,Tab_Def_Flows[Name(EN)],Tab_Def_Flows[Output_Process],,0,)</f>
        <v>0</v>
      </c>
      <c r="F322" s="49" t="str">
        <f>_xlfn.XLOOKUP(C322,Tab_Def_Flows[Name(EN)],Tab_Def_Flows[Process_ID_O],,0,)</f>
        <v>12__</v>
      </c>
      <c r="G322" s="49">
        <f>_xlfn.XLOOKUP(C322,Tab_Def_Flows[Name(EN)],Tab_Def_Flows[Input_Process],,0,)</f>
        <v>0</v>
      </c>
      <c r="H322" s="61" t="str">
        <f>_xlfn.XLOOKUP(C322,Tab_Def_Flows[Name(EN)],Tab_Def_Flows[Process_ID_I],,0,)</f>
        <v>12__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c r="AC322" s="107" t="e">
        <f>INDEX(Tab_Def_Flows[[Flow_ID]:[CC_DM_source]],MATCH(Tab_Data_Flows[[#This Row],[Name(EN)]],Tab_Def_Flows[Name(EN)],0),16)</f>
        <v>#N/A</v>
      </c>
      <c r="AD322" s="108" t="str">
        <f>IF(J322="Yes",AA322*Tab_Data_Flows[[#This Row],[WC_'[%']]],"N.A.")</f>
        <v>N.A.</v>
      </c>
      <c r="AE322" s="61">
        <f>Tab_Data_Flows[[#This Row],[UoM_Flow_Py]]</f>
        <v>0</v>
      </c>
      <c r="AF322" s="107" t="e">
        <f>INDEX(Tab_Def_Flows[[Flow_ID]:[CC_DM_source]],MATCH(Tab_Data_Flows[[#This Row],[Name(EN)]],Tab_Def_Flows[Name(EN)],0),18)</f>
        <v>#N/A</v>
      </c>
      <c r="AG322" s="108" t="str">
        <f>IF(K322="Yes",AF322*Tab_Data_Flows[[#This Row],[Flow_Py]],"N.A.")</f>
        <v>N.A.</v>
      </c>
      <c r="AH322" s="61">
        <f>Tab_Data_Flows[[#This Row],[UoM_Flow_Py]]</f>
        <v>0</v>
      </c>
      <c r="AI322" s="107" t="e">
        <f>INDEX(Tab_Def_Flows[[Flow_ID]:[CC_DM_source]],MATCH(Tab_Data_Flows[[#This Row],[Name(EN)]],Tab_Def_Flows[Name(EN)],0),20)</f>
        <v>#N/A</v>
      </c>
      <c r="AJ322" s="108" t="str">
        <f>IF(L322="Yes",AI322*Tab_Data_Flows[[#This Row],[Flow_Py]]*Tab_Data_Flows[[#This Row],[DM_'[%']]],"N.A.")</f>
        <v>N.A.</v>
      </c>
      <c r="AK322" s="61">
        <f>Tab_Data_Flows[[#This Row],[UoM_Flow_Py]]</f>
        <v>0</v>
      </c>
    </row>
    <row r="323" spans="1:37" x14ac:dyDescent="0.25">
      <c r="A323" s="60">
        <f t="shared" ref="A323:A346" si="11">ROW()-1</f>
        <v>322</v>
      </c>
      <c r="B323" s="49" t="str">
        <f>_xlfn.XLOOKUP(C323,Tab_Def_Flows[Name(EN)],Tab_Def_Flows[Flow_ID],,0,)</f>
        <v>F_12_12</v>
      </c>
      <c r="C323" s="51"/>
      <c r="D323" s="49">
        <f>_xlfn.XLOOKUP(C323,Tab_Def_Flows[Name(EN)],Tab_Def_Flows[Type_Biomass],,0,)</f>
        <v>0</v>
      </c>
      <c r="E323" s="49">
        <f>_xlfn.XLOOKUP(C323,Tab_Def_Flows[Name(EN)],Tab_Def_Flows[Output_Process],,0,)</f>
        <v>0</v>
      </c>
      <c r="F323" s="49" t="str">
        <f>_xlfn.XLOOKUP(C323,Tab_Def_Flows[Name(EN)],Tab_Def_Flows[Process_ID_O],,0,)</f>
        <v>12__</v>
      </c>
      <c r="G323" s="49">
        <f>_xlfn.XLOOKUP(C323,Tab_Def_Flows[Name(EN)],Tab_Def_Flows[Input_Process],,0,)</f>
        <v>0</v>
      </c>
      <c r="H323" s="61" t="str">
        <f>_xlfn.XLOOKUP(C323,Tab_Def_Flows[Name(EN)],Tab_Def_Flows[Process_ID_I],,0,)</f>
        <v>12__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c r="AC323" s="107" t="e">
        <f>INDEX(Tab_Def_Flows[[Flow_ID]:[CC_DM_source]],MATCH(Tab_Data_Flows[[#This Row],[Name(EN)]],Tab_Def_Flows[Name(EN)],0),16)</f>
        <v>#N/A</v>
      </c>
      <c r="AD323" s="108" t="str">
        <f>IF(J323="Yes",AA323*Tab_Data_Flows[[#This Row],[WC_'[%']]],"N.A.")</f>
        <v>N.A.</v>
      </c>
      <c r="AE323" s="61">
        <f>Tab_Data_Flows[[#This Row],[UoM_Flow_Py]]</f>
        <v>0</v>
      </c>
      <c r="AF323" s="107" t="e">
        <f>INDEX(Tab_Def_Flows[[Flow_ID]:[CC_DM_source]],MATCH(Tab_Data_Flows[[#This Row],[Name(EN)]],Tab_Def_Flows[Name(EN)],0),18)</f>
        <v>#N/A</v>
      </c>
      <c r="AG323" s="108" t="str">
        <f>IF(K323="Yes",AF323*Tab_Data_Flows[[#This Row],[Flow_Py]],"N.A.")</f>
        <v>N.A.</v>
      </c>
      <c r="AH323" s="61">
        <f>Tab_Data_Flows[[#This Row],[UoM_Flow_Py]]</f>
        <v>0</v>
      </c>
      <c r="AI323" s="107" t="e">
        <f>INDEX(Tab_Def_Flows[[Flow_ID]:[CC_DM_source]],MATCH(Tab_Data_Flows[[#This Row],[Name(EN)]],Tab_Def_Flows[Name(EN)],0),20)</f>
        <v>#N/A</v>
      </c>
      <c r="AJ323" s="108" t="str">
        <f>IF(L323="Yes",AI323*Tab_Data_Flows[[#This Row],[Flow_Py]]*Tab_Data_Flows[[#This Row],[DM_'[%']]],"N.A.")</f>
        <v>N.A.</v>
      </c>
      <c r="AK323" s="61">
        <f>Tab_Data_Flows[[#This Row],[UoM_Flow_Py]]</f>
        <v>0</v>
      </c>
    </row>
    <row r="324" spans="1:37" x14ac:dyDescent="0.25">
      <c r="A324" s="60">
        <f t="shared" si="11"/>
        <v>323</v>
      </c>
      <c r="B324" s="49" t="str">
        <f>_xlfn.XLOOKUP(C324,Tab_Def_Flows[Name(EN)],Tab_Def_Flows[Flow_ID],,0,)</f>
        <v>F_12_12</v>
      </c>
      <c r="C324" s="51"/>
      <c r="D324" s="49">
        <f>_xlfn.XLOOKUP(C324,Tab_Def_Flows[Name(EN)],Tab_Def_Flows[Type_Biomass],,0,)</f>
        <v>0</v>
      </c>
      <c r="E324" s="49">
        <f>_xlfn.XLOOKUP(C324,Tab_Def_Flows[Name(EN)],Tab_Def_Flows[Output_Process],,0,)</f>
        <v>0</v>
      </c>
      <c r="F324" s="49" t="str">
        <f>_xlfn.XLOOKUP(C324,Tab_Def_Flows[Name(EN)],Tab_Def_Flows[Process_ID_O],,0,)</f>
        <v>12__</v>
      </c>
      <c r="G324" s="49">
        <f>_xlfn.XLOOKUP(C324,Tab_Def_Flows[Name(EN)],Tab_Def_Flows[Input_Process],,0,)</f>
        <v>0</v>
      </c>
      <c r="H324" s="61" t="str">
        <f>_xlfn.XLOOKUP(C324,Tab_Def_Flows[Name(EN)],Tab_Def_Flows[Process_ID_I],,0,)</f>
        <v>12__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c r="AC324" s="107" t="e">
        <f>INDEX(Tab_Def_Flows[[Flow_ID]:[CC_DM_source]],MATCH(Tab_Data_Flows[[#This Row],[Name(EN)]],Tab_Def_Flows[Name(EN)],0),16)</f>
        <v>#N/A</v>
      </c>
      <c r="AD324" s="108" t="str">
        <f>IF(J324="Yes",AA324*Tab_Data_Flows[[#This Row],[WC_'[%']]],"N.A.")</f>
        <v>N.A.</v>
      </c>
      <c r="AE324" s="61">
        <f>Tab_Data_Flows[[#This Row],[UoM_Flow_Py]]</f>
        <v>0</v>
      </c>
      <c r="AF324" s="107" t="e">
        <f>INDEX(Tab_Def_Flows[[Flow_ID]:[CC_DM_source]],MATCH(Tab_Data_Flows[[#This Row],[Name(EN)]],Tab_Def_Flows[Name(EN)],0),18)</f>
        <v>#N/A</v>
      </c>
      <c r="AG324" s="108" t="str">
        <f>IF(K324="Yes",AF324*Tab_Data_Flows[[#This Row],[Flow_Py]],"N.A.")</f>
        <v>N.A.</v>
      </c>
      <c r="AH324" s="61">
        <f>Tab_Data_Flows[[#This Row],[UoM_Flow_Py]]</f>
        <v>0</v>
      </c>
      <c r="AI324" s="107" t="e">
        <f>INDEX(Tab_Def_Flows[[Flow_ID]:[CC_DM_source]],MATCH(Tab_Data_Flows[[#This Row],[Name(EN)]],Tab_Def_Flows[Name(EN)],0),20)</f>
        <v>#N/A</v>
      </c>
      <c r="AJ324" s="108" t="str">
        <f>IF(L324="Yes",AI324*Tab_Data_Flows[[#This Row],[Flow_Py]]*Tab_Data_Flows[[#This Row],[DM_'[%']]],"N.A.")</f>
        <v>N.A.</v>
      </c>
      <c r="AK324" s="61">
        <f>Tab_Data_Flows[[#This Row],[UoM_Flow_Py]]</f>
        <v>0</v>
      </c>
    </row>
    <row r="325" spans="1:37" x14ac:dyDescent="0.25">
      <c r="A325" s="60">
        <f t="shared" si="11"/>
        <v>324</v>
      </c>
      <c r="B325" s="49" t="str">
        <f>_xlfn.XLOOKUP(C325,Tab_Def_Flows[Name(EN)],Tab_Def_Flows[Flow_ID],,0,)</f>
        <v>F_12_12</v>
      </c>
      <c r="C325" s="51"/>
      <c r="D325" s="49">
        <f>_xlfn.XLOOKUP(C325,Tab_Def_Flows[Name(EN)],Tab_Def_Flows[Type_Biomass],,0,)</f>
        <v>0</v>
      </c>
      <c r="E325" s="49">
        <f>_xlfn.XLOOKUP(C325,Tab_Def_Flows[Name(EN)],Tab_Def_Flows[Output_Process],,0,)</f>
        <v>0</v>
      </c>
      <c r="F325" s="49" t="str">
        <f>_xlfn.XLOOKUP(C325,Tab_Def_Flows[Name(EN)],Tab_Def_Flows[Process_ID_O],,0,)</f>
        <v>12__</v>
      </c>
      <c r="G325" s="49">
        <f>_xlfn.XLOOKUP(C325,Tab_Def_Flows[Name(EN)],Tab_Def_Flows[Input_Process],,0,)</f>
        <v>0</v>
      </c>
      <c r="H325" s="61" t="str">
        <f>_xlfn.XLOOKUP(C325,Tab_Def_Flows[Name(EN)],Tab_Def_Flows[Process_ID_I],,0,)</f>
        <v>12__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c r="AC325" s="107" t="e">
        <f>INDEX(Tab_Def_Flows[[Flow_ID]:[CC_DM_source]],MATCH(Tab_Data_Flows[[#This Row],[Name(EN)]],Tab_Def_Flows[Name(EN)],0),16)</f>
        <v>#N/A</v>
      </c>
      <c r="AD325" s="108" t="str">
        <f>IF(J325="Yes",AA325*Tab_Data_Flows[[#This Row],[WC_'[%']]],"N.A.")</f>
        <v>N.A.</v>
      </c>
      <c r="AE325" s="61">
        <f>Tab_Data_Flows[[#This Row],[UoM_Flow_Py]]</f>
        <v>0</v>
      </c>
      <c r="AF325" s="107" t="e">
        <f>INDEX(Tab_Def_Flows[[Flow_ID]:[CC_DM_source]],MATCH(Tab_Data_Flows[[#This Row],[Name(EN)]],Tab_Def_Flows[Name(EN)],0),18)</f>
        <v>#N/A</v>
      </c>
      <c r="AG325" s="108" t="str">
        <f>IF(K325="Yes",AF325*Tab_Data_Flows[[#This Row],[Flow_Py]],"N.A.")</f>
        <v>N.A.</v>
      </c>
      <c r="AH325" s="61">
        <f>Tab_Data_Flows[[#This Row],[UoM_Flow_Py]]</f>
        <v>0</v>
      </c>
      <c r="AI325" s="107" t="e">
        <f>INDEX(Tab_Def_Flows[[Flow_ID]:[CC_DM_source]],MATCH(Tab_Data_Flows[[#This Row],[Name(EN)]],Tab_Def_Flows[Name(EN)],0),20)</f>
        <v>#N/A</v>
      </c>
      <c r="AJ325" s="108" t="str">
        <f>IF(L325="Yes",AI325*Tab_Data_Flows[[#This Row],[Flow_Py]]*Tab_Data_Flows[[#This Row],[DM_'[%']]],"N.A.")</f>
        <v>N.A.</v>
      </c>
      <c r="AK325" s="61">
        <f>Tab_Data_Flows[[#This Row],[UoM_Flow_Py]]</f>
        <v>0</v>
      </c>
    </row>
    <row r="326" spans="1:37" x14ac:dyDescent="0.25">
      <c r="A326" s="60">
        <f t="shared" si="11"/>
        <v>325</v>
      </c>
      <c r="B326" s="49" t="str">
        <f>_xlfn.XLOOKUP(C326,Tab_Def_Flows[Name(EN)],Tab_Def_Flows[Flow_ID],,0,)</f>
        <v>F_12_12</v>
      </c>
      <c r="C326" s="51"/>
      <c r="D326" s="49">
        <f>_xlfn.XLOOKUP(C326,Tab_Def_Flows[Name(EN)],Tab_Def_Flows[Type_Biomass],,0,)</f>
        <v>0</v>
      </c>
      <c r="E326" s="49">
        <f>_xlfn.XLOOKUP(C326,Tab_Def_Flows[Name(EN)],Tab_Def_Flows[Output_Process],,0,)</f>
        <v>0</v>
      </c>
      <c r="F326" s="49" t="str">
        <f>_xlfn.XLOOKUP(C326,Tab_Def_Flows[Name(EN)],Tab_Def_Flows[Process_ID_O],,0,)</f>
        <v>12__</v>
      </c>
      <c r="G326" s="49">
        <f>_xlfn.XLOOKUP(C326,Tab_Def_Flows[Name(EN)],Tab_Def_Flows[Input_Process],,0,)</f>
        <v>0</v>
      </c>
      <c r="H326" s="61" t="str">
        <f>_xlfn.XLOOKUP(C326,Tab_Def_Flows[Name(EN)],Tab_Def_Flows[Process_ID_I],,0,)</f>
        <v>12__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c r="AC326" s="107" t="e">
        <f>INDEX(Tab_Def_Flows[[Flow_ID]:[CC_DM_source]],MATCH(Tab_Data_Flows[[#This Row],[Name(EN)]],Tab_Def_Flows[Name(EN)],0),16)</f>
        <v>#N/A</v>
      </c>
      <c r="AD326" s="108" t="str">
        <f>IF(J326="Yes",AA326*Tab_Data_Flows[[#This Row],[WC_'[%']]],"N.A.")</f>
        <v>N.A.</v>
      </c>
      <c r="AE326" s="61">
        <f>Tab_Data_Flows[[#This Row],[UoM_Flow_Py]]</f>
        <v>0</v>
      </c>
      <c r="AF326" s="107" t="e">
        <f>INDEX(Tab_Def_Flows[[Flow_ID]:[CC_DM_source]],MATCH(Tab_Data_Flows[[#This Row],[Name(EN)]],Tab_Def_Flows[Name(EN)],0),18)</f>
        <v>#N/A</v>
      </c>
      <c r="AG326" s="108" t="str">
        <f>IF(K326="Yes",AF326*Tab_Data_Flows[[#This Row],[Flow_Py]],"N.A.")</f>
        <v>N.A.</v>
      </c>
      <c r="AH326" s="61">
        <f>Tab_Data_Flows[[#This Row],[UoM_Flow_Py]]</f>
        <v>0</v>
      </c>
      <c r="AI326" s="107" t="e">
        <f>INDEX(Tab_Def_Flows[[Flow_ID]:[CC_DM_source]],MATCH(Tab_Data_Flows[[#This Row],[Name(EN)]],Tab_Def_Flows[Name(EN)],0),20)</f>
        <v>#N/A</v>
      </c>
      <c r="AJ326" s="108" t="str">
        <f>IF(L326="Yes",AI326*Tab_Data_Flows[[#This Row],[Flow_Py]]*Tab_Data_Flows[[#This Row],[DM_'[%']]],"N.A.")</f>
        <v>N.A.</v>
      </c>
      <c r="AK326" s="61">
        <f>Tab_Data_Flows[[#This Row],[UoM_Flow_Py]]</f>
        <v>0</v>
      </c>
    </row>
    <row r="327" spans="1:37" x14ac:dyDescent="0.25">
      <c r="A327" s="60">
        <f t="shared" si="11"/>
        <v>326</v>
      </c>
      <c r="B327" s="49" t="str">
        <f>_xlfn.XLOOKUP(C327,Tab_Def_Flows[Name(EN)],Tab_Def_Flows[Flow_ID],,0,)</f>
        <v>F_12_12</v>
      </c>
      <c r="C327" s="51"/>
      <c r="D327" s="49">
        <f>_xlfn.XLOOKUP(C327,Tab_Def_Flows[Name(EN)],Tab_Def_Flows[Type_Biomass],,0,)</f>
        <v>0</v>
      </c>
      <c r="E327" s="49">
        <f>_xlfn.XLOOKUP(C327,Tab_Def_Flows[Name(EN)],Tab_Def_Flows[Output_Process],,0,)</f>
        <v>0</v>
      </c>
      <c r="F327" s="49" t="str">
        <f>_xlfn.XLOOKUP(C327,Tab_Def_Flows[Name(EN)],Tab_Def_Flows[Process_ID_O],,0,)</f>
        <v>12__</v>
      </c>
      <c r="G327" s="49">
        <f>_xlfn.XLOOKUP(C327,Tab_Def_Flows[Name(EN)],Tab_Def_Flows[Input_Process],,0,)</f>
        <v>0</v>
      </c>
      <c r="H327" s="61" t="str">
        <f>_xlfn.XLOOKUP(C327,Tab_Def_Flows[Name(EN)],Tab_Def_Flows[Process_ID_I],,0,)</f>
        <v>12__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c r="AC327" s="107" t="e">
        <f>INDEX(Tab_Def_Flows[[Flow_ID]:[CC_DM_source]],MATCH(Tab_Data_Flows[[#This Row],[Name(EN)]],Tab_Def_Flows[Name(EN)],0),16)</f>
        <v>#N/A</v>
      </c>
      <c r="AD327" s="108" t="str">
        <f>IF(J327="Yes",AA327*Tab_Data_Flows[[#This Row],[WC_'[%']]],"N.A.")</f>
        <v>N.A.</v>
      </c>
      <c r="AE327" s="61">
        <f>Tab_Data_Flows[[#This Row],[UoM_Flow_Py]]</f>
        <v>0</v>
      </c>
      <c r="AF327" s="107" t="e">
        <f>INDEX(Tab_Def_Flows[[Flow_ID]:[CC_DM_source]],MATCH(Tab_Data_Flows[[#This Row],[Name(EN)]],Tab_Def_Flows[Name(EN)],0),18)</f>
        <v>#N/A</v>
      </c>
      <c r="AG327" s="108" t="str">
        <f>IF(K327="Yes",AF327*Tab_Data_Flows[[#This Row],[Flow_Py]],"N.A.")</f>
        <v>N.A.</v>
      </c>
      <c r="AH327" s="61">
        <f>Tab_Data_Flows[[#This Row],[UoM_Flow_Py]]</f>
        <v>0</v>
      </c>
      <c r="AI327" s="107" t="e">
        <f>INDEX(Tab_Def_Flows[[Flow_ID]:[CC_DM_source]],MATCH(Tab_Data_Flows[[#This Row],[Name(EN)]],Tab_Def_Flows[Name(EN)],0),20)</f>
        <v>#N/A</v>
      </c>
      <c r="AJ327" s="108" t="str">
        <f>IF(L327="Yes",AI327*Tab_Data_Flows[[#This Row],[Flow_Py]]*Tab_Data_Flows[[#This Row],[DM_'[%']]],"N.A.")</f>
        <v>N.A.</v>
      </c>
      <c r="AK327" s="61">
        <f>Tab_Data_Flows[[#This Row],[UoM_Flow_Py]]</f>
        <v>0</v>
      </c>
    </row>
    <row r="328" spans="1:37" x14ac:dyDescent="0.25">
      <c r="A328" s="60">
        <f t="shared" si="11"/>
        <v>327</v>
      </c>
      <c r="B328" s="49" t="str">
        <f>_xlfn.XLOOKUP(C328,Tab_Def_Flows[Name(EN)],Tab_Def_Flows[Flow_ID],,0,)</f>
        <v>F_12_12</v>
      </c>
      <c r="C328" s="51"/>
      <c r="D328" s="49">
        <f>_xlfn.XLOOKUP(C328,Tab_Def_Flows[Name(EN)],Tab_Def_Flows[Type_Biomass],,0,)</f>
        <v>0</v>
      </c>
      <c r="E328" s="49">
        <f>_xlfn.XLOOKUP(C328,Tab_Def_Flows[Name(EN)],Tab_Def_Flows[Output_Process],,0,)</f>
        <v>0</v>
      </c>
      <c r="F328" s="49" t="str">
        <f>_xlfn.XLOOKUP(C328,Tab_Def_Flows[Name(EN)],Tab_Def_Flows[Process_ID_O],,0,)</f>
        <v>12__</v>
      </c>
      <c r="G328" s="49">
        <f>_xlfn.XLOOKUP(C328,Tab_Def_Flows[Name(EN)],Tab_Def_Flows[Input_Process],,0,)</f>
        <v>0</v>
      </c>
      <c r="H328" s="61" t="str">
        <f>_xlfn.XLOOKUP(C328,Tab_Def_Flows[Name(EN)],Tab_Def_Flows[Process_ID_I],,0,)</f>
        <v>12__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c r="AC328" s="107" t="e">
        <f>INDEX(Tab_Def_Flows[[Flow_ID]:[CC_DM_source]],MATCH(Tab_Data_Flows[[#This Row],[Name(EN)]],Tab_Def_Flows[Name(EN)],0),16)</f>
        <v>#N/A</v>
      </c>
      <c r="AD328" s="108" t="str">
        <f>IF(J328="Yes",AA328*Tab_Data_Flows[[#This Row],[WC_'[%']]],"N.A.")</f>
        <v>N.A.</v>
      </c>
      <c r="AE328" s="61">
        <f>Tab_Data_Flows[[#This Row],[UoM_Flow_Py]]</f>
        <v>0</v>
      </c>
      <c r="AF328" s="107" t="e">
        <f>INDEX(Tab_Def_Flows[[Flow_ID]:[CC_DM_source]],MATCH(Tab_Data_Flows[[#This Row],[Name(EN)]],Tab_Def_Flows[Name(EN)],0),18)</f>
        <v>#N/A</v>
      </c>
      <c r="AG328" s="108" t="str">
        <f>IF(K328="Yes",AF328*Tab_Data_Flows[[#This Row],[Flow_Py]],"N.A.")</f>
        <v>N.A.</v>
      </c>
      <c r="AH328" s="61">
        <f>Tab_Data_Flows[[#This Row],[UoM_Flow_Py]]</f>
        <v>0</v>
      </c>
      <c r="AI328" s="107" t="e">
        <f>INDEX(Tab_Def_Flows[[Flow_ID]:[CC_DM_source]],MATCH(Tab_Data_Flows[[#This Row],[Name(EN)]],Tab_Def_Flows[Name(EN)],0),20)</f>
        <v>#N/A</v>
      </c>
      <c r="AJ328" s="108" t="str">
        <f>IF(L328="Yes",AI328*Tab_Data_Flows[[#This Row],[Flow_Py]]*Tab_Data_Flows[[#This Row],[DM_'[%']]],"N.A.")</f>
        <v>N.A.</v>
      </c>
      <c r="AK328" s="61">
        <f>Tab_Data_Flows[[#This Row],[UoM_Flow_Py]]</f>
        <v>0</v>
      </c>
    </row>
    <row r="329" spans="1:37" x14ac:dyDescent="0.25">
      <c r="A329" s="60">
        <f t="shared" si="11"/>
        <v>328</v>
      </c>
      <c r="B329" s="49" t="str">
        <f>_xlfn.XLOOKUP(C329,Tab_Def_Flows[Name(EN)],Tab_Def_Flows[Flow_ID],,0,)</f>
        <v>F_12_12</v>
      </c>
      <c r="C329" s="51"/>
      <c r="D329" s="49">
        <f>_xlfn.XLOOKUP(C329,Tab_Def_Flows[Name(EN)],Tab_Def_Flows[Type_Biomass],,0,)</f>
        <v>0</v>
      </c>
      <c r="E329" s="49">
        <f>_xlfn.XLOOKUP(C329,Tab_Def_Flows[Name(EN)],Tab_Def_Flows[Output_Process],,0,)</f>
        <v>0</v>
      </c>
      <c r="F329" s="49" t="str">
        <f>_xlfn.XLOOKUP(C329,Tab_Def_Flows[Name(EN)],Tab_Def_Flows[Process_ID_O],,0,)</f>
        <v>12__</v>
      </c>
      <c r="G329" s="49">
        <f>_xlfn.XLOOKUP(C329,Tab_Def_Flows[Name(EN)],Tab_Def_Flows[Input_Process],,0,)</f>
        <v>0</v>
      </c>
      <c r="H329" s="61" t="str">
        <f>_xlfn.XLOOKUP(C329,Tab_Def_Flows[Name(EN)],Tab_Def_Flows[Process_ID_I],,0,)</f>
        <v>12__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c r="AC329" s="107" t="e">
        <f>INDEX(Tab_Def_Flows[[Flow_ID]:[CC_DM_source]],MATCH(Tab_Data_Flows[[#This Row],[Name(EN)]],Tab_Def_Flows[Name(EN)],0),16)</f>
        <v>#N/A</v>
      </c>
      <c r="AD329" s="108" t="str">
        <f>IF(J329="Yes",AA329*Tab_Data_Flows[[#This Row],[WC_'[%']]],"N.A.")</f>
        <v>N.A.</v>
      </c>
      <c r="AE329" s="61">
        <f>Tab_Data_Flows[[#This Row],[UoM_Flow_Py]]</f>
        <v>0</v>
      </c>
      <c r="AF329" s="107" t="e">
        <f>INDEX(Tab_Def_Flows[[Flow_ID]:[CC_DM_source]],MATCH(Tab_Data_Flows[[#This Row],[Name(EN)]],Tab_Def_Flows[Name(EN)],0),18)</f>
        <v>#N/A</v>
      </c>
      <c r="AG329" s="108" t="str">
        <f>IF(K329="Yes",AF329*Tab_Data_Flows[[#This Row],[Flow_Py]],"N.A.")</f>
        <v>N.A.</v>
      </c>
      <c r="AH329" s="61">
        <f>Tab_Data_Flows[[#This Row],[UoM_Flow_Py]]</f>
        <v>0</v>
      </c>
      <c r="AI329" s="107" t="e">
        <f>INDEX(Tab_Def_Flows[[Flow_ID]:[CC_DM_source]],MATCH(Tab_Data_Flows[[#This Row],[Name(EN)]],Tab_Def_Flows[Name(EN)],0),20)</f>
        <v>#N/A</v>
      </c>
      <c r="AJ329" s="108" t="str">
        <f>IF(L329="Yes",AI329*Tab_Data_Flows[[#This Row],[Flow_Py]]*Tab_Data_Flows[[#This Row],[DM_'[%']]],"N.A.")</f>
        <v>N.A.</v>
      </c>
      <c r="AK329" s="61">
        <f>Tab_Data_Flows[[#This Row],[UoM_Flow_Py]]</f>
        <v>0</v>
      </c>
    </row>
    <row r="330" spans="1:37" x14ac:dyDescent="0.25">
      <c r="A330" s="60">
        <f t="shared" si="11"/>
        <v>329</v>
      </c>
      <c r="B330" s="49" t="str">
        <f>_xlfn.XLOOKUP(C330,Tab_Def_Flows[Name(EN)],Tab_Def_Flows[Flow_ID],,0,)</f>
        <v>F_12_12</v>
      </c>
      <c r="C330" s="51"/>
      <c r="D330" s="49">
        <f>_xlfn.XLOOKUP(C330,Tab_Def_Flows[Name(EN)],Tab_Def_Flows[Type_Biomass],,0,)</f>
        <v>0</v>
      </c>
      <c r="E330" s="49">
        <f>_xlfn.XLOOKUP(C330,Tab_Def_Flows[Name(EN)],Tab_Def_Flows[Output_Process],,0,)</f>
        <v>0</v>
      </c>
      <c r="F330" s="49" t="str">
        <f>_xlfn.XLOOKUP(C330,Tab_Def_Flows[Name(EN)],Tab_Def_Flows[Process_ID_O],,0,)</f>
        <v>12__</v>
      </c>
      <c r="G330" s="49">
        <f>_xlfn.XLOOKUP(C330,Tab_Def_Flows[Name(EN)],Tab_Def_Flows[Input_Process],,0,)</f>
        <v>0</v>
      </c>
      <c r="H330" s="61" t="str">
        <f>_xlfn.XLOOKUP(C330,Tab_Def_Flows[Name(EN)],Tab_Def_Flows[Process_ID_I],,0,)</f>
        <v>12__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c r="AC330" s="107" t="e">
        <f>INDEX(Tab_Def_Flows[[Flow_ID]:[CC_DM_source]],MATCH(Tab_Data_Flows[[#This Row],[Name(EN)]],Tab_Def_Flows[Name(EN)],0),16)</f>
        <v>#N/A</v>
      </c>
      <c r="AD330" s="108" t="str">
        <f>IF(J330="Yes",AA330*Tab_Data_Flows[[#This Row],[WC_'[%']]],"N.A.")</f>
        <v>N.A.</v>
      </c>
      <c r="AE330" s="61">
        <f>Tab_Data_Flows[[#This Row],[UoM_Flow_Py]]</f>
        <v>0</v>
      </c>
      <c r="AF330" s="107" t="e">
        <f>INDEX(Tab_Def_Flows[[Flow_ID]:[CC_DM_source]],MATCH(Tab_Data_Flows[[#This Row],[Name(EN)]],Tab_Def_Flows[Name(EN)],0),18)</f>
        <v>#N/A</v>
      </c>
      <c r="AG330" s="108" t="str">
        <f>IF(K330="Yes",AF330*Tab_Data_Flows[[#This Row],[Flow_Py]],"N.A.")</f>
        <v>N.A.</v>
      </c>
      <c r="AH330" s="61">
        <f>Tab_Data_Flows[[#This Row],[UoM_Flow_Py]]</f>
        <v>0</v>
      </c>
      <c r="AI330" s="107" t="e">
        <f>INDEX(Tab_Def_Flows[[Flow_ID]:[CC_DM_source]],MATCH(Tab_Data_Flows[[#This Row],[Name(EN)]],Tab_Def_Flows[Name(EN)],0),20)</f>
        <v>#N/A</v>
      </c>
      <c r="AJ330" s="108" t="str">
        <f>IF(L330="Yes",AI330*Tab_Data_Flows[[#This Row],[Flow_Py]]*Tab_Data_Flows[[#This Row],[DM_'[%']]],"N.A.")</f>
        <v>N.A.</v>
      </c>
      <c r="AK330" s="61">
        <f>Tab_Data_Flows[[#This Row],[UoM_Flow_Py]]</f>
        <v>0</v>
      </c>
    </row>
    <row r="331" spans="1:37" x14ac:dyDescent="0.25">
      <c r="A331" s="60">
        <f t="shared" si="11"/>
        <v>330</v>
      </c>
      <c r="B331" s="49" t="str">
        <f>_xlfn.XLOOKUP(C331,Tab_Def_Flows[Name(EN)],Tab_Def_Flows[Flow_ID],,0,)</f>
        <v>F_12_12</v>
      </c>
      <c r="C331" s="51"/>
      <c r="D331" s="49">
        <f>_xlfn.XLOOKUP(C331,Tab_Def_Flows[Name(EN)],Tab_Def_Flows[Type_Biomass],,0,)</f>
        <v>0</v>
      </c>
      <c r="E331" s="49">
        <f>_xlfn.XLOOKUP(C331,Tab_Def_Flows[Name(EN)],Tab_Def_Flows[Output_Process],,0,)</f>
        <v>0</v>
      </c>
      <c r="F331" s="49" t="str">
        <f>_xlfn.XLOOKUP(C331,Tab_Def_Flows[Name(EN)],Tab_Def_Flows[Process_ID_O],,0,)</f>
        <v>12__</v>
      </c>
      <c r="G331" s="49">
        <f>_xlfn.XLOOKUP(C331,Tab_Def_Flows[Name(EN)],Tab_Def_Flows[Input_Process],,0,)</f>
        <v>0</v>
      </c>
      <c r="H331" s="61" t="str">
        <f>_xlfn.XLOOKUP(C331,Tab_Def_Flows[Name(EN)],Tab_Def_Flows[Process_ID_I],,0,)</f>
        <v>12__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c r="AC331" s="107" t="e">
        <f>INDEX(Tab_Def_Flows[[Flow_ID]:[CC_DM_source]],MATCH(Tab_Data_Flows[[#This Row],[Name(EN)]],Tab_Def_Flows[Name(EN)],0),16)</f>
        <v>#N/A</v>
      </c>
      <c r="AD331" s="108" t="str">
        <f>IF(J331="Yes",AA331*Tab_Data_Flows[[#This Row],[WC_'[%']]],"N.A.")</f>
        <v>N.A.</v>
      </c>
      <c r="AE331" s="61">
        <f>Tab_Data_Flows[[#This Row],[UoM_Flow_Py]]</f>
        <v>0</v>
      </c>
      <c r="AF331" s="107" t="e">
        <f>INDEX(Tab_Def_Flows[[Flow_ID]:[CC_DM_source]],MATCH(Tab_Data_Flows[[#This Row],[Name(EN)]],Tab_Def_Flows[Name(EN)],0),18)</f>
        <v>#N/A</v>
      </c>
      <c r="AG331" s="108" t="str">
        <f>IF(K331="Yes",AF331*Tab_Data_Flows[[#This Row],[Flow_Py]],"N.A.")</f>
        <v>N.A.</v>
      </c>
      <c r="AH331" s="61">
        <f>Tab_Data_Flows[[#This Row],[UoM_Flow_Py]]</f>
        <v>0</v>
      </c>
      <c r="AI331" s="107" t="e">
        <f>INDEX(Tab_Def_Flows[[Flow_ID]:[CC_DM_source]],MATCH(Tab_Data_Flows[[#This Row],[Name(EN)]],Tab_Def_Flows[Name(EN)],0),20)</f>
        <v>#N/A</v>
      </c>
      <c r="AJ331" s="108" t="str">
        <f>IF(L331="Yes",AI331*Tab_Data_Flows[[#This Row],[Flow_Py]]*Tab_Data_Flows[[#This Row],[DM_'[%']]],"N.A.")</f>
        <v>N.A.</v>
      </c>
      <c r="AK331" s="61">
        <f>Tab_Data_Flows[[#This Row],[UoM_Flow_Py]]</f>
        <v>0</v>
      </c>
    </row>
    <row r="332" spans="1:37" x14ac:dyDescent="0.25">
      <c r="A332" s="60">
        <f t="shared" si="11"/>
        <v>331</v>
      </c>
      <c r="B332" s="49" t="str">
        <f>_xlfn.XLOOKUP(C332,Tab_Def_Flows[Name(EN)],Tab_Def_Flows[Flow_ID],,0,)</f>
        <v>F_12_12</v>
      </c>
      <c r="C332" s="51"/>
      <c r="D332" s="49">
        <f>_xlfn.XLOOKUP(C332,Tab_Def_Flows[Name(EN)],Tab_Def_Flows[Type_Biomass],,0,)</f>
        <v>0</v>
      </c>
      <c r="E332" s="49">
        <f>_xlfn.XLOOKUP(C332,Tab_Def_Flows[Name(EN)],Tab_Def_Flows[Output_Process],,0,)</f>
        <v>0</v>
      </c>
      <c r="F332" s="49" t="str">
        <f>_xlfn.XLOOKUP(C332,Tab_Def_Flows[Name(EN)],Tab_Def_Flows[Process_ID_O],,0,)</f>
        <v>12__</v>
      </c>
      <c r="G332" s="49">
        <f>_xlfn.XLOOKUP(C332,Tab_Def_Flows[Name(EN)],Tab_Def_Flows[Input_Process],,0,)</f>
        <v>0</v>
      </c>
      <c r="H332" s="61" t="str">
        <f>_xlfn.XLOOKUP(C332,Tab_Def_Flows[Name(EN)],Tab_Def_Flows[Process_ID_I],,0,)</f>
        <v>12__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c r="AC332" s="107" t="e">
        <f>INDEX(Tab_Def_Flows[[Flow_ID]:[CC_DM_source]],MATCH(Tab_Data_Flows[[#This Row],[Name(EN)]],Tab_Def_Flows[Name(EN)],0),16)</f>
        <v>#N/A</v>
      </c>
      <c r="AD332" s="108" t="str">
        <f>IF(J332="Yes",AA332*Tab_Data_Flows[[#This Row],[WC_'[%']]],"N.A.")</f>
        <v>N.A.</v>
      </c>
      <c r="AE332" s="61">
        <f>Tab_Data_Flows[[#This Row],[UoM_Flow_Py]]</f>
        <v>0</v>
      </c>
      <c r="AF332" s="107" t="e">
        <f>INDEX(Tab_Def_Flows[[Flow_ID]:[CC_DM_source]],MATCH(Tab_Data_Flows[[#This Row],[Name(EN)]],Tab_Def_Flows[Name(EN)],0),18)</f>
        <v>#N/A</v>
      </c>
      <c r="AG332" s="108" t="str">
        <f>IF(K332="Yes",AF332*Tab_Data_Flows[[#This Row],[Flow_Py]],"N.A.")</f>
        <v>N.A.</v>
      </c>
      <c r="AH332" s="61">
        <f>Tab_Data_Flows[[#This Row],[UoM_Flow_Py]]</f>
        <v>0</v>
      </c>
      <c r="AI332" s="107" t="e">
        <f>INDEX(Tab_Def_Flows[[Flow_ID]:[CC_DM_source]],MATCH(Tab_Data_Flows[[#This Row],[Name(EN)]],Tab_Def_Flows[Name(EN)],0),20)</f>
        <v>#N/A</v>
      </c>
      <c r="AJ332" s="108" t="str">
        <f>IF(L332="Yes",AI332*Tab_Data_Flows[[#This Row],[Flow_Py]]*Tab_Data_Flows[[#This Row],[DM_'[%']]],"N.A.")</f>
        <v>N.A.</v>
      </c>
      <c r="AK332" s="61">
        <f>Tab_Data_Flows[[#This Row],[UoM_Flow_Py]]</f>
        <v>0</v>
      </c>
    </row>
    <row r="333" spans="1:37" x14ac:dyDescent="0.25">
      <c r="A333" s="60">
        <f t="shared" si="11"/>
        <v>332</v>
      </c>
      <c r="B333" s="49" t="str">
        <f>_xlfn.XLOOKUP(C333,Tab_Def_Flows[Name(EN)],Tab_Def_Flows[Flow_ID],,0,)</f>
        <v>F_12_12</v>
      </c>
      <c r="C333" s="51"/>
      <c r="D333" s="49">
        <f>_xlfn.XLOOKUP(C333,Tab_Def_Flows[Name(EN)],Tab_Def_Flows[Type_Biomass],,0,)</f>
        <v>0</v>
      </c>
      <c r="E333" s="49">
        <f>_xlfn.XLOOKUP(C333,Tab_Def_Flows[Name(EN)],Tab_Def_Flows[Output_Process],,0,)</f>
        <v>0</v>
      </c>
      <c r="F333" s="49" t="str">
        <f>_xlfn.XLOOKUP(C333,Tab_Def_Flows[Name(EN)],Tab_Def_Flows[Process_ID_O],,0,)</f>
        <v>12__</v>
      </c>
      <c r="G333" s="49">
        <f>_xlfn.XLOOKUP(C333,Tab_Def_Flows[Name(EN)],Tab_Def_Flows[Input_Process],,0,)</f>
        <v>0</v>
      </c>
      <c r="H333" s="61" t="str">
        <f>_xlfn.XLOOKUP(C333,Tab_Def_Flows[Name(EN)],Tab_Def_Flows[Process_ID_I],,0,)</f>
        <v>12__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c r="AC333" s="107" t="e">
        <f>INDEX(Tab_Def_Flows[[Flow_ID]:[CC_DM_source]],MATCH(Tab_Data_Flows[[#This Row],[Name(EN)]],Tab_Def_Flows[Name(EN)],0),16)</f>
        <v>#N/A</v>
      </c>
      <c r="AD333" s="108" t="str">
        <f>IF(J333="Yes",AA333*Tab_Data_Flows[[#This Row],[WC_'[%']]],"N.A.")</f>
        <v>N.A.</v>
      </c>
      <c r="AE333" s="61">
        <f>Tab_Data_Flows[[#This Row],[UoM_Flow_Py]]</f>
        <v>0</v>
      </c>
      <c r="AF333" s="107" t="e">
        <f>INDEX(Tab_Def_Flows[[Flow_ID]:[CC_DM_source]],MATCH(Tab_Data_Flows[[#This Row],[Name(EN)]],Tab_Def_Flows[Name(EN)],0),18)</f>
        <v>#N/A</v>
      </c>
      <c r="AG333" s="108" t="str">
        <f>IF(K333="Yes",AF333*Tab_Data_Flows[[#This Row],[Flow_Py]],"N.A.")</f>
        <v>N.A.</v>
      </c>
      <c r="AH333" s="61">
        <f>Tab_Data_Flows[[#This Row],[UoM_Flow_Py]]</f>
        <v>0</v>
      </c>
      <c r="AI333" s="107" t="e">
        <f>INDEX(Tab_Def_Flows[[Flow_ID]:[CC_DM_source]],MATCH(Tab_Data_Flows[[#This Row],[Name(EN)]],Tab_Def_Flows[Name(EN)],0),20)</f>
        <v>#N/A</v>
      </c>
      <c r="AJ333" s="108" t="str">
        <f>IF(L333="Yes",AI333*Tab_Data_Flows[[#This Row],[Flow_Py]]*Tab_Data_Flows[[#This Row],[DM_'[%']]],"N.A.")</f>
        <v>N.A.</v>
      </c>
      <c r="AK333" s="61">
        <f>Tab_Data_Flows[[#This Row],[UoM_Flow_Py]]</f>
        <v>0</v>
      </c>
    </row>
    <row r="334" spans="1:37" x14ac:dyDescent="0.25">
      <c r="A334" s="60">
        <f t="shared" si="11"/>
        <v>333</v>
      </c>
      <c r="B334" s="49" t="str">
        <f>_xlfn.XLOOKUP(C334,Tab_Def_Flows[Name(EN)],Tab_Def_Flows[Flow_ID],,0,)</f>
        <v>F_12_12</v>
      </c>
      <c r="C334" s="51"/>
      <c r="D334" s="49">
        <f>_xlfn.XLOOKUP(C334,Tab_Def_Flows[Name(EN)],Tab_Def_Flows[Type_Biomass],,0,)</f>
        <v>0</v>
      </c>
      <c r="E334" s="49">
        <f>_xlfn.XLOOKUP(C334,Tab_Def_Flows[Name(EN)],Tab_Def_Flows[Output_Process],,0,)</f>
        <v>0</v>
      </c>
      <c r="F334" s="49" t="str">
        <f>_xlfn.XLOOKUP(C334,Tab_Def_Flows[Name(EN)],Tab_Def_Flows[Process_ID_O],,0,)</f>
        <v>12__</v>
      </c>
      <c r="G334" s="49">
        <f>_xlfn.XLOOKUP(C334,Tab_Def_Flows[Name(EN)],Tab_Def_Flows[Input_Process],,0,)</f>
        <v>0</v>
      </c>
      <c r="H334" s="61" t="str">
        <f>_xlfn.XLOOKUP(C334,Tab_Def_Flows[Name(EN)],Tab_Def_Flows[Process_ID_I],,0,)</f>
        <v>12__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c r="AC334" s="107" t="e">
        <f>INDEX(Tab_Def_Flows[[Flow_ID]:[CC_DM_source]],MATCH(Tab_Data_Flows[[#This Row],[Name(EN)]],Tab_Def_Flows[Name(EN)],0),16)</f>
        <v>#N/A</v>
      </c>
      <c r="AD334" s="108" t="str">
        <f>IF(J334="Yes",AA334*Tab_Data_Flows[[#This Row],[WC_'[%']]],"N.A.")</f>
        <v>N.A.</v>
      </c>
      <c r="AE334" s="61">
        <f>Tab_Data_Flows[[#This Row],[UoM_Flow_Py]]</f>
        <v>0</v>
      </c>
      <c r="AF334" s="107" t="e">
        <f>INDEX(Tab_Def_Flows[[Flow_ID]:[CC_DM_source]],MATCH(Tab_Data_Flows[[#This Row],[Name(EN)]],Tab_Def_Flows[Name(EN)],0),18)</f>
        <v>#N/A</v>
      </c>
      <c r="AG334" s="108" t="str">
        <f>IF(K334="Yes",AF334*Tab_Data_Flows[[#This Row],[Flow_Py]],"N.A.")</f>
        <v>N.A.</v>
      </c>
      <c r="AH334" s="61">
        <f>Tab_Data_Flows[[#This Row],[UoM_Flow_Py]]</f>
        <v>0</v>
      </c>
      <c r="AI334" s="107" t="e">
        <f>INDEX(Tab_Def_Flows[[Flow_ID]:[CC_DM_source]],MATCH(Tab_Data_Flows[[#This Row],[Name(EN)]],Tab_Def_Flows[Name(EN)],0),20)</f>
        <v>#N/A</v>
      </c>
      <c r="AJ334" s="108" t="str">
        <f>IF(L334="Yes",AI334*Tab_Data_Flows[[#This Row],[Flow_Py]]*Tab_Data_Flows[[#This Row],[DM_'[%']]],"N.A.")</f>
        <v>N.A.</v>
      </c>
      <c r="AK334" s="61">
        <f>Tab_Data_Flows[[#This Row],[UoM_Flow_Py]]</f>
        <v>0</v>
      </c>
    </row>
    <row r="335" spans="1:37" x14ac:dyDescent="0.25">
      <c r="A335" s="60">
        <f t="shared" si="11"/>
        <v>334</v>
      </c>
      <c r="B335" s="49" t="str">
        <f>_xlfn.XLOOKUP(C335,Tab_Def_Flows[Name(EN)],Tab_Def_Flows[Flow_ID],,0,)</f>
        <v>F_12_12</v>
      </c>
      <c r="C335" s="51"/>
      <c r="D335" s="49">
        <f>_xlfn.XLOOKUP(C335,Tab_Def_Flows[Name(EN)],Tab_Def_Flows[Type_Biomass],,0,)</f>
        <v>0</v>
      </c>
      <c r="E335" s="49">
        <f>_xlfn.XLOOKUP(C335,Tab_Def_Flows[Name(EN)],Tab_Def_Flows[Output_Process],,0,)</f>
        <v>0</v>
      </c>
      <c r="F335" s="49" t="str">
        <f>_xlfn.XLOOKUP(C335,Tab_Def_Flows[Name(EN)],Tab_Def_Flows[Process_ID_O],,0,)</f>
        <v>12__</v>
      </c>
      <c r="G335" s="49">
        <f>_xlfn.XLOOKUP(C335,Tab_Def_Flows[Name(EN)],Tab_Def_Flows[Input_Process],,0,)</f>
        <v>0</v>
      </c>
      <c r="H335" s="61" t="str">
        <f>_xlfn.XLOOKUP(C335,Tab_Def_Flows[Name(EN)],Tab_Def_Flows[Process_ID_I],,0,)</f>
        <v>12__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c r="AC335" s="107" t="e">
        <f>INDEX(Tab_Def_Flows[[Flow_ID]:[CC_DM_source]],MATCH(Tab_Data_Flows[[#This Row],[Name(EN)]],Tab_Def_Flows[Name(EN)],0),16)</f>
        <v>#N/A</v>
      </c>
      <c r="AD335" s="108" t="str">
        <f>IF(J335="Yes",AA335*Tab_Data_Flows[[#This Row],[WC_'[%']]],"N.A.")</f>
        <v>N.A.</v>
      </c>
      <c r="AE335" s="61">
        <f>Tab_Data_Flows[[#This Row],[UoM_Flow_Py]]</f>
        <v>0</v>
      </c>
      <c r="AF335" s="107" t="e">
        <f>INDEX(Tab_Def_Flows[[Flow_ID]:[CC_DM_source]],MATCH(Tab_Data_Flows[[#This Row],[Name(EN)]],Tab_Def_Flows[Name(EN)],0),18)</f>
        <v>#N/A</v>
      </c>
      <c r="AG335" s="108" t="str">
        <f>IF(K335="Yes",AF335*Tab_Data_Flows[[#This Row],[Flow_Py]],"N.A.")</f>
        <v>N.A.</v>
      </c>
      <c r="AH335" s="61">
        <f>Tab_Data_Flows[[#This Row],[UoM_Flow_Py]]</f>
        <v>0</v>
      </c>
      <c r="AI335" s="107" t="e">
        <f>INDEX(Tab_Def_Flows[[Flow_ID]:[CC_DM_source]],MATCH(Tab_Data_Flows[[#This Row],[Name(EN)]],Tab_Def_Flows[Name(EN)],0),20)</f>
        <v>#N/A</v>
      </c>
      <c r="AJ335" s="108" t="str">
        <f>IF(L335="Yes",AI335*Tab_Data_Flows[[#This Row],[Flow_Py]]*Tab_Data_Flows[[#This Row],[DM_'[%']]],"N.A.")</f>
        <v>N.A.</v>
      </c>
      <c r="AK335" s="61">
        <f>Tab_Data_Flows[[#This Row],[UoM_Flow_Py]]</f>
        <v>0</v>
      </c>
    </row>
    <row r="336" spans="1:37" x14ac:dyDescent="0.25">
      <c r="A336" s="60">
        <f t="shared" si="11"/>
        <v>335</v>
      </c>
      <c r="B336" s="49" t="str">
        <f>_xlfn.XLOOKUP(C336,Tab_Def_Flows[Name(EN)],Tab_Def_Flows[Flow_ID],,0,)</f>
        <v>F_12_12</v>
      </c>
      <c r="C336" s="51"/>
      <c r="D336" s="49">
        <f>_xlfn.XLOOKUP(C336,Tab_Def_Flows[Name(EN)],Tab_Def_Flows[Type_Biomass],,0,)</f>
        <v>0</v>
      </c>
      <c r="E336" s="49">
        <f>_xlfn.XLOOKUP(C336,Tab_Def_Flows[Name(EN)],Tab_Def_Flows[Output_Process],,0,)</f>
        <v>0</v>
      </c>
      <c r="F336" s="49" t="str">
        <f>_xlfn.XLOOKUP(C336,Tab_Def_Flows[Name(EN)],Tab_Def_Flows[Process_ID_O],,0,)</f>
        <v>12__</v>
      </c>
      <c r="G336" s="49">
        <f>_xlfn.XLOOKUP(C336,Tab_Def_Flows[Name(EN)],Tab_Def_Flows[Input_Process],,0,)</f>
        <v>0</v>
      </c>
      <c r="H336" s="61" t="str">
        <f>_xlfn.XLOOKUP(C336,Tab_Def_Flows[Name(EN)],Tab_Def_Flows[Process_ID_I],,0,)</f>
        <v>12__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c r="AC336" s="107" t="e">
        <f>INDEX(Tab_Def_Flows[[Flow_ID]:[CC_DM_source]],MATCH(Tab_Data_Flows[[#This Row],[Name(EN)]],Tab_Def_Flows[Name(EN)],0),16)</f>
        <v>#N/A</v>
      </c>
      <c r="AD336" s="108" t="str">
        <f>IF(J336="Yes",AA336*Tab_Data_Flows[[#This Row],[WC_'[%']]],"N.A.")</f>
        <v>N.A.</v>
      </c>
      <c r="AE336" s="61">
        <f>Tab_Data_Flows[[#This Row],[UoM_Flow_Py]]</f>
        <v>0</v>
      </c>
      <c r="AF336" s="107" t="e">
        <f>INDEX(Tab_Def_Flows[[Flow_ID]:[CC_DM_source]],MATCH(Tab_Data_Flows[[#This Row],[Name(EN)]],Tab_Def_Flows[Name(EN)],0),18)</f>
        <v>#N/A</v>
      </c>
      <c r="AG336" s="108" t="str">
        <f>IF(K336="Yes",AF336*Tab_Data_Flows[[#This Row],[Flow_Py]],"N.A.")</f>
        <v>N.A.</v>
      </c>
      <c r="AH336" s="61">
        <f>Tab_Data_Flows[[#This Row],[UoM_Flow_Py]]</f>
        <v>0</v>
      </c>
      <c r="AI336" s="107" t="e">
        <f>INDEX(Tab_Def_Flows[[Flow_ID]:[CC_DM_source]],MATCH(Tab_Data_Flows[[#This Row],[Name(EN)]],Tab_Def_Flows[Name(EN)],0),20)</f>
        <v>#N/A</v>
      </c>
      <c r="AJ336" s="108" t="str">
        <f>IF(L336="Yes",AI336*Tab_Data_Flows[[#This Row],[Flow_Py]]*Tab_Data_Flows[[#This Row],[DM_'[%']]],"N.A.")</f>
        <v>N.A.</v>
      </c>
      <c r="AK336" s="61">
        <f>Tab_Data_Flows[[#This Row],[UoM_Flow_Py]]</f>
        <v>0</v>
      </c>
    </row>
    <row r="337" spans="1:37" x14ac:dyDescent="0.25">
      <c r="A337" s="60">
        <f t="shared" si="11"/>
        <v>336</v>
      </c>
      <c r="B337" s="49" t="str">
        <f>_xlfn.XLOOKUP(C337,Tab_Def_Flows[Name(EN)],Tab_Def_Flows[Flow_ID],,0,)</f>
        <v>F_12_12</v>
      </c>
      <c r="C337" s="51"/>
      <c r="D337" s="49">
        <f>_xlfn.XLOOKUP(C337,Tab_Def_Flows[Name(EN)],Tab_Def_Flows[Type_Biomass],,0,)</f>
        <v>0</v>
      </c>
      <c r="E337" s="49">
        <f>_xlfn.XLOOKUP(C337,Tab_Def_Flows[Name(EN)],Tab_Def_Flows[Output_Process],,0,)</f>
        <v>0</v>
      </c>
      <c r="F337" s="49" t="str">
        <f>_xlfn.XLOOKUP(C337,Tab_Def_Flows[Name(EN)],Tab_Def_Flows[Process_ID_O],,0,)</f>
        <v>12__</v>
      </c>
      <c r="G337" s="49">
        <f>_xlfn.XLOOKUP(C337,Tab_Def_Flows[Name(EN)],Tab_Def_Flows[Input_Process],,0,)</f>
        <v>0</v>
      </c>
      <c r="H337" s="61" t="str">
        <f>_xlfn.XLOOKUP(C337,Tab_Def_Flows[Name(EN)],Tab_Def_Flows[Process_ID_I],,0,)</f>
        <v>12__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c r="AC337" s="107" t="e">
        <f>INDEX(Tab_Def_Flows[[Flow_ID]:[CC_DM_source]],MATCH(Tab_Data_Flows[[#This Row],[Name(EN)]],Tab_Def_Flows[Name(EN)],0),16)</f>
        <v>#N/A</v>
      </c>
      <c r="AD337" s="108" t="str">
        <f>IF(J337="Yes",AA337*Tab_Data_Flows[[#This Row],[WC_'[%']]],"N.A.")</f>
        <v>N.A.</v>
      </c>
      <c r="AE337" s="61">
        <f>Tab_Data_Flows[[#This Row],[UoM_Flow_Py]]</f>
        <v>0</v>
      </c>
      <c r="AF337" s="107" t="e">
        <f>INDEX(Tab_Def_Flows[[Flow_ID]:[CC_DM_source]],MATCH(Tab_Data_Flows[[#This Row],[Name(EN)]],Tab_Def_Flows[Name(EN)],0),18)</f>
        <v>#N/A</v>
      </c>
      <c r="AG337" s="108" t="str">
        <f>IF(K337="Yes",AF337*Tab_Data_Flows[[#This Row],[Flow_Py]],"N.A.")</f>
        <v>N.A.</v>
      </c>
      <c r="AH337" s="61">
        <f>Tab_Data_Flows[[#This Row],[UoM_Flow_Py]]</f>
        <v>0</v>
      </c>
      <c r="AI337" s="107" t="e">
        <f>INDEX(Tab_Def_Flows[[Flow_ID]:[CC_DM_source]],MATCH(Tab_Data_Flows[[#This Row],[Name(EN)]],Tab_Def_Flows[Name(EN)],0),20)</f>
        <v>#N/A</v>
      </c>
      <c r="AJ337" s="108" t="str">
        <f>IF(L337="Yes",AI337*Tab_Data_Flows[[#This Row],[Flow_Py]]*Tab_Data_Flows[[#This Row],[DM_'[%']]],"N.A.")</f>
        <v>N.A.</v>
      </c>
      <c r="AK337" s="61">
        <f>Tab_Data_Flows[[#This Row],[UoM_Flow_Py]]</f>
        <v>0</v>
      </c>
    </row>
    <row r="338" spans="1:37" x14ac:dyDescent="0.25">
      <c r="A338" s="60">
        <f t="shared" si="11"/>
        <v>337</v>
      </c>
      <c r="B338" s="49" t="str">
        <f>_xlfn.XLOOKUP(C338,Tab_Def_Flows[Name(EN)],Tab_Def_Flows[Flow_ID],,0,)</f>
        <v>F_12_12</v>
      </c>
      <c r="C338" s="51"/>
      <c r="D338" s="49">
        <f>_xlfn.XLOOKUP(C338,Tab_Def_Flows[Name(EN)],Tab_Def_Flows[Type_Biomass],,0,)</f>
        <v>0</v>
      </c>
      <c r="E338" s="49">
        <f>_xlfn.XLOOKUP(C338,Tab_Def_Flows[Name(EN)],Tab_Def_Flows[Output_Process],,0,)</f>
        <v>0</v>
      </c>
      <c r="F338" s="49" t="str">
        <f>_xlfn.XLOOKUP(C338,Tab_Def_Flows[Name(EN)],Tab_Def_Flows[Process_ID_O],,0,)</f>
        <v>12__</v>
      </c>
      <c r="G338" s="49">
        <f>_xlfn.XLOOKUP(C338,Tab_Def_Flows[Name(EN)],Tab_Def_Flows[Input_Process],,0,)</f>
        <v>0</v>
      </c>
      <c r="H338" s="61" t="str">
        <f>_xlfn.XLOOKUP(C338,Tab_Def_Flows[Name(EN)],Tab_Def_Flows[Process_ID_I],,0,)</f>
        <v>12__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c r="AC338" s="107" t="e">
        <f>INDEX(Tab_Def_Flows[[Flow_ID]:[CC_DM_source]],MATCH(Tab_Data_Flows[[#This Row],[Name(EN)]],Tab_Def_Flows[Name(EN)],0),16)</f>
        <v>#N/A</v>
      </c>
      <c r="AD338" s="108" t="str">
        <f>IF(J338="Yes",AA338*Tab_Data_Flows[[#This Row],[WC_'[%']]],"N.A.")</f>
        <v>N.A.</v>
      </c>
      <c r="AE338" s="61">
        <f>Tab_Data_Flows[[#This Row],[UoM_Flow_Py]]</f>
        <v>0</v>
      </c>
      <c r="AF338" s="107" t="e">
        <f>INDEX(Tab_Def_Flows[[Flow_ID]:[CC_DM_source]],MATCH(Tab_Data_Flows[[#This Row],[Name(EN)]],Tab_Def_Flows[Name(EN)],0),18)</f>
        <v>#N/A</v>
      </c>
      <c r="AG338" s="108" t="str">
        <f>IF(K338="Yes",AF338*Tab_Data_Flows[[#This Row],[Flow_Py]],"N.A.")</f>
        <v>N.A.</v>
      </c>
      <c r="AH338" s="61">
        <f>Tab_Data_Flows[[#This Row],[UoM_Flow_Py]]</f>
        <v>0</v>
      </c>
      <c r="AI338" s="107" t="e">
        <f>INDEX(Tab_Def_Flows[[Flow_ID]:[CC_DM_source]],MATCH(Tab_Data_Flows[[#This Row],[Name(EN)]],Tab_Def_Flows[Name(EN)],0),20)</f>
        <v>#N/A</v>
      </c>
      <c r="AJ338" s="108" t="str">
        <f>IF(L338="Yes",AI338*Tab_Data_Flows[[#This Row],[Flow_Py]]*Tab_Data_Flows[[#This Row],[DM_'[%']]],"N.A.")</f>
        <v>N.A.</v>
      </c>
      <c r="AK338" s="61">
        <f>Tab_Data_Flows[[#This Row],[UoM_Flow_Py]]</f>
        <v>0</v>
      </c>
    </row>
    <row r="339" spans="1:37" x14ac:dyDescent="0.25">
      <c r="A339" s="60">
        <f t="shared" si="11"/>
        <v>338</v>
      </c>
      <c r="B339" s="49" t="str">
        <f>_xlfn.XLOOKUP(C339,Tab_Def_Flows[Name(EN)],Tab_Def_Flows[Flow_ID],,0,)</f>
        <v>F_12_12</v>
      </c>
      <c r="C339" s="51"/>
      <c r="D339" s="49">
        <f>_xlfn.XLOOKUP(C339,Tab_Def_Flows[Name(EN)],Tab_Def_Flows[Type_Biomass],,0,)</f>
        <v>0</v>
      </c>
      <c r="E339" s="49">
        <f>_xlfn.XLOOKUP(C339,Tab_Def_Flows[Name(EN)],Tab_Def_Flows[Output_Process],,0,)</f>
        <v>0</v>
      </c>
      <c r="F339" s="49" t="str">
        <f>_xlfn.XLOOKUP(C339,Tab_Def_Flows[Name(EN)],Tab_Def_Flows[Process_ID_O],,0,)</f>
        <v>12__</v>
      </c>
      <c r="G339" s="49">
        <f>_xlfn.XLOOKUP(C339,Tab_Def_Flows[Name(EN)],Tab_Def_Flows[Input_Process],,0,)</f>
        <v>0</v>
      </c>
      <c r="H339" s="61" t="str">
        <f>_xlfn.XLOOKUP(C339,Tab_Def_Flows[Name(EN)],Tab_Def_Flows[Process_ID_I],,0,)</f>
        <v>12__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c r="AC339" s="107" t="e">
        <f>INDEX(Tab_Def_Flows[[Flow_ID]:[CC_DM_source]],MATCH(Tab_Data_Flows[[#This Row],[Name(EN)]],Tab_Def_Flows[Name(EN)],0),16)</f>
        <v>#N/A</v>
      </c>
      <c r="AD339" s="108" t="str">
        <f>IF(J339="Yes",AA339*Tab_Data_Flows[[#This Row],[WC_'[%']]],"N.A.")</f>
        <v>N.A.</v>
      </c>
      <c r="AE339" s="61">
        <f>Tab_Data_Flows[[#This Row],[UoM_Flow_Py]]</f>
        <v>0</v>
      </c>
      <c r="AF339" s="107" t="e">
        <f>INDEX(Tab_Def_Flows[[Flow_ID]:[CC_DM_source]],MATCH(Tab_Data_Flows[[#This Row],[Name(EN)]],Tab_Def_Flows[Name(EN)],0),18)</f>
        <v>#N/A</v>
      </c>
      <c r="AG339" s="108" t="str">
        <f>IF(K339="Yes",AF339*Tab_Data_Flows[[#This Row],[Flow_Py]],"N.A.")</f>
        <v>N.A.</v>
      </c>
      <c r="AH339" s="61">
        <f>Tab_Data_Flows[[#This Row],[UoM_Flow_Py]]</f>
        <v>0</v>
      </c>
      <c r="AI339" s="107" t="e">
        <f>INDEX(Tab_Def_Flows[[Flow_ID]:[CC_DM_source]],MATCH(Tab_Data_Flows[[#This Row],[Name(EN)]],Tab_Def_Flows[Name(EN)],0),20)</f>
        <v>#N/A</v>
      </c>
      <c r="AJ339" s="108" t="str">
        <f>IF(L339="Yes",AI339*Tab_Data_Flows[[#This Row],[Flow_Py]]*Tab_Data_Flows[[#This Row],[DM_'[%']]],"N.A.")</f>
        <v>N.A.</v>
      </c>
      <c r="AK339" s="61">
        <f>Tab_Data_Flows[[#This Row],[UoM_Flow_Py]]</f>
        <v>0</v>
      </c>
    </row>
    <row r="340" spans="1:37" x14ac:dyDescent="0.25">
      <c r="A340" s="60">
        <f t="shared" si="11"/>
        <v>339</v>
      </c>
      <c r="B340" s="49" t="str">
        <f>_xlfn.XLOOKUP(C340,Tab_Def_Flows[Name(EN)],Tab_Def_Flows[Flow_ID],,0,)</f>
        <v>F_12_12</v>
      </c>
      <c r="C340" s="51"/>
      <c r="D340" s="49">
        <f>_xlfn.XLOOKUP(C340,Tab_Def_Flows[Name(EN)],Tab_Def_Flows[Type_Biomass],,0,)</f>
        <v>0</v>
      </c>
      <c r="E340" s="49">
        <f>_xlfn.XLOOKUP(C340,Tab_Def_Flows[Name(EN)],Tab_Def_Flows[Output_Process],,0,)</f>
        <v>0</v>
      </c>
      <c r="F340" s="49" t="str">
        <f>_xlfn.XLOOKUP(C340,Tab_Def_Flows[Name(EN)],Tab_Def_Flows[Process_ID_O],,0,)</f>
        <v>12__</v>
      </c>
      <c r="G340" s="49">
        <f>_xlfn.XLOOKUP(C340,Tab_Def_Flows[Name(EN)],Tab_Def_Flows[Input_Process],,0,)</f>
        <v>0</v>
      </c>
      <c r="H340" s="61" t="str">
        <f>_xlfn.XLOOKUP(C340,Tab_Def_Flows[Name(EN)],Tab_Def_Flows[Process_ID_I],,0,)</f>
        <v>12__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c r="AC340" s="107" t="e">
        <f>INDEX(Tab_Def_Flows[[Flow_ID]:[CC_DM_source]],MATCH(Tab_Data_Flows[[#This Row],[Name(EN)]],Tab_Def_Flows[Name(EN)],0),16)</f>
        <v>#N/A</v>
      </c>
      <c r="AD340" s="108" t="str">
        <f>IF(J340="Yes",AA340*Tab_Data_Flows[[#This Row],[WC_'[%']]],"N.A.")</f>
        <v>N.A.</v>
      </c>
      <c r="AE340" s="61">
        <f>Tab_Data_Flows[[#This Row],[UoM_Flow_Py]]</f>
        <v>0</v>
      </c>
      <c r="AF340" s="107" t="e">
        <f>INDEX(Tab_Def_Flows[[Flow_ID]:[CC_DM_source]],MATCH(Tab_Data_Flows[[#This Row],[Name(EN)]],Tab_Def_Flows[Name(EN)],0),18)</f>
        <v>#N/A</v>
      </c>
      <c r="AG340" s="108" t="str">
        <f>IF(K340="Yes",AF340*Tab_Data_Flows[[#This Row],[Flow_Py]],"N.A.")</f>
        <v>N.A.</v>
      </c>
      <c r="AH340" s="61">
        <f>Tab_Data_Flows[[#This Row],[UoM_Flow_Py]]</f>
        <v>0</v>
      </c>
      <c r="AI340" s="107" t="e">
        <f>INDEX(Tab_Def_Flows[[Flow_ID]:[CC_DM_source]],MATCH(Tab_Data_Flows[[#This Row],[Name(EN)]],Tab_Def_Flows[Name(EN)],0),20)</f>
        <v>#N/A</v>
      </c>
      <c r="AJ340" s="108" t="str">
        <f>IF(L340="Yes",AI340*Tab_Data_Flows[[#This Row],[Flow_Py]]*Tab_Data_Flows[[#This Row],[DM_'[%']]],"N.A.")</f>
        <v>N.A.</v>
      </c>
      <c r="AK340" s="61">
        <f>Tab_Data_Flows[[#This Row],[UoM_Flow_Py]]</f>
        <v>0</v>
      </c>
    </row>
    <row r="341" spans="1:37" x14ac:dyDescent="0.25">
      <c r="A341" s="60">
        <f t="shared" si="11"/>
        <v>340</v>
      </c>
      <c r="B341" s="49" t="str">
        <f>_xlfn.XLOOKUP(C341,Tab_Def_Flows[Name(EN)],Tab_Def_Flows[Flow_ID],,0,)</f>
        <v>F_12_12</v>
      </c>
      <c r="C341" s="51"/>
      <c r="D341" s="49">
        <f>_xlfn.XLOOKUP(C341,Tab_Def_Flows[Name(EN)],Tab_Def_Flows[Type_Biomass],,0,)</f>
        <v>0</v>
      </c>
      <c r="E341" s="49">
        <f>_xlfn.XLOOKUP(C341,Tab_Def_Flows[Name(EN)],Tab_Def_Flows[Output_Process],,0,)</f>
        <v>0</v>
      </c>
      <c r="F341" s="49" t="str">
        <f>_xlfn.XLOOKUP(C341,Tab_Def_Flows[Name(EN)],Tab_Def_Flows[Process_ID_O],,0,)</f>
        <v>12__</v>
      </c>
      <c r="G341" s="49">
        <f>_xlfn.XLOOKUP(C341,Tab_Def_Flows[Name(EN)],Tab_Def_Flows[Input_Process],,0,)</f>
        <v>0</v>
      </c>
      <c r="H341" s="61" t="str">
        <f>_xlfn.XLOOKUP(C341,Tab_Def_Flows[Name(EN)],Tab_Def_Flows[Process_ID_I],,0,)</f>
        <v>12__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c r="AC341" s="107" t="e">
        <f>INDEX(Tab_Def_Flows[[Flow_ID]:[CC_DM_source]],MATCH(Tab_Data_Flows[[#This Row],[Name(EN)]],Tab_Def_Flows[Name(EN)],0),16)</f>
        <v>#N/A</v>
      </c>
      <c r="AD341" s="108" t="str">
        <f>IF(J341="Yes",AA341*Tab_Data_Flows[[#This Row],[WC_'[%']]],"N.A.")</f>
        <v>N.A.</v>
      </c>
      <c r="AE341" s="61">
        <f>Tab_Data_Flows[[#This Row],[UoM_Flow_Py]]</f>
        <v>0</v>
      </c>
      <c r="AF341" s="107" t="e">
        <f>INDEX(Tab_Def_Flows[[Flow_ID]:[CC_DM_source]],MATCH(Tab_Data_Flows[[#This Row],[Name(EN)]],Tab_Def_Flows[Name(EN)],0),18)</f>
        <v>#N/A</v>
      </c>
      <c r="AG341" s="108" t="str">
        <f>IF(K341="Yes",AF341*Tab_Data_Flows[[#This Row],[Flow_Py]],"N.A.")</f>
        <v>N.A.</v>
      </c>
      <c r="AH341" s="61">
        <f>Tab_Data_Flows[[#This Row],[UoM_Flow_Py]]</f>
        <v>0</v>
      </c>
      <c r="AI341" s="107" t="e">
        <f>INDEX(Tab_Def_Flows[[Flow_ID]:[CC_DM_source]],MATCH(Tab_Data_Flows[[#This Row],[Name(EN)]],Tab_Def_Flows[Name(EN)],0),20)</f>
        <v>#N/A</v>
      </c>
      <c r="AJ341" s="108" t="str">
        <f>IF(L341="Yes",AI341*Tab_Data_Flows[[#This Row],[Flow_Py]]*Tab_Data_Flows[[#This Row],[DM_'[%']]],"N.A.")</f>
        <v>N.A.</v>
      </c>
      <c r="AK341" s="61">
        <f>Tab_Data_Flows[[#This Row],[UoM_Flow_Py]]</f>
        <v>0</v>
      </c>
    </row>
    <row r="342" spans="1:37" x14ac:dyDescent="0.25">
      <c r="A342" s="60">
        <f t="shared" si="11"/>
        <v>341</v>
      </c>
      <c r="B342" s="49" t="str">
        <f>_xlfn.XLOOKUP(C342,Tab_Def_Flows[Name(EN)],Tab_Def_Flows[Flow_ID],,0,)</f>
        <v>F_12_12</v>
      </c>
      <c r="C342" s="51"/>
      <c r="D342" s="49">
        <f>_xlfn.XLOOKUP(C342,Tab_Def_Flows[Name(EN)],Tab_Def_Flows[Type_Biomass],,0,)</f>
        <v>0</v>
      </c>
      <c r="E342" s="49">
        <f>_xlfn.XLOOKUP(C342,Tab_Def_Flows[Name(EN)],Tab_Def_Flows[Output_Process],,0,)</f>
        <v>0</v>
      </c>
      <c r="F342" s="49" t="str">
        <f>_xlfn.XLOOKUP(C342,Tab_Def_Flows[Name(EN)],Tab_Def_Flows[Process_ID_O],,0,)</f>
        <v>12__</v>
      </c>
      <c r="G342" s="49">
        <f>_xlfn.XLOOKUP(C342,Tab_Def_Flows[Name(EN)],Tab_Def_Flows[Input_Process],,0,)</f>
        <v>0</v>
      </c>
      <c r="H342" s="61" t="str">
        <f>_xlfn.XLOOKUP(C342,Tab_Def_Flows[Name(EN)],Tab_Def_Flows[Process_ID_I],,0,)</f>
        <v>12__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c r="AC342" s="107" t="e">
        <f>INDEX(Tab_Def_Flows[[Flow_ID]:[CC_DM_source]],MATCH(Tab_Data_Flows[[#This Row],[Name(EN)]],Tab_Def_Flows[Name(EN)],0),16)</f>
        <v>#N/A</v>
      </c>
      <c r="AD342" s="108" t="str">
        <f>IF(J342="Yes",AA342*Tab_Data_Flows[[#This Row],[WC_'[%']]],"N.A.")</f>
        <v>N.A.</v>
      </c>
      <c r="AE342" s="61">
        <f>Tab_Data_Flows[[#This Row],[UoM_Flow_Py]]</f>
        <v>0</v>
      </c>
      <c r="AF342" s="107" t="e">
        <f>INDEX(Tab_Def_Flows[[Flow_ID]:[CC_DM_source]],MATCH(Tab_Data_Flows[[#This Row],[Name(EN)]],Tab_Def_Flows[Name(EN)],0),18)</f>
        <v>#N/A</v>
      </c>
      <c r="AG342" s="108" t="str">
        <f>IF(K342="Yes",AF342*Tab_Data_Flows[[#This Row],[Flow_Py]],"N.A.")</f>
        <v>N.A.</v>
      </c>
      <c r="AH342" s="61">
        <f>Tab_Data_Flows[[#This Row],[UoM_Flow_Py]]</f>
        <v>0</v>
      </c>
      <c r="AI342" s="107" t="e">
        <f>INDEX(Tab_Def_Flows[[Flow_ID]:[CC_DM_source]],MATCH(Tab_Data_Flows[[#This Row],[Name(EN)]],Tab_Def_Flows[Name(EN)],0),20)</f>
        <v>#N/A</v>
      </c>
      <c r="AJ342" s="108" t="str">
        <f>IF(L342="Yes",AI342*Tab_Data_Flows[[#This Row],[Flow_Py]]*Tab_Data_Flows[[#This Row],[DM_'[%']]],"N.A.")</f>
        <v>N.A.</v>
      </c>
      <c r="AK342" s="61">
        <f>Tab_Data_Flows[[#This Row],[UoM_Flow_Py]]</f>
        <v>0</v>
      </c>
    </row>
    <row r="343" spans="1:37" x14ac:dyDescent="0.25">
      <c r="A343" s="60">
        <f t="shared" si="11"/>
        <v>342</v>
      </c>
      <c r="B343" s="49" t="str">
        <f>_xlfn.XLOOKUP(C343,Tab_Def_Flows[Name(EN)],Tab_Def_Flows[Flow_ID],,0,)</f>
        <v>F_12_12</v>
      </c>
      <c r="C343" s="51"/>
      <c r="D343" s="49">
        <f>_xlfn.XLOOKUP(C343,Tab_Def_Flows[Name(EN)],Tab_Def_Flows[Type_Biomass],,0,)</f>
        <v>0</v>
      </c>
      <c r="E343" s="49">
        <f>_xlfn.XLOOKUP(C343,Tab_Def_Flows[Name(EN)],Tab_Def_Flows[Output_Process],,0,)</f>
        <v>0</v>
      </c>
      <c r="F343" s="49" t="str">
        <f>_xlfn.XLOOKUP(C343,Tab_Def_Flows[Name(EN)],Tab_Def_Flows[Process_ID_O],,0,)</f>
        <v>12__</v>
      </c>
      <c r="G343" s="49">
        <f>_xlfn.XLOOKUP(C343,Tab_Def_Flows[Name(EN)],Tab_Def_Flows[Input_Process],,0,)</f>
        <v>0</v>
      </c>
      <c r="H343" s="61" t="str">
        <f>_xlfn.XLOOKUP(C343,Tab_Def_Flows[Name(EN)],Tab_Def_Flows[Process_ID_I],,0,)</f>
        <v>12__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c r="AC343" s="107" t="e">
        <f>INDEX(Tab_Def_Flows[[Flow_ID]:[CC_DM_source]],MATCH(Tab_Data_Flows[[#This Row],[Name(EN)]],Tab_Def_Flows[Name(EN)],0),16)</f>
        <v>#N/A</v>
      </c>
      <c r="AD343" s="108" t="str">
        <f>IF(J343="Yes",AA343*Tab_Data_Flows[[#This Row],[WC_'[%']]],"N.A.")</f>
        <v>N.A.</v>
      </c>
      <c r="AE343" s="61">
        <f>Tab_Data_Flows[[#This Row],[UoM_Flow_Py]]</f>
        <v>0</v>
      </c>
      <c r="AF343" s="107" t="e">
        <f>INDEX(Tab_Def_Flows[[Flow_ID]:[CC_DM_source]],MATCH(Tab_Data_Flows[[#This Row],[Name(EN)]],Tab_Def_Flows[Name(EN)],0),18)</f>
        <v>#N/A</v>
      </c>
      <c r="AG343" s="108" t="str">
        <f>IF(K343="Yes",AF343*Tab_Data_Flows[[#This Row],[Flow_Py]],"N.A.")</f>
        <v>N.A.</v>
      </c>
      <c r="AH343" s="61">
        <f>Tab_Data_Flows[[#This Row],[UoM_Flow_Py]]</f>
        <v>0</v>
      </c>
      <c r="AI343" s="107" t="e">
        <f>INDEX(Tab_Def_Flows[[Flow_ID]:[CC_DM_source]],MATCH(Tab_Data_Flows[[#This Row],[Name(EN)]],Tab_Def_Flows[Name(EN)],0),20)</f>
        <v>#N/A</v>
      </c>
      <c r="AJ343" s="108" t="str">
        <f>IF(L343="Yes",AI343*Tab_Data_Flows[[#This Row],[Flow_Py]]*Tab_Data_Flows[[#This Row],[DM_'[%']]],"N.A.")</f>
        <v>N.A.</v>
      </c>
      <c r="AK343" s="61">
        <f>Tab_Data_Flows[[#This Row],[UoM_Flow_Py]]</f>
        <v>0</v>
      </c>
    </row>
    <row r="344" spans="1:37" x14ac:dyDescent="0.25">
      <c r="A344" s="60">
        <f t="shared" si="11"/>
        <v>343</v>
      </c>
      <c r="B344" s="49" t="str">
        <f>_xlfn.XLOOKUP(C344,Tab_Def_Flows[Name(EN)],Tab_Def_Flows[Flow_ID],,0,)</f>
        <v>F_12_12</v>
      </c>
      <c r="C344" s="51"/>
      <c r="D344" s="49">
        <f>_xlfn.XLOOKUP(C344,Tab_Def_Flows[Name(EN)],Tab_Def_Flows[Type_Biomass],,0,)</f>
        <v>0</v>
      </c>
      <c r="E344" s="49">
        <f>_xlfn.XLOOKUP(C344,Tab_Def_Flows[Name(EN)],Tab_Def_Flows[Output_Process],,0,)</f>
        <v>0</v>
      </c>
      <c r="F344" s="49" t="str">
        <f>_xlfn.XLOOKUP(C344,Tab_Def_Flows[Name(EN)],Tab_Def_Flows[Process_ID_O],,0,)</f>
        <v>12__</v>
      </c>
      <c r="G344" s="49">
        <f>_xlfn.XLOOKUP(C344,Tab_Def_Flows[Name(EN)],Tab_Def_Flows[Input_Process],,0,)</f>
        <v>0</v>
      </c>
      <c r="H344" s="61" t="str">
        <f>_xlfn.XLOOKUP(C344,Tab_Def_Flows[Name(EN)],Tab_Def_Flows[Process_ID_I],,0,)</f>
        <v>12__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c r="AC344" s="107" t="e">
        <f>INDEX(Tab_Def_Flows[[Flow_ID]:[CC_DM_source]],MATCH(Tab_Data_Flows[[#This Row],[Name(EN)]],Tab_Def_Flows[Name(EN)],0),16)</f>
        <v>#N/A</v>
      </c>
      <c r="AD344" s="108" t="str">
        <f>IF(J344="Yes",AA344*Tab_Data_Flows[[#This Row],[WC_'[%']]],"N.A.")</f>
        <v>N.A.</v>
      </c>
      <c r="AE344" s="61">
        <f>Tab_Data_Flows[[#This Row],[UoM_Flow_Py]]</f>
        <v>0</v>
      </c>
      <c r="AF344" s="107" t="e">
        <f>INDEX(Tab_Def_Flows[[Flow_ID]:[CC_DM_source]],MATCH(Tab_Data_Flows[[#This Row],[Name(EN)]],Tab_Def_Flows[Name(EN)],0),18)</f>
        <v>#N/A</v>
      </c>
      <c r="AG344" s="108" t="str">
        <f>IF(K344="Yes",AF344*Tab_Data_Flows[[#This Row],[Flow_Py]],"N.A.")</f>
        <v>N.A.</v>
      </c>
      <c r="AH344" s="61">
        <f>Tab_Data_Flows[[#This Row],[UoM_Flow_Py]]</f>
        <v>0</v>
      </c>
      <c r="AI344" s="107" t="e">
        <f>INDEX(Tab_Def_Flows[[Flow_ID]:[CC_DM_source]],MATCH(Tab_Data_Flows[[#This Row],[Name(EN)]],Tab_Def_Flows[Name(EN)],0),20)</f>
        <v>#N/A</v>
      </c>
      <c r="AJ344" s="108" t="str">
        <f>IF(L344="Yes",AI344*Tab_Data_Flows[[#This Row],[Flow_Py]]*Tab_Data_Flows[[#This Row],[DM_'[%']]],"N.A.")</f>
        <v>N.A.</v>
      </c>
      <c r="AK344" s="61">
        <f>Tab_Data_Flows[[#This Row],[UoM_Flow_Py]]</f>
        <v>0</v>
      </c>
    </row>
    <row r="345" spans="1:37" x14ac:dyDescent="0.25">
      <c r="A345" s="60">
        <f t="shared" si="11"/>
        <v>344</v>
      </c>
      <c r="B345" s="49" t="str">
        <f>_xlfn.XLOOKUP(C345,Tab_Def_Flows[Name(EN)],Tab_Def_Flows[Flow_ID],,0,)</f>
        <v>F_12_12</v>
      </c>
      <c r="C345" s="51"/>
      <c r="D345" s="49">
        <f>_xlfn.XLOOKUP(C345,Tab_Def_Flows[Name(EN)],Tab_Def_Flows[Type_Biomass],,0,)</f>
        <v>0</v>
      </c>
      <c r="E345" s="49">
        <f>_xlfn.XLOOKUP(C345,Tab_Def_Flows[Name(EN)],Tab_Def_Flows[Output_Process],,0,)</f>
        <v>0</v>
      </c>
      <c r="F345" s="49" t="str">
        <f>_xlfn.XLOOKUP(C345,Tab_Def_Flows[Name(EN)],Tab_Def_Flows[Process_ID_O],,0,)</f>
        <v>12__</v>
      </c>
      <c r="G345" s="49">
        <f>_xlfn.XLOOKUP(C345,Tab_Def_Flows[Name(EN)],Tab_Def_Flows[Input_Process],,0,)</f>
        <v>0</v>
      </c>
      <c r="H345" s="61" t="str">
        <f>_xlfn.XLOOKUP(C345,Tab_Def_Flows[Name(EN)],Tab_Def_Flows[Process_ID_I],,0,)</f>
        <v>12__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c r="AC345" s="107" t="e">
        <f>INDEX(Tab_Def_Flows[[Flow_ID]:[CC_DM_source]],MATCH(Tab_Data_Flows[[#This Row],[Name(EN)]],Tab_Def_Flows[Name(EN)],0),16)</f>
        <v>#N/A</v>
      </c>
      <c r="AD345" s="108" t="str">
        <f>IF(J345="Yes",AA345*Tab_Data_Flows[[#This Row],[WC_'[%']]],"N.A.")</f>
        <v>N.A.</v>
      </c>
      <c r="AE345" s="61">
        <f>Tab_Data_Flows[[#This Row],[UoM_Flow_Py]]</f>
        <v>0</v>
      </c>
      <c r="AF345" s="107" t="e">
        <f>INDEX(Tab_Def_Flows[[Flow_ID]:[CC_DM_source]],MATCH(Tab_Data_Flows[[#This Row],[Name(EN)]],Tab_Def_Flows[Name(EN)],0),18)</f>
        <v>#N/A</v>
      </c>
      <c r="AG345" s="108" t="str">
        <f>IF(K345="Yes",AF345*Tab_Data_Flows[[#This Row],[Flow_Py]],"N.A.")</f>
        <v>N.A.</v>
      </c>
      <c r="AH345" s="61">
        <f>Tab_Data_Flows[[#This Row],[UoM_Flow_Py]]</f>
        <v>0</v>
      </c>
      <c r="AI345" s="107" t="e">
        <f>INDEX(Tab_Def_Flows[[Flow_ID]:[CC_DM_source]],MATCH(Tab_Data_Flows[[#This Row],[Name(EN)]],Tab_Def_Flows[Name(EN)],0),20)</f>
        <v>#N/A</v>
      </c>
      <c r="AJ345" s="108" t="str">
        <f>IF(L345="Yes",AI345*Tab_Data_Flows[[#This Row],[Flow_Py]]*Tab_Data_Flows[[#This Row],[DM_'[%']]],"N.A.")</f>
        <v>N.A.</v>
      </c>
      <c r="AK345" s="61">
        <f>Tab_Data_Flows[[#This Row],[UoM_Flow_Py]]</f>
        <v>0</v>
      </c>
    </row>
    <row r="346" spans="1:37" x14ac:dyDescent="0.25">
      <c r="A346" s="60">
        <f t="shared" si="11"/>
        <v>345</v>
      </c>
      <c r="B346" s="49" t="str">
        <f>_xlfn.XLOOKUP(C346,Tab_Def_Flows[Name(EN)],Tab_Def_Flows[Flow_ID],,0,)</f>
        <v>F_12_12</v>
      </c>
      <c r="C346" s="51"/>
      <c r="D346" s="49">
        <f>_xlfn.XLOOKUP(C346,Tab_Def_Flows[Name(EN)],Tab_Def_Flows[Type_Biomass],,0,)</f>
        <v>0</v>
      </c>
      <c r="E346" s="49">
        <f>_xlfn.XLOOKUP(C346,Tab_Def_Flows[Name(EN)],Tab_Def_Flows[Output_Process],,0,)</f>
        <v>0</v>
      </c>
      <c r="F346" s="49" t="str">
        <f>_xlfn.XLOOKUP(C346,Tab_Def_Flows[Name(EN)],Tab_Def_Flows[Process_ID_O],,0,)</f>
        <v>12__</v>
      </c>
      <c r="G346" s="49">
        <f>_xlfn.XLOOKUP(C346,Tab_Def_Flows[Name(EN)],Tab_Def_Flows[Input_Process],,0,)</f>
        <v>0</v>
      </c>
      <c r="H346" s="61" t="str">
        <f>_xlfn.XLOOKUP(C346,Tab_Def_Flows[Name(EN)],Tab_Def_Flows[Process_ID_I],,0,)</f>
        <v>12__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c r="AC346" s="107" t="e">
        <f>INDEX(Tab_Def_Flows[[Flow_ID]:[CC_DM_source]],MATCH(Tab_Data_Flows[[#This Row],[Name(EN)]],Tab_Def_Flows[Name(EN)],0),16)</f>
        <v>#N/A</v>
      </c>
      <c r="AD346" s="108" t="str">
        <f>IF(J346="Yes",AA346*Tab_Data_Flows[[#This Row],[WC_'[%']]],"N.A.")</f>
        <v>N.A.</v>
      </c>
      <c r="AE346" s="61">
        <f>Tab_Data_Flows[[#This Row],[UoM_Flow_Py]]</f>
        <v>0</v>
      </c>
      <c r="AF346" s="107" t="e">
        <f>INDEX(Tab_Def_Flows[[Flow_ID]:[CC_DM_source]],MATCH(Tab_Data_Flows[[#This Row],[Name(EN)]],Tab_Def_Flows[Name(EN)],0),18)</f>
        <v>#N/A</v>
      </c>
      <c r="AG346" s="108" t="str">
        <f>IF(K346="Yes",AF346*Tab_Data_Flows[[#This Row],[Flow_Py]],"N.A.")</f>
        <v>N.A.</v>
      </c>
      <c r="AH346" s="61">
        <f>Tab_Data_Flows[[#This Row],[UoM_Flow_Py]]</f>
        <v>0</v>
      </c>
      <c r="AI346" s="107" t="e">
        <f>INDEX(Tab_Def_Flows[[Flow_ID]:[CC_DM_source]],MATCH(Tab_Data_Flows[[#This Row],[Name(EN)]],Tab_Def_Flows[Name(EN)],0),20)</f>
        <v>#N/A</v>
      </c>
      <c r="AJ346" s="108" t="str">
        <f>IF(L346="Yes",AI346*Tab_Data_Flows[[#This Row],[Flow_Py]]*Tab_Data_Flows[[#This Row],[DM_'[%']]],"N.A.")</f>
        <v>N.A.</v>
      </c>
      <c r="AK346" s="61">
        <f>Tab_Data_Flows[[#This Row],[UoM_Flow_Py]]</f>
        <v>0</v>
      </c>
    </row>
    <row r="347" spans="1:37" x14ac:dyDescent="0.25">
      <c r="A347" s="60">
        <f t="shared" ref="A347:A350" si="13">ROW()-1</f>
        <v>346</v>
      </c>
      <c r="B347" s="49" t="str">
        <f>_xlfn.XLOOKUP(C347,Tab_Def_Flows[Name(EN)],Tab_Def_Flows[Flow_ID],,0,)</f>
        <v>F_12_12</v>
      </c>
      <c r="C347" s="51"/>
      <c r="D347" s="49">
        <f>_xlfn.XLOOKUP(C347,Tab_Def_Flows[Name(EN)],Tab_Def_Flows[Type_Biomass],,0,)</f>
        <v>0</v>
      </c>
      <c r="E347" s="49">
        <f>_xlfn.XLOOKUP(C347,Tab_Def_Flows[Name(EN)],Tab_Def_Flows[Output_Process],,0,)</f>
        <v>0</v>
      </c>
      <c r="F347" s="49" t="str">
        <f>_xlfn.XLOOKUP(C347,Tab_Def_Flows[Name(EN)],Tab_Def_Flows[Process_ID_O],,0,)</f>
        <v>12__</v>
      </c>
      <c r="G347" s="49">
        <f>_xlfn.XLOOKUP(C347,Tab_Def_Flows[Name(EN)],Tab_Def_Flows[Input_Process],,0,)</f>
        <v>0</v>
      </c>
      <c r="H347" s="61" t="str">
        <f>_xlfn.XLOOKUP(C347,Tab_Def_Flows[Name(EN)],Tab_Def_Flows[Process_ID_I],,0,)</f>
        <v>12__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c r="AC347" s="107" t="e">
        <f>INDEX(Tab_Def_Flows[[Flow_ID]:[CC_DM_source]],MATCH(Tab_Data_Flows[[#This Row],[Name(EN)]],Tab_Def_Flows[Name(EN)],0),16)</f>
        <v>#N/A</v>
      </c>
      <c r="AD347" s="108" t="str">
        <f>IF(J347="Yes",AA347*Tab_Data_Flows[[#This Row],[WC_'[%']]],"N.A.")</f>
        <v>N.A.</v>
      </c>
      <c r="AE347" s="61">
        <f>Tab_Data_Flows[[#This Row],[UoM_Flow_Py]]</f>
        <v>0</v>
      </c>
      <c r="AF347" s="107" t="e">
        <f>INDEX(Tab_Def_Flows[[Flow_ID]:[CC_DM_source]],MATCH(Tab_Data_Flows[[#This Row],[Name(EN)]],Tab_Def_Flows[Name(EN)],0),18)</f>
        <v>#N/A</v>
      </c>
      <c r="AG347" s="108" t="str">
        <f>IF(K347="Yes",AF347*Tab_Data_Flows[[#This Row],[Flow_Py]],"N.A.")</f>
        <v>N.A.</v>
      </c>
      <c r="AH347" s="61">
        <f>Tab_Data_Flows[[#This Row],[UoM_Flow_Py]]</f>
        <v>0</v>
      </c>
      <c r="AI347" s="107" t="e">
        <f>INDEX(Tab_Def_Flows[[Flow_ID]:[CC_DM_source]],MATCH(Tab_Data_Flows[[#This Row],[Name(EN)]],Tab_Def_Flows[Name(EN)],0),20)</f>
        <v>#N/A</v>
      </c>
      <c r="AJ347" s="108" t="str">
        <f>IF(L347="Yes",AI347*Tab_Data_Flows[[#This Row],[Flow_Py]]*Tab_Data_Flows[[#This Row],[DM_'[%']]],"N.A.")</f>
        <v>N.A.</v>
      </c>
      <c r="AK347" s="61">
        <f>Tab_Data_Flows[[#This Row],[UoM_Flow_Py]]</f>
        <v>0</v>
      </c>
    </row>
    <row r="348" spans="1:37" x14ac:dyDescent="0.25">
      <c r="A348" s="60">
        <f t="shared" si="13"/>
        <v>347</v>
      </c>
      <c r="B348" s="49" t="str">
        <f>_xlfn.XLOOKUP(C348,Tab_Def_Flows[Name(EN)],Tab_Def_Flows[Flow_ID],,0,)</f>
        <v>F_12_12</v>
      </c>
      <c r="C348" s="51"/>
      <c r="D348" s="49">
        <f>_xlfn.XLOOKUP(C348,Tab_Def_Flows[Name(EN)],Tab_Def_Flows[Type_Biomass],,0,)</f>
        <v>0</v>
      </c>
      <c r="E348" s="49">
        <f>_xlfn.XLOOKUP(C348,Tab_Def_Flows[Name(EN)],Tab_Def_Flows[Output_Process],,0,)</f>
        <v>0</v>
      </c>
      <c r="F348" s="49" t="str">
        <f>_xlfn.XLOOKUP(C348,Tab_Def_Flows[Name(EN)],Tab_Def_Flows[Process_ID_O],,0,)</f>
        <v>12__</v>
      </c>
      <c r="G348" s="49">
        <f>_xlfn.XLOOKUP(C348,Tab_Def_Flows[Name(EN)],Tab_Def_Flows[Input_Process],,0,)</f>
        <v>0</v>
      </c>
      <c r="H348" s="61" t="str">
        <f>_xlfn.XLOOKUP(C348,Tab_Def_Flows[Name(EN)],Tab_Def_Flows[Process_ID_I],,0,)</f>
        <v>12__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c r="AC348" s="107" t="e">
        <f>INDEX(Tab_Def_Flows[[Flow_ID]:[CC_DM_source]],MATCH(Tab_Data_Flows[[#This Row],[Name(EN)]],Tab_Def_Flows[Name(EN)],0),16)</f>
        <v>#N/A</v>
      </c>
      <c r="AD348" s="108" t="str">
        <f>IF(J348="Yes",AA348*Tab_Data_Flows[[#This Row],[WC_'[%']]],"N.A.")</f>
        <v>N.A.</v>
      </c>
      <c r="AE348" s="61">
        <f>Tab_Data_Flows[[#This Row],[UoM_Flow_Py]]</f>
        <v>0</v>
      </c>
      <c r="AF348" s="107" t="e">
        <f>INDEX(Tab_Def_Flows[[Flow_ID]:[CC_DM_source]],MATCH(Tab_Data_Flows[[#This Row],[Name(EN)]],Tab_Def_Flows[Name(EN)],0),18)</f>
        <v>#N/A</v>
      </c>
      <c r="AG348" s="108" t="str">
        <f>IF(K348="Yes",AF348*Tab_Data_Flows[[#This Row],[Flow_Py]],"N.A.")</f>
        <v>N.A.</v>
      </c>
      <c r="AH348" s="61">
        <f>Tab_Data_Flows[[#This Row],[UoM_Flow_Py]]</f>
        <v>0</v>
      </c>
      <c r="AI348" s="107" t="e">
        <f>INDEX(Tab_Def_Flows[[Flow_ID]:[CC_DM_source]],MATCH(Tab_Data_Flows[[#This Row],[Name(EN)]],Tab_Def_Flows[Name(EN)],0),20)</f>
        <v>#N/A</v>
      </c>
      <c r="AJ348" s="108" t="str">
        <f>IF(L348="Yes",AI348*Tab_Data_Flows[[#This Row],[Flow_Py]]*Tab_Data_Flows[[#This Row],[DM_'[%']]],"N.A.")</f>
        <v>N.A.</v>
      </c>
      <c r="AK348" s="61">
        <f>Tab_Data_Flows[[#This Row],[UoM_Flow_Py]]</f>
        <v>0</v>
      </c>
    </row>
    <row r="349" spans="1:37" x14ac:dyDescent="0.25">
      <c r="A349" s="60">
        <f t="shared" si="13"/>
        <v>348</v>
      </c>
      <c r="B349" s="49" t="str">
        <f>_xlfn.XLOOKUP(C349,Tab_Def_Flows[Name(EN)],Tab_Def_Flows[Flow_ID],,0,)</f>
        <v>F_12_12</v>
      </c>
      <c r="C349" s="51"/>
      <c r="D349" s="49">
        <f>_xlfn.XLOOKUP(C349,Tab_Def_Flows[Name(EN)],Tab_Def_Flows[Type_Biomass],,0,)</f>
        <v>0</v>
      </c>
      <c r="E349" s="49">
        <f>_xlfn.XLOOKUP(C349,Tab_Def_Flows[Name(EN)],Tab_Def_Flows[Output_Process],,0,)</f>
        <v>0</v>
      </c>
      <c r="F349" s="49" t="str">
        <f>_xlfn.XLOOKUP(C349,Tab_Def_Flows[Name(EN)],Tab_Def_Flows[Process_ID_O],,0,)</f>
        <v>12__</v>
      </c>
      <c r="G349" s="49">
        <f>_xlfn.XLOOKUP(C349,Tab_Def_Flows[Name(EN)],Tab_Def_Flows[Input_Process],,0,)</f>
        <v>0</v>
      </c>
      <c r="H349" s="61" t="str">
        <f>_xlfn.XLOOKUP(C349,Tab_Def_Flows[Name(EN)],Tab_Def_Flows[Process_ID_I],,0,)</f>
        <v>12__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c r="AC349" s="107" t="e">
        <f>INDEX(Tab_Def_Flows[[Flow_ID]:[CC_DM_source]],MATCH(Tab_Data_Flows[[#This Row],[Name(EN)]],Tab_Def_Flows[Name(EN)],0),16)</f>
        <v>#N/A</v>
      </c>
      <c r="AD349" s="108" t="str">
        <f>IF(J349="Yes",AA349*Tab_Data_Flows[[#This Row],[WC_'[%']]],"N.A.")</f>
        <v>N.A.</v>
      </c>
      <c r="AE349" s="61">
        <f>Tab_Data_Flows[[#This Row],[UoM_Flow_Py]]</f>
        <v>0</v>
      </c>
      <c r="AF349" s="107" t="e">
        <f>INDEX(Tab_Def_Flows[[Flow_ID]:[CC_DM_source]],MATCH(Tab_Data_Flows[[#This Row],[Name(EN)]],Tab_Def_Flows[Name(EN)],0),18)</f>
        <v>#N/A</v>
      </c>
      <c r="AG349" s="108" t="str">
        <f>IF(K349="Yes",AF349*Tab_Data_Flows[[#This Row],[Flow_Py]],"N.A.")</f>
        <v>N.A.</v>
      </c>
      <c r="AH349" s="61">
        <f>Tab_Data_Flows[[#This Row],[UoM_Flow_Py]]</f>
        <v>0</v>
      </c>
      <c r="AI349" s="107" t="e">
        <f>INDEX(Tab_Def_Flows[[Flow_ID]:[CC_DM_source]],MATCH(Tab_Data_Flows[[#This Row],[Name(EN)]],Tab_Def_Flows[Name(EN)],0),20)</f>
        <v>#N/A</v>
      </c>
      <c r="AJ349" s="108" t="str">
        <f>IF(L349="Yes",AI349*Tab_Data_Flows[[#This Row],[Flow_Py]]*Tab_Data_Flows[[#This Row],[DM_'[%']]],"N.A.")</f>
        <v>N.A.</v>
      </c>
      <c r="AK349" s="61">
        <f>Tab_Data_Flows[[#This Row],[UoM_Flow_Py]]</f>
        <v>0</v>
      </c>
    </row>
    <row r="350" spans="1:37" x14ac:dyDescent="0.25">
      <c r="A350" s="60">
        <f t="shared" si="13"/>
        <v>349</v>
      </c>
      <c r="B350" s="49" t="str">
        <f>_xlfn.XLOOKUP(C350,Tab_Def_Flows[Name(EN)],Tab_Def_Flows[Flow_ID],,0,)</f>
        <v>F_12_12</v>
      </c>
      <c r="C350" s="51"/>
      <c r="D350" s="49">
        <f>_xlfn.XLOOKUP(C350,Tab_Def_Flows[Name(EN)],Tab_Def_Flows[Type_Biomass],,0,)</f>
        <v>0</v>
      </c>
      <c r="E350" s="49">
        <f>_xlfn.XLOOKUP(C350,Tab_Def_Flows[Name(EN)],Tab_Def_Flows[Output_Process],,0,)</f>
        <v>0</v>
      </c>
      <c r="F350" s="49" t="str">
        <f>_xlfn.XLOOKUP(C350,Tab_Def_Flows[Name(EN)],Tab_Def_Flows[Process_ID_O],,0,)</f>
        <v>12__</v>
      </c>
      <c r="G350" s="49">
        <f>_xlfn.XLOOKUP(C350,Tab_Def_Flows[Name(EN)],Tab_Def_Flows[Input_Process],,0,)</f>
        <v>0</v>
      </c>
      <c r="H350" s="61" t="str">
        <f>_xlfn.XLOOKUP(C350,Tab_Def_Flows[Name(EN)],Tab_Def_Flows[Process_ID_I],,0,)</f>
        <v>12__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c r="AC350" s="107" t="e">
        <f>INDEX(Tab_Def_Flows[[Flow_ID]:[CC_DM_source]],MATCH(Tab_Data_Flows[[#This Row],[Name(EN)]],Tab_Def_Flows[Name(EN)],0),16)</f>
        <v>#N/A</v>
      </c>
      <c r="AD350" s="108" t="str">
        <f>IF(J350="Yes",AA350*Tab_Data_Flows[[#This Row],[WC_'[%']]],"N.A.")</f>
        <v>N.A.</v>
      </c>
      <c r="AE350" s="61">
        <f>Tab_Data_Flows[[#This Row],[UoM_Flow_Py]]</f>
        <v>0</v>
      </c>
      <c r="AF350" s="107" t="e">
        <f>INDEX(Tab_Def_Flows[[Flow_ID]:[CC_DM_source]],MATCH(Tab_Data_Flows[[#This Row],[Name(EN)]],Tab_Def_Flows[Name(EN)],0),18)</f>
        <v>#N/A</v>
      </c>
      <c r="AG350" s="108" t="str">
        <f>IF(K350="Yes",AF350*Tab_Data_Flows[[#This Row],[Flow_Py]],"N.A.")</f>
        <v>N.A.</v>
      </c>
      <c r="AH350" s="61">
        <f>Tab_Data_Flows[[#This Row],[UoM_Flow_Py]]</f>
        <v>0</v>
      </c>
      <c r="AI350" s="107" t="e">
        <f>INDEX(Tab_Def_Flows[[Flow_ID]:[CC_DM_source]],MATCH(Tab_Data_Flows[[#This Row],[Name(EN)]],Tab_Def_Flows[Name(EN)],0),20)</f>
        <v>#N/A</v>
      </c>
      <c r="AJ350" s="108" t="str">
        <f>IF(L350="Yes",AI350*Tab_Data_Flows[[#This Row],[Flow_Py]]*Tab_Data_Flows[[#This Row],[DM_'[%']]],"N.A.")</f>
        <v>N.A.</v>
      </c>
      <c r="AK350" s="61">
        <f>Tab_Data_Flows[[#This Row],[UoM_Flow_Py]]</f>
        <v>0</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'1_1_Definition_Flows'!$D$2:$D$77</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45" zoomScaleNormal="145" workbookViewId="0">
      <pane xSplit="4" topLeftCell="V1" activePane="topRight" state="frozen"/>
      <selection pane="topRight" activeCell="W9" sqref="W9"/>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315</v>
      </c>
      <c r="B1" s="9" t="s">
        <v>224</v>
      </c>
      <c r="C1" t="s">
        <v>289</v>
      </c>
      <c r="D1" t="s">
        <v>319</v>
      </c>
      <c r="E1" t="s">
        <v>320</v>
      </c>
      <c r="F1" t="s">
        <v>233</v>
      </c>
      <c r="G1" t="s">
        <v>290</v>
      </c>
      <c r="H1" t="s">
        <v>291</v>
      </c>
      <c r="I1" s="48" t="s">
        <v>18</v>
      </c>
      <c r="J1" s="25" t="s">
        <v>367</v>
      </c>
      <c r="K1" s="26" t="s">
        <v>292</v>
      </c>
      <c r="L1" s="32" t="s">
        <v>323</v>
      </c>
      <c r="M1" s="57" t="s">
        <v>293</v>
      </c>
      <c r="N1" s="57" t="s">
        <v>294</v>
      </c>
      <c r="O1" s="57" t="s">
        <v>295</v>
      </c>
      <c r="P1" s="57" t="s">
        <v>299</v>
      </c>
      <c r="Q1" s="57" t="s">
        <v>296</v>
      </c>
      <c r="R1" s="58" t="s">
        <v>300</v>
      </c>
      <c r="S1" s="57" t="s">
        <v>297</v>
      </c>
      <c r="T1" s="57" t="s">
        <v>301</v>
      </c>
      <c r="U1" s="57" t="s">
        <v>298</v>
      </c>
      <c r="V1" s="90" t="s">
        <v>302</v>
      </c>
      <c r="W1" s="71" t="s">
        <v>303</v>
      </c>
      <c r="X1" s="71" t="s">
        <v>309</v>
      </c>
      <c r="Y1" s="54" t="s">
        <v>304</v>
      </c>
      <c r="Z1" s="54" t="s">
        <v>310</v>
      </c>
      <c r="AA1" s="54" t="s">
        <v>305</v>
      </c>
      <c r="AB1" s="54" t="s">
        <v>311</v>
      </c>
      <c r="AC1" s="55" t="s">
        <v>306</v>
      </c>
      <c r="AD1" s="55" t="s">
        <v>312</v>
      </c>
      <c r="AE1" s="55" t="s">
        <v>307</v>
      </c>
      <c r="AF1" s="55" t="s">
        <v>313</v>
      </c>
      <c r="AG1" s="55" t="s">
        <v>308</v>
      </c>
      <c r="AH1" s="56" t="s">
        <v>314</v>
      </c>
    </row>
    <row r="2" spans="1:34" x14ac:dyDescent="0.25">
      <c r="A2" s="93" t="b">
        <v>0</v>
      </c>
      <c r="B2" s="109" t="s">
        <v>408</v>
      </c>
      <c r="C2" s="49" t="str">
        <f>LEFT(B2,2)&amp;"_"&amp;LEFT(D2,3)&amp;"_"&amp;LEFT(F2,3)</f>
        <v>00_Cul_</v>
      </c>
      <c r="D2" s="51" t="s">
        <v>480</v>
      </c>
      <c r="E2" s="88"/>
      <c r="F2" s="51"/>
      <c r="G2" s="51"/>
      <c r="H2" s="51"/>
      <c r="I2" s="88"/>
      <c r="J2" s="91" t="s">
        <v>368</v>
      </c>
      <c r="K2" s="51" t="s">
        <v>70</v>
      </c>
      <c r="L2" s="95" t="s">
        <v>70</v>
      </c>
      <c r="M2" s="51" t="s">
        <v>230</v>
      </c>
      <c r="N2" s="50" t="e">
        <f>_xlfn.XLOOKUP(M2,Tab_Def_Flows[Name(EN)],Tab_Def_Flows[Flow_ID],,0,)</f>
        <v>#N/A</v>
      </c>
      <c r="O2" s="51" t="s">
        <v>230</v>
      </c>
      <c r="P2" s="50" t="e">
        <f>_xlfn.XLOOKUP(O2,Tab_Def_Flows[Name(EN)],Tab_Def_Flows[Flow_ID],,0,)</f>
        <v>#N/A</v>
      </c>
      <c r="Q2" s="51" t="s">
        <v>230</v>
      </c>
      <c r="R2" s="50" t="e">
        <f>_xlfn.XLOOKUP(Q2,Tab_Def_Flows[Name(EN)],Tab_Def_Flows[Flow_ID],,0,)</f>
        <v>#N/A</v>
      </c>
      <c r="S2" s="51" t="s">
        <v>230</v>
      </c>
      <c r="T2" s="50" t="e">
        <f>_xlfn.XLOOKUP(S2,Tab_Def_Flows[Name(EN)],Tab_Def_Flows[Flow_ID],,0,)</f>
        <v>#N/A</v>
      </c>
      <c r="U2" s="51" t="s">
        <v>230</v>
      </c>
      <c r="V2" s="59" t="e">
        <f>_xlfn.XLOOKUP(U2,Tab_Def_Flows[Name(EN)],Tab_Def_Flows[Flow_ID],,0,)</f>
        <v>#N/A</v>
      </c>
      <c r="W2" s="51" t="s">
        <v>494</v>
      </c>
      <c r="X2" s="52" t="str">
        <f>_xlfn.XLOOKUP(W2,Tab_Def_Flows[Name(EN)],Tab_Def_Flows[Flow_ID],,0,)</f>
        <v>F_00_01</v>
      </c>
      <c r="Y2" s="51" t="s">
        <v>230</v>
      </c>
      <c r="Z2" s="52" t="e">
        <f>_xlfn.XLOOKUP(Y2,Tab_Def_Flows[Name(EN)],Tab_Def_Flows[Flow_ID],,0,)</f>
        <v>#N/A</v>
      </c>
      <c r="AA2" s="51" t="s">
        <v>230</v>
      </c>
      <c r="AB2" s="52" t="e">
        <f>_xlfn.XLOOKUP(AA2,Tab_Def_Flows[Name(EN)],Tab_Def_Flows[Flow_ID],,0,)</f>
        <v>#N/A</v>
      </c>
      <c r="AC2" s="51" t="s">
        <v>230</v>
      </c>
      <c r="AD2" s="52" t="e">
        <f>_xlfn.XLOOKUP(AC2,Tab_Def_Flows[Name(EN)],Tab_Def_Flows[Flow_ID],,0,)</f>
        <v>#N/A</v>
      </c>
      <c r="AE2" s="51" t="s">
        <v>230</v>
      </c>
      <c r="AF2" s="52" t="e">
        <f>_xlfn.XLOOKUP(AE2,Tab_Def_Flows[Name(EN)],Tab_Def_Flows[Flow_ID],,0,)</f>
        <v>#N/A</v>
      </c>
      <c r="AG2" s="51" t="s">
        <v>230</v>
      </c>
      <c r="AH2" s="53" t="e">
        <f>_xlfn.XLOOKUP(AG2,Tab_Def_Flows[Name(EN)],Tab_Def_Flows[Flow_ID],,0,)</f>
        <v>#N/A</v>
      </c>
    </row>
    <row r="3" spans="1:34" x14ac:dyDescent="0.25">
      <c r="A3" s="93" t="b">
        <v>0</v>
      </c>
      <c r="B3" s="109" t="s">
        <v>396</v>
      </c>
      <c r="C3" s="49" t="str">
        <f>LEFT(B3,2)&amp;"_"&amp;LEFT(D3,3)&amp;"_"&amp;LEFT(F3,3)</f>
        <v>01_Har_</v>
      </c>
      <c r="D3" s="51" t="s">
        <v>481</v>
      </c>
      <c r="E3" s="88"/>
      <c r="F3" s="51"/>
      <c r="G3" s="51"/>
      <c r="H3" s="51"/>
      <c r="I3" s="88"/>
      <c r="J3" s="91" t="s">
        <v>368</v>
      </c>
      <c r="K3" s="51" t="s">
        <v>67</v>
      </c>
      <c r="L3" s="95" t="s">
        <v>70</v>
      </c>
      <c r="M3" s="51" t="s">
        <v>230</v>
      </c>
      <c r="N3" s="49" t="e">
        <f>_xlfn.XLOOKUP(M3,Tab_Def_Flows[Name(EN)],Tab_Def_Flows[Flow_ID],,0,)</f>
        <v>#N/A</v>
      </c>
      <c r="O3" s="51" t="s">
        <v>230</v>
      </c>
      <c r="P3" s="49" t="e">
        <f>_xlfn.XLOOKUP(O3,Tab_Def_Flows[Name(EN)],Tab_Def_Flows[Flow_ID],,0,)</f>
        <v>#N/A</v>
      </c>
      <c r="Q3" s="51" t="s">
        <v>230</v>
      </c>
      <c r="R3" s="49" t="e">
        <f>_xlfn.XLOOKUP(Q3,Tab_Def_Flows[Name(EN)],Tab_Def_Flows[Flow_ID],,0,)</f>
        <v>#N/A</v>
      </c>
      <c r="S3" s="51" t="s">
        <v>230</v>
      </c>
      <c r="T3" s="49" t="e">
        <f>_xlfn.XLOOKUP(S3,Tab_Def_Flows[Name(EN)],Tab_Def_Flows[Flow_ID],,0,)</f>
        <v>#N/A</v>
      </c>
      <c r="U3" s="51" t="s">
        <v>230</v>
      </c>
      <c r="V3" s="53" t="e">
        <f>_xlfn.XLOOKUP(U3,Tab_Def_Flows[Name(EN)],Tab_Def_Flows[Flow_ID],,0,)</f>
        <v>#N/A</v>
      </c>
      <c r="W3" s="51" t="s">
        <v>495</v>
      </c>
      <c r="X3" s="49" t="str">
        <f>_xlfn.XLOOKUP(W3,Tab_Def_Flows[Name(EN)],Tab_Def_Flows[Flow_ID],,0,)</f>
        <v>F_01_02</v>
      </c>
      <c r="Y3" s="51" t="s">
        <v>496</v>
      </c>
      <c r="Z3" s="49" t="str">
        <f>_xlfn.XLOOKUP(Y3,Tab_Def_Flows[Name(EN)],Tab_Def_Flows[Flow_ID],,0,)</f>
        <v>F_01_03</v>
      </c>
      <c r="AA3" s="51" t="s">
        <v>230</v>
      </c>
      <c r="AB3" s="49" t="e">
        <f>_xlfn.XLOOKUP(AA3,Tab_Def_Flows[Name(EN)],Tab_Def_Flows[Flow_ID],,0,)</f>
        <v>#N/A</v>
      </c>
      <c r="AC3" s="51" t="s">
        <v>230</v>
      </c>
      <c r="AD3" s="49" t="e">
        <f>_xlfn.XLOOKUP(AC3,Tab_Def_Flows[Name(EN)],Tab_Def_Flows[Flow_ID],,0,)</f>
        <v>#N/A</v>
      </c>
      <c r="AE3" s="51" t="s">
        <v>230</v>
      </c>
      <c r="AF3" s="49" t="e">
        <f>_xlfn.XLOOKUP(AE3,Tab_Def_Flows[Name(EN)],Tab_Def_Flows[Flow_ID],,0,)</f>
        <v>#N/A</v>
      </c>
      <c r="AG3" s="51" t="s">
        <v>230</v>
      </c>
      <c r="AH3" s="53" t="e">
        <f>_xlfn.XLOOKUP(AG3,Tab_Def_Flows[Name(EN)],Tab_Def_Flows[Flow_ID],,0,)</f>
        <v>#N/A</v>
      </c>
    </row>
    <row r="4" spans="1:34" x14ac:dyDescent="0.25">
      <c r="A4" s="93" t="b">
        <v>0</v>
      </c>
      <c r="B4" s="109" t="s">
        <v>397</v>
      </c>
      <c r="C4" s="49" t="str">
        <f t="shared" ref="C4:C58" si="0">LEFT(B4,2)&amp;"_"&amp;LEFT(D4,3)&amp;"_"&amp;LEFT(F4,3)</f>
        <v>02_Foo_</v>
      </c>
      <c r="D4" s="51" t="s">
        <v>482</v>
      </c>
      <c r="E4" s="88"/>
      <c r="F4" s="51"/>
      <c r="G4" s="51"/>
      <c r="H4" s="51"/>
      <c r="I4" s="88"/>
      <c r="J4" s="91" t="s">
        <v>368</v>
      </c>
      <c r="K4" s="51" t="s">
        <v>70</v>
      </c>
      <c r="L4" s="95" t="s">
        <v>67</v>
      </c>
      <c r="M4" s="51" t="s">
        <v>230</v>
      </c>
      <c r="N4" s="49" t="e">
        <f>_xlfn.XLOOKUP(M4,Tab_Def_Flows[Name(EN)],Tab_Def_Flows[Flow_ID],,0,)</f>
        <v>#N/A</v>
      </c>
      <c r="O4" s="51" t="s">
        <v>230</v>
      </c>
      <c r="P4" s="49" t="e">
        <f>_xlfn.XLOOKUP(O4,Tab_Def_Flows[Name(EN)],Tab_Def_Flows[Flow_ID],,0,)</f>
        <v>#N/A</v>
      </c>
      <c r="Q4" s="51" t="s">
        <v>230</v>
      </c>
      <c r="R4" s="49" t="e">
        <f>_xlfn.XLOOKUP(Q4,Tab_Def_Flows[Name(EN)],Tab_Def_Flows[Flow_ID],,0,)</f>
        <v>#N/A</v>
      </c>
      <c r="S4" s="51" t="s">
        <v>230</v>
      </c>
      <c r="T4" s="49" t="e">
        <f>_xlfn.XLOOKUP(S4,Tab_Def_Flows[Name(EN)],Tab_Def_Flows[Flow_ID],,0,)</f>
        <v>#N/A</v>
      </c>
      <c r="U4" s="51" t="s">
        <v>230</v>
      </c>
      <c r="V4" s="53" t="e">
        <f>_xlfn.XLOOKUP(U4,Tab_Def_Flows[Name(EN)],Tab_Def_Flows[Flow_ID],,0,)</f>
        <v>#N/A</v>
      </c>
      <c r="W4" s="51" t="s">
        <v>230</v>
      </c>
      <c r="X4" s="49" t="e">
        <f>_xlfn.XLOOKUP(W4,Tab_Def_Flows[Name(EN)],Tab_Def_Flows[Flow_ID],,0,)</f>
        <v>#N/A</v>
      </c>
      <c r="Y4" s="51" t="s">
        <v>230</v>
      </c>
      <c r="Z4" s="49" t="e">
        <f>_xlfn.XLOOKUP(Y4,Tab_Def_Flows[Name(EN)],Tab_Def_Flows[Flow_ID],,0,)</f>
        <v>#N/A</v>
      </c>
      <c r="AA4" s="51" t="s">
        <v>230</v>
      </c>
      <c r="AB4" s="49" t="e">
        <f>_xlfn.XLOOKUP(AA4,Tab_Def_Flows[Name(EN)],Tab_Def_Flows[Flow_ID],,0,)</f>
        <v>#N/A</v>
      </c>
      <c r="AC4" s="51" t="s">
        <v>230</v>
      </c>
      <c r="AD4" s="49" t="e">
        <f>_xlfn.XLOOKUP(AC4,Tab_Def_Flows[Name(EN)],Tab_Def_Flows[Flow_ID],,0,)</f>
        <v>#N/A</v>
      </c>
      <c r="AE4" s="51" t="s">
        <v>230</v>
      </c>
      <c r="AF4" s="49" t="e">
        <f>_xlfn.XLOOKUP(AE4,Tab_Def_Flows[Name(EN)],Tab_Def_Flows[Flow_ID],,0,)</f>
        <v>#N/A</v>
      </c>
      <c r="AG4" s="51" t="s">
        <v>230</v>
      </c>
      <c r="AH4" s="53" t="e">
        <f>_xlfn.XLOOKUP(AG4,Tab_Def_Flows[Name(EN)],Tab_Def_Flows[Flow_ID],,0,)</f>
        <v>#N/A</v>
      </c>
    </row>
    <row r="5" spans="1:34" x14ac:dyDescent="0.25">
      <c r="A5" s="93" t="b">
        <v>0</v>
      </c>
      <c r="B5" s="109" t="s">
        <v>398</v>
      </c>
      <c r="C5" s="49" t="str">
        <f t="shared" si="0"/>
        <v>03_Str_</v>
      </c>
      <c r="D5" s="51" t="s">
        <v>483</v>
      </c>
      <c r="E5" s="88"/>
      <c r="F5" s="51"/>
      <c r="G5" s="51"/>
      <c r="H5" s="51"/>
      <c r="I5" s="88"/>
      <c r="J5" s="91" t="s">
        <v>368</v>
      </c>
      <c r="K5" s="51" t="s">
        <v>67</v>
      </c>
      <c r="L5" s="95" t="s">
        <v>70</v>
      </c>
      <c r="M5" s="51" t="s">
        <v>230</v>
      </c>
      <c r="N5" s="52" t="e">
        <f>_xlfn.XLOOKUP(M5,Tab_Def_Flows[Name(EN)],Tab_Def_Flows[Flow_ID],,0,)</f>
        <v>#N/A</v>
      </c>
      <c r="O5" s="51" t="s">
        <v>230</v>
      </c>
      <c r="P5" s="52" t="e">
        <f>_xlfn.XLOOKUP(O5,Tab_Def_Flows[Name(EN)],Tab_Def_Flows[Flow_ID],,0,)</f>
        <v>#N/A</v>
      </c>
      <c r="Q5" s="51" t="s">
        <v>230</v>
      </c>
      <c r="R5" s="52" t="e">
        <f>_xlfn.XLOOKUP(Q5,Tab_Def_Flows[Name(EN)],Tab_Def_Flows[Flow_ID],,0,)</f>
        <v>#N/A</v>
      </c>
      <c r="S5" s="51" t="s">
        <v>230</v>
      </c>
      <c r="T5" s="52" t="e">
        <f>_xlfn.XLOOKUP(S5,Tab_Def_Flows[Name(EN)],Tab_Def_Flows[Flow_ID],,0,)</f>
        <v>#N/A</v>
      </c>
      <c r="U5" s="51" t="s">
        <v>230</v>
      </c>
      <c r="V5" s="53" t="e">
        <f>_xlfn.XLOOKUP(U5,Tab_Def_Flows[Name(EN)],Tab_Def_Flows[Flow_ID],,0,)</f>
        <v>#N/A</v>
      </c>
      <c r="W5" s="51" t="s">
        <v>498</v>
      </c>
      <c r="X5" s="52" t="str">
        <f>_xlfn.XLOOKUP(W5,Tab_Def_Flows[Name(EN)],Tab_Def_Flows[Flow_ID],,0,)</f>
        <v>F_03_05</v>
      </c>
      <c r="Y5" s="51" t="s">
        <v>497</v>
      </c>
      <c r="Z5" s="52" t="str">
        <f>_xlfn.XLOOKUP(Y5,Tab_Def_Flows[Name(EN)],Tab_Def_Flows[Flow_ID],,0,)</f>
        <v>F_03_04</v>
      </c>
      <c r="AA5" s="51" t="s">
        <v>499</v>
      </c>
      <c r="AB5" s="52" t="str">
        <f>_xlfn.XLOOKUP(AA5,Tab_Def_Flows[Name(EN)],Tab_Def_Flows[Flow_ID],,0,)</f>
        <v>F_03_06</v>
      </c>
      <c r="AC5" s="51" t="s">
        <v>500</v>
      </c>
      <c r="AD5" s="52" t="str">
        <f>_xlfn.XLOOKUP(AC5,Tab_Def_Flows[Name(EN)],Tab_Def_Flows[Flow_ID],,0,)</f>
        <v>F_03_07</v>
      </c>
      <c r="AE5" s="51" t="s">
        <v>501</v>
      </c>
      <c r="AF5" s="52" t="str">
        <f>_xlfn.XLOOKUP(AE5,Tab_Def_Flows[Name(EN)],Tab_Def_Flows[Flow_ID],,0,)</f>
        <v>F_03_08</v>
      </c>
      <c r="AG5" s="51" t="s">
        <v>230</v>
      </c>
      <c r="AH5" s="53" t="e">
        <f>_xlfn.XLOOKUP(AG5,Tab_Def_Flows[Name(EN)],Tab_Def_Flows[Flow_ID],,0,)</f>
        <v>#N/A</v>
      </c>
    </row>
    <row r="6" spans="1:34" x14ac:dyDescent="0.25">
      <c r="A6" s="93" t="b">
        <v>0</v>
      </c>
      <c r="B6" s="109" t="s">
        <v>399</v>
      </c>
      <c r="C6" s="49" t="str">
        <f t="shared" si="0"/>
        <v>04_Inc_</v>
      </c>
      <c r="D6" s="51" t="s">
        <v>484</v>
      </c>
      <c r="E6" s="88"/>
      <c r="F6" s="51"/>
      <c r="G6" s="51"/>
      <c r="H6" s="51"/>
      <c r="I6" s="88"/>
      <c r="J6" s="91" t="s">
        <v>368</v>
      </c>
      <c r="K6" s="51" t="s">
        <v>67</v>
      </c>
      <c r="L6" s="95" t="s">
        <v>70</v>
      </c>
      <c r="M6" s="51" t="s">
        <v>230</v>
      </c>
      <c r="N6" s="52" t="e">
        <f>_xlfn.XLOOKUP(M6,Tab_Def_Flows[Name(EN)],Tab_Def_Flows[Flow_ID],,0,)</f>
        <v>#N/A</v>
      </c>
      <c r="O6" s="51" t="s">
        <v>230</v>
      </c>
      <c r="P6" s="52" t="e">
        <f>_xlfn.XLOOKUP(O6,Tab_Def_Flows[Name(EN)],Tab_Def_Flows[Flow_ID],,0,)</f>
        <v>#N/A</v>
      </c>
      <c r="Q6" s="51" t="s">
        <v>230</v>
      </c>
      <c r="R6" s="52" t="e">
        <f>_xlfn.XLOOKUP(Q6,Tab_Def_Flows[Name(EN)],Tab_Def_Flows[Flow_ID],,0,)</f>
        <v>#N/A</v>
      </c>
      <c r="S6" s="51" t="s">
        <v>230</v>
      </c>
      <c r="T6" s="52" t="e">
        <f>_xlfn.XLOOKUP(S6,Tab_Def_Flows[Name(EN)],Tab_Def_Flows[Flow_ID],,0,)</f>
        <v>#N/A</v>
      </c>
      <c r="U6" s="51" t="s">
        <v>230</v>
      </c>
      <c r="V6" s="53" t="e">
        <f>_xlfn.XLOOKUP(U6,Tab_Def_Flows[Name(EN)],Tab_Def_Flows[Flow_ID],,0,)</f>
        <v>#N/A</v>
      </c>
      <c r="W6" s="51" t="s">
        <v>502</v>
      </c>
      <c r="X6" s="52" t="str">
        <f>_xlfn.XLOOKUP(W6,Tab_Def_Flows[Name(EN)],Tab_Def_Flows[Flow_ID],,0,)</f>
        <v>F_04_09</v>
      </c>
      <c r="Y6" s="51" t="s">
        <v>230</v>
      </c>
      <c r="Z6" s="52" t="e">
        <f>_xlfn.XLOOKUP(Y6,Tab_Def_Flows[Name(EN)],Tab_Def_Flows[Flow_ID],,0,)</f>
        <v>#N/A</v>
      </c>
      <c r="AA6" s="51" t="s">
        <v>230</v>
      </c>
      <c r="AB6" s="52" t="e">
        <f>_xlfn.XLOOKUP(AA6,Tab_Def_Flows[Name(EN)],Tab_Def_Flows[Flow_ID],,0,)</f>
        <v>#N/A</v>
      </c>
      <c r="AC6" s="51" t="s">
        <v>230</v>
      </c>
      <c r="AD6" s="52" t="e">
        <f>_xlfn.XLOOKUP(AC6,Tab_Def_Flows[Name(EN)],Tab_Def_Flows[Flow_ID],,0,)</f>
        <v>#N/A</v>
      </c>
      <c r="AE6" s="51" t="s">
        <v>230</v>
      </c>
      <c r="AF6" s="52" t="e">
        <f>_xlfn.XLOOKUP(AE6,Tab_Def_Flows[Name(EN)],Tab_Def_Flows[Flow_ID],,0,)</f>
        <v>#N/A</v>
      </c>
      <c r="AG6" s="51" t="s">
        <v>230</v>
      </c>
      <c r="AH6" s="53" t="e">
        <f>_xlfn.XLOOKUP(AG6,Tab_Def_Flows[Name(EN)],Tab_Def_Flows[Flow_ID],,0,)</f>
        <v>#N/A</v>
      </c>
    </row>
    <row r="7" spans="1:34" x14ac:dyDescent="0.25">
      <c r="A7" s="93" t="b">
        <v>0</v>
      </c>
      <c r="B7" s="109" t="s">
        <v>400</v>
      </c>
      <c r="C7" s="49" t="str">
        <f t="shared" si="0"/>
        <v>05_Com_</v>
      </c>
      <c r="D7" s="51" t="s">
        <v>485</v>
      </c>
      <c r="E7" s="88"/>
      <c r="F7" s="51"/>
      <c r="G7" s="51"/>
      <c r="H7" s="51"/>
      <c r="I7" s="88"/>
      <c r="J7" s="91" t="s">
        <v>368</v>
      </c>
      <c r="K7" s="51" t="s">
        <v>67</v>
      </c>
      <c r="L7" s="95" t="s">
        <v>70</v>
      </c>
      <c r="M7" s="51" t="s">
        <v>230</v>
      </c>
      <c r="N7" s="49" t="e">
        <f>_xlfn.XLOOKUP(M7,Tab_Def_Flows[Name(EN)],Tab_Def_Flows[Flow_ID],,0,)</f>
        <v>#N/A</v>
      </c>
      <c r="O7" s="51" t="s">
        <v>230</v>
      </c>
      <c r="P7" s="49" t="e">
        <f>_xlfn.XLOOKUP(O7,Tab_Def_Flows[Name(EN)],Tab_Def_Flows[Flow_ID],,0,)</f>
        <v>#N/A</v>
      </c>
      <c r="Q7" s="51" t="s">
        <v>230</v>
      </c>
      <c r="R7" s="49" t="e">
        <f>_xlfn.XLOOKUP(Q7,Tab_Def_Flows[Name(EN)],Tab_Def_Flows[Flow_ID],,0,)</f>
        <v>#N/A</v>
      </c>
      <c r="S7" s="51" t="s">
        <v>230</v>
      </c>
      <c r="T7" s="49" t="e">
        <f>_xlfn.XLOOKUP(S7,Tab_Def_Flows[Name(EN)],Tab_Def_Flows[Flow_ID],,0,)</f>
        <v>#N/A</v>
      </c>
      <c r="U7" s="51" t="s">
        <v>230</v>
      </c>
      <c r="V7" s="64" t="e">
        <f>_xlfn.XLOOKUP(U7,Tab_Def_Flows[Name(EN)],Tab_Def_Flows[Flow_ID],,0,)</f>
        <v>#N/A</v>
      </c>
      <c r="W7" s="51" t="s">
        <v>503</v>
      </c>
      <c r="X7" s="49" t="str">
        <f>_xlfn.XLOOKUP(W7,Tab_Def_Flows[Name(EN)],Tab_Def_Flows[Flow_ID],,0,)</f>
        <v>F_05_09</v>
      </c>
      <c r="Y7" s="51" t="s">
        <v>504</v>
      </c>
      <c r="Z7" s="49" t="str">
        <f>_xlfn.XLOOKUP(Y7,Tab_Def_Flows[Name(EN)],Tab_Def_Flows[Flow_ID],,0,)</f>
        <v>F_05_10</v>
      </c>
      <c r="AA7" s="51" t="s">
        <v>505</v>
      </c>
      <c r="AB7" s="49" t="str">
        <f>_xlfn.XLOOKUP(AA7,Tab_Def_Flows[Name(EN)],Tab_Def_Flows[Flow_ID],,0,)</f>
        <v>F_05_11</v>
      </c>
      <c r="AC7" s="51" t="s">
        <v>230</v>
      </c>
      <c r="AD7" s="49" t="e">
        <f>_xlfn.XLOOKUP(AC7,Tab_Def_Flows[Name(EN)],Tab_Def_Flows[Flow_ID],,0,)</f>
        <v>#N/A</v>
      </c>
      <c r="AE7" s="51" t="s">
        <v>230</v>
      </c>
      <c r="AF7" s="49" t="e">
        <f>_xlfn.XLOOKUP(AE7,Tab_Def_Flows[Name(EN)],Tab_Def_Flows[Flow_ID],,0,)</f>
        <v>#N/A</v>
      </c>
      <c r="AG7" s="51" t="s">
        <v>230</v>
      </c>
      <c r="AH7" s="53" t="e">
        <f>_xlfn.XLOOKUP(AG7,Tab_Def_Flows[Name(EN)],Tab_Def_Flows[Flow_ID],,0,)</f>
        <v>#N/A</v>
      </c>
    </row>
    <row r="8" spans="1:34" x14ac:dyDescent="0.25">
      <c r="A8" s="93" t="b">
        <v>0</v>
      </c>
      <c r="B8" s="109" t="s">
        <v>401</v>
      </c>
      <c r="C8" s="49" t="str">
        <f t="shared" si="0"/>
        <v>06_HTC_</v>
      </c>
      <c r="D8" s="51" t="s">
        <v>486</v>
      </c>
      <c r="E8" s="88"/>
      <c r="F8" s="51"/>
      <c r="G8" s="51"/>
      <c r="H8" s="51"/>
      <c r="I8" s="88"/>
      <c r="J8" s="91" t="s">
        <v>368</v>
      </c>
      <c r="K8" s="51" t="s">
        <v>67</v>
      </c>
      <c r="L8" s="95" t="s">
        <v>70</v>
      </c>
      <c r="M8" s="51" t="s">
        <v>230</v>
      </c>
      <c r="N8" s="49" t="e">
        <f>_xlfn.XLOOKUP(M8,Tab_Def_Flows[Name(EN)],Tab_Def_Flows[Flow_ID],,0,)</f>
        <v>#N/A</v>
      </c>
      <c r="O8" s="51" t="s">
        <v>230</v>
      </c>
      <c r="P8" s="49" t="e">
        <f>_xlfn.XLOOKUP(O8,Tab_Def_Flows[Name(EN)],Tab_Def_Flows[Flow_ID],,0,)</f>
        <v>#N/A</v>
      </c>
      <c r="Q8" s="51" t="s">
        <v>230</v>
      </c>
      <c r="R8" s="49" t="e">
        <f>_xlfn.XLOOKUP(Q8,Tab_Def_Flows[Name(EN)],Tab_Def_Flows[Flow_ID],,0,)</f>
        <v>#N/A</v>
      </c>
      <c r="S8" s="51" t="s">
        <v>230</v>
      </c>
      <c r="T8" s="49" t="e">
        <f>_xlfn.XLOOKUP(S8,Tab_Def_Flows[Name(EN)],Tab_Def_Flows[Flow_ID],,0,)</f>
        <v>#N/A</v>
      </c>
      <c r="U8" s="51" t="s">
        <v>230</v>
      </c>
      <c r="V8" s="61" t="e">
        <f>_xlfn.XLOOKUP(U8,Tab_Def_Flows[Name(EN)],Tab_Def_Flows[Flow_ID],,0,)</f>
        <v>#N/A</v>
      </c>
      <c r="W8" s="51" t="s">
        <v>506</v>
      </c>
      <c r="X8" s="49" t="str">
        <f>_xlfn.XLOOKUP(W8,Tab_Def_Flows[Name(EN)],Tab_Def_Flows[Flow_ID],,0,)</f>
        <v>F_06_10</v>
      </c>
      <c r="Y8" s="51" t="s">
        <v>230</v>
      </c>
      <c r="Z8" s="49" t="e">
        <f>_xlfn.XLOOKUP(Y8,Tab_Def_Flows[Name(EN)],Tab_Def_Flows[Flow_ID],,0,)</f>
        <v>#N/A</v>
      </c>
      <c r="AA8" s="51" t="s">
        <v>230</v>
      </c>
      <c r="AB8" s="49" t="e">
        <f>_xlfn.XLOOKUP(AA8,Tab_Def_Flows[Name(EN)],Tab_Def_Flows[Flow_ID],,0,)</f>
        <v>#N/A</v>
      </c>
      <c r="AC8" s="51" t="s">
        <v>230</v>
      </c>
      <c r="AD8" s="49" t="e">
        <f>_xlfn.XLOOKUP(AC8,Tab_Def_Flows[Name(EN)],Tab_Def_Flows[Flow_ID],,0,)</f>
        <v>#N/A</v>
      </c>
      <c r="AE8" s="51" t="s">
        <v>230</v>
      </c>
      <c r="AF8" s="49" t="e">
        <f>_xlfn.XLOOKUP(AE8,Tab_Def_Flows[Name(EN)],Tab_Def_Flows[Flow_ID],,0,)</f>
        <v>#N/A</v>
      </c>
      <c r="AG8" s="51" t="s">
        <v>230</v>
      </c>
      <c r="AH8" s="53" t="e">
        <f>_xlfn.XLOOKUP(AG8,Tab_Def_Flows[Name(EN)],Tab_Def_Flows[Flow_ID],,0,)</f>
        <v>#N/A</v>
      </c>
    </row>
    <row r="9" spans="1:34" x14ac:dyDescent="0.25">
      <c r="A9" s="93" t="b">
        <v>0</v>
      </c>
      <c r="B9" s="109" t="s">
        <v>402</v>
      </c>
      <c r="C9" s="49" t="str">
        <f t="shared" si="0"/>
        <v>07_AD_</v>
      </c>
      <c r="D9" s="51" t="s">
        <v>487</v>
      </c>
      <c r="E9" s="88"/>
      <c r="F9" s="51"/>
      <c r="G9" s="51"/>
      <c r="H9" s="51"/>
      <c r="I9" s="88"/>
      <c r="J9" s="91" t="s">
        <v>368</v>
      </c>
      <c r="K9" s="51" t="s">
        <v>67</v>
      </c>
      <c r="L9" s="95" t="s">
        <v>70</v>
      </c>
      <c r="M9" s="51" t="s">
        <v>230</v>
      </c>
      <c r="N9" s="49" t="e">
        <f>_xlfn.XLOOKUP(M9,Tab_Def_Flows[Name(EN)],Tab_Def_Flows[Flow_ID],,0,)</f>
        <v>#N/A</v>
      </c>
      <c r="O9" s="51" t="s">
        <v>230</v>
      </c>
      <c r="P9" s="49" t="e">
        <f>_xlfn.XLOOKUP(O9,Tab_Def_Flows[Name(EN)],Tab_Def_Flows[Flow_ID],,0,)</f>
        <v>#N/A</v>
      </c>
      <c r="Q9" s="51" t="s">
        <v>230</v>
      </c>
      <c r="R9" s="49" t="e">
        <f>_xlfn.XLOOKUP(Q9,Tab_Def_Flows[Name(EN)],Tab_Def_Flows[Flow_ID],,0,)</f>
        <v>#N/A</v>
      </c>
      <c r="S9" s="51" t="s">
        <v>230</v>
      </c>
      <c r="T9" s="49" t="e">
        <f>_xlfn.XLOOKUP(S9,Tab_Def_Flows[Name(EN)],Tab_Def_Flows[Flow_ID],,0,)</f>
        <v>#N/A</v>
      </c>
      <c r="U9" s="51" t="s">
        <v>230</v>
      </c>
      <c r="V9" s="61" t="e">
        <f>_xlfn.XLOOKUP(U9,Tab_Def_Flows[Name(EN)],Tab_Def_Flows[Flow_ID],,0,)</f>
        <v>#N/A</v>
      </c>
      <c r="W9" s="51" t="s">
        <v>507</v>
      </c>
      <c r="X9" s="49" t="str">
        <f>_xlfn.XLOOKUP(W9,Tab_Def_Flows[Name(EN)],Tab_Def_Flows[Flow_ID],,0,)</f>
        <v>F_07_10</v>
      </c>
      <c r="Y9" s="51" t="s">
        <v>230</v>
      </c>
      <c r="Z9" s="49" t="e">
        <f>_xlfn.XLOOKUP(Y9,Tab_Def_Flows[Name(EN)],Tab_Def_Flows[Flow_ID],,0,)</f>
        <v>#N/A</v>
      </c>
      <c r="AA9" s="51" t="s">
        <v>230</v>
      </c>
      <c r="AB9" s="49" t="e">
        <f>_xlfn.XLOOKUP(AA9,Tab_Def_Flows[Name(EN)],Tab_Def_Flows[Flow_ID],,0,)</f>
        <v>#N/A</v>
      </c>
      <c r="AC9" s="51" t="s">
        <v>230</v>
      </c>
      <c r="AD9" s="49" t="e">
        <f>_xlfn.XLOOKUP(AC9,Tab_Def_Flows[Name(EN)],Tab_Def_Flows[Flow_ID],,0,)</f>
        <v>#N/A</v>
      </c>
      <c r="AE9" s="51" t="s">
        <v>230</v>
      </c>
      <c r="AF9" s="49" t="e">
        <f>_xlfn.XLOOKUP(AE9,Tab_Def_Flows[Name(EN)],Tab_Def_Flows[Flow_ID],,0,)</f>
        <v>#N/A</v>
      </c>
      <c r="AG9" s="51" t="s">
        <v>230</v>
      </c>
      <c r="AH9" s="53" t="e">
        <f>_xlfn.XLOOKUP(AG9,Tab_Def_Flows[Name(EN)],Tab_Def_Flows[Flow_ID],,0,)</f>
        <v>#N/A</v>
      </c>
    </row>
    <row r="10" spans="1:34" x14ac:dyDescent="0.25">
      <c r="A10" s="93" t="b">
        <v>0</v>
      </c>
      <c r="B10" s="109" t="s">
        <v>403</v>
      </c>
      <c r="C10" s="49" t="str">
        <f t="shared" si="0"/>
        <v>08_Ani_</v>
      </c>
      <c r="D10" s="51" t="s">
        <v>488</v>
      </c>
      <c r="E10" s="88"/>
      <c r="F10" s="51"/>
      <c r="G10" s="51"/>
      <c r="H10" s="51"/>
      <c r="I10" s="88"/>
      <c r="J10" s="91" t="s">
        <v>368</v>
      </c>
      <c r="K10" s="51" t="s">
        <v>67</v>
      </c>
      <c r="L10" s="95" t="s">
        <v>67</v>
      </c>
      <c r="M10" s="51" t="s">
        <v>230</v>
      </c>
      <c r="N10" s="49" t="e">
        <f>_xlfn.XLOOKUP(M10,Tab_Def_Flows[Name(EN)],Tab_Def_Flows[Flow_ID],,0,)</f>
        <v>#N/A</v>
      </c>
      <c r="O10" s="51" t="s">
        <v>230</v>
      </c>
      <c r="P10" s="49" t="e">
        <f>_xlfn.XLOOKUP(O10,Tab_Def_Flows[Name(EN)],Tab_Def_Flows[Flow_ID],,0,)</f>
        <v>#N/A</v>
      </c>
      <c r="Q10" s="51" t="s">
        <v>230</v>
      </c>
      <c r="R10" s="49" t="e">
        <f>_xlfn.XLOOKUP(Q10,Tab_Def_Flows[Name(EN)],Tab_Def_Flows[Flow_ID],,0,)</f>
        <v>#N/A</v>
      </c>
      <c r="S10" s="51" t="s">
        <v>230</v>
      </c>
      <c r="T10" s="49" t="e">
        <f>_xlfn.XLOOKUP(S10,Tab_Def_Flows[Name(EN)],Tab_Def_Flows[Flow_ID],,0,)</f>
        <v>#N/A</v>
      </c>
      <c r="U10" s="51" t="s">
        <v>230</v>
      </c>
      <c r="V10" s="61" t="e">
        <f>_xlfn.XLOOKUP(U10,Tab_Def_Flows[Name(EN)],Tab_Def_Flows[Flow_ID],,0,)</f>
        <v>#N/A</v>
      </c>
      <c r="W10" s="51" t="s">
        <v>230</v>
      </c>
      <c r="X10" s="49" t="e">
        <f>_xlfn.XLOOKUP(W10,Tab_Def_Flows[Name(EN)],Tab_Def_Flows[Flow_ID],,0,)</f>
        <v>#N/A</v>
      </c>
      <c r="Y10" s="51" t="s">
        <v>230</v>
      </c>
      <c r="Z10" s="49" t="e">
        <f>_xlfn.XLOOKUP(Y10,Tab_Def_Flows[Name(EN)],Tab_Def_Flows[Flow_ID],,0,)</f>
        <v>#N/A</v>
      </c>
      <c r="AA10" s="51" t="s">
        <v>230</v>
      </c>
      <c r="AB10" s="49" t="e">
        <f>_xlfn.XLOOKUP(AA10,Tab_Def_Flows[Name(EN)],Tab_Def_Flows[Flow_ID],,0,)</f>
        <v>#N/A</v>
      </c>
      <c r="AC10" s="51" t="s">
        <v>230</v>
      </c>
      <c r="AD10" s="49" t="e">
        <f>_xlfn.XLOOKUP(AC10,Tab_Def_Flows[Name(EN)],Tab_Def_Flows[Flow_ID],,0,)</f>
        <v>#N/A</v>
      </c>
      <c r="AE10" s="51" t="s">
        <v>230</v>
      </c>
      <c r="AF10" s="49" t="e">
        <f>_xlfn.XLOOKUP(AE10,Tab_Def_Flows[Name(EN)],Tab_Def_Flows[Flow_ID],,0,)</f>
        <v>#N/A</v>
      </c>
      <c r="AG10" s="51" t="s">
        <v>230</v>
      </c>
      <c r="AH10" s="53" t="e">
        <f>_xlfn.XLOOKUP(AG10,Tab_Def_Flows[Name(EN)],Tab_Def_Flows[Flow_ID],,0,)</f>
        <v>#N/A</v>
      </c>
    </row>
    <row r="11" spans="1:34" x14ac:dyDescent="0.25">
      <c r="A11" s="93" t="b">
        <v>0</v>
      </c>
      <c r="B11" s="109" t="s">
        <v>404</v>
      </c>
      <c r="C11" s="49" t="str">
        <f t="shared" si="0"/>
        <v>09_Soi_</v>
      </c>
      <c r="D11" s="51" t="s">
        <v>489</v>
      </c>
      <c r="E11" s="88"/>
      <c r="F11" s="51"/>
      <c r="G11" s="51"/>
      <c r="H11" s="51"/>
      <c r="I11" s="88"/>
      <c r="J11" s="91" t="s">
        <v>368</v>
      </c>
      <c r="K11" s="51" t="s">
        <v>70</v>
      </c>
      <c r="L11" s="95" t="s">
        <v>67</v>
      </c>
      <c r="M11" s="51" t="s">
        <v>230</v>
      </c>
      <c r="N11" s="49" t="e">
        <f>_xlfn.XLOOKUP(M11,Tab_Def_Flows[Name(EN)],Tab_Def_Flows[Flow_ID],,0,)</f>
        <v>#N/A</v>
      </c>
      <c r="O11" s="51" t="s">
        <v>230</v>
      </c>
      <c r="P11" s="49" t="e">
        <f>_xlfn.XLOOKUP(O11,Tab_Def_Flows[Name(EN)],Tab_Def_Flows[Flow_ID],,0,)</f>
        <v>#N/A</v>
      </c>
      <c r="Q11" s="51" t="s">
        <v>230</v>
      </c>
      <c r="R11" s="49" t="e">
        <f>_xlfn.XLOOKUP(Q11,Tab_Def_Flows[Name(EN)],Tab_Def_Flows[Flow_ID],,0,)</f>
        <v>#N/A</v>
      </c>
      <c r="S11" s="51" t="s">
        <v>230</v>
      </c>
      <c r="T11" s="49" t="e">
        <f>_xlfn.XLOOKUP(S11,Tab_Def_Flows[Name(EN)],Tab_Def_Flows[Flow_ID],,0,)</f>
        <v>#N/A</v>
      </c>
      <c r="U11" s="51" t="s">
        <v>230</v>
      </c>
      <c r="V11" s="61" t="e">
        <f>_xlfn.XLOOKUP(U11,Tab_Def_Flows[Name(EN)],Tab_Def_Flows[Flow_ID],,0,)</f>
        <v>#N/A</v>
      </c>
      <c r="W11" s="51" t="s">
        <v>508</v>
      </c>
      <c r="X11" s="49" t="str">
        <f>_xlfn.XLOOKUP(W11,Tab_Def_Flows[Name(EN)],Tab_Def_Flows[Flow_ID],,0,)</f>
        <v>F_09_10</v>
      </c>
      <c r="Y11" s="51" t="s">
        <v>230</v>
      </c>
      <c r="Z11" s="49" t="e">
        <f>_xlfn.XLOOKUP(Y11,Tab_Def_Flows[Name(EN)],Tab_Def_Flows[Flow_ID],,0,)</f>
        <v>#N/A</v>
      </c>
      <c r="AA11" s="51" t="s">
        <v>230</v>
      </c>
      <c r="AB11" s="49" t="e">
        <f>_xlfn.XLOOKUP(AA11,Tab_Def_Flows[Name(EN)],Tab_Def_Flows[Flow_ID],,0,)</f>
        <v>#N/A</v>
      </c>
      <c r="AC11" s="51" t="s">
        <v>230</v>
      </c>
      <c r="AD11" s="49" t="e">
        <f>_xlfn.XLOOKUP(AC11,Tab_Def_Flows[Name(EN)],Tab_Def_Flows[Flow_ID],,0,)</f>
        <v>#N/A</v>
      </c>
      <c r="AE11" s="51" t="s">
        <v>230</v>
      </c>
      <c r="AF11" s="49" t="e">
        <f>_xlfn.XLOOKUP(AE11,Tab_Def_Flows[Name(EN)],Tab_Def_Flows[Flow_ID],,0,)</f>
        <v>#N/A</v>
      </c>
      <c r="AG11" s="51" t="s">
        <v>230</v>
      </c>
      <c r="AH11" s="53" t="e">
        <f>_xlfn.XLOOKUP(AG11,Tab_Def_Flows[Name(EN)],Tab_Def_Flows[Flow_ID],,0,)</f>
        <v>#N/A</v>
      </c>
    </row>
    <row r="12" spans="1:34" x14ac:dyDescent="0.25">
      <c r="A12" s="93" t="b">
        <v>0</v>
      </c>
      <c r="B12" s="109" t="s">
        <v>409</v>
      </c>
      <c r="C12" s="49" t="str">
        <f t="shared" si="0"/>
        <v>10_Atm_</v>
      </c>
      <c r="D12" s="51" t="s">
        <v>490</v>
      </c>
      <c r="E12" s="88"/>
      <c r="F12" s="51"/>
      <c r="G12" s="51"/>
      <c r="H12" s="51"/>
      <c r="I12" s="88"/>
      <c r="J12" s="91" t="s">
        <v>368</v>
      </c>
      <c r="K12" s="51" t="s">
        <v>70</v>
      </c>
      <c r="L12" s="95" t="s">
        <v>67</v>
      </c>
      <c r="M12" s="51" t="s">
        <v>230</v>
      </c>
      <c r="N12" s="49" t="e">
        <f>_xlfn.XLOOKUP(M12,Tab_Def_Flows[Name(EN)],Tab_Def_Flows[Flow_ID],,0,)</f>
        <v>#N/A</v>
      </c>
      <c r="O12" s="51" t="s">
        <v>230</v>
      </c>
      <c r="P12" s="49" t="e">
        <f>_xlfn.XLOOKUP(O12,Tab_Def_Flows[Name(EN)],Tab_Def_Flows[Flow_ID],,0,)</f>
        <v>#N/A</v>
      </c>
      <c r="Q12" s="51" t="s">
        <v>230</v>
      </c>
      <c r="R12" s="49" t="e">
        <f>_xlfn.XLOOKUP(Q12,Tab_Def_Flows[Name(EN)],Tab_Def_Flows[Flow_ID],,0,)</f>
        <v>#N/A</v>
      </c>
      <c r="S12" s="51" t="s">
        <v>230</v>
      </c>
      <c r="T12" s="49" t="e">
        <f>_xlfn.XLOOKUP(S12,Tab_Def_Flows[Name(EN)],Tab_Def_Flows[Flow_ID],,0,)</f>
        <v>#N/A</v>
      </c>
      <c r="U12" s="51" t="s">
        <v>230</v>
      </c>
      <c r="V12" s="61" t="e">
        <f>_xlfn.XLOOKUP(U12,Tab_Def_Flows[Name(EN)],Tab_Def_Flows[Flow_ID],,0,)</f>
        <v>#N/A</v>
      </c>
      <c r="W12" s="51" t="s">
        <v>230</v>
      </c>
      <c r="X12" s="49" t="e">
        <f>_xlfn.XLOOKUP(W12,Tab_Def_Flows[Name(EN)],Tab_Def_Flows[Flow_ID],,0,)</f>
        <v>#N/A</v>
      </c>
      <c r="Y12" s="51" t="s">
        <v>230</v>
      </c>
      <c r="Z12" s="49" t="e">
        <f>_xlfn.XLOOKUP(Y12,Tab_Def_Flows[Name(EN)],Tab_Def_Flows[Flow_ID],,0,)</f>
        <v>#N/A</v>
      </c>
      <c r="AA12" s="51" t="s">
        <v>230</v>
      </c>
      <c r="AB12" s="49" t="e">
        <f>_xlfn.XLOOKUP(AA12,Tab_Def_Flows[Name(EN)],Tab_Def_Flows[Flow_ID],,0,)</f>
        <v>#N/A</v>
      </c>
      <c r="AC12" s="51" t="s">
        <v>230</v>
      </c>
      <c r="AD12" s="49" t="e">
        <f>_xlfn.XLOOKUP(AC12,Tab_Def_Flows[Name(EN)],Tab_Def_Flows[Flow_ID],,0,)</f>
        <v>#N/A</v>
      </c>
      <c r="AE12" s="51" t="s">
        <v>230</v>
      </c>
      <c r="AF12" s="49" t="e">
        <f>_xlfn.XLOOKUP(AE12,Tab_Def_Flows[Name(EN)],Tab_Def_Flows[Flow_ID],,0,)</f>
        <v>#N/A</v>
      </c>
      <c r="AG12" s="51" t="s">
        <v>230</v>
      </c>
      <c r="AH12" s="53" t="e">
        <f>_xlfn.XLOOKUP(AG12,Tab_Def_Flows[Name(EN)],Tab_Def_Flows[Flow_ID],,0,)</f>
        <v>#N/A</v>
      </c>
    </row>
    <row r="13" spans="1:34" x14ac:dyDescent="0.25">
      <c r="A13" s="93" t="b">
        <v>0</v>
      </c>
      <c r="B13" s="109" t="s">
        <v>410</v>
      </c>
      <c r="C13" s="49" t="str">
        <f t="shared" si="0"/>
        <v>11_Sur_</v>
      </c>
      <c r="D13" s="51" t="s">
        <v>491</v>
      </c>
      <c r="E13" s="88"/>
      <c r="F13" s="51"/>
      <c r="G13" s="51"/>
      <c r="H13" s="51"/>
      <c r="I13" s="88"/>
      <c r="J13" s="91" t="s">
        <v>368</v>
      </c>
      <c r="K13" s="51" t="s">
        <v>70</v>
      </c>
      <c r="L13" s="95" t="s">
        <v>67</v>
      </c>
      <c r="M13" s="51" t="s">
        <v>230</v>
      </c>
      <c r="N13" s="49" t="e">
        <f>_xlfn.XLOOKUP(M13,Tab_Def_Flows[Name(EN)],Tab_Def_Flows[Flow_ID],,0,)</f>
        <v>#N/A</v>
      </c>
      <c r="O13" s="51" t="s">
        <v>230</v>
      </c>
      <c r="P13" s="49" t="e">
        <f>_xlfn.XLOOKUP(O13,Tab_Def_Flows[Name(EN)],Tab_Def_Flows[Flow_ID],,0,)</f>
        <v>#N/A</v>
      </c>
      <c r="Q13" s="51" t="s">
        <v>230</v>
      </c>
      <c r="R13" s="49" t="e">
        <f>_xlfn.XLOOKUP(Q13,Tab_Def_Flows[Name(EN)],Tab_Def_Flows[Flow_ID],,0,)</f>
        <v>#N/A</v>
      </c>
      <c r="S13" s="51" t="s">
        <v>230</v>
      </c>
      <c r="T13" s="49" t="e">
        <f>_xlfn.XLOOKUP(S13,Tab_Def_Flows[Name(EN)],Tab_Def_Flows[Flow_ID],,0,)</f>
        <v>#N/A</v>
      </c>
      <c r="U13" s="51" t="s">
        <v>230</v>
      </c>
      <c r="V13" s="61" t="e">
        <f>_xlfn.XLOOKUP(U13,Tab_Def_Flows[Name(EN)],Tab_Def_Flows[Flow_ID],,0,)</f>
        <v>#N/A</v>
      </c>
      <c r="W13" s="51" t="s">
        <v>230</v>
      </c>
      <c r="X13" s="49" t="e">
        <f>_xlfn.XLOOKUP(W13,Tab_Def_Flows[Name(EN)],Tab_Def_Flows[Flow_ID],,0,)</f>
        <v>#N/A</v>
      </c>
      <c r="Y13" s="51" t="s">
        <v>230</v>
      </c>
      <c r="Z13" s="49" t="e">
        <f>_xlfn.XLOOKUP(Y13,Tab_Def_Flows[Name(EN)],Tab_Def_Flows[Flow_ID],,0,)</f>
        <v>#N/A</v>
      </c>
      <c r="AA13" s="51" t="s">
        <v>230</v>
      </c>
      <c r="AB13" s="49" t="e">
        <f>_xlfn.XLOOKUP(AA13,Tab_Def_Flows[Name(EN)],Tab_Def_Flows[Flow_ID],,0,)</f>
        <v>#N/A</v>
      </c>
      <c r="AC13" s="51" t="s">
        <v>230</v>
      </c>
      <c r="AD13" s="49" t="e">
        <f>_xlfn.XLOOKUP(AC13,Tab_Def_Flows[Name(EN)],Tab_Def_Flows[Flow_ID],,0,)</f>
        <v>#N/A</v>
      </c>
      <c r="AE13" s="51" t="s">
        <v>230</v>
      </c>
      <c r="AF13" s="49" t="e">
        <f>_xlfn.XLOOKUP(AE13,Tab_Def_Flows[Name(EN)],Tab_Def_Flows[Flow_ID],,0,)</f>
        <v>#N/A</v>
      </c>
      <c r="AG13" s="51" t="s">
        <v>230</v>
      </c>
      <c r="AH13" s="53" t="e">
        <f>_xlfn.XLOOKUP(AG13,Tab_Def_Flows[Name(EN)],Tab_Def_Flows[Flow_ID],,0,)</f>
        <v>#N/A</v>
      </c>
    </row>
    <row r="14" spans="1:34" x14ac:dyDescent="0.25">
      <c r="A14" s="93" t="b">
        <v>0</v>
      </c>
      <c r="B14" s="109" t="s">
        <v>411</v>
      </c>
      <c r="C14" s="49" t="str">
        <f t="shared" si="0"/>
        <v>12__</v>
      </c>
      <c r="D14" s="51"/>
      <c r="E14" s="88"/>
      <c r="F14" s="51"/>
      <c r="G14" s="51"/>
      <c r="H14" s="51"/>
      <c r="I14" s="88"/>
      <c r="J14" s="91"/>
      <c r="K14" s="51"/>
      <c r="L14" s="95"/>
      <c r="M14" s="51" t="s">
        <v>230</v>
      </c>
      <c r="N14" s="49" t="e">
        <f>_xlfn.XLOOKUP(M14,Tab_Def_Flows[Name(EN)],Tab_Def_Flows[Flow_ID],,0,)</f>
        <v>#N/A</v>
      </c>
      <c r="O14" s="51" t="s">
        <v>230</v>
      </c>
      <c r="P14" s="49" t="e">
        <f>_xlfn.XLOOKUP(O14,Tab_Def_Flows[Name(EN)],Tab_Def_Flows[Flow_ID],,0,)</f>
        <v>#N/A</v>
      </c>
      <c r="Q14" s="51" t="s">
        <v>230</v>
      </c>
      <c r="R14" s="49" t="e">
        <f>_xlfn.XLOOKUP(Q14,Tab_Def_Flows[Name(EN)],Tab_Def_Flows[Flow_ID],,0,)</f>
        <v>#N/A</v>
      </c>
      <c r="S14" s="51" t="s">
        <v>230</v>
      </c>
      <c r="T14" s="49" t="e">
        <f>_xlfn.XLOOKUP(S14,Tab_Def_Flows[Name(EN)],Tab_Def_Flows[Flow_ID],,0,)</f>
        <v>#N/A</v>
      </c>
      <c r="U14" s="51" t="s">
        <v>230</v>
      </c>
      <c r="V14" s="61" t="e">
        <f>_xlfn.XLOOKUP(U14,Tab_Def_Flows[Name(EN)],Tab_Def_Flows[Flow_ID],,0,)</f>
        <v>#N/A</v>
      </c>
      <c r="W14" s="51" t="s">
        <v>230</v>
      </c>
      <c r="X14" s="49" t="e">
        <f>_xlfn.XLOOKUP(W14,Tab_Def_Flows[Name(EN)],Tab_Def_Flows[Flow_ID],,0,)</f>
        <v>#N/A</v>
      </c>
      <c r="Y14" s="51" t="s">
        <v>230</v>
      </c>
      <c r="Z14" s="49" t="e">
        <f>_xlfn.XLOOKUP(Y14,Tab_Def_Flows[Name(EN)],Tab_Def_Flows[Flow_ID],,0,)</f>
        <v>#N/A</v>
      </c>
      <c r="AA14" s="51" t="s">
        <v>230</v>
      </c>
      <c r="AB14" s="49" t="e">
        <f>_xlfn.XLOOKUP(AA14,Tab_Def_Flows[Name(EN)],Tab_Def_Flows[Flow_ID],,0,)</f>
        <v>#N/A</v>
      </c>
      <c r="AC14" s="51" t="s">
        <v>230</v>
      </c>
      <c r="AD14" s="49" t="e">
        <f>_xlfn.XLOOKUP(AC14,Tab_Def_Flows[Name(EN)],Tab_Def_Flows[Flow_ID],,0,)</f>
        <v>#N/A</v>
      </c>
      <c r="AE14" s="51" t="s">
        <v>230</v>
      </c>
      <c r="AF14" s="49" t="e">
        <f>_xlfn.XLOOKUP(AE14,Tab_Def_Flows[Name(EN)],Tab_Def_Flows[Flow_ID],,0,)</f>
        <v>#N/A</v>
      </c>
      <c r="AG14" s="51" t="s">
        <v>230</v>
      </c>
      <c r="AH14" s="53" t="e">
        <f>_xlfn.XLOOKUP(AG14,Tab_Def_Flows[Name(EN)],Tab_Def_Flows[Flow_ID],,0,)</f>
        <v>#N/A</v>
      </c>
    </row>
    <row r="15" spans="1:34" x14ac:dyDescent="0.25">
      <c r="A15" s="93" t="b">
        <v>0</v>
      </c>
      <c r="B15" s="109" t="s">
        <v>412</v>
      </c>
      <c r="C15" s="49" t="str">
        <f t="shared" si="0"/>
        <v>13__</v>
      </c>
      <c r="D15" s="51"/>
      <c r="E15" s="88"/>
      <c r="F15" s="51"/>
      <c r="G15" s="51"/>
      <c r="H15" s="51"/>
      <c r="I15" s="88"/>
      <c r="J15" s="91"/>
      <c r="K15" s="51"/>
      <c r="L15" s="95"/>
      <c r="M15" s="51" t="s">
        <v>230</v>
      </c>
      <c r="N15" s="49" t="e">
        <f>_xlfn.XLOOKUP(M15,Tab_Def_Flows[Name(EN)],Tab_Def_Flows[Flow_ID],,0,)</f>
        <v>#N/A</v>
      </c>
      <c r="O15" s="51" t="s">
        <v>230</v>
      </c>
      <c r="P15" s="49" t="e">
        <f>_xlfn.XLOOKUP(O15,Tab_Def_Flows[Name(EN)],Tab_Def_Flows[Flow_ID],,0,)</f>
        <v>#N/A</v>
      </c>
      <c r="Q15" s="51" t="s">
        <v>230</v>
      </c>
      <c r="R15" s="49" t="e">
        <f>_xlfn.XLOOKUP(Q15,Tab_Def_Flows[Name(EN)],Tab_Def_Flows[Flow_ID],,0,)</f>
        <v>#N/A</v>
      </c>
      <c r="S15" s="51" t="s">
        <v>230</v>
      </c>
      <c r="T15" s="49" t="e">
        <f>_xlfn.XLOOKUP(S15,Tab_Def_Flows[Name(EN)],Tab_Def_Flows[Flow_ID],,0,)</f>
        <v>#N/A</v>
      </c>
      <c r="U15" s="51" t="s">
        <v>230</v>
      </c>
      <c r="V15" s="65" t="e">
        <f>_xlfn.XLOOKUP(U15,Tab_Def_Flows[Name(EN)],Tab_Def_Flows[Flow_ID],,0,)</f>
        <v>#N/A</v>
      </c>
      <c r="W15" s="51" t="s">
        <v>230</v>
      </c>
      <c r="X15" s="49" t="e">
        <f>_xlfn.XLOOKUP(W15,Tab_Def_Flows[Name(EN)],Tab_Def_Flows[Flow_ID],,0,)</f>
        <v>#N/A</v>
      </c>
      <c r="Y15" s="51" t="s">
        <v>230</v>
      </c>
      <c r="Z15" s="49" t="e">
        <f>_xlfn.XLOOKUP(Y15,Tab_Def_Flows[Name(EN)],Tab_Def_Flows[Flow_ID],,0,)</f>
        <v>#N/A</v>
      </c>
      <c r="AA15" s="51" t="s">
        <v>230</v>
      </c>
      <c r="AB15" s="49" t="e">
        <f>_xlfn.XLOOKUP(AA15,Tab_Def_Flows[Name(EN)],Tab_Def_Flows[Flow_ID],,0,)</f>
        <v>#N/A</v>
      </c>
      <c r="AC15" s="51" t="s">
        <v>230</v>
      </c>
      <c r="AD15" s="49" t="e">
        <f>_xlfn.XLOOKUP(AC15,Tab_Def_Flows[Name(EN)],Tab_Def_Flows[Flow_ID],,0,)</f>
        <v>#N/A</v>
      </c>
      <c r="AE15" s="51" t="s">
        <v>230</v>
      </c>
      <c r="AF15" s="49" t="e">
        <f>_xlfn.XLOOKUP(AE15,Tab_Def_Flows[Name(EN)],Tab_Def_Flows[Flow_ID],,0,)</f>
        <v>#N/A</v>
      </c>
      <c r="AG15" s="51" t="s">
        <v>230</v>
      </c>
      <c r="AH15" s="53" t="e">
        <f>_xlfn.XLOOKUP(AG15,Tab_Def_Flows[Name(EN)],Tab_Def_Flows[Flow_ID],,0,)</f>
        <v>#N/A</v>
      </c>
    </row>
    <row r="16" spans="1:34" x14ac:dyDescent="0.25">
      <c r="A16" s="93" t="b">
        <v>0</v>
      </c>
      <c r="B16" s="109" t="s">
        <v>413</v>
      </c>
      <c r="C16" s="49" t="str">
        <f t="shared" si="0"/>
        <v>14__</v>
      </c>
      <c r="D16" s="51"/>
      <c r="E16" s="88"/>
      <c r="F16" s="51"/>
      <c r="G16" s="51"/>
      <c r="H16" s="51"/>
      <c r="I16" s="88"/>
      <c r="J16" s="91"/>
      <c r="K16" s="51"/>
      <c r="L16" s="95"/>
      <c r="M16" s="51" t="s">
        <v>230</v>
      </c>
      <c r="N16" s="52" t="e">
        <f>_xlfn.XLOOKUP(M16,Tab_Def_Flows[Name(EN)],Tab_Def_Flows[Flow_ID],,0,)</f>
        <v>#N/A</v>
      </c>
      <c r="O16" s="51" t="s">
        <v>230</v>
      </c>
      <c r="P16" s="52" t="e">
        <f>_xlfn.XLOOKUP(O16,Tab_Def_Flows[Name(EN)],Tab_Def_Flows[Flow_ID],,0,)</f>
        <v>#N/A</v>
      </c>
      <c r="Q16" s="51" t="s">
        <v>230</v>
      </c>
      <c r="R16" s="52" t="e">
        <f>_xlfn.XLOOKUP(Q16,Tab_Def_Flows[Name(EN)],Tab_Def_Flows[Flow_ID],,0,)</f>
        <v>#N/A</v>
      </c>
      <c r="S16" s="51" t="s">
        <v>230</v>
      </c>
      <c r="T16" s="52" t="e">
        <f>_xlfn.XLOOKUP(S16,Tab_Def_Flows[Name(EN)],Tab_Def_Flows[Flow_ID],,0,)</f>
        <v>#N/A</v>
      </c>
      <c r="U16" s="51" t="s">
        <v>230</v>
      </c>
      <c r="V16" s="53" t="e">
        <f>_xlfn.XLOOKUP(U16,Tab_Def_Flows[Name(EN)],Tab_Def_Flows[Flow_ID],,0,)</f>
        <v>#N/A</v>
      </c>
      <c r="W16" s="51" t="s">
        <v>230</v>
      </c>
      <c r="X16" s="52" t="e">
        <f>_xlfn.XLOOKUP(W16,Tab_Def_Flows[Name(EN)],Tab_Def_Flows[Flow_ID],,0,)</f>
        <v>#N/A</v>
      </c>
      <c r="Y16" s="51" t="s">
        <v>230</v>
      </c>
      <c r="Z16" s="52" t="e">
        <f>_xlfn.XLOOKUP(Y16,Tab_Def_Flows[Name(EN)],Tab_Def_Flows[Flow_ID],,0,)</f>
        <v>#N/A</v>
      </c>
      <c r="AA16" s="51" t="s">
        <v>230</v>
      </c>
      <c r="AB16" s="52" t="e">
        <f>_xlfn.XLOOKUP(AA16,Tab_Def_Flows[Name(EN)],Tab_Def_Flows[Flow_ID],,0,)</f>
        <v>#N/A</v>
      </c>
      <c r="AC16" s="51" t="s">
        <v>230</v>
      </c>
      <c r="AD16" s="52" t="e">
        <f>_xlfn.XLOOKUP(AC16,Tab_Def_Flows[Name(EN)],Tab_Def_Flows[Flow_ID],,0,)</f>
        <v>#N/A</v>
      </c>
      <c r="AE16" s="51" t="s">
        <v>230</v>
      </c>
      <c r="AF16" s="52" t="e">
        <f>_xlfn.XLOOKUP(AE16,Tab_Def_Flows[Name(EN)],Tab_Def_Flows[Flow_ID],,0,)</f>
        <v>#N/A</v>
      </c>
      <c r="AG16" s="51" t="s">
        <v>230</v>
      </c>
      <c r="AH16" s="53" t="e">
        <f>_xlfn.XLOOKUP(AG16,Tab_Def_Flows[Name(EN)],Tab_Def_Flows[Flow_ID],,0,)</f>
        <v>#N/A</v>
      </c>
    </row>
    <row r="17" spans="1:34" x14ac:dyDescent="0.25">
      <c r="A17" s="93" t="b">
        <v>0</v>
      </c>
      <c r="B17" s="109" t="s">
        <v>414</v>
      </c>
      <c r="C17" s="49" t="str">
        <f t="shared" si="0"/>
        <v>15__</v>
      </c>
      <c r="D17" s="51"/>
      <c r="E17" s="88"/>
      <c r="F17" s="51"/>
      <c r="G17" s="51"/>
      <c r="H17" s="51"/>
      <c r="I17" s="88"/>
      <c r="J17" s="91"/>
      <c r="K17" s="51"/>
      <c r="L17" s="95"/>
      <c r="M17" s="51" t="s">
        <v>230</v>
      </c>
      <c r="N17" s="52" t="e">
        <f>_xlfn.XLOOKUP(M17,Tab_Def_Flows[Name(EN)],Tab_Def_Flows[Flow_ID],,0,)</f>
        <v>#N/A</v>
      </c>
      <c r="O17" s="51" t="s">
        <v>230</v>
      </c>
      <c r="P17" s="52" t="e">
        <f>_xlfn.XLOOKUP(O17,Tab_Def_Flows[Name(EN)],Tab_Def_Flows[Flow_ID],,0,)</f>
        <v>#N/A</v>
      </c>
      <c r="Q17" s="51" t="s">
        <v>230</v>
      </c>
      <c r="R17" s="52" t="e">
        <f>_xlfn.XLOOKUP(Q17,Tab_Def_Flows[Name(EN)],Tab_Def_Flows[Flow_ID],,0,)</f>
        <v>#N/A</v>
      </c>
      <c r="S17" s="51" t="s">
        <v>230</v>
      </c>
      <c r="T17" s="52" t="e">
        <f>_xlfn.XLOOKUP(S17,Tab_Def_Flows[Name(EN)],Tab_Def_Flows[Flow_ID],,0,)</f>
        <v>#N/A</v>
      </c>
      <c r="U17" s="51" t="s">
        <v>230</v>
      </c>
      <c r="V17" s="53" t="e">
        <f>_xlfn.XLOOKUP(U17,Tab_Def_Flows[Name(EN)],Tab_Def_Flows[Flow_ID],,0,)</f>
        <v>#N/A</v>
      </c>
      <c r="W17" s="51" t="s">
        <v>230</v>
      </c>
      <c r="X17" s="52" t="e">
        <f>_xlfn.XLOOKUP(W17,Tab_Def_Flows[Name(EN)],Tab_Def_Flows[Flow_ID],,0,)</f>
        <v>#N/A</v>
      </c>
      <c r="Y17" s="51" t="s">
        <v>230</v>
      </c>
      <c r="Z17" s="52" t="e">
        <f>_xlfn.XLOOKUP(Y17,Tab_Def_Flows[Name(EN)],Tab_Def_Flows[Flow_ID],,0,)</f>
        <v>#N/A</v>
      </c>
      <c r="AA17" s="51" t="s">
        <v>230</v>
      </c>
      <c r="AB17" s="52" t="e">
        <f>_xlfn.XLOOKUP(AA17,Tab_Def_Flows[Name(EN)],Tab_Def_Flows[Flow_ID],,0,)</f>
        <v>#N/A</v>
      </c>
      <c r="AC17" s="51" t="s">
        <v>230</v>
      </c>
      <c r="AD17" s="52" t="e">
        <f>_xlfn.XLOOKUP(AC17,Tab_Def_Flows[Name(EN)],Tab_Def_Flows[Flow_ID],,0,)</f>
        <v>#N/A</v>
      </c>
      <c r="AE17" s="51" t="s">
        <v>230</v>
      </c>
      <c r="AF17" s="52" t="e">
        <f>_xlfn.XLOOKUP(AE17,Tab_Def_Flows[Name(EN)],Tab_Def_Flows[Flow_ID],,0,)</f>
        <v>#N/A</v>
      </c>
      <c r="AG17" s="51" t="s">
        <v>230</v>
      </c>
      <c r="AH17" s="53" t="e">
        <f>_xlfn.XLOOKUP(AG17,Tab_Def_Flows[Name(EN)],Tab_Def_Flows[Flow_ID],,0,)</f>
        <v>#N/A</v>
      </c>
    </row>
    <row r="18" spans="1:34" x14ac:dyDescent="0.25">
      <c r="A18" s="93" t="b">
        <v>0</v>
      </c>
      <c r="B18" s="109" t="s">
        <v>415</v>
      </c>
      <c r="C18" s="49" t="str">
        <f t="shared" si="0"/>
        <v>16__</v>
      </c>
      <c r="D18" s="51"/>
      <c r="E18" s="88"/>
      <c r="F18" s="51"/>
      <c r="G18" s="51"/>
      <c r="H18" s="51"/>
      <c r="I18" s="88"/>
      <c r="J18" s="91"/>
      <c r="K18" s="51"/>
      <c r="L18" s="95"/>
      <c r="M18" s="51" t="s">
        <v>230</v>
      </c>
      <c r="N18" s="52" t="e">
        <f>_xlfn.XLOOKUP(M18,Tab_Def_Flows[Name(EN)],Tab_Def_Flows[Flow_ID],,0,)</f>
        <v>#N/A</v>
      </c>
      <c r="O18" s="51" t="s">
        <v>230</v>
      </c>
      <c r="P18" s="52" t="e">
        <f>_xlfn.XLOOKUP(O18,Tab_Def_Flows[Name(EN)],Tab_Def_Flows[Flow_ID],,0,)</f>
        <v>#N/A</v>
      </c>
      <c r="Q18" s="51" t="s">
        <v>230</v>
      </c>
      <c r="R18" s="52" t="e">
        <f>_xlfn.XLOOKUP(Q18,Tab_Def_Flows[Name(EN)],Tab_Def_Flows[Flow_ID],,0,)</f>
        <v>#N/A</v>
      </c>
      <c r="S18" s="51" t="s">
        <v>230</v>
      </c>
      <c r="T18" s="52" t="e">
        <f>_xlfn.XLOOKUP(S18,Tab_Def_Flows[Name(EN)],Tab_Def_Flows[Flow_ID],,0,)</f>
        <v>#N/A</v>
      </c>
      <c r="U18" s="51" t="s">
        <v>230</v>
      </c>
      <c r="V18" s="53" t="e">
        <f>_xlfn.XLOOKUP(U18,Tab_Def_Flows[Name(EN)],Tab_Def_Flows[Flow_ID],,0,)</f>
        <v>#N/A</v>
      </c>
      <c r="W18" s="51" t="s">
        <v>230</v>
      </c>
      <c r="X18" s="52" t="e">
        <f>_xlfn.XLOOKUP(W18,Tab_Def_Flows[Name(EN)],Tab_Def_Flows[Flow_ID],,0,)</f>
        <v>#N/A</v>
      </c>
      <c r="Y18" s="51" t="s">
        <v>230</v>
      </c>
      <c r="Z18" s="52" t="e">
        <f>_xlfn.XLOOKUP(Y18,Tab_Def_Flows[Name(EN)],Tab_Def_Flows[Flow_ID],,0,)</f>
        <v>#N/A</v>
      </c>
      <c r="AA18" s="51" t="s">
        <v>230</v>
      </c>
      <c r="AB18" s="52" t="e">
        <f>_xlfn.XLOOKUP(AA18,Tab_Def_Flows[Name(EN)],Tab_Def_Flows[Flow_ID],,0,)</f>
        <v>#N/A</v>
      </c>
      <c r="AC18" s="51" t="s">
        <v>230</v>
      </c>
      <c r="AD18" s="52" t="e">
        <f>_xlfn.XLOOKUP(AC18,Tab_Def_Flows[Name(EN)],Tab_Def_Flows[Flow_ID],,0,)</f>
        <v>#N/A</v>
      </c>
      <c r="AE18" s="51" t="s">
        <v>230</v>
      </c>
      <c r="AF18" s="52" t="e">
        <f>_xlfn.XLOOKUP(AE18,Tab_Def_Flows[Name(EN)],Tab_Def_Flows[Flow_ID],,0,)</f>
        <v>#N/A</v>
      </c>
      <c r="AG18" s="51" t="s">
        <v>230</v>
      </c>
      <c r="AH18" s="53" t="e">
        <f>_xlfn.XLOOKUP(AG18,Tab_Def_Flows[Name(EN)],Tab_Def_Flows[Flow_ID],,0,)</f>
        <v>#N/A</v>
      </c>
    </row>
    <row r="19" spans="1:34" x14ac:dyDescent="0.25">
      <c r="A19" s="93" t="b">
        <v>0</v>
      </c>
      <c r="B19" s="109" t="s">
        <v>416</v>
      </c>
      <c r="C19" s="49" t="str">
        <f t="shared" si="0"/>
        <v>17__</v>
      </c>
      <c r="D19" s="51"/>
      <c r="E19" s="88"/>
      <c r="F19" s="51"/>
      <c r="G19" s="51"/>
      <c r="H19" s="51"/>
      <c r="I19" s="88"/>
      <c r="J19" s="91"/>
      <c r="K19" s="51"/>
      <c r="L19" s="95"/>
      <c r="M19" s="51" t="s">
        <v>230</v>
      </c>
      <c r="N19" s="52" t="e">
        <f>_xlfn.XLOOKUP(M19,Tab_Def_Flows[Name(EN)],Tab_Def_Flows[Flow_ID],,0,)</f>
        <v>#N/A</v>
      </c>
      <c r="O19" s="51" t="s">
        <v>230</v>
      </c>
      <c r="P19" s="52" t="e">
        <f>_xlfn.XLOOKUP(O19,Tab_Def_Flows[Name(EN)],Tab_Def_Flows[Flow_ID],,0,)</f>
        <v>#N/A</v>
      </c>
      <c r="Q19" s="51" t="s">
        <v>230</v>
      </c>
      <c r="R19" s="52" t="e">
        <f>_xlfn.XLOOKUP(Q19,Tab_Def_Flows[Name(EN)],Tab_Def_Flows[Flow_ID],,0,)</f>
        <v>#N/A</v>
      </c>
      <c r="S19" s="51" t="s">
        <v>230</v>
      </c>
      <c r="T19" s="52" t="e">
        <f>_xlfn.XLOOKUP(S19,Tab_Def_Flows[Name(EN)],Tab_Def_Flows[Flow_ID],,0,)</f>
        <v>#N/A</v>
      </c>
      <c r="U19" s="51" t="s">
        <v>230</v>
      </c>
      <c r="V19" s="53" t="e">
        <f>_xlfn.XLOOKUP(U19,Tab_Def_Flows[Name(EN)],Tab_Def_Flows[Flow_ID],,0,)</f>
        <v>#N/A</v>
      </c>
      <c r="W19" s="51" t="s">
        <v>230</v>
      </c>
      <c r="X19" s="52" t="e">
        <f>_xlfn.XLOOKUP(W19,Tab_Def_Flows[Name(EN)],Tab_Def_Flows[Flow_ID],,0,)</f>
        <v>#N/A</v>
      </c>
      <c r="Y19" s="51" t="s">
        <v>230</v>
      </c>
      <c r="Z19" s="52" t="e">
        <f>_xlfn.XLOOKUP(Y19,Tab_Def_Flows[Name(EN)],Tab_Def_Flows[Flow_ID],,0,)</f>
        <v>#N/A</v>
      </c>
      <c r="AA19" s="51" t="s">
        <v>230</v>
      </c>
      <c r="AB19" s="52" t="e">
        <f>_xlfn.XLOOKUP(AA19,Tab_Def_Flows[Name(EN)],Tab_Def_Flows[Flow_ID],,0,)</f>
        <v>#N/A</v>
      </c>
      <c r="AC19" s="51" t="s">
        <v>230</v>
      </c>
      <c r="AD19" s="52" t="e">
        <f>_xlfn.XLOOKUP(AC19,Tab_Def_Flows[Name(EN)],Tab_Def_Flows[Flow_ID],,0,)</f>
        <v>#N/A</v>
      </c>
      <c r="AE19" s="51" t="s">
        <v>230</v>
      </c>
      <c r="AF19" s="52" t="e">
        <f>_xlfn.XLOOKUP(AE19,Tab_Def_Flows[Name(EN)],Tab_Def_Flows[Flow_ID],,0,)</f>
        <v>#N/A</v>
      </c>
      <c r="AG19" s="51" t="s">
        <v>230</v>
      </c>
      <c r="AH19" s="53" t="e">
        <f>_xlfn.XLOOKUP(AG19,Tab_Def_Flows[Name(EN)],Tab_Def_Flows[Flow_ID],,0,)</f>
        <v>#N/A</v>
      </c>
    </row>
    <row r="20" spans="1:34" x14ac:dyDescent="0.25">
      <c r="A20" s="93" t="b">
        <v>0</v>
      </c>
      <c r="B20" s="109" t="s">
        <v>417</v>
      </c>
      <c r="C20" s="49" t="str">
        <f t="shared" si="0"/>
        <v>18__</v>
      </c>
      <c r="D20" s="51"/>
      <c r="E20" s="88"/>
      <c r="F20" s="51"/>
      <c r="G20" s="51"/>
      <c r="H20" s="51"/>
      <c r="I20" s="88"/>
      <c r="J20" s="91"/>
      <c r="K20" s="51"/>
      <c r="L20" s="95"/>
      <c r="M20" s="51" t="s">
        <v>230</v>
      </c>
      <c r="N20" s="52" t="e">
        <f>_xlfn.XLOOKUP(M20,Tab_Def_Flows[Name(EN)],Tab_Def_Flows[Flow_ID],,0,)</f>
        <v>#N/A</v>
      </c>
      <c r="O20" s="51" t="s">
        <v>230</v>
      </c>
      <c r="P20" s="52" t="e">
        <f>_xlfn.XLOOKUP(O20,Tab_Def_Flows[Name(EN)],Tab_Def_Flows[Flow_ID],,0,)</f>
        <v>#N/A</v>
      </c>
      <c r="Q20" s="51" t="s">
        <v>230</v>
      </c>
      <c r="R20" s="52" t="e">
        <f>_xlfn.XLOOKUP(Q20,Tab_Def_Flows[Name(EN)],Tab_Def_Flows[Flow_ID],,0,)</f>
        <v>#N/A</v>
      </c>
      <c r="S20" s="51" t="s">
        <v>230</v>
      </c>
      <c r="T20" s="52" t="e">
        <f>_xlfn.XLOOKUP(S20,Tab_Def_Flows[Name(EN)],Tab_Def_Flows[Flow_ID],,0,)</f>
        <v>#N/A</v>
      </c>
      <c r="U20" s="51" t="s">
        <v>230</v>
      </c>
      <c r="V20" s="53" t="e">
        <f>_xlfn.XLOOKUP(U20,Tab_Def_Flows[Name(EN)],Tab_Def_Flows[Flow_ID],,0,)</f>
        <v>#N/A</v>
      </c>
      <c r="W20" s="51" t="s">
        <v>230</v>
      </c>
      <c r="X20" s="52" t="e">
        <f>_xlfn.XLOOKUP(W20,Tab_Def_Flows[Name(EN)],Tab_Def_Flows[Flow_ID],,0,)</f>
        <v>#N/A</v>
      </c>
      <c r="Y20" s="51" t="s">
        <v>230</v>
      </c>
      <c r="Z20" s="52" t="e">
        <f>_xlfn.XLOOKUP(Y20,Tab_Def_Flows[Name(EN)],Tab_Def_Flows[Flow_ID],,0,)</f>
        <v>#N/A</v>
      </c>
      <c r="AA20" s="51" t="s">
        <v>230</v>
      </c>
      <c r="AB20" s="52" t="e">
        <f>_xlfn.XLOOKUP(AA20,Tab_Def_Flows[Name(EN)],Tab_Def_Flows[Flow_ID],,0,)</f>
        <v>#N/A</v>
      </c>
      <c r="AC20" s="51" t="s">
        <v>230</v>
      </c>
      <c r="AD20" s="52" t="e">
        <f>_xlfn.XLOOKUP(AC20,Tab_Def_Flows[Name(EN)],Tab_Def_Flows[Flow_ID],,0,)</f>
        <v>#N/A</v>
      </c>
      <c r="AE20" s="51" t="s">
        <v>230</v>
      </c>
      <c r="AF20" s="52" t="e">
        <f>_xlfn.XLOOKUP(AE20,Tab_Def_Flows[Name(EN)],Tab_Def_Flows[Flow_ID],,0,)</f>
        <v>#N/A</v>
      </c>
      <c r="AG20" s="51" t="s">
        <v>230</v>
      </c>
      <c r="AH20" s="53" t="e">
        <f>_xlfn.XLOOKUP(AG20,Tab_Def_Flows[Name(EN)],Tab_Def_Flows[Flow_ID],,0,)</f>
        <v>#N/A</v>
      </c>
    </row>
    <row r="21" spans="1:34" ht="15.75" thickBot="1" x14ac:dyDescent="0.3">
      <c r="A21" s="93" t="b">
        <v>0</v>
      </c>
      <c r="B21" s="109" t="s">
        <v>418</v>
      </c>
      <c r="C21" s="49" t="str">
        <f t="shared" si="0"/>
        <v>19__</v>
      </c>
      <c r="D21" s="51"/>
      <c r="E21" s="88"/>
      <c r="F21" s="51"/>
      <c r="G21" s="51"/>
      <c r="H21" s="51"/>
      <c r="I21" s="88"/>
      <c r="J21" s="91"/>
      <c r="K21" s="51"/>
      <c r="L21" s="95"/>
      <c r="M21" s="51" t="s">
        <v>230</v>
      </c>
      <c r="N21" s="52" t="e">
        <f>_xlfn.XLOOKUP(M21,Tab_Def_Flows[Name(EN)],Tab_Def_Flows[Flow_ID],,0,)</f>
        <v>#N/A</v>
      </c>
      <c r="O21" s="51" t="s">
        <v>230</v>
      </c>
      <c r="P21" s="52" t="e">
        <f>_xlfn.XLOOKUP(O21,Tab_Def_Flows[Name(EN)],Tab_Def_Flows[Flow_ID],,0,)</f>
        <v>#N/A</v>
      </c>
      <c r="Q21" s="51" t="s">
        <v>230</v>
      </c>
      <c r="R21" s="52" t="e">
        <f>_xlfn.XLOOKUP(Q21,Tab_Def_Flows[Name(EN)],Tab_Def_Flows[Flow_ID],,0,)</f>
        <v>#N/A</v>
      </c>
      <c r="S21" s="51" t="s">
        <v>479</v>
      </c>
      <c r="T21" s="52" t="e">
        <f>_xlfn.XLOOKUP(S21,Tab_Def_Flows[Name(EN)],Tab_Def_Flows[Flow_ID],,0,)</f>
        <v>#N/A</v>
      </c>
      <c r="U21" s="51" t="s">
        <v>230</v>
      </c>
      <c r="V21" s="53" t="e">
        <f>_xlfn.XLOOKUP(U21,Tab_Def_Flows[Name(EN)],Tab_Def_Flows[Flow_ID],,0,)</f>
        <v>#N/A</v>
      </c>
      <c r="W21" s="51" t="s">
        <v>230</v>
      </c>
      <c r="X21" s="52" t="e">
        <f>_xlfn.XLOOKUP(W21,Tab_Def_Flows[Name(EN)],Tab_Def_Flows[Flow_ID],,0,)</f>
        <v>#N/A</v>
      </c>
      <c r="Y21" s="51" t="s">
        <v>230</v>
      </c>
      <c r="Z21" s="52" t="e">
        <f>_xlfn.XLOOKUP(Y21,Tab_Def_Flows[Name(EN)],Tab_Def_Flows[Flow_ID],,0,)</f>
        <v>#N/A</v>
      </c>
      <c r="AA21" s="51" t="s">
        <v>230</v>
      </c>
      <c r="AB21" s="52" t="e">
        <f>_xlfn.XLOOKUP(AA21,Tab_Def_Flows[Name(EN)],Tab_Def_Flows[Flow_ID],,0,)</f>
        <v>#N/A</v>
      </c>
      <c r="AC21" s="51" t="s">
        <v>230</v>
      </c>
      <c r="AD21" s="52" t="e">
        <f>_xlfn.XLOOKUP(AC21,Tab_Def_Flows[Name(EN)],Tab_Def_Flows[Flow_ID],,0,)</f>
        <v>#N/A</v>
      </c>
      <c r="AE21" s="51" t="s">
        <v>230</v>
      </c>
      <c r="AF21" s="52" t="e">
        <f>_xlfn.XLOOKUP(AE21,Tab_Def_Flows[Name(EN)],Tab_Def_Flows[Flow_ID],,0,)</f>
        <v>#N/A</v>
      </c>
      <c r="AG21" s="51" t="s">
        <v>230</v>
      </c>
      <c r="AH21" s="53" t="e">
        <f>_xlfn.XLOOKUP(AG21,Tab_Def_Flows[Name(EN)],Tab_Def_Flows[Flow_ID],,0,)</f>
        <v>#N/A</v>
      </c>
    </row>
    <row r="22" spans="1:34" x14ac:dyDescent="0.25">
      <c r="A22" s="93" t="b">
        <v>0</v>
      </c>
      <c r="B22" s="109" t="s">
        <v>419</v>
      </c>
      <c r="C22" s="49" t="str">
        <f t="shared" si="0"/>
        <v>20__</v>
      </c>
      <c r="D22" s="51"/>
      <c r="E22" s="88"/>
      <c r="F22" s="51"/>
      <c r="G22" s="51"/>
      <c r="H22" s="51"/>
      <c r="I22" s="88"/>
      <c r="J22" s="91"/>
      <c r="K22" s="51"/>
      <c r="L22" s="95"/>
      <c r="M22" s="51" t="s">
        <v>230</v>
      </c>
      <c r="N22" s="50" t="e">
        <f>_xlfn.XLOOKUP(M22,Tab_Def_Flows[Name(EN)],Tab_Def_Flows[Flow_ID],,0,)</f>
        <v>#N/A</v>
      </c>
      <c r="O22" s="51" t="s">
        <v>230</v>
      </c>
      <c r="P22" s="50" t="e">
        <f>_xlfn.XLOOKUP(O22,Tab_Def_Flows[Name(EN)],Tab_Def_Flows[Flow_ID],,0,)</f>
        <v>#N/A</v>
      </c>
      <c r="Q22" s="51" t="s">
        <v>230</v>
      </c>
      <c r="R22" s="50" t="e">
        <f>_xlfn.XLOOKUP(Q22,Tab_Def_Flows[Name(EN)],Tab_Def_Flows[Flow_ID],,0,)</f>
        <v>#N/A</v>
      </c>
      <c r="S22" s="51" t="s">
        <v>230</v>
      </c>
      <c r="T22" s="50" t="e">
        <f>_xlfn.XLOOKUP(S22,Tab_Def_Flows[Name(EN)],Tab_Def_Flows[Flow_ID],,0,)</f>
        <v>#N/A</v>
      </c>
      <c r="U22" s="51" t="s">
        <v>230</v>
      </c>
      <c r="V22" s="59" t="e">
        <f>_xlfn.XLOOKUP(U22,Tab_Def_Flows[Name(EN)],Tab_Def_Flows[Flow_ID],,0,)</f>
        <v>#N/A</v>
      </c>
      <c r="W22" s="51" t="s">
        <v>230</v>
      </c>
      <c r="X22" s="52" t="e">
        <f>_xlfn.XLOOKUP(W22,Tab_Def_Flows[Name(EN)],Tab_Def_Flows[Flow_ID],,0,)</f>
        <v>#N/A</v>
      </c>
      <c r="Y22" s="51" t="s">
        <v>230</v>
      </c>
      <c r="Z22" s="52" t="e">
        <f>_xlfn.XLOOKUP(Y22,Tab_Def_Flows[Name(EN)],Tab_Def_Flows[Flow_ID],,0,)</f>
        <v>#N/A</v>
      </c>
      <c r="AA22" s="51" t="s">
        <v>230</v>
      </c>
      <c r="AB22" s="52" t="e">
        <f>_xlfn.XLOOKUP(AA22,Tab_Def_Flows[Name(EN)],Tab_Def_Flows[Flow_ID],,0,)</f>
        <v>#N/A</v>
      </c>
      <c r="AC22" s="51" t="s">
        <v>230</v>
      </c>
      <c r="AD22" s="52" t="e">
        <f>_xlfn.XLOOKUP(AC22,Tab_Def_Flows[Name(EN)],Tab_Def_Flows[Flow_ID],,0,)</f>
        <v>#N/A</v>
      </c>
      <c r="AE22" s="51" t="s">
        <v>230</v>
      </c>
      <c r="AF22" s="52" t="e">
        <f>_xlfn.XLOOKUP(AE22,Tab_Def_Flows[Name(EN)],Tab_Def_Flows[Flow_ID],,0,)</f>
        <v>#N/A</v>
      </c>
      <c r="AG22" s="51" t="s">
        <v>230</v>
      </c>
      <c r="AH22" s="53" t="e">
        <f>_xlfn.XLOOKUP(AG22,Tab_Def_Flows[Name(EN)],Tab_Def_Flows[Flow_ID],,0,)</f>
        <v>#N/A</v>
      </c>
    </row>
    <row r="23" spans="1:34" x14ac:dyDescent="0.25">
      <c r="A23" s="93" t="b">
        <v>0</v>
      </c>
      <c r="B23" s="109" t="s">
        <v>420</v>
      </c>
      <c r="C23" s="49" t="str">
        <f t="shared" si="0"/>
        <v>21__</v>
      </c>
      <c r="D23" s="51"/>
      <c r="E23" s="88"/>
      <c r="F23" s="51"/>
      <c r="G23" s="51"/>
      <c r="H23" s="51"/>
      <c r="I23" s="88"/>
      <c r="J23" s="91"/>
      <c r="K23" s="51"/>
      <c r="L23" s="95"/>
      <c r="M23" s="51" t="s">
        <v>230</v>
      </c>
      <c r="N23" s="52" t="e">
        <f>_xlfn.XLOOKUP(M23,Tab_Def_Flows[Name(EN)],Tab_Def_Flows[Flow_ID],,0,)</f>
        <v>#N/A</v>
      </c>
      <c r="O23" s="51" t="s">
        <v>230</v>
      </c>
      <c r="P23" s="52" t="e">
        <f>_xlfn.XLOOKUP(O23,Tab_Def_Flows[Name(EN)],Tab_Def_Flows[Flow_ID],,0,)</f>
        <v>#N/A</v>
      </c>
      <c r="Q23" s="51" t="s">
        <v>230</v>
      </c>
      <c r="R23" s="52" t="e">
        <f>_xlfn.XLOOKUP(Q23,Tab_Def_Flows[Name(EN)],Tab_Def_Flows[Flow_ID],,0,)</f>
        <v>#N/A</v>
      </c>
      <c r="S23" s="51" t="s">
        <v>230</v>
      </c>
      <c r="T23" s="52" t="e">
        <f>_xlfn.XLOOKUP(S23,Tab_Def_Flows[Name(EN)],Tab_Def_Flows[Flow_ID],,0,)</f>
        <v>#N/A</v>
      </c>
      <c r="U23" s="51" t="s">
        <v>230</v>
      </c>
      <c r="V23" s="53" t="e">
        <f>_xlfn.XLOOKUP(U23,Tab_Def_Flows[Name(EN)],Tab_Def_Flows[Flow_ID],,0,)</f>
        <v>#N/A</v>
      </c>
      <c r="W23" s="51" t="s">
        <v>230</v>
      </c>
      <c r="X23" s="52" t="e">
        <f>_xlfn.XLOOKUP(W23,Tab_Def_Flows[Name(EN)],Tab_Def_Flows[Flow_ID],,0,)</f>
        <v>#N/A</v>
      </c>
      <c r="Y23" s="51" t="s">
        <v>230</v>
      </c>
      <c r="Z23" s="52" t="e">
        <f>_xlfn.XLOOKUP(Y23,Tab_Def_Flows[Name(EN)],Tab_Def_Flows[Flow_ID],,0,)</f>
        <v>#N/A</v>
      </c>
      <c r="AA23" s="51" t="s">
        <v>230</v>
      </c>
      <c r="AB23" s="52" t="e">
        <f>_xlfn.XLOOKUP(AA23,Tab_Def_Flows[Name(EN)],Tab_Def_Flows[Flow_ID],,0,)</f>
        <v>#N/A</v>
      </c>
      <c r="AC23" s="51" t="s">
        <v>230</v>
      </c>
      <c r="AD23" s="52" t="e">
        <f>_xlfn.XLOOKUP(AC23,Tab_Def_Flows[Name(EN)],Tab_Def_Flows[Flow_ID],,0,)</f>
        <v>#N/A</v>
      </c>
      <c r="AE23" s="51" t="s">
        <v>230</v>
      </c>
      <c r="AF23" s="52" t="e">
        <f>_xlfn.XLOOKUP(AE23,Tab_Def_Flows[Name(EN)],Tab_Def_Flows[Flow_ID],,0,)</f>
        <v>#N/A</v>
      </c>
      <c r="AG23" s="51" t="s">
        <v>230</v>
      </c>
      <c r="AH23" s="53" t="e">
        <f>_xlfn.XLOOKUP(AG23,Tab_Def_Flows[Name(EN)],Tab_Def_Flows[Flow_ID],,0,)</f>
        <v>#N/A</v>
      </c>
    </row>
    <row r="24" spans="1:34" x14ac:dyDescent="0.25">
      <c r="A24" s="93" t="b">
        <v>0</v>
      </c>
      <c r="B24" s="109" t="s">
        <v>421</v>
      </c>
      <c r="C24" s="49" t="str">
        <f t="shared" si="0"/>
        <v>22__</v>
      </c>
      <c r="D24" s="51"/>
      <c r="E24" s="88"/>
      <c r="F24" s="51"/>
      <c r="G24" s="51"/>
      <c r="H24" s="51"/>
      <c r="I24" s="88"/>
      <c r="J24" s="91"/>
      <c r="K24" s="51"/>
      <c r="L24" s="95"/>
      <c r="M24" s="51" t="s">
        <v>230</v>
      </c>
      <c r="N24" s="52" t="e">
        <f>_xlfn.XLOOKUP(M24,Tab_Def_Flows[Name(EN)],Tab_Def_Flows[Flow_ID],,0,)</f>
        <v>#N/A</v>
      </c>
      <c r="O24" s="51" t="s">
        <v>230</v>
      </c>
      <c r="P24" s="52" t="e">
        <f>_xlfn.XLOOKUP(O24,Tab_Def_Flows[Name(EN)],Tab_Def_Flows[Flow_ID],,0,)</f>
        <v>#N/A</v>
      </c>
      <c r="Q24" s="51" t="s">
        <v>230</v>
      </c>
      <c r="R24" s="52" t="e">
        <f>_xlfn.XLOOKUP(Q24,Tab_Def_Flows[Name(EN)],Tab_Def_Flows[Flow_ID],,0,)</f>
        <v>#N/A</v>
      </c>
      <c r="S24" s="51" t="s">
        <v>230</v>
      </c>
      <c r="T24" s="52" t="e">
        <f>_xlfn.XLOOKUP(S24,Tab_Def_Flows[Name(EN)],Tab_Def_Flows[Flow_ID],,0,)</f>
        <v>#N/A</v>
      </c>
      <c r="U24" s="51" t="s">
        <v>230</v>
      </c>
      <c r="V24" s="53" t="e">
        <f>_xlfn.XLOOKUP(U24,Tab_Def_Flows[Name(EN)],Tab_Def_Flows[Flow_ID],,0,)</f>
        <v>#N/A</v>
      </c>
      <c r="W24" s="51" t="s">
        <v>230</v>
      </c>
      <c r="X24" s="52" t="e">
        <f>_xlfn.XLOOKUP(W24,Tab_Def_Flows[Name(EN)],Tab_Def_Flows[Flow_ID],,0,)</f>
        <v>#N/A</v>
      </c>
      <c r="Y24" s="51" t="s">
        <v>230</v>
      </c>
      <c r="Z24" s="52" t="e">
        <f>_xlfn.XLOOKUP(Y24,Tab_Def_Flows[Name(EN)],Tab_Def_Flows[Flow_ID],,0,)</f>
        <v>#N/A</v>
      </c>
      <c r="AA24" s="51" t="s">
        <v>230</v>
      </c>
      <c r="AB24" s="52" t="e">
        <f>_xlfn.XLOOKUP(AA24,Tab_Def_Flows[Name(EN)],Tab_Def_Flows[Flow_ID],,0,)</f>
        <v>#N/A</v>
      </c>
      <c r="AC24" s="51" t="s">
        <v>230</v>
      </c>
      <c r="AD24" s="52" t="e">
        <f>_xlfn.XLOOKUP(AC24,Tab_Def_Flows[Name(EN)],Tab_Def_Flows[Flow_ID],,0,)</f>
        <v>#N/A</v>
      </c>
      <c r="AE24" s="51" t="s">
        <v>230</v>
      </c>
      <c r="AF24" s="52" t="e">
        <f>_xlfn.XLOOKUP(AE24,Tab_Def_Flows[Name(EN)],Tab_Def_Flows[Flow_ID],,0,)</f>
        <v>#N/A</v>
      </c>
      <c r="AG24" s="51" t="s">
        <v>230</v>
      </c>
      <c r="AH24" s="53" t="e">
        <f>_xlfn.XLOOKUP(AG24,Tab_Def_Flows[Name(EN)],Tab_Def_Flows[Flow_ID],,0,)</f>
        <v>#N/A</v>
      </c>
    </row>
    <row r="25" spans="1:34" x14ac:dyDescent="0.25">
      <c r="A25" s="93" t="b">
        <v>0</v>
      </c>
      <c r="B25" s="109" t="s">
        <v>422</v>
      </c>
      <c r="C25" s="49" t="str">
        <f t="shared" si="0"/>
        <v>23__</v>
      </c>
      <c r="D25" s="51"/>
      <c r="E25" s="88"/>
      <c r="F25" s="51"/>
      <c r="G25" s="51"/>
      <c r="H25" s="51"/>
      <c r="I25" s="88"/>
      <c r="J25" s="91"/>
      <c r="K25" s="51"/>
      <c r="L25" s="95"/>
      <c r="M25" s="51" t="s">
        <v>230</v>
      </c>
      <c r="N25" s="52" t="e">
        <f>_xlfn.XLOOKUP(M25,Tab_Def_Flows[Name(EN)],Tab_Def_Flows[Flow_ID],,0,)</f>
        <v>#N/A</v>
      </c>
      <c r="O25" s="51" t="s">
        <v>230</v>
      </c>
      <c r="P25" s="52" t="e">
        <f>_xlfn.XLOOKUP(O25,Tab_Def_Flows[Name(EN)],Tab_Def_Flows[Flow_ID],,0,)</f>
        <v>#N/A</v>
      </c>
      <c r="Q25" s="51" t="s">
        <v>230</v>
      </c>
      <c r="R25" s="52" t="e">
        <f>_xlfn.XLOOKUP(Q25,Tab_Def_Flows[Name(EN)],Tab_Def_Flows[Flow_ID],,0,)</f>
        <v>#N/A</v>
      </c>
      <c r="S25" s="51" t="s">
        <v>230</v>
      </c>
      <c r="T25" s="52" t="e">
        <f>_xlfn.XLOOKUP(S25,Tab_Def_Flows[Name(EN)],Tab_Def_Flows[Flow_ID],,0,)</f>
        <v>#N/A</v>
      </c>
      <c r="U25" s="51" t="s">
        <v>230</v>
      </c>
      <c r="V25" s="53" t="e">
        <f>_xlfn.XLOOKUP(U25,Tab_Def_Flows[Name(EN)],Tab_Def_Flows[Flow_ID],,0,)</f>
        <v>#N/A</v>
      </c>
      <c r="W25" s="51" t="s">
        <v>230</v>
      </c>
      <c r="X25" s="52" t="e">
        <f>_xlfn.XLOOKUP(W25,Tab_Def_Flows[Name(EN)],Tab_Def_Flows[Flow_ID],,0,)</f>
        <v>#N/A</v>
      </c>
      <c r="Y25" s="51" t="s">
        <v>230</v>
      </c>
      <c r="Z25" s="52" t="e">
        <f>_xlfn.XLOOKUP(Y25,Tab_Def_Flows[Name(EN)],Tab_Def_Flows[Flow_ID],,0,)</f>
        <v>#N/A</v>
      </c>
      <c r="AA25" s="51" t="s">
        <v>230</v>
      </c>
      <c r="AB25" s="52" t="e">
        <f>_xlfn.XLOOKUP(AA25,Tab_Def_Flows[Name(EN)],Tab_Def_Flows[Flow_ID],,0,)</f>
        <v>#N/A</v>
      </c>
      <c r="AC25" s="51" t="s">
        <v>230</v>
      </c>
      <c r="AD25" s="52" t="e">
        <f>_xlfn.XLOOKUP(AC25,Tab_Def_Flows[Name(EN)],Tab_Def_Flows[Flow_ID],,0,)</f>
        <v>#N/A</v>
      </c>
      <c r="AE25" s="51" t="s">
        <v>230</v>
      </c>
      <c r="AF25" s="52" t="e">
        <f>_xlfn.XLOOKUP(AE25,Tab_Def_Flows[Name(EN)],Tab_Def_Flows[Flow_ID],,0,)</f>
        <v>#N/A</v>
      </c>
      <c r="AG25" s="51" t="s">
        <v>230</v>
      </c>
      <c r="AH25" s="53" t="e">
        <f>_xlfn.XLOOKUP(AG25,Tab_Def_Flows[Name(EN)],Tab_Def_Flows[Flow_ID],,0,)</f>
        <v>#N/A</v>
      </c>
    </row>
    <row r="26" spans="1:34" x14ac:dyDescent="0.25">
      <c r="A26" s="93" t="b">
        <v>0</v>
      </c>
      <c r="B26" s="109" t="s">
        <v>423</v>
      </c>
      <c r="C26" s="49" t="str">
        <f t="shared" si="0"/>
        <v>24__</v>
      </c>
      <c r="D26" s="51"/>
      <c r="E26" s="88"/>
      <c r="F26" s="51"/>
      <c r="G26" s="51"/>
      <c r="H26" s="51"/>
      <c r="I26" s="88"/>
      <c r="J26" s="91"/>
      <c r="K26" s="51"/>
      <c r="L26" s="95"/>
      <c r="M26" s="51" t="s">
        <v>230</v>
      </c>
      <c r="N26" s="52" t="e">
        <f>_xlfn.XLOOKUP(M26,Tab_Def_Flows[Name(EN)],Tab_Def_Flows[Flow_ID],,0,)</f>
        <v>#N/A</v>
      </c>
      <c r="O26" s="51" t="s">
        <v>230</v>
      </c>
      <c r="P26" s="52" t="e">
        <f>_xlfn.XLOOKUP(O26,Tab_Def_Flows[Name(EN)],Tab_Def_Flows[Flow_ID],,0,)</f>
        <v>#N/A</v>
      </c>
      <c r="Q26" s="51" t="s">
        <v>230</v>
      </c>
      <c r="R26" s="52" t="e">
        <f>_xlfn.XLOOKUP(Q26,Tab_Def_Flows[Name(EN)],Tab_Def_Flows[Flow_ID],,0,)</f>
        <v>#N/A</v>
      </c>
      <c r="S26" s="51" t="s">
        <v>230</v>
      </c>
      <c r="T26" s="52" t="e">
        <f>_xlfn.XLOOKUP(S26,Tab_Def_Flows[Name(EN)],Tab_Def_Flows[Flow_ID],,0,)</f>
        <v>#N/A</v>
      </c>
      <c r="U26" s="51" t="s">
        <v>230</v>
      </c>
      <c r="V26" s="53" t="e">
        <f>_xlfn.XLOOKUP(U26,Tab_Def_Flows[Name(EN)],Tab_Def_Flows[Flow_ID],,0,)</f>
        <v>#N/A</v>
      </c>
      <c r="W26" s="51" t="s">
        <v>230</v>
      </c>
      <c r="X26" s="52" t="e">
        <f>_xlfn.XLOOKUP(W26,Tab_Def_Flows[Name(EN)],Tab_Def_Flows[Flow_ID],,0,)</f>
        <v>#N/A</v>
      </c>
      <c r="Y26" s="51" t="s">
        <v>230</v>
      </c>
      <c r="Z26" s="52" t="e">
        <f>_xlfn.XLOOKUP(Y26,Tab_Def_Flows[Name(EN)],Tab_Def_Flows[Flow_ID],,0,)</f>
        <v>#N/A</v>
      </c>
      <c r="AA26" s="51" t="s">
        <v>230</v>
      </c>
      <c r="AB26" s="52" t="e">
        <f>_xlfn.XLOOKUP(AA26,Tab_Def_Flows[Name(EN)],Tab_Def_Flows[Flow_ID],,0,)</f>
        <v>#N/A</v>
      </c>
      <c r="AC26" s="51" t="s">
        <v>230</v>
      </c>
      <c r="AD26" s="52" t="e">
        <f>_xlfn.XLOOKUP(AC26,Tab_Def_Flows[Name(EN)],Tab_Def_Flows[Flow_ID],,0,)</f>
        <v>#N/A</v>
      </c>
      <c r="AE26" s="51" t="s">
        <v>230</v>
      </c>
      <c r="AF26" s="52" t="e">
        <f>_xlfn.XLOOKUP(AE26,Tab_Def_Flows[Name(EN)],Tab_Def_Flows[Flow_ID],,0,)</f>
        <v>#N/A</v>
      </c>
      <c r="AG26" s="51" t="s">
        <v>230</v>
      </c>
      <c r="AH26" s="53" t="e">
        <f>_xlfn.XLOOKUP(AG26,Tab_Def_Flows[Name(EN)],Tab_Def_Flows[Flow_ID],,0,)</f>
        <v>#N/A</v>
      </c>
    </row>
    <row r="27" spans="1:34" x14ac:dyDescent="0.25">
      <c r="A27" s="93" t="b">
        <v>0</v>
      </c>
      <c r="B27" s="109" t="s">
        <v>424</v>
      </c>
      <c r="C27" s="49" t="str">
        <f t="shared" si="0"/>
        <v>25__</v>
      </c>
      <c r="D27" s="51"/>
      <c r="E27" s="88"/>
      <c r="F27" s="51"/>
      <c r="G27" s="51"/>
      <c r="H27" s="51"/>
      <c r="I27" s="88"/>
      <c r="J27" s="91"/>
      <c r="K27" s="51"/>
      <c r="L27" s="95"/>
      <c r="M27" s="51" t="s">
        <v>230</v>
      </c>
      <c r="N27" s="52" t="e">
        <f>_xlfn.XLOOKUP(M27,Tab_Def_Flows[Name(EN)],Tab_Def_Flows[Flow_ID],,0,)</f>
        <v>#N/A</v>
      </c>
      <c r="O27" s="51" t="s">
        <v>230</v>
      </c>
      <c r="P27" s="52" t="e">
        <f>_xlfn.XLOOKUP(O27,Tab_Def_Flows[Name(EN)],Tab_Def_Flows[Flow_ID],,0,)</f>
        <v>#N/A</v>
      </c>
      <c r="Q27" s="51" t="s">
        <v>230</v>
      </c>
      <c r="R27" s="52" t="e">
        <f>_xlfn.XLOOKUP(Q27,Tab_Def_Flows[Name(EN)],Tab_Def_Flows[Flow_ID],,0,)</f>
        <v>#N/A</v>
      </c>
      <c r="S27" s="51" t="s">
        <v>230</v>
      </c>
      <c r="T27" s="52" t="e">
        <f>_xlfn.XLOOKUP(S27,Tab_Def_Flows[Name(EN)],Tab_Def_Flows[Flow_ID],,0,)</f>
        <v>#N/A</v>
      </c>
      <c r="U27" s="51" t="s">
        <v>230</v>
      </c>
      <c r="V27" s="53" t="e">
        <f>_xlfn.XLOOKUP(U27,Tab_Def_Flows[Name(EN)],Tab_Def_Flows[Flow_ID],,0,)</f>
        <v>#N/A</v>
      </c>
      <c r="W27" s="51" t="s">
        <v>230</v>
      </c>
      <c r="X27" s="52" t="e">
        <f>_xlfn.XLOOKUP(W27,Tab_Def_Flows[Name(EN)],Tab_Def_Flows[Flow_ID],,0,)</f>
        <v>#N/A</v>
      </c>
      <c r="Y27" s="51" t="s">
        <v>230</v>
      </c>
      <c r="Z27" s="52" t="e">
        <f>_xlfn.XLOOKUP(Y27,Tab_Def_Flows[Name(EN)],Tab_Def_Flows[Flow_ID],,0,)</f>
        <v>#N/A</v>
      </c>
      <c r="AA27" s="51" t="s">
        <v>230</v>
      </c>
      <c r="AB27" s="52" t="e">
        <f>_xlfn.XLOOKUP(AA27,Tab_Def_Flows[Name(EN)],Tab_Def_Flows[Flow_ID],,0,)</f>
        <v>#N/A</v>
      </c>
      <c r="AC27" s="51" t="s">
        <v>230</v>
      </c>
      <c r="AD27" s="52" t="e">
        <f>_xlfn.XLOOKUP(AC27,Tab_Def_Flows[Name(EN)],Tab_Def_Flows[Flow_ID],,0,)</f>
        <v>#N/A</v>
      </c>
      <c r="AE27" s="51" t="s">
        <v>230</v>
      </c>
      <c r="AF27" s="52" t="e">
        <f>_xlfn.XLOOKUP(AE27,Tab_Def_Flows[Name(EN)],Tab_Def_Flows[Flow_ID],,0,)</f>
        <v>#N/A</v>
      </c>
      <c r="AG27" s="51" t="s">
        <v>230</v>
      </c>
      <c r="AH27" s="53" t="e">
        <f>_xlfn.XLOOKUP(AG27,Tab_Def_Flows[Name(EN)],Tab_Def_Flows[Flow_ID],,0,)</f>
        <v>#N/A</v>
      </c>
    </row>
    <row r="28" spans="1:34" x14ac:dyDescent="0.25">
      <c r="A28" s="93" t="b">
        <v>0</v>
      </c>
      <c r="B28" s="109" t="s">
        <v>425</v>
      </c>
      <c r="C28" s="49" t="str">
        <f t="shared" si="0"/>
        <v>26__</v>
      </c>
      <c r="D28" s="51"/>
      <c r="E28" s="88"/>
      <c r="F28" s="51"/>
      <c r="G28" s="51"/>
      <c r="H28" s="51"/>
      <c r="I28" s="88"/>
      <c r="J28" s="91"/>
      <c r="K28" s="51"/>
      <c r="L28" s="95"/>
      <c r="M28" s="51" t="s">
        <v>230</v>
      </c>
      <c r="N28" s="52" t="e">
        <f>_xlfn.XLOOKUP(M28,Tab_Def_Flows[Name(EN)],Tab_Def_Flows[Flow_ID],,0,)</f>
        <v>#N/A</v>
      </c>
      <c r="O28" s="51" t="s">
        <v>230</v>
      </c>
      <c r="P28" s="52" t="e">
        <f>_xlfn.XLOOKUP(O28,Tab_Def_Flows[Name(EN)],Tab_Def_Flows[Flow_ID],,0,)</f>
        <v>#N/A</v>
      </c>
      <c r="Q28" s="51" t="s">
        <v>230</v>
      </c>
      <c r="R28" s="52" t="e">
        <f>_xlfn.XLOOKUP(Q28,Tab_Def_Flows[Name(EN)],Tab_Def_Flows[Flow_ID],,0,)</f>
        <v>#N/A</v>
      </c>
      <c r="S28" s="51" t="s">
        <v>230</v>
      </c>
      <c r="T28" s="52" t="e">
        <f>_xlfn.XLOOKUP(S28,Tab_Def_Flows[Name(EN)],Tab_Def_Flows[Flow_ID],,0,)</f>
        <v>#N/A</v>
      </c>
      <c r="U28" s="51" t="s">
        <v>230</v>
      </c>
      <c r="V28" s="53" t="e">
        <f>_xlfn.XLOOKUP(U28,Tab_Def_Flows[Name(EN)],Tab_Def_Flows[Flow_ID],,0,)</f>
        <v>#N/A</v>
      </c>
      <c r="W28" s="51" t="s">
        <v>230</v>
      </c>
      <c r="X28" s="52" t="e">
        <f>_xlfn.XLOOKUP(W28,Tab_Def_Flows[Name(EN)],Tab_Def_Flows[Flow_ID],,0,)</f>
        <v>#N/A</v>
      </c>
      <c r="Y28" s="51" t="s">
        <v>230</v>
      </c>
      <c r="Z28" s="52" t="e">
        <f>_xlfn.XLOOKUP(Y28,Tab_Def_Flows[Name(EN)],Tab_Def_Flows[Flow_ID],,0,)</f>
        <v>#N/A</v>
      </c>
      <c r="AA28" s="51" t="s">
        <v>230</v>
      </c>
      <c r="AB28" s="52" t="e">
        <f>_xlfn.XLOOKUP(AA28,Tab_Def_Flows[Name(EN)],Tab_Def_Flows[Flow_ID],,0,)</f>
        <v>#N/A</v>
      </c>
      <c r="AC28" s="51" t="s">
        <v>230</v>
      </c>
      <c r="AD28" s="52" t="e">
        <f>_xlfn.XLOOKUP(AC28,Tab_Def_Flows[Name(EN)],Tab_Def_Flows[Flow_ID],,0,)</f>
        <v>#N/A</v>
      </c>
      <c r="AE28" s="51" t="s">
        <v>230</v>
      </c>
      <c r="AF28" s="52" t="e">
        <f>_xlfn.XLOOKUP(AE28,Tab_Def_Flows[Name(EN)],Tab_Def_Flows[Flow_ID],,0,)</f>
        <v>#N/A</v>
      </c>
      <c r="AG28" s="51" t="s">
        <v>230</v>
      </c>
      <c r="AH28" s="53" t="e">
        <f>_xlfn.XLOOKUP(AG28,Tab_Def_Flows[Name(EN)],Tab_Def_Flows[Flow_ID],,0,)</f>
        <v>#N/A</v>
      </c>
    </row>
    <row r="29" spans="1:34" x14ac:dyDescent="0.25">
      <c r="A29" s="93" t="b">
        <v>0</v>
      </c>
      <c r="B29" s="109" t="s">
        <v>426</v>
      </c>
      <c r="C29" s="49" t="str">
        <f t="shared" si="0"/>
        <v>27__</v>
      </c>
      <c r="D29" s="51"/>
      <c r="E29" s="88"/>
      <c r="F29" s="51"/>
      <c r="G29" s="51"/>
      <c r="H29" s="51"/>
      <c r="I29" s="88"/>
      <c r="J29" s="91"/>
      <c r="K29" s="51"/>
      <c r="L29" s="95"/>
      <c r="M29" s="51" t="s">
        <v>230</v>
      </c>
      <c r="N29" s="52" t="e">
        <f>_xlfn.XLOOKUP(M29,Tab_Def_Flows[Name(EN)],Tab_Def_Flows[Flow_ID],,0,)</f>
        <v>#N/A</v>
      </c>
      <c r="O29" s="51" t="s">
        <v>230</v>
      </c>
      <c r="P29" s="52" t="e">
        <f>_xlfn.XLOOKUP(O29,Tab_Def_Flows[Name(EN)],Tab_Def_Flows[Flow_ID],,0,)</f>
        <v>#N/A</v>
      </c>
      <c r="Q29" s="51" t="s">
        <v>230</v>
      </c>
      <c r="R29" s="52" t="e">
        <f>_xlfn.XLOOKUP(Q29,Tab_Def_Flows[Name(EN)],Tab_Def_Flows[Flow_ID],,0,)</f>
        <v>#N/A</v>
      </c>
      <c r="S29" s="51" t="s">
        <v>230</v>
      </c>
      <c r="T29" s="52" t="e">
        <f>_xlfn.XLOOKUP(S29,Tab_Def_Flows[Name(EN)],Tab_Def_Flows[Flow_ID],,0,)</f>
        <v>#N/A</v>
      </c>
      <c r="U29" s="51" t="s">
        <v>230</v>
      </c>
      <c r="V29" s="53" t="e">
        <f>_xlfn.XLOOKUP(U29,Tab_Def_Flows[Name(EN)],Tab_Def_Flows[Flow_ID],,0,)</f>
        <v>#N/A</v>
      </c>
      <c r="W29" s="51" t="s">
        <v>230</v>
      </c>
      <c r="X29" s="52" t="e">
        <f>_xlfn.XLOOKUP(W29,Tab_Def_Flows[Name(EN)],Tab_Def_Flows[Flow_ID],,0,)</f>
        <v>#N/A</v>
      </c>
      <c r="Y29" s="51" t="s">
        <v>230</v>
      </c>
      <c r="Z29" s="52" t="e">
        <f>_xlfn.XLOOKUP(Y29,Tab_Def_Flows[Name(EN)],Tab_Def_Flows[Flow_ID],,0,)</f>
        <v>#N/A</v>
      </c>
      <c r="AA29" s="51" t="s">
        <v>230</v>
      </c>
      <c r="AB29" s="52" t="e">
        <f>_xlfn.XLOOKUP(AA29,Tab_Def_Flows[Name(EN)],Tab_Def_Flows[Flow_ID],,0,)</f>
        <v>#N/A</v>
      </c>
      <c r="AC29" s="51" t="s">
        <v>230</v>
      </c>
      <c r="AD29" s="52" t="e">
        <f>_xlfn.XLOOKUP(AC29,Tab_Def_Flows[Name(EN)],Tab_Def_Flows[Flow_ID],,0,)</f>
        <v>#N/A</v>
      </c>
      <c r="AE29" s="51" t="s">
        <v>230</v>
      </c>
      <c r="AF29" s="52" t="e">
        <f>_xlfn.XLOOKUP(AE29,Tab_Def_Flows[Name(EN)],Tab_Def_Flows[Flow_ID],,0,)</f>
        <v>#N/A</v>
      </c>
      <c r="AG29" s="51" t="s">
        <v>230</v>
      </c>
      <c r="AH29" s="53" t="e">
        <f>_xlfn.XLOOKUP(AG29,Tab_Def_Flows[Name(EN)],Tab_Def_Flows[Flow_ID],,0,)</f>
        <v>#N/A</v>
      </c>
    </row>
    <row r="30" spans="1:34" x14ac:dyDescent="0.25">
      <c r="A30" s="93" t="b">
        <v>0</v>
      </c>
      <c r="B30" s="109" t="s">
        <v>427</v>
      </c>
      <c r="C30" s="49" t="str">
        <f t="shared" si="0"/>
        <v>28__</v>
      </c>
      <c r="D30" s="51"/>
      <c r="E30" s="88"/>
      <c r="F30" s="51"/>
      <c r="G30" s="51"/>
      <c r="H30" s="51"/>
      <c r="I30" s="88"/>
      <c r="J30" s="91"/>
      <c r="K30" s="51"/>
      <c r="L30" s="95"/>
      <c r="M30" s="51" t="s">
        <v>230</v>
      </c>
      <c r="N30" s="52" t="e">
        <f>_xlfn.XLOOKUP(M30,Tab_Def_Flows[Name(EN)],Tab_Def_Flows[Flow_ID],,0,)</f>
        <v>#N/A</v>
      </c>
      <c r="O30" s="51" t="s">
        <v>230</v>
      </c>
      <c r="P30" s="52" t="e">
        <f>_xlfn.XLOOKUP(O30,Tab_Def_Flows[Name(EN)],Tab_Def_Flows[Flow_ID],,0,)</f>
        <v>#N/A</v>
      </c>
      <c r="Q30" s="51" t="s">
        <v>230</v>
      </c>
      <c r="R30" s="52" t="e">
        <f>_xlfn.XLOOKUP(Q30,Tab_Def_Flows[Name(EN)],Tab_Def_Flows[Flow_ID],,0,)</f>
        <v>#N/A</v>
      </c>
      <c r="S30" s="51" t="s">
        <v>230</v>
      </c>
      <c r="T30" s="52" t="e">
        <f>_xlfn.XLOOKUP(S30,Tab_Def_Flows[Name(EN)],Tab_Def_Flows[Flow_ID],,0,)</f>
        <v>#N/A</v>
      </c>
      <c r="U30" s="51" t="s">
        <v>230</v>
      </c>
      <c r="V30" s="53" t="e">
        <f>_xlfn.XLOOKUP(U30,Tab_Def_Flows[Name(EN)],Tab_Def_Flows[Flow_ID],,0,)</f>
        <v>#N/A</v>
      </c>
      <c r="W30" s="51" t="s">
        <v>230</v>
      </c>
      <c r="X30" s="52" t="e">
        <f>_xlfn.XLOOKUP(W30,Tab_Def_Flows[Name(EN)],Tab_Def_Flows[Flow_ID],,0,)</f>
        <v>#N/A</v>
      </c>
      <c r="Y30" s="51" t="s">
        <v>230</v>
      </c>
      <c r="Z30" s="52" t="e">
        <f>_xlfn.XLOOKUP(Y30,Tab_Def_Flows[Name(EN)],Tab_Def_Flows[Flow_ID],,0,)</f>
        <v>#N/A</v>
      </c>
      <c r="AA30" s="51" t="s">
        <v>230</v>
      </c>
      <c r="AB30" s="52" t="e">
        <f>_xlfn.XLOOKUP(AA30,Tab_Def_Flows[Name(EN)],Tab_Def_Flows[Flow_ID],,0,)</f>
        <v>#N/A</v>
      </c>
      <c r="AC30" s="51" t="s">
        <v>230</v>
      </c>
      <c r="AD30" s="52" t="e">
        <f>_xlfn.XLOOKUP(AC30,Tab_Def_Flows[Name(EN)],Tab_Def_Flows[Flow_ID],,0,)</f>
        <v>#N/A</v>
      </c>
      <c r="AE30" s="51" t="s">
        <v>230</v>
      </c>
      <c r="AF30" s="52" t="e">
        <f>_xlfn.XLOOKUP(AE30,Tab_Def_Flows[Name(EN)],Tab_Def_Flows[Flow_ID],,0,)</f>
        <v>#N/A</v>
      </c>
      <c r="AG30" s="51" t="s">
        <v>230</v>
      </c>
      <c r="AH30" s="53" t="e">
        <f>_xlfn.XLOOKUP(AG30,Tab_Def_Flows[Name(EN)],Tab_Def_Flows[Flow_ID],,0,)</f>
        <v>#N/A</v>
      </c>
    </row>
    <row r="31" spans="1:34" x14ac:dyDescent="0.25">
      <c r="A31" s="93" t="b">
        <v>0</v>
      </c>
      <c r="B31" s="109" t="s">
        <v>428</v>
      </c>
      <c r="C31" s="49" t="str">
        <f t="shared" si="0"/>
        <v>29__</v>
      </c>
      <c r="D31" s="51"/>
      <c r="E31" s="88"/>
      <c r="F31" s="51"/>
      <c r="G31" s="51"/>
      <c r="H31" s="51"/>
      <c r="I31" s="88"/>
      <c r="J31" s="91"/>
      <c r="K31" s="51"/>
      <c r="L31" s="95"/>
      <c r="M31" s="51" t="s">
        <v>230</v>
      </c>
      <c r="N31" s="52" t="e">
        <f>_xlfn.XLOOKUP(M31,Tab_Def_Flows[Name(EN)],Tab_Def_Flows[Flow_ID],,0,)</f>
        <v>#N/A</v>
      </c>
      <c r="O31" s="51" t="s">
        <v>230</v>
      </c>
      <c r="P31" s="52" t="e">
        <f>_xlfn.XLOOKUP(O31,Tab_Def_Flows[Name(EN)],Tab_Def_Flows[Flow_ID],,0,)</f>
        <v>#N/A</v>
      </c>
      <c r="Q31" s="51" t="s">
        <v>230</v>
      </c>
      <c r="R31" s="52" t="e">
        <f>_xlfn.XLOOKUP(Q31,Tab_Def_Flows[Name(EN)],Tab_Def_Flows[Flow_ID],,0,)</f>
        <v>#N/A</v>
      </c>
      <c r="S31" s="51" t="s">
        <v>230</v>
      </c>
      <c r="T31" s="52" t="e">
        <f>_xlfn.XLOOKUP(S31,Tab_Def_Flows[Name(EN)],Tab_Def_Flows[Flow_ID],,0,)</f>
        <v>#N/A</v>
      </c>
      <c r="U31" s="51" t="s">
        <v>230</v>
      </c>
      <c r="V31" s="53" t="e">
        <f>_xlfn.XLOOKUP(U31,Tab_Def_Flows[Name(EN)],Tab_Def_Flows[Flow_ID],,0,)</f>
        <v>#N/A</v>
      </c>
      <c r="W31" s="51" t="s">
        <v>230</v>
      </c>
      <c r="X31" s="52" t="e">
        <f>_xlfn.XLOOKUP(W31,Tab_Def_Flows[Name(EN)],Tab_Def_Flows[Flow_ID],,0,)</f>
        <v>#N/A</v>
      </c>
      <c r="Y31" s="51" t="s">
        <v>230</v>
      </c>
      <c r="Z31" s="52" t="e">
        <f>_xlfn.XLOOKUP(Y31,Tab_Def_Flows[Name(EN)],Tab_Def_Flows[Flow_ID],,0,)</f>
        <v>#N/A</v>
      </c>
      <c r="AA31" s="51" t="s">
        <v>230</v>
      </c>
      <c r="AB31" s="52" t="e">
        <f>_xlfn.XLOOKUP(AA31,Tab_Def_Flows[Name(EN)],Tab_Def_Flows[Flow_ID],,0,)</f>
        <v>#N/A</v>
      </c>
      <c r="AC31" s="51" t="s">
        <v>230</v>
      </c>
      <c r="AD31" s="52" t="e">
        <f>_xlfn.XLOOKUP(AC31,Tab_Def_Flows[Name(EN)],Tab_Def_Flows[Flow_ID],,0,)</f>
        <v>#N/A</v>
      </c>
      <c r="AE31" s="51" t="s">
        <v>230</v>
      </c>
      <c r="AF31" s="52" t="e">
        <f>_xlfn.XLOOKUP(AE31,Tab_Def_Flows[Name(EN)],Tab_Def_Flows[Flow_ID],,0,)</f>
        <v>#N/A</v>
      </c>
      <c r="AG31" s="51" t="s">
        <v>230</v>
      </c>
      <c r="AH31" s="53" t="e">
        <f>_xlfn.XLOOKUP(AG31,Tab_Def_Flows[Name(EN)],Tab_Def_Flows[Flow_ID],,0,)</f>
        <v>#N/A</v>
      </c>
    </row>
    <row r="32" spans="1:34" x14ac:dyDescent="0.25">
      <c r="A32" s="93" t="b">
        <v>0</v>
      </c>
      <c r="B32" s="109" t="s">
        <v>429</v>
      </c>
      <c r="C32" s="49" t="str">
        <f t="shared" si="0"/>
        <v>30__</v>
      </c>
      <c r="D32" s="51"/>
      <c r="E32" s="88"/>
      <c r="F32" s="51"/>
      <c r="G32" s="51"/>
      <c r="H32" s="51"/>
      <c r="I32" s="88"/>
      <c r="J32" s="91"/>
      <c r="K32" s="51"/>
      <c r="L32" s="95"/>
      <c r="M32" s="51" t="s">
        <v>230</v>
      </c>
      <c r="N32" s="52" t="e">
        <f>_xlfn.XLOOKUP(M32,Tab_Def_Flows[Name(EN)],Tab_Def_Flows[Flow_ID],,0,)</f>
        <v>#N/A</v>
      </c>
      <c r="O32" s="51" t="s">
        <v>230</v>
      </c>
      <c r="P32" s="52" t="e">
        <f>_xlfn.XLOOKUP(O32,Tab_Def_Flows[Name(EN)],Tab_Def_Flows[Flow_ID],,0,)</f>
        <v>#N/A</v>
      </c>
      <c r="Q32" s="51" t="s">
        <v>230</v>
      </c>
      <c r="R32" s="52" t="e">
        <f>_xlfn.XLOOKUP(Q32,Tab_Def_Flows[Name(EN)],Tab_Def_Flows[Flow_ID],,0,)</f>
        <v>#N/A</v>
      </c>
      <c r="S32" s="51" t="s">
        <v>230</v>
      </c>
      <c r="T32" s="52" t="e">
        <f>_xlfn.XLOOKUP(S32,Tab_Def_Flows[Name(EN)],Tab_Def_Flows[Flow_ID],,0,)</f>
        <v>#N/A</v>
      </c>
      <c r="U32" s="51" t="s">
        <v>230</v>
      </c>
      <c r="V32" s="53" t="e">
        <f>_xlfn.XLOOKUP(U32,Tab_Def_Flows[Name(EN)],Tab_Def_Flows[Flow_ID],,0,)</f>
        <v>#N/A</v>
      </c>
      <c r="W32" s="51" t="s">
        <v>230</v>
      </c>
      <c r="X32" s="52" t="e">
        <f>_xlfn.XLOOKUP(W32,Tab_Def_Flows[Name(EN)],Tab_Def_Flows[Flow_ID],,0,)</f>
        <v>#N/A</v>
      </c>
      <c r="Y32" s="51" t="s">
        <v>230</v>
      </c>
      <c r="Z32" s="52" t="e">
        <f>_xlfn.XLOOKUP(Y32,Tab_Def_Flows[Name(EN)],Tab_Def_Flows[Flow_ID],,0,)</f>
        <v>#N/A</v>
      </c>
      <c r="AA32" s="51" t="s">
        <v>230</v>
      </c>
      <c r="AB32" s="52" t="e">
        <f>_xlfn.XLOOKUP(AA32,Tab_Def_Flows[Name(EN)],Tab_Def_Flows[Flow_ID],,0,)</f>
        <v>#N/A</v>
      </c>
      <c r="AC32" s="51" t="s">
        <v>230</v>
      </c>
      <c r="AD32" s="52" t="e">
        <f>_xlfn.XLOOKUP(AC32,Tab_Def_Flows[Name(EN)],Tab_Def_Flows[Flow_ID],,0,)</f>
        <v>#N/A</v>
      </c>
      <c r="AE32" s="51" t="s">
        <v>230</v>
      </c>
      <c r="AF32" s="52" t="e">
        <f>_xlfn.XLOOKUP(AE32,Tab_Def_Flows[Name(EN)],Tab_Def_Flows[Flow_ID],,0,)</f>
        <v>#N/A</v>
      </c>
      <c r="AG32" s="51" t="s">
        <v>230</v>
      </c>
      <c r="AH32" s="53" t="e">
        <f>_xlfn.XLOOKUP(AG32,Tab_Def_Flows[Name(EN)],Tab_Def_Flows[Flow_ID],,0,)</f>
        <v>#N/A</v>
      </c>
    </row>
    <row r="33" spans="1:34" x14ac:dyDescent="0.25">
      <c r="A33" s="93" t="b">
        <v>0</v>
      </c>
      <c r="B33" s="109" t="s">
        <v>430</v>
      </c>
      <c r="C33" s="49" t="str">
        <f t="shared" si="0"/>
        <v>31__</v>
      </c>
      <c r="D33" s="51"/>
      <c r="E33" s="88"/>
      <c r="F33" s="51"/>
      <c r="G33" s="51"/>
      <c r="H33" s="51"/>
      <c r="I33" s="88"/>
      <c r="J33" s="91"/>
      <c r="K33" s="51"/>
      <c r="L33" s="95"/>
      <c r="M33" s="51" t="s">
        <v>230</v>
      </c>
      <c r="N33" s="52" t="e">
        <f>_xlfn.XLOOKUP(M33,Tab_Def_Flows[Name(EN)],Tab_Def_Flows[Flow_ID],,0,)</f>
        <v>#N/A</v>
      </c>
      <c r="O33" s="51" t="s">
        <v>230</v>
      </c>
      <c r="P33" s="52" t="e">
        <f>_xlfn.XLOOKUP(O33,Tab_Def_Flows[Name(EN)],Tab_Def_Flows[Flow_ID],,0,)</f>
        <v>#N/A</v>
      </c>
      <c r="Q33" s="51" t="s">
        <v>230</v>
      </c>
      <c r="R33" s="52" t="e">
        <f>_xlfn.XLOOKUP(Q33,Tab_Def_Flows[Name(EN)],Tab_Def_Flows[Flow_ID],,0,)</f>
        <v>#N/A</v>
      </c>
      <c r="S33" s="51" t="s">
        <v>230</v>
      </c>
      <c r="T33" s="52" t="e">
        <f>_xlfn.XLOOKUP(S33,Tab_Def_Flows[Name(EN)],Tab_Def_Flows[Flow_ID],,0,)</f>
        <v>#N/A</v>
      </c>
      <c r="U33" s="51" t="s">
        <v>230</v>
      </c>
      <c r="V33" s="53" t="e">
        <f>_xlfn.XLOOKUP(U33,Tab_Def_Flows[Name(EN)],Tab_Def_Flows[Flow_ID],,0,)</f>
        <v>#N/A</v>
      </c>
      <c r="W33" s="51" t="s">
        <v>230</v>
      </c>
      <c r="X33" s="52" t="e">
        <f>_xlfn.XLOOKUP(W33,Tab_Def_Flows[Name(EN)],Tab_Def_Flows[Flow_ID],,0,)</f>
        <v>#N/A</v>
      </c>
      <c r="Y33" s="51" t="s">
        <v>230</v>
      </c>
      <c r="Z33" s="52" t="e">
        <f>_xlfn.XLOOKUP(Y33,Tab_Def_Flows[Name(EN)],Tab_Def_Flows[Flow_ID],,0,)</f>
        <v>#N/A</v>
      </c>
      <c r="AA33" s="51" t="s">
        <v>230</v>
      </c>
      <c r="AB33" s="52" t="e">
        <f>_xlfn.XLOOKUP(AA33,Tab_Def_Flows[Name(EN)],Tab_Def_Flows[Flow_ID],,0,)</f>
        <v>#N/A</v>
      </c>
      <c r="AC33" s="51" t="s">
        <v>230</v>
      </c>
      <c r="AD33" s="52" t="e">
        <f>_xlfn.XLOOKUP(AC33,Tab_Def_Flows[Name(EN)],Tab_Def_Flows[Flow_ID],,0,)</f>
        <v>#N/A</v>
      </c>
      <c r="AE33" s="51" t="s">
        <v>230</v>
      </c>
      <c r="AF33" s="52" t="e">
        <f>_xlfn.XLOOKUP(AE33,Tab_Def_Flows[Name(EN)],Tab_Def_Flows[Flow_ID],,0,)</f>
        <v>#N/A</v>
      </c>
      <c r="AG33" s="51" t="s">
        <v>230</v>
      </c>
      <c r="AH33" s="53" t="e">
        <f>_xlfn.XLOOKUP(AG33,Tab_Def_Flows[Name(EN)],Tab_Def_Flows[Flow_ID],,0,)</f>
        <v>#N/A</v>
      </c>
    </row>
    <row r="34" spans="1:34" x14ac:dyDescent="0.25">
      <c r="A34" s="93" t="b">
        <v>0</v>
      </c>
      <c r="B34" s="109" t="s">
        <v>431</v>
      </c>
      <c r="C34" s="49" t="str">
        <f t="shared" si="0"/>
        <v>32__</v>
      </c>
      <c r="D34" s="51"/>
      <c r="E34" s="88"/>
      <c r="F34" s="51"/>
      <c r="G34" s="51"/>
      <c r="H34" s="51"/>
      <c r="I34" s="88"/>
      <c r="J34" s="91"/>
      <c r="K34" s="51"/>
      <c r="L34" s="95"/>
      <c r="M34" s="51" t="s">
        <v>230</v>
      </c>
      <c r="N34" s="52" t="e">
        <f>_xlfn.XLOOKUP(M34,Tab_Def_Flows[Name(EN)],Tab_Def_Flows[Flow_ID],,0,)</f>
        <v>#N/A</v>
      </c>
      <c r="O34" s="51" t="s">
        <v>230</v>
      </c>
      <c r="P34" s="52" t="e">
        <f>_xlfn.XLOOKUP(O34,Tab_Def_Flows[Name(EN)],Tab_Def_Flows[Flow_ID],,0,)</f>
        <v>#N/A</v>
      </c>
      <c r="Q34" s="51" t="s">
        <v>230</v>
      </c>
      <c r="R34" s="52" t="e">
        <f>_xlfn.XLOOKUP(Q34,Tab_Def_Flows[Name(EN)],Tab_Def_Flows[Flow_ID],,0,)</f>
        <v>#N/A</v>
      </c>
      <c r="S34" s="51" t="s">
        <v>230</v>
      </c>
      <c r="T34" s="52" t="e">
        <f>_xlfn.XLOOKUP(S34,Tab_Def_Flows[Name(EN)],Tab_Def_Flows[Flow_ID],,0,)</f>
        <v>#N/A</v>
      </c>
      <c r="U34" s="51" t="s">
        <v>230</v>
      </c>
      <c r="V34" s="53" t="e">
        <f>_xlfn.XLOOKUP(U34,Tab_Def_Flows[Name(EN)],Tab_Def_Flows[Flow_ID],,0,)</f>
        <v>#N/A</v>
      </c>
      <c r="W34" s="51" t="s">
        <v>230</v>
      </c>
      <c r="X34" s="52" t="e">
        <f>_xlfn.XLOOKUP(W34,Tab_Def_Flows[Name(EN)],Tab_Def_Flows[Flow_ID],,0,)</f>
        <v>#N/A</v>
      </c>
      <c r="Y34" s="51" t="s">
        <v>230</v>
      </c>
      <c r="Z34" s="52" t="e">
        <f>_xlfn.XLOOKUP(Y34,Tab_Def_Flows[Name(EN)],Tab_Def_Flows[Flow_ID],,0,)</f>
        <v>#N/A</v>
      </c>
      <c r="AA34" s="51" t="s">
        <v>230</v>
      </c>
      <c r="AB34" s="52" t="e">
        <f>_xlfn.XLOOKUP(AA34,Tab_Def_Flows[Name(EN)],Tab_Def_Flows[Flow_ID],,0,)</f>
        <v>#N/A</v>
      </c>
      <c r="AC34" s="51" t="s">
        <v>230</v>
      </c>
      <c r="AD34" s="52" t="e">
        <f>_xlfn.XLOOKUP(AC34,Tab_Def_Flows[Name(EN)],Tab_Def_Flows[Flow_ID],,0,)</f>
        <v>#N/A</v>
      </c>
      <c r="AE34" s="51" t="s">
        <v>230</v>
      </c>
      <c r="AF34" s="52" t="e">
        <f>_xlfn.XLOOKUP(AE34,Tab_Def_Flows[Name(EN)],Tab_Def_Flows[Flow_ID],,0,)</f>
        <v>#N/A</v>
      </c>
      <c r="AG34" s="51" t="s">
        <v>230</v>
      </c>
      <c r="AH34" s="53" t="e">
        <f>_xlfn.XLOOKUP(AG34,Tab_Def_Flows[Name(EN)],Tab_Def_Flows[Flow_ID],,0,)</f>
        <v>#N/A</v>
      </c>
    </row>
    <row r="35" spans="1:34" x14ac:dyDescent="0.25">
      <c r="A35" s="93" t="b">
        <v>0</v>
      </c>
      <c r="B35" s="109" t="s">
        <v>432</v>
      </c>
      <c r="C35" s="49" t="str">
        <f t="shared" si="0"/>
        <v>33__</v>
      </c>
      <c r="D35" s="51"/>
      <c r="E35" s="88"/>
      <c r="F35" s="51"/>
      <c r="G35" s="51"/>
      <c r="H35" s="51"/>
      <c r="I35" s="88"/>
      <c r="J35" s="91"/>
      <c r="K35" s="51"/>
      <c r="L35" s="95"/>
      <c r="M35" s="51" t="s">
        <v>230</v>
      </c>
      <c r="N35" s="52" t="e">
        <f>_xlfn.XLOOKUP(M35,Tab_Def_Flows[Name(EN)],Tab_Def_Flows[Flow_ID],,0,)</f>
        <v>#N/A</v>
      </c>
      <c r="O35" s="51" t="s">
        <v>230</v>
      </c>
      <c r="P35" s="52" t="e">
        <f>_xlfn.XLOOKUP(O35,Tab_Def_Flows[Name(EN)],Tab_Def_Flows[Flow_ID],,0,)</f>
        <v>#N/A</v>
      </c>
      <c r="Q35" s="51" t="s">
        <v>230</v>
      </c>
      <c r="R35" s="52" t="e">
        <f>_xlfn.XLOOKUP(Q35,Tab_Def_Flows[Name(EN)],Tab_Def_Flows[Flow_ID],,0,)</f>
        <v>#N/A</v>
      </c>
      <c r="S35" s="51" t="s">
        <v>230</v>
      </c>
      <c r="T35" s="52" t="e">
        <f>_xlfn.XLOOKUP(S35,Tab_Def_Flows[Name(EN)],Tab_Def_Flows[Flow_ID],,0,)</f>
        <v>#N/A</v>
      </c>
      <c r="U35" s="51" t="s">
        <v>230</v>
      </c>
      <c r="V35" s="53" t="e">
        <f>_xlfn.XLOOKUP(U35,Tab_Def_Flows[Name(EN)],Tab_Def_Flows[Flow_ID],,0,)</f>
        <v>#N/A</v>
      </c>
      <c r="W35" s="51" t="s">
        <v>230</v>
      </c>
      <c r="X35" s="52" t="e">
        <f>_xlfn.XLOOKUP(W35,Tab_Def_Flows[Name(EN)],Tab_Def_Flows[Flow_ID],,0,)</f>
        <v>#N/A</v>
      </c>
      <c r="Y35" s="51" t="s">
        <v>230</v>
      </c>
      <c r="Z35" s="52" t="e">
        <f>_xlfn.XLOOKUP(Y35,Tab_Def_Flows[Name(EN)],Tab_Def_Flows[Flow_ID],,0,)</f>
        <v>#N/A</v>
      </c>
      <c r="AA35" s="51" t="s">
        <v>230</v>
      </c>
      <c r="AB35" s="52" t="e">
        <f>_xlfn.XLOOKUP(AA35,Tab_Def_Flows[Name(EN)],Tab_Def_Flows[Flow_ID],,0,)</f>
        <v>#N/A</v>
      </c>
      <c r="AC35" s="51" t="s">
        <v>230</v>
      </c>
      <c r="AD35" s="52" t="e">
        <f>_xlfn.XLOOKUP(AC35,Tab_Def_Flows[Name(EN)],Tab_Def_Flows[Flow_ID],,0,)</f>
        <v>#N/A</v>
      </c>
      <c r="AE35" s="51" t="s">
        <v>230</v>
      </c>
      <c r="AF35" s="52" t="e">
        <f>_xlfn.XLOOKUP(AE35,Tab_Def_Flows[Name(EN)],Tab_Def_Flows[Flow_ID],,0,)</f>
        <v>#N/A</v>
      </c>
      <c r="AG35" s="51" t="s">
        <v>230</v>
      </c>
      <c r="AH35" s="53" t="e">
        <f>_xlfn.XLOOKUP(AG35,Tab_Def_Flows[Name(EN)],Tab_Def_Flows[Flow_ID],,0,)</f>
        <v>#N/A</v>
      </c>
    </row>
    <row r="36" spans="1:34" x14ac:dyDescent="0.25">
      <c r="A36" s="93" t="b">
        <v>0</v>
      </c>
      <c r="B36" s="109" t="s">
        <v>433</v>
      </c>
      <c r="C36" s="49" t="str">
        <f t="shared" si="0"/>
        <v>34__</v>
      </c>
      <c r="D36" s="51"/>
      <c r="E36" s="88"/>
      <c r="F36" s="51"/>
      <c r="G36" s="51"/>
      <c r="H36" s="51"/>
      <c r="I36" s="88"/>
      <c r="J36" s="91"/>
      <c r="K36" s="51"/>
      <c r="L36" s="95"/>
      <c r="M36" s="51" t="s">
        <v>230</v>
      </c>
      <c r="N36" s="52" t="e">
        <f>_xlfn.XLOOKUP(M36,Tab_Def_Flows[Name(EN)],Tab_Def_Flows[Flow_ID],,0,)</f>
        <v>#N/A</v>
      </c>
      <c r="O36" s="51" t="s">
        <v>230</v>
      </c>
      <c r="P36" s="52" t="e">
        <f>_xlfn.XLOOKUP(O36,Tab_Def_Flows[Name(EN)],Tab_Def_Flows[Flow_ID],,0,)</f>
        <v>#N/A</v>
      </c>
      <c r="Q36" s="51" t="s">
        <v>230</v>
      </c>
      <c r="R36" s="52" t="e">
        <f>_xlfn.XLOOKUP(Q36,Tab_Def_Flows[Name(EN)],Tab_Def_Flows[Flow_ID],,0,)</f>
        <v>#N/A</v>
      </c>
      <c r="S36" s="51" t="s">
        <v>230</v>
      </c>
      <c r="T36" s="52" t="e">
        <f>_xlfn.XLOOKUP(S36,Tab_Def_Flows[Name(EN)],Tab_Def_Flows[Flow_ID],,0,)</f>
        <v>#N/A</v>
      </c>
      <c r="U36" s="51" t="s">
        <v>230</v>
      </c>
      <c r="V36" s="53" t="e">
        <f>_xlfn.XLOOKUP(U36,Tab_Def_Flows[Name(EN)],Tab_Def_Flows[Flow_ID],,0,)</f>
        <v>#N/A</v>
      </c>
      <c r="W36" s="51" t="s">
        <v>230</v>
      </c>
      <c r="X36" s="52" t="e">
        <f>_xlfn.XLOOKUP(W36,Tab_Def_Flows[Name(EN)],Tab_Def_Flows[Flow_ID],,0,)</f>
        <v>#N/A</v>
      </c>
      <c r="Y36" s="51" t="s">
        <v>230</v>
      </c>
      <c r="Z36" s="52" t="e">
        <f>_xlfn.XLOOKUP(Y36,Tab_Def_Flows[Name(EN)],Tab_Def_Flows[Flow_ID],,0,)</f>
        <v>#N/A</v>
      </c>
      <c r="AA36" s="51" t="s">
        <v>230</v>
      </c>
      <c r="AB36" s="52" t="e">
        <f>_xlfn.XLOOKUP(AA36,Tab_Def_Flows[Name(EN)],Tab_Def_Flows[Flow_ID],,0,)</f>
        <v>#N/A</v>
      </c>
      <c r="AC36" s="51" t="s">
        <v>230</v>
      </c>
      <c r="AD36" s="52" t="e">
        <f>_xlfn.XLOOKUP(AC36,Tab_Def_Flows[Name(EN)],Tab_Def_Flows[Flow_ID],,0,)</f>
        <v>#N/A</v>
      </c>
      <c r="AE36" s="51" t="s">
        <v>230</v>
      </c>
      <c r="AF36" s="52" t="e">
        <f>_xlfn.XLOOKUP(AE36,Tab_Def_Flows[Name(EN)],Tab_Def_Flows[Flow_ID],,0,)</f>
        <v>#N/A</v>
      </c>
      <c r="AG36" s="51" t="s">
        <v>230</v>
      </c>
      <c r="AH36" s="53" t="e">
        <f>_xlfn.XLOOKUP(AG36,Tab_Def_Flows[Name(EN)],Tab_Def_Flows[Flow_ID],,0,)</f>
        <v>#N/A</v>
      </c>
    </row>
    <row r="37" spans="1:34" x14ac:dyDescent="0.25">
      <c r="A37" s="93" t="b">
        <v>0</v>
      </c>
      <c r="B37" s="109" t="s">
        <v>434</v>
      </c>
      <c r="C37" s="49" t="str">
        <f t="shared" si="0"/>
        <v>35__</v>
      </c>
      <c r="D37" s="51"/>
      <c r="E37" s="88"/>
      <c r="F37" s="51"/>
      <c r="G37" s="51"/>
      <c r="H37" s="51"/>
      <c r="I37" s="88"/>
      <c r="J37" s="91"/>
      <c r="K37" s="51"/>
      <c r="L37" s="95"/>
      <c r="M37" s="51" t="s">
        <v>230</v>
      </c>
      <c r="N37" s="52" t="e">
        <f>_xlfn.XLOOKUP(M37,Tab_Def_Flows[Name(EN)],Tab_Def_Flows[Flow_ID],,0,)</f>
        <v>#N/A</v>
      </c>
      <c r="O37" s="51" t="s">
        <v>230</v>
      </c>
      <c r="P37" s="52" t="e">
        <f>_xlfn.XLOOKUP(O37,Tab_Def_Flows[Name(EN)],Tab_Def_Flows[Flow_ID],,0,)</f>
        <v>#N/A</v>
      </c>
      <c r="Q37" s="51" t="s">
        <v>230</v>
      </c>
      <c r="R37" s="52" t="e">
        <f>_xlfn.XLOOKUP(Q37,Tab_Def_Flows[Name(EN)],Tab_Def_Flows[Flow_ID],,0,)</f>
        <v>#N/A</v>
      </c>
      <c r="S37" s="51" t="s">
        <v>230</v>
      </c>
      <c r="T37" s="52" t="e">
        <f>_xlfn.XLOOKUP(S37,Tab_Def_Flows[Name(EN)],Tab_Def_Flows[Flow_ID],,0,)</f>
        <v>#N/A</v>
      </c>
      <c r="U37" s="51" t="s">
        <v>230</v>
      </c>
      <c r="V37" s="53" t="e">
        <f>_xlfn.XLOOKUP(U37,Tab_Def_Flows[Name(EN)],Tab_Def_Flows[Flow_ID],,0,)</f>
        <v>#N/A</v>
      </c>
      <c r="W37" s="51" t="s">
        <v>230</v>
      </c>
      <c r="X37" s="52" t="e">
        <f>_xlfn.XLOOKUP(W37,Tab_Def_Flows[Name(EN)],Tab_Def_Flows[Flow_ID],,0,)</f>
        <v>#N/A</v>
      </c>
      <c r="Y37" s="51" t="s">
        <v>230</v>
      </c>
      <c r="Z37" s="52" t="e">
        <f>_xlfn.XLOOKUP(Y37,Tab_Def_Flows[Name(EN)],Tab_Def_Flows[Flow_ID],,0,)</f>
        <v>#N/A</v>
      </c>
      <c r="AA37" s="51" t="s">
        <v>230</v>
      </c>
      <c r="AB37" s="52" t="e">
        <f>_xlfn.XLOOKUP(AA37,Tab_Def_Flows[Name(EN)],Tab_Def_Flows[Flow_ID],,0,)</f>
        <v>#N/A</v>
      </c>
      <c r="AC37" s="51" t="s">
        <v>230</v>
      </c>
      <c r="AD37" s="52" t="e">
        <f>_xlfn.XLOOKUP(AC37,Tab_Def_Flows[Name(EN)],Tab_Def_Flows[Flow_ID],,0,)</f>
        <v>#N/A</v>
      </c>
      <c r="AE37" s="51" t="s">
        <v>230</v>
      </c>
      <c r="AF37" s="52" t="e">
        <f>_xlfn.XLOOKUP(AE37,Tab_Def_Flows[Name(EN)],Tab_Def_Flows[Flow_ID],,0,)</f>
        <v>#N/A</v>
      </c>
      <c r="AG37" s="51" t="s">
        <v>230</v>
      </c>
      <c r="AH37" s="53" t="e">
        <f>_xlfn.XLOOKUP(AG37,Tab_Def_Flows[Name(EN)],Tab_Def_Flows[Flow_ID],,0,)</f>
        <v>#N/A</v>
      </c>
    </row>
    <row r="38" spans="1:34" x14ac:dyDescent="0.25">
      <c r="A38" s="93" t="b">
        <v>0</v>
      </c>
      <c r="B38" s="109" t="s">
        <v>435</v>
      </c>
      <c r="C38" s="49" t="str">
        <f t="shared" si="0"/>
        <v>36__</v>
      </c>
      <c r="D38" s="51"/>
      <c r="E38" s="88"/>
      <c r="F38" s="51"/>
      <c r="G38" s="51"/>
      <c r="H38" s="51"/>
      <c r="I38" s="88"/>
      <c r="J38" s="91"/>
      <c r="K38" s="51"/>
      <c r="L38" s="95"/>
      <c r="M38" s="51" t="s">
        <v>230</v>
      </c>
      <c r="N38" s="52" t="e">
        <f>_xlfn.XLOOKUP(M38,Tab_Def_Flows[Name(EN)],Tab_Def_Flows[Flow_ID],,0,)</f>
        <v>#N/A</v>
      </c>
      <c r="O38" s="51" t="s">
        <v>230</v>
      </c>
      <c r="P38" s="52" t="e">
        <f>_xlfn.XLOOKUP(O38,Tab_Def_Flows[Name(EN)],Tab_Def_Flows[Flow_ID],,0,)</f>
        <v>#N/A</v>
      </c>
      <c r="Q38" s="51" t="s">
        <v>230</v>
      </c>
      <c r="R38" s="52" t="e">
        <f>_xlfn.XLOOKUP(Q38,Tab_Def_Flows[Name(EN)],Tab_Def_Flows[Flow_ID],,0,)</f>
        <v>#N/A</v>
      </c>
      <c r="S38" s="51" t="s">
        <v>230</v>
      </c>
      <c r="T38" s="52" t="e">
        <f>_xlfn.XLOOKUP(S38,Tab_Def_Flows[Name(EN)],Tab_Def_Flows[Flow_ID],,0,)</f>
        <v>#N/A</v>
      </c>
      <c r="U38" s="51" t="s">
        <v>230</v>
      </c>
      <c r="V38" s="53" t="e">
        <f>_xlfn.XLOOKUP(U38,Tab_Def_Flows[Name(EN)],Tab_Def_Flows[Flow_ID],,0,)</f>
        <v>#N/A</v>
      </c>
      <c r="W38" s="51" t="s">
        <v>230</v>
      </c>
      <c r="X38" s="52" t="e">
        <f>_xlfn.XLOOKUP(W38,Tab_Def_Flows[Name(EN)],Tab_Def_Flows[Flow_ID],,0,)</f>
        <v>#N/A</v>
      </c>
      <c r="Y38" s="51" t="s">
        <v>230</v>
      </c>
      <c r="Z38" s="52" t="e">
        <f>_xlfn.XLOOKUP(Y38,Tab_Def_Flows[Name(EN)],Tab_Def_Flows[Flow_ID],,0,)</f>
        <v>#N/A</v>
      </c>
      <c r="AA38" s="51" t="s">
        <v>230</v>
      </c>
      <c r="AB38" s="52" t="e">
        <f>_xlfn.XLOOKUP(AA38,Tab_Def_Flows[Name(EN)],Tab_Def_Flows[Flow_ID],,0,)</f>
        <v>#N/A</v>
      </c>
      <c r="AC38" s="51" t="s">
        <v>230</v>
      </c>
      <c r="AD38" s="52" t="e">
        <f>_xlfn.XLOOKUP(AC38,Tab_Def_Flows[Name(EN)],Tab_Def_Flows[Flow_ID],,0,)</f>
        <v>#N/A</v>
      </c>
      <c r="AE38" s="51" t="s">
        <v>230</v>
      </c>
      <c r="AF38" s="52" t="e">
        <f>_xlfn.XLOOKUP(AE38,Tab_Def_Flows[Name(EN)],Tab_Def_Flows[Flow_ID],,0,)</f>
        <v>#N/A</v>
      </c>
      <c r="AG38" s="51" t="s">
        <v>230</v>
      </c>
      <c r="AH38" s="53" t="e">
        <f>_xlfn.XLOOKUP(AG38,Tab_Def_Flows[Name(EN)],Tab_Def_Flows[Flow_ID],,0,)</f>
        <v>#N/A</v>
      </c>
    </row>
    <row r="39" spans="1:34" x14ac:dyDescent="0.25">
      <c r="A39" s="93" t="b">
        <v>0</v>
      </c>
      <c r="B39" s="109" t="s">
        <v>436</v>
      </c>
      <c r="C39" s="49" t="str">
        <f t="shared" si="0"/>
        <v>37__</v>
      </c>
      <c r="D39" s="51"/>
      <c r="E39" s="88"/>
      <c r="F39" s="51"/>
      <c r="G39" s="51"/>
      <c r="H39" s="51"/>
      <c r="I39" s="88"/>
      <c r="J39" s="91"/>
      <c r="K39" s="51"/>
      <c r="L39" s="95"/>
      <c r="M39" s="51" t="s">
        <v>230</v>
      </c>
      <c r="N39" s="52" t="e">
        <f>_xlfn.XLOOKUP(M39,Tab_Def_Flows[Name(EN)],Tab_Def_Flows[Flow_ID],,0,)</f>
        <v>#N/A</v>
      </c>
      <c r="O39" s="51" t="s">
        <v>230</v>
      </c>
      <c r="P39" s="52" t="e">
        <f>_xlfn.XLOOKUP(O39,Tab_Def_Flows[Name(EN)],Tab_Def_Flows[Flow_ID],,0,)</f>
        <v>#N/A</v>
      </c>
      <c r="Q39" s="51" t="s">
        <v>230</v>
      </c>
      <c r="R39" s="52" t="e">
        <f>_xlfn.XLOOKUP(Q39,Tab_Def_Flows[Name(EN)],Tab_Def_Flows[Flow_ID],,0,)</f>
        <v>#N/A</v>
      </c>
      <c r="S39" s="51" t="s">
        <v>230</v>
      </c>
      <c r="T39" s="52" t="e">
        <f>_xlfn.XLOOKUP(S39,Tab_Def_Flows[Name(EN)],Tab_Def_Flows[Flow_ID],,0,)</f>
        <v>#N/A</v>
      </c>
      <c r="U39" s="51" t="s">
        <v>230</v>
      </c>
      <c r="V39" s="53" t="e">
        <f>_xlfn.XLOOKUP(U39,Tab_Def_Flows[Name(EN)],Tab_Def_Flows[Flow_ID],,0,)</f>
        <v>#N/A</v>
      </c>
      <c r="W39" s="51" t="s">
        <v>230</v>
      </c>
      <c r="X39" s="52" t="e">
        <f>_xlfn.XLOOKUP(W39,Tab_Def_Flows[Name(EN)],Tab_Def_Flows[Flow_ID],,0,)</f>
        <v>#N/A</v>
      </c>
      <c r="Y39" s="51" t="s">
        <v>230</v>
      </c>
      <c r="Z39" s="52" t="e">
        <f>_xlfn.XLOOKUP(Y39,Tab_Def_Flows[Name(EN)],Tab_Def_Flows[Flow_ID],,0,)</f>
        <v>#N/A</v>
      </c>
      <c r="AA39" s="51" t="s">
        <v>230</v>
      </c>
      <c r="AB39" s="52" t="e">
        <f>_xlfn.XLOOKUP(AA39,Tab_Def_Flows[Name(EN)],Tab_Def_Flows[Flow_ID],,0,)</f>
        <v>#N/A</v>
      </c>
      <c r="AC39" s="51" t="s">
        <v>230</v>
      </c>
      <c r="AD39" s="52" t="e">
        <f>_xlfn.XLOOKUP(AC39,Tab_Def_Flows[Name(EN)],Tab_Def_Flows[Flow_ID],,0,)</f>
        <v>#N/A</v>
      </c>
      <c r="AE39" s="51" t="s">
        <v>230</v>
      </c>
      <c r="AF39" s="52" t="e">
        <f>_xlfn.XLOOKUP(AE39,Tab_Def_Flows[Name(EN)],Tab_Def_Flows[Flow_ID],,0,)</f>
        <v>#N/A</v>
      </c>
      <c r="AG39" s="51" t="s">
        <v>230</v>
      </c>
      <c r="AH39" s="53" t="e">
        <f>_xlfn.XLOOKUP(AG39,Tab_Def_Flows[Name(EN)],Tab_Def_Flows[Flow_ID],,0,)</f>
        <v>#N/A</v>
      </c>
    </row>
    <row r="40" spans="1:34" x14ac:dyDescent="0.25">
      <c r="A40" s="93" t="b">
        <v>0</v>
      </c>
      <c r="B40" s="109" t="s">
        <v>437</v>
      </c>
      <c r="C40" s="49" t="str">
        <f t="shared" si="0"/>
        <v>38__</v>
      </c>
      <c r="D40" s="51"/>
      <c r="E40" s="88"/>
      <c r="F40" s="51"/>
      <c r="G40" s="51"/>
      <c r="H40" s="51"/>
      <c r="I40" s="88"/>
      <c r="J40" s="91"/>
      <c r="K40" s="51"/>
      <c r="L40" s="95"/>
      <c r="M40" s="51" t="s">
        <v>230</v>
      </c>
      <c r="N40" s="52" t="e">
        <f>_xlfn.XLOOKUP(M40,Tab_Def_Flows[Name(EN)],Tab_Def_Flows[Flow_ID],,0,)</f>
        <v>#N/A</v>
      </c>
      <c r="O40" s="51" t="s">
        <v>230</v>
      </c>
      <c r="P40" s="52" t="e">
        <f>_xlfn.XLOOKUP(O40,Tab_Def_Flows[Name(EN)],Tab_Def_Flows[Flow_ID],,0,)</f>
        <v>#N/A</v>
      </c>
      <c r="Q40" s="51" t="s">
        <v>230</v>
      </c>
      <c r="R40" s="52" t="e">
        <f>_xlfn.XLOOKUP(Q40,Tab_Def_Flows[Name(EN)],Tab_Def_Flows[Flow_ID],,0,)</f>
        <v>#N/A</v>
      </c>
      <c r="S40" s="51" t="s">
        <v>230</v>
      </c>
      <c r="T40" s="52" t="e">
        <f>_xlfn.XLOOKUP(S40,Tab_Def_Flows[Name(EN)],Tab_Def_Flows[Flow_ID],,0,)</f>
        <v>#N/A</v>
      </c>
      <c r="U40" s="51" t="s">
        <v>230</v>
      </c>
      <c r="V40" s="53" t="e">
        <f>_xlfn.XLOOKUP(U40,Tab_Def_Flows[Name(EN)],Tab_Def_Flows[Flow_ID],,0,)</f>
        <v>#N/A</v>
      </c>
      <c r="W40" s="51" t="s">
        <v>230</v>
      </c>
      <c r="X40" s="52" t="e">
        <f>_xlfn.XLOOKUP(W40,Tab_Def_Flows[Name(EN)],Tab_Def_Flows[Flow_ID],,0,)</f>
        <v>#N/A</v>
      </c>
      <c r="Y40" s="51" t="s">
        <v>230</v>
      </c>
      <c r="Z40" s="52" t="e">
        <f>_xlfn.XLOOKUP(Y40,Tab_Def_Flows[Name(EN)],Tab_Def_Flows[Flow_ID],,0,)</f>
        <v>#N/A</v>
      </c>
      <c r="AA40" s="51" t="s">
        <v>230</v>
      </c>
      <c r="AB40" s="52" t="e">
        <f>_xlfn.XLOOKUP(AA40,Tab_Def_Flows[Name(EN)],Tab_Def_Flows[Flow_ID],,0,)</f>
        <v>#N/A</v>
      </c>
      <c r="AC40" s="51" t="s">
        <v>230</v>
      </c>
      <c r="AD40" s="52" t="e">
        <f>_xlfn.XLOOKUP(AC40,Tab_Def_Flows[Name(EN)],Tab_Def_Flows[Flow_ID],,0,)</f>
        <v>#N/A</v>
      </c>
      <c r="AE40" s="51" t="s">
        <v>230</v>
      </c>
      <c r="AF40" s="52" t="e">
        <f>_xlfn.XLOOKUP(AE40,Tab_Def_Flows[Name(EN)],Tab_Def_Flows[Flow_ID],,0,)</f>
        <v>#N/A</v>
      </c>
      <c r="AG40" s="51" t="s">
        <v>230</v>
      </c>
      <c r="AH40" s="53" t="e">
        <f>_xlfn.XLOOKUP(AG40,Tab_Def_Flows[Name(EN)],Tab_Def_Flows[Flow_ID],,0,)</f>
        <v>#N/A</v>
      </c>
    </row>
    <row r="41" spans="1:34" x14ac:dyDescent="0.25">
      <c r="A41" s="93" t="b">
        <v>0</v>
      </c>
      <c r="B41" s="109" t="s">
        <v>438</v>
      </c>
      <c r="C41" s="49" t="str">
        <f t="shared" si="0"/>
        <v>39__</v>
      </c>
      <c r="D41" s="51"/>
      <c r="E41" s="88"/>
      <c r="F41" s="51"/>
      <c r="G41" s="51"/>
      <c r="H41" s="51"/>
      <c r="I41" s="88"/>
      <c r="J41" s="91"/>
      <c r="K41" s="51"/>
      <c r="L41" s="95"/>
      <c r="M41" s="51" t="s">
        <v>230</v>
      </c>
      <c r="N41" s="52" t="e">
        <f>_xlfn.XLOOKUP(M41,Tab_Def_Flows[Name(EN)],Tab_Def_Flows[Flow_ID],,0,)</f>
        <v>#N/A</v>
      </c>
      <c r="O41" s="51" t="s">
        <v>230</v>
      </c>
      <c r="P41" s="52" t="e">
        <f>_xlfn.XLOOKUP(O41,Tab_Def_Flows[Name(EN)],Tab_Def_Flows[Flow_ID],,0,)</f>
        <v>#N/A</v>
      </c>
      <c r="Q41" s="51" t="s">
        <v>230</v>
      </c>
      <c r="R41" s="52" t="e">
        <f>_xlfn.XLOOKUP(Q41,Tab_Def_Flows[Name(EN)],Tab_Def_Flows[Flow_ID],,0,)</f>
        <v>#N/A</v>
      </c>
      <c r="S41" s="51" t="s">
        <v>230</v>
      </c>
      <c r="T41" s="52" t="e">
        <f>_xlfn.XLOOKUP(S41,Tab_Def_Flows[Name(EN)],Tab_Def_Flows[Flow_ID],,0,)</f>
        <v>#N/A</v>
      </c>
      <c r="U41" s="51" t="s">
        <v>230</v>
      </c>
      <c r="V41" s="53" t="e">
        <f>_xlfn.XLOOKUP(U41,Tab_Def_Flows[Name(EN)],Tab_Def_Flows[Flow_ID],,0,)</f>
        <v>#N/A</v>
      </c>
      <c r="W41" s="51" t="s">
        <v>230</v>
      </c>
      <c r="X41" s="52" t="e">
        <f>_xlfn.XLOOKUP(W41,Tab_Def_Flows[Name(EN)],Tab_Def_Flows[Flow_ID],,0,)</f>
        <v>#N/A</v>
      </c>
      <c r="Y41" s="51" t="s">
        <v>230</v>
      </c>
      <c r="Z41" s="52" t="e">
        <f>_xlfn.XLOOKUP(Y41,Tab_Def_Flows[Name(EN)],Tab_Def_Flows[Flow_ID],,0,)</f>
        <v>#N/A</v>
      </c>
      <c r="AA41" s="51" t="s">
        <v>230</v>
      </c>
      <c r="AB41" s="52" t="e">
        <f>_xlfn.XLOOKUP(AA41,Tab_Def_Flows[Name(EN)],Tab_Def_Flows[Flow_ID],,0,)</f>
        <v>#N/A</v>
      </c>
      <c r="AC41" s="51" t="s">
        <v>230</v>
      </c>
      <c r="AD41" s="52" t="e">
        <f>_xlfn.XLOOKUP(AC41,Tab_Def_Flows[Name(EN)],Tab_Def_Flows[Flow_ID],,0,)</f>
        <v>#N/A</v>
      </c>
      <c r="AE41" s="51" t="s">
        <v>230</v>
      </c>
      <c r="AF41" s="52" t="e">
        <f>_xlfn.XLOOKUP(AE41,Tab_Def_Flows[Name(EN)],Tab_Def_Flows[Flow_ID],,0,)</f>
        <v>#N/A</v>
      </c>
      <c r="AG41" s="51" t="s">
        <v>230</v>
      </c>
      <c r="AH41" s="53" t="e">
        <f>_xlfn.XLOOKUP(AG41,Tab_Def_Flows[Name(EN)],Tab_Def_Flows[Flow_ID],,0,)</f>
        <v>#N/A</v>
      </c>
    </row>
    <row r="42" spans="1:34" x14ac:dyDescent="0.25">
      <c r="A42" s="93" t="b">
        <v>0</v>
      </c>
      <c r="B42" s="109" t="s">
        <v>439</v>
      </c>
      <c r="C42" s="49" t="str">
        <f t="shared" si="0"/>
        <v>40__</v>
      </c>
      <c r="D42" s="51"/>
      <c r="E42" s="88"/>
      <c r="F42" s="51"/>
      <c r="G42" s="51"/>
      <c r="H42" s="51"/>
      <c r="I42" s="88"/>
      <c r="J42" s="91"/>
      <c r="K42" s="51"/>
      <c r="L42" s="95"/>
      <c r="M42" s="51" t="s">
        <v>230</v>
      </c>
      <c r="N42" s="52" t="e">
        <f>_xlfn.XLOOKUP(M42,Tab_Def_Flows[Name(EN)],Tab_Def_Flows[Flow_ID],,0,)</f>
        <v>#N/A</v>
      </c>
      <c r="O42" s="51" t="s">
        <v>230</v>
      </c>
      <c r="P42" s="52" t="e">
        <f>_xlfn.XLOOKUP(O42,Tab_Def_Flows[Name(EN)],Tab_Def_Flows[Flow_ID],,0,)</f>
        <v>#N/A</v>
      </c>
      <c r="Q42" s="51" t="s">
        <v>230</v>
      </c>
      <c r="R42" s="52" t="e">
        <f>_xlfn.XLOOKUP(Q42,Tab_Def_Flows[Name(EN)],Tab_Def_Flows[Flow_ID],,0,)</f>
        <v>#N/A</v>
      </c>
      <c r="S42" s="51" t="s">
        <v>230</v>
      </c>
      <c r="T42" s="52" t="e">
        <f>_xlfn.XLOOKUP(S42,Tab_Def_Flows[Name(EN)],Tab_Def_Flows[Flow_ID],,0,)</f>
        <v>#N/A</v>
      </c>
      <c r="U42" s="51" t="s">
        <v>230</v>
      </c>
      <c r="V42" s="53" t="e">
        <f>_xlfn.XLOOKUP(U42,Tab_Def_Flows[Name(EN)],Tab_Def_Flows[Flow_ID],,0,)</f>
        <v>#N/A</v>
      </c>
      <c r="W42" s="51" t="s">
        <v>230</v>
      </c>
      <c r="X42" s="52" t="e">
        <f>_xlfn.XLOOKUP(W42,Tab_Def_Flows[Name(EN)],Tab_Def_Flows[Flow_ID],,0,)</f>
        <v>#N/A</v>
      </c>
      <c r="Y42" s="51" t="s">
        <v>230</v>
      </c>
      <c r="Z42" s="52" t="e">
        <f>_xlfn.XLOOKUP(Y42,Tab_Def_Flows[Name(EN)],Tab_Def_Flows[Flow_ID],,0,)</f>
        <v>#N/A</v>
      </c>
      <c r="AA42" s="51" t="s">
        <v>230</v>
      </c>
      <c r="AB42" s="52" t="e">
        <f>_xlfn.XLOOKUP(AA42,Tab_Def_Flows[Name(EN)],Tab_Def_Flows[Flow_ID],,0,)</f>
        <v>#N/A</v>
      </c>
      <c r="AC42" s="51" t="s">
        <v>230</v>
      </c>
      <c r="AD42" s="52" t="e">
        <f>_xlfn.XLOOKUP(AC42,Tab_Def_Flows[Name(EN)],Tab_Def_Flows[Flow_ID],,0,)</f>
        <v>#N/A</v>
      </c>
      <c r="AE42" s="51" t="s">
        <v>230</v>
      </c>
      <c r="AF42" s="52" t="e">
        <f>_xlfn.XLOOKUP(AE42,Tab_Def_Flows[Name(EN)],Tab_Def_Flows[Flow_ID],,0,)</f>
        <v>#N/A</v>
      </c>
      <c r="AG42" s="51" t="s">
        <v>230</v>
      </c>
      <c r="AH42" s="53" t="e">
        <f>_xlfn.XLOOKUP(AG42,Tab_Def_Flows[Name(EN)],Tab_Def_Flows[Flow_ID],,0,)</f>
        <v>#N/A</v>
      </c>
    </row>
    <row r="43" spans="1:34" x14ac:dyDescent="0.25">
      <c r="A43" s="93" t="b">
        <v>0</v>
      </c>
      <c r="B43" s="109" t="s">
        <v>440</v>
      </c>
      <c r="C43" s="49" t="str">
        <f t="shared" si="0"/>
        <v>41__</v>
      </c>
      <c r="D43" s="51"/>
      <c r="E43" s="88"/>
      <c r="F43" s="51"/>
      <c r="G43" s="51"/>
      <c r="H43" s="51"/>
      <c r="I43" s="88"/>
      <c r="J43" s="91"/>
      <c r="K43" s="51"/>
      <c r="L43" s="95"/>
      <c r="M43" s="51" t="s">
        <v>230</v>
      </c>
      <c r="N43" s="52" t="e">
        <f>_xlfn.XLOOKUP(M43,Tab_Def_Flows[Name(EN)],Tab_Def_Flows[Flow_ID],,0,)</f>
        <v>#N/A</v>
      </c>
      <c r="O43" s="51" t="s">
        <v>230</v>
      </c>
      <c r="P43" s="52" t="e">
        <f>_xlfn.XLOOKUP(O43,Tab_Def_Flows[Name(EN)],Tab_Def_Flows[Flow_ID],,0,)</f>
        <v>#N/A</v>
      </c>
      <c r="Q43" s="51" t="s">
        <v>230</v>
      </c>
      <c r="R43" s="52" t="e">
        <f>_xlfn.XLOOKUP(Q43,Tab_Def_Flows[Name(EN)],Tab_Def_Flows[Flow_ID],,0,)</f>
        <v>#N/A</v>
      </c>
      <c r="S43" s="51" t="s">
        <v>230</v>
      </c>
      <c r="T43" s="52" t="e">
        <f>_xlfn.XLOOKUP(S43,Tab_Def_Flows[Name(EN)],Tab_Def_Flows[Flow_ID],,0,)</f>
        <v>#N/A</v>
      </c>
      <c r="U43" s="51" t="s">
        <v>230</v>
      </c>
      <c r="V43" s="53" t="e">
        <f>_xlfn.XLOOKUP(U43,Tab_Def_Flows[Name(EN)],Tab_Def_Flows[Flow_ID],,0,)</f>
        <v>#N/A</v>
      </c>
      <c r="W43" s="51" t="s">
        <v>230</v>
      </c>
      <c r="X43" s="52" t="e">
        <f>_xlfn.XLOOKUP(W43,Tab_Def_Flows[Name(EN)],Tab_Def_Flows[Flow_ID],,0,)</f>
        <v>#N/A</v>
      </c>
      <c r="Y43" s="51" t="s">
        <v>230</v>
      </c>
      <c r="Z43" s="52" t="e">
        <f>_xlfn.XLOOKUP(Y43,Tab_Def_Flows[Name(EN)],Tab_Def_Flows[Flow_ID],,0,)</f>
        <v>#N/A</v>
      </c>
      <c r="AA43" s="51" t="s">
        <v>230</v>
      </c>
      <c r="AB43" s="52" t="e">
        <f>_xlfn.XLOOKUP(AA43,Tab_Def_Flows[Name(EN)],Tab_Def_Flows[Flow_ID],,0,)</f>
        <v>#N/A</v>
      </c>
      <c r="AC43" s="51" t="s">
        <v>230</v>
      </c>
      <c r="AD43" s="52" t="e">
        <f>_xlfn.XLOOKUP(AC43,Tab_Def_Flows[Name(EN)],Tab_Def_Flows[Flow_ID],,0,)</f>
        <v>#N/A</v>
      </c>
      <c r="AE43" s="51" t="s">
        <v>230</v>
      </c>
      <c r="AF43" s="52" t="e">
        <f>_xlfn.XLOOKUP(AE43,Tab_Def_Flows[Name(EN)],Tab_Def_Flows[Flow_ID],,0,)</f>
        <v>#N/A</v>
      </c>
      <c r="AG43" s="51" t="s">
        <v>230</v>
      </c>
      <c r="AH43" s="53" t="e">
        <f>_xlfn.XLOOKUP(AG43,Tab_Def_Flows[Name(EN)],Tab_Def_Flows[Flow_ID],,0,)</f>
        <v>#N/A</v>
      </c>
    </row>
    <row r="44" spans="1:34" x14ac:dyDescent="0.25">
      <c r="A44" s="93" t="b">
        <v>0</v>
      </c>
      <c r="B44" s="109" t="s">
        <v>441</v>
      </c>
      <c r="C44" s="49" t="str">
        <f t="shared" si="0"/>
        <v>42__</v>
      </c>
      <c r="D44" s="51"/>
      <c r="E44" s="88"/>
      <c r="F44" s="51"/>
      <c r="G44" s="51"/>
      <c r="H44" s="51"/>
      <c r="I44" s="88"/>
      <c r="J44" s="91"/>
      <c r="K44" s="51"/>
      <c r="L44" s="95"/>
      <c r="M44" s="51" t="s">
        <v>230</v>
      </c>
      <c r="N44" s="52" t="e">
        <f>_xlfn.XLOOKUP(M44,Tab_Def_Flows[Name(EN)],Tab_Def_Flows[Flow_ID],,0,)</f>
        <v>#N/A</v>
      </c>
      <c r="O44" s="51" t="s">
        <v>230</v>
      </c>
      <c r="P44" s="52" t="e">
        <f>_xlfn.XLOOKUP(O44,Tab_Def_Flows[Name(EN)],Tab_Def_Flows[Flow_ID],,0,)</f>
        <v>#N/A</v>
      </c>
      <c r="Q44" s="51" t="s">
        <v>230</v>
      </c>
      <c r="R44" s="52" t="e">
        <f>_xlfn.XLOOKUP(Q44,Tab_Def_Flows[Name(EN)],Tab_Def_Flows[Flow_ID],,0,)</f>
        <v>#N/A</v>
      </c>
      <c r="S44" s="51" t="s">
        <v>230</v>
      </c>
      <c r="T44" s="52" t="e">
        <f>_xlfn.XLOOKUP(S44,Tab_Def_Flows[Name(EN)],Tab_Def_Flows[Flow_ID],,0,)</f>
        <v>#N/A</v>
      </c>
      <c r="U44" s="51" t="s">
        <v>230</v>
      </c>
      <c r="V44" s="53" t="e">
        <f>_xlfn.XLOOKUP(U44,Tab_Def_Flows[Name(EN)],Tab_Def_Flows[Flow_ID],,0,)</f>
        <v>#N/A</v>
      </c>
      <c r="W44" s="51" t="s">
        <v>230</v>
      </c>
      <c r="X44" s="52" t="e">
        <f>_xlfn.XLOOKUP(W44,Tab_Def_Flows[Name(EN)],Tab_Def_Flows[Flow_ID],,0,)</f>
        <v>#N/A</v>
      </c>
      <c r="Y44" s="51" t="s">
        <v>230</v>
      </c>
      <c r="Z44" s="52" t="e">
        <f>_xlfn.XLOOKUP(Y44,Tab_Def_Flows[Name(EN)],Tab_Def_Flows[Flow_ID],,0,)</f>
        <v>#N/A</v>
      </c>
      <c r="AA44" s="51" t="s">
        <v>230</v>
      </c>
      <c r="AB44" s="52" t="e">
        <f>_xlfn.XLOOKUP(AA44,Tab_Def_Flows[Name(EN)],Tab_Def_Flows[Flow_ID],,0,)</f>
        <v>#N/A</v>
      </c>
      <c r="AC44" s="51" t="s">
        <v>230</v>
      </c>
      <c r="AD44" s="52" t="e">
        <f>_xlfn.XLOOKUP(AC44,Tab_Def_Flows[Name(EN)],Tab_Def_Flows[Flow_ID],,0,)</f>
        <v>#N/A</v>
      </c>
      <c r="AE44" s="51" t="s">
        <v>230</v>
      </c>
      <c r="AF44" s="52" t="e">
        <f>_xlfn.XLOOKUP(AE44,Tab_Def_Flows[Name(EN)],Tab_Def_Flows[Flow_ID],,0,)</f>
        <v>#N/A</v>
      </c>
      <c r="AG44" s="51" t="s">
        <v>230</v>
      </c>
      <c r="AH44" s="53" t="e">
        <f>_xlfn.XLOOKUP(AG44,Tab_Def_Flows[Name(EN)],Tab_Def_Flows[Flow_ID],,0,)</f>
        <v>#N/A</v>
      </c>
    </row>
    <row r="45" spans="1:34" x14ac:dyDescent="0.25">
      <c r="A45" s="93" t="b">
        <v>0</v>
      </c>
      <c r="B45" s="109" t="s">
        <v>442</v>
      </c>
      <c r="C45" s="49" t="str">
        <f t="shared" si="0"/>
        <v>43__</v>
      </c>
      <c r="D45" s="51"/>
      <c r="E45" s="88"/>
      <c r="F45" s="51"/>
      <c r="G45" s="51"/>
      <c r="H45" s="51"/>
      <c r="I45" s="88"/>
      <c r="J45" s="91"/>
      <c r="K45" s="51"/>
      <c r="L45" s="95"/>
      <c r="M45" s="51" t="s">
        <v>230</v>
      </c>
      <c r="N45" s="52" t="e">
        <f>_xlfn.XLOOKUP(M45,Tab_Def_Flows[Name(EN)],Tab_Def_Flows[Flow_ID],,0,)</f>
        <v>#N/A</v>
      </c>
      <c r="O45" s="51" t="s">
        <v>230</v>
      </c>
      <c r="P45" s="52" t="e">
        <f>_xlfn.XLOOKUP(O45,Tab_Def_Flows[Name(EN)],Tab_Def_Flows[Flow_ID],,0,)</f>
        <v>#N/A</v>
      </c>
      <c r="Q45" s="51" t="s">
        <v>230</v>
      </c>
      <c r="R45" s="52" t="e">
        <f>_xlfn.XLOOKUP(Q45,Tab_Def_Flows[Name(EN)],Tab_Def_Flows[Flow_ID],,0,)</f>
        <v>#N/A</v>
      </c>
      <c r="S45" s="51" t="s">
        <v>230</v>
      </c>
      <c r="T45" s="52" t="e">
        <f>_xlfn.XLOOKUP(S45,Tab_Def_Flows[Name(EN)],Tab_Def_Flows[Flow_ID],,0,)</f>
        <v>#N/A</v>
      </c>
      <c r="U45" s="51" t="s">
        <v>230</v>
      </c>
      <c r="V45" s="53" t="e">
        <f>_xlfn.XLOOKUP(U45,Tab_Def_Flows[Name(EN)],Tab_Def_Flows[Flow_ID],,0,)</f>
        <v>#N/A</v>
      </c>
      <c r="W45" s="51" t="s">
        <v>230</v>
      </c>
      <c r="X45" s="52" t="e">
        <f>_xlfn.XLOOKUP(W45,Tab_Def_Flows[Name(EN)],Tab_Def_Flows[Flow_ID],,0,)</f>
        <v>#N/A</v>
      </c>
      <c r="Y45" s="51" t="s">
        <v>230</v>
      </c>
      <c r="Z45" s="52" t="e">
        <f>_xlfn.XLOOKUP(Y45,Tab_Def_Flows[Name(EN)],Tab_Def_Flows[Flow_ID],,0,)</f>
        <v>#N/A</v>
      </c>
      <c r="AA45" s="51" t="s">
        <v>230</v>
      </c>
      <c r="AB45" s="52" t="e">
        <f>_xlfn.XLOOKUP(AA45,Tab_Def_Flows[Name(EN)],Tab_Def_Flows[Flow_ID],,0,)</f>
        <v>#N/A</v>
      </c>
      <c r="AC45" s="51" t="s">
        <v>230</v>
      </c>
      <c r="AD45" s="52" t="e">
        <f>_xlfn.XLOOKUP(AC45,Tab_Def_Flows[Name(EN)],Tab_Def_Flows[Flow_ID],,0,)</f>
        <v>#N/A</v>
      </c>
      <c r="AE45" s="51" t="s">
        <v>230</v>
      </c>
      <c r="AF45" s="52" t="e">
        <f>_xlfn.XLOOKUP(AE45,Tab_Def_Flows[Name(EN)],Tab_Def_Flows[Flow_ID],,0,)</f>
        <v>#N/A</v>
      </c>
      <c r="AG45" s="51" t="s">
        <v>230</v>
      </c>
      <c r="AH45" s="53" t="e">
        <f>_xlfn.XLOOKUP(AG45,Tab_Def_Flows[Name(EN)],Tab_Def_Flows[Flow_ID],,0,)</f>
        <v>#N/A</v>
      </c>
    </row>
    <row r="46" spans="1:34" x14ac:dyDescent="0.25">
      <c r="A46" s="93" t="b">
        <v>0</v>
      </c>
      <c r="B46" s="109" t="s">
        <v>443</v>
      </c>
      <c r="C46" s="49" t="str">
        <f t="shared" si="0"/>
        <v>44__</v>
      </c>
      <c r="D46" s="51"/>
      <c r="E46" s="88"/>
      <c r="F46" s="51"/>
      <c r="G46" s="51"/>
      <c r="H46" s="51"/>
      <c r="I46" s="88"/>
      <c r="J46" s="91"/>
      <c r="K46" s="51"/>
      <c r="L46" s="95"/>
      <c r="M46" s="51" t="s">
        <v>230</v>
      </c>
      <c r="N46" s="52" t="e">
        <f>_xlfn.XLOOKUP(M46,Tab_Def_Flows[Name(EN)],Tab_Def_Flows[Flow_ID],,0,)</f>
        <v>#N/A</v>
      </c>
      <c r="O46" s="51" t="s">
        <v>230</v>
      </c>
      <c r="P46" s="52" t="e">
        <f>_xlfn.XLOOKUP(O46,Tab_Def_Flows[Name(EN)],Tab_Def_Flows[Flow_ID],,0,)</f>
        <v>#N/A</v>
      </c>
      <c r="Q46" s="51" t="s">
        <v>230</v>
      </c>
      <c r="R46" s="52" t="e">
        <f>_xlfn.XLOOKUP(Q46,Tab_Def_Flows[Name(EN)],Tab_Def_Flows[Flow_ID],,0,)</f>
        <v>#N/A</v>
      </c>
      <c r="S46" s="51" t="s">
        <v>230</v>
      </c>
      <c r="T46" s="52" t="e">
        <f>_xlfn.XLOOKUP(S46,Tab_Def_Flows[Name(EN)],Tab_Def_Flows[Flow_ID],,0,)</f>
        <v>#N/A</v>
      </c>
      <c r="U46" s="51" t="s">
        <v>230</v>
      </c>
      <c r="V46" s="53" t="e">
        <f>_xlfn.XLOOKUP(U46,Tab_Def_Flows[Name(EN)],Tab_Def_Flows[Flow_ID],,0,)</f>
        <v>#N/A</v>
      </c>
      <c r="W46" s="51" t="s">
        <v>230</v>
      </c>
      <c r="X46" s="52" t="e">
        <f>_xlfn.XLOOKUP(W46,Tab_Def_Flows[Name(EN)],Tab_Def_Flows[Flow_ID],,0,)</f>
        <v>#N/A</v>
      </c>
      <c r="Y46" s="51" t="s">
        <v>230</v>
      </c>
      <c r="Z46" s="52" t="e">
        <f>_xlfn.XLOOKUP(Y46,Tab_Def_Flows[Name(EN)],Tab_Def_Flows[Flow_ID],,0,)</f>
        <v>#N/A</v>
      </c>
      <c r="AA46" s="51" t="s">
        <v>230</v>
      </c>
      <c r="AB46" s="52" t="e">
        <f>_xlfn.XLOOKUP(AA46,Tab_Def_Flows[Name(EN)],Tab_Def_Flows[Flow_ID],,0,)</f>
        <v>#N/A</v>
      </c>
      <c r="AC46" s="51" t="s">
        <v>230</v>
      </c>
      <c r="AD46" s="52" t="e">
        <f>_xlfn.XLOOKUP(AC46,Tab_Def_Flows[Name(EN)],Tab_Def_Flows[Flow_ID],,0,)</f>
        <v>#N/A</v>
      </c>
      <c r="AE46" s="51" t="s">
        <v>230</v>
      </c>
      <c r="AF46" s="52" t="e">
        <f>_xlfn.XLOOKUP(AE46,Tab_Def_Flows[Name(EN)],Tab_Def_Flows[Flow_ID],,0,)</f>
        <v>#N/A</v>
      </c>
      <c r="AG46" s="51" t="s">
        <v>230</v>
      </c>
      <c r="AH46" s="53" t="e">
        <f>_xlfn.XLOOKUP(AG46,Tab_Def_Flows[Name(EN)],Tab_Def_Flows[Flow_ID],,0,)</f>
        <v>#N/A</v>
      </c>
    </row>
    <row r="47" spans="1:34" x14ac:dyDescent="0.25">
      <c r="A47" s="93" t="b">
        <v>0</v>
      </c>
      <c r="B47" s="109" t="s">
        <v>444</v>
      </c>
      <c r="C47" s="49" t="str">
        <f t="shared" si="0"/>
        <v>45__</v>
      </c>
      <c r="D47" s="51"/>
      <c r="E47" s="88"/>
      <c r="F47" s="51"/>
      <c r="G47" s="51"/>
      <c r="H47" s="51"/>
      <c r="I47" s="88"/>
      <c r="J47" s="91"/>
      <c r="K47" s="51"/>
      <c r="L47" s="95"/>
      <c r="M47" s="51" t="s">
        <v>230</v>
      </c>
      <c r="N47" s="52" t="e">
        <f>_xlfn.XLOOKUP(M47,Tab_Def_Flows[Name(EN)],Tab_Def_Flows[Flow_ID],,0,)</f>
        <v>#N/A</v>
      </c>
      <c r="O47" s="51" t="s">
        <v>230</v>
      </c>
      <c r="P47" s="52" t="e">
        <f>_xlfn.XLOOKUP(O47,Tab_Def_Flows[Name(EN)],Tab_Def_Flows[Flow_ID],,0,)</f>
        <v>#N/A</v>
      </c>
      <c r="Q47" s="51" t="s">
        <v>230</v>
      </c>
      <c r="R47" s="52" t="e">
        <f>_xlfn.XLOOKUP(Q47,Tab_Def_Flows[Name(EN)],Tab_Def_Flows[Flow_ID],,0,)</f>
        <v>#N/A</v>
      </c>
      <c r="S47" s="51" t="s">
        <v>230</v>
      </c>
      <c r="T47" s="52" t="e">
        <f>_xlfn.XLOOKUP(S47,Tab_Def_Flows[Name(EN)],Tab_Def_Flows[Flow_ID],,0,)</f>
        <v>#N/A</v>
      </c>
      <c r="U47" s="51" t="s">
        <v>230</v>
      </c>
      <c r="V47" s="53" t="e">
        <f>_xlfn.XLOOKUP(U47,Tab_Def_Flows[Name(EN)],Tab_Def_Flows[Flow_ID],,0,)</f>
        <v>#N/A</v>
      </c>
      <c r="W47" s="51" t="s">
        <v>230</v>
      </c>
      <c r="X47" s="52" t="e">
        <f>_xlfn.XLOOKUP(W47,Tab_Def_Flows[Name(EN)],Tab_Def_Flows[Flow_ID],,0,)</f>
        <v>#N/A</v>
      </c>
      <c r="Y47" s="51" t="s">
        <v>230</v>
      </c>
      <c r="Z47" s="52" t="e">
        <f>_xlfn.XLOOKUP(Y47,Tab_Def_Flows[Name(EN)],Tab_Def_Flows[Flow_ID],,0,)</f>
        <v>#N/A</v>
      </c>
      <c r="AA47" s="51" t="s">
        <v>230</v>
      </c>
      <c r="AB47" s="52" t="e">
        <f>_xlfn.XLOOKUP(AA47,Tab_Def_Flows[Name(EN)],Tab_Def_Flows[Flow_ID],,0,)</f>
        <v>#N/A</v>
      </c>
      <c r="AC47" s="51" t="s">
        <v>230</v>
      </c>
      <c r="AD47" s="52" t="e">
        <f>_xlfn.XLOOKUP(AC47,Tab_Def_Flows[Name(EN)],Tab_Def_Flows[Flow_ID],,0,)</f>
        <v>#N/A</v>
      </c>
      <c r="AE47" s="51" t="s">
        <v>230</v>
      </c>
      <c r="AF47" s="52" t="e">
        <f>_xlfn.XLOOKUP(AE47,Tab_Def_Flows[Name(EN)],Tab_Def_Flows[Flow_ID],,0,)</f>
        <v>#N/A</v>
      </c>
      <c r="AG47" s="51" t="s">
        <v>230</v>
      </c>
      <c r="AH47" s="53" t="e">
        <f>_xlfn.XLOOKUP(AG47,Tab_Def_Flows[Name(EN)],Tab_Def_Flows[Flow_ID],,0,)</f>
        <v>#N/A</v>
      </c>
    </row>
    <row r="48" spans="1:34" x14ac:dyDescent="0.25">
      <c r="A48" s="93" t="b">
        <v>0</v>
      </c>
      <c r="B48" s="109" t="s">
        <v>445</v>
      </c>
      <c r="C48" s="49" t="str">
        <f t="shared" si="0"/>
        <v>46__</v>
      </c>
      <c r="D48" s="51"/>
      <c r="E48" s="88"/>
      <c r="F48" s="51"/>
      <c r="G48" s="51"/>
      <c r="H48" s="51"/>
      <c r="I48" s="88"/>
      <c r="J48" s="91"/>
      <c r="K48" s="51"/>
      <c r="L48" s="95"/>
      <c r="M48" s="51" t="s">
        <v>230</v>
      </c>
      <c r="N48" s="52" t="e">
        <f>_xlfn.XLOOKUP(M48,Tab_Def_Flows[Name(EN)],Tab_Def_Flows[Flow_ID],,0,)</f>
        <v>#N/A</v>
      </c>
      <c r="O48" s="51" t="s">
        <v>230</v>
      </c>
      <c r="P48" s="52" t="e">
        <f>_xlfn.XLOOKUP(O48,Tab_Def_Flows[Name(EN)],Tab_Def_Flows[Flow_ID],,0,)</f>
        <v>#N/A</v>
      </c>
      <c r="Q48" s="51" t="s">
        <v>230</v>
      </c>
      <c r="R48" s="52" t="e">
        <f>_xlfn.XLOOKUP(Q48,Tab_Def_Flows[Name(EN)],Tab_Def_Flows[Flow_ID],,0,)</f>
        <v>#N/A</v>
      </c>
      <c r="S48" s="51" t="s">
        <v>230</v>
      </c>
      <c r="T48" s="52" t="e">
        <f>_xlfn.XLOOKUP(S48,Tab_Def_Flows[Name(EN)],Tab_Def_Flows[Flow_ID],,0,)</f>
        <v>#N/A</v>
      </c>
      <c r="U48" s="51" t="s">
        <v>230</v>
      </c>
      <c r="V48" s="53" t="e">
        <f>_xlfn.XLOOKUP(U48,Tab_Def_Flows[Name(EN)],Tab_Def_Flows[Flow_ID],,0,)</f>
        <v>#N/A</v>
      </c>
      <c r="W48" s="51" t="s">
        <v>230</v>
      </c>
      <c r="X48" s="52" t="e">
        <f>_xlfn.XLOOKUP(W48,Tab_Def_Flows[Name(EN)],Tab_Def_Flows[Flow_ID],,0,)</f>
        <v>#N/A</v>
      </c>
      <c r="Y48" s="51" t="s">
        <v>230</v>
      </c>
      <c r="Z48" s="52" t="e">
        <f>_xlfn.XLOOKUP(Y48,Tab_Def_Flows[Name(EN)],Tab_Def_Flows[Flow_ID],,0,)</f>
        <v>#N/A</v>
      </c>
      <c r="AA48" s="51" t="s">
        <v>230</v>
      </c>
      <c r="AB48" s="52" t="e">
        <f>_xlfn.XLOOKUP(AA48,Tab_Def_Flows[Name(EN)],Tab_Def_Flows[Flow_ID],,0,)</f>
        <v>#N/A</v>
      </c>
      <c r="AC48" s="51" t="s">
        <v>230</v>
      </c>
      <c r="AD48" s="52" t="e">
        <f>_xlfn.XLOOKUP(AC48,Tab_Def_Flows[Name(EN)],Tab_Def_Flows[Flow_ID],,0,)</f>
        <v>#N/A</v>
      </c>
      <c r="AE48" s="51" t="s">
        <v>230</v>
      </c>
      <c r="AF48" s="52" t="e">
        <f>_xlfn.XLOOKUP(AE48,Tab_Def_Flows[Name(EN)],Tab_Def_Flows[Flow_ID],,0,)</f>
        <v>#N/A</v>
      </c>
      <c r="AG48" s="51" t="s">
        <v>230</v>
      </c>
      <c r="AH48" s="53" t="e">
        <f>_xlfn.XLOOKUP(AG48,Tab_Def_Flows[Name(EN)],Tab_Def_Flows[Flow_ID],,0,)</f>
        <v>#N/A</v>
      </c>
    </row>
    <row r="49" spans="1:34" x14ac:dyDescent="0.25">
      <c r="A49" s="93" t="b">
        <v>0</v>
      </c>
      <c r="B49" s="109" t="s">
        <v>446</v>
      </c>
      <c r="C49" s="49" t="str">
        <f t="shared" si="0"/>
        <v>47__</v>
      </c>
      <c r="D49" s="51"/>
      <c r="E49" s="88"/>
      <c r="F49" s="51"/>
      <c r="G49" s="51"/>
      <c r="H49" s="51"/>
      <c r="I49" s="88"/>
      <c r="J49" s="91"/>
      <c r="K49" s="51"/>
      <c r="L49" s="95"/>
      <c r="M49" s="51" t="s">
        <v>230</v>
      </c>
      <c r="N49" s="52" t="e">
        <f>_xlfn.XLOOKUP(M49,Tab_Def_Flows[Name(EN)],Tab_Def_Flows[Flow_ID],,0,)</f>
        <v>#N/A</v>
      </c>
      <c r="O49" s="51" t="s">
        <v>230</v>
      </c>
      <c r="P49" s="52" t="e">
        <f>_xlfn.XLOOKUP(O49,Tab_Def_Flows[Name(EN)],Tab_Def_Flows[Flow_ID],,0,)</f>
        <v>#N/A</v>
      </c>
      <c r="Q49" s="51" t="s">
        <v>230</v>
      </c>
      <c r="R49" s="52" t="e">
        <f>_xlfn.XLOOKUP(Q49,Tab_Def_Flows[Name(EN)],Tab_Def_Flows[Flow_ID],,0,)</f>
        <v>#N/A</v>
      </c>
      <c r="S49" s="51" t="s">
        <v>230</v>
      </c>
      <c r="T49" s="52" t="e">
        <f>_xlfn.XLOOKUP(S49,Tab_Def_Flows[Name(EN)],Tab_Def_Flows[Flow_ID],,0,)</f>
        <v>#N/A</v>
      </c>
      <c r="U49" s="51" t="s">
        <v>230</v>
      </c>
      <c r="V49" s="53" t="e">
        <f>_xlfn.XLOOKUP(U49,Tab_Def_Flows[Name(EN)],Tab_Def_Flows[Flow_ID],,0,)</f>
        <v>#N/A</v>
      </c>
      <c r="W49" s="51" t="s">
        <v>230</v>
      </c>
      <c r="X49" s="52" t="e">
        <f>_xlfn.XLOOKUP(W49,Tab_Def_Flows[Name(EN)],Tab_Def_Flows[Flow_ID],,0,)</f>
        <v>#N/A</v>
      </c>
      <c r="Y49" s="51" t="s">
        <v>230</v>
      </c>
      <c r="Z49" s="52" t="e">
        <f>_xlfn.XLOOKUP(Y49,Tab_Def_Flows[Name(EN)],Tab_Def_Flows[Flow_ID],,0,)</f>
        <v>#N/A</v>
      </c>
      <c r="AA49" s="51" t="s">
        <v>230</v>
      </c>
      <c r="AB49" s="52" t="e">
        <f>_xlfn.XLOOKUP(AA49,Tab_Def_Flows[Name(EN)],Tab_Def_Flows[Flow_ID],,0,)</f>
        <v>#N/A</v>
      </c>
      <c r="AC49" s="51" t="s">
        <v>230</v>
      </c>
      <c r="AD49" s="52" t="e">
        <f>_xlfn.XLOOKUP(AC49,Tab_Def_Flows[Name(EN)],Tab_Def_Flows[Flow_ID],,0,)</f>
        <v>#N/A</v>
      </c>
      <c r="AE49" s="51" t="s">
        <v>230</v>
      </c>
      <c r="AF49" s="52" t="e">
        <f>_xlfn.XLOOKUP(AE49,Tab_Def_Flows[Name(EN)],Tab_Def_Flows[Flow_ID],,0,)</f>
        <v>#N/A</v>
      </c>
      <c r="AG49" s="51" t="s">
        <v>230</v>
      </c>
      <c r="AH49" s="53" t="e">
        <f>_xlfn.XLOOKUP(AG49,Tab_Def_Flows[Name(EN)],Tab_Def_Flows[Flow_ID],,0,)</f>
        <v>#N/A</v>
      </c>
    </row>
    <row r="50" spans="1:34" x14ac:dyDescent="0.25">
      <c r="A50" s="93" t="b">
        <v>0</v>
      </c>
      <c r="B50" s="109" t="s">
        <v>447</v>
      </c>
      <c r="C50" s="49" t="str">
        <f t="shared" si="0"/>
        <v>48__</v>
      </c>
      <c r="D50" s="51"/>
      <c r="E50" s="88"/>
      <c r="F50" s="51"/>
      <c r="G50" s="51"/>
      <c r="H50" s="51"/>
      <c r="I50" s="88"/>
      <c r="J50" s="91"/>
      <c r="K50" s="51"/>
      <c r="L50" s="95"/>
      <c r="M50" s="51" t="s">
        <v>230</v>
      </c>
      <c r="N50" s="52" t="e">
        <f>_xlfn.XLOOKUP(M50,Tab_Def_Flows[Name(EN)],Tab_Def_Flows[Flow_ID],,0,)</f>
        <v>#N/A</v>
      </c>
      <c r="O50" s="51" t="s">
        <v>230</v>
      </c>
      <c r="P50" s="52" t="e">
        <f>_xlfn.XLOOKUP(O50,Tab_Def_Flows[Name(EN)],Tab_Def_Flows[Flow_ID],,0,)</f>
        <v>#N/A</v>
      </c>
      <c r="Q50" s="51" t="s">
        <v>230</v>
      </c>
      <c r="R50" s="52" t="e">
        <f>_xlfn.XLOOKUP(Q50,Tab_Def_Flows[Name(EN)],Tab_Def_Flows[Flow_ID],,0,)</f>
        <v>#N/A</v>
      </c>
      <c r="S50" s="51" t="s">
        <v>230</v>
      </c>
      <c r="T50" s="52" t="e">
        <f>_xlfn.XLOOKUP(S50,Tab_Def_Flows[Name(EN)],Tab_Def_Flows[Flow_ID],,0,)</f>
        <v>#N/A</v>
      </c>
      <c r="U50" s="51" t="s">
        <v>230</v>
      </c>
      <c r="V50" s="53" t="e">
        <f>_xlfn.XLOOKUP(U50,Tab_Def_Flows[Name(EN)],Tab_Def_Flows[Flow_ID],,0,)</f>
        <v>#N/A</v>
      </c>
      <c r="W50" s="51" t="s">
        <v>230</v>
      </c>
      <c r="X50" s="52" t="e">
        <f>_xlfn.XLOOKUP(W50,Tab_Def_Flows[Name(EN)],Tab_Def_Flows[Flow_ID],,0,)</f>
        <v>#N/A</v>
      </c>
      <c r="Y50" s="51" t="s">
        <v>230</v>
      </c>
      <c r="Z50" s="52" t="e">
        <f>_xlfn.XLOOKUP(Y50,Tab_Def_Flows[Name(EN)],Tab_Def_Flows[Flow_ID],,0,)</f>
        <v>#N/A</v>
      </c>
      <c r="AA50" s="51" t="s">
        <v>230</v>
      </c>
      <c r="AB50" s="52" t="e">
        <f>_xlfn.XLOOKUP(AA50,Tab_Def_Flows[Name(EN)],Tab_Def_Flows[Flow_ID],,0,)</f>
        <v>#N/A</v>
      </c>
      <c r="AC50" s="51" t="s">
        <v>230</v>
      </c>
      <c r="AD50" s="52" t="e">
        <f>_xlfn.XLOOKUP(AC50,Tab_Def_Flows[Name(EN)],Tab_Def_Flows[Flow_ID],,0,)</f>
        <v>#N/A</v>
      </c>
      <c r="AE50" s="51" t="s">
        <v>230</v>
      </c>
      <c r="AF50" s="52" t="e">
        <f>_xlfn.XLOOKUP(AE50,Tab_Def_Flows[Name(EN)],Tab_Def_Flows[Flow_ID],,0,)</f>
        <v>#N/A</v>
      </c>
      <c r="AG50" s="51" t="s">
        <v>230</v>
      </c>
      <c r="AH50" s="53" t="e">
        <f>_xlfn.XLOOKUP(AG50,Tab_Def_Flows[Name(EN)],Tab_Def_Flows[Flow_ID],,0,)</f>
        <v>#N/A</v>
      </c>
    </row>
    <row r="51" spans="1:34" x14ac:dyDescent="0.25">
      <c r="A51" s="93" t="b">
        <v>0</v>
      </c>
      <c r="B51" s="109" t="s">
        <v>448</v>
      </c>
      <c r="C51" s="49" t="str">
        <f t="shared" si="0"/>
        <v>49__</v>
      </c>
      <c r="D51" s="51"/>
      <c r="E51" s="88"/>
      <c r="F51" s="51"/>
      <c r="G51" s="51"/>
      <c r="H51" s="51"/>
      <c r="I51" s="88"/>
      <c r="J51" s="91"/>
      <c r="K51" s="51"/>
      <c r="L51" s="95"/>
      <c r="M51" s="51" t="s">
        <v>230</v>
      </c>
      <c r="N51" s="52" t="e">
        <f>_xlfn.XLOOKUP(M51,Tab_Def_Flows[Name(EN)],Tab_Def_Flows[Flow_ID],,0,)</f>
        <v>#N/A</v>
      </c>
      <c r="O51" s="51" t="s">
        <v>230</v>
      </c>
      <c r="P51" s="52" t="e">
        <f>_xlfn.XLOOKUP(O51,Tab_Def_Flows[Name(EN)],Tab_Def_Flows[Flow_ID],,0,)</f>
        <v>#N/A</v>
      </c>
      <c r="Q51" s="51" t="s">
        <v>230</v>
      </c>
      <c r="R51" s="52" t="e">
        <f>_xlfn.XLOOKUP(Q51,Tab_Def_Flows[Name(EN)],Tab_Def_Flows[Flow_ID],,0,)</f>
        <v>#N/A</v>
      </c>
      <c r="S51" s="51" t="s">
        <v>230</v>
      </c>
      <c r="T51" s="52" t="e">
        <f>_xlfn.XLOOKUP(S51,Tab_Def_Flows[Name(EN)],Tab_Def_Flows[Flow_ID],,0,)</f>
        <v>#N/A</v>
      </c>
      <c r="U51" s="51" t="s">
        <v>230</v>
      </c>
      <c r="V51" s="53" t="e">
        <f>_xlfn.XLOOKUP(U51,Tab_Def_Flows[Name(EN)],Tab_Def_Flows[Flow_ID],,0,)</f>
        <v>#N/A</v>
      </c>
      <c r="W51" s="51" t="s">
        <v>230</v>
      </c>
      <c r="X51" s="52" t="e">
        <f>_xlfn.XLOOKUP(W51,Tab_Def_Flows[Name(EN)],Tab_Def_Flows[Flow_ID],,0,)</f>
        <v>#N/A</v>
      </c>
      <c r="Y51" s="51" t="s">
        <v>230</v>
      </c>
      <c r="Z51" s="52" t="e">
        <f>_xlfn.XLOOKUP(Y51,Tab_Def_Flows[Name(EN)],Tab_Def_Flows[Flow_ID],,0,)</f>
        <v>#N/A</v>
      </c>
      <c r="AA51" s="51" t="s">
        <v>230</v>
      </c>
      <c r="AB51" s="52" t="e">
        <f>_xlfn.XLOOKUP(AA51,Tab_Def_Flows[Name(EN)],Tab_Def_Flows[Flow_ID],,0,)</f>
        <v>#N/A</v>
      </c>
      <c r="AC51" s="51" t="s">
        <v>230</v>
      </c>
      <c r="AD51" s="52" t="e">
        <f>_xlfn.XLOOKUP(AC51,Tab_Def_Flows[Name(EN)],Tab_Def_Flows[Flow_ID],,0,)</f>
        <v>#N/A</v>
      </c>
      <c r="AE51" s="51" t="s">
        <v>230</v>
      </c>
      <c r="AF51" s="52" t="e">
        <f>_xlfn.XLOOKUP(AE51,Tab_Def_Flows[Name(EN)],Tab_Def_Flows[Flow_ID],,0,)</f>
        <v>#N/A</v>
      </c>
      <c r="AG51" s="51" t="s">
        <v>230</v>
      </c>
      <c r="AH51" s="53" t="e">
        <f>_xlfn.XLOOKUP(AG51,Tab_Def_Flows[Name(EN)],Tab_Def_Flows[Flow_ID],,0,)</f>
        <v>#N/A</v>
      </c>
    </row>
    <row r="52" spans="1:34" x14ac:dyDescent="0.25">
      <c r="A52" s="93" t="b">
        <v>0</v>
      </c>
      <c r="B52" s="109" t="s">
        <v>449</v>
      </c>
      <c r="C52" s="49" t="str">
        <f t="shared" si="0"/>
        <v>50__</v>
      </c>
      <c r="D52" s="51"/>
      <c r="E52" s="88"/>
      <c r="F52" s="51"/>
      <c r="G52" s="51"/>
      <c r="H52" s="51"/>
      <c r="I52" s="88"/>
      <c r="J52" s="91"/>
      <c r="K52" s="51"/>
      <c r="L52" s="95"/>
      <c r="M52" s="51" t="s">
        <v>230</v>
      </c>
      <c r="N52" s="52" t="e">
        <f>_xlfn.XLOOKUP(M52,Tab_Def_Flows[Name(EN)],Tab_Def_Flows[Flow_ID],,0,)</f>
        <v>#N/A</v>
      </c>
      <c r="O52" s="51" t="s">
        <v>230</v>
      </c>
      <c r="P52" s="52" t="e">
        <f>_xlfn.XLOOKUP(O52,Tab_Def_Flows[Name(EN)],Tab_Def_Flows[Flow_ID],,0,)</f>
        <v>#N/A</v>
      </c>
      <c r="Q52" s="51" t="s">
        <v>230</v>
      </c>
      <c r="R52" s="52" t="e">
        <f>_xlfn.XLOOKUP(Q52,Tab_Def_Flows[Name(EN)],Tab_Def_Flows[Flow_ID],,0,)</f>
        <v>#N/A</v>
      </c>
      <c r="S52" s="51" t="s">
        <v>230</v>
      </c>
      <c r="T52" s="52" t="e">
        <f>_xlfn.XLOOKUP(S52,Tab_Def_Flows[Name(EN)],Tab_Def_Flows[Flow_ID],,0,)</f>
        <v>#N/A</v>
      </c>
      <c r="U52" s="51" t="s">
        <v>230</v>
      </c>
      <c r="V52" s="53" t="e">
        <f>_xlfn.XLOOKUP(U52,Tab_Def_Flows[Name(EN)],Tab_Def_Flows[Flow_ID],,0,)</f>
        <v>#N/A</v>
      </c>
      <c r="W52" s="51" t="s">
        <v>230</v>
      </c>
      <c r="X52" s="52" t="e">
        <f>_xlfn.XLOOKUP(W52,Tab_Def_Flows[Name(EN)],Tab_Def_Flows[Flow_ID],,0,)</f>
        <v>#N/A</v>
      </c>
      <c r="Y52" s="51" t="s">
        <v>230</v>
      </c>
      <c r="Z52" s="52" t="e">
        <f>_xlfn.XLOOKUP(Y52,Tab_Def_Flows[Name(EN)],Tab_Def_Flows[Flow_ID],,0,)</f>
        <v>#N/A</v>
      </c>
      <c r="AA52" s="51" t="s">
        <v>230</v>
      </c>
      <c r="AB52" s="52" t="e">
        <f>_xlfn.XLOOKUP(AA52,Tab_Def_Flows[Name(EN)],Tab_Def_Flows[Flow_ID],,0,)</f>
        <v>#N/A</v>
      </c>
      <c r="AC52" s="51" t="s">
        <v>230</v>
      </c>
      <c r="AD52" s="52" t="e">
        <f>_xlfn.XLOOKUP(AC52,Tab_Def_Flows[Name(EN)],Tab_Def_Flows[Flow_ID],,0,)</f>
        <v>#N/A</v>
      </c>
      <c r="AE52" s="51" t="s">
        <v>230</v>
      </c>
      <c r="AF52" s="52" t="e">
        <f>_xlfn.XLOOKUP(AE52,Tab_Def_Flows[Name(EN)],Tab_Def_Flows[Flow_ID],,0,)</f>
        <v>#N/A</v>
      </c>
      <c r="AG52" s="51" t="s">
        <v>230</v>
      </c>
      <c r="AH52" s="53" t="e">
        <f>_xlfn.XLOOKUP(AG52,Tab_Def_Flows[Name(EN)],Tab_Def_Flows[Flow_ID],,0,)</f>
        <v>#N/A</v>
      </c>
    </row>
    <row r="53" spans="1:34" x14ac:dyDescent="0.25">
      <c r="A53" s="93" t="b">
        <v>0</v>
      </c>
      <c r="B53" s="109" t="s">
        <v>450</v>
      </c>
      <c r="C53" s="49" t="str">
        <f t="shared" si="0"/>
        <v>51__</v>
      </c>
      <c r="D53" s="51"/>
      <c r="E53" s="88"/>
      <c r="F53" s="51"/>
      <c r="G53" s="51"/>
      <c r="H53" s="51"/>
      <c r="I53" s="88"/>
      <c r="J53" s="91"/>
      <c r="K53" s="51"/>
      <c r="L53" s="95"/>
      <c r="M53" s="51" t="s">
        <v>230</v>
      </c>
      <c r="N53" s="52" t="e">
        <f>_xlfn.XLOOKUP(M53,Tab_Def_Flows[Name(EN)],Tab_Def_Flows[Flow_ID],,0,)</f>
        <v>#N/A</v>
      </c>
      <c r="O53" s="51" t="s">
        <v>230</v>
      </c>
      <c r="P53" s="52" t="e">
        <f>_xlfn.XLOOKUP(O53,Tab_Def_Flows[Name(EN)],Tab_Def_Flows[Flow_ID],,0,)</f>
        <v>#N/A</v>
      </c>
      <c r="Q53" s="51" t="s">
        <v>230</v>
      </c>
      <c r="R53" s="52" t="e">
        <f>_xlfn.XLOOKUP(Q53,Tab_Def_Flows[Name(EN)],Tab_Def_Flows[Flow_ID],,0,)</f>
        <v>#N/A</v>
      </c>
      <c r="S53" s="51" t="s">
        <v>230</v>
      </c>
      <c r="T53" s="52" t="e">
        <f>_xlfn.XLOOKUP(S53,Tab_Def_Flows[Name(EN)],Tab_Def_Flows[Flow_ID],,0,)</f>
        <v>#N/A</v>
      </c>
      <c r="U53" s="51" t="s">
        <v>230</v>
      </c>
      <c r="V53" s="53" t="e">
        <f>_xlfn.XLOOKUP(U53,Tab_Def_Flows[Name(EN)],Tab_Def_Flows[Flow_ID],,0,)</f>
        <v>#N/A</v>
      </c>
      <c r="W53" s="51" t="s">
        <v>230</v>
      </c>
      <c r="X53" s="52" t="e">
        <f>_xlfn.XLOOKUP(W53,Tab_Def_Flows[Name(EN)],Tab_Def_Flows[Flow_ID],,0,)</f>
        <v>#N/A</v>
      </c>
      <c r="Y53" s="51" t="s">
        <v>230</v>
      </c>
      <c r="Z53" s="52" t="e">
        <f>_xlfn.XLOOKUP(Y53,Tab_Def_Flows[Name(EN)],Tab_Def_Flows[Flow_ID],,0,)</f>
        <v>#N/A</v>
      </c>
      <c r="AA53" s="51" t="s">
        <v>230</v>
      </c>
      <c r="AB53" s="52" t="e">
        <f>_xlfn.XLOOKUP(AA53,Tab_Def_Flows[Name(EN)],Tab_Def_Flows[Flow_ID],,0,)</f>
        <v>#N/A</v>
      </c>
      <c r="AC53" s="51" t="s">
        <v>230</v>
      </c>
      <c r="AD53" s="52" t="e">
        <f>_xlfn.XLOOKUP(AC53,Tab_Def_Flows[Name(EN)],Tab_Def_Flows[Flow_ID],,0,)</f>
        <v>#N/A</v>
      </c>
      <c r="AE53" s="51" t="s">
        <v>230</v>
      </c>
      <c r="AF53" s="52" t="e">
        <f>_xlfn.XLOOKUP(AE53,Tab_Def_Flows[Name(EN)],Tab_Def_Flows[Flow_ID],,0,)</f>
        <v>#N/A</v>
      </c>
      <c r="AG53" s="51" t="s">
        <v>230</v>
      </c>
      <c r="AH53" s="53" t="e">
        <f>_xlfn.XLOOKUP(AG53,Tab_Def_Flows[Name(EN)],Tab_Def_Flows[Flow_ID],,0,)</f>
        <v>#N/A</v>
      </c>
    </row>
    <row r="54" spans="1:34" x14ac:dyDescent="0.25">
      <c r="A54" s="93" t="b">
        <v>0</v>
      </c>
      <c r="B54" s="109" t="s">
        <v>451</v>
      </c>
      <c r="C54" s="49" t="str">
        <f t="shared" si="0"/>
        <v>52__</v>
      </c>
      <c r="D54" s="51"/>
      <c r="E54" s="88"/>
      <c r="F54" s="51"/>
      <c r="G54" s="51"/>
      <c r="H54" s="51"/>
      <c r="I54" s="88"/>
      <c r="J54" s="91"/>
      <c r="K54" s="51"/>
      <c r="L54" s="95"/>
      <c r="M54" s="51" t="s">
        <v>230</v>
      </c>
      <c r="N54" s="52" t="e">
        <f>_xlfn.XLOOKUP(M54,Tab_Def_Flows[Name(EN)],Tab_Def_Flows[Flow_ID],,0,)</f>
        <v>#N/A</v>
      </c>
      <c r="O54" s="51" t="s">
        <v>230</v>
      </c>
      <c r="P54" s="52" t="e">
        <f>_xlfn.XLOOKUP(O54,Tab_Def_Flows[Name(EN)],Tab_Def_Flows[Flow_ID],,0,)</f>
        <v>#N/A</v>
      </c>
      <c r="Q54" s="51" t="s">
        <v>230</v>
      </c>
      <c r="R54" s="52" t="e">
        <f>_xlfn.XLOOKUP(Q54,Tab_Def_Flows[Name(EN)],Tab_Def_Flows[Flow_ID],,0,)</f>
        <v>#N/A</v>
      </c>
      <c r="S54" s="51" t="s">
        <v>230</v>
      </c>
      <c r="T54" s="52" t="e">
        <f>_xlfn.XLOOKUP(S54,Tab_Def_Flows[Name(EN)],Tab_Def_Flows[Flow_ID],,0,)</f>
        <v>#N/A</v>
      </c>
      <c r="U54" s="51" t="s">
        <v>230</v>
      </c>
      <c r="V54" s="53" t="e">
        <f>_xlfn.XLOOKUP(U54,Tab_Def_Flows[Name(EN)],Tab_Def_Flows[Flow_ID],,0,)</f>
        <v>#N/A</v>
      </c>
      <c r="W54" s="51" t="s">
        <v>230</v>
      </c>
      <c r="X54" s="52" t="e">
        <f>_xlfn.XLOOKUP(W54,Tab_Def_Flows[Name(EN)],Tab_Def_Flows[Flow_ID],,0,)</f>
        <v>#N/A</v>
      </c>
      <c r="Y54" s="51" t="s">
        <v>230</v>
      </c>
      <c r="Z54" s="52" t="e">
        <f>_xlfn.XLOOKUP(Y54,Tab_Def_Flows[Name(EN)],Tab_Def_Flows[Flow_ID],,0,)</f>
        <v>#N/A</v>
      </c>
      <c r="AA54" s="51" t="s">
        <v>230</v>
      </c>
      <c r="AB54" s="52" t="e">
        <f>_xlfn.XLOOKUP(AA54,Tab_Def_Flows[Name(EN)],Tab_Def_Flows[Flow_ID],,0,)</f>
        <v>#N/A</v>
      </c>
      <c r="AC54" s="51" t="s">
        <v>230</v>
      </c>
      <c r="AD54" s="52" t="e">
        <f>_xlfn.XLOOKUP(AC54,Tab_Def_Flows[Name(EN)],Tab_Def_Flows[Flow_ID],,0,)</f>
        <v>#N/A</v>
      </c>
      <c r="AE54" s="51" t="s">
        <v>230</v>
      </c>
      <c r="AF54" s="52" t="e">
        <f>_xlfn.XLOOKUP(AE54,Tab_Def_Flows[Name(EN)],Tab_Def_Flows[Flow_ID],,0,)</f>
        <v>#N/A</v>
      </c>
      <c r="AG54" s="51" t="s">
        <v>230</v>
      </c>
      <c r="AH54" s="53" t="e">
        <f>_xlfn.XLOOKUP(AG54,Tab_Def_Flows[Name(EN)],Tab_Def_Flows[Flow_ID],,0,)</f>
        <v>#N/A</v>
      </c>
    </row>
    <row r="55" spans="1:34" x14ac:dyDescent="0.25">
      <c r="A55" s="93" t="b">
        <v>0</v>
      </c>
      <c r="B55" s="109" t="s">
        <v>452</v>
      </c>
      <c r="C55" s="49" t="str">
        <f t="shared" si="0"/>
        <v>53__</v>
      </c>
      <c r="D55" s="51"/>
      <c r="E55" s="88"/>
      <c r="F55" s="51"/>
      <c r="G55" s="51"/>
      <c r="H55" s="51"/>
      <c r="I55" s="88"/>
      <c r="J55" s="91"/>
      <c r="K55" s="51"/>
      <c r="L55" s="95"/>
      <c r="M55" s="51" t="s">
        <v>230</v>
      </c>
      <c r="N55" s="52" t="e">
        <f>_xlfn.XLOOKUP(M55,Tab_Def_Flows[Name(EN)],Tab_Def_Flows[Flow_ID],,0,)</f>
        <v>#N/A</v>
      </c>
      <c r="O55" s="51" t="s">
        <v>230</v>
      </c>
      <c r="P55" s="52" t="e">
        <f>_xlfn.XLOOKUP(O55,Tab_Def_Flows[Name(EN)],Tab_Def_Flows[Flow_ID],,0,)</f>
        <v>#N/A</v>
      </c>
      <c r="Q55" s="51" t="s">
        <v>230</v>
      </c>
      <c r="R55" s="52" t="e">
        <f>_xlfn.XLOOKUP(Q55,Tab_Def_Flows[Name(EN)],Tab_Def_Flows[Flow_ID],,0,)</f>
        <v>#N/A</v>
      </c>
      <c r="S55" s="51" t="s">
        <v>230</v>
      </c>
      <c r="T55" s="52" t="e">
        <f>_xlfn.XLOOKUP(S55,Tab_Def_Flows[Name(EN)],Tab_Def_Flows[Flow_ID],,0,)</f>
        <v>#N/A</v>
      </c>
      <c r="U55" s="51" t="s">
        <v>230</v>
      </c>
      <c r="V55" s="53" t="e">
        <f>_xlfn.XLOOKUP(U55,Tab_Def_Flows[Name(EN)],Tab_Def_Flows[Flow_ID],,0,)</f>
        <v>#N/A</v>
      </c>
      <c r="W55" s="51" t="s">
        <v>230</v>
      </c>
      <c r="X55" s="52" t="e">
        <f>_xlfn.XLOOKUP(W55,Tab_Def_Flows[Name(EN)],Tab_Def_Flows[Flow_ID],,0,)</f>
        <v>#N/A</v>
      </c>
      <c r="Y55" s="51" t="s">
        <v>230</v>
      </c>
      <c r="Z55" s="52" t="e">
        <f>_xlfn.XLOOKUP(Y55,Tab_Def_Flows[Name(EN)],Tab_Def_Flows[Flow_ID],,0,)</f>
        <v>#N/A</v>
      </c>
      <c r="AA55" s="51" t="s">
        <v>230</v>
      </c>
      <c r="AB55" s="52" t="e">
        <f>_xlfn.XLOOKUP(AA55,Tab_Def_Flows[Name(EN)],Tab_Def_Flows[Flow_ID],,0,)</f>
        <v>#N/A</v>
      </c>
      <c r="AC55" s="51" t="s">
        <v>230</v>
      </c>
      <c r="AD55" s="52" t="e">
        <f>_xlfn.XLOOKUP(AC55,Tab_Def_Flows[Name(EN)],Tab_Def_Flows[Flow_ID],,0,)</f>
        <v>#N/A</v>
      </c>
      <c r="AE55" s="51" t="s">
        <v>230</v>
      </c>
      <c r="AF55" s="52" t="e">
        <f>_xlfn.XLOOKUP(AE55,Tab_Def_Flows[Name(EN)],Tab_Def_Flows[Flow_ID],,0,)</f>
        <v>#N/A</v>
      </c>
      <c r="AG55" s="51" t="s">
        <v>230</v>
      </c>
      <c r="AH55" s="53" t="e">
        <f>_xlfn.XLOOKUP(AG55,Tab_Def_Flows[Name(EN)],Tab_Def_Flows[Flow_ID],,0,)</f>
        <v>#N/A</v>
      </c>
    </row>
    <row r="56" spans="1:34" x14ac:dyDescent="0.25">
      <c r="A56" s="93" t="b">
        <v>0</v>
      </c>
      <c r="B56" s="109" t="s">
        <v>453</v>
      </c>
      <c r="C56" s="49" t="str">
        <f t="shared" si="0"/>
        <v>54__</v>
      </c>
      <c r="D56" s="51"/>
      <c r="E56" s="88"/>
      <c r="F56" s="51"/>
      <c r="G56" s="51"/>
      <c r="H56" s="51"/>
      <c r="I56" s="88"/>
      <c r="J56" s="91"/>
      <c r="K56" s="51"/>
      <c r="L56" s="95"/>
      <c r="M56" s="51"/>
      <c r="N56" s="49" t="str">
        <f>_xlfn.XLOOKUP(M56,Tab_Def_Flows[Name(EN)],Tab_Def_Flows[Flow_ID],,0,)</f>
        <v>F_12_12</v>
      </c>
      <c r="O56" s="51"/>
      <c r="P56" s="49" t="str">
        <f>_xlfn.XLOOKUP(O56,Tab_Def_Flows[Name(EN)],Tab_Def_Flows[Flow_ID],,0,)</f>
        <v>F_12_12</v>
      </c>
      <c r="Q56" s="51"/>
      <c r="R56" s="49" t="str">
        <f>_xlfn.XLOOKUP(Q56,Tab_Def_Flows[Name(EN)],Tab_Def_Flows[Flow_ID],,0,)</f>
        <v>F_12_12</v>
      </c>
      <c r="S56" s="51"/>
      <c r="T56" s="49" t="str">
        <f>_xlfn.XLOOKUP(S56,Tab_Def_Flows[Name(EN)],Tab_Def_Flows[Flow_ID],,0,)</f>
        <v>F_12_12</v>
      </c>
      <c r="U56" s="51"/>
      <c r="V56" s="64" t="str">
        <f>_xlfn.XLOOKUP(U56,Tab_Def_Flows[Name(EN)],Tab_Def_Flows[Flow_ID],,0,)</f>
        <v>F_12_12</v>
      </c>
      <c r="W56" s="51"/>
      <c r="X56" s="49" t="str">
        <f>_xlfn.XLOOKUP(W56,Tab_Def_Flows[Name(EN)],Tab_Def_Flows[Flow_ID],,0,)</f>
        <v>F_12_12</v>
      </c>
      <c r="Y56" s="51"/>
      <c r="Z56" s="49" t="str">
        <f>_xlfn.XLOOKUP(Y56,Tab_Def_Flows[Name(EN)],Tab_Def_Flows[Flow_ID],,0,)</f>
        <v>F_12_12</v>
      </c>
      <c r="AA56" s="51" t="s">
        <v>230</v>
      </c>
      <c r="AB56" s="49" t="e">
        <f>_xlfn.XLOOKUP(AA56,Tab_Def_Flows[Name(EN)],Tab_Def_Flows[Flow_ID],,0,)</f>
        <v>#N/A</v>
      </c>
      <c r="AC56" s="51"/>
      <c r="AD56" s="49" t="str">
        <f>_xlfn.XLOOKUP(AC56,Tab_Def_Flows[Name(EN)],Tab_Def_Flows[Flow_ID],,0,)</f>
        <v>F_12_12</v>
      </c>
      <c r="AE56" s="51"/>
      <c r="AF56" s="49" t="str">
        <f>_xlfn.XLOOKUP(AE56,Tab_Def_Flows[Name(EN)],Tab_Def_Flows[Flow_ID],,0,)</f>
        <v>F_12_12</v>
      </c>
      <c r="AG56" s="51"/>
      <c r="AH56" s="53" t="str">
        <f>_xlfn.XLOOKUP(AG56,Tab_Def_Flows[Name(EN)],Tab_Def_Flows[Flow_ID],,0,)</f>
        <v>F_12_12</v>
      </c>
    </row>
    <row r="57" spans="1:34" x14ac:dyDescent="0.25">
      <c r="A57" s="93" t="b">
        <v>0</v>
      </c>
      <c r="B57" s="109" t="s">
        <v>454</v>
      </c>
      <c r="C57" s="49" t="str">
        <f t="shared" si="0"/>
        <v>55__</v>
      </c>
      <c r="D57" s="51"/>
      <c r="E57" s="88"/>
      <c r="F57" s="51"/>
      <c r="G57" s="51"/>
      <c r="H57" s="51"/>
      <c r="I57" s="88"/>
      <c r="J57" s="91"/>
      <c r="K57" s="51"/>
      <c r="L57" s="95"/>
      <c r="M57" s="51"/>
      <c r="N57" s="49" t="str">
        <f>_xlfn.XLOOKUP(M57,Tab_Def_Flows[Name(EN)],Tab_Def_Flows[Flow_ID],,0,)</f>
        <v>F_12_12</v>
      </c>
      <c r="O57" s="51"/>
      <c r="P57" s="49" t="str">
        <f>_xlfn.XLOOKUP(O57,Tab_Def_Flows[Name(EN)],Tab_Def_Flows[Flow_ID],,0,)</f>
        <v>F_12_12</v>
      </c>
      <c r="Q57" s="51"/>
      <c r="R57" s="49" t="str">
        <f>_xlfn.XLOOKUP(Q57,Tab_Def_Flows[Name(EN)],Tab_Def_Flows[Flow_ID],,0,)</f>
        <v>F_12_12</v>
      </c>
      <c r="S57" s="51"/>
      <c r="T57" s="49" t="str">
        <f>_xlfn.XLOOKUP(S57,Tab_Def_Flows[Name(EN)],Tab_Def_Flows[Flow_ID],,0,)</f>
        <v>F_12_12</v>
      </c>
      <c r="U57" s="51"/>
      <c r="V57" s="65" t="str">
        <f>_xlfn.XLOOKUP(U57,Tab_Def_Flows[Name(EN)],Tab_Def_Flows[Flow_ID],,0,)</f>
        <v>F_12_12</v>
      </c>
      <c r="W57" s="51"/>
      <c r="X57" s="49" t="str">
        <f>_xlfn.XLOOKUP(W57,Tab_Def_Flows[Name(EN)],Tab_Def_Flows[Flow_ID],,0,)</f>
        <v>F_12_12</v>
      </c>
      <c r="Y57" s="51"/>
      <c r="Z57" s="49" t="str">
        <f>_xlfn.XLOOKUP(Y57,Tab_Def_Flows[Name(EN)],Tab_Def_Flows[Flow_ID],,0,)</f>
        <v>F_12_12</v>
      </c>
      <c r="AA57" s="51" t="s">
        <v>230</v>
      </c>
      <c r="AB57" s="49" t="e">
        <f>_xlfn.XLOOKUP(AA57,Tab_Def_Flows[Name(EN)],Tab_Def_Flows[Flow_ID],,0,)</f>
        <v>#N/A</v>
      </c>
      <c r="AC57" s="51"/>
      <c r="AD57" s="49" t="str">
        <f>_xlfn.XLOOKUP(AC57,Tab_Def_Flows[Name(EN)],Tab_Def_Flows[Flow_ID],,0,)</f>
        <v>F_12_12</v>
      </c>
      <c r="AE57" s="51"/>
      <c r="AF57" s="49" t="str">
        <f>_xlfn.XLOOKUP(AE57,Tab_Def_Flows[Name(EN)],Tab_Def_Flows[Flow_ID],,0,)</f>
        <v>F_12_12</v>
      </c>
      <c r="AG57" s="51"/>
      <c r="AH57" s="53" t="str">
        <f>_xlfn.XLOOKUP(AG57,Tab_Def_Flows[Name(EN)],Tab_Def_Flows[Flow_ID],,0,)</f>
        <v>F_12_12</v>
      </c>
    </row>
    <row r="58" spans="1:34" x14ac:dyDescent="0.25">
      <c r="A58" s="93" t="b">
        <v>0</v>
      </c>
      <c r="B58" s="109" t="s">
        <v>455</v>
      </c>
      <c r="C58" s="49" t="str">
        <f t="shared" si="0"/>
        <v>56__</v>
      </c>
      <c r="D58" s="51"/>
      <c r="E58" s="88"/>
      <c r="F58" s="51"/>
      <c r="G58" s="51"/>
      <c r="H58" s="51"/>
      <c r="I58" s="88"/>
      <c r="J58" s="91"/>
      <c r="K58" s="51"/>
      <c r="L58" s="95"/>
      <c r="M58" s="51" t="s">
        <v>230</v>
      </c>
      <c r="N58" s="52" t="e">
        <f>_xlfn.XLOOKUP(M58,Tab_Def_Flows[Name(EN)],Tab_Def_Flows[Flow_ID],,0,)</f>
        <v>#N/A</v>
      </c>
      <c r="O58" s="51" t="s">
        <v>230</v>
      </c>
      <c r="P58" s="52" t="e">
        <f>_xlfn.XLOOKUP(O58,Tab_Def_Flows[Name(EN)],Tab_Def_Flows[Flow_ID],,0,)</f>
        <v>#N/A</v>
      </c>
      <c r="Q58" s="51" t="s">
        <v>230</v>
      </c>
      <c r="R58" s="52" t="e">
        <f>_xlfn.XLOOKUP(Q58,Tab_Def_Flows[Name(EN)],Tab_Def_Flows[Flow_ID],,0,)</f>
        <v>#N/A</v>
      </c>
      <c r="S58" s="51" t="s">
        <v>230</v>
      </c>
      <c r="T58" s="52" t="e">
        <f>_xlfn.XLOOKUP(S58,Tab_Def_Flows[Name(EN)],Tab_Def_Flows[Flow_ID],,0,)</f>
        <v>#N/A</v>
      </c>
      <c r="U58" s="51" t="s">
        <v>230</v>
      </c>
      <c r="V58" s="53" t="e">
        <f>_xlfn.XLOOKUP(U58,Tab_Def_Flows[Name(EN)],Tab_Def_Flows[Flow_ID],,0,)</f>
        <v>#N/A</v>
      </c>
      <c r="W58" s="51" t="s">
        <v>230</v>
      </c>
      <c r="X58" s="52" t="e">
        <f>_xlfn.XLOOKUP(W58,Tab_Def_Flows[Name(EN)],Tab_Def_Flows[Flow_ID],,0,)</f>
        <v>#N/A</v>
      </c>
      <c r="Y58" s="51" t="s">
        <v>230</v>
      </c>
      <c r="Z58" s="52" t="e">
        <f>_xlfn.XLOOKUP(Y58,Tab_Def_Flows[Name(EN)],Tab_Def_Flows[Flow_ID],,0,)</f>
        <v>#N/A</v>
      </c>
      <c r="AA58" s="51" t="s">
        <v>230</v>
      </c>
      <c r="AB58" s="52" t="e">
        <f>_xlfn.XLOOKUP(AA58,Tab_Def_Flows[Name(EN)],Tab_Def_Flows[Flow_ID],,0,)</f>
        <v>#N/A</v>
      </c>
      <c r="AC58" s="51" t="s">
        <v>230</v>
      </c>
      <c r="AD58" s="52" t="e">
        <f>_xlfn.XLOOKUP(AC58,Tab_Def_Flows[Name(EN)],Tab_Def_Flows[Flow_ID],,0,)</f>
        <v>#N/A</v>
      </c>
      <c r="AE58" s="51" t="s">
        <v>230</v>
      </c>
      <c r="AF58" s="52" t="e">
        <f>_xlfn.XLOOKUP(AE58,Tab_Def_Flows[Name(EN)],Tab_Def_Flows[Flow_ID],,0,)</f>
        <v>#N/A</v>
      </c>
      <c r="AG58" s="51" t="s">
        <v>230</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O1:O1048576 AA2:AA58 M2:M58 Y1:Y58 AG2:AG58 W2:W58 U1:U1048576 AC2:AC58 Q1:Q1048576 AE2:AE58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tabSelected="1" zoomScale="145" zoomScaleNormal="145" workbookViewId="0">
      <pane xSplit="5" topLeftCell="AH1" activePane="topRight" state="frozen"/>
      <selection pane="topRight" activeCell="AH4" sqref="AH4"/>
    </sheetView>
  </sheetViews>
  <sheetFormatPr defaultColWidth="10.85546875" defaultRowHeight="15" x14ac:dyDescent="0.25"/>
  <cols>
    <col min="2" max="3" width="16.5703125" customWidth="1"/>
    <col min="4" max="4" width="16.5703125" style="112"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25" customWidth="1"/>
    <col min="32" max="32" width="42" style="125" customWidth="1"/>
    <col min="33" max="34" width="17.85546875" style="125" customWidth="1"/>
    <col min="35" max="35" width="26.28515625" style="125" customWidth="1"/>
    <col min="36" max="47" width="17.85546875" style="125" customWidth="1"/>
    <col min="48" max="50" width="17.85546875" customWidth="1"/>
  </cols>
  <sheetData>
    <row r="1" spans="1:61" x14ac:dyDescent="0.25">
      <c r="A1" s="67" t="s">
        <v>222</v>
      </c>
      <c r="B1" s="9" t="s">
        <v>224</v>
      </c>
      <c r="C1" s="48" t="s">
        <v>322</v>
      </c>
      <c r="D1" s="112" t="s">
        <v>289</v>
      </c>
      <c r="E1" t="s">
        <v>319</v>
      </c>
      <c r="F1" t="s">
        <v>233</v>
      </c>
      <c r="G1" t="s">
        <v>290</v>
      </c>
      <c r="H1" t="s">
        <v>291</v>
      </c>
      <c r="I1" s="48" t="s">
        <v>18</v>
      </c>
      <c r="J1" s="25" t="s">
        <v>324</v>
      </c>
      <c r="K1" s="26" t="s">
        <v>292</v>
      </c>
      <c r="L1" s="32" t="s">
        <v>323</v>
      </c>
      <c r="M1" s="57" t="s">
        <v>293</v>
      </c>
      <c r="N1" s="57" t="s">
        <v>294</v>
      </c>
      <c r="O1" s="73" t="s">
        <v>325</v>
      </c>
      <c r="P1" s="57" t="s">
        <v>295</v>
      </c>
      <c r="Q1" s="57" t="s">
        <v>300</v>
      </c>
      <c r="R1" s="73" t="s">
        <v>329</v>
      </c>
      <c r="S1" s="74" t="s">
        <v>296</v>
      </c>
      <c r="T1" s="70" t="s">
        <v>153</v>
      </c>
      <c r="U1" s="77" t="s">
        <v>328</v>
      </c>
      <c r="V1" s="74" t="s">
        <v>297</v>
      </c>
      <c r="W1" s="69" t="s">
        <v>156</v>
      </c>
      <c r="X1" s="73" t="s">
        <v>327</v>
      </c>
      <c r="Y1" s="74" t="s">
        <v>298</v>
      </c>
      <c r="Z1" s="69" t="s">
        <v>158</v>
      </c>
      <c r="AA1" s="73" t="s">
        <v>326</v>
      </c>
      <c r="AB1" s="72" t="s">
        <v>330</v>
      </c>
      <c r="AC1" s="71" t="s">
        <v>303</v>
      </c>
      <c r="AD1" s="71" t="s">
        <v>309</v>
      </c>
      <c r="AE1" s="116" t="s">
        <v>390</v>
      </c>
      <c r="AF1" s="117" t="s">
        <v>304</v>
      </c>
      <c r="AG1" s="117" t="s">
        <v>310</v>
      </c>
      <c r="AH1" s="116" t="s">
        <v>391</v>
      </c>
      <c r="AI1" s="117" t="s">
        <v>305</v>
      </c>
      <c r="AJ1" s="117" t="s">
        <v>311</v>
      </c>
      <c r="AK1" s="117" t="s">
        <v>392</v>
      </c>
      <c r="AL1" s="117" t="s">
        <v>306</v>
      </c>
      <c r="AM1" s="117" t="s">
        <v>312</v>
      </c>
      <c r="AN1" s="117" t="s">
        <v>395</v>
      </c>
      <c r="AO1" s="117" t="s">
        <v>307</v>
      </c>
      <c r="AP1" s="117" t="s">
        <v>313</v>
      </c>
      <c r="AQ1" s="117" t="s">
        <v>393</v>
      </c>
      <c r="AR1" s="117" t="s">
        <v>308</v>
      </c>
      <c r="AS1" s="117" t="s">
        <v>314</v>
      </c>
      <c r="AT1" s="117" t="s">
        <v>394</v>
      </c>
      <c r="AU1" s="118" t="s">
        <v>331</v>
      </c>
      <c r="AV1" s="86" t="s">
        <v>262</v>
      </c>
      <c r="AW1" s="86" t="s">
        <v>264</v>
      </c>
      <c r="AX1" s="86" t="s">
        <v>9</v>
      </c>
      <c r="AY1" s="86" t="s">
        <v>8</v>
      </c>
      <c r="AZ1" s="87" t="s">
        <v>10</v>
      </c>
    </row>
    <row r="2" spans="1:61" x14ac:dyDescent="0.25">
      <c r="A2" s="93" t="b">
        <v>1</v>
      </c>
      <c r="B2" s="49">
        <f t="shared" ref="B2:B33" si="0">ROW()-1</f>
        <v>1</v>
      </c>
      <c r="C2" s="49" t="str">
        <f t="shared" ref="C2:C33" si="1">"TC"&amp;LEFT(B2,2)&amp;"_"&amp;LEFT(D2,3)&amp;"_"&amp;LEFT(E2,3)&amp;"_"&amp;LEFT(F2,3)&amp;"_"&amp;LEFT(G2,3)</f>
        <v>TC1_01_Har__0</v>
      </c>
      <c r="D2" s="113" t="str">
        <f>_xlfn.XLOOKUP($E2,Tab_Def_Processes[Name(EN)],Tab_Def_Processes[ID],,0,)</f>
        <v>01</v>
      </c>
      <c r="E2" s="51" t="s">
        <v>481</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N.A.</v>
      </c>
      <c r="N2" s="49" t="e">
        <f>_xlfn.XLOOKUP($E2,Tab_Def_Processes[Name(EN)],Tab_Def_Processes[Flow_ID_I_1],,0,)</f>
        <v>#N/A</v>
      </c>
      <c r="O2" s="80"/>
      <c r="P2" s="75" t="str">
        <f>_xlfn.XLOOKUP($E2,Tab_Def_Processes[Name(EN)],Tab_Def_Processes[Input_Flow_I_2],,0,)</f>
        <v>N.A.</v>
      </c>
      <c r="Q2" s="49" t="e">
        <f>_xlfn.XLOOKUP($E2,Tab_Def_Processes[Name(EN)],Tab_Def_Processes[Flow_ID_I_2],,0,)</f>
        <v>#N/A</v>
      </c>
      <c r="R2" s="80"/>
      <c r="S2" s="75" t="str">
        <f>_xlfn.XLOOKUP($E2,Tab_Def_Processes[Name(EN)],Tab_Def_Processes[Input_Flow_I_3],,0,)</f>
        <v>N.A.</v>
      </c>
      <c r="T2" s="49" t="e">
        <f>_xlfn.XLOOKUP($E2,Tab_Def_Processes[Name(EN)],Tab_Def_Processes[Flow_ID_I_3],,0,)</f>
        <v>#N/A</v>
      </c>
      <c r="U2" s="80"/>
      <c r="V2" s="75" t="str">
        <f>_xlfn.XLOOKUP($E2,Tab_Def_Processes[Name(EN)],Tab_Def_Processes[Input_Flow_I_4],,0,)</f>
        <v>N.A.</v>
      </c>
      <c r="W2" s="49" t="e">
        <f>_xlfn.XLOOKUP($E2,Tab_Def_Processes[Name(EN)],Tab_Def_Processes[Flow_ID_I_4],,0,)</f>
        <v>#N/A</v>
      </c>
      <c r="X2" s="80"/>
      <c r="Y2" s="75" t="str">
        <f>_xlfn.XLOOKUP($E2,Tab_Def_Processes[Name(EN)],Tab_Def_Processes[Input_Flow_I_5],,0,)</f>
        <v>N.A.</v>
      </c>
      <c r="Z2" s="49" t="e">
        <f>_xlfn.XLOOKUP($E2,Tab_Def_Processes[Name(EN)],Tab_Def_Processes[Flow_ID_I_5],,0,)</f>
        <v>#N/A</v>
      </c>
      <c r="AA2" s="80"/>
      <c r="AB2" s="78">
        <f>Tab_Process_TCs[[#This Row],[Flow_TC_I_1_'[%']]]+Tab_Process_TCs[[#This Row],[Flow_TC_I_2_'[%']]]+Tab_Process_TCs[[#This Row],[Flow_TC_I_3_'[%']]]+Tab_Process_TCs[[#This Row],[Flow_TC_I_4_'[%']]]+Tab_Process_TCs[[#This Row],[Flow_TC_I_5_'[%']]]</f>
        <v>0</v>
      </c>
      <c r="AC2" s="49" t="str">
        <f>_xlfn.XLOOKUP($E2,Tab_Def_Processes[Name(EN)],Tab_Def_Processes[Output_Flow_O_1],,0,)</f>
        <v>Biomass 2</v>
      </c>
      <c r="AD2" s="49" t="str">
        <f>_xlfn.XLOOKUP($E2,Tab_Def_Processes[Name(EN)],Tab_Def_Processes[Flow_ID_O_1],,0,)</f>
        <v>F_01_02</v>
      </c>
      <c r="AE2" s="115">
        <v>0.5</v>
      </c>
      <c r="AF2" s="120" t="str">
        <f>_xlfn.XLOOKUP($E2,Tab_Def_Processes[Name(EN)],Tab_Def_Processes[Output_Flow_O_2],,0,)</f>
        <v>Biomass 3</v>
      </c>
      <c r="AG2" s="120" t="str">
        <f>_xlfn.XLOOKUP($E2,Tab_Def_Processes[Name(EN)],Tab_Def_Processes[Flow_ID_O_2],,0,)</f>
        <v>F_01_03</v>
      </c>
      <c r="AH2" s="115">
        <v>0.5</v>
      </c>
      <c r="AI2" s="120" t="str">
        <f>_xlfn.XLOOKUP($E2,Tab_Def_Processes[Name(EN)],Tab_Def_Processes[Output_Flow_O_3],,0,)</f>
        <v>N.A.</v>
      </c>
      <c r="AJ2" s="120" t="e">
        <f>_xlfn.XLOOKUP($E2,Tab_Def_Processes[Name(EN)],Tab_Def_Processes[Flow_ID_O_3],,0,)</f>
        <v>#N/A</v>
      </c>
      <c r="AK2" s="115">
        <v>0</v>
      </c>
      <c r="AL2" s="120" t="str">
        <f>_xlfn.XLOOKUP($E2,Tab_Def_Processes[Name(EN)],Tab_Def_Processes[Output_Flow_O_4],,0,)</f>
        <v>N.A.</v>
      </c>
      <c r="AM2" s="120" t="e">
        <f>_xlfn.XLOOKUP($E2,Tab_Def_Processes[Name(EN)],Tab_Def_Processes[Flow_ID_O_4],,0,)</f>
        <v>#N/A</v>
      </c>
      <c r="AN2" s="115">
        <v>0</v>
      </c>
      <c r="AO2" s="120" t="str">
        <f>_xlfn.XLOOKUP($E2,Tab_Def_Processes[Name(EN)],Tab_Def_Processes[Output_Flow_O_5],,0,)</f>
        <v>N.A.</v>
      </c>
      <c r="AP2" s="120" t="e">
        <f>_xlfn.XLOOKUP($E2,Tab_Def_Processes[Name(EN)],Tab_Def_Processes[Flow_ID_O_5],,0,)</f>
        <v>#N/A</v>
      </c>
      <c r="AQ2" s="115">
        <v>0</v>
      </c>
      <c r="AR2" s="120" t="str">
        <f>_xlfn.XLOOKUP($E2,Tab_Def_Processes[Name(EN)],Tab_Def_Processes[Output_Flow_O_6],,0,)</f>
        <v>N.A.</v>
      </c>
      <c r="AS2" s="120" t="e">
        <f>_xlfn.XLOOKUP($E2,Tab_Def_Processes[Name(EN)],Tab_Def_Processes[Flow_ID_O_6],,0,)</f>
        <v>#N/A</v>
      </c>
      <c r="AT2" s="115">
        <v>0</v>
      </c>
      <c r="AU2" s="127">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3" t="b">
        <v>1</v>
      </c>
      <c r="B3" s="49">
        <f t="shared" si="0"/>
        <v>2</v>
      </c>
      <c r="C3" s="49" t="str">
        <f t="shared" si="1"/>
        <v>TC2_03_Str__0</v>
      </c>
      <c r="D3" s="113" t="str">
        <f>_xlfn.XLOOKUP($E3,Tab_Def_Processes[Name(EN)],Tab_Def_Processes[ID],,0,)</f>
        <v>03</v>
      </c>
      <c r="E3" s="51" t="s">
        <v>483</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N.A.</v>
      </c>
      <c r="N3" s="49" t="e">
        <f>_xlfn.XLOOKUP($E3,Tab_Def_Processes[Name(EN)],Tab_Def_Processes[Flow_ID_I_1],,0,)</f>
        <v>#N/A</v>
      </c>
      <c r="O3" s="80"/>
      <c r="P3" s="75" t="str">
        <f>_xlfn.XLOOKUP($E3,Tab_Def_Processes[Name(EN)],Tab_Def_Processes[Input_Flow_I_2],,0,)</f>
        <v>N.A.</v>
      </c>
      <c r="Q3" s="49" t="e">
        <f>_xlfn.XLOOKUP($E3,Tab_Def_Processes[Name(EN)],Tab_Def_Processes[Flow_ID_I_2],,0,)</f>
        <v>#N/A</v>
      </c>
      <c r="R3" s="80"/>
      <c r="S3" s="75" t="str">
        <f>_xlfn.XLOOKUP($E3,Tab_Def_Processes[Name(EN)],Tab_Def_Processes[Input_Flow_I_3],,0,)</f>
        <v>N.A.</v>
      </c>
      <c r="T3" s="49" t="e">
        <f>_xlfn.XLOOKUP($E3,Tab_Def_Processes[Name(EN)],Tab_Def_Processes[Flow_ID_I_3],,0,)</f>
        <v>#N/A</v>
      </c>
      <c r="U3" s="80"/>
      <c r="V3" s="75" t="str">
        <f>_xlfn.XLOOKUP($E3,Tab_Def_Processes[Name(EN)],Tab_Def_Processes[Input_Flow_I_4],,0,)</f>
        <v>N.A.</v>
      </c>
      <c r="W3" s="49" t="e">
        <f>_xlfn.XLOOKUP($E3,Tab_Def_Processes[Name(EN)],Tab_Def_Processes[Flow_ID_I_4],,0,)</f>
        <v>#N/A</v>
      </c>
      <c r="X3" s="80"/>
      <c r="Y3" s="75" t="str">
        <f>_xlfn.XLOOKUP($E3,Tab_Def_Processes[Name(EN)],Tab_Def_Processes[Input_Flow_I_5],,0,)</f>
        <v>N.A.</v>
      </c>
      <c r="Z3" s="49" t="e">
        <f>_xlfn.XLOOKUP($E3,Tab_Def_Processes[Name(EN)],Tab_Def_Processes[Flow_ID_I_5],,0,)</f>
        <v>#N/A</v>
      </c>
      <c r="AA3" s="80"/>
      <c r="AB3" s="78">
        <f>Tab_Process_TCs[[#This Row],[Flow_TC_I_1_'[%']]]+Tab_Process_TCs[[#This Row],[Flow_TC_I_2_'[%']]]+Tab_Process_TCs[[#This Row],[Flow_TC_I_3_'[%']]]+Tab_Process_TCs[[#This Row],[Flow_TC_I_4_'[%']]]+Tab_Process_TCs[[#This Row],[Flow_TC_I_5_'[%']]]</f>
        <v>0</v>
      </c>
      <c r="AC3" s="49" t="str">
        <f>_xlfn.XLOOKUP($E3,Tab_Def_Processes[Name(EN)],Tab_Def_Processes[Output_Flow_O_1],,0,)</f>
        <v>Biomass 5</v>
      </c>
      <c r="AD3" s="49" t="str">
        <f>_xlfn.XLOOKUP($E3,Tab_Def_Processes[Name(EN)],Tab_Def_Processes[Flow_ID_O_1],,0,)</f>
        <v>F_03_05</v>
      </c>
      <c r="AE3" s="115">
        <v>0.3</v>
      </c>
      <c r="AF3" s="120" t="str">
        <f>_xlfn.XLOOKUP($E3,Tab_Def_Processes[Name(EN)],Tab_Def_Processes[Output_Flow_O_2],,0,)</f>
        <v>Biomass 4</v>
      </c>
      <c r="AG3" s="120" t="str">
        <f>_xlfn.XLOOKUP($E3,Tab_Def_Processes[Name(EN)],Tab_Def_Processes[Flow_ID_O_2],,0,)</f>
        <v>F_03_04</v>
      </c>
      <c r="AH3" s="115">
        <v>0.3</v>
      </c>
      <c r="AI3" s="120" t="str">
        <f>_xlfn.XLOOKUP($E3,Tab_Def_Processes[Name(EN)],Tab_Def_Processes[Output_Flow_O_3],,0,)</f>
        <v>Biomass 6</v>
      </c>
      <c r="AJ3" s="120" t="str">
        <f>_xlfn.XLOOKUP($E3,Tab_Def_Processes[Name(EN)],Tab_Def_Processes[Flow_ID_O_3],,0,)</f>
        <v>F_03_06</v>
      </c>
      <c r="AK3" s="115">
        <v>0.1</v>
      </c>
      <c r="AL3" s="120" t="str">
        <f>_xlfn.XLOOKUP($E3,Tab_Def_Processes[Name(EN)],Tab_Def_Processes[Output_Flow_O_4],,0,)</f>
        <v>Biomass 7</v>
      </c>
      <c r="AM3" s="120" t="str">
        <f>_xlfn.XLOOKUP($E3,Tab_Def_Processes[Name(EN)],Tab_Def_Processes[Flow_ID_O_4],,0,)</f>
        <v>F_03_07</v>
      </c>
      <c r="AN3" s="115">
        <v>0.2</v>
      </c>
      <c r="AO3" s="120" t="str">
        <f>_xlfn.XLOOKUP($E3,Tab_Def_Processes[Name(EN)],Tab_Def_Processes[Output_Flow_O_5],,0,)</f>
        <v>Biomass 8</v>
      </c>
      <c r="AP3" s="120" t="str">
        <f>_xlfn.XLOOKUP($E3,Tab_Def_Processes[Name(EN)],Tab_Def_Processes[Flow_ID_O_5],,0,)</f>
        <v>F_03_08</v>
      </c>
      <c r="AQ3" s="131">
        <v>0.1</v>
      </c>
      <c r="AR3" s="120" t="str">
        <f>_xlfn.XLOOKUP($E3,Tab_Def_Processes[Name(EN)],Tab_Def_Processes[Output_Flow_O_6],,0,)</f>
        <v>N.A.</v>
      </c>
      <c r="AS3" s="120" t="e">
        <f>_xlfn.XLOOKUP($E3,Tab_Def_Processes[Name(EN)],Tab_Def_Processes[Flow_ID_O_6],,0,)</f>
        <v>#N/A</v>
      </c>
      <c r="AT3" s="115">
        <v>0</v>
      </c>
      <c r="AU3" s="127">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3" t="b">
        <v>1</v>
      </c>
      <c r="B4" s="49">
        <f t="shared" si="0"/>
        <v>3</v>
      </c>
      <c r="C4" s="49" t="str">
        <f t="shared" si="1"/>
        <v>TC3_04_Inc__0</v>
      </c>
      <c r="D4" s="113" t="str">
        <f>_xlfn.XLOOKUP($E4,Tab_Def_Processes[Name(EN)],Tab_Def_Processes[ID],,0,)</f>
        <v>04</v>
      </c>
      <c r="E4" s="51" t="s">
        <v>484</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N.A.</v>
      </c>
      <c r="N4" s="49" t="e">
        <f>_xlfn.XLOOKUP($E4,Tab_Def_Processes[Name(EN)],Tab_Def_Processes[Flow_ID_I_1],,0,)</f>
        <v>#N/A</v>
      </c>
      <c r="O4" s="80"/>
      <c r="P4" s="75" t="str">
        <f>_xlfn.XLOOKUP($E4,Tab_Def_Processes[Name(EN)],Tab_Def_Processes[Input_Flow_I_2],,0,)</f>
        <v>N.A.</v>
      </c>
      <c r="Q4" s="49" t="e">
        <f>_xlfn.XLOOKUP($E4,Tab_Def_Processes[Name(EN)],Tab_Def_Processes[Flow_ID_I_2],,0,)</f>
        <v>#N/A</v>
      </c>
      <c r="R4" s="80"/>
      <c r="S4" s="75" t="str">
        <f>_xlfn.XLOOKUP($E4,Tab_Def_Processes[Name(EN)],Tab_Def_Processes[Input_Flow_I_3],,0,)</f>
        <v>N.A.</v>
      </c>
      <c r="T4" s="49" t="e">
        <f>_xlfn.XLOOKUP($E4,Tab_Def_Processes[Name(EN)],Tab_Def_Processes[Flow_ID_I_3],,0,)</f>
        <v>#N/A</v>
      </c>
      <c r="U4" s="80"/>
      <c r="V4" s="75" t="str">
        <f>_xlfn.XLOOKUP($E4,Tab_Def_Processes[Name(EN)],Tab_Def_Processes[Input_Flow_I_4],,0,)</f>
        <v>N.A.</v>
      </c>
      <c r="W4" s="49" t="e">
        <f>_xlfn.XLOOKUP($E4,Tab_Def_Processes[Name(EN)],Tab_Def_Processes[Flow_ID_I_4],,0,)</f>
        <v>#N/A</v>
      </c>
      <c r="X4" s="80"/>
      <c r="Y4" s="75" t="str">
        <f>_xlfn.XLOOKUP($E4,Tab_Def_Processes[Name(EN)],Tab_Def_Processes[Input_Flow_I_5],,0,)</f>
        <v>N.A.</v>
      </c>
      <c r="Z4" s="49" t="e">
        <f>_xlfn.XLOOKUP($E4,Tab_Def_Processes[Name(EN)],Tab_Def_Processes[Flow_ID_I_5],,0,)</f>
        <v>#N/A</v>
      </c>
      <c r="AA4" s="80"/>
      <c r="AB4" s="78">
        <f>Tab_Process_TCs[[#This Row],[Flow_TC_I_1_'[%']]]+Tab_Process_TCs[[#This Row],[Flow_TC_I_2_'[%']]]+Tab_Process_TCs[[#This Row],[Flow_TC_I_3_'[%']]]+Tab_Process_TCs[[#This Row],[Flow_TC_I_4_'[%']]]+Tab_Process_TCs[[#This Row],[Flow_TC_I_5_'[%']]]</f>
        <v>0</v>
      </c>
      <c r="AC4" s="49" t="str">
        <f>_xlfn.XLOOKUP($E4,Tab_Def_Processes[Name(EN)],Tab_Def_Processes[Output_Flow_O_1],,0,)</f>
        <v>Biomass 9</v>
      </c>
      <c r="AD4" s="49" t="str">
        <f>_xlfn.XLOOKUP($E4,Tab_Def_Processes[Name(EN)],Tab_Def_Processes[Flow_ID_O_1],,0,)</f>
        <v>F_04_09</v>
      </c>
      <c r="AE4" s="115">
        <v>1</v>
      </c>
      <c r="AF4" s="120" t="str">
        <f>_xlfn.XLOOKUP($E4,Tab_Def_Processes[Name(EN)],Tab_Def_Processes[Output_Flow_O_2],,0,)</f>
        <v>N.A.</v>
      </c>
      <c r="AG4" s="120" t="e">
        <f>_xlfn.XLOOKUP($E4,Tab_Def_Processes[Name(EN)],Tab_Def_Processes[Flow_ID_O_2],,0,)</f>
        <v>#N/A</v>
      </c>
      <c r="AH4" s="115">
        <v>0</v>
      </c>
      <c r="AI4" s="120" t="str">
        <f>_xlfn.XLOOKUP($E4,Tab_Def_Processes[Name(EN)],Tab_Def_Processes[Output_Flow_O_3],,0,)</f>
        <v>N.A.</v>
      </c>
      <c r="AJ4" s="120" t="e">
        <f>_xlfn.XLOOKUP($E4,Tab_Def_Processes[Name(EN)],Tab_Def_Processes[Flow_ID_O_3],,0,)</f>
        <v>#N/A</v>
      </c>
      <c r="AK4" s="115">
        <v>0</v>
      </c>
      <c r="AL4" s="120" t="str">
        <f>_xlfn.XLOOKUP($E4,Tab_Def_Processes[Name(EN)],Tab_Def_Processes[Output_Flow_O_4],,0,)</f>
        <v>N.A.</v>
      </c>
      <c r="AM4" s="120" t="e">
        <f>_xlfn.XLOOKUP($E4,Tab_Def_Processes[Name(EN)],Tab_Def_Processes[Flow_ID_O_4],,0,)</f>
        <v>#N/A</v>
      </c>
      <c r="AN4" s="115">
        <v>0</v>
      </c>
      <c r="AO4" s="120" t="str">
        <f>_xlfn.XLOOKUP($E4,Tab_Def_Processes[Name(EN)],Tab_Def_Processes[Output_Flow_O_5],,0,)</f>
        <v>N.A.</v>
      </c>
      <c r="AP4" s="120" t="e">
        <f>_xlfn.XLOOKUP($E4,Tab_Def_Processes[Name(EN)],Tab_Def_Processes[Flow_ID_O_5],,0,)</f>
        <v>#N/A</v>
      </c>
      <c r="AQ4" s="115">
        <v>0</v>
      </c>
      <c r="AR4" s="120" t="str">
        <f>_xlfn.XLOOKUP($E4,Tab_Def_Processes[Name(EN)],Tab_Def_Processes[Output_Flow_O_6],,0,)</f>
        <v>N.A.</v>
      </c>
      <c r="AS4" s="120" t="e">
        <f>_xlfn.XLOOKUP($E4,Tab_Def_Processes[Name(EN)],Tab_Def_Processes[Flow_ID_O_6],,0,)</f>
        <v>#N/A</v>
      </c>
      <c r="AT4" s="115">
        <v>0</v>
      </c>
      <c r="AU4" s="127">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3" t="b">
        <v>1</v>
      </c>
      <c r="B5" s="49">
        <f t="shared" si="0"/>
        <v>4</v>
      </c>
      <c r="C5" s="49" t="str">
        <f t="shared" si="1"/>
        <v>TC4_05_Com__0</v>
      </c>
      <c r="D5" s="113" t="str">
        <f>_xlfn.XLOOKUP($E5,Tab_Def_Processes[Name(EN)],Tab_Def_Processes[ID],,0,)</f>
        <v>05</v>
      </c>
      <c r="E5" s="51" t="s">
        <v>485</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N.A.</v>
      </c>
      <c r="N5" s="49" t="e">
        <f>_xlfn.XLOOKUP($E5,Tab_Def_Processes[Name(EN)],Tab_Def_Processes[Flow_ID_I_1],,0,)</f>
        <v>#N/A</v>
      </c>
      <c r="O5" s="80"/>
      <c r="P5" s="75" t="str">
        <f>_xlfn.XLOOKUP($E5,Tab_Def_Processes[Name(EN)],Tab_Def_Processes[Input_Flow_I_2],,0,)</f>
        <v>N.A.</v>
      </c>
      <c r="Q5" s="49" t="e">
        <f>_xlfn.XLOOKUP($E5,Tab_Def_Processes[Name(EN)],Tab_Def_Processes[Flow_ID_I_2],,0,)</f>
        <v>#N/A</v>
      </c>
      <c r="R5" s="80"/>
      <c r="S5" s="75" t="str">
        <f>_xlfn.XLOOKUP($E5,Tab_Def_Processes[Name(EN)],Tab_Def_Processes[Input_Flow_I_3],,0,)</f>
        <v>N.A.</v>
      </c>
      <c r="T5" s="49" t="e">
        <f>_xlfn.XLOOKUP($E5,Tab_Def_Processes[Name(EN)],Tab_Def_Processes[Flow_ID_I_3],,0,)</f>
        <v>#N/A</v>
      </c>
      <c r="U5" s="80"/>
      <c r="V5" s="75" t="str">
        <f>_xlfn.XLOOKUP($E5,Tab_Def_Processes[Name(EN)],Tab_Def_Processes[Input_Flow_I_4],,0,)</f>
        <v>N.A.</v>
      </c>
      <c r="W5" s="49" t="e">
        <f>_xlfn.XLOOKUP($E5,Tab_Def_Processes[Name(EN)],Tab_Def_Processes[Flow_ID_I_4],,0,)</f>
        <v>#N/A</v>
      </c>
      <c r="X5" s="80"/>
      <c r="Y5" s="75" t="str">
        <f>_xlfn.XLOOKUP($E5,Tab_Def_Processes[Name(EN)],Tab_Def_Processes[Input_Flow_I_5],,0,)</f>
        <v>N.A.</v>
      </c>
      <c r="Z5" s="49" t="e">
        <f>_xlfn.XLOOKUP($E5,Tab_Def_Processes[Name(EN)],Tab_Def_Processes[Flow_ID_I_5],,0,)</f>
        <v>#N/A</v>
      </c>
      <c r="AA5" s="80"/>
      <c r="AB5" s="78">
        <f>Tab_Process_TCs[[#This Row],[Flow_TC_I_1_'[%']]]+Tab_Process_TCs[[#This Row],[Flow_TC_I_2_'[%']]]+Tab_Process_TCs[[#This Row],[Flow_TC_I_3_'[%']]]+Tab_Process_TCs[[#This Row],[Flow_TC_I_4_'[%']]]+Tab_Process_TCs[[#This Row],[Flow_TC_I_5_'[%']]]</f>
        <v>0</v>
      </c>
      <c r="AC5" s="49" t="str">
        <f>_xlfn.XLOOKUP($E5,Tab_Def_Processes[Name(EN)],Tab_Def_Processes[Output_Flow_O_1],,0,)</f>
        <v>Biomass 10</v>
      </c>
      <c r="AD5" s="49" t="str">
        <f>_xlfn.XLOOKUP($E5,Tab_Def_Processes[Name(EN)],Tab_Def_Processes[Flow_ID_O_1],,0,)</f>
        <v>F_05_09</v>
      </c>
      <c r="AE5" s="115">
        <v>0.7</v>
      </c>
      <c r="AF5" s="120" t="str">
        <f>_xlfn.XLOOKUP($E5,Tab_Def_Processes[Name(EN)],Tab_Def_Processes[Output_Flow_O_2],,0,)</f>
        <v>Biomass 11</v>
      </c>
      <c r="AG5" s="120" t="str">
        <f>_xlfn.XLOOKUP($E5,Tab_Def_Processes[Name(EN)],Tab_Def_Processes[Flow_ID_O_2],,0,)</f>
        <v>F_05_10</v>
      </c>
      <c r="AH5" s="115">
        <v>0.15</v>
      </c>
      <c r="AI5" s="120" t="str">
        <f>_xlfn.XLOOKUP($E5,Tab_Def_Processes[Name(EN)],Tab_Def_Processes[Output_Flow_O_3],,0,)</f>
        <v>Biomass 12</v>
      </c>
      <c r="AJ5" s="120" t="str">
        <f>_xlfn.XLOOKUP($E5,Tab_Def_Processes[Name(EN)],Tab_Def_Processes[Flow_ID_O_3],,0,)</f>
        <v>F_05_11</v>
      </c>
      <c r="AK5" s="115">
        <v>0.15</v>
      </c>
      <c r="AL5" s="120" t="str">
        <f>_xlfn.XLOOKUP($E5,Tab_Def_Processes[Name(EN)],Tab_Def_Processes[Output_Flow_O_4],,0,)</f>
        <v>N.A.</v>
      </c>
      <c r="AM5" s="120" t="e">
        <f>_xlfn.XLOOKUP($E5,Tab_Def_Processes[Name(EN)],Tab_Def_Processes[Flow_ID_O_4],,0,)</f>
        <v>#N/A</v>
      </c>
      <c r="AN5" s="115">
        <v>0</v>
      </c>
      <c r="AO5" s="120" t="str">
        <f>_xlfn.XLOOKUP($E5,Tab_Def_Processes[Name(EN)],Tab_Def_Processes[Output_Flow_O_5],,0,)</f>
        <v>N.A.</v>
      </c>
      <c r="AP5" s="120" t="e">
        <f>_xlfn.XLOOKUP($E5,Tab_Def_Processes[Name(EN)],Tab_Def_Processes[Flow_ID_O_5],,0,)</f>
        <v>#N/A</v>
      </c>
      <c r="AQ5" s="115">
        <v>0</v>
      </c>
      <c r="AR5" s="120" t="str">
        <f>_xlfn.XLOOKUP($E5,Tab_Def_Processes[Name(EN)],Tab_Def_Processes[Output_Flow_O_6],,0,)</f>
        <v>N.A.</v>
      </c>
      <c r="AS5" s="120" t="e">
        <f>_xlfn.XLOOKUP($E5,Tab_Def_Processes[Name(EN)],Tab_Def_Processes[Flow_ID_O_6],,0,)</f>
        <v>#N/A</v>
      </c>
      <c r="AT5" s="115">
        <v>0</v>
      </c>
      <c r="AU5" s="127">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3" t="b">
        <v>1</v>
      </c>
      <c r="B6" s="49">
        <f t="shared" si="0"/>
        <v>5</v>
      </c>
      <c r="C6" s="49" t="str">
        <f t="shared" si="1"/>
        <v>TC5_06_HTC__0</v>
      </c>
      <c r="D6" s="113" t="str">
        <f>_xlfn.XLOOKUP($E6,Tab_Def_Processes[Name(EN)],Tab_Def_Processes[ID],,0,)</f>
        <v>06</v>
      </c>
      <c r="E6" s="51" t="s">
        <v>486</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No</v>
      </c>
      <c r="M6" s="60" t="str">
        <f>_xlfn.XLOOKUP($E6,Tab_Def_Processes[Name(EN)],Tab_Def_Processes[Input_Flow_I_1],,0,)</f>
        <v>N.A.</v>
      </c>
      <c r="N6" s="49" t="e">
        <f>_xlfn.XLOOKUP($E6,Tab_Def_Processes[Name(EN)],Tab_Def_Processes[Flow_ID_I_1],,0,)</f>
        <v>#N/A</v>
      </c>
      <c r="O6" s="80"/>
      <c r="P6" s="75" t="str">
        <f>_xlfn.XLOOKUP($E6,Tab_Def_Processes[Name(EN)],Tab_Def_Processes[Input_Flow_I_2],,0,)</f>
        <v>N.A.</v>
      </c>
      <c r="Q6" s="49" t="e">
        <f>_xlfn.XLOOKUP($E6,Tab_Def_Processes[Name(EN)],Tab_Def_Processes[Flow_ID_I_2],,0,)</f>
        <v>#N/A</v>
      </c>
      <c r="R6" s="80"/>
      <c r="S6" s="75" t="str">
        <f>_xlfn.XLOOKUP($E6,Tab_Def_Processes[Name(EN)],Tab_Def_Processes[Input_Flow_I_3],,0,)</f>
        <v>N.A.</v>
      </c>
      <c r="T6" s="49" t="e">
        <f>_xlfn.XLOOKUP($E6,Tab_Def_Processes[Name(EN)],Tab_Def_Processes[Flow_ID_I_3],,0,)</f>
        <v>#N/A</v>
      </c>
      <c r="U6" s="80"/>
      <c r="V6" s="75" t="str">
        <f>_xlfn.XLOOKUP($E6,Tab_Def_Processes[Name(EN)],Tab_Def_Processes[Input_Flow_I_4],,0,)</f>
        <v>N.A.</v>
      </c>
      <c r="W6" s="49" t="e">
        <f>_xlfn.XLOOKUP($E6,Tab_Def_Processes[Name(EN)],Tab_Def_Processes[Flow_ID_I_4],,0,)</f>
        <v>#N/A</v>
      </c>
      <c r="X6" s="80"/>
      <c r="Y6" s="75" t="str">
        <f>_xlfn.XLOOKUP($E6,Tab_Def_Processes[Name(EN)],Tab_Def_Processes[Input_Flow_I_5],,0,)</f>
        <v>N.A.</v>
      </c>
      <c r="Z6" s="49" t="e">
        <f>_xlfn.XLOOKUP($E6,Tab_Def_Processes[Name(EN)],Tab_Def_Processes[Flow_ID_I_5],,0,)</f>
        <v>#N/A</v>
      </c>
      <c r="AA6" s="80"/>
      <c r="AB6" s="78">
        <f>Tab_Process_TCs[[#This Row],[Flow_TC_I_1_'[%']]]+Tab_Process_TCs[[#This Row],[Flow_TC_I_2_'[%']]]+Tab_Process_TCs[[#This Row],[Flow_TC_I_3_'[%']]]+Tab_Process_TCs[[#This Row],[Flow_TC_I_4_'[%']]]+Tab_Process_TCs[[#This Row],[Flow_TC_I_5_'[%']]]</f>
        <v>0</v>
      </c>
      <c r="AC6" s="49" t="str">
        <f>_xlfn.XLOOKUP($E6,Tab_Def_Processes[Name(EN)],Tab_Def_Processes[Output_Flow_O_1],,0,)</f>
        <v>Biomass 13</v>
      </c>
      <c r="AD6" s="49" t="str">
        <f>_xlfn.XLOOKUP($E6,Tab_Def_Processes[Name(EN)],Tab_Def_Processes[Flow_ID_O_1],,0,)</f>
        <v>F_06_10</v>
      </c>
      <c r="AE6" s="115">
        <v>1</v>
      </c>
      <c r="AF6" s="120" t="str">
        <f>_xlfn.XLOOKUP($E6,Tab_Def_Processes[Name(EN)],Tab_Def_Processes[Output_Flow_O_2],,0,)</f>
        <v>N.A.</v>
      </c>
      <c r="AG6" s="120" t="e">
        <f>_xlfn.XLOOKUP($E6,Tab_Def_Processes[Name(EN)],Tab_Def_Processes[Flow_ID_O_2],,0,)</f>
        <v>#N/A</v>
      </c>
      <c r="AH6" s="115">
        <v>0</v>
      </c>
      <c r="AI6" s="120" t="str">
        <f>_xlfn.XLOOKUP($E6,Tab_Def_Processes[Name(EN)],Tab_Def_Processes[Output_Flow_O_3],,0,)</f>
        <v>N.A.</v>
      </c>
      <c r="AJ6" s="120" t="e">
        <f>_xlfn.XLOOKUP($E6,Tab_Def_Processes[Name(EN)],Tab_Def_Processes[Flow_ID_O_3],,0,)</f>
        <v>#N/A</v>
      </c>
      <c r="AK6" s="115">
        <v>0</v>
      </c>
      <c r="AL6" s="120" t="str">
        <f>_xlfn.XLOOKUP($E6,Tab_Def_Processes[Name(EN)],Tab_Def_Processes[Output_Flow_O_4],,0,)</f>
        <v>N.A.</v>
      </c>
      <c r="AM6" s="120" t="e">
        <f>_xlfn.XLOOKUP($E6,Tab_Def_Processes[Name(EN)],Tab_Def_Processes[Flow_ID_O_4],,0,)</f>
        <v>#N/A</v>
      </c>
      <c r="AN6" s="115">
        <v>0</v>
      </c>
      <c r="AO6" s="120" t="str">
        <f>_xlfn.XLOOKUP($E6,Tab_Def_Processes[Name(EN)],Tab_Def_Processes[Output_Flow_O_5],,0,)</f>
        <v>N.A.</v>
      </c>
      <c r="AP6" s="120" t="e">
        <f>_xlfn.XLOOKUP($E6,Tab_Def_Processes[Name(EN)],Tab_Def_Processes[Flow_ID_O_5],,0,)</f>
        <v>#N/A</v>
      </c>
      <c r="AQ6" s="115">
        <v>0</v>
      </c>
      <c r="AR6" s="120" t="str">
        <f>_xlfn.XLOOKUP($E6,Tab_Def_Processes[Name(EN)],Tab_Def_Processes[Output_Flow_O_6],,0,)</f>
        <v>N.A.</v>
      </c>
      <c r="AS6" s="120" t="e">
        <f>_xlfn.XLOOKUP($E6,Tab_Def_Processes[Name(EN)],Tab_Def_Processes[Flow_ID_O_6],,0,)</f>
        <v>#N/A</v>
      </c>
      <c r="AT6" s="115">
        <v>0</v>
      </c>
      <c r="AU6" s="127">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3" t="b">
        <v>1</v>
      </c>
      <c r="B7" s="49">
        <f t="shared" si="0"/>
        <v>6</v>
      </c>
      <c r="C7" s="49" t="str">
        <f t="shared" si="1"/>
        <v>TC6_07_AD__0</v>
      </c>
      <c r="D7" s="113" t="str">
        <f>_xlfn.XLOOKUP($E7,Tab_Def_Processes[Name(EN)],Tab_Def_Processes[ID],,0,)</f>
        <v>07</v>
      </c>
      <c r="E7" s="51" t="s">
        <v>487</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N.A.</v>
      </c>
      <c r="N7" s="49" t="e">
        <f>_xlfn.XLOOKUP($E7,Tab_Def_Processes[Name(EN)],Tab_Def_Processes[Flow_ID_I_1],,0,)</f>
        <v>#N/A</v>
      </c>
      <c r="O7" s="80"/>
      <c r="P7" s="75" t="str">
        <f>_xlfn.XLOOKUP($E7,Tab_Def_Processes[Name(EN)],Tab_Def_Processes[Input_Flow_I_2],,0,)</f>
        <v>N.A.</v>
      </c>
      <c r="Q7" s="49" t="e">
        <f>_xlfn.XLOOKUP($E7,Tab_Def_Processes[Name(EN)],Tab_Def_Processes[Flow_ID_I_2],,0,)</f>
        <v>#N/A</v>
      </c>
      <c r="R7" s="80"/>
      <c r="S7" s="75" t="str">
        <f>_xlfn.XLOOKUP($E7,Tab_Def_Processes[Name(EN)],Tab_Def_Processes[Input_Flow_I_3],,0,)</f>
        <v>N.A.</v>
      </c>
      <c r="T7" s="49" t="e">
        <f>_xlfn.XLOOKUP($E7,Tab_Def_Processes[Name(EN)],Tab_Def_Processes[Flow_ID_I_3],,0,)</f>
        <v>#N/A</v>
      </c>
      <c r="U7" s="80"/>
      <c r="V7" s="75" t="str">
        <f>_xlfn.XLOOKUP($E7,Tab_Def_Processes[Name(EN)],Tab_Def_Processes[Input_Flow_I_4],,0,)</f>
        <v>N.A.</v>
      </c>
      <c r="W7" s="49" t="e">
        <f>_xlfn.XLOOKUP($E7,Tab_Def_Processes[Name(EN)],Tab_Def_Processes[Flow_ID_I_4],,0,)</f>
        <v>#N/A</v>
      </c>
      <c r="X7" s="80"/>
      <c r="Y7" s="75" t="str">
        <f>_xlfn.XLOOKUP($E7,Tab_Def_Processes[Name(EN)],Tab_Def_Processes[Input_Flow_I_5],,0,)</f>
        <v>N.A.</v>
      </c>
      <c r="Z7" s="49" t="e">
        <f>_xlfn.XLOOKUP($E7,Tab_Def_Processes[Name(EN)],Tab_Def_Processes[Flow_ID_I_5],,0,)</f>
        <v>#N/A</v>
      </c>
      <c r="AA7" s="80"/>
      <c r="AB7" s="78">
        <f>Tab_Process_TCs[[#This Row],[Flow_TC_I_1_'[%']]]+Tab_Process_TCs[[#This Row],[Flow_TC_I_2_'[%']]]+Tab_Process_TCs[[#This Row],[Flow_TC_I_3_'[%']]]+Tab_Process_TCs[[#This Row],[Flow_TC_I_4_'[%']]]+Tab_Process_TCs[[#This Row],[Flow_TC_I_5_'[%']]]</f>
        <v>0</v>
      </c>
      <c r="AC7" s="49" t="str">
        <f>_xlfn.XLOOKUP($E7,Tab_Def_Processes[Name(EN)],Tab_Def_Processes[Output_Flow_O_1],,0,)</f>
        <v>Biomass 14</v>
      </c>
      <c r="AD7" s="49" t="str">
        <f>_xlfn.XLOOKUP($E7,Tab_Def_Processes[Name(EN)],Tab_Def_Processes[Flow_ID_O_1],,0,)</f>
        <v>F_07_10</v>
      </c>
      <c r="AE7" s="115">
        <v>1</v>
      </c>
      <c r="AF7" s="120" t="str">
        <f>_xlfn.XLOOKUP($E7,Tab_Def_Processes[Name(EN)],Tab_Def_Processes[Output_Flow_O_2],,0,)</f>
        <v>N.A.</v>
      </c>
      <c r="AG7" s="120" t="e">
        <f>_xlfn.XLOOKUP($E7,Tab_Def_Processes[Name(EN)],Tab_Def_Processes[Flow_ID_O_2],,0,)</f>
        <v>#N/A</v>
      </c>
      <c r="AH7" s="115">
        <v>0</v>
      </c>
      <c r="AI7" s="120" t="str">
        <f>_xlfn.XLOOKUP($E7,Tab_Def_Processes[Name(EN)],Tab_Def_Processes[Output_Flow_O_3],,0,)</f>
        <v>N.A.</v>
      </c>
      <c r="AJ7" s="120" t="e">
        <f>_xlfn.XLOOKUP($E7,Tab_Def_Processes[Name(EN)],Tab_Def_Processes[Flow_ID_O_3],,0,)</f>
        <v>#N/A</v>
      </c>
      <c r="AK7" s="115">
        <v>0</v>
      </c>
      <c r="AL7" s="120" t="str">
        <f>_xlfn.XLOOKUP($E7,Tab_Def_Processes[Name(EN)],Tab_Def_Processes[Output_Flow_O_4],,0,)</f>
        <v>N.A.</v>
      </c>
      <c r="AM7" s="120" t="e">
        <f>_xlfn.XLOOKUP($E7,Tab_Def_Processes[Name(EN)],Tab_Def_Processes[Flow_ID_O_4],,0,)</f>
        <v>#N/A</v>
      </c>
      <c r="AN7" s="115">
        <v>0</v>
      </c>
      <c r="AO7" s="120" t="str">
        <f>_xlfn.XLOOKUP($E7,Tab_Def_Processes[Name(EN)],Tab_Def_Processes[Output_Flow_O_5],,0,)</f>
        <v>N.A.</v>
      </c>
      <c r="AP7" s="120" t="e">
        <f>_xlfn.XLOOKUP($E7,Tab_Def_Processes[Name(EN)],Tab_Def_Processes[Flow_ID_O_5],,0,)</f>
        <v>#N/A</v>
      </c>
      <c r="AQ7" s="115">
        <v>0</v>
      </c>
      <c r="AR7" s="120" t="str">
        <f>_xlfn.XLOOKUP($E7,Tab_Def_Processes[Name(EN)],Tab_Def_Processes[Output_Flow_O_6],,0,)</f>
        <v>N.A.</v>
      </c>
      <c r="AS7" s="120" t="e">
        <f>_xlfn.XLOOKUP($E7,Tab_Def_Processes[Name(EN)],Tab_Def_Processes[Flow_ID_O_6],,0,)</f>
        <v>#N/A</v>
      </c>
      <c r="AT7" s="115">
        <v>0</v>
      </c>
      <c r="AU7" s="127">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3" t="b">
        <v>1</v>
      </c>
      <c r="B8" s="49">
        <f t="shared" si="0"/>
        <v>7</v>
      </c>
      <c r="C8" s="49" t="e">
        <f t="shared" si="1"/>
        <v>#N/A</v>
      </c>
      <c r="D8" s="113" t="e">
        <f>_xlfn.XLOOKUP($E8,Tab_Def_Processes[Name(EN)],Tab_Def_Processes[ID],,0,)</f>
        <v>#N/A</v>
      </c>
      <c r="E8" s="51" t="s">
        <v>230</v>
      </c>
      <c r="F8" s="49"/>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60" t="e">
        <f>_xlfn.XLOOKUP($E8,Tab_Def_Processes[Name(EN)],Tab_Def_Processes[Input_Flow_I_1],,0,)</f>
        <v>#N/A</v>
      </c>
      <c r="N8" s="49" t="e">
        <f>_xlfn.XLOOKUP($E8,Tab_Def_Processes[Name(EN)],Tab_Def_Processes[Flow_ID_I_1],,0,)</f>
        <v>#N/A</v>
      </c>
      <c r="O8" s="80"/>
      <c r="P8" s="75" t="e">
        <f>_xlfn.XLOOKUP($E8,Tab_Def_Processes[Name(EN)],Tab_Def_Processes[Input_Flow_I_2],,0,)</f>
        <v>#N/A</v>
      </c>
      <c r="Q8" s="49" t="e">
        <f>_xlfn.XLOOKUP($E8,Tab_Def_Processes[Name(EN)],Tab_Def_Processes[Flow_ID_I_2],,0,)</f>
        <v>#N/A</v>
      </c>
      <c r="R8" s="80"/>
      <c r="S8" s="75" t="e">
        <f>_xlfn.XLOOKUP($E8,Tab_Def_Processes[Name(EN)],Tab_Def_Processes[Input_Flow_I_3],,0,)</f>
        <v>#N/A</v>
      </c>
      <c r="T8" s="49" t="e">
        <f>_xlfn.XLOOKUP($E8,Tab_Def_Processes[Name(EN)],Tab_Def_Processes[Flow_ID_I_3],,0,)</f>
        <v>#N/A</v>
      </c>
      <c r="U8" s="80"/>
      <c r="V8" s="75" t="e">
        <f>_xlfn.XLOOKUP($E8,Tab_Def_Processes[Name(EN)],Tab_Def_Processes[Input_Flow_I_4],,0,)</f>
        <v>#N/A</v>
      </c>
      <c r="W8" s="49" t="e">
        <f>_xlfn.XLOOKUP($E8,Tab_Def_Processes[Name(EN)],Tab_Def_Processes[Flow_ID_I_4],,0,)</f>
        <v>#N/A</v>
      </c>
      <c r="X8" s="80"/>
      <c r="Y8" s="75" t="e">
        <f>_xlfn.XLOOKUP($E8,Tab_Def_Processes[Name(EN)],Tab_Def_Processes[Input_Flow_I_5],,0,)</f>
        <v>#N/A</v>
      </c>
      <c r="Z8" s="49" t="e">
        <f>_xlfn.XLOOKUP($E8,Tab_Def_Processes[Name(EN)],Tab_Def_Processes[Flow_ID_I_5],,0,)</f>
        <v>#N/A</v>
      </c>
      <c r="AA8" s="80"/>
      <c r="AB8" s="78">
        <f>Tab_Process_TCs[[#This Row],[Flow_TC_I_1_'[%']]]+Tab_Process_TCs[[#This Row],[Flow_TC_I_2_'[%']]]+Tab_Process_TCs[[#This Row],[Flow_TC_I_3_'[%']]]+Tab_Process_TCs[[#This Row],[Flow_TC_I_4_'[%']]]+Tab_Process_TCs[[#This Row],[Flow_TC_I_5_'[%']]]</f>
        <v>0</v>
      </c>
      <c r="AC8" s="49" t="e">
        <f>_xlfn.XLOOKUP($E8,Tab_Def_Processes[Name(EN)],Tab_Def_Processes[Output_Flow_O_1],,0,)</f>
        <v>#N/A</v>
      </c>
      <c r="AD8" s="49" t="e">
        <f>_xlfn.XLOOKUP($E8,Tab_Def_Processes[Name(EN)],Tab_Def_Processes[Flow_ID_O_1],,0,)</f>
        <v>#N/A</v>
      </c>
      <c r="AE8" s="115"/>
      <c r="AF8" s="120" t="e">
        <f>_xlfn.XLOOKUP($E8,Tab_Def_Processes[Name(EN)],Tab_Def_Processes[Output_Flow_O_2],,0,)</f>
        <v>#N/A</v>
      </c>
      <c r="AG8" s="120" t="e">
        <f>_xlfn.XLOOKUP($E8,Tab_Def_Processes[Name(EN)],Tab_Def_Processes[Flow_ID_O_2],,0,)</f>
        <v>#N/A</v>
      </c>
      <c r="AH8" s="115"/>
      <c r="AI8" s="120" t="e">
        <f>_xlfn.XLOOKUP($E8,Tab_Def_Processes[Name(EN)],Tab_Def_Processes[Output_Flow_O_3],,0,)</f>
        <v>#N/A</v>
      </c>
      <c r="AJ8" s="120" t="e">
        <f>_xlfn.XLOOKUP($E8,Tab_Def_Processes[Name(EN)],Tab_Def_Processes[Flow_ID_O_3],,0,)</f>
        <v>#N/A</v>
      </c>
      <c r="AK8" s="115"/>
      <c r="AL8" s="120" t="e">
        <f>_xlfn.XLOOKUP($E8,Tab_Def_Processes[Name(EN)],Tab_Def_Processes[Output_Flow_O_4],,0,)</f>
        <v>#N/A</v>
      </c>
      <c r="AM8" s="120" t="e">
        <f>_xlfn.XLOOKUP($E8,Tab_Def_Processes[Name(EN)],Tab_Def_Processes[Flow_ID_O_4],,0,)</f>
        <v>#N/A</v>
      </c>
      <c r="AN8" s="115"/>
      <c r="AO8" s="120" t="e">
        <f>_xlfn.XLOOKUP($E8,Tab_Def_Processes[Name(EN)],Tab_Def_Processes[Output_Flow_O_5],,0,)</f>
        <v>#N/A</v>
      </c>
      <c r="AP8" s="120" t="e">
        <f>_xlfn.XLOOKUP($E8,Tab_Def_Processes[Name(EN)],Tab_Def_Processes[Flow_ID_O_5],,0,)</f>
        <v>#N/A</v>
      </c>
      <c r="AQ8" s="115"/>
      <c r="AR8" s="120" t="e">
        <f>_xlfn.XLOOKUP($E8,Tab_Def_Processes[Name(EN)],Tab_Def_Processes[Output_Flow_O_6],,0,)</f>
        <v>#N/A</v>
      </c>
      <c r="AS8" s="120" t="e">
        <f>_xlfn.XLOOKUP($E8,Tab_Def_Processes[Name(EN)],Tab_Def_Processes[Flow_ID_O_6],,0,)</f>
        <v>#N/A</v>
      </c>
      <c r="AT8" s="115"/>
      <c r="AU8" s="127">
        <f>SUM(Tab_Process_TCs[[#This Row],[Flow_TC O_6_'[%']]],Tab_Process_TCs[[#This Row],[Flow_TC O_5_'[%']]],Tab_Process_TCs[[#This Row],[Flow_TC_O_4_'[%']]],Tab_Process_TCs[[#This Row],[Flow_TC_O_3_'[%']]],,Tab_Process_TCs[[#This Row],[Flow_TC_O_2_'[%']]],Tab_Process_TCs[[#This Row],[Flow_TC_O_1_'[%']]])</f>
        <v>0</v>
      </c>
      <c r="AV8" s="51"/>
      <c r="AW8" s="51"/>
      <c r="AX8" s="51"/>
      <c r="AY8" s="51"/>
      <c r="AZ8" s="51"/>
    </row>
    <row r="9" spans="1:61" x14ac:dyDescent="0.25">
      <c r="A9" s="93" t="b">
        <v>0</v>
      </c>
      <c r="B9" s="49">
        <f t="shared" si="0"/>
        <v>8</v>
      </c>
      <c r="C9" s="49" t="e">
        <f t="shared" si="1"/>
        <v>#N/A</v>
      </c>
      <c r="D9" s="113" t="e">
        <f>_xlfn.XLOOKUP($E9,Tab_Def_Processes[Name(EN)],Tab_Def_Processes[ID],,0,)</f>
        <v>#N/A</v>
      </c>
      <c r="E9" s="51" t="s">
        <v>230</v>
      </c>
      <c r="F9" s="49"/>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60" t="e">
        <f>_xlfn.XLOOKUP($E9,Tab_Def_Processes[Name(EN)],Tab_Def_Processes[Input_Flow_I_1],,0,)</f>
        <v>#N/A</v>
      </c>
      <c r="N9" s="49" t="e">
        <f>_xlfn.XLOOKUP($E9,Tab_Def_Processes[Name(EN)],Tab_Def_Processes[Flow_ID_I_1],,0,)</f>
        <v>#N/A</v>
      </c>
      <c r="O9" s="80"/>
      <c r="P9" s="75" t="e">
        <f>_xlfn.XLOOKUP($E9,Tab_Def_Processes[Name(EN)],Tab_Def_Processes[Input_Flow_I_2],,0,)</f>
        <v>#N/A</v>
      </c>
      <c r="Q9" s="49" t="e">
        <f>_xlfn.XLOOKUP($E9,Tab_Def_Processes[Name(EN)],Tab_Def_Processes[Flow_ID_I_2],,0,)</f>
        <v>#N/A</v>
      </c>
      <c r="R9" s="80"/>
      <c r="S9" s="75" t="e">
        <f>_xlfn.XLOOKUP($E9,Tab_Def_Processes[Name(EN)],Tab_Def_Processes[Input_Flow_I_3],,0,)</f>
        <v>#N/A</v>
      </c>
      <c r="T9" s="49" t="e">
        <f>_xlfn.XLOOKUP($E9,Tab_Def_Processes[Name(EN)],Tab_Def_Processes[Flow_ID_I_3],,0,)</f>
        <v>#N/A</v>
      </c>
      <c r="U9" s="80"/>
      <c r="V9" s="75" t="e">
        <f>_xlfn.XLOOKUP($E9,Tab_Def_Processes[Name(EN)],Tab_Def_Processes[Input_Flow_I_4],,0,)</f>
        <v>#N/A</v>
      </c>
      <c r="W9" s="49" t="e">
        <f>_xlfn.XLOOKUP($E9,Tab_Def_Processes[Name(EN)],Tab_Def_Processes[Flow_ID_I_4],,0,)</f>
        <v>#N/A</v>
      </c>
      <c r="X9" s="80"/>
      <c r="Y9" s="75" t="e">
        <f>_xlfn.XLOOKUP($E9,Tab_Def_Processes[Name(EN)],Tab_Def_Processes[Input_Flow_I_5],,0,)</f>
        <v>#N/A</v>
      </c>
      <c r="Z9" s="49" t="e">
        <f>_xlfn.XLOOKUP($E9,Tab_Def_Processes[Name(EN)],Tab_Def_Processes[Flow_ID_I_5],,0,)</f>
        <v>#N/A</v>
      </c>
      <c r="AA9" s="80"/>
      <c r="AB9" s="78">
        <f>Tab_Process_TCs[[#This Row],[Flow_TC_I_1_'[%']]]+Tab_Process_TCs[[#This Row],[Flow_TC_I_2_'[%']]]+Tab_Process_TCs[[#This Row],[Flow_TC_I_3_'[%']]]+Tab_Process_TCs[[#This Row],[Flow_TC_I_4_'[%']]]+Tab_Process_TCs[[#This Row],[Flow_TC_I_5_'[%']]]</f>
        <v>0</v>
      </c>
      <c r="AC9" s="49" t="e">
        <f>_xlfn.XLOOKUP($E9,Tab_Def_Processes[Name(EN)],Tab_Def_Processes[Output_Flow_O_1],,0,)</f>
        <v>#N/A</v>
      </c>
      <c r="AD9" s="49" t="e">
        <f>_xlfn.XLOOKUP($E9,Tab_Def_Processes[Name(EN)],Tab_Def_Processes[Flow_ID_O_1],,0,)</f>
        <v>#N/A</v>
      </c>
      <c r="AE9" s="115"/>
      <c r="AF9" s="120" t="e">
        <f>_xlfn.XLOOKUP($E9,Tab_Def_Processes[Name(EN)],Tab_Def_Processes[Output_Flow_O_2],,0,)</f>
        <v>#N/A</v>
      </c>
      <c r="AG9" s="120" t="e">
        <f>_xlfn.XLOOKUP($E9,Tab_Def_Processes[Name(EN)],Tab_Def_Processes[Flow_ID_O_2],,0,)</f>
        <v>#N/A</v>
      </c>
      <c r="AH9" s="115"/>
      <c r="AI9" s="120" t="e">
        <f>_xlfn.XLOOKUP($E9,Tab_Def_Processes[Name(EN)],Tab_Def_Processes[Output_Flow_O_3],,0,)</f>
        <v>#N/A</v>
      </c>
      <c r="AJ9" s="120" t="e">
        <f>_xlfn.XLOOKUP($E9,Tab_Def_Processes[Name(EN)],Tab_Def_Processes[Flow_ID_O_3],,0,)</f>
        <v>#N/A</v>
      </c>
      <c r="AK9" s="115"/>
      <c r="AL9" s="120" t="e">
        <f>_xlfn.XLOOKUP($E9,Tab_Def_Processes[Name(EN)],Tab_Def_Processes[Output_Flow_O_4],,0,)</f>
        <v>#N/A</v>
      </c>
      <c r="AM9" s="120" t="e">
        <f>_xlfn.XLOOKUP($E9,Tab_Def_Processes[Name(EN)],Tab_Def_Processes[Flow_ID_O_4],,0,)</f>
        <v>#N/A</v>
      </c>
      <c r="AN9" s="115"/>
      <c r="AO9" s="120" t="e">
        <f>_xlfn.XLOOKUP($E9,Tab_Def_Processes[Name(EN)],Tab_Def_Processes[Output_Flow_O_5],,0,)</f>
        <v>#N/A</v>
      </c>
      <c r="AP9" s="120" t="e">
        <f>_xlfn.XLOOKUP($E9,Tab_Def_Processes[Name(EN)],Tab_Def_Processes[Flow_ID_O_5],,0,)</f>
        <v>#N/A</v>
      </c>
      <c r="AQ9" s="115"/>
      <c r="AR9" s="120" t="e">
        <f>_xlfn.XLOOKUP($E9,Tab_Def_Processes[Name(EN)],Tab_Def_Processes[Output_Flow_O_6],,0,)</f>
        <v>#N/A</v>
      </c>
      <c r="AS9" s="120" t="e">
        <f>_xlfn.XLOOKUP($E9,Tab_Def_Processes[Name(EN)],Tab_Def_Processes[Flow_ID_O_6],,0,)</f>
        <v>#N/A</v>
      </c>
      <c r="AT9" s="115"/>
      <c r="AU9" s="127">
        <f>SUM(Tab_Process_TCs[[#This Row],[Flow_TC O_6_'[%']]],Tab_Process_TCs[[#This Row],[Flow_TC O_5_'[%']]],Tab_Process_TCs[[#This Row],[Flow_TC_O_4_'[%']]],Tab_Process_TCs[[#This Row],[Flow_TC_O_3_'[%']]],,Tab_Process_TCs[[#This Row],[Flow_TC_O_2_'[%']]],Tab_Process_TCs[[#This Row],[Flow_TC_O_1_'[%']]])</f>
        <v>0</v>
      </c>
      <c r="AV9" s="51"/>
      <c r="AW9" s="51"/>
      <c r="AX9" s="51"/>
      <c r="AY9" s="51"/>
      <c r="AZ9" s="51"/>
    </row>
    <row r="10" spans="1:61" x14ac:dyDescent="0.25">
      <c r="A10" s="93" t="b">
        <v>0</v>
      </c>
      <c r="B10" s="49">
        <f t="shared" si="0"/>
        <v>9</v>
      </c>
      <c r="C10" s="49" t="e">
        <f t="shared" si="1"/>
        <v>#N/A</v>
      </c>
      <c r="D10" s="113" t="e">
        <f>_xlfn.XLOOKUP($E10,Tab_Def_Processes[Name(EN)],Tab_Def_Processes[ID],,0,)</f>
        <v>#N/A</v>
      </c>
      <c r="E10" s="51" t="s">
        <v>230</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60" t="e">
        <f>_xlfn.XLOOKUP($E10,Tab_Def_Processes[Name(EN)],Tab_Def_Processes[Input_Flow_I_1],,0,)</f>
        <v>#N/A</v>
      </c>
      <c r="N10" s="49" t="e">
        <f>_xlfn.XLOOKUP($E10,Tab_Def_Processes[Name(EN)],Tab_Def_Processes[Flow_ID_I_1],,0,)</f>
        <v>#N/A</v>
      </c>
      <c r="O10" s="80"/>
      <c r="P10" s="75" t="e">
        <f>_xlfn.XLOOKUP($E10,Tab_Def_Processes[Name(EN)],Tab_Def_Processes[Input_Flow_I_2],,0,)</f>
        <v>#N/A</v>
      </c>
      <c r="Q10" s="49" t="e">
        <f>_xlfn.XLOOKUP($E10,Tab_Def_Processes[Name(EN)],Tab_Def_Processes[Flow_ID_I_2],,0,)</f>
        <v>#N/A</v>
      </c>
      <c r="R10" s="80"/>
      <c r="S10" s="75" t="e">
        <f>_xlfn.XLOOKUP($E10,Tab_Def_Processes[Name(EN)],Tab_Def_Processes[Input_Flow_I_3],,0,)</f>
        <v>#N/A</v>
      </c>
      <c r="T10" s="49" t="e">
        <f>_xlfn.XLOOKUP($E10,Tab_Def_Processes[Name(EN)],Tab_Def_Processes[Flow_ID_I_3],,0,)</f>
        <v>#N/A</v>
      </c>
      <c r="U10" s="80"/>
      <c r="V10" s="75" t="e">
        <f>_xlfn.XLOOKUP($E10,Tab_Def_Processes[Name(EN)],Tab_Def_Processes[Input_Flow_I_4],,0,)</f>
        <v>#N/A</v>
      </c>
      <c r="W10" s="49" t="e">
        <f>_xlfn.XLOOKUP($E10,Tab_Def_Processes[Name(EN)],Tab_Def_Processes[Flow_ID_I_4],,0,)</f>
        <v>#N/A</v>
      </c>
      <c r="X10" s="80"/>
      <c r="Y10" s="75" t="e">
        <f>_xlfn.XLOOKUP($E10,Tab_Def_Processes[Name(EN)],Tab_Def_Processes[Input_Flow_I_5],,0,)</f>
        <v>#N/A</v>
      </c>
      <c r="Z10" s="49" t="e">
        <f>_xlfn.XLOOKUP($E10,Tab_Def_Processes[Name(EN)],Tab_Def_Processes[Flow_ID_I_5],,0,)</f>
        <v>#N/A</v>
      </c>
      <c r="AA10" s="80"/>
      <c r="AB10" s="78">
        <f>Tab_Process_TCs[[#This Row],[Flow_TC_I_1_'[%']]]+Tab_Process_TCs[[#This Row],[Flow_TC_I_2_'[%']]]+Tab_Process_TCs[[#This Row],[Flow_TC_I_3_'[%']]]+Tab_Process_TCs[[#This Row],[Flow_TC_I_4_'[%']]]+Tab_Process_TCs[[#This Row],[Flow_TC_I_5_'[%']]]</f>
        <v>0</v>
      </c>
      <c r="AC10" s="49" t="e">
        <f>_xlfn.XLOOKUP($E10,Tab_Def_Processes[Name(EN)],Tab_Def_Processes[Output_Flow_O_1],,0,)</f>
        <v>#N/A</v>
      </c>
      <c r="AD10" s="49" t="e">
        <f>_xlfn.XLOOKUP($E10,Tab_Def_Processes[Name(EN)],Tab_Def_Processes[Flow_ID_O_1],,0,)</f>
        <v>#N/A</v>
      </c>
      <c r="AE10" s="115"/>
      <c r="AF10" s="120" t="e">
        <f>_xlfn.XLOOKUP($E10,Tab_Def_Processes[Name(EN)],Tab_Def_Processes[Output_Flow_O_2],,0,)</f>
        <v>#N/A</v>
      </c>
      <c r="AG10" s="120" t="e">
        <f>_xlfn.XLOOKUP($E10,Tab_Def_Processes[Name(EN)],Tab_Def_Processes[Flow_ID_O_2],,0,)</f>
        <v>#N/A</v>
      </c>
      <c r="AH10" s="115"/>
      <c r="AI10" s="120" t="e">
        <f>_xlfn.XLOOKUP($E10,Tab_Def_Processes[Name(EN)],Tab_Def_Processes[Output_Flow_O_3],,0,)</f>
        <v>#N/A</v>
      </c>
      <c r="AJ10" s="120" t="e">
        <f>_xlfn.XLOOKUP($E10,Tab_Def_Processes[Name(EN)],Tab_Def_Processes[Flow_ID_O_3],,0,)</f>
        <v>#N/A</v>
      </c>
      <c r="AK10" s="115"/>
      <c r="AL10" s="120" t="e">
        <f>_xlfn.XLOOKUP($E10,Tab_Def_Processes[Name(EN)],Tab_Def_Processes[Output_Flow_O_4],,0,)</f>
        <v>#N/A</v>
      </c>
      <c r="AM10" s="120" t="e">
        <f>_xlfn.XLOOKUP($E10,Tab_Def_Processes[Name(EN)],Tab_Def_Processes[Flow_ID_O_4],,0,)</f>
        <v>#N/A</v>
      </c>
      <c r="AN10" s="115"/>
      <c r="AO10" s="120" t="e">
        <f>_xlfn.XLOOKUP($E10,Tab_Def_Processes[Name(EN)],Tab_Def_Processes[Output_Flow_O_5],,0,)</f>
        <v>#N/A</v>
      </c>
      <c r="AP10" s="120" t="e">
        <f>_xlfn.XLOOKUP($E10,Tab_Def_Processes[Name(EN)],Tab_Def_Processes[Flow_ID_O_5],,0,)</f>
        <v>#N/A</v>
      </c>
      <c r="AQ10" s="115"/>
      <c r="AR10" s="120" t="e">
        <f>_xlfn.XLOOKUP($E10,Tab_Def_Processes[Name(EN)],Tab_Def_Processes[Output_Flow_O_6],,0,)</f>
        <v>#N/A</v>
      </c>
      <c r="AS10" s="120" t="e">
        <f>_xlfn.XLOOKUP($E10,Tab_Def_Processes[Name(EN)],Tab_Def_Processes[Flow_ID_O_6],,0,)</f>
        <v>#N/A</v>
      </c>
      <c r="AT10" s="115"/>
      <c r="AU10" s="119">
        <f>SUM(Tab_Process_TCs[[#This Row],[Flow_TC O_6_'[%']]],Tab_Process_TCs[[#This Row],[Flow_TC O_5_'[%']]],Tab_Process_TCs[[#This Row],[Flow_TC_O_4_'[%']]],Tab_Process_TCs[[#This Row],[Flow_TC_O_3_'[%']]],,Tab_Process_TCs[[#This Row],[Flow_TC_O_2_'[%']]],Tab_Process_TCs[[#This Row],[Flow_TC_O_1_'[%']]])</f>
        <v>0</v>
      </c>
      <c r="AV10" s="51"/>
      <c r="AW10" s="51"/>
      <c r="AX10" s="51"/>
      <c r="AY10" s="51"/>
      <c r="AZ10" s="51"/>
    </row>
    <row r="11" spans="1:61" x14ac:dyDescent="0.25">
      <c r="A11" s="93" t="b">
        <v>0</v>
      </c>
      <c r="B11" s="49">
        <f t="shared" si="0"/>
        <v>10</v>
      </c>
      <c r="C11" s="49" t="e">
        <f t="shared" si="1"/>
        <v>#N/A</v>
      </c>
      <c r="D11" s="113" t="e">
        <f>_xlfn.XLOOKUP($E11,Tab_Def_Processes[Name(EN)],Tab_Def_Processes[ID],,0,)</f>
        <v>#N/A</v>
      </c>
      <c r="E11" s="51" t="s">
        <v>230</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60" t="e">
        <f>_xlfn.XLOOKUP($E11,Tab_Def_Processes[Name(EN)],Tab_Def_Processes[Input_Flow_I_1],,0,)</f>
        <v>#N/A</v>
      </c>
      <c r="N11" s="49" t="e">
        <f>_xlfn.XLOOKUP($E11,Tab_Def_Processes[Name(EN)],Tab_Def_Processes[Flow_ID_I_1],,0,)</f>
        <v>#N/A</v>
      </c>
      <c r="O11" s="80"/>
      <c r="P11" s="75" t="e">
        <f>_xlfn.XLOOKUP($E11,Tab_Def_Processes[Name(EN)],Tab_Def_Processes[Input_Flow_I_2],,0,)</f>
        <v>#N/A</v>
      </c>
      <c r="Q11" s="49" t="e">
        <f>_xlfn.XLOOKUP($E11,Tab_Def_Processes[Name(EN)],Tab_Def_Processes[Flow_ID_I_2],,0,)</f>
        <v>#N/A</v>
      </c>
      <c r="R11" s="80"/>
      <c r="S11" s="75" t="e">
        <f>_xlfn.XLOOKUP($E11,Tab_Def_Processes[Name(EN)],Tab_Def_Processes[Input_Flow_I_3],,0,)</f>
        <v>#N/A</v>
      </c>
      <c r="T11" s="49" t="e">
        <f>_xlfn.XLOOKUP($E11,Tab_Def_Processes[Name(EN)],Tab_Def_Processes[Flow_ID_I_3],,0,)</f>
        <v>#N/A</v>
      </c>
      <c r="U11" s="80"/>
      <c r="V11" s="75" t="e">
        <f>_xlfn.XLOOKUP($E11,Tab_Def_Processes[Name(EN)],Tab_Def_Processes[Input_Flow_I_4],,0,)</f>
        <v>#N/A</v>
      </c>
      <c r="W11" s="49" t="e">
        <f>_xlfn.XLOOKUP($E11,Tab_Def_Processes[Name(EN)],Tab_Def_Processes[Flow_ID_I_4],,0,)</f>
        <v>#N/A</v>
      </c>
      <c r="X11" s="80"/>
      <c r="Y11" s="75" t="e">
        <f>_xlfn.XLOOKUP($E11,Tab_Def_Processes[Name(EN)],Tab_Def_Processes[Input_Flow_I_5],,0,)</f>
        <v>#N/A</v>
      </c>
      <c r="Z11" s="49" t="e">
        <f>_xlfn.XLOOKUP($E11,Tab_Def_Processes[Name(EN)],Tab_Def_Processes[Flow_ID_I_5],,0,)</f>
        <v>#N/A</v>
      </c>
      <c r="AA11" s="80"/>
      <c r="AB11" s="78">
        <f>Tab_Process_TCs[[#This Row],[Flow_TC_I_1_'[%']]]+Tab_Process_TCs[[#This Row],[Flow_TC_I_2_'[%']]]+Tab_Process_TCs[[#This Row],[Flow_TC_I_3_'[%']]]+Tab_Process_TCs[[#This Row],[Flow_TC_I_4_'[%']]]+Tab_Process_TCs[[#This Row],[Flow_TC_I_5_'[%']]]</f>
        <v>0</v>
      </c>
      <c r="AC11" s="49" t="e">
        <f>_xlfn.XLOOKUP($E11,Tab_Def_Processes[Name(EN)],Tab_Def_Processes[Output_Flow_O_1],,0,)</f>
        <v>#N/A</v>
      </c>
      <c r="AD11" s="49" t="e">
        <f>_xlfn.XLOOKUP($E11,Tab_Def_Processes[Name(EN)],Tab_Def_Processes[Flow_ID_O_1],,0,)</f>
        <v>#N/A</v>
      </c>
      <c r="AE11" s="115"/>
      <c r="AF11" s="120" t="e">
        <f>_xlfn.XLOOKUP($E11,Tab_Def_Processes[Name(EN)],Tab_Def_Processes[Output_Flow_O_2],,0,)</f>
        <v>#N/A</v>
      </c>
      <c r="AG11" s="120" t="e">
        <f>_xlfn.XLOOKUP($E11,Tab_Def_Processes[Name(EN)],Tab_Def_Processes[Flow_ID_O_2],,0,)</f>
        <v>#N/A</v>
      </c>
      <c r="AH11" s="115"/>
      <c r="AI11" s="120" t="e">
        <f>_xlfn.XLOOKUP($E11,Tab_Def_Processes[Name(EN)],Tab_Def_Processes[Output_Flow_O_3],,0,)</f>
        <v>#N/A</v>
      </c>
      <c r="AJ11" s="120" t="e">
        <f>_xlfn.XLOOKUP($E11,Tab_Def_Processes[Name(EN)],Tab_Def_Processes[Flow_ID_O_3],,0,)</f>
        <v>#N/A</v>
      </c>
      <c r="AK11" s="115"/>
      <c r="AL11" s="120" t="e">
        <f>_xlfn.XLOOKUP($E11,Tab_Def_Processes[Name(EN)],Tab_Def_Processes[Output_Flow_O_4],,0,)</f>
        <v>#N/A</v>
      </c>
      <c r="AM11" s="120" t="e">
        <f>_xlfn.XLOOKUP($E11,Tab_Def_Processes[Name(EN)],Tab_Def_Processes[Flow_ID_O_4],,0,)</f>
        <v>#N/A</v>
      </c>
      <c r="AN11" s="115"/>
      <c r="AO11" s="120" t="e">
        <f>_xlfn.XLOOKUP($E11,Tab_Def_Processes[Name(EN)],Tab_Def_Processes[Output_Flow_O_5],,0,)</f>
        <v>#N/A</v>
      </c>
      <c r="AP11" s="120" t="e">
        <f>_xlfn.XLOOKUP($E11,Tab_Def_Processes[Name(EN)],Tab_Def_Processes[Flow_ID_O_5],,0,)</f>
        <v>#N/A</v>
      </c>
      <c r="AQ11" s="115"/>
      <c r="AR11" s="120" t="e">
        <f>_xlfn.XLOOKUP($E11,Tab_Def_Processes[Name(EN)],Tab_Def_Processes[Output_Flow_O_6],,0,)</f>
        <v>#N/A</v>
      </c>
      <c r="AS11" s="120" t="e">
        <f>_xlfn.XLOOKUP($E11,Tab_Def_Processes[Name(EN)],Tab_Def_Processes[Flow_ID_O_6],,0,)</f>
        <v>#N/A</v>
      </c>
      <c r="AT11" s="115"/>
      <c r="AU11" s="119">
        <f>SUM(Tab_Process_TCs[[#This Row],[Flow_TC O_6_'[%']]],Tab_Process_TCs[[#This Row],[Flow_TC O_5_'[%']]],Tab_Process_TCs[[#This Row],[Flow_TC_O_4_'[%']]],Tab_Process_TCs[[#This Row],[Flow_TC_O_3_'[%']]],,Tab_Process_TCs[[#This Row],[Flow_TC_O_2_'[%']]],Tab_Process_TCs[[#This Row],[Flow_TC_O_1_'[%']]])</f>
        <v>0</v>
      </c>
      <c r="AV11" s="51"/>
      <c r="AW11" s="51"/>
      <c r="AX11" s="51"/>
      <c r="AY11" s="51"/>
      <c r="AZ11" s="51"/>
    </row>
    <row r="12" spans="1:61" x14ac:dyDescent="0.25">
      <c r="A12" s="93" t="b">
        <v>0</v>
      </c>
      <c r="B12" s="49">
        <f t="shared" si="0"/>
        <v>11</v>
      </c>
      <c r="C12" s="49" t="e">
        <f t="shared" si="1"/>
        <v>#N/A</v>
      </c>
      <c r="D12" s="113" t="e">
        <f>_xlfn.XLOOKUP($E12,Tab_Def_Processes[Name(EN)],Tab_Def_Processes[ID],,0,)</f>
        <v>#N/A</v>
      </c>
      <c r="E12" s="51" t="s">
        <v>230</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60" t="e">
        <f>_xlfn.XLOOKUP($E12,Tab_Def_Processes[Name(EN)],Tab_Def_Processes[Input_Flow_I_1],,0,)</f>
        <v>#N/A</v>
      </c>
      <c r="N12" s="49" t="e">
        <f>_xlfn.XLOOKUP($E12,Tab_Def_Processes[Name(EN)],Tab_Def_Processes[Flow_ID_I_1],,0,)</f>
        <v>#N/A</v>
      </c>
      <c r="O12" s="80"/>
      <c r="P12" s="75" t="e">
        <f>_xlfn.XLOOKUP($E12,Tab_Def_Processes[Name(EN)],Tab_Def_Processes[Input_Flow_I_2],,0,)</f>
        <v>#N/A</v>
      </c>
      <c r="Q12" s="49" t="e">
        <f>_xlfn.XLOOKUP($E12,Tab_Def_Processes[Name(EN)],Tab_Def_Processes[Flow_ID_I_2],,0,)</f>
        <v>#N/A</v>
      </c>
      <c r="R12" s="80"/>
      <c r="S12" s="75" t="e">
        <f>_xlfn.XLOOKUP($E12,Tab_Def_Processes[Name(EN)],Tab_Def_Processes[Input_Flow_I_3],,0,)</f>
        <v>#N/A</v>
      </c>
      <c r="T12" s="49" t="e">
        <f>_xlfn.XLOOKUP($E12,Tab_Def_Processes[Name(EN)],Tab_Def_Processes[Flow_ID_I_3],,0,)</f>
        <v>#N/A</v>
      </c>
      <c r="U12" s="80"/>
      <c r="V12" s="75" t="e">
        <f>_xlfn.XLOOKUP($E12,Tab_Def_Processes[Name(EN)],Tab_Def_Processes[Input_Flow_I_4],,0,)</f>
        <v>#N/A</v>
      </c>
      <c r="W12" s="49" t="e">
        <f>_xlfn.XLOOKUP($E12,Tab_Def_Processes[Name(EN)],Tab_Def_Processes[Flow_ID_I_4],,0,)</f>
        <v>#N/A</v>
      </c>
      <c r="X12" s="80"/>
      <c r="Y12" s="75" t="e">
        <f>_xlfn.XLOOKUP($E12,Tab_Def_Processes[Name(EN)],Tab_Def_Processes[Input_Flow_I_5],,0,)</f>
        <v>#N/A</v>
      </c>
      <c r="Z12" s="49" t="e">
        <f>_xlfn.XLOOKUP($E12,Tab_Def_Processes[Name(EN)],Tab_Def_Processes[Flow_ID_I_5],,0,)</f>
        <v>#N/A</v>
      </c>
      <c r="AA12" s="80"/>
      <c r="AB12" s="78">
        <f>Tab_Process_TCs[[#This Row],[Flow_TC_I_1_'[%']]]+Tab_Process_TCs[[#This Row],[Flow_TC_I_2_'[%']]]+Tab_Process_TCs[[#This Row],[Flow_TC_I_3_'[%']]]+Tab_Process_TCs[[#This Row],[Flow_TC_I_4_'[%']]]+Tab_Process_TCs[[#This Row],[Flow_TC_I_5_'[%']]]</f>
        <v>0</v>
      </c>
      <c r="AC12" s="49" t="e">
        <f>_xlfn.XLOOKUP($E12,Tab_Def_Processes[Name(EN)],Tab_Def_Processes[Output_Flow_O_1],,0,)</f>
        <v>#N/A</v>
      </c>
      <c r="AD12" s="49" t="e">
        <f>_xlfn.XLOOKUP($E12,Tab_Def_Processes[Name(EN)],Tab_Def_Processes[Flow_ID_O_1],,0,)</f>
        <v>#N/A</v>
      </c>
      <c r="AE12" s="115"/>
      <c r="AF12" s="120" t="e">
        <f>_xlfn.XLOOKUP($E12,Tab_Def_Processes[Name(EN)],Tab_Def_Processes[Output_Flow_O_2],,0,)</f>
        <v>#N/A</v>
      </c>
      <c r="AG12" s="120" t="e">
        <f>_xlfn.XLOOKUP($E12,Tab_Def_Processes[Name(EN)],Tab_Def_Processes[Flow_ID_O_2],,0,)</f>
        <v>#N/A</v>
      </c>
      <c r="AH12" s="115"/>
      <c r="AI12" s="120" t="e">
        <f>_xlfn.XLOOKUP($E12,Tab_Def_Processes[Name(EN)],Tab_Def_Processes[Output_Flow_O_3],,0,)</f>
        <v>#N/A</v>
      </c>
      <c r="AJ12" s="120" t="e">
        <f>_xlfn.XLOOKUP($E12,Tab_Def_Processes[Name(EN)],Tab_Def_Processes[Flow_ID_O_3],,0,)</f>
        <v>#N/A</v>
      </c>
      <c r="AK12" s="115"/>
      <c r="AL12" s="120" t="e">
        <f>_xlfn.XLOOKUP($E12,Tab_Def_Processes[Name(EN)],Tab_Def_Processes[Output_Flow_O_4],,0,)</f>
        <v>#N/A</v>
      </c>
      <c r="AM12" s="120" t="e">
        <f>_xlfn.XLOOKUP($E12,Tab_Def_Processes[Name(EN)],Tab_Def_Processes[Flow_ID_O_4],,0,)</f>
        <v>#N/A</v>
      </c>
      <c r="AN12" s="115"/>
      <c r="AO12" s="120" t="e">
        <f>_xlfn.XLOOKUP($E12,Tab_Def_Processes[Name(EN)],Tab_Def_Processes[Output_Flow_O_5],,0,)</f>
        <v>#N/A</v>
      </c>
      <c r="AP12" s="120" t="e">
        <f>_xlfn.XLOOKUP($E12,Tab_Def_Processes[Name(EN)],Tab_Def_Processes[Flow_ID_O_5],,0,)</f>
        <v>#N/A</v>
      </c>
      <c r="AQ12" s="115"/>
      <c r="AR12" s="120" t="e">
        <f>_xlfn.XLOOKUP($E12,Tab_Def_Processes[Name(EN)],Tab_Def_Processes[Output_Flow_O_6],,0,)</f>
        <v>#N/A</v>
      </c>
      <c r="AS12" s="120" t="e">
        <f>_xlfn.XLOOKUP($E12,Tab_Def_Processes[Name(EN)],Tab_Def_Processes[Flow_ID_O_6],,0,)</f>
        <v>#N/A</v>
      </c>
      <c r="AT12" s="115"/>
      <c r="AU12" s="119">
        <f>SUM(Tab_Process_TCs[[#This Row],[Flow_TC O_6_'[%']]],Tab_Process_TCs[[#This Row],[Flow_TC O_5_'[%']]],Tab_Process_TCs[[#This Row],[Flow_TC_O_4_'[%']]],Tab_Process_TCs[[#This Row],[Flow_TC_O_3_'[%']]],,Tab_Process_TCs[[#This Row],[Flow_TC_O_2_'[%']]],Tab_Process_TCs[[#This Row],[Flow_TC_O_1_'[%']]])</f>
        <v>0</v>
      </c>
      <c r="AV12" s="51"/>
      <c r="AW12" s="51"/>
      <c r="AX12" s="51"/>
      <c r="AY12" s="51"/>
      <c r="AZ12" s="51"/>
    </row>
    <row r="13" spans="1:61" x14ac:dyDescent="0.25">
      <c r="A13" s="93" t="b">
        <v>0</v>
      </c>
      <c r="B13" s="49">
        <f t="shared" si="0"/>
        <v>12</v>
      </c>
      <c r="C13" s="49" t="e">
        <f t="shared" si="1"/>
        <v>#N/A</v>
      </c>
      <c r="D13" s="113" t="e">
        <f>_xlfn.XLOOKUP($E13,Tab_Def_Processes[Name(EN)],Tab_Def_Processes[ID],,0,)</f>
        <v>#N/A</v>
      </c>
      <c r="E13" s="51" t="s">
        <v>230</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60" t="e">
        <f>_xlfn.XLOOKUP($E13,Tab_Def_Processes[Name(EN)],Tab_Def_Processes[Input_Flow_I_1],,0,)</f>
        <v>#N/A</v>
      </c>
      <c r="N13" s="49" t="e">
        <f>_xlfn.XLOOKUP($E13,Tab_Def_Processes[Name(EN)],Tab_Def_Processes[Flow_ID_I_1],,0,)</f>
        <v>#N/A</v>
      </c>
      <c r="O13" s="80"/>
      <c r="P13" s="75" t="e">
        <f>_xlfn.XLOOKUP($E13,Tab_Def_Processes[Name(EN)],Tab_Def_Processes[Input_Flow_I_2],,0,)</f>
        <v>#N/A</v>
      </c>
      <c r="Q13" s="49" t="e">
        <f>_xlfn.XLOOKUP($E13,Tab_Def_Processes[Name(EN)],Tab_Def_Processes[Flow_ID_I_2],,0,)</f>
        <v>#N/A</v>
      </c>
      <c r="R13" s="80"/>
      <c r="S13" s="75" t="e">
        <f>_xlfn.XLOOKUP($E13,Tab_Def_Processes[Name(EN)],Tab_Def_Processes[Input_Flow_I_3],,0,)</f>
        <v>#N/A</v>
      </c>
      <c r="T13" s="49" t="e">
        <f>_xlfn.XLOOKUP($E13,Tab_Def_Processes[Name(EN)],Tab_Def_Processes[Flow_ID_I_3],,0,)</f>
        <v>#N/A</v>
      </c>
      <c r="U13" s="80"/>
      <c r="V13" s="75" t="e">
        <f>_xlfn.XLOOKUP($E13,Tab_Def_Processes[Name(EN)],Tab_Def_Processes[Input_Flow_I_4],,0,)</f>
        <v>#N/A</v>
      </c>
      <c r="W13" s="49" t="e">
        <f>_xlfn.XLOOKUP($E13,Tab_Def_Processes[Name(EN)],Tab_Def_Processes[Flow_ID_I_4],,0,)</f>
        <v>#N/A</v>
      </c>
      <c r="X13" s="80"/>
      <c r="Y13" s="75" t="e">
        <f>_xlfn.XLOOKUP($E13,Tab_Def_Processes[Name(EN)],Tab_Def_Processes[Input_Flow_I_5],,0,)</f>
        <v>#N/A</v>
      </c>
      <c r="Z13" s="49" t="e">
        <f>_xlfn.XLOOKUP($E13,Tab_Def_Processes[Name(EN)],Tab_Def_Processes[Flow_ID_I_5],,0,)</f>
        <v>#N/A</v>
      </c>
      <c r="AA13" s="80"/>
      <c r="AB13" s="78">
        <f>Tab_Process_TCs[[#This Row],[Flow_TC_I_1_'[%']]]+Tab_Process_TCs[[#This Row],[Flow_TC_I_2_'[%']]]+Tab_Process_TCs[[#This Row],[Flow_TC_I_3_'[%']]]+Tab_Process_TCs[[#This Row],[Flow_TC_I_4_'[%']]]+Tab_Process_TCs[[#This Row],[Flow_TC_I_5_'[%']]]</f>
        <v>0</v>
      </c>
      <c r="AC13" s="49" t="e">
        <f>_xlfn.XLOOKUP($E13,Tab_Def_Processes[Name(EN)],Tab_Def_Processes[Output_Flow_O_1],,0,)</f>
        <v>#N/A</v>
      </c>
      <c r="AD13" s="49" t="e">
        <f>_xlfn.XLOOKUP($E13,Tab_Def_Processes[Name(EN)],Tab_Def_Processes[Flow_ID_O_1],,0,)</f>
        <v>#N/A</v>
      </c>
      <c r="AE13" s="115"/>
      <c r="AF13" s="120" t="e">
        <f>_xlfn.XLOOKUP($E13,Tab_Def_Processes[Name(EN)],Tab_Def_Processes[Output_Flow_O_2],,0,)</f>
        <v>#N/A</v>
      </c>
      <c r="AG13" s="120" t="e">
        <f>_xlfn.XLOOKUP($E13,Tab_Def_Processes[Name(EN)],Tab_Def_Processes[Flow_ID_O_2],,0,)</f>
        <v>#N/A</v>
      </c>
      <c r="AH13" s="115"/>
      <c r="AI13" s="120" t="e">
        <f>_xlfn.XLOOKUP($E13,Tab_Def_Processes[Name(EN)],Tab_Def_Processes[Output_Flow_O_3],,0,)</f>
        <v>#N/A</v>
      </c>
      <c r="AJ13" s="120" t="e">
        <f>_xlfn.XLOOKUP($E13,Tab_Def_Processes[Name(EN)],Tab_Def_Processes[Flow_ID_O_3],,0,)</f>
        <v>#N/A</v>
      </c>
      <c r="AK13" s="115"/>
      <c r="AL13" s="120" t="e">
        <f>_xlfn.XLOOKUP($E13,Tab_Def_Processes[Name(EN)],Tab_Def_Processes[Output_Flow_O_4],,0,)</f>
        <v>#N/A</v>
      </c>
      <c r="AM13" s="120" t="e">
        <f>_xlfn.XLOOKUP($E13,Tab_Def_Processes[Name(EN)],Tab_Def_Processes[Flow_ID_O_4],,0,)</f>
        <v>#N/A</v>
      </c>
      <c r="AN13" s="115"/>
      <c r="AO13" s="120" t="e">
        <f>_xlfn.XLOOKUP($E13,Tab_Def_Processes[Name(EN)],Tab_Def_Processes[Output_Flow_O_5],,0,)</f>
        <v>#N/A</v>
      </c>
      <c r="AP13" s="120" t="e">
        <f>_xlfn.XLOOKUP($E13,Tab_Def_Processes[Name(EN)],Tab_Def_Processes[Flow_ID_O_5],,0,)</f>
        <v>#N/A</v>
      </c>
      <c r="AQ13" s="115"/>
      <c r="AR13" s="120" t="e">
        <f>_xlfn.XLOOKUP($E13,Tab_Def_Processes[Name(EN)],Tab_Def_Processes[Output_Flow_O_6],,0,)</f>
        <v>#N/A</v>
      </c>
      <c r="AS13" s="120" t="e">
        <f>_xlfn.XLOOKUP($E13,Tab_Def_Processes[Name(EN)],Tab_Def_Processes[Flow_ID_O_6],,0,)</f>
        <v>#N/A</v>
      </c>
      <c r="AT13" s="115"/>
      <c r="AU13" s="119">
        <f>SUM(Tab_Process_TCs[[#This Row],[Flow_TC O_6_'[%']]],Tab_Process_TCs[[#This Row],[Flow_TC O_5_'[%']]],Tab_Process_TCs[[#This Row],[Flow_TC_O_4_'[%']]],Tab_Process_TCs[[#This Row],[Flow_TC_O_3_'[%']]],,Tab_Process_TCs[[#This Row],[Flow_TC_O_2_'[%']]],Tab_Process_TCs[[#This Row],[Flow_TC_O_1_'[%']]])</f>
        <v>0</v>
      </c>
      <c r="AV13" s="51"/>
      <c r="AW13" s="51"/>
      <c r="AX13" s="51"/>
      <c r="AY13" s="51"/>
      <c r="AZ13" s="51"/>
    </row>
    <row r="14" spans="1:61" x14ac:dyDescent="0.25">
      <c r="A14" s="93" t="b">
        <v>0</v>
      </c>
      <c r="B14" s="49">
        <f t="shared" si="0"/>
        <v>13</v>
      </c>
      <c r="C14" s="49" t="e">
        <f t="shared" si="1"/>
        <v>#N/A</v>
      </c>
      <c r="D14" s="113" t="e">
        <f>_xlfn.XLOOKUP($E14,Tab_Def_Processes[Name(EN)],Tab_Def_Processes[ID],,0,)</f>
        <v>#N/A</v>
      </c>
      <c r="E14" s="51" t="s">
        <v>230</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60" t="e">
        <f>_xlfn.XLOOKUP($E14,Tab_Def_Processes[Name(EN)],Tab_Def_Processes[Input_Flow_I_1],,0,)</f>
        <v>#N/A</v>
      </c>
      <c r="N14" s="49" t="e">
        <f>_xlfn.XLOOKUP($E14,Tab_Def_Processes[Name(EN)],Tab_Def_Processes[Flow_ID_I_1],,0,)</f>
        <v>#N/A</v>
      </c>
      <c r="O14" s="80"/>
      <c r="P14" s="75" t="e">
        <f>_xlfn.XLOOKUP($E14,Tab_Def_Processes[Name(EN)],Tab_Def_Processes[Input_Flow_I_2],,0,)</f>
        <v>#N/A</v>
      </c>
      <c r="Q14" s="49" t="e">
        <f>_xlfn.XLOOKUP($E14,Tab_Def_Processes[Name(EN)],Tab_Def_Processes[Flow_ID_I_2],,0,)</f>
        <v>#N/A</v>
      </c>
      <c r="R14" s="80"/>
      <c r="S14" s="75" t="e">
        <f>_xlfn.XLOOKUP($E14,Tab_Def_Processes[Name(EN)],Tab_Def_Processes[Input_Flow_I_3],,0,)</f>
        <v>#N/A</v>
      </c>
      <c r="T14" s="49" t="e">
        <f>_xlfn.XLOOKUP($E14,Tab_Def_Processes[Name(EN)],Tab_Def_Processes[Flow_ID_I_3],,0,)</f>
        <v>#N/A</v>
      </c>
      <c r="U14" s="80"/>
      <c r="V14" s="75" t="e">
        <f>_xlfn.XLOOKUP($E14,Tab_Def_Processes[Name(EN)],Tab_Def_Processes[Input_Flow_I_4],,0,)</f>
        <v>#N/A</v>
      </c>
      <c r="W14" s="49" t="e">
        <f>_xlfn.XLOOKUP($E14,Tab_Def_Processes[Name(EN)],Tab_Def_Processes[Flow_ID_I_4],,0,)</f>
        <v>#N/A</v>
      </c>
      <c r="X14" s="80"/>
      <c r="Y14" s="75" t="e">
        <f>_xlfn.XLOOKUP($E14,Tab_Def_Processes[Name(EN)],Tab_Def_Processes[Input_Flow_I_5],,0,)</f>
        <v>#N/A</v>
      </c>
      <c r="Z14" s="49" t="e">
        <f>_xlfn.XLOOKUP($E14,Tab_Def_Processes[Name(EN)],Tab_Def_Processes[Flow_ID_I_5],,0,)</f>
        <v>#N/A</v>
      </c>
      <c r="AA14" s="80"/>
      <c r="AB14" s="78">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115"/>
      <c r="AF14" s="120" t="e">
        <f>_xlfn.XLOOKUP($E14,Tab_Def_Processes[Name(EN)],Tab_Def_Processes[Output_Flow_O_2],,0,)</f>
        <v>#N/A</v>
      </c>
      <c r="AG14" s="120" t="e">
        <f>_xlfn.XLOOKUP($E14,Tab_Def_Processes[Name(EN)],Tab_Def_Processes[Flow_ID_O_2],,0,)</f>
        <v>#N/A</v>
      </c>
      <c r="AH14" s="115"/>
      <c r="AI14" s="120" t="e">
        <f>_xlfn.XLOOKUP($E14,Tab_Def_Processes[Name(EN)],Tab_Def_Processes[Output_Flow_O_3],,0,)</f>
        <v>#N/A</v>
      </c>
      <c r="AJ14" s="120" t="e">
        <f>_xlfn.XLOOKUP($E14,Tab_Def_Processes[Name(EN)],Tab_Def_Processes[Flow_ID_O_3],,0,)</f>
        <v>#N/A</v>
      </c>
      <c r="AK14" s="115"/>
      <c r="AL14" s="120" t="e">
        <f>_xlfn.XLOOKUP($E14,Tab_Def_Processes[Name(EN)],Tab_Def_Processes[Output_Flow_O_4],,0,)</f>
        <v>#N/A</v>
      </c>
      <c r="AM14" s="120" t="e">
        <f>_xlfn.XLOOKUP($E14,Tab_Def_Processes[Name(EN)],Tab_Def_Processes[Flow_ID_O_4],,0,)</f>
        <v>#N/A</v>
      </c>
      <c r="AN14" s="115"/>
      <c r="AO14" s="120" t="e">
        <f>_xlfn.XLOOKUP($E14,Tab_Def_Processes[Name(EN)],Tab_Def_Processes[Output_Flow_O_5],,0,)</f>
        <v>#N/A</v>
      </c>
      <c r="AP14" s="120" t="e">
        <f>_xlfn.XLOOKUP($E14,Tab_Def_Processes[Name(EN)],Tab_Def_Processes[Flow_ID_O_5],,0,)</f>
        <v>#N/A</v>
      </c>
      <c r="AQ14" s="115"/>
      <c r="AR14" s="120" t="e">
        <f>_xlfn.XLOOKUP($E14,Tab_Def_Processes[Name(EN)],Tab_Def_Processes[Output_Flow_O_6],,0,)</f>
        <v>#N/A</v>
      </c>
      <c r="AS14" s="120" t="e">
        <f>_xlfn.XLOOKUP($E14,Tab_Def_Processes[Name(EN)],Tab_Def_Processes[Flow_ID_O_6],,0,)</f>
        <v>#N/A</v>
      </c>
      <c r="AT14" s="115"/>
      <c r="AU14" s="119">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25">
      <c r="A15" s="93" t="b">
        <v>0</v>
      </c>
      <c r="B15" s="49">
        <f t="shared" si="0"/>
        <v>14</v>
      </c>
      <c r="C15" s="49" t="e">
        <f t="shared" si="1"/>
        <v>#N/A</v>
      </c>
      <c r="D15" s="113" t="e">
        <f>_xlfn.XLOOKUP($E15,Tab_Def_Processes[Name(EN)],Tab_Def_Processes[ID],,0,)</f>
        <v>#N/A</v>
      </c>
      <c r="E15" s="51" t="s">
        <v>230</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60" t="e">
        <f>_xlfn.XLOOKUP($E15,Tab_Def_Processes[Name(EN)],Tab_Def_Processes[Input_Flow_I_1],,0,)</f>
        <v>#N/A</v>
      </c>
      <c r="N15" s="49" t="e">
        <f>_xlfn.XLOOKUP($E15,Tab_Def_Processes[Name(EN)],Tab_Def_Processes[Flow_ID_I_1],,0,)</f>
        <v>#N/A</v>
      </c>
      <c r="O15" s="80"/>
      <c r="P15" s="75" t="e">
        <f>_xlfn.XLOOKUP($E15,Tab_Def_Processes[Name(EN)],Tab_Def_Processes[Input_Flow_I_2],,0,)</f>
        <v>#N/A</v>
      </c>
      <c r="Q15" s="49" t="e">
        <f>_xlfn.XLOOKUP($E15,Tab_Def_Processes[Name(EN)],Tab_Def_Processes[Flow_ID_I_2],,0,)</f>
        <v>#N/A</v>
      </c>
      <c r="R15" s="80"/>
      <c r="S15" s="75" t="e">
        <f>_xlfn.XLOOKUP($E15,Tab_Def_Processes[Name(EN)],Tab_Def_Processes[Input_Flow_I_3],,0,)</f>
        <v>#N/A</v>
      </c>
      <c r="T15" s="49" t="e">
        <f>_xlfn.XLOOKUP($E15,Tab_Def_Processes[Name(EN)],Tab_Def_Processes[Flow_ID_I_3],,0,)</f>
        <v>#N/A</v>
      </c>
      <c r="U15" s="80"/>
      <c r="V15" s="75" t="e">
        <f>_xlfn.XLOOKUP($E15,Tab_Def_Processes[Name(EN)],Tab_Def_Processes[Input_Flow_I_4],,0,)</f>
        <v>#N/A</v>
      </c>
      <c r="W15" s="49" t="e">
        <f>_xlfn.XLOOKUP($E15,Tab_Def_Processes[Name(EN)],Tab_Def_Processes[Flow_ID_I_4],,0,)</f>
        <v>#N/A</v>
      </c>
      <c r="X15" s="80"/>
      <c r="Y15" s="75" t="e">
        <f>_xlfn.XLOOKUP($E15,Tab_Def_Processes[Name(EN)],Tab_Def_Processes[Input_Flow_I_5],,0,)</f>
        <v>#N/A</v>
      </c>
      <c r="Z15" s="49" t="e">
        <f>_xlfn.XLOOKUP($E15,Tab_Def_Processes[Name(EN)],Tab_Def_Processes[Flow_ID_I_5],,0,)</f>
        <v>#N/A</v>
      </c>
      <c r="AA15" s="80"/>
      <c r="AB15" s="78">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115"/>
      <c r="AF15" s="120" t="e">
        <f>_xlfn.XLOOKUP($E15,Tab_Def_Processes[Name(EN)],Tab_Def_Processes[Output_Flow_O_2],,0,)</f>
        <v>#N/A</v>
      </c>
      <c r="AG15" s="120" t="e">
        <f>_xlfn.XLOOKUP($E15,Tab_Def_Processes[Name(EN)],Tab_Def_Processes[Flow_ID_O_2],,0,)</f>
        <v>#N/A</v>
      </c>
      <c r="AH15" s="115"/>
      <c r="AI15" s="120" t="e">
        <f>_xlfn.XLOOKUP($E15,Tab_Def_Processes[Name(EN)],Tab_Def_Processes[Output_Flow_O_3],,0,)</f>
        <v>#N/A</v>
      </c>
      <c r="AJ15" s="120" t="e">
        <f>_xlfn.XLOOKUP($E15,Tab_Def_Processes[Name(EN)],Tab_Def_Processes[Flow_ID_O_3],,0,)</f>
        <v>#N/A</v>
      </c>
      <c r="AK15" s="115"/>
      <c r="AL15" s="120" t="e">
        <f>_xlfn.XLOOKUP($E15,Tab_Def_Processes[Name(EN)],Tab_Def_Processes[Output_Flow_O_4],,0,)</f>
        <v>#N/A</v>
      </c>
      <c r="AM15" s="120" t="e">
        <f>_xlfn.XLOOKUP($E15,Tab_Def_Processes[Name(EN)],Tab_Def_Processes[Flow_ID_O_4],,0,)</f>
        <v>#N/A</v>
      </c>
      <c r="AN15" s="115"/>
      <c r="AO15" s="120" t="e">
        <f>_xlfn.XLOOKUP($E15,Tab_Def_Processes[Name(EN)],Tab_Def_Processes[Output_Flow_O_5],,0,)</f>
        <v>#N/A</v>
      </c>
      <c r="AP15" s="120" t="e">
        <f>_xlfn.XLOOKUP($E15,Tab_Def_Processes[Name(EN)],Tab_Def_Processes[Flow_ID_O_5],,0,)</f>
        <v>#N/A</v>
      </c>
      <c r="AQ15" s="115"/>
      <c r="AR15" s="120" t="e">
        <f>_xlfn.XLOOKUP($E15,Tab_Def_Processes[Name(EN)],Tab_Def_Processes[Output_Flow_O_6],,0,)</f>
        <v>#N/A</v>
      </c>
      <c r="AS15" s="120" t="e">
        <f>_xlfn.XLOOKUP($E15,Tab_Def_Processes[Name(EN)],Tab_Def_Processes[Flow_ID_O_6],,0,)</f>
        <v>#N/A</v>
      </c>
      <c r="AT15" s="115"/>
      <c r="AU15" s="119">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25">
      <c r="A16" s="93" t="b">
        <v>0</v>
      </c>
      <c r="B16" s="49">
        <f t="shared" si="0"/>
        <v>15</v>
      </c>
      <c r="C16" s="49" t="e">
        <f t="shared" si="1"/>
        <v>#N/A</v>
      </c>
      <c r="D16" s="113" t="e">
        <f>_xlfn.XLOOKUP($E16,Tab_Def_Processes[Name(EN)],Tab_Def_Processes[ID],,0,)</f>
        <v>#N/A</v>
      </c>
      <c r="E16" s="51" t="s">
        <v>230</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60" t="e">
        <f>_xlfn.XLOOKUP($E16,Tab_Def_Processes[Name(EN)],Tab_Def_Processes[Input_Flow_I_1],,0,)</f>
        <v>#N/A</v>
      </c>
      <c r="N16" s="49" t="e">
        <f>_xlfn.XLOOKUP($E16,Tab_Def_Processes[Name(EN)],Tab_Def_Processes[Flow_ID_I_1],,0,)</f>
        <v>#N/A</v>
      </c>
      <c r="O16" s="80"/>
      <c r="P16" s="75" t="e">
        <f>_xlfn.XLOOKUP($E16,Tab_Def_Processes[Name(EN)],Tab_Def_Processes[Input_Flow_I_2],,0,)</f>
        <v>#N/A</v>
      </c>
      <c r="Q16" s="49" t="e">
        <f>_xlfn.XLOOKUP($E16,Tab_Def_Processes[Name(EN)],Tab_Def_Processes[Flow_ID_I_2],,0,)</f>
        <v>#N/A</v>
      </c>
      <c r="R16" s="80"/>
      <c r="S16" s="75" t="e">
        <f>_xlfn.XLOOKUP($E16,Tab_Def_Processes[Name(EN)],Tab_Def_Processes[Input_Flow_I_3],,0,)</f>
        <v>#N/A</v>
      </c>
      <c r="T16" s="49" t="e">
        <f>_xlfn.XLOOKUP($E16,Tab_Def_Processes[Name(EN)],Tab_Def_Processes[Flow_ID_I_3],,0,)</f>
        <v>#N/A</v>
      </c>
      <c r="U16" s="80"/>
      <c r="V16" s="75" t="e">
        <f>_xlfn.XLOOKUP($E16,Tab_Def_Processes[Name(EN)],Tab_Def_Processes[Input_Flow_I_4],,0,)</f>
        <v>#N/A</v>
      </c>
      <c r="W16" s="49" t="e">
        <f>_xlfn.XLOOKUP($E16,Tab_Def_Processes[Name(EN)],Tab_Def_Processes[Flow_ID_I_4],,0,)</f>
        <v>#N/A</v>
      </c>
      <c r="X16" s="80"/>
      <c r="Y16" s="75" t="e">
        <f>_xlfn.XLOOKUP($E16,Tab_Def_Processes[Name(EN)],Tab_Def_Processes[Input_Flow_I_5],,0,)</f>
        <v>#N/A</v>
      </c>
      <c r="Z16" s="49" t="e">
        <f>_xlfn.XLOOKUP($E16,Tab_Def_Processes[Name(EN)],Tab_Def_Processes[Flow_ID_I_5],,0,)</f>
        <v>#N/A</v>
      </c>
      <c r="AA16" s="80"/>
      <c r="AB16" s="78">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115"/>
      <c r="AF16" s="120" t="e">
        <f>_xlfn.XLOOKUP($E16,Tab_Def_Processes[Name(EN)],Tab_Def_Processes[Output_Flow_O_2],,0,)</f>
        <v>#N/A</v>
      </c>
      <c r="AG16" s="120" t="e">
        <f>_xlfn.XLOOKUP($E16,Tab_Def_Processes[Name(EN)],Tab_Def_Processes[Flow_ID_O_2],,0,)</f>
        <v>#N/A</v>
      </c>
      <c r="AH16" s="115"/>
      <c r="AI16" s="120" t="e">
        <f>_xlfn.XLOOKUP($E16,Tab_Def_Processes[Name(EN)],Tab_Def_Processes[Output_Flow_O_3],,0,)</f>
        <v>#N/A</v>
      </c>
      <c r="AJ16" s="120" t="e">
        <f>_xlfn.XLOOKUP($E16,Tab_Def_Processes[Name(EN)],Tab_Def_Processes[Flow_ID_O_3],,0,)</f>
        <v>#N/A</v>
      </c>
      <c r="AK16" s="115"/>
      <c r="AL16" s="120" t="e">
        <f>_xlfn.XLOOKUP($E16,Tab_Def_Processes[Name(EN)],Tab_Def_Processes[Output_Flow_O_4],,0,)</f>
        <v>#N/A</v>
      </c>
      <c r="AM16" s="120" t="e">
        <f>_xlfn.XLOOKUP($E16,Tab_Def_Processes[Name(EN)],Tab_Def_Processes[Flow_ID_O_4],,0,)</f>
        <v>#N/A</v>
      </c>
      <c r="AN16" s="115"/>
      <c r="AO16" s="120" t="e">
        <f>_xlfn.XLOOKUP($E16,Tab_Def_Processes[Name(EN)],Tab_Def_Processes[Output_Flow_O_5],,0,)</f>
        <v>#N/A</v>
      </c>
      <c r="AP16" s="120" t="e">
        <f>_xlfn.XLOOKUP($E16,Tab_Def_Processes[Name(EN)],Tab_Def_Processes[Flow_ID_O_5],,0,)</f>
        <v>#N/A</v>
      </c>
      <c r="AQ16" s="115"/>
      <c r="AR16" s="120" t="e">
        <f>_xlfn.XLOOKUP($E16,Tab_Def_Processes[Name(EN)],Tab_Def_Processes[Output_Flow_O_6],,0,)</f>
        <v>#N/A</v>
      </c>
      <c r="AS16" s="120" t="e">
        <f>_xlfn.XLOOKUP($E16,Tab_Def_Processes[Name(EN)],Tab_Def_Processes[Flow_ID_O_6],,0,)</f>
        <v>#N/A</v>
      </c>
      <c r="AT16" s="115"/>
      <c r="AU16" s="119">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25">
      <c r="A17" s="93" t="b">
        <v>0</v>
      </c>
      <c r="B17" s="49">
        <f t="shared" si="0"/>
        <v>16</v>
      </c>
      <c r="C17" s="49" t="e">
        <f t="shared" si="1"/>
        <v>#N/A</v>
      </c>
      <c r="D17" s="113" t="e">
        <f>_xlfn.XLOOKUP($E17,Tab_Def_Processes[Name(EN)],Tab_Def_Processes[ID],,0,)</f>
        <v>#N/A</v>
      </c>
      <c r="E17" s="51" t="s">
        <v>230</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0"/>
      <c r="P17" s="75" t="e">
        <f>_xlfn.XLOOKUP($E17,Tab_Def_Processes[Name(EN)],Tab_Def_Processes[Input_Flow_I_2],,0,)</f>
        <v>#N/A</v>
      </c>
      <c r="Q17" s="49" t="e">
        <f>_xlfn.XLOOKUP($E17,Tab_Def_Processes[Name(EN)],Tab_Def_Processes[Flow_ID_I_2],,0,)</f>
        <v>#N/A</v>
      </c>
      <c r="R17" s="80"/>
      <c r="S17" s="75" t="e">
        <f>_xlfn.XLOOKUP($E17,Tab_Def_Processes[Name(EN)],Tab_Def_Processes[Input_Flow_I_3],,0,)</f>
        <v>#N/A</v>
      </c>
      <c r="T17" s="49" t="e">
        <f>_xlfn.XLOOKUP($E17,Tab_Def_Processes[Name(EN)],Tab_Def_Processes[Flow_ID_I_3],,0,)</f>
        <v>#N/A</v>
      </c>
      <c r="U17" s="80"/>
      <c r="V17" s="75" t="e">
        <f>_xlfn.XLOOKUP($E17,Tab_Def_Processes[Name(EN)],Tab_Def_Processes[Input_Flow_I_4],,0,)</f>
        <v>#N/A</v>
      </c>
      <c r="W17" s="49" t="e">
        <f>_xlfn.XLOOKUP($E17,Tab_Def_Processes[Name(EN)],Tab_Def_Processes[Flow_ID_I_4],,0,)</f>
        <v>#N/A</v>
      </c>
      <c r="X17" s="80"/>
      <c r="Y17" s="75" t="e">
        <f>_xlfn.XLOOKUP($E17,Tab_Def_Processes[Name(EN)],Tab_Def_Processes[Input_Flow_I_5],,0,)</f>
        <v>#N/A</v>
      </c>
      <c r="Z17" s="49" t="e">
        <f>_xlfn.XLOOKUP($E17,Tab_Def_Processes[Name(EN)],Tab_Def_Processes[Flow_ID_I_5],,0,)</f>
        <v>#N/A</v>
      </c>
      <c r="AA17" s="80"/>
      <c r="AB17" s="78">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15"/>
      <c r="AF17" s="120" t="e">
        <f>_xlfn.XLOOKUP($E17,Tab_Def_Processes[Name(EN)],Tab_Def_Processes[Output_Flow_O_2],,0,)</f>
        <v>#N/A</v>
      </c>
      <c r="AG17" s="120" t="e">
        <f>_xlfn.XLOOKUP($E17,Tab_Def_Processes[Name(EN)],Tab_Def_Processes[Flow_ID_O_2],,0,)</f>
        <v>#N/A</v>
      </c>
      <c r="AH17" s="115"/>
      <c r="AI17" s="120" t="e">
        <f>_xlfn.XLOOKUP($E17,Tab_Def_Processes[Name(EN)],Tab_Def_Processes[Output_Flow_O_3],,0,)</f>
        <v>#N/A</v>
      </c>
      <c r="AJ17" s="120" t="e">
        <f>_xlfn.XLOOKUP($E17,Tab_Def_Processes[Name(EN)],Tab_Def_Processes[Flow_ID_O_3],,0,)</f>
        <v>#N/A</v>
      </c>
      <c r="AK17" s="115"/>
      <c r="AL17" s="120" t="e">
        <f>_xlfn.XLOOKUP($E17,Tab_Def_Processes[Name(EN)],Tab_Def_Processes[Output_Flow_O_4],,0,)</f>
        <v>#N/A</v>
      </c>
      <c r="AM17" s="120" t="e">
        <f>_xlfn.XLOOKUP($E17,Tab_Def_Processes[Name(EN)],Tab_Def_Processes[Flow_ID_O_4],,0,)</f>
        <v>#N/A</v>
      </c>
      <c r="AN17" s="115"/>
      <c r="AO17" s="120" t="e">
        <f>_xlfn.XLOOKUP($E17,Tab_Def_Processes[Name(EN)],Tab_Def_Processes[Output_Flow_O_5],,0,)</f>
        <v>#N/A</v>
      </c>
      <c r="AP17" s="120" t="e">
        <f>_xlfn.XLOOKUP($E17,Tab_Def_Processes[Name(EN)],Tab_Def_Processes[Flow_ID_O_5],,0,)</f>
        <v>#N/A</v>
      </c>
      <c r="AQ17" s="115"/>
      <c r="AR17" s="120" t="e">
        <f>_xlfn.XLOOKUP($E17,Tab_Def_Processes[Name(EN)],Tab_Def_Processes[Output_Flow_O_6],,0,)</f>
        <v>#N/A</v>
      </c>
      <c r="AS17" s="120" t="e">
        <f>_xlfn.XLOOKUP($E17,Tab_Def_Processes[Name(EN)],Tab_Def_Processes[Flow_ID_O_6],,0,)</f>
        <v>#N/A</v>
      </c>
      <c r="AT17" s="115"/>
      <c r="AU17" s="119">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3" t="b">
        <v>0</v>
      </c>
      <c r="B18" s="49">
        <f t="shared" si="0"/>
        <v>17</v>
      </c>
      <c r="C18" s="49" t="e">
        <f t="shared" si="1"/>
        <v>#N/A</v>
      </c>
      <c r="D18" s="113" t="e">
        <f>_xlfn.XLOOKUP($E18,Tab_Def_Processes[Name(EN)],Tab_Def_Processes[ID],,0,)</f>
        <v>#N/A</v>
      </c>
      <c r="E18" s="51" t="s">
        <v>230</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0"/>
      <c r="P18" s="75" t="e">
        <f>_xlfn.XLOOKUP($E18,Tab_Def_Processes[Name(EN)],Tab_Def_Processes[Input_Flow_I_2],,0,)</f>
        <v>#N/A</v>
      </c>
      <c r="Q18" s="49" t="e">
        <f>_xlfn.XLOOKUP($E18,Tab_Def_Processes[Name(EN)],Tab_Def_Processes[Flow_ID_I_2],,0,)</f>
        <v>#N/A</v>
      </c>
      <c r="R18" s="80"/>
      <c r="S18" s="75" t="e">
        <f>_xlfn.XLOOKUP($E18,Tab_Def_Processes[Name(EN)],Tab_Def_Processes[Input_Flow_I_3],,0,)</f>
        <v>#N/A</v>
      </c>
      <c r="T18" s="49" t="e">
        <f>_xlfn.XLOOKUP($E18,Tab_Def_Processes[Name(EN)],Tab_Def_Processes[Flow_ID_I_3],,0,)</f>
        <v>#N/A</v>
      </c>
      <c r="U18" s="80"/>
      <c r="V18" s="75" t="e">
        <f>_xlfn.XLOOKUP($E18,Tab_Def_Processes[Name(EN)],Tab_Def_Processes[Input_Flow_I_4],,0,)</f>
        <v>#N/A</v>
      </c>
      <c r="W18" s="49" t="e">
        <f>_xlfn.XLOOKUP($E18,Tab_Def_Processes[Name(EN)],Tab_Def_Processes[Flow_ID_I_4],,0,)</f>
        <v>#N/A</v>
      </c>
      <c r="X18" s="80"/>
      <c r="Y18" s="75" t="e">
        <f>_xlfn.XLOOKUP($E18,Tab_Def_Processes[Name(EN)],Tab_Def_Processes[Input_Flow_I_5],,0,)</f>
        <v>#N/A</v>
      </c>
      <c r="Z18" s="49" t="e">
        <f>_xlfn.XLOOKUP($E18,Tab_Def_Processes[Name(EN)],Tab_Def_Processes[Flow_ID_I_5],,0,)</f>
        <v>#N/A</v>
      </c>
      <c r="AA18" s="80"/>
      <c r="AB18" s="78">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15"/>
      <c r="AF18" s="120" t="e">
        <f>_xlfn.XLOOKUP($E18,Tab_Def_Processes[Name(EN)],Tab_Def_Processes[Output_Flow_O_2],,0,)</f>
        <v>#N/A</v>
      </c>
      <c r="AG18" s="120" t="e">
        <f>_xlfn.XLOOKUP($E18,Tab_Def_Processes[Name(EN)],Tab_Def_Processes[Flow_ID_O_2],,0,)</f>
        <v>#N/A</v>
      </c>
      <c r="AH18" s="115"/>
      <c r="AI18" s="120" t="e">
        <f>_xlfn.XLOOKUP($E18,Tab_Def_Processes[Name(EN)],Tab_Def_Processes[Output_Flow_O_3],,0,)</f>
        <v>#N/A</v>
      </c>
      <c r="AJ18" s="120" t="e">
        <f>_xlfn.XLOOKUP($E18,Tab_Def_Processes[Name(EN)],Tab_Def_Processes[Flow_ID_O_3],,0,)</f>
        <v>#N/A</v>
      </c>
      <c r="AK18" s="115"/>
      <c r="AL18" s="120" t="e">
        <f>_xlfn.XLOOKUP($E18,Tab_Def_Processes[Name(EN)],Tab_Def_Processes[Output_Flow_O_4],,0,)</f>
        <v>#N/A</v>
      </c>
      <c r="AM18" s="120" t="e">
        <f>_xlfn.XLOOKUP($E18,Tab_Def_Processes[Name(EN)],Tab_Def_Processes[Flow_ID_O_4],,0,)</f>
        <v>#N/A</v>
      </c>
      <c r="AN18" s="115"/>
      <c r="AO18" s="120" t="e">
        <f>_xlfn.XLOOKUP($E18,Tab_Def_Processes[Name(EN)],Tab_Def_Processes[Output_Flow_O_5],,0,)</f>
        <v>#N/A</v>
      </c>
      <c r="AP18" s="120" t="e">
        <f>_xlfn.XLOOKUP($E18,Tab_Def_Processes[Name(EN)],Tab_Def_Processes[Flow_ID_O_5],,0,)</f>
        <v>#N/A</v>
      </c>
      <c r="AQ18" s="115"/>
      <c r="AR18" s="120" t="e">
        <f>_xlfn.XLOOKUP($E18,Tab_Def_Processes[Name(EN)],Tab_Def_Processes[Output_Flow_O_6],,0,)</f>
        <v>#N/A</v>
      </c>
      <c r="AS18" s="120" t="e">
        <f>_xlfn.XLOOKUP($E18,Tab_Def_Processes[Name(EN)],Tab_Def_Processes[Flow_ID_O_6],,0,)</f>
        <v>#N/A</v>
      </c>
      <c r="AT18" s="115"/>
      <c r="AU18" s="119">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3" t="b">
        <v>0</v>
      </c>
      <c r="B19" s="49">
        <f t="shared" si="0"/>
        <v>18</v>
      </c>
      <c r="C19" s="49" t="e">
        <f t="shared" si="1"/>
        <v>#N/A</v>
      </c>
      <c r="D19" s="113" t="e">
        <f>_xlfn.XLOOKUP($E19,Tab_Def_Processes[Name(EN)],Tab_Def_Processes[ID],,0,)</f>
        <v>#N/A</v>
      </c>
      <c r="E19" s="51" t="s">
        <v>230</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0"/>
      <c r="P19" s="75" t="e">
        <f>_xlfn.XLOOKUP($E19,Tab_Def_Processes[Name(EN)],Tab_Def_Processes[Input_Flow_I_2],,0,)</f>
        <v>#N/A</v>
      </c>
      <c r="Q19" s="49" t="e">
        <f>_xlfn.XLOOKUP($E19,Tab_Def_Processes[Name(EN)],Tab_Def_Processes[Flow_ID_I_2],,0,)</f>
        <v>#N/A</v>
      </c>
      <c r="R19" s="80"/>
      <c r="S19" s="75" t="e">
        <f>_xlfn.XLOOKUP($E19,Tab_Def_Processes[Name(EN)],Tab_Def_Processes[Input_Flow_I_3],,0,)</f>
        <v>#N/A</v>
      </c>
      <c r="T19" s="49" t="e">
        <f>_xlfn.XLOOKUP($E19,Tab_Def_Processes[Name(EN)],Tab_Def_Processes[Flow_ID_I_3],,0,)</f>
        <v>#N/A</v>
      </c>
      <c r="U19" s="80"/>
      <c r="V19" s="75" t="e">
        <f>_xlfn.XLOOKUP($E19,Tab_Def_Processes[Name(EN)],Tab_Def_Processes[Input_Flow_I_4],,0,)</f>
        <v>#N/A</v>
      </c>
      <c r="W19" s="49" t="e">
        <f>_xlfn.XLOOKUP($E19,Tab_Def_Processes[Name(EN)],Tab_Def_Processes[Flow_ID_I_4],,0,)</f>
        <v>#N/A</v>
      </c>
      <c r="X19" s="80"/>
      <c r="Y19" s="75" t="e">
        <f>_xlfn.XLOOKUP($E19,Tab_Def_Processes[Name(EN)],Tab_Def_Processes[Input_Flow_I_5],,0,)</f>
        <v>#N/A</v>
      </c>
      <c r="Z19" s="49" t="e">
        <f>_xlfn.XLOOKUP($E19,Tab_Def_Processes[Name(EN)],Tab_Def_Processes[Flow_ID_I_5],,0,)</f>
        <v>#N/A</v>
      </c>
      <c r="AA19" s="80"/>
      <c r="AB19" s="78">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15"/>
      <c r="AF19" s="120" t="e">
        <f>_xlfn.XLOOKUP($E19,Tab_Def_Processes[Name(EN)],Tab_Def_Processes[Output_Flow_O_2],,0,)</f>
        <v>#N/A</v>
      </c>
      <c r="AG19" s="120" t="e">
        <f>_xlfn.XLOOKUP($E19,Tab_Def_Processes[Name(EN)],Tab_Def_Processes[Flow_ID_O_2],,0,)</f>
        <v>#N/A</v>
      </c>
      <c r="AH19" s="115"/>
      <c r="AI19" s="120" t="e">
        <f>_xlfn.XLOOKUP($E19,Tab_Def_Processes[Name(EN)],Tab_Def_Processes[Output_Flow_O_3],,0,)</f>
        <v>#N/A</v>
      </c>
      <c r="AJ19" s="120" t="e">
        <f>_xlfn.XLOOKUP($E19,Tab_Def_Processes[Name(EN)],Tab_Def_Processes[Flow_ID_O_3],,0,)</f>
        <v>#N/A</v>
      </c>
      <c r="AK19" s="115"/>
      <c r="AL19" s="120" t="e">
        <f>_xlfn.XLOOKUP($E19,Tab_Def_Processes[Name(EN)],Tab_Def_Processes[Output_Flow_O_4],,0,)</f>
        <v>#N/A</v>
      </c>
      <c r="AM19" s="120" t="e">
        <f>_xlfn.XLOOKUP($E19,Tab_Def_Processes[Name(EN)],Tab_Def_Processes[Flow_ID_O_4],,0,)</f>
        <v>#N/A</v>
      </c>
      <c r="AN19" s="115"/>
      <c r="AO19" s="120" t="e">
        <f>_xlfn.XLOOKUP($E19,Tab_Def_Processes[Name(EN)],Tab_Def_Processes[Output_Flow_O_5],,0,)</f>
        <v>#N/A</v>
      </c>
      <c r="AP19" s="120" t="e">
        <f>_xlfn.XLOOKUP($E19,Tab_Def_Processes[Name(EN)],Tab_Def_Processes[Flow_ID_O_5],,0,)</f>
        <v>#N/A</v>
      </c>
      <c r="AQ19" s="115"/>
      <c r="AR19" s="120" t="e">
        <f>_xlfn.XLOOKUP($E19,Tab_Def_Processes[Name(EN)],Tab_Def_Processes[Output_Flow_O_6],,0,)</f>
        <v>#N/A</v>
      </c>
      <c r="AS19" s="120" t="e">
        <f>_xlfn.XLOOKUP($E19,Tab_Def_Processes[Name(EN)],Tab_Def_Processes[Flow_ID_O_6],,0,)</f>
        <v>#N/A</v>
      </c>
      <c r="AT19" s="115"/>
      <c r="AU19" s="119">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3" t="b">
        <v>0</v>
      </c>
      <c r="B20" s="49">
        <f t="shared" si="0"/>
        <v>19</v>
      </c>
      <c r="C20" s="49" t="e">
        <f t="shared" si="1"/>
        <v>#N/A</v>
      </c>
      <c r="D20" s="113" t="e">
        <f>_xlfn.XLOOKUP($E20,Tab_Def_Processes[Name(EN)],Tab_Def_Processes[ID],,0,)</f>
        <v>#N/A</v>
      </c>
      <c r="E20" s="51" t="s">
        <v>230</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0"/>
      <c r="P20" s="75" t="e">
        <f>_xlfn.XLOOKUP($E20,Tab_Def_Processes[Name(EN)],Tab_Def_Processes[Input_Flow_I_2],,0,)</f>
        <v>#N/A</v>
      </c>
      <c r="Q20" s="49" t="e">
        <f>_xlfn.XLOOKUP($E20,Tab_Def_Processes[Name(EN)],Tab_Def_Processes[Flow_ID_I_2],,0,)</f>
        <v>#N/A</v>
      </c>
      <c r="R20" s="80"/>
      <c r="S20" s="75" t="e">
        <f>_xlfn.XLOOKUP($E20,Tab_Def_Processes[Name(EN)],Tab_Def_Processes[Input_Flow_I_3],,0,)</f>
        <v>#N/A</v>
      </c>
      <c r="T20" s="49" t="e">
        <f>_xlfn.XLOOKUP($E20,Tab_Def_Processes[Name(EN)],Tab_Def_Processes[Flow_ID_I_3],,0,)</f>
        <v>#N/A</v>
      </c>
      <c r="U20" s="80"/>
      <c r="V20" s="75" t="e">
        <f>_xlfn.XLOOKUP($E20,Tab_Def_Processes[Name(EN)],Tab_Def_Processes[Input_Flow_I_4],,0,)</f>
        <v>#N/A</v>
      </c>
      <c r="W20" s="49" t="e">
        <f>_xlfn.XLOOKUP($E20,Tab_Def_Processes[Name(EN)],Tab_Def_Processes[Flow_ID_I_4],,0,)</f>
        <v>#N/A</v>
      </c>
      <c r="X20" s="80"/>
      <c r="Y20" s="75" t="e">
        <f>_xlfn.XLOOKUP($E20,Tab_Def_Processes[Name(EN)],Tab_Def_Processes[Input_Flow_I_5],,0,)</f>
        <v>#N/A</v>
      </c>
      <c r="Z20" s="49" t="e">
        <f>_xlfn.XLOOKUP($E20,Tab_Def_Processes[Name(EN)],Tab_Def_Processes[Flow_ID_I_5],,0,)</f>
        <v>#N/A</v>
      </c>
      <c r="AA20" s="80"/>
      <c r="AB20" s="78">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15"/>
      <c r="AF20" s="120" t="e">
        <f>_xlfn.XLOOKUP($E20,Tab_Def_Processes[Name(EN)],Tab_Def_Processes[Output_Flow_O_2],,0,)</f>
        <v>#N/A</v>
      </c>
      <c r="AG20" s="120" t="e">
        <f>_xlfn.XLOOKUP($E20,Tab_Def_Processes[Name(EN)],Tab_Def_Processes[Flow_ID_O_2],,0,)</f>
        <v>#N/A</v>
      </c>
      <c r="AH20" s="115"/>
      <c r="AI20" s="120" t="e">
        <f>_xlfn.XLOOKUP($E20,Tab_Def_Processes[Name(EN)],Tab_Def_Processes[Output_Flow_O_3],,0,)</f>
        <v>#N/A</v>
      </c>
      <c r="AJ20" s="120" t="e">
        <f>_xlfn.XLOOKUP($E20,Tab_Def_Processes[Name(EN)],Tab_Def_Processes[Flow_ID_O_3],,0,)</f>
        <v>#N/A</v>
      </c>
      <c r="AK20" s="115"/>
      <c r="AL20" s="120" t="e">
        <f>_xlfn.XLOOKUP($E20,Tab_Def_Processes[Name(EN)],Tab_Def_Processes[Output_Flow_O_4],,0,)</f>
        <v>#N/A</v>
      </c>
      <c r="AM20" s="120" t="e">
        <f>_xlfn.XLOOKUP($E20,Tab_Def_Processes[Name(EN)],Tab_Def_Processes[Flow_ID_O_4],,0,)</f>
        <v>#N/A</v>
      </c>
      <c r="AN20" s="115"/>
      <c r="AO20" s="120" t="e">
        <f>_xlfn.XLOOKUP($E20,Tab_Def_Processes[Name(EN)],Tab_Def_Processes[Output_Flow_O_5],,0,)</f>
        <v>#N/A</v>
      </c>
      <c r="AP20" s="120" t="e">
        <f>_xlfn.XLOOKUP($E20,Tab_Def_Processes[Name(EN)],Tab_Def_Processes[Flow_ID_O_5],,0,)</f>
        <v>#N/A</v>
      </c>
      <c r="AQ20" s="115"/>
      <c r="AR20" s="120" t="e">
        <f>_xlfn.XLOOKUP($E20,Tab_Def_Processes[Name(EN)],Tab_Def_Processes[Output_Flow_O_6],,0,)</f>
        <v>#N/A</v>
      </c>
      <c r="AS20" s="120" t="e">
        <f>_xlfn.XLOOKUP($E20,Tab_Def_Processes[Name(EN)],Tab_Def_Processes[Flow_ID_O_6],,0,)</f>
        <v>#N/A</v>
      </c>
      <c r="AT20" s="115"/>
      <c r="AU20" s="119">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3" t="b">
        <v>0</v>
      </c>
      <c r="B21" s="49">
        <f t="shared" si="0"/>
        <v>20</v>
      </c>
      <c r="C21" s="49" t="e">
        <f t="shared" si="1"/>
        <v>#N/A</v>
      </c>
      <c r="D21" s="113" t="e">
        <f>_xlfn.XLOOKUP($E21,Tab_Def_Processes[Name(EN)],Tab_Def_Processes[ID],,0,)</f>
        <v>#N/A</v>
      </c>
      <c r="E21" s="51" t="s">
        <v>230</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0"/>
      <c r="P21" s="75" t="e">
        <f>_xlfn.XLOOKUP($E21,Tab_Def_Processes[Name(EN)],Tab_Def_Processes[Input_Flow_I_2],,0,)</f>
        <v>#N/A</v>
      </c>
      <c r="Q21" s="49" t="e">
        <f>_xlfn.XLOOKUP($E21,Tab_Def_Processes[Name(EN)],Tab_Def_Processes[Flow_ID_I_2],,0,)</f>
        <v>#N/A</v>
      </c>
      <c r="R21" s="80"/>
      <c r="S21" s="75" t="e">
        <f>_xlfn.XLOOKUP($E21,Tab_Def_Processes[Name(EN)],Tab_Def_Processes[Input_Flow_I_3],,0,)</f>
        <v>#N/A</v>
      </c>
      <c r="T21" s="49" t="e">
        <f>_xlfn.XLOOKUP($E21,Tab_Def_Processes[Name(EN)],Tab_Def_Processes[Flow_ID_I_3],,0,)</f>
        <v>#N/A</v>
      </c>
      <c r="U21" s="80"/>
      <c r="V21" s="75" t="e">
        <f>_xlfn.XLOOKUP($E21,Tab_Def_Processes[Name(EN)],Tab_Def_Processes[Input_Flow_I_4],,0,)</f>
        <v>#N/A</v>
      </c>
      <c r="W21" s="49" t="e">
        <f>_xlfn.XLOOKUP($E21,Tab_Def_Processes[Name(EN)],Tab_Def_Processes[Flow_ID_I_4],,0,)</f>
        <v>#N/A</v>
      </c>
      <c r="X21" s="80"/>
      <c r="Y21" s="75" t="e">
        <f>_xlfn.XLOOKUP($E21,Tab_Def_Processes[Name(EN)],Tab_Def_Processes[Input_Flow_I_5],,0,)</f>
        <v>#N/A</v>
      </c>
      <c r="Z21" s="49" t="e">
        <f>_xlfn.XLOOKUP($E21,Tab_Def_Processes[Name(EN)],Tab_Def_Processes[Flow_ID_I_5],,0,)</f>
        <v>#N/A</v>
      </c>
      <c r="AA21" s="80"/>
      <c r="AB21" s="78">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15"/>
      <c r="AF21" s="120" t="e">
        <f>_xlfn.XLOOKUP($E21,Tab_Def_Processes[Name(EN)],Tab_Def_Processes[Output_Flow_O_2],,0,)</f>
        <v>#N/A</v>
      </c>
      <c r="AG21" s="120" t="e">
        <f>_xlfn.XLOOKUP($E21,Tab_Def_Processes[Name(EN)],Tab_Def_Processes[Flow_ID_O_2],,0,)</f>
        <v>#N/A</v>
      </c>
      <c r="AH21" s="115"/>
      <c r="AI21" s="120" t="e">
        <f>_xlfn.XLOOKUP($E21,Tab_Def_Processes[Name(EN)],Tab_Def_Processes[Output_Flow_O_3],,0,)</f>
        <v>#N/A</v>
      </c>
      <c r="AJ21" s="120" t="e">
        <f>_xlfn.XLOOKUP($E21,Tab_Def_Processes[Name(EN)],Tab_Def_Processes[Flow_ID_O_3],,0,)</f>
        <v>#N/A</v>
      </c>
      <c r="AK21" s="115"/>
      <c r="AL21" s="120" t="e">
        <f>_xlfn.XLOOKUP($E21,Tab_Def_Processes[Name(EN)],Tab_Def_Processes[Output_Flow_O_4],,0,)</f>
        <v>#N/A</v>
      </c>
      <c r="AM21" s="120" t="e">
        <f>_xlfn.XLOOKUP($E21,Tab_Def_Processes[Name(EN)],Tab_Def_Processes[Flow_ID_O_4],,0,)</f>
        <v>#N/A</v>
      </c>
      <c r="AN21" s="115"/>
      <c r="AO21" s="120" t="e">
        <f>_xlfn.XLOOKUP($E21,Tab_Def_Processes[Name(EN)],Tab_Def_Processes[Output_Flow_O_5],,0,)</f>
        <v>#N/A</v>
      </c>
      <c r="AP21" s="120" t="e">
        <f>_xlfn.XLOOKUP($E21,Tab_Def_Processes[Name(EN)],Tab_Def_Processes[Flow_ID_O_5],,0,)</f>
        <v>#N/A</v>
      </c>
      <c r="AQ21" s="115"/>
      <c r="AR21" s="120" t="e">
        <f>_xlfn.XLOOKUP($E21,Tab_Def_Processes[Name(EN)],Tab_Def_Processes[Output_Flow_O_6],,0,)</f>
        <v>#N/A</v>
      </c>
      <c r="AS21" s="120" t="e">
        <f>_xlfn.XLOOKUP($E21,Tab_Def_Processes[Name(EN)],Tab_Def_Processes[Flow_ID_O_6],,0,)</f>
        <v>#N/A</v>
      </c>
      <c r="AT21" s="115"/>
      <c r="AU21" s="119">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3" t="b">
        <v>0</v>
      </c>
      <c r="B22" s="49">
        <f t="shared" si="0"/>
        <v>21</v>
      </c>
      <c r="C22" s="49" t="e">
        <f t="shared" si="1"/>
        <v>#N/A</v>
      </c>
      <c r="D22" s="113" t="e">
        <f>_xlfn.XLOOKUP($E22,Tab_Def_Processes[Name(EN)],Tab_Def_Processes[ID],,0,)</f>
        <v>#N/A</v>
      </c>
      <c r="E22" s="51" t="s">
        <v>230</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0"/>
      <c r="P22" s="75" t="e">
        <f>_xlfn.XLOOKUP($E22,Tab_Def_Processes[Name(EN)],Tab_Def_Processes[Input_Flow_I_2],,0,)</f>
        <v>#N/A</v>
      </c>
      <c r="Q22" s="49" t="e">
        <f>_xlfn.XLOOKUP($E22,Tab_Def_Processes[Name(EN)],Tab_Def_Processes[Flow_ID_I_2],,0,)</f>
        <v>#N/A</v>
      </c>
      <c r="R22" s="80"/>
      <c r="S22" s="75" t="e">
        <f>_xlfn.XLOOKUP($E22,Tab_Def_Processes[Name(EN)],Tab_Def_Processes[Input_Flow_I_3],,0,)</f>
        <v>#N/A</v>
      </c>
      <c r="T22" s="49" t="e">
        <f>_xlfn.XLOOKUP($E22,Tab_Def_Processes[Name(EN)],Tab_Def_Processes[Flow_ID_I_3],,0,)</f>
        <v>#N/A</v>
      </c>
      <c r="U22" s="80"/>
      <c r="V22" s="75" t="e">
        <f>_xlfn.XLOOKUP($E22,Tab_Def_Processes[Name(EN)],Tab_Def_Processes[Input_Flow_I_4],,0,)</f>
        <v>#N/A</v>
      </c>
      <c r="W22" s="49" t="e">
        <f>_xlfn.XLOOKUP($E22,Tab_Def_Processes[Name(EN)],Tab_Def_Processes[Flow_ID_I_4],,0,)</f>
        <v>#N/A</v>
      </c>
      <c r="X22" s="80"/>
      <c r="Y22" s="75" t="e">
        <f>_xlfn.XLOOKUP($E22,Tab_Def_Processes[Name(EN)],Tab_Def_Processes[Input_Flow_I_5],,0,)</f>
        <v>#N/A</v>
      </c>
      <c r="Z22" s="49" t="e">
        <f>_xlfn.XLOOKUP($E22,Tab_Def_Processes[Name(EN)],Tab_Def_Processes[Flow_ID_I_5],,0,)</f>
        <v>#N/A</v>
      </c>
      <c r="AA22" s="80"/>
      <c r="AB22" s="78">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15"/>
      <c r="AF22" s="120" t="e">
        <f>_xlfn.XLOOKUP($E22,Tab_Def_Processes[Name(EN)],Tab_Def_Processes[Output_Flow_O_2],,0,)</f>
        <v>#N/A</v>
      </c>
      <c r="AG22" s="120" t="e">
        <f>_xlfn.XLOOKUP($E22,Tab_Def_Processes[Name(EN)],Tab_Def_Processes[Flow_ID_O_2],,0,)</f>
        <v>#N/A</v>
      </c>
      <c r="AH22" s="115"/>
      <c r="AI22" s="120" t="e">
        <f>_xlfn.XLOOKUP($E22,Tab_Def_Processes[Name(EN)],Tab_Def_Processes[Output_Flow_O_3],,0,)</f>
        <v>#N/A</v>
      </c>
      <c r="AJ22" s="120" t="e">
        <f>_xlfn.XLOOKUP($E22,Tab_Def_Processes[Name(EN)],Tab_Def_Processes[Flow_ID_O_3],,0,)</f>
        <v>#N/A</v>
      </c>
      <c r="AK22" s="115"/>
      <c r="AL22" s="120" t="e">
        <f>_xlfn.XLOOKUP($E22,Tab_Def_Processes[Name(EN)],Tab_Def_Processes[Output_Flow_O_4],,0,)</f>
        <v>#N/A</v>
      </c>
      <c r="AM22" s="120" t="e">
        <f>_xlfn.XLOOKUP($E22,Tab_Def_Processes[Name(EN)],Tab_Def_Processes[Flow_ID_O_4],,0,)</f>
        <v>#N/A</v>
      </c>
      <c r="AN22" s="115"/>
      <c r="AO22" s="120" t="e">
        <f>_xlfn.XLOOKUP($E22,Tab_Def_Processes[Name(EN)],Tab_Def_Processes[Output_Flow_O_5],,0,)</f>
        <v>#N/A</v>
      </c>
      <c r="AP22" s="120" t="e">
        <f>_xlfn.XLOOKUP($E22,Tab_Def_Processes[Name(EN)],Tab_Def_Processes[Flow_ID_O_5],,0,)</f>
        <v>#N/A</v>
      </c>
      <c r="AQ22" s="115"/>
      <c r="AR22" s="120" t="e">
        <f>_xlfn.XLOOKUP($E22,Tab_Def_Processes[Name(EN)],Tab_Def_Processes[Output_Flow_O_6],,0,)</f>
        <v>#N/A</v>
      </c>
      <c r="AS22" s="120" t="e">
        <f>_xlfn.XLOOKUP($E22,Tab_Def_Processes[Name(EN)],Tab_Def_Processes[Flow_ID_O_6],,0,)</f>
        <v>#N/A</v>
      </c>
      <c r="AT22" s="115"/>
      <c r="AU22" s="119">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3" t="b">
        <v>0</v>
      </c>
      <c r="B23" s="49">
        <f t="shared" si="0"/>
        <v>22</v>
      </c>
      <c r="C23" s="49" t="e">
        <f t="shared" si="1"/>
        <v>#N/A</v>
      </c>
      <c r="D23" s="113" t="e">
        <f>_xlfn.XLOOKUP($E23,Tab_Def_Processes[Name(EN)],Tab_Def_Processes[ID],,0,)</f>
        <v>#N/A</v>
      </c>
      <c r="E23" s="51" t="s">
        <v>230</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0"/>
      <c r="P23" s="75" t="e">
        <f>_xlfn.XLOOKUP($E23,Tab_Def_Processes[Name(EN)],Tab_Def_Processes[Input_Flow_I_2],,0,)</f>
        <v>#N/A</v>
      </c>
      <c r="Q23" s="49" t="e">
        <f>_xlfn.XLOOKUP($E23,Tab_Def_Processes[Name(EN)],Tab_Def_Processes[Flow_ID_I_2],,0,)</f>
        <v>#N/A</v>
      </c>
      <c r="R23" s="80"/>
      <c r="S23" s="75" t="e">
        <f>_xlfn.XLOOKUP($E23,Tab_Def_Processes[Name(EN)],Tab_Def_Processes[Input_Flow_I_3],,0,)</f>
        <v>#N/A</v>
      </c>
      <c r="T23" s="49" t="e">
        <f>_xlfn.XLOOKUP($E23,Tab_Def_Processes[Name(EN)],Tab_Def_Processes[Flow_ID_I_3],,0,)</f>
        <v>#N/A</v>
      </c>
      <c r="U23" s="80"/>
      <c r="V23" s="75" t="e">
        <f>_xlfn.XLOOKUP($E23,Tab_Def_Processes[Name(EN)],Tab_Def_Processes[Input_Flow_I_4],,0,)</f>
        <v>#N/A</v>
      </c>
      <c r="W23" s="49" t="e">
        <f>_xlfn.XLOOKUP($E23,Tab_Def_Processes[Name(EN)],Tab_Def_Processes[Flow_ID_I_4],,0,)</f>
        <v>#N/A</v>
      </c>
      <c r="X23" s="80"/>
      <c r="Y23" s="75" t="e">
        <f>_xlfn.XLOOKUP($E23,Tab_Def_Processes[Name(EN)],Tab_Def_Processes[Input_Flow_I_5],,0,)</f>
        <v>#N/A</v>
      </c>
      <c r="Z23" s="49" t="e">
        <f>_xlfn.XLOOKUP($E23,Tab_Def_Processes[Name(EN)],Tab_Def_Processes[Flow_ID_I_5],,0,)</f>
        <v>#N/A</v>
      </c>
      <c r="AA23" s="80"/>
      <c r="AB23" s="78">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15"/>
      <c r="AF23" s="120" t="e">
        <f>_xlfn.XLOOKUP($E23,Tab_Def_Processes[Name(EN)],Tab_Def_Processes[Output_Flow_O_2],,0,)</f>
        <v>#N/A</v>
      </c>
      <c r="AG23" s="120" t="e">
        <f>_xlfn.XLOOKUP($E23,Tab_Def_Processes[Name(EN)],Tab_Def_Processes[Flow_ID_O_2],,0,)</f>
        <v>#N/A</v>
      </c>
      <c r="AH23" s="115"/>
      <c r="AI23" s="120" t="e">
        <f>_xlfn.XLOOKUP($E23,Tab_Def_Processes[Name(EN)],Tab_Def_Processes[Output_Flow_O_3],,0,)</f>
        <v>#N/A</v>
      </c>
      <c r="AJ23" s="120" t="e">
        <f>_xlfn.XLOOKUP($E23,Tab_Def_Processes[Name(EN)],Tab_Def_Processes[Flow_ID_O_3],,0,)</f>
        <v>#N/A</v>
      </c>
      <c r="AK23" s="115"/>
      <c r="AL23" s="120" t="e">
        <f>_xlfn.XLOOKUP($E23,Tab_Def_Processes[Name(EN)],Tab_Def_Processes[Output_Flow_O_4],,0,)</f>
        <v>#N/A</v>
      </c>
      <c r="AM23" s="120" t="e">
        <f>_xlfn.XLOOKUP($E23,Tab_Def_Processes[Name(EN)],Tab_Def_Processes[Flow_ID_O_4],,0,)</f>
        <v>#N/A</v>
      </c>
      <c r="AN23" s="115"/>
      <c r="AO23" s="120" t="e">
        <f>_xlfn.XLOOKUP($E23,Tab_Def_Processes[Name(EN)],Tab_Def_Processes[Output_Flow_O_5],,0,)</f>
        <v>#N/A</v>
      </c>
      <c r="AP23" s="120" t="e">
        <f>_xlfn.XLOOKUP($E23,Tab_Def_Processes[Name(EN)],Tab_Def_Processes[Flow_ID_O_5],,0,)</f>
        <v>#N/A</v>
      </c>
      <c r="AQ23" s="115"/>
      <c r="AR23" s="120" t="e">
        <f>_xlfn.XLOOKUP($E23,Tab_Def_Processes[Name(EN)],Tab_Def_Processes[Output_Flow_O_6],,0,)</f>
        <v>#N/A</v>
      </c>
      <c r="AS23" s="120" t="e">
        <f>_xlfn.XLOOKUP($E23,Tab_Def_Processes[Name(EN)],Tab_Def_Processes[Flow_ID_O_6],,0,)</f>
        <v>#N/A</v>
      </c>
      <c r="AT23" s="115"/>
      <c r="AU23" s="119">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3" t="b">
        <v>0</v>
      </c>
      <c r="B24" s="49">
        <f t="shared" si="0"/>
        <v>23</v>
      </c>
      <c r="C24" s="49" t="e">
        <f t="shared" si="1"/>
        <v>#N/A</v>
      </c>
      <c r="D24" s="113" t="e">
        <f>_xlfn.XLOOKUP($E24,Tab_Def_Processes[Name(EN)],Tab_Def_Processes[ID],,0,)</f>
        <v>#N/A</v>
      </c>
      <c r="E24" s="51" t="s">
        <v>230</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0"/>
      <c r="P24" s="75" t="e">
        <f>_xlfn.XLOOKUP($E24,Tab_Def_Processes[Name(EN)],Tab_Def_Processes[Input_Flow_I_2],,0,)</f>
        <v>#N/A</v>
      </c>
      <c r="Q24" s="49" t="e">
        <f>_xlfn.XLOOKUP($E24,Tab_Def_Processes[Name(EN)],Tab_Def_Processes[Flow_ID_I_2],,0,)</f>
        <v>#N/A</v>
      </c>
      <c r="R24" s="80"/>
      <c r="S24" s="75" t="e">
        <f>_xlfn.XLOOKUP($E24,Tab_Def_Processes[Name(EN)],Tab_Def_Processes[Input_Flow_I_3],,0,)</f>
        <v>#N/A</v>
      </c>
      <c r="T24" s="49" t="e">
        <f>_xlfn.XLOOKUP($E24,Tab_Def_Processes[Name(EN)],Tab_Def_Processes[Flow_ID_I_3],,0,)</f>
        <v>#N/A</v>
      </c>
      <c r="U24" s="80"/>
      <c r="V24" s="75" t="e">
        <f>_xlfn.XLOOKUP($E24,Tab_Def_Processes[Name(EN)],Tab_Def_Processes[Input_Flow_I_4],,0,)</f>
        <v>#N/A</v>
      </c>
      <c r="W24" s="49" t="e">
        <f>_xlfn.XLOOKUP($E24,Tab_Def_Processes[Name(EN)],Tab_Def_Processes[Flow_ID_I_4],,0,)</f>
        <v>#N/A</v>
      </c>
      <c r="X24" s="80"/>
      <c r="Y24" s="75" t="e">
        <f>_xlfn.XLOOKUP($E24,Tab_Def_Processes[Name(EN)],Tab_Def_Processes[Input_Flow_I_5],,0,)</f>
        <v>#N/A</v>
      </c>
      <c r="Z24" s="49" t="e">
        <f>_xlfn.XLOOKUP($E24,Tab_Def_Processes[Name(EN)],Tab_Def_Processes[Flow_ID_I_5],,0,)</f>
        <v>#N/A</v>
      </c>
      <c r="AA24" s="80"/>
      <c r="AB24" s="78">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15"/>
      <c r="AF24" s="120" t="e">
        <f>_xlfn.XLOOKUP($E24,Tab_Def_Processes[Name(EN)],Tab_Def_Processes[Output_Flow_O_2],,0,)</f>
        <v>#N/A</v>
      </c>
      <c r="AG24" s="120" t="e">
        <f>_xlfn.XLOOKUP($E24,Tab_Def_Processes[Name(EN)],Tab_Def_Processes[Flow_ID_O_2],,0,)</f>
        <v>#N/A</v>
      </c>
      <c r="AH24" s="115"/>
      <c r="AI24" s="120" t="e">
        <f>_xlfn.XLOOKUP($E24,Tab_Def_Processes[Name(EN)],Tab_Def_Processes[Output_Flow_O_3],,0,)</f>
        <v>#N/A</v>
      </c>
      <c r="AJ24" s="120" t="e">
        <f>_xlfn.XLOOKUP($E24,Tab_Def_Processes[Name(EN)],Tab_Def_Processes[Flow_ID_O_3],,0,)</f>
        <v>#N/A</v>
      </c>
      <c r="AK24" s="115"/>
      <c r="AL24" s="120" t="e">
        <f>_xlfn.XLOOKUP($E24,Tab_Def_Processes[Name(EN)],Tab_Def_Processes[Output_Flow_O_4],,0,)</f>
        <v>#N/A</v>
      </c>
      <c r="AM24" s="120" t="e">
        <f>_xlfn.XLOOKUP($E24,Tab_Def_Processes[Name(EN)],Tab_Def_Processes[Flow_ID_O_4],,0,)</f>
        <v>#N/A</v>
      </c>
      <c r="AN24" s="115"/>
      <c r="AO24" s="120" t="e">
        <f>_xlfn.XLOOKUP($E24,Tab_Def_Processes[Name(EN)],Tab_Def_Processes[Output_Flow_O_5],,0,)</f>
        <v>#N/A</v>
      </c>
      <c r="AP24" s="120" t="e">
        <f>_xlfn.XLOOKUP($E24,Tab_Def_Processes[Name(EN)],Tab_Def_Processes[Flow_ID_O_5],,0,)</f>
        <v>#N/A</v>
      </c>
      <c r="AQ24" s="115"/>
      <c r="AR24" s="120" t="e">
        <f>_xlfn.XLOOKUP($E24,Tab_Def_Processes[Name(EN)],Tab_Def_Processes[Output_Flow_O_6],,0,)</f>
        <v>#N/A</v>
      </c>
      <c r="AS24" s="120" t="e">
        <f>_xlfn.XLOOKUP($E24,Tab_Def_Processes[Name(EN)],Tab_Def_Processes[Flow_ID_O_6],,0,)</f>
        <v>#N/A</v>
      </c>
      <c r="AT24" s="115"/>
      <c r="AU24" s="119">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3" t="b">
        <v>0</v>
      </c>
      <c r="B25" s="49">
        <f t="shared" si="0"/>
        <v>24</v>
      </c>
      <c r="C25" s="49" t="e">
        <f t="shared" si="1"/>
        <v>#N/A</v>
      </c>
      <c r="D25" s="113" t="e">
        <f>_xlfn.XLOOKUP($E25,Tab_Def_Processes[Name(EN)],Tab_Def_Processes[ID],,0,)</f>
        <v>#N/A</v>
      </c>
      <c r="E25" s="51" t="s">
        <v>230</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0"/>
      <c r="P25" s="75" t="e">
        <f>_xlfn.XLOOKUP($E25,Tab_Def_Processes[Name(EN)],Tab_Def_Processes[Input_Flow_I_2],,0,)</f>
        <v>#N/A</v>
      </c>
      <c r="Q25" s="49" t="e">
        <f>_xlfn.XLOOKUP($E25,Tab_Def_Processes[Name(EN)],Tab_Def_Processes[Flow_ID_I_2],,0,)</f>
        <v>#N/A</v>
      </c>
      <c r="R25" s="80"/>
      <c r="S25" s="75" t="e">
        <f>_xlfn.XLOOKUP($E25,Tab_Def_Processes[Name(EN)],Tab_Def_Processes[Input_Flow_I_3],,0,)</f>
        <v>#N/A</v>
      </c>
      <c r="T25" s="49" t="e">
        <f>_xlfn.XLOOKUP($E25,Tab_Def_Processes[Name(EN)],Tab_Def_Processes[Flow_ID_I_3],,0,)</f>
        <v>#N/A</v>
      </c>
      <c r="U25" s="80"/>
      <c r="V25" s="75" t="e">
        <f>_xlfn.XLOOKUP($E25,Tab_Def_Processes[Name(EN)],Tab_Def_Processes[Input_Flow_I_4],,0,)</f>
        <v>#N/A</v>
      </c>
      <c r="W25" s="49" t="e">
        <f>_xlfn.XLOOKUP($E25,Tab_Def_Processes[Name(EN)],Tab_Def_Processes[Flow_ID_I_4],,0,)</f>
        <v>#N/A</v>
      </c>
      <c r="X25" s="80"/>
      <c r="Y25" s="75" t="e">
        <f>_xlfn.XLOOKUP($E25,Tab_Def_Processes[Name(EN)],Tab_Def_Processes[Input_Flow_I_5],,0,)</f>
        <v>#N/A</v>
      </c>
      <c r="Z25" s="49" t="e">
        <f>_xlfn.XLOOKUP($E25,Tab_Def_Processes[Name(EN)],Tab_Def_Processes[Flow_ID_I_5],,0,)</f>
        <v>#N/A</v>
      </c>
      <c r="AA25" s="80"/>
      <c r="AB25" s="78">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15"/>
      <c r="AF25" s="120" t="e">
        <f>_xlfn.XLOOKUP($E25,Tab_Def_Processes[Name(EN)],Tab_Def_Processes[Output_Flow_O_2],,0,)</f>
        <v>#N/A</v>
      </c>
      <c r="AG25" s="120" t="e">
        <f>_xlfn.XLOOKUP($E25,Tab_Def_Processes[Name(EN)],Tab_Def_Processes[Flow_ID_O_2],,0,)</f>
        <v>#N/A</v>
      </c>
      <c r="AH25" s="115"/>
      <c r="AI25" s="120" t="e">
        <f>_xlfn.XLOOKUP($E25,Tab_Def_Processes[Name(EN)],Tab_Def_Processes[Output_Flow_O_3],,0,)</f>
        <v>#N/A</v>
      </c>
      <c r="AJ25" s="120" t="e">
        <f>_xlfn.XLOOKUP($E25,Tab_Def_Processes[Name(EN)],Tab_Def_Processes[Flow_ID_O_3],,0,)</f>
        <v>#N/A</v>
      </c>
      <c r="AK25" s="115"/>
      <c r="AL25" s="120" t="e">
        <f>_xlfn.XLOOKUP($E25,Tab_Def_Processes[Name(EN)],Tab_Def_Processes[Output_Flow_O_4],,0,)</f>
        <v>#N/A</v>
      </c>
      <c r="AM25" s="120" t="e">
        <f>_xlfn.XLOOKUP($E25,Tab_Def_Processes[Name(EN)],Tab_Def_Processes[Flow_ID_O_4],,0,)</f>
        <v>#N/A</v>
      </c>
      <c r="AN25" s="115"/>
      <c r="AO25" s="120" t="e">
        <f>_xlfn.XLOOKUP($E25,Tab_Def_Processes[Name(EN)],Tab_Def_Processes[Output_Flow_O_5],,0,)</f>
        <v>#N/A</v>
      </c>
      <c r="AP25" s="120" t="e">
        <f>_xlfn.XLOOKUP($E25,Tab_Def_Processes[Name(EN)],Tab_Def_Processes[Flow_ID_O_5],,0,)</f>
        <v>#N/A</v>
      </c>
      <c r="AQ25" s="115"/>
      <c r="AR25" s="120" t="e">
        <f>_xlfn.XLOOKUP($E25,Tab_Def_Processes[Name(EN)],Tab_Def_Processes[Output_Flow_O_6],,0,)</f>
        <v>#N/A</v>
      </c>
      <c r="AS25" s="120" t="e">
        <f>_xlfn.XLOOKUP($E25,Tab_Def_Processes[Name(EN)],Tab_Def_Processes[Flow_ID_O_6],,0,)</f>
        <v>#N/A</v>
      </c>
      <c r="AT25" s="115"/>
      <c r="AU25" s="119">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3" t="b">
        <v>0</v>
      </c>
      <c r="B26" s="49">
        <f t="shared" si="0"/>
        <v>25</v>
      </c>
      <c r="C26" s="49" t="e">
        <f t="shared" si="1"/>
        <v>#N/A</v>
      </c>
      <c r="D26" s="113" t="e">
        <f>_xlfn.XLOOKUP($E26,Tab_Def_Processes[Name(EN)],Tab_Def_Processes[ID],,0,)</f>
        <v>#N/A</v>
      </c>
      <c r="E26" s="51" t="s">
        <v>230</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0"/>
      <c r="P26" s="75" t="e">
        <f>_xlfn.XLOOKUP($E26,Tab_Def_Processes[Name(EN)],Tab_Def_Processes[Input_Flow_I_2],,0,)</f>
        <v>#N/A</v>
      </c>
      <c r="Q26" s="49" t="e">
        <f>_xlfn.XLOOKUP($E26,Tab_Def_Processes[Name(EN)],Tab_Def_Processes[Flow_ID_I_2],,0,)</f>
        <v>#N/A</v>
      </c>
      <c r="R26" s="80"/>
      <c r="S26" s="75" t="e">
        <f>_xlfn.XLOOKUP($E26,Tab_Def_Processes[Name(EN)],Tab_Def_Processes[Input_Flow_I_3],,0,)</f>
        <v>#N/A</v>
      </c>
      <c r="T26" s="49" t="e">
        <f>_xlfn.XLOOKUP($E26,Tab_Def_Processes[Name(EN)],Tab_Def_Processes[Flow_ID_I_3],,0,)</f>
        <v>#N/A</v>
      </c>
      <c r="U26" s="80"/>
      <c r="V26" s="75" t="e">
        <f>_xlfn.XLOOKUP($E26,Tab_Def_Processes[Name(EN)],Tab_Def_Processes[Input_Flow_I_4],,0,)</f>
        <v>#N/A</v>
      </c>
      <c r="W26" s="49" t="e">
        <f>_xlfn.XLOOKUP($E26,Tab_Def_Processes[Name(EN)],Tab_Def_Processes[Flow_ID_I_4],,0,)</f>
        <v>#N/A</v>
      </c>
      <c r="X26" s="80"/>
      <c r="Y26" s="75" t="e">
        <f>_xlfn.XLOOKUP($E26,Tab_Def_Processes[Name(EN)],Tab_Def_Processes[Input_Flow_I_5],,0,)</f>
        <v>#N/A</v>
      </c>
      <c r="Z26" s="49" t="e">
        <f>_xlfn.XLOOKUP($E26,Tab_Def_Processes[Name(EN)],Tab_Def_Processes[Flow_ID_I_5],,0,)</f>
        <v>#N/A</v>
      </c>
      <c r="AA26" s="80"/>
      <c r="AB26" s="78">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15"/>
      <c r="AF26" s="120" t="e">
        <f>_xlfn.XLOOKUP($E26,Tab_Def_Processes[Name(EN)],Tab_Def_Processes[Output_Flow_O_2],,0,)</f>
        <v>#N/A</v>
      </c>
      <c r="AG26" s="120" t="e">
        <f>_xlfn.XLOOKUP($E26,Tab_Def_Processes[Name(EN)],Tab_Def_Processes[Flow_ID_O_2],,0,)</f>
        <v>#N/A</v>
      </c>
      <c r="AH26" s="115"/>
      <c r="AI26" s="120" t="e">
        <f>_xlfn.XLOOKUP($E26,Tab_Def_Processes[Name(EN)],Tab_Def_Processes[Output_Flow_O_3],,0,)</f>
        <v>#N/A</v>
      </c>
      <c r="AJ26" s="120" t="e">
        <f>_xlfn.XLOOKUP($E26,Tab_Def_Processes[Name(EN)],Tab_Def_Processes[Flow_ID_O_3],,0,)</f>
        <v>#N/A</v>
      </c>
      <c r="AK26" s="115"/>
      <c r="AL26" s="120" t="e">
        <f>_xlfn.XLOOKUP($E26,Tab_Def_Processes[Name(EN)],Tab_Def_Processes[Output_Flow_O_4],,0,)</f>
        <v>#N/A</v>
      </c>
      <c r="AM26" s="120" t="e">
        <f>_xlfn.XLOOKUP($E26,Tab_Def_Processes[Name(EN)],Tab_Def_Processes[Flow_ID_O_4],,0,)</f>
        <v>#N/A</v>
      </c>
      <c r="AN26" s="115"/>
      <c r="AO26" s="120" t="e">
        <f>_xlfn.XLOOKUP($E26,Tab_Def_Processes[Name(EN)],Tab_Def_Processes[Output_Flow_O_5],,0,)</f>
        <v>#N/A</v>
      </c>
      <c r="AP26" s="120" t="e">
        <f>_xlfn.XLOOKUP($E26,Tab_Def_Processes[Name(EN)],Tab_Def_Processes[Flow_ID_O_5],,0,)</f>
        <v>#N/A</v>
      </c>
      <c r="AQ26" s="115"/>
      <c r="AR26" s="120" t="e">
        <f>_xlfn.XLOOKUP($E26,Tab_Def_Processes[Name(EN)],Tab_Def_Processes[Output_Flow_O_6],,0,)</f>
        <v>#N/A</v>
      </c>
      <c r="AS26" s="120" t="e">
        <f>_xlfn.XLOOKUP($E26,Tab_Def_Processes[Name(EN)],Tab_Def_Processes[Flow_ID_O_6],,0,)</f>
        <v>#N/A</v>
      </c>
      <c r="AT26" s="115"/>
      <c r="AU26" s="119">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3" t="b">
        <v>0</v>
      </c>
      <c r="B27" s="49">
        <f t="shared" si="0"/>
        <v>26</v>
      </c>
      <c r="C27" s="49" t="e">
        <f t="shared" si="1"/>
        <v>#N/A</v>
      </c>
      <c r="D27" s="113" t="e">
        <f>_xlfn.XLOOKUP($E27,Tab_Def_Processes[Name(EN)],Tab_Def_Processes[ID],,0,)</f>
        <v>#N/A</v>
      </c>
      <c r="E27" s="51" t="s">
        <v>230</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0"/>
      <c r="P27" s="75" t="e">
        <f>_xlfn.XLOOKUP($E27,Tab_Def_Processes[Name(EN)],Tab_Def_Processes[Input_Flow_I_2],,0,)</f>
        <v>#N/A</v>
      </c>
      <c r="Q27" s="49" t="e">
        <f>_xlfn.XLOOKUP($E27,Tab_Def_Processes[Name(EN)],Tab_Def_Processes[Flow_ID_I_2],,0,)</f>
        <v>#N/A</v>
      </c>
      <c r="R27" s="80"/>
      <c r="S27" s="75" t="e">
        <f>_xlfn.XLOOKUP($E27,Tab_Def_Processes[Name(EN)],Tab_Def_Processes[Input_Flow_I_3],,0,)</f>
        <v>#N/A</v>
      </c>
      <c r="T27" s="49" t="e">
        <f>_xlfn.XLOOKUP($E27,Tab_Def_Processes[Name(EN)],Tab_Def_Processes[Flow_ID_I_3],,0,)</f>
        <v>#N/A</v>
      </c>
      <c r="U27" s="80"/>
      <c r="V27" s="75" t="e">
        <f>_xlfn.XLOOKUP($E27,Tab_Def_Processes[Name(EN)],Tab_Def_Processes[Input_Flow_I_4],,0,)</f>
        <v>#N/A</v>
      </c>
      <c r="W27" s="49" t="e">
        <f>_xlfn.XLOOKUP($E27,Tab_Def_Processes[Name(EN)],Tab_Def_Processes[Flow_ID_I_4],,0,)</f>
        <v>#N/A</v>
      </c>
      <c r="X27" s="80"/>
      <c r="Y27" s="75" t="e">
        <f>_xlfn.XLOOKUP($E27,Tab_Def_Processes[Name(EN)],Tab_Def_Processes[Input_Flow_I_5],,0,)</f>
        <v>#N/A</v>
      </c>
      <c r="Z27" s="49" t="e">
        <f>_xlfn.XLOOKUP($E27,Tab_Def_Processes[Name(EN)],Tab_Def_Processes[Flow_ID_I_5],,0,)</f>
        <v>#N/A</v>
      </c>
      <c r="AA27" s="80"/>
      <c r="AB27" s="78">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15"/>
      <c r="AF27" s="120" t="e">
        <f>_xlfn.XLOOKUP($E27,Tab_Def_Processes[Name(EN)],Tab_Def_Processes[Output_Flow_O_2],,0,)</f>
        <v>#N/A</v>
      </c>
      <c r="AG27" s="120" t="e">
        <f>_xlfn.XLOOKUP($E27,Tab_Def_Processes[Name(EN)],Tab_Def_Processes[Flow_ID_O_2],,0,)</f>
        <v>#N/A</v>
      </c>
      <c r="AH27" s="115"/>
      <c r="AI27" s="120" t="e">
        <f>_xlfn.XLOOKUP($E27,Tab_Def_Processes[Name(EN)],Tab_Def_Processes[Output_Flow_O_3],,0,)</f>
        <v>#N/A</v>
      </c>
      <c r="AJ27" s="120" t="e">
        <f>_xlfn.XLOOKUP($E27,Tab_Def_Processes[Name(EN)],Tab_Def_Processes[Flow_ID_O_3],,0,)</f>
        <v>#N/A</v>
      </c>
      <c r="AK27" s="115"/>
      <c r="AL27" s="120" t="e">
        <f>_xlfn.XLOOKUP($E27,Tab_Def_Processes[Name(EN)],Tab_Def_Processes[Output_Flow_O_4],,0,)</f>
        <v>#N/A</v>
      </c>
      <c r="AM27" s="120" t="e">
        <f>_xlfn.XLOOKUP($E27,Tab_Def_Processes[Name(EN)],Tab_Def_Processes[Flow_ID_O_4],,0,)</f>
        <v>#N/A</v>
      </c>
      <c r="AN27" s="115"/>
      <c r="AO27" s="120" t="e">
        <f>_xlfn.XLOOKUP($E27,Tab_Def_Processes[Name(EN)],Tab_Def_Processes[Output_Flow_O_5],,0,)</f>
        <v>#N/A</v>
      </c>
      <c r="AP27" s="120" t="e">
        <f>_xlfn.XLOOKUP($E27,Tab_Def_Processes[Name(EN)],Tab_Def_Processes[Flow_ID_O_5],,0,)</f>
        <v>#N/A</v>
      </c>
      <c r="AQ27" s="115"/>
      <c r="AR27" s="120" t="e">
        <f>_xlfn.XLOOKUP($E27,Tab_Def_Processes[Name(EN)],Tab_Def_Processes[Output_Flow_O_6],,0,)</f>
        <v>#N/A</v>
      </c>
      <c r="AS27" s="120" t="e">
        <f>_xlfn.XLOOKUP($E27,Tab_Def_Processes[Name(EN)],Tab_Def_Processes[Flow_ID_O_6],,0,)</f>
        <v>#N/A</v>
      </c>
      <c r="AT27" s="115"/>
      <c r="AU27" s="119">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3" t="b">
        <v>0</v>
      </c>
      <c r="B28" s="49">
        <f t="shared" si="0"/>
        <v>27</v>
      </c>
      <c r="C28" s="49" t="e">
        <f t="shared" si="1"/>
        <v>#N/A</v>
      </c>
      <c r="D28" s="113" t="e">
        <f>_xlfn.XLOOKUP($E28,Tab_Def_Processes[Name(EN)],Tab_Def_Processes[ID],,0,)</f>
        <v>#N/A</v>
      </c>
      <c r="E28" s="51" t="s">
        <v>230</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0"/>
      <c r="P28" s="75" t="e">
        <f>_xlfn.XLOOKUP($E28,Tab_Def_Processes[Name(EN)],Tab_Def_Processes[Input_Flow_I_2],,0,)</f>
        <v>#N/A</v>
      </c>
      <c r="Q28" s="49" t="e">
        <f>_xlfn.XLOOKUP($E28,Tab_Def_Processes[Name(EN)],Tab_Def_Processes[Flow_ID_I_2],,0,)</f>
        <v>#N/A</v>
      </c>
      <c r="R28" s="80"/>
      <c r="S28" s="75" t="e">
        <f>_xlfn.XLOOKUP($E28,Tab_Def_Processes[Name(EN)],Tab_Def_Processes[Input_Flow_I_3],,0,)</f>
        <v>#N/A</v>
      </c>
      <c r="T28" s="49" t="e">
        <f>_xlfn.XLOOKUP($E28,Tab_Def_Processes[Name(EN)],Tab_Def_Processes[Flow_ID_I_3],,0,)</f>
        <v>#N/A</v>
      </c>
      <c r="U28" s="80"/>
      <c r="V28" s="75" t="e">
        <f>_xlfn.XLOOKUP($E28,Tab_Def_Processes[Name(EN)],Tab_Def_Processes[Input_Flow_I_4],,0,)</f>
        <v>#N/A</v>
      </c>
      <c r="W28" s="49" t="e">
        <f>_xlfn.XLOOKUP($E28,Tab_Def_Processes[Name(EN)],Tab_Def_Processes[Flow_ID_I_4],,0,)</f>
        <v>#N/A</v>
      </c>
      <c r="X28" s="80"/>
      <c r="Y28" s="75" t="e">
        <f>_xlfn.XLOOKUP($E28,Tab_Def_Processes[Name(EN)],Tab_Def_Processes[Input_Flow_I_5],,0,)</f>
        <v>#N/A</v>
      </c>
      <c r="Z28" s="49" t="e">
        <f>_xlfn.XLOOKUP($E28,Tab_Def_Processes[Name(EN)],Tab_Def_Processes[Flow_ID_I_5],,0,)</f>
        <v>#N/A</v>
      </c>
      <c r="AA28" s="80"/>
      <c r="AB28" s="78">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15"/>
      <c r="AF28" s="120" t="e">
        <f>_xlfn.XLOOKUP($E28,Tab_Def_Processes[Name(EN)],Tab_Def_Processes[Output_Flow_O_2],,0,)</f>
        <v>#N/A</v>
      </c>
      <c r="AG28" s="120" t="e">
        <f>_xlfn.XLOOKUP($E28,Tab_Def_Processes[Name(EN)],Tab_Def_Processes[Flow_ID_O_2],,0,)</f>
        <v>#N/A</v>
      </c>
      <c r="AH28" s="115"/>
      <c r="AI28" s="120" t="e">
        <f>_xlfn.XLOOKUP($E28,Tab_Def_Processes[Name(EN)],Tab_Def_Processes[Output_Flow_O_3],,0,)</f>
        <v>#N/A</v>
      </c>
      <c r="AJ28" s="120" t="e">
        <f>_xlfn.XLOOKUP($E28,Tab_Def_Processes[Name(EN)],Tab_Def_Processes[Flow_ID_O_3],,0,)</f>
        <v>#N/A</v>
      </c>
      <c r="AK28" s="115"/>
      <c r="AL28" s="120" t="e">
        <f>_xlfn.XLOOKUP($E28,Tab_Def_Processes[Name(EN)],Tab_Def_Processes[Output_Flow_O_4],,0,)</f>
        <v>#N/A</v>
      </c>
      <c r="AM28" s="120" t="e">
        <f>_xlfn.XLOOKUP($E28,Tab_Def_Processes[Name(EN)],Tab_Def_Processes[Flow_ID_O_4],,0,)</f>
        <v>#N/A</v>
      </c>
      <c r="AN28" s="115"/>
      <c r="AO28" s="120" t="e">
        <f>_xlfn.XLOOKUP($E28,Tab_Def_Processes[Name(EN)],Tab_Def_Processes[Output_Flow_O_5],,0,)</f>
        <v>#N/A</v>
      </c>
      <c r="AP28" s="120" t="e">
        <f>_xlfn.XLOOKUP($E28,Tab_Def_Processes[Name(EN)],Tab_Def_Processes[Flow_ID_O_5],,0,)</f>
        <v>#N/A</v>
      </c>
      <c r="AQ28" s="115"/>
      <c r="AR28" s="120" t="e">
        <f>_xlfn.XLOOKUP($E28,Tab_Def_Processes[Name(EN)],Tab_Def_Processes[Output_Flow_O_6],,0,)</f>
        <v>#N/A</v>
      </c>
      <c r="AS28" s="120" t="e">
        <f>_xlfn.XLOOKUP($E28,Tab_Def_Processes[Name(EN)],Tab_Def_Processes[Flow_ID_O_6],,0,)</f>
        <v>#N/A</v>
      </c>
      <c r="AT28" s="115"/>
      <c r="AU28" s="119">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3" t="b">
        <v>0</v>
      </c>
      <c r="B29" s="49">
        <f t="shared" si="0"/>
        <v>28</v>
      </c>
      <c r="C29" s="49" t="e">
        <f t="shared" si="1"/>
        <v>#N/A</v>
      </c>
      <c r="D29" s="113" t="e">
        <f>_xlfn.XLOOKUP($E29,Tab_Def_Processes[Name(EN)],Tab_Def_Processes[ID],,0,)</f>
        <v>#N/A</v>
      </c>
      <c r="E29" s="51" t="s">
        <v>230</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0"/>
      <c r="P29" s="75" t="e">
        <f>_xlfn.XLOOKUP($E29,Tab_Def_Processes[Name(EN)],Tab_Def_Processes[Input_Flow_I_2],,0,)</f>
        <v>#N/A</v>
      </c>
      <c r="Q29" s="49" t="e">
        <f>_xlfn.XLOOKUP($E29,Tab_Def_Processes[Name(EN)],Tab_Def_Processes[Flow_ID_I_2],,0,)</f>
        <v>#N/A</v>
      </c>
      <c r="R29" s="80"/>
      <c r="S29" s="75" t="e">
        <f>_xlfn.XLOOKUP($E29,Tab_Def_Processes[Name(EN)],Tab_Def_Processes[Input_Flow_I_3],,0,)</f>
        <v>#N/A</v>
      </c>
      <c r="T29" s="49" t="e">
        <f>_xlfn.XLOOKUP($E29,Tab_Def_Processes[Name(EN)],Tab_Def_Processes[Flow_ID_I_3],,0,)</f>
        <v>#N/A</v>
      </c>
      <c r="U29" s="80"/>
      <c r="V29" s="75" t="e">
        <f>_xlfn.XLOOKUP($E29,Tab_Def_Processes[Name(EN)],Tab_Def_Processes[Input_Flow_I_4],,0,)</f>
        <v>#N/A</v>
      </c>
      <c r="W29" s="49" t="e">
        <f>_xlfn.XLOOKUP($E29,Tab_Def_Processes[Name(EN)],Tab_Def_Processes[Flow_ID_I_4],,0,)</f>
        <v>#N/A</v>
      </c>
      <c r="X29" s="80"/>
      <c r="Y29" s="75" t="e">
        <f>_xlfn.XLOOKUP($E29,Tab_Def_Processes[Name(EN)],Tab_Def_Processes[Input_Flow_I_5],,0,)</f>
        <v>#N/A</v>
      </c>
      <c r="Z29" s="49" t="e">
        <f>_xlfn.XLOOKUP($E29,Tab_Def_Processes[Name(EN)],Tab_Def_Processes[Flow_ID_I_5],,0,)</f>
        <v>#N/A</v>
      </c>
      <c r="AA29" s="80"/>
      <c r="AB29" s="78">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15"/>
      <c r="AF29" s="120" t="e">
        <f>_xlfn.XLOOKUP($E29,Tab_Def_Processes[Name(EN)],Tab_Def_Processes[Output_Flow_O_2],,0,)</f>
        <v>#N/A</v>
      </c>
      <c r="AG29" s="120" t="e">
        <f>_xlfn.XLOOKUP($E29,Tab_Def_Processes[Name(EN)],Tab_Def_Processes[Flow_ID_O_2],,0,)</f>
        <v>#N/A</v>
      </c>
      <c r="AH29" s="115"/>
      <c r="AI29" s="120" t="e">
        <f>_xlfn.XLOOKUP($E29,Tab_Def_Processes[Name(EN)],Tab_Def_Processes[Output_Flow_O_3],,0,)</f>
        <v>#N/A</v>
      </c>
      <c r="AJ29" s="120" t="e">
        <f>_xlfn.XLOOKUP($E29,Tab_Def_Processes[Name(EN)],Tab_Def_Processes[Flow_ID_O_3],,0,)</f>
        <v>#N/A</v>
      </c>
      <c r="AK29" s="115"/>
      <c r="AL29" s="120" t="e">
        <f>_xlfn.XLOOKUP($E29,Tab_Def_Processes[Name(EN)],Tab_Def_Processes[Output_Flow_O_4],,0,)</f>
        <v>#N/A</v>
      </c>
      <c r="AM29" s="120" t="e">
        <f>_xlfn.XLOOKUP($E29,Tab_Def_Processes[Name(EN)],Tab_Def_Processes[Flow_ID_O_4],,0,)</f>
        <v>#N/A</v>
      </c>
      <c r="AN29" s="115"/>
      <c r="AO29" s="120" t="e">
        <f>_xlfn.XLOOKUP($E29,Tab_Def_Processes[Name(EN)],Tab_Def_Processes[Output_Flow_O_5],,0,)</f>
        <v>#N/A</v>
      </c>
      <c r="AP29" s="120" t="e">
        <f>_xlfn.XLOOKUP($E29,Tab_Def_Processes[Name(EN)],Tab_Def_Processes[Flow_ID_O_5],,0,)</f>
        <v>#N/A</v>
      </c>
      <c r="AQ29" s="115"/>
      <c r="AR29" s="120" t="e">
        <f>_xlfn.XLOOKUP($E29,Tab_Def_Processes[Name(EN)],Tab_Def_Processes[Output_Flow_O_6],,0,)</f>
        <v>#N/A</v>
      </c>
      <c r="AS29" s="120" t="e">
        <f>_xlfn.XLOOKUP($E29,Tab_Def_Processes[Name(EN)],Tab_Def_Processes[Flow_ID_O_6],,0,)</f>
        <v>#N/A</v>
      </c>
      <c r="AT29" s="115"/>
      <c r="AU29" s="119">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3" t="b">
        <v>0</v>
      </c>
      <c r="B30" s="49">
        <f t="shared" si="0"/>
        <v>29</v>
      </c>
      <c r="C30" s="49" t="e">
        <f t="shared" si="1"/>
        <v>#N/A</v>
      </c>
      <c r="D30" s="113" t="e">
        <f>_xlfn.XLOOKUP($E30,Tab_Def_Processes[Name(EN)],Tab_Def_Processes[ID],,0,)</f>
        <v>#N/A</v>
      </c>
      <c r="E30" s="51" t="s">
        <v>230</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0"/>
      <c r="P30" s="75" t="e">
        <f>_xlfn.XLOOKUP($E30,Tab_Def_Processes[Name(EN)],Tab_Def_Processes[Input_Flow_I_2],,0,)</f>
        <v>#N/A</v>
      </c>
      <c r="Q30" s="49" t="e">
        <f>_xlfn.XLOOKUP($E30,Tab_Def_Processes[Name(EN)],Tab_Def_Processes[Flow_ID_I_2],,0,)</f>
        <v>#N/A</v>
      </c>
      <c r="R30" s="80"/>
      <c r="S30" s="75" t="e">
        <f>_xlfn.XLOOKUP($E30,Tab_Def_Processes[Name(EN)],Tab_Def_Processes[Input_Flow_I_3],,0,)</f>
        <v>#N/A</v>
      </c>
      <c r="T30" s="49" t="e">
        <f>_xlfn.XLOOKUP($E30,Tab_Def_Processes[Name(EN)],Tab_Def_Processes[Flow_ID_I_3],,0,)</f>
        <v>#N/A</v>
      </c>
      <c r="U30" s="80"/>
      <c r="V30" s="75" t="e">
        <f>_xlfn.XLOOKUP($E30,Tab_Def_Processes[Name(EN)],Tab_Def_Processes[Input_Flow_I_4],,0,)</f>
        <v>#N/A</v>
      </c>
      <c r="W30" s="49" t="e">
        <f>_xlfn.XLOOKUP($E30,Tab_Def_Processes[Name(EN)],Tab_Def_Processes[Flow_ID_I_4],,0,)</f>
        <v>#N/A</v>
      </c>
      <c r="X30" s="80"/>
      <c r="Y30" s="75" t="e">
        <f>_xlfn.XLOOKUP($E30,Tab_Def_Processes[Name(EN)],Tab_Def_Processes[Input_Flow_I_5],,0,)</f>
        <v>#N/A</v>
      </c>
      <c r="Z30" s="49" t="e">
        <f>_xlfn.XLOOKUP($E30,Tab_Def_Processes[Name(EN)],Tab_Def_Processes[Flow_ID_I_5],,0,)</f>
        <v>#N/A</v>
      </c>
      <c r="AA30" s="80"/>
      <c r="AB30" s="78">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15"/>
      <c r="AF30" s="120" t="e">
        <f>_xlfn.XLOOKUP($E30,Tab_Def_Processes[Name(EN)],Tab_Def_Processes[Output_Flow_O_2],,0,)</f>
        <v>#N/A</v>
      </c>
      <c r="AG30" s="120" t="e">
        <f>_xlfn.XLOOKUP($E30,Tab_Def_Processes[Name(EN)],Tab_Def_Processes[Flow_ID_O_2],,0,)</f>
        <v>#N/A</v>
      </c>
      <c r="AH30" s="115"/>
      <c r="AI30" s="120" t="e">
        <f>_xlfn.XLOOKUP($E30,Tab_Def_Processes[Name(EN)],Tab_Def_Processes[Output_Flow_O_3],,0,)</f>
        <v>#N/A</v>
      </c>
      <c r="AJ30" s="120" t="e">
        <f>_xlfn.XLOOKUP($E30,Tab_Def_Processes[Name(EN)],Tab_Def_Processes[Flow_ID_O_3],,0,)</f>
        <v>#N/A</v>
      </c>
      <c r="AK30" s="115"/>
      <c r="AL30" s="120" t="e">
        <f>_xlfn.XLOOKUP($E30,Tab_Def_Processes[Name(EN)],Tab_Def_Processes[Output_Flow_O_4],,0,)</f>
        <v>#N/A</v>
      </c>
      <c r="AM30" s="120" t="e">
        <f>_xlfn.XLOOKUP($E30,Tab_Def_Processes[Name(EN)],Tab_Def_Processes[Flow_ID_O_4],,0,)</f>
        <v>#N/A</v>
      </c>
      <c r="AN30" s="115"/>
      <c r="AO30" s="120" t="e">
        <f>_xlfn.XLOOKUP($E30,Tab_Def_Processes[Name(EN)],Tab_Def_Processes[Output_Flow_O_5],,0,)</f>
        <v>#N/A</v>
      </c>
      <c r="AP30" s="120" t="e">
        <f>_xlfn.XLOOKUP($E30,Tab_Def_Processes[Name(EN)],Tab_Def_Processes[Flow_ID_O_5],,0,)</f>
        <v>#N/A</v>
      </c>
      <c r="AQ30" s="115"/>
      <c r="AR30" s="120" t="e">
        <f>_xlfn.XLOOKUP($E30,Tab_Def_Processes[Name(EN)],Tab_Def_Processes[Output_Flow_O_6],,0,)</f>
        <v>#N/A</v>
      </c>
      <c r="AS30" s="120" t="e">
        <f>_xlfn.XLOOKUP($E30,Tab_Def_Processes[Name(EN)],Tab_Def_Processes[Flow_ID_O_6],,0,)</f>
        <v>#N/A</v>
      </c>
      <c r="AT30" s="115"/>
      <c r="AU30" s="119">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3" t="b">
        <v>0</v>
      </c>
      <c r="B31" s="49">
        <f t="shared" si="0"/>
        <v>30</v>
      </c>
      <c r="C31" s="49" t="e">
        <f t="shared" si="1"/>
        <v>#N/A</v>
      </c>
      <c r="D31" s="113" t="e">
        <f>_xlfn.XLOOKUP($E31,Tab_Def_Processes[Name(EN)],Tab_Def_Processes[ID],,0,)</f>
        <v>#N/A</v>
      </c>
      <c r="E31" s="51" t="s">
        <v>230</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0"/>
      <c r="P31" s="75" t="e">
        <f>_xlfn.XLOOKUP($E31,Tab_Def_Processes[Name(EN)],Tab_Def_Processes[Input_Flow_I_2],,0,)</f>
        <v>#N/A</v>
      </c>
      <c r="Q31" s="49" t="e">
        <f>_xlfn.XLOOKUP($E31,Tab_Def_Processes[Name(EN)],Tab_Def_Processes[Flow_ID_I_2],,0,)</f>
        <v>#N/A</v>
      </c>
      <c r="R31" s="80"/>
      <c r="S31" s="75" t="e">
        <f>_xlfn.XLOOKUP($E31,Tab_Def_Processes[Name(EN)],Tab_Def_Processes[Input_Flow_I_3],,0,)</f>
        <v>#N/A</v>
      </c>
      <c r="T31" s="49" t="e">
        <f>_xlfn.XLOOKUP($E31,Tab_Def_Processes[Name(EN)],Tab_Def_Processes[Flow_ID_I_3],,0,)</f>
        <v>#N/A</v>
      </c>
      <c r="U31" s="80"/>
      <c r="V31" s="75" t="e">
        <f>_xlfn.XLOOKUP($E31,Tab_Def_Processes[Name(EN)],Tab_Def_Processes[Input_Flow_I_4],,0,)</f>
        <v>#N/A</v>
      </c>
      <c r="W31" s="49" t="e">
        <f>_xlfn.XLOOKUP($E31,Tab_Def_Processes[Name(EN)],Tab_Def_Processes[Flow_ID_I_4],,0,)</f>
        <v>#N/A</v>
      </c>
      <c r="X31" s="80"/>
      <c r="Y31" s="75" t="e">
        <f>_xlfn.XLOOKUP($E31,Tab_Def_Processes[Name(EN)],Tab_Def_Processes[Input_Flow_I_5],,0,)</f>
        <v>#N/A</v>
      </c>
      <c r="Z31" s="49" t="e">
        <f>_xlfn.XLOOKUP($E31,Tab_Def_Processes[Name(EN)],Tab_Def_Processes[Flow_ID_I_5],,0,)</f>
        <v>#N/A</v>
      </c>
      <c r="AA31" s="80"/>
      <c r="AB31" s="78">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15"/>
      <c r="AF31" s="120" t="e">
        <f>_xlfn.XLOOKUP($E31,Tab_Def_Processes[Name(EN)],Tab_Def_Processes[Output_Flow_O_2],,0,)</f>
        <v>#N/A</v>
      </c>
      <c r="AG31" s="120" t="e">
        <f>_xlfn.XLOOKUP($E31,Tab_Def_Processes[Name(EN)],Tab_Def_Processes[Flow_ID_O_2],,0,)</f>
        <v>#N/A</v>
      </c>
      <c r="AH31" s="115"/>
      <c r="AI31" s="120" t="e">
        <f>_xlfn.XLOOKUP($E31,Tab_Def_Processes[Name(EN)],Tab_Def_Processes[Output_Flow_O_3],,0,)</f>
        <v>#N/A</v>
      </c>
      <c r="AJ31" s="120" t="e">
        <f>_xlfn.XLOOKUP($E31,Tab_Def_Processes[Name(EN)],Tab_Def_Processes[Flow_ID_O_3],,0,)</f>
        <v>#N/A</v>
      </c>
      <c r="AK31" s="115"/>
      <c r="AL31" s="120" t="e">
        <f>_xlfn.XLOOKUP($E31,Tab_Def_Processes[Name(EN)],Tab_Def_Processes[Output_Flow_O_4],,0,)</f>
        <v>#N/A</v>
      </c>
      <c r="AM31" s="120" t="e">
        <f>_xlfn.XLOOKUP($E31,Tab_Def_Processes[Name(EN)],Tab_Def_Processes[Flow_ID_O_4],,0,)</f>
        <v>#N/A</v>
      </c>
      <c r="AN31" s="115"/>
      <c r="AO31" s="120" t="e">
        <f>_xlfn.XLOOKUP($E31,Tab_Def_Processes[Name(EN)],Tab_Def_Processes[Output_Flow_O_5],,0,)</f>
        <v>#N/A</v>
      </c>
      <c r="AP31" s="120" t="e">
        <f>_xlfn.XLOOKUP($E31,Tab_Def_Processes[Name(EN)],Tab_Def_Processes[Flow_ID_O_5],,0,)</f>
        <v>#N/A</v>
      </c>
      <c r="AQ31" s="115"/>
      <c r="AR31" s="120" t="e">
        <f>_xlfn.XLOOKUP($E31,Tab_Def_Processes[Name(EN)],Tab_Def_Processes[Output_Flow_O_6],,0,)</f>
        <v>#N/A</v>
      </c>
      <c r="AS31" s="120" t="e">
        <f>_xlfn.XLOOKUP($E31,Tab_Def_Processes[Name(EN)],Tab_Def_Processes[Flow_ID_O_6],,0,)</f>
        <v>#N/A</v>
      </c>
      <c r="AT31" s="115"/>
      <c r="AU31" s="119">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3" t="b">
        <v>0</v>
      </c>
      <c r="B32" s="49">
        <f t="shared" si="0"/>
        <v>31</v>
      </c>
      <c r="C32" s="49" t="e">
        <f t="shared" si="1"/>
        <v>#N/A</v>
      </c>
      <c r="D32" s="113" t="e">
        <f>_xlfn.XLOOKUP($E32,Tab_Def_Processes[Name(EN)],Tab_Def_Processes[ID],,0,)</f>
        <v>#N/A</v>
      </c>
      <c r="E32" s="51" t="s">
        <v>230</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0"/>
      <c r="P32" s="75" t="e">
        <f>_xlfn.XLOOKUP($E32,Tab_Def_Processes[Name(EN)],Tab_Def_Processes[Input_Flow_I_2],,0,)</f>
        <v>#N/A</v>
      </c>
      <c r="Q32" s="49" t="e">
        <f>_xlfn.XLOOKUP($E32,Tab_Def_Processes[Name(EN)],Tab_Def_Processes[Flow_ID_I_2],,0,)</f>
        <v>#N/A</v>
      </c>
      <c r="R32" s="80"/>
      <c r="S32" s="75" t="e">
        <f>_xlfn.XLOOKUP($E32,Tab_Def_Processes[Name(EN)],Tab_Def_Processes[Input_Flow_I_3],,0,)</f>
        <v>#N/A</v>
      </c>
      <c r="T32" s="49" t="e">
        <f>_xlfn.XLOOKUP($E32,Tab_Def_Processes[Name(EN)],Tab_Def_Processes[Flow_ID_I_3],,0,)</f>
        <v>#N/A</v>
      </c>
      <c r="U32" s="80"/>
      <c r="V32" s="75" t="e">
        <f>_xlfn.XLOOKUP($E32,Tab_Def_Processes[Name(EN)],Tab_Def_Processes[Input_Flow_I_4],,0,)</f>
        <v>#N/A</v>
      </c>
      <c r="W32" s="49" t="e">
        <f>_xlfn.XLOOKUP($E32,Tab_Def_Processes[Name(EN)],Tab_Def_Processes[Flow_ID_I_4],,0,)</f>
        <v>#N/A</v>
      </c>
      <c r="X32" s="80"/>
      <c r="Y32" s="75" t="e">
        <f>_xlfn.XLOOKUP($E32,Tab_Def_Processes[Name(EN)],Tab_Def_Processes[Input_Flow_I_5],,0,)</f>
        <v>#N/A</v>
      </c>
      <c r="Z32" s="49" t="e">
        <f>_xlfn.XLOOKUP($E32,Tab_Def_Processes[Name(EN)],Tab_Def_Processes[Flow_ID_I_5],,0,)</f>
        <v>#N/A</v>
      </c>
      <c r="AA32" s="80"/>
      <c r="AB32" s="78">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15"/>
      <c r="AF32" s="120" t="e">
        <f>_xlfn.XLOOKUP($E32,Tab_Def_Processes[Name(EN)],Tab_Def_Processes[Output_Flow_O_2],,0,)</f>
        <v>#N/A</v>
      </c>
      <c r="AG32" s="120" t="e">
        <f>_xlfn.XLOOKUP($E32,Tab_Def_Processes[Name(EN)],Tab_Def_Processes[Flow_ID_O_2],,0,)</f>
        <v>#N/A</v>
      </c>
      <c r="AH32" s="115"/>
      <c r="AI32" s="120" t="e">
        <f>_xlfn.XLOOKUP($E32,Tab_Def_Processes[Name(EN)],Tab_Def_Processes[Output_Flow_O_3],,0,)</f>
        <v>#N/A</v>
      </c>
      <c r="AJ32" s="120" t="e">
        <f>_xlfn.XLOOKUP($E32,Tab_Def_Processes[Name(EN)],Tab_Def_Processes[Flow_ID_O_3],,0,)</f>
        <v>#N/A</v>
      </c>
      <c r="AK32" s="115"/>
      <c r="AL32" s="120" t="e">
        <f>_xlfn.XLOOKUP($E32,Tab_Def_Processes[Name(EN)],Tab_Def_Processes[Output_Flow_O_4],,0,)</f>
        <v>#N/A</v>
      </c>
      <c r="AM32" s="120" t="e">
        <f>_xlfn.XLOOKUP($E32,Tab_Def_Processes[Name(EN)],Tab_Def_Processes[Flow_ID_O_4],,0,)</f>
        <v>#N/A</v>
      </c>
      <c r="AN32" s="115"/>
      <c r="AO32" s="120" t="e">
        <f>_xlfn.XLOOKUP($E32,Tab_Def_Processes[Name(EN)],Tab_Def_Processes[Output_Flow_O_5],,0,)</f>
        <v>#N/A</v>
      </c>
      <c r="AP32" s="120" t="e">
        <f>_xlfn.XLOOKUP($E32,Tab_Def_Processes[Name(EN)],Tab_Def_Processes[Flow_ID_O_5],,0,)</f>
        <v>#N/A</v>
      </c>
      <c r="AQ32" s="115"/>
      <c r="AR32" s="120" t="e">
        <f>_xlfn.XLOOKUP($E32,Tab_Def_Processes[Name(EN)],Tab_Def_Processes[Output_Flow_O_6],,0,)</f>
        <v>#N/A</v>
      </c>
      <c r="AS32" s="120" t="e">
        <f>_xlfn.XLOOKUP($E32,Tab_Def_Processes[Name(EN)],Tab_Def_Processes[Flow_ID_O_6],,0,)</f>
        <v>#N/A</v>
      </c>
      <c r="AT32" s="115"/>
      <c r="AU32" s="119">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3" t="b">
        <v>0</v>
      </c>
      <c r="B33" s="49">
        <f t="shared" si="0"/>
        <v>32</v>
      </c>
      <c r="C33" s="49" t="e">
        <f t="shared" si="1"/>
        <v>#N/A</v>
      </c>
      <c r="D33" s="113" t="e">
        <f>_xlfn.XLOOKUP($E33,Tab_Def_Processes[Name(EN)],Tab_Def_Processes[ID],,0,)</f>
        <v>#N/A</v>
      </c>
      <c r="E33" s="51" t="s">
        <v>230</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0"/>
      <c r="P33" s="75" t="e">
        <f>_xlfn.XLOOKUP($E33,Tab_Def_Processes[Name(EN)],Tab_Def_Processes[Input_Flow_I_2],,0,)</f>
        <v>#N/A</v>
      </c>
      <c r="Q33" s="49" t="e">
        <f>_xlfn.XLOOKUP($E33,Tab_Def_Processes[Name(EN)],Tab_Def_Processes[Flow_ID_I_2],,0,)</f>
        <v>#N/A</v>
      </c>
      <c r="R33" s="80"/>
      <c r="S33" s="75" t="e">
        <f>_xlfn.XLOOKUP($E33,Tab_Def_Processes[Name(EN)],Tab_Def_Processes[Input_Flow_I_3],,0,)</f>
        <v>#N/A</v>
      </c>
      <c r="T33" s="49" t="e">
        <f>_xlfn.XLOOKUP($E33,Tab_Def_Processes[Name(EN)],Tab_Def_Processes[Flow_ID_I_3],,0,)</f>
        <v>#N/A</v>
      </c>
      <c r="U33" s="80"/>
      <c r="V33" s="75" t="e">
        <f>_xlfn.XLOOKUP($E33,Tab_Def_Processes[Name(EN)],Tab_Def_Processes[Input_Flow_I_4],,0,)</f>
        <v>#N/A</v>
      </c>
      <c r="W33" s="49" t="e">
        <f>_xlfn.XLOOKUP($E33,Tab_Def_Processes[Name(EN)],Tab_Def_Processes[Flow_ID_I_4],,0,)</f>
        <v>#N/A</v>
      </c>
      <c r="X33" s="80"/>
      <c r="Y33" s="75" t="e">
        <f>_xlfn.XLOOKUP($E33,Tab_Def_Processes[Name(EN)],Tab_Def_Processes[Input_Flow_I_5],,0,)</f>
        <v>#N/A</v>
      </c>
      <c r="Z33" s="49" t="e">
        <f>_xlfn.XLOOKUP($E33,Tab_Def_Processes[Name(EN)],Tab_Def_Processes[Flow_ID_I_5],,0,)</f>
        <v>#N/A</v>
      </c>
      <c r="AA33" s="80"/>
      <c r="AB33" s="78">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15"/>
      <c r="AF33" s="120" t="e">
        <f>_xlfn.XLOOKUP($E33,Tab_Def_Processes[Name(EN)],Tab_Def_Processes[Output_Flow_O_2],,0,)</f>
        <v>#N/A</v>
      </c>
      <c r="AG33" s="120" t="e">
        <f>_xlfn.XLOOKUP($E33,Tab_Def_Processes[Name(EN)],Tab_Def_Processes[Flow_ID_O_2],,0,)</f>
        <v>#N/A</v>
      </c>
      <c r="AH33" s="115"/>
      <c r="AI33" s="120" t="e">
        <f>_xlfn.XLOOKUP($E33,Tab_Def_Processes[Name(EN)],Tab_Def_Processes[Output_Flow_O_3],,0,)</f>
        <v>#N/A</v>
      </c>
      <c r="AJ33" s="120" t="e">
        <f>_xlfn.XLOOKUP($E33,Tab_Def_Processes[Name(EN)],Tab_Def_Processes[Flow_ID_O_3],,0,)</f>
        <v>#N/A</v>
      </c>
      <c r="AK33" s="115"/>
      <c r="AL33" s="120" t="e">
        <f>_xlfn.XLOOKUP($E33,Tab_Def_Processes[Name(EN)],Tab_Def_Processes[Output_Flow_O_4],,0,)</f>
        <v>#N/A</v>
      </c>
      <c r="AM33" s="120" t="e">
        <f>_xlfn.XLOOKUP($E33,Tab_Def_Processes[Name(EN)],Tab_Def_Processes[Flow_ID_O_4],,0,)</f>
        <v>#N/A</v>
      </c>
      <c r="AN33" s="115"/>
      <c r="AO33" s="120" t="e">
        <f>_xlfn.XLOOKUP($E33,Tab_Def_Processes[Name(EN)],Tab_Def_Processes[Output_Flow_O_5],,0,)</f>
        <v>#N/A</v>
      </c>
      <c r="AP33" s="120" t="e">
        <f>_xlfn.XLOOKUP($E33,Tab_Def_Processes[Name(EN)],Tab_Def_Processes[Flow_ID_O_5],,0,)</f>
        <v>#N/A</v>
      </c>
      <c r="AQ33" s="115"/>
      <c r="AR33" s="120" t="e">
        <f>_xlfn.XLOOKUP($E33,Tab_Def_Processes[Name(EN)],Tab_Def_Processes[Output_Flow_O_6],,0,)</f>
        <v>#N/A</v>
      </c>
      <c r="AS33" s="120" t="e">
        <f>_xlfn.XLOOKUP($E33,Tab_Def_Processes[Name(EN)],Tab_Def_Processes[Flow_ID_O_6],,0,)</f>
        <v>#N/A</v>
      </c>
      <c r="AT33" s="115"/>
      <c r="AU33" s="119">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3" t="b">
        <v>0</v>
      </c>
      <c r="B34" s="49">
        <f t="shared" ref="B34:B51" si="2">ROW()-1</f>
        <v>33</v>
      </c>
      <c r="C34" s="49" t="e">
        <f t="shared" ref="C34:C63" si="3">"TC"&amp;LEFT(B34,2)&amp;"_"&amp;LEFT(D34,3)&amp;"_"&amp;LEFT(E34,3)&amp;"_"&amp;LEFT(F34,3)&amp;"_"&amp;LEFT(G34,3)</f>
        <v>#N/A</v>
      </c>
      <c r="D34" s="113" t="e">
        <f>_xlfn.XLOOKUP($E34,Tab_Def_Processes[Name(EN)],Tab_Def_Processes[ID],,0,)</f>
        <v>#N/A</v>
      </c>
      <c r="E34" s="51" t="s">
        <v>230</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0"/>
      <c r="P34" s="75" t="e">
        <f>_xlfn.XLOOKUP($E34,Tab_Def_Processes[Name(EN)],Tab_Def_Processes[Input_Flow_I_2],,0,)</f>
        <v>#N/A</v>
      </c>
      <c r="Q34" s="49" t="e">
        <f>_xlfn.XLOOKUP($E34,Tab_Def_Processes[Name(EN)],Tab_Def_Processes[Flow_ID_I_2],,0,)</f>
        <v>#N/A</v>
      </c>
      <c r="R34" s="80"/>
      <c r="S34" s="75" t="e">
        <f>_xlfn.XLOOKUP($E34,Tab_Def_Processes[Name(EN)],Tab_Def_Processes[Input_Flow_I_3],,0,)</f>
        <v>#N/A</v>
      </c>
      <c r="T34" s="49" t="e">
        <f>_xlfn.XLOOKUP($E34,Tab_Def_Processes[Name(EN)],Tab_Def_Processes[Flow_ID_I_3],,0,)</f>
        <v>#N/A</v>
      </c>
      <c r="U34" s="80"/>
      <c r="V34" s="75" t="e">
        <f>_xlfn.XLOOKUP($E34,Tab_Def_Processes[Name(EN)],Tab_Def_Processes[Input_Flow_I_4],,0,)</f>
        <v>#N/A</v>
      </c>
      <c r="W34" s="49" t="e">
        <f>_xlfn.XLOOKUP($E34,Tab_Def_Processes[Name(EN)],Tab_Def_Processes[Flow_ID_I_4],,0,)</f>
        <v>#N/A</v>
      </c>
      <c r="X34" s="80"/>
      <c r="Y34" s="75" t="e">
        <f>_xlfn.XLOOKUP($E34,Tab_Def_Processes[Name(EN)],Tab_Def_Processes[Input_Flow_I_5],,0,)</f>
        <v>#N/A</v>
      </c>
      <c r="Z34" s="49" t="e">
        <f>_xlfn.XLOOKUP($E34,Tab_Def_Processes[Name(EN)],Tab_Def_Processes[Flow_ID_I_5],,0,)</f>
        <v>#N/A</v>
      </c>
      <c r="AA34" s="80"/>
      <c r="AB34" s="78">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15"/>
      <c r="AF34" s="120" t="e">
        <f>_xlfn.XLOOKUP($E34,Tab_Def_Processes[Name(EN)],Tab_Def_Processes[Output_Flow_O_2],,0,)</f>
        <v>#N/A</v>
      </c>
      <c r="AG34" s="120" t="e">
        <f>_xlfn.XLOOKUP($E34,Tab_Def_Processes[Name(EN)],Tab_Def_Processes[Flow_ID_O_2],,0,)</f>
        <v>#N/A</v>
      </c>
      <c r="AH34" s="115"/>
      <c r="AI34" s="120" t="e">
        <f>_xlfn.XLOOKUP($E34,Tab_Def_Processes[Name(EN)],Tab_Def_Processes[Output_Flow_O_3],,0,)</f>
        <v>#N/A</v>
      </c>
      <c r="AJ34" s="120" t="e">
        <f>_xlfn.XLOOKUP($E34,Tab_Def_Processes[Name(EN)],Tab_Def_Processes[Flow_ID_O_3],,0,)</f>
        <v>#N/A</v>
      </c>
      <c r="AK34" s="115"/>
      <c r="AL34" s="120" t="e">
        <f>_xlfn.XLOOKUP($E34,Tab_Def_Processes[Name(EN)],Tab_Def_Processes[Output_Flow_O_4],,0,)</f>
        <v>#N/A</v>
      </c>
      <c r="AM34" s="120" t="e">
        <f>_xlfn.XLOOKUP($E34,Tab_Def_Processes[Name(EN)],Tab_Def_Processes[Flow_ID_O_4],,0,)</f>
        <v>#N/A</v>
      </c>
      <c r="AN34" s="115"/>
      <c r="AO34" s="120" t="e">
        <f>_xlfn.XLOOKUP($E34,Tab_Def_Processes[Name(EN)],Tab_Def_Processes[Output_Flow_O_5],,0,)</f>
        <v>#N/A</v>
      </c>
      <c r="AP34" s="120" t="e">
        <f>_xlfn.XLOOKUP($E34,Tab_Def_Processes[Name(EN)],Tab_Def_Processes[Flow_ID_O_5],,0,)</f>
        <v>#N/A</v>
      </c>
      <c r="AQ34" s="115"/>
      <c r="AR34" s="120" t="e">
        <f>_xlfn.XLOOKUP($E34,Tab_Def_Processes[Name(EN)],Tab_Def_Processes[Output_Flow_O_6],,0,)</f>
        <v>#N/A</v>
      </c>
      <c r="AS34" s="120" t="e">
        <f>_xlfn.XLOOKUP($E34,Tab_Def_Processes[Name(EN)],Tab_Def_Processes[Flow_ID_O_6],,0,)</f>
        <v>#N/A</v>
      </c>
      <c r="AT34" s="115"/>
      <c r="AU34" s="119">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3" t="b">
        <v>0</v>
      </c>
      <c r="B35" s="49">
        <f t="shared" si="2"/>
        <v>34</v>
      </c>
      <c r="C35" s="49" t="e">
        <f t="shared" si="3"/>
        <v>#N/A</v>
      </c>
      <c r="D35" s="113" t="e">
        <f>_xlfn.XLOOKUP($E35,Tab_Def_Processes[Name(EN)],Tab_Def_Processes[ID],,0,)</f>
        <v>#N/A</v>
      </c>
      <c r="E35" s="51" t="s">
        <v>230</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0"/>
      <c r="P35" s="75" t="e">
        <f>_xlfn.XLOOKUP($E35,Tab_Def_Processes[Name(EN)],Tab_Def_Processes[Input_Flow_I_2],,0,)</f>
        <v>#N/A</v>
      </c>
      <c r="Q35" s="49" t="e">
        <f>_xlfn.XLOOKUP($E35,Tab_Def_Processes[Name(EN)],Tab_Def_Processes[Flow_ID_I_2],,0,)</f>
        <v>#N/A</v>
      </c>
      <c r="R35" s="80"/>
      <c r="S35" s="75" t="e">
        <f>_xlfn.XLOOKUP($E35,Tab_Def_Processes[Name(EN)],Tab_Def_Processes[Input_Flow_I_3],,0,)</f>
        <v>#N/A</v>
      </c>
      <c r="T35" s="49" t="e">
        <f>_xlfn.XLOOKUP($E35,Tab_Def_Processes[Name(EN)],Tab_Def_Processes[Flow_ID_I_3],,0,)</f>
        <v>#N/A</v>
      </c>
      <c r="U35" s="80"/>
      <c r="V35" s="75" t="e">
        <f>_xlfn.XLOOKUP($E35,Tab_Def_Processes[Name(EN)],Tab_Def_Processes[Input_Flow_I_4],,0,)</f>
        <v>#N/A</v>
      </c>
      <c r="W35" s="49" t="e">
        <f>_xlfn.XLOOKUP($E35,Tab_Def_Processes[Name(EN)],Tab_Def_Processes[Flow_ID_I_4],,0,)</f>
        <v>#N/A</v>
      </c>
      <c r="X35" s="80"/>
      <c r="Y35" s="75" t="e">
        <f>_xlfn.XLOOKUP($E35,Tab_Def_Processes[Name(EN)],Tab_Def_Processes[Input_Flow_I_5],,0,)</f>
        <v>#N/A</v>
      </c>
      <c r="Z35" s="49" t="e">
        <f>_xlfn.XLOOKUP($E35,Tab_Def_Processes[Name(EN)],Tab_Def_Processes[Flow_ID_I_5],,0,)</f>
        <v>#N/A</v>
      </c>
      <c r="AA35" s="80"/>
      <c r="AB35" s="78">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15"/>
      <c r="AF35" s="120" t="e">
        <f>_xlfn.XLOOKUP($E35,Tab_Def_Processes[Name(EN)],Tab_Def_Processes[Output_Flow_O_2],,0,)</f>
        <v>#N/A</v>
      </c>
      <c r="AG35" s="120" t="e">
        <f>_xlfn.XLOOKUP($E35,Tab_Def_Processes[Name(EN)],Tab_Def_Processes[Flow_ID_O_2],,0,)</f>
        <v>#N/A</v>
      </c>
      <c r="AH35" s="115"/>
      <c r="AI35" s="120" t="e">
        <f>_xlfn.XLOOKUP($E35,Tab_Def_Processes[Name(EN)],Tab_Def_Processes[Output_Flow_O_3],,0,)</f>
        <v>#N/A</v>
      </c>
      <c r="AJ35" s="120" t="e">
        <f>_xlfn.XLOOKUP($E35,Tab_Def_Processes[Name(EN)],Tab_Def_Processes[Flow_ID_O_3],,0,)</f>
        <v>#N/A</v>
      </c>
      <c r="AK35" s="115"/>
      <c r="AL35" s="120" t="e">
        <f>_xlfn.XLOOKUP($E35,Tab_Def_Processes[Name(EN)],Tab_Def_Processes[Output_Flow_O_4],,0,)</f>
        <v>#N/A</v>
      </c>
      <c r="AM35" s="120" t="e">
        <f>_xlfn.XLOOKUP($E35,Tab_Def_Processes[Name(EN)],Tab_Def_Processes[Flow_ID_O_4],,0,)</f>
        <v>#N/A</v>
      </c>
      <c r="AN35" s="115"/>
      <c r="AO35" s="120" t="e">
        <f>_xlfn.XLOOKUP($E35,Tab_Def_Processes[Name(EN)],Tab_Def_Processes[Output_Flow_O_5],,0,)</f>
        <v>#N/A</v>
      </c>
      <c r="AP35" s="120" t="e">
        <f>_xlfn.XLOOKUP($E35,Tab_Def_Processes[Name(EN)],Tab_Def_Processes[Flow_ID_O_5],,0,)</f>
        <v>#N/A</v>
      </c>
      <c r="AQ35" s="115"/>
      <c r="AR35" s="120" t="e">
        <f>_xlfn.XLOOKUP($E35,Tab_Def_Processes[Name(EN)],Tab_Def_Processes[Output_Flow_O_6],,0,)</f>
        <v>#N/A</v>
      </c>
      <c r="AS35" s="120" t="e">
        <f>_xlfn.XLOOKUP($E35,Tab_Def_Processes[Name(EN)],Tab_Def_Processes[Flow_ID_O_6],,0,)</f>
        <v>#N/A</v>
      </c>
      <c r="AT35" s="115"/>
      <c r="AU35" s="119">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3" t="b">
        <v>0</v>
      </c>
      <c r="B36" s="49">
        <f t="shared" si="2"/>
        <v>35</v>
      </c>
      <c r="C36" s="49" t="e">
        <f t="shared" si="3"/>
        <v>#N/A</v>
      </c>
      <c r="D36" s="113" t="e">
        <f>_xlfn.XLOOKUP($E36,Tab_Def_Processes[Name(EN)],Tab_Def_Processes[ID],,0,)</f>
        <v>#N/A</v>
      </c>
      <c r="E36" s="51" t="s">
        <v>230</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0"/>
      <c r="P36" s="75" t="e">
        <f>_xlfn.XLOOKUP($E36,Tab_Def_Processes[Name(EN)],Tab_Def_Processes[Input_Flow_I_2],,0,)</f>
        <v>#N/A</v>
      </c>
      <c r="Q36" s="49" t="e">
        <f>_xlfn.XLOOKUP($E36,Tab_Def_Processes[Name(EN)],Tab_Def_Processes[Flow_ID_I_2],,0,)</f>
        <v>#N/A</v>
      </c>
      <c r="R36" s="80"/>
      <c r="S36" s="75" t="e">
        <f>_xlfn.XLOOKUP($E36,Tab_Def_Processes[Name(EN)],Tab_Def_Processes[Input_Flow_I_3],,0,)</f>
        <v>#N/A</v>
      </c>
      <c r="T36" s="49" t="e">
        <f>_xlfn.XLOOKUP($E36,Tab_Def_Processes[Name(EN)],Tab_Def_Processes[Flow_ID_I_3],,0,)</f>
        <v>#N/A</v>
      </c>
      <c r="U36" s="80"/>
      <c r="V36" s="75" t="e">
        <f>_xlfn.XLOOKUP($E36,Tab_Def_Processes[Name(EN)],Tab_Def_Processes[Input_Flow_I_4],,0,)</f>
        <v>#N/A</v>
      </c>
      <c r="W36" s="49" t="e">
        <f>_xlfn.XLOOKUP($E36,Tab_Def_Processes[Name(EN)],Tab_Def_Processes[Flow_ID_I_4],,0,)</f>
        <v>#N/A</v>
      </c>
      <c r="X36" s="80"/>
      <c r="Y36" s="75" t="e">
        <f>_xlfn.XLOOKUP($E36,Tab_Def_Processes[Name(EN)],Tab_Def_Processes[Input_Flow_I_5],,0,)</f>
        <v>#N/A</v>
      </c>
      <c r="Z36" s="49" t="e">
        <f>_xlfn.XLOOKUP($E36,Tab_Def_Processes[Name(EN)],Tab_Def_Processes[Flow_ID_I_5],,0,)</f>
        <v>#N/A</v>
      </c>
      <c r="AA36" s="80"/>
      <c r="AB36" s="78">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15"/>
      <c r="AF36" s="120" t="e">
        <f>_xlfn.XLOOKUP($E36,Tab_Def_Processes[Name(EN)],Tab_Def_Processes[Output_Flow_O_2],,0,)</f>
        <v>#N/A</v>
      </c>
      <c r="AG36" s="120" t="e">
        <f>_xlfn.XLOOKUP($E36,Tab_Def_Processes[Name(EN)],Tab_Def_Processes[Flow_ID_O_2],,0,)</f>
        <v>#N/A</v>
      </c>
      <c r="AH36" s="115"/>
      <c r="AI36" s="120" t="e">
        <f>_xlfn.XLOOKUP($E36,Tab_Def_Processes[Name(EN)],Tab_Def_Processes[Output_Flow_O_3],,0,)</f>
        <v>#N/A</v>
      </c>
      <c r="AJ36" s="120" t="e">
        <f>_xlfn.XLOOKUP($E36,Tab_Def_Processes[Name(EN)],Tab_Def_Processes[Flow_ID_O_3],,0,)</f>
        <v>#N/A</v>
      </c>
      <c r="AK36" s="115"/>
      <c r="AL36" s="120" t="e">
        <f>_xlfn.XLOOKUP($E36,Tab_Def_Processes[Name(EN)],Tab_Def_Processes[Output_Flow_O_4],,0,)</f>
        <v>#N/A</v>
      </c>
      <c r="AM36" s="120" t="e">
        <f>_xlfn.XLOOKUP($E36,Tab_Def_Processes[Name(EN)],Tab_Def_Processes[Flow_ID_O_4],,0,)</f>
        <v>#N/A</v>
      </c>
      <c r="AN36" s="115"/>
      <c r="AO36" s="120" t="e">
        <f>_xlfn.XLOOKUP($E36,Tab_Def_Processes[Name(EN)],Tab_Def_Processes[Output_Flow_O_5],,0,)</f>
        <v>#N/A</v>
      </c>
      <c r="AP36" s="120" t="e">
        <f>_xlfn.XLOOKUP($E36,Tab_Def_Processes[Name(EN)],Tab_Def_Processes[Flow_ID_O_5],,0,)</f>
        <v>#N/A</v>
      </c>
      <c r="AQ36" s="115"/>
      <c r="AR36" s="120" t="e">
        <f>_xlfn.XLOOKUP($E36,Tab_Def_Processes[Name(EN)],Tab_Def_Processes[Output_Flow_O_6],,0,)</f>
        <v>#N/A</v>
      </c>
      <c r="AS36" s="120" t="e">
        <f>_xlfn.XLOOKUP($E36,Tab_Def_Processes[Name(EN)],Tab_Def_Processes[Flow_ID_O_6],,0,)</f>
        <v>#N/A</v>
      </c>
      <c r="AT36" s="115"/>
      <c r="AU36" s="119">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3" t="b">
        <v>0</v>
      </c>
      <c r="B37" s="49">
        <f t="shared" si="2"/>
        <v>36</v>
      </c>
      <c r="C37" s="49" t="e">
        <f t="shared" si="3"/>
        <v>#N/A</v>
      </c>
      <c r="D37" s="113" t="e">
        <f>_xlfn.XLOOKUP($E37,Tab_Def_Processes[Name(EN)],Tab_Def_Processes[ID],,0,)</f>
        <v>#N/A</v>
      </c>
      <c r="E37" s="51" t="s">
        <v>230</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0"/>
      <c r="P37" s="75" t="e">
        <f>_xlfn.XLOOKUP($E37,Tab_Def_Processes[Name(EN)],Tab_Def_Processes[Input_Flow_I_2],,0,)</f>
        <v>#N/A</v>
      </c>
      <c r="Q37" s="49" t="e">
        <f>_xlfn.XLOOKUP($E37,Tab_Def_Processes[Name(EN)],Tab_Def_Processes[Flow_ID_I_2],,0,)</f>
        <v>#N/A</v>
      </c>
      <c r="R37" s="80"/>
      <c r="S37" s="75" t="e">
        <f>_xlfn.XLOOKUP($E37,Tab_Def_Processes[Name(EN)],Tab_Def_Processes[Input_Flow_I_3],,0,)</f>
        <v>#N/A</v>
      </c>
      <c r="T37" s="49" t="e">
        <f>_xlfn.XLOOKUP($E37,Tab_Def_Processes[Name(EN)],Tab_Def_Processes[Flow_ID_I_3],,0,)</f>
        <v>#N/A</v>
      </c>
      <c r="U37" s="80"/>
      <c r="V37" s="75" t="e">
        <f>_xlfn.XLOOKUP($E37,Tab_Def_Processes[Name(EN)],Tab_Def_Processes[Input_Flow_I_4],,0,)</f>
        <v>#N/A</v>
      </c>
      <c r="W37" s="49" t="e">
        <f>_xlfn.XLOOKUP($E37,Tab_Def_Processes[Name(EN)],Tab_Def_Processes[Flow_ID_I_4],,0,)</f>
        <v>#N/A</v>
      </c>
      <c r="X37" s="80"/>
      <c r="Y37" s="75" t="e">
        <f>_xlfn.XLOOKUP($E37,Tab_Def_Processes[Name(EN)],Tab_Def_Processes[Input_Flow_I_5],,0,)</f>
        <v>#N/A</v>
      </c>
      <c r="Z37" s="49" t="e">
        <f>_xlfn.XLOOKUP($E37,Tab_Def_Processes[Name(EN)],Tab_Def_Processes[Flow_ID_I_5],,0,)</f>
        <v>#N/A</v>
      </c>
      <c r="AA37" s="80"/>
      <c r="AB37" s="78">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15"/>
      <c r="AF37" s="120" t="e">
        <f>_xlfn.XLOOKUP($E37,Tab_Def_Processes[Name(EN)],Tab_Def_Processes[Output_Flow_O_2],,0,)</f>
        <v>#N/A</v>
      </c>
      <c r="AG37" s="120" t="e">
        <f>_xlfn.XLOOKUP($E37,Tab_Def_Processes[Name(EN)],Tab_Def_Processes[Flow_ID_O_2],,0,)</f>
        <v>#N/A</v>
      </c>
      <c r="AH37" s="115"/>
      <c r="AI37" s="120" t="e">
        <f>_xlfn.XLOOKUP($E37,Tab_Def_Processes[Name(EN)],Tab_Def_Processes[Output_Flow_O_3],,0,)</f>
        <v>#N/A</v>
      </c>
      <c r="AJ37" s="120" t="e">
        <f>_xlfn.XLOOKUP($E37,Tab_Def_Processes[Name(EN)],Tab_Def_Processes[Flow_ID_O_3],,0,)</f>
        <v>#N/A</v>
      </c>
      <c r="AK37" s="115"/>
      <c r="AL37" s="120" t="e">
        <f>_xlfn.XLOOKUP($E37,Tab_Def_Processes[Name(EN)],Tab_Def_Processes[Output_Flow_O_4],,0,)</f>
        <v>#N/A</v>
      </c>
      <c r="AM37" s="120" t="e">
        <f>_xlfn.XLOOKUP($E37,Tab_Def_Processes[Name(EN)],Tab_Def_Processes[Flow_ID_O_4],,0,)</f>
        <v>#N/A</v>
      </c>
      <c r="AN37" s="115"/>
      <c r="AO37" s="120" t="e">
        <f>_xlfn.XLOOKUP($E37,Tab_Def_Processes[Name(EN)],Tab_Def_Processes[Output_Flow_O_5],,0,)</f>
        <v>#N/A</v>
      </c>
      <c r="AP37" s="120" t="e">
        <f>_xlfn.XLOOKUP($E37,Tab_Def_Processes[Name(EN)],Tab_Def_Processes[Flow_ID_O_5],,0,)</f>
        <v>#N/A</v>
      </c>
      <c r="AQ37" s="115"/>
      <c r="AR37" s="120" t="e">
        <f>_xlfn.XLOOKUP($E37,Tab_Def_Processes[Name(EN)],Tab_Def_Processes[Output_Flow_O_6],,0,)</f>
        <v>#N/A</v>
      </c>
      <c r="AS37" s="120" t="e">
        <f>_xlfn.XLOOKUP($E37,Tab_Def_Processes[Name(EN)],Tab_Def_Processes[Flow_ID_O_6],,0,)</f>
        <v>#N/A</v>
      </c>
      <c r="AT37" s="115"/>
      <c r="AU37" s="119">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3" t="b">
        <v>0</v>
      </c>
      <c r="B38" s="49">
        <f t="shared" si="2"/>
        <v>37</v>
      </c>
      <c r="C38" s="49" t="e">
        <f t="shared" si="3"/>
        <v>#N/A</v>
      </c>
      <c r="D38" s="113" t="e">
        <f>_xlfn.XLOOKUP($E38,Tab_Def_Processes[Name(EN)],Tab_Def_Processes[ID],,0,)</f>
        <v>#N/A</v>
      </c>
      <c r="E38" s="51" t="s">
        <v>230</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0"/>
      <c r="P38" s="75" t="e">
        <f>_xlfn.XLOOKUP($E38,Tab_Def_Processes[Name(EN)],Tab_Def_Processes[Input_Flow_I_2],,0,)</f>
        <v>#N/A</v>
      </c>
      <c r="Q38" s="49" t="e">
        <f>_xlfn.XLOOKUP($E38,Tab_Def_Processes[Name(EN)],Tab_Def_Processes[Flow_ID_I_2],,0,)</f>
        <v>#N/A</v>
      </c>
      <c r="R38" s="80"/>
      <c r="S38" s="75" t="e">
        <f>_xlfn.XLOOKUP($E38,Tab_Def_Processes[Name(EN)],Tab_Def_Processes[Input_Flow_I_3],,0,)</f>
        <v>#N/A</v>
      </c>
      <c r="T38" s="49" t="e">
        <f>_xlfn.XLOOKUP($E38,Tab_Def_Processes[Name(EN)],Tab_Def_Processes[Flow_ID_I_3],,0,)</f>
        <v>#N/A</v>
      </c>
      <c r="U38" s="80"/>
      <c r="V38" s="75" t="e">
        <f>_xlfn.XLOOKUP($E38,Tab_Def_Processes[Name(EN)],Tab_Def_Processes[Input_Flow_I_4],,0,)</f>
        <v>#N/A</v>
      </c>
      <c r="W38" s="49" t="e">
        <f>_xlfn.XLOOKUP($E38,Tab_Def_Processes[Name(EN)],Tab_Def_Processes[Flow_ID_I_4],,0,)</f>
        <v>#N/A</v>
      </c>
      <c r="X38" s="80"/>
      <c r="Y38" s="75" t="e">
        <f>_xlfn.XLOOKUP($E38,Tab_Def_Processes[Name(EN)],Tab_Def_Processes[Input_Flow_I_5],,0,)</f>
        <v>#N/A</v>
      </c>
      <c r="Z38" s="49" t="e">
        <f>_xlfn.XLOOKUP($E38,Tab_Def_Processes[Name(EN)],Tab_Def_Processes[Flow_ID_I_5],,0,)</f>
        <v>#N/A</v>
      </c>
      <c r="AA38" s="80"/>
      <c r="AB38" s="78">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15"/>
      <c r="AF38" s="120" t="e">
        <f>_xlfn.XLOOKUP($E38,Tab_Def_Processes[Name(EN)],Tab_Def_Processes[Output_Flow_O_2],,0,)</f>
        <v>#N/A</v>
      </c>
      <c r="AG38" s="120" t="e">
        <f>_xlfn.XLOOKUP($E38,Tab_Def_Processes[Name(EN)],Tab_Def_Processes[Flow_ID_O_2],,0,)</f>
        <v>#N/A</v>
      </c>
      <c r="AH38" s="115"/>
      <c r="AI38" s="120" t="e">
        <f>_xlfn.XLOOKUP($E38,Tab_Def_Processes[Name(EN)],Tab_Def_Processes[Output_Flow_O_3],,0,)</f>
        <v>#N/A</v>
      </c>
      <c r="AJ38" s="120" t="e">
        <f>_xlfn.XLOOKUP($E38,Tab_Def_Processes[Name(EN)],Tab_Def_Processes[Flow_ID_O_3],,0,)</f>
        <v>#N/A</v>
      </c>
      <c r="AK38" s="115"/>
      <c r="AL38" s="120" t="e">
        <f>_xlfn.XLOOKUP($E38,Tab_Def_Processes[Name(EN)],Tab_Def_Processes[Output_Flow_O_4],,0,)</f>
        <v>#N/A</v>
      </c>
      <c r="AM38" s="120" t="e">
        <f>_xlfn.XLOOKUP($E38,Tab_Def_Processes[Name(EN)],Tab_Def_Processes[Flow_ID_O_4],,0,)</f>
        <v>#N/A</v>
      </c>
      <c r="AN38" s="115"/>
      <c r="AO38" s="120" t="e">
        <f>_xlfn.XLOOKUP($E38,Tab_Def_Processes[Name(EN)],Tab_Def_Processes[Output_Flow_O_5],,0,)</f>
        <v>#N/A</v>
      </c>
      <c r="AP38" s="120" t="e">
        <f>_xlfn.XLOOKUP($E38,Tab_Def_Processes[Name(EN)],Tab_Def_Processes[Flow_ID_O_5],,0,)</f>
        <v>#N/A</v>
      </c>
      <c r="AQ38" s="115"/>
      <c r="AR38" s="120" t="e">
        <f>_xlfn.XLOOKUP($E38,Tab_Def_Processes[Name(EN)],Tab_Def_Processes[Output_Flow_O_6],,0,)</f>
        <v>#N/A</v>
      </c>
      <c r="AS38" s="120" t="e">
        <f>_xlfn.XLOOKUP($E38,Tab_Def_Processes[Name(EN)],Tab_Def_Processes[Flow_ID_O_6],,0,)</f>
        <v>#N/A</v>
      </c>
      <c r="AT38" s="115"/>
      <c r="AU38" s="119">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3" t="b">
        <v>0</v>
      </c>
      <c r="B39" s="49">
        <f t="shared" si="2"/>
        <v>38</v>
      </c>
      <c r="C39" s="49" t="e">
        <f t="shared" si="3"/>
        <v>#N/A</v>
      </c>
      <c r="D39" s="113" t="e">
        <f>_xlfn.XLOOKUP($E39,Tab_Def_Processes[Name(EN)],Tab_Def_Processes[ID],,0,)</f>
        <v>#N/A</v>
      </c>
      <c r="E39" s="51" t="s">
        <v>230</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0"/>
      <c r="P39" s="75" t="e">
        <f>_xlfn.XLOOKUP($E39,Tab_Def_Processes[Name(EN)],Tab_Def_Processes[Input_Flow_I_2],,0,)</f>
        <v>#N/A</v>
      </c>
      <c r="Q39" s="49" t="e">
        <f>_xlfn.XLOOKUP($E39,Tab_Def_Processes[Name(EN)],Tab_Def_Processes[Flow_ID_I_2],,0,)</f>
        <v>#N/A</v>
      </c>
      <c r="R39" s="80"/>
      <c r="S39" s="75" t="e">
        <f>_xlfn.XLOOKUP($E39,Tab_Def_Processes[Name(EN)],Tab_Def_Processes[Input_Flow_I_3],,0,)</f>
        <v>#N/A</v>
      </c>
      <c r="T39" s="49" t="e">
        <f>_xlfn.XLOOKUP($E39,Tab_Def_Processes[Name(EN)],Tab_Def_Processes[Flow_ID_I_3],,0,)</f>
        <v>#N/A</v>
      </c>
      <c r="U39" s="80"/>
      <c r="V39" s="75" t="e">
        <f>_xlfn.XLOOKUP($E39,Tab_Def_Processes[Name(EN)],Tab_Def_Processes[Input_Flow_I_4],,0,)</f>
        <v>#N/A</v>
      </c>
      <c r="W39" s="49" t="e">
        <f>_xlfn.XLOOKUP($E39,Tab_Def_Processes[Name(EN)],Tab_Def_Processes[Flow_ID_I_4],,0,)</f>
        <v>#N/A</v>
      </c>
      <c r="X39" s="80"/>
      <c r="Y39" s="75" t="e">
        <f>_xlfn.XLOOKUP($E39,Tab_Def_Processes[Name(EN)],Tab_Def_Processes[Input_Flow_I_5],,0,)</f>
        <v>#N/A</v>
      </c>
      <c r="Z39" s="49" t="e">
        <f>_xlfn.XLOOKUP($E39,Tab_Def_Processes[Name(EN)],Tab_Def_Processes[Flow_ID_I_5],,0,)</f>
        <v>#N/A</v>
      </c>
      <c r="AA39" s="80"/>
      <c r="AB39" s="78">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15"/>
      <c r="AF39" s="120" t="e">
        <f>_xlfn.XLOOKUP($E39,Tab_Def_Processes[Name(EN)],Tab_Def_Processes[Output_Flow_O_2],,0,)</f>
        <v>#N/A</v>
      </c>
      <c r="AG39" s="120" t="e">
        <f>_xlfn.XLOOKUP($E39,Tab_Def_Processes[Name(EN)],Tab_Def_Processes[Flow_ID_O_2],,0,)</f>
        <v>#N/A</v>
      </c>
      <c r="AH39" s="115"/>
      <c r="AI39" s="120" t="e">
        <f>_xlfn.XLOOKUP($E39,Tab_Def_Processes[Name(EN)],Tab_Def_Processes[Output_Flow_O_3],,0,)</f>
        <v>#N/A</v>
      </c>
      <c r="AJ39" s="120" t="e">
        <f>_xlfn.XLOOKUP($E39,Tab_Def_Processes[Name(EN)],Tab_Def_Processes[Flow_ID_O_3],,0,)</f>
        <v>#N/A</v>
      </c>
      <c r="AK39" s="115"/>
      <c r="AL39" s="120" t="e">
        <f>_xlfn.XLOOKUP($E39,Tab_Def_Processes[Name(EN)],Tab_Def_Processes[Output_Flow_O_4],,0,)</f>
        <v>#N/A</v>
      </c>
      <c r="AM39" s="120" t="e">
        <f>_xlfn.XLOOKUP($E39,Tab_Def_Processes[Name(EN)],Tab_Def_Processes[Flow_ID_O_4],,0,)</f>
        <v>#N/A</v>
      </c>
      <c r="AN39" s="115"/>
      <c r="AO39" s="120" t="e">
        <f>_xlfn.XLOOKUP($E39,Tab_Def_Processes[Name(EN)],Tab_Def_Processes[Output_Flow_O_5],,0,)</f>
        <v>#N/A</v>
      </c>
      <c r="AP39" s="120" t="e">
        <f>_xlfn.XLOOKUP($E39,Tab_Def_Processes[Name(EN)],Tab_Def_Processes[Flow_ID_O_5],,0,)</f>
        <v>#N/A</v>
      </c>
      <c r="AQ39" s="115"/>
      <c r="AR39" s="120" t="e">
        <f>_xlfn.XLOOKUP($E39,Tab_Def_Processes[Name(EN)],Tab_Def_Processes[Output_Flow_O_6],,0,)</f>
        <v>#N/A</v>
      </c>
      <c r="AS39" s="120" t="e">
        <f>_xlfn.XLOOKUP($E39,Tab_Def_Processes[Name(EN)],Tab_Def_Processes[Flow_ID_O_6],,0,)</f>
        <v>#N/A</v>
      </c>
      <c r="AT39" s="115"/>
      <c r="AU39" s="119">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3" t="b">
        <v>0</v>
      </c>
      <c r="B40" s="49">
        <f t="shared" si="2"/>
        <v>39</v>
      </c>
      <c r="C40" s="49" t="e">
        <f t="shared" si="3"/>
        <v>#N/A</v>
      </c>
      <c r="D40" s="113" t="e">
        <f>_xlfn.XLOOKUP($E40,Tab_Def_Processes[Name(EN)],Tab_Def_Processes[ID],,0,)</f>
        <v>#N/A</v>
      </c>
      <c r="E40" s="51" t="s">
        <v>230</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0"/>
      <c r="P40" s="75" t="e">
        <f>_xlfn.XLOOKUP($E40,Tab_Def_Processes[Name(EN)],Tab_Def_Processes[Input_Flow_I_2],,0,)</f>
        <v>#N/A</v>
      </c>
      <c r="Q40" s="49" t="e">
        <f>_xlfn.XLOOKUP($E40,Tab_Def_Processes[Name(EN)],Tab_Def_Processes[Flow_ID_I_2],,0,)</f>
        <v>#N/A</v>
      </c>
      <c r="R40" s="80"/>
      <c r="S40" s="75" t="e">
        <f>_xlfn.XLOOKUP($E40,Tab_Def_Processes[Name(EN)],Tab_Def_Processes[Input_Flow_I_3],,0,)</f>
        <v>#N/A</v>
      </c>
      <c r="T40" s="49" t="e">
        <f>_xlfn.XLOOKUP($E40,Tab_Def_Processes[Name(EN)],Tab_Def_Processes[Flow_ID_I_3],,0,)</f>
        <v>#N/A</v>
      </c>
      <c r="U40" s="80"/>
      <c r="V40" s="75" t="e">
        <f>_xlfn.XLOOKUP($E40,Tab_Def_Processes[Name(EN)],Tab_Def_Processes[Input_Flow_I_4],,0,)</f>
        <v>#N/A</v>
      </c>
      <c r="W40" s="49" t="e">
        <f>_xlfn.XLOOKUP($E40,Tab_Def_Processes[Name(EN)],Tab_Def_Processes[Flow_ID_I_4],,0,)</f>
        <v>#N/A</v>
      </c>
      <c r="X40" s="80"/>
      <c r="Y40" s="75" t="e">
        <f>_xlfn.XLOOKUP($E40,Tab_Def_Processes[Name(EN)],Tab_Def_Processes[Input_Flow_I_5],,0,)</f>
        <v>#N/A</v>
      </c>
      <c r="Z40" s="49" t="e">
        <f>_xlfn.XLOOKUP($E40,Tab_Def_Processes[Name(EN)],Tab_Def_Processes[Flow_ID_I_5],,0,)</f>
        <v>#N/A</v>
      </c>
      <c r="AA40" s="80"/>
      <c r="AB40" s="78">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15"/>
      <c r="AF40" s="120" t="e">
        <f>_xlfn.XLOOKUP($E40,Tab_Def_Processes[Name(EN)],Tab_Def_Processes[Output_Flow_O_2],,0,)</f>
        <v>#N/A</v>
      </c>
      <c r="AG40" s="120" t="e">
        <f>_xlfn.XLOOKUP($E40,Tab_Def_Processes[Name(EN)],Tab_Def_Processes[Flow_ID_O_2],,0,)</f>
        <v>#N/A</v>
      </c>
      <c r="AH40" s="115"/>
      <c r="AI40" s="120" t="e">
        <f>_xlfn.XLOOKUP($E40,Tab_Def_Processes[Name(EN)],Tab_Def_Processes[Output_Flow_O_3],,0,)</f>
        <v>#N/A</v>
      </c>
      <c r="AJ40" s="120" t="e">
        <f>_xlfn.XLOOKUP($E40,Tab_Def_Processes[Name(EN)],Tab_Def_Processes[Flow_ID_O_3],,0,)</f>
        <v>#N/A</v>
      </c>
      <c r="AK40" s="115"/>
      <c r="AL40" s="120" t="e">
        <f>_xlfn.XLOOKUP($E40,Tab_Def_Processes[Name(EN)],Tab_Def_Processes[Output_Flow_O_4],,0,)</f>
        <v>#N/A</v>
      </c>
      <c r="AM40" s="120" t="e">
        <f>_xlfn.XLOOKUP($E40,Tab_Def_Processes[Name(EN)],Tab_Def_Processes[Flow_ID_O_4],,0,)</f>
        <v>#N/A</v>
      </c>
      <c r="AN40" s="115"/>
      <c r="AO40" s="120" t="e">
        <f>_xlfn.XLOOKUP($E40,Tab_Def_Processes[Name(EN)],Tab_Def_Processes[Output_Flow_O_5],,0,)</f>
        <v>#N/A</v>
      </c>
      <c r="AP40" s="120" t="e">
        <f>_xlfn.XLOOKUP($E40,Tab_Def_Processes[Name(EN)],Tab_Def_Processes[Flow_ID_O_5],,0,)</f>
        <v>#N/A</v>
      </c>
      <c r="AQ40" s="115"/>
      <c r="AR40" s="120" t="e">
        <f>_xlfn.XLOOKUP($E40,Tab_Def_Processes[Name(EN)],Tab_Def_Processes[Output_Flow_O_6],,0,)</f>
        <v>#N/A</v>
      </c>
      <c r="AS40" s="120" t="e">
        <f>_xlfn.XLOOKUP($E40,Tab_Def_Processes[Name(EN)],Tab_Def_Processes[Flow_ID_O_6],,0,)</f>
        <v>#N/A</v>
      </c>
      <c r="AT40" s="115"/>
      <c r="AU40" s="119">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3" t="b">
        <v>0</v>
      </c>
      <c r="B41" s="49">
        <f t="shared" si="2"/>
        <v>40</v>
      </c>
      <c r="C41" s="49" t="e">
        <f t="shared" si="3"/>
        <v>#N/A</v>
      </c>
      <c r="D41" s="113" t="e">
        <f>_xlfn.XLOOKUP($E41,Tab_Def_Processes[Name(EN)],Tab_Def_Processes[ID],,0,)</f>
        <v>#N/A</v>
      </c>
      <c r="E41" s="51" t="s">
        <v>230</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0"/>
      <c r="P41" s="75" t="e">
        <f>_xlfn.XLOOKUP($E41,Tab_Def_Processes[Name(EN)],Tab_Def_Processes[Input_Flow_I_2],,0,)</f>
        <v>#N/A</v>
      </c>
      <c r="Q41" s="49" t="e">
        <f>_xlfn.XLOOKUP($E41,Tab_Def_Processes[Name(EN)],Tab_Def_Processes[Flow_ID_I_2],,0,)</f>
        <v>#N/A</v>
      </c>
      <c r="R41" s="80"/>
      <c r="S41" s="75" t="e">
        <f>_xlfn.XLOOKUP($E41,Tab_Def_Processes[Name(EN)],Tab_Def_Processes[Input_Flow_I_3],,0,)</f>
        <v>#N/A</v>
      </c>
      <c r="T41" s="49" t="e">
        <f>_xlfn.XLOOKUP($E41,Tab_Def_Processes[Name(EN)],Tab_Def_Processes[Flow_ID_I_3],,0,)</f>
        <v>#N/A</v>
      </c>
      <c r="U41" s="80"/>
      <c r="V41" s="75" t="e">
        <f>_xlfn.XLOOKUP($E41,Tab_Def_Processes[Name(EN)],Tab_Def_Processes[Input_Flow_I_4],,0,)</f>
        <v>#N/A</v>
      </c>
      <c r="W41" s="49" t="e">
        <f>_xlfn.XLOOKUP($E41,Tab_Def_Processes[Name(EN)],Tab_Def_Processes[Flow_ID_I_4],,0,)</f>
        <v>#N/A</v>
      </c>
      <c r="X41" s="80"/>
      <c r="Y41" s="75" t="e">
        <f>_xlfn.XLOOKUP($E41,Tab_Def_Processes[Name(EN)],Tab_Def_Processes[Input_Flow_I_5],,0,)</f>
        <v>#N/A</v>
      </c>
      <c r="Z41" s="49" t="e">
        <f>_xlfn.XLOOKUP($E41,Tab_Def_Processes[Name(EN)],Tab_Def_Processes[Flow_ID_I_5],,0,)</f>
        <v>#N/A</v>
      </c>
      <c r="AA41" s="80"/>
      <c r="AB41" s="78">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15"/>
      <c r="AF41" s="120" t="e">
        <f>_xlfn.XLOOKUP($E41,Tab_Def_Processes[Name(EN)],Tab_Def_Processes[Output_Flow_O_2],,0,)</f>
        <v>#N/A</v>
      </c>
      <c r="AG41" s="120" t="e">
        <f>_xlfn.XLOOKUP($E41,Tab_Def_Processes[Name(EN)],Tab_Def_Processes[Flow_ID_O_2],,0,)</f>
        <v>#N/A</v>
      </c>
      <c r="AH41" s="115"/>
      <c r="AI41" s="120" t="e">
        <f>_xlfn.XLOOKUP($E41,Tab_Def_Processes[Name(EN)],Tab_Def_Processes[Output_Flow_O_3],,0,)</f>
        <v>#N/A</v>
      </c>
      <c r="AJ41" s="120" t="e">
        <f>_xlfn.XLOOKUP($E41,Tab_Def_Processes[Name(EN)],Tab_Def_Processes[Flow_ID_O_3],,0,)</f>
        <v>#N/A</v>
      </c>
      <c r="AK41" s="115"/>
      <c r="AL41" s="120" t="e">
        <f>_xlfn.XLOOKUP($E41,Tab_Def_Processes[Name(EN)],Tab_Def_Processes[Output_Flow_O_4],,0,)</f>
        <v>#N/A</v>
      </c>
      <c r="AM41" s="120" t="e">
        <f>_xlfn.XLOOKUP($E41,Tab_Def_Processes[Name(EN)],Tab_Def_Processes[Flow_ID_O_4],,0,)</f>
        <v>#N/A</v>
      </c>
      <c r="AN41" s="115"/>
      <c r="AO41" s="120" t="e">
        <f>_xlfn.XLOOKUP($E41,Tab_Def_Processes[Name(EN)],Tab_Def_Processes[Output_Flow_O_5],,0,)</f>
        <v>#N/A</v>
      </c>
      <c r="AP41" s="120" t="e">
        <f>_xlfn.XLOOKUP($E41,Tab_Def_Processes[Name(EN)],Tab_Def_Processes[Flow_ID_O_5],,0,)</f>
        <v>#N/A</v>
      </c>
      <c r="AQ41" s="115"/>
      <c r="AR41" s="120" t="e">
        <f>_xlfn.XLOOKUP($E41,Tab_Def_Processes[Name(EN)],Tab_Def_Processes[Output_Flow_O_6],,0,)</f>
        <v>#N/A</v>
      </c>
      <c r="AS41" s="120" t="e">
        <f>_xlfn.XLOOKUP($E41,Tab_Def_Processes[Name(EN)],Tab_Def_Processes[Flow_ID_O_6],,0,)</f>
        <v>#N/A</v>
      </c>
      <c r="AT41" s="115"/>
      <c r="AU41" s="119">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3" t="b">
        <v>0</v>
      </c>
      <c r="B42" s="49">
        <f t="shared" si="2"/>
        <v>41</v>
      </c>
      <c r="C42" s="49" t="e">
        <f t="shared" si="3"/>
        <v>#N/A</v>
      </c>
      <c r="D42" s="113" t="e">
        <f>_xlfn.XLOOKUP($E42,Tab_Def_Processes[Name(EN)],Tab_Def_Processes[ID],,0,)</f>
        <v>#N/A</v>
      </c>
      <c r="E42" s="51" t="s">
        <v>230</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0"/>
      <c r="P42" s="75" t="e">
        <f>_xlfn.XLOOKUP($E42,Tab_Def_Processes[Name(EN)],Tab_Def_Processes[Input_Flow_I_2],,0,)</f>
        <v>#N/A</v>
      </c>
      <c r="Q42" s="49" t="e">
        <f>_xlfn.XLOOKUP($E42,Tab_Def_Processes[Name(EN)],Tab_Def_Processes[Flow_ID_I_2],,0,)</f>
        <v>#N/A</v>
      </c>
      <c r="R42" s="80"/>
      <c r="S42" s="75" t="e">
        <f>_xlfn.XLOOKUP($E42,Tab_Def_Processes[Name(EN)],Tab_Def_Processes[Input_Flow_I_3],,0,)</f>
        <v>#N/A</v>
      </c>
      <c r="T42" s="49" t="e">
        <f>_xlfn.XLOOKUP($E42,Tab_Def_Processes[Name(EN)],Tab_Def_Processes[Flow_ID_I_3],,0,)</f>
        <v>#N/A</v>
      </c>
      <c r="U42" s="80"/>
      <c r="V42" s="75" t="e">
        <f>_xlfn.XLOOKUP($E42,Tab_Def_Processes[Name(EN)],Tab_Def_Processes[Input_Flow_I_4],,0,)</f>
        <v>#N/A</v>
      </c>
      <c r="W42" s="49" t="e">
        <f>_xlfn.XLOOKUP($E42,Tab_Def_Processes[Name(EN)],Tab_Def_Processes[Flow_ID_I_4],,0,)</f>
        <v>#N/A</v>
      </c>
      <c r="X42" s="80"/>
      <c r="Y42" s="75" t="e">
        <f>_xlfn.XLOOKUP($E42,Tab_Def_Processes[Name(EN)],Tab_Def_Processes[Input_Flow_I_5],,0,)</f>
        <v>#N/A</v>
      </c>
      <c r="Z42" s="49" t="e">
        <f>_xlfn.XLOOKUP($E42,Tab_Def_Processes[Name(EN)],Tab_Def_Processes[Flow_ID_I_5],,0,)</f>
        <v>#N/A</v>
      </c>
      <c r="AA42" s="80"/>
      <c r="AB42" s="78">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15"/>
      <c r="AF42" s="120" t="e">
        <f>_xlfn.XLOOKUP($E42,Tab_Def_Processes[Name(EN)],Tab_Def_Processes[Output_Flow_O_2],,0,)</f>
        <v>#N/A</v>
      </c>
      <c r="AG42" s="120" t="e">
        <f>_xlfn.XLOOKUP($E42,Tab_Def_Processes[Name(EN)],Tab_Def_Processes[Flow_ID_O_2],,0,)</f>
        <v>#N/A</v>
      </c>
      <c r="AH42" s="115"/>
      <c r="AI42" s="120" t="e">
        <f>_xlfn.XLOOKUP($E42,Tab_Def_Processes[Name(EN)],Tab_Def_Processes[Output_Flow_O_3],,0,)</f>
        <v>#N/A</v>
      </c>
      <c r="AJ42" s="120" t="e">
        <f>_xlfn.XLOOKUP($E42,Tab_Def_Processes[Name(EN)],Tab_Def_Processes[Flow_ID_O_3],,0,)</f>
        <v>#N/A</v>
      </c>
      <c r="AK42" s="115"/>
      <c r="AL42" s="120" t="e">
        <f>_xlfn.XLOOKUP($E42,Tab_Def_Processes[Name(EN)],Tab_Def_Processes[Output_Flow_O_4],,0,)</f>
        <v>#N/A</v>
      </c>
      <c r="AM42" s="120" t="e">
        <f>_xlfn.XLOOKUP($E42,Tab_Def_Processes[Name(EN)],Tab_Def_Processes[Flow_ID_O_4],,0,)</f>
        <v>#N/A</v>
      </c>
      <c r="AN42" s="115"/>
      <c r="AO42" s="120" t="e">
        <f>_xlfn.XLOOKUP($E42,Tab_Def_Processes[Name(EN)],Tab_Def_Processes[Output_Flow_O_5],,0,)</f>
        <v>#N/A</v>
      </c>
      <c r="AP42" s="120" t="e">
        <f>_xlfn.XLOOKUP($E42,Tab_Def_Processes[Name(EN)],Tab_Def_Processes[Flow_ID_O_5],,0,)</f>
        <v>#N/A</v>
      </c>
      <c r="AQ42" s="115"/>
      <c r="AR42" s="120" t="e">
        <f>_xlfn.XLOOKUP($E42,Tab_Def_Processes[Name(EN)],Tab_Def_Processes[Output_Flow_O_6],,0,)</f>
        <v>#N/A</v>
      </c>
      <c r="AS42" s="120" t="e">
        <f>_xlfn.XLOOKUP($E42,Tab_Def_Processes[Name(EN)],Tab_Def_Processes[Flow_ID_O_6],,0,)</f>
        <v>#N/A</v>
      </c>
      <c r="AT42" s="115"/>
      <c r="AU42" s="119">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3" t="b">
        <v>0</v>
      </c>
      <c r="B43" s="49">
        <f t="shared" si="2"/>
        <v>42</v>
      </c>
      <c r="C43" s="49" t="e">
        <f t="shared" si="3"/>
        <v>#N/A</v>
      </c>
      <c r="D43" s="113" t="e">
        <f>_xlfn.XLOOKUP($E43,Tab_Def_Processes[Name(EN)],Tab_Def_Processes[ID],,0,)</f>
        <v>#N/A</v>
      </c>
      <c r="E43" s="51" t="s">
        <v>230</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0"/>
      <c r="P43" s="75" t="e">
        <f>_xlfn.XLOOKUP($E43,Tab_Def_Processes[Name(EN)],Tab_Def_Processes[Input_Flow_I_2],,0,)</f>
        <v>#N/A</v>
      </c>
      <c r="Q43" s="49" t="e">
        <f>_xlfn.XLOOKUP($E43,Tab_Def_Processes[Name(EN)],Tab_Def_Processes[Flow_ID_I_2],,0,)</f>
        <v>#N/A</v>
      </c>
      <c r="R43" s="80"/>
      <c r="S43" s="75" t="e">
        <f>_xlfn.XLOOKUP($E43,Tab_Def_Processes[Name(EN)],Tab_Def_Processes[Input_Flow_I_3],,0,)</f>
        <v>#N/A</v>
      </c>
      <c r="T43" s="49" t="e">
        <f>_xlfn.XLOOKUP($E43,Tab_Def_Processes[Name(EN)],Tab_Def_Processes[Flow_ID_I_3],,0,)</f>
        <v>#N/A</v>
      </c>
      <c r="U43" s="80"/>
      <c r="V43" s="75" t="e">
        <f>_xlfn.XLOOKUP($E43,Tab_Def_Processes[Name(EN)],Tab_Def_Processes[Input_Flow_I_4],,0,)</f>
        <v>#N/A</v>
      </c>
      <c r="W43" s="49" t="e">
        <f>_xlfn.XLOOKUP($E43,Tab_Def_Processes[Name(EN)],Tab_Def_Processes[Flow_ID_I_4],,0,)</f>
        <v>#N/A</v>
      </c>
      <c r="X43" s="80"/>
      <c r="Y43" s="75" t="e">
        <f>_xlfn.XLOOKUP($E43,Tab_Def_Processes[Name(EN)],Tab_Def_Processes[Input_Flow_I_5],,0,)</f>
        <v>#N/A</v>
      </c>
      <c r="Z43" s="49" t="e">
        <f>_xlfn.XLOOKUP($E43,Tab_Def_Processes[Name(EN)],Tab_Def_Processes[Flow_ID_I_5],,0,)</f>
        <v>#N/A</v>
      </c>
      <c r="AA43" s="80"/>
      <c r="AB43" s="78">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15"/>
      <c r="AF43" s="120" t="e">
        <f>_xlfn.XLOOKUP($E43,Tab_Def_Processes[Name(EN)],Tab_Def_Processes[Output_Flow_O_2],,0,)</f>
        <v>#N/A</v>
      </c>
      <c r="AG43" s="120" t="e">
        <f>_xlfn.XLOOKUP($E43,Tab_Def_Processes[Name(EN)],Tab_Def_Processes[Flow_ID_O_2],,0,)</f>
        <v>#N/A</v>
      </c>
      <c r="AH43" s="115"/>
      <c r="AI43" s="120" t="e">
        <f>_xlfn.XLOOKUP($E43,Tab_Def_Processes[Name(EN)],Tab_Def_Processes[Output_Flow_O_3],,0,)</f>
        <v>#N/A</v>
      </c>
      <c r="AJ43" s="120" t="e">
        <f>_xlfn.XLOOKUP($E43,Tab_Def_Processes[Name(EN)],Tab_Def_Processes[Flow_ID_O_3],,0,)</f>
        <v>#N/A</v>
      </c>
      <c r="AK43" s="115"/>
      <c r="AL43" s="120" t="e">
        <f>_xlfn.XLOOKUP($E43,Tab_Def_Processes[Name(EN)],Tab_Def_Processes[Output_Flow_O_4],,0,)</f>
        <v>#N/A</v>
      </c>
      <c r="AM43" s="120" t="e">
        <f>_xlfn.XLOOKUP($E43,Tab_Def_Processes[Name(EN)],Tab_Def_Processes[Flow_ID_O_4],,0,)</f>
        <v>#N/A</v>
      </c>
      <c r="AN43" s="115"/>
      <c r="AO43" s="120" t="e">
        <f>_xlfn.XLOOKUP($E43,Tab_Def_Processes[Name(EN)],Tab_Def_Processes[Output_Flow_O_5],,0,)</f>
        <v>#N/A</v>
      </c>
      <c r="AP43" s="120" t="e">
        <f>_xlfn.XLOOKUP($E43,Tab_Def_Processes[Name(EN)],Tab_Def_Processes[Flow_ID_O_5],,0,)</f>
        <v>#N/A</v>
      </c>
      <c r="AQ43" s="115"/>
      <c r="AR43" s="120" t="e">
        <f>_xlfn.XLOOKUP($E43,Tab_Def_Processes[Name(EN)],Tab_Def_Processes[Output_Flow_O_6],,0,)</f>
        <v>#N/A</v>
      </c>
      <c r="AS43" s="120" t="e">
        <f>_xlfn.XLOOKUP($E43,Tab_Def_Processes[Name(EN)],Tab_Def_Processes[Flow_ID_O_6],,0,)</f>
        <v>#N/A</v>
      </c>
      <c r="AT43" s="115"/>
      <c r="AU43" s="119">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3" t="b">
        <v>0</v>
      </c>
      <c r="B44" s="49">
        <f t="shared" si="2"/>
        <v>43</v>
      </c>
      <c r="C44" s="49" t="e">
        <f t="shared" si="3"/>
        <v>#N/A</v>
      </c>
      <c r="D44" s="113" t="e">
        <f>_xlfn.XLOOKUP($E44,Tab_Def_Processes[Name(EN)],Tab_Def_Processes[ID],,0,)</f>
        <v>#N/A</v>
      </c>
      <c r="E44" s="51" t="s">
        <v>230</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0"/>
      <c r="P44" s="75" t="e">
        <f>_xlfn.XLOOKUP($E44,Tab_Def_Processes[Name(EN)],Tab_Def_Processes[Input_Flow_I_2],,0,)</f>
        <v>#N/A</v>
      </c>
      <c r="Q44" s="49" t="e">
        <f>_xlfn.XLOOKUP($E44,Tab_Def_Processes[Name(EN)],Tab_Def_Processes[Flow_ID_I_2],,0,)</f>
        <v>#N/A</v>
      </c>
      <c r="R44" s="80"/>
      <c r="S44" s="75" t="e">
        <f>_xlfn.XLOOKUP($E44,Tab_Def_Processes[Name(EN)],Tab_Def_Processes[Input_Flow_I_3],,0,)</f>
        <v>#N/A</v>
      </c>
      <c r="T44" s="49" t="e">
        <f>_xlfn.XLOOKUP($E44,Tab_Def_Processes[Name(EN)],Tab_Def_Processes[Flow_ID_I_3],,0,)</f>
        <v>#N/A</v>
      </c>
      <c r="U44" s="80"/>
      <c r="V44" s="75" t="e">
        <f>_xlfn.XLOOKUP($E44,Tab_Def_Processes[Name(EN)],Tab_Def_Processes[Input_Flow_I_4],,0,)</f>
        <v>#N/A</v>
      </c>
      <c r="W44" s="49" t="e">
        <f>_xlfn.XLOOKUP($E44,Tab_Def_Processes[Name(EN)],Tab_Def_Processes[Flow_ID_I_4],,0,)</f>
        <v>#N/A</v>
      </c>
      <c r="X44" s="80"/>
      <c r="Y44" s="75" t="e">
        <f>_xlfn.XLOOKUP($E44,Tab_Def_Processes[Name(EN)],Tab_Def_Processes[Input_Flow_I_5],,0,)</f>
        <v>#N/A</v>
      </c>
      <c r="Z44" s="49" t="e">
        <f>_xlfn.XLOOKUP($E44,Tab_Def_Processes[Name(EN)],Tab_Def_Processes[Flow_ID_I_5],,0,)</f>
        <v>#N/A</v>
      </c>
      <c r="AA44" s="80"/>
      <c r="AB44" s="78">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15"/>
      <c r="AF44" s="120" t="e">
        <f>_xlfn.XLOOKUP($E44,Tab_Def_Processes[Name(EN)],Tab_Def_Processes[Output_Flow_O_2],,0,)</f>
        <v>#N/A</v>
      </c>
      <c r="AG44" s="120" t="e">
        <f>_xlfn.XLOOKUP($E44,Tab_Def_Processes[Name(EN)],Tab_Def_Processes[Flow_ID_O_2],,0,)</f>
        <v>#N/A</v>
      </c>
      <c r="AH44" s="115"/>
      <c r="AI44" s="120" t="e">
        <f>_xlfn.XLOOKUP($E44,Tab_Def_Processes[Name(EN)],Tab_Def_Processes[Output_Flow_O_3],,0,)</f>
        <v>#N/A</v>
      </c>
      <c r="AJ44" s="120" t="e">
        <f>_xlfn.XLOOKUP($E44,Tab_Def_Processes[Name(EN)],Tab_Def_Processes[Flow_ID_O_3],,0,)</f>
        <v>#N/A</v>
      </c>
      <c r="AK44" s="115"/>
      <c r="AL44" s="120" t="e">
        <f>_xlfn.XLOOKUP($E44,Tab_Def_Processes[Name(EN)],Tab_Def_Processes[Output_Flow_O_4],,0,)</f>
        <v>#N/A</v>
      </c>
      <c r="AM44" s="120" t="e">
        <f>_xlfn.XLOOKUP($E44,Tab_Def_Processes[Name(EN)],Tab_Def_Processes[Flow_ID_O_4],,0,)</f>
        <v>#N/A</v>
      </c>
      <c r="AN44" s="115"/>
      <c r="AO44" s="120" t="e">
        <f>_xlfn.XLOOKUP($E44,Tab_Def_Processes[Name(EN)],Tab_Def_Processes[Output_Flow_O_5],,0,)</f>
        <v>#N/A</v>
      </c>
      <c r="AP44" s="120" t="e">
        <f>_xlfn.XLOOKUP($E44,Tab_Def_Processes[Name(EN)],Tab_Def_Processes[Flow_ID_O_5],,0,)</f>
        <v>#N/A</v>
      </c>
      <c r="AQ44" s="115"/>
      <c r="AR44" s="120" t="e">
        <f>_xlfn.XLOOKUP($E44,Tab_Def_Processes[Name(EN)],Tab_Def_Processes[Output_Flow_O_6],,0,)</f>
        <v>#N/A</v>
      </c>
      <c r="AS44" s="120" t="e">
        <f>_xlfn.XLOOKUP($E44,Tab_Def_Processes[Name(EN)],Tab_Def_Processes[Flow_ID_O_6],,0,)</f>
        <v>#N/A</v>
      </c>
      <c r="AT44" s="115"/>
      <c r="AU44" s="119">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3" t="b">
        <v>0</v>
      </c>
      <c r="B45" s="49">
        <f t="shared" si="2"/>
        <v>44</v>
      </c>
      <c r="C45" s="49" t="e">
        <f t="shared" si="3"/>
        <v>#N/A</v>
      </c>
      <c r="D45" s="113" t="e">
        <f>_xlfn.XLOOKUP($E45,Tab_Def_Processes[Name(EN)],Tab_Def_Processes[ID],,0,)</f>
        <v>#N/A</v>
      </c>
      <c r="E45" s="51" t="s">
        <v>230</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0"/>
      <c r="P45" s="75" t="e">
        <f>_xlfn.XLOOKUP($E45,Tab_Def_Processes[Name(EN)],Tab_Def_Processes[Input_Flow_I_2],,0,)</f>
        <v>#N/A</v>
      </c>
      <c r="Q45" s="49" t="e">
        <f>_xlfn.XLOOKUP($E45,Tab_Def_Processes[Name(EN)],Tab_Def_Processes[Flow_ID_I_2],,0,)</f>
        <v>#N/A</v>
      </c>
      <c r="R45" s="80"/>
      <c r="S45" s="75" t="e">
        <f>_xlfn.XLOOKUP($E45,Tab_Def_Processes[Name(EN)],Tab_Def_Processes[Input_Flow_I_3],,0,)</f>
        <v>#N/A</v>
      </c>
      <c r="T45" s="49" t="e">
        <f>_xlfn.XLOOKUP($E45,Tab_Def_Processes[Name(EN)],Tab_Def_Processes[Flow_ID_I_3],,0,)</f>
        <v>#N/A</v>
      </c>
      <c r="U45" s="80"/>
      <c r="V45" s="75" t="e">
        <f>_xlfn.XLOOKUP($E45,Tab_Def_Processes[Name(EN)],Tab_Def_Processes[Input_Flow_I_4],,0,)</f>
        <v>#N/A</v>
      </c>
      <c r="W45" s="49" t="e">
        <f>_xlfn.XLOOKUP($E45,Tab_Def_Processes[Name(EN)],Tab_Def_Processes[Flow_ID_I_4],,0,)</f>
        <v>#N/A</v>
      </c>
      <c r="X45" s="80"/>
      <c r="Y45" s="75" t="e">
        <f>_xlfn.XLOOKUP($E45,Tab_Def_Processes[Name(EN)],Tab_Def_Processes[Input_Flow_I_5],,0,)</f>
        <v>#N/A</v>
      </c>
      <c r="Z45" s="49" t="e">
        <f>_xlfn.XLOOKUP($E45,Tab_Def_Processes[Name(EN)],Tab_Def_Processes[Flow_ID_I_5],,0,)</f>
        <v>#N/A</v>
      </c>
      <c r="AA45" s="80"/>
      <c r="AB45" s="78">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15"/>
      <c r="AF45" s="120" t="e">
        <f>_xlfn.XLOOKUP($E45,Tab_Def_Processes[Name(EN)],Tab_Def_Processes[Output_Flow_O_2],,0,)</f>
        <v>#N/A</v>
      </c>
      <c r="AG45" s="120" t="e">
        <f>_xlfn.XLOOKUP($E45,Tab_Def_Processes[Name(EN)],Tab_Def_Processes[Flow_ID_O_2],,0,)</f>
        <v>#N/A</v>
      </c>
      <c r="AH45" s="115"/>
      <c r="AI45" s="120" t="e">
        <f>_xlfn.XLOOKUP($E45,Tab_Def_Processes[Name(EN)],Tab_Def_Processes[Output_Flow_O_3],,0,)</f>
        <v>#N/A</v>
      </c>
      <c r="AJ45" s="120" t="e">
        <f>_xlfn.XLOOKUP($E45,Tab_Def_Processes[Name(EN)],Tab_Def_Processes[Flow_ID_O_3],,0,)</f>
        <v>#N/A</v>
      </c>
      <c r="AK45" s="115"/>
      <c r="AL45" s="120" t="e">
        <f>_xlfn.XLOOKUP($E45,Tab_Def_Processes[Name(EN)],Tab_Def_Processes[Output_Flow_O_4],,0,)</f>
        <v>#N/A</v>
      </c>
      <c r="AM45" s="120" t="e">
        <f>_xlfn.XLOOKUP($E45,Tab_Def_Processes[Name(EN)],Tab_Def_Processes[Flow_ID_O_4],,0,)</f>
        <v>#N/A</v>
      </c>
      <c r="AN45" s="115"/>
      <c r="AO45" s="120" t="e">
        <f>_xlfn.XLOOKUP($E45,Tab_Def_Processes[Name(EN)],Tab_Def_Processes[Output_Flow_O_5],,0,)</f>
        <v>#N/A</v>
      </c>
      <c r="AP45" s="120" t="e">
        <f>_xlfn.XLOOKUP($E45,Tab_Def_Processes[Name(EN)],Tab_Def_Processes[Flow_ID_O_5],,0,)</f>
        <v>#N/A</v>
      </c>
      <c r="AQ45" s="115"/>
      <c r="AR45" s="120" t="e">
        <f>_xlfn.XLOOKUP($E45,Tab_Def_Processes[Name(EN)],Tab_Def_Processes[Output_Flow_O_6],,0,)</f>
        <v>#N/A</v>
      </c>
      <c r="AS45" s="120" t="e">
        <f>_xlfn.XLOOKUP($E45,Tab_Def_Processes[Name(EN)],Tab_Def_Processes[Flow_ID_O_6],,0,)</f>
        <v>#N/A</v>
      </c>
      <c r="AT45" s="115"/>
      <c r="AU45" s="119">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3" t="b">
        <v>0</v>
      </c>
      <c r="B46" s="49">
        <f t="shared" si="2"/>
        <v>45</v>
      </c>
      <c r="C46" s="49" t="e">
        <f t="shared" si="3"/>
        <v>#N/A</v>
      </c>
      <c r="D46" s="113" t="e">
        <f>_xlfn.XLOOKUP($E46,Tab_Def_Processes[Name(EN)],Tab_Def_Processes[ID],,0,)</f>
        <v>#N/A</v>
      </c>
      <c r="E46" s="51" t="s">
        <v>230</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0"/>
      <c r="P46" s="75" t="e">
        <f>_xlfn.XLOOKUP($E46,Tab_Def_Processes[Name(EN)],Tab_Def_Processes[Input_Flow_I_2],,0,)</f>
        <v>#N/A</v>
      </c>
      <c r="Q46" s="49" t="e">
        <f>_xlfn.XLOOKUP($E46,Tab_Def_Processes[Name(EN)],Tab_Def_Processes[Flow_ID_I_2],,0,)</f>
        <v>#N/A</v>
      </c>
      <c r="R46" s="80"/>
      <c r="S46" s="75" t="e">
        <f>_xlfn.XLOOKUP($E46,Tab_Def_Processes[Name(EN)],Tab_Def_Processes[Input_Flow_I_3],,0,)</f>
        <v>#N/A</v>
      </c>
      <c r="T46" s="49" t="e">
        <f>_xlfn.XLOOKUP($E46,Tab_Def_Processes[Name(EN)],Tab_Def_Processes[Flow_ID_I_3],,0,)</f>
        <v>#N/A</v>
      </c>
      <c r="U46" s="80"/>
      <c r="V46" s="75" t="e">
        <f>_xlfn.XLOOKUP($E46,Tab_Def_Processes[Name(EN)],Tab_Def_Processes[Input_Flow_I_4],,0,)</f>
        <v>#N/A</v>
      </c>
      <c r="W46" s="49" t="e">
        <f>_xlfn.XLOOKUP($E46,Tab_Def_Processes[Name(EN)],Tab_Def_Processes[Flow_ID_I_4],,0,)</f>
        <v>#N/A</v>
      </c>
      <c r="X46" s="80"/>
      <c r="Y46" s="75" t="e">
        <f>_xlfn.XLOOKUP($E46,Tab_Def_Processes[Name(EN)],Tab_Def_Processes[Input_Flow_I_5],,0,)</f>
        <v>#N/A</v>
      </c>
      <c r="Z46" s="49" t="e">
        <f>_xlfn.XLOOKUP($E46,Tab_Def_Processes[Name(EN)],Tab_Def_Processes[Flow_ID_I_5],,0,)</f>
        <v>#N/A</v>
      </c>
      <c r="AA46" s="80"/>
      <c r="AB46" s="78">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15"/>
      <c r="AF46" s="120" t="e">
        <f>_xlfn.XLOOKUP($E46,Tab_Def_Processes[Name(EN)],Tab_Def_Processes[Output_Flow_O_2],,0,)</f>
        <v>#N/A</v>
      </c>
      <c r="AG46" s="120" t="e">
        <f>_xlfn.XLOOKUP($E46,Tab_Def_Processes[Name(EN)],Tab_Def_Processes[Flow_ID_O_2],,0,)</f>
        <v>#N/A</v>
      </c>
      <c r="AH46" s="115"/>
      <c r="AI46" s="120" t="e">
        <f>_xlfn.XLOOKUP($E46,Tab_Def_Processes[Name(EN)],Tab_Def_Processes[Output_Flow_O_3],,0,)</f>
        <v>#N/A</v>
      </c>
      <c r="AJ46" s="120" t="e">
        <f>_xlfn.XLOOKUP($E46,Tab_Def_Processes[Name(EN)],Tab_Def_Processes[Flow_ID_O_3],,0,)</f>
        <v>#N/A</v>
      </c>
      <c r="AK46" s="115"/>
      <c r="AL46" s="120" t="e">
        <f>_xlfn.XLOOKUP($E46,Tab_Def_Processes[Name(EN)],Tab_Def_Processes[Output_Flow_O_4],,0,)</f>
        <v>#N/A</v>
      </c>
      <c r="AM46" s="120" t="e">
        <f>_xlfn.XLOOKUP($E46,Tab_Def_Processes[Name(EN)],Tab_Def_Processes[Flow_ID_O_4],,0,)</f>
        <v>#N/A</v>
      </c>
      <c r="AN46" s="115"/>
      <c r="AO46" s="120" t="e">
        <f>_xlfn.XLOOKUP($E46,Tab_Def_Processes[Name(EN)],Tab_Def_Processes[Output_Flow_O_5],,0,)</f>
        <v>#N/A</v>
      </c>
      <c r="AP46" s="120" t="e">
        <f>_xlfn.XLOOKUP($E46,Tab_Def_Processes[Name(EN)],Tab_Def_Processes[Flow_ID_O_5],,0,)</f>
        <v>#N/A</v>
      </c>
      <c r="AQ46" s="115"/>
      <c r="AR46" s="120" t="e">
        <f>_xlfn.XLOOKUP($E46,Tab_Def_Processes[Name(EN)],Tab_Def_Processes[Output_Flow_O_6],,0,)</f>
        <v>#N/A</v>
      </c>
      <c r="AS46" s="120" t="e">
        <f>_xlfn.XLOOKUP($E46,Tab_Def_Processes[Name(EN)],Tab_Def_Processes[Flow_ID_O_6],,0,)</f>
        <v>#N/A</v>
      </c>
      <c r="AT46" s="115"/>
      <c r="AU46" s="119">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3" t="b">
        <v>0</v>
      </c>
      <c r="B47" s="49">
        <f t="shared" si="2"/>
        <v>46</v>
      </c>
      <c r="C47" s="49" t="e">
        <f t="shared" si="3"/>
        <v>#N/A</v>
      </c>
      <c r="D47" s="113" t="e">
        <f>_xlfn.XLOOKUP($E47,Tab_Def_Processes[Name(EN)],Tab_Def_Processes[ID],,0,)</f>
        <v>#N/A</v>
      </c>
      <c r="E47" s="51" t="s">
        <v>230</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0"/>
      <c r="P47" s="75" t="e">
        <f>_xlfn.XLOOKUP($E47,Tab_Def_Processes[Name(EN)],Tab_Def_Processes[Input_Flow_I_2],,0,)</f>
        <v>#N/A</v>
      </c>
      <c r="Q47" s="49" t="e">
        <f>_xlfn.XLOOKUP($E47,Tab_Def_Processes[Name(EN)],Tab_Def_Processes[Flow_ID_I_2],,0,)</f>
        <v>#N/A</v>
      </c>
      <c r="R47" s="80"/>
      <c r="S47" s="75" t="e">
        <f>_xlfn.XLOOKUP($E47,Tab_Def_Processes[Name(EN)],Tab_Def_Processes[Input_Flow_I_3],,0,)</f>
        <v>#N/A</v>
      </c>
      <c r="T47" s="49" t="e">
        <f>_xlfn.XLOOKUP($E47,Tab_Def_Processes[Name(EN)],Tab_Def_Processes[Flow_ID_I_3],,0,)</f>
        <v>#N/A</v>
      </c>
      <c r="U47" s="80"/>
      <c r="V47" s="75" t="e">
        <f>_xlfn.XLOOKUP($E47,Tab_Def_Processes[Name(EN)],Tab_Def_Processes[Input_Flow_I_4],,0,)</f>
        <v>#N/A</v>
      </c>
      <c r="W47" s="49" t="e">
        <f>_xlfn.XLOOKUP($E47,Tab_Def_Processes[Name(EN)],Tab_Def_Processes[Flow_ID_I_4],,0,)</f>
        <v>#N/A</v>
      </c>
      <c r="X47" s="80"/>
      <c r="Y47" s="75" t="e">
        <f>_xlfn.XLOOKUP($E47,Tab_Def_Processes[Name(EN)],Tab_Def_Processes[Input_Flow_I_5],,0,)</f>
        <v>#N/A</v>
      </c>
      <c r="Z47" s="49" t="e">
        <f>_xlfn.XLOOKUP($E47,Tab_Def_Processes[Name(EN)],Tab_Def_Processes[Flow_ID_I_5],,0,)</f>
        <v>#N/A</v>
      </c>
      <c r="AA47" s="80"/>
      <c r="AB47" s="78">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15"/>
      <c r="AF47" s="120" t="e">
        <f>_xlfn.XLOOKUP($E47,Tab_Def_Processes[Name(EN)],Tab_Def_Processes[Output_Flow_O_2],,0,)</f>
        <v>#N/A</v>
      </c>
      <c r="AG47" s="120" t="e">
        <f>_xlfn.XLOOKUP($E47,Tab_Def_Processes[Name(EN)],Tab_Def_Processes[Flow_ID_O_2],,0,)</f>
        <v>#N/A</v>
      </c>
      <c r="AH47" s="115"/>
      <c r="AI47" s="120" t="e">
        <f>_xlfn.XLOOKUP($E47,Tab_Def_Processes[Name(EN)],Tab_Def_Processes[Output_Flow_O_3],,0,)</f>
        <v>#N/A</v>
      </c>
      <c r="AJ47" s="120" t="e">
        <f>_xlfn.XLOOKUP($E47,Tab_Def_Processes[Name(EN)],Tab_Def_Processes[Flow_ID_O_3],,0,)</f>
        <v>#N/A</v>
      </c>
      <c r="AK47" s="115"/>
      <c r="AL47" s="120" t="e">
        <f>_xlfn.XLOOKUP($E47,Tab_Def_Processes[Name(EN)],Tab_Def_Processes[Output_Flow_O_4],,0,)</f>
        <v>#N/A</v>
      </c>
      <c r="AM47" s="120" t="e">
        <f>_xlfn.XLOOKUP($E47,Tab_Def_Processes[Name(EN)],Tab_Def_Processes[Flow_ID_O_4],,0,)</f>
        <v>#N/A</v>
      </c>
      <c r="AN47" s="115"/>
      <c r="AO47" s="120" t="e">
        <f>_xlfn.XLOOKUP($E47,Tab_Def_Processes[Name(EN)],Tab_Def_Processes[Output_Flow_O_5],,0,)</f>
        <v>#N/A</v>
      </c>
      <c r="AP47" s="120" t="e">
        <f>_xlfn.XLOOKUP($E47,Tab_Def_Processes[Name(EN)],Tab_Def_Processes[Flow_ID_O_5],,0,)</f>
        <v>#N/A</v>
      </c>
      <c r="AQ47" s="115"/>
      <c r="AR47" s="120" t="e">
        <f>_xlfn.XLOOKUP($E47,Tab_Def_Processes[Name(EN)],Tab_Def_Processes[Output_Flow_O_6],,0,)</f>
        <v>#N/A</v>
      </c>
      <c r="AS47" s="120" t="e">
        <f>_xlfn.XLOOKUP($E47,Tab_Def_Processes[Name(EN)],Tab_Def_Processes[Flow_ID_O_6],,0,)</f>
        <v>#N/A</v>
      </c>
      <c r="AT47" s="115"/>
      <c r="AU47" s="119">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3" t="b">
        <v>0</v>
      </c>
      <c r="B48" s="49">
        <f t="shared" si="2"/>
        <v>47</v>
      </c>
      <c r="C48" s="49" t="e">
        <f t="shared" si="3"/>
        <v>#N/A</v>
      </c>
      <c r="D48" s="113" t="e">
        <f>_xlfn.XLOOKUP($E48,Tab_Def_Processes[Name(EN)],Tab_Def_Processes[ID],,0,)</f>
        <v>#N/A</v>
      </c>
      <c r="E48" s="51" t="s">
        <v>230</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0"/>
      <c r="P48" s="75" t="e">
        <f>_xlfn.XLOOKUP($E48,Tab_Def_Processes[Name(EN)],Tab_Def_Processes[Input_Flow_I_2],,0,)</f>
        <v>#N/A</v>
      </c>
      <c r="Q48" s="49" t="e">
        <f>_xlfn.XLOOKUP($E48,Tab_Def_Processes[Name(EN)],Tab_Def_Processes[Flow_ID_I_2],,0,)</f>
        <v>#N/A</v>
      </c>
      <c r="R48" s="80"/>
      <c r="S48" s="75" t="e">
        <f>_xlfn.XLOOKUP($E48,Tab_Def_Processes[Name(EN)],Tab_Def_Processes[Input_Flow_I_3],,0,)</f>
        <v>#N/A</v>
      </c>
      <c r="T48" s="49" t="e">
        <f>_xlfn.XLOOKUP($E48,Tab_Def_Processes[Name(EN)],Tab_Def_Processes[Flow_ID_I_3],,0,)</f>
        <v>#N/A</v>
      </c>
      <c r="U48" s="80"/>
      <c r="V48" s="75" t="e">
        <f>_xlfn.XLOOKUP($E48,Tab_Def_Processes[Name(EN)],Tab_Def_Processes[Input_Flow_I_4],,0,)</f>
        <v>#N/A</v>
      </c>
      <c r="W48" s="49" t="e">
        <f>_xlfn.XLOOKUP($E48,Tab_Def_Processes[Name(EN)],Tab_Def_Processes[Flow_ID_I_4],,0,)</f>
        <v>#N/A</v>
      </c>
      <c r="X48" s="80"/>
      <c r="Y48" s="75" t="e">
        <f>_xlfn.XLOOKUP($E48,Tab_Def_Processes[Name(EN)],Tab_Def_Processes[Input_Flow_I_5],,0,)</f>
        <v>#N/A</v>
      </c>
      <c r="Z48" s="49" t="e">
        <f>_xlfn.XLOOKUP($E48,Tab_Def_Processes[Name(EN)],Tab_Def_Processes[Flow_ID_I_5],,0,)</f>
        <v>#N/A</v>
      </c>
      <c r="AA48" s="80"/>
      <c r="AB48" s="78">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15"/>
      <c r="AF48" s="120" t="e">
        <f>_xlfn.XLOOKUP($E48,Tab_Def_Processes[Name(EN)],Tab_Def_Processes[Output_Flow_O_2],,0,)</f>
        <v>#N/A</v>
      </c>
      <c r="AG48" s="120" t="e">
        <f>_xlfn.XLOOKUP($E48,Tab_Def_Processes[Name(EN)],Tab_Def_Processes[Flow_ID_O_2],,0,)</f>
        <v>#N/A</v>
      </c>
      <c r="AH48" s="115"/>
      <c r="AI48" s="120" t="e">
        <f>_xlfn.XLOOKUP($E48,Tab_Def_Processes[Name(EN)],Tab_Def_Processes[Output_Flow_O_3],,0,)</f>
        <v>#N/A</v>
      </c>
      <c r="AJ48" s="120" t="e">
        <f>_xlfn.XLOOKUP($E48,Tab_Def_Processes[Name(EN)],Tab_Def_Processes[Flow_ID_O_3],,0,)</f>
        <v>#N/A</v>
      </c>
      <c r="AK48" s="115"/>
      <c r="AL48" s="120" t="e">
        <f>_xlfn.XLOOKUP($E48,Tab_Def_Processes[Name(EN)],Tab_Def_Processes[Output_Flow_O_4],,0,)</f>
        <v>#N/A</v>
      </c>
      <c r="AM48" s="120" t="e">
        <f>_xlfn.XLOOKUP($E48,Tab_Def_Processes[Name(EN)],Tab_Def_Processes[Flow_ID_O_4],,0,)</f>
        <v>#N/A</v>
      </c>
      <c r="AN48" s="115"/>
      <c r="AO48" s="120" t="e">
        <f>_xlfn.XLOOKUP($E48,Tab_Def_Processes[Name(EN)],Tab_Def_Processes[Output_Flow_O_5],,0,)</f>
        <v>#N/A</v>
      </c>
      <c r="AP48" s="120" t="e">
        <f>_xlfn.XLOOKUP($E48,Tab_Def_Processes[Name(EN)],Tab_Def_Processes[Flow_ID_O_5],,0,)</f>
        <v>#N/A</v>
      </c>
      <c r="AQ48" s="115"/>
      <c r="AR48" s="120" t="e">
        <f>_xlfn.XLOOKUP($E48,Tab_Def_Processes[Name(EN)],Tab_Def_Processes[Output_Flow_O_6],,0,)</f>
        <v>#N/A</v>
      </c>
      <c r="AS48" s="120" t="e">
        <f>_xlfn.XLOOKUP($E48,Tab_Def_Processes[Name(EN)],Tab_Def_Processes[Flow_ID_O_6],,0,)</f>
        <v>#N/A</v>
      </c>
      <c r="AT48" s="115"/>
      <c r="AU48" s="119">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3" t="b">
        <v>0</v>
      </c>
      <c r="B49" s="49">
        <f t="shared" si="2"/>
        <v>48</v>
      </c>
      <c r="C49" s="49" t="e">
        <f t="shared" si="3"/>
        <v>#N/A</v>
      </c>
      <c r="D49" s="113" t="e">
        <f>_xlfn.XLOOKUP($E49,Tab_Def_Processes[Name(EN)],Tab_Def_Processes[ID],,0,)</f>
        <v>#N/A</v>
      </c>
      <c r="E49" s="51" t="s">
        <v>230</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0"/>
      <c r="P49" s="75" t="e">
        <f>_xlfn.XLOOKUP($E49,Tab_Def_Processes[Name(EN)],Tab_Def_Processes[Input_Flow_I_2],,0,)</f>
        <v>#N/A</v>
      </c>
      <c r="Q49" s="49" t="e">
        <f>_xlfn.XLOOKUP($E49,Tab_Def_Processes[Name(EN)],Tab_Def_Processes[Flow_ID_I_2],,0,)</f>
        <v>#N/A</v>
      </c>
      <c r="R49" s="80"/>
      <c r="S49" s="75" t="e">
        <f>_xlfn.XLOOKUP($E49,Tab_Def_Processes[Name(EN)],Tab_Def_Processes[Input_Flow_I_3],,0,)</f>
        <v>#N/A</v>
      </c>
      <c r="T49" s="49" t="e">
        <f>_xlfn.XLOOKUP($E49,Tab_Def_Processes[Name(EN)],Tab_Def_Processes[Flow_ID_I_3],,0,)</f>
        <v>#N/A</v>
      </c>
      <c r="U49" s="80"/>
      <c r="V49" s="75" t="e">
        <f>_xlfn.XLOOKUP($E49,Tab_Def_Processes[Name(EN)],Tab_Def_Processes[Input_Flow_I_4],,0,)</f>
        <v>#N/A</v>
      </c>
      <c r="W49" s="49" t="e">
        <f>_xlfn.XLOOKUP($E49,Tab_Def_Processes[Name(EN)],Tab_Def_Processes[Flow_ID_I_4],,0,)</f>
        <v>#N/A</v>
      </c>
      <c r="X49" s="80"/>
      <c r="Y49" s="75" t="e">
        <f>_xlfn.XLOOKUP($E49,Tab_Def_Processes[Name(EN)],Tab_Def_Processes[Input_Flow_I_5],,0,)</f>
        <v>#N/A</v>
      </c>
      <c r="Z49" s="49" t="e">
        <f>_xlfn.XLOOKUP($E49,Tab_Def_Processes[Name(EN)],Tab_Def_Processes[Flow_ID_I_5],,0,)</f>
        <v>#N/A</v>
      </c>
      <c r="AA49" s="80"/>
      <c r="AB49" s="78">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15"/>
      <c r="AF49" s="120" t="e">
        <f>_xlfn.XLOOKUP($E49,Tab_Def_Processes[Name(EN)],Tab_Def_Processes[Output_Flow_O_2],,0,)</f>
        <v>#N/A</v>
      </c>
      <c r="AG49" s="120" t="e">
        <f>_xlfn.XLOOKUP($E49,Tab_Def_Processes[Name(EN)],Tab_Def_Processes[Flow_ID_O_2],,0,)</f>
        <v>#N/A</v>
      </c>
      <c r="AH49" s="115"/>
      <c r="AI49" s="120" t="e">
        <f>_xlfn.XLOOKUP($E49,Tab_Def_Processes[Name(EN)],Tab_Def_Processes[Output_Flow_O_3],,0,)</f>
        <v>#N/A</v>
      </c>
      <c r="AJ49" s="120" t="e">
        <f>_xlfn.XLOOKUP($E49,Tab_Def_Processes[Name(EN)],Tab_Def_Processes[Flow_ID_O_3],,0,)</f>
        <v>#N/A</v>
      </c>
      <c r="AK49" s="115"/>
      <c r="AL49" s="120" t="e">
        <f>_xlfn.XLOOKUP($E49,Tab_Def_Processes[Name(EN)],Tab_Def_Processes[Output_Flow_O_4],,0,)</f>
        <v>#N/A</v>
      </c>
      <c r="AM49" s="120" t="e">
        <f>_xlfn.XLOOKUP($E49,Tab_Def_Processes[Name(EN)],Tab_Def_Processes[Flow_ID_O_4],,0,)</f>
        <v>#N/A</v>
      </c>
      <c r="AN49" s="115"/>
      <c r="AO49" s="120" t="e">
        <f>_xlfn.XLOOKUP($E49,Tab_Def_Processes[Name(EN)],Tab_Def_Processes[Output_Flow_O_5],,0,)</f>
        <v>#N/A</v>
      </c>
      <c r="AP49" s="120" t="e">
        <f>_xlfn.XLOOKUP($E49,Tab_Def_Processes[Name(EN)],Tab_Def_Processes[Flow_ID_O_5],,0,)</f>
        <v>#N/A</v>
      </c>
      <c r="AQ49" s="115"/>
      <c r="AR49" s="120" t="e">
        <f>_xlfn.XLOOKUP($E49,Tab_Def_Processes[Name(EN)],Tab_Def_Processes[Output_Flow_O_6],,0,)</f>
        <v>#N/A</v>
      </c>
      <c r="AS49" s="120" t="e">
        <f>_xlfn.XLOOKUP($E49,Tab_Def_Processes[Name(EN)],Tab_Def_Processes[Flow_ID_O_6],,0,)</f>
        <v>#N/A</v>
      </c>
      <c r="AT49" s="115"/>
      <c r="AU49" s="119">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3" t="b">
        <v>0</v>
      </c>
      <c r="B50" s="49">
        <f t="shared" si="2"/>
        <v>49</v>
      </c>
      <c r="C50" s="49" t="e">
        <f t="shared" si="3"/>
        <v>#N/A</v>
      </c>
      <c r="D50" s="113" t="e">
        <f>_xlfn.XLOOKUP($E50,Tab_Def_Processes[Name(EN)],Tab_Def_Processes[ID],,0,)</f>
        <v>#N/A</v>
      </c>
      <c r="E50" s="51" t="s">
        <v>230</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0"/>
      <c r="P50" s="75" t="e">
        <f>_xlfn.XLOOKUP($E50,Tab_Def_Processes[Name(EN)],Tab_Def_Processes[Input_Flow_I_2],,0,)</f>
        <v>#N/A</v>
      </c>
      <c r="Q50" s="49" t="e">
        <f>_xlfn.XLOOKUP($E50,Tab_Def_Processes[Name(EN)],Tab_Def_Processes[Flow_ID_I_2],,0,)</f>
        <v>#N/A</v>
      </c>
      <c r="R50" s="80"/>
      <c r="S50" s="75" t="e">
        <f>_xlfn.XLOOKUP($E50,Tab_Def_Processes[Name(EN)],Tab_Def_Processes[Input_Flow_I_3],,0,)</f>
        <v>#N/A</v>
      </c>
      <c r="T50" s="49" t="e">
        <f>_xlfn.XLOOKUP($E50,Tab_Def_Processes[Name(EN)],Tab_Def_Processes[Flow_ID_I_3],,0,)</f>
        <v>#N/A</v>
      </c>
      <c r="U50" s="80"/>
      <c r="V50" s="75" t="e">
        <f>_xlfn.XLOOKUP($E50,Tab_Def_Processes[Name(EN)],Tab_Def_Processes[Input_Flow_I_4],,0,)</f>
        <v>#N/A</v>
      </c>
      <c r="W50" s="49" t="e">
        <f>_xlfn.XLOOKUP($E50,Tab_Def_Processes[Name(EN)],Tab_Def_Processes[Flow_ID_I_4],,0,)</f>
        <v>#N/A</v>
      </c>
      <c r="X50" s="80"/>
      <c r="Y50" s="75" t="e">
        <f>_xlfn.XLOOKUP($E50,Tab_Def_Processes[Name(EN)],Tab_Def_Processes[Input_Flow_I_5],,0,)</f>
        <v>#N/A</v>
      </c>
      <c r="Z50" s="49" t="e">
        <f>_xlfn.XLOOKUP($E50,Tab_Def_Processes[Name(EN)],Tab_Def_Processes[Flow_ID_I_5],,0,)</f>
        <v>#N/A</v>
      </c>
      <c r="AA50" s="80"/>
      <c r="AB50" s="78">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15"/>
      <c r="AF50" s="120" t="e">
        <f>_xlfn.XLOOKUP($E50,Tab_Def_Processes[Name(EN)],Tab_Def_Processes[Output_Flow_O_2],,0,)</f>
        <v>#N/A</v>
      </c>
      <c r="AG50" s="120" t="e">
        <f>_xlfn.XLOOKUP($E50,Tab_Def_Processes[Name(EN)],Tab_Def_Processes[Flow_ID_O_2],,0,)</f>
        <v>#N/A</v>
      </c>
      <c r="AH50" s="115"/>
      <c r="AI50" s="120" t="e">
        <f>_xlfn.XLOOKUP($E50,Tab_Def_Processes[Name(EN)],Tab_Def_Processes[Output_Flow_O_3],,0,)</f>
        <v>#N/A</v>
      </c>
      <c r="AJ50" s="120" t="e">
        <f>_xlfn.XLOOKUP($E50,Tab_Def_Processes[Name(EN)],Tab_Def_Processes[Flow_ID_O_3],,0,)</f>
        <v>#N/A</v>
      </c>
      <c r="AK50" s="115"/>
      <c r="AL50" s="120" t="e">
        <f>_xlfn.XLOOKUP($E50,Tab_Def_Processes[Name(EN)],Tab_Def_Processes[Output_Flow_O_4],,0,)</f>
        <v>#N/A</v>
      </c>
      <c r="AM50" s="120" t="e">
        <f>_xlfn.XLOOKUP($E50,Tab_Def_Processes[Name(EN)],Tab_Def_Processes[Flow_ID_O_4],,0,)</f>
        <v>#N/A</v>
      </c>
      <c r="AN50" s="115"/>
      <c r="AO50" s="120" t="e">
        <f>_xlfn.XLOOKUP($E50,Tab_Def_Processes[Name(EN)],Tab_Def_Processes[Output_Flow_O_5],,0,)</f>
        <v>#N/A</v>
      </c>
      <c r="AP50" s="120" t="e">
        <f>_xlfn.XLOOKUP($E50,Tab_Def_Processes[Name(EN)],Tab_Def_Processes[Flow_ID_O_5],,0,)</f>
        <v>#N/A</v>
      </c>
      <c r="AQ50" s="115"/>
      <c r="AR50" s="120" t="e">
        <f>_xlfn.XLOOKUP($E50,Tab_Def_Processes[Name(EN)],Tab_Def_Processes[Output_Flow_O_6],,0,)</f>
        <v>#N/A</v>
      </c>
      <c r="AS50" s="120" t="e">
        <f>_xlfn.XLOOKUP($E50,Tab_Def_Processes[Name(EN)],Tab_Def_Processes[Flow_ID_O_6],,0,)</f>
        <v>#N/A</v>
      </c>
      <c r="AT50" s="115"/>
      <c r="AU50" s="119">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3" t="b">
        <v>0</v>
      </c>
      <c r="B51" s="49">
        <f t="shared" si="2"/>
        <v>50</v>
      </c>
      <c r="C51" s="49" t="e">
        <f t="shared" si="3"/>
        <v>#N/A</v>
      </c>
      <c r="D51" s="113" t="e">
        <f>_xlfn.XLOOKUP($E51,Tab_Def_Processes[Name(EN)],Tab_Def_Processes[ID],,0,)</f>
        <v>#N/A</v>
      </c>
      <c r="E51" s="51" t="s">
        <v>230</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0"/>
      <c r="P51" s="76" t="e">
        <f>_xlfn.XLOOKUP($E51,Tab_Def_Processes[Name(EN)],Tab_Def_Processes[Input_Flow_I_2],,0,)</f>
        <v>#N/A</v>
      </c>
      <c r="Q51" s="63" t="e">
        <f>_xlfn.XLOOKUP($E51,Tab_Def_Processes[Name(EN)],Tab_Def_Processes[Flow_ID_I_2],,0,)</f>
        <v>#N/A</v>
      </c>
      <c r="R51" s="80"/>
      <c r="S51" s="76" t="e">
        <f>_xlfn.XLOOKUP($E51,Tab_Def_Processes[Name(EN)],Tab_Def_Processes[Input_Flow_I_3],,0,)</f>
        <v>#N/A</v>
      </c>
      <c r="T51" s="63" t="e">
        <f>_xlfn.XLOOKUP($E51,Tab_Def_Processes[Name(EN)],Tab_Def_Processes[Flow_ID_I_3],,0,)</f>
        <v>#N/A</v>
      </c>
      <c r="U51" s="80"/>
      <c r="V51" s="76" t="e">
        <f>_xlfn.XLOOKUP($E51,Tab_Def_Processes[Name(EN)],Tab_Def_Processes[Input_Flow_I_4],,0,)</f>
        <v>#N/A</v>
      </c>
      <c r="W51" s="63" t="e">
        <f>_xlfn.XLOOKUP($E51,Tab_Def_Processes[Name(EN)],Tab_Def_Processes[Flow_ID_I_4],,0,)</f>
        <v>#N/A</v>
      </c>
      <c r="X51" s="80"/>
      <c r="Y51" s="76" t="e">
        <f>_xlfn.XLOOKUP($E51,Tab_Def_Processes[Name(EN)],Tab_Def_Processes[Input_Flow_I_5],,0,)</f>
        <v>#N/A</v>
      </c>
      <c r="Z51" s="63" t="e">
        <f>_xlfn.XLOOKUP($E51,Tab_Def_Processes[Name(EN)],Tab_Def_Processes[Flow_ID_I_5],,0,)</f>
        <v>#N/A</v>
      </c>
      <c r="AA51" s="80"/>
      <c r="AB51" s="79">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15"/>
      <c r="AF51" s="121" t="e">
        <f>_xlfn.XLOOKUP($E51,Tab_Def_Processes[Name(EN)],Tab_Def_Processes[Output_Flow_O_2],,0,)</f>
        <v>#N/A</v>
      </c>
      <c r="AG51" s="121" t="e">
        <f>_xlfn.XLOOKUP($E51,Tab_Def_Processes[Name(EN)],Tab_Def_Processes[Flow_ID_O_2],,0,)</f>
        <v>#N/A</v>
      </c>
      <c r="AH51" s="115"/>
      <c r="AI51" s="121" t="e">
        <f>_xlfn.XLOOKUP($E51,Tab_Def_Processes[Name(EN)],Tab_Def_Processes[Output_Flow_O_3],,0,)</f>
        <v>#N/A</v>
      </c>
      <c r="AJ51" s="121" t="e">
        <f>_xlfn.XLOOKUP($E51,Tab_Def_Processes[Name(EN)],Tab_Def_Processes[Flow_ID_O_3],,0,)</f>
        <v>#N/A</v>
      </c>
      <c r="AK51" s="115"/>
      <c r="AL51" s="121" t="e">
        <f>_xlfn.XLOOKUP($E51,Tab_Def_Processes[Name(EN)],Tab_Def_Processes[Output_Flow_O_4],,0,)</f>
        <v>#N/A</v>
      </c>
      <c r="AM51" s="121" t="e">
        <f>_xlfn.XLOOKUP($E51,Tab_Def_Processes[Name(EN)],Tab_Def_Processes[Flow_ID_O_4],,0,)</f>
        <v>#N/A</v>
      </c>
      <c r="AN51" s="115"/>
      <c r="AO51" s="121" t="e">
        <f>_xlfn.XLOOKUP($E51,Tab_Def_Processes[Name(EN)],Tab_Def_Processes[Output_Flow_O_5],,0,)</f>
        <v>#N/A</v>
      </c>
      <c r="AP51" s="121" t="e">
        <f>_xlfn.XLOOKUP($E51,Tab_Def_Processes[Name(EN)],Tab_Def_Processes[Flow_ID_O_5],,0,)</f>
        <v>#N/A</v>
      </c>
      <c r="AQ51" s="115"/>
      <c r="AR51" s="121" t="e">
        <f>_xlfn.XLOOKUP($E51,Tab_Def_Processes[Name(EN)],Tab_Def_Processes[Output_Flow_O_6],,0,)</f>
        <v>#N/A</v>
      </c>
      <c r="AS51" s="121" t="e">
        <f>_xlfn.XLOOKUP($E51,Tab_Def_Processes[Name(EN)],Tab_Def_Processes[Flow_ID_O_6],,0,)</f>
        <v>#N/A</v>
      </c>
      <c r="AT51" s="115"/>
      <c r="AU51" s="122">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3" t="b">
        <v>0</v>
      </c>
      <c r="B52" s="49">
        <f t="shared" ref="B52:B63" si="4">ROW()-1</f>
        <v>51</v>
      </c>
      <c r="C52" s="49" t="str">
        <f t="shared" si="3"/>
        <v>TC51_12___0</v>
      </c>
      <c r="D52" s="113" t="str">
        <f>_xlfn.XLOOKUP($E52,Tab_Def_Processes[Name(EN)],Tab_Def_Processes[ID],,0,)</f>
        <v>12</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1"/>
      <c r="P52" s="75" t="str">
        <f>_xlfn.XLOOKUP($E52,Tab_Def_Processes[Name(EN)],Tab_Def_Processes[Input_Flow_I_2],,0,)</f>
        <v>N.A.</v>
      </c>
      <c r="Q52" s="49" t="e">
        <f>_xlfn.XLOOKUP($E52,Tab_Def_Processes[Name(EN)],Tab_Def_Processes[Flow_ID_I_2],,0,)</f>
        <v>#N/A</v>
      </c>
      <c r="R52" s="81"/>
      <c r="S52" s="75" t="str">
        <f>_xlfn.XLOOKUP($E52,Tab_Def_Processes[Name(EN)],Tab_Def_Processes[Input_Flow_I_3],,0,)</f>
        <v>N.A.</v>
      </c>
      <c r="T52" s="49" t="e">
        <f>_xlfn.XLOOKUP($E52,Tab_Def_Processes[Name(EN)],Tab_Def_Processes[Flow_ID_I_3],,0,)</f>
        <v>#N/A</v>
      </c>
      <c r="U52" s="81"/>
      <c r="V52" s="75" t="str">
        <f>_xlfn.XLOOKUP($E52,Tab_Def_Processes[Name(EN)],Tab_Def_Processes[Input_Flow_I_4],,0,)</f>
        <v>N.A.</v>
      </c>
      <c r="W52" s="49" t="e">
        <f>_xlfn.XLOOKUP($E52,Tab_Def_Processes[Name(EN)],Tab_Def_Processes[Flow_ID_I_4],,0,)</f>
        <v>#N/A</v>
      </c>
      <c r="X52" s="81"/>
      <c r="Y52" s="75" t="str">
        <f>_xlfn.XLOOKUP($E52,Tab_Def_Processes[Name(EN)],Tab_Def_Processes[Input_Flow_I_5],,0,)</f>
        <v>N.A.</v>
      </c>
      <c r="Z52" s="49" t="e">
        <f>_xlfn.XLOOKUP($E52,Tab_Def_Processes[Name(EN)],Tab_Def_Processes[Flow_ID_I_5],,0,)</f>
        <v>#N/A</v>
      </c>
      <c r="AA52" s="81"/>
      <c r="AB52" s="94">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23"/>
      <c r="AF52" s="120" t="str">
        <f>_xlfn.XLOOKUP($E52,Tab_Def_Processes[Name(EN)],Tab_Def_Processes[Output_Flow_O_2],,0,)</f>
        <v>N.A.</v>
      </c>
      <c r="AG52" s="120" t="e">
        <f>_xlfn.XLOOKUP($E52,Tab_Def_Processes[Name(EN)],Tab_Def_Processes[Flow_ID_O_2],,0,)</f>
        <v>#N/A</v>
      </c>
      <c r="AH52" s="123"/>
      <c r="AI52" s="120" t="str">
        <f>_xlfn.XLOOKUP($E52,Tab_Def_Processes[Name(EN)],Tab_Def_Processes[Output_Flow_O_3],,0,)</f>
        <v>N.A.</v>
      </c>
      <c r="AJ52" s="120" t="e">
        <f>_xlfn.XLOOKUP($E52,Tab_Def_Processes[Name(EN)],Tab_Def_Processes[Flow_ID_O_3],,0,)</f>
        <v>#N/A</v>
      </c>
      <c r="AK52" s="123"/>
      <c r="AL52" s="120" t="str">
        <f>_xlfn.XLOOKUP($E52,Tab_Def_Processes[Name(EN)],Tab_Def_Processes[Output_Flow_O_4],,0,)</f>
        <v>N.A.</v>
      </c>
      <c r="AM52" s="120" t="e">
        <f>_xlfn.XLOOKUP($E52,Tab_Def_Processes[Name(EN)],Tab_Def_Processes[Flow_ID_O_4],,0,)</f>
        <v>#N/A</v>
      </c>
      <c r="AN52" s="123"/>
      <c r="AO52" s="120" t="str">
        <f>_xlfn.XLOOKUP($E52,Tab_Def_Processes[Name(EN)],Tab_Def_Processes[Output_Flow_O_5],,0,)</f>
        <v>N.A.</v>
      </c>
      <c r="AP52" s="120" t="e">
        <f>_xlfn.XLOOKUP($E52,Tab_Def_Processes[Name(EN)],Tab_Def_Processes[Flow_ID_O_5],,0,)</f>
        <v>#N/A</v>
      </c>
      <c r="AQ52" s="123"/>
      <c r="AR52" s="120" t="str">
        <f>_xlfn.XLOOKUP($E52,Tab_Def_Processes[Name(EN)],Tab_Def_Processes[Output_Flow_O_6],,0,)</f>
        <v>N.A.</v>
      </c>
      <c r="AS52" s="120" t="e">
        <f>_xlfn.XLOOKUP($E52,Tab_Def_Processes[Name(EN)],Tab_Def_Processes[Flow_ID_O_6],,0,)</f>
        <v>#N/A</v>
      </c>
      <c r="AT52" s="123"/>
      <c r="AU52" s="124">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3" t="b">
        <v>0</v>
      </c>
      <c r="B53" s="49">
        <f t="shared" si="4"/>
        <v>52</v>
      </c>
      <c r="C53" s="49" t="str">
        <f t="shared" si="3"/>
        <v>TC52_12___0</v>
      </c>
      <c r="D53" s="113" t="str">
        <f>_xlfn.XLOOKUP($E53,Tab_Def_Processes[Name(EN)],Tab_Def_Processes[ID],,0,)</f>
        <v>12</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1"/>
      <c r="P53" s="75" t="str">
        <f>_xlfn.XLOOKUP($E53,Tab_Def_Processes[Name(EN)],Tab_Def_Processes[Input_Flow_I_2],,0,)</f>
        <v>N.A.</v>
      </c>
      <c r="Q53" s="49" t="e">
        <f>_xlfn.XLOOKUP($E53,Tab_Def_Processes[Name(EN)],Tab_Def_Processes[Flow_ID_I_2],,0,)</f>
        <v>#N/A</v>
      </c>
      <c r="R53" s="81"/>
      <c r="S53" s="75" t="str">
        <f>_xlfn.XLOOKUP($E53,Tab_Def_Processes[Name(EN)],Tab_Def_Processes[Input_Flow_I_3],,0,)</f>
        <v>N.A.</v>
      </c>
      <c r="T53" s="49" t="e">
        <f>_xlfn.XLOOKUP($E53,Tab_Def_Processes[Name(EN)],Tab_Def_Processes[Flow_ID_I_3],,0,)</f>
        <v>#N/A</v>
      </c>
      <c r="U53" s="81"/>
      <c r="V53" s="75" t="str">
        <f>_xlfn.XLOOKUP($E53,Tab_Def_Processes[Name(EN)],Tab_Def_Processes[Input_Flow_I_4],,0,)</f>
        <v>N.A.</v>
      </c>
      <c r="W53" s="49" t="e">
        <f>_xlfn.XLOOKUP($E53,Tab_Def_Processes[Name(EN)],Tab_Def_Processes[Flow_ID_I_4],,0,)</f>
        <v>#N/A</v>
      </c>
      <c r="X53" s="81"/>
      <c r="Y53" s="75" t="str">
        <f>_xlfn.XLOOKUP($E53,Tab_Def_Processes[Name(EN)],Tab_Def_Processes[Input_Flow_I_5],,0,)</f>
        <v>N.A.</v>
      </c>
      <c r="Z53" s="49" t="e">
        <f>_xlfn.XLOOKUP($E53,Tab_Def_Processes[Name(EN)],Tab_Def_Processes[Flow_ID_I_5],,0,)</f>
        <v>#N/A</v>
      </c>
      <c r="AA53" s="81"/>
      <c r="AB53" s="94">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23"/>
      <c r="AF53" s="120" t="str">
        <f>_xlfn.XLOOKUP($E53,Tab_Def_Processes[Name(EN)],Tab_Def_Processes[Output_Flow_O_2],,0,)</f>
        <v>N.A.</v>
      </c>
      <c r="AG53" s="120" t="e">
        <f>_xlfn.XLOOKUP($E53,Tab_Def_Processes[Name(EN)],Tab_Def_Processes[Flow_ID_O_2],,0,)</f>
        <v>#N/A</v>
      </c>
      <c r="AH53" s="123"/>
      <c r="AI53" s="120" t="str">
        <f>_xlfn.XLOOKUP($E53,Tab_Def_Processes[Name(EN)],Tab_Def_Processes[Output_Flow_O_3],,0,)</f>
        <v>N.A.</v>
      </c>
      <c r="AJ53" s="120" t="e">
        <f>_xlfn.XLOOKUP($E53,Tab_Def_Processes[Name(EN)],Tab_Def_Processes[Flow_ID_O_3],,0,)</f>
        <v>#N/A</v>
      </c>
      <c r="AK53" s="123"/>
      <c r="AL53" s="120" t="str">
        <f>_xlfn.XLOOKUP($E53,Tab_Def_Processes[Name(EN)],Tab_Def_Processes[Output_Flow_O_4],,0,)</f>
        <v>N.A.</v>
      </c>
      <c r="AM53" s="120" t="e">
        <f>_xlfn.XLOOKUP($E53,Tab_Def_Processes[Name(EN)],Tab_Def_Processes[Flow_ID_O_4],,0,)</f>
        <v>#N/A</v>
      </c>
      <c r="AN53" s="123"/>
      <c r="AO53" s="120" t="str">
        <f>_xlfn.XLOOKUP($E53,Tab_Def_Processes[Name(EN)],Tab_Def_Processes[Output_Flow_O_5],,0,)</f>
        <v>N.A.</v>
      </c>
      <c r="AP53" s="120" t="e">
        <f>_xlfn.XLOOKUP($E53,Tab_Def_Processes[Name(EN)],Tab_Def_Processes[Flow_ID_O_5],,0,)</f>
        <v>#N/A</v>
      </c>
      <c r="AQ53" s="123"/>
      <c r="AR53" s="120" t="str">
        <f>_xlfn.XLOOKUP($E53,Tab_Def_Processes[Name(EN)],Tab_Def_Processes[Output_Flow_O_6],,0,)</f>
        <v>N.A.</v>
      </c>
      <c r="AS53" s="120" t="e">
        <f>_xlfn.XLOOKUP($E53,Tab_Def_Processes[Name(EN)],Tab_Def_Processes[Flow_ID_O_6],,0,)</f>
        <v>#N/A</v>
      </c>
      <c r="AT53" s="123"/>
      <c r="AU53" s="124">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3" t="b">
        <v>0</v>
      </c>
      <c r="B54" s="49">
        <f t="shared" si="4"/>
        <v>53</v>
      </c>
      <c r="C54" s="49" t="str">
        <f t="shared" si="3"/>
        <v>TC53_12___0</v>
      </c>
      <c r="D54" s="113" t="str">
        <f>_xlfn.XLOOKUP($E54,Tab_Def_Processes[Name(EN)],Tab_Def_Processes[ID],,0,)</f>
        <v>12</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1"/>
      <c r="P54" s="75" t="str">
        <f>_xlfn.XLOOKUP($E54,Tab_Def_Processes[Name(EN)],Tab_Def_Processes[Input_Flow_I_2],,0,)</f>
        <v>N.A.</v>
      </c>
      <c r="Q54" s="49" t="e">
        <f>_xlfn.XLOOKUP($E54,Tab_Def_Processes[Name(EN)],Tab_Def_Processes[Flow_ID_I_2],,0,)</f>
        <v>#N/A</v>
      </c>
      <c r="R54" s="81"/>
      <c r="S54" s="75" t="str">
        <f>_xlfn.XLOOKUP($E54,Tab_Def_Processes[Name(EN)],Tab_Def_Processes[Input_Flow_I_3],,0,)</f>
        <v>N.A.</v>
      </c>
      <c r="T54" s="49" t="e">
        <f>_xlfn.XLOOKUP($E54,Tab_Def_Processes[Name(EN)],Tab_Def_Processes[Flow_ID_I_3],,0,)</f>
        <v>#N/A</v>
      </c>
      <c r="U54" s="81"/>
      <c r="V54" s="75" t="str">
        <f>_xlfn.XLOOKUP($E54,Tab_Def_Processes[Name(EN)],Tab_Def_Processes[Input_Flow_I_4],,0,)</f>
        <v>N.A.</v>
      </c>
      <c r="W54" s="49" t="e">
        <f>_xlfn.XLOOKUP($E54,Tab_Def_Processes[Name(EN)],Tab_Def_Processes[Flow_ID_I_4],,0,)</f>
        <v>#N/A</v>
      </c>
      <c r="X54" s="81"/>
      <c r="Y54" s="75" t="str">
        <f>_xlfn.XLOOKUP($E54,Tab_Def_Processes[Name(EN)],Tab_Def_Processes[Input_Flow_I_5],,0,)</f>
        <v>N.A.</v>
      </c>
      <c r="Z54" s="49" t="e">
        <f>_xlfn.XLOOKUP($E54,Tab_Def_Processes[Name(EN)],Tab_Def_Processes[Flow_ID_I_5],,0,)</f>
        <v>#N/A</v>
      </c>
      <c r="AA54" s="81"/>
      <c r="AB54" s="94">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23"/>
      <c r="AF54" s="120" t="str">
        <f>_xlfn.XLOOKUP($E54,Tab_Def_Processes[Name(EN)],Tab_Def_Processes[Output_Flow_O_2],,0,)</f>
        <v>N.A.</v>
      </c>
      <c r="AG54" s="120" t="e">
        <f>_xlfn.XLOOKUP($E54,Tab_Def_Processes[Name(EN)],Tab_Def_Processes[Flow_ID_O_2],,0,)</f>
        <v>#N/A</v>
      </c>
      <c r="AH54" s="123"/>
      <c r="AI54" s="120" t="str">
        <f>_xlfn.XLOOKUP($E54,Tab_Def_Processes[Name(EN)],Tab_Def_Processes[Output_Flow_O_3],,0,)</f>
        <v>N.A.</v>
      </c>
      <c r="AJ54" s="120" t="e">
        <f>_xlfn.XLOOKUP($E54,Tab_Def_Processes[Name(EN)],Tab_Def_Processes[Flow_ID_O_3],,0,)</f>
        <v>#N/A</v>
      </c>
      <c r="AK54" s="123"/>
      <c r="AL54" s="120" t="str">
        <f>_xlfn.XLOOKUP($E54,Tab_Def_Processes[Name(EN)],Tab_Def_Processes[Output_Flow_O_4],,0,)</f>
        <v>N.A.</v>
      </c>
      <c r="AM54" s="120" t="e">
        <f>_xlfn.XLOOKUP($E54,Tab_Def_Processes[Name(EN)],Tab_Def_Processes[Flow_ID_O_4],,0,)</f>
        <v>#N/A</v>
      </c>
      <c r="AN54" s="123"/>
      <c r="AO54" s="120" t="str">
        <f>_xlfn.XLOOKUP($E54,Tab_Def_Processes[Name(EN)],Tab_Def_Processes[Output_Flow_O_5],,0,)</f>
        <v>N.A.</v>
      </c>
      <c r="AP54" s="120" t="e">
        <f>_xlfn.XLOOKUP($E54,Tab_Def_Processes[Name(EN)],Tab_Def_Processes[Flow_ID_O_5],,0,)</f>
        <v>#N/A</v>
      </c>
      <c r="AQ54" s="123"/>
      <c r="AR54" s="120" t="str">
        <f>_xlfn.XLOOKUP($E54,Tab_Def_Processes[Name(EN)],Tab_Def_Processes[Output_Flow_O_6],,0,)</f>
        <v>N.A.</v>
      </c>
      <c r="AS54" s="120" t="e">
        <f>_xlfn.XLOOKUP($E54,Tab_Def_Processes[Name(EN)],Tab_Def_Processes[Flow_ID_O_6],,0,)</f>
        <v>#N/A</v>
      </c>
      <c r="AT54" s="123"/>
      <c r="AU54" s="124">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3" t="b">
        <v>0</v>
      </c>
      <c r="B55" s="49">
        <f t="shared" si="4"/>
        <v>54</v>
      </c>
      <c r="C55" s="49" t="str">
        <f t="shared" si="3"/>
        <v>TC54_12___0</v>
      </c>
      <c r="D55" s="113" t="str">
        <f>_xlfn.XLOOKUP($E55,Tab_Def_Processes[Name(EN)],Tab_Def_Processes[ID],,0,)</f>
        <v>12</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1"/>
      <c r="P55" s="75" t="str">
        <f>_xlfn.XLOOKUP($E55,Tab_Def_Processes[Name(EN)],Tab_Def_Processes[Input_Flow_I_2],,0,)</f>
        <v>N.A.</v>
      </c>
      <c r="Q55" s="49" t="e">
        <f>_xlfn.XLOOKUP($E55,Tab_Def_Processes[Name(EN)],Tab_Def_Processes[Flow_ID_I_2],,0,)</f>
        <v>#N/A</v>
      </c>
      <c r="R55" s="81"/>
      <c r="S55" s="75" t="str">
        <f>_xlfn.XLOOKUP($E55,Tab_Def_Processes[Name(EN)],Tab_Def_Processes[Input_Flow_I_3],,0,)</f>
        <v>N.A.</v>
      </c>
      <c r="T55" s="49" t="e">
        <f>_xlfn.XLOOKUP($E55,Tab_Def_Processes[Name(EN)],Tab_Def_Processes[Flow_ID_I_3],,0,)</f>
        <v>#N/A</v>
      </c>
      <c r="U55" s="81"/>
      <c r="V55" s="75" t="str">
        <f>_xlfn.XLOOKUP($E55,Tab_Def_Processes[Name(EN)],Tab_Def_Processes[Input_Flow_I_4],,0,)</f>
        <v>N.A.</v>
      </c>
      <c r="W55" s="49" t="e">
        <f>_xlfn.XLOOKUP($E55,Tab_Def_Processes[Name(EN)],Tab_Def_Processes[Flow_ID_I_4],,0,)</f>
        <v>#N/A</v>
      </c>
      <c r="X55" s="81"/>
      <c r="Y55" s="75" t="str">
        <f>_xlfn.XLOOKUP($E55,Tab_Def_Processes[Name(EN)],Tab_Def_Processes[Input_Flow_I_5],,0,)</f>
        <v>N.A.</v>
      </c>
      <c r="Z55" s="49" t="e">
        <f>_xlfn.XLOOKUP($E55,Tab_Def_Processes[Name(EN)],Tab_Def_Processes[Flow_ID_I_5],,0,)</f>
        <v>#N/A</v>
      </c>
      <c r="AA55" s="81"/>
      <c r="AB55" s="94">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23"/>
      <c r="AF55" s="120" t="str">
        <f>_xlfn.XLOOKUP($E55,Tab_Def_Processes[Name(EN)],Tab_Def_Processes[Output_Flow_O_2],,0,)</f>
        <v>N.A.</v>
      </c>
      <c r="AG55" s="120" t="e">
        <f>_xlfn.XLOOKUP($E55,Tab_Def_Processes[Name(EN)],Tab_Def_Processes[Flow_ID_O_2],,0,)</f>
        <v>#N/A</v>
      </c>
      <c r="AH55" s="123"/>
      <c r="AI55" s="120" t="str">
        <f>_xlfn.XLOOKUP($E55,Tab_Def_Processes[Name(EN)],Tab_Def_Processes[Output_Flow_O_3],,0,)</f>
        <v>N.A.</v>
      </c>
      <c r="AJ55" s="120" t="e">
        <f>_xlfn.XLOOKUP($E55,Tab_Def_Processes[Name(EN)],Tab_Def_Processes[Flow_ID_O_3],,0,)</f>
        <v>#N/A</v>
      </c>
      <c r="AK55" s="123"/>
      <c r="AL55" s="120" t="str">
        <f>_xlfn.XLOOKUP($E55,Tab_Def_Processes[Name(EN)],Tab_Def_Processes[Output_Flow_O_4],,0,)</f>
        <v>N.A.</v>
      </c>
      <c r="AM55" s="120" t="e">
        <f>_xlfn.XLOOKUP($E55,Tab_Def_Processes[Name(EN)],Tab_Def_Processes[Flow_ID_O_4],,0,)</f>
        <v>#N/A</v>
      </c>
      <c r="AN55" s="123"/>
      <c r="AO55" s="120" t="str">
        <f>_xlfn.XLOOKUP($E55,Tab_Def_Processes[Name(EN)],Tab_Def_Processes[Output_Flow_O_5],,0,)</f>
        <v>N.A.</v>
      </c>
      <c r="AP55" s="120" t="e">
        <f>_xlfn.XLOOKUP($E55,Tab_Def_Processes[Name(EN)],Tab_Def_Processes[Flow_ID_O_5],,0,)</f>
        <v>#N/A</v>
      </c>
      <c r="AQ55" s="123"/>
      <c r="AR55" s="120" t="str">
        <f>_xlfn.XLOOKUP($E55,Tab_Def_Processes[Name(EN)],Tab_Def_Processes[Output_Flow_O_6],,0,)</f>
        <v>N.A.</v>
      </c>
      <c r="AS55" s="120" t="e">
        <f>_xlfn.XLOOKUP($E55,Tab_Def_Processes[Name(EN)],Tab_Def_Processes[Flow_ID_O_6],,0,)</f>
        <v>#N/A</v>
      </c>
      <c r="AT55" s="123"/>
      <c r="AU55" s="124">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3" t="b">
        <v>0</v>
      </c>
      <c r="B56" s="49">
        <f t="shared" si="4"/>
        <v>55</v>
      </c>
      <c r="C56" s="49" t="str">
        <f t="shared" si="3"/>
        <v>TC55_12___0</v>
      </c>
      <c r="D56" s="113" t="str">
        <f>_xlfn.XLOOKUP($E56,Tab_Def_Processes[Name(EN)],Tab_Def_Processes[ID],,0,)</f>
        <v>12</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1"/>
      <c r="P56" s="75" t="str">
        <f>_xlfn.XLOOKUP($E56,Tab_Def_Processes[Name(EN)],Tab_Def_Processes[Input_Flow_I_2],,0,)</f>
        <v>N.A.</v>
      </c>
      <c r="Q56" s="49" t="e">
        <f>_xlfn.XLOOKUP($E56,Tab_Def_Processes[Name(EN)],Tab_Def_Processes[Flow_ID_I_2],,0,)</f>
        <v>#N/A</v>
      </c>
      <c r="R56" s="81"/>
      <c r="S56" s="75" t="str">
        <f>_xlfn.XLOOKUP($E56,Tab_Def_Processes[Name(EN)],Tab_Def_Processes[Input_Flow_I_3],,0,)</f>
        <v>N.A.</v>
      </c>
      <c r="T56" s="49" t="e">
        <f>_xlfn.XLOOKUP($E56,Tab_Def_Processes[Name(EN)],Tab_Def_Processes[Flow_ID_I_3],,0,)</f>
        <v>#N/A</v>
      </c>
      <c r="U56" s="81"/>
      <c r="V56" s="75" t="str">
        <f>_xlfn.XLOOKUP($E56,Tab_Def_Processes[Name(EN)],Tab_Def_Processes[Input_Flow_I_4],,0,)</f>
        <v>N.A.</v>
      </c>
      <c r="W56" s="49" t="e">
        <f>_xlfn.XLOOKUP($E56,Tab_Def_Processes[Name(EN)],Tab_Def_Processes[Flow_ID_I_4],,0,)</f>
        <v>#N/A</v>
      </c>
      <c r="X56" s="81"/>
      <c r="Y56" s="75" t="str">
        <f>_xlfn.XLOOKUP($E56,Tab_Def_Processes[Name(EN)],Tab_Def_Processes[Input_Flow_I_5],,0,)</f>
        <v>N.A.</v>
      </c>
      <c r="Z56" s="49" t="e">
        <f>_xlfn.XLOOKUP($E56,Tab_Def_Processes[Name(EN)],Tab_Def_Processes[Flow_ID_I_5],,0,)</f>
        <v>#N/A</v>
      </c>
      <c r="AA56" s="81"/>
      <c r="AB56" s="94">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23"/>
      <c r="AF56" s="120" t="str">
        <f>_xlfn.XLOOKUP($E56,Tab_Def_Processes[Name(EN)],Tab_Def_Processes[Output_Flow_O_2],,0,)</f>
        <v>N.A.</v>
      </c>
      <c r="AG56" s="120" t="e">
        <f>_xlfn.XLOOKUP($E56,Tab_Def_Processes[Name(EN)],Tab_Def_Processes[Flow_ID_O_2],,0,)</f>
        <v>#N/A</v>
      </c>
      <c r="AH56" s="123"/>
      <c r="AI56" s="120" t="str">
        <f>_xlfn.XLOOKUP($E56,Tab_Def_Processes[Name(EN)],Tab_Def_Processes[Output_Flow_O_3],,0,)</f>
        <v>N.A.</v>
      </c>
      <c r="AJ56" s="120" t="e">
        <f>_xlfn.XLOOKUP($E56,Tab_Def_Processes[Name(EN)],Tab_Def_Processes[Flow_ID_O_3],,0,)</f>
        <v>#N/A</v>
      </c>
      <c r="AK56" s="123"/>
      <c r="AL56" s="120" t="str">
        <f>_xlfn.XLOOKUP($E56,Tab_Def_Processes[Name(EN)],Tab_Def_Processes[Output_Flow_O_4],,0,)</f>
        <v>N.A.</v>
      </c>
      <c r="AM56" s="120" t="e">
        <f>_xlfn.XLOOKUP($E56,Tab_Def_Processes[Name(EN)],Tab_Def_Processes[Flow_ID_O_4],,0,)</f>
        <v>#N/A</v>
      </c>
      <c r="AN56" s="123"/>
      <c r="AO56" s="120" t="str">
        <f>_xlfn.XLOOKUP($E56,Tab_Def_Processes[Name(EN)],Tab_Def_Processes[Output_Flow_O_5],,0,)</f>
        <v>N.A.</v>
      </c>
      <c r="AP56" s="120" t="e">
        <f>_xlfn.XLOOKUP($E56,Tab_Def_Processes[Name(EN)],Tab_Def_Processes[Flow_ID_O_5],,0,)</f>
        <v>#N/A</v>
      </c>
      <c r="AQ56" s="123"/>
      <c r="AR56" s="120" t="str">
        <f>_xlfn.XLOOKUP($E56,Tab_Def_Processes[Name(EN)],Tab_Def_Processes[Output_Flow_O_6],,0,)</f>
        <v>N.A.</v>
      </c>
      <c r="AS56" s="120" t="e">
        <f>_xlfn.XLOOKUP($E56,Tab_Def_Processes[Name(EN)],Tab_Def_Processes[Flow_ID_O_6],,0,)</f>
        <v>#N/A</v>
      </c>
      <c r="AT56" s="123"/>
      <c r="AU56" s="124">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3" t="b">
        <v>0</v>
      </c>
      <c r="B57" s="49">
        <f t="shared" si="4"/>
        <v>56</v>
      </c>
      <c r="C57" s="49" t="str">
        <f t="shared" si="3"/>
        <v>TC56_12___0</v>
      </c>
      <c r="D57" s="113" t="str">
        <f>_xlfn.XLOOKUP($E57,Tab_Def_Processes[Name(EN)],Tab_Def_Processes[ID],,0,)</f>
        <v>12</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1"/>
      <c r="P57" s="75" t="str">
        <f>_xlfn.XLOOKUP($E57,Tab_Def_Processes[Name(EN)],Tab_Def_Processes[Input_Flow_I_2],,0,)</f>
        <v>N.A.</v>
      </c>
      <c r="Q57" s="49" t="e">
        <f>_xlfn.XLOOKUP($E57,Tab_Def_Processes[Name(EN)],Tab_Def_Processes[Flow_ID_I_2],,0,)</f>
        <v>#N/A</v>
      </c>
      <c r="R57" s="81"/>
      <c r="S57" s="75" t="str">
        <f>_xlfn.XLOOKUP($E57,Tab_Def_Processes[Name(EN)],Tab_Def_Processes[Input_Flow_I_3],,0,)</f>
        <v>N.A.</v>
      </c>
      <c r="T57" s="49" t="e">
        <f>_xlfn.XLOOKUP($E57,Tab_Def_Processes[Name(EN)],Tab_Def_Processes[Flow_ID_I_3],,0,)</f>
        <v>#N/A</v>
      </c>
      <c r="U57" s="81"/>
      <c r="V57" s="75" t="str">
        <f>_xlfn.XLOOKUP($E57,Tab_Def_Processes[Name(EN)],Tab_Def_Processes[Input_Flow_I_4],,0,)</f>
        <v>N.A.</v>
      </c>
      <c r="W57" s="49" t="e">
        <f>_xlfn.XLOOKUP($E57,Tab_Def_Processes[Name(EN)],Tab_Def_Processes[Flow_ID_I_4],,0,)</f>
        <v>#N/A</v>
      </c>
      <c r="X57" s="81"/>
      <c r="Y57" s="75" t="str">
        <f>_xlfn.XLOOKUP($E57,Tab_Def_Processes[Name(EN)],Tab_Def_Processes[Input_Flow_I_5],,0,)</f>
        <v>N.A.</v>
      </c>
      <c r="Z57" s="49" t="e">
        <f>_xlfn.XLOOKUP($E57,Tab_Def_Processes[Name(EN)],Tab_Def_Processes[Flow_ID_I_5],,0,)</f>
        <v>#N/A</v>
      </c>
      <c r="AA57" s="81"/>
      <c r="AB57" s="94">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23"/>
      <c r="AF57" s="120" t="str">
        <f>_xlfn.XLOOKUP($E57,Tab_Def_Processes[Name(EN)],Tab_Def_Processes[Output_Flow_O_2],,0,)</f>
        <v>N.A.</v>
      </c>
      <c r="AG57" s="120" t="e">
        <f>_xlfn.XLOOKUP($E57,Tab_Def_Processes[Name(EN)],Tab_Def_Processes[Flow_ID_O_2],,0,)</f>
        <v>#N/A</v>
      </c>
      <c r="AH57" s="123"/>
      <c r="AI57" s="120" t="str">
        <f>_xlfn.XLOOKUP($E57,Tab_Def_Processes[Name(EN)],Tab_Def_Processes[Output_Flow_O_3],,0,)</f>
        <v>N.A.</v>
      </c>
      <c r="AJ57" s="120" t="e">
        <f>_xlfn.XLOOKUP($E57,Tab_Def_Processes[Name(EN)],Tab_Def_Processes[Flow_ID_O_3],,0,)</f>
        <v>#N/A</v>
      </c>
      <c r="AK57" s="123"/>
      <c r="AL57" s="120" t="str">
        <f>_xlfn.XLOOKUP($E57,Tab_Def_Processes[Name(EN)],Tab_Def_Processes[Output_Flow_O_4],,0,)</f>
        <v>N.A.</v>
      </c>
      <c r="AM57" s="120" t="e">
        <f>_xlfn.XLOOKUP($E57,Tab_Def_Processes[Name(EN)],Tab_Def_Processes[Flow_ID_O_4],,0,)</f>
        <v>#N/A</v>
      </c>
      <c r="AN57" s="123"/>
      <c r="AO57" s="120" t="str">
        <f>_xlfn.XLOOKUP($E57,Tab_Def_Processes[Name(EN)],Tab_Def_Processes[Output_Flow_O_5],,0,)</f>
        <v>N.A.</v>
      </c>
      <c r="AP57" s="120" t="e">
        <f>_xlfn.XLOOKUP($E57,Tab_Def_Processes[Name(EN)],Tab_Def_Processes[Flow_ID_O_5],,0,)</f>
        <v>#N/A</v>
      </c>
      <c r="AQ57" s="123"/>
      <c r="AR57" s="120" t="str">
        <f>_xlfn.XLOOKUP($E57,Tab_Def_Processes[Name(EN)],Tab_Def_Processes[Output_Flow_O_6],,0,)</f>
        <v>N.A.</v>
      </c>
      <c r="AS57" s="120" t="e">
        <f>_xlfn.XLOOKUP($E57,Tab_Def_Processes[Name(EN)],Tab_Def_Processes[Flow_ID_O_6],,0,)</f>
        <v>#N/A</v>
      </c>
      <c r="AT57" s="123"/>
      <c r="AU57" s="124">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3" t="b">
        <v>0</v>
      </c>
      <c r="B58" s="49">
        <f t="shared" si="4"/>
        <v>57</v>
      </c>
      <c r="C58" s="49" t="str">
        <f t="shared" si="3"/>
        <v>TC57_12___0</v>
      </c>
      <c r="D58" s="113" t="str">
        <f>_xlfn.XLOOKUP($E58,Tab_Def_Processes[Name(EN)],Tab_Def_Processes[ID],,0,)</f>
        <v>12</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1"/>
      <c r="P58" s="75" t="str">
        <f>_xlfn.XLOOKUP($E58,Tab_Def_Processes[Name(EN)],Tab_Def_Processes[Input_Flow_I_2],,0,)</f>
        <v>N.A.</v>
      </c>
      <c r="Q58" s="49" t="e">
        <f>_xlfn.XLOOKUP($E58,Tab_Def_Processes[Name(EN)],Tab_Def_Processes[Flow_ID_I_2],,0,)</f>
        <v>#N/A</v>
      </c>
      <c r="R58" s="81"/>
      <c r="S58" s="75" t="str">
        <f>_xlfn.XLOOKUP($E58,Tab_Def_Processes[Name(EN)],Tab_Def_Processes[Input_Flow_I_3],,0,)</f>
        <v>N.A.</v>
      </c>
      <c r="T58" s="49" t="e">
        <f>_xlfn.XLOOKUP($E58,Tab_Def_Processes[Name(EN)],Tab_Def_Processes[Flow_ID_I_3],,0,)</f>
        <v>#N/A</v>
      </c>
      <c r="U58" s="81"/>
      <c r="V58" s="75" t="str">
        <f>_xlfn.XLOOKUP($E58,Tab_Def_Processes[Name(EN)],Tab_Def_Processes[Input_Flow_I_4],,0,)</f>
        <v>N.A.</v>
      </c>
      <c r="W58" s="49" t="e">
        <f>_xlfn.XLOOKUP($E58,Tab_Def_Processes[Name(EN)],Tab_Def_Processes[Flow_ID_I_4],,0,)</f>
        <v>#N/A</v>
      </c>
      <c r="X58" s="81"/>
      <c r="Y58" s="75" t="str">
        <f>_xlfn.XLOOKUP($E58,Tab_Def_Processes[Name(EN)],Tab_Def_Processes[Input_Flow_I_5],,0,)</f>
        <v>N.A.</v>
      </c>
      <c r="Z58" s="49" t="e">
        <f>_xlfn.XLOOKUP($E58,Tab_Def_Processes[Name(EN)],Tab_Def_Processes[Flow_ID_I_5],,0,)</f>
        <v>#N/A</v>
      </c>
      <c r="AA58" s="81"/>
      <c r="AB58" s="94">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23"/>
      <c r="AF58" s="120" t="str">
        <f>_xlfn.XLOOKUP($E58,Tab_Def_Processes[Name(EN)],Tab_Def_Processes[Output_Flow_O_2],,0,)</f>
        <v>N.A.</v>
      </c>
      <c r="AG58" s="120" t="e">
        <f>_xlfn.XLOOKUP($E58,Tab_Def_Processes[Name(EN)],Tab_Def_Processes[Flow_ID_O_2],,0,)</f>
        <v>#N/A</v>
      </c>
      <c r="AH58" s="123"/>
      <c r="AI58" s="120" t="str">
        <f>_xlfn.XLOOKUP($E58,Tab_Def_Processes[Name(EN)],Tab_Def_Processes[Output_Flow_O_3],,0,)</f>
        <v>N.A.</v>
      </c>
      <c r="AJ58" s="120" t="e">
        <f>_xlfn.XLOOKUP($E58,Tab_Def_Processes[Name(EN)],Tab_Def_Processes[Flow_ID_O_3],,0,)</f>
        <v>#N/A</v>
      </c>
      <c r="AK58" s="123"/>
      <c r="AL58" s="120" t="str">
        <f>_xlfn.XLOOKUP($E58,Tab_Def_Processes[Name(EN)],Tab_Def_Processes[Output_Flow_O_4],,0,)</f>
        <v>N.A.</v>
      </c>
      <c r="AM58" s="120" t="e">
        <f>_xlfn.XLOOKUP($E58,Tab_Def_Processes[Name(EN)],Tab_Def_Processes[Flow_ID_O_4],,0,)</f>
        <v>#N/A</v>
      </c>
      <c r="AN58" s="123"/>
      <c r="AO58" s="120" t="str">
        <f>_xlfn.XLOOKUP($E58,Tab_Def_Processes[Name(EN)],Tab_Def_Processes[Output_Flow_O_5],,0,)</f>
        <v>N.A.</v>
      </c>
      <c r="AP58" s="120" t="e">
        <f>_xlfn.XLOOKUP($E58,Tab_Def_Processes[Name(EN)],Tab_Def_Processes[Flow_ID_O_5],,0,)</f>
        <v>#N/A</v>
      </c>
      <c r="AQ58" s="123"/>
      <c r="AR58" s="120" t="str">
        <f>_xlfn.XLOOKUP($E58,Tab_Def_Processes[Name(EN)],Tab_Def_Processes[Output_Flow_O_6],,0,)</f>
        <v>N.A.</v>
      </c>
      <c r="AS58" s="120" t="e">
        <f>_xlfn.XLOOKUP($E58,Tab_Def_Processes[Name(EN)],Tab_Def_Processes[Flow_ID_O_6],,0,)</f>
        <v>#N/A</v>
      </c>
      <c r="AT58" s="123"/>
      <c r="AU58" s="124">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3" t="b">
        <v>0</v>
      </c>
      <c r="B59" s="49">
        <f t="shared" si="4"/>
        <v>58</v>
      </c>
      <c r="C59" s="49" t="str">
        <f t="shared" si="3"/>
        <v>TC58_12___0</v>
      </c>
      <c r="D59" s="113" t="str">
        <f>_xlfn.XLOOKUP($E59,Tab_Def_Processes[Name(EN)],Tab_Def_Processes[ID],,0,)</f>
        <v>12</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1"/>
      <c r="P59" s="75" t="str">
        <f>_xlfn.XLOOKUP($E59,Tab_Def_Processes[Name(EN)],Tab_Def_Processes[Input_Flow_I_2],,0,)</f>
        <v>N.A.</v>
      </c>
      <c r="Q59" s="49" t="e">
        <f>_xlfn.XLOOKUP($E59,Tab_Def_Processes[Name(EN)],Tab_Def_Processes[Flow_ID_I_2],,0,)</f>
        <v>#N/A</v>
      </c>
      <c r="R59" s="81"/>
      <c r="S59" s="75" t="str">
        <f>_xlfn.XLOOKUP($E59,Tab_Def_Processes[Name(EN)],Tab_Def_Processes[Input_Flow_I_3],,0,)</f>
        <v>N.A.</v>
      </c>
      <c r="T59" s="49" t="e">
        <f>_xlfn.XLOOKUP($E59,Tab_Def_Processes[Name(EN)],Tab_Def_Processes[Flow_ID_I_3],,0,)</f>
        <v>#N/A</v>
      </c>
      <c r="U59" s="81"/>
      <c r="V59" s="75" t="str">
        <f>_xlfn.XLOOKUP($E59,Tab_Def_Processes[Name(EN)],Tab_Def_Processes[Input_Flow_I_4],,0,)</f>
        <v>N.A.</v>
      </c>
      <c r="W59" s="49" t="e">
        <f>_xlfn.XLOOKUP($E59,Tab_Def_Processes[Name(EN)],Tab_Def_Processes[Flow_ID_I_4],,0,)</f>
        <v>#N/A</v>
      </c>
      <c r="X59" s="81"/>
      <c r="Y59" s="75" t="str">
        <f>_xlfn.XLOOKUP($E59,Tab_Def_Processes[Name(EN)],Tab_Def_Processes[Input_Flow_I_5],,0,)</f>
        <v>N.A.</v>
      </c>
      <c r="Z59" s="49" t="e">
        <f>_xlfn.XLOOKUP($E59,Tab_Def_Processes[Name(EN)],Tab_Def_Processes[Flow_ID_I_5],,0,)</f>
        <v>#N/A</v>
      </c>
      <c r="AA59" s="81"/>
      <c r="AB59" s="94">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23"/>
      <c r="AF59" s="120" t="str">
        <f>_xlfn.XLOOKUP($E59,Tab_Def_Processes[Name(EN)],Tab_Def_Processes[Output_Flow_O_2],,0,)</f>
        <v>N.A.</v>
      </c>
      <c r="AG59" s="120" t="e">
        <f>_xlfn.XLOOKUP($E59,Tab_Def_Processes[Name(EN)],Tab_Def_Processes[Flow_ID_O_2],,0,)</f>
        <v>#N/A</v>
      </c>
      <c r="AH59" s="123"/>
      <c r="AI59" s="120" t="str">
        <f>_xlfn.XLOOKUP($E59,Tab_Def_Processes[Name(EN)],Tab_Def_Processes[Output_Flow_O_3],,0,)</f>
        <v>N.A.</v>
      </c>
      <c r="AJ59" s="120" t="e">
        <f>_xlfn.XLOOKUP($E59,Tab_Def_Processes[Name(EN)],Tab_Def_Processes[Flow_ID_O_3],,0,)</f>
        <v>#N/A</v>
      </c>
      <c r="AK59" s="123"/>
      <c r="AL59" s="120" t="str">
        <f>_xlfn.XLOOKUP($E59,Tab_Def_Processes[Name(EN)],Tab_Def_Processes[Output_Flow_O_4],,0,)</f>
        <v>N.A.</v>
      </c>
      <c r="AM59" s="120" t="e">
        <f>_xlfn.XLOOKUP($E59,Tab_Def_Processes[Name(EN)],Tab_Def_Processes[Flow_ID_O_4],,0,)</f>
        <v>#N/A</v>
      </c>
      <c r="AN59" s="123"/>
      <c r="AO59" s="120" t="str">
        <f>_xlfn.XLOOKUP($E59,Tab_Def_Processes[Name(EN)],Tab_Def_Processes[Output_Flow_O_5],,0,)</f>
        <v>N.A.</v>
      </c>
      <c r="AP59" s="120" t="e">
        <f>_xlfn.XLOOKUP($E59,Tab_Def_Processes[Name(EN)],Tab_Def_Processes[Flow_ID_O_5],,0,)</f>
        <v>#N/A</v>
      </c>
      <c r="AQ59" s="123"/>
      <c r="AR59" s="120" t="str">
        <f>_xlfn.XLOOKUP($E59,Tab_Def_Processes[Name(EN)],Tab_Def_Processes[Output_Flow_O_6],,0,)</f>
        <v>N.A.</v>
      </c>
      <c r="AS59" s="120" t="e">
        <f>_xlfn.XLOOKUP($E59,Tab_Def_Processes[Name(EN)],Tab_Def_Processes[Flow_ID_O_6],,0,)</f>
        <v>#N/A</v>
      </c>
      <c r="AT59" s="123"/>
      <c r="AU59" s="124">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3" t="b">
        <v>0</v>
      </c>
      <c r="B60" s="49">
        <f t="shared" si="4"/>
        <v>59</v>
      </c>
      <c r="C60" s="49" t="str">
        <f t="shared" si="3"/>
        <v>TC59_12___0</v>
      </c>
      <c r="D60" s="113" t="str">
        <f>_xlfn.XLOOKUP($E60,Tab_Def_Processes[Name(EN)],Tab_Def_Processes[ID],,0,)</f>
        <v>12</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1"/>
      <c r="P60" s="75" t="str">
        <f>_xlfn.XLOOKUP($E60,Tab_Def_Processes[Name(EN)],Tab_Def_Processes[Input_Flow_I_2],,0,)</f>
        <v>N.A.</v>
      </c>
      <c r="Q60" s="49" t="e">
        <f>_xlfn.XLOOKUP($E60,Tab_Def_Processes[Name(EN)],Tab_Def_Processes[Flow_ID_I_2],,0,)</f>
        <v>#N/A</v>
      </c>
      <c r="R60" s="81"/>
      <c r="S60" s="75" t="str">
        <f>_xlfn.XLOOKUP($E60,Tab_Def_Processes[Name(EN)],Tab_Def_Processes[Input_Flow_I_3],,0,)</f>
        <v>N.A.</v>
      </c>
      <c r="T60" s="49" t="e">
        <f>_xlfn.XLOOKUP($E60,Tab_Def_Processes[Name(EN)],Tab_Def_Processes[Flow_ID_I_3],,0,)</f>
        <v>#N/A</v>
      </c>
      <c r="U60" s="81"/>
      <c r="V60" s="75" t="str">
        <f>_xlfn.XLOOKUP($E60,Tab_Def_Processes[Name(EN)],Tab_Def_Processes[Input_Flow_I_4],,0,)</f>
        <v>N.A.</v>
      </c>
      <c r="W60" s="49" t="e">
        <f>_xlfn.XLOOKUP($E60,Tab_Def_Processes[Name(EN)],Tab_Def_Processes[Flow_ID_I_4],,0,)</f>
        <v>#N/A</v>
      </c>
      <c r="X60" s="81"/>
      <c r="Y60" s="75" t="str">
        <f>_xlfn.XLOOKUP($E60,Tab_Def_Processes[Name(EN)],Tab_Def_Processes[Input_Flow_I_5],,0,)</f>
        <v>N.A.</v>
      </c>
      <c r="Z60" s="49" t="e">
        <f>_xlfn.XLOOKUP($E60,Tab_Def_Processes[Name(EN)],Tab_Def_Processes[Flow_ID_I_5],,0,)</f>
        <v>#N/A</v>
      </c>
      <c r="AA60" s="81"/>
      <c r="AB60" s="94">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23"/>
      <c r="AF60" s="120" t="str">
        <f>_xlfn.XLOOKUP($E60,Tab_Def_Processes[Name(EN)],Tab_Def_Processes[Output_Flow_O_2],,0,)</f>
        <v>N.A.</v>
      </c>
      <c r="AG60" s="120" t="e">
        <f>_xlfn.XLOOKUP($E60,Tab_Def_Processes[Name(EN)],Tab_Def_Processes[Flow_ID_O_2],,0,)</f>
        <v>#N/A</v>
      </c>
      <c r="AH60" s="123"/>
      <c r="AI60" s="120" t="str">
        <f>_xlfn.XLOOKUP($E60,Tab_Def_Processes[Name(EN)],Tab_Def_Processes[Output_Flow_O_3],,0,)</f>
        <v>N.A.</v>
      </c>
      <c r="AJ60" s="120" t="e">
        <f>_xlfn.XLOOKUP($E60,Tab_Def_Processes[Name(EN)],Tab_Def_Processes[Flow_ID_O_3],,0,)</f>
        <v>#N/A</v>
      </c>
      <c r="AK60" s="123"/>
      <c r="AL60" s="120" t="str">
        <f>_xlfn.XLOOKUP($E60,Tab_Def_Processes[Name(EN)],Tab_Def_Processes[Output_Flow_O_4],,0,)</f>
        <v>N.A.</v>
      </c>
      <c r="AM60" s="120" t="e">
        <f>_xlfn.XLOOKUP($E60,Tab_Def_Processes[Name(EN)],Tab_Def_Processes[Flow_ID_O_4],,0,)</f>
        <v>#N/A</v>
      </c>
      <c r="AN60" s="123"/>
      <c r="AO60" s="120" t="str">
        <f>_xlfn.XLOOKUP($E60,Tab_Def_Processes[Name(EN)],Tab_Def_Processes[Output_Flow_O_5],,0,)</f>
        <v>N.A.</v>
      </c>
      <c r="AP60" s="120" t="e">
        <f>_xlfn.XLOOKUP($E60,Tab_Def_Processes[Name(EN)],Tab_Def_Processes[Flow_ID_O_5],,0,)</f>
        <v>#N/A</v>
      </c>
      <c r="AQ60" s="123"/>
      <c r="AR60" s="120" t="str">
        <f>_xlfn.XLOOKUP($E60,Tab_Def_Processes[Name(EN)],Tab_Def_Processes[Output_Flow_O_6],,0,)</f>
        <v>N.A.</v>
      </c>
      <c r="AS60" s="120" t="e">
        <f>_xlfn.XLOOKUP($E60,Tab_Def_Processes[Name(EN)],Tab_Def_Processes[Flow_ID_O_6],,0,)</f>
        <v>#N/A</v>
      </c>
      <c r="AT60" s="123"/>
      <c r="AU60" s="124">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3" t="b">
        <v>0</v>
      </c>
      <c r="B61" s="49">
        <f t="shared" si="4"/>
        <v>60</v>
      </c>
      <c r="C61" s="49" t="str">
        <f t="shared" si="3"/>
        <v>TC60_12___0</v>
      </c>
      <c r="D61" s="113" t="str">
        <f>_xlfn.XLOOKUP($E61,Tab_Def_Processes[Name(EN)],Tab_Def_Processes[ID],,0,)</f>
        <v>12</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1"/>
      <c r="P61" s="75" t="str">
        <f>_xlfn.XLOOKUP($E61,Tab_Def_Processes[Name(EN)],Tab_Def_Processes[Input_Flow_I_2],,0,)</f>
        <v>N.A.</v>
      </c>
      <c r="Q61" s="49" t="e">
        <f>_xlfn.XLOOKUP($E61,Tab_Def_Processes[Name(EN)],Tab_Def_Processes[Flow_ID_I_2],,0,)</f>
        <v>#N/A</v>
      </c>
      <c r="R61" s="81"/>
      <c r="S61" s="75" t="str">
        <f>_xlfn.XLOOKUP($E61,Tab_Def_Processes[Name(EN)],Tab_Def_Processes[Input_Flow_I_3],,0,)</f>
        <v>N.A.</v>
      </c>
      <c r="T61" s="49" t="e">
        <f>_xlfn.XLOOKUP($E61,Tab_Def_Processes[Name(EN)],Tab_Def_Processes[Flow_ID_I_3],,0,)</f>
        <v>#N/A</v>
      </c>
      <c r="U61" s="81"/>
      <c r="V61" s="75" t="str">
        <f>_xlfn.XLOOKUP($E61,Tab_Def_Processes[Name(EN)],Tab_Def_Processes[Input_Flow_I_4],,0,)</f>
        <v>N.A.</v>
      </c>
      <c r="W61" s="49" t="e">
        <f>_xlfn.XLOOKUP($E61,Tab_Def_Processes[Name(EN)],Tab_Def_Processes[Flow_ID_I_4],,0,)</f>
        <v>#N/A</v>
      </c>
      <c r="X61" s="81"/>
      <c r="Y61" s="75" t="str">
        <f>_xlfn.XLOOKUP($E61,Tab_Def_Processes[Name(EN)],Tab_Def_Processes[Input_Flow_I_5],,0,)</f>
        <v>N.A.</v>
      </c>
      <c r="Z61" s="49" t="e">
        <f>_xlfn.XLOOKUP($E61,Tab_Def_Processes[Name(EN)],Tab_Def_Processes[Flow_ID_I_5],,0,)</f>
        <v>#N/A</v>
      </c>
      <c r="AA61" s="81"/>
      <c r="AB61" s="94">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23"/>
      <c r="AF61" s="120" t="str">
        <f>_xlfn.XLOOKUP($E61,Tab_Def_Processes[Name(EN)],Tab_Def_Processes[Output_Flow_O_2],,0,)</f>
        <v>N.A.</v>
      </c>
      <c r="AG61" s="120" t="e">
        <f>_xlfn.XLOOKUP($E61,Tab_Def_Processes[Name(EN)],Tab_Def_Processes[Flow_ID_O_2],,0,)</f>
        <v>#N/A</v>
      </c>
      <c r="AH61" s="123"/>
      <c r="AI61" s="120" t="str">
        <f>_xlfn.XLOOKUP($E61,Tab_Def_Processes[Name(EN)],Tab_Def_Processes[Output_Flow_O_3],,0,)</f>
        <v>N.A.</v>
      </c>
      <c r="AJ61" s="120" t="e">
        <f>_xlfn.XLOOKUP($E61,Tab_Def_Processes[Name(EN)],Tab_Def_Processes[Flow_ID_O_3],,0,)</f>
        <v>#N/A</v>
      </c>
      <c r="AK61" s="123"/>
      <c r="AL61" s="120" t="str">
        <f>_xlfn.XLOOKUP($E61,Tab_Def_Processes[Name(EN)],Tab_Def_Processes[Output_Flow_O_4],,0,)</f>
        <v>N.A.</v>
      </c>
      <c r="AM61" s="120" t="e">
        <f>_xlfn.XLOOKUP($E61,Tab_Def_Processes[Name(EN)],Tab_Def_Processes[Flow_ID_O_4],,0,)</f>
        <v>#N/A</v>
      </c>
      <c r="AN61" s="123"/>
      <c r="AO61" s="120" t="str">
        <f>_xlfn.XLOOKUP($E61,Tab_Def_Processes[Name(EN)],Tab_Def_Processes[Output_Flow_O_5],,0,)</f>
        <v>N.A.</v>
      </c>
      <c r="AP61" s="120" t="e">
        <f>_xlfn.XLOOKUP($E61,Tab_Def_Processes[Name(EN)],Tab_Def_Processes[Flow_ID_O_5],,0,)</f>
        <v>#N/A</v>
      </c>
      <c r="AQ61" s="123"/>
      <c r="AR61" s="120" t="str">
        <f>_xlfn.XLOOKUP($E61,Tab_Def_Processes[Name(EN)],Tab_Def_Processes[Output_Flow_O_6],,0,)</f>
        <v>N.A.</v>
      </c>
      <c r="AS61" s="120" t="e">
        <f>_xlfn.XLOOKUP($E61,Tab_Def_Processes[Name(EN)],Tab_Def_Processes[Flow_ID_O_6],,0,)</f>
        <v>#N/A</v>
      </c>
      <c r="AT61" s="123"/>
      <c r="AU61" s="124">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3" t="b">
        <v>0</v>
      </c>
      <c r="B62" s="49">
        <f t="shared" si="4"/>
        <v>61</v>
      </c>
      <c r="C62" s="49" t="str">
        <f t="shared" si="3"/>
        <v>TC61_12___0</v>
      </c>
      <c r="D62" s="113" t="str">
        <f>_xlfn.XLOOKUP($E62,Tab_Def_Processes[Name(EN)],Tab_Def_Processes[ID],,0,)</f>
        <v>12</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1"/>
      <c r="P62" s="75" t="str">
        <f>_xlfn.XLOOKUP($E62,Tab_Def_Processes[Name(EN)],Tab_Def_Processes[Input_Flow_I_2],,0,)</f>
        <v>N.A.</v>
      </c>
      <c r="Q62" s="49" t="e">
        <f>_xlfn.XLOOKUP($E62,Tab_Def_Processes[Name(EN)],Tab_Def_Processes[Flow_ID_I_2],,0,)</f>
        <v>#N/A</v>
      </c>
      <c r="R62" s="81"/>
      <c r="S62" s="75" t="str">
        <f>_xlfn.XLOOKUP($E62,Tab_Def_Processes[Name(EN)],Tab_Def_Processes[Input_Flow_I_3],,0,)</f>
        <v>N.A.</v>
      </c>
      <c r="T62" s="49" t="e">
        <f>_xlfn.XLOOKUP($E62,Tab_Def_Processes[Name(EN)],Tab_Def_Processes[Flow_ID_I_3],,0,)</f>
        <v>#N/A</v>
      </c>
      <c r="U62" s="81"/>
      <c r="V62" s="75" t="str">
        <f>_xlfn.XLOOKUP($E62,Tab_Def_Processes[Name(EN)],Tab_Def_Processes[Input_Flow_I_4],,0,)</f>
        <v>N.A.</v>
      </c>
      <c r="W62" s="49" t="e">
        <f>_xlfn.XLOOKUP($E62,Tab_Def_Processes[Name(EN)],Tab_Def_Processes[Flow_ID_I_4],,0,)</f>
        <v>#N/A</v>
      </c>
      <c r="X62" s="81"/>
      <c r="Y62" s="75" t="str">
        <f>_xlfn.XLOOKUP($E62,Tab_Def_Processes[Name(EN)],Tab_Def_Processes[Input_Flow_I_5],,0,)</f>
        <v>N.A.</v>
      </c>
      <c r="Z62" s="49" t="e">
        <f>_xlfn.XLOOKUP($E62,Tab_Def_Processes[Name(EN)],Tab_Def_Processes[Flow_ID_I_5],,0,)</f>
        <v>#N/A</v>
      </c>
      <c r="AA62" s="81"/>
      <c r="AB62" s="94">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23"/>
      <c r="AF62" s="120" t="str">
        <f>_xlfn.XLOOKUP($E62,Tab_Def_Processes[Name(EN)],Tab_Def_Processes[Output_Flow_O_2],,0,)</f>
        <v>N.A.</v>
      </c>
      <c r="AG62" s="120" t="e">
        <f>_xlfn.XLOOKUP($E62,Tab_Def_Processes[Name(EN)],Tab_Def_Processes[Flow_ID_O_2],,0,)</f>
        <v>#N/A</v>
      </c>
      <c r="AH62" s="123"/>
      <c r="AI62" s="120" t="str">
        <f>_xlfn.XLOOKUP($E62,Tab_Def_Processes[Name(EN)],Tab_Def_Processes[Output_Flow_O_3],,0,)</f>
        <v>N.A.</v>
      </c>
      <c r="AJ62" s="120" t="e">
        <f>_xlfn.XLOOKUP($E62,Tab_Def_Processes[Name(EN)],Tab_Def_Processes[Flow_ID_O_3],,0,)</f>
        <v>#N/A</v>
      </c>
      <c r="AK62" s="123"/>
      <c r="AL62" s="120" t="str">
        <f>_xlfn.XLOOKUP($E62,Tab_Def_Processes[Name(EN)],Tab_Def_Processes[Output_Flow_O_4],,0,)</f>
        <v>N.A.</v>
      </c>
      <c r="AM62" s="120" t="e">
        <f>_xlfn.XLOOKUP($E62,Tab_Def_Processes[Name(EN)],Tab_Def_Processes[Flow_ID_O_4],,0,)</f>
        <v>#N/A</v>
      </c>
      <c r="AN62" s="123"/>
      <c r="AO62" s="120" t="str">
        <f>_xlfn.XLOOKUP($E62,Tab_Def_Processes[Name(EN)],Tab_Def_Processes[Output_Flow_O_5],,0,)</f>
        <v>N.A.</v>
      </c>
      <c r="AP62" s="120" t="e">
        <f>_xlfn.XLOOKUP($E62,Tab_Def_Processes[Name(EN)],Tab_Def_Processes[Flow_ID_O_5],,0,)</f>
        <v>#N/A</v>
      </c>
      <c r="AQ62" s="123"/>
      <c r="AR62" s="120" t="str">
        <f>_xlfn.XLOOKUP($E62,Tab_Def_Processes[Name(EN)],Tab_Def_Processes[Output_Flow_O_6],,0,)</f>
        <v>N.A.</v>
      </c>
      <c r="AS62" s="120" t="e">
        <f>_xlfn.XLOOKUP($E62,Tab_Def_Processes[Name(EN)],Tab_Def_Processes[Flow_ID_O_6],,0,)</f>
        <v>#N/A</v>
      </c>
      <c r="AT62" s="123"/>
      <c r="AU62" s="124">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3" t="b">
        <v>0</v>
      </c>
      <c r="B63" s="49">
        <f t="shared" si="4"/>
        <v>62</v>
      </c>
      <c r="C63" s="49" t="str">
        <f t="shared" si="3"/>
        <v>TC62_12___0</v>
      </c>
      <c r="D63" s="113" t="str">
        <f>_xlfn.XLOOKUP($E63,Tab_Def_Processes[Name(EN)],Tab_Def_Processes[ID],,0,)</f>
        <v>12</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1"/>
      <c r="P63" s="75" t="str">
        <f>_xlfn.XLOOKUP($E63,Tab_Def_Processes[Name(EN)],Tab_Def_Processes[Input_Flow_I_2],,0,)</f>
        <v>N.A.</v>
      </c>
      <c r="Q63" s="49" t="e">
        <f>_xlfn.XLOOKUP($E63,Tab_Def_Processes[Name(EN)],Tab_Def_Processes[Flow_ID_I_2],,0,)</f>
        <v>#N/A</v>
      </c>
      <c r="R63" s="81"/>
      <c r="S63" s="75" t="str">
        <f>_xlfn.XLOOKUP($E63,Tab_Def_Processes[Name(EN)],Tab_Def_Processes[Input_Flow_I_3],,0,)</f>
        <v>N.A.</v>
      </c>
      <c r="T63" s="49" t="e">
        <f>_xlfn.XLOOKUP($E63,Tab_Def_Processes[Name(EN)],Tab_Def_Processes[Flow_ID_I_3],,0,)</f>
        <v>#N/A</v>
      </c>
      <c r="U63" s="81"/>
      <c r="V63" s="75" t="str">
        <f>_xlfn.XLOOKUP($E63,Tab_Def_Processes[Name(EN)],Tab_Def_Processes[Input_Flow_I_4],,0,)</f>
        <v>N.A.</v>
      </c>
      <c r="W63" s="49" t="e">
        <f>_xlfn.XLOOKUP($E63,Tab_Def_Processes[Name(EN)],Tab_Def_Processes[Flow_ID_I_4],,0,)</f>
        <v>#N/A</v>
      </c>
      <c r="X63" s="81"/>
      <c r="Y63" s="75" t="str">
        <f>_xlfn.XLOOKUP($E63,Tab_Def_Processes[Name(EN)],Tab_Def_Processes[Input_Flow_I_5],,0,)</f>
        <v>N.A.</v>
      </c>
      <c r="Z63" s="49" t="e">
        <f>_xlfn.XLOOKUP($E63,Tab_Def_Processes[Name(EN)],Tab_Def_Processes[Flow_ID_I_5],,0,)</f>
        <v>#N/A</v>
      </c>
      <c r="AA63" s="81"/>
      <c r="AB63" s="94">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23"/>
      <c r="AF63" s="120" t="str">
        <f>_xlfn.XLOOKUP($E63,Tab_Def_Processes[Name(EN)],Tab_Def_Processes[Output_Flow_O_2],,0,)</f>
        <v>N.A.</v>
      </c>
      <c r="AG63" s="120" t="e">
        <f>_xlfn.XLOOKUP($E63,Tab_Def_Processes[Name(EN)],Tab_Def_Processes[Flow_ID_O_2],,0,)</f>
        <v>#N/A</v>
      </c>
      <c r="AH63" s="123"/>
      <c r="AI63" s="120" t="str">
        <f>_xlfn.XLOOKUP($E63,Tab_Def_Processes[Name(EN)],Tab_Def_Processes[Output_Flow_O_3],,0,)</f>
        <v>N.A.</v>
      </c>
      <c r="AJ63" s="120" t="e">
        <f>_xlfn.XLOOKUP($E63,Tab_Def_Processes[Name(EN)],Tab_Def_Processes[Flow_ID_O_3],,0,)</f>
        <v>#N/A</v>
      </c>
      <c r="AK63" s="123"/>
      <c r="AL63" s="120" t="str">
        <f>_xlfn.XLOOKUP($E63,Tab_Def_Processes[Name(EN)],Tab_Def_Processes[Output_Flow_O_4],,0,)</f>
        <v>N.A.</v>
      </c>
      <c r="AM63" s="120" t="e">
        <f>_xlfn.XLOOKUP($E63,Tab_Def_Processes[Name(EN)],Tab_Def_Processes[Flow_ID_O_4],,0,)</f>
        <v>#N/A</v>
      </c>
      <c r="AN63" s="123"/>
      <c r="AO63" s="120" t="str">
        <f>_xlfn.XLOOKUP($E63,Tab_Def_Processes[Name(EN)],Tab_Def_Processes[Output_Flow_O_5],,0,)</f>
        <v>N.A.</v>
      </c>
      <c r="AP63" s="120" t="e">
        <f>_xlfn.XLOOKUP($E63,Tab_Def_Processes[Name(EN)],Tab_Def_Processes[Flow_ID_O_5],,0,)</f>
        <v>#N/A</v>
      </c>
      <c r="AQ63" s="123"/>
      <c r="AR63" s="120" t="str">
        <f>_xlfn.XLOOKUP($E63,Tab_Def_Processes[Name(EN)],Tab_Def_Processes[Output_Flow_O_6],,0,)</f>
        <v>N.A.</v>
      </c>
      <c r="AS63" s="120" t="e">
        <f>_xlfn.XLOOKUP($E63,Tab_Def_Processes[Name(EN)],Tab_Def_Processes[Flow_ID_O_6],,0,)</f>
        <v>#N/A</v>
      </c>
      <c r="AT63" s="123"/>
      <c r="AU63" s="124">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J17" sqref="J17"/>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7" t="s">
        <v>316</v>
      </c>
      <c r="B1" s="9" t="s">
        <v>224</v>
      </c>
      <c r="C1" t="s">
        <v>317</v>
      </c>
      <c r="D1" s="66" t="s">
        <v>289</v>
      </c>
      <c r="E1" s="66" t="s">
        <v>319</v>
      </c>
      <c r="F1" t="s">
        <v>233</v>
      </c>
      <c r="G1" t="s">
        <v>290</v>
      </c>
      <c r="H1" t="s">
        <v>291</v>
      </c>
      <c r="I1" s="48" t="s">
        <v>18</v>
      </c>
      <c r="J1" s="25" t="s">
        <v>324</v>
      </c>
      <c r="K1" s="26" t="s">
        <v>292</v>
      </c>
      <c r="L1" s="32" t="s">
        <v>323</v>
      </c>
      <c r="M1" s="67" t="s">
        <v>6</v>
      </c>
      <c r="N1" s="67" t="s">
        <v>321</v>
      </c>
      <c r="O1" s="67" t="s">
        <v>232</v>
      </c>
      <c r="P1" s="67" t="s">
        <v>7</v>
      </c>
      <c r="Q1" s="67" t="s">
        <v>81</v>
      </c>
      <c r="R1" s="67" t="s">
        <v>72</v>
      </c>
      <c r="S1" s="67" t="s">
        <v>137</v>
      </c>
      <c r="T1" s="67" t="s">
        <v>138</v>
      </c>
      <c r="U1" s="67" t="s">
        <v>139</v>
      </c>
      <c r="V1" s="67" t="s">
        <v>9</v>
      </c>
      <c r="W1" s="67" t="s">
        <v>8</v>
      </c>
      <c r="X1" s="67" t="s">
        <v>10</v>
      </c>
    </row>
    <row r="2" spans="1:24" x14ac:dyDescent="0.25">
      <c r="A2" s="93" t="b">
        <v>1</v>
      </c>
      <c r="B2" s="49">
        <f t="shared" ref="B2:B33" si="0">ROW()-1</f>
        <v>1</v>
      </c>
      <c r="C2" s="49" t="e">
        <f t="shared" ref="C2:C33" si="1">LEFT(B2,2)&amp;"_"&amp;LEFT(M2,4)&amp;"_"&amp;LEFT(D2,12)</f>
        <v>#N/A</v>
      </c>
      <c r="D2" s="49" t="e">
        <f>_xlfn.XLOOKUP($E2,Tab_Def_Processes[Name(EN)],Tab_Def_Processes[Process_ID],,0,)</f>
        <v>#N/A</v>
      </c>
      <c r="E2" s="51" t="s">
        <v>230</v>
      </c>
      <c r="F2" s="49" t="e">
        <f>_xlfn.XLOOKUP(E2,Tab_Def_Processes[Name(EN)],Tab_Def_Processes[Region],,0,)</f>
        <v>#N/A</v>
      </c>
      <c r="G2" s="49" t="e">
        <f>_xlfn.XLOOKUP(E2,Tab_Def_Processes[Name(EN)],Tab_Def_Processes[Carbon_Stock],,0,)</f>
        <v>#N/A</v>
      </c>
      <c r="H2" s="49" t="e">
        <f>_xlfn.XLOOKUP(E2,Tab_Def_Processes[Name(EN)],Tab_Def_Processes[Life_Phase],,0,)</f>
        <v>#N/A</v>
      </c>
      <c r="I2" s="49" t="e">
        <f>_xlfn.XLOOKUP(E2,Tab_Def_Processes[Name(EN)],Tab_Def_Processes[Description],,0,)</f>
        <v>#N/A</v>
      </c>
      <c r="J2" s="49" t="e">
        <f>_xlfn.XLOOKUP($E2,Tab_Def_Processes[Name(EN)],Tab_Def_Processes[Process_Type],,0,)</f>
        <v>#N/A</v>
      </c>
      <c r="K2" s="49" t="e">
        <f>_xlfn.XLOOKUP($E2,Tab_Def_Processes[Name(EN)],Tab_Def_Processes[TC?],,0,)</f>
        <v>#N/A</v>
      </c>
      <c r="L2" s="49" t="e">
        <f>_xlfn.XLOOKUP($E2,Tab_Def_Processes[Name(EN)],Tab_Def_Processes[Stock?],,0,)</f>
        <v>#N/A</v>
      </c>
      <c r="M2" s="51"/>
      <c r="N2" s="51"/>
      <c r="O2" s="51"/>
      <c r="P2" s="51"/>
      <c r="Q2" s="51"/>
      <c r="R2" s="51"/>
      <c r="S2" s="51"/>
      <c r="T2" s="51"/>
      <c r="U2" s="51"/>
      <c r="V2" s="51"/>
      <c r="W2" s="51"/>
      <c r="X2" s="51"/>
    </row>
    <row r="3" spans="1:24" x14ac:dyDescent="0.25">
      <c r="A3" s="93" t="b">
        <v>0</v>
      </c>
      <c r="B3" s="49">
        <f t="shared" si="0"/>
        <v>2</v>
      </c>
      <c r="C3" s="49" t="e">
        <f t="shared" si="1"/>
        <v>#N/A</v>
      </c>
      <c r="D3" s="49" t="e">
        <f>_xlfn.XLOOKUP($E3,Tab_Def_Processes[Name(EN)],Tab_Def_Processes[Process_ID],,0,)</f>
        <v>#N/A</v>
      </c>
      <c r="E3" s="51" t="s">
        <v>230</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3" t="b">
        <v>0</v>
      </c>
      <c r="B4" s="49">
        <f t="shared" si="0"/>
        <v>3</v>
      </c>
      <c r="C4" s="49" t="e">
        <f t="shared" si="1"/>
        <v>#N/A</v>
      </c>
      <c r="D4" s="49" t="e">
        <f>_xlfn.XLOOKUP($E4,Tab_Def_Processes[Name(EN)],Tab_Def_Processes[Process_ID],,0,)</f>
        <v>#N/A</v>
      </c>
      <c r="E4" s="51" t="s">
        <v>230</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3" t="b">
        <v>0</v>
      </c>
      <c r="B5" s="49">
        <f t="shared" si="0"/>
        <v>4</v>
      </c>
      <c r="C5" s="49" t="e">
        <f t="shared" si="1"/>
        <v>#N/A</v>
      </c>
      <c r="D5" s="49" t="e">
        <f>_xlfn.XLOOKUP($E5,Tab_Def_Processes[Name(EN)],Tab_Def_Processes[Process_ID],,0,)</f>
        <v>#N/A</v>
      </c>
      <c r="E5" s="51" t="s">
        <v>230</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8"/>
      <c r="P5" s="51"/>
      <c r="Q5" s="51"/>
      <c r="R5" s="51"/>
      <c r="S5" s="51"/>
      <c r="T5" s="51"/>
      <c r="U5" s="51"/>
      <c r="V5" s="51"/>
      <c r="W5" s="51"/>
      <c r="X5" s="51"/>
    </row>
    <row r="6" spans="1:24" x14ac:dyDescent="0.25">
      <c r="A6" s="93" t="b">
        <v>0</v>
      </c>
      <c r="B6" s="49">
        <f t="shared" si="0"/>
        <v>5</v>
      </c>
      <c r="C6" s="49" t="e">
        <f t="shared" si="1"/>
        <v>#N/A</v>
      </c>
      <c r="D6" s="49" t="e">
        <f>_xlfn.XLOOKUP($E6,Tab_Def_Processes[Name(EN)],Tab_Def_Processes[Process_ID],,0,)</f>
        <v>#N/A</v>
      </c>
      <c r="E6" s="51" t="s">
        <v>230</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3" t="b">
        <v>0</v>
      </c>
      <c r="B7" s="49">
        <f t="shared" si="0"/>
        <v>6</v>
      </c>
      <c r="C7" s="49" t="e">
        <f t="shared" si="1"/>
        <v>#N/A</v>
      </c>
      <c r="D7" s="49" t="e">
        <f>_xlfn.XLOOKUP($E7,Tab_Def_Processes[Name(EN)],Tab_Def_Processes[Process_ID],,0,)</f>
        <v>#N/A</v>
      </c>
      <c r="E7" s="51" t="s">
        <v>230</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3" t="b">
        <v>0</v>
      </c>
      <c r="B8" s="49">
        <f t="shared" si="0"/>
        <v>7</v>
      </c>
      <c r="C8" s="49" t="e">
        <f t="shared" si="1"/>
        <v>#N/A</v>
      </c>
      <c r="D8" s="49" t="e">
        <f>_xlfn.XLOOKUP($E8,Tab_Def_Processes[Name(EN)],Tab_Def_Processes[Process_ID],,0,)</f>
        <v>#N/A</v>
      </c>
      <c r="E8" s="51" t="s">
        <v>230</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3" t="b">
        <v>0</v>
      </c>
      <c r="B9" s="49">
        <f t="shared" si="0"/>
        <v>8</v>
      </c>
      <c r="C9" s="49" t="e">
        <f t="shared" si="1"/>
        <v>#N/A</v>
      </c>
      <c r="D9" s="49" t="e">
        <f>_xlfn.XLOOKUP($E9,Tab_Def_Processes[Name(EN)],Tab_Def_Processes[Process_ID],,0,)</f>
        <v>#N/A</v>
      </c>
      <c r="E9" s="51" t="s">
        <v>230</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3" t="b">
        <v>0</v>
      </c>
      <c r="B10" s="49">
        <f t="shared" si="0"/>
        <v>9</v>
      </c>
      <c r="C10" s="49" t="e">
        <f t="shared" si="1"/>
        <v>#N/A</v>
      </c>
      <c r="D10" s="49" t="e">
        <f>_xlfn.XLOOKUP($E10,Tab_Def_Processes[Name(EN)],Tab_Def_Processes[Process_ID],,0,)</f>
        <v>#N/A</v>
      </c>
      <c r="E10" s="51" t="s">
        <v>230</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3" t="b">
        <v>0</v>
      </c>
      <c r="B11" s="49">
        <f t="shared" si="0"/>
        <v>10</v>
      </c>
      <c r="C11" s="49" t="e">
        <f t="shared" si="1"/>
        <v>#N/A</v>
      </c>
      <c r="D11" s="49" t="e">
        <f>_xlfn.XLOOKUP($E11,Tab_Def_Processes[Name(EN)],Tab_Def_Processes[Process_ID],,0,)</f>
        <v>#N/A</v>
      </c>
      <c r="E11" s="51" t="s">
        <v>230</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3" t="b">
        <v>0</v>
      </c>
      <c r="B12" s="49">
        <f t="shared" si="0"/>
        <v>11</v>
      </c>
      <c r="C12" s="49" t="e">
        <f t="shared" si="1"/>
        <v>#N/A</v>
      </c>
      <c r="D12" s="49" t="e">
        <f>_xlfn.XLOOKUP($E12,Tab_Def_Processes[Name(EN)],Tab_Def_Processes[Process_ID],,0,)</f>
        <v>#N/A</v>
      </c>
      <c r="E12" s="51" t="s">
        <v>230</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3" t="b">
        <v>0</v>
      </c>
      <c r="B13" s="49">
        <f t="shared" si="0"/>
        <v>12</v>
      </c>
      <c r="C13" s="49" t="e">
        <f t="shared" si="1"/>
        <v>#N/A</v>
      </c>
      <c r="D13" s="49" t="e">
        <f>_xlfn.XLOOKUP($E13,Tab_Def_Processes[Name(EN)],Tab_Def_Processes[Process_ID],,0,)</f>
        <v>#N/A</v>
      </c>
      <c r="E13" s="51" t="s">
        <v>230</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3" t="b">
        <v>0</v>
      </c>
      <c r="B14" s="49">
        <f t="shared" si="0"/>
        <v>13</v>
      </c>
      <c r="C14" s="49" t="e">
        <f t="shared" si="1"/>
        <v>#N/A</v>
      </c>
      <c r="D14" s="49" t="e">
        <f>_xlfn.XLOOKUP($E14,Tab_Def_Processes[Name(EN)],Tab_Def_Processes[Process_ID],,0,)</f>
        <v>#N/A</v>
      </c>
      <c r="E14" s="51" t="s">
        <v>230</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3" t="b">
        <v>0</v>
      </c>
      <c r="B15" s="49">
        <f t="shared" si="0"/>
        <v>14</v>
      </c>
      <c r="C15" s="49" t="e">
        <f t="shared" si="1"/>
        <v>#N/A</v>
      </c>
      <c r="D15" s="49" t="e">
        <f>_xlfn.XLOOKUP($E15,Tab_Def_Processes[Name(EN)],Tab_Def_Processes[Process_ID],,0,)</f>
        <v>#N/A</v>
      </c>
      <c r="E15" s="51" t="s">
        <v>230</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3" t="b">
        <v>0</v>
      </c>
      <c r="B16" s="49">
        <f t="shared" si="0"/>
        <v>15</v>
      </c>
      <c r="C16" s="49" t="e">
        <f t="shared" si="1"/>
        <v>#N/A</v>
      </c>
      <c r="D16" s="49" t="e">
        <f>_xlfn.XLOOKUP($E16,Tab_Def_Processes[Name(EN)],Tab_Def_Processes[Process_ID],,0,)</f>
        <v>#N/A</v>
      </c>
      <c r="E16" s="51" t="s">
        <v>230</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3" t="b">
        <v>0</v>
      </c>
      <c r="B17" s="49">
        <f t="shared" si="0"/>
        <v>16</v>
      </c>
      <c r="C17" s="49" t="e">
        <f t="shared" si="1"/>
        <v>#N/A</v>
      </c>
      <c r="D17" s="49" t="e">
        <f>_xlfn.XLOOKUP($E17,Tab_Def_Processes[Name(EN)],Tab_Def_Processes[Process_ID],,0,)</f>
        <v>#N/A</v>
      </c>
      <c r="E17" s="51" t="s">
        <v>230</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3" t="b">
        <v>0</v>
      </c>
      <c r="B18" s="49">
        <f t="shared" si="0"/>
        <v>17</v>
      </c>
      <c r="C18" s="49" t="e">
        <f t="shared" si="1"/>
        <v>#N/A</v>
      </c>
      <c r="D18" s="49" t="e">
        <f>_xlfn.XLOOKUP($E18,Tab_Def_Processes[Name(EN)],Tab_Def_Processes[Process_ID],,0,)</f>
        <v>#N/A</v>
      </c>
      <c r="E18" s="51" t="s">
        <v>230</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3" t="b">
        <v>0</v>
      </c>
      <c r="B19" s="49">
        <f t="shared" si="0"/>
        <v>18</v>
      </c>
      <c r="C19" s="49" t="e">
        <f t="shared" si="1"/>
        <v>#N/A</v>
      </c>
      <c r="D19" s="49" t="e">
        <f>_xlfn.XLOOKUP($E19,Tab_Def_Processes[Name(EN)],Tab_Def_Processes[Process_ID],,0,)</f>
        <v>#N/A</v>
      </c>
      <c r="E19" s="51" t="s">
        <v>230</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3" t="b">
        <v>0</v>
      </c>
      <c r="B20" s="49">
        <f t="shared" si="0"/>
        <v>19</v>
      </c>
      <c r="C20" s="49" t="e">
        <f t="shared" si="1"/>
        <v>#N/A</v>
      </c>
      <c r="D20" s="49" t="e">
        <f>_xlfn.XLOOKUP($E20,Tab_Def_Processes[Name(EN)],Tab_Def_Processes[Process_ID],,0,)</f>
        <v>#N/A</v>
      </c>
      <c r="E20" s="51" t="s">
        <v>230</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3" t="b">
        <v>0</v>
      </c>
      <c r="B21" s="49">
        <f t="shared" si="0"/>
        <v>20</v>
      </c>
      <c r="C21" s="49" t="e">
        <f t="shared" si="1"/>
        <v>#N/A</v>
      </c>
      <c r="D21" s="49" t="e">
        <f>_xlfn.XLOOKUP($E21,Tab_Def_Processes[Name(EN)],Tab_Def_Processes[Process_ID],,0,)</f>
        <v>#N/A</v>
      </c>
      <c r="E21" s="51" t="s">
        <v>230</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3" t="b">
        <v>0</v>
      </c>
      <c r="B22" s="49">
        <f t="shared" si="0"/>
        <v>21</v>
      </c>
      <c r="C22" s="49" t="e">
        <f t="shared" si="1"/>
        <v>#N/A</v>
      </c>
      <c r="D22" s="49" t="e">
        <f>_xlfn.XLOOKUP($E22,Tab_Def_Processes[Name(EN)],Tab_Def_Processes[Process_ID],,0,)</f>
        <v>#N/A</v>
      </c>
      <c r="E22" s="51" t="s">
        <v>230</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3" t="b">
        <v>0</v>
      </c>
      <c r="B23" s="49">
        <f t="shared" si="0"/>
        <v>22</v>
      </c>
      <c r="C23" s="49" t="e">
        <f t="shared" si="1"/>
        <v>#N/A</v>
      </c>
      <c r="D23" s="49" t="e">
        <f>_xlfn.XLOOKUP($E23,Tab_Def_Processes[Name(EN)],Tab_Def_Processes[Process_ID],,0,)</f>
        <v>#N/A</v>
      </c>
      <c r="E23" s="51" t="s">
        <v>230</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3" t="b">
        <v>0</v>
      </c>
      <c r="B24" s="49">
        <f t="shared" si="0"/>
        <v>23</v>
      </c>
      <c r="C24" s="49" t="e">
        <f t="shared" si="1"/>
        <v>#N/A</v>
      </c>
      <c r="D24" s="49" t="e">
        <f>_xlfn.XLOOKUP($E24,Tab_Def_Processes[Name(EN)],Tab_Def_Processes[Process_ID],,0,)</f>
        <v>#N/A</v>
      </c>
      <c r="E24" s="51" t="s">
        <v>230</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3" t="b">
        <v>0</v>
      </c>
      <c r="B25" s="49">
        <f t="shared" si="0"/>
        <v>24</v>
      </c>
      <c r="C25" s="49" t="e">
        <f t="shared" si="1"/>
        <v>#N/A</v>
      </c>
      <c r="D25" s="49" t="e">
        <f>_xlfn.XLOOKUP($E25,Tab_Def_Processes[Name(EN)],Tab_Def_Processes[Process_ID],,0,)</f>
        <v>#N/A</v>
      </c>
      <c r="E25" s="51" t="s">
        <v>230</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3" t="b">
        <v>0</v>
      </c>
      <c r="B26" s="49">
        <f t="shared" si="0"/>
        <v>25</v>
      </c>
      <c r="C26" s="49" t="e">
        <f t="shared" si="1"/>
        <v>#N/A</v>
      </c>
      <c r="D26" s="49" t="e">
        <f>_xlfn.XLOOKUP($E26,Tab_Def_Processes[Name(EN)],Tab_Def_Processes[Process_ID],,0,)</f>
        <v>#N/A</v>
      </c>
      <c r="E26" s="51" t="s">
        <v>230</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3" t="b">
        <v>0</v>
      </c>
      <c r="B27" s="49">
        <f t="shared" si="0"/>
        <v>26</v>
      </c>
      <c r="C27" s="49" t="e">
        <f t="shared" si="1"/>
        <v>#N/A</v>
      </c>
      <c r="D27" s="49" t="e">
        <f>_xlfn.XLOOKUP($E27,Tab_Def_Processes[Name(EN)],Tab_Def_Processes[Process_ID],,0,)</f>
        <v>#N/A</v>
      </c>
      <c r="E27" s="51" t="s">
        <v>230</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3" t="b">
        <v>0</v>
      </c>
      <c r="B28" s="49">
        <f t="shared" si="0"/>
        <v>27</v>
      </c>
      <c r="C28" s="49" t="e">
        <f t="shared" si="1"/>
        <v>#N/A</v>
      </c>
      <c r="D28" s="49" t="e">
        <f>_xlfn.XLOOKUP($E28,Tab_Def_Processes[Name(EN)],Tab_Def_Processes[Process_ID],,0,)</f>
        <v>#N/A</v>
      </c>
      <c r="E28" s="51" t="s">
        <v>230</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3" t="b">
        <v>0</v>
      </c>
      <c r="B29" s="49">
        <f t="shared" si="0"/>
        <v>28</v>
      </c>
      <c r="C29" s="49" t="e">
        <f t="shared" si="1"/>
        <v>#N/A</v>
      </c>
      <c r="D29" s="49" t="e">
        <f>_xlfn.XLOOKUP($E29,Tab_Def_Processes[Name(EN)],Tab_Def_Processes[Process_ID],,0,)</f>
        <v>#N/A</v>
      </c>
      <c r="E29" s="51" t="s">
        <v>230</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3" t="b">
        <v>0</v>
      </c>
      <c r="B30" s="49">
        <f t="shared" si="0"/>
        <v>29</v>
      </c>
      <c r="C30" s="49" t="e">
        <f t="shared" si="1"/>
        <v>#N/A</v>
      </c>
      <c r="D30" s="49" t="e">
        <f>_xlfn.XLOOKUP($E30,Tab_Def_Processes[Name(EN)],Tab_Def_Processes[Process_ID],,0,)</f>
        <v>#N/A</v>
      </c>
      <c r="E30" s="51" t="s">
        <v>230</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3" t="b">
        <v>0</v>
      </c>
      <c r="B31" s="49">
        <f t="shared" si="0"/>
        <v>30</v>
      </c>
      <c r="C31" s="49" t="e">
        <f t="shared" si="1"/>
        <v>#N/A</v>
      </c>
      <c r="D31" s="49" t="e">
        <f>_xlfn.XLOOKUP($E31,Tab_Def_Processes[Name(EN)],Tab_Def_Processes[Process_ID],,0,)</f>
        <v>#N/A</v>
      </c>
      <c r="E31" s="51" t="s">
        <v>230</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3" t="b">
        <v>0</v>
      </c>
      <c r="B32" s="49">
        <f t="shared" si="0"/>
        <v>31</v>
      </c>
      <c r="C32" s="49" t="e">
        <f t="shared" si="1"/>
        <v>#N/A</v>
      </c>
      <c r="D32" s="49" t="e">
        <f>_xlfn.XLOOKUP($E32,Tab_Def_Processes[Name(EN)],Tab_Def_Processes[Process_ID],,0,)</f>
        <v>#N/A</v>
      </c>
      <c r="E32" s="51" t="s">
        <v>230</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3" t="b">
        <v>0</v>
      </c>
      <c r="B33" s="49">
        <f t="shared" si="0"/>
        <v>32</v>
      </c>
      <c r="C33" s="49" t="e">
        <f t="shared" si="1"/>
        <v>#N/A</v>
      </c>
      <c r="D33" s="49" t="e">
        <f>_xlfn.XLOOKUP($E33,Tab_Def_Processes[Name(EN)],Tab_Def_Processes[Process_ID],,0,)</f>
        <v>#N/A</v>
      </c>
      <c r="E33" s="51" t="s">
        <v>230</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3" t="b">
        <v>0</v>
      </c>
      <c r="B34" s="49">
        <f t="shared" ref="B34:B51" si="2">ROW()-1</f>
        <v>33</v>
      </c>
      <c r="C34" s="49" t="e">
        <f t="shared" ref="C34:C63" si="3">LEFT(B34,2)&amp;"_"&amp;LEFT(M34,4)&amp;"_"&amp;LEFT(D34,12)</f>
        <v>#N/A</v>
      </c>
      <c r="D34" s="49" t="e">
        <f>_xlfn.XLOOKUP($E34,Tab_Def_Processes[Name(EN)],Tab_Def_Processes[Process_ID],,0,)</f>
        <v>#N/A</v>
      </c>
      <c r="E34" s="51" t="s">
        <v>230</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3" t="b">
        <v>0</v>
      </c>
      <c r="B35" s="49">
        <f t="shared" si="2"/>
        <v>34</v>
      </c>
      <c r="C35" s="49" t="e">
        <f t="shared" si="3"/>
        <v>#N/A</v>
      </c>
      <c r="D35" s="49" t="e">
        <f>_xlfn.XLOOKUP($E35,Tab_Def_Processes[Name(EN)],Tab_Def_Processes[Process_ID],,0,)</f>
        <v>#N/A</v>
      </c>
      <c r="E35" s="51" t="s">
        <v>230</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3" t="b">
        <v>0</v>
      </c>
      <c r="B36" s="49">
        <f t="shared" si="2"/>
        <v>35</v>
      </c>
      <c r="C36" s="49" t="e">
        <f t="shared" si="3"/>
        <v>#N/A</v>
      </c>
      <c r="D36" s="49" t="e">
        <f>_xlfn.XLOOKUP($E36,Tab_Def_Processes[Name(EN)],Tab_Def_Processes[Process_ID],,0,)</f>
        <v>#N/A</v>
      </c>
      <c r="E36" s="51" t="s">
        <v>230</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3" t="b">
        <v>0</v>
      </c>
      <c r="B37" s="49">
        <f t="shared" si="2"/>
        <v>36</v>
      </c>
      <c r="C37" s="49" t="e">
        <f t="shared" si="3"/>
        <v>#N/A</v>
      </c>
      <c r="D37" s="49" t="e">
        <f>_xlfn.XLOOKUP($E37,Tab_Def_Processes[Name(EN)],Tab_Def_Processes[Process_ID],,0,)</f>
        <v>#N/A</v>
      </c>
      <c r="E37" s="51" t="s">
        <v>230</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3" t="b">
        <v>0</v>
      </c>
      <c r="B38" s="49">
        <f t="shared" si="2"/>
        <v>37</v>
      </c>
      <c r="C38" s="49" t="e">
        <f t="shared" si="3"/>
        <v>#N/A</v>
      </c>
      <c r="D38" s="49" t="e">
        <f>_xlfn.XLOOKUP($E38,Tab_Def_Processes[Name(EN)],Tab_Def_Processes[Process_ID],,0,)</f>
        <v>#N/A</v>
      </c>
      <c r="E38" s="51" t="s">
        <v>230</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3" t="b">
        <v>0</v>
      </c>
      <c r="B39" s="49">
        <f t="shared" si="2"/>
        <v>38</v>
      </c>
      <c r="C39" s="49" t="e">
        <f t="shared" si="3"/>
        <v>#N/A</v>
      </c>
      <c r="D39" s="49" t="e">
        <f>_xlfn.XLOOKUP($E39,Tab_Def_Processes[Name(EN)],Tab_Def_Processes[Process_ID],,0,)</f>
        <v>#N/A</v>
      </c>
      <c r="E39" s="51" t="s">
        <v>230</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3" t="b">
        <v>0</v>
      </c>
      <c r="B40" s="49">
        <f t="shared" si="2"/>
        <v>39</v>
      </c>
      <c r="C40" s="49" t="e">
        <f t="shared" si="3"/>
        <v>#N/A</v>
      </c>
      <c r="D40" s="49" t="e">
        <f>_xlfn.XLOOKUP($E40,Tab_Def_Processes[Name(EN)],Tab_Def_Processes[Process_ID],,0,)</f>
        <v>#N/A</v>
      </c>
      <c r="E40" s="51" t="s">
        <v>230</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3" t="b">
        <v>0</v>
      </c>
      <c r="B41" s="49">
        <f t="shared" si="2"/>
        <v>40</v>
      </c>
      <c r="C41" s="49" t="e">
        <f t="shared" si="3"/>
        <v>#N/A</v>
      </c>
      <c r="D41" s="49" t="e">
        <f>_xlfn.XLOOKUP($E41,Tab_Def_Processes[Name(EN)],Tab_Def_Processes[Process_ID],,0,)</f>
        <v>#N/A</v>
      </c>
      <c r="E41" s="51" t="s">
        <v>230</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3" t="b">
        <v>0</v>
      </c>
      <c r="B42" s="49">
        <f t="shared" si="2"/>
        <v>41</v>
      </c>
      <c r="C42" s="49" t="e">
        <f t="shared" si="3"/>
        <v>#N/A</v>
      </c>
      <c r="D42" s="49" t="e">
        <f>_xlfn.XLOOKUP($E42,Tab_Def_Processes[Name(EN)],Tab_Def_Processes[Process_ID],,0,)</f>
        <v>#N/A</v>
      </c>
      <c r="E42" s="51" t="s">
        <v>230</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3" t="b">
        <v>0</v>
      </c>
      <c r="B43" s="49">
        <f t="shared" si="2"/>
        <v>42</v>
      </c>
      <c r="C43" s="49" t="e">
        <f t="shared" si="3"/>
        <v>#N/A</v>
      </c>
      <c r="D43" s="49" t="e">
        <f>_xlfn.XLOOKUP($E43,Tab_Def_Processes[Name(EN)],Tab_Def_Processes[Process_ID],,0,)</f>
        <v>#N/A</v>
      </c>
      <c r="E43" s="51" t="s">
        <v>230</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3" t="b">
        <v>0</v>
      </c>
      <c r="B44" s="49">
        <f t="shared" si="2"/>
        <v>43</v>
      </c>
      <c r="C44" s="49" t="e">
        <f t="shared" si="3"/>
        <v>#N/A</v>
      </c>
      <c r="D44" s="49" t="e">
        <f>_xlfn.XLOOKUP($E44,Tab_Def_Processes[Name(EN)],Tab_Def_Processes[Process_ID],,0,)</f>
        <v>#N/A</v>
      </c>
      <c r="E44" s="51" t="s">
        <v>230</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3" t="b">
        <v>0</v>
      </c>
      <c r="B45" s="49">
        <f t="shared" si="2"/>
        <v>44</v>
      </c>
      <c r="C45" s="49" t="e">
        <f t="shared" si="3"/>
        <v>#N/A</v>
      </c>
      <c r="D45" s="49" t="e">
        <f>_xlfn.XLOOKUP($E45,Tab_Def_Processes[Name(EN)],Tab_Def_Processes[Process_ID],,0,)</f>
        <v>#N/A</v>
      </c>
      <c r="E45" s="51" t="s">
        <v>230</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3" t="b">
        <v>0</v>
      </c>
      <c r="B46" s="49">
        <f t="shared" si="2"/>
        <v>45</v>
      </c>
      <c r="C46" s="49" t="e">
        <f t="shared" si="3"/>
        <v>#N/A</v>
      </c>
      <c r="D46" s="49" t="e">
        <f>_xlfn.XLOOKUP($E46,Tab_Def_Processes[Name(EN)],Tab_Def_Processes[Process_ID],,0,)</f>
        <v>#N/A</v>
      </c>
      <c r="E46" s="51" t="s">
        <v>230</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3" t="b">
        <v>0</v>
      </c>
      <c r="B47" s="49">
        <f t="shared" si="2"/>
        <v>46</v>
      </c>
      <c r="C47" s="49" t="e">
        <f t="shared" si="3"/>
        <v>#N/A</v>
      </c>
      <c r="D47" s="49" t="e">
        <f>_xlfn.XLOOKUP($E47,Tab_Def_Processes[Name(EN)],Tab_Def_Processes[Process_ID],,0,)</f>
        <v>#N/A</v>
      </c>
      <c r="E47" s="51" t="s">
        <v>230</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3" t="b">
        <v>0</v>
      </c>
      <c r="B48" s="49">
        <f t="shared" si="2"/>
        <v>47</v>
      </c>
      <c r="C48" s="49" t="e">
        <f t="shared" si="3"/>
        <v>#N/A</v>
      </c>
      <c r="D48" s="49" t="e">
        <f>_xlfn.XLOOKUP($E48,Tab_Def_Processes[Name(EN)],Tab_Def_Processes[Process_ID],,0,)</f>
        <v>#N/A</v>
      </c>
      <c r="E48" s="51" t="s">
        <v>230</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3" t="b">
        <v>0</v>
      </c>
      <c r="B49" s="49">
        <f t="shared" si="2"/>
        <v>48</v>
      </c>
      <c r="C49" s="49" t="e">
        <f t="shared" si="3"/>
        <v>#N/A</v>
      </c>
      <c r="D49" s="49" t="e">
        <f>_xlfn.XLOOKUP($E49,Tab_Def_Processes[Name(EN)],Tab_Def_Processes[Process_ID],,0,)</f>
        <v>#N/A</v>
      </c>
      <c r="E49" s="51" t="s">
        <v>230</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3" t="b">
        <v>0</v>
      </c>
      <c r="B50" s="49">
        <f t="shared" si="2"/>
        <v>49</v>
      </c>
      <c r="C50" s="49" t="e">
        <f t="shared" si="3"/>
        <v>#N/A</v>
      </c>
      <c r="D50" s="49" t="e">
        <f>_xlfn.XLOOKUP($E50,Tab_Def_Processes[Name(EN)],Tab_Def_Processes[Process_ID],,0,)</f>
        <v>#N/A</v>
      </c>
      <c r="E50" s="51" t="s">
        <v>230</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3" t="b">
        <v>0</v>
      </c>
      <c r="B51" s="49">
        <f t="shared" si="2"/>
        <v>50</v>
      </c>
      <c r="C51" s="49" t="e">
        <f t="shared" si="3"/>
        <v>#N/A</v>
      </c>
      <c r="D51" s="49" t="e">
        <f>_xlfn.XLOOKUP($E51,Tab_Def_Processes[Name(EN)],Tab_Def_Processes[Process_ID],,0,)</f>
        <v>#N/A</v>
      </c>
      <c r="E51" s="51" t="s">
        <v>230</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3" t="b">
        <v>0</v>
      </c>
      <c r="B52" s="49">
        <f t="shared" ref="B52:B63" si="4">ROW()-1</f>
        <v>51</v>
      </c>
      <c r="C52" s="49" t="str">
        <f t="shared" si="3"/>
        <v>51__12__</v>
      </c>
      <c r="D52" s="49" t="str">
        <f>_xlfn.XLOOKUP($E52,Tab_Def_Processes[Name(EN)],Tab_Def_Processes[Process_ID],,0,)</f>
        <v>12__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3" t="b">
        <v>0</v>
      </c>
      <c r="B53" s="49">
        <f t="shared" si="4"/>
        <v>52</v>
      </c>
      <c r="C53" s="49" t="str">
        <f t="shared" si="3"/>
        <v>52__12__</v>
      </c>
      <c r="D53" s="49" t="str">
        <f>_xlfn.XLOOKUP($E53,Tab_Def_Processes[Name(EN)],Tab_Def_Processes[Process_ID],,0,)</f>
        <v>12__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3" t="b">
        <v>0</v>
      </c>
      <c r="B54" s="49">
        <f t="shared" si="4"/>
        <v>53</v>
      </c>
      <c r="C54" s="49" t="str">
        <f t="shared" si="3"/>
        <v>53__12__</v>
      </c>
      <c r="D54" s="49" t="str">
        <f>_xlfn.XLOOKUP($E54,Tab_Def_Processes[Name(EN)],Tab_Def_Processes[Process_ID],,0,)</f>
        <v>12__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3" t="b">
        <v>0</v>
      </c>
      <c r="B55" s="49">
        <f t="shared" si="4"/>
        <v>54</v>
      </c>
      <c r="C55" s="49" t="str">
        <f t="shared" si="3"/>
        <v>54__12__</v>
      </c>
      <c r="D55" s="49" t="str">
        <f>_xlfn.XLOOKUP($E55,Tab_Def_Processes[Name(EN)],Tab_Def_Processes[Process_ID],,0,)</f>
        <v>12__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3" t="b">
        <v>0</v>
      </c>
      <c r="B56" s="49">
        <f t="shared" si="4"/>
        <v>55</v>
      </c>
      <c r="C56" s="49" t="str">
        <f t="shared" si="3"/>
        <v>55__12__</v>
      </c>
      <c r="D56" s="49" t="str">
        <f>_xlfn.XLOOKUP($E56,Tab_Def_Processes[Name(EN)],Tab_Def_Processes[Process_ID],,0,)</f>
        <v>12__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3" t="b">
        <v>0</v>
      </c>
      <c r="B57" s="49">
        <f t="shared" si="4"/>
        <v>56</v>
      </c>
      <c r="C57" s="49" t="str">
        <f t="shared" si="3"/>
        <v>56__12__</v>
      </c>
      <c r="D57" s="49" t="str">
        <f>_xlfn.XLOOKUP($E57,Tab_Def_Processes[Name(EN)],Tab_Def_Processes[Process_ID],,0,)</f>
        <v>12__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3" t="b">
        <v>0</v>
      </c>
      <c r="B58" s="49">
        <f t="shared" si="4"/>
        <v>57</v>
      </c>
      <c r="C58" s="49" t="str">
        <f t="shared" si="3"/>
        <v>57__12__</v>
      </c>
      <c r="D58" s="49" t="str">
        <f>_xlfn.XLOOKUP($E58,Tab_Def_Processes[Name(EN)],Tab_Def_Processes[Process_ID],,0,)</f>
        <v>12__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3" t="b">
        <v>0</v>
      </c>
      <c r="B59" s="49">
        <f t="shared" si="4"/>
        <v>58</v>
      </c>
      <c r="C59" s="49" t="str">
        <f t="shared" si="3"/>
        <v>58__12__</v>
      </c>
      <c r="D59" s="49" t="str">
        <f>_xlfn.XLOOKUP($E59,Tab_Def_Processes[Name(EN)],Tab_Def_Processes[Process_ID],,0,)</f>
        <v>12__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3" t="b">
        <v>0</v>
      </c>
      <c r="B60" s="49">
        <f t="shared" si="4"/>
        <v>59</v>
      </c>
      <c r="C60" s="49" t="str">
        <f t="shared" si="3"/>
        <v>59__12__</v>
      </c>
      <c r="D60" s="49" t="str">
        <f>_xlfn.XLOOKUP($E60,Tab_Def_Processes[Name(EN)],Tab_Def_Processes[Process_ID],,0,)</f>
        <v>12__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3" t="b">
        <v>0</v>
      </c>
      <c r="B61" s="49">
        <f t="shared" si="4"/>
        <v>60</v>
      </c>
      <c r="C61" s="49" t="str">
        <f t="shared" si="3"/>
        <v>60__12__</v>
      </c>
      <c r="D61" s="49" t="str">
        <f>_xlfn.XLOOKUP($E61,Tab_Def_Processes[Name(EN)],Tab_Def_Processes[Process_ID],,0,)</f>
        <v>12__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3" t="b">
        <v>0</v>
      </c>
      <c r="B62" s="49">
        <f t="shared" si="4"/>
        <v>61</v>
      </c>
      <c r="C62" s="49" t="str">
        <f t="shared" si="3"/>
        <v>61__12__</v>
      </c>
      <c r="D62" s="49" t="str">
        <f>_xlfn.XLOOKUP($E62,Tab_Def_Processes[Name(EN)],Tab_Def_Processes[Process_ID],,0,)</f>
        <v>12__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3" t="b">
        <v>0</v>
      </c>
      <c r="B63" s="49">
        <f t="shared" si="4"/>
        <v>62</v>
      </c>
      <c r="C63" s="49" t="str">
        <f t="shared" si="3"/>
        <v>62__12__</v>
      </c>
      <c r="D63" s="49" t="str">
        <f>_xlfn.XLOOKUP($E63,Tab_Def_Processes[Name(EN)],Tab_Def_Processes[Process_ID],,0,)</f>
        <v>12__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tabColor theme="8"/>
  </sheetPr>
  <dimension ref="A1"/>
  <sheetViews>
    <sheetView workbookViewId="0">
      <selection activeCell="W48" sqref="W48"/>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tabColor theme="8" tint="0.79998168889431442"/>
  </sheetPr>
  <dimension ref="A1:M72"/>
  <sheetViews>
    <sheetView topLeftCell="A19" zoomScaleNormal="100" zoomScaleSheetLayoutView="145" zoomScalePageLayoutView="115" workbookViewId="0">
      <selection activeCell="P54" sqref="P54"/>
    </sheetView>
  </sheetViews>
  <sheetFormatPr defaultColWidth="11.42578125" defaultRowHeight="15" x14ac:dyDescent="0.25"/>
  <cols>
    <col min="1" max="1" width="16" customWidth="1"/>
    <col min="2" max="13" width="9.85546875" style="3" customWidth="1"/>
  </cols>
  <sheetData>
    <row r="1" spans="1:13" ht="48" thickBot="1" x14ac:dyDescent="0.3">
      <c r="A1" s="227" t="s">
        <v>577</v>
      </c>
      <c r="B1" s="292" t="str">
        <f>'2_1_Definition_Processes'!D2</f>
        <v>Cultivation</v>
      </c>
      <c r="C1" s="292"/>
      <c r="D1" s="292"/>
      <c r="E1" s="292"/>
      <c r="F1" s="292"/>
      <c r="G1" s="292"/>
      <c r="H1" s="292"/>
      <c r="I1" s="227" t="s">
        <v>576</v>
      </c>
      <c r="J1" s="293" t="s">
        <v>578</v>
      </c>
      <c r="K1" s="293"/>
      <c r="L1" s="293"/>
      <c r="M1" s="293"/>
    </row>
    <row r="2" spans="1:13" ht="16.5" thickBot="1" x14ac:dyDescent="0.3">
      <c r="A2" s="287" t="s">
        <v>575</v>
      </c>
      <c r="B2" s="288"/>
      <c r="C2" s="288"/>
      <c r="D2" s="288"/>
      <c r="E2" s="288"/>
      <c r="F2" s="288"/>
      <c r="G2" s="288"/>
      <c r="H2" s="288"/>
      <c r="I2" s="288"/>
      <c r="J2" s="288"/>
      <c r="K2" s="288"/>
      <c r="L2" s="288"/>
      <c r="M2" s="289"/>
    </row>
    <row r="3" spans="1:13" ht="126.75" customHeight="1" thickBot="1" x14ac:dyDescent="0.3">
      <c r="A3" s="294"/>
      <c r="B3" s="295"/>
      <c r="C3" s="295"/>
      <c r="D3" s="295"/>
      <c r="E3" s="295"/>
      <c r="F3" s="295"/>
      <c r="G3" s="295"/>
      <c r="H3" s="295"/>
      <c r="I3" s="295"/>
      <c r="J3" s="295"/>
      <c r="K3" s="295"/>
      <c r="L3" s="295"/>
      <c r="M3" s="296"/>
    </row>
    <row r="4" spans="1:13" ht="31.5" customHeight="1" x14ac:dyDescent="0.25">
      <c r="A4" s="226" t="s">
        <v>574</v>
      </c>
      <c r="B4" s="297"/>
      <c r="C4" s="298"/>
      <c r="D4" s="299"/>
      <c r="E4" s="300" t="s">
        <v>573</v>
      </c>
      <c r="F4" s="301"/>
      <c r="G4" s="231"/>
      <c r="H4" s="231"/>
      <c r="I4" s="225"/>
      <c r="J4" s="225"/>
      <c r="K4" s="225"/>
      <c r="L4" s="225"/>
      <c r="M4" s="225"/>
    </row>
    <row r="5" spans="1:13" ht="16.5" customHeight="1" x14ac:dyDescent="0.25">
      <c r="A5" s="228" t="s">
        <v>572</v>
      </c>
      <c r="B5" s="290" t="str">
        <f>_xlfn.XLOOKUP(J1,Tab_Def_Processes[Process_ID],Tab_Def_Processes[Input_Flow_I_1],"No_flow.",0,1)</f>
        <v>N.A.</v>
      </c>
      <c r="C5" s="290"/>
      <c r="D5" s="291"/>
      <c r="E5" s="228" t="s">
        <v>572</v>
      </c>
      <c r="F5" s="283" t="str">
        <f>_xlfn.XLOOKUP(J1,Tab_Def_Processes[Process_ID],Tab_Def_Processes[Output_Flow_O_1],"No_flow.",0,1)</f>
        <v>N.A.</v>
      </c>
      <c r="G5" s="283"/>
      <c r="H5" s="284"/>
      <c r="I5" s="229"/>
      <c r="J5" s="224"/>
      <c r="K5" s="224"/>
      <c r="L5" s="224"/>
      <c r="M5" s="221"/>
    </row>
    <row r="6" spans="1:13" ht="16.5" customHeight="1" x14ac:dyDescent="0.25">
      <c r="A6" s="228" t="s">
        <v>571</v>
      </c>
      <c r="B6" s="283" t="str">
        <f>_xlfn.XLOOKUP(J1,Tab_Def_Processes[Process_ID],Tab_Def_Processes[Input_Flow_I_2],"No_flow.",0,1)</f>
        <v>N.A.</v>
      </c>
      <c r="C6" s="283"/>
      <c r="D6" s="284"/>
      <c r="E6" s="228" t="s">
        <v>571</v>
      </c>
      <c r="F6" s="283" t="str">
        <f>_xlfn.XLOOKUP(J1,Tab_Def_Processes[Process_ID],Tab_Def_Processes[Output_Flow_O_2],"No_flow.",0,1)</f>
        <v>N.A.</v>
      </c>
      <c r="G6" s="283"/>
      <c r="H6" s="284"/>
      <c r="I6" s="229"/>
      <c r="J6" s="224"/>
      <c r="K6" s="224"/>
      <c r="L6" s="224"/>
      <c r="M6" s="221"/>
    </row>
    <row r="7" spans="1:13" ht="16.5" customHeight="1" x14ac:dyDescent="0.25">
      <c r="A7" s="223" t="s">
        <v>570</v>
      </c>
      <c r="B7" s="283" t="str">
        <f>_xlfn.XLOOKUP(J1,Tab_Def_Processes[Process_ID],Tab_Def_Processes[Input_Flow_I_3],"No_flow.",0,1)</f>
        <v>N.A.</v>
      </c>
      <c r="C7" s="283"/>
      <c r="D7" s="284"/>
      <c r="E7" s="223" t="s">
        <v>570</v>
      </c>
      <c r="F7" s="283" t="str">
        <f>_xlfn.XLOOKUP(J1,Tab_Def_Processes[Process_ID],Tab_Def_Processes[Output_Flow_O_3],"No_flow.",0,1)</f>
        <v>N.A.</v>
      </c>
      <c r="G7" s="283"/>
      <c r="H7" s="284"/>
      <c r="I7" s="230"/>
      <c r="J7" s="222"/>
      <c r="K7" s="222"/>
      <c r="L7" s="222"/>
      <c r="M7" s="221"/>
    </row>
    <row r="8" spans="1:13" ht="16.5" customHeight="1" x14ac:dyDescent="0.25">
      <c r="A8" s="223" t="s">
        <v>569</v>
      </c>
      <c r="B8" s="283" t="str">
        <f>_xlfn.XLOOKUP(J1,Tab_Def_Processes[Process_ID],Tab_Def_Processes[Input_Flow_I_4],"No_flow.",0,1)</f>
        <v>N.A.</v>
      </c>
      <c r="C8" s="283"/>
      <c r="D8" s="284"/>
      <c r="E8" s="223" t="s">
        <v>569</v>
      </c>
      <c r="F8" s="283" t="str">
        <f>_xlfn.XLOOKUP(J1,Tab_Def_Processes[Process_ID],Tab_Def_Processes[Output_Flow_O_4],"No_flow.",0,1)</f>
        <v>N.A.</v>
      </c>
      <c r="G8" s="283"/>
      <c r="H8" s="284"/>
      <c r="I8" s="230"/>
      <c r="J8" s="222"/>
      <c r="K8" s="222"/>
      <c r="L8" s="222"/>
      <c r="M8" s="221"/>
    </row>
    <row r="9" spans="1:13" ht="16.5" customHeight="1" x14ac:dyDescent="0.25">
      <c r="A9" s="223" t="s">
        <v>568</v>
      </c>
      <c r="B9" s="283" t="str">
        <f>_xlfn.XLOOKUP(J1,Tab_Def_Processes[Process_ID],Tab_Def_Processes[Input_Flow_I_5],"No_flow.",0,1)</f>
        <v>N.A.</v>
      </c>
      <c r="C9" s="283"/>
      <c r="D9" s="284"/>
      <c r="E9" s="223" t="s">
        <v>568</v>
      </c>
      <c r="F9" s="283" t="str">
        <f>_xlfn.XLOOKUP(J1,Tab_Def_Processes[Process_ID],Tab_Def_Processes[Output_Flow_O_5],"No_flow.",0,1)</f>
        <v>N.A.</v>
      </c>
      <c r="G9" s="283"/>
      <c r="H9" s="284"/>
      <c r="I9" s="230"/>
      <c r="J9" s="222"/>
      <c r="K9" s="222"/>
      <c r="L9" s="222"/>
      <c r="M9" s="221"/>
    </row>
    <row r="10" spans="1:13" ht="16.5" customHeight="1" thickBot="1" x14ac:dyDescent="0.3">
      <c r="A10" s="232" t="s">
        <v>567</v>
      </c>
      <c r="B10" s="285"/>
      <c r="C10" s="285"/>
      <c r="D10" s="286"/>
      <c r="E10" s="232" t="s">
        <v>567</v>
      </c>
      <c r="F10" s="285"/>
      <c r="G10" s="285"/>
      <c r="H10" s="286"/>
      <c r="I10" s="230"/>
      <c r="J10" s="222"/>
      <c r="K10" s="222"/>
      <c r="L10" s="222"/>
      <c r="M10" s="221"/>
    </row>
    <row r="11" spans="1:13" ht="16.5" thickBot="1" x14ac:dyDescent="0.3">
      <c r="A11" s="287" t="s">
        <v>566</v>
      </c>
      <c r="B11" s="288"/>
      <c r="C11" s="288"/>
      <c r="D11" s="288"/>
      <c r="E11" s="288"/>
      <c r="F11" s="288"/>
      <c r="G11" s="288"/>
      <c r="H11" s="288"/>
      <c r="I11" s="288"/>
      <c r="J11" s="288"/>
      <c r="K11" s="288"/>
      <c r="L11" s="288"/>
      <c r="M11" s="289"/>
    </row>
    <row r="12" spans="1:13" ht="33" customHeight="1" thickBot="1" x14ac:dyDescent="0.3">
      <c r="A12" s="220">
        <v>1000</v>
      </c>
      <c r="B12" s="219" t="s">
        <v>565</v>
      </c>
      <c r="C12" s="218"/>
      <c r="D12" s="218"/>
      <c r="E12" s="218"/>
      <c r="F12" s="218"/>
      <c r="G12" s="218"/>
      <c r="H12" s="218"/>
      <c r="I12" s="218"/>
      <c r="J12" s="218"/>
      <c r="K12" s="218"/>
      <c r="L12" s="218"/>
      <c r="M12" s="217"/>
    </row>
    <row r="13" spans="1:13" ht="16.5" thickBot="1" x14ac:dyDescent="0.3">
      <c r="A13" s="258" t="s">
        <v>564</v>
      </c>
      <c r="B13" s="259"/>
      <c r="C13" s="259"/>
      <c r="D13" s="259"/>
      <c r="E13" s="259"/>
      <c r="F13" s="259"/>
      <c r="G13" s="259"/>
      <c r="H13" s="259"/>
      <c r="I13" s="259"/>
      <c r="J13" s="259"/>
      <c r="K13" s="259"/>
      <c r="L13" s="259"/>
      <c r="M13" s="260"/>
    </row>
    <row r="14" spans="1:13" ht="16.5" thickBot="1" x14ac:dyDescent="0.3">
      <c r="A14" s="178" t="s">
        <v>550</v>
      </c>
      <c r="B14" s="262" t="s">
        <v>562</v>
      </c>
      <c r="C14" s="263"/>
      <c r="D14" s="264"/>
      <c r="E14" s="265" t="s">
        <v>561</v>
      </c>
      <c r="F14" s="266"/>
      <c r="G14" s="266"/>
      <c r="H14" s="267"/>
      <c r="I14" s="268" t="s">
        <v>560</v>
      </c>
      <c r="J14" s="269"/>
      <c r="K14" s="269"/>
      <c r="L14" s="269"/>
      <c r="M14" s="270"/>
    </row>
    <row r="15" spans="1:13" ht="63.75" thickBot="1" x14ac:dyDescent="0.3">
      <c r="A15" s="139"/>
      <c r="B15" s="152" t="s">
        <v>559</v>
      </c>
      <c r="C15" s="205" t="s">
        <v>558</v>
      </c>
      <c r="D15" s="204" t="s">
        <v>551</v>
      </c>
      <c r="E15" s="203" t="s">
        <v>557</v>
      </c>
      <c r="F15" s="151" t="s">
        <v>556</v>
      </c>
      <c r="G15" s="151" t="s">
        <v>555</v>
      </c>
      <c r="H15" s="202" t="s">
        <v>551</v>
      </c>
      <c r="I15" s="201" t="s">
        <v>554</v>
      </c>
      <c r="J15" s="150" t="s">
        <v>553</v>
      </c>
      <c r="K15" s="150" t="s">
        <v>552</v>
      </c>
      <c r="L15" s="150" t="s">
        <v>551</v>
      </c>
      <c r="M15" s="200"/>
    </row>
    <row r="16" spans="1:13" ht="23.25" customHeight="1" x14ac:dyDescent="0.25">
      <c r="A16" s="172" t="str">
        <f t="shared" ref="A16:A21" si="0">B5</f>
        <v>N.A.</v>
      </c>
      <c r="B16" s="148">
        <v>1000</v>
      </c>
      <c r="C16" s="199">
        <f t="shared" ref="C16:C21" si="1">B16/$B$22</f>
        <v>0.33333333333333331</v>
      </c>
      <c r="D16" s="198" t="s">
        <v>523</v>
      </c>
      <c r="E16" s="197">
        <v>0.5</v>
      </c>
      <c r="F16" s="147">
        <f t="shared" ref="F16:F21" si="2">E16*B16</f>
        <v>500</v>
      </c>
      <c r="G16" s="196">
        <f t="shared" ref="G16:G21" si="3">F16/$F$22</f>
        <v>0.33333333333333331</v>
      </c>
      <c r="H16" s="195" t="s">
        <v>523</v>
      </c>
      <c r="I16" s="194">
        <f>1-E16</f>
        <v>0.5</v>
      </c>
      <c r="J16" s="146">
        <f t="shared" ref="J16:J21" si="4">I16*B16</f>
        <v>500</v>
      </c>
      <c r="K16" s="214">
        <f t="shared" ref="K16:K21" si="5">J16/$J$22</f>
        <v>0.33333333333333331</v>
      </c>
      <c r="L16" s="191" t="s">
        <v>523</v>
      </c>
      <c r="M16" s="191"/>
    </row>
    <row r="17" spans="1:13" ht="23.25" customHeight="1" x14ac:dyDescent="0.25">
      <c r="A17" s="172" t="str">
        <f t="shared" si="0"/>
        <v>N.A.</v>
      </c>
      <c r="B17" s="148">
        <v>1000</v>
      </c>
      <c r="C17" s="199">
        <f t="shared" si="1"/>
        <v>0.33333333333333331</v>
      </c>
      <c r="D17" s="198" t="s">
        <v>523</v>
      </c>
      <c r="E17" s="197">
        <v>0.5</v>
      </c>
      <c r="F17" s="147">
        <f t="shared" si="2"/>
        <v>500</v>
      </c>
      <c r="G17" s="196">
        <f t="shared" si="3"/>
        <v>0.33333333333333331</v>
      </c>
      <c r="H17" s="195" t="s">
        <v>523</v>
      </c>
      <c r="I17" s="194">
        <f>1-E17</f>
        <v>0.5</v>
      </c>
      <c r="J17" s="146">
        <f t="shared" si="4"/>
        <v>500</v>
      </c>
      <c r="K17" s="214">
        <f t="shared" si="5"/>
        <v>0.33333333333333331</v>
      </c>
      <c r="L17" s="191" t="s">
        <v>523</v>
      </c>
      <c r="M17" s="191"/>
    </row>
    <row r="18" spans="1:13" ht="23.25" customHeight="1" x14ac:dyDescent="0.25">
      <c r="A18" s="172" t="str">
        <f t="shared" si="0"/>
        <v>N.A.</v>
      </c>
      <c r="B18" s="148">
        <v>1000</v>
      </c>
      <c r="C18" s="199">
        <f t="shared" si="1"/>
        <v>0.33333333333333331</v>
      </c>
      <c r="D18" s="198"/>
      <c r="E18" s="197">
        <v>0.5</v>
      </c>
      <c r="F18" s="147">
        <f t="shared" si="2"/>
        <v>500</v>
      </c>
      <c r="G18" s="196">
        <f t="shared" si="3"/>
        <v>0.33333333333333331</v>
      </c>
      <c r="H18" s="195"/>
      <c r="I18" s="194">
        <f>1-E18</f>
        <v>0.5</v>
      </c>
      <c r="J18" s="146">
        <f t="shared" si="4"/>
        <v>500</v>
      </c>
      <c r="K18" s="214">
        <f t="shared" si="5"/>
        <v>0.33333333333333331</v>
      </c>
      <c r="L18" s="192"/>
      <c r="M18" s="191"/>
    </row>
    <row r="19" spans="1:13" ht="23.25" customHeight="1" x14ac:dyDescent="0.25">
      <c r="A19" s="172" t="str">
        <f t="shared" si="0"/>
        <v>N.A.</v>
      </c>
      <c r="B19" s="148"/>
      <c r="C19" s="199">
        <f t="shared" si="1"/>
        <v>0</v>
      </c>
      <c r="D19" s="198"/>
      <c r="E19" s="197"/>
      <c r="F19" s="147">
        <f t="shared" si="2"/>
        <v>0</v>
      </c>
      <c r="G19" s="196">
        <f t="shared" si="3"/>
        <v>0</v>
      </c>
      <c r="H19" s="216"/>
      <c r="I19" s="215"/>
      <c r="J19" s="146">
        <f t="shared" si="4"/>
        <v>0</v>
      </c>
      <c r="K19" s="214">
        <f t="shared" si="5"/>
        <v>0</v>
      </c>
      <c r="L19" s="192"/>
      <c r="M19" s="191"/>
    </row>
    <row r="20" spans="1:13" ht="23.25" customHeight="1" x14ac:dyDescent="0.25">
      <c r="A20" s="172" t="str">
        <f t="shared" si="0"/>
        <v>N.A.</v>
      </c>
      <c r="B20" s="148"/>
      <c r="C20" s="199">
        <f t="shared" si="1"/>
        <v>0</v>
      </c>
      <c r="D20" s="198"/>
      <c r="E20" s="197"/>
      <c r="F20" s="147">
        <f t="shared" si="2"/>
        <v>0</v>
      </c>
      <c r="G20" s="196">
        <f t="shared" si="3"/>
        <v>0</v>
      </c>
      <c r="H20" s="216"/>
      <c r="I20" s="215"/>
      <c r="J20" s="146">
        <f t="shared" si="4"/>
        <v>0</v>
      </c>
      <c r="K20" s="214">
        <f t="shared" si="5"/>
        <v>0</v>
      </c>
      <c r="L20" s="192"/>
      <c r="M20" s="191"/>
    </row>
    <row r="21" spans="1:13" ht="23.25" customHeight="1" thickBot="1" x14ac:dyDescent="0.3">
      <c r="A21" s="172">
        <f t="shared" si="0"/>
        <v>0</v>
      </c>
      <c r="B21" s="148"/>
      <c r="C21" s="199">
        <f t="shared" si="1"/>
        <v>0</v>
      </c>
      <c r="D21" s="198"/>
      <c r="E21" s="197"/>
      <c r="F21" s="147">
        <f t="shared" si="2"/>
        <v>0</v>
      </c>
      <c r="G21" s="196">
        <f t="shared" si="3"/>
        <v>0</v>
      </c>
      <c r="H21" s="216"/>
      <c r="I21" s="215"/>
      <c r="J21" s="146">
        <f t="shared" si="4"/>
        <v>0</v>
      </c>
      <c r="K21" s="214">
        <f t="shared" si="5"/>
        <v>0</v>
      </c>
      <c r="L21" s="192"/>
      <c r="M21" s="191"/>
    </row>
    <row r="22" spans="1:13" ht="16.5" thickBot="1" x14ac:dyDescent="0.3">
      <c r="A22" s="162" t="s">
        <v>525</v>
      </c>
      <c r="B22" s="190">
        <f>SUM(B16:B19)</f>
        <v>3000</v>
      </c>
      <c r="C22" s="213">
        <f>C16+C17+C18</f>
        <v>1</v>
      </c>
      <c r="D22" s="188"/>
      <c r="E22" s="187">
        <f>F22/B22</f>
        <v>0.5</v>
      </c>
      <c r="F22" s="186">
        <f>SUM(F16:F19)</f>
        <v>1500</v>
      </c>
      <c r="G22" s="212">
        <f>SUM(G16:G19)</f>
        <v>1</v>
      </c>
      <c r="H22" s="184"/>
      <c r="I22" s="183">
        <f>J22/B22</f>
        <v>0.5</v>
      </c>
      <c r="J22" s="182">
        <f>J16+J17+J18</f>
        <v>1500</v>
      </c>
      <c r="K22" s="211">
        <f>SUM(K16:K19)</f>
        <v>1</v>
      </c>
      <c r="L22" s="180"/>
      <c r="M22" s="179"/>
    </row>
    <row r="23" spans="1:13" ht="16.5" customHeight="1" thickBot="1" x14ac:dyDescent="0.3">
      <c r="A23" s="242" t="s">
        <v>550</v>
      </c>
      <c r="B23" s="245" t="s">
        <v>549</v>
      </c>
      <c r="C23" s="246"/>
      <c r="D23" s="246"/>
      <c r="E23" s="246"/>
      <c r="F23" s="246"/>
      <c r="G23" s="246"/>
      <c r="H23" s="247"/>
      <c r="I23" s="248" t="s">
        <v>548</v>
      </c>
      <c r="J23" s="249"/>
      <c r="K23" s="249"/>
      <c r="L23" s="249"/>
      <c r="M23" s="250"/>
    </row>
    <row r="24" spans="1:13" ht="63.75" thickBot="1" x14ac:dyDescent="0.3">
      <c r="A24" s="17"/>
      <c r="B24" s="177" t="s">
        <v>547</v>
      </c>
      <c r="C24" s="176" t="s">
        <v>546</v>
      </c>
      <c r="D24" s="176" t="s">
        <v>545</v>
      </c>
      <c r="E24" s="176" t="s">
        <v>544</v>
      </c>
      <c r="F24" s="177" t="s">
        <v>543</v>
      </c>
      <c r="G24" s="176" t="s">
        <v>542</v>
      </c>
      <c r="H24" s="241" t="s">
        <v>541</v>
      </c>
      <c r="I24" s="175" t="s">
        <v>540</v>
      </c>
      <c r="J24" s="174" t="s">
        <v>539</v>
      </c>
      <c r="K24" s="174" t="s">
        <v>538</v>
      </c>
      <c r="L24" s="174" t="s">
        <v>537</v>
      </c>
      <c r="M24" s="173" t="s">
        <v>536</v>
      </c>
    </row>
    <row r="25" spans="1:13" ht="27" customHeight="1" x14ac:dyDescent="0.25">
      <c r="A25" s="172" t="str">
        <f t="shared" ref="A25:A30" si="6">B5</f>
        <v>N.A.</v>
      </c>
      <c r="B25" s="171">
        <v>0.5</v>
      </c>
      <c r="C25" s="169">
        <f t="shared" ref="C25:C30" si="7">F16*B25</f>
        <v>250</v>
      </c>
      <c r="D25" s="170">
        <f t="shared" ref="D25:D30" si="8">C25/$C$31</f>
        <v>0.33333333333333331</v>
      </c>
      <c r="E25" s="169" t="s">
        <v>523</v>
      </c>
      <c r="F25" s="168">
        <f t="shared" ref="F25:F30" si="9">B25*E16</f>
        <v>0.25</v>
      </c>
      <c r="G25" s="167">
        <f t="shared" ref="G25:G30" si="10">B25*E16*B16</f>
        <v>250</v>
      </c>
      <c r="H25" s="166">
        <f t="shared" ref="H25:H30" si="11">G25/$G$31</f>
        <v>0.33333333333333331</v>
      </c>
      <c r="I25" s="210">
        <f t="shared" ref="I25:I30" si="12">$A$12*C16</f>
        <v>333.33333333333331</v>
      </c>
      <c r="J25" s="209">
        <f t="shared" ref="J25:J30" si="13">I25*E16</f>
        <v>166.66666666666666</v>
      </c>
      <c r="K25" s="209">
        <f t="shared" ref="K25:K30" si="14">I25*I16</f>
        <v>166.66666666666666</v>
      </c>
      <c r="L25" s="209">
        <f t="shared" ref="L25:L30" si="15">SUM(J25:K25)</f>
        <v>333.33333333333331</v>
      </c>
      <c r="M25" s="208">
        <f t="shared" ref="M25:M30" si="16">I25*F25</f>
        <v>83.333333333333329</v>
      </c>
    </row>
    <row r="26" spans="1:13" ht="15.75" x14ac:dyDescent="0.25">
      <c r="A26" s="172" t="str">
        <f t="shared" si="6"/>
        <v>N.A.</v>
      </c>
      <c r="B26" s="171">
        <v>0.5</v>
      </c>
      <c r="C26" s="169">
        <f t="shared" si="7"/>
        <v>250</v>
      </c>
      <c r="D26" s="170">
        <f t="shared" si="8"/>
        <v>0.33333333333333331</v>
      </c>
      <c r="E26" s="169" t="s">
        <v>523</v>
      </c>
      <c r="F26" s="168">
        <f t="shared" si="9"/>
        <v>0.25</v>
      </c>
      <c r="G26" s="167">
        <f t="shared" si="10"/>
        <v>250</v>
      </c>
      <c r="H26" s="166">
        <f t="shared" si="11"/>
        <v>0.33333333333333331</v>
      </c>
      <c r="I26" s="210">
        <f t="shared" si="12"/>
        <v>333.33333333333331</v>
      </c>
      <c r="J26" s="209">
        <f t="shared" si="13"/>
        <v>166.66666666666666</v>
      </c>
      <c r="K26" s="209">
        <f t="shared" si="14"/>
        <v>166.66666666666666</v>
      </c>
      <c r="L26" s="209">
        <f t="shared" si="15"/>
        <v>333.33333333333331</v>
      </c>
      <c r="M26" s="208">
        <f t="shared" si="16"/>
        <v>83.333333333333329</v>
      </c>
    </row>
    <row r="27" spans="1:13" ht="15.75" x14ac:dyDescent="0.25">
      <c r="A27" s="172" t="str">
        <f t="shared" si="6"/>
        <v>N.A.</v>
      </c>
      <c r="B27" s="171">
        <v>0.5</v>
      </c>
      <c r="C27" s="169">
        <f t="shared" si="7"/>
        <v>250</v>
      </c>
      <c r="D27" s="170">
        <f t="shared" si="8"/>
        <v>0.33333333333333331</v>
      </c>
      <c r="E27" s="169"/>
      <c r="F27" s="168">
        <f t="shared" si="9"/>
        <v>0.25</v>
      </c>
      <c r="G27" s="167">
        <f t="shared" si="10"/>
        <v>250</v>
      </c>
      <c r="H27" s="166">
        <f t="shared" si="11"/>
        <v>0.33333333333333331</v>
      </c>
      <c r="I27" s="210">
        <f t="shared" si="12"/>
        <v>333.33333333333331</v>
      </c>
      <c r="J27" s="209">
        <f t="shared" si="13"/>
        <v>166.66666666666666</v>
      </c>
      <c r="K27" s="209">
        <f t="shared" si="14"/>
        <v>166.66666666666666</v>
      </c>
      <c r="L27" s="209">
        <f t="shared" si="15"/>
        <v>333.33333333333331</v>
      </c>
      <c r="M27" s="208">
        <f t="shared" si="16"/>
        <v>83.333333333333329</v>
      </c>
    </row>
    <row r="28" spans="1:13" ht="15.75" x14ac:dyDescent="0.25">
      <c r="A28" s="172" t="str">
        <f t="shared" si="6"/>
        <v>N.A.</v>
      </c>
      <c r="B28" s="171">
        <v>0</v>
      </c>
      <c r="C28" s="169">
        <f t="shared" si="7"/>
        <v>0</v>
      </c>
      <c r="D28" s="170">
        <f t="shared" si="8"/>
        <v>0</v>
      </c>
      <c r="E28" s="169"/>
      <c r="F28" s="168">
        <f t="shared" si="9"/>
        <v>0</v>
      </c>
      <c r="G28" s="167">
        <f t="shared" si="10"/>
        <v>0</v>
      </c>
      <c r="H28" s="166">
        <f t="shared" si="11"/>
        <v>0</v>
      </c>
      <c r="I28" s="210">
        <f t="shared" si="12"/>
        <v>0</v>
      </c>
      <c r="J28" s="209">
        <f t="shared" si="13"/>
        <v>0</v>
      </c>
      <c r="K28" s="209">
        <f t="shared" si="14"/>
        <v>0</v>
      </c>
      <c r="L28" s="209">
        <f t="shared" si="15"/>
        <v>0</v>
      </c>
      <c r="M28" s="208">
        <f t="shared" si="16"/>
        <v>0</v>
      </c>
    </row>
    <row r="29" spans="1:13" ht="15.75" x14ac:dyDescent="0.25">
      <c r="A29" s="172" t="str">
        <f t="shared" si="6"/>
        <v>N.A.</v>
      </c>
      <c r="B29" s="171">
        <v>0</v>
      </c>
      <c r="C29" s="169">
        <f t="shared" si="7"/>
        <v>0</v>
      </c>
      <c r="D29" s="170">
        <f t="shared" si="8"/>
        <v>0</v>
      </c>
      <c r="E29" s="169"/>
      <c r="F29" s="168">
        <f t="shared" si="9"/>
        <v>0</v>
      </c>
      <c r="G29" s="167">
        <f t="shared" si="10"/>
        <v>0</v>
      </c>
      <c r="H29" s="166">
        <f t="shared" si="11"/>
        <v>0</v>
      </c>
      <c r="I29" s="210">
        <f t="shared" si="12"/>
        <v>0</v>
      </c>
      <c r="J29" s="209">
        <f t="shared" si="13"/>
        <v>0</v>
      </c>
      <c r="K29" s="209">
        <f t="shared" si="14"/>
        <v>0</v>
      </c>
      <c r="L29" s="209">
        <f t="shared" si="15"/>
        <v>0</v>
      </c>
      <c r="M29" s="208">
        <f t="shared" si="16"/>
        <v>0</v>
      </c>
    </row>
    <row r="30" spans="1:13" ht="16.5" thickBot="1" x14ac:dyDescent="0.3">
      <c r="A30" s="172">
        <f t="shared" si="6"/>
        <v>0</v>
      </c>
      <c r="B30" s="171">
        <v>0</v>
      </c>
      <c r="C30" s="169">
        <f t="shared" si="7"/>
        <v>0</v>
      </c>
      <c r="D30" s="170">
        <f t="shared" si="8"/>
        <v>0</v>
      </c>
      <c r="E30" s="169"/>
      <c r="F30" s="168">
        <f t="shared" si="9"/>
        <v>0</v>
      </c>
      <c r="G30" s="167">
        <f t="shared" si="10"/>
        <v>0</v>
      </c>
      <c r="H30" s="166">
        <f t="shared" si="11"/>
        <v>0</v>
      </c>
      <c r="I30" s="210">
        <f t="shared" si="12"/>
        <v>0</v>
      </c>
      <c r="J30" s="209">
        <f t="shared" si="13"/>
        <v>0</v>
      </c>
      <c r="K30" s="209">
        <f t="shared" si="14"/>
        <v>0</v>
      </c>
      <c r="L30" s="209">
        <f t="shared" si="15"/>
        <v>0</v>
      </c>
      <c r="M30" s="208">
        <f t="shared" si="16"/>
        <v>0</v>
      </c>
    </row>
    <row r="31" spans="1:13" ht="16.5" thickBot="1" x14ac:dyDescent="0.3">
      <c r="A31" s="162" t="s">
        <v>525</v>
      </c>
      <c r="B31" s="161">
        <f>C31/F22</f>
        <v>0.5</v>
      </c>
      <c r="C31" s="159">
        <f>SUM(C25:C30)</f>
        <v>750</v>
      </c>
      <c r="D31" s="207">
        <f>SUM(D24:D30)</f>
        <v>1</v>
      </c>
      <c r="E31" s="159"/>
      <c r="F31" s="206">
        <f>G31/B22</f>
        <v>0.25</v>
      </c>
      <c r="G31" s="157">
        <f t="shared" ref="G31:M31" si="17">SUM(G25:G30)</f>
        <v>750</v>
      </c>
      <c r="H31" s="156">
        <f t="shared" si="17"/>
        <v>1</v>
      </c>
      <c r="I31" s="155">
        <f t="shared" si="17"/>
        <v>1000</v>
      </c>
      <c r="J31" s="154">
        <f t="shared" si="17"/>
        <v>500</v>
      </c>
      <c r="K31" s="154">
        <f t="shared" si="17"/>
        <v>500</v>
      </c>
      <c r="L31" s="154">
        <f t="shared" si="17"/>
        <v>1000</v>
      </c>
      <c r="M31" s="153">
        <f t="shared" si="17"/>
        <v>250</v>
      </c>
    </row>
    <row r="32" spans="1:13" ht="16.5" thickBot="1" x14ac:dyDescent="0.3">
      <c r="A32" s="271" t="s">
        <v>563</v>
      </c>
      <c r="B32" s="272"/>
      <c r="C32" s="272"/>
      <c r="D32" s="272"/>
      <c r="E32" s="272"/>
      <c r="F32" s="272"/>
      <c r="G32" s="272"/>
      <c r="H32" s="272"/>
      <c r="I32" s="272"/>
      <c r="J32" s="272"/>
      <c r="K32" s="272"/>
      <c r="L32" s="272"/>
      <c r="M32" s="273"/>
    </row>
    <row r="33" spans="1:13" ht="16.5" customHeight="1" thickBot="1" x14ac:dyDescent="0.3">
      <c r="A33" s="178" t="s">
        <v>550</v>
      </c>
      <c r="B33" s="274" t="s">
        <v>562</v>
      </c>
      <c r="C33" s="275"/>
      <c r="D33" s="276"/>
      <c r="E33" s="277" t="s">
        <v>561</v>
      </c>
      <c r="F33" s="278"/>
      <c r="G33" s="278"/>
      <c r="H33" s="279"/>
      <c r="I33" s="280" t="s">
        <v>560</v>
      </c>
      <c r="J33" s="281"/>
      <c r="K33" s="281"/>
      <c r="L33" s="281"/>
      <c r="M33" s="282"/>
    </row>
    <row r="34" spans="1:13" ht="62.25" customHeight="1" thickBot="1" x14ac:dyDescent="0.3">
      <c r="A34" s="139"/>
      <c r="B34" s="152" t="s">
        <v>559</v>
      </c>
      <c r="C34" s="205" t="s">
        <v>558</v>
      </c>
      <c r="D34" s="204" t="s">
        <v>551</v>
      </c>
      <c r="E34" s="203" t="s">
        <v>557</v>
      </c>
      <c r="F34" s="151" t="s">
        <v>556</v>
      </c>
      <c r="G34" s="151" t="s">
        <v>555</v>
      </c>
      <c r="H34" s="202" t="s">
        <v>551</v>
      </c>
      <c r="I34" s="201" t="s">
        <v>554</v>
      </c>
      <c r="J34" s="150" t="s">
        <v>553</v>
      </c>
      <c r="K34" s="150" t="s">
        <v>552</v>
      </c>
      <c r="L34" s="150" t="s">
        <v>551</v>
      </c>
      <c r="M34" s="200"/>
    </row>
    <row r="35" spans="1:13" ht="15.75" x14ac:dyDescent="0.25">
      <c r="A35" s="172" t="str">
        <f t="shared" ref="A35:A40" si="18">F5</f>
        <v>N.A.</v>
      </c>
      <c r="B35" s="148">
        <v>1000</v>
      </c>
      <c r="C35" s="199">
        <f t="shared" ref="C35:C40" si="19">B35/$B$41</f>
        <v>0.33333333333333331</v>
      </c>
      <c r="D35" s="198" t="s">
        <v>523</v>
      </c>
      <c r="E35" s="197">
        <v>0.72</v>
      </c>
      <c r="F35" s="147">
        <f t="shared" ref="F35:F40" si="20">E35*B35</f>
        <v>720</v>
      </c>
      <c r="G35" s="196">
        <f t="shared" ref="G35:G40" si="21">F35/$F$41</f>
        <v>0.52941176470588236</v>
      </c>
      <c r="H35" s="195" t="s">
        <v>523</v>
      </c>
      <c r="I35" s="194">
        <f>1-E35</f>
        <v>0.28000000000000003</v>
      </c>
      <c r="J35" s="146">
        <f t="shared" ref="J35:J40" si="22">I35*B35</f>
        <v>280</v>
      </c>
      <c r="K35" s="193">
        <f>J35/$J$41</f>
        <v>0.17073170731707318</v>
      </c>
      <c r="L35" s="192" t="s">
        <v>523</v>
      </c>
      <c r="M35" s="191"/>
    </row>
    <row r="36" spans="1:13" ht="15.75" x14ac:dyDescent="0.25">
      <c r="A36" s="172" t="str">
        <f t="shared" si="18"/>
        <v>N.A.</v>
      </c>
      <c r="B36" s="148">
        <v>800</v>
      </c>
      <c r="C36" s="199">
        <f t="shared" si="19"/>
        <v>0.26666666666666666</v>
      </c>
      <c r="D36" s="198" t="s">
        <v>523</v>
      </c>
      <c r="E36" s="197">
        <v>0.2</v>
      </c>
      <c r="F36" s="147">
        <f t="shared" si="20"/>
        <v>160</v>
      </c>
      <c r="G36" s="196">
        <f t="shared" si="21"/>
        <v>0.11764705882352941</v>
      </c>
      <c r="H36" s="195" t="s">
        <v>523</v>
      </c>
      <c r="I36" s="194">
        <f>1-E36</f>
        <v>0.8</v>
      </c>
      <c r="J36" s="146">
        <f t="shared" si="22"/>
        <v>640</v>
      </c>
      <c r="K36" s="193">
        <f>J36/$J$41</f>
        <v>0.3902439024390244</v>
      </c>
      <c r="L36" s="192" t="s">
        <v>523</v>
      </c>
      <c r="M36" s="191"/>
    </row>
    <row r="37" spans="1:13" ht="15.75" x14ac:dyDescent="0.25">
      <c r="A37" s="172" t="str">
        <f t="shared" si="18"/>
        <v>N.A.</v>
      </c>
      <c r="B37" s="148">
        <v>1200</v>
      </c>
      <c r="C37" s="199">
        <f t="shared" si="19"/>
        <v>0.4</v>
      </c>
      <c r="D37" s="198"/>
      <c r="E37" s="197">
        <v>0.4</v>
      </c>
      <c r="F37" s="147">
        <f t="shared" si="20"/>
        <v>480</v>
      </c>
      <c r="G37" s="196">
        <f t="shared" si="21"/>
        <v>0.35294117647058826</v>
      </c>
      <c r="H37" s="195"/>
      <c r="I37" s="194">
        <f>1-E37</f>
        <v>0.6</v>
      </c>
      <c r="J37" s="146">
        <f t="shared" si="22"/>
        <v>720</v>
      </c>
      <c r="K37" s="193">
        <f>J37/$J$41</f>
        <v>0.43902439024390244</v>
      </c>
      <c r="L37" s="192"/>
      <c r="M37" s="191"/>
    </row>
    <row r="38" spans="1:13" ht="15.75" x14ac:dyDescent="0.25">
      <c r="A38" s="172" t="str">
        <f t="shared" si="18"/>
        <v>N.A.</v>
      </c>
      <c r="B38" s="148"/>
      <c r="C38" s="199">
        <f t="shared" si="19"/>
        <v>0</v>
      </c>
      <c r="D38" s="198"/>
      <c r="E38" s="197"/>
      <c r="F38" s="147">
        <f t="shared" si="20"/>
        <v>0</v>
      </c>
      <c r="G38" s="196">
        <f t="shared" si="21"/>
        <v>0</v>
      </c>
      <c r="H38" s="195"/>
      <c r="I38" s="194"/>
      <c r="J38" s="146">
        <f t="shared" si="22"/>
        <v>0</v>
      </c>
      <c r="K38" s="193">
        <f>J38/$J$41</f>
        <v>0</v>
      </c>
      <c r="L38" s="192"/>
      <c r="M38" s="191"/>
    </row>
    <row r="39" spans="1:13" ht="15.75" x14ac:dyDescent="0.25">
      <c r="A39" s="172" t="str">
        <f t="shared" si="18"/>
        <v>N.A.</v>
      </c>
      <c r="B39" s="148"/>
      <c r="C39" s="199">
        <f t="shared" si="19"/>
        <v>0</v>
      </c>
      <c r="D39" s="198"/>
      <c r="E39" s="197"/>
      <c r="F39" s="147">
        <f t="shared" si="20"/>
        <v>0</v>
      </c>
      <c r="G39" s="196">
        <f t="shared" si="21"/>
        <v>0</v>
      </c>
      <c r="H39" s="195"/>
      <c r="I39" s="194"/>
      <c r="J39" s="146">
        <f t="shared" si="22"/>
        <v>0</v>
      </c>
      <c r="K39" s="193">
        <f>J39/$J$41</f>
        <v>0</v>
      </c>
      <c r="L39" s="192"/>
      <c r="M39" s="191"/>
    </row>
    <row r="40" spans="1:13" ht="16.5" thickBot="1" x14ac:dyDescent="0.3">
      <c r="A40" s="172">
        <f t="shared" si="18"/>
        <v>0</v>
      </c>
      <c r="B40" s="148"/>
      <c r="C40" s="199">
        <f t="shared" si="19"/>
        <v>0</v>
      </c>
      <c r="D40" s="198"/>
      <c r="E40" s="197"/>
      <c r="F40" s="147">
        <f t="shared" si="20"/>
        <v>0</v>
      </c>
      <c r="G40" s="196">
        <f t="shared" si="21"/>
        <v>0</v>
      </c>
      <c r="H40" s="195"/>
      <c r="I40" s="194"/>
      <c r="J40" s="146">
        <f t="shared" si="22"/>
        <v>0</v>
      </c>
      <c r="K40" s="193">
        <f>J40/$J$22</f>
        <v>0</v>
      </c>
      <c r="L40" s="192"/>
      <c r="M40" s="191"/>
    </row>
    <row r="41" spans="1:13" ht="16.5" thickBot="1" x14ac:dyDescent="0.3">
      <c r="A41" s="162" t="s">
        <v>525</v>
      </c>
      <c r="B41" s="190">
        <f>SUM(B35:B40)</f>
        <v>3000</v>
      </c>
      <c r="C41" s="189">
        <f>SUM(C35:C40)</f>
        <v>1</v>
      </c>
      <c r="D41" s="188"/>
      <c r="E41" s="187">
        <f>F41/B41</f>
        <v>0.45333333333333331</v>
      </c>
      <c r="F41" s="186">
        <f>SUM(F35:F40)</f>
        <v>1360</v>
      </c>
      <c r="G41" s="185">
        <f>SUM(G35:G40)</f>
        <v>1</v>
      </c>
      <c r="H41" s="184"/>
      <c r="I41" s="183">
        <f>J41/B41</f>
        <v>0.54666666666666663</v>
      </c>
      <c r="J41" s="182">
        <f>SUM(J35:J40)</f>
        <v>1640</v>
      </c>
      <c r="K41" s="181">
        <f>SUM(K35:K40)</f>
        <v>1</v>
      </c>
      <c r="L41" s="180"/>
      <c r="M41" s="179"/>
    </row>
    <row r="42" spans="1:13" ht="16.5" customHeight="1" thickBot="1" x14ac:dyDescent="0.3">
      <c r="A42" s="242" t="s">
        <v>550</v>
      </c>
      <c r="B42" s="245" t="s">
        <v>549</v>
      </c>
      <c r="C42" s="246"/>
      <c r="D42" s="246"/>
      <c r="E42" s="246"/>
      <c r="F42" s="246"/>
      <c r="G42" s="246"/>
      <c r="H42" s="247"/>
      <c r="I42" s="248" t="s">
        <v>548</v>
      </c>
      <c r="J42" s="249"/>
      <c r="K42" s="249"/>
      <c r="L42" s="249"/>
      <c r="M42" s="250"/>
    </row>
    <row r="43" spans="1:13" ht="63.75" thickBot="1" x14ac:dyDescent="0.3">
      <c r="A43" s="17"/>
      <c r="B43" s="177" t="s">
        <v>547</v>
      </c>
      <c r="C43" s="176" t="s">
        <v>546</v>
      </c>
      <c r="D43" s="176" t="s">
        <v>545</v>
      </c>
      <c r="E43" s="176" t="s">
        <v>544</v>
      </c>
      <c r="F43" s="177" t="s">
        <v>543</v>
      </c>
      <c r="G43" s="176" t="s">
        <v>542</v>
      </c>
      <c r="H43" s="241" t="s">
        <v>541</v>
      </c>
      <c r="I43" s="175" t="s">
        <v>540</v>
      </c>
      <c r="J43" s="174" t="s">
        <v>539</v>
      </c>
      <c r="K43" s="174" t="s">
        <v>538</v>
      </c>
      <c r="L43" s="174" t="s">
        <v>537</v>
      </c>
      <c r="M43" s="173" t="s">
        <v>536</v>
      </c>
    </row>
    <row r="44" spans="1:13" ht="15.75" x14ac:dyDescent="0.25">
      <c r="A44" s="172" t="str">
        <f t="shared" ref="A44:A49" si="23">A35</f>
        <v>N.A.</v>
      </c>
      <c r="B44" s="171">
        <v>0.57999999999999996</v>
      </c>
      <c r="C44" s="169">
        <f t="shared" ref="C44:C49" si="24">F35*B44</f>
        <v>417.59999999999997</v>
      </c>
      <c r="D44" s="170">
        <f t="shared" ref="D44:D49" si="25">C44/$C$50</f>
        <v>0.57236842105263164</v>
      </c>
      <c r="E44" s="169" t="s">
        <v>523</v>
      </c>
      <c r="F44" s="168">
        <f t="shared" ref="F44:F49" si="26">B44*E35</f>
        <v>0.41759999999999997</v>
      </c>
      <c r="G44" s="167">
        <f t="shared" ref="G44:G49" si="27">B44*E35*B35</f>
        <v>417.59999999999997</v>
      </c>
      <c r="H44" s="166">
        <f t="shared" ref="H44:H49" si="28">G44/$G$50</f>
        <v>0.57236842105263153</v>
      </c>
      <c r="I44" s="165">
        <f t="shared" ref="I44:I49" si="29">$A$12*B58</f>
        <v>333.33333333333331</v>
      </c>
      <c r="J44" s="164">
        <f t="shared" ref="J44:J49" si="30">I44*E35</f>
        <v>239.99999999999997</v>
      </c>
      <c r="K44" s="164">
        <f t="shared" ref="K44:K49" si="31">I44*I35</f>
        <v>93.333333333333343</v>
      </c>
      <c r="L44" s="164">
        <f t="shared" ref="L44:L49" si="32">SUM(J44:K44)</f>
        <v>333.33333333333331</v>
      </c>
      <c r="M44" s="163">
        <f t="shared" ref="M44:M49" si="33">I44*F44</f>
        <v>139.19999999999999</v>
      </c>
    </row>
    <row r="45" spans="1:13" ht="15.75" x14ac:dyDescent="0.25">
      <c r="A45" s="172" t="str">
        <f t="shared" si="23"/>
        <v>N.A.</v>
      </c>
      <c r="B45" s="171">
        <v>0.51</v>
      </c>
      <c r="C45" s="169">
        <f t="shared" si="24"/>
        <v>81.599999999999994</v>
      </c>
      <c r="D45" s="170">
        <f t="shared" si="25"/>
        <v>0.1118421052631579</v>
      </c>
      <c r="E45" s="169" t="s">
        <v>523</v>
      </c>
      <c r="F45" s="168">
        <f t="shared" si="26"/>
        <v>0.10200000000000001</v>
      </c>
      <c r="G45" s="167">
        <f t="shared" si="27"/>
        <v>81.600000000000009</v>
      </c>
      <c r="H45" s="166">
        <f t="shared" si="28"/>
        <v>0.11184210526315791</v>
      </c>
      <c r="I45" s="165">
        <f t="shared" si="29"/>
        <v>266.66666666666669</v>
      </c>
      <c r="J45" s="164">
        <f t="shared" si="30"/>
        <v>53.333333333333343</v>
      </c>
      <c r="K45" s="164">
        <f t="shared" si="31"/>
        <v>213.33333333333337</v>
      </c>
      <c r="L45" s="164">
        <f t="shared" si="32"/>
        <v>266.66666666666674</v>
      </c>
      <c r="M45" s="163">
        <f t="shared" si="33"/>
        <v>27.200000000000003</v>
      </c>
    </row>
    <row r="46" spans="1:13" ht="15.75" x14ac:dyDescent="0.25">
      <c r="A46" s="172" t="str">
        <f t="shared" si="23"/>
        <v>N.A.</v>
      </c>
      <c r="B46" s="171">
        <v>0.48</v>
      </c>
      <c r="C46" s="169">
        <f t="shared" si="24"/>
        <v>230.39999999999998</v>
      </c>
      <c r="D46" s="170">
        <f t="shared" si="25"/>
        <v>0.31578947368421051</v>
      </c>
      <c r="E46" s="169" t="s">
        <v>523</v>
      </c>
      <c r="F46" s="168">
        <f t="shared" si="26"/>
        <v>0.192</v>
      </c>
      <c r="G46" s="167">
        <f t="shared" si="27"/>
        <v>230.4</v>
      </c>
      <c r="H46" s="166">
        <f t="shared" si="28"/>
        <v>0.31578947368421051</v>
      </c>
      <c r="I46" s="165">
        <f t="shared" si="29"/>
        <v>400</v>
      </c>
      <c r="J46" s="164">
        <f t="shared" si="30"/>
        <v>160</v>
      </c>
      <c r="K46" s="164">
        <f t="shared" si="31"/>
        <v>240</v>
      </c>
      <c r="L46" s="164">
        <f t="shared" si="32"/>
        <v>400</v>
      </c>
      <c r="M46" s="163">
        <f t="shared" si="33"/>
        <v>76.8</v>
      </c>
    </row>
    <row r="47" spans="1:13" ht="15.75" x14ac:dyDescent="0.25">
      <c r="A47" s="172" t="str">
        <f t="shared" si="23"/>
        <v>N.A.</v>
      </c>
      <c r="B47" s="171"/>
      <c r="C47" s="169">
        <f t="shared" si="24"/>
        <v>0</v>
      </c>
      <c r="D47" s="170">
        <f t="shared" si="25"/>
        <v>0</v>
      </c>
      <c r="E47" s="169"/>
      <c r="F47" s="168">
        <f t="shared" si="26"/>
        <v>0</v>
      </c>
      <c r="G47" s="167">
        <f t="shared" si="27"/>
        <v>0</v>
      </c>
      <c r="H47" s="166">
        <f t="shared" si="28"/>
        <v>0</v>
      </c>
      <c r="I47" s="165">
        <f t="shared" si="29"/>
        <v>0</v>
      </c>
      <c r="J47" s="164">
        <f t="shared" si="30"/>
        <v>0</v>
      </c>
      <c r="K47" s="164">
        <f t="shared" si="31"/>
        <v>0</v>
      </c>
      <c r="L47" s="164">
        <f t="shared" si="32"/>
        <v>0</v>
      </c>
      <c r="M47" s="163">
        <f t="shared" si="33"/>
        <v>0</v>
      </c>
    </row>
    <row r="48" spans="1:13" ht="15.75" x14ac:dyDescent="0.25">
      <c r="A48" s="172" t="str">
        <f t="shared" si="23"/>
        <v>N.A.</v>
      </c>
      <c r="B48" s="171"/>
      <c r="C48" s="169">
        <f t="shared" si="24"/>
        <v>0</v>
      </c>
      <c r="D48" s="170">
        <f t="shared" si="25"/>
        <v>0</v>
      </c>
      <c r="E48" s="169"/>
      <c r="F48" s="168">
        <f t="shared" si="26"/>
        <v>0</v>
      </c>
      <c r="G48" s="167">
        <f t="shared" si="27"/>
        <v>0</v>
      </c>
      <c r="H48" s="166">
        <f t="shared" si="28"/>
        <v>0</v>
      </c>
      <c r="I48" s="165">
        <f t="shared" si="29"/>
        <v>0</v>
      </c>
      <c r="J48" s="164">
        <f t="shared" si="30"/>
        <v>0</v>
      </c>
      <c r="K48" s="164">
        <f t="shared" si="31"/>
        <v>0</v>
      </c>
      <c r="L48" s="164">
        <f t="shared" si="32"/>
        <v>0</v>
      </c>
      <c r="M48" s="163">
        <f t="shared" si="33"/>
        <v>0</v>
      </c>
    </row>
    <row r="49" spans="1:13" ht="16.5" thickBot="1" x14ac:dyDescent="0.3">
      <c r="A49" s="172">
        <f t="shared" si="23"/>
        <v>0</v>
      </c>
      <c r="B49" s="171"/>
      <c r="C49" s="169">
        <f t="shared" si="24"/>
        <v>0</v>
      </c>
      <c r="D49" s="170">
        <f t="shared" si="25"/>
        <v>0</v>
      </c>
      <c r="E49" s="169"/>
      <c r="F49" s="168">
        <f t="shared" si="26"/>
        <v>0</v>
      </c>
      <c r="G49" s="167">
        <f t="shared" si="27"/>
        <v>0</v>
      </c>
      <c r="H49" s="166">
        <f t="shared" si="28"/>
        <v>0</v>
      </c>
      <c r="I49" s="165">
        <f t="shared" si="29"/>
        <v>0</v>
      </c>
      <c r="J49" s="164">
        <f t="shared" si="30"/>
        <v>0</v>
      </c>
      <c r="K49" s="164">
        <f t="shared" si="31"/>
        <v>0</v>
      </c>
      <c r="L49" s="164">
        <f t="shared" si="32"/>
        <v>0</v>
      </c>
      <c r="M49" s="163">
        <f t="shared" si="33"/>
        <v>0</v>
      </c>
    </row>
    <row r="50" spans="1:13" ht="16.5" thickBot="1" x14ac:dyDescent="0.3">
      <c r="A50" s="162" t="s">
        <v>525</v>
      </c>
      <c r="B50" s="161">
        <f>C50/F41</f>
        <v>0.53647058823529403</v>
      </c>
      <c r="C50" s="159">
        <f>SUM(C44:C49)</f>
        <v>729.59999999999991</v>
      </c>
      <c r="D50" s="160">
        <f>SUM(D44:D49)</f>
        <v>1</v>
      </c>
      <c r="E50" s="159"/>
      <c r="F50" s="158">
        <f>G50/B41</f>
        <v>0.2432</v>
      </c>
      <c r="G50" s="157">
        <f t="shared" ref="G50:M50" si="34">SUM(G44:G49)</f>
        <v>729.6</v>
      </c>
      <c r="H50" s="156">
        <f t="shared" si="34"/>
        <v>0.99999999999999989</v>
      </c>
      <c r="I50" s="155">
        <f t="shared" si="34"/>
        <v>1000</v>
      </c>
      <c r="J50" s="154">
        <f t="shared" si="34"/>
        <v>453.33333333333331</v>
      </c>
      <c r="K50" s="154">
        <f t="shared" si="34"/>
        <v>546.66666666666674</v>
      </c>
      <c r="L50" s="154">
        <f t="shared" si="34"/>
        <v>1000</v>
      </c>
      <c r="M50" s="153">
        <f t="shared" si="34"/>
        <v>243.2</v>
      </c>
    </row>
    <row r="51" spans="1:13" ht="15.75" thickBot="1" x14ac:dyDescent="0.3">
      <c r="A51" s="251" t="s">
        <v>535</v>
      </c>
      <c r="B51" s="252"/>
      <c r="C51" s="252"/>
      <c r="D51" s="252"/>
      <c r="E51" s="253"/>
      <c r="F51" s="254" t="s">
        <v>534</v>
      </c>
      <c r="G51" s="255"/>
      <c r="H51" s="255"/>
      <c r="I51" s="255"/>
      <c r="J51" s="255"/>
      <c r="K51" s="255"/>
      <c r="L51" s="255"/>
      <c r="M51" s="256"/>
    </row>
    <row r="52" spans="1:13" ht="16.5" thickBot="1" x14ac:dyDescent="0.3">
      <c r="A52" s="12" t="s">
        <v>533</v>
      </c>
      <c r="B52" s="152" t="s">
        <v>532</v>
      </c>
      <c r="C52" s="151" t="s">
        <v>457</v>
      </c>
      <c r="D52" s="150" t="s">
        <v>456</v>
      </c>
      <c r="E52" s="149" t="s">
        <v>531</v>
      </c>
      <c r="F52" s="244"/>
      <c r="G52" s="244"/>
      <c r="H52" s="244"/>
      <c r="I52" s="244"/>
      <c r="J52" s="244"/>
      <c r="K52" s="244"/>
      <c r="L52" s="244"/>
      <c r="M52" s="257"/>
    </row>
    <row r="53" spans="1:13" ht="15.75" x14ac:dyDescent="0.25">
      <c r="A53" s="15" t="s">
        <v>530</v>
      </c>
      <c r="B53" s="148">
        <f>B22</f>
        <v>3000</v>
      </c>
      <c r="C53" s="147">
        <f>F22</f>
        <v>1500</v>
      </c>
      <c r="D53" s="146">
        <f>J22</f>
        <v>1500</v>
      </c>
      <c r="E53" s="145">
        <f>C31</f>
        <v>750</v>
      </c>
      <c r="F53" s="244"/>
      <c r="G53" s="244"/>
      <c r="H53" s="244"/>
      <c r="I53" s="244"/>
      <c r="J53" s="244"/>
      <c r="K53" s="244"/>
      <c r="L53" s="244"/>
      <c r="M53" s="257"/>
    </row>
    <row r="54" spans="1:13" ht="16.5" thickBot="1" x14ac:dyDescent="0.3">
      <c r="A54" s="15" t="s">
        <v>529</v>
      </c>
      <c r="B54" s="148">
        <f>B41</f>
        <v>3000</v>
      </c>
      <c r="C54" s="147">
        <f>F41</f>
        <v>1360</v>
      </c>
      <c r="D54" s="146">
        <f>J41</f>
        <v>1640</v>
      </c>
      <c r="E54" s="145">
        <f>C50</f>
        <v>729.59999999999991</v>
      </c>
      <c r="F54" s="244"/>
      <c r="G54" s="244"/>
      <c r="H54" s="244"/>
      <c r="I54" s="244"/>
      <c r="J54" s="244"/>
      <c r="K54" s="244"/>
      <c r="L54" s="244"/>
      <c r="M54" s="257"/>
    </row>
    <row r="55" spans="1:13" ht="15.75" x14ac:dyDescent="0.25">
      <c r="A55" s="12" t="s">
        <v>528</v>
      </c>
      <c r="B55" s="237">
        <f>B53-B54</f>
        <v>0</v>
      </c>
      <c r="C55" s="238">
        <f>C53-C54</f>
        <v>140</v>
      </c>
      <c r="D55" s="239">
        <f>D53-D54</f>
        <v>-140</v>
      </c>
      <c r="E55" s="240">
        <f>E53-E54</f>
        <v>20.400000000000091</v>
      </c>
      <c r="F55" s="244"/>
      <c r="G55" s="244"/>
      <c r="H55" s="244"/>
      <c r="I55" s="244"/>
      <c r="J55" s="244"/>
      <c r="K55" s="244"/>
      <c r="L55" s="244"/>
      <c r="M55" s="257"/>
    </row>
    <row r="56" spans="1:13" ht="16.5" thickBot="1" x14ac:dyDescent="0.3">
      <c r="A56" s="17" t="s">
        <v>527</v>
      </c>
      <c r="B56" s="144">
        <f>B53/B54</f>
        <v>1</v>
      </c>
      <c r="C56" s="142">
        <f>C53/C54</f>
        <v>1.1029411764705883</v>
      </c>
      <c r="D56" s="141">
        <f>D53/D54</f>
        <v>0.91463414634146345</v>
      </c>
      <c r="E56" s="140">
        <f>E53/E54</f>
        <v>1.0279605263157896</v>
      </c>
      <c r="F56" s="244"/>
      <c r="G56" s="244"/>
      <c r="H56" s="244"/>
      <c r="I56" s="244"/>
      <c r="J56" s="244"/>
      <c r="K56" s="244"/>
      <c r="L56" s="244"/>
      <c r="M56" s="257"/>
    </row>
    <row r="57" spans="1:13" ht="15.75" thickBot="1" x14ac:dyDescent="0.3">
      <c r="A57" s="251" t="s">
        <v>526</v>
      </c>
      <c r="B57" s="252"/>
      <c r="C57" s="252"/>
      <c r="D57" s="252"/>
      <c r="E57" s="253"/>
      <c r="F57" s="244"/>
      <c r="G57" s="244"/>
      <c r="H57" s="244"/>
      <c r="I57" s="244"/>
      <c r="J57" s="244"/>
      <c r="K57" s="244"/>
      <c r="L57" s="244"/>
      <c r="M57" s="257"/>
    </row>
    <row r="58" spans="1:13" ht="16.5" thickBot="1" x14ac:dyDescent="0.3">
      <c r="A58" s="139" t="str">
        <f t="shared" ref="A58:A63" si="35">A44</f>
        <v>N.A.</v>
      </c>
      <c r="B58" s="138">
        <f t="shared" ref="B58:B63" si="36">(B35*$C$41)/($B$22*$C$22)</f>
        <v>0.33333333333333331</v>
      </c>
      <c r="C58" s="137">
        <f>(E35*B35)/($B$22*$E$22)</f>
        <v>0.48</v>
      </c>
      <c r="D58" s="136">
        <f t="shared" ref="D58:D63" si="37">(I35*B35)/($B$22*$I$22)</f>
        <v>0.18666666666666668</v>
      </c>
      <c r="E58" s="135">
        <f t="shared" ref="E58:E63" si="38">(F44*B35)/($B$22*$F$31)</f>
        <v>0.55679999999999996</v>
      </c>
      <c r="F58" s="244"/>
      <c r="G58" s="244"/>
      <c r="H58" s="244"/>
      <c r="I58" s="244"/>
      <c r="J58" s="244"/>
      <c r="K58" s="244"/>
      <c r="L58" s="244"/>
      <c r="M58" s="257"/>
    </row>
    <row r="59" spans="1:13" ht="16.5" thickBot="1" x14ac:dyDescent="0.3">
      <c r="A59" s="17" t="str">
        <f t="shared" si="35"/>
        <v>N.A.</v>
      </c>
      <c r="B59" s="143">
        <f t="shared" si="36"/>
        <v>0.26666666666666666</v>
      </c>
      <c r="C59" s="142">
        <f>(E36*B36)/($B$22*$E$22)</f>
        <v>0.10666666666666667</v>
      </c>
      <c r="D59" s="141">
        <f t="shared" si="37"/>
        <v>0.42666666666666669</v>
      </c>
      <c r="E59" s="140">
        <f t="shared" si="38"/>
        <v>0.10880000000000001</v>
      </c>
      <c r="F59" s="244"/>
      <c r="G59" s="244"/>
      <c r="H59" s="244"/>
      <c r="I59" s="244"/>
      <c r="J59" s="244"/>
      <c r="K59" s="244"/>
      <c r="L59" s="244"/>
      <c r="M59" s="257"/>
    </row>
    <row r="60" spans="1:13" ht="16.5" thickBot="1" x14ac:dyDescent="0.3">
      <c r="A60" s="17" t="str">
        <f t="shared" si="35"/>
        <v>N.A.</v>
      </c>
      <c r="B60" s="143">
        <f t="shared" si="36"/>
        <v>0.4</v>
      </c>
      <c r="C60" s="142">
        <f>(E37*B37)/($B$22*$E$22)</f>
        <v>0.32</v>
      </c>
      <c r="D60" s="141">
        <f t="shared" si="37"/>
        <v>0.48</v>
      </c>
      <c r="E60" s="140">
        <f t="shared" si="38"/>
        <v>0.30720000000000003</v>
      </c>
      <c r="F60" s="244"/>
      <c r="G60" s="244"/>
      <c r="H60" s="244"/>
      <c r="I60" s="244"/>
      <c r="J60" s="244"/>
      <c r="K60" s="244"/>
      <c r="L60" s="244"/>
      <c r="M60" s="257"/>
    </row>
    <row r="61" spans="1:13" ht="16.5" thickBot="1" x14ac:dyDescent="0.3">
      <c r="A61" s="17" t="str">
        <f t="shared" si="35"/>
        <v>N.A.</v>
      </c>
      <c r="B61" s="143">
        <f t="shared" si="36"/>
        <v>0</v>
      </c>
      <c r="C61" s="142">
        <f>($G$41*F38)/($B$22*$E$22)</f>
        <v>0</v>
      </c>
      <c r="D61" s="141">
        <f t="shared" si="37"/>
        <v>0</v>
      </c>
      <c r="E61" s="140">
        <f t="shared" si="38"/>
        <v>0</v>
      </c>
      <c r="F61" s="244"/>
      <c r="G61" s="244"/>
      <c r="H61" s="244"/>
      <c r="I61" s="244"/>
      <c r="J61" s="244"/>
      <c r="K61" s="244"/>
      <c r="L61" s="244"/>
      <c r="M61" s="257"/>
    </row>
    <row r="62" spans="1:13" ht="16.5" thickBot="1" x14ac:dyDescent="0.3">
      <c r="A62" s="17" t="str">
        <f t="shared" si="35"/>
        <v>N.A.</v>
      </c>
      <c r="B62" s="143">
        <f t="shared" si="36"/>
        <v>0</v>
      </c>
      <c r="C62" s="142">
        <f>(B39*E39)/($B$22*$E$22)</f>
        <v>0</v>
      </c>
      <c r="D62" s="141">
        <f t="shared" si="37"/>
        <v>0</v>
      </c>
      <c r="E62" s="140">
        <f t="shared" si="38"/>
        <v>0</v>
      </c>
      <c r="F62" s="244"/>
      <c r="G62" s="244"/>
      <c r="H62" s="244"/>
      <c r="I62" s="244"/>
      <c r="J62" s="244"/>
      <c r="K62" s="244"/>
      <c r="L62" s="244"/>
      <c r="M62" s="257"/>
    </row>
    <row r="63" spans="1:13" ht="16.5" thickBot="1" x14ac:dyDescent="0.3">
      <c r="A63" s="17">
        <f t="shared" si="35"/>
        <v>0</v>
      </c>
      <c r="B63" s="143">
        <f t="shared" si="36"/>
        <v>0</v>
      </c>
      <c r="C63" s="142">
        <f>(B40*E40)/($B$22*$E$22)</f>
        <v>0</v>
      </c>
      <c r="D63" s="141">
        <f t="shared" si="37"/>
        <v>0</v>
      </c>
      <c r="E63" s="140">
        <f t="shared" si="38"/>
        <v>0</v>
      </c>
      <c r="F63" s="244"/>
      <c r="G63" s="244"/>
      <c r="H63" s="244"/>
      <c r="I63" s="244"/>
      <c r="J63" s="244"/>
      <c r="K63" s="244"/>
      <c r="L63" s="244"/>
      <c r="M63" s="257"/>
    </row>
    <row r="64" spans="1:13" ht="16.5" thickBot="1" x14ac:dyDescent="0.3">
      <c r="A64" s="12" t="s">
        <v>525</v>
      </c>
      <c r="B64" s="233">
        <f>SUM(B58:B63)</f>
        <v>1</v>
      </c>
      <c r="C64" s="234">
        <f>SUM(C58:C63)</f>
        <v>0.90666666666666673</v>
      </c>
      <c r="D64" s="235">
        <f>SUM(D58:D63)</f>
        <v>1.0933333333333333</v>
      </c>
      <c r="E64" s="236">
        <f>SUM(E58:E63)</f>
        <v>0.9728</v>
      </c>
      <c r="F64" s="244"/>
      <c r="G64" s="244"/>
      <c r="H64" s="244"/>
      <c r="I64" s="244"/>
      <c r="J64" s="244"/>
      <c r="K64" s="244"/>
      <c r="L64" s="244"/>
      <c r="M64" s="257"/>
    </row>
    <row r="65" spans="1:13" ht="16.5" thickBot="1" x14ac:dyDescent="0.3">
      <c r="A65" s="258" t="s">
        <v>524</v>
      </c>
      <c r="B65" s="259"/>
      <c r="C65" s="259"/>
      <c r="D65" s="259"/>
      <c r="E65" s="259"/>
      <c r="F65" s="259"/>
      <c r="G65" s="259"/>
      <c r="H65" s="259"/>
      <c r="I65" s="259"/>
      <c r="J65" s="259"/>
      <c r="K65" s="259"/>
      <c r="L65" s="259"/>
      <c r="M65" s="260"/>
    </row>
    <row r="66" spans="1:13" x14ac:dyDescent="0.25">
      <c r="A66" s="15" t="s">
        <v>523</v>
      </c>
      <c r="B66" s="261" t="s">
        <v>522</v>
      </c>
      <c r="C66" s="261"/>
      <c r="D66" s="261"/>
      <c r="E66" s="261"/>
      <c r="F66" s="261"/>
      <c r="G66" s="15" t="s">
        <v>521</v>
      </c>
      <c r="M66" s="134"/>
    </row>
    <row r="67" spans="1:13" ht="18.75" customHeight="1" x14ac:dyDescent="0.25">
      <c r="A67" s="15" t="s">
        <v>520</v>
      </c>
      <c r="B67" s="244" t="s">
        <v>492</v>
      </c>
      <c r="C67" s="244"/>
      <c r="D67" s="244"/>
      <c r="E67" s="244"/>
      <c r="F67" s="244"/>
      <c r="G67" s="15" t="s">
        <v>519</v>
      </c>
      <c r="M67" s="134"/>
    </row>
    <row r="68" spans="1:13" x14ac:dyDescent="0.25">
      <c r="A68" s="15" t="s">
        <v>518</v>
      </c>
      <c r="G68" s="15" t="s">
        <v>517</v>
      </c>
      <c r="M68" s="134"/>
    </row>
    <row r="69" spans="1:13" x14ac:dyDescent="0.25">
      <c r="A69" s="15" t="s">
        <v>516</v>
      </c>
      <c r="G69" s="15" t="s">
        <v>515</v>
      </c>
      <c r="M69" s="134"/>
    </row>
    <row r="70" spans="1:13" x14ac:dyDescent="0.25">
      <c r="A70" s="15" t="s">
        <v>514</v>
      </c>
      <c r="G70" s="15" t="s">
        <v>513</v>
      </c>
      <c r="M70" s="134"/>
    </row>
    <row r="71" spans="1:13" x14ac:dyDescent="0.25">
      <c r="A71" s="15" t="s">
        <v>512</v>
      </c>
      <c r="G71" s="15" t="s">
        <v>511</v>
      </c>
      <c r="M71" s="134"/>
    </row>
    <row r="72" spans="1:13" ht="15.75" thickBot="1" x14ac:dyDescent="0.3">
      <c r="A72" s="17" t="s">
        <v>510</v>
      </c>
      <c r="B72" s="133"/>
      <c r="C72" s="133"/>
      <c r="D72" s="133"/>
      <c r="E72" s="133"/>
      <c r="F72" s="133"/>
      <c r="G72" s="17" t="s">
        <v>509</v>
      </c>
      <c r="H72" s="133"/>
      <c r="I72" s="133"/>
      <c r="J72" s="133"/>
      <c r="K72" s="133"/>
      <c r="L72" s="133"/>
      <c r="M72" s="132"/>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3"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255</v>
      </c>
      <c r="C4" s="13"/>
      <c r="D4" s="14" t="s">
        <v>254</v>
      </c>
      <c r="F4" s="12" t="s">
        <v>259</v>
      </c>
      <c r="G4" s="14" t="s">
        <v>254</v>
      </c>
    </row>
    <row r="5" spans="2:8" x14ac:dyDescent="0.25">
      <c r="B5" s="15" t="s">
        <v>238</v>
      </c>
      <c r="C5" t="s">
        <v>237</v>
      </c>
      <c r="D5" s="16" t="s">
        <v>239</v>
      </c>
      <c r="F5" t="s">
        <v>6</v>
      </c>
      <c r="G5" t="s">
        <v>258</v>
      </c>
      <c r="H5" t="s">
        <v>222</v>
      </c>
    </row>
    <row r="6" spans="2:8" x14ac:dyDescent="0.25">
      <c r="B6" s="15" t="s">
        <v>235</v>
      </c>
      <c r="C6" t="str">
        <f>_xlfn.TRANSLATE(B6,"DE","EN")</f>
        <v>Paper/ cardboard</v>
      </c>
      <c r="D6" s="82">
        <v>0.09</v>
      </c>
      <c r="F6">
        <v>2022</v>
      </c>
      <c r="G6" s="81">
        <v>0.04</v>
      </c>
    </row>
    <row r="7" spans="2:8" x14ac:dyDescent="0.25">
      <c r="B7" s="15" t="s">
        <v>236</v>
      </c>
      <c r="C7" t="str">
        <f t="shared" ref="C7:C18" si="0">_xlfn.TRANSLATE(B7,"DE","EN")</f>
        <v>Glass</v>
      </c>
      <c r="D7" s="82">
        <v>0.06</v>
      </c>
      <c r="F7">
        <v>2021</v>
      </c>
      <c r="G7" s="81">
        <v>0.04</v>
      </c>
    </row>
    <row r="8" spans="2:8" x14ac:dyDescent="0.25">
      <c r="B8" s="15" t="s">
        <v>240</v>
      </c>
      <c r="C8" t="str">
        <f t="shared" si="0"/>
        <v>Synthetics</v>
      </c>
      <c r="D8" s="82">
        <v>7.0000000000000007E-2</v>
      </c>
      <c r="F8">
        <v>2020</v>
      </c>
      <c r="G8" s="81">
        <v>0.04</v>
      </c>
    </row>
    <row r="9" spans="2:8" x14ac:dyDescent="0.25">
      <c r="B9" s="15" t="s">
        <v>241</v>
      </c>
      <c r="C9" t="str">
        <f t="shared" si="0"/>
        <v>Metals</v>
      </c>
      <c r="D9" s="82">
        <v>0.02</v>
      </c>
      <c r="F9">
        <v>2019</v>
      </c>
      <c r="G9" s="81">
        <v>0.04</v>
      </c>
    </row>
    <row r="10" spans="2:8" x14ac:dyDescent="0.25">
      <c r="B10" s="15" t="s">
        <v>242</v>
      </c>
      <c r="C10" t="str">
        <f t="shared" si="0"/>
        <v>Native Organic</v>
      </c>
      <c r="D10" s="82">
        <v>0.38</v>
      </c>
      <c r="F10">
        <v>2018</v>
      </c>
      <c r="G10" s="81">
        <v>0.04</v>
      </c>
    </row>
    <row r="11" spans="2:8" x14ac:dyDescent="0.25">
      <c r="B11" s="15" t="s">
        <v>243</v>
      </c>
      <c r="C11" t="str">
        <f t="shared" si="0"/>
        <v>Other organics</v>
      </c>
      <c r="D11" s="82">
        <v>0.1</v>
      </c>
      <c r="F11">
        <v>2017</v>
      </c>
      <c r="G11" s="81">
        <v>0.04</v>
      </c>
    </row>
    <row r="12" spans="2:8" x14ac:dyDescent="0.25">
      <c r="B12" s="15" t="s">
        <v>244</v>
      </c>
      <c r="C12" t="str">
        <f t="shared" si="0"/>
        <v>Wood</v>
      </c>
      <c r="D12" s="82">
        <v>0.01</v>
      </c>
      <c r="F12">
        <v>2016</v>
      </c>
      <c r="G12" s="81">
        <v>0.04</v>
      </c>
    </row>
    <row r="13" spans="2:8" x14ac:dyDescent="0.25">
      <c r="B13" s="15" t="s">
        <v>245</v>
      </c>
      <c r="C13" t="str">
        <f t="shared" si="0"/>
        <v>Textiles</v>
      </c>
      <c r="D13" s="82">
        <v>0.04</v>
      </c>
      <c r="F13">
        <v>2015</v>
      </c>
      <c r="G13" s="81">
        <v>6.6000000000000003E-2</v>
      </c>
    </row>
    <row r="14" spans="2:8" x14ac:dyDescent="0.25">
      <c r="B14" s="15" t="s">
        <v>246</v>
      </c>
      <c r="C14" t="str">
        <f t="shared" si="0"/>
        <v>Inert</v>
      </c>
      <c r="D14" s="82">
        <v>0.02</v>
      </c>
      <c r="F14">
        <v>2014</v>
      </c>
      <c r="G14" s="81">
        <v>6.6000000000000003E-2</v>
      </c>
    </row>
    <row r="15" spans="2:8" x14ac:dyDescent="0.25">
      <c r="B15" s="15" t="s">
        <v>247</v>
      </c>
      <c r="C15" t="str">
        <f t="shared" si="0"/>
        <v>Composites</v>
      </c>
      <c r="D15" s="82">
        <v>0.06</v>
      </c>
      <c r="F15">
        <v>2013</v>
      </c>
      <c r="G15" s="81">
        <v>8.2000000000000003E-2</v>
      </c>
    </row>
    <row r="16" spans="2:8" x14ac:dyDescent="0.25">
      <c r="B16" s="15" t="s">
        <v>248</v>
      </c>
      <c r="C16" t="str">
        <f t="shared" si="0"/>
        <v>Problematic waste</v>
      </c>
      <c r="D16" s="82">
        <v>0.01</v>
      </c>
      <c r="F16">
        <v>2012</v>
      </c>
      <c r="G16" s="81">
        <v>8.2000000000000003E-2</v>
      </c>
    </row>
    <row r="17" spans="2:8" x14ac:dyDescent="0.25">
      <c r="B17" s="15" t="s">
        <v>249</v>
      </c>
      <c r="C17" t="str">
        <f t="shared" si="0"/>
        <v>Other substances</v>
      </c>
      <c r="D17" s="82">
        <v>0.09</v>
      </c>
      <c r="F17">
        <v>2011</v>
      </c>
      <c r="G17" s="81">
        <v>0.11</v>
      </c>
    </row>
    <row r="18" spans="2:8" x14ac:dyDescent="0.25">
      <c r="B18" s="15" t="s">
        <v>250</v>
      </c>
      <c r="C18" t="str">
        <f t="shared" si="0"/>
        <v>Fine waste &lt;10mm</v>
      </c>
      <c r="D18" s="82">
        <v>0.05</v>
      </c>
      <c r="F18">
        <v>2010</v>
      </c>
      <c r="G18" s="81">
        <v>0.11</v>
      </c>
    </row>
    <row r="19" spans="2:8" ht="15.75" thickBot="1" x14ac:dyDescent="0.3">
      <c r="B19" s="17" t="s">
        <v>251</v>
      </c>
      <c r="C19" s="18"/>
      <c r="D19" s="83">
        <f>SUBTOTAL(109,MSW_comp_2021[Massenanteil])</f>
        <v>1</v>
      </c>
      <c r="F19" t="s">
        <v>260</v>
      </c>
      <c r="G19" s="81" t="s">
        <v>261</v>
      </c>
      <c r="H19" s="2" t="s">
        <v>234</v>
      </c>
    </row>
    <row r="20" spans="2:8" ht="15.75" thickBot="1" x14ac:dyDescent="0.3">
      <c r="B20" s="17" t="s">
        <v>252</v>
      </c>
      <c r="C20" s="18" t="s">
        <v>253</v>
      </c>
      <c r="D20" s="84" t="s">
        <v>234</v>
      </c>
      <c r="E20" t="s">
        <v>21</v>
      </c>
    </row>
    <row r="21" spans="2:8" ht="15.75" thickBot="1" x14ac:dyDescent="0.3"/>
    <row r="22" spans="2:8" x14ac:dyDescent="0.25">
      <c r="B22" s="12" t="s">
        <v>255</v>
      </c>
      <c r="C22" s="13"/>
      <c r="D22" s="14" t="s">
        <v>254</v>
      </c>
    </row>
    <row r="23" spans="2:8" x14ac:dyDescent="0.25">
      <c r="B23" s="15" t="s">
        <v>238</v>
      </c>
      <c r="C23" t="s">
        <v>237</v>
      </c>
      <c r="D23" s="16" t="s">
        <v>239</v>
      </c>
    </row>
    <row r="24" spans="2:8" x14ac:dyDescent="0.25">
      <c r="B24" s="15" t="s">
        <v>235</v>
      </c>
      <c r="C24" t="str">
        <f>_xlfn.TRANSLATE(B24,"DE","EN")</f>
        <v>Paper/ cardboard</v>
      </c>
      <c r="D24" s="82">
        <v>0.09</v>
      </c>
    </row>
    <row r="25" spans="2:8" x14ac:dyDescent="0.25">
      <c r="B25" s="15" t="s">
        <v>236</v>
      </c>
      <c r="C25" t="str">
        <f t="shared" ref="C25:C36" si="1">_xlfn.TRANSLATE(B25,"DE","EN")</f>
        <v>Glass</v>
      </c>
      <c r="D25" s="82">
        <v>0.06</v>
      </c>
    </row>
    <row r="26" spans="2:8" x14ac:dyDescent="0.25">
      <c r="B26" s="15" t="s">
        <v>240</v>
      </c>
      <c r="C26" t="str">
        <f t="shared" si="1"/>
        <v>Synthetics</v>
      </c>
      <c r="D26" s="82">
        <v>7.0000000000000007E-2</v>
      </c>
    </row>
    <row r="27" spans="2:8" x14ac:dyDescent="0.25">
      <c r="B27" s="15" t="s">
        <v>241</v>
      </c>
      <c r="C27" t="str">
        <f t="shared" si="1"/>
        <v>Metals</v>
      </c>
      <c r="D27" s="82">
        <v>0.02</v>
      </c>
    </row>
    <row r="28" spans="2:8" x14ac:dyDescent="0.25">
      <c r="B28" s="15" t="s">
        <v>242</v>
      </c>
      <c r="C28" t="str">
        <f t="shared" si="1"/>
        <v>Native Organic</v>
      </c>
      <c r="D28" s="82">
        <v>0.38</v>
      </c>
    </row>
    <row r="29" spans="2:8" x14ac:dyDescent="0.25">
      <c r="B29" s="15" t="s">
        <v>243</v>
      </c>
      <c r="C29" t="str">
        <f t="shared" si="1"/>
        <v>Other organics</v>
      </c>
      <c r="D29" s="82">
        <v>0.1</v>
      </c>
    </row>
    <row r="30" spans="2:8" x14ac:dyDescent="0.25">
      <c r="B30" s="15" t="s">
        <v>244</v>
      </c>
      <c r="C30" t="str">
        <f t="shared" si="1"/>
        <v>Wood</v>
      </c>
      <c r="D30" s="82">
        <v>0.01</v>
      </c>
    </row>
    <row r="31" spans="2:8" x14ac:dyDescent="0.25">
      <c r="B31" s="15" t="s">
        <v>245</v>
      </c>
      <c r="C31" t="str">
        <f t="shared" si="1"/>
        <v>Textiles</v>
      </c>
      <c r="D31" s="82">
        <v>0.04</v>
      </c>
    </row>
    <row r="32" spans="2:8" x14ac:dyDescent="0.25">
      <c r="B32" s="15" t="s">
        <v>246</v>
      </c>
      <c r="C32" t="str">
        <f t="shared" si="1"/>
        <v>Inert</v>
      </c>
      <c r="D32" s="82">
        <v>0.02</v>
      </c>
    </row>
    <row r="33" spans="2:4" x14ac:dyDescent="0.25">
      <c r="B33" s="15" t="s">
        <v>247</v>
      </c>
      <c r="C33" t="str">
        <f t="shared" si="1"/>
        <v>Composites</v>
      </c>
      <c r="D33" s="82">
        <v>0.06</v>
      </c>
    </row>
    <row r="34" spans="2:4" x14ac:dyDescent="0.25">
      <c r="B34" s="15" t="s">
        <v>248</v>
      </c>
      <c r="C34" t="str">
        <f t="shared" si="1"/>
        <v>Problematic waste</v>
      </c>
      <c r="D34" s="82">
        <v>0.01</v>
      </c>
    </row>
    <row r="35" spans="2:4" x14ac:dyDescent="0.25">
      <c r="B35" s="15" t="s">
        <v>249</v>
      </c>
      <c r="C35" t="str">
        <f t="shared" si="1"/>
        <v>Other substances</v>
      </c>
      <c r="D35" s="82">
        <v>0.09</v>
      </c>
    </row>
    <row r="36" spans="2:4" x14ac:dyDescent="0.25">
      <c r="B36" s="15" t="s">
        <v>250</v>
      </c>
      <c r="C36" t="str">
        <f t="shared" si="1"/>
        <v>Fine waste &lt;10mm</v>
      </c>
      <c r="D36" s="82">
        <v>0.05</v>
      </c>
    </row>
    <row r="37" spans="2:4" ht="15.75" thickBot="1" x14ac:dyDescent="0.3">
      <c r="B37" s="17" t="s">
        <v>251</v>
      </c>
      <c r="C37" s="18"/>
      <c r="D37" s="83">
        <f>SUBTOTAL(109,MSW_comp_202121[Massenanteil])</f>
        <v>1</v>
      </c>
    </row>
    <row r="38" spans="2:4" ht="15.75" thickBot="1" x14ac:dyDescent="0.3">
      <c r="B38" s="17" t="s">
        <v>252</v>
      </c>
      <c r="C38" s="18" t="s">
        <v>256</v>
      </c>
      <c r="D38" s="84" t="s">
        <v>234</v>
      </c>
    </row>
    <row r="39" spans="2:4" ht="15.75" thickBot="1" x14ac:dyDescent="0.3"/>
    <row r="40" spans="2:4" x14ac:dyDescent="0.25">
      <c r="B40" s="12" t="s">
        <v>255</v>
      </c>
      <c r="C40" s="13"/>
      <c r="D40" s="14" t="s">
        <v>265</v>
      </c>
    </row>
    <row r="41" spans="2:4" x14ac:dyDescent="0.25">
      <c r="B41" s="15" t="s">
        <v>238</v>
      </c>
      <c r="C41" t="s">
        <v>237</v>
      </c>
      <c r="D41" s="16" t="s">
        <v>239</v>
      </c>
    </row>
    <row r="42" spans="2:4" x14ac:dyDescent="0.25">
      <c r="B42" s="15" t="s">
        <v>235</v>
      </c>
      <c r="C42" t="str">
        <f>_xlfn.TRANSLATE(B42,"DE","EN")</f>
        <v>Paper/ cardboard</v>
      </c>
      <c r="D42" s="82">
        <v>0.1</v>
      </c>
    </row>
    <row r="43" spans="2:4" x14ac:dyDescent="0.25">
      <c r="B43" s="15" t="s">
        <v>236</v>
      </c>
      <c r="C43" t="str">
        <f t="shared" ref="C43:C53" si="2">_xlfn.TRANSLATE(B43,"DE","EN")</f>
        <v>Glass</v>
      </c>
      <c r="D43" s="82">
        <v>0.06</v>
      </c>
    </row>
    <row r="44" spans="2:4" x14ac:dyDescent="0.25">
      <c r="B44" s="15" t="s">
        <v>240</v>
      </c>
      <c r="C44" t="str">
        <f t="shared" si="2"/>
        <v>Synthetics</v>
      </c>
      <c r="D44" s="82">
        <v>0.08</v>
      </c>
    </row>
    <row r="45" spans="2:4" x14ac:dyDescent="0.25">
      <c r="B45" s="15" t="s">
        <v>241</v>
      </c>
      <c r="C45" t="str">
        <f t="shared" si="2"/>
        <v>Metals</v>
      </c>
      <c r="D45" s="82">
        <v>0.02</v>
      </c>
    </row>
    <row r="46" spans="2:4" x14ac:dyDescent="0.25">
      <c r="B46" s="15" t="s">
        <v>242</v>
      </c>
      <c r="C46" t="str">
        <f t="shared" si="2"/>
        <v>Native Organic</v>
      </c>
      <c r="D46" s="82">
        <v>0.44</v>
      </c>
    </row>
    <row r="47" spans="2:4" x14ac:dyDescent="0.25">
      <c r="B47" s="15" t="s">
        <v>244</v>
      </c>
      <c r="C47" t="str">
        <f t="shared" si="2"/>
        <v>Wood</v>
      </c>
      <c r="D47" s="82">
        <v>0.02</v>
      </c>
    </row>
    <row r="48" spans="2:4" x14ac:dyDescent="0.25">
      <c r="B48" s="15" t="s">
        <v>245</v>
      </c>
      <c r="C48" t="str">
        <f t="shared" si="2"/>
        <v>Textiles</v>
      </c>
      <c r="D48" s="82">
        <v>0.03</v>
      </c>
    </row>
    <row r="49" spans="2:4" x14ac:dyDescent="0.25">
      <c r="B49" s="15" t="s">
        <v>246</v>
      </c>
      <c r="C49" t="str">
        <f t="shared" si="2"/>
        <v>Inert</v>
      </c>
      <c r="D49" s="82">
        <v>0.03</v>
      </c>
    </row>
    <row r="50" spans="2:4" x14ac:dyDescent="0.25">
      <c r="B50" s="15" t="s">
        <v>247</v>
      </c>
      <c r="C50" t="str">
        <f t="shared" si="2"/>
        <v>Composites</v>
      </c>
      <c r="D50" s="82">
        <v>0.05</v>
      </c>
    </row>
    <row r="51" spans="2:4" x14ac:dyDescent="0.25">
      <c r="B51" s="15" t="s">
        <v>248</v>
      </c>
      <c r="C51" t="str">
        <f t="shared" si="2"/>
        <v>Problematic waste</v>
      </c>
      <c r="D51" s="82">
        <v>0</v>
      </c>
    </row>
    <row r="52" spans="2:4" x14ac:dyDescent="0.25">
      <c r="B52" s="15" t="s">
        <v>249</v>
      </c>
      <c r="C52" t="str">
        <f t="shared" si="2"/>
        <v>Other substances</v>
      </c>
      <c r="D52" s="82">
        <v>0.1</v>
      </c>
    </row>
    <row r="53" spans="2:4" x14ac:dyDescent="0.25">
      <c r="B53" s="15" t="s">
        <v>250</v>
      </c>
      <c r="C53" t="str">
        <f t="shared" si="2"/>
        <v>Fine waste &lt;10mm</v>
      </c>
      <c r="D53" s="82">
        <v>7.0000000000000007E-2</v>
      </c>
    </row>
    <row r="54" spans="2:4" ht="15.75" thickBot="1" x14ac:dyDescent="0.3">
      <c r="B54" s="17" t="s">
        <v>251</v>
      </c>
      <c r="C54" s="18"/>
      <c r="D54" s="83">
        <f>SUBTOTAL(109,MSW_comp_20212123[Massenanteil])</f>
        <v>1</v>
      </c>
    </row>
    <row r="55" spans="2:4" ht="15.75" thickBot="1" x14ac:dyDescent="0.3">
      <c r="B55" s="17" t="s">
        <v>252</v>
      </c>
      <c r="C55" s="18" t="s">
        <v>266</v>
      </c>
      <c r="D55" s="84" t="s">
        <v>234</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L33" sqref="L33"/>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302" t="s">
        <v>223</v>
      </c>
      <c r="C2" s="302"/>
      <c r="D2" s="302"/>
      <c r="F2" s="302" t="s">
        <v>291</v>
      </c>
      <c r="G2" s="302"/>
      <c r="H2" s="302"/>
      <c r="J2" s="303" t="s">
        <v>290</v>
      </c>
      <c r="K2" s="303"/>
      <c r="L2" s="303"/>
      <c r="Q2" s="303" t="s">
        <v>290</v>
      </c>
      <c r="R2" s="303"/>
      <c r="S2" s="303"/>
    </row>
    <row r="3" spans="2:19" x14ac:dyDescent="0.25">
      <c r="B3" t="s">
        <v>224</v>
      </c>
      <c r="C3" t="s">
        <v>225</v>
      </c>
      <c r="D3" t="s">
        <v>18</v>
      </c>
      <c r="F3" t="s">
        <v>224</v>
      </c>
      <c r="G3" t="s">
        <v>225</v>
      </c>
      <c r="H3" t="s">
        <v>18</v>
      </c>
      <c r="J3" s="9" t="s">
        <v>224</v>
      </c>
      <c r="K3" s="9" t="s">
        <v>225</v>
      </c>
      <c r="L3" s="9" t="s">
        <v>18</v>
      </c>
      <c r="N3" t="s">
        <v>224</v>
      </c>
      <c r="O3" t="s">
        <v>231</v>
      </c>
      <c r="Q3" s="9" t="s">
        <v>224</v>
      </c>
      <c r="R3" s="9" t="s">
        <v>225</v>
      </c>
      <c r="S3" s="9" t="s">
        <v>18</v>
      </c>
    </row>
    <row r="4" spans="2:19" x14ac:dyDescent="0.25">
      <c r="B4">
        <v>1</v>
      </c>
      <c r="C4" t="s">
        <v>226</v>
      </c>
      <c r="F4">
        <v>1</v>
      </c>
      <c r="G4" t="s">
        <v>228</v>
      </c>
      <c r="H4" t="s">
        <v>228</v>
      </c>
      <c r="J4" s="10">
        <v>1</v>
      </c>
      <c r="K4" s="10" t="s">
        <v>344</v>
      </c>
      <c r="L4" s="10" t="s">
        <v>344</v>
      </c>
      <c r="N4">
        <v>1</v>
      </c>
      <c r="O4" t="s">
        <v>67</v>
      </c>
      <c r="Q4" s="10">
        <v>1</v>
      </c>
      <c r="R4" s="10" t="s">
        <v>344</v>
      </c>
      <c r="S4" s="10" t="s">
        <v>344</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345</v>
      </c>
      <c r="L6" s="10" t="s">
        <v>345</v>
      </c>
      <c r="Q6" s="10">
        <v>3</v>
      </c>
      <c r="R6" s="10" t="s">
        <v>345</v>
      </c>
      <c r="S6" s="10" t="s">
        <v>345</v>
      </c>
    </row>
    <row r="7" spans="2:19" x14ac:dyDescent="0.25">
      <c r="B7">
        <v>4</v>
      </c>
      <c r="F7">
        <v>4</v>
      </c>
      <c r="G7" t="s">
        <v>348</v>
      </c>
      <c r="H7" t="s">
        <v>348</v>
      </c>
      <c r="J7">
        <v>4</v>
      </c>
      <c r="K7" t="s">
        <v>346</v>
      </c>
      <c r="L7" t="s">
        <v>346</v>
      </c>
      <c r="Q7">
        <v>4</v>
      </c>
      <c r="R7" t="s">
        <v>346</v>
      </c>
      <c r="S7" t="s">
        <v>346</v>
      </c>
    </row>
    <row r="8" spans="2:19" x14ac:dyDescent="0.25">
      <c r="B8">
        <v>5</v>
      </c>
      <c r="F8">
        <v>5</v>
      </c>
      <c r="J8" s="10">
        <v>5</v>
      </c>
      <c r="K8" s="10" t="s">
        <v>347</v>
      </c>
      <c r="L8" s="10" t="s">
        <v>347</v>
      </c>
      <c r="Q8" s="10">
        <v>5</v>
      </c>
      <c r="R8" s="10" t="s">
        <v>347</v>
      </c>
      <c r="S8" s="10" t="s">
        <v>347</v>
      </c>
    </row>
    <row r="9" spans="2:19" x14ac:dyDescent="0.25">
      <c r="B9">
        <v>6</v>
      </c>
      <c r="C9" t="s">
        <v>227</v>
      </c>
      <c r="F9">
        <v>6</v>
      </c>
      <c r="J9">
        <v>6</v>
      </c>
    </row>
    <row r="10" spans="2:19" x14ac:dyDescent="0.25">
      <c r="B10">
        <v>7</v>
      </c>
      <c r="F10">
        <v>7</v>
      </c>
    </row>
    <row r="11" spans="2:19" x14ac:dyDescent="0.25">
      <c r="B11">
        <v>8</v>
      </c>
      <c r="F11">
        <v>8</v>
      </c>
    </row>
    <row r="14" spans="2:19" x14ac:dyDescent="0.25">
      <c r="B14" s="302" t="s">
        <v>369</v>
      </c>
      <c r="C14" s="302"/>
      <c r="D14" s="302"/>
      <c r="F14" s="302" t="s">
        <v>379</v>
      </c>
      <c r="G14" s="302"/>
      <c r="H14" s="302"/>
    </row>
    <row r="15" spans="2:19" x14ac:dyDescent="0.25">
      <c r="B15" s="66" t="s">
        <v>224</v>
      </c>
      <c r="C15" s="66" t="s">
        <v>225</v>
      </c>
      <c r="D15" s="66" t="s">
        <v>18</v>
      </c>
      <c r="F15" s="66" t="s">
        <v>224</v>
      </c>
      <c r="G15" s="66" t="s">
        <v>225</v>
      </c>
      <c r="H15" s="66" t="s">
        <v>18</v>
      </c>
    </row>
    <row r="16" spans="2:19" x14ac:dyDescent="0.25">
      <c r="B16" s="10">
        <v>1</v>
      </c>
      <c r="C16" s="10" t="s">
        <v>370</v>
      </c>
      <c r="D16" s="10"/>
      <c r="F16" s="10">
        <v>1</v>
      </c>
      <c r="G16" s="10" t="s">
        <v>381</v>
      </c>
      <c r="H16" s="10" t="s">
        <v>383</v>
      </c>
    </row>
    <row r="17" spans="2:8" x14ac:dyDescent="0.25">
      <c r="B17" s="10">
        <v>2</v>
      </c>
      <c r="C17" s="10" t="s">
        <v>371</v>
      </c>
      <c r="D17" s="10"/>
      <c r="F17" s="10">
        <v>2</v>
      </c>
      <c r="G17" s="10" t="s">
        <v>382</v>
      </c>
      <c r="H17" s="10" t="s">
        <v>384</v>
      </c>
    </row>
    <row r="18" spans="2:8" x14ac:dyDescent="0.25">
      <c r="B18">
        <v>3</v>
      </c>
      <c r="C18" t="s">
        <v>368</v>
      </c>
      <c r="F18" s="10">
        <v>3</v>
      </c>
      <c r="G18" s="10" t="s">
        <v>386</v>
      </c>
      <c r="H18" s="10" t="s">
        <v>387</v>
      </c>
    </row>
    <row r="19" spans="2:8" x14ac:dyDescent="0.25">
      <c r="F19" s="10">
        <v>4</v>
      </c>
      <c r="G19" s="10" t="s">
        <v>380</v>
      </c>
      <c r="H19" s="10" t="s">
        <v>385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221</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222</v>
      </c>
      <c r="B1" s="9" t="s">
        <v>224</v>
      </c>
      <c r="C1" s="48" t="s">
        <v>318</v>
      </c>
      <c r="D1" t="s">
        <v>289</v>
      </c>
      <c r="E1" s="66" t="s">
        <v>229</v>
      </c>
      <c r="F1" t="s">
        <v>319</v>
      </c>
      <c r="G1" t="s">
        <v>233</v>
      </c>
      <c r="H1" t="s">
        <v>290</v>
      </c>
      <c r="I1" t="s">
        <v>291</v>
      </c>
      <c r="J1" s="48" t="s">
        <v>18</v>
      </c>
      <c r="K1" s="25" t="s">
        <v>324</v>
      </c>
      <c r="L1" s="26" t="s">
        <v>292</v>
      </c>
      <c r="M1" s="32" t="s">
        <v>323</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230</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230</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230</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230</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230</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230</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230</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230</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230</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230</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230</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230</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230</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230</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230</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230</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230</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230</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230</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230</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230</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230</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230</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230</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230</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230</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230</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230</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230</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230</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230</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230</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230</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230</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230</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230</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230</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230</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230</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230</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230</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230</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230</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230</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230</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230</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230</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230</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230</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230</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D51_12____0</v>
      </c>
      <c r="D52" s="49" t="str">
        <f>_xlfn.XLOOKUP($F52,Tab_Def_Processes[Name(EN)],Tab_Def_Processes[Process_ID],,0,)</f>
        <v>12__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D52_12____0</v>
      </c>
      <c r="D53" s="49" t="str">
        <f>_xlfn.XLOOKUP($F53,Tab_Def_Processes[Name(EN)],Tab_Def_Processes[Process_ID],,0,)</f>
        <v>12__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D53_12____0</v>
      </c>
      <c r="D54" s="49" t="str">
        <f>_xlfn.XLOOKUP($F54,Tab_Def_Processes[Name(EN)],Tab_Def_Processes[Process_ID],,0,)</f>
        <v>12__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D54_12____0</v>
      </c>
      <c r="D55" s="49" t="str">
        <f>_xlfn.XLOOKUP($F55,Tab_Def_Processes[Name(EN)],Tab_Def_Processes[Process_ID],,0,)</f>
        <v>12__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D55_12____0</v>
      </c>
      <c r="D56" s="49" t="str">
        <f>_xlfn.XLOOKUP($F56,Tab_Def_Processes[Name(EN)],Tab_Def_Processes[Process_ID],,0,)</f>
        <v>12__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D56_12____0</v>
      </c>
      <c r="D57" s="49" t="str">
        <f>_xlfn.XLOOKUP($F57,Tab_Def_Processes[Name(EN)],Tab_Def_Processes[Process_ID],,0,)</f>
        <v>12__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D57_12____0</v>
      </c>
      <c r="D58" s="49" t="str">
        <f>_xlfn.XLOOKUP($F58,Tab_Def_Processes[Name(EN)],Tab_Def_Processes[Process_ID],,0,)</f>
        <v>12__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D58_12____0</v>
      </c>
      <c r="D59" s="49" t="str">
        <f>_xlfn.XLOOKUP($F59,Tab_Def_Processes[Name(EN)],Tab_Def_Processes[Process_ID],,0,)</f>
        <v>12__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D59_12____0</v>
      </c>
      <c r="D60" s="49" t="str">
        <f>_xlfn.XLOOKUP($F60,Tab_Def_Processes[Name(EN)],Tab_Def_Processes[Process_ID],,0,)</f>
        <v>12__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D60_12____0</v>
      </c>
      <c r="D61" s="49" t="str">
        <f>_xlfn.XLOOKUP($F61,Tab_Def_Processes[Name(EN)],Tab_Def_Processes[Process_ID],,0,)</f>
        <v>12__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D61_12____0</v>
      </c>
      <c r="D62" s="49" t="str">
        <f>_xlfn.XLOOKUP($F62,Tab_Def_Processes[Name(EN)],Tab_Def_Processes[Process_ID],,0,)</f>
        <v>12__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D62_12____0</v>
      </c>
      <c r="D63" s="49" t="str">
        <f>_xlfn.XLOOKUP($F63,Tab_Def_Processes[Name(EN)],Tab_Def_Processes[Process_ID],,0,)</f>
        <v>12__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302" t="s">
        <v>2</v>
      </c>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315</v>
      </c>
      <c r="B1" s="22" t="s">
        <v>1</v>
      </c>
      <c r="C1" s="22" t="s">
        <v>267</v>
      </c>
      <c r="D1" s="97" t="s">
        <v>319</v>
      </c>
      <c r="E1" s="22" t="s">
        <v>268</v>
      </c>
      <c r="F1" s="9" t="s">
        <v>271</v>
      </c>
      <c r="G1" s="9" t="s">
        <v>272</v>
      </c>
      <c r="H1" s="9" t="s">
        <v>273</v>
      </c>
      <c r="I1" s="9" t="s">
        <v>274</v>
      </c>
      <c r="J1" s="66" t="s">
        <v>378</v>
      </c>
      <c r="K1" s="21" t="s">
        <v>350</v>
      </c>
      <c r="L1" s="22" t="s">
        <v>352</v>
      </c>
      <c r="M1" s="23" t="s">
        <v>351</v>
      </c>
      <c r="N1" s="21" t="s">
        <v>353</v>
      </c>
      <c r="O1" s="23" t="s">
        <v>354</v>
      </c>
      <c r="P1" s="21" t="s">
        <v>355</v>
      </c>
      <c r="Q1" s="23" t="s">
        <v>356</v>
      </c>
      <c r="R1" s="21" t="s">
        <v>357</v>
      </c>
      <c r="S1" s="23" t="s">
        <v>358</v>
      </c>
    </row>
    <row r="2" spans="1:19" x14ac:dyDescent="0.25">
      <c r="A2" s="89" t="b">
        <v>0</v>
      </c>
      <c r="B2" s="49">
        <f>ROW()-1</f>
        <v>1</v>
      </c>
      <c r="C2" s="49" t="e">
        <f>_xlfn.XLOOKUP(D2,Tab_Def_Flows[Name(EN)],Tab_Def_Flows[Flow_ID],,0,)</f>
        <v>#N/A</v>
      </c>
      <c r="D2" s="51" t="s">
        <v>332</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333</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334</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335</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336</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337</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338</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360</v>
      </c>
    </row>
    <row r="9" spans="1:19" x14ac:dyDescent="0.25">
      <c r="A9" s="89" t="b">
        <v>0</v>
      </c>
      <c r="B9" s="49">
        <f t="shared" si="0"/>
        <v>8</v>
      </c>
      <c r="C9" s="49" t="e">
        <f>_xlfn.XLOOKUP(D9,Tab_Def_Flows[Name(EN)],Tab_Def_Flows[Flow_ID],,0,)</f>
        <v>#N/A</v>
      </c>
      <c r="D9" s="51" t="s">
        <v>372</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373</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339</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340</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341</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342</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343</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359</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374</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375</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377</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389</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F_12_12</v>
      </c>
      <c r="D22" s="51"/>
      <c r="E22" s="49">
        <f>_xlfn.XLOOKUP(D22,Tab_Def_Flows[Name(EN)],Tab_Def_Flows[Type_Biomass],,0,)</f>
        <v>0</v>
      </c>
      <c r="F22" s="49">
        <f>_xlfn.XLOOKUP(D22,Tab_Def_Flows[Name(EN)],Tab_Def_Flows[Output_Process],,0,)</f>
        <v>0</v>
      </c>
      <c r="G22" s="49" t="str">
        <f>_xlfn.XLOOKUP(D22,Tab_Def_Flows[Name(EN)],Tab_Def_Flows[Process_ID_O],,0,)</f>
        <v>12__</v>
      </c>
      <c r="H22" s="49">
        <f>_xlfn.XLOOKUP(D22,Tab_Def_Flows[Name(EN)],Tab_Def_Flows[Input_Process],,0,)</f>
        <v>0</v>
      </c>
      <c r="I22" s="61" t="str">
        <f>_xlfn.XLOOKUP(D22,Tab_Def_Flows[Name(EN)],Tab_Def_Flows[Process_ID_I],,0,)</f>
        <v>12__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F_12_12</v>
      </c>
      <c r="D23" s="51"/>
      <c r="E23" s="49">
        <f>_xlfn.XLOOKUP(D23,Tab_Def_Flows[Name(EN)],Tab_Def_Flows[Type_Biomass],,0,)</f>
        <v>0</v>
      </c>
      <c r="F23" s="49">
        <f>_xlfn.XLOOKUP(D23,Tab_Def_Flows[Name(EN)],Tab_Def_Flows[Output_Process],,0,)</f>
        <v>0</v>
      </c>
      <c r="G23" s="49" t="str">
        <f>_xlfn.XLOOKUP(D23,Tab_Def_Flows[Name(EN)],Tab_Def_Flows[Process_ID_O],,0,)</f>
        <v>12__</v>
      </c>
      <c r="H23" s="49">
        <f>_xlfn.XLOOKUP(D23,Tab_Def_Flows[Name(EN)],Tab_Def_Flows[Input_Process],,0,)</f>
        <v>0</v>
      </c>
      <c r="I23" s="61" t="str">
        <f>_xlfn.XLOOKUP(D23,Tab_Def_Flows[Name(EN)],Tab_Def_Flows[Process_ID_I],,0,)</f>
        <v>12__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F_12_12</v>
      </c>
      <c r="D24" s="51"/>
      <c r="E24" s="49">
        <f>_xlfn.XLOOKUP(D24,Tab_Def_Flows[Name(EN)],Tab_Def_Flows[Type_Biomass],,0,)</f>
        <v>0</v>
      </c>
      <c r="F24" s="49">
        <f>_xlfn.XLOOKUP(D24,Tab_Def_Flows[Name(EN)],Tab_Def_Flows[Output_Process],,0,)</f>
        <v>0</v>
      </c>
      <c r="G24" s="49" t="str">
        <f>_xlfn.XLOOKUP(D24,Tab_Def_Flows[Name(EN)],Tab_Def_Flows[Process_ID_O],,0,)</f>
        <v>12__</v>
      </c>
      <c r="H24" s="49">
        <f>_xlfn.XLOOKUP(D24,Tab_Def_Flows[Name(EN)],Tab_Def_Flows[Input_Process],,0,)</f>
        <v>0</v>
      </c>
      <c r="I24" s="61" t="str">
        <f>_xlfn.XLOOKUP(D24,Tab_Def_Flows[Name(EN)],Tab_Def_Flows[Process_ID_I],,0,)</f>
        <v>12__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F_12_12</v>
      </c>
      <c r="D25" s="51"/>
      <c r="E25" s="49">
        <f>_xlfn.XLOOKUP(D25,Tab_Def_Flows[Name(EN)],Tab_Def_Flows[Type_Biomass],,0,)</f>
        <v>0</v>
      </c>
      <c r="F25" s="49">
        <f>_xlfn.XLOOKUP(D25,Tab_Def_Flows[Name(EN)],Tab_Def_Flows[Output_Process],,0,)</f>
        <v>0</v>
      </c>
      <c r="G25" s="49" t="str">
        <f>_xlfn.XLOOKUP(D25,Tab_Def_Flows[Name(EN)],Tab_Def_Flows[Process_ID_O],,0,)</f>
        <v>12__</v>
      </c>
      <c r="H25" s="49">
        <f>_xlfn.XLOOKUP(D25,Tab_Def_Flows[Name(EN)],Tab_Def_Flows[Input_Process],,0,)</f>
        <v>0</v>
      </c>
      <c r="I25" s="61" t="str">
        <f>_xlfn.XLOOKUP(D25,Tab_Def_Flows[Name(EN)],Tab_Def_Flows[Process_ID_I],,0,)</f>
        <v>12__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F_12_12</v>
      </c>
      <c r="D26" s="51"/>
      <c r="E26" s="49">
        <f>_xlfn.XLOOKUP(D26,Tab_Def_Flows[Name(EN)],Tab_Def_Flows[Type_Biomass],,0,)</f>
        <v>0</v>
      </c>
      <c r="F26" s="49">
        <f>_xlfn.XLOOKUP(D26,Tab_Def_Flows[Name(EN)],Tab_Def_Flows[Output_Process],,0,)</f>
        <v>0</v>
      </c>
      <c r="G26" s="49" t="str">
        <f>_xlfn.XLOOKUP(D26,Tab_Def_Flows[Name(EN)],Tab_Def_Flows[Process_ID_O],,0,)</f>
        <v>12__</v>
      </c>
      <c r="H26" s="49">
        <f>_xlfn.XLOOKUP(D26,Tab_Def_Flows[Name(EN)],Tab_Def_Flows[Input_Process],,0,)</f>
        <v>0</v>
      </c>
      <c r="I26" s="61" t="str">
        <f>_xlfn.XLOOKUP(D26,Tab_Def_Flows[Name(EN)],Tab_Def_Flows[Process_ID_I],,0,)</f>
        <v>12__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F_12_12</v>
      </c>
      <c r="D27" s="51"/>
      <c r="E27" s="49">
        <f>_xlfn.XLOOKUP(D27,Tab_Def_Flows[Name(EN)],Tab_Def_Flows[Type_Biomass],,0,)</f>
        <v>0</v>
      </c>
      <c r="F27" s="49">
        <f>_xlfn.XLOOKUP(D27,Tab_Def_Flows[Name(EN)],Tab_Def_Flows[Output_Process],,0,)</f>
        <v>0</v>
      </c>
      <c r="G27" s="49" t="str">
        <f>_xlfn.XLOOKUP(D27,Tab_Def_Flows[Name(EN)],Tab_Def_Flows[Process_ID_O],,0,)</f>
        <v>12__</v>
      </c>
      <c r="H27" s="49">
        <f>_xlfn.XLOOKUP(D27,Tab_Def_Flows[Name(EN)],Tab_Def_Flows[Input_Process],,0,)</f>
        <v>0</v>
      </c>
      <c r="I27" s="61" t="str">
        <f>_xlfn.XLOOKUP(D27,Tab_Def_Flows[Name(EN)],Tab_Def_Flows[Process_ID_I],,0,)</f>
        <v>12__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F_12_12</v>
      </c>
      <c r="D28" s="51"/>
      <c r="E28" s="49">
        <f>_xlfn.XLOOKUP(D28,Tab_Def_Flows[Name(EN)],Tab_Def_Flows[Type_Biomass],,0,)</f>
        <v>0</v>
      </c>
      <c r="F28" s="49">
        <f>_xlfn.XLOOKUP(D28,Tab_Def_Flows[Name(EN)],Tab_Def_Flows[Output_Process],,0,)</f>
        <v>0</v>
      </c>
      <c r="G28" s="49" t="str">
        <f>_xlfn.XLOOKUP(D28,Tab_Def_Flows[Name(EN)],Tab_Def_Flows[Process_ID_O],,0,)</f>
        <v>12__</v>
      </c>
      <c r="H28" s="49">
        <f>_xlfn.XLOOKUP(D28,Tab_Def_Flows[Name(EN)],Tab_Def_Flows[Input_Process],,0,)</f>
        <v>0</v>
      </c>
      <c r="I28" s="61" t="str">
        <f>_xlfn.XLOOKUP(D28,Tab_Def_Flows[Name(EN)],Tab_Def_Flows[Process_ID_I],,0,)</f>
        <v>12__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F_12_12</v>
      </c>
      <c r="D29" s="51"/>
      <c r="E29" s="49">
        <f>_xlfn.XLOOKUP(D29,Tab_Def_Flows[Name(EN)],Tab_Def_Flows[Type_Biomass],,0,)</f>
        <v>0</v>
      </c>
      <c r="F29" s="49">
        <f>_xlfn.XLOOKUP(D29,Tab_Def_Flows[Name(EN)],Tab_Def_Flows[Output_Process],,0,)</f>
        <v>0</v>
      </c>
      <c r="G29" s="49" t="str">
        <f>_xlfn.XLOOKUP(D29,Tab_Def_Flows[Name(EN)],Tab_Def_Flows[Process_ID_O],,0,)</f>
        <v>12__</v>
      </c>
      <c r="H29" s="49">
        <f>_xlfn.XLOOKUP(D29,Tab_Def_Flows[Name(EN)],Tab_Def_Flows[Input_Process],,0,)</f>
        <v>0</v>
      </c>
      <c r="I29" s="61" t="str">
        <f>_xlfn.XLOOKUP(D29,Tab_Def_Flows[Name(EN)],Tab_Def_Flows[Process_ID_I],,0,)</f>
        <v>12__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F_12_12</v>
      </c>
      <c r="D30" s="51"/>
      <c r="E30" s="49">
        <f>_xlfn.XLOOKUP(D30,Tab_Def_Flows[Name(EN)],Tab_Def_Flows[Type_Biomass],,0,)</f>
        <v>0</v>
      </c>
      <c r="F30" s="49">
        <f>_xlfn.XLOOKUP(D30,Tab_Def_Flows[Name(EN)],Tab_Def_Flows[Output_Process],,0,)</f>
        <v>0</v>
      </c>
      <c r="G30" s="49" t="str">
        <f>_xlfn.XLOOKUP(D30,Tab_Def_Flows[Name(EN)],Tab_Def_Flows[Process_ID_O],,0,)</f>
        <v>12__</v>
      </c>
      <c r="H30" s="49">
        <f>_xlfn.XLOOKUP(D30,Tab_Def_Flows[Name(EN)],Tab_Def_Flows[Input_Process],,0,)</f>
        <v>0</v>
      </c>
      <c r="I30" s="61" t="str">
        <f>_xlfn.XLOOKUP(D30,Tab_Def_Flows[Name(EN)],Tab_Def_Flows[Process_ID_I],,0,)</f>
        <v>12__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F_12_12</v>
      </c>
      <c r="D31" s="51"/>
      <c r="E31" s="49">
        <f>_xlfn.XLOOKUP(D31,Tab_Def_Flows[Name(EN)],Tab_Def_Flows[Type_Biomass],,0,)</f>
        <v>0</v>
      </c>
      <c r="F31" s="49">
        <f>_xlfn.XLOOKUP(D31,Tab_Def_Flows[Name(EN)],Tab_Def_Flows[Output_Process],,0,)</f>
        <v>0</v>
      </c>
      <c r="G31" s="49" t="str">
        <f>_xlfn.XLOOKUP(D31,Tab_Def_Flows[Name(EN)],Tab_Def_Flows[Process_ID_O],,0,)</f>
        <v>12__</v>
      </c>
      <c r="H31" s="49">
        <f>_xlfn.XLOOKUP(D31,Tab_Def_Flows[Name(EN)],Tab_Def_Flows[Input_Process],,0,)</f>
        <v>0</v>
      </c>
      <c r="I31" s="61" t="str">
        <f>_xlfn.XLOOKUP(D31,Tab_Def_Flows[Name(EN)],Tab_Def_Flows[Process_ID_I],,0,)</f>
        <v>12__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F_12_12</v>
      </c>
      <c r="D32" s="51"/>
      <c r="E32" s="49">
        <f>_xlfn.XLOOKUP(D32,Tab_Def_Flows[Name(EN)],Tab_Def_Flows[Type_Biomass],,0,)</f>
        <v>0</v>
      </c>
      <c r="F32" s="49">
        <f>_xlfn.XLOOKUP(D32,Tab_Def_Flows[Name(EN)],Tab_Def_Flows[Output_Process],,0,)</f>
        <v>0</v>
      </c>
      <c r="G32" s="49" t="str">
        <f>_xlfn.XLOOKUP(D32,Tab_Def_Flows[Name(EN)],Tab_Def_Flows[Process_ID_O],,0,)</f>
        <v>12__</v>
      </c>
      <c r="H32" s="49">
        <f>_xlfn.XLOOKUP(D32,Tab_Def_Flows[Name(EN)],Tab_Def_Flows[Input_Process],,0,)</f>
        <v>0</v>
      </c>
      <c r="I32" s="61" t="str">
        <f>_xlfn.XLOOKUP(D32,Tab_Def_Flows[Name(EN)],Tab_Def_Flows[Process_ID_I],,0,)</f>
        <v>12__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F_12_12</v>
      </c>
      <c r="D33" s="51"/>
      <c r="E33" s="49">
        <f>_xlfn.XLOOKUP(D33,Tab_Def_Flows[Name(EN)],Tab_Def_Flows[Type_Biomass],,0,)</f>
        <v>0</v>
      </c>
      <c r="F33" s="49">
        <f>_xlfn.XLOOKUP(D33,Tab_Def_Flows[Name(EN)],Tab_Def_Flows[Output_Process],,0,)</f>
        <v>0</v>
      </c>
      <c r="G33" s="49" t="str">
        <f>_xlfn.XLOOKUP(D33,Tab_Def_Flows[Name(EN)],Tab_Def_Flows[Process_ID_O],,0,)</f>
        <v>12__</v>
      </c>
      <c r="H33" s="49">
        <f>_xlfn.XLOOKUP(D33,Tab_Def_Flows[Name(EN)],Tab_Def_Flows[Input_Process],,0,)</f>
        <v>0</v>
      </c>
      <c r="I33" s="61" t="str">
        <f>_xlfn.XLOOKUP(D33,Tab_Def_Flows[Name(EN)],Tab_Def_Flows[Process_ID_I],,0,)</f>
        <v>12__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F_12_12</v>
      </c>
      <c r="D34" s="51"/>
      <c r="E34" s="49">
        <f>_xlfn.XLOOKUP(D34,Tab_Def_Flows[Name(EN)],Tab_Def_Flows[Type_Biomass],,0,)</f>
        <v>0</v>
      </c>
      <c r="F34" s="49">
        <f>_xlfn.XLOOKUP(D34,Tab_Def_Flows[Name(EN)],Tab_Def_Flows[Output_Process],,0,)</f>
        <v>0</v>
      </c>
      <c r="G34" s="49" t="str">
        <f>_xlfn.XLOOKUP(D34,Tab_Def_Flows[Name(EN)],Tab_Def_Flows[Process_ID_O],,0,)</f>
        <v>12__</v>
      </c>
      <c r="H34" s="49">
        <f>_xlfn.XLOOKUP(D34,Tab_Def_Flows[Name(EN)],Tab_Def_Flows[Input_Process],,0,)</f>
        <v>0</v>
      </c>
      <c r="I34" s="61" t="str">
        <f>_xlfn.XLOOKUP(D34,Tab_Def_Flows[Name(EN)],Tab_Def_Flows[Process_ID_I],,0,)</f>
        <v>12__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F_12_12</v>
      </c>
      <c r="D35" s="51"/>
      <c r="E35" s="49">
        <f>_xlfn.XLOOKUP(D35,Tab_Def_Flows[Name(EN)],Tab_Def_Flows[Type_Biomass],,0,)</f>
        <v>0</v>
      </c>
      <c r="F35" s="49">
        <f>_xlfn.XLOOKUP(D35,Tab_Def_Flows[Name(EN)],Tab_Def_Flows[Output_Process],,0,)</f>
        <v>0</v>
      </c>
      <c r="G35" s="49" t="str">
        <f>_xlfn.XLOOKUP(D35,Tab_Def_Flows[Name(EN)],Tab_Def_Flows[Process_ID_O],,0,)</f>
        <v>12__</v>
      </c>
      <c r="H35" s="49">
        <f>_xlfn.XLOOKUP(D35,Tab_Def_Flows[Name(EN)],Tab_Def_Flows[Input_Process],,0,)</f>
        <v>0</v>
      </c>
      <c r="I35" s="61" t="str">
        <f>_xlfn.XLOOKUP(D35,Tab_Def_Flows[Name(EN)],Tab_Def_Flows[Process_ID_I],,0,)</f>
        <v>12__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F_12_12</v>
      </c>
      <c r="D36" s="51"/>
      <c r="E36" s="49">
        <f>_xlfn.XLOOKUP(D36,Tab_Def_Flows[Name(EN)],Tab_Def_Flows[Type_Biomass],,0,)</f>
        <v>0</v>
      </c>
      <c r="F36" s="49">
        <f>_xlfn.XLOOKUP(D36,Tab_Def_Flows[Name(EN)],Tab_Def_Flows[Output_Process],,0,)</f>
        <v>0</v>
      </c>
      <c r="G36" s="49" t="str">
        <f>_xlfn.XLOOKUP(D36,Tab_Def_Flows[Name(EN)],Tab_Def_Flows[Process_ID_O],,0,)</f>
        <v>12__</v>
      </c>
      <c r="H36" s="49">
        <f>_xlfn.XLOOKUP(D36,Tab_Def_Flows[Name(EN)],Tab_Def_Flows[Input_Process],,0,)</f>
        <v>0</v>
      </c>
      <c r="I36" s="61" t="str">
        <f>_xlfn.XLOOKUP(D36,Tab_Def_Flows[Name(EN)],Tab_Def_Flows[Process_ID_I],,0,)</f>
        <v>12__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F_12_12</v>
      </c>
      <c r="D37" s="51"/>
      <c r="E37" s="49">
        <f>_xlfn.XLOOKUP(D37,Tab_Def_Flows[Name(EN)],Tab_Def_Flows[Type_Biomass],,0,)</f>
        <v>0</v>
      </c>
      <c r="F37" s="49">
        <f>_xlfn.XLOOKUP(D37,Tab_Def_Flows[Name(EN)],Tab_Def_Flows[Output_Process],,0,)</f>
        <v>0</v>
      </c>
      <c r="G37" s="49" t="str">
        <f>_xlfn.XLOOKUP(D37,Tab_Def_Flows[Name(EN)],Tab_Def_Flows[Process_ID_O],,0,)</f>
        <v>12__</v>
      </c>
      <c r="H37" s="49">
        <f>_xlfn.XLOOKUP(D37,Tab_Def_Flows[Name(EN)],Tab_Def_Flows[Input_Process],,0,)</f>
        <v>0</v>
      </c>
      <c r="I37" s="61" t="str">
        <f>_xlfn.XLOOKUP(D37,Tab_Def_Flows[Name(EN)],Tab_Def_Flows[Process_ID_I],,0,)</f>
        <v>12__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F_12_12</v>
      </c>
      <c r="D38" s="51"/>
      <c r="E38" s="49">
        <f>_xlfn.XLOOKUP(D38,Tab_Def_Flows[Name(EN)],Tab_Def_Flows[Type_Biomass],,0,)</f>
        <v>0</v>
      </c>
      <c r="F38" s="49">
        <f>_xlfn.XLOOKUP(D38,Tab_Def_Flows[Name(EN)],Tab_Def_Flows[Output_Process],,0,)</f>
        <v>0</v>
      </c>
      <c r="G38" s="49" t="str">
        <f>_xlfn.XLOOKUP(D38,Tab_Def_Flows[Name(EN)],Tab_Def_Flows[Process_ID_O],,0,)</f>
        <v>12__</v>
      </c>
      <c r="H38" s="49">
        <f>_xlfn.XLOOKUP(D38,Tab_Def_Flows[Name(EN)],Tab_Def_Flows[Input_Process],,0,)</f>
        <v>0</v>
      </c>
      <c r="I38" s="61" t="str">
        <f>_xlfn.XLOOKUP(D38,Tab_Def_Flows[Name(EN)],Tab_Def_Flows[Process_ID_I],,0,)</f>
        <v>12__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F_12_12</v>
      </c>
      <c r="D39" s="51"/>
      <c r="E39" s="49">
        <f>_xlfn.XLOOKUP(D39,Tab_Def_Flows[Name(EN)],Tab_Def_Flows[Type_Biomass],,0,)</f>
        <v>0</v>
      </c>
      <c r="F39" s="49">
        <f>_xlfn.XLOOKUP(D39,Tab_Def_Flows[Name(EN)],Tab_Def_Flows[Output_Process],,0,)</f>
        <v>0</v>
      </c>
      <c r="G39" s="49" t="str">
        <f>_xlfn.XLOOKUP(D39,Tab_Def_Flows[Name(EN)],Tab_Def_Flows[Process_ID_O],,0,)</f>
        <v>12__</v>
      </c>
      <c r="H39" s="49">
        <f>_xlfn.XLOOKUP(D39,Tab_Def_Flows[Name(EN)],Tab_Def_Flows[Input_Process],,0,)</f>
        <v>0</v>
      </c>
      <c r="I39" s="61" t="str">
        <f>_xlfn.XLOOKUP(D39,Tab_Def_Flows[Name(EN)],Tab_Def_Flows[Process_ID_I],,0,)</f>
        <v>12__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F_12_12</v>
      </c>
      <c r="D40" s="51"/>
      <c r="E40" s="49">
        <f>_xlfn.XLOOKUP(D40,Tab_Def_Flows[Name(EN)],Tab_Def_Flows[Type_Biomass],,0,)</f>
        <v>0</v>
      </c>
      <c r="F40" s="49">
        <f>_xlfn.XLOOKUP(D40,Tab_Def_Flows[Name(EN)],Tab_Def_Flows[Output_Process],,0,)</f>
        <v>0</v>
      </c>
      <c r="G40" s="49" t="str">
        <f>_xlfn.XLOOKUP(D40,Tab_Def_Flows[Name(EN)],Tab_Def_Flows[Process_ID_O],,0,)</f>
        <v>12__</v>
      </c>
      <c r="H40" s="49">
        <f>_xlfn.XLOOKUP(D40,Tab_Def_Flows[Name(EN)],Tab_Def_Flows[Input_Process],,0,)</f>
        <v>0</v>
      </c>
      <c r="I40" s="61" t="str">
        <f>_xlfn.XLOOKUP(D40,Tab_Def_Flows[Name(EN)],Tab_Def_Flows[Process_ID_I],,0,)</f>
        <v>12__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F_12_12</v>
      </c>
      <c r="D41" s="51"/>
      <c r="E41" s="49">
        <f>_xlfn.XLOOKUP(D41,Tab_Def_Flows[Name(EN)],Tab_Def_Flows[Type_Biomass],,0,)</f>
        <v>0</v>
      </c>
      <c r="F41" s="49">
        <f>_xlfn.XLOOKUP(D41,Tab_Def_Flows[Name(EN)],Tab_Def_Flows[Output_Process],,0,)</f>
        <v>0</v>
      </c>
      <c r="G41" s="49" t="str">
        <f>_xlfn.XLOOKUP(D41,Tab_Def_Flows[Name(EN)],Tab_Def_Flows[Process_ID_O],,0,)</f>
        <v>12__</v>
      </c>
      <c r="H41" s="49">
        <f>_xlfn.XLOOKUP(D41,Tab_Def_Flows[Name(EN)],Tab_Def_Flows[Input_Process],,0,)</f>
        <v>0</v>
      </c>
      <c r="I41" s="61" t="str">
        <f>_xlfn.XLOOKUP(D41,Tab_Def_Flows[Name(EN)],Tab_Def_Flows[Process_ID_I],,0,)</f>
        <v>12__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302" t="s">
        <v>2</v>
      </c>
      <c r="C4" s="302"/>
      <c r="D4" s="302"/>
      <c r="E4" s="302"/>
      <c r="F4" s="302"/>
      <c r="G4" s="302"/>
      <c r="H4" s="302"/>
      <c r="I4" s="302"/>
      <c r="J4" s="302"/>
      <c r="K4" s="302"/>
      <c r="L4" s="302"/>
      <c r="M4" s="302"/>
      <c r="N4" s="302"/>
      <c r="O4" s="302"/>
      <c r="P4" s="302"/>
      <c r="Q4" s="302"/>
      <c r="R4" s="302"/>
      <c r="S4" s="302"/>
      <c r="T4" s="302"/>
      <c r="U4" s="302"/>
      <c r="V4" s="302"/>
      <c r="W4" s="302"/>
      <c r="X4" s="302"/>
      <c r="Y4" s="302"/>
      <c r="Z4" s="302"/>
      <c r="AA4" s="302"/>
      <c r="AB4" s="302"/>
      <c r="AC4" s="302"/>
      <c r="AD4" s="302"/>
      <c r="AE4" s="302" t="s">
        <v>90</v>
      </c>
      <c r="AF4" s="302"/>
      <c r="AG4" s="302"/>
      <c r="AH4" s="302"/>
      <c r="AI4" s="302"/>
      <c r="AJ4" s="302"/>
      <c r="AK4" s="302"/>
      <c r="AL4" s="302"/>
      <c r="AM4" s="302"/>
      <c r="AN4" s="302"/>
      <c r="AO4" s="1"/>
      <c r="AP4" s="8"/>
      <c r="AQ4" s="8"/>
      <c r="AR4" s="302" t="s">
        <v>18</v>
      </c>
      <c r="AS4" s="302"/>
      <c r="AT4" s="302"/>
      <c r="AU4" s="302"/>
      <c r="AV4" s="302"/>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304" t="s">
        <v>89</v>
      </c>
      <c r="AH2" s="305"/>
      <c r="AI2" s="305"/>
      <c r="AJ2" s="305"/>
      <c r="AK2" s="306"/>
      <c r="AL2" s="304" t="s">
        <v>191</v>
      </c>
      <c r="AM2" s="305"/>
      <c r="AN2" s="305"/>
      <c r="AO2" s="305"/>
      <c r="AP2" s="306"/>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07" t="s">
        <v>90</v>
      </c>
      <c r="AH2" s="307"/>
      <c r="AI2" s="307"/>
      <c r="AJ2" s="307"/>
      <c r="AK2" s="307"/>
      <c r="AL2" s="307"/>
      <c r="AM2" s="307"/>
      <c r="AN2" s="307"/>
      <c r="AO2" s="307"/>
      <c r="AP2" s="307"/>
      <c r="AQ2" s="307"/>
      <c r="AR2" s="307"/>
      <c r="AS2" s="307"/>
      <c r="AT2" s="302" t="s">
        <v>18</v>
      </c>
      <c r="AU2" s="302"/>
      <c r="AV2" s="302"/>
      <c r="AW2" s="302"/>
      <c r="AX2" s="302"/>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262</v>
      </c>
      <c r="AU3" s="22" t="s">
        <v>263</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302" t="s">
        <v>2</v>
      </c>
      <c r="B3" s="302"/>
      <c r="C3" s="302"/>
      <c r="D3" s="302"/>
      <c r="E3" s="302"/>
      <c r="F3" s="302"/>
      <c r="G3" s="302"/>
      <c r="H3" s="302"/>
      <c r="I3" s="302"/>
      <c r="J3" s="302"/>
      <c r="K3" s="302"/>
      <c r="L3" s="302" t="s">
        <v>89</v>
      </c>
      <c r="M3" s="302"/>
      <c r="N3" s="302"/>
      <c r="O3" s="302"/>
      <c r="P3" s="302"/>
      <c r="Q3" s="302" t="s">
        <v>191</v>
      </c>
      <c r="R3" s="302"/>
      <c r="S3" s="302"/>
      <c r="T3" s="302"/>
      <c r="U3" s="302"/>
      <c r="Y3" s="302" t="s">
        <v>4</v>
      </c>
      <c r="Z3" s="302"/>
      <c r="AA3" s="302"/>
      <c r="AB3" s="302"/>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Intro</vt:lpstr>
      <vt:lpstr>Version_CS1_28.05.</vt:lpstr>
      <vt:lpstr>1_Flows&gt;&gt;&gt;&gt;</vt:lpstr>
      <vt:lpstr>1_1_Definition_Flows</vt:lpstr>
      <vt:lpstr>1_2_Data_Flows</vt:lpstr>
      <vt:lpstr>2. Processes&gt;&gt;&gt;&gt;</vt:lpstr>
      <vt:lpstr>2_1_Definition_Processes</vt:lpstr>
      <vt:lpstr>2_3_Process_TCs</vt:lpstr>
      <vt:lpstr>2_4_Process_Stock_</vt:lpstr>
      <vt:lpstr>3. TC_Data</vt:lpstr>
      <vt:lpstr>PX - Template</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2025-06-07T13:38:59Z</dcterms:modified>
</cp:coreProperties>
</file>