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B2339F21-C7A7-4F0C-91BB-3E34A564D8EC}" xr6:coauthVersionLast="47" xr6:coauthVersionMax="47" xr10:uidLastSave="{00000000-0000-0000-0000-000000000000}"/>
  <bookViews>
    <workbookView xWindow="38280" yWindow="-16890" windowWidth="21840" windowHeight="37920" tabRatio="840" firstSheet="2" activeTab="4"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2"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V35" i="15" l="1"/>
  <c r="T35" i="15"/>
  <c r="R35" i="15"/>
  <c r="X38" i="15"/>
  <c r="V34" i="15"/>
  <c r="T34" i="15"/>
  <c r="X34" i="15" s="1"/>
  <c r="V33" i="15"/>
  <c r="T33" i="15"/>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T23" i="15"/>
  <c r="T17" i="15"/>
  <c r="T16" i="15"/>
  <c r="V10" i="15"/>
  <c r="T10" i="15"/>
  <c r="R10" i="15"/>
  <c r="R23" i="15"/>
  <c r="T22" i="15"/>
  <c r="R22" i="15"/>
  <c r="O32" i="2"/>
  <c r="O33" i="2" s="1"/>
  <c r="X23" i="15"/>
  <c r="X22" i="15"/>
  <c r="A2" i="2"/>
  <c r="D2" i="2"/>
  <c r="E2" i="2"/>
  <c r="G2" i="2"/>
  <c r="I2" i="2"/>
  <c r="J2" i="2"/>
  <c r="K2" i="2"/>
  <c r="L2" i="2"/>
  <c r="AA2" i="2"/>
  <c r="AC2" i="2"/>
  <c r="AD2" i="2" s="1"/>
  <c r="AE2" i="2"/>
  <c r="AF2" i="2"/>
  <c r="AH2" i="2"/>
  <c r="AK2" i="2"/>
  <c r="A3" i="2"/>
  <c r="D3" i="2"/>
  <c r="E3" i="2"/>
  <c r="G3" i="2"/>
  <c r="I3" i="2"/>
  <c r="J3" i="2"/>
  <c r="K3" i="2"/>
  <c r="L3" i="2"/>
  <c r="O3" i="2"/>
  <c r="O4" i="2" s="1"/>
  <c r="AC3" i="2"/>
  <c r="AE3" i="2"/>
  <c r="AF3" i="2"/>
  <c r="AH3" i="2"/>
  <c r="AK3" i="2"/>
  <c r="A4" i="2"/>
  <c r="D4" i="2"/>
  <c r="E4" i="2"/>
  <c r="G4" i="2"/>
  <c r="I4" i="2"/>
  <c r="J4" i="2"/>
  <c r="K4" i="2"/>
  <c r="L4" i="2"/>
  <c r="AC4" i="2"/>
  <c r="AE4" i="2"/>
  <c r="AF4" i="2"/>
  <c r="AH4" i="2"/>
  <c r="AK4" i="2"/>
  <c r="A5" i="2"/>
  <c r="D5" i="2"/>
  <c r="E5" i="2"/>
  <c r="G5" i="2"/>
  <c r="I5" i="2"/>
  <c r="J5" i="2"/>
  <c r="K5" i="2"/>
  <c r="L5" i="2"/>
  <c r="AC5" i="2"/>
  <c r="AE5" i="2"/>
  <c r="AF5" i="2"/>
  <c r="AH5" i="2"/>
  <c r="AK5" i="2"/>
  <c r="A6" i="2"/>
  <c r="D6" i="2"/>
  <c r="E6" i="2"/>
  <c r="G6" i="2"/>
  <c r="I6" i="2"/>
  <c r="J6" i="2"/>
  <c r="K6" i="2"/>
  <c r="L6" i="2"/>
  <c r="AC6" i="2"/>
  <c r="AE6" i="2"/>
  <c r="AF6" i="2"/>
  <c r="AH6" i="2"/>
  <c r="AK6" i="2"/>
  <c r="A7" i="2"/>
  <c r="D7" i="2"/>
  <c r="E7" i="2"/>
  <c r="G7" i="2"/>
  <c r="I7" i="2"/>
  <c r="J7" i="2"/>
  <c r="K7" i="2"/>
  <c r="L7" i="2"/>
  <c r="AC7" i="2"/>
  <c r="AE7" i="2"/>
  <c r="AF7" i="2"/>
  <c r="AH7" i="2"/>
  <c r="AK7" i="2"/>
  <c r="A8" i="2"/>
  <c r="D8" i="2"/>
  <c r="E8" i="2"/>
  <c r="G8" i="2"/>
  <c r="I8" i="2"/>
  <c r="J8" i="2"/>
  <c r="K8" i="2"/>
  <c r="L8" i="2"/>
  <c r="AC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E61" i="2"/>
  <c r="AF61" i="2"/>
  <c r="AH61" i="2"/>
  <c r="AI61" i="2"/>
  <c r="AK61" i="2"/>
  <c r="A62" i="2"/>
  <c r="D62" i="2"/>
  <c r="E62" i="2"/>
  <c r="G62" i="2"/>
  <c r="I62" i="2"/>
  <c r="J62" i="2"/>
  <c r="K62" i="2"/>
  <c r="L62" i="2"/>
  <c r="AE62" i="2"/>
  <c r="AF62" i="2"/>
  <c r="AH62" i="2"/>
  <c r="AI62" i="2"/>
  <c r="AK62" i="2"/>
  <c r="A63" i="2"/>
  <c r="D63" i="2"/>
  <c r="E63" i="2"/>
  <c r="G63" i="2"/>
  <c r="I63" i="2"/>
  <c r="J63" i="2"/>
  <c r="K63" i="2"/>
  <c r="L63" i="2"/>
  <c r="AE63" i="2"/>
  <c r="AF63" i="2"/>
  <c r="AH63" i="2"/>
  <c r="AI63" i="2"/>
  <c r="AK63" i="2"/>
  <c r="A64" i="2"/>
  <c r="D64" i="2"/>
  <c r="E64" i="2"/>
  <c r="G64" i="2"/>
  <c r="I64" i="2"/>
  <c r="J64" i="2"/>
  <c r="K64" i="2"/>
  <c r="L64" i="2"/>
  <c r="AE64" i="2"/>
  <c r="AF64" i="2"/>
  <c r="AH64" i="2"/>
  <c r="AI64" i="2"/>
  <c r="AK64" i="2"/>
  <c r="A65" i="2"/>
  <c r="D65" i="2"/>
  <c r="E65" i="2"/>
  <c r="G65" i="2"/>
  <c r="I65" i="2"/>
  <c r="J65" i="2"/>
  <c r="K65" i="2"/>
  <c r="L65" i="2"/>
  <c r="AE65" i="2"/>
  <c r="AF65" i="2"/>
  <c r="AH65" i="2"/>
  <c r="AI65" i="2"/>
  <c r="AK65" i="2"/>
  <c r="A66" i="2"/>
  <c r="D66" i="2"/>
  <c r="E66" i="2"/>
  <c r="G66" i="2"/>
  <c r="I66" i="2"/>
  <c r="J66" i="2"/>
  <c r="K66" i="2"/>
  <c r="L66" i="2"/>
  <c r="AE66" i="2"/>
  <c r="AF66" i="2"/>
  <c r="AH66" i="2"/>
  <c r="AI66" i="2"/>
  <c r="AK66" i="2"/>
  <c r="A89" i="2"/>
  <c r="D89" i="2"/>
  <c r="E89" i="2"/>
  <c r="G89" i="2"/>
  <c r="I89" i="2"/>
  <c r="J89" i="2"/>
  <c r="K89" i="2"/>
  <c r="L89" i="2"/>
  <c r="AC89" i="2"/>
  <c r="AE89" i="2"/>
  <c r="AF89" i="2"/>
  <c r="AH89" i="2"/>
  <c r="AI89" i="2"/>
  <c r="AK89" i="2"/>
  <c r="A90" i="2"/>
  <c r="D90" i="2"/>
  <c r="E90" i="2"/>
  <c r="G90" i="2"/>
  <c r="I90" i="2"/>
  <c r="J90" i="2"/>
  <c r="K90" i="2"/>
  <c r="L90" i="2"/>
  <c r="O90" i="2"/>
  <c r="AC90" i="2"/>
  <c r="AE90" i="2"/>
  <c r="AF90" i="2"/>
  <c r="AH90" i="2"/>
  <c r="AI90" i="2"/>
  <c r="AK90" i="2"/>
  <c r="A91" i="2"/>
  <c r="D91" i="2"/>
  <c r="E91" i="2"/>
  <c r="G91" i="2"/>
  <c r="I91" i="2"/>
  <c r="J91" i="2"/>
  <c r="K91" i="2"/>
  <c r="L91" i="2"/>
  <c r="AC91" i="2"/>
  <c r="AE91" i="2"/>
  <c r="AF91" i="2"/>
  <c r="AH91" i="2"/>
  <c r="AI91" i="2"/>
  <c r="AK91" i="2"/>
  <c r="A92" i="2"/>
  <c r="D92" i="2"/>
  <c r="E92" i="2"/>
  <c r="G92" i="2"/>
  <c r="I92" i="2"/>
  <c r="J92" i="2"/>
  <c r="K92" i="2"/>
  <c r="L92" i="2"/>
  <c r="AC92" i="2"/>
  <c r="AE92" i="2"/>
  <c r="AF92" i="2"/>
  <c r="AH92" i="2"/>
  <c r="AI92" i="2"/>
  <c r="AK92" i="2"/>
  <c r="A93" i="2"/>
  <c r="D93" i="2"/>
  <c r="E93" i="2"/>
  <c r="G93" i="2"/>
  <c r="I93" i="2"/>
  <c r="J93" i="2"/>
  <c r="K93" i="2"/>
  <c r="L93" i="2"/>
  <c r="AC93" i="2"/>
  <c r="AE93" i="2"/>
  <c r="AF93" i="2"/>
  <c r="AH93" i="2"/>
  <c r="AI93" i="2"/>
  <c r="AK93" i="2"/>
  <c r="A94" i="2"/>
  <c r="D94" i="2"/>
  <c r="E94" i="2"/>
  <c r="G94" i="2"/>
  <c r="I94" i="2"/>
  <c r="J94" i="2"/>
  <c r="K94" i="2"/>
  <c r="L94" i="2"/>
  <c r="AC94" i="2"/>
  <c r="AE94" i="2"/>
  <c r="AF94" i="2"/>
  <c r="AH94" i="2"/>
  <c r="AI94" i="2"/>
  <c r="AK94" i="2"/>
  <c r="A95" i="2"/>
  <c r="D95" i="2"/>
  <c r="E95" i="2"/>
  <c r="G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X37" i="15" l="1"/>
  <c r="AD202" i="2"/>
  <c r="AD115" i="2"/>
  <c r="AG103" i="2"/>
  <c r="AD188" i="2"/>
  <c r="AD116" i="2"/>
  <c r="AD203" i="2"/>
  <c r="AD191" i="2"/>
  <c r="AG49" i="2"/>
  <c r="AD204" i="2"/>
  <c r="AD184" i="2"/>
  <c r="AD195" i="2"/>
  <c r="AD183" i="2"/>
  <c r="AD193" i="2"/>
  <c r="AJ200" i="2"/>
  <c r="AD196" i="2"/>
  <c r="AG82" i="2"/>
  <c r="AJ187" i="2"/>
  <c r="AJ100" i="2"/>
  <c r="AD200" i="2"/>
  <c r="AD175" i="2"/>
  <c r="AD199" i="2"/>
  <c r="AD187" i="2"/>
  <c r="AJ96" i="2"/>
  <c r="AJ183" i="2"/>
  <c r="AJ184" i="2"/>
  <c r="AJ169" i="2"/>
  <c r="AJ51" i="2"/>
  <c r="AJ39" i="2"/>
  <c r="AJ58" i="2"/>
  <c r="AJ198" i="2"/>
  <c r="AJ186" i="2"/>
  <c r="AD174" i="2"/>
  <c r="AD114" i="2"/>
  <c r="AJ185" i="2"/>
  <c r="AJ113" i="2"/>
  <c r="AD69" i="2"/>
  <c r="AD167" i="2"/>
  <c r="AD79" i="2"/>
  <c r="AD170" i="2"/>
  <c r="AD110" i="2"/>
  <c r="AJ73" i="2"/>
  <c r="AJ155" i="2"/>
  <c r="AD106" i="2"/>
  <c r="AJ106" i="2"/>
  <c r="AD169" i="2"/>
  <c r="AD157" i="2"/>
  <c r="AJ167" i="2"/>
  <c r="AG99" i="2"/>
  <c r="AJ105" i="2"/>
  <c r="AD99" i="2"/>
  <c r="AJ164" i="2"/>
  <c r="AJ175" i="2"/>
  <c r="AD189" i="2"/>
  <c r="AJ201" i="2"/>
  <c r="AJ189" i="2"/>
  <c r="AD168" i="2"/>
  <c r="AD156" i="2"/>
  <c r="AD155" i="2"/>
  <c r="AJ80" i="2"/>
  <c r="AJ163" i="2"/>
  <c r="AJ85" i="2"/>
  <c r="AD109" i="2"/>
  <c r="AD97" i="2"/>
  <c r="AD80" i="2"/>
  <c r="AG116" i="2"/>
  <c r="AD111" i="2"/>
  <c r="AD201" i="2"/>
  <c r="AG115" i="2"/>
  <c r="AJ199" i="2"/>
  <c r="AD194" i="2"/>
  <c r="AJ194" i="2"/>
  <c r="AJ86" i="2"/>
  <c r="AJ74" i="2"/>
  <c r="AD30" i="2"/>
  <c r="AD28" i="2"/>
  <c r="AJ107" i="2"/>
  <c r="AJ157" i="2"/>
  <c r="AG109" i="2"/>
  <c r="AG97" i="2"/>
  <c r="AD100" i="2"/>
  <c r="AD171" i="2"/>
  <c r="AJ104" i="2"/>
  <c r="AG107" i="2"/>
  <c r="AJ188" i="2"/>
  <c r="AG48" i="2"/>
  <c r="AJ103" i="2"/>
  <c r="AJ112" i="2"/>
  <c r="AJ166" i="2"/>
  <c r="AD154" i="2"/>
  <c r="AD173" i="2"/>
  <c r="AD192" i="2"/>
  <c r="AD198" i="2"/>
  <c r="AD186" i="2"/>
  <c r="AD102" i="2"/>
  <c r="AD197" i="2"/>
  <c r="AD185" i="2"/>
  <c r="AD42" i="2"/>
  <c r="AD54" i="2"/>
  <c r="AJ101" i="2"/>
  <c r="AJ168" i="2"/>
  <c r="AJ156" i="2"/>
  <c r="AD190" i="2"/>
  <c r="AJ202" i="2"/>
  <c r="AJ190" i="2"/>
  <c r="AJ204" i="2"/>
  <c r="AJ162" i="2"/>
  <c r="AD172" i="2"/>
  <c r="AG101" i="2"/>
  <c r="AG114" i="2"/>
  <c r="AJ161" i="2"/>
  <c r="AJ197" i="2"/>
  <c r="AJ174" i="2"/>
  <c r="AD108" i="2"/>
  <c r="AG112" i="2"/>
  <c r="AJ173" i="2"/>
  <c r="AG110" i="2"/>
  <c r="AG98" i="2"/>
  <c r="AD101" i="2"/>
  <c r="AD112"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D166" i="2"/>
  <c r="AD165" i="2"/>
  <c r="AJ154" i="2"/>
  <c r="AJ165" i="2"/>
  <c r="AD164" i="2"/>
  <c r="AD161" i="2"/>
  <c r="AD162" i="2"/>
  <c r="AJ160" i="2"/>
  <c r="AD160" i="2"/>
  <c r="AJ171" i="2"/>
  <c r="AJ159" i="2"/>
  <c r="AD159" i="2"/>
  <c r="AJ170" i="2"/>
  <c r="AJ158" i="2"/>
  <c r="AD158" i="2"/>
  <c r="AD163" i="2"/>
  <c r="AJ192" i="2"/>
  <c r="AJ203" i="2"/>
  <c r="AJ191" i="2"/>
  <c r="AJ196"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J61" i="2"/>
  <c r="AJ89" i="2"/>
  <c r="AD89" i="2"/>
  <c r="AJ60" i="2"/>
  <c r="AJ90" i="2"/>
  <c r="AG60" i="2"/>
  <c r="AG89" i="2"/>
  <c r="AJ2" i="2"/>
  <c r="AM2" i="2" s="1"/>
  <c r="AN2" i="2" s="1"/>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77" i="2" l="1"/>
  <c r="AJ148" i="2"/>
  <c r="O178" i="2"/>
  <c r="AJ206" i="2"/>
  <c r="O208" i="2"/>
  <c r="AG208" i="2" s="1"/>
  <c r="AJ207" i="2"/>
  <c r="AJ149" i="2"/>
  <c r="O150" i="2"/>
  <c r="AD177" i="2"/>
  <c r="X21" i="15"/>
  <c r="X4" i="15"/>
  <c r="X5" i="15"/>
  <c r="X6" i="15"/>
  <c r="X7" i="15"/>
  <c r="X8" i="15"/>
  <c r="X9" i="15"/>
  <c r="X10" i="15"/>
  <c r="X11" i="15"/>
  <c r="X12" i="15"/>
  <c r="X13" i="15"/>
  <c r="X14" i="15"/>
  <c r="X15" i="15"/>
  <c r="X16" i="15"/>
  <c r="X17" i="15"/>
  <c r="X18" i="15"/>
  <c r="X19" i="15"/>
  <c r="X20" i="15"/>
  <c r="AI217" i="2"/>
  <c r="AI218" i="2"/>
  <c r="AI219" i="2"/>
  <c r="AI220" i="2"/>
  <c r="AI221" i="2"/>
  <c r="AI222" i="2"/>
  <c r="AI223" i="2"/>
  <c r="AI224" i="2"/>
  <c r="AI225" i="2"/>
  <c r="AI226" i="2"/>
  <c r="AI227" i="2"/>
  <c r="AI228" i="2"/>
  <c r="AI229" i="2"/>
  <c r="AI230" i="2"/>
  <c r="AI231" i="2"/>
  <c r="AI232" i="2"/>
  <c r="AI233"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J263" i="2" s="1"/>
  <c r="AF264" i="2"/>
  <c r="AJ264" i="2" s="1"/>
  <c r="AG148" i="2" s="1"/>
  <c r="AF265" i="2"/>
  <c r="AF266" i="2"/>
  <c r="AF267" i="2"/>
  <c r="AF268" i="2"/>
  <c r="AF269" i="2"/>
  <c r="AF270" i="2"/>
  <c r="AF271" i="2"/>
  <c r="AF272" i="2"/>
  <c r="AF273" i="2"/>
  <c r="AF274" i="2"/>
  <c r="AF275" i="2"/>
  <c r="AF276" i="2"/>
  <c r="AF277" i="2"/>
  <c r="AJ277" i="2" s="1"/>
  <c r="AG161"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7" i="2" l="1"/>
  <c r="AJ275" i="2"/>
  <c r="AG159" i="2" s="1"/>
  <c r="AJ274" i="2"/>
  <c r="AG158" i="2" s="1"/>
  <c r="AJ265" i="2"/>
  <c r="AG149" i="2" s="1"/>
  <c r="AJ276" i="2"/>
  <c r="AG160" i="2" s="1"/>
  <c r="AJ273" i="2"/>
  <c r="AG157" i="2" s="1"/>
  <c r="AJ272" i="2"/>
  <c r="AG156" i="2" s="1"/>
  <c r="AJ271" i="2"/>
  <c r="AG155" i="2" s="1"/>
  <c r="AJ270" i="2"/>
  <c r="AG154" i="2" s="1"/>
  <c r="AJ269" i="2"/>
  <c r="AG153" i="2" s="1"/>
  <c r="AJ280" i="2"/>
  <c r="AG164" i="2" s="1"/>
  <c r="AJ268" i="2"/>
  <c r="AG152" i="2" s="1"/>
  <c r="AJ279" i="2"/>
  <c r="AG163" i="2" s="1"/>
  <c r="AJ267" i="2"/>
  <c r="AG151" i="2" s="1"/>
  <c r="AJ278" i="2"/>
  <c r="AG162" i="2" s="1"/>
  <c r="AJ266" i="2"/>
  <c r="AG150" i="2" s="1"/>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D148" i="2"/>
  <c r="AG206" i="2"/>
  <c r="AD206" i="2"/>
  <c r="AJ208" i="2"/>
  <c r="O179" i="2"/>
  <c r="AJ178" i="2"/>
  <c r="O209" i="2"/>
  <c r="AJ209" i="2" s="1"/>
  <c r="AD207" i="2"/>
  <c r="AG207" i="2"/>
  <c r="AD149" i="2"/>
  <c r="AD208" i="2"/>
  <c r="O151" i="2"/>
  <c r="AJ150"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F24" i="2" l="1"/>
  <c r="F12" i="2"/>
  <c r="F16" i="2"/>
  <c r="F25" i="2"/>
  <c r="F13" i="2"/>
  <c r="F26" i="2"/>
  <c r="F14" i="2"/>
  <c r="F7" i="2"/>
  <c r="F5" i="2"/>
  <c r="F18" i="2"/>
  <c r="F27" i="2"/>
  <c r="F15" i="2"/>
  <c r="F28" i="2"/>
  <c r="F8" i="2"/>
  <c r="F29" i="2"/>
  <c r="F17" i="2"/>
  <c r="F3" i="2"/>
  <c r="F30" i="2"/>
  <c r="F19" i="2"/>
  <c r="F20" i="2"/>
  <c r="F11" i="2"/>
  <c r="F21" i="2"/>
  <c r="F22" i="2"/>
  <c r="F2" i="2"/>
  <c r="F6" i="2"/>
  <c r="F23" i="2"/>
  <c r="F4" i="2"/>
  <c r="F9" i="2"/>
  <c r="F10" i="2"/>
  <c r="AJ179" i="2"/>
  <c r="O180" i="2"/>
  <c r="AD178" i="2"/>
  <c r="M2" i="15"/>
  <c r="K3" i="15"/>
  <c r="C3" i="15" s="1"/>
  <c r="O210" i="2"/>
  <c r="O211" i="2" s="1"/>
  <c r="M26" i="15"/>
  <c r="M25" i="15"/>
  <c r="AD209" i="2"/>
  <c r="AG209" i="2"/>
  <c r="AD150" i="2"/>
  <c r="O152" i="2"/>
  <c r="AJ151" i="2"/>
  <c r="C12" i="16"/>
  <c r="C23" i="16"/>
  <c r="C11" i="16"/>
  <c r="K25" i="15" s="1"/>
  <c r="D9" i="22"/>
  <c r="D20" i="22"/>
  <c r="D2" i="22"/>
  <c r="D31" i="22"/>
  <c r="D19" i="22"/>
  <c r="D29" i="22"/>
  <c r="D17" i="22"/>
  <c r="D27" i="22"/>
  <c r="D60" i="22"/>
  <c r="D56" i="22"/>
  <c r="D52" i="22"/>
  <c r="D63" i="22"/>
  <c r="D55" i="22"/>
  <c r="D62" i="22"/>
  <c r="D58" i="22"/>
  <c r="D54" i="22"/>
  <c r="D59" i="22"/>
  <c r="D61" i="22"/>
  <c r="D57" i="22"/>
  <c r="C2" i="15" l="1"/>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O181" i="2"/>
  <c r="AJ180" i="2"/>
  <c r="AD179" i="2"/>
  <c r="M27" i="15"/>
  <c r="K27" i="15"/>
  <c r="M28" i="15"/>
  <c r="AD210" i="2"/>
  <c r="AG210" i="2"/>
  <c r="AJ211" i="2"/>
  <c r="AJ152" i="2"/>
  <c r="O153" i="2"/>
  <c r="AJ153" i="2" s="1"/>
  <c r="AD151" i="2"/>
  <c r="AJ147"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J281" i="2" s="1"/>
  <c r="AG165" i="2" s="1"/>
  <c r="AA282" i="2"/>
  <c r="AJ282" i="2" s="1"/>
  <c r="AG166" i="2" s="1"/>
  <c r="AA283" i="2"/>
  <c r="AJ283" i="2" s="1"/>
  <c r="AG167" i="2" s="1"/>
  <c r="AA284" i="2"/>
  <c r="AJ284" i="2" s="1"/>
  <c r="AG168" i="2" s="1"/>
  <c r="AA285" i="2"/>
  <c r="AJ285" i="2" s="1"/>
  <c r="AG169" i="2" s="1"/>
  <c r="AA286" i="2"/>
  <c r="AJ286" i="2" s="1"/>
  <c r="AG170" i="2" s="1"/>
  <c r="AA287" i="2"/>
  <c r="AJ287" i="2" s="1"/>
  <c r="AG171" i="2" s="1"/>
  <c r="AA288" i="2"/>
  <c r="AJ288" i="2" s="1"/>
  <c r="AG172" i="2" s="1"/>
  <c r="AA289" i="2"/>
  <c r="AJ289" i="2" s="1"/>
  <c r="AG173" i="2" s="1"/>
  <c r="AA290" i="2"/>
  <c r="AJ290" i="2" s="1"/>
  <c r="AG174" i="2" s="1"/>
  <c r="AA291" i="2"/>
  <c r="AJ291" i="2" s="1"/>
  <c r="AG175" i="2" s="1"/>
  <c r="AA292" i="2"/>
  <c r="AJ292" i="2" s="1"/>
  <c r="AG176" i="2" s="1"/>
  <c r="AA293" i="2"/>
  <c r="AJ293" i="2" s="1"/>
  <c r="AG177" i="2" s="1"/>
  <c r="AA294" i="2"/>
  <c r="AJ294" i="2" s="1"/>
  <c r="AG178" i="2" s="1"/>
  <c r="AA295" i="2"/>
  <c r="AJ295" i="2" s="1"/>
  <c r="AG179" i="2" s="1"/>
  <c r="AA296" i="2"/>
  <c r="AJ296" i="2" s="1"/>
  <c r="AG180" i="2" s="1"/>
  <c r="AA297" i="2"/>
  <c r="AJ297" i="2" s="1"/>
  <c r="AG181" i="2" s="1"/>
  <c r="AA298" i="2"/>
  <c r="AJ298" i="2" s="1"/>
  <c r="AG182" i="2" s="1"/>
  <c r="AA299" i="2"/>
  <c r="AJ299" i="2" s="1"/>
  <c r="AG183" i="2" s="1"/>
  <c r="AA300" i="2"/>
  <c r="AJ300" i="2" s="1"/>
  <c r="AG184" i="2" s="1"/>
  <c r="AA301" i="2"/>
  <c r="AJ301" i="2" s="1"/>
  <c r="AG185" i="2" s="1"/>
  <c r="AA302" i="2"/>
  <c r="AJ302" i="2" s="1"/>
  <c r="AG186" i="2" s="1"/>
  <c r="AA303" i="2"/>
  <c r="AJ303" i="2" s="1"/>
  <c r="AG187" i="2" s="1"/>
  <c r="AA304" i="2"/>
  <c r="AJ304" i="2" s="1"/>
  <c r="AG188" i="2" s="1"/>
  <c r="AA305" i="2"/>
  <c r="AJ305" i="2" s="1"/>
  <c r="AG189" i="2" s="1"/>
  <c r="AA306" i="2"/>
  <c r="AJ306" i="2" s="1"/>
  <c r="AG190" i="2" s="1"/>
  <c r="AA307" i="2"/>
  <c r="AJ307" i="2" s="1"/>
  <c r="AG191" i="2" s="1"/>
  <c r="AA308" i="2"/>
  <c r="AJ308" i="2" s="1"/>
  <c r="AG192" i="2" s="1"/>
  <c r="AA309" i="2"/>
  <c r="AJ309" i="2" s="1"/>
  <c r="AG193" i="2" s="1"/>
  <c r="AA310" i="2"/>
  <c r="AJ310" i="2" s="1"/>
  <c r="AG194" i="2" s="1"/>
  <c r="AA311" i="2"/>
  <c r="AJ311" i="2" s="1"/>
  <c r="AG195" i="2" s="1"/>
  <c r="AA312" i="2"/>
  <c r="AJ312" i="2" s="1"/>
  <c r="AG196" i="2" s="1"/>
  <c r="AA313" i="2"/>
  <c r="AJ313" i="2" s="1"/>
  <c r="AG197" i="2" s="1"/>
  <c r="AA314" i="2"/>
  <c r="AJ314" i="2" s="1"/>
  <c r="AG198" i="2" s="1"/>
  <c r="AA315" i="2"/>
  <c r="AJ315" i="2" s="1"/>
  <c r="AG199" i="2" s="1"/>
  <c r="AA316" i="2"/>
  <c r="AJ316" i="2" s="1"/>
  <c r="AG200" i="2" s="1"/>
  <c r="AA317" i="2"/>
  <c r="AJ317" i="2" s="1"/>
  <c r="AG201" i="2" s="1"/>
  <c r="AA318" i="2"/>
  <c r="AJ318" i="2" s="1"/>
  <c r="AG202" i="2" s="1"/>
  <c r="AA319" i="2"/>
  <c r="AJ319" i="2" s="1"/>
  <c r="AG203" i="2" s="1"/>
  <c r="AA320" i="2"/>
  <c r="AJ320" i="2" s="1"/>
  <c r="AG204"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6" i="2"/>
  <c r="AD287" i="2"/>
  <c r="AD293" i="2"/>
  <c r="AD294" i="2"/>
  <c r="AD295" i="2"/>
  <c r="AD296" i="2"/>
  <c r="AD297" i="2"/>
  <c r="AD298" i="2"/>
  <c r="AD305" i="2"/>
  <c r="AD306" i="2"/>
  <c r="AD307" i="2"/>
  <c r="AD308" i="2"/>
  <c r="AD31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3" i="2"/>
  <c r="AG294" i="2"/>
  <c r="AG295" i="2"/>
  <c r="AG296" i="2"/>
  <c r="AG297" i="2"/>
  <c r="AG298" i="2"/>
  <c r="AG301" i="2"/>
  <c r="AG305" i="2"/>
  <c r="AG306" i="2"/>
  <c r="AG307" i="2"/>
  <c r="AG308" i="2"/>
  <c r="AG309" i="2"/>
  <c r="AG311" i="2"/>
  <c r="AG313"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302" i="2" l="1"/>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27" i="2"/>
  <c r="AD226" i="2"/>
  <c r="AD214" i="2"/>
  <c r="AD215" i="2"/>
  <c r="AG227" i="2"/>
  <c r="AG215" i="2"/>
  <c r="AD225" i="2"/>
  <c r="AD213" i="2"/>
  <c r="AG226" i="2"/>
  <c r="AG214" i="2"/>
  <c r="AD224" i="2"/>
  <c r="AD212" i="2"/>
  <c r="AD223" i="2"/>
  <c r="AG224" i="2"/>
  <c r="AG212" i="2"/>
  <c r="AD222" i="2"/>
  <c r="AG223" i="2"/>
  <c r="AD232" i="2"/>
  <c r="AD147" i="2"/>
  <c r="AD180" i="2"/>
  <c r="O182" i="2"/>
  <c r="AJ182" i="2" s="1"/>
  <c r="AJ181" i="2"/>
  <c r="AD211" i="2"/>
  <c r="AG211" i="2"/>
  <c r="AD153" i="2"/>
  <c r="AD152"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F117" i="2" l="1"/>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F78" i="2" l="1"/>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H68" i="2" l="1"/>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X13" i="16" l="1"/>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99" i="2" l="1"/>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F224" i="2" l="1"/>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AM13" i="22"/>
  <c r="P8" i="16"/>
  <c r="P48" i="16"/>
  <c r="AB18" i="16"/>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Q10" i="22" s="1"/>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Q15" i="22"/>
  <c r="B346" i="2"/>
  <c r="B245" i="2"/>
  <c r="B343" i="2"/>
  <c r="B382" i="2"/>
  <c r="B332" i="2"/>
  <c r="B275" i="2"/>
  <c r="B317" i="2"/>
  <c r="B286" i="2"/>
  <c r="B266" i="2"/>
  <c r="B273" i="2"/>
  <c r="C35" i="25"/>
  <c r="C32" i="25"/>
  <c r="Q29" i="22"/>
  <c r="Q36" i="22"/>
  <c r="B349" i="2"/>
  <c r="B405" i="2"/>
  <c r="B324" i="2"/>
  <c r="B309" i="2"/>
  <c r="B300" i="2"/>
  <c r="B308" i="2"/>
  <c r="B304" i="2"/>
  <c r="B298" i="2"/>
  <c r="C29" i="25"/>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AJ41" i="22"/>
  <c r="AJ22" i="2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9" i="16"/>
  <c r="AD5" i="22" s="1"/>
  <c r="N11" i="16"/>
  <c r="N7" i="22" s="1"/>
  <c r="C2" i="25"/>
  <c r="N22" i="16"/>
  <c r="N2" i="22" s="1"/>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205" i="2" l="1"/>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60" i="22"/>
  <c r="AD39" i="22"/>
  <c r="AD22" i="22"/>
  <c r="N41" i="22"/>
  <c r="N35" i="22"/>
  <c r="N48" i="22"/>
  <c r="T58" i="22"/>
  <c r="T56" i="22"/>
  <c r="AG56" i="22"/>
  <c r="T53" i="22"/>
  <c r="AD40" i="22"/>
  <c r="AD18" i="22"/>
  <c r="AD23" i="22"/>
  <c r="N14"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N12" i="22" s="1"/>
  <c r="AB22" i="16"/>
  <c r="AJ2" i="22" s="1"/>
  <c r="C5" i="25"/>
  <c r="N18" i="16"/>
  <c r="N10" i="22" s="1"/>
  <c r="C16" i="25"/>
  <c r="N14" i="16"/>
  <c r="AD4" i="16"/>
  <c r="AM4" i="22" s="1"/>
  <c r="C15" i="25"/>
  <c r="N16" i="16"/>
  <c r="AB4" i="16"/>
  <c r="AJ4" i="22" s="1"/>
  <c r="C6" i="25"/>
  <c r="P3" i="16"/>
  <c r="Q3" i="22" s="1"/>
  <c r="Z22" i="16"/>
  <c r="AG2" i="22" s="1"/>
  <c r="C4" i="25"/>
  <c r="N3" i="16"/>
  <c r="N3" i="22" s="1"/>
  <c r="AA118" i="2" l="1"/>
  <c r="AJ118" i="2" s="1"/>
  <c r="AD118" i="2"/>
  <c r="O119" i="2"/>
  <c r="O120" i="2" s="1"/>
  <c r="O121" i="2" l="1"/>
  <c r="AA120" i="2"/>
  <c r="AG118" i="2"/>
  <c r="AA119" i="2"/>
  <c r="AJ119" i="2" l="1"/>
  <c r="AD119" i="2"/>
  <c r="AG119" i="2"/>
  <c r="AG120" i="2"/>
  <c r="AJ120" i="2"/>
  <c r="AD120" i="2"/>
  <c r="AA121" i="2"/>
  <c r="O122" i="2"/>
  <c r="AA122" i="2" l="1"/>
  <c r="O123" i="2"/>
  <c r="AD121" i="2"/>
  <c r="AG121" i="2"/>
  <c r="AJ121" i="2"/>
  <c r="O124" i="2" l="1"/>
  <c r="AA123" i="2"/>
  <c r="AD122" i="2"/>
  <c r="AG122" i="2"/>
  <c r="AJ122" i="2"/>
  <c r="AJ123" i="2" l="1"/>
  <c r="AG123" i="2"/>
  <c r="AD123" i="2"/>
  <c r="O125" i="2"/>
  <c r="AA124" i="2"/>
  <c r="AA125" i="2" l="1"/>
  <c r="O126" i="2"/>
  <c r="AG124" i="2"/>
  <c r="AJ124" i="2"/>
  <c r="AD124" i="2"/>
  <c r="O127" i="2" l="1"/>
  <c r="AA126" i="2"/>
  <c r="AG125" i="2"/>
  <c r="AJ125" i="2"/>
  <c r="AD125" i="2"/>
  <c r="AD126" i="2" l="1"/>
  <c r="AG126" i="2"/>
  <c r="AJ126" i="2"/>
  <c r="AA127" i="2"/>
  <c r="O128" i="2"/>
  <c r="AA128" i="2" l="1"/>
  <c r="O129" i="2"/>
  <c r="AG127" i="2"/>
  <c r="AJ127" i="2"/>
  <c r="AD127" i="2"/>
  <c r="AA129" i="2" l="1"/>
  <c r="O130" i="2"/>
  <c r="AD128" i="2"/>
  <c r="AG128" i="2"/>
  <c r="AJ128" i="2"/>
  <c r="O131" i="2" l="1"/>
  <c r="AA130" i="2"/>
  <c r="AD129" i="2"/>
  <c r="AG129" i="2"/>
  <c r="AJ129" i="2"/>
  <c r="AG130" i="2" l="1"/>
  <c r="AJ130" i="2"/>
  <c r="AD130" i="2"/>
  <c r="O132" i="2"/>
  <c r="AA131" i="2"/>
  <c r="O133" i="2" l="1"/>
  <c r="AA132" i="2"/>
  <c r="AD131" i="2"/>
  <c r="AG131" i="2"/>
  <c r="AJ131" i="2"/>
  <c r="AD132" i="2" l="1"/>
  <c r="AG132" i="2"/>
  <c r="AJ132" i="2"/>
  <c r="O134" i="2"/>
  <c r="AA133" i="2"/>
  <c r="AA134" i="2" l="1"/>
  <c r="O135" i="2"/>
  <c r="AJ133" i="2"/>
  <c r="AD133" i="2"/>
  <c r="AG133" i="2"/>
  <c r="O136" i="2" l="1"/>
  <c r="AA135" i="2"/>
  <c r="AJ134" i="2"/>
  <c r="AG134" i="2"/>
  <c r="AD134" i="2"/>
  <c r="AJ135" i="2" l="1"/>
  <c r="AG135" i="2"/>
  <c r="AD135" i="2"/>
  <c r="AA136" i="2"/>
  <c r="O137" i="2"/>
  <c r="O138" i="2" l="1"/>
  <c r="AA137" i="2"/>
  <c r="AG136" i="2"/>
  <c r="AD136" i="2"/>
  <c r="AJ136" i="2"/>
  <c r="AG137" i="2" l="1"/>
  <c r="AJ137" i="2"/>
  <c r="AD137" i="2"/>
  <c r="O139" i="2"/>
  <c r="AA138" i="2"/>
  <c r="O140" i="2" l="1"/>
  <c r="AA139" i="2"/>
  <c r="AJ138" i="2"/>
  <c r="AG138" i="2"/>
  <c r="AD138" i="2"/>
  <c r="AG139" i="2" l="1"/>
  <c r="AJ139" i="2"/>
  <c r="AD139" i="2"/>
  <c r="AA140" i="2"/>
  <c r="O141" i="2"/>
  <c r="O142" i="2" l="1"/>
  <c r="AA141" i="2"/>
  <c r="AG140" i="2"/>
  <c r="AJ140" i="2"/>
  <c r="AD140" i="2"/>
  <c r="AG141" i="2" l="1"/>
  <c r="AJ141" i="2"/>
  <c r="AD141" i="2"/>
  <c r="AA142" i="2"/>
  <c r="O143" i="2"/>
  <c r="O144" i="2" l="1"/>
  <c r="AA143" i="2"/>
  <c r="AG142" i="2"/>
  <c r="AJ142" i="2"/>
  <c r="AD142" i="2"/>
  <c r="AG143" i="2" l="1"/>
  <c r="AD143" i="2"/>
  <c r="AJ143" i="2"/>
  <c r="O145" i="2"/>
  <c r="AA144" i="2"/>
  <c r="AJ144" i="2" l="1"/>
  <c r="AD144" i="2"/>
  <c r="AG144" i="2"/>
  <c r="AA145" i="2"/>
  <c r="O146" i="2"/>
  <c r="AA146" i="2" s="1"/>
  <c r="AD146" i="2" l="1"/>
  <c r="AJ146" i="2"/>
  <c r="AG146" i="2"/>
  <c r="AJ145" i="2"/>
  <c r="AD145" i="2"/>
  <c r="AG145" i="2"/>
</calcChain>
</file>

<file path=xl/sharedStrings.xml><?xml version="1.0" encoding="utf-8"?>
<sst xmlns="http://schemas.openxmlformats.org/spreadsheetml/2006/main" count="3880" uniqueCount="558">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</sst>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1">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3" t="s">
        <v>220</v>
      </c>
      <c r="C11" s="143"/>
      <c r="D11" s="143"/>
      <c r="E11" s="143"/>
      <c r="F11" s="143"/>
      <c r="G11" s="143"/>
      <c r="H11" s="143"/>
      <c r="I11" s="143"/>
      <c r="J11" s="143"/>
      <c r="K11" s="143"/>
      <c r="L11" s="143"/>
      <c r="M11" s="143"/>
    </row>
    <row r="12" spans="2:13" x14ac:dyDescent="0.25">
      <c r="B12" s="143"/>
      <c r="C12" s="143"/>
      <c r="D12" s="143"/>
      <c r="E12" s="143"/>
      <c r="F12" s="143"/>
      <c r="G12" s="143"/>
      <c r="H12" s="143"/>
      <c r="I12" s="143"/>
      <c r="J12" s="143"/>
      <c r="K12" s="143"/>
      <c r="L12" s="143"/>
      <c r="M12" s="143"/>
    </row>
    <row r="13" spans="2:13" x14ac:dyDescent="0.25">
      <c r="B13" s="143"/>
      <c r="C13" s="143"/>
      <c r="D13" s="143"/>
      <c r="E13" s="143"/>
      <c r="F13" s="143"/>
      <c r="G13" s="143"/>
      <c r="H13" s="143"/>
      <c r="I13" s="143"/>
      <c r="J13" s="143"/>
      <c r="K13" s="143"/>
      <c r="L13" s="143"/>
      <c r="M13" s="143"/>
    </row>
    <row r="14" spans="2:13" x14ac:dyDescent="0.25">
      <c r="B14" s="144" t="s">
        <v>221</v>
      </c>
      <c r="C14" s="144"/>
      <c r="D14" s="144"/>
      <c r="E14" s="144"/>
      <c r="F14" s="144"/>
      <c r="G14" s="144"/>
      <c r="H14" s="144"/>
      <c r="I14" s="144"/>
      <c r="J14" s="144"/>
      <c r="K14" s="144"/>
      <c r="L14" s="144"/>
    </row>
    <row r="15" spans="2:13" x14ac:dyDescent="0.25">
      <c r="B15" s="144"/>
      <c r="C15" s="144"/>
      <c r="D15" s="144"/>
      <c r="E15" s="144"/>
      <c r="F15" s="144"/>
      <c r="G15" s="144"/>
      <c r="H15" s="144"/>
      <c r="I15" s="144"/>
      <c r="J15" s="144"/>
      <c r="K15" s="144"/>
      <c r="L15" s="144"/>
    </row>
    <row r="16" spans="2:13" x14ac:dyDescent="0.25">
      <c r="B16" s="144"/>
      <c r="C16" s="144"/>
      <c r="D16" s="144"/>
      <c r="E16" s="144"/>
      <c r="F16" s="144"/>
      <c r="G16" s="144"/>
      <c r="H16" s="144"/>
      <c r="I16" s="144"/>
      <c r="J16" s="144"/>
      <c r="K16" s="144"/>
      <c r="L16" s="144"/>
    </row>
    <row r="17" spans="2:12" x14ac:dyDescent="0.25">
      <c r="B17" s="144"/>
      <c r="C17" s="144"/>
      <c r="D17" s="144"/>
      <c r="E17" s="144"/>
      <c r="F17" s="144"/>
      <c r="G17" s="144"/>
      <c r="H17" s="144"/>
      <c r="I17" s="144"/>
      <c r="J17" s="144"/>
      <c r="K17" s="144"/>
      <c r="L17" s="144"/>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Normal="100" workbookViewId="0">
      <pane xSplit="4" ySplit="13" topLeftCell="O14" activePane="bottomRight" state="frozen"/>
      <selection pane="topRight" activeCell="E1" sqref="E1"/>
      <selection pane="bottomLeft" activeCell="A14" sqref="A14"/>
      <selection pane="bottomRight" activeCell="X21" sqref="X21"/>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34">
        <f>1-Tab_Def_Flows[[#This Row],[DM]]</f>
        <v>0.14000000000000001</v>
      </c>
      <c r="S2" s="135" t="s">
        <v>530</v>
      </c>
      <c r="T2" s="134">
        <v>0.86</v>
      </c>
      <c r="U2" s="135" t="s">
        <v>530</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34">
        <f>1-Tab_Def_Flows[[#This Row],[DM]]</f>
        <v>0.14000000000000001</v>
      </c>
      <c r="S3" s="135" t="s">
        <v>530</v>
      </c>
      <c r="T3" s="134">
        <v>0.86</v>
      </c>
      <c r="U3" s="135" t="s">
        <v>530</v>
      </c>
      <c r="V3" s="134">
        <v>0.48</v>
      </c>
      <c r="W3" s="137" t="s">
        <v>426</v>
      </c>
      <c r="X3" s="138">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34">
        <f>1-Tab_Def_Flows[[#This Row],[DM]]</f>
        <v>0.14000000000000001</v>
      </c>
      <c r="S4" s="135" t="s">
        <v>530</v>
      </c>
      <c r="T4" s="134">
        <v>0.86</v>
      </c>
      <c r="U4" s="135" t="s">
        <v>530</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34">
        <f>1-Tab_Def_Flows[[#This Row],[DM]]</f>
        <v>0.14000000000000001</v>
      </c>
      <c r="S5" s="135" t="s">
        <v>530</v>
      </c>
      <c r="T5" s="134">
        <v>0.86</v>
      </c>
      <c r="U5" s="135" t="s">
        <v>530</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34">
        <f>1-Tab_Def_Flows[[#This Row],[DM]]</f>
        <v>0.93799999999999994</v>
      </c>
      <c r="S6" s="137" t="s">
        <v>531</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34">
        <f>1-Tab_Def_Flows[[#This Row],[DM]]</f>
        <v>0</v>
      </c>
      <c r="S15" s="139"/>
      <c r="T15" s="140">
        <v>1</v>
      </c>
      <c r="U15" s="139"/>
      <c r="V15" s="140">
        <v>0.35968746612409974</v>
      </c>
      <c r="W15" s="139"/>
      <c r="X15" s="141">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0.43111111111111111</v>
      </c>
      <c r="W20" s="137"/>
      <c r="X20" s="138">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34">
        <v>0.23841961852861027</v>
      </c>
      <c r="S21" s="135" t="s">
        <v>530</v>
      </c>
      <c r="T21" s="134">
        <v>0.76158038147138973</v>
      </c>
      <c r="U21" s="135" t="s">
        <v>530</v>
      </c>
      <c r="V21" s="136">
        <v>0</v>
      </c>
      <c r="W21" s="137" t="s">
        <v>426</v>
      </c>
      <c r="X21" s="138">
        <f>Tab_Def_Flows[[#This Row],[CC_DM'[%']]]*Tab_Def_Flows[[#This Row],[DM]]</f>
        <v>0</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34">
        <f>R6</f>
        <v>0.93799999999999994</v>
      </c>
      <c r="S22" s="137" t="s">
        <v>531</v>
      </c>
      <c r="T22" s="134">
        <f>T6</f>
        <v>6.2E-2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34">
        <f>R12</f>
        <v>8.8049999999999962E-2</v>
      </c>
      <c r="S23" s="137"/>
      <c r="T23" s="134">
        <f>T12</f>
        <v>0.91195000000000004</v>
      </c>
      <c r="U23" s="137"/>
      <c r="V23" s="134">
        <v>0</v>
      </c>
      <c r="W23" s="137"/>
      <c r="X23" s="138">
        <f>Tab_Def_Flows[[#This Row],[CC_DM'[%']]]*Tab_Def_Flows[[#This Row],[DM]]</f>
        <v>0</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34">
        <f>1-Tab_Def_Flows[[#This Row],[DM]]</f>
        <v>0</v>
      </c>
      <c r="S25" s="137"/>
      <c r="T25" s="134">
        <v>1</v>
      </c>
      <c r="U25" s="137"/>
      <c r="V25" s="134">
        <v>0.16185714285714287</v>
      </c>
      <c r="W25" s="137" t="s">
        <v>410</v>
      </c>
      <c r="X25" s="138">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34">
        <f>1-Tab_Def_Flows[[#This Row],[DM]]</f>
        <v>0</v>
      </c>
      <c r="S26" s="137"/>
      <c r="T26" s="134">
        <v>1</v>
      </c>
      <c r="U26" s="137"/>
      <c r="V26" s="134">
        <v>0.27700000000000002</v>
      </c>
      <c r="W26" s="137"/>
      <c r="X26" s="138">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34">
        <f>1-Tab_Def_Flows[[#This Row],[DM]]</f>
        <v>1</v>
      </c>
      <c r="S27" s="137"/>
      <c r="T27" s="134">
        <v>0</v>
      </c>
      <c r="U27" s="137"/>
      <c r="V27" s="134">
        <v>0</v>
      </c>
      <c r="W27" s="137"/>
      <c r="X27" s="138">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34">
        <f>1-Tab_Def_Flows[[#This Row],[DM]]</f>
        <v>1</v>
      </c>
      <c r="S28" s="137"/>
      <c r="T28" s="134">
        <v>0</v>
      </c>
      <c r="U28" s="137"/>
      <c r="V28" s="134">
        <v>0</v>
      </c>
      <c r="W28" s="137"/>
      <c r="X28" s="138">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552</v>
      </c>
      <c r="E30" s="89"/>
      <c r="F30" s="51"/>
      <c r="G30" s="89"/>
      <c r="H30" s="51"/>
      <c r="I30" s="89"/>
      <c r="J30" s="92" t="s">
        <v>527</v>
      </c>
      <c r="K30" s="49" t="str">
        <f>_xlfn.XLOOKUP(J30,Tab_Def_Processes[Name(EN)],Tab_Def_Processes[Process_ID],,0,)</f>
        <v>19_Atm_BB</v>
      </c>
      <c r="L30" s="51" t="s">
        <v>521</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553</v>
      </c>
      <c r="E31" s="89"/>
      <c r="F31" s="51"/>
      <c r="G31" s="89"/>
      <c r="H31" s="51"/>
      <c r="I31" s="89"/>
      <c r="J31" s="92" t="s">
        <v>527</v>
      </c>
      <c r="K31" s="49" t="str">
        <f>_xlfn.XLOOKUP(J31,Tab_Def_Processes[Name(EN)],Tab_Def_Processes[Process_ID],,0,)</f>
        <v>19_Atm_BB</v>
      </c>
      <c r="L31" s="51" t="s">
        <v>511</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554</v>
      </c>
      <c r="E32" s="89"/>
      <c r="F32" s="51"/>
      <c r="G32" s="89"/>
      <c r="H32" s="51"/>
      <c r="I32" s="89"/>
      <c r="J32" s="92" t="s">
        <v>527</v>
      </c>
      <c r="K32" s="49" t="str">
        <f>_xlfn.XLOOKUP(J32,Tab_Def_Processes[Name(EN)],Tab_Def_Processes[Process_ID],,0,)</f>
        <v>19_Atm_BB</v>
      </c>
      <c r="L32" s="51" t="s">
        <v>518</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555</v>
      </c>
      <c r="E33" s="89"/>
      <c r="F33" s="51"/>
      <c r="G33" s="89"/>
      <c r="H33" s="51"/>
      <c r="I33" s="89"/>
      <c r="J33" s="92" t="s">
        <v>523</v>
      </c>
      <c r="K33" s="49" t="str">
        <f>_xlfn.XLOOKUP(J33,Tab_Def_Processes[Name(EN)],Tab_Def_Processes[Process_ID],,0,)</f>
        <v>15_Rye_BB</v>
      </c>
      <c r="L33" s="51" t="s">
        <v>527</v>
      </c>
      <c r="M33" s="61" t="str">
        <f>_xlfn.XLOOKUP(L33,Tab_Def_Processes[Name(EN)],Tab_Def_Processes[Process_ID],,0,)</f>
        <v>19_Atm_BB</v>
      </c>
      <c r="N33" s="51"/>
      <c r="O33" s="92" t="s">
        <v>68</v>
      </c>
      <c r="P33" s="51" t="s">
        <v>68</v>
      </c>
      <c r="Q33" s="96" t="s">
        <v>68</v>
      </c>
      <c r="R33" s="103">
        <v>0</v>
      </c>
      <c r="S33" s="96"/>
      <c r="T33" s="103">
        <f>T3</f>
        <v>0.86</v>
      </c>
      <c r="U33" s="96"/>
      <c r="V33" s="103">
        <f>V3</f>
        <v>0.48</v>
      </c>
      <c r="W33" s="96"/>
      <c r="X33" s="138">
        <f>Tab_Def_Flows[[#This Row],[CC_DM'[%']]]*Tab_Def_Flows[[#This Row],[DM]]</f>
        <v>0.4128</v>
      </c>
      <c r="Y33" s="51"/>
    </row>
    <row r="34" spans="1:25" x14ac:dyDescent="0.25">
      <c r="A34" s="90" t="b">
        <v>0</v>
      </c>
      <c r="B34" s="114" t="s">
        <v>454</v>
      </c>
      <c r="C34" s="49" t="str">
        <f t="shared" si="0"/>
        <v>F_16_19</v>
      </c>
      <c r="D34" s="51" t="s">
        <v>556</v>
      </c>
      <c r="E34" s="89"/>
      <c r="F34" s="51"/>
      <c r="G34" s="89"/>
      <c r="H34" s="51"/>
      <c r="I34" s="89"/>
      <c r="J34" s="92" t="s">
        <v>524</v>
      </c>
      <c r="K34" s="49" t="str">
        <f>_xlfn.XLOOKUP(J34,Tab_Def_Processes[Name(EN)],Tab_Def_Processes[Process_ID],,0,)</f>
        <v>16_Rye_BB</v>
      </c>
      <c r="L34" s="51" t="s">
        <v>527</v>
      </c>
      <c r="M34" s="61" t="str">
        <f>_xlfn.XLOOKUP(L34,Tab_Def_Processes[Name(EN)],Tab_Def_Processes[Process_ID],,0,)</f>
        <v>19_Atm_BB</v>
      </c>
      <c r="N34" s="51"/>
      <c r="O34" s="92" t="s">
        <v>68</v>
      </c>
      <c r="P34" s="51" t="s">
        <v>68</v>
      </c>
      <c r="Q34" s="96" t="s">
        <v>68</v>
      </c>
      <c r="R34" s="103">
        <v>0</v>
      </c>
      <c r="S34" s="96"/>
      <c r="T34" s="103">
        <f>T4</f>
        <v>0.86</v>
      </c>
      <c r="U34" s="96"/>
      <c r="V34" s="103">
        <f>V5</f>
        <v>0.48</v>
      </c>
      <c r="W34" s="96"/>
      <c r="X34" s="138">
        <f>Tab_Def_Flows[[#This Row],[CC_DM'[%']]]*Tab_Def_Flows[[#This Row],[DM]]</f>
        <v>0.4128</v>
      </c>
      <c r="Y34" s="51"/>
    </row>
    <row r="35" spans="1:25" x14ac:dyDescent="0.25">
      <c r="A35" s="90" t="b">
        <v>0</v>
      </c>
      <c r="B35" s="114" t="s">
        <v>455</v>
      </c>
      <c r="C35" s="49" t="str">
        <f t="shared" si="0"/>
        <v>F_05_19</v>
      </c>
      <c r="D35" s="51" t="s">
        <v>557</v>
      </c>
      <c r="E35" s="89"/>
      <c r="F35" s="51"/>
      <c r="G35" s="89"/>
      <c r="H35" s="51"/>
      <c r="I35" s="89"/>
      <c r="J35" s="92" t="s">
        <v>512</v>
      </c>
      <c r="K35" s="49" t="str">
        <f>_xlfn.XLOOKUP(J35,Tab_Def_Processes[Name(EN)],Tab_Def_Processes[Process_ID],,0,)</f>
        <v>05_Bio_BB</v>
      </c>
      <c r="L35" s="51" t="s">
        <v>527</v>
      </c>
      <c r="M35" s="61" t="str">
        <f>_xlfn.XLOOKUP(L35,Tab_Def_Processes[Name(EN)],Tab_Def_Processes[Process_ID],,0,)</f>
        <v>19_Atm_BB</v>
      </c>
      <c r="N35" s="51"/>
      <c r="O35" s="92" t="s">
        <v>68</v>
      </c>
      <c r="P35" s="51" t="s">
        <v>68</v>
      </c>
      <c r="Q35" s="96" t="s">
        <v>68</v>
      </c>
      <c r="R35" s="103">
        <f>R7</f>
        <v>0</v>
      </c>
      <c r="S35" s="96"/>
      <c r="T35" s="103">
        <f>T7</f>
        <v>1</v>
      </c>
      <c r="U35" s="96"/>
      <c r="V35" s="103">
        <f>V7</f>
        <v>0.38</v>
      </c>
      <c r="W35" s="96"/>
      <c r="X35" s="138">
        <f>Tab_Def_Flows[[#This Row],[CC_DM'[%']]]*Tab_Def_Flows[[#This Row],[DM]]</f>
        <v>0.38</v>
      </c>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03"/>
      <c r="S36" s="96"/>
      <c r="T36" s="103"/>
      <c r="U36" s="96"/>
      <c r="V36" s="103"/>
      <c r="W36" s="96"/>
      <c r="X36" s="138">
        <f>Tab_Def_Flows[[#This Row],[CC_DM'[%']]]*Tab_Def_Flows[[#This Row],[DM]]</f>
        <v>0</v>
      </c>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03"/>
      <c r="S37" s="96"/>
      <c r="T37" s="103"/>
      <c r="U37" s="96"/>
      <c r="V37" s="103"/>
      <c r="W37" s="96"/>
      <c r="X37" s="138">
        <f>Tab_Def_Flows[[#This Row],[CC_DM'[%']]]*Tab_Def_Flows[[#This Row],[DM]]</f>
        <v>0</v>
      </c>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03"/>
      <c r="S38" s="96"/>
      <c r="T38" s="103"/>
      <c r="U38" s="96"/>
      <c r="V38" s="103"/>
      <c r="W38" s="96"/>
      <c r="X38" s="138">
        <f>Tab_Def_Flows[[#This Row],[CC_DM'[%']]]*Tab_Def_Flows[[#This Row],[DM]]</f>
        <v>0</v>
      </c>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03"/>
      <c r="S39" s="96"/>
      <c r="T39" s="103"/>
      <c r="U39" s="96"/>
      <c r="V39" s="103"/>
      <c r="W39" s="96"/>
      <c r="X39" s="138">
        <f>Tab_Def_Flows[[#This Row],[CC_DM'[%']]]*Tab_Def_Flows[[#This Row],[DM]]</f>
        <v>0</v>
      </c>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03"/>
      <c r="S40" s="96"/>
      <c r="T40" s="103"/>
      <c r="U40" s="96"/>
      <c r="V40" s="103"/>
      <c r="W40" s="96"/>
      <c r="X40" s="138">
        <f>Tab_Def_Flows[[#This Row],[CC_DM'[%']]]*Tab_Def_Flows[[#This Row],[DM]]</f>
        <v>0</v>
      </c>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03"/>
      <c r="S41" s="96"/>
      <c r="T41" s="103"/>
      <c r="U41" s="96"/>
      <c r="V41" s="103"/>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03"/>
      <c r="S42" s="96"/>
      <c r="T42" s="103"/>
      <c r="U42" s="96"/>
      <c r="V42" s="103"/>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03"/>
      <c r="S43" s="96"/>
      <c r="T43" s="103"/>
      <c r="U43" s="96"/>
      <c r="V43" s="103"/>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03"/>
      <c r="S44" s="96"/>
      <c r="T44" s="103"/>
      <c r="U44" s="96"/>
      <c r="V44" s="103"/>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03"/>
      <c r="S45" s="96"/>
      <c r="T45" s="103"/>
      <c r="U45" s="96"/>
      <c r="V45" s="103"/>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03"/>
      <c r="S46" s="96"/>
      <c r="T46" s="103"/>
      <c r="U46" s="96"/>
      <c r="V46" s="103"/>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03"/>
      <c r="S47" s="96"/>
      <c r="T47" s="103"/>
      <c r="U47" s="96"/>
      <c r="V47" s="103"/>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03"/>
      <c r="S48" s="96"/>
      <c r="T48" s="103"/>
      <c r="U48" s="96"/>
      <c r="V48" s="103"/>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03"/>
      <c r="S49" s="96"/>
      <c r="T49" s="103"/>
      <c r="U49" s="96"/>
      <c r="V49" s="103"/>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03"/>
      <c r="S50" s="96"/>
      <c r="T50" s="103"/>
      <c r="U50" s="96"/>
      <c r="V50" s="103"/>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03"/>
      <c r="S51" s="96"/>
      <c r="T51" s="103"/>
      <c r="U51" s="96"/>
      <c r="V51" s="103"/>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03"/>
      <c r="S52" s="96"/>
      <c r="T52" s="103"/>
      <c r="U52" s="96"/>
      <c r="V52" s="103"/>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03"/>
      <c r="S53" s="96"/>
      <c r="T53" s="103"/>
      <c r="U53" s="96"/>
      <c r="V53" s="103"/>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03"/>
      <c r="S54" s="96"/>
      <c r="T54" s="103"/>
      <c r="U54" s="96"/>
      <c r="V54" s="103"/>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03"/>
      <c r="S55" s="96"/>
      <c r="T55" s="103"/>
      <c r="U55" s="96"/>
      <c r="V55" s="103"/>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03"/>
      <c r="S56" s="96"/>
      <c r="T56" s="103"/>
      <c r="U56" s="96"/>
      <c r="V56" s="103"/>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03"/>
      <c r="S57" s="96"/>
      <c r="T57" s="103"/>
      <c r="U57" s="96"/>
      <c r="V57" s="103"/>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03"/>
      <c r="S58" s="96"/>
      <c r="T58" s="103"/>
      <c r="U58" s="96"/>
      <c r="V58" s="103"/>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03"/>
      <c r="S59" s="96"/>
      <c r="T59" s="103"/>
      <c r="U59" s="96"/>
      <c r="V59" s="103"/>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03"/>
      <c r="S60" s="96"/>
      <c r="T60" s="103"/>
      <c r="U60" s="96"/>
      <c r="V60" s="103"/>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03"/>
      <c r="S61" s="96"/>
      <c r="T61" s="103"/>
      <c r="U61" s="96"/>
      <c r="V61" s="103"/>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03"/>
      <c r="S62" s="96"/>
      <c r="T62" s="103"/>
      <c r="U62" s="96"/>
      <c r="V62" s="103"/>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03"/>
      <c r="S63" s="96"/>
      <c r="T63" s="103"/>
      <c r="U63" s="96"/>
      <c r="V63" s="103"/>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03"/>
      <c r="S64" s="96"/>
      <c r="T64" s="103"/>
      <c r="U64" s="96"/>
      <c r="V64" s="103"/>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03"/>
      <c r="S65" s="96"/>
      <c r="T65" s="103"/>
      <c r="U65" s="96"/>
      <c r="V65" s="103"/>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03"/>
      <c r="S66" s="96"/>
      <c r="T66" s="103"/>
      <c r="U66" s="96"/>
      <c r="V66" s="103"/>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03"/>
      <c r="S67" s="96"/>
      <c r="T67" s="103"/>
      <c r="U67" s="96"/>
      <c r="V67" s="103"/>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03"/>
      <c r="S68" s="96"/>
      <c r="T68" s="103"/>
      <c r="U68" s="96"/>
      <c r="V68" s="103"/>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03"/>
      <c r="S69" s="96"/>
      <c r="T69" s="103"/>
      <c r="U69" s="96"/>
      <c r="V69" s="103"/>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03"/>
      <c r="S70" s="96"/>
      <c r="T70" s="103"/>
      <c r="U70" s="96"/>
      <c r="V70" s="103"/>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03"/>
      <c r="S71" s="96"/>
      <c r="T71" s="103"/>
      <c r="U71" s="96"/>
      <c r="V71" s="103"/>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03"/>
      <c r="S72" s="96"/>
      <c r="T72" s="103"/>
      <c r="U72" s="96"/>
      <c r="V72" s="103"/>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03"/>
      <c r="S73" s="96"/>
      <c r="T73" s="103"/>
      <c r="U73" s="96"/>
      <c r="V73" s="103"/>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03"/>
      <c r="S74" s="96"/>
      <c r="T74" s="103"/>
      <c r="U74" s="96"/>
      <c r="V74" s="103"/>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03"/>
      <c r="S75" s="96"/>
      <c r="T75" s="103"/>
      <c r="U75" s="96"/>
      <c r="V75" s="103"/>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03"/>
      <c r="S76" s="96"/>
      <c r="T76" s="103"/>
      <c r="U76" s="96"/>
      <c r="V76" s="103"/>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03"/>
      <c r="S77" s="96"/>
      <c r="T77" s="103"/>
      <c r="U77" s="96"/>
      <c r="V77" s="103"/>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tabSelected="1" zoomScale="115" zoomScaleNormal="115" workbookViewId="0">
      <selection activeCell="AI17" sqref="AI17"/>
    </sheetView>
  </sheetViews>
  <sheetFormatPr defaultColWidth="10.85546875" defaultRowHeight="15" x14ac:dyDescent="0.25"/>
  <cols>
    <col min="2" max="2" width="18.7109375" customWidth="1"/>
    <col min="3" max="3" width="28.5703125" customWidth="1"/>
    <col min="4" max="4" width="15.28515625" customWidth="1"/>
    <col min="5" max="5" width="14.28515625" customWidth="1"/>
    <col min="6" max="6" width="16" hidden="1" customWidth="1"/>
    <col min="7" max="7" width="26.5703125" hidden="1" customWidth="1"/>
    <col min="8" max="9" width="18.140625" hidden="1" customWidth="1"/>
    <col min="10" max="12" width="6.5703125"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40"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40"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40"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40"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40"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40"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40"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1.8979491434235907</v>
      </c>
      <c r="P60" s="51" t="s">
        <v>389</v>
      </c>
      <c r="Q60" s="51"/>
      <c r="R60" s="51"/>
      <c r="S60" s="51"/>
      <c r="T60" s="51"/>
      <c r="U60" s="51"/>
      <c r="V60" s="51"/>
      <c r="W60" s="51"/>
      <c r="X60" s="51" t="s">
        <v>71</v>
      </c>
      <c r="Y60" s="106"/>
      <c r="Z60" s="51"/>
      <c r="AA60" s="8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11">
        <f>INDEX(Tab_Def_Flows[[Flow_ID]:[CC_DM_source]],MATCH(Tab_Data_Flows[[#This Row],[Name(EN)]],Tab_Def_Flows[Name(EN)],0),18)</f>
        <v>0.91195000000000004</v>
      </c>
      <c r="AG60" s="112">
        <f>IF(K60="Yes",AF60*Tab_Data_Flows[[#This Row],[Flow_Py]],"N.A.")</f>
        <v>1.7308347213451436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11">
        <f>INDEX(Tab_Def_Flows[[Flow_ID]:[CC_DM_source]],MATCH(Tab_Data_Flows[[#This Row],[Name(EN)]],Tab_Def_Flows[Name(EN)],0),18)</f>
        <v>0.91195000000000004</v>
      </c>
      <c r="AG61" s="112">
        <f>IF(K61="Yes",AF61*Tab_Data_Flows[[#This Row],[Flow_Py]],"N.A.")</f>
        <v>1.7654514157720465</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11">
        <f>INDEX(Tab_Def_Flows[[Flow_ID]:[CC_DM_source]],MATCH(Tab_Data_Flows[[#This Row],[Name(EN)]],Tab_Def_Flows[Name(EN)],0),18)</f>
        <v>0.91195000000000004</v>
      </c>
      <c r="AG62" s="112">
        <f>IF(K62="Yes",AF62*Tab_Data_Flows[[#This Row],[Flow_Py]],"N.A.")</f>
        <v>1.8007604440874874</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11">
        <f>INDEX(Tab_Def_Flows[[Flow_ID]:[CC_DM_source]],MATCH(Tab_Data_Flows[[#This Row],[Name(EN)]],Tab_Def_Flows[Name(EN)],0),18)</f>
        <v>0.91195000000000004</v>
      </c>
      <c r="AG63" s="112">
        <f>IF(K63="Yes",AF63*Tab_Data_Flows[[#This Row],[Flow_Py]],"N.A.")</f>
        <v>1.8367756529692374</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11">
        <f>INDEX(Tab_Def_Flows[[Flow_ID]:[CC_DM_source]],MATCH(Tab_Data_Flows[[#This Row],[Name(EN)]],Tab_Def_Flows[Name(EN)],0),18)</f>
        <v>0.91195000000000004</v>
      </c>
      <c r="AG64" s="112">
        <f>IF(K64="Yes",AF64*Tab_Data_Flows[[#This Row],[Flow_Py]],"N.A.")</f>
        <v>1.8735111660286221</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11">
        <f>INDEX(Tab_Def_Flows[[Flow_ID]:[CC_DM_source]],MATCH(Tab_Data_Flows[[#This Row],[Name(EN)]],Tab_Def_Flows[Name(EN)],0),18)</f>
        <v>0.91195000000000004</v>
      </c>
      <c r="AG65" s="112">
        <f>IF(K65="Yes",AF65*Tab_Data_Flows[[#This Row],[Flow_Py]],"N.A.")</f>
        <v>1.9109813893491947</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11">
        <f>INDEX(Tab_Def_Flows[[Flow_ID]:[CC_DM_source]],MATCH(Tab_Data_Flows[[#This Row],[Name(EN)]],Tab_Def_Flows[Name(EN)],0),18)</f>
        <v>0.91195000000000004</v>
      </c>
      <c r="AG66" s="112">
        <f>IF(K66="Yes",AF66*Tab_Data_Flows[[#This Row],[Flow_Py]],"N.A.")</f>
        <v>1.9492010171361789</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2.1801469789779069</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11">
        <f>INDEX(Tab_Def_Flows[[Flow_ID]:[CC_DM_source]],MATCH(Tab_Data_Flows[[#This Row],[Name(EN)]],Tab_Def_Flows[Name(EN)],0),18)</f>
        <v>0.91195000000000004</v>
      </c>
      <c r="AG67" s="112">
        <f>IF(K67="Yes",AF67*Tab_Data_Flows[[#This Row],[Flow_Py]],"N.A.")</f>
        <v>1.9881850374789023</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0.91854148731525287</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2.223749918557465</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11">
        <f>INDEX(Tab_Def_Flows[[Flow_ID]:[CC_DM_source]],MATCH(Tab_Data_Flows[[#This Row],[Name(EN)]],Tab_Def_Flows[Name(EN)],0),18)</f>
        <v>0.91195000000000004</v>
      </c>
      <c r="AG68" s="112">
        <f>IF(K68="Yes",AF68*Tab_Data_Flows[[#This Row],[Flow_Py]],"N.A.")</f>
        <v>2.0279487382284804</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0.93691231706155798</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2.2682249169286144</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11">
        <f>INDEX(Tab_Def_Flows[[Flow_ID]:[CC_DM_source]],MATCH(Tab_Data_Flows[[#This Row],[Name(EN)]],Tab_Def_Flows[Name(EN)],0),18)</f>
        <v>0.91195000000000004</v>
      </c>
      <c r="AG69" s="112">
        <f>IF(K69="Yes",AF69*Tab_Data_Flows[[#This Row],[Flow_Py]],"N.A.")</f>
        <v>2.0685077129930498</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0.95565056340278909</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2.3135894152671868</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11">
        <f>INDEX(Tab_Def_Flows[[Flow_ID]:[CC_DM_source]],MATCH(Tab_Data_Flows[[#This Row],[Name(EN)]],Tab_Def_Flows[Name(EN)],0),18)</f>
        <v>0.91195000000000004</v>
      </c>
      <c r="AG70" s="112">
        <f>IF(K70="Yes",AF70*Tab_Data_Flows[[#This Row],[Flow_Py]],"N.A.")</f>
        <v>2.1098778672529113</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0.97476357467084485</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2.3598612035725304</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2.4070584276439808</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2.4551995961968607</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2.504303588120798</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2.5543896598832139</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2.6054774530808782</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2.6575870021424959</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2.7107387421853457</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61"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2.7649535170290527</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61"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2.8202525873696338</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61"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2.8766576391170267</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61"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2.934190791899367</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61"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2.9928746077373543</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61"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3.0527320998921015</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61"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3.1137867418899434</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61"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3.1760624767277426</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61"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3.2395837262622975</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61"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3.3043754007875434</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174.14590399999997</v>
      </c>
      <c r="P118" s="51" t="s">
        <v>389</v>
      </c>
      <c r="Q118" s="51" t="s">
        <v>362</v>
      </c>
      <c r="R118" s="51"/>
      <c r="S118" s="51"/>
      <c r="T118" s="51"/>
      <c r="U118" s="51"/>
      <c r="V118" s="51"/>
      <c r="W118" s="51"/>
      <c r="X118" s="51" t="s">
        <v>71</v>
      </c>
      <c r="Y118" s="106"/>
      <c r="Z118" s="51"/>
      <c r="AA118" s="86">
        <f t="shared" si="6"/>
        <v>174.14590399999997</v>
      </c>
      <c r="AB118" s="51" t="s">
        <v>63</v>
      </c>
      <c r="AC118" s="111">
        <f>INDEX(Tab_Def_Flows[[Flow_ID]:[CC_DM_source]],MATCH(Tab_Data_Flows[[#This Row],[Name(EN)]],Tab_Def_Flows[Name(EN)],0),16)</f>
        <v>0.23841961852861027</v>
      </c>
      <c r="AD118" s="112">
        <f>IF(J118="Yes",AA118*Tab_Data_Flows[[#This Row],[WC_'[%']]],"N.A.")</f>
        <v>41.519799999999975</v>
      </c>
      <c r="AE118" s="61" t="str">
        <f>Tab_Data_Flows[[#This Row],[UoM_Flow_Py]]</f>
        <v>Mg</v>
      </c>
      <c r="AF118" s="111">
        <f>INDEX(Tab_Def_Flows[[Flow_ID]:[CC_DM_source]],MATCH(Tab_Data_Flows[[#This Row],[Name(EN)]],Tab_Def_Flows[Name(EN)],0),18)</f>
        <v>0.76158038147138973</v>
      </c>
      <c r="AG118" s="112">
        <f>IF(K118="Yes",AF118*Tab_Data_Flows[[#This Row],[Flow_Py]]-AJ234,"N.A.")</f>
        <v>10.202007999999992</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177.62882207999996</v>
      </c>
      <c r="P119" s="51" t="s">
        <v>389</v>
      </c>
      <c r="Q119" s="51" t="s">
        <v>362</v>
      </c>
      <c r="R119" s="51"/>
      <c r="S119" s="51"/>
      <c r="T119" s="51"/>
      <c r="U119" s="51"/>
      <c r="V119" s="51"/>
      <c r="W119" s="51"/>
      <c r="X119" s="51" t="s">
        <v>71</v>
      </c>
      <c r="Y119" s="106"/>
      <c r="Z119" s="51"/>
      <c r="AA119" s="86">
        <f t="shared" si="6"/>
        <v>177.62882207999996</v>
      </c>
      <c r="AB119" s="51" t="s">
        <v>63</v>
      </c>
      <c r="AC119" s="111">
        <f>INDEX(Tab_Def_Flows[[Flow_ID]:[CC_DM_source]],MATCH(Tab_Data_Flows[[#This Row],[Name(EN)]],Tab_Def_Flows[Name(EN)],0),16)</f>
        <v>0.23841961852861027</v>
      </c>
      <c r="AD119" s="112">
        <f>IF(J119="Yes",AA119*Tab_Data_Flows[[#This Row],[WC_'[%']]],"N.A.")</f>
        <v>42.350195999999976</v>
      </c>
      <c r="AE119" s="61" t="str">
        <f>Tab_Data_Flows[[#This Row],[UoM_Flow_Py]]</f>
        <v>Mg</v>
      </c>
      <c r="AF119" s="111">
        <f>INDEX(Tab_Def_Flows[[Flow_ID]:[CC_DM_source]],MATCH(Tab_Data_Flows[[#This Row],[Name(EN)]],Tab_Def_Flows[Name(EN)],0),18)</f>
        <v>0.76158038147138973</v>
      </c>
      <c r="AG119" s="112">
        <f>IF(K119="Yes",AF119*Tab_Data_Flows[[#This Row],[Flow_Py]]-AJ235,"N.A.")</f>
        <v>10.406048159999983</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181.18139852159996</v>
      </c>
      <c r="P120" s="51" t="s">
        <v>389</v>
      </c>
      <c r="Q120" s="51" t="s">
        <v>362</v>
      </c>
      <c r="R120" s="51"/>
      <c r="S120" s="51"/>
      <c r="T120" s="51"/>
      <c r="U120" s="51"/>
      <c r="V120" s="51"/>
      <c r="W120" s="51"/>
      <c r="X120" s="51" t="s">
        <v>71</v>
      </c>
      <c r="Y120" s="106"/>
      <c r="Z120" s="51"/>
      <c r="AA120" s="86">
        <f t="shared" si="6"/>
        <v>181.18139852159996</v>
      </c>
      <c r="AB120" s="51" t="s">
        <v>63</v>
      </c>
      <c r="AC120" s="111">
        <f>INDEX(Tab_Def_Flows[[Flow_ID]:[CC_DM_source]],MATCH(Tab_Data_Flows[[#This Row],[Name(EN)]],Tab_Def_Flows[Name(EN)],0),16)</f>
        <v>0.23841961852861027</v>
      </c>
      <c r="AD120" s="112">
        <f>IF(J120="Yes",AA120*Tab_Data_Flows[[#This Row],[WC_'[%']]],"N.A.")</f>
        <v>43.197199919999974</v>
      </c>
      <c r="AE120" s="61" t="str">
        <f>Tab_Data_Flows[[#This Row],[UoM_Flow_Py]]</f>
        <v>Mg</v>
      </c>
      <c r="AF120" s="111">
        <f>INDEX(Tab_Def_Flows[[Flow_ID]:[CC_DM_source]],MATCH(Tab_Data_Flows[[#This Row],[Name(EN)]],Tab_Def_Flows[Name(EN)],0),18)</f>
        <v>0.76158038147138973</v>
      </c>
      <c r="AG120" s="112">
        <f>IF(K120="Yes",AF120*Tab_Data_Flows[[#This Row],[Flow_Py]]-AJ236,"N.A.")</f>
        <v>10.614169123199986</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184.80502649203197</v>
      </c>
      <c r="P121" s="51" t="s">
        <v>389</v>
      </c>
      <c r="Q121" s="51" t="s">
        <v>362</v>
      </c>
      <c r="R121" s="51"/>
      <c r="S121" s="51"/>
      <c r="T121" s="51"/>
      <c r="U121" s="51"/>
      <c r="V121" s="51"/>
      <c r="W121" s="51"/>
      <c r="X121" s="51" t="s">
        <v>71</v>
      </c>
      <c r="Y121" s="106"/>
      <c r="Z121" s="51"/>
      <c r="AA121" s="86">
        <f t="shared" si="6"/>
        <v>184.80502649203197</v>
      </c>
      <c r="AB121" s="51" t="s">
        <v>63</v>
      </c>
      <c r="AC121" s="111">
        <f>INDEX(Tab_Def_Flows[[Flow_ID]:[CC_DM_source]],MATCH(Tab_Data_Flows[[#This Row],[Name(EN)]],Tab_Def_Flows[Name(EN)],0),16)</f>
        <v>0.23841961852861027</v>
      </c>
      <c r="AD121" s="112">
        <f>IF(J121="Yes",AA121*Tab_Data_Flows[[#This Row],[WC_'[%']]],"N.A.")</f>
        <v>44.061143918399978</v>
      </c>
      <c r="AE121" s="61" t="str">
        <f>Tab_Data_Flows[[#This Row],[UoM_Flow_Py]]</f>
        <v>Mg</v>
      </c>
      <c r="AF121" s="111">
        <f>INDEX(Tab_Def_Flows[[Flow_ID]:[CC_DM_source]],MATCH(Tab_Data_Flows[[#This Row],[Name(EN)]],Tab_Def_Flows[Name(EN)],0),18)</f>
        <v>0.76158038147138973</v>
      </c>
      <c r="AG121" s="112">
        <f>IF(K121="Yes",AF121*Tab_Data_Flows[[#This Row],[Flow_Py]]-AJ237,"N.A.")</f>
        <v>10.82645250566398</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188.50112702187261</v>
      </c>
      <c r="P122" s="51" t="s">
        <v>389</v>
      </c>
      <c r="Q122" s="51" t="s">
        <v>362</v>
      </c>
      <c r="R122" s="51"/>
      <c r="S122" s="51"/>
      <c r="T122" s="51"/>
      <c r="U122" s="51"/>
      <c r="V122" s="51"/>
      <c r="W122" s="51"/>
      <c r="X122" s="51" t="s">
        <v>71</v>
      </c>
      <c r="Y122" s="106"/>
      <c r="Z122" s="51"/>
      <c r="AA122" s="86">
        <f t="shared" si="6"/>
        <v>188.50112702187261</v>
      </c>
      <c r="AB122" s="51" t="s">
        <v>63</v>
      </c>
      <c r="AC122" s="111">
        <f>INDEX(Tab_Def_Flows[[Flow_ID]:[CC_DM_source]],MATCH(Tab_Data_Flows[[#This Row],[Name(EN)]],Tab_Def_Flows[Name(EN)],0),16)</f>
        <v>0.23841961852861027</v>
      </c>
      <c r="AD122" s="112">
        <f>IF(J122="Yes",AA122*Tab_Data_Flows[[#This Row],[WC_'[%']]],"N.A.")</f>
        <v>44.942366796767978</v>
      </c>
      <c r="AE122" s="61" t="str">
        <f>Tab_Data_Flows[[#This Row],[UoM_Flow_Py]]</f>
        <v>Mg</v>
      </c>
      <c r="AF122" s="111">
        <f>INDEX(Tab_Def_Flows[[Flow_ID]:[CC_DM_source]],MATCH(Tab_Data_Flows[[#This Row],[Name(EN)]],Tab_Def_Flows[Name(EN)],0),18)</f>
        <v>0.76158038147138973</v>
      </c>
      <c r="AG122" s="112">
        <f>IF(K122="Yes",AF122*Tab_Data_Flows[[#This Row],[Flow_Py]]-AJ238,"N.A.")</f>
        <v>11.042981555777288</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192.27114956231006</v>
      </c>
      <c r="P123" s="51" t="s">
        <v>389</v>
      </c>
      <c r="Q123" s="51" t="s">
        <v>362</v>
      </c>
      <c r="R123" s="51"/>
      <c r="S123" s="51"/>
      <c r="T123" s="51"/>
      <c r="U123" s="51"/>
      <c r="V123" s="51"/>
      <c r="W123" s="51"/>
      <c r="X123" s="51" t="s">
        <v>71</v>
      </c>
      <c r="Y123" s="106"/>
      <c r="Z123" s="51"/>
      <c r="AA123" s="86">
        <f t="shared" si="6"/>
        <v>192.27114956231006</v>
      </c>
      <c r="AB123" s="51" t="s">
        <v>63</v>
      </c>
      <c r="AC123" s="111">
        <f>INDEX(Tab_Def_Flows[[Flow_ID]:[CC_DM_source]],MATCH(Tab_Data_Flows[[#This Row],[Name(EN)]],Tab_Def_Flows[Name(EN)],0),16)</f>
        <v>0.23841961852861027</v>
      </c>
      <c r="AD123" s="112">
        <f>IF(J123="Yes",AA123*Tab_Data_Flows[[#This Row],[WC_'[%']]],"N.A.")</f>
        <v>45.841214132703335</v>
      </c>
      <c r="AE123" s="61" t="str">
        <f>Tab_Data_Flows[[#This Row],[UoM_Flow_Py]]</f>
        <v>Mg</v>
      </c>
      <c r="AF123" s="111">
        <f>INDEX(Tab_Def_Flows[[Flow_ID]:[CC_DM_source]],MATCH(Tab_Data_Flows[[#This Row],[Name(EN)]],Tab_Def_Flows[Name(EN)],0),18)</f>
        <v>0.76158038147138973</v>
      </c>
      <c r="AG123" s="112">
        <f>IF(K123="Yes",AF123*Tab_Data_Flows[[#This Row],[Flow_Py]]-AJ239,"N.A.")</f>
        <v>11.263841186892819</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196.11657255355627</v>
      </c>
      <c r="P124" s="51" t="s">
        <v>389</v>
      </c>
      <c r="Q124" s="51" t="s">
        <v>362</v>
      </c>
      <c r="R124" s="51"/>
      <c r="S124" s="51"/>
      <c r="T124" s="51"/>
      <c r="U124" s="51"/>
      <c r="V124" s="51"/>
      <c r="W124" s="51"/>
      <c r="X124" s="51" t="s">
        <v>71</v>
      </c>
      <c r="Y124" s="106"/>
      <c r="Z124" s="51"/>
      <c r="AA124" s="86">
        <f t="shared" si="6"/>
        <v>196.11657255355627</v>
      </c>
      <c r="AB124" s="51" t="s">
        <v>63</v>
      </c>
      <c r="AC124" s="111">
        <f>INDEX(Tab_Def_Flows[[Flow_ID]:[CC_DM_source]],MATCH(Tab_Data_Flows[[#This Row],[Name(EN)]],Tab_Def_Flows[Name(EN)],0),16)</f>
        <v>0.23841961852861027</v>
      </c>
      <c r="AD124" s="112">
        <f>IF(J124="Yes",AA124*Tab_Data_Flows[[#This Row],[WC_'[%']]],"N.A.")</f>
        <v>46.758038415357404</v>
      </c>
      <c r="AE124" s="61" t="str">
        <f>Tab_Data_Flows[[#This Row],[UoM_Flow_Py]]</f>
        <v>Mg</v>
      </c>
      <c r="AF124" s="111">
        <f>INDEX(Tab_Def_Flows[[Flow_ID]:[CC_DM_source]],MATCH(Tab_Data_Flows[[#This Row],[Name(EN)]],Tab_Def_Flows[Name(EN)],0),18)</f>
        <v>0.76158038147138973</v>
      </c>
      <c r="AG124" s="112">
        <f>IF(K124="Yes",AF124*Tab_Data_Flows[[#This Row],[Flow_Py]]-AJ240,"N.A.")</f>
        <v>11.489118010630705</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200.0389040046274</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200.0389040046274</v>
      </c>
      <c r="AB125" s="51" t="s">
        <v>63</v>
      </c>
      <c r="AC125" s="111">
        <f>INDEX(Tab_Def_Flows[[Flow_ID]:[CC_DM_source]],MATCH(Tab_Data_Flows[[#This Row],[Name(EN)]],Tab_Def_Flows[Name(EN)],0),16)</f>
        <v>0.23841961852861027</v>
      </c>
      <c r="AD125" s="112">
        <f>IF(J125="Yes",AA125*Tab_Data_Flows[[#This Row],[WC_'[%']]],"N.A.")</f>
        <v>47.693199183664554</v>
      </c>
      <c r="AE125" s="61" t="str">
        <f>Tab_Data_Flows[[#This Row],[UoM_Flow_Py]]</f>
        <v>Mg</v>
      </c>
      <c r="AF125" s="111">
        <f>INDEX(Tab_Def_Flows[[Flow_ID]:[CC_DM_source]],MATCH(Tab_Data_Flows[[#This Row],[Name(EN)]],Tab_Def_Flows[Name(EN)],0),18)</f>
        <v>0.76158038147138973</v>
      </c>
      <c r="AG125" s="112">
        <f>IF(K125="Yes",AF125*Tab_Data_Flows[[#This Row],[Flow_Py]]-AJ241,"N.A.")</f>
        <v>11.718900370843301</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204.03968208471994</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204.03968208471994</v>
      </c>
      <c r="AB126" s="51" t="s">
        <v>63</v>
      </c>
      <c r="AC126" s="111">
        <f>INDEX(Tab_Def_Flows[[Flow_ID]:[CC_DM_source]],MATCH(Tab_Data_Flows[[#This Row],[Name(EN)]],Tab_Def_Flows[Name(EN)],0),16)</f>
        <v>0.23841961852861027</v>
      </c>
      <c r="AD126" s="112">
        <f>IF(J126="Yes",AA126*Tab_Data_Flows[[#This Row],[WC_'[%']]],"N.A.")</f>
        <v>48.647063167337841</v>
      </c>
      <c r="AE126" s="61" t="str">
        <f>Tab_Data_Flows[[#This Row],[UoM_Flow_Py]]</f>
        <v>Mg</v>
      </c>
      <c r="AF126" s="111">
        <f>INDEX(Tab_Def_Flows[[Flow_ID]:[CC_DM_source]],MATCH(Tab_Data_Flows[[#This Row],[Name(EN)]],Tab_Def_Flows[Name(EN)],0),18)</f>
        <v>0.76158038147138973</v>
      </c>
      <c r="AG126" s="112">
        <f>IF(K126="Yes",AF126*Tab_Data_Flows[[#This Row],[Flow_Py]]-AJ242,"N.A.")</f>
        <v>11.953278378260137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208.12047572641436</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208.12047572641436</v>
      </c>
      <c r="AB127" s="51" t="s">
        <v>63</v>
      </c>
      <c r="AC127" s="111">
        <f>INDEX(Tab_Def_Flows[[Flow_ID]:[CC_DM_source]],MATCH(Tab_Data_Flows[[#This Row],[Name(EN)]],Tab_Def_Flows[Name(EN)],0),16)</f>
        <v>0.23841961852861027</v>
      </c>
      <c r="AD127" s="112">
        <f>IF(J127="Yes",AA127*Tab_Data_Flows[[#This Row],[WC_'[%']]],"N.A.")</f>
        <v>49.620004430684602</v>
      </c>
      <c r="AE127" s="61" t="str">
        <f>Tab_Data_Flows[[#This Row],[UoM_Flow_Py]]</f>
        <v>Mg</v>
      </c>
      <c r="AF127" s="111">
        <f>INDEX(Tab_Def_Flows[[Flow_ID]:[CC_DM_source]],MATCH(Tab_Data_Flows[[#This Row],[Name(EN)]],Tab_Def_Flows[Name(EN)],0),18)</f>
        <v>0.76158038147138973</v>
      </c>
      <c r="AG127" s="112">
        <f>IF(K127="Yes",AF127*Tab_Data_Flows[[#This Row],[Flow_Py]]-AJ243,"N.A.")</f>
        <v>12.192343945825343</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212.28288524094265</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212.28288524094265</v>
      </c>
      <c r="AB128" s="51" t="s">
        <v>63</v>
      </c>
      <c r="AC128" s="111">
        <f>INDEX(Tab_Def_Flows[[Flow_ID]:[CC_DM_source]],MATCH(Tab_Data_Flows[[#This Row],[Name(EN)]],Tab_Def_Flows[Name(EN)],0),16)</f>
        <v>0.23841961852861027</v>
      </c>
      <c r="AD128" s="112">
        <f>IF(J128="Yes",AA128*Tab_Data_Flows[[#This Row],[WC_'[%']]],"N.A.")</f>
        <v>50.612404519298295</v>
      </c>
      <c r="AE128" s="61" t="str">
        <f>Tab_Data_Flows[[#This Row],[UoM_Flow_Py]]</f>
        <v>Mg</v>
      </c>
      <c r="AF128" s="111">
        <f>INDEX(Tab_Def_Flows[[Flow_ID]:[CC_DM_source]],MATCH(Tab_Data_Flows[[#This Row],[Name(EN)]],Tab_Def_Flows[Name(EN)],0),18)</f>
        <v>0.76158038147138973</v>
      </c>
      <c r="AG128" s="112">
        <f>IF(K128="Yes",AF128*Tab_Data_Flows[[#This Row],[Flow_Py]]-AJ244,"N.A.")</f>
        <v>12.436190824741857</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216.5285429457615</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216.5285429457615</v>
      </c>
      <c r="AB129" s="51" t="s">
        <v>63</v>
      </c>
      <c r="AC129" s="111">
        <f>INDEX(Tab_Def_Flows[[Flow_ID]:[CC_DM_source]],MATCH(Tab_Data_Flows[[#This Row],[Name(EN)]],Tab_Def_Flows[Name(EN)],0),16)</f>
        <v>0.23841961852861027</v>
      </c>
      <c r="AD129" s="112">
        <f>IF(J129="Yes",AA129*Tab_Data_Flows[[#This Row],[WC_'[%']]],"N.A.")</f>
        <v>51.624652609684262</v>
      </c>
      <c r="AE129" s="61" t="str">
        <f>Tab_Data_Flows[[#This Row],[UoM_Flow_Py]]</f>
        <v>Mg</v>
      </c>
      <c r="AF129" s="111">
        <f>INDEX(Tab_Def_Flows[[Flow_ID]:[CC_DM_source]],MATCH(Tab_Data_Flows[[#This Row],[Name(EN)]],Tab_Def_Flows[Name(EN)],0),18)</f>
        <v>0.76158038147138973</v>
      </c>
      <c r="AG129" s="112">
        <f>IF(K129="Yes",AF129*Tab_Data_Flows[[#This Row],[Flow_Py]]-AJ245,"N.A.")</f>
        <v>12.684914641236702</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220.85911380467672</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220.85911380467672</v>
      </c>
      <c r="AB130" s="51" t="s">
        <v>63</v>
      </c>
      <c r="AC130" s="111">
        <f>INDEX(Tab_Def_Flows[[Flow_ID]:[CC_DM_source]],MATCH(Tab_Data_Flows[[#This Row],[Name(EN)]],Tab_Def_Flows[Name(EN)],0),16)</f>
        <v>0.23841961852861027</v>
      </c>
      <c r="AD130" s="112">
        <f>IF(J130="Yes",AA130*Tab_Data_Flows[[#This Row],[WC_'[%']]],"N.A.")</f>
        <v>52.657145661877948</v>
      </c>
      <c r="AE130" s="61" t="str">
        <f>Tab_Data_Flows[[#This Row],[UoM_Flow_Py]]</f>
        <v>Mg</v>
      </c>
      <c r="AF130" s="111">
        <f>INDEX(Tab_Def_Flows[[Flow_ID]:[CC_DM_source]],MATCH(Tab_Data_Flows[[#This Row],[Name(EN)]],Tab_Def_Flows[Name(EN)],0),18)</f>
        <v>0.76158038147138973</v>
      </c>
      <c r="AG130" s="112">
        <f>IF(K130="Yes",AF130*Tab_Data_Flows[[#This Row],[Flow_Py]]-AJ246,"N.A.")</f>
        <v>12.938612934061439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225.27629608077027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225.27629608077027</v>
      </c>
      <c r="AB131" s="51" t="s">
        <v>63</v>
      </c>
      <c r="AC131" s="111">
        <f>INDEX(Tab_Def_Flows[[Flow_ID]:[CC_DM_source]],MATCH(Tab_Data_Flows[[#This Row],[Name(EN)]],Tab_Def_Flows[Name(EN)],0),16)</f>
        <v>0.23841961852861027</v>
      </c>
      <c r="AD131" s="112">
        <f>IF(J131="Yes",AA131*Tab_Data_Flows[[#This Row],[WC_'[%']]],"N.A.")</f>
        <v>53.710288575115506</v>
      </c>
      <c r="AE131" s="61" t="str">
        <f>Tab_Data_Flows[[#This Row],[UoM_Flow_Py]]</f>
        <v>Mg</v>
      </c>
      <c r="AF131" s="111">
        <f>INDEX(Tab_Def_Flows[[Flow_ID]:[CC_DM_source]],MATCH(Tab_Data_Flows[[#This Row],[Name(EN)]],Tab_Def_Flows[Name(EN)],0),18)</f>
        <v>0.76158038147138973</v>
      </c>
      <c r="AG131" s="112">
        <f>IF(K131="Yes",AF131*Tab_Data_Flows[[#This Row],[Flow_Py]]-AJ247,"N.A.")</f>
        <v>13.197385192742644</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229.78182200238567</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229.78182200238567</v>
      </c>
      <c r="AB132" s="51" t="s">
        <v>63</v>
      </c>
      <c r="AC132" s="111">
        <f>INDEX(Tab_Def_Flows[[Flow_ID]:[CC_DM_source]],MATCH(Tab_Data_Flows[[#This Row],[Name(EN)]],Tab_Def_Flows[Name(EN)],0),16)</f>
        <v>0.23841961852861027</v>
      </c>
      <c r="AD132" s="112">
        <f>IF(J132="Yes",AA132*Tab_Data_Flows[[#This Row],[WC_'[%']]],"N.A.")</f>
        <v>54.784494346617819</v>
      </c>
      <c r="AE132" s="61" t="str">
        <f>Tab_Data_Flows[[#This Row],[UoM_Flow_Py]]</f>
        <v>Mg</v>
      </c>
      <c r="AF132" s="111">
        <f>INDEX(Tab_Def_Flows[[Flow_ID]:[CC_DM_source]],MATCH(Tab_Data_Flows[[#This Row],[Name(EN)]],Tab_Def_Flows[Name(EN)],0),18)</f>
        <v>0.76158038147138973</v>
      </c>
      <c r="AG132" s="112">
        <f>IF(K132="Yes",AF132*Tab_Data_Flows[[#This Row],[Flow_Py]]-AJ248,"N.A.")</f>
        <v>13.461332896597526</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234.37745844243338</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234.37745844243338</v>
      </c>
      <c r="AB133" s="51" t="s">
        <v>63</v>
      </c>
      <c r="AC133" s="111">
        <f>INDEX(Tab_Def_Flows[[Flow_ID]:[CC_DM_source]],MATCH(Tab_Data_Flows[[#This Row],[Name(EN)]],Tab_Def_Flows[Name(EN)],0),16)</f>
        <v>0.23841961852861027</v>
      </c>
      <c r="AD133" s="112">
        <f>IF(J133="Yes",AA133*Tab_Data_Flows[[#This Row],[WC_'[%']]],"N.A.")</f>
        <v>55.880184233550175</v>
      </c>
      <c r="AE133" s="61" t="str">
        <f>Tab_Data_Flows[[#This Row],[UoM_Flow_Py]]</f>
        <v>Mg</v>
      </c>
      <c r="AF133" s="111">
        <f>INDEX(Tab_Def_Flows[[Flow_ID]:[CC_DM_source]],MATCH(Tab_Data_Flows[[#This Row],[Name(EN)]],Tab_Def_Flows[Name(EN)],0),18)</f>
        <v>0.76158038147138973</v>
      </c>
      <c r="AG133" s="112">
        <f>IF(K133="Yes",AF133*Tab_Data_Flows[[#This Row],[Flow_Py]]-AJ249,"N.A.")</f>
        <v>13.730559554529435</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239.06500761128206</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239.06500761128206</v>
      </c>
      <c r="AB134" s="51" t="s">
        <v>63</v>
      </c>
      <c r="AC134" s="111">
        <f>INDEX(Tab_Def_Flows[[Flow_ID]:[CC_DM_source]],MATCH(Tab_Data_Flows[[#This Row],[Name(EN)]],Tab_Def_Flows[Name(EN)],0),16)</f>
        <v>0.23841961852861027</v>
      </c>
      <c r="AD134" s="112">
        <f>IF(J134="Yes",AA134*Tab_Data_Flows[[#This Row],[WC_'[%']]],"N.A.")</f>
        <v>56.997787918221178</v>
      </c>
      <c r="AE134" s="61" t="str">
        <f>Tab_Data_Flows[[#This Row],[UoM_Flow_Py]]</f>
        <v>Mg</v>
      </c>
      <c r="AF134" s="111">
        <f>INDEX(Tab_Def_Flows[[Flow_ID]:[CC_DM_source]],MATCH(Tab_Data_Flows[[#This Row],[Name(EN)]],Tab_Def_Flows[Name(EN)],0),18)</f>
        <v>0.76158038147138973</v>
      </c>
      <c r="AG134" s="112">
        <f>IF(K134="Yes",AF134*Tab_Data_Flows[[#This Row],[Flow_Py]]-AJ250,"N.A.")</f>
        <v>14.005170745620035</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243.8463077635077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243.8463077635077</v>
      </c>
      <c r="AB135" s="51" t="s">
        <v>63</v>
      </c>
      <c r="AC135" s="111">
        <f>INDEX(Tab_Def_Flows[[Flow_ID]:[CC_DM_source]],MATCH(Tab_Data_Flows[[#This Row],[Name(EN)]],Tab_Def_Flows[Name(EN)],0),16)</f>
        <v>0.23841961852861027</v>
      </c>
      <c r="AD135" s="112">
        <f>IF(J135="Yes",AA135*Tab_Data_Flows[[#This Row],[WC_'[%']]],"N.A.")</f>
        <v>58.1377436765856</v>
      </c>
      <c r="AE135" s="61" t="str">
        <f>Tab_Data_Flows[[#This Row],[UoM_Flow_Py]]</f>
        <v>Mg</v>
      </c>
      <c r="AF135" s="111">
        <f>INDEX(Tab_Def_Flows[[Flow_ID]:[CC_DM_source]],MATCH(Tab_Data_Flows[[#This Row],[Name(EN)]],Tab_Def_Flows[Name(EN)],0),18)</f>
        <v>0.76158038147138973</v>
      </c>
      <c r="AG135" s="112">
        <f>IF(K135="Yes",AF135*Tab_Data_Flows[[#This Row],[Flow_Py]]-AJ251,"N.A.")</f>
        <v>14.285274160532424</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248.72323391877785</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248.72323391877785</v>
      </c>
      <c r="AB136" s="51" t="s">
        <v>63</v>
      </c>
      <c r="AC136" s="111">
        <f>INDEX(Tab_Def_Flows[[Flow_ID]:[CC_DM_source]],MATCH(Tab_Data_Flows[[#This Row],[Name(EN)]],Tab_Def_Flows[Name(EN)],0),16)</f>
        <v>0.23841961852861027</v>
      </c>
      <c r="AD136" s="112">
        <f>IF(J136="Yes",AA136*Tab_Data_Flows[[#This Row],[WC_'[%']]],"N.A.")</f>
        <v>59.300498550117311</v>
      </c>
      <c r="AE136" s="61" t="str">
        <f>Tab_Data_Flows[[#This Row],[UoM_Flow_Py]]</f>
        <v>Mg</v>
      </c>
      <c r="AF136" s="111">
        <f>INDEX(Tab_Def_Flows[[Flow_ID]:[CC_DM_source]],MATCH(Tab_Data_Flows[[#This Row],[Name(EN)]],Tab_Def_Flows[Name(EN)],0),18)</f>
        <v>0.76158038147138973</v>
      </c>
      <c r="AG136" s="112">
        <f>IF(K136="Yes",AF136*Tab_Data_Flows[[#This Row],[Flow_Py]]-AJ252,"N.A.")</f>
        <v>14.570979643743073</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253.69769859715342</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253.69769859715342</v>
      </c>
      <c r="AB137" s="51" t="s">
        <v>63</v>
      </c>
      <c r="AC137" s="111">
        <f>INDEX(Tab_Def_Flows[[Flow_ID]:[CC_DM_source]],MATCH(Tab_Data_Flows[[#This Row],[Name(EN)]],Tab_Def_Flows[Name(EN)],0),16)</f>
        <v>0.23841961852861027</v>
      </c>
      <c r="AD137" s="112">
        <f>IF(J137="Yes",AA137*Tab_Data_Flows[[#This Row],[WC_'[%']]],"N.A.")</f>
        <v>60.48650852111966</v>
      </c>
      <c r="AE137" s="61" t="str">
        <f>Tab_Data_Flows[[#This Row],[UoM_Flow_Py]]</f>
        <v>Mg</v>
      </c>
      <c r="AF137" s="111">
        <f>INDEX(Tab_Def_Flows[[Flow_ID]:[CC_DM_source]],MATCH(Tab_Data_Flows[[#This Row],[Name(EN)]],Tab_Def_Flows[Name(EN)],0),18)</f>
        <v>0.76158038147138973</v>
      </c>
      <c r="AG137" s="112">
        <f>IF(K137="Yes",AF137*Tab_Data_Flows[[#This Row],[Flow_Py]]-AJ253,"N.A.")</f>
        <v>14.862399236617932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258.77165256909649</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258.77165256909649</v>
      </c>
      <c r="AB138" s="51" t="s">
        <v>63</v>
      </c>
      <c r="AC138" s="111">
        <f>INDEX(Tab_Def_Flows[[Flow_ID]:[CC_DM_source]],MATCH(Tab_Data_Flows[[#This Row],[Name(EN)]],Tab_Def_Flows[Name(EN)],0),16)</f>
        <v>0.23841961852861027</v>
      </c>
      <c r="AD138" s="112">
        <f>IF(J138="Yes",AA138*Tab_Data_Flows[[#This Row],[WC_'[%']]],"N.A.")</f>
        <v>61.696238691542057</v>
      </c>
      <c r="AE138" s="61" t="str">
        <f>Tab_Data_Flows[[#This Row],[UoM_Flow_Py]]</f>
        <v>Mg</v>
      </c>
      <c r="AF138" s="111">
        <f>INDEX(Tab_Def_Flows[[Flow_ID]:[CC_DM_source]],MATCH(Tab_Data_Flows[[#This Row],[Name(EN)]],Tab_Def_Flows[Name(EN)],0),18)</f>
        <v>0.76158038147138973</v>
      </c>
      <c r="AG138" s="112">
        <f>IF(K138="Yes",AF138*Tab_Data_Flows[[#This Row],[Flow_Py]]-AJ254,"N.A.")</f>
        <v>15.159647221350298</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263.94708562047845</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263.94708562047845</v>
      </c>
      <c r="AB139" s="51" t="s">
        <v>63</v>
      </c>
      <c r="AC139" s="111">
        <f>INDEX(Tab_Def_Flows[[Flow_ID]:[CC_DM_source]],MATCH(Tab_Data_Flows[[#This Row],[Name(EN)]],Tab_Def_Flows[Name(EN)],0),16)</f>
        <v>0.23841961852861027</v>
      </c>
      <c r="AD139" s="112">
        <f>IF(J139="Yes",AA139*Tab_Data_Flows[[#This Row],[WC_'[%']]],"N.A.")</f>
        <v>62.930163465372907</v>
      </c>
      <c r="AE139" s="61" t="str">
        <f>Tab_Data_Flows[[#This Row],[UoM_Flow_Py]]</f>
        <v>Mg</v>
      </c>
      <c r="AF139" s="111">
        <f>INDEX(Tab_Def_Flows[[Flow_ID]:[CC_DM_source]],MATCH(Tab_Data_Flows[[#This Row],[Name(EN)]],Tab_Def_Flows[Name(EN)],0),18)</f>
        <v>0.76158038147138973</v>
      </c>
      <c r="AG139" s="112">
        <f>IF(K139="Yes",AF139*Tab_Data_Flows[[#This Row],[Flow_Py]]-AJ255,"N.A.")</f>
        <v>15.462840165777322</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269.22602733288801</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269.22602733288801</v>
      </c>
      <c r="AB140" s="51" t="s">
        <v>63</v>
      </c>
      <c r="AC140" s="111">
        <f>INDEX(Tab_Def_Flows[[Flow_ID]:[CC_DM_source]],MATCH(Tab_Data_Flows[[#This Row],[Name(EN)]],Tab_Def_Flows[Name(EN)],0),16)</f>
        <v>0.23841961852861027</v>
      </c>
      <c r="AD140" s="112">
        <f>IF(J140="Yes",AA140*Tab_Data_Flows[[#This Row],[WC_'[%']]],"N.A.")</f>
        <v>64.188766734680357</v>
      </c>
      <c r="AE140" s="61" t="str">
        <f>Tab_Data_Flows[[#This Row],[UoM_Flow_Py]]</f>
        <v>Mg</v>
      </c>
      <c r="AF140" s="111">
        <f>INDEX(Tab_Def_Flows[[Flow_ID]:[CC_DM_source]],MATCH(Tab_Data_Flows[[#This Row],[Name(EN)]],Tab_Def_Flows[Name(EN)],0),18)</f>
        <v>0.76158038147138973</v>
      </c>
      <c r="AG140" s="112">
        <f>IF(K140="Yes",AF140*Tab_Data_Flows[[#This Row],[Flow_Py]]-AJ256,"N.A.")</f>
        <v>15.772096969092843</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274.61054787954578</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274.61054787954578</v>
      </c>
      <c r="AB141" s="51" t="s">
        <v>63</v>
      </c>
      <c r="AC141" s="111">
        <f>INDEX(Tab_Def_Flows[[Flow_ID]:[CC_DM_source]],MATCH(Tab_Data_Flows[[#This Row],[Name(EN)]],Tab_Def_Flows[Name(EN)],0),16)</f>
        <v>0.23841961852861027</v>
      </c>
      <c r="AD141" s="112">
        <f>IF(J141="Yes",AA141*Tab_Data_Flows[[#This Row],[WC_'[%']]],"N.A.")</f>
        <v>65.472542069373972</v>
      </c>
      <c r="AE141" s="61" t="str">
        <f>Tab_Data_Flows[[#This Row],[UoM_Flow_Py]]</f>
        <v>Mg</v>
      </c>
      <c r="AF141" s="111">
        <f>INDEX(Tab_Def_Flows[[Flow_ID]:[CC_DM_source]],MATCH(Tab_Data_Flows[[#This Row],[Name(EN)]],Tab_Def_Flows[Name(EN)],0),18)</f>
        <v>0.76158038147138973</v>
      </c>
      <c r="AG141" s="112">
        <f>IF(K141="Yes",AF141*Tab_Data_Flows[[#This Row],[Flow_Py]]-AJ257,"N.A.")</f>
        <v>16.087538908474727</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280.10275883713672</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280.10275883713672</v>
      </c>
      <c r="AB142" s="51" t="s">
        <v>63</v>
      </c>
      <c r="AC142" s="111">
        <f>INDEX(Tab_Def_Flows[[Flow_ID]:[CC_DM_source]],MATCH(Tab_Data_Flows[[#This Row],[Name(EN)]],Tab_Def_Flows[Name(EN)],0),16)</f>
        <v>0.23841961852861027</v>
      </c>
      <c r="AD142" s="112">
        <f>IF(J142="Yes",AA142*Tab_Data_Flows[[#This Row],[WC_'[%']]],"N.A.")</f>
        <v>66.78199291076146</v>
      </c>
      <c r="AE142" s="61" t="str">
        <f>Tab_Data_Flows[[#This Row],[UoM_Flow_Py]]</f>
        <v>Mg</v>
      </c>
      <c r="AF142" s="111">
        <f>INDEX(Tab_Def_Flows[[Flow_ID]:[CC_DM_source]],MATCH(Tab_Data_Flows[[#This Row],[Name(EN)]],Tab_Def_Flows[Name(EN)],0),18)</f>
        <v>0.76158038147138973</v>
      </c>
      <c r="AG142" s="112">
        <f>IF(K142="Yes",AF142*Tab_Data_Flows[[#This Row],[Flow_Py]]-AJ258,"N.A.")</f>
        <v>16.4092896866442</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285.70481401387946</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285.70481401387946</v>
      </c>
      <c r="AB143" s="51" t="s">
        <v>63</v>
      </c>
      <c r="AC143" s="111">
        <f>INDEX(Tab_Def_Flows[[Flow_ID]:[CC_DM_source]],MATCH(Tab_Data_Flows[[#This Row],[Name(EN)]],Tab_Def_Flows[Name(EN)],0),16)</f>
        <v>0.23841961852861027</v>
      </c>
      <c r="AD143" s="112">
        <f>IF(J143="Yes",AA143*Tab_Data_Flows[[#This Row],[WC_'[%']]],"N.A.")</f>
        <v>68.117632768976691</v>
      </c>
      <c r="AE143" s="61" t="str">
        <f>Tab_Data_Flows[[#This Row],[UoM_Flow_Py]]</f>
        <v>Mg</v>
      </c>
      <c r="AF143" s="111">
        <f>INDEX(Tab_Def_Flows[[Flow_ID]:[CC_DM_source]],MATCH(Tab_Data_Flows[[#This Row],[Name(EN)]],Tab_Def_Flows[Name(EN)],0),18)</f>
        <v>0.76158038147138973</v>
      </c>
      <c r="AG143" s="112">
        <f>IF(K143="Yes",AF143*Tab_Data_Flows[[#This Row],[Flow_Py]]-AJ259,"N.A.")</f>
        <v>16.737475480377128</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291.41891029415706</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291.41891029415706</v>
      </c>
      <c r="AB144" s="51" t="s">
        <v>63</v>
      </c>
      <c r="AC144" s="111">
        <f>INDEX(Tab_Def_Flows[[Flow_ID]:[CC_DM_source]],MATCH(Tab_Data_Flows[[#This Row],[Name(EN)]],Tab_Def_Flows[Name(EN)],0),16)</f>
        <v>0.23841961852861027</v>
      </c>
      <c r="AD144" s="112">
        <f>IF(J144="Yes",AA144*Tab_Data_Flows[[#This Row],[WC_'[%']]],"N.A.")</f>
        <v>69.479985424356215</v>
      </c>
      <c r="AE144" s="61" t="str">
        <f>Tab_Data_Flows[[#This Row],[UoM_Flow_Py]]</f>
        <v>Mg</v>
      </c>
      <c r="AF144" s="111">
        <f>INDEX(Tab_Def_Flows[[Flow_ID]:[CC_DM_source]],MATCH(Tab_Data_Flows[[#This Row],[Name(EN)]],Tab_Def_Flows[Name(EN)],0),18)</f>
        <v>0.76158038147138973</v>
      </c>
      <c r="AG144" s="112">
        <f>IF(K144="Yes",AF144*Tab_Data_Flows[[#This Row],[Flow_Py]]-AJ260,"N.A.")</f>
        <v>17.072224989984647</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297.24728850004021</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297.24728850004021</v>
      </c>
      <c r="AB145" s="51" t="s">
        <v>63</v>
      </c>
      <c r="AC145" s="111">
        <f>INDEX(Tab_Def_Flows[[Flow_ID]:[CC_DM_source]],MATCH(Tab_Data_Flows[[#This Row],[Name(EN)]],Tab_Def_Flows[Name(EN)],0),16)</f>
        <v>0.23841961852861027</v>
      </c>
      <c r="AD145" s="112">
        <f>IF(J145="Yes",AA145*Tab_Data_Flows[[#This Row],[WC_'[%']]],"N.A.")</f>
        <v>70.869585132843355</v>
      </c>
      <c r="AE145" s="61" t="str">
        <f>Tab_Data_Flows[[#This Row],[UoM_Flow_Py]]</f>
        <v>Mg</v>
      </c>
      <c r="AF145" s="111">
        <f>INDEX(Tab_Def_Flows[[Flow_ID]:[CC_DM_source]],MATCH(Tab_Data_Flows[[#This Row],[Name(EN)]],Tab_Def_Flows[Name(EN)],0),18)</f>
        <v>0.76158038147138973</v>
      </c>
      <c r="AG145" s="112">
        <f>IF(K145="Yes",AF145*Tab_Data_Flows[[#This Row],[Flow_Py]]-AJ261,"N.A.")</f>
        <v>17.413669489784354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303.19223427004101</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303.19223427004101</v>
      </c>
      <c r="AB146" s="51" t="s">
        <v>63</v>
      </c>
      <c r="AC146" s="111">
        <f>INDEX(Tab_Def_Flows[[Flow_ID]:[CC_DM_source]],MATCH(Tab_Data_Flows[[#This Row],[Name(EN)]],Tab_Def_Flows[Name(EN)],0),16)</f>
        <v>0.23841961852861027</v>
      </c>
      <c r="AD146" s="112">
        <f>IF(J146="Yes",AA146*Tab_Data_Flows[[#This Row],[WC_'[%']]],"N.A.")</f>
        <v>72.286976835500212</v>
      </c>
      <c r="AE146" s="61" t="str">
        <f>Tab_Data_Flows[[#This Row],[UoM_Flow_Py]]</f>
        <v>Mg</v>
      </c>
      <c r="AF146" s="111">
        <f>INDEX(Tab_Def_Flows[[Flow_ID]:[CC_DM_source]],MATCH(Tab_Data_Flows[[#This Row],[Name(EN)]],Tab_Def_Flows[Name(EN)],0),18)</f>
        <v>0.76158038147138973</v>
      </c>
      <c r="AG146" s="112">
        <f>IF(K146="Yes",AF146*Tab_Data_Flows[[#This Row],[Flow_Py]]-AJ262,"N.A.")</f>
        <v>17.761942879580033</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Row],[Flow_Py]]-AJ263,"N.A.")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Row],[Flow_Py]]-AJ264,"N.A.")</f>
        <v>1.2578098962419999</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Row],[Flow_Py]]-AJ265,"N.A.")</f>
        <v>1.2829660941668399</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Row],[Flow_Py]]-AJ266,"N.A.")</f>
        <v>1.3086254160501771</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Row],[Flow_Py]]-AJ267,"N.A.")</f>
        <v>1.3347979243711805</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Row],[Flow_Py]]-AJ268,"N.A.")</f>
        <v>1.3614938828586041</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Row],[Flow_Py]]-AJ269,"N.A.")</f>
        <v>1.3887237605157761</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44.797540661799232</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Row],[Flow_Py]]-AJ270,"N.A.")</f>
        <v>1.4164982357260918</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45.693491475035216</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Row],[Flow_Py]]-AJ271,"N.A.")</f>
        <v>1.4448282004406137</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46.607361304535921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Row],[Flow_Py]]-AJ272,"N.A.")</f>
        <v>1.4737247644494256</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47.539508530626641</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Row],[Flow_Py]]-AJ273,"N.A.")</f>
        <v>1.5031992597384143</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48.490298701239176</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Row],[Flow_Py]]-AJ274,"N.A.")</f>
        <v>1.5332632449331829</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49.460104675263963</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Row],[Flow_Py]]-AJ275,"N.A.")</f>
        <v>1.5639285098318465</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50.44930676876924</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Row],[Flow_Py]]-AJ276,"N.A.")</f>
        <v>1.5952070800284837</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51.458292904144628</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Row],[Flow_Py]]-AJ277,"N.A.")</f>
        <v>1.6271112216290531</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52.487458762227519</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Row],[Flow_Py]]-AJ278,"N.A.")</f>
        <v>1.6596534460616341</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53.537207937472068</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Row],[Flow_Py]]-AJ279,"N.A.")</f>
        <v>1.6928465149828669</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54.60795209622151</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Row],[Flow_Py]]-AJ280,"N.A.")</f>
        <v>1.7267034452825243</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55.700111138145942</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Row],[Flow_Py]]-AJ281,"N.A.")</f>
        <v>1.7612375141881749</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56.814113360908863</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Row],[Flow_Py]]-AJ282,"N.A.")</f>
        <v>1.7964622644719381</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57.95039562812704</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Row],[Flow_Py]]-AJ283,"N.A.")</f>
        <v>1.8323915097613772</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59.109403540689584</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Row],[Flow_Py]]-AJ284,"N.A.")</f>
        <v>1.8690393399566045</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60.291591611503378</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Row],[Flow_Py]]-AJ285,"N.A.")</f>
        <v>1.906420126755737</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61.497423443733446</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Row],[Flow_Py]]-AJ286,"N.A.")</f>
        <v>1.9445485292908515</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62.727371912608113</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Row],[Flow_Py]]-AJ287,"N.A.")</f>
        <v>1.9834394998766685</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63.981919350860274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Row],[Flow_Py]]-AJ288,"N.A.")</f>
        <v>2.0231082898742017</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65.261557737877482</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Row],[Flow_Py]]-AJ289,"N.A.")</f>
        <v>2.0635704556716865</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66.566788892635032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Row],[Flow_Py]]-AJ290,"N.A.")</f>
        <v>2.1048418647851199</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67.898124670487732</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Row],[Flow_Py]]-AJ291,"N.A.")</f>
        <v>2.1469387020808219</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Row],[Flow_Py]]-AJ292,"N.A.")</f>
        <v>0.93118908008368728</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Row],[Flow_Py]]-AJ293,"N.A.")</f>
        <v>0.94981286168536094</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Row],[Flow_Py]]-AJ294,"N.A.")</f>
        <v>0.96880911891906807</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Row],[Flow_Py]]-AJ295,"N.A.")</f>
        <v>0.98818530129744964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Row],[Flow_Py]]-AJ296,"N.A.")</f>
        <v>1.0079490073233988</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Row],[Flow_Py]]-AJ297,"N.A.")</f>
        <v>1.0281079874698666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Row],[Flow_Py]]-AJ298,"N.A.")</f>
        <v>1.0486701472192643</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2.1801469789779069</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Row],[Flow_Py]]-AJ299,"N.A.")</f>
        <v>1.0696435501636494</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2.223749918557465</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Row],[Flow_Py]]-AJ300,"N.A.")</f>
        <v>1.0910364211669226</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2.2682249169286144</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Row],[Flow_Py]]-AJ301,"N.A.")</f>
        <v>1.1128571495902606</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2.3135894152671868</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Row],[Flow_Py]]-AJ302,"N.A.")</f>
        <v>1.1351142925820663</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2.3598612035725304</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Row],[Flow_Py]]-AJ303,"N.A.")</f>
        <v>1.1578165784337076</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2.4070584276439808</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Row],[Flow_Py]]-AJ304,"N.A.")</f>
        <v>1.1809729100023816</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2.4551995961968607</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Row],[Flow_Py]]-AJ305,"N.A.")</f>
        <v>1.2045923682024293</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2.504303588120798</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Row],[Flow_Py]]-AJ306,"N.A.")</f>
        <v>1.2286842155664781</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2.5543896598832139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Row],[Flow_Py]]-AJ307,"N.A.")</f>
        <v>1.2532578998778072</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2.6054774530808782</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Row],[Flow_Py]]-AJ308,"N.A.")</f>
        <v>1.2783230578753635</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2.6575870021424959</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Row],[Flow_Py]]-AJ309,"N.A.")</f>
        <v>1.3038895190328708</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2.7107387421853457</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Row],[Flow_Py]]-AJ310,"N.A.")</f>
        <v>1.3299673094135283</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2.7649535170290527</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Row],[Flow_Py]]-AJ311,"N.A.")</f>
        <v>1.3565666556017988</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2.8202525873696338</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Row],[Flow_Py]]-AJ312,"N.A.")</f>
        <v>1.3836979887138345</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2.8766576391170267</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Row],[Flow_Py]]-AJ313,"N.A.")</f>
        <v>1.4113719484881115</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2.934190791899367</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Row],[Flow_Py]]-AJ314,"N.A.")</f>
        <v>1.4395993874578739</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2.9928746077373543</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Row],[Flow_Py]]-AJ315,"N.A.")</f>
        <v>1.4683913752070312</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3.0527320998921015</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Row],[Flow_Py]]-AJ316,"N.A.")</f>
        <v>1.4977592027111717</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3.1137867418899434</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Row],[Flow_Py]]-AJ317,"N.A.")</f>
        <v>1.5277143867653955</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3.1760624767277426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Row],[Flow_Py]]-AJ318,"N.A.")</f>
        <v>1.5582686745007033</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3.2395837262622975</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Row],[Flow_Py]]-AJ319,"N.A.")</f>
        <v>1.5894340479907176</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3.3043754007875434</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Row],[Flow_Py]]-AJ320,"N.A.")</f>
        <v>1.6212227289505319</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122.42409600000001</v>
      </c>
      <c r="P234" s="51"/>
      <c r="Q234" s="51"/>
      <c r="R234" s="51"/>
      <c r="S234" s="51"/>
      <c r="T234" s="51"/>
      <c r="U234" s="51"/>
      <c r="V234" s="51"/>
      <c r="W234" s="51"/>
      <c r="X234" s="51" t="s">
        <v>71</v>
      </c>
      <c r="Y234" s="106"/>
      <c r="Z234" s="51"/>
      <c r="AA234" s="86">
        <f t="shared" si="11"/>
        <v>122.42409600000001</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122.42409600000001</v>
      </c>
      <c r="AH234" s="61" t="str">
        <f>Tab_Data_Flows[[#This Row],[UoM_Flow_Py]]</f>
        <v>Mg</v>
      </c>
      <c r="AI234" s="111">
        <v>1</v>
      </c>
      <c r="AJ234" s="109">
        <f>IF(L234="Yes",AI234*Tab_Data_Flows[[#This Row],[Flow_Py]]*Tab_Data_Flows[[#This Row],[DM_'[%']]],"N.A.")</f>
        <v>122.42409600000001</v>
      </c>
      <c r="AK234" s="61" t="str">
        <f>Tab_Data_Flows[[#This Row],[UoM_Flow_Py]]</f>
        <v>Mg</v>
      </c>
    </row>
    <row r="235" spans="1:37" ht="15.75" thickBot="1" x14ac:dyDescent="0.3">
      <c r="A235" s="60">
        <f t="shared" si="4"/>
        <v>234</v>
      </c>
      <c r="B235" s="49" t="str">
        <f>_xlfn.XLOOKUP(C235,Tab_Def_Flows[Name(EN)],Tab_Def_Flows[Flow_ID],,0,)</f>
        <v>F_19_13</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v>1</v>
      </c>
      <c r="AJ235" s="109">
        <f>IF(L235="Yes",AI235*Tab_Data_Flows[[#This Row],[Flow_Py]]*Tab_Data_Flows[[#This Row],[DM_'[%']]],"N.A.")</f>
        <v>124.87257792</v>
      </c>
      <c r="AK235" s="61" t="str">
        <f>Tab_Data_Flows[[#This Row],[UoM_Flow_Py]]</f>
        <v>Mg</v>
      </c>
    </row>
    <row r="236" spans="1:37" ht="15.75" thickBot="1" x14ac:dyDescent="0.3">
      <c r="A236" s="60">
        <f t="shared" si="4"/>
        <v>235</v>
      </c>
      <c r="B236" s="49" t="str">
        <f>_xlfn.XLOOKUP(C236,Tab_Def_Flows[Name(EN)],Tab_Def_Flows[Flow_ID],,0,)</f>
        <v>F_19_13</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v>1</v>
      </c>
      <c r="AJ236" s="109">
        <f>IF(L236="Yes",AI236*Tab_Data_Flows[[#This Row],[Flow_Py]]*Tab_Data_Flows[[#This Row],[DM_'[%']]],"N.A.")</f>
        <v>127.3700294784</v>
      </c>
      <c r="AK236" s="61" t="str">
        <f>Tab_Data_Flows[[#This Row],[UoM_Flow_Py]]</f>
        <v>Mg</v>
      </c>
    </row>
    <row r="237" spans="1:37" ht="15.75" thickBot="1" x14ac:dyDescent="0.3">
      <c r="A237" s="60">
        <f t="shared" si="4"/>
        <v>236</v>
      </c>
      <c r="B237" s="49" t="str">
        <f>_xlfn.XLOOKUP(C237,Tab_Def_Flows[Name(EN)],Tab_Def_Flows[Flow_ID],,0,)</f>
        <v>F_19_13</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v>1</v>
      </c>
      <c r="AJ237" s="109">
        <f>IF(L237="Yes",AI237*Tab_Data_Flows[[#This Row],[Flow_Py]]*Tab_Data_Flows[[#This Row],[DM_'[%']]],"N.A.")</f>
        <v>129.91743006796801</v>
      </c>
      <c r="AK237" s="61" t="str">
        <f>Tab_Data_Flows[[#This Row],[UoM_Flow_Py]]</f>
        <v>Mg</v>
      </c>
    </row>
    <row r="238" spans="1:37" ht="15.75" thickBot="1" x14ac:dyDescent="0.3">
      <c r="A238" s="60">
        <f t="shared" si="4"/>
        <v>237</v>
      </c>
      <c r="B238" s="49" t="str">
        <f>_xlfn.XLOOKUP(C238,Tab_Def_Flows[Name(EN)],Tab_Def_Flows[Flow_ID],,0,)</f>
        <v>F_19_13</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v>1</v>
      </c>
      <c r="AJ238" s="109">
        <f>IF(L238="Yes",AI238*Tab_Data_Flows[[#This Row],[Flow_Py]]*Tab_Data_Flows[[#This Row],[DM_'[%']]],"N.A.")</f>
        <v>132.51577866932735</v>
      </c>
      <c r="AK238" s="61" t="str">
        <f>Tab_Data_Flows[[#This Row],[UoM_Flow_Py]]</f>
        <v>Mg</v>
      </c>
    </row>
    <row r="239" spans="1:37" ht="15.75" thickBot="1" x14ac:dyDescent="0.3">
      <c r="A239" s="60">
        <f t="shared" si="4"/>
        <v>238</v>
      </c>
      <c r="B239" s="49" t="str">
        <f>_xlfn.XLOOKUP(C239,Tab_Def_Flows[Name(EN)],Tab_Def_Flows[Flow_ID],,0,)</f>
        <v>F_19_13</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v>1</v>
      </c>
      <c r="AJ239" s="109">
        <f>IF(L239="Yes",AI239*Tab_Data_Flows[[#This Row],[Flow_Py]]*Tab_Data_Flows[[#This Row],[DM_'[%']]],"N.A.")</f>
        <v>135.16609424271391</v>
      </c>
      <c r="AK239" s="61" t="str">
        <f>Tab_Data_Flows[[#This Row],[UoM_Flow_Py]]</f>
        <v>Mg</v>
      </c>
    </row>
    <row r="240" spans="1:37" ht="15.75" thickBot="1" x14ac:dyDescent="0.3">
      <c r="A240" s="60">
        <f t="shared" si="4"/>
        <v>239</v>
      </c>
      <c r="B240" s="49" t="str">
        <f>_xlfn.XLOOKUP(C240,Tab_Def_Flows[Name(EN)],Tab_Def_Flows[Flow_ID],,0,)</f>
        <v>F_19_13</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v>1</v>
      </c>
      <c r="AJ240" s="109">
        <f>IF(L240="Yes",AI240*Tab_Data_Flows[[#This Row],[Flow_Py]]*Tab_Data_Flows[[#This Row],[DM_'[%']]],"N.A.")</f>
        <v>137.86941612756817</v>
      </c>
      <c r="AK240" s="61" t="str">
        <f>Tab_Data_Flows[[#This Row],[UoM_Flow_Py]]</f>
        <v>Mg</v>
      </c>
    </row>
    <row r="241" spans="1:37" ht="15.75" thickBot="1" x14ac:dyDescent="0.3">
      <c r="A241" s="60">
        <f t="shared" si="4"/>
        <v>240</v>
      </c>
      <c r="B241" s="49" t="str">
        <f>_xlfn.XLOOKUP(C241,Tab_Def_Flows[Name(EN)],Tab_Def_Flows[Flow_ID],,0,)</f>
        <v>F_19_13</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v>1</v>
      </c>
      <c r="AJ241" s="109">
        <f>IF(L241="Yes",AI241*Tab_Data_Flows[[#This Row],[Flow_Py]]*Tab_Data_Flows[[#This Row],[DM_'[%']]],"N.A.")</f>
        <v>140.62680445011955</v>
      </c>
      <c r="AK241" s="61" t="str">
        <f>Tab_Data_Flows[[#This Row],[UoM_Flow_Py]]</f>
        <v>Mg</v>
      </c>
    </row>
    <row r="242" spans="1:37" ht="15.75" thickBot="1" x14ac:dyDescent="0.3">
      <c r="A242" s="60">
        <f t="shared" si="4"/>
        <v>241</v>
      </c>
      <c r="B242" s="49" t="str">
        <f>_xlfn.XLOOKUP(C242,Tab_Def_Flows[Name(EN)],Tab_Def_Flows[Flow_ID],,0,)</f>
        <v>F_19_13</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v>1</v>
      </c>
      <c r="AJ242" s="109">
        <f>IF(L242="Yes",AI242*Tab_Data_Flows[[#This Row],[Flow_Py]]*Tab_Data_Flows[[#This Row],[DM_'[%']]],"N.A.")</f>
        <v>143.43934053912196</v>
      </c>
      <c r="AK242" s="61" t="str">
        <f>Tab_Data_Flows[[#This Row],[UoM_Flow_Py]]</f>
        <v>Mg</v>
      </c>
    </row>
    <row r="243" spans="1:37" ht="15.75" thickBot="1" x14ac:dyDescent="0.3">
      <c r="A243" s="60">
        <f t="shared" si="4"/>
        <v>242</v>
      </c>
      <c r="B243" s="49" t="str">
        <f>_xlfn.XLOOKUP(C243,Tab_Def_Flows[Name(EN)],Tab_Def_Flows[Flow_ID],,0,)</f>
        <v>F_19_13</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v>1</v>
      </c>
      <c r="AJ243" s="109">
        <f>IF(L243="Yes",AI243*Tab_Data_Flows[[#This Row],[Flow_Py]]*Tab_Data_Flows[[#This Row],[DM_'[%']]],"N.A.")</f>
        <v>146.3081273499044</v>
      </c>
      <c r="AK243" s="61" t="str">
        <f>Tab_Data_Flows[[#This Row],[UoM_Flow_Py]]</f>
        <v>Mg</v>
      </c>
    </row>
    <row r="244" spans="1:37" ht="15.75" thickBot="1" x14ac:dyDescent="0.3">
      <c r="A244" s="60">
        <f t="shared" si="4"/>
        <v>243</v>
      </c>
      <c r="B244" s="49" t="str">
        <f>_xlfn.XLOOKUP(C244,Tab_Def_Flows[Name(EN)],Tab_Def_Flows[Flow_ID],,0,)</f>
        <v>F_19_13</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v>1</v>
      </c>
      <c r="AJ244" s="109">
        <f>IF(L244="Yes",AI244*Tab_Data_Flows[[#This Row],[Flow_Py]]*Tab_Data_Flows[[#This Row],[DM_'[%']]],"N.A.")</f>
        <v>149.23428989690248</v>
      </c>
      <c r="AK244" s="61" t="str">
        <f>Tab_Data_Flows[[#This Row],[UoM_Flow_Py]]</f>
        <v>Mg</v>
      </c>
    </row>
    <row r="245" spans="1:37" ht="15.75" thickBot="1" x14ac:dyDescent="0.3">
      <c r="A245" s="60">
        <f t="shared" si="4"/>
        <v>244</v>
      </c>
      <c r="B245" s="49" t="str">
        <f>_xlfn.XLOOKUP(C245,Tab_Def_Flows[Name(EN)],Tab_Def_Flows[Flow_ID],,0,)</f>
        <v>F_19_13</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v>1</v>
      </c>
      <c r="AJ245" s="109">
        <f>IF(L245="Yes",AI245*Tab_Data_Flows[[#This Row],[Flow_Py]]*Tab_Data_Flows[[#This Row],[DM_'[%']]],"N.A.")</f>
        <v>152.21897569484054</v>
      </c>
      <c r="AK245" s="61" t="str">
        <f>Tab_Data_Flows[[#This Row],[UoM_Flow_Py]]</f>
        <v>Mg</v>
      </c>
    </row>
    <row r="246" spans="1:37" ht="15.75" thickBot="1" x14ac:dyDescent="0.3">
      <c r="A246" s="60">
        <f t="shared" si="4"/>
        <v>245</v>
      </c>
      <c r="B246" s="49" t="str">
        <f>_xlfn.XLOOKUP(C246,Tab_Def_Flows[Name(EN)],Tab_Def_Flows[Flow_ID],,0,)</f>
        <v>F_19_13</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v>1</v>
      </c>
      <c r="AJ246" s="109">
        <f>IF(L246="Yes",AI246*Tab_Data_Flows[[#This Row],[Flow_Py]]*Tab_Data_Flows[[#This Row],[DM_'[%']]],"N.A.")</f>
        <v>155.26335520873735</v>
      </c>
      <c r="AK246" s="61" t="str">
        <f>Tab_Data_Flows[[#This Row],[UoM_Flow_Py]]</f>
        <v>Mg</v>
      </c>
    </row>
    <row r="247" spans="1:37" ht="15.75" thickBot="1" x14ac:dyDescent="0.3">
      <c r="A247" s="60">
        <f t="shared" si="4"/>
        <v>246</v>
      </c>
      <c r="B247" s="49" t="str">
        <f>_xlfn.XLOOKUP(C247,Tab_Def_Flows[Name(EN)],Tab_Def_Flows[Flow_ID],,0,)</f>
        <v>F_19_13</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v>1</v>
      </c>
      <c r="AJ247" s="109">
        <f>IF(L247="Yes",AI247*Tab_Data_Flows[[#This Row],[Flow_Py]]*Tab_Data_Flows[[#This Row],[DM_'[%']]],"N.A.")</f>
        <v>158.36862231291212</v>
      </c>
      <c r="AK247" s="61" t="str">
        <f>Tab_Data_Flows[[#This Row],[UoM_Flow_Py]]</f>
        <v>Mg</v>
      </c>
    </row>
    <row r="248" spans="1:37" ht="15.75" thickBot="1" x14ac:dyDescent="0.3">
      <c r="A248" s="60">
        <f t="shared" si="4"/>
        <v>247</v>
      </c>
      <c r="B248" s="49" t="str">
        <f>_xlfn.XLOOKUP(C248,Tab_Def_Flows[Name(EN)],Tab_Def_Flows[Flow_ID],,0,)</f>
        <v>F_19_13</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v>1</v>
      </c>
      <c r="AJ248" s="109">
        <f>IF(L248="Yes",AI248*Tab_Data_Flows[[#This Row],[Flow_Py]]*Tab_Data_Flows[[#This Row],[DM_'[%']]],"N.A.")</f>
        <v>161.53599475917034</v>
      </c>
      <c r="AK248" s="61" t="str">
        <f>Tab_Data_Flows[[#This Row],[UoM_Flow_Py]]</f>
        <v>Mg</v>
      </c>
    </row>
    <row r="249" spans="1:37" ht="15.75" thickBot="1" x14ac:dyDescent="0.3">
      <c r="A249" s="60">
        <f t="shared" si="4"/>
        <v>248</v>
      </c>
      <c r="B249" s="49" t="str">
        <f>_xlfn.XLOOKUP(C249,Tab_Def_Flows[Name(EN)],Tab_Def_Flows[Flow_ID],,0,)</f>
        <v>F_19_13</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v>1</v>
      </c>
      <c r="AJ249" s="109">
        <f>IF(L249="Yes",AI249*Tab_Data_Flows[[#This Row],[Flow_Py]]*Tab_Data_Flows[[#This Row],[DM_'[%']]],"N.A.")</f>
        <v>164.76671465435376</v>
      </c>
      <c r="AK249" s="61" t="str">
        <f>Tab_Data_Flows[[#This Row],[UoM_Flow_Py]]</f>
        <v>Mg</v>
      </c>
    </row>
    <row r="250" spans="1:37" ht="15.75" thickBot="1" x14ac:dyDescent="0.3">
      <c r="A250" s="60">
        <f t="shared" si="4"/>
        <v>249</v>
      </c>
      <c r="B250" s="49" t="str">
        <f>_xlfn.XLOOKUP(C250,Tab_Def_Flows[Name(EN)],Tab_Def_Flows[Flow_ID],,0,)</f>
        <v>F_19_13</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v>1</v>
      </c>
      <c r="AJ250" s="109">
        <f>IF(L250="Yes",AI250*Tab_Data_Flows[[#This Row],[Flow_Py]]*Tab_Data_Flows[[#This Row],[DM_'[%']]],"N.A.")</f>
        <v>168.06204894744084</v>
      </c>
      <c r="AK250" s="61" t="str">
        <f>Tab_Data_Flows[[#This Row],[UoM_Flow_Py]]</f>
        <v>Mg</v>
      </c>
    </row>
    <row r="251" spans="1:37" ht="15.75" thickBot="1" x14ac:dyDescent="0.3">
      <c r="A251" s="60">
        <f t="shared" si="4"/>
        <v>250</v>
      </c>
      <c r="B251" s="49" t="str">
        <f>_xlfn.XLOOKUP(C251,Tab_Def_Flows[Name(EN)],Tab_Def_Flows[Flow_ID],,0,)</f>
        <v>F_19_13</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v>1</v>
      </c>
      <c r="AJ251" s="109">
        <f>IF(L251="Yes",AI251*Tab_Data_Flows[[#This Row],[Flow_Py]]*Tab_Data_Flows[[#This Row],[DM_'[%']]],"N.A.")</f>
        <v>171.42328992638966</v>
      </c>
      <c r="AK251" s="61" t="str">
        <f>Tab_Data_Flows[[#This Row],[UoM_Flow_Py]]</f>
        <v>Mg</v>
      </c>
    </row>
    <row r="252" spans="1:37" ht="15.75" thickBot="1" x14ac:dyDescent="0.3">
      <c r="A252" s="60">
        <f t="shared" si="4"/>
        <v>251</v>
      </c>
      <c r="B252" s="49" t="str">
        <f>_xlfn.XLOOKUP(C252,Tab_Def_Flows[Name(EN)],Tab_Def_Flows[Flow_ID],,0,)</f>
        <v>F_19_13</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v>1</v>
      </c>
      <c r="AJ252" s="109">
        <f>IF(L252="Yes",AI252*Tab_Data_Flows[[#This Row],[Flow_Py]]*Tab_Data_Flows[[#This Row],[DM_'[%']]],"N.A.")</f>
        <v>174.85175572491747</v>
      </c>
      <c r="AK252" s="61" t="str">
        <f>Tab_Data_Flows[[#This Row],[UoM_Flow_Py]]</f>
        <v>Mg</v>
      </c>
    </row>
    <row r="253" spans="1:37" ht="15.75" thickBot="1" x14ac:dyDescent="0.3">
      <c r="A253" s="60">
        <f t="shared" si="4"/>
        <v>252</v>
      </c>
      <c r="B253" s="49" t="str">
        <f>_xlfn.XLOOKUP(C253,Tab_Def_Flows[Name(EN)],Tab_Def_Flows[Flow_ID],,0,)</f>
        <v>F_19_13</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v>1</v>
      </c>
      <c r="AJ253" s="109">
        <f>IF(L253="Yes",AI253*Tab_Data_Flows[[#This Row],[Flow_Py]]*Tab_Data_Flows[[#This Row],[DM_'[%']]],"N.A.")</f>
        <v>178.34879083941581</v>
      </c>
      <c r="AK253" s="61" t="str">
        <f>Tab_Data_Flows[[#This Row],[UoM_Flow_Py]]</f>
        <v>Mg</v>
      </c>
    </row>
    <row r="254" spans="1:37" ht="15.75" thickBot="1" x14ac:dyDescent="0.3">
      <c r="A254" s="60">
        <f t="shared" si="4"/>
        <v>253</v>
      </c>
      <c r="B254" s="49" t="str">
        <f>_xlfn.XLOOKUP(C254,Tab_Def_Flows[Name(EN)],Tab_Def_Flows[Flow_ID],,0,)</f>
        <v>F_19_13</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v>1</v>
      </c>
      <c r="AJ254" s="109">
        <f>IF(L254="Yes",AI254*Tab_Data_Flows[[#This Row],[Flow_Py]]*Tab_Data_Flows[[#This Row],[DM_'[%']]],"N.A.")</f>
        <v>181.91576665620414</v>
      </c>
      <c r="AK254" s="61" t="str">
        <f>Tab_Data_Flows[[#This Row],[UoM_Flow_Py]]</f>
        <v>Mg</v>
      </c>
    </row>
    <row r="255" spans="1:37" ht="15.75" thickBot="1" x14ac:dyDescent="0.3">
      <c r="A255" s="60">
        <f t="shared" si="4"/>
        <v>254</v>
      </c>
      <c r="B255" s="49" t="str">
        <f>_xlfn.XLOOKUP(C255,Tab_Def_Flows[Name(EN)],Tab_Def_Flows[Flow_ID],,0,)</f>
        <v>F_19_13</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v>1</v>
      </c>
      <c r="AJ255" s="109">
        <f>IF(L255="Yes",AI255*Tab_Data_Flows[[#This Row],[Flow_Py]]*Tab_Data_Flows[[#This Row],[DM_'[%']]],"N.A.")</f>
        <v>185.55408198932821</v>
      </c>
      <c r="AK255" s="61" t="str">
        <f>Tab_Data_Flows[[#This Row],[UoM_Flow_Py]]</f>
        <v>Mg</v>
      </c>
    </row>
    <row r="256" spans="1:37" ht="15.75" thickBot="1" x14ac:dyDescent="0.3">
      <c r="A256" s="60">
        <f t="shared" si="4"/>
        <v>255</v>
      </c>
      <c r="B256" s="49" t="str">
        <f>_xlfn.XLOOKUP(C256,Tab_Def_Flows[Name(EN)],Tab_Def_Flows[Flow_ID],,0,)</f>
        <v>F_19_13</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v>1</v>
      </c>
      <c r="AJ256" s="109">
        <f>IF(L256="Yes",AI256*Tab_Data_Flows[[#This Row],[Flow_Py]]*Tab_Data_Flows[[#This Row],[DM_'[%']]],"N.A.")</f>
        <v>189.2651636291148</v>
      </c>
      <c r="AK256" s="61" t="str">
        <f>Tab_Data_Flows[[#This Row],[UoM_Flow_Py]]</f>
        <v>Mg</v>
      </c>
    </row>
    <row r="257" spans="1:37" ht="15.75" thickBot="1" x14ac:dyDescent="0.3">
      <c r="A257" s="60">
        <f t="shared" si="4"/>
        <v>256</v>
      </c>
      <c r="B257" s="49" t="str">
        <f>_xlfn.XLOOKUP(C257,Tab_Def_Flows[Name(EN)],Tab_Def_Flows[Flow_ID],,0,)</f>
        <v>F_19_13</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v>1</v>
      </c>
      <c r="AJ257" s="109">
        <f>IF(L257="Yes",AI257*Tab_Data_Flows[[#This Row],[Flow_Py]]*Tab_Data_Flows[[#This Row],[DM_'[%']]],"N.A.")</f>
        <v>193.05046690169709</v>
      </c>
      <c r="AK257" s="61" t="str">
        <f>Tab_Data_Flows[[#This Row],[UoM_Flow_Py]]</f>
        <v>Mg</v>
      </c>
    </row>
    <row r="258" spans="1:37" ht="15.75" thickBot="1" x14ac:dyDescent="0.3">
      <c r="A258" s="60">
        <f t="shared" si="4"/>
        <v>257</v>
      </c>
      <c r="B258" s="49" t="str">
        <f>_xlfn.XLOOKUP(C258,Tab_Def_Flows[Name(EN)],Tab_Def_Flows[Flow_ID],,0,)</f>
        <v>F_19_13</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v>1</v>
      </c>
      <c r="AJ258" s="109">
        <f>IF(L258="Yes",AI258*Tab_Data_Flows[[#This Row],[Flow_Py]]*Tab_Data_Flows[[#This Row],[DM_'[%']]],"N.A.")</f>
        <v>196.91147623973106</v>
      </c>
      <c r="AK258" s="61" t="str">
        <f>Tab_Data_Flows[[#This Row],[UoM_Flow_Py]]</f>
        <v>Mg</v>
      </c>
    </row>
    <row r="259" spans="1:37" ht="15.75" thickBot="1" x14ac:dyDescent="0.3">
      <c r="A259" s="60">
        <f t="shared" ref="A259:A322" si="13">ROW()-1</f>
        <v>258</v>
      </c>
      <c r="B259" s="49" t="str">
        <f>_xlfn.XLOOKUP(C259,Tab_Def_Flows[Name(EN)],Tab_Def_Flows[Flow_ID],,0,)</f>
        <v>F_19_13</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v>1</v>
      </c>
      <c r="AJ259" s="109">
        <f>IF(L259="Yes",AI259*Tab_Data_Flows[[#This Row],[Flow_Py]]*Tab_Data_Flows[[#This Row],[DM_'[%']]],"N.A.")</f>
        <v>200.84970576452565</v>
      </c>
      <c r="AK259" s="61" t="str">
        <f>Tab_Data_Flows[[#This Row],[UoM_Flow_Py]]</f>
        <v>Mg</v>
      </c>
    </row>
    <row r="260" spans="1:37" ht="15.75" thickBot="1" x14ac:dyDescent="0.3">
      <c r="A260" s="60">
        <f t="shared" si="13"/>
        <v>259</v>
      </c>
      <c r="B260" s="49" t="str">
        <f>_xlfn.XLOOKUP(C260,Tab_Def_Flows[Name(EN)],Tab_Def_Flows[Flow_ID],,0,)</f>
        <v>F_19_13</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v>1</v>
      </c>
      <c r="AJ260" s="109">
        <f>IF(L260="Yes",AI260*Tab_Data_Flows[[#This Row],[Flow_Py]]*Tab_Data_Flows[[#This Row],[DM_'[%']]],"N.A.")</f>
        <v>204.8666998798162</v>
      </c>
      <c r="AK260" s="61" t="str">
        <f>Tab_Data_Flows[[#This Row],[UoM_Flow_Py]]</f>
        <v>Mg</v>
      </c>
    </row>
    <row r="261" spans="1:37" ht="15.75" thickBot="1" x14ac:dyDescent="0.3">
      <c r="A261" s="60">
        <f t="shared" si="13"/>
        <v>260</v>
      </c>
      <c r="B261" s="49" t="str">
        <f>_xlfn.XLOOKUP(C261,Tab_Def_Flows[Name(EN)],Tab_Def_Flows[Flow_ID],,0,)</f>
        <v>F_19_13</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v>1</v>
      </c>
      <c r="AJ261" s="109">
        <f>IF(L261="Yes",AI261*Tab_Data_Flows[[#This Row],[Flow_Py]]*Tab_Data_Flows[[#This Row],[DM_'[%']]],"N.A.")</f>
        <v>208.9640338774125</v>
      </c>
      <c r="AK261" s="61" t="str">
        <f>Tab_Data_Flows[[#This Row],[UoM_Flow_Py]]</f>
        <v>Mg</v>
      </c>
    </row>
    <row r="262" spans="1:37" ht="15.75" thickBot="1" x14ac:dyDescent="0.3">
      <c r="A262" s="60">
        <f t="shared" si="13"/>
        <v>261</v>
      </c>
      <c r="B262" s="49" t="str">
        <f>_xlfn.XLOOKUP(C262,Tab_Def_Flows[Name(EN)],Tab_Def_Flows[Flow_ID],,0,)</f>
        <v>F_19_13</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v>1</v>
      </c>
      <c r="AJ263" s="109">
        <f>IF(L263="Yes",AI263*Tab_Data_Flows[[#This Row],[Flow_Py]]*Tab_Data_Flows[[#This Row],[DM_'[%']]],"N.A.")</f>
        <v>1.1847882529</v>
      </c>
      <c r="AK263" s="61" t="str">
        <f>Tab_Data_Flows[[#This Row],[UoM_Flow_Py]]</f>
        <v>Mg</v>
      </c>
    </row>
    <row r="264" spans="1:37" ht="15.75" thickBot="1" x14ac:dyDescent="0.3">
      <c r="A264" s="60">
        <f t="shared" si="13"/>
        <v>263</v>
      </c>
      <c r="B264" s="49" t="str">
        <f>_xlfn.XLOOKUP(C264,Tab_Def_Flows[Name(EN)],Tab_Def_Flows[Flow_ID],,0,)</f>
        <v>F_19_04</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v>1</v>
      </c>
      <c r="AJ264" s="109">
        <f>IF(L264="Yes",AI264*Tab_Data_Flows[[#This Row],[Flow_Py]]*Tab_Data_Flows[[#This Row],[DM_'[%']]],"N.A.")</f>
        <v>1.2084840179580001</v>
      </c>
      <c r="AK264" s="61" t="str">
        <f>Tab_Data_Flows[[#This Row],[UoM_Flow_Py]]</f>
        <v>Mg</v>
      </c>
    </row>
    <row r="265" spans="1:37" ht="15.75" thickBot="1" x14ac:dyDescent="0.3">
      <c r="A265" s="60">
        <f t="shared" si="13"/>
        <v>264</v>
      </c>
      <c r="B265" s="49" t="str">
        <f>_xlfn.XLOOKUP(C265,Tab_Def_Flows[Name(EN)],Tab_Def_Flows[Flow_ID],,0,)</f>
        <v>F_19_04</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v>1</v>
      </c>
      <c r="AJ265" s="109">
        <f>IF(L265="Yes",AI265*Tab_Data_Flows[[#This Row],[Flow_Py]]*Tab_Data_Flows[[#This Row],[DM_'[%']]],"N.A.")</f>
        <v>1.2326536983171599</v>
      </c>
      <c r="AK265" s="61" t="str">
        <f>Tab_Data_Flows[[#This Row],[UoM_Flow_Py]]</f>
        <v>Mg</v>
      </c>
    </row>
    <row r="266" spans="1:37" ht="15.75" thickBot="1" x14ac:dyDescent="0.3">
      <c r="A266" s="60">
        <f t="shared" si="13"/>
        <v>265</v>
      </c>
      <c r="B266" s="49" t="str">
        <f>_xlfn.XLOOKUP(C266,Tab_Def_Flows[Name(EN)],Tab_Def_Flows[Flow_ID],,0,)</f>
        <v>F_19_04</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v>1</v>
      </c>
      <c r="AJ266" s="109">
        <f>IF(L266="Yes",AI266*Tab_Data_Flows[[#This Row],[Flow_Py]]*Tab_Data_Flows[[#This Row],[DM_'[%']]],"N.A.")</f>
        <v>1.2573067722835032</v>
      </c>
      <c r="AK266" s="61" t="str">
        <f>Tab_Data_Flows[[#This Row],[UoM_Flow_Py]]</f>
        <v>Mg</v>
      </c>
    </row>
    <row r="267" spans="1:37" ht="15.75" thickBot="1" x14ac:dyDescent="0.3">
      <c r="A267" s="60">
        <f t="shared" si="13"/>
        <v>266</v>
      </c>
      <c r="B267" s="49" t="str">
        <f>_xlfn.XLOOKUP(C267,Tab_Def_Flows[Name(EN)],Tab_Def_Flows[Flow_ID],,0,)</f>
        <v>F_19_04</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v>1</v>
      </c>
      <c r="AJ267" s="109">
        <f>IF(L267="Yes",AI267*Tab_Data_Flows[[#This Row],[Flow_Py]]*Tab_Data_Flows[[#This Row],[DM_'[%']]],"N.A.")</f>
        <v>1.2824529077291733</v>
      </c>
      <c r="AK267" s="61" t="str">
        <f>Tab_Data_Flows[[#This Row],[UoM_Flow_Py]]</f>
        <v>Mg</v>
      </c>
    </row>
    <row r="268" spans="1:37" ht="15.75" thickBot="1" x14ac:dyDescent="0.3">
      <c r="A268" s="60">
        <f t="shared" si="13"/>
        <v>267</v>
      </c>
      <c r="B268" s="49" t="str">
        <f>_xlfn.XLOOKUP(C268,Tab_Def_Flows[Name(EN)],Tab_Def_Flows[Flow_ID],,0,)</f>
        <v>F_19_04</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v>1</v>
      </c>
      <c r="AJ268" s="109">
        <f>IF(L268="Yes",AI268*Tab_Data_Flows[[#This Row],[Flow_Py]]*Tab_Data_Flows[[#This Row],[DM_'[%']]],"N.A.")</f>
        <v>1.3081019658837569</v>
      </c>
      <c r="AK268" s="61" t="str">
        <f>Tab_Data_Flows[[#This Row],[UoM_Flow_Py]]</f>
        <v>Mg</v>
      </c>
    </row>
    <row r="269" spans="1:37" ht="15.75" thickBot="1" x14ac:dyDescent="0.3">
      <c r="A269" s="60">
        <f t="shared" si="13"/>
        <v>268</v>
      </c>
      <c r="B269" s="49" t="str">
        <f>_xlfn.XLOOKUP(C269,Tab_Def_Flows[Name(EN)],Tab_Def_Flows[Flow_ID],,0,)</f>
        <v>F_19_04</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v>1</v>
      </c>
      <c r="AJ269" s="109">
        <f>IF(L269="Yes",AI269*Tab_Data_Flows[[#This Row],[Flow_Py]]*Tab_Data_Flows[[#This Row],[DM_'[%']]],"N.A.")</f>
        <v>1.3342640052014321</v>
      </c>
      <c r="AK269" s="61" t="str">
        <f>Tab_Data_Flows[[#This Row],[UoM_Flow_Py]]</f>
        <v>Mg</v>
      </c>
    </row>
    <row r="270" spans="1:37" ht="15.75" thickBot="1" x14ac:dyDescent="0.3">
      <c r="A270" s="60">
        <f t="shared" si="13"/>
        <v>269</v>
      </c>
      <c r="B270" s="49" t="str">
        <f>_xlfn.XLOOKUP(C270,Tab_Def_Flows[Name(EN)],Tab_Def_Flows[Flow_ID],,0,)</f>
        <v>F_19_04</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v>1</v>
      </c>
      <c r="AJ270" s="109">
        <f>IF(L270="Yes",AI270*Tab_Data_Flows[[#This Row],[Flow_Py]]*Tab_Data_Flows[[#This Row],[DM_'[%']]],"N.A.")</f>
        <v>1.3609492853054608</v>
      </c>
      <c r="AK270" s="61" t="str">
        <f>Tab_Data_Flows[[#This Row],[UoM_Flow_Py]]</f>
        <v>Mg</v>
      </c>
    </row>
    <row r="271" spans="1:37" ht="15.75" thickBot="1" x14ac:dyDescent="0.3">
      <c r="A271" s="60">
        <f t="shared" si="13"/>
        <v>270</v>
      </c>
      <c r="B271" s="49" t="str">
        <f>_xlfn.XLOOKUP(C271,Tab_Def_Flows[Name(EN)],Tab_Def_Flows[Flow_ID],,0,)</f>
        <v>F_19_04</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v>1</v>
      </c>
      <c r="AJ271" s="109">
        <f>IF(L271="Yes",AI271*Tab_Data_Flows[[#This Row],[Flow_Py]]*Tab_Data_Flows[[#This Row],[DM_'[%']]],"N.A.")</f>
        <v>1.3881682710115699</v>
      </c>
      <c r="AK271" s="61" t="str">
        <f>Tab_Data_Flows[[#This Row],[UoM_Flow_Py]]</f>
        <v>Mg</v>
      </c>
    </row>
    <row r="272" spans="1:37" ht="15.75" thickBot="1" x14ac:dyDescent="0.3">
      <c r="A272" s="60">
        <f t="shared" si="13"/>
        <v>271</v>
      </c>
      <c r="B272" s="49" t="str">
        <f>_xlfn.XLOOKUP(C272,Tab_Def_Flows[Name(EN)],Tab_Def_Flows[Flow_ID],,0,)</f>
        <v>F_19_04</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v>1</v>
      </c>
      <c r="AJ272" s="109">
        <f>IF(L272="Yes",AI272*Tab_Data_Flows[[#This Row],[Flow_Py]]*Tab_Data_Flows[[#This Row],[DM_'[%']]],"N.A.")</f>
        <v>1.4159316364318013</v>
      </c>
      <c r="AK272" s="61" t="str">
        <f>Tab_Data_Flows[[#This Row],[UoM_Flow_Py]]</f>
        <v>Mg</v>
      </c>
    </row>
    <row r="273" spans="1:37" ht="15.75" thickBot="1" x14ac:dyDescent="0.3">
      <c r="A273" s="60">
        <f t="shared" si="13"/>
        <v>272</v>
      </c>
      <c r="B273" s="49" t="str">
        <f>_xlfn.XLOOKUP(C273,Tab_Def_Flows[Name(EN)],Tab_Def_Flows[Flow_ID],,0,)</f>
        <v>F_19_04</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v>1</v>
      </c>
      <c r="AJ273" s="109">
        <f>IF(L273="Yes",AI273*Tab_Data_Flows[[#This Row],[Flow_Py]]*Tab_Data_Flows[[#This Row],[DM_'[%']]],"N.A.")</f>
        <v>1.4442502691604373</v>
      </c>
      <c r="AK273" s="61" t="str">
        <f>Tab_Data_Flows[[#This Row],[UoM_Flow_Py]]</f>
        <v>Mg</v>
      </c>
    </row>
    <row r="274" spans="1:37" ht="15.75" thickBot="1" x14ac:dyDescent="0.3">
      <c r="A274" s="60">
        <f t="shared" si="13"/>
        <v>273</v>
      </c>
      <c r="B274" s="49" t="str">
        <f>_xlfn.XLOOKUP(C274,Tab_Def_Flows[Name(EN)],Tab_Def_Flows[Flow_ID],,0,)</f>
        <v>F_19_04</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v>1</v>
      </c>
      <c r="AJ274" s="109">
        <f>IF(L274="Yes",AI274*Tab_Data_Flows[[#This Row],[Flow_Py]]*Tab_Data_Flows[[#This Row],[DM_'[%']]],"N.A.")</f>
        <v>1.4731352745436461</v>
      </c>
      <c r="AK274" s="61" t="str">
        <f>Tab_Data_Flows[[#This Row],[UoM_Flow_Py]]</f>
        <v>Mg</v>
      </c>
    </row>
    <row r="275" spans="1:37" ht="15.75" thickBot="1" x14ac:dyDescent="0.3">
      <c r="A275" s="60">
        <f t="shared" si="13"/>
        <v>274</v>
      </c>
      <c r="B275" s="49" t="str">
        <f>_xlfn.XLOOKUP(C275,Tab_Def_Flows[Name(EN)],Tab_Def_Flows[Flow_ID],,0,)</f>
        <v>F_19_04</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v>1</v>
      </c>
      <c r="AJ275" s="109">
        <f>IF(L275="Yes",AI275*Tab_Data_Flows[[#This Row],[Flow_Py]]*Tab_Data_Flows[[#This Row],[DM_'[%']]],"N.A.")</f>
        <v>1.5025979800345193</v>
      </c>
      <c r="AK275" s="61" t="str">
        <f>Tab_Data_Flows[[#This Row],[UoM_Flow_Py]]</f>
        <v>Mg</v>
      </c>
    </row>
    <row r="276" spans="1:37" ht="15.75" thickBot="1" x14ac:dyDescent="0.3">
      <c r="A276" s="60">
        <f t="shared" si="13"/>
        <v>275</v>
      </c>
      <c r="B276" s="49" t="str">
        <f>_xlfn.XLOOKUP(C276,Tab_Def_Flows[Name(EN)],Tab_Def_Flows[Flow_ID],,0,)</f>
        <v>F_19_04</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v>1</v>
      </c>
      <c r="AJ276" s="109">
        <f>IF(L276="Yes",AI276*Tab_Data_Flows[[#This Row],[Flow_Py]]*Tab_Data_Flows[[#This Row],[DM_'[%']]],"N.A.")</f>
        <v>1.5326499396352093</v>
      </c>
      <c r="AK276" s="61" t="str">
        <f>Tab_Data_Flows[[#This Row],[UoM_Flow_Py]]</f>
        <v>Mg</v>
      </c>
    </row>
    <row r="277" spans="1:37" ht="15.75" thickBot="1" x14ac:dyDescent="0.3">
      <c r="A277" s="60">
        <f t="shared" si="13"/>
        <v>276</v>
      </c>
      <c r="B277" s="49" t="str">
        <f>_xlfn.XLOOKUP(C277,Tab_Def_Flows[Name(EN)],Tab_Def_Flows[Flow_ID],,0,)</f>
        <v>F_19_04</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v>1</v>
      </c>
      <c r="AJ277" s="109">
        <f>IF(L277="Yes",AI277*Tab_Data_Flows[[#This Row],[Flow_Py]]*Tab_Data_Flows[[#This Row],[DM_'[%']]],"N.A.")</f>
        <v>1.5633029384279138</v>
      </c>
      <c r="AK277" s="61" t="str">
        <f>Tab_Data_Flows[[#This Row],[UoM_Flow_Py]]</f>
        <v>Mg</v>
      </c>
    </row>
    <row r="278" spans="1:37" ht="15.75" thickBot="1" x14ac:dyDescent="0.3">
      <c r="A278" s="60">
        <f t="shared" si="13"/>
        <v>277</v>
      </c>
      <c r="B278" s="49" t="str">
        <f>_xlfn.XLOOKUP(C278,Tab_Def_Flows[Name(EN)],Tab_Def_Flows[Flow_ID],,0,)</f>
        <v>F_19_04</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v>1</v>
      </c>
      <c r="AJ278" s="109">
        <f>IF(L278="Yes",AI278*Tab_Data_Flows[[#This Row],[Flow_Py]]*Tab_Data_Flows[[#This Row],[DM_'[%']]],"N.A.")</f>
        <v>1.594568997196472</v>
      </c>
      <c r="AK278" s="61" t="str">
        <f>Tab_Data_Flows[[#This Row],[UoM_Flow_Py]]</f>
        <v>Mg</v>
      </c>
    </row>
    <row r="279" spans="1:37" ht="15.75" thickBot="1" x14ac:dyDescent="0.3">
      <c r="A279" s="60">
        <f t="shared" si="13"/>
        <v>278</v>
      </c>
      <c r="B279" s="49" t="str">
        <f>_xlfn.XLOOKUP(C279,Tab_Def_Flows[Name(EN)],Tab_Def_Flows[Flow_ID],,0,)</f>
        <v>F_19_04</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v>1</v>
      </c>
      <c r="AJ279" s="109">
        <f>IF(L279="Yes",AI279*Tab_Data_Flows[[#This Row],[Flow_Py]]*Tab_Data_Flows[[#This Row],[DM_'[%']]],"N.A.")</f>
        <v>1.6264603771404014</v>
      </c>
      <c r="AK279" s="61" t="str">
        <f>Tab_Data_Flows[[#This Row],[UoM_Flow_Py]]</f>
        <v>Mg</v>
      </c>
    </row>
    <row r="280" spans="1:37" ht="15.75" thickBot="1" x14ac:dyDescent="0.3">
      <c r="A280" s="60">
        <f t="shared" si="13"/>
        <v>279</v>
      </c>
      <c r="B280" s="49" t="str">
        <f>_xlfn.XLOOKUP(C280,Tab_Def_Flows[Name(EN)],Tab_Def_Flows[Flow_ID],,0,)</f>
        <v>F_19_04</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v>1</v>
      </c>
      <c r="AJ280" s="109">
        <f>IF(L280="Yes",AI280*Tab_Data_Flows[[#This Row],[Flow_Py]]*Tab_Data_Flows[[#This Row],[DM_'[%']]],"N.A.")</f>
        <v>1.6589895846832095</v>
      </c>
      <c r="AK280" s="61" t="str">
        <f>Tab_Data_Flows[[#This Row],[UoM_Flow_Py]]</f>
        <v>Mg</v>
      </c>
    </row>
    <row r="281" spans="1:37" ht="15.75" thickBot="1" x14ac:dyDescent="0.3">
      <c r="A281" s="60">
        <f t="shared" si="13"/>
        <v>280</v>
      </c>
      <c r="B281" s="49" t="str">
        <f>_xlfn.XLOOKUP(C281,Tab_Def_Flows[Name(EN)],Tab_Def_Flows[Flow_ID],,0,)</f>
        <v>F_19_04</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v>1</v>
      </c>
      <c r="AJ281" s="109">
        <f>IF(L281="Yes",AI281*Tab_Data_Flows[[#This Row],[Flow_Py]]*Tab_Data_Flows[[#This Row],[DM_'[%']]],"N.A.")</f>
        <v>1.6921693763768737</v>
      </c>
      <c r="AK281" s="61" t="str">
        <f>Tab_Data_Flows[[#This Row],[UoM_Flow_Py]]</f>
        <v>Mg</v>
      </c>
    </row>
    <row r="282" spans="1:37" ht="15.75" thickBot="1" x14ac:dyDescent="0.3">
      <c r="A282" s="60">
        <f t="shared" si="13"/>
        <v>281</v>
      </c>
      <c r="B282" s="49" t="str">
        <f>_xlfn.XLOOKUP(C282,Tab_Def_Flows[Name(EN)],Tab_Def_Flows[Flow_ID],,0,)</f>
        <v>F_19_04</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v>1</v>
      </c>
      <c r="AJ282" s="109">
        <f>IF(L282="Yes",AI282*Tab_Data_Flows[[#This Row],[Flow_Py]]*Tab_Data_Flows[[#This Row],[DM_'[%']]],"N.A.")</f>
        <v>1.7260127639044112</v>
      </c>
      <c r="AK282" s="61" t="str">
        <f>Tab_Data_Flows[[#This Row],[UoM_Flow_Py]]</f>
        <v>Mg</v>
      </c>
    </row>
    <row r="283" spans="1:37" ht="15.75" thickBot="1" x14ac:dyDescent="0.3">
      <c r="A283" s="60">
        <f t="shared" si="13"/>
        <v>282</v>
      </c>
      <c r="B283" s="49" t="str">
        <f>_xlfn.XLOOKUP(C283,Tab_Def_Flows[Name(EN)],Tab_Def_Flows[Flow_ID],,0,)</f>
        <v>F_19_04</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v>1</v>
      </c>
      <c r="AJ283" s="109">
        <f>IF(L283="Yes",AI283*Tab_Data_Flows[[#This Row],[Flow_Py]]*Tab_Data_Flows[[#This Row],[DM_'[%']]],"N.A.")</f>
        <v>1.7605330191824995</v>
      </c>
      <c r="AK283" s="61" t="str">
        <f>Tab_Data_Flows[[#This Row],[UoM_Flow_Py]]</f>
        <v>Mg</v>
      </c>
    </row>
    <row r="284" spans="1:37" ht="15.75" thickBot="1" x14ac:dyDescent="0.3">
      <c r="A284" s="60">
        <f t="shared" si="13"/>
        <v>283</v>
      </c>
      <c r="B284" s="49" t="str">
        <f>_xlfn.XLOOKUP(C284,Tab_Def_Flows[Name(EN)],Tab_Def_Flows[Flow_ID],,0,)</f>
        <v>F_19_04</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v>1</v>
      </c>
      <c r="AJ284" s="109">
        <f>IF(L284="Yes",AI284*Tab_Data_Flows[[#This Row],[Flow_Py]]*Tab_Data_Flows[[#This Row],[DM_'[%']]],"N.A.")</f>
        <v>1.7957436795661494</v>
      </c>
      <c r="AK284" s="61" t="str">
        <f>Tab_Data_Flows[[#This Row],[UoM_Flow_Py]]</f>
        <v>Mg</v>
      </c>
    </row>
    <row r="285" spans="1:37" ht="15.75" thickBot="1" x14ac:dyDescent="0.3">
      <c r="A285" s="60">
        <f t="shared" si="13"/>
        <v>284</v>
      </c>
      <c r="B285" s="49" t="str">
        <f>_xlfn.XLOOKUP(C285,Tab_Def_Flows[Name(EN)],Tab_Def_Flows[Flow_ID],,0,)</f>
        <v>F_19_04</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v>1</v>
      </c>
      <c r="AJ285" s="109">
        <f>IF(L285="Yes",AI285*Tab_Data_Flows[[#This Row],[Flow_Py]]*Tab_Data_Flows[[#This Row],[DM_'[%']]],"N.A.")</f>
        <v>1.8316585531574725</v>
      </c>
      <c r="AK285" s="61" t="str">
        <f>Tab_Data_Flows[[#This Row],[UoM_Flow_Py]]</f>
        <v>Mg</v>
      </c>
    </row>
    <row r="286" spans="1:37" ht="15.75" thickBot="1" x14ac:dyDescent="0.3">
      <c r="A286" s="60">
        <f t="shared" si="13"/>
        <v>285</v>
      </c>
      <c r="B286" s="49" t="str">
        <f>_xlfn.XLOOKUP(C286,Tab_Def_Flows[Name(EN)],Tab_Def_Flows[Flow_ID],,0,)</f>
        <v>F_19_04</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v>1</v>
      </c>
      <c r="AJ286" s="109">
        <f>IF(L286="Yes",AI286*Tab_Data_Flows[[#This Row],[Flow_Py]]*Tab_Data_Flows[[#This Row],[DM_'[%']]],"N.A.")</f>
        <v>1.8682917242206221</v>
      </c>
      <c r="AK286" s="61" t="str">
        <f>Tab_Data_Flows[[#This Row],[UoM_Flow_Py]]</f>
        <v>Mg</v>
      </c>
    </row>
    <row r="287" spans="1:37" ht="15.75" thickBot="1" x14ac:dyDescent="0.3">
      <c r="A287" s="60">
        <f t="shared" si="13"/>
        <v>286</v>
      </c>
      <c r="B287" s="49" t="str">
        <f>_xlfn.XLOOKUP(C287,Tab_Def_Flows[Name(EN)],Tab_Def_Flows[Flow_ID],,0,)</f>
        <v>F_19_04</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v>1</v>
      </c>
      <c r="AJ287" s="109">
        <f>IF(L287="Yes",AI287*Tab_Data_Flows[[#This Row],[Flow_Py]]*Tab_Data_Flows[[#This Row],[DM_'[%']]],"N.A.")</f>
        <v>1.9056575587050346</v>
      </c>
      <c r="AK287" s="61" t="str">
        <f>Tab_Data_Flows[[#This Row],[UoM_Flow_Py]]</f>
        <v>Mg</v>
      </c>
    </row>
    <row r="288" spans="1:37" ht="15.75" thickBot="1" x14ac:dyDescent="0.3">
      <c r="A288" s="60">
        <f t="shared" si="13"/>
        <v>287</v>
      </c>
      <c r="B288" s="49" t="str">
        <f>_xlfn.XLOOKUP(C288,Tab_Def_Flows[Name(EN)],Tab_Def_Flows[Flow_ID],,0,)</f>
        <v>F_19_04</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v>1</v>
      </c>
      <c r="AJ288" s="109">
        <f>IF(L288="Yes",AI288*Tab_Data_Flows[[#This Row],[Flow_Py]]*Tab_Data_Flows[[#This Row],[DM_'[%']]],"N.A.")</f>
        <v>1.943770709879135</v>
      </c>
      <c r="AK288" s="61" t="str">
        <f>Tab_Data_Flows[[#This Row],[UoM_Flow_Py]]</f>
        <v>Mg</v>
      </c>
    </row>
    <row r="289" spans="1:37" ht="15.75" thickBot="1" x14ac:dyDescent="0.3">
      <c r="A289" s="60">
        <f t="shared" si="13"/>
        <v>288</v>
      </c>
      <c r="B289" s="49" t="str">
        <f>_xlfn.XLOOKUP(C289,Tab_Def_Flows[Name(EN)],Tab_Def_Flows[Flow_ID],,0,)</f>
        <v>F_19_04</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v>1</v>
      </c>
      <c r="AJ289" s="109">
        <f>IF(L289="Yes",AI289*Tab_Data_Flows[[#This Row],[Flow_Py]]*Tab_Data_Flows[[#This Row],[DM_'[%']]],"N.A.")</f>
        <v>1.9826461240767179</v>
      </c>
      <c r="AK289" s="61" t="str">
        <f>Tab_Data_Flows[[#This Row],[UoM_Flow_Py]]</f>
        <v>Mg</v>
      </c>
    </row>
    <row r="290" spans="1:37" ht="15.75" thickBot="1" x14ac:dyDescent="0.3">
      <c r="A290" s="60">
        <f t="shared" si="13"/>
        <v>289</v>
      </c>
      <c r="B290" s="49" t="str">
        <f>_xlfn.XLOOKUP(C290,Tab_Def_Flows[Name(EN)],Tab_Def_Flows[Flow_ID],,0,)</f>
        <v>F_19_04</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v>1</v>
      </c>
      <c r="AJ290" s="109">
        <f>IF(L290="Yes",AI290*Tab_Data_Flows[[#This Row],[Flow_Py]]*Tab_Data_Flows[[#This Row],[DM_'[%']]],"N.A.")</f>
        <v>2.0222990465582522</v>
      </c>
      <c r="AK290" s="61" t="str">
        <f>Tab_Data_Flows[[#This Row],[UoM_Flow_Py]]</f>
        <v>Mg</v>
      </c>
    </row>
    <row r="291" spans="1:37" ht="15.75" thickBot="1" x14ac:dyDescent="0.3">
      <c r="A291" s="60">
        <f t="shared" si="13"/>
        <v>290</v>
      </c>
      <c r="B291" s="49" t="str">
        <f>_xlfn.XLOOKUP(C291,Tab_Def_Flows[Name(EN)],Tab_Def_Flows[Flow_ID],,0,)</f>
        <v>F_19_04</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0.79964564126145632</v>
      </c>
      <c r="P292" s="51"/>
      <c r="Q292" s="51"/>
      <c r="R292" s="51"/>
      <c r="S292" s="69"/>
      <c r="T292" s="51"/>
      <c r="U292" s="51"/>
      <c r="V292" s="51"/>
      <c r="W292" s="51"/>
      <c r="X292" s="51" t="s">
        <v>71</v>
      </c>
      <c r="Y292" s="106"/>
      <c r="Z292" s="51"/>
      <c r="AA292" s="86">
        <f t="shared" si="15"/>
        <v>0.79964564126145632</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0.79964564126145632</v>
      </c>
      <c r="AH292" s="61" t="str">
        <f>Tab_Data_Flows[[#This Row],[UoM_Flow_Py]]</f>
        <v>Mg</v>
      </c>
      <c r="AI292" s="111">
        <v>1</v>
      </c>
      <c r="AJ292" s="109">
        <f>IF(L292="Yes",AI292*Tab_Data_Flows[[#This Row],[Flow_Py]]*Tab_Data_Flows[[#This Row],[DM_'[%']]],"N.A.")</f>
        <v>0.79964564126145632</v>
      </c>
      <c r="AK292" s="61" t="str">
        <f>Tab_Data_Flows[[#This Row],[UoM_Flow_Py]]</f>
        <v>Mg</v>
      </c>
    </row>
    <row r="293" spans="1:37" ht="15.75" thickBot="1" x14ac:dyDescent="0.3">
      <c r="A293" s="60">
        <f t="shared" si="13"/>
        <v>292</v>
      </c>
      <c r="B293" s="49" t="str">
        <f>_xlfn.XLOOKUP(C293,Tab_Def_Flows[Name(EN)],Tab_Def_Flows[Flow_ID],,0,)</f>
        <v>F_19_11</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v>1</v>
      </c>
      <c r="AJ293" s="109">
        <f>IF(L293="Yes",AI293*Tab_Data_Flows[[#This Row],[Flow_Py]]*Tab_Data_Flows[[#This Row],[DM_'[%']]],"N.A.")</f>
        <v>0.81563855408668551</v>
      </c>
      <c r="AK293" s="61" t="str">
        <f>Tab_Data_Flows[[#This Row],[UoM_Flow_Py]]</f>
        <v>Mg</v>
      </c>
    </row>
    <row r="294" spans="1:37" ht="15.75" thickBot="1" x14ac:dyDescent="0.3">
      <c r="A294" s="60">
        <f t="shared" si="13"/>
        <v>293</v>
      </c>
      <c r="B294" s="49" t="str">
        <f>_xlfn.XLOOKUP(C294,Tab_Def_Flows[Name(EN)],Tab_Def_Flows[Flow_ID],,0,)</f>
        <v>F_19_11</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v>1</v>
      </c>
      <c r="AJ294" s="109">
        <f>IF(L294="Yes",AI294*Tab_Data_Flows[[#This Row],[Flow_Py]]*Tab_Data_Flows[[#This Row],[DM_'[%']]],"N.A.")</f>
        <v>0.8319513251684193</v>
      </c>
      <c r="AK294" s="61" t="str">
        <f>Tab_Data_Flows[[#This Row],[UoM_Flow_Py]]</f>
        <v>Mg</v>
      </c>
    </row>
    <row r="295" spans="1:37" ht="15.75" thickBot="1" x14ac:dyDescent="0.3">
      <c r="A295" s="60">
        <f t="shared" si="13"/>
        <v>294</v>
      </c>
      <c r="B295" s="49" t="str">
        <f>_xlfn.XLOOKUP(C295,Tab_Def_Flows[Name(EN)],Tab_Def_Flows[Flow_ID],,0,)</f>
        <v>F_19_11</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v>1</v>
      </c>
      <c r="AJ295" s="109">
        <f>IF(L295="Yes",AI295*Tab_Data_Flows[[#This Row],[Flow_Py]]*Tab_Data_Flows[[#This Row],[DM_'[%']]],"N.A.")</f>
        <v>0.84859035167178776</v>
      </c>
      <c r="AK295" s="61" t="str">
        <f>Tab_Data_Flows[[#This Row],[UoM_Flow_Py]]</f>
        <v>Mg</v>
      </c>
    </row>
    <row r="296" spans="1:37" ht="15.75" thickBot="1" x14ac:dyDescent="0.3">
      <c r="A296" s="60">
        <f t="shared" si="13"/>
        <v>295</v>
      </c>
      <c r="B296" s="49" t="str">
        <f>_xlfn.XLOOKUP(C296,Tab_Def_Flows[Name(EN)],Tab_Def_Flows[Flow_ID],,0,)</f>
        <v>F_19_11</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v>1</v>
      </c>
      <c r="AJ296" s="109">
        <f>IF(L296="Yes",AI296*Tab_Data_Flows[[#This Row],[Flow_Py]]*Tab_Data_Flows[[#This Row],[DM_'[%']]],"N.A.")</f>
        <v>0.86556215870522335</v>
      </c>
      <c r="AK296" s="61" t="str">
        <f>Tab_Data_Flows[[#This Row],[UoM_Flow_Py]]</f>
        <v>Mg</v>
      </c>
    </row>
    <row r="297" spans="1:37" ht="15.75" thickBot="1" x14ac:dyDescent="0.3">
      <c r="A297" s="60">
        <f t="shared" si="13"/>
        <v>296</v>
      </c>
      <c r="B297" s="49" t="str">
        <f>_xlfn.XLOOKUP(C297,Tab_Def_Flows[Name(EN)],Tab_Def_Flows[Flow_ID],,0,)</f>
        <v>F_19_11</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v>1</v>
      </c>
      <c r="AJ297" s="109">
        <f>IF(L297="Yes",AI297*Tab_Data_Flows[[#This Row],[Flow_Py]]*Tab_Data_Flows[[#This Row],[DM_'[%']]],"N.A.")</f>
        <v>0.88287340187932795</v>
      </c>
      <c r="AK297" s="61" t="str">
        <f>Tab_Data_Flows[[#This Row],[UoM_Flow_Py]]</f>
        <v>Mg</v>
      </c>
    </row>
    <row r="298" spans="1:37" ht="15.75" thickBot="1" x14ac:dyDescent="0.3">
      <c r="A298" s="60">
        <f t="shared" si="13"/>
        <v>297</v>
      </c>
      <c r="B298" s="49" t="str">
        <f>_xlfn.XLOOKUP(C298,Tab_Def_Flows[Name(EN)],Tab_Def_Flows[Flow_ID],,0,)</f>
        <v>F_19_11</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v>1</v>
      </c>
      <c r="AJ298" s="109">
        <f>IF(L298="Yes",AI298*Tab_Data_Flows[[#This Row],[Flow_Py]]*Tab_Data_Flows[[#This Row],[DM_'[%']]],"N.A.")</f>
        <v>0.90053086991691467</v>
      </c>
      <c r="AK298" s="61" t="str">
        <f>Tab_Data_Flows[[#This Row],[UoM_Flow_Py]]</f>
        <v>Mg</v>
      </c>
    </row>
    <row r="299" spans="1:37" ht="15.75" thickBot="1" x14ac:dyDescent="0.3">
      <c r="A299" s="60">
        <f t="shared" si="13"/>
        <v>298</v>
      </c>
      <c r="B299" s="49" t="str">
        <f>_xlfn.XLOOKUP(C299,Tab_Def_Flows[Name(EN)],Tab_Def_Flows[Flow_ID],,0,)</f>
        <v>F_19_11</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v>1</v>
      </c>
      <c r="AJ299" s="109">
        <f>IF(L299="Yes",AI299*Tab_Data_Flows[[#This Row],[Flow_Py]]*Tab_Data_Flows[[#This Row],[DM_'[%']]],"N.A.")</f>
        <v>0.91854148731525287</v>
      </c>
      <c r="AK299" s="61" t="str">
        <f>Tab_Data_Flows[[#This Row],[UoM_Flow_Py]]</f>
        <v>Mg</v>
      </c>
    </row>
    <row r="300" spans="1:37" ht="15.75" thickBot="1" x14ac:dyDescent="0.3">
      <c r="A300" s="60">
        <f t="shared" si="13"/>
        <v>299</v>
      </c>
      <c r="B300" s="49" t="str">
        <f>_xlfn.XLOOKUP(C300,Tab_Def_Flows[Name(EN)],Tab_Def_Flows[Flow_ID],,0,)</f>
        <v>F_19_11</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v>1</v>
      </c>
      <c r="AJ300" s="109">
        <f>IF(L300="Yes",AI300*Tab_Data_Flows[[#This Row],[Flow_Py]]*Tab_Data_Flows[[#This Row],[DM_'[%']]],"N.A.")</f>
        <v>0.93691231706155798</v>
      </c>
      <c r="AK300" s="61" t="str">
        <f>Tab_Data_Flows[[#This Row],[UoM_Flow_Py]]</f>
        <v>Mg</v>
      </c>
    </row>
    <row r="301" spans="1:37" ht="15.75" thickBot="1" x14ac:dyDescent="0.3">
      <c r="A301" s="60">
        <f t="shared" si="13"/>
        <v>300</v>
      </c>
      <c r="B301" s="49" t="str">
        <f>_xlfn.XLOOKUP(C301,Tab_Def_Flows[Name(EN)],Tab_Def_Flows[Flow_ID],,0,)</f>
        <v>F_19_11</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v>1</v>
      </c>
      <c r="AJ301" s="109">
        <f>IF(L301="Yes",AI301*Tab_Data_Flows[[#This Row],[Flow_Py]]*Tab_Data_Flows[[#This Row],[DM_'[%']]],"N.A.")</f>
        <v>0.95565056340278909</v>
      </c>
      <c r="AK301" s="61" t="str">
        <f>Tab_Data_Flows[[#This Row],[UoM_Flow_Py]]</f>
        <v>Mg</v>
      </c>
    </row>
    <row r="302" spans="1:37" ht="15.75" thickBot="1" x14ac:dyDescent="0.3">
      <c r="A302" s="60">
        <f t="shared" si="13"/>
        <v>301</v>
      </c>
      <c r="B302" s="49" t="str">
        <f>_xlfn.XLOOKUP(C302,Tab_Def_Flows[Name(EN)],Tab_Def_Flows[Flow_ID],,0,)</f>
        <v>F_19_11</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v>1</v>
      </c>
      <c r="AJ302" s="109">
        <f>IF(L302="Yes",AI302*Tab_Data_Flows[[#This Row],[Flow_Py]]*Tab_Data_Flows[[#This Row],[DM_'[%']]],"N.A.")</f>
        <v>0.97476357467084485</v>
      </c>
      <c r="AK302" s="61" t="str">
        <f>Tab_Data_Flows[[#This Row],[UoM_Flow_Py]]</f>
        <v>Mg</v>
      </c>
    </row>
    <row r="303" spans="1:37" ht="15.75" thickBot="1" x14ac:dyDescent="0.3">
      <c r="A303" s="60">
        <f t="shared" si="13"/>
        <v>302</v>
      </c>
      <c r="B303" s="49" t="str">
        <f>_xlfn.XLOOKUP(C303,Tab_Def_Flows[Name(EN)],Tab_Def_Flows[Flow_ID],,0,)</f>
        <v>F_19_11</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v>1</v>
      </c>
      <c r="AJ303" s="109">
        <f>IF(L303="Yes",AI303*Tab_Data_Flows[[#This Row],[Flow_Py]]*Tab_Data_Flows[[#This Row],[DM_'[%']]],"N.A.")</f>
        <v>0.99425884616426174</v>
      </c>
      <c r="AK303" s="61" t="str">
        <f>Tab_Data_Flows[[#This Row],[UoM_Flow_Py]]</f>
        <v>Mg</v>
      </c>
    </row>
    <row r="304" spans="1:37" ht="15.75" thickBot="1" x14ac:dyDescent="0.3">
      <c r="A304" s="60">
        <f t="shared" si="13"/>
        <v>303</v>
      </c>
      <c r="B304" s="49" t="str">
        <f>_xlfn.XLOOKUP(C304,Tab_Def_Flows[Name(EN)],Tab_Def_Flows[Flow_ID],,0,)</f>
        <v>F_19_11</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v>1</v>
      </c>
      <c r="AJ304" s="109">
        <f>IF(L304="Yes",AI304*Tab_Data_Flows[[#This Row],[Flow_Py]]*Tab_Data_Flows[[#This Row],[DM_'[%']]],"N.A.")</f>
        <v>1.0141440230875469</v>
      </c>
      <c r="AK304" s="61" t="str">
        <f>Tab_Data_Flows[[#This Row],[UoM_Flow_Py]]</f>
        <v>Mg</v>
      </c>
    </row>
    <row r="305" spans="1:37" ht="15.75" thickBot="1" x14ac:dyDescent="0.3">
      <c r="A305" s="60">
        <f t="shared" si="13"/>
        <v>304</v>
      </c>
      <c r="B305" s="49" t="str">
        <f>_xlfn.XLOOKUP(C305,Tab_Def_Flows[Name(EN)],Tab_Def_Flows[Flow_ID],,0,)</f>
        <v>F_19_11</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v>1</v>
      </c>
      <c r="AJ305" s="109">
        <f>IF(L305="Yes",AI305*Tab_Data_Flows[[#This Row],[Flow_Py]]*Tab_Data_Flows[[#This Row],[DM_'[%']]],"N.A.")</f>
        <v>1.0344269035492979</v>
      </c>
      <c r="AK305" s="61" t="str">
        <f>Tab_Data_Flows[[#This Row],[UoM_Flow_Py]]</f>
        <v>Mg</v>
      </c>
    </row>
    <row r="306" spans="1:37" ht="15.75" thickBot="1" x14ac:dyDescent="0.3">
      <c r="A306" s="60">
        <f t="shared" si="13"/>
        <v>305</v>
      </c>
      <c r="B306" s="49" t="str">
        <f>_xlfn.XLOOKUP(C306,Tab_Def_Flows[Name(EN)],Tab_Def_Flows[Flow_ID],,0,)</f>
        <v>F_19_11</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v>1</v>
      </c>
      <c r="AJ306" s="109">
        <f>IF(L306="Yes",AI306*Tab_Data_Flows[[#This Row],[Flow_Py]]*Tab_Data_Flows[[#This Row],[DM_'[%']]],"N.A.")</f>
        <v>1.0551154416202839</v>
      </c>
      <c r="AK306" s="61" t="str">
        <f>Tab_Data_Flows[[#This Row],[UoM_Flow_Py]]</f>
        <v>Mg</v>
      </c>
    </row>
    <row r="307" spans="1:37" ht="15.75" thickBot="1" x14ac:dyDescent="0.3">
      <c r="A307" s="60">
        <f t="shared" si="13"/>
        <v>306</v>
      </c>
      <c r="B307" s="49" t="str">
        <f>_xlfn.XLOOKUP(C307,Tab_Def_Flows[Name(EN)],Tab_Def_Flows[Flow_ID],,0,)</f>
        <v>F_19_11</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v>1</v>
      </c>
      <c r="AJ307" s="109">
        <f>IF(L307="Yes",AI307*Tab_Data_Flows[[#This Row],[Flow_Py]]*Tab_Data_Flows[[#This Row],[DM_'[%']]],"N.A.")</f>
        <v>1.0762177504526897</v>
      </c>
      <c r="AK307" s="61" t="str">
        <f>Tab_Data_Flows[[#This Row],[UoM_Flow_Py]]</f>
        <v>Mg</v>
      </c>
    </row>
    <row r="308" spans="1:37" ht="15.75" thickBot="1" x14ac:dyDescent="0.3">
      <c r="A308" s="60">
        <f t="shared" si="13"/>
        <v>307</v>
      </c>
      <c r="B308" s="49" t="str">
        <f>_xlfn.XLOOKUP(C308,Tab_Def_Flows[Name(EN)],Tab_Def_Flows[Flow_ID],,0,)</f>
        <v>F_19_11</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v>1</v>
      </c>
      <c r="AJ308" s="109">
        <f>IF(L308="Yes",AI308*Tab_Data_Flows[[#This Row],[Flow_Py]]*Tab_Data_Flows[[#This Row],[DM_'[%']]],"N.A.")</f>
        <v>1.0977421054617436</v>
      </c>
      <c r="AK308" s="61" t="str">
        <f>Tab_Data_Flows[[#This Row],[UoM_Flow_Py]]</f>
        <v>Mg</v>
      </c>
    </row>
    <row r="309" spans="1:37" ht="15.75" thickBot="1" x14ac:dyDescent="0.3">
      <c r="A309" s="60">
        <f t="shared" si="13"/>
        <v>308</v>
      </c>
      <c r="B309" s="49" t="str">
        <f>_xlfn.XLOOKUP(C309,Tab_Def_Flows[Name(EN)],Tab_Def_Flows[Flow_ID],,0,)</f>
        <v>F_19_11</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v>1</v>
      </c>
      <c r="AJ309" s="109">
        <f>IF(L309="Yes",AI309*Tab_Data_Flows[[#This Row],[Flow_Py]]*Tab_Data_Flows[[#This Row],[DM_'[%']]],"N.A.")</f>
        <v>1.1196969475709784</v>
      </c>
      <c r="AK309" s="61" t="str">
        <f>Tab_Data_Flows[[#This Row],[UoM_Flow_Py]]</f>
        <v>Mg</v>
      </c>
    </row>
    <row r="310" spans="1:37" ht="15.75" thickBot="1" x14ac:dyDescent="0.3">
      <c r="A310" s="60">
        <f t="shared" si="13"/>
        <v>309</v>
      </c>
      <c r="B310" s="49" t="str">
        <f>_xlfn.XLOOKUP(C310,Tab_Def_Flows[Name(EN)],Tab_Def_Flows[Flow_ID],,0,)</f>
        <v>F_19_11</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v>1</v>
      </c>
      <c r="AJ310" s="109">
        <f>IF(L310="Yes",AI310*Tab_Data_Flows[[#This Row],[Flow_Py]]*Tab_Data_Flows[[#This Row],[DM_'[%']]],"N.A.")</f>
        <v>1.142090886522398</v>
      </c>
      <c r="AK310" s="61" t="str">
        <f>Tab_Data_Flows[[#This Row],[UoM_Flow_Py]]</f>
        <v>Mg</v>
      </c>
    </row>
    <row r="311" spans="1:37" ht="15.75" thickBot="1" x14ac:dyDescent="0.3">
      <c r="A311" s="60">
        <f t="shared" si="13"/>
        <v>310</v>
      </c>
      <c r="B311" s="49" t="str">
        <f>_xlfn.XLOOKUP(C311,Tab_Def_Flows[Name(EN)],Tab_Def_Flows[Flow_ID],,0,)</f>
        <v>F_19_11</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v>1</v>
      </c>
      <c r="AJ311" s="109">
        <f>IF(L311="Yes",AI311*Tab_Data_Flows[[#This Row],[Flow_Py]]*Tab_Data_Flows[[#This Row],[DM_'[%']]],"N.A.")</f>
        <v>1.1649327042528459</v>
      </c>
      <c r="AK311" s="61" t="str">
        <f>Tab_Data_Flows[[#This Row],[UoM_Flow_Py]]</f>
        <v>Mg</v>
      </c>
    </row>
    <row r="312" spans="1:37" ht="15.75" thickBot="1" x14ac:dyDescent="0.3">
      <c r="A312" s="60">
        <f t="shared" si="13"/>
        <v>311</v>
      </c>
      <c r="B312" s="49" t="str">
        <f>_xlfn.XLOOKUP(C312,Tab_Def_Flows[Name(EN)],Tab_Def_Flows[Flow_ID],,0,)</f>
        <v>F_19_11</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v>1</v>
      </c>
      <c r="AJ312" s="109">
        <f>IF(L312="Yes",AI312*Tab_Data_Flows[[#This Row],[Flow_Py]]*Tab_Data_Flows[[#This Row],[DM_'[%']]],"N.A.")</f>
        <v>1.1882313583379029</v>
      </c>
      <c r="AK312" s="61" t="str">
        <f>Tab_Data_Flows[[#This Row],[UoM_Flow_Py]]</f>
        <v>Mg</v>
      </c>
    </row>
    <row r="313" spans="1:37" ht="15.75" thickBot="1" x14ac:dyDescent="0.3">
      <c r="A313" s="60">
        <f t="shared" si="13"/>
        <v>312</v>
      </c>
      <c r="B313" s="49" t="str">
        <f>_xlfn.XLOOKUP(C313,Tab_Def_Flows[Name(EN)],Tab_Def_Flows[Flow_ID],,0,)</f>
        <v>F_19_11</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v>1</v>
      </c>
      <c r="AJ313" s="109">
        <f>IF(L313="Yes",AI313*Tab_Data_Flows[[#This Row],[Flow_Py]]*Tab_Data_Flows[[#This Row],[DM_'[%']]],"N.A.")</f>
        <v>1.2119959855046609</v>
      </c>
      <c r="AK313" s="61" t="str">
        <f>Tab_Data_Flows[[#This Row],[UoM_Flow_Py]]</f>
        <v>Mg</v>
      </c>
    </row>
    <row r="314" spans="1:37" ht="15.75" thickBot="1" x14ac:dyDescent="0.3">
      <c r="A314" s="60">
        <f t="shared" si="13"/>
        <v>313</v>
      </c>
      <c r="B314" s="49" t="str">
        <f>_xlfn.XLOOKUP(C314,Tab_Def_Flows[Name(EN)],Tab_Def_Flows[Flow_ID],,0,)</f>
        <v>F_19_11</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v>1</v>
      </c>
      <c r="AJ314" s="109">
        <f>IF(L314="Yes",AI314*Tab_Data_Flows[[#This Row],[Flow_Py]]*Tab_Data_Flows[[#This Row],[DM_'[%']]],"N.A.")</f>
        <v>1.2362359052147542</v>
      </c>
      <c r="AK314" s="61" t="str">
        <f>Tab_Data_Flows[[#This Row],[UoM_Flow_Py]]</f>
        <v>Mg</v>
      </c>
    </row>
    <row r="315" spans="1:37" ht="15.75" thickBot="1" x14ac:dyDescent="0.3">
      <c r="A315" s="60">
        <f t="shared" si="13"/>
        <v>314</v>
      </c>
      <c r="B315" s="49" t="str">
        <f>_xlfn.XLOOKUP(C315,Tab_Def_Flows[Name(EN)],Tab_Def_Flows[Flow_ID],,0,)</f>
        <v>F_19_11</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v>1</v>
      </c>
      <c r="AJ315" s="109">
        <f>IF(L315="Yes",AI315*Tab_Data_Flows[[#This Row],[Flow_Py]]*Tab_Data_Flows[[#This Row],[DM_'[%']]],"N.A.")</f>
        <v>1.2609606233190491</v>
      </c>
      <c r="AK315" s="61" t="str">
        <f>Tab_Data_Flows[[#This Row],[UoM_Flow_Py]]</f>
        <v>Mg</v>
      </c>
    </row>
    <row r="316" spans="1:37" ht="15.75" thickBot="1" x14ac:dyDescent="0.3">
      <c r="A316" s="60">
        <f t="shared" si="13"/>
        <v>315</v>
      </c>
      <c r="B316" s="49" t="str">
        <f>_xlfn.XLOOKUP(C316,Tab_Def_Flows[Name(EN)],Tab_Def_Flows[Flow_ID],,0,)</f>
        <v>F_19_11</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v>1</v>
      </c>
      <c r="AJ316" s="109">
        <f>IF(L316="Yes",AI316*Tab_Data_Flows[[#This Row],[Flow_Py]]*Tab_Data_Flows[[#This Row],[DM_'[%']]],"N.A.")</f>
        <v>1.2861798357854304</v>
      </c>
      <c r="AK316" s="61" t="str">
        <f>Tab_Data_Flows[[#This Row],[UoM_Flow_Py]]</f>
        <v>Mg</v>
      </c>
    </row>
    <row r="317" spans="1:37" ht="15.75" thickBot="1" x14ac:dyDescent="0.3">
      <c r="A317" s="60">
        <f t="shared" si="13"/>
        <v>316</v>
      </c>
      <c r="B317" s="49" t="str">
        <f>_xlfn.XLOOKUP(C317,Tab_Def_Flows[Name(EN)],Tab_Def_Flows[Flow_ID],,0,)</f>
        <v>F_19_11</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v>1</v>
      </c>
      <c r="AJ317" s="109">
        <f>IF(L317="Yes",AI317*Tab_Data_Flows[[#This Row],[Flow_Py]]*Tab_Data_Flows[[#This Row],[DM_'[%']]],"N.A.")</f>
        <v>1.3119034325011387</v>
      </c>
      <c r="AK317" s="61" t="str">
        <f>Tab_Data_Flows[[#This Row],[UoM_Flow_Py]]</f>
        <v>Mg</v>
      </c>
    </row>
    <row r="318" spans="1:37" ht="15.75" thickBot="1" x14ac:dyDescent="0.3">
      <c r="A318" s="60">
        <f t="shared" si="13"/>
        <v>317</v>
      </c>
      <c r="B318" s="49" t="str">
        <f>_xlfn.XLOOKUP(C318,Tab_Def_Flows[Name(EN)],Tab_Def_Flows[Flow_ID],,0,)</f>
        <v>F_19_11</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v>1</v>
      </c>
      <c r="AJ318" s="109">
        <f>IF(L318="Yes",AI318*Tab_Data_Flows[[#This Row],[Flow_Py]]*Tab_Data_Flows[[#This Row],[DM_'[%']]],"N.A.")</f>
        <v>1.3381415011511617</v>
      </c>
      <c r="AK318" s="61" t="str">
        <f>Tab_Data_Flows[[#This Row],[UoM_Flow_Py]]</f>
        <v>Mg</v>
      </c>
    </row>
    <row r="319" spans="1:37" ht="15.75" thickBot="1" x14ac:dyDescent="0.3">
      <c r="A319" s="60">
        <f t="shared" si="13"/>
        <v>318</v>
      </c>
      <c r="B319" s="49" t="str">
        <f>_xlfn.XLOOKUP(C319,Tab_Def_Flows[Name(EN)],Tab_Def_Flows[Flow_ID],,0,)</f>
        <v>F_19_11</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v>1</v>
      </c>
      <c r="AJ319" s="109">
        <f>IF(L319="Yes",AI319*Tab_Data_Flows[[#This Row],[Flow_Py]]*Tab_Data_Flows[[#This Row],[DM_'[%']]],"N.A.")</f>
        <v>1.3649043311741849</v>
      </c>
      <c r="AK319" s="61" t="str">
        <f>Tab_Data_Flows[[#This Row],[UoM_Flow_Py]]</f>
        <v>Mg</v>
      </c>
    </row>
    <row r="320" spans="1:37" ht="15.75" thickBot="1" x14ac:dyDescent="0.3">
      <c r="A320" s="60">
        <f t="shared" si="13"/>
        <v>319</v>
      </c>
      <c r="B320" s="49" t="str">
        <f>_xlfn.XLOOKUP(C320,Tab_Def_Flows[Name(EN)],Tab_Def_Flows[Flow_ID],,0,)</f>
        <v>F_19_11</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AG1" activePane="topRight" state="frozen"/>
      <selection pane="topRight" activeCell="D15" sqref="D15"/>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68</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557</v>
      </c>
      <c r="X7" s="49" t="str">
        <f>_xlfn.XLOOKUP(W7,Tab_Def_Flows[Name(EN)],Tab_Def_Flows[Flow_ID],,0,)</f>
        <v>F_05_19</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71</v>
      </c>
      <c r="L13" s="96"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381</v>
      </c>
      <c r="K17" s="51" t="s">
        <v>68</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555</v>
      </c>
      <c r="X17" s="52" t="str">
        <f>_xlfn.XLOOKUP(W17,Tab_Def_Flows[Name(EN)],Tab_Def_Flows[Flow_ID],,0,)</f>
        <v>F_15_19</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68</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F_16_19</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555</v>
      </c>
      <c r="R21" s="52" t="str">
        <f>_xlfn.XLOOKUP(Q21,Tab_Def_Flows[Name(EN)],Tab_Def_Flows[Flow_ID],,0,)</f>
        <v>F_15_19</v>
      </c>
      <c r="S21" s="51" t="s">
        <v>556</v>
      </c>
      <c r="T21" s="52" t="str">
        <f>_xlfn.XLOOKUP(S21,Tab_Def_Flows[Name(EN)],Tab_Def_Flows[Flow_ID],,0,)</f>
        <v>F_16_19</v>
      </c>
      <c r="U21" s="51" t="s">
        <v>231</v>
      </c>
      <c r="V21" s="53" t="e">
        <f>_xlfn.XLOOKUP(U21,Tab_Def_Flows[Name(EN)],Tab_Def_Flows[Flow_ID],,0,)</f>
        <v>#N/A</v>
      </c>
      <c r="W21" s="51" t="s">
        <v>552</v>
      </c>
      <c r="X21" s="52" t="str">
        <f>_xlfn.XLOOKUP(W21,Tab_Def_Flows[Name(EN)],Tab_Def_Flows[Flow_ID],,0,)</f>
        <v>F_19_13</v>
      </c>
      <c r="Y21" s="51" t="s">
        <v>553</v>
      </c>
      <c r="Z21" s="52" t="str">
        <f>_xlfn.XLOOKUP(Y21,Tab_Def_Flows[Name(EN)],Tab_Def_Flows[Flow_ID],,0,)</f>
        <v>F_19_04</v>
      </c>
      <c r="AA21" s="51" t="s">
        <v>554</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AU1" activePane="topRight" state="frozen"/>
      <selection pane="topRight" activeCell="AV12" sqref="AV12"/>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F_20_01</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0.11700000000000001</v>
      </c>
      <c r="AF7" s="126" t="str">
        <f>_xlfn.XLOOKUP($E7,Tab_Def_Processes[Name(EN)],Tab_Def_Processes[Output_Flow_O_2],,0,)</f>
        <v>Flue Gas-Pyrolysis</v>
      </c>
      <c r="AG7" s="126" t="str">
        <f>_xlfn.XLOOKUP($E7,Tab_Def_Processes[Name(EN)],Tab_Def_Processes[Flow_ID_O_2],,0,)</f>
        <v>F_09_19</v>
      </c>
      <c r="AH7" s="120">
        <v>0.27400000000000002</v>
      </c>
      <c r="AI7" s="126" t="str">
        <f>_xlfn.XLOOKUP($E7,Tab_Def_Processes[Name(EN)],Tab_Def_Processes[Output_Flow_O_3],,0,)</f>
        <v>Water-Pyrolysis</v>
      </c>
      <c r="AJ7" s="126" t="str">
        <f>_xlfn.XLOOKUP($E7,Tab_Def_Processes[Name(EN)],Tab_Def_Processes[Flow_ID_O_3],,0,)</f>
        <v>F_09_14</v>
      </c>
      <c r="AK7" s="120">
        <v>0.60899999999999999</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0">
        <v>3.9150000000000004E-2</v>
      </c>
      <c r="AF8" s="126" t="str">
        <f>_xlfn.XLOOKUP($E8,Tab_Def_Processes[Name(EN)],Tab_Def_Processes[Output_Flow_O_2],,0,)</f>
        <v>Flue Gas-Incineration</v>
      </c>
      <c r="AG8" s="126" t="str">
        <f>_xlfn.XLOOKUP($E8,Tab_Def_Processes[Name(EN)],Tab_Def_Processes[Flow_ID_O_2],,0,)</f>
        <v>F_10_19</v>
      </c>
      <c r="AH8" s="120">
        <v>0.35235</v>
      </c>
      <c r="AI8" s="126" t="str">
        <f>_xlfn.XLOOKUP($E8,Tab_Def_Processes[Name(EN)],Tab_Def_Processes[Output_Flow_O_3],,0,)</f>
        <v>Water-Incineration</v>
      </c>
      <c r="AJ8" s="126" t="str">
        <f>_xlfn.XLOOKUP($E8,Tab_Def_Processes[Name(EN)],Tab_Def_Processes[Flow_ID_O_3],,0,)</f>
        <v>F_10_14</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1</v>
      </c>
      <c r="AF10" s="126" t="str">
        <f>_xlfn.XLOOKUP($E10,Tab_Def_Processes[Name(EN)],Tab_Def_Processes[Output_Flow_O_2],,0,)</f>
        <v>N.A.</v>
      </c>
      <c r="AG10" s="126" t="e">
        <f>_xlfn.XLOOKUP($E10,Tab_Def_Processes[Name(EN)],Tab_Def_Processes[Flow_ID_O_2],,0,)</f>
        <v>#N/A</v>
      </c>
      <c r="AH10" s="120"/>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1</v>
      </c>
      <c r="AF11" s="126" t="str">
        <f>_xlfn.XLOOKUP($E11,Tab_Def_Processes[Name(EN)],Tab_Def_Processes[Output_Flow_O_2],,0,)</f>
        <v>N.A.</v>
      </c>
      <c r="AG11" s="126" t="e">
        <f>_xlfn.XLOOKUP($E11,Tab_Def_Processes[Name(EN)],Tab_Def_Processes[Flow_ID_O_2],,0,)</f>
        <v>#N/A</v>
      </c>
      <c r="AH11" s="120"/>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512</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Yes</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1</v>
      </c>
      <c r="AF12" s="126" t="str">
        <f>_xlfn.XLOOKUP($E12,Tab_Def_Processes[Name(EN)],Tab_Def_Processes[Output_Flow_O_2],,0,)</f>
        <v>N.A.</v>
      </c>
      <c r="AG12" s="126" t="e">
        <f>_xlfn.XLOOKUP($E12,Tab_Def_Processes[Name(EN)],Tab_Def_Processes[Flow_ID_O_2],,0,)</f>
        <v>#N/A</v>
      </c>
      <c r="AH12" s="120"/>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0"/>
      <c r="AF13" s="126" t="e">
        <f>_xlfn.XLOOKUP($E13,Tab_Def_Processes[Name(EN)],Tab_Def_Processes[Output_Flow_O_2],,0,)</f>
        <v>#N/A</v>
      </c>
      <c r="AG13" s="126" t="e">
        <f>_xlfn.XLOOKUP($E13,Tab_Def_Processes[Name(EN)],Tab_Def_Processes[Flow_ID_O_2],,0,)</f>
        <v>#N/A</v>
      </c>
      <c r="AH13" s="120"/>
      <c r="AI13" s="126" t="e">
        <f>_xlfn.XLOOKUP($E13,Tab_Def_Processes[Name(EN)],Tab_Def_Processes[Output_Flow_O_3],,0,)</f>
        <v>#N/A</v>
      </c>
      <c r="AJ13" s="126" t="e">
        <f>_xlfn.XLOOKUP($E13,Tab_Def_Processes[Name(EN)],Tab_Def_Processes[Flow_ID_O_3],,0,)</f>
        <v>#N/A</v>
      </c>
      <c r="AK13" s="120"/>
      <c r="AL13" s="126" t="e">
        <f>_xlfn.XLOOKUP($E13,Tab_Def_Processes[Name(EN)],Tab_Def_Processes[Output_Flow_O_4],,0,)</f>
        <v>#N/A</v>
      </c>
      <c r="AM13" s="126" t="e">
        <f>_xlfn.XLOOKUP($E13,Tab_Def_Processes[Name(EN)],Tab_Def_Processes[Flow_ID_O_4],,0,)</f>
        <v>#N/A</v>
      </c>
      <c r="AN13" s="120"/>
      <c r="AO13" s="126" t="e">
        <f>_xlfn.XLOOKUP($E13,Tab_Def_Processes[Name(EN)],Tab_Def_Processes[Output_Flow_O_5],,0,)</f>
        <v>#N/A</v>
      </c>
      <c r="AP13" s="126" t="e">
        <f>_xlfn.XLOOKUP($E13,Tab_Def_Processes[Name(EN)],Tab_Def_Processes[Flow_ID_O_5],,0,)</f>
        <v>#N/A</v>
      </c>
      <c r="AQ13" s="120"/>
      <c r="AR13" s="126" t="e">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0"/>
      <c r="AF14" s="126" t="e">
        <f>_xlfn.XLOOKUP($E14,Tab_Def_Processes[Name(EN)],Tab_Def_Processes[Output_Flow_O_2],,0,)</f>
        <v>#N/A</v>
      </c>
      <c r="AG14" s="126" t="e">
        <f>_xlfn.XLOOKUP($E14,Tab_Def_Processes[Name(EN)],Tab_Def_Processes[Flow_ID_O_2],,0,)</f>
        <v>#N/A</v>
      </c>
      <c r="AH14" s="120"/>
      <c r="AI14" s="126" t="e">
        <f>_xlfn.XLOOKUP($E14,Tab_Def_Processes[Name(EN)],Tab_Def_Processes[Output_Flow_O_3],,0,)</f>
        <v>#N/A</v>
      </c>
      <c r="AJ14" s="126" t="e">
        <f>_xlfn.XLOOKUP($E14,Tab_Def_Processes[Name(EN)],Tab_Def_Processes[Flow_ID_O_3],,0,)</f>
        <v>#N/A</v>
      </c>
      <c r="AK14" s="120"/>
      <c r="AL14" s="126" t="e">
        <f>_xlfn.XLOOKUP($E14,Tab_Def_Processes[Name(EN)],Tab_Def_Processes[Output_Flow_O_4],,0,)</f>
        <v>#N/A</v>
      </c>
      <c r="AM14" s="126" t="e">
        <f>_xlfn.XLOOKUP($E14,Tab_Def_Processes[Name(EN)],Tab_Def_Processes[Flow_ID_O_4],,0,)</f>
        <v>#N/A</v>
      </c>
      <c r="AN14" s="120"/>
      <c r="AO14" s="126" t="e">
        <f>_xlfn.XLOOKUP($E14,Tab_Def_Processes[Name(EN)],Tab_Def_Processes[Output_Flow_O_5],,0,)</f>
        <v>#N/A</v>
      </c>
      <c r="AP14" s="126" t="e">
        <f>_xlfn.XLOOKUP($E14,Tab_Def_Processes[Name(EN)],Tab_Def_Processes[Flow_ID_O_5],,0,)</f>
        <v>#N/A</v>
      </c>
      <c r="AQ14" s="120"/>
      <c r="AR14" s="126" t="e">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0"/>
      <c r="AF15" s="126" t="e">
        <f>_xlfn.XLOOKUP($E15,Tab_Def_Processes[Name(EN)],Tab_Def_Processes[Output_Flow_O_2],,0,)</f>
        <v>#N/A</v>
      </c>
      <c r="AG15" s="126" t="e">
        <f>_xlfn.XLOOKUP($E15,Tab_Def_Processes[Name(EN)],Tab_Def_Processes[Flow_ID_O_2],,0,)</f>
        <v>#N/A</v>
      </c>
      <c r="AH15" s="120"/>
      <c r="AI15" s="126" t="e">
        <f>_xlfn.XLOOKUP($E15,Tab_Def_Processes[Name(EN)],Tab_Def_Processes[Output_Flow_O_3],,0,)</f>
        <v>#N/A</v>
      </c>
      <c r="AJ15" s="126" t="e">
        <f>_xlfn.XLOOKUP($E15,Tab_Def_Processes[Name(EN)],Tab_Def_Processes[Flow_ID_O_3],,0,)</f>
        <v>#N/A</v>
      </c>
      <c r="AK15" s="120"/>
      <c r="AL15" s="126" t="e">
        <f>_xlfn.XLOOKUP($E15,Tab_Def_Processes[Name(EN)],Tab_Def_Processes[Output_Flow_O_4],,0,)</f>
        <v>#N/A</v>
      </c>
      <c r="AM15" s="126" t="e">
        <f>_xlfn.XLOOKUP($E15,Tab_Def_Processes[Name(EN)],Tab_Def_Processes[Flow_ID_O_4],,0,)</f>
        <v>#N/A</v>
      </c>
      <c r="AN15" s="120"/>
      <c r="AO15" s="126" t="e">
        <f>_xlfn.XLOOKUP($E15,Tab_Def_Processes[Name(EN)],Tab_Def_Processes[Output_Flow_O_5],,0,)</f>
        <v>#N/A</v>
      </c>
      <c r="AP15" s="126" t="e">
        <f>_xlfn.XLOOKUP($E15,Tab_Def_Processes[Name(EN)],Tab_Def_Processes[Flow_ID_O_5],,0,)</f>
        <v>#N/A</v>
      </c>
      <c r="AQ15" s="120"/>
      <c r="AR15" s="126" t="e">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0"/>
      <c r="AF16" s="126" t="e">
        <f>_xlfn.XLOOKUP($E16,Tab_Def_Processes[Name(EN)],Tab_Def_Processes[Output_Flow_O_2],,0,)</f>
        <v>#N/A</v>
      </c>
      <c r="AG16" s="126" t="e">
        <f>_xlfn.XLOOKUP($E16,Tab_Def_Processes[Name(EN)],Tab_Def_Processes[Flow_ID_O_2],,0,)</f>
        <v>#N/A</v>
      </c>
      <c r="AH16" s="120"/>
      <c r="AI16" s="126" t="e">
        <f>_xlfn.XLOOKUP($E16,Tab_Def_Processes[Name(EN)],Tab_Def_Processes[Output_Flow_O_3],,0,)</f>
        <v>#N/A</v>
      </c>
      <c r="AJ16" s="126" t="e">
        <f>_xlfn.XLOOKUP($E16,Tab_Def_Processes[Name(EN)],Tab_Def_Processes[Flow_ID_O_3],,0,)</f>
        <v>#N/A</v>
      </c>
      <c r="AK16" s="120"/>
      <c r="AL16" s="126" t="e">
        <f>_xlfn.XLOOKUP($E16,Tab_Def_Processes[Name(EN)],Tab_Def_Processes[Output_Flow_O_4],,0,)</f>
        <v>#N/A</v>
      </c>
      <c r="AM16" s="126" t="e">
        <f>_xlfn.XLOOKUP($E16,Tab_Def_Processes[Name(EN)],Tab_Def_Processes[Flow_ID_O_4],,0,)</f>
        <v>#N/A</v>
      </c>
      <c r="AN16" s="120"/>
      <c r="AO16" s="126" t="e">
        <f>_xlfn.XLOOKUP($E16,Tab_Def_Processes[Name(EN)],Tab_Def_Processes[Output_Flow_O_5],,0,)</f>
        <v>#N/A</v>
      </c>
      <c r="AP16" s="126" t="e">
        <f>_xlfn.XLOOKUP($E16,Tab_Def_Processes[Name(EN)],Tab_Def_Processes[Flow_ID_O_5],,0,)</f>
        <v>#N/A</v>
      </c>
      <c r="AQ16" s="120"/>
      <c r="AR16" s="126" t="e">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5" t="s">
        <v>224</v>
      </c>
      <c r="C2" s="145"/>
      <c r="D2" s="145"/>
      <c r="F2" s="145" t="s">
        <v>292</v>
      </c>
      <c r="G2" s="145"/>
      <c r="H2" s="145"/>
      <c r="J2" s="146" t="s">
        <v>291</v>
      </c>
      <c r="K2" s="146"/>
      <c r="L2" s="146"/>
      <c r="Q2" s="146" t="s">
        <v>291</v>
      </c>
      <c r="R2" s="146"/>
      <c r="S2" s="146"/>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5" t="s">
        <v>382</v>
      </c>
      <c r="C14" s="145"/>
      <c r="D14" s="145"/>
      <c r="F14" s="145" t="s">
        <v>399</v>
      </c>
      <c r="G14" s="145"/>
      <c r="H14" s="145"/>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5" t="s">
        <v>2</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5" t="s">
        <v>2</v>
      </c>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t="s">
        <v>91</v>
      </c>
      <c r="AF4" s="145"/>
      <c r="AG4" s="145"/>
      <c r="AH4" s="145"/>
      <c r="AI4" s="145"/>
      <c r="AJ4" s="145"/>
      <c r="AK4" s="145"/>
      <c r="AL4" s="145"/>
      <c r="AM4" s="145"/>
      <c r="AN4" s="145"/>
      <c r="AO4" s="1"/>
      <c r="AP4" s="8"/>
      <c r="AQ4" s="8"/>
      <c r="AR4" s="145" t="s">
        <v>18</v>
      </c>
      <c r="AS4" s="145"/>
      <c r="AT4" s="145"/>
      <c r="AU4" s="145"/>
      <c r="AV4" s="145"/>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7" t="s">
        <v>90</v>
      </c>
      <c r="AH2" s="148"/>
      <c r="AI2" s="148"/>
      <c r="AJ2" s="148"/>
      <c r="AK2" s="149"/>
      <c r="AL2" s="147" t="s">
        <v>192</v>
      </c>
      <c r="AM2" s="148"/>
      <c r="AN2" s="148"/>
      <c r="AO2" s="148"/>
      <c r="AP2" s="149"/>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0" t="s">
        <v>91</v>
      </c>
      <c r="AH2" s="150"/>
      <c r="AI2" s="150"/>
      <c r="AJ2" s="150"/>
      <c r="AK2" s="150"/>
      <c r="AL2" s="150"/>
      <c r="AM2" s="150"/>
      <c r="AN2" s="150"/>
      <c r="AO2" s="150"/>
      <c r="AP2" s="150"/>
      <c r="AQ2" s="150"/>
      <c r="AR2" s="150"/>
      <c r="AS2" s="150"/>
      <c r="AT2" s="145" t="s">
        <v>18</v>
      </c>
      <c r="AU2" s="145"/>
      <c r="AV2" s="145"/>
      <c r="AW2" s="145"/>
      <c r="AX2" s="145"/>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5" t="s">
        <v>2</v>
      </c>
      <c r="B3" s="145"/>
      <c r="C3" s="145"/>
      <c r="D3" s="145"/>
      <c r="E3" s="145"/>
      <c r="F3" s="145"/>
      <c r="G3" s="145"/>
      <c r="H3" s="145"/>
      <c r="I3" s="145"/>
      <c r="J3" s="145"/>
      <c r="K3" s="145"/>
      <c r="L3" s="145" t="s">
        <v>90</v>
      </c>
      <c r="M3" s="145"/>
      <c r="N3" s="145"/>
      <c r="O3" s="145"/>
      <c r="P3" s="145"/>
      <c r="Q3" s="145" t="s">
        <v>192</v>
      </c>
      <c r="R3" s="145"/>
      <c r="S3" s="145"/>
      <c r="T3" s="145"/>
      <c r="U3" s="145"/>
      <c r="Y3" s="145" t="s">
        <v>4</v>
      </c>
      <c r="Z3" s="145"/>
      <c r="AA3" s="145"/>
      <c r="AB3" s="145"/>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2025-05-07T16:33:54Z</dcterms:modified>
</cp:coreProperties>
</file>